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ntence-level annotation" sheetId="1" state="visible" r:id="rId3"/>
    <sheet name="word-level annotatio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<sst xmlns="http://schemas.openxmlformats.org/spreadsheetml/2006/main" count="11998" uniqueCount="2625">
  <si>
    <t xml:space="preserve">ID</t>
  </si>
  <si>
    <t xml:space="preserve">PRED_ID</t>
  </si>
  <si>
    <t xml:space="preserve">MARKER_AUTO</t>
  </si>
  <si>
    <t xml:space="preserve">PREDICATE</t>
  </si>
  <si>
    <t xml:space="preserve">TEXT</t>
  </si>
  <si>
    <t xml:space="preserve">SENTENCE</t>
  </si>
  <si>
    <t xml:space="preserve">MARKER</t>
  </si>
  <si>
    <t xml:space="preserve">TARGET</t>
  </si>
  <si>
    <t xml:space="preserve">RELATION</t>
  </si>
  <si>
    <t xml:space="preserve">COMMENT</t>
  </si>
  <si>
    <t xml:space="preserve">1</t>
  </si>
  <si>
    <t xml:space="preserve">13</t>
  </si>
  <si>
    <t xml:space="preserve">indeed?</t>
  </si>
  <si>
    <t xml:space="preserve">call</t>
  </si>
  <si>
    <t xml:space="preserve">One of Sherlock Holmes 's defects —if , indeed , one may call it a defect —was that he was exceedingly loath to communicate his full plans to any other person until the instant of their fulfilment .</t>
  </si>
  <si>
    <t xml:space="preserve">file://conllu/en/doyle_bask.14.conllu#s1_0</t>
  </si>
  <si>
    <t xml:space="preserve">_</t>
  </si>
  <si>
    <t xml:space="preserve">2</t>
  </si>
  <si>
    <t xml:space="preserve">3</t>
  </si>
  <si>
    <t xml:space="preserve">come</t>
  </si>
  <si>
    <t xml:space="preserve">Partly it came no doubt from his own masterful nature , which loved to dominate and surprise those who were around him .</t>
  </si>
  <si>
    <t xml:space="preserve">file://conllu/en/doyle_bask.14.conllu#s2_0</t>
  </si>
  <si>
    <t xml:space="preserve">6</t>
  </si>
  <si>
    <t xml:space="preserve">also?</t>
  </si>
  <si>
    <t xml:space="preserve">caution</t>
  </si>
  <si>
    <t xml:space="preserve">Partly also from his professional caution , which urged him never to take any chances .</t>
  </si>
  <si>
    <t xml:space="preserve">file://conllu/en/doyle_bask.14.conllu#s3_0</t>
  </si>
  <si>
    <t xml:space="preserve">4</t>
  </si>
  <si>
    <t xml:space="preserve">8</t>
  </si>
  <si>
    <t xml:space="preserve">however?</t>
  </si>
  <si>
    <t xml:space="preserve">try</t>
  </si>
  <si>
    <t xml:space="preserve">The result , however , was very trying for those who were acting as his agents and assistants .</t>
  </si>
  <si>
    <t xml:space="preserve">file://conllu/en/doyle_bask.14.conllu#s4_0</t>
  </si>
  <si>
    <t xml:space="preserve">5</t>
  </si>
  <si>
    <t xml:space="preserve">but?</t>
  </si>
  <si>
    <t xml:space="preserve">suffer</t>
  </si>
  <si>
    <t xml:space="preserve">I had often suffered under it , but never more so than during that long drive in the darkness .</t>
  </si>
  <si>
    <t xml:space="preserve">file://conllu/en/doyle_bask.14.conllu#s5_0</t>
  </si>
  <si>
    <t xml:space="preserve">and?</t>
  </si>
  <si>
    <t xml:space="preserve">be (be front)</t>
  </si>
  <si>
    <t xml:space="preserve">The great ordeal was in front of us ; at last we were about to make our final effort , and yet Holmes had said nothing , and I could only surmise what his course of action would be .</t>
  </si>
  <si>
    <t xml:space="preserve">file://conllu/en/doyle_bask.14.conllu#s6_0</t>
  </si>
  <si>
    <t xml:space="preserve">7</t>
  </si>
  <si>
    <t xml:space="preserve">when?</t>
  </si>
  <si>
    <t xml:space="preserve">thrill</t>
  </si>
  <si>
    <t xml:space="preserve">My nerves thrilled with anticipation when at last the cold wind upon our faces and the dark , void spaces on either side of the narrow road told me that we were back upon the moor once again .</t>
  </si>
  <si>
    <t xml:space="preserve">file://conllu/en/doyle_bask.14.conllu#s7_0</t>
  </si>
  <si>
    <t xml:space="preserve">stride</t>
  </si>
  <si>
    <t xml:space="preserve">Every stride of the horses and every turn of the wheels was taking us nearer to our supreme adventure .</t>
  </si>
  <si>
    <t xml:space="preserve">file://conllu/en/doyle_bask.14.conllu#s8_0</t>
  </si>
  <si>
    <t xml:space="preserve">9</t>
  </si>
  <si>
    <t xml:space="preserve">so?</t>
  </si>
  <si>
    <t xml:space="preserve">hamper</t>
  </si>
  <si>
    <t xml:space="preserve">Our conversation was hampered by the presence of the driver of the hired wagonette , so that we were forced to talk of trivial matters when our nerves were tense with emotion and anticipation .</t>
  </si>
  <si>
    <t xml:space="preserve">file://conllu/en/doyle_bask.14.conllu#s9_0</t>
  </si>
  <si>
    <t xml:space="preserve">10</t>
  </si>
  <si>
    <t xml:space="preserve">after?</t>
  </si>
  <si>
    <t xml:space="preserve">be (be relief)</t>
  </si>
  <si>
    <t xml:space="preserve">It was a relief to me , after that unnatural restraint , when we at last passed Frankland 's house and knew that we were drawing near to the Hall and to the scene of action .</t>
  </si>
  <si>
    <t xml:space="preserve">file://conllu/en/doyle_bask.14.conllu#s10_0</t>
  </si>
  <si>
    <t xml:space="preserve">11</t>
  </si>
  <si>
    <t xml:space="preserve">drive</t>
  </si>
  <si>
    <t xml:space="preserve">We did not drive up to the door but got down near the gate of the avenue .</t>
  </si>
  <si>
    <t xml:space="preserve">file://conllu/en/doyle_bask.14.conllu#s11_0</t>
  </si>
  <si>
    <t xml:space="preserve">12</t>
  </si>
  <si>
    <t xml:space="preserve">while?</t>
  </si>
  <si>
    <t xml:space="preserve">pay</t>
  </si>
  <si>
    <t xml:space="preserve">The wagonette was paid off and ordered to return to Coombe Tracey forthwith , while we started to walk to Merripit House .</t>
  </si>
  <si>
    <t xml:space="preserve">file://conllu/en/doyle_bask.14.conllu#s12_0</t>
  </si>
  <si>
    <t xml:space="preserve">be (be Lestrade)</t>
  </si>
  <si>
    <t xml:space="preserve">&amp;quot; Are you armed , Lestrade ? &amp;quot;</t>
  </si>
  <si>
    <t xml:space="preserve">file://conllu/en/doyle_bask.14.conllu#s13_0</t>
  </si>
  <si>
    <t xml:space="preserve">14</t>
  </si>
  <si>
    <t xml:space="preserve">detective</t>
  </si>
  <si>
    <t xml:space="preserve">The little detective smiled .</t>
  </si>
  <si>
    <t xml:space="preserve">file://conllu/en/doyle_bask.14.conllu#s14_0</t>
  </si>
  <si>
    <t xml:space="preserve">15</t>
  </si>
  <si>
    <t xml:space="preserve">as long as?</t>
  </si>
  <si>
    <t xml:space="preserve">long</t>
  </si>
  <si>
    <t xml:space="preserve">&amp;quot; As long as I have my trousers I have a hip pocket , and as long as I have my hip pocket I have something in it . &amp;quot;</t>
  </si>
  <si>
    <t xml:space="preserve">file://conllu/en/doyle_bask.14.conllu#s15_0</t>
  </si>
  <si>
    <t xml:space="preserve">16</t>
  </si>
  <si>
    <t xml:space="preserve">good</t>
  </si>
  <si>
    <t xml:space="preserve">&amp;quot; Good !</t>
  </si>
  <si>
    <t xml:space="preserve">file://conllu/en/doyle_bask.14.conllu#s16_0</t>
  </si>
  <si>
    <t xml:space="preserve">17</t>
  </si>
  <si>
    <t xml:space="preserve">be (be ready)</t>
  </si>
  <si>
    <t xml:space="preserve">My friend and I are also ready for emergencies . &amp;quot;</t>
  </si>
  <si>
    <t xml:space="preserve">file://conllu/en/doyle_bask.14.conllu#s17_0</t>
  </si>
  <si>
    <t xml:space="preserve">18</t>
  </si>
  <si>
    <t xml:space="preserve">Mr.</t>
  </si>
  <si>
    <t xml:space="preserve">&amp;quot; You 're mighty close about this affair , Mr. Holmes .</t>
  </si>
  <si>
    <t xml:space="preserve">file://conllu/en/doyle_bask.14.conllu#s18_0</t>
  </si>
  <si>
    <t xml:space="preserve">19</t>
  </si>
  <si>
    <t xml:space="preserve">be (be what)</t>
  </si>
  <si>
    <t xml:space="preserve">What 's the game now ? &amp;quot;</t>
  </si>
  <si>
    <t xml:space="preserve">file://conllu/en/doyle_bask.14.conllu#s19_0</t>
  </si>
  <si>
    <t xml:space="preserve">20</t>
  </si>
  <si>
    <t xml:space="preserve">game</t>
  </si>
  <si>
    <t xml:space="preserve">&amp;quot; A waiting game . &amp;quot;</t>
  </si>
  <si>
    <t xml:space="preserve">file://conllu/en/doyle_bask.14.conllu#s20_0</t>
  </si>
  <si>
    <t xml:space="preserve">21</t>
  </si>
  <si>
    <t xml:space="preserve">seem (seem say)</t>
  </si>
  <si>
    <t xml:space="preserve">&amp;quot; My word , it does not seem a very cheerful place , &amp;quot; said the detective with a shiver , glancing round him at the gloomy slopes of the hill and at the huge lake of fog which lay over the Grimpen Mire .</t>
  </si>
  <si>
    <t xml:space="preserve">file://conllu/en/doyle_bask.14.conllu#s21_0</t>
  </si>
  <si>
    <t xml:space="preserve">22</t>
  </si>
  <si>
    <t xml:space="preserve">see</t>
  </si>
  <si>
    <t xml:space="preserve">&amp;quot; I see the lights of a house ahead of us . &amp;quot;</t>
  </si>
  <si>
    <t xml:space="preserve">file://conllu/en/doyle_bask.14.conllu#s22_0</t>
  </si>
  <si>
    <t xml:space="preserve">23</t>
  </si>
  <si>
    <t xml:space="preserve">be (be House)</t>
  </si>
  <si>
    <t xml:space="preserve">&amp;quot; That is Merripit House and the end of our journey .</t>
  </si>
  <si>
    <t xml:space="preserve">file://conllu/en/doyle_bask.14.conllu#s23_0</t>
  </si>
  <si>
    <t xml:space="preserve">24</t>
  </si>
  <si>
    <t xml:space="preserve">request</t>
  </si>
  <si>
    <t xml:space="preserve">I must request you to walk on tiptoe and not to talk above a whisper . &amp;quot;</t>
  </si>
  <si>
    <t xml:space="preserve">file://conllu/en/doyle_bask.14.conllu#s24_0</t>
  </si>
  <si>
    <t xml:space="preserve">25</t>
  </si>
  <si>
    <t xml:space="preserve">as if?</t>
  </si>
  <si>
    <t xml:space="preserve">move</t>
  </si>
  <si>
    <t xml:space="preserve">We moved cautiously along the track as if we were bound for the house , but Holmes halted us when we were about two hundred yards from it .</t>
  </si>
  <si>
    <t xml:space="preserve">file://conllu/en/doyle_bask.14.conllu#s25_0</t>
  </si>
  <si>
    <t xml:space="preserve">26</t>
  </si>
  <si>
    <t xml:space="preserve">say</t>
  </si>
  <si>
    <t xml:space="preserve">&amp;quot; This will do , &amp;quot; said he .</t>
  </si>
  <si>
    <t xml:space="preserve">file://conllu/en/doyle_bask.14.conllu#s26_0</t>
  </si>
  <si>
    <t xml:space="preserve">27</t>
  </si>
  <si>
    <t xml:space="preserve">make</t>
  </si>
  <si>
    <t xml:space="preserve">&amp;quot; These rocks upon the right make an admirable screen . &amp;quot;</t>
  </si>
  <si>
    <t xml:space="preserve">file://conllu/en/doyle_bask.14.conllu#s27_0</t>
  </si>
  <si>
    <t xml:space="preserve">28</t>
  </si>
  <si>
    <t xml:space="preserve">wait</t>
  </si>
  <si>
    <t xml:space="preserve">&amp;quot; We are to wait here ? &amp;quot;</t>
  </si>
  <si>
    <t xml:space="preserve">file://conllu/en/doyle_bask.14.conllu#s28_0</t>
  </si>
  <si>
    <t xml:space="preserve">29</t>
  </si>
  <si>
    <t xml:space="preserve">&amp;quot; Yes , we shall make our little ambush here .</t>
  </si>
  <si>
    <t xml:space="preserve">file://conllu/en/doyle_bask.14.conllu#s29_0</t>
  </si>
  <si>
    <t xml:space="preserve">30</t>
  </si>
  <si>
    <t xml:space="preserve">get</t>
  </si>
  <si>
    <t xml:space="preserve">Get into this hollow , Lestrade .</t>
  </si>
  <si>
    <t xml:space="preserve">file://conllu/en/doyle_bask.14.conllu#s30_0</t>
  </si>
  <si>
    <t xml:space="preserve">31</t>
  </si>
  <si>
    <t xml:space="preserve">be (be house)</t>
  </si>
  <si>
    <t xml:space="preserve">You have been inside the house , have you not , Watson ?</t>
  </si>
  <si>
    <t xml:space="preserve">file://conllu/en/doyle_bask.14.conllu#s31_0</t>
  </si>
  <si>
    <t xml:space="preserve">32</t>
  </si>
  <si>
    <t xml:space="preserve">tell</t>
  </si>
  <si>
    <t xml:space="preserve">Can you tell the position of the rooms ?</t>
  </si>
  <si>
    <t xml:space="preserve">file://conllu/en/doyle_bask.14.conllu#s32_0</t>
  </si>
  <si>
    <t xml:space="preserve">33</t>
  </si>
  <si>
    <t xml:space="preserve">What are those latticed windows at this end ? &amp;quot;</t>
  </si>
  <si>
    <t xml:space="preserve">file://conllu/en/doyle_bask.14.conllu#s33_0</t>
  </si>
  <si>
    <t xml:space="preserve">34</t>
  </si>
  <si>
    <t xml:space="preserve">think</t>
  </si>
  <si>
    <t xml:space="preserve">&amp;quot; I think they are the kitchen windows . &amp;quot;</t>
  </si>
  <si>
    <t xml:space="preserve">file://conllu/en/doyle_bask.14.conllu#s34_0</t>
  </si>
  <si>
    <t xml:space="preserve">35</t>
  </si>
  <si>
    <t xml:space="preserve">beyond</t>
  </si>
  <si>
    <t xml:space="preserve">&amp;quot; And the one beyond , which shines so brightly ? &amp;quot;</t>
  </si>
  <si>
    <t xml:space="preserve">file://conllu/en/doyle_bask.14.conllu#s35_0</t>
  </si>
  <si>
    <t xml:space="preserve">36</t>
  </si>
  <si>
    <t xml:space="preserve">be (be room)</t>
  </si>
  <si>
    <t xml:space="preserve">&amp;quot; That is certainly the dining room . &amp;quot;</t>
  </si>
  <si>
    <t xml:space="preserve">file://conllu/en/doyle_bask.14.conllu#s36_0</t>
  </si>
  <si>
    <t xml:space="preserve">37</t>
  </si>
  <si>
    <t xml:space="preserve">be (be up)</t>
  </si>
  <si>
    <t xml:space="preserve">&amp;quot; The blinds are up .</t>
  </si>
  <si>
    <t xml:space="preserve">file://conllu/en/doyle_bask.14.conllu#s37_0</t>
  </si>
  <si>
    <t xml:space="preserve">38</t>
  </si>
  <si>
    <t xml:space="preserve">know</t>
  </si>
  <si>
    <t xml:space="preserve">You know the lie of the land best .</t>
  </si>
  <si>
    <t xml:space="preserve">file://conllu/en/doyle_bask.14.conllu#s38_0</t>
  </si>
  <si>
    <t xml:space="preserve">39</t>
  </si>
  <si>
    <t xml:space="preserve">Creep</t>
  </si>
  <si>
    <t xml:space="preserve">Creep forward quietly and see what they are doing —but for heaven 's sake do n't let them know that they are watched ! &amp;quot;</t>
  </si>
  <si>
    <t xml:space="preserve">file://conllu/en/doyle_bask.14.conllu#s39_0</t>
  </si>
  <si>
    <t xml:space="preserve">40</t>
  </si>
  <si>
    <t xml:space="preserve">tipto</t>
  </si>
  <si>
    <t xml:space="preserve">I tiptoed down the path and stooped behind the low wall which surrounded the stunted orchard .</t>
  </si>
  <si>
    <t xml:space="preserve">file://conllu/en/doyle_bask.14.conllu#s40_0</t>
  </si>
  <si>
    <t xml:space="preserve">41</t>
  </si>
  <si>
    <t xml:space="preserve">creepe</t>
  </si>
  <si>
    <t xml:space="preserve">Creeping in it s shadow I reached a point whence I could look straight through the uncurtained window .</t>
  </si>
  <si>
    <t xml:space="preserve">file://conllu/en/doyle_bask.14.conllu#s41_0</t>
  </si>
  <si>
    <t xml:space="preserve">42</t>
  </si>
  <si>
    <t xml:space="preserve">be</t>
  </si>
  <si>
    <t xml:space="preserve">There were only two men in the room , Sir Henry and Stapleton .</t>
  </si>
  <si>
    <t xml:space="preserve">file://conllu/en/doyle_bask.14.conllu#s42_0</t>
  </si>
  <si>
    <t xml:space="preserve">43</t>
  </si>
  <si>
    <t xml:space="preserve">sit</t>
  </si>
  <si>
    <t xml:space="preserve">They sat with their profiles towards me on either side of the round table .</t>
  </si>
  <si>
    <t xml:space="preserve">file://conllu/en/doyle_bask.14.conllu#s43_0</t>
  </si>
  <si>
    <t xml:space="preserve">44</t>
  </si>
  <si>
    <t xml:space="preserve">smoke</t>
  </si>
  <si>
    <t xml:space="preserve">Both of them were smoking cigars , and coffee and wine were in front of them .</t>
  </si>
  <si>
    <t xml:space="preserve">file://conllu/en/doyle_bask.14.conllu#s44_0</t>
  </si>
  <si>
    <t xml:space="preserve">45</t>
  </si>
  <si>
    <t xml:space="preserve">talk</t>
  </si>
  <si>
    <t xml:space="preserve">Stapleton was talking with animation , but the baronet looked pale and distrait .</t>
  </si>
  <si>
    <t xml:space="preserve">file://conllu/en/doyle_bask.14.conllu#s45_0</t>
  </si>
  <si>
    <t xml:space="preserve">46</t>
  </si>
  <si>
    <t xml:space="preserve">weigh</t>
  </si>
  <si>
    <t xml:space="preserve">Perhaps the thought of that lonely walk across the ill omened moor was weighing heavily upon his mind .</t>
  </si>
  <si>
    <t xml:space="preserve">file://conllu/en/doyle_bask.14.conllu#s46_0</t>
  </si>
  <si>
    <t xml:space="preserve">47</t>
  </si>
  <si>
    <t xml:space="preserve">watch</t>
  </si>
  <si>
    <t xml:space="preserve">As I watched them Stapleton rose and left the room , while Sir Henry filled his glass again and leaned back in his chair , puffing at his cigar .</t>
  </si>
  <si>
    <t xml:space="preserve">file://conllu/en/doyle_bask.14.conllu#s47_0</t>
  </si>
  <si>
    <t xml:space="preserve">48</t>
  </si>
  <si>
    <t xml:space="preserve">hear</t>
  </si>
  <si>
    <t xml:space="preserve">I heard the creak of a door and the crisp sound of boots upon gravel .</t>
  </si>
  <si>
    <t xml:space="preserve">file://conllu/en/doyle_bask.14.conllu#s48_0</t>
  </si>
  <si>
    <t xml:space="preserve">49</t>
  </si>
  <si>
    <t xml:space="preserve">pass</t>
  </si>
  <si>
    <t xml:space="preserve">The steps passed along the path on the other side of the wall under which I crouched .</t>
  </si>
  <si>
    <t xml:space="preserve">file://conllu/en/doyle_bask.14.conllu#s49_0</t>
  </si>
  <si>
    <t xml:space="preserve">50</t>
  </si>
  <si>
    <t xml:space="preserve">Looking over , I saw the naturalist pause at the door of an out house in the corner of the orchard .</t>
  </si>
  <si>
    <t xml:space="preserve">file://conllu/en/doyle_bask.14.conllu#s50_0</t>
  </si>
  <si>
    <t xml:space="preserve">51</t>
  </si>
  <si>
    <t xml:space="preserve">turn</t>
  </si>
  <si>
    <t xml:space="preserve">A key turned in a lock , and as he passed in there was a curious scuffling noise from within .</t>
  </si>
  <si>
    <t xml:space="preserve">file://conllu/en/doyle_bask.14.conllu#s51_0</t>
  </si>
  <si>
    <t xml:space="preserve">52</t>
  </si>
  <si>
    <t xml:space="preserve">then?</t>
  </si>
  <si>
    <t xml:space="preserve">be (be minute)</t>
  </si>
  <si>
    <t xml:space="preserve">He was only a minute or so inside , and then I heard the key turn once more and he passed me and re-entered the house .</t>
  </si>
  <si>
    <t xml:space="preserve">file://conllu/en/doyle_bask.14.conllu#s52_0</t>
  </si>
  <si>
    <t xml:space="preserve">53</t>
  </si>
  <si>
    <t xml:space="preserve">I saw him rejoin his guest , and I crept quietly back to where my companions were waiting to tell them what I had seen .</t>
  </si>
  <si>
    <t xml:space="preserve">file://conllu/en/doyle_bask.14.conllu#s53_0</t>
  </si>
  <si>
    <t xml:space="preserve">54</t>
  </si>
  <si>
    <t xml:space="preserve">&amp;quot; You say , Watson , that the lady is not there ? &amp;quot;</t>
  </si>
  <si>
    <t xml:space="preserve">file://conllu/en/doyle_bask.14.conllu#s54_0</t>
  </si>
  <si>
    <t xml:space="preserve">55</t>
  </si>
  <si>
    <t xml:space="preserve">ask</t>
  </si>
  <si>
    <t xml:space="preserve">Holmes asked , when I had finished my report .</t>
  </si>
  <si>
    <t xml:space="preserve">file://conllu/en/doyle_bask.14.conllu#s55_0</t>
  </si>
  <si>
    <t xml:space="preserve">56</t>
  </si>
  <si>
    <t xml:space="preserve">since?</t>
  </si>
  <si>
    <t xml:space="preserve">&amp;quot; No . &amp;quot; &amp;quot; Where can she be , then , since there is no light in any other room except the kitchen ? &amp;quot;</t>
  </si>
  <si>
    <t xml:space="preserve">file://conllu/en/doyle_bask.14.conllu#s56_0</t>
  </si>
  <si>
    <t xml:space="preserve">57</t>
  </si>
  <si>
    <t xml:space="preserve">&amp;quot; I can not think where she is . &amp;quot;</t>
  </si>
  <si>
    <t xml:space="preserve">file://conllu/en/doyle_bask.14.conllu#s57_0</t>
  </si>
  <si>
    <t xml:space="preserve">58</t>
  </si>
  <si>
    <t xml:space="preserve">I have said that over the great Grimpen Mire there hung a dense , white fog .</t>
  </si>
  <si>
    <t xml:space="preserve">file://conllu/en/doyle_bask.14.conllu#s58_0</t>
  </si>
  <si>
    <t xml:space="preserve">59</t>
  </si>
  <si>
    <t xml:space="preserve">drift</t>
  </si>
  <si>
    <t xml:space="preserve">It was drifting slowly in our direction , and banked itself up like a wall on that side of us , low , but thick and well defined .</t>
  </si>
  <si>
    <t xml:space="preserve">file://conllu/en/doyle_bask.14.conllu#s59_0</t>
  </si>
  <si>
    <t xml:space="preserve">60</t>
  </si>
  <si>
    <t xml:space="preserve">shone</t>
  </si>
  <si>
    <t xml:space="preserve">The moon shone on it , and it looked like a great shimmering ice field , with the heads of the distant tors as rocks borne upon its surface .</t>
  </si>
  <si>
    <t xml:space="preserve">file://conllu/en/doyle_bask.14.conllu#s60_0</t>
  </si>
  <si>
    <t xml:space="preserve">61</t>
  </si>
  <si>
    <t xml:space="preserve">Holmes 's face was turned towards it , and he muttered impatiently as he watched its sluggish drift .</t>
  </si>
  <si>
    <t xml:space="preserve">file://conllu/en/doyle_bask.14.conllu#s61_0</t>
  </si>
  <si>
    <t xml:space="preserve">62</t>
  </si>
  <si>
    <t xml:space="preserve">&amp;quot; It 's moving towards us , Watson . &amp;quot;</t>
  </si>
  <si>
    <t xml:space="preserve">file://conllu/en/doyle_bask.14.conllu#s62_0</t>
  </si>
  <si>
    <t xml:space="preserve">63</t>
  </si>
  <si>
    <t xml:space="preserve">be (be serious)</t>
  </si>
  <si>
    <t xml:space="preserve">&amp;quot; Is that serious ? &amp;quot;</t>
  </si>
  <si>
    <t xml:space="preserve">file://conllu/en/doyle_bask.14.conllu#s63_0</t>
  </si>
  <si>
    <t xml:space="preserve">64</t>
  </si>
  <si>
    <t xml:space="preserve">thing</t>
  </si>
  <si>
    <t xml:space="preserve">&amp;quot; Very serious , indeed —the one thing upon earth which could have disarranged my plans .</t>
  </si>
  <si>
    <t xml:space="preserve">file://conllu/en/doyle_bask.14.conllu#s64_0</t>
  </si>
  <si>
    <t xml:space="preserve">65</t>
  </si>
  <si>
    <t xml:space="preserve">be (be long)</t>
  </si>
  <si>
    <t xml:space="preserve">He ca n't be very long , now .</t>
  </si>
  <si>
    <t xml:space="preserve">file://conllu/en/doyle_bask.14.conllu#s65_0</t>
  </si>
  <si>
    <t xml:space="preserve">66</t>
  </si>
  <si>
    <t xml:space="preserve">be (be o'clock)</t>
  </si>
  <si>
    <t xml:space="preserve">It is already ten o'clock .</t>
  </si>
  <si>
    <t xml:space="preserve">file://conllu/en/doyle_bask.14.conllu#s66_0</t>
  </si>
  <si>
    <t xml:space="preserve">67</t>
  </si>
  <si>
    <t xml:space="preserve">be (be path)</t>
  </si>
  <si>
    <t xml:space="preserve">Our success and even his life may depend upon his coming out before the fog is over the path . &amp;quot;</t>
  </si>
  <si>
    <t xml:space="preserve">file://conllu/en/doyle_bask.14.conllu#s67_0</t>
  </si>
  <si>
    <t xml:space="preserve">68</t>
  </si>
  <si>
    <t xml:space="preserve">be (be clear)</t>
  </si>
  <si>
    <t xml:space="preserve">The night was clear and fine above us .</t>
  </si>
  <si>
    <t xml:space="preserve">file://conllu/en/doyle_bask.14.conllu#s68_0</t>
  </si>
  <si>
    <t xml:space="preserve">69</t>
  </si>
  <si>
    <t xml:space="preserve">The stars shone cold and bright , while a half moon bathed the whole scene in a soft , uncertain light .</t>
  </si>
  <si>
    <t xml:space="preserve">file://conllu/en/doyle_bask.14.conllu#s69_0</t>
  </si>
  <si>
    <t xml:space="preserve">70</t>
  </si>
  <si>
    <t xml:space="preserve">before?</t>
  </si>
  <si>
    <t xml:space="preserve">be (be roof)</t>
  </si>
  <si>
    <t xml:space="preserve">Before us lay the dark bulk of the house , it s serrated roof and bristling chimneys hard outlined against the silver spangled sky .</t>
  </si>
  <si>
    <t xml:space="preserve">file://conllu/en/doyle_bask.14.conllu#s70_0</t>
  </si>
  <si>
    <t xml:space="preserve">71</t>
  </si>
  <si>
    <t xml:space="preserve">bar</t>
  </si>
  <si>
    <t xml:space="preserve">Broad bars of golden light from the lower windows stretched across the orchard and the moor .</t>
  </si>
  <si>
    <t xml:space="preserve">file://conllu/en/doyle_bask.14.conllu#s71_0</t>
  </si>
  <si>
    <t xml:space="preserve">72</t>
  </si>
  <si>
    <t xml:space="preserve">shut</t>
  </si>
  <si>
    <t xml:space="preserve">One of them was suddenly shut off .</t>
  </si>
  <si>
    <t xml:space="preserve">file://conllu/en/doyle_bask.14.conllu#s72_0</t>
  </si>
  <si>
    <t xml:space="preserve">73</t>
  </si>
  <si>
    <t xml:space="preserve">leave</t>
  </si>
  <si>
    <t xml:space="preserve">The servants had left the kitchen .</t>
  </si>
  <si>
    <t xml:space="preserve">file://conllu/en/doyle_bask.14.conllu#s73_0</t>
  </si>
  <si>
    <t xml:space="preserve">74</t>
  </si>
  <si>
    <t xml:space="preserve">remain</t>
  </si>
  <si>
    <t xml:space="preserve">There only remained the lamp in the dining room where the two men , the murderous host and the unconscious guest , still chatted over their cigars .</t>
  </si>
  <si>
    <t xml:space="preserve">file://conllu/en/doyle_bask.14.conllu#s74_0</t>
  </si>
  <si>
    <t xml:space="preserve">75</t>
  </si>
  <si>
    <t xml:space="preserve">minute</t>
  </si>
  <si>
    <t xml:space="preserve">Every minute that white woolly plain which covered one half of the moor was drifting closer and closer to the house .</t>
  </si>
  <si>
    <t xml:space="preserve">file://conllu/en/doyle_bask.14.conllu#s75_0</t>
  </si>
  <si>
    <t xml:space="preserve">76</t>
  </si>
  <si>
    <t xml:space="preserve">curl</t>
  </si>
  <si>
    <t xml:space="preserve">Already the first thin wisps of it were curling across the golden square of the lighted window .</t>
  </si>
  <si>
    <t xml:space="preserve">file://conllu/en/doyle_bask.14.conllu#s76_0</t>
  </si>
  <si>
    <t xml:space="preserve">77</t>
  </si>
  <si>
    <t xml:space="preserve">be (be invisible)</t>
  </si>
  <si>
    <t xml:space="preserve">The farther wall of the orchard was already invisible , and the trees were standing out of a swirl of white vapour .</t>
  </si>
  <si>
    <t xml:space="preserve">file://conllu/en/doyle_bask.14.conllu#s77_0</t>
  </si>
  <si>
    <t xml:space="preserve">78</t>
  </si>
  <si>
    <t xml:space="preserve">as?</t>
  </si>
  <si>
    <t xml:space="preserve">As we watched it the fog wreaths came crawling round both corners of the house and rolled slowly into one dense bank , on which the upper floor and the roof floated like a strange ship upon a shadowy sea .</t>
  </si>
  <si>
    <t xml:space="preserve">file://conllu/en/doyle_bask.14.conllu#s78_0</t>
  </si>
  <si>
    <t xml:space="preserve">79</t>
  </si>
  <si>
    <t xml:space="preserve">struck</t>
  </si>
  <si>
    <t xml:space="preserve">Holmes struck his hand passionately upon the rock in front of us and stamped his feet in his impatience .</t>
  </si>
  <si>
    <t xml:space="preserve">file://conllu/en/doyle_bask.14.conllu#s79_0</t>
  </si>
  <si>
    <t xml:space="preserve">80</t>
  </si>
  <si>
    <t xml:space="preserve">if?</t>
  </si>
  <si>
    <t xml:space="preserve">cover</t>
  </si>
  <si>
    <t xml:space="preserve">&amp;quot; If he is n't out in a quarter of an hour the path will be covered .</t>
  </si>
  <si>
    <t xml:space="preserve">file://conllu/en/doyle_bask.14.conllu#s80_0</t>
  </si>
  <si>
    <t xml:space="preserve">81</t>
  </si>
  <si>
    <t xml:space="preserve">be (be able)</t>
  </si>
  <si>
    <t xml:space="preserve">In half an hour we wo n't be able to see our hands in front of us . &amp;quot;</t>
  </si>
  <si>
    <t xml:space="preserve">file://conllu/en/doyle_bask.14.conllu#s81_0</t>
  </si>
  <si>
    <t xml:space="preserve">82</t>
  </si>
  <si>
    <t xml:space="preserve">&amp;quot; Shall we move farther back upon higher ground ? &amp;quot;</t>
  </si>
  <si>
    <t xml:space="preserve">file://conllu/en/doyle_bask.14.conllu#s82_0</t>
  </si>
  <si>
    <t xml:space="preserve">83</t>
  </si>
  <si>
    <t xml:space="preserve">as well?</t>
  </si>
  <si>
    <t xml:space="preserve">&amp;quot; Yes , I think it would be as well . &amp;quot;</t>
  </si>
  <si>
    <t xml:space="preserve">file://conllu/en/doyle_bask.14.conllu#s83_0</t>
  </si>
  <si>
    <t xml:space="preserve">84</t>
  </si>
  <si>
    <t xml:space="preserve">flow</t>
  </si>
  <si>
    <t xml:space="preserve">So as the fog bank flowed onward we fell back before it until we were half a mile from the house , and still that dense white sea , with the moon silvering its upper edge , swept slowly and inexorably on .</t>
  </si>
  <si>
    <t xml:space="preserve">file://conllu/en/doyle_bask.14.conllu#s84_0</t>
  </si>
  <si>
    <t xml:space="preserve">85</t>
  </si>
  <si>
    <t xml:space="preserve">&amp;quot; We are going too far , &amp;quot; said Holmes .</t>
  </si>
  <si>
    <t xml:space="preserve">file://conllu/en/doyle_bask.14.conllu#s85_0</t>
  </si>
  <si>
    <t xml:space="preserve">86</t>
  </si>
  <si>
    <t xml:space="preserve">dare</t>
  </si>
  <si>
    <t xml:space="preserve">&amp;quot; We dare not take the chance of his being overtaken before he can reach us .</t>
  </si>
  <si>
    <t xml:space="preserve">file://conllu/en/doyle_bask.14.conllu#s86_0</t>
  </si>
  <si>
    <t xml:space="preserve">87</t>
  </si>
  <si>
    <t xml:space="preserve">hold</t>
  </si>
  <si>
    <t xml:space="preserve">At all costs we must hold our ground where we are . &amp;quot;</t>
  </si>
  <si>
    <t xml:space="preserve">file://conllu/en/doyle_bask.14.conllu#s87_0</t>
  </si>
  <si>
    <t xml:space="preserve">88</t>
  </si>
  <si>
    <t xml:space="preserve">drop</t>
  </si>
  <si>
    <t xml:space="preserve">He dropped on his knees and clapped his ear to the ground .</t>
  </si>
  <si>
    <t xml:space="preserve">file://conllu/en/doyle_bask.14.conllu#s88_0</t>
  </si>
  <si>
    <t xml:space="preserve">89</t>
  </si>
  <si>
    <t xml:space="preserve">thank</t>
  </si>
  <si>
    <t xml:space="preserve">&amp;quot; Thank God , I think that I hear him coming . &amp;quot;</t>
  </si>
  <si>
    <t xml:space="preserve">file://conllu/en/doyle_bask.14.conllu#s89_0</t>
  </si>
  <si>
    <t xml:space="preserve">90</t>
  </si>
  <si>
    <t xml:space="preserve">break</t>
  </si>
  <si>
    <t xml:space="preserve">A sound of quick steps broke the silence of the moor .</t>
  </si>
  <si>
    <t xml:space="preserve">file://conllu/en/doyle_bask.14.conllu#s90_0</t>
  </si>
  <si>
    <t xml:space="preserve">91</t>
  </si>
  <si>
    <t xml:space="preserve">stare</t>
  </si>
  <si>
    <t xml:space="preserve">Crouching among the stones we stared intently at the silver tipped bank in front of us .</t>
  </si>
  <si>
    <t xml:space="preserve">file://conllu/en/doyle_bask.14.conllu#s91_0</t>
  </si>
  <si>
    <t xml:space="preserve">92</t>
  </si>
  <si>
    <t xml:space="preserve">grow</t>
  </si>
  <si>
    <t xml:space="preserve">The steps grew louder , and through the fog , as through a curtain , there stepped the man whom we were awaiting .</t>
  </si>
  <si>
    <t xml:space="preserve">file://conllu/en/doyle_bask.14.conllu#s92_0</t>
  </si>
  <si>
    <t xml:space="preserve">93</t>
  </si>
  <si>
    <t xml:space="preserve">look</t>
  </si>
  <si>
    <t xml:space="preserve">He looked round him in surprise as he emerged into the clear , starlit night .</t>
  </si>
  <si>
    <t xml:space="preserve">file://conllu/en/doyle_bask.14.conllu#s93_0</t>
  </si>
  <si>
    <t xml:space="preserve">94</t>
  </si>
  <si>
    <t xml:space="preserve">Then he came swiftly along the path , passed close to where we lay , and went on up the long slope behind us .</t>
  </si>
  <si>
    <t xml:space="preserve">file://conllu/en/doyle_bask.14.conllu#s94_0</t>
  </si>
  <si>
    <t xml:space="preserve">95</t>
  </si>
  <si>
    <t xml:space="preserve">glance</t>
  </si>
  <si>
    <t xml:space="preserve">As he walked he glanced continually over either shoulder , like a man who is ill at ease .</t>
  </si>
  <si>
    <t xml:space="preserve">file://conllu/en/doyle_bask.14.conllu#s95_0</t>
  </si>
  <si>
    <t xml:space="preserve">96</t>
  </si>
  <si>
    <t xml:space="preserve">hear (hear cry)</t>
  </si>
  <si>
    <t xml:space="preserve">&amp;quot; Hist ! &amp;quot; cried Holmes , and I heard the sharp click of a cocking pistol .</t>
  </si>
  <si>
    <t xml:space="preserve">file://conllu/en/doyle_bask.14.conllu#s96_0</t>
  </si>
  <si>
    <t xml:space="preserve">97</t>
  </si>
  <si>
    <t xml:space="preserve">&amp;quot; Look out !</t>
  </si>
  <si>
    <t xml:space="preserve">file://conllu/en/doyle_bask.14.conllu#s97_0</t>
  </si>
  <si>
    <t xml:space="preserve">98</t>
  </si>
  <si>
    <t xml:space="preserve">It 's coming ! &amp;quot;</t>
  </si>
  <si>
    <t xml:space="preserve">file://conllu/en/doyle_bask.14.conllu#s98_0</t>
  </si>
  <si>
    <t xml:space="preserve">99</t>
  </si>
  <si>
    <t xml:space="preserve">There was a thin , crisp , continuous patter from somewhere in the heart of that crawling bank .</t>
  </si>
  <si>
    <t xml:space="preserve">file://conllu/en/doyle_bask.14.conllu#s99_0</t>
  </si>
  <si>
    <t xml:space="preserve">100</t>
  </si>
  <si>
    <t xml:space="preserve">be (be yard)</t>
  </si>
  <si>
    <t xml:space="preserve">The cloud was within fifty yards of where we lay , and we glared at it , all three , uncertain what horror was about to break from the heart of it .</t>
  </si>
  <si>
    <t xml:space="preserve">file://conllu/en/doyle_bask.14.conllu#s100_0</t>
  </si>
  <si>
    <t xml:space="preserve">101</t>
  </si>
  <si>
    <t xml:space="preserve">be (be elbow)</t>
  </si>
  <si>
    <t xml:space="preserve">I was at Holmes 's elbow , and I glanced for an instant at his face .</t>
  </si>
  <si>
    <t xml:space="preserve">file://conllu/en/doyle_bask.14.conllu#s101_0</t>
  </si>
  <si>
    <t xml:space="preserve">102</t>
  </si>
  <si>
    <t xml:space="preserve">be (be pale)</t>
  </si>
  <si>
    <t xml:space="preserve">It was pale and exultant , his eyes shining brightly in the moonlight .</t>
  </si>
  <si>
    <t xml:space="preserve">file://conllu/en/doyle_bask.14.conllu#s102_0</t>
  </si>
  <si>
    <t xml:space="preserve">103</t>
  </si>
  <si>
    <t xml:space="preserve">start</t>
  </si>
  <si>
    <t xml:space="preserve">But suddenly they started forward in a rigid , fixed stare , and his lips parted in amazement .</t>
  </si>
  <si>
    <t xml:space="preserve">file://conllu/en/doyle_bask.14.conllu#s103_0</t>
  </si>
  <si>
    <t xml:space="preserve">104</t>
  </si>
  <si>
    <t xml:space="preserve">give</t>
  </si>
  <si>
    <t xml:space="preserve">At the same instant Lestrade gave a yell of terror and threw himself face downward upon the ground .</t>
  </si>
  <si>
    <t xml:space="preserve">file://conllu/en/doyle_bask.14.conllu#s104_0</t>
  </si>
  <si>
    <t xml:space="preserve">105</t>
  </si>
  <si>
    <t xml:space="preserve">spring</t>
  </si>
  <si>
    <t xml:space="preserve">I sprang to my feet , my inert hand grasping my pistol , my mind paralyzed by the dreadful shape which had sprung out upon us from the shadows of the fog .</t>
  </si>
  <si>
    <t xml:space="preserve">file://conllu/en/doyle_bask.14.conllu#s105_0</t>
  </si>
  <si>
    <t xml:space="preserve">106</t>
  </si>
  <si>
    <t xml:space="preserve">A hound it was , an enormous coal black hound , but not such a hound as mortal eyes have ever seen .</t>
  </si>
  <si>
    <t xml:space="preserve">file://conllu/en/doyle_bask.14.conllu#s106_0</t>
  </si>
  <si>
    <t xml:space="preserve">107</t>
  </si>
  <si>
    <t xml:space="preserve">fire</t>
  </si>
  <si>
    <t xml:space="preserve">Fire burst from its open mouth , it s eyes glowed with a smouldering glare , its muzzle and hackles and dewlap were outlined in flickering flame .</t>
  </si>
  <si>
    <t xml:space="preserve">file://conllu/en/doyle_bask.14.conllu#s107_0</t>
  </si>
  <si>
    <t xml:space="preserve">108</t>
  </si>
  <si>
    <t xml:space="preserve">conceive</t>
  </si>
  <si>
    <t xml:space="preserve">Never in the delirious dream of a disordered brain could anything more savage , more appalling , more hellish be conceived than that dark form and savage face which broke upon us out of the wall of fog .</t>
  </si>
  <si>
    <t xml:space="preserve">file://conllu/en/doyle_bask.14.conllu#s108_0</t>
  </si>
  <si>
    <t xml:space="preserve">109</t>
  </si>
  <si>
    <t xml:space="preserve">leap</t>
  </si>
  <si>
    <t xml:space="preserve">With long bounds the huge black creature was leaping down the track , following hard upon the footsteps of our friend .</t>
  </si>
  <si>
    <t xml:space="preserve">file://conllu/en/doyle_bask.14.conllu#s109_0</t>
  </si>
  <si>
    <t xml:space="preserve">110</t>
  </si>
  <si>
    <t xml:space="preserve">be (be paralyzed)</t>
  </si>
  <si>
    <t xml:space="preserve">So paralyzed were we by the apparition that we allowed him to pass before we had recovered our nerve .</t>
  </si>
  <si>
    <t xml:space="preserve">file://conllu/en/doyle_bask.14.conllu#s110_0</t>
  </si>
  <si>
    <t xml:space="preserve">111</t>
  </si>
  <si>
    <t xml:space="preserve">Then Holmes and I both fired together , and the creature gave a hideous howl , which showed that one at least had hit him .</t>
  </si>
  <si>
    <t xml:space="preserve">file://conllu/en/doyle_bask.14.conllu#s111_0</t>
  </si>
  <si>
    <t xml:space="preserve">112</t>
  </si>
  <si>
    <t xml:space="preserve">pause</t>
  </si>
  <si>
    <t xml:space="preserve">He did not pause , however , but bounded onward .</t>
  </si>
  <si>
    <t xml:space="preserve">file://conllu/en/doyle_bask.14.conllu#s112_0</t>
  </si>
  <si>
    <t xml:space="preserve">113</t>
  </si>
  <si>
    <t xml:space="preserve">Far away on the path we saw Sir Henry looking back , his face white in the moonlight , his hands raised in horror , glaring helplessly at the frightful thing which was hunting him down .</t>
  </si>
  <si>
    <t xml:space="preserve">file://conllu/en/doyle_bask.14.conllu#s113_0</t>
  </si>
  <si>
    <t xml:space="preserve">114</t>
  </si>
  <si>
    <t xml:space="preserve">blow</t>
  </si>
  <si>
    <t xml:space="preserve">But that cry of pain from the hound had blown all our fears to the winds .</t>
  </si>
  <si>
    <t xml:space="preserve">file://conllu/en/doyle_bask.14.conllu#s114_0</t>
  </si>
  <si>
    <t xml:space="preserve">115</t>
  </si>
  <si>
    <t xml:space="preserve">be (be mortal)</t>
  </si>
  <si>
    <t xml:space="preserve">If he was vulnerable he was mortal , and if we could wound him we could kill him .</t>
  </si>
  <si>
    <t xml:space="preserve">file://conllu/en/doyle_bask.14.conllu#s115_0</t>
  </si>
  <si>
    <t xml:space="preserve">116</t>
  </si>
  <si>
    <t xml:space="preserve">Never have I seen a man run as Holmes ran that night .</t>
  </si>
  <si>
    <t xml:space="preserve">file://conllu/en/doyle_bask.14.conllu#s116_0</t>
  </si>
  <si>
    <t xml:space="preserve">117</t>
  </si>
  <si>
    <t xml:space="preserve">reckon</t>
  </si>
  <si>
    <t xml:space="preserve">I am reckoned fleet of foot , but he outpaced me as much as I outpaced the little professional .</t>
  </si>
  <si>
    <t xml:space="preserve">file://conllu/en/doyle_bask.14.conllu#s117_0</t>
  </si>
  <si>
    <t xml:space="preserve">118</t>
  </si>
  <si>
    <t xml:space="preserve">fly</t>
  </si>
  <si>
    <t xml:space="preserve">In front of us as we flew up the track we heard scream after scream from Sir Henry and the deep roar of the hound .</t>
  </si>
  <si>
    <t xml:space="preserve">file://conllu/en/doyle_bask.14.conllu#s118_0</t>
  </si>
  <si>
    <t xml:space="preserve">119</t>
  </si>
  <si>
    <t xml:space="preserve">be (be time)</t>
  </si>
  <si>
    <t xml:space="preserve">I was in time to see the beast spring upon it s victim , hurl him to the ground , and worry at his throat .</t>
  </si>
  <si>
    <t xml:space="preserve">file://conllu/en/doyle_bask.14.conllu#s119_0</t>
  </si>
  <si>
    <t xml:space="preserve">120</t>
  </si>
  <si>
    <t xml:space="preserve">next?</t>
  </si>
  <si>
    <t xml:space="preserve">empty</t>
  </si>
  <si>
    <t xml:space="preserve">But the next instant Holmes had emptied five barrels of his revolver into the creature 's flank .</t>
  </si>
  <si>
    <t xml:space="preserve">file://conllu/en/doyle_bask.14.conllu#s120_0</t>
  </si>
  <si>
    <t xml:space="preserve">121</t>
  </si>
  <si>
    <t xml:space="preserve">roll</t>
  </si>
  <si>
    <t xml:space="preserve">With a last howl of agony and a vicious snap in the air , it rolled upon its back , four feet pawing furiously , and then fell limp upon its side .</t>
  </si>
  <si>
    <t xml:space="preserve">file://conllu/en/doyle_bask.14.conllu#s121_0</t>
  </si>
  <si>
    <t xml:space="preserve">122</t>
  </si>
  <si>
    <t xml:space="preserve">stoop</t>
  </si>
  <si>
    <t xml:space="preserve">I stooped , panting , and pressed my pistol to the dreadful , shimmering head , but it was useless to press the trigger .</t>
  </si>
  <si>
    <t xml:space="preserve">file://conllu/en/doyle_bask.14.conllu#s122_0</t>
  </si>
  <si>
    <t xml:space="preserve">123</t>
  </si>
  <si>
    <t xml:space="preserve">be (be dead)</t>
  </si>
  <si>
    <t xml:space="preserve">The giant hound was dead .</t>
  </si>
  <si>
    <t xml:space="preserve">file://conllu/en/doyle_bask.14.conllu#s123_0</t>
  </si>
  <si>
    <t xml:space="preserve">124</t>
  </si>
  <si>
    <t xml:space="preserve">Sir</t>
  </si>
  <si>
    <t xml:space="preserve">file://conllu/en/doyle_bask.14.conllu#s124_0</t>
  </si>
  <si>
    <t xml:space="preserve">125</t>
  </si>
  <si>
    <t xml:space="preserve">lay</t>
  </si>
  <si>
    <t xml:space="preserve">Henry lay insensible where he had fallen .</t>
  </si>
  <si>
    <t xml:space="preserve">file://conllu/en/doyle_bask.14.conllu#s125_0</t>
  </si>
  <si>
    <t xml:space="preserve">126</t>
  </si>
  <si>
    <t xml:space="preserve">tore</t>
  </si>
  <si>
    <t xml:space="preserve">We tore away his collar , and Holmes breathed a prayer of gratitude when we saw that there was no sign of a wound and that the rescue had been in time .</t>
  </si>
  <si>
    <t xml:space="preserve">file://conllu/en/doyle_bask.14.conllu#s126_0</t>
  </si>
  <si>
    <t xml:space="preserve">127</t>
  </si>
  <si>
    <t xml:space="preserve">shiver</t>
  </si>
  <si>
    <t xml:space="preserve">Already our friend 's eyelids shivered and he made a feeble effort to move .</t>
  </si>
  <si>
    <t xml:space="preserve">file://conllu/en/doyle_bask.14.conllu#s127_0</t>
  </si>
  <si>
    <t xml:space="preserve">128</t>
  </si>
  <si>
    <t xml:space="preserve">thrust</t>
  </si>
  <si>
    <t xml:space="preserve">Lestrade thrust his brandy flask between the baronet 's teeth , and two frightened eyes were looking up at us .</t>
  </si>
  <si>
    <t xml:space="preserve">file://conllu/en/doyle_bask.14.conllu#s128_0</t>
  </si>
  <si>
    <t xml:space="preserve">129</t>
  </si>
  <si>
    <t xml:space="preserve">whisper</t>
  </si>
  <si>
    <t xml:space="preserve">&amp;quot; My God ! &amp;quot; he whispered .</t>
  </si>
  <si>
    <t xml:space="preserve">file://conllu/en/doyle_bask.14.conllu#s129_0</t>
  </si>
  <si>
    <t xml:space="preserve">130</t>
  </si>
  <si>
    <t xml:space="preserve">&amp;quot; What was it ?</t>
  </si>
  <si>
    <t xml:space="preserve">file://conllu/en/doyle_bask.14.conllu#s130_0</t>
  </si>
  <si>
    <t xml:space="preserve">131</t>
  </si>
  <si>
    <t xml:space="preserve">What , in heaven 's name , was it ? &amp;quot;</t>
  </si>
  <si>
    <t xml:space="preserve">file://conllu/en/doyle_bask.14.conllu#s131_0</t>
  </si>
  <si>
    <t xml:space="preserve">132</t>
  </si>
  <si>
    <t xml:space="preserve">&amp;quot; It 's dead , whatever it is , &amp;quot; said Holmes .</t>
  </si>
  <si>
    <t xml:space="preserve">file://conllu/en/doyle_bask.14.conllu#s132_0</t>
  </si>
  <si>
    <t xml:space="preserve">133</t>
  </si>
  <si>
    <t xml:space="preserve">once?</t>
  </si>
  <si>
    <t xml:space="preserve">&amp;quot; We 've laid the family ghost once and forever . &amp;quot;</t>
  </si>
  <si>
    <t xml:space="preserve">file://conllu/en/doyle_bask.14.conllu#s133_0</t>
  </si>
  <si>
    <t xml:space="preserve">134</t>
  </si>
  <si>
    <t xml:space="preserve">be (be creature)</t>
  </si>
  <si>
    <t xml:space="preserve">In mere size and strength it was a terrible creature which was lying stretched before us .</t>
  </si>
  <si>
    <t xml:space="preserve">file://conllu/en/doyle_bask.14.conllu#s134_0</t>
  </si>
  <si>
    <t xml:space="preserve">135</t>
  </si>
  <si>
    <t xml:space="preserve">be (be bloodhound)</t>
  </si>
  <si>
    <t xml:space="preserve">It was not a pure bloodhound and it was not a pure mastiff ; but it appeared to be a combination of the two —gaunt , savage , and as large as a small lioness .</t>
  </si>
  <si>
    <t xml:space="preserve">file://conllu/en/doyle_bask.14.conllu#s135_0</t>
  </si>
  <si>
    <t xml:space="preserve">136</t>
  </si>
  <si>
    <t xml:space="preserve">seem</t>
  </si>
  <si>
    <t xml:space="preserve">Even now , in the stillness of death , the huge jaws seemed to be dripping with a bluish flame and the small , deep set , cruel eyes were ringed with fire .</t>
  </si>
  <si>
    <t xml:space="preserve">file://conllu/en/doyle_bask.14.conllu#s136_0</t>
  </si>
  <si>
    <t xml:space="preserve">137</t>
  </si>
  <si>
    <t xml:space="preserve">place</t>
  </si>
  <si>
    <t xml:space="preserve">I placed my hand upon the glowing muzzle , and as I held them up my own fingers smouldered and gleamed in the darkness .</t>
  </si>
  <si>
    <t xml:space="preserve">file://conllu/en/doyle_bask.14.conllu#s137_0</t>
  </si>
  <si>
    <t xml:space="preserve">138</t>
  </si>
  <si>
    <t xml:space="preserve">&amp;quot; Phosphorus , &amp;quot; I said .</t>
  </si>
  <si>
    <t xml:space="preserve">file://conllu/en/doyle_bask.14.conllu#s138_0</t>
  </si>
  <si>
    <t xml:space="preserve">139</t>
  </si>
  <si>
    <t xml:space="preserve">&amp;quot; A cunning preparation of it , &amp;quot; said Holmes , sniffing at the dead animal .</t>
  </si>
  <si>
    <t xml:space="preserve">file://conllu/en/doyle_bask.14.conllu#s139_0</t>
  </si>
  <si>
    <t xml:space="preserve">140</t>
  </si>
  <si>
    <t xml:space="preserve">&amp;quot; There is no smell which might have interfered with his power of scent .</t>
  </si>
  <si>
    <t xml:space="preserve">file://conllu/en/doyle_bask.14.conllu#s140_0</t>
  </si>
  <si>
    <t xml:space="preserve">141</t>
  </si>
  <si>
    <t xml:space="preserve">for?</t>
  </si>
  <si>
    <t xml:space="preserve">owe</t>
  </si>
  <si>
    <t xml:space="preserve">We owe you a deep apology , Sir Henry , for having exposed you to this fright .</t>
  </si>
  <si>
    <t xml:space="preserve">file://conllu/en/doyle_bask.14.conllu#s141_0</t>
  </si>
  <si>
    <t xml:space="preserve">142</t>
  </si>
  <si>
    <t xml:space="preserve">prepare</t>
  </si>
  <si>
    <t xml:space="preserve">I was prepared for a hound , but not for such a creature as this .</t>
  </si>
  <si>
    <t xml:space="preserve">file://conllu/en/doyle_bask.14.conllu#s142_0</t>
  </si>
  <si>
    <t xml:space="preserve">143</t>
  </si>
  <si>
    <t xml:space="preserve">And the fog gave us little time to receive him . &amp;quot;</t>
  </si>
  <si>
    <t xml:space="preserve">file://conllu/en/doyle_bask.14.conllu#s143_0</t>
  </si>
  <si>
    <t xml:space="preserve">144</t>
  </si>
  <si>
    <t xml:space="preserve">save</t>
  </si>
  <si>
    <t xml:space="preserve">&amp;quot; You have saved my life . &amp;quot;</t>
  </si>
  <si>
    <t xml:space="preserve">file://conllu/en/doyle_bask.14.conllu#s144_0</t>
  </si>
  <si>
    <t xml:space="preserve">145</t>
  </si>
  <si>
    <t xml:space="preserve">have</t>
  </si>
  <si>
    <t xml:space="preserve">&amp;quot; Having first endangered it .</t>
  </si>
  <si>
    <t xml:space="preserve">file://conllu/en/doyle_bask.14.conllu#s145_0</t>
  </si>
  <si>
    <t xml:space="preserve">146</t>
  </si>
  <si>
    <t xml:space="preserve">be (be enough)</t>
  </si>
  <si>
    <t xml:space="preserve">Are you strong enough to stand ? &amp;quot;</t>
  </si>
  <si>
    <t xml:space="preserve">file://conllu/en/doyle_bask.14.conllu#s146_0</t>
  </si>
  <si>
    <t xml:space="preserve">147</t>
  </si>
  <si>
    <t xml:space="preserve">&amp;quot; Give me another mouthful of that brandy and I shall be ready for anything .</t>
  </si>
  <si>
    <t xml:space="preserve">file://conllu/en/doyle_bask.14.conllu#s147_0</t>
  </si>
  <si>
    <t xml:space="preserve">148</t>
  </si>
  <si>
    <t xml:space="preserve">so</t>
  </si>
  <si>
    <t xml:space="preserve">So !</t>
  </si>
  <si>
    <t xml:space="preserve">file://conllu/en/doyle_bask.14.conllu#s148_0</t>
  </si>
  <si>
    <t xml:space="preserve">149</t>
  </si>
  <si>
    <t xml:space="preserve">help</t>
  </si>
  <si>
    <t xml:space="preserve">Now , if you will help me up .</t>
  </si>
  <si>
    <t xml:space="preserve">file://conllu/en/doyle_bask.14.conllu#s149_0</t>
  </si>
  <si>
    <t xml:space="preserve">150</t>
  </si>
  <si>
    <t xml:space="preserve">propose</t>
  </si>
  <si>
    <t xml:space="preserve">What do you propose to do ? &amp;quot;</t>
  </si>
  <si>
    <t xml:space="preserve">file://conllu/en/doyle_bask.14.conllu#s150_0</t>
  </si>
  <si>
    <t xml:space="preserve">151</t>
  </si>
  <si>
    <t xml:space="preserve">&amp;quot; To leave you here .</t>
  </si>
  <si>
    <t xml:space="preserve">file://conllu/en/doyle_bask.14.conllu#s151_0</t>
  </si>
  <si>
    <t xml:space="preserve">152</t>
  </si>
  <si>
    <t xml:space="preserve">further?</t>
  </si>
  <si>
    <t xml:space="preserve">fit</t>
  </si>
  <si>
    <t xml:space="preserve">You are not fit for further adventures to night .</t>
  </si>
  <si>
    <t xml:space="preserve">file://conllu/en/doyle_bask.14.conllu#s152_0</t>
  </si>
  <si>
    <t xml:space="preserve">153</t>
  </si>
  <si>
    <t xml:space="preserve">&amp;quot;</t>
  </si>
  <si>
    <t xml:space="preserve">If you will wait , one or other of us will go back with you to the Hall . &amp;quot;</t>
  </si>
  <si>
    <t xml:space="preserve">file://conllu/en/doyle_bask.14.conllu#s153_0</t>
  </si>
  <si>
    <t xml:space="preserve">154</t>
  </si>
  <si>
    <t xml:space="preserve">still?</t>
  </si>
  <si>
    <t xml:space="preserve">He tried to stagger to his feet ; but he was still ghastly pale and trembling in every limb .</t>
  </si>
  <si>
    <t xml:space="preserve">file://conllu/en/doyle_bask.14.conllu#s154_0</t>
  </si>
  <si>
    <t xml:space="preserve">155</t>
  </si>
  <si>
    <t xml:space="preserve">We helped him to a rock , where he sat shivering with his face buried in his hands .</t>
  </si>
  <si>
    <t xml:space="preserve">file://conllu/en/doyle_bask.14.conllu#s155_0</t>
  </si>
  <si>
    <t xml:space="preserve">156</t>
  </si>
  <si>
    <t xml:space="preserve">&amp;quot; We must leave you now , &amp;quot; said Holmes .</t>
  </si>
  <si>
    <t xml:space="preserve">file://conllu/en/doyle_bask.14.conllu#s156_0</t>
  </si>
  <si>
    <t xml:space="preserve">157</t>
  </si>
  <si>
    <t xml:space="preserve">do</t>
  </si>
  <si>
    <t xml:space="preserve">&amp;quot; The rest of our work must be done , and every moment is of importance .</t>
  </si>
  <si>
    <t xml:space="preserve">file://conllu/en/doyle_bask.14.conllu#s157_0</t>
  </si>
  <si>
    <t xml:space="preserve">158</t>
  </si>
  <si>
    <t xml:space="preserve">We have our case , and now we only want our man .</t>
  </si>
  <si>
    <t xml:space="preserve">file://conllu/en/doyle_bask.14.conllu#s158_0</t>
  </si>
  <si>
    <t xml:space="preserve">159</t>
  </si>
  <si>
    <t xml:space="preserve">be (be thousand)</t>
  </si>
  <si>
    <t xml:space="preserve">&amp;quot; It 's a thousand to one against our finding him at the house , &amp;quot; he continued as we retraced our steps swiftly down the path .</t>
  </si>
  <si>
    <t xml:space="preserve">file://conllu/en/doyle_bask.14.conllu#s159_0</t>
  </si>
  <si>
    <t xml:space="preserve">160</t>
  </si>
  <si>
    <t xml:space="preserve">&amp;quot; Those shots must have told him that the game was up . &amp;quot;</t>
  </si>
  <si>
    <t xml:space="preserve">file://conllu/en/doyle_bask.14.conllu#s160_0</t>
  </si>
  <si>
    <t xml:space="preserve">161</t>
  </si>
  <si>
    <t xml:space="preserve">be (be off)</t>
  </si>
  <si>
    <t xml:space="preserve">&amp;quot; We were some distance off , and this fog may have deadened them . &amp;quot;</t>
  </si>
  <si>
    <t xml:space="preserve">file://conllu/en/doyle_bask.14.conllu#s161_0</t>
  </si>
  <si>
    <t xml:space="preserve">162</t>
  </si>
  <si>
    <t xml:space="preserve">follow</t>
  </si>
  <si>
    <t xml:space="preserve">&amp;quot; He followed the hound to call him off —of that you may be certain .</t>
  </si>
  <si>
    <t xml:space="preserve">file://conllu/en/doyle_bask.14.conllu#s162_0</t>
  </si>
  <si>
    <t xml:space="preserve">163</t>
  </si>
  <si>
    <t xml:space="preserve">go</t>
  </si>
  <si>
    <t xml:space="preserve">No , no , he 's gone by this time !</t>
  </si>
  <si>
    <t xml:space="preserve">file://conllu/en/doyle_bask.14.conllu#s163_0</t>
  </si>
  <si>
    <t xml:space="preserve">164</t>
  </si>
  <si>
    <t xml:space="preserve">search</t>
  </si>
  <si>
    <t xml:space="preserve">But we 'll search the house and make sure . &amp;quot;</t>
  </si>
  <si>
    <t xml:space="preserve">file://conllu/en/doyle_bask.14.conllu#s164_0</t>
  </si>
  <si>
    <t xml:space="preserve">165</t>
  </si>
  <si>
    <t xml:space="preserve">be (be open)</t>
  </si>
  <si>
    <t xml:space="preserve">The front door was open , so we rushed in and hurried from room to room to the amazement of a doddering old manservant , who met us in the passage .</t>
  </si>
  <si>
    <t xml:space="preserve">file://conllu/en/doyle_bask.14.conllu#s165_0</t>
  </si>
  <si>
    <t xml:space="preserve">166</t>
  </si>
  <si>
    <t xml:space="preserve">There was no light save in the dining room , but Holmes caught up the lamp and left no corner of the house unexplored .</t>
  </si>
  <si>
    <t xml:space="preserve">file://conllu/en/doyle_bask.14.conllu#s166_0</t>
  </si>
  <si>
    <t xml:space="preserve">167</t>
  </si>
  <si>
    <t xml:space="preserve">No sign could we see of the man whom we were chasing .</t>
  </si>
  <si>
    <t xml:space="preserve">file://conllu/en/doyle_bask.14.conllu#s167_0</t>
  </si>
  <si>
    <t xml:space="preserve">168</t>
  </si>
  <si>
    <t xml:space="preserve">lock</t>
  </si>
  <si>
    <t xml:space="preserve">On the upper floor , however , one of the bedroom doors was locked .</t>
  </si>
  <si>
    <t xml:space="preserve">file://conllu/en/doyle_bask.14.conllu#s168_0</t>
  </si>
  <si>
    <t xml:space="preserve">169</t>
  </si>
  <si>
    <t xml:space="preserve">&amp;quot; There 's someone in here , &amp;quot; cried Lestrade .</t>
  </si>
  <si>
    <t xml:space="preserve">file://conllu/en/doyle_bask.14.conllu#s169_0</t>
  </si>
  <si>
    <t xml:space="preserve">170</t>
  </si>
  <si>
    <t xml:space="preserve">&amp;quot; I can hear a movement .</t>
  </si>
  <si>
    <t xml:space="preserve">file://conllu/en/doyle_bask.14.conllu#s170_0</t>
  </si>
  <si>
    <t xml:space="preserve">171</t>
  </si>
  <si>
    <t xml:space="preserve">open</t>
  </si>
  <si>
    <t xml:space="preserve">Open this door ! &amp;quot;</t>
  </si>
  <si>
    <t xml:space="preserve">file://conllu/en/doyle_bask.14.conllu#s171_0</t>
  </si>
  <si>
    <t xml:space="preserve">172</t>
  </si>
  <si>
    <t xml:space="preserve">moan</t>
  </si>
  <si>
    <t xml:space="preserve">A fai nt moaning and rustling came from within .</t>
  </si>
  <si>
    <t xml:space="preserve">file://conllu/en/doyle_bask.14.conllu#s172_0</t>
  </si>
  <si>
    <t xml:space="preserve">173</t>
  </si>
  <si>
    <t xml:space="preserve">Holmes struck the door just over the lock with the flat of his foot and it flew open .</t>
  </si>
  <si>
    <t xml:space="preserve">file://conllu/en/doyle_bask.14.conllu#s173_0</t>
  </si>
  <si>
    <t xml:space="preserve">174</t>
  </si>
  <si>
    <t xml:space="preserve">Pistol</t>
  </si>
  <si>
    <t xml:space="preserve">Pistol in hand , we all three rushed into the room .</t>
  </si>
  <si>
    <t xml:space="preserve">file://conllu/en/doyle_bask.14.conllu#s174_0</t>
  </si>
  <si>
    <t xml:space="preserve">175</t>
  </si>
  <si>
    <t xml:space="preserve">But there was no sign within it of that desperate and defiant villain whom we expected to see .</t>
  </si>
  <si>
    <t xml:space="preserve">file://conllu/en/doyle_bask.14.conllu#s175_0</t>
  </si>
  <si>
    <t xml:space="preserve">176</t>
  </si>
  <si>
    <t xml:space="preserve">instead?</t>
  </si>
  <si>
    <t xml:space="preserve">face</t>
  </si>
  <si>
    <t xml:space="preserve">Instead we were faced by an object so strange and so unexpected that we stood for a moment staring at it in amazement .</t>
  </si>
  <si>
    <t xml:space="preserve">file://conllu/en/doyle_bask.14.conllu#s176_0</t>
  </si>
  <si>
    <t xml:space="preserve">177</t>
  </si>
  <si>
    <t xml:space="preserve">fashio</t>
  </si>
  <si>
    <t xml:space="preserve">The room had been fashioned into a small museum , and the walls were lined by a number of glass topped cases full of that collection of butterflies and moths the formation of which had been the relaxation of this complex and dangerous man .</t>
  </si>
  <si>
    <t xml:space="preserve">file://conllu/en/doyle_bask.14.conllu#s177_0</t>
  </si>
  <si>
    <t xml:space="preserve">178</t>
  </si>
  <si>
    <t xml:space="preserve">In the centre of this room there was an upright beam , which had been placed at some period as a support for the old worm -eaten baulk of timber which spanned the roof .</t>
  </si>
  <si>
    <t xml:space="preserve">file://conllu/en/doyle_bask.14.conllu#s178_0</t>
  </si>
  <si>
    <t xml:space="preserve">179</t>
  </si>
  <si>
    <t xml:space="preserve">tie</t>
  </si>
  <si>
    <t xml:space="preserve">To this post a figure was tied , so swathed and muffled in the sheets which had been used to secure it that one could not for the moment tell whether it was that of a man or a woman .</t>
  </si>
  <si>
    <t xml:space="preserve">file://conllu/en/doyle_bask.14.conllu#s179_0</t>
  </si>
  <si>
    <t xml:space="preserve">180</t>
  </si>
  <si>
    <t xml:space="preserve">towel</t>
  </si>
  <si>
    <t xml:space="preserve">One towel passed round the throat and was secured at the back of the pillar .</t>
  </si>
  <si>
    <t xml:space="preserve">file://conllu/en/doyle_bask.14.conllu#s180_0</t>
  </si>
  <si>
    <t xml:space="preserve">181</t>
  </si>
  <si>
    <t xml:space="preserve">Another covered the lower part of the face , and over it two dark eyes —eyes full of grief and shame and a dreadful questioning —stared back at us .</t>
  </si>
  <si>
    <t xml:space="preserve">file://conllu/en/doyle_bask.14.conllu#s181_0</t>
  </si>
  <si>
    <t xml:space="preserve">182</t>
  </si>
  <si>
    <t xml:space="preserve">tear</t>
  </si>
  <si>
    <t xml:space="preserve">In a minute we had torn off the gag , unswathed the bonds , and Mrs.</t>
  </si>
  <si>
    <t xml:space="preserve">file://conllu/en/doyle_bask.14.conllu#s182_0</t>
  </si>
  <si>
    <t xml:space="preserve">183</t>
  </si>
  <si>
    <t xml:space="preserve">sank</t>
  </si>
  <si>
    <t xml:space="preserve">Stapleton sank upon the floor in front of us .</t>
  </si>
  <si>
    <t xml:space="preserve">file://conllu/en/doyle_bask.14.conllu#s183_0</t>
  </si>
  <si>
    <t xml:space="preserve">184</t>
  </si>
  <si>
    <t xml:space="preserve">fall</t>
  </si>
  <si>
    <t xml:space="preserve">As her beautiful head fell upon her chest I saw the clear red weal of a whiplash across her neck .</t>
  </si>
  <si>
    <t xml:space="preserve">file://conllu/en/doyle_bask.14.conllu#s184_0</t>
  </si>
  <si>
    <t xml:space="preserve">185</t>
  </si>
  <si>
    <t xml:space="preserve">cry</t>
  </si>
  <si>
    <t xml:space="preserve">&amp;quot; The brute ! &amp;quot; cried Holmes .</t>
  </si>
  <si>
    <t xml:space="preserve">file://conllu/en/doyle_bask.14.conllu#s185_0</t>
  </si>
  <si>
    <t xml:space="preserve">186</t>
  </si>
  <si>
    <t xml:space="preserve">here</t>
  </si>
  <si>
    <t xml:space="preserve">&amp;quot; Here , Lestrade , your brandy bottle !</t>
  </si>
  <si>
    <t xml:space="preserve">file://conllu/en/doyle_bask.14.conllu#s186_0</t>
  </si>
  <si>
    <t xml:space="preserve">187</t>
  </si>
  <si>
    <t xml:space="preserve">put</t>
  </si>
  <si>
    <t xml:space="preserve">Put her in the chair !</t>
  </si>
  <si>
    <t xml:space="preserve">file://conllu/en/doyle_bask.14.conllu#s187_0</t>
  </si>
  <si>
    <t xml:space="preserve">188</t>
  </si>
  <si>
    <t xml:space="preserve">faint</t>
  </si>
  <si>
    <t xml:space="preserve">She has fainted from ill usage and exhaustion . &amp;quot;</t>
  </si>
  <si>
    <t xml:space="preserve">file://conllu/en/doyle_bask.14.conllu#s188_0</t>
  </si>
  <si>
    <t xml:space="preserve">189</t>
  </si>
  <si>
    <t xml:space="preserve">She opened her eyes again .</t>
  </si>
  <si>
    <t xml:space="preserve">file://conllu/en/doyle_bask.14.conllu#s189_0</t>
  </si>
  <si>
    <t xml:space="preserve">190</t>
  </si>
  <si>
    <t xml:space="preserve">&amp;quot; Is he safe ? &amp;quot; she asked .</t>
  </si>
  <si>
    <t xml:space="preserve">file://conllu/en/doyle_bask.14.conllu#s190_0</t>
  </si>
  <si>
    <t xml:space="preserve">191</t>
  </si>
  <si>
    <t xml:space="preserve">escape</t>
  </si>
  <si>
    <t xml:space="preserve">&amp;quot; Has he escaped ? &amp;quot;</t>
  </si>
  <si>
    <t xml:space="preserve">file://conllu/en/doyle_bask.14.conllu#s191_0</t>
  </si>
  <si>
    <t xml:space="preserve">192</t>
  </si>
  <si>
    <t xml:space="preserve">&amp;quot; He can not escape us , madam . &amp;quot;</t>
  </si>
  <si>
    <t xml:space="preserve">file://conllu/en/doyle_bask.14.conllu#s192_0</t>
  </si>
  <si>
    <t xml:space="preserve">193</t>
  </si>
  <si>
    <t xml:space="preserve">mean</t>
  </si>
  <si>
    <t xml:space="preserve">&amp;quot; No , no , I did not mean my husband .</t>
  </si>
  <si>
    <t xml:space="preserve">file://conllu/en/doyle_bask.14.conllu#s193_0</t>
  </si>
  <si>
    <t xml:space="preserve">194</t>
  </si>
  <si>
    <t xml:space="preserve">Sir Henry ?</t>
  </si>
  <si>
    <t xml:space="preserve">file://conllu/en/doyle_bask.14.conllu#s194_0</t>
  </si>
  <si>
    <t xml:space="preserve">195</t>
  </si>
  <si>
    <t xml:space="preserve">be (be safe)</t>
  </si>
  <si>
    <t xml:space="preserve">Is he safe ? &amp;quot;</t>
  </si>
  <si>
    <t xml:space="preserve">file://conllu/en/doyle_bask.14.conllu#s195_0</t>
  </si>
  <si>
    <t xml:space="preserve">196</t>
  </si>
  <si>
    <t xml:space="preserve">yes</t>
  </si>
  <si>
    <t xml:space="preserve">&amp;quot; Yes . &amp;quot;</t>
  </si>
  <si>
    <t xml:space="preserve">file://conllu/en/doyle_bask.14.conllu#s196_0</t>
  </si>
  <si>
    <t xml:space="preserve">197</t>
  </si>
  <si>
    <t xml:space="preserve">hound</t>
  </si>
  <si>
    <t xml:space="preserve">&amp;quot; And the hound ? &amp;quot;</t>
  </si>
  <si>
    <t xml:space="preserve">file://conllu/en/doyle_bask.14.conllu#s197_0</t>
  </si>
  <si>
    <t xml:space="preserve">198</t>
  </si>
  <si>
    <t xml:space="preserve">&amp;quot; It is dead . &amp;quot;</t>
  </si>
  <si>
    <t xml:space="preserve">file://conllu/en/doyle_bask.14.conllu#s198_0</t>
  </si>
  <si>
    <t xml:space="preserve">199</t>
  </si>
  <si>
    <t xml:space="preserve">She gave a long sigh of satisfaction .</t>
  </si>
  <si>
    <t xml:space="preserve">file://conllu/en/doyle_bask.14.conllu#s199_0</t>
  </si>
  <si>
    <t xml:space="preserve">200</t>
  </si>
  <si>
    <t xml:space="preserve">&amp;quot; Thank God !</t>
  </si>
  <si>
    <t xml:space="preserve">file://conllu/en/doyle_bask.14.conllu#s200_0</t>
  </si>
  <si>
    <t xml:space="preserve">201</t>
  </si>
  <si>
    <t xml:space="preserve">Thank God !</t>
  </si>
  <si>
    <t xml:space="preserve">file://conllu/en/doyle_bask.14.conllu#s201_0</t>
  </si>
  <si>
    <t xml:space="preserve">202</t>
  </si>
  <si>
    <t xml:space="preserve">villain</t>
  </si>
  <si>
    <t xml:space="preserve">Oh , this villain !</t>
  </si>
  <si>
    <t xml:space="preserve">file://conllu/en/doyle_bask.14.conllu#s202_0</t>
  </si>
  <si>
    <t xml:space="preserve">203</t>
  </si>
  <si>
    <t xml:space="preserve">See how he has treated me ! &amp;quot;</t>
  </si>
  <si>
    <t xml:space="preserve">file://conllu/en/doyle_bask.14.conllu#s203_0</t>
  </si>
  <si>
    <t xml:space="preserve">204</t>
  </si>
  <si>
    <t xml:space="preserve">shot</t>
  </si>
  <si>
    <t xml:space="preserve">She shot her arms out from her sleeves , and we saw with horror that they were all mottled with bruises .</t>
  </si>
  <si>
    <t xml:space="preserve">file://conllu/en/doyle_bask.14.conllu#s204_0</t>
  </si>
  <si>
    <t xml:space="preserve">205</t>
  </si>
  <si>
    <t xml:space="preserve">be (be nothing)</t>
  </si>
  <si>
    <t xml:space="preserve">&amp;quot; But this is nothing —nothing !</t>
  </si>
  <si>
    <t xml:space="preserve">file://conllu/en/doyle_bask.14.conllu#s205_0</t>
  </si>
  <si>
    <t xml:space="preserve">206</t>
  </si>
  <si>
    <t xml:space="preserve">be (be mind)</t>
  </si>
  <si>
    <t xml:space="preserve">It is my mind and soul that he has tortured and defiled .</t>
  </si>
  <si>
    <t xml:space="preserve">file://conllu/en/doyle_bask.14.conllu#s206_0</t>
  </si>
  <si>
    <t xml:space="preserve">207</t>
  </si>
  <si>
    <t xml:space="preserve">endure</t>
  </si>
  <si>
    <t xml:space="preserve">I could endure it all , ill usage , solitude , a life of deception , everything , as long as I could still cling to the hope that I had his love , but now I know that in this also I have been his dupe and his tool . &amp;quot;</t>
  </si>
  <si>
    <t xml:space="preserve">file://conllu/en/doyle_bask.14.conllu#s207_0</t>
  </si>
  <si>
    <t xml:space="preserve">208</t>
  </si>
  <si>
    <t xml:space="preserve">She broke into passionate sobbing as she spoke .</t>
  </si>
  <si>
    <t xml:space="preserve">file://conllu/en/doyle_bask.14.conllu#s208_0</t>
  </si>
  <si>
    <t xml:space="preserve">209</t>
  </si>
  <si>
    <t xml:space="preserve">&amp;quot; You bear him no good will , madam , &amp;quot; said Holmes .</t>
  </si>
  <si>
    <t xml:space="preserve">file://conllu/en/doyle_bask.14.conllu#s209_0</t>
  </si>
  <si>
    <t xml:space="preserve">210</t>
  </si>
  <si>
    <t xml:space="preserve">find (find tell)</t>
  </si>
  <si>
    <t xml:space="preserve">&amp;quot; Tell us then where we shall find him .</t>
  </si>
  <si>
    <t xml:space="preserve">file://conllu/en/doyle_bask.14.conllu#s210_0</t>
  </si>
  <si>
    <t xml:space="preserve">211</t>
  </si>
  <si>
    <t xml:space="preserve">If you have ever aided him in evil , help us now and so atone . &amp;quot;</t>
  </si>
  <si>
    <t xml:space="preserve">file://conllu/en/doyle_bask.14.conllu#s211_0</t>
  </si>
  <si>
    <t xml:space="preserve">212</t>
  </si>
  <si>
    <t xml:space="preserve">&amp;quot; There is but one place where he can have fled , &amp;quot; she answered .</t>
  </si>
  <si>
    <t xml:space="preserve">file://conllu/en/doyle_bask.14.conllu#s212_0</t>
  </si>
  <si>
    <t xml:space="preserve">213</t>
  </si>
  <si>
    <t xml:space="preserve">&amp;quot; There is an old tin mine on an island in the heart of the mire .</t>
  </si>
  <si>
    <t xml:space="preserve">file://conllu/en/doyle_bask.14.conllu#s213_0</t>
  </si>
  <si>
    <t xml:space="preserve">214</t>
  </si>
  <si>
    <t xml:space="preserve">be (be there)</t>
  </si>
  <si>
    <t xml:space="preserve">It was there that he kept his hound and there also he had made preparations so that he might have a refuge .</t>
  </si>
  <si>
    <t xml:space="preserve">file://conllu/en/doyle_bask.14.conllu#s214_0</t>
  </si>
  <si>
    <t xml:space="preserve">215</t>
  </si>
  <si>
    <t xml:space="preserve">be (be where)</t>
  </si>
  <si>
    <t xml:space="preserve">That is where he would fly . &amp;quot;</t>
  </si>
  <si>
    <t xml:space="preserve">file://conllu/en/doyle_bask.14.conllu#s215_0</t>
  </si>
  <si>
    <t xml:space="preserve">216</t>
  </si>
  <si>
    <t xml:space="preserve">The fog bank lay like white wool against the window .</t>
  </si>
  <si>
    <t xml:space="preserve">file://conllu/en/doyle_bask.14.conllu#s216_0</t>
  </si>
  <si>
    <t xml:space="preserve">217</t>
  </si>
  <si>
    <t xml:space="preserve">Holmes held the lamp towards it .</t>
  </si>
  <si>
    <t xml:space="preserve">file://conllu/en/doyle_bask.14.conllu#s217_0</t>
  </si>
  <si>
    <t xml:space="preserve">218</t>
  </si>
  <si>
    <t xml:space="preserve">see (see say)</t>
  </si>
  <si>
    <t xml:space="preserve">&amp;quot; See , &amp;quot; said he .</t>
  </si>
  <si>
    <t xml:space="preserve">file://conllu/en/doyle_bask.14.conllu#s218_0</t>
  </si>
  <si>
    <t xml:space="preserve">219</t>
  </si>
  <si>
    <t xml:space="preserve">find</t>
  </si>
  <si>
    <t xml:space="preserve">&amp;quot; No one could find his way into the Grimpen Mire to night . &amp;quot;</t>
  </si>
  <si>
    <t xml:space="preserve">file://conllu/en/doyle_bask.14.conllu#s219_0</t>
  </si>
  <si>
    <t xml:space="preserve">220</t>
  </si>
  <si>
    <t xml:space="preserve">laugh</t>
  </si>
  <si>
    <t xml:space="preserve">She laughed and clapped her hands .</t>
  </si>
  <si>
    <t xml:space="preserve">file://conllu/en/doyle_bask.14.conllu#s220_0</t>
  </si>
  <si>
    <t xml:space="preserve">221</t>
  </si>
  <si>
    <t xml:space="preserve">eye</t>
  </si>
  <si>
    <t xml:space="preserve">Her eyes and teeth gleamed with fierce merriment .</t>
  </si>
  <si>
    <t xml:space="preserve">file://conllu/en/doyle_bask.14.conllu#s221_0</t>
  </si>
  <si>
    <t xml:space="preserve">222</t>
  </si>
  <si>
    <t xml:space="preserve">out (out find)</t>
  </si>
  <si>
    <t xml:space="preserve">&amp;quot; He may find his way in , but never out , &amp;quot; she cried .</t>
  </si>
  <si>
    <t xml:space="preserve">file://conllu/en/doyle_bask.14.conllu#s222_0</t>
  </si>
  <si>
    <t xml:space="preserve">223</t>
  </si>
  <si>
    <t xml:space="preserve">&amp;quot; How can he see the guiding wands to night ?</t>
  </si>
  <si>
    <t xml:space="preserve">file://conllu/en/doyle_bask.14.conllu#s223_0</t>
  </si>
  <si>
    <t xml:space="preserve">224</t>
  </si>
  <si>
    <t xml:space="preserve">plan</t>
  </si>
  <si>
    <t xml:space="preserve">We planted them together , he and I , to mark the pathway through the mire .</t>
  </si>
  <si>
    <t xml:space="preserve">file://conllu/en/doyle_bask.14.conllu#s224_0</t>
  </si>
  <si>
    <t xml:space="preserve">225</t>
  </si>
  <si>
    <t xml:space="preserve">pluck</t>
  </si>
  <si>
    <t xml:space="preserve">Oh , if I could only have plucked them out to day .</t>
  </si>
  <si>
    <t xml:space="preserve">file://conllu/en/doyle_bask.14.conllu#s225_0</t>
  </si>
  <si>
    <t xml:space="preserve">226</t>
  </si>
  <si>
    <t xml:space="preserve">Then indeed you would have had him at your mercy ! &amp;quot;</t>
  </si>
  <si>
    <t xml:space="preserve">file://conllu/en/doyle_bask.14.conllu#s226_0</t>
  </si>
  <si>
    <t xml:space="preserve">227</t>
  </si>
  <si>
    <t xml:space="preserve">be (be evident)</t>
  </si>
  <si>
    <t xml:space="preserve">It was evident to us that all pursuit was in vain until the fog had lifted .</t>
  </si>
  <si>
    <t xml:space="preserve">file://conllu/en/doyle_bask.14.conllu#s227_0</t>
  </si>
  <si>
    <t xml:space="preserve">228</t>
  </si>
  <si>
    <t xml:space="preserve">meanwhile?</t>
  </si>
  <si>
    <t xml:space="preserve">Meanwhile we left Lestrade in possession of the house while Holmes and I went back with the baronet to Baskerville Hall .</t>
  </si>
  <si>
    <t xml:space="preserve">file://conllu/en/doyle_bask.14.conllu#s228_0</t>
  </si>
  <si>
    <t xml:space="preserve">229</t>
  </si>
  <si>
    <t xml:space="preserve">withheld</t>
  </si>
  <si>
    <t xml:space="preserve">The story of the Stapletons could no longer be withheld from him , but he took the blow bravely when he learned the truth about the woman whom he had loved .</t>
  </si>
  <si>
    <t xml:space="preserve">file://conllu/en/doyle_bask.14.conllu#s229_0</t>
  </si>
  <si>
    <t xml:space="preserve">230</t>
  </si>
  <si>
    <t xml:space="preserve">shatte</t>
  </si>
  <si>
    <t xml:space="preserve">But the shock of the night 's adventures had shattered his nerves , and before morning he lay delirious in a high fever , under the care of Dr. Mortimer .</t>
  </si>
  <si>
    <t xml:space="preserve">file://conllu/en/doyle_bask.14.conllu#s230_0</t>
  </si>
  <si>
    <t xml:space="preserve">231</t>
  </si>
  <si>
    <t xml:space="preserve">destin</t>
  </si>
  <si>
    <t xml:space="preserve">The two of them were destined to travel together round the world before Sir Henry had become once more the hale , hearty man that he had been before he became master of that ill omened estate .</t>
  </si>
  <si>
    <t xml:space="preserve">file://conllu/en/doyle_bask.14.conllu#s231_0</t>
  </si>
  <si>
    <t xml:space="preserve">232</t>
  </si>
  <si>
    <t xml:space="preserve">And now I come rapidly to the conclusion of this singular narrative , in which I have tried to make the reader share those dark fears and vague surmises which clouded our lives so long and ended in so tragic a manner .</t>
  </si>
  <si>
    <t xml:space="preserve">file://conllu/en/doyle_bask.14.conllu#s232_0</t>
  </si>
  <si>
    <t xml:space="preserve">233</t>
  </si>
  <si>
    <t xml:space="preserve">lifte</t>
  </si>
  <si>
    <t xml:space="preserve">On the morning after the death of the hound the fog had lifted and we were guided by Mrs. Stapleton to the point where they had found a pathway through the bog .</t>
  </si>
  <si>
    <t xml:space="preserve">file://conllu/en/doyle_bask.14.conllu#s233_0</t>
  </si>
  <si>
    <t xml:space="preserve">234</t>
  </si>
  <si>
    <t xml:space="preserve">see (see realize help)</t>
  </si>
  <si>
    <t xml:space="preserve">It helped us to realize the horror of this woman 's life when we saw the eagerness and joy with which she laid us on her husband 's track .</t>
  </si>
  <si>
    <t xml:space="preserve">file://conllu/en/doyle_bask.14.conllu#s234_0</t>
  </si>
  <si>
    <t xml:space="preserve">235</t>
  </si>
  <si>
    <t xml:space="preserve">We left her standing upon the thin peninsula of firm , peaty soil which tapered out into the widespread bog .</t>
  </si>
  <si>
    <t xml:space="preserve">file://conllu/en/doyle_bask.14.conllu#s235_0</t>
  </si>
  <si>
    <t xml:space="preserve">236</t>
  </si>
  <si>
    <t xml:space="preserve">wand</t>
  </si>
  <si>
    <t xml:space="preserve">From the end of it a small wand planted here and there showed where the path zigzagged from tuft to tuft of rushes among those green scummed pits and foul quagmires which barred the way to the stranger .</t>
  </si>
  <si>
    <t xml:space="preserve">file://conllu/en/doyle_bask.14.conllu#s236_0</t>
  </si>
  <si>
    <t xml:space="preserve">237</t>
  </si>
  <si>
    <t xml:space="preserve">rank</t>
  </si>
  <si>
    <t xml:space="preserve">Rank reeds and lush , slimy water plants sent an odour of decay and a heavy miasmatic vapour onto our faces , while a false step plunged us more than once thigh deep into the dark , quivering mire , which shook for yards in soft undulations around our feet .</t>
  </si>
  <si>
    <t xml:space="preserve">file://conllu/en/doyle_bask.14.conllu#s237_0</t>
  </si>
  <si>
    <t xml:space="preserve">238</t>
  </si>
  <si>
    <t xml:space="preserve">be (be grip)</t>
  </si>
  <si>
    <t xml:space="preserve">It s tenacious grip plucked at our heels as we walked , and when we sank into it it was as if some malignant hand was tugging us down into those obscene depths , so grim and purposeful was the clutch in which it held us .</t>
  </si>
  <si>
    <t xml:space="preserve">file://conllu/en/doyle_bask.14.conllu#s238_0</t>
  </si>
  <si>
    <t xml:space="preserve">239</t>
  </si>
  <si>
    <t xml:space="preserve">Once only we saw a trace that someone had passed that perilous way before us .</t>
  </si>
  <si>
    <t xml:space="preserve">file://conllu/en/doyle_bask.14.conllu#s239_0</t>
  </si>
  <si>
    <t xml:space="preserve">240</t>
  </si>
  <si>
    <t xml:space="preserve">.</t>
  </si>
  <si>
    <t xml:space="preserve">From amid a tuft of cotton grass which bore it up out of the slime some dark thing was projecting .</t>
  </si>
  <si>
    <t xml:space="preserve">file://conllu/en/doyle_bask.14.conllu#s240_0</t>
  </si>
  <si>
    <t xml:space="preserve">241</t>
  </si>
  <si>
    <t xml:space="preserve">Holmes sank to his waist as he stepped from the path to seize it , and had we not been there to drag him out he could never have set his foot upon firm land again .</t>
  </si>
  <si>
    <t xml:space="preserve">file://conllu/en/doyle_bask.14.conllu#s241_0</t>
  </si>
  <si>
    <t xml:space="preserve">242</t>
  </si>
  <si>
    <t xml:space="preserve">He held an old black boot in the air .</t>
  </si>
  <si>
    <t xml:space="preserve">file://conllu/en/doyle_bask.14.conllu#s242_0</t>
  </si>
  <si>
    <t xml:space="preserve">243</t>
  </si>
  <si>
    <t xml:space="preserve">print</t>
  </si>
  <si>
    <t xml:space="preserve">&amp;quot; Meyers , Toronto , &amp;quot; was printed on the leather inside .</t>
  </si>
  <si>
    <t xml:space="preserve">file://conllu/en/doyle_bask.14.conllu#s243_0</t>
  </si>
  <si>
    <t xml:space="preserve">244</t>
  </si>
  <si>
    <t xml:space="preserve">&amp;quot; It is worth a mud bath , &amp;quot; said he .</t>
  </si>
  <si>
    <t xml:space="preserve">file://conllu/en/doyle_bask.14.conllu#s244_0</t>
  </si>
  <si>
    <t xml:space="preserve">245</t>
  </si>
  <si>
    <t xml:space="preserve">&amp;quot; It is our friend Sir Henry 's missing boot . &amp;quot;</t>
  </si>
  <si>
    <t xml:space="preserve">file://conllu/en/doyle_bask.14.conllu#s245_0</t>
  </si>
  <si>
    <t xml:space="preserve">246</t>
  </si>
  <si>
    <t xml:space="preserve">throw</t>
  </si>
  <si>
    <t xml:space="preserve">&amp;quot; Thrown there by Stapleton in his flight . &amp;quot;</t>
  </si>
  <si>
    <t xml:space="preserve">file://conllu/en/doyle_bask.14.conllu#s246_0</t>
  </si>
  <si>
    <t xml:space="preserve">247</t>
  </si>
  <si>
    <t xml:space="preserve">exactly</t>
  </si>
  <si>
    <t xml:space="preserve">&amp;quot; Exactly .</t>
  </si>
  <si>
    <t xml:space="preserve">file://conllu/en/doyle_bask.14.conllu#s247_0</t>
  </si>
  <si>
    <t xml:space="preserve">248</t>
  </si>
  <si>
    <t xml:space="preserve">retain</t>
  </si>
  <si>
    <t xml:space="preserve">He retained it in his hand after using it to set the hound upon the track .</t>
  </si>
  <si>
    <t xml:space="preserve">file://conllu/en/doyle_bask.14.conllu#s248_0</t>
  </si>
  <si>
    <t xml:space="preserve">249</t>
  </si>
  <si>
    <t xml:space="preserve">fle</t>
  </si>
  <si>
    <t xml:space="preserve">He fled when he knew the game was up , still clutching it .</t>
  </si>
  <si>
    <t xml:space="preserve">file://conllu/en/doyle_bask.14.conllu#s249_0</t>
  </si>
  <si>
    <t xml:space="preserve">250</t>
  </si>
  <si>
    <t xml:space="preserve">hurl</t>
  </si>
  <si>
    <t xml:space="preserve">And he hurled it away at this point of his flight .</t>
  </si>
  <si>
    <t xml:space="preserve">file://conllu/en/doyle_bask.14.conllu#s250_0</t>
  </si>
  <si>
    <t xml:space="preserve">251</t>
  </si>
  <si>
    <t xml:space="preserve">We know at least that he came so far in safety . &amp;quot;</t>
  </si>
  <si>
    <t xml:space="preserve">file://conllu/en/doyle_bask.14.conllu#s251_0</t>
  </si>
  <si>
    <t xml:space="preserve">252</t>
  </si>
  <si>
    <t xml:space="preserve">though?</t>
  </si>
  <si>
    <t xml:space="preserve">more</t>
  </si>
  <si>
    <t xml:space="preserve">But more than that we were never destined to know , though there was much which we might surmise .</t>
  </si>
  <si>
    <t xml:space="preserve">file://conllu/en/doyle_bask.14.conllu#s252_0</t>
  </si>
  <si>
    <t xml:space="preserve">253</t>
  </si>
  <si>
    <t xml:space="preserve">There was no chance of finding footsteps in the mire , for the rising mud oozed swiftly in upon them , but as we at last reached firmer ground beyond the morass we all looked eagerly for them .</t>
  </si>
  <si>
    <t xml:space="preserve">file://conllu/en/doyle_bask.14.conllu#s253_0</t>
  </si>
  <si>
    <t xml:space="preserve">254</t>
  </si>
  <si>
    <t xml:space="preserve">meet</t>
  </si>
  <si>
    <t xml:space="preserve">But no slightest sign of them ever met our eyes .</t>
  </si>
  <si>
    <t xml:space="preserve">file://conllu/en/doyle_bask.14.conllu#s254_0</t>
  </si>
  <si>
    <t xml:space="preserve">255</t>
  </si>
  <si>
    <t xml:space="preserve">reach</t>
  </si>
  <si>
    <t xml:space="preserve">If the earth told a true story , then Stapleton never reached that island of refuge towards which he struggled through the fog upon that last night .</t>
  </si>
  <si>
    <t xml:space="preserve">file://conllu/en/doyle_bask.14.conllu#s255_0</t>
  </si>
  <si>
    <t xml:space="preserve">256</t>
  </si>
  <si>
    <t xml:space="preserve">bury</t>
  </si>
  <si>
    <t xml:space="preserve">Somewhere in the heart of the great Grimpen Mire , down in the foul slime of the huge morass which had sucked him in , this cold and cruel hearted man is forever buried .</t>
  </si>
  <si>
    <t xml:space="preserve">file://conllu/en/doyle_bask.14.conllu#s256_0</t>
  </si>
  <si>
    <t xml:space="preserve">257</t>
  </si>
  <si>
    <t xml:space="preserve">trace</t>
  </si>
  <si>
    <t xml:space="preserve">Many traces we found of him in the bog girt island where he had hid his savage ally .</t>
  </si>
  <si>
    <t xml:space="preserve">file://conllu/en/doyle_bask.14.conllu#s257_0</t>
  </si>
  <si>
    <t xml:space="preserve">258</t>
  </si>
  <si>
    <t xml:space="preserve">show</t>
  </si>
  <si>
    <t xml:space="preserve">A huge driving wheel and a shaft half filled with rubbish showed the position of an abandoned mine .</t>
  </si>
  <si>
    <t xml:space="preserve">file://conllu/en/doyle_bask.14.conllu#s258_0</t>
  </si>
  <si>
    <t xml:space="preserve">259</t>
  </si>
  <si>
    <t xml:space="preserve">be (be remain)</t>
  </si>
  <si>
    <t xml:space="preserve">Beside it were the crumbling remains of the cottages of the miners , driven away no doubt by the foul reek of the surrounding swamp .</t>
  </si>
  <si>
    <t xml:space="preserve">file://conllu/en/doyle_bask.14.conllu#s259_0</t>
  </si>
  <si>
    <t xml:space="preserve">260</t>
  </si>
  <si>
    <t xml:space="preserve">In one of these a staple and chain with a quantity of gnawed bones showed where the animal had been confined .</t>
  </si>
  <si>
    <t xml:space="preserve">file://conllu/en/doyle_bask.14.conllu#s260_0</t>
  </si>
  <si>
    <t xml:space="preserve">261</t>
  </si>
  <si>
    <t xml:space="preserve">skeleton</t>
  </si>
  <si>
    <t xml:space="preserve">A skeleton with a tangle of brown hair adhering to it lay among the debris .</t>
  </si>
  <si>
    <t xml:space="preserve">file://conllu/en/doyle_bask.14.conllu#s261_0</t>
  </si>
  <si>
    <t xml:space="preserve">262</t>
  </si>
  <si>
    <t xml:space="preserve">&amp;quot; A dog ! &amp;quot; said Holmes .</t>
  </si>
  <si>
    <t xml:space="preserve">file://conllu/en/doyle_bask.14.conllu#s262_0</t>
  </si>
  <si>
    <t xml:space="preserve">263</t>
  </si>
  <si>
    <t xml:space="preserve">Jove</t>
  </si>
  <si>
    <t xml:space="preserve">&amp;quot; By Jove , a curly haired spaniel .</t>
  </si>
  <si>
    <t xml:space="preserve">file://conllu/en/doyle_bask.14.conllu#s263_0</t>
  </si>
  <si>
    <t xml:space="preserve">264</t>
  </si>
  <si>
    <t xml:space="preserve">Poor Mortimer will never see his pet again .</t>
  </si>
  <si>
    <t xml:space="preserve">file://conllu/en/doyle_bask.14.conllu#s264_0</t>
  </si>
  <si>
    <t xml:space="preserve">265</t>
  </si>
  <si>
    <t xml:space="preserve">Well , I do not know that this place contains any secret which we have not already fathomed .</t>
  </si>
  <si>
    <t xml:space="preserve">file://conllu/en/doyle_bask.14.conllu#s265_0</t>
  </si>
  <si>
    <t xml:space="preserve">266</t>
  </si>
  <si>
    <t xml:space="preserve">hide</t>
  </si>
  <si>
    <t xml:space="preserve">He could hide his hound , but he could not hush it s voice , and hence came those cries which even in daylight were not pleasant to hear .</t>
  </si>
  <si>
    <t xml:space="preserve">file://conllu/en/doyle_bask.14.conllu#s266_0</t>
  </si>
  <si>
    <t xml:space="preserve">267</t>
  </si>
  <si>
    <t xml:space="preserve">keep</t>
  </si>
  <si>
    <t xml:space="preserve">On an emergency he could keep the hound in the out house at Merripit , but it was always a risk , and it was only on the supreme day , which he regarded as the end of all his efforts , that he dared do it .</t>
  </si>
  <si>
    <t xml:space="preserve">file://conllu/en/doyle_bask.14.conllu#s267_0</t>
  </si>
  <si>
    <t xml:space="preserve">268</t>
  </si>
  <si>
    <t xml:space="preserve">be (be mixture)</t>
  </si>
  <si>
    <t xml:space="preserve">This paste in the tin is no doubt the luminous mixture with which the creature was daubed .</t>
  </si>
  <si>
    <t xml:space="preserve">file://conllu/en/doyle_bask.14.conllu#s268_0</t>
  </si>
  <si>
    <t xml:space="preserve">269</t>
  </si>
  <si>
    <t xml:space="preserve">suggest</t>
  </si>
  <si>
    <t xml:space="preserve">It was suggested , of course , by the story of the family hell hound , and by the desire to frighten old Sir Charles to death .</t>
  </si>
  <si>
    <t xml:space="preserve">file://conllu/en/doyle_bask.14.conllu#s269_0</t>
  </si>
  <si>
    <t xml:space="preserve">270</t>
  </si>
  <si>
    <t xml:space="preserve">see (see wonder)</t>
  </si>
  <si>
    <t xml:space="preserve">No wonder the poor devil of a convict ran and screamed , even as our friend did , and as we ourselves might have done , when he saw such a creature bounding through the darkness of the moor upon his track .</t>
  </si>
  <si>
    <t xml:space="preserve">file://conllu/en/doyle_bask.14.conllu#s270_0</t>
  </si>
  <si>
    <t xml:space="preserve">271</t>
  </si>
  <si>
    <t xml:space="preserve">be (be device)</t>
  </si>
  <si>
    <t xml:space="preserve">It was a cunning device , for , apart from the chance of driving your victim to his death , what peasant would venture to inquire too closely into such a creature should he get sight of it , as many have done , upon the moor ?</t>
  </si>
  <si>
    <t xml:space="preserve">file://conllu/en/doyle_bask.14.conllu#s271_0</t>
  </si>
  <si>
    <t xml:space="preserve">272</t>
  </si>
  <si>
    <t xml:space="preserve">say (say say)</t>
  </si>
  <si>
    <t xml:space="preserve">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</si>
  <si>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 xml:space="preserve">file://conllu/en/doyle_bask.14.conllu#s272_0</t>
  </si>
  <si>
    <t xml:space="preserve">WORD</t>
  </si>
  <si>
    <t xml:space="preserve">GR</t>
  </si>
  <si>
    <t xml:space="preserve">NP_TYPE</t>
  </si>
  <si>
    <t xml:space="preserve">REF_AUTO</t>
  </si>
  <si>
    <t xml:space="preserve">COREF</t>
  </si>
  <si>
    <t xml:space="preserve">REF</t>
  </si>
  <si>
    <t xml:space="preserve">IS</t>
  </si>
  <si>
    <t xml:space="preserve">CB</t>
  </si>
  <si>
    <t xml:space="preserve">GR_ANTE</t>
  </si>
  <si>
    <t xml:space="preserve">REF_DIST</t>
  </si>
  <si>
    <t xml:space="preserve">REF_DIST_ANTE</t>
  </si>
  <si>
    <t xml:space="preserve"># text = One of Sherlock Holmes's defects—if, indeed, one may call it a defect—was that he was exceedingly loath to communicate his full plans to any other person until the instant of their fulfilment.</t>
  </si>
  <si>
    <t xml:space="preserve">One</t>
  </si>
  <si>
    <t xml:space="preserve">SBJ</t>
  </si>
  <si>
    <t xml:space="preserve">def-np.poss</t>
  </si>
  <si>
    <t xml:space="preserve">?OLD</t>
  </si>
  <si>
    <t xml:space="preserve">defect</t>
  </si>
  <si>
    <t xml:space="preserve">NEW</t>
  </si>
  <si>
    <t xml:space="preserve">TYPE IDENTIFIABLE</t>
  </si>
  <si>
    <t xml:space="preserve">of</t>
  </si>
  <si>
    <t xml:space="preserve">Sherlock</t>
  </si>
  <si>
    <t xml:space="preserve">Holmes</t>
  </si>
  <si>
    <t xml:space="preserve">other_3</t>
  </si>
  <si>
    <t xml:space="preserve">ne</t>
  </si>
  <si>
    <t xml:space="preserve">Sherlock Holmes</t>
  </si>
  <si>
    <t xml:space="preserve">FAMILIAR</t>
  </si>
  <si>
    <t xml:space="preserve">'s</t>
  </si>
  <si>
    <t xml:space="preserve">defects</t>
  </si>
  <si>
    <t xml:space="preserve">other_2</t>
  </si>
  <si>
    <t xml:space="preserve">GEN</t>
  </si>
  <si>
    <t xml:space="preserve">—if</t>
  </si>
  <si>
    <t xml:space="preserve">,</t>
  </si>
  <si>
    <t xml:space="preserve">indeed</t>
  </si>
  <si>
    <t xml:space="preserve">one</t>
  </si>
  <si>
    <t xml:space="preserve">may</t>
  </si>
  <si>
    <t xml:space="preserve">it</t>
  </si>
  <si>
    <t xml:space="preserve">OBJ</t>
  </si>
  <si>
    <t xml:space="preserve">pron.pper</t>
  </si>
  <si>
    <t xml:space="preserve">OLD</t>
  </si>
  <si>
    <t xml:space="preserve">IN FOCUS</t>
  </si>
  <si>
    <t xml:space="preserve">a</t>
  </si>
  <si>
    <t xml:space="preserve">SBJ_2</t>
  </si>
  <si>
    <t xml:space="preserve">indef-np.a</t>
  </si>
  <si>
    <t xml:space="preserve">—was</t>
  </si>
  <si>
    <t xml:space="preserve">that</t>
  </si>
  <si>
    <t xml:space="preserve">he</t>
  </si>
  <si>
    <t xml:space="preserve">SBJ_3</t>
  </si>
  <si>
    <t xml:space="preserve">was</t>
  </si>
  <si>
    <t xml:space="preserve">exceedingly</t>
  </si>
  <si>
    <t xml:space="preserve">loath</t>
  </si>
  <si>
    <t xml:space="preserve">to</t>
  </si>
  <si>
    <t xml:space="preserve">communicate</t>
  </si>
  <si>
    <t xml:space="preserve">his</t>
  </si>
  <si>
    <t xml:space="preserve">other_5</t>
  </si>
  <si>
    <t xml:space="preserve">pron.ppos</t>
  </si>
  <si>
    <t xml:space="preserve">full</t>
  </si>
  <si>
    <t xml:space="preserve">plans</t>
  </si>
  <si>
    <t xml:space="preserve">OBJ_4</t>
  </si>
  <si>
    <t xml:space="preserve">UNIQUELY IDENTIFIABLE</t>
  </si>
  <si>
    <t xml:space="preserve">any</t>
  </si>
  <si>
    <t xml:space="preserve">other</t>
  </si>
  <si>
    <t xml:space="preserve">person</t>
  </si>
  <si>
    <t xml:space="preserve">other_4</t>
  </si>
  <si>
    <t xml:space="preserve">until</t>
  </si>
  <si>
    <t xml:space="preserve">the</t>
  </si>
  <si>
    <t xml:space="preserve">instant</t>
  </si>
  <si>
    <t xml:space="preserve">their</t>
  </si>
  <si>
    <t xml:space="preserve">other_6</t>
  </si>
  <si>
    <t xml:space="preserve">fulfilment</t>
  </si>
  <si>
    <t xml:space="preserve"># text = Partly it came no doubt from his own masterful nature, which loved to dominate and surprise those who were around him.</t>
  </si>
  <si>
    <t xml:space="preserve">Partly</t>
  </si>
  <si>
    <t xml:space="preserve">came</t>
  </si>
  <si>
    <t xml:space="preserve">no</t>
  </si>
  <si>
    <t xml:space="preserve">doubt</t>
  </si>
  <si>
    <t xml:space="preserve">from</t>
  </si>
  <si>
    <t xml:space="preserve">ACTIVATED</t>
  </si>
  <si>
    <t xml:space="preserve">own</t>
  </si>
  <si>
    <t xml:space="preserve">masterful</t>
  </si>
  <si>
    <t xml:space="preserve">nature</t>
  </si>
  <si>
    <t xml:space="preserve">IDIOM</t>
  </si>
  <si>
    <t xml:space="preserve">which</t>
  </si>
  <si>
    <t xml:space="preserve">loved</t>
  </si>
  <si>
    <t xml:space="preserve">dominate</t>
  </si>
  <si>
    <t xml:space="preserve">and</t>
  </si>
  <si>
    <t xml:space="preserve">surprise</t>
  </si>
  <si>
    <t xml:space="preserve">those</t>
  </si>
  <si>
    <t xml:space="preserve">OBJ_5</t>
  </si>
  <si>
    <t xml:space="preserve">pron.pds</t>
  </si>
  <si>
    <t xml:space="preserve">who</t>
  </si>
  <si>
    <t xml:space="preserve">SBJ_7</t>
  </si>
  <si>
    <t xml:space="preserve">were</t>
  </si>
  <si>
    <t xml:space="preserve">around</t>
  </si>
  <si>
    <t xml:space="preserve">him</t>
  </si>
  <si>
    <t xml:space="preserve"># text = Partly also from his professional caution, which urged him never to take any chances.</t>
  </si>
  <si>
    <t xml:space="preserve">also</t>
  </si>
  <si>
    <t xml:space="preserve">professional</t>
  </si>
  <si>
    <t xml:space="preserve">urged</t>
  </si>
  <si>
    <t xml:space="preserve">OBJ_2</t>
  </si>
  <si>
    <t xml:space="preserve">never</t>
  </si>
  <si>
    <t xml:space="preserve">take</t>
  </si>
  <si>
    <t xml:space="preserve">chances</t>
  </si>
  <si>
    <t xml:space="preserve">OBJ_3</t>
  </si>
  <si>
    <t xml:space="preserve"># text = The result, however, was very trying for those who were acting as his agents and assistants.</t>
  </si>
  <si>
    <t xml:space="preserve">The</t>
  </si>
  <si>
    <t xml:space="preserve">result</t>
  </si>
  <si>
    <t xml:space="preserve">def-np.the</t>
  </si>
  <si>
    <t xml:space="preserve">however</t>
  </si>
  <si>
    <t xml:space="preserve">very</t>
  </si>
  <si>
    <t xml:space="preserve">trying</t>
  </si>
  <si>
    <t xml:space="preserve">for</t>
  </si>
  <si>
    <t xml:space="preserve">agents &amp; assistants</t>
  </si>
  <si>
    <t xml:space="preserve">acting</t>
  </si>
  <si>
    <t xml:space="preserve">as</t>
  </si>
  <si>
    <t xml:space="preserve">agents</t>
  </si>
  <si>
    <t xml:space="preserve">assistants</t>
  </si>
  <si>
    <t xml:space="preserve">indef-np.bare</t>
  </si>
  <si>
    <t xml:space="preserve"># text = I had often suffered under it, but never more so than during that long drive in the darkness.</t>
  </si>
  <si>
    <t xml:space="preserve">I</t>
  </si>
  <si>
    <t xml:space="preserve">Watson</t>
  </si>
  <si>
    <t xml:space="preserve">had</t>
  </si>
  <si>
    <t xml:space="preserve">often</t>
  </si>
  <si>
    <t xml:space="preserve">suffered</t>
  </si>
  <si>
    <t xml:space="preserve">under</t>
  </si>
  <si>
    <t xml:space="preserve">but</t>
  </si>
  <si>
    <t xml:space="preserve">than</t>
  </si>
  <si>
    <t xml:space="preserve">during</t>
  </si>
  <si>
    <t xml:space="preserve">def-np.dem</t>
  </si>
  <si>
    <t xml:space="preserve">?REFERENTIAL</t>
  </si>
  <si>
    <t xml:space="preserve">in</t>
  </si>
  <si>
    <t xml:space="preserve">darkness</t>
  </si>
  <si>
    <t xml:space="preserve"># text = The great ordeal was in front of us; at last we were about to make our final effort, and yet Holmes had said nothing, and I could only surmise what his course of action would be.</t>
  </si>
  <si>
    <t xml:space="preserve">great</t>
  </si>
  <si>
    <t xml:space="preserve">ordeal</t>
  </si>
  <si>
    <t xml:space="preserve">front</t>
  </si>
  <si>
    <t xml:space="preserve">us</t>
  </si>
  <si>
    <t xml:space="preserve">Sherlock Holmes+Watson= SW</t>
  </si>
  <si>
    <t xml:space="preserve">GROUP</t>
  </si>
  <si>
    <t xml:space="preserve">Err:502</t>
  </si>
  <si>
    <t xml:space="preserve">;</t>
  </si>
  <si>
    <t xml:space="preserve">at</t>
  </si>
  <si>
    <t xml:space="preserve">last</t>
  </si>
  <si>
    <t xml:space="preserve">we</t>
  </si>
  <si>
    <t xml:space="preserve">SW</t>
  </si>
  <si>
    <t xml:space="preserve">about</t>
  </si>
  <si>
    <t xml:space="preserve">our</t>
  </si>
  <si>
    <t xml:space="preserve">final</t>
  </si>
  <si>
    <t xml:space="preserve">effort</t>
  </si>
  <si>
    <t xml:space="preserve">Effort</t>
  </si>
  <si>
    <t xml:space="preserve">yet</t>
  </si>
  <si>
    <t xml:space="preserve">said</t>
  </si>
  <si>
    <t xml:space="preserve">nothing</t>
  </si>
  <si>
    <t xml:space="preserve">pron</t>
  </si>
  <si>
    <t xml:space="preserve">SBJ_4</t>
  </si>
  <si>
    <t xml:space="preserve">could</t>
  </si>
  <si>
    <t xml:space="preserve">only</t>
  </si>
  <si>
    <t xml:space="preserve">surmise</t>
  </si>
  <si>
    <t xml:space="preserve">what</t>
  </si>
  <si>
    <t xml:space="preserve">pron.pint</t>
  </si>
  <si>
    <t xml:space="preserve">other_7</t>
  </si>
  <si>
    <t xml:space="preserve">course</t>
  </si>
  <si>
    <t xml:space="preserve">SBJ_6</t>
  </si>
  <si>
    <t xml:space="preserve">action</t>
  </si>
  <si>
    <t xml:space="preserve">would</t>
  </si>
  <si>
    <t xml:space="preserve"># text = My nerves thrilled with anticipation when at last the cold wind upon our faces and the dark, void spaces on either side of the narrow road told me that we were back upon the moor once again.</t>
  </si>
  <si>
    <t xml:space="preserve">My</t>
  </si>
  <si>
    <t xml:space="preserve">nerves</t>
  </si>
  <si>
    <t xml:space="preserve">nerves watson</t>
  </si>
  <si>
    <t xml:space="preserve">thrilled</t>
  </si>
  <si>
    <t xml:space="preserve">with</t>
  </si>
  <si>
    <t xml:space="preserve">anticipation</t>
  </si>
  <si>
    <t xml:space="preserve">when</t>
  </si>
  <si>
    <t xml:space="preserve">cold</t>
  </si>
  <si>
    <t xml:space="preserve">wind</t>
  </si>
  <si>
    <t xml:space="preserve">upon</t>
  </si>
  <si>
    <t xml:space="preserve">faces</t>
  </si>
  <si>
    <t xml:space="preserve">dark</t>
  </si>
  <si>
    <t xml:space="preserve">void</t>
  </si>
  <si>
    <t xml:space="preserve">spaces</t>
  </si>
  <si>
    <t xml:space="preserve">moor</t>
  </si>
  <si>
    <t xml:space="preserve">on</t>
  </si>
  <si>
    <t xml:space="preserve">either</t>
  </si>
  <si>
    <t xml:space="preserve">side</t>
  </si>
  <si>
    <t xml:space="preserve">indef-np</t>
  </si>
  <si>
    <t xml:space="preserve">narrow</t>
  </si>
  <si>
    <t xml:space="preserve">road</t>
  </si>
  <si>
    <t xml:space="preserve">told</t>
  </si>
  <si>
    <t xml:space="preserve">me</t>
  </si>
  <si>
    <t xml:space="preserve">back</t>
  </si>
  <si>
    <t xml:space="preserve">once</t>
  </si>
  <si>
    <t xml:space="preserve">again</t>
  </si>
  <si>
    <t xml:space="preserve"># text = Every stride of the horses and every turn of the wheels was taking us nearer to our supreme adventure.</t>
  </si>
  <si>
    <t xml:space="preserve">Every</t>
  </si>
  <si>
    <t xml:space="preserve">horses</t>
  </si>
  <si>
    <t xml:space="preserve">every</t>
  </si>
  <si>
    <t xml:space="preserve">wheels</t>
  </si>
  <si>
    <t xml:space="preserve">taking</t>
  </si>
  <si>
    <t xml:space="preserve">nearer</t>
  </si>
  <si>
    <t xml:space="preserve">supreme</t>
  </si>
  <si>
    <t xml:space="preserve">adventure</t>
  </si>
  <si>
    <t xml:space="preserve"># text = Our conversation was hampered by the presence of the driver of the hired wagonette, so that we were forced to talk of trivial matters when our nerves were tense with emotion and anticipation.</t>
  </si>
  <si>
    <t xml:space="preserve">Our</t>
  </si>
  <si>
    <t xml:space="preserve">conversation</t>
  </si>
  <si>
    <t xml:space="preserve">hampered</t>
  </si>
  <si>
    <t xml:space="preserve">by</t>
  </si>
  <si>
    <t xml:space="preserve">presence</t>
  </si>
  <si>
    <t xml:space="preserve">driver</t>
  </si>
  <si>
    <t xml:space="preserve">hired</t>
  </si>
  <si>
    <t xml:space="preserve">wagonette</t>
  </si>
  <si>
    <t xml:space="preserve">REFERENTIAL</t>
  </si>
  <si>
    <t xml:space="preserve">forced</t>
  </si>
  <si>
    <t xml:space="preserve">trivial</t>
  </si>
  <si>
    <t xml:space="preserve">matters</t>
  </si>
  <si>
    <t xml:space="preserve">nerves watson + nerves SH</t>
  </si>
  <si>
    <t xml:space="preserve">tense</t>
  </si>
  <si>
    <t xml:space="preserve">emotion</t>
  </si>
  <si>
    <t xml:space="preserve"># text = It was a relief to me, after that unnatural restraint, when we at last passed Frankland's house and knew that we were drawing near to the Hall and to the scene of action.</t>
  </si>
  <si>
    <t xml:space="preserve">It</t>
  </si>
  <si>
    <t xml:space="preserve">relief</t>
  </si>
  <si>
    <t xml:space="preserve">?FAMILIAR</t>
  </si>
  <si>
    <t xml:space="preserve">after</t>
  </si>
  <si>
    <t xml:space="preserve">unnatural</t>
  </si>
  <si>
    <t xml:space="preserve">restraint</t>
  </si>
  <si>
    <t xml:space="preserve">passed</t>
  </si>
  <si>
    <t xml:space="preserve">Frankland</t>
  </si>
  <si>
    <t xml:space="preserve">house</t>
  </si>
  <si>
    <t xml:space="preserve">knew</t>
  </si>
  <si>
    <t xml:space="preserve">drawing</t>
  </si>
  <si>
    <t xml:space="preserve">near</t>
  </si>
  <si>
    <t xml:space="preserve">Hall</t>
  </si>
  <si>
    <t xml:space="preserve">scene</t>
  </si>
  <si>
    <t xml:space="preserve"># text = We did not drive up to the door but got down near the gate of the avenue.</t>
  </si>
  <si>
    <t xml:space="preserve">Start: 14:30</t>
  </si>
  <si>
    <t xml:space="preserve">We</t>
  </si>
  <si>
    <t xml:space="preserve">did</t>
  </si>
  <si>
    <t xml:space="preserve">not</t>
  </si>
  <si>
    <t xml:space="preserve">up</t>
  </si>
  <si>
    <t xml:space="preserve">door</t>
  </si>
  <si>
    <t xml:space="preserve">got</t>
  </si>
  <si>
    <t xml:space="preserve">down</t>
  </si>
  <si>
    <t xml:space="preserve">gate</t>
  </si>
  <si>
    <t xml:space="preserve">avenue</t>
  </si>
  <si>
    <t xml:space="preserve"># text = The wagonette was paid off and ordered to return to Coombe Tracey forthwith, while we started to walk to Merripit House.</t>
  </si>
  <si>
    <t xml:space="preserve">paid</t>
  </si>
  <si>
    <t xml:space="preserve">off</t>
  </si>
  <si>
    <t xml:space="preserve">ordered</t>
  </si>
  <si>
    <t xml:space="preserve">return</t>
  </si>
  <si>
    <t xml:space="preserve">Coombe</t>
  </si>
  <si>
    <t xml:space="preserve">Coombe Tracey</t>
  </si>
  <si>
    <t xml:space="preserve">Tracey</t>
  </si>
  <si>
    <t xml:space="preserve">forthwith</t>
  </si>
  <si>
    <t xml:space="preserve">while</t>
  </si>
  <si>
    <t xml:space="preserve">started</t>
  </si>
  <si>
    <t xml:space="preserve">walk</t>
  </si>
  <si>
    <t xml:space="preserve">Merripit</t>
  </si>
  <si>
    <t xml:space="preserve">House</t>
  </si>
  <si>
    <t xml:space="preserve">Merripit house</t>
  </si>
  <si>
    <t xml:space="preserve">--</t>
  </si>
  <si>
    <t xml:space="preserve"># text = "Are you armed, Lestrade?"</t>
  </si>
  <si>
    <t xml:space="preserve">Are</t>
  </si>
  <si>
    <t xml:space="preserve">you</t>
  </si>
  <si>
    <t xml:space="preserve">Lestrade</t>
  </si>
  <si>
    <t xml:space="preserve">armed</t>
  </si>
  <si>
    <t xml:space="preserve">?</t>
  </si>
  <si>
    <t xml:space="preserve"># text = The little detective smiled.</t>
  </si>
  <si>
    <t xml:space="preserve">little</t>
  </si>
  <si>
    <t xml:space="preserve">smiled</t>
  </si>
  <si>
    <t xml:space="preserve"># text = \"As long as I have my trousers I have a hip-pocket, and as long as I have my hip-pocket I have something in it.\"</t>
  </si>
  <si>
    <t xml:space="preserve">As</t>
  </si>
  <si>
    <t xml:space="preserve">my</t>
  </si>
  <si>
    <t xml:space="preserve">trousers</t>
  </si>
  <si>
    <t xml:space="preserve">Trousers L</t>
  </si>
  <si>
    <t xml:space="preserve">hip</t>
  </si>
  <si>
    <t xml:space="preserve">pocket</t>
  </si>
  <si>
    <t xml:space="preserve">hip-poket Lestrade</t>
  </si>
  <si>
    <t xml:space="preserve">other_9</t>
  </si>
  <si>
    <t xml:space="preserve">OBJ_7</t>
  </si>
  <si>
    <t xml:space="preserve">SBJ_9</t>
  </si>
  <si>
    <t xml:space="preserve">something</t>
  </si>
  <si>
    <t xml:space="preserve">OBJ_9</t>
  </si>
  <si>
    <t xml:space="preserve">indef.</t>
  </si>
  <si>
    <t xml:space="preserve">other_10</t>
  </si>
  <si>
    <t xml:space="preserve"># text = "Good!</t>
  </si>
  <si>
    <t xml:space="preserve">Good</t>
  </si>
  <si>
    <t xml:space="preserve">!</t>
  </si>
  <si>
    <t xml:space="preserve"># text = My friend and I are also ready for emergencies."</t>
  </si>
  <si>
    <t xml:space="preserve">friend</t>
  </si>
  <si>
    <t xml:space="preserve">are</t>
  </si>
  <si>
    <t xml:space="preserve">ready</t>
  </si>
  <si>
    <t xml:space="preserve">emergencies</t>
  </si>
  <si>
    <t xml:space="preserve"># text = "You're mighty close about this affair, Mr. Holmes.</t>
  </si>
  <si>
    <t xml:space="preserve">You</t>
  </si>
  <si>
    <t xml:space="preserve">'re</t>
  </si>
  <si>
    <t xml:space="preserve">mighty</t>
  </si>
  <si>
    <t xml:space="preserve">close</t>
  </si>
  <si>
    <t xml:space="preserve">this</t>
  </si>
  <si>
    <t xml:space="preserve">affair</t>
  </si>
  <si>
    <t xml:space="preserve"># text = What's the game now?"</t>
  </si>
  <si>
    <t xml:space="preserve">What</t>
  </si>
  <si>
    <t xml:space="preserve">now</t>
  </si>
  <si>
    <t xml:space="preserve"># text = \"A waiting game.\"</t>
  </si>
  <si>
    <t xml:space="preserve">A</t>
  </si>
  <si>
    <t xml:space="preserve">waiting</t>
  </si>
  <si>
    <t xml:space="preserve"># text = "My word, it does not seem a very cheerful place," said the detective with a shiver, glancing round him at the gloomy slopes of the hill and at the huge lake of fog which lay over the Grimpen Mire.</t>
  </si>
  <si>
    <t xml:space="preserve">word</t>
  </si>
  <si>
    <t xml:space="preserve">does</t>
  </si>
  <si>
    <t xml:space="preserve">cheerful</t>
  </si>
  <si>
    <t xml:space="preserve">glancing</t>
  </si>
  <si>
    <t xml:space="preserve">round</t>
  </si>
  <si>
    <t xml:space="preserve">gloomy</t>
  </si>
  <si>
    <t xml:space="preserve">slopes</t>
  </si>
  <si>
    <t xml:space="preserve">hill</t>
  </si>
  <si>
    <t xml:space="preserve">huge</t>
  </si>
  <si>
    <t xml:space="preserve">lake</t>
  </si>
  <si>
    <t xml:space="preserve">fog</t>
  </si>
  <si>
    <t xml:space="preserve">SBJ_5</t>
  </si>
  <si>
    <t xml:space="preserve">over</t>
  </si>
  <si>
    <t xml:space="preserve">Grimpen</t>
  </si>
  <si>
    <t xml:space="preserve">Mire</t>
  </si>
  <si>
    <t xml:space="preserve"># text = \"I see the lights of a house ahead of us.\"</t>
  </si>
  <si>
    <t xml:space="preserve">lights</t>
  </si>
  <si>
    <t xml:space="preserve">ahead</t>
  </si>
  <si>
    <t xml:space="preserve">SW + Lestrade = SWL</t>
  </si>
  <si>
    <t xml:space="preserve"># text = "That is Merripit House and the end of our journey.</t>
  </si>
  <si>
    <t xml:space="preserve">That</t>
  </si>
  <si>
    <t xml:space="preserve">is</t>
  </si>
  <si>
    <t xml:space="preserve">end</t>
  </si>
  <si>
    <t xml:space="preserve">SWL</t>
  </si>
  <si>
    <t xml:space="preserve">journey</t>
  </si>
  <si>
    <t xml:space="preserve">journey SWL</t>
  </si>
  <si>
    <t xml:space="preserve"># text = I must request you to walk on tiptoe and not to talk above a whisper.\"</t>
  </si>
  <si>
    <t xml:space="preserve">must</t>
  </si>
  <si>
    <t xml:space="preserve">tiptoe</t>
  </si>
  <si>
    <t xml:space="preserve">above</t>
  </si>
  <si>
    <t xml:space="preserve"># text = We moved cautiously along the track as if we were bound for the house, but Holmes halted us when we were about two hundred yards from it.</t>
  </si>
  <si>
    <t xml:space="preserve">moved</t>
  </si>
  <si>
    <t xml:space="preserve">cautiously</t>
  </si>
  <si>
    <t xml:space="preserve">along</t>
  </si>
  <si>
    <t xml:space="preserve">track</t>
  </si>
  <si>
    <t xml:space="preserve">if</t>
  </si>
  <si>
    <t xml:space="preserve">bound</t>
  </si>
  <si>
    <t xml:space="preserve">halted</t>
  </si>
  <si>
    <t xml:space="preserve">two</t>
  </si>
  <si>
    <t xml:space="preserve">hundred</t>
  </si>
  <si>
    <t xml:space="preserve">yards</t>
  </si>
  <si>
    <t xml:space="preserve">indef-np.quant</t>
  </si>
  <si>
    <t xml:space="preserve"># text = \"This will do,\" said he.</t>
  </si>
  <si>
    <t xml:space="preserve">This</t>
  </si>
  <si>
    <t xml:space="preserve">EXPL</t>
  </si>
  <si>
    <t xml:space="preserve">will</t>
  </si>
  <si>
    <t xml:space="preserve"># text = \"These rocks upon the right make an admirable screen.\"</t>
  </si>
  <si>
    <t xml:space="preserve">These</t>
  </si>
  <si>
    <t xml:space="preserve">rocks</t>
  </si>
  <si>
    <t xml:space="preserve">right</t>
  </si>
  <si>
    <t xml:space="preserve">OTHER</t>
  </si>
  <si>
    <t xml:space="preserve">an</t>
  </si>
  <si>
    <t xml:space="preserve">admirable</t>
  </si>
  <si>
    <t xml:space="preserve">screen</t>
  </si>
  <si>
    <t xml:space="preserve"># text = "We are to wait here?"</t>
  </si>
  <si>
    <t xml:space="preserve"># text = "Yes, we shall make our little ambush here.</t>
  </si>
  <si>
    <t xml:space="preserve">Yes</t>
  </si>
  <si>
    <t xml:space="preserve">shall</t>
  </si>
  <si>
    <t xml:space="preserve">ambush</t>
  </si>
  <si>
    <t xml:space="preserve">ambush swl</t>
  </si>
  <si>
    <t xml:space="preserve"># text = Get into this hollow, Lestrade.</t>
  </si>
  <si>
    <t xml:space="preserve">Get</t>
  </si>
  <si>
    <t xml:space="preserve">into</t>
  </si>
  <si>
    <t xml:space="preserve">hollow</t>
  </si>
  <si>
    <t xml:space="preserve">Ende: 15 Uhr (= 30 min); Anfang 14:25</t>
  </si>
  <si>
    <t xml:space="preserve"># text = You have been inside the house, have you not, Watson?</t>
  </si>
  <si>
    <t xml:space="preserve">been</t>
  </si>
  <si>
    <t xml:space="preserve">inside</t>
  </si>
  <si>
    <t xml:space="preserve"># text = Can you tell the position of the rooms?</t>
  </si>
  <si>
    <t xml:space="preserve">Can</t>
  </si>
  <si>
    <t xml:space="preserve">position</t>
  </si>
  <si>
    <t xml:space="preserve">rooms</t>
  </si>
  <si>
    <t xml:space="preserve"># text = What are those latticed windows at this end?\"</t>
  </si>
  <si>
    <t xml:space="preserve">latticed</t>
  </si>
  <si>
    <t xml:space="preserve">windows</t>
  </si>
  <si>
    <t xml:space="preserve"># text = \"I think they are the kitchen windows.\"</t>
  </si>
  <si>
    <t xml:space="preserve">they</t>
  </si>
  <si>
    <t xml:space="preserve">kitchen</t>
  </si>
  <si>
    <t xml:space="preserve"># text = \"And the one beyond, which shines so brightly?\"</t>
  </si>
  <si>
    <t xml:space="preserve">And</t>
  </si>
  <si>
    <t xml:space="preserve">def-np.quant</t>
  </si>
  <si>
    <t xml:space="preserve">window</t>
  </si>
  <si>
    <t xml:space="preserve">shines</t>
  </si>
  <si>
    <t xml:space="preserve">brightly</t>
  </si>
  <si>
    <t xml:space="preserve"># text = "That is certainly the dining-room."</t>
  </si>
  <si>
    <t xml:space="preserve">dining room</t>
  </si>
  <si>
    <t xml:space="preserve">certainly</t>
  </si>
  <si>
    <t xml:space="preserve">dining</t>
  </si>
  <si>
    <t xml:space="preserve">room</t>
  </si>
  <si>
    <t xml:space="preserve"># text = \"The blinds are up.</t>
  </si>
  <si>
    <t xml:space="preserve">blinds</t>
  </si>
  <si>
    <t xml:space="preserve"># text = You know the lie of the land best.</t>
  </si>
  <si>
    <t xml:space="preserve">lie</t>
  </si>
  <si>
    <t xml:space="preserve">lie of the land</t>
  </si>
  <si>
    <t xml:space="preserve">land</t>
  </si>
  <si>
    <t xml:space="preserve">best</t>
  </si>
  <si>
    <t xml:space="preserve"># text = Creep forward quietly and see what they are doing—but for heaven's sake don't let them know that they are watched!"</t>
  </si>
  <si>
    <t xml:space="preserve">forward</t>
  </si>
  <si>
    <t xml:space="preserve">quietly</t>
  </si>
  <si>
    <t xml:space="preserve">people</t>
  </si>
  <si>
    <t xml:space="preserve">doing</t>
  </si>
  <si>
    <t xml:space="preserve">—but</t>
  </si>
  <si>
    <t xml:space="preserve">heaven</t>
  </si>
  <si>
    <t xml:space="preserve">sake</t>
  </si>
  <si>
    <t xml:space="preserve">n't</t>
  </si>
  <si>
    <t xml:space="preserve">let</t>
  </si>
  <si>
    <t xml:space="preserve">them</t>
  </si>
  <si>
    <t xml:space="preserve">watched</t>
  </si>
  <si>
    <t xml:space="preserve"># text = I tiptoed down the path and stooped behind the low wall which surrounded the stunted orchard.</t>
  </si>
  <si>
    <t xml:space="preserve">tiptoed</t>
  </si>
  <si>
    <t xml:space="preserve">path</t>
  </si>
  <si>
    <t xml:space="preserve">stooped</t>
  </si>
  <si>
    <t xml:space="preserve">behind</t>
  </si>
  <si>
    <t xml:space="preserve">low</t>
  </si>
  <si>
    <t xml:space="preserve">wall</t>
  </si>
  <si>
    <t xml:space="preserve">surrounded</t>
  </si>
  <si>
    <t xml:space="preserve">stunted</t>
  </si>
  <si>
    <t xml:space="preserve">orchard</t>
  </si>
  <si>
    <t xml:space="preserve">orchad</t>
  </si>
  <si>
    <t xml:space="preserve"># text = Creeping in its shadow I reached a point whence I could look straight through the uncurtained window.</t>
  </si>
  <si>
    <t xml:space="preserve">Creeping</t>
  </si>
  <si>
    <t xml:space="preserve">s</t>
  </si>
  <si>
    <t xml:space="preserve">shadow</t>
  </si>
  <si>
    <t xml:space="preserve">reached</t>
  </si>
  <si>
    <t xml:space="preserve">point</t>
  </si>
  <si>
    <t xml:space="preserve">whence</t>
  </si>
  <si>
    <t xml:space="preserve">straight</t>
  </si>
  <si>
    <t xml:space="preserve">through</t>
  </si>
  <si>
    <t xml:space="preserve">uncurtained</t>
  </si>
  <si>
    <t xml:space="preserve"># text = There were only two men in the room, Sir Henry and Stapleton.</t>
  </si>
  <si>
    <t xml:space="preserve">There</t>
  </si>
  <si>
    <t xml:space="preserve">men</t>
  </si>
  <si>
    <t xml:space="preserve">Sir Henry</t>
  </si>
  <si>
    <t xml:space="preserve">Henry</t>
  </si>
  <si>
    <t xml:space="preserve">Stapleton</t>
  </si>
  <si>
    <t xml:space="preserve"># text = They sat with their profiles towards me on either side of the round table.</t>
  </si>
  <si>
    <t xml:space="preserve">They</t>
  </si>
  <si>
    <t xml:space="preserve">Sir Henry + Stapleton = HS</t>
  </si>
  <si>
    <t xml:space="preserve">sat</t>
  </si>
  <si>
    <t xml:space="preserve">HS</t>
  </si>
  <si>
    <t xml:space="preserve">profiles</t>
  </si>
  <si>
    <t xml:space="preserve">profiles HS</t>
  </si>
  <si>
    <t xml:space="preserve">towards</t>
  </si>
  <si>
    <t xml:space="preserve">table</t>
  </si>
  <si>
    <t xml:space="preserve">round table</t>
  </si>
  <si>
    <t xml:space="preserve"># text = Both of them were smoking cigars, and coffee and wine were in front of them.</t>
  </si>
  <si>
    <t xml:space="preserve">Both</t>
  </si>
  <si>
    <t xml:space="preserve">smoking</t>
  </si>
  <si>
    <t xml:space="preserve">cigars</t>
  </si>
  <si>
    <t xml:space="preserve">coffee</t>
  </si>
  <si>
    <t xml:space="preserve">wine</t>
  </si>
  <si>
    <t xml:space="preserve"># text = Stapleton was talking with animation, but the baronet looked pale and distrait.</t>
  </si>
  <si>
    <t xml:space="preserve">talking</t>
  </si>
  <si>
    <t xml:space="preserve">animation</t>
  </si>
  <si>
    <t xml:space="preserve">baronet</t>
  </si>
  <si>
    <t xml:space="preserve">looked</t>
  </si>
  <si>
    <t xml:space="preserve">pale</t>
  </si>
  <si>
    <t xml:space="preserve">distrait</t>
  </si>
  <si>
    <t xml:space="preserve"># text = Perhaps the thought of that lonely walk across the ill-omened moor was weighing heavily upon his mind.</t>
  </si>
  <si>
    <t xml:space="preserve">Perhaps</t>
  </si>
  <si>
    <t xml:space="preserve">thought</t>
  </si>
  <si>
    <t xml:space="preserve">lonely</t>
  </si>
  <si>
    <t xml:space="preserve">across</t>
  </si>
  <si>
    <t xml:space="preserve">ill</t>
  </si>
  <si>
    <t xml:space="preserve">omened</t>
  </si>
  <si>
    <t xml:space="preserve">weighing</t>
  </si>
  <si>
    <t xml:space="preserve">heavily</t>
  </si>
  <si>
    <t xml:space="preserve">mind</t>
  </si>
  <si>
    <t xml:space="preserve">mind stapleton</t>
  </si>
  <si>
    <t xml:space="preserve"># text = As I watched them Stapleton rose and left the room, while Sir Henry filled his glass again and leaned back in his chair, puffing at his cigar.</t>
  </si>
  <si>
    <t xml:space="preserve">rose</t>
  </si>
  <si>
    <t xml:space="preserve">left</t>
  </si>
  <si>
    <t xml:space="preserve">filled</t>
  </si>
  <si>
    <t xml:space="preserve">glass</t>
  </si>
  <si>
    <t xml:space="preserve">Glass</t>
  </si>
  <si>
    <t xml:space="preserve">leaned</t>
  </si>
  <si>
    <t xml:space="preserve">chair</t>
  </si>
  <si>
    <t xml:space="preserve">Chair</t>
  </si>
  <si>
    <t xml:space="preserve">puffing</t>
  </si>
  <si>
    <t xml:space="preserve">cigar</t>
  </si>
  <si>
    <t xml:space="preserve"># text = I heard the creak of a door and the crisp sound of boots upon gravel.</t>
  </si>
  <si>
    <t xml:space="preserve">heard</t>
  </si>
  <si>
    <t xml:space="preserve">creak</t>
  </si>
  <si>
    <t xml:space="preserve">crisp</t>
  </si>
  <si>
    <t xml:space="preserve">sound</t>
  </si>
  <si>
    <t xml:space="preserve">sound </t>
  </si>
  <si>
    <t xml:space="preserve">boots</t>
  </si>
  <si>
    <t xml:space="preserve">gravel</t>
  </si>
  <si>
    <t xml:space="preserve"># text = The steps passed along the path on the other side of the wall under which I crouched.</t>
  </si>
  <si>
    <t xml:space="preserve">steps</t>
  </si>
  <si>
    <t xml:space="preserve">Steps</t>
  </si>
  <si>
    <t xml:space="preserve">def-np.the.other</t>
  </si>
  <si>
    <t xml:space="preserve">side wall</t>
  </si>
  <si>
    <t xml:space="preserve">crouched</t>
  </si>
  <si>
    <t xml:space="preserve"># text = Looking over, I saw the naturalist pause at the door of an out-house in the corner of the orchard.</t>
  </si>
  <si>
    <t xml:space="preserve">Looking</t>
  </si>
  <si>
    <t xml:space="preserve">saw</t>
  </si>
  <si>
    <t xml:space="preserve">naturalist</t>
  </si>
  <si>
    <t xml:space="preserve">door outhouse</t>
  </si>
  <si>
    <t xml:space="preserve">out</t>
  </si>
  <si>
    <t xml:space="preserve">corner</t>
  </si>
  <si>
    <t xml:space="preserve">corner orchad</t>
  </si>
  <si>
    <t xml:space="preserve">Ende 15 Uhr (= 35 min)</t>
  </si>
  <si>
    <t xml:space="preserve">310 - 1003 65min</t>
  </si>
  <si>
    <t xml:space="preserve"># text = A key turned in a lock, and as he passed in there was a curious scuffling noise from within.</t>
  </si>
  <si>
    <t xml:space="preserve">key</t>
  </si>
  <si>
    <t xml:space="preserve">turned</t>
  </si>
  <si>
    <t xml:space="preserve">there</t>
  </si>
  <si>
    <t xml:space="preserve">curious</t>
  </si>
  <si>
    <t xml:space="preserve">scuffling</t>
  </si>
  <si>
    <t xml:space="preserve">noise</t>
  </si>
  <si>
    <t xml:space="preserve">within</t>
  </si>
  <si>
    <t xml:space="preserve"># text = He was only a minute or so inside, and then I heard the key turn once more and he passed me and re-entered the house.</t>
  </si>
  <si>
    <t xml:space="preserve">He</t>
  </si>
  <si>
    <t xml:space="preserve">or</t>
  </si>
  <si>
    <t xml:space="preserve">then</t>
  </si>
  <si>
    <t xml:space="preserve">re-entered</t>
  </si>
  <si>
    <t xml:space="preserve"># text = I saw him rejoin his guest, and I crept quietly back to where my companions were waiting to tell them what I had seen.</t>
  </si>
  <si>
    <t xml:space="preserve">rejoin</t>
  </si>
  <si>
    <t xml:space="preserve">guest</t>
  </si>
  <si>
    <t xml:space="preserve">crept</t>
  </si>
  <si>
    <t xml:space="preserve">where</t>
  </si>
  <si>
    <t xml:space="preserve">companions</t>
  </si>
  <si>
    <t xml:space="preserve">OBJ_6</t>
  </si>
  <si>
    <t xml:space="preserve">seen</t>
  </si>
  <si>
    <t xml:space="preserve"># text = "You say, Watson, that the lady is not there?"</t>
  </si>
  <si>
    <t xml:space="preserve">lady</t>
  </si>
  <si>
    <t xml:space="preserve">pron.padv</t>
  </si>
  <si>
    <t xml:space="preserve"># text = Holmes asked, when I had finished my report.</t>
  </si>
  <si>
    <t xml:space="preserve">asked</t>
  </si>
  <si>
    <t xml:space="preserve">finished</t>
  </si>
  <si>
    <t xml:space="preserve">report</t>
  </si>
  <si>
    <t xml:space="preserve"># text = \"No.\" \"Where can she be, then, since there is no light in any other room except the kitchen?\"</t>
  </si>
  <si>
    <t xml:space="preserve">No</t>
  </si>
  <si>
    <t xml:space="preserve">Where</t>
  </si>
  <si>
    <t xml:space="preserve">can</t>
  </si>
  <si>
    <t xml:space="preserve">she</t>
  </si>
  <si>
    <t xml:space="preserve">since</t>
  </si>
  <si>
    <t xml:space="preserve">light</t>
  </si>
  <si>
    <t xml:space="preserve">except</t>
  </si>
  <si>
    <t xml:space="preserve"># text = "I cannot think where she is."</t>
  </si>
  <si>
    <t xml:space="preserve"># text = I have said that over the great Grimpen Mire there hung a dense, white fog.</t>
  </si>
  <si>
    <t xml:space="preserve">hung</t>
  </si>
  <si>
    <t xml:space="preserve">dense</t>
  </si>
  <si>
    <t xml:space="preserve">white</t>
  </si>
  <si>
    <t xml:space="preserve"># text = It was drifting slowly in our direction, and banked itself up like a wall on that side of us, low, but thick and well defined.</t>
  </si>
  <si>
    <t xml:space="preserve">drifting</t>
  </si>
  <si>
    <t xml:space="preserve">slowly</t>
  </si>
  <si>
    <t xml:space="preserve">direction</t>
  </si>
  <si>
    <t xml:space="preserve">banked</t>
  </si>
  <si>
    <t xml:space="preserve">itself</t>
  </si>
  <si>
    <t xml:space="preserve">like</t>
  </si>
  <si>
    <t xml:space="preserve">thick</t>
  </si>
  <si>
    <t xml:space="preserve">well</t>
  </si>
  <si>
    <t xml:space="preserve">defined</t>
  </si>
  <si>
    <t xml:space="preserve"># text = The moon shone on it, and it looked like a great shimmering ice-field, with the heads of the distant tors as rocks borne upon its surface.</t>
  </si>
  <si>
    <t xml:space="preserve">moon</t>
  </si>
  <si>
    <t xml:space="preserve">shimmering</t>
  </si>
  <si>
    <t xml:space="preserve">ice</t>
  </si>
  <si>
    <t xml:space="preserve">field</t>
  </si>
  <si>
    <t xml:space="preserve">heads</t>
  </si>
  <si>
    <t xml:space="preserve">distant</t>
  </si>
  <si>
    <t xml:space="preserve">tors</t>
  </si>
  <si>
    <t xml:space="preserve">borne</t>
  </si>
  <si>
    <t xml:space="preserve">its</t>
  </si>
  <si>
    <t xml:space="preserve">surface</t>
  </si>
  <si>
    <t xml:space="preserve"># text = Holmes's face was turned towards it, and he muttered impatiently as he watched its sluggish drift.</t>
  </si>
  <si>
    <t xml:space="preserve">muttered</t>
  </si>
  <si>
    <t xml:space="preserve">impatiently</t>
  </si>
  <si>
    <t xml:space="preserve">sluggish</t>
  </si>
  <si>
    <t xml:space="preserve"># text = "It's moving towards us, Watson."</t>
  </si>
  <si>
    <t xml:space="preserve">moving</t>
  </si>
  <si>
    <t xml:space="preserve"># text = "Is that serious?"</t>
  </si>
  <si>
    <t xml:space="preserve">Is</t>
  </si>
  <si>
    <t xml:space="preserve">serious</t>
  </si>
  <si>
    <t xml:space="preserve"># text = "Very serious, indeed—the one thing upon earth which could have disarranged my plans.</t>
  </si>
  <si>
    <t xml:space="preserve">Very</t>
  </si>
  <si>
    <t xml:space="preserve">—the</t>
  </si>
  <si>
    <t xml:space="preserve">def-np</t>
  </si>
  <si>
    <t xml:space="preserve">earth</t>
  </si>
  <si>
    <t xml:space="preserve">disarranged</t>
  </si>
  <si>
    <t xml:space="preserve"># text = He can't be very long, now.</t>
  </si>
  <si>
    <t xml:space="preserve">ca</t>
  </si>
  <si>
    <t xml:space="preserve"># text = It is already ten o'clock.</t>
  </si>
  <si>
    <t xml:space="preserve">already</t>
  </si>
  <si>
    <t xml:space="preserve">ten</t>
  </si>
  <si>
    <t xml:space="preserve">o'clock</t>
  </si>
  <si>
    <t xml:space="preserve"># text = Our success and even his life may depend upon his coming out before the fog is over the path."</t>
  </si>
  <si>
    <t xml:space="preserve">success</t>
  </si>
  <si>
    <t xml:space="preserve">even</t>
  </si>
  <si>
    <t xml:space="preserve">life</t>
  </si>
  <si>
    <t xml:space="preserve">depend</t>
  </si>
  <si>
    <t xml:space="preserve">coming</t>
  </si>
  <si>
    <t xml:space="preserve">before</t>
  </si>
  <si>
    <t xml:space="preserve"># text = The night was clear and fine above us.</t>
  </si>
  <si>
    <t xml:space="preserve">night</t>
  </si>
  <si>
    <t xml:space="preserve">clear</t>
  </si>
  <si>
    <t xml:space="preserve">fine</t>
  </si>
  <si>
    <t xml:space="preserve"># text = The stars shone cold and bright, while a half-moon bathed the whole scene in a soft, uncertain light.</t>
  </si>
  <si>
    <t xml:space="preserve">stars</t>
  </si>
  <si>
    <t xml:space="preserve">bright</t>
  </si>
  <si>
    <t xml:space="preserve">half</t>
  </si>
  <si>
    <t xml:space="preserve">bathed</t>
  </si>
  <si>
    <t xml:space="preserve">whole</t>
  </si>
  <si>
    <t xml:space="preserve">soft</t>
  </si>
  <si>
    <t xml:space="preserve">uncertain</t>
  </si>
  <si>
    <t xml:space="preserve"># text = Before us lay the dark bulk of the house, its serrated roof and bristling chimneys hard outlined against the silver-spangled sky.</t>
  </si>
  <si>
    <t xml:space="preserve">Before</t>
  </si>
  <si>
    <t xml:space="preserve">bulk</t>
  </si>
  <si>
    <t xml:space="preserve">serrated</t>
  </si>
  <si>
    <t xml:space="preserve">roof</t>
  </si>
  <si>
    <t xml:space="preserve">bristling</t>
  </si>
  <si>
    <t xml:space="preserve">chimneys</t>
  </si>
  <si>
    <t xml:space="preserve">hard</t>
  </si>
  <si>
    <t xml:space="preserve">outlined</t>
  </si>
  <si>
    <t xml:space="preserve">against</t>
  </si>
  <si>
    <t xml:space="preserve">silver</t>
  </si>
  <si>
    <t xml:space="preserve">spangled</t>
  </si>
  <si>
    <t xml:space="preserve">sky</t>
  </si>
  <si>
    <t xml:space="preserve"># text = Broad bars of golden light from the lower windows stretched across the orchard and the moor.</t>
  </si>
  <si>
    <t xml:space="preserve">Broad</t>
  </si>
  <si>
    <t xml:space="preserve">bars</t>
  </si>
  <si>
    <t xml:space="preserve">golden</t>
  </si>
  <si>
    <t xml:space="preserve">lower</t>
  </si>
  <si>
    <t xml:space="preserve">stretched</t>
  </si>
  <si>
    <t xml:space="preserve"># text = One of them was suddenly shut off.</t>
  </si>
  <si>
    <t xml:space="preserve">suddenly</t>
  </si>
  <si>
    <t xml:space="preserve"># text = The servants had left the kitchen.</t>
  </si>
  <si>
    <t xml:space="preserve">servants</t>
  </si>
  <si>
    <t xml:space="preserve"># text = There only remained the lamp in the dining-room where the two men, the murderous host and the unconscious guest, still chatted over their cigars.</t>
  </si>
  <si>
    <t xml:space="preserve">remained</t>
  </si>
  <si>
    <t xml:space="preserve">lamp</t>
  </si>
  <si>
    <t xml:space="preserve">murderous</t>
  </si>
  <si>
    <t xml:space="preserve">host</t>
  </si>
  <si>
    <t xml:space="preserve">unconscious</t>
  </si>
  <si>
    <t xml:space="preserve">still</t>
  </si>
  <si>
    <t xml:space="preserve">chatted</t>
  </si>
  <si>
    <t xml:space="preserve"># text = Every minute that white woolly plain which covered one half of the moor was drifting closer and closer to the house.</t>
  </si>
  <si>
    <t xml:space="preserve">woolly</t>
  </si>
  <si>
    <t xml:space="preserve">plain</t>
  </si>
  <si>
    <t xml:space="preserve">covered</t>
  </si>
  <si>
    <t xml:space="preserve">closer</t>
  </si>
  <si>
    <t xml:space="preserve"># text = Already the first thin wisps of it were curling across the golden square of the lighted window.</t>
  </si>
  <si>
    <t xml:space="preserve">Already</t>
  </si>
  <si>
    <t xml:space="preserve">first</t>
  </si>
  <si>
    <t xml:space="preserve">thin</t>
  </si>
  <si>
    <t xml:space="preserve">wisps</t>
  </si>
  <si>
    <t xml:space="preserve">curling</t>
  </si>
  <si>
    <t xml:space="preserve">square</t>
  </si>
  <si>
    <t xml:space="preserve">lighted</t>
  </si>
  <si>
    <t xml:space="preserve"># text = The farther wall of the orchard was already invisible, and the trees were standing out of a swirl of white vapour.</t>
  </si>
  <si>
    <t xml:space="preserve">farther</t>
  </si>
  <si>
    <t xml:space="preserve">invisible</t>
  </si>
  <si>
    <t xml:space="preserve">trees</t>
  </si>
  <si>
    <t xml:space="preserve">standing</t>
  </si>
  <si>
    <t xml:space="preserve">swirl</t>
  </si>
  <si>
    <t xml:space="preserve">vapour</t>
  </si>
  <si>
    <t xml:space="preserve"># text = As we watched it the fog-wreaths came crawling round both corners of the house and rolled slowly into one dense bank, on which the upper floor and the roof floated like a strange ship upon a shadowy sea.</t>
  </si>
  <si>
    <t xml:space="preserve">wreaths</t>
  </si>
  <si>
    <t xml:space="preserve">crawling</t>
  </si>
  <si>
    <t xml:space="preserve">both</t>
  </si>
  <si>
    <t xml:space="preserve">corners</t>
  </si>
  <si>
    <t xml:space="preserve">rolled</t>
  </si>
  <si>
    <t xml:space="preserve">bank</t>
  </si>
  <si>
    <t xml:space="preserve">upper</t>
  </si>
  <si>
    <t xml:space="preserve">floor</t>
  </si>
  <si>
    <t xml:space="preserve">floated</t>
  </si>
  <si>
    <t xml:space="preserve">strange</t>
  </si>
  <si>
    <t xml:space="preserve">ship</t>
  </si>
  <si>
    <t xml:space="preserve">shadowy</t>
  </si>
  <si>
    <t xml:space="preserve">sea</t>
  </si>
  <si>
    <t xml:space="preserve"># text = Holmes struck his hand passionately upon the rock in front of us and stamped his feet in his impatience.</t>
  </si>
  <si>
    <t xml:space="preserve">hand</t>
  </si>
  <si>
    <t xml:space="preserve">passionately</t>
  </si>
  <si>
    <t xml:space="preserve">rock</t>
  </si>
  <si>
    <t xml:space="preserve">stamped</t>
  </si>
  <si>
    <t xml:space="preserve">feet</t>
  </si>
  <si>
    <t xml:space="preserve">impatience</t>
  </si>
  <si>
    <t xml:space="preserve"># text = \"If he isn't out in a quarter of an hour the path will be covered.</t>
  </si>
  <si>
    <t xml:space="preserve">If</t>
  </si>
  <si>
    <t xml:space="preserve">quarter</t>
  </si>
  <si>
    <t xml:space="preserve">hour</t>
  </si>
  <si>
    <t xml:space="preserve"># text = In half an hour we won't be able to see our hands in front of us."</t>
  </si>
  <si>
    <t xml:space="preserve">In</t>
  </si>
  <si>
    <t xml:space="preserve">wo</t>
  </si>
  <si>
    <t xml:space="preserve">able</t>
  </si>
  <si>
    <t xml:space="preserve">hands</t>
  </si>
  <si>
    <t xml:space="preserve"># text = "Shall we move farther back upon higher ground?"</t>
  </si>
  <si>
    <t xml:space="preserve">Shall</t>
  </si>
  <si>
    <t xml:space="preserve">higher</t>
  </si>
  <si>
    <t xml:space="preserve">ground</t>
  </si>
  <si>
    <t xml:space="preserve"># text = \"Yes, I think it would be as well.\"</t>
  </si>
  <si>
    <t xml:space="preserve"># text = So as the fog-bank flowed onward we fell back before it until we were half a mile from the house, and still that dense white sea, with the moon silvering its upper edge, swept slowly and inexorably on.</t>
  </si>
  <si>
    <t xml:space="preserve">So</t>
  </si>
  <si>
    <t xml:space="preserve">flowed</t>
  </si>
  <si>
    <t xml:space="preserve">onward</t>
  </si>
  <si>
    <t xml:space="preserve">fell</t>
  </si>
  <si>
    <t xml:space="preserve">mile</t>
  </si>
  <si>
    <t xml:space="preserve">silvering</t>
  </si>
  <si>
    <t xml:space="preserve">edge</t>
  </si>
  <si>
    <t xml:space="preserve">swept</t>
  </si>
  <si>
    <t xml:space="preserve">inexorably</t>
  </si>
  <si>
    <t xml:space="preserve"># text = \"We are going too far,\" said Holmes.</t>
  </si>
  <si>
    <t xml:space="preserve">going</t>
  </si>
  <si>
    <t xml:space="preserve">too</t>
  </si>
  <si>
    <t xml:space="preserve">far</t>
  </si>
  <si>
    <t xml:space="preserve"># text = "We dare not take the chance of his being overtaken before he can reach us.</t>
  </si>
  <si>
    <t xml:space="preserve">chance</t>
  </si>
  <si>
    <t xml:space="preserve">being</t>
  </si>
  <si>
    <t xml:space="preserve">overtaken</t>
  </si>
  <si>
    <t xml:space="preserve"># text = At all costs we must hold our ground where we are."</t>
  </si>
  <si>
    <t xml:space="preserve">At</t>
  </si>
  <si>
    <t xml:space="preserve">all</t>
  </si>
  <si>
    <t xml:space="preserve">costs</t>
  </si>
  <si>
    <t xml:space="preserve"># text = He dropped on his knees and clapped his ear to the ground.</t>
  </si>
  <si>
    <t xml:space="preserve">dropped</t>
  </si>
  <si>
    <t xml:space="preserve">knees</t>
  </si>
  <si>
    <t xml:space="preserve">clapped</t>
  </si>
  <si>
    <t xml:space="preserve">ear</t>
  </si>
  <si>
    <t xml:space="preserve"># text = \"Thank God, I think that I hear him coming.\"</t>
  </si>
  <si>
    <t xml:space="preserve">Thank</t>
  </si>
  <si>
    <t xml:space="preserve">God</t>
  </si>
  <si>
    <t xml:space="preserve"># text = A sound of quick steps broke the silence of the moor.</t>
  </si>
  <si>
    <t xml:space="preserve">quick</t>
  </si>
  <si>
    <t xml:space="preserve">broke</t>
  </si>
  <si>
    <t xml:space="preserve">silence</t>
  </si>
  <si>
    <t xml:space="preserve"># text = Crouching among the stones we stared intently at the silver-tipped bank in front of us.</t>
  </si>
  <si>
    <t xml:space="preserve">Crouching</t>
  </si>
  <si>
    <t xml:space="preserve">among</t>
  </si>
  <si>
    <t xml:space="preserve">stones</t>
  </si>
  <si>
    <t xml:space="preserve">stared</t>
  </si>
  <si>
    <t xml:space="preserve">intently</t>
  </si>
  <si>
    <t xml:space="preserve">tipped</t>
  </si>
  <si>
    <t xml:space="preserve"># text = The steps grew louder, and through the fog, as through a curtain, there stepped the man whom we were awaiting.</t>
  </si>
  <si>
    <t xml:space="preserve">grew</t>
  </si>
  <si>
    <t xml:space="preserve">louder</t>
  </si>
  <si>
    <t xml:space="preserve">curtain</t>
  </si>
  <si>
    <t xml:space="preserve">stepped</t>
  </si>
  <si>
    <t xml:space="preserve">man</t>
  </si>
  <si>
    <t xml:space="preserve">whom</t>
  </si>
  <si>
    <t xml:space="preserve">awaiting</t>
  </si>
  <si>
    <t xml:space="preserve"># text = He looked round him in surprise as he emerged into the clear, starlit night.</t>
  </si>
  <si>
    <t xml:space="preserve">emerged</t>
  </si>
  <si>
    <t xml:space="preserve">starlit</t>
  </si>
  <si>
    <t xml:space="preserve"># text = Then he came swiftly along the path, passed close to where we lay, and went on up the long slope behind us.</t>
  </si>
  <si>
    <t xml:space="preserve">Then</t>
  </si>
  <si>
    <t xml:space="preserve">swiftly</t>
  </si>
  <si>
    <t xml:space="preserve">went</t>
  </si>
  <si>
    <t xml:space="preserve">slope</t>
  </si>
  <si>
    <t xml:space="preserve"># text = As he walked he glanced continually over either shoulder, like a man who is ill at ease.</t>
  </si>
  <si>
    <t xml:space="preserve">walked</t>
  </si>
  <si>
    <t xml:space="preserve">glanced</t>
  </si>
  <si>
    <t xml:space="preserve">continually</t>
  </si>
  <si>
    <t xml:space="preserve">shoulder</t>
  </si>
  <si>
    <t xml:space="preserve">ease</t>
  </si>
  <si>
    <t xml:space="preserve"># text = "Hist!" cried Holmes, and I heard the sharp click of a cocking pistol.</t>
  </si>
  <si>
    <t xml:space="preserve">Hist</t>
  </si>
  <si>
    <t xml:space="preserve">cried</t>
  </si>
  <si>
    <t xml:space="preserve">sharp</t>
  </si>
  <si>
    <t xml:space="preserve">click</t>
  </si>
  <si>
    <t xml:space="preserve">cocking</t>
  </si>
  <si>
    <t xml:space="preserve">pistol</t>
  </si>
  <si>
    <t xml:space="preserve"># text = \"Look out!</t>
  </si>
  <si>
    <t xml:space="preserve">Look</t>
  </si>
  <si>
    <t xml:space="preserve"># text = It's coming!\"</t>
  </si>
  <si>
    <t xml:space="preserve"># text = There was a thin, crisp, continuous patter from somewhere in the heart of that crawling bank.</t>
  </si>
  <si>
    <t xml:space="preserve">continuous</t>
  </si>
  <si>
    <t xml:space="preserve">patter</t>
  </si>
  <si>
    <t xml:space="preserve">somewhere</t>
  </si>
  <si>
    <t xml:space="preserve">heart</t>
  </si>
  <si>
    <t xml:space="preserve"># text = The cloud was within fifty yards of where we lay, and we glared at it, all three, uncertain what horror was about to break from the heart of it.</t>
  </si>
  <si>
    <t xml:space="preserve">cloud</t>
  </si>
  <si>
    <t xml:space="preserve">fifty</t>
  </si>
  <si>
    <t xml:space="preserve">glared</t>
  </si>
  <si>
    <t xml:space="preserve">three</t>
  </si>
  <si>
    <t xml:space="preserve">horror</t>
  </si>
  <si>
    <t xml:space="preserve"># text = I was at Holmes's elbow, and I glanced for an instant at his face.</t>
  </si>
  <si>
    <t xml:space="preserve">elbow</t>
  </si>
  <si>
    <t xml:space="preserve"># text = It was pale and exultant, his eyes shining brightly in the moonlight.</t>
  </si>
  <si>
    <t xml:space="preserve">exultant</t>
  </si>
  <si>
    <t xml:space="preserve">eyes</t>
  </si>
  <si>
    <t xml:space="preserve">shining</t>
  </si>
  <si>
    <t xml:space="preserve">moonlight</t>
  </si>
  <si>
    <t xml:space="preserve"># text = But suddenly they started forward in a rigid, fixed stare, and his lips parted in amazement.</t>
  </si>
  <si>
    <t xml:space="preserve">But</t>
  </si>
  <si>
    <t xml:space="preserve">rigid</t>
  </si>
  <si>
    <t xml:space="preserve">fixed</t>
  </si>
  <si>
    <t xml:space="preserve">lips</t>
  </si>
  <si>
    <t xml:space="preserve">parted</t>
  </si>
  <si>
    <t xml:space="preserve">amazement</t>
  </si>
  <si>
    <t xml:space="preserve"># text = At the same instant Lestrade gave a yell of terror and threw himself face downward upon the ground.</t>
  </si>
  <si>
    <t xml:space="preserve">same</t>
  </si>
  <si>
    <t xml:space="preserve">gave</t>
  </si>
  <si>
    <t xml:space="preserve">yell</t>
  </si>
  <si>
    <t xml:space="preserve">terror</t>
  </si>
  <si>
    <t xml:space="preserve">threw</t>
  </si>
  <si>
    <t xml:space="preserve">himself</t>
  </si>
  <si>
    <t xml:space="preserve">downward</t>
  </si>
  <si>
    <t xml:space="preserve"># text = I sprang to my feet, my inert hand grasping my pistol, my mind paralyzed by the dreadful shape which had sprung out upon us from the shadows of the fog.</t>
  </si>
  <si>
    <t xml:space="preserve">sprang</t>
  </si>
  <si>
    <t xml:space="preserve">inert</t>
  </si>
  <si>
    <t xml:space="preserve">grasping</t>
  </si>
  <si>
    <t xml:space="preserve">paralyzed</t>
  </si>
  <si>
    <t xml:space="preserve">dreadful</t>
  </si>
  <si>
    <t xml:space="preserve">shape</t>
  </si>
  <si>
    <t xml:space="preserve">sprung</t>
  </si>
  <si>
    <t xml:space="preserve">shadows</t>
  </si>
  <si>
    <t xml:space="preserve">other_8</t>
  </si>
  <si>
    <t xml:space="preserve"># text = A hound it was, an enormous coal-black hound, but not such a hound as mortal eyes have ever seen.</t>
  </si>
  <si>
    <t xml:space="preserve">enormous</t>
  </si>
  <si>
    <t xml:space="preserve">coal</t>
  </si>
  <si>
    <t xml:space="preserve">black</t>
  </si>
  <si>
    <t xml:space="preserve">such</t>
  </si>
  <si>
    <t xml:space="preserve">mortal</t>
  </si>
  <si>
    <t xml:space="preserve">ever</t>
  </si>
  <si>
    <t xml:space="preserve"># text = Fire burst from its open mouth, its eyes glowed with a smouldering glare, its muzzle and hackles and dewlap were outlined in flickering flame.</t>
  </si>
  <si>
    <t xml:space="preserve">Fire</t>
  </si>
  <si>
    <t xml:space="preserve">burst</t>
  </si>
  <si>
    <t xml:space="preserve">mouth</t>
  </si>
  <si>
    <t xml:space="preserve">glowed</t>
  </si>
  <si>
    <t xml:space="preserve">smouldering</t>
  </si>
  <si>
    <t xml:space="preserve">glare</t>
  </si>
  <si>
    <t xml:space="preserve">muzzle</t>
  </si>
  <si>
    <t xml:space="preserve">hackles</t>
  </si>
  <si>
    <t xml:space="preserve">dewlap</t>
  </si>
  <si>
    <t xml:space="preserve">flickering</t>
  </si>
  <si>
    <t xml:space="preserve">flame</t>
  </si>
  <si>
    <t xml:space="preserve"># text = Never in the delirious dream of a disordered brain could anything more savage, more appalling, more hellish be conceived than that dark form and savage face which broke upon us out of the wall of fog.</t>
  </si>
  <si>
    <t xml:space="preserve">Never</t>
  </si>
  <si>
    <t xml:space="preserve">delirious</t>
  </si>
  <si>
    <t xml:space="preserve">dream</t>
  </si>
  <si>
    <t xml:space="preserve">disordered</t>
  </si>
  <si>
    <t xml:space="preserve">brain</t>
  </si>
  <si>
    <t xml:space="preserve">anything</t>
  </si>
  <si>
    <t xml:space="preserve">savage</t>
  </si>
  <si>
    <t xml:space="preserve">appalling</t>
  </si>
  <si>
    <t xml:space="preserve">hellish</t>
  </si>
  <si>
    <t xml:space="preserve">conceived</t>
  </si>
  <si>
    <t xml:space="preserve">form</t>
  </si>
  <si>
    <t xml:space="preserve"># text = With long bounds the huge black creature was leaping down the track, following hard upon the footsteps of our friend.</t>
  </si>
  <si>
    <t xml:space="preserve">With</t>
  </si>
  <si>
    <t xml:space="preserve">bounds</t>
  </si>
  <si>
    <t xml:space="preserve">creature</t>
  </si>
  <si>
    <t xml:space="preserve">leaping</t>
  </si>
  <si>
    <t xml:space="preserve">following</t>
  </si>
  <si>
    <t xml:space="preserve">footsteps</t>
  </si>
  <si>
    <t xml:space="preserve"># text = So paralyzed were we by the apparition that we allowed him to pass before we had recovered our nerve.</t>
  </si>
  <si>
    <t xml:space="preserve">apparition</t>
  </si>
  <si>
    <t xml:space="preserve">allowed</t>
  </si>
  <si>
    <t xml:space="preserve">recovered</t>
  </si>
  <si>
    <t xml:space="preserve">nerve</t>
  </si>
  <si>
    <t xml:space="preserve"># text = Then Holmes and I both fired together, and the creature gave a hideous howl, which showed that one at least had hit him.</t>
  </si>
  <si>
    <t xml:space="preserve">fired</t>
  </si>
  <si>
    <t xml:space="preserve">together</t>
  </si>
  <si>
    <t xml:space="preserve">hideous</t>
  </si>
  <si>
    <t xml:space="preserve">howl</t>
  </si>
  <si>
    <t xml:space="preserve">showed</t>
  </si>
  <si>
    <t xml:space="preserve">least</t>
  </si>
  <si>
    <t xml:space="preserve">hit</t>
  </si>
  <si>
    <t xml:space="preserve"># text = He did not pause, however, but bounded onward.</t>
  </si>
  <si>
    <t xml:space="preserve">bounded</t>
  </si>
  <si>
    <t xml:space="preserve"># text = Far away on the path we saw Sir Henry looking back, his face white in the moonlight, his hands raised in horror, glaring helplessly at the frightful thing which was hunting him down.</t>
  </si>
  <si>
    <t xml:space="preserve">Far</t>
  </si>
  <si>
    <t xml:space="preserve">away</t>
  </si>
  <si>
    <t xml:space="preserve">looking</t>
  </si>
  <si>
    <t xml:space="preserve">raised</t>
  </si>
  <si>
    <t xml:space="preserve">glaring</t>
  </si>
  <si>
    <t xml:space="preserve">helplessly</t>
  </si>
  <si>
    <t xml:space="preserve">frightful</t>
  </si>
  <si>
    <t xml:space="preserve">hunting</t>
  </si>
  <si>
    <t xml:space="preserve"># text = But that cry of pain from the hound had blown all our fears to the winds.</t>
  </si>
  <si>
    <t xml:space="preserve">pain</t>
  </si>
  <si>
    <t xml:space="preserve">blown</t>
  </si>
  <si>
    <t xml:space="preserve">fears</t>
  </si>
  <si>
    <t xml:space="preserve">winds</t>
  </si>
  <si>
    <t xml:space="preserve"># text = If he was vulnerable he was mortal, and if we could wound him we could kill him.</t>
  </si>
  <si>
    <t xml:space="preserve">vulnerable</t>
  </si>
  <si>
    <t xml:space="preserve">wound</t>
  </si>
  <si>
    <t xml:space="preserve">kill</t>
  </si>
  <si>
    <t xml:space="preserve"># text = Never have I seen a man run as Holmes ran that night.</t>
  </si>
  <si>
    <t xml:space="preserve">run</t>
  </si>
  <si>
    <t xml:space="preserve">ran</t>
  </si>
  <si>
    <t xml:space="preserve"># text = I am reckoned fleet of foot, but he outpaced me as much as I outpaced the little professional.</t>
  </si>
  <si>
    <t xml:space="preserve">am</t>
  </si>
  <si>
    <t xml:space="preserve">reckoned</t>
  </si>
  <si>
    <t xml:space="preserve">fleet</t>
  </si>
  <si>
    <t xml:space="preserve">foot</t>
  </si>
  <si>
    <t xml:space="preserve">outpaced</t>
  </si>
  <si>
    <t xml:space="preserve">much</t>
  </si>
  <si>
    <t xml:space="preserve"># text = In front of us as we flew up the track we heard scream after scream from Sir Henry and the deep roar of the hound.</t>
  </si>
  <si>
    <t xml:space="preserve">flew</t>
  </si>
  <si>
    <t xml:space="preserve">scream</t>
  </si>
  <si>
    <t xml:space="preserve">deep</t>
  </si>
  <si>
    <t xml:space="preserve">roar</t>
  </si>
  <si>
    <t xml:space="preserve"># text = I was in time to see the beast spring upon its victim, hurl him to the ground, and worry at his throat.</t>
  </si>
  <si>
    <t xml:space="preserve">time</t>
  </si>
  <si>
    <t xml:space="preserve">beast</t>
  </si>
  <si>
    <t xml:space="preserve">victim</t>
  </si>
  <si>
    <t xml:space="preserve">worry</t>
  </si>
  <si>
    <t xml:space="preserve">throat</t>
  </si>
  <si>
    <t xml:space="preserve"># text = But the next instant Holmes had emptied five barrels of his revolver into the creature's flank.</t>
  </si>
  <si>
    <t xml:space="preserve">next</t>
  </si>
  <si>
    <t xml:space="preserve">emptied</t>
  </si>
  <si>
    <t xml:space="preserve">five</t>
  </si>
  <si>
    <t xml:space="preserve">barrels</t>
  </si>
  <si>
    <t xml:space="preserve">revolver</t>
  </si>
  <si>
    <t xml:space="preserve">flank</t>
  </si>
  <si>
    <t xml:space="preserve"># text = With a last howl of agony and a vicious snap in the air, it rolled upon its back, four feet pawing furiously, and then fell limp upon its side.</t>
  </si>
  <si>
    <t xml:space="preserve">agony</t>
  </si>
  <si>
    <t xml:space="preserve">vicious</t>
  </si>
  <si>
    <t xml:space="preserve">snap</t>
  </si>
  <si>
    <t xml:space="preserve">air</t>
  </si>
  <si>
    <t xml:space="preserve">four</t>
  </si>
  <si>
    <t xml:space="preserve">pawing</t>
  </si>
  <si>
    <t xml:space="preserve">furiously</t>
  </si>
  <si>
    <t xml:space="preserve">limp</t>
  </si>
  <si>
    <t xml:space="preserve"># text = I stooped, panting, and pressed my pistol to the dreadful, shimmering head, but it was useless to press the trigger.</t>
  </si>
  <si>
    <t xml:space="preserve">panting</t>
  </si>
  <si>
    <t xml:space="preserve">pressed</t>
  </si>
  <si>
    <t xml:space="preserve">head</t>
  </si>
  <si>
    <t xml:space="preserve">useless</t>
  </si>
  <si>
    <t xml:space="preserve">press</t>
  </si>
  <si>
    <t xml:space="preserve">trigger</t>
  </si>
  <si>
    <t xml:space="preserve"># text = The giant hound was dead.</t>
  </si>
  <si>
    <t xml:space="preserve">giant</t>
  </si>
  <si>
    <t xml:space="preserve">dead</t>
  </si>
  <si>
    <t xml:space="preserve"># text = Sir</t>
  </si>
  <si>
    <t xml:space="preserve"># text = Henry lay insensible where he had fallen.</t>
  </si>
  <si>
    <t xml:space="preserve">insensible</t>
  </si>
  <si>
    <t xml:space="preserve">fallen</t>
  </si>
  <si>
    <t xml:space="preserve"># text = We tore away his collar, and Holmes breathed a prayer of gratitude when we saw that there was no sign of a wound and that the rescue had been in time.</t>
  </si>
  <si>
    <t xml:space="preserve">collar</t>
  </si>
  <si>
    <t xml:space="preserve">breathed</t>
  </si>
  <si>
    <t xml:space="preserve">prayer</t>
  </si>
  <si>
    <t xml:space="preserve">gratitude</t>
  </si>
  <si>
    <t xml:space="preserve">sign</t>
  </si>
  <si>
    <t xml:space="preserve">rescue</t>
  </si>
  <si>
    <t xml:space="preserve"># text = Already our friend's eyelids shivered and he made a feeble effort to move.</t>
  </si>
  <si>
    <t xml:space="preserve">eyelids</t>
  </si>
  <si>
    <t xml:space="preserve">shivered</t>
  </si>
  <si>
    <t xml:space="preserve">made</t>
  </si>
  <si>
    <t xml:space="preserve">feeble</t>
  </si>
  <si>
    <t xml:space="preserve"># text = Lestrade thrust his brandy-flask between the baronet's teeth, and two frightened eyes were looking up at us.</t>
  </si>
  <si>
    <t xml:space="preserve">brandy</t>
  </si>
  <si>
    <t xml:space="preserve">flask</t>
  </si>
  <si>
    <t xml:space="preserve">between</t>
  </si>
  <si>
    <t xml:space="preserve">teeth</t>
  </si>
  <si>
    <t xml:space="preserve">frightened</t>
  </si>
  <si>
    <t xml:space="preserve"># text = \"My God!\" he whispered.</t>
  </si>
  <si>
    <t xml:space="preserve">whispered</t>
  </si>
  <si>
    <t xml:space="preserve"># text = \"What was it?</t>
  </si>
  <si>
    <t xml:space="preserve"># text = What, in heaven's name, was it?"</t>
  </si>
  <si>
    <t xml:space="preserve">name</t>
  </si>
  <si>
    <t xml:space="preserve"># text = "It's dead, whatever it is," said Holmes.</t>
  </si>
  <si>
    <t xml:space="preserve">whatever</t>
  </si>
  <si>
    <t xml:space="preserve"># text = \"We've laid the family ghost once and forever.\"</t>
  </si>
  <si>
    <t xml:space="preserve">'ve</t>
  </si>
  <si>
    <t xml:space="preserve">laid</t>
  </si>
  <si>
    <t xml:space="preserve">family</t>
  </si>
  <si>
    <t xml:space="preserve">ghost</t>
  </si>
  <si>
    <t xml:space="preserve">forever</t>
  </si>
  <si>
    <t xml:space="preserve"># text = In mere size and strength it was a terrible creature which was lying stretched before us.</t>
  </si>
  <si>
    <t xml:space="preserve">mere</t>
  </si>
  <si>
    <t xml:space="preserve">size</t>
  </si>
  <si>
    <t xml:space="preserve">strength</t>
  </si>
  <si>
    <t xml:space="preserve">terrible</t>
  </si>
  <si>
    <t xml:space="preserve">lying</t>
  </si>
  <si>
    <t xml:space="preserve"># text = It was not a pure bloodhound and it was not a pure mastiff; but it appeared to be a combination of the two—gaunt, savage, and as large as a small lioness.</t>
  </si>
  <si>
    <t xml:space="preserve">pure</t>
  </si>
  <si>
    <t xml:space="preserve">bloodhound</t>
  </si>
  <si>
    <t xml:space="preserve">mastiff</t>
  </si>
  <si>
    <t xml:space="preserve">appeared</t>
  </si>
  <si>
    <t xml:space="preserve">combination</t>
  </si>
  <si>
    <t xml:space="preserve">—gaunt</t>
  </si>
  <si>
    <t xml:space="preserve">large</t>
  </si>
  <si>
    <t xml:space="preserve">small</t>
  </si>
  <si>
    <t xml:space="preserve">lioness</t>
  </si>
  <si>
    <t xml:space="preserve"># text = Even now, in the stillness of death, the huge jaws seemed to be dripping with a bluish flame and the small, deep-set, cruel eyes were ringed with fire.</t>
  </si>
  <si>
    <t xml:space="preserve">Even</t>
  </si>
  <si>
    <t xml:space="preserve">stillness</t>
  </si>
  <si>
    <t xml:space="preserve">death</t>
  </si>
  <si>
    <t xml:space="preserve">jaws</t>
  </si>
  <si>
    <t xml:space="preserve">seemed</t>
  </si>
  <si>
    <t xml:space="preserve">dripping</t>
  </si>
  <si>
    <t xml:space="preserve">bluish</t>
  </si>
  <si>
    <t xml:space="preserve">set</t>
  </si>
  <si>
    <t xml:space="preserve">cruel</t>
  </si>
  <si>
    <t xml:space="preserve">ringed</t>
  </si>
  <si>
    <t xml:space="preserve"># text = I placed my hand upon the glowing muzzle, and as I held them up my own fingers smouldered and gleamed in the darkness.</t>
  </si>
  <si>
    <t xml:space="preserve">placed</t>
  </si>
  <si>
    <t xml:space="preserve">glowing</t>
  </si>
  <si>
    <t xml:space="preserve">held</t>
  </si>
  <si>
    <t xml:space="preserve">fingers</t>
  </si>
  <si>
    <t xml:space="preserve">smouldered</t>
  </si>
  <si>
    <t xml:space="preserve">gleamed</t>
  </si>
  <si>
    <t xml:space="preserve"># text = "Phosphorus," I said.</t>
  </si>
  <si>
    <t xml:space="preserve">Phosphorus</t>
  </si>
  <si>
    <t xml:space="preserve"># text = "A cunning preparation of it," said Holmes, sniffing at the dead animal.</t>
  </si>
  <si>
    <t xml:space="preserve">cunning</t>
  </si>
  <si>
    <t xml:space="preserve">preparation</t>
  </si>
  <si>
    <t xml:space="preserve">sniffing</t>
  </si>
  <si>
    <t xml:space="preserve">animal</t>
  </si>
  <si>
    <t xml:space="preserve"># text = \"There is no smell which might have interfered with his power of scent.</t>
  </si>
  <si>
    <t xml:space="preserve">smell</t>
  </si>
  <si>
    <t xml:space="preserve">might</t>
  </si>
  <si>
    <t xml:space="preserve">interfered</t>
  </si>
  <si>
    <t xml:space="preserve">power</t>
  </si>
  <si>
    <t xml:space="preserve">scent</t>
  </si>
  <si>
    <t xml:space="preserve"># text = We owe you a deep apology, Sir Henry, for having exposed you to this fright.</t>
  </si>
  <si>
    <t xml:space="preserve">apology</t>
  </si>
  <si>
    <t xml:space="preserve">having</t>
  </si>
  <si>
    <t xml:space="preserve">exposed</t>
  </si>
  <si>
    <t xml:space="preserve">fright</t>
  </si>
  <si>
    <t xml:space="preserve"># text = I was prepared for a hound, but not for such a creature as this.</t>
  </si>
  <si>
    <t xml:space="preserve">prepared</t>
  </si>
  <si>
    <t xml:space="preserve"># text = And the fog gave us little time to receive him.\"</t>
  </si>
  <si>
    <t xml:space="preserve">receive</t>
  </si>
  <si>
    <t xml:space="preserve"># text = \"You have saved my life.\"</t>
  </si>
  <si>
    <t xml:space="preserve">saved</t>
  </si>
  <si>
    <t xml:space="preserve"># text = \"Having first endangered it.</t>
  </si>
  <si>
    <t xml:space="preserve">Having</t>
  </si>
  <si>
    <t xml:space="preserve">endangered</t>
  </si>
  <si>
    <t xml:space="preserve"># text = Are you strong enough to stand?\"</t>
  </si>
  <si>
    <t xml:space="preserve">strong</t>
  </si>
  <si>
    <t xml:space="preserve">enough</t>
  </si>
  <si>
    <t xml:space="preserve">stand</t>
  </si>
  <si>
    <t xml:space="preserve"># text = "Give me another mouthful of that brandy and I shall be ready for anything.</t>
  </si>
  <si>
    <t xml:space="preserve">Give</t>
  </si>
  <si>
    <t xml:space="preserve">another</t>
  </si>
  <si>
    <t xml:space="preserve">mouthful</t>
  </si>
  <si>
    <t xml:space="preserve"># text = So!</t>
  </si>
  <si>
    <t xml:space="preserve"># text = Now, if you will help me up.</t>
  </si>
  <si>
    <t xml:space="preserve">Now</t>
  </si>
  <si>
    <t xml:space="preserve"># text = What do you propose to do?\"</t>
  </si>
  <si>
    <t xml:space="preserve"># text = \"To leave you here.</t>
  </si>
  <si>
    <t xml:space="preserve">To</t>
  </si>
  <si>
    <t xml:space="preserve"># text = You are not fit for further adventures to-night.</t>
  </si>
  <si>
    <t xml:space="preserve">further</t>
  </si>
  <si>
    <t xml:space="preserve">adventures</t>
  </si>
  <si>
    <t xml:space="preserve"># text = If you will wait, one or other of us will go back with you to the Hall."</t>
  </si>
  <si>
    <t xml:space="preserve"># text = He tried to stagger to his feet; but he was still ghastly pale and trembling in every limb.</t>
  </si>
  <si>
    <t xml:space="preserve">tried</t>
  </si>
  <si>
    <t xml:space="preserve">stagger</t>
  </si>
  <si>
    <t xml:space="preserve">ghastly</t>
  </si>
  <si>
    <t xml:space="preserve">trembling</t>
  </si>
  <si>
    <t xml:space="preserve">limb</t>
  </si>
  <si>
    <t xml:space="preserve"># text = We helped him to a rock, where he sat shivering with his face buried in his hands.</t>
  </si>
  <si>
    <t xml:space="preserve">helped</t>
  </si>
  <si>
    <t xml:space="preserve">shivering</t>
  </si>
  <si>
    <t xml:space="preserve">buried</t>
  </si>
  <si>
    <t xml:space="preserve"># text = "We must leave you now," said Holmes.</t>
  </si>
  <si>
    <t xml:space="preserve"># text = "The rest of our work must be done, and every moment is of importance.</t>
  </si>
  <si>
    <t xml:space="preserve">rest</t>
  </si>
  <si>
    <t xml:space="preserve">work</t>
  </si>
  <si>
    <t xml:space="preserve">done</t>
  </si>
  <si>
    <t xml:space="preserve">moment</t>
  </si>
  <si>
    <t xml:space="preserve">importance</t>
  </si>
  <si>
    <t xml:space="preserve"># text = We have our case, and now we only want our man.</t>
  </si>
  <si>
    <t xml:space="preserve">case</t>
  </si>
  <si>
    <t xml:space="preserve">want</t>
  </si>
  <si>
    <t xml:space="preserve"># text = "It's a thousand to one against our finding him at the house," he continued as we retraced our steps swiftly down the path.</t>
  </si>
  <si>
    <t xml:space="preserve">thousand</t>
  </si>
  <si>
    <t xml:space="preserve">finding</t>
  </si>
  <si>
    <t xml:space="preserve">continued</t>
  </si>
  <si>
    <t xml:space="preserve">retraced</t>
  </si>
  <si>
    <t xml:space="preserve"># text = "Those shots must have told him that the game was up."</t>
  </si>
  <si>
    <t xml:space="preserve">Those</t>
  </si>
  <si>
    <t xml:space="preserve">shots</t>
  </si>
  <si>
    <t xml:space="preserve"># text = "We were some distance off, and this fog may have deadened them."</t>
  </si>
  <si>
    <t xml:space="preserve">some</t>
  </si>
  <si>
    <t xml:space="preserve">distance</t>
  </si>
  <si>
    <t xml:space="preserve">deadened</t>
  </si>
  <si>
    <t xml:space="preserve"># text = "He followed the hound to call him off—of that you may be certain.</t>
  </si>
  <si>
    <t xml:space="preserve">followed</t>
  </si>
  <si>
    <t xml:space="preserve">—of</t>
  </si>
  <si>
    <t xml:space="preserve">certain</t>
  </si>
  <si>
    <t xml:space="preserve"># text = No, no, he's gone by this time!</t>
  </si>
  <si>
    <t xml:space="preserve">gone</t>
  </si>
  <si>
    <t xml:space="preserve"># text = But we'll search the house and make sure."</t>
  </si>
  <si>
    <t xml:space="preserve">'ll</t>
  </si>
  <si>
    <t xml:space="preserve">sure</t>
  </si>
  <si>
    <t xml:space="preserve"># text = The front door was open, so we rushed in and hurried from room to room to the amazement of a doddering old manservant, who met us in the passage.</t>
  </si>
  <si>
    <t xml:space="preserve">rushed</t>
  </si>
  <si>
    <t xml:space="preserve">hurried</t>
  </si>
  <si>
    <t xml:space="preserve">doddering</t>
  </si>
  <si>
    <t xml:space="preserve">old</t>
  </si>
  <si>
    <t xml:space="preserve">manservant</t>
  </si>
  <si>
    <t xml:space="preserve">SBJ_8</t>
  </si>
  <si>
    <t xml:space="preserve">met</t>
  </si>
  <si>
    <t xml:space="preserve">OBJ_8</t>
  </si>
  <si>
    <t xml:space="preserve">passage</t>
  </si>
  <si>
    <t xml:space="preserve"># text = There was no light save in the dining-room, but Holmes caught up the lamp and left no corner of the house unexplored.</t>
  </si>
  <si>
    <t xml:space="preserve">caught</t>
  </si>
  <si>
    <t xml:space="preserve">unexplored</t>
  </si>
  <si>
    <t xml:space="preserve"># text = No sign could we see of the man whom we were chasing.</t>
  </si>
  <si>
    <t xml:space="preserve">chasing</t>
  </si>
  <si>
    <t xml:space="preserve"># text = On the upper floor, however, one of the bedroom doors was locked.</t>
  </si>
  <si>
    <t xml:space="preserve">On</t>
  </si>
  <si>
    <t xml:space="preserve">bedroom</t>
  </si>
  <si>
    <t xml:space="preserve">doors</t>
  </si>
  <si>
    <t xml:space="preserve">locked</t>
  </si>
  <si>
    <t xml:space="preserve"># text = "There's someone in here," cried Lestrade.</t>
  </si>
  <si>
    <t xml:space="preserve">someone</t>
  </si>
  <si>
    <t xml:space="preserve">pron.pind</t>
  </si>
  <si>
    <t xml:space="preserve"># text = "I can hear a movement.</t>
  </si>
  <si>
    <t xml:space="preserve">movement</t>
  </si>
  <si>
    <t xml:space="preserve"># text = Open this door!\"</t>
  </si>
  <si>
    <t xml:space="preserve">Open</t>
  </si>
  <si>
    <t xml:space="preserve"># text = A faint moaning and rustling came from within.</t>
  </si>
  <si>
    <t xml:space="preserve">fai</t>
  </si>
  <si>
    <t xml:space="preserve">nt</t>
  </si>
  <si>
    <t xml:space="preserve">moaning</t>
  </si>
  <si>
    <t xml:space="preserve">rustling</t>
  </si>
  <si>
    <t xml:space="preserve"># text = Holmes struck the door just over the lock with the flat of his foot and it flew open.</t>
  </si>
  <si>
    <t xml:space="preserve">just</t>
  </si>
  <si>
    <t xml:space="preserve">flat</t>
  </si>
  <si>
    <t xml:space="preserve"># text = Pistol in hand, we all three rushed into the room.</t>
  </si>
  <si>
    <t xml:space="preserve"># text = But there was no sign within it of that desperate and defiant villain whom we expected to see.</t>
  </si>
  <si>
    <t xml:space="preserve">desperate</t>
  </si>
  <si>
    <t xml:space="preserve">defiant</t>
  </si>
  <si>
    <t xml:space="preserve">expected</t>
  </si>
  <si>
    <t xml:space="preserve"># text = Instead we were faced by an object so strange and so unexpected that we stood for a moment staring at it in amazement.</t>
  </si>
  <si>
    <t xml:space="preserve">Instead</t>
  </si>
  <si>
    <t xml:space="preserve">faced</t>
  </si>
  <si>
    <t xml:space="preserve">object</t>
  </si>
  <si>
    <t xml:space="preserve">unexpected</t>
  </si>
  <si>
    <t xml:space="preserve">stood</t>
  </si>
  <si>
    <t xml:space="preserve">staring</t>
  </si>
  <si>
    <t xml:space="preserve"># text = The room had been fashioned into a small museum, and the walls were lined by a number of glass-topped cases full of that collection of butterflies and moths the formation of which had been the relaxation of this complex and dangerous man.</t>
  </si>
  <si>
    <t xml:space="preserve">fashioned</t>
  </si>
  <si>
    <t xml:space="preserve">museum</t>
  </si>
  <si>
    <t xml:space="preserve">walls</t>
  </si>
  <si>
    <t xml:space="preserve">lined</t>
  </si>
  <si>
    <t xml:space="preserve">number</t>
  </si>
  <si>
    <t xml:space="preserve">topped</t>
  </si>
  <si>
    <t xml:space="preserve">cases</t>
  </si>
  <si>
    <t xml:space="preserve">collection</t>
  </si>
  <si>
    <t xml:space="preserve">butterflies</t>
  </si>
  <si>
    <t xml:space="preserve">moths</t>
  </si>
  <si>
    <t xml:space="preserve">formation</t>
  </si>
  <si>
    <t xml:space="preserve">relaxation</t>
  </si>
  <si>
    <t xml:space="preserve">complex</t>
  </si>
  <si>
    <t xml:space="preserve">dangerous</t>
  </si>
  <si>
    <t xml:space="preserve"># text = In the centre of this room there was an upright beam, which had been placed at some period as a support for the old worm-eaten baulk of timber which spanned the roof.</t>
  </si>
  <si>
    <t xml:space="preserve">centre</t>
  </si>
  <si>
    <t xml:space="preserve">upright</t>
  </si>
  <si>
    <t xml:space="preserve">beam</t>
  </si>
  <si>
    <t xml:space="preserve">period</t>
  </si>
  <si>
    <t xml:space="preserve">support</t>
  </si>
  <si>
    <t xml:space="preserve">worm</t>
  </si>
  <si>
    <t xml:space="preserve">-eaten</t>
  </si>
  <si>
    <t xml:space="preserve">baulk</t>
  </si>
  <si>
    <t xml:space="preserve">timber</t>
  </si>
  <si>
    <t xml:space="preserve">spanned</t>
  </si>
  <si>
    <t xml:space="preserve"># text = To this post a figure was tied, so swathed and muffled in the sheets which had been used to secure it that one could not for the moment tell whether it was that of a man or a woman.</t>
  </si>
  <si>
    <t xml:space="preserve">post</t>
  </si>
  <si>
    <t xml:space="preserve">figure</t>
  </si>
  <si>
    <t xml:space="preserve">tied</t>
  </si>
  <si>
    <t xml:space="preserve">swathed</t>
  </si>
  <si>
    <t xml:space="preserve">muffled</t>
  </si>
  <si>
    <t xml:space="preserve">sheets</t>
  </si>
  <si>
    <t xml:space="preserve">used</t>
  </si>
  <si>
    <t xml:space="preserve">secure</t>
  </si>
  <si>
    <t xml:space="preserve">whether</t>
  </si>
  <si>
    <t xml:space="preserve">woman</t>
  </si>
  <si>
    <t xml:space="preserve"># text = One towel passed round the throat and was secured at the back of the pillar.</t>
  </si>
  <si>
    <t xml:space="preserve">secured</t>
  </si>
  <si>
    <t xml:space="preserve">pillar</t>
  </si>
  <si>
    <t xml:space="preserve"># text = Another covered the lower part of the face, and over it two dark eyes—eyes full of grief and shame and a dreadful questioning—stared back at us.</t>
  </si>
  <si>
    <t xml:space="preserve">Another</t>
  </si>
  <si>
    <t xml:space="preserve">part</t>
  </si>
  <si>
    <t xml:space="preserve">—eyes</t>
  </si>
  <si>
    <t xml:space="preserve">grief</t>
  </si>
  <si>
    <t xml:space="preserve">shame</t>
  </si>
  <si>
    <t xml:space="preserve">questioning</t>
  </si>
  <si>
    <t xml:space="preserve">—stared</t>
  </si>
  <si>
    <t xml:space="preserve"># text = In a minute we had torn off the gag, unswathed the bonds, and Mrs.</t>
  </si>
  <si>
    <t xml:space="preserve">torn</t>
  </si>
  <si>
    <t xml:space="preserve">gag</t>
  </si>
  <si>
    <t xml:space="preserve">unswathed</t>
  </si>
  <si>
    <t xml:space="preserve">bonds</t>
  </si>
  <si>
    <t xml:space="preserve">Mrs.</t>
  </si>
  <si>
    <t xml:space="preserve"># text = Stapleton sank upon the floor in front of us.</t>
  </si>
  <si>
    <t xml:space="preserve"># text = As her beautiful head fell upon her chest I saw the clear red weal of a whiplash across her neck.</t>
  </si>
  <si>
    <t xml:space="preserve">her</t>
  </si>
  <si>
    <t xml:space="preserve">beautiful</t>
  </si>
  <si>
    <t xml:space="preserve">chest</t>
  </si>
  <si>
    <t xml:space="preserve">red</t>
  </si>
  <si>
    <t xml:space="preserve">weal</t>
  </si>
  <si>
    <t xml:space="preserve">whiplash</t>
  </si>
  <si>
    <t xml:space="preserve">neck</t>
  </si>
  <si>
    <t xml:space="preserve"># text = "The brute!" cried Holmes.</t>
  </si>
  <si>
    <t xml:space="preserve">brute</t>
  </si>
  <si>
    <t xml:space="preserve"># text = "Here, Lestrade, your brandy-bottle!</t>
  </si>
  <si>
    <t xml:space="preserve">Here</t>
  </si>
  <si>
    <t xml:space="preserve">your</t>
  </si>
  <si>
    <t xml:space="preserve">bottle</t>
  </si>
  <si>
    <t xml:space="preserve"># text = Put her in the chair!</t>
  </si>
  <si>
    <t xml:space="preserve">Put</t>
  </si>
  <si>
    <t xml:space="preserve"># text = She has fainted from ill-usage and exhaustion."</t>
  </si>
  <si>
    <t xml:space="preserve">She</t>
  </si>
  <si>
    <t xml:space="preserve">has</t>
  </si>
  <si>
    <t xml:space="preserve">fainted</t>
  </si>
  <si>
    <t xml:space="preserve">usage</t>
  </si>
  <si>
    <t xml:space="preserve">exhaustion</t>
  </si>
  <si>
    <t xml:space="preserve"># text = She opened her eyes again.</t>
  </si>
  <si>
    <t xml:space="preserve">opened</t>
  </si>
  <si>
    <t xml:space="preserve"># text = "Is he safe?" she asked.</t>
  </si>
  <si>
    <t xml:space="preserve">safe</t>
  </si>
  <si>
    <t xml:space="preserve"># text = \"Has he escaped?\"</t>
  </si>
  <si>
    <t xml:space="preserve">Has</t>
  </si>
  <si>
    <t xml:space="preserve">escaped</t>
  </si>
  <si>
    <t xml:space="preserve"># text = "He cannot escape us, madam."</t>
  </si>
  <si>
    <t xml:space="preserve">madam</t>
  </si>
  <si>
    <t xml:space="preserve"># text = "No, no, I did not mean my husband.</t>
  </si>
  <si>
    <t xml:space="preserve">husband</t>
  </si>
  <si>
    <t xml:space="preserve"># text = Sir Henry?</t>
  </si>
  <si>
    <t xml:space="preserve"># text = Is he safe?"</t>
  </si>
  <si>
    <t xml:space="preserve"># text = "Yes."</t>
  </si>
  <si>
    <t xml:space="preserve"># text = "And the hound?"</t>
  </si>
  <si>
    <t xml:space="preserve"># text = \"It is dead.\"</t>
  </si>
  <si>
    <t xml:space="preserve"># text = She gave a long sigh of satisfaction.</t>
  </si>
  <si>
    <t xml:space="preserve">sigh</t>
  </si>
  <si>
    <t xml:space="preserve">satisfaction</t>
  </si>
  <si>
    <t xml:space="preserve"># text = "Thank God!</t>
  </si>
  <si>
    <t xml:space="preserve"># text = Thank God!</t>
  </si>
  <si>
    <t xml:space="preserve"># text = Oh, this villain!</t>
  </si>
  <si>
    <t xml:space="preserve">Oh</t>
  </si>
  <si>
    <t xml:space="preserve"># text = See how he has treated me!"</t>
  </si>
  <si>
    <t xml:space="preserve">See</t>
  </si>
  <si>
    <t xml:space="preserve">how</t>
  </si>
  <si>
    <t xml:space="preserve">treated</t>
  </si>
  <si>
    <t xml:space="preserve"># text = She shot her arms out from her sleeves, and we saw with horror that they were all mottled with bruises.</t>
  </si>
  <si>
    <t xml:space="preserve">arms</t>
  </si>
  <si>
    <t xml:space="preserve">sleeves</t>
  </si>
  <si>
    <t xml:space="preserve">mottled</t>
  </si>
  <si>
    <t xml:space="preserve">bruises</t>
  </si>
  <si>
    <t xml:space="preserve"># text = "But this is nothing—nothing!</t>
  </si>
  <si>
    <t xml:space="preserve">—nothing</t>
  </si>
  <si>
    <t xml:space="preserve"># text = It is my mind and soul that he has tortured and defiled.</t>
  </si>
  <si>
    <t xml:space="preserve">soul</t>
  </si>
  <si>
    <t xml:space="preserve">tortured</t>
  </si>
  <si>
    <t xml:space="preserve">defiled</t>
  </si>
  <si>
    <t xml:space="preserve"># text = I could endure it all, ill-usage, solitude, a life of deception, everything, as long as I could still cling to the hope that I had his love, but now I know that in this also I have been his dupe and his tool.\"</t>
  </si>
  <si>
    <t xml:space="preserve">solitude</t>
  </si>
  <si>
    <t xml:space="preserve">deception</t>
  </si>
  <si>
    <t xml:space="preserve">everything</t>
  </si>
  <si>
    <t xml:space="preserve">cling</t>
  </si>
  <si>
    <t xml:space="preserve">hope</t>
  </si>
  <si>
    <t xml:space="preserve">love</t>
  </si>
  <si>
    <t xml:space="preserve">dupe</t>
  </si>
  <si>
    <t xml:space="preserve">tool</t>
  </si>
  <si>
    <t xml:space="preserve"># text = She broke into passionate sobbing as she spoke.</t>
  </si>
  <si>
    <t xml:space="preserve">passionate</t>
  </si>
  <si>
    <t xml:space="preserve">sobbing</t>
  </si>
  <si>
    <t xml:space="preserve">spoke</t>
  </si>
  <si>
    <t xml:space="preserve"># text = \"You bear him no good will, madam,\" said Holmes.</t>
  </si>
  <si>
    <t xml:space="preserve">bear</t>
  </si>
  <si>
    <t xml:space="preserve"># text = "Tell us then where we shall find him.</t>
  </si>
  <si>
    <t xml:space="preserve">Tell</t>
  </si>
  <si>
    <t xml:space="preserve"># text = If you have ever aided him in evil, help us now and so atone."</t>
  </si>
  <si>
    <t xml:space="preserve">aided</t>
  </si>
  <si>
    <t xml:space="preserve">evil</t>
  </si>
  <si>
    <t xml:space="preserve">atone</t>
  </si>
  <si>
    <t xml:space="preserve"># text = \"There is but one place where he can have fled,\" she answered.</t>
  </si>
  <si>
    <t xml:space="preserve">fled</t>
  </si>
  <si>
    <t xml:space="preserve">answered</t>
  </si>
  <si>
    <t xml:space="preserve"># text = \"There is an old tin mine on an island in the heart of the mire.</t>
  </si>
  <si>
    <t xml:space="preserve">tin</t>
  </si>
  <si>
    <t xml:space="preserve">mine</t>
  </si>
  <si>
    <t xml:space="preserve">island</t>
  </si>
  <si>
    <t xml:space="preserve">mire</t>
  </si>
  <si>
    <t xml:space="preserve"># text = It was there that he kept his hound and there also he had made preparations so that he might have a refuge.</t>
  </si>
  <si>
    <t xml:space="preserve">kept</t>
  </si>
  <si>
    <t xml:space="preserve">preparations</t>
  </si>
  <si>
    <t xml:space="preserve">refuge</t>
  </si>
  <si>
    <t xml:space="preserve"># text = That is where he would fly.\"</t>
  </si>
  <si>
    <t xml:space="preserve"># text = The fog-bank lay like white wool against the window.</t>
  </si>
  <si>
    <t xml:space="preserve">wool</t>
  </si>
  <si>
    <t xml:space="preserve"># text = Holmes held the lamp towards it.</t>
  </si>
  <si>
    <t xml:space="preserve"># text = "See," said he.</t>
  </si>
  <si>
    <t xml:space="preserve"># text = "No one could find his way into the Grimpen Mire to-night."</t>
  </si>
  <si>
    <t xml:space="preserve">way</t>
  </si>
  <si>
    <t xml:space="preserve"># text = She laughed and clapped her hands.</t>
  </si>
  <si>
    <t xml:space="preserve">laughed</t>
  </si>
  <si>
    <t xml:space="preserve"># text = Her eyes and teeth gleamed with fierce merriment.</t>
  </si>
  <si>
    <t xml:space="preserve">Her</t>
  </si>
  <si>
    <t xml:space="preserve">fierce</t>
  </si>
  <si>
    <t xml:space="preserve">merriment</t>
  </si>
  <si>
    <t xml:space="preserve"># text = \"He may find his way in, but never out,\" she cried.</t>
  </si>
  <si>
    <t xml:space="preserve"># text = "How can he see the guiding wands to-night?</t>
  </si>
  <si>
    <t xml:space="preserve">How</t>
  </si>
  <si>
    <t xml:space="preserve">guiding</t>
  </si>
  <si>
    <t xml:space="preserve">wands</t>
  </si>
  <si>
    <t xml:space="preserve"># text = We planted them together, he and I, to mark the pathway through the mire.</t>
  </si>
  <si>
    <t xml:space="preserve">planted</t>
  </si>
  <si>
    <t xml:space="preserve">mark</t>
  </si>
  <si>
    <t xml:space="preserve">pathway</t>
  </si>
  <si>
    <t xml:space="preserve"># text = Oh, if I could only have plucked them out to-day.</t>
  </si>
  <si>
    <t xml:space="preserve">plucked</t>
  </si>
  <si>
    <t xml:space="preserve">day</t>
  </si>
  <si>
    <t xml:space="preserve"># text = Then indeed you would have had him at your mercy!\"</t>
  </si>
  <si>
    <t xml:space="preserve">mercy</t>
  </si>
  <si>
    <t xml:space="preserve"># text = It was evident to us that all pursuit was in vain until the fog had lifted.</t>
  </si>
  <si>
    <t xml:space="preserve">evident</t>
  </si>
  <si>
    <t xml:space="preserve">pursuit</t>
  </si>
  <si>
    <t xml:space="preserve">vain</t>
  </si>
  <si>
    <t xml:space="preserve">lifted</t>
  </si>
  <si>
    <t xml:space="preserve"># text = Meanwhile we left Lestrade in possession of the house while Holmes and I went back with the baronet to Baskerville Hall.</t>
  </si>
  <si>
    <t xml:space="preserve">Meanwhile</t>
  </si>
  <si>
    <t xml:space="preserve">possession</t>
  </si>
  <si>
    <t xml:space="preserve">Baskerville</t>
  </si>
  <si>
    <t xml:space="preserve"># text = The story of the Stapletons could no longer be withheld from him, but he took the blow bravely when he learned the truth about the woman whom he had loved.</t>
  </si>
  <si>
    <t xml:space="preserve">story</t>
  </si>
  <si>
    <t xml:space="preserve">Stapletons</t>
  </si>
  <si>
    <t xml:space="preserve">longer</t>
  </si>
  <si>
    <t xml:space="preserve">took</t>
  </si>
  <si>
    <t xml:space="preserve">bravely</t>
  </si>
  <si>
    <t xml:space="preserve">learned</t>
  </si>
  <si>
    <t xml:space="preserve">truth</t>
  </si>
  <si>
    <t xml:space="preserve"># text = But the shock of the night's adventures had shattered his nerves, and before morning he lay delirious in a high fever, under the care of Dr. Mortimer.</t>
  </si>
  <si>
    <t xml:space="preserve">shock</t>
  </si>
  <si>
    <t xml:space="preserve">shattered</t>
  </si>
  <si>
    <t xml:space="preserve">morning</t>
  </si>
  <si>
    <t xml:space="preserve">high</t>
  </si>
  <si>
    <t xml:space="preserve">fever</t>
  </si>
  <si>
    <t xml:space="preserve">care</t>
  </si>
  <si>
    <t xml:space="preserve">Dr.</t>
  </si>
  <si>
    <t xml:space="preserve">Mortimer</t>
  </si>
  <si>
    <t xml:space="preserve"># text = The two of them were destined to travel together round the world before Sir Henry had become once more the hale, hearty man that he had been before he became master of that ill-omened estate.</t>
  </si>
  <si>
    <t xml:space="preserve">destined</t>
  </si>
  <si>
    <t xml:space="preserve">travel</t>
  </si>
  <si>
    <t xml:space="preserve">world</t>
  </si>
  <si>
    <t xml:space="preserve">become</t>
  </si>
  <si>
    <t xml:space="preserve">hale</t>
  </si>
  <si>
    <t xml:space="preserve">hearty</t>
  </si>
  <si>
    <t xml:space="preserve">became</t>
  </si>
  <si>
    <t xml:space="preserve">master</t>
  </si>
  <si>
    <t xml:space="preserve">estate</t>
  </si>
  <si>
    <t xml:space="preserve"># text = And now I come rapidly to the conclusion of this singular narrative, in which I have tried to make the reader share those dark fears and vague surmises which clouded our lives so long and ended in so tragic a manner.</t>
  </si>
  <si>
    <t xml:space="preserve">rapidly</t>
  </si>
  <si>
    <t xml:space="preserve">conclusion</t>
  </si>
  <si>
    <t xml:space="preserve">singular</t>
  </si>
  <si>
    <t xml:space="preserve">narrative</t>
  </si>
  <si>
    <t xml:space="preserve">reader</t>
  </si>
  <si>
    <t xml:space="preserve">share</t>
  </si>
  <si>
    <t xml:space="preserve">vague</t>
  </si>
  <si>
    <t xml:space="preserve">surmises</t>
  </si>
  <si>
    <t xml:space="preserve">clouded</t>
  </si>
  <si>
    <t xml:space="preserve">lives</t>
  </si>
  <si>
    <t xml:space="preserve">ended</t>
  </si>
  <si>
    <t xml:space="preserve">tragic</t>
  </si>
  <si>
    <t xml:space="preserve">manner</t>
  </si>
  <si>
    <t xml:space="preserve"># text = On the morning after the death of the hound the fog had lifted and we were guided by Mrs. Stapleton to the point where they had found a pathway through the bog.</t>
  </si>
  <si>
    <t xml:space="preserve">guided</t>
  </si>
  <si>
    <t xml:space="preserve">found</t>
  </si>
  <si>
    <t xml:space="preserve">bog</t>
  </si>
  <si>
    <t xml:space="preserve"># text = It helped us to realize the horror of this woman's life when we saw the eagerness and joy with which she laid us on her husband's track.</t>
  </si>
  <si>
    <t xml:space="preserve">realize</t>
  </si>
  <si>
    <t xml:space="preserve">eagerness</t>
  </si>
  <si>
    <t xml:space="preserve">joy</t>
  </si>
  <si>
    <t xml:space="preserve"># text = We left her standing upon the thin peninsula of firm, peaty soil which tapered out into the widespread bog.</t>
  </si>
  <si>
    <t xml:space="preserve">peninsula</t>
  </si>
  <si>
    <t xml:space="preserve">firm</t>
  </si>
  <si>
    <t xml:space="preserve">peaty</t>
  </si>
  <si>
    <t xml:space="preserve">soil</t>
  </si>
  <si>
    <t xml:space="preserve">tapered</t>
  </si>
  <si>
    <t xml:space="preserve">widespread</t>
  </si>
  <si>
    <t xml:space="preserve"># text = From the end of it a small wand planted here and there showed where the path zigzagged from tuft to tuft of rushes among those green-scummed pits and foul quagmires which barred the way to the stranger.</t>
  </si>
  <si>
    <t xml:space="preserve">From</t>
  </si>
  <si>
    <t xml:space="preserve">zigzagged</t>
  </si>
  <si>
    <t xml:space="preserve">tuft</t>
  </si>
  <si>
    <t xml:space="preserve">rushes</t>
  </si>
  <si>
    <t xml:space="preserve">green</t>
  </si>
  <si>
    <t xml:space="preserve">scummed</t>
  </si>
  <si>
    <t xml:space="preserve">pits</t>
  </si>
  <si>
    <t xml:space="preserve">foul</t>
  </si>
  <si>
    <t xml:space="preserve">quagmires</t>
  </si>
  <si>
    <t xml:space="preserve">barred</t>
  </si>
  <si>
    <t xml:space="preserve">stranger</t>
  </si>
  <si>
    <t xml:space="preserve"># text = Rank reeds and lush, slimy water-plants sent an odour of decay and a heavy miasmatic vapour onto our faces, while a false step plunged us more than once thigh-deep into the dark, quivering mire, which shook for yards in soft undulations around our feet.</t>
  </si>
  <si>
    <t xml:space="preserve">Rank</t>
  </si>
  <si>
    <t xml:space="preserve">reeds</t>
  </si>
  <si>
    <t xml:space="preserve">lush</t>
  </si>
  <si>
    <t xml:space="preserve">slimy</t>
  </si>
  <si>
    <t xml:space="preserve">water</t>
  </si>
  <si>
    <t xml:space="preserve">plants</t>
  </si>
  <si>
    <t xml:space="preserve">sent</t>
  </si>
  <si>
    <t xml:space="preserve">odour</t>
  </si>
  <si>
    <t xml:space="preserve">decay</t>
  </si>
  <si>
    <t xml:space="preserve">heavy</t>
  </si>
  <si>
    <t xml:space="preserve">miasmatic</t>
  </si>
  <si>
    <t xml:space="preserve">onto</t>
  </si>
  <si>
    <t xml:space="preserve">false</t>
  </si>
  <si>
    <t xml:space="preserve">step</t>
  </si>
  <si>
    <t xml:space="preserve">plunged</t>
  </si>
  <si>
    <t xml:space="preserve">thigh</t>
  </si>
  <si>
    <t xml:space="preserve">quivering</t>
  </si>
  <si>
    <t xml:space="preserve">shook</t>
  </si>
  <si>
    <t xml:space="preserve">undulations</t>
  </si>
  <si>
    <t xml:space="preserve"># text = Its tenacious grip plucked at our heels as we walked, and when we sank into it it was as if some malignant hand was tugging us down into those obscene depths, so grim and purposeful was the clutch in which it held us.</t>
  </si>
  <si>
    <t xml:space="preserve">tenacious</t>
  </si>
  <si>
    <t xml:space="preserve">grip</t>
  </si>
  <si>
    <t xml:space="preserve">heels</t>
  </si>
  <si>
    <t xml:space="preserve">malignant</t>
  </si>
  <si>
    <t xml:space="preserve">tugging</t>
  </si>
  <si>
    <t xml:space="preserve">obscene</t>
  </si>
  <si>
    <t xml:space="preserve">depths</t>
  </si>
  <si>
    <t xml:space="preserve">grim</t>
  </si>
  <si>
    <t xml:space="preserve">purposeful</t>
  </si>
  <si>
    <t xml:space="preserve">clutch</t>
  </si>
  <si>
    <t xml:space="preserve"># text = Once only we saw a trace that someone had passed that perilous way before us.</t>
  </si>
  <si>
    <t xml:space="preserve">Once</t>
  </si>
  <si>
    <t xml:space="preserve">perilous</t>
  </si>
  <si>
    <t xml:space="preserve"># text = From amid a tuft of cotton grass which bore it up out of the slime some dark thing was projecting.</t>
  </si>
  <si>
    <t xml:space="preserve">amid</t>
  </si>
  <si>
    <t xml:space="preserve">cotton</t>
  </si>
  <si>
    <t xml:space="preserve">grass</t>
  </si>
  <si>
    <t xml:space="preserve">bore</t>
  </si>
  <si>
    <t xml:space="preserve">slime</t>
  </si>
  <si>
    <t xml:space="preserve">projecting</t>
  </si>
  <si>
    <t xml:space="preserve"># text = Holmes sank to his waist as he stepped from the path to seize it, and had we not been there to drag him out he could never have set his foot upon firm land again.</t>
  </si>
  <si>
    <t xml:space="preserve">waist</t>
  </si>
  <si>
    <t xml:space="preserve">seize</t>
  </si>
  <si>
    <t xml:space="preserve">drag</t>
  </si>
  <si>
    <t xml:space="preserve"># text = He held an old black boot in the air.</t>
  </si>
  <si>
    <t xml:space="preserve">boot</t>
  </si>
  <si>
    <t xml:space="preserve"># text = \"Meyers, Toronto,\" was printed on the leather inside.</t>
  </si>
  <si>
    <t xml:space="preserve">Meyers</t>
  </si>
  <si>
    <t xml:space="preserve">Toronto</t>
  </si>
  <si>
    <t xml:space="preserve">printed</t>
  </si>
  <si>
    <t xml:space="preserve">leather</t>
  </si>
  <si>
    <t xml:space="preserve"># text = \"It is worth a mud bath,\" said he.</t>
  </si>
  <si>
    <t xml:space="preserve">worth</t>
  </si>
  <si>
    <t xml:space="preserve">mud</t>
  </si>
  <si>
    <t xml:space="preserve">bath</t>
  </si>
  <si>
    <t xml:space="preserve"># text = \"It is our friend Sir Henry's missing boot.\"</t>
  </si>
  <si>
    <t xml:space="preserve">missing</t>
  </si>
  <si>
    <t xml:space="preserve"># text = \"Thrown there by Stapleton in his flight.\"</t>
  </si>
  <si>
    <t xml:space="preserve">Thrown</t>
  </si>
  <si>
    <t xml:space="preserve">flight</t>
  </si>
  <si>
    <t xml:space="preserve"># text = \"Exactly.</t>
  </si>
  <si>
    <t xml:space="preserve">Exactly</t>
  </si>
  <si>
    <t xml:space="preserve"># text = He retained it in his hand after using it to set the hound upon the track.</t>
  </si>
  <si>
    <t xml:space="preserve">retained</t>
  </si>
  <si>
    <t xml:space="preserve">using</t>
  </si>
  <si>
    <t xml:space="preserve"># text = He fled when he knew the game was up, still clutching it.</t>
  </si>
  <si>
    <t xml:space="preserve">clutching</t>
  </si>
  <si>
    <t xml:space="preserve"># text = And he hurled it away at this point of his flight.</t>
  </si>
  <si>
    <t xml:space="preserve">hurled</t>
  </si>
  <si>
    <t xml:space="preserve"># text = We know at least that he came so far in safety.\"</t>
  </si>
  <si>
    <t xml:space="preserve">safety</t>
  </si>
  <si>
    <t xml:space="preserve"># text = But more than that we were never destined to know, though there was much which we might surmise.</t>
  </si>
  <si>
    <t xml:space="preserve">though</t>
  </si>
  <si>
    <t xml:space="preserve"># text = There was no chance of finding footsteps in the mire, for the rising mud oozed swiftly in upon them, but as we at last reached firmer ground beyond the morass we all looked eagerly for them.</t>
  </si>
  <si>
    <t xml:space="preserve">rising</t>
  </si>
  <si>
    <t xml:space="preserve">oozed</t>
  </si>
  <si>
    <t xml:space="preserve">firmer</t>
  </si>
  <si>
    <t xml:space="preserve">morass</t>
  </si>
  <si>
    <t xml:space="preserve">eagerly</t>
  </si>
  <si>
    <t xml:space="preserve"># text = But no slightest sign of them ever met our eyes.</t>
  </si>
  <si>
    <t xml:space="preserve">slightest</t>
  </si>
  <si>
    <t xml:space="preserve"># text = If the earth told a true story, then Stapleton never reached that island of refuge towards which he struggled through the fog upon that last night.</t>
  </si>
  <si>
    <t xml:space="preserve">true</t>
  </si>
  <si>
    <t xml:space="preserve">struggled</t>
  </si>
  <si>
    <t xml:space="preserve"># text = Somewhere in the heart of the great Grimpen Mire, down in the foul slime of the huge morass which had sucked him in, this cold and cruel-hearted man is forever buried.</t>
  </si>
  <si>
    <t xml:space="preserve">Somewhere</t>
  </si>
  <si>
    <t xml:space="preserve">sucked</t>
  </si>
  <si>
    <t xml:space="preserve">hearted</t>
  </si>
  <si>
    <t xml:space="preserve"># text = Many traces we found of him in the bog-girt island where he had hid his savage ally.</t>
  </si>
  <si>
    <t xml:space="preserve">Many</t>
  </si>
  <si>
    <t xml:space="preserve">traces</t>
  </si>
  <si>
    <t xml:space="preserve">girt</t>
  </si>
  <si>
    <t xml:space="preserve">hid</t>
  </si>
  <si>
    <t xml:space="preserve">ally</t>
  </si>
  <si>
    <t xml:space="preserve"># text = A huge driving-wheel and a shaft half-filled with rubbish showed the position of an abandoned mine.</t>
  </si>
  <si>
    <t xml:space="preserve">driving</t>
  </si>
  <si>
    <t xml:space="preserve">wheel</t>
  </si>
  <si>
    <t xml:space="preserve">shaft</t>
  </si>
  <si>
    <t xml:space="preserve">rubbish</t>
  </si>
  <si>
    <t xml:space="preserve">abandoned</t>
  </si>
  <si>
    <t xml:space="preserve"># text = Beside it were the crumbling remains of the cottages of the miners, driven away no doubt by the foul reek of the surrounding swamp.</t>
  </si>
  <si>
    <t xml:space="preserve">Beside</t>
  </si>
  <si>
    <t xml:space="preserve">crumbling</t>
  </si>
  <si>
    <t xml:space="preserve">remains</t>
  </si>
  <si>
    <t xml:space="preserve">cottages</t>
  </si>
  <si>
    <t xml:space="preserve">miners</t>
  </si>
  <si>
    <t xml:space="preserve">driven</t>
  </si>
  <si>
    <t xml:space="preserve">reek</t>
  </si>
  <si>
    <t xml:space="preserve">surrounding</t>
  </si>
  <si>
    <t xml:space="preserve">swamp</t>
  </si>
  <si>
    <t xml:space="preserve"># text = In one of these a staple and chain with a quantity of gnawed bones showed where the animal had been confined.</t>
  </si>
  <si>
    <t xml:space="preserve">these</t>
  </si>
  <si>
    <t xml:space="preserve">staple</t>
  </si>
  <si>
    <t xml:space="preserve">chain</t>
  </si>
  <si>
    <t xml:space="preserve">quantity</t>
  </si>
  <si>
    <t xml:space="preserve">gnawed</t>
  </si>
  <si>
    <t xml:space="preserve">bones</t>
  </si>
  <si>
    <t xml:space="preserve">confined</t>
  </si>
  <si>
    <t xml:space="preserve"># text = A skeleton with a tangle of brown hair adhering to it lay among the debris.</t>
  </si>
  <si>
    <t xml:space="preserve">tangle</t>
  </si>
  <si>
    <t xml:space="preserve">brown</t>
  </si>
  <si>
    <t xml:space="preserve">hair</t>
  </si>
  <si>
    <t xml:space="preserve">adhering</t>
  </si>
  <si>
    <t xml:space="preserve">debris</t>
  </si>
  <si>
    <t xml:space="preserve"># text = \"A dog!\" said Holmes.</t>
  </si>
  <si>
    <t xml:space="preserve">dog</t>
  </si>
  <si>
    <t xml:space="preserve"># text = "By Jove, a curly-haired spaniel.</t>
  </si>
  <si>
    <t xml:space="preserve">By</t>
  </si>
  <si>
    <t xml:space="preserve">curly</t>
  </si>
  <si>
    <t xml:space="preserve">haired</t>
  </si>
  <si>
    <t xml:space="preserve">spaniel</t>
  </si>
  <si>
    <t xml:space="preserve"># text = Poor Mortimer will never see his pet again.</t>
  </si>
  <si>
    <t xml:space="preserve">Poor</t>
  </si>
  <si>
    <t xml:space="preserve">pet</t>
  </si>
  <si>
    <t xml:space="preserve"># text = Well, I do not know that this place contains any secret which we have not already fathomed.</t>
  </si>
  <si>
    <t xml:space="preserve">Well</t>
  </si>
  <si>
    <t xml:space="preserve">contains</t>
  </si>
  <si>
    <t xml:space="preserve">secret</t>
  </si>
  <si>
    <t xml:space="preserve">fathomed</t>
  </si>
  <si>
    <t xml:space="preserve"># text = He could hide his hound, but he could not hush its voice, and hence came those cries which even in daylight were not pleasant to hear.</t>
  </si>
  <si>
    <t xml:space="preserve">hush</t>
  </si>
  <si>
    <t xml:space="preserve">voice</t>
  </si>
  <si>
    <t xml:space="preserve">hence</t>
  </si>
  <si>
    <t xml:space="preserve">cries</t>
  </si>
  <si>
    <t xml:space="preserve">daylight</t>
  </si>
  <si>
    <t xml:space="preserve">pleasant</t>
  </si>
  <si>
    <t xml:space="preserve"># text = On an emergency he could keep the hound in the out-house at Merripit, but it was always a risk, and it was only on the supreme day, which he regarded as the end of all his efforts, that he dared do it.</t>
  </si>
  <si>
    <t xml:space="preserve">emergency</t>
  </si>
  <si>
    <t xml:space="preserve">always</t>
  </si>
  <si>
    <t xml:space="preserve">risk</t>
  </si>
  <si>
    <t xml:space="preserve">regarded</t>
  </si>
  <si>
    <t xml:space="preserve">efforts</t>
  </si>
  <si>
    <t xml:space="preserve">dared</t>
  </si>
  <si>
    <t xml:space="preserve"># text = This paste in the tin is no doubt the luminous mixture with which the creature was daubed.</t>
  </si>
  <si>
    <t xml:space="preserve">paste</t>
  </si>
  <si>
    <t xml:space="preserve">luminous</t>
  </si>
  <si>
    <t xml:space="preserve">mixture</t>
  </si>
  <si>
    <t xml:space="preserve">daubed</t>
  </si>
  <si>
    <t xml:space="preserve"># text = It was suggested, of course, by the story of the family hell-hound, and by the desire to frighten old Sir Charles to death.</t>
  </si>
  <si>
    <t xml:space="preserve">suggested</t>
  </si>
  <si>
    <t xml:space="preserve">hell</t>
  </si>
  <si>
    <t xml:space="preserve">desire</t>
  </si>
  <si>
    <t xml:space="preserve">frighten</t>
  </si>
  <si>
    <t xml:space="preserve">Charles</t>
  </si>
  <si>
    <t xml:space="preserve"># text = No wonder the poor devil of a convict ran and screamed, even as our friend did, and as we ourselves might have done, when he saw such a creature bounding through the darkness of the moor upon his track.</t>
  </si>
  <si>
    <t xml:space="preserve">wonder</t>
  </si>
  <si>
    <t xml:space="preserve">poor</t>
  </si>
  <si>
    <t xml:space="preserve">devil</t>
  </si>
  <si>
    <t xml:space="preserve">convict</t>
  </si>
  <si>
    <t xml:space="preserve">screamed</t>
  </si>
  <si>
    <t xml:space="preserve">ourselves</t>
  </si>
  <si>
    <t xml:space="preserve">bounding</t>
  </si>
  <si>
    <t xml:space="preserve"># text = It was a cunning device, for, apart from the chance of driving your victim to his death, what peasant would venture to inquire too closely into such a creature should he get sight of it, as many have done, upon the moor?</t>
  </si>
  <si>
    <t xml:space="preserve">device</t>
  </si>
  <si>
    <t xml:space="preserve">apart</t>
  </si>
  <si>
    <t xml:space="preserve">peasant</t>
  </si>
  <si>
    <t xml:space="preserve">venture</t>
  </si>
  <si>
    <t xml:space="preserve">inquire</t>
  </si>
  <si>
    <t xml:space="preserve">closely</t>
  </si>
  <si>
    <t xml:space="preserve">should</t>
  </si>
  <si>
    <t xml:space="preserve">sight</t>
  </si>
  <si>
    <t xml:space="preserve">many</t>
  </si>
  <si>
    <t xml:space="preserve">#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</si>
  <si>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 xml:space="preserve">London</t>
  </si>
  <si>
    <t xml:space="preserve">hunt</t>
  </si>
  <si>
    <t xml:space="preserve">yonder</t>
  </si>
  <si>
    <t xml:space="preserve">—he</t>
  </si>
  <si>
    <t xml:space="preserve">arm</t>
  </si>
  <si>
    <t xml:space="preserve">expanse</t>
  </si>
  <si>
    <t xml:space="preserve">splotched</t>
  </si>
  <si>
    <t xml:space="preserve">SBJ_11</t>
  </si>
  <si>
    <t xml:space="preserve">SBJ_12</t>
  </si>
  <si>
    <t xml:space="preserve">merged</t>
  </si>
  <si>
    <t xml:space="preserve">russet</t>
  </si>
  <si>
    <t xml:space="preserve">other_12</t>
  </si>
  <si>
    <t xml:space="preserve">other_13</t>
  </si>
</sst>
</file>

<file path=xl/styles.xml><?xml version="1.0" encoding="utf-8"?>
<styleSheet xmlns="http://schemas.openxmlformats.org/spreadsheetml/2006/main">
  <numFmts count="2">
    <numFmt numFmtId="164" formatCode="General"/>
    <numFmt numFmtId="165" formatCode="_-* #,##0.00_-;\-* #,##0.00_-;_-* \-??_-;_-@_-"/>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name val="Arial"/>
      <family val="2"/>
      <charset val="1"/>
    </font>
  </fonts>
  <fills count="10">
    <fill>
      <patternFill patternType="none"/>
    </fill>
    <fill>
      <patternFill patternType="gray125"/>
    </fill>
    <fill>
      <patternFill patternType="solid">
        <fgColor rgb="FFF7D1D5"/>
        <bgColor rgb="FFDEDCE6"/>
      </patternFill>
    </fill>
    <fill>
      <patternFill patternType="solid">
        <fgColor rgb="FFFFF5CE"/>
        <bgColor rgb="FFEEEEEE"/>
      </patternFill>
    </fill>
    <fill>
      <patternFill patternType="solid">
        <fgColor rgb="FFDEDCE6"/>
        <bgColor rgb="FFDEE6EF"/>
      </patternFill>
    </fill>
    <fill>
      <patternFill patternType="solid">
        <fgColor rgb="FFB4C7DC"/>
        <bgColor rgb="FF99CCFF"/>
      </patternFill>
    </fill>
    <fill>
      <patternFill patternType="solid">
        <fgColor rgb="FFDDE8CB"/>
        <bgColor rgb="FFDEE6EF"/>
      </patternFill>
    </fill>
    <fill>
      <patternFill patternType="solid">
        <fgColor rgb="FFDEE6EF"/>
        <bgColor rgb="FFDEDCE6"/>
      </patternFill>
    </fill>
    <fill>
      <patternFill patternType="solid">
        <fgColor rgb="FFE0C2CD"/>
        <bgColor rgb="FFF7D1D5"/>
      </patternFill>
    </fill>
    <fill>
      <patternFill patternType="solid">
        <fgColor rgb="FFEEEEEE"/>
        <bgColor rgb="FFDEE6EF"/>
      </patternFill>
    </fill>
  </fills>
  <borders count="2">
    <border diagonalUp="false" diagonalDown="false">
      <left/>
      <right/>
      <top/>
      <bottom/>
      <diagonal/>
    </border>
    <border diagonalUp="false" diagonalDown="false">
      <left style="thin"/>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5"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center" vertical="center" textRotation="0" wrapText="false" indent="0" shrinkToFit="false"/>
      <protection locked="true" hidden="false"/>
    </xf>
    <xf numFmtId="164" fontId="4" fillId="4" borderId="0" xfId="0" applyFont="true" applyBorder="false" applyAlignment="true" applyProtection="false">
      <alignment horizontal="center" vertical="center" textRotation="0" wrapText="false" indent="0" shrinkToFit="false"/>
      <protection locked="true" hidden="false"/>
    </xf>
    <xf numFmtId="164" fontId="4" fillId="5"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top" textRotation="0" wrapText="false" indent="0" shrinkToFit="false"/>
      <protection locked="true" hidden="false"/>
    </xf>
    <xf numFmtId="164" fontId="0" fillId="0" borderId="0" xfId="0" applyFont="true" applyBorder="false" applyAlignment="true" applyProtection="true">
      <alignment horizontal="center" vertical="top" textRotation="0" wrapText="true" indent="0" shrinkToFit="false"/>
      <protection locked="fals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2" borderId="0" xfId="0" applyFont="false" applyBorder="false" applyAlignment="true" applyProtection="true">
      <alignment horizontal="center" vertical="top" textRotation="0" wrapText="true" indent="0" shrinkToFit="false"/>
      <protection locked="false" hidden="false"/>
    </xf>
    <xf numFmtId="164" fontId="0" fillId="3" borderId="0" xfId="0" applyFont="true" applyBorder="false" applyAlignment="true" applyProtection="true">
      <alignment horizontal="center" vertical="top" textRotation="0" wrapText="false" indent="0" shrinkToFit="false"/>
      <protection locked="false" hidden="false"/>
    </xf>
    <xf numFmtId="164" fontId="0" fillId="4" borderId="0" xfId="0" applyFont="true" applyBorder="false" applyAlignment="true" applyProtection="true">
      <alignment horizontal="center" vertical="top" textRotation="0" wrapText="true" indent="0" shrinkToFit="false"/>
      <protection locked="false" hidden="false"/>
    </xf>
    <xf numFmtId="164" fontId="0" fillId="5" borderId="0" xfId="0" applyFont="false" applyBorder="false" applyAlignment="true" applyProtection="true">
      <alignment horizontal="left" vertical="top" textRotation="0" wrapText="true" indent="0" shrinkToFit="false"/>
      <protection locked="fals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4" fontId="4" fillId="6" borderId="0" xfId="0" applyFont="true" applyBorder="false" applyAlignment="true" applyProtection="false">
      <alignment horizontal="center" vertical="bottom" textRotation="0" wrapText="false" indent="0" shrinkToFit="false"/>
      <protection locked="true" hidden="false"/>
    </xf>
    <xf numFmtId="164" fontId="4" fillId="7" borderId="0" xfId="0" applyFont="true" applyBorder="false" applyAlignment="true" applyProtection="false">
      <alignment horizontal="center" vertical="bottom" textRotation="0" wrapText="false" indent="0" shrinkToFit="false"/>
      <protection locked="true" hidden="false"/>
    </xf>
    <xf numFmtId="164" fontId="4" fillId="8" borderId="0" xfId="0" applyFont="true" applyBorder="false" applyAlignment="true" applyProtection="false">
      <alignment horizontal="center" vertical="bottom" textRotation="0" wrapText="false" indent="0" shrinkToFit="false"/>
      <protection locked="true" hidden="false"/>
    </xf>
    <xf numFmtId="164" fontId="4" fillId="9" borderId="0" xfId="0" applyFont="true" applyBorder="false" applyAlignment="true" applyProtection="false">
      <alignment horizontal="center" vertical="bottom" textRotation="0" wrapText="false" indent="0" shrinkToFit="false"/>
      <protection locked="true" hidden="false"/>
    </xf>
    <xf numFmtId="164" fontId="4"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true" indent="0" shrinkToFit="true"/>
      <protection locked="true" hidden="false"/>
    </xf>
    <xf numFmtId="164" fontId="0" fillId="0" borderId="0" xfId="0" applyFont="true" applyBorder="false" applyAlignment="true" applyProtection="true">
      <alignment horizontal="center" vertical="bottom" textRotation="0" wrapText="false" indent="0" shrinkToFit="false"/>
      <protection locked="false" hidden="false"/>
    </xf>
    <xf numFmtId="164" fontId="0" fillId="3" borderId="0" xfId="0" applyFont="true" applyBorder="false" applyAlignment="true" applyProtection="true">
      <alignment horizontal="center" vertical="bottom" textRotation="0" wrapText="false" indent="0" shrinkToFit="false"/>
      <protection locked="fals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true" applyProtection="true">
      <alignment horizontal="center" vertical="bottom" textRotation="0" wrapText="false" indent="0" shrinkToFit="false"/>
      <protection locked="false" hidden="false"/>
    </xf>
    <xf numFmtId="164" fontId="0" fillId="7" borderId="0" xfId="0" applyFont="false" applyBorder="false" applyAlignment="true" applyProtection="true">
      <alignment horizontal="center" vertical="bottom" textRotation="0" wrapText="false" indent="0" shrinkToFit="false"/>
      <protection locked="false" hidden="false"/>
    </xf>
    <xf numFmtId="164" fontId="0" fillId="8" borderId="0" xfId="0" applyFont="false" applyBorder="false" applyAlignment="true" applyProtection="true">
      <alignment horizontal="center" vertical="bottom" textRotation="0" wrapText="false" indent="0" shrinkToFit="false"/>
      <protection locked="fals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5" fillId="5" borderId="1" xfId="15" applyFont="true" applyBorder="true" applyAlignment="true" applyProtection="true">
      <alignment horizontal="general" vertical="bottom" textRotation="0" wrapText="true" indent="0" shrinkToFit="true"/>
      <protection locked="true" hidden="false"/>
    </xf>
    <xf numFmtId="165" fontId="5" fillId="5" borderId="1" xfId="15" applyFont="true" applyBorder="true" applyAlignment="true" applyProtection="true">
      <alignment horizontal="general" vertical="bottom" textRotation="0" wrapText="true" indent="0" shrinkToFit="true"/>
      <protection locked="true" hidden="false"/>
    </xf>
    <xf numFmtId="164" fontId="0" fillId="5" borderId="0" xfId="0" applyFont="false" applyBorder="false" applyAlignment="true" applyProtection="true">
      <alignment horizontal="left" vertical="bottom" textRotation="0" wrapText="tru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bgColor rgb="FF000000"/>
        </patternFill>
      </fill>
    </dxf>
    <dxf>
      <fill>
        <patternFill patternType="solid">
          <fgColor rgb="FF000000"/>
          <bgColor rgb="FF000000"/>
        </patternFill>
      </fill>
    </dxf>
    <dxf>
      <fill>
        <patternFill patternType="solid">
          <fgColor rgb="FFFFF5CE"/>
          <bgColor rgb="FF000000"/>
        </patternFill>
      </fill>
    </dxf>
    <dxf>
      <fill>
        <patternFill patternType="solid">
          <fgColor rgb="FFDDE8CB"/>
          <bgColor rgb="FF000000"/>
        </patternFill>
      </fill>
    </dxf>
    <dxf>
      <fill>
        <patternFill patternType="solid">
          <fgColor rgb="FFDEE6EF"/>
          <bgColor rgb="FF000000"/>
        </patternFill>
      </fill>
    </dxf>
    <dxf>
      <fill>
        <patternFill patternType="solid">
          <fgColor rgb="FFE0C2CD"/>
          <bgColor rgb="FF000000"/>
        </patternFill>
      </fill>
    </dxf>
    <dxf>
      <fill>
        <patternFill patternType="solid">
          <fgColor rgb="FFEEEEEE"/>
          <bgColor rgb="FF000000"/>
        </patternFill>
      </fill>
    </dxf>
    <dxf>
      <fill>
        <patternFill patternType="solid">
          <fgColor rgb="FFB4C7DC"/>
          <bgColor rgb="FF000000"/>
        </patternFill>
      </fill>
    </dxf>
  </dxf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5CE"/>
      <rgbColor rgb="FFDEE6E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DDE8CB"/>
      <rgbColor rgb="FFFFFF99"/>
      <rgbColor rgb="FF99CCFF"/>
      <rgbColor rgb="FFE0C2CD"/>
      <rgbColor rgb="FFCC99FF"/>
      <rgbColor rgb="FFF7D1D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60" customHeight="true" zeroHeight="false" outlineLevelRow="0" outlineLevelCol="0"/>
  <cols>
    <col collapsed="false" customWidth="true" hidden="true" outlineLevel="0" max="3" min="2" style="0" width="11.53"/>
    <col collapsed="false" customWidth="true" hidden="false" outlineLevel="0" max="4" min="4" style="0" width="10.71"/>
    <col collapsed="false" customWidth="true" hidden="false" outlineLevel="0" max="5" min="5" style="0" width="80.71"/>
    <col collapsed="false" customWidth="true" hidden="true" outlineLevel="0" max="6" min="6" style="0" width="11.53"/>
    <col collapsed="false" customWidth="true" hidden="false" outlineLevel="0" max="7" min="7" style="0" width="10.71"/>
    <col collapsed="false" customWidth="true" hidden="false" outlineLevel="0" max="9" min="9" style="0" width="10.71"/>
    <col collapsed="false" customWidth="true" hidden="false" outlineLevel="0" max="10" min="10" style="0" width="40.71"/>
  </cols>
  <sheetData>
    <row r="1" customFormat="false" ht="60" hidden="false" customHeight="true" outlineLevel="0" collapsed="false">
      <c r="A1" s="1" t="s">
        <v>0</v>
      </c>
      <c r="B1" s="1" t="s">
        <v>1</v>
      </c>
      <c r="C1" s="1" t="s">
        <v>2</v>
      </c>
      <c r="D1" s="1" t="s">
        <v>3</v>
      </c>
      <c r="E1" s="1" t="s">
        <v>4</v>
      </c>
      <c r="F1" s="1" t="s">
        <v>5</v>
      </c>
      <c r="G1" s="2" t="s">
        <v>6</v>
      </c>
      <c r="H1" s="3" t="s">
        <v>7</v>
      </c>
      <c r="I1" s="4" t="s">
        <v>8</v>
      </c>
      <c r="J1" s="5" t="s">
        <v>9</v>
      </c>
    </row>
    <row r="2" customFormat="false" ht="60" hidden="false" customHeight="true" outlineLevel="0" collapsed="false">
      <c r="A2" s="6" t="s">
        <v>10</v>
      </c>
      <c r="B2" s="6" t="s">
        <v>11</v>
      </c>
      <c r="C2" s="6" t="s">
        <v>12</v>
      </c>
      <c r="D2" s="7" t="s">
        <v>13</v>
      </c>
      <c r="E2" s="8" t="s">
        <v>14</v>
      </c>
      <c r="F2" s="6" t="s">
        <v>15</v>
      </c>
      <c r="G2" s="9" t="str">
        <f aca="false">IF(A2=1,"_",IF(C2="_","???",C2))</f>
        <v>indeed?</v>
      </c>
      <c r="H2" s="10" t="s">
        <v>16</v>
      </c>
      <c r="I2" s="11" t="s">
        <v>16</v>
      </c>
      <c r="J2" s="12"/>
    </row>
    <row r="3" customFormat="false" ht="60" hidden="false" customHeight="true" outlineLevel="0" collapsed="false">
      <c r="A3" s="6" t="s">
        <v>17</v>
      </c>
      <c r="B3" s="6" t="s">
        <v>18</v>
      </c>
      <c r="C3" s="6" t="s">
        <v>16</v>
      </c>
      <c r="D3" s="7" t="s">
        <v>19</v>
      </c>
      <c r="E3" s="8" t="s">
        <v>20</v>
      </c>
      <c r="F3" s="6" t="s">
        <v>21</v>
      </c>
      <c r="G3" s="9" t="str">
        <f aca="false">IF(A3=1,"_",IF(C3="_","???",C3))</f>
        <v>???</v>
      </c>
      <c r="H3" s="10" t="s">
        <v>16</v>
      </c>
      <c r="I3" s="11" t="s">
        <v>16</v>
      </c>
      <c r="J3" s="12"/>
    </row>
    <row r="4" customFormat="false" ht="60" hidden="false" customHeight="true" outlineLevel="0" collapsed="false">
      <c r="A4" s="6" t="s">
        <v>18</v>
      </c>
      <c r="B4" s="6" t="s">
        <v>22</v>
      </c>
      <c r="C4" s="6" t="s">
        <v>23</v>
      </c>
      <c r="D4" s="7" t="s">
        <v>24</v>
      </c>
      <c r="E4" s="8" t="s">
        <v>25</v>
      </c>
      <c r="F4" s="6" t="s">
        <v>26</v>
      </c>
      <c r="G4" s="9" t="str">
        <f aca="false">IF(A4=1,"_",IF(C4="_","???",C4))</f>
        <v>also?</v>
      </c>
      <c r="H4" s="10" t="s">
        <v>16</v>
      </c>
      <c r="I4" s="11" t="s">
        <v>16</v>
      </c>
      <c r="J4" s="12"/>
    </row>
    <row r="5" customFormat="false" ht="60" hidden="false" customHeight="true" outlineLevel="0" collapsed="false">
      <c r="A5" s="6" t="s">
        <v>27</v>
      </c>
      <c r="B5" s="6" t="s">
        <v>28</v>
      </c>
      <c r="C5" s="6" t="s">
        <v>29</v>
      </c>
      <c r="D5" s="7" t="s">
        <v>30</v>
      </c>
      <c r="E5" s="8" t="s">
        <v>31</v>
      </c>
      <c r="F5" s="6" t="s">
        <v>32</v>
      </c>
      <c r="G5" s="9" t="str">
        <f aca="false">IF(A5=1,"_",IF(C5="_","???",C5))</f>
        <v>however?</v>
      </c>
      <c r="H5" s="10" t="s">
        <v>16</v>
      </c>
      <c r="I5" s="11" t="s">
        <v>16</v>
      </c>
      <c r="J5" s="12"/>
    </row>
    <row r="6" customFormat="false" ht="60" hidden="false" customHeight="true" outlineLevel="0" collapsed="false">
      <c r="A6" s="6" t="s">
        <v>33</v>
      </c>
      <c r="B6" s="6" t="s">
        <v>27</v>
      </c>
      <c r="C6" s="6" t="s">
        <v>34</v>
      </c>
      <c r="D6" s="7" t="s">
        <v>35</v>
      </c>
      <c r="E6" s="8" t="s">
        <v>36</v>
      </c>
      <c r="F6" s="6" t="s">
        <v>37</v>
      </c>
      <c r="G6" s="9" t="str">
        <f aca="false">IF(A6=1,"_",IF(C6="_","???",C6))</f>
        <v>but?</v>
      </c>
      <c r="H6" s="10" t="s">
        <v>16</v>
      </c>
      <c r="I6" s="11" t="s">
        <v>16</v>
      </c>
      <c r="J6" s="12"/>
    </row>
    <row r="7" customFormat="false" ht="60" hidden="false" customHeight="true" outlineLevel="0" collapsed="false">
      <c r="A7" s="6" t="s">
        <v>22</v>
      </c>
      <c r="B7" s="6" t="s">
        <v>27</v>
      </c>
      <c r="C7" s="6" t="s">
        <v>38</v>
      </c>
      <c r="D7" s="7" t="s">
        <v>39</v>
      </c>
      <c r="E7" s="8" t="s">
        <v>40</v>
      </c>
      <c r="F7" s="6" t="s">
        <v>41</v>
      </c>
      <c r="G7" s="9" t="str">
        <f aca="false">IF(A7=1,"_",IF(C7="_","???",C7))</f>
        <v>and?</v>
      </c>
      <c r="H7" s="10" t="s">
        <v>16</v>
      </c>
      <c r="I7" s="11" t="s">
        <v>16</v>
      </c>
      <c r="J7" s="12"/>
    </row>
    <row r="8" customFormat="false" ht="60" hidden="false" customHeight="true" outlineLevel="0" collapsed="false">
      <c r="A8" s="6" t="s">
        <v>42</v>
      </c>
      <c r="B8" s="6" t="s">
        <v>18</v>
      </c>
      <c r="C8" s="6" t="s">
        <v>43</v>
      </c>
      <c r="D8" s="7" t="s">
        <v>44</v>
      </c>
      <c r="E8" s="8" t="s">
        <v>45</v>
      </c>
      <c r="F8" s="6" t="s">
        <v>46</v>
      </c>
      <c r="G8" s="9" t="str">
        <f aca="false">IF(A8=1,"_",IF(C8="_","???",C8))</f>
        <v>when?</v>
      </c>
      <c r="H8" s="10" t="s">
        <v>16</v>
      </c>
      <c r="I8" s="11" t="s">
        <v>16</v>
      </c>
      <c r="J8" s="12"/>
    </row>
    <row r="9" customFormat="false" ht="60" hidden="false" customHeight="true" outlineLevel="0" collapsed="false">
      <c r="A9" s="6" t="s">
        <v>28</v>
      </c>
      <c r="B9" s="6" t="s">
        <v>17</v>
      </c>
      <c r="C9" s="6" t="s">
        <v>16</v>
      </c>
      <c r="D9" s="7" t="s">
        <v>47</v>
      </c>
      <c r="E9" s="8" t="s">
        <v>48</v>
      </c>
      <c r="F9" s="6" t="s">
        <v>49</v>
      </c>
      <c r="G9" s="9" t="str">
        <f aca="false">IF(A9=1,"_",IF(C9="_","???",C9))</f>
        <v>???</v>
      </c>
      <c r="H9" s="10" t="s">
        <v>16</v>
      </c>
      <c r="I9" s="11" t="s">
        <v>16</v>
      </c>
      <c r="J9" s="12"/>
    </row>
    <row r="10" customFormat="false" ht="60" hidden="false" customHeight="true" outlineLevel="0" collapsed="false">
      <c r="A10" s="6" t="s">
        <v>50</v>
      </c>
      <c r="B10" s="6" t="s">
        <v>27</v>
      </c>
      <c r="C10" s="6" t="s">
        <v>51</v>
      </c>
      <c r="D10" s="7" t="s">
        <v>52</v>
      </c>
      <c r="E10" s="8" t="s">
        <v>53</v>
      </c>
      <c r="F10" s="6" t="s">
        <v>54</v>
      </c>
      <c r="G10" s="9" t="str">
        <f aca="false">IF(A10=1,"_",IF(C10="_","???",C10))</f>
        <v>so?</v>
      </c>
      <c r="H10" s="10" t="s">
        <v>16</v>
      </c>
      <c r="I10" s="11" t="s">
        <v>16</v>
      </c>
      <c r="J10" s="12"/>
    </row>
    <row r="11" customFormat="false" ht="60" hidden="false" customHeight="true" outlineLevel="0" collapsed="false">
      <c r="A11" s="6" t="s">
        <v>55</v>
      </c>
      <c r="B11" s="6" t="s">
        <v>17</v>
      </c>
      <c r="C11" s="6" t="s">
        <v>56</v>
      </c>
      <c r="D11" s="7" t="s">
        <v>57</v>
      </c>
      <c r="E11" s="8" t="s">
        <v>58</v>
      </c>
      <c r="F11" s="6" t="s">
        <v>59</v>
      </c>
      <c r="G11" s="9" t="str">
        <f aca="false">IF(A11=1,"_",IF(C11="_","???",C11))</f>
        <v>after?</v>
      </c>
      <c r="H11" s="10" t="s">
        <v>16</v>
      </c>
      <c r="I11" s="11" t="s">
        <v>16</v>
      </c>
      <c r="J11" s="12"/>
    </row>
    <row r="12" customFormat="false" ht="60" hidden="false" customHeight="true" outlineLevel="0" collapsed="false">
      <c r="A12" s="6" t="s">
        <v>60</v>
      </c>
      <c r="B12" s="6" t="s">
        <v>27</v>
      </c>
      <c r="C12" s="6" t="s">
        <v>34</v>
      </c>
      <c r="D12" s="7" t="s">
        <v>61</v>
      </c>
      <c r="E12" s="8" t="s">
        <v>62</v>
      </c>
      <c r="F12" s="6" t="s">
        <v>63</v>
      </c>
      <c r="G12" s="9" t="str">
        <f aca="false">IF(A12=1,"_",IF(C12="_","???",C12))</f>
        <v>but?</v>
      </c>
      <c r="H12" s="10" t="s">
        <v>16</v>
      </c>
      <c r="I12" s="11" t="s">
        <v>16</v>
      </c>
      <c r="J12" s="12"/>
    </row>
    <row r="13" customFormat="false" ht="60" hidden="false" customHeight="true" outlineLevel="0" collapsed="false">
      <c r="A13" s="6" t="s">
        <v>64</v>
      </c>
      <c r="B13" s="6" t="s">
        <v>27</v>
      </c>
      <c r="C13" s="6" t="s">
        <v>65</v>
      </c>
      <c r="D13" s="7" t="s">
        <v>66</v>
      </c>
      <c r="E13" s="8" t="s">
        <v>67</v>
      </c>
      <c r="F13" s="6" t="s">
        <v>68</v>
      </c>
      <c r="G13" s="9" t="str">
        <f aca="false">IF(A13=1,"_",IF(C13="_","???",C13))</f>
        <v>while?</v>
      </c>
      <c r="H13" s="10" t="s">
        <v>16</v>
      </c>
      <c r="I13" s="11" t="s">
        <v>16</v>
      </c>
      <c r="J13" s="12"/>
    </row>
    <row r="14" customFormat="false" ht="60" hidden="false" customHeight="true" outlineLevel="0" collapsed="false">
      <c r="A14" s="6" t="s">
        <v>11</v>
      </c>
      <c r="B14" s="6" t="s">
        <v>17</v>
      </c>
      <c r="C14" s="6" t="s">
        <v>16</v>
      </c>
      <c r="D14" s="7" t="s">
        <v>69</v>
      </c>
      <c r="E14" s="8" t="s">
        <v>70</v>
      </c>
      <c r="F14" s="6" t="s">
        <v>71</v>
      </c>
      <c r="G14" s="9" t="str">
        <f aca="false">IF(A14=1,"_",IF(C14="_","???",C14))</f>
        <v>???</v>
      </c>
      <c r="H14" s="10" t="s">
        <v>16</v>
      </c>
      <c r="I14" s="11" t="s">
        <v>16</v>
      </c>
      <c r="J14" s="12"/>
    </row>
    <row r="15" customFormat="false" ht="60" hidden="false" customHeight="true" outlineLevel="0" collapsed="false">
      <c r="A15" s="6" t="s">
        <v>72</v>
      </c>
      <c r="B15" s="6" t="s">
        <v>18</v>
      </c>
      <c r="C15" s="6" t="s">
        <v>16</v>
      </c>
      <c r="D15" s="7" t="s">
        <v>73</v>
      </c>
      <c r="E15" s="8" t="s">
        <v>74</v>
      </c>
      <c r="F15" s="6" t="s">
        <v>75</v>
      </c>
      <c r="G15" s="9" t="str">
        <f aca="false">IF(A15=1,"_",IF(C15="_","???",C15))</f>
        <v>???</v>
      </c>
      <c r="H15" s="10" t="s">
        <v>16</v>
      </c>
      <c r="I15" s="11" t="s">
        <v>16</v>
      </c>
      <c r="J15" s="12"/>
    </row>
    <row r="16" customFormat="false" ht="60" hidden="false" customHeight="true" outlineLevel="0" collapsed="false">
      <c r="A16" s="6" t="s">
        <v>76</v>
      </c>
      <c r="B16" s="6" t="s">
        <v>18</v>
      </c>
      <c r="C16" s="6" t="s">
        <v>77</v>
      </c>
      <c r="D16" s="7" t="s">
        <v>78</v>
      </c>
      <c r="E16" s="8" t="s">
        <v>79</v>
      </c>
      <c r="F16" s="6" t="s">
        <v>80</v>
      </c>
      <c r="G16" s="9" t="str">
        <f aca="false">IF(A16=1,"_",IF(C16="_","???",C16))</f>
        <v>as long as?</v>
      </c>
      <c r="H16" s="10" t="s">
        <v>16</v>
      </c>
      <c r="I16" s="11" t="s">
        <v>16</v>
      </c>
      <c r="J16" s="12"/>
    </row>
    <row r="17" customFormat="false" ht="60" hidden="false" customHeight="true" outlineLevel="0" collapsed="false">
      <c r="A17" s="6" t="s">
        <v>81</v>
      </c>
      <c r="B17" s="6" t="s">
        <v>17</v>
      </c>
      <c r="C17" s="6" t="s">
        <v>16</v>
      </c>
      <c r="D17" s="7" t="s">
        <v>82</v>
      </c>
      <c r="E17" s="8" t="s">
        <v>83</v>
      </c>
      <c r="F17" s="6" t="s">
        <v>84</v>
      </c>
      <c r="G17" s="9" t="str">
        <f aca="false">IF(A17=1,"_",IF(C17="_","???",C17))</f>
        <v>???</v>
      </c>
      <c r="H17" s="10" t="s">
        <v>16</v>
      </c>
      <c r="I17" s="11" t="s">
        <v>16</v>
      </c>
      <c r="J17" s="12"/>
    </row>
    <row r="18" customFormat="false" ht="60" hidden="false" customHeight="true" outlineLevel="0" collapsed="false">
      <c r="A18" s="6" t="s">
        <v>85</v>
      </c>
      <c r="B18" s="6" t="s">
        <v>33</v>
      </c>
      <c r="C18" s="6" t="s">
        <v>23</v>
      </c>
      <c r="D18" s="7" t="s">
        <v>86</v>
      </c>
      <c r="E18" s="8" t="s">
        <v>87</v>
      </c>
      <c r="F18" s="6" t="s">
        <v>88</v>
      </c>
      <c r="G18" s="9" t="str">
        <f aca="false">IF(A18=1,"_",IF(C18="_","???",C18))</f>
        <v>also?</v>
      </c>
      <c r="H18" s="10" t="s">
        <v>16</v>
      </c>
      <c r="I18" s="11" t="s">
        <v>16</v>
      </c>
      <c r="J18" s="12"/>
    </row>
    <row r="19" customFormat="false" ht="60" hidden="false" customHeight="true" outlineLevel="0" collapsed="false">
      <c r="A19" s="6" t="s">
        <v>89</v>
      </c>
      <c r="B19" s="6" t="s">
        <v>55</v>
      </c>
      <c r="C19" s="6" t="s">
        <v>16</v>
      </c>
      <c r="D19" s="7" t="s">
        <v>90</v>
      </c>
      <c r="E19" s="8" t="s">
        <v>91</v>
      </c>
      <c r="F19" s="6" t="s">
        <v>92</v>
      </c>
      <c r="G19" s="9" t="str">
        <f aca="false">IF(A19=1,"_",IF(C19="_","???",C19))</f>
        <v>???</v>
      </c>
      <c r="H19" s="10" t="s">
        <v>16</v>
      </c>
      <c r="I19" s="11" t="s">
        <v>16</v>
      </c>
      <c r="J19" s="12"/>
    </row>
    <row r="20" customFormat="false" ht="60" hidden="false" customHeight="true" outlineLevel="0" collapsed="false">
      <c r="A20" s="6" t="s">
        <v>93</v>
      </c>
      <c r="B20" s="6" t="s">
        <v>17</v>
      </c>
      <c r="C20" s="6" t="s">
        <v>16</v>
      </c>
      <c r="D20" s="7" t="s">
        <v>94</v>
      </c>
      <c r="E20" s="8" t="s">
        <v>95</v>
      </c>
      <c r="F20" s="6" t="s">
        <v>96</v>
      </c>
      <c r="G20" s="9" t="str">
        <f aca="false">IF(A20=1,"_",IF(C20="_","???",C20))</f>
        <v>???</v>
      </c>
      <c r="H20" s="10" t="s">
        <v>16</v>
      </c>
      <c r="I20" s="11" t="s">
        <v>16</v>
      </c>
      <c r="J20" s="12"/>
    </row>
    <row r="21" customFormat="false" ht="60" hidden="false" customHeight="true" outlineLevel="0" collapsed="false">
      <c r="A21" s="6" t="s">
        <v>97</v>
      </c>
      <c r="B21" s="6" t="s">
        <v>27</v>
      </c>
      <c r="C21" s="6" t="s">
        <v>16</v>
      </c>
      <c r="D21" s="7" t="s">
        <v>98</v>
      </c>
      <c r="E21" s="8" t="s">
        <v>99</v>
      </c>
      <c r="F21" s="6" t="s">
        <v>100</v>
      </c>
      <c r="G21" s="9" t="str">
        <f aca="false">IF(A21=1,"_",IF(C21="_","???",C21))</f>
        <v>???</v>
      </c>
      <c r="H21" s="10" t="s">
        <v>16</v>
      </c>
      <c r="I21" s="11" t="s">
        <v>16</v>
      </c>
      <c r="J21" s="12"/>
    </row>
    <row r="22" customFormat="false" ht="60" hidden="false" customHeight="true" outlineLevel="0" collapsed="false">
      <c r="A22" s="6" t="s">
        <v>101</v>
      </c>
      <c r="B22" s="6" t="s">
        <v>28</v>
      </c>
      <c r="C22" s="6" t="s">
        <v>16</v>
      </c>
      <c r="D22" s="7" t="s">
        <v>102</v>
      </c>
      <c r="E22" s="8" t="s">
        <v>103</v>
      </c>
      <c r="F22" s="6" t="s">
        <v>104</v>
      </c>
      <c r="G22" s="9" t="str">
        <f aca="false">IF(A22=1,"_",IF(C22="_","???",C22))</f>
        <v>???</v>
      </c>
      <c r="H22" s="10" t="s">
        <v>16</v>
      </c>
      <c r="I22" s="11" t="s">
        <v>16</v>
      </c>
      <c r="J22" s="12"/>
    </row>
    <row r="23" customFormat="false" ht="60" hidden="false" customHeight="true" outlineLevel="0" collapsed="false">
      <c r="A23" s="6" t="s">
        <v>105</v>
      </c>
      <c r="B23" s="6" t="s">
        <v>18</v>
      </c>
      <c r="C23" s="6" t="s">
        <v>16</v>
      </c>
      <c r="D23" s="7" t="s">
        <v>106</v>
      </c>
      <c r="E23" s="8" t="s">
        <v>107</v>
      </c>
      <c r="F23" s="6" t="s">
        <v>108</v>
      </c>
      <c r="G23" s="9" t="str">
        <f aca="false">IF(A23=1,"_",IF(C23="_","???",C23))</f>
        <v>???</v>
      </c>
      <c r="H23" s="10" t="s">
        <v>16</v>
      </c>
      <c r="I23" s="11" t="s">
        <v>16</v>
      </c>
      <c r="J23" s="12"/>
    </row>
    <row r="24" customFormat="false" ht="60" hidden="false" customHeight="true" outlineLevel="0" collapsed="false">
      <c r="A24" s="6" t="s">
        <v>109</v>
      </c>
      <c r="B24" s="6" t="s">
        <v>18</v>
      </c>
      <c r="C24" s="6" t="s">
        <v>38</v>
      </c>
      <c r="D24" s="7" t="s">
        <v>110</v>
      </c>
      <c r="E24" s="8" t="s">
        <v>111</v>
      </c>
      <c r="F24" s="6" t="s">
        <v>112</v>
      </c>
      <c r="G24" s="9" t="str">
        <f aca="false">IF(A24=1,"_",IF(C24="_","???",C24))</f>
        <v>and?</v>
      </c>
      <c r="H24" s="10" t="s">
        <v>16</v>
      </c>
      <c r="I24" s="11" t="s">
        <v>16</v>
      </c>
      <c r="J24" s="12"/>
    </row>
    <row r="25" customFormat="false" ht="60" hidden="false" customHeight="true" outlineLevel="0" collapsed="false">
      <c r="A25" s="6" t="s">
        <v>113</v>
      </c>
      <c r="B25" s="6" t="s">
        <v>18</v>
      </c>
      <c r="C25" s="6" t="s">
        <v>16</v>
      </c>
      <c r="D25" s="7" t="s">
        <v>114</v>
      </c>
      <c r="E25" s="8" t="s">
        <v>115</v>
      </c>
      <c r="F25" s="6" t="s">
        <v>116</v>
      </c>
      <c r="G25" s="9" t="str">
        <f aca="false">IF(A25=1,"_",IF(C25="_","???",C25))</f>
        <v>???</v>
      </c>
      <c r="H25" s="10" t="s">
        <v>16</v>
      </c>
      <c r="I25" s="11" t="s">
        <v>16</v>
      </c>
      <c r="J25" s="12"/>
    </row>
    <row r="26" customFormat="false" ht="60" hidden="false" customHeight="true" outlineLevel="0" collapsed="false">
      <c r="A26" s="6" t="s">
        <v>117</v>
      </c>
      <c r="B26" s="6" t="s">
        <v>17</v>
      </c>
      <c r="C26" s="6" t="s">
        <v>118</v>
      </c>
      <c r="D26" s="7" t="s">
        <v>119</v>
      </c>
      <c r="E26" s="8" t="s">
        <v>120</v>
      </c>
      <c r="F26" s="6" t="s">
        <v>121</v>
      </c>
      <c r="G26" s="9" t="str">
        <f aca="false">IF(A26=1,"_",IF(C26="_","???",C26))</f>
        <v>as if?</v>
      </c>
      <c r="H26" s="10" t="s">
        <v>16</v>
      </c>
      <c r="I26" s="11" t="s">
        <v>16</v>
      </c>
      <c r="J26" s="12"/>
    </row>
    <row r="27" customFormat="false" ht="60" hidden="false" customHeight="true" outlineLevel="0" collapsed="false">
      <c r="A27" s="6" t="s">
        <v>122</v>
      </c>
      <c r="B27" s="6" t="s">
        <v>42</v>
      </c>
      <c r="C27" s="6" t="s">
        <v>16</v>
      </c>
      <c r="D27" s="7" t="s">
        <v>123</v>
      </c>
      <c r="E27" s="8" t="s">
        <v>124</v>
      </c>
      <c r="F27" s="6" t="s">
        <v>125</v>
      </c>
      <c r="G27" s="9" t="str">
        <f aca="false">IF(A27=1,"_",IF(C27="_","???",C27))</f>
        <v>???</v>
      </c>
      <c r="H27" s="10" t="s">
        <v>16</v>
      </c>
      <c r="I27" s="11" t="s">
        <v>16</v>
      </c>
      <c r="J27" s="12"/>
    </row>
    <row r="28" customFormat="false" ht="60" hidden="false" customHeight="true" outlineLevel="0" collapsed="false">
      <c r="A28" s="6" t="s">
        <v>126</v>
      </c>
      <c r="B28" s="6" t="s">
        <v>42</v>
      </c>
      <c r="C28" s="6" t="s">
        <v>16</v>
      </c>
      <c r="D28" s="7" t="s">
        <v>127</v>
      </c>
      <c r="E28" s="8" t="s">
        <v>128</v>
      </c>
      <c r="F28" s="6" t="s">
        <v>129</v>
      </c>
      <c r="G28" s="9" t="str">
        <f aca="false">IF(A28=1,"_",IF(C28="_","???",C28))</f>
        <v>???</v>
      </c>
      <c r="H28" s="10" t="s">
        <v>16</v>
      </c>
      <c r="I28" s="11" t="s">
        <v>16</v>
      </c>
      <c r="J28" s="12"/>
    </row>
    <row r="29" customFormat="false" ht="60" hidden="false" customHeight="true" outlineLevel="0" collapsed="false">
      <c r="A29" s="6" t="s">
        <v>130</v>
      </c>
      <c r="B29" s="6" t="s">
        <v>33</v>
      </c>
      <c r="C29" s="6" t="s">
        <v>16</v>
      </c>
      <c r="D29" s="7" t="s">
        <v>131</v>
      </c>
      <c r="E29" s="8" t="s">
        <v>132</v>
      </c>
      <c r="F29" s="6" t="s">
        <v>133</v>
      </c>
      <c r="G29" s="9" t="str">
        <f aca="false">IF(A29=1,"_",IF(C29="_","???",C29))</f>
        <v>???</v>
      </c>
      <c r="H29" s="10" t="s">
        <v>16</v>
      </c>
      <c r="I29" s="11" t="s">
        <v>16</v>
      </c>
      <c r="J29" s="12"/>
    </row>
    <row r="30" customFormat="false" ht="60" hidden="false" customHeight="true" outlineLevel="0" collapsed="false">
      <c r="A30" s="6" t="s">
        <v>134</v>
      </c>
      <c r="B30" s="6" t="s">
        <v>22</v>
      </c>
      <c r="C30" s="6" t="s">
        <v>16</v>
      </c>
      <c r="D30" s="7" t="s">
        <v>127</v>
      </c>
      <c r="E30" s="8" t="s">
        <v>135</v>
      </c>
      <c r="F30" s="6" t="s">
        <v>136</v>
      </c>
      <c r="G30" s="9" t="str">
        <f aca="false">IF(A30=1,"_",IF(C30="_","???",C30))</f>
        <v>???</v>
      </c>
      <c r="H30" s="10" t="s">
        <v>16</v>
      </c>
      <c r="I30" s="11" t="s">
        <v>16</v>
      </c>
      <c r="J30" s="12"/>
    </row>
    <row r="31" customFormat="false" ht="60" hidden="false" customHeight="true" outlineLevel="0" collapsed="false">
      <c r="A31" s="6" t="s">
        <v>137</v>
      </c>
      <c r="B31" s="6" t="s">
        <v>10</v>
      </c>
      <c r="C31" s="6" t="s">
        <v>16</v>
      </c>
      <c r="D31" s="7" t="s">
        <v>138</v>
      </c>
      <c r="E31" s="8" t="s">
        <v>139</v>
      </c>
      <c r="F31" s="6" t="s">
        <v>140</v>
      </c>
      <c r="G31" s="9" t="str">
        <f aca="false">IF(A31=1,"_",IF(C31="_","???",C31))</f>
        <v>???</v>
      </c>
      <c r="H31" s="10" t="s">
        <v>16</v>
      </c>
      <c r="I31" s="11" t="s">
        <v>16</v>
      </c>
      <c r="J31" s="12"/>
    </row>
    <row r="32" customFormat="false" ht="60" hidden="false" customHeight="true" outlineLevel="0" collapsed="false">
      <c r="A32" s="6" t="s">
        <v>141</v>
      </c>
      <c r="B32" s="6" t="s">
        <v>18</v>
      </c>
      <c r="C32" s="6" t="s">
        <v>16</v>
      </c>
      <c r="D32" s="7" t="s">
        <v>142</v>
      </c>
      <c r="E32" s="8" t="s">
        <v>143</v>
      </c>
      <c r="F32" s="6" t="s">
        <v>144</v>
      </c>
      <c r="G32" s="9" t="str">
        <f aca="false">IF(A32=1,"_",IF(C32="_","???",C32))</f>
        <v>???</v>
      </c>
      <c r="H32" s="10" t="s">
        <v>16</v>
      </c>
      <c r="I32" s="11" t="s">
        <v>16</v>
      </c>
      <c r="J32" s="12"/>
    </row>
    <row r="33" customFormat="false" ht="60" hidden="false" customHeight="true" outlineLevel="0" collapsed="false">
      <c r="A33" s="6" t="s">
        <v>145</v>
      </c>
      <c r="B33" s="6" t="s">
        <v>18</v>
      </c>
      <c r="C33" s="6" t="s">
        <v>16</v>
      </c>
      <c r="D33" s="7" t="s">
        <v>146</v>
      </c>
      <c r="E33" s="8" t="s">
        <v>147</v>
      </c>
      <c r="F33" s="6" t="s">
        <v>148</v>
      </c>
      <c r="G33" s="9" t="str">
        <f aca="false">IF(A33=1,"_",IF(C33="_","???",C33))</f>
        <v>???</v>
      </c>
      <c r="H33" s="10" t="s">
        <v>16</v>
      </c>
      <c r="I33" s="11" t="s">
        <v>16</v>
      </c>
      <c r="J33" s="12"/>
    </row>
    <row r="34" customFormat="false" ht="60" hidden="false" customHeight="true" outlineLevel="0" collapsed="false">
      <c r="A34" s="6" t="s">
        <v>149</v>
      </c>
      <c r="B34" s="6" t="s">
        <v>17</v>
      </c>
      <c r="C34" s="6" t="s">
        <v>16</v>
      </c>
      <c r="D34" s="7" t="s">
        <v>94</v>
      </c>
      <c r="E34" s="8" t="s">
        <v>150</v>
      </c>
      <c r="F34" s="6" t="s">
        <v>151</v>
      </c>
      <c r="G34" s="9" t="str">
        <f aca="false">IF(A34=1,"_",IF(C34="_","???",C34))</f>
        <v>???</v>
      </c>
      <c r="H34" s="10" t="s">
        <v>16</v>
      </c>
      <c r="I34" s="11" t="s">
        <v>16</v>
      </c>
      <c r="J34" s="12"/>
    </row>
    <row r="35" customFormat="false" ht="60" hidden="false" customHeight="true" outlineLevel="0" collapsed="false">
      <c r="A35" s="6" t="s">
        <v>152</v>
      </c>
      <c r="B35" s="6" t="s">
        <v>18</v>
      </c>
      <c r="C35" s="6" t="s">
        <v>16</v>
      </c>
      <c r="D35" s="7" t="s">
        <v>153</v>
      </c>
      <c r="E35" s="8" t="s">
        <v>154</v>
      </c>
      <c r="F35" s="6" t="s">
        <v>155</v>
      </c>
      <c r="G35" s="9" t="str">
        <f aca="false">IF(A35=1,"_",IF(C35="_","???",C35))</f>
        <v>???</v>
      </c>
      <c r="H35" s="10" t="s">
        <v>16</v>
      </c>
      <c r="I35" s="11" t="s">
        <v>16</v>
      </c>
      <c r="J35" s="12"/>
    </row>
    <row r="36" customFormat="false" ht="60" hidden="false" customHeight="true" outlineLevel="0" collapsed="false">
      <c r="A36" s="6" t="s">
        <v>156</v>
      </c>
      <c r="B36" s="6" t="s">
        <v>33</v>
      </c>
      <c r="C36" s="6" t="s">
        <v>38</v>
      </c>
      <c r="D36" s="7" t="s">
        <v>157</v>
      </c>
      <c r="E36" s="8" t="s">
        <v>158</v>
      </c>
      <c r="F36" s="6" t="s">
        <v>159</v>
      </c>
      <c r="G36" s="9" t="str">
        <f aca="false">IF(A36=1,"_",IF(C36="_","???",C36))</f>
        <v>and?</v>
      </c>
      <c r="H36" s="10" t="s">
        <v>16</v>
      </c>
      <c r="I36" s="11" t="s">
        <v>16</v>
      </c>
      <c r="J36" s="12"/>
    </row>
    <row r="37" customFormat="false" ht="60" hidden="false" customHeight="true" outlineLevel="0" collapsed="false">
      <c r="A37" s="6" t="s">
        <v>160</v>
      </c>
      <c r="B37" s="6" t="s">
        <v>18</v>
      </c>
      <c r="C37" s="6" t="s">
        <v>16</v>
      </c>
      <c r="D37" s="7" t="s">
        <v>161</v>
      </c>
      <c r="E37" s="8" t="s">
        <v>162</v>
      </c>
      <c r="F37" s="6" t="s">
        <v>163</v>
      </c>
      <c r="G37" s="9" t="str">
        <f aca="false">IF(A37=1,"_",IF(C37="_","???",C37))</f>
        <v>???</v>
      </c>
      <c r="H37" s="10" t="s">
        <v>16</v>
      </c>
      <c r="I37" s="11" t="s">
        <v>16</v>
      </c>
      <c r="J37" s="12"/>
    </row>
    <row r="38" customFormat="false" ht="60" hidden="false" customHeight="true" outlineLevel="0" collapsed="false">
      <c r="A38" s="6" t="s">
        <v>164</v>
      </c>
      <c r="B38" s="6" t="s">
        <v>27</v>
      </c>
      <c r="C38" s="6" t="s">
        <v>16</v>
      </c>
      <c r="D38" s="7" t="s">
        <v>165</v>
      </c>
      <c r="E38" s="8" t="s">
        <v>166</v>
      </c>
      <c r="F38" s="6" t="s">
        <v>167</v>
      </c>
      <c r="G38" s="9" t="str">
        <f aca="false">IF(A38=1,"_",IF(C38="_","???",C38))</f>
        <v>???</v>
      </c>
      <c r="H38" s="10" t="s">
        <v>16</v>
      </c>
      <c r="I38" s="11" t="s">
        <v>16</v>
      </c>
      <c r="J38" s="12"/>
    </row>
    <row r="39" customFormat="false" ht="60" hidden="false" customHeight="true" outlineLevel="0" collapsed="false">
      <c r="A39" s="6" t="s">
        <v>168</v>
      </c>
      <c r="B39" s="6" t="s">
        <v>17</v>
      </c>
      <c r="C39" s="6" t="s">
        <v>16</v>
      </c>
      <c r="D39" s="7" t="s">
        <v>169</v>
      </c>
      <c r="E39" s="8" t="s">
        <v>170</v>
      </c>
      <c r="F39" s="6" t="s">
        <v>171</v>
      </c>
      <c r="G39" s="9" t="str">
        <f aca="false">IF(A39=1,"_",IF(C39="_","???",C39))</f>
        <v>???</v>
      </c>
      <c r="H39" s="10" t="s">
        <v>16</v>
      </c>
      <c r="I39" s="11" t="s">
        <v>16</v>
      </c>
      <c r="J39" s="12"/>
    </row>
    <row r="40" customFormat="false" ht="60" hidden="false" customHeight="true" outlineLevel="0" collapsed="false">
      <c r="A40" s="6" t="s">
        <v>172</v>
      </c>
      <c r="B40" s="6" t="s">
        <v>10</v>
      </c>
      <c r="C40" s="6" t="s">
        <v>38</v>
      </c>
      <c r="D40" s="7" t="s">
        <v>173</v>
      </c>
      <c r="E40" s="8" t="s">
        <v>174</v>
      </c>
      <c r="F40" s="6" t="s">
        <v>175</v>
      </c>
      <c r="G40" s="9" t="str">
        <f aca="false">IF(A40=1,"_",IF(C40="_","???",C40))</f>
        <v>and?</v>
      </c>
      <c r="H40" s="10" t="s">
        <v>16</v>
      </c>
      <c r="I40" s="11" t="s">
        <v>16</v>
      </c>
      <c r="J40" s="12"/>
    </row>
    <row r="41" customFormat="false" ht="60" hidden="false" customHeight="true" outlineLevel="0" collapsed="false">
      <c r="A41" s="6" t="s">
        <v>176</v>
      </c>
      <c r="B41" s="6" t="s">
        <v>17</v>
      </c>
      <c r="C41" s="6" t="s">
        <v>38</v>
      </c>
      <c r="D41" s="7" t="s">
        <v>177</v>
      </c>
      <c r="E41" s="8" t="s">
        <v>178</v>
      </c>
      <c r="F41" s="6" t="s">
        <v>179</v>
      </c>
      <c r="G41" s="9" t="str">
        <f aca="false">IF(A41=1,"_",IF(C41="_","???",C41))</f>
        <v>and?</v>
      </c>
      <c r="H41" s="10" t="s">
        <v>16</v>
      </c>
      <c r="I41" s="11" t="s">
        <v>16</v>
      </c>
      <c r="J41" s="12"/>
    </row>
    <row r="42" customFormat="false" ht="60" hidden="false" customHeight="true" outlineLevel="0" collapsed="false">
      <c r="A42" s="6" t="s">
        <v>180</v>
      </c>
      <c r="B42" s="6" t="s">
        <v>10</v>
      </c>
      <c r="C42" s="6" t="s">
        <v>16</v>
      </c>
      <c r="D42" s="7" t="s">
        <v>181</v>
      </c>
      <c r="E42" s="8" t="s">
        <v>182</v>
      </c>
      <c r="F42" s="6" t="s">
        <v>183</v>
      </c>
      <c r="G42" s="9" t="str">
        <f aca="false">IF(A42=1,"_",IF(C42="_","???",C42))</f>
        <v>???</v>
      </c>
      <c r="H42" s="10" t="s">
        <v>16</v>
      </c>
      <c r="I42" s="11" t="s">
        <v>16</v>
      </c>
      <c r="J42" s="12"/>
    </row>
    <row r="43" customFormat="false" ht="60" hidden="false" customHeight="true" outlineLevel="0" collapsed="false">
      <c r="A43" s="6" t="s">
        <v>184</v>
      </c>
      <c r="B43" s="6" t="s">
        <v>17</v>
      </c>
      <c r="C43" s="6" t="s">
        <v>16</v>
      </c>
      <c r="D43" s="7" t="s">
        <v>185</v>
      </c>
      <c r="E43" s="8" t="s">
        <v>186</v>
      </c>
      <c r="F43" s="6" t="s">
        <v>187</v>
      </c>
      <c r="G43" s="9" t="str">
        <f aca="false">IF(A43=1,"_",IF(C43="_","???",C43))</f>
        <v>???</v>
      </c>
      <c r="H43" s="10" t="s">
        <v>16</v>
      </c>
      <c r="I43" s="11" t="s">
        <v>16</v>
      </c>
      <c r="J43" s="12"/>
    </row>
    <row r="44" customFormat="false" ht="60" hidden="false" customHeight="true" outlineLevel="0" collapsed="false">
      <c r="A44" s="6" t="s">
        <v>188</v>
      </c>
      <c r="B44" s="6" t="s">
        <v>17</v>
      </c>
      <c r="C44" s="6" t="s">
        <v>16</v>
      </c>
      <c r="D44" s="7" t="s">
        <v>189</v>
      </c>
      <c r="E44" s="8" t="s">
        <v>190</v>
      </c>
      <c r="F44" s="6" t="s">
        <v>191</v>
      </c>
      <c r="G44" s="9" t="str">
        <f aca="false">IF(A44=1,"_",IF(C44="_","???",C44))</f>
        <v>???</v>
      </c>
      <c r="H44" s="10" t="s">
        <v>16</v>
      </c>
      <c r="I44" s="11" t="s">
        <v>16</v>
      </c>
      <c r="J44" s="12"/>
    </row>
    <row r="45" customFormat="false" ht="60" hidden="false" customHeight="true" outlineLevel="0" collapsed="false">
      <c r="A45" s="6" t="s">
        <v>192</v>
      </c>
      <c r="B45" s="6" t="s">
        <v>33</v>
      </c>
      <c r="C45" s="6" t="s">
        <v>38</v>
      </c>
      <c r="D45" s="7" t="s">
        <v>193</v>
      </c>
      <c r="E45" s="8" t="s">
        <v>194</v>
      </c>
      <c r="F45" s="6" t="s">
        <v>195</v>
      </c>
      <c r="G45" s="9" t="str">
        <f aca="false">IF(A45=1,"_",IF(C45="_","???",C45))</f>
        <v>and?</v>
      </c>
      <c r="H45" s="10" t="s">
        <v>16</v>
      </c>
      <c r="I45" s="11" t="s">
        <v>16</v>
      </c>
      <c r="J45" s="12"/>
    </row>
    <row r="46" customFormat="false" ht="60" hidden="false" customHeight="true" outlineLevel="0" collapsed="false">
      <c r="A46" s="6" t="s">
        <v>196</v>
      </c>
      <c r="B46" s="6" t="s">
        <v>18</v>
      </c>
      <c r="C46" s="6" t="s">
        <v>34</v>
      </c>
      <c r="D46" s="7" t="s">
        <v>197</v>
      </c>
      <c r="E46" s="8" t="s">
        <v>198</v>
      </c>
      <c r="F46" s="6" t="s">
        <v>199</v>
      </c>
      <c r="G46" s="9" t="str">
        <f aca="false">IF(A46=1,"_",IF(C46="_","???",C46))</f>
        <v>but?</v>
      </c>
      <c r="H46" s="10" t="s">
        <v>16</v>
      </c>
      <c r="I46" s="11" t="s">
        <v>16</v>
      </c>
      <c r="J46" s="12"/>
    </row>
    <row r="47" customFormat="false" ht="60" hidden="false" customHeight="true" outlineLevel="0" collapsed="false">
      <c r="A47" s="6" t="s">
        <v>200</v>
      </c>
      <c r="B47" s="6" t="s">
        <v>76</v>
      </c>
      <c r="C47" s="6" t="s">
        <v>16</v>
      </c>
      <c r="D47" s="7" t="s">
        <v>201</v>
      </c>
      <c r="E47" s="8" t="s">
        <v>202</v>
      </c>
      <c r="F47" s="6" t="s">
        <v>203</v>
      </c>
      <c r="G47" s="9" t="str">
        <f aca="false">IF(A47=1,"_",IF(C47="_","???",C47))</f>
        <v>???</v>
      </c>
      <c r="H47" s="10" t="s">
        <v>16</v>
      </c>
      <c r="I47" s="11" t="s">
        <v>16</v>
      </c>
      <c r="J47" s="12"/>
    </row>
    <row r="48" customFormat="false" ht="60" hidden="false" customHeight="true" outlineLevel="0" collapsed="false">
      <c r="A48" s="6" t="s">
        <v>204</v>
      </c>
      <c r="B48" s="6" t="s">
        <v>18</v>
      </c>
      <c r="C48" s="6" t="s">
        <v>65</v>
      </c>
      <c r="D48" s="7" t="s">
        <v>205</v>
      </c>
      <c r="E48" s="8" t="s">
        <v>206</v>
      </c>
      <c r="F48" s="6" t="s">
        <v>207</v>
      </c>
      <c r="G48" s="9" t="str">
        <f aca="false">IF(A48=1,"_",IF(C48="_","???",C48))</f>
        <v>while?</v>
      </c>
      <c r="H48" s="10" t="s">
        <v>16</v>
      </c>
      <c r="I48" s="11" t="s">
        <v>16</v>
      </c>
      <c r="J48" s="12"/>
    </row>
    <row r="49" customFormat="false" ht="60" hidden="false" customHeight="true" outlineLevel="0" collapsed="false">
      <c r="A49" s="6" t="s">
        <v>208</v>
      </c>
      <c r="B49" s="6" t="s">
        <v>17</v>
      </c>
      <c r="C49" s="6" t="s">
        <v>16</v>
      </c>
      <c r="D49" s="7" t="s">
        <v>209</v>
      </c>
      <c r="E49" s="8" t="s">
        <v>210</v>
      </c>
      <c r="F49" s="6" t="s">
        <v>211</v>
      </c>
      <c r="G49" s="9" t="str">
        <f aca="false">IF(A49=1,"_",IF(C49="_","???",C49))</f>
        <v>???</v>
      </c>
      <c r="H49" s="10" t="s">
        <v>16</v>
      </c>
      <c r="I49" s="11" t="s">
        <v>16</v>
      </c>
      <c r="J49" s="12"/>
    </row>
    <row r="50" customFormat="false" ht="60" hidden="false" customHeight="true" outlineLevel="0" collapsed="false">
      <c r="A50" s="6" t="s">
        <v>212</v>
      </c>
      <c r="B50" s="6" t="s">
        <v>18</v>
      </c>
      <c r="C50" s="6" t="s">
        <v>16</v>
      </c>
      <c r="D50" s="7" t="s">
        <v>213</v>
      </c>
      <c r="E50" s="8" t="s">
        <v>214</v>
      </c>
      <c r="F50" s="6" t="s">
        <v>215</v>
      </c>
      <c r="G50" s="9" t="str">
        <f aca="false">IF(A50=1,"_",IF(C50="_","???",C50))</f>
        <v>???</v>
      </c>
      <c r="H50" s="10" t="s">
        <v>16</v>
      </c>
      <c r="I50" s="11" t="s">
        <v>16</v>
      </c>
      <c r="J50" s="12"/>
    </row>
    <row r="51" customFormat="false" ht="60" hidden="false" customHeight="true" outlineLevel="0" collapsed="false">
      <c r="A51" s="6" t="s">
        <v>216</v>
      </c>
      <c r="B51" s="6" t="s">
        <v>33</v>
      </c>
      <c r="C51" s="6" t="s">
        <v>16</v>
      </c>
      <c r="D51" s="7" t="s">
        <v>106</v>
      </c>
      <c r="E51" s="8" t="s">
        <v>217</v>
      </c>
      <c r="F51" s="6" t="s">
        <v>218</v>
      </c>
      <c r="G51" s="9" t="str">
        <f aca="false">IF(A51=1,"_",IF(C51="_","???",C51))</f>
        <v>???</v>
      </c>
      <c r="H51" s="10" t="s">
        <v>16</v>
      </c>
      <c r="I51" s="11" t="s">
        <v>16</v>
      </c>
      <c r="J51" s="12"/>
    </row>
    <row r="52" customFormat="false" ht="60" hidden="false" customHeight="true" outlineLevel="0" collapsed="false">
      <c r="A52" s="6" t="s">
        <v>219</v>
      </c>
      <c r="B52" s="6" t="s">
        <v>18</v>
      </c>
      <c r="C52" s="6" t="s">
        <v>38</v>
      </c>
      <c r="D52" s="7" t="s">
        <v>220</v>
      </c>
      <c r="E52" s="8" t="s">
        <v>221</v>
      </c>
      <c r="F52" s="6" t="s">
        <v>222</v>
      </c>
      <c r="G52" s="9" t="str">
        <f aca="false">IF(A52=1,"_",IF(C52="_","???",C52))</f>
        <v>and?</v>
      </c>
      <c r="H52" s="10" t="s">
        <v>16</v>
      </c>
      <c r="I52" s="11" t="s">
        <v>16</v>
      </c>
      <c r="J52" s="12"/>
    </row>
    <row r="53" customFormat="false" ht="60" hidden="false" customHeight="true" outlineLevel="0" collapsed="false">
      <c r="A53" s="6" t="s">
        <v>223</v>
      </c>
      <c r="B53" s="6" t="s">
        <v>17</v>
      </c>
      <c r="C53" s="6" t="s">
        <v>224</v>
      </c>
      <c r="D53" s="7" t="s">
        <v>225</v>
      </c>
      <c r="E53" s="8" t="s">
        <v>226</v>
      </c>
      <c r="F53" s="6" t="s">
        <v>227</v>
      </c>
      <c r="G53" s="9" t="str">
        <f aca="false">IF(A53=1,"_",IF(C53="_","???",C53))</f>
        <v>then?</v>
      </c>
      <c r="H53" s="10" t="s">
        <v>16</v>
      </c>
      <c r="I53" s="11" t="s">
        <v>16</v>
      </c>
      <c r="J53" s="12"/>
    </row>
    <row r="54" customFormat="false" ht="60" hidden="false" customHeight="true" outlineLevel="0" collapsed="false">
      <c r="A54" s="6" t="s">
        <v>228</v>
      </c>
      <c r="B54" s="6" t="s">
        <v>17</v>
      </c>
      <c r="C54" s="6" t="s">
        <v>38</v>
      </c>
      <c r="D54" s="7" t="s">
        <v>106</v>
      </c>
      <c r="E54" s="8" t="s">
        <v>229</v>
      </c>
      <c r="F54" s="6" t="s">
        <v>230</v>
      </c>
      <c r="G54" s="9" t="str">
        <f aca="false">IF(A54=1,"_",IF(C54="_","???",C54))</f>
        <v>and?</v>
      </c>
      <c r="H54" s="10" t="s">
        <v>16</v>
      </c>
      <c r="I54" s="11" t="s">
        <v>16</v>
      </c>
      <c r="J54" s="12"/>
    </row>
    <row r="55" customFormat="false" ht="60" hidden="false" customHeight="true" outlineLevel="0" collapsed="false">
      <c r="A55" s="6" t="s">
        <v>231</v>
      </c>
      <c r="B55" s="6" t="s">
        <v>18</v>
      </c>
      <c r="C55" s="6" t="s">
        <v>16</v>
      </c>
      <c r="D55" s="7" t="s">
        <v>123</v>
      </c>
      <c r="E55" s="8" t="s">
        <v>232</v>
      </c>
      <c r="F55" s="6" t="s">
        <v>233</v>
      </c>
      <c r="G55" s="9" t="str">
        <f aca="false">IF(A55=1,"_",IF(C55="_","???",C55))</f>
        <v>???</v>
      </c>
      <c r="H55" s="10" t="s">
        <v>16</v>
      </c>
      <c r="I55" s="11" t="s">
        <v>16</v>
      </c>
      <c r="J55" s="12"/>
    </row>
    <row r="56" customFormat="false" ht="60" hidden="false" customHeight="true" outlineLevel="0" collapsed="false">
      <c r="A56" s="6" t="s">
        <v>234</v>
      </c>
      <c r="B56" s="6" t="s">
        <v>17</v>
      </c>
      <c r="C56" s="6" t="s">
        <v>43</v>
      </c>
      <c r="D56" s="7" t="s">
        <v>235</v>
      </c>
      <c r="E56" s="8" t="s">
        <v>236</v>
      </c>
      <c r="F56" s="6" t="s">
        <v>237</v>
      </c>
      <c r="G56" s="9" t="str">
        <f aca="false">IF(A56=1,"_",IF(C56="_","???",C56))</f>
        <v>when?</v>
      </c>
      <c r="H56" s="10" t="s">
        <v>16</v>
      </c>
      <c r="I56" s="11" t="s">
        <v>16</v>
      </c>
      <c r="J56" s="12"/>
    </row>
    <row r="57" customFormat="false" ht="60" hidden="false" customHeight="true" outlineLevel="0" collapsed="false">
      <c r="A57" s="6" t="s">
        <v>238</v>
      </c>
      <c r="B57" s="6" t="s">
        <v>50</v>
      </c>
      <c r="C57" s="6" t="s">
        <v>239</v>
      </c>
      <c r="D57" s="7" t="s">
        <v>185</v>
      </c>
      <c r="E57" s="8" t="s">
        <v>240</v>
      </c>
      <c r="F57" s="6" t="s">
        <v>241</v>
      </c>
      <c r="G57" s="9" t="str">
        <f aca="false">IF(A57=1,"_",IF(C57="_","???",C57))</f>
        <v>since?</v>
      </c>
      <c r="H57" s="10" t="s">
        <v>16</v>
      </c>
      <c r="I57" s="11" t="s">
        <v>16</v>
      </c>
      <c r="J57" s="12"/>
    </row>
    <row r="58" customFormat="false" ht="60" hidden="false" customHeight="true" outlineLevel="0" collapsed="false">
      <c r="A58" s="6" t="s">
        <v>242</v>
      </c>
      <c r="B58" s="6" t="s">
        <v>33</v>
      </c>
      <c r="C58" s="6" t="s">
        <v>16</v>
      </c>
      <c r="D58" s="7" t="s">
        <v>153</v>
      </c>
      <c r="E58" s="8" t="s">
        <v>243</v>
      </c>
      <c r="F58" s="6" t="s">
        <v>244</v>
      </c>
      <c r="G58" s="9" t="str">
        <f aca="false">IF(A58=1,"_",IF(C58="_","???",C58))</f>
        <v>???</v>
      </c>
      <c r="H58" s="10" t="s">
        <v>16</v>
      </c>
      <c r="I58" s="11" t="s">
        <v>16</v>
      </c>
      <c r="J58" s="12"/>
    </row>
    <row r="59" customFormat="false" ht="60" hidden="false" customHeight="true" outlineLevel="0" collapsed="false">
      <c r="A59" s="6" t="s">
        <v>245</v>
      </c>
      <c r="B59" s="6" t="s">
        <v>18</v>
      </c>
      <c r="C59" s="6" t="s">
        <v>16</v>
      </c>
      <c r="D59" s="7" t="s">
        <v>123</v>
      </c>
      <c r="E59" s="8" t="s">
        <v>246</v>
      </c>
      <c r="F59" s="6" t="s">
        <v>247</v>
      </c>
      <c r="G59" s="9" t="str">
        <f aca="false">IF(A59=1,"_",IF(C59="_","???",C59))</f>
        <v>???</v>
      </c>
      <c r="H59" s="10" t="s">
        <v>16</v>
      </c>
      <c r="I59" s="11" t="s">
        <v>16</v>
      </c>
      <c r="J59" s="12"/>
    </row>
    <row r="60" customFormat="false" ht="60" hidden="false" customHeight="true" outlineLevel="0" collapsed="false">
      <c r="A60" s="6" t="s">
        <v>248</v>
      </c>
      <c r="B60" s="6" t="s">
        <v>18</v>
      </c>
      <c r="C60" s="6" t="s">
        <v>34</v>
      </c>
      <c r="D60" s="7" t="s">
        <v>249</v>
      </c>
      <c r="E60" s="8" t="s">
        <v>250</v>
      </c>
      <c r="F60" s="6" t="s">
        <v>251</v>
      </c>
      <c r="G60" s="9" t="str">
        <f aca="false">IF(A60=1,"_",IF(C60="_","???",C60))</f>
        <v>but?</v>
      </c>
      <c r="H60" s="10" t="s">
        <v>16</v>
      </c>
      <c r="I60" s="11" t="s">
        <v>16</v>
      </c>
      <c r="J60" s="12"/>
    </row>
    <row r="61" customFormat="false" ht="60" hidden="false" customHeight="true" outlineLevel="0" collapsed="false">
      <c r="A61" s="6" t="s">
        <v>252</v>
      </c>
      <c r="B61" s="6" t="s">
        <v>18</v>
      </c>
      <c r="C61" s="6" t="s">
        <v>38</v>
      </c>
      <c r="D61" s="7" t="s">
        <v>253</v>
      </c>
      <c r="E61" s="8" t="s">
        <v>254</v>
      </c>
      <c r="F61" s="6" t="s">
        <v>255</v>
      </c>
      <c r="G61" s="9" t="str">
        <f aca="false">IF(A61=1,"_",IF(C61="_","???",C61))</f>
        <v>and?</v>
      </c>
      <c r="H61" s="10" t="s">
        <v>16</v>
      </c>
      <c r="I61" s="11" t="s">
        <v>16</v>
      </c>
      <c r="J61" s="12"/>
    </row>
    <row r="62" customFormat="false" ht="60" hidden="false" customHeight="true" outlineLevel="0" collapsed="false">
      <c r="A62" s="6" t="s">
        <v>256</v>
      </c>
      <c r="B62" s="6" t="s">
        <v>33</v>
      </c>
      <c r="C62" s="6" t="s">
        <v>38</v>
      </c>
      <c r="D62" s="7" t="s">
        <v>220</v>
      </c>
      <c r="E62" s="8" t="s">
        <v>257</v>
      </c>
      <c r="F62" s="6" t="s">
        <v>258</v>
      </c>
      <c r="G62" s="9" t="str">
        <f aca="false">IF(A62=1,"_",IF(C62="_","???",C62))</f>
        <v>and?</v>
      </c>
      <c r="H62" s="10" t="s">
        <v>16</v>
      </c>
      <c r="I62" s="11" t="s">
        <v>16</v>
      </c>
      <c r="J62" s="12"/>
    </row>
    <row r="63" customFormat="false" ht="60" hidden="false" customHeight="true" outlineLevel="0" collapsed="false">
      <c r="A63" s="6" t="s">
        <v>259</v>
      </c>
      <c r="B63" s="6" t="s">
        <v>27</v>
      </c>
      <c r="C63" s="6" t="s">
        <v>16</v>
      </c>
      <c r="D63" s="7" t="s">
        <v>119</v>
      </c>
      <c r="E63" s="8" t="s">
        <v>260</v>
      </c>
      <c r="F63" s="6" t="s">
        <v>261</v>
      </c>
      <c r="G63" s="9" t="str">
        <f aca="false">IF(A63=1,"_",IF(C63="_","???",C63))</f>
        <v>???</v>
      </c>
      <c r="H63" s="10" t="s">
        <v>16</v>
      </c>
      <c r="I63" s="11" t="s">
        <v>16</v>
      </c>
      <c r="J63" s="12"/>
    </row>
    <row r="64" customFormat="false" ht="60" hidden="false" customHeight="true" outlineLevel="0" collapsed="false">
      <c r="A64" s="6" t="s">
        <v>262</v>
      </c>
      <c r="B64" s="6" t="s">
        <v>17</v>
      </c>
      <c r="C64" s="6" t="s">
        <v>16</v>
      </c>
      <c r="D64" s="7" t="s">
        <v>263</v>
      </c>
      <c r="E64" s="8" t="s">
        <v>264</v>
      </c>
      <c r="F64" s="6" t="s">
        <v>265</v>
      </c>
      <c r="G64" s="9" t="str">
        <f aca="false">IF(A64=1,"_",IF(C64="_","???",C64))</f>
        <v>???</v>
      </c>
      <c r="H64" s="10" t="s">
        <v>16</v>
      </c>
      <c r="I64" s="11" t="s">
        <v>16</v>
      </c>
      <c r="J64" s="12"/>
    </row>
    <row r="65" customFormat="false" ht="60" hidden="false" customHeight="true" outlineLevel="0" collapsed="false">
      <c r="A65" s="6" t="s">
        <v>266</v>
      </c>
      <c r="B65" s="6" t="s">
        <v>28</v>
      </c>
      <c r="C65" s="6" t="s">
        <v>12</v>
      </c>
      <c r="D65" s="7" t="s">
        <v>267</v>
      </c>
      <c r="E65" s="8" t="s">
        <v>268</v>
      </c>
      <c r="F65" s="6" t="s">
        <v>269</v>
      </c>
      <c r="G65" s="9" t="str">
        <f aca="false">IF(A65=1,"_",IF(C65="_","???",C65))</f>
        <v>indeed?</v>
      </c>
      <c r="H65" s="10" t="s">
        <v>16</v>
      </c>
      <c r="I65" s="11" t="s">
        <v>16</v>
      </c>
      <c r="J65" s="12"/>
    </row>
    <row r="66" customFormat="false" ht="60" hidden="false" customHeight="true" outlineLevel="0" collapsed="false">
      <c r="A66" s="6" t="s">
        <v>270</v>
      </c>
      <c r="B66" s="6" t="s">
        <v>27</v>
      </c>
      <c r="C66" s="6" t="s">
        <v>16</v>
      </c>
      <c r="D66" s="7" t="s">
        <v>271</v>
      </c>
      <c r="E66" s="8" t="s">
        <v>272</v>
      </c>
      <c r="F66" s="6" t="s">
        <v>273</v>
      </c>
      <c r="G66" s="9" t="str">
        <f aca="false">IF(A66=1,"_",IF(C66="_","???",C66))</f>
        <v>???</v>
      </c>
      <c r="H66" s="10" t="s">
        <v>16</v>
      </c>
      <c r="I66" s="11" t="s">
        <v>16</v>
      </c>
      <c r="J66" s="12"/>
    </row>
    <row r="67" customFormat="false" ht="60" hidden="false" customHeight="true" outlineLevel="0" collapsed="false">
      <c r="A67" s="6" t="s">
        <v>274</v>
      </c>
      <c r="B67" s="6" t="s">
        <v>17</v>
      </c>
      <c r="C67" s="6" t="s">
        <v>16</v>
      </c>
      <c r="D67" s="7" t="s">
        <v>275</v>
      </c>
      <c r="E67" s="8" t="s">
        <v>276</v>
      </c>
      <c r="F67" s="6" t="s">
        <v>277</v>
      </c>
      <c r="G67" s="9" t="str">
        <f aca="false">IF(A67=1,"_",IF(C67="_","???",C67))</f>
        <v>???</v>
      </c>
      <c r="H67" s="10" t="s">
        <v>16</v>
      </c>
      <c r="I67" s="11" t="s">
        <v>16</v>
      </c>
      <c r="J67" s="12"/>
    </row>
    <row r="68" customFormat="false" ht="60" hidden="false" customHeight="true" outlineLevel="0" collapsed="false">
      <c r="A68" s="6" t="s">
        <v>278</v>
      </c>
      <c r="B68" s="6" t="s">
        <v>81</v>
      </c>
      <c r="C68" s="6" t="s">
        <v>16</v>
      </c>
      <c r="D68" s="7" t="s">
        <v>279</v>
      </c>
      <c r="E68" s="8" t="s">
        <v>280</v>
      </c>
      <c r="F68" s="6" t="s">
        <v>281</v>
      </c>
      <c r="G68" s="9" t="str">
        <f aca="false">IF(A68=1,"_",IF(C68="_","???",C68))</f>
        <v>???</v>
      </c>
      <c r="H68" s="10" t="s">
        <v>16</v>
      </c>
      <c r="I68" s="11" t="s">
        <v>16</v>
      </c>
      <c r="J68" s="12"/>
    </row>
    <row r="69" customFormat="false" ht="60" hidden="false" customHeight="true" outlineLevel="0" collapsed="false">
      <c r="A69" s="6" t="s">
        <v>282</v>
      </c>
      <c r="B69" s="6" t="s">
        <v>18</v>
      </c>
      <c r="C69" s="6" t="s">
        <v>38</v>
      </c>
      <c r="D69" s="7" t="s">
        <v>283</v>
      </c>
      <c r="E69" s="8" t="s">
        <v>284</v>
      </c>
      <c r="F69" s="6" t="s">
        <v>285</v>
      </c>
      <c r="G69" s="9" t="str">
        <f aca="false">IF(A69=1,"_",IF(C69="_","???",C69))</f>
        <v>and?</v>
      </c>
      <c r="H69" s="10" t="s">
        <v>16</v>
      </c>
      <c r="I69" s="11" t="s">
        <v>16</v>
      </c>
      <c r="J69" s="12"/>
    </row>
    <row r="70" customFormat="false" ht="60" hidden="false" customHeight="true" outlineLevel="0" collapsed="false">
      <c r="A70" s="6" t="s">
        <v>286</v>
      </c>
      <c r="B70" s="6" t="s">
        <v>18</v>
      </c>
      <c r="C70" s="6" t="s">
        <v>65</v>
      </c>
      <c r="D70" s="7" t="s">
        <v>253</v>
      </c>
      <c r="E70" s="8" t="s">
        <v>287</v>
      </c>
      <c r="F70" s="6" t="s">
        <v>288</v>
      </c>
      <c r="G70" s="9" t="str">
        <f aca="false">IF(A70=1,"_",IF(C70="_","???",C70))</f>
        <v>while?</v>
      </c>
      <c r="H70" s="10" t="s">
        <v>16</v>
      </c>
      <c r="I70" s="11" t="s">
        <v>16</v>
      </c>
      <c r="J70" s="12"/>
    </row>
    <row r="71" customFormat="false" ht="60" hidden="false" customHeight="true" outlineLevel="0" collapsed="false">
      <c r="A71" s="6" t="s">
        <v>289</v>
      </c>
      <c r="B71" s="6" t="s">
        <v>64</v>
      </c>
      <c r="C71" s="6" t="s">
        <v>290</v>
      </c>
      <c r="D71" s="7" t="s">
        <v>291</v>
      </c>
      <c r="E71" s="8" t="s">
        <v>292</v>
      </c>
      <c r="F71" s="6" t="s">
        <v>293</v>
      </c>
      <c r="G71" s="9" t="str">
        <f aca="false">IF(A71=1,"_",IF(C71="_","???",C71))</f>
        <v>before?</v>
      </c>
      <c r="H71" s="10" t="s">
        <v>16</v>
      </c>
      <c r="I71" s="11" t="s">
        <v>16</v>
      </c>
      <c r="J71" s="12"/>
    </row>
    <row r="72" customFormat="false" ht="60" hidden="false" customHeight="true" outlineLevel="0" collapsed="false">
      <c r="A72" s="6" t="s">
        <v>294</v>
      </c>
      <c r="B72" s="6" t="s">
        <v>17</v>
      </c>
      <c r="C72" s="6" t="s">
        <v>38</v>
      </c>
      <c r="D72" s="7" t="s">
        <v>295</v>
      </c>
      <c r="E72" s="8" t="s">
        <v>296</v>
      </c>
      <c r="F72" s="6" t="s">
        <v>297</v>
      </c>
      <c r="G72" s="9" t="str">
        <f aca="false">IF(A72=1,"_",IF(C72="_","???",C72))</f>
        <v>and?</v>
      </c>
      <c r="H72" s="10" t="s">
        <v>16</v>
      </c>
      <c r="I72" s="11" t="s">
        <v>16</v>
      </c>
      <c r="J72" s="12"/>
    </row>
    <row r="73" customFormat="false" ht="60" hidden="false" customHeight="true" outlineLevel="0" collapsed="false">
      <c r="A73" s="6" t="s">
        <v>298</v>
      </c>
      <c r="B73" s="6" t="s">
        <v>22</v>
      </c>
      <c r="C73" s="6" t="s">
        <v>16</v>
      </c>
      <c r="D73" s="7" t="s">
        <v>299</v>
      </c>
      <c r="E73" s="8" t="s">
        <v>300</v>
      </c>
      <c r="F73" s="6" t="s">
        <v>301</v>
      </c>
      <c r="G73" s="9" t="str">
        <f aca="false">IF(A73=1,"_",IF(C73="_","???",C73))</f>
        <v>???</v>
      </c>
      <c r="H73" s="10" t="s">
        <v>16</v>
      </c>
      <c r="I73" s="11" t="s">
        <v>16</v>
      </c>
      <c r="J73" s="12"/>
    </row>
    <row r="74" customFormat="false" ht="60" hidden="false" customHeight="true" outlineLevel="0" collapsed="false">
      <c r="A74" s="6" t="s">
        <v>302</v>
      </c>
      <c r="B74" s="6" t="s">
        <v>27</v>
      </c>
      <c r="C74" s="6" t="s">
        <v>16</v>
      </c>
      <c r="D74" s="7" t="s">
        <v>303</v>
      </c>
      <c r="E74" s="8" t="s">
        <v>304</v>
      </c>
      <c r="F74" s="6" t="s">
        <v>305</v>
      </c>
      <c r="G74" s="9" t="str">
        <f aca="false">IF(A74=1,"_",IF(C74="_","???",C74))</f>
        <v>???</v>
      </c>
      <c r="H74" s="10" t="s">
        <v>16</v>
      </c>
      <c r="I74" s="11" t="s">
        <v>16</v>
      </c>
      <c r="J74" s="12"/>
    </row>
    <row r="75" customFormat="false" ht="60" hidden="false" customHeight="true" outlineLevel="0" collapsed="false">
      <c r="A75" s="6" t="s">
        <v>306</v>
      </c>
      <c r="B75" s="6" t="s">
        <v>18</v>
      </c>
      <c r="C75" s="6" t="s">
        <v>16</v>
      </c>
      <c r="D75" s="7" t="s">
        <v>307</v>
      </c>
      <c r="E75" s="8" t="s">
        <v>308</v>
      </c>
      <c r="F75" s="6" t="s">
        <v>309</v>
      </c>
      <c r="G75" s="9" t="str">
        <f aca="false">IF(A75=1,"_",IF(C75="_","???",C75))</f>
        <v>???</v>
      </c>
      <c r="H75" s="10" t="s">
        <v>16</v>
      </c>
      <c r="I75" s="11" t="s">
        <v>16</v>
      </c>
      <c r="J75" s="12"/>
    </row>
    <row r="76" customFormat="false" ht="60" hidden="false" customHeight="true" outlineLevel="0" collapsed="false">
      <c r="A76" s="6" t="s">
        <v>310</v>
      </c>
      <c r="B76" s="6" t="s">
        <v>17</v>
      </c>
      <c r="C76" s="6" t="s">
        <v>16</v>
      </c>
      <c r="D76" s="7" t="s">
        <v>311</v>
      </c>
      <c r="E76" s="8" t="s">
        <v>312</v>
      </c>
      <c r="F76" s="6" t="s">
        <v>313</v>
      </c>
      <c r="G76" s="9" t="str">
        <f aca="false">IF(A76=1,"_",IF(C76="_","???",C76))</f>
        <v>???</v>
      </c>
      <c r="H76" s="10" t="s">
        <v>16</v>
      </c>
      <c r="I76" s="11" t="s">
        <v>16</v>
      </c>
      <c r="J76" s="12"/>
    </row>
    <row r="77" customFormat="false" ht="60" hidden="false" customHeight="true" outlineLevel="0" collapsed="false">
      <c r="A77" s="6" t="s">
        <v>314</v>
      </c>
      <c r="B77" s="6" t="s">
        <v>50</v>
      </c>
      <c r="C77" s="6" t="s">
        <v>16</v>
      </c>
      <c r="D77" s="7" t="s">
        <v>315</v>
      </c>
      <c r="E77" s="8" t="s">
        <v>316</v>
      </c>
      <c r="F77" s="6" t="s">
        <v>317</v>
      </c>
      <c r="G77" s="9" t="str">
        <f aca="false">IF(A77=1,"_",IF(C77="_","???",C77))</f>
        <v>???</v>
      </c>
      <c r="H77" s="10" t="s">
        <v>16</v>
      </c>
      <c r="I77" s="11" t="s">
        <v>16</v>
      </c>
      <c r="J77" s="12"/>
    </row>
    <row r="78" customFormat="false" ht="60" hidden="false" customHeight="true" outlineLevel="0" collapsed="false">
      <c r="A78" s="6" t="s">
        <v>318</v>
      </c>
      <c r="B78" s="6" t="s">
        <v>42</v>
      </c>
      <c r="C78" s="6" t="s">
        <v>38</v>
      </c>
      <c r="D78" s="7" t="s">
        <v>319</v>
      </c>
      <c r="E78" s="8" t="s">
        <v>320</v>
      </c>
      <c r="F78" s="6" t="s">
        <v>321</v>
      </c>
      <c r="G78" s="9" t="str">
        <f aca="false">IF(A78=1,"_",IF(C78="_","???",C78))</f>
        <v>and?</v>
      </c>
      <c r="H78" s="10" t="s">
        <v>16</v>
      </c>
      <c r="I78" s="11" t="s">
        <v>16</v>
      </c>
      <c r="J78" s="12"/>
    </row>
    <row r="79" customFormat="false" ht="60" hidden="false" customHeight="true" outlineLevel="0" collapsed="false">
      <c r="A79" s="6" t="s">
        <v>322</v>
      </c>
      <c r="B79" s="6" t="s">
        <v>50</v>
      </c>
      <c r="C79" s="6" t="s">
        <v>323</v>
      </c>
      <c r="D79" s="7" t="s">
        <v>19</v>
      </c>
      <c r="E79" s="8" t="s">
        <v>324</v>
      </c>
      <c r="F79" s="6" t="s">
        <v>325</v>
      </c>
      <c r="G79" s="9" t="str">
        <f aca="false">IF(A79=1,"_",IF(C79="_","???",C79))</f>
        <v>as?</v>
      </c>
      <c r="H79" s="10" t="s">
        <v>16</v>
      </c>
      <c r="I79" s="11" t="s">
        <v>16</v>
      </c>
      <c r="J79" s="12"/>
    </row>
    <row r="80" customFormat="false" ht="60" hidden="false" customHeight="true" outlineLevel="0" collapsed="false">
      <c r="A80" s="6" t="s">
        <v>326</v>
      </c>
      <c r="B80" s="6" t="s">
        <v>17</v>
      </c>
      <c r="C80" s="6" t="s">
        <v>38</v>
      </c>
      <c r="D80" s="7" t="s">
        <v>327</v>
      </c>
      <c r="E80" s="8" t="s">
        <v>328</v>
      </c>
      <c r="F80" s="6" t="s">
        <v>329</v>
      </c>
      <c r="G80" s="9" t="str">
        <f aca="false">IF(A80=1,"_",IF(C80="_","???",C80))</f>
        <v>and?</v>
      </c>
      <c r="H80" s="10" t="s">
        <v>16</v>
      </c>
      <c r="I80" s="11" t="s">
        <v>16</v>
      </c>
      <c r="J80" s="12"/>
    </row>
    <row r="81" customFormat="false" ht="60" hidden="false" customHeight="true" outlineLevel="0" collapsed="false">
      <c r="A81" s="6" t="s">
        <v>330</v>
      </c>
      <c r="B81" s="6" t="s">
        <v>85</v>
      </c>
      <c r="C81" s="6" t="s">
        <v>331</v>
      </c>
      <c r="D81" s="7" t="s">
        <v>332</v>
      </c>
      <c r="E81" s="8" t="s">
        <v>333</v>
      </c>
      <c r="F81" s="6" t="s">
        <v>334</v>
      </c>
      <c r="G81" s="9" t="str">
        <f aca="false">IF(A81=1,"_",IF(C81="_","???",C81))</f>
        <v>if?</v>
      </c>
      <c r="H81" s="10" t="s">
        <v>16</v>
      </c>
      <c r="I81" s="11" t="s">
        <v>16</v>
      </c>
      <c r="J81" s="12"/>
    </row>
    <row r="82" customFormat="false" ht="60" hidden="false" customHeight="true" outlineLevel="0" collapsed="false">
      <c r="A82" s="6" t="s">
        <v>335</v>
      </c>
      <c r="B82" s="6" t="s">
        <v>28</v>
      </c>
      <c r="C82" s="6" t="s">
        <v>16</v>
      </c>
      <c r="D82" s="7" t="s">
        <v>336</v>
      </c>
      <c r="E82" s="8" t="s">
        <v>337</v>
      </c>
      <c r="F82" s="6" t="s">
        <v>338</v>
      </c>
      <c r="G82" s="9" t="str">
        <f aca="false">IF(A82=1,"_",IF(C82="_","???",C82))</f>
        <v>???</v>
      </c>
      <c r="H82" s="10" t="s">
        <v>16</v>
      </c>
      <c r="I82" s="11" t="s">
        <v>16</v>
      </c>
      <c r="J82" s="12"/>
    </row>
    <row r="83" customFormat="false" ht="60" hidden="false" customHeight="true" outlineLevel="0" collapsed="false">
      <c r="A83" s="6" t="s">
        <v>339</v>
      </c>
      <c r="B83" s="6" t="s">
        <v>27</v>
      </c>
      <c r="C83" s="6" t="s">
        <v>16</v>
      </c>
      <c r="D83" s="7" t="s">
        <v>119</v>
      </c>
      <c r="E83" s="8" t="s">
        <v>340</v>
      </c>
      <c r="F83" s="6" t="s">
        <v>341</v>
      </c>
      <c r="G83" s="9" t="str">
        <f aca="false">IF(A83=1,"_",IF(C83="_","???",C83))</f>
        <v>???</v>
      </c>
      <c r="H83" s="10" t="s">
        <v>16</v>
      </c>
      <c r="I83" s="11" t="s">
        <v>16</v>
      </c>
      <c r="J83" s="12"/>
    </row>
    <row r="84" customFormat="false" ht="60" hidden="false" customHeight="true" outlineLevel="0" collapsed="false">
      <c r="A84" s="6" t="s">
        <v>342</v>
      </c>
      <c r="B84" s="6" t="s">
        <v>33</v>
      </c>
      <c r="C84" s="6" t="s">
        <v>343</v>
      </c>
      <c r="D84" s="7" t="s">
        <v>153</v>
      </c>
      <c r="E84" s="8" t="s">
        <v>344</v>
      </c>
      <c r="F84" s="6" t="s">
        <v>345</v>
      </c>
      <c r="G84" s="9" t="str">
        <f aca="false">IF(A84=1,"_",IF(C84="_","???",C84))</f>
        <v>as well?</v>
      </c>
      <c r="H84" s="10" t="s">
        <v>16</v>
      </c>
      <c r="I84" s="11" t="s">
        <v>16</v>
      </c>
      <c r="J84" s="12"/>
    </row>
    <row r="85" customFormat="false" ht="60" hidden="false" customHeight="true" outlineLevel="0" collapsed="false">
      <c r="A85" s="6" t="s">
        <v>346</v>
      </c>
      <c r="B85" s="6" t="s">
        <v>42</v>
      </c>
      <c r="C85" s="6" t="s">
        <v>51</v>
      </c>
      <c r="D85" s="7" t="s">
        <v>347</v>
      </c>
      <c r="E85" s="8" t="s">
        <v>348</v>
      </c>
      <c r="F85" s="6" t="s">
        <v>349</v>
      </c>
      <c r="G85" s="9" t="str">
        <f aca="false">IF(A85=1,"_",IF(C85="_","???",C85))</f>
        <v>so?</v>
      </c>
      <c r="H85" s="10" t="s">
        <v>16</v>
      </c>
      <c r="I85" s="11" t="s">
        <v>16</v>
      </c>
      <c r="J85" s="12"/>
    </row>
    <row r="86" customFormat="false" ht="60" hidden="false" customHeight="true" outlineLevel="0" collapsed="false">
      <c r="A86" s="6" t="s">
        <v>350</v>
      </c>
      <c r="B86" s="6" t="s">
        <v>50</v>
      </c>
      <c r="C86" s="6" t="s">
        <v>16</v>
      </c>
      <c r="D86" s="7" t="s">
        <v>123</v>
      </c>
      <c r="E86" s="8" t="s">
        <v>351</v>
      </c>
      <c r="F86" s="6" t="s">
        <v>352</v>
      </c>
      <c r="G86" s="9" t="str">
        <f aca="false">IF(A86=1,"_",IF(C86="_","???",C86))</f>
        <v>???</v>
      </c>
      <c r="H86" s="10" t="s">
        <v>16</v>
      </c>
      <c r="I86" s="11" t="s">
        <v>16</v>
      </c>
      <c r="J86" s="12"/>
    </row>
    <row r="87" customFormat="false" ht="60" hidden="false" customHeight="true" outlineLevel="0" collapsed="false">
      <c r="A87" s="6" t="s">
        <v>353</v>
      </c>
      <c r="B87" s="6" t="s">
        <v>18</v>
      </c>
      <c r="C87" s="6" t="s">
        <v>16</v>
      </c>
      <c r="D87" s="7" t="s">
        <v>354</v>
      </c>
      <c r="E87" s="8" t="s">
        <v>355</v>
      </c>
      <c r="F87" s="6" t="s">
        <v>356</v>
      </c>
      <c r="G87" s="9" t="str">
        <f aca="false">IF(A87=1,"_",IF(C87="_","???",C87))</f>
        <v>???</v>
      </c>
      <c r="H87" s="10" t="s">
        <v>16</v>
      </c>
      <c r="I87" s="11" t="s">
        <v>16</v>
      </c>
      <c r="J87" s="12"/>
    </row>
    <row r="88" customFormat="false" ht="60" hidden="false" customHeight="true" outlineLevel="0" collapsed="false">
      <c r="A88" s="6" t="s">
        <v>357</v>
      </c>
      <c r="B88" s="6" t="s">
        <v>22</v>
      </c>
      <c r="C88" s="6" t="s">
        <v>16</v>
      </c>
      <c r="D88" s="7" t="s">
        <v>358</v>
      </c>
      <c r="E88" s="8" t="s">
        <v>359</v>
      </c>
      <c r="F88" s="6" t="s">
        <v>360</v>
      </c>
      <c r="G88" s="9" t="str">
        <f aca="false">IF(A88=1,"_",IF(C88="_","???",C88))</f>
        <v>???</v>
      </c>
      <c r="H88" s="10" t="s">
        <v>16</v>
      </c>
      <c r="I88" s="11" t="s">
        <v>16</v>
      </c>
      <c r="J88" s="12"/>
    </row>
    <row r="89" customFormat="false" ht="60" hidden="false" customHeight="true" outlineLevel="0" collapsed="false">
      <c r="A89" s="6" t="s">
        <v>361</v>
      </c>
      <c r="B89" s="6" t="s">
        <v>17</v>
      </c>
      <c r="C89" s="6" t="s">
        <v>38</v>
      </c>
      <c r="D89" s="7" t="s">
        <v>362</v>
      </c>
      <c r="E89" s="8" t="s">
        <v>363</v>
      </c>
      <c r="F89" s="6" t="s">
        <v>364</v>
      </c>
      <c r="G89" s="9" t="str">
        <f aca="false">IF(A89=1,"_",IF(C89="_","???",C89))</f>
        <v>and?</v>
      </c>
      <c r="H89" s="10" t="s">
        <v>16</v>
      </c>
      <c r="I89" s="11" t="s">
        <v>16</v>
      </c>
      <c r="J89" s="12"/>
    </row>
    <row r="90" customFormat="false" ht="60" hidden="false" customHeight="true" outlineLevel="0" collapsed="false">
      <c r="A90" s="6" t="s">
        <v>365</v>
      </c>
      <c r="B90" s="6" t="s">
        <v>17</v>
      </c>
      <c r="C90" s="6" t="s">
        <v>16</v>
      </c>
      <c r="D90" s="7" t="s">
        <v>366</v>
      </c>
      <c r="E90" s="8" t="s">
        <v>367</v>
      </c>
      <c r="F90" s="6" t="s">
        <v>368</v>
      </c>
      <c r="G90" s="9" t="str">
        <f aca="false">IF(A90=1,"_",IF(C90="_","???",C90))</f>
        <v>???</v>
      </c>
      <c r="H90" s="10" t="s">
        <v>16</v>
      </c>
      <c r="I90" s="11" t="s">
        <v>16</v>
      </c>
      <c r="J90" s="12"/>
    </row>
    <row r="91" customFormat="false" ht="60" hidden="false" customHeight="true" outlineLevel="0" collapsed="false">
      <c r="A91" s="6" t="s">
        <v>369</v>
      </c>
      <c r="B91" s="6" t="s">
        <v>22</v>
      </c>
      <c r="C91" s="6" t="s">
        <v>16</v>
      </c>
      <c r="D91" s="7" t="s">
        <v>370</v>
      </c>
      <c r="E91" s="8" t="s">
        <v>371</v>
      </c>
      <c r="F91" s="6" t="s">
        <v>372</v>
      </c>
      <c r="G91" s="9" t="str">
        <f aca="false">IF(A91=1,"_",IF(C91="_","???",C91))</f>
        <v>???</v>
      </c>
      <c r="H91" s="10" t="s">
        <v>16</v>
      </c>
      <c r="I91" s="11" t="s">
        <v>16</v>
      </c>
      <c r="J91" s="12"/>
    </row>
    <row r="92" customFormat="false" ht="60" hidden="false" customHeight="true" outlineLevel="0" collapsed="false">
      <c r="A92" s="6" t="s">
        <v>373</v>
      </c>
      <c r="B92" s="6" t="s">
        <v>22</v>
      </c>
      <c r="C92" s="6" t="s">
        <v>16</v>
      </c>
      <c r="D92" s="7" t="s">
        <v>374</v>
      </c>
      <c r="E92" s="8" t="s">
        <v>375</v>
      </c>
      <c r="F92" s="6" t="s">
        <v>376</v>
      </c>
      <c r="G92" s="9" t="str">
        <f aca="false">IF(A92=1,"_",IF(C92="_","???",C92))</f>
        <v>???</v>
      </c>
      <c r="H92" s="10" t="s">
        <v>16</v>
      </c>
      <c r="I92" s="11" t="s">
        <v>16</v>
      </c>
      <c r="J92" s="12"/>
    </row>
    <row r="93" customFormat="false" ht="60" hidden="false" customHeight="true" outlineLevel="0" collapsed="false">
      <c r="A93" s="6" t="s">
        <v>377</v>
      </c>
      <c r="B93" s="6" t="s">
        <v>18</v>
      </c>
      <c r="C93" s="6" t="s">
        <v>38</v>
      </c>
      <c r="D93" s="7" t="s">
        <v>378</v>
      </c>
      <c r="E93" s="8" t="s">
        <v>379</v>
      </c>
      <c r="F93" s="6" t="s">
        <v>380</v>
      </c>
      <c r="G93" s="9" t="str">
        <f aca="false">IF(A93=1,"_",IF(C93="_","???",C93))</f>
        <v>and?</v>
      </c>
      <c r="H93" s="10" t="s">
        <v>16</v>
      </c>
      <c r="I93" s="11" t="s">
        <v>16</v>
      </c>
      <c r="J93" s="12"/>
    </row>
    <row r="94" customFormat="false" ht="60" hidden="false" customHeight="true" outlineLevel="0" collapsed="false">
      <c r="A94" s="6" t="s">
        <v>381</v>
      </c>
      <c r="B94" s="6" t="s">
        <v>17</v>
      </c>
      <c r="C94" s="6" t="s">
        <v>323</v>
      </c>
      <c r="D94" s="7" t="s">
        <v>382</v>
      </c>
      <c r="E94" s="8" t="s">
        <v>383</v>
      </c>
      <c r="F94" s="6" t="s">
        <v>384</v>
      </c>
      <c r="G94" s="9" t="str">
        <f aca="false">IF(A94=1,"_",IF(C94="_","???",C94))</f>
        <v>as?</v>
      </c>
      <c r="H94" s="10" t="s">
        <v>16</v>
      </c>
      <c r="I94" s="11" t="s">
        <v>16</v>
      </c>
      <c r="J94" s="12"/>
    </row>
    <row r="95" customFormat="false" ht="60" hidden="false" customHeight="true" outlineLevel="0" collapsed="false">
      <c r="A95" s="6" t="s">
        <v>385</v>
      </c>
      <c r="B95" s="6" t="s">
        <v>18</v>
      </c>
      <c r="C95" s="6" t="s">
        <v>224</v>
      </c>
      <c r="D95" s="7" t="s">
        <v>19</v>
      </c>
      <c r="E95" s="8" t="s">
        <v>386</v>
      </c>
      <c r="F95" s="6" t="s">
        <v>387</v>
      </c>
      <c r="G95" s="9" t="str">
        <f aca="false">IF(A95=1,"_",IF(C95="_","???",C95))</f>
        <v>then?</v>
      </c>
      <c r="H95" s="10" t="s">
        <v>16</v>
      </c>
      <c r="I95" s="11" t="s">
        <v>16</v>
      </c>
      <c r="J95" s="12"/>
    </row>
    <row r="96" customFormat="false" ht="60" hidden="false" customHeight="true" outlineLevel="0" collapsed="false">
      <c r="A96" s="6" t="s">
        <v>388</v>
      </c>
      <c r="B96" s="6" t="s">
        <v>33</v>
      </c>
      <c r="C96" s="6" t="s">
        <v>323</v>
      </c>
      <c r="D96" s="7" t="s">
        <v>389</v>
      </c>
      <c r="E96" s="8" t="s">
        <v>390</v>
      </c>
      <c r="F96" s="6" t="s">
        <v>391</v>
      </c>
      <c r="G96" s="9" t="str">
        <f aca="false">IF(A96=1,"_",IF(C96="_","???",C96))</f>
        <v>as?</v>
      </c>
      <c r="H96" s="10" t="s">
        <v>16</v>
      </c>
      <c r="I96" s="11" t="s">
        <v>16</v>
      </c>
      <c r="J96" s="12"/>
    </row>
    <row r="97" customFormat="false" ht="60" hidden="false" customHeight="true" outlineLevel="0" collapsed="false">
      <c r="A97" s="6" t="s">
        <v>392</v>
      </c>
      <c r="B97" s="6" t="s">
        <v>55</v>
      </c>
      <c r="C97" s="6" t="s">
        <v>38</v>
      </c>
      <c r="D97" s="7" t="s">
        <v>393</v>
      </c>
      <c r="E97" s="8" t="s">
        <v>394</v>
      </c>
      <c r="F97" s="6" t="s">
        <v>395</v>
      </c>
      <c r="G97" s="9" t="str">
        <f aca="false">IF(A97=1,"_",IF(C97="_","???",C97))</f>
        <v>and?</v>
      </c>
      <c r="H97" s="10" t="s">
        <v>16</v>
      </c>
      <c r="I97" s="11" t="s">
        <v>16</v>
      </c>
      <c r="J97" s="12"/>
    </row>
    <row r="98" customFormat="false" ht="60" hidden="false" customHeight="true" outlineLevel="0" collapsed="false">
      <c r="A98" s="6" t="s">
        <v>396</v>
      </c>
      <c r="B98" s="6" t="s">
        <v>17</v>
      </c>
      <c r="C98" s="6" t="s">
        <v>16</v>
      </c>
      <c r="D98" s="7" t="s">
        <v>382</v>
      </c>
      <c r="E98" s="8" t="s">
        <v>397</v>
      </c>
      <c r="F98" s="6" t="s">
        <v>398</v>
      </c>
      <c r="G98" s="9" t="str">
        <f aca="false">IF(A98=1,"_",IF(C98="_","???",C98))</f>
        <v>???</v>
      </c>
      <c r="H98" s="10" t="s">
        <v>16</v>
      </c>
      <c r="I98" s="11" t="s">
        <v>16</v>
      </c>
      <c r="J98" s="12"/>
    </row>
    <row r="99" customFormat="false" ht="60" hidden="false" customHeight="true" outlineLevel="0" collapsed="false">
      <c r="A99" s="6" t="s">
        <v>399</v>
      </c>
      <c r="B99" s="6" t="s">
        <v>18</v>
      </c>
      <c r="C99" s="6" t="s">
        <v>16</v>
      </c>
      <c r="D99" s="7" t="s">
        <v>19</v>
      </c>
      <c r="E99" s="8" t="s">
        <v>400</v>
      </c>
      <c r="F99" s="6" t="s">
        <v>401</v>
      </c>
      <c r="G99" s="9" t="str">
        <f aca="false">IF(A99=1,"_",IF(C99="_","???",C99))</f>
        <v>???</v>
      </c>
      <c r="H99" s="10" t="s">
        <v>16</v>
      </c>
      <c r="I99" s="11" t="s">
        <v>16</v>
      </c>
      <c r="J99" s="12"/>
    </row>
    <row r="100" customFormat="false" ht="60" hidden="false" customHeight="true" outlineLevel="0" collapsed="false">
      <c r="A100" s="6" t="s">
        <v>402</v>
      </c>
      <c r="B100" s="6" t="s">
        <v>17</v>
      </c>
      <c r="C100" s="6" t="s">
        <v>16</v>
      </c>
      <c r="D100" s="7" t="s">
        <v>185</v>
      </c>
      <c r="E100" s="8" t="s">
        <v>403</v>
      </c>
      <c r="F100" s="6" t="s">
        <v>404</v>
      </c>
      <c r="G100" s="9" t="str">
        <f aca="false">IF(A100=1,"_",IF(C100="_","???",C100))</f>
        <v>???</v>
      </c>
      <c r="H100" s="10" t="s">
        <v>16</v>
      </c>
      <c r="I100" s="11" t="s">
        <v>16</v>
      </c>
      <c r="J100" s="12"/>
    </row>
    <row r="101" customFormat="false" ht="60" hidden="false" customHeight="true" outlineLevel="0" collapsed="false">
      <c r="A101" s="6" t="s">
        <v>405</v>
      </c>
      <c r="B101" s="6" t="s">
        <v>18</v>
      </c>
      <c r="C101" s="6" t="s">
        <v>38</v>
      </c>
      <c r="D101" s="7" t="s">
        <v>406</v>
      </c>
      <c r="E101" s="8" t="s">
        <v>407</v>
      </c>
      <c r="F101" s="6" t="s">
        <v>408</v>
      </c>
      <c r="G101" s="9" t="str">
        <f aca="false">IF(A101=1,"_",IF(C101="_","???",C101))</f>
        <v>and?</v>
      </c>
      <c r="H101" s="10" t="s">
        <v>16</v>
      </c>
      <c r="I101" s="11" t="s">
        <v>16</v>
      </c>
      <c r="J101" s="12"/>
    </row>
    <row r="102" customFormat="false" ht="60" hidden="false" customHeight="true" outlineLevel="0" collapsed="false">
      <c r="A102" s="6" t="s">
        <v>409</v>
      </c>
      <c r="B102" s="6" t="s">
        <v>17</v>
      </c>
      <c r="C102" s="6" t="s">
        <v>38</v>
      </c>
      <c r="D102" s="7" t="s">
        <v>410</v>
      </c>
      <c r="E102" s="8" t="s">
        <v>411</v>
      </c>
      <c r="F102" s="6" t="s">
        <v>412</v>
      </c>
      <c r="G102" s="9" t="str">
        <f aca="false">IF(A102=1,"_",IF(C102="_","???",C102))</f>
        <v>and?</v>
      </c>
      <c r="H102" s="10" t="s">
        <v>16</v>
      </c>
      <c r="I102" s="11" t="s">
        <v>16</v>
      </c>
      <c r="J102" s="12"/>
    </row>
    <row r="103" customFormat="false" ht="60" hidden="false" customHeight="true" outlineLevel="0" collapsed="false">
      <c r="A103" s="6" t="s">
        <v>413</v>
      </c>
      <c r="B103" s="6" t="s">
        <v>17</v>
      </c>
      <c r="C103" s="6" t="s">
        <v>38</v>
      </c>
      <c r="D103" s="7" t="s">
        <v>414</v>
      </c>
      <c r="E103" s="8" t="s">
        <v>415</v>
      </c>
      <c r="F103" s="6" t="s">
        <v>416</v>
      </c>
      <c r="G103" s="9" t="str">
        <f aca="false">IF(A103=1,"_",IF(C103="_","???",C103))</f>
        <v>and?</v>
      </c>
      <c r="H103" s="10" t="s">
        <v>16</v>
      </c>
      <c r="I103" s="11" t="s">
        <v>16</v>
      </c>
      <c r="J103" s="12"/>
    </row>
    <row r="104" customFormat="false" ht="60" hidden="false" customHeight="true" outlineLevel="0" collapsed="false">
      <c r="A104" s="6" t="s">
        <v>417</v>
      </c>
      <c r="B104" s="6" t="s">
        <v>27</v>
      </c>
      <c r="C104" s="6" t="s">
        <v>34</v>
      </c>
      <c r="D104" s="7" t="s">
        <v>418</v>
      </c>
      <c r="E104" s="8" t="s">
        <v>419</v>
      </c>
      <c r="F104" s="6" t="s">
        <v>420</v>
      </c>
      <c r="G104" s="9" t="str">
        <f aca="false">IF(A104=1,"_",IF(C104="_","???",C104))</f>
        <v>but?</v>
      </c>
      <c r="H104" s="10" t="s">
        <v>16</v>
      </c>
      <c r="I104" s="11" t="s">
        <v>16</v>
      </c>
      <c r="J104" s="12"/>
    </row>
    <row r="105" customFormat="false" ht="60" hidden="false" customHeight="true" outlineLevel="0" collapsed="false">
      <c r="A105" s="6" t="s">
        <v>421</v>
      </c>
      <c r="B105" s="6" t="s">
        <v>22</v>
      </c>
      <c r="C105" s="6" t="s">
        <v>38</v>
      </c>
      <c r="D105" s="7" t="s">
        <v>422</v>
      </c>
      <c r="E105" s="8" t="s">
        <v>423</v>
      </c>
      <c r="F105" s="6" t="s">
        <v>424</v>
      </c>
      <c r="G105" s="9" t="str">
        <f aca="false">IF(A105=1,"_",IF(C105="_","???",C105))</f>
        <v>and?</v>
      </c>
      <c r="H105" s="10" t="s">
        <v>16</v>
      </c>
      <c r="I105" s="11" t="s">
        <v>16</v>
      </c>
      <c r="J105" s="12"/>
    </row>
    <row r="106" customFormat="false" ht="60" hidden="false" customHeight="true" outlineLevel="0" collapsed="false">
      <c r="A106" s="6" t="s">
        <v>425</v>
      </c>
      <c r="B106" s="6" t="s">
        <v>17</v>
      </c>
      <c r="C106" s="6" t="s">
        <v>16</v>
      </c>
      <c r="D106" s="7" t="s">
        <v>426</v>
      </c>
      <c r="E106" s="8" t="s">
        <v>427</v>
      </c>
      <c r="F106" s="6" t="s">
        <v>428</v>
      </c>
      <c r="G106" s="9" t="str">
        <f aca="false">IF(A106=1,"_",IF(C106="_","???",C106))</f>
        <v>???</v>
      </c>
      <c r="H106" s="10" t="s">
        <v>16</v>
      </c>
      <c r="I106" s="11" t="s">
        <v>16</v>
      </c>
      <c r="J106" s="12"/>
    </row>
    <row r="107" customFormat="false" ht="60" hidden="false" customHeight="true" outlineLevel="0" collapsed="false">
      <c r="A107" s="6" t="s">
        <v>429</v>
      </c>
      <c r="B107" s="6" t="s">
        <v>109</v>
      </c>
      <c r="C107" s="6" t="s">
        <v>16</v>
      </c>
      <c r="D107" s="7" t="s">
        <v>106</v>
      </c>
      <c r="E107" s="8" t="s">
        <v>430</v>
      </c>
      <c r="F107" s="6" t="s">
        <v>431</v>
      </c>
      <c r="G107" s="9" t="str">
        <f aca="false">IF(A107=1,"_",IF(C107="_","???",C107))</f>
        <v>???</v>
      </c>
      <c r="H107" s="10" t="s">
        <v>16</v>
      </c>
      <c r="I107" s="11" t="s">
        <v>16</v>
      </c>
      <c r="J107" s="12"/>
    </row>
    <row r="108" customFormat="false" ht="60" hidden="false" customHeight="true" outlineLevel="0" collapsed="false">
      <c r="A108" s="6" t="s">
        <v>432</v>
      </c>
      <c r="B108" s="6" t="s">
        <v>10</v>
      </c>
      <c r="C108" s="6" t="s">
        <v>16</v>
      </c>
      <c r="D108" s="7" t="s">
        <v>433</v>
      </c>
      <c r="E108" s="8" t="s">
        <v>434</v>
      </c>
      <c r="F108" s="6" t="s">
        <v>435</v>
      </c>
      <c r="G108" s="9" t="str">
        <f aca="false">IF(A108=1,"_",IF(C108="_","???",C108))</f>
        <v>???</v>
      </c>
      <c r="H108" s="10" t="s">
        <v>16</v>
      </c>
      <c r="I108" s="11" t="s">
        <v>16</v>
      </c>
      <c r="J108" s="12"/>
    </row>
    <row r="109" customFormat="false" ht="60" hidden="false" customHeight="true" outlineLevel="0" collapsed="false">
      <c r="A109" s="6" t="s">
        <v>436</v>
      </c>
      <c r="B109" s="6" t="s">
        <v>101</v>
      </c>
      <c r="C109" s="6" t="s">
        <v>16</v>
      </c>
      <c r="D109" s="7" t="s">
        <v>437</v>
      </c>
      <c r="E109" s="8" t="s">
        <v>438</v>
      </c>
      <c r="F109" s="6" t="s">
        <v>439</v>
      </c>
      <c r="G109" s="9" t="str">
        <f aca="false">IF(A109=1,"_",IF(C109="_","???",C109))</f>
        <v>???</v>
      </c>
      <c r="H109" s="10" t="s">
        <v>16</v>
      </c>
      <c r="I109" s="11" t="s">
        <v>16</v>
      </c>
      <c r="J109" s="12"/>
    </row>
    <row r="110" customFormat="false" ht="60" hidden="false" customHeight="true" outlineLevel="0" collapsed="false">
      <c r="A110" s="6" t="s">
        <v>440</v>
      </c>
      <c r="B110" s="6" t="s">
        <v>50</v>
      </c>
      <c r="C110" s="6" t="s">
        <v>16</v>
      </c>
      <c r="D110" s="7" t="s">
        <v>441</v>
      </c>
      <c r="E110" s="8" t="s">
        <v>442</v>
      </c>
      <c r="F110" s="6" t="s">
        <v>443</v>
      </c>
      <c r="G110" s="9" t="str">
        <f aca="false">IF(A110=1,"_",IF(C110="_","???",C110))</f>
        <v>???</v>
      </c>
      <c r="H110" s="10" t="s">
        <v>16</v>
      </c>
      <c r="I110" s="11" t="s">
        <v>16</v>
      </c>
      <c r="J110" s="12"/>
    </row>
    <row r="111" customFormat="false" ht="60" hidden="false" customHeight="true" outlineLevel="0" collapsed="false">
      <c r="A111" s="6" t="s">
        <v>444</v>
      </c>
      <c r="B111" s="6" t="s">
        <v>18</v>
      </c>
      <c r="C111" s="6" t="s">
        <v>51</v>
      </c>
      <c r="D111" s="7" t="s">
        <v>445</v>
      </c>
      <c r="E111" s="8" t="s">
        <v>446</v>
      </c>
      <c r="F111" s="6" t="s">
        <v>447</v>
      </c>
      <c r="G111" s="9" t="str">
        <f aca="false">IF(A111=1,"_",IF(C111="_","???",C111))</f>
        <v>so?</v>
      </c>
      <c r="H111" s="10" t="s">
        <v>16</v>
      </c>
      <c r="I111" s="11" t="s">
        <v>16</v>
      </c>
      <c r="J111" s="12"/>
    </row>
    <row r="112" customFormat="false" ht="60" hidden="false" customHeight="true" outlineLevel="0" collapsed="false">
      <c r="A112" s="6" t="s">
        <v>448</v>
      </c>
      <c r="B112" s="6" t="s">
        <v>22</v>
      </c>
      <c r="C112" s="6" t="s">
        <v>224</v>
      </c>
      <c r="D112" s="7" t="s">
        <v>433</v>
      </c>
      <c r="E112" s="8" t="s">
        <v>449</v>
      </c>
      <c r="F112" s="6" t="s">
        <v>450</v>
      </c>
      <c r="G112" s="9" t="str">
        <f aca="false">IF(A112=1,"_",IF(C112="_","???",C112))</f>
        <v>then?</v>
      </c>
      <c r="H112" s="10" t="s">
        <v>16</v>
      </c>
      <c r="I112" s="11" t="s">
        <v>16</v>
      </c>
      <c r="J112" s="12"/>
    </row>
    <row r="113" customFormat="false" ht="60" hidden="false" customHeight="true" outlineLevel="0" collapsed="false">
      <c r="A113" s="6" t="s">
        <v>451</v>
      </c>
      <c r="B113" s="6" t="s">
        <v>27</v>
      </c>
      <c r="C113" s="6" t="s">
        <v>29</v>
      </c>
      <c r="D113" s="7" t="s">
        <v>452</v>
      </c>
      <c r="E113" s="8" t="s">
        <v>453</v>
      </c>
      <c r="F113" s="6" t="s">
        <v>454</v>
      </c>
      <c r="G113" s="9" t="str">
        <f aca="false">IF(A113=1,"_",IF(C113="_","???",C113))</f>
        <v>however?</v>
      </c>
      <c r="H113" s="10" t="s">
        <v>16</v>
      </c>
      <c r="I113" s="11" t="s">
        <v>16</v>
      </c>
      <c r="J113" s="12"/>
    </row>
    <row r="114" customFormat="false" ht="60" hidden="false" customHeight="true" outlineLevel="0" collapsed="false">
      <c r="A114" s="6" t="s">
        <v>455</v>
      </c>
      <c r="B114" s="6" t="s">
        <v>42</v>
      </c>
      <c r="C114" s="6" t="s">
        <v>16</v>
      </c>
      <c r="D114" s="7" t="s">
        <v>106</v>
      </c>
      <c r="E114" s="8" t="s">
        <v>456</v>
      </c>
      <c r="F114" s="6" t="s">
        <v>457</v>
      </c>
      <c r="G114" s="9" t="str">
        <f aca="false">IF(A114=1,"_",IF(C114="_","???",C114))</f>
        <v>???</v>
      </c>
      <c r="H114" s="10" t="s">
        <v>16</v>
      </c>
      <c r="I114" s="11" t="s">
        <v>16</v>
      </c>
      <c r="J114" s="12"/>
    </row>
    <row r="115" customFormat="false" ht="60" hidden="false" customHeight="true" outlineLevel="0" collapsed="false">
      <c r="A115" s="6" t="s">
        <v>458</v>
      </c>
      <c r="B115" s="6" t="s">
        <v>55</v>
      </c>
      <c r="C115" s="6" t="s">
        <v>34</v>
      </c>
      <c r="D115" s="7" t="s">
        <v>459</v>
      </c>
      <c r="E115" s="8" t="s">
        <v>460</v>
      </c>
      <c r="F115" s="6" t="s">
        <v>461</v>
      </c>
      <c r="G115" s="9" t="str">
        <f aca="false">IF(A115=1,"_",IF(C115="_","???",C115))</f>
        <v>but?</v>
      </c>
      <c r="H115" s="10" t="s">
        <v>16</v>
      </c>
      <c r="I115" s="11" t="s">
        <v>16</v>
      </c>
      <c r="J115" s="12"/>
    </row>
    <row r="116" customFormat="false" ht="60" hidden="false" customHeight="true" outlineLevel="0" collapsed="false">
      <c r="A116" s="6" t="s">
        <v>462</v>
      </c>
      <c r="B116" s="6" t="s">
        <v>22</v>
      </c>
      <c r="C116" s="6" t="s">
        <v>38</v>
      </c>
      <c r="D116" s="7" t="s">
        <v>463</v>
      </c>
      <c r="E116" s="8" t="s">
        <v>464</v>
      </c>
      <c r="F116" s="6" t="s">
        <v>465</v>
      </c>
      <c r="G116" s="9" t="str">
        <f aca="false">IF(A116=1,"_",IF(C116="_","???",C116))</f>
        <v>and?</v>
      </c>
      <c r="H116" s="10" t="s">
        <v>16</v>
      </c>
      <c r="I116" s="11" t="s">
        <v>16</v>
      </c>
      <c r="J116" s="12"/>
    </row>
    <row r="117" customFormat="false" ht="60" hidden="false" customHeight="true" outlineLevel="0" collapsed="false">
      <c r="A117" s="6" t="s">
        <v>466</v>
      </c>
      <c r="B117" s="6" t="s">
        <v>27</v>
      </c>
      <c r="C117" s="6" t="s">
        <v>323</v>
      </c>
      <c r="D117" s="7" t="s">
        <v>106</v>
      </c>
      <c r="E117" s="8" t="s">
        <v>467</v>
      </c>
      <c r="F117" s="6" t="s">
        <v>468</v>
      </c>
      <c r="G117" s="9" t="str">
        <f aca="false">IF(A117=1,"_",IF(C117="_","???",C117))</f>
        <v>as?</v>
      </c>
      <c r="H117" s="10" t="s">
        <v>16</v>
      </c>
      <c r="I117" s="11" t="s">
        <v>16</v>
      </c>
      <c r="J117" s="12"/>
    </row>
    <row r="118" customFormat="false" ht="60" hidden="false" customHeight="true" outlineLevel="0" collapsed="false">
      <c r="A118" s="6" t="s">
        <v>469</v>
      </c>
      <c r="B118" s="6" t="s">
        <v>18</v>
      </c>
      <c r="C118" s="6" t="s">
        <v>34</v>
      </c>
      <c r="D118" s="7" t="s">
        <v>470</v>
      </c>
      <c r="E118" s="8" t="s">
        <v>471</v>
      </c>
      <c r="F118" s="6" t="s">
        <v>472</v>
      </c>
      <c r="G118" s="9" t="str">
        <f aca="false">IF(A118=1,"_",IF(C118="_","???",C118))</f>
        <v>but?</v>
      </c>
      <c r="H118" s="10" t="s">
        <v>16</v>
      </c>
      <c r="I118" s="11" t="s">
        <v>16</v>
      </c>
      <c r="J118" s="12"/>
    </row>
    <row r="119" customFormat="false" ht="60" hidden="false" customHeight="true" outlineLevel="0" collapsed="false">
      <c r="A119" s="6" t="s">
        <v>473</v>
      </c>
      <c r="B119" s="6" t="s">
        <v>42</v>
      </c>
      <c r="C119" s="6" t="s">
        <v>323</v>
      </c>
      <c r="D119" s="7" t="s">
        <v>474</v>
      </c>
      <c r="E119" s="8" t="s">
        <v>475</v>
      </c>
      <c r="F119" s="6" t="s">
        <v>476</v>
      </c>
      <c r="G119" s="9" t="str">
        <f aca="false">IF(A119=1,"_",IF(C119="_","???",C119))</f>
        <v>as?</v>
      </c>
      <c r="H119" s="10" t="s">
        <v>16</v>
      </c>
      <c r="I119" s="11" t="s">
        <v>16</v>
      </c>
      <c r="J119" s="12"/>
    </row>
    <row r="120" customFormat="false" ht="60" hidden="false" customHeight="true" outlineLevel="0" collapsed="false">
      <c r="A120" s="6" t="s">
        <v>477</v>
      </c>
      <c r="B120" s="6" t="s">
        <v>17</v>
      </c>
      <c r="C120" s="6" t="s">
        <v>16</v>
      </c>
      <c r="D120" s="7" t="s">
        <v>478</v>
      </c>
      <c r="E120" s="8" t="s">
        <v>479</v>
      </c>
      <c r="F120" s="6" t="s">
        <v>480</v>
      </c>
      <c r="G120" s="9" t="str">
        <f aca="false">IF(A120=1,"_",IF(C120="_","???",C120))</f>
        <v>???</v>
      </c>
      <c r="H120" s="10" t="s">
        <v>16</v>
      </c>
      <c r="I120" s="11" t="s">
        <v>16</v>
      </c>
      <c r="J120" s="12"/>
    </row>
    <row r="121" customFormat="false" ht="60" hidden="false" customHeight="true" outlineLevel="0" collapsed="false">
      <c r="A121" s="6" t="s">
        <v>481</v>
      </c>
      <c r="B121" s="6" t="s">
        <v>42</v>
      </c>
      <c r="C121" s="6" t="s">
        <v>482</v>
      </c>
      <c r="D121" s="7" t="s">
        <v>483</v>
      </c>
      <c r="E121" s="8" t="s">
        <v>484</v>
      </c>
      <c r="F121" s="6" t="s">
        <v>485</v>
      </c>
      <c r="G121" s="9" t="str">
        <f aca="false">IF(A121=1,"_",IF(C121="_","???",C121))</f>
        <v>next?</v>
      </c>
      <c r="H121" s="10" t="s">
        <v>16</v>
      </c>
      <c r="I121" s="11" t="s">
        <v>16</v>
      </c>
      <c r="J121" s="12"/>
    </row>
    <row r="122" customFormat="false" ht="60" hidden="false" customHeight="true" outlineLevel="0" collapsed="false">
      <c r="A122" s="6" t="s">
        <v>486</v>
      </c>
      <c r="B122" s="6" t="s">
        <v>81</v>
      </c>
      <c r="C122" s="6" t="s">
        <v>224</v>
      </c>
      <c r="D122" s="7" t="s">
        <v>487</v>
      </c>
      <c r="E122" s="8" t="s">
        <v>488</v>
      </c>
      <c r="F122" s="6" t="s">
        <v>489</v>
      </c>
      <c r="G122" s="9" t="str">
        <f aca="false">IF(A122=1,"_",IF(C122="_","???",C122))</f>
        <v>then?</v>
      </c>
      <c r="H122" s="10" t="s">
        <v>16</v>
      </c>
      <c r="I122" s="11" t="s">
        <v>16</v>
      </c>
      <c r="J122" s="12"/>
    </row>
    <row r="123" customFormat="false" ht="60" hidden="false" customHeight="true" outlineLevel="0" collapsed="false">
      <c r="A123" s="6" t="s">
        <v>490</v>
      </c>
      <c r="B123" s="6" t="s">
        <v>17</v>
      </c>
      <c r="C123" s="6" t="s">
        <v>34</v>
      </c>
      <c r="D123" s="7" t="s">
        <v>491</v>
      </c>
      <c r="E123" s="8" t="s">
        <v>492</v>
      </c>
      <c r="F123" s="6" t="s">
        <v>493</v>
      </c>
      <c r="G123" s="9" t="str">
        <f aca="false">IF(A123=1,"_",IF(C123="_","???",C123))</f>
        <v>but?</v>
      </c>
      <c r="H123" s="10" t="s">
        <v>16</v>
      </c>
      <c r="I123" s="11" t="s">
        <v>16</v>
      </c>
      <c r="J123" s="12"/>
    </row>
    <row r="124" customFormat="false" ht="60" hidden="false" customHeight="true" outlineLevel="0" collapsed="false">
      <c r="A124" s="6" t="s">
        <v>494</v>
      </c>
      <c r="B124" s="6" t="s">
        <v>27</v>
      </c>
      <c r="C124" s="6" t="s">
        <v>16</v>
      </c>
      <c r="D124" s="7" t="s">
        <v>495</v>
      </c>
      <c r="E124" s="8" t="s">
        <v>496</v>
      </c>
      <c r="F124" s="6" t="s">
        <v>497</v>
      </c>
      <c r="G124" s="9" t="str">
        <f aca="false">IF(A124=1,"_",IF(C124="_","???",C124))</f>
        <v>???</v>
      </c>
      <c r="H124" s="10" t="s">
        <v>16</v>
      </c>
      <c r="I124" s="11" t="s">
        <v>16</v>
      </c>
      <c r="J124" s="12"/>
    </row>
    <row r="125" customFormat="false" ht="60" hidden="false" customHeight="true" outlineLevel="0" collapsed="false">
      <c r="A125" s="6" t="s">
        <v>498</v>
      </c>
      <c r="B125" s="6" t="s">
        <v>10</v>
      </c>
      <c r="C125" s="6" t="s">
        <v>16</v>
      </c>
      <c r="D125" s="7" t="s">
        <v>499</v>
      </c>
      <c r="E125" s="8" t="s">
        <v>499</v>
      </c>
      <c r="F125" s="6" t="s">
        <v>500</v>
      </c>
      <c r="G125" s="9" t="str">
        <f aca="false">IF(A125=1,"_",IF(C125="_","???",C125))</f>
        <v>???</v>
      </c>
      <c r="H125" s="10" t="s">
        <v>16</v>
      </c>
      <c r="I125" s="11" t="s">
        <v>16</v>
      </c>
      <c r="J125" s="12"/>
    </row>
    <row r="126" customFormat="false" ht="60" hidden="false" customHeight="true" outlineLevel="0" collapsed="false">
      <c r="A126" s="6" t="s">
        <v>501</v>
      </c>
      <c r="B126" s="6" t="s">
        <v>17</v>
      </c>
      <c r="C126" s="6" t="s">
        <v>16</v>
      </c>
      <c r="D126" s="7" t="s">
        <v>502</v>
      </c>
      <c r="E126" s="8" t="s">
        <v>503</v>
      </c>
      <c r="F126" s="6" t="s">
        <v>504</v>
      </c>
      <c r="G126" s="9" t="str">
        <f aca="false">IF(A126=1,"_",IF(C126="_","???",C126))</f>
        <v>???</v>
      </c>
      <c r="H126" s="10" t="s">
        <v>16</v>
      </c>
      <c r="I126" s="11" t="s">
        <v>16</v>
      </c>
      <c r="J126" s="12"/>
    </row>
    <row r="127" customFormat="false" ht="60" hidden="false" customHeight="true" outlineLevel="0" collapsed="false">
      <c r="A127" s="6" t="s">
        <v>505</v>
      </c>
      <c r="B127" s="6" t="s">
        <v>17</v>
      </c>
      <c r="C127" s="6" t="s">
        <v>38</v>
      </c>
      <c r="D127" s="7" t="s">
        <v>506</v>
      </c>
      <c r="E127" s="8" t="s">
        <v>507</v>
      </c>
      <c r="F127" s="6" t="s">
        <v>508</v>
      </c>
      <c r="G127" s="9" t="str">
        <f aca="false">IF(A127=1,"_",IF(C127="_","???",C127))</f>
        <v>and?</v>
      </c>
      <c r="H127" s="10" t="s">
        <v>16</v>
      </c>
      <c r="I127" s="11" t="s">
        <v>16</v>
      </c>
      <c r="J127" s="12"/>
    </row>
    <row r="128" customFormat="false" ht="60" hidden="false" customHeight="true" outlineLevel="0" collapsed="false">
      <c r="A128" s="6" t="s">
        <v>509</v>
      </c>
      <c r="B128" s="6" t="s">
        <v>22</v>
      </c>
      <c r="C128" s="6" t="s">
        <v>38</v>
      </c>
      <c r="D128" s="7" t="s">
        <v>510</v>
      </c>
      <c r="E128" s="8" t="s">
        <v>511</v>
      </c>
      <c r="F128" s="6" t="s">
        <v>512</v>
      </c>
      <c r="G128" s="9" t="str">
        <f aca="false">IF(A128=1,"_",IF(C128="_","???",C128))</f>
        <v>and?</v>
      </c>
      <c r="H128" s="10" t="s">
        <v>16</v>
      </c>
      <c r="I128" s="11" t="s">
        <v>16</v>
      </c>
      <c r="J128" s="12"/>
    </row>
    <row r="129" customFormat="false" ht="60" hidden="false" customHeight="true" outlineLevel="0" collapsed="false">
      <c r="A129" s="6" t="s">
        <v>513</v>
      </c>
      <c r="B129" s="6" t="s">
        <v>17</v>
      </c>
      <c r="C129" s="6" t="s">
        <v>38</v>
      </c>
      <c r="D129" s="7" t="s">
        <v>514</v>
      </c>
      <c r="E129" s="8" t="s">
        <v>515</v>
      </c>
      <c r="F129" s="6" t="s">
        <v>516</v>
      </c>
      <c r="G129" s="9" t="str">
        <f aca="false">IF(A129=1,"_",IF(C129="_","???",C129))</f>
        <v>and?</v>
      </c>
      <c r="H129" s="10" t="s">
        <v>16</v>
      </c>
      <c r="I129" s="11" t="s">
        <v>16</v>
      </c>
      <c r="J129" s="12"/>
    </row>
    <row r="130" customFormat="false" ht="60" hidden="false" customHeight="true" outlineLevel="0" collapsed="false">
      <c r="A130" s="6" t="s">
        <v>517</v>
      </c>
      <c r="B130" s="6" t="s">
        <v>42</v>
      </c>
      <c r="C130" s="6" t="s">
        <v>16</v>
      </c>
      <c r="D130" s="7" t="s">
        <v>518</v>
      </c>
      <c r="E130" s="8" t="s">
        <v>519</v>
      </c>
      <c r="F130" s="6" t="s">
        <v>520</v>
      </c>
      <c r="G130" s="9" t="str">
        <f aca="false">IF(A130=1,"_",IF(C130="_","???",C130))</f>
        <v>???</v>
      </c>
      <c r="H130" s="10" t="s">
        <v>16</v>
      </c>
      <c r="I130" s="11" t="s">
        <v>16</v>
      </c>
      <c r="J130" s="12"/>
    </row>
    <row r="131" customFormat="false" ht="60" hidden="false" customHeight="true" outlineLevel="0" collapsed="false">
      <c r="A131" s="6" t="s">
        <v>521</v>
      </c>
      <c r="B131" s="6" t="s">
        <v>18</v>
      </c>
      <c r="C131" s="6" t="s">
        <v>16</v>
      </c>
      <c r="D131" s="7" t="s">
        <v>185</v>
      </c>
      <c r="E131" s="8" t="s">
        <v>522</v>
      </c>
      <c r="F131" s="6" t="s">
        <v>523</v>
      </c>
      <c r="G131" s="9" t="str">
        <f aca="false">IF(A131=1,"_",IF(C131="_","???",C131))</f>
        <v>???</v>
      </c>
      <c r="H131" s="10" t="s">
        <v>16</v>
      </c>
      <c r="I131" s="11" t="s">
        <v>16</v>
      </c>
      <c r="J131" s="12"/>
    </row>
    <row r="132" customFormat="false" ht="60" hidden="false" customHeight="true" outlineLevel="0" collapsed="false">
      <c r="A132" s="6" t="s">
        <v>524</v>
      </c>
      <c r="B132" s="6" t="s">
        <v>28</v>
      </c>
      <c r="C132" s="6" t="s">
        <v>16</v>
      </c>
      <c r="D132" s="7" t="s">
        <v>185</v>
      </c>
      <c r="E132" s="8" t="s">
        <v>525</v>
      </c>
      <c r="F132" s="6" t="s">
        <v>526</v>
      </c>
      <c r="G132" s="9" t="str">
        <f aca="false">IF(A132=1,"_",IF(C132="_","???",C132))</f>
        <v>???</v>
      </c>
      <c r="H132" s="10" t="s">
        <v>16</v>
      </c>
      <c r="I132" s="11" t="s">
        <v>16</v>
      </c>
      <c r="J132" s="12"/>
    </row>
    <row r="133" customFormat="false" ht="60" hidden="false" customHeight="true" outlineLevel="0" collapsed="false">
      <c r="A133" s="6" t="s">
        <v>527</v>
      </c>
      <c r="B133" s="6" t="s">
        <v>60</v>
      </c>
      <c r="C133" s="6" t="s">
        <v>16</v>
      </c>
      <c r="D133" s="7" t="s">
        <v>123</v>
      </c>
      <c r="E133" s="8" t="s">
        <v>528</v>
      </c>
      <c r="F133" s="6" t="s">
        <v>529</v>
      </c>
      <c r="G133" s="9" t="str">
        <f aca="false">IF(A133=1,"_",IF(C133="_","???",C133))</f>
        <v>???</v>
      </c>
      <c r="H133" s="10" t="s">
        <v>16</v>
      </c>
      <c r="I133" s="11" t="s">
        <v>16</v>
      </c>
      <c r="J133" s="12"/>
    </row>
    <row r="134" customFormat="false" ht="60" hidden="false" customHeight="true" outlineLevel="0" collapsed="false">
      <c r="A134" s="6" t="s">
        <v>530</v>
      </c>
      <c r="B134" s="6" t="s">
        <v>27</v>
      </c>
      <c r="C134" s="6" t="s">
        <v>531</v>
      </c>
      <c r="D134" s="7" t="s">
        <v>502</v>
      </c>
      <c r="E134" s="8" t="s">
        <v>532</v>
      </c>
      <c r="F134" s="6" t="s">
        <v>533</v>
      </c>
      <c r="G134" s="9" t="str">
        <f aca="false">IF(A134=1,"_",IF(C134="_","???",C134))</f>
        <v>once?</v>
      </c>
      <c r="H134" s="10" t="s">
        <v>16</v>
      </c>
      <c r="I134" s="11" t="s">
        <v>16</v>
      </c>
      <c r="J134" s="12"/>
    </row>
    <row r="135" customFormat="false" ht="60" hidden="false" customHeight="true" outlineLevel="0" collapsed="false">
      <c r="A135" s="6" t="s">
        <v>534</v>
      </c>
      <c r="B135" s="6" t="s">
        <v>42</v>
      </c>
      <c r="C135" s="6" t="s">
        <v>16</v>
      </c>
      <c r="D135" s="7" t="s">
        <v>535</v>
      </c>
      <c r="E135" s="8" t="s">
        <v>536</v>
      </c>
      <c r="F135" s="6" t="s">
        <v>537</v>
      </c>
      <c r="G135" s="9" t="str">
        <f aca="false">IF(A135=1,"_",IF(C135="_","???",C135))</f>
        <v>???</v>
      </c>
      <c r="H135" s="10" t="s">
        <v>16</v>
      </c>
      <c r="I135" s="11" t="s">
        <v>16</v>
      </c>
      <c r="J135" s="12"/>
    </row>
    <row r="136" customFormat="false" ht="60" hidden="false" customHeight="true" outlineLevel="0" collapsed="false">
      <c r="A136" s="6" t="s">
        <v>538</v>
      </c>
      <c r="B136" s="6" t="s">
        <v>17</v>
      </c>
      <c r="C136" s="6" t="s">
        <v>34</v>
      </c>
      <c r="D136" s="7" t="s">
        <v>539</v>
      </c>
      <c r="E136" s="8" t="s">
        <v>540</v>
      </c>
      <c r="F136" s="6" t="s">
        <v>541</v>
      </c>
      <c r="G136" s="9" t="str">
        <f aca="false">IF(A136=1,"_",IF(C136="_","???",C136))</f>
        <v>but?</v>
      </c>
      <c r="H136" s="10" t="s">
        <v>16</v>
      </c>
      <c r="I136" s="11" t="s">
        <v>16</v>
      </c>
      <c r="J136" s="12"/>
    </row>
    <row r="137" customFormat="false" ht="60" hidden="false" customHeight="true" outlineLevel="0" collapsed="false">
      <c r="A137" s="6" t="s">
        <v>542</v>
      </c>
      <c r="B137" s="6" t="s">
        <v>11</v>
      </c>
      <c r="C137" s="6" t="s">
        <v>16</v>
      </c>
      <c r="D137" s="7" t="s">
        <v>543</v>
      </c>
      <c r="E137" s="8" t="s">
        <v>544</v>
      </c>
      <c r="F137" s="6" t="s">
        <v>545</v>
      </c>
      <c r="G137" s="9" t="str">
        <f aca="false">IF(A137=1,"_",IF(C137="_","???",C137))</f>
        <v>???</v>
      </c>
      <c r="H137" s="10" t="s">
        <v>16</v>
      </c>
      <c r="I137" s="11" t="s">
        <v>16</v>
      </c>
      <c r="J137" s="12"/>
    </row>
    <row r="138" customFormat="false" ht="60" hidden="false" customHeight="true" outlineLevel="0" collapsed="false">
      <c r="A138" s="6" t="s">
        <v>546</v>
      </c>
      <c r="B138" s="6" t="s">
        <v>17</v>
      </c>
      <c r="C138" s="6" t="s">
        <v>38</v>
      </c>
      <c r="D138" s="7" t="s">
        <v>547</v>
      </c>
      <c r="E138" s="8" t="s">
        <v>548</v>
      </c>
      <c r="F138" s="6" t="s">
        <v>549</v>
      </c>
      <c r="G138" s="9" t="str">
        <f aca="false">IF(A138=1,"_",IF(C138="_","???",C138))</f>
        <v>and?</v>
      </c>
      <c r="H138" s="10" t="s">
        <v>16</v>
      </c>
      <c r="I138" s="11" t="s">
        <v>16</v>
      </c>
      <c r="J138" s="12"/>
    </row>
    <row r="139" customFormat="false" ht="60" hidden="false" customHeight="true" outlineLevel="0" collapsed="false">
      <c r="A139" s="6" t="s">
        <v>550</v>
      </c>
      <c r="B139" s="6" t="s">
        <v>22</v>
      </c>
      <c r="C139" s="6" t="s">
        <v>16</v>
      </c>
      <c r="D139" s="7" t="s">
        <v>123</v>
      </c>
      <c r="E139" s="8" t="s">
        <v>551</v>
      </c>
      <c r="F139" s="6" t="s">
        <v>552</v>
      </c>
      <c r="G139" s="9" t="str">
        <f aca="false">IF(A139=1,"_",IF(C139="_","???",C139))</f>
        <v>???</v>
      </c>
      <c r="H139" s="10" t="s">
        <v>16</v>
      </c>
      <c r="I139" s="11" t="s">
        <v>16</v>
      </c>
      <c r="J139" s="12"/>
    </row>
    <row r="140" customFormat="false" ht="60" hidden="false" customHeight="true" outlineLevel="0" collapsed="false">
      <c r="A140" s="6" t="s">
        <v>553</v>
      </c>
      <c r="B140" s="6" t="s">
        <v>50</v>
      </c>
      <c r="C140" s="6" t="s">
        <v>16</v>
      </c>
      <c r="D140" s="7" t="s">
        <v>123</v>
      </c>
      <c r="E140" s="8" t="s">
        <v>554</v>
      </c>
      <c r="F140" s="6" t="s">
        <v>555</v>
      </c>
      <c r="G140" s="9" t="str">
        <f aca="false">IF(A140=1,"_",IF(C140="_","???",C140))</f>
        <v>???</v>
      </c>
      <c r="H140" s="10" t="s">
        <v>16</v>
      </c>
      <c r="I140" s="11" t="s">
        <v>16</v>
      </c>
      <c r="J140" s="12"/>
    </row>
    <row r="141" customFormat="false" ht="60" hidden="false" customHeight="true" outlineLevel="0" collapsed="false">
      <c r="A141" s="6" t="s">
        <v>556</v>
      </c>
      <c r="B141" s="6" t="s">
        <v>18</v>
      </c>
      <c r="C141" s="6" t="s">
        <v>16</v>
      </c>
      <c r="D141" s="7" t="s">
        <v>185</v>
      </c>
      <c r="E141" s="8" t="s">
        <v>557</v>
      </c>
      <c r="F141" s="6" t="s">
        <v>558</v>
      </c>
      <c r="G141" s="9" t="str">
        <f aca="false">IF(A141=1,"_",IF(C141="_","???",C141))</f>
        <v>???</v>
      </c>
      <c r="H141" s="10" t="s">
        <v>16</v>
      </c>
      <c r="I141" s="11" t="s">
        <v>16</v>
      </c>
      <c r="J141" s="12"/>
    </row>
    <row r="142" customFormat="false" ht="60" hidden="false" customHeight="true" outlineLevel="0" collapsed="false">
      <c r="A142" s="6" t="s">
        <v>559</v>
      </c>
      <c r="B142" s="6" t="s">
        <v>17</v>
      </c>
      <c r="C142" s="6" t="s">
        <v>560</v>
      </c>
      <c r="D142" s="7" t="s">
        <v>561</v>
      </c>
      <c r="E142" s="8" t="s">
        <v>562</v>
      </c>
      <c r="F142" s="6" t="s">
        <v>563</v>
      </c>
      <c r="G142" s="9" t="str">
        <f aca="false">IF(A142=1,"_",IF(C142="_","???",C142))</f>
        <v>for?</v>
      </c>
      <c r="H142" s="10" t="s">
        <v>16</v>
      </c>
      <c r="I142" s="11" t="s">
        <v>16</v>
      </c>
      <c r="J142" s="12"/>
    </row>
    <row r="143" customFormat="false" ht="60" hidden="false" customHeight="true" outlineLevel="0" collapsed="false">
      <c r="A143" s="6" t="s">
        <v>564</v>
      </c>
      <c r="B143" s="6" t="s">
        <v>18</v>
      </c>
      <c r="C143" s="6" t="s">
        <v>560</v>
      </c>
      <c r="D143" s="7" t="s">
        <v>565</v>
      </c>
      <c r="E143" s="8" t="s">
        <v>566</v>
      </c>
      <c r="F143" s="6" t="s">
        <v>567</v>
      </c>
      <c r="G143" s="9" t="str">
        <f aca="false">IF(A143=1,"_",IF(C143="_","???",C143))</f>
        <v>for?</v>
      </c>
      <c r="H143" s="10" t="s">
        <v>16</v>
      </c>
      <c r="I143" s="11" t="s">
        <v>16</v>
      </c>
      <c r="J143" s="12"/>
    </row>
    <row r="144" customFormat="false" ht="60" hidden="false" customHeight="true" outlineLevel="0" collapsed="false">
      <c r="A144" s="6" t="s">
        <v>568</v>
      </c>
      <c r="B144" s="6" t="s">
        <v>27</v>
      </c>
      <c r="C144" s="6" t="s">
        <v>38</v>
      </c>
      <c r="D144" s="7" t="s">
        <v>422</v>
      </c>
      <c r="E144" s="8" t="s">
        <v>569</v>
      </c>
      <c r="F144" s="6" t="s">
        <v>570</v>
      </c>
      <c r="G144" s="9" t="str">
        <f aca="false">IF(A144=1,"_",IF(C144="_","???",C144))</f>
        <v>and?</v>
      </c>
      <c r="H144" s="10" t="s">
        <v>16</v>
      </c>
      <c r="I144" s="11" t="s">
        <v>16</v>
      </c>
      <c r="J144" s="12"/>
    </row>
    <row r="145" customFormat="false" ht="60" hidden="false" customHeight="true" outlineLevel="0" collapsed="false">
      <c r="A145" s="6" t="s">
        <v>571</v>
      </c>
      <c r="B145" s="6" t="s">
        <v>27</v>
      </c>
      <c r="C145" s="6" t="s">
        <v>16</v>
      </c>
      <c r="D145" s="7" t="s">
        <v>572</v>
      </c>
      <c r="E145" s="8" t="s">
        <v>573</v>
      </c>
      <c r="F145" s="6" t="s">
        <v>574</v>
      </c>
      <c r="G145" s="9" t="str">
        <f aca="false">IF(A145=1,"_",IF(C145="_","???",C145))</f>
        <v>???</v>
      </c>
      <c r="H145" s="10" t="s">
        <v>16</v>
      </c>
      <c r="I145" s="11" t="s">
        <v>16</v>
      </c>
      <c r="J145" s="12"/>
    </row>
    <row r="146" customFormat="false" ht="60" hidden="false" customHeight="true" outlineLevel="0" collapsed="false">
      <c r="A146" s="6" t="s">
        <v>575</v>
      </c>
      <c r="B146" s="6" t="s">
        <v>17</v>
      </c>
      <c r="C146" s="6" t="s">
        <v>16</v>
      </c>
      <c r="D146" s="7" t="s">
        <v>576</v>
      </c>
      <c r="E146" s="8" t="s">
        <v>577</v>
      </c>
      <c r="F146" s="6" t="s">
        <v>578</v>
      </c>
      <c r="G146" s="9" t="str">
        <f aca="false">IF(A146=1,"_",IF(C146="_","???",C146))</f>
        <v>???</v>
      </c>
      <c r="H146" s="10" t="s">
        <v>16</v>
      </c>
      <c r="I146" s="11" t="s">
        <v>16</v>
      </c>
      <c r="J146" s="12"/>
    </row>
    <row r="147" customFormat="false" ht="60" hidden="false" customHeight="true" outlineLevel="0" collapsed="false">
      <c r="A147" s="6" t="s">
        <v>579</v>
      </c>
      <c r="B147" s="6" t="s">
        <v>10</v>
      </c>
      <c r="C147" s="6" t="s">
        <v>16</v>
      </c>
      <c r="D147" s="7" t="s">
        <v>580</v>
      </c>
      <c r="E147" s="8" t="s">
        <v>581</v>
      </c>
      <c r="F147" s="6" t="s">
        <v>582</v>
      </c>
      <c r="G147" s="9" t="str">
        <f aca="false">IF(A147=1,"_",IF(C147="_","???",C147))</f>
        <v>???</v>
      </c>
      <c r="H147" s="10" t="s">
        <v>16</v>
      </c>
      <c r="I147" s="11" t="s">
        <v>16</v>
      </c>
      <c r="J147" s="12"/>
    </row>
    <row r="148" customFormat="false" ht="60" hidden="false" customHeight="true" outlineLevel="0" collapsed="false">
      <c r="A148" s="6" t="s">
        <v>583</v>
      </c>
      <c r="B148" s="6" t="s">
        <v>17</v>
      </c>
      <c r="C148" s="6" t="s">
        <v>38</v>
      </c>
      <c r="D148" s="7" t="s">
        <v>422</v>
      </c>
      <c r="E148" s="8" t="s">
        <v>584</v>
      </c>
      <c r="F148" s="6" t="s">
        <v>585</v>
      </c>
      <c r="G148" s="9" t="str">
        <f aca="false">IF(A148=1,"_",IF(C148="_","???",C148))</f>
        <v>and?</v>
      </c>
      <c r="H148" s="10" t="s">
        <v>16</v>
      </c>
      <c r="I148" s="11" t="s">
        <v>16</v>
      </c>
      <c r="J148" s="12"/>
    </row>
    <row r="149" customFormat="false" ht="60" hidden="false" customHeight="true" outlineLevel="0" collapsed="false">
      <c r="A149" s="6" t="s">
        <v>586</v>
      </c>
      <c r="B149" s="6" t="s">
        <v>10</v>
      </c>
      <c r="C149" s="6" t="s">
        <v>51</v>
      </c>
      <c r="D149" s="7" t="s">
        <v>587</v>
      </c>
      <c r="E149" s="8" t="s">
        <v>588</v>
      </c>
      <c r="F149" s="6" t="s">
        <v>589</v>
      </c>
      <c r="G149" s="9" t="str">
        <f aca="false">IF(A149=1,"_",IF(C149="_","???",C149))</f>
        <v>so?</v>
      </c>
      <c r="H149" s="10" t="s">
        <v>16</v>
      </c>
      <c r="I149" s="11" t="s">
        <v>16</v>
      </c>
      <c r="J149" s="12"/>
    </row>
    <row r="150" customFormat="false" ht="60" hidden="false" customHeight="true" outlineLevel="0" collapsed="false">
      <c r="A150" s="6" t="s">
        <v>590</v>
      </c>
      <c r="B150" s="6" t="s">
        <v>22</v>
      </c>
      <c r="C150" s="6" t="s">
        <v>331</v>
      </c>
      <c r="D150" s="7" t="s">
        <v>591</v>
      </c>
      <c r="E150" s="8" t="s">
        <v>592</v>
      </c>
      <c r="F150" s="6" t="s">
        <v>593</v>
      </c>
      <c r="G150" s="9" t="str">
        <f aca="false">IF(A150=1,"_",IF(C150="_","???",C150))</f>
        <v>if?</v>
      </c>
      <c r="H150" s="10" t="s">
        <v>16</v>
      </c>
      <c r="I150" s="11" t="s">
        <v>16</v>
      </c>
      <c r="J150" s="12"/>
    </row>
    <row r="151" customFormat="false" ht="60" hidden="false" customHeight="true" outlineLevel="0" collapsed="false">
      <c r="A151" s="6" t="s">
        <v>594</v>
      </c>
      <c r="B151" s="6" t="s">
        <v>27</v>
      </c>
      <c r="C151" s="6" t="s">
        <v>16</v>
      </c>
      <c r="D151" s="7" t="s">
        <v>595</v>
      </c>
      <c r="E151" s="8" t="s">
        <v>596</v>
      </c>
      <c r="F151" s="6" t="s">
        <v>597</v>
      </c>
      <c r="G151" s="9" t="str">
        <f aca="false">IF(A151=1,"_",IF(C151="_","???",C151))</f>
        <v>???</v>
      </c>
      <c r="H151" s="10" t="s">
        <v>16</v>
      </c>
      <c r="I151" s="11" t="s">
        <v>16</v>
      </c>
      <c r="J151" s="12"/>
    </row>
    <row r="152" customFormat="false" ht="60" hidden="false" customHeight="true" outlineLevel="0" collapsed="false">
      <c r="A152" s="6" t="s">
        <v>598</v>
      </c>
      <c r="B152" s="6" t="s">
        <v>18</v>
      </c>
      <c r="C152" s="6" t="s">
        <v>16</v>
      </c>
      <c r="D152" s="7" t="s">
        <v>303</v>
      </c>
      <c r="E152" s="8" t="s">
        <v>599</v>
      </c>
      <c r="F152" s="6" t="s">
        <v>600</v>
      </c>
      <c r="G152" s="9" t="str">
        <f aca="false">IF(A152=1,"_",IF(C152="_","???",C152))</f>
        <v>???</v>
      </c>
      <c r="H152" s="10" t="s">
        <v>16</v>
      </c>
      <c r="I152" s="11" t="s">
        <v>16</v>
      </c>
      <c r="J152" s="12"/>
    </row>
    <row r="153" customFormat="false" ht="60" hidden="false" customHeight="true" outlineLevel="0" collapsed="false">
      <c r="A153" s="6" t="s">
        <v>601</v>
      </c>
      <c r="B153" s="6" t="s">
        <v>27</v>
      </c>
      <c r="C153" s="6" t="s">
        <v>602</v>
      </c>
      <c r="D153" s="7" t="s">
        <v>603</v>
      </c>
      <c r="E153" s="8" t="s">
        <v>604</v>
      </c>
      <c r="F153" s="6" t="s">
        <v>605</v>
      </c>
      <c r="G153" s="9" t="str">
        <f aca="false">IF(A153=1,"_",IF(C153="_","???",C153))</f>
        <v>further?</v>
      </c>
      <c r="H153" s="10" t="s">
        <v>16</v>
      </c>
      <c r="I153" s="11" t="s">
        <v>16</v>
      </c>
      <c r="J153" s="12"/>
    </row>
    <row r="154" customFormat="false" ht="60" hidden="false" customHeight="true" outlineLevel="0" collapsed="false">
      <c r="A154" s="6" t="s">
        <v>606</v>
      </c>
      <c r="B154" s="6" t="s">
        <v>97</v>
      </c>
      <c r="C154" s="6" t="s">
        <v>16</v>
      </c>
      <c r="D154" s="7" t="s">
        <v>607</v>
      </c>
      <c r="E154" s="8" t="s">
        <v>608</v>
      </c>
      <c r="F154" s="6" t="s">
        <v>609</v>
      </c>
      <c r="G154" s="9" t="str">
        <f aca="false">IF(A154=1,"_",IF(C154="_","???",C154))</f>
        <v>???</v>
      </c>
      <c r="H154" s="10" t="s">
        <v>16</v>
      </c>
      <c r="I154" s="11" t="s">
        <v>16</v>
      </c>
      <c r="J154" s="12"/>
    </row>
    <row r="155" customFormat="false" ht="60" hidden="false" customHeight="true" outlineLevel="0" collapsed="false">
      <c r="A155" s="6" t="s">
        <v>610</v>
      </c>
      <c r="B155" s="6" t="s">
        <v>17</v>
      </c>
      <c r="C155" s="6" t="s">
        <v>611</v>
      </c>
      <c r="D155" s="7" t="s">
        <v>30</v>
      </c>
      <c r="E155" s="8" t="s">
        <v>612</v>
      </c>
      <c r="F155" s="6" t="s">
        <v>613</v>
      </c>
      <c r="G155" s="9" t="str">
        <f aca="false">IF(A155=1,"_",IF(C155="_","???",C155))</f>
        <v>still?</v>
      </c>
      <c r="H155" s="10" t="s">
        <v>16</v>
      </c>
      <c r="I155" s="11" t="s">
        <v>16</v>
      </c>
      <c r="J155" s="12"/>
    </row>
    <row r="156" customFormat="false" ht="60" hidden="false" customHeight="true" outlineLevel="0" collapsed="false">
      <c r="A156" s="6" t="s">
        <v>614</v>
      </c>
      <c r="B156" s="6" t="s">
        <v>17</v>
      </c>
      <c r="C156" s="6" t="s">
        <v>16</v>
      </c>
      <c r="D156" s="7" t="s">
        <v>591</v>
      </c>
      <c r="E156" s="8" t="s">
        <v>615</v>
      </c>
      <c r="F156" s="6" t="s">
        <v>616</v>
      </c>
      <c r="G156" s="9" t="str">
        <f aca="false">IF(A156=1,"_",IF(C156="_","???",C156))</f>
        <v>???</v>
      </c>
      <c r="H156" s="10" t="s">
        <v>16</v>
      </c>
      <c r="I156" s="11" t="s">
        <v>16</v>
      </c>
      <c r="J156" s="12"/>
    </row>
    <row r="157" customFormat="false" ht="60" hidden="false" customHeight="true" outlineLevel="0" collapsed="false">
      <c r="A157" s="6" t="s">
        <v>617</v>
      </c>
      <c r="B157" s="6" t="s">
        <v>50</v>
      </c>
      <c r="C157" s="6" t="s">
        <v>16</v>
      </c>
      <c r="D157" s="7" t="s">
        <v>123</v>
      </c>
      <c r="E157" s="8" t="s">
        <v>618</v>
      </c>
      <c r="F157" s="6" t="s">
        <v>619</v>
      </c>
      <c r="G157" s="9" t="str">
        <f aca="false">IF(A157=1,"_",IF(C157="_","???",C157))</f>
        <v>???</v>
      </c>
      <c r="H157" s="10" t="s">
        <v>16</v>
      </c>
      <c r="I157" s="11" t="s">
        <v>16</v>
      </c>
      <c r="J157" s="12"/>
    </row>
    <row r="158" customFormat="false" ht="60" hidden="false" customHeight="true" outlineLevel="0" collapsed="false">
      <c r="A158" s="6" t="s">
        <v>620</v>
      </c>
      <c r="B158" s="6" t="s">
        <v>50</v>
      </c>
      <c r="C158" s="6" t="s">
        <v>38</v>
      </c>
      <c r="D158" s="7" t="s">
        <v>621</v>
      </c>
      <c r="E158" s="8" t="s">
        <v>622</v>
      </c>
      <c r="F158" s="6" t="s">
        <v>623</v>
      </c>
      <c r="G158" s="9" t="str">
        <f aca="false">IF(A158=1,"_",IF(C158="_","???",C158))</f>
        <v>and?</v>
      </c>
      <c r="H158" s="10" t="s">
        <v>16</v>
      </c>
      <c r="I158" s="11" t="s">
        <v>16</v>
      </c>
      <c r="J158" s="12"/>
    </row>
    <row r="159" customFormat="false" ht="60" hidden="false" customHeight="true" outlineLevel="0" collapsed="false">
      <c r="A159" s="6" t="s">
        <v>624</v>
      </c>
      <c r="B159" s="6" t="s">
        <v>17</v>
      </c>
      <c r="C159" s="6" t="s">
        <v>38</v>
      </c>
      <c r="D159" s="7" t="s">
        <v>576</v>
      </c>
      <c r="E159" s="8" t="s">
        <v>625</v>
      </c>
      <c r="F159" s="6" t="s">
        <v>626</v>
      </c>
      <c r="G159" s="9" t="str">
        <f aca="false">IF(A159=1,"_",IF(C159="_","???",C159))</f>
        <v>and?</v>
      </c>
      <c r="H159" s="10" t="s">
        <v>16</v>
      </c>
      <c r="I159" s="11" t="s">
        <v>16</v>
      </c>
      <c r="J159" s="12"/>
    </row>
    <row r="160" customFormat="false" ht="60" hidden="false" customHeight="true" outlineLevel="0" collapsed="false">
      <c r="A160" s="6" t="s">
        <v>627</v>
      </c>
      <c r="B160" s="6" t="s">
        <v>18</v>
      </c>
      <c r="C160" s="6" t="s">
        <v>16</v>
      </c>
      <c r="D160" s="7" t="s">
        <v>628</v>
      </c>
      <c r="E160" s="8" t="s">
        <v>629</v>
      </c>
      <c r="F160" s="6" t="s">
        <v>630</v>
      </c>
      <c r="G160" s="9" t="str">
        <f aca="false">IF(A160=1,"_",IF(C160="_","???",C160))</f>
        <v>???</v>
      </c>
      <c r="H160" s="10" t="s">
        <v>16</v>
      </c>
      <c r="I160" s="11" t="s">
        <v>16</v>
      </c>
      <c r="J160" s="12"/>
    </row>
    <row r="161" customFormat="false" ht="60" hidden="false" customHeight="true" outlineLevel="0" collapsed="false">
      <c r="A161" s="6" t="s">
        <v>631</v>
      </c>
      <c r="B161" s="6" t="s">
        <v>22</v>
      </c>
      <c r="C161" s="6" t="s">
        <v>16</v>
      </c>
      <c r="D161" s="7" t="s">
        <v>146</v>
      </c>
      <c r="E161" s="8" t="s">
        <v>632</v>
      </c>
      <c r="F161" s="6" t="s">
        <v>633</v>
      </c>
      <c r="G161" s="9" t="str">
        <f aca="false">IF(A161=1,"_",IF(C161="_","???",C161))</f>
        <v>???</v>
      </c>
      <c r="H161" s="10" t="s">
        <v>16</v>
      </c>
      <c r="I161" s="11" t="s">
        <v>16</v>
      </c>
      <c r="J161" s="12"/>
    </row>
    <row r="162" customFormat="false" ht="60" hidden="false" customHeight="true" outlineLevel="0" collapsed="false">
      <c r="A162" s="6" t="s">
        <v>634</v>
      </c>
      <c r="B162" s="6" t="s">
        <v>18</v>
      </c>
      <c r="C162" s="6" t="s">
        <v>38</v>
      </c>
      <c r="D162" s="7" t="s">
        <v>635</v>
      </c>
      <c r="E162" s="8" t="s">
        <v>636</v>
      </c>
      <c r="F162" s="6" t="s">
        <v>637</v>
      </c>
      <c r="G162" s="9" t="str">
        <f aca="false">IF(A162=1,"_",IF(C162="_","???",C162))</f>
        <v>and?</v>
      </c>
      <c r="H162" s="10" t="s">
        <v>16</v>
      </c>
      <c r="I162" s="11" t="s">
        <v>16</v>
      </c>
      <c r="J162" s="12"/>
    </row>
    <row r="163" customFormat="false" ht="60" hidden="false" customHeight="true" outlineLevel="0" collapsed="false">
      <c r="A163" s="6" t="s">
        <v>638</v>
      </c>
      <c r="B163" s="6" t="s">
        <v>18</v>
      </c>
      <c r="C163" s="6" t="s">
        <v>16</v>
      </c>
      <c r="D163" s="7" t="s">
        <v>639</v>
      </c>
      <c r="E163" s="8" t="s">
        <v>640</v>
      </c>
      <c r="F163" s="6" t="s">
        <v>641</v>
      </c>
      <c r="G163" s="9" t="str">
        <f aca="false">IF(A163=1,"_",IF(C163="_","???",C163))</f>
        <v>???</v>
      </c>
      <c r="H163" s="10" t="s">
        <v>16</v>
      </c>
      <c r="I163" s="11" t="s">
        <v>16</v>
      </c>
      <c r="J163" s="12"/>
    </row>
    <row r="164" customFormat="false" ht="60" hidden="false" customHeight="true" outlineLevel="0" collapsed="false">
      <c r="A164" s="6" t="s">
        <v>642</v>
      </c>
      <c r="B164" s="6" t="s">
        <v>42</v>
      </c>
      <c r="C164" s="6" t="s">
        <v>16</v>
      </c>
      <c r="D164" s="7" t="s">
        <v>643</v>
      </c>
      <c r="E164" s="8" t="s">
        <v>644</v>
      </c>
      <c r="F164" s="6" t="s">
        <v>645</v>
      </c>
      <c r="G164" s="9" t="str">
        <f aca="false">IF(A164=1,"_",IF(C164="_","???",C164))</f>
        <v>???</v>
      </c>
      <c r="H164" s="10" t="s">
        <v>16</v>
      </c>
      <c r="I164" s="11" t="s">
        <v>16</v>
      </c>
      <c r="J164" s="12"/>
    </row>
    <row r="165" customFormat="false" ht="60" hidden="false" customHeight="true" outlineLevel="0" collapsed="false">
      <c r="A165" s="6" t="s">
        <v>646</v>
      </c>
      <c r="B165" s="6" t="s">
        <v>27</v>
      </c>
      <c r="C165" s="6" t="s">
        <v>34</v>
      </c>
      <c r="D165" s="7" t="s">
        <v>647</v>
      </c>
      <c r="E165" s="8" t="s">
        <v>648</v>
      </c>
      <c r="F165" s="6" t="s">
        <v>649</v>
      </c>
      <c r="G165" s="9" t="str">
        <f aca="false">IF(A165=1,"_",IF(C165="_","???",C165))</f>
        <v>but?</v>
      </c>
      <c r="H165" s="10" t="s">
        <v>16</v>
      </c>
      <c r="I165" s="11" t="s">
        <v>16</v>
      </c>
      <c r="J165" s="12"/>
    </row>
    <row r="166" customFormat="false" ht="60" hidden="false" customHeight="true" outlineLevel="0" collapsed="false">
      <c r="A166" s="6" t="s">
        <v>650</v>
      </c>
      <c r="B166" s="6" t="s">
        <v>27</v>
      </c>
      <c r="C166" s="6" t="s">
        <v>51</v>
      </c>
      <c r="D166" s="7" t="s">
        <v>651</v>
      </c>
      <c r="E166" s="8" t="s">
        <v>652</v>
      </c>
      <c r="F166" s="6" t="s">
        <v>653</v>
      </c>
      <c r="G166" s="9" t="str">
        <f aca="false">IF(A166=1,"_",IF(C166="_","???",C166))</f>
        <v>so?</v>
      </c>
      <c r="H166" s="10" t="s">
        <v>16</v>
      </c>
      <c r="I166" s="11" t="s">
        <v>16</v>
      </c>
      <c r="J166" s="12"/>
    </row>
    <row r="167" customFormat="false" ht="60" hidden="false" customHeight="true" outlineLevel="0" collapsed="false">
      <c r="A167" s="6" t="s">
        <v>654</v>
      </c>
      <c r="B167" s="6" t="s">
        <v>17</v>
      </c>
      <c r="C167" s="6" t="s">
        <v>34</v>
      </c>
      <c r="D167" s="7" t="s">
        <v>185</v>
      </c>
      <c r="E167" s="8" t="s">
        <v>655</v>
      </c>
      <c r="F167" s="6" t="s">
        <v>656</v>
      </c>
      <c r="G167" s="9" t="str">
        <f aca="false">IF(A167=1,"_",IF(C167="_","???",C167))</f>
        <v>but?</v>
      </c>
      <c r="H167" s="10" t="s">
        <v>16</v>
      </c>
      <c r="I167" s="11" t="s">
        <v>16</v>
      </c>
      <c r="J167" s="12"/>
    </row>
    <row r="168" customFormat="false" ht="60" hidden="false" customHeight="true" outlineLevel="0" collapsed="false">
      <c r="A168" s="6" t="s">
        <v>657</v>
      </c>
      <c r="B168" s="6" t="s">
        <v>33</v>
      </c>
      <c r="C168" s="6" t="s">
        <v>16</v>
      </c>
      <c r="D168" s="7" t="s">
        <v>106</v>
      </c>
      <c r="E168" s="8" t="s">
        <v>658</v>
      </c>
      <c r="F168" s="6" t="s">
        <v>659</v>
      </c>
      <c r="G168" s="9" t="str">
        <f aca="false">IF(A168=1,"_",IF(C168="_","???",C168))</f>
        <v>???</v>
      </c>
      <c r="H168" s="10" t="s">
        <v>16</v>
      </c>
      <c r="I168" s="11" t="s">
        <v>16</v>
      </c>
      <c r="J168" s="12"/>
    </row>
    <row r="169" customFormat="false" ht="60" hidden="false" customHeight="true" outlineLevel="0" collapsed="false">
      <c r="A169" s="6" t="s">
        <v>660</v>
      </c>
      <c r="B169" s="6" t="s">
        <v>72</v>
      </c>
      <c r="C169" s="6" t="s">
        <v>29</v>
      </c>
      <c r="D169" s="7" t="s">
        <v>661</v>
      </c>
      <c r="E169" s="8" t="s">
        <v>662</v>
      </c>
      <c r="F169" s="6" t="s">
        <v>663</v>
      </c>
      <c r="G169" s="9" t="str">
        <f aca="false">IF(A169=1,"_",IF(C169="_","???",C169))</f>
        <v>however?</v>
      </c>
      <c r="H169" s="10" t="s">
        <v>16</v>
      </c>
      <c r="I169" s="11" t="s">
        <v>16</v>
      </c>
      <c r="J169" s="12"/>
    </row>
    <row r="170" customFormat="false" ht="60" hidden="false" customHeight="true" outlineLevel="0" collapsed="false">
      <c r="A170" s="6" t="s">
        <v>664</v>
      </c>
      <c r="B170" s="6" t="s">
        <v>18</v>
      </c>
      <c r="C170" s="6" t="s">
        <v>16</v>
      </c>
      <c r="D170" s="7" t="s">
        <v>185</v>
      </c>
      <c r="E170" s="8" t="s">
        <v>665</v>
      </c>
      <c r="F170" s="6" t="s">
        <v>666</v>
      </c>
      <c r="G170" s="9" t="str">
        <f aca="false">IF(A170=1,"_",IF(C170="_","???",C170))</f>
        <v>???</v>
      </c>
      <c r="H170" s="10" t="s">
        <v>16</v>
      </c>
      <c r="I170" s="11" t="s">
        <v>16</v>
      </c>
      <c r="J170" s="12"/>
    </row>
    <row r="171" customFormat="false" ht="60" hidden="false" customHeight="true" outlineLevel="0" collapsed="false">
      <c r="A171" s="6" t="s">
        <v>667</v>
      </c>
      <c r="B171" s="6" t="s">
        <v>27</v>
      </c>
      <c r="C171" s="6" t="s">
        <v>16</v>
      </c>
      <c r="D171" s="7" t="s">
        <v>209</v>
      </c>
      <c r="E171" s="8" t="s">
        <v>668</v>
      </c>
      <c r="F171" s="6" t="s">
        <v>669</v>
      </c>
      <c r="G171" s="9" t="str">
        <f aca="false">IF(A171=1,"_",IF(C171="_","???",C171))</f>
        <v>???</v>
      </c>
      <c r="H171" s="10" t="s">
        <v>16</v>
      </c>
      <c r="I171" s="11" t="s">
        <v>16</v>
      </c>
      <c r="J171" s="12"/>
    </row>
    <row r="172" customFormat="false" ht="60" hidden="false" customHeight="true" outlineLevel="0" collapsed="false">
      <c r="A172" s="6" t="s">
        <v>670</v>
      </c>
      <c r="B172" s="6" t="s">
        <v>10</v>
      </c>
      <c r="C172" s="6" t="s">
        <v>16</v>
      </c>
      <c r="D172" s="7" t="s">
        <v>671</v>
      </c>
      <c r="E172" s="8" t="s">
        <v>672</v>
      </c>
      <c r="F172" s="6" t="s">
        <v>673</v>
      </c>
      <c r="G172" s="9" t="str">
        <f aca="false">IF(A172=1,"_",IF(C172="_","???",C172))</f>
        <v>???</v>
      </c>
      <c r="H172" s="10" t="s">
        <v>16</v>
      </c>
      <c r="I172" s="11" t="s">
        <v>16</v>
      </c>
      <c r="J172" s="12"/>
    </row>
    <row r="173" customFormat="false" ht="60" hidden="false" customHeight="true" outlineLevel="0" collapsed="false">
      <c r="A173" s="6" t="s">
        <v>674</v>
      </c>
      <c r="B173" s="6" t="s">
        <v>27</v>
      </c>
      <c r="C173" s="6" t="s">
        <v>38</v>
      </c>
      <c r="D173" s="7" t="s">
        <v>675</v>
      </c>
      <c r="E173" s="8" t="s">
        <v>676</v>
      </c>
      <c r="F173" s="6" t="s">
        <v>677</v>
      </c>
      <c r="G173" s="9" t="str">
        <f aca="false">IF(A173=1,"_",IF(C173="_","???",C173))</f>
        <v>and?</v>
      </c>
      <c r="H173" s="10" t="s">
        <v>16</v>
      </c>
      <c r="I173" s="11" t="s">
        <v>16</v>
      </c>
      <c r="J173" s="12"/>
    </row>
    <row r="174" customFormat="false" ht="60" hidden="false" customHeight="true" outlineLevel="0" collapsed="false">
      <c r="A174" s="6" t="s">
        <v>678</v>
      </c>
      <c r="B174" s="6" t="s">
        <v>17</v>
      </c>
      <c r="C174" s="6" t="s">
        <v>38</v>
      </c>
      <c r="D174" s="7" t="s">
        <v>327</v>
      </c>
      <c r="E174" s="8" t="s">
        <v>679</v>
      </c>
      <c r="F174" s="6" t="s">
        <v>680</v>
      </c>
      <c r="G174" s="9" t="str">
        <f aca="false">IF(A174=1,"_",IF(C174="_","???",C174))</f>
        <v>and?</v>
      </c>
      <c r="H174" s="10" t="s">
        <v>16</v>
      </c>
      <c r="I174" s="11" t="s">
        <v>16</v>
      </c>
      <c r="J174" s="12"/>
    </row>
    <row r="175" customFormat="false" ht="60" hidden="false" customHeight="true" outlineLevel="0" collapsed="false">
      <c r="A175" s="6" t="s">
        <v>681</v>
      </c>
      <c r="B175" s="6" t="s">
        <v>10</v>
      </c>
      <c r="C175" s="6" t="s">
        <v>16</v>
      </c>
      <c r="D175" s="7" t="s">
        <v>682</v>
      </c>
      <c r="E175" s="8" t="s">
        <v>683</v>
      </c>
      <c r="F175" s="6" t="s">
        <v>684</v>
      </c>
      <c r="G175" s="9" t="str">
        <f aca="false">IF(A175=1,"_",IF(C175="_","???",C175))</f>
        <v>???</v>
      </c>
      <c r="H175" s="10" t="s">
        <v>16</v>
      </c>
      <c r="I175" s="11" t="s">
        <v>16</v>
      </c>
      <c r="J175" s="12"/>
    </row>
    <row r="176" customFormat="false" ht="60" hidden="false" customHeight="true" outlineLevel="0" collapsed="false">
      <c r="A176" s="6" t="s">
        <v>685</v>
      </c>
      <c r="B176" s="6" t="s">
        <v>18</v>
      </c>
      <c r="C176" s="6" t="s">
        <v>34</v>
      </c>
      <c r="D176" s="7" t="s">
        <v>185</v>
      </c>
      <c r="E176" s="8" t="s">
        <v>686</v>
      </c>
      <c r="F176" s="6" t="s">
        <v>687</v>
      </c>
      <c r="G176" s="9" t="str">
        <f aca="false">IF(A176=1,"_",IF(C176="_","???",C176))</f>
        <v>but?</v>
      </c>
      <c r="H176" s="10" t="s">
        <v>16</v>
      </c>
      <c r="I176" s="11" t="s">
        <v>16</v>
      </c>
      <c r="J176" s="12"/>
    </row>
    <row r="177" customFormat="false" ht="60" hidden="false" customHeight="true" outlineLevel="0" collapsed="false">
      <c r="A177" s="6" t="s">
        <v>688</v>
      </c>
      <c r="B177" s="6" t="s">
        <v>27</v>
      </c>
      <c r="C177" s="6" t="s">
        <v>689</v>
      </c>
      <c r="D177" s="7" t="s">
        <v>690</v>
      </c>
      <c r="E177" s="8" t="s">
        <v>691</v>
      </c>
      <c r="F177" s="6" t="s">
        <v>692</v>
      </c>
      <c r="G177" s="9" t="str">
        <f aca="false">IF(A177=1,"_",IF(C177="_","???",C177))</f>
        <v>instead?</v>
      </c>
      <c r="H177" s="10" t="s">
        <v>16</v>
      </c>
      <c r="I177" s="11" t="s">
        <v>16</v>
      </c>
      <c r="J177" s="12"/>
    </row>
    <row r="178" customFormat="false" ht="60" hidden="false" customHeight="true" outlineLevel="0" collapsed="false">
      <c r="A178" s="6" t="s">
        <v>693</v>
      </c>
      <c r="B178" s="6" t="s">
        <v>33</v>
      </c>
      <c r="C178" s="6" t="s">
        <v>38</v>
      </c>
      <c r="D178" s="7" t="s">
        <v>694</v>
      </c>
      <c r="E178" s="8" t="s">
        <v>695</v>
      </c>
      <c r="F178" s="6" t="s">
        <v>696</v>
      </c>
      <c r="G178" s="9" t="str">
        <f aca="false">IF(A178=1,"_",IF(C178="_","???",C178))</f>
        <v>and?</v>
      </c>
      <c r="H178" s="10" t="s">
        <v>16</v>
      </c>
      <c r="I178" s="11" t="s">
        <v>16</v>
      </c>
      <c r="J178" s="12"/>
    </row>
    <row r="179" customFormat="false" ht="60" hidden="false" customHeight="true" outlineLevel="0" collapsed="false">
      <c r="A179" s="6" t="s">
        <v>697</v>
      </c>
      <c r="B179" s="6" t="s">
        <v>28</v>
      </c>
      <c r="C179" s="6" t="s">
        <v>16</v>
      </c>
      <c r="D179" s="7" t="s">
        <v>185</v>
      </c>
      <c r="E179" s="8" t="s">
        <v>698</v>
      </c>
      <c r="F179" s="6" t="s">
        <v>699</v>
      </c>
      <c r="G179" s="9" t="str">
        <f aca="false">IF(A179=1,"_",IF(C179="_","???",C179))</f>
        <v>???</v>
      </c>
      <c r="H179" s="10" t="s">
        <v>16</v>
      </c>
      <c r="I179" s="11" t="s">
        <v>16</v>
      </c>
      <c r="J179" s="12"/>
    </row>
    <row r="180" customFormat="false" ht="60" hidden="false" customHeight="true" outlineLevel="0" collapsed="false">
      <c r="A180" s="6" t="s">
        <v>700</v>
      </c>
      <c r="B180" s="6" t="s">
        <v>42</v>
      </c>
      <c r="C180" s="6" t="s">
        <v>51</v>
      </c>
      <c r="D180" s="7" t="s">
        <v>701</v>
      </c>
      <c r="E180" s="8" t="s">
        <v>702</v>
      </c>
      <c r="F180" s="6" t="s">
        <v>703</v>
      </c>
      <c r="G180" s="9" t="str">
        <f aca="false">IF(A180=1,"_",IF(C180="_","???",C180))</f>
        <v>so?</v>
      </c>
      <c r="H180" s="10" t="s">
        <v>16</v>
      </c>
      <c r="I180" s="11" t="s">
        <v>16</v>
      </c>
      <c r="J180" s="12"/>
    </row>
    <row r="181" customFormat="false" ht="60" hidden="false" customHeight="true" outlineLevel="0" collapsed="false">
      <c r="A181" s="6" t="s">
        <v>704</v>
      </c>
      <c r="B181" s="6" t="s">
        <v>17</v>
      </c>
      <c r="C181" s="6" t="s">
        <v>38</v>
      </c>
      <c r="D181" s="7" t="s">
        <v>705</v>
      </c>
      <c r="E181" s="8" t="s">
        <v>706</v>
      </c>
      <c r="F181" s="6" t="s">
        <v>707</v>
      </c>
      <c r="G181" s="9" t="str">
        <f aca="false">IF(A181=1,"_",IF(C181="_","???",C181))</f>
        <v>and?</v>
      </c>
      <c r="H181" s="10" t="s">
        <v>16</v>
      </c>
      <c r="I181" s="11" t="s">
        <v>16</v>
      </c>
      <c r="J181" s="12"/>
    </row>
    <row r="182" customFormat="false" ht="60" hidden="false" customHeight="true" outlineLevel="0" collapsed="false">
      <c r="A182" s="6" t="s">
        <v>708</v>
      </c>
      <c r="B182" s="6" t="s">
        <v>17</v>
      </c>
      <c r="C182" s="6" t="s">
        <v>38</v>
      </c>
      <c r="D182" s="7" t="s">
        <v>332</v>
      </c>
      <c r="E182" s="8" t="s">
        <v>709</v>
      </c>
      <c r="F182" s="6" t="s">
        <v>710</v>
      </c>
      <c r="G182" s="9" t="str">
        <f aca="false">IF(A182=1,"_",IF(C182="_","???",C182))</f>
        <v>and?</v>
      </c>
      <c r="H182" s="10" t="s">
        <v>16</v>
      </c>
      <c r="I182" s="11" t="s">
        <v>16</v>
      </c>
      <c r="J182" s="12"/>
    </row>
    <row r="183" customFormat="false" ht="60" hidden="false" customHeight="true" outlineLevel="0" collapsed="false">
      <c r="A183" s="6" t="s">
        <v>711</v>
      </c>
      <c r="B183" s="6" t="s">
        <v>22</v>
      </c>
      <c r="C183" s="6" t="s">
        <v>38</v>
      </c>
      <c r="D183" s="7" t="s">
        <v>712</v>
      </c>
      <c r="E183" s="8" t="s">
        <v>713</v>
      </c>
      <c r="F183" s="6" t="s">
        <v>714</v>
      </c>
      <c r="G183" s="9" t="str">
        <f aca="false">IF(A183=1,"_",IF(C183="_","???",C183))</f>
        <v>and?</v>
      </c>
      <c r="H183" s="10" t="s">
        <v>16</v>
      </c>
      <c r="I183" s="11" t="s">
        <v>16</v>
      </c>
      <c r="J183" s="12"/>
    </row>
    <row r="184" customFormat="false" ht="60" hidden="false" customHeight="true" outlineLevel="0" collapsed="false">
      <c r="A184" s="6" t="s">
        <v>715</v>
      </c>
      <c r="B184" s="6" t="s">
        <v>17</v>
      </c>
      <c r="C184" s="6" t="s">
        <v>16</v>
      </c>
      <c r="D184" s="7" t="s">
        <v>716</v>
      </c>
      <c r="E184" s="8" t="s">
        <v>717</v>
      </c>
      <c r="F184" s="6" t="s">
        <v>718</v>
      </c>
      <c r="G184" s="9" t="str">
        <f aca="false">IF(A184=1,"_",IF(C184="_","???",C184))</f>
        <v>???</v>
      </c>
      <c r="H184" s="10" t="s">
        <v>16</v>
      </c>
      <c r="I184" s="11" t="s">
        <v>16</v>
      </c>
      <c r="J184" s="12"/>
    </row>
    <row r="185" customFormat="false" ht="60" hidden="false" customHeight="true" outlineLevel="0" collapsed="false">
      <c r="A185" s="6" t="s">
        <v>719</v>
      </c>
      <c r="B185" s="6" t="s">
        <v>33</v>
      </c>
      <c r="C185" s="6" t="s">
        <v>323</v>
      </c>
      <c r="D185" s="7" t="s">
        <v>720</v>
      </c>
      <c r="E185" s="8" t="s">
        <v>721</v>
      </c>
      <c r="F185" s="6" t="s">
        <v>722</v>
      </c>
      <c r="G185" s="9" t="str">
        <f aca="false">IF(A185=1,"_",IF(C185="_","???",C185))</f>
        <v>as?</v>
      </c>
      <c r="H185" s="10" t="s">
        <v>16</v>
      </c>
      <c r="I185" s="11" t="s">
        <v>16</v>
      </c>
      <c r="J185" s="12"/>
    </row>
    <row r="186" customFormat="false" ht="60" hidden="false" customHeight="true" outlineLevel="0" collapsed="false">
      <c r="A186" s="6" t="s">
        <v>723</v>
      </c>
      <c r="B186" s="6" t="s">
        <v>22</v>
      </c>
      <c r="C186" s="6" t="s">
        <v>16</v>
      </c>
      <c r="D186" s="7" t="s">
        <v>724</v>
      </c>
      <c r="E186" s="8" t="s">
        <v>725</v>
      </c>
      <c r="F186" s="6" t="s">
        <v>726</v>
      </c>
      <c r="G186" s="9" t="str">
        <f aca="false">IF(A186=1,"_",IF(C186="_","???",C186))</f>
        <v>???</v>
      </c>
      <c r="H186" s="10" t="s">
        <v>16</v>
      </c>
      <c r="I186" s="11" t="s">
        <v>16</v>
      </c>
      <c r="J186" s="12"/>
    </row>
    <row r="187" customFormat="false" ht="60" hidden="false" customHeight="true" outlineLevel="0" collapsed="false">
      <c r="A187" s="6" t="s">
        <v>727</v>
      </c>
      <c r="B187" s="6" t="s">
        <v>17</v>
      </c>
      <c r="C187" s="6" t="s">
        <v>16</v>
      </c>
      <c r="D187" s="7" t="s">
        <v>728</v>
      </c>
      <c r="E187" s="8" t="s">
        <v>729</v>
      </c>
      <c r="F187" s="6" t="s">
        <v>730</v>
      </c>
      <c r="G187" s="9" t="str">
        <f aca="false">IF(A187=1,"_",IF(C187="_","???",C187))</f>
        <v>???</v>
      </c>
      <c r="H187" s="10" t="s">
        <v>16</v>
      </c>
      <c r="I187" s="11" t="s">
        <v>16</v>
      </c>
      <c r="J187" s="12"/>
    </row>
    <row r="188" customFormat="false" ht="60" hidden="false" customHeight="true" outlineLevel="0" collapsed="false">
      <c r="A188" s="6" t="s">
        <v>731</v>
      </c>
      <c r="B188" s="6" t="s">
        <v>10</v>
      </c>
      <c r="C188" s="6" t="s">
        <v>16</v>
      </c>
      <c r="D188" s="7" t="s">
        <v>732</v>
      </c>
      <c r="E188" s="8" t="s">
        <v>733</v>
      </c>
      <c r="F188" s="6" t="s">
        <v>734</v>
      </c>
      <c r="G188" s="9" t="str">
        <f aca="false">IF(A188=1,"_",IF(C188="_","???",C188))</f>
        <v>???</v>
      </c>
      <c r="H188" s="10" t="s">
        <v>16</v>
      </c>
      <c r="I188" s="11" t="s">
        <v>16</v>
      </c>
      <c r="J188" s="12"/>
    </row>
    <row r="189" customFormat="false" ht="60" hidden="false" customHeight="true" outlineLevel="0" collapsed="false">
      <c r="A189" s="6" t="s">
        <v>735</v>
      </c>
      <c r="B189" s="6" t="s">
        <v>18</v>
      </c>
      <c r="C189" s="6" t="s">
        <v>16</v>
      </c>
      <c r="D189" s="7" t="s">
        <v>736</v>
      </c>
      <c r="E189" s="8" t="s">
        <v>737</v>
      </c>
      <c r="F189" s="6" t="s">
        <v>738</v>
      </c>
      <c r="G189" s="9" t="str">
        <f aca="false">IF(A189=1,"_",IF(C189="_","???",C189))</f>
        <v>???</v>
      </c>
      <c r="H189" s="10" t="s">
        <v>16</v>
      </c>
      <c r="I189" s="11" t="s">
        <v>16</v>
      </c>
      <c r="J189" s="12"/>
    </row>
    <row r="190" customFormat="false" ht="60" hidden="false" customHeight="true" outlineLevel="0" collapsed="false">
      <c r="A190" s="6" t="s">
        <v>739</v>
      </c>
      <c r="B190" s="6" t="s">
        <v>17</v>
      </c>
      <c r="C190" s="6" t="s">
        <v>16</v>
      </c>
      <c r="D190" s="7" t="s">
        <v>671</v>
      </c>
      <c r="E190" s="8" t="s">
        <v>740</v>
      </c>
      <c r="F190" s="6" t="s">
        <v>741</v>
      </c>
      <c r="G190" s="9" t="str">
        <f aca="false">IF(A190=1,"_",IF(C190="_","???",C190))</f>
        <v>???</v>
      </c>
      <c r="H190" s="10" t="s">
        <v>16</v>
      </c>
      <c r="I190" s="11" t="s">
        <v>16</v>
      </c>
      <c r="J190" s="12"/>
    </row>
    <row r="191" customFormat="false" ht="60" hidden="false" customHeight="true" outlineLevel="0" collapsed="false">
      <c r="A191" s="6" t="s">
        <v>742</v>
      </c>
      <c r="B191" s="6" t="s">
        <v>28</v>
      </c>
      <c r="C191" s="6" t="s">
        <v>16</v>
      </c>
      <c r="D191" s="7" t="s">
        <v>235</v>
      </c>
      <c r="E191" s="8" t="s">
        <v>743</v>
      </c>
      <c r="F191" s="6" t="s">
        <v>744</v>
      </c>
      <c r="G191" s="9" t="str">
        <f aca="false">IF(A191=1,"_",IF(C191="_","???",C191))</f>
        <v>???</v>
      </c>
      <c r="H191" s="10" t="s">
        <v>16</v>
      </c>
      <c r="I191" s="11" t="s">
        <v>16</v>
      </c>
      <c r="J191" s="12"/>
    </row>
    <row r="192" customFormat="false" ht="60" hidden="false" customHeight="true" outlineLevel="0" collapsed="false">
      <c r="A192" s="6" t="s">
        <v>745</v>
      </c>
      <c r="B192" s="6" t="s">
        <v>27</v>
      </c>
      <c r="C192" s="6" t="s">
        <v>16</v>
      </c>
      <c r="D192" s="7" t="s">
        <v>746</v>
      </c>
      <c r="E192" s="8" t="s">
        <v>747</v>
      </c>
      <c r="F192" s="6" t="s">
        <v>748</v>
      </c>
      <c r="G192" s="9" t="str">
        <f aca="false">IF(A192=1,"_",IF(C192="_","???",C192))</f>
        <v>???</v>
      </c>
      <c r="H192" s="10" t="s">
        <v>16</v>
      </c>
      <c r="I192" s="11" t="s">
        <v>16</v>
      </c>
      <c r="J192" s="12"/>
    </row>
    <row r="193" customFormat="false" ht="60" hidden="false" customHeight="true" outlineLevel="0" collapsed="false">
      <c r="A193" s="6" t="s">
        <v>749</v>
      </c>
      <c r="B193" s="6" t="s">
        <v>33</v>
      </c>
      <c r="C193" s="6" t="s">
        <v>16</v>
      </c>
      <c r="D193" s="7" t="s">
        <v>746</v>
      </c>
      <c r="E193" s="8" t="s">
        <v>750</v>
      </c>
      <c r="F193" s="6" t="s">
        <v>751</v>
      </c>
      <c r="G193" s="9" t="str">
        <f aca="false">IF(A193=1,"_",IF(C193="_","???",C193))</f>
        <v>???</v>
      </c>
      <c r="H193" s="10" t="s">
        <v>16</v>
      </c>
      <c r="I193" s="11" t="s">
        <v>16</v>
      </c>
      <c r="J193" s="12"/>
    </row>
    <row r="194" customFormat="false" ht="60" hidden="false" customHeight="true" outlineLevel="0" collapsed="false">
      <c r="A194" s="6" t="s">
        <v>752</v>
      </c>
      <c r="B194" s="6" t="s">
        <v>50</v>
      </c>
      <c r="C194" s="6" t="s">
        <v>16</v>
      </c>
      <c r="D194" s="7" t="s">
        <v>753</v>
      </c>
      <c r="E194" s="8" t="s">
        <v>754</v>
      </c>
      <c r="F194" s="6" t="s">
        <v>755</v>
      </c>
      <c r="G194" s="9" t="str">
        <f aca="false">IF(A194=1,"_",IF(C194="_","???",C194))</f>
        <v>???</v>
      </c>
      <c r="H194" s="10" t="s">
        <v>16</v>
      </c>
      <c r="I194" s="11" t="s">
        <v>16</v>
      </c>
      <c r="J194" s="12"/>
    </row>
    <row r="195" customFormat="false" ht="60" hidden="false" customHeight="true" outlineLevel="0" collapsed="false">
      <c r="A195" s="6" t="s">
        <v>756</v>
      </c>
      <c r="B195" s="6" t="s">
        <v>10</v>
      </c>
      <c r="C195" s="6" t="s">
        <v>16</v>
      </c>
      <c r="D195" s="7" t="s">
        <v>499</v>
      </c>
      <c r="E195" s="8" t="s">
        <v>757</v>
      </c>
      <c r="F195" s="6" t="s">
        <v>758</v>
      </c>
      <c r="G195" s="9" t="str">
        <f aca="false">IF(A195=1,"_",IF(C195="_","???",C195))</f>
        <v>???</v>
      </c>
      <c r="H195" s="10" t="s">
        <v>16</v>
      </c>
      <c r="I195" s="11" t="s">
        <v>16</v>
      </c>
      <c r="J195" s="12"/>
    </row>
    <row r="196" customFormat="false" ht="60" hidden="false" customHeight="true" outlineLevel="0" collapsed="false">
      <c r="A196" s="6" t="s">
        <v>759</v>
      </c>
      <c r="B196" s="6" t="s">
        <v>10</v>
      </c>
      <c r="C196" s="6" t="s">
        <v>16</v>
      </c>
      <c r="D196" s="7" t="s">
        <v>760</v>
      </c>
      <c r="E196" s="8" t="s">
        <v>761</v>
      </c>
      <c r="F196" s="6" t="s">
        <v>762</v>
      </c>
      <c r="G196" s="9" t="str">
        <f aca="false">IF(A196=1,"_",IF(C196="_","???",C196))</f>
        <v>???</v>
      </c>
      <c r="H196" s="10" t="s">
        <v>16</v>
      </c>
      <c r="I196" s="11" t="s">
        <v>16</v>
      </c>
      <c r="J196" s="12"/>
    </row>
    <row r="197" customFormat="false" ht="60" hidden="false" customHeight="true" outlineLevel="0" collapsed="false">
      <c r="A197" s="6" t="s">
        <v>763</v>
      </c>
      <c r="B197" s="6" t="s">
        <v>17</v>
      </c>
      <c r="C197" s="6" t="s">
        <v>16</v>
      </c>
      <c r="D197" s="7" t="s">
        <v>764</v>
      </c>
      <c r="E197" s="8" t="s">
        <v>765</v>
      </c>
      <c r="F197" s="6" t="s">
        <v>766</v>
      </c>
      <c r="G197" s="9" t="str">
        <f aca="false">IF(A197=1,"_",IF(C197="_","???",C197))</f>
        <v>???</v>
      </c>
      <c r="H197" s="10" t="s">
        <v>16</v>
      </c>
      <c r="I197" s="11" t="s">
        <v>16</v>
      </c>
      <c r="J197" s="12"/>
    </row>
    <row r="198" customFormat="false" ht="60" hidden="false" customHeight="true" outlineLevel="0" collapsed="false">
      <c r="A198" s="6" t="s">
        <v>767</v>
      </c>
      <c r="B198" s="6" t="s">
        <v>27</v>
      </c>
      <c r="C198" s="6" t="s">
        <v>38</v>
      </c>
      <c r="D198" s="7" t="s">
        <v>768</v>
      </c>
      <c r="E198" s="8" t="s">
        <v>769</v>
      </c>
      <c r="F198" s="6" t="s">
        <v>770</v>
      </c>
      <c r="G198" s="9" t="str">
        <f aca="false">IF(A198=1,"_",IF(C198="_","???",C198))</f>
        <v>and?</v>
      </c>
      <c r="H198" s="10" t="s">
        <v>16</v>
      </c>
      <c r="I198" s="11" t="s">
        <v>16</v>
      </c>
      <c r="J198" s="12"/>
    </row>
    <row r="199" customFormat="false" ht="60" hidden="false" customHeight="true" outlineLevel="0" collapsed="false">
      <c r="A199" s="6" t="s">
        <v>771</v>
      </c>
      <c r="B199" s="6" t="s">
        <v>18</v>
      </c>
      <c r="C199" s="6" t="s">
        <v>16</v>
      </c>
      <c r="D199" s="7" t="s">
        <v>495</v>
      </c>
      <c r="E199" s="8" t="s">
        <v>772</v>
      </c>
      <c r="F199" s="6" t="s">
        <v>773</v>
      </c>
      <c r="G199" s="9" t="str">
        <f aca="false">IF(A199=1,"_",IF(C199="_","???",C199))</f>
        <v>???</v>
      </c>
      <c r="H199" s="10" t="s">
        <v>16</v>
      </c>
      <c r="I199" s="11" t="s">
        <v>16</v>
      </c>
      <c r="J199" s="12"/>
    </row>
    <row r="200" customFormat="false" ht="60" hidden="false" customHeight="true" outlineLevel="0" collapsed="false">
      <c r="A200" s="6" t="s">
        <v>774</v>
      </c>
      <c r="B200" s="6" t="s">
        <v>17</v>
      </c>
      <c r="C200" s="6" t="s">
        <v>16</v>
      </c>
      <c r="D200" s="7" t="s">
        <v>422</v>
      </c>
      <c r="E200" s="8" t="s">
        <v>775</v>
      </c>
      <c r="F200" s="6" t="s">
        <v>776</v>
      </c>
      <c r="G200" s="9" t="str">
        <f aca="false">IF(A200=1,"_",IF(C200="_","???",C200))</f>
        <v>???</v>
      </c>
      <c r="H200" s="10" t="s">
        <v>16</v>
      </c>
      <c r="I200" s="11" t="s">
        <v>16</v>
      </c>
      <c r="J200" s="12"/>
    </row>
    <row r="201" customFormat="false" ht="60" hidden="false" customHeight="true" outlineLevel="0" collapsed="false">
      <c r="A201" s="6" t="s">
        <v>777</v>
      </c>
      <c r="B201" s="6" t="s">
        <v>17</v>
      </c>
      <c r="C201" s="6" t="s">
        <v>16</v>
      </c>
      <c r="D201" s="7" t="s">
        <v>366</v>
      </c>
      <c r="E201" s="8" t="s">
        <v>778</v>
      </c>
      <c r="F201" s="6" t="s">
        <v>779</v>
      </c>
      <c r="G201" s="9" t="str">
        <f aca="false">IF(A201=1,"_",IF(C201="_","???",C201))</f>
        <v>???</v>
      </c>
      <c r="H201" s="10" t="s">
        <v>16</v>
      </c>
      <c r="I201" s="11" t="s">
        <v>16</v>
      </c>
      <c r="J201" s="12"/>
    </row>
    <row r="202" customFormat="false" ht="60" hidden="false" customHeight="true" outlineLevel="0" collapsed="false">
      <c r="A202" s="6" t="s">
        <v>780</v>
      </c>
      <c r="B202" s="6" t="s">
        <v>10</v>
      </c>
      <c r="C202" s="6" t="s">
        <v>16</v>
      </c>
      <c r="D202" s="7" t="s">
        <v>366</v>
      </c>
      <c r="E202" s="8" t="s">
        <v>781</v>
      </c>
      <c r="F202" s="6" t="s">
        <v>782</v>
      </c>
      <c r="G202" s="9" t="str">
        <f aca="false">IF(A202=1,"_",IF(C202="_","???",C202))</f>
        <v>???</v>
      </c>
      <c r="H202" s="10" t="s">
        <v>16</v>
      </c>
      <c r="I202" s="11" t="s">
        <v>16</v>
      </c>
      <c r="J202" s="12"/>
    </row>
    <row r="203" customFormat="false" ht="60" hidden="false" customHeight="true" outlineLevel="0" collapsed="false">
      <c r="A203" s="6" t="s">
        <v>783</v>
      </c>
      <c r="B203" s="6" t="s">
        <v>27</v>
      </c>
      <c r="C203" s="6" t="s">
        <v>16</v>
      </c>
      <c r="D203" s="7" t="s">
        <v>784</v>
      </c>
      <c r="E203" s="8" t="s">
        <v>785</v>
      </c>
      <c r="F203" s="6" t="s">
        <v>786</v>
      </c>
      <c r="G203" s="9" t="str">
        <f aca="false">IF(A203=1,"_",IF(C203="_","???",C203))</f>
        <v>???</v>
      </c>
      <c r="H203" s="10" t="s">
        <v>16</v>
      </c>
      <c r="I203" s="11" t="s">
        <v>16</v>
      </c>
      <c r="J203" s="12"/>
    </row>
    <row r="204" customFormat="false" ht="60" hidden="false" customHeight="true" outlineLevel="0" collapsed="false">
      <c r="A204" s="6" t="s">
        <v>787</v>
      </c>
      <c r="B204" s="6" t="s">
        <v>10</v>
      </c>
      <c r="C204" s="6" t="s">
        <v>16</v>
      </c>
      <c r="D204" s="7" t="s">
        <v>106</v>
      </c>
      <c r="E204" s="8" t="s">
        <v>788</v>
      </c>
      <c r="F204" s="6" t="s">
        <v>789</v>
      </c>
      <c r="G204" s="9" t="str">
        <f aca="false">IF(A204=1,"_",IF(C204="_","???",C204))</f>
        <v>???</v>
      </c>
      <c r="H204" s="10" t="s">
        <v>16</v>
      </c>
      <c r="I204" s="11" t="s">
        <v>16</v>
      </c>
      <c r="J204" s="12"/>
    </row>
    <row r="205" customFormat="false" ht="60" hidden="false" customHeight="true" outlineLevel="0" collapsed="false">
      <c r="A205" s="6" t="s">
        <v>790</v>
      </c>
      <c r="B205" s="6" t="s">
        <v>17</v>
      </c>
      <c r="C205" s="6" t="s">
        <v>38</v>
      </c>
      <c r="D205" s="7" t="s">
        <v>791</v>
      </c>
      <c r="E205" s="8" t="s">
        <v>792</v>
      </c>
      <c r="F205" s="6" t="s">
        <v>793</v>
      </c>
      <c r="G205" s="9" t="str">
        <f aca="false">IF(A205=1,"_",IF(C205="_","???",C205))</f>
        <v>and?</v>
      </c>
      <c r="H205" s="10" t="s">
        <v>16</v>
      </c>
      <c r="I205" s="11" t="s">
        <v>16</v>
      </c>
      <c r="J205" s="12"/>
    </row>
    <row r="206" customFormat="false" ht="60" hidden="false" customHeight="true" outlineLevel="0" collapsed="false">
      <c r="A206" s="6" t="s">
        <v>794</v>
      </c>
      <c r="B206" s="6" t="s">
        <v>27</v>
      </c>
      <c r="C206" s="6" t="s">
        <v>34</v>
      </c>
      <c r="D206" s="7" t="s">
        <v>795</v>
      </c>
      <c r="E206" s="8" t="s">
        <v>796</v>
      </c>
      <c r="F206" s="6" t="s">
        <v>797</v>
      </c>
      <c r="G206" s="9" t="str">
        <f aca="false">IF(A206=1,"_",IF(C206="_","???",C206))</f>
        <v>but?</v>
      </c>
      <c r="H206" s="10" t="s">
        <v>16</v>
      </c>
      <c r="I206" s="11" t="s">
        <v>16</v>
      </c>
      <c r="J206" s="12"/>
    </row>
    <row r="207" customFormat="false" ht="60" hidden="false" customHeight="true" outlineLevel="0" collapsed="false">
      <c r="A207" s="6" t="s">
        <v>798</v>
      </c>
      <c r="B207" s="6" t="s">
        <v>17</v>
      </c>
      <c r="C207" s="6" t="s">
        <v>38</v>
      </c>
      <c r="D207" s="7" t="s">
        <v>799</v>
      </c>
      <c r="E207" s="8" t="s">
        <v>800</v>
      </c>
      <c r="F207" s="6" t="s">
        <v>801</v>
      </c>
      <c r="G207" s="9" t="str">
        <f aca="false">IF(A207=1,"_",IF(C207="_","???",C207))</f>
        <v>and?</v>
      </c>
      <c r="H207" s="10" t="s">
        <v>16</v>
      </c>
      <c r="I207" s="11" t="s">
        <v>16</v>
      </c>
      <c r="J207" s="12"/>
    </row>
    <row r="208" customFormat="false" ht="60" hidden="false" customHeight="true" outlineLevel="0" collapsed="false">
      <c r="A208" s="6" t="s">
        <v>802</v>
      </c>
      <c r="B208" s="6" t="s">
        <v>18</v>
      </c>
      <c r="C208" s="6" t="s">
        <v>16</v>
      </c>
      <c r="D208" s="7" t="s">
        <v>803</v>
      </c>
      <c r="E208" s="8" t="s">
        <v>804</v>
      </c>
      <c r="F208" s="6" t="s">
        <v>805</v>
      </c>
      <c r="G208" s="9" t="str">
        <f aca="false">IF(A208=1,"_",IF(C208="_","???",C208))</f>
        <v>???</v>
      </c>
      <c r="H208" s="10" t="s">
        <v>16</v>
      </c>
      <c r="I208" s="11" t="s">
        <v>16</v>
      </c>
      <c r="J208" s="12"/>
    </row>
    <row r="209" customFormat="false" ht="60" hidden="false" customHeight="true" outlineLevel="0" collapsed="false">
      <c r="A209" s="6" t="s">
        <v>806</v>
      </c>
      <c r="B209" s="6" t="s">
        <v>17</v>
      </c>
      <c r="C209" s="6" t="s">
        <v>16</v>
      </c>
      <c r="D209" s="7" t="s">
        <v>370</v>
      </c>
      <c r="E209" s="8" t="s">
        <v>807</v>
      </c>
      <c r="F209" s="6" t="s">
        <v>808</v>
      </c>
      <c r="G209" s="9" t="str">
        <f aca="false">IF(A209=1,"_",IF(C209="_","???",C209))</f>
        <v>???</v>
      </c>
      <c r="H209" s="10" t="s">
        <v>16</v>
      </c>
      <c r="I209" s="11" t="s">
        <v>16</v>
      </c>
      <c r="J209" s="12"/>
    </row>
    <row r="210" customFormat="false" ht="60" hidden="false" customHeight="true" outlineLevel="0" collapsed="false">
      <c r="A210" s="6" t="s">
        <v>809</v>
      </c>
      <c r="B210" s="6" t="s">
        <v>64</v>
      </c>
      <c r="C210" s="6" t="s">
        <v>16</v>
      </c>
      <c r="D210" s="7" t="s">
        <v>123</v>
      </c>
      <c r="E210" s="8" t="s">
        <v>810</v>
      </c>
      <c r="F210" s="6" t="s">
        <v>811</v>
      </c>
      <c r="G210" s="9" t="str">
        <f aca="false">IF(A210=1,"_",IF(C210="_","???",C210))</f>
        <v>???</v>
      </c>
      <c r="H210" s="10" t="s">
        <v>16</v>
      </c>
      <c r="I210" s="11" t="s">
        <v>16</v>
      </c>
      <c r="J210" s="12"/>
    </row>
    <row r="211" customFormat="false" ht="60" hidden="false" customHeight="true" outlineLevel="0" collapsed="false">
      <c r="A211" s="6" t="s">
        <v>812</v>
      </c>
      <c r="B211" s="6" t="s">
        <v>28</v>
      </c>
      <c r="C211" s="6" t="s">
        <v>224</v>
      </c>
      <c r="D211" s="7" t="s">
        <v>813</v>
      </c>
      <c r="E211" s="8" t="s">
        <v>814</v>
      </c>
      <c r="F211" s="6" t="s">
        <v>815</v>
      </c>
      <c r="G211" s="9" t="str">
        <f aca="false">IF(A211=1,"_",IF(C211="_","???",C211))</f>
        <v>then?</v>
      </c>
      <c r="H211" s="10" t="s">
        <v>16</v>
      </c>
      <c r="I211" s="11" t="s">
        <v>16</v>
      </c>
      <c r="J211" s="12"/>
    </row>
    <row r="212" customFormat="false" ht="60" hidden="false" customHeight="true" outlineLevel="0" collapsed="false">
      <c r="A212" s="6" t="s">
        <v>816</v>
      </c>
      <c r="B212" s="6" t="s">
        <v>55</v>
      </c>
      <c r="C212" s="6" t="s">
        <v>38</v>
      </c>
      <c r="D212" s="7" t="s">
        <v>591</v>
      </c>
      <c r="E212" s="8" t="s">
        <v>817</v>
      </c>
      <c r="F212" s="6" t="s">
        <v>818</v>
      </c>
      <c r="G212" s="9" t="str">
        <f aca="false">IF(A212=1,"_",IF(C212="_","???",C212))</f>
        <v>and?</v>
      </c>
      <c r="H212" s="10" t="s">
        <v>16</v>
      </c>
      <c r="I212" s="11" t="s">
        <v>16</v>
      </c>
      <c r="J212" s="12"/>
    </row>
    <row r="213" customFormat="false" ht="60" hidden="false" customHeight="true" outlineLevel="0" collapsed="false">
      <c r="A213" s="6" t="s">
        <v>819</v>
      </c>
      <c r="B213" s="6" t="s">
        <v>18</v>
      </c>
      <c r="C213" s="6" t="s">
        <v>34</v>
      </c>
      <c r="D213" s="7" t="s">
        <v>185</v>
      </c>
      <c r="E213" s="8" t="s">
        <v>820</v>
      </c>
      <c r="F213" s="6" t="s">
        <v>821</v>
      </c>
      <c r="G213" s="9" t="str">
        <f aca="false">IF(A213=1,"_",IF(C213="_","???",C213))</f>
        <v>but?</v>
      </c>
      <c r="H213" s="10" t="s">
        <v>16</v>
      </c>
      <c r="I213" s="11" t="s">
        <v>16</v>
      </c>
      <c r="J213" s="12"/>
    </row>
    <row r="214" customFormat="false" ht="60" hidden="false" customHeight="true" outlineLevel="0" collapsed="false">
      <c r="A214" s="6" t="s">
        <v>822</v>
      </c>
      <c r="B214" s="6" t="s">
        <v>18</v>
      </c>
      <c r="C214" s="6" t="s">
        <v>16</v>
      </c>
      <c r="D214" s="7" t="s">
        <v>185</v>
      </c>
      <c r="E214" s="8" t="s">
        <v>823</v>
      </c>
      <c r="F214" s="6" t="s">
        <v>824</v>
      </c>
      <c r="G214" s="9" t="str">
        <f aca="false">IF(A214=1,"_",IF(C214="_","???",C214))</f>
        <v>???</v>
      </c>
      <c r="H214" s="10" t="s">
        <v>16</v>
      </c>
      <c r="I214" s="11" t="s">
        <v>16</v>
      </c>
      <c r="J214" s="12"/>
    </row>
    <row r="215" customFormat="false" ht="60" hidden="false" customHeight="true" outlineLevel="0" collapsed="false">
      <c r="A215" s="6" t="s">
        <v>825</v>
      </c>
      <c r="B215" s="6" t="s">
        <v>17</v>
      </c>
      <c r="C215" s="6" t="s">
        <v>16</v>
      </c>
      <c r="D215" s="7" t="s">
        <v>826</v>
      </c>
      <c r="E215" s="8" t="s">
        <v>827</v>
      </c>
      <c r="F215" s="6" t="s">
        <v>828</v>
      </c>
      <c r="G215" s="9" t="str">
        <f aca="false">IF(A215=1,"_",IF(C215="_","???",C215))</f>
        <v>???</v>
      </c>
      <c r="H215" s="10" t="s">
        <v>16</v>
      </c>
      <c r="I215" s="11" t="s">
        <v>16</v>
      </c>
      <c r="J215" s="12"/>
    </row>
    <row r="216" customFormat="false" ht="60" hidden="false" customHeight="true" outlineLevel="0" collapsed="false">
      <c r="A216" s="6" t="s">
        <v>829</v>
      </c>
      <c r="B216" s="6" t="s">
        <v>17</v>
      </c>
      <c r="C216" s="6" t="s">
        <v>16</v>
      </c>
      <c r="D216" s="7" t="s">
        <v>830</v>
      </c>
      <c r="E216" s="8" t="s">
        <v>831</v>
      </c>
      <c r="F216" s="6" t="s">
        <v>832</v>
      </c>
      <c r="G216" s="9" t="str">
        <f aca="false">IF(A216=1,"_",IF(C216="_","???",C216))</f>
        <v>???</v>
      </c>
      <c r="H216" s="10" t="s">
        <v>16</v>
      </c>
      <c r="I216" s="11" t="s">
        <v>16</v>
      </c>
      <c r="J216" s="12"/>
    </row>
    <row r="217" customFormat="false" ht="60" hidden="false" customHeight="true" outlineLevel="0" collapsed="false">
      <c r="A217" s="6" t="s">
        <v>833</v>
      </c>
      <c r="B217" s="6" t="s">
        <v>33</v>
      </c>
      <c r="C217" s="6" t="s">
        <v>16</v>
      </c>
      <c r="D217" s="7" t="s">
        <v>502</v>
      </c>
      <c r="E217" s="8" t="s">
        <v>834</v>
      </c>
      <c r="F217" s="6" t="s">
        <v>835</v>
      </c>
      <c r="G217" s="9" t="str">
        <f aca="false">IF(A217=1,"_",IF(C217="_","???",C217))</f>
        <v>???</v>
      </c>
      <c r="H217" s="10" t="s">
        <v>16</v>
      </c>
      <c r="I217" s="11" t="s">
        <v>16</v>
      </c>
      <c r="J217" s="12"/>
    </row>
    <row r="218" customFormat="false" ht="60" hidden="false" customHeight="true" outlineLevel="0" collapsed="false">
      <c r="A218" s="6" t="s">
        <v>836</v>
      </c>
      <c r="B218" s="6" t="s">
        <v>17</v>
      </c>
      <c r="C218" s="6" t="s">
        <v>16</v>
      </c>
      <c r="D218" s="7" t="s">
        <v>358</v>
      </c>
      <c r="E218" s="8" t="s">
        <v>837</v>
      </c>
      <c r="F218" s="6" t="s">
        <v>838</v>
      </c>
      <c r="G218" s="9" t="str">
        <f aca="false">IF(A218=1,"_",IF(C218="_","???",C218))</f>
        <v>???</v>
      </c>
      <c r="H218" s="10" t="s">
        <v>16</v>
      </c>
      <c r="I218" s="11" t="s">
        <v>16</v>
      </c>
      <c r="J218" s="12"/>
    </row>
    <row r="219" customFormat="false" ht="60" hidden="false" customHeight="true" outlineLevel="0" collapsed="false">
      <c r="A219" s="6" t="s">
        <v>839</v>
      </c>
      <c r="B219" s="6" t="s">
        <v>17</v>
      </c>
      <c r="C219" s="6" t="s">
        <v>16</v>
      </c>
      <c r="D219" s="7" t="s">
        <v>840</v>
      </c>
      <c r="E219" s="8" t="s">
        <v>841</v>
      </c>
      <c r="F219" s="6" t="s">
        <v>842</v>
      </c>
      <c r="G219" s="9" t="str">
        <f aca="false">IF(A219=1,"_",IF(C219="_","???",C219))</f>
        <v>???</v>
      </c>
      <c r="H219" s="10" t="s">
        <v>16</v>
      </c>
      <c r="I219" s="11" t="s">
        <v>16</v>
      </c>
      <c r="J219" s="12"/>
    </row>
    <row r="220" customFormat="false" ht="60" hidden="false" customHeight="true" outlineLevel="0" collapsed="false">
      <c r="A220" s="6" t="s">
        <v>843</v>
      </c>
      <c r="B220" s="6" t="s">
        <v>33</v>
      </c>
      <c r="C220" s="6" t="s">
        <v>16</v>
      </c>
      <c r="D220" s="7" t="s">
        <v>844</v>
      </c>
      <c r="E220" s="8" t="s">
        <v>845</v>
      </c>
      <c r="F220" s="6" t="s">
        <v>846</v>
      </c>
      <c r="G220" s="9" t="str">
        <f aca="false">IF(A220=1,"_",IF(C220="_","???",C220))</f>
        <v>???</v>
      </c>
      <c r="H220" s="10" t="s">
        <v>16</v>
      </c>
      <c r="I220" s="11" t="s">
        <v>16</v>
      </c>
      <c r="J220" s="12"/>
    </row>
    <row r="221" customFormat="false" ht="60" hidden="false" customHeight="true" outlineLevel="0" collapsed="false">
      <c r="A221" s="6" t="s">
        <v>847</v>
      </c>
      <c r="B221" s="6" t="s">
        <v>17</v>
      </c>
      <c r="C221" s="6" t="s">
        <v>38</v>
      </c>
      <c r="D221" s="7" t="s">
        <v>848</v>
      </c>
      <c r="E221" s="8" t="s">
        <v>849</v>
      </c>
      <c r="F221" s="6" t="s">
        <v>850</v>
      </c>
      <c r="G221" s="9" t="str">
        <f aca="false">IF(A221=1,"_",IF(C221="_","???",C221))</f>
        <v>and?</v>
      </c>
      <c r="H221" s="10" t="s">
        <v>16</v>
      </c>
      <c r="I221" s="11" t="s">
        <v>16</v>
      </c>
      <c r="J221" s="12"/>
    </row>
    <row r="222" customFormat="false" ht="60" hidden="false" customHeight="true" outlineLevel="0" collapsed="false">
      <c r="A222" s="6" t="s">
        <v>851</v>
      </c>
      <c r="B222" s="6" t="s">
        <v>17</v>
      </c>
      <c r="C222" s="6" t="s">
        <v>38</v>
      </c>
      <c r="D222" s="7" t="s">
        <v>852</v>
      </c>
      <c r="E222" s="8" t="s">
        <v>853</v>
      </c>
      <c r="F222" s="6" t="s">
        <v>854</v>
      </c>
      <c r="G222" s="9" t="str">
        <f aca="false">IF(A222=1,"_",IF(C222="_","???",C222))</f>
        <v>and?</v>
      </c>
      <c r="H222" s="10" t="s">
        <v>16</v>
      </c>
      <c r="I222" s="11" t="s">
        <v>16</v>
      </c>
      <c r="J222" s="12"/>
    </row>
    <row r="223" customFormat="false" ht="60" hidden="false" customHeight="true" outlineLevel="0" collapsed="false">
      <c r="A223" s="6" t="s">
        <v>855</v>
      </c>
      <c r="B223" s="6" t="s">
        <v>60</v>
      </c>
      <c r="C223" s="6" t="s">
        <v>34</v>
      </c>
      <c r="D223" s="7" t="s">
        <v>856</v>
      </c>
      <c r="E223" s="8" t="s">
        <v>857</v>
      </c>
      <c r="F223" s="6" t="s">
        <v>858</v>
      </c>
      <c r="G223" s="9" t="str">
        <f aca="false">IF(A223=1,"_",IF(C223="_","???",C223))</f>
        <v>but?</v>
      </c>
      <c r="H223" s="10" t="s">
        <v>16</v>
      </c>
      <c r="I223" s="11" t="s">
        <v>16</v>
      </c>
      <c r="J223" s="12"/>
    </row>
    <row r="224" customFormat="false" ht="60" hidden="false" customHeight="true" outlineLevel="0" collapsed="false">
      <c r="A224" s="6" t="s">
        <v>859</v>
      </c>
      <c r="B224" s="6" t="s">
        <v>33</v>
      </c>
      <c r="C224" s="6" t="s">
        <v>16</v>
      </c>
      <c r="D224" s="7" t="s">
        <v>106</v>
      </c>
      <c r="E224" s="8" t="s">
        <v>860</v>
      </c>
      <c r="F224" s="6" t="s">
        <v>861</v>
      </c>
      <c r="G224" s="9" t="str">
        <f aca="false">IF(A224=1,"_",IF(C224="_","???",C224))</f>
        <v>???</v>
      </c>
      <c r="H224" s="10" t="s">
        <v>16</v>
      </c>
      <c r="I224" s="11" t="s">
        <v>16</v>
      </c>
      <c r="J224" s="12"/>
    </row>
    <row r="225" customFormat="false" ht="60" hidden="false" customHeight="true" outlineLevel="0" collapsed="false">
      <c r="A225" s="6" t="s">
        <v>862</v>
      </c>
      <c r="B225" s="6" t="s">
        <v>17</v>
      </c>
      <c r="C225" s="6" t="s">
        <v>16</v>
      </c>
      <c r="D225" s="7" t="s">
        <v>863</v>
      </c>
      <c r="E225" s="8" t="s">
        <v>864</v>
      </c>
      <c r="F225" s="6" t="s">
        <v>865</v>
      </c>
      <c r="G225" s="9" t="str">
        <f aca="false">IF(A225=1,"_",IF(C225="_","???",C225))</f>
        <v>???</v>
      </c>
      <c r="H225" s="10" t="s">
        <v>16</v>
      </c>
      <c r="I225" s="11" t="s">
        <v>16</v>
      </c>
      <c r="J225" s="12"/>
    </row>
    <row r="226" customFormat="false" ht="60" hidden="false" customHeight="true" outlineLevel="0" collapsed="false">
      <c r="A226" s="6" t="s">
        <v>866</v>
      </c>
      <c r="B226" s="6" t="s">
        <v>28</v>
      </c>
      <c r="C226" s="6" t="s">
        <v>331</v>
      </c>
      <c r="D226" s="7" t="s">
        <v>867</v>
      </c>
      <c r="E226" s="8" t="s">
        <v>868</v>
      </c>
      <c r="F226" s="6" t="s">
        <v>869</v>
      </c>
      <c r="G226" s="9" t="str">
        <f aca="false">IF(A226=1,"_",IF(C226="_","???",C226))</f>
        <v>if?</v>
      </c>
      <c r="H226" s="10" t="s">
        <v>16</v>
      </c>
      <c r="I226" s="11" t="s">
        <v>16</v>
      </c>
      <c r="J226" s="12"/>
    </row>
    <row r="227" customFormat="false" ht="60" hidden="false" customHeight="true" outlineLevel="0" collapsed="false">
      <c r="A227" s="6" t="s">
        <v>870</v>
      </c>
      <c r="B227" s="6" t="s">
        <v>22</v>
      </c>
      <c r="C227" s="6" t="s">
        <v>12</v>
      </c>
      <c r="D227" s="7" t="s">
        <v>576</v>
      </c>
      <c r="E227" s="8" t="s">
        <v>871</v>
      </c>
      <c r="F227" s="6" t="s">
        <v>872</v>
      </c>
      <c r="G227" s="9" t="str">
        <f aca="false">IF(A227=1,"_",IF(C227="_","???",C227))</f>
        <v>indeed?</v>
      </c>
      <c r="H227" s="10" t="s">
        <v>16</v>
      </c>
      <c r="I227" s="11" t="s">
        <v>16</v>
      </c>
      <c r="J227" s="12"/>
    </row>
    <row r="228" customFormat="false" ht="60" hidden="false" customHeight="true" outlineLevel="0" collapsed="false">
      <c r="A228" s="6" t="s">
        <v>873</v>
      </c>
      <c r="B228" s="6" t="s">
        <v>17</v>
      </c>
      <c r="C228" s="6" t="s">
        <v>16</v>
      </c>
      <c r="D228" s="7" t="s">
        <v>874</v>
      </c>
      <c r="E228" s="8" t="s">
        <v>875</v>
      </c>
      <c r="F228" s="6" t="s">
        <v>876</v>
      </c>
      <c r="G228" s="9" t="str">
        <f aca="false">IF(A228=1,"_",IF(C228="_","???",C228))</f>
        <v>???</v>
      </c>
      <c r="H228" s="10" t="s">
        <v>16</v>
      </c>
      <c r="I228" s="11" t="s">
        <v>16</v>
      </c>
      <c r="J228" s="12"/>
    </row>
    <row r="229" customFormat="false" ht="60" hidden="false" customHeight="true" outlineLevel="0" collapsed="false">
      <c r="A229" s="6" t="s">
        <v>877</v>
      </c>
      <c r="B229" s="6" t="s">
        <v>18</v>
      </c>
      <c r="C229" s="6" t="s">
        <v>878</v>
      </c>
      <c r="D229" s="7" t="s">
        <v>303</v>
      </c>
      <c r="E229" s="8" t="s">
        <v>879</v>
      </c>
      <c r="F229" s="6" t="s">
        <v>880</v>
      </c>
      <c r="G229" s="9" t="str">
        <f aca="false">IF(A229=1,"_",IF(C229="_","???",C229))</f>
        <v>meanwhile?</v>
      </c>
      <c r="H229" s="10" t="s">
        <v>16</v>
      </c>
      <c r="I229" s="11" t="s">
        <v>16</v>
      </c>
      <c r="J229" s="12"/>
    </row>
    <row r="230" customFormat="false" ht="60" hidden="false" customHeight="true" outlineLevel="0" collapsed="false">
      <c r="A230" s="6" t="s">
        <v>881</v>
      </c>
      <c r="B230" s="6" t="s">
        <v>55</v>
      </c>
      <c r="C230" s="6" t="s">
        <v>34</v>
      </c>
      <c r="D230" s="7" t="s">
        <v>882</v>
      </c>
      <c r="E230" s="8" t="s">
        <v>883</v>
      </c>
      <c r="F230" s="6" t="s">
        <v>884</v>
      </c>
      <c r="G230" s="9" t="str">
        <f aca="false">IF(A230=1,"_",IF(C230="_","???",C230))</f>
        <v>but?</v>
      </c>
      <c r="H230" s="10" t="s">
        <v>16</v>
      </c>
      <c r="I230" s="11" t="s">
        <v>16</v>
      </c>
      <c r="J230" s="12"/>
    </row>
    <row r="231" customFormat="false" ht="60" hidden="false" customHeight="true" outlineLevel="0" collapsed="false">
      <c r="A231" s="6" t="s">
        <v>885</v>
      </c>
      <c r="B231" s="6" t="s">
        <v>55</v>
      </c>
      <c r="C231" s="6" t="s">
        <v>290</v>
      </c>
      <c r="D231" s="7" t="s">
        <v>886</v>
      </c>
      <c r="E231" s="8" t="s">
        <v>887</v>
      </c>
      <c r="F231" s="6" t="s">
        <v>888</v>
      </c>
      <c r="G231" s="9" t="str">
        <f aca="false">IF(A231=1,"_",IF(C231="_","???",C231))</f>
        <v>before?</v>
      </c>
      <c r="H231" s="10" t="s">
        <v>16</v>
      </c>
      <c r="I231" s="11" t="s">
        <v>16</v>
      </c>
      <c r="J231" s="12"/>
    </row>
    <row r="232" customFormat="false" ht="60" hidden="false" customHeight="true" outlineLevel="0" collapsed="false">
      <c r="A232" s="6" t="s">
        <v>889</v>
      </c>
      <c r="B232" s="6" t="s">
        <v>22</v>
      </c>
      <c r="C232" s="6" t="s">
        <v>16</v>
      </c>
      <c r="D232" s="7" t="s">
        <v>890</v>
      </c>
      <c r="E232" s="8" t="s">
        <v>891</v>
      </c>
      <c r="F232" s="6" t="s">
        <v>892</v>
      </c>
      <c r="G232" s="9" t="str">
        <f aca="false">IF(A232=1,"_",IF(C232="_","???",C232))</f>
        <v>???</v>
      </c>
      <c r="H232" s="10" t="s">
        <v>16</v>
      </c>
      <c r="I232" s="11" t="s">
        <v>16</v>
      </c>
      <c r="J232" s="12"/>
    </row>
    <row r="233" customFormat="false" ht="60" hidden="false" customHeight="true" outlineLevel="0" collapsed="false">
      <c r="A233" s="6" t="s">
        <v>893</v>
      </c>
      <c r="B233" s="6" t="s">
        <v>27</v>
      </c>
      <c r="C233" s="6" t="s">
        <v>38</v>
      </c>
      <c r="D233" s="7" t="s">
        <v>19</v>
      </c>
      <c r="E233" s="8" t="s">
        <v>894</v>
      </c>
      <c r="F233" s="6" t="s">
        <v>895</v>
      </c>
      <c r="G233" s="9" t="str">
        <f aca="false">IF(A233=1,"_",IF(C233="_","???",C233))</f>
        <v>and?</v>
      </c>
      <c r="H233" s="10" t="s">
        <v>16</v>
      </c>
      <c r="I233" s="11" t="s">
        <v>16</v>
      </c>
      <c r="J233" s="12"/>
    </row>
    <row r="234" customFormat="false" ht="60" hidden="false" customHeight="true" outlineLevel="0" collapsed="false">
      <c r="A234" s="6" t="s">
        <v>896</v>
      </c>
      <c r="B234" s="6" t="s">
        <v>11</v>
      </c>
      <c r="C234" s="6" t="s">
        <v>38</v>
      </c>
      <c r="D234" s="7" t="s">
        <v>897</v>
      </c>
      <c r="E234" s="8" t="s">
        <v>898</v>
      </c>
      <c r="F234" s="6" t="s">
        <v>899</v>
      </c>
      <c r="G234" s="9" t="str">
        <f aca="false">IF(A234=1,"_",IF(C234="_","???",C234))</f>
        <v>and?</v>
      </c>
      <c r="H234" s="10" t="s">
        <v>16</v>
      </c>
      <c r="I234" s="11" t="s">
        <v>16</v>
      </c>
      <c r="J234" s="12"/>
    </row>
    <row r="235" customFormat="false" ht="60" hidden="false" customHeight="true" outlineLevel="0" collapsed="false">
      <c r="A235" s="6" t="s">
        <v>900</v>
      </c>
      <c r="B235" s="6" t="s">
        <v>76</v>
      </c>
      <c r="C235" s="6" t="s">
        <v>16</v>
      </c>
      <c r="D235" s="7" t="s">
        <v>901</v>
      </c>
      <c r="E235" s="8" t="s">
        <v>902</v>
      </c>
      <c r="F235" s="6" t="s">
        <v>903</v>
      </c>
      <c r="G235" s="9" t="str">
        <f aca="false">IF(A235=1,"_",IF(C235="_","???",C235))</f>
        <v>???</v>
      </c>
      <c r="H235" s="10" t="s">
        <v>16</v>
      </c>
      <c r="I235" s="11" t="s">
        <v>16</v>
      </c>
      <c r="J235" s="12"/>
    </row>
    <row r="236" customFormat="false" ht="60" hidden="false" customHeight="true" outlineLevel="0" collapsed="false">
      <c r="A236" s="6" t="s">
        <v>904</v>
      </c>
      <c r="B236" s="6" t="s">
        <v>17</v>
      </c>
      <c r="C236" s="6" t="s">
        <v>16</v>
      </c>
      <c r="D236" s="7" t="s">
        <v>303</v>
      </c>
      <c r="E236" s="8" t="s">
        <v>905</v>
      </c>
      <c r="F236" s="6" t="s">
        <v>906</v>
      </c>
      <c r="G236" s="9" t="str">
        <f aca="false">IF(A236=1,"_",IF(C236="_","???",C236))</f>
        <v>???</v>
      </c>
      <c r="H236" s="10" t="s">
        <v>16</v>
      </c>
      <c r="I236" s="11" t="s">
        <v>16</v>
      </c>
      <c r="J236" s="12"/>
    </row>
    <row r="237" customFormat="false" ht="60" hidden="false" customHeight="true" outlineLevel="0" collapsed="false">
      <c r="A237" s="6" t="s">
        <v>907</v>
      </c>
      <c r="B237" s="6" t="s">
        <v>28</v>
      </c>
      <c r="C237" s="6" t="s">
        <v>38</v>
      </c>
      <c r="D237" s="7" t="s">
        <v>908</v>
      </c>
      <c r="E237" s="8" t="s">
        <v>909</v>
      </c>
      <c r="F237" s="6" t="s">
        <v>910</v>
      </c>
      <c r="G237" s="9" t="str">
        <f aca="false">IF(A237=1,"_",IF(C237="_","???",C237))</f>
        <v>and?</v>
      </c>
      <c r="H237" s="10" t="s">
        <v>16</v>
      </c>
      <c r="I237" s="11" t="s">
        <v>16</v>
      </c>
      <c r="J237" s="12"/>
    </row>
    <row r="238" customFormat="false" ht="60" hidden="false" customHeight="true" outlineLevel="0" collapsed="false">
      <c r="A238" s="6" t="s">
        <v>911</v>
      </c>
      <c r="B238" s="6" t="s">
        <v>10</v>
      </c>
      <c r="C238" s="6" t="s">
        <v>65</v>
      </c>
      <c r="D238" s="7" t="s">
        <v>912</v>
      </c>
      <c r="E238" s="8" t="s">
        <v>913</v>
      </c>
      <c r="F238" s="6" t="s">
        <v>914</v>
      </c>
      <c r="G238" s="9" t="str">
        <f aca="false">IF(A238=1,"_",IF(C238="_","???",C238))</f>
        <v>while?</v>
      </c>
      <c r="H238" s="10" t="s">
        <v>16</v>
      </c>
      <c r="I238" s="11" t="s">
        <v>16</v>
      </c>
      <c r="J238" s="12"/>
    </row>
    <row r="239" customFormat="false" ht="60" hidden="false" customHeight="true" outlineLevel="0" collapsed="false">
      <c r="A239" s="6" t="s">
        <v>915</v>
      </c>
      <c r="B239" s="6" t="s">
        <v>17</v>
      </c>
      <c r="C239" s="6" t="s">
        <v>38</v>
      </c>
      <c r="D239" s="7" t="s">
        <v>916</v>
      </c>
      <c r="E239" s="8" t="s">
        <v>917</v>
      </c>
      <c r="F239" s="6" t="s">
        <v>918</v>
      </c>
      <c r="G239" s="9" t="str">
        <f aca="false">IF(A239=1,"_",IF(C239="_","???",C239))</f>
        <v>and?</v>
      </c>
      <c r="H239" s="10" t="s">
        <v>16</v>
      </c>
      <c r="I239" s="11" t="s">
        <v>16</v>
      </c>
      <c r="J239" s="12"/>
    </row>
    <row r="240" customFormat="false" ht="60" hidden="false" customHeight="true" outlineLevel="0" collapsed="false">
      <c r="A240" s="6" t="s">
        <v>919</v>
      </c>
      <c r="B240" s="6" t="s">
        <v>27</v>
      </c>
      <c r="C240" s="6" t="s">
        <v>531</v>
      </c>
      <c r="D240" s="7" t="s">
        <v>106</v>
      </c>
      <c r="E240" s="8" t="s">
        <v>920</v>
      </c>
      <c r="F240" s="6" t="s">
        <v>921</v>
      </c>
      <c r="G240" s="9" t="str">
        <f aca="false">IF(A240=1,"_",IF(C240="_","???",C240))</f>
        <v>once?</v>
      </c>
      <c r="H240" s="10" t="s">
        <v>16</v>
      </c>
      <c r="I240" s="11" t="s">
        <v>16</v>
      </c>
      <c r="J240" s="12"/>
    </row>
    <row r="241" customFormat="false" ht="60" hidden="false" customHeight="true" outlineLevel="0" collapsed="false">
      <c r="A241" s="6" t="s">
        <v>922</v>
      </c>
      <c r="B241" s="6" t="s">
        <v>101</v>
      </c>
      <c r="C241" s="6" t="s">
        <v>16</v>
      </c>
      <c r="D241" s="7" t="s">
        <v>923</v>
      </c>
      <c r="E241" s="8" t="s">
        <v>924</v>
      </c>
      <c r="F241" s="6" t="s">
        <v>925</v>
      </c>
      <c r="G241" s="9" t="str">
        <f aca="false">IF(A241=1,"_",IF(C241="_","???",C241))</f>
        <v>???</v>
      </c>
      <c r="H241" s="10" t="s">
        <v>16</v>
      </c>
      <c r="I241" s="11" t="s">
        <v>16</v>
      </c>
      <c r="J241" s="12"/>
    </row>
    <row r="242" customFormat="false" ht="60" hidden="false" customHeight="true" outlineLevel="0" collapsed="false">
      <c r="A242" s="6" t="s">
        <v>926</v>
      </c>
      <c r="B242" s="6" t="s">
        <v>17</v>
      </c>
      <c r="C242" s="6" t="s">
        <v>38</v>
      </c>
      <c r="D242" s="7" t="s">
        <v>716</v>
      </c>
      <c r="E242" s="8" t="s">
        <v>927</v>
      </c>
      <c r="F242" s="6" t="s">
        <v>928</v>
      </c>
      <c r="G242" s="9" t="str">
        <f aca="false">IF(A242=1,"_",IF(C242="_","???",C242))</f>
        <v>and?</v>
      </c>
      <c r="H242" s="10" t="s">
        <v>16</v>
      </c>
      <c r="I242" s="11" t="s">
        <v>16</v>
      </c>
      <c r="J242" s="12"/>
    </row>
    <row r="243" customFormat="false" ht="60" hidden="false" customHeight="true" outlineLevel="0" collapsed="false">
      <c r="A243" s="6" t="s">
        <v>929</v>
      </c>
      <c r="B243" s="6" t="s">
        <v>17</v>
      </c>
      <c r="C243" s="6" t="s">
        <v>16</v>
      </c>
      <c r="D243" s="7" t="s">
        <v>358</v>
      </c>
      <c r="E243" s="8" t="s">
        <v>930</v>
      </c>
      <c r="F243" s="6" t="s">
        <v>931</v>
      </c>
      <c r="G243" s="9" t="str">
        <f aca="false">IF(A243=1,"_",IF(C243="_","???",C243))</f>
        <v>???</v>
      </c>
      <c r="H243" s="10" t="s">
        <v>16</v>
      </c>
      <c r="I243" s="11" t="s">
        <v>16</v>
      </c>
      <c r="J243" s="12"/>
    </row>
    <row r="244" customFormat="false" ht="60" hidden="false" customHeight="true" outlineLevel="0" collapsed="false">
      <c r="A244" s="6" t="s">
        <v>932</v>
      </c>
      <c r="B244" s="6" t="s">
        <v>28</v>
      </c>
      <c r="C244" s="6" t="s">
        <v>16</v>
      </c>
      <c r="D244" s="7" t="s">
        <v>933</v>
      </c>
      <c r="E244" s="8" t="s">
        <v>934</v>
      </c>
      <c r="F244" s="6" t="s">
        <v>935</v>
      </c>
      <c r="G244" s="9" t="str">
        <f aca="false">IF(A244=1,"_",IF(C244="_","???",C244))</f>
        <v>???</v>
      </c>
      <c r="H244" s="10" t="s">
        <v>16</v>
      </c>
      <c r="I244" s="11" t="s">
        <v>16</v>
      </c>
      <c r="J244" s="12"/>
    </row>
    <row r="245" customFormat="false" ht="60" hidden="false" customHeight="true" outlineLevel="0" collapsed="false">
      <c r="A245" s="6" t="s">
        <v>936</v>
      </c>
      <c r="B245" s="6" t="s">
        <v>55</v>
      </c>
      <c r="C245" s="6" t="s">
        <v>16</v>
      </c>
      <c r="D245" s="7" t="s">
        <v>123</v>
      </c>
      <c r="E245" s="8" t="s">
        <v>937</v>
      </c>
      <c r="F245" s="6" t="s">
        <v>938</v>
      </c>
      <c r="G245" s="9" t="str">
        <f aca="false">IF(A245=1,"_",IF(C245="_","???",C245))</f>
        <v>???</v>
      </c>
      <c r="H245" s="10" t="s">
        <v>16</v>
      </c>
      <c r="I245" s="11" t="s">
        <v>16</v>
      </c>
      <c r="J245" s="12"/>
    </row>
    <row r="246" customFormat="false" ht="60" hidden="false" customHeight="true" outlineLevel="0" collapsed="false">
      <c r="A246" s="6" t="s">
        <v>939</v>
      </c>
      <c r="B246" s="6" t="s">
        <v>18</v>
      </c>
      <c r="C246" s="6" t="s">
        <v>16</v>
      </c>
      <c r="D246" s="7" t="s">
        <v>185</v>
      </c>
      <c r="E246" s="8" t="s">
        <v>940</v>
      </c>
      <c r="F246" s="6" t="s">
        <v>941</v>
      </c>
      <c r="G246" s="9" t="str">
        <f aca="false">IF(A246=1,"_",IF(C246="_","???",C246))</f>
        <v>???</v>
      </c>
      <c r="H246" s="10" t="s">
        <v>16</v>
      </c>
      <c r="I246" s="11" t="s">
        <v>16</v>
      </c>
      <c r="J246" s="12"/>
    </row>
    <row r="247" customFormat="false" ht="60" hidden="false" customHeight="true" outlineLevel="0" collapsed="false">
      <c r="A247" s="6" t="s">
        <v>942</v>
      </c>
      <c r="B247" s="6" t="s">
        <v>17</v>
      </c>
      <c r="C247" s="6" t="s">
        <v>16</v>
      </c>
      <c r="D247" s="7" t="s">
        <v>943</v>
      </c>
      <c r="E247" s="8" t="s">
        <v>944</v>
      </c>
      <c r="F247" s="6" t="s">
        <v>945</v>
      </c>
      <c r="G247" s="9" t="str">
        <f aca="false">IF(A247=1,"_",IF(C247="_","???",C247))</f>
        <v>???</v>
      </c>
      <c r="H247" s="10" t="s">
        <v>16</v>
      </c>
      <c r="I247" s="11" t="s">
        <v>16</v>
      </c>
      <c r="J247" s="12"/>
    </row>
    <row r="248" customFormat="false" ht="60" hidden="false" customHeight="true" outlineLevel="0" collapsed="false">
      <c r="A248" s="6" t="s">
        <v>946</v>
      </c>
      <c r="B248" s="6" t="s">
        <v>17</v>
      </c>
      <c r="C248" s="6" t="s">
        <v>16</v>
      </c>
      <c r="D248" s="7" t="s">
        <v>947</v>
      </c>
      <c r="E248" s="8" t="s">
        <v>948</v>
      </c>
      <c r="F248" s="6" t="s">
        <v>949</v>
      </c>
      <c r="G248" s="9" t="str">
        <f aca="false">IF(A248=1,"_",IF(C248="_","???",C248))</f>
        <v>???</v>
      </c>
      <c r="H248" s="10" t="s">
        <v>16</v>
      </c>
      <c r="I248" s="11" t="s">
        <v>16</v>
      </c>
      <c r="J248" s="12"/>
    </row>
    <row r="249" customFormat="false" ht="60" hidden="false" customHeight="true" outlineLevel="0" collapsed="false">
      <c r="A249" s="6" t="s">
        <v>950</v>
      </c>
      <c r="B249" s="6" t="s">
        <v>17</v>
      </c>
      <c r="C249" s="6" t="s">
        <v>56</v>
      </c>
      <c r="D249" s="7" t="s">
        <v>951</v>
      </c>
      <c r="E249" s="8" t="s">
        <v>952</v>
      </c>
      <c r="F249" s="6" t="s">
        <v>953</v>
      </c>
      <c r="G249" s="9" t="str">
        <f aca="false">IF(A249=1,"_",IF(C249="_","???",C249))</f>
        <v>after?</v>
      </c>
      <c r="H249" s="10" t="s">
        <v>16</v>
      </c>
      <c r="I249" s="11" t="s">
        <v>16</v>
      </c>
      <c r="J249" s="12"/>
    </row>
    <row r="250" customFormat="false" ht="60" hidden="false" customHeight="true" outlineLevel="0" collapsed="false">
      <c r="A250" s="6" t="s">
        <v>954</v>
      </c>
      <c r="B250" s="6" t="s">
        <v>17</v>
      </c>
      <c r="C250" s="6" t="s">
        <v>611</v>
      </c>
      <c r="D250" s="7" t="s">
        <v>955</v>
      </c>
      <c r="E250" s="8" t="s">
        <v>956</v>
      </c>
      <c r="F250" s="6" t="s">
        <v>957</v>
      </c>
      <c r="G250" s="9" t="str">
        <f aca="false">IF(A250=1,"_",IF(C250="_","???",C250))</f>
        <v>still?</v>
      </c>
      <c r="H250" s="10" t="s">
        <v>16</v>
      </c>
      <c r="I250" s="11" t="s">
        <v>16</v>
      </c>
      <c r="J250" s="12"/>
    </row>
    <row r="251" customFormat="false" ht="60" hidden="false" customHeight="true" outlineLevel="0" collapsed="false">
      <c r="A251" s="6" t="s">
        <v>958</v>
      </c>
      <c r="B251" s="6" t="s">
        <v>18</v>
      </c>
      <c r="C251" s="6" t="s">
        <v>38</v>
      </c>
      <c r="D251" s="7" t="s">
        <v>959</v>
      </c>
      <c r="E251" s="8" t="s">
        <v>960</v>
      </c>
      <c r="F251" s="6" t="s">
        <v>961</v>
      </c>
      <c r="G251" s="9" t="str">
        <f aca="false">IF(A251=1,"_",IF(C251="_","???",C251))</f>
        <v>and?</v>
      </c>
      <c r="H251" s="10" t="s">
        <v>16</v>
      </c>
      <c r="I251" s="11" t="s">
        <v>16</v>
      </c>
      <c r="J251" s="12"/>
    </row>
    <row r="252" customFormat="false" ht="60" hidden="false" customHeight="true" outlineLevel="0" collapsed="false">
      <c r="A252" s="6" t="s">
        <v>962</v>
      </c>
      <c r="B252" s="6" t="s">
        <v>17</v>
      </c>
      <c r="C252" s="6" t="s">
        <v>16</v>
      </c>
      <c r="D252" s="7" t="s">
        <v>169</v>
      </c>
      <c r="E252" s="8" t="s">
        <v>963</v>
      </c>
      <c r="F252" s="6" t="s">
        <v>964</v>
      </c>
      <c r="G252" s="9" t="str">
        <f aca="false">IF(A252=1,"_",IF(C252="_","???",C252))</f>
        <v>???</v>
      </c>
      <c r="H252" s="10" t="s">
        <v>16</v>
      </c>
      <c r="I252" s="11" t="s">
        <v>16</v>
      </c>
      <c r="J252" s="12"/>
    </row>
    <row r="253" customFormat="false" ht="60" hidden="false" customHeight="true" outlineLevel="0" collapsed="false">
      <c r="A253" s="6" t="s">
        <v>965</v>
      </c>
      <c r="B253" s="6" t="s">
        <v>17</v>
      </c>
      <c r="C253" s="6" t="s">
        <v>966</v>
      </c>
      <c r="D253" s="7" t="s">
        <v>967</v>
      </c>
      <c r="E253" s="8" t="s">
        <v>968</v>
      </c>
      <c r="F253" s="6" t="s">
        <v>969</v>
      </c>
      <c r="G253" s="9" t="str">
        <f aca="false">IF(A253=1,"_",IF(C253="_","???",C253))</f>
        <v>though?</v>
      </c>
      <c r="H253" s="10" t="s">
        <v>16</v>
      </c>
      <c r="I253" s="11" t="s">
        <v>16</v>
      </c>
      <c r="J253" s="12"/>
    </row>
    <row r="254" customFormat="false" ht="60" hidden="false" customHeight="true" outlineLevel="0" collapsed="false">
      <c r="A254" s="6" t="s">
        <v>970</v>
      </c>
      <c r="B254" s="6" t="s">
        <v>17</v>
      </c>
      <c r="C254" s="6" t="s">
        <v>34</v>
      </c>
      <c r="D254" s="7" t="s">
        <v>185</v>
      </c>
      <c r="E254" s="8" t="s">
        <v>971</v>
      </c>
      <c r="F254" s="6" t="s">
        <v>972</v>
      </c>
      <c r="G254" s="9" t="str">
        <f aca="false">IF(A254=1,"_",IF(C254="_","???",C254))</f>
        <v>but?</v>
      </c>
      <c r="H254" s="10" t="s">
        <v>16</v>
      </c>
      <c r="I254" s="11" t="s">
        <v>16</v>
      </c>
      <c r="J254" s="12"/>
    </row>
    <row r="255" customFormat="false" ht="60" hidden="false" customHeight="true" outlineLevel="0" collapsed="false">
      <c r="A255" s="6" t="s">
        <v>973</v>
      </c>
      <c r="B255" s="6" t="s">
        <v>28</v>
      </c>
      <c r="C255" s="6" t="s">
        <v>34</v>
      </c>
      <c r="D255" s="7" t="s">
        <v>974</v>
      </c>
      <c r="E255" s="8" t="s">
        <v>975</v>
      </c>
      <c r="F255" s="6" t="s">
        <v>976</v>
      </c>
      <c r="G255" s="9" t="str">
        <f aca="false">IF(A255=1,"_",IF(C255="_","???",C255))</f>
        <v>but?</v>
      </c>
      <c r="H255" s="10" t="s">
        <v>16</v>
      </c>
      <c r="I255" s="11" t="s">
        <v>16</v>
      </c>
      <c r="J255" s="12"/>
    </row>
    <row r="256" customFormat="false" ht="60" hidden="false" customHeight="true" outlineLevel="0" collapsed="false">
      <c r="A256" s="6" t="s">
        <v>977</v>
      </c>
      <c r="B256" s="6" t="s">
        <v>64</v>
      </c>
      <c r="C256" s="6" t="s">
        <v>224</v>
      </c>
      <c r="D256" s="7" t="s">
        <v>978</v>
      </c>
      <c r="E256" s="8" t="s">
        <v>979</v>
      </c>
      <c r="F256" s="6" t="s">
        <v>980</v>
      </c>
      <c r="G256" s="9" t="str">
        <f aca="false">IF(A256=1,"_",IF(C256="_","???",C256))</f>
        <v>then?</v>
      </c>
      <c r="H256" s="10" t="s">
        <v>16</v>
      </c>
      <c r="I256" s="11" t="s">
        <v>16</v>
      </c>
      <c r="J256" s="12"/>
    </row>
    <row r="257" customFormat="false" ht="60" hidden="false" customHeight="true" outlineLevel="0" collapsed="false">
      <c r="A257" s="6" t="s">
        <v>981</v>
      </c>
      <c r="B257" s="6" t="s">
        <v>156</v>
      </c>
      <c r="C257" s="6" t="s">
        <v>38</v>
      </c>
      <c r="D257" s="7" t="s">
        <v>982</v>
      </c>
      <c r="E257" s="8" t="s">
        <v>983</v>
      </c>
      <c r="F257" s="6" t="s">
        <v>984</v>
      </c>
      <c r="G257" s="9" t="str">
        <f aca="false">IF(A257=1,"_",IF(C257="_","???",C257))</f>
        <v>and?</v>
      </c>
      <c r="H257" s="10" t="s">
        <v>16</v>
      </c>
      <c r="I257" s="11" t="s">
        <v>16</v>
      </c>
      <c r="J257" s="12"/>
    </row>
    <row r="258" customFormat="false" ht="60" hidden="false" customHeight="true" outlineLevel="0" collapsed="false">
      <c r="A258" s="6" t="s">
        <v>985</v>
      </c>
      <c r="B258" s="6" t="s">
        <v>17</v>
      </c>
      <c r="C258" s="6" t="s">
        <v>16</v>
      </c>
      <c r="D258" s="7" t="s">
        <v>986</v>
      </c>
      <c r="E258" s="8" t="s">
        <v>987</v>
      </c>
      <c r="F258" s="6" t="s">
        <v>988</v>
      </c>
      <c r="G258" s="9" t="str">
        <f aca="false">IF(A258=1,"_",IF(C258="_","???",C258))</f>
        <v>???</v>
      </c>
      <c r="H258" s="10" t="s">
        <v>16</v>
      </c>
      <c r="I258" s="11" t="s">
        <v>16</v>
      </c>
      <c r="J258" s="12"/>
    </row>
    <row r="259" customFormat="false" ht="60" hidden="false" customHeight="true" outlineLevel="0" collapsed="false">
      <c r="A259" s="6" t="s">
        <v>989</v>
      </c>
      <c r="B259" s="6" t="s">
        <v>72</v>
      </c>
      <c r="C259" s="6" t="s">
        <v>16</v>
      </c>
      <c r="D259" s="7" t="s">
        <v>990</v>
      </c>
      <c r="E259" s="8" t="s">
        <v>991</v>
      </c>
      <c r="F259" s="6" t="s">
        <v>992</v>
      </c>
      <c r="G259" s="9" t="str">
        <f aca="false">IF(A259=1,"_",IF(C259="_","???",C259))</f>
        <v>???</v>
      </c>
      <c r="H259" s="10" t="s">
        <v>16</v>
      </c>
      <c r="I259" s="11" t="s">
        <v>16</v>
      </c>
      <c r="J259" s="12"/>
    </row>
    <row r="260" customFormat="false" ht="60" hidden="false" customHeight="true" outlineLevel="0" collapsed="false">
      <c r="A260" s="6" t="s">
        <v>993</v>
      </c>
      <c r="B260" s="6" t="s">
        <v>18</v>
      </c>
      <c r="C260" s="6" t="s">
        <v>16</v>
      </c>
      <c r="D260" s="7" t="s">
        <v>994</v>
      </c>
      <c r="E260" s="8" t="s">
        <v>995</v>
      </c>
      <c r="F260" s="6" t="s">
        <v>996</v>
      </c>
      <c r="G260" s="9" t="str">
        <f aca="false">IF(A260=1,"_",IF(C260="_","???",C260))</f>
        <v>???</v>
      </c>
      <c r="H260" s="10" t="s">
        <v>16</v>
      </c>
      <c r="I260" s="11" t="s">
        <v>16</v>
      </c>
      <c r="J260" s="12"/>
    </row>
    <row r="261" customFormat="false" ht="60" hidden="false" customHeight="true" outlineLevel="0" collapsed="false">
      <c r="A261" s="6" t="s">
        <v>997</v>
      </c>
      <c r="B261" s="6" t="s">
        <v>76</v>
      </c>
      <c r="C261" s="6" t="s">
        <v>16</v>
      </c>
      <c r="D261" s="7" t="s">
        <v>990</v>
      </c>
      <c r="E261" s="8" t="s">
        <v>998</v>
      </c>
      <c r="F261" s="6" t="s">
        <v>999</v>
      </c>
      <c r="G261" s="9" t="str">
        <f aca="false">IF(A261=1,"_",IF(C261="_","???",C261))</f>
        <v>???</v>
      </c>
      <c r="H261" s="10" t="s">
        <v>16</v>
      </c>
      <c r="I261" s="11" t="s">
        <v>16</v>
      </c>
      <c r="J261" s="12"/>
    </row>
    <row r="262" customFormat="false" ht="60" hidden="false" customHeight="true" outlineLevel="0" collapsed="false">
      <c r="A262" s="6" t="s">
        <v>1000</v>
      </c>
      <c r="B262" s="6" t="s">
        <v>17</v>
      </c>
      <c r="C262" s="6" t="s">
        <v>16</v>
      </c>
      <c r="D262" s="7" t="s">
        <v>1001</v>
      </c>
      <c r="E262" s="8" t="s">
        <v>1002</v>
      </c>
      <c r="F262" s="6" t="s">
        <v>1003</v>
      </c>
      <c r="G262" s="9" t="str">
        <f aca="false">IF(A262=1,"_",IF(C262="_","???",C262))</f>
        <v>???</v>
      </c>
      <c r="H262" s="10" t="s">
        <v>16</v>
      </c>
      <c r="I262" s="11" t="s">
        <v>16</v>
      </c>
      <c r="J262" s="12"/>
    </row>
    <row r="263" customFormat="false" ht="60" hidden="false" customHeight="true" outlineLevel="0" collapsed="false">
      <c r="A263" s="6" t="s">
        <v>1004</v>
      </c>
      <c r="B263" s="6" t="s">
        <v>22</v>
      </c>
      <c r="C263" s="6" t="s">
        <v>16</v>
      </c>
      <c r="D263" s="7" t="s">
        <v>123</v>
      </c>
      <c r="E263" s="8" t="s">
        <v>1005</v>
      </c>
      <c r="F263" s="6" t="s">
        <v>1006</v>
      </c>
      <c r="G263" s="9" t="str">
        <f aca="false">IF(A263=1,"_",IF(C263="_","???",C263))</f>
        <v>???</v>
      </c>
      <c r="H263" s="10" t="s">
        <v>16</v>
      </c>
      <c r="I263" s="11" t="s">
        <v>16</v>
      </c>
      <c r="J263" s="12"/>
    </row>
    <row r="264" customFormat="false" ht="60" hidden="false" customHeight="true" outlineLevel="0" collapsed="false">
      <c r="A264" s="6" t="s">
        <v>1007</v>
      </c>
      <c r="B264" s="6" t="s">
        <v>18</v>
      </c>
      <c r="C264" s="6" t="s">
        <v>16</v>
      </c>
      <c r="D264" s="7" t="s">
        <v>1008</v>
      </c>
      <c r="E264" s="8" t="s">
        <v>1009</v>
      </c>
      <c r="F264" s="6" t="s">
        <v>1010</v>
      </c>
      <c r="G264" s="9" t="str">
        <f aca="false">IF(A264=1,"_",IF(C264="_","???",C264))</f>
        <v>???</v>
      </c>
      <c r="H264" s="10" t="s">
        <v>16</v>
      </c>
      <c r="I264" s="11" t="s">
        <v>16</v>
      </c>
      <c r="J264" s="12"/>
    </row>
    <row r="265" customFormat="false" ht="60" hidden="false" customHeight="true" outlineLevel="0" collapsed="false">
      <c r="A265" s="6" t="s">
        <v>1011</v>
      </c>
      <c r="B265" s="6" t="s">
        <v>33</v>
      </c>
      <c r="C265" s="6" t="s">
        <v>16</v>
      </c>
      <c r="D265" s="7" t="s">
        <v>106</v>
      </c>
      <c r="E265" s="8" t="s">
        <v>1012</v>
      </c>
      <c r="F265" s="6" t="s">
        <v>1013</v>
      </c>
      <c r="G265" s="9" t="str">
        <f aca="false">IF(A265=1,"_",IF(C265="_","???",C265))</f>
        <v>???</v>
      </c>
      <c r="H265" s="10" t="s">
        <v>16</v>
      </c>
      <c r="I265" s="11" t="s">
        <v>16</v>
      </c>
      <c r="J265" s="12"/>
    </row>
    <row r="266" customFormat="false" ht="60" hidden="false" customHeight="true" outlineLevel="0" collapsed="false">
      <c r="A266" s="6" t="s">
        <v>1014</v>
      </c>
      <c r="B266" s="6" t="s">
        <v>22</v>
      </c>
      <c r="C266" s="6" t="s">
        <v>16</v>
      </c>
      <c r="D266" s="7" t="s">
        <v>169</v>
      </c>
      <c r="E266" s="8" t="s">
        <v>1015</v>
      </c>
      <c r="F266" s="6" t="s">
        <v>1016</v>
      </c>
      <c r="G266" s="9" t="str">
        <f aca="false">IF(A266=1,"_",IF(C266="_","???",C266))</f>
        <v>???</v>
      </c>
      <c r="H266" s="10" t="s">
        <v>16</v>
      </c>
      <c r="I266" s="11" t="s">
        <v>16</v>
      </c>
      <c r="J266" s="12"/>
    </row>
    <row r="267" customFormat="false" ht="60" hidden="false" customHeight="true" outlineLevel="0" collapsed="false">
      <c r="A267" s="6" t="s">
        <v>1017</v>
      </c>
      <c r="B267" s="6" t="s">
        <v>18</v>
      </c>
      <c r="C267" s="6" t="s">
        <v>34</v>
      </c>
      <c r="D267" s="7" t="s">
        <v>1018</v>
      </c>
      <c r="E267" s="8" t="s">
        <v>1019</v>
      </c>
      <c r="F267" s="6" t="s">
        <v>1020</v>
      </c>
      <c r="G267" s="9" t="str">
        <f aca="false">IF(A267=1,"_",IF(C267="_","???",C267))</f>
        <v>but?</v>
      </c>
      <c r="H267" s="10" t="s">
        <v>16</v>
      </c>
      <c r="I267" s="11" t="s">
        <v>16</v>
      </c>
      <c r="J267" s="12"/>
    </row>
    <row r="268" customFormat="false" ht="60" hidden="false" customHeight="true" outlineLevel="0" collapsed="false">
      <c r="A268" s="6" t="s">
        <v>1021</v>
      </c>
      <c r="B268" s="6" t="s">
        <v>22</v>
      </c>
      <c r="C268" s="6" t="s">
        <v>34</v>
      </c>
      <c r="D268" s="7" t="s">
        <v>1022</v>
      </c>
      <c r="E268" s="8" t="s">
        <v>1023</v>
      </c>
      <c r="F268" s="6" t="s">
        <v>1024</v>
      </c>
      <c r="G268" s="9" t="str">
        <f aca="false">IF(A268=1,"_",IF(C268="_","???",C268))</f>
        <v>but?</v>
      </c>
      <c r="H268" s="10" t="s">
        <v>16</v>
      </c>
      <c r="I268" s="11" t="s">
        <v>16</v>
      </c>
      <c r="J268" s="12"/>
    </row>
    <row r="269" customFormat="false" ht="60" hidden="false" customHeight="true" outlineLevel="0" collapsed="false">
      <c r="A269" s="6" t="s">
        <v>1025</v>
      </c>
      <c r="B269" s="6" t="s">
        <v>22</v>
      </c>
      <c r="C269" s="6" t="s">
        <v>16</v>
      </c>
      <c r="D269" s="7" t="s">
        <v>1026</v>
      </c>
      <c r="E269" s="8" t="s">
        <v>1027</v>
      </c>
      <c r="F269" s="6" t="s">
        <v>1028</v>
      </c>
      <c r="G269" s="9" t="str">
        <f aca="false">IF(A269=1,"_",IF(C269="_","???",C269))</f>
        <v>???</v>
      </c>
      <c r="H269" s="10" t="s">
        <v>16</v>
      </c>
      <c r="I269" s="11" t="s">
        <v>16</v>
      </c>
      <c r="J269" s="12"/>
    </row>
    <row r="270" customFormat="false" ht="60" hidden="false" customHeight="true" outlineLevel="0" collapsed="false">
      <c r="A270" s="6" t="s">
        <v>1029</v>
      </c>
      <c r="B270" s="6" t="s">
        <v>18</v>
      </c>
      <c r="C270" s="6" t="s">
        <v>16</v>
      </c>
      <c r="D270" s="7" t="s">
        <v>1030</v>
      </c>
      <c r="E270" s="8" t="s">
        <v>1031</v>
      </c>
      <c r="F270" s="6" t="s">
        <v>1032</v>
      </c>
      <c r="G270" s="9" t="str">
        <f aca="false">IF(A270=1,"_",IF(C270="_","???",C270))</f>
        <v>???</v>
      </c>
      <c r="H270" s="10" t="s">
        <v>16</v>
      </c>
      <c r="I270" s="11" t="s">
        <v>16</v>
      </c>
      <c r="J270" s="12"/>
    </row>
    <row r="271" customFormat="false" ht="60" hidden="false" customHeight="true" outlineLevel="0" collapsed="false">
      <c r="A271" s="6" t="s">
        <v>1033</v>
      </c>
      <c r="B271" s="6" t="s">
        <v>134</v>
      </c>
      <c r="C271" s="6" t="s">
        <v>43</v>
      </c>
      <c r="D271" s="7" t="s">
        <v>1034</v>
      </c>
      <c r="E271" s="8" t="s">
        <v>1035</v>
      </c>
      <c r="F271" s="6" t="s">
        <v>1036</v>
      </c>
      <c r="G271" s="9" t="str">
        <f aca="false">IF(A271=1,"_",IF(C271="_","???",C271))</f>
        <v>when?</v>
      </c>
      <c r="H271" s="10" t="s">
        <v>16</v>
      </c>
      <c r="I271" s="11" t="s">
        <v>16</v>
      </c>
      <c r="J271" s="12"/>
    </row>
    <row r="272" customFormat="false" ht="60" hidden="false" customHeight="true" outlineLevel="0" collapsed="false">
      <c r="A272" s="6" t="s">
        <v>1037</v>
      </c>
      <c r="B272" s="6" t="s">
        <v>17</v>
      </c>
      <c r="C272" s="6" t="s">
        <v>560</v>
      </c>
      <c r="D272" s="7" t="s">
        <v>1038</v>
      </c>
      <c r="E272" s="8" t="s">
        <v>1039</v>
      </c>
      <c r="F272" s="6" t="s">
        <v>1040</v>
      </c>
      <c r="G272" s="9" t="str">
        <f aca="false">IF(A272=1,"_",IF(C272="_","???",C272))</f>
        <v>for?</v>
      </c>
      <c r="H272" s="10" t="s">
        <v>16</v>
      </c>
      <c r="I272" s="11" t="s">
        <v>16</v>
      </c>
      <c r="J272" s="12"/>
    </row>
    <row r="273" customFormat="false" ht="60" hidden="false" customHeight="true" outlineLevel="0" collapsed="false">
      <c r="A273" s="6" t="s">
        <v>1041</v>
      </c>
      <c r="B273" s="6" t="s">
        <v>60</v>
      </c>
      <c r="C273" s="6" t="s">
        <v>38</v>
      </c>
      <c r="D273" s="7" t="s">
        <v>1042</v>
      </c>
      <c r="E273" s="8" t="s">
        <v>1043</v>
      </c>
      <c r="F273" s="6" t="s">
        <v>1044</v>
      </c>
      <c r="G273" s="9" t="str">
        <f aca="false">IF(A273=1,"_",IF(C273="_","???",C273))</f>
        <v>and?</v>
      </c>
      <c r="H273" s="10" t="s">
        <v>16</v>
      </c>
      <c r="I273" s="11" t="s">
        <v>16</v>
      </c>
      <c r="J273" s="12"/>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58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N1" activeCellId="0" sqref="N1"/>
    </sheetView>
  </sheetViews>
  <sheetFormatPr defaultColWidth="8.6796875" defaultRowHeight="15" customHeight="true" zeroHeight="false" outlineLevelRow="0" outlineLevelCol="0"/>
  <cols>
    <col collapsed="false" customWidth="true" hidden="false" outlineLevel="0" max="1" min="1" style="0" width="20.71"/>
    <col collapsed="false" customWidth="true" hidden="false" outlineLevel="0" max="3" min="3" style="0" width="15.71"/>
    <col collapsed="false" customWidth="true" hidden="false" outlineLevel="0" max="4" min="4" style="0" width="10.71"/>
    <col collapsed="false" customWidth="true" hidden="true" outlineLevel="0" max="11" min="9" style="0" width="11.53"/>
    <col collapsed="false" customWidth="true" hidden="false" outlineLevel="0" max="12" min="12" style="0" width="40.71"/>
    <col collapsed="false" customWidth="true" hidden="false" outlineLevel="0" max="16384" min="16377" style="0" width="11.53"/>
  </cols>
  <sheetData>
    <row r="1" customFormat="false" ht="15" hidden="false" customHeight="false" outlineLevel="0" collapsed="false">
      <c r="A1" s="13" t="s">
        <v>1045</v>
      </c>
      <c r="B1" s="13" t="s">
        <v>1046</v>
      </c>
      <c r="C1" s="13" t="s">
        <v>1047</v>
      </c>
      <c r="D1" s="13" t="s">
        <v>1048</v>
      </c>
      <c r="E1" s="14" t="s">
        <v>1049</v>
      </c>
      <c r="F1" s="15" t="s">
        <v>1050</v>
      </c>
      <c r="G1" s="16" t="s">
        <v>1051</v>
      </c>
      <c r="H1" s="17" t="s">
        <v>1052</v>
      </c>
      <c r="I1" s="18" t="s">
        <v>1053</v>
      </c>
      <c r="J1" s="18" t="s">
        <v>1054</v>
      </c>
      <c r="K1" s="18" t="s">
        <v>1055</v>
      </c>
      <c r="L1" s="19" t="s">
        <v>9</v>
      </c>
    </row>
    <row r="2" customFormat="false" ht="15" hidden="false" customHeight="false" outlineLevel="0" collapsed="false">
      <c r="A2" s="20" t="s">
        <v>1056</v>
      </c>
      <c r="L2" s="21"/>
    </row>
    <row r="3" customFormat="false" ht="15" hidden="false" customHeight="false" outlineLevel="0" collapsed="false">
      <c r="A3" s="20" t="s">
        <v>1057</v>
      </c>
      <c r="B3" s="22" t="s">
        <v>1058</v>
      </c>
      <c r="C3" s="22" t="s">
        <v>1059</v>
      </c>
      <c r="D3" s="22" t="s">
        <v>1060</v>
      </c>
      <c r="E3" s="23" t="s">
        <v>1061</v>
      </c>
      <c r="F3" s="23" t="s">
        <v>1062</v>
      </c>
      <c r="G3" s="23" t="s">
        <v>1063</v>
      </c>
      <c r="H3" s="23"/>
      <c r="I3" s="24" t="str">
        <f aca="false">IF(OR(E3="",E3="!!!",F3="NEW"),"",INDEX(B2:B$2,-1+SUMPRODUCT(MAX(ROW(E2:E$2)*(E3=E2:E$2)))))</f>
        <v/>
      </c>
      <c r="J3" s="24" t="str">
        <f aca="true">IF(OR(E3="",E3="!!!",F3="NEW"),"",COUNTBLANK(OFFSET(A$1,,,SUMPRODUCT(MAX(ROW(E$2:E3)*(E3=E$2:E3)))))-COUNTBLANK(OFFSET(A$1,,,SUMPRODUCT(MAX(ROW(E$1:E2)*(E2=E$1:E2))))))</f>
        <v/>
      </c>
      <c r="K3" s="24" t="str">
        <f aca="false">IF(OR(E3="",E3="!!!",F3="NEW"),"",INDEX(J$1:J2,SUMPRODUCT(MAX(ROW(E$1:E2)*(E3=E$1:E2)))))</f>
        <v/>
      </c>
      <c r="L3" s="21"/>
    </row>
    <row r="4" customFormat="false" ht="15" hidden="false" customHeight="false" outlineLevel="0" collapsed="false">
      <c r="A4" s="20" t="s">
        <v>1064</v>
      </c>
      <c r="E4" s="23"/>
      <c r="F4" s="25"/>
      <c r="G4" s="26"/>
      <c r="H4" s="27"/>
      <c r="I4" s="24" t="str">
        <f aca="false">IF(OR(E4="",E4="!!!",F4="NEW"),"",INDEX(B3:B$2,-1+SUMPRODUCT(MAX(ROW(E3:E$2)*(E4=E3:E$2)))))</f>
        <v/>
      </c>
      <c r="J4" s="24" t="str">
        <f aca="true">IF(OR(E4="",E4="!!!",F4="NEW"),"",COUNTBLANK(OFFSET(A$1,,,SUMPRODUCT(MAX(ROW(E$2:E4)*(E4=E$2:E4)))))-COUNTBLANK(OFFSET(A$1,,,SUMPRODUCT(MAX(ROW(E$1:E3)*(E2=E$1:E3))))))</f>
        <v/>
      </c>
      <c r="K4" s="24" t="str">
        <f aca="false">IF(OR(E4="",E4="!!!",F4="NEW"),"",INDEX(J$1:J3,SUMPRODUCT(MAX(ROW(E$1:E3)*(E4=E$1:E3)))))</f>
        <v/>
      </c>
      <c r="L4" s="21"/>
    </row>
    <row r="5" customFormat="false" ht="15" hidden="false" customHeight="false" outlineLevel="0" collapsed="false">
      <c r="A5" s="20" t="s">
        <v>1065</v>
      </c>
      <c r="E5" s="23"/>
      <c r="F5" s="25"/>
      <c r="G5" s="26"/>
      <c r="H5" s="27"/>
      <c r="I5" s="24" t="str">
        <f aca="false">IF(OR(E5="",E5="!!!",F5="NEW"),"",INDEX(B4:B$2,-1+SUMPRODUCT(MAX(ROW(E4:E$2)*(E5=E4:E$2)))))</f>
        <v/>
      </c>
      <c r="J5" s="24" t="str">
        <f aca="true">IF(OR(E5="",E5="!!!",F5="NEW"),"",COUNTBLANK(OFFSET(A$1,,,SUMPRODUCT(MAX(ROW(E$2:E5)*(E5=E$2:E5)))))-COUNTBLANK(OFFSET(A$1,,,SUMPRODUCT(MAX(ROW(E$1:E4)*(E2=E$1:E4))))))</f>
        <v/>
      </c>
      <c r="K5" s="24" t="str">
        <f aca="false">IF(OR(E5="",E5="!!!",F5="NEW"),"",INDEX(J$1:J4,SUMPRODUCT(MAX(ROW(E$1:E4)*(E5=E$1:E4)))))</f>
        <v/>
      </c>
      <c r="L5" s="21"/>
    </row>
    <row r="6" customFormat="false" ht="15" hidden="false" customHeight="false" outlineLevel="0" collapsed="false">
      <c r="A6" s="20" t="s">
        <v>1066</v>
      </c>
      <c r="B6" s="22" t="s">
        <v>1067</v>
      </c>
      <c r="C6" s="22" t="s">
        <v>1068</v>
      </c>
      <c r="D6" s="22" t="s">
        <v>1060</v>
      </c>
      <c r="E6" s="23" t="s">
        <v>1069</v>
      </c>
      <c r="F6" s="23" t="s">
        <v>1062</v>
      </c>
      <c r="G6" s="23" t="s">
        <v>1070</v>
      </c>
      <c r="H6" s="23"/>
      <c r="I6" s="24" t="str">
        <f aca="false">IF(OR(E6="",E6="!!!",F6="NEW"),"",INDEX(B5:B$2,-1+SUMPRODUCT(MAX(ROW(E5:E$2)*(E6=E5:E$2)))))</f>
        <v/>
      </c>
      <c r="J6" s="24" t="str">
        <f aca="true">IF(OR(E6="",E6="!!!",F6="NEW"),"",COUNTBLANK(OFFSET(A$1,,,SUMPRODUCT(MAX(ROW(E$2:E6)*(E6=E$2:E6)))))-COUNTBLANK(OFFSET(A$1,,,SUMPRODUCT(MAX(ROW(E$1:E5)*(E2=E$1:E5))))))</f>
        <v/>
      </c>
      <c r="K6" s="24" t="str">
        <f aca="false">IF(OR(E6="",E6="!!!",F6="NEW"),"",INDEX(J$1:J5,SUMPRODUCT(MAX(ROW(E$1:E5)*(E6=E$1:E5)))))</f>
        <v/>
      </c>
      <c r="L6" s="21"/>
    </row>
    <row r="7" customFormat="false" ht="15" hidden="false" customHeight="false" outlineLevel="0" collapsed="false">
      <c r="A7" s="20" t="s">
        <v>1071</v>
      </c>
      <c r="E7" s="23"/>
      <c r="F7" s="25"/>
      <c r="G7" s="26"/>
      <c r="H7" s="27"/>
      <c r="I7" s="24" t="str">
        <f aca="false">IF(OR(E7="",E7="!!!",F7="NEW"),"",INDEX(B6:B$2,-1+SUMPRODUCT(MAX(ROW(E6:E$2)*(E7=E6:E$2)))))</f>
        <v/>
      </c>
      <c r="J7" s="24" t="str">
        <f aca="true">IF(OR(E7="",E7="!!!",F7="NEW"),"",COUNTBLANK(OFFSET(A$1,,,SUMPRODUCT(MAX(ROW(E$2:E7)*(E7=E$2:E7)))))-COUNTBLANK(OFFSET(A$1,,,SUMPRODUCT(MAX(ROW(E$1:E6)*(E2=E$1:E6))))))</f>
        <v/>
      </c>
      <c r="K7" s="24" t="str">
        <f aca="false">IF(OR(E7="",E7="!!!",F7="NEW"),"",INDEX(J$1:J6,SUMPRODUCT(MAX(ROW(E$1:E6)*(E7=E$1:E6)))))</f>
        <v/>
      </c>
      <c r="L7" s="21"/>
    </row>
    <row r="8" customFormat="false" ht="15" hidden="false" customHeight="false" outlineLevel="0" collapsed="false">
      <c r="A8" s="20" t="s">
        <v>1072</v>
      </c>
      <c r="B8" s="22" t="s">
        <v>1073</v>
      </c>
      <c r="C8" s="22" t="s">
        <v>1059</v>
      </c>
      <c r="D8" s="22" t="s">
        <v>1060</v>
      </c>
      <c r="E8" s="23" t="s">
        <v>1072</v>
      </c>
      <c r="F8" s="23" t="s">
        <v>1074</v>
      </c>
      <c r="G8" s="23"/>
      <c r="H8" s="23"/>
      <c r="I8" s="28" t="e">
        <f aca="false">IF(OR(E8="",E8="!!!",F8="NEW"),"",INDEX(B7:B$2,-1+SUMPRODUCT(MAX(ROW(E7:E$2)*(E8=E7:E$2)))))</f>
        <v>#VALUE!</v>
      </c>
      <c r="J8" s="24" t="n">
        <f aca="true">IF(OR(E8="",E8="!!!",F8="NEW"),"",COUNTBLANK(OFFSET(A$1,,,SUMPRODUCT(MAX(ROW(E$2:E8)*(E8=E$2:E8)))))-COUNTBLANK(OFFSET(A$1,,,SUMPRODUCT(MAX(ROW(E$1:E7)*(E2=E$1:E7))))))</f>
        <v>0</v>
      </c>
      <c r="K8" s="28" t="e">
        <f aca="false">IF(OR(E8="",E8="!!!",F8="NEW"),"",INDEX(J$1:J7,SUMPRODUCT(MAX(ROW(E$1:E7)*(E8=E$1:E7)))))</f>
        <v>#VALUE!</v>
      </c>
      <c r="L8" s="21"/>
    </row>
    <row r="9" customFormat="false" ht="15" hidden="false" customHeight="false" outlineLevel="0" collapsed="false">
      <c r="A9" s="20" t="s">
        <v>1075</v>
      </c>
      <c r="E9" s="23"/>
      <c r="F9" s="25"/>
      <c r="G9" s="26"/>
      <c r="H9" s="27"/>
      <c r="I9" s="24" t="str">
        <f aca="false">IF(OR(E9="",E9="!!!",F9="NEW"),"",INDEX(B8:B$2,-1+SUMPRODUCT(MAX(ROW(E8:E$2)*(E9=E8:E$2)))))</f>
        <v/>
      </c>
      <c r="J9" s="24" t="str">
        <f aca="true">IF(OR(E9="",E9="!!!",F9="NEW"),"",COUNTBLANK(OFFSET(A$1,,,SUMPRODUCT(MAX(ROW(E$2:E9)*(E9=E$2:E9)))))-COUNTBLANK(OFFSET(A$1,,,SUMPRODUCT(MAX(ROW(E$1:E8)*(E2=E$1:E8))))))</f>
        <v/>
      </c>
      <c r="K9" s="24" t="str">
        <f aca="false">IF(OR(E9="",E9="!!!",F9="NEW"),"",INDEX(J$1:J8,SUMPRODUCT(MAX(ROW(E$1:E8)*(E9=E$1:E8)))))</f>
        <v/>
      </c>
      <c r="L9" s="21"/>
    </row>
    <row r="10" customFormat="false" ht="15" hidden="false" customHeight="false" outlineLevel="0" collapsed="false">
      <c r="A10" s="20" t="s">
        <v>1076</v>
      </c>
      <c r="E10" s="23"/>
      <c r="F10" s="25"/>
      <c r="G10" s="26"/>
      <c r="H10" s="27"/>
      <c r="I10" s="24" t="str">
        <f aca="false">IF(OR(E10="",E10="!!!",F10="NEW"),"",INDEX(B9:B$2,-1+SUMPRODUCT(MAX(ROW(E9:E$2)*(E10=E9:E$2)))))</f>
        <v/>
      </c>
      <c r="J10" s="24" t="str">
        <f aca="true">IF(OR(E10="",E10="!!!",F10="NEW"),"",COUNTBLANK(OFFSET(A$1,,,SUMPRODUCT(MAX(ROW(E$2:E10)*(E10=E$2:E10)))))-COUNTBLANK(OFFSET(A$1,,,SUMPRODUCT(MAX(ROW(E$1:E9)*(E2=E$1:E9))))))</f>
        <v/>
      </c>
      <c r="K10" s="24" t="str">
        <f aca="false">IF(OR(E10="",E10="!!!",F10="NEW"),"",INDEX(J$1:J9,SUMPRODUCT(MAX(ROW(E$1:E9)*(E10=E$1:E9)))))</f>
        <v/>
      </c>
      <c r="L10" s="21"/>
    </row>
    <row r="11" customFormat="false" ht="15" hidden="false" customHeight="false" outlineLevel="0" collapsed="false">
      <c r="A11" s="20" t="s">
        <v>1077</v>
      </c>
      <c r="E11" s="23"/>
      <c r="F11" s="25"/>
      <c r="G11" s="26"/>
      <c r="H11" s="27"/>
      <c r="I11" s="24" t="str">
        <f aca="false">IF(OR(E11="",E11="!!!",F11="NEW"),"",INDEX(B10:B$2,-1+SUMPRODUCT(MAX(ROW(E10:E$2)*(E11=E10:E$2)))))</f>
        <v/>
      </c>
      <c r="J11" s="24" t="str">
        <f aca="true">IF(OR(E11="",E11="!!!",F11="NEW"),"",COUNTBLANK(OFFSET(A$1,,,SUMPRODUCT(MAX(ROW(E$2:E11)*(E11=E$2:E11)))))-COUNTBLANK(OFFSET(A$1,,,SUMPRODUCT(MAX(ROW(E$1:E10)*(E2=E$1:E10))))))</f>
        <v/>
      </c>
      <c r="K11" s="24" t="str">
        <f aca="false">IF(OR(E11="",E11="!!!",F11="NEW"),"",INDEX(J$1:J10,SUMPRODUCT(MAX(ROW(E$1:E10)*(E11=E$1:E10)))))</f>
        <v/>
      </c>
      <c r="L11" s="21"/>
    </row>
    <row r="12" customFormat="false" ht="15" hidden="false" customHeight="false" outlineLevel="0" collapsed="false">
      <c r="A12" s="20" t="s">
        <v>1076</v>
      </c>
      <c r="E12" s="23"/>
      <c r="F12" s="25"/>
      <c r="G12" s="26"/>
      <c r="H12" s="27"/>
      <c r="I12" s="24" t="str">
        <f aca="false">IF(OR(E12="",E12="!!!",F12="NEW"),"",INDEX(B11:B$2,-1+SUMPRODUCT(MAX(ROW(E11:E$2)*(E12=E11:E$2)))))</f>
        <v/>
      </c>
      <c r="J12" s="24" t="str">
        <f aca="true">IF(OR(E12="",E12="!!!",F12="NEW"),"",COUNTBLANK(OFFSET(A$1,,,SUMPRODUCT(MAX(ROW(E$2:E12)*(E12=E$2:E12)))))-COUNTBLANK(OFFSET(A$1,,,SUMPRODUCT(MAX(ROW(E$1:E11)*(E2=E$1:E11))))))</f>
        <v/>
      </c>
      <c r="K12" s="24" t="str">
        <f aca="false">IF(OR(E12="",E12="!!!",F12="NEW"),"",INDEX(J$1:J11,SUMPRODUCT(MAX(ROW(E$1:E11)*(E12=E$1:E11)))))</f>
        <v/>
      </c>
      <c r="L12" s="21"/>
    </row>
    <row r="13" customFormat="false" ht="15" hidden="false" customHeight="false" outlineLevel="0" collapsed="false">
      <c r="A13" s="20" t="s">
        <v>1078</v>
      </c>
      <c r="B13" s="22" t="s">
        <v>1058</v>
      </c>
      <c r="E13" s="23"/>
      <c r="F13" s="25"/>
      <c r="G13" s="26"/>
      <c r="H13" s="27"/>
      <c r="I13" s="24" t="str">
        <f aca="false">IF(OR(E13="",E13="!!!",F13="NEW"),"",INDEX(B12:B$2,-1+SUMPRODUCT(MAX(ROW(E12:E$2)*(E13=E12:E$2)))))</f>
        <v/>
      </c>
      <c r="J13" s="24" t="str">
        <f aca="true">IF(OR(E13="",E13="!!!",F13="NEW"),"",COUNTBLANK(OFFSET(A$1,,,SUMPRODUCT(MAX(ROW(E$2:E13)*(E13=E$2:E13)))))-COUNTBLANK(OFFSET(A$1,,,SUMPRODUCT(MAX(ROW(E$1:E12)*(E2=E$1:E12))))))</f>
        <v/>
      </c>
      <c r="K13" s="24" t="str">
        <f aca="false">IF(OR(E13="",E13="!!!",F13="NEW"),"",INDEX(J$1:J12,SUMPRODUCT(MAX(ROW(E$1:E12)*(E13=E$1:E12)))))</f>
        <v/>
      </c>
      <c r="L13" s="21"/>
    </row>
    <row r="14" customFormat="false" ht="15" hidden="false" customHeight="false" outlineLevel="0" collapsed="false">
      <c r="A14" s="20" t="s">
        <v>1079</v>
      </c>
      <c r="E14" s="23"/>
      <c r="F14" s="25"/>
      <c r="G14" s="26"/>
      <c r="H14" s="27"/>
      <c r="I14" s="24" t="str">
        <f aca="false">IF(OR(E14="",E14="!!!",F14="NEW"),"",INDEX(B13:B$2,-1+SUMPRODUCT(MAX(ROW(E13:E$2)*(E14=E13:E$2)))))</f>
        <v/>
      </c>
      <c r="J14" s="24" t="str">
        <f aca="true">IF(OR(E14="",E14="!!!",F14="NEW"),"",COUNTBLANK(OFFSET(A$1,,,SUMPRODUCT(MAX(ROW(E$2:E14)*(E14=E$2:E14)))))-COUNTBLANK(OFFSET(A$1,,,SUMPRODUCT(MAX(ROW(E$1:E13)*(E2=E$1:E13))))))</f>
        <v/>
      </c>
      <c r="K14" s="24" t="str">
        <f aca="false">IF(OR(E14="",E14="!!!",F14="NEW"),"",INDEX(J$1:J13,SUMPRODUCT(MAX(ROW(E$1:E13)*(E14=E$1:E13)))))</f>
        <v/>
      </c>
      <c r="L14" s="21"/>
    </row>
    <row r="15" customFormat="false" ht="15" hidden="false" customHeight="false" outlineLevel="0" collapsed="false">
      <c r="A15" s="20" t="s">
        <v>13</v>
      </c>
      <c r="E15" s="23"/>
      <c r="F15" s="25"/>
      <c r="G15" s="26"/>
      <c r="H15" s="27"/>
      <c r="I15" s="24" t="str">
        <f aca="false">IF(OR(E15="",E15="!!!",F15="NEW"),"",INDEX(B14:B$2,-1+SUMPRODUCT(MAX(ROW(E14:E$2)*(E15=E14:E$2)))))</f>
        <v/>
      </c>
      <c r="J15" s="24" t="str">
        <f aca="true">IF(OR(E15="",E15="!!!",F15="NEW"),"",COUNTBLANK(OFFSET(A$1,,,SUMPRODUCT(MAX(ROW(E$2:E15)*(E15=E$2:E15)))))-COUNTBLANK(OFFSET(A$1,,,SUMPRODUCT(MAX(ROW(E$1:E14)*(E2=E$1:E14))))))</f>
        <v/>
      </c>
      <c r="K15" s="24" t="str">
        <f aca="false">IF(OR(E15="",E15="!!!",F15="NEW"),"",INDEX(J$1:J14,SUMPRODUCT(MAX(ROW(E$1:E14)*(E15=E$1:E14)))))</f>
        <v/>
      </c>
      <c r="L15" s="21"/>
    </row>
    <row r="16" customFormat="false" ht="15" hidden="false" customHeight="false" outlineLevel="0" collapsed="false">
      <c r="A16" s="20" t="s">
        <v>1080</v>
      </c>
      <c r="B16" s="22" t="s">
        <v>1081</v>
      </c>
      <c r="C16" s="22" t="s">
        <v>1082</v>
      </c>
      <c r="D16" s="22" t="s">
        <v>1060</v>
      </c>
      <c r="E16" s="23" t="s">
        <v>1061</v>
      </c>
      <c r="F16" s="23" t="s">
        <v>1083</v>
      </c>
      <c r="G16" s="23" t="s">
        <v>1084</v>
      </c>
      <c r="H16" s="23"/>
      <c r="I16" s="24" t="str">
        <f aca="false">IF(OR(E16="",E16="!!!",F16="NEW"),"",INDEX(B15:B$2,-1+SUMPRODUCT(MAX(ROW(E15:E$2)*(E16=E15:E$2)))))</f>
        <v>SBJ</v>
      </c>
      <c r="J16" s="24" t="n">
        <f aca="true">IF(OR(E16="",E16="!!!",F16="NEW"),"",COUNTBLANK(OFFSET(A$1,,,SUMPRODUCT(MAX(ROW(E$2:E16)*(E16=E$2:E16)))))-COUNTBLANK(OFFSET(A$1,,,SUMPRODUCT(MAX(ROW(E$1:E15)*(E2=E$1:E15))))))</f>
        <v>0</v>
      </c>
      <c r="K16" s="24" t="str">
        <f aca="false">IF(OR(E16="",E16="!!!",F16="NEW"),"",INDEX(J$1:J15,SUMPRODUCT(MAX(ROW(E$1:E15)*(E16=E$1:E15)))))</f>
        <v/>
      </c>
      <c r="L16" s="21"/>
    </row>
    <row r="17" customFormat="false" ht="15" hidden="false" customHeight="false" outlineLevel="0" collapsed="false">
      <c r="A17" s="20" t="s">
        <v>1085</v>
      </c>
      <c r="E17" s="23"/>
      <c r="F17" s="25"/>
      <c r="G17" s="26"/>
      <c r="H17" s="27"/>
      <c r="I17" s="24" t="str">
        <f aca="false">IF(OR(E17="",E17="!!!",F17="NEW"),"",INDEX(B16:B$2,-1+SUMPRODUCT(MAX(ROW(E16:E$2)*(E17=E16:E$2)))))</f>
        <v/>
      </c>
      <c r="J17" s="24" t="str">
        <f aca="true">IF(OR(E17="",E17="!!!",F17="NEW"),"",COUNTBLANK(OFFSET(A$1,,,SUMPRODUCT(MAX(ROW(E$2:E17)*(E17=E$2:E17)))))-COUNTBLANK(OFFSET(A$1,,,SUMPRODUCT(MAX(ROW(E$1:E16)*(E2=E$1:E16))))))</f>
        <v/>
      </c>
      <c r="K17" s="24" t="str">
        <f aca="false">IF(OR(E17="",E17="!!!",F17="NEW"),"",INDEX(J$1:J16,SUMPRODUCT(MAX(ROW(E$1:E16)*(E17=E$1:E16)))))</f>
        <v/>
      </c>
      <c r="L17" s="21"/>
    </row>
    <row r="18" customFormat="false" ht="15" hidden="false" customHeight="false" outlineLevel="0" collapsed="false">
      <c r="A18" s="20" t="s">
        <v>1061</v>
      </c>
      <c r="B18" s="22" t="s">
        <v>1086</v>
      </c>
      <c r="C18" s="22" t="s">
        <v>1087</v>
      </c>
      <c r="E18" s="23"/>
      <c r="F18" s="25"/>
      <c r="G18" s="26"/>
      <c r="H18" s="27"/>
      <c r="I18" s="24" t="str">
        <f aca="false">IF(OR(E18="",E18="!!!",F18="NEW"),"",INDEX(B17:B$2,-1+SUMPRODUCT(MAX(ROW(E17:E$2)*(E18=E17:E$2)))))</f>
        <v/>
      </c>
      <c r="J18" s="24" t="str">
        <f aca="true">IF(OR(E18="",E18="!!!",F18="NEW"),"",COUNTBLANK(OFFSET(A$1,,,SUMPRODUCT(MAX(ROW(E$2:E18)*(E18=E$2:E18)))))-COUNTBLANK(OFFSET(A$1,,,SUMPRODUCT(MAX(ROW(E$1:E17)*(E2=E$1:E17))))))</f>
        <v/>
      </c>
      <c r="K18" s="24" t="str">
        <f aca="false">IF(OR(E18="",E18="!!!",F18="NEW"),"",INDEX(J$1:J17,SUMPRODUCT(MAX(ROW(E$1:E17)*(E18=E$1:E17)))))</f>
        <v/>
      </c>
      <c r="L18" s="21"/>
    </row>
    <row r="19" customFormat="false" ht="15" hidden="false" customHeight="false" outlineLevel="0" collapsed="false">
      <c r="A19" s="20" t="s">
        <v>1088</v>
      </c>
      <c r="E19" s="23"/>
      <c r="F19" s="25"/>
      <c r="G19" s="26"/>
      <c r="H19" s="27"/>
      <c r="I19" s="24" t="str">
        <f aca="false">IF(OR(E19="",E19="!!!",F19="NEW"),"",INDEX(B18:B$2,-1+SUMPRODUCT(MAX(ROW(E18:E$2)*(E19=E18:E$2)))))</f>
        <v/>
      </c>
      <c r="J19" s="24" t="str">
        <f aca="true">IF(OR(E19="",E19="!!!",F19="NEW"),"",COUNTBLANK(OFFSET(A$1,,,SUMPRODUCT(MAX(ROW(E$2:E19)*(E19=E$2:E19)))))-COUNTBLANK(OFFSET(A$1,,,SUMPRODUCT(MAX(ROW(E$1:E18)*(E2=E$1:E18))))))</f>
        <v/>
      </c>
      <c r="K19" s="24" t="str">
        <f aca="false">IF(OR(E19="",E19="!!!",F19="NEW"),"",INDEX(J$1:J18,SUMPRODUCT(MAX(ROW(E$1:E18)*(E19=E$1:E18)))))</f>
        <v/>
      </c>
      <c r="L19" s="21"/>
    </row>
    <row r="20" customFormat="false" ht="15" hidden="false" customHeight="false" outlineLevel="0" collapsed="false">
      <c r="A20" s="20" t="s">
        <v>1089</v>
      </c>
      <c r="E20" s="23"/>
      <c r="F20" s="25"/>
      <c r="G20" s="26"/>
      <c r="H20" s="27"/>
      <c r="I20" s="24" t="str">
        <f aca="false">IF(OR(E20="",E20="!!!",F20="NEW"),"",INDEX(B19:B$2,-1+SUMPRODUCT(MAX(ROW(E19:E$2)*(E20=E19:E$2)))))</f>
        <v/>
      </c>
      <c r="J20" s="24" t="str">
        <f aca="true">IF(OR(E20="",E20="!!!",F20="NEW"),"",COUNTBLANK(OFFSET(A$1,,,SUMPRODUCT(MAX(ROW(E$2:E20)*(E20=E$2:E20)))))-COUNTBLANK(OFFSET(A$1,,,SUMPRODUCT(MAX(ROW(E$1:E19)*(E2=E$1:E19))))))</f>
        <v/>
      </c>
      <c r="K20" s="24" t="str">
        <f aca="false">IF(OR(E20="",E20="!!!",F20="NEW"),"",INDEX(J$1:J19,SUMPRODUCT(MAX(ROW(E$1:E19)*(E20=E$1:E19)))))</f>
        <v/>
      </c>
      <c r="L20" s="21"/>
    </row>
    <row r="21" customFormat="false" ht="15" hidden="false" customHeight="false" outlineLevel="0" collapsed="false">
      <c r="A21" s="20" t="s">
        <v>1090</v>
      </c>
      <c r="B21" s="22" t="s">
        <v>1091</v>
      </c>
      <c r="C21" s="22" t="s">
        <v>1082</v>
      </c>
      <c r="D21" s="22" t="s">
        <v>1060</v>
      </c>
      <c r="E21" s="23" t="s">
        <v>1069</v>
      </c>
      <c r="F21" s="23" t="s">
        <v>1083</v>
      </c>
      <c r="G21" s="23" t="s">
        <v>1084</v>
      </c>
      <c r="H21" s="23"/>
      <c r="I21" s="24" t="str">
        <f aca="false">IF(OR(E21="",E21="!!!",F21="NEW"),"",INDEX(B20:B$2,-1+SUMPRODUCT(MAX(ROW(E20:E$2)*(E21=E20:E$2)))))</f>
        <v>other_3</v>
      </c>
      <c r="J21" s="24" t="n">
        <f aca="true">IF(OR(E21="",E21="!!!",F21="NEW"),"",COUNTBLANK(OFFSET(A$1,,,SUMPRODUCT(MAX(ROW(E$2:E21)*(E21=E$2:E21)))))-COUNTBLANK(OFFSET(A$1,,,SUMPRODUCT(MAX(ROW(E$1:E20)*(E2=E$1:E20))))))</f>
        <v>0</v>
      </c>
      <c r="K21" s="24" t="str">
        <f aca="false">IF(OR(E21="",E21="!!!",F21="NEW"),"",INDEX(J$1:J20,SUMPRODUCT(MAX(ROW(E$1:E20)*(E21=E$1:E20)))))</f>
        <v/>
      </c>
      <c r="L21" s="21"/>
    </row>
    <row r="22" customFormat="false" ht="15" hidden="false" customHeight="false" outlineLevel="0" collapsed="false">
      <c r="A22" s="20" t="s">
        <v>1092</v>
      </c>
      <c r="E22" s="23"/>
      <c r="F22" s="25"/>
      <c r="G22" s="26"/>
      <c r="H22" s="27"/>
      <c r="I22" s="24" t="str">
        <f aca="false">IF(OR(E22="",E22="!!!",F22="NEW"),"",INDEX(B21:B$2,-1+SUMPRODUCT(MAX(ROW(E21:E$2)*(E22=E21:E$2)))))</f>
        <v/>
      </c>
      <c r="J22" s="24" t="str">
        <f aca="true">IF(OR(E22="",E22="!!!",F22="NEW"),"",COUNTBLANK(OFFSET(A$1,,,SUMPRODUCT(MAX(ROW(E$2:E22)*(E22=E$2:E22)))))-COUNTBLANK(OFFSET(A$1,,,SUMPRODUCT(MAX(ROW(E$1:E21)*(E2=E$1:E21))))))</f>
        <v/>
      </c>
      <c r="K22" s="24" t="str">
        <f aca="false">IF(OR(E22="",E22="!!!",F22="NEW"),"",INDEX(J$1:J21,SUMPRODUCT(MAX(ROW(E$1:E21)*(E22=E$1:E21)))))</f>
        <v/>
      </c>
      <c r="L22" s="21"/>
    </row>
    <row r="23" customFormat="false" ht="15" hidden="false" customHeight="false" outlineLevel="0" collapsed="false">
      <c r="A23" s="20" t="s">
        <v>1093</v>
      </c>
      <c r="E23" s="23"/>
      <c r="F23" s="25"/>
      <c r="G23" s="26"/>
      <c r="H23" s="27"/>
      <c r="I23" s="24" t="str">
        <f aca="false">IF(OR(E23="",E23="!!!",F23="NEW"),"",INDEX(B22:B$2,-1+SUMPRODUCT(MAX(ROW(E22:E$2)*(E23=E22:E$2)))))</f>
        <v/>
      </c>
      <c r="J23" s="24" t="str">
        <f aca="true">IF(OR(E23="",E23="!!!",F23="NEW"),"",COUNTBLANK(OFFSET(A$1,,,SUMPRODUCT(MAX(ROW(E$2:E23)*(E23=E$2:E23)))))-COUNTBLANK(OFFSET(A$1,,,SUMPRODUCT(MAX(ROW(E$1:E22)*(E2=E$1:E22))))))</f>
        <v/>
      </c>
      <c r="K23" s="24" t="str">
        <f aca="false">IF(OR(E23="",E23="!!!",F23="NEW"),"",INDEX(J$1:J22,SUMPRODUCT(MAX(ROW(E$1:E22)*(E23=E$1:E22)))))</f>
        <v/>
      </c>
      <c r="L23" s="21"/>
    </row>
    <row r="24" customFormat="false" ht="15" hidden="false" customHeight="false" outlineLevel="0" collapsed="false">
      <c r="A24" s="20" t="s">
        <v>1094</v>
      </c>
      <c r="E24" s="23"/>
      <c r="F24" s="25"/>
      <c r="G24" s="26"/>
      <c r="H24" s="27"/>
      <c r="I24" s="24" t="str">
        <f aca="false">IF(OR(E24="",E24="!!!",F24="NEW"),"",INDEX(B23:B$2,-1+SUMPRODUCT(MAX(ROW(E23:E$2)*(E24=E23:E$2)))))</f>
        <v/>
      </c>
      <c r="J24" s="24" t="str">
        <f aca="true">IF(OR(E24="",E24="!!!",F24="NEW"),"",COUNTBLANK(OFFSET(A$1,,,SUMPRODUCT(MAX(ROW(E$2:E24)*(E24=E$2:E24)))))-COUNTBLANK(OFFSET(A$1,,,SUMPRODUCT(MAX(ROW(E$1:E23)*(E2=E$1:E23))))))</f>
        <v/>
      </c>
      <c r="K24" s="24" t="str">
        <f aca="false">IF(OR(E24="",E24="!!!",F24="NEW"),"",INDEX(J$1:J23,SUMPRODUCT(MAX(ROW(E$1:E23)*(E24=E$1:E23)))))</f>
        <v/>
      </c>
      <c r="L24" s="21"/>
    </row>
    <row r="25" customFormat="false" ht="15" hidden="false" customHeight="false" outlineLevel="0" collapsed="false">
      <c r="A25" s="20" t="s">
        <v>1095</v>
      </c>
      <c r="E25" s="23"/>
      <c r="F25" s="25"/>
      <c r="G25" s="26"/>
      <c r="H25" s="27"/>
      <c r="I25" s="24" t="str">
        <f aca="false">IF(OR(E25="",E25="!!!",F25="NEW"),"",INDEX(B24:B$2,-1+SUMPRODUCT(MAX(ROW(E24:E$2)*(E25=E24:E$2)))))</f>
        <v/>
      </c>
      <c r="J25" s="24" t="str">
        <f aca="true">IF(OR(E25="",E25="!!!",F25="NEW"),"",COUNTBLANK(OFFSET(A$1,,,SUMPRODUCT(MAX(ROW(E$2:E25)*(E25=E$2:E25)))))-COUNTBLANK(OFFSET(A$1,,,SUMPRODUCT(MAX(ROW(E$1:E24)*(E2=E$1:E24))))))</f>
        <v/>
      </c>
      <c r="K25" s="24" t="str">
        <f aca="false">IF(OR(E25="",E25="!!!",F25="NEW"),"",INDEX(J$1:J24,SUMPRODUCT(MAX(ROW(E$1:E24)*(E25=E$1:E24)))))</f>
        <v/>
      </c>
      <c r="L25" s="21"/>
    </row>
    <row r="26" customFormat="false" ht="15" hidden="false" customHeight="false" outlineLevel="0" collapsed="false">
      <c r="A26" s="20" t="s">
        <v>1096</v>
      </c>
      <c r="E26" s="23"/>
      <c r="F26" s="25"/>
      <c r="G26" s="26"/>
      <c r="H26" s="27"/>
      <c r="I26" s="24" t="str">
        <f aca="false">IF(OR(E26="",E26="!!!",F26="NEW"),"",INDEX(B25:B$2,-1+SUMPRODUCT(MAX(ROW(E25:E$2)*(E26=E25:E$2)))))</f>
        <v/>
      </c>
      <c r="J26" s="24" t="str">
        <f aca="true">IF(OR(E26="",E26="!!!",F26="NEW"),"",COUNTBLANK(OFFSET(A$1,,,SUMPRODUCT(MAX(ROW(E$2:E26)*(E26=E$2:E26)))))-COUNTBLANK(OFFSET(A$1,,,SUMPRODUCT(MAX(ROW(E$1:E25)*(E2=E$1:E25))))))</f>
        <v/>
      </c>
      <c r="K26" s="24" t="str">
        <f aca="false">IF(OR(E26="",E26="!!!",F26="NEW"),"",INDEX(J$1:J25,SUMPRODUCT(MAX(ROW(E$1:E25)*(E26=E$1:E25)))))</f>
        <v/>
      </c>
      <c r="L26" s="21"/>
    </row>
    <row r="27" customFormat="false" ht="15" hidden="false" customHeight="false" outlineLevel="0" collapsed="false">
      <c r="A27" s="20" t="s">
        <v>1097</v>
      </c>
      <c r="B27" s="22" t="s">
        <v>1098</v>
      </c>
      <c r="C27" s="22" t="s">
        <v>1099</v>
      </c>
      <c r="D27" s="22" t="s">
        <v>1060</v>
      </c>
      <c r="E27" s="23" t="s">
        <v>1069</v>
      </c>
      <c r="F27" s="23" t="s">
        <v>1083</v>
      </c>
      <c r="G27" s="23" t="s">
        <v>1084</v>
      </c>
      <c r="H27" s="23"/>
      <c r="I27" s="24" t="str">
        <f aca="false">IF(OR(E27="",E27="!!!",F27="NEW"),"",INDEX(B26:B$2,-1+SUMPRODUCT(MAX(ROW(E26:E$2)*(E27=E26:E$2)))))</f>
        <v>SBJ_3</v>
      </c>
      <c r="J27" s="24" t="n">
        <f aca="true">IF(OR(E27="",E27="!!!",F27="NEW"),"",COUNTBLANK(OFFSET(A$1,,,SUMPRODUCT(MAX(ROW(E$2:E27)*(E27=E$2:E27)))))-COUNTBLANK(OFFSET(A$1,,,SUMPRODUCT(MAX(ROW(E$1:E26)*(E2=E$1:E26))))))</f>
        <v>0</v>
      </c>
      <c r="K27" s="24" t="n">
        <f aca="false">IF(OR(E27="",E27="!!!",F27="NEW"),"",INDEX(J$1:J26,SUMPRODUCT(MAX(ROW(E$1:E26)*(E27=E$1:E26)))))</f>
        <v>0</v>
      </c>
      <c r="L27" s="21"/>
    </row>
    <row r="28" customFormat="false" ht="15" hidden="false" customHeight="false" outlineLevel="0" collapsed="false">
      <c r="A28" s="20" t="s">
        <v>1100</v>
      </c>
      <c r="E28" s="23"/>
      <c r="F28" s="25"/>
      <c r="G28" s="26"/>
      <c r="H28" s="27"/>
      <c r="I28" s="24" t="str">
        <f aca="false">IF(OR(E28="",E28="!!!",F28="NEW"),"",INDEX(B27:B$2,-1+SUMPRODUCT(MAX(ROW(E27:E$2)*(E28=E27:E$2)))))</f>
        <v/>
      </c>
      <c r="J28" s="24" t="str">
        <f aca="true">IF(OR(E28="",E28="!!!",F28="NEW"),"",COUNTBLANK(OFFSET(A$1,,,SUMPRODUCT(MAX(ROW(E$2:E28)*(E28=E$2:E28)))))-COUNTBLANK(OFFSET(A$1,,,SUMPRODUCT(MAX(ROW(E$1:E27)*(E2=E$1:E27))))))</f>
        <v/>
      </c>
      <c r="K28" s="24" t="str">
        <f aca="false">IF(OR(E28="",E28="!!!",F28="NEW"),"",INDEX(J$1:J27,SUMPRODUCT(MAX(ROW(E$1:E27)*(E28=E$1:E27)))))</f>
        <v/>
      </c>
      <c r="L28" s="21"/>
    </row>
    <row r="29" customFormat="false" ht="15" hidden="false" customHeight="false" outlineLevel="0" collapsed="false">
      <c r="A29" s="20" t="s">
        <v>1101</v>
      </c>
      <c r="B29" s="22" t="s">
        <v>1102</v>
      </c>
      <c r="C29" s="22" t="s">
        <v>1059</v>
      </c>
      <c r="D29" s="22" t="s">
        <v>1060</v>
      </c>
      <c r="E29" s="23" t="s">
        <v>1101</v>
      </c>
      <c r="F29" s="23" t="s">
        <v>1062</v>
      </c>
      <c r="G29" s="23" t="s">
        <v>1103</v>
      </c>
      <c r="H29" s="23"/>
      <c r="I29" s="24" t="str">
        <f aca="false">IF(OR(E29="",E29="!!!",F29="NEW"),"",INDEX(B28:B$2,-1+SUMPRODUCT(MAX(ROW(E28:E$2)*(E29=E28:E$2)))))</f>
        <v/>
      </c>
      <c r="J29" s="24" t="str">
        <f aca="true">IF(OR(E29="",E29="!!!",F29="NEW"),"",COUNTBLANK(OFFSET(A$1,,,SUMPRODUCT(MAX(ROW(E$2:E29)*(E29=E$2:E29)))))-COUNTBLANK(OFFSET(A$1,,,SUMPRODUCT(MAX(ROW(E$1:E28)*(E2=E$1:E28))))))</f>
        <v/>
      </c>
      <c r="K29" s="24" t="str">
        <f aca="false">IF(OR(E29="",E29="!!!",F29="NEW"),"",INDEX(J$1:J28,SUMPRODUCT(MAX(ROW(E$1:E28)*(E29=E$1:E28)))))</f>
        <v/>
      </c>
      <c r="L29" s="21"/>
    </row>
    <row r="30" customFormat="false" ht="15" hidden="false" customHeight="false" outlineLevel="0" collapsed="false">
      <c r="A30" s="20" t="s">
        <v>1095</v>
      </c>
      <c r="E30" s="23"/>
      <c r="F30" s="25"/>
      <c r="G30" s="26"/>
      <c r="H30" s="27"/>
      <c r="I30" s="24" t="str">
        <f aca="false">IF(OR(E30="",E30="!!!",F30="NEW"),"",INDEX(B29:B$2,-1+SUMPRODUCT(MAX(ROW(E29:E$2)*(E30=E29:E$2)))))</f>
        <v/>
      </c>
      <c r="J30" s="24" t="str">
        <f aca="true">IF(OR(E30="",E30="!!!",F30="NEW"),"",COUNTBLANK(OFFSET(A$1,,,SUMPRODUCT(MAX(ROW(E$2:E30)*(E30=E$2:E30)))))-COUNTBLANK(OFFSET(A$1,,,SUMPRODUCT(MAX(ROW(E$1:E29)*(E2=E$1:E29))))))</f>
        <v/>
      </c>
      <c r="K30" s="24" t="str">
        <f aca="false">IF(OR(E30="",E30="!!!",F30="NEW"),"",INDEX(J$1:J29,SUMPRODUCT(MAX(ROW(E$1:E29)*(E30=E$1:E29)))))</f>
        <v/>
      </c>
      <c r="L30" s="21"/>
    </row>
    <row r="31" customFormat="false" ht="15" hidden="false" customHeight="false" outlineLevel="0" collapsed="false">
      <c r="A31" s="20" t="s">
        <v>1104</v>
      </c>
      <c r="E31" s="23"/>
      <c r="F31" s="25"/>
      <c r="G31" s="26"/>
      <c r="H31" s="27"/>
      <c r="I31" s="24" t="str">
        <f aca="false">IF(OR(E31="",E31="!!!",F31="NEW"),"",INDEX(B30:B$2,-1+SUMPRODUCT(MAX(ROW(E30:E$2)*(E31=E30:E$2)))))</f>
        <v/>
      </c>
      <c r="J31" s="24" t="str">
        <f aca="true">IF(OR(E31="",E31="!!!",F31="NEW"),"",COUNTBLANK(OFFSET(A$1,,,SUMPRODUCT(MAX(ROW(E$2:E31)*(E31=E$2:E31)))))-COUNTBLANK(OFFSET(A$1,,,SUMPRODUCT(MAX(ROW(E$1:E30)*(E2=E$1:E30))))))</f>
        <v/>
      </c>
      <c r="K31" s="24" t="str">
        <f aca="false">IF(OR(E31="",E31="!!!",F31="NEW"),"",INDEX(J$1:J30,SUMPRODUCT(MAX(ROW(E$1:E30)*(E31=E$1:E30)))))</f>
        <v/>
      </c>
      <c r="L31" s="21"/>
    </row>
    <row r="32" customFormat="false" ht="15" hidden="false" customHeight="false" outlineLevel="0" collapsed="false">
      <c r="A32" s="20" t="s">
        <v>1105</v>
      </c>
      <c r="E32" s="23"/>
      <c r="F32" s="25"/>
      <c r="G32" s="26"/>
      <c r="H32" s="27"/>
      <c r="I32" s="24" t="str">
        <f aca="false">IF(OR(E32="",E32="!!!",F32="NEW"),"",INDEX(B31:B$2,-1+SUMPRODUCT(MAX(ROW(E31:E$2)*(E32=E31:E$2)))))</f>
        <v/>
      </c>
      <c r="J32" s="24" t="str">
        <f aca="true">IF(OR(E32="",E32="!!!",F32="NEW"),"",COUNTBLANK(OFFSET(A$1,,,SUMPRODUCT(MAX(ROW(E$2:E32)*(E32=E$2:E32)))))-COUNTBLANK(OFFSET(A$1,,,SUMPRODUCT(MAX(ROW(E$1:E31)*(E2=E$1:E31))))))</f>
        <v/>
      </c>
      <c r="K32" s="24" t="str">
        <f aca="false">IF(OR(E32="",E32="!!!",F32="NEW"),"",INDEX(J$1:J31,SUMPRODUCT(MAX(ROW(E$1:E31)*(E32=E$1:E31)))))</f>
        <v/>
      </c>
      <c r="L32" s="21"/>
    </row>
    <row r="33" customFormat="false" ht="15" hidden="false" customHeight="false" outlineLevel="0" collapsed="false">
      <c r="A33" s="20" t="s">
        <v>1106</v>
      </c>
      <c r="B33" s="22" t="s">
        <v>1107</v>
      </c>
      <c r="C33" s="22" t="s">
        <v>1087</v>
      </c>
      <c r="E33" s="23"/>
      <c r="F33" s="25"/>
      <c r="G33" s="26"/>
      <c r="H33" s="27"/>
      <c r="I33" s="24" t="str">
        <f aca="false">IF(OR(E33="",E33="!!!",F33="NEW"),"",INDEX(B32:B$2,-1+SUMPRODUCT(MAX(ROW(E32:E$2)*(E33=E32:E$2)))))</f>
        <v/>
      </c>
      <c r="J33" s="24" t="str">
        <f aca="true">IF(OR(E33="",E33="!!!",F33="NEW"),"",COUNTBLANK(OFFSET(A$1,,,SUMPRODUCT(MAX(ROW(E$2:E33)*(E33=E$2:E33)))))-COUNTBLANK(OFFSET(A$1,,,SUMPRODUCT(MAX(ROW(E$1:E32)*(E2=E$1:E32))))))</f>
        <v/>
      </c>
      <c r="K33" s="24" t="str">
        <f aca="false">IF(OR(E33="",E33="!!!",F33="NEW"),"",INDEX(J$1:J32,SUMPRODUCT(MAX(ROW(E$1:E32)*(E33=E$1:E32)))))</f>
        <v/>
      </c>
      <c r="L33" s="21"/>
    </row>
    <row r="34" customFormat="false" ht="15" hidden="false" customHeight="false" outlineLevel="0" collapsed="false">
      <c r="A34" s="20" t="s">
        <v>1108</v>
      </c>
      <c r="E34" s="23"/>
      <c r="F34" s="25"/>
      <c r="G34" s="26"/>
      <c r="H34" s="27"/>
      <c r="I34" s="24" t="str">
        <f aca="false">IF(OR(E34="",E34="!!!",F34="NEW"),"",INDEX(B33:B$2,-1+SUMPRODUCT(MAX(ROW(E33:E$2)*(E34=E33:E$2)))))</f>
        <v/>
      </c>
      <c r="J34" s="24" t="str">
        <f aca="true">IF(OR(E34="",E34="!!!",F34="NEW"),"",COUNTBLANK(OFFSET(A$1,,,SUMPRODUCT(MAX(ROW(E$2:E34)*(E34=E$2:E34)))))-COUNTBLANK(OFFSET(A$1,,,SUMPRODUCT(MAX(ROW(E$1:E33)*(E2=E$1:E33))))))</f>
        <v/>
      </c>
      <c r="K34" s="24" t="str">
        <f aca="false">IF(OR(E34="",E34="!!!",F34="NEW"),"",INDEX(J$1:J33,SUMPRODUCT(MAX(ROW(E$1:E33)*(E34=E$1:E33)))))</f>
        <v/>
      </c>
      <c r="L34" s="21"/>
    </row>
    <row r="35" customFormat="false" ht="15" hidden="false" customHeight="false" outlineLevel="0" collapsed="false">
      <c r="A35" s="20" t="s">
        <v>1109</v>
      </c>
      <c r="E35" s="23"/>
      <c r="F35" s="25"/>
      <c r="G35" s="26"/>
      <c r="H35" s="27"/>
      <c r="I35" s="24" t="str">
        <f aca="false">IF(OR(E35="",E35="!!!",F35="NEW"),"",INDEX(B34:B$2,-1+SUMPRODUCT(MAX(ROW(E34:E$2)*(E35=E34:E$2)))))</f>
        <v/>
      </c>
      <c r="J35" s="24" t="str">
        <f aca="true">IF(OR(E35="",E35="!!!",F35="NEW"),"",COUNTBLANK(OFFSET(A$1,,,SUMPRODUCT(MAX(ROW(E$2:E35)*(E35=E$2:E35)))))-COUNTBLANK(OFFSET(A$1,,,SUMPRODUCT(MAX(ROW(E$1:E34)*(E2=E$1:E34))))))</f>
        <v/>
      </c>
      <c r="K35" s="24" t="str">
        <f aca="false">IF(OR(E35="",E35="!!!",F35="NEW"),"",INDEX(J$1:J34,SUMPRODUCT(MAX(ROW(E$1:E34)*(E35=E$1:E34)))))</f>
        <v/>
      </c>
      <c r="L35" s="21"/>
    </row>
    <row r="36" customFormat="false" ht="15" hidden="false" customHeight="false" outlineLevel="0" collapsed="false">
      <c r="A36" s="20" t="s">
        <v>1110</v>
      </c>
      <c r="B36" s="22" t="s">
        <v>1107</v>
      </c>
      <c r="C36" s="22" t="s">
        <v>1059</v>
      </c>
      <c r="D36" s="22" t="s">
        <v>1060</v>
      </c>
      <c r="E36" s="23" t="s">
        <v>16</v>
      </c>
      <c r="F36" s="23" t="s">
        <v>1074</v>
      </c>
      <c r="G36" s="23"/>
      <c r="H36" s="23"/>
      <c r="I36" s="28" t="e">
        <f aca="false">IF(OR(E36="",E36="!!!",F36="NEW"),"",INDEX(B35:B$2,-1+SUMPRODUCT(MAX(ROW(E35:E$2)*(E36=E35:E$2)))))</f>
        <v>#VALUE!</v>
      </c>
      <c r="J36" s="24" t="n">
        <f aca="true">IF(OR(E36="",E36="!!!",F36="NEW"),"",COUNTBLANK(OFFSET(A$1,,,SUMPRODUCT(MAX(ROW(E$2:E36)*(E36=E$2:E36)))))-COUNTBLANK(OFFSET(A$1,,,SUMPRODUCT(MAX(ROW(E$1:E35)*(E2=E$1:E35))))))</f>
        <v>0</v>
      </c>
      <c r="K36" s="28" t="e">
        <f aca="false">IF(OR(E36="",E36="!!!",F36="NEW"),"",INDEX(J$1:J35,SUMPRODUCT(MAX(ROW(E$1:E35)*(E36=E$1:E35)))))</f>
        <v>#VALUE!</v>
      </c>
      <c r="L36" s="21"/>
    </row>
    <row r="37" customFormat="false" ht="15" hidden="false" customHeight="false" outlineLevel="0" collapsed="false">
      <c r="A37" s="20" t="s">
        <v>1064</v>
      </c>
      <c r="E37" s="23"/>
      <c r="F37" s="25"/>
      <c r="G37" s="26"/>
      <c r="H37" s="27"/>
      <c r="I37" s="24" t="str">
        <f aca="false">IF(OR(E37="",E37="!!!",F37="NEW"),"",INDEX(B36:B$2,-1+SUMPRODUCT(MAX(ROW(E36:E$2)*(E37=E36:E$2)))))</f>
        <v/>
      </c>
      <c r="J37" s="24" t="str">
        <f aca="true">IF(OR(E37="",E37="!!!",F37="NEW"),"",COUNTBLANK(OFFSET(A$1,,,SUMPRODUCT(MAX(ROW(E$2:E37)*(E37=E$2:E37)))))-COUNTBLANK(OFFSET(A$1,,,SUMPRODUCT(MAX(ROW(E$1:E36)*(E2=E$1:E36))))))</f>
        <v/>
      </c>
      <c r="K37" s="24" t="str">
        <f aca="false">IF(OR(E37="",E37="!!!",F37="NEW"),"",INDEX(J$1:J36,SUMPRODUCT(MAX(ROW(E$1:E36)*(E37=E$1:E36)))))</f>
        <v/>
      </c>
      <c r="L37" s="21"/>
    </row>
    <row r="38" customFormat="false" ht="15" hidden="false" customHeight="false" outlineLevel="0" collapsed="false">
      <c r="A38" s="20" t="s">
        <v>1111</v>
      </c>
      <c r="B38" s="22" t="s">
        <v>1112</v>
      </c>
      <c r="C38" s="22" t="s">
        <v>1099</v>
      </c>
      <c r="D38" s="22" t="s">
        <v>1060</v>
      </c>
      <c r="E38" s="23" t="s">
        <v>1101</v>
      </c>
      <c r="F38" s="23" t="s">
        <v>1083</v>
      </c>
      <c r="G38" s="23" t="s">
        <v>1084</v>
      </c>
      <c r="H38" s="23"/>
      <c r="I38" s="24" t="str">
        <f aca="false">IF(OR(E38="",E38="!!!",F38="NEW"),"",INDEX(B37:B$2,-1+SUMPRODUCT(MAX(ROW(E37:E$2)*(E38=E37:E$2)))))</f>
        <v>OBJ_4</v>
      </c>
      <c r="J38" s="24" t="n">
        <f aca="true">IF(OR(E38="",E38="!!!",F38="NEW"),"",COUNTBLANK(OFFSET(A$1,,,SUMPRODUCT(MAX(ROW(E$2:E38)*(E38=E$2:E38)))))-COUNTBLANK(OFFSET(A$1,,,SUMPRODUCT(MAX(ROW(E$1:E37)*(E2=E$1:E37))))))</f>
        <v>0</v>
      </c>
      <c r="K38" s="24" t="str">
        <f aca="false">IF(OR(E38="",E38="!!!",F38="NEW"),"",INDEX(J$1:J37,SUMPRODUCT(MAX(ROW(E$1:E37)*(E38=E$1:E37)))))</f>
        <v/>
      </c>
      <c r="L38" s="21"/>
    </row>
    <row r="39" customFormat="false" ht="15" hidden="false" customHeight="false" outlineLevel="0" collapsed="false">
      <c r="A39" s="20" t="s">
        <v>1113</v>
      </c>
      <c r="B39" s="22" t="s">
        <v>1098</v>
      </c>
      <c r="C39" s="22" t="s">
        <v>1059</v>
      </c>
      <c r="D39" s="22" t="s">
        <v>1060</v>
      </c>
      <c r="E39" s="23" t="s">
        <v>16</v>
      </c>
      <c r="F39" s="23" t="s">
        <v>1074</v>
      </c>
      <c r="G39" s="23"/>
      <c r="H39" s="23"/>
      <c r="I39" s="24" t="str">
        <f aca="false">IF(OR(E39="",E39="!!!",F39="NEW"),"",INDEX(B38:B$2,-1+SUMPRODUCT(MAX(ROW(E38:E$2)*(E39=E38:E$2)))))</f>
        <v>other_4</v>
      </c>
      <c r="J39" s="24" t="n">
        <f aca="true">IF(OR(E39="",E39="!!!",F39="NEW"),"",COUNTBLANK(OFFSET(A$1,,,SUMPRODUCT(MAX(ROW(E$2:E39)*(E39=E$2:E39)))))-COUNTBLANK(OFFSET(A$1,,,SUMPRODUCT(MAX(ROW(E$1:E38)*(E2=E$1:E38))))))</f>
        <v>0</v>
      </c>
      <c r="K39" s="24" t="n">
        <f aca="false">IF(OR(E39="",E39="!!!",F39="NEW"),"",INDEX(J$1:J38,SUMPRODUCT(MAX(ROW(E$1:E38)*(E39=E$1:E38)))))</f>
        <v>0</v>
      </c>
      <c r="L39" s="21"/>
    </row>
    <row r="40" customFormat="false" ht="15" hidden="false" customHeight="false" outlineLevel="0" collapsed="false">
      <c r="A40" s="20" t="s">
        <v>923</v>
      </c>
      <c r="E40" s="23"/>
      <c r="F40" s="25"/>
      <c r="G40" s="26"/>
      <c r="H40" s="27"/>
      <c r="I40" s="24" t="str">
        <f aca="false">IF(OR(E40="",E40="!!!",F40="NEW"),"",INDEX(B39:B$2,-1+SUMPRODUCT(MAX(ROW(E39:E$2)*(E40=E39:E$2)))))</f>
        <v/>
      </c>
      <c r="J40" s="24" t="str">
        <f aca="true">IF(OR(E40="",E40="!!!",F40="NEW"),"",COUNTBLANK(OFFSET(A$1,,,SUMPRODUCT(MAX(ROW(E$2:E40)*(E40=E$2:E40)))))-COUNTBLANK(OFFSET(A$1,,,SUMPRODUCT(MAX(ROW(E$1:E39)*(E2=E$1:E39))))))</f>
        <v/>
      </c>
      <c r="K40" s="24" t="str">
        <f aca="false">IF(OR(E40="",E40="!!!",F40="NEW"),"",INDEX(J$1:J39,SUMPRODUCT(MAX(ROW(E$1:E39)*(E40=E$1:E39)))))</f>
        <v/>
      </c>
      <c r="L40" s="21"/>
    </row>
    <row r="41" customFormat="false" ht="15" hidden="false" customHeight="false" outlineLevel="0" collapsed="false">
      <c r="A41" s="20"/>
      <c r="L41" s="21"/>
    </row>
    <row r="42" customFormat="false" ht="15" hidden="false" customHeight="false" outlineLevel="0" collapsed="false">
      <c r="A42" s="20" t="s">
        <v>1114</v>
      </c>
      <c r="L42" s="21"/>
    </row>
    <row r="43" customFormat="false" ht="15" hidden="false" customHeight="false" outlineLevel="0" collapsed="false">
      <c r="A43" s="20" t="s">
        <v>1115</v>
      </c>
      <c r="E43" s="23"/>
      <c r="F43" s="25"/>
      <c r="G43" s="26"/>
      <c r="H43" s="27"/>
      <c r="I43" s="24" t="str">
        <f aca="false">IF(OR(E43="",E43="!!!",F43="NEW"),"",INDEX(B2:B$42,-1+SUMPRODUCT(MAX(ROW(E2:E$42)*(E43=E2:E$42)))))</f>
        <v/>
      </c>
      <c r="J43" s="24" t="str">
        <f aca="true">IF(OR(E43="",E43="!!!",F43="NEW"),"",COUNTBLANK(OFFSET(A$1,,,SUMPRODUCT(MAX(ROW(E$2:E43)*(E43=E$2:E43)))))-COUNTBLANK(OFFSET(A$1,,,SUMPRODUCT(MAX(ROW(E$1:E42)*(E2=E$1:E42))))))</f>
        <v/>
      </c>
      <c r="K43" s="24" t="str">
        <f aca="false">IF(OR(E43="",E43="!!!",F43="NEW"),"",INDEX(J$1:J42,SUMPRODUCT(MAX(ROW(E$1:E42)*(E43=E$1:E42)))))</f>
        <v/>
      </c>
      <c r="L43" s="21"/>
    </row>
    <row r="44" customFormat="false" ht="15" hidden="false" customHeight="false" outlineLevel="0" collapsed="false">
      <c r="A44" s="20" t="s">
        <v>1080</v>
      </c>
      <c r="B44" s="22" t="s">
        <v>1058</v>
      </c>
      <c r="C44" s="22" t="s">
        <v>1082</v>
      </c>
      <c r="D44" s="22" t="s">
        <v>1060</v>
      </c>
      <c r="E44" s="23" t="s">
        <v>1061</v>
      </c>
      <c r="F44" s="23" t="s">
        <v>1083</v>
      </c>
      <c r="G44" s="23" t="s">
        <v>1084</v>
      </c>
      <c r="H44" s="23" t="s">
        <v>1052</v>
      </c>
      <c r="I44" s="28" t="n">
        <f aca="false">IF(OR(E44="",E44="!!!",F44="NEW"),"",INDEX(B3:B$42,-1+SUMPRODUCT(MAX(ROW(E3:E$42)*(E44=E3:E$42)))))</f>
        <v>0</v>
      </c>
      <c r="J44" s="24" t="n">
        <f aca="true">IF(OR(E44="",E44="!!!",F44="NEW"),"",COUNTBLANK(OFFSET(A$1,,,SUMPRODUCT(MAX(ROW(E$2:E44)*(E44=E$2:E44)))))-COUNTBLANK(OFFSET(A$1,,,SUMPRODUCT(MAX(ROW(E$1:E43)*(E2=E$1:E43))))))</f>
        <v>0</v>
      </c>
      <c r="K44" s="24" t="n">
        <f aca="false">IF(OR(E44="",E44="!!!",F44="NEW"),"",INDEX(J$1:J43,SUMPRODUCT(MAX(ROW(E$1:E43)*(E44=E$1:E43)))))</f>
        <v>0</v>
      </c>
      <c r="L44" s="21"/>
    </row>
    <row r="45" customFormat="false" ht="15" hidden="false" customHeight="false" outlineLevel="0" collapsed="false">
      <c r="A45" s="20" t="s">
        <v>1116</v>
      </c>
      <c r="E45" s="23"/>
      <c r="F45" s="25"/>
      <c r="G45" s="26"/>
      <c r="H45" s="27"/>
      <c r="I45" s="24" t="str">
        <f aca="false">IF(OR(E45="",E45="!!!",F45="NEW"),"",INDEX(B4:B$42,-1+SUMPRODUCT(MAX(ROW(E4:E$42)*(E45=E4:E$42)))))</f>
        <v/>
      </c>
      <c r="J45" s="24" t="str">
        <f aca="true">IF(OR(E45="",E45="!!!",F45="NEW"),"",COUNTBLANK(OFFSET(A$1,,,SUMPRODUCT(MAX(ROW(E$2:E45)*(E45=E$2:E45)))))-COUNTBLANK(OFFSET(A$1,,,SUMPRODUCT(MAX(ROW(E$1:E44)*(E2=E$1:E44))))))</f>
        <v/>
      </c>
      <c r="K45" s="24" t="str">
        <f aca="false">IF(OR(E45="",E45="!!!",F45="NEW"),"",INDEX(J$1:J44,SUMPRODUCT(MAX(ROW(E$1:E44)*(E45=E$1:E44)))))</f>
        <v/>
      </c>
      <c r="L45" s="21"/>
    </row>
    <row r="46" customFormat="false" ht="15" hidden="false" customHeight="false" outlineLevel="0" collapsed="false">
      <c r="A46" s="20" t="s">
        <v>1117</v>
      </c>
      <c r="E46" s="23"/>
      <c r="F46" s="25"/>
      <c r="G46" s="26"/>
      <c r="H46" s="27"/>
      <c r="I46" s="24" t="str">
        <f aca="false">IF(OR(E46="",E46="!!!",F46="NEW"),"",INDEX(B5:B$42,-1+SUMPRODUCT(MAX(ROW(E5:E$42)*(E46=E5:E$42)))))</f>
        <v/>
      </c>
      <c r="J46" s="24" t="str">
        <f aca="true">IF(OR(E46="",E46="!!!",F46="NEW"),"",COUNTBLANK(OFFSET(A$1,,,SUMPRODUCT(MAX(ROW(E$2:E46)*(E46=E$2:E46)))))-COUNTBLANK(OFFSET(A$1,,,SUMPRODUCT(MAX(ROW(E$1:E45)*(E2=E$1:E45))))))</f>
        <v/>
      </c>
      <c r="K46" s="24" t="str">
        <f aca="false">IF(OR(E46="",E46="!!!",F46="NEW"),"",INDEX(J$1:J45,SUMPRODUCT(MAX(ROW(E$1:E45)*(E46=E$1:E45)))))</f>
        <v/>
      </c>
      <c r="L46" s="21"/>
    </row>
    <row r="47" customFormat="false" ht="15" hidden="false" customHeight="false" outlineLevel="0" collapsed="false">
      <c r="A47" s="20" t="s">
        <v>1118</v>
      </c>
      <c r="E47" s="23"/>
      <c r="F47" s="25"/>
      <c r="G47" s="26"/>
      <c r="H47" s="27"/>
      <c r="I47" s="24" t="str">
        <f aca="false">IF(OR(E47="",E47="!!!",F47="NEW"),"",INDEX(B6:B$42,-1+SUMPRODUCT(MAX(ROW(E6:E$42)*(E47=E6:E$42)))))</f>
        <v/>
      </c>
      <c r="J47" s="24" t="str">
        <f aca="true">IF(OR(E47="",E47="!!!",F47="NEW"),"",COUNTBLANK(OFFSET(A$1,,,SUMPRODUCT(MAX(ROW(E$2:E47)*(E47=E$2:E47)))))-COUNTBLANK(OFFSET(A$1,,,SUMPRODUCT(MAX(ROW(E$1:E46)*(E2=E$1:E46))))))</f>
        <v/>
      </c>
      <c r="K47" s="24" t="str">
        <f aca="false">IF(OR(E47="",E47="!!!",F47="NEW"),"",INDEX(J$1:J46,SUMPRODUCT(MAX(ROW(E$1:E46)*(E47=E$1:E46)))))</f>
        <v/>
      </c>
      <c r="L47" s="21"/>
    </row>
    <row r="48" customFormat="false" ht="15" hidden="false" customHeight="false" outlineLevel="0" collapsed="false">
      <c r="A48" s="20" t="s">
        <v>1119</v>
      </c>
      <c r="E48" s="23"/>
      <c r="F48" s="25"/>
      <c r="G48" s="26"/>
      <c r="H48" s="27"/>
      <c r="I48" s="24" t="str">
        <f aca="false">IF(OR(E48="",E48="!!!",F48="NEW"),"",INDEX(B7:B$42,-1+SUMPRODUCT(MAX(ROW(E7:E$42)*(E48=E7:E$42)))))</f>
        <v/>
      </c>
      <c r="J48" s="24" t="str">
        <f aca="true">IF(OR(E48="",E48="!!!",F48="NEW"),"",COUNTBLANK(OFFSET(A$1,,,SUMPRODUCT(MAX(ROW(E$2:E48)*(E48=E$2:E48)))))-COUNTBLANK(OFFSET(A$1,,,SUMPRODUCT(MAX(ROW(E$1:E47)*(E2=E$1:E47))))))</f>
        <v/>
      </c>
      <c r="K48" s="24" t="str">
        <f aca="false">IF(OR(E48="",E48="!!!",F48="NEW"),"",INDEX(J$1:J47,SUMPRODUCT(MAX(ROW(E$1:E47)*(E48=E$1:E47)))))</f>
        <v/>
      </c>
      <c r="L48" s="21"/>
    </row>
    <row r="49" customFormat="false" ht="15" hidden="false" customHeight="false" outlineLevel="0" collapsed="false">
      <c r="A49" s="20" t="s">
        <v>1097</v>
      </c>
      <c r="B49" s="22" t="s">
        <v>1073</v>
      </c>
      <c r="C49" s="22" t="s">
        <v>1099</v>
      </c>
      <c r="D49" s="22" t="s">
        <v>1060</v>
      </c>
      <c r="E49" s="23" t="s">
        <v>1069</v>
      </c>
      <c r="F49" s="23" t="s">
        <v>1083</v>
      </c>
      <c r="G49" s="23" t="s">
        <v>1120</v>
      </c>
      <c r="H49" s="23"/>
      <c r="I49" s="24" t="str">
        <f aca="false">IF(OR(E49="",E49="!!!",F49="NEW"),"",INDEX(B8:B$42,-1+SUMPRODUCT(MAX(ROW(E8:E$42)*(E49=E8:E$42)))))</f>
        <v>other_4</v>
      </c>
      <c r="J49" s="24" t="n">
        <f aca="true">IF(OR(E49="",E49="!!!",F49="NEW"),"",COUNTBLANK(OFFSET(A$1,,,SUMPRODUCT(MAX(ROW(E$2:E49)*(E49=E$2:E49)))))-COUNTBLANK(OFFSET(A$1,,,SUMPRODUCT(MAX(ROW(E$1:E48)*(E2=E$1:E48))))))</f>
        <v>0</v>
      </c>
      <c r="K49" s="24" t="n">
        <f aca="false">IF(OR(E49="",E49="!!!",F49="NEW"),"",INDEX(J$1:J48,SUMPRODUCT(MAX(ROW(E$1:E48)*(E49=E$1:E48)))))</f>
        <v>0</v>
      </c>
      <c r="L49" s="21"/>
    </row>
    <row r="50" customFormat="false" ht="15" hidden="false" customHeight="false" outlineLevel="0" collapsed="false">
      <c r="A50" s="20" t="s">
        <v>1121</v>
      </c>
      <c r="E50" s="23"/>
      <c r="F50" s="25"/>
      <c r="G50" s="26"/>
      <c r="H50" s="27"/>
      <c r="I50" s="24" t="str">
        <f aca="false">IF(OR(E50="",E50="!!!",F50="NEW"),"",INDEX(B9:B$42,-1+SUMPRODUCT(MAX(ROW(E9:E$42)*(E50=E9:E$42)))))</f>
        <v/>
      </c>
      <c r="J50" s="24" t="str">
        <f aca="true">IF(OR(E50="",E50="!!!",F50="NEW"),"",COUNTBLANK(OFFSET(A$1,,,SUMPRODUCT(MAX(ROW(E$2:E50)*(E50=E$2:E50)))))-COUNTBLANK(OFFSET(A$1,,,SUMPRODUCT(MAX(ROW(E$1:E49)*(E2=E$1:E49))))))</f>
        <v/>
      </c>
      <c r="K50" s="24" t="str">
        <f aca="false">IF(OR(E50="",E50="!!!",F50="NEW"),"",INDEX(J$1:J49,SUMPRODUCT(MAX(ROW(E$1:E49)*(E50=E$1:E49)))))</f>
        <v/>
      </c>
      <c r="L50" s="21"/>
    </row>
    <row r="51" customFormat="false" ht="15" hidden="false" customHeight="false" outlineLevel="0" collapsed="false">
      <c r="A51" s="20" t="s">
        <v>1122</v>
      </c>
      <c r="E51" s="23"/>
      <c r="F51" s="25"/>
      <c r="G51" s="26"/>
      <c r="H51" s="27"/>
      <c r="I51" s="24" t="str">
        <f aca="false">IF(OR(E51="",E51="!!!",F51="NEW"),"",INDEX(B10:B$42,-1+SUMPRODUCT(MAX(ROW(E10:E$42)*(E51=E10:E$42)))))</f>
        <v/>
      </c>
      <c r="J51" s="24" t="str">
        <f aca="true">IF(OR(E51="",E51="!!!",F51="NEW"),"",COUNTBLANK(OFFSET(A$1,,,SUMPRODUCT(MAX(ROW(E$2:E51)*(E51=E$2:E51)))))-COUNTBLANK(OFFSET(A$1,,,SUMPRODUCT(MAX(ROW(E$1:E50)*(E2=E$1:E50))))))</f>
        <v/>
      </c>
      <c r="K51" s="24" t="str">
        <f aca="false">IF(OR(E51="",E51="!!!",F51="NEW"),"",INDEX(J$1:J50,SUMPRODUCT(MAX(ROW(E$1:E50)*(E51=E$1:E50)))))</f>
        <v/>
      </c>
      <c r="L51" s="21"/>
    </row>
    <row r="52" customFormat="false" ht="15" hidden="false" customHeight="false" outlineLevel="0" collapsed="false">
      <c r="A52" s="20" t="s">
        <v>1123</v>
      </c>
      <c r="B52" s="22" t="s">
        <v>1105</v>
      </c>
      <c r="C52" s="22" t="s">
        <v>1059</v>
      </c>
      <c r="D52" s="22" t="s">
        <v>1060</v>
      </c>
      <c r="E52" s="23" t="s">
        <v>16</v>
      </c>
      <c r="F52" s="23" t="s">
        <v>1124</v>
      </c>
      <c r="G52" s="23"/>
      <c r="H52" s="23"/>
      <c r="I52" s="28" t="e">
        <f aca="false">IF(OR(E52="",E52="!!!",F52="NEW"),"",INDEX(B11:B$42,-1+SUMPRODUCT(MAX(ROW(E11:E$42)*(E52=E11:E$42)))))</f>
        <v>#REF!</v>
      </c>
      <c r="J52" s="24" t="n">
        <f aca="true">IF(OR(E52="",E52="!!!",F52="NEW"),"",COUNTBLANK(OFFSET(A$1,,,SUMPRODUCT(MAX(ROW(E$2:E52)*(E52=E$2:E52)))))-COUNTBLANK(OFFSET(A$1,,,SUMPRODUCT(MAX(ROW(E$1:E51)*(E2=E$1:E51))))))</f>
        <v>0</v>
      </c>
      <c r="K52" s="24" t="n">
        <f aca="false">IF(OR(E52="",E52="!!!",F52="NEW"),"",INDEX(J$1:J51,SUMPRODUCT(MAX(ROW(E$1:E51)*(E52=E$1:E51)))))</f>
        <v>0</v>
      </c>
      <c r="L52" s="21"/>
    </row>
    <row r="53" customFormat="false" ht="15" hidden="false" customHeight="false" outlineLevel="0" collapsed="false">
      <c r="A53" s="20" t="s">
        <v>1076</v>
      </c>
      <c r="E53" s="23"/>
      <c r="F53" s="25"/>
      <c r="G53" s="26"/>
      <c r="H53" s="27"/>
      <c r="I53" s="24" t="str">
        <f aca="false">IF(OR(E53="",E53="!!!",F53="NEW"),"",INDEX(B12:B$42,-1+SUMPRODUCT(MAX(ROW(E12:E$42)*(E53=E12:E$42)))))</f>
        <v/>
      </c>
      <c r="J53" s="24" t="str">
        <f aca="true">IF(OR(E53="",E53="!!!",F53="NEW"),"",COUNTBLANK(OFFSET(A$1,,,SUMPRODUCT(MAX(ROW(E$2:E53)*(E53=E$2:E53)))))-COUNTBLANK(OFFSET(A$1,,,SUMPRODUCT(MAX(ROW(E$1:E52)*(E2=E$1:E52))))))</f>
        <v/>
      </c>
      <c r="K53" s="24" t="str">
        <f aca="false">IF(OR(E53="",E53="!!!",F53="NEW"),"",INDEX(J$1:J52,SUMPRODUCT(MAX(ROW(E$1:E52)*(E53=E$1:E52)))))</f>
        <v/>
      </c>
      <c r="L53" s="21"/>
    </row>
    <row r="54" customFormat="false" ht="15" hidden="false" customHeight="false" outlineLevel="0" collapsed="false">
      <c r="A54" s="20" t="s">
        <v>1125</v>
      </c>
      <c r="B54" s="22" t="s">
        <v>1091</v>
      </c>
      <c r="E54" s="23"/>
      <c r="F54" s="25"/>
      <c r="G54" s="26"/>
      <c r="H54" s="27"/>
      <c r="I54" s="24" t="str">
        <f aca="false">IF(OR(E54="",E54="!!!",F54="NEW"),"",INDEX(B13:B$42,-1+SUMPRODUCT(MAX(ROW(E13:E$42)*(E54=E13:E$42)))))</f>
        <v/>
      </c>
      <c r="J54" s="24" t="str">
        <f aca="true">IF(OR(E54="",E54="!!!",F54="NEW"),"",COUNTBLANK(OFFSET(A$1,,,SUMPRODUCT(MAX(ROW(E$2:E54)*(E54=E$2:E54)))))-COUNTBLANK(OFFSET(A$1,,,SUMPRODUCT(MAX(ROW(E$1:E53)*(E2=E$1:E53))))))</f>
        <v/>
      </c>
      <c r="K54" s="24" t="str">
        <f aca="false">IF(OR(E54="",E54="!!!",F54="NEW"),"",INDEX(J$1:J53,SUMPRODUCT(MAX(ROW(E$1:E53)*(E54=E$1:E53)))))</f>
        <v/>
      </c>
      <c r="L54" s="21"/>
    </row>
    <row r="55" customFormat="false" ht="15" hidden="false" customHeight="false" outlineLevel="0" collapsed="false">
      <c r="A55" s="20" t="s">
        <v>1126</v>
      </c>
      <c r="E55" s="23"/>
      <c r="F55" s="25"/>
      <c r="G55" s="26"/>
      <c r="H55" s="27"/>
      <c r="I55" s="24" t="str">
        <f aca="false">IF(OR(E55="",E55="!!!",F55="NEW"),"",INDEX(B14:B$42,-1+SUMPRODUCT(MAX(ROW(E14:E$42)*(E55=E14:E$42)))))</f>
        <v/>
      </c>
      <c r="J55" s="24" t="str">
        <f aca="true">IF(OR(E55="",E55="!!!",F55="NEW"),"",COUNTBLANK(OFFSET(A$1,,,SUMPRODUCT(MAX(ROW(E$2:E55)*(E55=E$2:E55)))))-COUNTBLANK(OFFSET(A$1,,,SUMPRODUCT(MAX(ROW(E$1:E54)*(E2=E$1:E54))))))</f>
        <v/>
      </c>
      <c r="K55" s="24" t="str">
        <f aca="false">IF(OR(E55="",E55="!!!",F55="NEW"),"",INDEX(J$1:J54,SUMPRODUCT(MAX(ROW(E$1:E54)*(E55=E$1:E54)))))</f>
        <v/>
      </c>
      <c r="L55" s="21"/>
    </row>
    <row r="56" customFormat="false" ht="15" hidden="false" customHeight="false" outlineLevel="0" collapsed="false">
      <c r="A56" s="20" t="s">
        <v>1095</v>
      </c>
      <c r="E56" s="23"/>
      <c r="F56" s="25"/>
      <c r="G56" s="26"/>
      <c r="H56" s="27"/>
      <c r="I56" s="24" t="str">
        <f aca="false">IF(OR(E56="",E56="!!!",F56="NEW"),"",INDEX(B15:B$42,-1+SUMPRODUCT(MAX(ROW(E15:E$42)*(E56=E15:E$42)))))</f>
        <v/>
      </c>
      <c r="J56" s="24" t="str">
        <f aca="true">IF(OR(E56="",E56="!!!",F56="NEW"),"",COUNTBLANK(OFFSET(A$1,,,SUMPRODUCT(MAX(ROW(E$2:E56)*(E56=E$2:E56)))))-COUNTBLANK(OFFSET(A$1,,,SUMPRODUCT(MAX(ROW(E$1:E55)*(E2=E$1:E55))))))</f>
        <v/>
      </c>
      <c r="K56" s="24" t="str">
        <f aca="false">IF(OR(E56="",E56="!!!",F56="NEW"),"",INDEX(J$1:J55,SUMPRODUCT(MAX(ROW(E$1:E55)*(E56=E$1:E55)))))</f>
        <v/>
      </c>
      <c r="L56" s="21"/>
    </row>
    <row r="57" customFormat="false" ht="15" hidden="false" customHeight="false" outlineLevel="0" collapsed="false">
      <c r="A57" s="20" t="s">
        <v>1127</v>
      </c>
      <c r="E57" s="23"/>
      <c r="F57" s="25"/>
      <c r="G57" s="26"/>
      <c r="H57" s="27"/>
      <c r="I57" s="24" t="str">
        <f aca="false">IF(OR(E57="",E57="!!!",F57="NEW"),"",INDEX(B16:B$42,-1+SUMPRODUCT(MAX(ROW(E16:E$42)*(E57=E16:E$42)))))</f>
        <v/>
      </c>
      <c r="J57" s="24" t="str">
        <f aca="true">IF(OR(E57="",E57="!!!",F57="NEW"),"",COUNTBLANK(OFFSET(A$1,,,SUMPRODUCT(MAX(ROW(E$2:E57)*(E57=E$2:E57)))))-COUNTBLANK(OFFSET(A$1,,,SUMPRODUCT(MAX(ROW(E$1:E56)*(E2=E$1:E56))))))</f>
        <v/>
      </c>
      <c r="K57" s="24" t="str">
        <f aca="false">IF(OR(E57="",E57="!!!",F57="NEW"),"",INDEX(J$1:J56,SUMPRODUCT(MAX(ROW(E$1:E56)*(E57=E$1:E56)))))</f>
        <v/>
      </c>
      <c r="L57" s="21"/>
    </row>
    <row r="58" customFormat="false" ht="15" hidden="false" customHeight="false" outlineLevel="0" collapsed="false">
      <c r="A58" s="20" t="s">
        <v>1128</v>
      </c>
      <c r="E58" s="23"/>
      <c r="F58" s="25"/>
      <c r="G58" s="26"/>
      <c r="H58" s="27"/>
      <c r="I58" s="24" t="str">
        <f aca="false">IF(OR(E58="",E58="!!!",F58="NEW"),"",INDEX(B17:B$42,-1+SUMPRODUCT(MAX(ROW(E17:E$42)*(E58=E17:E$42)))))</f>
        <v/>
      </c>
      <c r="J58" s="24" t="str">
        <f aca="true">IF(OR(E58="",E58="!!!",F58="NEW"),"",COUNTBLANK(OFFSET(A$1,,,SUMPRODUCT(MAX(ROW(E$2:E58)*(E58=E$2:E58)))))-COUNTBLANK(OFFSET(A$1,,,SUMPRODUCT(MAX(ROW(E$1:E57)*(E2=E$1:E57))))))</f>
        <v/>
      </c>
      <c r="K58" s="24" t="str">
        <f aca="false">IF(OR(E58="",E58="!!!",F58="NEW"),"",INDEX(J$1:J57,SUMPRODUCT(MAX(ROW(E$1:E57)*(E58=E$1:E57)))))</f>
        <v/>
      </c>
      <c r="L58" s="29"/>
    </row>
    <row r="59" customFormat="false" ht="15" hidden="false" customHeight="false" outlineLevel="0" collapsed="false">
      <c r="A59" s="20" t="s">
        <v>1129</v>
      </c>
      <c r="E59" s="23"/>
      <c r="F59" s="25"/>
      <c r="G59" s="26"/>
      <c r="H59" s="27"/>
      <c r="I59" s="24" t="str">
        <f aca="false">IF(OR(E59="",E59="!!!",F59="NEW"),"",INDEX(B18:B$42,-1+SUMPRODUCT(MAX(ROW(E18:E$42)*(E59=E18:E$42)))))</f>
        <v/>
      </c>
      <c r="J59" s="24" t="str">
        <f aca="true">IF(OR(E59="",E59="!!!",F59="NEW"),"",COUNTBLANK(OFFSET(A$1,,,SUMPRODUCT(MAX(ROW(E$2:E59)*(E59=E$2:E59)))))-COUNTBLANK(OFFSET(A$1,,,SUMPRODUCT(MAX(ROW(E$1:E58)*(E2=E$1:E58))))))</f>
        <v/>
      </c>
      <c r="K59" s="24" t="str">
        <f aca="false">IF(OR(E59="",E59="!!!",F59="NEW"),"",INDEX(J$1:J58,SUMPRODUCT(MAX(ROW(E$1:E58)*(E59=E$1:E58)))))</f>
        <v/>
      </c>
      <c r="L59" s="21"/>
    </row>
    <row r="60" customFormat="false" ht="15" hidden="false" customHeight="false" outlineLevel="0" collapsed="false">
      <c r="A60" s="20" t="s">
        <v>1130</v>
      </c>
      <c r="B60" s="22" t="s">
        <v>1131</v>
      </c>
      <c r="C60" s="22" t="s">
        <v>1132</v>
      </c>
      <c r="D60" s="22" t="s">
        <v>1060</v>
      </c>
      <c r="E60" s="23" t="s">
        <v>16</v>
      </c>
      <c r="F60" s="23" t="s">
        <v>1074</v>
      </c>
      <c r="G60" s="23"/>
      <c r="H60" s="23"/>
      <c r="I60" s="28" t="e">
        <f aca="false">IF(OR(E60="",E60="!!!",F60="NEW"),"",INDEX(B19:B$42,-1+SUMPRODUCT(MAX(ROW(E19:E$42)*(E60=E19:E$42)))))</f>
        <v>#REF!</v>
      </c>
      <c r="J60" s="24" t="n">
        <f aca="true">IF(OR(E60="",E60="!!!",F60="NEW"),"",COUNTBLANK(OFFSET(A$1,,,SUMPRODUCT(MAX(ROW(E$2:E60)*(E60=E$2:E60)))))-COUNTBLANK(OFFSET(A$1,,,SUMPRODUCT(MAX(ROW(E$1:E59)*(E2=E$1:E59))))))</f>
        <v>0</v>
      </c>
      <c r="K60" s="24" t="n">
        <f aca="false">IF(OR(E60="",E60="!!!",F60="NEW"),"",INDEX(J$1:J59,SUMPRODUCT(MAX(ROW(E$1:E59)*(E60=E$1:E59)))))</f>
        <v>0</v>
      </c>
      <c r="L60" s="21"/>
    </row>
    <row r="61" customFormat="false" ht="15" hidden="false" customHeight="false" outlineLevel="0" collapsed="false">
      <c r="A61" s="20" t="s">
        <v>1133</v>
      </c>
      <c r="B61" s="22" t="s">
        <v>1134</v>
      </c>
      <c r="E61" s="23"/>
      <c r="F61" s="25"/>
      <c r="G61" s="26"/>
      <c r="H61" s="27"/>
      <c r="I61" s="24" t="str">
        <f aca="false">IF(OR(E61="",E61="!!!",F61="NEW"),"",INDEX(B20:B$42,-1+SUMPRODUCT(MAX(ROW(E20:E$42)*(E61=E20:E$42)))))</f>
        <v/>
      </c>
      <c r="J61" s="24" t="str">
        <f aca="true">IF(OR(E61="",E61="!!!",F61="NEW"),"",COUNTBLANK(OFFSET(A$1,,,SUMPRODUCT(MAX(ROW(E$2:E61)*(E61=E$2:E61)))))-COUNTBLANK(OFFSET(A$1,,,SUMPRODUCT(MAX(ROW(E$1:E60)*(E2=E$1:E60))))))</f>
        <v/>
      </c>
      <c r="K61" s="24" t="str">
        <f aca="false">IF(OR(E61="",E61="!!!",F61="NEW"),"",INDEX(J$1:J60,SUMPRODUCT(MAX(ROW(E$1:E60)*(E61=E$1:E60)))))</f>
        <v/>
      </c>
      <c r="L61" s="30"/>
    </row>
    <row r="62" customFormat="false" ht="15" hidden="false" customHeight="false" outlineLevel="0" collapsed="false">
      <c r="A62" s="20" t="s">
        <v>1135</v>
      </c>
      <c r="E62" s="23"/>
      <c r="F62" s="25"/>
      <c r="G62" s="26"/>
      <c r="H62" s="27"/>
      <c r="I62" s="24" t="str">
        <f aca="false">IF(OR(E62="",E62="!!!",F62="NEW"),"",INDEX(B21:B$42,-1+SUMPRODUCT(MAX(ROW(E21:E$42)*(E62=E21:E$42)))))</f>
        <v/>
      </c>
      <c r="J62" s="24" t="str">
        <f aca="true">IF(OR(E62="",E62="!!!",F62="NEW"),"",COUNTBLANK(OFFSET(A$1,,,SUMPRODUCT(MAX(ROW(E$2:E62)*(E62=E$2:E62)))))-COUNTBLANK(OFFSET(A$1,,,SUMPRODUCT(MAX(ROW(E$1:E61)*(E2=E$1:E61))))))</f>
        <v/>
      </c>
      <c r="K62" s="24" t="str">
        <f aca="false">IF(OR(E62="",E62="!!!",F62="NEW"),"",INDEX(J$1:J61,SUMPRODUCT(MAX(ROW(E$1:E61)*(E62=E$1:E61)))))</f>
        <v/>
      </c>
      <c r="L62" s="21"/>
    </row>
    <row r="63" customFormat="false" ht="15" hidden="false" customHeight="false" outlineLevel="0" collapsed="false">
      <c r="A63" s="20" t="s">
        <v>1136</v>
      </c>
      <c r="E63" s="23"/>
      <c r="F63" s="25"/>
      <c r="G63" s="26"/>
      <c r="H63" s="27"/>
      <c r="I63" s="24" t="str">
        <f aca="false">IF(OR(E63="",E63="!!!",F63="NEW"),"",INDEX(B22:B$42,-1+SUMPRODUCT(MAX(ROW(E22:E$42)*(E63=E22:E$42)))))</f>
        <v/>
      </c>
      <c r="J63" s="24" t="str">
        <f aca="true">IF(OR(E63="",E63="!!!",F63="NEW"),"",COUNTBLANK(OFFSET(A$1,,,SUMPRODUCT(MAX(ROW(E$2:E63)*(E63=E$2:E63)))))-COUNTBLANK(OFFSET(A$1,,,SUMPRODUCT(MAX(ROW(E$1:E62)*(E2=E$1:E62))))))</f>
        <v/>
      </c>
      <c r="K63" s="24" t="str">
        <f aca="false">IF(OR(E63="",E63="!!!",F63="NEW"),"",INDEX(J$1:J62,SUMPRODUCT(MAX(ROW(E$1:E62)*(E63=E$1:E62)))))</f>
        <v/>
      </c>
      <c r="L63" s="21"/>
    </row>
    <row r="64" customFormat="false" ht="15" hidden="false" customHeight="false" outlineLevel="0" collapsed="false">
      <c r="A64" s="20" t="s">
        <v>1137</v>
      </c>
      <c r="B64" s="22" t="s">
        <v>1112</v>
      </c>
      <c r="C64" s="22" t="s">
        <v>1082</v>
      </c>
      <c r="D64" s="22" t="s">
        <v>1060</v>
      </c>
      <c r="E64" s="23" t="s">
        <v>1069</v>
      </c>
      <c r="F64" s="23" t="s">
        <v>1083</v>
      </c>
      <c r="G64" s="23" t="s">
        <v>1084</v>
      </c>
      <c r="H64" s="23"/>
      <c r="I64" s="28" t="e">
        <f aca="false">IF(OR(E64="",E64="!!!",F64="NEW"),"",INDEX(B23:B$42,-1+SUMPRODUCT(MAX(ROW(E23:E$42)*(E64=E23:E$42)))))</f>
        <v>#REF!</v>
      </c>
      <c r="J64" s="24" t="n">
        <f aca="true">IF(OR(E64="",E64="!!!",F64="NEW"),"",COUNTBLANK(OFFSET(A$1,,,SUMPRODUCT(MAX(ROW(E$2:E64)*(E64=E$2:E64)))))-COUNTBLANK(OFFSET(A$1,,,SUMPRODUCT(MAX(ROW(E$1:E63)*(E2=E$1:E63))))))</f>
        <v>0</v>
      </c>
      <c r="K64" s="24" t="n">
        <f aca="false">IF(OR(E64="",E64="!!!",F64="NEW"),"",INDEX(J$1:J63,SUMPRODUCT(MAX(ROW(E$1:E63)*(E64=E$1:E63)))))</f>
        <v>0</v>
      </c>
      <c r="L64" s="21"/>
    </row>
    <row r="65" customFormat="false" ht="15" hidden="false" customHeight="false" outlineLevel="0" collapsed="false">
      <c r="A65" s="20" t="s">
        <v>923</v>
      </c>
      <c r="E65" s="23"/>
      <c r="F65" s="25"/>
      <c r="G65" s="26"/>
      <c r="H65" s="27"/>
      <c r="I65" s="24" t="str">
        <f aca="false">IF(OR(E65="",E65="!!!",F65="NEW"),"",INDEX(B24:B$42,-1+SUMPRODUCT(MAX(ROW(E24:E$42)*(E65=E24:E$42)))))</f>
        <v/>
      </c>
      <c r="J65" s="24" t="str">
        <f aca="true">IF(OR(E65="",E65="!!!",F65="NEW"),"",COUNTBLANK(OFFSET(A$1,,,SUMPRODUCT(MAX(ROW(E$2:E65)*(E65=E$2:E65)))))-COUNTBLANK(OFFSET(A$1,,,SUMPRODUCT(MAX(ROW(E$1:E64)*(E2=E$1:E64))))))</f>
        <v/>
      </c>
      <c r="K65" s="24" t="str">
        <f aca="false">IF(OR(E65="",E65="!!!",F65="NEW"),"",INDEX(J$1:J64,SUMPRODUCT(MAX(ROW(E$1:E64)*(E65=E$1:E64)))))</f>
        <v/>
      </c>
      <c r="L65" s="21"/>
    </row>
    <row r="66" customFormat="false" ht="15" hidden="false" customHeight="false" outlineLevel="0" collapsed="false">
      <c r="A66" s="20"/>
      <c r="L66" s="21"/>
    </row>
    <row r="67" customFormat="false" ht="15" hidden="false" customHeight="false" outlineLevel="0" collapsed="false">
      <c r="A67" s="20" t="s">
        <v>1138</v>
      </c>
      <c r="L67" s="21"/>
    </row>
    <row r="68" customFormat="false" ht="15" hidden="false" customHeight="false" outlineLevel="0" collapsed="false">
      <c r="A68" s="20" t="s">
        <v>1115</v>
      </c>
      <c r="E68" s="23"/>
      <c r="F68" s="25"/>
      <c r="G68" s="26"/>
      <c r="H68" s="27"/>
      <c r="I68" s="24" t="str">
        <f aca="false">IF(OR(E68="",E68="!!!",F68="NEW"),"",INDEX(B2:B$67,-1+SUMPRODUCT(MAX(ROW(E2:E$67)*(E68=E2:E$67)))))</f>
        <v/>
      </c>
      <c r="J68" s="24" t="str">
        <f aca="true">IF(OR(E68="",E68="!!!",F68="NEW"),"",COUNTBLANK(OFFSET(A$1,,,SUMPRODUCT(MAX(ROW(E$2:E68)*(E68=E$2:E68)))))-COUNTBLANK(OFFSET(A$1,,,SUMPRODUCT(MAX(ROW(E$1:E67)*(E2=E$1:E67))))))</f>
        <v/>
      </c>
      <c r="K68" s="24" t="str">
        <f aca="false">IF(OR(E68="",E68="!!!",F68="NEW"),"",INDEX(J$1:J67,SUMPRODUCT(MAX(ROW(E$1:E67)*(E68=E$1:E67)))))</f>
        <v/>
      </c>
      <c r="L68" s="21"/>
    </row>
    <row r="69" customFormat="false" ht="15" hidden="false" customHeight="false" outlineLevel="0" collapsed="false">
      <c r="A69" s="20" t="s">
        <v>1139</v>
      </c>
      <c r="E69" s="23"/>
      <c r="F69" s="25"/>
      <c r="G69" s="26"/>
      <c r="H69" s="27"/>
      <c r="I69" s="24" t="str">
        <f aca="false">IF(OR(E69="",E69="!!!",F69="NEW"),"",INDEX(B3:B$67,-1+SUMPRODUCT(MAX(ROW(E3:E$67)*(E69=E3:E$67)))))</f>
        <v/>
      </c>
      <c r="J69" s="24" t="str">
        <f aca="true">IF(OR(E69="",E69="!!!",F69="NEW"),"",COUNTBLANK(OFFSET(A$1,,,SUMPRODUCT(MAX(ROW(E$2:E69)*(E69=E$2:E69)))))-COUNTBLANK(OFFSET(A$1,,,SUMPRODUCT(MAX(ROW(E$1:E68)*(E2=E$1:E68))))))</f>
        <v/>
      </c>
      <c r="K69" s="24" t="str">
        <f aca="false">IF(OR(E69="",E69="!!!",F69="NEW"),"",INDEX(J$1:J68,SUMPRODUCT(MAX(ROW(E$1:E68)*(E69=E$1:E68)))))</f>
        <v/>
      </c>
      <c r="L69" s="21"/>
    </row>
    <row r="70" customFormat="false" ht="15" hidden="false" customHeight="false" outlineLevel="0" collapsed="false">
      <c r="A70" s="20" t="s">
        <v>1119</v>
      </c>
      <c r="E70" s="23"/>
      <c r="F70" s="25"/>
      <c r="G70" s="26"/>
      <c r="H70" s="27"/>
      <c r="I70" s="24" t="str">
        <f aca="false">IF(OR(E70="",E70="!!!",F70="NEW"),"",INDEX(B4:B$67,-1+SUMPRODUCT(MAX(ROW(E4:E$67)*(E70=E4:E$67)))))</f>
        <v/>
      </c>
      <c r="J70" s="24" t="str">
        <f aca="true">IF(OR(E70="",E70="!!!",F70="NEW"),"",COUNTBLANK(OFFSET(A$1,,,SUMPRODUCT(MAX(ROW(E$2:E70)*(E70=E$2:E70)))))-COUNTBLANK(OFFSET(A$1,,,SUMPRODUCT(MAX(ROW(E$1:E69)*(E2=E$1:E69))))))</f>
        <v/>
      </c>
      <c r="K70" s="24" t="str">
        <f aca="false">IF(OR(E70="",E70="!!!",F70="NEW"),"",INDEX(J$1:J69,SUMPRODUCT(MAX(ROW(E$1:E69)*(E70=E$1:E69)))))</f>
        <v/>
      </c>
      <c r="L70" s="21"/>
    </row>
    <row r="71" customFormat="false" ht="15" hidden="false" customHeight="false" outlineLevel="0" collapsed="false">
      <c r="A71" s="20" t="s">
        <v>1097</v>
      </c>
      <c r="B71" s="22" t="s">
        <v>1105</v>
      </c>
      <c r="C71" s="22" t="s">
        <v>1099</v>
      </c>
      <c r="D71" s="22" t="s">
        <v>1060</v>
      </c>
      <c r="E71" s="23" t="s">
        <v>1069</v>
      </c>
      <c r="F71" s="23" t="s">
        <v>1083</v>
      </c>
      <c r="G71" s="23" t="s">
        <v>1120</v>
      </c>
      <c r="H71" s="23"/>
      <c r="I71" s="28" t="n">
        <f aca="false">IF(OR(E71="",E71="!!!",F71="NEW"),"",INDEX(B5:B$67,-1+SUMPRODUCT(MAX(ROW(E5:E$67)*(E71=E5:E$67)))))</f>
        <v>0</v>
      </c>
      <c r="J71" s="24" t="n">
        <f aca="true">IF(OR(E71="",E71="!!!",F71="NEW"),"",COUNTBLANK(OFFSET(A$1,,,SUMPRODUCT(MAX(ROW(E$2:E71)*(E71=E$2:E71)))))-COUNTBLANK(OFFSET(A$1,,,SUMPRODUCT(MAX(ROW(E$1:E70)*(E2=E$1:E70))))))</f>
        <v>0</v>
      </c>
      <c r="K71" s="24" t="n">
        <f aca="false">IF(OR(E71="",E71="!!!",F71="NEW"),"",INDEX(J$1:J70,SUMPRODUCT(MAX(ROW(E$1:E70)*(E71=E$1:E70)))))</f>
        <v>0</v>
      </c>
      <c r="L71" s="21"/>
    </row>
    <row r="72" customFormat="false" ht="15" hidden="false" customHeight="false" outlineLevel="0" collapsed="false">
      <c r="A72" s="20" t="s">
        <v>1140</v>
      </c>
      <c r="E72" s="23"/>
      <c r="F72" s="25"/>
      <c r="G72" s="26"/>
      <c r="H72" s="27"/>
      <c r="I72" s="24" t="str">
        <f aca="false">IF(OR(E72="",E72="!!!",F72="NEW"),"",INDEX(B6:B$67,-1+SUMPRODUCT(MAX(ROW(E6:E$67)*(E72=E6:E$67)))))</f>
        <v/>
      </c>
      <c r="J72" s="24" t="str">
        <f aca="true">IF(OR(E72="",E72="!!!",F72="NEW"),"",COUNTBLANK(OFFSET(A$1,,,SUMPRODUCT(MAX(ROW(E$2:E72)*(E72=E$2:E72)))))-COUNTBLANK(OFFSET(A$1,,,SUMPRODUCT(MAX(ROW(E$1:E71)*(E2=E$1:E71))))))</f>
        <v/>
      </c>
      <c r="K72" s="24" t="str">
        <f aca="false">IF(OR(E72="",E72="!!!",F72="NEW"),"",INDEX(J$1:J71,SUMPRODUCT(MAX(ROW(E$1:E71)*(E72=E$1:E71)))))</f>
        <v/>
      </c>
      <c r="L72" s="21"/>
    </row>
    <row r="73" customFormat="false" ht="15" hidden="false" customHeight="false" outlineLevel="0" collapsed="false">
      <c r="A73" s="20" t="s">
        <v>24</v>
      </c>
      <c r="B73" s="22" t="s">
        <v>1105</v>
      </c>
      <c r="C73" s="22" t="s">
        <v>1059</v>
      </c>
      <c r="D73" s="22" t="s">
        <v>1060</v>
      </c>
      <c r="E73" s="23" t="s">
        <v>16</v>
      </c>
      <c r="F73" s="23"/>
      <c r="G73" s="23"/>
      <c r="H73" s="23"/>
      <c r="I73" s="28" t="n">
        <f aca="false">IF(OR(E73="",E73="!!!",F73="NEW"),"",INDEX(B7:B$67,-1+SUMPRODUCT(MAX(ROW(E7:E$67)*(E73=E7:E$67)))))</f>
        <v>0</v>
      </c>
      <c r="J73" s="24" t="n">
        <f aca="true">IF(OR(E73="",E73="!!!",F73="NEW"),"",COUNTBLANK(OFFSET(A$1,,,SUMPRODUCT(MAX(ROW(E$2:E73)*(E73=E$2:E73)))))-COUNTBLANK(OFFSET(A$1,,,SUMPRODUCT(MAX(ROW(E$1:E72)*(E2=E$1:E72))))))</f>
        <v>0</v>
      </c>
      <c r="K73" s="24" t="n">
        <f aca="false">IF(OR(E73="",E73="!!!",F73="NEW"),"",INDEX(J$1:J72,SUMPRODUCT(MAX(ROW(E$1:E72)*(E73=E$1:E72)))))</f>
        <v>0</v>
      </c>
      <c r="L73" s="21"/>
    </row>
    <row r="74" customFormat="false" ht="15" hidden="false" customHeight="false" outlineLevel="0" collapsed="false">
      <c r="A74" s="20" t="s">
        <v>1076</v>
      </c>
      <c r="E74" s="23"/>
      <c r="F74" s="25"/>
      <c r="G74" s="26"/>
      <c r="H74" s="27"/>
      <c r="I74" s="24" t="str">
        <f aca="false">IF(OR(E74="",E74="!!!",F74="NEW"),"",INDEX(B8:B$67,-1+SUMPRODUCT(MAX(ROW(E8:E$67)*(E74=E8:E$67)))))</f>
        <v/>
      </c>
      <c r="J74" s="24" t="str">
        <f aca="true">IF(OR(E74="",E74="!!!",F74="NEW"),"",COUNTBLANK(OFFSET(A$1,,,SUMPRODUCT(MAX(ROW(E$2:E74)*(E74=E$2:E74)))))-COUNTBLANK(OFFSET(A$1,,,SUMPRODUCT(MAX(ROW(E$1:E73)*(E2=E$1:E73))))))</f>
        <v/>
      </c>
      <c r="K74" s="24" t="str">
        <f aca="false">IF(OR(E74="",E74="!!!",F74="NEW"),"",INDEX(J$1:J73,SUMPRODUCT(MAX(ROW(E$1:E73)*(E74=E$1:E73)))))</f>
        <v/>
      </c>
      <c r="L74" s="21"/>
    </row>
    <row r="75" customFormat="false" ht="15" hidden="false" customHeight="false" outlineLevel="0" collapsed="false">
      <c r="A75" s="20" t="s">
        <v>1125</v>
      </c>
      <c r="B75" s="22" t="s">
        <v>1086</v>
      </c>
      <c r="E75" s="23"/>
      <c r="F75" s="25"/>
      <c r="G75" s="26"/>
      <c r="H75" s="27"/>
      <c r="I75" s="24" t="str">
        <f aca="false">IF(OR(E75="",E75="!!!",F75="NEW"),"",INDEX(B9:B$67,-1+SUMPRODUCT(MAX(ROW(E9:E$67)*(E75=E9:E$67)))))</f>
        <v/>
      </c>
      <c r="J75" s="24" t="str">
        <f aca="true">IF(OR(E75="",E75="!!!",F75="NEW"),"",COUNTBLANK(OFFSET(A$1,,,SUMPRODUCT(MAX(ROW(E$2:E75)*(E75=E$2:E75)))))-COUNTBLANK(OFFSET(A$1,,,SUMPRODUCT(MAX(ROW(E$1:E74)*(E2=E$1:E74))))))</f>
        <v/>
      </c>
      <c r="K75" s="24" t="str">
        <f aca="false">IF(OR(E75="",E75="!!!",F75="NEW"),"",INDEX(J$1:J74,SUMPRODUCT(MAX(ROW(E$1:E74)*(E75=E$1:E74)))))</f>
        <v/>
      </c>
      <c r="L75" s="21"/>
    </row>
    <row r="76" customFormat="false" ht="15" hidden="false" customHeight="false" outlineLevel="0" collapsed="false">
      <c r="A76" s="20" t="s">
        <v>1141</v>
      </c>
      <c r="E76" s="23"/>
      <c r="F76" s="25"/>
      <c r="G76" s="26"/>
      <c r="H76" s="27"/>
      <c r="I76" s="24" t="str">
        <f aca="false">IF(OR(E76="",E76="!!!",F76="NEW"),"",INDEX(B10:B$67,-1+SUMPRODUCT(MAX(ROW(E10:E$67)*(E76=E10:E$67)))))</f>
        <v/>
      </c>
      <c r="J76" s="24" t="str">
        <f aca="true">IF(OR(E76="",E76="!!!",F76="NEW"),"",COUNTBLANK(OFFSET(A$1,,,SUMPRODUCT(MAX(ROW(E$2:E76)*(E76=E$2:E76)))))-COUNTBLANK(OFFSET(A$1,,,SUMPRODUCT(MAX(ROW(E$1:E75)*(E2=E$1:E75))))))</f>
        <v/>
      </c>
      <c r="K76" s="24" t="str">
        <f aca="false">IF(OR(E76="",E76="!!!",F76="NEW"),"",INDEX(J$1:J75,SUMPRODUCT(MAX(ROW(E$1:E75)*(E76=E$1:E75)))))</f>
        <v/>
      </c>
      <c r="L76" s="21"/>
    </row>
    <row r="77" customFormat="false" ht="15" hidden="false" customHeight="false" outlineLevel="0" collapsed="false">
      <c r="A77" s="20" t="s">
        <v>1137</v>
      </c>
      <c r="B77" s="22" t="s">
        <v>1142</v>
      </c>
      <c r="C77" s="22" t="s">
        <v>1082</v>
      </c>
      <c r="D77" s="22" t="s">
        <v>1060</v>
      </c>
      <c r="E77" s="23" t="s">
        <v>1069</v>
      </c>
      <c r="F77" s="23" t="s">
        <v>1083</v>
      </c>
      <c r="G77" s="23" t="s">
        <v>1084</v>
      </c>
      <c r="H77" s="23"/>
      <c r="I77" s="28" t="e">
        <f aca="false">IF(OR(E77="",E77="!!!",F77="NEW"),"",INDEX(B11:B$67,-1+SUMPRODUCT(MAX(ROW(E11:E$67)*(E77=E11:E$67)))))</f>
        <v>#REF!</v>
      </c>
      <c r="J77" s="24" t="n">
        <f aca="true">IF(OR(E77="",E77="!!!",F77="NEW"),"",COUNTBLANK(OFFSET(A$1,,,SUMPRODUCT(MAX(ROW(E$2:E77)*(E77=E$2:E77)))))-COUNTBLANK(OFFSET(A$1,,,SUMPRODUCT(MAX(ROW(E$1:E76)*(E2=E$1:E76))))))</f>
        <v>0</v>
      </c>
      <c r="K77" s="24" t="n">
        <f aca="false">IF(OR(E77="",E77="!!!",F77="NEW"),"",INDEX(J$1:J76,SUMPRODUCT(MAX(ROW(E$1:E76)*(E77=E$1:E76)))))</f>
        <v>0</v>
      </c>
      <c r="L77" s="21"/>
    </row>
    <row r="78" customFormat="false" ht="15" hidden="false" customHeight="false" outlineLevel="0" collapsed="false">
      <c r="A78" s="20" t="s">
        <v>1143</v>
      </c>
      <c r="E78" s="23"/>
      <c r="F78" s="25"/>
      <c r="G78" s="26"/>
      <c r="H78" s="27"/>
      <c r="I78" s="24" t="str">
        <f aca="false">IF(OR(E78="",E78="!!!",F78="NEW"),"",INDEX(B12:B$67,-1+SUMPRODUCT(MAX(ROW(E12:E$67)*(E78=E12:E$67)))))</f>
        <v/>
      </c>
      <c r="J78" s="24" t="str">
        <f aca="true">IF(OR(E78="",E78="!!!",F78="NEW"),"",COUNTBLANK(OFFSET(A$1,,,SUMPRODUCT(MAX(ROW(E$2:E78)*(E78=E$2:E78)))))-COUNTBLANK(OFFSET(A$1,,,SUMPRODUCT(MAX(ROW(E$1:E77)*(E2=E$1:E77))))))</f>
        <v/>
      </c>
      <c r="K78" s="24" t="str">
        <f aca="false">IF(OR(E78="",E78="!!!",F78="NEW"),"",INDEX(J$1:J77,SUMPRODUCT(MAX(ROW(E$1:E77)*(E78=E$1:E77)))))</f>
        <v/>
      </c>
      <c r="L78" s="21"/>
    </row>
    <row r="79" customFormat="false" ht="15" hidden="false" customHeight="false" outlineLevel="0" collapsed="false">
      <c r="A79" s="20" t="s">
        <v>1095</v>
      </c>
      <c r="E79" s="23"/>
      <c r="F79" s="25"/>
      <c r="G79" s="26"/>
      <c r="H79" s="27"/>
      <c r="I79" s="24" t="str">
        <f aca="false">IF(OR(E79="",E79="!!!",F79="NEW"),"",INDEX(B13:B$67,-1+SUMPRODUCT(MAX(ROW(E13:E$67)*(E79=E13:E$67)))))</f>
        <v/>
      </c>
      <c r="J79" s="24" t="str">
        <f aca="true">IF(OR(E79="",E79="!!!",F79="NEW"),"",COUNTBLANK(OFFSET(A$1,,,SUMPRODUCT(MAX(ROW(E$2:E79)*(E79=E$2:E79)))))-COUNTBLANK(OFFSET(A$1,,,SUMPRODUCT(MAX(ROW(E$1:E78)*(E2=E$1:E78))))))</f>
        <v/>
      </c>
      <c r="K79" s="24" t="str">
        <f aca="false">IF(OR(E79="",E79="!!!",F79="NEW"),"",INDEX(J$1:J78,SUMPRODUCT(MAX(ROW(E$1:E78)*(E79=E$1:E78)))))</f>
        <v/>
      </c>
      <c r="L79" s="21"/>
    </row>
    <row r="80" customFormat="false" ht="15" hidden="false" customHeight="false" outlineLevel="0" collapsed="false">
      <c r="A80" s="20" t="s">
        <v>1144</v>
      </c>
      <c r="E80" s="23"/>
      <c r="F80" s="25"/>
      <c r="G80" s="26"/>
      <c r="H80" s="27"/>
      <c r="I80" s="24" t="str">
        <f aca="false">IF(OR(E80="",E80="!!!",F80="NEW"),"",INDEX(B14:B$67,-1+SUMPRODUCT(MAX(ROW(E14:E$67)*(E80=E14:E$67)))))</f>
        <v/>
      </c>
      <c r="J80" s="24" t="str">
        <f aca="true">IF(OR(E80="",E80="!!!",F80="NEW"),"",COUNTBLANK(OFFSET(A$1,,,SUMPRODUCT(MAX(ROW(E$2:E80)*(E80=E$2:E80)))))-COUNTBLANK(OFFSET(A$1,,,SUMPRODUCT(MAX(ROW(E$1:E79)*(E2=E$1:E79))))))</f>
        <v/>
      </c>
      <c r="K80" s="24" t="str">
        <f aca="false">IF(OR(E80="",E80="!!!",F80="NEW"),"",INDEX(J$1:J79,SUMPRODUCT(MAX(ROW(E$1:E79)*(E80=E$1:E79)))))</f>
        <v/>
      </c>
      <c r="L80" s="21"/>
    </row>
    <row r="81" customFormat="false" ht="15" hidden="false" customHeight="false" outlineLevel="0" collapsed="false">
      <c r="A81" s="20" t="s">
        <v>1104</v>
      </c>
      <c r="E81" s="23"/>
      <c r="F81" s="25"/>
      <c r="G81" s="26"/>
      <c r="H81" s="27"/>
      <c r="I81" s="24" t="str">
        <f aca="false">IF(OR(E81="",E81="!!!",F81="NEW"),"",INDEX(B15:B$67,-1+SUMPRODUCT(MAX(ROW(E15:E$67)*(E81=E15:E$67)))))</f>
        <v/>
      </c>
      <c r="J81" s="24" t="str">
        <f aca="true">IF(OR(E81="",E81="!!!",F81="NEW"),"",COUNTBLANK(OFFSET(A$1,,,SUMPRODUCT(MAX(ROW(E$2:E81)*(E81=E$2:E81)))))-COUNTBLANK(OFFSET(A$1,,,SUMPRODUCT(MAX(ROW(E$1:E80)*(E2=E$1:E80))))))</f>
        <v/>
      </c>
      <c r="K81" s="24" t="str">
        <f aca="false">IF(OR(E81="",E81="!!!",F81="NEW"),"",INDEX(J$1:J80,SUMPRODUCT(MAX(ROW(E$1:E80)*(E81=E$1:E80)))))</f>
        <v/>
      </c>
      <c r="L81" s="21"/>
    </row>
    <row r="82" customFormat="false" ht="15" hidden="false" customHeight="false" outlineLevel="0" collapsed="false">
      <c r="A82" s="20" t="s">
        <v>1145</v>
      </c>
      <c r="B82" s="22" t="s">
        <v>1146</v>
      </c>
      <c r="C82" s="22" t="s">
        <v>1087</v>
      </c>
      <c r="E82" s="23"/>
      <c r="F82" s="25"/>
      <c r="G82" s="26"/>
      <c r="H82" s="27"/>
      <c r="I82" s="24" t="str">
        <f aca="false">IF(OR(E82="",E82="!!!",F82="NEW"),"",INDEX(B16:B$67,-1+SUMPRODUCT(MAX(ROW(E16:E$67)*(E82=E16:E$67)))))</f>
        <v/>
      </c>
      <c r="J82" s="24" t="str">
        <f aca="true">IF(OR(E82="",E82="!!!",F82="NEW"),"",COUNTBLANK(OFFSET(A$1,,,SUMPRODUCT(MAX(ROW(E$2:E82)*(E82=E$2:E82)))))-COUNTBLANK(OFFSET(A$1,,,SUMPRODUCT(MAX(ROW(E$1:E81)*(E2=E$1:E81))))))</f>
        <v/>
      </c>
      <c r="K82" s="24" t="str">
        <f aca="false">IF(OR(E82="",E82="!!!",F82="NEW"),"",INDEX(J$1:J81,SUMPRODUCT(MAX(ROW(E$1:E81)*(E82=E$1:E81)))))</f>
        <v/>
      </c>
      <c r="L82" s="21"/>
    </row>
    <row r="83" customFormat="false" ht="15" hidden="false" customHeight="false" outlineLevel="0" collapsed="false">
      <c r="A83" s="20" t="s">
        <v>923</v>
      </c>
      <c r="E83" s="23"/>
      <c r="F83" s="25"/>
      <c r="G83" s="26"/>
      <c r="H83" s="27"/>
      <c r="I83" s="24" t="str">
        <f aca="false">IF(OR(E83="",E83="!!!",F83="NEW"),"",INDEX(B17:B$67,-1+SUMPRODUCT(MAX(ROW(E17:E$67)*(E83=E17:E$67)))))</f>
        <v/>
      </c>
      <c r="J83" s="24" t="str">
        <f aca="true">IF(OR(E83="",E83="!!!",F83="NEW"),"",COUNTBLANK(OFFSET(A$1,,,SUMPRODUCT(MAX(ROW(E$2:E83)*(E83=E$2:E83)))))-COUNTBLANK(OFFSET(A$1,,,SUMPRODUCT(MAX(ROW(E$1:E82)*(E2=E$1:E82))))))</f>
        <v/>
      </c>
      <c r="K83" s="24" t="str">
        <f aca="false">IF(OR(E83="",E83="!!!",F83="NEW"),"",INDEX(J$1:J82,SUMPRODUCT(MAX(ROW(E$1:E82)*(E83=E$1:E82)))))</f>
        <v/>
      </c>
      <c r="L83" s="21"/>
    </row>
    <row r="84" customFormat="false" ht="15" hidden="false" customHeight="false" outlineLevel="0" collapsed="false">
      <c r="A84" s="20"/>
      <c r="L84" s="21"/>
    </row>
    <row r="85" customFormat="false" ht="15" hidden="false" customHeight="false" outlineLevel="0" collapsed="false">
      <c r="A85" s="20" t="s">
        <v>1147</v>
      </c>
      <c r="L85" s="21"/>
    </row>
    <row r="86" customFormat="false" ht="15" hidden="false" customHeight="false" outlineLevel="0" collapsed="false">
      <c r="A86" s="20" t="s">
        <v>1148</v>
      </c>
      <c r="E86" s="23"/>
      <c r="F86" s="25"/>
      <c r="G86" s="26"/>
      <c r="H86" s="27"/>
      <c r="I86" s="24" t="str">
        <f aca="false">IF(OR(E86="",E86="!!!",F86="NEW"),"",INDEX(B2:B$85,-1+SUMPRODUCT(MAX(ROW(E2:E$85)*(E86=E2:E$85)))))</f>
        <v/>
      </c>
      <c r="J86" s="24" t="str">
        <f aca="true">IF(OR(E86="",E86="!!!",F86="NEW"),"",COUNTBLANK(OFFSET(A$1,,,SUMPRODUCT(MAX(ROW(E$2:E86)*(E86=E$2:E86)))))-COUNTBLANK(OFFSET(A$1,,,SUMPRODUCT(MAX(ROW(E$1:E85)*(E2=E$1:E85))))))</f>
        <v/>
      </c>
      <c r="K86" s="24" t="str">
        <f aca="false">IF(OR(E86="",E86="!!!",F86="NEW"),"",INDEX(J$1:J85,SUMPRODUCT(MAX(ROW(E$1:E85)*(E86=E$1:E85)))))</f>
        <v/>
      </c>
      <c r="L86" s="21"/>
    </row>
    <row r="87" customFormat="false" ht="15" hidden="false" customHeight="false" outlineLevel="0" collapsed="false">
      <c r="A87" s="20" t="s">
        <v>1149</v>
      </c>
      <c r="B87" s="22" t="s">
        <v>1058</v>
      </c>
      <c r="C87" s="22" t="s">
        <v>1150</v>
      </c>
      <c r="D87" s="22" t="s">
        <v>1060</v>
      </c>
      <c r="E87" s="23" t="s">
        <v>1149</v>
      </c>
      <c r="F87" s="23" t="s">
        <v>1062</v>
      </c>
      <c r="G87" s="23" t="s">
        <v>1063</v>
      </c>
      <c r="H87" s="23"/>
      <c r="I87" s="24" t="str">
        <f aca="false">IF(OR(E87="",E87="!!!",F87="NEW"),"",INDEX(B3:B$85,-1+SUMPRODUCT(MAX(ROW(E3:E$85)*(E87=E3:E$85)))))</f>
        <v/>
      </c>
      <c r="J87" s="24" t="str">
        <f aca="true">IF(OR(E87="",E87="!!!",F87="NEW"),"",COUNTBLANK(OFFSET(A$1,,,SUMPRODUCT(MAX(ROW(E$2:E87)*(E87=E$2:E87)))))-COUNTBLANK(OFFSET(A$1,,,SUMPRODUCT(MAX(ROW(E$1:E86)*(E2=E$1:E86))))))</f>
        <v/>
      </c>
      <c r="K87" s="24" t="str">
        <f aca="false">IF(OR(E87="",E87="!!!",F87="NEW"),"",INDEX(J$1:J86,SUMPRODUCT(MAX(ROW(E$1:E86)*(E87=E$1:E86)))))</f>
        <v/>
      </c>
      <c r="L87" s="21"/>
    </row>
    <row r="88" customFormat="false" ht="15" hidden="false" customHeight="false" outlineLevel="0" collapsed="false">
      <c r="A88" s="20" t="s">
        <v>1076</v>
      </c>
      <c r="E88" s="23"/>
      <c r="F88" s="25"/>
      <c r="G88" s="26"/>
      <c r="H88" s="27"/>
      <c r="I88" s="24" t="str">
        <f aca="false">IF(OR(E88="",E88="!!!",F88="NEW"),"",INDEX(B4:B$85,-1+SUMPRODUCT(MAX(ROW(E4:E$85)*(E88=E4:E$85)))))</f>
        <v/>
      </c>
      <c r="J88" s="24" t="str">
        <f aca="true">IF(OR(E88="",E88="!!!",F88="NEW"),"",COUNTBLANK(OFFSET(A$1,,,SUMPRODUCT(MAX(ROW(E$2:E88)*(E88=E$2:E88)))))-COUNTBLANK(OFFSET(A$1,,,SUMPRODUCT(MAX(ROW(E$1:E87)*(E2=E$1:E87))))))</f>
        <v/>
      </c>
      <c r="K88" s="24" t="str">
        <f aca="false">IF(OR(E88="",E88="!!!",F88="NEW"),"",INDEX(J$1:J87,SUMPRODUCT(MAX(ROW(E$1:E87)*(E88=E$1:E87)))))</f>
        <v/>
      </c>
      <c r="L88" s="21"/>
    </row>
    <row r="89" customFormat="false" ht="15" hidden="false" customHeight="false" outlineLevel="0" collapsed="false">
      <c r="A89" s="20" t="s">
        <v>1151</v>
      </c>
      <c r="E89" s="23"/>
      <c r="F89" s="25"/>
      <c r="G89" s="26"/>
      <c r="H89" s="27"/>
      <c r="I89" s="24" t="str">
        <f aca="false">IF(OR(E89="",E89="!!!",F89="NEW"),"",INDEX(B5:B$85,-1+SUMPRODUCT(MAX(ROW(E5:E$85)*(E89=E5:E$85)))))</f>
        <v/>
      </c>
      <c r="J89" s="24" t="str">
        <f aca="true">IF(OR(E89="",E89="!!!",F89="NEW"),"",COUNTBLANK(OFFSET(A$1,,,SUMPRODUCT(MAX(ROW(E$2:E89)*(E89=E$2:E89)))))-COUNTBLANK(OFFSET(A$1,,,SUMPRODUCT(MAX(ROW(E$1:E88)*(E2=E$1:E88))))))</f>
        <v/>
      </c>
      <c r="K89" s="24" t="str">
        <f aca="false">IF(OR(E89="",E89="!!!",F89="NEW"),"",INDEX(J$1:J88,SUMPRODUCT(MAX(ROW(E$1:E88)*(E89=E$1:E88)))))</f>
        <v/>
      </c>
      <c r="L89" s="21"/>
    </row>
    <row r="90" customFormat="false" ht="15" hidden="false" customHeight="false" outlineLevel="0" collapsed="false">
      <c r="A90" s="20" t="s">
        <v>1076</v>
      </c>
      <c r="E90" s="23"/>
      <c r="F90" s="25"/>
      <c r="G90" s="26"/>
      <c r="H90" s="27"/>
      <c r="I90" s="24" t="str">
        <f aca="false">IF(OR(E90="",E90="!!!",F90="NEW"),"",INDEX(B6:B$85,-1+SUMPRODUCT(MAX(ROW(E6:E$85)*(E90=E6:E$85)))))</f>
        <v/>
      </c>
      <c r="J90" s="24" t="str">
        <f aca="true">IF(OR(E90="",E90="!!!",F90="NEW"),"",COUNTBLANK(OFFSET(A$1,,,SUMPRODUCT(MAX(ROW(E$2:E90)*(E90=E$2:E90)))))-COUNTBLANK(OFFSET(A$1,,,SUMPRODUCT(MAX(ROW(E$1:E89)*(E2=E$1:E89))))))</f>
        <v/>
      </c>
      <c r="K90" s="24" t="str">
        <f aca="false">IF(OR(E90="",E90="!!!",F90="NEW"),"",INDEX(J$1:J89,SUMPRODUCT(MAX(ROW(E$1:E89)*(E90=E$1:E89)))))</f>
        <v/>
      </c>
      <c r="L90" s="21"/>
    </row>
    <row r="91" customFormat="false" ht="15" hidden="false" customHeight="false" outlineLevel="0" collapsed="false">
      <c r="A91" s="20" t="s">
        <v>1092</v>
      </c>
      <c r="E91" s="23"/>
      <c r="F91" s="25"/>
      <c r="G91" s="26"/>
      <c r="H91" s="27"/>
      <c r="I91" s="24" t="str">
        <f aca="false">IF(OR(E91="",E91="!!!",F91="NEW"),"",INDEX(B7:B$85,-1+SUMPRODUCT(MAX(ROW(E7:E$85)*(E91=E7:E$85)))))</f>
        <v/>
      </c>
      <c r="J91" s="24" t="str">
        <f aca="true">IF(OR(E91="",E91="!!!",F91="NEW"),"",COUNTBLANK(OFFSET(A$1,,,SUMPRODUCT(MAX(ROW(E$2:E91)*(E91=E$2:E91)))))-COUNTBLANK(OFFSET(A$1,,,SUMPRODUCT(MAX(ROW(E$1:E90)*(E2=E$1:E90))))))</f>
        <v/>
      </c>
      <c r="K91" s="24" t="str">
        <f aca="false">IF(OR(E91="",E91="!!!",F91="NEW"),"",INDEX(J$1:J90,SUMPRODUCT(MAX(ROW(E$1:E90)*(E91=E$1:E90)))))</f>
        <v/>
      </c>
      <c r="L91" s="21"/>
    </row>
    <row r="92" customFormat="false" ht="15" hidden="false" customHeight="false" outlineLevel="0" collapsed="false">
      <c r="A92" s="20" t="s">
        <v>1152</v>
      </c>
      <c r="E92" s="23"/>
      <c r="F92" s="25"/>
      <c r="G92" s="26"/>
      <c r="H92" s="27"/>
      <c r="I92" s="24" t="str">
        <f aca="false">IF(OR(E92="",E92="!!!",F92="NEW"),"",INDEX(B8:B$85,-1+SUMPRODUCT(MAX(ROW(E8:E$85)*(E92=E8:E$85)))))</f>
        <v/>
      </c>
      <c r="J92" s="24" t="str">
        <f aca="true">IF(OR(E92="",E92="!!!",F92="NEW"),"",COUNTBLANK(OFFSET(A$1,,,SUMPRODUCT(MAX(ROW(E$2:E92)*(E92=E$2:E92)))))-COUNTBLANK(OFFSET(A$1,,,SUMPRODUCT(MAX(ROW(E$1:E91)*(E2=E$1:E91))))))</f>
        <v/>
      </c>
      <c r="K92" s="24" t="str">
        <f aca="false">IF(OR(E92="",E92="!!!",F92="NEW"),"",INDEX(J$1:J91,SUMPRODUCT(MAX(ROW(E$1:E91)*(E92=E$1:E91)))))</f>
        <v/>
      </c>
      <c r="L92" s="21"/>
    </row>
    <row r="93" customFormat="false" ht="15" hidden="false" customHeight="false" outlineLevel="0" collapsed="false">
      <c r="A93" s="20" t="s">
        <v>1153</v>
      </c>
      <c r="E93" s="23"/>
      <c r="F93" s="25"/>
      <c r="G93" s="26"/>
      <c r="H93" s="27"/>
      <c r="I93" s="24" t="str">
        <f aca="false">IF(OR(E93="",E93="!!!",F93="NEW"),"",INDEX(B9:B$85,-1+SUMPRODUCT(MAX(ROW(E9:E$85)*(E93=E9:E$85)))))</f>
        <v/>
      </c>
      <c r="J93" s="24" t="str">
        <f aca="true">IF(OR(E93="",E93="!!!",F93="NEW"),"",COUNTBLANK(OFFSET(A$1,,,SUMPRODUCT(MAX(ROW(E$2:E93)*(E93=E$2:E93)))))-COUNTBLANK(OFFSET(A$1,,,SUMPRODUCT(MAX(ROW(E$1:E92)*(E2=E$1:E92))))))</f>
        <v/>
      </c>
      <c r="K93" s="24" t="str">
        <f aca="false">IF(OR(E93="",E93="!!!",F93="NEW"),"",INDEX(J$1:J92,SUMPRODUCT(MAX(ROW(E$1:E92)*(E93=E$1:E92)))))</f>
        <v/>
      </c>
      <c r="L93" s="21"/>
    </row>
    <row r="94" customFormat="false" ht="15" hidden="false" customHeight="false" outlineLevel="0" collapsed="false">
      <c r="A94" s="20" t="s">
        <v>1154</v>
      </c>
      <c r="E94" s="23"/>
      <c r="F94" s="25"/>
      <c r="G94" s="26"/>
      <c r="H94" s="27"/>
      <c r="I94" s="24" t="str">
        <f aca="false">IF(OR(E94="",E94="!!!",F94="NEW"),"",INDEX(B10:B$85,-1+SUMPRODUCT(MAX(ROW(E10:E$85)*(E94=E10:E$85)))))</f>
        <v/>
      </c>
      <c r="J94" s="24" t="str">
        <f aca="true">IF(OR(E94="",E94="!!!",F94="NEW"),"",COUNTBLANK(OFFSET(A$1,,,SUMPRODUCT(MAX(ROW(E$2:E94)*(E94=E$2:E94)))))-COUNTBLANK(OFFSET(A$1,,,SUMPRODUCT(MAX(ROW(E$1:E93)*(E2=E$1:E93))))))</f>
        <v/>
      </c>
      <c r="K94" s="24" t="str">
        <f aca="false">IF(OR(E94="",E94="!!!",F94="NEW"),"",INDEX(J$1:J93,SUMPRODUCT(MAX(ROW(E$1:E93)*(E94=E$1:E93)))))</f>
        <v/>
      </c>
      <c r="L94" s="21"/>
    </row>
    <row r="95" customFormat="false" ht="15" hidden="false" customHeight="false" outlineLevel="0" collapsed="false">
      <c r="A95" s="20" t="s">
        <v>1130</v>
      </c>
      <c r="B95" s="22" t="s">
        <v>1105</v>
      </c>
      <c r="C95" s="22" t="s">
        <v>1132</v>
      </c>
      <c r="D95" s="22" t="s">
        <v>1060</v>
      </c>
      <c r="E95" s="23" t="s">
        <v>1155</v>
      </c>
      <c r="F95" s="23" t="s">
        <v>1062</v>
      </c>
      <c r="G95" s="23" t="s">
        <v>1063</v>
      </c>
      <c r="H95" s="23"/>
      <c r="I95" s="24" t="str">
        <f aca="false">IF(OR(E95="",E95="!!!",F95="NEW"),"",INDEX(B11:B$85,-1+SUMPRODUCT(MAX(ROW(E11:E$85)*(E95=E11:E$85)))))</f>
        <v/>
      </c>
      <c r="J95" s="24" t="str">
        <f aca="true">IF(OR(E95="",E95="!!!",F95="NEW"),"",COUNTBLANK(OFFSET(A$1,,,SUMPRODUCT(MAX(ROW(E$2:E95)*(E95=E$2:E95)))))-COUNTBLANK(OFFSET(A$1,,,SUMPRODUCT(MAX(ROW(E$1:E94)*(E2=E$1:E94))))))</f>
        <v/>
      </c>
      <c r="K95" s="24" t="str">
        <f aca="false">IF(OR(E95="",E95="!!!",F95="NEW"),"",INDEX(J$1:J94,SUMPRODUCT(MAX(ROW(E$1:E94)*(E95=E$1:E94)))))</f>
        <v/>
      </c>
      <c r="L95" s="21"/>
    </row>
    <row r="96" customFormat="false" ht="15" hidden="false" customHeight="false" outlineLevel="0" collapsed="false">
      <c r="A96" s="20" t="s">
        <v>1133</v>
      </c>
      <c r="B96" s="22" t="s">
        <v>1091</v>
      </c>
      <c r="E96" s="23"/>
      <c r="F96" s="25"/>
      <c r="G96" s="26"/>
      <c r="H96" s="27"/>
      <c r="I96" s="24" t="str">
        <f aca="false">IF(OR(E96="",E96="!!!",F96="NEW"),"",INDEX(B12:B$85,-1+SUMPRODUCT(MAX(ROW(E12:E$85)*(E96=E12:E$85)))))</f>
        <v/>
      </c>
      <c r="J96" s="24" t="str">
        <f aca="true">IF(OR(E96="",E96="!!!",F96="NEW"),"",COUNTBLANK(OFFSET(A$1,,,SUMPRODUCT(MAX(ROW(E$2:E96)*(E96=E$2:E96)))))-COUNTBLANK(OFFSET(A$1,,,SUMPRODUCT(MAX(ROW(E$1:E95)*(E2=E$1:E95))))))</f>
        <v/>
      </c>
      <c r="K96" s="24" t="str">
        <f aca="false">IF(OR(E96="",E96="!!!",F96="NEW"),"",INDEX(J$1:J95,SUMPRODUCT(MAX(ROW(E$1:E95)*(E96=E$1:E95)))))</f>
        <v/>
      </c>
      <c r="L96" s="21"/>
    </row>
    <row r="97" customFormat="false" ht="15" hidden="false" customHeight="false" outlineLevel="0" collapsed="false">
      <c r="A97" s="20" t="s">
        <v>1135</v>
      </c>
      <c r="E97" s="23"/>
      <c r="F97" s="25"/>
      <c r="G97" s="26"/>
      <c r="H97" s="27"/>
      <c r="I97" s="24" t="str">
        <f aca="false">IF(OR(E97="",E97="!!!",F97="NEW"),"",INDEX(B13:B$85,-1+SUMPRODUCT(MAX(ROW(E13:E$85)*(E97=E13:E$85)))))</f>
        <v/>
      </c>
      <c r="J97" s="24" t="str">
        <f aca="true">IF(OR(E97="",E97="!!!",F97="NEW"),"",COUNTBLANK(OFFSET(A$1,,,SUMPRODUCT(MAX(ROW(E$2:E97)*(E97=E$2:E97)))))-COUNTBLANK(OFFSET(A$1,,,SUMPRODUCT(MAX(ROW(E$1:E96)*(E2=E$1:E96))))))</f>
        <v/>
      </c>
      <c r="K97" s="24" t="str">
        <f aca="false">IF(OR(E97="",E97="!!!",F97="NEW"),"",INDEX(J$1:J96,SUMPRODUCT(MAX(ROW(E$1:E96)*(E97=E$1:E96)))))</f>
        <v/>
      </c>
      <c r="L97" s="21"/>
    </row>
    <row r="98" customFormat="false" ht="15" hidden="false" customHeight="false" outlineLevel="0" collapsed="false">
      <c r="A98" s="20" t="s">
        <v>1156</v>
      </c>
      <c r="E98" s="23"/>
      <c r="F98" s="25"/>
      <c r="G98" s="26"/>
      <c r="H98" s="27"/>
      <c r="I98" s="24" t="str">
        <f aca="false">IF(OR(E98="",E98="!!!",F98="NEW"),"",INDEX(B14:B$85,-1+SUMPRODUCT(MAX(ROW(E14:E$85)*(E98=E14:E$85)))))</f>
        <v/>
      </c>
      <c r="J98" s="24" t="str">
        <f aca="true">IF(OR(E98="",E98="!!!",F98="NEW"),"",COUNTBLANK(OFFSET(A$1,,,SUMPRODUCT(MAX(ROW(E$2:E98)*(E98=E$2:E98)))))-COUNTBLANK(OFFSET(A$1,,,SUMPRODUCT(MAX(ROW(E$1:E97)*(E2=E$1:E97))))))</f>
        <v/>
      </c>
      <c r="K98" s="24" t="str">
        <f aca="false">IF(OR(E98="",E98="!!!",F98="NEW"),"",INDEX(J$1:J97,SUMPRODUCT(MAX(ROW(E$1:E97)*(E98=E$1:E97)))))</f>
        <v/>
      </c>
      <c r="L98" s="21"/>
    </row>
    <row r="99" customFormat="false" ht="15" hidden="false" customHeight="false" outlineLevel="0" collapsed="false">
      <c r="A99" s="20" t="s">
        <v>1157</v>
      </c>
      <c r="E99" s="23"/>
      <c r="F99" s="25"/>
      <c r="G99" s="26"/>
      <c r="H99" s="27"/>
      <c r="I99" s="24" t="str">
        <f aca="false">IF(OR(E99="",E99="!!!",F99="NEW"),"",INDEX(B15:B$85,-1+SUMPRODUCT(MAX(ROW(E15:E$85)*(E99=E15:E$85)))))</f>
        <v/>
      </c>
      <c r="J99" s="24" t="str">
        <f aca="true">IF(OR(E99="",E99="!!!",F99="NEW"),"",COUNTBLANK(OFFSET(A$1,,,SUMPRODUCT(MAX(ROW(E$2:E99)*(E99=E$2:E99)))))-COUNTBLANK(OFFSET(A$1,,,SUMPRODUCT(MAX(ROW(E$1:E98)*(E2=E$1:E98))))))</f>
        <v/>
      </c>
      <c r="K99" s="24" t="str">
        <f aca="false">IF(OR(E99="",E99="!!!",F99="NEW"),"",INDEX(J$1:J98,SUMPRODUCT(MAX(ROW(E$1:E98)*(E99=E$1:E98)))))</f>
        <v/>
      </c>
      <c r="L99" s="21"/>
    </row>
    <row r="100" customFormat="false" ht="15" hidden="false" customHeight="false" outlineLevel="0" collapsed="false">
      <c r="A100" s="20" t="s">
        <v>1097</v>
      </c>
      <c r="B100" s="22" t="s">
        <v>1107</v>
      </c>
      <c r="C100" s="22" t="s">
        <v>1099</v>
      </c>
      <c r="D100" s="22" t="s">
        <v>1060</v>
      </c>
      <c r="E100" s="23" t="s">
        <v>1069</v>
      </c>
      <c r="F100" s="23" t="s">
        <v>1083</v>
      </c>
      <c r="G100" s="23" t="s">
        <v>1120</v>
      </c>
      <c r="H100" s="23"/>
      <c r="I100" s="28" t="e">
        <f aca="false">IF(OR(E100="",E100="!!!",F100="NEW"),"",INDEX(B16:B$85,-1+SUMPRODUCT(MAX(ROW(E16:E$85)*(E100=E16:E$85)))))</f>
        <v>#REF!</v>
      </c>
      <c r="J100" s="24" t="n">
        <f aca="true">IF(OR(E100="",E100="!!!",F100="NEW"),"",COUNTBLANK(OFFSET(A$1,,,SUMPRODUCT(MAX(ROW(E$2:E100)*(E100=E$2:E100)))))-COUNTBLANK(OFFSET(A$1,,,SUMPRODUCT(MAX(ROW(E$1:E99)*(E2=E$1:E99))))))</f>
        <v>0</v>
      </c>
      <c r="K100" s="24" t="n">
        <f aca="false">IF(OR(E100="",E100="!!!",F100="NEW"),"",INDEX(J$1:J99,SUMPRODUCT(MAX(ROW(E$1:E99)*(E100=E$1:E99)))))</f>
        <v>0</v>
      </c>
      <c r="L100" s="21"/>
    </row>
    <row r="101" customFormat="false" ht="15" hidden="false" customHeight="false" outlineLevel="0" collapsed="false">
      <c r="A101" s="20" t="s">
        <v>1158</v>
      </c>
      <c r="B101" s="22" t="s">
        <v>1067</v>
      </c>
      <c r="C101" s="22" t="s">
        <v>1059</v>
      </c>
      <c r="D101" s="22" t="s">
        <v>1060</v>
      </c>
      <c r="E101" s="23" t="s">
        <v>1155</v>
      </c>
      <c r="F101" s="23" t="s">
        <v>1083</v>
      </c>
      <c r="G101" s="23" t="s">
        <v>1084</v>
      </c>
      <c r="H101" s="23"/>
      <c r="I101" s="28" t="e">
        <f aca="false">IF(OR(E101="",E101="!!!",F101="NEW"),"",INDEX(B17:B$85,-1+SUMPRODUCT(MAX(ROW(E17:E$85)*(E101=E17:E$85)))))</f>
        <v>#VALUE!</v>
      </c>
      <c r="J101" s="24" t="n">
        <f aca="true">IF(OR(E101="",E101="!!!",F101="NEW"),"",COUNTBLANK(OFFSET(A$1,,,SUMPRODUCT(MAX(ROW(E$2:E101)*(E101=E$2:E101)))))-COUNTBLANK(OFFSET(A$1,,,SUMPRODUCT(MAX(ROW(E$1:E100)*(E2=E$1:E100))))))</f>
        <v>0</v>
      </c>
      <c r="K101" s="24" t="str">
        <f aca="false">IF(OR(E101="",E101="!!!",F101="NEW"),"",INDEX(J$1:J100,SUMPRODUCT(MAX(ROW(E$1:E100)*(E101=E$1:E100)))))</f>
        <v/>
      </c>
      <c r="L101" s="21"/>
    </row>
    <row r="102" customFormat="false" ht="15" hidden="false" customHeight="false" outlineLevel="0" collapsed="false">
      <c r="A102" s="20" t="s">
        <v>1128</v>
      </c>
      <c r="E102" s="23"/>
      <c r="F102" s="25"/>
      <c r="G102" s="26"/>
      <c r="H102" s="27"/>
      <c r="I102" s="24" t="str">
        <f aca="false">IF(OR(E102="",E102="!!!",F102="NEW"),"",INDEX(B18:B$85,-1+SUMPRODUCT(MAX(ROW(E18:E$85)*(E102=E18:E$85)))))</f>
        <v/>
      </c>
      <c r="J102" s="24" t="str">
        <f aca="true">IF(OR(E102="",E102="!!!",F102="NEW"),"",COUNTBLANK(OFFSET(A$1,,,SUMPRODUCT(MAX(ROW(E$2:E102)*(E102=E$2:E102)))))-COUNTBLANK(OFFSET(A$1,,,SUMPRODUCT(MAX(ROW(E$1:E101)*(E2=E$1:E101))))))</f>
        <v/>
      </c>
      <c r="K102" s="24" t="str">
        <f aca="false">IF(OR(E102="",E102="!!!",F102="NEW"),"",INDEX(J$1:J101,SUMPRODUCT(MAX(ROW(E$1:E101)*(E102=E$1:E101)))))</f>
        <v/>
      </c>
      <c r="L102" s="21"/>
    </row>
    <row r="103" customFormat="false" ht="15" hidden="false" customHeight="false" outlineLevel="0" collapsed="false">
      <c r="A103" s="20" t="s">
        <v>1159</v>
      </c>
      <c r="B103" s="22" t="s">
        <v>1107</v>
      </c>
      <c r="C103" s="22" t="s">
        <v>1160</v>
      </c>
      <c r="E103" s="23"/>
      <c r="F103" s="25"/>
      <c r="G103" s="26"/>
      <c r="H103" s="27"/>
      <c r="I103" s="24" t="str">
        <f aca="false">IF(OR(E103="",E103="!!!",F103="NEW"),"",INDEX(B19:B$85,-1+SUMPRODUCT(MAX(ROW(E19:E$85)*(E103=E19:E$85)))))</f>
        <v/>
      </c>
      <c r="J103" s="24" t="str">
        <f aca="true">IF(OR(E103="",E103="!!!",F103="NEW"),"",COUNTBLANK(OFFSET(A$1,,,SUMPRODUCT(MAX(ROW(E$2:E103)*(E103=E$2:E103)))))-COUNTBLANK(OFFSET(A$1,,,SUMPRODUCT(MAX(ROW(E$1:E102)*(E2=E$1:E102))))))</f>
        <v/>
      </c>
      <c r="K103" s="24" t="str">
        <f aca="false">IF(OR(E103="",E103="!!!",F103="NEW"),"",INDEX(J$1:J102,SUMPRODUCT(MAX(ROW(E$1:E102)*(E103=E$1:E102)))))</f>
        <v/>
      </c>
      <c r="L103" s="21"/>
    </row>
    <row r="104" customFormat="false" ht="15" hidden="false" customHeight="false" outlineLevel="0" collapsed="false">
      <c r="A104" s="20" t="s">
        <v>923</v>
      </c>
      <c r="E104" s="23"/>
      <c r="F104" s="25"/>
      <c r="G104" s="26"/>
      <c r="H104" s="27"/>
      <c r="I104" s="24" t="str">
        <f aca="false">IF(OR(E104="",E104="!!!",F104="NEW"),"",INDEX(B20:B$85,-1+SUMPRODUCT(MAX(ROW(E20:E$85)*(E104=E20:E$85)))))</f>
        <v/>
      </c>
      <c r="J104" s="24" t="str">
        <f aca="true">IF(OR(E104="",E104="!!!",F104="NEW"),"",COUNTBLANK(OFFSET(A$1,,,SUMPRODUCT(MAX(ROW(E$2:E104)*(E104=E$2:E104)))))-COUNTBLANK(OFFSET(A$1,,,SUMPRODUCT(MAX(ROW(E$1:E103)*(E2=E$1:E103))))))</f>
        <v/>
      </c>
      <c r="K104" s="24" t="str">
        <f aca="false">IF(OR(E104="",E104="!!!",F104="NEW"),"",INDEX(J$1:J103,SUMPRODUCT(MAX(ROW(E$1:E103)*(E104=E$1:E103)))))</f>
        <v/>
      </c>
      <c r="L104" s="21"/>
    </row>
    <row r="105" customFormat="false" ht="15" hidden="false" customHeight="false" outlineLevel="0" collapsed="false">
      <c r="A105" s="20"/>
      <c r="L105" s="21"/>
    </row>
    <row r="106" customFormat="false" ht="15" hidden="false" customHeight="false" outlineLevel="0" collapsed="false">
      <c r="A106" s="20" t="s">
        <v>1161</v>
      </c>
      <c r="L106" s="21"/>
    </row>
    <row r="107" customFormat="false" ht="15" hidden="false" customHeight="false" outlineLevel="0" collapsed="false">
      <c r="A107" s="20" t="s">
        <v>1162</v>
      </c>
      <c r="B107" s="22" t="s">
        <v>1058</v>
      </c>
      <c r="C107" s="22" t="s">
        <v>1082</v>
      </c>
      <c r="D107" s="22" t="s">
        <v>1060</v>
      </c>
      <c r="E107" s="23" t="s">
        <v>1163</v>
      </c>
      <c r="F107" s="23" t="s">
        <v>1062</v>
      </c>
      <c r="G107" s="23" t="s">
        <v>1070</v>
      </c>
      <c r="H107" s="23"/>
      <c r="I107" s="24" t="str">
        <f aca="false">IF(OR(E107="",E107="!!!",F107="NEW"),"",INDEX(B2:B$106,-1+SUMPRODUCT(MAX(ROW(E2:E$106)*(E107=E2:E$106)))))</f>
        <v/>
      </c>
      <c r="J107" s="24" t="str">
        <f aca="true">IF(OR(E107="",E107="!!!",F107="NEW"),"",COUNTBLANK(OFFSET(A$1,,,SUMPRODUCT(MAX(ROW(E$2:E107)*(E107=E$2:E107)))))-COUNTBLANK(OFFSET(A$1,,,SUMPRODUCT(MAX(ROW(E$1:E106)*(E2=E$1:E106))))))</f>
        <v/>
      </c>
      <c r="K107" s="24" t="str">
        <f aca="false">IF(OR(E107="",E107="!!!",F107="NEW"),"",INDEX(J$1:J106,SUMPRODUCT(MAX(ROW(E$1:E106)*(E107=E$1:E106)))))</f>
        <v/>
      </c>
      <c r="L107" s="21"/>
    </row>
    <row r="108" customFormat="false" ht="15" hidden="false" customHeight="false" outlineLevel="0" collapsed="false">
      <c r="A108" s="20" t="s">
        <v>1164</v>
      </c>
      <c r="E108" s="23"/>
      <c r="F108" s="25"/>
      <c r="G108" s="26"/>
      <c r="H108" s="27"/>
      <c r="I108" s="24" t="str">
        <f aca="false">IF(OR(E108="",E108="!!!",F108="NEW"),"",INDEX(B3:B$106,-1+SUMPRODUCT(MAX(ROW(E3:E$106)*(E108=E3:E$106)))))</f>
        <v/>
      </c>
      <c r="J108" s="24" t="str">
        <f aca="true">IF(OR(E108="",E108="!!!",F108="NEW"),"",COUNTBLANK(OFFSET(A$1,,,SUMPRODUCT(MAX(ROW(E$2:E108)*(E108=E$2:E108)))))-COUNTBLANK(OFFSET(A$1,,,SUMPRODUCT(MAX(ROW(E$1:E107)*(E2=E$1:E107))))))</f>
        <v/>
      </c>
      <c r="K108" s="24" t="str">
        <f aca="false">IF(OR(E108="",E108="!!!",F108="NEW"),"",INDEX(J$1:J107,SUMPRODUCT(MAX(ROW(E$1:E107)*(E108=E$1:E107)))))</f>
        <v/>
      </c>
      <c r="L108" s="21"/>
    </row>
    <row r="109" customFormat="false" ht="15" hidden="false" customHeight="false" outlineLevel="0" collapsed="false">
      <c r="A109" s="20" t="s">
        <v>1165</v>
      </c>
      <c r="E109" s="23"/>
      <c r="F109" s="25"/>
      <c r="G109" s="26"/>
      <c r="H109" s="27"/>
      <c r="I109" s="24" t="str">
        <f aca="false">IF(OR(E109="",E109="!!!",F109="NEW"),"",INDEX(B4:B$106,-1+SUMPRODUCT(MAX(ROW(E4:E$106)*(E109=E4:E$106)))))</f>
        <v/>
      </c>
      <c r="J109" s="24" t="str">
        <f aca="true">IF(OR(E109="",E109="!!!",F109="NEW"),"",COUNTBLANK(OFFSET(A$1,,,SUMPRODUCT(MAX(ROW(E$2:E109)*(E109=E$2:E109)))))-COUNTBLANK(OFFSET(A$1,,,SUMPRODUCT(MAX(ROW(E$1:E108)*(E2=E$1:E108))))))</f>
        <v/>
      </c>
      <c r="K109" s="24" t="str">
        <f aca="false">IF(OR(E109="",E109="!!!",F109="NEW"),"",INDEX(J$1:J108,SUMPRODUCT(MAX(ROW(E$1:E108)*(E109=E$1:E108)))))</f>
        <v/>
      </c>
      <c r="L109" s="21"/>
    </row>
    <row r="110" customFormat="false" ht="15" hidden="false" customHeight="false" outlineLevel="0" collapsed="false">
      <c r="A110" s="20" t="s">
        <v>1166</v>
      </c>
      <c r="E110" s="23"/>
      <c r="F110" s="25"/>
      <c r="G110" s="26"/>
      <c r="H110" s="27"/>
      <c r="I110" s="24" t="str">
        <f aca="false">IF(OR(E110="",E110="!!!",F110="NEW"),"",INDEX(B5:B$106,-1+SUMPRODUCT(MAX(ROW(E5:E$106)*(E110=E5:E$106)))))</f>
        <v/>
      </c>
      <c r="J110" s="24" t="str">
        <f aca="true">IF(OR(E110="",E110="!!!",F110="NEW"),"",COUNTBLANK(OFFSET(A$1,,,SUMPRODUCT(MAX(ROW(E$2:E110)*(E110=E$2:E110)))))-COUNTBLANK(OFFSET(A$1,,,SUMPRODUCT(MAX(ROW(E$1:E109)*(E2=E$1:E109))))))</f>
        <v/>
      </c>
      <c r="K110" s="24" t="str">
        <f aca="false">IF(OR(E110="",E110="!!!",F110="NEW"),"",INDEX(J$1:J109,SUMPRODUCT(MAX(ROW(E$1:E109)*(E110=E$1:E109)))))</f>
        <v/>
      </c>
      <c r="L110" s="21"/>
    </row>
    <row r="111" customFormat="false" ht="15" hidden="false" customHeight="false" outlineLevel="0" collapsed="false">
      <c r="A111" s="20" t="s">
        <v>1167</v>
      </c>
      <c r="E111" s="23"/>
      <c r="F111" s="25"/>
      <c r="G111" s="26"/>
      <c r="H111" s="27"/>
      <c r="I111" s="24" t="str">
        <f aca="false">IF(OR(E111="",E111="!!!",F111="NEW"),"",INDEX(B6:B$106,-1+SUMPRODUCT(MAX(ROW(E6:E$106)*(E111=E6:E$106)))))</f>
        <v/>
      </c>
      <c r="J111" s="24" t="str">
        <f aca="true">IF(OR(E111="",E111="!!!",F111="NEW"),"",COUNTBLANK(OFFSET(A$1,,,SUMPRODUCT(MAX(ROW(E$2:E111)*(E111=E$2:E111)))))-COUNTBLANK(OFFSET(A$1,,,SUMPRODUCT(MAX(ROW(E$1:E110)*(E2=E$1:E110))))))</f>
        <v/>
      </c>
      <c r="K111" s="24" t="str">
        <f aca="false">IF(OR(E111="",E111="!!!",F111="NEW"),"",INDEX(J$1:J110,SUMPRODUCT(MAX(ROW(E$1:E110)*(E111=E$1:E110)))))</f>
        <v/>
      </c>
      <c r="L111" s="21"/>
    </row>
    <row r="112" customFormat="false" ht="15" hidden="false" customHeight="false" outlineLevel="0" collapsed="false">
      <c r="A112" s="20" t="s">
        <v>1080</v>
      </c>
      <c r="B112" s="22" t="s">
        <v>1105</v>
      </c>
      <c r="C112" s="22" t="s">
        <v>1082</v>
      </c>
      <c r="D112" s="22" t="s">
        <v>1060</v>
      </c>
      <c r="E112" s="23" t="s">
        <v>1149</v>
      </c>
      <c r="F112" s="23" t="s">
        <v>1083</v>
      </c>
      <c r="G112" s="23" t="s">
        <v>1084</v>
      </c>
      <c r="H112" s="23"/>
      <c r="I112" s="28" t="n">
        <f aca="false">IF(OR(E112="",E112="!!!",F112="NEW"),"",INDEX(B7:B$106,-1+SUMPRODUCT(MAX(ROW(E7:E$106)*(E112=E7:E$106)))))</f>
        <v>0</v>
      </c>
      <c r="J112" s="24" t="n">
        <f aca="true">IF(OR(E112="",E112="!!!",F112="NEW"),"",COUNTBLANK(OFFSET(A$1,,,SUMPRODUCT(MAX(ROW(E$2:E112)*(E112=E$2:E112)))))-COUNTBLANK(OFFSET(A$1,,,SUMPRODUCT(MAX(ROW(E$1:E111)*(E2=E$1:E111))))))</f>
        <v>0</v>
      </c>
      <c r="K112" s="24" t="str">
        <f aca="false">IF(OR(E112="",E112="!!!",F112="NEW"),"",INDEX(J$1:J111,SUMPRODUCT(MAX(ROW(E$1:E111)*(E112=E$1:E111)))))</f>
        <v/>
      </c>
      <c r="L112" s="21"/>
    </row>
    <row r="113" customFormat="false" ht="15" hidden="false" customHeight="false" outlineLevel="0" collapsed="false">
      <c r="A113" s="20" t="s">
        <v>1076</v>
      </c>
      <c r="E113" s="23"/>
      <c r="F113" s="25"/>
      <c r="G113" s="26"/>
      <c r="H113" s="27"/>
      <c r="I113" s="24" t="str">
        <f aca="false">IF(OR(E113="",E113="!!!",F113="NEW"),"",INDEX(B8:B$106,-1+SUMPRODUCT(MAX(ROW(E8:E$106)*(E113=E8:E$106)))))</f>
        <v/>
      </c>
      <c r="J113" s="24" t="str">
        <f aca="true">IF(OR(E113="",E113="!!!",F113="NEW"),"",COUNTBLANK(OFFSET(A$1,,,SUMPRODUCT(MAX(ROW(E$2:E113)*(E113=E$2:E113)))))-COUNTBLANK(OFFSET(A$1,,,SUMPRODUCT(MAX(ROW(E$1:E112)*(E2=E$1:E112))))))</f>
        <v/>
      </c>
      <c r="K113" s="24" t="str">
        <f aca="false">IF(OR(E113="",E113="!!!",F113="NEW"),"",INDEX(J$1:J112,SUMPRODUCT(MAX(ROW(E$1:E112)*(E113=E$1:E112)))))</f>
        <v/>
      </c>
      <c r="L113" s="21"/>
    </row>
    <row r="114" customFormat="false" ht="15" hidden="false" customHeight="false" outlineLevel="0" collapsed="false">
      <c r="A114" s="20" t="s">
        <v>1168</v>
      </c>
      <c r="E114" s="23"/>
      <c r="F114" s="25"/>
      <c r="G114" s="26"/>
      <c r="H114" s="27"/>
      <c r="I114" s="24" t="str">
        <f aca="false">IF(OR(E114="",E114="!!!",F114="NEW"),"",INDEX(B9:B$106,-1+SUMPRODUCT(MAX(ROW(E9:E$106)*(E114=E9:E$106)))))</f>
        <v/>
      </c>
      <c r="J114" s="24" t="str">
        <f aca="true">IF(OR(E114="",E114="!!!",F114="NEW"),"",COUNTBLANK(OFFSET(A$1,,,SUMPRODUCT(MAX(ROW(E$2:E114)*(E114=E$2:E114)))))-COUNTBLANK(OFFSET(A$1,,,SUMPRODUCT(MAX(ROW(E$1:E113)*(E2=E$1:E113))))))</f>
        <v/>
      </c>
      <c r="K114" s="24" t="str">
        <f aca="false">IF(OR(E114="",E114="!!!",F114="NEW"),"",INDEX(J$1:J113,SUMPRODUCT(MAX(ROW(E$1:E113)*(E114=E$1:E113)))))</f>
        <v/>
      </c>
      <c r="L114" s="21"/>
    </row>
    <row r="115" customFormat="false" ht="15" hidden="false" customHeight="false" outlineLevel="0" collapsed="false">
      <c r="A115" s="20" t="s">
        <v>1143</v>
      </c>
      <c r="E115" s="23"/>
      <c r="F115" s="25"/>
      <c r="G115" s="26"/>
      <c r="H115" s="27"/>
      <c r="I115" s="24" t="str">
        <f aca="false">IF(OR(E115="",E115="!!!",F115="NEW"),"",INDEX(B10:B$106,-1+SUMPRODUCT(MAX(ROW(E10:E$106)*(E115=E10:E$106)))))</f>
        <v/>
      </c>
      <c r="J115" s="24" t="str">
        <f aca="true">IF(OR(E115="",E115="!!!",F115="NEW"),"",COUNTBLANK(OFFSET(A$1,,,SUMPRODUCT(MAX(ROW(E$2:E115)*(E115=E$2:E115)))))-COUNTBLANK(OFFSET(A$1,,,SUMPRODUCT(MAX(ROW(E$1:E114)*(E2=E$1:E114))))))</f>
        <v/>
      </c>
      <c r="K115" s="24" t="str">
        <f aca="false">IF(OR(E115="",E115="!!!",F115="NEW"),"",INDEX(J$1:J114,SUMPRODUCT(MAX(ROW(E$1:E114)*(E115=E$1:E114)))))</f>
        <v/>
      </c>
      <c r="L115" s="21"/>
    </row>
    <row r="116" customFormat="false" ht="15" hidden="false" customHeight="false" outlineLevel="0" collapsed="false">
      <c r="A116" s="20" t="s">
        <v>967</v>
      </c>
      <c r="E116" s="23"/>
      <c r="F116" s="25"/>
      <c r="G116" s="26"/>
      <c r="H116" s="27"/>
      <c r="I116" s="24" t="str">
        <f aca="false">IF(OR(E116="",E116="!!!",F116="NEW"),"",INDEX(B11:B$106,-1+SUMPRODUCT(MAX(ROW(E11:E$106)*(E116=E11:E$106)))))</f>
        <v/>
      </c>
      <c r="J116" s="24" t="str">
        <f aca="true">IF(OR(E116="",E116="!!!",F116="NEW"),"",COUNTBLANK(OFFSET(A$1,,,SUMPRODUCT(MAX(ROW(E$2:E116)*(E116=E$2:E116)))))-COUNTBLANK(OFFSET(A$1,,,SUMPRODUCT(MAX(ROW(E$1:E115)*(E2=E$1:E115))))))</f>
        <v/>
      </c>
      <c r="K116" s="24" t="str">
        <f aca="false">IF(OR(E116="",E116="!!!",F116="NEW"),"",INDEX(J$1:J115,SUMPRODUCT(MAX(ROW(E$1:E115)*(E116=E$1:E115)))))</f>
        <v/>
      </c>
      <c r="L116" s="21"/>
    </row>
    <row r="117" customFormat="false" ht="15" hidden="false" customHeight="false" outlineLevel="0" collapsed="false">
      <c r="A117" s="20" t="s">
        <v>587</v>
      </c>
      <c r="E117" s="23"/>
      <c r="F117" s="25"/>
      <c r="G117" s="26"/>
      <c r="H117" s="27"/>
      <c r="I117" s="24" t="str">
        <f aca="false">IF(OR(E117="",E117="!!!",F117="NEW"),"",INDEX(B12:B$106,-1+SUMPRODUCT(MAX(ROW(E12:E$106)*(E117=E12:E$106)))))</f>
        <v/>
      </c>
      <c r="J117" s="24" t="str">
        <f aca="true">IF(OR(E117="",E117="!!!",F117="NEW"),"",COUNTBLANK(OFFSET(A$1,,,SUMPRODUCT(MAX(ROW(E$2:E117)*(E117=E$2:E117)))))-COUNTBLANK(OFFSET(A$1,,,SUMPRODUCT(MAX(ROW(E$1:E116)*(E2=E$1:E116))))))</f>
        <v/>
      </c>
      <c r="K117" s="24" t="str">
        <f aca="false">IF(OR(E117="",E117="!!!",F117="NEW"),"",INDEX(J$1:J116,SUMPRODUCT(MAX(ROW(E$1:E116)*(E117=E$1:E116)))))</f>
        <v/>
      </c>
      <c r="L117" s="21"/>
    </row>
    <row r="118" customFormat="false" ht="15" hidden="false" customHeight="false" outlineLevel="0" collapsed="false">
      <c r="A118" s="20" t="s">
        <v>1169</v>
      </c>
      <c r="E118" s="23"/>
      <c r="F118" s="25"/>
      <c r="G118" s="26"/>
      <c r="H118" s="27"/>
      <c r="I118" s="24" t="str">
        <f aca="false">IF(OR(E118="",E118="!!!",F118="NEW"),"",INDEX(B13:B$106,-1+SUMPRODUCT(MAX(ROW(E13:E$106)*(E118=E13:E$106)))))</f>
        <v/>
      </c>
      <c r="J118" s="24" t="str">
        <f aca="true">IF(OR(E118="",E118="!!!",F118="NEW"),"",COUNTBLANK(OFFSET(A$1,,,SUMPRODUCT(MAX(ROW(E$2:E118)*(E118=E$2:E118)))))-COUNTBLANK(OFFSET(A$1,,,SUMPRODUCT(MAX(ROW(E$1:E117)*(E2=E$1:E117))))))</f>
        <v/>
      </c>
      <c r="K118" s="24" t="str">
        <f aca="false">IF(OR(E118="",E118="!!!",F118="NEW"),"",INDEX(J$1:J117,SUMPRODUCT(MAX(ROW(E$1:E117)*(E118=E$1:E117)))))</f>
        <v/>
      </c>
      <c r="L118" s="21"/>
    </row>
    <row r="119" customFormat="false" ht="15" hidden="false" customHeight="false" outlineLevel="0" collapsed="false">
      <c r="A119" s="20" t="s">
        <v>1170</v>
      </c>
      <c r="E119" s="23"/>
      <c r="F119" s="25"/>
      <c r="G119" s="26"/>
      <c r="H119" s="27"/>
      <c r="I119" s="24" t="str">
        <f aca="false">IF(OR(E119="",E119="!!!",F119="NEW"),"",INDEX(B14:B$106,-1+SUMPRODUCT(MAX(ROW(E14:E$106)*(E119=E14:E$106)))))</f>
        <v/>
      </c>
      <c r="J119" s="24" t="str">
        <f aca="true">IF(OR(E119="",E119="!!!",F119="NEW"),"",COUNTBLANK(OFFSET(A$1,,,SUMPRODUCT(MAX(ROW(E$2:E119)*(E119=E$2:E119)))))-COUNTBLANK(OFFSET(A$1,,,SUMPRODUCT(MAX(ROW(E$1:E118)*(E2=E$1:E118))))))</f>
        <v/>
      </c>
      <c r="K119" s="24" t="str">
        <f aca="false">IF(OR(E119="",E119="!!!",F119="NEW"),"",INDEX(J$1:J118,SUMPRODUCT(MAX(ROW(E$1:E118)*(E119=E$1:E118)))))</f>
        <v/>
      </c>
      <c r="L119" s="21"/>
    </row>
    <row r="120" customFormat="false" ht="15" hidden="false" customHeight="false" outlineLevel="0" collapsed="false">
      <c r="A120" s="20" t="s">
        <v>1089</v>
      </c>
      <c r="E120" s="23"/>
      <c r="F120" s="25"/>
      <c r="G120" s="26"/>
      <c r="H120" s="27"/>
      <c r="I120" s="24" t="str">
        <f aca="false">IF(OR(E120="",E120="!!!",F120="NEW"),"",INDEX(B15:B$106,-1+SUMPRODUCT(MAX(ROW(E15:E$106)*(E120=E15:E$106)))))</f>
        <v/>
      </c>
      <c r="J120" s="24" t="str">
        <f aca="true">IF(OR(E120="",E120="!!!",F120="NEW"),"",COUNTBLANK(OFFSET(A$1,,,SUMPRODUCT(MAX(ROW(E$2:E120)*(E120=E$2:E120)))))-COUNTBLANK(OFFSET(A$1,,,SUMPRODUCT(MAX(ROW(E$1:E119)*(E2=E$1:E119))))))</f>
        <v/>
      </c>
      <c r="K120" s="24" t="str">
        <f aca="false">IF(OR(E120="",E120="!!!",F120="NEW"),"",INDEX(J$1:J119,SUMPRODUCT(MAX(ROW(E$1:E119)*(E120=E$1:E119)))))</f>
        <v/>
      </c>
      <c r="L120" s="21"/>
    </row>
    <row r="121" customFormat="false" ht="15" hidden="false" customHeight="false" outlineLevel="0" collapsed="false">
      <c r="A121" s="20" t="s">
        <v>78</v>
      </c>
      <c r="E121" s="23"/>
      <c r="F121" s="25"/>
      <c r="G121" s="26"/>
      <c r="H121" s="27"/>
      <c r="I121" s="24" t="str">
        <f aca="false">IF(OR(E121="",E121="!!!",F121="NEW"),"",INDEX(B16:B$106,-1+SUMPRODUCT(MAX(ROW(E16:E$106)*(E121=E16:E$106)))))</f>
        <v/>
      </c>
      <c r="J121" s="24" t="str">
        <f aca="true">IF(OR(E121="",E121="!!!",F121="NEW"),"",COUNTBLANK(OFFSET(A$1,,,SUMPRODUCT(MAX(ROW(E$2:E121)*(E121=E$2:E121)))))-COUNTBLANK(OFFSET(A$1,,,SUMPRODUCT(MAX(ROW(E$1:E120)*(E2=E$1:E120))))))</f>
        <v/>
      </c>
      <c r="K121" s="24" t="str">
        <f aca="false">IF(OR(E121="",E121="!!!",F121="NEW"),"",INDEX(J$1:J120,SUMPRODUCT(MAX(ROW(E$1:E120)*(E121=E$1:E120)))))</f>
        <v/>
      </c>
      <c r="L121" s="21"/>
    </row>
    <row r="122" customFormat="false" ht="15" hidden="false" customHeight="false" outlineLevel="0" collapsed="false">
      <c r="A122" s="20" t="s">
        <v>61</v>
      </c>
      <c r="B122" s="22" t="s">
        <v>1105</v>
      </c>
      <c r="C122" s="22" t="s">
        <v>1171</v>
      </c>
      <c r="D122" s="22" t="s">
        <v>1060</v>
      </c>
      <c r="E122" s="23" t="s">
        <v>61</v>
      </c>
      <c r="F122" s="23" t="s">
        <v>1062</v>
      </c>
      <c r="G122" s="23" t="s">
        <v>1172</v>
      </c>
      <c r="H122" s="23"/>
      <c r="I122" s="24" t="str">
        <f aca="false">IF(OR(E122="",E122="!!!",F122="NEW"),"",INDEX(B17:B$106,-1+SUMPRODUCT(MAX(ROW(E17:E$106)*(E122=E17:E$106)))))</f>
        <v/>
      </c>
      <c r="J122" s="24" t="str">
        <f aca="true">IF(OR(E122="",E122="!!!",F122="NEW"),"",COUNTBLANK(OFFSET(A$1,,,SUMPRODUCT(MAX(ROW(E$2:E122)*(E122=E$2:E122)))))-COUNTBLANK(OFFSET(A$1,,,SUMPRODUCT(MAX(ROW(E$1:E121)*(E2=E$1:E121))))))</f>
        <v/>
      </c>
      <c r="K122" s="24" t="str">
        <f aca="false">IF(OR(E122="",E122="!!!",F122="NEW"),"",INDEX(J$1:J121,SUMPRODUCT(MAX(ROW(E$1:E121)*(E122=E$1:E121)))))</f>
        <v/>
      </c>
      <c r="L122" s="21"/>
    </row>
    <row r="123" customFormat="false" ht="15" hidden="false" customHeight="false" outlineLevel="0" collapsed="false">
      <c r="A123" s="20" t="s">
        <v>1173</v>
      </c>
      <c r="E123" s="23"/>
      <c r="F123" s="25"/>
      <c r="G123" s="26"/>
      <c r="H123" s="27"/>
      <c r="I123" s="24" t="str">
        <f aca="false">IF(OR(E123="",E123="!!!",F123="NEW"),"",INDEX(B18:B$106,-1+SUMPRODUCT(MAX(ROW(E18:E$106)*(E123=E18:E$106)))))</f>
        <v/>
      </c>
      <c r="J123" s="24" t="str">
        <f aca="true">IF(OR(E123="",E123="!!!",F123="NEW"),"",COUNTBLANK(OFFSET(A$1,,,SUMPRODUCT(MAX(ROW(E$2:E123)*(E123=E$2:E123)))))-COUNTBLANK(OFFSET(A$1,,,SUMPRODUCT(MAX(ROW(E$1:E122)*(E2=E$1:E122))))))</f>
        <v/>
      </c>
      <c r="K123" s="24" t="str">
        <f aca="false">IF(OR(E123="",E123="!!!",F123="NEW"),"",INDEX(J$1:J122,SUMPRODUCT(MAX(ROW(E$1:E122)*(E123=E$1:E122)))))</f>
        <v/>
      </c>
      <c r="L123" s="21"/>
    </row>
    <row r="124" customFormat="false" ht="15" hidden="false" customHeight="false" outlineLevel="0" collapsed="false">
      <c r="A124" s="20" t="s">
        <v>1109</v>
      </c>
      <c r="E124" s="23"/>
      <c r="F124" s="25"/>
      <c r="G124" s="26"/>
      <c r="H124" s="27"/>
      <c r="I124" s="24" t="str">
        <f aca="false">IF(OR(E124="",E124="!!!",F124="NEW"),"",INDEX(B19:B$106,-1+SUMPRODUCT(MAX(ROW(E19:E$106)*(E124=E19:E$106)))))</f>
        <v/>
      </c>
      <c r="J124" s="24" t="str">
        <f aca="true">IF(OR(E124="",E124="!!!",F124="NEW"),"",COUNTBLANK(OFFSET(A$1,,,SUMPRODUCT(MAX(ROW(E$2:E124)*(E124=E$2:E124)))))-COUNTBLANK(OFFSET(A$1,,,SUMPRODUCT(MAX(ROW(E$1:E123)*(E2=E$1:E123))))))</f>
        <v/>
      </c>
      <c r="K124" s="24" t="str">
        <f aca="false">IF(OR(E124="",E124="!!!",F124="NEW"),"",INDEX(J$1:J123,SUMPRODUCT(MAX(ROW(E$1:E123)*(E124=E$1:E123)))))</f>
        <v/>
      </c>
      <c r="L124" s="21"/>
    </row>
    <row r="125" customFormat="false" ht="15" hidden="false" customHeight="false" outlineLevel="0" collapsed="false">
      <c r="A125" s="20" t="s">
        <v>1174</v>
      </c>
      <c r="B125" s="22" t="s">
        <v>1073</v>
      </c>
      <c r="C125" s="22" t="s">
        <v>1150</v>
      </c>
      <c r="D125" s="22" t="s">
        <v>1060</v>
      </c>
      <c r="E125" s="23" t="s">
        <v>16</v>
      </c>
      <c r="F125" s="23" t="s">
        <v>1074</v>
      </c>
      <c r="G125" s="23"/>
      <c r="H125" s="23"/>
      <c r="I125" s="28" t="n">
        <f aca="false">IF(OR(E125="",E125="!!!",F125="NEW"),"",INDEX(B20:B$106,-1+SUMPRODUCT(MAX(ROW(E20:E$106)*(E125=E20:E$106)))))</f>
        <v>0</v>
      </c>
      <c r="J125" s="24" t="n">
        <f aca="true">IF(OR(E125="",E125="!!!",F125="NEW"),"",COUNTBLANK(OFFSET(A$1,,,SUMPRODUCT(MAX(ROW(E$2:E125)*(E125=E$2:E125)))))-COUNTBLANK(OFFSET(A$1,,,SUMPRODUCT(MAX(ROW(E$1:E124)*(E2=E$1:E124))))))</f>
        <v>0</v>
      </c>
      <c r="K125" s="24" t="n">
        <f aca="false">IF(OR(E125="",E125="!!!",F125="NEW"),"",INDEX(J$1:J124,SUMPRODUCT(MAX(ROW(E$1:E124)*(E125=E$1:E124)))))</f>
        <v>0</v>
      </c>
      <c r="L125" s="21"/>
    </row>
    <row r="126" customFormat="false" ht="15" hidden="false" customHeight="false" outlineLevel="0" collapsed="false">
      <c r="A126" s="20" t="s">
        <v>923</v>
      </c>
      <c r="E126" s="23"/>
      <c r="F126" s="25"/>
      <c r="G126" s="26"/>
      <c r="H126" s="27"/>
      <c r="I126" s="24" t="str">
        <f aca="false">IF(OR(E126="",E126="!!!",F126="NEW"),"",INDEX(B21:B$106,-1+SUMPRODUCT(MAX(ROW(E21:E$106)*(E126=E21:E$106)))))</f>
        <v/>
      </c>
      <c r="J126" s="24" t="str">
        <f aca="true">IF(OR(E126="",E126="!!!",F126="NEW"),"",COUNTBLANK(OFFSET(A$1,,,SUMPRODUCT(MAX(ROW(E$2:E126)*(E126=E$2:E126)))))-COUNTBLANK(OFFSET(A$1,,,SUMPRODUCT(MAX(ROW(E$1:E125)*(E2=E$1:E125))))))</f>
        <v/>
      </c>
      <c r="K126" s="24" t="str">
        <f aca="false">IF(OR(E126="",E126="!!!",F126="NEW"),"",INDEX(J$1:J125,SUMPRODUCT(MAX(ROW(E$1:E125)*(E126=E$1:E125)))))</f>
        <v/>
      </c>
      <c r="L126" s="21"/>
    </row>
    <row r="127" customFormat="false" ht="15" hidden="false" customHeight="false" outlineLevel="0" collapsed="false">
      <c r="A127" s="20"/>
      <c r="L127" s="21"/>
    </row>
    <row r="128" customFormat="false" ht="15" hidden="false" customHeight="false" outlineLevel="0" collapsed="false">
      <c r="A128" s="20" t="s">
        <v>1175</v>
      </c>
      <c r="L128" s="21"/>
    </row>
    <row r="129" customFormat="false" ht="15" hidden="false" customHeight="false" outlineLevel="0" collapsed="false">
      <c r="A129" s="20" t="s">
        <v>1148</v>
      </c>
      <c r="E129" s="23"/>
      <c r="F129" s="25"/>
      <c r="G129" s="26"/>
      <c r="H129" s="27"/>
      <c r="I129" s="24" t="str">
        <f aca="false">IF(OR(E129="",E129="!!!",F129="NEW"),"",INDEX(B2:B$128,-1+SUMPRODUCT(MAX(ROW(E2:E$128)*(E129=E2:E$128)))))</f>
        <v/>
      </c>
      <c r="J129" s="24" t="str">
        <f aca="true">IF(OR(E129="",E129="!!!",F129="NEW"),"",COUNTBLANK(OFFSET(A$1,,,SUMPRODUCT(MAX(ROW(E$2:E129)*(E129=E$2:E129)))))-COUNTBLANK(OFFSET(A$1,,,SUMPRODUCT(MAX(ROW(E$1:E128)*(E2=E$1:E128))))))</f>
        <v/>
      </c>
      <c r="K129" s="24" t="str">
        <f aca="false">IF(OR(E129="",E129="!!!",F129="NEW"),"",INDEX(J$1:J128,SUMPRODUCT(MAX(ROW(E$1:E128)*(E129=E$1:E128)))))</f>
        <v/>
      </c>
      <c r="L129" s="21"/>
    </row>
    <row r="130" customFormat="false" ht="15" hidden="false" customHeight="false" outlineLevel="0" collapsed="false">
      <c r="A130" s="20" t="s">
        <v>1176</v>
      </c>
      <c r="E130" s="23"/>
      <c r="F130" s="25"/>
      <c r="G130" s="26"/>
      <c r="H130" s="27"/>
      <c r="I130" s="24" t="str">
        <f aca="false">IF(OR(E130="",E130="!!!",F130="NEW"),"",INDEX(B3:B$128,-1+SUMPRODUCT(MAX(ROW(E3:E$128)*(E130=E3:E$128)))))</f>
        <v/>
      </c>
      <c r="J130" s="24" t="str">
        <f aca="true">IF(OR(E130="",E130="!!!",F130="NEW"),"",COUNTBLANK(OFFSET(A$1,,,SUMPRODUCT(MAX(ROW(E$2:E130)*(E130=E$2:E130)))))-COUNTBLANK(OFFSET(A$1,,,SUMPRODUCT(MAX(ROW(E$1:E129)*(E2=E$1:E129))))))</f>
        <v/>
      </c>
      <c r="K130" s="24" t="str">
        <f aca="false">IF(OR(E130="",E130="!!!",F130="NEW"),"",INDEX(J$1:J129,SUMPRODUCT(MAX(ROW(E$1:E129)*(E130=E$1:E129)))))</f>
        <v/>
      </c>
      <c r="L130" s="21"/>
    </row>
    <row r="131" customFormat="false" ht="15" hidden="false" customHeight="false" outlineLevel="0" collapsed="false">
      <c r="A131" s="20" t="s">
        <v>1177</v>
      </c>
      <c r="B131" s="22" t="s">
        <v>1058</v>
      </c>
      <c r="C131" s="22" t="s">
        <v>1150</v>
      </c>
      <c r="D131" s="22" t="s">
        <v>1060</v>
      </c>
      <c r="E131" s="23" t="s">
        <v>61</v>
      </c>
      <c r="F131" s="23" t="s">
        <v>1083</v>
      </c>
      <c r="G131" s="23" t="s">
        <v>1120</v>
      </c>
      <c r="H131" s="23"/>
      <c r="I131" s="28" t="n">
        <f aca="false">IF(OR(E131="",E131="!!!",F131="NEW"),"",INDEX(B4:B$128,-1+SUMPRODUCT(MAX(ROW(E4:E$128)*(E131=E4:E$128)))))</f>
        <v>0</v>
      </c>
      <c r="J131" s="24" t="n">
        <f aca="true">IF(OR(E131="",E131="!!!",F131="NEW"),"",COUNTBLANK(OFFSET(A$1,,,SUMPRODUCT(MAX(ROW(E$2:E131)*(E131=E$2:E131)))))-COUNTBLANK(OFFSET(A$1,,,SUMPRODUCT(MAX(ROW(E$1:E130)*(E2=E$1:E130))))))</f>
        <v>0</v>
      </c>
      <c r="K131" s="24" t="str">
        <f aca="false">IF(OR(E131="",E131="!!!",F131="NEW"),"",INDEX(J$1:J130,SUMPRODUCT(MAX(ROW(E$1:E130)*(E131=E$1:E130)))))</f>
        <v/>
      </c>
      <c r="L131" s="21"/>
    </row>
    <row r="132" customFormat="false" ht="15" hidden="false" customHeight="false" outlineLevel="0" collapsed="false">
      <c r="A132" s="20" t="s">
        <v>1092</v>
      </c>
      <c r="E132" s="23"/>
      <c r="F132" s="25"/>
      <c r="G132" s="26"/>
      <c r="H132" s="27"/>
      <c r="I132" s="24" t="str">
        <f aca="false">IF(OR(E132="",E132="!!!",F132="NEW"),"",INDEX(B5:B$128,-1+SUMPRODUCT(MAX(ROW(E5:E$128)*(E132=E5:E$128)))))</f>
        <v/>
      </c>
      <c r="J132" s="24" t="str">
        <f aca="true">IF(OR(E132="",E132="!!!",F132="NEW"),"",COUNTBLANK(OFFSET(A$1,,,SUMPRODUCT(MAX(ROW(E$2:E132)*(E132=E$2:E132)))))-COUNTBLANK(OFFSET(A$1,,,SUMPRODUCT(MAX(ROW(E$1:E131)*(E2=E$1:E131))))))</f>
        <v/>
      </c>
      <c r="K132" s="24" t="str">
        <f aca="false">IF(OR(E132="",E132="!!!",F132="NEW"),"",INDEX(J$1:J131,SUMPRODUCT(MAX(ROW(E$1:E131)*(E132=E$1:E131)))))</f>
        <v/>
      </c>
      <c r="L132" s="21"/>
    </row>
    <row r="133" customFormat="false" ht="15" hidden="false" customHeight="false" outlineLevel="0" collapsed="false">
      <c r="A133" s="20" t="s">
        <v>1173</v>
      </c>
      <c r="E133" s="23"/>
      <c r="F133" s="25"/>
      <c r="G133" s="26"/>
      <c r="H133" s="27"/>
      <c r="I133" s="24" t="str">
        <f aca="false">IF(OR(E133="",E133="!!!",F133="NEW"),"",INDEX(B6:B$128,-1+SUMPRODUCT(MAX(ROW(E6:E$128)*(E133=E6:E$128)))))</f>
        <v/>
      </c>
      <c r="J133" s="24" t="str">
        <f aca="true">IF(OR(E133="",E133="!!!",F133="NEW"),"",COUNTBLANK(OFFSET(A$1,,,SUMPRODUCT(MAX(ROW(E$2:E133)*(E133=E$2:E133)))))-COUNTBLANK(OFFSET(A$1,,,SUMPRODUCT(MAX(ROW(E$1:E132)*(E2=E$1:E132))))))</f>
        <v/>
      </c>
      <c r="K133" s="24" t="str">
        <f aca="false">IF(OR(E133="",E133="!!!",F133="NEW"),"",INDEX(J$1:J132,SUMPRODUCT(MAX(ROW(E$1:E132)*(E133=E$1:E132)))))</f>
        <v/>
      </c>
      <c r="L133" s="21"/>
    </row>
    <row r="134" customFormat="false" ht="15" hidden="false" customHeight="false" outlineLevel="0" collapsed="false">
      <c r="A134" s="20" t="s">
        <v>1178</v>
      </c>
      <c r="B134" s="22" t="s">
        <v>1105</v>
      </c>
      <c r="C134" s="22" t="s">
        <v>1059</v>
      </c>
      <c r="D134" s="22" t="s">
        <v>1060</v>
      </c>
      <c r="E134" s="23"/>
      <c r="F134" s="23"/>
      <c r="G134" s="23"/>
      <c r="H134" s="23"/>
      <c r="I134" s="24" t="str">
        <f aca="false">IF(OR(E134="",E134="!!!",F134="NEW"),"",INDEX(B7:B$128,-1+SUMPRODUCT(MAX(ROW(E7:E$128)*(E134=E7:E$128)))))</f>
        <v/>
      </c>
      <c r="J134" s="24" t="str">
        <f aca="true">IF(OR(E134="",E134="!!!",F134="NEW"),"",COUNTBLANK(OFFSET(A$1,,,SUMPRODUCT(MAX(ROW(E$2:E134)*(E134=E$2:E134)))))-COUNTBLANK(OFFSET(A$1,,,SUMPRODUCT(MAX(ROW(E$1:E133)*(E2=E$1:E133))))))</f>
        <v/>
      </c>
      <c r="K134" s="24" t="str">
        <f aca="false">IF(OR(E134="",E134="!!!",F134="NEW"),"",INDEX(J$1:J133,SUMPRODUCT(MAX(ROW(E$1:E133)*(E134=E$1:E133)))))</f>
        <v/>
      </c>
      <c r="L134" s="21"/>
    </row>
    <row r="135" customFormat="false" ht="15" hidden="false" customHeight="false" outlineLevel="0" collapsed="false">
      <c r="A135" s="20" t="s">
        <v>1064</v>
      </c>
      <c r="E135" s="23"/>
      <c r="F135" s="25"/>
      <c r="G135" s="26"/>
      <c r="H135" s="27"/>
      <c r="I135" s="24" t="str">
        <f aca="false">IF(OR(E135="",E135="!!!",F135="NEW"),"",INDEX(B8:B$128,-1+SUMPRODUCT(MAX(ROW(E8:E$128)*(E135=E8:E$128)))))</f>
        <v/>
      </c>
      <c r="J135" s="24" t="str">
        <f aca="true">IF(OR(E135="",E135="!!!",F135="NEW"),"",COUNTBLANK(OFFSET(A$1,,,SUMPRODUCT(MAX(ROW(E$2:E135)*(E135=E$2:E135)))))-COUNTBLANK(OFFSET(A$1,,,SUMPRODUCT(MAX(ROW(E$1:E134)*(E2=E$1:E134))))))</f>
        <v/>
      </c>
      <c r="K135" s="24" t="str">
        <f aca="false">IF(OR(E135="",E135="!!!",F135="NEW"),"",INDEX(J$1:J134,SUMPRODUCT(MAX(ROW(E$1:E134)*(E135=E$1:E134)))))</f>
        <v/>
      </c>
      <c r="L135" s="21"/>
    </row>
    <row r="136" customFormat="false" ht="15" hidden="false" customHeight="false" outlineLevel="0" collapsed="false">
      <c r="A136" s="20" t="s">
        <v>1179</v>
      </c>
      <c r="B136" s="22" t="s">
        <v>1105</v>
      </c>
      <c r="C136" s="22" t="s">
        <v>1082</v>
      </c>
      <c r="D136" s="22" t="s">
        <v>1060</v>
      </c>
      <c r="E136" s="23" t="s">
        <v>1180</v>
      </c>
      <c r="F136" s="23" t="s">
        <v>1181</v>
      </c>
      <c r="G136" s="23" t="s">
        <v>1182</v>
      </c>
      <c r="H136" s="23" t="s">
        <v>1182</v>
      </c>
      <c r="I136" s="28" t="e">
        <f aca="false">IF(OR(E136="",E136="!!!",F136="NEW"),"",INDEX(B9:B$128,-1+SUMPRODUCT(MAX(ROW(E9:E$128)*(E136=E9:E$128)))))</f>
        <v>#VALUE!</v>
      </c>
      <c r="J136" s="24" t="n">
        <f aca="true">IF(OR(E136="",E136="!!!",F136="NEW"),"",COUNTBLANK(OFFSET(A$1,,,SUMPRODUCT(MAX(ROW(E$2:E136)*(E136=E$2:E136)))))-COUNTBLANK(OFFSET(A$1,,,SUMPRODUCT(MAX(ROW(E$1:E135)*(E2=E$1:E135))))))</f>
        <v>0</v>
      </c>
      <c r="K136" s="28" t="e">
        <f aca="false">IF(OR(E136="",E136="!!!",F136="NEW"),"",INDEX(J$1:J135,SUMPRODUCT(MAX(ROW(E$1:E135)*(E136=E$1:E135)))))</f>
        <v>#VALUE!</v>
      </c>
      <c r="L136" s="21"/>
    </row>
    <row r="137" customFormat="false" ht="15" hidden="false" customHeight="false" outlineLevel="0" collapsed="false">
      <c r="A137" s="20" t="s">
        <v>1183</v>
      </c>
      <c r="E137" s="23"/>
      <c r="F137" s="25"/>
      <c r="G137" s="26"/>
      <c r="H137" s="27"/>
      <c r="I137" s="24" t="str">
        <f aca="false">IF(OR(E137="",E137="!!!",F137="NEW"),"",INDEX(B10:B$128,-1+SUMPRODUCT(MAX(ROW(E10:E$128)*(E137=E10:E$128)))))</f>
        <v/>
      </c>
      <c r="J137" s="24" t="str">
        <f aca="true">IF(OR(E137="",E137="!!!",F137="NEW"),"",COUNTBLANK(OFFSET(A$1,,,SUMPRODUCT(MAX(ROW(E$2:E137)*(E137=E$2:E137)))))-COUNTBLANK(OFFSET(A$1,,,SUMPRODUCT(MAX(ROW(E$1:E136)*(E2=E$1:E136))))))</f>
        <v/>
      </c>
      <c r="K137" s="24" t="str">
        <f aca="false">IF(OR(E137="",E137="!!!",F137="NEW"),"",INDEX(J$1:J136,SUMPRODUCT(MAX(ROW(E$1:E136)*(E137=E$1:E136)))))</f>
        <v/>
      </c>
      <c r="L137" s="21"/>
    </row>
    <row r="138" customFormat="false" ht="15" hidden="false" customHeight="false" outlineLevel="0" collapsed="false">
      <c r="A138" s="20" t="s">
        <v>1184</v>
      </c>
      <c r="E138" s="23"/>
      <c r="F138" s="25"/>
      <c r="G138" s="26"/>
      <c r="H138" s="27"/>
      <c r="I138" s="24" t="str">
        <f aca="false">IF(OR(E138="",E138="!!!",F138="NEW"),"",INDEX(B11:B$128,-1+SUMPRODUCT(MAX(ROW(E11:E$128)*(E138=E11:E$128)))))</f>
        <v/>
      </c>
      <c r="J138" s="24" t="str">
        <f aca="true">IF(OR(E138="",E138="!!!",F138="NEW"),"",COUNTBLANK(OFFSET(A$1,,,SUMPRODUCT(MAX(ROW(E$2:E138)*(E138=E$2:E138)))))-COUNTBLANK(OFFSET(A$1,,,SUMPRODUCT(MAX(ROW(E$1:E137)*(E2=E$1:E137))))))</f>
        <v/>
      </c>
      <c r="K138" s="24" t="str">
        <f aca="false">IF(OR(E138="",E138="!!!",F138="NEW"),"",INDEX(J$1:J137,SUMPRODUCT(MAX(ROW(E$1:E137)*(E138=E$1:E137)))))</f>
        <v/>
      </c>
      <c r="L138" s="21"/>
    </row>
    <row r="139" customFormat="false" ht="15" hidden="false" customHeight="false" outlineLevel="0" collapsed="false">
      <c r="A139" s="20" t="s">
        <v>1185</v>
      </c>
      <c r="E139" s="23"/>
      <c r="F139" s="25"/>
      <c r="G139" s="26"/>
      <c r="H139" s="27"/>
      <c r="I139" s="24" t="str">
        <f aca="false">IF(OR(E139="",E139="!!!",F139="NEW"),"",INDEX(B12:B$128,-1+SUMPRODUCT(MAX(ROW(E12:E$128)*(E139=E12:E$128)))))</f>
        <v/>
      </c>
      <c r="J139" s="24" t="str">
        <f aca="true">IF(OR(E139="",E139="!!!",F139="NEW"),"",COUNTBLANK(OFFSET(A$1,,,SUMPRODUCT(MAX(ROW(E$2:E139)*(E139=E$2:E139)))))-COUNTBLANK(OFFSET(A$1,,,SUMPRODUCT(MAX(ROW(E$1:E138)*(E2=E$1:E138))))))</f>
        <v/>
      </c>
      <c r="K139" s="24" t="str">
        <f aca="false">IF(OR(E139="",E139="!!!",F139="NEW"),"",INDEX(J$1:J138,SUMPRODUCT(MAX(ROW(E$1:E138)*(E139=E$1:E138)))))</f>
        <v/>
      </c>
      <c r="L139" s="21"/>
    </row>
    <row r="140" customFormat="false" ht="15" hidden="false" customHeight="false" outlineLevel="0" collapsed="false">
      <c r="A140" s="20" t="s">
        <v>1186</v>
      </c>
      <c r="B140" s="22" t="s">
        <v>1086</v>
      </c>
      <c r="C140" s="22" t="s">
        <v>1082</v>
      </c>
      <c r="D140" s="22" t="s">
        <v>1060</v>
      </c>
      <c r="E140" s="23" t="s">
        <v>1187</v>
      </c>
      <c r="F140" s="23" t="s">
        <v>1083</v>
      </c>
      <c r="G140" s="23" t="s">
        <v>1084</v>
      </c>
      <c r="H140" s="23" t="s">
        <v>1182</v>
      </c>
      <c r="I140" s="28" t="e">
        <f aca="false">IF(OR(E140="",E140="!!!",F140="NEW"),"",INDEX(B13:B$128,-1+SUMPRODUCT(MAX(ROW(E13:E$128)*(E140=E13:E$128)))))</f>
        <v>#VALUE!</v>
      </c>
      <c r="J140" s="24" t="n">
        <f aca="true">IF(OR(E140="",E140="!!!",F140="NEW"),"",COUNTBLANK(OFFSET(A$1,,,SUMPRODUCT(MAX(ROW(E$2:E140)*(E140=E$2:E140)))))-COUNTBLANK(OFFSET(A$1,,,SUMPRODUCT(MAX(ROW(E$1:E139)*(E2=E$1:E139))))))</f>
        <v>0</v>
      </c>
      <c r="K140" s="28" t="e">
        <f aca="false">IF(OR(E140="",E140="!!!",F140="NEW"),"",INDEX(J$1:J139,SUMPRODUCT(MAX(ROW(E$1:E139)*(E140=E$1:E139)))))</f>
        <v>#VALUE!</v>
      </c>
      <c r="L140" s="21"/>
    </row>
    <row r="141" customFormat="false" ht="15" hidden="false" customHeight="false" outlineLevel="0" collapsed="false">
      <c r="A141" s="20" t="s">
        <v>1135</v>
      </c>
      <c r="E141" s="23"/>
      <c r="F141" s="25"/>
      <c r="G141" s="26"/>
      <c r="H141" s="27"/>
      <c r="I141" s="24" t="str">
        <f aca="false">IF(OR(E141="",E141="!!!",F141="NEW"),"",INDEX(B14:B$128,-1+SUMPRODUCT(MAX(ROW(E14:E$128)*(E141=E14:E$128)))))</f>
        <v/>
      </c>
      <c r="J141" s="24" t="str">
        <f aca="true">IF(OR(E141="",E141="!!!",F141="NEW"),"",COUNTBLANK(OFFSET(A$1,,,SUMPRODUCT(MAX(ROW(E$2:E141)*(E141=E$2:E141)))))-COUNTBLANK(OFFSET(A$1,,,SUMPRODUCT(MAX(ROW(E$1:E140)*(E2=E$1:E140))))))</f>
        <v/>
      </c>
      <c r="K141" s="24" t="str">
        <f aca="false">IF(OR(E141="",E141="!!!",F141="NEW"),"",INDEX(J$1:J140,SUMPRODUCT(MAX(ROW(E$1:E140)*(E141=E$1:E140)))))</f>
        <v/>
      </c>
      <c r="L141" s="21"/>
    </row>
    <row r="142" customFormat="false" ht="15" hidden="false" customHeight="false" outlineLevel="0" collapsed="false">
      <c r="A142" s="20" t="s">
        <v>1188</v>
      </c>
      <c r="E142" s="23"/>
      <c r="F142" s="25"/>
      <c r="G142" s="26"/>
      <c r="H142" s="27"/>
      <c r="I142" s="24" t="str">
        <f aca="false">IF(OR(E142="",E142="!!!",F142="NEW"),"",INDEX(B15:B$128,-1+SUMPRODUCT(MAX(ROW(E15:E$128)*(E142=E15:E$128)))))</f>
        <v/>
      </c>
      <c r="J142" s="24" t="str">
        <f aca="true">IF(OR(E142="",E142="!!!",F142="NEW"),"",COUNTBLANK(OFFSET(A$1,,,SUMPRODUCT(MAX(ROW(E$2:E142)*(E142=E$2:E142)))))-COUNTBLANK(OFFSET(A$1,,,SUMPRODUCT(MAX(ROW(E$1:E141)*(E2=E$1:E141))))))</f>
        <v/>
      </c>
      <c r="K142" s="24" t="str">
        <f aca="false">IF(OR(E142="",E142="!!!",F142="NEW"),"",INDEX(J$1:J141,SUMPRODUCT(MAX(ROW(E$1:E141)*(E142=E$1:E141)))))</f>
        <v/>
      </c>
      <c r="L142" s="21"/>
    </row>
    <row r="143" customFormat="false" ht="15" hidden="false" customHeight="false" outlineLevel="0" collapsed="false">
      <c r="A143" s="20" t="s">
        <v>1095</v>
      </c>
      <c r="E143" s="23"/>
      <c r="F143" s="25"/>
      <c r="G143" s="26"/>
      <c r="H143" s="27"/>
      <c r="I143" s="24" t="str">
        <f aca="false">IF(OR(E143="",E143="!!!",F143="NEW"),"",INDEX(B16:B$128,-1+SUMPRODUCT(MAX(ROW(E16:E$128)*(E143=E16:E$128)))))</f>
        <v/>
      </c>
      <c r="J143" s="24" t="str">
        <f aca="true">IF(OR(E143="",E143="!!!",F143="NEW"),"",COUNTBLANK(OFFSET(A$1,,,SUMPRODUCT(MAX(ROW(E$2:E143)*(E143=E$2:E143)))))-COUNTBLANK(OFFSET(A$1,,,SUMPRODUCT(MAX(ROW(E$1:E142)*(E2=E$1:E142))))))</f>
        <v/>
      </c>
      <c r="K143" s="24" t="str">
        <f aca="false">IF(OR(E143="",E143="!!!",F143="NEW"),"",INDEX(J$1:J142,SUMPRODUCT(MAX(ROW(E$1:E142)*(E143=E$1:E142)))))</f>
        <v/>
      </c>
      <c r="L143" s="21"/>
    </row>
    <row r="144" customFormat="false" ht="15" hidden="false" customHeight="false" outlineLevel="0" collapsed="false">
      <c r="A144" s="20" t="s">
        <v>127</v>
      </c>
      <c r="E144" s="23"/>
      <c r="F144" s="25"/>
      <c r="G144" s="26"/>
      <c r="H144" s="27"/>
      <c r="I144" s="24" t="str">
        <f aca="false">IF(OR(E144="",E144="!!!",F144="NEW"),"",INDEX(B17:B$128,-1+SUMPRODUCT(MAX(ROW(E17:E$128)*(E144=E17:E$128)))))</f>
        <v/>
      </c>
      <c r="J144" s="24" t="str">
        <f aca="true">IF(OR(E144="",E144="!!!",F144="NEW"),"",COUNTBLANK(OFFSET(A$1,,,SUMPRODUCT(MAX(ROW(E$2:E144)*(E144=E$2:E144)))))-COUNTBLANK(OFFSET(A$1,,,SUMPRODUCT(MAX(ROW(E$1:E143)*(E2=E$1:E143))))))</f>
        <v/>
      </c>
      <c r="K144" s="24" t="str">
        <f aca="false">IF(OR(E144="",E144="!!!",F144="NEW"),"",INDEX(J$1:J143,SUMPRODUCT(MAX(ROW(E$1:E143)*(E144=E$1:E143)))))</f>
        <v/>
      </c>
      <c r="L144" s="21"/>
    </row>
    <row r="145" customFormat="false" ht="15" hidden="false" customHeight="false" outlineLevel="0" collapsed="false">
      <c r="A145" s="20" t="s">
        <v>1189</v>
      </c>
      <c r="B145" s="22" t="s">
        <v>1067</v>
      </c>
      <c r="C145" s="22" t="s">
        <v>1099</v>
      </c>
      <c r="D145" s="22" t="s">
        <v>1060</v>
      </c>
      <c r="E145" s="23" t="s">
        <v>1187</v>
      </c>
      <c r="F145" s="23" t="s">
        <v>1083</v>
      </c>
      <c r="G145" s="23" t="s">
        <v>1084</v>
      </c>
      <c r="H145" s="23"/>
      <c r="I145" s="28" t="e">
        <f aca="false">IF(OR(E145="",E145="!!!",F145="NEW"),"",INDEX(B18:B$128,-1+SUMPRODUCT(MAX(ROW(E18:E$128)*(E145=E18:E$128)))))</f>
        <v>#VALUE!</v>
      </c>
      <c r="J145" s="24" t="n">
        <f aca="true">IF(OR(E145="",E145="!!!",F145="NEW"),"",COUNTBLANK(OFFSET(A$1,,,SUMPRODUCT(MAX(ROW(E$2:E145)*(E145=E$2:E145)))))-COUNTBLANK(OFFSET(A$1,,,SUMPRODUCT(MAX(ROW(E$1:E144)*(E2=E$1:E144))))))</f>
        <v>0</v>
      </c>
      <c r="K145" s="24" t="n">
        <f aca="false">IF(OR(E145="",E145="!!!",F145="NEW"),"",INDEX(J$1:J144,SUMPRODUCT(MAX(ROW(E$1:E144)*(E145=E$1:E144)))))</f>
        <v>0</v>
      </c>
      <c r="L145" s="21"/>
    </row>
    <row r="146" customFormat="false" ht="15" hidden="false" customHeight="false" outlineLevel="0" collapsed="false">
      <c r="A146" s="20" t="s">
        <v>1190</v>
      </c>
      <c r="E146" s="23"/>
      <c r="F146" s="25"/>
      <c r="G146" s="26"/>
      <c r="H146" s="27"/>
      <c r="I146" s="24" t="str">
        <f aca="false">IF(OR(E146="",E146="!!!",F146="NEW"),"",INDEX(B19:B$128,-1+SUMPRODUCT(MAX(ROW(E19:E$128)*(E146=E19:E$128)))))</f>
        <v/>
      </c>
      <c r="J146" s="24" t="str">
        <f aca="true">IF(OR(E146="",E146="!!!",F146="NEW"),"",COUNTBLANK(OFFSET(A$1,,,SUMPRODUCT(MAX(ROW(E$2:E146)*(E146=E$2:E146)))))-COUNTBLANK(OFFSET(A$1,,,SUMPRODUCT(MAX(ROW(E$1:E145)*(E2=E$1:E145))))))</f>
        <v/>
      </c>
      <c r="K146" s="24" t="str">
        <f aca="false">IF(OR(E146="",E146="!!!",F146="NEW"),"",INDEX(J$1:J145,SUMPRODUCT(MAX(ROW(E$1:E145)*(E146=E$1:E145)))))</f>
        <v/>
      </c>
      <c r="L146" s="21"/>
    </row>
    <row r="147" customFormat="false" ht="15" hidden="false" customHeight="false" outlineLevel="0" collapsed="false">
      <c r="A147" s="20" t="s">
        <v>1191</v>
      </c>
      <c r="B147" s="22" t="s">
        <v>1142</v>
      </c>
      <c r="C147" s="22" t="s">
        <v>1059</v>
      </c>
      <c r="D147" s="22" t="s">
        <v>1060</v>
      </c>
      <c r="E147" s="23" t="s">
        <v>1192</v>
      </c>
      <c r="F147" s="23" t="s">
        <v>1062</v>
      </c>
      <c r="G147" s="23" t="s">
        <v>1172</v>
      </c>
      <c r="H147" s="23"/>
      <c r="I147" s="24" t="str">
        <f aca="false">IF(OR(E147="",E147="!!!",F147="NEW"),"",INDEX(B20:B$128,-1+SUMPRODUCT(MAX(ROW(E20:E$128)*(E147=E20:E$128)))))</f>
        <v/>
      </c>
      <c r="J147" s="24" t="str">
        <f aca="true">IF(OR(E147="",E147="!!!",F147="NEW"),"",COUNTBLANK(OFFSET(A$1,,,SUMPRODUCT(MAX(ROW(E$2:E147)*(E147=E$2:E147)))))-COUNTBLANK(OFFSET(A$1,,,SUMPRODUCT(MAX(ROW(E$1:E146)*(E2=E$1:E146))))))</f>
        <v/>
      </c>
      <c r="K147" s="24" t="str">
        <f aca="false">IF(OR(E147="",E147="!!!",F147="NEW"),"",INDEX(J$1:J146,SUMPRODUCT(MAX(ROW(E$1:E146)*(E147=E$1:E146)))))</f>
        <v/>
      </c>
      <c r="L147" s="21"/>
    </row>
    <row r="148" customFormat="false" ht="15" hidden="false" customHeight="false" outlineLevel="0" collapsed="false">
      <c r="A148" s="20" t="s">
        <v>1076</v>
      </c>
      <c r="E148" s="23"/>
      <c r="F148" s="25"/>
      <c r="G148" s="26"/>
      <c r="H148" s="27"/>
      <c r="I148" s="24" t="str">
        <f aca="false">IF(OR(E148="",E148="!!!",F148="NEW"),"",INDEX(B21:B$128,-1+SUMPRODUCT(MAX(ROW(E21:E$128)*(E148=E21:E$128)))))</f>
        <v/>
      </c>
      <c r="J148" s="24" t="str">
        <f aca="true">IF(OR(E148="",E148="!!!",F148="NEW"),"",COUNTBLANK(OFFSET(A$1,,,SUMPRODUCT(MAX(ROW(E$2:E148)*(E148=E$2:E148)))))-COUNTBLANK(OFFSET(A$1,,,SUMPRODUCT(MAX(ROW(E$1:E147)*(E2=E$1:E147))))))</f>
        <v/>
      </c>
      <c r="K148" s="24" t="str">
        <f aca="false">IF(OR(E148="",E148="!!!",F148="NEW"),"",INDEX(J$1:J147,SUMPRODUCT(MAX(ROW(E$1:E147)*(E148=E$1:E147)))))</f>
        <v/>
      </c>
      <c r="L148" s="21"/>
    </row>
    <row r="149" customFormat="false" ht="15" hidden="false" customHeight="false" outlineLevel="0" collapsed="false">
      <c r="A149" s="20" t="s">
        <v>1128</v>
      </c>
      <c r="E149" s="23"/>
      <c r="F149" s="25"/>
      <c r="G149" s="26"/>
      <c r="H149" s="27"/>
      <c r="I149" s="24" t="str">
        <f aca="false">IF(OR(E149="",E149="!!!",F149="NEW"),"",INDEX(B22:B$128,-1+SUMPRODUCT(MAX(ROW(E22:E$128)*(E149=E22:E$128)))))</f>
        <v/>
      </c>
      <c r="J149" s="24" t="str">
        <f aca="true">IF(OR(E149="",E149="!!!",F149="NEW"),"",COUNTBLANK(OFFSET(A$1,,,SUMPRODUCT(MAX(ROW(E$2:E149)*(E149=E$2:E149)))))-COUNTBLANK(OFFSET(A$1,,,SUMPRODUCT(MAX(ROW(E$1:E148)*(E2=E$1:E148))))))</f>
        <v/>
      </c>
      <c r="K149" s="24" t="str">
        <f aca="false">IF(OR(E149="",E149="!!!",F149="NEW"),"",INDEX(J$1:J148,SUMPRODUCT(MAX(ROW(E$1:E148)*(E149=E$1:E148)))))</f>
        <v/>
      </c>
      <c r="L149" s="21"/>
    </row>
    <row r="150" customFormat="false" ht="15" hidden="false" customHeight="false" outlineLevel="0" collapsed="false">
      <c r="A150" s="20" t="s">
        <v>1193</v>
      </c>
      <c r="E150" s="23"/>
      <c r="F150" s="25"/>
      <c r="G150" s="26"/>
      <c r="H150" s="27"/>
      <c r="I150" s="24" t="str">
        <f aca="false">IF(OR(E150="",E150="!!!",F150="NEW"),"",INDEX(B23:B$128,-1+SUMPRODUCT(MAX(ROW(E23:E$128)*(E150=E23:E$128)))))</f>
        <v/>
      </c>
      <c r="J150" s="24" t="str">
        <f aca="true">IF(OR(E150="",E150="!!!",F150="NEW"),"",COUNTBLANK(OFFSET(A$1,,,SUMPRODUCT(MAX(ROW(E$2:E150)*(E150=E$2:E150)))))-COUNTBLANK(OFFSET(A$1,,,SUMPRODUCT(MAX(ROW(E$1:E149)*(E2=E$1:E149))))))</f>
        <v/>
      </c>
      <c r="K150" s="24" t="str">
        <f aca="false">IF(OR(E150="",E150="!!!",F150="NEW"),"",INDEX(J$1:J149,SUMPRODUCT(MAX(ROW(E$1:E149)*(E150=E$1:E149)))))</f>
        <v/>
      </c>
      <c r="L150" s="21"/>
    </row>
    <row r="151" customFormat="false" ht="15" hidden="false" customHeight="false" outlineLevel="0" collapsed="false">
      <c r="A151" s="20" t="s">
        <v>1066</v>
      </c>
      <c r="B151" s="22" t="s">
        <v>1086</v>
      </c>
      <c r="C151" s="22" t="s">
        <v>1160</v>
      </c>
      <c r="E151" s="23"/>
      <c r="F151" s="25"/>
      <c r="G151" s="26"/>
      <c r="H151" s="27"/>
      <c r="I151" s="24" t="str">
        <f aca="false">IF(OR(E151="",E151="!!!",F151="NEW"),"",INDEX(B24:B$128,-1+SUMPRODUCT(MAX(ROW(E24:E$128)*(E151=E24:E$128)))))</f>
        <v/>
      </c>
      <c r="J151" s="24" t="str">
        <f aca="true">IF(OR(E151="",E151="!!!",F151="NEW"),"",COUNTBLANK(OFFSET(A$1,,,SUMPRODUCT(MAX(ROW(E$2:E151)*(E151=E$2:E151)))))-COUNTBLANK(OFFSET(A$1,,,SUMPRODUCT(MAX(ROW(E$1:E150)*(E2=E$1:E150))))))</f>
        <v/>
      </c>
      <c r="K151" s="24" t="str">
        <f aca="false">IF(OR(E151="",E151="!!!",F151="NEW"),"",INDEX(J$1:J150,SUMPRODUCT(MAX(ROW(E$1:E150)*(E151=E$1:E150)))))</f>
        <v/>
      </c>
      <c r="L151" s="21"/>
    </row>
    <row r="152" customFormat="false" ht="15" hidden="false" customHeight="false" outlineLevel="0" collapsed="false">
      <c r="A152" s="20" t="s">
        <v>1164</v>
      </c>
      <c r="E152" s="23"/>
      <c r="F152" s="25"/>
      <c r="G152" s="26"/>
      <c r="H152" s="27"/>
      <c r="I152" s="24" t="str">
        <f aca="false">IF(OR(E152="",E152="!!!",F152="NEW"),"",INDEX(B25:B$128,-1+SUMPRODUCT(MAX(ROW(E25:E$128)*(E152=E25:E$128)))))</f>
        <v/>
      </c>
      <c r="J152" s="24" t="str">
        <f aca="true">IF(OR(E152="",E152="!!!",F152="NEW"),"",COUNTBLANK(OFFSET(A$1,,,SUMPRODUCT(MAX(ROW(E$2:E152)*(E152=E$2:E152)))))-COUNTBLANK(OFFSET(A$1,,,SUMPRODUCT(MAX(ROW(E$1:E151)*(E2=E$1:E151))))))</f>
        <v/>
      </c>
      <c r="K152" s="24" t="str">
        <f aca="false">IF(OR(E152="",E152="!!!",F152="NEW"),"",INDEX(J$1:J151,SUMPRODUCT(MAX(ROW(E$1:E151)*(E152=E$1:E151)))))</f>
        <v/>
      </c>
      <c r="L152" s="21"/>
    </row>
    <row r="153" customFormat="false" ht="15" hidden="false" customHeight="false" outlineLevel="0" collapsed="false">
      <c r="A153" s="20" t="s">
        <v>1194</v>
      </c>
      <c r="E153" s="23"/>
      <c r="F153" s="25"/>
      <c r="G153" s="26"/>
      <c r="H153" s="27"/>
      <c r="I153" s="24" t="str">
        <f aca="false">IF(OR(E153="",E153="!!!",F153="NEW"),"",INDEX(B26:B$128,-1+SUMPRODUCT(MAX(ROW(E26:E$128)*(E153=E26:E$128)))))</f>
        <v/>
      </c>
      <c r="J153" s="24" t="str">
        <f aca="true">IF(OR(E153="",E153="!!!",F153="NEW"),"",COUNTBLANK(OFFSET(A$1,,,SUMPRODUCT(MAX(ROW(E$2:E153)*(E153=E$2:E153)))))-COUNTBLANK(OFFSET(A$1,,,SUMPRODUCT(MAX(ROW(E$1:E152)*(E2=E$1:E152))))))</f>
        <v/>
      </c>
      <c r="K153" s="24" t="str">
        <f aca="false">IF(OR(E153="",E153="!!!",F153="NEW"),"",INDEX(J$1:J152,SUMPRODUCT(MAX(ROW(E$1:E152)*(E153=E$1:E152)))))</f>
        <v/>
      </c>
      <c r="L153" s="21"/>
    </row>
    <row r="154" customFormat="false" ht="15" hidden="false" customHeight="false" outlineLevel="0" collapsed="false">
      <c r="A154" s="20" t="s">
        <v>1195</v>
      </c>
      <c r="B154" s="22" t="s">
        <v>1142</v>
      </c>
      <c r="C154" s="22" t="s">
        <v>1196</v>
      </c>
      <c r="D154" s="22" t="s">
        <v>1060</v>
      </c>
      <c r="E154" s="23"/>
      <c r="F154" s="23"/>
      <c r="G154" s="23"/>
      <c r="H154" s="23"/>
      <c r="I154" s="24" t="str">
        <f aca="false">IF(OR(E154="",E154="!!!",F154="NEW"),"",INDEX(B27:B$128,-1+SUMPRODUCT(MAX(ROW(E27:E$128)*(E154=E27:E$128)))))</f>
        <v/>
      </c>
      <c r="J154" s="24" t="str">
        <f aca="true">IF(OR(E154="",E154="!!!",F154="NEW"),"",COUNTBLANK(OFFSET(A$1,,,SUMPRODUCT(MAX(ROW(E$2:E154)*(E154=E$2:E154)))))-COUNTBLANK(OFFSET(A$1,,,SUMPRODUCT(MAX(ROW(E$1:E153)*(E2=E$1:E153))))))</f>
        <v/>
      </c>
      <c r="K154" s="24" t="str">
        <f aca="false">IF(OR(E154="",E154="!!!",F154="NEW"),"",INDEX(J$1:J153,SUMPRODUCT(MAX(ROW(E$1:E153)*(E154=E$1:E153)))))</f>
        <v/>
      </c>
      <c r="L154" s="21"/>
    </row>
    <row r="155" customFormat="false" ht="15" hidden="false" customHeight="false" outlineLevel="0" collapsed="false">
      <c r="A155" s="20" t="s">
        <v>1076</v>
      </c>
      <c r="E155" s="23"/>
      <c r="F155" s="25"/>
      <c r="G155" s="26"/>
      <c r="H155" s="27"/>
      <c r="I155" s="24" t="str">
        <f aca="false">IF(OR(E155="",E155="!!!",F155="NEW"),"",INDEX(B28:B$128,-1+SUMPRODUCT(MAX(ROW(E28:E$128)*(E155=E28:E$128)))))</f>
        <v/>
      </c>
      <c r="J155" s="24" t="str">
        <f aca="true">IF(OR(E155="",E155="!!!",F155="NEW"),"",COUNTBLANK(OFFSET(A$1,,,SUMPRODUCT(MAX(ROW(E$2:E155)*(E155=E$2:E155)))))-COUNTBLANK(OFFSET(A$1,,,SUMPRODUCT(MAX(ROW(E$1:E154)*(E2=E$1:E154))))))</f>
        <v/>
      </c>
      <c r="K155" s="24" t="str">
        <f aca="false">IF(OR(E155="",E155="!!!",F155="NEW"),"",INDEX(J$1:J154,SUMPRODUCT(MAX(ROW(E$1:E154)*(E155=E$1:E154)))))</f>
        <v/>
      </c>
      <c r="L155" s="21"/>
    </row>
    <row r="156" customFormat="false" ht="15" hidden="false" customHeight="false" outlineLevel="0" collapsed="false">
      <c r="A156" s="20" t="s">
        <v>1128</v>
      </c>
      <c r="E156" s="23"/>
      <c r="F156" s="25"/>
      <c r="G156" s="26"/>
      <c r="H156" s="27"/>
      <c r="I156" s="24" t="str">
        <f aca="false">IF(OR(E156="",E156="!!!",F156="NEW"),"",INDEX(B29:B$128,-1+SUMPRODUCT(MAX(ROW(E29:E$128)*(E156=E29:E$128)))))</f>
        <v/>
      </c>
      <c r="J156" s="24" t="str">
        <f aca="true">IF(OR(E156="",E156="!!!",F156="NEW"),"",COUNTBLANK(OFFSET(A$1,,,SUMPRODUCT(MAX(ROW(E$2:E156)*(E156=E$2:E156)))))-COUNTBLANK(OFFSET(A$1,,,SUMPRODUCT(MAX(ROW(E$1:E155)*(E2=E$1:E155))))))</f>
        <v/>
      </c>
      <c r="K156" s="24" t="str">
        <f aca="false">IF(OR(E156="",E156="!!!",F156="NEW"),"",INDEX(J$1:J155,SUMPRODUCT(MAX(ROW(E$1:E155)*(E156=E$1:E155)))))</f>
        <v/>
      </c>
      <c r="L156" s="21"/>
    </row>
    <row r="157" customFormat="false" ht="15" hidden="false" customHeight="false" outlineLevel="0" collapsed="false">
      <c r="A157" s="20" t="s">
        <v>1162</v>
      </c>
      <c r="B157" s="22" t="s">
        <v>1197</v>
      </c>
      <c r="C157" s="22" t="s">
        <v>1082</v>
      </c>
      <c r="D157" s="22" t="s">
        <v>1060</v>
      </c>
      <c r="E157" s="23" t="s">
        <v>1163</v>
      </c>
      <c r="F157" s="23" t="s">
        <v>1083</v>
      </c>
      <c r="G157" s="23" t="s">
        <v>1084</v>
      </c>
      <c r="H157" s="23"/>
      <c r="I157" s="28" t="e">
        <f aca="false">IF(OR(E157="",E157="!!!",F157="NEW"),"",INDEX(B30:B$128,-1+SUMPRODUCT(MAX(ROW(E30:E$128)*(E157=E30:E$128)))))</f>
        <v>#REF!</v>
      </c>
      <c r="J157" s="24" t="n">
        <f aca="true">IF(OR(E157="",E157="!!!",F157="NEW"),"",COUNTBLANK(OFFSET(A$1,,,SUMPRODUCT(MAX(ROW(E$2:E157)*(E157=E$2:E157)))))-COUNTBLANK(OFFSET(A$1,,,SUMPRODUCT(MAX(ROW(E$1:E156)*(E2=E$1:E156))))))</f>
        <v>0</v>
      </c>
      <c r="K157" s="24" t="str">
        <f aca="false">IF(OR(E157="",E157="!!!",F157="NEW"),"",INDEX(J$1:J156,SUMPRODUCT(MAX(ROW(E$1:E156)*(E157=E$1:E156)))))</f>
        <v/>
      </c>
      <c r="L157" s="21"/>
    </row>
    <row r="158" customFormat="false" ht="15" hidden="false" customHeight="false" outlineLevel="0" collapsed="false">
      <c r="A158" s="20" t="s">
        <v>1198</v>
      </c>
      <c r="E158" s="23"/>
      <c r="F158" s="25"/>
      <c r="G158" s="26"/>
      <c r="H158" s="27"/>
      <c r="I158" s="24" t="str">
        <f aca="false">IF(OR(E158="",E158="!!!",F158="NEW"),"",INDEX(B31:B$128,-1+SUMPRODUCT(MAX(ROW(E31:E$128)*(E158=E31:E$128)))))</f>
        <v/>
      </c>
      <c r="J158" s="24" t="str">
        <f aca="true">IF(OR(E158="",E158="!!!",F158="NEW"),"",COUNTBLANK(OFFSET(A$1,,,SUMPRODUCT(MAX(ROW(E$2:E158)*(E158=E$2:E158)))))-COUNTBLANK(OFFSET(A$1,,,SUMPRODUCT(MAX(ROW(E$1:E157)*(E2=E$1:E157))))))</f>
        <v/>
      </c>
      <c r="K158" s="24" t="str">
        <f aca="false">IF(OR(E158="",E158="!!!",F158="NEW"),"",INDEX(J$1:J157,SUMPRODUCT(MAX(ROW(E$1:E157)*(E158=E$1:E157)))))</f>
        <v/>
      </c>
      <c r="L158" s="21"/>
    </row>
    <row r="159" customFormat="false" ht="15" hidden="false" customHeight="false" outlineLevel="0" collapsed="false">
      <c r="A159" s="20" t="s">
        <v>1199</v>
      </c>
      <c r="E159" s="23"/>
      <c r="F159" s="25"/>
      <c r="G159" s="26"/>
      <c r="H159" s="27"/>
      <c r="I159" s="24" t="str">
        <f aca="false">IF(OR(E159="",E159="!!!",F159="NEW"),"",INDEX(B32:B$128,-1+SUMPRODUCT(MAX(ROW(E32:E$128)*(E159=E32:E$128)))))</f>
        <v/>
      </c>
      <c r="J159" s="24" t="str">
        <f aca="true">IF(OR(E159="",E159="!!!",F159="NEW"),"",COUNTBLANK(OFFSET(A$1,,,SUMPRODUCT(MAX(ROW(E$2:E159)*(E159=E$2:E159)))))-COUNTBLANK(OFFSET(A$1,,,SUMPRODUCT(MAX(ROW(E$1:E158)*(E2=E$1:E158))))))</f>
        <v/>
      </c>
      <c r="K159" s="24" t="str">
        <f aca="false">IF(OR(E159="",E159="!!!",F159="NEW"),"",INDEX(J$1:J158,SUMPRODUCT(MAX(ROW(E$1:E158)*(E159=E$1:E158)))))</f>
        <v/>
      </c>
      <c r="L159" s="21"/>
    </row>
    <row r="160" customFormat="false" ht="15" hidden="false" customHeight="false" outlineLevel="0" collapsed="false">
      <c r="A160" s="20" t="s">
        <v>1200</v>
      </c>
      <c r="E160" s="23"/>
      <c r="F160" s="25"/>
      <c r="G160" s="26"/>
      <c r="H160" s="27"/>
      <c r="I160" s="24" t="str">
        <f aca="false">IF(OR(E160="",E160="!!!",F160="NEW"),"",INDEX(B33:B$128,-1+SUMPRODUCT(MAX(ROW(E33:E$128)*(E160=E33:E$128)))))</f>
        <v/>
      </c>
      <c r="J160" s="24" t="str">
        <f aca="true">IF(OR(E160="",E160="!!!",F160="NEW"),"",COUNTBLANK(OFFSET(A$1,,,SUMPRODUCT(MAX(ROW(E$2:E160)*(E160=E$2:E160)))))-COUNTBLANK(OFFSET(A$1,,,SUMPRODUCT(MAX(ROW(E$1:E159)*(E2=E$1:E159))))))</f>
        <v/>
      </c>
      <c r="K160" s="24" t="str">
        <f aca="false">IF(OR(E160="",E160="!!!",F160="NEW"),"",INDEX(J$1:J159,SUMPRODUCT(MAX(ROW(E$1:E159)*(E160=E$1:E159)))))</f>
        <v/>
      </c>
      <c r="L160" s="21"/>
    </row>
    <row r="161" customFormat="false" ht="15" hidden="false" customHeight="false" outlineLevel="0" collapsed="false">
      <c r="A161" s="20" t="s">
        <v>1201</v>
      </c>
      <c r="B161" s="22" t="s">
        <v>1102</v>
      </c>
      <c r="C161" s="22" t="s">
        <v>1202</v>
      </c>
      <c r="E161" s="23"/>
      <c r="F161" s="25"/>
      <c r="G161" s="26"/>
      <c r="H161" s="27"/>
      <c r="I161" s="24" t="str">
        <f aca="false">IF(OR(E161="",E161="!!!",F161="NEW"),"",INDEX(B34:B$128,-1+SUMPRODUCT(MAX(ROW(E34:E$128)*(E161=E34:E$128)))))</f>
        <v/>
      </c>
      <c r="J161" s="24" t="str">
        <f aca="true">IF(OR(E161="",E161="!!!",F161="NEW"),"",COUNTBLANK(OFFSET(A$1,,,SUMPRODUCT(MAX(ROW(E$2:E161)*(E161=E$2:E161)))))-COUNTBLANK(OFFSET(A$1,,,SUMPRODUCT(MAX(ROW(E$1:E160)*(E2=E$1:E160))))))</f>
        <v/>
      </c>
      <c r="K161" s="24" t="str">
        <f aca="false">IF(OR(E161="",E161="!!!",F161="NEW"),"",INDEX(J$1:J160,SUMPRODUCT(MAX(ROW(E$1:E160)*(E161=E$1:E160)))))</f>
        <v/>
      </c>
      <c r="L161" s="21"/>
    </row>
    <row r="162" customFormat="false" ht="15" hidden="false" customHeight="false" outlineLevel="0" collapsed="false">
      <c r="A162" s="20" t="s">
        <v>1097</v>
      </c>
      <c r="B162" s="22" t="s">
        <v>1203</v>
      </c>
      <c r="C162" s="22" t="s">
        <v>1099</v>
      </c>
      <c r="D162" s="22" t="s">
        <v>1060</v>
      </c>
      <c r="E162" s="23" t="s">
        <v>1069</v>
      </c>
      <c r="F162" s="23" t="s">
        <v>1083</v>
      </c>
      <c r="G162" s="23" t="s">
        <v>1084</v>
      </c>
      <c r="H162" s="23"/>
      <c r="I162" s="28" t="e">
        <f aca="false">IF(OR(E162="",E162="!!!",F162="NEW"),"",INDEX(B35:B$128,-1+SUMPRODUCT(MAX(ROW(E35:E$128)*(E162=E35:E$128)))))</f>
        <v>#REF!</v>
      </c>
      <c r="J162" s="24" t="n">
        <f aca="true">IF(OR(E162="",E162="!!!",F162="NEW"),"",COUNTBLANK(OFFSET(A$1,,,SUMPRODUCT(MAX(ROW(E$2:E162)*(E162=E$2:E162)))))-COUNTBLANK(OFFSET(A$1,,,SUMPRODUCT(MAX(ROW(E$1:E161)*(E2=E$1:E161))))))</f>
        <v>0</v>
      </c>
      <c r="K162" s="24" t="n">
        <f aca="false">IF(OR(E162="",E162="!!!",F162="NEW"),"",INDEX(J$1:J161,SUMPRODUCT(MAX(ROW(E$1:E161)*(E162=E$1:E161)))))</f>
        <v>0</v>
      </c>
      <c r="L162" s="21"/>
    </row>
    <row r="163" customFormat="false" ht="15" hidden="false" customHeight="false" outlineLevel="0" collapsed="false">
      <c r="A163" s="20" t="s">
        <v>1204</v>
      </c>
      <c r="B163" s="22" t="s">
        <v>1205</v>
      </c>
      <c r="C163" s="22" t="s">
        <v>1059</v>
      </c>
      <c r="D163" s="22" t="s">
        <v>1060</v>
      </c>
      <c r="E163" s="23" t="s">
        <v>1191</v>
      </c>
      <c r="F163" s="23" t="s">
        <v>1083</v>
      </c>
      <c r="G163" s="23" t="s">
        <v>1084</v>
      </c>
      <c r="H163" s="23"/>
      <c r="I163" s="28" t="e">
        <f aca="false">IF(OR(E163="",E163="!!!",F163="NEW"),"",INDEX(B36:B$128,-1+SUMPRODUCT(MAX(ROW(E36:E$128)*(E163=E36:E$128)))))</f>
        <v>#VALUE!</v>
      </c>
      <c r="J163" s="24" t="n">
        <f aca="true">IF(OR(E163="",E163="!!!",F163="NEW"),"",COUNTBLANK(OFFSET(A$1,,,SUMPRODUCT(MAX(ROW(E$2:E163)*(E163=E$2:E163)))))-COUNTBLANK(OFFSET(A$1,,,SUMPRODUCT(MAX(ROW(E$1:E162)*(E2=E$1:E162))))))</f>
        <v>0</v>
      </c>
      <c r="K163" s="24" t="str">
        <f aca="false">IF(OR(E163="",E163="!!!",F163="NEW"),"",INDEX(J$1:J162,SUMPRODUCT(MAX(ROW(E$1:E162)*(E163=E$1:E162)))))</f>
        <v/>
      </c>
      <c r="L163" s="21"/>
    </row>
    <row r="164" customFormat="false" ht="15" hidden="false" customHeight="false" outlineLevel="0" collapsed="false">
      <c r="A164" s="20" t="s">
        <v>1064</v>
      </c>
      <c r="E164" s="23"/>
      <c r="F164" s="25"/>
      <c r="G164" s="26"/>
      <c r="H164" s="27"/>
      <c r="I164" s="24" t="str">
        <f aca="false">IF(OR(E164="",E164="!!!",F164="NEW"),"",INDEX(B37:B$128,-1+SUMPRODUCT(MAX(ROW(E37:E$128)*(E164=E37:E$128)))))</f>
        <v/>
      </c>
      <c r="J164" s="24" t="str">
        <f aca="true">IF(OR(E164="",E164="!!!",F164="NEW"),"",COUNTBLANK(OFFSET(A$1,,,SUMPRODUCT(MAX(ROW(E$2:E164)*(E164=E$2:E164)))))-COUNTBLANK(OFFSET(A$1,,,SUMPRODUCT(MAX(ROW(E$1:E163)*(E2=E$1:E163))))))</f>
        <v/>
      </c>
      <c r="K164" s="24" t="str">
        <f aca="false">IF(OR(E164="",E164="!!!",F164="NEW"),"",INDEX(J$1:J163,SUMPRODUCT(MAX(ROW(E$1:E163)*(E164=E$1:E163)))))</f>
        <v/>
      </c>
      <c r="L164" s="21"/>
    </row>
    <row r="165" customFormat="false" ht="15" hidden="false" customHeight="false" outlineLevel="0" collapsed="false">
      <c r="A165" s="20" t="s">
        <v>1206</v>
      </c>
      <c r="B165" s="22" t="s">
        <v>1203</v>
      </c>
      <c r="C165" s="22" t="s">
        <v>1160</v>
      </c>
      <c r="E165" s="23"/>
      <c r="F165" s="25"/>
      <c r="G165" s="26"/>
      <c r="H165" s="27"/>
      <c r="I165" s="24" t="str">
        <f aca="false">IF(OR(E165="",E165="!!!",F165="NEW"),"",INDEX(B38:B$128,-1+SUMPRODUCT(MAX(ROW(E38:E$128)*(E165=E38:E$128)))))</f>
        <v/>
      </c>
      <c r="J165" s="24" t="str">
        <f aca="true">IF(OR(E165="",E165="!!!",F165="NEW"),"",COUNTBLANK(OFFSET(A$1,,,SUMPRODUCT(MAX(ROW(E$2:E165)*(E165=E$2:E165)))))-COUNTBLANK(OFFSET(A$1,,,SUMPRODUCT(MAX(ROW(E$1:E164)*(E2=E$1:E164))))))</f>
        <v/>
      </c>
      <c r="K165" s="24" t="str">
        <f aca="false">IF(OR(E165="",E165="!!!",F165="NEW"),"",INDEX(J$1:J164,SUMPRODUCT(MAX(ROW(E$1:E164)*(E165=E$1:E164)))))</f>
        <v/>
      </c>
      <c r="L165" s="21"/>
    </row>
    <row r="166" customFormat="false" ht="15" hidden="false" customHeight="false" outlineLevel="0" collapsed="false">
      <c r="A166" s="20" t="s">
        <v>1207</v>
      </c>
      <c r="E166" s="23"/>
      <c r="F166" s="25"/>
      <c r="G166" s="26"/>
      <c r="H166" s="27"/>
      <c r="I166" s="24" t="str">
        <f aca="false">IF(OR(E166="",E166="!!!",F166="NEW"),"",INDEX(B39:B$128,-1+SUMPRODUCT(MAX(ROW(E39:E$128)*(E166=E39:E$128)))))</f>
        <v/>
      </c>
      <c r="J166" s="24" t="str">
        <f aca="true">IF(OR(E166="",E166="!!!",F166="NEW"),"",COUNTBLANK(OFFSET(A$1,,,SUMPRODUCT(MAX(ROW(E$2:E166)*(E166=E$2:E166)))))-COUNTBLANK(OFFSET(A$1,,,SUMPRODUCT(MAX(ROW(E$1:E165)*(E2=E$1:E165))))))</f>
        <v/>
      </c>
      <c r="K166" s="24" t="str">
        <f aca="false">IF(OR(E166="",E166="!!!",F166="NEW"),"",INDEX(J$1:J165,SUMPRODUCT(MAX(ROW(E$1:E165)*(E166=E$1:E165)))))</f>
        <v/>
      </c>
      <c r="L166" s="21"/>
    </row>
    <row r="167" customFormat="false" ht="15" hidden="false" customHeight="false" outlineLevel="0" collapsed="false">
      <c r="A167" s="20" t="s">
        <v>185</v>
      </c>
      <c r="E167" s="23"/>
      <c r="F167" s="25"/>
      <c r="G167" s="26"/>
      <c r="H167" s="27"/>
      <c r="I167" s="24" t="str">
        <f aca="false">IF(OR(E167="",E167="!!!",F167="NEW"),"",INDEX(B40:B$128,-1+SUMPRODUCT(MAX(ROW(E40:E$128)*(E167=E40:E$128)))))</f>
        <v/>
      </c>
      <c r="J167" s="24" t="str">
        <f aca="true">IF(OR(E167="",E167="!!!",F167="NEW"),"",COUNTBLANK(OFFSET(A$1,,,SUMPRODUCT(MAX(ROW(E$2:E167)*(E167=E$2:E167)))))-COUNTBLANK(OFFSET(A$1,,,SUMPRODUCT(MAX(ROW(E$1:E166)*(E2=E$1:E166))))))</f>
        <v/>
      </c>
      <c r="K167" s="24" t="str">
        <f aca="false">IF(OR(E167="",E167="!!!",F167="NEW"),"",INDEX(J$1:J166,SUMPRODUCT(MAX(ROW(E$1:E166)*(E167=E$1:E166)))))</f>
        <v/>
      </c>
      <c r="L167" s="21"/>
    </row>
    <row r="168" customFormat="false" ht="15" hidden="false" customHeight="false" outlineLevel="0" collapsed="false">
      <c r="A168" s="20" t="s">
        <v>923</v>
      </c>
      <c r="E168" s="23"/>
      <c r="F168" s="25"/>
      <c r="G168" s="26"/>
      <c r="H168" s="27"/>
      <c r="I168" s="24" t="str">
        <f aca="false">IF(OR(E168="",E168="!!!",F168="NEW"),"",INDEX(B41:B$128,-1+SUMPRODUCT(MAX(ROW(E41:E$128)*(E168=E41:E$128)))))</f>
        <v/>
      </c>
      <c r="J168" s="24" t="str">
        <f aca="true">IF(OR(E168="",E168="!!!",F168="NEW"),"",COUNTBLANK(OFFSET(A$1,,,SUMPRODUCT(MAX(ROW(E$2:E168)*(E168=E$2:E168)))))-COUNTBLANK(OFFSET(A$1,,,SUMPRODUCT(MAX(ROW(E$1:E167)*(E2=E$1:E167))))))</f>
        <v/>
      </c>
      <c r="K168" s="24" t="str">
        <f aca="false">IF(OR(E168="",E168="!!!",F168="NEW"),"",INDEX(J$1:J167,SUMPRODUCT(MAX(ROW(E$1:E167)*(E168=E$1:E167)))))</f>
        <v/>
      </c>
      <c r="L168" s="21"/>
    </row>
    <row r="169" customFormat="false" ht="15" hidden="false" customHeight="false" outlineLevel="0" collapsed="false">
      <c r="A169" s="20"/>
      <c r="L169" s="21"/>
    </row>
    <row r="170" customFormat="false" ht="15" hidden="false" customHeight="false" outlineLevel="0" collapsed="false">
      <c r="A170" s="20" t="s">
        <v>1208</v>
      </c>
      <c r="L170" s="21"/>
    </row>
    <row r="171" customFormat="false" ht="15" hidden="false" customHeight="false" outlineLevel="0" collapsed="false">
      <c r="A171" s="20" t="s">
        <v>1209</v>
      </c>
      <c r="B171" s="22" t="s">
        <v>1073</v>
      </c>
      <c r="C171" s="22" t="s">
        <v>1099</v>
      </c>
      <c r="D171" s="22" t="s">
        <v>1060</v>
      </c>
      <c r="E171" s="23" t="s">
        <v>1163</v>
      </c>
      <c r="F171" s="23" t="s">
        <v>1083</v>
      </c>
      <c r="G171" s="23" t="s">
        <v>1084</v>
      </c>
      <c r="H171" s="23"/>
      <c r="I171" s="24" t="str">
        <f aca="false">IF(OR(E171="",E171="!!!",F171="NEW"),"",INDEX(B2:B$170,-1+SUMPRODUCT(MAX(ROW(E2:E$170)*(E171=E2:E$170)))))</f>
        <v>SBJ_4</v>
      </c>
      <c r="J171" s="24" t="n">
        <f aca="true">IF(OR(E171="",E171="!!!",F171="NEW"),"",COUNTBLANK(OFFSET(A$1,,,SUMPRODUCT(MAX(ROW(E$2:E171)*(E171=E$2:E171)))))-COUNTBLANK(OFFSET(A$1,,,SUMPRODUCT(MAX(ROW(E$1:E170)*(E2=E$1:E170))))))</f>
        <v>0</v>
      </c>
      <c r="K171" s="24" t="n">
        <f aca="false">IF(OR(E171="",E171="!!!",F171="NEW"),"",INDEX(J$1:J170,SUMPRODUCT(MAX(ROW(E$1:E170)*(E171=E$1:E170)))))</f>
        <v>0</v>
      </c>
      <c r="L171" s="21"/>
    </row>
    <row r="172" customFormat="false" ht="15" hidden="false" customHeight="false" outlineLevel="0" collapsed="false">
      <c r="A172" s="20" t="s">
        <v>1210</v>
      </c>
      <c r="B172" s="22" t="s">
        <v>1058</v>
      </c>
      <c r="C172" s="22" t="s">
        <v>1059</v>
      </c>
      <c r="D172" s="22" t="s">
        <v>1060</v>
      </c>
      <c r="E172" s="23" t="s">
        <v>1211</v>
      </c>
      <c r="F172" s="23" t="s">
        <v>1062</v>
      </c>
      <c r="G172" s="23" t="s">
        <v>1172</v>
      </c>
      <c r="H172" s="23"/>
      <c r="I172" s="24" t="str">
        <f aca="false">IF(OR(E172="",E172="!!!",F172="NEW"),"",INDEX(B3:B$170,-1+SUMPRODUCT(MAX(ROW(E3:E$170)*(E172=E3:E$170)))))</f>
        <v/>
      </c>
      <c r="J172" s="24" t="str">
        <f aca="true">IF(OR(E172="",E172="!!!",F172="NEW"),"",COUNTBLANK(OFFSET(A$1,,,SUMPRODUCT(MAX(ROW(E$2:E172)*(E172=E$2:E172)))))-COUNTBLANK(OFFSET(A$1,,,SUMPRODUCT(MAX(ROW(E$1:E171)*(E2=E$1:E171))))))</f>
        <v/>
      </c>
      <c r="K172" s="24" t="str">
        <f aca="false">IF(OR(E172="",E172="!!!",F172="NEW"),"",INDEX(J$1:J171,SUMPRODUCT(MAX(ROW(E$1:E171)*(E172=E$1:E171)))))</f>
        <v/>
      </c>
      <c r="L172" s="21"/>
    </row>
    <row r="173" customFormat="false" ht="15" hidden="false" customHeight="false" outlineLevel="0" collapsed="false">
      <c r="A173" s="20" t="s">
        <v>1212</v>
      </c>
      <c r="E173" s="23"/>
      <c r="F173" s="25"/>
      <c r="G173" s="26"/>
      <c r="H173" s="27"/>
      <c r="I173" s="24" t="str">
        <f aca="false">IF(OR(E173="",E173="!!!",F173="NEW"),"",INDEX(B4:B$170,-1+SUMPRODUCT(MAX(ROW(E4:E$170)*(E173=E4:E$170)))))</f>
        <v/>
      </c>
      <c r="J173" s="24" t="str">
        <f aca="true">IF(OR(E173="",E173="!!!",F173="NEW"),"",COUNTBLANK(OFFSET(A$1,,,SUMPRODUCT(MAX(ROW(E$2:E173)*(E173=E$2:E173)))))-COUNTBLANK(OFFSET(A$1,,,SUMPRODUCT(MAX(ROW(E$1:E172)*(E2=E$1:E172))))))</f>
        <v/>
      </c>
      <c r="K173" s="24" t="str">
        <f aca="false">IF(OR(E173="",E173="!!!",F173="NEW"),"",INDEX(J$1:J172,SUMPRODUCT(MAX(ROW(E$1:E172)*(E173=E$1:E172)))))</f>
        <v/>
      </c>
      <c r="L173" s="21"/>
    </row>
    <row r="174" customFormat="false" ht="15" hidden="false" customHeight="false" outlineLevel="0" collapsed="false">
      <c r="A174" s="20" t="s">
        <v>1213</v>
      </c>
      <c r="E174" s="23"/>
      <c r="F174" s="25"/>
      <c r="G174" s="26"/>
      <c r="H174" s="27"/>
      <c r="I174" s="24" t="str">
        <f aca="false">IF(OR(E174="",E174="!!!",F174="NEW"),"",INDEX(B5:B$170,-1+SUMPRODUCT(MAX(ROW(E5:E$170)*(E174=E5:E$170)))))</f>
        <v/>
      </c>
      <c r="J174" s="24" t="str">
        <f aca="true">IF(OR(E174="",E174="!!!",F174="NEW"),"",COUNTBLANK(OFFSET(A$1,,,SUMPRODUCT(MAX(ROW(E$2:E174)*(E174=E$2:E174)))))-COUNTBLANK(OFFSET(A$1,,,SUMPRODUCT(MAX(ROW(E$1:E173)*(E2=E$1:E173))))))</f>
        <v/>
      </c>
      <c r="K174" s="24" t="str">
        <f aca="false">IF(OR(E174="",E174="!!!",F174="NEW"),"",INDEX(J$1:J173,SUMPRODUCT(MAX(ROW(E$1:E173)*(E174=E$1:E173)))))</f>
        <v/>
      </c>
      <c r="L174" s="21"/>
    </row>
    <row r="175" customFormat="false" ht="15" hidden="false" customHeight="false" outlineLevel="0" collapsed="false">
      <c r="A175" s="20" t="s">
        <v>1214</v>
      </c>
      <c r="B175" s="22" t="s">
        <v>1105</v>
      </c>
      <c r="C175" s="22" t="s">
        <v>1160</v>
      </c>
      <c r="E175" s="23"/>
      <c r="F175" s="25"/>
      <c r="G175" s="26"/>
      <c r="H175" s="27"/>
      <c r="I175" s="24" t="str">
        <f aca="false">IF(OR(E175="",E175="!!!",F175="NEW"),"",INDEX(B6:B$170,-1+SUMPRODUCT(MAX(ROW(E6:E$170)*(E175=E6:E$170)))))</f>
        <v/>
      </c>
      <c r="J175" s="24" t="str">
        <f aca="true">IF(OR(E175="",E175="!!!",F175="NEW"),"",COUNTBLANK(OFFSET(A$1,,,SUMPRODUCT(MAX(ROW(E$2:E175)*(E175=E$2:E175)))))-COUNTBLANK(OFFSET(A$1,,,SUMPRODUCT(MAX(ROW(E$1:E174)*(E2=E$1:E174))))))</f>
        <v/>
      </c>
      <c r="K175" s="24" t="str">
        <f aca="false">IF(OR(E175="",E175="!!!",F175="NEW"),"",INDEX(J$1:J174,SUMPRODUCT(MAX(ROW(E$1:E174)*(E175=E$1:E174)))))</f>
        <v/>
      </c>
      <c r="L175" s="21"/>
    </row>
    <row r="176" customFormat="false" ht="15" hidden="false" customHeight="false" outlineLevel="0" collapsed="false">
      <c r="A176" s="20" t="s">
        <v>1215</v>
      </c>
      <c r="E176" s="23"/>
      <c r="F176" s="25"/>
      <c r="G176" s="26"/>
      <c r="H176" s="27"/>
      <c r="I176" s="24" t="str">
        <f aca="false">IF(OR(E176="",E176="!!!",F176="NEW"),"",INDEX(B7:B$170,-1+SUMPRODUCT(MAX(ROW(E7:E$170)*(E176=E7:E$170)))))</f>
        <v/>
      </c>
      <c r="J176" s="24" t="str">
        <f aca="true">IF(OR(E176="",E176="!!!",F176="NEW"),"",COUNTBLANK(OFFSET(A$1,,,SUMPRODUCT(MAX(ROW(E$2:E176)*(E176=E$2:E176)))))-COUNTBLANK(OFFSET(A$1,,,SUMPRODUCT(MAX(ROW(E$1:E175)*(E2=E$1:E175))))))</f>
        <v/>
      </c>
      <c r="K176" s="24" t="str">
        <f aca="false">IF(OR(E176="",E176="!!!",F176="NEW"),"",INDEX(J$1:J175,SUMPRODUCT(MAX(ROW(E$1:E175)*(E176=E$1:E175)))))</f>
        <v/>
      </c>
      <c r="L176" s="21"/>
    </row>
    <row r="177" customFormat="false" ht="15" hidden="false" customHeight="false" outlineLevel="0" collapsed="false">
      <c r="A177" s="20" t="s">
        <v>1184</v>
      </c>
      <c r="E177" s="23"/>
      <c r="F177" s="25"/>
      <c r="G177" s="26"/>
      <c r="H177" s="27"/>
      <c r="I177" s="24" t="str">
        <f aca="false">IF(OR(E177="",E177="!!!",F177="NEW"),"",INDEX(B8:B$170,-1+SUMPRODUCT(MAX(ROW(E8:E$170)*(E177=E8:E$170)))))</f>
        <v/>
      </c>
      <c r="J177" s="24" t="str">
        <f aca="true">IF(OR(E177="",E177="!!!",F177="NEW"),"",COUNTBLANK(OFFSET(A$1,,,SUMPRODUCT(MAX(ROW(E$2:E177)*(E177=E$2:E177)))))-COUNTBLANK(OFFSET(A$1,,,SUMPRODUCT(MAX(ROW(E$1:E176)*(E2=E$1:E176))))))</f>
        <v/>
      </c>
      <c r="K177" s="24" t="str">
        <f aca="false">IF(OR(E177="",E177="!!!",F177="NEW"),"",INDEX(J$1:J176,SUMPRODUCT(MAX(ROW(E$1:E176)*(E177=E$1:E176)))))</f>
        <v/>
      </c>
      <c r="L177" s="21"/>
    </row>
    <row r="178" customFormat="false" ht="15" hidden="false" customHeight="false" outlineLevel="0" collapsed="false">
      <c r="A178" s="20" t="s">
        <v>1185</v>
      </c>
      <c r="E178" s="23"/>
      <c r="F178" s="25"/>
      <c r="G178" s="26"/>
      <c r="H178" s="27"/>
      <c r="I178" s="24" t="str">
        <f aca="false">IF(OR(E178="",E178="!!!",F178="NEW"),"",INDEX(B9:B$170,-1+SUMPRODUCT(MAX(ROW(E9:E$170)*(E178=E9:E$170)))))</f>
        <v/>
      </c>
      <c r="J178" s="24" t="str">
        <f aca="true">IF(OR(E178="",E178="!!!",F178="NEW"),"",COUNTBLANK(OFFSET(A$1,,,SUMPRODUCT(MAX(ROW(E$2:E178)*(E178=E$2:E178)))))-COUNTBLANK(OFFSET(A$1,,,SUMPRODUCT(MAX(ROW(E$1:E177)*(E2=E$1:E177))))))</f>
        <v/>
      </c>
      <c r="K178" s="24" t="str">
        <f aca="false">IF(OR(E178="",E178="!!!",F178="NEW"),"",INDEX(J$1:J177,SUMPRODUCT(MAX(ROW(E$1:E177)*(E178=E$1:E177)))))</f>
        <v/>
      </c>
      <c r="L178" s="21"/>
    </row>
    <row r="179" customFormat="false" ht="15" hidden="false" customHeight="false" outlineLevel="0" collapsed="false">
      <c r="A179" s="20" t="s">
        <v>1109</v>
      </c>
      <c r="E179" s="23"/>
      <c r="F179" s="25"/>
      <c r="G179" s="26"/>
      <c r="H179" s="27"/>
      <c r="I179" s="24" t="str">
        <f aca="false">IF(OR(E179="",E179="!!!",F179="NEW"),"",INDEX(B10:B$170,-1+SUMPRODUCT(MAX(ROW(E10:E$170)*(E179=E10:E$170)))))</f>
        <v/>
      </c>
      <c r="J179" s="24" t="str">
        <f aca="true">IF(OR(E179="",E179="!!!",F179="NEW"),"",COUNTBLANK(OFFSET(A$1,,,SUMPRODUCT(MAX(ROW(E$2:E179)*(E179=E$2:E179)))))-COUNTBLANK(OFFSET(A$1,,,SUMPRODUCT(MAX(ROW(E$1:E178)*(E2=E$1:E178))))))</f>
        <v/>
      </c>
      <c r="K179" s="24" t="str">
        <f aca="false">IF(OR(E179="",E179="!!!",F179="NEW"),"",INDEX(J$1:J178,SUMPRODUCT(MAX(ROW(E$1:E178)*(E179=E$1:E178)))))</f>
        <v/>
      </c>
      <c r="L179" s="21"/>
    </row>
    <row r="180" customFormat="false" ht="15" hidden="false" customHeight="false" outlineLevel="0" collapsed="false">
      <c r="A180" s="20" t="s">
        <v>1216</v>
      </c>
      <c r="E180" s="23"/>
      <c r="F180" s="25"/>
      <c r="G180" s="26"/>
      <c r="H180" s="27"/>
      <c r="I180" s="24" t="str">
        <f aca="false">IF(OR(E180="",E180="!!!",F180="NEW"),"",INDEX(B11:B$170,-1+SUMPRODUCT(MAX(ROW(E11:E$170)*(E180=E11:E$170)))))</f>
        <v/>
      </c>
      <c r="J180" s="24" t="str">
        <f aca="true">IF(OR(E180="",E180="!!!",F180="NEW"),"",COUNTBLANK(OFFSET(A$1,,,SUMPRODUCT(MAX(ROW(E$2:E180)*(E180=E$2:E180)))))-COUNTBLANK(OFFSET(A$1,,,SUMPRODUCT(MAX(ROW(E$1:E179)*(E2=E$1:E179))))))</f>
        <v/>
      </c>
      <c r="K180" s="24" t="str">
        <f aca="false">IF(OR(E180="",E180="!!!",F180="NEW"),"",INDEX(J$1:J179,SUMPRODUCT(MAX(ROW(E$1:E179)*(E180=E$1:E179)))))</f>
        <v/>
      </c>
      <c r="L180" s="21"/>
    </row>
    <row r="181" customFormat="false" ht="15" hidden="false" customHeight="false" outlineLevel="0" collapsed="false">
      <c r="A181" s="20" t="s">
        <v>1217</v>
      </c>
      <c r="B181" s="22" t="s">
        <v>1073</v>
      </c>
      <c r="C181" s="22" t="s">
        <v>1150</v>
      </c>
      <c r="D181" s="22" t="s">
        <v>1060</v>
      </c>
      <c r="E181" s="23"/>
      <c r="F181" s="23"/>
      <c r="G181" s="23"/>
      <c r="H181" s="23"/>
      <c r="I181" s="24" t="str">
        <f aca="false">IF(OR(E181="",E181="!!!",F181="NEW"),"",INDEX(B12:B$170,-1+SUMPRODUCT(MAX(ROW(E12:E$170)*(E181=E12:E$170)))))</f>
        <v/>
      </c>
      <c r="J181" s="24" t="str">
        <f aca="true">IF(OR(E181="",E181="!!!",F181="NEW"),"",COUNTBLANK(OFFSET(A$1,,,SUMPRODUCT(MAX(ROW(E$2:E181)*(E181=E$2:E181)))))-COUNTBLANK(OFFSET(A$1,,,SUMPRODUCT(MAX(ROW(E$1:E180)*(E2=E$1:E180))))))</f>
        <v/>
      </c>
      <c r="K181" s="24" t="str">
        <f aca="false">IF(OR(E181="",E181="!!!",F181="NEW"),"",INDEX(J$1:J180,SUMPRODUCT(MAX(ROW(E$1:E180)*(E181=E$1:E180)))))</f>
        <v/>
      </c>
      <c r="L181" s="21"/>
    </row>
    <row r="182" customFormat="false" ht="15" hidden="false" customHeight="false" outlineLevel="0" collapsed="false">
      <c r="A182" s="20" t="s">
        <v>1218</v>
      </c>
      <c r="E182" s="23"/>
      <c r="F182" s="25"/>
      <c r="G182" s="26"/>
      <c r="H182" s="27"/>
      <c r="I182" s="24" t="str">
        <f aca="false">IF(OR(E182="",E182="!!!",F182="NEW"),"",INDEX(B13:B$170,-1+SUMPRODUCT(MAX(ROW(E13:E$170)*(E182=E13:E$170)))))</f>
        <v/>
      </c>
      <c r="J182" s="24" t="str">
        <f aca="true">IF(OR(E182="",E182="!!!",F182="NEW"),"",COUNTBLANK(OFFSET(A$1,,,SUMPRODUCT(MAX(ROW(E$2:E182)*(E182=E$2:E182)))))-COUNTBLANK(OFFSET(A$1,,,SUMPRODUCT(MAX(ROW(E$1:E181)*(E2=E$1:E181))))))</f>
        <v/>
      </c>
      <c r="K182" s="24" t="str">
        <f aca="false">IF(OR(E182="",E182="!!!",F182="NEW"),"",INDEX(J$1:J181,SUMPRODUCT(MAX(ROW(E$1:E181)*(E182=E$1:E181)))))</f>
        <v/>
      </c>
      <c r="L182" s="21"/>
    </row>
    <row r="183" customFormat="false" ht="15" hidden="false" customHeight="false" outlineLevel="0" collapsed="false">
      <c r="A183" s="20" t="s">
        <v>1189</v>
      </c>
      <c r="B183" s="22" t="s">
        <v>1107</v>
      </c>
      <c r="C183" s="22" t="s">
        <v>1099</v>
      </c>
      <c r="D183" s="22" t="s">
        <v>1060</v>
      </c>
      <c r="E183" s="23" t="s">
        <v>1187</v>
      </c>
      <c r="F183" s="23" t="s">
        <v>1083</v>
      </c>
      <c r="G183" s="23" t="s">
        <v>1120</v>
      </c>
      <c r="H183" s="23"/>
      <c r="I183" s="24" t="str">
        <f aca="false">IF(OR(E183="",E183="!!!",F183="NEW"),"",INDEX(B14:B$170,-1+SUMPRODUCT(MAX(ROW(E14:E$170)*(E183=E14:E$170)))))</f>
        <v>SBJ_4</v>
      </c>
      <c r="J183" s="24" t="n">
        <f aca="true">IF(OR(E183="",E183="!!!",F183="NEW"),"",COUNTBLANK(OFFSET(A$1,,,SUMPRODUCT(MAX(ROW(E$2:E183)*(E183=E$2:E183)))))-COUNTBLANK(OFFSET(A$1,,,SUMPRODUCT(MAX(ROW(E$1:E182)*(E2=E$1:E182))))))</f>
        <v>0</v>
      </c>
      <c r="K183" s="24" t="n">
        <f aca="false">IF(OR(E183="",E183="!!!",F183="NEW"),"",INDEX(J$1:J182,SUMPRODUCT(MAX(ROW(E$1:E182)*(E183=E$1:E182)))))</f>
        <v>0</v>
      </c>
      <c r="L183" s="21"/>
    </row>
    <row r="184" customFormat="false" ht="15" hidden="false" customHeight="false" outlineLevel="0" collapsed="false">
      <c r="A184" s="20" t="s">
        <v>1219</v>
      </c>
      <c r="B184" s="22" t="s">
        <v>1067</v>
      </c>
      <c r="C184" s="22" t="s">
        <v>1059</v>
      </c>
      <c r="D184" s="22" t="s">
        <v>1060</v>
      </c>
      <c r="E184" s="23" t="s">
        <v>1219</v>
      </c>
      <c r="F184" s="23" t="s">
        <v>1062</v>
      </c>
      <c r="G184" s="23" t="s">
        <v>1172</v>
      </c>
      <c r="H184" s="23"/>
      <c r="I184" s="24" t="str">
        <f aca="false">IF(OR(E184="",E184="!!!",F184="NEW"),"",INDEX(B15:B$170,-1+SUMPRODUCT(MAX(ROW(E15:E$170)*(E184=E15:E$170)))))</f>
        <v/>
      </c>
      <c r="J184" s="24" t="str">
        <f aca="true">IF(OR(E184="",E184="!!!",F184="NEW"),"",COUNTBLANK(OFFSET(A$1,,,SUMPRODUCT(MAX(ROW(E$2:E184)*(E184=E$2:E184)))))-COUNTBLANK(OFFSET(A$1,,,SUMPRODUCT(MAX(ROW(E$1:E183)*(E2=E$1:E183))))))</f>
        <v/>
      </c>
      <c r="K184" s="24" t="str">
        <f aca="false">IF(OR(E184="",E184="!!!",F184="NEW"),"",INDEX(J$1:J183,SUMPRODUCT(MAX(ROW(E$1:E183)*(E184=E$1:E183)))))</f>
        <v/>
      </c>
      <c r="L184" s="21"/>
    </row>
    <row r="185" customFormat="false" ht="15" hidden="false" customHeight="false" outlineLevel="0" collapsed="false">
      <c r="A185" s="20" t="s">
        <v>1128</v>
      </c>
      <c r="E185" s="23"/>
      <c r="F185" s="25"/>
      <c r="G185" s="26"/>
      <c r="H185" s="27"/>
      <c r="I185" s="24" t="str">
        <f aca="false">IF(OR(E185="",E185="!!!",F185="NEW"),"",INDEX(B16:B$170,-1+SUMPRODUCT(MAX(ROW(E16:E$170)*(E185=E16:E$170)))))</f>
        <v/>
      </c>
      <c r="J185" s="24" t="str">
        <f aca="true">IF(OR(E185="",E185="!!!",F185="NEW"),"",COUNTBLANK(OFFSET(A$1,,,SUMPRODUCT(MAX(ROW(E$2:E185)*(E185=E$2:E185)))))-COUNTBLANK(OFFSET(A$1,,,SUMPRODUCT(MAX(ROW(E$1:E184)*(E2=E$1:E184))))))</f>
        <v/>
      </c>
      <c r="K185" s="24" t="str">
        <f aca="false">IF(OR(E185="",E185="!!!",F185="NEW"),"",INDEX(J$1:J184,SUMPRODUCT(MAX(ROW(E$1:E184)*(E185=E$1:E184)))))</f>
        <v/>
      </c>
      <c r="L185" s="21"/>
    </row>
    <row r="186" customFormat="false" ht="15" hidden="false" customHeight="false" outlineLevel="0" collapsed="false">
      <c r="A186" s="20" t="s">
        <v>1109</v>
      </c>
      <c r="E186" s="23"/>
      <c r="F186" s="25"/>
      <c r="G186" s="26"/>
      <c r="H186" s="27"/>
      <c r="I186" s="24" t="str">
        <f aca="false">IF(OR(E186="",E186="!!!",F186="NEW"),"",INDEX(B17:B$170,-1+SUMPRODUCT(MAX(ROW(E17:E$170)*(E186=E17:E$170)))))</f>
        <v/>
      </c>
      <c r="J186" s="24" t="str">
        <f aca="true">IF(OR(E186="",E186="!!!",F186="NEW"),"",COUNTBLANK(OFFSET(A$1,,,SUMPRODUCT(MAX(ROW(E$2:E186)*(E186=E$2:E186)))))-COUNTBLANK(OFFSET(A$1,,,SUMPRODUCT(MAX(ROW(E$1:E185)*(E2=E$1:E185))))))</f>
        <v/>
      </c>
      <c r="K186" s="24" t="str">
        <f aca="false">IF(OR(E186="",E186="!!!",F186="NEW"),"",INDEX(J$1:J185,SUMPRODUCT(MAX(ROW(E$1:E185)*(E186=E$1:E185)))))</f>
        <v/>
      </c>
      <c r="L186" s="21"/>
    </row>
    <row r="187" customFormat="false" ht="15" hidden="false" customHeight="false" outlineLevel="0" collapsed="false">
      <c r="A187" s="20" t="s">
        <v>1220</v>
      </c>
      <c r="E187" s="23"/>
      <c r="F187" s="25"/>
      <c r="G187" s="26"/>
      <c r="H187" s="27"/>
      <c r="I187" s="24" t="str">
        <f aca="false">IF(OR(E187="",E187="!!!",F187="NEW"),"",INDEX(B18:B$170,-1+SUMPRODUCT(MAX(ROW(E18:E$170)*(E187=E18:E$170)))))</f>
        <v/>
      </c>
      <c r="J187" s="24" t="str">
        <f aca="true">IF(OR(E187="",E187="!!!",F187="NEW"),"",COUNTBLANK(OFFSET(A$1,,,SUMPRODUCT(MAX(ROW(E$2:E187)*(E187=E$2:E187)))))-COUNTBLANK(OFFSET(A$1,,,SUMPRODUCT(MAX(ROW(E$1:E186)*(E2=E$1:E186))))))</f>
        <v/>
      </c>
      <c r="K187" s="24" t="str">
        <f aca="false">IF(OR(E187="",E187="!!!",F187="NEW"),"",INDEX(J$1:J186,SUMPRODUCT(MAX(ROW(E$1:E186)*(E187=E$1:E186)))))</f>
        <v/>
      </c>
      <c r="L187" s="21"/>
    </row>
    <row r="188" customFormat="false" ht="15" hidden="false" customHeight="false" outlineLevel="0" collapsed="false">
      <c r="A188" s="20" t="s">
        <v>1076</v>
      </c>
      <c r="E188" s="23"/>
      <c r="F188" s="25"/>
      <c r="G188" s="26"/>
      <c r="H188" s="27"/>
      <c r="I188" s="24" t="str">
        <f aca="false">IF(OR(E188="",E188="!!!",F188="NEW"),"",INDEX(B19:B$170,-1+SUMPRODUCT(MAX(ROW(E19:E$170)*(E188=E19:E$170)))))</f>
        <v/>
      </c>
      <c r="J188" s="24" t="str">
        <f aca="true">IF(OR(E188="",E188="!!!",F188="NEW"),"",COUNTBLANK(OFFSET(A$1,,,SUMPRODUCT(MAX(ROW(E$2:E188)*(E188=E$2:E188)))))-COUNTBLANK(OFFSET(A$1,,,SUMPRODUCT(MAX(ROW(E$1:E187)*(E2=E$1:E187))))))</f>
        <v/>
      </c>
      <c r="K188" s="24" t="str">
        <f aca="false">IF(OR(E188="",E188="!!!",F188="NEW"),"",INDEX(J$1:J187,SUMPRODUCT(MAX(ROW(E$1:E187)*(E188=E$1:E187)))))</f>
        <v/>
      </c>
      <c r="L188" s="21"/>
    </row>
    <row r="189" customFormat="false" ht="15" hidden="false" customHeight="false" outlineLevel="0" collapsed="false">
      <c r="A189" s="20" t="s">
        <v>1221</v>
      </c>
      <c r="E189" s="23"/>
      <c r="F189" s="25"/>
      <c r="G189" s="26"/>
      <c r="H189" s="27"/>
      <c r="I189" s="24" t="str">
        <f aca="false">IF(OR(E189="",E189="!!!",F189="NEW"),"",INDEX(B20:B$170,-1+SUMPRODUCT(MAX(ROW(E20:E$170)*(E189=E20:E$170)))))</f>
        <v/>
      </c>
      <c r="J189" s="24" t="str">
        <f aca="true">IF(OR(E189="",E189="!!!",F189="NEW"),"",COUNTBLANK(OFFSET(A$1,,,SUMPRODUCT(MAX(ROW(E$2:E189)*(E189=E$2:E189)))))-COUNTBLANK(OFFSET(A$1,,,SUMPRODUCT(MAX(ROW(E$1:E188)*(E2=E$1:E188))))))</f>
        <v/>
      </c>
      <c r="K189" s="24" t="str">
        <f aca="false">IF(OR(E189="",E189="!!!",F189="NEW"),"",INDEX(J$1:J188,SUMPRODUCT(MAX(ROW(E$1:E188)*(E189=E$1:E188)))))</f>
        <v/>
      </c>
      <c r="L189" s="21"/>
    </row>
    <row r="190" customFormat="false" ht="15" hidden="false" customHeight="false" outlineLevel="0" collapsed="false">
      <c r="A190" s="20" t="s">
        <v>1222</v>
      </c>
      <c r="B190" s="22" t="s">
        <v>1107</v>
      </c>
      <c r="C190" s="22" t="s">
        <v>1150</v>
      </c>
      <c r="D190" s="22" t="s">
        <v>1060</v>
      </c>
      <c r="E190" s="23" t="s">
        <v>1223</v>
      </c>
      <c r="F190" s="23" t="s">
        <v>1062</v>
      </c>
      <c r="G190" s="23" t="s">
        <v>1172</v>
      </c>
      <c r="H190" s="23"/>
      <c r="I190" s="24" t="str">
        <f aca="false">IF(OR(E190="",E190="!!!",F190="NEW"),"",INDEX(B21:B$170,-1+SUMPRODUCT(MAX(ROW(E21:E$170)*(E190=E21:E$170)))))</f>
        <v/>
      </c>
      <c r="J190" s="24" t="str">
        <f aca="true">IF(OR(E190="",E190="!!!",F190="NEW"),"",COUNTBLANK(OFFSET(A$1,,,SUMPRODUCT(MAX(ROW(E$2:E190)*(E190=E$2:E190)))))-COUNTBLANK(OFFSET(A$1,,,SUMPRODUCT(MAX(ROW(E$1:E189)*(E2=E$1:E189))))))</f>
        <v/>
      </c>
      <c r="K190" s="24" t="str">
        <f aca="false">IF(OR(E190="",E190="!!!",F190="NEW"),"",INDEX(J$1:J189,SUMPRODUCT(MAX(ROW(E$1:E189)*(E190=E$1:E189)))))</f>
        <v/>
      </c>
      <c r="L190" s="21"/>
    </row>
    <row r="191" customFormat="false" ht="15" hidden="false" customHeight="false" outlineLevel="0" collapsed="false">
      <c r="A191" s="20" t="s">
        <v>1224</v>
      </c>
      <c r="E191" s="23"/>
      <c r="F191" s="25"/>
      <c r="G191" s="26"/>
      <c r="H191" s="27"/>
      <c r="I191" s="24" t="str">
        <f aca="false">IF(OR(E191="",E191="!!!",F191="NEW"),"",INDEX(B22:B$170,-1+SUMPRODUCT(MAX(ROW(E22:E$170)*(E191=E22:E$170)))))</f>
        <v/>
      </c>
      <c r="J191" s="24" t="str">
        <f aca="true">IF(OR(E191="",E191="!!!",F191="NEW"),"",COUNTBLANK(OFFSET(A$1,,,SUMPRODUCT(MAX(ROW(E$2:E191)*(E191=E$2:E191)))))-COUNTBLANK(OFFSET(A$1,,,SUMPRODUCT(MAX(ROW(E$1:E190)*(E2=E$1:E190))))))</f>
        <v/>
      </c>
      <c r="K191" s="24" t="str">
        <f aca="false">IF(OR(E191="",E191="!!!",F191="NEW"),"",INDEX(J$1:J190,SUMPRODUCT(MAX(ROW(E$1:E190)*(E191=E$1:E190)))))</f>
        <v/>
      </c>
      <c r="L191" s="21"/>
    </row>
    <row r="192" customFormat="false" ht="15" hidden="false" customHeight="false" outlineLevel="0" collapsed="false">
      <c r="A192" s="20" t="s">
        <v>1225</v>
      </c>
      <c r="E192" s="23"/>
      <c r="F192" s="25"/>
      <c r="G192" s="26"/>
      <c r="H192" s="27"/>
      <c r="I192" s="24" t="str">
        <f aca="false">IF(OR(E192="",E192="!!!",F192="NEW"),"",INDEX(B23:B$170,-1+SUMPRODUCT(MAX(ROW(E23:E$170)*(E192=E23:E$170)))))</f>
        <v/>
      </c>
      <c r="J192" s="24" t="str">
        <f aca="true">IF(OR(E192="",E192="!!!",F192="NEW"),"",COUNTBLANK(OFFSET(A$1,,,SUMPRODUCT(MAX(ROW(E$2:E192)*(E192=E$2:E192)))))-COUNTBLANK(OFFSET(A$1,,,SUMPRODUCT(MAX(ROW(E$1:E191)*(E2=E$1:E191))))))</f>
        <v/>
      </c>
      <c r="K192" s="24" t="str">
        <f aca="false">IF(OR(E192="",E192="!!!",F192="NEW"),"",INDEX(J$1:J191,SUMPRODUCT(MAX(ROW(E$1:E191)*(E192=E$1:E191)))))</f>
        <v/>
      </c>
      <c r="L192" s="21"/>
    </row>
    <row r="193" customFormat="false" ht="15" hidden="false" customHeight="false" outlineLevel="0" collapsed="false">
      <c r="A193" s="20" t="s">
        <v>1226</v>
      </c>
      <c r="B193" s="22" t="s">
        <v>1098</v>
      </c>
      <c r="C193" s="22" t="s">
        <v>1227</v>
      </c>
      <c r="E193" s="23"/>
      <c r="F193" s="25"/>
      <c r="G193" s="26"/>
      <c r="H193" s="27"/>
      <c r="I193" s="24" t="str">
        <f aca="false">IF(OR(E193="",E193="!!!",F193="NEW"),"",INDEX(B24:B$170,-1+SUMPRODUCT(MAX(ROW(E24:E$170)*(E193=E24:E$170)))))</f>
        <v/>
      </c>
      <c r="J193" s="24" t="str">
        <f aca="true">IF(OR(E193="",E193="!!!",F193="NEW"),"",COUNTBLANK(OFFSET(A$1,,,SUMPRODUCT(MAX(ROW(E$2:E193)*(E193=E$2:E193)))))-COUNTBLANK(OFFSET(A$1,,,SUMPRODUCT(MAX(ROW(E$1:E192)*(E2=E$1:E192))))))</f>
        <v/>
      </c>
      <c r="K193" s="24" t="str">
        <f aca="false">IF(OR(E193="",E193="!!!",F193="NEW"),"",INDEX(J$1:J192,SUMPRODUCT(MAX(ROW(E$1:E192)*(E193=E$1:E192)))))</f>
        <v/>
      </c>
      <c r="L193" s="21"/>
    </row>
    <row r="194" customFormat="false" ht="15" hidden="false" customHeight="false" outlineLevel="0" collapsed="false">
      <c r="A194" s="20" t="s">
        <v>1064</v>
      </c>
      <c r="E194" s="23"/>
      <c r="F194" s="25"/>
      <c r="G194" s="26"/>
      <c r="H194" s="27"/>
      <c r="I194" s="24" t="str">
        <f aca="false">IF(OR(E194="",E194="!!!",F194="NEW"),"",INDEX(B25:B$170,-1+SUMPRODUCT(MAX(ROW(E25:E$170)*(E194=E25:E$170)))))</f>
        <v/>
      </c>
      <c r="J194" s="24" t="str">
        <f aca="true">IF(OR(E194="",E194="!!!",F194="NEW"),"",COUNTBLANK(OFFSET(A$1,,,SUMPRODUCT(MAX(ROW(E$2:E194)*(E194=E$2:E194)))))-COUNTBLANK(OFFSET(A$1,,,SUMPRODUCT(MAX(ROW(E$1:E193)*(E2=E$1:E193))))))</f>
        <v/>
      </c>
      <c r="K194" s="24" t="str">
        <f aca="false">IF(OR(E194="",E194="!!!",F194="NEW"),"",INDEX(J$1:J193,SUMPRODUCT(MAX(ROW(E$1:E193)*(E194=E$1:E193)))))</f>
        <v/>
      </c>
      <c r="L194" s="21"/>
    </row>
    <row r="195" customFormat="false" ht="15" hidden="false" customHeight="false" outlineLevel="0" collapsed="false">
      <c r="A195" s="20" t="s">
        <v>1109</v>
      </c>
      <c r="E195" s="23"/>
      <c r="F195" s="25"/>
      <c r="G195" s="26"/>
      <c r="H195" s="27"/>
      <c r="I195" s="24" t="str">
        <f aca="false">IF(OR(E195="",E195="!!!",F195="NEW"),"",INDEX(B26:B$170,-1+SUMPRODUCT(MAX(ROW(E26:E$170)*(E195=E26:E$170)))))</f>
        <v/>
      </c>
      <c r="J195" s="24" t="str">
        <f aca="true">IF(OR(E195="",E195="!!!",F195="NEW"),"",COUNTBLANK(OFFSET(A$1,,,SUMPRODUCT(MAX(ROW(E$2:E195)*(E195=E$2:E195)))))-COUNTBLANK(OFFSET(A$1,,,SUMPRODUCT(MAX(ROW(E$1:E194)*(E2=E$1:E194))))))</f>
        <v/>
      </c>
      <c r="K195" s="24" t="str">
        <f aca="false">IF(OR(E195="",E195="!!!",F195="NEW"),"",INDEX(J$1:J194,SUMPRODUCT(MAX(ROW(E$1:E194)*(E195=E$1:E194)))))</f>
        <v/>
      </c>
      <c r="L195" s="21"/>
    </row>
    <row r="196" customFormat="false" ht="15" hidden="false" customHeight="false" outlineLevel="0" collapsed="false">
      <c r="A196" s="20" t="s">
        <v>1228</v>
      </c>
      <c r="E196" s="23"/>
      <c r="F196" s="25"/>
      <c r="G196" s="26"/>
      <c r="H196" s="27"/>
      <c r="I196" s="24" t="str">
        <f aca="false">IF(OR(E196="",E196="!!!",F196="NEW"),"",INDEX(B27:B$170,-1+SUMPRODUCT(MAX(ROW(E27:E$170)*(E196=E27:E$170)))))</f>
        <v/>
      </c>
      <c r="J196" s="24" t="str">
        <f aca="true">IF(OR(E196="",E196="!!!",F196="NEW"),"",COUNTBLANK(OFFSET(A$1,,,SUMPRODUCT(MAX(ROW(E$2:E196)*(E196=E$2:E196)))))-COUNTBLANK(OFFSET(A$1,,,SUMPRODUCT(MAX(ROW(E$1:E195)*(E2=E$1:E195))))))</f>
        <v/>
      </c>
      <c r="K196" s="24" t="str">
        <f aca="false">IF(OR(E196="",E196="!!!",F196="NEW"),"",INDEX(J$1:J195,SUMPRODUCT(MAX(ROW(E$1:E195)*(E196=E$1:E195)))))</f>
        <v/>
      </c>
      <c r="L196" s="21"/>
    </row>
    <row r="197" customFormat="false" ht="15" hidden="false" customHeight="false" outlineLevel="0" collapsed="false">
      <c r="A197" s="20" t="s">
        <v>1229</v>
      </c>
      <c r="B197" s="22" t="s">
        <v>1112</v>
      </c>
      <c r="C197" s="22" t="s">
        <v>1150</v>
      </c>
      <c r="D197" s="22" t="s">
        <v>1060</v>
      </c>
      <c r="E197" s="23" t="s">
        <v>1229</v>
      </c>
      <c r="F197" s="23" t="s">
        <v>1062</v>
      </c>
      <c r="G197" s="23" t="s">
        <v>1172</v>
      </c>
      <c r="H197" s="23"/>
      <c r="I197" s="24" t="str">
        <f aca="false">IF(OR(E197="",E197="!!!",F197="NEW"),"",INDEX(B28:B$170,-1+SUMPRODUCT(MAX(ROW(E28:E$170)*(E197=E28:E$170)))))</f>
        <v/>
      </c>
      <c r="J197" s="24" t="str">
        <f aca="true">IF(OR(E197="",E197="!!!",F197="NEW"),"",COUNTBLANK(OFFSET(A$1,,,SUMPRODUCT(MAX(ROW(E$2:E197)*(E197=E$2:E197)))))-COUNTBLANK(OFFSET(A$1,,,SUMPRODUCT(MAX(ROW(E$1:E196)*(E2=E$1:E196))))))</f>
        <v/>
      </c>
      <c r="K197" s="24" t="str">
        <f aca="false">IF(OR(E197="",E197="!!!",F197="NEW"),"",INDEX(J$1:J196,SUMPRODUCT(MAX(ROW(E$1:E196)*(E197=E$1:E196)))))</f>
        <v/>
      </c>
      <c r="L197" s="21"/>
    </row>
    <row r="198" customFormat="false" ht="15" hidden="false" customHeight="false" outlineLevel="0" collapsed="false">
      <c r="A198" s="20" t="s">
        <v>1230</v>
      </c>
      <c r="E198" s="23"/>
      <c r="F198" s="25"/>
      <c r="G198" s="26"/>
      <c r="H198" s="27"/>
      <c r="I198" s="24" t="str">
        <f aca="false">IF(OR(E198="",E198="!!!",F198="NEW"),"",INDEX(B29:B$170,-1+SUMPRODUCT(MAX(ROW(E29:E$170)*(E198=E29:E$170)))))</f>
        <v/>
      </c>
      <c r="J198" s="24" t="str">
        <f aca="true">IF(OR(E198="",E198="!!!",F198="NEW"),"",COUNTBLANK(OFFSET(A$1,,,SUMPRODUCT(MAX(ROW(E$2:E198)*(E198=E$2:E198)))))-COUNTBLANK(OFFSET(A$1,,,SUMPRODUCT(MAX(ROW(E$1:E197)*(E2=E$1:E197))))))</f>
        <v/>
      </c>
      <c r="K198" s="24" t="str">
        <f aca="false">IF(OR(E198="",E198="!!!",F198="NEW"),"",INDEX(J$1:J197,SUMPRODUCT(MAX(ROW(E$1:E197)*(E198=E$1:E197)))))</f>
        <v/>
      </c>
      <c r="L198" s="21"/>
    </row>
    <row r="199" customFormat="false" ht="15" hidden="false" customHeight="false" outlineLevel="0" collapsed="false">
      <c r="A199" s="20" t="s">
        <v>1231</v>
      </c>
      <c r="B199" s="22" t="s">
        <v>1142</v>
      </c>
      <c r="C199" s="22" t="s">
        <v>1082</v>
      </c>
      <c r="D199" s="22" t="s">
        <v>1060</v>
      </c>
      <c r="E199" s="23" t="s">
        <v>1163</v>
      </c>
      <c r="F199" s="23" t="s">
        <v>1083</v>
      </c>
      <c r="G199" s="23" t="s">
        <v>1084</v>
      </c>
      <c r="H199" s="23"/>
      <c r="I199" s="28" t="e">
        <f aca="false">IF(OR(E199="",E199="!!!",F199="NEW"),"",INDEX(B30:B$170,-1+SUMPRODUCT(MAX(ROW(E30:E$170)*(E199=E30:E$170)))))</f>
        <v>#REF!</v>
      </c>
      <c r="J199" s="24" t="n">
        <f aca="true">IF(OR(E199="",E199="!!!",F199="NEW"),"",COUNTBLANK(OFFSET(A$1,,,SUMPRODUCT(MAX(ROW(E$2:E199)*(E199=E$2:E199)))))-COUNTBLANK(OFFSET(A$1,,,SUMPRODUCT(MAX(ROW(E$1:E198)*(E2=E$1:E198))))))</f>
        <v>0</v>
      </c>
      <c r="K199" s="24" t="n">
        <f aca="false">IF(OR(E199="",E199="!!!",F199="NEW"),"",INDEX(J$1:J198,SUMPRODUCT(MAX(ROW(E$1:E198)*(E199=E$1:E198)))))</f>
        <v>0</v>
      </c>
      <c r="L199" s="21"/>
    </row>
    <row r="200" customFormat="false" ht="15" hidden="false" customHeight="false" outlineLevel="0" collapsed="false">
      <c r="A200" s="20" t="s">
        <v>1089</v>
      </c>
      <c r="E200" s="23"/>
      <c r="F200" s="25"/>
      <c r="G200" s="26"/>
      <c r="H200" s="27"/>
      <c r="I200" s="24" t="str">
        <f aca="false">IF(OR(E200="",E200="!!!",F200="NEW"),"",INDEX(B31:B$170,-1+SUMPRODUCT(MAX(ROW(E31:E$170)*(E200=E31:E$170)))))</f>
        <v/>
      </c>
      <c r="J200" s="24" t="str">
        <f aca="true">IF(OR(E200="",E200="!!!",F200="NEW"),"",COUNTBLANK(OFFSET(A$1,,,SUMPRODUCT(MAX(ROW(E$2:E200)*(E200=E$2:E200)))))-COUNTBLANK(OFFSET(A$1,,,SUMPRODUCT(MAX(ROW(E$1:E199)*(E2=E$1:E199))))))</f>
        <v/>
      </c>
      <c r="K200" s="24" t="str">
        <f aca="false">IF(OR(E200="",E200="!!!",F200="NEW"),"",INDEX(J$1:J199,SUMPRODUCT(MAX(ROW(E$1:E199)*(E200=E$1:E199)))))</f>
        <v/>
      </c>
      <c r="L200" s="21"/>
    </row>
    <row r="201" customFormat="false" ht="15" hidden="false" customHeight="false" outlineLevel="0" collapsed="false">
      <c r="A201" s="20" t="s">
        <v>1186</v>
      </c>
      <c r="B201" s="22" t="s">
        <v>1091</v>
      </c>
      <c r="C201" s="22" t="s">
        <v>1082</v>
      </c>
      <c r="D201" s="22" t="s">
        <v>1060</v>
      </c>
      <c r="E201" s="23" t="s">
        <v>1187</v>
      </c>
      <c r="F201" s="23" t="s">
        <v>1083</v>
      </c>
      <c r="G201" s="23" t="s">
        <v>1084</v>
      </c>
      <c r="H201" s="23"/>
      <c r="I201" s="28" t="e">
        <f aca="false">IF(OR(E201="",E201="!!!",F201="NEW"),"",INDEX(B32:B$170,-1+SUMPRODUCT(MAX(ROW(E32:E$170)*(E201=E32:E$170)))))</f>
        <v>#REF!</v>
      </c>
      <c r="J201" s="24" t="n">
        <f aca="true">IF(OR(E201="",E201="!!!",F201="NEW"),"",COUNTBLANK(OFFSET(A$1,,,SUMPRODUCT(MAX(ROW(E$2:E201)*(E201=E$2:E201)))))-COUNTBLANK(OFFSET(A$1,,,SUMPRODUCT(MAX(ROW(E$1:E200)*(E2=E$1:E200))))))</f>
        <v>0</v>
      </c>
      <c r="K201" s="24" t="n">
        <f aca="false">IF(OR(E201="",E201="!!!",F201="NEW"),"",INDEX(J$1:J200,SUMPRODUCT(MAX(ROW(E$1:E200)*(E201=E$1:E200)))))</f>
        <v>0</v>
      </c>
      <c r="L201" s="21"/>
    </row>
    <row r="202" customFormat="false" ht="15" hidden="false" customHeight="false" outlineLevel="0" collapsed="false">
      <c r="A202" s="20" t="s">
        <v>1135</v>
      </c>
      <c r="E202" s="23"/>
      <c r="F202" s="25"/>
      <c r="G202" s="26"/>
      <c r="H202" s="27"/>
      <c r="I202" s="24" t="str">
        <f aca="false">IF(OR(E202="",E202="!!!",F202="NEW"),"",INDEX(B33:B$170,-1+SUMPRODUCT(MAX(ROW(E33:E$170)*(E202=E33:E$170)))))</f>
        <v/>
      </c>
      <c r="J202" s="24" t="str">
        <f aca="true">IF(OR(E202="",E202="!!!",F202="NEW"),"",COUNTBLANK(OFFSET(A$1,,,SUMPRODUCT(MAX(ROW(E$2:E202)*(E202=E$2:E202)))))-COUNTBLANK(OFFSET(A$1,,,SUMPRODUCT(MAX(ROW(E$1:E201)*(E2=E$1:E201))))))</f>
        <v/>
      </c>
      <c r="K202" s="24" t="str">
        <f aca="false">IF(OR(E202="",E202="!!!",F202="NEW"),"",INDEX(J$1:J201,SUMPRODUCT(MAX(ROW(E$1:E201)*(E202=E$1:E201)))))</f>
        <v/>
      </c>
      <c r="L202" s="21"/>
    </row>
    <row r="203" customFormat="false" ht="15" hidden="false" customHeight="false" outlineLevel="0" collapsed="false">
      <c r="A203" s="20" t="s">
        <v>1232</v>
      </c>
      <c r="E203" s="23"/>
      <c r="F203" s="25"/>
      <c r="G203" s="26"/>
      <c r="H203" s="27"/>
      <c r="I203" s="24" t="str">
        <f aca="false">IF(OR(E203="",E203="!!!",F203="NEW"),"",INDEX(B34:B$170,-1+SUMPRODUCT(MAX(ROW(E34:E$170)*(E203=E34:E$170)))))</f>
        <v/>
      </c>
      <c r="J203" s="24" t="str">
        <f aca="true">IF(OR(E203="",E203="!!!",F203="NEW"),"",COUNTBLANK(OFFSET(A$1,,,SUMPRODUCT(MAX(ROW(E$2:E203)*(E203=E$2:E203)))))-COUNTBLANK(OFFSET(A$1,,,SUMPRODUCT(MAX(ROW(E$1:E202)*(E2=E$1:E202))))))</f>
        <v/>
      </c>
      <c r="K203" s="24" t="str">
        <f aca="false">IF(OR(E203="",E203="!!!",F203="NEW"),"",INDEX(J$1:J202,SUMPRODUCT(MAX(ROW(E$1:E202)*(E203=E$1:E202)))))</f>
        <v/>
      </c>
      <c r="L203" s="21"/>
    </row>
    <row r="204" customFormat="false" ht="15" hidden="false" customHeight="false" outlineLevel="0" collapsed="false">
      <c r="A204" s="20" t="s">
        <v>1218</v>
      </c>
      <c r="E204" s="23"/>
      <c r="F204" s="25"/>
      <c r="G204" s="26"/>
      <c r="H204" s="27"/>
      <c r="I204" s="24" t="str">
        <f aca="false">IF(OR(E204="",E204="!!!",F204="NEW"),"",INDEX(B35:B$170,-1+SUMPRODUCT(MAX(ROW(E35:E$170)*(E204=E35:E$170)))))</f>
        <v/>
      </c>
      <c r="J204" s="24" t="str">
        <f aca="true">IF(OR(E204="",E204="!!!",F204="NEW"),"",COUNTBLANK(OFFSET(A$1,,,SUMPRODUCT(MAX(ROW(E$2:E204)*(E204=E$2:E204)))))-COUNTBLANK(OFFSET(A$1,,,SUMPRODUCT(MAX(ROW(E$1:E203)*(E2=E$1:E203))))))</f>
        <v/>
      </c>
      <c r="K204" s="24" t="str">
        <f aca="false">IF(OR(E204="",E204="!!!",F204="NEW"),"",INDEX(J$1:J203,SUMPRODUCT(MAX(ROW(E$1:E203)*(E204=E$1:E203)))))</f>
        <v/>
      </c>
      <c r="L204" s="21"/>
    </row>
    <row r="205" customFormat="false" ht="15" hidden="false" customHeight="false" outlineLevel="0" collapsed="false">
      <c r="A205" s="20" t="s">
        <v>1109</v>
      </c>
      <c r="E205" s="23"/>
      <c r="F205" s="25"/>
      <c r="G205" s="26"/>
      <c r="H205" s="27"/>
      <c r="I205" s="24" t="str">
        <f aca="false">IF(OR(E205="",E205="!!!",F205="NEW"),"",INDEX(B36:B$170,-1+SUMPRODUCT(MAX(ROW(E36:E$170)*(E205=E36:E$170)))))</f>
        <v/>
      </c>
      <c r="J205" s="24" t="str">
        <f aca="true">IF(OR(E205="",E205="!!!",F205="NEW"),"",COUNTBLANK(OFFSET(A$1,,,SUMPRODUCT(MAX(ROW(E$2:E205)*(E205=E$2:E205)))))-COUNTBLANK(OFFSET(A$1,,,SUMPRODUCT(MAX(ROW(E$1:E204)*(E2=E$1:E204))))))</f>
        <v/>
      </c>
      <c r="K205" s="24" t="str">
        <f aca="false">IF(OR(E205="",E205="!!!",F205="NEW"),"",INDEX(J$1:J204,SUMPRODUCT(MAX(ROW(E$1:E204)*(E205=E$1:E204)))))</f>
        <v/>
      </c>
      <c r="L205" s="21"/>
    </row>
    <row r="206" customFormat="false" ht="15" hidden="false" customHeight="false" outlineLevel="0" collapsed="false">
      <c r="A206" s="20" t="s">
        <v>1223</v>
      </c>
      <c r="B206" s="22" t="s">
        <v>1073</v>
      </c>
      <c r="C206" s="22" t="s">
        <v>1150</v>
      </c>
      <c r="D206" s="22" t="s">
        <v>1060</v>
      </c>
      <c r="E206" s="23" t="s">
        <v>1223</v>
      </c>
      <c r="F206" s="23" t="s">
        <v>1083</v>
      </c>
      <c r="G206" s="23" t="s">
        <v>1084</v>
      </c>
      <c r="H206" s="23"/>
      <c r="I206" s="28" t="e">
        <f aca="false">IF(OR(E206="",E206="!!!",F206="NEW"),"",INDEX(B37:B$170,-1+SUMPRODUCT(MAX(ROW(E37:E$170)*(E206=E37:E$170)))))</f>
        <v>#VALUE!</v>
      </c>
      <c r="J206" s="24" t="n">
        <f aca="true">IF(OR(E206="",E206="!!!",F206="NEW"),"",COUNTBLANK(OFFSET(A$1,,,SUMPRODUCT(MAX(ROW(E$2:E206)*(E206=E$2:E206)))))-COUNTBLANK(OFFSET(A$1,,,SUMPRODUCT(MAX(ROW(E$1:E205)*(E2=E$1:E205))))))</f>
        <v>0</v>
      </c>
      <c r="K206" s="24" t="str">
        <f aca="false">IF(OR(E206="",E206="!!!",F206="NEW"),"",INDEX(J$1:J205,SUMPRODUCT(MAX(ROW(E$1:E205)*(E206=E$1:E205)))))</f>
        <v/>
      </c>
      <c r="L206" s="21"/>
    </row>
    <row r="207" customFormat="false" ht="15" hidden="false" customHeight="false" outlineLevel="0" collapsed="false">
      <c r="A207" s="20" t="s">
        <v>1233</v>
      </c>
      <c r="E207" s="23"/>
      <c r="F207" s="25"/>
      <c r="G207" s="26"/>
      <c r="H207" s="27"/>
      <c r="I207" s="24" t="str">
        <f aca="false">IF(OR(E207="",E207="!!!",F207="NEW"),"",INDEX(B38:B$170,-1+SUMPRODUCT(MAX(ROW(E38:E$170)*(E207=E38:E$170)))))</f>
        <v/>
      </c>
      <c r="J207" s="24" t="str">
        <f aca="true">IF(OR(E207="",E207="!!!",F207="NEW"),"",COUNTBLANK(OFFSET(A$1,,,SUMPRODUCT(MAX(ROW(E$2:E207)*(E207=E$2:E207)))))-COUNTBLANK(OFFSET(A$1,,,SUMPRODUCT(MAX(ROW(E$1:E206)*(E2=E$1:E206))))))</f>
        <v/>
      </c>
      <c r="K207" s="24" t="str">
        <f aca="false">IF(OR(E207="",E207="!!!",F207="NEW"),"",INDEX(J$1:J206,SUMPRODUCT(MAX(ROW(E$1:E206)*(E207=E$1:E206)))))</f>
        <v/>
      </c>
      <c r="L207" s="21"/>
    </row>
    <row r="208" customFormat="false" ht="15" hidden="false" customHeight="false" outlineLevel="0" collapsed="false">
      <c r="A208" s="20" t="s">
        <v>1234</v>
      </c>
      <c r="E208" s="23"/>
      <c r="F208" s="25"/>
      <c r="G208" s="26"/>
      <c r="H208" s="27"/>
      <c r="I208" s="24" t="str">
        <f aca="false">IF(OR(E208="",E208="!!!",F208="NEW"),"",INDEX(B39:B$170,-1+SUMPRODUCT(MAX(ROW(E39:E$170)*(E208=E39:E$170)))))</f>
        <v/>
      </c>
      <c r="J208" s="24" t="str">
        <f aca="true">IF(OR(E208="",E208="!!!",F208="NEW"),"",COUNTBLANK(OFFSET(A$1,,,SUMPRODUCT(MAX(ROW(E$2:E208)*(E208=E$2:E208)))))-COUNTBLANK(OFFSET(A$1,,,SUMPRODUCT(MAX(ROW(E$1:E207)*(E2=E$1:E207))))))</f>
        <v/>
      </c>
      <c r="K208" s="24" t="str">
        <f aca="false">IF(OR(E208="",E208="!!!",F208="NEW"),"",INDEX(J$1:J207,SUMPRODUCT(MAX(ROW(E$1:E207)*(E208=E$1:E207)))))</f>
        <v/>
      </c>
      <c r="L208" s="21"/>
    </row>
    <row r="209" customFormat="false" ht="15" hidden="false" customHeight="false" outlineLevel="0" collapsed="false">
      <c r="A209" s="20" t="s">
        <v>923</v>
      </c>
      <c r="E209" s="23"/>
      <c r="F209" s="25"/>
      <c r="G209" s="26"/>
      <c r="H209" s="27"/>
      <c r="I209" s="24" t="str">
        <f aca="false">IF(OR(E209="",E209="!!!",F209="NEW"),"",INDEX(B40:B$170,-1+SUMPRODUCT(MAX(ROW(E40:E$170)*(E209=E40:E$170)))))</f>
        <v/>
      </c>
      <c r="J209" s="24" t="str">
        <f aca="true">IF(OR(E209="",E209="!!!",F209="NEW"),"",COUNTBLANK(OFFSET(A$1,,,SUMPRODUCT(MAX(ROW(E$2:E209)*(E209=E$2:E209)))))-COUNTBLANK(OFFSET(A$1,,,SUMPRODUCT(MAX(ROW(E$1:E208)*(E2=E$1:E208))))))</f>
        <v/>
      </c>
      <c r="K209" s="24" t="str">
        <f aca="false">IF(OR(E209="",E209="!!!",F209="NEW"),"",INDEX(J$1:J208,SUMPRODUCT(MAX(ROW(E$1:E208)*(E209=E$1:E208)))))</f>
        <v/>
      </c>
      <c r="L209" s="21"/>
    </row>
    <row r="210" customFormat="false" ht="15" hidden="false" customHeight="false" outlineLevel="0" collapsed="false">
      <c r="A210" s="20"/>
      <c r="L210" s="21"/>
    </row>
    <row r="211" customFormat="false" ht="15" hidden="false" customHeight="false" outlineLevel="0" collapsed="false">
      <c r="A211" s="20" t="s">
        <v>1235</v>
      </c>
      <c r="L211" s="21"/>
    </row>
    <row r="212" customFormat="false" ht="15" hidden="false" customHeight="false" outlineLevel="0" collapsed="false">
      <c r="A212" s="20" t="s">
        <v>1236</v>
      </c>
      <c r="E212" s="23"/>
      <c r="F212" s="25"/>
      <c r="G212" s="26"/>
      <c r="H212" s="27"/>
      <c r="I212" s="24" t="str">
        <f aca="false">IF(OR(E212="",E212="!!!",F212="NEW"),"",INDEX(B2:B$211,-1+SUMPRODUCT(MAX(ROW(E2:E$211)*(E212=E2:E$211)))))</f>
        <v/>
      </c>
      <c r="J212" s="24" t="str">
        <f aca="true">IF(OR(E212="",E212="!!!",F212="NEW"),"",COUNTBLANK(OFFSET(A$1,,,SUMPRODUCT(MAX(ROW(E$2:E212)*(E212=E$2:E212)))))-COUNTBLANK(OFFSET(A$1,,,SUMPRODUCT(MAX(ROW(E$1:E211)*(E2=E$1:E211))))))</f>
        <v/>
      </c>
      <c r="K212" s="24" t="str">
        <f aca="false">IF(OR(E212="",E212="!!!",F212="NEW"),"",INDEX(J$1:J211,SUMPRODUCT(MAX(ROW(E$1:E211)*(E212=E$1:E211)))))</f>
        <v/>
      </c>
      <c r="L212" s="21"/>
    </row>
    <row r="213" customFormat="false" ht="15" hidden="false" customHeight="false" outlineLevel="0" collapsed="false">
      <c r="A213" s="20" t="s">
        <v>47</v>
      </c>
      <c r="B213" s="22" t="s">
        <v>1105</v>
      </c>
      <c r="C213" s="22" t="s">
        <v>1227</v>
      </c>
      <c r="E213" s="23"/>
      <c r="F213" s="25"/>
      <c r="G213" s="26"/>
      <c r="H213" s="27"/>
      <c r="I213" s="24" t="str">
        <f aca="false">IF(OR(E213="",E213="!!!",F213="NEW"),"",INDEX(B3:B$211,-1+SUMPRODUCT(MAX(ROW(E3:E$211)*(E213=E3:E$211)))))</f>
        <v/>
      </c>
      <c r="J213" s="24" t="str">
        <f aca="true">IF(OR(E213="",E213="!!!",F213="NEW"),"",COUNTBLANK(OFFSET(A$1,,,SUMPRODUCT(MAX(ROW(E$2:E213)*(E213=E$2:E213)))))-COUNTBLANK(OFFSET(A$1,,,SUMPRODUCT(MAX(ROW(E$1:E212)*(E2=E$1:E212))))))</f>
        <v/>
      </c>
      <c r="K213" s="24" t="str">
        <f aca="false">IF(OR(E213="",E213="!!!",F213="NEW"),"",INDEX(J$1:J212,SUMPRODUCT(MAX(ROW(E$1:E212)*(E213=E$1:E212)))))</f>
        <v/>
      </c>
      <c r="L213" s="21"/>
    </row>
    <row r="214" customFormat="false" ht="15" hidden="false" customHeight="false" outlineLevel="0" collapsed="false">
      <c r="A214" s="20" t="s">
        <v>1064</v>
      </c>
      <c r="E214" s="23"/>
      <c r="F214" s="25"/>
      <c r="G214" s="26"/>
      <c r="H214" s="27"/>
      <c r="I214" s="24" t="str">
        <f aca="false">IF(OR(E214="",E214="!!!",F214="NEW"),"",INDEX(B4:B$211,-1+SUMPRODUCT(MAX(ROW(E4:E$211)*(E214=E4:E$211)))))</f>
        <v/>
      </c>
      <c r="J214" s="24" t="str">
        <f aca="true">IF(OR(E214="",E214="!!!",F214="NEW"),"",COUNTBLANK(OFFSET(A$1,,,SUMPRODUCT(MAX(ROW(E$2:E214)*(E214=E$2:E214)))))-COUNTBLANK(OFFSET(A$1,,,SUMPRODUCT(MAX(ROW(E$1:E213)*(E2=E$1:E213))))))</f>
        <v/>
      </c>
      <c r="K214" s="24" t="str">
        <f aca="false">IF(OR(E214="",E214="!!!",F214="NEW"),"",INDEX(J$1:J213,SUMPRODUCT(MAX(ROW(E$1:E213)*(E214=E$1:E213)))))</f>
        <v/>
      </c>
      <c r="L214" s="21"/>
    </row>
    <row r="215" customFormat="false" ht="15" hidden="false" customHeight="false" outlineLevel="0" collapsed="false">
      <c r="A215" s="20" t="s">
        <v>1109</v>
      </c>
      <c r="E215" s="23"/>
      <c r="F215" s="25"/>
      <c r="G215" s="26"/>
      <c r="H215" s="27"/>
      <c r="I215" s="24" t="str">
        <f aca="false">IF(OR(E215="",E215="!!!",F215="NEW"),"",INDEX(B5:B$211,-1+SUMPRODUCT(MAX(ROW(E5:E$211)*(E215=E5:E$211)))))</f>
        <v/>
      </c>
      <c r="J215" s="24" t="str">
        <f aca="true">IF(OR(E215="",E215="!!!",F215="NEW"),"",COUNTBLANK(OFFSET(A$1,,,SUMPRODUCT(MAX(ROW(E$2:E215)*(E215=E$2:E215)))))-COUNTBLANK(OFFSET(A$1,,,SUMPRODUCT(MAX(ROW(E$1:E214)*(E2=E$1:E214))))))</f>
        <v/>
      </c>
      <c r="K215" s="24" t="str">
        <f aca="false">IF(OR(E215="",E215="!!!",F215="NEW"),"",INDEX(J$1:J214,SUMPRODUCT(MAX(ROW(E$1:E214)*(E215=E$1:E214)))))</f>
        <v/>
      </c>
      <c r="L215" s="21"/>
    </row>
    <row r="216" customFormat="false" ht="15" hidden="false" customHeight="false" outlineLevel="0" collapsed="false">
      <c r="A216" s="20" t="s">
        <v>1237</v>
      </c>
      <c r="B216" s="22" t="s">
        <v>1105</v>
      </c>
      <c r="C216" s="22" t="s">
        <v>1150</v>
      </c>
      <c r="D216" s="22" t="s">
        <v>1060</v>
      </c>
      <c r="E216" s="23"/>
      <c r="F216" s="23"/>
      <c r="G216" s="23"/>
      <c r="H216" s="23"/>
      <c r="I216" s="24" t="str">
        <f aca="false">IF(OR(E216="",E216="!!!",F216="NEW"),"",INDEX(B6:B$211,-1+SUMPRODUCT(MAX(ROW(E6:E$211)*(E216=E6:E$211)))))</f>
        <v/>
      </c>
      <c r="J216" s="24" t="str">
        <f aca="true">IF(OR(E216="",E216="!!!",F216="NEW"),"",COUNTBLANK(OFFSET(A$1,,,SUMPRODUCT(MAX(ROW(E$2:E216)*(E216=E$2:E216)))))-COUNTBLANK(OFFSET(A$1,,,SUMPRODUCT(MAX(ROW(E$1:E215)*(E2=E$1:E215))))))</f>
        <v/>
      </c>
      <c r="K216" s="24" t="str">
        <f aca="false">IF(OR(E216="",E216="!!!",F216="NEW"),"",INDEX(J$1:J215,SUMPRODUCT(MAX(ROW(E$1:E215)*(E216=E$1:E215)))))</f>
        <v/>
      </c>
      <c r="L216" s="21"/>
    </row>
    <row r="217" customFormat="false" ht="15" hidden="false" customHeight="false" outlineLevel="0" collapsed="false">
      <c r="A217" s="20" t="s">
        <v>1128</v>
      </c>
      <c r="E217" s="23"/>
      <c r="F217" s="25"/>
      <c r="G217" s="26"/>
      <c r="H217" s="27"/>
      <c r="I217" s="24" t="str">
        <f aca="false">IF(OR(E217="",E217="!!!",F217="NEW"),"",INDEX(B7:B$211,-1+SUMPRODUCT(MAX(ROW(E7:E$211)*(E217=E7:E$211)))))</f>
        <v/>
      </c>
      <c r="J217" s="24" t="str">
        <f aca="true">IF(OR(E217="",E217="!!!",F217="NEW"),"",COUNTBLANK(OFFSET(A$1,,,SUMPRODUCT(MAX(ROW(E$2:E217)*(E217=E$2:E217)))))-COUNTBLANK(OFFSET(A$1,,,SUMPRODUCT(MAX(ROW(E$1:E216)*(E2=E$1:E216))))))</f>
        <v/>
      </c>
      <c r="K217" s="24" t="str">
        <f aca="false">IF(OR(E217="",E217="!!!",F217="NEW"),"",INDEX(J$1:J216,SUMPRODUCT(MAX(ROW(E$1:E216)*(E217=E$1:E216)))))</f>
        <v/>
      </c>
      <c r="L217" s="21"/>
    </row>
    <row r="218" customFormat="false" ht="15" hidden="false" customHeight="false" outlineLevel="0" collapsed="false">
      <c r="A218" s="20" t="s">
        <v>1238</v>
      </c>
      <c r="E218" s="23"/>
      <c r="F218" s="25"/>
      <c r="G218" s="26"/>
      <c r="H218" s="27"/>
      <c r="I218" s="24" t="str">
        <f aca="false">IF(OR(E218="",E218="!!!",F218="NEW"),"",INDEX(B8:B$211,-1+SUMPRODUCT(MAX(ROW(E8:E$211)*(E218=E8:E$211)))))</f>
        <v/>
      </c>
      <c r="J218" s="24" t="str">
        <f aca="true">IF(OR(E218="",E218="!!!",F218="NEW"),"",COUNTBLANK(OFFSET(A$1,,,SUMPRODUCT(MAX(ROW(E$2:E218)*(E218=E$2:E218)))))-COUNTBLANK(OFFSET(A$1,,,SUMPRODUCT(MAX(ROW(E$1:E217)*(E2=E$1:E217))))))</f>
        <v/>
      </c>
      <c r="K218" s="24" t="str">
        <f aca="false">IF(OR(E218="",E218="!!!",F218="NEW"),"",INDEX(J$1:J217,SUMPRODUCT(MAX(ROW(E$1:E217)*(E218=E$1:E217)))))</f>
        <v/>
      </c>
      <c r="L218" s="21"/>
    </row>
    <row r="219" customFormat="false" ht="15" hidden="false" customHeight="false" outlineLevel="0" collapsed="false">
      <c r="A219" s="20" t="s">
        <v>220</v>
      </c>
      <c r="B219" s="22" t="s">
        <v>1086</v>
      </c>
      <c r="C219" s="22" t="s">
        <v>1227</v>
      </c>
      <c r="E219" s="23"/>
      <c r="F219" s="25"/>
      <c r="G219" s="26"/>
      <c r="H219" s="27"/>
      <c r="I219" s="24" t="str">
        <f aca="false">IF(OR(E219="",E219="!!!",F219="NEW"),"",INDEX(B9:B$211,-1+SUMPRODUCT(MAX(ROW(E9:E$211)*(E219=E9:E$211)))))</f>
        <v/>
      </c>
      <c r="J219" s="24" t="str">
        <f aca="true">IF(OR(E219="",E219="!!!",F219="NEW"),"",COUNTBLANK(OFFSET(A$1,,,SUMPRODUCT(MAX(ROW(E$2:E219)*(E219=E$2:E219)))))-COUNTBLANK(OFFSET(A$1,,,SUMPRODUCT(MAX(ROW(E$1:E218)*(E2=E$1:E218))))))</f>
        <v/>
      </c>
      <c r="K219" s="24" t="str">
        <f aca="false">IF(OR(E219="",E219="!!!",F219="NEW"),"",INDEX(J$1:J218,SUMPRODUCT(MAX(ROW(E$1:E218)*(E219=E$1:E218)))))</f>
        <v/>
      </c>
      <c r="L219" s="21"/>
    </row>
    <row r="220" customFormat="false" ht="15" hidden="false" customHeight="false" outlineLevel="0" collapsed="false">
      <c r="A220" s="20" t="s">
        <v>1064</v>
      </c>
      <c r="E220" s="23"/>
      <c r="F220" s="25"/>
      <c r="G220" s="26"/>
      <c r="H220" s="27"/>
      <c r="I220" s="24" t="str">
        <f aca="false">IF(OR(E220="",E220="!!!",F220="NEW"),"",INDEX(B10:B$211,-1+SUMPRODUCT(MAX(ROW(E10:E$211)*(E220=E10:E$211)))))</f>
        <v/>
      </c>
      <c r="J220" s="24" t="str">
        <f aca="true">IF(OR(E220="",E220="!!!",F220="NEW"),"",COUNTBLANK(OFFSET(A$1,,,SUMPRODUCT(MAX(ROW(E$2:E220)*(E220=E$2:E220)))))-COUNTBLANK(OFFSET(A$1,,,SUMPRODUCT(MAX(ROW(E$1:E219)*(E2=E$1:E219))))))</f>
        <v/>
      </c>
      <c r="K220" s="24" t="str">
        <f aca="false">IF(OR(E220="",E220="!!!",F220="NEW"),"",INDEX(J$1:J219,SUMPRODUCT(MAX(ROW(E$1:E219)*(E220=E$1:E219)))))</f>
        <v/>
      </c>
      <c r="L220" s="21"/>
    </row>
    <row r="221" customFormat="false" ht="15" hidden="false" customHeight="false" outlineLevel="0" collapsed="false">
      <c r="A221" s="20" t="s">
        <v>1109</v>
      </c>
      <c r="E221" s="23"/>
      <c r="F221" s="25"/>
      <c r="G221" s="26"/>
      <c r="H221" s="27"/>
      <c r="I221" s="24" t="str">
        <f aca="false">IF(OR(E221="",E221="!!!",F221="NEW"),"",INDEX(B11:B$211,-1+SUMPRODUCT(MAX(ROW(E11:E$211)*(E221=E11:E$211)))))</f>
        <v/>
      </c>
      <c r="J221" s="24" t="str">
        <f aca="true">IF(OR(E221="",E221="!!!",F221="NEW"),"",COUNTBLANK(OFFSET(A$1,,,SUMPRODUCT(MAX(ROW(E$2:E221)*(E221=E$2:E221)))))-COUNTBLANK(OFFSET(A$1,,,SUMPRODUCT(MAX(ROW(E$1:E220)*(E2=E$1:E220))))))</f>
        <v/>
      </c>
      <c r="K221" s="24" t="str">
        <f aca="false">IF(OR(E221="",E221="!!!",F221="NEW"),"",INDEX(J$1:J220,SUMPRODUCT(MAX(ROW(E$1:E220)*(E221=E$1:E220)))))</f>
        <v/>
      </c>
      <c r="L221" s="21"/>
    </row>
    <row r="222" customFormat="false" ht="15" hidden="false" customHeight="false" outlineLevel="0" collapsed="false">
      <c r="A222" s="20" t="s">
        <v>1239</v>
      </c>
      <c r="B222" s="22" t="s">
        <v>1067</v>
      </c>
      <c r="C222" s="22" t="s">
        <v>1150</v>
      </c>
      <c r="D222" s="22" t="s">
        <v>1060</v>
      </c>
      <c r="E222" s="23"/>
      <c r="F222" s="23"/>
      <c r="G222" s="23"/>
      <c r="H222" s="23"/>
      <c r="I222" s="24" t="str">
        <f aca="false">IF(OR(E222="",E222="!!!",F222="NEW"),"",INDEX(B12:B$211,-1+SUMPRODUCT(MAX(ROW(E12:E$211)*(E222=E12:E$211)))))</f>
        <v/>
      </c>
      <c r="J222" s="24" t="str">
        <f aca="true">IF(OR(E222="",E222="!!!",F222="NEW"),"",COUNTBLANK(OFFSET(A$1,,,SUMPRODUCT(MAX(ROW(E$2:E222)*(E222=E$2:E222)))))-COUNTBLANK(OFFSET(A$1,,,SUMPRODUCT(MAX(ROW(E$1:E221)*(E2=E$1:E221))))))</f>
        <v/>
      </c>
      <c r="K222" s="24" t="str">
        <f aca="false">IF(OR(E222="",E222="!!!",F222="NEW"),"",INDEX(J$1:J221,SUMPRODUCT(MAX(ROW(E$1:E221)*(E222=E$1:E221)))))</f>
        <v/>
      </c>
      <c r="L222" s="21"/>
    </row>
    <row r="223" customFormat="false" ht="15" hidden="false" customHeight="false" outlineLevel="0" collapsed="false">
      <c r="A223" s="20" t="s">
        <v>1092</v>
      </c>
      <c r="E223" s="23"/>
      <c r="F223" s="25"/>
      <c r="G223" s="26"/>
      <c r="H223" s="27"/>
      <c r="I223" s="24" t="str">
        <f aca="false">IF(OR(E223="",E223="!!!",F223="NEW"),"",INDEX(B13:B$211,-1+SUMPRODUCT(MAX(ROW(E13:E$211)*(E223=E13:E$211)))))</f>
        <v/>
      </c>
      <c r="J223" s="24" t="str">
        <f aca="true">IF(OR(E223="",E223="!!!",F223="NEW"),"",COUNTBLANK(OFFSET(A$1,,,SUMPRODUCT(MAX(ROW(E$2:E223)*(E223=E$2:E223)))))-COUNTBLANK(OFFSET(A$1,,,SUMPRODUCT(MAX(ROW(E$1:E222)*(E2=E$1:E222))))))</f>
        <v/>
      </c>
      <c r="K223" s="24" t="str">
        <f aca="false">IF(OR(E223="",E223="!!!",F223="NEW"),"",INDEX(J$1:J222,SUMPRODUCT(MAX(ROW(E$1:E222)*(E223=E$1:E222)))))</f>
        <v/>
      </c>
      <c r="L223" s="21"/>
    </row>
    <row r="224" customFormat="false" ht="15" hidden="false" customHeight="false" outlineLevel="0" collapsed="false">
      <c r="A224" s="20" t="s">
        <v>1240</v>
      </c>
      <c r="E224" s="23"/>
      <c r="F224" s="25"/>
      <c r="G224" s="26"/>
      <c r="H224" s="27"/>
      <c r="I224" s="24" t="str">
        <f aca="false">IF(OR(E224="",E224="!!!",F224="NEW"),"",INDEX(B14:B$211,-1+SUMPRODUCT(MAX(ROW(E14:E$211)*(E224=E14:E$211)))))</f>
        <v/>
      </c>
      <c r="J224" s="24" t="str">
        <f aca="true">IF(OR(E224="",E224="!!!",F224="NEW"),"",COUNTBLANK(OFFSET(A$1,,,SUMPRODUCT(MAX(ROW(E$2:E224)*(E224=E$2:E224)))))-COUNTBLANK(OFFSET(A$1,,,SUMPRODUCT(MAX(ROW(E$1:E223)*(E2=E$1:E223))))))</f>
        <v/>
      </c>
      <c r="K224" s="24" t="str">
        <f aca="false">IF(OR(E224="",E224="!!!",F224="NEW"),"",INDEX(J$1:J223,SUMPRODUCT(MAX(ROW(E$1:E223)*(E224=E$1:E223)))))</f>
        <v/>
      </c>
      <c r="L224" s="21"/>
    </row>
    <row r="225" customFormat="false" ht="15" hidden="false" customHeight="false" outlineLevel="0" collapsed="false">
      <c r="A225" s="20" t="s">
        <v>1179</v>
      </c>
      <c r="B225" s="22" t="s">
        <v>1142</v>
      </c>
      <c r="C225" s="22" t="s">
        <v>1082</v>
      </c>
      <c r="D225" s="22" t="s">
        <v>1060</v>
      </c>
      <c r="E225" s="23" t="s">
        <v>1187</v>
      </c>
      <c r="F225" s="23" t="s">
        <v>1083</v>
      </c>
      <c r="G225" s="23" t="s">
        <v>1120</v>
      </c>
      <c r="H225" s="23"/>
      <c r="I225" s="28" t="e">
        <f aca="false">IF(OR(E225="",E225="!!!",F225="NEW"),"",INDEX(B15:B$211,-1+SUMPRODUCT(MAX(ROW(E15:E$211)*(E225=E15:E$211)))))</f>
        <v>#REF!</v>
      </c>
      <c r="J225" s="24" t="n">
        <f aca="true">IF(OR(E225="",E225="!!!",F225="NEW"),"",COUNTBLANK(OFFSET(A$1,,,SUMPRODUCT(MAX(ROW(E$2:E225)*(E225=E$2:E225)))))-COUNTBLANK(OFFSET(A$1,,,SUMPRODUCT(MAX(ROW(E$1:E224)*(E2=E$1:E224))))))</f>
        <v>0</v>
      </c>
      <c r="K225" s="24" t="n">
        <f aca="false">IF(OR(E225="",E225="!!!",F225="NEW"),"",INDEX(J$1:J224,SUMPRODUCT(MAX(ROW(E$1:E224)*(E225=E$1:E224)))))</f>
        <v>0</v>
      </c>
      <c r="L225" s="21"/>
    </row>
    <row r="226" customFormat="false" ht="15" hidden="false" customHeight="false" outlineLevel="0" collapsed="false">
      <c r="A226" s="20" t="s">
        <v>1241</v>
      </c>
      <c r="E226" s="23"/>
      <c r="F226" s="25"/>
      <c r="G226" s="26"/>
      <c r="H226" s="27"/>
      <c r="I226" s="24" t="str">
        <f aca="false">IF(OR(E226="",E226="!!!",F226="NEW"),"",INDEX(B16:B$211,-1+SUMPRODUCT(MAX(ROW(E16:E$211)*(E226=E16:E$211)))))</f>
        <v/>
      </c>
      <c r="J226" s="24" t="str">
        <f aca="true">IF(OR(E226="",E226="!!!",F226="NEW"),"",COUNTBLANK(OFFSET(A$1,,,SUMPRODUCT(MAX(ROW(E$2:E226)*(E226=E$2:E226)))))-COUNTBLANK(OFFSET(A$1,,,SUMPRODUCT(MAX(ROW(E$1:E225)*(E2=E$1:E225))))))</f>
        <v/>
      </c>
      <c r="K226" s="24" t="str">
        <f aca="false">IF(OR(E226="",E226="!!!",F226="NEW"),"",INDEX(J$1:J225,SUMPRODUCT(MAX(ROW(E$1:E225)*(E226=E$1:E225)))))</f>
        <v/>
      </c>
      <c r="L226" s="21"/>
    </row>
    <row r="227" customFormat="false" ht="15" hidden="false" customHeight="false" outlineLevel="0" collapsed="false">
      <c r="A227" s="20" t="s">
        <v>1095</v>
      </c>
      <c r="E227" s="23"/>
      <c r="F227" s="25"/>
      <c r="G227" s="26"/>
      <c r="H227" s="27"/>
      <c r="I227" s="24" t="str">
        <f aca="false">IF(OR(E227="",E227="!!!",F227="NEW"),"",INDEX(B17:B$211,-1+SUMPRODUCT(MAX(ROW(E17:E$211)*(E227=E17:E$211)))))</f>
        <v/>
      </c>
      <c r="J227" s="24" t="str">
        <f aca="true">IF(OR(E227="",E227="!!!",F227="NEW"),"",COUNTBLANK(OFFSET(A$1,,,SUMPRODUCT(MAX(ROW(E$2:E227)*(E227=E$2:E227)))))-COUNTBLANK(OFFSET(A$1,,,SUMPRODUCT(MAX(ROW(E$1:E226)*(E2=E$1:E226))))))</f>
        <v/>
      </c>
      <c r="K227" s="24" t="str">
        <f aca="false">IF(OR(E227="",E227="!!!",F227="NEW"),"",INDEX(J$1:J226,SUMPRODUCT(MAX(ROW(E$1:E226)*(E227=E$1:E226)))))</f>
        <v/>
      </c>
      <c r="L227" s="21"/>
    </row>
    <row r="228" customFormat="false" ht="15" hidden="false" customHeight="false" outlineLevel="0" collapsed="false">
      <c r="A228" s="20" t="s">
        <v>1189</v>
      </c>
      <c r="B228" s="22" t="s">
        <v>1107</v>
      </c>
      <c r="C228" s="22" t="s">
        <v>1099</v>
      </c>
      <c r="D228" s="22" t="s">
        <v>1060</v>
      </c>
      <c r="E228" s="23" t="s">
        <v>1187</v>
      </c>
      <c r="F228" s="23" t="s">
        <v>1083</v>
      </c>
      <c r="G228" s="23" t="s">
        <v>1084</v>
      </c>
      <c r="H228" s="23"/>
      <c r="I228" s="28" t="e">
        <f aca="false">IF(OR(E228="",E228="!!!",F228="NEW"),"",INDEX(B18:B$211,-1+SUMPRODUCT(MAX(ROW(E18:E$211)*(E228=E18:E$211)))))</f>
        <v>#REF!</v>
      </c>
      <c r="J228" s="24" t="n">
        <f aca="true">IF(OR(E228="",E228="!!!",F228="NEW"),"",COUNTBLANK(OFFSET(A$1,,,SUMPRODUCT(MAX(ROW(E$2:E228)*(E228=E$2:E228)))))-COUNTBLANK(OFFSET(A$1,,,SUMPRODUCT(MAX(ROW(E$1:E227)*(E2=E$1:E227))))))</f>
        <v>0</v>
      </c>
      <c r="K228" s="24" t="n">
        <f aca="false">IF(OR(E228="",E228="!!!",F228="NEW"),"",INDEX(J$1:J227,SUMPRODUCT(MAX(ROW(E$1:E227)*(E228=E$1:E227)))))</f>
        <v>0</v>
      </c>
      <c r="L228" s="21"/>
    </row>
    <row r="229" customFormat="false" ht="15" hidden="false" customHeight="false" outlineLevel="0" collapsed="false">
      <c r="A229" s="20" t="s">
        <v>1242</v>
      </c>
      <c r="E229" s="23"/>
      <c r="F229" s="25"/>
      <c r="G229" s="26"/>
      <c r="H229" s="27"/>
      <c r="I229" s="24" t="str">
        <f aca="false">IF(OR(E229="",E229="!!!",F229="NEW"),"",INDEX(B19:B$211,-1+SUMPRODUCT(MAX(ROW(E19:E$211)*(E229=E19:E$211)))))</f>
        <v/>
      </c>
      <c r="J229" s="24" t="str">
        <f aca="true">IF(OR(E229="",E229="!!!",F229="NEW"),"",COUNTBLANK(OFFSET(A$1,,,SUMPRODUCT(MAX(ROW(E$2:E229)*(E229=E$2:E229)))))-COUNTBLANK(OFFSET(A$1,,,SUMPRODUCT(MAX(ROW(E$1:E228)*(E2=E$1:E228))))))</f>
        <v/>
      </c>
      <c r="K229" s="24" t="str">
        <f aca="false">IF(OR(E229="",E229="!!!",F229="NEW"),"",INDEX(J$1:J228,SUMPRODUCT(MAX(ROW(E$1:E228)*(E229=E$1:E228)))))</f>
        <v/>
      </c>
      <c r="L229" s="21"/>
    </row>
    <row r="230" customFormat="false" ht="15" hidden="false" customHeight="false" outlineLevel="0" collapsed="false">
      <c r="A230" s="20" t="s">
        <v>1243</v>
      </c>
      <c r="B230" s="22" t="s">
        <v>1067</v>
      </c>
      <c r="C230" s="22" t="s">
        <v>1059</v>
      </c>
      <c r="D230" s="22" t="s">
        <v>1060</v>
      </c>
      <c r="E230" s="23" t="s">
        <v>1243</v>
      </c>
      <c r="F230" s="23" t="s">
        <v>1062</v>
      </c>
      <c r="G230" s="23" t="s">
        <v>1172</v>
      </c>
      <c r="H230" s="23"/>
      <c r="I230" s="24" t="str">
        <f aca="false">IF(OR(E230="",E230="!!!",F230="NEW"),"",INDEX(B20:B$211,-1+SUMPRODUCT(MAX(ROW(E20:E$211)*(E230=E20:E$211)))))</f>
        <v/>
      </c>
      <c r="J230" s="24" t="str">
        <f aca="true">IF(OR(E230="",E230="!!!",F230="NEW"),"",COUNTBLANK(OFFSET(A$1,,,SUMPRODUCT(MAX(ROW(E$2:E230)*(E230=E$2:E230)))))-COUNTBLANK(OFFSET(A$1,,,SUMPRODUCT(MAX(ROW(E$1:E229)*(E2=E$1:E229))))))</f>
        <v/>
      </c>
      <c r="K230" s="24" t="str">
        <f aca="false">IF(OR(E230="",E230="!!!",F230="NEW"),"",INDEX(J$1:J229,SUMPRODUCT(MAX(ROW(E$1:E229)*(E230=E$1:E229)))))</f>
        <v/>
      </c>
      <c r="L230" s="21"/>
    </row>
    <row r="231" customFormat="false" ht="15" hidden="false" customHeight="false" outlineLevel="0" collapsed="false">
      <c r="A231" s="20" t="s">
        <v>923</v>
      </c>
      <c r="E231" s="23"/>
      <c r="F231" s="25"/>
      <c r="G231" s="26"/>
      <c r="H231" s="27"/>
      <c r="I231" s="24" t="str">
        <f aca="false">IF(OR(E231="",E231="!!!",F231="NEW"),"",INDEX(B21:B$211,-1+SUMPRODUCT(MAX(ROW(E21:E$211)*(E231=E21:E$211)))))</f>
        <v/>
      </c>
      <c r="J231" s="24" t="str">
        <f aca="true">IF(OR(E231="",E231="!!!",F231="NEW"),"",COUNTBLANK(OFFSET(A$1,,,SUMPRODUCT(MAX(ROW(E$2:E231)*(E231=E$2:E231)))))-COUNTBLANK(OFFSET(A$1,,,SUMPRODUCT(MAX(ROW(E$1:E230)*(E2=E$1:E230))))))</f>
        <v/>
      </c>
      <c r="K231" s="24" t="str">
        <f aca="false">IF(OR(E231="",E231="!!!",F231="NEW"),"",INDEX(J$1:J230,SUMPRODUCT(MAX(ROW(E$1:E230)*(E231=E$1:E230)))))</f>
        <v/>
      </c>
      <c r="L231" s="21"/>
    </row>
    <row r="232" customFormat="false" ht="15" hidden="false" customHeight="false" outlineLevel="0" collapsed="false">
      <c r="A232" s="20"/>
      <c r="L232" s="21"/>
    </row>
    <row r="233" customFormat="false" ht="15" hidden="false" customHeight="false" outlineLevel="0" collapsed="false">
      <c r="A233" s="20" t="s">
        <v>1244</v>
      </c>
      <c r="L233" s="21"/>
    </row>
    <row r="234" customFormat="false" ht="15" hidden="false" customHeight="false" outlineLevel="0" collapsed="false">
      <c r="A234" s="20" t="s">
        <v>1245</v>
      </c>
      <c r="B234" s="22" t="s">
        <v>1073</v>
      </c>
      <c r="C234" s="22" t="s">
        <v>1099</v>
      </c>
      <c r="D234" s="22" t="s">
        <v>1060</v>
      </c>
      <c r="E234" s="23" t="s">
        <v>1187</v>
      </c>
      <c r="F234" s="23" t="s">
        <v>1083</v>
      </c>
      <c r="G234" s="23" t="s">
        <v>1120</v>
      </c>
      <c r="H234" s="23"/>
      <c r="I234" s="24" t="str">
        <f aca="false">IF(OR(E234="",E234="!!!",F234="NEW"),"",INDEX(B2:B$233,-1+SUMPRODUCT(MAX(ROW(E2:E$233)*(E234=E2:E$233)))))</f>
        <v>other_4</v>
      </c>
      <c r="J234" s="24" t="n">
        <f aca="true">IF(OR(E234="",E234="!!!",F234="NEW"),"",COUNTBLANK(OFFSET(A$1,,,SUMPRODUCT(MAX(ROW(E$2:E234)*(E234=E$2:E234)))))-COUNTBLANK(OFFSET(A$1,,,SUMPRODUCT(MAX(ROW(E$1:E233)*(E2=E$1:E233))))))</f>
        <v>0</v>
      </c>
      <c r="K234" s="24" t="n">
        <f aca="false">IF(OR(E234="",E234="!!!",F234="NEW"),"",INDEX(J$1:J233,SUMPRODUCT(MAX(ROW(E$1:E233)*(E234=E$1:E233)))))</f>
        <v>0</v>
      </c>
      <c r="L234" s="21"/>
    </row>
    <row r="235" customFormat="false" ht="15" hidden="false" customHeight="false" outlineLevel="0" collapsed="false">
      <c r="A235" s="20" t="s">
        <v>1246</v>
      </c>
      <c r="B235" s="22" t="s">
        <v>1058</v>
      </c>
      <c r="C235" s="22" t="s">
        <v>1059</v>
      </c>
      <c r="D235" s="22" t="s">
        <v>1060</v>
      </c>
      <c r="E235" s="23"/>
      <c r="F235" s="23"/>
      <c r="G235" s="23"/>
      <c r="H235" s="23"/>
      <c r="I235" s="24" t="str">
        <f aca="false">IF(OR(E235="",E235="!!!",F235="NEW"),"",INDEX(B3:B$233,-1+SUMPRODUCT(MAX(ROW(E3:E$233)*(E235=E3:E$233)))))</f>
        <v/>
      </c>
      <c r="J235" s="24" t="str">
        <f aca="true">IF(OR(E235="",E235="!!!",F235="NEW"),"",COUNTBLANK(OFFSET(A$1,,,SUMPRODUCT(MAX(ROW(E$2:E235)*(E235=E$2:E235)))))-COUNTBLANK(OFFSET(A$1,,,SUMPRODUCT(MAX(ROW(E$1:E234)*(E2=E$1:E234))))))</f>
        <v/>
      </c>
      <c r="K235" s="24" t="str">
        <f aca="false">IF(OR(E235="",E235="!!!",F235="NEW"),"",INDEX(J$1:J234,SUMPRODUCT(MAX(ROW(E$1:E234)*(E235=E$1:E234)))))</f>
        <v/>
      </c>
      <c r="L235" s="21"/>
    </row>
    <row r="236" customFormat="false" ht="15" hidden="false" customHeight="false" outlineLevel="0" collapsed="false">
      <c r="A236" s="20" t="s">
        <v>1092</v>
      </c>
      <c r="E236" s="23"/>
      <c r="F236" s="25"/>
      <c r="G236" s="26"/>
      <c r="H236" s="27"/>
      <c r="I236" s="24" t="str">
        <f aca="false">IF(OR(E236="",E236="!!!",F236="NEW"),"",INDEX(B4:B$233,-1+SUMPRODUCT(MAX(ROW(E4:E$233)*(E236=E4:E$233)))))</f>
        <v/>
      </c>
      <c r="J236" s="24" t="str">
        <f aca="true">IF(OR(E236="",E236="!!!",F236="NEW"),"",COUNTBLANK(OFFSET(A$1,,,SUMPRODUCT(MAX(ROW(E$2:E236)*(E236=E$2:E236)))))-COUNTBLANK(OFFSET(A$1,,,SUMPRODUCT(MAX(ROW(E$1:E235)*(E2=E$1:E235))))))</f>
        <v/>
      </c>
      <c r="K236" s="24" t="str">
        <f aca="false">IF(OR(E236="",E236="!!!",F236="NEW"),"",INDEX(J$1:J235,SUMPRODUCT(MAX(ROW(E$1:E235)*(E236=E$1:E235)))))</f>
        <v/>
      </c>
      <c r="L236" s="21"/>
    </row>
    <row r="237" customFormat="false" ht="15" hidden="false" customHeight="false" outlineLevel="0" collapsed="false">
      <c r="A237" s="20" t="s">
        <v>1247</v>
      </c>
      <c r="E237" s="23"/>
      <c r="F237" s="25"/>
      <c r="G237" s="26"/>
      <c r="H237" s="27"/>
      <c r="I237" s="24" t="str">
        <f aca="false">IF(OR(E237="",E237="!!!",F237="NEW"),"",INDEX(B5:B$233,-1+SUMPRODUCT(MAX(ROW(E5:E$233)*(E237=E5:E$233)))))</f>
        <v/>
      </c>
      <c r="J237" s="24" t="str">
        <f aca="true">IF(OR(E237="",E237="!!!",F237="NEW"),"",COUNTBLANK(OFFSET(A$1,,,SUMPRODUCT(MAX(ROW(E$2:E237)*(E237=E$2:E237)))))-COUNTBLANK(OFFSET(A$1,,,SUMPRODUCT(MAX(ROW(E$1:E236)*(E2=E$1:E236))))))</f>
        <v/>
      </c>
      <c r="K237" s="24" t="str">
        <f aca="false">IF(OR(E237="",E237="!!!",F237="NEW"),"",INDEX(J$1:J236,SUMPRODUCT(MAX(ROW(E$1:E236)*(E237=E$1:E236)))))</f>
        <v/>
      </c>
      <c r="L237" s="21"/>
    </row>
    <row r="238" customFormat="false" ht="15" hidden="false" customHeight="false" outlineLevel="0" collapsed="false">
      <c r="A238" s="20" t="s">
        <v>1248</v>
      </c>
      <c r="E238" s="23"/>
      <c r="F238" s="25"/>
      <c r="G238" s="26"/>
      <c r="H238" s="27"/>
      <c r="I238" s="24" t="str">
        <f aca="false">IF(OR(E238="",E238="!!!",F238="NEW"),"",INDEX(B6:B$233,-1+SUMPRODUCT(MAX(ROW(E6:E$233)*(E238=E6:E$233)))))</f>
        <v/>
      </c>
      <c r="J238" s="24" t="str">
        <f aca="true">IF(OR(E238="",E238="!!!",F238="NEW"),"",COUNTBLANK(OFFSET(A$1,,,SUMPRODUCT(MAX(ROW(E$2:E238)*(E238=E$2:E238)))))-COUNTBLANK(OFFSET(A$1,,,SUMPRODUCT(MAX(ROW(E$1:E237)*(E2=E$1:E237))))))</f>
        <v/>
      </c>
      <c r="K238" s="24" t="str">
        <f aca="false">IF(OR(E238="",E238="!!!",F238="NEW"),"",INDEX(J$1:J237,SUMPRODUCT(MAX(ROW(E$1:E237)*(E238=E$1:E237)))))</f>
        <v/>
      </c>
      <c r="L238" s="21"/>
    </row>
    <row r="239" customFormat="false" ht="15" hidden="false" customHeight="false" outlineLevel="0" collapsed="false">
      <c r="A239" s="20" t="s">
        <v>1109</v>
      </c>
      <c r="E239" s="23"/>
      <c r="F239" s="25"/>
      <c r="G239" s="26"/>
      <c r="H239" s="27"/>
      <c r="I239" s="24" t="str">
        <f aca="false">IF(OR(E239="",E239="!!!",F239="NEW"),"",INDEX(B7:B$233,-1+SUMPRODUCT(MAX(ROW(E7:E$233)*(E239=E7:E$233)))))</f>
        <v/>
      </c>
      <c r="J239" s="24" t="str">
        <f aca="true">IF(OR(E239="",E239="!!!",F239="NEW"),"",COUNTBLANK(OFFSET(A$1,,,SUMPRODUCT(MAX(ROW(E$2:E239)*(E239=E$2:E239)))))-COUNTBLANK(OFFSET(A$1,,,SUMPRODUCT(MAX(ROW(E$1:E238)*(E2=E$1:E238))))))</f>
        <v/>
      </c>
      <c r="K239" s="24" t="str">
        <f aca="false">IF(OR(E239="",E239="!!!",F239="NEW"),"",INDEX(J$1:J238,SUMPRODUCT(MAX(ROW(E$1:E238)*(E239=E$1:E238)))))</f>
        <v/>
      </c>
      <c r="L239" s="21"/>
    </row>
    <row r="240" customFormat="false" ht="15" hidden="false" customHeight="false" outlineLevel="0" collapsed="false">
      <c r="A240" s="20" t="s">
        <v>1249</v>
      </c>
      <c r="B240" s="22" t="s">
        <v>1105</v>
      </c>
      <c r="C240" s="22" t="s">
        <v>1150</v>
      </c>
      <c r="D240" s="22" t="s">
        <v>1060</v>
      </c>
      <c r="E240" s="23"/>
      <c r="F240" s="23"/>
      <c r="G240" s="23"/>
      <c r="H240" s="23"/>
      <c r="I240" s="24" t="str">
        <f aca="false">IF(OR(E240="",E240="!!!",F240="NEW"),"",INDEX(B8:B$233,-1+SUMPRODUCT(MAX(ROW(E8:E$233)*(E240=E8:E$233)))))</f>
        <v/>
      </c>
      <c r="J240" s="24" t="str">
        <f aca="true">IF(OR(E240="",E240="!!!",F240="NEW"),"",COUNTBLANK(OFFSET(A$1,,,SUMPRODUCT(MAX(ROW(E$2:E240)*(E240=E$2:E240)))))-COUNTBLANK(OFFSET(A$1,,,SUMPRODUCT(MAX(ROW(E$1:E239)*(E2=E$1:E239))))))</f>
        <v/>
      </c>
      <c r="K240" s="24" t="str">
        <f aca="false">IF(OR(E240="",E240="!!!",F240="NEW"),"",INDEX(J$1:J239,SUMPRODUCT(MAX(ROW(E$1:E239)*(E240=E$1:E239)))))</f>
        <v/>
      </c>
      <c r="L240" s="21"/>
    </row>
    <row r="241" customFormat="false" ht="15" hidden="false" customHeight="false" outlineLevel="0" collapsed="false">
      <c r="A241" s="20" t="s">
        <v>1064</v>
      </c>
      <c r="E241" s="23"/>
      <c r="F241" s="25"/>
      <c r="G241" s="26"/>
      <c r="H241" s="27"/>
      <c r="I241" s="24" t="str">
        <f aca="false">IF(OR(E241="",E241="!!!",F241="NEW"),"",INDEX(B9:B$233,-1+SUMPRODUCT(MAX(ROW(E9:E$233)*(E241=E9:E$233)))))</f>
        <v/>
      </c>
      <c r="J241" s="24" t="str">
        <f aca="true">IF(OR(E241="",E241="!!!",F241="NEW"),"",COUNTBLANK(OFFSET(A$1,,,SUMPRODUCT(MAX(ROW(E$2:E241)*(E241=E$2:E241)))))-COUNTBLANK(OFFSET(A$1,,,SUMPRODUCT(MAX(ROW(E$1:E240)*(E2=E$1:E240))))))</f>
        <v/>
      </c>
      <c r="K241" s="24" t="str">
        <f aca="false">IF(OR(E241="",E241="!!!",F241="NEW"),"",INDEX(J$1:J240,SUMPRODUCT(MAX(ROW(E$1:E240)*(E241=E$1:E240)))))</f>
        <v/>
      </c>
      <c r="L241" s="21"/>
    </row>
    <row r="242" customFormat="false" ht="15" hidden="false" customHeight="false" outlineLevel="0" collapsed="false">
      <c r="A242" s="20" t="s">
        <v>1109</v>
      </c>
      <c r="E242" s="23"/>
      <c r="F242" s="25"/>
      <c r="G242" s="26"/>
      <c r="H242" s="27"/>
      <c r="I242" s="24" t="str">
        <f aca="false">IF(OR(E242="",E242="!!!",F242="NEW"),"",INDEX(B10:B$233,-1+SUMPRODUCT(MAX(ROW(E10:E$233)*(E242=E10:E$233)))))</f>
        <v/>
      </c>
      <c r="J242" s="24" t="str">
        <f aca="true">IF(OR(E242="",E242="!!!",F242="NEW"),"",COUNTBLANK(OFFSET(A$1,,,SUMPRODUCT(MAX(ROW(E$2:E242)*(E242=E$2:E242)))))-COUNTBLANK(OFFSET(A$1,,,SUMPRODUCT(MAX(ROW(E$1:E241)*(E2=E$1:E241))))))</f>
        <v/>
      </c>
      <c r="K242" s="24" t="str">
        <f aca="false">IF(OR(E242="",E242="!!!",F242="NEW"),"",INDEX(J$1:J241,SUMPRODUCT(MAX(ROW(E$1:E241)*(E242=E$1:E241)))))</f>
        <v/>
      </c>
      <c r="L242" s="21"/>
    </row>
    <row r="243" customFormat="false" ht="15" hidden="false" customHeight="false" outlineLevel="0" collapsed="false">
      <c r="A243" s="20" t="s">
        <v>1250</v>
      </c>
      <c r="B243" s="22" t="s">
        <v>1073</v>
      </c>
      <c r="C243" s="22" t="s">
        <v>1150</v>
      </c>
      <c r="D243" s="22" t="s">
        <v>1060</v>
      </c>
      <c r="E243" s="23" t="s">
        <v>1250</v>
      </c>
      <c r="F243" s="23" t="s">
        <v>1062</v>
      </c>
      <c r="G243" s="23" t="s">
        <v>1172</v>
      </c>
      <c r="H243" s="23"/>
      <c r="I243" s="24" t="str">
        <f aca="false">IF(OR(E243="",E243="!!!",F243="NEW"),"",INDEX(B11:B$233,-1+SUMPRODUCT(MAX(ROW(E11:E$233)*(E243=E11:E$233)))))</f>
        <v/>
      </c>
      <c r="J243" s="24" t="str">
        <f aca="true">IF(OR(E243="",E243="!!!",F243="NEW"),"",COUNTBLANK(OFFSET(A$1,,,SUMPRODUCT(MAX(ROW(E$2:E243)*(E243=E$2:E243)))))-COUNTBLANK(OFFSET(A$1,,,SUMPRODUCT(MAX(ROW(E$1:E242)*(E2=E$1:E242))))))</f>
        <v/>
      </c>
      <c r="K243" s="24" t="str">
        <f aca="false">IF(OR(E243="",E243="!!!",F243="NEW"),"",INDEX(J$1:J242,SUMPRODUCT(MAX(ROW(E$1:E242)*(E243=E$1:E242)))))</f>
        <v/>
      </c>
      <c r="L243" s="21"/>
    </row>
    <row r="244" customFormat="false" ht="15" hidden="false" customHeight="false" outlineLevel="0" collapsed="false">
      <c r="A244" s="20" t="s">
        <v>1064</v>
      </c>
      <c r="E244" s="23"/>
      <c r="F244" s="25"/>
      <c r="G244" s="26"/>
      <c r="H244" s="27"/>
      <c r="I244" s="24" t="str">
        <f aca="false">IF(OR(E244="",E244="!!!",F244="NEW"),"",INDEX(B12:B$233,-1+SUMPRODUCT(MAX(ROW(E12:E$233)*(E244=E12:E$233)))))</f>
        <v/>
      </c>
      <c r="J244" s="24" t="str">
        <f aca="true">IF(OR(E244="",E244="!!!",F244="NEW"),"",COUNTBLANK(OFFSET(A$1,,,SUMPRODUCT(MAX(ROW(E$2:E244)*(E244=E$2:E244)))))-COUNTBLANK(OFFSET(A$1,,,SUMPRODUCT(MAX(ROW(E$1:E243)*(E2=E$1:E243))))))</f>
        <v/>
      </c>
      <c r="K244" s="24" t="str">
        <f aca="false">IF(OR(E244="",E244="!!!",F244="NEW"),"",INDEX(J$1:J243,SUMPRODUCT(MAX(ROW(E$1:E243)*(E244=E$1:E243)))))</f>
        <v/>
      </c>
      <c r="L244" s="21"/>
    </row>
    <row r="245" customFormat="false" ht="15" hidden="false" customHeight="false" outlineLevel="0" collapsed="false">
      <c r="A245" s="20" t="s">
        <v>1109</v>
      </c>
      <c r="E245" s="23"/>
      <c r="F245" s="25"/>
      <c r="G245" s="26"/>
      <c r="H245" s="27"/>
      <c r="I245" s="24" t="str">
        <f aca="false">IF(OR(E245="",E245="!!!",F245="NEW"),"",INDEX(B13:B$233,-1+SUMPRODUCT(MAX(ROW(E13:E$233)*(E245=E13:E$233)))))</f>
        <v/>
      </c>
      <c r="J245" s="24" t="str">
        <f aca="true">IF(OR(E245="",E245="!!!",F245="NEW"),"",COUNTBLANK(OFFSET(A$1,,,SUMPRODUCT(MAX(ROW(E$2:E245)*(E245=E$2:E245)))))-COUNTBLANK(OFFSET(A$1,,,SUMPRODUCT(MAX(ROW(E$1:E244)*(E2=E$1:E244))))))</f>
        <v/>
      </c>
      <c r="K245" s="24" t="str">
        <f aca="false">IF(OR(E245="",E245="!!!",F245="NEW"),"",INDEX(J$1:J244,SUMPRODUCT(MAX(ROW(E$1:E244)*(E245=E$1:E244)))))</f>
        <v/>
      </c>
      <c r="L245" s="21"/>
    </row>
    <row r="246" customFormat="false" ht="15" hidden="false" customHeight="false" outlineLevel="0" collapsed="false">
      <c r="A246" s="20" t="s">
        <v>1251</v>
      </c>
      <c r="E246" s="23"/>
      <c r="F246" s="25"/>
      <c r="G246" s="26"/>
      <c r="H246" s="27"/>
      <c r="I246" s="24" t="str">
        <f aca="false">IF(OR(E246="",E246="!!!",F246="NEW"),"",INDEX(B14:B$233,-1+SUMPRODUCT(MAX(ROW(E14:E$233)*(E246=E14:E$233)))))</f>
        <v/>
      </c>
      <c r="J246" s="24" t="str">
        <f aca="true">IF(OR(E246="",E246="!!!",F246="NEW"),"",COUNTBLANK(OFFSET(A$1,,,SUMPRODUCT(MAX(ROW(E$2:E246)*(E246=E$2:E246)))))-COUNTBLANK(OFFSET(A$1,,,SUMPRODUCT(MAX(ROW(E$1:E245)*(E2=E$1:E245))))))</f>
        <v/>
      </c>
      <c r="K246" s="24" t="str">
        <f aca="false">IF(OR(E246="",E246="!!!",F246="NEW"),"",INDEX(J$1:J245,SUMPRODUCT(MAX(ROW(E$1:E245)*(E246=E$1:E245)))))</f>
        <v/>
      </c>
      <c r="L246" s="21"/>
    </row>
    <row r="247" customFormat="false" ht="15" hidden="false" customHeight="false" outlineLevel="0" collapsed="false">
      <c r="A247" s="20" t="s">
        <v>1252</v>
      </c>
      <c r="B247" s="22" t="s">
        <v>1067</v>
      </c>
      <c r="C247" s="22" t="s">
        <v>1150</v>
      </c>
      <c r="D247" s="22" t="s">
        <v>1060</v>
      </c>
      <c r="E247" s="23" t="s">
        <v>1252</v>
      </c>
      <c r="F247" s="23" t="s">
        <v>1062</v>
      </c>
      <c r="G247" s="23" t="s">
        <v>1253</v>
      </c>
      <c r="H247" s="23"/>
      <c r="I247" s="24" t="str">
        <f aca="false">IF(OR(E247="",E247="!!!",F247="NEW"),"",INDEX(B15:B$233,-1+SUMPRODUCT(MAX(ROW(E15:E$233)*(E247=E15:E$233)))))</f>
        <v/>
      </c>
      <c r="J247" s="24" t="str">
        <f aca="true">IF(OR(E247="",E247="!!!",F247="NEW"),"",COUNTBLANK(OFFSET(A$1,,,SUMPRODUCT(MAX(ROW(E$2:E247)*(E247=E$2:E247)))))-COUNTBLANK(OFFSET(A$1,,,SUMPRODUCT(MAX(ROW(E$1:E246)*(E2=E$1:E246))))))</f>
        <v/>
      </c>
      <c r="K247" s="24" t="str">
        <f aca="false">IF(OR(E247="",E247="!!!",F247="NEW"),"",INDEX(J$1:J246,SUMPRODUCT(MAX(ROW(E$1:E246)*(E247=E$1:E246)))))</f>
        <v/>
      </c>
      <c r="L247" s="21"/>
    </row>
    <row r="248" customFormat="false" ht="15" hidden="false" customHeight="false" outlineLevel="0" collapsed="false">
      <c r="A248" s="20" t="s">
        <v>1076</v>
      </c>
      <c r="E248" s="23"/>
      <c r="F248" s="25"/>
      <c r="G248" s="26"/>
      <c r="H248" s="27"/>
      <c r="I248" s="24" t="str">
        <f aca="false">IF(OR(E248="",E248="!!!",F248="NEW"),"",INDEX(B16:B$233,-1+SUMPRODUCT(MAX(ROW(E16:E$233)*(E248=E16:E$233)))))</f>
        <v/>
      </c>
      <c r="J248" s="24" t="str">
        <f aca="true">IF(OR(E248="",E248="!!!",F248="NEW"),"",COUNTBLANK(OFFSET(A$1,,,SUMPRODUCT(MAX(ROW(E$2:E248)*(E248=E$2:E248)))))-COUNTBLANK(OFFSET(A$1,,,SUMPRODUCT(MAX(ROW(E$1:E247)*(E2=E$1:E247))))))</f>
        <v/>
      </c>
      <c r="K248" s="24" t="str">
        <f aca="false">IF(OR(E248="",E248="!!!",F248="NEW"),"",INDEX(J$1:J247,SUMPRODUCT(MAX(ROW(E$1:E247)*(E248=E$1:E247)))))</f>
        <v/>
      </c>
      <c r="L248" s="21"/>
    </row>
    <row r="249" customFormat="false" ht="15" hidden="false" customHeight="false" outlineLevel="0" collapsed="false">
      <c r="A249" s="20" t="s">
        <v>587</v>
      </c>
      <c r="E249" s="23"/>
      <c r="F249" s="25"/>
      <c r="G249" s="26"/>
      <c r="H249" s="27"/>
      <c r="I249" s="24" t="str">
        <f aca="false">IF(OR(E249="",E249="!!!",F249="NEW"),"",INDEX(B17:B$233,-1+SUMPRODUCT(MAX(ROW(E17:E$233)*(E249=E17:E$233)))))</f>
        <v/>
      </c>
      <c r="J249" s="24" t="str">
        <f aca="true">IF(OR(E249="",E249="!!!",F249="NEW"),"",COUNTBLANK(OFFSET(A$1,,,SUMPRODUCT(MAX(ROW(E$2:E249)*(E249=E$2:E249)))))-COUNTBLANK(OFFSET(A$1,,,SUMPRODUCT(MAX(ROW(E$1:E248)*(E2=E$1:E248))))))</f>
        <v/>
      </c>
      <c r="K249" s="24" t="str">
        <f aca="false">IF(OR(E249="",E249="!!!",F249="NEW"),"",INDEX(J$1:J248,SUMPRODUCT(MAX(ROW(E$1:E248)*(E249=E$1:E248)))))</f>
        <v/>
      </c>
      <c r="L249" s="21"/>
    </row>
    <row r="250" customFormat="false" ht="15" hidden="false" customHeight="false" outlineLevel="0" collapsed="false">
      <c r="A250" s="20" t="s">
        <v>1089</v>
      </c>
      <c r="E250" s="23"/>
      <c r="F250" s="25"/>
      <c r="G250" s="26"/>
      <c r="H250" s="27"/>
      <c r="I250" s="24" t="str">
        <f aca="false">IF(OR(E250="",E250="!!!",F250="NEW"),"",INDEX(B18:B$233,-1+SUMPRODUCT(MAX(ROW(E18:E$233)*(E250=E18:E$233)))))</f>
        <v/>
      </c>
      <c r="J250" s="24" t="str">
        <f aca="true">IF(OR(E250="",E250="!!!",F250="NEW"),"",COUNTBLANK(OFFSET(A$1,,,SUMPRODUCT(MAX(ROW(E$2:E250)*(E250=E$2:E250)))))-COUNTBLANK(OFFSET(A$1,,,SUMPRODUCT(MAX(ROW(E$1:E249)*(E2=E$1:E249))))))</f>
        <v/>
      </c>
      <c r="K250" s="24" t="str">
        <f aca="false">IF(OR(E250="",E250="!!!",F250="NEW"),"",INDEX(J$1:J249,SUMPRODUCT(MAX(ROW(E$1:E249)*(E250=E$1:E249)))))</f>
        <v/>
      </c>
      <c r="L250" s="21"/>
    </row>
    <row r="251" customFormat="false" ht="15" hidden="false" customHeight="false" outlineLevel="0" collapsed="false">
      <c r="A251" s="20" t="s">
        <v>1186</v>
      </c>
      <c r="B251" s="22" t="s">
        <v>1086</v>
      </c>
      <c r="C251" s="22" t="s">
        <v>1082</v>
      </c>
      <c r="D251" s="22" t="s">
        <v>1060</v>
      </c>
      <c r="E251" s="23" t="s">
        <v>1187</v>
      </c>
      <c r="F251" s="23" t="s">
        <v>1083</v>
      </c>
      <c r="G251" s="23" t="s">
        <v>1084</v>
      </c>
      <c r="H251" s="23"/>
      <c r="I251" s="28" t="e">
        <f aca="false">IF(OR(E251="",E251="!!!",F251="NEW"),"",INDEX(B19:B$233,-1+SUMPRODUCT(MAX(ROW(E19:E$233)*(E251=E19:E$233)))))</f>
        <v>#REF!</v>
      </c>
      <c r="J251" s="24" t="n">
        <f aca="true">IF(OR(E251="",E251="!!!",F251="NEW"),"",COUNTBLANK(OFFSET(A$1,,,SUMPRODUCT(MAX(ROW(E$2:E251)*(E251=E$2:E251)))))-COUNTBLANK(OFFSET(A$1,,,SUMPRODUCT(MAX(ROW(E$1:E250)*(E2=E$1:E250))))))</f>
        <v>0</v>
      </c>
      <c r="K251" s="24" t="n">
        <f aca="false">IF(OR(E251="",E251="!!!",F251="NEW"),"",INDEX(J$1:J250,SUMPRODUCT(MAX(ROW(E$1:E250)*(E251=E$1:E250)))))</f>
        <v>0</v>
      </c>
      <c r="L251" s="21"/>
    </row>
    <row r="252" customFormat="false" ht="15" hidden="false" customHeight="false" outlineLevel="0" collapsed="false">
      <c r="A252" s="20" t="s">
        <v>1135</v>
      </c>
      <c r="E252" s="23"/>
      <c r="F252" s="25"/>
      <c r="G252" s="26"/>
      <c r="H252" s="27"/>
      <c r="I252" s="24" t="str">
        <f aca="false">IF(OR(E252="",E252="!!!",F252="NEW"),"",INDEX(B20:B$233,-1+SUMPRODUCT(MAX(ROW(E20:E$233)*(E252=E20:E$233)))))</f>
        <v/>
      </c>
      <c r="J252" s="24" t="str">
        <f aca="true">IF(OR(E252="",E252="!!!",F252="NEW"),"",COUNTBLANK(OFFSET(A$1,,,SUMPRODUCT(MAX(ROW(E$2:E252)*(E252=E$2:E252)))))-COUNTBLANK(OFFSET(A$1,,,SUMPRODUCT(MAX(ROW(E$1:E251)*(E2=E$1:E251))))))</f>
        <v/>
      </c>
      <c r="K252" s="24" t="str">
        <f aca="false">IF(OR(E252="",E252="!!!",F252="NEW"),"",INDEX(J$1:J251,SUMPRODUCT(MAX(ROW(E$1:E251)*(E252=E$1:E251)))))</f>
        <v/>
      </c>
      <c r="L252" s="21"/>
    </row>
    <row r="253" customFormat="false" ht="15" hidden="false" customHeight="false" outlineLevel="0" collapsed="false">
      <c r="A253" s="20" t="s">
        <v>1254</v>
      </c>
      <c r="E253" s="23"/>
      <c r="F253" s="25"/>
      <c r="G253" s="26"/>
      <c r="H253" s="27"/>
      <c r="I253" s="24" t="str">
        <f aca="false">IF(OR(E253="",E253="!!!",F253="NEW"),"",INDEX(B21:B$233,-1+SUMPRODUCT(MAX(ROW(E21:E$233)*(E253=E21:E$233)))))</f>
        <v/>
      </c>
      <c r="J253" s="24" t="str">
        <f aca="true">IF(OR(E253="",E253="!!!",F253="NEW"),"",COUNTBLANK(OFFSET(A$1,,,SUMPRODUCT(MAX(ROW(E$2:E253)*(E253=E$2:E253)))))-COUNTBLANK(OFFSET(A$1,,,SUMPRODUCT(MAX(ROW(E$1:E252)*(E2=E$1:E252))))))</f>
        <v/>
      </c>
      <c r="K253" s="24" t="str">
        <f aca="false">IF(OR(E253="",E253="!!!",F253="NEW"),"",INDEX(J$1:J252,SUMPRODUCT(MAX(ROW(E$1:E252)*(E253=E$1:E252)))))</f>
        <v/>
      </c>
      <c r="L253" s="21"/>
    </row>
    <row r="254" customFormat="false" ht="15" hidden="false" customHeight="false" outlineLevel="0" collapsed="false">
      <c r="A254" s="20" t="s">
        <v>1095</v>
      </c>
      <c r="E254" s="23"/>
      <c r="F254" s="25"/>
      <c r="G254" s="26"/>
      <c r="H254" s="27"/>
      <c r="I254" s="24" t="str">
        <f aca="false">IF(OR(E254="",E254="!!!",F254="NEW"),"",INDEX(B22:B$233,-1+SUMPRODUCT(MAX(ROW(E22:E$233)*(E254=E22:E$233)))))</f>
        <v/>
      </c>
      <c r="J254" s="24" t="str">
        <f aca="true">IF(OR(E254="",E254="!!!",F254="NEW"),"",COUNTBLANK(OFFSET(A$1,,,SUMPRODUCT(MAX(ROW(E$2:E254)*(E254=E$2:E254)))))-COUNTBLANK(OFFSET(A$1,,,SUMPRODUCT(MAX(ROW(E$1:E253)*(E2=E$1:E253))))))</f>
        <v/>
      </c>
      <c r="K254" s="24" t="str">
        <f aca="false">IF(OR(E254="",E254="!!!",F254="NEW"),"",INDEX(J$1:J253,SUMPRODUCT(MAX(ROW(E$1:E253)*(E254=E$1:E253)))))</f>
        <v/>
      </c>
      <c r="L254" s="21"/>
    </row>
    <row r="255" customFormat="false" ht="15" hidden="false" customHeight="false" outlineLevel="0" collapsed="false">
      <c r="A255" s="20" t="s">
        <v>197</v>
      </c>
      <c r="E255" s="23"/>
      <c r="F255" s="25"/>
      <c r="G255" s="26"/>
      <c r="H255" s="27"/>
      <c r="I255" s="24" t="str">
        <f aca="false">IF(OR(E255="",E255="!!!",F255="NEW"),"",INDEX(B23:B$233,-1+SUMPRODUCT(MAX(ROW(E23:E$233)*(E255=E23:E$233)))))</f>
        <v/>
      </c>
      <c r="J255" s="24" t="str">
        <f aca="true">IF(OR(E255="",E255="!!!",F255="NEW"),"",COUNTBLANK(OFFSET(A$1,,,SUMPRODUCT(MAX(ROW(E$2:E255)*(E255=E$2:E255)))))-COUNTBLANK(OFFSET(A$1,,,SUMPRODUCT(MAX(ROW(E$1:E254)*(E2=E$1:E254))))))</f>
        <v/>
      </c>
      <c r="K255" s="24" t="str">
        <f aca="false">IF(OR(E255="",E255="!!!",F255="NEW"),"",INDEX(J$1:J254,SUMPRODUCT(MAX(ROW(E$1:E254)*(E255=E$1:E254)))))</f>
        <v/>
      </c>
      <c r="L255" s="21"/>
    </row>
    <row r="256" customFormat="false" ht="15" hidden="false" customHeight="false" outlineLevel="0" collapsed="false">
      <c r="A256" s="20" t="s">
        <v>1064</v>
      </c>
      <c r="E256" s="23"/>
      <c r="F256" s="25"/>
      <c r="G256" s="26"/>
      <c r="H256" s="27"/>
      <c r="I256" s="24" t="str">
        <f aca="false">IF(OR(E256="",E256="!!!",F256="NEW"),"",INDEX(B24:B$233,-1+SUMPRODUCT(MAX(ROW(E24:E$233)*(E256=E24:E$233)))))</f>
        <v/>
      </c>
      <c r="J256" s="24" t="str">
        <f aca="true">IF(OR(E256="",E256="!!!",F256="NEW"),"",COUNTBLANK(OFFSET(A$1,,,SUMPRODUCT(MAX(ROW(E$2:E256)*(E256=E$2:E256)))))-COUNTBLANK(OFFSET(A$1,,,SUMPRODUCT(MAX(ROW(E$1:E255)*(E2=E$1:E255))))))</f>
        <v/>
      </c>
      <c r="K256" s="24" t="str">
        <f aca="false">IF(OR(E256="",E256="!!!",F256="NEW"),"",INDEX(J$1:J255,SUMPRODUCT(MAX(ROW(E$1:E255)*(E256=E$1:E255)))))</f>
        <v/>
      </c>
      <c r="L256" s="21"/>
    </row>
    <row r="257" customFormat="false" ht="15" hidden="false" customHeight="false" outlineLevel="0" collapsed="false">
      <c r="A257" s="20" t="s">
        <v>1255</v>
      </c>
      <c r="E257" s="23"/>
      <c r="F257" s="25"/>
      <c r="G257" s="26"/>
      <c r="H257" s="27"/>
      <c r="I257" s="24" t="str">
        <f aca="false">IF(OR(E257="",E257="!!!",F257="NEW"),"",INDEX(B25:B$233,-1+SUMPRODUCT(MAX(ROW(E25:E$233)*(E257=E25:E$233)))))</f>
        <v/>
      </c>
      <c r="J257" s="24" t="str">
        <f aca="true">IF(OR(E257="",E257="!!!",F257="NEW"),"",COUNTBLANK(OFFSET(A$1,,,SUMPRODUCT(MAX(ROW(E$2:E257)*(E257=E$2:E257)))))-COUNTBLANK(OFFSET(A$1,,,SUMPRODUCT(MAX(ROW(E$1:E256)*(E2=E$1:E256))))))</f>
        <v/>
      </c>
      <c r="K257" s="24" t="str">
        <f aca="false">IF(OR(E257="",E257="!!!",F257="NEW"),"",INDEX(J$1:J256,SUMPRODUCT(MAX(ROW(E$1:E256)*(E257=E$1:E256)))))</f>
        <v/>
      </c>
      <c r="L257" s="21"/>
    </row>
    <row r="258" customFormat="false" ht="15" hidden="false" customHeight="false" outlineLevel="0" collapsed="false">
      <c r="A258" s="20" t="s">
        <v>1256</v>
      </c>
      <c r="B258" s="22" t="s">
        <v>1067</v>
      </c>
      <c r="C258" s="22" t="s">
        <v>1160</v>
      </c>
      <c r="E258" s="23"/>
      <c r="F258" s="25"/>
      <c r="G258" s="26"/>
      <c r="H258" s="27"/>
      <c r="I258" s="24" t="str">
        <f aca="false">IF(OR(E258="",E258="!!!",F258="NEW"),"",INDEX(B26:B$233,-1+SUMPRODUCT(MAX(ROW(E26:E$233)*(E258=E26:E$233)))))</f>
        <v/>
      </c>
      <c r="J258" s="24" t="str">
        <f aca="true">IF(OR(E258="",E258="!!!",F258="NEW"),"",COUNTBLANK(OFFSET(A$1,,,SUMPRODUCT(MAX(ROW(E$2:E258)*(E258=E$2:E258)))))-COUNTBLANK(OFFSET(A$1,,,SUMPRODUCT(MAX(ROW(E$1:E257)*(E2=E$1:E257))))))</f>
        <v/>
      </c>
      <c r="K258" s="24" t="str">
        <f aca="false">IF(OR(E258="",E258="!!!",F258="NEW"),"",INDEX(J$1:J257,SUMPRODUCT(MAX(ROW(E$1:E257)*(E258=E$1:E257)))))</f>
        <v/>
      </c>
      <c r="L258" s="21"/>
    </row>
    <row r="259" customFormat="false" ht="15" hidden="false" customHeight="false" outlineLevel="0" collapsed="false">
      <c r="A259" s="20" t="s">
        <v>1215</v>
      </c>
      <c r="E259" s="23"/>
      <c r="F259" s="25"/>
      <c r="G259" s="26"/>
      <c r="H259" s="27"/>
      <c r="I259" s="24" t="str">
        <f aca="false">IF(OR(E259="",E259="!!!",F259="NEW"),"",INDEX(B27:B$233,-1+SUMPRODUCT(MAX(ROW(E27:E$233)*(E259=E27:E$233)))))</f>
        <v/>
      </c>
      <c r="J259" s="24" t="str">
        <f aca="true">IF(OR(E259="",E259="!!!",F259="NEW"),"",COUNTBLANK(OFFSET(A$1,,,SUMPRODUCT(MAX(ROW(E$2:E259)*(E259=E$2:E259)))))-COUNTBLANK(OFFSET(A$1,,,SUMPRODUCT(MAX(ROW(E$1:E258)*(E2=E$1:E258))))))</f>
        <v/>
      </c>
      <c r="K259" s="24" t="str">
        <f aca="false">IF(OR(E259="",E259="!!!",F259="NEW"),"",INDEX(J$1:J258,SUMPRODUCT(MAX(ROW(E$1:E258)*(E259=E$1:E258)))))</f>
        <v/>
      </c>
      <c r="L259" s="21"/>
    </row>
    <row r="260" customFormat="false" ht="15" hidden="false" customHeight="false" outlineLevel="0" collapsed="false">
      <c r="A260" s="20" t="s">
        <v>1189</v>
      </c>
      <c r="B260" s="22" t="s">
        <v>1098</v>
      </c>
      <c r="C260" s="22" t="s">
        <v>1099</v>
      </c>
      <c r="D260" s="22" t="s">
        <v>1060</v>
      </c>
      <c r="E260" s="23" t="s">
        <v>1187</v>
      </c>
      <c r="F260" s="23" t="s">
        <v>1083</v>
      </c>
      <c r="G260" s="23" t="s">
        <v>1084</v>
      </c>
      <c r="H260" s="23"/>
      <c r="I260" s="28" t="e">
        <f aca="false">IF(OR(E260="",E260="!!!",F260="NEW"),"",INDEX(B28:B$233,-1+SUMPRODUCT(MAX(ROW(E28:E$233)*(E260=E28:E$233)))))</f>
        <v>#REF!</v>
      </c>
      <c r="J260" s="24" t="n">
        <f aca="true">IF(OR(E260="",E260="!!!",F260="NEW"),"",COUNTBLANK(OFFSET(A$1,,,SUMPRODUCT(MAX(ROW(E$2:E260)*(E260=E$2:E260)))))-COUNTBLANK(OFFSET(A$1,,,SUMPRODUCT(MAX(ROW(E$1:E259)*(E2=E$1:E259))))))</f>
        <v>0</v>
      </c>
      <c r="K260" s="24" t="n">
        <f aca="false">IF(OR(E260="",E260="!!!",F260="NEW"),"",INDEX(J$1:J259,SUMPRODUCT(MAX(ROW(E$1:E259)*(E260=E$1:E259)))))</f>
        <v>0</v>
      </c>
      <c r="L260" s="21"/>
    </row>
    <row r="261" customFormat="false" ht="15" hidden="false" customHeight="false" outlineLevel="0" collapsed="false">
      <c r="A261" s="20" t="s">
        <v>1210</v>
      </c>
      <c r="B261" s="22" t="s">
        <v>1197</v>
      </c>
      <c r="C261" s="22" t="s">
        <v>1059</v>
      </c>
      <c r="D261" s="22" t="s">
        <v>1060</v>
      </c>
      <c r="E261" s="23" t="s">
        <v>1257</v>
      </c>
      <c r="F261" s="23" t="s">
        <v>1181</v>
      </c>
      <c r="G261" s="23" t="s">
        <v>1182</v>
      </c>
      <c r="H261" s="23" t="s">
        <v>1182</v>
      </c>
      <c r="I261" s="28" t="e">
        <f aca="false">IF(OR(E261="",E261="!!!",F261="NEW"),"",INDEX(B29:B$233,-1+SUMPRODUCT(MAX(ROW(E29:E$233)*(E261=E29:E$233)))))</f>
        <v>#VALUE!</v>
      </c>
      <c r="J261" s="24" t="n">
        <f aca="true">IF(OR(E261="",E261="!!!",F261="NEW"),"",COUNTBLANK(OFFSET(A$1,,,SUMPRODUCT(MAX(ROW(E$2:E261)*(E261=E$2:E261)))))-COUNTBLANK(OFFSET(A$1,,,SUMPRODUCT(MAX(ROW(E$1:E260)*(E2=E$1:E260))))))</f>
        <v>0</v>
      </c>
      <c r="K261" s="28" t="e">
        <f aca="false">IF(OR(E261="",E261="!!!",F261="NEW"),"",INDEX(J$1:J260,SUMPRODUCT(MAX(ROW(E$1:E260)*(E261=E$1:E260)))))</f>
        <v>#VALUE!</v>
      </c>
      <c r="L261" s="21"/>
    </row>
    <row r="262" customFormat="false" ht="15" hidden="false" customHeight="false" outlineLevel="0" collapsed="false">
      <c r="A262" s="20" t="s">
        <v>1135</v>
      </c>
      <c r="E262" s="23"/>
      <c r="F262" s="25"/>
      <c r="G262" s="26"/>
      <c r="H262" s="27"/>
      <c r="I262" s="24" t="str">
        <f aca="false">IF(OR(E262="",E262="!!!",F262="NEW"),"",INDEX(B30:B$233,-1+SUMPRODUCT(MAX(ROW(E30:E$233)*(E262=E30:E$233)))))</f>
        <v/>
      </c>
      <c r="J262" s="24" t="str">
        <f aca="true">IF(OR(E262="",E262="!!!",F262="NEW"),"",COUNTBLANK(OFFSET(A$1,,,SUMPRODUCT(MAX(ROW(E$2:E262)*(E262=E$2:E262)))))-COUNTBLANK(OFFSET(A$1,,,SUMPRODUCT(MAX(ROW(E$1:E261)*(E2=E$1:E261))))))</f>
        <v/>
      </c>
      <c r="K262" s="24" t="str">
        <f aca="false">IF(OR(E262="",E262="!!!",F262="NEW"),"",INDEX(J$1:J261,SUMPRODUCT(MAX(ROW(E$1:E261)*(E262=E$1:E261)))))</f>
        <v/>
      </c>
      <c r="L262" s="21"/>
    </row>
    <row r="263" customFormat="false" ht="15" hidden="false" customHeight="false" outlineLevel="0" collapsed="false">
      <c r="A263" s="20" t="s">
        <v>1258</v>
      </c>
      <c r="E263" s="23"/>
      <c r="F263" s="25"/>
      <c r="G263" s="26"/>
      <c r="H263" s="27"/>
      <c r="I263" s="24" t="str">
        <f aca="false">IF(OR(E263="",E263="!!!",F263="NEW"),"",INDEX(B31:B$233,-1+SUMPRODUCT(MAX(ROW(E31:E$233)*(E263=E31:E$233)))))</f>
        <v/>
      </c>
      <c r="J263" s="24" t="str">
        <f aca="true">IF(OR(E263="",E263="!!!",F263="NEW"),"",COUNTBLANK(OFFSET(A$1,,,SUMPRODUCT(MAX(ROW(E$2:E263)*(E263=E$2:E263)))))-COUNTBLANK(OFFSET(A$1,,,SUMPRODUCT(MAX(ROW(E$1:E262)*(E2=E$1:E262))))))</f>
        <v/>
      </c>
      <c r="K263" s="24" t="str">
        <f aca="false">IF(OR(E263="",E263="!!!",F263="NEW"),"",INDEX(J$1:J262,SUMPRODUCT(MAX(ROW(E$1:E262)*(E263=E$1:E262)))))</f>
        <v/>
      </c>
      <c r="L263" s="21"/>
    </row>
    <row r="264" customFormat="false" ht="15" hidden="false" customHeight="false" outlineLevel="0" collapsed="false">
      <c r="A264" s="20" t="s">
        <v>1213</v>
      </c>
      <c r="E264" s="23"/>
      <c r="F264" s="25"/>
      <c r="G264" s="26"/>
      <c r="H264" s="27"/>
      <c r="I264" s="24" t="str">
        <f aca="false">IF(OR(E264="",E264="!!!",F264="NEW"),"",INDEX(B32:B$233,-1+SUMPRODUCT(MAX(ROW(E32:E$233)*(E264=E32:E$233)))))</f>
        <v/>
      </c>
      <c r="J264" s="24" t="str">
        <f aca="true">IF(OR(E264="",E264="!!!",F264="NEW"),"",COUNTBLANK(OFFSET(A$1,,,SUMPRODUCT(MAX(ROW(E$2:E264)*(E264=E$2:E264)))))-COUNTBLANK(OFFSET(A$1,,,SUMPRODUCT(MAX(ROW(E$1:E263)*(E2=E$1:E263))))))</f>
        <v/>
      </c>
      <c r="K264" s="24" t="str">
        <f aca="false">IF(OR(E264="",E264="!!!",F264="NEW"),"",INDEX(J$1:J263,SUMPRODUCT(MAX(ROW(E$1:E263)*(E264=E$1:E263)))))</f>
        <v/>
      </c>
      <c r="L264" s="21"/>
    </row>
    <row r="265" customFormat="false" ht="15" hidden="false" customHeight="false" outlineLevel="0" collapsed="false">
      <c r="A265" s="20" t="s">
        <v>1259</v>
      </c>
      <c r="B265" s="22" t="s">
        <v>1107</v>
      </c>
      <c r="C265" s="22" t="s">
        <v>1160</v>
      </c>
      <c r="E265" s="23"/>
      <c r="F265" s="25"/>
      <c r="G265" s="26"/>
      <c r="H265" s="27"/>
      <c r="I265" s="24" t="str">
        <f aca="false">IF(OR(E265="",E265="!!!",F265="NEW"),"",INDEX(B33:B$233,-1+SUMPRODUCT(MAX(ROW(E33:E$233)*(E265=E33:E$233)))))</f>
        <v/>
      </c>
      <c r="J265" s="24" t="str">
        <f aca="true">IF(OR(E265="",E265="!!!",F265="NEW"),"",COUNTBLANK(OFFSET(A$1,,,SUMPRODUCT(MAX(ROW(E$2:E265)*(E265=E$2:E265)))))-COUNTBLANK(OFFSET(A$1,,,SUMPRODUCT(MAX(ROW(E$1:E264)*(E2=E$1:E264))))))</f>
        <v/>
      </c>
      <c r="K265" s="24" t="str">
        <f aca="false">IF(OR(E265="",E265="!!!",F265="NEW"),"",INDEX(J$1:J264,SUMPRODUCT(MAX(ROW(E$1:E264)*(E265=E$1:E264)))))</f>
        <v/>
      </c>
      <c r="L265" s="21"/>
    </row>
    <row r="266" customFormat="false" ht="15" hidden="false" customHeight="false" outlineLevel="0" collapsed="false">
      <c r="A266" s="20" t="s">
        <v>1128</v>
      </c>
      <c r="E266" s="23"/>
      <c r="F266" s="25"/>
      <c r="G266" s="26"/>
      <c r="H266" s="27"/>
      <c r="I266" s="24" t="str">
        <f aca="false">IF(OR(E266="",E266="!!!",F266="NEW"),"",INDEX(B34:B$233,-1+SUMPRODUCT(MAX(ROW(E34:E$233)*(E266=E34:E$233)))))</f>
        <v/>
      </c>
      <c r="J266" s="24" t="str">
        <f aca="true">IF(OR(E266="",E266="!!!",F266="NEW"),"",COUNTBLANK(OFFSET(A$1,,,SUMPRODUCT(MAX(ROW(E$2:E266)*(E266=E$2:E266)))))-COUNTBLANK(OFFSET(A$1,,,SUMPRODUCT(MAX(ROW(E$1:E265)*(E2=E$1:E265))))))</f>
        <v/>
      </c>
      <c r="K266" s="24" t="str">
        <f aca="false">IF(OR(E266="",E266="!!!",F266="NEW"),"",INDEX(J$1:J265,SUMPRODUCT(MAX(ROW(E$1:E265)*(E266=E$1:E265)))))</f>
        <v/>
      </c>
      <c r="L266" s="21"/>
    </row>
    <row r="267" customFormat="false" ht="15" hidden="false" customHeight="false" outlineLevel="0" collapsed="false">
      <c r="A267" s="20" t="s">
        <v>1214</v>
      </c>
      <c r="B267" s="22" t="s">
        <v>1098</v>
      </c>
      <c r="C267" s="22" t="s">
        <v>1160</v>
      </c>
      <c r="E267" s="23"/>
      <c r="F267" s="25"/>
      <c r="G267" s="26"/>
      <c r="H267" s="27"/>
      <c r="I267" s="24" t="str">
        <f aca="false">IF(OR(E267="",E267="!!!",F267="NEW"),"",INDEX(B35:B$233,-1+SUMPRODUCT(MAX(ROW(E35:E$233)*(E267=E35:E$233)))))</f>
        <v/>
      </c>
      <c r="J267" s="24" t="str">
        <f aca="true">IF(OR(E267="",E267="!!!",F267="NEW"),"",COUNTBLANK(OFFSET(A$1,,,SUMPRODUCT(MAX(ROW(E$2:E267)*(E267=E$2:E267)))))-COUNTBLANK(OFFSET(A$1,,,SUMPRODUCT(MAX(ROW(E$1:E266)*(E2=E$1:E266))))))</f>
        <v/>
      </c>
      <c r="K267" s="24" t="str">
        <f aca="false">IF(OR(E267="",E267="!!!",F267="NEW"),"",INDEX(J$1:J266,SUMPRODUCT(MAX(ROW(E$1:E266)*(E267=E$1:E266)))))</f>
        <v/>
      </c>
      <c r="L267" s="21"/>
    </row>
    <row r="268" customFormat="false" ht="15" hidden="false" customHeight="false" outlineLevel="0" collapsed="false">
      <c r="A268" s="20" t="s">
        <v>923</v>
      </c>
      <c r="E268" s="23"/>
      <c r="F268" s="25"/>
      <c r="G268" s="26"/>
      <c r="H268" s="27"/>
      <c r="I268" s="24" t="str">
        <f aca="false">IF(OR(E268="",E268="!!!",F268="NEW"),"",INDEX(B36:B$233,-1+SUMPRODUCT(MAX(ROW(E36:E$233)*(E268=E36:E$233)))))</f>
        <v/>
      </c>
      <c r="J268" s="24" t="str">
        <f aca="true">IF(OR(E268="",E268="!!!",F268="NEW"),"",COUNTBLANK(OFFSET(A$1,,,SUMPRODUCT(MAX(ROW(E$2:E268)*(E268=E$2:E268)))))-COUNTBLANK(OFFSET(A$1,,,SUMPRODUCT(MAX(ROW(E$1:E267)*(E2=E$1:E267))))))</f>
        <v/>
      </c>
      <c r="K268" s="24" t="str">
        <f aca="false">IF(OR(E268="",E268="!!!",F268="NEW"),"",INDEX(J$1:J267,SUMPRODUCT(MAX(ROW(E$1:E267)*(E268=E$1:E267)))))</f>
        <v/>
      </c>
      <c r="L268" s="21"/>
    </row>
    <row r="269" customFormat="false" ht="15" hidden="false" customHeight="false" outlineLevel="0" collapsed="false">
      <c r="A269" s="20"/>
      <c r="L269" s="21"/>
    </row>
    <row r="270" customFormat="false" ht="15" hidden="false" customHeight="false" outlineLevel="0" collapsed="false">
      <c r="A270" s="20" t="s">
        <v>1260</v>
      </c>
      <c r="L270" s="21"/>
    </row>
    <row r="271" customFormat="false" ht="15" hidden="false" customHeight="false" outlineLevel="0" collapsed="false">
      <c r="A271" s="20" t="s">
        <v>1261</v>
      </c>
      <c r="B271" s="22" t="s">
        <v>1058</v>
      </c>
      <c r="C271" s="22" t="s">
        <v>1082</v>
      </c>
      <c r="D271" s="22" t="s">
        <v>1060</v>
      </c>
      <c r="E271" s="23"/>
      <c r="F271" s="23"/>
      <c r="G271" s="23"/>
      <c r="H271" s="23"/>
      <c r="I271" s="24" t="str">
        <f aca="false">IF(OR(E271="",E271="!!!",F271="NEW"),"",INDEX(B2:B$270,-1+SUMPRODUCT(MAX(ROW(E2:E$270)*(E271=E2:E$270)))))</f>
        <v/>
      </c>
      <c r="J271" s="24" t="str">
        <f aca="true">IF(OR(E271="",E271="!!!",F271="NEW"),"",COUNTBLANK(OFFSET(A$1,,,SUMPRODUCT(MAX(ROW(E$2:E271)*(E271=E$2:E271)))))-COUNTBLANK(OFFSET(A$1,,,SUMPRODUCT(MAX(ROW(E$1:E270)*(E2=E$1:E270))))))</f>
        <v/>
      </c>
      <c r="K271" s="24" t="str">
        <f aca="false">IF(OR(E271="",E271="!!!",F271="NEW"),"",INDEX(J$1:J270,SUMPRODUCT(MAX(ROW(E$1:E270)*(E271=E$1:E270)))))</f>
        <v/>
      </c>
      <c r="L271" s="21"/>
    </row>
    <row r="272" customFormat="false" ht="15" hidden="false" customHeight="false" outlineLevel="0" collapsed="false">
      <c r="A272" s="20" t="s">
        <v>1092</v>
      </c>
      <c r="E272" s="23"/>
      <c r="F272" s="25"/>
      <c r="G272" s="26"/>
      <c r="H272" s="27"/>
      <c r="I272" s="24" t="str">
        <f aca="false">IF(OR(E272="",E272="!!!",F272="NEW"),"",INDEX(B3:B$270,-1+SUMPRODUCT(MAX(ROW(E3:E$270)*(E272=E3:E$270)))))</f>
        <v/>
      </c>
      <c r="J272" s="24" t="str">
        <f aca="true">IF(OR(E272="",E272="!!!",F272="NEW"),"",COUNTBLANK(OFFSET(A$1,,,SUMPRODUCT(MAX(ROW(E$2:E272)*(E272=E$2:E272)))))-COUNTBLANK(OFFSET(A$1,,,SUMPRODUCT(MAX(ROW(E$1:E271)*(E2=E$1:E271))))))</f>
        <v/>
      </c>
      <c r="K272" s="24" t="str">
        <f aca="false">IF(OR(E272="",E272="!!!",F272="NEW"),"",INDEX(J$1:J271,SUMPRODUCT(MAX(ROW(E$1:E271)*(E272=E$1:E271)))))</f>
        <v/>
      </c>
      <c r="L272" s="21"/>
    </row>
    <row r="273" customFormat="false" ht="15" hidden="false" customHeight="false" outlineLevel="0" collapsed="false">
      <c r="A273" s="20" t="s">
        <v>1085</v>
      </c>
      <c r="E273" s="23"/>
      <c r="F273" s="25"/>
      <c r="G273" s="26"/>
      <c r="H273" s="27"/>
      <c r="I273" s="24" t="str">
        <f aca="false">IF(OR(E273="",E273="!!!",F273="NEW"),"",INDEX(B4:B$270,-1+SUMPRODUCT(MAX(ROW(E4:E$270)*(E273=E4:E$270)))))</f>
        <v/>
      </c>
      <c r="J273" s="24" t="str">
        <f aca="true">IF(OR(E273="",E273="!!!",F273="NEW"),"",COUNTBLANK(OFFSET(A$1,,,SUMPRODUCT(MAX(ROW(E$2:E273)*(E273=E$2:E273)))))-COUNTBLANK(OFFSET(A$1,,,SUMPRODUCT(MAX(ROW(E$1:E272)*(E2=E$1:E272))))))</f>
        <v/>
      </c>
      <c r="K273" s="24" t="str">
        <f aca="false">IF(OR(E273="",E273="!!!",F273="NEW"),"",INDEX(J$1:J272,SUMPRODUCT(MAX(ROW(E$1:E272)*(E273=E$1:E272)))))</f>
        <v/>
      </c>
      <c r="L273" s="21"/>
    </row>
    <row r="274" customFormat="false" ht="15" hidden="false" customHeight="false" outlineLevel="0" collapsed="false">
      <c r="A274" s="20" t="s">
        <v>1262</v>
      </c>
      <c r="B274" s="22" t="s">
        <v>1105</v>
      </c>
      <c r="C274" s="22" t="s">
        <v>1087</v>
      </c>
      <c r="E274" s="23"/>
      <c r="F274" s="25"/>
      <c r="G274" s="26"/>
      <c r="H274" s="27"/>
      <c r="I274" s="24" t="str">
        <f aca="false">IF(OR(E274="",E274="!!!",F274="NEW"),"",INDEX(B5:B$270,-1+SUMPRODUCT(MAX(ROW(E5:E$270)*(E274=E5:E$270)))))</f>
        <v/>
      </c>
      <c r="J274" s="24" t="str">
        <f aca="true">IF(OR(E274="",E274="!!!",F274="NEW"),"",COUNTBLANK(OFFSET(A$1,,,SUMPRODUCT(MAX(ROW(E$2:E274)*(E274=E$2:E274)))))-COUNTBLANK(OFFSET(A$1,,,SUMPRODUCT(MAX(ROW(E$1:E273)*(E2=E$1:E273))))))</f>
        <v/>
      </c>
      <c r="K274" s="24" t="str">
        <f aca="false">IF(OR(E274="",E274="!!!",F274="NEW"),"",INDEX(J$1:J273,SUMPRODUCT(MAX(ROW(E$1:E273)*(E274=E$1:E273)))))</f>
        <v/>
      </c>
      <c r="L274" s="21"/>
    </row>
    <row r="275" customFormat="false" ht="15" hidden="false" customHeight="false" outlineLevel="0" collapsed="false">
      <c r="A275" s="20" t="s">
        <v>1095</v>
      </c>
      <c r="E275" s="23"/>
      <c r="F275" s="25"/>
      <c r="G275" s="26"/>
      <c r="H275" s="27"/>
      <c r="I275" s="24" t="str">
        <f aca="false">IF(OR(E275="",E275="!!!",F275="NEW"),"",INDEX(B6:B$270,-1+SUMPRODUCT(MAX(ROW(E6:E$270)*(E275=E6:E$270)))))</f>
        <v/>
      </c>
      <c r="J275" s="24" t="str">
        <f aca="true">IF(OR(E275="",E275="!!!",F275="NEW"),"",COUNTBLANK(OFFSET(A$1,,,SUMPRODUCT(MAX(ROW(E$2:E275)*(E275=E$2:E275)))))-COUNTBLANK(OFFSET(A$1,,,SUMPRODUCT(MAX(ROW(E$1:E274)*(E2=E$1:E274))))))</f>
        <v/>
      </c>
      <c r="K275" s="24" t="str">
        <f aca="false">IF(OR(E275="",E275="!!!",F275="NEW"),"",INDEX(J$1:J274,SUMPRODUCT(MAX(ROW(E$1:E274)*(E275=E$1:E274)))))</f>
        <v/>
      </c>
      <c r="L275" s="21"/>
    </row>
    <row r="276" customFormat="false" ht="15" hidden="false" customHeight="false" outlineLevel="0" collapsed="false">
      <c r="A276" s="20" t="s">
        <v>1231</v>
      </c>
      <c r="B276" s="22" t="s">
        <v>1105</v>
      </c>
      <c r="C276" s="22" t="s">
        <v>1082</v>
      </c>
      <c r="D276" s="22" t="s">
        <v>1060</v>
      </c>
      <c r="E276" s="23" t="s">
        <v>1163</v>
      </c>
      <c r="F276" s="23" t="s">
        <v>1083</v>
      </c>
      <c r="G276" s="23" t="s">
        <v>1263</v>
      </c>
      <c r="H276" s="23"/>
      <c r="I276" s="28" t="n">
        <f aca="false">IF(OR(E276="",E276="!!!",F276="NEW"),"",INDEX(B7:B$270,-1+SUMPRODUCT(MAX(ROW(E7:E$270)*(E276=E7:E$270)))))</f>
        <v>0</v>
      </c>
      <c r="J276" s="24" t="n">
        <f aca="true">IF(OR(E276="",E276="!!!",F276="NEW"),"",COUNTBLANK(OFFSET(A$1,,,SUMPRODUCT(MAX(ROW(E$2:E276)*(E276=E$2:E276)))))-COUNTBLANK(OFFSET(A$1,,,SUMPRODUCT(MAX(ROW(E$1:E275)*(E2=E$1:E275))))))</f>
        <v>0</v>
      </c>
      <c r="K276" s="24" t="n">
        <f aca="false">IF(OR(E276="",E276="!!!",F276="NEW"),"",INDEX(J$1:J275,SUMPRODUCT(MAX(ROW(E$1:E275)*(E276=E$1:E275)))))</f>
        <v>0</v>
      </c>
      <c r="L276" s="21"/>
    </row>
    <row r="277" customFormat="false" ht="15" hidden="false" customHeight="false" outlineLevel="0" collapsed="false">
      <c r="A277" s="20" t="s">
        <v>1076</v>
      </c>
      <c r="E277" s="23"/>
      <c r="F277" s="25"/>
      <c r="G277" s="26"/>
      <c r="H277" s="27"/>
      <c r="I277" s="24" t="str">
        <f aca="false">IF(OR(E277="",E277="!!!",F277="NEW"),"",INDEX(B8:B$270,-1+SUMPRODUCT(MAX(ROW(E8:E$270)*(E277=E8:E$270)))))</f>
        <v/>
      </c>
      <c r="J277" s="24" t="str">
        <f aca="true">IF(OR(E277="",E277="!!!",F277="NEW"),"",COUNTBLANK(OFFSET(A$1,,,SUMPRODUCT(MAX(ROW(E$2:E277)*(E277=E$2:E277)))))-COUNTBLANK(OFFSET(A$1,,,SUMPRODUCT(MAX(ROW(E$1:E276)*(E2=E$1:E276))))))</f>
        <v/>
      </c>
      <c r="K277" s="24" t="str">
        <f aca="false">IF(OR(E277="",E277="!!!",F277="NEW"),"",INDEX(J$1:J276,SUMPRODUCT(MAX(ROW(E$1:E276)*(E277=E$1:E276)))))</f>
        <v/>
      </c>
      <c r="L277" s="21"/>
    </row>
    <row r="278" customFormat="false" ht="15" hidden="false" customHeight="false" outlineLevel="0" collapsed="false">
      <c r="A278" s="20" t="s">
        <v>1264</v>
      </c>
      <c r="E278" s="23"/>
      <c r="F278" s="25"/>
      <c r="G278" s="26"/>
      <c r="H278" s="27"/>
      <c r="I278" s="24" t="str">
        <f aca="false">IF(OR(E278="",E278="!!!",F278="NEW"),"",INDEX(B9:B$270,-1+SUMPRODUCT(MAX(ROW(E9:E$270)*(E278=E9:E$270)))))</f>
        <v/>
      </c>
      <c r="J278" s="24" t="str">
        <f aca="true">IF(OR(E278="",E278="!!!",F278="NEW"),"",COUNTBLANK(OFFSET(A$1,,,SUMPRODUCT(MAX(ROW(E$2:E278)*(E278=E$2:E278)))))-COUNTBLANK(OFFSET(A$1,,,SUMPRODUCT(MAX(ROW(E$1:E277)*(E2=E$1:E277))))))</f>
        <v/>
      </c>
      <c r="K278" s="24" t="str">
        <f aca="false">IF(OR(E278="",E278="!!!",F278="NEW"),"",INDEX(J$1:J277,SUMPRODUCT(MAX(ROW(E$1:E277)*(E278=E$1:E277)))))</f>
        <v/>
      </c>
      <c r="L278" s="21"/>
    </row>
    <row r="279" customFormat="false" ht="15" hidden="false" customHeight="false" outlineLevel="0" collapsed="false">
      <c r="A279" s="20" t="s">
        <v>1089</v>
      </c>
      <c r="E279" s="23"/>
      <c r="F279" s="25"/>
      <c r="G279" s="26"/>
      <c r="H279" s="27"/>
      <c r="I279" s="24" t="str">
        <f aca="false">IF(OR(E279="",E279="!!!",F279="NEW"),"",INDEX(B10:B$270,-1+SUMPRODUCT(MAX(ROW(E10:E$270)*(E279=E10:E$270)))))</f>
        <v/>
      </c>
      <c r="J279" s="24" t="str">
        <f aca="true">IF(OR(E279="",E279="!!!",F279="NEW"),"",COUNTBLANK(OFFSET(A$1,,,SUMPRODUCT(MAX(ROW(E$2:E279)*(E279=E$2:E279)))))-COUNTBLANK(OFFSET(A$1,,,SUMPRODUCT(MAX(ROW(E$1:E278)*(E2=E$1:E278))))))</f>
        <v/>
      </c>
      <c r="K279" s="24" t="str">
        <f aca="false">IF(OR(E279="",E279="!!!",F279="NEW"),"",INDEX(J$1:J278,SUMPRODUCT(MAX(ROW(E$1:E278)*(E279=E$1:E278)))))</f>
        <v/>
      </c>
      <c r="L279" s="21"/>
    </row>
    <row r="280" customFormat="false" ht="15" hidden="false" customHeight="false" outlineLevel="0" collapsed="false">
      <c r="A280" s="20" t="s">
        <v>1265</v>
      </c>
      <c r="E280" s="23"/>
      <c r="F280" s="25"/>
      <c r="G280" s="26"/>
      <c r="H280" s="27"/>
      <c r="I280" s="24" t="str">
        <f aca="false">IF(OR(E280="",E280="!!!",F280="NEW"),"",INDEX(B11:B$270,-1+SUMPRODUCT(MAX(ROW(E11:E$270)*(E280=E11:E$270)))))</f>
        <v/>
      </c>
      <c r="J280" s="24" t="str">
        <f aca="true">IF(OR(E280="",E280="!!!",F280="NEW"),"",COUNTBLANK(OFFSET(A$1,,,SUMPRODUCT(MAX(ROW(E$2:E280)*(E280=E$2:E280)))))-COUNTBLANK(OFFSET(A$1,,,SUMPRODUCT(MAX(ROW(E$1:E279)*(E2=E$1:E279))))))</f>
        <v/>
      </c>
      <c r="K280" s="24" t="str">
        <f aca="false">IF(OR(E280="",E280="!!!",F280="NEW"),"",INDEX(J$1:J279,SUMPRODUCT(MAX(ROW(E$1:E279)*(E280=E$1:E279)))))</f>
        <v/>
      </c>
      <c r="L280" s="21"/>
    </row>
    <row r="281" customFormat="false" ht="15" hidden="false" customHeight="false" outlineLevel="0" collapsed="false">
      <c r="A281" s="20" t="s">
        <v>1266</v>
      </c>
      <c r="B281" s="22" t="s">
        <v>1105</v>
      </c>
      <c r="C281" s="22" t="s">
        <v>1171</v>
      </c>
      <c r="D281" s="22" t="s">
        <v>1060</v>
      </c>
      <c r="E281" s="23"/>
      <c r="F281" s="23"/>
      <c r="G281" s="23"/>
      <c r="H281" s="23"/>
      <c r="I281" s="24" t="str">
        <f aca="false">IF(OR(E281="",E281="!!!",F281="NEW"),"",INDEX(B12:B$270,-1+SUMPRODUCT(MAX(ROW(E12:E$270)*(E281=E12:E$270)))))</f>
        <v/>
      </c>
      <c r="J281" s="24" t="str">
        <f aca="true">IF(OR(E281="",E281="!!!",F281="NEW"),"",COUNTBLANK(OFFSET(A$1,,,SUMPRODUCT(MAX(ROW(E$2:E281)*(E281=E$2:E281)))))-COUNTBLANK(OFFSET(A$1,,,SUMPRODUCT(MAX(ROW(E$1:E280)*(E2=E$1:E280))))))</f>
        <v/>
      </c>
      <c r="K281" s="24" t="str">
        <f aca="false">IF(OR(E281="",E281="!!!",F281="NEW"),"",INDEX(J$1:J280,SUMPRODUCT(MAX(ROW(E$1:E280)*(E281=E$1:E280)))))</f>
        <v/>
      </c>
      <c r="L281" s="21"/>
    </row>
    <row r="282" customFormat="false" ht="15" hidden="false" customHeight="false" outlineLevel="0" collapsed="false">
      <c r="A282" s="20" t="s">
        <v>1076</v>
      </c>
      <c r="E282" s="23"/>
      <c r="F282" s="25"/>
      <c r="G282" s="26"/>
      <c r="H282" s="27"/>
      <c r="I282" s="24" t="str">
        <f aca="false">IF(OR(E282="",E282="!!!",F282="NEW"),"",INDEX(B13:B$270,-1+SUMPRODUCT(MAX(ROW(E13:E$270)*(E282=E13:E$270)))))</f>
        <v/>
      </c>
      <c r="J282" s="24" t="str">
        <f aca="true">IF(OR(E282="",E282="!!!",F282="NEW"),"",COUNTBLANK(OFFSET(A$1,,,SUMPRODUCT(MAX(ROW(E$2:E282)*(E282=E$2:E282)))))-COUNTBLANK(OFFSET(A$1,,,SUMPRODUCT(MAX(ROW(E$1:E281)*(E2=E$1:E281))))))</f>
        <v/>
      </c>
      <c r="K282" s="24" t="str">
        <f aca="false">IF(OR(E282="",E282="!!!",F282="NEW"),"",INDEX(J$1:J281,SUMPRODUCT(MAX(ROW(E$1:E281)*(E282=E$1:E281)))))</f>
        <v/>
      </c>
      <c r="L282" s="21"/>
    </row>
    <row r="283" customFormat="false" ht="15" hidden="false" customHeight="false" outlineLevel="0" collapsed="false">
      <c r="A283" s="20" t="s">
        <v>1215</v>
      </c>
      <c r="E283" s="23"/>
      <c r="F283" s="25"/>
      <c r="G283" s="26"/>
      <c r="H283" s="27"/>
      <c r="I283" s="24" t="str">
        <f aca="false">IF(OR(E283="",E283="!!!",F283="NEW"),"",INDEX(B14:B$270,-1+SUMPRODUCT(MAX(ROW(E14:E$270)*(E283=E14:E$270)))))</f>
        <v/>
      </c>
      <c r="J283" s="24" t="str">
        <f aca="true">IF(OR(E283="",E283="!!!",F283="NEW"),"",COUNTBLANK(OFFSET(A$1,,,SUMPRODUCT(MAX(ROW(E$2:E283)*(E283=E$2:E283)))))-COUNTBLANK(OFFSET(A$1,,,SUMPRODUCT(MAX(ROW(E$1:E282)*(E2=E$1:E282))))))</f>
        <v/>
      </c>
      <c r="K283" s="24" t="str">
        <f aca="false">IF(OR(E283="",E283="!!!",F283="NEW"),"",INDEX(J$1:J282,SUMPRODUCT(MAX(ROW(E$1:E282)*(E283=E$1:E282)))))</f>
        <v/>
      </c>
      <c r="L283" s="21"/>
    </row>
    <row r="284" customFormat="false" ht="15" hidden="false" customHeight="false" outlineLevel="0" collapsed="false">
      <c r="A284" s="20" t="s">
        <v>1186</v>
      </c>
      <c r="B284" s="22" t="s">
        <v>1086</v>
      </c>
      <c r="C284" s="22" t="s">
        <v>1082</v>
      </c>
      <c r="D284" s="22" t="s">
        <v>1060</v>
      </c>
      <c r="E284" s="23" t="s">
        <v>1187</v>
      </c>
      <c r="F284" s="23" t="s">
        <v>1083</v>
      </c>
      <c r="G284" s="23" t="s">
        <v>1263</v>
      </c>
      <c r="H284" s="23"/>
      <c r="I284" s="28" t="e">
        <f aca="false">IF(OR(E284="",E284="!!!",F284="NEW"),"",INDEX(B15:B$270,-1+SUMPRODUCT(MAX(ROW(E15:E$270)*(E284=E15:E$270)))))</f>
        <v>#REF!</v>
      </c>
      <c r="J284" s="24" t="n">
        <f aca="true">IF(OR(E284="",E284="!!!",F284="NEW"),"",COUNTBLANK(OFFSET(A$1,,,SUMPRODUCT(MAX(ROW(E$2:E284)*(E284=E$2:E284)))))-COUNTBLANK(OFFSET(A$1,,,SUMPRODUCT(MAX(ROW(E$1:E283)*(E2=E$1:E283))))))</f>
        <v>0</v>
      </c>
      <c r="K284" s="24" t="n">
        <f aca="false">IF(OR(E284="",E284="!!!",F284="NEW"),"",INDEX(J$1:J283,SUMPRODUCT(MAX(ROW(E$1:E283)*(E284=E$1:E283)))))</f>
        <v>0</v>
      </c>
      <c r="L284" s="21"/>
    </row>
    <row r="285" customFormat="false" ht="15" hidden="false" customHeight="false" outlineLevel="0" collapsed="false">
      <c r="A285" s="20" t="s">
        <v>1184</v>
      </c>
      <c r="E285" s="23"/>
      <c r="F285" s="25"/>
      <c r="G285" s="26"/>
      <c r="H285" s="27"/>
      <c r="I285" s="24" t="str">
        <f aca="false">IF(OR(E285="",E285="!!!",F285="NEW"),"",INDEX(B16:B$270,-1+SUMPRODUCT(MAX(ROW(E16:E$270)*(E285=E16:E$270)))))</f>
        <v/>
      </c>
      <c r="J285" s="24" t="str">
        <f aca="true">IF(OR(E285="",E285="!!!",F285="NEW"),"",COUNTBLANK(OFFSET(A$1,,,SUMPRODUCT(MAX(ROW(E$2:E285)*(E285=E$2:E285)))))-COUNTBLANK(OFFSET(A$1,,,SUMPRODUCT(MAX(ROW(E$1:E284)*(E2=E$1:E284))))))</f>
        <v/>
      </c>
      <c r="K285" s="24" t="str">
        <f aca="false">IF(OR(E285="",E285="!!!",F285="NEW"),"",INDEX(J$1:J284,SUMPRODUCT(MAX(ROW(E$1:E284)*(E285=E$1:E284)))))</f>
        <v/>
      </c>
      <c r="L285" s="21"/>
    </row>
    <row r="286" customFormat="false" ht="15" hidden="false" customHeight="false" outlineLevel="0" collapsed="false">
      <c r="A286" s="20" t="s">
        <v>1185</v>
      </c>
      <c r="E286" s="23"/>
      <c r="F286" s="25"/>
      <c r="G286" s="26"/>
      <c r="H286" s="27"/>
      <c r="I286" s="24" t="str">
        <f aca="false">IF(OR(E286="",E286="!!!",F286="NEW"),"",INDEX(B17:B$270,-1+SUMPRODUCT(MAX(ROW(E17:E$270)*(E286=E17:E$270)))))</f>
        <v/>
      </c>
      <c r="J286" s="24" t="str">
        <f aca="true">IF(OR(E286="",E286="!!!",F286="NEW"),"",COUNTBLANK(OFFSET(A$1,,,SUMPRODUCT(MAX(ROW(E$2:E286)*(E286=E$2:E286)))))-COUNTBLANK(OFFSET(A$1,,,SUMPRODUCT(MAX(ROW(E$1:E285)*(E2=E$1:E285))))))</f>
        <v/>
      </c>
      <c r="K286" s="24" t="str">
        <f aca="false">IF(OR(E286="",E286="!!!",F286="NEW"),"",INDEX(J$1:J285,SUMPRODUCT(MAX(ROW(E$1:E285)*(E286=E$1:E285)))))</f>
        <v/>
      </c>
      <c r="L286" s="21"/>
    </row>
    <row r="287" customFormat="false" ht="15" hidden="false" customHeight="false" outlineLevel="0" collapsed="false">
      <c r="A287" s="20" t="s">
        <v>1267</v>
      </c>
      <c r="E287" s="23"/>
      <c r="F287" s="25"/>
      <c r="G287" s="26"/>
      <c r="H287" s="27"/>
      <c r="I287" s="24" t="str">
        <f aca="false">IF(OR(E287="",E287="!!!",F287="NEW"),"",INDEX(B18:B$270,-1+SUMPRODUCT(MAX(ROW(E18:E$270)*(E287=E18:E$270)))))</f>
        <v/>
      </c>
      <c r="J287" s="24" t="str">
        <f aca="true">IF(OR(E287="",E287="!!!",F287="NEW"),"",COUNTBLANK(OFFSET(A$1,,,SUMPRODUCT(MAX(ROW(E$2:E287)*(E287=E$2:E287)))))-COUNTBLANK(OFFSET(A$1,,,SUMPRODUCT(MAX(ROW(E$1:E286)*(E2=E$1:E286))))))</f>
        <v/>
      </c>
      <c r="K287" s="24" t="str">
        <f aca="false">IF(OR(E287="",E287="!!!",F287="NEW"),"",INDEX(J$1:J286,SUMPRODUCT(MAX(ROW(E$1:E286)*(E287=E$1:E286)))))</f>
        <v/>
      </c>
      <c r="L287" s="21"/>
    </row>
    <row r="288" customFormat="false" ht="15" hidden="false" customHeight="false" outlineLevel="0" collapsed="false">
      <c r="A288" s="20" t="s">
        <v>1268</v>
      </c>
      <c r="B288" s="22" t="s">
        <v>1067</v>
      </c>
      <c r="C288" s="22" t="s">
        <v>1068</v>
      </c>
      <c r="D288" s="22" t="s">
        <v>1060</v>
      </c>
      <c r="E288" s="23" t="s">
        <v>1268</v>
      </c>
      <c r="F288" s="23" t="s">
        <v>1062</v>
      </c>
      <c r="G288" s="23" t="s">
        <v>1172</v>
      </c>
      <c r="H288" s="23"/>
      <c r="I288" s="24" t="str">
        <f aca="false">IF(OR(E288="",E288="!!!",F288="NEW"),"",INDEX(B19:B$270,-1+SUMPRODUCT(MAX(ROW(E19:E$270)*(E288=E19:E$270)))))</f>
        <v/>
      </c>
      <c r="J288" s="24" t="str">
        <f aca="true">IF(OR(E288="",E288="!!!",F288="NEW"),"",COUNTBLANK(OFFSET(A$1,,,SUMPRODUCT(MAX(ROW(E$2:E288)*(E288=E$2:E288)))))-COUNTBLANK(OFFSET(A$1,,,SUMPRODUCT(MAX(ROW(E$1:E287)*(E2=E$1:E287))))))</f>
        <v/>
      </c>
      <c r="K288" s="24" t="str">
        <f aca="false">IF(OR(E288="",E288="!!!",F288="NEW"),"",INDEX(J$1:J287,SUMPRODUCT(MAX(ROW(E$1:E287)*(E288=E$1:E287)))))</f>
        <v/>
      </c>
      <c r="L288" s="21"/>
    </row>
    <row r="289" customFormat="false" ht="15" hidden="false" customHeight="false" outlineLevel="0" collapsed="false">
      <c r="A289" s="20" t="s">
        <v>1071</v>
      </c>
      <c r="E289" s="23"/>
      <c r="F289" s="25"/>
      <c r="G289" s="26"/>
      <c r="H289" s="27"/>
      <c r="I289" s="24" t="str">
        <f aca="false">IF(OR(E289="",E289="!!!",F289="NEW"),"",INDEX(B20:B$270,-1+SUMPRODUCT(MAX(ROW(E20:E$270)*(E289=E20:E$270)))))</f>
        <v/>
      </c>
      <c r="J289" s="24" t="str">
        <f aca="true">IF(OR(E289="",E289="!!!",F289="NEW"),"",COUNTBLANK(OFFSET(A$1,,,SUMPRODUCT(MAX(ROW(E$2:E289)*(E289=E$2:E289)))))-COUNTBLANK(OFFSET(A$1,,,SUMPRODUCT(MAX(ROW(E$1:E288)*(E2=E$1:E288))))))</f>
        <v/>
      </c>
      <c r="K289" s="24" t="str">
        <f aca="false">IF(OR(E289="",E289="!!!",F289="NEW"),"",INDEX(J$1:J288,SUMPRODUCT(MAX(ROW(E$1:E288)*(E289=E$1:E288)))))</f>
        <v/>
      </c>
      <c r="L289" s="21"/>
    </row>
    <row r="290" customFormat="false" ht="15" hidden="false" customHeight="false" outlineLevel="0" collapsed="false">
      <c r="A290" s="20" t="s">
        <v>1269</v>
      </c>
      <c r="B290" s="22" t="s">
        <v>1142</v>
      </c>
      <c r="C290" s="22" t="s">
        <v>1059</v>
      </c>
      <c r="D290" s="22" t="s">
        <v>1060</v>
      </c>
      <c r="E290" s="23"/>
      <c r="F290" s="23"/>
      <c r="G290" s="23"/>
      <c r="H290" s="23"/>
      <c r="I290" s="24" t="str">
        <f aca="false">IF(OR(E290="",E290="!!!",F290="NEW"),"",INDEX(B21:B$270,-1+SUMPRODUCT(MAX(ROW(E21:E$270)*(E290=E21:E$270)))))</f>
        <v/>
      </c>
      <c r="J290" s="24" t="str">
        <f aca="true">IF(OR(E290="",E290="!!!",F290="NEW"),"",COUNTBLANK(OFFSET(A$1,,,SUMPRODUCT(MAX(ROW(E$2:E290)*(E290=E$2:E290)))))-COUNTBLANK(OFFSET(A$1,,,SUMPRODUCT(MAX(ROW(E$1:E289)*(E2=E$1:E289))))))</f>
        <v/>
      </c>
      <c r="K290" s="24" t="str">
        <f aca="false">IF(OR(E290="",E290="!!!",F290="NEW"),"",INDEX(J$1:J289,SUMPRODUCT(MAX(ROW(E$1:E289)*(E290=E$1:E289)))))</f>
        <v/>
      </c>
      <c r="L290" s="21"/>
    </row>
    <row r="291" customFormat="false" ht="15" hidden="false" customHeight="false" outlineLevel="0" collapsed="false">
      <c r="A291" s="20" t="s">
        <v>1128</v>
      </c>
      <c r="E291" s="23"/>
      <c r="F291" s="25"/>
      <c r="G291" s="26"/>
      <c r="H291" s="27"/>
      <c r="I291" s="24" t="str">
        <f aca="false">IF(OR(E291="",E291="!!!",F291="NEW"),"",INDEX(B22:B$270,-1+SUMPRODUCT(MAX(ROW(E22:E$270)*(E291=E22:E$270)))))</f>
        <v/>
      </c>
      <c r="J291" s="24" t="str">
        <f aca="true">IF(OR(E291="",E291="!!!",F291="NEW"),"",COUNTBLANK(OFFSET(A$1,,,SUMPRODUCT(MAX(ROW(E$2:E291)*(E291=E$2:E291)))))-COUNTBLANK(OFFSET(A$1,,,SUMPRODUCT(MAX(ROW(E$1:E290)*(E2=E$1:E290))))))</f>
        <v/>
      </c>
      <c r="K291" s="24" t="str">
        <f aca="false">IF(OR(E291="",E291="!!!",F291="NEW"),"",INDEX(J$1:J290,SUMPRODUCT(MAX(ROW(E$1:E290)*(E291=E$1:E290)))))</f>
        <v/>
      </c>
      <c r="L291" s="21"/>
    </row>
    <row r="292" customFormat="false" ht="15" hidden="false" customHeight="false" outlineLevel="0" collapsed="false">
      <c r="A292" s="20" t="s">
        <v>1270</v>
      </c>
      <c r="E292" s="23"/>
      <c r="F292" s="25"/>
      <c r="G292" s="26"/>
      <c r="H292" s="27"/>
      <c r="I292" s="24" t="str">
        <f aca="false">IF(OR(E292="",E292="!!!",F292="NEW"),"",INDEX(B23:B$270,-1+SUMPRODUCT(MAX(ROW(E23:E$270)*(E292=E23:E$270)))))</f>
        <v/>
      </c>
      <c r="J292" s="24" t="str">
        <f aca="true">IF(OR(E292="",E292="!!!",F292="NEW"),"",COUNTBLANK(OFFSET(A$1,,,SUMPRODUCT(MAX(ROW(E$2:E292)*(E292=E$2:E292)))))-COUNTBLANK(OFFSET(A$1,,,SUMPRODUCT(MAX(ROW(E$1:E291)*(E2=E$1:E291))))))</f>
        <v/>
      </c>
      <c r="K292" s="24" t="str">
        <f aca="false">IF(OR(E292="",E292="!!!",F292="NEW"),"",INDEX(J$1:J291,SUMPRODUCT(MAX(ROW(E$1:E291)*(E292=E$1:E291)))))</f>
        <v/>
      </c>
      <c r="L292" s="21"/>
    </row>
    <row r="293" customFormat="false" ht="15" hidden="false" customHeight="false" outlineLevel="0" collapsed="false">
      <c r="A293" s="20" t="s">
        <v>1089</v>
      </c>
      <c r="E293" s="23"/>
      <c r="F293" s="25"/>
      <c r="G293" s="26"/>
      <c r="H293" s="27"/>
      <c r="I293" s="24" t="str">
        <f aca="false">IF(OR(E293="",E293="!!!",F293="NEW"),"",INDEX(B24:B$270,-1+SUMPRODUCT(MAX(ROW(E24:E$270)*(E293=E24:E$270)))))</f>
        <v/>
      </c>
      <c r="J293" s="24" t="str">
        <f aca="true">IF(OR(E293="",E293="!!!",F293="NEW"),"",COUNTBLANK(OFFSET(A$1,,,SUMPRODUCT(MAX(ROW(E$2:E293)*(E293=E$2:E293)))))-COUNTBLANK(OFFSET(A$1,,,SUMPRODUCT(MAX(ROW(E$1:E292)*(E2=E$1:E292))))))</f>
        <v/>
      </c>
      <c r="K293" s="24" t="str">
        <f aca="false">IF(OR(E293="",E293="!!!",F293="NEW"),"",INDEX(J$1:J292,SUMPRODUCT(MAX(ROW(E$1:E292)*(E293=E$1:E292)))))</f>
        <v/>
      </c>
      <c r="L293" s="21"/>
    </row>
    <row r="294" customFormat="false" ht="15" hidden="false" customHeight="false" outlineLevel="0" collapsed="false">
      <c r="A294" s="20" t="s">
        <v>1186</v>
      </c>
      <c r="B294" s="22" t="s">
        <v>1197</v>
      </c>
      <c r="C294" s="22" t="s">
        <v>1082</v>
      </c>
      <c r="D294" s="22" t="s">
        <v>1060</v>
      </c>
      <c r="E294" s="23" t="s">
        <v>1187</v>
      </c>
      <c r="F294" s="23" t="s">
        <v>1083</v>
      </c>
      <c r="G294" s="23" t="s">
        <v>1084</v>
      </c>
      <c r="H294" s="23"/>
      <c r="I294" s="28" t="e">
        <f aca="false">IF(OR(E294="",E294="!!!",F294="NEW"),"",INDEX(B25:B$270,-1+SUMPRODUCT(MAX(ROW(E25:E$270)*(E294=E25:E$270)))))</f>
        <v>#REF!</v>
      </c>
      <c r="J294" s="24" t="n">
        <f aca="true">IF(OR(E294="",E294="!!!",F294="NEW"),"",COUNTBLANK(OFFSET(A$1,,,SUMPRODUCT(MAX(ROW(E$2:E294)*(E294=E$2:E294)))))-COUNTBLANK(OFFSET(A$1,,,SUMPRODUCT(MAX(ROW(E$1:E293)*(E2=E$1:E293))))))</f>
        <v>0</v>
      </c>
      <c r="K294" s="24" t="n">
        <f aca="false">IF(OR(E294="",E294="!!!",F294="NEW"),"",INDEX(J$1:J293,SUMPRODUCT(MAX(ROW(E$1:E293)*(E294=E$1:E293)))))</f>
        <v>0</v>
      </c>
      <c r="L294" s="21"/>
    </row>
    <row r="295" customFormat="false" ht="15" hidden="false" customHeight="false" outlineLevel="0" collapsed="false">
      <c r="A295" s="20" t="s">
        <v>1135</v>
      </c>
      <c r="E295" s="23"/>
      <c r="F295" s="25"/>
      <c r="G295" s="26"/>
      <c r="H295" s="27"/>
      <c r="I295" s="24" t="str">
        <f aca="false">IF(OR(E295="",E295="!!!",F295="NEW"),"",INDEX(B26:B$270,-1+SUMPRODUCT(MAX(ROW(E26:E$270)*(E295=E26:E$270)))))</f>
        <v/>
      </c>
      <c r="J295" s="24" t="str">
        <f aca="true">IF(OR(E295="",E295="!!!",F295="NEW"),"",COUNTBLANK(OFFSET(A$1,,,SUMPRODUCT(MAX(ROW(E$2:E295)*(E295=E$2:E295)))))-COUNTBLANK(OFFSET(A$1,,,SUMPRODUCT(MAX(ROW(E$1:E294)*(E2=E$1:E294))))))</f>
        <v/>
      </c>
      <c r="K295" s="24" t="str">
        <f aca="false">IF(OR(E295="",E295="!!!",F295="NEW"),"",INDEX(J$1:J294,SUMPRODUCT(MAX(ROW(E$1:E294)*(E295=E$1:E294)))))</f>
        <v/>
      </c>
      <c r="L295" s="21"/>
    </row>
    <row r="296" customFormat="false" ht="15" hidden="false" customHeight="false" outlineLevel="0" collapsed="false">
      <c r="A296" s="20" t="s">
        <v>1271</v>
      </c>
      <c r="E296" s="23"/>
      <c r="F296" s="25"/>
      <c r="G296" s="26"/>
      <c r="H296" s="27"/>
      <c r="I296" s="24" t="str">
        <f aca="false">IF(OR(E296="",E296="!!!",F296="NEW"),"",INDEX(B27:B$270,-1+SUMPRODUCT(MAX(ROW(E27:E$270)*(E296=E27:E$270)))))</f>
        <v/>
      </c>
      <c r="J296" s="24" t="str">
        <f aca="true">IF(OR(E296="",E296="!!!",F296="NEW"),"",COUNTBLANK(OFFSET(A$1,,,SUMPRODUCT(MAX(ROW(E$2:E296)*(E296=E$2:E296)))))-COUNTBLANK(OFFSET(A$1,,,SUMPRODUCT(MAX(ROW(E$1:E295)*(E2=E$1:E295))))))</f>
        <v/>
      </c>
      <c r="K296" s="24" t="str">
        <f aca="false">IF(OR(E296="",E296="!!!",F296="NEW"),"",INDEX(J$1:J295,SUMPRODUCT(MAX(ROW(E$1:E295)*(E296=E$1:E295)))))</f>
        <v/>
      </c>
      <c r="L296" s="21"/>
    </row>
    <row r="297" customFormat="false" ht="15" hidden="false" customHeight="false" outlineLevel="0" collapsed="false">
      <c r="A297" s="20" t="s">
        <v>1272</v>
      </c>
      <c r="E297" s="23"/>
      <c r="F297" s="25"/>
      <c r="G297" s="26"/>
      <c r="H297" s="27"/>
      <c r="I297" s="24" t="str">
        <f aca="false">IF(OR(E297="",E297="!!!",F297="NEW"),"",INDEX(B28:B$270,-1+SUMPRODUCT(MAX(ROW(E28:E$270)*(E297=E28:E$270)))))</f>
        <v/>
      </c>
      <c r="J297" s="24" t="str">
        <f aca="true">IF(OR(E297="",E297="!!!",F297="NEW"),"",COUNTBLANK(OFFSET(A$1,,,SUMPRODUCT(MAX(ROW(E$2:E297)*(E297=E$2:E297)))))-COUNTBLANK(OFFSET(A$1,,,SUMPRODUCT(MAX(ROW(E$1:E296)*(E2=E$1:E296))))))</f>
        <v/>
      </c>
      <c r="K297" s="24" t="str">
        <f aca="false">IF(OR(E297="",E297="!!!",F297="NEW"),"",INDEX(J$1:J296,SUMPRODUCT(MAX(ROW(E$1:E296)*(E297=E$1:E296)))))</f>
        <v/>
      </c>
      <c r="L297" s="21"/>
    </row>
    <row r="298" customFormat="false" ht="15" hidden="false" customHeight="false" outlineLevel="0" collapsed="false">
      <c r="A298" s="20" t="s">
        <v>1095</v>
      </c>
      <c r="E298" s="23"/>
      <c r="F298" s="25"/>
      <c r="G298" s="26"/>
      <c r="H298" s="27"/>
      <c r="I298" s="24" t="str">
        <f aca="false">IF(OR(E298="",E298="!!!",F298="NEW"),"",INDEX(B29:B$270,-1+SUMPRODUCT(MAX(ROW(E29:E$270)*(E298=E29:E$270)))))</f>
        <v/>
      </c>
      <c r="J298" s="24" t="str">
        <f aca="true">IF(OR(E298="",E298="!!!",F298="NEW"),"",COUNTBLANK(OFFSET(A$1,,,SUMPRODUCT(MAX(ROW(E$2:E298)*(E298=E$2:E298)))))-COUNTBLANK(OFFSET(A$1,,,SUMPRODUCT(MAX(ROW(E$1:E297)*(E2=E$1:E297))))))</f>
        <v/>
      </c>
      <c r="K298" s="24" t="str">
        <f aca="false">IF(OR(E298="",E298="!!!",F298="NEW"),"",INDEX(J$1:J297,SUMPRODUCT(MAX(ROW(E$1:E297)*(E298=E$1:E297)))))</f>
        <v/>
      </c>
      <c r="L298" s="21"/>
    </row>
    <row r="299" customFormat="false" ht="15" hidden="false" customHeight="false" outlineLevel="0" collapsed="false">
      <c r="A299" s="20" t="s">
        <v>1109</v>
      </c>
      <c r="E299" s="23"/>
      <c r="F299" s="25"/>
      <c r="G299" s="26"/>
      <c r="H299" s="27"/>
      <c r="I299" s="24" t="str">
        <f aca="false">IF(OR(E299="",E299="!!!",F299="NEW"),"",INDEX(B30:B$270,-1+SUMPRODUCT(MAX(ROW(E30:E$270)*(E299=E30:E$270)))))</f>
        <v/>
      </c>
      <c r="J299" s="24" t="str">
        <f aca="true">IF(OR(E299="",E299="!!!",F299="NEW"),"",COUNTBLANK(OFFSET(A$1,,,SUMPRODUCT(MAX(ROW(E$2:E299)*(E299=E$2:E299)))))-COUNTBLANK(OFFSET(A$1,,,SUMPRODUCT(MAX(ROW(E$1:E298)*(E2=E$1:E298))))))</f>
        <v/>
      </c>
      <c r="K299" s="24" t="str">
        <f aca="false">IF(OR(E299="",E299="!!!",F299="NEW"),"",INDEX(J$1:J298,SUMPRODUCT(MAX(ROW(E$1:E298)*(E299=E$1:E298)))))</f>
        <v/>
      </c>
      <c r="L299" s="21"/>
    </row>
    <row r="300" customFormat="false" ht="15" hidden="false" customHeight="false" outlineLevel="0" collapsed="false">
      <c r="A300" s="20" t="s">
        <v>1273</v>
      </c>
      <c r="B300" s="22" t="s">
        <v>1107</v>
      </c>
      <c r="C300" s="22" t="s">
        <v>1068</v>
      </c>
      <c r="D300" s="22" t="s">
        <v>1060</v>
      </c>
      <c r="E300" s="23"/>
      <c r="F300" s="23"/>
      <c r="G300" s="23"/>
      <c r="H300" s="23"/>
      <c r="I300" s="24" t="str">
        <f aca="false">IF(OR(E300="",E300="!!!",F300="NEW"),"",INDEX(B31:B$270,-1+SUMPRODUCT(MAX(ROW(E31:E$270)*(E300=E31:E$270)))))</f>
        <v/>
      </c>
      <c r="J300" s="24" t="str">
        <f aca="true">IF(OR(E300="",E300="!!!",F300="NEW"),"",COUNTBLANK(OFFSET(A$1,,,SUMPRODUCT(MAX(ROW(E$2:E300)*(E300=E$2:E300)))))-COUNTBLANK(OFFSET(A$1,,,SUMPRODUCT(MAX(ROW(E$1:E299)*(E2=E$1:E299))))))</f>
        <v/>
      </c>
      <c r="K300" s="24" t="str">
        <f aca="false">IF(OR(E300="",E300="!!!",F300="NEW"),"",INDEX(J$1:J299,SUMPRODUCT(MAX(ROW(E$1:E299)*(E300=E$1:E299)))))</f>
        <v/>
      </c>
      <c r="L300" s="21"/>
    </row>
    <row r="301" customFormat="false" ht="15" hidden="false" customHeight="false" outlineLevel="0" collapsed="false">
      <c r="A301" s="20" t="s">
        <v>1128</v>
      </c>
      <c r="E301" s="23"/>
      <c r="F301" s="25"/>
      <c r="G301" s="26"/>
      <c r="H301" s="27"/>
      <c r="I301" s="24" t="str">
        <f aca="false">IF(OR(E301="",E301="!!!",F301="NEW"),"",INDEX(B32:B$270,-1+SUMPRODUCT(MAX(ROW(E32:E$270)*(E301=E32:E$270)))))</f>
        <v/>
      </c>
      <c r="J301" s="24" t="str">
        <f aca="true">IF(OR(E301="",E301="!!!",F301="NEW"),"",COUNTBLANK(OFFSET(A$1,,,SUMPRODUCT(MAX(ROW(E$2:E301)*(E301=E$2:E301)))))-COUNTBLANK(OFFSET(A$1,,,SUMPRODUCT(MAX(ROW(E$1:E300)*(E2=E$1:E300))))))</f>
        <v/>
      </c>
      <c r="K301" s="24" t="str">
        <f aca="false">IF(OR(E301="",E301="!!!",F301="NEW"),"",INDEX(J$1:J300,SUMPRODUCT(MAX(ROW(E$1:E300)*(E301=E$1:E300)))))</f>
        <v/>
      </c>
      <c r="L301" s="21"/>
    </row>
    <row r="302" customFormat="false" ht="15" hidden="false" customHeight="false" outlineLevel="0" collapsed="false">
      <c r="A302" s="20" t="s">
        <v>1095</v>
      </c>
      <c r="E302" s="23"/>
      <c r="F302" s="25"/>
      <c r="G302" s="26"/>
      <c r="H302" s="27"/>
      <c r="I302" s="24" t="str">
        <f aca="false">IF(OR(E302="",E302="!!!",F302="NEW"),"",INDEX(B33:B$270,-1+SUMPRODUCT(MAX(ROW(E33:E$270)*(E302=E33:E$270)))))</f>
        <v/>
      </c>
      <c r="J302" s="24" t="str">
        <f aca="true">IF(OR(E302="",E302="!!!",F302="NEW"),"",COUNTBLANK(OFFSET(A$1,,,SUMPRODUCT(MAX(ROW(E$2:E302)*(E302=E$2:E302)))))-COUNTBLANK(OFFSET(A$1,,,SUMPRODUCT(MAX(ROW(E$1:E301)*(E2=E$1:E301))))))</f>
        <v/>
      </c>
      <c r="K302" s="24" t="str">
        <f aca="false">IF(OR(E302="",E302="!!!",F302="NEW"),"",INDEX(J$1:J301,SUMPRODUCT(MAX(ROW(E$1:E301)*(E302=E$1:E301)))))</f>
        <v/>
      </c>
      <c r="L302" s="21"/>
    </row>
    <row r="303" customFormat="false" ht="15" hidden="false" customHeight="false" outlineLevel="0" collapsed="false">
      <c r="A303" s="20" t="s">
        <v>1109</v>
      </c>
      <c r="E303" s="23"/>
      <c r="F303" s="25"/>
      <c r="G303" s="26"/>
      <c r="H303" s="27"/>
      <c r="I303" s="24" t="str">
        <f aca="false">IF(OR(E303="",E303="!!!",F303="NEW"),"",INDEX(B34:B$270,-1+SUMPRODUCT(MAX(ROW(E34:E$270)*(E303=E34:E$270)))))</f>
        <v/>
      </c>
      <c r="J303" s="24" t="str">
        <f aca="true">IF(OR(E303="",E303="!!!",F303="NEW"),"",COUNTBLANK(OFFSET(A$1,,,SUMPRODUCT(MAX(ROW(E$2:E303)*(E303=E$2:E303)))))-COUNTBLANK(OFFSET(A$1,,,SUMPRODUCT(MAX(ROW(E$1:E302)*(E2=E$1:E302))))))</f>
        <v/>
      </c>
      <c r="K303" s="24" t="str">
        <f aca="false">IF(OR(E303="",E303="!!!",F303="NEW"),"",INDEX(J$1:J302,SUMPRODUCT(MAX(ROW(E$1:E302)*(E303=E$1:E302)))))</f>
        <v/>
      </c>
      <c r="L303" s="21"/>
    </row>
    <row r="304" customFormat="false" ht="15" hidden="false" customHeight="false" outlineLevel="0" collapsed="false">
      <c r="A304" s="20" t="s">
        <v>1274</v>
      </c>
      <c r="B304" s="22" t="s">
        <v>1107</v>
      </c>
      <c r="C304" s="22" t="s">
        <v>1150</v>
      </c>
      <c r="D304" s="22" t="s">
        <v>1060</v>
      </c>
      <c r="E304" s="23"/>
      <c r="F304" s="23"/>
      <c r="G304" s="23"/>
      <c r="H304" s="23"/>
      <c r="I304" s="24" t="str">
        <f aca="false">IF(OR(E304="",E304="!!!",F304="NEW"),"",INDEX(B35:B$270,-1+SUMPRODUCT(MAX(ROW(E35:E$270)*(E304=E35:E$270)))))</f>
        <v/>
      </c>
      <c r="J304" s="24" t="str">
        <f aca="true">IF(OR(E304="",E304="!!!",F304="NEW"),"",COUNTBLANK(OFFSET(A$1,,,SUMPRODUCT(MAX(ROW(E$2:E304)*(E304=E$2:E304)))))-COUNTBLANK(OFFSET(A$1,,,SUMPRODUCT(MAX(ROW(E$1:E303)*(E2=E$1:E303))))))</f>
        <v/>
      </c>
      <c r="K304" s="24" t="str">
        <f aca="false">IF(OR(E304="",E304="!!!",F304="NEW"),"",INDEX(J$1:J303,SUMPRODUCT(MAX(ROW(E$1:E303)*(E304=E$1:E303)))))</f>
        <v/>
      </c>
      <c r="L304" s="21"/>
    </row>
    <row r="305" customFormat="false" ht="15" hidden="false" customHeight="false" outlineLevel="0" collapsed="false">
      <c r="A305" s="20" t="s">
        <v>1064</v>
      </c>
      <c r="E305" s="23"/>
      <c r="F305" s="25"/>
      <c r="G305" s="26"/>
      <c r="H305" s="27"/>
      <c r="I305" s="24" t="str">
        <f aca="false">IF(OR(E305="",E305="!!!",F305="NEW"),"",INDEX(B36:B$270,-1+SUMPRODUCT(MAX(ROW(E36:E$270)*(E305=E36:E$270)))))</f>
        <v/>
      </c>
      <c r="J305" s="24" t="str">
        <f aca="true">IF(OR(E305="",E305="!!!",F305="NEW"),"",COUNTBLANK(OFFSET(A$1,,,SUMPRODUCT(MAX(ROW(E$2:E305)*(E305=E$2:E305)))))-COUNTBLANK(OFFSET(A$1,,,SUMPRODUCT(MAX(ROW(E$1:E304)*(E2=E$1:E304))))))</f>
        <v/>
      </c>
      <c r="K305" s="24" t="str">
        <f aca="false">IF(OR(E305="",E305="!!!",F305="NEW"),"",INDEX(J$1:J304,SUMPRODUCT(MAX(ROW(E$1:E304)*(E305=E$1:E304)))))</f>
        <v/>
      </c>
      <c r="L305" s="21"/>
    </row>
    <row r="306" customFormat="false" ht="15" hidden="false" customHeight="false" outlineLevel="0" collapsed="false">
      <c r="A306" s="20" t="s">
        <v>1206</v>
      </c>
      <c r="B306" s="22" t="s">
        <v>1098</v>
      </c>
      <c r="C306" s="22" t="s">
        <v>1160</v>
      </c>
      <c r="E306" s="23"/>
      <c r="F306" s="25"/>
      <c r="G306" s="26"/>
      <c r="H306" s="27"/>
      <c r="I306" s="24" t="str">
        <f aca="false">IF(OR(E306="",E306="!!!",F306="NEW"),"",INDEX(B37:B$270,-1+SUMPRODUCT(MAX(ROW(E37:E$270)*(E306=E37:E$270)))))</f>
        <v/>
      </c>
      <c r="J306" s="24" t="str">
        <f aca="true">IF(OR(E306="",E306="!!!",F306="NEW"),"",COUNTBLANK(OFFSET(A$1,,,SUMPRODUCT(MAX(ROW(E$2:E306)*(E306=E$2:E306)))))-COUNTBLANK(OFFSET(A$1,,,SUMPRODUCT(MAX(ROW(E$1:E305)*(E2=E$1:E305))))))</f>
        <v/>
      </c>
      <c r="K306" s="24" t="str">
        <f aca="false">IF(OR(E306="",E306="!!!",F306="NEW"),"",INDEX(J$1:J305,SUMPRODUCT(MAX(ROW(E$1:E305)*(E306=E$1:E305)))))</f>
        <v/>
      </c>
      <c r="L306" s="21"/>
    </row>
    <row r="307" customFormat="false" ht="15" hidden="false" customHeight="false" outlineLevel="0" collapsed="false">
      <c r="A307" s="20" t="s">
        <v>923</v>
      </c>
      <c r="E307" s="23"/>
      <c r="F307" s="25"/>
      <c r="G307" s="26"/>
      <c r="H307" s="27"/>
      <c r="I307" s="24" t="str">
        <f aca="false">IF(OR(E307="",E307="!!!",F307="NEW"),"",INDEX(B38:B$270,-1+SUMPRODUCT(MAX(ROW(E38:E$270)*(E307=E38:E$270)))))</f>
        <v/>
      </c>
      <c r="J307" s="24" t="str">
        <f aca="true">IF(OR(E307="",E307="!!!",F307="NEW"),"",COUNTBLANK(OFFSET(A$1,,,SUMPRODUCT(MAX(ROW(E$2:E307)*(E307=E$2:E307)))))-COUNTBLANK(OFFSET(A$1,,,SUMPRODUCT(MAX(ROW(E$1:E306)*(E2=E$1:E306))))))</f>
        <v/>
      </c>
      <c r="K307" s="24" t="str">
        <f aca="false">IF(OR(E307="",E307="!!!",F307="NEW"),"",INDEX(J$1:J306,SUMPRODUCT(MAX(ROW(E$1:E306)*(E307=E$1:E306)))))</f>
        <v/>
      </c>
      <c r="L307" s="21"/>
    </row>
    <row r="308" customFormat="false" ht="15" hidden="false" customHeight="false" outlineLevel="0" collapsed="false">
      <c r="A308" s="20"/>
      <c r="L308" s="21"/>
    </row>
    <row r="309" customFormat="false" ht="15" hidden="false" customHeight="false" outlineLevel="0" collapsed="false">
      <c r="A309" s="20" t="s">
        <v>1275</v>
      </c>
      <c r="L309" s="21" t="s">
        <v>1276</v>
      </c>
    </row>
    <row r="310" customFormat="false" ht="15" hidden="false" customHeight="false" outlineLevel="0" collapsed="false">
      <c r="A310" s="20" t="s">
        <v>1277</v>
      </c>
      <c r="B310" s="22" t="s">
        <v>1058</v>
      </c>
      <c r="C310" s="22" t="s">
        <v>1082</v>
      </c>
      <c r="D310" s="22" t="s">
        <v>1060</v>
      </c>
      <c r="E310" s="23" t="s">
        <v>1187</v>
      </c>
      <c r="F310" s="23" t="s">
        <v>1083</v>
      </c>
      <c r="G310" s="23" t="s">
        <v>1084</v>
      </c>
      <c r="H310" s="23"/>
      <c r="I310" s="24" t="str">
        <f aca="false">IF(OR(E310="",E310="!!!",F310="NEW"),"",INDEX(B2:B$309,-1+SUMPRODUCT(MAX(ROW(E2:E$309)*(E310=E2:E$309)))))</f>
        <v>SBJ_4</v>
      </c>
      <c r="J310" s="24" t="n">
        <f aca="true">IF(OR(E310="",E310="!!!",F310="NEW"),"",COUNTBLANK(OFFSET(A$1,,,SUMPRODUCT(MAX(ROW(E$2:E310)*(E310=E$2:E310)))))-COUNTBLANK(OFFSET(A$1,,,SUMPRODUCT(MAX(ROW(E$1:E309)*(E2=E$1:E309))))))</f>
        <v>0</v>
      </c>
      <c r="K310" s="24" t="n">
        <f aca="false">IF(OR(E310="",E310="!!!",F310="NEW"),"",INDEX(J$1:J309,SUMPRODUCT(MAX(ROW(E$1:E309)*(E310=E$1:E309)))))</f>
        <v>0</v>
      </c>
      <c r="L310" s="21"/>
    </row>
    <row r="311" customFormat="false" ht="15" hidden="false" customHeight="false" outlineLevel="0" collapsed="false">
      <c r="A311" s="20" t="s">
        <v>1278</v>
      </c>
      <c r="E311" s="23"/>
      <c r="F311" s="25"/>
      <c r="G311" s="26"/>
      <c r="H311" s="27"/>
      <c r="I311" s="24" t="str">
        <f aca="false">IF(OR(E311="",E311="!!!",F311="NEW"),"",INDEX(B3:B$309,-1+SUMPRODUCT(MAX(ROW(E3:E$309)*(E311=E3:E$309)))))</f>
        <v/>
      </c>
      <c r="J311" s="24" t="str">
        <f aca="true">IF(OR(E311="",E311="!!!",F311="NEW"),"",COUNTBLANK(OFFSET(A$1,,,SUMPRODUCT(MAX(ROW(E$2:E311)*(E311=E$2:E311)))))-COUNTBLANK(OFFSET(A$1,,,SUMPRODUCT(MAX(ROW(E$1:E310)*(E2=E$1:E310))))))</f>
        <v/>
      </c>
      <c r="K311" s="24" t="str">
        <f aca="false">IF(OR(E311="",E311="!!!",F311="NEW"),"",INDEX(J$1:J310,SUMPRODUCT(MAX(ROW(E$1:E310)*(E311=E$1:E310)))))</f>
        <v/>
      </c>
      <c r="L311" s="21"/>
    </row>
    <row r="312" customFormat="false" ht="15" hidden="false" customHeight="false" outlineLevel="0" collapsed="false">
      <c r="A312" s="20" t="s">
        <v>1279</v>
      </c>
      <c r="E312" s="23"/>
      <c r="F312" s="25"/>
      <c r="G312" s="26"/>
      <c r="H312" s="27"/>
      <c r="I312" s="24" t="str">
        <f aca="false">IF(OR(E312="",E312="!!!",F312="NEW"),"",INDEX(B4:B$309,-1+SUMPRODUCT(MAX(ROW(E4:E$309)*(E312=E4:E$309)))))</f>
        <v/>
      </c>
      <c r="J312" s="24" t="str">
        <f aca="true">IF(OR(E312="",E312="!!!",F312="NEW"),"",COUNTBLANK(OFFSET(A$1,,,SUMPRODUCT(MAX(ROW(E$2:E312)*(E312=E$2:E312)))))-COUNTBLANK(OFFSET(A$1,,,SUMPRODUCT(MAX(ROW(E$1:E311)*(E2=E$1:E311))))))</f>
        <v/>
      </c>
      <c r="K312" s="24" t="str">
        <f aca="false">IF(OR(E312="",E312="!!!",F312="NEW"),"",INDEX(J$1:J311,SUMPRODUCT(MAX(ROW(E$1:E311)*(E312=E$1:E311)))))</f>
        <v/>
      </c>
      <c r="L312" s="21"/>
    </row>
    <row r="313" customFormat="false" ht="15" hidden="false" customHeight="false" outlineLevel="0" collapsed="false">
      <c r="A313" s="20" t="s">
        <v>61</v>
      </c>
      <c r="E313" s="23"/>
      <c r="F313" s="25"/>
      <c r="G313" s="26"/>
      <c r="H313" s="27"/>
      <c r="I313" s="24" t="str">
        <f aca="false">IF(OR(E313="",E313="!!!",F313="NEW"),"",INDEX(B5:B$309,-1+SUMPRODUCT(MAX(ROW(E5:E$309)*(E313=E5:E$309)))))</f>
        <v/>
      </c>
      <c r="J313" s="24" t="str">
        <f aca="true">IF(OR(E313="",E313="!!!",F313="NEW"),"",COUNTBLANK(OFFSET(A$1,,,SUMPRODUCT(MAX(ROW(E$2:E313)*(E313=E$2:E313)))))-COUNTBLANK(OFFSET(A$1,,,SUMPRODUCT(MAX(ROW(E$1:E312)*(E2=E$1:E312))))))</f>
        <v/>
      </c>
      <c r="K313" s="24" t="str">
        <f aca="false">IF(OR(E313="",E313="!!!",F313="NEW"),"",INDEX(J$1:J312,SUMPRODUCT(MAX(ROW(E$1:E312)*(E313=E$1:E312)))))</f>
        <v/>
      </c>
      <c r="L313" s="21"/>
    </row>
    <row r="314" customFormat="false" ht="15" hidden="false" customHeight="false" outlineLevel="0" collapsed="false">
      <c r="A314" s="20" t="s">
        <v>1280</v>
      </c>
      <c r="E314" s="23"/>
      <c r="F314" s="25"/>
      <c r="G314" s="26"/>
      <c r="H314" s="27"/>
      <c r="I314" s="24" t="str">
        <f aca="false">IF(OR(E314="",E314="!!!",F314="NEW"),"",INDEX(B6:B$309,-1+SUMPRODUCT(MAX(ROW(E6:E$309)*(E314=E6:E$309)))))</f>
        <v/>
      </c>
      <c r="J314" s="24" t="str">
        <f aca="true">IF(OR(E314="",E314="!!!",F314="NEW"),"",COUNTBLANK(OFFSET(A$1,,,SUMPRODUCT(MAX(ROW(E$2:E314)*(E314=E$2:E314)))))-COUNTBLANK(OFFSET(A$1,,,SUMPRODUCT(MAX(ROW(E$1:E313)*(E2=E$1:E313))))))</f>
        <v/>
      </c>
      <c r="K314" s="24" t="str">
        <f aca="false">IF(OR(E314="",E314="!!!",F314="NEW"),"",INDEX(J$1:J313,SUMPRODUCT(MAX(ROW(E$1:E313)*(E314=E$1:E313)))))</f>
        <v/>
      </c>
      <c r="L314" s="21"/>
    </row>
    <row r="315" customFormat="false" ht="15" hidden="false" customHeight="false" outlineLevel="0" collapsed="false">
      <c r="A315" s="20" t="s">
        <v>1095</v>
      </c>
      <c r="E315" s="23"/>
      <c r="F315" s="25"/>
      <c r="G315" s="26"/>
      <c r="H315" s="27"/>
      <c r="I315" s="24" t="str">
        <f aca="false">IF(OR(E315="",E315="!!!",F315="NEW"),"",INDEX(B7:B$309,-1+SUMPRODUCT(MAX(ROW(E7:E$309)*(E315=E7:E$309)))))</f>
        <v/>
      </c>
      <c r="J315" s="24" t="str">
        <f aca="true">IF(OR(E315="",E315="!!!",F315="NEW"),"",COUNTBLANK(OFFSET(A$1,,,SUMPRODUCT(MAX(ROW(E$2:E315)*(E315=E$2:E315)))))-COUNTBLANK(OFFSET(A$1,,,SUMPRODUCT(MAX(ROW(E$1:E314)*(E2=E$1:E314))))))</f>
        <v/>
      </c>
      <c r="K315" s="24" t="str">
        <f aca="false">IF(OR(E315="",E315="!!!",F315="NEW"),"",INDEX(J$1:J314,SUMPRODUCT(MAX(ROW(E$1:E314)*(E315=E$1:E314)))))</f>
        <v/>
      </c>
      <c r="L315" s="21"/>
    </row>
    <row r="316" customFormat="false" ht="15" hidden="false" customHeight="false" outlineLevel="0" collapsed="false">
      <c r="A316" s="20" t="s">
        <v>1109</v>
      </c>
      <c r="E316" s="23"/>
      <c r="F316" s="25"/>
      <c r="G316" s="26"/>
      <c r="H316" s="27"/>
      <c r="I316" s="24" t="str">
        <f aca="false">IF(OR(E316="",E316="!!!",F316="NEW"),"",INDEX(B8:B$309,-1+SUMPRODUCT(MAX(ROW(E8:E$309)*(E316=E8:E$309)))))</f>
        <v/>
      </c>
      <c r="J316" s="24" t="str">
        <f aca="true">IF(OR(E316="",E316="!!!",F316="NEW"),"",COUNTBLANK(OFFSET(A$1,,,SUMPRODUCT(MAX(ROW(E$2:E316)*(E316=E$2:E316)))))-COUNTBLANK(OFFSET(A$1,,,SUMPRODUCT(MAX(ROW(E$1:E315)*(E2=E$1:E315))))))</f>
        <v/>
      </c>
      <c r="K316" s="24" t="str">
        <f aca="false">IF(OR(E316="",E316="!!!",F316="NEW"),"",INDEX(J$1:J315,SUMPRODUCT(MAX(ROW(E$1:E315)*(E316=E$1:E315)))))</f>
        <v/>
      </c>
      <c r="L316" s="21"/>
    </row>
    <row r="317" customFormat="false" ht="15" hidden="false" customHeight="false" outlineLevel="0" collapsed="false">
      <c r="A317" s="20" t="s">
        <v>1281</v>
      </c>
      <c r="B317" s="22" t="s">
        <v>1105</v>
      </c>
      <c r="C317" s="22" t="s">
        <v>1150</v>
      </c>
      <c r="D317" s="22" t="s">
        <v>1060</v>
      </c>
      <c r="E317" s="23" t="s">
        <v>1281</v>
      </c>
      <c r="F317" s="23" t="s">
        <v>1062</v>
      </c>
      <c r="G317" s="23" t="s">
        <v>1063</v>
      </c>
      <c r="H317" s="23"/>
      <c r="I317" s="24" t="str">
        <f aca="false">IF(OR(E317="",E317="!!!",F317="NEW"),"",INDEX(B9:B$309,-1+SUMPRODUCT(MAX(ROW(E9:E$309)*(E317=E9:E$309)))))</f>
        <v/>
      </c>
      <c r="J317" s="24" t="str">
        <f aca="true">IF(OR(E317="",E317="!!!",F317="NEW"),"",COUNTBLANK(OFFSET(A$1,,,SUMPRODUCT(MAX(ROW(E$2:E317)*(E317=E$2:E317)))))-COUNTBLANK(OFFSET(A$1,,,SUMPRODUCT(MAX(ROW(E$1:E316)*(E2=E$1:E316))))))</f>
        <v/>
      </c>
      <c r="K317" s="24" t="str">
        <f aca="false">IF(OR(E317="",E317="!!!",F317="NEW"),"",INDEX(J$1:J316,SUMPRODUCT(MAX(ROW(E$1:E316)*(E317=E$1:E316)))))</f>
        <v/>
      </c>
      <c r="L317" s="21"/>
    </row>
    <row r="318" customFormat="false" ht="15" hidden="false" customHeight="false" outlineLevel="0" collapsed="false">
      <c r="A318" s="20" t="s">
        <v>1168</v>
      </c>
      <c r="E318" s="23"/>
      <c r="F318" s="25"/>
      <c r="G318" s="26"/>
      <c r="H318" s="27"/>
      <c r="I318" s="24" t="str">
        <f aca="false">IF(OR(E318="",E318="!!!",F318="NEW"),"",INDEX(B10:B$309,-1+SUMPRODUCT(MAX(ROW(E10:E$309)*(E318=E10:E$309)))))</f>
        <v/>
      </c>
      <c r="J318" s="24" t="str">
        <f aca="true">IF(OR(E318="",E318="!!!",F318="NEW"),"",COUNTBLANK(OFFSET(A$1,,,SUMPRODUCT(MAX(ROW(E$2:E318)*(E318=E$2:E318)))))-COUNTBLANK(OFFSET(A$1,,,SUMPRODUCT(MAX(ROW(E$1:E317)*(E2=E$1:E317))))))</f>
        <v/>
      </c>
      <c r="K318" s="24" t="str">
        <f aca="false">IF(OR(E318="",E318="!!!",F318="NEW"),"",INDEX(J$1:J317,SUMPRODUCT(MAX(ROW(E$1:E317)*(E318=E$1:E317)))))</f>
        <v/>
      </c>
      <c r="L318" s="21"/>
    </row>
    <row r="319" customFormat="false" ht="15" hidden="false" customHeight="false" outlineLevel="0" collapsed="false">
      <c r="A319" s="20" t="s">
        <v>1282</v>
      </c>
      <c r="E319" s="23"/>
      <c r="F319" s="25"/>
      <c r="G319" s="26"/>
      <c r="H319" s="27"/>
      <c r="I319" s="24" t="str">
        <f aca="false">IF(OR(E319="",E319="!!!",F319="NEW"),"",INDEX(B11:B$309,-1+SUMPRODUCT(MAX(ROW(E11:E$309)*(E319=E11:E$309)))))</f>
        <v/>
      </c>
      <c r="J319" s="24" t="str">
        <f aca="true">IF(OR(E319="",E319="!!!",F319="NEW"),"",COUNTBLANK(OFFSET(A$1,,,SUMPRODUCT(MAX(ROW(E$2:E319)*(E319=E$2:E319)))))-COUNTBLANK(OFFSET(A$1,,,SUMPRODUCT(MAX(ROW(E$1:E318)*(E2=E$1:E318))))))</f>
        <v/>
      </c>
      <c r="K319" s="24" t="str">
        <f aca="false">IF(OR(E319="",E319="!!!",F319="NEW"),"",INDEX(J$1:J318,SUMPRODUCT(MAX(ROW(E$1:E318)*(E319=E$1:E318)))))</f>
        <v/>
      </c>
      <c r="L319" s="21"/>
    </row>
    <row r="320" customFormat="false" ht="15" hidden="false" customHeight="false" outlineLevel="0" collapsed="false">
      <c r="A320" s="20" t="s">
        <v>1283</v>
      </c>
      <c r="E320" s="23"/>
      <c r="F320" s="25"/>
      <c r="G320" s="26"/>
      <c r="H320" s="27"/>
      <c r="I320" s="24" t="str">
        <f aca="false">IF(OR(E320="",E320="!!!",F320="NEW"),"",INDEX(B12:B$309,-1+SUMPRODUCT(MAX(ROW(E12:E$309)*(E320=E12:E$309)))))</f>
        <v/>
      </c>
      <c r="J320" s="24" t="str">
        <f aca="true">IF(OR(E320="",E320="!!!",F320="NEW"),"",COUNTBLANK(OFFSET(A$1,,,SUMPRODUCT(MAX(ROW(E$2:E320)*(E320=E$2:E320)))))-COUNTBLANK(OFFSET(A$1,,,SUMPRODUCT(MAX(ROW(E$1:E319)*(E2=E$1:E319))))))</f>
        <v/>
      </c>
      <c r="K320" s="24" t="str">
        <f aca="false">IF(OR(E320="",E320="!!!",F320="NEW"),"",INDEX(J$1:J319,SUMPRODUCT(MAX(ROW(E$1:E319)*(E320=E$1:E319)))))</f>
        <v/>
      </c>
      <c r="L320" s="21"/>
    </row>
    <row r="321" customFormat="false" ht="15" hidden="false" customHeight="false" outlineLevel="0" collapsed="false">
      <c r="A321" s="20" t="s">
        <v>1272</v>
      </c>
      <c r="E321" s="23"/>
      <c r="F321" s="25"/>
      <c r="G321" s="26"/>
      <c r="H321" s="27"/>
      <c r="I321" s="24" t="str">
        <f aca="false">IF(OR(E321="",E321="!!!",F321="NEW"),"",INDEX(B13:B$309,-1+SUMPRODUCT(MAX(ROW(E13:E$309)*(E321=E13:E$309)))))</f>
        <v/>
      </c>
      <c r="J321" s="24" t="str">
        <f aca="true">IF(OR(E321="",E321="!!!",F321="NEW"),"",COUNTBLANK(OFFSET(A$1,,,SUMPRODUCT(MAX(ROW(E$2:E321)*(E321=E$2:E321)))))-COUNTBLANK(OFFSET(A$1,,,SUMPRODUCT(MAX(ROW(E$1:E320)*(E2=E$1:E320))))))</f>
        <v/>
      </c>
      <c r="K321" s="24" t="str">
        <f aca="false">IF(OR(E321="",E321="!!!",F321="NEW"),"",INDEX(J$1:J320,SUMPRODUCT(MAX(ROW(E$1:E320)*(E321=E$1:E320)))))</f>
        <v/>
      </c>
      <c r="L321" s="21"/>
    </row>
    <row r="322" customFormat="false" ht="15" hidden="false" customHeight="false" outlineLevel="0" collapsed="false">
      <c r="A322" s="20" t="s">
        <v>1109</v>
      </c>
      <c r="E322" s="23"/>
      <c r="F322" s="25"/>
      <c r="G322" s="26"/>
      <c r="H322" s="27"/>
      <c r="I322" s="24" t="str">
        <f aca="false">IF(OR(E322="",E322="!!!",F322="NEW"),"",INDEX(B14:B$309,-1+SUMPRODUCT(MAX(ROW(E14:E$309)*(E322=E14:E$309)))))</f>
        <v/>
      </c>
      <c r="J322" s="24" t="str">
        <f aca="true">IF(OR(E322="",E322="!!!",F322="NEW"),"",COUNTBLANK(OFFSET(A$1,,,SUMPRODUCT(MAX(ROW(E$2:E322)*(E322=E$2:E322)))))-COUNTBLANK(OFFSET(A$1,,,SUMPRODUCT(MAX(ROW(E$1:E321)*(E2=E$1:E321))))))</f>
        <v/>
      </c>
      <c r="K322" s="24" t="str">
        <f aca="false">IF(OR(E322="",E322="!!!",F322="NEW"),"",INDEX(J$1:J321,SUMPRODUCT(MAX(ROW(E$1:E321)*(E322=E$1:E321)))))</f>
        <v/>
      </c>
      <c r="L322" s="21"/>
    </row>
    <row r="323" customFormat="false" ht="15" hidden="false" customHeight="false" outlineLevel="0" collapsed="false">
      <c r="A323" s="20" t="s">
        <v>1284</v>
      </c>
      <c r="B323" s="22" t="s">
        <v>1073</v>
      </c>
      <c r="C323" s="22" t="s">
        <v>1150</v>
      </c>
      <c r="D323" s="22" t="s">
        <v>1060</v>
      </c>
      <c r="E323" s="23" t="s">
        <v>1284</v>
      </c>
      <c r="F323" s="23" t="s">
        <v>1062</v>
      </c>
      <c r="G323" s="23" t="s">
        <v>1063</v>
      </c>
      <c r="H323" s="23"/>
      <c r="I323" s="24" t="str">
        <f aca="false">IF(OR(E323="",E323="!!!",F323="NEW"),"",INDEX(B15:B$309,-1+SUMPRODUCT(MAX(ROW(E15:E$309)*(E323=E15:E$309)))))</f>
        <v/>
      </c>
      <c r="J323" s="24" t="str">
        <f aca="true">IF(OR(E323="",E323="!!!",F323="NEW"),"",COUNTBLANK(OFFSET(A$1,,,SUMPRODUCT(MAX(ROW(E$2:E323)*(E323=E$2:E323)))))-COUNTBLANK(OFFSET(A$1,,,SUMPRODUCT(MAX(ROW(E$1:E322)*(E2=E$1:E322))))))</f>
        <v/>
      </c>
      <c r="K323" s="24" t="str">
        <f aca="false">IF(OR(E323="",E323="!!!",F323="NEW"),"",INDEX(J$1:J322,SUMPRODUCT(MAX(ROW(E$1:E322)*(E323=E$1:E322)))))</f>
        <v/>
      </c>
      <c r="L323" s="21"/>
    </row>
    <row r="324" customFormat="false" ht="15" hidden="false" customHeight="false" outlineLevel="0" collapsed="false">
      <c r="A324" s="20" t="s">
        <v>1064</v>
      </c>
      <c r="E324" s="23"/>
      <c r="F324" s="25"/>
      <c r="G324" s="26"/>
      <c r="H324" s="27"/>
      <c r="I324" s="24" t="str">
        <f aca="false">IF(OR(E324="",E324="!!!",F324="NEW"),"",INDEX(B16:B$309,-1+SUMPRODUCT(MAX(ROW(E16:E$309)*(E324=E16:E$309)))))</f>
        <v/>
      </c>
      <c r="J324" s="24" t="str">
        <f aca="true">IF(OR(E324="",E324="!!!",F324="NEW"),"",COUNTBLANK(OFFSET(A$1,,,SUMPRODUCT(MAX(ROW(E$2:E324)*(E324=E$2:E324)))))-COUNTBLANK(OFFSET(A$1,,,SUMPRODUCT(MAX(ROW(E$1:E323)*(E2=E$1:E323))))))</f>
        <v/>
      </c>
      <c r="K324" s="24" t="str">
        <f aca="false">IF(OR(E324="",E324="!!!",F324="NEW"),"",INDEX(J$1:J323,SUMPRODUCT(MAX(ROW(E$1:E323)*(E324=E$1:E323)))))</f>
        <v/>
      </c>
      <c r="L324" s="21"/>
    </row>
    <row r="325" customFormat="false" ht="15" hidden="false" customHeight="false" outlineLevel="0" collapsed="false">
      <c r="A325" s="20" t="s">
        <v>1109</v>
      </c>
      <c r="E325" s="23"/>
      <c r="F325" s="25"/>
      <c r="G325" s="26"/>
      <c r="H325" s="27"/>
      <c r="I325" s="24" t="str">
        <f aca="false">IF(OR(E325="",E325="!!!",F325="NEW"),"",INDEX(B17:B$309,-1+SUMPRODUCT(MAX(ROW(E17:E$309)*(E325=E17:E$309)))))</f>
        <v/>
      </c>
      <c r="J325" s="24" t="str">
        <f aca="true">IF(OR(E325="",E325="!!!",F325="NEW"),"",COUNTBLANK(OFFSET(A$1,,,SUMPRODUCT(MAX(ROW(E$2:E325)*(E325=E$2:E325)))))-COUNTBLANK(OFFSET(A$1,,,SUMPRODUCT(MAX(ROW(E$1:E324)*(E2=E$1:E324))))))</f>
        <v/>
      </c>
      <c r="K325" s="24" t="str">
        <f aca="false">IF(OR(E325="",E325="!!!",F325="NEW"),"",INDEX(J$1:J324,SUMPRODUCT(MAX(ROW(E$1:E324)*(E325=E$1:E324)))))</f>
        <v/>
      </c>
      <c r="L325" s="21"/>
    </row>
    <row r="326" customFormat="false" ht="15" hidden="false" customHeight="false" outlineLevel="0" collapsed="false">
      <c r="A326" s="20" t="s">
        <v>1285</v>
      </c>
      <c r="B326" s="22" t="s">
        <v>1067</v>
      </c>
      <c r="C326" s="22" t="s">
        <v>1150</v>
      </c>
      <c r="D326" s="22" t="s">
        <v>1060</v>
      </c>
      <c r="E326" s="23" t="s">
        <v>1285</v>
      </c>
      <c r="F326" s="23" t="s">
        <v>1062</v>
      </c>
      <c r="G326" s="23" t="s">
        <v>1253</v>
      </c>
      <c r="H326" s="23"/>
      <c r="I326" s="24" t="str">
        <f aca="false">IF(OR(E326="",E326="!!!",F326="NEW"),"",INDEX(B18:B$309,-1+SUMPRODUCT(MAX(ROW(E18:E$309)*(E326=E18:E$309)))))</f>
        <v/>
      </c>
      <c r="J326" s="24" t="str">
        <f aca="true">IF(OR(E326="",E326="!!!",F326="NEW"),"",COUNTBLANK(OFFSET(A$1,,,SUMPRODUCT(MAX(ROW(E$2:E326)*(E326=E$2:E326)))))-COUNTBLANK(OFFSET(A$1,,,SUMPRODUCT(MAX(ROW(E$1:E325)*(E2=E$1:E325))))))</f>
        <v/>
      </c>
      <c r="K326" s="24" t="str">
        <f aca="false">IF(OR(E326="",E326="!!!",F326="NEW"),"",INDEX(J$1:J325,SUMPRODUCT(MAX(ROW(E$1:E325)*(E326=E$1:E325)))))</f>
        <v/>
      </c>
      <c r="L326" s="21"/>
    </row>
    <row r="327" customFormat="false" ht="15" hidden="false" customHeight="false" outlineLevel="0" collapsed="false">
      <c r="A327" s="20" t="s">
        <v>923</v>
      </c>
      <c r="E327" s="23"/>
      <c r="F327" s="25"/>
      <c r="G327" s="26"/>
      <c r="H327" s="27"/>
      <c r="I327" s="24" t="str">
        <f aca="false">IF(OR(E327="",E327="!!!",F327="NEW"),"",INDEX(B19:B$309,-1+SUMPRODUCT(MAX(ROW(E19:E$309)*(E327=E19:E$309)))))</f>
        <v/>
      </c>
      <c r="J327" s="24" t="str">
        <f aca="true">IF(OR(E327="",E327="!!!",F327="NEW"),"",COUNTBLANK(OFFSET(A$1,,,SUMPRODUCT(MAX(ROW(E$2:E327)*(E327=E$2:E327)))))-COUNTBLANK(OFFSET(A$1,,,SUMPRODUCT(MAX(ROW(E$1:E326)*(E2=E$1:E326))))))</f>
        <v/>
      </c>
      <c r="K327" s="24" t="str">
        <f aca="false">IF(OR(E327="",E327="!!!",F327="NEW"),"",INDEX(J$1:J326,SUMPRODUCT(MAX(ROW(E$1:E326)*(E327=E$1:E326)))))</f>
        <v/>
      </c>
      <c r="L327" s="21"/>
    </row>
    <row r="328" customFormat="false" ht="15" hidden="false" customHeight="false" outlineLevel="0" collapsed="false">
      <c r="A328" s="20"/>
      <c r="L328" s="21"/>
    </row>
    <row r="329" customFormat="false" ht="15" hidden="false" customHeight="false" outlineLevel="0" collapsed="false">
      <c r="A329" s="20" t="s">
        <v>1286</v>
      </c>
      <c r="L329" s="21"/>
    </row>
    <row r="330" customFormat="false" ht="15" hidden="false" customHeight="false" outlineLevel="0" collapsed="false">
      <c r="A330" s="20" t="s">
        <v>1148</v>
      </c>
      <c r="E330" s="23"/>
      <c r="F330" s="25"/>
      <c r="G330" s="26"/>
      <c r="H330" s="27"/>
      <c r="I330" s="24" t="str">
        <f aca="false">IF(OR(E330="",E330="!!!",F330="NEW"),"",INDEX(B2:B$329,-1+SUMPRODUCT(MAX(ROW(E2:E$329)*(E330=E2:E$329)))))</f>
        <v/>
      </c>
      <c r="J330" s="24" t="str">
        <f aca="true">IF(OR(E330="",E330="!!!",F330="NEW"),"",COUNTBLANK(OFFSET(A$1,,,SUMPRODUCT(MAX(ROW(E$2:E330)*(E330=E$2:E330)))))-COUNTBLANK(OFFSET(A$1,,,SUMPRODUCT(MAX(ROW(E$1:E329)*(E2=E$1:E329))))))</f>
        <v/>
      </c>
      <c r="K330" s="24" t="str">
        <f aca="false">IF(OR(E330="",E330="!!!",F330="NEW"),"",INDEX(J$1:J329,SUMPRODUCT(MAX(ROW(E$1:E329)*(E330=E$1:E329)))))</f>
        <v/>
      </c>
      <c r="L330" s="21"/>
    </row>
    <row r="331" customFormat="false" ht="15" hidden="false" customHeight="false" outlineLevel="0" collapsed="false">
      <c r="A331" s="20" t="s">
        <v>1252</v>
      </c>
      <c r="B331" s="22" t="s">
        <v>1058</v>
      </c>
      <c r="C331" s="22" t="s">
        <v>1150</v>
      </c>
      <c r="D331" s="22" t="s">
        <v>1060</v>
      </c>
      <c r="E331" s="23" t="s">
        <v>1252</v>
      </c>
      <c r="F331" s="23" t="s">
        <v>1083</v>
      </c>
      <c r="G331" s="23" t="s">
        <v>1070</v>
      </c>
      <c r="H331" s="23"/>
      <c r="I331" s="28" t="n">
        <f aca="false">IF(OR(E331="",E331="!!!",F331="NEW"),"",INDEX(B3:B$329,-1+SUMPRODUCT(MAX(ROW(E3:E$329)*(E331=E3:E$329)))))</f>
        <v>0</v>
      </c>
      <c r="J331" s="24" t="n">
        <f aca="true">IF(OR(E331="",E331="!!!",F331="NEW"),"",COUNTBLANK(OFFSET(A$1,,,SUMPRODUCT(MAX(ROW(E$2:E331)*(E331=E$2:E331)))))-COUNTBLANK(OFFSET(A$1,,,SUMPRODUCT(MAX(ROW(E$1:E330)*(E2=E$1:E330))))))</f>
        <v>0</v>
      </c>
      <c r="K331" s="24" t="str">
        <f aca="false">IF(OR(E331="",E331="!!!",F331="NEW"),"",INDEX(J$1:J330,SUMPRODUCT(MAX(ROW(E$1:E330)*(E331=E$1:E330)))))</f>
        <v/>
      </c>
      <c r="L331" s="21"/>
    </row>
    <row r="332" customFormat="false" ht="15" hidden="false" customHeight="false" outlineLevel="0" collapsed="false">
      <c r="A332" s="20" t="s">
        <v>1092</v>
      </c>
      <c r="E332" s="23"/>
      <c r="F332" s="25"/>
      <c r="G332" s="26"/>
      <c r="H332" s="27"/>
      <c r="I332" s="24" t="str">
        <f aca="false">IF(OR(E332="",E332="!!!",F332="NEW"),"",INDEX(B4:B$329,-1+SUMPRODUCT(MAX(ROW(E4:E$329)*(E332=E4:E$329)))))</f>
        <v/>
      </c>
      <c r="J332" s="24" t="str">
        <f aca="true">IF(OR(E332="",E332="!!!",F332="NEW"),"",COUNTBLANK(OFFSET(A$1,,,SUMPRODUCT(MAX(ROW(E$2:E332)*(E332=E$2:E332)))))-COUNTBLANK(OFFSET(A$1,,,SUMPRODUCT(MAX(ROW(E$1:E331)*(E2=E$1:E331))))))</f>
        <v/>
      </c>
      <c r="K332" s="24" t="str">
        <f aca="false">IF(OR(E332="",E332="!!!",F332="NEW"),"",INDEX(J$1:J331,SUMPRODUCT(MAX(ROW(E$1:E331)*(E332=E$1:E331)))))</f>
        <v/>
      </c>
      <c r="L332" s="21"/>
    </row>
    <row r="333" customFormat="false" ht="15" hidden="false" customHeight="false" outlineLevel="0" collapsed="false">
      <c r="A333" s="20" t="s">
        <v>1287</v>
      </c>
      <c r="E333" s="23"/>
      <c r="F333" s="25"/>
      <c r="G333" s="26"/>
      <c r="H333" s="27"/>
      <c r="I333" s="24" t="str">
        <f aca="false">IF(OR(E333="",E333="!!!",F333="NEW"),"",INDEX(B5:B$329,-1+SUMPRODUCT(MAX(ROW(E5:E$329)*(E333=E5:E$329)))))</f>
        <v/>
      </c>
      <c r="J333" s="24" t="str">
        <f aca="true">IF(OR(E333="",E333="!!!",F333="NEW"),"",COUNTBLANK(OFFSET(A$1,,,SUMPRODUCT(MAX(ROW(E$2:E333)*(E333=E$2:E333)))))-COUNTBLANK(OFFSET(A$1,,,SUMPRODUCT(MAX(ROW(E$1:E332)*(E2=E$1:E332))))))</f>
        <v/>
      </c>
      <c r="K333" s="24" t="str">
        <f aca="false">IF(OR(E333="",E333="!!!",F333="NEW"),"",INDEX(J$1:J332,SUMPRODUCT(MAX(ROW(E$1:E332)*(E333=E$1:E332)))))</f>
        <v/>
      </c>
      <c r="L333" s="21"/>
    </row>
    <row r="334" customFormat="false" ht="15" hidden="false" customHeight="false" outlineLevel="0" collapsed="false">
      <c r="A334" s="20" t="s">
        <v>1288</v>
      </c>
      <c r="E334" s="23"/>
      <c r="F334" s="25"/>
      <c r="G334" s="26"/>
      <c r="H334" s="27"/>
      <c r="I334" s="24" t="str">
        <f aca="false">IF(OR(E334="",E334="!!!",F334="NEW"),"",INDEX(B6:B$329,-1+SUMPRODUCT(MAX(ROW(E6:E$329)*(E334=E6:E$329)))))</f>
        <v/>
      </c>
      <c r="J334" s="24" t="str">
        <f aca="true">IF(OR(E334="",E334="!!!",F334="NEW"),"",COUNTBLANK(OFFSET(A$1,,,SUMPRODUCT(MAX(ROW(E$2:E334)*(E334=E$2:E334)))))-COUNTBLANK(OFFSET(A$1,,,SUMPRODUCT(MAX(ROW(E$1:E333)*(E2=E$1:E333))))))</f>
        <v/>
      </c>
      <c r="K334" s="24" t="str">
        <f aca="false">IF(OR(E334="",E334="!!!",F334="NEW"),"",INDEX(J$1:J333,SUMPRODUCT(MAX(ROW(E$1:E333)*(E334=E$1:E333)))))</f>
        <v/>
      </c>
      <c r="L334" s="21"/>
    </row>
    <row r="335" customFormat="false" ht="15" hidden="false" customHeight="false" outlineLevel="0" collapsed="false">
      <c r="A335" s="20" t="s">
        <v>1128</v>
      </c>
      <c r="E335" s="23"/>
      <c r="F335" s="25"/>
      <c r="G335" s="26"/>
      <c r="H335" s="27"/>
      <c r="I335" s="24" t="str">
        <f aca="false">IF(OR(E335="",E335="!!!",F335="NEW"),"",INDEX(B7:B$329,-1+SUMPRODUCT(MAX(ROW(E7:E$329)*(E335=E7:E$329)))))</f>
        <v/>
      </c>
      <c r="J335" s="24" t="str">
        <f aca="true">IF(OR(E335="",E335="!!!",F335="NEW"),"",COUNTBLANK(OFFSET(A$1,,,SUMPRODUCT(MAX(ROW(E$2:E335)*(E335=E$2:E335)))))-COUNTBLANK(OFFSET(A$1,,,SUMPRODUCT(MAX(ROW(E$1:E334)*(E2=E$1:E334))))))</f>
        <v/>
      </c>
      <c r="K335" s="24" t="str">
        <f aca="false">IF(OR(E335="",E335="!!!",F335="NEW"),"",INDEX(J$1:J334,SUMPRODUCT(MAX(ROW(E$1:E334)*(E335=E$1:E334)))))</f>
        <v/>
      </c>
      <c r="L335" s="21"/>
    </row>
    <row r="336" customFormat="false" ht="15" hidden="false" customHeight="false" outlineLevel="0" collapsed="false">
      <c r="A336" s="20" t="s">
        <v>1289</v>
      </c>
      <c r="E336" s="23"/>
      <c r="F336" s="25"/>
      <c r="G336" s="26"/>
      <c r="H336" s="27"/>
      <c r="I336" s="24" t="str">
        <f aca="false">IF(OR(E336="",E336="!!!",F336="NEW"),"",INDEX(B8:B$329,-1+SUMPRODUCT(MAX(ROW(E8:E$329)*(E336=E8:E$329)))))</f>
        <v/>
      </c>
      <c r="J336" s="24" t="str">
        <f aca="true">IF(OR(E336="",E336="!!!",F336="NEW"),"",COUNTBLANK(OFFSET(A$1,,,SUMPRODUCT(MAX(ROW(E$2:E336)*(E336=E$2:E336)))))-COUNTBLANK(OFFSET(A$1,,,SUMPRODUCT(MAX(ROW(E$1:E335)*(E2=E$1:E335))))))</f>
        <v/>
      </c>
      <c r="K336" s="24" t="str">
        <f aca="false">IF(OR(E336="",E336="!!!",F336="NEW"),"",INDEX(J$1:J335,SUMPRODUCT(MAX(ROW(E$1:E335)*(E336=E$1:E335)))))</f>
        <v/>
      </c>
      <c r="L336" s="21"/>
    </row>
    <row r="337" customFormat="false" ht="15" hidden="false" customHeight="false" outlineLevel="0" collapsed="false">
      <c r="A337" s="20" t="s">
        <v>1095</v>
      </c>
      <c r="E337" s="23"/>
      <c r="F337" s="25"/>
      <c r="G337" s="26"/>
      <c r="H337" s="27"/>
      <c r="I337" s="24" t="str">
        <f aca="false">IF(OR(E337="",E337="!!!",F337="NEW"),"",INDEX(B9:B$329,-1+SUMPRODUCT(MAX(ROW(E9:E$329)*(E337=E9:E$329)))))</f>
        <v/>
      </c>
      <c r="J337" s="24" t="str">
        <f aca="true">IF(OR(E337="",E337="!!!",F337="NEW"),"",COUNTBLANK(OFFSET(A$1,,,SUMPRODUCT(MAX(ROW(E$2:E337)*(E337=E$2:E337)))))-COUNTBLANK(OFFSET(A$1,,,SUMPRODUCT(MAX(ROW(E$1:E336)*(E2=E$1:E336))))))</f>
        <v/>
      </c>
      <c r="K337" s="24" t="str">
        <f aca="false">IF(OR(E337="",E337="!!!",F337="NEW"),"",INDEX(J$1:J336,SUMPRODUCT(MAX(ROW(E$1:E336)*(E337=E$1:E336)))))</f>
        <v/>
      </c>
      <c r="L337" s="21"/>
    </row>
    <row r="338" customFormat="false" ht="15" hidden="false" customHeight="false" outlineLevel="0" collapsed="false">
      <c r="A338" s="20" t="s">
        <v>1290</v>
      </c>
      <c r="E338" s="23"/>
      <c r="F338" s="25"/>
      <c r="G338" s="26"/>
      <c r="H338" s="27"/>
      <c r="I338" s="24" t="str">
        <f aca="false">IF(OR(E338="",E338="!!!",F338="NEW"),"",INDEX(B10:B$329,-1+SUMPRODUCT(MAX(ROW(E10:E$329)*(E338=E10:E$329)))))</f>
        <v/>
      </c>
      <c r="J338" s="24" t="str">
        <f aca="true">IF(OR(E338="",E338="!!!",F338="NEW"),"",COUNTBLANK(OFFSET(A$1,,,SUMPRODUCT(MAX(ROW(E$2:E338)*(E338=E$2:E338)))))-COUNTBLANK(OFFSET(A$1,,,SUMPRODUCT(MAX(ROW(E$1:E337)*(E2=E$1:E337))))))</f>
        <v/>
      </c>
      <c r="K338" s="24" t="str">
        <f aca="false">IF(OR(E338="",E338="!!!",F338="NEW"),"",INDEX(J$1:J337,SUMPRODUCT(MAX(ROW(E$1:E337)*(E338=E$1:E337)))))</f>
        <v/>
      </c>
      <c r="L338" s="21"/>
    </row>
    <row r="339" customFormat="false" ht="15" hidden="false" customHeight="false" outlineLevel="0" collapsed="false">
      <c r="A339" s="20" t="s">
        <v>1095</v>
      </c>
      <c r="E339" s="23"/>
      <c r="F339" s="25"/>
      <c r="G339" s="26"/>
      <c r="H339" s="27"/>
      <c r="I339" s="24" t="str">
        <f aca="false">IF(OR(E339="",E339="!!!",F339="NEW"),"",INDEX(B11:B$329,-1+SUMPRODUCT(MAX(ROW(E11:E$329)*(E339=E11:E$329)))))</f>
        <v/>
      </c>
      <c r="J339" s="24" t="str">
        <f aca="true">IF(OR(E339="",E339="!!!",F339="NEW"),"",COUNTBLANK(OFFSET(A$1,,,SUMPRODUCT(MAX(ROW(E$2:E339)*(E339=E$2:E339)))))-COUNTBLANK(OFFSET(A$1,,,SUMPRODUCT(MAX(ROW(E$1:E338)*(E2=E$1:E338))))))</f>
        <v/>
      </c>
      <c r="K339" s="24" t="str">
        <f aca="false">IF(OR(E339="",E339="!!!",F339="NEW"),"",INDEX(J$1:J338,SUMPRODUCT(MAX(ROW(E$1:E338)*(E339=E$1:E338)))))</f>
        <v/>
      </c>
      <c r="L339" s="21"/>
    </row>
    <row r="340" customFormat="false" ht="15" hidden="false" customHeight="false" outlineLevel="0" collapsed="false">
      <c r="A340" s="20" t="s">
        <v>1291</v>
      </c>
      <c r="B340" s="22" t="s">
        <v>1067</v>
      </c>
      <c r="C340" s="22" t="s">
        <v>1068</v>
      </c>
      <c r="D340" s="22" t="s">
        <v>1060</v>
      </c>
      <c r="E340" s="23" t="s">
        <v>1292</v>
      </c>
      <c r="F340" s="23" t="s">
        <v>1062</v>
      </c>
      <c r="G340" s="23" t="s">
        <v>1063</v>
      </c>
      <c r="H340" s="23"/>
      <c r="I340" s="24" t="str">
        <f aca="false">IF(OR(E340="",E340="!!!",F340="NEW"),"",INDEX(B12:B$329,-1+SUMPRODUCT(MAX(ROW(E12:E$329)*(E340=E12:E$329)))))</f>
        <v/>
      </c>
      <c r="J340" s="24" t="str">
        <f aca="true">IF(OR(E340="",E340="!!!",F340="NEW"),"",COUNTBLANK(OFFSET(A$1,,,SUMPRODUCT(MAX(ROW(E$2:E340)*(E340=E$2:E340)))))-COUNTBLANK(OFFSET(A$1,,,SUMPRODUCT(MAX(ROW(E$1:E339)*(E2=E$1:E339))))))</f>
        <v/>
      </c>
      <c r="K340" s="24" t="str">
        <f aca="false">IF(OR(E340="",E340="!!!",F340="NEW"),"",INDEX(J$1:J339,SUMPRODUCT(MAX(ROW(E$1:E339)*(E340=E$1:E339)))))</f>
        <v/>
      </c>
      <c r="L340" s="21"/>
    </row>
    <row r="341" customFormat="false" ht="15" hidden="false" customHeight="false" outlineLevel="0" collapsed="false">
      <c r="A341" s="20" t="s">
        <v>1293</v>
      </c>
      <c r="E341" s="23"/>
      <c r="F341" s="25"/>
      <c r="G341" s="26"/>
      <c r="H341" s="27"/>
      <c r="I341" s="24" t="str">
        <f aca="false">IF(OR(E341="",E341="!!!",F341="NEW"),"",INDEX(B13:B$329,-1+SUMPRODUCT(MAX(ROW(E13:E$329)*(E341=E13:E$329)))))</f>
        <v/>
      </c>
      <c r="J341" s="24" t="str">
        <f aca="true">IF(OR(E341="",E341="!!!",F341="NEW"),"",COUNTBLANK(OFFSET(A$1,,,SUMPRODUCT(MAX(ROW(E$2:E341)*(E341=E$2:E341)))))-COUNTBLANK(OFFSET(A$1,,,SUMPRODUCT(MAX(ROW(E$1:E340)*(E2=E$1:E340))))))</f>
        <v/>
      </c>
      <c r="K341" s="24" t="str">
        <f aca="false">IF(OR(E341="",E341="!!!",F341="NEW"),"",INDEX(J$1:J340,SUMPRODUCT(MAX(ROW(E$1:E340)*(E341=E$1:E340)))))</f>
        <v/>
      </c>
      <c r="L341" s="21"/>
    </row>
    <row r="342" customFormat="false" ht="15" hidden="false" customHeight="false" outlineLevel="0" collapsed="false">
      <c r="A342" s="20" t="s">
        <v>1294</v>
      </c>
      <c r="E342" s="23"/>
      <c r="F342" s="25"/>
      <c r="G342" s="26"/>
      <c r="H342" s="27"/>
      <c r="I342" s="24" t="str">
        <f aca="false">IF(OR(E342="",E342="!!!",F342="NEW"),"",INDEX(B14:B$329,-1+SUMPRODUCT(MAX(ROW(E14:E$329)*(E342=E14:E$329)))))</f>
        <v/>
      </c>
      <c r="J342" s="24" t="str">
        <f aca="true">IF(OR(E342="",E342="!!!",F342="NEW"),"",COUNTBLANK(OFFSET(A$1,,,SUMPRODUCT(MAX(ROW(E$2:E342)*(E342=E$2:E342)))))-COUNTBLANK(OFFSET(A$1,,,SUMPRODUCT(MAX(ROW(E$1:E341)*(E2=E$1:E341))))))</f>
        <v/>
      </c>
      <c r="K342" s="24" t="str">
        <f aca="false">IF(OR(E342="",E342="!!!",F342="NEW"),"",INDEX(J$1:J341,SUMPRODUCT(MAX(ROW(E$1:E341)*(E342=E$1:E341)))))</f>
        <v/>
      </c>
      <c r="L342" s="21"/>
    </row>
    <row r="343" customFormat="false" ht="15" hidden="false" customHeight="false" outlineLevel="0" collapsed="false">
      <c r="A343" s="20" t="s">
        <v>1076</v>
      </c>
      <c r="E343" s="23"/>
      <c r="F343" s="25"/>
      <c r="G343" s="26"/>
      <c r="H343" s="27"/>
      <c r="I343" s="24" t="str">
        <f aca="false">IF(OR(E343="",E343="!!!",F343="NEW"),"",INDEX(B15:B$329,-1+SUMPRODUCT(MAX(ROW(E15:E$329)*(E343=E15:E$329)))))</f>
        <v/>
      </c>
      <c r="J343" s="24" t="str">
        <f aca="true">IF(OR(E343="",E343="!!!",F343="NEW"),"",COUNTBLANK(OFFSET(A$1,,,SUMPRODUCT(MAX(ROW(E$2:E343)*(E343=E$2:E343)))))-COUNTBLANK(OFFSET(A$1,,,SUMPRODUCT(MAX(ROW(E$1:E342)*(E2=E$1:E342))))))</f>
        <v/>
      </c>
      <c r="K343" s="24" t="str">
        <f aca="false">IF(OR(E343="",E343="!!!",F343="NEW"),"",INDEX(J$1:J342,SUMPRODUCT(MAX(ROW(E$1:E342)*(E343=E$1:E342)))))</f>
        <v/>
      </c>
      <c r="L343" s="21"/>
    </row>
    <row r="344" customFormat="false" ht="15" hidden="false" customHeight="false" outlineLevel="0" collapsed="false">
      <c r="A344" s="20" t="s">
        <v>1295</v>
      </c>
      <c r="E344" s="23"/>
      <c r="F344" s="25"/>
      <c r="G344" s="26"/>
      <c r="H344" s="27"/>
      <c r="I344" s="24" t="str">
        <f aca="false">IF(OR(E344="",E344="!!!",F344="NEW"),"",INDEX(B16:B$329,-1+SUMPRODUCT(MAX(ROW(E16:E$329)*(E344=E16:E$329)))))</f>
        <v/>
      </c>
      <c r="J344" s="24" t="str">
        <f aca="true">IF(OR(E344="",E344="!!!",F344="NEW"),"",COUNTBLANK(OFFSET(A$1,,,SUMPRODUCT(MAX(ROW(E$2:E344)*(E344=E$2:E344)))))-COUNTBLANK(OFFSET(A$1,,,SUMPRODUCT(MAX(ROW(E$1:E343)*(E2=E$1:E343))))))</f>
        <v/>
      </c>
      <c r="K344" s="24" t="str">
        <f aca="false">IF(OR(E344="",E344="!!!",F344="NEW"),"",INDEX(J$1:J343,SUMPRODUCT(MAX(ROW(E$1:E343)*(E344=E$1:E343)))))</f>
        <v/>
      </c>
      <c r="L344" s="21"/>
    </row>
    <row r="345" customFormat="false" ht="15" hidden="false" customHeight="false" outlineLevel="0" collapsed="false">
      <c r="A345" s="20" t="s">
        <v>1186</v>
      </c>
      <c r="B345" s="22" t="s">
        <v>1086</v>
      </c>
      <c r="C345" s="22" t="s">
        <v>1082</v>
      </c>
      <c r="D345" s="22" t="s">
        <v>1060</v>
      </c>
      <c r="E345" s="23" t="s">
        <v>1187</v>
      </c>
      <c r="F345" s="23" t="s">
        <v>1083</v>
      </c>
      <c r="G345" s="23" t="s">
        <v>1084</v>
      </c>
      <c r="H345" s="23"/>
      <c r="I345" s="28" t="n">
        <f aca="false">IF(OR(E345="",E345="!!!",F345="NEW"),"",INDEX(B17:B$329,-1+SUMPRODUCT(MAX(ROW(E17:E$329)*(E345=E17:E$329)))))</f>
        <v>0</v>
      </c>
      <c r="J345" s="24" t="n">
        <f aca="true">IF(OR(E345="",E345="!!!",F345="NEW"),"",COUNTBLANK(OFFSET(A$1,,,SUMPRODUCT(MAX(ROW(E$2:E345)*(E345=E$2:E345)))))-COUNTBLANK(OFFSET(A$1,,,SUMPRODUCT(MAX(ROW(E$1:E344)*(E2=E$1:E344))))))</f>
        <v>0</v>
      </c>
      <c r="K345" s="24" t="n">
        <f aca="false">IF(OR(E345="",E345="!!!",F345="NEW"),"",INDEX(J$1:J344,SUMPRODUCT(MAX(ROW(E$1:E344)*(E345=E$1:E344)))))</f>
        <v>0</v>
      </c>
      <c r="L345" s="21"/>
    </row>
    <row r="346" customFormat="false" ht="15" hidden="false" customHeight="false" outlineLevel="0" collapsed="false">
      <c r="A346" s="20" t="s">
        <v>1296</v>
      </c>
      <c r="E346" s="23"/>
      <c r="F346" s="25"/>
      <c r="G346" s="26"/>
      <c r="H346" s="27"/>
      <c r="I346" s="24" t="str">
        <f aca="false">IF(OR(E346="",E346="!!!",F346="NEW"),"",INDEX(B18:B$329,-1+SUMPRODUCT(MAX(ROW(E18:E$329)*(E346=E18:E$329)))))</f>
        <v/>
      </c>
      <c r="J346" s="24" t="str">
        <f aca="true">IF(OR(E346="",E346="!!!",F346="NEW"),"",COUNTBLANK(OFFSET(A$1,,,SUMPRODUCT(MAX(ROW(E$2:E346)*(E346=E$2:E346)))))-COUNTBLANK(OFFSET(A$1,,,SUMPRODUCT(MAX(ROW(E$1:E345)*(E2=E$1:E345))))))</f>
        <v/>
      </c>
      <c r="K346" s="24" t="str">
        <f aca="false">IF(OR(E346="",E346="!!!",F346="NEW"),"",INDEX(J$1:J345,SUMPRODUCT(MAX(ROW(E$1:E345)*(E346=E$1:E345)))))</f>
        <v/>
      </c>
      <c r="L346" s="21"/>
    </row>
    <row r="347" customFormat="false" ht="15" hidden="false" customHeight="false" outlineLevel="0" collapsed="false">
      <c r="A347" s="20" t="s">
        <v>1095</v>
      </c>
      <c r="E347" s="23"/>
      <c r="F347" s="25"/>
      <c r="G347" s="26"/>
      <c r="H347" s="27"/>
      <c r="I347" s="24" t="str">
        <f aca="false">IF(OR(E347="",E347="!!!",F347="NEW"),"",INDEX(B19:B$329,-1+SUMPRODUCT(MAX(ROW(E19:E$329)*(E347=E19:E$329)))))</f>
        <v/>
      </c>
      <c r="J347" s="24" t="str">
        <f aca="true">IF(OR(E347="",E347="!!!",F347="NEW"),"",COUNTBLANK(OFFSET(A$1,,,SUMPRODUCT(MAX(ROW(E$2:E347)*(E347=E$2:E347)))))-COUNTBLANK(OFFSET(A$1,,,SUMPRODUCT(MAX(ROW(E$1:E346)*(E2=E$1:E346))))))</f>
        <v/>
      </c>
      <c r="K347" s="24" t="str">
        <f aca="false">IF(OR(E347="",E347="!!!",F347="NEW"),"",INDEX(J$1:J346,SUMPRODUCT(MAX(ROW(E$1:E346)*(E347=E$1:E346)))))</f>
        <v/>
      </c>
      <c r="L347" s="21"/>
    </row>
    <row r="348" customFormat="false" ht="15" hidden="false" customHeight="false" outlineLevel="0" collapsed="false">
      <c r="A348" s="20" t="s">
        <v>1297</v>
      </c>
      <c r="E348" s="23"/>
      <c r="F348" s="25"/>
      <c r="G348" s="26"/>
      <c r="H348" s="27"/>
      <c r="I348" s="24" t="str">
        <f aca="false">IF(OR(E348="",E348="!!!",F348="NEW"),"",INDEX(B20:B$329,-1+SUMPRODUCT(MAX(ROW(E20:E$329)*(E348=E20:E$329)))))</f>
        <v/>
      </c>
      <c r="J348" s="24" t="str">
        <f aca="true">IF(OR(E348="",E348="!!!",F348="NEW"),"",COUNTBLANK(OFFSET(A$1,,,SUMPRODUCT(MAX(ROW(E$2:E348)*(E348=E$2:E348)))))-COUNTBLANK(OFFSET(A$1,,,SUMPRODUCT(MAX(ROW(E$1:E347)*(E2=E$1:E347))))))</f>
        <v/>
      </c>
      <c r="K348" s="24" t="str">
        <f aca="false">IF(OR(E348="",E348="!!!",F348="NEW"),"",INDEX(J$1:J347,SUMPRODUCT(MAX(ROW(E$1:E347)*(E348=E$1:E347)))))</f>
        <v/>
      </c>
      <c r="L348" s="21"/>
    </row>
    <row r="349" customFormat="false" ht="15" hidden="false" customHeight="false" outlineLevel="0" collapsed="false">
      <c r="A349" s="20" t="s">
        <v>1095</v>
      </c>
      <c r="E349" s="23"/>
      <c r="F349" s="25"/>
      <c r="G349" s="26"/>
      <c r="H349" s="27"/>
      <c r="I349" s="24" t="str">
        <f aca="false">IF(OR(E349="",E349="!!!",F349="NEW"),"",INDEX(B21:B$329,-1+SUMPRODUCT(MAX(ROW(E21:E$329)*(E349=E21:E$329)))))</f>
        <v/>
      </c>
      <c r="J349" s="24" t="str">
        <f aca="true">IF(OR(E349="",E349="!!!",F349="NEW"),"",COUNTBLANK(OFFSET(A$1,,,SUMPRODUCT(MAX(ROW(E$2:E349)*(E349=E$2:E349)))))-COUNTBLANK(OFFSET(A$1,,,SUMPRODUCT(MAX(ROW(E$1:E348)*(E2=E$1:E348))))))</f>
        <v/>
      </c>
      <c r="K349" s="24" t="str">
        <f aca="false">IF(OR(E349="",E349="!!!",F349="NEW"),"",INDEX(J$1:J348,SUMPRODUCT(MAX(ROW(E$1:E348)*(E349=E$1:E348)))))</f>
        <v/>
      </c>
      <c r="L349" s="21"/>
    </row>
    <row r="350" customFormat="false" ht="15" hidden="false" customHeight="false" outlineLevel="0" collapsed="false">
      <c r="A350" s="20" t="s">
        <v>1298</v>
      </c>
      <c r="E350" s="23"/>
      <c r="F350" s="25"/>
      <c r="G350" s="26"/>
      <c r="H350" s="27"/>
      <c r="I350" s="24" t="str">
        <f aca="false">IF(OR(E350="",E350="!!!",F350="NEW"),"",INDEX(B22:B$329,-1+SUMPRODUCT(MAX(ROW(E22:E$329)*(E350=E22:E$329)))))</f>
        <v/>
      </c>
      <c r="J350" s="24" t="str">
        <f aca="true">IF(OR(E350="",E350="!!!",F350="NEW"),"",COUNTBLANK(OFFSET(A$1,,,SUMPRODUCT(MAX(ROW(E$2:E350)*(E350=E$2:E350)))))-COUNTBLANK(OFFSET(A$1,,,SUMPRODUCT(MAX(ROW(E$1:E349)*(E2=E$1:E349))))))</f>
        <v/>
      </c>
      <c r="K350" s="24" t="str">
        <f aca="false">IF(OR(E350="",E350="!!!",F350="NEW"),"",INDEX(J$1:J349,SUMPRODUCT(MAX(ROW(E$1:E349)*(E350=E$1:E349)))))</f>
        <v/>
      </c>
      <c r="L350" s="21"/>
    </row>
    <row r="351" customFormat="false" ht="15" hidden="false" customHeight="false" outlineLevel="0" collapsed="false">
      <c r="A351" s="20" t="s">
        <v>1299</v>
      </c>
      <c r="B351" s="22" t="s">
        <v>1067</v>
      </c>
      <c r="C351" s="22" t="s">
        <v>1068</v>
      </c>
      <c r="D351" s="22" t="s">
        <v>1060</v>
      </c>
      <c r="E351" s="23" t="s">
        <v>1300</v>
      </c>
      <c r="F351" s="23" t="s">
        <v>1062</v>
      </c>
      <c r="G351" s="23" t="s">
        <v>1172</v>
      </c>
      <c r="H351" s="23"/>
      <c r="I351" s="24" t="str">
        <f aca="false">IF(OR(E351="",E351="!!!",F351="NEW"),"",INDEX(B23:B$329,-1+SUMPRODUCT(MAX(ROW(E23:E$329)*(E351=E23:E$329)))))</f>
        <v/>
      </c>
      <c r="J351" s="24" t="str">
        <f aca="true">IF(OR(E351="",E351="!!!",F351="NEW"),"",COUNTBLANK(OFFSET(A$1,,,SUMPRODUCT(MAX(ROW(E$2:E351)*(E351=E$2:E351)))))-COUNTBLANK(OFFSET(A$1,,,SUMPRODUCT(MAX(ROW(E$1:E350)*(E2=E$1:E350))))))</f>
        <v/>
      </c>
      <c r="K351" s="24" t="str">
        <f aca="false">IF(OR(E351="",E351="!!!",F351="NEW"),"",INDEX(J$1:J350,SUMPRODUCT(MAX(ROW(E$1:E350)*(E351=E$1:E350)))))</f>
        <v/>
      </c>
      <c r="L351" s="21"/>
    </row>
    <row r="352" customFormat="false" ht="15" hidden="false" customHeight="false" outlineLevel="0" collapsed="false">
      <c r="A352" s="20" t="s">
        <v>923</v>
      </c>
      <c r="E352" s="23"/>
      <c r="F352" s="25"/>
      <c r="G352" s="26"/>
      <c r="H352" s="27"/>
      <c r="I352" s="24" t="str">
        <f aca="false">IF(OR(E352="",E352="!!!",F352="NEW"),"",INDEX(B24:B$329,-1+SUMPRODUCT(MAX(ROW(E24:E$329)*(E352=E24:E$329)))))</f>
        <v/>
      </c>
      <c r="J352" s="24" t="str">
        <f aca="true">IF(OR(E352="",E352="!!!",F352="NEW"),"",COUNTBLANK(OFFSET(A$1,,,SUMPRODUCT(MAX(ROW(E$2:E352)*(E352=E$2:E352)))))-COUNTBLANK(OFFSET(A$1,,,SUMPRODUCT(MAX(ROW(E$1:E351)*(E2=E$1:E351))))))</f>
        <v/>
      </c>
      <c r="K352" s="24" t="str">
        <f aca="false">IF(OR(E352="",E352="!!!",F352="NEW"),"",INDEX(J$1:J351,SUMPRODUCT(MAX(ROW(E$1:E351)*(E352=E$1:E351)))))</f>
        <v/>
      </c>
      <c r="L352" s="21"/>
    </row>
    <row r="353" customFormat="false" ht="15" hidden="false" customHeight="false" outlineLevel="0" collapsed="false">
      <c r="A353" s="20"/>
      <c r="L353" s="21"/>
    </row>
    <row r="354" customFormat="false" ht="15" hidden="false" customHeight="false" outlineLevel="0" collapsed="false">
      <c r="A354" s="20" t="s">
        <v>1301</v>
      </c>
      <c r="E354" s="23"/>
      <c r="F354" s="25"/>
      <c r="G354" s="26"/>
      <c r="H354" s="27"/>
      <c r="I354" s="24" t="str">
        <f aca="false">IF(OR(E354="",E354="!!!",F354="NEW"),"",INDEX(B2:B$353,-1+SUMPRODUCT(MAX(ROW(E2:E$353)*(E354=E2:E$353)))))</f>
        <v/>
      </c>
      <c r="J354" s="24" t="str">
        <f aca="true">IF(OR(E354="",E354="!!!",F354="NEW"),"",COUNTBLANK(OFFSET(A$1,,,SUMPRODUCT(MAX(ROW(E$2:E354)*(E354=E$2:E354)))))-COUNTBLANK(OFFSET(A$1,,,SUMPRODUCT(MAX(ROW(E$1:E353)*(E2=E$1:E353))))))</f>
        <v/>
      </c>
      <c r="K354" s="24" t="str">
        <f aca="false">IF(OR(E354="",E354="!!!",F354="NEW"),"",INDEX(J$1:J353,SUMPRODUCT(MAX(ROW(E$1:E353)*(E354=E$1:E353)))))</f>
        <v/>
      </c>
      <c r="L354" s="21"/>
    </row>
    <row r="355" customFormat="false" ht="15" hidden="false" customHeight="false" outlineLevel="0" collapsed="false">
      <c r="A355" s="20" t="s">
        <v>1302</v>
      </c>
      <c r="L355" s="21"/>
    </row>
    <row r="356" customFormat="false" ht="15" hidden="false" customHeight="false" outlineLevel="0" collapsed="false">
      <c r="A356" s="20" t="s">
        <v>607</v>
      </c>
      <c r="E356" s="23"/>
      <c r="F356" s="25"/>
      <c r="G356" s="26"/>
      <c r="H356" s="27"/>
      <c r="I356" s="24" t="str">
        <f aca="false">IF(OR(E356="",E356="!!!",F356="NEW"),"",INDEX(B2:B$355,-1+SUMPRODUCT(MAX(ROW(E2:E$355)*(E356=E2:E$355)))))</f>
        <v/>
      </c>
      <c r="J356" s="24" t="str">
        <f aca="true">IF(OR(E356="",E356="!!!",F356="NEW"),"",COUNTBLANK(OFFSET(A$1,,,SUMPRODUCT(MAX(ROW(E$2:E356)*(E356=E$2:E356)))))-COUNTBLANK(OFFSET(A$1,,,SUMPRODUCT(MAX(ROW(E$1:E355)*(E2=E$1:E355))))))</f>
        <v/>
      </c>
      <c r="K356" s="24" t="str">
        <f aca="false">IF(OR(E356="",E356="!!!",F356="NEW"),"",INDEX(J$1:J355,SUMPRODUCT(MAX(ROW(E$1:E355)*(E356=E$1:E355)))))</f>
        <v/>
      </c>
      <c r="L356" s="21"/>
    </row>
    <row r="357" customFormat="false" ht="15" hidden="false" customHeight="false" outlineLevel="0" collapsed="false">
      <c r="A357" s="20" t="s">
        <v>1303</v>
      </c>
      <c r="E357" s="23"/>
      <c r="F357" s="25"/>
      <c r="G357" s="26"/>
      <c r="H357" s="27"/>
      <c r="I357" s="24" t="str">
        <f aca="false">IF(OR(E357="",E357="!!!",F357="NEW"),"",INDEX(B3:B$355,-1+SUMPRODUCT(MAX(ROW(E3:E$355)*(E357=E3:E$355)))))</f>
        <v/>
      </c>
      <c r="J357" s="24" t="str">
        <f aca="true">IF(OR(E357="",E357="!!!",F357="NEW"),"",COUNTBLANK(OFFSET(A$1,,,SUMPRODUCT(MAX(ROW(E$2:E357)*(E357=E$2:E357)))))-COUNTBLANK(OFFSET(A$1,,,SUMPRODUCT(MAX(ROW(E$1:E356)*(E2=E$1:E356))))))</f>
        <v/>
      </c>
      <c r="K357" s="24" t="str">
        <f aca="false">IF(OR(E357="",E357="!!!",F357="NEW"),"",INDEX(J$1:J356,SUMPRODUCT(MAX(ROW(E$1:E356)*(E357=E$1:E356)))))</f>
        <v/>
      </c>
      <c r="L357" s="21"/>
    </row>
    <row r="358" customFormat="false" ht="15" hidden="false" customHeight="false" outlineLevel="0" collapsed="false">
      <c r="A358" s="20" t="s">
        <v>1304</v>
      </c>
      <c r="B358" s="22" t="s">
        <v>1058</v>
      </c>
      <c r="C358" s="22" t="s">
        <v>1082</v>
      </c>
      <c r="D358" s="22" t="s">
        <v>1060</v>
      </c>
      <c r="E358" s="23" t="s">
        <v>1305</v>
      </c>
      <c r="F358" s="23" t="s">
        <v>1062</v>
      </c>
      <c r="G358" s="23" t="s">
        <v>1253</v>
      </c>
      <c r="H358" s="23"/>
      <c r="I358" s="24" t="str">
        <f aca="false">IF(OR(E358="",E358="!!!",F358="NEW"),"",INDEX(B4:B$355,-1+SUMPRODUCT(MAX(ROW(E4:E$355)*(E358=E4:E$355)))))</f>
        <v/>
      </c>
      <c r="J358" s="24" t="str">
        <f aca="true">IF(OR(E358="",E358="!!!",F358="NEW"),"",COUNTBLANK(OFFSET(A$1,,,SUMPRODUCT(MAX(ROW(E$2:E358)*(E358=E$2:E358)))))-COUNTBLANK(OFFSET(A$1,,,SUMPRODUCT(MAX(ROW(E$1:E357)*(E2=E$1:E357))))))</f>
        <v/>
      </c>
      <c r="K358" s="24" t="str">
        <f aca="false">IF(OR(E358="",E358="!!!",F358="NEW"),"",INDEX(J$1:J357,SUMPRODUCT(MAX(ROW(E$1:E357)*(E358=E$1:E357)))))</f>
        <v/>
      </c>
      <c r="L358" s="21"/>
    </row>
    <row r="359" customFormat="false" ht="15" hidden="false" customHeight="false" outlineLevel="0" collapsed="false">
      <c r="A359" s="20" t="s">
        <v>1306</v>
      </c>
      <c r="E359" s="23"/>
      <c r="F359" s="25"/>
      <c r="G359" s="26"/>
      <c r="H359" s="27"/>
      <c r="I359" s="24" t="str">
        <f aca="false">IF(OR(E359="",E359="!!!",F359="NEW"),"",INDEX(B5:B$355,-1+SUMPRODUCT(MAX(ROW(E5:E$355)*(E359=E5:E$355)))))</f>
        <v/>
      </c>
      <c r="J359" s="24" t="str">
        <f aca="true">IF(OR(E359="",E359="!!!",F359="NEW"),"",COUNTBLANK(OFFSET(A$1,,,SUMPRODUCT(MAX(ROW(E$2:E359)*(E359=E$2:E359)))))-COUNTBLANK(OFFSET(A$1,,,SUMPRODUCT(MAX(ROW(E$1:E358)*(E2=E$1:E358))))))</f>
        <v/>
      </c>
      <c r="K359" s="24" t="str">
        <f aca="false">IF(OR(E359="",E359="!!!",F359="NEW"),"",INDEX(J$1:J358,SUMPRODUCT(MAX(ROW(E$1:E358)*(E359=E$1:E358)))))</f>
        <v/>
      </c>
      <c r="L359" s="21"/>
    </row>
    <row r="360" customFormat="false" ht="15" hidden="false" customHeight="false" outlineLevel="0" collapsed="false">
      <c r="A360" s="20" t="s">
        <v>1076</v>
      </c>
      <c r="E360" s="23"/>
      <c r="F360" s="25"/>
      <c r="G360" s="26"/>
      <c r="H360" s="27"/>
      <c r="I360" s="24" t="str">
        <f aca="false">IF(OR(E360="",E360="!!!",F360="NEW"),"",INDEX(B6:B$355,-1+SUMPRODUCT(MAX(ROW(E6:E$355)*(E360=E6:E$355)))))</f>
        <v/>
      </c>
      <c r="J360" s="24" t="str">
        <f aca="true">IF(OR(E360="",E360="!!!",F360="NEW"),"",COUNTBLANK(OFFSET(A$1,,,SUMPRODUCT(MAX(ROW(E$2:E360)*(E360=E$2:E360)))))-COUNTBLANK(OFFSET(A$1,,,SUMPRODUCT(MAX(ROW(E$1:E359)*(E2=E$1:E359))))))</f>
        <v/>
      </c>
      <c r="K360" s="24" t="str">
        <f aca="false">IF(OR(E360="",E360="!!!",F360="NEW"),"",INDEX(J$1:J359,SUMPRODUCT(MAX(ROW(E$1:E359)*(E360=E$1:E359)))))</f>
        <v/>
      </c>
      <c r="L360" s="21"/>
    </row>
    <row r="361" customFormat="false" ht="15" hidden="false" customHeight="false" outlineLevel="0" collapsed="false">
      <c r="A361" s="20" t="s">
        <v>1305</v>
      </c>
      <c r="B361" s="22" t="s">
        <v>1105</v>
      </c>
      <c r="C361" s="22" t="s">
        <v>1068</v>
      </c>
      <c r="D361" s="22" t="s">
        <v>1060</v>
      </c>
      <c r="E361" s="23" t="s">
        <v>1305</v>
      </c>
      <c r="F361" s="23" t="s">
        <v>1083</v>
      </c>
      <c r="G361" s="23" t="s">
        <v>1084</v>
      </c>
      <c r="H361" s="23"/>
      <c r="I361" s="28" t="e">
        <f aca="false">IF(OR(E361="",E361="!!!",F361="NEW"),"",INDEX(B7:B$355,-1+SUMPRODUCT(MAX(ROW(E7:E$355)*(E361=E7:E$355)))))</f>
        <v>#VALUE!</v>
      </c>
      <c r="J361" s="24" t="n">
        <f aca="true">IF(OR(E361="",E361="!!!",F361="NEW"),"",COUNTBLANK(OFFSET(A$1,,,SUMPRODUCT(MAX(ROW(E$2:E361)*(E361=E$2:E361)))))-COUNTBLANK(OFFSET(A$1,,,SUMPRODUCT(MAX(ROW(E$1:E360)*(E2=E$1:E360))))))</f>
        <v>0</v>
      </c>
      <c r="K361" s="24" t="str">
        <f aca="false">IF(OR(E361="",E361="!!!",F361="NEW"),"",INDEX(J$1:J360,SUMPRODUCT(MAX(ROW(E$1:E360)*(E361=E$1:E360)))))</f>
        <v/>
      </c>
      <c r="L361" s="21"/>
    </row>
    <row r="362" customFormat="false" ht="15" hidden="false" customHeight="false" outlineLevel="0" collapsed="false">
      <c r="A362" s="20" t="s">
        <v>1307</v>
      </c>
      <c r="E362" s="23"/>
      <c r="F362" s="25"/>
      <c r="G362" s="26"/>
      <c r="H362" s="27"/>
      <c r="I362" s="24" t="str">
        <f aca="false">IF(OR(E362="",E362="!!!",F362="NEW"),"",INDEX(B8:B$355,-1+SUMPRODUCT(MAX(ROW(E8:E$355)*(E362=E8:E$355)))))</f>
        <v/>
      </c>
      <c r="J362" s="24" t="str">
        <f aca="true">IF(OR(E362="",E362="!!!",F362="NEW"),"",COUNTBLANK(OFFSET(A$1,,,SUMPRODUCT(MAX(ROW(E$2:E362)*(E362=E$2:E362)))))-COUNTBLANK(OFFSET(A$1,,,SUMPRODUCT(MAX(ROW(E$1:E361)*(E2=E$1:E361))))))</f>
        <v/>
      </c>
      <c r="K362" s="24" t="str">
        <f aca="false">IF(OR(E362="",E362="!!!",F362="NEW"),"",INDEX(J$1:J361,SUMPRODUCT(MAX(ROW(E$1:E361)*(E362=E$1:E361)))))</f>
        <v/>
      </c>
      <c r="L362" s="21"/>
    </row>
    <row r="363" customFormat="false" ht="15" hidden="false" customHeight="false" outlineLevel="0" collapsed="false">
      <c r="A363" s="20" t="s">
        <v>607</v>
      </c>
      <c r="E363" s="23"/>
      <c r="F363" s="25"/>
      <c r="G363" s="26"/>
      <c r="H363" s="27"/>
      <c r="I363" s="24" t="str">
        <f aca="false">IF(OR(E363="",E363="!!!",F363="NEW"),"",INDEX(B9:B$355,-1+SUMPRODUCT(MAX(ROW(E9:E$355)*(E363=E9:E$355)))))</f>
        <v/>
      </c>
      <c r="J363" s="24" t="str">
        <f aca="true">IF(OR(E363="",E363="!!!",F363="NEW"),"",COUNTBLANK(OFFSET(A$1,,,SUMPRODUCT(MAX(ROW(E$2:E363)*(E363=E$2:E363)))))-COUNTBLANK(OFFSET(A$1,,,SUMPRODUCT(MAX(ROW(E$1:E362)*(E2=E$1:E362))))))</f>
        <v/>
      </c>
      <c r="K363" s="24" t="str">
        <f aca="false">IF(OR(E363="",E363="!!!",F363="NEW"),"",INDEX(J$1:J362,SUMPRODUCT(MAX(ROW(E$1:E362)*(E363=E$1:E362)))))</f>
        <v/>
      </c>
      <c r="L363" s="21"/>
    </row>
    <row r="364" customFormat="false" ht="15" hidden="false" customHeight="false" outlineLevel="0" collapsed="false">
      <c r="A364" s="20"/>
      <c r="L364" s="21"/>
    </row>
    <row r="365" customFormat="false" ht="15" hidden="false" customHeight="false" outlineLevel="0" collapsed="false">
      <c r="A365" s="20" t="s">
        <v>1308</v>
      </c>
      <c r="L365" s="21"/>
    </row>
    <row r="366" customFormat="false" ht="15" hidden="false" customHeight="false" outlineLevel="0" collapsed="false">
      <c r="A366" s="20" t="s">
        <v>1148</v>
      </c>
      <c r="E366" s="23"/>
      <c r="F366" s="25"/>
      <c r="G366" s="26"/>
      <c r="H366" s="27"/>
      <c r="I366" s="24" t="str">
        <f aca="false">IF(OR(E366="",E366="!!!",F366="NEW"),"",INDEX(B2:B$365,-1+SUMPRODUCT(MAX(ROW(E2:E$365)*(E366=E2:E$365)))))</f>
        <v/>
      </c>
      <c r="J366" s="24" t="str">
        <f aca="true">IF(OR(E366="",E366="!!!",F366="NEW"),"",COUNTBLANK(OFFSET(A$1,,,SUMPRODUCT(MAX(ROW(E$2:E366)*(E366=E$2:E366)))))-COUNTBLANK(OFFSET(A$1,,,SUMPRODUCT(MAX(ROW(E$1:E365)*(E2=E$1:E365))))))</f>
        <v/>
      </c>
      <c r="K366" s="24" t="str">
        <f aca="false">IF(OR(E366="",E366="!!!",F366="NEW"),"",INDEX(J$1:J365,SUMPRODUCT(MAX(ROW(E$1:E365)*(E366=E$1:E365)))))</f>
        <v/>
      </c>
      <c r="L366" s="21"/>
    </row>
    <row r="367" customFormat="false" ht="15" hidden="false" customHeight="false" outlineLevel="0" collapsed="false">
      <c r="A367" s="20" t="s">
        <v>1309</v>
      </c>
      <c r="E367" s="23"/>
      <c r="F367" s="25"/>
      <c r="G367" s="26"/>
      <c r="H367" s="27"/>
      <c r="I367" s="24" t="str">
        <f aca="false">IF(OR(E367="",E367="!!!",F367="NEW"),"",INDEX(B3:B$365,-1+SUMPRODUCT(MAX(ROW(E3:E$365)*(E367=E3:E$365)))))</f>
        <v/>
      </c>
      <c r="J367" s="24" t="str">
        <f aca="true">IF(OR(E367="",E367="!!!",F367="NEW"),"",COUNTBLANK(OFFSET(A$1,,,SUMPRODUCT(MAX(ROW(E$2:E367)*(E367=E$2:E367)))))-COUNTBLANK(OFFSET(A$1,,,SUMPRODUCT(MAX(ROW(E$1:E366)*(E2=E$1:E366))))))</f>
        <v/>
      </c>
      <c r="K367" s="24" t="str">
        <f aca="false">IF(OR(E367="",E367="!!!",F367="NEW"),"",INDEX(J$1:J366,SUMPRODUCT(MAX(ROW(E$1:E366)*(E367=E$1:E366)))))</f>
        <v/>
      </c>
      <c r="L367" s="21"/>
    </row>
    <row r="368" customFormat="false" ht="15" hidden="false" customHeight="false" outlineLevel="0" collapsed="false">
      <c r="A368" s="20" t="s">
        <v>73</v>
      </c>
      <c r="B368" s="22" t="s">
        <v>1105</v>
      </c>
      <c r="C368" s="22" t="s">
        <v>1150</v>
      </c>
      <c r="D368" s="22" t="s">
        <v>1060</v>
      </c>
      <c r="E368" s="23" t="s">
        <v>1305</v>
      </c>
      <c r="F368" s="23" t="s">
        <v>1083</v>
      </c>
      <c r="G368" s="23" t="s">
        <v>1084</v>
      </c>
      <c r="H368" s="23" t="s">
        <v>1052</v>
      </c>
      <c r="I368" s="28" t="n">
        <f aca="false">IF(OR(E368="",E368="!!!",F368="NEW"),"",INDEX(B4:B$365,-1+SUMPRODUCT(MAX(ROW(E4:E$365)*(E368=E4:E$365)))))</f>
        <v>0</v>
      </c>
      <c r="J368" s="24" t="n">
        <f aca="true">IF(OR(E368="",E368="!!!",F368="NEW"),"",COUNTBLANK(OFFSET(A$1,,,SUMPRODUCT(MAX(ROW(E$2:E368)*(E368=E$2:E368)))))-COUNTBLANK(OFFSET(A$1,,,SUMPRODUCT(MAX(ROW(E$1:E367)*(E2=E$1:E367))))))</f>
        <v>0</v>
      </c>
      <c r="K368" s="24" t="n">
        <f aca="false">IF(OR(E368="",E368="!!!",F368="NEW"),"",INDEX(J$1:J367,SUMPRODUCT(MAX(ROW(E$1:E367)*(E368=E$1:E367)))))</f>
        <v>0</v>
      </c>
      <c r="L368" s="21"/>
    </row>
    <row r="369" customFormat="false" ht="15" hidden="false" customHeight="false" outlineLevel="0" collapsed="false">
      <c r="A369" s="20" t="s">
        <v>1310</v>
      </c>
      <c r="E369" s="23"/>
      <c r="F369" s="25"/>
      <c r="G369" s="26"/>
      <c r="H369" s="27"/>
      <c r="I369" s="24" t="str">
        <f aca="false">IF(OR(E369="",E369="!!!",F369="NEW"),"",INDEX(B5:B$365,-1+SUMPRODUCT(MAX(ROW(E5:E$365)*(E369=E5:E$365)))))</f>
        <v/>
      </c>
      <c r="J369" s="24" t="str">
        <f aca="true">IF(OR(E369="",E369="!!!",F369="NEW"),"",COUNTBLANK(OFFSET(A$1,,,SUMPRODUCT(MAX(ROW(E$2:E369)*(E369=E$2:E369)))))-COUNTBLANK(OFFSET(A$1,,,SUMPRODUCT(MAX(ROW(E$1:E368)*(E2=E$1:E368))))))</f>
        <v/>
      </c>
      <c r="K369" s="24" t="str">
        <f aca="false">IF(OR(E369="",E369="!!!",F369="NEW"),"",INDEX(J$1:J368,SUMPRODUCT(MAX(ROW(E$1:E368)*(E369=E$1:E368)))))</f>
        <v/>
      </c>
      <c r="L369" s="21"/>
    </row>
    <row r="370" customFormat="false" ht="15" hidden="false" customHeight="false" outlineLevel="0" collapsed="false">
      <c r="A370" s="20" t="s">
        <v>923</v>
      </c>
      <c r="E370" s="23"/>
      <c r="F370" s="25"/>
      <c r="G370" s="26"/>
      <c r="H370" s="27"/>
      <c r="I370" s="24" t="str">
        <f aca="false">IF(OR(E370="",E370="!!!",F370="NEW"),"",INDEX(B6:B$365,-1+SUMPRODUCT(MAX(ROW(E6:E$365)*(E370=E6:E$365)))))</f>
        <v/>
      </c>
      <c r="J370" s="24" t="str">
        <f aca="true">IF(OR(E370="",E370="!!!",F370="NEW"),"",COUNTBLANK(OFFSET(A$1,,,SUMPRODUCT(MAX(ROW(E$2:E370)*(E370=E$2:E370)))))-COUNTBLANK(OFFSET(A$1,,,SUMPRODUCT(MAX(ROW(E$1:E369)*(E2=E$1:E369))))))</f>
        <v/>
      </c>
      <c r="K370" s="24" t="str">
        <f aca="false">IF(OR(E370="",E370="!!!",F370="NEW"),"",INDEX(J$1:J369,SUMPRODUCT(MAX(ROW(E$1:E369)*(E370=E$1:E369)))))</f>
        <v/>
      </c>
      <c r="L370" s="21"/>
    </row>
    <row r="371" customFormat="false" ht="15" hidden="false" customHeight="false" outlineLevel="0" collapsed="false">
      <c r="A371" s="20"/>
      <c r="L371" s="21"/>
    </row>
    <row r="372" customFormat="false" ht="15" hidden="false" customHeight="false" outlineLevel="0" collapsed="false">
      <c r="A372" s="20" t="s">
        <v>1301</v>
      </c>
      <c r="E372" s="23"/>
      <c r="F372" s="25"/>
      <c r="G372" s="26"/>
      <c r="H372" s="27"/>
      <c r="I372" s="24" t="str">
        <f aca="false">IF(OR(E372="",E372="!!!",F372="NEW"),"",INDEX(B2:B$371,-1+SUMPRODUCT(MAX(ROW(E2:E$371)*(E372=E2:E$371)))))</f>
        <v/>
      </c>
      <c r="J372" s="24" t="str">
        <f aca="true">IF(OR(E372="",E372="!!!",F372="NEW"),"",COUNTBLANK(OFFSET(A$1,,,SUMPRODUCT(MAX(ROW(E$2:E372)*(E372=E$2:E372)))))-COUNTBLANK(OFFSET(A$1,,,SUMPRODUCT(MAX(ROW(E$1:E371)*(E2=E$1:E371))))))</f>
        <v/>
      </c>
      <c r="K372" s="24" t="str">
        <f aca="false">IF(OR(E372="",E372="!!!",F372="NEW"),"",INDEX(J$1:J371,SUMPRODUCT(MAX(ROW(E$1:E371)*(E372=E$1:E371)))))</f>
        <v/>
      </c>
      <c r="L372" s="21"/>
    </row>
    <row r="373" customFormat="false" ht="15" hidden="false" customHeight="false" outlineLevel="0" collapsed="false">
      <c r="A373" s="20" t="s">
        <v>1311</v>
      </c>
      <c r="L373" s="21"/>
    </row>
    <row r="374" customFormat="false" ht="15" hidden="false" customHeight="false" outlineLevel="0" collapsed="false">
      <c r="A374" s="20" t="s">
        <v>607</v>
      </c>
      <c r="E374" s="23"/>
      <c r="F374" s="25"/>
      <c r="G374" s="26"/>
      <c r="H374" s="27"/>
      <c r="I374" s="24" t="str">
        <f aca="false">IF(OR(E374="",E374="!!!",F374="NEW"),"",INDEX(B2:B$373,-1+SUMPRODUCT(MAX(ROW(E2:E$373)*(E374=E2:E$373)))))</f>
        <v/>
      </c>
      <c r="J374" s="24" t="str">
        <f aca="true">IF(OR(E374="",E374="!!!",F374="NEW"),"",COUNTBLANK(OFFSET(A$1,,,SUMPRODUCT(MAX(ROW(E$2:E374)*(E374=E$2:E374)))))-COUNTBLANK(OFFSET(A$1,,,SUMPRODUCT(MAX(ROW(E$1:E373)*(E2=E$1:E373))))))</f>
        <v/>
      </c>
      <c r="K374" s="24" t="str">
        <f aca="false">IF(OR(E374="",E374="!!!",F374="NEW"),"",INDEX(J$1:J373,SUMPRODUCT(MAX(ROW(E$1:E373)*(E374=E$1:E373)))))</f>
        <v/>
      </c>
      <c r="L374" s="21"/>
    </row>
    <row r="375" customFormat="false" ht="15" hidden="false" customHeight="false" outlineLevel="0" collapsed="false">
      <c r="A375" s="20" t="s">
        <v>1312</v>
      </c>
      <c r="E375" s="23"/>
      <c r="F375" s="25"/>
      <c r="G375" s="26"/>
      <c r="H375" s="27"/>
      <c r="I375" s="24" t="str">
        <f aca="false">IF(OR(E375="",E375="!!!",F375="NEW"),"",INDEX(B3:B$373,-1+SUMPRODUCT(MAX(ROW(E3:E$373)*(E375=E3:E$373)))))</f>
        <v/>
      </c>
      <c r="J375" s="24" t="str">
        <f aca="true">IF(OR(E375="",E375="!!!",F375="NEW"),"",COUNTBLANK(OFFSET(A$1,,,SUMPRODUCT(MAX(ROW(E$2:E375)*(E375=E$2:E375)))))-COUNTBLANK(OFFSET(A$1,,,SUMPRODUCT(MAX(ROW(E$1:E374)*(E2=E$1:E374))))))</f>
        <v/>
      </c>
      <c r="K375" s="24" t="str">
        <f aca="false">IF(OR(E375="",E375="!!!",F375="NEW"),"",INDEX(J$1:J374,SUMPRODUCT(MAX(ROW(E$1:E374)*(E375=E$1:E374)))))</f>
        <v/>
      </c>
      <c r="L375" s="21"/>
    </row>
    <row r="376" customFormat="false" ht="15" hidden="false" customHeight="false" outlineLevel="0" collapsed="false">
      <c r="A376" s="20" t="s">
        <v>78</v>
      </c>
      <c r="E376" s="23"/>
      <c r="F376" s="25"/>
      <c r="G376" s="26"/>
      <c r="H376" s="27"/>
      <c r="I376" s="24" t="str">
        <f aca="false">IF(OR(E376="",E376="!!!",F376="NEW"),"",INDEX(B4:B$373,-1+SUMPRODUCT(MAX(ROW(E4:E$373)*(E376=E4:E$373)))))</f>
        <v/>
      </c>
      <c r="J376" s="24" t="str">
        <f aca="true">IF(OR(E376="",E376="!!!",F376="NEW"),"",COUNTBLANK(OFFSET(A$1,,,SUMPRODUCT(MAX(ROW(E$2:E376)*(E376=E$2:E376)))))-COUNTBLANK(OFFSET(A$1,,,SUMPRODUCT(MAX(ROW(E$1:E375)*(E2=E$1:E375))))))</f>
        <v/>
      </c>
      <c r="K376" s="24" t="str">
        <f aca="false">IF(OR(E376="",E376="!!!",F376="NEW"),"",INDEX(J$1:J375,SUMPRODUCT(MAX(ROW(E$1:E375)*(E376=E$1:E375)))))</f>
        <v/>
      </c>
      <c r="L376" s="21"/>
    </row>
    <row r="377" customFormat="false" ht="15" hidden="false" customHeight="false" outlineLevel="0" collapsed="false">
      <c r="A377" s="20" t="s">
        <v>1157</v>
      </c>
      <c r="E377" s="23"/>
      <c r="F377" s="25"/>
      <c r="G377" s="26"/>
      <c r="H377" s="27"/>
      <c r="I377" s="24" t="str">
        <f aca="false">IF(OR(E377="",E377="!!!",F377="NEW"),"",INDEX(B5:B$373,-1+SUMPRODUCT(MAX(ROW(E5:E$373)*(E377=E5:E$373)))))</f>
        <v/>
      </c>
      <c r="J377" s="24" t="str">
        <f aca="true">IF(OR(E377="",E377="!!!",F377="NEW"),"",COUNTBLANK(OFFSET(A$1,,,SUMPRODUCT(MAX(ROW(E$2:E377)*(E377=E$2:E377)))))-COUNTBLANK(OFFSET(A$1,,,SUMPRODUCT(MAX(ROW(E$1:E376)*(E2=E$1:E376))))))</f>
        <v/>
      </c>
      <c r="K377" s="24" t="str">
        <f aca="false">IF(OR(E377="",E377="!!!",F377="NEW"),"",INDEX(J$1:J376,SUMPRODUCT(MAX(ROW(E$1:E376)*(E377=E$1:E376)))))</f>
        <v/>
      </c>
      <c r="L377" s="21"/>
    </row>
    <row r="378" customFormat="false" ht="15" hidden="false" customHeight="false" outlineLevel="0" collapsed="false">
      <c r="A378" s="20" t="s">
        <v>1162</v>
      </c>
      <c r="B378" s="22" t="s">
        <v>1086</v>
      </c>
      <c r="C378" s="22" t="s">
        <v>1082</v>
      </c>
      <c r="D378" s="22" t="s">
        <v>1060</v>
      </c>
      <c r="E378" s="23" t="s">
        <v>1305</v>
      </c>
      <c r="F378" s="23" t="s">
        <v>1083</v>
      </c>
      <c r="G378" s="23" t="s">
        <v>1084</v>
      </c>
      <c r="H378" s="23" t="s">
        <v>1052</v>
      </c>
      <c r="I378" s="28" t="n">
        <f aca="false">IF(OR(E378="",E378="!!!",F378="NEW"),"",INDEX(B6:B$373,-1+SUMPRODUCT(MAX(ROW(E6:E$373)*(E378=E6:E$373)))))</f>
        <v>0</v>
      </c>
      <c r="J378" s="24" t="n">
        <f aca="true">IF(OR(E378="",E378="!!!",F378="NEW"),"",COUNTBLANK(OFFSET(A$1,,,SUMPRODUCT(MAX(ROW(E$2:E378)*(E378=E$2:E378)))))-COUNTBLANK(OFFSET(A$1,,,SUMPRODUCT(MAX(ROW(E$1:E377)*(E2=E$1:E377))))))</f>
        <v>0</v>
      </c>
      <c r="K378" s="24" t="n">
        <f aca="false">IF(OR(E378="",E378="!!!",F378="NEW"),"",INDEX(J$1:J377,SUMPRODUCT(MAX(ROW(E$1:E377)*(E378=E$1:E377)))))</f>
        <v>0</v>
      </c>
      <c r="L378" s="21"/>
    </row>
    <row r="379" customFormat="false" ht="15" hidden="false" customHeight="false" outlineLevel="0" collapsed="false">
      <c r="A379" s="20" t="s">
        <v>576</v>
      </c>
      <c r="E379" s="23"/>
      <c r="F379" s="25"/>
      <c r="G379" s="26"/>
      <c r="H379" s="27"/>
      <c r="I379" s="24" t="str">
        <f aca="false">IF(OR(E379="",E379="!!!",F379="NEW"),"",INDEX(B7:B$373,-1+SUMPRODUCT(MAX(ROW(E7:E$373)*(E379=E7:E$373)))))</f>
        <v/>
      </c>
      <c r="J379" s="24" t="str">
        <f aca="true">IF(OR(E379="",E379="!!!",F379="NEW"),"",COUNTBLANK(OFFSET(A$1,,,SUMPRODUCT(MAX(ROW(E$2:E379)*(E379=E$2:E379)))))-COUNTBLANK(OFFSET(A$1,,,SUMPRODUCT(MAX(ROW(E$1:E378)*(E2=E$1:E378))))))</f>
        <v/>
      </c>
      <c r="K379" s="24" t="str">
        <f aca="false">IF(OR(E379="",E379="!!!",F379="NEW"),"",INDEX(J$1:J378,SUMPRODUCT(MAX(ROW(E$1:E378)*(E379=E$1:E378)))))</f>
        <v/>
      </c>
      <c r="L379" s="21"/>
    </row>
    <row r="380" customFormat="false" ht="15" hidden="false" customHeight="false" outlineLevel="0" collapsed="false">
      <c r="A380" s="20" t="s">
        <v>1313</v>
      </c>
      <c r="B380" s="22" t="s">
        <v>1067</v>
      </c>
      <c r="C380" s="22" t="s">
        <v>1099</v>
      </c>
      <c r="D380" s="22" t="s">
        <v>1060</v>
      </c>
      <c r="E380" s="23" t="s">
        <v>1305</v>
      </c>
      <c r="F380" s="23" t="s">
        <v>1083</v>
      </c>
      <c r="G380" s="23" t="s">
        <v>1084</v>
      </c>
      <c r="H380" s="23"/>
      <c r="I380" s="28" t="e">
        <f aca="false">IF(OR(E380="",E380="!!!",F380="NEW"),"",INDEX(B8:B$373,-1+SUMPRODUCT(MAX(ROW(E8:E$373)*(E380=E8:E$373)))))</f>
        <v>#REF!</v>
      </c>
      <c r="J380" s="24" t="n">
        <f aca="true">IF(OR(E380="",E380="!!!",F380="NEW"),"",COUNTBLANK(OFFSET(A$1,,,SUMPRODUCT(MAX(ROW(E$2:E380)*(E380=E$2:E380)))))-COUNTBLANK(OFFSET(A$1,,,SUMPRODUCT(MAX(ROW(E$1:E379)*(E2=E$1:E379))))))</f>
        <v>0</v>
      </c>
      <c r="K380" s="24" t="n">
        <f aca="false">IF(OR(E380="",E380="!!!",F380="NEW"),"",INDEX(J$1:J379,SUMPRODUCT(MAX(ROW(E$1:E379)*(E380=E$1:E379)))))</f>
        <v>0</v>
      </c>
      <c r="L380" s="21"/>
    </row>
    <row r="381" customFormat="false" ht="15" hidden="false" customHeight="false" outlineLevel="0" collapsed="false">
      <c r="A381" s="20" t="s">
        <v>1314</v>
      </c>
      <c r="B381" s="22" t="s">
        <v>1142</v>
      </c>
      <c r="C381" s="22" t="s">
        <v>1059</v>
      </c>
      <c r="D381" s="22" t="s">
        <v>1060</v>
      </c>
      <c r="E381" s="23" t="s">
        <v>1315</v>
      </c>
      <c r="F381" s="23" t="s">
        <v>1062</v>
      </c>
      <c r="G381" s="23" t="s">
        <v>1253</v>
      </c>
      <c r="H381" s="23"/>
      <c r="I381" s="24" t="str">
        <f aca="false">IF(OR(E381="",E381="!!!",F381="NEW"),"",INDEX(B9:B$373,-1+SUMPRODUCT(MAX(ROW(E9:E$373)*(E381=E9:E$373)))))</f>
        <v/>
      </c>
      <c r="J381" s="24" t="str">
        <f aca="true">IF(OR(E381="",E381="!!!",F381="NEW"),"",COUNTBLANK(OFFSET(A$1,,,SUMPRODUCT(MAX(ROW(E$2:E381)*(E381=E$2:E381)))))-COUNTBLANK(OFFSET(A$1,,,SUMPRODUCT(MAX(ROW(E$1:E380)*(E2=E$1:E380))))))</f>
        <v/>
      </c>
      <c r="K381" s="24" t="str">
        <f aca="false">IF(OR(E381="",E381="!!!",F381="NEW"),"",INDEX(J$1:J380,SUMPRODUCT(MAX(ROW(E$1:E380)*(E381=E$1:E380)))))</f>
        <v/>
      </c>
      <c r="L381" s="21"/>
    </row>
    <row r="382" customFormat="false" ht="15" hidden="false" customHeight="false" outlineLevel="0" collapsed="false">
      <c r="A382" s="20" t="s">
        <v>1162</v>
      </c>
      <c r="B382" s="22" t="s">
        <v>1197</v>
      </c>
      <c r="C382" s="22" t="s">
        <v>1082</v>
      </c>
      <c r="D382" s="22" t="s">
        <v>1060</v>
      </c>
      <c r="E382" s="23" t="s">
        <v>1305</v>
      </c>
      <c r="F382" s="23" t="s">
        <v>1083</v>
      </c>
      <c r="G382" s="23" t="s">
        <v>1084</v>
      </c>
      <c r="H382" s="23"/>
      <c r="I382" s="24" t="e">
        <f aca="false">IF(OR(E382="",E382="!!!",F382="NEW"),"",INDEX(B10:B$373,-1+SUMPRODUCT(MAX(ROW(E10:E$373)*(E382=E10:E$373)))))</f>
        <v>#REF!</v>
      </c>
      <c r="J382" s="24" t="n">
        <f aca="true">IF(OR(E382="",E382="!!!",F382="NEW"),"",COUNTBLANK(OFFSET(A$1,,,SUMPRODUCT(MAX(ROW(E$2:E382)*(E382=E$2:E382)))))-COUNTBLANK(OFFSET(A$1,,,SUMPRODUCT(MAX(ROW(E$1:E381)*(E2=E$1:E381))))))</f>
        <v>0</v>
      </c>
      <c r="K382" s="24" t="n">
        <f aca="false">IF(OR(E382="",E382="!!!",F382="NEW"),"",INDEX(J$1:J381,SUMPRODUCT(MAX(ROW(E$1:E381)*(E382=E$1:E381)))))</f>
        <v>0</v>
      </c>
      <c r="L382" s="21"/>
    </row>
    <row r="383" customFormat="false" ht="15" hidden="false" customHeight="false" outlineLevel="0" collapsed="false">
      <c r="A383" s="20" t="s">
        <v>576</v>
      </c>
      <c r="E383" s="23"/>
      <c r="F383" s="25"/>
      <c r="G383" s="26"/>
      <c r="H383" s="27"/>
      <c r="I383" s="24" t="str">
        <f aca="false">IF(OR(E383="",E383="!!!",F383="NEW"),"",INDEX(B11:B$373,-1+SUMPRODUCT(MAX(ROW(E11:E$373)*(E383=E11:E$373)))))</f>
        <v/>
      </c>
      <c r="J383" s="24" t="str">
        <f aca="true">IF(OR(E383="",E383="!!!",F383="NEW"),"",COUNTBLANK(OFFSET(A$1,,,SUMPRODUCT(MAX(ROW(E$2:E383)*(E383=E$2:E383)))))-COUNTBLANK(OFFSET(A$1,,,SUMPRODUCT(MAX(ROW(E$1:E382)*(E2=E$1:E382))))))</f>
        <v/>
      </c>
      <c r="K383" s="24" t="str">
        <f aca="false">IF(OR(E383="",E383="!!!",F383="NEW"),"",INDEX(J$1:J382,SUMPRODUCT(MAX(ROW(E$1:E382)*(E383=E$1:E382)))))</f>
        <v/>
      </c>
      <c r="L383" s="21"/>
    </row>
    <row r="384" customFormat="false" ht="15" hidden="false" customHeight="false" outlineLevel="0" collapsed="false">
      <c r="A384" s="20" t="s">
        <v>1085</v>
      </c>
      <c r="E384" s="23"/>
      <c r="F384" s="25"/>
      <c r="G384" s="26"/>
      <c r="H384" s="27"/>
      <c r="I384" s="24" t="str">
        <f aca="false">IF(OR(E384="",E384="!!!",F384="NEW"),"",INDEX(B12:B$373,-1+SUMPRODUCT(MAX(ROW(E12:E$373)*(E384=E12:E$373)))))</f>
        <v/>
      </c>
      <c r="J384" s="24" t="str">
        <f aca="true">IF(OR(E384="",E384="!!!",F384="NEW"),"",COUNTBLANK(OFFSET(A$1,,,SUMPRODUCT(MAX(ROW(E$2:E384)*(E384=E$2:E384)))))-COUNTBLANK(OFFSET(A$1,,,SUMPRODUCT(MAX(ROW(E$1:E383)*(E2=E$1:E383))))))</f>
        <v/>
      </c>
      <c r="K384" s="24" t="str">
        <f aca="false">IF(OR(E384="",E384="!!!",F384="NEW"),"",INDEX(J$1:J383,SUMPRODUCT(MAX(ROW(E$1:E383)*(E384=E$1:E383)))))</f>
        <v/>
      </c>
      <c r="L384" s="21"/>
    </row>
    <row r="385" customFormat="false" ht="15" hidden="false" customHeight="false" outlineLevel="0" collapsed="false">
      <c r="A385" s="20" t="s">
        <v>1316</v>
      </c>
      <c r="E385" s="23"/>
      <c r="F385" s="25"/>
      <c r="G385" s="26"/>
      <c r="H385" s="27"/>
      <c r="I385" s="24" t="str">
        <f aca="false">IF(OR(E385="",E385="!!!",F385="NEW"),"",INDEX(B13:B$373,-1+SUMPRODUCT(MAX(ROW(E13:E$373)*(E385=E13:E$373)))))</f>
        <v/>
      </c>
      <c r="J385" s="24" t="str">
        <f aca="true">IF(OR(E385="",E385="!!!",F385="NEW"),"",COUNTBLANK(OFFSET(A$1,,,SUMPRODUCT(MAX(ROW(E$2:E385)*(E385=E$2:E385)))))-COUNTBLANK(OFFSET(A$1,,,SUMPRODUCT(MAX(ROW(E$1:E384)*(E2=E$1:E384))))))</f>
        <v/>
      </c>
      <c r="K385" s="24" t="str">
        <f aca="false">IF(OR(E385="",E385="!!!",F385="NEW"),"",INDEX(J$1:J384,SUMPRODUCT(MAX(ROW(E$1:E384)*(E385=E$1:E384)))))</f>
        <v/>
      </c>
      <c r="L385" s="21"/>
    </row>
    <row r="386" customFormat="false" ht="15" hidden="false" customHeight="false" outlineLevel="0" collapsed="false">
      <c r="A386" s="20" t="s">
        <v>16</v>
      </c>
      <c r="E386" s="23"/>
      <c r="F386" s="25"/>
      <c r="G386" s="26"/>
      <c r="H386" s="27"/>
      <c r="I386" s="24" t="str">
        <f aca="false">IF(OR(E386="",E386="!!!",F386="NEW"),"",INDEX(B14:B$373,-1+SUMPRODUCT(MAX(ROW(E14:E$373)*(E386=E14:E$373)))))</f>
        <v/>
      </c>
      <c r="J386" s="24" t="str">
        <f aca="true">IF(OR(E386="",E386="!!!",F386="NEW"),"",COUNTBLANK(OFFSET(A$1,,,SUMPRODUCT(MAX(ROW(E$2:E386)*(E386=E$2:E386)))))-COUNTBLANK(OFFSET(A$1,,,SUMPRODUCT(MAX(ROW(E$1:E385)*(E2=E$1:E385))))))</f>
        <v/>
      </c>
      <c r="K386" s="24" t="str">
        <f aca="false">IF(OR(E386="",E386="!!!",F386="NEW"),"",INDEX(J$1:J385,SUMPRODUCT(MAX(ROW(E$1:E385)*(E386=E$1:E385)))))</f>
        <v/>
      </c>
      <c r="L386" s="21"/>
    </row>
    <row r="387" customFormat="false" ht="15" hidden="false" customHeight="false" outlineLevel="0" collapsed="false">
      <c r="A387" s="20" t="s">
        <v>1317</v>
      </c>
      <c r="B387" s="22" t="s">
        <v>1102</v>
      </c>
      <c r="C387" s="22" t="s">
        <v>1087</v>
      </c>
      <c r="E387" s="23" t="s">
        <v>1318</v>
      </c>
      <c r="F387" s="23" t="s">
        <v>1062</v>
      </c>
      <c r="G387" s="23" t="s">
        <v>1103</v>
      </c>
      <c r="H387" s="23"/>
      <c r="I387" s="24" t="str">
        <f aca="false">IF(OR(E387="",E387="!!!",F387="NEW"),"",INDEX(B15:B$373,-1+SUMPRODUCT(MAX(ROW(E15:E$373)*(E387=E15:E$373)))))</f>
        <v/>
      </c>
      <c r="J387" s="24" t="str">
        <f aca="true">IF(OR(E387="",E387="!!!",F387="NEW"),"",COUNTBLANK(OFFSET(A$1,,,SUMPRODUCT(MAX(ROW(E$2:E387)*(E387=E$2:E387)))))-COUNTBLANK(OFFSET(A$1,,,SUMPRODUCT(MAX(ROW(E$1:E386)*(E2=E$1:E386))))))</f>
        <v/>
      </c>
      <c r="K387" s="24" t="str">
        <f aca="false">IF(OR(E387="",E387="!!!",F387="NEW"),"",INDEX(J$1:J386,SUMPRODUCT(MAX(ROW(E$1:E386)*(E387=E$1:E386)))))</f>
        <v/>
      </c>
      <c r="L387" s="21"/>
    </row>
    <row r="388" customFormat="false" ht="15" hidden="false" customHeight="false" outlineLevel="0" collapsed="false">
      <c r="A388" s="20" t="s">
        <v>1076</v>
      </c>
      <c r="E388" s="23"/>
      <c r="F388" s="25"/>
      <c r="G388" s="26"/>
      <c r="H388" s="27"/>
      <c r="I388" s="24" t="str">
        <f aca="false">IF(OR(E388="",E388="!!!",F388="NEW"),"",INDEX(B16:B$373,-1+SUMPRODUCT(MAX(ROW(E16:E$373)*(E388=E16:E$373)))))</f>
        <v/>
      </c>
      <c r="J388" s="24" t="str">
        <f aca="true">IF(OR(E388="",E388="!!!",F388="NEW"),"",COUNTBLANK(OFFSET(A$1,,,SUMPRODUCT(MAX(ROW(E$2:E388)*(E388=E$2:E388)))))-COUNTBLANK(OFFSET(A$1,,,SUMPRODUCT(MAX(ROW(E$1:E387)*(E2=E$1:E387))))))</f>
        <v/>
      </c>
      <c r="K388" s="24" t="str">
        <f aca="false">IF(OR(E388="",E388="!!!",F388="NEW"),"",INDEX(J$1:J387,SUMPRODUCT(MAX(ROW(E$1:E387)*(E388=E$1:E387)))))</f>
        <v/>
      </c>
      <c r="L388" s="21"/>
    </row>
    <row r="389" customFormat="false" ht="15" hidden="false" customHeight="false" outlineLevel="0" collapsed="false">
      <c r="A389" s="20" t="s">
        <v>1128</v>
      </c>
      <c r="E389" s="23"/>
      <c r="F389" s="25"/>
      <c r="G389" s="26"/>
      <c r="H389" s="27"/>
      <c r="I389" s="24" t="str">
        <f aca="false">IF(OR(E389="",E389="!!!",F389="NEW"),"",INDEX(B17:B$373,-1+SUMPRODUCT(MAX(ROW(E17:E$373)*(E389=E17:E$373)))))</f>
        <v/>
      </c>
      <c r="J389" s="24" t="str">
        <f aca="true">IF(OR(E389="",E389="!!!",F389="NEW"),"",COUNTBLANK(OFFSET(A$1,,,SUMPRODUCT(MAX(ROW(E$2:E389)*(E389=E$2:E389)))))-COUNTBLANK(OFFSET(A$1,,,SUMPRODUCT(MAX(ROW(E$1:E388)*(E2=E$1:E388))))))</f>
        <v/>
      </c>
      <c r="K389" s="24" t="str">
        <f aca="false">IF(OR(E389="",E389="!!!",F389="NEW"),"",INDEX(J$1:J388,SUMPRODUCT(MAX(ROW(E$1:E388)*(E389=E$1:E388)))))</f>
        <v/>
      </c>
      <c r="L389" s="21"/>
    </row>
    <row r="390" customFormat="false" ht="15" hidden="false" customHeight="false" outlineLevel="0" collapsed="false">
      <c r="A390" s="20" t="s">
        <v>1157</v>
      </c>
      <c r="E390" s="23"/>
      <c r="F390" s="25"/>
      <c r="G390" s="26"/>
      <c r="H390" s="27"/>
      <c r="I390" s="24" t="str">
        <f aca="false">IF(OR(E390="",E390="!!!",F390="NEW"),"",INDEX(B18:B$373,-1+SUMPRODUCT(MAX(ROW(E18:E$373)*(E390=E18:E$373)))))</f>
        <v/>
      </c>
      <c r="J390" s="24" t="str">
        <f aca="true">IF(OR(E390="",E390="!!!",F390="NEW"),"",COUNTBLANK(OFFSET(A$1,,,SUMPRODUCT(MAX(ROW(E$2:E390)*(E390=E$2:E390)))))-COUNTBLANK(OFFSET(A$1,,,SUMPRODUCT(MAX(ROW(E$1:E389)*(E2=E$1:E389))))))</f>
        <v/>
      </c>
      <c r="K390" s="24" t="str">
        <f aca="false">IF(OR(E390="",E390="!!!",F390="NEW"),"",INDEX(J$1:J389,SUMPRODUCT(MAX(ROW(E$1:E389)*(E390=E$1:E389)))))</f>
        <v/>
      </c>
      <c r="L390" s="21"/>
    </row>
    <row r="391" customFormat="false" ht="15" hidden="false" customHeight="false" outlineLevel="0" collapsed="false">
      <c r="A391" s="20" t="s">
        <v>78</v>
      </c>
      <c r="E391" s="23"/>
      <c r="F391" s="25"/>
      <c r="G391" s="26"/>
      <c r="H391" s="27"/>
      <c r="I391" s="24" t="str">
        <f aca="false">IF(OR(E391="",E391="!!!",F391="NEW"),"",INDEX(B19:B$373,-1+SUMPRODUCT(MAX(ROW(E19:E$373)*(E391=E19:E$373)))))</f>
        <v/>
      </c>
      <c r="J391" s="24" t="str">
        <f aca="true">IF(OR(E391="",E391="!!!",F391="NEW"),"",COUNTBLANK(OFFSET(A$1,,,SUMPRODUCT(MAX(ROW(E$2:E391)*(E391=E$2:E391)))))-COUNTBLANK(OFFSET(A$1,,,SUMPRODUCT(MAX(ROW(E$1:E390)*(E2=E$1:E390))))))</f>
        <v/>
      </c>
      <c r="K391" s="24" t="str">
        <f aca="false">IF(OR(E391="",E391="!!!",F391="NEW"),"",INDEX(J$1:J390,SUMPRODUCT(MAX(ROW(E$1:E390)*(E391=E$1:E390)))))</f>
        <v/>
      </c>
      <c r="L391" s="21"/>
    </row>
    <row r="392" customFormat="false" ht="15" hidden="false" customHeight="false" outlineLevel="0" collapsed="false">
      <c r="A392" s="20" t="s">
        <v>1157</v>
      </c>
      <c r="E392" s="23"/>
      <c r="F392" s="25"/>
      <c r="G392" s="26"/>
      <c r="H392" s="27"/>
      <c r="I392" s="24" t="str">
        <f aca="false">IF(OR(E392="",E392="!!!",F392="NEW"),"",INDEX(B20:B$373,-1+SUMPRODUCT(MAX(ROW(E20:E$373)*(E392=E20:E$373)))))</f>
        <v/>
      </c>
      <c r="J392" s="24" t="str">
        <f aca="true">IF(OR(E392="",E392="!!!",F392="NEW"),"",COUNTBLANK(OFFSET(A$1,,,SUMPRODUCT(MAX(ROW(E$2:E392)*(E392=E$2:E392)))))-COUNTBLANK(OFFSET(A$1,,,SUMPRODUCT(MAX(ROW(E$1:E391)*(E2=E$1:E391))))))</f>
        <v/>
      </c>
      <c r="K392" s="24" t="str">
        <f aca="false">IF(OR(E392="",E392="!!!",F392="NEW"),"",INDEX(J$1:J391,SUMPRODUCT(MAX(ROW(E$1:E391)*(E392=E$1:E391)))))</f>
        <v/>
      </c>
      <c r="L392" s="21"/>
    </row>
    <row r="393" customFormat="false" ht="15" hidden="false" customHeight="false" outlineLevel="0" collapsed="false">
      <c r="A393" s="20" t="s">
        <v>1162</v>
      </c>
      <c r="B393" s="22" t="s">
        <v>1134</v>
      </c>
      <c r="C393" s="22" t="s">
        <v>1082</v>
      </c>
      <c r="D393" s="22" t="s">
        <v>1060</v>
      </c>
      <c r="E393" s="23" t="s">
        <v>1305</v>
      </c>
      <c r="F393" s="23" t="s">
        <v>1083</v>
      </c>
      <c r="G393" s="23" t="s">
        <v>1084</v>
      </c>
      <c r="H393" s="23"/>
      <c r="I393" s="24" t="e">
        <f aca="false">IF(OR(E393="",E393="!!!",F393="NEW"),"",INDEX(B21:B$373,-1+SUMPRODUCT(MAX(ROW(E21:E$373)*(E393=E21:E$373)))))</f>
        <v>#REF!</v>
      </c>
      <c r="J393" s="24" t="n">
        <f aca="true">IF(OR(E393="",E393="!!!",F393="NEW"),"",COUNTBLANK(OFFSET(A$1,,,SUMPRODUCT(MAX(ROW(E$2:E393)*(E393=E$2:E393)))))-COUNTBLANK(OFFSET(A$1,,,SUMPRODUCT(MAX(ROW(E$1:E392)*(E2=E$1:E392))))))</f>
        <v>0</v>
      </c>
      <c r="K393" s="24" t="n">
        <f aca="false">IF(OR(E393="",E393="!!!",F393="NEW"),"",INDEX(J$1:J392,SUMPRODUCT(MAX(ROW(E$1:E392)*(E393=E$1:E392)))))</f>
        <v>0</v>
      </c>
      <c r="L393" s="21"/>
    </row>
    <row r="394" customFormat="false" ht="15" hidden="false" customHeight="false" outlineLevel="0" collapsed="false">
      <c r="A394" s="20" t="s">
        <v>576</v>
      </c>
      <c r="E394" s="23"/>
      <c r="F394" s="25"/>
      <c r="G394" s="26"/>
      <c r="H394" s="27"/>
      <c r="I394" s="24" t="str">
        <f aca="false">IF(OR(E394="",E394="!!!",F394="NEW"),"",INDEX(B22:B$373,-1+SUMPRODUCT(MAX(ROW(E22:E$373)*(E394=E22:E$373)))))</f>
        <v/>
      </c>
      <c r="J394" s="24" t="str">
        <f aca="true">IF(OR(E394="",E394="!!!",F394="NEW"),"",COUNTBLANK(OFFSET(A$1,,,SUMPRODUCT(MAX(ROW(E$2:E394)*(E394=E$2:E394)))))-COUNTBLANK(OFFSET(A$1,,,SUMPRODUCT(MAX(ROW(E$1:E393)*(E2=E$1:E393))))))</f>
        <v/>
      </c>
      <c r="K394" s="24" t="str">
        <f aca="false">IF(OR(E394="",E394="!!!",F394="NEW"),"",INDEX(J$1:J393,SUMPRODUCT(MAX(ROW(E$1:E393)*(E394=E$1:E393)))))</f>
        <v/>
      </c>
      <c r="L394" s="21"/>
    </row>
    <row r="395" customFormat="false" ht="15" hidden="false" customHeight="false" outlineLevel="0" collapsed="false">
      <c r="A395" s="20" t="s">
        <v>1313</v>
      </c>
      <c r="B395" s="22" t="s">
        <v>1319</v>
      </c>
      <c r="C395" s="22" t="s">
        <v>1099</v>
      </c>
      <c r="D395" s="22" t="s">
        <v>1060</v>
      </c>
      <c r="E395" s="23" t="s">
        <v>1305</v>
      </c>
      <c r="F395" s="23" t="s">
        <v>1083</v>
      </c>
      <c r="G395" s="23" t="s">
        <v>1084</v>
      </c>
      <c r="H395" s="23"/>
      <c r="I395" s="24" t="e">
        <f aca="false">IF(OR(E395="",E395="!!!",F395="NEW"),"",INDEX(B23:B$373,-1+SUMPRODUCT(MAX(ROW(E23:E$373)*(E395=E23:E$373)))))</f>
        <v>#REF!</v>
      </c>
      <c r="J395" s="24" t="n">
        <f aca="true">IF(OR(E395="",E395="!!!",F395="NEW"),"",COUNTBLANK(OFFSET(A$1,,,SUMPRODUCT(MAX(ROW(E$2:E395)*(E395=E$2:E395)))))-COUNTBLANK(OFFSET(A$1,,,SUMPRODUCT(MAX(ROW(E$1:E394)*(E2=E$1:E394))))))</f>
        <v>0</v>
      </c>
      <c r="K395" s="24" t="n">
        <f aca="false">IF(OR(E395="",E395="!!!",F395="NEW"),"",INDEX(J$1:J394,SUMPRODUCT(MAX(ROW(E$1:E394)*(E395=E$1:E394)))))</f>
        <v>0</v>
      </c>
      <c r="L395" s="21"/>
    </row>
    <row r="396" customFormat="false" ht="15" hidden="false" customHeight="false" outlineLevel="0" collapsed="false">
      <c r="A396" s="20" t="s">
        <v>1316</v>
      </c>
      <c r="E396" s="23"/>
      <c r="F396" s="25"/>
      <c r="G396" s="26"/>
      <c r="H396" s="27"/>
      <c r="I396" s="24" t="str">
        <f aca="false">IF(OR(E396="",E396="!!!",F396="NEW"),"",INDEX(B24:B$373,-1+SUMPRODUCT(MAX(ROW(E24:E$373)*(E396=E24:E$373)))))</f>
        <v/>
      </c>
      <c r="J396" s="24" t="str">
        <f aca="true">IF(OR(E396="",E396="!!!",F396="NEW"),"",COUNTBLANK(OFFSET(A$1,,,SUMPRODUCT(MAX(ROW(E$2:E396)*(E396=E$2:E396)))))-COUNTBLANK(OFFSET(A$1,,,SUMPRODUCT(MAX(ROW(E$1:E395)*(E2=E$1:E395))))))</f>
        <v/>
      </c>
      <c r="K396" s="24" t="str">
        <f aca="false">IF(OR(E396="",E396="!!!",F396="NEW"),"",INDEX(J$1:J395,SUMPRODUCT(MAX(ROW(E$1:E395)*(E396=E$1:E395)))))</f>
        <v/>
      </c>
      <c r="L396" s="21"/>
    </row>
    <row r="397" customFormat="false" ht="15" hidden="false" customHeight="false" outlineLevel="0" collapsed="false">
      <c r="A397" s="20" t="s">
        <v>16</v>
      </c>
      <c r="E397" s="23"/>
      <c r="F397" s="25"/>
      <c r="G397" s="26"/>
      <c r="H397" s="27"/>
      <c r="I397" s="24" t="str">
        <f aca="false">IF(OR(E397="",E397="!!!",F397="NEW"),"",INDEX(B25:B$373,-1+SUMPRODUCT(MAX(ROW(E25:E$373)*(E397=E25:E$373)))))</f>
        <v/>
      </c>
      <c r="J397" s="24" t="str">
        <f aca="true">IF(OR(E397="",E397="!!!",F397="NEW"),"",COUNTBLANK(OFFSET(A$1,,,SUMPRODUCT(MAX(ROW(E$2:E397)*(E397=E$2:E397)))))-COUNTBLANK(OFFSET(A$1,,,SUMPRODUCT(MAX(ROW(E$1:E396)*(E2=E$1:E396))))))</f>
        <v/>
      </c>
      <c r="K397" s="24" t="str">
        <f aca="false">IF(OR(E397="",E397="!!!",F397="NEW"),"",INDEX(J$1:J396,SUMPRODUCT(MAX(ROW(E$1:E396)*(E397=E$1:E396)))))</f>
        <v/>
      </c>
      <c r="L397" s="21"/>
    </row>
    <row r="398" customFormat="false" ht="15" hidden="false" customHeight="false" outlineLevel="0" collapsed="false">
      <c r="A398" s="20" t="s">
        <v>1317</v>
      </c>
      <c r="B398" s="22" t="s">
        <v>1320</v>
      </c>
      <c r="C398" s="22" t="s">
        <v>1160</v>
      </c>
      <c r="E398" s="23"/>
      <c r="F398" s="25"/>
      <c r="G398" s="26"/>
      <c r="H398" s="27"/>
      <c r="I398" s="24" t="str">
        <f aca="false">IF(OR(E398="",E398="!!!",F398="NEW"),"",INDEX(B26:B$373,-1+SUMPRODUCT(MAX(ROW(E26:E$373)*(E398=E26:E$373)))))</f>
        <v/>
      </c>
      <c r="J398" s="24" t="str">
        <f aca="true">IF(OR(E398="",E398="!!!",F398="NEW"),"",COUNTBLANK(OFFSET(A$1,,,SUMPRODUCT(MAX(ROW(E$2:E398)*(E398=E$2:E398)))))-COUNTBLANK(OFFSET(A$1,,,SUMPRODUCT(MAX(ROW(E$1:E397)*(E2=E$1:E397))))))</f>
        <v/>
      </c>
      <c r="K398" s="24" t="str">
        <f aca="false">IF(OR(E398="",E398="!!!",F398="NEW"),"",INDEX(J$1:J397,SUMPRODUCT(MAX(ROW(E$1:E397)*(E398=E$1:E397)))))</f>
        <v/>
      </c>
      <c r="L398" s="21"/>
    </row>
    <row r="399" customFormat="false" ht="15" hidden="false" customHeight="false" outlineLevel="0" collapsed="false">
      <c r="A399" s="20" t="s">
        <v>1162</v>
      </c>
      <c r="B399" s="22" t="s">
        <v>1321</v>
      </c>
      <c r="C399" s="22" t="s">
        <v>1082</v>
      </c>
      <c r="D399" s="22" t="s">
        <v>1060</v>
      </c>
      <c r="E399" s="23" t="s">
        <v>1305</v>
      </c>
      <c r="F399" s="23" t="s">
        <v>1083</v>
      </c>
      <c r="G399" s="23" t="s">
        <v>1084</v>
      </c>
      <c r="H399" s="23"/>
      <c r="I399" s="24" t="e">
        <f aca="false">IF(OR(E399="",E399="!!!",F399="NEW"),"",INDEX(B27:B$373,-1+SUMPRODUCT(MAX(ROW(E27:E$373)*(E399=E27:E$373)))))</f>
        <v>#REF!</v>
      </c>
      <c r="J399" s="24" t="n">
        <f aca="true">IF(OR(E399="",E399="!!!",F399="NEW"),"",COUNTBLANK(OFFSET(A$1,,,SUMPRODUCT(MAX(ROW(E$2:E399)*(E399=E$2:E399)))))-COUNTBLANK(OFFSET(A$1,,,SUMPRODUCT(MAX(ROW(E$1:E398)*(E2=E$1:E398))))))</f>
        <v>0</v>
      </c>
      <c r="K399" s="24" t="n">
        <f aca="false">IF(OR(E399="",E399="!!!",F399="NEW"),"",INDEX(J$1:J398,SUMPRODUCT(MAX(ROW(E$1:E398)*(E399=E$1:E398)))))</f>
        <v>0</v>
      </c>
      <c r="L399" s="21"/>
    </row>
    <row r="400" customFormat="false" ht="15" hidden="false" customHeight="false" outlineLevel="0" collapsed="false">
      <c r="A400" s="20" t="s">
        <v>576</v>
      </c>
      <c r="E400" s="23"/>
      <c r="F400" s="25"/>
      <c r="G400" s="26"/>
      <c r="H400" s="27"/>
      <c r="I400" s="24" t="str">
        <f aca="false">IF(OR(E400="",E400="!!!",F400="NEW"),"",INDEX(B28:B$373,-1+SUMPRODUCT(MAX(ROW(E28:E$373)*(E400=E28:E$373)))))</f>
        <v/>
      </c>
      <c r="J400" s="24" t="str">
        <f aca="true">IF(OR(E400="",E400="!!!",F400="NEW"),"",COUNTBLANK(OFFSET(A$1,,,SUMPRODUCT(MAX(ROW(E$2:E400)*(E400=E$2:E400)))))-COUNTBLANK(OFFSET(A$1,,,SUMPRODUCT(MAX(ROW(E$1:E399)*(E2=E$1:E399))))))</f>
        <v/>
      </c>
      <c r="K400" s="24" t="str">
        <f aca="false">IF(OR(E400="",E400="!!!",F400="NEW"),"",INDEX(J$1:J399,SUMPRODUCT(MAX(ROW(E$1:E399)*(E400=E$1:E399)))))</f>
        <v/>
      </c>
      <c r="L400" s="21"/>
    </row>
    <row r="401" customFormat="false" ht="15" hidden="false" customHeight="false" outlineLevel="0" collapsed="false">
      <c r="A401" s="20" t="s">
        <v>1322</v>
      </c>
      <c r="B401" s="22" t="s">
        <v>1323</v>
      </c>
      <c r="C401" s="22" t="s">
        <v>1196</v>
      </c>
      <c r="D401" s="22" t="s">
        <v>1060</v>
      </c>
      <c r="E401" s="23" t="s">
        <v>16</v>
      </c>
      <c r="F401" s="23"/>
      <c r="G401" s="23"/>
      <c r="H401" s="23"/>
      <c r="I401" s="24" t="n">
        <f aca="false">IF(OR(E401="",E401="!!!",F401="NEW"),"",INDEX(B29:B$373,-1+SUMPRODUCT(MAX(ROW(E29:E$373)*(E401=E29:E$373)))))</f>
        <v>0</v>
      </c>
      <c r="J401" s="24" t="n">
        <f aca="true">IF(OR(E401="",E401="!!!",F401="NEW"),"",COUNTBLANK(OFFSET(A$1,,,SUMPRODUCT(MAX(ROW(E$2:E401)*(E401=E$2:E401)))))-COUNTBLANK(OFFSET(A$1,,,SUMPRODUCT(MAX(ROW(E$1:E400)*(E2=E$1:E400))))))</f>
        <v>0</v>
      </c>
      <c r="K401" s="24" t="n">
        <f aca="false">IF(OR(E401="",E401="!!!",F401="NEW"),"",INDEX(J$1:J400,SUMPRODUCT(MAX(ROW(E$1:E400)*(E401=E$1:E400)))))</f>
        <v>0</v>
      </c>
      <c r="L401" s="21" t="s">
        <v>1324</v>
      </c>
    </row>
    <row r="402" customFormat="false" ht="15" hidden="false" customHeight="false" outlineLevel="0" collapsed="false">
      <c r="A402" s="20" t="s">
        <v>1173</v>
      </c>
      <c r="E402" s="23"/>
      <c r="F402" s="25"/>
      <c r="G402" s="26"/>
      <c r="H402" s="27"/>
      <c r="I402" s="24" t="str">
        <f aca="false">IF(OR(E402="",E402="!!!",F402="NEW"),"",INDEX(B30:B$373,-1+SUMPRODUCT(MAX(ROW(E30:E$373)*(E402=E30:E$373)))))</f>
        <v/>
      </c>
      <c r="J402" s="24" t="str">
        <f aca="true">IF(OR(E402="",E402="!!!",F402="NEW"),"",COUNTBLANK(OFFSET(A$1,,,SUMPRODUCT(MAX(ROW(E$2:E402)*(E402=E$2:E402)))))-COUNTBLANK(OFFSET(A$1,,,SUMPRODUCT(MAX(ROW(E$1:E401)*(E2=E$1:E401))))))</f>
        <v/>
      </c>
      <c r="K402" s="24" t="str">
        <f aca="false">IF(OR(E402="",E402="!!!",F402="NEW"),"",INDEX(J$1:J401,SUMPRODUCT(MAX(ROW(E$1:E401)*(E402=E$1:E401)))))</f>
        <v/>
      </c>
      <c r="L402" s="21"/>
    </row>
    <row r="403" customFormat="false" ht="15" hidden="false" customHeight="false" outlineLevel="0" collapsed="false">
      <c r="A403" s="20" t="s">
        <v>1080</v>
      </c>
      <c r="B403" s="22" t="s">
        <v>1325</v>
      </c>
      <c r="C403" s="22" t="s">
        <v>1082</v>
      </c>
      <c r="D403" s="22" t="s">
        <v>1060</v>
      </c>
      <c r="E403" s="23" t="s">
        <v>1318</v>
      </c>
      <c r="F403" s="23" t="s">
        <v>1083</v>
      </c>
      <c r="G403" s="23" t="s">
        <v>1084</v>
      </c>
      <c r="H403" s="23"/>
      <c r="I403" s="24" t="e">
        <f aca="false">IF(OR(E403="",E403="!!!",F403="NEW"),"",INDEX(B31:B$373,-1+SUMPRODUCT(MAX(ROW(E31:E$373)*(E403=E31:E$373)))))</f>
        <v>#VALUE!</v>
      </c>
      <c r="J403" s="24" t="n">
        <f aca="true">IF(OR(E403="",E403="!!!",F403="NEW"),"",COUNTBLANK(OFFSET(A$1,,,SUMPRODUCT(MAX(ROW(E$2:E403)*(E403=E$2:E403)))))-COUNTBLANK(OFFSET(A$1,,,SUMPRODUCT(MAX(ROW(E$1:E402)*(E2=E$1:E402))))))</f>
        <v>0</v>
      </c>
      <c r="K403" s="28" t="str">
        <f aca="false">IF(OR(E403="",E403="!!!",F403="NEW"),"",INDEX(J$1:J402,SUMPRODUCT(MAX(ROW(E$1:E402)*(E403=E$1:E402)))))</f>
        <v/>
      </c>
      <c r="L403" s="21"/>
    </row>
    <row r="404" customFormat="false" ht="15" hidden="false" customHeight="false" outlineLevel="0" collapsed="false">
      <c r="A404" s="20" t="s">
        <v>923</v>
      </c>
      <c r="E404" s="23"/>
      <c r="F404" s="25"/>
      <c r="G404" s="26"/>
      <c r="H404" s="27"/>
      <c r="I404" s="24" t="str">
        <f aca="false">IF(OR(E404="",E404="!!!",F404="NEW"),"",INDEX(B32:B$373,-1+SUMPRODUCT(MAX(ROW(E32:E$373)*(E404=E32:E$373)))))</f>
        <v/>
      </c>
      <c r="J404" s="24" t="str">
        <f aca="true">IF(OR(E404="",E404="!!!",F404="NEW"),"",COUNTBLANK(OFFSET(A$1,,,SUMPRODUCT(MAX(ROW(E$2:E404)*(E404=E$2:E404)))))-COUNTBLANK(OFFSET(A$1,,,SUMPRODUCT(MAX(ROW(E$1:E403)*(E2=E$1:E403))))))</f>
        <v/>
      </c>
      <c r="K404" s="24" t="str">
        <f aca="false">IF(OR(E404="",E404="!!!",F404="NEW"),"",INDEX(J$1:J403,SUMPRODUCT(MAX(ROW(E$1:E403)*(E404=E$1:E403)))))</f>
        <v/>
      </c>
      <c r="L404" s="21"/>
    </row>
    <row r="405" customFormat="false" ht="15" hidden="false" customHeight="false" outlineLevel="0" collapsed="false">
      <c r="A405" s="20" t="s">
        <v>607</v>
      </c>
      <c r="E405" s="23"/>
      <c r="F405" s="25"/>
      <c r="G405" s="26"/>
      <c r="H405" s="27"/>
      <c r="I405" s="24" t="str">
        <f aca="false">IF(OR(E405="",E405="!!!",F405="NEW"),"",INDEX(B33:B$373,-1+SUMPRODUCT(MAX(ROW(E33:E$373)*(E405=E33:E$373)))))</f>
        <v/>
      </c>
      <c r="J405" s="24" t="str">
        <f aca="true">IF(OR(E405="",E405="!!!",F405="NEW"),"",COUNTBLANK(OFFSET(A$1,,,SUMPRODUCT(MAX(ROW(E$2:E405)*(E405=E$2:E405)))))-COUNTBLANK(OFFSET(A$1,,,SUMPRODUCT(MAX(ROW(E$1:E404)*(E2=E$1:E404))))))</f>
        <v/>
      </c>
      <c r="K405" s="24" t="str">
        <f aca="false">IF(OR(E405="",E405="!!!",F405="NEW"),"",INDEX(J$1:J404,SUMPRODUCT(MAX(ROW(E$1:E404)*(E405=E$1:E404)))))</f>
        <v/>
      </c>
      <c r="L405" s="21"/>
    </row>
    <row r="406" customFormat="false" ht="15" hidden="false" customHeight="false" outlineLevel="0" collapsed="false">
      <c r="A406" s="20"/>
      <c r="L406" s="21"/>
    </row>
    <row r="407" customFormat="false" ht="15" hidden="false" customHeight="false" outlineLevel="0" collapsed="false">
      <c r="A407" s="20" t="s">
        <v>1301</v>
      </c>
      <c r="E407" s="23"/>
      <c r="F407" s="25"/>
      <c r="G407" s="26"/>
      <c r="H407" s="27"/>
      <c r="I407" s="24" t="str">
        <f aca="false">IF(OR(E407="",E407="!!!",F407="NEW"),"",INDEX(B2:B$406,-1+SUMPRODUCT(MAX(ROW(E2:E$406)*(E407=E2:E$406)))))</f>
        <v/>
      </c>
      <c r="J407" s="24" t="str">
        <f aca="true">IF(OR(E407="",E407="!!!",F407="NEW"),"",COUNTBLANK(OFFSET(A$1,,,SUMPRODUCT(MAX(ROW(E$2:E407)*(E407=E$2:E407)))))-COUNTBLANK(OFFSET(A$1,,,SUMPRODUCT(MAX(ROW(E$1:E406)*(E2=E$1:E406))))))</f>
        <v/>
      </c>
      <c r="K407" s="24" t="str">
        <f aca="false">IF(OR(E407="",E407="!!!",F407="NEW"),"",INDEX(J$1:J406,SUMPRODUCT(MAX(ROW(E$1:E406)*(E407=E$1:E406)))))</f>
        <v/>
      </c>
      <c r="L407" s="21"/>
    </row>
    <row r="408" customFormat="false" ht="15" hidden="false" customHeight="false" outlineLevel="0" collapsed="false">
      <c r="A408" s="20" t="s">
        <v>1326</v>
      </c>
      <c r="L408" s="21"/>
    </row>
    <row r="409" customFormat="false" ht="15" hidden="false" customHeight="false" outlineLevel="0" collapsed="false">
      <c r="A409" s="20" t="s">
        <v>607</v>
      </c>
      <c r="E409" s="23"/>
      <c r="F409" s="25"/>
      <c r="G409" s="26"/>
      <c r="H409" s="27"/>
      <c r="I409" s="24" t="str">
        <f aca="false">IF(OR(E409="",E409="!!!",F409="NEW"),"",INDEX(B2:B$408,-1+SUMPRODUCT(MAX(ROW(E2:E$408)*(E409=E2:E$408)))))</f>
        <v/>
      </c>
      <c r="J409" s="24" t="str">
        <f aca="true">IF(OR(E409="",E409="!!!",F409="NEW"),"",COUNTBLANK(OFFSET(A$1,,,SUMPRODUCT(MAX(ROW(E$2:E409)*(E409=E$2:E409)))))-COUNTBLANK(OFFSET(A$1,,,SUMPRODUCT(MAX(ROW(E$1:E408)*(E2=E$1:E408))))))</f>
        <v/>
      </c>
      <c r="K409" s="24" t="str">
        <f aca="false">IF(OR(E409="",E409="!!!",F409="NEW"),"",INDEX(J$1:J408,SUMPRODUCT(MAX(ROW(E$1:E408)*(E409=E$1:E408)))))</f>
        <v/>
      </c>
      <c r="L409" s="21"/>
    </row>
    <row r="410" customFormat="false" ht="15" hidden="false" customHeight="false" outlineLevel="0" collapsed="false">
      <c r="A410" s="20" t="s">
        <v>1327</v>
      </c>
      <c r="E410" s="23"/>
      <c r="F410" s="25"/>
      <c r="G410" s="26"/>
      <c r="H410" s="27"/>
      <c r="I410" s="24" t="str">
        <f aca="false">IF(OR(E410="",E410="!!!",F410="NEW"),"",INDEX(B3:B$408,-1+SUMPRODUCT(MAX(ROW(E3:E$408)*(E410=E3:E$408)))))</f>
        <v/>
      </c>
      <c r="J410" s="24" t="str">
        <f aca="true">IF(OR(E410="",E410="!!!",F410="NEW"),"",COUNTBLANK(OFFSET(A$1,,,SUMPRODUCT(MAX(ROW(E$2:E410)*(E410=E$2:E410)))))-COUNTBLANK(OFFSET(A$1,,,SUMPRODUCT(MAX(ROW(E$1:E409)*(E2=E$1:E409))))))</f>
        <v/>
      </c>
      <c r="K410" s="24" t="str">
        <f aca="false">IF(OR(E410="",E410="!!!",F410="NEW"),"",INDEX(J$1:J409,SUMPRODUCT(MAX(ROW(E$1:E409)*(E410=E$1:E409)))))</f>
        <v/>
      </c>
      <c r="L410" s="21"/>
    </row>
    <row r="411" customFormat="false" ht="15" hidden="false" customHeight="false" outlineLevel="0" collapsed="false">
      <c r="A411" s="20" t="s">
        <v>1328</v>
      </c>
      <c r="E411" s="23"/>
      <c r="F411" s="25"/>
      <c r="G411" s="26"/>
      <c r="H411" s="27"/>
      <c r="I411" s="24" t="str">
        <f aca="false">IF(OR(E411="",E411="!!!",F411="NEW"),"",INDEX(B4:B$408,-1+SUMPRODUCT(MAX(ROW(E4:E$408)*(E411=E4:E$408)))))</f>
        <v/>
      </c>
      <c r="J411" s="24" t="str">
        <f aca="true">IF(OR(E411="",E411="!!!",F411="NEW"),"",COUNTBLANK(OFFSET(A$1,,,SUMPRODUCT(MAX(ROW(E$2:E411)*(E411=E$2:E411)))))-COUNTBLANK(OFFSET(A$1,,,SUMPRODUCT(MAX(ROW(E$1:E410)*(E2=E$1:E410))))))</f>
        <v/>
      </c>
      <c r="K411" s="24" t="str">
        <f aca="false">IF(OR(E411="",E411="!!!",F411="NEW"),"",INDEX(J$1:J410,SUMPRODUCT(MAX(ROW(E$1:E410)*(E411=E$1:E410)))))</f>
        <v/>
      </c>
      <c r="L411" s="21"/>
    </row>
    <row r="412" customFormat="false" ht="15" hidden="false" customHeight="false" outlineLevel="0" collapsed="false">
      <c r="A412" s="20"/>
      <c r="L412" s="21"/>
    </row>
    <row r="413" customFormat="false" ht="15" hidden="false" customHeight="false" outlineLevel="0" collapsed="false">
      <c r="A413" s="20" t="s">
        <v>1301</v>
      </c>
      <c r="E413" s="23"/>
      <c r="F413" s="25"/>
      <c r="G413" s="26"/>
      <c r="H413" s="27"/>
      <c r="I413" s="24" t="str">
        <f aca="false">IF(OR(E413="",E413="!!!",F413="NEW"),"",INDEX(B2:B$412,-1+SUMPRODUCT(MAX(ROW(E2:E$412)*(E413=E2:E$412)))))</f>
        <v/>
      </c>
      <c r="J413" s="24" t="str">
        <f aca="true">IF(OR(E413="",E413="!!!",F413="NEW"),"",COUNTBLANK(OFFSET(A$1,,,SUMPRODUCT(MAX(ROW(E$2:E413)*(E413=E$2:E413)))))-COUNTBLANK(OFFSET(A$1,,,SUMPRODUCT(MAX(ROW(E$1:E412)*(E2=E$1:E412))))))</f>
        <v/>
      </c>
      <c r="K413" s="24" t="str">
        <f aca="false">IF(OR(E413="",E413="!!!",F413="NEW"),"",INDEX(J$1:J412,SUMPRODUCT(MAX(ROW(E$1:E412)*(E413=E$1:E412)))))</f>
        <v/>
      </c>
      <c r="L413" s="21"/>
    </row>
    <row r="414" customFormat="false" ht="15" hidden="false" customHeight="false" outlineLevel="0" collapsed="false">
      <c r="A414" s="20" t="s">
        <v>1329</v>
      </c>
      <c r="L414" s="21"/>
    </row>
    <row r="415" customFormat="false" ht="15" hidden="false" customHeight="false" outlineLevel="0" collapsed="false">
      <c r="A415" s="20" t="s">
        <v>1209</v>
      </c>
      <c r="B415" s="22" t="s">
        <v>1073</v>
      </c>
      <c r="C415" s="22" t="s">
        <v>1099</v>
      </c>
      <c r="D415" s="22" t="s">
        <v>1060</v>
      </c>
      <c r="E415" s="23" t="s">
        <v>1069</v>
      </c>
      <c r="F415" s="23" t="s">
        <v>1083</v>
      </c>
      <c r="G415" s="23" t="s">
        <v>1070</v>
      </c>
      <c r="H415" s="23"/>
      <c r="I415" s="24" t="str">
        <f aca="false">IF(OR(E415="",E415="!!!",F415="NEW"),"",INDEX(B2:B$414,-1+SUMPRODUCT(MAX(ROW(E2:E$414)*(E415=E2:E$414)))))</f>
        <v>other_7</v>
      </c>
      <c r="J415" s="24" t="n">
        <f aca="true">IF(OR(E415="",E415="!!!",F415="NEW"),"",COUNTBLANK(OFFSET(A$1,,,SUMPRODUCT(MAX(ROW(E$2:E415)*(E415=E$2:E415)))))-COUNTBLANK(OFFSET(A$1,,,SUMPRODUCT(MAX(ROW(E$1:E414)*(E2=E$1:E414))))))</f>
        <v>0</v>
      </c>
      <c r="K415" s="24" t="n">
        <f aca="false">IF(OR(E415="",E415="!!!",F415="NEW"),"",INDEX(J$1:J414,SUMPRODUCT(MAX(ROW(E$1:E414)*(E415=E$1:E414)))))</f>
        <v>0</v>
      </c>
      <c r="L415" s="21"/>
    </row>
    <row r="416" customFormat="false" ht="15" hidden="false" customHeight="false" outlineLevel="0" collapsed="false">
      <c r="A416" s="20" t="s">
        <v>1330</v>
      </c>
      <c r="B416" s="22" t="s">
        <v>1058</v>
      </c>
      <c r="C416" s="22" t="s">
        <v>1059</v>
      </c>
      <c r="D416" s="22" t="s">
        <v>1060</v>
      </c>
      <c r="E416" s="23" t="s">
        <v>1163</v>
      </c>
      <c r="F416" s="23" t="s">
        <v>1083</v>
      </c>
      <c r="G416" s="23" t="s">
        <v>1070</v>
      </c>
      <c r="H416" s="23"/>
      <c r="I416" s="24" t="n">
        <f aca="false">IF(OR(E416="",E416="!!!",F416="NEW"),"",INDEX(B3:B$414,-1+SUMPRODUCT(MAX(ROW(E3:E$414)*(E416=E3:E$414)))))</f>
        <v>0</v>
      </c>
      <c r="J416" s="24" t="n">
        <f aca="true">IF(OR(E416="",E416="!!!",F416="NEW"),"",COUNTBLANK(OFFSET(A$1,,,SUMPRODUCT(MAX(ROW(E$2:E416)*(E416=E$2:E416)))))-COUNTBLANK(OFFSET(A$1,,,SUMPRODUCT(MAX(ROW(E$1:E415)*(E2=E$1:E415))))))</f>
        <v>0</v>
      </c>
      <c r="K416" s="24" t="n">
        <f aca="false">IF(OR(E416="",E416="!!!",F416="NEW"),"",INDEX(J$1:J415,SUMPRODUCT(MAX(ROW(E$1:E415)*(E416=E$1:E415)))))</f>
        <v>0</v>
      </c>
      <c r="L416" s="21"/>
    </row>
    <row r="417" customFormat="false" ht="15" hidden="false" customHeight="false" outlineLevel="0" collapsed="false">
      <c r="A417" s="20" t="s">
        <v>1128</v>
      </c>
      <c r="E417" s="23"/>
      <c r="F417" s="25"/>
      <c r="G417" s="26"/>
      <c r="H417" s="27"/>
      <c r="I417" s="24" t="str">
        <f aca="false">IF(OR(E417="",E417="!!!",F417="NEW"),"",INDEX(B4:B$414,-1+SUMPRODUCT(MAX(ROW(E4:E$414)*(E417=E4:E$414)))))</f>
        <v/>
      </c>
      <c r="J417" s="24" t="str">
        <f aca="true">IF(OR(E417="",E417="!!!",F417="NEW"),"",COUNTBLANK(OFFSET(A$1,,,SUMPRODUCT(MAX(ROW(E$2:E417)*(E417=E$2:E417)))))-COUNTBLANK(OFFSET(A$1,,,SUMPRODUCT(MAX(ROW(E$1:E416)*(E2=E$1:E416))))))</f>
        <v/>
      </c>
      <c r="K417" s="24" t="str">
        <f aca="false">IF(OR(E417="",E417="!!!",F417="NEW"),"",INDEX(J$1:J416,SUMPRODUCT(MAX(ROW(E$1:E416)*(E417=E$1:E416)))))</f>
        <v/>
      </c>
      <c r="L417" s="21"/>
    </row>
    <row r="418" customFormat="false" ht="15" hidden="false" customHeight="false" outlineLevel="0" collapsed="false">
      <c r="A418" s="20" t="s">
        <v>1162</v>
      </c>
      <c r="B418" s="22" t="s">
        <v>1073</v>
      </c>
      <c r="C418" s="22" t="s">
        <v>1082</v>
      </c>
      <c r="D418" s="22" t="s">
        <v>1060</v>
      </c>
      <c r="E418" s="23" t="s">
        <v>1069</v>
      </c>
      <c r="F418" s="23" t="s">
        <v>1083</v>
      </c>
      <c r="G418" s="23" t="s">
        <v>1084</v>
      </c>
      <c r="H418" s="23"/>
      <c r="I418" s="24" t="str">
        <f aca="false">IF(OR(E418="",E418="!!!",F418="NEW"),"",INDEX(B5:B$414,-1+SUMPRODUCT(MAX(ROW(E5:E$414)*(E418=E5:E$414)))))</f>
        <v>other_7</v>
      </c>
      <c r="J418" s="24" t="n">
        <f aca="true">IF(OR(E418="",E418="!!!",F418="NEW"),"",COUNTBLANK(OFFSET(A$1,,,SUMPRODUCT(MAX(ROW(E$2:E418)*(E418=E$2:E418)))))-COUNTBLANK(OFFSET(A$1,,,SUMPRODUCT(MAX(ROW(E$1:E417)*(E2=E$1:E417))))))</f>
        <v>0</v>
      </c>
      <c r="K418" s="24" t="n">
        <f aca="false">IF(OR(E418="",E418="!!!",F418="NEW"),"",INDEX(J$1:J417,SUMPRODUCT(MAX(ROW(E$1:E417)*(E418=E$1:E417)))))</f>
        <v>0</v>
      </c>
      <c r="L418" s="21"/>
    </row>
    <row r="419" customFormat="false" ht="15" hidden="false" customHeight="false" outlineLevel="0" collapsed="false">
      <c r="A419" s="20" t="s">
        <v>1331</v>
      </c>
      <c r="E419" s="23"/>
      <c r="F419" s="25"/>
      <c r="G419" s="26"/>
      <c r="H419" s="27"/>
      <c r="I419" s="24" t="str">
        <f aca="false">IF(OR(E419="",E419="!!!",F419="NEW"),"",INDEX(B6:B$414,-1+SUMPRODUCT(MAX(ROW(E6:E$414)*(E419=E6:E$414)))))</f>
        <v/>
      </c>
      <c r="J419" s="24" t="str">
        <f aca="true">IF(OR(E419="",E419="!!!",F419="NEW"),"",COUNTBLANK(OFFSET(A$1,,,SUMPRODUCT(MAX(ROW(E$2:E419)*(E419=E$2:E419)))))-COUNTBLANK(OFFSET(A$1,,,SUMPRODUCT(MAX(ROW(E$1:E418)*(E2=E$1:E418))))))</f>
        <v/>
      </c>
      <c r="K419" s="24" t="str">
        <f aca="false">IF(OR(E419="",E419="!!!",F419="NEW"),"",INDEX(J$1:J418,SUMPRODUCT(MAX(ROW(E$1:E418)*(E419=E$1:E418)))))</f>
        <v/>
      </c>
      <c r="L419" s="21"/>
    </row>
    <row r="420" customFormat="false" ht="15" hidden="false" customHeight="false" outlineLevel="0" collapsed="false">
      <c r="A420" s="20" t="s">
        <v>1139</v>
      </c>
      <c r="E420" s="23"/>
      <c r="F420" s="25"/>
      <c r="G420" s="26"/>
      <c r="H420" s="27"/>
      <c r="I420" s="24" t="str">
        <f aca="false">IF(OR(E420="",E420="!!!",F420="NEW"),"",INDEX(B7:B$414,-1+SUMPRODUCT(MAX(ROW(E7:E$414)*(E420=E7:E$414)))))</f>
        <v/>
      </c>
      <c r="J420" s="24" t="str">
        <f aca="true">IF(OR(E420="",E420="!!!",F420="NEW"),"",COUNTBLANK(OFFSET(A$1,,,SUMPRODUCT(MAX(ROW(E$2:E420)*(E420=E$2:E420)))))-COUNTBLANK(OFFSET(A$1,,,SUMPRODUCT(MAX(ROW(E$1:E419)*(E2=E$1:E419))))))</f>
        <v/>
      </c>
      <c r="K420" s="24" t="str">
        <f aca="false">IF(OR(E420="",E420="!!!",F420="NEW"),"",INDEX(J$1:J419,SUMPRODUCT(MAX(ROW(E$1:E419)*(E420=E$1:E419)))))</f>
        <v/>
      </c>
      <c r="L420" s="21"/>
    </row>
    <row r="421" customFormat="false" ht="15" hidden="false" customHeight="false" outlineLevel="0" collapsed="false">
      <c r="A421" s="20" t="s">
        <v>1332</v>
      </c>
      <c r="E421" s="23"/>
      <c r="F421" s="25"/>
      <c r="G421" s="26"/>
      <c r="H421" s="27"/>
      <c r="I421" s="24" t="str">
        <f aca="false">IF(OR(E421="",E421="!!!",F421="NEW"),"",INDEX(B8:B$414,-1+SUMPRODUCT(MAX(ROW(E8:E$414)*(E421=E8:E$414)))))</f>
        <v/>
      </c>
      <c r="J421" s="24" t="str">
        <f aca="true">IF(OR(E421="",E421="!!!",F421="NEW"),"",COUNTBLANK(OFFSET(A$1,,,SUMPRODUCT(MAX(ROW(E$2:E421)*(E421=E$2:E421)))))-COUNTBLANK(OFFSET(A$1,,,SUMPRODUCT(MAX(ROW(E$1:E420)*(E2=E$1:E420))))))</f>
        <v/>
      </c>
      <c r="K421" s="24" t="str">
        <f aca="false">IF(OR(E421="",E421="!!!",F421="NEW"),"",INDEX(J$1:J420,SUMPRODUCT(MAX(ROW(E$1:E420)*(E421=E$1:E420)))))</f>
        <v/>
      </c>
      <c r="L421" s="21"/>
    </row>
    <row r="422" customFormat="false" ht="15" hidden="false" customHeight="false" outlineLevel="0" collapsed="false">
      <c r="A422" s="20" t="s">
        <v>1154</v>
      </c>
      <c r="E422" s="23"/>
      <c r="F422" s="25"/>
      <c r="G422" s="26"/>
      <c r="H422" s="27"/>
      <c r="I422" s="24" t="str">
        <f aca="false">IF(OR(E422="",E422="!!!",F422="NEW"),"",INDEX(B9:B$414,-1+SUMPRODUCT(MAX(ROW(E9:E$414)*(E422=E9:E$414)))))</f>
        <v/>
      </c>
      <c r="J422" s="24" t="str">
        <f aca="true">IF(OR(E422="",E422="!!!",F422="NEW"),"",COUNTBLANK(OFFSET(A$1,,,SUMPRODUCT(MAX(ROW(E$2:E422)*(E422=E$2:E422)))))-COUNTBLANK(OFFSET(A$1,,,SUMPRODUCT(MAX(ROW(E$1:E421)*(E2=E$1:E421))))))</f>
        <v/>
      </c>
      <c r="K422" s="24" t="str">
        <f aca="false">IF(OR(E422="",E422="!!!",F422="NEW"),"",INDEX(J$1:J421,SUMPRODUCT(MAX(ROW(E$1:E421)*(E422=E$1:E421)))))</f>
        <v/>
      </c>
      <c r="L422" s="21"/>
    </row>
    <row r="423" customFormat="false" ht="15" hidden="false" customHeight="false" outlineLevel="0" collapsed="false">
      <c r="A423" s="20" t="s">
        <v>1333</v>
      </c>
      <c r="B423" s="22" t="s">
        <v>1105</v>
      </c>
      <c r="C423" s="22" t="s">
        <v>1160</v>
      </c>
      <c r="E423" s="23"/>
      <c r="F423" s="25"/>
      <c r="G423" s="26"/>
      <c r="H423" s="27"/>
      <c r="I423" s="24" t="str">
        <f aca="false">IF(OR(E423="",E423="!!!",F423="NEW"),"",INDEX(B10:B$414,-1+SUMPRODUCT(MAX(ROW(E10:E$414)*(E423=E10:E$414)))))</f>
        <v/>
      </c>
      <c r="J423" s="24" t="str">
        <f aca="true">IF(OR(E423="",E423="!!!",F423="NEW"),"",COUNTBLANK(OFFSET(A$1,,,SUMPRODUCT(MAX(ROW(E$2:E423)*(E423=E$2:E423)))))-COUNTBLANK(OFFSET(A$1,,,SUMPRODUCT(MAX(ROW(E$1:E422)*(E2=E$1:E422))))))</f>
        <v/>
      </c>
      <c r="K423" s="24" t="str">
        <f aca="false">IF(OR(E423="",E423="!!!",F423="NEW"),"",INDEX(J$1:J422,SUMPRODUCT(MAX(ROW(E$1:E422)*(E423=E$1:E422)))))</f>
        <v/>
      </c>
      <c r="L423" s="21"/>
    </row>
    <row r="424" customFormat="false" ht="15" hidden="false" customHeight="false" outlineLevel="0" collapsed="false">
      <c r="A424" s="20" t="s">
        <v>923</v>
      </c>
      <c r="E424" s="23"/>
      <c r="F424" s="25"/>
      <c r="G424" s="26"/>
      <c r="H424" s="27"/>
      <c r="I424" s="24" t="str">
        <f aca="false">IF(OR(E424="",E424="!!!",F424="NEW"),"",INDEX(B11:B$414,-1+SUMPRODUCT(MAX(ROW(E11:E$414)*(E424=E11:E$414)))))</f>
        <v/>
      </c>
      <c r="J424" s="24" t="str">
        <f aca="true">IF(OR(E424="",E424="!!!",F424="NEW"),"",COUNTBLANK(OFFSET(A$1,,,SUMPRODUCT(MAX(ROW(E$2:E424)*(E424=E$2:E424)))))-COUNTBLANK(OFFSET(A$1,,,SUMPRODUCT(MAX(ROW(E$1:E423)*(E2=E$1:E423))))))</f>
        <v/>
      </c>
      <c r="K424" s="24" t="str">
        <f aca="false">IF(OR(E424="",E424="!!!",F424="NEW"),"",INDEX(J$1:J423,SUMPRODUCT(MAX(ROW(E$1:E423)*(E424=E$1:E423)))))</f>
        <v/>
      </c>
      <c r="L424" s="21"/>
    </row>
    <row r="425" customFormat="false" ht="15" hidden="false" customHeight="false" outlineLevel="0" collapsed="false">
      <c r="A425" s="20" t="s">
        <v>607</v>
      </c>
      <c r="E425" s="23"/>
      <c r="F425" s="25"/>
      <c r="G425" s="26"/>
      <c r="H425" s="27"/>
      <c r="I425" s="24" t="str">
        <f aca="false">IF(OR(E425="",E425="!!!",F425="NEW"),"",INDEX(B12:B$414,-1+SUMPRODUCT(MAX(ROW(E12:E$414)*(E425=E12:E$414)))))</f>
        <v/>
      </c>
      <c r="J425" s="24" t="str">
        <f aca="true">IF(OR(E425="",E425="!!!",F425="NEW"),"",COUNTBLANK(OFFSET(A$1,,,SUMPRODUCT(MAX(ROW(E$2:E425)*(E425=E$2:E425)))))-COUNTBLANK(OFFSET(A$1,,,SUMPRODUCT(MAX(ROW(E$1:E424)*(E2=E$1:E424))))))</f>
        <v/>
      </c>
      <c r="K425" s="24" t="str">
        <f aca="false">IF(OR(E425="",E425="!!!",F425="NEW"),"",INDEX(J$1:J424,SUMPRODUCT(MAX(ROW(E$1:E424)*(E425=E$1:E424)))))</f>
        <v/>
      </c>
      <c r="L425" s="21"/>
    </row>
    <row r="426" customFormat="false" ht="15" hidden="false" customHeight="false" outlineLevel="0" collapsed="false">
      <c r="A426" s="20"/>
      <c r="L426" s="21"/>
    </row>
    <row r="427" customFormat="false" ht="15" hidden="false" customHeight="false" outlineLevel="0" collapsed="false">
      <c r="A427" s="20" t="s">
        <v>1301</v>
      </c>
      <c r="E427" s="23"/>
      <c r="F427" s="25"/>
      <c r="G427" s="26"/>
      <c r="H427" s="27"/>
      <c r="I427" s="24" t="str">
        <f aca="false">IF(OR(E427="",E427="!!!",F427="NEW"),"",INDEX(B2:B$426,-1+SUMPRODUCT(MAX(ROW(E2:E$426)*(E427=E2:E$426)))))</f>
        <v/>
      </c>
      <c r="J427" s="24" t="str">
        <f aca="true">IF(OR(E427="",E427="!!!",F427="NEW"),"",COUNTBLANK(OFFSET(A$1,,,SUMPRODUCT(MAX(ROW(E$2:E427)*(E427=E$2:E427)))))-COUNTBLANK(OFFSET(A$1,,,SUMPRODUCT(MAX(ROW(E$1:E426)*(E2=E$1:E426))))))</f>
        <v/>
      </c>
      <c r="K427" s="24" t="str">
        <f aca="false">IF(OR(E427="",E427="!!!",F427="NEW"),"",INDEX(J$1:J426,SUMPRODUCT(MAX(ROW(E$1:E426)*(E427=E$1:E426)))))</f>
        <v/>
      </c>
      <c r="L427" s="21"/>
    </row>
    <row r="428" customFormat="false" ht="15" hidden="false" customHeight="false" outlineLevel="0" collapsed="false">
      <c r="A428" s="20" t="s">
        <v>1334</v>
      </c>
      <c r="L428" s="21"/>
    </row>
    <row r="429" customFormat="false" ht="15" hidden="false" customHeight="false" outlineLevel="0" collapsed="false">
      <c r="A429" s="20" t="s">
        <v>607</v>
      </c>
      <c r="E429" s="23"/>
      <c r="F429" s="25"/>
      <c r="G429" s="26"/>
      <c r="H429" s="27"/>
      <c r="I429" s="24" t="str">
        <f aca="false">IF(OR(E429="",E429="!!!",F429="NEW"),"",INDEX(B2:B$428,-1+SUMPRODUCT(MAX(ROW(E2:E$428)*(E429=E2:E$428)))))</f>
        <v/>
      </c>
      <c r="J429" s="24" t="str">
        <f aca="true">IF(OR(E429="",E429="!!!",F429="NEW"),"",COUNTBLANK(OFFSET(A$1,,,SUMPRODUCT(MAX(ROW(E$2:E429)*(E429=E$2:E429)))))-COUNTBLANK(OFFSET(A$1,,,SUMPRODUCT(MAX(ROW(E$1:E428)*(E2=E$1:E428))))))</f>
        <v/>
      </c>
      <c r="K429" s="24" t="str">
        <f aca="false">IF(OR(E429="",E429="!!!",F429="NEW"),"",INDEX(J$1:J428,SUMPRODUCT(MAX(ROW(E$1:E428)*(E429=E$1:E428)))))</f>
        <v/>
      </c>
      <c r="L429" s="21"/>
    </row>
    <row r="430" customFormat="false" ht="15" hidden="false" customHeight="false" outlineLevel="0" collapsed="false">
      <c r="A430" s="20" t="s">
        <v>1335</v>
      </c>
      <c r="B430" s="22" t="s">
        <v>1086</v>
      </c>
      <c r="C430" s="22" t="s">
        <v>1082</v>
      </c>
      <c r="D430" s="22" t="s">
        <v>1060</v>
      </c>
      <c r="E430" s="23" t="s">
        <v>1069</v>
      </c>
      <c r="F430" s="23" t="s">
        <v>1083</v>
      </c>
      <c r="G430" s="23" t="s">
        <v>1120</v>
      </c>
      <c r="H430" s="23" t="s">
        <v>1052</v>
      </c>
      <c r="I430" s="24" t="n">
        <f aca="false">IF(OR(E430="",E430="!!!",F430="NEW"),"",INDEX(B3:B$428,-1+SUMPRODUCT(MAX(ROW(E3:E$428)*(E430=E3:E$428)))))</f>
        <v>0</v>
      </c>
      <c r="J430" s="24" t="n">
        <f aca="true">IF(OR(E430="",E430="!!!",F430="NEW"),"",COUNTBLANK(OFFSET(A$1,,,SUMPRODUCT(MAX(ROW(E$2:E430)*(E430=E$2:E430)))))-COUNTBLANK(OFFSET(A$1,,,SUMPRODUCT(MAX(ROW(E$1:E429)*(E2=E$1:E429))))))</f>
        <v>0</v>
      </c>
      <c r="K430" s="24" t="n">
        <f aca="false">IF(OR(E430="",E430="!!!",F430="NEW"),"",INDEX(J$1:J429,SUMPRODUCT(MAX(ROW(E$1:E429)*(E430=E$1:E429)))))</f>
        <v>0</v>
      </c>
      <c r="L430" s="21"/>
    </row>
    <row r="431" customFormat="false" ht="15" hidden="false" customHeight="false" outlineLevel="0" collapsed="false">
      <c r="A431" s="20" t="s">
        <v>1336</v>
      </c>
      <c r="E431" s="23"/>
      <c r="F431" s="25"/>
      <c r="G431" s="26"/>
      <c r="H431" s="27"/>
      <c r="I431" s="24" t="str">
        <f aca="false">IF(OR(E431="",E431="!!!",F431="NEW"),"",INDEX(B4:B$428,-1+SUMPRODUCT(MAX(ROW(E4:E$428)*(E431=E4:E$428)))))</f>
        <v/>
      </c>
      <c r="J431" s="24" t="str">
        <f aca="true">IF(OR(E431="",E431="!!!",F431="NEW"),"",COUNTBLANK(OFFSET(A$1,,,SUMPRODUCT(MAX(ROW(E$2:E431)*(E431=E$2:E431)))))-COUNTBLANK(OFFSET(A$1,,,SUMPRODUCT(MAX(ROW(E$1:E430)*(E2=E$1:E430))))))</f>
        <v/>
      </c>
      <c r="K431" s="24" t="str">
        <f aca="false">IF(OR(E431="",E431="!!!",F431="NEW"),"",INDEX(J$1:J430,SUMPRODUCT(MAX(ROW(E$1:E430)*(E431=E$1:E430)))))</f>
        <v/>
      </c>
      <c r="L431" s="21"/>
    </row>
    <row r="432" customFormat="false" ht="15" hidden="false" customHeight="false" outlineLevel="0" collapsed="false">
      <c r="A432" s="20" t="s">
        <v>1337</v>
      </c>
      <c r="E432" s="23"/>
      <c r="F432" s="25"/>
      <c r="G432" s="26"/>
      <c r="H432" s="27"/>
      <c r="I432" s="24" t="str">
        <f aca="false">IF(OR(E432="",E432="!!!",F432="NEW"),"",INDEX(B5:B$428,-1+SUMPRODUCT(MAX(ROW(E5:E$428)*(E432=E5:E$428)))))</f>
        <v/>
      </c>
      <c r="J432" s="24" t="str">
        <f aca="true">IF(OR(E432="",E432="!!!",F432="NEW"),"",COUNTBLANK(OFFSET(A$1,,,SUMPRODUCT(MAX(ROW(E$2:E432)*(E432=E$2:E432)))))-COUNTBLANK(OFFSET(A$1,,,SUMPRODUCT(MAX(ROW(E$1:E431)*(E2=E$1:E431))))))</f>
        <v/>
      </c>
      <c r="K432" s="24" t="str">
        <f aca="false">IF(OR(E432="",E432="!!!",F432="NEW"),"",INDEX(J$1:J431,SUMPRODUCT(MAX(ROW(E$1:E431)*(E432=E$1:E431)))))</f>
        <v/>
      </c>
      <c r="L432" s="21"/>
    </row>
    <row r="433" customFormat="false" ht="15" hidden="false" customHeight="false" outlineLevel="0" collapsed="false">
      <c r="A433" s="20" t="s">
        <v>1338</v>
      </c>
      <c r="E433" s="23"/>
      <c r="F433" s="25"/>
      <c r="G433" s="26"/>
      <c r="H433" s="27"/>
      <c r="I433" s="24" t="str">
        <f aca="false">IF(OR(E433="",E433="!!!",F433="NEW"),"",INDEX(B6:B$428,-1+SUMPRODUCT(MAX(ROW(E6:E$428)*(E433=E6:E$428)))))</f>
        <v/>
      </c>
      <c r="J433" s="24" t="str">
        <f aca="true">IF(OR(E433="",E433="!!!",F433="NEW"),"",COUNTBLANK(OFFSET(A$1,,,SUMPRODUCT(MAX(ROW(E$2:E433)*(E433=E$2:E433)))))-COUNTBLANK(OFFSET(A$1,,,SUMPRODUCT(MAX(ROW(E$1:E432)*(E2=E$1:E432))))))</f>
        <v/>
      </c>
      <c r="K433" s="24" t="str">
        <f aca="false">IF(OR(E433="",E433="!!!",F433="NEW"),"",INDEX(J$1:J432,SUMPRODUCT(MAX(ROW(E$1:E432)*(E433=E$1:E432)))))</f>
        <v/>
      </c>
      <c r="L433" s="21"/>
    </row>
    <row r="434" customFormat="false" ht="15" hidden="false" customHeight="false" outlineLevel="0" collapsed="false">
      <c r="A434" s="20" t="s">
        <v>1188</v>
      </c>
      <c r="E434" s="23"/>
      <c r="F434" s="25"/>
      <c r="G434" s="26"/>
      <c r="H434" s="27"/>
      <c r="I434" s="24" t="str">
        <f aca="false">IF(OR(E434="",E434="!!!",F434="NEW"),"",INDEX(B7:B$428,-1+SUMPRODUCT(MAX(ROW(E7:E$428)*(E434=E7:E$428)))))</f>
        <v/>
      </c>
      <c r="J434" s="24" t="str">
        <f aca="true">IF(OR(E434="",E434="!!!",F434="NEW"),"",COUNTBLANK(OFFSET(A$1,,,SUMPRODUCT(MAX(ROW(E$2:E434)*(E434=E$2:E434)))))-COUNTBLANK(OFFSET(A$1,,,SUMPRODUCT(MAX(ROW(E$1:E433)*(E2=E$1:E433))))))</f>
        <v/>
      </c>
      <c r="K434" s="24" t="str">
        <f aca="false">IF(OR(E434="",E434="!!!",F434="NEW"),"",INDEX(J$1:J433,SUMPRODUCT(MAX(ROW(E$1:E433)*(E434=E$1:E433)))))</f>
        <v/>
      </c>
      <c r="L434" s="21"/>
    </row>
    <row r="435" customFormat="false" ht="15" hidden="false" customHeight="false" outlineLevel="0" collapsed="false">
      <c r="A435" s="20" t="s">
        <v>1339</v>
      </c>
      <c r="E435" s="23"/>
      <c r="F435" s="25"/>
      <c r="G435" s="26"/>
      <c r="H435" s="27"/>
      <c r="I435" s="24" t="str">
        <f aca="false">IF(OR(E435="",E435="!!!",F435="NEW"),"",INDEX(B8:B$428,-1+SUMPRODUCT(MAX(ROW(E8:E$428)*(E435=E8:E$428)))))</f>
        <v/>
      </c>
      <c r="J435" s="24" t="str">
        <f aca="true">IF(OR(E435="",E435="!!!",F435="NEW"),"",COUNTBLANK(OFFSET(A$1,,,SUMPRODUCT(MAX(ROW(E$2:E435)*(E435=E$2:E435)))))-COUNTBLANK(OFFSET(A$1,,,SUMPRODUCT(MAX(ROW(E$1:E434)*(E2=E$1:E434))))))</f>
        <v/>
      </c>
      <c r="K435" s="24" t="str">
        <f aca="false">IF(OR(E435="",E435="!!!",F435="NEW"),"",INDEX(J$1:J434,SUMPRODUCT(MAX(ROW(E$1:E434)*(E435=E$1:E434)))))</f>
        <v/>
      </c>
      <c r="L435" s="21"/>
    </row>
    <row r="436" customFormat="false" ht="15" hidden="false" customHeight="false" outlineLevel="0" collapsed="false">
      <c r="A436" s="20" t="s">
        <v>1340</v>
      </c>
      <c r="B436" s="22" t="s">
        <v>1073</v>
      </c>
      <c r="C436" s="22" t="s">
        <v>1171</v>
      </c>
      <c r="D436" s="22" t="s">
        <v>1060</v>
      </c>
      <c r="E436" s="23" t="s">
        <v>1340</v>
      </c>
      <c r="F436" s="23" t="s">
        <v>1062</v>
      </c>
      <c r="G436" s="23" t="s">
        <v>1172</v>
      </c>
      <c r="H436" s="23"/>
      <c r="I436" s="24" t="str">
        <f aca="false">IF(OR(E436="",E436="!!!",F436="NEW"),"",INDEX(B9:B$428,-1+SUMPRODUCT(MAX(ROW(E9:E$428)*(E436=E9:E$428)))))</f>
        <v/>
      </c>
      <c r="J436" s="24" t="str">
        <f aca="true">IF(OR(E436="",E436="!!!",F436="NEW"),"",COUNTBLANK(OFFSET(A$1,,,SUMPRODUCT(MAX(ROW(E$2:E436)*(E436=E$2:E436)))))-COUNTBLANK(OFFSET(A$1,,,SUMPRODUCT(MAX(ROW(E$1:E435)*(E2=E$1:E435))))))</f>
        <v/>
      </c>
      <c r="K436" s="24" t="str">
        <f aca="false">IF(OR(E436="",E436="!!!",F436="NEW"),"",INDEX(J$1:J435,SUMPRODUCT(MAX(ROW(E$1:E435)*(E436=E$1:E435)))))</f>
        <v/>
      </c>
      <c r="L436" s="21"/>
    </row>
    <row r="437" customFormat="false" ht="15" hidden="false" customHeight="false" outlineLevel="0" collapsed="false">
      <c r="A437" s="20" t="s">
        <v>1076</v>
      </c>
      <c r="E437" s="23"/>
      <c r="F437" s="25"/>
      <c r="G437" s="26"/>
      <c r="H437" s="27"/>
      <c r="I437" s="24" t="str">
        <f aca="false">IF(OR(E437="",E437="!!!",F437="NEW"),"",INDEX(B10:B$428,-1+SUMPRODUCT(MAX(ROW(E10:E$428)*(E437=E10:E$428)))))</f>
        <v/>
      </c>
      <c r="J437" s="24" t="str">
        <f aca="true">IF(OR(E437="",E437="!!!",F437="NEW"),"",COUNTBLANK(OFFSET(A$1,,,SUMPRODUCT(MAX(ROW(E$2:E437)*(E437=E$2:E437)))))-COUNTBLANK(OFFSET(A$1,,,SUMPRODUCT(MAX(ROW(E$1:E436)*(E2=E$1:E436))))))</f>
        <v/>
      </c>
      <c r="K437" s="24" t="str">
        <f aca="false">IF(OR(E437="",E437="!!!",F437="NEW"),"",INDEX(J$1:J436,SUMPRODUCT(MAX(ROW(E$1:E436)*(E437=E$1:E436)))))</f>
        <v/>
      </c>
      <c r="L437" s="21"/>
    </row>
    <row r="438" customFormat="false" ht="15" hidden="false" customHeight="false" outlineLevel="0" collapsed="false">
      <c r="A438" s="20" t="s">
        <v>90</v>
      </c>
      <c r="B438" s="22" t="s">
        <v>1105</v>
      </c>
      <c r="C438" s="22" t="s">
        <v>1068</v>
      </c>
      <c r="D438" s="22" t="s">
        <v>1060</v>
      </c>
      <c r="E438" s="23" t="s">
        <v>1069</v>
      </c>
      <c r="F438" s="23" t="s">
        <v>1083</v>
      </c>
      <c r="G438" s="23" t="s">
        <v>1084</v>
      </c>
      <c r="H438" s="23"/>
      <c r="I438" s="24" t="n">
        <f aca="false">IF(OR(E438="",E438="!!!",F438="NEW"),"",INDEX(B11:B$428,-1+SUMPRODUCT(MAX(ROW(E11:E$428)*(E438=E11:E$428)))))</f>
        <v>0</v>
      </c>
      <c r="J438" s="24" t="n">
        <f aca="true">IF(OR(E438="",E438="!!!",F438="NEW"),"",COUNTBLANK(OFFSET(A$1,,,SUMPRODUCT(MAX(ROW(E$2:E438)*(E438=E$2:E438)))))-COUNTBLANK(OFFSET(A$1,,,SUMPRODUCT(MAX(ROW(E$1:E437)*(E2=E$1:E437))))))</f>
        <v>0</v>
      </c>
      <c r="K438" s="24" t="n">
        <f aca="false">IF(OR(E438="",E438="!!!",F438="NEW"),"",INDEX(J$1:J437,SUMPRODUCT(MAX(ROW(E$1:E437)*(E438=E$1:E437)))))</f>
        <v>0</v>
      </c>
      <c r="L438" s="21"/>
    </row>
    <row r="439" customFormat="false" ht="15" hidden="false" customHeight="false" outlineLevel="0" collapsed="false">
      <c r="A439" s="20" t="s">
        <v>1066</v>
      </c>
      <c r="E439" s="23"/>
      <c r="F439" s="25"/>
      <c r="G439" s="26"/>
      <c r="H439" s="27"/>
      <c r="I439" s="24" t="str">
        <f aca="false">IF(OR(E439="",E439="!!!",F439="NEW"),"",INDEX(B12:B$428,-1+SUMPRODUCT(MAX(ROW(E12:E$428)*(E439=E12:E$428)))))</f>
        <v/>
      </c>
      <c r="J439" s="24" t="str">
        <f aca="true">IF(OR(E439="",E439="!!!",F439="NEW"),"",COUNTBLANK(OFFSET(A$1,,,SUMPRODUCT(MAX(ROW(E$2:E439)*(E439=E$2:E439)))))-COUNTBLANK(OFFSET(A$1,,,SUMPRODUCT(MAX(ROW(E$1:E438)*(E2=E$1:E438))))))</f>
        <v/>
      </c>
      <c r="K439" s="24" t="str">
        <f aca="false">IF(OR(E439="",E439="!!!",F439="NEW"),"",INDEX(J$1:J438,SUMPRODUCT(MAX(ROW(E$1:E438)*(E439=E$1:E438)))))</f>
        <v/>
      </c>
      <c r="L439" s="21"/>
    </row>
    <row r="440" customFormat="false" ht="15" hidden="false" customHeight="false" outlineLevel="0" collapsed="false">
      <c r="A440" s="20" t="s">
        <v>923</v>
      </c>
      <c r="E440" s="23"/>
      <c r="F440" s="25"/>
      <c r="G440" s="26"/>
      <c r="H440" s="27"/>
      <c r="I440" s="24" t="str">
        <f aca="false">IF(OR(E440="",E440="!!!",F440="NEW"),"",INDEX(B13:B$428,-1+SUMPRODUCT(MAX(ROW(E13:E$428)*(E440=E13:E$428)))))</f>
        <v/>
      </c>
      <c r="J440" s="24" t="str">
        <f aca="true">IF(OR(E440="",E440="!!!",F440="NEW"),"",COUNTBLANK(OFFSET(A$1,,,SUMPRODUCT(MAX(ROW(E$2:E440)*(E440=E$2:E440)))))-COUNTBLANK(OFFSET(A$1,,,SUMPRODUCT(MAX(ROW(E$1:E439)*(E2=E$1:E439))))))</f>
        <v/>
      </c>
      <c r="K440" s="24" t="str">
        <f aca="false">IF(OR(E440="",E440="!!!",F440="NEW"),"",INDEX(J$1:J439,SUMPRODUCT(MAX(ROW(E$1:E439)*(E440=E$1:E439)))))</f>
        <v/>
      </c>
      <c r="L440" s="21"/>
    </row>
    <row r="441" customFormat="false" ht="15" hidden="false" customHeight="false" outlineLevel="0" collapsed="false">
      <c r="A441" s="20"/>
      <c r="L441" s="21"/>
    </row>
    <row r="442" customFormat="false" ht="15" hidden="false" customHeight="false" outlineLevel="0" collapsed="false">
      <c r="A442" s="20" t="s">
        <v>1301</v>
      </c>
      <c r="E442" s="23"/>
      <c r="F442" s="25"/>
      <c r="G442" s="26"/>
      <c r="H442" s="27"/>
      <c r="I442" s="24" t="str">
        <f aca="false">IF(OR(E442="",E442="!!!",F442="NEW"),"",INDEX(B2:B$441,-1+SUMPRODUCT(MAX(ROW(E2:E$441)*(E442=E2:E$441)))))</f>
        <v/>
      </c>
      <c r="J442" s="24" t="str">
        <f aca="true">IF(OR(E442="",E442="!!!",F442="NEW"),"",COUNTBLANK(OFFSET(A$1,,,SUMPRODUCT(MAX(ROW(E$2:E442)*(E442=E$2:E442)))))-COUNTBLANK(OFFSET(A$1,,,SUMPRODUCT(MAX(ROW(E$1:E441)*(E2=E$1:E441))))))</f>
        <v/>
      </c>
      <c r="K442" s="24" t="str">
        <f aca="false">IF(OR(E442="",E442="!!!",F442="NEW"),"",INDEX(J$1:J441,SUMPRODUCT(MAX(ROW(E$1:E441)*(E442=E$1:E441)))))</f>
        <v/>
      </c>
      <c r="L442" s="21"/>
    </row>
    <row r="443" customFormat="false" ht="15" hidden="false" customHeight="false" outlineLevel="0" collapsed="false">
      <c r="A443" s="20" t="s">
        <v>1341</v>
      </c>
      <c r="L443" s="21"/>
    </row>
    <row r="444" customFormat="false" ht="15" hidden="false" customHeight="false" outlineLevel="0" collapsed="false">
      <c r="A444" s="20" t="s">
        <v>1342</v>
      </c>
      <c r="B444" s="22" t="s">
        <v>1105</v>
      </c>
      <c r="C444" s="22" t="s">
        <v>1202</v>
      </c>
      <c r="E444" s="23"/>
      <c r="F444" s="25"/>
      <c r="G444" s="26"/>
      <c r="H444" s="27"/>
      <c r="I444" s="24" t="str">
        <f aca="false">IF(OR(E444="",E444="!!!",F444="NEW"),"",INDEX(B2:B$443,-1+SUMPRODUCT(MAX(ROW(E2:E$443)*(E444=E2:E$443)))))</f>
        <v/>
      </c>
      <c r="J444" s="24" t="str">
        <f aca="true">IF(OR(E444="",E444="!!!",F444="NEW"),"",COUNTBLANK(OFFSET(A$1,,,SUMPRODUCT(MAX(ROW(E$2:E444)*(E444=E$2:E444)))))-COUNTBLANK(OFFSET(A$1,,,SUMPRODUCT(MAX(ROW(E$1:E443)*(E2=E$1:E443))))))</f>
        <v/>
      </c>
      <c r="K444" s="24" t="str">
        <f aca="false">IF(OR(E444="",E444="!!!",F444="NEW"),"",INDEX(J$1:J443,SUMPRODUCT(MAX(ROW(E$1:E443)*(E444=E$1:E443)))))</f>
        <v/>
      </c>
      <c r="L444" s="21"/>
    </row>
    <row r="445" customFormat="false" ht="15" hidden="false" customHeight="false" outlineLevel="0" collapsed="false">
      <c r="A445" s="20" t="s">
        <v>1071</v>
      </c>
      <c r="E445" s="23"/>
      <c r="F445" s="25"/>
      <c r="G445" s="26"/>
      <c r="H445" s="27"/>
      <c r="I445" s="24" t="str">
        <f aca="false">IF(OR(E445="",E445="!!!",F445="NEW"),"",INDEX(B3:B$443,-1+SUMPRODUCT(MAX(ROW(E3:E$443)*(E445=E3:E$443)))))</f>
        <v/>
      </c>
      <c r="J445" s="24" t="str">
        <f aca="true">IF(OR(E445="",E445="!!!",F445="NEW"),"",COUNTBLANK(OFFSET(A$1,,,SUMPRODUCT(MAX(ROW(E$2:E445)*(E445=E$2:E445)))))-COUNTBLANK(OFFSET(A$1,,,SUMPRODUCT(MAX(ROW(E$1:E444)*(E2=E$1:E444))))))</f>
        <v/>
      </c>
      <c r="K445" s="24" t="str">
        <f aca="false">IF(OR(E445="",E445="!!!",F445="NEW"),"",INDEX(J$1:J444,SUMPRODUCT(MAX(ROW(E$1:E444)*(E445=E$1:E444)))))</f>
        <v/>
      </c>
      <c r="L445" s="21"/>
    </row>
    <row r="446" customFormat="false" ht="15" hidden="false" customHeight="false" outlineLevel="0" collapsed="false">
      <c r="A446" s="20" t="s">
        <v>1109</v>
      </c>
      <c r="E446" s="23"/>
      <c r="F446" s="25"/>
      <c r="G446" s="26"/>
      <c r="H446" s="27"/>
      <c r="I446" s="24" t="str">
        <f aca="false">IF(OR(E446="",E446="!!!",F446="NEW"),"",INDEX(B4:B$443,-1+SUMPRODUCT(MAX(ROW(E4:E$443)*(E446=E4:E$443)))))</f>
        <v/>
      </c>
      <c r="J446" s="24" t="str">
        <f aca="true">IF(OR(E446="",E446="!!!",F446="NEW"),"",COUNTBLANK(OFFSET(A$1,,,SUMPRODUCT(MAX(ROW(E$2:E446)*(E446=E$2:E446)))))-COUNTBLANK(OFFSET(A$1,,,SUMPRODUCT(MAX(ROW(E$1:E445)*(E2=E$1:E445))))))</f>
        <v/>
      </c>
      <c r="K446" s="24" t="str">
        <f aca="false">IF(OR(E446="",E446="!!!",F446="NEW"),"",INDEX(J$1:J445,SUMPRODUCT(MAX(ROW(E$1:E445)*(E446=E$1:E445)))))</f>
        <v/>
      </c>
      <c r="L446" s="21"/>
    </row>
    <row r="447" customFormat="false" ht="15" hidden="false" customHeight="false" outlineLevel="0" collapsed="false">
      <c r="A447" s="20" t="s">
        <v>98</v>
      </c>
      <c r="B447" s="22" t="s">
        <v>1058</v>
      </c>
      <c r="C447" s="22" t="s">
        <v>1150</v>
      </c>
      <c r="D447" s="22" t="s">
        <v>1060</v>
      </c>
      <c r="E447" s="23" t="s">
        <v>98</v>
      </c>
      <c r="F447" s="23" t="s">
        <v>1062</v>
      </c>
      <c r="G447" s="23" t="s">
        <v>1172</v>
      </c>
      <c r="H447" s="23"/>
      <c r="I447" s="24" t="str">
        <f aca="false">IF(OR(E447="",E447="!!!",F447="NEW"),"",INDEX(B5:B$443,-1+SUMPRODUCT(MAX(ROW(E5:E$443)*(E447=E5:E$443)))))</f>
        <v/>
      </c>
      <c r="J447" s="24" t="str">
        <f aca="true">IF(OR(E447="",E447="!!!",F447="NEW"),"",COUNTBLANK(OFFSET(A$1,,,SUMPRODUCT(MAX(ROW(E$2:E447)*(E447=E$2:E447)))))-COUNTBLANK(OFFSET(A$1,,,SUMPRODUCT(MAX(ROW(E$1:E446)*(E2=E$1:E446))))))</f>
        <v/>
      </c>
      <c r="K447" s="24" t="str">
        <f aca="false">IF(OR(E447="",E447="!!!",F447="NEW"),"",INDEX(J$1:J446,SUMPRODUCT(MAX(ROW(E$1:E446)*(E447=E$1:E446)))))</f>
        <v/>
      </c>
      <c r="L447" s="21"/>
    </row>
    <row r="448" customFormat="false" ht="15" hidden="false" customHeight="false" outlineLevel="0" collapsed="false">
      <c r="A448" s="20" t="s">
        <v>1343</v>
      </c>
      <c r="E448" s="23"/>
      <c r="F448" s="25"/>
      <c r="G448" s="26"/>
      <c r="H448" s="27"/>
      <c r="I448" s="24" t="str">
        <f aca="false">IF(OR(E448="",E448="!!!",F448="NEW"),"",INDEX(B6:B$443,-1+SUMPRODUCT(MAX(ROW(E6:E$443)*(E448=E6:E$443)))))</f>
        <v/>
      </c>
      <c r="J448" s="24" t="str">
        <f aca="true">IF(OR(E448="",E448="!!!",F448="NEW"),"",COUNTBLANK(OFFSET(A$1,,,SUMPRODUCT(MAX(ROW(E$2:E448)*(E448=E$2:E448)))))-COUNTBLANK(OFFSET(A$1,,,SUMPRODUCT(MAX(ROW(E$1:E447)*(E2=E$1:E447))))))</f>
        <v/>
      </c>
      <c r="K448" s="24" t="str">
        <f aca="false">IF(OR(E448="",E448="!!!",F448="NEW"),"",INDEX(J$1:J447,SUMPRODUCT(MAX(ROW(E$1:E447)*(E448=E$1:E447)))))</f>
        <v/>
      </c>
      <c r="L448" s="21"/>
    </row>
    <row r="449" customFormat="false" ht="15" hidden="false" customHeight="false" outlineLevel="0" collapsed="false">
      <c r="A449" s="20" t="s">
        <v>1307</v>
      </c>
      <c r="E449" s="23"/>
      <c r="F449" s="25"/>
      <c r="G449" s="26"/>
      <c r="H449" s="27"/>
      <c r="I449" s="24" t="str">
        <f aca="false">IF(OR(E449="",E449="!!!",F449="NEW"),"",INDEX(B7:B$443,-1+SUMPRODUCT(MAX(ROW(E7:E$443)*(E449=E7:E$443)))))</f>
        <v/>
      </c>
      <c r="J449" s="24" t="str">
        <f aca="true">IF(OR(E449="",E449="!!!",F449="NEW"),"",COUNTBLANK(OFFSET(A$1,,,SUMPRODUCT(MAX(ROW(E$2:E449)*(E449=E$2:E449)))))-COUNTBLANK(OFFSET(A$1,,,SUMPRODUCT(MAX(ROW(E$1:E448)*(E2=E$1:E448))))))</f>
        <v/>
      </c>
      <c r="K449" s="24" t="str">
        <f aca="false">IF(OR(E449="",E449="!!!",F449="NEW"),"",INDEX(J$1:J448,SUMPRODUCT(MAX(ROW(E$1:E448)*(E449=E$1:E448)))))</f>
        <v/>
      </c>
      <c r="L449" s="21"/>
    </row>
    <row r="450" customFormat="false" ht="15" hidden="false" customHeight="false" outlineLevel="0" collapsed="false">
      <c r="A450" s="20" t="s">
        <v>607</v>
      </c>
      <c r="E450" s="23"/>
      <c r="F450" s="25"/>
      <c r="G450" s="26"/>
      <c r="H450" s="27"/>
      <c r="I450" s="24" t="str">
        <f aca="false">IF(OR(E450="",E450="!!!",F450="NEW"),"",INDEX(B8:B$443,-1+SUMPRODUCT(MAX(ROW(E8:E$443)*(E450=E8:E$443)))))</f>
        <v/>
      </c>
      <c r="J450" s="24" t="str">
        <f aca="true">IF(OR(E450="",E450="!!!",F450="NEW"),"",COUNTBLANK(OFFSET(A$1,,,SUMPRODUCT(MAX(ROW(E$2:E450)*(E450=E$2:E450)))))-COUNTBLANK(OFFSET(A$1,,,SUMPRODUCT(MAX(ROW(E$1:E449)*(E2=E$1:E449))))))</f>
        <v/>
      </c>
      <c r="K450" s="24" t="str">
        <f aca="false">IF(OR(E450="",E450="!!!",F450="NEW"),"",INDEX(J$1:J449,SUMPRODUCT(MAX(ROW(E$1:E449)*(E450=E$1:E449)))))</f>
        <v/>
      </c>
      <c r="L450" s="21"/>
    </row>
    <row r="451" customFormat="false" ht="15" hidden="false" customHeight="false" outlineLevel="0" collapsed="false">
      <c r="A451" s="20"/>
      <c r="L451" s="21"/>
    </row>
    <row r="452" customFormat="false" ht="15" hidden="false" customHeight="false" outlineLevel="0" collapsed="false">
      <c r="A452" s="20" t="s">
        <v>1301</v>
      </c>
      <c r="E452" s="23"/>
      <c r="F452" s="25"/>
      <c r="G452" s="26"/>
      <c r="H452" s="27"/>
      <c r="I452" s="24" t="str">
        <f aca="false">IF(OR(E452="",E452="!!!",F452="NEW"),"",INDEX(B2:B$451,-1+SUMPRODUCT(MAX(ROW(E2:E$451)*(E452=E2:E$451)))))</f>
        <v/>
      </c>
      <c r="J452" s="24" t="str">
        <f aca="true">IF(OR(E452="",E452="!!!",F452="NEW"),"",COUNTBLANK(OFFSET(A$1,,,SUMPRODUCT(MAX(ROW(E$2:E452)*(E452=E$2:E452)))))-COUNTBLANK(OFFSET(A$1,,,SUMPRODUCT(MAX(ROW(E$1:E451)*(E2=E$1:E451))))))</f>
        <v/>
      </c>
      <c r="K452" s="24" t="str">
        <f aca="false">IF(OR(E452="",E452="!!!",F452="NEW"),"",INDEX(J$1:J451,SUMPRODUCT(MAX(ROW(E$1:E451)*(E452=E$1:E451)))))</f>
        <v/>
      </c>
      <c r="L452" s="21"/>
    </row>
    <row r="453" customFormat="false" ht="15" hidden="false" customHeight="false" outlineLevel="0" collapsed="false">
      <c r="A453" s="20" t="s">
        <v>1344</v>
      </c>
      <c r="L453" s="21"/>
    </row>
    <row r="454" customFormat="false" ht="15" hidden="false" customHeight="false" outlineLevel="0" collapsed="false">
      <c r="A454" s="20" t="s">
        <v>607</v>
      </c>
      <c r="E454" s="23"/>
      <c r="F454" s="25"/>
      <c r="G454" s="26"/>
      <c r="H454" s="27"/>
      <c r="I454" s="24" t="str">
        <f aca="false">IF(OR(E454="",E454="!!!",F454="NEW"),"",INDEX(B2:B$453,-1+SUMPRODUCT(MAX(ROW(E2:E$453)*(E454=E2:E$453)))))</f>
        <v/>
      </c>
      <c r="J454" s="24" t="str">
        <f aca="true">IF(OR(E454="",E454="!!!",F454="NEW"),"",COUNTBLANK(OFFSET(A$1,,,SUMPRODUCT(MAX(ROW(E$2:E454)*(E454=E$2:E454)))))-COUNTBLANK(OFFSET(A$1,,,SUMPRODUCT(MAX(ROW(E$1:E453)*(E2=E$1:E453))))))</f>
        <v/>
      </c>
      <c r="K454" s="24" t="str">
        <f aca="false">IF(OR(E454="",E454="!!!",F454="NEW"),"",INDEX(J$1:J453,SUMPRODUCT(MAX(ROW(E$1:E453)*(E454=E$1:E453)))))</f>
        <v/>
      </c>
      <c r="L454" s="21"/>
    </row>
    <row r="455" customFormat="false" ht="15" hidden="false" customHeight="false" outlineLevel="0" collapsed="false">
      <c r="A455" s="20" t="s">
        <v>1345</v>
      </c>
      <c r="E455" s="23"/>
      <c r="F455" s="25"/>
      <c r="G455" s="26"/>
      <c r="H455" s="27"/>
      <c r="I455" s="24" t="str">
        <f aca="false">IF(OR(E455="",E455="!!!",F455="NEW"),"",INDEX(B3:B$453,-1+SUMPRODUCT(MAX(ROW(E3:E$453)*(E455=E3:E$453)))))</f>
        <v/>
      </c>
      <c r="J455" s="24" t="str">
        <f aca="true">IF(OR(E455="",E455="!!!",F455="NEW"),"",COUNTBLANK(OFFSET(A$1,,,SUMPRODUCT(MAX(ROW(E$2:E455)*(E455=E$2:E455)))))-COUNTBLANK(OFFSET(A$1,,,SUMPRODUCT(MAX(ROW(E$1:E454)*(E2=E$1:E454))))))</f>
        <v/>
      </c>
      <c r="K455" s="24" t="str">
        <f aca="false">IF(OR(E455="",E455="!!!",F455="NEW"),"",INDEX(J$1:J454,SUMPRODUCT(MAX(ROW(E$1:E454)*(E455=E$1:E454)))))</f>
        <v/>
      </c>
      <c r="L455" s="21"/>
    </row>
    <row r="456" customFormat="false" ht="15" hidden="false" customHeight="false" outlineLevel="0" collapsed="false">
      <c r="A456" s="20" t="s">
        <v>1346</v>
      </c>
      <c r="E456" s="23"/>
      <c r="F456" s="25"/>
      <c r="G456" s="26"/>
      <c r="H456" s="27"/>
      <c r="I456" s="24" t="str">
        <f aca="false">IF(OR(E456="",E456="!!!",F456="NEW"),"",INDEX(B4:B$453,-1+SUMPRODUCT(MAX(ROW(E4:E$453)*(E456=E4:E$453)))))</f>
        <v/>
      </c>
      <c r="J456" s="24" t="str">
        <f aca="true">IF(OR(E456="",E456="!!!",F456="NEW"),"",COUNTBLANK(OFFSET(A$1,,,SUMPRODUCT(MAX(ROW(E$2:E456)*(E456=E$2:E456)))))-COUNTBLANK(OFFSET(A$1,,,SUMPRODUCT(MAX(ROW(E$1:E455)*(E2=E$1:E455))))))</f>
        <v/>
      </c>
      <c r="K456" s="24" t="str">
        <f aca="false">IF(OR(E456="",E456="!!!",F456="NEW"),"",INDEX(J$1:J455,SUMPRODUCT(MAX(ROW(E$1:E455)*(E456=E$1:E455)))))</f>
        <v/>
      </c>
      <c r="L456" s="21"/>
    </row>
    <row r="457" customFormat="false" ht="15" hidden="false" customHeight="false" outlineLevel="0" collapsed="false">
      <c r="A457" s="20" t="s">
        <v>98</v>
      </c>
      <c r="B457" s="22" t="s">
        <v>1105</v>
      </c>
      <c r="C457" s="22" t="s">
        <v>1087</v>
      </c>
      <c r="E457" s="23"/>
      <c r="F457" s="25"/>
      <c r="G457" s="26"/>
      <c r="H457" s="27"/>
      <c r="I457" s="24" t="str">
        <f aca="false">IF(OR(E457="",E457="!!!",F457="NEW"),"",INDEX(B5:B$453,-1+SUMPRODUCT(MAX(ROW(E5:E$453)*(E457=E5:E$453)))))</f>
        <v/>
      </c>
      <c r="J457" s="24" t="str">
        <f aca="true">IF(OR(E457="",E457="!!!",F457="NEW"),"",COUNTBLANK(OFFSET(A$1,,,SUMPRODUCT(MAX(ROW(E$2:E457)*(E457=E$2:E457)))))-COUNTBLANK(OFFSET(A$1,,,SUMPRODUCT(MAX(ROW(E$1:E456)*(E2=E$1:E456))))))</f>
        <v/>
      </c>
      <c r="K457" s="24" t="str">
        <f aca="false">IF(OR(E457="",E457="!!!",F457="NEW"),"",INDEX(J$1:J456,SUMPRODUCT(MAX(ROW(E$1:E456)*(E457=E$1:E456)))))</f>
        <v/>
      </c>
      <c r="L457" s="21"/>
    </row>
    <row r="458" customFormat="false" ht="15" hidden="false" customHeight="false" outlineLevel="0" collapsed="false">
      <c r="A458" s="20" t="s">
        <v>923</v>
      </c>
      <c r="E458" s="23"/>
      <c r="F458" s="25"/>
      <c r="G458" s="26"/>
      <c r="H458" s="27"/>
      <c r="I458" s="24" t="str">
        <f aca="false">IF(OR(E458="",E458="!!!",F458="NEW"),"",INDEX(B6:B$453,-1+SUMPRODUCT(MAX(ROW(E6:E$453)*(E458=E6:E$453)))))</f>
        <v/>
      </c>
      <c r="J458" s="24" t="str">
        <f aca="true">IF(OR(E458="",E458="!!!",F458="NEW"),"",COUNTBLANK(OFFSET(A$1,,,SUMPRODUCT(MAX(ROW(E$2:E458)*(E458=E$2:E458)))))-COUNTBLANK(OFFSET(A$1,,,SUMPRODUCT(MAX(ROW(E$1:E457)*(E2=E$1:E457))))))</f>
        <v/>
      </c>
      <c r="K458" s="24" t="str">
        <f aca="false">IF(OR(E458="",E458="!!!",F458="NEW"),"",INDEX(J$1:J457,SUMPRODUCT(MAX(ROW(E$1:E457)*(E458=E$1:E457)))))</f>
        <v/>
      </c>
      <c r="L458" s="21"/>
    </row>
    <row r="459" customFormat="false" ht="15" hidden="false" customHeight="false" outlineLevel="0" collapsed="false">
      <c r="A459" s="20" t="s">
        <v>607</v>
      </c>
      <c r="E459" s="23"/>
      <c r="F459" s="25"/>
      <c r="G459" s="26"/>
      <c r="H459" s="27"/>
      <c r="I459" s="24" t="str">
        <f aca="false">IF(OR(E459="",E459="!!!",F459="NEW"),"",INDEX(B7:B$453,-1+SUMPRODUCT(MAX(ROW(E7:E$453)*(E459=E7:E$453)))))</f>
        <v/>
      </c>
      <c r="J459" s="24" t="str">
        <f aca="true">IF(OR(E459="",E459="!!!",F459="NEW"),"",COUNTBLANK(OFFSET(A$1,,,SUMPRODUCT(MAX(ROW(E$2:E459)*(E459=E$2:E459)))))-COUNTBLANK(OFFSET(A$1,,,SUMPRODUCT(MAX(ROW(E$1:E458)*(E2=E$1:E458))))))</f>
        <v/>
      </c>
      <c r="K459" s="24" t="str">
        <f aca="false">IF(OR(E459="",E459="!!!",F459="NEW"),"",INDEX(J$1:J458,SUMPRODUCT(MAX(ROW(E$1:E458)*(E459=E$1:E458)))))</f>
        <v/>
      </c>
      <c r="L459" s="21"/>
    </row>
    <row r="460" customFormat="false" ht="15" hidden="false" customHeight="false" outlineLevel="0" collapsed="false">
      <c r="A460" s="20"/>
      <c r="L460" s="21"/>
    </row>
    <row r="461" customFormat="false" ht="15" hidden="false" customHeight="false" outlineLevel="0" collapsed="false">
      <c r="A461" s="20" t="s">
        <v>1301</v>
      </c>
      <c r="E461" s="23"/>
      <c r="F461" s="25"/>
      <c r="G461" s="26"/>
      <c r="H461" s="27"/>
      <c r="I461" s="24" t="str">
        <f aca="false">IF(OR(E461="",E461="!!!",F461="NEW"),"",INDEX(B2:B$460,-1+SUMPRODUCT(MAX(ROW(E2:E$460)*(E461=E2:E$460)))))</f>
        <v/>
      </c>
      <c r="J461" s="24" t="str">
        <f aca="true">IF(OR(E461="",E461="!!!",F461="NEW"),"",COUNTBLANK(OFFSET(A$1,,,SUMPRODUCT(MAX(ROW(E$2:E461)*(E461=E$2:E461)))))-COUNTBLANK(OFFSET(A$1,,,SUMPRODUCT(MAX(ROW(E$1:E460)*(E2=E$1:E460))))))</f>
        <v/>
      </c>
      <c r="K461" s="24" t="str">
        <f aca="false">IF(OR(E461="",E461="!!!",F461="NEW"),"",INDEX(J$1:J460,SUMPRODUCT(MAX(ROW(E$1:E460)*(E461=E$1:E460)))))</f>
        <v/>
      </c>
      <c r="L461" s="21"/>
    </row>
    <row r="462" customFormat="false" ht="15" hidden="false" customHeight="false" outlineLevel="0" collapsed="false">
      <c r="A462" s="20" t="s">
        <v>1347</v>
      </c>
      <c r="L462" s="21"/>
    </row>
    <row r="463" customFormat="false" ht="15" hidden="false" customHeight="false" outlineLevel="0" collapsed="false">
      <c r="A463" s="20" t="s">
        <v>607</v>
      </c>
      <c r="E463" s="23"/>
      <c r="F463" s="25"/>
      <c r="G463" s="26"/>
      <c r="H463" s="27"/>
      <c r="I463" s="24" t="str">
        <f aca="false">IF(OR(E463="",E463="!!!",F463="NEW"),"",INDEX(B2:B$462,-1+SUMPRODUCT(MAX(ROW(E2:E$462)*(E463=E2:E$462)))))</f>
        <v/>
      </c>
      <c r="J463" s="24" t="str">
        <f aca="true">IF(OR(E463="",E463="!!!",F463="NEW"),"",COUNTBLANK(OFFSET(A$1,,,SUMPRODUCT(MAX(ROW(E$2:E463)*(E463=E$2:E463)))))-COUNTBLANK(OFFSET(A$1,,,SUMPRODUCT(MAX(ROW(E$1:E462)*(E2=E$1:E462))))))</f>
        <v/>
      </c>
      <c r="K463" s="24" t="str">
        <f aca="false">IF(OR(E463="",E463="!!!",F463="NEW"),"",INDEX(J$1:J462,SUMPRODUCT(MAX(ROW(E$1:E462)*(E463=E$1:E462)))))</f>
        <v/>
      </c>
      <c r="L463" s="21"/>
    </row>
    <row r="464" customFormat="false" ht="15" hidden="false" customHeight="false" outlineLevel="0" collapsed="false">
      <c r="A464" s="20" t="s">
        <v>1209</v>
      </c>
      <c r="B464" s="22" t="s">
        <v>1067</v>
      </c>
      <c r="C464" s="22" t="s">
        <v>1099</v>
      </c>
      <c r="D464" s="22" t="s">
        <v>1060</v>
      </c>
      <c r="E464" s="23" t="s">
        <v>1069</v>
      </c>
      <c r="F464" s="23" t="s">
        <v>1083</v>
      </c>
      <c r="G464" s="23" t="s">
        <v>1070</v>
      </c>
      <c r="H464" s="23"/>
      <c r="I464" s="24" t="n">
        <f aca="false">IF(OR(E464="",E464="!!!",F464="NEW"),"",INDEX(B3:B$462,-1+SUMPRODUCT(MAX(ROW(E3:E$462)*(E464=E3:E$462)))))</f>
        <v>0</v>
      </c>
      <c r="J464" s="24" t="n">
        <f aca="true">IF(OR(E464="",E464="!!!",F464="NEW"),"",COUNTBLANK(OFFSET(A$1,,,SUMPRODUCT(MAX(ROW(E$2:E464)*(E464=E$2:E464)))))-COUNTBLANK(OFFSET(A$1,,,SUMPRODUCT(MAX(ROW(E$1:E463)*(E2=E$1:E463))))))</f>
        <v>0</v>
      </c>
      <c r="K464" s="24" t="n">
        <f aca="false">IF(OR(E464="",E464="!!!",F464="NEW"),"",INDEX(J$1:J463,SUMPRODUCT(MAX(ROW(E$1:E463)*(E464=E$1:E463)))))</f>
        <v>0</v>
      </c>
      <c r="L464" s="21"/>
    </row>
    <row r="465" customFormat="false" ht="15" hidden="false" customHeight="false" outlineLevel="0" collapsed="false">
      <c r="A465" s="20" t="s">
        <v>1348</v>
      </c>
      <c r="B465" s="22" t="s">
        <v>1086</v>
      </c>
      <c r="C465" s="22" t="s">
        <v>1059</v>
      </c>
      <c r="D465" s="22" t="s">
        <v>1060</v>
      </c>
      <c r="E465" s="23" t="s">
        <v>1348</v>
      </c>
      <c r="F465" s="23" t="s">
        <v>1062</v>
      </c>
      <c r="G465" s="23" t="s">
        <v>1063</v>
      </c>
      <c r="H465" s="23"/>
      <c r="I465" s="24" t="str">
        <f aca="false">IF(OR(E465="",E465="!!!",F465="NEW"),"",INDEX(B4:B$462,-1+SUMPRODUCT(MAX(ROW(E4:E$462)*(E465=E4:E$462)))))</f>
        <v/>
      </c>
      <c r="J465" s="24" t="str">
        <f aca="true">IF(OR(E465="",E465="!!!",F465="NEW"),"",COUNTBLANK(OFFSET(A$1,,,SUMPRODUCT(MAX(ROW(E$2:E465)*(E465=E$2:E465)))))-COUNTBLANK(OFFSET(A$1,,,SUMPRODUCT(MAX(ROW(E$1:E464)*(E2=E$1:E464))))))</f>
        <v/>
      </c>
      <c r="K465" s="24" t="str">
        <f aca="false">IF(OR(E465="",E465="!!!",F465="NEW"),"",INDEX(J$1:J464,SUMPRODUCT(MAX(ROW(E$1:E464)*(E465=E$1:E464)))))</f>
        <v/>
      </c>
      <c r="L465" s="21"/>
    </row>
    <row r="466" customFormat="false" ht="15" hidden="false" customHeight="false" outlineLevel="0" collapsed="false">
      <c r="A466" s="20" t="s">
        <v>1076</v>
      </c>
      <c r="E466" s="23"/>
      <c r="F466" s="25"/>
      <c r="G466" s="26"/>
      <c r="H466" s="27"/>
      <c r="I466" s="24" t="str">
        <f aca="false">IF(OR(E466="",E466="!!!",F466="NEW"),"",INDEX(B5:B$462,-1+SUMPRODUCT(MAX(ROW(E5:E$462)*(E466=E5:E$462)))))</f>
        <v/>
      </c>
      <c r="J466" s="24" t="str">
        <f aca="true">IF(OR(E466="",E466="!!!",F466="NEW"),"",COUNTBLANK(OFFSET(A$1,,,SUMPRODUCT(MAX(ROW(E$2:E466)*(E466=E$2:E466)))))-COUNTBLANK(OFFSET(A$1,,,SUMPRODUCT(MAX(ROW(E$1:E465)*(E2=E$1:E465))))))</f>
        <v/>
      </c>
      <c r="K466" s="24" t="str">
        <f aca="false">IF(OR(E466="",E466="!!!",F466="NEW"),"",INDEX(J$1:J465,SUMPRODUCT(MAX(ROW(E$1:E465)*(E466=E$1:E465)))))</f>
        <v/>
      </c>
      <c r="L466" s="21"/>
    </row>
    <row r="467" customFormat="false" ht="15" hidden="false" customHeight="false" outlineLevel="0" collapsed="false">
      <c r="A467" s="20" t="s">
        <v>1080</v>
      </c>
      <c r="B467" s="22" t="s">
        <v>1086</v>
      </c>
      <c r="C467" s="22" t="s">
        <v>1082</v>
      </c>
      <c r="D467" s="22" t="s">
        <v>1060</v>
      </c>
      <c r="E467" s="23" t="s">
        <v>547</v>
      </c>
      <c r="F467" s="23" t="s">
        <v>1062</v>
      </c>
      <c r="G467" s="23" t="s">
        <v>1253</v>
      </c>
      <c r="H467" s="23"/>
      <c r="I467" s="24" t="str">
        <f aca="false">IF(OR(E467="",E467="!!!",F467="NEW"),"",INDEX(B6:B$462,-1+SUMPRODUCT(MAX(ROW(E6:E$462)*(E467=E6:E$462)))))</f>
        <v/>
      </c>
      <c r="J467" s="24" t="str">
        <f aca="true">IF(OR(E467="",E467="!!!",F467="NEW"),"",COUNTBLANK(OFFSET(A$1,,,SUMPRODUCT(MAX(ROW(E$2:E467)*(E467=E$2:E467)))))-COUNTBLANK(OFFSET(A$1,,,SUMPRODUCT(MAX(ROW(E$1:E466)*(E2=E$1:E466))))))</f>
        <v/>
      </c>
      <c r="K467" s="24" t="str">
        <f aca="false">IF(OR(E467="",E467="!!!",F467="NEW"),"",INDEX(J$1:J466,SUMPRODUCT(MAX(ROW(E$1:E466)*(E467=E$1:E466)))))</f>
        <v/>
      </c>
      <c r="L467" s="21"/>
    </row>
    <row r="468" customFormat="false" ht="15" hidden="false" customHeight="false" outlineLevel="0" collapsed="false">
      <c r="A468" s="20" t="s">
        <v>1349</v>
      </c>
      <c r="E468" s="23"/>
      <c r="F468" s="25"/>
      <c r="G468" s="26"/>
      <c r="H468" s="27"/>
      <c r="I468" s="24" t="str">
        <f aca="false">IF(OR(E468="",E468="!!!",F468="NEW"),"",INDEX(B7:B$462,-1+SUMPRODUCT(MAX(ROW(E7:E$462)*(E468=E7:E$462)))))</f>
        <v/>
      </c>
      <c r="J468" s="24" t="str">
        <f aca="true">IF(OR(E468="",E468="!!!",F468="NEW"),"",COUNTBLANK(OFFSET(A$1,,,SUMPRODUCT(MAX(ROW(E$2:E468)*(E468=E$2:E468)))))-COUNTBLANK(OFFSET(A$1,,,SUMPRODUCT(MAX(ROW(E$1:E467)*(E2=E$1:E467))))))</f>
        <v/>
      </c>
      <c r="K468" s="24" t="str">
        <f aca="false">IF(OR(E468="",E468="!!!",F468="NEW"),"",INDEX(J$1:J467,SUMPRODUCT(MAX(ROW(E$1:E467)*(E468=E$1:E467)))))</f>
        <v/>
      </c>
      <c r="L468" s="21"/>
    </row>
    <row r="469" customFormat="false" ht="15" hidden="false" customHeight="false" outlineLevel="0" collapsed="false">
      <c r="A469" s="20" t="s">
        <v>1279</v>
      </c>
      <c r="E469" s="23"/>
      <c r="F469" s="25"/>
      <c r="G469" s="26"/>
      <c r="H469" s="27"/>
      <c r="I469" s="24" t="str">
        <f aca="false">IF(OR(E469="",E469="!!!",F469="NEW"),"",INDEX(B8:B$462,-1+SUMPRODUCT(MAX(ROW(E8:E$462)*(E469=E8:E$462)))))</f>
        <v/>
      </c>
      <c r="J469" s="24" t="str">
        <f aca="true">IF(OR(E469="",E469="!!!",F469="NEW"),"",COUNTBLANK(OFFSET(A$1,,,SUMPRODUCT(MAX(ROW(E$2:E469)*(E469=E$2:E469)))))-COUNTBLANK(OFFSET(A$1,,,SUMPRODUCT(MAX(ROW(E$1:E468)*(E2=E$1:E468))))))</f>
        <v/>
      </c>
      <c r="K469" s="24" t="str">
        <f aca="false">IF(OR(E469="",E469="!!!",F469="NEW"),"",INDEX(J$1:J468,SUMPRODUCT(MAX(ROW(E$1:E468)*(E469=E$1:E468)))))</f>
        <v/>
      </c>
      <c r="L469" s="21"/>
    </row>
    <row r="470" customFormat="false" ht="15" hidden="false" customHeight="false" outlineLevel="0" collapsed="false">
      <c r="A470" s="20" t="s">
        <v>543</v>
      </c>
      <c r="E470" s="23"/>
      <c r="F470" s="25"/>
      <c r="G470" s="26"/>
      <c r="H470" s="27"/>
      <c r="I470" s="24" t="str">
        <f aca="false">IF(OR(E470="",E470="!!!",F470="NEW"),"",INDEX(B9:B$462,-1+SUMPRODUCT(MAX(ROW(E9:E$462)*(E470=E9:E$462)))))</f>
        <v/>
      </c>
      <c r="J470" s="24" t="str">
        <f aca="true">IF(OR(E470="",E470="!!!",F470="NEW"),"",COUNTBLANK(OFFSET(A$1,,,SUMPRODUCT(MAX(ROW(E$2:E470)*(E470=E$2:E470)))))-COUNTBLANK(OFFSET(A$1,,,SUMPRODUCT(MAX(ROW(E$1:E469)*(E2=E$1:E469))))))</f>
        <v/>
      </c>
      <c r="K470" s="24" t="str">
        <f aca="false">IF(OR(E470="",E470="!!!",F470="NEW"),"",INDEX(J$1:J469,SUMPRODUCT(MAX(ROW(E$1:E469)*(E470=E$1:E469)))))</f>
        <v/>
      </c>
      <c r="L470" s="21"/>
    </row>
    <row r="471" customFormat="false" ht="15" hidden="false" customHeight="false" outlineLevel="0" collapsed="false">
      <c r="A471" s="20" t="s">
        <v>1085</v>
      </c>
      <c r="E471" s="23"/>
      <c r="F471" s="25"/>
      <c r="G471" s="26"/>
      <c r="H471" s="27"/>
      <c r="I471" s="24" t="str">
        <f aca="false">IF(OR(E471="",E471="!!!",F471="NEW"),"",INDEX(B10:B$462,-1+SUMPRODUCT(MAX(ROW(E10:E$462)*(E471=E10:E$462)))))</f>
        <v/>
      </c>
      <c r="J471" s="24" t="str">
        <f aca="true">IF(OR(E471="",E471="!!!",F471="NEW"),"",COUNTBLANK(OFFSET(A$1,,,SUMPRODUCT(MAX(ROW(E$2:E471)*(E471=E$2:E471)))))-COUNTBLANK(OFFSET(A$1,,,SUMPRODUCT(MAX(ROW(E$1:E470)*(E2=E$1:E470))))))</f>
        <v/>
      </c>
      <c r="K471" s="24" t="str">
        <f aca="false">IF(OR(E471="",E471="!!!",F471="NEW"),"",INDEX(J$1:J470,SUMPRODUCT(MAX(ROW(E$1:E470)*(E471=E$1:E470)))))</f>
        <v/>
      </c>
      <c r="L471" s="21"/>
    </row>
    <row r="472" customFormat="false" ht="15" hidden="false" customHeight="false" outlineLevel="0" collapsed="false">
      <c r="A472" s="20" t="s">
        <v>1152</v>
      </c>
      <c r="E472" s="23"/>
      <c r="F472" s="25"/>
      <c r="G472" s="26"/>
      <c r="H472" s="27"/>
      <c r="I472" s="24" t="str">
        <f aca="false">IF(OR(E472="",E472="!!!",F472="NEW"),"",INDEX(B11:B$462,-1+SUMPRODUCT(MAX(ROW(E11:E$462)*(E472=E11:E$462)))))</f>
        <v/>
      </c>
      <c r="J472" s="24" t="str">
        <f aca="true">IF(OR(E472="",E472="!!!",F472="NEW"),"",COUNTBLANK(OFFSET(A$1,,,SUMPRODUCT(MAX(ROW(E$2:E472)*(E472=E$2:E472)))))-COUNTBLANK(OFFSET(A$1,,,SUMPRODUCT(MAX(ROW(E$1:E471)*(E2=E$1:E471))))))</f>
        <v/>
      </c>
      <c r="K472" s="24" t="str">
        <f aca="false">IF(OR(E472="",E472="!!!",F472="NEW"),"",INDEX(J$1:J471,SUMPRODUCT(MAX(ROW(E$1:E471)*(E472=E$1:E471)))))</f>
        <v/>
      </c>
      <c r="L472" s="21"/>
    </row>
    <row r="473" customFormat="false" ht="15" hidden="false" customHeight="false" outlineLevel="0" collapsed="false">
      <c r="A473" s="20" t="s">
        <v>1350</v>
      </c>
      <c r="E473" s="23"/>
      <c r="F473" s="25"/>
      <c r="G473" s="26"/>
      <c r="H473" s="27"/>
      <c r="I473" s="24" t="str">
        <f aca="false">IF(OR(E473="",E473="!!!",F473="NEW"),"",INDEX(B12:B$462,-1+SUMPRODUCT(MAX(ROW(E12:E$462)*(E473=E12:E$462)))))</f>
        <v/>
      </c>
      <c r="J473" s="24" t="str">
        <f aca="true">IF(OR(E473="",E473="!!!",F473="NEW"),"",COUNTBLANK(OFFSET(A$1,,,SUMPRODUCT(MAX(ROW(E$2:E473)*(E473=E$2:E473)))))-COUNTBLANK(OFFSET(A$1,,,SUMPRODUCT(MAX(ROW(E$1:E472)*(E2=E$1:E472))))))</f>
        <v/>
      </c>
      <c r="K473" s="24" t="str">
        <f aca="false">IF(OR(E473="",E473="!!!",F473="NEW"),"",INDEX(J$1:J472,SUMPRODUCT(MAX(ROW(E$1:E472)*(E473=E$1:E472)))))</f>
        <v/>
      </c>
      <c r="L473" s="21"/>
    </row>
    <row r="474" customFormat="false" ht="15" hidden="false" customHeight="false" outlineLevel="0" collapsed="false">
      <c r="A474" s="20" t="s">
        <v>547</v>
      </c>
      <c r="B474" s="22" t="s">
        <v>1142</v>
      </c>
      <c r="C474" s="22" t="s">
        <v>1087</v>
      </c>
      <c r="E474" s="23"/>
      <c r="F474" s="25"/>
      <c r="G474" s="26"/>
      <c r="H474" s="27"/>
      <c r="I474" s="24" t="str">
        <f aca="false">IF(OR(E474="",E474="!!!",F474="NEW"),"",INDEX(B13:B$462,-1+SUMPRODUCT(MAX(ROW(E13:E$462)*(E474=E13:E$462)))))</f>
        <v/>
      </c>
      <c r="J474" s="24" t="str">
        <f aca="true">IF(OR(E474="",E474="!!!",F474="NEW"),"",COUNTBLANK(OFFSET(A$1,,,SUMPRODUCT(MAX(ROW(E$2:E474)*(E474=E$2:E474)))))-COUNTBLANK(OFFSET(A$1,,,SUMPRODUCT(MAX(ROW(E$1:E473)*(E2=E$1:E473))))))</f>
        <v/>
      </c>
      <c r="K474" s="24" t="str">
        <f aca="false">IF(OR(E474="",E474="!!!",F474="NEW"),"",INDEX(J$1:J473,SUMPRODUCT(MAX(ROW(E$1:E473)*(E474=E$1:E473)))))</f>
        <v/>
      </c>
      <c r="L474" s="21"/>
    </row>
    <row r="475" customFormat="false" ht="15" hidden="false" customHeight="false" outlineLevel="0" collapsed="false">
      <c r="A475" s="20" t="s">
        <v>1076</v>
      </c>
      <c r="E475" s="23"/>
      <c r="F475" s="25"/>
      <c r="G475" s="26"/>
      <c r="H475" s="27"/>
      <c r="I475" s="24" t="str">
        <f aca="false">IF(OR(E475="",E475="!!!",F475="NEW"),"",INDEX(B14:B$462,-1+SUMPRODUCT(MAX(ROW(E14:E$462)*(E475=E14:E$462)))))</f>
        <v/>
      </c>
      <c r="J475" s="24" t="str">
        <f aca="true">IF(OR(E475="",E475="!!!",F475="NEW"),"",COUNTBLANK(OFFSET(A$1,,,SUMPRODUCT(MAX(ROW(E$2:E475)*(E475=E$2:E475)))))-COUNTBLANK(OFFSET(A$1,,,SUMPRODUCT(MAX(ROW(E$1:E474)*(E2=E$1:E474))))))</f>
        <v/>
      </c>
      <c r="K475" s="24" t="str">
        <f aca="false">IF(OR(E475="",E475="!!!",F475="NEW"),"",INDEX(J$1:J474,SUMPRODUCT(MAX(ROW(E$1:E474)*(E475=E$1:E474)))))</f>
        <v/>
      </c>
      <c r="L475" s="21"/>
    </row>
    <row r="476" customFormat="false" ht="15" hidden="false" customHeight="false" outlineLevel="0" collapsed="false">
      <c r="A476" s="20" t="s">
        <v>607</v>
      </c>
      <c r="E476" s="23"/>
      <c r="F476" s="25"/>
      <c r="G476" s="26"/>
      <c r="H476" s="27"/>
      <c r="I476" s="24" t="str">
        <f aca="false">IF(OR(E476="",E476="!!!",F476="NEW"),"",INDEX(B15:B$462,-1+SUMPRODUCT(MAX(ROW(E15:E$462)*(E476=E15:E$462)))))</f>
        <v/>
      </c>
      <c r="J476" s="24" t="str">
        <f aca="true">IF(OR(E476="",E476="!!!",F476="NEW"),"",COUNTBLANK(OFFSET(A$1,,,SUMPRODUCT(MAX(ROW(E$2:E476)*(E476=E$2:E476)))))-COUNTBLANK(OFFSET(A$1,,,SUMPRODUCT(MAX(ROW(E$1:E475)*(E2=E$1:E475))))))</f>
        <v/>
      </c>
      <c r="K476" s="24" t="str">
        <f aca="false">IF(OR(E476="",E476="!!!",F476="NEW"),"",INDEX(J$1:J475,SUMPRODUCT(MAX(ROW(E$1:E475)*(E476=E$1:E475)))))</f>
        <v/>
      </c>
      <c r="L476" s="21"/>
    </row>
    <row r="477" customFormat="false" ht="15" hidden="false" customHeight="false" outlineLevel="0" collapsed="false">
      <c r="A477" s="20" t="s">
        <v>1194</v>
      </c>
      <c r="E477" s="23"/>
      <c r="F477" s="25"/>
      <c r="G477" s="26"/>
      <c r="H477" s="27"/>
      <c r="I477" s="24" t="str">
        <f aca="false">IF(OR(E477="",E477="!!!",F477="NEW"),"",INDEX(B16:B$462,-1+SUMPRODUCT(MAX(ROW(E16:E$462)*(E477=E16:E$462)))))</f>
        <v/>
      </c>
      <c r="J477" s="24" t="str">
        <f aca="true">IF(OR(E477="",E477="!!!",F477="NEW"),"",COUNTBLANK(OFFSET(A$1,,,SUMPRODUCT(MAX(ROW(E$2:E477)*(E477=E$2:E477)))))-COUNTBLANK(OFFSET(A$1,,,SUMPRODUCT(MAX(ROW(E$1:E476)*(E2=E$1:E476))))))</f>
        <v/>
      </c>
      <c r="K477" s="24" t="str">
        <f aca="false">IF(OR(E477="",E477="!!!",F477="NEW"),"",INDEX(J$1:J476,SUMPRODUCT(MAX(ROW(E$1:E476)*(E477=E$1:E476)))))</f>
        <v/>
      </c>
      <c r="L477" s="21"/>
    </row>
    <row r="478" customFormat="false" ht="15" hidden="false" customHeight="false" outlineLevel="0" collapsed="false">
      <c r="A478" s="20" t="s">
        <v>1109</v>
      </c>
      <c r="E478" s="23"/>
      <c r="F478" s="25"/>
      <c r="G478" s="26"/>
      <c r="H478" s="27"/>
      <c r="I478" s="24" t="str">
        <f aca="false">IF(OR(E478="",E478="!!!",F478="NEW"),"",INDEX(B17:B$462,-1+SUMPRODUCT(MAX(ROW(E17:E$462)*(E478=E17:E$462)))))</f>
        <v/>
      </c>
      <c r="J478" s="24" t="str">
        <f aca="true">IF(OR(E478="",E478="!!!",F478="NEW"),"",COUNTBLANK(OFFSET(A$1,,,SUMPRODUCT(MAX(ROW(E$2:E478)*(E478=E$2:E478)))))-COUNTBLANK(OFFSET(A$1,,,SUMPRODUCT(MAX(ROW(E$1:E477)*(E2=E$1:E477))))))</f>
        <v/>
      </c>
      <c r="K478" s="24" t="str">
        <f aca="false">IF(OR(E478="",E478="!!!",F478="NEW"),"",INDEX(J$1:J477,SUMPRODUCT(MAX(ROW(E$1:E477)*(E478=E$1:E477)))))</f>
        <v/>
      </c>
      <c r="L478" s="21"/>
    </row>
    <row r="479" customFormat="false" ht="15" hidden="false" customHeight="false" outlineLevel="0" collapsed="false">
      <c r="A479" s="20" t="s">
        <v>73</v>
      </c>
      <c r="B479" s="22" t="s">
        <v>1058</v>
      </c>
      <c r="C479" s="22" t="s">
        <v>1150</v>
      </c>
      <c r="D479" s="22" t="s">
        <v>1060</v>
      </c>
      <c r="E479" s="23" t="s">
        <v>1069</v>
      </c>
      <c r="F479" s="23" t="s">
        <v>1083</v>
      </c>
      <c r="G479" s="23" t="s">
        <v>1084</v>
      </c>
      <c r="H479" s="23"/>
      <c r="I479" s="24" t="n">
        <f aca="false">IF(OR(E479="",E479="!!!",F479="NEW"),"",INDEX(B18:B$462,-1+SUMPRODUCT(MAX(ROW(E18:E$462)*(E479=E18:E$462)))))</f>
        <v>0</v>
      </c>
      <c r="J479" s="24" t="n">
        <f aca="true">IF(OR(E479="",E479="!!!",F479="NEW"),"",COUNTBLANK(OFFSET(A$1,,,SUMPRODUCT(MAX(ROW(E$2:E479)*(E479=E$2:E479)))))-COUNTBLANK(OFFSET(A$1,,,SUMPRODUCT(MAX(ROW(E$1:E478)*(E2=E$1:E478))))))</f>
        <v>0</v>
      </c>
      <c r="K479" s="24" t="n">
        <f aca="false">IF(OR(E479="",E479="!!!",F479="NEW"),"",INDEX(J$1:J478,SUMPRODUCT(MAX(ROW(E$1:E478)*(E479=E$1:E478)))))</f>
        <v>0</v>
      </c>
      <c r="L479" s="21"/>
    </row>
    <row r="480" customFormat="false" ht="15" hidden="false" customHeight="false" outlineLevel="0" collapsed="false">
      <c r="A480" s="20" t="s">
        <v>1213</v>
      </c>
      <c r="E480" s="23"/>
      <c r="F480" s="25"/>
      <c r="G480" s="26"/>
      <c r="H480" s="27"/>
      <c r="I480" s="24" t="str">
        <f aca="false">IF(OR(E480="",E480="!!!",F480="NEW"),"",INDEX(B19:B$462,-1+SUMPRODUCT(MAX(ROW(E19:E$462)*(E480=E19:E$462)))))</f>
        <v/>
      </c>
      <c r="J480" s="24" t="str">
        <f aca="true">IF(OR(E480="",E480="!!!",F480="NEW"),"",COUNTBLANK(OFFSET(A$1,,,SUMPRODUCT(MAX(ROW(E$2:E480)*(E480=E$2:E480)))))-COUNTBLANK(OFFSET(A$1,,,SUMPRODUCT(MAX(ROW(E$1:E479)*(E2=E$1:E479))))))</f>
        <v/>
      </c>
      <c r="K480" s="24" t="str">
        <f aca="false">IF(OR(E480="",E480="!!!",F480="NEW"),"",INDEX(J$1:J479,SUMPRODUCT(MAX(ROW(E$1:E479)*(E480=E$1:E479)))))</f>
        <v/>
      </c>
      <c r="L480" s="21"/>
    </row>
    <row r="481" customFormat="false" ht="15" hidden="false" customHeight="false" outlineLevel="0" collapsed="false">
      <c r="A481" s="20" t="s">
        <v>1085</v>
      </c>
      <c r="E481" s="23"/>
      <c r="F481" s="25"/>
      <c r="G481" s="26"/>
      <c r="H481" s="27"/>
      <c r="I481" s="24" t="str">
        <f aca="false">IF(OR(E481="",E481="!!!",F481="NEW"),"",INDEX(B20:B$462,-1+SUMPRODUCT(MAX(ROW(E20:E$462)*(E481=E20:E$462)))))</f>
        <v/>
      </c>
      <c r="J481" s="24" t="str">
        <f aca="true">IF(OR(E481="",E481="!!!",F481="NEW"),"",COUNTBLANK(OFFSET(A$1,,,SUMPRODUCT(MAX(ROW(E$2:E481)*(E481=E$2:E481)))))-COUNTBLANK(OFFSET(A$1,,,SUMPRODUCT(MAX(ROW(E$1:E480)*(E2=E$1:E480))))))</f>
        <v/>
      </c>
      <c r="K481" s="24" t="str">
        <f aca="false">IF(OR(E481="",E481="!!!",F481="NEW"),"",INDEX(J$1:J480,SUMPRODUCT(MAX(ROW(E$1:E480)*(E481=E$1:E480)))))</f>
        <v/>
      </c>
      <c r="L481" s="21"/>
    </row>
    <row r="482" customFormat="false" ht="15" hidden="false" customHeight="false" outlineLevel="0" collapsed="false">
      <c r="A482" s="20" t="s">
        <v>510</v>
      </c>
      <c r="B482" s="22" t="s">
        <v>1073</v>
      </c>
      <c r="C482" s="22" t="s">
        <v>1087</v>
      </c>
      <c r="E482" s="23"/>
      <c r="F482" s="25"/>
      <c r="G482" s="26"/>
      <c r="H482" s="27"/>
      <c r="I482" s="24" t="str">
        <f aca="false">IF(OR(E482="",E482="!!!",F482="NEW"),"",INDEX(B21:B$462,-1+SUMPRODUCT(MAX(ROW(E21:E$462)*(E482=E21:E$462)))))</f>
        <v/>
      </c>
      <c r="J482" s="24" t="str">
        <f aca="true">IF(OR(E482="",E482="!!!",F482="NEW"),"",COUNTBLANK(OFFSET(A$1,,,SUMPRODUCT(MAX(ROW(E$2:E482)*(E482=E$2:E482)))))-COUNTBLANK(OFFSET(A$1,,,SUMPRODUCT(MAX(ROW(E$1:E481)*(E2=E$1:E481))))))</f>
        <v/>
      </c>
      <c r="K482" s="24" t="str">
        <f aca="false">IF(OR(E482="",E482="!!!",F482="NEW"),"",INDEX(J$1:J481,SUMPRODUCT(MAX(ROW(E$1:E481)*(E482=E$1:E481)))))</f>
        <v/>
      </c>
      <c r="L482" s="21"/>
    </row>
    <row r="483" customFormat="false" ht="15" hidden="false" customHeight="false" outlineLevel="0" collapsed="false">
      <c r="A483" s="20" t="s">
        <v>1076</v>
      </c>
      <c r="E483" s="23"/>
      <c r="F483" s="25"/>
      <c r="G483" s="26"/>
      <c r="H483" s="27"/>
      <c r="I483" s="24" t="str">
        <f aca="false">IF(OR(E483="",E483="!!!",F483="NEW"),"",INDEX(B22:B$462,-1+SUMPRODUCT(MAX(ROW(E22:E$462)*(E483=E22:E$462)))))</f>
        <v/>
      </c>
      <c r="J483" s="24" t="str">
        <f aca="true">IF(OR(E483="",E483="!!!",F483="NEW"),"",COUNTBLANK(OFFSET(A$1,,,SUMPRODUCT(MAX(ROW(E$2:E483)*(E483=E$2:E483)))))-COUNTBLANK(OFFSET(A$1,,,SUMPRODUCT(MAX(ROW(E$1:E482)*(E2=E$1:E482))))))</f>
        <v/>
      </c>
      <c r="K483" s="24" t="str">
        <f aca="false">IF(OR(E483="",E483="!!!",F483="NEW"),"",INDEX(J$1:J482,SUMPRODUCT(MAX(ROW(E$1:E482)*(E483=E$1:E482)))))</f>
        <v/>
      </c>
      <c r="L483" s="21"/>
    </row>
    <row r="484" customFormat="false" ht="15" hidden="false" customHeight="false" outlineLevel="0" collapsed="false">
      <c r="A484" s="20" t="s">
        <v>1351</v>
      </c>
      <c r="E484" s="23"/>
      <c r="F484" s="25"/>
      <c r="G484" s="26"/>
      <c r="H484" s="27"/>
      <c r="I484" s="24" t="str">
        <f aca="false">IF(OR(E484="",E484="!!!",F484="NEW"),"",INDEX(B23:B$462,-1+SUMPRODUCT(MAX(ROW(E23:E$462)*(E484=E23:E$462)))))</f>
        <v/>
      </c>
      <c r="J484" s="24" t="str">
        <f aca="true">IF(OR(E484="",E484="!!!",F484="NEW"),"",COUNTBLANK(OFFSET(A$1,,,SUMPRODUCT(MAX(ROW(E$2:E484)*(E484=E$2:E484)))))-COUNTBLANK(OFFSET(A$1,,,SUMPRODUCT(MAX(ROW(E$1:E483)*(E2=E$1:E483))))))</f>
        <v/>
      </c>
      <c r="K484" s="24" t="str">
        <f aca="false">IF(OR(E484="",E484="!!!",F484="NEW"),"",INDEX(J$1:J483,SUMPRODUCT(MAX(ROW(E$1:E483)*(E484=E$1:E483)))))</f>
        <v/>
      </c>
      <c r="L484" s="21"/>
    </row>
    <row r="485" customFormat="false" ht="15" hidden="false" customHeight="false" outlineLevel="0" collapsed="false">
      <c r="A485" s="20" t="s">
        <v>1352</v>
      </c>
      <c r="E485" s="23"/>
      <c r="F485" s="25"/>
      <c r="G485" s="26"/>
      <c r="H485" s="27"/>
      <c r="I485" s="24" t="str">
        <f aca="false">IF(OR(E485="",E485="!!!",F485="NEW"),"",INDEX(B24:B$462,-1+SUMPRODUCT(MAX(ROW(E24:E$462)*(E485=E24:E$462)))))</f>
        <v/>
      </c>
      <c r="J485" s="24" t="str">
        <f aca="true">IF(OR(E485="",E485="!!!",F485="NEW"),"",COUNTBLANK(OFFSET(A$1,,,SUMPRODUCT(MAX(ROW(E$2:E485)*(E485=E$2:E485)))))-COUNTBLANK(OFFSET(A$1,,,SUMPRODUCT(MAX(ROW(E$1:E484)*(E2=E$1:E484))))))</f>
        <v/>
      </c>
      <c r="K485" s="24" t="str">
        <f aca="false">IF(OR(E485="",E485="!!!",F485="NEW"),"",INDEX(J$1:J484,SUMPRODUCT(MAX(ROW(E$1:E484)*(E485=E$1:E484)))))</f>
        <v/>
      </c>
      <c r="L485" s="21"/>
    </row>
    <row r="486" customFormat="false" ht="15" hidden="false" customHeight="false" outlineLevel="0" collapsed="false">
      <c r="A486" s="20" t="s">
        <v>1137</v>
      </c>
      <c r="B486" s="22" t="s">
        <v>1146</v>
      </c>
      <c r="C486" s="22" t="s">
        <v>1082</v>
      </c>
      <c r="D486" s="22" t="s">
        <v>1060</v>
      </c>
      <c r="E486" s="23" t="s">
        <v>1069</v>
      </c>
      <c r="F486" s="23" t="s">
        <v>1083</v>
      </c>
      <c r="G486" s="23" t="s">
        <v>1084</v>
      </c>
      <c r="H486" s="23"/>
      <c r="I486" s="24" t="n">
        <f aca="false">IF(OR(E486="",E486="!!!",F486="NEW"),"",INDEX(B25:B$462,-1+SUMPRODUCT(MAX(ROW(E25:E$462)*(E486=E25:E$462)))))</f>
        <v>0</v>
      </c>
      <c r="J486" s="24" t="n">
        <f aca="true">IF(OR(E486="",E486="!!!",F486="NEW"),"",COUNTBLANK(OFFSET(A$1,,,SUMPRODUCT(MAX(ROW(E$2:E486)*(E486=E$2:E486)))))-COUNTBLANK(OFFSET(A$1,,,SUMPRODUCT(MAX(ROW(E$1:E485)*(E2=E$1:E485))))))</f>
        <v>0</v>
      </c>
      <c r="K486" s="24" t="n">
        <f aca="false">IF(OR(E486="",E486="!!!",F486="NEW"),"",INDEX(J$1:J485,SUMPRODUCT(MAX(ROW(E$1:E485)*(E486=E$1:E485)))))</f>
        <v>0</v>
      </c>
      <c r="L486" s="21"/>
    </row>
    <row r="487" customFormat="false" ht="15" hidden="false" customHeight="false" outlineLevel="0" collapsed="false">
      <c r="A487" s="20" t="s">
        <v>1184</v>
      </c>
      <c r="E487" s="23"/>
      <c r="F487" s="25"/>
      <c r="G487" s="26"/>
      <c r="H487" s="27"/>
      <c r="I487" s="24" t="str">
        <f aca="false">IF(OR(E487="",E487="!!!",F487="NEW"),"",INDEX(B26:B$462,-1+SUMPRODUCT(MAX(ROW(E26:E$462)*(E487=E26:E$462)))))</f>
        <v/>
      </c>
      <c r="J487" s="24" t="str">
        <f aca="true">IF(OR(E487="",E487="!!!",F487="NEW"),"",COUNTBLANK(OFFSET(A$1,,,SUMPRODUCT(MAX(ROW(E$2:E487)*(E487=E$2:E487)))))-COUNTBLANK(OFFSET(A$1,,,SUMPRODUCT(MAX(ROW(E$1:E486)*(E2=E$1:E486))))))</f>
        <v/>
      </c>
      <c r="K487" s="24" t="str">
        <f aca="false">IF(OR(E487="",E487="!!!",F487="NEW"),"",INDEX(J$1:J486,SUMPRODUCT(MAX(ROW(E$1:E486)*(E487=E$1:E486)))))</f>
        <v/>
      </c>
      <c r="L487" s="21"/>
    </row>
    <row r="488" customFormat="false" ht="15" hidden="false" customHeight="false" outlineLevel="0" collapsed="false">
      <c r="A488" s="20" t="s">
        <v>1109</v>
      </c>
      <c r="E488" s="23"/>
      <c r="F488" s="25"/>
      <c r="G488" s="26"/>
      <c r="H488" s="27"/>
      <c r="I488" s="24" t="str">
        <f aca="false">IF(OR(E488="",E488="!!!",F488="NEW"),"",INDEX(B27:B$462,-1+SUMPRODUCT(MAX(ROW(E27:E$462)*(E488=E27:E$462)))))</f>
        <v/>
      </c>
      <c r="J488" s="24" t="str">
        <f aca="true">IF(OR(E488="",E488="!!!",F488="NEW"),"",COUNTBLANK(OFFSET(A$1,,,SUMPRODUCT(MAX(ROW(E$2:E488)*(E488=E$2:E488)))))-COUNTBLANK(OFFSET(A$1,,,SUMPRODUCT(MAX(ROW(E$1:E487)*(E2=E$1:E487))))))</f>
        <v/>
      </c>
      <c r="K488" s="24" t="str">
        <f aca="false">IF(OR(E488="",E488="!!!",F488="NEW"),"",INDEX(J$1:J487,SUMPRODUCT(MAX(ROW(E$1:E487)*(E488=E$1:E487)))))</f>
        <v/>
      </c>
      <c r="L488" s="21"/>
    </row>
    <row r="489" customFormat="false" ht="15" hidden="false" customHeight="false" outlineLevel="0" collapsed="false">
      <c r="A489" s="20" t="s">
        <v>1353</v>
      </c>
      <c r="E489" s="23"/>
      <c r="F489" s="25"/>
      <c r="G489" s="26"/>
      <c r="H489" s="27"/>
      <c r="I489" s="24" t="str">
        <f aca="false">IF(OR(E489="",E489="!!!",F489="NEW"),"",INDEX(B28:B$462,-1+SUMPRODUCT(MAX(ROW(E28:E$462)*(E489=E28:E$462)))))</f>
        <v/>
      </c>
      <c r="J489" s="24" t="str">
        <f aca="true">IF(OR(E489="",E489="!!!",F489="NEW"),"",COUNTBLANK(OFFSET(A$1,,,SUMPRODUCT(MAX(ROW(E$2:E489)*(E489=E$2:E489)))))-COUNTBLANK(OFFSET(A$1,,,SUMPRODUCT(MAX(ROW(E$1:E488)*(E2=E$1:E488))))))</f>
        <v/>
      </c>
      <c r="K489" s="24" t="str">
        <f aca="false">IF(OR(E489="",E489="!!!",F489="NEW"),"",INDEX(J$1:J488,SUMPRODUCT(MAX(ROW(E$1:E488)*(E489=E$1:E488)))))</f>
        <v/>
      </c>
      <c r="L489" s="21"/>
    </row>
    <row r="490" customFormat="false" ht="15" hidden="false" customHeight="false" outlineLevel="0" collapsed="false">
      <c r="A490" s="20" t="s">
        <v>1354</v>
      </c>
      <c r="B490" s="22" t="s">
        <v>1067</v>
      </c>
      <c r="C490" s="22" t="s">
        <v>1059</v>
      </c>
      <c r="D490" s="22" t="s">
        <v>1060</v>
      </c>
      <c r="E490" s="23" t="s">
        <v>547</v>
      </c>
      <c r="F490" s="23" t="s">
        <v>1083</v>
      </c>
      <c r="G490" s="23" t="s">
        <v>1084</v>
      </c>
      <c r="H490" s="23"/>
      <c r="I490" s="24" t="e">
        <f aca="false">IF(OR(E490="",E490="!!!",F490="NEW"),"",INDEX(B29:B$462,-1+SUMPRODUCT(MAX(ROW(E29:E$462)*(E490=E29:E$462)))))</f>
        <v>#VALUE!</v>
      </c>
      <c r="J490" s="24" t="n">
        <f aca="true">IF(OR(E490="",E490="!!!",F490="NEW"),"",COUNTBLANK(OFFSET(A$1,,,SUMPRODUCT(MAX(ROW(E$2:E490)*(E490=E$2:E490)))))-COUNTBLANK(OFFSET(A$1,,,SUMPRODUCT(MAX(ROW(E$1:E489)*(E2=E$1:E489))))))</f>
        <v>0</v>
      </c>
      <c r="K490" s="24" t="str">
        <f aca="false">IF(OR(E490="",E490="!!!",F490="NEW"),"",INDEX(J$1:J489,SUMPRODUCT(MAX(ROW(E$1:E489)*(E490=E$1:E489)))))</f>
        <v/>
      </c>
      <c r="L490" s="21"/>
    </row>
    <row r="491" customFormat="false" ht="15" hidden="false" customHeight="false" outlineLevel="0" collapsed="false">
      <c r="A491" s="20" t="s">
        <v>1064</v>
      </c>
      <c r="E491" s="23"/>
      <c r="F491" s="25"/>
      <c r="G491" s="26"/>
      <c r="H491" s="27"/>
      <c r="I491" s="24" t="str">
        <f aca="false">IF(OR(E491="",E491="!!!",F491="NEW"),"",INDEX(B30:B$462,-1+SUMPRODUCT(MAX(ROW(E30:E$462)*(E491=E30:E$462)))))</f>
        <v/>
      </c>
      <c r="J491" s="24" t="str">
        <f aca="true">IF(OR(E491="",E491="!!!",F491="NEW"),"",COUNTBLANK(OFFSET(A$1,,,SUMPRODUCT(MAX(ROW(E$2:E491)*(E491=E$2:E491)))))-COUNTBLANK(OFFSET(A$1,,,SUMPRODUCT(MAX(ROW(E$1:E490)*(E2=E$1:E490))))))</f>
        <v/>
      </c>
      <c r="K491" s="24" t="str">
        <f aca="false">IF(OR(E491="",E491="!!!",F491="NEW"),"",INDEX(J$1:J490,SUMPRODUCT(MAX(ROW(E$1:E490)*(E491=E$1:E490)))))</f>
        <v/>
      </c>
      <c r="L491" s="21"/>
    </row>
    <row r="492" customFormat="false" ht="15" hidden="false" customHeight="false" outlineLevel="0" collapsed="false">
      <c r="A492" s="20" t="s">
        <v>1109</v>
      </c>
      <c r="E492" s="23"/>
      <c r="F492" s="25"/>
      <c r="G492" s="26"/>
      <c r="H492" s="27"/>
      <c r="I492" s="24" t="str">
        <f aca="false">IF(OR(E492="",E492="!!!",F492="NEW"),"",INDEX(B31:B$462,-1+SUMPRODUCT(MAX(ROW(E31:E$462)*(E492=E31:E$462)))))</f>
        <v/>
      </c>
      <c r="J492" s="24" t="str">
        <f aca="true">IF(OR(E492="",E492="!!!",F492="NEW"),"",COUNTBLANK(OFFSET(A$1,,,SUMPRODUCT(MAX(ROW(E$2:E492)*(E492=E$2:E492)))))-COUNTBLANK(OFFSET(A$1,,,SUMPRODUCT(MAX(ROW(E$1:E491)*(E2=E$1:E491))))))</f>
        <v/>
      </c>
      <c r="K492" s="24" t="str">
        <f aca="false">IF(OR(E492="",E492="!!!",F492="NEW"),"",INDEX(J$1:J491,SUMPRODUCT(MAX(ROW(E$1:E491)*(E492=E$1:E491)))))</f>
        <v/>
      </c>
      <c r="L492" s="21"/>
    </row>
    <row r="493" customFormat="false" ht="15" hidden="false" customHeight="false" outlineLevel="0" collapsed="false">
      <c r="A493" s="20" t="s">
        <v>1355</v>
      </c>
      <c r="B493" s="22" t="s">
        <v>1107</v>
      </c>
      <c r="C493" s="22" t="s">
        <v>1068</v>
      </c>
      <c r="D493" s="22" t="s">
        <v>1060</v>
      </c>
      <c r="E493" s="23" t="s">
        <v>1355</v>
      </c>
      <c r="F493" s="23" t="s">
        <v>1062</v>
      </c>
      <c r="G493" s="23" t="s">
        <v>1172</v>
      </c>
      <c r="H493" s="23"/>
      <c r="I493" s="24" t="str">
        <f aca="false">IF(OR(E493="",E493="!!!",F493="NEW"),"",INDEX(B32:B$462,-1+SUMPRODUCT(MAX(ROW(E32:E$462)*(E493=E32:E$462)))))</f>
        <v/>
      </c>
      <c r="J493" s="24" t="str">
        <f aca="true">IF(OR(E493="",E493="!!!",F493="NEW"),"",COUNTBLANK(OFFSET(A$1,,,SUMPRODUCT(MAX(ROW(E$2:E493)*(E493=E$2:E493)))))-COUNTBLANK(OFFSET(A$1,,,SUMPRODUCT(MAX(ROW(E$1:E492)*(E2=E$1:E492))))))</f>
        <v/>
      </c>
      <c r="K493" s="24" t="str">
        <f aca="false">IF(OR(E493="",E493="!!!",F493="NEW"),"",INDEX(J$1:J492,SUMPRODUCT(MAX(ROW(E$1:E492)*(E493=E$1:E492)))))</f>
        <v/>
      </c>
      <c r="L493" s="21"/>
    </row>
    <row r="494" customFormat="false" ht="15" hidden="false" customHeight="false" outlineLevel="0" collapsed="false">
      <c r="A494" s="20" t="s">
        <v>1128</v>
      </c>
      <c r="E494" s="23"/>
      <c r="F494" s="25"/>
      <c r="G494" s="26"/>
      <c r="H494" s="27"/>
      <c r="I494" s="24" t="str">
        <f aca="false">IF(OR(E494="",E494="!!!",F494="NEW"),"",INDEX(B33:B$462,-1+SUMPRODUCT(MAX(ROW(E33:E$462)*(E494=E33:E$462)))))</f>
        <v/>
      </c>
      <c r="J494" s="24" t="str">
        <f aca="true">IF(OR(E494="",E494="!!!",F494="NEW"),"",COUNTBLANK(OFFSET(A$1,,,SUMPRODUCT(MAX(ROW(E$2:E494)*(E494=E$2:E494)))))-COUNTBLANK(OFFSET(A$1,,,SUMPRODUCT(MAX(ROW(E$1:E493)*(E2=E$1:E493))))))</f>
        <v/>
      </c>
      <c r="K494" s="24" t="str">
        <f aca="false">IF(OR(E494="",E494="!!!",F494="NEW"),"",INDEX(J$1:J493,SUMPRODUCT(MAX(ROW(E$1:E493)*(E494=E$1:E493)))))</f>
        <v/>
      </c>
      <c r="L494" s="21"/>
    </row>
    <row r="495" customFormat="false" ht="15" hidden="false" customHeight="false" outlineLevel="0" collapsed="false">
      <c r="A495" s="20" t="s">
        <v>1184</v>
      </c>
      <c r="E495" s="23"/>
      <c r="F495" s="25"/>
      <c r="G495" s="26"/>
      <c r="H495" s="27"/>
      <c r="I495" s="24" t="str">
        <f aca="false">IF(OR(E495="",E495="!!!",F495="NEW"),"",INDEX(B34:B$462,-1+SUMPRODUCT(MAX(ROW(E34:E$462)*(E495=E34:E$462)))))</f>
        <v/>
      </c>
      <c r="J495" s="24" t="str">
        <f aca="true">IF(OR(E495="",E495="!!!",F495="NEW"),"",COUNTBLANK(OFFSET(A$1,,,SUMPRODUCT(MAX(ROW(E$2:E495)*(E495=E$2:E495)))))-COUNTBLANK(OFFSET(A$1,,,SUMPRODUCT(MAX(ROW(E$1:E494)*(E2=E$1:E494))))))</f>
        <v/>
      </c>
      <c r="K495" s="24" t="str">
        <f aca="false">IF(OR(E495="",E495="!!!",F495="NEW"),"",INDEX(J$1:J494,SUMPRODUCT(MAX(ROW(E$1:E494)*(E495=E$1:E494)))))</f>
        <v/>
      </c>
      <c r="L495" s="21"/>
    </row>
    <row r="496" customFormat="false" ht="15" hidden="false" customHeight="false" outlineLevel="0" collapsed="false">
      <c r="A496" s="20" t="s">
        <v>1109</v>
      </c>
      <c r="E496" s="23"/>
      <c r="F496" s="25"/>
      <c r="G496" s="26"/>
      <c r="H496" s="27"/>
      <c r="I496" s="24" t="str">
        <f aca="false">IF(OR(E496="",E496="!!!",F496="NEW"),"",INDEX(B35:B$462,-1+SUMPRODUCT(MAX(ROW(E35:E$462)*(E496=E35:E$462)))))</f>
        <v/>
      </c>
      <c r="J496" s="24" t="str">
        <f aca="true">IF(OR(E496="",E496="!!!",F496="NEW"),"",COUNTBLANK(OFFSET(A$1,,,SUMPRODUCT(MAX(ROW(E$2:E496)*(E496=E$2:E496)))))-COUNTBLANK(OFFSET(A$1,,,SUMPRODUCT(MAX(ROW(E$1:E495)*(E2=E$1:E495))))))</f>
        <v/>
      </c>
      <c r="K496" s="24" t="str">
        <f aca="false">IF(OR(E496="",E496="!!!",F496="NEW"),"",INDEX(J$1:J495,SUMPRODUCT(MAX(ROW(E$1:E495)*(E496=E$1:E495)))))</f>
        <v/>
      </c>
      <c r="L496" s="21"/>
    </row>
    <row r="497" customFormat="false" ht="15" hidden="false" customHeight="false" outlineLevel="0" collapsed="false">
      <c r="A497" s="20" t="s">
        <v>1356</v>
      </c>
      <c r="E497" s="23"/>
      <c r="F497" s="25"/>
      <c r="G497" s="26"/>
      <c r="H497" s="27"/>
      <c r="I497" s="24" t="str">
        <f aca="false">IF(OR(E497="",E497="!!!",F497="NEW"),"",INDEX(B36:B$462,-1+SUMPRODUCT(MAX(ROW(E36:E$462)*(E497=E36:E$462)))))</f>
        <v/>
      </c>
      <c r="J497" s="24" t="str">
        <f aca="true">IF(OR(E497="",E497="!!!",F497="NEW"),"",COUNTBLANK(OFFSET(A$1,,,SUMPRODUCT(MAX(ROW(E$2:E497)*(E497=E$2:E497)))))-COUNTBLANK(OFFSET(A$1,,,SUMPRODUCT(MAX(ROW(E$1:E496)*(E2=E$1:E496))))))</f>
        <v/>
      </c>
      <c r="K497" s="24" t="str">
        <f aca="false">IF(OR(E497="",E497="!!!",F497="NEW"),"",INDEX(J$1:J496,SUMPRODUCT(MAX(ROW(E$1:E496)*(E497=E$1:E496)))))</f>
        <v/>
      </c>
      <c r="L497" s="21"/>
    </row>
    <row r="498" customFormat="false" ht="15" hidden="false" customHeight="false" outlineLevel="0" collapsed="false">
      <c r="A498" s="20" t="s">
        <v>1357</v>
      </c>
      <c r="B498" s="22" t="s">
        <v>1067</v>
      </c>
      <c r="C498" s="22" t="s">
        <v>1150</v>
      </c>
      <c r="D498" s="22" t="s">
        <v>1060</v>
      </c>
      <c r="E498" s="23" t="s">
        <v>1357</v>
      </c>
      <c r="F498" s="23" t="s">
        <v>1062</v>
      </c>
      <c r="G498" s="23" t="s">
        <v>1172</v>
      </c>
      <c r="H498" s="23"/>
      <c r="I498" s="24" t="str">
        <f aca="false">IF(OR(E498="",E498="!!!",F498="NEW"),"",INDEX(B37:B$462,-1+SUMPRODUCT(MAX(ROW(E37:E$462)*(E498=E37:E$462)))))</f>
        <v/>
      </c>
      <c r="J498" s="24" t="str">
        <f aca="true">IF(OR(E498="",E498="!!!",F498="NEW"),"",COUNTBLANK(OFFSET(A$1,,,SUMPRODUCT(MAX(ROW(E$2:E498)*(E498=E$2:E498)))))-COUNTBLANK(OFFSET(A$1,,,SUMPRODUCT(MAX(ROW(E$1:E497)*(E2=E$1:E497))))))</f>
        <v/>
      </c>
      <c r="K498" s="24" t="str">
        <f aca="false">IF(OR(E498="",E498="!!!",F498="NEW"),"",INDEX(J$1:J497,SUMPRODUCT(MAX(ROW(E$1:E497)*(E498=E$1:E497)))))</f>
        <v/>
      </c>
      <c r="L498" s="21"/>
    </row>
    <row r="499" customFormat="false" ht="15" hidden="false" customHeight="false" outlineLevel="0" collapsed="false">
      <c r="A499" s="20" t="s">
        <v>1064</v>
      </c>
      <c r="E499" s="23"/>
      <c r="F499" s="25"/>
      <c r="G499" s="26"/>
      <c r="H499" s="27"/>
      <c r="I499" s="24" t="str">
        <f aca="false">IF(OR(E499="",E499="!!!",F499="NEW"),"",INDEX(B38:B$462,-1+SUMPRODUCT(MAX(ROW(E38:E$462)*(E499=E38:E$462)))))</f>
        <v/>
      </c>
      <c r="J499" s="24" t="str">
        <f aca="true">IF(OR(E499="",E499="!!!",F499="NEW"),"",COUNTBLANK(OFFSET(A$1,,,SUMPRODUCT(MAX(ROW(E$2:E499)*(E499=E$2:E499)))))-COUNTBLANK(OFFSET(A$1,,,SUMPRODUCT(MAX(ROW(E$1:E498)*(E2=E$1:E498))))))</f>
        <v/>
      </c>
      <c r="K499" s="24" t="str">
        <f aca="false">IF(OR(E499="",E499="!!!",F499="NEW"),"",INDEX(J$1:J498,SUMPRODUCT(MAX(ROW(E$1:E498)*(E499=E$1:E498)))))</f>
        <v/>
      </c>
      <c r="L499" s="21"/>
    </row>
    <row r="500" customFormat="false" ht="15" hidden="false" customHeight="false" outlineLevel="0" collapsed="false">
      <c r="A500" s="20" t="s">
        <v>1358</v>
      </c>
      <c r="B500" s="22" t="s">
        <v>1107</v>
      </c>
      <c r="C500" s="22" t="s">
        <v>1160</v>
      </c>
      <c r="E500" s="23"/>
      <c r="F500" s="25"/>
      <c r="G500" s="26"/>
      <c r="H500" s="27"/>
      <c r="I500" s="24" t="str">
        <f aca="false">IF(OR(E500="",E500="!!!",F500="NEW"),"",INDEX(B39:B$462,-1+SUMPRODUCT(MAX(ROW(E39:E$462)*(E500=E39:E$462)))))</f>
        <v/>
      </c>
      <c r="J500" s="24" t="str">
        <f aca="true">IF(OR(E500="",E500="!!!",F500="NEW"),"",COUNTBLANK(OFFSET(A$1,,,SUMPRODUCT(MAX(ROW(E$2:E500)*(E500=E$2:E500)))))-COUNTBLANK(OFFSET(A$1,,,SUMPRODUCT(MAX(ROW(E$1:E499)*(E2=E$1:E499))))))</f>
        <v/>
      </c>
      <c r="K500" s="24" t="str">
        <f aca="false">IF(OR(E500="",E500="!!!",F500="NEW"),"",INDEX(J$1:J499,SUMPRODUCT(MAX(ROW(E$1:E499)*(E500=E$1:E499)))))</f>
        <v/>
      </c>
      <c r="L500" s="21"/>
    </row>
    <row r="501" customFormat="false" ht="15" hidden="false" customHeight="false" outlineLevel="0" collapsed="false">
      <c r="A501" s="20" t="s">
        <v>1125</v>
      </c>
      <c r="B501" s="22" t="s">
        <v>1359</v>
      </c>
      <c r="E501" s="23"/>
      <c r="F501" s="25"/>
      <c r="G501" s="26"/>
      <c r="H501" s="27"/>
      <c r="I501" s="24" t="str">
        <f aca="false">IF(OR(E501="",E501="!!!",F501="NEW"),"",INDEX(B40:B$462,-1+SUMPRODUCT(MAX(ROW(E40:E$462)*(E501=E40:E$462)))))</f>
        <v/>
      </c>
      <c r="J501" s="24" t="str">
        <f aca="true">IF(OR(E501="",E501="!!!",F501="NEW"),"",COUNTBLANK(OFFSET(A$1,,,SUMPRODUCT(MAX(ROW(E$2:E501)*(E501=E$2:E501)))))-COUNTBLANK(OFFSET(A$1,,,SUMPRODUCT(MAX(ROW(E$1:E500)*(E2=E$1:E500))))))</f>
        <v/>
      </c>
      <c r="K501" s="24" t="str">
        <f aca="false">IF(OR(E501="",E501="!!!",F501="NEW"),"",INDEX(J$1:J500,SUMPRODUCT(MAX(ROW(E$1:E500)*(E501=E$1:E500)))))</f>
        <v/>
      </c>
      <c r="L501" s="21"/>
    </row>
    <row r="502" customFormat="false" ht="15" hidden="false" customHeight="false" outlineLevel="0" collapsed="false">
      <c r="A502" s="20" t="s">
        <v>502</v>
      </c>
      <c r="E502" s="23"/>
      <c r="F502" s="25"/>
      <c r="G502" s="26"/>
      <c r="H502" s="27"/>
      <c r="I502" s="24" t="str">
        <f aca="false">IF(OR(E502="",E502="!!!",F502="NEW"),"",INDEX(B41:B$462,-1+SUMPRODUCT(MAX(ROW(E41:E$462)*(E502=E41:E$462)))))</f>
        <v/>
      </c>
      <c r="J502" s="24" t="str">
        <f aca="true">IF(OR(E502="",E502="!!!",F502="NEW"),"",COUNTBLANK(OFFSET(A$1,,,SUMPRODUCT(MAX(ROW(E$2:E502)*(E502=E$2:E502)))))-COUNTBLANK(OFFSET(A$1,,,SUMPRODUCT(MAX(ROW(E$1:E501)*(E2=E$1:E501))))))</f>
        <v/>
      </c>
      <c r="K502" s="24" t="str">
        <f aca="false">IF(OR(E502="",E502="!!!",F502="NEW"),"",INDEX(J$1:J501,SUMPRODUCT(MAX(ROW(E$1:E501)*(E502=E$1:E501)))))</f>
        <v/>
      </c>
      <c r="L502" s="21"/>
    </row>
    <row r="503" customFormat="false" ht="15" hidden="false" customHeight="false" outlineLevel="0" collapsed="false">
      <c r="A503" s="20" t="s">
        <v>1360</v>
      </c>
      <c r="E503" s="23"/>
      <c r="F503" s="25"/>
      <c r="G503" s="26"/>
      <c r="H503" s="27"/>
      <c r="I503" s="24" t="str">
        <f aca="false">IF(OR(E503="",E503="!!!",F503="NEW"),"",INDEX(B42:B$462,-1+SUMPRODUCT(MAX(ROW(E42:E$462)*(E503=E42:E$462)))))</f>
        <v/>
      </c>
      <c r="J503" s="24" t="str">
        <f aca="true">IF(OR(E503="",E503="!!!",F503="NEW"),"",COUNTBLANK(OFFSET(A$1,,,SUMPRODUCT(MAX(ROW(E$2:E503)*(E503=E$2:E503)))))-COUNTBLANK(OFFSET(A$1,,,SUMPRODUCT(MAX(ROW(E$1:E502)*(E2=E$1:E502))))))</f>
        <v/>
      </c>
      <c r="K503" s="24" t="str">
        <f aca="false">IF(OR(E503="",E503="!!!",F503="NEW"),"",INDEX(J$1:J502,SUMPRODUCT(MAX(ROW(E$1:E502)*(E503=E$1:E502)))))</f>
        <v/>
      </c>
      <c r="L503" s="21"/>
    </row>
    <row r="504" customFormat="false" ht="15" hidden="false" customHeight="false" outlineLevel="0" collapsed="false">
      <c r="A504" s="20" t="s">
        <v>1109</v>
      </c>
      <c r="E504" s="23"/>
      <c r="F504" s="25"/>
      <c r="G504" s="26"/>
      <c r="H504" s="27"/>
      <c r="I504" s="24" t="str">
        <f aca="false">IF(OR(E504="",E504="!!!",F504="NEW"),"",INDEX(B43:B$462,-1+SUMPRODUCT(MAX(ROW(E43:E$462)*(E504=E43:E$462)))))</f>
        <v/>
      </c>
      <c r="J504" s="24" t="str">
        <f aca="true">IF(OR(E504="",E504="!!!",F504="NEW"),"",COUNTBLANK(OFFSET(A$1,,,SUMPRODUCT(MAX(ROW(E$2:E504)*(E504=E$2:E504)))))-COUNTBLANK(OFFSET(A$1,,,SUMPRODUCT(MAX(ROW(E$1:E503)*(E2=E$1:E503))))))</f>
        <v/>
      </c>
      <c r="K504" s="24" t="str">
        <f aca="false">IF(OR(E504="",E504="!!!",F504="NEW"),"",INDEX(J$1:J503,SUMPRODUCT(MAX(ROW(E$1:E503)*(E504=E$1:E503)))))</f>
        <v/>
      </c>
      <c r="L504" s="21"/>
    </row>
    <row r="505" customFormat="false" ht="15" hidden="false" customHeight="false" outlineLevel="0" collapsed="false">
      <c r="A505" s="20" t="s">
        <v>1361</v>
      </c>
      <c r="E505" s="23"/>
      <c r="F505" s="25"/>
      <c r="G505" s="26"/>
      <c r="H505" s="27"/>
      <c r="I505" s="24" t="str">
        <f aca="false">IF(OR(E505="",E505="!!!",F505="NEW"),"",INDEX(B44:B$462,-1+SUMPRODUCT(MAX(ROW(E44:E$462)*(E505=E44:E$462)))))</f>
        <v/>
      </c>
      <c r="J505" s="24" t="str">
        <f aca="true">IF(OR(E505="",E505="!!!",F505="NEW"),"",COUNTBLANK(OFFSET(A$1,,,SUMPRODUCT(MAX(ROW(E$2:E505)*(E505=E$2:E505)))))-COUNTBLANK(OFFSET(A$1,,,SUMPRODUCT(MAX(ROW(E$1:E504)*(E2=E$1:E504))))))</f>
        <v/>
      </c>
      <c r="K505" s="24" t="str">
        <f aca="false">IF(OR(E505="",E505="!!!",F505="NEW"),"",INDEX(J$1:J504,SUMPRODUCT(MAX(ROW(E$1:E504)*(E505=E$1:E504)))))</f>
        <v/>
      </c>
      <c r="L505" s="21"/>
    </row>
    <row r="506" customFormat="false" ht="15" hidden="false" customHeight="false" outlineLevel="0" collapsed="false">
      <c r="A506" s="20" t="s">
        <v>1362</v>
      </c>
      <c r="B506" s="22" t="s">
        <v>1098</v>
      </c>
      <c r="C506" s="22" t="s">
        <v>1068</v>
      </c>
      <c r="D506" s="22" t="s">
        <v>1060</v>
      </c>
      <c r="E506" s="23" t="s">
        <v>547</v>
      </c>
      <c r="F506" s="23" t="s">
        <v>1083</v>
      </c>
      <c r="G506" s="23" t="s">
        <v>1084</v>
      </c>
      <c r="H506" s="23"/>
      <c r="I506" s="24" t="e">
        <f aca="false">IF(OR(E506="",E506="!!!",F506="NEW"),"",INDEX(B45:B$462,-1+SUMPRODUCT(MAX(ROW(E45:E$462)*(E506=E45:E$462)))))</f>
        <v>#VALUE!</v>
      </c>
      <c r="J506" s="24" t="n">
        <f aca="true">IF(OR(E506="",E506="!!!",F506="NEW"),"",COUNTBLANK(OFFSET(A$1,,,SUMPRODUCT(MAX(ROW(E$2:E506)*(E506=E$2:E506)))))-COUNTBLANK(OFFSET(A$1,,,SUMPRODUCT(MAX(ROW(E$1:E505)*(E2=E$1:E505))))))</f>
        <v>0</v>
      </c>
      <c r="K506" s="24" t="n">
        <f aca="false">IF(OR(E506="",E506="!!!",F506="NEW"),"",INDEX(J$1:J505,SUMPRODUCT(MAX(ROW(E$1:E505)*(E506=E$1:E505)))))</f>
        <v>0</v>
      </c>
      <c r="L506" s="21"/>
    </row>
    <row r="507" customFormat="false" ht="15" hidden="false" customHeight="false" outlineLevel="0" collapsed="false">
      <c r="A507" s="20" t="s">
        <v>923</v>
      </c>
      <c r="E507" s="23"/>
      <c r="F507" s="25"/>
      <c r="G507" s="26"/>
      <c r="H507" s="27"/>
      <c r="I507" s="24" t="str">
        <f aca="false">IF(OR(E507="",E507="!!!",F507="NEW"),"",INDEX(B46:B$462,-1+SUMPRODUCT(MAX(ROW(E46:E$462)*(E507=E46:E$462)))))</f>
        <v/>
      </c>
      <c r="J507" s="24" t="str">
        <f aca="true">IF(OR(E507="",E507="!!!",F507="NEW"),"",COUNTBLANK(OFFSET(A$1,,,SUMPRODUCT(MAX(ROW(E$2:E507)*(E507=E$2:E507)))))-COUNTBLANK(OFFSET(A$1,,,SUMPRODUCT(MAX(ROW(E$1:E506)*(E2=E$1:E506))))))</f>
        <v/>
      </c>
      <c r="K507" s="24" t="str">
        <f aca="false">IF(OR(E507="",E507="!!!",F507="NEW"),"",INDEX(J$1:J506,SUMPRODUCT(MAX(ROW(E$1:E506)*(E507=E$1:E506)))))</f>
        <v/>
      </c>
      <c r="L507" s="21"/>
    </row>
    <row r="508" customFormat="false" ht="15" hidden="false" customHeight="false" outlineLevel="0" collapsed="false">
      <c r="A508" s="20"/>
      <c r="L508" s="21"/>
    </row>
    <row r="509" customFormat="false" ht="15" hidden="false" customHeight="false" outlineLevel="0" collapsed="false">
      <c r="A509" s="20" t="s">
        <v>1301</v>
      </c>
      <c r="E509" s="23"/>
      <c r="F509" s="25"/>
      <c r="G509" s="26"/>
      <c r="H509" s="27"/>
      <c r="I509" s="24" t="str">
        <f aca="false">IF(OR(E509="",E509="!!!",F509="NEW"),"",INDEX(B2:B$508,-1+SUMPRODUCT(MAX(ROW(E2:E$508)*(E509=E2:E$508)))))</f>
        <v/>
      </c>
      <c r="J509" s="24" t="str">
        <f aca="true">IF(OR(E509="",E509="!!!",F509="NEW"),"",COUNTBLANK(OFFSET(A$1,,,SUMPRODUCT(MAX(ROW(E$2:E509)*(E509=E$2:E509)))))-COUNTBLANK(OFFSET(A$1,,,SUMPRODUCT(MAX(ROW(E$1:E508)*(E2=E$1:E508))))))</f>
        <v/>
      </c>
      <c r="K509" s="24" t="str">
        <f aca="false">IF(OR(E509="",E509="!!!",F509="NEW"),"",INDEX(J$1:J508,SUMPRODUCT(MAX(ROW(E$1:E508)*(E509=E$1:E508)))))</f>
        <v/>
      </c>
      <c r="L509" s="21"/>
    </row>
    <row r="510" customFormat="false" ht="15" hidden="false" customHeight="false" outlineLevel="0" collapsed="false">
      <c r="A510" s="20" t="s">
        <v>1363</v>
      </c>
      <c r="L510" s="21"/>
    </row>
    <row r="511" customFormat="false" ht="15" hidden="false" customHeight="false" outlineLevel="0" collapsed="false">
      <c r="A511" s="20" t="s">
        <v>607</v>
      </c>
      <c r="E511" s="23"/>
      <c r="F511" s="25"/>
      <c r="G511" s="26"/>
      <c r="H511" s="27"/>
      <c r="I511" s="24" t="str">
        <f aca="false">IF(OR(E511="",E511="!!!",F511="NEW"),"",INDEX(B2:B$510,-1+SUMPRODUCT(MAX(ROW(E2:E$510)*(E511=E2:E$510)))))</f>
        <v/>
      </c>
      <c r="J511" s="24" t="str">
        <f aca="true">IF(OR(E511="",E511="!!!",F511="NEW"),"",COUNTBLANK(OFFSET(A$1,,,SUMPRODUCT(MAX(ROW(E$2:E511)*(E511=E$2:E511)))))-COUNTBLANK(OFFSET(A$1,,,SUMPRODUCT(MAX(ROW(E$1:E510)*(E2=E$1:E510))))))</f>
        <v/>
      </c>
      <c r="K511" s="24" t="str">
        <f aca="false">IF(OR(E511="",E511="!!!",F511="NEW"),"",INDEX(J$1:J510,SUMPRODUCT(MAX(ROW(E$1:E510)*(E511=E$1:E510)))))</f>
        <v/>
      </c>
      <c r="L511" s="21"/>
    </row>
    <row r="512" customFormat="false" ht="15" hidden="false" customHeight="false" outlineLevel="0" collapsed="false">
      <c r="A512" s="20" t="s">
        <v>1162</v>
      </c>
      <c r="B512" s="22" t="s">
        <v>1058</v>
      </c>
      <c r="C512" s="22" t="s">
        <v>1082</v>
      </c>
      <c r="D512" s="22" t="s">
        <v>1060</v>
      </c>
      <c r="E512" s="23" t="s">
        <v>1069</v>
      </c>
      <c r="F512" s="23" t="s">
        <v>1083</v>
      </c>
      <c r="G512" s="23" t="s">
        <v>1120</v>
      </c>
      <c r="H512" s="23" t="s">
        <v>1052</v>
      </c>
      <c r="I512" s="24" t="n">
        <f aca="false">IF(OR(E512="",E512="!!!",F512="NEW"),"",INDEX(B3:B$510,-1+SUMPRODUCT(MAX(ROW(E3:E$510)*(E512=E3:E$510)))))</f>
        <v>0</v>
      </c>
      <c r="J512" s="24" t="n">
        <f aca="true">IF(OR(E512="",E512="!!!",F512="NEW"),"",COUNTBLANK(OFFSET(A$1,,,SUMPRODUCT(MAX(ROW(E$2:E512)*(E512=E$2:E512)))))-COUNTBLANK(OFFSET(A$1,,,SUMPRODUCT(MAX(ROW(E$1:E511)*(E2=E$1:E511))))))</f>
        <v>0</v>
      </c>
      <c r="K512" s="24" t="n">
        <f aca="false">IF(OR(E512="",E512="!!!",F512="NEW"),"",INDEX(J$1:J511,SUMPRODUCT(MAX(ROW(E$1:E511)*(E512=E$1:E511)))))</f>
        <v>0</v>
      </c>
      <c r="L512" s="21"/>
    </row>
    <row r="513" customFormat="false" ht="15" hidden="false" customHeight="false" outlineLevel="0" collapsed="false">
      <c r="A513" s="20" t="s">
        <v>106</v>
      </c>
      <c r="E513" s="23"/>
      <c r="F513" s="25"/>
      <c r="G513" s="26"/>
      <c r="H513" s="27"/>
      <c r="I513" s="24" t="str">
        <f aca="false">IF(OR(E513="",E513="!!!",F513="NEW"),"",INDEX(B4:B$510,-1+SUMPRODUCT(MAX(ROW(E4:E$510)*(E513=E4:E$510)))))</f>
        <v/>
      </c>
      <c r="J513" s="24" t="str">
        <f aca="true">IF(OR(E513="",E513="!!!",F513="NEW"),"",COUNTBLANK(OFFSET(A$1,,,SUMPRODUCT(MAX(ROW(E$2:E513)*(E513=E$2:E513)))))-COUNTBLANK(OFFSET(A$1,,,SUMPRODUCT(MAX(ROW(E$1:E512)*(E2=E$1:E512))))))</f>
        <v/>
      </c>
      <c r="K513" s="24" t="str">
        <f aca="false">IF(OR(E513="",E513="!!!",F513="NEW"),"",INDEX(J$1:J512,SUMPRODUCT(MAX(ROW(E$1:E512)*(E513=E$1:E512)))))</f>
        <v/>
      </c>
      <c r="L513" s="21"/>
    </row>
    <row r="514" customFormat="false" ht="15" hidden="false" customHeight="false" outlineLevel="0" collapsed="false">
      <c r="A514" s="20" t="s">
        <v>1109</v>
      </c>
      <c r="E514" s="23"/>
      <c r="F514" s="25"/>
      <c r="G514" s="26"/>
      <c r="H514" s="27"/>
      <c r="I514" s="24" t="str">
        <f aca="false">IF(OR(E514="",E514="!!!",F514="NEW"),"",INDEX(B5:B$510,-1+SUMPRODUCT(MAX(ROW(E5:E$510)*(E514=E5:E$510)))))</f>
        <v/>
      </c>
      <c r="J514" s="24" t="str">
        <f aca="true">IF(OR(E514="",E514="!!!",F514="NEW"),"",COUNTBLANK(OFFSET(A$1,,,SUMPRODUCT(MAX(ROW(E$2:E514)*(E514=E$2:E514)))))-COUNTBLANK(OFFSET(A$1,,,SUMPRODUCT(MAX(ROW(E$1:E513)*(E2=E$1:E513))))))</f>
        <v/>
      </c>
      <c r="K514" s="24" t="str">
        <f aca="false">IF(OR(E514="",E514="!!!",F514="NEW"),"",INDEX(J$1:J513,SUMPRODUCT(MAX(ROW(E$1:E513)*(E514=E$1:E513)))))</f>
        <v/>
      </c>
      <c r="L514" s="21"/>
    </row>
    <row r="515" customFormat="false" ht="15" hidden="false" customHeight="false" outlineLevel="0" collapsed="false">
      <c r="A515" s="20" t="s">
        <v>1364</v>
      </c>
      <c r="B515" s="22" t="s">
        <v>1081</v>
      </c>
      <c r="C515" s="22" t="s">
        <v>1150</v>
      </c>
      <c r="D515" s="22" t="s">
        <v>1060</v>
      </c>
      <c r="E515" s="23" t="s">
        <v>1364</v>
      </c>
      <c r="F515" s="23" t="s">
        <v>1062</v>
      </c>
      <c r="G515" s="23" t="s">
        <v>1172</v>
      </c>
      <c r="H515" s="23"/>
      <c r="I515" s="24" t="str">
        <f aca="false">IF(OR(E515="",E515="!!!",F515="NEW"),"",INDEX(B6:B$510,-1+SUMPRODUCT(MAX(ROW(E6:E$510)*(E515=E6:E$510)))))</f>
        <v/>
      </c>
      <c r="J515" s="24" t="str">
        <f aca="true">IF(OR(E515="",E515="!!!",F515="NEW"),"",COUNTBLANK(OFFSET(A$1,,,SUMPRODUCT(MAX(ROW(E$2:E515)*(E515=E$2:E515)))))-COUNTBLANK(OFFSET(A$1,,,SUMPRODUCT(MAX(ROW(E$1:E514)*(E2=E$1:E514))))))</f>
        <v/>
      </c>
      <c r="K515" s="24" t="str">
        <f aca="false">IF(OR(E515="",E515="!!!",F515="NEW"),"",INDEX(J$1:J514,SUMPRODUCT(MAX(ROW(E$1:E514)*(E515=E$1:E514)))))</f>
        <v/>
      </c>
      <c r="L515" s="21"/>
    </row>
    <row r="516" customFormat="false" ht="15" hidden="false" customHeight="false" outlineLevel="0" collapsed="false">
      <c r="A516" s="20" t="s">
        <v>1064</v>
      </c>
      <c r="E516" s="23"/>
      <c r="F516" s="25"/>
      <c r="G516" s="26"/>
      <c r="H516" s="27"/>
      <c r="I516" s="24" t="str">
        <f aca="false">IF(OR(E516="",E516="!!!",F516="NEW"),"",INDEX(B7:B$510,-1+SUMPRODUCT(MAX(ROW(E7:E$510)*(E516=E7:E$510)))))</f>
        <v/>
      </c>
      <c r="J516" s="24" t="str">
        <f aca="true">IF(OR(E516="",E516="!!!",F516="NEW"),"",COUNTBLANK(OFFSET(A$1,,,SUMPRODUCT(MAX(ROW(E$2:E516)*(E516=E$2:E516)))))-COUNTBLANK(OFFSET(A$1,,,SUMPRODUCT(MAX(ROW(E$1:E515)*(E2=E$1:E515))))))</f>
        <v/>
      </c>
      <c r="K516" s="24" t="str">
        <f aca="false">IF(OR(E516="",E516="!!!",F516="NEW"),"",INDEX(J$1:J515,SUMPRODUCT(MAX(ROW(E$1:E515)*(E516=E$1:E515)))))</f>
        <v/>
      </c>
      <c r="L516" s="21"/>
    </row>
    <row r="517" customFormat="false" ht="15" hidden="false" customHeight="false" outlineLevel="0" collapsed="false">
      <c r="A517" s="20" t="s">
        <v>1085</v>
      </c>
      <c r="E517" s="23"/>
      <c r="F517" s="25"/>
      <c r="G517" s="26"/>
      <c r="H517" s="27"/>
      <c r="I517" s="24" t="str">
        <f aca="false">IF(OR(E517="",E517="!!!",F517="NEW"),"",INDEX(B8:B$510,-1+SUMPRODUCT(MAX(ROW(E8:E$510)*(E517=E8:E$510)))))</f>
        <v/>
      </c>
      <c r="J517" s="24" t="str">
        <f aca="true">IF(OR(E517="",E517="!!!",F517="NEW"),"",COUNTBLANK(OFFSET(A$1,,,SUMPRODUCT(MAX(ROW(E$2:E517)*(E517=E$2:E517)))))-COUNTBLANK(OFFSET(A$1,,,SUMPRODUCT(MAX(ROW(E$1:E516)*(E2=E$1:E516))))))</f>
        <v/>
      </c>
      <c r="K517" s="24" t="str">
        <f aca="false">IF(OR(E517="",E517="!!!",F517="NEW"),"",INDEX(J$1:J516,SUMPRODUCT(MAX(ROW(E$1:E516)*(E517=E$1:E516)))))</f>
        <v/>
      </c>
      <c r="L517" s="21"/>
    </row>
    <row r="518" customFormat="false" ht="15" hidden="false" customHeight="false" outlineLevel="0" collapsed="false">
      <c r="A518" s="20" t="s">
        <v>1269</v>
      </c>
      <c r="B518" s="22" t="s">
        <v>1073</v>
      </c>
      <c r="C518" s="22" t="s">
        <v>1059</v>
      </c>
      <c r="D518" s="22" t="s">
        <v>1060</v>
      </c>
      <c r="E518" s="23" t="s">
        <v>1300</v>
      </c>
      <c r="F518" s="23" t="s">
        <v>1083</v>
      </c>
      <c r="G518" s="23" t="s">
        <v>1070</v>
      </c>
      <c r="H518" s="23"/>
      <c r="I518" s="24" t="str">
        <f aca="false">IF(OR(E518="",E518="!!!",F518="NEW"),"",INDEX(B9:B$510,-1+SUMPRODUCT(MAX(ROW(E9:E$510)*(E518=E9:E$510)))))</f>
        <v>SBJ</v>
      </c>
      <c r="J518" s="24" t="n">
        <f aca="true">IF(OR(E518="",E518="!!!",F518="NEW"),"",COUNTBLANK(OFFSET(A$1,,,SUMPRODUCT(MAX(ROW(E$2:E518)*(E518=E$2:E518)))))-COUNTBLANK(OFFSET(A$1,,,SUMPRODUCT(MAX(ROW(E$1:E517)*(E2=E$1:E517))))))</f>
        <v>0</v>
      </c>
      <c r="K518" s="24" t="str">
        <f aca="false">IF(OR(E518="",E518="!!!",F518="NEW"),"",INDEX(J$1:J517,SUMPRODUCT(MAX(ROW(E$1:E517)*(E518=E$1:E517)))))</f>
        <v/>
      </c>
      <c r="L518" s="21"/>
    </row>
    <row r="519" customFormat="false" ht="15" hidden="false" customHeight="false" outlineLevel="0" collapsed="false">
      <c r="A519" s="20" t="s">
        <v>1365</v>
      </c>
      <c r="E519" s="23"/>
      <c r="F519" s="25"/>
      <c r="G519" s="26"/>
      <c r="H519" s="27"/>
      <c r="I519" s="24" t="str">
        <f aca="false">IF(OR(E519="",E519="!!!",F519="NEW"),"",INDEX(B10:B$510,-1+SUMPRODUCT(MAX(ROW(E10:E$510)*(E519=E10:E$510)))))</f>
        <v/>
      </c>
      <c r="J519" s="24" t="str">
        <f aca="true">IF(OR(E519="",E519="!!!",F519="NEW"),"",COUNTBLANK(OFFSET(A$1,,,SUMPRODUCT(MAX(ROW(E$2:E519)*(E519=E$2:E519)))))-COUNTBLANK(OFFSET(A$1,,,SUMPRODUCT(MAX(ROW(E$1:E518)*(E2=E$1:E518))))))</f>
        <v/>
      </c>
      <c r="K519" s="24" t="str">
        <f aca="false">IF(OR(E519="",E519="!!!",F519="NEW"),"",INDEX(J$1:J518,SUMPRODUCT(MAX(ROW(E$1:E518)*(E519=E$1:E518)))))</f>
        <v/>
      </c>
      <c r="L519" s="21"/>
    </row>
    <row r="520" customFormat="false" ht="15" hidden="false" customHeight="false" outlineLevel="0" collapsed="false">
      <c r="A520" s="20" t="s">
        <v>1064</v>
      </c>
      <c r="E520" s="23"/>
      <c r="F520" s="25"/>
      <c r="G520" s="26"/>
      <c r="H520" s="27"/>
      <c r="I520" s="24" t="str">
        <f aca="false">IF(OR(E520="",E520="!!!",F520="NEW"),"",INDEX(B11:B$510,-1+SUMPRODUCT(MAX(ROW(E11:E$510)*(E520=E11:E$510)))))</f>
        <v/>
      </c>
      <c r="J520" s="24" t="str">
        <f aca="true">IF(OR(E520="",E520="!!!",F520="NEW"),"",COUNTBLANK(OFFSET(A$1,,,SUMPRODUCT(MAX(ROW(E$2:E520)*(E520=E$2:E520)))))-COUNTBLANK(OFFSET(A$1,,,SUMPRODUCT(MAX(ROW(E$1:E519)*(E2=E$1:E519))))))</f>
        <v/>
      </c>
      <c r="K520" s="24" t="str">
        <f aca="false">IF(OR(E520="",E520="!!!",F520="NEW"),"",INDEX(J$1:J519,SUMPRODUCT(MAX(ROW(E$1:E519)*(E520=E$1:E519)))))</f>
        <v/>
      </c>
      <c r="L520" s="21"/>
    </row>
    <row r="521" customFormat="false" ht="15" hidden="false" customHeight="false" outlineLevel="0" collapsed="false">
      <c r="A521" s="20" t="s">
        <v>1179</v>
      </c>
      <c r="B521" s="22" t="s">
        <v>1067</v>
      </c>
      <c r="C521" s="22" t="s">
        <v>1082</v>
      </c>
      <c r="D521" s="22" t="s">
        <v>1060</v>
      </c>
      <c r="E521" s="23" t="s">
        <v>1366</v>
      </c>
      <c r="F521" s="23" t="s">
        <v>1181</v>
      </c>
      <c r="G521" s="23" t="s">
        <v>1070</v>
      </c>
      <c r="H521" s="23"/>
      <c r="I521" s="24" t="e">
        <f aca="false">IF(OR(E521="",E521="!!!",F521="NEW"),"",INDEX(B12:B$510,-1+SUMPRODUCT(MAX(ROW(E12:E$510)*(E521=E12:E$510)))))</f>
        <v>#VALUE!</v>
      </c>
      <c r="J521" s="24" t="n">
        <f aca="true">IF(OR(E521="",E521="!!!",F521="NEW"),"",COUNTBLANK(OFFSET(A$1,,,SUMPRODUCT(MAX(ROW(E$2:E521)*(E521=E$2:E521)))))-COUNTBLANK(OFFSET(A$1,,,SUMPRODUCT(MAX(ROW(E$1:E520)*(E2=E$1:E520))))))</f>
        <v>0</v>
      </c>
      <c r="K521" s="28" t="e">
        <f aca="false">IF(OR(E521="",E521="!!!",F521="NEW"),"",INDEX(J$1:J520,SUMPRODUCT(MAX(ROW(E$1:E520)*(E521=E$1:E520)))))</f>
        <v>#VALUE!</v>
      </c>
      <c r="L521" s="21"/>
    </row>
    <row r="522" customFormat="false" ht="15" hidden="false" customHeight="false" outlineLevel="0" collapsed="false">
      <c r="A522" s="20" t="s">
        <v>923</v>
      </c>
      <c r="E522" s="23"/>
      <c r="F522" s="25"/>
      <c r="G522" s="26"/>
      <c r="H522" s="27"/>
      <c r="I522" s="24" t="str">
        <f aca="false">IF(OR(E522="",E522="!!!",F522="NEW"),"",INDEX(B13:B$510,-1+SUMPRODUCT(MAX(ROW(E13:E$510)*(E522=E13:E$510)))))</f>
        <v/>
      </c>
      <c r="J522" s="24" t="str">
        <f aca="true">IF(OR(E522="",E522="!!!",F522="NEW"),"",COUNTBLANK(OFFSET(A$1,,,SUMPRODUCT(MAX(ROW(E$2:E522)*(E522=E$2:E522)))))-COUNTBLANK(OFFSET(A$1,,,SUMPRODUCT(MAX(ROW(E$1:E521)*(E2=E$1:E521))))))</f>
        <v/>
      </c>
      <c r="K522" s="24" t="str">
        <f aca="false">IF(OR(E522="",E522="!!!",F522="NEW"),"",INDEX(J$1:J521,SUMPRODUCT(MAX(ROW(E$1:E521)*(E522=E$1:E521)))))</f>
        <v/>
      </c>
      <c r="L522" s="21"/>
    </row>
    <row r="523" customFormat="false" ht="15" hidden="false" customHeight="false" outlineLevel="0" collapsed="false">
      <c r="A523" s="20" t="s">
        <v>607</v>
      </c>
      <c r="E523" s="23"/>
      <c r="F523" s="25"/>
      <c r="G523" s="26"/>
      <c r="H523" s="27"/>
      <c r="I523" s="24" t="str">
        <f aca="false">IF(OR(E523="",E523="!!!",F523="NEW"),"",INDEX(B14:B$510,-1+SUMPRODUCT(MAX(ROW(E14:E$510)*(E523=E14:E$510)))))</f>
        <v/>
      </c>
      <c r="J523" s="24" t="str">
        <f aca="true">IF(OR(E523="",E523="!!!",F523="NEW"),"",COUNTBLANK(OFFSET(A$1,,,SUMPRODUCT(MAX(ROW(E$2:E523)*(E523=E$2:E523)))))-COUNTBLANK(OFFSET(A$1,,,SUMPRODUCT(MAX(ROW(E$1:E522)*(E2=E$1:E522))))))</f>
        <v/>
      </c>
      <c r="K523" s="24" t="str">
        <f aca="false">IF(OR(E523="",E523="!!!",F523="NEW"),"",INDEX(J$1:J522,SUMPRODUCT(MAX(ROW(E$1:E522)*(E523=E$1:E522)))))</f>
        <v/>
      </c>
      <c r="L523" s="21"/>
    </row>
    <row r="524" customFormat="false" ht="15" hidden="false" customHeight="false" outlineLevel="0" collapsed="false">
      <c r="A524" s="20"/>
      <c r="L524" s="21"/>
    </row>
    <row r="525" customFormat="false" ht="15" hidden="false" customHeight="false" outlineLevel="0" collapsed="false">
      <c r="A525" s="20" t="s">
        <v>1301</v>
      </c>
      <c r="E525" s="23"/>
      <c r="F525" s="25"/>
      <c r="G525" s="26"/>
      <c r="H525" s="27"/>
      <c r="I525" s="24" t="str">
        <f aca="false">IF(OR(E525="",E525="!!!",F525="NEW"),"",INDEX(B2:B$524,-1+SUMPRODUCT(MAX(ROW(E2:E$524)*(E525=E2:E$524)))))</f>
        <v/>
      </c>
      <c r="J525" s="24" t="str">
        <f aca="true">IF(OR(E525="",E525="!!!",F525="NEW"),"",COUNTBLANK(OFFSET(A$1,,,SUMPRODUCT(MAX(ROW(E$2:E525)*(E525=E$2:E525)))))-COUNTBLANK(OFFSET(A$1,,,SUMPRODUCT(MAX(ROW(E$1:E524)*(E2=E$1:E524))))))</f>
        <v/>
      </c>
      <c r="K525" s="24" t="str">
        <f aca="false">IF(OR(E525="",E525="!!!",F525="NEW"),"",INDEX(J$1:J524,SUMPRODUCT(MAX(ROW(E$1:E524)*(E525=E$1:E524)))))</f>
        <v/>
      </c>
      <c r="L525" s="21"/>
    </row>
    <row r="526" customFormat="false" ht="15" hidden="false" customHeight="false" outlineLevel="0" collapsed="false">
      <c r="A526" s="20" t="s">
        <v>1367</v>
      </c>
      <c r="L526" s="21"/>
    </row>
    <row r="527" customFormat="false" ht="15" hidden="false" customHeight="false" outlineLevel="0" collapsed="false">
      <c r="A527" s="20" t="s">
        <v>607</v>
      </c>
      <c r="E527" s="23"/>
      <c r="F527" s="25"/>
      <c r="G527" s="26"/>
      <c r="H527" s="27"/>
      <c r="I527" s="24" t="str">
        <f aca="false">IF(OR(E527="",E527="!!!",F527="NEW"),"",INDEX(B2:B$526,-1+SUMPRODUCT(MAX(ROW(E2:E$526)*(E527=E2:E$526)))))</f>
        <v/>
      </c>
      <c r="J527" s="24" t="str">
        <f aca="true">IF(OR(E527="",E527="!!!",F527="NEW"),"",COUNTBLANK(OFFSET(A$1,,,SUMPRODUCT(MAX(ROW(E$2:E527)*(E527=E$2:E527)))))-COUNTBLANK(OFFSET(A$1,,,SUMPRODUCT(MAX(ROW(E$1:E526)*(E2=E$1:E526))))))</f>
        <v/>
      </c>
      <c r="K527" s="24" t="str">
        <f aca="false">IF(OR(E527="",E527="!!!",F527="NEW"),"",INDEX(J$1:J526,SUMPRODUCT(MAX(ROW(E$1:E526)*(E527=E$1:E526)))))</f>
        <v/>
      </c>
      <c r="L527" s="21"/>
    </row>
    <row r="528" customFormat="false" ht="15" hidden="false" customHeight="false" outlineLevel="0" collapsed="false">
      <c r="A528" s="20" t="s">
        <v>1368</v>
      </c>
      <c r="B528" s="22" t="s">
        <v>1058</v>
      </c>
      <c r="C528" s="22" t="s">
        <v>1132</v>
      </c>
      <c r="D528" s="22" t="s">
        <v>1060</v>
      </c>
      <c r="E528" s="23" t="s">
        <v>1300</v>
      </c>
      <c r="F528" s="23" t="s">
        <v>1083</v>
      </c>
      <c r="G528" s="23" t="s">
        <v>1120</v>
      </c>
      <c r="H528" s="23" t="s">
        <v>1052</v>
      </c>
      <c r="I528" s="24" t="n">
        <f aca="false">IF(OR(E528="",E528="!!!",F528="NEW"),"",INDEX(B3:B$526,-1+SUMPRODUCT(MAX(ROW(E3:E$526)*(E528=E3:E$526)))))</f>
        <v>0</v>
      </c>
      <c r="J528" s="24" t="n">
        <f aca="true">IF(OR(E528="",E528="!!!",F528="NEW"),"",COUNTBLANK(OFFSET(A$1,,,SUMPRODUCT(MAX(ROW(E$2:E528)*(E528=E$2:E528)))))-COUNTBLANK(OFFSET(A$1,,,SUMPRODUCT(MAX(ROW(E$1:E527)*(E2=E$1:E527))))))</f>
        <v>0</v>
      </c>
      <c r="K528" s="24" t="n">
        <f aca="false">IF(OR(E528="",E528="!!!",F528="NEW"),"",INDEX(J$1:J527,SUMPRODUCT(MAX(ROW(E$1:E527)*(E528=E$1:E527)))))</f>
        <v>0</v>
      </c>
      <c r="L528" s="21"/>
    </row>
    <row r="529" customFormat="false" ht="15" hidden="false" customHeight="false" outlineLevel="0" collapsed="false">
      <c r="A529" s="20" t="s">
        <v>1369</v>
      </c>
      <c r="E529" s="23"/>
      <c r="F529" s="25"/>
      <c r="G529" s="26"/>
      <c r="H529" s="27"/>
      <c r="I529" s="24" t="str">
        <f aca="false">IF(OR(E529="",E529="!!!",F529="NEW"),"",INDEX(B4:B$526,-1+SUMPRODUCT(MAX(ROW(E4:E$526)*(E529=E4:E$526)))))</f>
        <v/>
      </c>
      <c r="J529" s="24" t="str">
        <f aca="true">IF(OR(E529="",E529="!!!",F529="NEW"),"",COUNTBLANK(OFFSET(A$1,,,SUMPRODUCT(MAX(ROW(E$2:E529)*(E529=E$2:E529)))))-COUNTBLANK(OFFSET(A$1,,,SUMPRODUCT(MAX(ROW(E$1:E528)*(E2=E$1:E528))))))</f>
        <v/>
      </c>
      <c r="K529" s="24" t="str">
        <f aca="false">IF(OR(E529="",E529="!!!",F529="NEW"),"",INDEX(J$1:J528,SUMPRODUCT(MAX(ROW(E$1:E528)*(E529=E$1:E528)))))</f>
        <v/>
      </c>
      <c r="L529" s="21"/>
    </row>
    <row r="530" customFormat="false" ht="15" hidden="false" customHeight="false" outlineLevel="0" collapsed="false">
      <c r="A530" s="20" t="s">
        <v>1298</v>
      </c>
      <c r="E530" s="23"/>
      <c r="F530" s="25"/>
      <c r="G530" s="26"/>
      <c r="H530" s="27"/>
      <c r="I530" s="24" t="str">
        <f aca="false">IF(OR(E530="",E530="!!!",F530="NEW"),"",INDEX(B5:B$526,-1+SUMPRODUCT(MAX(ROW(E5:E$526)*(E530=E5:E$526)))))</f>
        <v/>
      </c>
      <c r="J530" s="24" t="str">
        <f aca="true">IF(OR(E530="",E530="!!!",F530="NEW"),"",COUNTBLANK(OFFSET(A$1,,,SUMPRODUCT(MAX(ROW(E$2:E530)*(E530=E$2:E530)))))-COUNTBLANK(OFFSET(A$1,,,SUMPRODUCT(MAX(ROW(E$1:E529)*(E2=E$1:E529))))))</f>
        <v/>
      </c>
      <c r="K530" s="24" t="str">
        <f aca="false">IF(OR(E530="",E530="!!!",F530="NEW"),"",INDEX(J$1:J529,SUMPRODUCT(MAX(ROW(E$1:E529)*(E530=E$1:E529)))))</f>
        <v/>
      </c>
      <c r="L530" s="21"/>
    </row>
    <row r="531" customFormat="false" ht="15" hidden="false" customHeight="false" outlineLevel="0" collapsed="false">
      <c r="A531" s="20" t="s">
        <v>1299</v>
      </c>
      <c r="B531" s="22" t="s">
        <v>1105</v>
      </c>
      <c r="C531" s="22" t="s">
        <v>1068</v>
      </c>
      <c r="D531" s="22" t="s">
        <v>1060</v>
      </c>
      <c r="E531" s="23" t="s">
        <v>1300</v>
      </c>
      <c r="F531" s="23" t="s">
        <v>1083</v>
      </c>
      <c r="G531" s="23" t="s">
        <v>1084</v>
      </c>
      <c r="H531" s="23"/>
      <c r="I531" s="24" t="n">
        <f aca="false">IF(OR(E531="",E531="!!!",F531="NEW"),"",INDEX(B6:B$526,-1+SUMPRODUCT(MAX(ROW(E6:E$526)*(E531=E6:E$526)))))</f>
        <v>0</v>
      </c>
      <c r="J531" s="24" t="n">
        <f aca="true">IF(OR(E531="",E531="!!!",F531="NEW"),"",COUNTBLANK(OFFSET(A$1,,,SUMPRODUCT(MAX(ROW(E$2:E531)*(E531=E$2:E531)))))-COUNTBLANK(OFFSET(A$1,,,SUMPRODUCT(MAX(ROW(E$1:E530)*(E2=E$1:E530))))))</f>
        <v>0</v>
      </c>
      <c r="K531" s="24" t="n">
        <f aca="false">IF(OR(E531="",E531="!!!",F531="NEW"),"",INDEX(J$1:J530,SUMPRODUCT(MAX(ROW(E$1:E530)*(E531=E$1:E530)))))</f>
        <v>0</v>
      </c>
      <c r="L531" s="21"/>
    </row>
    <row r="532" customFormat="false" ht="15" hidden="false" customHeight="false" outlineLevel="0" collapsed="false">
      <c r="A532" s="20" t="s">
        <v>1128</v>
      </c>
      <c r="E532" s="23"/>
      <c r="F532" s="25"/>
      <c r="G532" s="26"/>
      <c r="H532" s="27"/>
      <c r="I532" s="24" t="str">
        <f aca="false">IF(OR(E532="",E532="!!!",F532="NEW"),"",INDEX(B7:B$526,-1+SUMPRODUCT(MAX(ROW(E7:E$526)*(E532=E7:E$526)))))</f>
        <v/>
      </c>
      <c r="J532" s="24" t="str">
        <f aca="true">IF(OR(E532="",E532="!!!",F532="NEW"),"",COUNTBLANK(OFFSET(A$1,,,SUMPRODUCT(MAX(ROW(E$2:E532)*(E532=E$2:E532)))))-COUNTBLANK(OFFSET(A$1,,,SUMPRODUCT(MAX(ROW(E$1:E531)*(E2=E$1:E531))))))</f>
        <v/>
      </c>
      <c r="K532" s="24" t="str">
        <f aca="false">IF(OR(E532="",E532="!!!",F532="NEW"),"",INDEX(J$1:J531,SUMPRODUCT(MAX(ROW(E$1:E531)*(E532=E$1:E531)))))</f>
        <v/>
      </c>
      <c r="L532" s="21"/>
    </row>
    <row r="533" customFormat="false" ht="15" hidden="false" customHeight="false" outlineLevel="0" collapsed="false">
      <c r="A533" s="20" t="s">
        <v>1109</v>
      </c>
      <c r="E533" s="23"/>
      <c r="F533" s="25"/>
      <c r="G533" s="26"/>
      <c r="H533" s="27"/>
      <c r="I533" s="24" t="str">
        <f aca="false">IF(OR(E533="",E533="!!!",F533="NEW"),"",INDEX(B8:B$526,-1+SUMPRODUCT(MAX(ROW(E8:E$526)*(E533=E8:E$526)))))</f>
        <v/>
      </c>
      <c r="J533" s="24" t="str">
        <f aca="true">IF(OR(E533="",E533="!!!",F533="NEW"),"",COUNTBLANK(OFFSET(A$1,,,SUMPRODUCT(MAX(ROW(E$2:E533)*(E533=E$2:E533)))))-COUNTBLANK(OFFSET(A$1,,,SUMPRODUCT(MAX(ROW(E$1:E532)*(E2=E$1:E532))))))</f>
        <v/>
      </c>
      <c r="K533" s="24" t="str">
        <f aca="false">IF(OR(E533="",E533="!!!",F533="NEW"),"",INDEX(J$1:J532,SUMPRODUCT(MAX(ROW(E$1:E532)*(E533=E$1:E532)))))</f>
        <v/>
      </c>
      <c r="L533" s="21"/>
    </row>
    <row r="534" customFormat="false" ht="15" hidden="false" customHeight="false" outlineLevel="0" collapsed="false">
      <c r="A534" s="20" t="s">
        <v>1370</v>
      </c>
      <c r="B534" s="22" t="s">
        <v>1105</v>
      </c>
      <c r="C534" s="22" t="s">
        <v>1059</v>
      </c>
      <c r="D534" s="22" t="s">
        <v>1060</v>
      </c>
      <c r="E534" s="23" t="s">
        <v>1370</v>
      </c>
      <c r="F534" s="23" t="s">
        <v>1062</v>
      </c>
      <c r="G534" s="23" t="s">
        <v>1172</v>
      </c>
      <c r="H534" s="23"/>
      <c r="I534" s="24" t="str">
        <f aca="false">IF(OR(E534="",E534="!!!",F534="NEW"),"",INDEX(B9:B$526,-1+SUMPRODUCT(MAX(ROW(E9:E$526)*(E534=E9:E$526)))))</f>
        <v/>
      </c>
      <c r="J534" s="24" t="str">
        <f aca="true">IF(OR(E534="",E534="!!!",F534="NEW"),"",COUNTBLANK(OFFSET(A$1,,,SUMPRODUCT(MAX(ROW(E$2:E534)*(E534=E$2:E534)))))-COUNTBLANK(OFFSET(A$1,,,SUMPRODUCT(MAX(ROW(E$1:E533)*(E2=E$1:E533))))))</f>
        <v/>
      </c>
      <c r="K534" s="24" t="str">
        <f aca="false">IF(OR(E534="",E534="!!!",F534="NEW"),"",INDEX(J$1:J533,SUMPRODUCT(MAX(ROW(E$1:E533)*(E534=E$1:E533)))))</f>
        <v/>
      </c>
      <c r="L534" s="21"/>
    </row>
    <row r="535" customFormat="false" ht="15" hidden="false" customHeight="false" outlineLevel="0" collapsed="false">
      <c r="A535" s="20" t="s">
        <v>1064</v>
      </c>
      <c r="E535" s="23"/>
      <c r="F535" s="25"/>
      <c r="G535" s="26"/>
      <c r="H535" s="27"/>
      <c r="I535" s="24" t="str">
        <f aca="false">IF(OR(E535="",E535="!!!",F535="NEW"),"",INDEX(B10:B$526,-1+SUMPRODUCT(MAX(ROW(E10:E$526)*(E535=E10:E$526)))))</f>
        <v/>
      </c>
      <c r="J535" s="24" t="str">
        <f aca="true">IF(OR(E535="",E535="!!!",F535="NEW"),"",COUNTBLANK(OFFSET(A$1,,,SUMPRODUCT(MAX(ROW(E$2:E535)*(E535=E$2:E535)))))-COUNTBLANK(OFFSET(A$1,,,SUMPRODUCT(MAX(ROW(E$1:E534)*(E2=E$1:E534))))))</f>
        <v/>
      </c>
      <c r="K535" s="24" t="str">
        <f aca="false">IF(OR(E535="",E535="!!!",F535="NEW"),"",INDEX(J$1:J534,SUMPRODUCT(MAX(ROW(E$1:E534)*(E535=E$1:E534)))))</f>
        <v/>
      </c>
      <c r="L535" s="21"/>
    </row>
    <row r="536" customFormat="false" ht="15" hidden="false" customHeight="false" outlineLevel="0" collapsed="false">
      <c r="A536" s="20" t="s">
        <v>1189</v>
      </c>
      <c r="B536" s="22" t="s">
        <v>1067</v>
      </c>
      <c r="C536" s="22" t="s">
        <v>1099</v>
      </c>
      <c r="D536" s="22" t="s">
        <v>1060</v>
      </c>
      <c r="E536" s="23" t="s">
        <v>1371</v>
      </c>
      <c r="F536" s="23" t="s">
        <v>1083</v>
      </c>
      <c r="G536" s="23" t="s">
        <v>1120</v>
      </c>
      <c r="H536" s="23"/>
      <c r="I536" s="24" t="e">
        <f aca="false">IF(OR(E536="",E536="!!!",F536="NEW"),"",INDEX(B11:B$526,-1+SUMPRODUCT(MAX(ROW(E11:E$526)*(E536=E11:E$526)))))</f>
        <v>#VALUE!</v>
      </c>
      <c r="J536" s="24" t="n">
        <f aca="true">IF(OR(E536="",E536="!!!",F536="NEW"),"",COUNTBLANK(OFFSET(A$1,,,SUMPRODUCT(MAX(ROW(E$2:E536)*(E536=E$2:E536)))))-COUNTBLANK(OFFSET(A$1,,,SUMPRODUCT(MAX(ROW(E$1:E535)*(E2=E$1:E535))))))</f>
        <v>0</v>
      </c>
      <c r="K536" s="28" t="e">
        <f aca="false">IF(OR(E536="",E536="!!!",F536="NEW"),"",INDEX(J$1:J535,SUMPRODUCT(MAX(ROW(E$1:E535)*(E536=E$1:E535)))))</f>
        <v>#VALUE!</v>
      </c>
      <c r="L536" s="21"/>
    </row>
    <row r="537" customFormat="false" ht="15" hidden="false" customHeight="false" outlineLevel="0" collapsed="false">
      <c r="A537" s="20" t="s">
        <v>1372</v>
      </c>
      <c r="B537" s="22" t="s">
        <v>1073</v>
      </c>
      <c r="C537" s="22" t="s">
        <v>1059</v>
      </c>
      <c r="D537" s="22" t="s">
        <v>1060</v>
      </c>
      <c r="E537" s="23" t="s">
        <v>1373</v>
      </c>
      <c r="F537" s="23" t="s">
        <v>1062</v>
      </c>
      <c r="G537" s="23" t="s">
        <v>1063</v>
      </c>
      <c r="H537" s="23"/>
      <c r="I537" s="24" t="str">
        <f aca="false">IF(OR(E537="",E537="!!!",F537="NEW"),"",INDEX(B12:B$526,-1+SUMPRODUCT(MAX(ROW(E12:E$526)*(E537=E12:E$526)))))</f>
        <v/>
      </c>
      <c r="J537" s="24" t="str">
        <f aca="true">IF(OR(E537="",E537="!!!",F537="NEW"),"",COUNTBLANK(OFFSET(A$1,,,SUMPRODUCT(MAX(ROW(E$2:E537)*(E537=E$2:E537)))))-COUNTBLANK(OFFSET(A$1,,,SUMPRODUCT(MAX(ROW(E$1:E536)*(E2=E$1:E536))))))</f>
        <v/>
      </c>
      <c r="K537" s="24" t="str">
        <f aca="false">IF(OR(E537="",E537="!!!",F537="NEW"),"",INDEX(J$1:J536,SUMPRODUCT(MAX(ROW(E$1:E536)*(E537=E$1:E536)))))</f>
        <v/>
      </c>
      <c r="L537" s="21"/>
    </row>
    <row r="538" customFormat="false" ht="15" hidden="false" customHeight="false" outlineLevel="0" collapsed="false">
      <c r="A538" s="20" t="s">
        <v>923</v>
      </c>
      <c r="E538" s="23"/>
      <c r="F538" s="25"/>
      <c r="G538" s="26"/>
      <c r="H538" s="27"/>
      <c r="I538" s="24" t="str">
        <f aca="false">IF(OR(E538="",E538="!!!",F538="NEW"),"",INDEX(B13:B$526,-1+SUMPRODUCT(MAX(ROW(E13:E$526)*(E538=E13:E$526)))))</f>
        <v/>
      </c>
      <c r="J538" s="24" t="str">
        <f aca="true">IF(OR(E538="",E538="!!!",F538="NEW"),"",COUNTBLANK(OFFSET(A$1,,,SUMPRODUCT(MAX(ROW(E$2:E538)*(E538=E$2:E538)))))-COUNTBLANK(OFFSET(A$1,,,SUMPRODUCT(MAX(ROW(E$1:E537)*(E2=E$1:E537))))))</f>
        <v/>
      </c>
      <c r="K538" s="24" t="str">
        <f aca="false">IF(OR(E538="",E538="!!!",F538="NEW"),"",INDEX(J$1:J537,SUMPRODUCT(MAX(ROW(E$1:E537)*(E538=E$1:E537)))))</f>
        <v/>
      </c>
      <c r="L538" s="21"/>
    </row>
    <row r="539" customFormat="false" ht="15" hidden="false" customHeight="false" outlineLevel="0" collapsed="false">
      <c r="A539" s="20"/>
      <c r="L539" s="21"/>
    </row>
    <row r="540" customFormat="false" ht="15" hidden="false" customHeight="false" outlineLevel="0" collapsed="false">
      <c r="A540" s="20" t="s">
        <v>1301</v>
      </c>
      <c r="E540" s="23"/>
      <c r="F540" s="25"/>
      <c r="G540" s="26"/>
      <c r="H540" s="27"/>
      <c r="I540" s="24" t="str">
        <f aca="false">IF(OR(E540="",E540="!!!",F540="NEW"),"",INDEX(B2:B$539,-1+SUMPRODUCT(MAX(ROW(E2:E$539)*(E540=E2:E$539)))))</f>
        <v/>
      </c>
      <c r="J540" s="24" t="str">
        <f aca="true">IF(OR(E540="",E540="!!!",F540="NEW"),"",COUNTBLANK(OFFSET(A$1,,,SUMPRODUCT(MAX(ROW(E$2:E540)*(E540=E$2:E540)))))-COUNTBLANK(OFFSET(A$1,,,SUMPRODUCT(MAX(ROW(E$1:E539)*(E2=E$1:E539))))))</f>
        <v/>
      </c>
      <c r="K540" s="24" t="str">
        <f aca="false">IF(OR(E540="",E540="!!!",F540="NEW"),"",INDEX(J$1:J539,SUMPRODUCT(MAX(ROW(E$1:E539)*(E540=E$1:E539)))))</f>
        <v/>
      </c>
      <c r="L540" s="21"/>
    </row>
    <row r="541" customFormat="false" ht="15" hidden="false" customHeight="false" outlineLevel="0" collapsed="false">
      <c r="A541" s="20" t="s">
        <v>1374</v>
      </c>
      <c r="L541" s="21"/>
    </row>
    <row r="542" customFormat="false" ht="15" hidden="false" customHeight="false" outlineLevel="0" collapsed="false">
      <c r="A542" s="20" t="s">
        <v>1162</v>
      </c>
      <c r="B542" s="22" t="s">
        <v>1058</v>
      </c>
      <c r="C542" s="22" t="s">
        <v>1082</v>
      </c>
      <c r="D542" s="22" t="s">
        <v>1060</v>
      </c>
      <c r="E542" s="23" t="s">
        <v>1305</v>
      </c>
      <c r="F542" s="23" t="s">
        <v>1083</v>
      </c>
      <c r="G542" s="23" t="s">
        <v>1120</v>
      </c>
      <c r="H542" s="23"/>
      <c r="I542" s="24" t="str">
        <f aca="false">IF(OR(E542="",E542="!!!",F542="NEW"),"",INDEX(B2:B$541,-1+SUMPRODUCT(MAX(ROW(E2:E$541)*(E542=E2:E$541)))))</f>
        <v>SBJ_9</v>
      </c>
      <c r="J542" s="24" t="n">
        <f aca="true">IF(OR(E542="",E542="!!!",F542="NEW"),"",COUNTBLANK(OFFSET(A$1,,,SUMPRODUCT(MAX(ROW(E$2:E542)*(E542=E$2:E542)))))-COUNTBLANK(OFFSET(A$1,,,SUMPRODUCT(MAX(ROW(E$1:E541)*(E2=E$1:E541))))))</f>
        <v>0</v>
      </c>
      <c r="K542" s="24" t="n">
        <f aca="false">IF(OR(E542="",E542="!!!",F542="NEW"),"",INDEX(J$1:J541,SUMPRODUCT(MAX(ROW(E$1:E541)*(E542=E$1:E541)))))</f>
        <v>0</v>
      </c>
      <c r="L542" s="21"/>
    </row>
    <row r="543" customFormat="false" ht="15" hidden="false" customHeight="false" outlineLevel="0" collapsed="false">
      <c r="A543" s="20" t="s">
        <v>1375</v>
      </c>
      <c r="E543" s="23"/>
      <c r="F543" s="25"/>
      <c r="G543" s="26"/>
      <c r="H543" s="27"/>
      <c r="I543" s="24" t="str">
        <f aca="false">IF(OR(E543="",E543="!!!",F543="NEW"),"",INDEX(B3:B$541,-1+SUMPRODUCT(MAX(ROW(E3:E$541)*(E543=E3:E$541)))))</f>
        <v/>
      </c>
      <c r="J543" s="24" t="str">
        <f aca="true">IF(OR(E543="",E543="!!!",F543="NEW"),"",COUNTBLANK(OFFSET(A$1,,,SUMPRODUCT(MAX(ROW(E$2:E543)*(E543=E$2:E543)))))-COUNTBLANK(OFFSET(A$1,,,SUMPRODUCT(MAX(ROW(E$1:E542)*(E2=E$1:E542))))))</f>
        <v/>
      </c>
      <c r="K543" s="24" t="str">
        <f aca="false">IF(OR(E543="",E543="!!!",F543="NEW"),"",INDEX(J$1:J542,SUMPRODUCT(MAX(ROW(E$1:E542)*(E543=E$1:E542)))))</f>
        <v/>
      </c>
      <c r="L543" s="21"/>
    </row>
    <row r="544" customFormat="false" ht="15" hidden="false" customHeight="false" outlineLevel="0" collapsed="false">
      <c r="A544" s="20" t="s">
        <v>114</v>
      </c>
      <c r="E544" s="23"/>
      <c r="F544" s="25"/>
      <c r="G544" s="26"/>
      <c r="H544" s="27"/>
      <c r="I544" s="24" t="str">
        <f aca="false">IF(OR(E544="",E544="!!!",F544="NEW"),"",INDEX(B4:B$541,-1+SUMPRODUCT(MAX(ROW(E4:E$541)*(E544=E4:E$541)))))</f>
        <v/>
      </c>
      <c r="J544" s="24" t="str">
        <f aca="true">IF(OR(E544="",E544="!!!",F544="NEW"),"",COUNTBLANK(OFFSET(A$1,,,SUMPRODUCT(MAX(ROW(E$2:E544)*(E544=E$2:E544)))))-COUNTBLANK(OFFSET(A$1,,,SUMPRODUCT(MAX(ROW(E$1:E543)*(E2=E$1:E543))))))</f>
        <v/>
      </c>
      <c r="K544" s="24" t="str">
        <f aca="false">IF(OR(E544="",E544="!!!",F544="NEW"),"",INDEX(J$1:J543,SUMPRODUCT(MAX(ROW(E$1:E543)*(E544=E$1:E543)))))</f>
        <v/>
      </c>
      <c r="L544" s="21"/>
    </row>
    <row r="545" customFormat="false" ht="15" hidden="false" customHeight="false" outlineLevel="0" collapsed="false">
      <c r="A545" s="20" t="s">
        <v>1304</v>
      </c>
      <c r="B545" s="22" t="s">
        <v>1081</v>
      </c>
      <c r="C545" s="22" t="s">
        <v>1082</v>
      </c>
      <c r="D545" s="22" t="s">
        <v>1060</v>
      </c>
      <c r="E545" s="23" t="s">
        <v>1187</v>
      </c>
      <c r="F545" s="23" t="s">
        <v>1083</v>
      </c>
      <c r="G545" s="23" t="s">
        <v>1120</v>
      </c>
      <c r="H545" s="23"/>
      <c r="I545" s="24" t="n">
        <f aca="false">IF(OR(E545="",E545="!!!",F545="NEW"),"",INDEX(B5:B$541,-1+SUMPRODUCT(MAX(ROW(E5:E$541)*(E545=E5:E$541)))))</f>
        <v>0</v>
      </c>
      <c r="J545" s="24" t="n">
        <f aca="true">IF(OR(E545="",E545="!!!",F545="NEW"),"",COUNTBLANK(OFFSET(A$1,,,SUMPRODUCT(MAX(ROW(E$2:E545)*(E545=E$2:E545)))))-COUNTBLANK(OFFSET(A$1,,,SUMPRODUCT(MAX(ROW(E$1:E544)*(E2=E$1:E544))))))</f>
        <v>0</v>
      </c>
      <c r="K545" s="24" t="n">
        <f aca="false">IF(OR(E545="",E545="!!!",F545="NEW"),"",INDEX(J$1:J544,SUMPRODUCT(MAX(ROW(E$1:E544)*(E545=E$1:E544)))))</f>
        <v>0</v>
      </c>
      <c r="L545" s="21"/>
    </row>
    <row r="546" customFormat="false" ht="15" hidden="false" customHeight="false" outlineLevel="0" collapsed="false">
      <c r="A546" s="20" t="s">
        <v>1095</v>
      </c>
      <c r="E546" s="23"/>
      <c r="F546" s="25"/>
      <c r="G546" s="26"/>
      <c r="H546" s="27"/>
      <c r="I546" s="24" t="str">
        <f aca="false">IF(OR(E546="",E546="!!!",F546="NEW"),"",INDEX(B6:B$541,-1+SUMPRODUCT(MAX(ROW(E6:E$541)*(E546=E6:E$541)))))</f>
        <v/>
      </c>
      <c r="J546" s="24" t="str">
        <f aca="true">IF(OR(E546="",E546="!!!",F546="NEW"),"",COUNTBLANK(OFFSET(A$1,,,SUMPRODUCT(MAX(ROW(E$2:E546)*(E546=E$2:E546)))))-COUNTBLANK(OFFSET(A$1,,,SUMPRODUCT(MAX(ROW(E$1:E545)*(E2=E$1:E545))))))</f>
        <v/>
      </c>
      <c r="K546" s="24" t="str">
        <f aca="false">IF(OR(E546="",E546="!!!",F546="NEW"),"",INDEX(J$1:J545,SUMPRODUCT(MAX(ROW(E$1:E545)*(E546=E$1:E545)))))</f>
        <v/>
      </c>
      <c r="L546" s="21"/>
    </row>
    <row r="547" customFormat="false" ht="15" hidden="false" customHeight="false" outlineLevel="0" collapsed="false">
      <c r="A547" s="20" t="s">
        <v>1297</v>
      </c>
      <c r="E547" s="23"/>
      <c r="F547" s="25"/>
      <c r="G547" s="26"/>
      <c r="H547" s="27"/>
      <c r="I547" s="24" t="str">
        <f aca="false">IF(OR(E547="",E547="!!!",F547="NEW"),"",INDEX(B7:B$541,-1+SUMPRODUCT(MAX(ROW(E7:E$541)*(E547=E7:E$541)))))</f>
        <v/>
      </c>
      <c r="J547" s="24" t="str">
        <f aca="true">IF(OR(E547="",E547="!!!",F547="NEW"),"",COUNTBLANK(OFFSET(A$1,,,SUMPRODUCT(MAX(ROW(E$2:E547)*(E547=E$2:E547)))))-COUNTBLANK(OFFSET(A$1,,,SUMPRODUCT(MAX(ROW(E$1:E546)*(E2=E$1:E546))))))</f>
        <v/>
      </c>
      <c r="K547" s="24" t="str">
        <f aca="false">IF(OR(E547="",E547="!!!",F547="NEW"),"",INDEX(J$1:J546,SUMPRODUCT(MAX(ROW(E$1:E546)*(E547=E$1:E546)))))</f>
        <v/>
      </c>
      <c r="L547" s="21"/>
    </row>
    <row r="548" customFormat="false" ht="15" hidden="false" customHeight="false" outlineLevel="0" collapsed="false">
      <c r="A548" s="20" t="s">
        <v>1224</v>
      </c>
      <c r="E548" s="23"/>
      <c r="F548" s="25"/>
      <c r="G548" s="26"/>
      <c r="H548" s="27"/>
      <c r="I548" s="24" t="str">
        <f aca="false">IF(OR(E548="",E548="!!!",F548="NEW"),"",INDEX(B8:B$541,-1+SUMPRODUCT(MAX(ROW(E8:E$541)*(E548=E8:E$541)))))</f>
        <v/>
      </c>
      <c r="J548" s="24" t="str">
        <f aca="true">IF(OR(E548="",E548="!!!",F548="NEW"),"",COUNTBLANK(OFFSET(A$1,,,SUMPRODUCT(MAX(ROW(E$2:E548)*(E548=E$2:E548)))))-COUNTBLANK(OFFSET(A$1,,,SUMPRODUCT(MAX(ROW(E$1:E547)*(E2=E$1:E547))))))</f>
        <v/>
      </c>
      <c r="K548" s="24" t="str">
        <f aca="false">IF(OR(E548="",E548="!!!",F548="NEW"),"",INDEX(J$1:J547,SUMPRODUCT(MAX(ROW(E$1:E547)*(E548=E$1:E547)))))</f>
        <v/>
      </c>
      <c r="L548" s="21"/>
    </row>
    <row r="549" customFormat="false" ht="15" hidden="false" customHeight="false" outlineLevel="0" collapsed="false">
      <c r="A549" s="20" t="s">
        <v>1376</v>
      </c>
      <c r="B549" s="22" t="s">
        <v>1073</v>
      </c>
      <c r="C549" s="22" t="s">
        <v>1160</v>
      </c>
      <c r="E549" s="23"/>
      <c r="F549" s="25"/>
      <c r="G549" s="26"/>
      <c r="H549" s="27"/>
      <c r="I549" s="24" t="str">
        <f aca="false">IF(OR(E549="",E549="!!!",F549="NEW"),"",INDEX(B9:B$541,-1+SUMPRODUCT(MAX(ROW(E9:E$541)*(E549=E9:E$541)))))</f>
        <v/>
      </c>
      <c r="J549" s="24" t="str">
        <f aca="true">IF(OR(E549="",E549="!!!",F549="NEW"),"",COUNTBLANK(OFFSET(A$1,,,SUMPRODUCT(MAX(ROW(E$2:E549)*(E549=E$2:E549)))))-COUNTBLANK(OFFSET(A$1,,,SUMPRODUCT(MAX(ROW(E$1:E548)*(E2=E$1:E548))))))</f>
        <v/>
      </c>
      <c r="K549" s="24" t="str">
        <f aca="false">IF(OR(E549="",E549="!!!",F549="NEW"),"",INDEX(J$1:J548,SUMPRODUCT(MAX(ROW(E$1:E548)*(E549=E$1:E548)))))</f>
        <v/>
      </c>
      <c r="L549" s="21"/>
    </row>
    <row r="550" customFormat="false" ht="15" hidden="false" customHeight="false" outlineLevel="0" collapsed="false">
      <c r="A550" s="20" t="s">
        <v>1128</v>
      </c>
      <c r="E550" s="23"/>
      <c r="F550" s="25"/>
      <c r="G550" s="26"/>
      <c r="H550" s="27"/>
      <c r="I550" s="24" t="str">
        <f aca="false">IF(OR(E550="",E550="!!!",F550="NEW"),"",INDEX(B10:B$541,-1+SUMPRODUCT(MAX(ROW(E10:E$541)*(E550=E10:E$541)))))</f>
        <v/>
      </c>
      <c r="J550" s="24" t="str">
        <f aca="true">IF(OR(E550="",E550="!!!",F550="NEW"),"",COUNTBLANK(OFFSET(A$1,,,SUMPRODUCT(MAX(ROW(E$2:E550)*(E550=E$2:E550)))))-COUNTBLANK(OFFSET(A$1,,,SUMPRODUCT(MAX(ROW(E$1:E549)*(E2=E$1:E549))))))</f>
        <v/>
      </c>
      <c r="K550" s="24" t="str">
        <f aca="false">IF(OR(E550="",E550="!!!",F550="NEW"),"",INDEX(J$1:J549,SUMPRODUCT(MAX(ROW(E$1:E549)*(E550=E$1:E549)))))</f>
        <v/>
      </c>
      <c r="L550" s="21"/>
    </row>
    <row r="551" customFormat="false" ht="15" hidden="false" customHeight="false" outlineLevel="0" collapsed="false">
      <c r="A551" s="20" t="s">
        <v>1279</v>
      </c>
      <c r="E551" s="23"/>
      <c r="F551" s="25"/>
      <c r="G551" s="26"/>
      <c r="H551" s="27"/>
      <c r="I551" s="24" t="str">
        <f aca="false">IF(OR(E551="",E551="!!!",F551="NEW"),"",INDEX(B11:B$541,-1+SUMPRODUCT(MAX(ROW(E11:E$541)*(E551=E11:E$541)))))</f>
        <v/>
      </c>
      <c r="J551" s="24" t="str">
        <f aca="true">IF(OR(E551="",E551="!!!",F551="NEW"),"",COUNTBLANK(OFFSET(A$1,,,SUMPRODUCT(MAX(ROW(E$2:E551)*(E551=E$2:E551)))))-COUNTBLANK(OFFSET(A$1,,,SUMPRODUCT(MAX(ROW(E$1:E550)*(E2=E$1:E550))))))</f>
        <v/>
      </c>
      <c r="K551" s="24" t="str">
        <f aca="false">IF(OR(E551="",E551="!!!",F551="NEW"),"",INDEX(J$1:J550,SUMPRODUCT(MAX(ROW(E$1:E550)*(E551=E$1:E550)))))</f>
        <v/>
      </c>
      <c r="L551" s="21"/>
    </row>
    <row r="552" customFormat="false" ht="15" hidden="false" customHeight="false" outlineLevel="0" collapsed="false">
      <c r="A552" s="20" t="s">
        <v>1095</v>
      </c>
      <c r="E552" s="23"/>
      <c r="F552" s="25"/>
      <c r="G552" s="26"/>
      <c r="H552" s="27"/>
      <c r="I552" s="24" t="str">
        <f aca="false">IF(OR(E552="",E552="!!!",F552="NEW"),"",INDEX(B12:B$541,-1+SUMPRODUCT(MAX(ROW(E12:E$541)*(E552=E12:E$541)))))</f>
        <v/>
      </c>
      <c r="J552" s="24" t="str">
        <f aca="true">IF(OR(E552="",E552="!!!",F552="NEW"),"",COUNTBLANK(OFFSET(A$1,,,SUMPRODUCT(MAX(ROW(E$2:E552)*(E552=E$2:E552)))))-COUNTBLANK(OFFSET(A$1,,,SUMPRODUCT(MAX(ROW(E$1:E551)*(E2=E$1:E551))))))</f>
        <v/>
      </c>
      <c r="K552" s="24" t="str">
        <f aca="false">IF(OR(E552="",E552="!!!",F552="NEW"),"",INDEX(J$1:J551,SUMPRODUCT(MAX(ROW(E$1:E551)*(E552=E$1:E551)))))</f>
        <v/>
      </c>
      <c r="L552" s="21"/>
    </row>
    <row r="553" customFormat="false" ht="15" hidden="false" customHeight="false" outlineLevel="0" collapsed="false">
      <c r="A553" s="20" t="s">
        <v>197</v>
      </c>
      <c r="E553" s="23"/>
      <c r="F553" s="25"/>
      <c r="G553" s="26"/>
      <c r="H553" s="27"/>
      <c r="I553" s="24" t="str">
        <f aca="false">IF(OR(E553="",E553="!!!",F553="NEW"),"",INDEX(B13:B$541,-1+SUMPRODUCT(MAX(ROW(E13:E$541)*(E553=E13:E$541)))))</f>
        <v/>
      </c>
      <c r="J553" s="24" t="str">
        <f aca="true">IF(OR(E553="",E553="!!!",F553="NEW"),"",COUNTBLANK(OFFSET(A$1,,,SUMPRODUCT(MAX(ROW(E$2:E553)*(E553=E$2:E553)))))-COUNTBLANK(OFFSET(A$1,,,SUMPRODUCT(MAX(ROW(E$1:E552)*(E2=E$1:E552))))))</f>
        <v/>
      </c>
      <c r="K553" s="24" t="str">
        <f aca="false">IF(OR(E553="",E553="!!!",F553="NEW"),"",INDEX(J$1:J552,SUMPRODUCT(MAX(ROW(E$1:E552)*(E553=E$1:E552)))))</f>
        <v/>
      </c>
      <c r="L553" s="21"/>
    </row>
    <row r="554" customFormat="false" ht="15" hidden="false" customHeight="false" outlineLevel="0" collapsed="false">
      <c r="A554" s="20" t="s">
        <v>1377</v>
      </c>
      <c r="E554" s="23"/>
      <c r="F554" s="25"/>
      <c r="G554" s="26"/>
      <c r="H554" s="27"/>
      <c r="I554" s="24" t="str">
        <f aca="false">IF(OR(E554="",E554="!!!",F554="NEW"),"",INDEX(B14:B$541,-1+SUMPRODUCT(MAX(ROW(E14:E$541)*(E554=E14:E$541)))))</f>
        <v/>
      </c>
      <c r="J554" s="24" t="str">
        <f aca="true">IF(OR(E554="",E554="!!!",F554="NEW"),"",COUNTBLANK(OFFSET(A$1,,,SUMPRODUCT(MAX(ROW(E$2:E554)*(E554=E$2:E554)))))-COUNTBLANK(OFFSET(A$1,,,SUMPRODUCT(MAX(ROW(E$1:E553)*(E2=E$1:E553))))))</f>
        <v/>
      </c>
      <c r="K554" s="24" t="str">
        <f aca="false">IF(OR(E554="",E554="!!!",F554="NEW"),"",INDEX(J$1:J553,SUMPRODUCT(MAX(ROW(E$1:E553)*(E554=E$1:E553)))))</f>
        <v/>
      </c>
      <c r="L554" s="21"/>
    </row>
    <row r="555" customFormat="false" ht="15" hidden="false" customHeight="false" outlineLevel="0" collapsed="false">
      <c r="A555" s="20" t="s">
        <v>1085</v>
      </c>
      <c r="E555" s="23"/>
      <c r="F555" s="25"/>
      <c r="G555" s="26"/>
      <c r="H555" s="27"/>
      <c r="I555" s="24" t="str">
        <f aca="false">IF(OR(E555="",E555="!!!",F555="NEW"),"",INDEX(B15:B$541,-1+SUMPRODUCT(MAX(ROW(E15:E$541)*(E555=E15:E$541)))))</f>
        <v/>
      </c>
      <c r="J555" s="24" t="str">
        <f aca="true">IF(OR(E555="",E555="!!!",F555="NEW"),"",COUNTBLANK(OFFSET(A$1,,,SUMPRODUCT(MAX(ROW(E$2:E555)*(E555=E$2:E555)))))-COUNTBLANK(OFFSET(A$1,,,SUMPRODUCT(MAX(ROW(E$1:E554)*(E2=E$1:E554))))))</f>
        <v/>
      </c>
      <c r="K555" s="24" t="str">
        <f aca="false">IF(OR(E555="",E555="!!!",F555="NEW"),"",INDEX(J$1:J554,SUMPRODUCT(MAX(ROW(E$1:E554)*(E555=E$1:E554)))))</f>
        <v/>
      </c>
      <c r="L555" s="21"/>
    </row>
    <row r="556" customFormat="false" ht="15" hidden="false" customHeight="false" outlineLevel="0" collapsed="false">
      <c r="A556" s="20" t="s">
        <v>518</v>
      </c>
      <c r="B556" s="22" t="s">
        <v>1107</v>
      </c>
      <c r="C556" s="22" t="s">
        <v>1087</v>
      </c>
      <c r="E556" s="23"/>
      <c r="F556" s="25"/>
      <c r="G556" s="26"/>
      <c r="H556" s="27"/>
      <c r="I556" s="24" t="str">
        <f aca="false">IF(OR(E556="",E556="!!!",F556="NEW"),"",INDEX(B16:B$541,-1+SUMPRODUCT(MAX(ROW(E16:E$541)*(E556=E16:E$541)))))</f>
        <v/>
      </c>
      <c r="J556" s="24" t="str">
        <f aca="true">IF(OR(E556="",E556="!!!",F556="NEW"),"",COUNTBLANK(OFFSET(A$1,,,SUMPRODUCT(MAX(ROW(E$2:E556)*(E556=E$2:E556)))))-COUNTBLANK(OFFSET(A$1,,,SUMPRODUCT(MAX(ROW(E$1:E555)*(E2=E$1:E555))))))</f>
        <v/>
      </c>
      <c r="K556" s="24" t="str">
        <f aca="false">IF(OR(E556="",E556="!!!",F556="NEW"),"",INDEX(J$1:J555,SUMPRODUCT(MAX(ROW(E$1:E555)*(E556=E$1:E555)))))</f>
        <v/>
      </c>
      <c r="L556" s="21"/>
    </row>
    <row r="557" customFormat="false" ht="15" hidden="false" customHeight="false" outlineLevel="0" collapsed="false">
      <c r="A557" s="20" t="s">
        <v>923</v>
      </c>
      <c r="E557" s="23"/>
      <c r="F557" s="25"/>
      <c r="G557" s="26"/>
      <c r="H557" s="27"/>
      <c r="I557" s="24" t="str">
        <f aca="false">IF(OR(E557="",E557="!!!",F557="NEW"),"",INDEX(B17:B$541,-1+SUMPRODUCT(MAX(ROW(E17:E$541)*(E557=E17:E$541)))))</f>
        <v/>
      </c>
      <c r="J557" s="24" t="str">
        <f aca="true">IF(OR(E557="",E557="!!!",F557="NEW"),"",COUNTBLANK(OFFSET(A$1,,,SUMPRODUCT(MAX(ROW(E$2:E557)*(E557=E$2:E557)))))-COUNTBLANK(OFFSET(A$1,,,SUMPRODUCT(MAX(ROW(E$1:E556)*(E2=E$1:E556))))))</f>
        <v/>
      </c>
      <c r="K557" s="24" t="str">
        <f aca="false">IF(OR(E557="",E557="!!!",F557="NEW"),"",INDEX(J$1:J556,SUMPRODUCT(MAX(ROW(E$1:E556)*(E557=E$1:E556)))))</f>
        <v/>
      </c>
      <c r="L557" s="21"/>
    </row>
    <row r="558" customFormat="false" ht="15" hidden="false" customHeight="false" outlineLevel="0" collapsed="false">
      <c r="A558" s="20" t="s">
        <v>607</v>
      </c>
      <c r="E558" s="23"/>
      <c r="F558" s="25"/>
      <c r="G558" s="26"/>
      <c r="H558" s="27"/>
      <c r="I558" s="24" t="str">
        <f aca="false">IF(OR(E558="",E558="!!!",F558="NEW"),"",INDEX(B18:B$541,-1+SUMPRODUCT(MAX(ROW(E18:E$541)*(E558=E18:E$541)))))</f>
        <v/>
      </c>
      <c r="J558" s="24" t="str">
        <f aca="true">IF(OR(E558="",E558="!!!",F558="NEW"),"",COUNTBLANK(OFFSET(A$1,,,SUMPRODUCT(MAX(ROW(E$2:E558)*(E558=E$2:E558)))))-COUNTBLANK(OFFSET(A$1,,,SUMPRODUCT(MAX(ROW(E$1:E557)*(E2=E$1:E557))))))</f>
        <v/>
      </c>
      <c r="K558" s="24" t="str">
        <f aca="false">IF(OR(E558="",E558="!!!",F558="NEW"),"",INDEX(J$1:J557,SUMPRODUCT(MAX(ROW(E$1:E557)*(E558=E$1:E557)))))</f>
        <v/>
      </c>
      <c r="L558" s="21"/>
    </row>
    <row r="559" customFormat="false" ht="15" hidden="false" customHeight="false" outlineLevel="0" collapsed="false">
      <c r="A559" s="20"/>
      <c r="L559" s="21"/>
    </row>
    <row r="560" customFormat="false" ht="15" hidden="false" customHeight="false" outlineLevel="0" collapsed="false">
      <c r="A560" s="20" t="s">
        <v>1378</v>
      </c>
      <c r="L560" s="21"/>
    </row>
    <row r="561" customFormat="false" ht="15" hidden="false" customHeight="false" outlineLevel="0" collapsed="false">
      <c r="A561" s="20" t="s">
        <v>1277</v>
      </c>
      <c r="B561" s="22" t="s">
        <v>1058</v>
      </c>
      <c r="C561" s="22" t="s">
        <v>1082</v>
      </c>
      <c r="D561" s="22" t="s">
        <v>1060</v>
      </c>
      <c r="E561" s="23" t="s">
        <v>1371</v>
      </c>
      <c r="F561" s="23" t="s">
        <v>1083</v>
      </c>
      <c r="G561" s="23" t="s">
        <v>1120</v>
      </c>
      <c r="H561" s="23"/>
      <c r="I561" s="24" t="str">
        <f aca="false">IF(OR(E561="",E561="!!!",F561="NEW"),"",INDEX(B2:B$560,-1+SUMPRODUCT(MAX(ROW(E2:E$560)*(E561=E2:E$560)))))</f>
        <v>other_3</v>
      </c>
      <c r="J561" s="24" t="n">
        <f aca="true">IF(OR(E561="",E561="!!!",F561="NEW"),"",COUNTBLANK(OFFSET(A$1,,,SUMPRODUCT(MAX(ROW(E$2:E561)*(E561=E$2:E561)))))-COUNTBLANK(OFFSET(A$1,,,SUMPRODUCT(MAX(ROW(E$1:E560)*(E2=E$1:E560))))))</f>
        <v>0</v>
      </c>
      <c r="K561" s="24" t="n">
        <f aca="false">IF(OR(E561="",E561="!!!",F561="NEW"),"",INDEX(J$1:J560,SUMPRODUCT(MAX(ROW(E$1:E560)*(E561=E$1:E560)))))</f>
        <v>0</v>
      </c>
      <c r="L561" s="21"/>
    </row>
    <row r="562" customFormat="false" ht="15" hidden="false" customHeight="false" outlineLevel="0" collapsed="false">
      <c r="A562" s="20" t="s">
        <v>1379</v>
      </c>
      <c r="E562" s="23"/>
      <c r="F562" s="25"/>
      <c r="G562" s="26"/>
      <c r="H562" s="27"/>
      <c r="I562" s="24" t="str">
        <f aca="false">IF(OR(E562="",E562="!!!",F562="NEW"),"",INDEX(B3:B$560,-1+SUMPRODUCT(MAX(ROW(E3:E$560)*(E562=E3:E$560)))))</f>
        <v/>
      </c>
      <c r="J562" s="24" t="str">
        <f aca="true">IF(OR(E562="",E562="!!!",F562="NEW"),"",COUNTBLANK(OFFSET(A$1,,,SUMPRODUCT(MAX(ROW(E$2:E562)*(E562=E$2:E562)))))-COUNTBLANK(OFFSET(A$1,,,SUMPRODUCT(MAX(ROW(E$1:E561)*(E2=E$1:E561))))))</f>
        <v/>
      </c>
      <c r="K562" s="24" t="str">
        <f aca="false">IF(OR(E562="",E562="!!!",F562="NEW"),"",INDEX(J$1:J561,SUMPRODUCT(MAX(ROW(E$1:E561)*(E562=E$1:E561)))))</f>
        <v/>
      </c>
      <c r="L562" s="21"/>
    </row>
    <row r="563" customFormat="false" ht="15" hidden="false" customHeight="false" outlineLevel="0" collapsed="false">
      <c r="A563" s="20" t="s">
        <v>1380</v>
      </c>
      <c r="E563" s="23"/>
      <c r="F563" s="25"/>
      <c r="G563" s="26"/>
      <c r="H563" s="27"/>
      <c r="I563" s="24" t="str">
        <f aca="false">IF(OR(E563="",E563="!!!",F563="NEW"),"",INDEX(B4:B$560,-1+SUMPRODUCT(MAX(ROW(E4:E$560)*(E563=E4:E$560)))))</f>
        <v/>
      </c>
      <c r="J563" s="24" t="str">
        <f aca="true">IF(OR(E563="",E563="!!!",F563="NEW"),"",COUNTBLANK(OFFSET(A$1,,,SUMPRODUCT(MAX(ROW(E$2:E563)*(E563=E$2:E563)))))-COUNTBLANK(OFFSET(A$1,,,SUMPRODUCT(MAX(ROW(E$1:E562)*(E2=E$1:E562))))))</f>
        <v/>
      </c>
      <c r="K563" s="24" t="str">
        <f aca="false">IF(OR(E563="",E563="!!!",F563="NEW"),"",INDEX(J$1:J562,SUMPRODUCT(MAX(ROW(E$1:E562)*(E563=E$1:E562)))))</f>
        <v/>
      </c>
      <c r="L563" s="21"/>
    </row>
    <row r="564" customFormat="false" ht="15" hidden="false" customHeight="false" outlineLevel="0" collapsed="false">
      <c r="A564" s="20" t="s">
        <v>1381</v>
      </c>
      <c r="E564" s="23"/>
      <c r="F564" s="25"/>
      <c r="G564" s="26"/>
      <c r="H564" s="27"/>
      <c r="I564" s="24" t="str">
        <f aca="false">IF(OR(E564="",E564="!!!",F564="NEW"),"",INDEX(B5:B$560,-1+SUMPRODUCT(MAX(ROW(E5:E$560)*(E564=E5:E$560)))))</f>
        <v/>
      </c>
      <c r="J564" s="24" t="str">
        <f aca="true">IF(OR(E564="",E564="!!!",F564="NEW"),"",COUNTBLANK(OFFSET(A$1,,,SUMPRODUCT(MAX(ROW(E$2:E564)*(E564=E$2:E564)))))-COUNTBLANK(OFFSET(A$1,,,SUMPRODUCT(MAX(ROW(E$1:E563)*(E2=E$1:E563))))))</f>
        <v/>
      </c>
      <c r="K564" s="24" t="str">
        <f aca="false">IF(OR(E564="",E564="!!!",F564="NEW"),"",INDEX(J$1:J563,SUMPRODUCT(MAX(ROW(E$1:E563)*(E564=E$1:E563)))))</f>
        <v/>
      </c>
      <c r="L564" s="21"/>
    </row>
    <row r="565" customFormat="false" ht="15" hidden="false" customHeight="false" outlineLevel="0" collapsed="false">
      <c r="A565" s="20" t="s">
        <v>1109</v>
      </c>
      <c r="E565" s="23"/>
      <c r="F565" s="25"/>
      <c r="G565" s="26"/>
      <c r="H565" s="27"/>
      <c r="I565" s="24" t="str">
        <f aca="false">IF(OR(E565="",E565="!!!",F565="NEW"),"",INDEX(B6:B$560,-1+SUMPRODUCT(MAX(ROW(E6:E$560)*(E565=E6:E$560)))))</f>
        <v/>
      </c>
      <c r="J565" s="24" t="str">
        <f aca="true">IF(OR(E565="",E565="!!!",F565="NEW"),"",COUNTBLANK(OFFSET(A$1,,,SUMPRODUCT(MAX(ROW(E$2:E565)*(E565=E$2:E565)))))-COUNTBLANK(OFFSET(A$1,,,SUMPRODUCT(MAX(ROW(E$1:E564)*(E2=E$1:E564))))))</f>
        <v/>
      </c>
      <c r="K565" s="24" t="str">
        <f aca="false">IF(OR(E565="",E565="!!!",F565="NEW"),"",INDEX(J$1:J564,SUMPRODUCT(MAX(ROW(E$1:E564)*(E565=E$1:E564)))))</f>
        <v/>
      </c>
      <c r="L565" s="21"/>
    </row>
    <row r="566" customFormat="false" ht="15" hidden="false" customHeight="false" outlineLevel="0" collapsed="false">
      <c r="A566" s="20" t="s">
        <v>1382</v>
      </c>
      <c r="B566" s="22" t="s">
        <v>1105</v>
      </c>
      <c r="C566" s="22" t="s">
        <v>1150</v>
      </c>
      <c r="D566" s="22" t="s">
        <v>1060</v>
      </c>
      <c r="E566" s="23" t="s">
        <v>1285</v>
      </c>
      <c r="F566" s="23" t="s">
        <v>1083</v>
      </c>
      <c r="G566" s="23" t="s">
        <v>1070</v>
      </c>
      <c r="H566" s="23"/>
      <c r="I566" s="24" t="str">
        <f aca="false">IF(OR(E566="",E566="!!!",F566="NEW"),"",INDEX(B7:B$560,-1+SUMPRODUCT(MAX(ROW(E7:E$560)*(E566=E7:E$560)))))</f>
        <v>SBJ</v>
      </c>
      <c r="J566" s="24" t="n">
        <f aca="true">IF(OR(E566="",E566="!!!",F566="NEW"),"",COUNTBLANK(OFFSET(A$1,,,SUMPRODUCT(MAX(ROW(E$2:E566)*(E566=E$2:E566)))))-COUNTBLANK(OFFSET(A$1,,,SUMPRODUCT(MAX(ROW(E$1:E565)*(E2=E$1:E565))))))</f>
        <v>0</v>
      </c>
      <c r="K566" s="24" t="str">
        <f aca="false">IF(OR(E566="",E566="!!!",F566="NEW"),"",INDEX(J$1:J565,SUMPRODUCT(MAX(ROW(E$1:E565)*(E566=E$1:E565)))))</f>
        <v/>
      </c>
      <c r="L566" s="21"/>
    </row>
    <row r="567" customFormat="false" ht="15" hidden="false" customHeight="false" outlineLevel="0" collapsed="false">
      <c r="A567" s="20" t="s">
        <v>1157</v>
      </c>
      <c r="E567" s="23"/>
      <c r="F567" s="25"/>
      <c r="G567" s="26"/>
      <c r="H567" s="27"/>
      <c r="I567" s="24" t="str">
        <f aca="false">IF(OR(E567="",E567="!!!",F567="NEW"),"",INDEX(B8:B$560,-1+SUMPRODUCT(MAX(ROW(E8:E$560)*(E567=E8:E$560)))))</f>
        <v/>
      </c>
      <c r="J567" s="24" t="str">
        <f aca="true">IF(OR(E567="",E567="!!!",F567="NEW"),"",COUNTBLANK(OFFSET(A$1,,,SUMPRODUCT(MAX(ROW(E$2:E567)*(E567=E$2:E567)))))-COUNTBLANK(OFFSET(A$1,,,SUMPRODUCT(MAX(ROW(E$1:E566)*(E2=E$1:E566))))))</f>
        <v/>
      </c>
      <c r="K567" s="24" t="str">
        <f aca="false">IF(OR(E567="",E567="!!!",F567="NEW"),"",INDEX(J$1:J566,SUMPRODUCT(MAX(ROW(E$1:E566)*(E567=E$1:E566)))))</f>
        <v/>
      </c>
      <c r="L567" s="21"/>
    </row>
    <row r="568" customFormat="false" ht="15" hidden="false" customHeight="false" outlineLevel="0" collapsed="false">
      <c r="A568" s="20" t="s">
        <v>1383</v>
      </c>
      <c r="E568" s="23"/>
      <c r="F568" s="25"/>
      <c r="G568" s="26"/>
      <c r="H568" s="27"/>
      <c r="I568" s="24" t="str">
        <f aca="false">IF(OR(E568="",E568="!!!",F568="NEW"),"",INDEX(B9:B$560,-1+SUMPRODUCT(MAX(ROW(E9:E$560)*(E568=E9:E$560)))))</f>
        <v/>
      </c>
      <c r="J568" s="24" t="str">
        <f aca="true">IF(OR(E568="",E568="!!!",F568="NEW"),"",COUNTBLANK(OFFSET(A$1,,,SUMPRODUCT(MAX(ROW(E$2:E568)*(E568=E$2:E568)))))-COUNTBLANK(OFFSET(A$1,,,SUMPRODUCT(MAX(ROW(E$1:E567)*(E2=E$1:E567))))))</f>
        <v/>
      </c>
      <c r="K568" s="24" t="str">
        <f aca="false">IF(OR(E568="",E568="!!!",F568="NEW"),"",INDEX(J$1:J567,SUMPRODUCT(MAX(ROW(E$1:E567)*(E568=E$1:E567)))))</f>
        <v/>
      </c>
      <c r="L568" s="21"/>
    </row>
    <row r="569" customFormat="false" ht="15" hidden="false" customHeight="false" outlineLevel="0" collapsed="false">
      <c r="A569" s="20" t="s">
        <v>1186</v>
      </c>
      <c r="B569" s="22" t="s">
        <v>1086</v>
      </c>
      <c r="C569" s="22" t="s">
        <v>1082</v>
      </c>
      <c r="D569" s="22" t="s">
        <v>1060</v>
      </c>
      <c r="E569" s="23" t="s">
        <v>1371</v>
      </c>
      <c r="F569" s="23" t="s">
        <v>1083</v>
      </c>
      <c r="G569" s="23" t="s">
        <v>1084</v>
      </c>
      <c r="H569" s="23"/>
      <c r="I569" s="24" t="n">
        <f aca="false">IF(OR(E569="",E569="!!!",F569="NEW"),"",INDEX(B10:B$560,-1+SUMPRODUCT(MAX(ROW(E10:E$560)*(E569=E10:E$560)))))</f>
        <v>0</v>
      </c>
      <c r="J569" s="24" t="n">
        <f aca="true">IF(OR(E569="",E569="!!!",F569="NEW"),"",COUNTBLANK(OFFSET(A$1,,,SUMPRODUCT(MAX(ROW(E$2:E569)*(E569=E$2:E569)))))-COUNTBLANK(OFFSET(A$1,,,SUMPRODUCT(MAX(ROW(E$1:E568)*(E2=E$1:E568))))))</f>
        <v>0</v>
      </c>
      <c r="K569" s="24" t="n">
        <f aca="false">IF(OR(E569="",E569="!!!",F569="NEW"),"",INDEX(J$1:J568,SUMPRODUCT(MAX(ROW(E$1:E568)*(E569=E$1:E568)))))</f>
        <v>0</v>
      </c>
      <c r="L569" s="21"/>
    </row>
    <row r="570" customFormat="false" ht="15" hidden="false" customHeight="false" outlineLevel="0" collapsed="false">
      <c r="A570" s="20" t="s">
        <v>1135</v>
      </c>
      <c r="E570" s="23"/>
      <c r="F570" s="25"/>
      <c r="G570" s="26"/>
      <c r="H570" s="27"/>
      <c r="I570" s="24" t="str">
        <f aca="false">IF(OR(E570="",E570="!!!",F570="NEW"),"",INDEX(B11:B$560,-1+SUMPRODUCT(MAX(ROW(E11:E$560)*(E570=E11:E$560)))))</f>
        <v/>
      </c>
      <c r="J570" s="24" t="str">
        <f aca="true">IF(OR(E570="",E570="!!!",F570="NEW"),"",COUNTBLANK(OFFSET(A$1,,,SUMPRODUCT(MAX(ROW(E$2:E570)*(E570=E$2:E570)))))-COUNTBLANK(OFFSET(A$1,,,SUMPRODUCT(MAX(ROW(E$1:E569)*(E2=E$1:E569))))))</f>
        <v/>
      </c>
      <c r="K570" s="24" t="str">
        <f aca="false">IF(OR(E570="",E570="!!!",F570="NEW"),"",INDEX(J$1:J569,SUMPRODUCT(MAX(ROW(E$1:E569)*(E570=E$1:E569)))))</f>
        <v/>
      </c>
      <c r="L570" s="21"/>
    </row>
    <row r="571" customFormat="false" ht="15" hidden="false" customHeight="false" outlineLevel="0" collapsed="false">
      <c r="A571" s="20" t="s">
        <v>1384</v>
      </c>
      <c r="E571" s="23"/>
      <c r="F571" s="25"/>
      <c r="G571" s="26"/>
      <c r="H571" s="27"/>
      <c r="I571" s="24" t="str">
        <f aca="false">IF(OR(E571="",E571="!!!",F571="NEW"),"",INDEX(B12:B$560,-1+SUMPRODUCT(MAX(ROW(E12:E$560)*(E571=E12:E$560)))))</f>
        <v/>
      </c>
      <c r="J571" s="24" t="str">
        <f aca="true">IF(OR(E571="",E571="!!!",F571="NEW"),"",COUNTBLANK(OFFSET(A$1,,,SUMPRODUCT(MAX(ROW(E$2:E571)*(E571=E$2:E571)))))-COUNTBLANK(OFFSET(A$1,,,SUMPRODUCT(MAX(ROW(E$1:E570)*(E2=E$1:E570))))))</f>
        <v/>
      </c>
      <c r="K571" s="24" t="str">
        <f aca="false">IF(OR(E571="",E571="!!!",F571="NEW"),"",INDEX(J$1:J570,SUMPRODUCT(MAX(ROW(E$1:E570)*(E571=E$1:E570)))))</f>
        <v/>
      </c>
      <c r="L571" s="21"/>
    </row>
    <row r="572" customFormat="false" ht="15" hidden="false" customHeight="false" outlineLevel="0" collapsed="false">
      <c r="A572" s="20" t="s">
        <v>1154</v>
      </c>
      <c r="E572" s="23"/>
      <c r="F572" s="25"/>
      <c r="G572" s="26"/>
      <c r="H572" s="27"/>
      <c r="I572" s="24" t="str">
        <f aca="false">IF(OR(E572="",E572="!!!",F572="NEW"),"",INDEX(B13:B$560,-1+SUMPRODUCT(MAX(ROW(E13:E$560)*(E572=E13:E$560)))))</f>
        <v/>
      </c>
      <c r="J572" s="24" t="str">
        <f aca="true">IF(OR(E572="",E572="!!!",F572="NEW"),"",COUNTBLANK(OFFSET(A$1,,,SUMPRODUCT(MAX(ROW(E$2:E572)*(E572=E$2:E572)))))-COUNTBLANK(OFFSET(A$1,,,SUMPRODUCT(MAX(ROW(E$1:E571)*(E2=E$1:E571))))))</f>
        <v/>
      </c>
      <c r="K572" s="24" t="str">
        <f aca="false">IF(OR(E572="",E572="!!!",F572="NEW"),"",INDEX(J$1:J571,SUMPRODUCT(MAX(ROW(E$1:E571)*(E572=E$1:E571)))))</f>
        <v/>
      </c>
      <c r="L572" s="21"/>
    </row>
    <row r="573" customFormat="false" ht="15" hidden="false" customHeight="false" outlineLevel="0" collapsed="false">
      <c r="A573" s="20" t="s">
        <v>1109</v>
      </c>
      <c r="E573" s="23"/>
      <c r="F573" s="25"/>
      <c r="G573" s="26"/>
      <c r="H573" s="27"/>
      <c r="I573" s="24" t="str">
        <f aca="false">IF(OR(E573="",E573="!!!",F573="NEW"),"",INDEX(B14:B$560,-1+SUMPRODUCT(MAX(ROW(E14:E$560)*(E573=E14:E$560)))))</f>
        <v/>
      </c>
      <c r="J573" s="24" t="str">
        <f aca="true">IF(OR(E573="",E573="!!!",F573="NEW"),"",COUNTBLANK(OFFSET(A$1,,,SUMPRODUCT(MAX(ROW(E$2:E573)*(E573=E$2:E573)))))-COUNTBLANK(OFFSET(A$1,,,SUMPRODUCT(MAX(ROW(E$1:E572)*(E2=E$1:E572))))))</f>
        <v/>
      </c>
      <c r="K573" s="24" t="str">
        <f aca="false">IF(OR(E573="",E573="!!!",F573="NEW"),"",INDEX(J$1:J572,SUMPRODUCT(MAX(ROW(E$1:E572)*(E573=E$1:E572)))))</f>
        <v/>
      </c>
      <c r="L573" s="21"/>
    </row>
    <row r="574" customFormat="false" ht="15" hidden="false" customHeight="false" outlineLevel="0" collapsed="false">
      <c r="A574" s="20" t="s">
        <v>1269</v>
      </c>
      <c r="B574" s="22" t="s">
        <v>1073</v>
      </c>
      <c r="C574" s="22" t="s">
        <v>1150</v>
      </c>
      <c r="D574" s="22" t="s">
        <v>1060</v>
      </c>
      <c r="E574" s="23" t="s">
        <v>1300</v>
      </c>
      <c r="F574" s="23" t="s">
        <v>1083</v>
      </c>
      <c r="G574" s="23" t="s">
        <v>1120</v>
      </c>
      <c r="H574" s="23"/>
      <c r="I574" s="24" t="n">
        <f aca="false">IF(OR(E574="",E574="!!!",F574="NEW"),"",INDEX(B15:B$560,-1+SUMPRODUCT(MAX(ROW(E15:E$560)*(E574=E15:E$560)))))</f>
        <v>0</v>
      </c>
      <c r="J574" s="24" t="n">
        <f aca="true">IF(OR(E574="",E574="!!!",F574="NEW"),"",COUNTBLANK(OFFSET(A$1,,,SUMPRODUCT(MAX(ROW(E$2:E574)*(E574=E$2:E574)))))-COUNTBLANK(OFFSET(A$1,,,SUMPRODUCT(MAX(ROW(E$1:E573)*(E2=E$1:E573))))))</f>
        <v>0</v>
      </c>
      <c r="K574" s="24" t="n">
        <f aca="false">IF(OR(E574="",E574="!!!",F574="NEW"),"",INDEX(J$1:J573,SUMPRODUCT(MAX(ROW(E$1:E573)*(E574=E$1:E573)))))</f>
        <v>0</v>
      </c>
      <c r="L574" s="21"/>
    </row>
    <row r="575" customFormat="false" ht="15" hidden="false" customHeight="false" outlineLevel="0" collapsed="false">
      <c r="A575" s="20" t="s">
        <v>1076</v>
      </c>
      <c r="E575" s="23"/>
      <c r="F575" s="25"/>
      <c r="G575" s="26"/>
      <c r="H575" s="27"/>
      <c r="I575" s="24" t="str">
        <f aca="false">IF(OR(E575="",E575="!!!",F575="NEW"),"",INDEX(B16:B$560,-1+SUMPRODUCT(MAX(ROW(E16:E$560)*(E575=E16:E$560)))))</f>
        <v/>
      </c>
      <c r="J575" s="24" t="str">
        <f aca="true">IF(OR(E575="",E575="!!!",F575="NEW"),"",COUNTBLANK(OFFSET(A$1,,,SUMPRODUCT(MAX(ROW(E$2:E575)*(E575=E$2:E575)))))-COUNTBLANK(OFFSET(A$1,,,SUMPRODUCT(MAX(ROW(E$1:E574)*(E2=E$1:E574))))))</f>
        <v/>
      </c>
      <c r="K575" s="24" t="str">
        <f aca="false">IF(OR(E575="",E575="!!!",F575="NEW"),"",INDEX(J$1:J574,SUMPRODUCT(MAX(ROW(E$1:E574)*(E575=E$1:E574)))))</f>
        <v/>
      </c>
      <c r="L575" s="21"/>
    </row>
    <row r="576" customFormat="false" ht="15" hidden="false" customHeight="false" outlineLevel="0" collapsed="false">
      <c r="A576" s="20" t="s">
        <v>1168</v>
      </c>
      <c r="E576" s="23"/>
      <c r="F576" s="25"/>
      <c r="G576" s="26"/>
      <c r="H576" s="27"/>
      <c r="I576" s="24" t="str">
        <f aca="false">IF(OR(E576="",E576="!!!",F576="NEW"),"",INDEX(B17:B$560,-1+SUMPRODUCT(MAX(ROW(E17:E$560)*(E576=E17:E$560)))))</f>
        <v/>
      </c>
      <c r="J576" s="24" t="str">
        <f aca="true">IF(OR(E576="",E576="!!!",F576="NEW"),"",COUNTBLANK(OFFSET(A$1,,,SUMPRODUCT(MAX(ROW(E$2:E576)*(E576=E$2:E576)))))-COUNTBLANK(OFFSET(A$1,,,SUMPRODUCT(MAX(ROW(E$1:E575)*(E2=E$1:E575))))))</f>
        <v/>
      </c>
      <c r="K576" s="24" t="str">
        <f aca="false">IF(OR(E576="",E576="!!!",F576="NEW"),"",INDEX(J$1:J575,SUMPRODUCT(MAX(ROW(E$1:E575)*(E576=E$1:E575)))))</f>
        <v/>
      </c>
      <c r="L576" s="21"/>
    </row>
    <row r="577" customFormat="false" ht="15" hidden="false" customHeight="false" outlineLevel="0" collapsed="false">
      <c r="A577" s="20" t="s">
        <v>1066</v>
      </c>
      <c r="B577" s="22" t="s">
        <v>1086</v>
      </c>
      <c r="C577" s="22" t="s">
        <v>1068</v>
      </c>
      <c r="D577" s="22" t="s">
        <v>1060</v>
      </c>
      <c r="E577" s="23" t="s">
        <v>1069</v>
      </c>
      <c r="F577" s="23" t="s">
        <v>1083</v>
      </c>
      <c r="G577" s="23" t="s">
        <v>1084</v>
      </c>
      <c r="H577" s="23"/>
      <c r="I577" s="24" t="str">
        <f aca="false">IF(OR(E577="",E577="!!!",F577="NEW"),"",INDEX(B18:B$560,-1+SUMPRODUCT(MAX(ROW(E18:E$560)*(E577=E18:E$560)))))</f>
        <v>SBJ</v>
      </c>
      <c r="J577" s="24" t="n">
        <f aca="true">IF(OR(E577="",E577="!!!",F577="NEW"),"",COUNTBLANK(OFFSET(A$1,,,SUMPRODUCT(MAX(ROW(E$2:E577)*(E577=E$2:E577)))))-COUNTBLANK(OFFSET(A$1,,,SUMPRODUCT(MAX(ROW(E$1:E576)*(E2=E$1:E576))))))</f>
        <v>0</v>
      </c>
      <c r="K577" s="24" t="n">
        <f aca="false">IF(OR(E577="",E577="!!!",F577="NEW"),"",INDEX(J$1:J576,SUMPRODUCT(MAX(ROW(E$1:E576)*(E577=E$1:E576)))))</f>
        <v>0</v>
      </c>
      <c r="L577" s="21"/>
    </row>
    <row r="578" customFormat="false" ht="15" hidden="false" customHeight="false" outlineLevel="0" collapsed="false">
      <c r="A578" s="20" t="s">
        <v>1385</v>
      </c>
      <c r="E578" s="23"/>
      <c r="F578" s="25"/>
      <c r="G578" s="26"/>
      <c r="H578" s="27"/>
      <c r="I578" s="24" t="str">
        <f aca="false">IF(OR(E578="",E578="!!!",F578="NEW"),"",INDEX(B19:B$560,-1+SUMPRODUCT(MAX(ROW(E19:E$560)*(E578=E19:E$560)))))</f>
        <v/>
      </c>
      <c r="J578" s="24" t="str">
        <f aca="true">IF(OR(E578="",E578="!!!",F578="NEW"),"",COUNTBLANK(OFFSET(A$1,,,SUMPRODUCT(MAX(ROW(E$2:E578)*(E578=E$2:E578)))))-COUNTBLANK(OFFSET(A$1,,,SUMPRODUCT(MAX(ROW(E$1:E577)*(E2=E$1:E577))))))</f>
        <v/>
      </c>
      <c r="K578" s="24" t="str">
        <f aca="false">IF(OR(E578="",E578="!!!",F578="NEW"),"",INDEX(J$1:J577,SUMPRODUCT(MAX(ROW(E$1:E577)*(E578=E$1:E577)))))</f>
        <v/>
      </c>
      <c r="L578" s="21"/>
    </row>
    <row r="579" customFormat="false" ht="15" hidden="false" customHeight="false" outlineLevel="0" collapsed="false">
      <c r="A579" s="20" t="s">
        <v>1179</v>
      </c>
      <c r="B579" s="22" t="s">
        <v>1142</v>
      </c>
      <c r="C579" s="22" t="s">
        <v>1082</v>
      </c>
      <c r="D579" s="22" t="s">
        <v>1060</v>
      </c>
      <c r="E579" s="23" t="s">
        <v>1371</v>
      </c>
      <c r="F579" s="23" t="s">
        <v>1083</v>
      </c>
      <c r="G579" s="23" t="s">
        <v>1084</v>
      </c>
      <c r="H579" s="23"/>
      <c r="I579" s="24" t="n">
        <f aca="false">IF(OR(E579="",E579="!!!",F579="NEW"),"",INDEX(B20:B$560,-1+SUMPRODUCT(MAX(ROW(E20:E$560)*(E579=E20:E$560)))))</f>
        <v>0</v>
      </c>
      <c r="J579" s="24" t="n">
        <f aca="true">IF(OR(E579="",E579="!!!",F579="NEW"),"",COUNTBLANK(OFFSET(A$1,,,SUMPRODUCT(MAX(ROW(E$2:E579)*(E579=E$2:E579)))))-COUNTBLANK(OFFSET(A$1,,,SUMPRODUCT(MAX(ROW(E$1:E578)*(E2=E$1:E578))))))</f>
        <v>0</v>
      </c>
      <c r="K579" s="24" t="n">
        <f aca="false">IF(OR(E579="",E579="!!!",F579="NEW"),"",INDEX(J$1:J578,SUMPRODUCT(MAX(ROW(E$1:E578)*(E579=E$1:E578)))))</f>
        <v>0</v>
      </c>
      <c r="L579" s="21"/>
    </row>
    <row r="580" customFormat="false" ht="15" hidden="false" customHeight="false" outlineLevel="0" collapsed="false">
      <c r="A580" s="20" t="s">
        <v>1215</v>
      </c>
      <c r="E580" s="23"/>
      <c r="F580" s="25"/>
      <c r="G580" s="26"/>
      <c r="H580" s="27"/>
      <c r="I580" s="24" t="str">
        <f aca="false">IF(OR(E580="",E580="!!!",F580="NEW"),"",INDEX(B21:B$560,-1+SUMPRODUCT(MAX(ROW(E21:E$560)*(E580=E21:E$560)))))</f>
        <v/>
      </c>
      <c r="J580" s="24" t="str">
        <f aca="true">IF(OR(E580="",E580="!!!",F580="NEW"),"",COUNTBLANK(OFFSET(A$1,,,SUMPRODUCT(MAX(ROW(E$2:E580)*(E580=E$2:E580)))))-COUNTBLANK(OFFSET(A$1,,,SUMPRODUCT(MAX(ROW(E$1:E579)*(E2=E$1:E579))))))</f>
        <v/>
      </c>
      <c r="K580" s="24" t="str">
        <f aca="false">IF(OR(E580="",E580="!!!",F580="NEW"),"",INDEX(J$1:J579,SUMPRODUCT(MAX(ROW(E$1:E579)*(E580=E$1:E579)))))</f>
        <v/>
      </c>
      <c r="L580" s="21"/>
    </row>
    <row r="581" customFormat="false" ht="15" hidden="false" customHeight="false" outlineLevel="0" collapsed="false">
      <c r="A581" s="20" t="s">
        <v>1186</v>
      </c>
      <c r="B581" s="22" t="s">
        <v>1091</v>
      </c>
      <c r="C581" s="22" t="s">
        <v>1082</v>
      </c>
      <c r="D581" s="22" t="s">
        <v>1060</v>
      </c>
      <c r="E581" s="23" t="s">
        <v>1371</v>
      </c>
      <c r="F581" s="23" t="s">
        <v>1083</v>
      </c>
      <c r="G581" s="23" t="s">
        <v>1084</v>
      </c>
      <c r="H581" s="23"/>
      <c r="I581" s="24" t="str">
        <f aca="false">IF(OR(E581="",E581="!!!",F581="NEW"),"",INDEX(B22:B$560,-1+SUMPRODUCT(MAX(ROW(E22:E$560)*(E581=E22:E$560)))))</f>
        <v>other_4</v>
      </c>
      <c r="J581" s="24" t="n">
        <f aca="true">IF(OR(E581="",E581="!!!",F581="NEW"),"",COUNTBLANK(OFFSET(A$1,,,SUMPRODUCT(MAX(ROW(E$2:E581)*(E581=E$2:E581)))))-COUNTBLANK(OFFSET(A$1,,,SUMPRODUCT(MAX(ROW(E$1:E580)*(E2=E$1:E580))))))</f>
        <v>0</v>
      </c>
      <c r="K581" s="24" t="n">
        <f aca="false">IF(OR(E581="",E581="!!!",F581="NEW"),"",INDEX(J$1:J580,SUMPRODUCT(MAX(ROW(E$1:E580)*(E581=E$1:E580)))))</f>
        <v>0</v>
      </c>
      <c r="L581" s="21"/>
    </row>
    <row r="582" customFormat="false" ht="15" hidden="false" customHeight="false" outlineLevel="0" collapsed="false">
      <c r="A582" s="20" t="s">
        <v>1135</v>
      </c>
      <c r="E582" s="23"/>
      <c r="F582" s="25"/>
      <c r="G582" s="26"/>
      <c r="H582" s="27"/>
      <c r="I582" s="24" t="str">
        <f aca="false">IF(OR(E582="",E582="!!!",F582="NEW"),"",INDEX(B23:B$560,-1+SUMPRODUCT(MAX(ROW(E23:E$560)*(E582=E23:E$560)))))</f>
        <v/>
      </c>
      <c r="J582" s="24" t="str">
        <f aca="true">IF(OR(E582="",E582="!!!",F582="NEW"),"",COUNTBLANK(OFFSET(A$1,,,SUMPRODUCT(MAX(ROW(E$2:E582)*(E582=E$2:E582)))))-COUNTBLANK(OFFSET(A$1,,,SUMPRODUCT(MAX(ROW(E$1:E581)*(E2=E$1:E581))))))</f>
        <v/>
      </c>
      <c r="K582" s="24" t="str">
        <f aca="false">IF(OR(E582="",E582="!!!",F582="NEW"),"",INDEX(J$1:J581,SUMPRODUCT(MAX(ROW(E$1:E581)*(E582=E$1:E581)))))</f>
        <v/>
      </c>
      <c r="L582" s="21"/>
    </row>
    <row r="583" customFormat="false" ht="15" hidden="false" customHeight="false" outlineLevel="0" collapsed="false">
      <c r="A583" s="20" t="s">
        <v>1188</v>
      </c>
      <c r="E583" s="23"/>
      <c r="F583" s="25"/>
      <c r="G583" s="26"/>
      <c r="H583" s="27"/>
      <c r="I583" s="24" t="str">
        <f aca="false">IF(OR(E583="",E583="!!!",F583="NEW"),"",INDEX(B24:B$560,-1+SUMPRODUCT(MAX(ROW(E24:E$560)*(E583=E24:E$560)))))</f>
        <v/>
      </c>
      <c r="J583" s="24" t="str">
        <f aca="true">IF(OR(E583="",E583="!!!",F583="NEW"),"",COUNTBLANK(OFFSET(A$1,,,SUMPRODUCT(MAX(ROW(E$2:E583)*(E583=E$2:E583)))))-COUNTBLANK(OFFSET(A$1,,,SUMPRODUCT(MAX(ROW(E$1:E582)*(E2=E$1:E582))))))</f>
        <v/>
      </c>
      <c r="K583" s="24" t="str">
        <f aca="false">IF(OR(E583="",E583="!!!",F583="NEW"),"",INDEX(J$1:J582,SUMPRODUCT(MAX(ROW(E$1:E582)*(E583=E$1:E582)))))</f>
        <v/>
      </c>
      <c r="L583" s="21"/>
    </row>
    <row r="584" customFormat="false" ht="15" hidden="false" customHeight="false" outlineLevel="0" collapsed="false">
      <c r="A584" s="20" t="s">
        <v>1386</v>
      </c>
      <c r="E584" s="23"/>
      <c r="F584" s="25"/>
      <c r="G584" s="26"/>
      <c r="H584" s="27"/>
      <c r="I584" s="24" t="str">
        <f aca="false">IF(OR(E584="",E584="!!!",F584="NEW"),"",INDEX(B25:B$560,-1+SUMPRODUCT(MAX(ROW(E25:E$560)*(E584=E25:E$560)))))</f>
        <v/>
      </c>
      <c r="J584" s="24" t="str">
        <f aca="true">IF(OR(E584="",E584="!!!",F584="NEW"),"",COUNTBLANK(OFFSET(A$1,,,SUMPRODUCT(MAX(ROW(E$2:E584)*(E584=E$2:E584)))))-COUNTBLANK(OFFSET(A$1,,,SUMPRODUCT(MAX(ROW(E$1:E583)*(E2=E$1:E583))))))</f>
        <v/>
      </c>
      <c r="K584" s="24" t="str">
        <f aca="false">IF(OR(E584="",E584="!!!",F584="NEW"),"",INDEX(J$1:J583,SUMPRODUCT(MAX(ROW(E$1:E583)*(E584=E$1:E583)))))</f>
        <v/>
      </c>
      <c r="L584" s="21"/>
    </row>
    <row r="585" customFormat="false" ht="15" hidden="false" customHeight="false" outlineLevel="0" collapsed="false">
      <c r="A585" s="20" t="s">
        <v>1387</v>
      </c>
      <c r="E585" s="23"/>
      <c r="F585" s="25"/>
      <c r="G585" s="26"/>
      <c r="H585" s="27"/>
      <c r="I585" s="24" t="str">
        <f aca="false">IF(OR(E585="",E585="!!!",F585="NEW"),"",INDEX(B26:B$560,-1+SUMPRODUCT(MAX(ROW(E26:E$560)*(E585=E26:E$560)))))</f>
        <v/>
      </c>
      <c r="J585" s="24" t="str">
        <f aca="true">IF(OR(E585="",E585="!!!",F585="NEW"),"",COUNTBLANK(OFFSET(A$1,,,SUMPRODUCT(MAX(ROW(E$2:E585)*(E585=E$2:E585)))))-COUNTBLANK(OFFSET(A$1,,,SUMPRODUCT(MAX(ROW(E$1:E584)*(E2=E$1:E584))))))</f>
        <v/>
      </c>
      <c r="K585" s="24" t="str">
        <f aca="false">IF(OR(E585="",E585="!!!",F585="NEW"),"",INDEX(J$1:J584,SUMPRODUCT(MAX(ROW(E$1:E584)*(E585=E$1:E584)))))</f>
        <v/>
      </c>
      <c r="L585" s="21"/>
    </row>
    <row r="586" customFormat="false" ht="15" hidden="false" customHeight="false" outlineLevel="0" collapsed="false">
      <c r="A586" s="20" t="s">
        <v>1388</v>
      </c>
      <c r="B586" s="22" t="s">
        <v>1073</v>
      </c>
      <c r="C586" s="22" t="s">
        <v>1389</v>
      </c>
      <c r="E586" s="23"/>
      <c r="F586" s="25"/>
      <c r="G586" s="26"/>
      <c r="H586" s="27"/>
      <c r="I586" s="24" t="str">
        <f aca="false">IF(OR(E586="",E586="!!!",F586="NEW"),"",INDEX(B27:B$560,-1+SUMPRODUCT(MAX(ROW(E27:E$560)*(E586=E27:E$560)))))</f>
        <v/>
      </c>
      <c r="J586" s="24" t="str">
        <f aca="true">IF(OR(E586="",E586="!!!",F586="NEW"),"",COUNTBLANK(OFFSET(A$1,,,SUMPRODUCT(MAX(ROW(E$2:E586)*(E586=E$2:E586)))))-COUNTBLANK(OFFSET(A$1,,,SUMPRODUCT(MAX(ROW(E$1:E585)*(E2=E$1:E585))))))</f>
        <v/>
      </c>
      <c r="K586" s="24" t="str">
        <f aca="false">IF(OR(E586="",E586="!!!",F586="NEW"),"",INDEX(J$1:J585,SUMPRODUCT(MAX(ROW(E$1:E585)*(E586=E$1:E585)))))</f>
        <v/>
      </c>
      <c r="L586" s="21"/>
    </row>
    <row r="587" customFormat="false" ht="15" hidden="false" customHeight="false" outlineLevel="0" collapsed="false">
      <c r="A587" s="20" t="s">
        <v>1119</v>
      </c>
      <c r="E587" s="23"/>
      <c r="F587" s="25"/>
      <c r="G587" s="26"/>
      <c r="H587" s="27"/>
      <c r="I587" s="24" t="str">
        <f aca="false">IF(OR(E587="",E587="!!!",F587="NEW"),"",INDEX(B28:B$560,-1+SUMPRODUCT(MAX(ROW(E28:E$560)*(E587=E28:E$560)))))</f>
        <v/>
      </c>
      <c r="J587" s="24" t="str">
        <f aca="true">IF(OR(E587="",E587="!!!",F587="NEW"),"",COUNTBLANK(OFFSET(A$1,,,SUMPRODUCT(MAX(ROW(E$2:E587)*(E587=E$2:E587)))))-COUNTBLANK(OFFSET(A$1,,,SUMPRODUCT(MAX(ROW(E$1:E586)*(E2=E$1:E586))))))</f>
        <v/>
      </c>
      <c r="K587" s="24" t="str">
        <f aca="false">IF(OR(E587="",E587="!!!",F587="NEW"),"",INDEX(J$1:J586,SUMPRODUCT(MAX(ROW(E$1:E586)*(E587=E$1:E586)))))</f>
        <v/>
      </c>
      <c r="L587" s="21"/>
    </row>
    <row r="588" customFormat="false" ht="15" hidden="false" customHeight="false" outlineLevel="0" collapsed="false">
      <c r="A588" s="20" t="s">
        <v>1080</v>
      </c>
      <c r="B588" s="22" t="s">
        <v>1067</v>
      </c>
      <c r="C588" s="22" t="s">
        <v>1082</v>
      </c>
      <c r="D588" s="22" t="s">
        <v>1060</v>
      </c>
      <c r="E588" s="23" t="s">
        <v>1300</v>
      </c>
      <c r="F588" s="23" t="s">
        <v>1083</v>
      </c>
      <c r="G588" s="23" t="s">
        <v>1084</v>
      </c>
      <c r="H588" s="23"/>
      <c r="I588" s="24" t="n">
        <f aca="false">IF(OR(E588="",E588="!!!",F588="NEW"),"",INDEX(B29:B$560,-1+SUMPRODUCT(MAX(ROW(E29:E$560)*(E588=E29:E$560)))))</f>
        <v>0</v>
      </c>
      <c r="J588" s="24" t="n">
        <f aca="true">IF(OR(E588="",E588="!!!",F588="NEW"),"",COUNTBLANK(OFFSET(A$1,,,SUMPRODUCT(MAX(ROW(E$2:E588)*(E588=E$2:E588)))))-COUNTBLANK(OFFSET(A$1,,,SUMPRODUCT(MAX(ROW(E$1:E587)*(E2=E$1:E587))))))</f>
        <v>0</v>
      </c>
      <c r="K588" s="24" t="n">
        <f aca="false">IF(OR(E588="",E588="!!!",F588="NEW"),"",INDEX(J$1:J587,SUMPRODUCT(MAX(ROW(E$1:E587)*(E588=E$1:E587)))))</f>
        <v>0</v>
      </c>
      <c r="L588" s="21"/>
    </row>
    <row r="589" customFormat="false" ht="15" hidden="false" customHeight="false" outlineLevel="0" collapsed="false">
      <c r="A589" s="20" t="s">
        <v>923</v>
      </c>
      <c r="E589" s="23"/>
      <c r="F589" s="25"/>
      <c r="G589" s="26"/>
      <c r="H589" s="27"/>
      <c r="I589" s="24" t="str">
        <f aca="false">IF(OR(E589="",E589="!!!",F589="NEW"),"",INDEX(B30:B$560,-1+SUMPRODUCT(MAX(ROW(E30:E$560)*(E589=E30:E$560)))))</f>
        <v/>
      </c>
      <c r="J589" s="24" t="str">
        <f aca="true">IF(OR(E589="",E589="!!!",F589="NEW"),"",COUNTBLANK(OFFSET(A$1,,,SUMPRODUCT(MAX(ROW(E$2:E589)*(E589=E$2:E589)))))-COUNTBLANK(OFFSET(A$1,,,SUMPRODUCT(MAX(ROW(E$1:E588)*(E2=E$1:E588))))))</f>
        <v/>
      </c>
      <c r="K589" s="24" t="str">
        <f aca="false">IF(OR(E589="",E589="!!!",F589="NEW"),"",INDEX(J$1:J588,SUMPRODUCT(MAX(ROW(E$1:E588)*(E589=E$1:E588)))))</f>
        <v/>
      </c>
      <c r="L589" s="21"/>
    </row>
    <row r="590" customFormat="false" ht="15" hidden="false" customHeight="false" outlineLevel="0" collapsed="false">
      <c r="A590" s="20"/>
      <c r="L590" s="21"/>
    </row>
    <row r="591" customFormat="false" ht="15" hidden="false" customHeight="false" outlineLevel="0" collapsed="false">
      <c r="A591" s="20" t="s">
        <v>1301</v>
      </c>
      <c r="E591" s="23"/>
      <c r="F591" s="25"/>
      <c r="G591" s="26"/>
      <c r="H591" s="27"/>
      <c r="I591" s="24" t="str">
        <f aca="false">IF(OR(E591="",E591="!!!",F591="NEW"),"",INDEX(B2:B$590,-1+SUMPRODUCT(MAX(ROW(E2:E$590)*(E591=E2:E$590)))))</f>
        <v/>
      </c>
      <c r="J591" s="24" t="str">
        <f aca="true">IF(OR(E591="",E591="!!!",F591="NEW"),"",COUNTBLANK(OFFSET(A$1,,,SUMPRODUCT(MAX(ROW(E$2:E591)*(E591=E$2:E591)))))-COUNTBLANK(OFFSET(A$1,,,SUMPRODUCT(MAX(ROW(E$1:E590)*(E2=E$1:E590))))))</f>
        <v/>
      </c>
      <c r="K591" s="24" t="str">
        <f aca="false">IF(OR(E591="",E591="!!!",F591="NEW"),"",INDEX(J$1:J590,SUMPRODUCT(MAX(ROW(E$1:E590)*(E591=E$1:E590)))))</f>
        <v/>
      </c>
      <c r="L591" s="21"/>
    </row>
    <row r="592" customFormat="false" ht="15" hidden="false" customHeight="false" outlineLevel="0" collapsed="false">
      <c r="A592" s="20" t="s">
        <v>1390</v>
      </c>
      <c r="L592" s="21"/>
    </row>
    <row r="593" customFormat="false" ht="15" hidden="false" customHeight="false" outlineLevel="0" collapsed="false">
      <c r="A593" s="20" t="s">
        <v>607</v>
      </c>
      <c r="E593" s="23"/>
      <c r="F593" s="25"/>
      <c r="G593" s="26"/>
      <c r="H593" s="27"/>
      <c r="I593" s="24" t="str">
        <f aca="false">IF(OR(E593="",E593="!!!",F593="NEW"),"",INDEX(B2:B$592,-1+SUMPRODUCT(MAX(ROW(E2:E$592)*(E593=E2:E$592)))))</f>
        <v/>
      </c>
      <c r="J593" s="24" t="str">
        <f aca="true">IF(OR(E593="",E593="!!!",F593="NEW"),"",COUNTBLANK(OFFSET(A$1,,,SUMPRODUCT(MAX(ROW(E$2:E593)*(E593=E$2:E593)))))-COUNTBLANK(OFFSET(A$1,,,SUMPRODUCT(MAX(ROW(E$1:E592)*(E2=E$1:E592))))))</f>
        <v/>
      </c>
      <c r="K593" s="24" t="str">
        <f aca="false">IF(OR(E593="",E593="!!!",F593="NEW"),"",INDEX(J$1:J592,SUMPRODUCT(MAX(ROW(E$1:E592)*(E593=E$1:E592)))))</f>
        <v/>
      </c>
      <c r="L593" s="21"/>
    </row>
    <row r="594" customFormat="false" ht="15" hidden="false" customHeight="false" outlineLevel="0" collapsed="false">
      <c r="A594" s="20" t="s">
        <v>1391</v>
      </c>
      <c r="B594" s="22" t="s">
        <v>1086</v>
      </c>
      <c r="C594" s="22" t="s">
        <v>1132</v>
      </c>
      <c r="D594" s="22" t="s">
        <v>1060</v>
      </c>
      <c r="E594" s="23" t="s">
        <v>16</v>
      </c>
      <c r="F594" s="23" t="s">
        <v>1392</v>
      </c>
      <c r="G594" s="23"/>
      <c r="H594" s="23"/>
      <c r="I594" s="24" t="n">
        <f aca="false">IF(OR(E594="",E594="!!!",F594="NEW"),"",INDEX(B3:B$592,-1+SUMPRODUCT(MAX(ROW(E3:E$592)*(E594=E3:E$592)))))</f>
        <v>0</v>
      </c>
      <c r="J594" s="24" t="n">
        <f aca="true">IF(OR(E594="",E594="!!!",F594="NEW"),"",COUNTBLANK(OFFSET(A$1,,,SUMPRODUCT(MAX(ROW(E$2:E594)*(E594=E$2:E594)))))-COUNTBLANK(OFFSET(A$1,,,SUMPRODUCT(MAX(ROW(E$1:E593)*(E2=E$1:E593))))))</f>
        <v>0</v>
      </c>
      <c r="K594" s="24" t="n">
        <f aca="false">IF(OR(E594="",E594="!!!",F594="NEW"),"",INDEX(J$1:J593,SUMPRODUCT(MAX(ROW(E$1:E593)*(E594=E$1:E593)))))</f>
        <v>0</v>
      </c>
      <c r="L594" s="21"/>
    </row>
    <row r="595" customFormat="false" ht="15" hidden="false" customHeight="false" outlineLevel="0" collapsed="false">
      <c r="A595" s="20" t="s">
        <v>1393</v>
      </c>
      <c r="E595" s="23"/>
      <c r="F595" s="25"/>
      <c r="G595" s="26"/>
      <c r="H595" s="27"/>
      <c r="I595" s="24" t="str">
        <f aca="false">IF(OR(E595="",E595="!!!",F595="NEW"),"",INDEX(B4:B$592,-1+SUMPRODUCT(MAX(ROW(E4:E$592)*(E595=E4:E$592)))))</f>
        <v/>
      </c>
      <c r="J595" s="24" t="str">
        <f aca="true">IF(OR(E595="",E595="!!!",F595="NEW"),"",COUNTBLANK(OFFSET(A$1,,,SUMPRODUCT(MAX(ROW(E$2:E595)*(E595=E$2:E595)))))-COUNTBLANK(OFFSET(A$1,,,SUMPRODUCT(MAX(ROW(E$1:E594)*(E2=E$1:E594))))))</f>
        <v/>
      </c>
      <c r="K595" s="24" t="str">
        <f aca="false">IF(OR(E595="",E595="!!!",F595="NEW"),"",INDEX(J$1:J594,SUMPRODUCT(MAX(ROW(E$1:E594)*(E595=E$1:E594)))))</f>
        <v/>
      </c>
      <c r="L595" s="21"/>
    </row>
    <row r="596" customFormat="false" ht="15" hidden="false" customHeight="false" outlineLevel="0" collapsed="false">
      <c r="A596" s="20" t="s">
        <v>621</v>
      </c>
      <c r="E596" s="23"/>
      <c r="F596" s="25"/>
      <c r="G596" s="26"/>
      <c r="H596" s="27"/>
      <c r="I596" s="24" t="str">
        <f aca="false">IF(OR(E596="",E596="!!!",F596="NEW"),"",INDEX(B5:B$592,-1+SUMPRODUCT(MAX(ROW(E5:E$592)*(E596=E5:E$592)))))</f>
        <v/>
      </c>
      <c r="J596" s="24" t="str">
        <f aca="true">IF(OR(E596="",E596="!!!",F596="NEW"),"",COUNTBLANK(OFFSET(A$1,,,SUMPRODUCT(MAX(ROW(E$2:E596)*(E596=E$2:E596)))))-COUNTBLANK(OFFSET(A$1,,,SUMPRODUCT(MAX(ROW(E$1:E595)*(E2=E$1:E595))))))</f>
        <v/>
      </c>
      <c r="K596" s="24" t="str">
        <f aca="false">IF(OR(E596="",E596="!!!",F596="NEW"),"",INDEX(J$1:J595,SUMPRODUCT(MAX(ROW(E$1:E595)*(E596=E$1:E595)))))</f>
        <v/>
      </c>
      <c r="L596" s="21"/>
    </row>
    <row r="597" customFormat="false" ht="15" hidden="false" customHeight="false" outlineLevel="0" collapsed="false">
      <c r="A597" s="20" t="s">
        <v>1076</v>
      </c>
      <c r="E597" s="23"/>
      <c r="F597" s="25"/>
      <c r="G597" s="26"/>
      <c r="H597" s="27"/>
      <c r="I597" s="24" t="str">
        <f aca="false">IF(OR(E597="",E597="!!!",F597="NEW"),"",INDEX(B6:B$592,-1+SUMPRODUCT(MAX(ROW(E6:E$592)*(E597=E6:E$592)))))</f>
        <v/>
      </c>
      <c r="J597" s="24" t="str">
        <f aca="true">IF(OR(E597="",E597="!!!",F597="NEW"),"",COUNTBLANK(OFFSET(A$1,,,SUMPRODUCT(MAX(ROW(E$2:E597)*(E597=E$2:E597)))))-COUNTBLANK(OFFSET(A$1,,,SUMPRODUCT(MAX(ROW(E$1:E596)*(E2=E$1:E596))))))</f>
        <v/>
      </c>
      <c r="K597" s="24" t="str">
        <f aca="false">IF(OR(E597="",E597="!!!",F597="NEW"),"",INDEX(J$1:J596,SUMPRODUCT(MAX(ROW(E$1:E596)*(E597=E$1:E596)))))</f>
        <v/>
      </c>
      <c r="L597" s="21"/>
    </row>
    <row r="598" customFormat="false" ht="15" hidden="false" customHeight="false" outlineLevel="0" collapsed="false">
      <c r="A598" s="20" t="s">
        <v>607</v>
      </c>
      <c r="E598" s="23"/>
      <c r="F598" s="25"/>
      <c r="G598" s="26"/>
      <c r="H598" s="27"/>
      <c r="I598" s="24" t="str">
        <f aca="false">IF(OR(E598="",E598="!!!",F598="NEW"),"",INDEX(B7:B$592,-1+SUMPRODUCT(MAX(ROW(E7:E$592)*(E598=E7:E$592)))))</f>
        <v/>
      </c>
      <c r="J598" s="24" t="str">
        <f aca="true">IF(OR(E598="",E598="!!!",F598="NEW"),"",COUNTBLANK(OFFSET(A$1,,,SUMPRODUCT(MAX(ROW(E$2:E598)*(E598=E$2:E598)))))-COUNTBLANK(OFFSET(A$1,,,SUMPRODUCT(MAX(ROW(E$1:E597)*(E2=E$1:E597))))))</f>
        <v/>
      </c>
      <c r="K598" s="24" t="str">
        <f aca="false">IF(OR(E598="",E598="!!!",F598="NEW"),"",INDEX(J$1:J597,SUMPRODUCT(MAX(ROW(E$1:E597)*(E598=E$1:E597)))))</f>
        <v/>
      </c>
      <c r="L598" s="21"/>
    </row>
    <row r="599" customFormat="false" ht="15" hidden="false" customHeight="false" outlineLevel="0" collapsed="false">
      <c r="A599" s="20" t="s">
        <v>1194</v>
      </c>
      <c r="E599" s="23"/>
      <c r="F599" s="25"/>
      <c r="G599" s="26"/>
      <c r="H599" s="27"/>
      <c r="I599" s="24" t="str">
        <f aca="false">IF(OR(E599="",E599="!!!",F599="NEW"),"",INDEX(B8:B$592,-1+SUMPRODUCT(MAX(ROW(E8:E$592)*(E599=E8:E$592)))))</f>
        <v/>
      </c>
      <c r="J599" s="24" t="str">
        <f aca="true">IF(OR(E599="",E599="!!!",F599="NEW"),"",COUNTBLANK(OFFSET(A$1,,,SUMPRODUCT(MAX(ROW(E$2:E599)*(E599=E$2:E599)))))-COUNTBLANK(OFFSET(A$1,,,SUMPRODUCT(MAX(ROW(E$1:E598)*(E2=E$1:E598))))))</f>
        <v/>
      </c>
      <c r="K599" s="24" t="str">
        <f aca="false">IF(OR(E599="",E599="!!!",F599="NEW"),"",INDEX(J$1:J598,SUMPRODUCT(MAX(ROW(E$1:E598)*(E599=E$1:E598)))))</f>
        <v/>
      </c>
      <c r="L599" s="21"/>
    </row>
    <row r="600" customFormat="false" ht="15" hidden="false" customHeight="false" outlineLevel="0" collapsed="false">
      <c r="A600" s="20" t="s">
        <v>1090</v>
      </c>
      <c r="B600" s="22" t="s">
        <v>1058</v>
      </c>
      <c r="C600" s="22" t="s">
        <v>1082</v>
      </c>
      <c r="D600" s="22" t="s">
        <v>1060</v>
      </c>
      <c r="E600" s="23" t="s">
        <v>1069</v>
      </c>
      <c r="F600" s="23" t="s">
        <v>1083</v>
      </c>
      <c r="G600" s="23" t="s">
        <v>1084</v>
      </c>
      <c r="H600" s="23" t="s">
        <v>1052</v>
      </c>
      <c r="I600" s="24" t="n">
        <f aca="false">IF(OR(E600="",E600="!!!",F600="NEW"),"",INDEX(B9:B$592,-1+SUMPRODUCT(MAX(ROW(E9:E$592)*(E600=E9:E$592)))))</f>
        <v>0</v>
      </c>
      <c r="J600" s="24" t="n">
        <f aca="true">IF(OR(E600="",E600="!!!",F600="NEW"),"",COUNTBLANK(OFFSET(A$1,,,SUMPRODUCT(MAX(ROW(E$2:E600)*(E600=E$2:E600)))))-COUNTBLANK(OFFSET(A$1,,,SUMPRODUCT(MAX(ROW(E$1:E599)*(E2=E$1:E599))))))</f>
        <v>0</v>
      </c>
      <c r="K600" s="24" t="n">
        <f aca="false">IF(OR(E600="",E600="!!!",F600="NEW"),"",INDEX(J$1:J599,SUMPRODUCT(MAX(ROW(E$1:E599)*(E600=E$1:E599)))))</f>
        <v>0</v>
      </c>
      <c r="L600" s="21"/>
    </row>
    <row r="601" customFormat="false" ht="15" hidden="false" customHeight="false" outlineLevel="0" collapsed="false">
      <c r="A601" s="20" t="s">
        <v>923</v>
      </c>
      <c r="E601" s="23"/>
      <c r="F601" s="25"/>
      <c r="G601" s="26"/>
      <c r="H601" s="27"/>
      <c r="I601" s="24" t="str">
        <f aca="false">IF(OR(E601="",E601="!!!",F601="NEW"),"",INDEX(B10:B$592,-1+SUMPRODUCT(MAX(ROW(E10:E$592)*(E601=E10:E$592)))))</f>
        <v/>
      </c>
      <c r="J601" s="24" t="str">
        <f aca="true">IF(OR(E601="",E601="!!!",F601="NEW"),"",COUNTBLANK(OFFSET(A$1,,,SUMPRODUCT(MAX(ROW(E$2:E601)*(E601=E$2:E601)))))-COUNTBLANK(OFFSET(A$1,,,SUMPRODUCT(MAX(ROW(E$1:E600)*(E2=E$1:E600))))))</f>
        <v/>
      </c>
      <c r="K601" s="24" t="str">
        <f aca="false">IF(OR(E601="",E601="!!!",F601="NEW"),"",INDEX(J$1:J600,SUMPRODUCT(MAX(ROW(E$1:E600)*(E601=E$1:E600)))))</f>
        <v/>
      </c>
      <c r="L601" s="21"/>
    </row>
    <row r="602" customFormat="false" ht="15" hidden="false" customHeight="false" outlineLevel="0" collapsed="false">
      <c r="A602" s="20"/>
      <c r="L602" s="21"/>
    </row>
    <row r="603" customFormat="false" ht="15" hidden="false" customHeight="false" outlineLevel="0" collapsed="false">
      <c r="A603" s="20" t="s">
        <v>1301</v>
      </c>
      <c r="E603" s="23"/>
      <c r="F603" s="25"/>
      <c r="G603" s="26"/>
      <c r="H603" s="27"/>
      <c r="I603" s="24" t="str">
        <f aca="false">IF(OR(E603="",E603="!!!",F603="NEW"),"",INDEX(B2:B$602,-1+SUMPRODUCT(MAX(ROW(E2:E$602)*(E603=E2:E$602)))))</f>
        <v/>
      </c>
      <c r="J603" s="24" t="str">
        <f aca="true">IF(OR(E603="",E603="!!!",F603="NEW"),"",COUNTBLANK(OFFSET(A$1,,,SUMPRODUCT(MAX(ROW(E$2:E603)*(E603=E$2:E603)))))-COUNTBLANK(OFFSET(A$1,,,SUMPRODUCT(MAX(ROW(E$1:E602)*(E2=E$1:E602))))))</f>
        <v/>
      </c>
      <c r="K603" s="24" t="str">
        <f aca="false">IF(OR(E603="",E603="!!!",F603="NEW"),"",INDEX(J$1:J602,SUMPRODUCT(MAX(ROW(E$1:E602)*(E603=E$1:E602)))))</f>
        <v/>
      </c>
      <c r="L603" s="21"/>
    </row>
    <row r="604" customFormat="false" ht="15" hidden="false" customHeight="false" outlineLevel="0" collapsed="false">
      <c r="A604" s="20" t="s">
        <v>1394</v>
      </c>
      <c r="L604" s="21"/>
    </row>
    <row r="605" customFormat="false" ht="15" hidden="false" customHeight="false" outlineLevel="0" collapsed="false">
      <c r="A605" s="20" t="s">
        <v>607</v>
      </c>
      <c r="E605" s="23"/>
      <c r="F605" s="25"/>
      <c r="G605" s="26"/>
      <c r="H605" s="27"/>
      <c r="I605" s="24" t="str">
        <f aca="false">IF(OR(E605="",E605="!!!",F605="NEW"),"",INDEX(B2:B$604,-1+SUMPRODUCT(MAX(ROW(E2:E$604)*(E605=E2:E$604)))))</f>
        <v/>
      </c>
      <c r="J605" s="24" t="str">
        <f aca="true">IF(OR(E605="",E605="!!!",F605="NEW"),"",COUNTBLANK(OFFSET(A$1,,,SUMPRODUCT(MAX(ROW(E$2:E605)*(E605=E$2:E605)))))-COUNTBLANK(OFFSET(A$1,,,SUMPRODUCT(MAX(ROW(E$1:E604)*(E2=E$1:E604))))))</f>
        <v/>
      </c>
      <c r="K605" s="24" t="str">
        <f aca="false">IF(OR(E605="",E605="!!!",F605="NEW"),"",INDEX(J$1:J604,SUMPRODUCT(MAX(ROW(E$1:E604)*(E605=E$1:E604)))))</f>
        <v/>
      </c>
      <c r="L605" s="21"/>
    </row>
    <row r="606" customFormat="false" ht="15" hidden="false" customHeight="false" outlineLevel="0" collapsed="false">
      <c r="A606" s="20" t="s">
        <v>1395</v>
      </c>
      <c r="E606" s="23"/>
      <c r="F606" s="25"/>
      <c r="G606" s="26"/>
      <c r="H606" s="27"/>
      <c r="I606" s="24" t="str">
        <f aca="false">IF(OR(E606="",E606="!!!",F606="NEW"),"",INDEX(B3:B$604,-1+SUMPRODUCT(MAX(ROW(E3:E$604)*(E606=E3:E$604)))))</f>
        <v/>
      </c>
      <c r="J606" s="24" t="str">
        <f aca="true">IF(OR(E606="",E606="!!!",F606="NEW"),"",COUNTBLANK(OFFSET(A$1,,,SUMPRODUCT(MAX(ROW(E$2:E606)*(E606=E$2:E606)))))-COUNTBLANK(OFFSET(A$1,,,SUMPRODUCT(MAX(ROW(E$1:E605)*(E2=E$1:E605))))))</f>
        <v/>
      </c>
      <c r="K606" s="24" t="str">
        <f aca="false">IF(OR(E606="",E606="!!!",F606="NEW"),"",INDEX(J$1:J605,SUMPRODUCT(MAX(ROW(E$1:E605)*(E606=E$1:E605)))))</f>
        <v/>
      </c>
      <c r="L606" s="21"/>
    </row>
    <row r="607" customFormat="false" ht="15" hidden="false" customHeight="false" outlineLevel="0" collapsed="false">
      <c r="A607" s="20" t="s">
        <v>1396</v>
      </c>
      <c r="B607" s="22" t="s">
        <v>1058</v>
      </c>
      <c r="C607" s="22" t="s">
        <v>1171</v>
      </c>
      <c r="D607" s="22" t="s">
        <v>1060</v>
      </c>
      <c r="E607" s="23" t="s">
        <v>1396</v>
      </c>
      <c r="F607" s="23" t="s">
        <v>1062</v>
      </c>
      <c r="G607" s="23" t="s">
        <v>1063</v>
      </c>
      <c r="H607" s="23"/>
      <c r="I607" s="24" t="str">
        <f aca="false">IF(OR(E607="",E607="!!!",F607="NEW"),"",INDEX(B4:B$604,-1+SUMPRODUCT(MAX(ROW(E4:E$604)*(E607=E4:E$604)))))</f>
        <v/>
      </c>
      <c r="J607" s="24" t="str">
        <f aca="true">IF(OR(E607="",E607="!!!",F607="NEW"),"",COUNTBLANK(OFFSET(A$1,,,SUMPRODUCT(MAX(ROW(E$2:E607)*(E607=E$2:E607)))))-COUNTBLANK(OFFSET(A$1,,,SUMPRODUCT(MAX(ROW(E$1:E606)*(E2=E$1:E606))))))</f>
        <v/>
      </c>
      <c r="K607" s="24" t="str">
        <f aca="false">IF(OR(E607="",E607="!!!",F607="NEW"),"",INDEX(J$1:J606,SUMPRODUCT(MAX(ROW(E$1:E606)*(E607=E$1:E606)))))</f>
        <v/>
      </c>
      <c r="L607" s="21"/>
    </row>
    <row r="608" customFormat="false" ht="15" hidden="false" customHeight="false" outlineLevel="0" collapsed="false">
      <c r="A608" s="20" t="s">
        <v>1218</v>
      </c>
      <c r="E608" s="23"/>
      <c r="F608" s="25"/>
      <c r="G608" s="26"/>
      <c r="H608" s="27"/>
      <c r="I608" s="24" t="str">
        <f aca="false">IF(OR(E608="",E608="!!!",F608="NEW"),"",INDEX(B5:B$604,-1+SUMPRODUCT(MAX(ROW(E5:E$604)*(E608=E5:E$604)))))</f>
        <v/>
      </c>
      <c r="J608" s="24" t="str">
        <f aca="true">IF(OR(E608="",E608="!!!",F608="NEW"),"",COUNTBLANK(OFFSET(A$1,,,SUMPRODUCT(MAX(ROW(E$2:E608)*(E608=E$2:E608)))))-COUNTBLANK(OFFSET(A$1,,,SUMPRODUCT(MAX(ROW(E$1:E607)*(E2=E$1:E607))))))</f>
        <v/>
      </c>
      <c r="K608" s="24" t="str">
        <f aca="false">IF(OR(E608="",E608="!!!",F608="NEW"),"",INDEX(J$1:J607,SUMPRODUCT(MAX(ROW(E$1:E607)*(E608=E$1:E607)))))</f>
        <v/>
      </c>
      <c r="L608" s="21"/>
    </row>
    <row r="609" customFormat="false" ht="15" hidden="false" customHeight="false" outlineLevel="0" collapsed="false">
      <c r="A609" s="20" t="s">
        <v>1109</v>
      </c>
      <c r="E609" s="23"/>
      <c r="F609" s="25"/>
      <c r="G609" s="26"/>
      <c r="H609" s="27"/>
      <c r="I609" s="24" t="str">
        <f aca="false">IF(OR(E609="",E609="!!!",F609="NEW"),"",INDEX(B6:B$604,-1+SUMPRODUCT(MAX(ROW(E6:E$604)*(E609=E6:E$604)))))</f>
        <v/>
      </c>
      <c r="J609" s="24" t="str">
        <f aca="true">IF(OR(E609="",E609="!!!",F609="NEW"),"",COUNTBLANK(OFFSET(A$1,,,SUMPRODUCT(MAX(ROW(E$2:E609)*(E609=E$2:E609)))))-COUNTBLANK(OFFSET(A$1,,,SUMPRODUCT(MAX(ROW(E$1:E608)*(E2=E$1:E608))))))</f>
        <v/>
      </c>
      <c r="K609" s="24" t="str">
        <f aca="false">IF(OR(E609="",E609="!!!",F609="NEW"),"",INDEX(J$1:J608,SUMPRODUCT(MAX(ROW(E$1:E608)*(E609=E$1:E608)))))</f>
        <v/>
      </c>
      <c r="L609" s="21"/>
    </row>
    <row r="610" customFormat="false" ht="15" hidden="false" customHeight="false" outlineLevel="0" collapsed="false">
      <c r="A610" s="20" t="s">
        <v>1397</v>
      </c>
      <c r="B610" s="22" t="s">
        <v>1073</v>
      </c>
      <c r="C610" s="22" t="s">
        <v>1150</v>
      </c>
      <c r="D610" s="22" t="s">
        <v>1060</v>
      </c>
      <c r="E610" s="23" t="s">
        <v>16</v>
      </c>
      <c r="F610" s="23" t="s">
        <v>1398</v>
      </c>
      <c r="G610" s="23"/>
      <c r="H610" s="23"/>
      <c r="I610" s="24" t="n">
        <f aca="false">IF(OR(E610="",E610="!!!",F610="NEW"),"",INDEX(B7:B$604,-1+SUMPRODUCT(MAX(ROW(E7:E$604)*(E610=E7:E$604)))))</f>
        <v>0</v>
      </c>
      <c r="J610" s="24" t="n">
        <f aca="true">IF(OR(E610="",E610="!!!",F610="NEW"),"",COUNTBLANK(OFFSET(A$1,,,SUMPRODUCT(MAX(ROW(E$2:E610)*(E610=E$2:E610)))))-COUNTBLANK(OFFSET(A$1,,,SUMPRODUCT(MAX(ROW(E$1:E609)*(E2=E$1:E609))))))</f>
        <v>0</v>
      </c>
      <c r="K610" s="24" t="n">
        <f aca="false">IF(OR(E610="",E610="!!!",F610="NEW"),"",INDEX(J$1:J609,SUMPRODUCT(MAX(ROW(E$1:E609)*(E610=E$1:E609)))))</f>
        <v>0</v>
      </c>
      <c r="L610" s="21"/>
    </row>
    <row r="611" customFormat="false" ht="15" hidden="false" customHeight="false" outlineLevel="0" collapsed="false">
      <c r="A611" s="20" t="s">
        <v>127</v>
      </c>
      <c r="E611" s="23"/>
      <c r="F611" s="25"/>
      <c r="G611" s="26"/>
      <c r="H611" s="27"/>
      <c r="I611" s="24" t="str">
        <f aca="false">IF(OR(E611="",E611="!!!",F611="NEW"),"",INDEX(B8:B$604,-1+SUMPRODUCT(MAX(ROW(E8:E$604)*(E611=E8:E$604)))))</f>
        <v/>
      </c>
      <c r="J611" s="24" t="str">
        <f aca="true">IF(OR(E611="",E611="!!!",F611="NEW"),"",COUNTBLANK(OFFSET(A$1,,,SUMPRODUCT(MAX(ROW(E$2:E611)*(E611=E$2:E611)))))-COUNTBLANK(OFFSET(A$1,,,SUMPRODUCT(MAX(ROW(E$1:E610)*(E2=E$1:E610))))))</f>
        <v/>
      </c>
      <c r="K611" s="24" t="str">
        <f aca="false">IF(OR(E611="",E611="!!!",F611="NEW"),"",INDEX(J$1:J610,SUMPRODUCT(MAX(ROW(E$1:E610)*(E611=E$1:E610)))))</f>
        <v/>
      </c>
      <c r="L611" s="21"/>
    </row>
    <row r="612" customFormat="false" ht="15" hidden="false" customHeight="false" outlineLevel="0" collapsed="false">
      <c r="A612" s="20" t="s">
        <v>1399</v>
      </c>
      <c r="E612" s="23"/>
      <c r="F612" s="25"/>
      <c r="G612" s="26"/>
      <c r="H612" s="27"/>
      <c r="I612" s="24" t="str">
        <f aca="false">IF(OR(E612="",E612="!!!",F612="NEW"),"",INDEX(B9:B$604,-1+SUMPRODUCT(MAX(ROW(E9:E$604)*(E612=E9:E$604)))))</f>
        <v/>
      </c>
      <c r="J612" s="24" t="str">
        <f aca="true">IF(OR(E612="",E612="!!!",F612="NEW"),"",COUNTBLANK(OFFSET(A$1,,,SUMPRODUCT(MAX(ROW(E$2:E612)*(E612=E$2:E612)))))-COUNTBLANK(OFFSET(A$1,,,SUMPRODUCT(MAX(ROW(E$1:E611)*(E2=E$1:E611))))))</f>
        <v/>
      </c>
      <c r="K612" s="24" t="str">
        <f aca="false">IF(OR(E612="",E612="!!!",F612="NEW"),"",INDEX(J$1:J611,SUMPRODUCT(MAX(ROW(E$1:E611)*(E612=E$1:E611)))))</f>
        <v/>
      </c>
      <c r="L612" s="21"/>
    </row>
    <row r="613" customFormat="false" ht="15" hidden="false" customHeight="false" outlineLevel="0" collapsed="false">
      <c r="A613" s="20" t="s">
        <v>1400</v>
      </c>
      <c r="E613" s="23"/>
      <c r="F613" s="25"/>
      <c r="G613" s="26"/>
      <c r="H613" s="27"/>
      <c r="I613" s="24" t="str">
        <f aca="false">IF(OR(E613="",E613="!!!",F613="NEW"),"",INDEX(B10:B$604,-1+SUMPRODUCT(MAX(ROW(E10:E$604)*(E613=E10:E$604)))))</f>
        <v/>
      </c>
      <c r="J613" s="24" t="str">
        <f aca="true">IF(OR(E613="",E613="!!!",F613="NEW"),"",COUNTBLANK(OFFSET(A$1,,,SUMPRODUCT(MAX(ROW(E$2:E613)*(E613=E$2:E613)))))-COUNTBLANK(OFFSET(A$1,,,SUMPRODUCT(MAX(ROW(E$1:E612)*(E2=E$1:E612))))))</f>
        <v/>
      </c>
      <c r="K613" s="24" t="str">
        <f aca="false">IF(OR(E613="",E613="!!!",F613="NEW"),"",INDEX(J$1:J612,SUMPRODUCT(MAX(ROW(E$1:E612)*(E613=E$1:E612)))))</f>
        <v/>
      </c>
      <c r="L613" s="21"/>
    </row>
    <row r="614" customFormat="false" ht="15" hidden="false" customHeight="false" outlineLevel="0" collapsed="false">
      <c r="A614" s="20" t="s">
        <v>1401</v>
      </c>
      <c r="B614" s="22" t="s">
        <v>1081</v>
      </c>
      <c r="C614" s="22" t="s">
        <v>1087</v>
      </c>
      <c r="E614" s="23"/>
      <c r="F614" s="25"/>
      <c r="G614" s="26"/>
      <c r="H614" s="27"/>
      <c r="I614" s="24" t="str">
        <f aca="false">IF(OR(E614="",E614="!!!",F614="NEW"),"",INDEX(B11:B$604,-1+SUMPRODUCT(MAX(ROW(E11:E$604)*(E614=E11:E$604)))))</f>
        <v/>
      </c>
      <c r="J614" s="24" t="str">
        <f aca="true">IF(OR(E614="",E614="!!!",F614="NEW"),"",COUNTBLANK(OFFSET(A$1,,,SUMPRODUCT(MAX(ROW(E$2:E614)*(E614=E$2:E614)))))-COUNTBLANK(OFFSET(A$1,,,SUMPRODUCT(MAX(ROW(E$1:E613)*(E2=E$1:E613))))))</f>
        <v/>
      </c>
      <c r="K614" s="24" t="str">
        <f aca="false">IF(OR(E614="",E614="!!!",F614="NEW"),"",INDEX(J$1:J613,SUMPRODUCT(MAX(ROW(E$1:E613)*(E614=E$1:E613)))))</f>
        <v/>
      </c>
      <c r="L614" s="21"/>
    </row>
    <row r="615" customFormat="false" ht="15" hidden="false" customHeight="false" outlineLevel="0" collapsed="false">
      <c r="A615" s="20" t="s">
        <v>923</v>
      </c>
      <c r="E615" s="23"/>
      <c r="F615" s="25"/>
      <c r="G615" s="26"/>
      <c r="H615" s="27"/>
      <c r="I615" s="24" t="str">
        <f aca="false">IF(OR(E615="",E615="!!!",F615="NEW"),"",INDEX(B12:B$604,-1+SUMPRODUCT(MAX(ROW(E12:E$604)*(E615=E12:E$604)))))</f>
        <v/>
      </c>
      <c r="J615" s="24" t="str">
        <f aca="true">IF(OR(E615="",E615="!!!",F615="NEW"),"",COUNTBLANK(OFFSET(A$1,,,SUMPRODUCT(MAX(ROW(E$2:E615)*(E615=E$2:E615)))))-COUNTBLANK(OFFSET(A$1,,,SUMPRODUCT(MAX(ROW(E$1:E614)*(E2=E$1:E614))))))</f>
        <v/>
      </c>
      <c r="K615" s="24" t="str">
        <f aca="false">IF(OR(E615="",E615="!!!",F615="NEW"),"",INDEX(J$1:J614,SUMPRODUCT(MAX(ROW(E$1:E614)*(E615=E$1:E614)))))</f>
        <v/>
      </c>
      <c r="L615" s="21"/>
    </row>
    <row r="616" customFormat="false" ht="15" hidden="false" customHeight="false" outlineLevel="0" collapsed="false">
      <c r="A616" s="20" t="s">
        <v>607</v>
      </c>
      <c r="E616" s="23"/>
      <c r="F616" s="25"/>
      <c r="G616" s="26"/>
      <c r="H616" s="27"/>
      <c r="I616" s="24" t="str">
        <f aca="false">IF(OR(E616="",E616="!!!",F616="NEW"),"",INDEX(B13:B$604,-1+SUMPRODUCT(MAX(ROW(E13:E$604)*(E616=E13:E$604)))))</f>
        <v/>
      </c>
      <c r="J616" s="24" t="str">
        <f aca="true">IF(OR(E616="",E616="!!!",F616="NEW"),"",COUNTBLANK(OFFSET(A$1,,,SUMPRODUCT(MAX(ROW(E$2:E616)*(E616=E$2:E616)))))-COUNTBLANK(OFFSET(A$1,,,SUMPRODUCT(MAX(ROW(E$1:E615)*(E2=E$1:E615))))))</f>
        <v/>
      </c>
      <c r="K616" s="24" t="str">
        <f aca="false">IF(OR(E616="",E616="!!!",F616="NEW"),"",INDEX(J$1:J615,SUMPRODUCT(MAX(ROW(E$1:E615)*(E616=E$1:E615)))))</f>
        <v/>
      </c>
      <c r="L616" s="21"/>
    </row>
    <row r="617" customFormat="false" ht="15" hidden="false" customHeight="false" outlineLevel="0" collapsed="false">
      <c r="A617" s="20"/>
      <c r="L617" s="21"/>
    </row>
    <row r="618" customFormat="false" ht="15" hidden="false" customHeight="false" outlineLevel="0" collapsed="false">
      <c r="A618" s="20" t="s">
        <v>1301</v>
      </c>
      <c r="E618" s="23"/>
      <c r="F618" s="25"/>
      <c r="G618" s="26"/>
      <c r="H618" s="27"/>
      <c r="I618" s="24" t="str">
        <f aca="false">IF(OR(E618="",E618="!!!",F618="NEW"),"",INDEX(B2:B$617,-1+SUMPRODUCT(MAX(ROW(E2:E$617)*(E618=E2:E$617)))))</f>
        <v/>
      </c>
      <c r="J618" s="24" t="str">
        <f aca="true">IF(OR(E618="",E618="!!!",F618="NEW"),"",COUNTBLANK(OFFSET(A$1,,,SUMPRODUCT(MAX(ROW(E$2:E618)*(E618=E$2:E618)))))-COUNTBLANK(OFFSET(A$1,,,SUMPRODUCT(MAX(ROW(E$1:E617)*(E2=E$1:E617))))))</f>
        <v/>
      </c>
      <c r="K618" s="24" t="str">
        <f aca="false">IF(OR(E618="",E618="!!!",F618="NEW"),"",INDEX(J$1:J617,SUMPRODUCT(MAX(ROW(E$1:E617)*(E618=E$1:E617)))))</f>
        <v/>
      </c>
      <c r="L618" s="21"/>
    </row>
    <row r="619" customFormat="false" ht="15" hidden="false" customHeight="false" outlineLevel="0" collapsed="false">
      <c r="A619" s="20" t="s">
        <v>1402</v>
      </c>
      <c r="L619" s="21"/>
    </row>
    <row r="620" customFormat="false" ht="15" hidden="false" customHeight="false" outlineLevel="0" collapsed="false">
      <c r="A620" s="20" t="s">
        <v>607</v>
      </c>
      <c r="E620" s="23"/>
      <c r="F620" s="25"/>
      <c r="G620" s="26"/>
      <c r="H620" s="27"/>
      <c r="I620" s="24" t="str">
        <f aca="false">IF(OR(E620="",E620="!!!",F620="NEW"),"",INDEX(B2:B$619,-1+SUMPRODUCT(MAX(ROW(E2:E$619)*(E620=E2:E$619)))))</f>
        <v/>
      </c>
      <c r="J620" s="24" t="str">
        <f aca="true">IF(OR(E620="",E620="!!!",F620="NEW"),"",COUNTBLANK(OFFSET(A$1,,,SUMPRODUCT(MAX(ROW(E$2:E620)*(E620=E$2:E620)))))-COUNTBLANK(OFFSET(A$1,,,SUMPRODUCT(MAX(ROW(E$1:E619)*(E2=E$1:E619))))))</f>
        <v/>
      </c>
      <c r="K620" s="24" t="str">
        <f aca="false">IF(OR(E620="",E620="!!!",F620="NEW"),"",INDEX(J$1:J619,SUMPRODUCT(MAX(ROW(E$1:E619)*(E620=E$1:E619)))))</f>
        <v/>
      </c>
      <c r="L620" s="21"/>
    </row>
    <row r="621" customFormat="false" ht="15" hidden="false" customHeight="false" outlineLevel="0" collapsed="false">
      <c r="A621" s="20" t="s">
        <v>1277</v>
      </c>
      <c r="B621" s="22" t="s">
        <v>1058</v>
      </c>
      <c r="C621" s="22" t="s">
        <v>1082</v>
      </c>
      <c r="D621" s="22" t="s">
        <v>1060</v>
      </c>
      <c r="E621" s="23" t="s">
        <v>1371</v>
      </c>
      <c r="F621" s="23" t="s">
        <v>1083</v>
      </c>
      <c r="G621" s="23" t="s">
        <v>1070</v>
      </c>
      <c r="H621" s="23"/>
      <c r="I621" s="24" t="n">
        <f aca="false">IF(OR(E621="",E621="!!!",F621="NEW"),"",INDEX(B3:B$619,-1+SUMPRODUCT(MAX(ROW(E3:E$619)*(E621=E3:E$619)))))</f>
        <v>0</v>
      </c>
      <c r="J621" s="24" t="n">
        <f aca="true">IF(OR(E621="",E621="!!!",F621="NEW"),"",COUNTBLANK(OFFSET(A$1,,,SUMPRODUCT(MAX(ROW(E$2:E621)*(E621=E$2:E621)))))-COUNTBLANK(OFFSET(A$1,,,SUMPRODUCT(MAX(ROW(E$1:E620)*(E2=E$1:E620))))))</f>
        <v>0</v>
      </c>
      <c r="K621" s="24" t="n">
        <f aca="false">IF(OR(E621="",E621="!!!",F621="NEW"),"",INDEX(J$1:J620,SUMPRODUCT(MAX(ROW(E$1:E620)*(E621=E$1:E620)))))</f>
        <v>0</v>
      </c>
      <c r="L621" s="21"/>
    </row>
    <row r="622" customFormat="false" ht="15" hidden="false" customHeight="false" outlineLevel="0" collapsed="false">
      <c r="A622" s="20" t="s">
        <v>1331</v>
      </c>
      <c r="E622" s="23"/>
      <c r="F622" s="25"/>
      <c r="G622" s="26"/>
      <c r="H622" s="27"/>
      <c r="I622" s="24" t="str">
        <f aca="false">IF(OR(E622="",E622="!!!",F622="NEW"),"",INDEX(B4:B$619,-1+SUMPRODUCT(MAX(ROW(E4:E$619)*(E622=E4:E$619)))))</f>
        <v/>
      </c>
      <c r="J622" s="24" t="str">
        <f aca="true">IF(OR(E622="",E622="!!!",F622="NEW"),"",COUNTBLANK(OFFSET(A$1,,,SUMPRODUCT(MAX(ROW(E$2:E622)*(E622=E$2:E622)))))-COUNTBLANK(OFFSET(A$1,,,SUMPRODUCT(MAX(ROW(E$1:E621)*(E2=E$1:E621))))))</f>
        <v/>
      </c>
      <c r="K622" s="24" t="str">
        <f aca="false">IF(OR(E622="",E622="!!!",F622="NEW"),"",INDEX(J$1:J621,SUMPRODUCT(MAX(ROW(E$1:E621)*(E622=E$1:E621)))))</f>
        <v/>
      </c>
      <c r="L622" s="21"/>
    </row>
    <row r="623" customFormat="false" ht="15" hidden="false" customHeight="false" outlineLevel="0" collapsed="false">
      <c r="A623" s="20" t="s">
        <v>1095</v>
      </c>
      <c r="E623" s="23"/>
      <c r="F623" s="25"/>
      <c r="G623" s="26"/>
      <c r="H623" s="27"/>
      <c r="I623" s="24" t="str">
        <f aca="false">IF(OR(E623="",E623="!!!",F623="NEW"),"",INDEX(B5:B$619,-1+SUMPRODUCT(MAX(ROW(E5:E$619)*(E623=E5:E$619)))))</f>
        <v/>
      </c>
      <c r="J623" s="24" t="str">
        <f aca="true">IF(OR(E623="",E623="!!!",F623="NEW"),"",COUNTBLANK(OFFSET(A$1,,,SUMPRODUCT(MAX(ROW(E$2:E623)*(E623=E$2:E623)))))-COUNTBLANK(OFFSET(A$1,,,SUMPRODUCT(MAX(ROW(E$1:E622)*(E2=E$1:E622))))))</f>
        <v/>
      </c>
      <c r="K623" s="24" t="str">
        <f aca="false">IF(OR(E623="",E623="!!!",F623="NEW"),"",INDEX(J$1:J622,SUMPRODUCT(MAX(ROW(E$1:E622)*(E623=E$1:E622)))))</f>
        <v/>
      </c>
      <c r="L623" s="21"/>
    </row>
    <row r="624" customFormat="false" ht="15" hidden="false" customHeight="false" outlineLevel="0" collapsed="false">
      <c r="A624" s="20" t="s">
        <v>131</v>
      </c>
      <c r="E624" s="23"/>
      <c r="F624" s="25"/>
      <c r="G624" s="26"/>
      <c r="H624" s="27"/>
      <c r="I624" s="24" t="str">
        <f aca="false">IF(OR(E624="",E624="!!!",F624="NEW"),"",INDEX(B6:B$619,-1+SUMPRODUCT(MAX(ROW(E6:E$619)*(E624=E6:E$619)))))</f>
        <v/>
      </c>
      <c r="J624" s="24" t="str">
        <f aca="true">IF(OR(E624="",E624="!!!",F624="NEW"),"",COUNTBLANK(OFFSET(A$1,,,SUMPRODUCT(MAX(ROW(E$2:E624)*(E624=E$2:E624)))))-COUNTBLANK(OFFSET(A$1,,,SUMPRODUCT(MAX(ROW(E$1:E623)*(E2=E$1:E623))))))</f>
        <v/>
      </c>
      <c r="K624" s="24" t="str">
        <f aca="false">IF(OR(E624="",E624="!!!",F624="NEW"),"",INDEX(J$1:J623,SUMPRODUCT(MAX(ROW(E$1:E623)*(E624=E$1:E623)))))</f>
        <v/>
      </c>
      <c r="L624" s="21"/>
    </row>
    <row r="625" customFormat="false" ht="15" hidden="false" customHeight="false" outlineLevel="0" collapsed="false">
      <c r="A625" s="20" t="s">
        <v>728</v>
      </c>
      <c r="E625" s="23"/>
      <c r="F625" s="25"/>
      <c r="G625" s="26"/>
      <c r="H625" s="27"/>
      <c r="I625" s="24" t="str">
        <f aca="false">IF(OR(E625="",E625="!!!",F625="NEW"),"",INDEX(B7:B$619,-1+SUMPRODUCT(MAX(ROW(E7:E$619)*(E625=E7:E$619)))))</f>
        <v/>
      </c>
      <c r="J625" s="24" t="str">
        <f aca="true">IF(OR(E625="",E625="!!!",F625="NEW"),"",COUNTBLANK(OFFSET(A$1,,,SUMPRODUCT(MAX(ROW(E$2:E625)*(E625=E$2:E625)))))-COUNTBLANK(OFFSET(A$1,,,SUMPRODUCT(MAX(ROW(E$1:E624)*(E2=E$1:E624))))))</f>
        <v/>
      </c>
      <c r="K625" s="24" t="str">
        <f aca="false">IF(OR(E625="",E625="!!!",F625="NEW"),"",INDEX(J$1:J624,SUMPRODUCT(MAX(ROW(E$1:E624)*(E625=E$1:E624)))))</f>
        <v/>
      </c>
      <c r="L625" s="21"/>
    </row>
    <row r="626" customFormat="false" ht="15" hidden="false" customHeight="false" outlineLevel="0" collapsed="false">
      <c r="A626" s="20" t="s">
        <v>1307</v>
      </c>
      <c r="E626" s="23"/>
      <c r="F626" s="25"/>
      <c r="G626" s="26"/>
      <c r="H626" s="27"/>
      <c r="I626" s="24" t="str">
        <f aca="false">IF(OR(E626="",E626="!!!",F626="NEW"),"",INDEX(B8:B$619,-1+SUMPRODUCT(MAX(ROW(E8:E$619)*(E626=E8:E$619)))))</f>
        <v/>
      </c>
      <c r="J626" s="24" t="str">
        <f aca="true">IF(OR(E626="",E626="!!!",F626="NEW"),"",COUNTBLANK(OFFSET(A$1,,,SUMPRODUCT(MAX(ROW(E$2:E626)*(E626=E$2:E626)))))-COUNTBLANK(OFFSET(A$1,,,SUMPRODUCT(MAX(ROW(E$1:E625)*(E2=E$1:E625))))))</f>
        <v/>
      </c>
      <c r="K626" s="24" t="str">
        <f aca="false">IF(OR(E626="",E626="!!!",F626="NEW"),"",INDEX(J$1:J625,SUMPRODUCT(MAX(ROW(E$1:E625)*(E626=E$1:E625)))))</f>
        <v/>
      </c>
      <c r="L626" s="21"/>
    </row>
    <row r="627" customFormat="false" ht="15" hidden="false" customHeight="false" outlineLevel="0" collapsed="false">
      <c r="A627" s="20" t="s">
        <v>607</v>
      </c>
      <c r="E627" s="23"/>
      <c r="F627" s="25"/>
      <c r="G627" s="26"/>
      <c r="H627" s="27"/>
      <c r="I627" s="24" t="str">
        <f aca="false">IF(OR(E627="",E627="!!!",F627="NEW"),"",INDEX(B9:B$619,-1+SUMPRODUCT(MAX(ROW(E9:E$619)*(E627=E9:E$619)))))</f>
        <v/>
      </c>
      <c r="J627" s="24" t="str">
        <f aca="true">IF(OR(E627="",E627="!!!",F627="NEW"),"",COUNTBLANK(OFFSET(A$1,,,SUMPRODUCT(MAX(ROW(E$2:E627)*(E627=E$2:E627)))))-COUNTBLANK(OFFSET(A$1,,,SUMPRODUCT(MAX(ROW(E$1:E626)*(E2=E$1:E626))))))</f>
        <v/>
      </c>
      <c r="K627" s="24" t="str">
        <f aca="false">IF(OR(E627="",E627="!!!",F627="NEW"),"",INDEX(J$1:J626,SUMPRODUCT(MAX(ROW(E$1:E626)*(E627=E$1:E626)))))</f>
        <v/>
      </c>
      <c r="L627" s="21"/>
    </row>
    <row r="628" customFormat="false" ht="15" hidden="false" customHeight="false" outlineLevel="0" collapsed="false">
      <c r="A628" s="20"/>
      <c r="L628" s="21"/>
    </row>
    <row r="629" customFormat="false" ht="15" hidden="false" customHeight="false" outlineLevel="0" collapsed="false">
      <c r="A629" s="20" t="s">
        <v>1301</v>
      </c>
      <c r="E629" s="23"/>
      <c r="F629" s="25"/>
      <c r="G629" s="26"/>
      <c r="H629" s="27"/>
      <c r="I629" s="24" t="str">
        <f aca="false">IF(OR(E629="",E629="!!!",F629="NEW"),"",INDEX(B2:B$628,-1+SUMPRODUCT(MAX(ROW(E2:E$628)*(E629=E2:E$628)))))</f>
        <v/>
      </c>
      <c r="J629" s="24" t="str">
        <f aca="true">IF(OR(E629="",E629="!!!",F629="NEW"),"",COUNTBLANK(OFFSET(A$1,,,SUMPRODUCT(MAX(ROW(E$2:E629)*(E629=E$2:E629)))))-COUNTBLANK(OFFSET(A$1,,,SUMPRODUCT(MAX(ROW(E$1:E628)*(E2=E$1:E628))))))</f>
        <v/>
      </c>
      <c r="K629" s="24" t="str">
        <f aca="false">IF(OR(E629="",E629="!!!",F629="NEW"),"",INDEX(J$1:J628,SUMPRODUCT(MAX(ROW(E$1:E628)*(E629=E$1:E628)))))</f>
        <v/>
      </c>
      <c r="L629" s="21"/>
    </row>
    <row r="630" customFormat="false" ht="15" hidden="false" customHeight="false" outlineLevel="0" collapsed="false">
      <c r="A630" s="20" t="s">
        <v>1403</v>
      </c>
      <c r="L630" s="21"/>
    </row>
    <row r="631" customFormat="false" ht="15" hidden="false" customHeight="false" outlineLevel="0" collapsed="false">
      <c r="A631" s="20" t="s">
        <v>607</v>
      </c>
      <c r="E631" s="23"/>
      <c r="F631" s="25"/>
      <c r="G631" s="26"/>
      <c r="H631" s="27"/>
      <c r="I631" s="24" t="str">
        <f aca="false">IF(OR(E631="",E631="!!!",F631="NEW"),"",INDEX(B2:B$630,-1+SUMPRODUCT(MAX(ROW(E2:E$630)*(E631=E2:E$630)))))</f>
        <v/>
      </c>
      <c r="J631" s="24" t="str">
        <f aca="true">IF(OR(E631="",E631="!!!",F631="NEW"),"",COUNTBLANK(OFFSET(A$1,,,SUMPRODUCT(MAX(ROW(E$2:E631)*(E631=E$2:E631)))))-COUNTBLANK(OFFSET(A$1,,,SUMPRODUCT(MAX(ROW(E$1:E630)*(E2=E$1:E630))))))</f>
        <v/>
      </c>
      <c r="K631" s="24" t="str">
        <f aca="false">IF(OR(E631="",E631="!!!",F631="NEW"),"",INDEX(J$1:J630,SUMPRODUCT(MAX(ROW(E$1:E630)*(E631=E$1:E630)))))</f>
        <v/>
      </c>
      <c r="L631" s="21"/>
    </row>
    <row r="632" customFormat="false" ht="15" hidden="false" customHeight="false" outlineLevel="0" collapsed="false">
      <c r="A632" s="20" t="s">
        <v>1404</v>
      </c>
      <c r="E632" s="23"/>
      <c r="F632" s="25"/>
      <c r="G632" s="26"/>
      <c r="H632" s="27"/>
      <c r="I632" s="24" t="str">
        <f aca="false">IF(OR(E632="",E632="!!!",F632="NEW"),"",INDEX(B3:B$630,-1+SUMPRODUCT(MAX(ROW(E3:E$630)*(E632=E3:E$630)))))</f>
        <v/>
      </c>
      <c r="J632" s="24" t="str">
        <f aca="true">IF(OR(E632="",E632="!!!",F632="NEW"),"",COUNTBLANK(OFFSET(A$1,,,SUMPRODUCT(MAX(ROW(E$2:E632)*(E632=E$2:E632)))))-COUNTBLANK(OFFSET(A$1,,,SUMPRODUCT(MAX(ROW(E$1:E631)*(E2=E$1:E631))))))</f>
        <v/>
      </c>
      <c r="K632" s="24" t="str">
        <f aca="false">IF(OR(E632="",E632="!!!",F632="NEW"),"",INDEX(J$1:J631,SUMPRODUCT(MAX(ROW(E$1:E631)*(E632=E$1:E631)))))</f>
        <v/>
      </c>
      <c r="L632" s="21"/>
    </row>
    <row r="633" customFormat="false" ht="15" hidden="false" customHeight="false" outlineLevel="0" collapsed="false">
      <c r="A633" s="20" t="s">
        <v>1076</v>
      </c>
      <c r="E633" s="23"/>
      <c r="F633" s="25"/>
      <c r="G633" s="26"/>
      <c r="H633" s="27"/>
      <c r="I633" s="24" t="str">
        <f aca="false">IF(OR(E633="",E633="!!!",F633="NEW"),"",INDEX(B4:B$630,-1+SUMPRODUCT(MAX(ROW(E4:E$630)*(E633=E4:E$630)))))</f>
        <v/>
      </c>
      <c r="J633" s="24" t="str">
        <f aca="true">IF(OR(E633="",E633="!!!",F633="NEW"),"",COUNTBLANK(OFFSET(A$1,,,SUMPRODUCT(MAX(ROW(E$2:E633)*(E633=E$2:E633)))))-COUNTBLANK(OFFSET(A$1,,,SUMPRODUCT(MAX(ROW(E$1:E632)*(E2=E$1:E632))))))</f>
        <v/>
      </c>
      <c r="K633" s="24" t="str">
        <f aca="false">IF(OR(E633="",E633="!!!",F633="NEW"),"",INDEX(J$1:J632,SUMPRODUCT(MAX(ROW(E$1:E632)*(E633=E$1:E632)))))</f>
        <v/>
      </c>
      <c r="L633" s="21"/>
    </row>
    <row r="634" customFormat="false" ht="15" hidden="false" customHeight="false" outlineLevel="0" collapsed="false">
      <c r="A634" s="20" t="s">
        <v>1186</v>
      </c>
      <c r="B634" s="22" t="s">
        <v>1058</v>
      </c>
      <c r="C634" s="22" t="s">
        <v>1082</v>
      </c>
      <c r="D634" s="22" t="s">
        <v>1060</v>
      </c>
      <c r="E634" s="23" t="s">
        <v>1371</v>
      </c>
      <c r="F634" s="23" t="s">
        <v>1083</v>
      </c>
      <c r="G634" s="23" t="s">
        <v>1084</v>
      </c>
      <c r="H634" s="23"/>
      <c r="I634" s="24" t="n">
        <f aca="false">IF(OR(E634="",E634="!!!",F634="NEW"),"",INDEX(B5:B$630,-1+SUMPRODUCT(MAX(ROW(E5:E$630)*(E634=E5:E$630)))))</f>
        <v>0</v>
      </c>
      <c r="J634" s="24" t="n">
        <f aca="true">IF(OR(E634="",E634="!!!",F634="NEW"),"",COUNTBLANK(OFFSET(A$1,,,SUMPRODUCT(MAX(ROW(E$2:E634)*(E634=E$2:E634)))))-COUNTBLANK(OFFSET(A$1,,,SUMPRODUCT(MAX(ROW(E$1:E633)*(E2=E$1:E633))))))</f>
        <v>0</v>
      </c>
      <c r="K634" s="24" t="n">
        <f aca="false">IF(OR(E634="",E634="!!!",F634="NEW"),"",INDEX(J$1:J633,SUMPRODUCT(MAX(ROW(E$1:E633)*(E634=E$1:E633)))))</f>
        <v>0</v>
      </c>
      <c r="L634" s="21"/>
    </row>
    <row r="635" customFormat="false" ht="15" hidden="false" customHeight="false" outlineLevel="0" collapsed="false">
      <c r="A635" s="20" t="s">
        <v>1405</v>
      </c>
      <c r="E635" s="23"/>
      <c r="F635" s="25"/>
      <c r="G635" s="26"/>
      <c r="H635" s="27"/>
      <c r="I635" s="24" t="str">
        <f aca="false">IF(OR(E635="",E635="!!!",F635="NEW"),"",INDEX(B6:B$630,-1+SUMPRODUCT(MAX(ROW(E6:E$630)*(E635=E6:E$630)))))</f>
        <v/>
      </c>
      <c r="J635" s="24" t="str">
        <f aca="true">IF(OR(E635="",E635="!!!",F635="NEW"),"",COUNTBLANK(OFFSET(A$1,,,SUMPRODUCT(MAX(ROW(E$2:E635)*(E635=E$2:E635)))))-COUNTBLANK(OFFSET(A$1,,,SUMPRODUCT(MAX(ROW(E$1:E634)*(E2=E$1:E634))))))</f>
        <v/>
      </c>
      <c r="K635" s="24" t="str">
        <f aca="false">IF(OR(E635="",E635="!!!",F635="NEW"),"",INDEX(J$1:J634,SUMPRODUCT(MAX(ROW(E$1:E634)*(E635=E$1:E634)))))</f>
        <v/>
      </c>
      <c r="L635" s="21"/>
    </row>
    <row r="636" customFormat="false" ht="15" hidden="false" customHeight="false" outlineLevel="0" collapsed="false">
      <c r="A636" s="20" t="s">
        <v>127</v>
      </c>
      <c r="E636" s="23"/>
      <c r="F636" s="25"/>
      <c r="G636" s="26"/>
      <c r="H636" s="27"/>
      <c r="I636" s="24" t="str">
        <f aca="false">IF(OR(E636="",E636="!!!",F636="NEW"),"",INDEX(B7:B$630,-1+SUMPRODUCT(MAX(ROW(E7:E$630)*(E636=E7:E$630)))))</f>
        <v/>
      </c>
      <c r="J636" s="24" t="str">
        <f aca="true">IF(OR(E636="",E636="!!!",F636="NEW"),"",COUNTBLANK(OFFSET(A$1,,,SUMPRODUCT(MAX(ROW(E$2:E636)*(E636=E$2:E636)))))-COUNTBLANK(OFFSET(A$1,,,SUMPRODUCT(MAX(ROW(E$1:E635)*(E2=E$1:E635))))))</f>
        <v/>
      </c>
      <c r="K636" s="24" t="str">
        <f aca="false">IF(OR(E636="",E636="!!!",F636="NEW"),"",INDEX(J$1:J635,SUMPRODUCT(MAX(ROW(E$1:E635)*(E636=E$1:E635)))))</f>
        <v/>
      </c>
      <c r="L636" s="21"/>
    </row>
    <row r="637" customFormat="false" ht="15" hidden="false" customHeight="false" outlineLevel="0" collapsed="false">
      <c r="A637" s="20" t="s">
        <v>1189</v>
      </c>
      <c r="B637" s="22" t="s">
        <v>1073</v>
      </c>
      <c r="C637" s="22" t="s">
        <v>1099</v>
      </c>
      <c r="D637" s="22" t="s">
        <v>1060</v>
      </c>
      <c r="E637" s="23" t="s">
        <v>1371</v>
      </c>
      <c r="F637" s="23" t="s">
        <v>1083</v>
      </c>
      <c r="G637" s="23" t="s">
        <v>1084</v>
      </c>
      <c r="H637" s="23"/>
      <c r="I637" s="24" t="n">
        <f aca="false">IF(OR(E637="",E637="!!!",F637="NEW"),"",INDEX(B8:B$630,-1+SUMPRODUCT(MAX(ROW(E8:E$630)*(E637=E8:E$630)))))</f>
        <v>0</v>
      </c>
      <c r="J637" s="24" t="n">
        <f aca="true">IF(OR(E637="",E637="!!!",F637="NEW"),"",COUNTBLANK(OFFSET(A$1,,,SUMPRODUCT(MAX(ROW(E$2:E637)*(E637=E$2:E637)))))-COUNTBLANK(OFFSET(A$1,,,SUMPRODUCT(MAX(ROW(E$1:E636)*(E2=E$1:E636))))))</f>
        <v>0</v>
      </c>
      <c r="K637" s="24" t="n">
        <f aca="false">IF(OR(E637="",E637="!!!",F637="NEW"),"",INDEX(J$1:J636,SUMPRODUCT(MAX(ROW(E$1:E636)*(E637=E$1:E636)))))</f>
        <v>0</v>
      </c>
      <c r="L637" s="21"/>
    </row>
    <row r="638" customFormat="false" ht="15" hidden="false" customHeight="false" outlineLevel="0" collapsed="false">
      <c r="A638" s="20" t="s">
        <v>1309</v>
      </c>
      <c r="E638" s="23"/>
      <c r="F638" s="25"/>
      <c r="G638" s="26"/>
      <c r="H638" s="27"/>
      <c r="I638" s="24" t="str">
        <f aca="false">IF(OR(E638="",E638="!!!",F638="NEW"),"",INDEX(B9:B$630,-1+SUMPRODUCT(MAX(ROW(E9:E$630)*(E638=E9:E$630)))))</f>
        <v/>
      </c>
      <c r="J638" s="24" t="str">
        <f aca="true">IF(OR(E638="",E638="!!!",F638="NEW"),"",COUNTBLANK(OFFSET(A$1,,,SUMPRODUCT(MAX(ROW(E$2:E638)*(E638=E$2:E638)))))-COUNTBLANK(OFFSET(A$1,,,SUMPRODUCT(MAX(ROW(E$1:E637)*(E2=E$1:E637))))))</f>
        <v/>
      </c>
      <c r="K638" s="24" t="str">
        <f aca="false">IF(OR(E638="",E638="!!!",F638="NEW"),"",INDEX(J$1:J637,SUMPRODUCT(MAX(ROW(E$1:E637)*(E638=E$1:E637)))))</f>
        <v/>
      </c>
      <c r="L638" s="21"/>
    </row>
    <row r="639" customFormat="false" ht="15" hidden="false" customHeight="false" outlineLevel="0" collapsed="false">
      <c r="A639" s="20" t="s">
        <v>1406</v>
      </c>
      <c r="B639" s="22" t="s">
        <v>1081</v>
      </c>
      <c r="C639" s="22" t="s">
        <v>1059</v>
      </c>
      <c r="D639" s="22" t="s">
        <v>1060</v>
      </c>
      <c r="E639" s="23" t="s">
        <v>1407</v>
      </c>
      <c r="F639" s="23" t="s">
        <v>1062</v>
      </c>
      <c r="G639" s="23" t="s">
        <v>1172</v>
      </c>
      <c r="H639" s="23"/>
      <c r="I639" s="24" t="str">
        <f aca="false">IF(OR(E639="",E639="!!!",F639="NEW"),"",INDEX(B10:B$630,-1+SUMPRODUCT(MAX(ROW(E10:E$630)*(E639=E10:E$630)))))</f>
        <v/>
      </c>
      <c r="J639" s="24" t="str">
        <f aca="true">IF(OR(E639="",E639="!!!",F639="NEW"),"",COUNTBLANK(OFFSET(A$1,,,SUMPRODUCT(MAX(ROW(E$2:E639)*(E639=E$2:E639)))))-COUNTBLANK(OFFSET(A$1,,,SUMPRODUCT(MAX(ROW(E$1:E638)*(E2=E$1:E638))))))</f>
        <v/>
      </c>
      <c r="K639" s="24" t="str">
        <f aca="false">IF(OR(E639="",E639="!!!",F639="NEW"),"",INDEX(J$1:J638,SUMPRODUCT(MAX(ROW(E$1:E638)*(E639=E$1:E638)))))</f>
        <v/>
      </c>
      <c r="L639" s="21"/>
    </row>
    <row r="640" customFormat="false" ht="15" hidden="false" customHeight="false" outlineLevel="0" collapsed="false">
      <c r="A640" s="20" t="s">
        <v>728</v>
      </c>
      <c r="E640" s="23"/>
      <c r="F640" s="25"/>
      <c r="G640" s="26"/>
      <c r="H640" s="27"/>
      <c r="I640" s="24" t="str">
        <f aca="false">IF(OR(E640="",E640="!!!",F640="NEW"),"",INDEX(B11:B$630,-1+SUMPRODUCT(MAX(ROW(E11:E$630)*(E640=E11:E$630)))))</f>
        <v/>
      </c>
      <c r="J640" s="24" t="str">
        <f aca="true">IF(OR(E640="",E640="!!!",F640="NEW"),"",COUNTBLANK(OFFSET(A$1,,,SUMPRODUCT(MAX(ROW(E$2:E640)*(E640=E$2:E640)))))-COUNTBLANK(OFFSET(A$1,,,SUMPRODUCT(MAX(ROW(E$1:E639)*(E2=E$1:E639))))))</f>
        <v/>
      </c>
      <c r="K640" s="24" t="str">
        <f aca="false">IF(OR(E640="",E640="!!!",F640="NEW"),"",INDEX(J$1:J639,SUMPRODUCT(MAX(ROW(E$1:E639)*(E640=E$1:E639)))))</f>
        <v/>
      </c>
      <c r="L640" s="21"/>
    </row>
    <row r="641" customFormat="false" ht="15" hidden="false" customHeight="false" outlineLevel="0" collapsed="false">
      <c r="A641" s="20" t="s">
        <v>923</v>
      </c>
      <c r="E641" s="23"/>
      <c r="F641" s="25"/>
      <c r="G641" s="26"/>
      <c r="H641" s="27"/>
      <c r="I641" s="24" t="str">
        <f aca="false">IF(OR(E641="",E641="!!!",F641="NEW"),"",INDEX(B12:B$630,-1+SUMPRODUCT(MAX(ROW(E12:E$630)*(E641=E12:E$630)))))</f>
        <v/>
      </c>
      <c r="J641" s="24" t="str">
        <f aca="true">IF(OR(E641="",E641="!!!",F641="NEW"),"",COUNTBLANK(OFFSET(A$1,,,SUMPRODUCT(MAX(ROW(E$2:E641)*(E641=E$2:E641)))))-COUNTBLANK(OFFSET(A$1,,,SUMPRODUCT(MAX(ROW(E$1:E640)*(E2=E$1:E640))))))</f>
        <v/>
      </c>
      <c r="K641" s="24" t="str">
        <f aca="false">IF(OR(E641="",E641="!!!",F641="NEW"),"",INDEX(J$1:J640,SUMPRODUCT(MAX(ROW(E$1:E640)*(E641=E$1:E640)))))</f>
        <v/>
      </c>
      <c r="L641" s="21"/>
    </row>
    <row r="642" customFormat="false" ht="15" hidden="false" customHeight="false" outlineLevel="0" collapsed="false">
      <c r="A642" s="20"/>
      <c r="L642" s="21"/>
    </row>
    <row r="643" customFormat="false" ht="15" hidden="false" customHeight="false" outlineLevel="0" collapsed="false">
      <c r="A643" s="20" t="s">
        <v>1408</v>
      </c>
      <c r="L643" s="21"/>
    </row>
    <row r="644" customFormat="false" ht="15" hidden="false" customHeight="false" outlineLevel="0" collapsed="false">
      <c r="A644" s="20" t="s">
        <v>1409</v>
      </c>
      <c r="E644" s="23"/>
      <c r="F644" s="25"/>
      <c r="G644" s="26"/>
      <c r="H644" s="27"/>
      <c r="I644" s="24" t="str">
        <f aca="false">IF(OR(E644="",E644="!!!",F644="NEW"),"",INDEX(B2:B$643,-1+SUMPRODUCT(MAX(ROW(E2:E$643)*(E644=E2:E$643)))))</f>
        <v/>
      </c>
      <c r="J644" s="24" t="str">
        <f aca="true">IF(OR(E644="",E644="!!!",F644="NEW"),"",COUNTBLANK(OFFSET(A$1,,,SUMPRODUCT(MAX(ROW(E$2:E644)*(E644=E$2:E644)))))-COUNTBLANK(OFFSET(A$1,,,SUMPRODUCT(MAX(ROW(E$1:E643)*(E2=E$1:E643))))))</f>
        <v/>
      </c>
      <c r="K644" s="24" t="str">
        <f aca="false">IF(OR(E644="",E644="!!!",F644="NEW"),"",INDEX(J$1:J643,SUMPRODUCT(MAX(ROW(E$1:E643)*(E644=E$1:E643)))))</f>
        <v/>
      </c>
      <c r="L644" s="21"/>
    </row>
    <row r="645" customFormat="false" ht="15" hidden="false" customHeight="false" outlineLevel="0" collapsed="false">
      <c r="A645" s="20" t="s">
        <v>1410</v>
      </c>
      <c r="E645" s="23"/>
      <c r="F645" s="25"/>
      <c r="G645" s="26"/>
      <c r="H645" s="27"/>
      <c r="I645" s="24" t="str">
        <f aca="false">IF(OR(E645="",E645="!!!",F645="NEW"),"",INDEX(B3:B$643,-1+SUMPRODUCT(MAX(ROW(E3:E$643)*(E645=E3:E$643)))))</f>
        <v/>
      </c>
      <c r="J645" s="24" t="str">
        <f aca="true">IF(OR(E645="",E645="!!!",F645="NEW"),"",COUNTBLANK(OFFSET(A$1,,,SUMPRODUCT(MAX(ROW(E$2:E645)*(E645=E$2:E645)))))-COUNTBLANK(OFFSET(A$1,,,SUMPRODUCT(MAX(ROW(E$1:E644)*(E2=E$1:E644))))))</f>
        <v/>
      </c>
      <c r="K645" s="24" t="str">
        <f aca="false">IF(OR(E645="",E645="!!!",F645="NEW"),"",INDEX(J$1:J644,SUMPRODUCT(MAX(ROW(E$1:E644)*(E645=E$1:E644)))))</f>
        <v/>
      </c>
      <c r="L645" s="21"/>
    </row>
    <row r="646" customFormat="false" ht="15" hidden="false" customHeight="false" outlineLevel="0" collapsed="false">
      <c r="A646" s="20" t="s">
        <v>1339</v>
      </c>
      <c r="E646" s="23"/>
      <c r="F646" s="25"/>
      <c r="G646" s="26"/>
      <c r="H646" s="27"/>
      <c r="I646" s="24" t="str">
        <f aca="false">IF(OR(E646="",E646="!!!",F646="NEW"),"",INDEX(B4:B$643,-1+SUMPRODUCT(MAX(ROW(E4:E$643)*(E646=E4:E$643)))))</f>
        <v/>
      </c>
      <c r="J646" s="24" t="str">
        <f aca="true">IF(OR(E646="",E646="!!!",F646="NEW"),"",COUNTBLANK(OFFSET(A$1,,,SUMPRODUCT(MAX(ROW(E$2:E646)*(E646=E$2:E646)))))-COUNTBLANK(OFFSET(A$1,,,SUMPRODUCT(MAX(ROW(E$1:E645)*(E2=E$1:E645))))))</f>
        <v/>
      </c>
      <c r="K646" s="24" t="str">
        <f aca="false">IF(OR(E646="",E646="!!!",F646="NEW"),"",INDEX(J$1:J645,SUMPRODUCT(MAX(ROW(E$1:E645)*(E646=E$1:E645)))))</f>
        <v/>
      </c>
      <c r="L646" s="21"/>
    </row>
    <row r="647" customFormat="false" ht="15" hidden="false" customHeight="false" outlineLevel="0" collapsed="false">
      <c r="A647" s="20" t="s">
        <v>1411</v>
      </c>
      <c r="B647" s="22" t="s">
        <v>1105</v>
      </c>
      <c r="C647" s="22" t="s">
        <v>1171</v>
      </c>
      <c r="D647" s="22" t="s">
        <v>1060</v>
      </c>
      <c r="E647" s="23" t="s">
        <v>1411</v>
      </c>
      <c r="F647" s="23" t="s">
        <v>1062</v>
      </c>
      <c r="G647" s="23" t="s">
        <v>1063</v>
      </c>
      <c r="H647" s="23"/>
      <c r="I647" s="24" t="str">
        <f aca="false">IF(OR(E647="",E647="!!!",F647="NEW"),"",INDEX(B5:B$643,-1+SUMPRODUCT(MAX(ROW(E5:E$643)*(E647=E5:E$643)))))</f>
        <v/>
      </c>
      <c r="J647" s="24" t="str">
        <f aca="true">IF(OR(E647="",E647="!!!",F647="NEW"),"",COUNTBLANK(OFFSET(A$1,,,SUMPRODUCT(MAX(ROW(E$2:E647)*(E647=E$2:E647)))))-COUNTBLANK(OFFSET(A$1,,,SUMPRODUCT(MAX(ROW(E$1:E646)*(E2=E$1:E646))))))</f>
        <v/>
      </c>
      <c r="K647" s="24" t="str">
        <f aca="false">IF(OR(E647="",E647="!!!",F647="NEW"),"",INDEX(J$1:J646,SUMPRODUCT(MAX(ROW(E$1:E646)*(E647=E$1:E646)))))</f>
        <v/>
      </c>
      <c r="L647" s="21"/>
    </row>
    <row r="648" customFormat="false" ht="15" hidden="false" customHeight="false" outlineLevel="0" collapsed="false">
      <c r="A648" s="20" t="s">
        <v>1076</v>
      </c>
      <c r="E648" s="23"/>
      <c r="F648" s="25"/>
      <c r="G648" s="26"/>
      <c r="H648" s="27"/>
      <c r="I648" s="24" t="str">
        <f aca="false">IF(OR(E648="",E648="!!!",F648="NEW"),"",INDEX(B6:B$643,-1+SUMPRODUCT(MAX(ROW(E6:E$643)*(E648=E6:E$643)))))</f>
        <v/>
      </c>
      <c r="J648" s="24" t="str">
        <f aca="true">IF(OR(E648="",E648="!!!",F648="NEW"),"",COUNTBLANK(OFFSET(A$1,,,SUMPRODUCT(MAX(ROW(E$2:E648)*(E648=E$2:E648)))))-COUNTBLANK(OFFSET(A$1,,,SUMPRODUCT(MAX(ROW(E$1:E647)*(E2=E$1:E647))))))</f>
        <v/>
      </c>
      <c r="K648" s="24" t="str">
        <f aca="false">IF(OR(E648="",E648="!!!",F648="NEW"),"",INDEX(J$1:J647,SUMPRODUCT(MAX(ROW(E$1:E647)*(E648=E$1:E647)))))</f>
        <v/>
      </c>
      <c r="L648" s="21"/>
    </row>
    <row r="649" customFormat="false" ht="15" hidden="false" customHeight="false" outlineLevel="0" collapsed="false">
      <c r="A649" s="20" t="s">
        <v>1305</v>
      </c>
      <c r="B649" s="22" t="s">
        <v>1073</v>
      </c>
      <c r="C649" s="22" t="s">
        <v>1068</v>
      </c>
      <c r="D649" s="22" t="s">
        <v>1060</v>
      </c>
      <c r="E649" s="23" t="s">
        <v>1305</v>
      </c>
      <c r="F649" s="23" t="s">
        <v>1083</v>
      </c>
      <c r="G649" s="23" t="s">
        <v>1084</v>
      </c>
      <c r="H649" s="23"/>
      <c r="I649" s="24" t="n">
        <f aca="false">IF(OR(E649="",E649="!!!",F649="NEW"),"",INDEX(B7:B$643,-1+SUMPRODUCT(MAX(ROW(E7:E$643)*(E649=E7:E$643)))))</f>
        <v>0</v>
      </c>
      <c r="J649" s="24" t="n">
        <f aca="true">IF(OR(E649="",E649="!!!",F649="NEW"),"",COUNTBLANK(OFFSET(A$1,,,SUMPRODUCT(MAX(ROW(E$2:E649)*(E649=E$2:E649)))))-COUNTBLANK(OFFSET(A$1,,,SUMPRODUCT(MAX(ROW(E$1:E648)*(E2=E$1:E648))))))</f>
        <v>0</v>
      </c>
      <c r="K649" s="24" t="n">
        <f aca="false">IF(OR(E649="",E649="!!!",F649="NEW"),"",INDEX(J$1:J648,SUMPRODUCT(MAX(ROW(E$1:E648)*(E649=E$1:E648)))))</f>
        <v>0</v>
      </c>
      <c r="L649" s="21"/>
    </row>
    <row r="650" customFormat="false" ht="15" hidden="false" customHeight="false" outlineLevel="0" collapsed="false">
      <c r="A650" s="20" t="s">
        <v>923</v>
      </c>
      <c r="E650" s="23"/>
      <c r="F650" s="25"/>
      <c r="G650" s="26"/>
      <c r="H650" s="27"/>
      <c r="I650" s="24" t="str">
        <f aca="false">IF(OR(E650="",E650="!!!",F650="NEW"),"",INDEX(B8:B$643,-1+SUMPRODUCT(MAX(ROW(E8:E$643)*(E650=E8:E$643)))))</f>
        <v/>
      </c>
      <c r="J650" s="24" t="str">
        <f aca="true">IF(OR(E650="",E650="!!!",F650="NEW"),"",COUNTBLANK(OFFSET(A$1,,,SUMPRODUCT(MAX(ROW(E$2:E650)*(E650=E$2:E650)))))-COUNTBLANK(OFFSET(A$1,,,SUMPRODUCT(MAX(ROW(E$1:E649)*(E2=E$1:E649))))))</f>
        <v/>
      </c>
      <c r="K650" s="24" t="str">
        <f aca="false">IF(OR(E650="",E650="!!!",F650="NEW"),"",INDEX(J$1:J649,SUMPRODUCT(MAX(ROW(E$1:E649)*(E650=E$1:E649)))))</f>
        <v/>
      </c>
      <c r="L650" s="21"/>
    </row>
    <row r="651" customFormat="false" ht="15" hidden="false" customHeight="false" outlineLevel="0" collapsed="false">
      <c r="A651" s="20"/>
      <c r="L651" s="21" t="s">
        <v>1412</v>
      </c>
    </row>
    <row r="652" customFormat="false" ht="15" hidden="false" customHeight="false" outlineLevel="0" collapsed="false">
      <c r="A652" s="20" t="s">
        <v>1413</v>
      </c>
      <c r="L652" s="21"/>
    </row>
    <row r="653" customFormat="false" ht="15" hidden="false" customHeight="false" outlineLevel="0" collapsed="false">
      <c r="A653" s="20" t="s">
        <v>1335</v>
      </c>
      <c r="B653" s="22" t="s">
        <v>1058</v>
      </c>
      <c r="C653" s="22" t="s">
        <v>1082</v>
      </c>
      <c r="D653" s="22" t="s">
        <v>1060</v>
      </c>
      <c r="E653" s="23" t="s">
        <v>1163</v>
      </c>
      <c r="F653" s="23" t="s">
        <v>1083</v>
      </c>
      <c r="G653" s="23" t="s">
        <v>1120</v>
      </c>
      <c r="H653" s="23"/>
      <c r="I653" s="24" t="str">
        <f aca="false">IF(OR(E653="",E653="!!!",F653="NEW"),"",INDEX(B2:B$652,-1+SUMPRODUCT(MAX(ROW(E2:E$652)*(E653=E2:E$652)))))</f>
        <v>SBJ</v>
      </c>
      <c r="J653" s="24" t="n">
        <f aca="true">IF(OR(E653="",E653="!!!",F653="NEW"),"",COUNTBLANK(OFFSET(A$1,,,SUMPRODUCT(MAX(ROW(E$2:E653)*(E653=E$2:E653)))))-COUNTBLANK(OFFSET(A$1,,,SUMPRODUCT(MAX(ROW(E$1:E652)*(E2=E$1:E652))))))</f>
        <v>0</v>
      </c>
      <c r="K653" s="24" t="n">
        <f aca="false">IF(OR(E653="",E653="!!!",F653="NEW"),"",INDEX(J$1:J652,SUMPRODUCT(MAX(ROW(E$1:E652)*(E653=E$1:E652)))))</f>
        <v>0</v>
      </c>
      <c r="L653" s="21"/>
    </row>
    <row r="654" customFormat="false" ht="15" hidden="false" customHeight="false" outlineLevel="0" collapsed="false">
      <c r="A654" s="20" t="s">
        <v>576</v>
      </c>
      <c r="E654" s="23"/>
      <c r="F654" s="25"/>
      <c r="G654" s="26"/>
      <c r="H654" s="27"/>
      <c r="I654" s="24" t="str">
        <f aca="false">IF(OR(E654="",E654="!!!",F654="NEW"),"",INDEX(B3:B$652,-1+SUMPRODUCT(MAX(ROW(E3:E$652)*(E654=E3:E$652)))))</f>
        <v/>
      </c>
      <c r="J654" s="24" t="str">
        <f aca="true">IF(OR(E654="",E654="!!!",F654="NEW"),"",COUNTBLANK(OFFSET(A$1,,,SUMPRODUCT(MAX(ROW(E$2:E654)*(E654=E$2:E654)))))-COUNTBLANK(OFFSET(A$1,,,SUMPRODUCT(MAX(ROW(E$1:E653)*(E2=E$1:E653))))))</f>
        <v/>
      </c>
      <c r="K654" s="24" t="str">
        <f aca="false">IF(OR(E654="",E654="!!!",F654="NEW"),"",INDEX(J$1:J653,SUMPRODUCT(MAX(ROW(E$1:E653)*(E654=E$1:E653)))))</f>
        <v/>
      </c>
      <c r="L654" s="21"/>
    </row>
    <row r="655" customFormat="false" ht="15" hidden="false" customHeight="false" outlineLevel="0" collapsed="false">
      <c r="A655" s="20" t="s">
        <v>1414</v>
      </c>
      <c r="E655" s="23"/>
      <c r="F655" s="25"/>
      <c r="G655" s="26"/>
      <c r="H655" s="27"/>
      <c r="I655" s="24" t="str">
        <f aca="false">IF(OR(E655="",E655="!!!",F655="NEW"),"",INDEX(B4:B$652,-1+SUMPRODUCT(MAX(ROW(E4:E$652)*(E655=E4:E$652)))))</f>
        <v/>
      </c>
      <c r="J655" s="24" t="str">
        <f aca="true">IF(OR(E655="",E655="!!!",F655="NEW"),"",COUNTBLANK(OFFSET(A$1,,,SUMPRODUCT(MAX(ROW(E$2:E655)*(E655=E$2:E655)))))-COUNTBLANK(OFFSET(A$1,,,SUMPRODUCT(MAX(ROW(E$1:E654)*(E2=E$1:E654))))))</f>
        <v/>
      </c>
      <c r="K655" s="24" t="str">
        <f aca="false">IF(OR(E655="",E655="!!!",F655="NEW"),"",INDEX(J$1:J654,SUMPRODUCT(MAX(ROW(E$1:E654)*(E655=E$1:E654)))))</f>
        <v/>
      </c>
      <c r="L655" s="21"/>
    </row>
    <row r="656" customFormat="false" ht="15" hidden="false" customHeight="false" outlineLevel="0" collapsed="false">
      <c r="A656" s="20" t="s">
        <v>1415</v>
      </c>
      <c r="E656" s="23"/>
      <c r="F656" s="25"/>
      <c r="G656" s="26"/>
      <c r="H656" s="27"/>
      <c r="I656" s="24" t="str">
        <f aca="false">IF(OR(E656="",E656="!!!",F656="NEW"),"",INDEX(B5:B$652,-1+SUMPRODUCT(MAX(ROW(E5:E$652)*(E656=E5:E$652)))))</f>
        <v/>
      </c>
      <c r="J656" s="24" t="str">
        <f aca="true">IF(OR(E656="",E656="!!!",F656="NEW"),"",COUNTBLANK(OFFSET(A$1,,,SUMPRODUCT(MAX(ROW(E$2:E656)*(E656=E$2:E656)))))-COUNTBLANK(OFFSET(A$1,,,SUMPRODUCT(MAX(ROW(E$1:E655)*(E2=E$1:E655))))))</f>
        <v/>
      </c>
      <c r="K656" s="24" t="str">
        <f aca="false">IF(OR(E656="",E656="!!!",F656="NEW"),"",INDEX(J$1:J655,SUMPRODUCT(MAX(ROW(E$1:E655)*(E656=E$1:E655)))))</f>
        <v/>
      </c>
      <c r="L656" s="21"/>
    </row>
    <row r="657" customFormat="false" ht="15" hidden="false" customHeight="false" outlineLevel="0" collapsed="false">
      <c r="A657" s="20" t="s">
        <v>1109</v>
      </c>
      <c r="E657" s="23"/>
      <c r="F657" s="25"/>
      <c r="G657" s="26"/>
      <c r="H657" s="27"/>
      <c r="I657" s="24" t="str">
        <f aca="false">IF(OR(E657="",E657="!!!",F657="NEW"),"",INDEX(B6:B$652,-1+SUMPRODUCT(MAX(ROW(E6:E$652)*(E657=E6:E$652)))))</f>
        <v/>
      </c>
      <c r="J657" s="24" t="str">
        <f aca="true">IF(OR(E657="",E657="!!!",F657="NEW"),"",COUNTBLANK(OFFSET(A$1,,,SUMPRODUCT(MAX(ROW(E$2:E657)*(E657=E$2:E657)))))-COUNTBLANK(OFFSET(A$1,,,SUMPRODUCT(MAX(ROW(E$1:E656)*(E2=E$1:E656))))))</f>
        <v/>
      </c>
      <c r="K657" s="24" t="str">
        <f aca="false">IF(OR(E657="",E657="!!!",F657="NEW"),"",INDEX(J$1:J656,SUMPRODUCT(MAX(ROW(E$1:E656)*(E657=E$1:E656)))))</f>
        <v/>
      </c>
      <c r="L657" s="21"/>
    </row>
    <row r="658" customFormat="false" ht="15" hidden="false" customHeight="false" outlineLevel="0" collapsed="false">
      <c r="A658" s="20" t="s">
        <v>1269</v>
      </c>
      <c r="B658" s="22" t="s">
        <v>1105</v>
      </c>
      <c r="C658" s="22" t="s">
        <v>1150</v>
      </c>
      <c r="D658" s="22" t="s">
        <v>1060</v>
      </c>
      <c r="E658" s="23" t="s">
        <v>1300</v>
      </c>
      <c r="F658" s="23" t="s">
        <v>1083</v>
      </c>
      <c r="G658" s="23" t="s">
        <v>1070</v>
      </c>
      <c r="H658" s="23"/>
      <c r="I658" s="24" t="n">
        <f aca="false">IF(OR(E658="",E658="!!!",F658="NEW"),"",INDEX(B7:B$652,-1+SUMPRODUCT(MAX(ROW(E7:E$652)*(E658=E7:E$652)))))</f>
        <v>0</v>
      </c>
      <c r="J658" s="24" t="n">
        <f aca="true">IF(OR(E658="",E658="!!!",F658="NEW"),"",COUNTBLANK(OFFSET(A$1,,,SUMPRODUCT(MAX(ROW(E$2:E658)*(E658=E$2:E658)))))-COUNTBLANK(OFFSET(A$1,,,SUMPRODUCT(MAX(ROW(E$1:E657)*(E2=E$1:E657))))))</f>
        <v>0</v>
      </c>
      <c r="K658" s="24" t="n">
        <f aca="false">IF(OR(E658="",E658="!!!",F658="NEW"),"",INDEX(J$1:J657,SUMPRODUCT(MAX(ROW(E$1:E657)*(E658=E$1:E657)))))</f>
        <v>0</v>
      </c>
      <c r="L658" s="21"/>
    </row>
    <row r="659" customFormat="false" ht="15" hidden="false" customHeight="false" outlineLevel="0" collapsed="false">
      <c r="A659" s="20" t="s">
        <v>1076</v>
      </c>
      <c r="E659" s="23"/>
      <c r="F659" s="25"/>
      <c r="G659" s="26"/>
      <c r="H659" s="27"/>
      <c r="I659" s="24" t="str">
        <f aca="false">IF(OR(E659="",E659="!!!",F659="NEW"),"",INDEX(B8:B$652,-1+SUMPRODUCT(MAX(ROW(E8:E$652)*(E659=E8:E$652)))))</f>
        <v/>
      </c>
      <c r="J659" s="24" t="str">
        <f aca="true">IF(OR(E659="",E659="!!!",F659="NEW"),"",COUNTBLANK(OFFSET(A$1,,,SUMPRODUCT(MAX(ROW(E$2:E659)*(E659=E$2:E659)))))-COUNTBLANK(OFFSET(A$1,,,SUMPRODUCT(MAX(ROW(E$1:E658)*(E2=E$1:E658))))))</f>
        <v/>
      </c>
      <c r="K659" s="24" t="str">
        <f aca="false">IF(OR(E659="",E659="!!!",F659="NEW"),"",INDEX(J$1:J658,SUMPRODUCT(MAX(ROW(E$1:E658)*(E659=E$1:E658)))))</f>
        <v/>
      </c>
      <c r="L659" s="21"/>
    </row>
    <row r="660" customFormat="false" ht="15" hidden="false" customHeight="false" outlineLevel="0" collapsed="false">
      <c r="A660" s="20" t="s">
        <v>576</v>
      </c>
      <c r="E660" s="23"/>
      <c r="F660" s="25"/>
      <c r="G660" s="26"/>
      <c r="H660" s="27"/>
      <c r="I660" s="24" t="str">
        <f aca="false">IF(OR(E660="",E660="!!!",F660="NEW"),"",INDEX(B9:B$652,-1+SUMPRODUCT(MAX(ROW(E9:E$652)*(E660=E9:E$652)))))</f>
        <v/>
      </c>
      <c r="J660" s="24" t="str">
        <f aca="true">IF(OR(E660="",E660="!!!",F660="NEW"),"",COUNTBLANK(OFFSET(A$1,,,SUMPRODUCT(MAX(ROW(E$2:E660)*(E660=E$2:E660)))))-COUNTBLANK(OFFSET(A$1,,,SUMPRODUCT(MAX(ROW(E$1:E659)*(E2=E$1:E659))))))</f>
        <v/>
      </c>
      <c r="K660" s="24" t="str">
        <f aca="false">IF(OR(E660="",E660="!!!",F660="NEW"),"",INDEX(J$1:J659,SUMPRODUCT(MAX(ROW(E$1:E659)*(E660=E$1:E659)))))</f>
        <v/>
      </c>
      <c r="L660" s="21"/>
    </row>
    <row r="661" customFormat="false" ht="15" hidden="false" customHeight="false" outlineLevel="0" collapsed="false">
      <c r="A661" s="20" t="s">
        <v>1304</v>
      </c>
      <c r="B661" s="22" t="s">
        <v>1086</v>
      </c>
      <c r="C661" s="22" t="s">
        <v>1082</v>
      </c>
      <c r="D661" s="22" t="s">
        <v>1060</v>
      </c>
      <c r="E661" s="23" t="s">
        <v>1163</v>
      </c>
      <c r="F661" s="23" t="s">
        <v>1083</v>
      </c>
      <c r="G661" s="23" t="s">
        <v>1084</v>
      </c>
      <c r="H661" s="23"/>
      <c r="I661" s="24" t="n">
        <f aca="false">IF(OR(E661="",E661="!!!",F661="NEW"),"",INDEX(B10:B$652,-1+SUMPRODUCT(MAX(ROW(E10:E$652)*(E661=E10:E$652)))))</f>
        <v>0</v>
      </c>
      <c r="J661" s="24" t="n">
        <f aca="true">IF(OR(E661="",E661="!!!",F661="NEW"),"",COUNTBLANK(OFFSET(A$1,,,SUMPRODUCT(MAX(ROW(E$2:E661)*(E661=E$2:E661)))))-COUNTBLANK(OFFSET(A$1,,,SUMPRODUCT(MAX(ROW(E$1:E660)*(E2=E$1:E660))))))</f>
        <v>0</v>
      </c>
      <c r="K661" s="24" t="n">
        <f aca="false">IF(OR(E661="",E661="!!!",F661="NEW"),"",INDEX(J$1:J660,SUMPRODUCT(MAX(ROW(E$1:E660)*(E661=E$1:E660)))))</f>
        <v>0</v>
      </c>
      <c r="L661" s="21"/>
    </row>
    <row r="662" customFormat="false" ht="15" hidden="false" customHeight="false" outlineLevel="0" collapsed="false">
      <c r="A662" s="20" t="s">
        <v>1279</v>
      </c>
      <c r="E662" s="23"/>
      <c r="F662" s="25"/>
      <c r="G662" s="26"/>
      <c r="H662" s="27"/>
      <c r="I662" s="24" t="str">
        <f aca="false">IF(OR(E662="",E662="!!!",F662="NEW"),"",INDEX(B11:B$652,-1+SUMPRODUCT(MAX(ROW(E11:E$652)*(E662=E11:E$652)))))</f>
        <v/>
      </c>
      <c r="J662" s="24" t="str">
        <f aca="true">IF(OR(E662="",E662="!!!",F662="NEW"),"",COUNTBLANK(OFFSET(A$1,,,SUMPRODUCT(MAX(ROW(E$2:E662)*(E662=E$2:E662)))))-COUNTBLANK(OFFSET(A$1,,,SUMPRODUCT(MAX(ROW(E$1:E661)*(E2=E$1:E661))))))</f>
        <v/>
      </c>
      <c r="K662" s="24" t="str">
        <f aca="false">IF(OR(E662="",E662="!!!",F662="NEW"),"",INDEX(J$1:J661,SUMPRODUCT(MAX(ROW(E$1:E661)*(E662=E$1:E661)))))</f>
        <v/>
      </c>
      <c r="L662" s="21"/>
    </row>
    <row r="663" customFormat="false" ht="15" hidden="false" customHeight="false" outlineLevel="0" collapsed="false">
      <c r="A663" s="20" t="s">
        <v>1076</v>
      </c>
      <c r="E663" s="23"/>
      <c r="F663" s="25"/>
      <c r="G663" s="26"/>
      <c r="H663" s="27"/>
      <c r="I663" s="24" t="str">
        <f aca="false">IF(OR(E663="",E663="!!!",F663="NEW"),"",INDEX(B12:B$652,-1+SUMPRODUCT(MAX(ROW(E12:E$652)*(E663=E12:E$652)))))</f>
        <v/>
      </c>
      <c r="J663" s="24" t="str">
        <f aca="true">IF(OR(E663="",E663="!!!",F663="NEW"),"",COUNTBLANK(OFFSET(A$1,,,SUMPRODUCT(MAX(ROW(E$2:E663)*(E663=E$2:E663)))))-COUNTBLANK(OFFSET(A$1,,,SUMPRODUCT(MAX(ROW(E$1:E662)*(E2=E$1:E662))))))</f>
        <v/>
      </c>
      <c r="K663" s="24" t="str">
        <f aca="false">IF(OR(E663="",E663="!!!",F663="NEW"),"",INDEX(J$1:J662,SUMPRODUCT(MAX(ROW(E$1:E662)*(E663=E$1:E662)))))</f>
        <v/>
      </c>
      <c r="L663" s="21"/>
    </row>
    <row r="664" customFormat="false" ht="15" hidden="false" customHeight="false" outlineLevel="0" collapsed="false">
      <c r="A664" s="20" t="s">
        <v>1163</v>
      </c>
      <c r="B664" s="22" t="s">
        <v>1105</v>
      </c>
      <c r="C664" s="22" t="s">
        <v>1068</v>
      </c>
      <c r="D664" s="22" t="s">
        <v>1060</v>
      </c>
      <c r="E664" s="23" t="s">
        <v>1163</v>
      </c>
      <c r="F664" s="23" t="s">
        <v>1083</v>
      </c>
      <c r="G664" s="23" t="s">
        <v>1084</v>
      </c>
      <c r="H664" s="23"/>
      <c r="I664" s="24" t="n">
        <f aca="false">IF(OR(E664="",E664="!!!",F664="NEW"),"",INDEX(B13:B$652,-1+SUMPRODUCT(MAX(ROW(E13:E$652)*(E664=E13:E$652)))))</f>
        <v>0</v>
      </c>
      <c r="J664" s="24" t="n">
        <f aca="true">IF(OR(E664="",E664="!!!",F664="NEW"),"",COUNTBLANK(OFFSET(A$1,,,SUMPRODUCT(MAX(ROW(E$2:E664)*(E664=E$2:E664)))))-COUNTBLANK(OFFSET(A$1,,,SUMPRODUCT(MAX(ROW(E$1:E663)*(E2=E$1:E663))))))</f>
        <v>0</v>
      </c>
      <c r="K664" s="24" t="n">
        <f aca="false">IF(OR(E664="",E664="!!!",F664="NEW"),"",INDEX(J$1:J663,SUMPRODUCT(MAX(ROW(E$1:E663)*(E664=E$1:E663)))))</f>
        <v>0</v>
      </c>
      <c r="L664" s="21"/>
    </row>
    <row r="665" customFormat="false" ht="15" hidden="false" customHeight="false" outlineLevel="0" collapsed="false">
      <c r="A665" s="20" t="s">
        <v>1307</v>
      </c>
      <c r="E665" s="23"/>
      <c r="F665" s="25"/>
      <c r="G665" s="26"/>
      <c r="H665" s="27"/>
      <c r="I665" s="24" t="str">
        <f aca="false">IF(OR(E665="",E665="!!!",F665="NEW"),"",INDEX(B14:B$652,-1+SUMPRODUCT(MAX(ROW(E14:E$652)*(E665=E14:E$652)))))</f>
        <v/>
      </c>
      <c r="J665" s="24" t="str">
        <f aca="true">IF(OR(E665="",E665="!!!",F665="NEW"),"",COUNTBLANK(OFFSET(A$1,,,SUMPRODUCT(MAX(ROW(E$2:E665)*(E665=E$2:E665)))))-COUNTBLANK(OFFSET(A$1,,,SUMPRODUCT(MAX(ROW(E$1:E664)*(E2=E$1:E664))))))</f>
        <v/>
      </c>
      <c r="K665" s="24" t="str">
        <f aca="false">IF(OR(E665="",E665="!!!",F665="NEW"),"",INDEX(J$1:J664,SUMPRODUCT(MAX(ROW(E$1:E664)*(E665=E$1:E664)))))</f>
        <v/>
      </c>
      <c r="L665" s="21"/>
    </row>
    <row r="666" customFormat="false" ht="15" hidden="false" customHeight="false" outlineLevel="0" collapsed="false">
      <c r="A666" s="20"/>
      <c r="L666" s="21"/>
    </row>
    <row r="667" customFormat="false" ht="15" hidden="false" customHeight="false" outlineLevel="0" collapsed="false">
      <c r="A667" s="20" t="s">
        <v>1416</v>
      </c>
      <c r="L667" s="21"/>
    </row>
    <row r="668" customFormat="false" ht="15" hidden="false" customHeight="false" outlineLevel="0" collapsed="false">
      <c r="A668" s="20" t="s">
        <v>1417</v>
      </c>
      <c r="E668" s="23"/>
      <c r="F668" s="25"/>
      <c r="G668" s="26"/>
      <c r="H668" s="27"/>
      <c r="I668" s="24" t="str">
        <f aca="false">IF(OR(E668="",E668="!!!",F668="NEW"),"",INDEX(B2:B$667,-1+SUMPRODUCT(MAX(ROW(E2:E$667)*(E668=E2:E$667)))))</f>
        <v/>
      </c>
      <c r="J668" s="24" t="str">
        <f aca="true">IF(OR(E668="",E668="!!!",F668="NEW"),"",COUNTBLANK(OFFSET(A$1,,,SUMPRODUCT(MAX(ROW(E$2:E668)*(E668=E$2:E668)))))-COUNTBLANK(OFFSET(A$1,,,SUMPRODUCT(MAX(ROW(E$1:E667)*(E2=E$1:E667))))))</f>
        <v/>
      </c>
      <c r="K668" s="24" t="str">
        <f aca="false">IF(OR(E668="",E668="!!!",F668="NEW"),"",INDEX(J$1:J667,SUMPRODUCT(MAX(ROW(E$1:E667)*(E668=E$1:E667)))))</f>
        <v/>
      </c>
      <c r="L668" s="21"/>
    </row>
    <row r="669" customFormat="false" ht="15" hidden="false" customHeight="false" outlineLevel="0" collapsed="false">
      <c r="A669" s="20" t="s">
        <v>1304</v>
      </c>
      <c r="B669" s="22" t="s">
        <v>1058</v>
      </c>
      <c r="C669" s="22" t="s">
        <v>1082</v>
      </c>
      <c r="D669" s="22" t="s">
        <v>1060</v>
      </c>
      <c r="E669" s="23" t="s">
        <v>1163</v>
      </c>
      <c r="F669" s="23" t="s">
        <v>1083</v>
      </c>
      <c r="G669" s="23" t="s">
        <v>1084</v>
      </c>
      <c r="H669" s="23" t="s">
        <v>1052</v>
      </c>
      <c r="I669" s="24" t="n">
        <f aca="false">IF(OR(E669="",E669="!!!",F669="NEW"),"",INDEX(B3:B$667,-1+SUMPRODUCT(MAX(ROW(E3:E$667)*(E669=E3:E$667)))))</f>
        <v>0</v>
      </c>
      <c r="J669" s="24" t="n">
        <f aca="true">IF(OR(E669="",E669="!!!",F669="NEW"),"",COUNTBLANK(OFFSET(A$1,,,SUMPRODUCT(MAX(ROW(E$2:E669)*(E669=E$2:E669)))))-COUNTBLANK(OFFSET(A$1,,,SUMPRODUCT(MAX(ROW(E$1:E668)*(E2=E$1:E668))))))</f>
        <v>0</v>
      </c>
      <c r="K669" s="24" t="n">
        <f aca="false">IF(OR(E669="",E669="!!!",F669="NEW"),"",INDEX(J$1:J668,SUMPRODUCT(MAX(ROW(E$1:E668)*(E669=E$1:E668)))))</f>
        <v>0</v>
      </c>
      <c r="L669" s="21"/>
    </row>
    <row r="670" customFormat="false" ht="15" hidden="false" customHeight="false" outlineLevel="0" collapsed="false">
      <c r="A670" s="20" t="s">
        <v>146</v>
      </c>
      <c r="E670" s="23"/>
      <c r="F670" s="25"/>
      <c r="G670" s="26"/>
      <c r="H670" s="27"/>
      <c r="I670" s="24" t="str">
        <f aca="false">IF(OR(E670="",E670="!!!",F670="NEW"),"",INDEX(B4:B$667,-1+SUMPRODUCT(MAX(ROW(E4:E$667)*(E670=E4:E$667)))))</f>
        <v/>
      </c>
      <c r="J670" s="24" t="str">
        <f aca="true">IF(OR(E670="",E670="!!!",F670="NEW"),"",COUNTBLANK(OFFSET(A$1,,,SUMPRODUCT(MAX(ROW(E$2:E670)*(E670=E$2:E670)))))-COUNTBLANK(OFFSET(A$1,,,SUMPRODUCT(MAX(ROW(E$1:E669)*(E2=E$1:E669))))))</f>
        <v/>
      </c>
      <c r="K670" s="24" t="str">
        <f aca="false">IF(OR(E670="",E670="!!!",F670="NEW"),"",INDEX(J$1:J669,SUMPRODUCT(MAX(ROW(E$1:E669)*(E670=E$1:E669)))))</f>
        <v/>
      </c>
      <c r="L670" s="21"/>
    </row>
    <row r="671" customFormat="false" ht="15" hidden="false" customHeight="false" outlineLevel="0" collapsed="false">
      <c r="A671" s="20" t="s">
        <v>1109</v>
      </c>
      <c r="E671" s="23"/>
      <c r="F671" s="25"/>
      <c r="G671" s="26"/>
      <c r="H671" s="27"/>
      <c r="I671" s="24" t="str">
        <f aca="false">IF(OR(E671="",E671="!!!",F671="NEW"),"",INDEX(B5:B$667,-1+SUMPRODUCT(MAX(ROW(E5:E$667)*(E671=E5:E$667)))))</f>
        <v/>
      </c>
      <c r="J671" s="24" t="str">
        <f aca="true">IF(OR(E671="",E671="!!!",F671="NEW"),"",COUNTBLANK(OFFSET(A$1,,,SUMPRODUCT(MAX(ROW(E$2:E671)*(E671=E$2:E671)))))-COUNTBLANK(OFFSET(A$1,,,SUMPRODUCT(MAX(ROW(E$1:E670)*(E2=E$1:E670))))))</f>
        <v/>
      </c>
      <c r="K671" s="24" t="str">
        <f aca="false">IF(OR(E671="",E671="!!!",F671="NEW"),"",INDEX(J$1:J670,SUMPRODUCT(MAX(ROW(E$1:E670)*(E671=E$1:E670)))))</f>
        <v/>
      </c>
      <c r="L671" s="21"/>
    </row>
    <row r="672" customFormat="false" ht="15" hidden="false" customHeight="false" outlineLevel="0" collapsed="false">
      <c r="A672" s="20" t="s">
        <v>1418</v>
      </c>
      <c r="B672" s="22" t="s">
        <v>1081</v>
      </c>
      <c r="C672" s="22" t="s">
        <v>1150</v>
      </c>
      <c r="D672" s="22" t="s">
        <v>1060</v>
      </c>
      <c r="E672" s="23" t="s">
        <v>1418</v>
      </c>
      <c r="F672" s="23" t="s">
        <v>1062</v>
      </c>
      <c r="G672" s="23" t="s">
        <v>1063</v>
      </c>
      <c r="H672" s="23"/>
      <c r="I672" s="24" t="str">
        <f aca="false">IF(OR(E672="",E672="!!!",F672="NEW"),"",INDEX(B6:B$667,-1+SUMPRODUCT(MAX(ROW(E6:E$667)*(E672=E6:E$667)))))</f>
        <v/>
      </c>
      <c r="J672" s="24" t="str">
        <f aca="true">IF(OR(E672="",E672="!!!",F672="NEW"),"",COUNTBLANK(OFFSET(A$1,,,SUMPRODUCT(MAX(ROW(E$2:E672)*(E672=E$2:E672)))))-COUNTBLANK(OFFSET(A$1,,,SUMPRODUCT(MAX(ROW(E$1:E671)*(E2=E$1:E671))))))</f>
        <v/>
      </c>
      <c r="K672" s="24" t="str">
        <f aca="false">IF(OR(E672="",E672="!!!",F672="NEW"),"",INDEX(J$1:J671,SUMPRODUCT(MAX(ROW(E$1:E671)*(E672=E$1:E671)))))</f>
        <v/>
      </c>
      <c r="L672" s="21"/>
    </row>
    <row r="673" customFormat="false" ht="15" hidden="false" customHeight="false" outlineLevel="0" collapsed="false">
      <c r="A673" s="20" t="s">
        <v>1064</v>
      </c>
      <c r="E673" s="23"/>
      <c r="F673" s="25"/>
      <c r="G673" s="26"/>
      <c r="H673" s="27"/>
      <c r="I673" s="24" t="str">
        <f aca="false">IF(OR(E673="",E673="!!!",F673="NEW"),"",INDEX(B7:B$667,-1+SUMPRODUCT(MAX(ROW(E7:E$667)*(E673=E7:E$667)))))</f>
        <v/>
      </c>
      <c r="J673" s="24" t="str">
        <f aca="true">IF(OR(E673="",E673="!!!",F673="NEW"),"",COUNTBLANK(OFFSET(A$1,,,SUMPRODUCT(MAX(ROW(E$2:E673)*(E673=E$2:E673)))))-COUNTBLANK(OFFSET(A$1,,,SUMPRODUCT(MAX(ROW(E$1:E672)*(E2=E$1:E672))))))</f>
        <v/>
      </c>
      <c r="K673" s="24" t="str">
        <f aca="false">IF(OR(E673="",E673="!!!",F673="NEW"),"",INDEX(J$1:J672,SUMPRODUCT(MAX(ROW(E$1:E672)*(E673=E$1:E672)))))</f>
        <v/>
      </c>
      <c r="L673" s="21"/>
    </row>
    <row r="674" customFormat="false" ht="15" hidden="false" customHeight="false" outlineLevel="0" collapsed="false">
      <c r="A674" s="20" t="s">
        <v>1109</v>
      </c>
      <c r="E674" s="23"/>
      <c r="F674" s="25"/>
      <c r="G674" s="26"/>
      <c r="H674" s="27"/>
      <c r="I674" s="24" t="str">
        <f aca="false">IF(OR(E674="",E674="!!!",F674="NEW"),"",INDEX(B8:B$667,-1+SUMPRODUCT(MAX(ROW(E8:E$667)*(E674=E8:E$667)))))</f>
        <v/>
      </c>
      <c r="J674" s="24" t="str">
        <f aca="true">IF(OR(E674="",E674="!!!",F674="NEW"),"",COUNTBLANK(OFFSET(A$1,,,SUMPRODUCT(MAX(ROW(E$2:E674)*(E674=E$2:E674)))))-COUNTBLANK(OFFSET(A$1,,,SUMPRODUCT(MAX(ROW(E$1:E673)*(E2=E$1:E673))))))</f>
        <v/>
      </c>
      <c r="K674" s="24" t="str">
        <f aca="false">IF(OR(E674="",E674="!!!",F674="NEW"),"",INDEX(J$1:J673,SUMPRODUCT(MAX(ROW(E$1:E673)*(E674=E$1:E673)))))</f>
        <v/>
      </c>
      <c r="L674" s="21"/>
    </row>
    <row r="675" customFormat="false" ht="15" hidden="false" customHeight="false" outlineLevel="0" collapsed="false">
      <c r="A675" s="20" t="s">
        <v>1419</v>
      </c>
      <c r="B675" s="22" t="s">
        <v>1073</v>
      </c>
      <c r="C675" s="22" t="s">
        <v>1150</v>
      </c>
      <c r="D675" s="22" t="s">
        <v>1060</v>
      </c>
      <c r="E675" s="23" t="s">
        <v>1419</v>
      </c>
      <c r="F675" s="23" t="s">
        <v>1062</v>
      </c>
      <c r="G675" s="23" t="s">
        <v>1103</v>
      </c>
      <c r="H675" s="23"/>
      <c r="I675" s="24" t="str">
        <f aca="false">IF(OR(E675="",E675="!!!",F675="NEW"),"",INDEX(B9:B$667,-1+SUMPRODUCT(MAX(ROW(E9:E$667)*(E675=E9:E$667)))))</f>
        <v/>
      </c>
      <c r="J675" s="24" t="str">
        <f aca="true">IF(OR(E675="",E675="!!!",F675="NEW"),"",COUNTBLANK(OFFSET(A$1,,,SUMPRODUCT(MAX(ROW(E$2:E675)*(E675=E$2:E675)))))-COUNTBLANK(OFFSET(A$1,,,SUMPRODUCT(MAX(ROW(E$1:E674)*(E2=E$1:E674))))))</f>
        <v/>
      </c>
      <c r="K675" s="24" t="str">
        <f aca="false">IF(OR(E675="",E675="!!!",F675="NEW"),"",INDEX(J$1:J674,SUMPRODUCT(MAX(ROW(E$1:E674)*(E675=E$1:E674)))))</f>
        <v/>
      </c>
      <c r="L675" s="21"/>
    </row>
    <row r="676" customFormat="false" ht="15" hidden="false" customHeight="false" outlineLevel="0" collapsed="false">
      <c r="A676" s="20" t="s">
        <v>1307</v>
      </c>
      <c r="E676" s="23"/>
      <c r="F676" s="25"/>
      <c r="G676" s="26"/>
      <c r="H676" s="27"/>
      <c r="I676" s="24" t="str">
        <f aca="false">IF(OR(E676="",E676="!!!",F676="NEW"),"",INDEX(B10:B$667,-1+SUMPRODUCT(MAX(ROW(E10:E$667)*(E676=E10:E$667)))))</f>
        <v/>
      </c>
      <c r="J676" s="24" t="str">
        <f aca="true">IF(OR(E676="",E676="!!!",F676="NEW"),"",COUNTBLANK(OFFSET(A$1,,,SUMPRODUCT(MAX(ROW(E$2:E676)*(E676=E$2:E676)))))-COUNTBLANK(OFFSET(A$1,,,SUMPRODUCT(MAX(ROW(E$1:E675)*(E2=E$1:E675))))))</f>
        <v/>
      </c>
      <c r="K676" s="24" t="str">
        <f aca="false">IF(OR(E676="",E676="!!!",F676="NEW"),"",INDEX(J$1:J675,SUMPRODUCT(MAX(ROW(E$1:E675)*(E676=E$1:E675)))))</f>
        <v/>
      </c>
      <c r="L676" s="21"/>
    </row>
    <row r="677" customFormat="false" ht="15" hidden="false" customHeight="false" outlineLevel="0" collapsed="false">
      <c r="A677" s="20"/>
      <c r="L677" s="21"/>
    </row>
    <row r="678" customFormat="false" ht="15" hidden="false" customHeight="false" outlineLevel="0" collapsed="false">
      <c r="A678" s="20" t="s">
        <v>1301</v>
      </c>
      <c r="E678" s="23"/>
      <c r="F678" s="25"/>
      <c r="G678" s="26"/>
      <c r="H678" s="27"/>
      <c r="I678" s="24" t="str">
        <f aca="false">IF(OR(E678="",E678="!!!",F678="NEW"),"",INDEX(B2:B$677,-1+SUMPRODUCT(MAX(ROW(E2:E$677)*(E678=E2:E$677)))))</f>
        <v/>
      </c>
      <c r="J678" s="24" t="str">
        <f aca="true">IF(OR(E678="",E678="!!!",F678="NEW"),"",COUNTBLANK(OFFSET(A$1,,,SUMPRODUCT(MAX(ROW(E$2:E678)*(E678=E$2:E678)))))-COUNTBLANK(OFFSET(A$1,,,SUMPRODUCT(MAX(ROW(E$1:E677)*(E2=E$1:E677))))))</f>
        <v/>
      </c>
      <c r="K678" s="24" t="str">
        <f aca="false">IF(OR(E678="",E678="!!!",F678="NEW"),"",INDEX(J$1:J677,SUMPRODUCT(MAX(ROW(E$1:E677)*(E678=E$1:E677)))))</f>
        <v/>
      </c>
      <c r="L678" s="21"/>
    </row>
    <row r="679" customFormat="false" ht="15" hidden="false" customHeight="false" outlineLevel="0" collapsed="false">
      <c r="A679" s="20" t="s">
        <v>1420</v>
      </c>
      <c r="L679" s="21"/>
    </row>
    <row r="680" customFormat="false" ht="15" hidden="false" customHeight="false" outlineLevel="0" collapsed="false">
      <c r="A680" s="20" t="s">
        <v>1342</v>
      </c>
      <c r="B680" s="22" t="s">
        <v>1105</v>
      </c>
      <c r="C680" s="22" t="s">
        <v>1202</v>
      </c>
      <c r="E680" s="23"/>
      <c r="F680" s="25"/>
      <c r="G680" s="26"/>
      <c r="H680" s="27"/>
      <c r="I680" s="24" t="str">
        <f aca="false">IF(OR(E680="",E680="!!!",F680="NEW"),"",INDEX(B2:B$679,-1+SUMPRODUCT(MAX(ROW(E2:E$679)*(E680=E2:E$679)))))</f>
        <v/>
      </c>
      <c r="J680" s="24" t="str">
        <f aca="true">IF(OR(E680="",E680="!!!",F680="NEW"),"",COUNTBLANK(OFFSET(A$1,,,SUMPRODUCT(MAX(ROW(E$2:E680)*(E680=E$2:E680)))))-COUNTBLANK(OFFSET(A$1,,,SUMPRODUCT(MAX(ROW(E$1:E679)*(E2=E$1:E679))))))</f>
        <v/>
      </c>
      <c r="K680" s="24" t="str">
        <f aca="false">IF(OR(E680="",E680="!!!",F680="NEW"),"",INDEX(J$1:J679,SUMPRODUCT(MAX(ROW(E$1:E679)*(E680=E$1:E679)))))</f>
        <v/>
      </c>
      <c r="L680" s="21"/>
    </row>
    <row r="681" customFormat="false" ht="15" hidden="false" customHeight="false" outlineLevel="0" collapsed="false">
      <c r="A681" s="20" t="s">
        <v>1331</v>
      </c>
      <c r="E681" s="23"/>
      <c r="F681" s="25"/>
      <c r="G681" s="26"/>
      <c r="H681" s="27"/>
      <c r="I681" s="24" t="str">
        <f aca="false">IF(OR(E681="",E681="!!!",F681="NEW"),"",INDEX(B3:B$679,-1+SUMPRODUCT(MAX(ROW(E3:E$679)*(E681=E3:E$679)))))</f>
        <v/>
      </c>
      <c r="J681" s="24" t="str">
        <f aca="true">IF(OR(E681="",E681="!!!",F681="NEW"),"",COUNTBLANK(OFFSET(A$1,,,SUMPRODUCT(MAX(ROW(E$2:E681)*(E681=E$2:E681)))))-COUNTBLANK(OFFSET(A$1,,,SUMPRODUCT(MAX(ROW(E$1:E680)*(E2=E$1:E680))))))</f>
        <v/>
      </c>
      <c r="K681" s="24" t="str">
        <f aca="false">IF(OR(E681="",E681="!!!",F681="NEW"),"",INDEX(J$1:J680,SUMPRODUCT(MAX(ROW(E$1:E680)*(E681=E$1:E680)))))</f>
        <v/>
      </c>
      <c r="L681" s="21"/>
    </row>
    <row r="682" customFormat="false" ht="15" hidden="false" customHeight="false" outlineLevel="0" collapsed="false">
      <c r="A682" s="20" t="s">
        <v>1130</v>
      </c>
      <c r="E682" s="23"/>
      <c r="F682" s="25"/>
      <c r="G682" s="26"/>
      <c r="H682" s="27"/>
      <c r="I682" s="24" t="str">
        <f aca="false">IF(OR(E682="",E682="!!!",F682="NEW"),"",INDEX(B4:B$679,-1+SUMPRODUCT(MAX(ROW(E4:E$679)*(E682=E4:E$679)))))</f>
        <v/>
      </c>
      <c r="J682" s="24" t="str">
        <f aca="true">IF(OR(E682="",E682="!!!",F682="NEW"),"",COUNTBLANK(OFFSET(A$1,,,SUMPRODUCT(MAX(ROW(E$2:E682)*(E682=E$2:E682)))))-COUNTBLANK(OFFSET(A$1,,,SUMPRODUCT(MAX(ROW(E$1:E681)*(E2=E$1:E681))))))</f>
        <v/>
      </c>
      <c r="K682" s="24" t="str">
        <f aca="false">IF(OR(E682="",E682="!!!",F682="NEW"),"",INDEX(J$1:J681,SUMPRODUCT(MAX(ROW(E$1:E681)*(E682=E$1:E681)))))</f>
        <v/>
      </c>
      <c r="L682" s="21"/>
    </row>
    <row r="683" customFormat="false" ht="15" hidden="false" customHeight="false" outlineLevel="0" collapsed="false">
      <c r="A683" s="20" t="s">
        <v>1421</v>
      </c>
      <c r="E683" s="23"/>
      <c r="F683" s="25"/>
      <c r="G683" s="26"/>
      <c r="H683" s="27"/>
      <c r="I683" s="24" t="str">
        <f aca="false">IF(OR(E683="",E683="!!!",F683="NEW"),"",INDEX(B5:B$679,-1+SUMPRODUCT(MAX(ROW(E5:E$679)*(E683=E5:E$679)))))</f>
        <v/>
      </c>
      <c r="J683" s="24" t="str">
        <f aca="true">IF(OR(E683="",E683="!!!",F683="NEW"),"",COUNTBLANK(OFFSET(A$1,,,SUMPRODUCT(MAX(ROW(E$2:E683)*(E683=E$2:E683)))))-COUNTBLANK(OFFSET(A$1,,,SUMPRODUCT(MAX(ROW(E$1:E682)*(E2=E$1:E682))))))</f>
        <v/>
      </c>
      <c r="K683" s="24" t="str">
        <f aca="false">IF(OR(E683="",E683="!!!",F683="NEW"),"",INDEX(J$1:J682,SUMPRODUCT(MAX(ROW(E$1:E682)*(E683=E$1:E682)))))</f>
        <v/>
      </c>
      <c r="L683" s="21"/>
    </row>
    <row r="684" customFormat="false" ht="15" hidden="false" customHeight="false" outlineLevel="0" collapsed="false">
      <c r="A684" s="20" t="s">
        <v>1422</v>
      </c>
      <c r="B684" s="22" t="s">
        <v>1058</v>
      </c>
      <c r="C684" s="22" t="s">
        <v>1171</v>
      </c>
      <c r="D684" s="22" t="s">
        <v>1060</v>
      </c>
      <c r="E684" s="23" t="s">
        <v>1422</v>
      </c>
      <c r="F684" s="23" t="s">
        <v>1062</v>
      </c>
      <c r="G684" s="23" t="s">
        <v>1253</v>
      </c>
      <c r="H684" s="23"/>
      <c r="I684" s="24" t="str">
        <f aca="false">IF(OR(E684="",E684="!!!",F684="NEW"),"",INDEX(B6:B$679,-1+SUMPRODUCT(MAX(ROW(E6:E$679)*(E684=E6:E$679)))))</f>
        <v/>
      </c>
      <c r="J684" s="24" t="str">
        <f aca="true">IF(OR(E684="",E684="!!!",F684="NEW"),"",COUNTBLANK(OFFSET(A$1,,,SUMPRODUCT(MAX(ROW(E$2:E684)*(E684=E$2:E684)))))-COUNTBLANK(OFFSET(A$1,,,SUMPRODUCT(MAX(ROW(E$1:E683)*(E2=E$1:E683))))))</f>
        <v/>
      </c>
      <c r="K684" s="24" t="str">
        <f aca="false">IF(OR(E684="",E684="!!!",F684="NEW"),"",INDEX(J$1:J683,SUMPRODUCT(MAX(ROW(E$1:E683)*(E684=E$1:E683)))))</f>
        <v/>
      </c>
      <c r="L684" s="21"/>
    </row>
    <row r="685" customFormat="false" ht="15" hidden="false" customHeight="false" outlineLevel="0" collapsed="false">
      <c r="A685" s="20" t="s">
        <v>1184</v>
      </c>
      <c r="E685" s="23"/>
      <c r="F685" s="25"/>
      <c r="G685" s="26"/>
      <c r="H685" s="27"/>
      <c r="I685" s="24" t="str">
        <f aca="false">IF(OR(E685="",E685="!!!",F685="NEW"),"",INDEX(B7:B$679,-1+SUMPRODUCT(MAX(ROW(E7:E$679)*(E685=E7:E$679)))))</f>
        <v/>
      </c>
      <c r="J685" s="24" t="str">
        <f aca="true">IF(OR(E685="",E685="!!!",F685="NEW"),"",COUNTBLANK(OFFSET(A$1,,,SUMPRODUCT(MAX(ROW(E$2:E685)*(E685=E$2:E685)))))-COUNTBLANK(OFFSET(A$1,,,SUMPRODUCT(MAX(ROW(E$1:E684)*(E2=E$1:E684))))))</f>
        <v/>
      </c>
      <c r="K685" s="24" t="str">
        <f aca="false">IF(OR(E685="",E685="!!!",F685="NEW"),"",INDEX(J$1:J684,SUMPRODUCT(MAX(ROW(E$1:E684)*(E685=E$1:E684)))))</f>
        <v/>
      </c>
      <c r="L685" s="21"/>
    </row>
    <row r="686" customFormat="false" ht="15" hidden="false" customHeight="false" outlineLevel="0" collapsed="false">
      <c r="A686" s="20" t="s">
        <v>1339</v>
      </c>
      <c r="E686" s="23"/>
      <c r="F686" s="25"/>
      <c r="G686" s="26"/>
      <c r="H686" s="27"/>
      <c r="I686" s="24" t="str">
        <f aca="false">IF(OR(E686="",E686="!!!",F686="NEW"),"",INDEX(B8:B$679,-1+SUMPRODUCT(MAX(ROW(E8:E$679)*(E686=E8:E$679)))))</f>
        <v/>
      </c>
      <c r="J686" s="24" t="str">
        <f aca="true">IF(OR(E686="",E686="!!!",F686="NEW"),"",COUNTBLANK(OFFSET(A$1,,,SUMPRODUCT(MAX(ROW(E$2:E686)*(E686=E$2:E686)))))-COUNTBLANK(OFFSET(A$1,,,SUMPRODUCT(MAX(ROW(E$1:E685)*(E2=E$1:E685))))))</f>
        <v/>
      </c>
      <c r="K686" s="24" t="str">
        <f aca="false">IF(OR(E686="",E686="!!!",F686="NEW"),"",INDEX(J$1:J685,SUMPRODUCT(MAX(ROW(E$1:E685)*(E686=E$1:E685)))))</f>
        <v/>
      </c>
      <c r="L686" s="21"/>
    </row>
    <row r="687" customFormat="false" ht="15" hidden="false" customHeight="false" outlineLevel="0" collapsed="false">
      <c r="A687" s="20" t="s">
        <v>1370</v>
      </c>
      <c r="B687" s="22" t="s">
        <v>1073</v>
      </c>
      <c r="C687" s="22" t="s">
        <v>1171</v>
      </c>
      <c r="D687" s="22" t="s">
        <v>1060</v>
      </c>
      <c r="E687" s="23" t="s">
        <v>1370</v>
      </c>
      <c r="F687" s="23" t="s">
        <v>1062</v>
      </c>
      <c r="G687" s="23" t="s">
        <v>1063</v>
      </c>
      <c r="H687" s="23"/>
      <c r="I687" s="24" t="str">
        <f aca="false">IF(OR(E687="",E687="!!!",F687="NEW"),"",INDEX(B9:B$679,-1+SUMPRODUCT(MAX(ROW(E9:E$679)*(E687=E9:E$679)))))</f>
        <v/>
      </c>
      <c r="J687" s="24" t="str">
        <f aca="true">IF(OR(E687="",E687="!!!",F687="NEW"),"",COUNTBLANK(OFFSET(A$1,,,SUMPRODUCT(MAX(ROW(E$2:E687)*(E687=E$2:E687)))))-COUNTBLANK(OFFSET(A$1,,,SUMPRODUCT(MAX(ROW(E$1:E686)*(E2=E$1:E686))))))</f>
        <v/>
      </c>
      <c r="K687" s="24" t="str">
        <f aca="false">IF(OR(E687="",E687="!!!",F687="NEW"),"",INDEX(J$1:J686,SUMPRODUCT(MAX(ROW(E$1:E686)*(E687=E$1:E686)))))</f>
        <v/>
      </c>
      <c r="L687" s="21"/>
    </row>
    <row r="688" customFormat="false" ht="15" hidden="false" customHeight="false" outlineLevel="0" collapsed="false">
      <c r="A688" s="20" t="s">
        <v>1307</v>
      </c>
      <c r="E688" s="23"/>
      <c r="F688" s="25"/>
      <c r="G688" s="26"/>
      <c r="H688" s="27"/>
      <c r="I688" s="24" t="str">
        <f aca="false">IF(OR(E688="",E688="!!!",F688="NEW"),"",INDEX(B10:B$679,-1+SUMPRODUCT(MAX(ROW(E10:E$679)*(E688=E10:E$679)))))</f>
        <v/>
      </c>
      <c r="J688" s="24" t="str">
        <f aca="true">IF(OR(E688="",E688="!!!",F688="NEW"),"",COUNTBLANK(OFFSET(A$1,,,SUMPRODUCT(MAX(ROW(E$2:E688)*(E688=E$2:E688)))))-COUNTBLANK(OFFSET(A$1,,,SUMPRODUCT(MAX(ROW(E$1:E687)*(E2=E$1:E687))))))</f>
        <v/>
      </c>
      <c r="K688" s="24" t="str">
        <f aca="false">IF(OR(E688="",E688="!!!",F688="NEW"),"",INDEX(J$1:J687,SUMPRODUCT(MAX(ROW(E$1:E687)*(E688=E$1:E687)))))</f>
        <v/>
      </c>
      <c r="L688" s="21"/>
    </row>
    <row r="689" customFormat="false" ht="15" hidden="false" customHeight="false" outlineLevel="0" collapsed="false">
      <c r="A689" s="20" t="s">
        <v>607</v>
      </c>
      <c r="E689" s="23"/>
      <c r="F689" s="25"/>
      <c r="G689" s="26"/>
      <c r="H689" s="27"/>
      <c r="I689" s="24" t="str">
        <f aca="false">IF(OR(E689="",E689="!!!",F689="NEW"),"",INDEX(B11:B$679,-1+SUMPRODUCT(MAX(ROW(E11:E$679)*(E689=E11:E$679)))))</f>
        <v/>
      </c>
      <c r="J689" s="24" t="str">
        <f aca="true">IF(OR(E689="",E689="!!!",F689="NEW"),"",COUNTBLANK(OFFSET(A$1,,,SUMPRODUCT(MAX(ROW(E$2:E689)*(E689=E$2:E689)))))-COUNTBLANK(OFFSET(A$1,,,SUMPRODUCT(MAX(ROW(E$1:E688)*(E2=E$1:E688))))))</f>
        <v/>
      </c>
      <c r="K689" s="24" t="str">
        <f aca="false">IF(OR(E689="",E689="!!!",F689="NEW"),"",INDEX(J$1:J688,SUMPRODUCT(MAX(ROW(E$1:E688)*(E689=E$1:E688)))))</f>
        <v/>
      </c>
      <c r="L689" s="21"/>
    </row>
    <row r="690" customFormat="false" ht="15" hidden="false" customHeight="false" outlineLevel="0" collapsed="false">
      <c r="A690" s="20"/>
      <c r="L690" s="21"/>
    </row>
    <row r="691" customFormat="false" ht="15" hidden="false" customHeight="false" outlineLevel="0" collapsed="false">
      <c r="A691" s="20" t="s">
        <v>1301</v>
      </c>
      <c r="E691" s="23"/>
      <c r="F691" s="25"/>
      <c r="G691" s="26"/>
      <c r="H691" s="27"/>
      <c r="I691" s="24" t="str">
        <f aca="false">IF(OR(E691="",E691="!!!",F691="NEW"),"",INDEX(B2:B$690,-1+SUMPRODUCT(MAX(ROW(E2:E$690)*(E691=E2:E$690)))))</f>
        <v/>
      </c>
      <c r="J691" s="24" t="str">
        <f aca="true">IF(OR(E691="",E691="!!!",F691="NEW"),"",COUNTBLANK(OFFSET(A$1,,,SUMPRODUCT(MAX(ROW(E$2:E691)*(E691=E$2:E691)))))-COUNTBLANK(OFFSET(A$1,,,SUMPRODUCT(MAX(ROW(E$1:E690)*(E2=E$1:E690))))))</f>
        <v/>
      </c>
      <c r="K691" s="24" t="str">
        <f aca="false">IF(OR(E691="",E691="!!!",F691="NEW"),"",INDEX(J$1:J690,SUMPRODUCT(MAX(ROW(E$1:E690)*(E691=E$1:E690)))))</f>
        <v/>
      </c>
      <c r="L691" s="21"/>
    </row>
    <row r="692" customFormat="false" ht="15" hidden="false" customHeight="false" outlineLevel="0" collapsed="false">
      <c r="A692" s="20" t="s">
        <v>1423</v>
      </c>
      <c r="L692" s="21"/>
    </row>
    <row r="693" customFormat="false" ht="15" hidden="false" customHeight="false" outlineLevel="0" collapsed="false">
      <c r="A693" s="20" t="s">
        <v>607</v>
      </c>
      <c r="E693" s="23"/>
      <c r="F693" s="25"/>
      <c r="G693" s="26"/>
      <c r="H693" s="27"/>
      <c r="I693" s="24" t="str">
        <f aca="false">IF(OR(E693="",E693="!!!",F693="NEW"),"",INDEX(B2:B$692,-1+SUMPRODUCT(MAX(ROW(E2:E$692)*(E693=E2:E$692)))))</f>
        <v/>
      </c>
      <c r="J693" s="24" t="str">
        <f aca="true">IF(OR(E693="",E693="!!!",F693="NEW"),"",COUNTBLANK(OFFSET(A$1,,,SUMPRODUCT(MAX(ROW(E$2:E693)*(E693=E$2:E693)))))-COUNTBLANK(OFFSET(A$1,,,SUMPRODUCT(MAX(ROW(E$1:E692)*(E2=E$1:E692))))))</f>
        <v/>
      </c>
      <c r="K693" s="24" t="str">
        <f aca="false">IF(OR(E693="",E693="!!!",F693="NEW"),"",INDEX(J$1:J692,SUMPRODUCT(MAX(ROW(E$1:E692)*(E693=E$1:E692)))))</f>
        <v/>
      </c>
      <c r="L693" s="21"/>
    </row>
    <row r="694" customFormat="false" ht="15" hidden="false" customHeight="false" outlineLevel="0" collapsed="false">
      <c r="A694" s="20" t="s">
        <v>1162</v>
      </c>
      <c r="B694" s="22" t="s">
        <v>1058</v>
      </c>
      <c r="C694" s="22" t="s">
        <v>1082</v>
      </c>
      <c r="D694" s="22" t="s">
        <v>1060</v>
      </c>
      <c r="E694" s="23" t="s">
        <v>1163</v>
      </c>
      <c r="F694" s="23" t="s">
        <v>1083</v>
      </c>
      <c r="G694" s="23" t="s">
        <v>1120</v>
      </c>
      <c r="H694" s="23"/>
      <c r="I694" s="24" t="n">
        <f aca="false">IF(OR(E694="",E694="!!!",F694="NEW"),"",INDEX(B3:B$692,-1+SUMPRODUCT(MAX(ROW(E3:E$692)*(E694=E3:E$692)))))</f>
        <v>0</v>
      </c>
      <c r="J694" s="24" t="n">
        <f aca="true">IF(OR(E694="",E694="!!!",F694="NEW"),"",COUNTBLANK(OFFSET(A$1,,,SUMPRODUCT(MAX(ROW(E$2:E694)*(E694=E$2:E694)))))-COUNTBLANK(OFFSET(A$1,,,SUMPRODUCT(MAX(ROW(E$1:E693)*(E2=E$1:E693))))))</f>
        <v>0</v>
      </c>
      <c r="K694" s="24" t="n">
        <f aca="false">IF(OR(E694="",E694="!!!",F694="NEW"),"",INDEX(J$1:J693,SUMPRODUCT(MAX(ROW(E$1:E693)*(E694=E$1:E693)))))</f>
        <v>0</v>
      </c>
      <c r="L694" s="21"/>
    </row>
    <row r="695" customFormat="false" ht="15" hidden="false" customHeight="false" outlineLevel="0" collapsed="false">
      <c r="A695" s="20" t="s">
        <v>153</v>
      </c>
      <c r="E695" s="23"/>
      <c r="F695" s="25"/>
      <c r="G695" s="26"/>
      <c r="H695" s="27"/>
      <c r="I695" s="24" t="str">
        <f aca="false">IF(OR(E695="",E695="!!!",F695="NEW"),"",INDEX(B4:B$692,-1+SUMPRODUCT(MAX(ROW(E4:E$692)*(E695=E4:E$692)))))</f>
        <v/>
      </c>
      <c r="J695" s="24" t="str">
        <f aca="true">IF(OR(E695="",E695="!!!",F695="NEW"),"",COUNTBLANK(OFFSET(A$1,,,SUMPRODUCT(MAX(ROW(E$2:E695)*(E695=E$2:E695)))))-COUNTBLANK(OFFSET(A$1,,,SUMPRODUCT(MAX(ROW(E$1:E694)*(E2=E$1:E694))))))</f>
        <v/>
      </c>
      <c r="K695" s="24" t="str">
        <f aca="false">IF(OR(E695="",E695="!!!",F695="NEW"),"",INDEX(J$1:J694,SUMPRODUCT(MAX(ROW(E$1:E694)*(E695=E$1:E694)))))</f>
        <v/>
      </c>
      <c r="L695" s="21"/>
    </row>
    <row r="696" customFormat="false" ht="15" hidden="false" customHeight="false" outlineLevel="0" collapsed="false">
      <c r="A696" s="20" t="s">
        <v>1424</v>
      </c>
      <c r="B696" s="22" t="s">
        <v>1086</v>
      </c>
      <c r="C696" s="22" t="s">
        <v>1082</v>
      </c>
      <c r="D696" s="22" t="s">
        <v>1060</v>
      </c>
      <c r="E696" s="23" t="s">
        <v>1422</v>
      </c>
      <c r="F696" s="23" t="s">
        <v>1083</v>
      </c>
      <c r="G696" s="23" t="s">
        <v>1084</v>
      </c>
      <c r="H696" s="23"/>
      <c r="I696" s="24" t="str">
        <f aca="false">IF(OR(E696="",E696="!!!",F696="NEW"),"",INDEX(B5:B$692,-1+SUMPRODUCT(MAX(ROW(E5:E$692)*(E696=E5:E$692)))))</f>
        <v>other_2</v>
      </c>
      <c r="J696" s="24" t="n">
        <f aca="true">IF(OR(E696="",E696="!!!",F696="NEW"),"",COUNTBLANK(OFFSET(A$1,,,SUMPRODUCT(MAX(ROW(E$2:E696)*(E696=E$2:E696)))))-COUNTBLANK(OFFSET(A$1,,,SUMPRODUCT(MAX(ROW(E$1:E695)*(E2=E$1:E695))))))</f>
        <v>0</v>
      </c>
      <c r="K696" s="24" t="str">
        <f aca="false">IF(OR(E696="",E696="!!!",F696="NEW"),"",INDEX(J$1:J695,SUMPRODUCT(MAX(ROW(E$1:E695)*(E696=E$1:E695)))))</f>
        <v/>
      </c>
      <c r="L696" s="21"/>
    </row>
    <row r="697" customFormat="false" ht="15" hidden="false" customHeight="false" outlineLevel="0" collapsed="false">
      <c r="A697" s="20" t="s">
        <v>1331</v>
      </c>
      <c r="E697" s="23"/>
      <c r="F697" s="25"/>
      <c r="G697" s="26"/>
      <c r="H697" s="27"/>
      <c r="I697" s="24" t="str">
        <f aca="false">IF(OR(E697="",E697="!!!",F697="NEW"),"",INDEX(B6:B$692,-1+SUMPRODUCT(MAX(ROW(E6:E$692)*(E697=E6:E$692)))))</f>
        <v/>
      </c>
      <c r="J697" s="24" t="str">
        <f aca="true">IF(OR(E697="",E697="!!!",F697="NEW"),"",COUNTBLANK(OFFSET(A$1,,,SUMPRODUCT(MAX(ROW(E$2:E697)*(E697=E$2:E697)))))-COUNTBLANK(OFFSET(A$1,,,SUMPRODUCT(MAX(ROW(E$1:E696)*(E2=E$1:E696))))))</f>
        <v/>
      </c>
      <c r="K697" s="24" t="str">
        <f aca="false">IF(OR(E697="",E697="!!!",F697="NEW"),"",INDEX(J$1:J696,SUMPRODUCT(MAX(ROW(E$1:E696)*(E697=E$1:E696)))))</f>
        <v/>
      </c>
      <c r="L697" s="21"/>
    </row>
    <row r="698" customFormat="false" ht="15" hidden="false" customHeight="false" outlineLevel="0" collapsed="false">
      <c r="A698" s="20" t="s">
        <v>1109</v>
      </c>
      <c r="E698" s="23"/>
      <c r="F698" s="25"/>
      <c r="G698" s="26"/>
      <c r="H698" s="27"/>
      <c r="I698" s="24" t="str">
        <f aca="false">IF(OR(E698="",E698="!!!",F698="NEW"),"",INDEX(B7:B$692,-1+SUMPRODUCT(MAX(ROW(E7:E$692)*(E698=E7:E$692)))))</f>
        <v/>
      </c>
      <c r="J698" s="24" t="str">
        <f aca="true">IF(OR(E698="",E698="!!!",F698="NEW"),"",COUNTBLANK(OFFSET(A$1,,,SUMPRODUCT(MAX(ROW(E$2:E698)*(E698=E$2:E698)))))-COUNTBLANK(OFFSET(A$1,,,SUMPRODUCT(MAX(ROW(E$1:E697)*(E2=E$1:E697))))))</f>
        <v/>
      </c>
      <c r="K698" s="24" t="str">
        <f aca="false">IF(OR(E698="",E698="!!!",F698="NEW"),"",INDEX(J$1:J697,SUMPRODUCT(MAX(ROW(E$1:E697)*(E698=E$1:E697)))))</f>
        <v/>
      </c>
      <c r="L698" s="21"/>
    </row>
    <row r="699" customFormat="false" ht="15" hidden="false" customHeight="false" outlineLevel="0" collapsed="false">
      <c r="A699" s="20" t="s">
        <v>1425</v>
      </c>
      <c r="E699" s="23"/>
      <c r="F699" s="25"/>
      <c r="G699" s="26"/>
      <c r="H699" s="27"/>
      <c r="I699" s="24" t="str">
        <f aca="false">IF(OR(E699="",E699="!!!",F699="NEW"),"",INDEX(B8:B$692,-1+SUMPRODUCT(MAX(ROW(E8:E$692)*(E699=E8:E$692)))))</f>
        <v/>
      </c>
      <c r="J699" s="24" t="str">
        <f aca="true">IF(OR(E699="",E699="!!!",F699="NEW"),"",COUNTBLANK(OFFSET(A$1,,,SUMPRODUCT(MAX(ROW(E$2:E699)*(E699=E$2:E699)))))-COUNTBLANK(OFFSET(A$1,,,SUMPRODUCT(MAX(ROW(E$1:E698)*(E2=E$1:E698))))))</f>
        <v/>
      </c>
      <c r="K699" s="24" t="str">
        <f aca="false">IF(OR(E699="",E699="!!!",F699="NEW"),"",INDEX(J$1:J698,SUMPRODUCT(MAX(ROW(E$1:E698)*(E699=E$1:E698)))))</f>
        <v/>
      </c>
      <c r="L699" s="21"/>
    </row>
    <row r="700" customFormat="false" ht="15" hidden="false" customHeight="false" outlineLevel="0" collapsed="false">
      <c r="A700" s="20" t="s">
        <v>1422</v>
      </c>
      <c r="B700" s="22" t="s">
        <v>1105</v>
      </c>
      <c r="C700" s="22" t="s">
        <v>1150</v>
      </c>
      <c r="D700" s="22" t="s">
        <v>1060</v>
      </c>
      <c r="E700" s="23" t="s">
        <v>1422</v>
      </c>
      <c r="F700" s="23" t="s">
        <v>1083</v>
      </c>
      <c r="G700" s="23" t="s">
        <v>1084</v>
      </c>
      <c r="H700" s="23"/>
      <c r="I700" s="24" t="n">
        <f aca="false">IF(OR(E700="",E700="!!!",F700="NEW"),"",INDEX(B9:B$692,-1+SUMPRODUCT(MAX(ROW(E9:E$692)*(E700=E9:E$692)))))</f>
        <v>0</v>
      </c>
      <c r="J700" s="24" t="n">
        <f aca="true">IF(OR(E700="",E700="!!!",F700="NEW"),"",COUNTBLANK(OFFSET(A$1,,,SUMPRODUCT(MAX(ROW(E$2:E700)*(E700=E$2:E700)))))-COUNTBLANK(OFFSET(A$1,,,SUMPRODUCT(MAX(ROW(E$1:E699)*(E2=E$1:E699))))))</f>
        <v>0</v>
      </c>
      <c r="K700" s="24" t="n">
        <f aca="false">IF(OR(E700="",E700="!!!",F700="NEW"),"",INDEX(J$1:J699,SUMPRODUCT(MAX(ROW(E$1:E699)*(E700=E$1:E699)))))</f>
        <v>0</v>
      </c>
      <c r="L700" s="21"/>
    </row>
    <row r="701" customFormat="false" ht="15" hidden="false" customHeight="false" outlineLevel="0" collapsed="false">
      <c r="A701" s="20" t="s">
        <v>923</v>
      </c>
      <c r="E701" s="23"/>
      <c r="F701" s="25"/>
      <c r="G701" s="26"/>
      <c r="H701" s="27"/>
      <c r="I701" s="24" t="str">
        <f aca="false">IF(OR(E701="",E701="!!!",F701="NEW"),"",INDEX(B10:B$692,-1+SUMPRODUCT(MAX(ROW(E10:E$692)*(E701=E10:E$692)))))</f>
        <v/>
      </c>
      <c r="J701" s="24" t="str">
        <f aca="true">IF(OR(E701="",E701="!!!",F701="NEW"),"",COUNTBLANK(OFFSET(A$1,,,SUMPRODUCT(MAX(ROW(E$2:E701)*(E701=E$2:E701)))))-COUNTBLANK(OFFSET(A$1,,,SUMPRODUCT(MAX(ROW(E$1:E700)*(E2=E$1:E700))))))</f>
        <v/>
      </c>
      <c r="K701" s="24" t="str">
        <f aca="false">IF(OR(E701="",E701="!!!",F701="NEW"),"",INDEX(J$1:J700,SUMPRODUCT(MAX(ROW(E$1:E700)*(E701=E$1:E700)))))</f>
        <v/>
      </c>
      <c r="L701" s="21"/>
    </row>
    <row r="702" customFormat="false" ht="15" hidden="false" customHeight="false" outlineLevel="0" collapsed="false">
      <c r="A702" s="20" t="s">
        <v>607</v>
      </c>
      <c r="E702" s="23"/>
      <c r="F702" s="25"/>
      <c r="G702" s="26"/>
      <c r="H702" s="27"/>
      <c r="I702" s="24" t="str">
        <f aca="false">IF(OR(E702="",E702="!!!",F702="NEW"),"",INDEX(B11:B$692,-1+SUMPRODUCT(MAX(ROW(E11:E$692)*(E702=E11:E$692)))))</f>
        <v/>
      </c>
      <c r="J702" s="24" t="str">
        <f aca="true">IF(OR(E702="",E702="!!!",F702="NEW"),"",COUNTBLANK(OFFSET(A$1,,,SUMPRODUCT(MAX(ROW(E$2:E702)*(E702=E$2:E702)))))-COUNTBLANK(OFFSET(A$1,,,SUMPRODUCT(MAX(ROW(E$1:E701)*(E2=E$1:E701))))))</f>
        <v/>
      </c>
      <c r="K702" s="24" t="str">
        <f aca="false">IF(OR(E702="",E702="!!!",F702="NEW"),"",INDEX(J$1:J701,SUMPRODUCT(MAX(ROW(E$1:E701)*(E702=E$1:E701)))))</f>
        <v/>
      </c>
      <c r="L702" s="21"/>
    </row>
    <row r="703" customFormat="false" ht="15" hidden="false" customHeight="false" outlineLevel="0" collapsed="false">
      <c r="A703" s="20"/>
      <c r="L703" s="21"/>
    </row>
    <row r="704" customFormat="false" ht="15" hidden="false" customHeight="false" outlineLevel="0" collapsed="false">
      <c r="A704" s="20" t="s">
        <v>1301</v>
      </c>
      <c r="E704" s="23"/>
      <c r="F704" s="25"/>
      <c r="G704" s="26"/>
      <c r="H704" s="27"/>
      <c r="I704" s="24" t="str">
        <f aca="false">IF(OR(E704="",E704="!!!",F704="NEW"),"",INDEX(B2:B$703,-1+SUMPRODUCT(MAX(ROW(E2:E$703)*(E704=E2:E$703)))))</f>
        <v/>
      </c>
      <c r="J704" s="24" t="str">
        <f aca="true">IF(OR(E704="",E704="!!!",F704="NEW"),"",COUNTBLANK(OFFSET(A$1,,,SUMPRODUCT(MAX(ROW(E$2:E704)*(E704=E$2:E704)))))-COUNTBLANK(OFFSET(A$1,,,SUMPRODUCT(MAX(ROW(E$1:E703)*(E2=E$1:E703))))))</f>
        <v/>
      </c>
      <c r="K704" s="24" t="str">
        <f aca="false">IF(OR(E704="",E704="!!!",F704="NEW"),"",INDEX(J$1:J703,SUMPRODUCT(MAX(ROW(E$1:E703)*(E704=E$1:E703)))))</f>
        <v/>
      </c>
      <c r="L704" s="21"/>
    </row>
    <row r="705" customFormat="false" ht="15" hidden="false" customHeight="false" outlineLevel="0" collapsed="false">
      <c r="A705" s="20" t="s">
        <v>1426</v>
      </c>
      <c r="L705" s="21"/>
    </row>
    <row r="706" customFormat="false" ht="15" hidden="false" customHeight="false" outlineLevel="0" collapsed="false">
      <c r="A706" s="20" t="s">
        <v>607</v>
      </c>
      <c r="E706" s="23"/>
      <c r="F706" s="25"/>
      <c r="G706" s="26"/>
      <c r="H706" s="27"/>
      <c r="I706" s="24" t="str">
        <f aca="false">IF(OR(E706="",E706="!!!",F706="NEW"),"",INDEX(B2:B$705,-1+SUMPRODUCT(MAX(ROW(E2:E$705)*(E706=E2:E$705)))))</f>
        <v/>
      </c>
      <c r="J706" s="24" t="str">
        <f aca="true">IF(OR(E706="",E706="!!!",F706="NEW"),"",COUNTBLANK(OFFSET(A$1,,,SUMPRODUCT(MAX(ROW(E$2:E706)*(E706=E$2:E706)))))-COUNTBLANK(OFFSET(A$1,,,SUMPRODUCT(MAX(ROW(E$1:E705)*(E2=E$1:E705))))))</f>
        <v/>
      </c>
      <c r="K706" s="24" t="str">
        <f aca="false">IF(OR(E706="",E706="!!!",F706="NEW"),"",INDEX(J$1:J705,SUMPRODUCT(MAX(ROW(E$1:E705)*(E706=E$1:E705)))))</f>
        <v/>
      </c>
      <c r="L706" s="21"/>
    </row>
    <row r="707" customFormat="false" ht="15" hidden="false" customHeight="false" outlineLevel="0" collapsed="false">
      <c r="A707" s="20" t="s">
        <v>1427</v>
      </c>
      <c r="E707" s="23"/>
      <c r="F707" s="25"/>
      <c r="G707" s="26"/>
      <c r="H707" s="27"/>
      <c r="I707" s="24" t="str">
        <f aca="false">IF(OR(E707="",E707="!!!",F707="NEW"),"",INDEX(B3:B$705,-1+SUMPRODUCT(MAX(ROW(E3:E$705)*(E707=E3:E$705)))))</f>
        <v/>
      </c>
      <c r="J707" s="24" t="str">
        <f aca="true">IF(OR(E707="",E707="!!!",F707="NEW"),"",COUNTBLANK(OFFSET(A$1,,,SUMPRODUCT(MAX(ROW(E$2:E707)*(E707=E$2:E707)))))-COUNTBLANK(OFFSET(A$1,,,SUMPRODUCT(MAX(ROW(E$1:E706)*(E2=E$1:E706))))))</f>
        <v/>
      </c>
      <c r="K707" s="24" t="str">
        <f aca="false">IF(OR(E707="",E707="!!!",F707="NEW"),"",INDEX(J$1:J706,SUMPRODUCT(MAX(ROW(E$1:E706)*(E707=E$1:E706)))))</f>
        <v/>
      </c>
      <c r="L707" s="21"/>
    </row>
    <row r="708" customFormat="false" ht="15" hidden="false" customHeight="false" outlineLevel="0" collapsed="false">
      <c r="A708" s="20" t="s">
        <v>1109</v>
      </c>
      <c r="E708" s="23"/>
      <c r="F708" s="25"/>
      <c r="G708" s="26"/>
      <c r="H708" s="27"/>
      <c r="I708" s="24" t="str">
        <f aca="false">IF(OR(E708="",E708="!!!",F708="NEW"),"",INDEX(B4:B$705,-1+SUMPRODUCT(MAX(ROW(E4:E$705)*(E708=E4:E$705)))))</f>
        <v/>
      </c>
      <c r="J708" s="24" t="str">
        <f aca="true">IF(OR(E708="",E708="!!!",F708="NEW"),"",COUNTBLANK(OFFSET(A$1,,,SUMPRODUCT(MAX(ROW(E$2:E708)*(E708=E$2:E708)))))-COUNTBLANK(OFFSET(A$1,,,SUMPRODUCT(MAX(ROW(E$1:E707)*(E2=E$1:E707))))))</f>
        <v/>
      </c>
      <c r="K708" s="24" t="str">
        <f aca="false">IF(OR(E708="",E708="!!!",F708="NEW"),"",INDEX(J$1:J707,SUMPRODUCT(MAX(ROW(E$1:E707)*(E708=E$1:E707)))))</f>
        <v/>
      </c>
      <c r="L708" s="21"/>
    </row>
    <row r="709" customFormat="false" ht="15" hidden="false" customHeight="false" outlineLevel="0" collapsed="false">
      <c r="A709" s="20" t="s">
        <v>1078</v>
      </c>
      <c r="E709" s="23"/>
      <c r="F709" s="25"/>
      <c r="G709" s="26"/>
      <c r="H709" s="27"/>
      <c r="I709" s="24" t="str">
        <f aca="false">IF(OR(E709="",E709="!!!",F709="NEW"),"",INDEX(B5:B$705,-1+SUMPRODUCT(MAX(ROW(E5:E$705)*(E709=E5:E$705)))))</f>
        <v/>
      </c>
      <c r="J709" s="24" t="str">
        <f aca="true">IF(OR(E709="",E709="!!!",F709="NEW"),"",COUNTBLANK(OFFSET(A$1,,,SUMPRODUCT(MAX(ROW(E$2:E709)*(E709=E$2:E709)))))-COUNTBLANK(OFFSET(A$1,,,SUMPRODUCT(MAX(ROW(E$1:E708)*(E2=E$1:E708))))))</f>
        <v/>
      </c>
      <c r="K709" s="24" t="str">
        <f aca="false">IF(OR(E709="",E709="!!!",F709="NEW"),"",INDEX(J$1:J708,SUMPRODUCT(MAX(ROW(E$1:E708)*(E709=E$1:E708)))))</f>
        <v/>
      </c>
      <c r="L709" s="21"/>
    </row>
    <row r="710" customFormat="false" ht="15" hidden="false" customHeight="false" outlineLevel="0" collapsed="false">
      <c r="A710" s="20" t="s">
        <v>157</v>
      </c>
      <c r="B710" s="22" t="s">
        <v>1105</v>
      </c>
      <c r="C710" s="22" t="s">
        <v>1428</v>
      </c>
      <c r="D710" s="22" t="s">
        <v>1060</v>
      </c>
      <c r="E710" s="23" t="s">
        <v>1429</v>
      </c>
      <c r="F710" s="23" t="s">
        <v>1062</v>
      </c>
      <c r="G710" s="23" t="s">
        <v>1253</v>
      </c>
      <c r="H710" s="23"/>
      <c r="I710" s="24" t="str">
        <f aca="false">IF(OR(E710="",E710="!!!",F710="NEW"),"",INDEX(B6:B$705,-1+SUMPRODUCT(MAX(ROW(E6:E$705)*(E710=E6:E$705)))))</f>
        <v/>
      </c>
      <c r="J710" s="24" t="str">
        <f aca="true">IF(OR(E710="",E710="!!!",F710="NEW"),"",COUNTBLANK(OFFSET(A$1,,,SUMPRODUCT(MAX(ROW(E$2:E710)*(E710=E$2:E710)))))-COUNTBLANK(OFFSET(A$1,,,SUMPRODUCT(MAX(ROW(E$1:E709)*(E2=E$1:E709))))))</f>
        <v/>
      </c>
      <c r="K710" s="24" t="str">
        <f aca="false">IF(OR(E710="",E710="!!!",F710="NEW"),"",INDEX(J$1:J709,SUMPRODUCT(MAX(ROW(E$1:E709)*(E710=E$1:E709)))))</f>
        <v/>
      </c>
      <c r="L710" s="21"/>
    </row>
    <row r="711" customFormat="false" ht="15" hidden="false" customHeight="false" outlineLevel="0" collapsed="false">
      <c r="A711" s="20" t="s">
        <v>1076</v>
      </c>
      <c r="E711" s="23"/>
      <c r="F711" s="25"/>
      <c r="G711" s="26"/>
      <c r="H711" s="27"/>
      <c r="I711" s="24" t="str">
        <f aca="false">IF(OR(E711="",E711="!!!",F711="NEW"),"",INDEX(B7:B$705,-1+SUMPRODUCT(MAX(ROW(E7:E$705)*(E711=E7:E$705)))))</f>
        <v/>
      </c>
      <c r="J711" s="24" t="str">
        <f aca="true">IF(OR(E711="",E711="!!!",F711="NEW"),"",COUNTBLANK(OFFSET(A$1,,,SUMPRODUCT(MAX(ROW(E$2:E711)*(E711=E$2:E711)))))-COUNTBLANK(OFFSET(A$1,,,SUMPRODUCT(MAX(ROW(E$1:E710)*(E2=E$1:E710))))))</f>
        <v/>
      </c>
      <c r="K711" s="24" t="str">
        <f aca="false">IF(OR(E711="",E711="!!!",F711="NEW"),"",INDEX(J$1:J710,SUMPRODUCT(MAX(ROW(E$1:E710)*(E711=E$1:E710)))))</f>
        <v/>
      </c>
      <c r="L711" s="21"/>
    </row>
    <row r="712" customFormat="false" ht="15" hidden="false" customHeight="false" outlineLevel="0" collapsed="false">
      <c r="A712" s="20" t="s">
        <v>1125</v>
      </c>
      <c r="B712" s="22" t="s">
        <v>1086</v>
      </c>
      <c r="E712" s="23"/>
      <c r="F712" s="25"/>
      <c r="G712" s="26"/>
      <c r="H712" s="27"/>
      <c r="I712" s="24" t="str">
        <f aca="false">IF(OR(E712="",E712="!!!",F712="NEW"),"",INDEX(B8:B$705,-1+SUMPRODUCT(MAX(ROW(E8:E$705)*(E712=E8:E$705)))))</f>
        <v/>
      </c>
      <c r="J712" s="24" t="str">
        <f aca="true">IF(OR(E712="",E712="!!!",F712="NEW"),"",COUNTBLANK(OFFSET(A$1,,,SUMPRODUCT(MAX(ROW(E$2:E712)*(E712=E$2:E712)))))-COUNTBLANK(OFFSET(A$1,,,SUMPRODUCT(MAX(ROW(E$1:E711)*(E2=E$1:E711))))))</f>
        <v/>
      </c>
      <c r="K712" s="24" t="str">
        <f aca="false">IF(OR(E712="",E712="!!!",F712="NEW"),"",INDEX(J$1:J711,SUMPRODUCT(MAX(ROW(E$1:E711)*(E712=E$1:E711)))))</f>
        <v/>
      </c>
      <c r="L712" s="21"/>
    </row>
    <row r="713" customFormat="false" ht="15" hidden="false" customHeight="false" outlineLevel="0" collapsed="false">
      <c r="A713" s="20" t="s">
        <v>1430</v>
      </c>
      <c r="E713" s="23"/>
      <c r="F713" s="25"/>
      <c r="G713" s="26"/>
      <c r="H713" s="27"/>
      <c r="I713" s="24" t="str">
        <f aca="false">IF(OR(E713="",E713="!!!",F713="NEW"),"",INDEX(B9:B$705,-1+SUMPRODUCT(MAX(ROW(E9:E$705)*(E713=E9:E$705)))))</f>
        <v/>
      </c>
      <c r="J713" s="24" t="str">
        <f aca="true">IF(OR(E713="",E713="!!!",F713="NEW"),"",COUNTBLANK(OFFSET(A$1,,,SUMPRODUCT(MAX(ROW(E$2:E713)*(E713=E$2:E713)))))-COUNTBLANK(OFFSET(A$1,,,SUMPRODUCT(MAX(ROW(E$1:E712)*(E2=E$1:E712))))))</f>
        <v/>
      </c>
      <c r="K713" s="24" t="str">
        <f aca="false">IF(OR(E713="",E713="!!!",F713="NEW"),"",INDEX(J$1:J712,SUMPRODUCT(MAX(ROW(E$1:E712)*(E713=E$1:E712)))))</f>
        <v/>
      </c>
      <c r="L713" s="21"/>
    </row>
    <row r="714" customFormat="false" ht="15" hidden="false" customHeight="false" outlineLevel="0" collapsed="false">
      <c r="A714" s="20" t="s">
        <v>587</v>
      </c>
      <c r="E714" s="23"/>
      <c r="F714" s="25"/>
      <c r="G714" s="26"/>
      <c r="H714" s="27"/>
      <c r="I714" s="24" t="str">
        <f aca="false">IF(OR(E714="",E714="!!!",F714="NEW"),"",INDEX(B10:B$705,-1+SUMPRODUCT(MAX(ROW(E10:E$705)*(E714=E10:E$705)))))</f>
        <v/>
      </c>
      <c r="J714" s="24" t="str">
        <f aca="true">IF(OR(E714="",E714="!!!",F714="NEW"),"",COUNTBLANK(OFFSET(A$1,,,SUMPRODUCT(MAX(ROW(E$2:E714)*(E714=E$2:E714)))))-COUNTBLANK(OFFSET(A$1,,,SUMPRODUCT(MAX(ROW(E$1:E713)*(E2=E$1:E713))))))</f>
        <v/>
      </c>
      <c r="K714" s="24" t="str">
        <f aca="false">IF(OR(E714="",E714="!!!",F714="NEW"),"",INDEX(J$1:J713,SUMPRODUCT(MAX(ROW(E$1:E713)*(E714=E$1:E713)))))</f>
        <v/>
      </c>
      <c r="L714" s="21"/>
    </row>
    <row r="715" customFormat="false" ht="15" hidden="false" customHeight="false" outlineLevel="0" collapsed="false">
      <c r="A715" s="20" t="s">
        <v>1431</v>
      </c>
      <c r="E715" s="23"/>
      <c r="F715" s="25"/>
      <c r="G715" s="26"/>
      <c r="H715" s="27"/>
      <c r="I715" s="24" t="str">
        <f aca="false">IF(OR(E715="",E715="!!!",F715="NEW"),"",INDEX(B11:B$705,-1+SUMPRODUCT(MAX(ROW(E11:E$705)*(E715=E11:E$705)))))</f>
        <v/>
      </c>
      <c r="J715" s="24" t="str">
        <f aca="true">IF(OR(E715="",E715="!!!",F715="NEW"),"",COUNTBLANK(OFFSET(A$1,,,SUMPRODUCT(MAX(ROW(E$2:E715)*(E715=E$2:E715)))))-COUNTBLANK(OFFSET(A$1,,,SUMPRODUCT(MAX(ROW(E$1:E714)*(E2=E$1:E714))))))</f>
        <v/>
      </c>
      <c r="K715" s="24" t="str">
        <f aca="false">IF(OR(E715="",E715="!!!",F715="NEW"),"",INDEX(J$1:J714,SUMPRODUCT(MAX(ROW(E$1:E714)*(E715=E$1:E714)))))</f>
        <v/>
      </c>
      <c r="L715" s="21"/>
    </row>
    <row r="716" customFormat="false" ht="15" hidden="false" customHeight="false" outlineLevel="0" collapsed="false">
      <c r="A716" s="20" t="s">
        <v>1307</v>
      </c>
      <c r="E716" s="23"/>
      <c r="F716" s="25"/>
      <c r="G716" s="26"/>
      <c r="H716" s="27"/>
      <c r="I716" s="24" t="str">
        <f aca="false">IF(OR(E716="",E716="!!!",F716="NEW"),"",INDEX(B12:B$705,-1+SUMPRODUCT(MAX(ROW(E12:E$705)*(E716=E12:E$705)))))</f>
        <v/>
      </c>
      <c r="J716" s="24" t="str">
        <f aca="true">IF(OR(E716="",E716="!!!",F716="NEW"),"",COUNTBLANK(OFFSET(A$1,,,SUMPRODUCT(MAX(ROW(E$2:E716)*(E716=E$2:E716)))))-COUNTBLANK(OFFSET(A$1,,,SUMPRODUCT(MAX(ROW(E$1:E715)*(E2=E$1:E715))))))</f>
        <v/>
      </c>
      <c r="K716" s="24" t="str">
        <f aca="false">IF(OR(E716="",E716="!!!",F716="NEW"),"",INDEX(J$1:J715,SUMPRODUCT(MAX(ROW(E$1:E715)*(E716=E$1:E715)))))</f>
        <v/>
      </c>
      <c r="L716" s="21"/>
    </row>
    <row r="717" customFormat="false" ht="15" hidden="false" customHeight="false" outlineLevel="0" collapsed="false">
      <c r="A717" s="20" t="s">
        <v>607</v>
      </c>
      <c r="E717" s="23"/>
      <c r="F717" s="25"/>
      <c r="G717" s="26"/>
      <c r="H717" s="27"/>
      <c r="I717" s="24" t="str">
        <f aca="false">IF(OR(E717="",E717="!!!",F717="NEW"),"",INDEX(B13:B$705,-1+SUMPRODUCT(MAX(ROW(E13:E$705)*(E717=E13:E$705)))))</f>
        <v/>
      </c>
      <c r="J717" s="24" t="str">
        <f aca="true">IF(OR(E717="",E717="!!!",F717="NEW"),"",COUNTBLANK(OFFSET(A$1,,,SUMPRODUCT(MAX(ROW(E$2:E717)*(E717=E$2:E717)))))-COUNTBLANK(OFFSET(A$1,,,SUMPRODUCT(MAX(ROW(E$1:E716)*(E2=E$1:E716))))))</f>
        <v/>
      </c>
      <c r="K717" s="24" t="str">
        <f aca="false">IF(OR(E717="",E717="!!!",F717="NEW"),"",INDEX(J$1:J716,SUMPRODUCT(MAX(ROW(E$1:E716)*(E717=E$1:E716)))))</f>
        <v/>
      </c>
      <c r="L717" s="21"/>
    </row>
    <row r="718" customFormat="false" ht="15" hidden="false" customHeight="false" outlineLevel="0" collapsed="false">
      <c r="A718" s="20"/>
      <c r="L718" s="21"/>
    </row>
    <row r="719" customFormat="false" ht="15" hidden="false" customHeight="false" outlineLevel="0" collapsed="false">
      <c r="A719" s="20" t="s">
        <v>1301</v>
      </c>
      <c r="E719" s="23"/>
      <c r="F719" s="25"/>
      <c r="G719" s="26"/>
      <c r="H719" s="27"/>
      <c r="I719" s="24" t="str">
        <f aca="false">IF(OR(E719="",E719="!!!",F719="NEW"),"",INDEX(B2:B$718,-1+SUMPRODUCT(MAX(ROW(E2:E$718)*(E719=E2:E$718)))))</f>
        <v/>
      </c>
      <c r="J719" s="24" t="str">
        <f aca="true">IF(OR(E719="",E719="!!!",F719="NEW"),"",COUNTBLANK(OFFSET(A$1,,,SUMPRODUCT(MAX(ROW(E$2:E719)*(E719=E$2:E719)))))-COUNTBLANK(OFFSET(A$1,,,SUMPRODUCT(MAX(ROW(E$1:E718)*(E2=E$1:E718))))))</f>
        <v/>
      </c>
      <c r="K719" s="24" t="str">
        <f aca="false">IF(OR(E719="",E719="!!!",F719="NEW"),"",INDEX(J$1:J718,SUMPRODUCT(MAX(ROW(E$1:E718)*(E719=E$1:E718)))))</f>
        <v/>
      </c>
      <c r="L719" s="21"/>
    </row>
    <row r="720" customFormat="false" ht="15" hidden="false" customHeight="false" outlineLevel="0" collapsed="false">
      <c r="A720" s="20" t="s">
        <v>1432</v>
      </c>
      <c r="L720" s="21"/>
    </row>
    <row r="721" customFormat="false" ht="15" hidden="false" customHeight="false" outlineLevel="0" collapsed="false">
      <c r="A721" s="20" t="s">
        <v>607</v>
      </c>
      <c r="E721" s="23"/>
      <c r="F721" s="25"/>
      <c r="G721" s="26"/>
      <c r="H721" s="27"/>
      <c r="I721" s="24" t="str">
        <f aca="false">IF(OR(E721="",E721="!!!",F721="NEW"),"",INDEX(B2:B$720,-1+SUMPRODUCT(MAX(ROW(E2:E$720)*(E721=E2:E$720)))))</f>
        <v/>
      </c>
      <c r="J721" s="24" t="str">
        <f aca="true">IF(OR(E721="",E721="!!!",F721="NEW"),"",COUNTBLANK(OFFSET(A$1,,,SUMPRODUCT(MAX(ROW(E$2:E721)*(E721=E$2:E721)))))-COUNTBLANK(OFFSET(A$1,,,SUMPRODUCT(MAX(ROW(E$1:E720)*(E2=E$1:E720))))))</f>
        <v/>
      </c>
      <c r="K721" s="24" t="str">
        <f aca="false">IF(OR(E721="",E721="!!!",F721="NEW"),"",INDEX(J$1:J720,SUMPRODUCT(MAX(ROW(E$1:E720)*(E721=E$1:E720)))))</f>
        <v/>
      </c>
      <c r="L721" s="21"/>
    </row>
    <row r="722" customFormat="false" ht="15" hidden="false" customHeight="false" outlineLevel="0" collapsed="false">
      <c r="A722" s="20" t="s">
        <v>1368</v>
      </c>
      <c r="B722" s="22" t="s">
        <v>1058</v>
      </c>
      <c r="C722" s="22" t="s">
        <v>1132</v>
      </c>
      <c r="D722" s="22" t="s">
        <v>1060</v>
      </c>
      <c r="E722" s="23" t="s">
        <v>1433</v>
      </c>
      <c r="F722" s="23" t="s">
        <v>1062</v>
      </c>
      <c r="G722" s="23" t="s">
        <v>1253</v>
      </c>
      <c r="H722" s="23"/>
      <c r="I722" s="24" t="str">
        <f aca="false">IF(OR(E722="",E722="!!!",F722="NEW"),"",INDEX(B3:B$720,-1+SUMPRODUCT(MAX(ROW(E3:E$720)*(E722=E3:E$720)))))</f>
        <v/>
      </c>
      <c r="J722" s="24" t="str">
        <f aca="true">IF(OR(E722="",E722="!!!",F722="NEW"),"",COUNTBLANK(OFFSET(A$1,,,SUMPRODUCT(MAX(ROW(E$2:E722)*(E722=E$2:E722)))))-COUNTBLANK(OFFSET(A$1,,,SUMPRODUCT(MAX(ROW(E$1:E721)*(E2=E$1:E721))))))</f>
        <v/>
      </c>
      <c r="K722" s="24" t="str">
        <f aca="false">IF(OR(E722="",E722="!!!",F722="NEW"),"",INDEX(J$1:J721,SUMPRODUCT(MAX(ROW(E$1:E721)*(E722=E$1:E721)))))</f>
        <v/>
      </c>
      <c r="L722" s="21"/>
    </row>
    <row r="723" customFormat="false" ht="15" hidden="false" customHeight="false" outlineLevel="0" collapsed="false">
      <c r="A723" s="20" t="s">
        <v>1369</v>
      </c>
      <c r="E723" s="23"/>
      <c r="F723" s="25"/>
      <c r="G723" s="26"/>
      <c r="H723" s="27"/>
      <c r="I723" s="24" t="str">
        <f aca="false">IF(OR(E723="",E723="!!!",F723="NEW"),"",INDEX(B4:B$720,-1+SUMPRODUCT(MAX(ROW(E4:E$720)*(E723=E4:E$720)))))</f>
        <v/>
      </c>
      <c r="J723" s="24" t="str">
        <f aca="true">IF(OR(E723="",E723="!!!",F723="NEW"),"",COUNTBLANK(OFFSET(A$1,,,SUMPRODUCT(MAX(ROW(E$2:E723)*(E723=E$2:E723)))))-COUNTBLANK(OFFSET(A$1,,,SUMPRODUCT(MAX(ROW(E$1:E722)*(E2=E$1:E722))))))</f>
        <v/>
      </c>
      <c r="K723" s="24" t="str">
        <f aca="false">IF(OR(E723="",E723="!!!",F723="NEW"),"",INDEX(J$1:J722,SUMPRODUCT(MAX(ROW(E$1:E722)*(E723=E$1:E722)))))</f>
        <v/>
      </c>
      <c r="L723" s="21"/>
    </row>
    <row r="724" customFormat="false" ht="15" hidden="false" customHeight="false" outlineLevel="0" collapsed="false">
      <c r="A724" s="20" t="s">
        <v>1434</v>
      </c>
      <c r="E724" s="23"/>
      <c r="F724" s="25"/>
      <c r="G724" s="26"/>
      <c r="H724" s="27"/>
      <c r="I724" s="24" t="str">
        <f aca="false">IF(OR(E724="",E724="!!!",F724="NEW"),"",INDEX(B5:B$720,-1+SUMPRODUCT(MAX(ROW(E5:E$720)*(E724=E5:E$720)))))</f>
        <v/>
      </c>
      <c r="J724" s="24" t="str">
        <f aca="true">IF(OR(E724="",E724="!!!",F724="NEW"),"",COUNTBLANK(OFFSET(A$1,,,SUMPRODUCT(MAX(ROW(E$2:E724)*(E724=E$2:E724)))))-COUNTBLANK(OFFSET(A$1,,,SUMPRODUCT(MAX(ROW(E$1:E723)*(E2=E$1:E723))))))</f>
        <v/>
      </c>
      <c r="K724" s="24" t="str">
        <f aca="false">IF(OR(E724="",E724="!!!",F724="NEW"),"",INDEX(J$1:J723,SUMPRODUCT(MAX(ROW(E$1:E723)*(E724=E$1:E723)))))</f>
        <v/>
      </c>
      <c r="L724" s="21"/>
    </row>
    <row r="725" customFormat="false" ht="15" hidden="false" customHeight="false" outlineLevel="0" collapsed="false">
      <c r="A725" s="20" t="s">
        <v>1109</v>
      </c>
      <c r="E725" s="23"/>
      <c r="F725" s="25"/>
      <c r="G725" s="26"/>
      <c r="H725" s="27"/>
      <c r="I725" s="24" t="str">
        <f aca="false">IF(OR(E725="",E725="!!!",F725="NEW"),"",INDEX(B6:B$720,-1+SUMPRODUCT(MAX(ROW(E6:E$720)*(E725=E6:E$720)))))</f>
        <v/>
      </c>
      <c r="J725" s="24" t="str">
        <f aca="true">IF(OR(E725="",E725="!!!",F725="NEW"),"",COUNTBLANK(OFFSET(A$1,,,SUMPRODUCT(MAX(ROW(E$2:E725)*(E725=E$2:E725)))))-COUNTBLANK(OFFSET(A$1,,,SUMPRODUCT(MAX(ROW(E$1:E724)*(E2=E$1:E724))))))</f>
        <v/>
      </c>
      <c r="K725" s="24" t="str">
        <f aca="false">IF(OR(E725="",E725="!!!",F725="NEW"),"",INDEX(J$1:J724,SUMPRODUCT(MAX(ROW(E$1:E724)*(E725=E$1:E724)))))</f>
        <v/>
      </c>
      <c r="L725" s="21"/>
    </row>
    <row r="726" customFormat="false" ht="15" hidden="false" customHeight="false" outlineLevel="0" collapsed="false">
      <c r="A726" s="20" t="s">
        <v>1435</v>
      </c>
      <c r="E726" s="23"/>
      <c r="F726" s="25"/>
      <c r="G726" s="26"/>
      <c r="H726" s="27"/>
      <c r="I726" s="24" t="str">
        <f aca="false">IF(OR(E726="",E726="!!!",F726="NEW"),"",INDEX(B7:B$720,-1+SUMPRODUCT(MAX(ROW(E7:E$720)*(E726=E7:E$720)))))</f>
        <v/>
      </c>
      <c r="J726" s="24" t="str">
        <f aca="true">IF(OR(E726="",E726="!!!",F726="NEW"),"",COUNTBLANK(OFFSET(A$1,,,SUMPRODUCT(MAX(ROW(E$2:E726)*(E726=E$2:E726)))))-COUNTBLANK(OFFSET(A$1,,,SUMPRODUCT(MAX(ROW(E$1:E725)*(E2=E$1:E725))))))</f>
        <v/>
      </c>
      <c r="K726" s="24" t="str">
        <f aca="false">IF(OR(E726="",E726="!!!",F726="NEW"),"",INDEX(J$1:J725,SUMPRODUCT(MAX(ROW(E$1:E725)*(E726=E$1:E725)))))</f>
        <v/>
      </c>
      <c r="L726" s="21"/>
    </row>
    <row r="727" customFormat="false" ht="15" hidden="false" customHeight="false" outlineLevel="0" collapsed="false">
      <c r="A727" s="20" t="s">
        <v>16</v>
      </c>
      <c r="E727" s="23"/>
      <c r="F727" s="25"/>
      <c r="G727" s="26"/>
      <c r="H727" s="27"/>
      <c r="I727" s="24" t="str">
        <f aca="false">IF(OR(E727="",E727="!!!",F727="NEW"),"",INDEX(B8:B$720,-1+SUMPRODUCT(MAX(ROW(E8:E$720)*(E727=E8:E$720)))))</f>
        <v/>
      </c>
      <c r="J727" s="24" t="str">
        <f aca="true">IF(OR(E727="",E727="!!!",F727="NEW"),"",COUNTBLANK(OFFSET(A$1,,,SUMPRODUCT(MAX(ROW(E$2:E727)*(E727=E$2:E727)))))-COUNTBLANK(OFFSET(A$1,,,SUMPRODUCT(MAX(ROW(E$1:E726)*(E2=E$1:E726))))))</f>
        <v/>
      </c>
      <c r="K727" s="24" t="str">
        <f aca="false">IF(OR(E727="",E727="!!!",F727="NEW"),"",INDEX(J$1:J726,SUMPRODUCT(MAX(ROW(E$1:E726)*(E727=E$1:E726)))))</f>
        <v/>
      </c>
      <c r="L727" s="21"/>
    </row>
    <row r="728" customFormat="false" ht="15" hidden="false" customHeight="false" outlineLevel="0" collapsed="false">
      <c r="A728" s="20" t="s">
        <v>1436</v>
      </c>
      <c r="B728" s="22" t="s">
        <v>1105</v>
      </c>
      <c r="C728" s="22" t="s">
        <v>1150</v>
      </c>
      <c r="D728" s="22" t="s">
        <v>1060</v>
      </c>
      <c r="E728" s="23" t="s">
        <v>1433</v>
      </c>
      <c r="F728" s="23" t="s">
        <v>1083</v>
      </c>
      <c r="G728" s="23" t="s">
        <v>1084</v>
      </c>
      <c r="H728" s="23"/>
      <c r="I728" s="24" t="e">
        <f aca="false">IF(OR(E728="",E728="!!!",F728="NEW"),"",INDEX(B9:B$720,-1+SUMPRODUCT(MAX(ROW(E9:E$720)*(E728=E9:E$720)))))</f>
        <v>#VALUE!</v>
      </c>
      <c r="J728" s="24" t="n">
        <f aca="true">IF(OR(E728="",E728="!!!",F728="NEW"),"",COUNTBLANK(OFFSET(A$1,,,SUMPRODUCT(MAX(ROW(E$2:E728)*(E728=E$2:E728)))))-COUNTBLANK(OFFSET(A$1,,,SUMPRODUCT(MAX(ROW(E$1:E727)*(E2=E$1:E727))))))</f>
        <v>0</v>
      </c>
      <c r="K728" s="24" t="str">
        <f aca="false">IF(OR(E728="",E728="!!!",F728="NEW"),"",INDEX(J$1:J727,SUMPRODUCT(MAX(ROW(E$1:E727)*(E728=E$1:E727)))))</f>
        <v/>
      </c>
      <c r="L728" s="21"/>
    </row>
    <row r="729" customFormat="false" ht="15" hidden="false" customHeight="false" outlineLevel="0" collapsed="false">
      <c r="A729" s="20" t="s">
        <v>923</v>
      </c>
      <c r="E729" s="23"/>
      <c r="F729" s="25"/>
      <c r="G729" s="26"/>
      <c r="H729" s="27"/>
      <c r="I729" s="24" t="str">
        <f aca="false">IF(OR(E729="",E729="!!!",F729="NEW"),"",INDEX(B10:B$720,-1+SUMPRODUCT(MAX(ROW(E10:E$720)*(E729=E10:E$720)))))</f>
        <v/>
      </c>
      <c r="J729" s="24" t="str">
        <f aca="true">IF(OR(E729="",E729="!!!",F729="NEW"),"",COUNTBLANK(OFFSET(A$1,,,SUMPRODUCT(MAX(ROW(E$2:E729)*(E729=E$2:E729)))))-COUNTBLANK(OFFSET(A$1,,,SUMPRODUCT(MAX(ROW(E$1:E728)*(E2=E$1:E728))))))</f>
        <v/>
      </c>
      <c r="K729" s="24" t="str">
        <f aca="false">IF(OR(E729="",E729="!!!",F729="NEW"),"",INDEX(J$1:J728,SUMPRODUCT(MAX(ROW(E$1:E728)*(E729=E$1:E728)))))</f>
        <v/>
      </c>
      <c r="L729" s="21"/>
    </row>
    <row r="730" customFormat="false" ht="15" hidden="false" customHeight="false" outlineLevel="0" collapsed="false">
      <c r="A730" s="20" t="s">
        <v>607</v>
      </c>
      <c r="E730" s="23"/>
      <c r="F730" s="25"/>
      <c r="G730" s="26"/>
      <c r="H730" s="27"/>
      <c r="I730" s="24" t="str">
        <f aca="false">IF(OR(E730="",E730="!!!",F730="NEW"),"",INDEX(B11:B$720,-1+SUMPRODUCT(MAX(ROW(E11:E$720)*(E730=E11:E$720)))))</f>
        <v/>
      </c>
      <c r="J730" s="24" t="str">
        <f aca="true">IF(OR(E730="",E730="!!!",F730="NEW"),"",COUNTBLANK(OFFSET(A$1,,,SUMPRODUCT(MAX(ROW(E$2:E730)*(E730=E$2:E730)))))-COUNTBLANK(OFFSET(A$1,,,SUMPRODUCT(MAX(ROW(E$1:E729)*(E2=E$1:E729))))))</f>
        <v/>
      </c>
      <c r="K730" s="24" t="str">
        <f aca="false">IF(OR(E730="",E730="!!!",F730="NEW"),"",INDEX(J$1:J729,SUMPRODUCT(MAX(ROW(E$1:E729)*(E730=E$1:E729)))))</f>
        <v/>
      </c>
      <c r="L730" s="21"/>
    </row>
    <row r="731" customFormat="false" ht="15" hidden="false" customHeight="false" outlineLevel="0" collapsed="false">
      <c r="A731" s="20"/>
      <c r="L731" s="21"/>
    </row>
    <row r="732" customFormat="false" ht="15" hidden="false" customHeight="false" outlineLevel="0" collapsed="false">
      <c r="A732" s="20" t="s">
        <v>1301</v>
      </c>
      <c r="E732" s="23"/>
      <c r="F732" s="25"/>
      <c r="G732" s="26"/>
      <c r="H732" s="27"/>
      <c r="I732" s="24" t="str">
        <f aca="false">IF(OR(E732="",E732="!!!",F732="NEW"),"",INDEX(B2:B$731,-1+SUMPRODUCT(MAX(ROW(E2:E$731)*(E732=E2:E$731)))))</f>
        <v/>
      </c>
      <c r="J732" s="24" t="str">
        <f aca="true">IF(OR(E732="",E732="!!!",F732="NEW"),"",COUNTBLANK(OFFSET(A$1,,,SUMPRODUCT(MAX(ROW(E$2:E732)*(E732=E$2:E732)))))-COUNTBLANK(OFFSET(A$1,,,SUMPRODUCT(MAX(ROW(E$1:E731)*(E2=E$1:E731))))))</f>
        <v/>
      </c>
      <c r="K732" s="24" t="str">
        <f aca="false">IF(OR(E732="",E732="!!!",F732="NEW"),"",INDEX(J$1:J731,SUMPRODUCT(MAX(ROW(E$1:E731)*(E732=E$1:E731)))))</f>
        <v/>
      </c>
      <c r="L732" s="21"/>
    </row>
    <row r="733" customFormat="false" ht="15" hidden="false" customHeight="false" outlineLevel="0" collapsed="false">
      <c r="A733" s="20" t="s">
        <v>1437</v>
      </c>
      <c r="L733" s="21"/>
    </row>
    <row r="734" customFormat="false" ht="15" hidden="false" customHeight="false" outlineLevel="0" collapsed="false">
      <c r="A734" s="20" t="s">
        <v>607</v>
      </c>
      <c r="E734" s="23"/>
      <c r="F734" s="25"/>
      <c r="G734" s="26"/>
      <c r="H734" s="27"/>
      <c r="I734" s="24" t="str">
        <f aca="false">IF(OR(E734="",E734="!!!",F734="NEW"),"",INDEX(B2:B$733,-1+SUMPRODUCT(MAX(ROW(E2:E$733)*(E734=E2:E$733)))))</f>
        <v/>
      </c>
      <c r="J734" s="24" t="str">
        <f aca="true">IF(OR(E734="",E734="!!!",F734="NEW"),"",COUNTBLANK(OFFSET(A$1,,,SUMPRODUCT(MAX(ROW(E$2:E734)*(E734=E$2:E734)))))-COUNTBLANK(OFFSET(A$1,,,SUMPRODUCT(MAX(ROW(E$1:E733)*(E2=E$1:E733))))))</f>
        <v/>
      </c>
      <c r="K734" s="24" t="str">
        <f aca="false">IF(OR(E734="",E734="!!!",F734="NEW"),"",INDEX(J$1:J733,SUMPRODUCT(MAX(ROW(E$1:E733)*(E734=E$1:E733)))))</f>
        <v/>
      </c>
      <c r="L734" s="21"/>
    </row>
    <row r="735" customFormat="false" ht="15" hidden="false" customHeight="false" outlineLevel="0" collapsed="false">
      <c r="A735" s="20" t="s">
        <v>1148</v>
      </c>
      <c r="E735" s="23"/>
      <c r="F735" s="25"/>
      <c r="G735" s="26"/>
      <c r="H735" s="27"/>
      <c r="I735" s="24" t="str">
        <f aca="false">IF(OR(E735="",E735="!!!",F735="NEW"),"",INDEX(B3:B$733,-1+SUMPRODUCT(MAX(ROW(E3:E$733)*(E735=E3:E$733)))))</f>
        <v/>
      </c>
      <c r="J735" s="24" t="str">
        <f aca="true">IF(OR(E735="",E735="!!!",F735="NEW"),"",COUNTBLANK(OFFSET(A$1,,,SUMPRODUCT(MAX(ROW(E$2:E735)*(E735=E$2:E735)))))-COUNTBLANK(OFFSET(A$1,,,SUMPRODUCT(MAX(ROW(E$1:E734)*(E2=E$1:E734))))))</f>
        <v/>
      </c>
      <c r="K735" s="24" t="str">
        <f aca="false">IF(OR(E735="",E735="!!!",F735="NEW"),"",INDEX(J$1:J734,SUMPRODUCT(MAX(ROW(E$1:E734)*(E735=E$1:E734)))))</f>
        <v/>
      </c>
      <c r="L735" s="21"/>
    </row>
    <row r="736" customFormat="false" ht="15" hidden="false" customHeight="false" outlineLevel="0" collapsed="false">
      <c r="A736" s="20" t="s">
        <v>1438</v>
      </c>
      <c r="B736" s="22" t="s">
        <v>1058</v>
      </c>
      <c r="C736" s="22" t="s">
        <v>1150</v>
      </c>
      <c r="D736" s="22" t="s">
        <v>1060</v>
      </c>
      <c r="E736" s="23" t="s">
        <v>1438</v>
      </c>
      <c r="F736" s="23" t="s">
        <v>1062</v>
      </c>
      <c r="G736" s="23" t="s">
        <v>1063</v>
      </c>
      <c r="H736" s="23"/>
      <c r="I736" s="24" t="str">
        <f aca="false">IF(OR(E736="",E736="!!!",F736="NEW"),"",INDEX(B4:B$733,-1+SUMPRODUCT(MAX(ROW(E4:E$733)*(E736=E4:E$733)))))</f>
        <v/>
      </c>
      <c r="J736" s="24" t="str">
        <f aca="true">IF(OR(E736="",E736="!!!",F736="NEW"),"",COUNTBLANK(OFFSET(A$1,,,SUMPRODUCT(MAX(ROW(E$2:E736)*(E736=E$2:E736)))))-COUNTBLANK(OFFSET(A$1,,,SUMPRODUCT(MAX(ROW(E$1:E735)*(E2=E$1:E735))))))</f>
        <v/>
      </c>
      <c r="K736" s="24" t="str">
        <f aca="false">IF(OR(E736="",E736="!!!",F736="NEW"),"",INDEX(J$1:J735,SUMPRODUCT(MAX(ROW(E$1:E735)*(E736=E$1:E735)))))</f>
        <v/>
      </c>
      <c r="L736" s="21"/>
    </row>
    <row r="737" customFormat="false" ht="15" hidden="false" customHeight="false" outlineLevel="0" collapsed="false">
      <c r="A737" s="20" t="s">
        <v>1331</v>
      </c>
      <c r="E737" s="23"/>
      <c r="F737" s="25"/>
      <c r="G737" s="26"/>
      <c r="H737" s="27"/>
      <c r="I737" s="24" t="str">
        <f aca="false">IF(OR(E737="",E737="!!!",F737="NEW"),"",INDEX(B5:B$733,-1+SUMPRODUCT(MAX(ROW(E5:E$733)*(E737=E5:E$733)))))</f>
        <v/>
      </c>
      <c r="J737" s="24" t="str">
        <f aca="true">IF(OR(E737="",E737="!!!",F737="NEW"),"",COUNTBLANK(OFFSET(A$1,,,SUMPRODUCT(MAX(ROW(E$2:E737)*(E737=E$2:E737)))))-COUNTBLANK(OFFSET(A$1,,,SUMPRODUCT(MAX(ROW(E$1:E736)*(E2=E$1:E736))))))</f>
        <v/>
      </c>
      <c r="K737" s="24" t="str">
        <f aca="false">IF(OR(E737="",E737="!!!",F737="NEW"),"",INDEX(J$1:J736,SUMPRODUCT(MAX(ROW(E$1:E736)*(E737=E$1:E736)))))</f>
        <v/>
      </c>
      <c r="L737" s="21"/>
    </row>
    <row r="738" customFormat="false" ht="15" hidden="false" customHeight="false" outlineLevel="0" collapsed="false">
      <c r="A738" s="20" t="s">
        <v>1280</v>
      </c>
      <c r="E738" s="23"/>
      <c r="F738" s="25"/>
      <c r="G738" s="26"/>
      <c r="H738" s="27"/>
      <c r="I738" s="24" t="str">
        <f aca="false">IF(OR(E738="",E738="!!!",F738="NEW"),"",INDEX(B6:B$733,-1+SUMPRODUCT(MAX(ROW(E6:E$733)*(E738=E6:E$733)))))</f>
        <v/>
      </c>
      <c r="J738" s="24" t="str">
        <f aca="true">IF(OR(E738="",E738="!!!",F738="NEW"),"",COUNTBLANK(OFFSET(A$1,,,SUMPRODUCT(MAX(ROW(E$2:E738)*(E738=E$2:E738)))))-COUNTBLANK(OFFSET(A$1,,,SUMPRODUCT(MAX(ROW(E$1:E737)*(E2=E$1:E737))))))</f>
        <v/>
      </c>
      <c r="K738" s="24" t="str">
        <f aca="false">IF(OR(E738="",E738="!!!",F738="NEW"),"",INDEX(J$1:J737,SUMPRODUCT(MAX(ROW(E$1:E737)*(E738=E$1:E737)))))</f>
        <v/>
      </c>
      <c r="L738" s="21"/>
    </row>
    <row r="739" customFormat="false" ht="15" hidden="false" customHeight="false" outlineLevel="0" collapsed="false">
      <c r="A739" s="20" t="s">
        <v>923</v>
      </c>
      <c r="E739" s="23"/>
      <c r="F739" s="25"/>
      <c r="G739" s="26"/>
      <c r="H739" s="27"/>
      <c r="I739" s="24" t="str">
        <f aca="false">IF(OR(E739="",E739="!!!",F739="NEW"),"",INDEX(B7:B$733,-1+SUMPRODUCT(MAX(ROW(E7:E$733)*(E739=E7:E$733)))))</f>
        <v/>
      </c>
      <c r="J739" s="24" t="str">
        <f aca="true">IF(OR(E739="",E739="!!!",F739="NEW"),"",COUNTBLANK(OFFSET(A$1,,,SUMPRODUCT(MAX(ROW(E$2:E739)*(E739=E$2:E739)))))-COUNTBLANK(OFFSET(A$1,,,SUMPRODUCT(MAX(ROW(E$1:E738)*(E2=E$1:E738))))))</f>
        <v/>
      </c>
      <c r="K739" s="24" t="str">
        <f aca="false">IF(OR(E739="",E739="!!!",F739="NEW"),"",INDEX(J$1:J738,SUMPRODUCT(MAX(ROW(E$1:E738)*(E739=E$1:E738)))))</f>
        <v/>
      </c>
      <c r="L739" s="21"/>
    </row>
    <row r="740" customFormat="false" ht="15" hidden="false" customHeight="false" outlineLevel="0" collapsed="false">
      <c r="A740" s="20"/>
      <c r="L740" s="21"/>
    </row>
    <row r="741" customFormat="false" ht="15" hidden="false" customHeight="false" outlineLevel="0" collapsed="false">
      <c r="A741" s="20" t="s">
        <v>1439</v>
      </c>
      <c r="L741" s="21"/>
    </row>
    <row r="742" customFormat="false" ht="15" hidden="false" customHeight="false" outlineLevel="0" collapsed="false">
      <c r="A742" s="20" t="s">
        <v>1335</v>
      </c>
      <c r="B742" s="22" t="s">
        <v>1058</v>
      </c>
      <c r="C742" s="22" t="s">
        <v>1082</v>
      </c>
      <c r="D742" s="22" t="s">
        <v>1060</v>
      </c>
      <c r="E742" s="23" t="s">
        <v>1163</v>
      </c>
      <c r="F742" s="23" t="s">
        <v>1083</v>
      </c>
      <c r="G742" s="23" t="s">
        <v>1070</v>
      </c>
      <c r="H742" s="23"/>
      <c r="I742" s="24" t="str">
        <f aca="false">IF(OR(E742="",E742="!!!",F742="NEW"),"",INDEX(B2:B$741,-1+SUMPRODUCT(MAX(ROW(E2:E$741)*(E742=E2:E$741)))))</f>
        <v>SBJ</v>
      </c>
      <c r="J742" s="24" t="n">
        <f aca="true">IF(OR(E742="",E742="!!!",F742="NEW"),"",COUNTBLANK(OFFSET(A$1,,,SUMPRODUCT(MAX(ROW(E$2:E742)*(E742=E$2:E742)))))-COUNTBLANK(OFFSET(A$1,,,SUMPRODUCT(MAX(ROW(E$1:E741)*(E2=E$1:E741))))))</f>
        <v>0</v>
      </c>
      <c r="K742" s="24" t="n">
        <f aca="false">IF(OR(E742="",E742="!!!",F742="NEW"),"",INDEX(J$1:J741,SUMPRODUCT(MAX(ROW(E$1:E741)*(E742=E$1:E741)))))</f>
        <v>0</v>
      </c>
      <c r="L742" s="21"/>
    </row>
    <row r="743" customFormat="false" ht="15" hidden="false" customHeight="false" outlineLevel="0" collapsed="false">
      <c r="A743" s="20" t="s">
        <v>169</v>
      </c>
      <c r="E743" s="23"/>
      <c r="F743" s="25"/>
      <c r="G743" s="26"/>
      <c r="H743" s="27"/>
      <c r="I743" s="24" t="str">
        <f aca="false">IF(OR(E743="",E743="!!!",F743="NEW"),"",INDEX(B3:B$741,-1+SUMPRODUCT(MAX(ROW(E3:E$741)*(E743=E3:E$741)))))</f>
        <v/>
      </c>
      <c r="J743" s="24" t="str">
        <f aca="true">IF(OR(E743="",E743="!!!",F743="NEW"),"",COUNTBLANK(OFFSET(A$1,,,SUMPRODUCT(MAX(ROW(E$2:E743)*(E743=E$2:E743)))))-COUNTBLANK(OFFSET(A$1,,,SUMPRODUCT(MAX(ROW(E$1:E742)*(E2=E$1:E742))))))</f>
        <v/>
      </c>
      <c r="K743" s="24" t="str">
        <f aca="false">IF(OR(E743="",E743="!!!",F743="NEW"),"",INDEX(J$1:J742,SUMPRODUCT(MAX(ROW(E$1:E742)*(E743=E$1:E742)))))</f>
        <v/>
      </c>
      <c r="L743" s="21"/>
    </row>
    <row r="744" customFormat="false" ht="15" hidden="false" customHeight="false" outlineLevel="0" collapsed="false">
      <c r="A744" s="20" t="s">
        <v>1109</v>
      </c>
      <c r="E744" s="23"/>
      <c r="F744" s="25"/>
      <c r="G744" s="26"/>
      <c r="H744" s="27"/>
      <c r="I744" s="24" t="str">
        <f aca="false">IF(OR(E744="",E744="!!!",F744="NEW"),"",INDEX(B4:B$741,-1+SUMPRODUCT(MAX(ROW(E4:E$741)*(E744=E4:E$741)))))</f>
        <v/>
      </c>
      <c r="J744" s="24" t="str">
        <f aca="true">IF(OR(E744="",E744="!!!",F744="NEW"),"",COUNTBLANK(OFFSET(A$1,,,SUMPRODUCT(MAX(ROW(E$2:E744)*(E744=E$2:E744)))))-COUNTBLANK(OFFSET(A$1,,,SUMPRODUCT(MAX(ROW(E$1:E743)*(E2=E$1:E743))))))</f>
        <v/>
      </c>
      <c r="K744" s="24" t="str">
        <f aca="false">IF(OR(E744="",E744="!!!",F744="NEW"),"",INDEX(J$1:J743,SUMPRODUCT(MAX(ROW(E$1:E743)*(E744=E$1:E743)))))</f>
        <v/>
      </c>
      <c r="L744" s="21"/>
    </row>
    <row r="745" customFormat="false" ht="15" hidden="false" customHeight="false" outlineLevel="0" collapsed="false">
      <c r="A745" s="20" t="s">
        <v>1440</v>
      </c>
      <c r="B745" s="22" t="s">
        <v>1081</v>
      </c>
      <c r="C745" s="22" t="s">
        <v>1150</v>
      </c>
      <c r="D745" s="22" t="s">
        <v>1060</v>
      </c>
      <c r="E745" s="23" t="s">
        <v>1441</v>
      </c>
      <c r="F745" s="23" t="s">
        <v>1062</v>
      </c>
      <c r="G745" s="23" t="s">
        <v>1063</v>
      </c>
      <c r="H745" s="23"/>
      <c r="I745" s="24" t="str">
        <f aca="false">IF(OR(E745="",E745="!!!",F745="NEW"),"",INDEX(B5:B$741,-1+SUMPRODUCT(MAX(ROW(E5:E$741)*(E745=E5:E$741)))))</f>
        <v/>
      </c>
      <c r="J745" s="24" t="str">
        <f aca="true">IF(OR(E745="",E745="!!!",F745="NEW"),"",COUNTBLANK(OFFSET(A$1,,,SUMPRODUCT(MAX(ROW(E$2:E745)*(E745=E$2:E745)))))-COUNTBLANK(OFFSET(A$1,,,SUMPRODUCT(MAX(ROW(E$1:E744)*(E2=E$1:E744))))))</f>
        <v/>
      </c>
      <c r="K745" s="24" t="str">
        <f aca="false">IF(OR(E745="",E745="!!!",F745="NEW"),"",INDEX(J$1:J744,SUMPRODUCT(MAX(ROW(E$1:E744)*(E745=E$1:E744)))))</f>
        <v/>
      </c>
      <c r="L745" s="21"/>
    </row>
    <row r="746" customFormat="false" ht="15" hidden="false" customHeight="false" outlineLevel="0" collapsed="false">
      <c r="A746" s="20" t="s">
        <v>1064</v>
      </c>
      <c r="E746" s="23"/>
      <c r="F746" s="25"/>
      <c r="G746" s="26"/>
      <c r="H746" s="27"/>
      <c r="I746" s="24" t="str">
        <f aca="false">IF(OR(E746="",E746="!!!",F746="NEW"),"",INDEX(B6:B$741,-1+SUMPRODUCT(MAX(ROW(E6:E$741)*(E746=E6:E$741)))))</f>
        <v/>
      </c>
      <c r="J746" s="24" t="str">
        <f aca="true">IF(OR(E746="",E746="!!!",F746="NEW"),"",COUNTBLANK(OFFSET(A$1,,,SUMPRODUCT(MAX(ROW(E$2:E746)*(E746=E$2:E746)))))-COUNTBLANK(OFFSET(A$1,,,SUMPRODUCT(MAX(ROW(E$1:E745)*(E2=E$1:E745))))))</f>
        <v/>
      </c>
      <c r="K746" s="24" t="str">
        <f aca="false">IF(OR(E746="",E746="!!!",F746="NEW"),"",INDEX(J$1:J745,SUMPRODUCT(MAX(ROW(E$1:E745)*(E746=E$1:E745)))))</f>
        <v/>
      </c>
      <c r="L746" s="21"/>
    </row>
    <row r="747" customFormat="false" ht="15" hidden="false" customHeight="false" outlineLevel="0" collapsed="false">
      <c r="A747" s="20" t="s">
        <v>1109</v>
      </c>
      <c r="E747" s="23"/>
      <c r="F747" s="25"/>
      <c r="G747" s="26"/>
      <c r="H747" s="27"/>
      <c r="I747" s="24" t="str">
        <f aca="false">IF(OR(E747="",E747="!!!",F747="NEW"),"",INDEX(B7:B$741,-1+SUMPRODUCT(MAX(ROW(E7:E$741)*(E747=E7:E$741)))))</f>
        <v/>
      </c>
      <c r="J747" s="24" t="str">
        <f aca="true">IF(OR(E747="",E747="!!!",F747="NEW"),"",COUNTBLANK(OFFSET(A$1,,,SUMPRODUCT(MAX(ROW(E$2:E747)*(E747=E$2:E747)))))-COUNTBLANK(OFFSET(A$1,,,SUMPRODUCT(MAX(ROW(E$1:E746)*(E2=E$1:E746))))))</f>
        <v/>
      </c>
      <c r="K747" s="24" t="str">
        <f aca="false">IF(OR(E747="",E747="!!!",F747="NEW"),"",INDEX(J$1:J746,SUMPRODUCT(MAX(ROW(E$1:E746)*(E747=E$1:E746)))))</f>
        <v/>
      </c>
      <c r="L747" s="21"/>
    </row>
    <row r="748" customFormat="false" ht="15" hidden="false" customHeight="false" outlineLevel="0" collapsed="false">
      <c r="A748" s="20" t="s">
        <v>1442</v>
      </c>
      <c r="E748" s="23"/>
      <c r="F748" s="25"/>
      <c r="G748" s="26"/>
      <c r="H748" s="27"/>
      <c r="I748" s="24" t="str">
        <f aca="false">IF(OR(E748="",E748="!!!",F748="NEW"),"",INDEX(B8:B$741,-1+SUMPRODUCT(MAX(ROW(E8:E$741)*(E748=E8:E$741)))))</f>
        <v/>
      </c>
      <c r="J748" s="24" t="str">
        <f aca="true">IF(OR(E748="",E748="!!!",F748="NEW"),"",COUNTBLANK(OFFSET(A$1,,,SUMPRODUCT(MAX(ROW(E$2:E748)*(E748=E$2:E748)))))-COUNTBLANK(OFFSET(A$1,,,SUMPRODUCT(MAX(ROW(E$1:E747)*(E2=E$1:E747))))))</f>
        <v/>
      </c>
      <c r="K748" s="24" t="str">
        <f aca="false">IF(OR(E748="",E748="!!!",F748="NEW"),"",INDEX(J$1:J747,SUMPRODUCT(MAX(ROW(E$1:E747)*(E748=E$1:E747)))))</f>
        <v/>
      </c>
      <c r="L748" s="21"/>
    </row>
    <row r="749" customFormat="false" ht="15" hidden="false" customHeight="false" outlineLevel="0" collapsed="false">
      <c r="A749" s="20" t="s">
        <v>1443</v>
      </c>
      <c r="E749" s="23"/>
      <c r="F749" s="25"/>
      <c r="G749" s="26"/>
      <c r="H749" s="27"/>
      <c r="I749" s="24" t="str">
        <f aca="false">IF(OR(E749="",E749="!!!",F749="NEW"),"",INDEX(B9:B$741,-1+SUMPRODUCT(MAX(ROW(E9:E$741)*(E749=E9:E$741)))))</f>
        <v/>
      </c>
      <c r="J749" s="24" t="str">
        <f aca="true">IF(OR(E749="",E749="!!!",F749="NEW"),"",COUNTBLANK(OFFSET(A$1,,,SUMPRODUCT(MAX(ROW(E$2:E749)*(E749=E$2:E749)))))-COUNTBLANK(OFFSET(A$1,,,SUMPRODUCT(MAX(ROW(E$1:E748)*(E2=E$1:E748))))))</f>
        <v/>
      </c>
      <c r="K749" s="24" t="str">
        <f aca="false">IF(OR(E749="",E749="!!!",F749="NEW"),"",INDEX(J$1:J748,SUMPRODUCT(MAX(ROW(E$1:E748)*(E749=E$1:E748)))))</f>
        <v/>
      </c>
      <c r="L749" s="21"/>
    </row>
    <row r="750" customFormat="false" ht="15" hidden="false" customHeight="false" outlineLevel="0" collapsed="false">
      <c r="A750" s="20" t="s">
        <v>923</v>
      </c>
      <c r="E750" s="23"/>
      <c r="F750" s="25"/>
      <c r="G750" s="26"/>
      <c r="H750" s="27"/>
      <c r="I750" s="24" t="str">
        <f aca="false">IF(OR(E750="",E750="!!!",F750="NEW"),"",INDEX(B10:B$741,-1+SUMPRODUCT(MAX(ROW(E10:E$741)*(E750=E10:E$741)))))</f>
        <v/>
      </c>
      <c r="J750" s="24" t="str">
        <f aca="true">IF(OR(E750="",E750="!!!",F750="NEW"),"",COUNTBLANK(OFFSET(A$1,,,SUMPRODUCT(MAX(ROW(E$2:E750)*(E750=E$2:E750)))))-COUNTBLANK(OFFSET(A$1,,,SUMPRODUCT(MAX(ROW(E$1:E749)*(E2=E$1:E749))))))</f>
        <v/>
      </c>
      <c r="K750" s="24" t="str">
        <f aca="false">IF(OR(E750="",E750="!!!",F750="NEW"),"",INDEX(J$1:J749,SUMPRODUCT(MAX(ROW(E$1:E749)*(E750=E$1:E749)))))</f>
        <v/>
      </c>
      <c r="L750" s="21"/>
    </row>
    <row r="751" customFormat="false" ht="15" hidden="false" customHeight="false" outlineLevel="0" collapsed="false">
      <c r="A751" s="20"/>
      <c r="L751" s="21"/>
    </row>
    <row r="752" customFormat="false" ht="15" hidden="false" customHeight="false" outlineLevel="0" collapsed="false">
      <c r="A752" s="20" t="s">
        <v>1301</v>
      </c>
      <c r="E752" s="23"/>
      <c r="F752" s="25"/>
      <c r="G752" s="26"/>
      <c r="H752" s="27"/>
      <c r="I752" s="24" t="str">
        <f aca="false">IF(OR(E752="",E752="!!!",F752="NEW"),"",INDEX(B2:B$751,-1+SUMPRODUCT(MAX(ROW(E2:E$751)*(E752=E2:E$751)))))</f>
        <v/>
      </c>
      <c r="J752" s="24" t="str">
        <f aca="true">IF(OR(E752="",E752="!!!",F752="NEW"),"",COUNTBLANK(OFFSET(A$1,,,SUMPRODUCT(MAX(ROW(E$2:E752)*(E752=E$2:E752)))))-COUNTBLANK(OFFSET(A$1,,,SUMPRODUCT(MAX(ROW(E$1:E751)*(E2=E$1:E751))))))</f>
        <v/>
      </c>
      <c r="K752" s="24" t="str">
        <f aca="false">IF(OR(E752="",E752="!!!",F752="NEW"),"",INDEX(J$1:J751,SUMPRODUCT(MAX(ROW(E$1:E751)*(E752=E$1:E751)))))</f>
        <v/>
      </c>
      <c r="L752" s="21"/>
    </row>
    <row r="753" customFormat="false" ht="15" hidden="false" customHeight="false" outlineLevel="0" collapsed="false">
      <c r="A753" s="20" t="s">
        <v>1444</v>
      </c>
      <c r="L753" s="21"/>
    </row>
    <row r="754" customFormat="false" ht="15" hidden="false" customHeight="false" outlineLevel="0" collapsed="false">
      <c r="A754" s="20" t="s">
        <v>173</v>
      </c>
      <c r="E754" s="23"/>
      <c r="F754" s="25"/>
      <c r="G754" s="26"/>
      <c r="H754" s="27"/>
      <c r="I754" s="24" t="str">
        <f aca="false">IF(OR(E754="",E754="!!!",F754="NEW"),"",INDEX(B2:B$753,-1+SUMPRODUCT(MAX(ROW(E2:E$753)*(E754=E2:E$753)))))</f>
        <v/>
      </c>
      <c r="J754" s="24" t="str">
        <f aca="true">IF(OR(E754="",E754="!!!",F754="NEW"),"",COUNTBLANK(OFFSET(A$1,,,SUMPRODUCT(MAX(ROW(E$2:E754)*(E754=E$2:E754)))))-COUNTBLANK(OFFSET(A$1,,,SUMPRODUCT(MAX(ROW(E$1:E753)*(E2=E$1:E753))))))</f>
        <v/>
      </c>
      <c r="K754" s="24" t="str">
        <f aca="false">IF(OR(E754="",E754="!!!",F754="NEW"),"",INDEX(J$1:J753,SUMPRODUCT(MAX(ROW(E$1:E753)*(E754=E$1:E753)))))</f>
        <v/>
      </c>
      <c r="L754" s="21"/>
    </row>
    <row r="755" customFormat="false" ht="15" hidden="false" customHeight="false" outlineLevel="0" collapsed="false">
      <c r="A755" s="20" t="s">
        <v>1445</v>
      </c>
      <c r="E755" s="23"/>
      <c r="F755" s="25"/>
      <c r="G755" s="26"/>
      <c r="H755" s="27"/>
      <c r="I755" s="24" t="str">
        <f aca="false">IF(OR(E755="",E755="!!!",F755="NEW"),"",INDEX(B3:B$753,-1+SUMPRODUCT(MAX(ROW(E3:E$753)*(E755=E3:E$753)))))</f>
        <v/>
      </c>
      <c r="J755" s="24" t="str">
        <f aca="true">IF(OR(E755="",E755="!!!",F755="NEW"),"",COUNTBLANK(OFFSET(A$1,,,SUMPRODUCT(MAX(ROW(E$2:E755)*(E755=E$2:E755)))))-COUNTBLANK(OFFSET(A$1,,,SUMPRODUCT(MAX(ROW(E$1:E754)*(E2=E$1:E754))))))</f>
        <v/>
      </c>
      <c r="K755" s="24" t="str">
        <f aca="false">IF(OR(E755="",E755="!!!",F755="NEW"),"",INDEX(J$1:J754,SUMPRODUCT(MAX(ROW(E$1:E754)*(E755=E$1:E754)))))</f>
        <v/>
      </c>
      <c r="L755" s="21"/>
    </row>
    <row r="756" customFormat="false" ht="15" hidden="false" customHeight="false" outlineLevel="0" collapsed="false">
      <c r="A756" s="20" t="s">
        <v>1446</v>
      </c>
      <c r="E756" s="23"/>
      <c r="F756" s="25"/>
      <c r="G756" s="26"/>
      <c r="H756" s="27"/>
      <c r="I756" s="24" t="str">
        <f aca="false">IF(OR(E756="",E756="!!!",F756="NEW"),"",INDEX(B4:B$753,-1+SUMPRODUCT(MAX(ROW(E4:E$753)*(E756=E4:E$753)))))</f>
        <v/>
      </c>
      <c r="J756" s="24" t="str">
        <f aca="true">IF(OR(E756="",E756="!!!",F756="NEW"),"",COUNTBLANK(OFFSET(A$1,,,SUMPRODUCT(MAX(ROW(E$2:E756)*(E756=E$2:E756)))))-COUNTBLANK(OFFSET(A$1,,,SUMPRODUCT(MAX(ROW(E$1:E755)*(E2=E$1:E755))))))</f>
        <v/>
      </c>
      <c r="K756" s="24" t="str">
        <f aca="false">IF(OR(E756="",E756="!!!",F756="NEW"),"",INDEX(J$1:J755,SUMPRODUCT(MAX(ROW(E$1:E755)*(E756=E$1:E755)))))</f>
        <v/>
      </c>
      <c r="L756" s="21"/>
    </row>
    <row r="757" customFormat="false" ht="15" hidden="false" customHeight="false" outlineLevel="0" collapsed="false">
      <c r="A757" s="20" t="s">
        <v>1128</v>
      </c>
      <c r="E757" s="23"/>
      <c r="F757" s="25"/>
      <c r="G757" s="26"/>
      <c r="H757" s="27"/>
      <c r="I757" s="24" t="str">
        <f aca="false">IF(OR(E757="",E757="!!!",F757="NEW"),"",INDEX(B5:B$753,-1+SUMPRODUCT(MAX(ROW(E5:E$753)*(E757=E5:E$753)))))</f>
        <v/>
      </c>
      <c r="J757" s="24" t="str">
        <f aca="true">IF(OR(E757="",E757="!!!",F757="NEW"),"",COUNTBLANK(OFFSET(A$1,,,SUMPRODUCT(MAX(ROW(E$2:E757)*(E757=E$2:E757)))))-COUNTBLANK(OFFSET(A$1,,,SUMPRODUCT(MAX(ROW(E$1:E756)*(E2=E$1:E756))))))</f>
        <v/>
      </c>
      <c r="K757" s="24" t="str">
        <f aca="false">IF(OR(E757="",E757="!!!",F757="NEW"),"",INDEX(J$1:J756,SUMPRODUCT(MAX(ROW(E$1:E756)*(E757=E$1:E756)))))</f>
        <v/>
      </c>
      <c r="L757" s="21"/>
    </row>
    <row r="758" customFormat="false" ht="15" hidden="false" customHeight="false" outlineLevel="0" collapsed="false">
      <c r="A758" s="20" t="s">
        <v>106</v>
      </c>
      <c r="E758" s="23"/>
      <c r="F758" s="25"/>
      <c r="G758" s="26"/>
      <c r="H758" s="27"/>
      <c r="I758" s="24" t="str">
        <f aca="false">IF(OR(E758="",E758="!!!",F758="NEW"),"",INDEX(B6:B$753,-1+SUMPRODUCT(MAX(ROW(E6:E$753)*(E758=E6:E$753)))))</f>
        <v/>
      </c>
      <c r="J758" s="24" t="str">
        <f aca="true">IF(OR(E758="",E758="!!!",F758="NEW"),"",COUNTBLANK(OFFSET(A$1,,,SUMPRODUCT(MAX(ROW(E$2:E758)*(E758=E$2:E758)))))-COUNTBLANK(OFFSET(A$1,,,SUMPRODUCT(MAX(ROW(E$1:E757)*(E2=E$1:E757))))))</f>
        <v/>
      </c>
      <c r="K758" s="24" t="str">
        <f aca="false">IF(OR(E758="",E758="!!!",F758="NEW"),"",INDEX(J$1:J757,SUMPRODUCT(MAX(ROW(E$1:E757)*(E758=E$1:E757)))))</f>
        <v/>
      </c>
      <c r="L758" s="21"/>
    </row>
    <row r="759" customFormat="false" ht="15" hidden="false" customHeight="false" outlineLevel="0" collapsed="false">
      <c r="A759" s="20" t="s">
        <v>1201</v>
      </c>
      <c r="B759" s="22" t="s">
        <v>1146</v>
      </c>
      <c r="C759" s="22" t="s">
        <v>1202</v>
      </c>
      <c r="E759" s="23"/>
      <c r="F759" s="25"/>
      <c r="G759" s="26"/>
      <c r="H759" s="27"/>
      <c r="I759" s="24" t="str">
        <f aca="false">IF(OR(E759="",E759="!!!",F759="NEW"),"",INDEX(B7:B$753,-1+SUMPRODUCT(MAX(ROW(E7:E$753)*(E759=E7:E$753)))))</f>
        <v/>
      </c>
      <c r="J759" s="24" t="str">
        <f aca="true">IF(OR(E759="",E759="!!!",F759="NEW"),"",COUNTBLANK(OFFSET(A$1,,,SUMPRODUCT(MAX(ROW(E$2:E759)*(E759=E$2:E759)))))-COUNTBLANK(OFFSET(A$1,,,SUMPRODUCT(MAX(ROW(E$1:E758)*(E2=E$1:E758))))))</f>
        <v/>
      </c>
      <c r="K759" s="24" t="str">
        <f aca="false">IF(OR(E759="",E759="!!!",F759="NEW"),"",INDEX(J$1:J758,SUMPRODUCT(MAX(ROW(E$1:E758)*(E759=E$1:E758)))))</f>
        <v/>
      </c>
      <c r="L759" s="21"/>
    </row>
    <row r="760" customFormat="false" ht="15" hidden="false" customHeight="false" outlineLevel="0" collapsed="false">
      <c r="A760" s="20" t="s">
        <v>1424</v>
      </c>
      <c r="B760" s="22" t="s">
        <v>1091</v>
      </c>
      <c r="C760" s="22" t="s">
        <v>1082</v>
      </c>
      <c r="D760" s="22" t="s">
        <v>1060</v>
      </c>
      <c r="E760" s="23" t="s">
        <v>1447</v>
      </c>
      <c r="F760" s="23" t="s">
        <v>1062</v>
      </c>
      <c r="G760" s="23" t="s">
        <v>1253</v>
      </c>
      <c r="H760" s="23"/>
      <c r="I760" s="24" t="str">
        <f aca="false">IF(OR(E760="",E760="!!!",F760="NEW"),"",INDEX(B8:B$753,-1+SUMPRODUCT(MAX(ROW(E8:E$753)*(E760=E8:E$753)))))</f>
        <v/>
      </c>
      <c r="J760" s="24" t="str">
        <f aca="true">IF(OR(E760="",E760="!!!",F760="NEW"),"",COUNTBLANK(OFFSET(A$1,,,SUMPRODUCT(MAX(ROW(E$2:E760)*(E760=E$2:E760)))))-COUNTBLANK(OFFSET(A$1,,,SUMPRODUCT(MAX(ROW(E$1:E759)*(E2=E$1:E759))))))</f>
        <v/>
      </c>
      <c r="K760" s="24" t="str">
        <f aca="false">IF(OR(E760="",E760="!!!",F760="NEW"),"",INDEX(J$1:J759,SUMPRODUCT(MAX(ROW(E$1:E759)*(E760=E$1:E759)))))</f>
        <v/>
      </c>
      <c r="L760" s="21"/>
    </row>
    <row r="761" customFormat="false" ht="15" hidden="false" customHeight="false" outlineLevel="0" collapsed="false">
      <c r="A761" s="20" t="s">
        <v>1331</v>
      </c>
      <c r="E761" s="23"/>
      <c r="F761" s="25"/>
      <c r="G761" s="26"/>
      <c r="H761" s="27"/>
      <c r="I761" s="24" t="str">
        <f aca="false">IF(OR(E761="",E761="!!!",F761="NEW"),"",INDEX(B9:B$753,-1+SUMPRODUCT(MAX(ROW(E9:E$753)*(E761=E9:E$753)))))</f>
        <v/>
      </c>
      <c r="J761" s="24" t="str">
        <f aca="true">IF(OR(E761="",E761="!!!",F761="NEW"),"",COUNTBLANK(OFFSET(A$1,,,SUMPRODUCT(MAX(ROW(E$2:E761)*(E761=E$2:E761)))))-COUNTBLANK(OFFSET(A$1,,,SUMPRODUCT(MAX(ROW(E$1:E760)*(E2=E$1:E760))))))</f>
        <v/>
      </c>
      <c r="K761" s="24" t="str">
        <f aca="false">IF(OR(E761="",E761="!!!",F761="NEW"),"",INDEX(J$1:J760,SUMPRODUCT(MAX(ROW(E$1:E760)*(E761=E$1:E760)))))</f>
        <v/>
      </c>
      <c r="L761" s="21"/>
    </row>
    <row r="762" customFormat="false" ht="15" hidden="false" customHeight="false" outlineLevel="0" collapsed="false">
      <c r="A762" s="20" t="s">
        <v>1448</v>
      </c>
      <c r="E762" s="23"/>
      <c r="F762" s="25"/>
      <c r="G762" s="26"/>
      <c r="H762" s="27"/>
      <c r="I762" s="24" t="str">
        <f aca="false">IF(OR(E762="",E762="!!!",F762="NEW"),"",INDEX(B10:B$753,-1+SUMPRODUCT(MAX(ROW(E10:E$753)*(E762=E10:E$753)))))</f>
        <v/>
      </c>
      <c r="J762" s="24" t="str">
        <f aca="true">IF(OR(E762="",E762="!!!",F762="NEW"),"",COUNTBLANK(OFFSET(A$1,,,SUMPRODUCT(MAX(ROW(E$2:E762)*(E762=E$2:E762)))))-COUNTBLANK(OFFSET(A$1,,,SUMPRODUCT(MAX(ROW(E$1:E761)*(E2=E$1:E761))))))</f>
        <v/>
      </c>
      <c r="K762" s="24" t="str">
        <f aca="false">IF(OR(E762="",E762="!!!",F762="NEW"),"",INDEX(J$1:J761,SUMPRODUCT(MAX(ROW(E$1:E761)*(E762=E$1:E761)))))</f>
        <v/>
      </c>
      <c r="L762" s="21"/>
    </row>
    <row r="763" customFormat="false" ht="15" hidden="false" customHeight="false" outlineLevel="0" collapsed="false">
      <c r="A763" s="20" t="s">
        <v>1449</v>
      </c>
      <c r="E763" s="23"/>
      <c r="F763" s="25"/>
      <c r="G763" s="26"/>
      <c r="H763" s="27"/>
      <c r="I763" s="24" t="str">
        <f aca="false">IF(OR(E763="",E763="!!!",F763="NEW"),"",INDEX(B11:B$753,-1+SUMPRODUCT(MAX(ROW(E11:E$753)*(E763=E11:E$753)))))</f>
        <v/>
      </c>
      <c r="J763" s="24" t="str">
        <f aca="true">IF(OR(E763="",E763="!!!",F763="NEW"),"",COUNTBLANK(OFFSET(A$1,,,SUMPRODUCT(MAX(ROW(E$2:E763)*(E763=E$2:E763)))))-COUNTBLANK(OFFSET(A$1,,,SUMPRODUCT(MAX(ROW(E$1:E762)*(E2=E$1:E762))))))</f>
        <v/>
      </c>
      <c r="K763" s="24" t="str">
        <f aca="false">IF(OR(E763="",E763="!!!",F763="NEW"),"",INDEX(J$1:J762,SUMPRODUCT(MAX(ROW(E$1:E762)*(E763=E$1:E762)))))</f>
        <v/>
      </c>
      <c r="L763" s="21"/>
    </row>
    <row r="764" customFormat="false" ht="15" hidden="false" customHeight="false" outlineLevel="0" collapsed="false">
      <c r="A764" s="20" t="s">
        <v>1154</v>
      </c>
      <c r="E764" s="23"/>
      <c r="F764" s="25"/>
      <c r="G764" s="26"/>
      <c r="H764" s="27"/>
      <c r="I764" s="24" t="str">
        <f aca="false">IF(OR(E764="",E764="!!!",F764="NEW"),"",INDEX(B12:B$753,-1+SUMPRODUCT(MAX(ROW(E12:E$753)*(E764=E12:E$753)))))</f>
        <v/>
      </c>
      <c r="J764" s="24" t="str">
        <f aca="true">IF(OR(E764="",E764="!!!",F764="NEW"),"",COUNTBLANK(OFFSET(A$1,,,SUMPRODUCT(MAX(ROW(E$2:E764)*(E764=E$2:E764)))))-COUNTBLANK(OFFSET(A$1,,,SUMPRODUCT(MAX(ROW(E$1:E763)*(E2=E$1:E763))))))</f>
        <v/>
      </c>
      <c r="K764" s="24" t="str">
        <f aca="false">IF(OR(E764="",E764="!!!",F764="NEW"),"",INDEX(J$1:J763,SUMPRODUCT(MAX(ROW(E$1:E763)*(E764=E$1:E763)))))</f>
        <v/>
      </c>
      <c r="L764" s="21"/>
    </row>
    <row r="765" customFormat="false" ht="15" hidden="false" customHeight="false" outlineLevel="0" collapsed="false">
      <c r="A765" s="20" t="s">
        <v>1450</v>
      </c>
      <c r="B765" s="22" t="s">
        <v>1098</v>
      </c>
      <c r="C765" s="22" t="s">
        <v>1160</v>
      </c>
      <c r="E765" s="23"/>
      <c r="F765" s="25"/>
      <c r="G765" s="26"/>
      <c r="H765" s="27"/>
      <c r="I765" s="24" t="str">
        <f aca="false">IF(OR(E765="",E765="!!!",F765="NEW"),"",INDEX(B13:B$753,-1+SUMPRODUCT(MAX(ROW(E13:E$753)*(E765=E13:E$753)))))</f>
        <v/>
      </c>
      <c r="J765" s="24" t="str">
        <f aca="true">IF(OR(E765="",E765="!!!",F765="NEW"),"",COUNTBLANK(OFFSET(A$1,,,SUMPRODUCT(MAX(ROW(E$2:E765)*(E765=E$2:E765)))))-COUNTBLANK(OFFSET(A$1,,,SUMPRODUCT(MAX(ROW(E$1:E764)*(E2=E$1:E764))))))</f>
        <v/>
      </c>
      <c r="K765" s="24" t="str">
        <f aca="false">IF(OR(E765="",E765="!!!",F765="NEW"),"",INDEX(J$1:J764,SUMPRODUCT(MAX(ROW(E$1:E764)*(E765=E$1:E764)))))</f>
        <v/>
      </c>
      <c r="L765" s="21"/>
    </row>
    <row r="766" customFormat="false" ht="15" hidden="false" customHeight="false" outlineLevel="0" collapsed="false">
      <c r="A766" s="20" t="s">
        <v>1071</v>
      </c>
      <c r="E766" s="23"/>
      <c r="F766" s="25"/>
      <c r="G766" s="26"/>
      <c r="H766" s="27"/>
      <c r="I766" s="24" t="str">
        <f aca="false">IF(OR(E766="",E766="!!!",F766="NEW"),"",INDEX(B14:B$753,-1+SUMPRODUCT(MAX(ROW(E14:E$753)*(E766=E14:E$753)))))</f>
        <v/>
      </c>
      <c r="J766" s="24" t="str">
        <f aca="true">IF(OR(E766="",E766="!!!",F766="NEW"),"",COUNTBLANK(OFFSET(A$1,,,SUMPRODUCT(MAX(ROW(E$2:E766)*(E766=E$2:E766)))))-COUNTBLANK(OFFSET(A$1,,,SUMPRODUCT(MAX(ROW(E$1:E765)*(E2=E$1:E765))))))</f>
        <v/>
      </c>
      <c r="K766" s="24" t="str">
        <f aca="false">IF(OR(E766="",E766="!!!",F766="NEW"),"",INDEX(J$1:J765,SUMPRODUCT(MAX(ROW(E$1:E765)*(E766=E$1:E765)))))</f>
        <v/>
      </c>
      <c r="L766" s="21"/>
    </row>
    <row r="767" customFormat="false" ht="15" hidden="false" customHeight="false" outlineLevel="0" collapsed="false">
      <c r="A767" s="20" t="s">
        <v>1451</v>
      </c>
      <c r="B767" s="22" t="s">
        <v>1107</v>
      </c>
      <c r="C767" s="22" t="s">
        <v>1059</v>
      </c>
      <c r="D767" s="22" t="s">
        <v>1060</v>
      </c>
      <c r="E767" s="23" t="s">
        <v>16</v>
      </c>
      <c r="F767" s="23" t="s">
        <v>1124</v>
      </c>
      <c r="G767" s="23"/>
      <c r="H767" s="23"/>
      <c r="I767" s="24" t="n">
        <f aca="false">IF(OR(E767="",E767="!!!",F767="NEW"),"",INDEX(B15:B$753,-1+SUMPRODUCT(MAX(ROW(E15:E$753)*(E767=E15:E$753)))))</f>
        <v>0</v>
      </c>
      <c r="J767" s="24" t="n">
        <f aca="true">IF(OR(E767="",E767="!!!",F767="NEW"),"",COUNTBLANK(OFFSET(A$1,,,SUMPRODUCT(MAX(ROW(E$2:E767)*(E767=E$2:E767)))))-COUNTBLANK(OFFSET(A$1,,,SUMPRODUCT(MAX(ROW(E$1:E766)*(E2=E$1:E766))))))</f>
        <v>0</v>
      </c>
      <c r="K767" s="24" t="n">
        <f aca="false">IF(OR(E767="",E767="!!!",F767="NEW"),"",INDEX(J$1:J766,SUMPRODUCT(MAX(ROW(E$1:E766)*(E767=E$1:E766)))))</f>
        <v>0</v>
      </c>
      <c r="L767" s="21"/>
    </row>
    <row r="768" customFormat="false" ht="15" hidden="false" customHeight="false" outlineLevel="0" collapsed="false">
      <c r="A768" s="20" t="s">
        <v>621</v>
      </c>
      <c r="E768" s="23"/>
      <c r="F768" s="25"/>
      <c r="G768" s="26"/>
      <c r="H768" s="27"/>
      <c r="I768" s="24" t="str">
        <f aca="false">IF(OR(E768="",E768="!!!",F768="NEW"),"",INDEX(B16:B$753,-1+SUMPRODUCT(MAX(ROW(E16:E$753)*(E768=E16:E$753)))))</f>
        <v/>
      </c>
      <c r="J768" s="24" t="str">
        <f aca="true">IF(OR(E768="",E768="!!!",F768="NEW"),"",COUNTBLANK(OFFSET(A$1,,,SUMPRODUCT(MAX(ROW(E$2:E768)*(E768=E$2:E768)))))-COUNTBLANK(OFFSET(A$1,,,SUMPRODUCT(MAX(ROW(E$1:E767)*(E2=E$1:E767))))))</f>
        <v/>
      </c>
      <c r="K768" s="24" t="str">
        <f aca="false">IF(OR(E768="",E768="!!!",F768="NEW"),"",INDEX(J$1:J767,SUMPRODUCT(MAX(ROW(E$1:E767)*(E768=E$1:E767)))))</f>
        <v/>
      </c>
      <c r="L768" s="21"/>
    </row>
    <row r="769" customFormat="false" ht="15" hidden="false" customHeight="false" outlineLevel="0" collapsed="false">
      <c r="A769" s="20" t="s">
        <v>1452</v>
      </c>
      <c r="E769" s="23"/>
      <c r="F769" s="25"/>
      <c r="G769" s="26"/>
      <c r="H769" s="27"/>
      <c r="I769" s="24" t="str">
        <f aca="false">IF(OR(E769="",E769="!!!",F769="NEW"),"",INDEX(B17:B$753,-1+SUMPRODUCT(MAX(ROW(E17:E$753)*(E769=E17:E$753)))))</f>
        <v/>
      </c>
      <c r="J769" s="24" t="str">
        <f aca="true">IF(OR(E769="",E769="!!!",F769="NEW"),"",COUNTBLANK(OFFSET(A$1,,,SUMPRODUCT(MAX(ROW(E$2:E769)*(E769=E$2:E769)))))-COUNTBLANK(OFFSET(A$1,,,SUMPRODUCT(MAX(ROW(E$1:E768)*(E2=E$1:E768))))))</f>
        <v/>
      </c>
      <c r="K769" s="24" t="str">
        <f aca="false">IF(OR(E769="",E769="!!!",F769="NEW"),"",INDEX(J$1:J768,SUMPRODUCT(MAX(ROW(E$1:E768)*(E769=E$1:E768)))))</f>
        <v/>
      </c>
      <c r="L769" s="21"/>
    </row>
    <row r="770" customFormat="false" ht="15" hidden="false" customHeight="false" outlineLevel="0" collapsed="false">
      <c r="A770" s="20" t="s">
        <v>1453</v>
      </c>
      <c r="E770" s="23"/>
      <c r="F770" s="25"/>
      <c r="G770" s="26"/>
      <c r="H770" s="27"/>
      <c r="I770" s="24" t="str">
        <f aca="false">IF(OR(E770="",E770="!!!",F770="NEW"),"",INDEX(B18:B$753,-1+SUMPRODUCT(MAX(ROW(E18:E$753)*(E770=E18:E$753)))))</f>
        <v/>
      </c>
      <c r="J770" s="24" t="str">
        <f aca="true">IF(OR(E770="",E770="!!!",F770="NEW"),"",COUNTBLANK(OFFSET(A$1,,,SUMPRODUCT(MAX(ROW(E$2:E770)*(E770=E$2:E770)))))-COUNTBLANK(OFFSET(A$1,,,SUMPRODUCT(MAX(ROW(E$1:E769)*(E2=E$1:E769))))))</f>
        <v/>
      </c>
      <c r="K770" s="24" t="str">
        <f aca="false">IF(OR(E770="",E770="!!!",F770="NEW"),"",INDEX(J$1:J769,SUMPRODUCT(MAX(ROW(E$1:E769)*(E770=E$1:E769)))))</f>
        <v/>
      </c>
      <c r="L770" s="21"/>
    </row>
    <row r="771" customFormat="false" ht="15" hidden="false" customHeight="false" outlineLevel="0" collapsed="false">
      <c r="A771" s="20" t="s">
        <v>1454</v>
      </c>
      <c r="B771" s="22" t="s">
        <v>1102</v>
      </c>
      <c r="C771" s="22" t="s">
        <v>1082</v>
      </c>
      <c r="D771" s="22" t="s">
        <v>1060</v>
      </c>
      <c r="E771" s="23" t="s">
        <v>1447</v>
      </c>
      <c r="F771" s="23" t="s">
        <v>1083</v>
      </c>
      <c r="G771" s="23" t="s">
        <v>1084</v>
      </c>
      <c r="H771" s="23"/>
      <c r="I771" s="24" t="e">
        <f aca="false">IF(OR(E771="",E771="!!!",F771="NEW"),"",INDEX(B19:B$753,-1+SUMPRODUCT(MAX(ROW(E19:E$753)*(E771=E19:E$753)))))</f>
        <v>#VALUE!</v>
      </c>
      <c r="J771" s="24" t="n">
        <f aca="true">IF(OR(E771="",E771="!!!",F771="NEW"),"",COUNTBLANK(OFFSET(A$1,,,SUMPRODUCT(MAX(ROW(E$2:E771)*(E771=E$2:E771)))))-COUNTBLANK(OFFSET(A$1,,,SUMPRODUCT(MAX(ROW(E$1:E770)*(E2=E$1:E770))))))</f>
        <v>0</v>
      </c>
      <c r="K771" s="24" t="str">
        <f aca="false">IF(OR(E771="",E771="!!!",F771="NEW"),"",INDEX(J$1:J770,SUMPRODUCT(MAX(ROW(E$1:E770)*(E771=E$1:E770)))))</f>
        <v/>
      </c>
      <c r="L771" s="21"/>
    </row>
    <row r="772" customFormat="false" ht="15" hidden="false" customHeight="false" outlineLevel="0" collapsed="false">
      <c r="A772" s="20" t="s">
        <v>169</v>
      </c>
      <c r="E772" s="23"/>
      <c r="F772" s="25"/>
      <c r="G772" s="26"/>
      <c r="H772" s="27"/>
      <c r="I772" s="24" t="str">
        <f aca="false">IF(OR(E772="",E772="!!!",F772="NEW"),"",INDEX(B20:B$753,-1+SUMPRODUCT(MAX(ROW(E20:E$753)*(E772=E20:E$753)))))</f>
        <v/>
      </c>
      <c r="J772" s="24" t="str">
        <f aca="true">IF(OR(E772="",E772="!!!",F772="NEW"),"",COUNTBLANK(OFFSET(A$1,,,SUMPRODUCT(MAX(ROW(E$2:E772)*(E772=E$2:E772)))))-COUNTBLANK(OFFSET(A$1,,,SUMPRODUCT(MAX(ROW(E$1:E771)*(E2=E$1:E771))))))</f>
        <v/>
      </c>
      <c r="K772" s="24" t="str">
        <f aca="false">IF(OR(E772="",E772="!!!",F772="NEW"),"",INDEX(J$1:J771,SUMPRODUCT(MAX(ROW(E$1:E771)*(E772=E$1:E771)))))</f>
        <v/>
      </c>
      <c r="L772" s="21"/>
    </row>
    <row r="773" customFormat="false" ht="15" hidden="false" customHeight="false" outlineLevel="0" collapsed="false">
      <c r="A773" s="20" t="s">
        <v>1089</v>
      </c>
      <c r="E773" s="23"/>
      <c r="F773" s="25"/>
      <c r="G773" s="26"/>
      <c r="H773" s="27"/>
      <c r="I773" s="24" t="str">
        <f aca="false">IF(OR(E773="",E773="!!!",F773="NEW"),"",INDEX(B21:B$753,-1+SUMPRODUCT(MAX(ROW(E21:E$753)*(E773=E21:E$753)))))</f>
        <v/>
      </c>
      <c r="J773" s="24" t="str">
        <f aca="true">IF(OR(E773="",E773="!!!",F773="NEW"),"",COUNTBLANK(OFFSET(A$1,,,SUMPRODUCT(MAX(ROW(E$2:E773)*(E773=E$2:E773)))))-COUNTBLANK(OFFSET(A$1,,,SUMPRODUCT(MAX(ROW(E$1:E772)*(E2=E$1:E772))))))</f>
        <v/>
      </c>
      <c r="K773" s="24" t="str">
        <f aca="false">IF(OR(E773="",E773="!!!",F773="NEW"),"",INDEX(J$1:J772,SUMPRODUCT(MAX(ROW(E$1:E772)*(E773=E$1:E772)))))</f>
        <v/>
      </c>
      <c r="L773" s="21"/>
    </row>
    <row r="774" customFormat="false" ht="15" hidden="false" customHeight="false" outlineLevel="0" collapsed="false">
      <c r="A774" s="20" t="s">
        <v>1424</v>
      </c>
      <c r="B774" s="22" t="s">
        <v>1205</v>
      </c>
      <c r="C774" s="22" t="s">
        <v>1082</v>
      </c>
      <c r="D774" s="22" t="s">
        <v>1060</v>
      </c>
      <c r="E774" s="23" t="s">
        <v>1447</v>
      </c>
      <c r="F774" s="23" t="s">
        <v>1083</v>
      </c>
      <c r="G774" s="23" t="s">
        <v>1084</v>
      </c>
      <c r="H774" s="23"/>
      <c r="I774" s="24" t="e">
        <f aca="false">IF(OR(E774="",E774="!!!",F774="NEW"),"",INDEX(B22:B$753,-1+SUMPRODUCT(MAX(ROW(E22:E$753)*(E774=E22:E$753)))))</f>
        <v>#VALUE!</v>
      </c>
      <c r="J774" s="24" t="n">
        <f aca="true">IF(OR(E774="",E774="!!!",F774="NEW"),"",COUNTBLANK(OFFSET(A$1,,,SUMPRODUCT(MAX(ROW(E$2:E774)*(E774=E$2:E774)))))-COUNTBLANK(OFFSET(A$1,,,SUMPRODUCT(MAX(ROW(E$1:E773)*(E2=E$1:E773))))))</f>
        <v>0</v>
      </c>
      <c r="K774" s="24" t="n">
        <f aca="false">IF(OR(E774="",E774="!!!",F774="NEW"),"",INDEX(J$1:J773,SUMPRODUCT(MAX(ROW(E$1:E773)*(E774=E$1:E773)))))</f>
        <v>0</v>
      </c>
      <c r="L774" s="21"/>
    </row>
    <row r="775" customFormat="false" ht="15" hidden="false" customHeight="false" outlineLevel="0" collapsed="false">
      <c r="A775" s="20" t="s">
        <v>1331</v>
      </c>
      <c r="E775" s="23"/>
      <c r="F775" s="25"/>
      <c r="G775" s="26"/>
      <c r="H775" s="27"/>
      <c r="I775" s="24" t="str">
        <f aca="false">IF(OR(E775="",E775="!!!",F775="NEW"),"",INDEX(B23:B$753,-1+SUMPRODUCT(MAX(ROW(E23:E$753)*(E775=E23:E$753)))))</f>
        <v/>
      </c>
      <c r="J775" s="24" t="str">
        <f aca="true">IF(OR(E775="",E775="!!!",F775="NEW"),"",COUNTBLANK(OFFSET(A$1,,,SUMPRODUCT(MAX(ROW(E$2:E775)*(E775=E$2:E775)))))-COUNTBLANK(OFFSET(A$1,,,SUMPRODUCT(MAX(ROW(E$1:E774)*(E2=E$1:E774))))))</f>
        <v/>
      </c>
      <c r="K775" s="24" t="str">
        <f aca="false">IF(OR(E775="",E775="!!!",F775="NEW"),"",INDEX(J$1:J774,SUMPRODUCT(MAX(ROW(E$1:E774)*(E775=E$1:E774)))))</f>
        <v/>
      </c>
      <c r="L775" s="21"/>
    </row>
    <row r="776" customFormat="false" ht="15" hidden="false" customHeight="false" outlineLevel="0" collapsed="false">
      <c r="A776" s="20" t="s">
        <v>1455</v>
      </c>
      <c r="E776" s="23"/>
      <c r="F776" s="25"/>
      <c r="G776" s="26"/>
      <c r="H776" s="27"/>
      <c r="I776" s="24" t="str">
        <f aca="false">IF(OR(E776="",E776="!!!",F776="NEW"),"",INDEX(B24:B$753,-1+SUMPRODUCT(MAX(ROW(E24:E$753)*(E776=E24:E$753)))))</f>
        <v/>
      </c>
      <c r="J776" s="24" t="str">
        <f aca="true">IF(OR(E776="",E776="!!!",F776="NEW"),"",COUNTBLANK(OFFSET(A$1,,,SUMPRODUCT(MAX(ROW(E$2:E776)*(E776=E$2:E776)))))-COUNTBLANK(OFFSET(A$1,,,SUMPRODUCT(MAX(ROW(E$1:E775)*(E2=E$1:E775))))))</f>
        <v/>
      </c>
      <c r="K776" s="24" t="str">
        <f aca="false">IF(OR(E776="",E776="!!!",F776="NEW"),"",INDEX(J$1:J775,SUMPRODUCT(MAX(ROW(E$1:E775)*(E776=E$1:E775)))))</f>
        <v/>
      </c>
      <c r="L776" s="21"/>
    </row>
    <row r="777" customFormat="false" ht="15" hidden="false" customHeight="false" outlineLevel="0" collapsed="false">
      <c r="A777" s="20" t="s">
        <v>1328</v>
      </c>
      <c r="E777" s="23"/>
      <c r="F777" s="25"/>
      <c r="G777" s="26"/>
      <c r="H777" s="27"/>
      <c r="I777" s="24" t="str">
        <f aca="false">IF(OR(E777="",E777="!!!",F777="NEW"),"",INDEX(B25:B$753,-1+SUMPRODUCT(MAX(ROW(E25:E$753)*(E777=E25:E$753)))))</f>
        <v/>
      </c>
      <c r="J777" s="24" t="str">
        <f aca="true">IF(OR(E777="",E777="!!!",F777="NEW"),"",COUNTBLANK(OFFSET(A$1,,,SUMPRODUCT(MAX(ROW(E$2:E777)*(E777=E$2:E777)))))-COUNTBLANK(OFFSET(A$1,,,SUMPRODUCT(MAX(ROW(E$1:E776)*(E2=E$1:E776))))))</f>
        <v/>
      </c>
      <c r="K777" s="24" t="str">
        <f aca="false">IF(OR(E777="",E777="!!!",F777="NEW"),"",INDEX(J$1:J776,SUMPRODUCT(MAX(ROW(E$1:E776)*(E777=E$1:E776)))))</f>
        <v/>
      </c>
      <c r="L777" s="21"/>
    </row>
    <row r="778" customFormat="false" ht="15" hidden="false" customHeight="false" outlineLevel="0" collapsed="false">
      <c r="A778" s="20" t="s">
        <v>607</v>
      </c>
      <c r="E778" s="23"/>
      <c r="F778" s="25"/>
      <c r="G778" s="26"/>
      <c r="H778" s="27"/>
      <c r="I778" s="24" t="str">
        <f aca="false">IF(OR(E778="",E778="!!!",F778="NEW"),"",INDEX(B26:B$753,-1+SUMPRODUCT(MAX(ROW(E26:E$753)*(E778=E26:E$753)))))</f>
        <v/>
      </c>
      <c r="J778" s="24" t="str">
        <f aca="true">IF(OR(E778="",E778="!!!",F778="NEW"),"",COUNTBLANK(OFFSET(A$1,,,SUMPRODUCT(MAX(ROW(E$2:E778)*(E778=E$2:E778)))))-COUNTBLANK(OFFSET(A$1,,,SUMPRODUCT(MAX(ROW(E$1:E777)*(E2=E$1:E777))))))</f>
        <v/>
      </c>
      <c r="K778" s="24" t="str">
        <f aca="false">IF(OR(E778="",E778="!!!",F778="NEW"),"",INDEX(J$1:J777,SUMPRODUCT(MAX(ROW(E$1:E777)*(E778=E$1:E777)))))</f>
        <v/>
      </c>
      <c r="L778" s="21"/>
    </row>
    <row r="779" customFormat="false" ht="15" hidden="false" customHeight="false" outlineLevel="0" collapsed="false">
      <c r="A779" s="20"/>
      <c r="L779" s="21"/>
    </row>
    <row r="780" customFormat="false" ht="15" hidden="false" customHeight="false" outlineLevel="0" collapsed="false">
      <c r="A780" s="20" t="s">
        <v>1456</v>
      </c>
      <c r="L780" s="21"/>
    </row>
    <row r="781" customFormat="false" ht="15" hidden="false" customHeight="false" outlineLevel="0" collapsed="false">
      <c r="A781" s="20" t="s">
        <v>1162</v>
      </c>
      <c r="B781" s="22" t="s">
        <v>1058</v>
      </c>
      <c r="C781" s="22" t="s">
        <v>1082</v>
      </c>
      <c r="D781" s="22" t="s">
        <v>1060</v>
      </c>
      <c r="E781" s="23" t="s">
        <v>1163</v>
      </c>
      <c r="F781" s="23" t="s">
        <v>1083</v>
      </c>
      <c r="G781" s="23" t="s">
        <v>1120</v>
      </c>
      <c r="H781" s="23"/>
      <c r="I781" s="24" t="str">
        <f aca="false">IF(OR(E781="",E781="!!!",F781="NEW"),"",INDEX(B2:B$780,-1+SUMPRODUCT(MAX(ROW(E2:E$780)*(E781=E2:E$780)))))</f>
        <v>SBJ</v>
      </c>
      <c r="J781" s="24" t="n">
        <f aca="true">IF(OR(E781="",E781="!!!",F781="NEW"),"",COUNTBLANK(OFFSET(A$1,,,SUMPRODUCT(MAX(ROW(E$2:E781)*(E781=E$2:E781)))))-COUNTBLANK(OFFSET(A$1,,,SUMPRODUCT(MAX(ROW(E$1:E780)*(E2=E$1:E780))))))</f>
        <v>0</v>
      </c>
      <c r="K781" s="24" t="n">
        <f aca="false">IF(OR(E781="",E781="!!!",F781="NEW"),"",INDEX(J$1:J780,SUMPRODUCT(MAX(ROW(E$1:E780)*(E781=E$1:E780)))))</f>
        <v>0</v>
      </c>
      <c r="L781" s="21"/>
    </row>
    <row r="782" customFormat="false" ht="15" hidden="false" customHeight="false" outlineLevel="0" collapsed="false">
      <c r="A782" s="20" t="s">
        <v>1457</v>
      </c>
      <c r="E782" s="23"/>
      <c r="F782" s="25"/>
      <c r="G782" s="26"/>
      <c r="H782" s="27"/>
      <c r="I782" s="24" t="str">
        <f aca="false">IF(OR(E782="",E782="!!!",F782="NEW"),"",INDEX(B3:B$780,-1+SUMPRODUCT(MAX(ROW(E3:E$780)*(E782=E3:E$780)))))</f>
        <v/>
      </c>
      <c r="J782" s="24" t="str">
        <f aca="true">IF(OR(E782="",E782="!!!",F782="NEW"),"",COUNTBLANK(OFFSET(A$1,,,SUMPRODUCT(MAX(ROW(E$2:E782)*(E782=E$2:E782)))))-COUNTBLANK(OFFSET(A$1,,,SUMPRODUCT(MAX(ROW(E$1:E781)*(E2=E$1:E781))))))</f>
        <v/>
      </c>
      <c r="K782" s="24" t="str">
        <f aca="false">IF(OR(E782="",E782="!!!",F782="NEW"),"",INDEX(J$1:J781,SUMPRODUCT(MAX(ROW(E$1:E781)*(E782=E$1:E781)))))</f>
        <v/>
      </c>
      <c r="L782" s="21"/>
    </row>
    <row r="783" customFormat="false" ht="15" hidden="false" customHeight="false" outlineLevel="0" collapsed="false">
      <c r="A783" s="20" t="s">
        <v>1283</v>
      </c>
      <c r="E783" s="23"/>
      <c r="F783" s="25"/>
      <c r="G783" s="26"/>
      <c r="H783" s="27"/>
      <c r="I783" s="24" t="str">
        <f aca="false">IF(OR(E783="",E783="!!!",F783="NEW"),"",INDEX(B4:B$780,-1+SUMPRODUCT(MAX(ROW(E4:E$780)*(E783=E4:E$780)))))</f>
        <v/>
      </c>
      <c r="J783" s="24" t="str">
        <f aca="true">IF(OR(E783="",E783="!!!",F783="NEW"),"",COUNTBLANK(OFFSET(A$1,,,SUMPRODUCT(MAX(ROW(E$2:E783)*(E783=E$2:E783)))))-COUNTBLANK(OFFSET(A$1,,,SUMPRODUCT(MAX(ROW(E$1:E782)*(E2=E$1:E782))))))</f>
        <v/>
      </c>
      <c r="K783" s="24" t="str">
        <f aca="false">IF(OR(E783="",E783="!!!",F783="NEW"),"",INDEX(J$1:J782,SUMPRODUCT(MAX(ROW(E$1:E782)*(E783=E$1:E782)))))</f>
        <v/>
      </c>
      <c r="L783" s="21"/>
    </row>
    <row r="784" customFormat="false" ht="15" hidden="false" customHeight="false" outlineLevel="0" collapsed="false">
      <c r="A784" s="20" t="s">
        <v>1109</v>
      </c>
      <c r="E784" s="23"/>
      <c r="F784" s="25"/>
      <c r="G784" s="26"/>
      <c r="H784" s="27"/>
      <c r="I784" s="24" t="str">
        <f aca="false">IF(OR(E784="",E784="!!!",F784="NEW"),"",INDEX(B5:B$780,-1+SUMPRODUCT(MAX(ROW(E5:E$780)*(E784=E5:E$780)))))</f>
        <v/>
      </c>
      <c r="J784" s="24" t="str">
        <f aca="true">IF(OR(E784="",E784="!!!",F784="NEW"),"",COUNTBLANK(OFFSET(A$1,,,SUMPRODUCT(MAX(ROW(E$2:E784)*(E784=E$2:E784)))))-COUNTBLANK(OFFSET(A$1,,,SUMPRODUCT(MAX(ROW(E$1:E783)*(E2=E$1:E783))))))</f>
        <v/>
      </c>
      <c r="K784" s="24" t="str">
        <f aca="false">IF(OR(E784="",E784="!!!",F784="NEW"),"",INDEX(J$1:J783,SUMPRODUCT(MAX(ROW(E$1:E783)*(E784=E$1:E783)))))</f>
        <v/>
      </c>
      <c r="L784" s="21"/>
    </row>
    <row r="785" customFormat="false" ht="15" hidden="false" customHeight="false" outlineLevel="0" collapsed="false">
      <c r="A785" s="20" t="s">
        <v>1458</v>
      </c>
      <c r="B785" s="22" t="s">
        <v>1081</v>
      </c>
      <c r="C785" s="22" t="s">
        <v>1150</v>
      </c>
      <c r="D785" s="22" t="s">
        <v>1060</v>
      </c>
      <c r="E785" s="23" t="s">
        <v>1458</v>
      </c>
      <c r="F785" s="23" t="s">
        <v>1062</v>
      </c>
      <c r="G785" s="23" t="s">
        <v>1253</v>
      </c>
      <c r="H785" s="23"/>
      <c r="I785" s="24" t="str">
        <f aca="false">IF(OR(E785="",E785="!!!",F785="NEW"),"",INDEX(B6:B$780,-1+SUMPRODUCT(MAX(ROW(E6:E$780)*(E785=E6:E$780)))))</f>
        <v/>
      </c>
      <c r="J785" s="24" t="str">
        <f aca="true">IF(OR(E785="",E785="!!!",F785="NEW"),"",COUNTBLANK(OFFSET(A$1,,,SUMPRODUCT(MAX(ROW(E$2:E785)*(E785=E$2:E785)))))-COUNTBLANK(OFFSET(A$1,,,SUMPRODUCT(MAX(ROW(E$1:E784)*(E2=E$1:E784))))))</f>
        <v/>
      </c>
      <c r="K785" s="24" t="str">
        <f aca="false">IF(OR(E785="",E785="!!!",F785="NEW"),"",INDEX(J$1:J784,SUMPRODUCT(MAX(ROW(E$1:E784)*(E785=E$1:E784)))))</f>
        <v/>
      </c>
      <c r="L785" s="21"/>
    </row>
    <row r="786" customFormat="false" ht="15" hidden="false" customHeight="false" outlineLevel="0" collapsed="false">
      <c r="A786" s="20" t="s">
        <v>1128</v>
      </c>
      <c r="E786" s="23"/>
      <c r="F786" s="25"/>
      <c r="G786" s="26"/>
      <c r="H786" s="27"/>
      <c r="I786" s="24" t="str">
        <f aca="false">IF(OR(E786="",E786="!!!",F786="NEW"),"",INDEX(B7:B$780,-1+SUMPRODUCT(MAX(ROW(E7:E$780)*(E786=E7:E$780)))))</f>
        <v/>
      </c>
      <c r="J786" s="24" t="str">
        <f aca="true">IF(OR(E786="",E786="!!!",F786="NEW"),"",COUNTBLANK(OFFSET(A$1,,,SUMPRODUCT(MAX(ROW(E$2:E786)*(E786=E$2:E786)))))-COUNTBLANK(OFFSET(A$1,,,SUMPRODUCT(MAX(ROW(E$1:E785)*(E2=E$1:E785))))))</f>
        <v/>
      </c>
      <c r="K786" s="24" t="str">
        <f aca="false">IF(OR(E786="",E786="!!!",F786="NEW"),"",INDEX(J$1:J785,SUMPRODUCT(MAX(ROW(E$1:E785)*(E786=E$1:E785)))))</f>
        <v/>
      </c>
      <c r="L786" s="21"/>
    </row>
    <row r="787" customFormat="false" ht="15" hidden="false" customHeight="false" outlineLevel="0" collapsed="false">
      <c r="A787" s="20" t="s">
        <v>1459</v>
      </c>
      <c r="E787" s="23"/>
      <c r="F787" s="25"/>
      <c r="G787" s="26"/>
      <c r="H787" s="27"/>
      <c r="I787" s="24" t="str">
        <f aca="false">IF(OR(E787="",E787="!!!",F787="NEW"),"",INDEX(B8:B$780,-1+SUMPRODUCT(MAX(ROW(E8:E$780)*(E787=E8:E$780)))))</f>
        <v/>
      </c>
      <c r="J787" s="24" t="str">
        <f aca="true">IF(OR(E787="",E787="!!!",F787="NEW"),"",COUNTBLANK(OFFSET(A$1,,,SUMPRODUCT(MAX(ROW(E$2:E787)*(E787=E$2:E787)))))-COUNTBLANK(OFFSET(A$1,,,SUMPRODUCT(MAX(ROW(E$1:E786)*(E2=E$1:E786))))))</f>
        <v/>
      </c>
      <c r="K787" s="24" t="str">
        <f aca="false">IF(OR(E787="",E787="!!!",F787="NEW"),"",INDEX(J$1:J786,SUMPRODUCT(MAX(ROW(E$1:E786)*(E787=E$1:E786)))))</f>
        <v/>
      </c>
      <c r="L787" s="21"/>
    </row>
    <row r="788" customFormat="false" ht="15" hidden="false" customHeight="false" outlineLevel="0" collapsed="false">
      <c r="A788" s="20" t="s">
        <v>1460</v>
      </c>
      <c r="E788" s="23"/>
      <c r="F788" s="25"/>
      <c r="G788" s="26"/>
      <c r="H788" s="27"/>
      <c r="I788" s="24" t="str">
        <f aca="false">IF(OR(E788="",E788="!!!",F788="NEW"),"",INDEX(B9:B$780,-1+SUMPRODUCT(MAX(ROW(E9:E$780)*(E788=E9:E$780)))))</f>
        <v/>
      </c>
      <c r="J788" s="24" t="str">
        <f aca="true">IF(OR(E788="",E788="!!!",F788="NEW"),"",COUNTBLANK(OFFSET(A$1,,,SUMPRODUCT(MAX(ROW(E$2:E788)*(E788=E$2:E788)))))-COUNTBLANK(OFFSET(A$1,,,SUMPRODUCT(MAX(ROW(E$1:E787)*(E2=E$1:E787))))))</f>
        <v/>
      </c>
      <c r="K788" s="24" t="str">
        <f aca="false">IF(OR(E788="",E788="!!!",F788="NEW"),"",INDEX(J$1:J787,SUMPRODUCT(MAX(ROW(E$1:E787)*(E788=E$1:E787)))))</f>
        <v/>
      </c>
      <c r="L788" s="21"/>
    </row>
    <row r="789" customFormat="false" ht="15" hidden="false" customHeight="false" outlineLevel="0" collapsed="false">
      <c r="A789" s="20" t="s">
        <v>1109</v>
      </c>
      <c r="E789" s="23"/>
      <c r="F789" s="25"/>
      <c r="G789" s="26"/>
      <c r="H789" s="27"/>
      <c r="I789" s="24" t="str">
        <f aca="false">IF(OR(E789="",E789="!!!",F789="NEW"),"",INDEX(B10:B$780,-1+SUMPRODUCT(MAX(ROW(E10:E$780)*(E789=E10:E$780)))))</f>
        <v/>
      </c>
      <c r="J789" s="24" t="str">
        <f aca="true">IF(OR(E789="",E789="!!!",F789="NEW"),"",COUNTBLANK(OFFSET(A$1,,,SUMPRODUCT(MAX(ROW(E$2:E789)*(E789=E$2:E789)))))-COUNTBLANK(OFFSET(A$1,,,SUMPRODUCT(MAX(ROW(E$1:E788)*(E2=E$1:E788))))))</f>
        <v/>
      </c>
      <c r="K789" s="24" t="str">
        <f aca="false">IF(OR(E789="",E789="!!!",F789="NEW"),"",INDEX(J$1:J788,SUMPRODUCT(MAX(ROW(E$1:E788)*(E789=E$1:E788)))))</f>
        <v/>
      </c>
      <c r="L789" s="21"/>
    </row>
    <row r="790" customFormat="false" ht="15" hidden="false" customHeight="false" outlineLevel="0" collapsed="false">
      <c r="A790" s="20" t="s">
        <v>1461</v>
      </c>
      <c r="E790" s="23"/>
      <c r="F790" s="25"/>
      <c r="G790" s="26"/>
      <c r="H790" s="27"/>
      <c r="I790" s="24" t="str">
        <f aca="false">IF(OR(E790="",E790="!!!",F790="NEW"),"",INDEX(B11:B$780,-1+SUMPRODUCT(MAX(ROW(E11:E$780)*(E790=E11:E$780)))))</f>
        <v/>
      </c>
      <c r="J790" s="24" t="str">
        <f aca="true">IF(OR(E790="",E790="!!!",F790="NEW"),"",COUNTBLANK(OFFSET(A$1,,,SUMPRODUCT(MAX(ROW(E$2:E790)*(E790=E$2:E790)))))-COUNTBLANK(OFFSET(A$1,,,SUMPRODUCT(MAX(ROW(E$1:E789)*(E2=E$1:E789))))))</f>
        <v/>
      </c>
      <c r="K790" s="24" t="str">
        <f aca="false">IF(OR(E790="",E790="!!!",F790="NEW"),"",INDEX(J$1:J789,SUMPRODUCT(MAX(ROW(E$1:E789)*(E790=E$1:E789)))))</f>
        <v/>
      </c>
      <c r="L790" s="21"/>
    </row>
    <row r="791" customFormat="false" ht="15" hidden="false" customHeight="false" outlineLevel="0" collapsed="false">
      <c r="A791" s="20" t="s">
        <v>1462</v>
      </c>
      <c r="B791" s="22" t="s">
        <v>1073</v>
      </c>
      <c r="C791" s="22" t="s">
        <v>1150</v>
      </c>
      <c r="D791" s="22" t="s">
        <v>1060</v>
      </c>
      <c r="E791" s="23" t="s">
        <v>1462</v>
      </c>
      <c r="F791" s="23" t="s">
        <v>1062</v>
      </c>
      <c r="G791" s="23" t="s">
        <v>1253</v>
      </c>
      <c r="H791" s="23"/>
      <c r="I791" s="24" t="str">
        <f aca="false">IF(OR(E791="",E791="!!!",F791="NEW"),"",INDEX(B12:B$780,-1+SUMPRODUCT(MAX(ROW(E12:E$780)*(E791=E12:E$780)))))</f>
        <v/>
      </c>
      <c r="J791" s="24" t="str">
        <f aca="true">IF(OR(E791="",E791="!!!",F791="NEW"),"",COUNTBLANK(OFFSET(A$1,,,SUMPRODUCT(MAX(ROW(E$2:E791)*(E791=E$2:E791)))))-COUNTBLANK(OFFSET(A$1,,,SUMPRODUCT(MAX(ROW(E$1:E790)*(E2=E$1:E790))))))</f>
        <v/>
      </c>
      <c r="K791" s="24" t="str">
        <f aca="false">IF(OR(E791="",E791="!!!",F791="NEW"),"",INDEX(J$1:J790,SUMPRODUCT(MAX(ROW(E$1:E790)*(E791=E$1:E790)))))</f>
        <v/>
      </c>
      <c r="L791" s="21"/>
    </row>
    <row r="792" customFormat="false" ht="15" hidden="false" customHeight="false" outlineLevel="0" collapsed="false">
      <c r="A792" s="20" t="s">
        <v>1125</v>
      </c>
      <c r="B792" s="22" t="s">
        <v>1197</v>
      </c>
      <c r="E792" s="23"/>
      <c r="F792" s="25"/>
      <c r="G792" s="26"/>
      <c r="H792" s="27"/>
      <c r="I792" s="24" t="str">
        <f aca="false">IF(OR(E792="",E792="!!!",F792="NEW"),"",INDEX(B13:B$780,-1+SUMPRODUCT(MAX(ROW(E13:E$780)*(E792=E13:E$780)))))</f>
        <v/>
      </c>
      <c r="J792" s="24" t="str">
        <f aca="true">IF(OR(E792="",E792="!!!",F792="NEW"),"",COUNTBLANK(OFFSET(A$1,,,SUMPRODUCT(MAX(ROW(E$2:E792)*(E792=E$2:E792)))))-COUNTBLANK(OFFSET(A$1,,,SUMPRODUCT(MAX(ROW(E$1:E791)*(E2=E$1:E791))))))</f>
        <v/>
      </c>
      <c r="K792" s="24" t="str">
        <f aca="false">IF(OR(E792="",E792="!!!",F792="NEW"),"",INDEX(J$1:J791,SUMPRODUCT(MAX(ROW(E$1:E791)*(E792=E$1:E791)))))</f>
        <v/>
      </c>
      <c r="L792" s="21"/>
    </row>
    <row r="793" customFormat="false" ht="15" hidden="false" customHeight="false" outlineLevel="0" collapsed="false">
      <c r="A793" s="20" t="s">
        <v>1463</v>
      </c>
      <c r="E793" s="23"/>
      <c r="F793" s="25"/>
      <c r="G793" s="26"/>
      <c r="H793" s="27"/>
      <c r="I793" s="24" t="str">
        <f aca="false">IF(OR(E793="",E793="!!!",F793="NEW"),"",INDEX(B14:B$780,-1+SUMPRODUCT(MAX(ROW(E14:E$780)*(E793=E14:E$780)))))</f>
        <v/>
      </c>
      <c r="J793" s="24" t="str">
        <f aca="true">IF(OR(E793="",E793="!!!",F793="NEW"),"",COUNTBLANK(OFFSET(A$1,,,SUMPRODUCT(MAX(ROW(E$2:E793)*(E793=E$2:E793)))))-COUNTBLANK(OFFSET(A$1,,,SUMPRODUCT(MAX(ROW(E$1:E792)*(E2=E$1:E792))))))</f>
        <v/>
      </c>
      <c r="K793" s="24" t="str">
        <f aca="false">IF(OR(E793="",E793="!!!",F793="NEW"),"",INDEX(J$1:J792,SUMPRODUCT(MAX(ROW(E$1:E792)*(E793=E$1:E792)))))</f>
        <v/>
      </c>
      <c r="L793" s="21"/>
    </row>
    <row r="794" customFormat="false" ht="15" hidden="false" customHeight="false" outlineLevel="0" collapsed="false">
      <c r="A794" s="20" t="s">
        <v>1109</v>
      </c>
      <c r="E794" s="23"/>
      <c r="F794" s="25"/>
      <c r="G794" s="26"/>
      <c r="H794" s="27"/>
      <c r="I794" s="24" t="str">
        <f aca="false">IF(OR(E794="",E794="!!!",F794="NEW"),"",INDEX(B15:B$780,-1+SUMPRODUCT(MAX(ROW(E15:E$780)*(E794=E15:E$780)))))</f>
        <v/>
      </c>
      <c r="J794" s="24" t="str">
        <f aca="true">IF(OR(E794="",E794="!!!",F794="NEW"),"",COUNTBLANK(OFFSET(A$1,,,SUMPRODUCT(MAX(ROW(E$2:E794)*(E794=E$2:E794)))))-COUNTBLANK(OFFSET(A$1,,,SUMPRODUCT(MAX(ROW(E$1:E793)*(E2=E$1:E793))))))</f>
        <v/>
      </c>
      <c r="K794" s="24" t="str">
        <f aca="false">IF(OR(E794="",E794="!!!",F794="NEW"),"",INDEX(J$1:J793,SUMPRODUCT(MAX(ROW(E$1:E793)*(E794=E$1:E793)))))</f>
        <v/>
      </c>
      <c r="L794" s="21"/>
    </row>
    <row r="795" customFormat="false" ht="15" hidden="false" customHeight="false" outlineLevel="0" collapsed="false">
      <c r="A795" s="20" t="s">
        <v>1464</v>
      </c>
      <c r="E795" s="23"/>
      <c r="F795" s="25"/>
      <c r="G795" s="26"/>
      <c r="H795" s="27"/>
      <c r="I795" s="24" t="str">
        <f aca="false">IF(OR(E795="",E795="!!!",F795="NEW"),"",INDEX(B16:B$780,-1+SUMPRODUCT(MAX(ROW(E16:E$780)*(E795=E16:E$780)))))</f>
        <v/>
      </c>
      <c r="J795" s="24" t="str">
        <f aca="true">IF(OR(E795="",E795="!!!",F795="NEW"),"",COUNTBLANK(OFFSET(A$1,,,SUMPRODUCT(MAX(ROW(E$2:E795)*(E795=E$2:E795)))))-COUNTBLANK(OFFSET(A$1,,,SUMPRODUCT(MAX(ROW(E$1:E794)*(E2=E$1:E794))))))</f>
        <v/>
      </c>
      <c r="K795" s="24" t="str">
        <f aca="false">IF(OR(E795="",E795="!!!",F795="NEW"),"",INDEX(J$1:J794,SUMPRODUCT(MAX(ROW(E$1:E794)*(E795=E$1:E794)))))</f>
        <v/>
      </c>
      <c r="L795" s="21"/>
    </row>
    <row r="796" customFormat="false" ht="15" hidden="false" customHeight="false" outlineLevel="0" collapsed="false">
      <c r="A796" s="20" t="s">
        <v>1465</v>
      </c>
      <c r="B796" s="22" t="s">
        <v>1102</v>
      </c>
      <c r="C796" s="22" t="s">
        <v>1150</v>
      </c>
      <c r="D796" s="22" t="s">
        <v>1060</v>
      </c>
      <c r="E796" s="23" t="s">
        <v>1466</v>
      </c>
      <c r="F796" s="23" t="s">
        <v>1062</v>
      </c>
      <c r="G796" s="23" t="s">
        <v>1253</v>
      </c>
      <c r="H796" s="23"/>
      <c r="I796" s="24" t="str">
        <f aca="false">IF(OR(E796="",E796="!!!",F796="NEW"),"",INDEX(B17:B$780,-1+SUMPRODUCT(MAX(ROW(E17:E$780)*(E796=E17:E$780)))))</f>
        <v/>
      </c>
      <c r="J796" s="24" t="str">
        <f aca="true">IF(OR(E796="",E796="!!!",F796="NEW"),"",COUNTBLANK(OFFSET(A$1,,,SUMPRODUCT(MAX(ROW(E$2:E796)*(E796=E$2:E796)))))-COUNTBLANK(OFFSET(A$1,,,SUMPRODUCT(MAX(ROW(E$1:E795)*(E2=E$1:E795))))))</f>
        <v/>
      </c>
      <c r="K796" s="24" t="str">
        <f aca="false">IF(OR(E796="",E796="!!!",F796="NEW"),"",INDEX(J$1:J795,SUMPRODUCT(MAX(ROW(E$1:E795)*(E796=E$1:E795)))))</f>
        <v/>
      </c>
      <c r="L796" s="21"/>
    </row>
    <row r="797" customFormat="false" ht="15" hidden="false" customHeight="false" outlineLevel="0" collapsed="false">
      <c r="A797" s="20" t="s">
        <v>923</v>
      </c>
      <c r="E797" s="23"/>
      <c r="F797" s="25"/>
      <c r="G797" s="26"/>
      <c r="H797" s="27"/>
      <c r="I797" s="24" t="str">
        <f aca="false">IF(OR(E797="",E797="!!!",F797="NEW"),"",INDEX(B18:B$780,-1+SUMPRODUCT(MAX(ROW(E18:E$780)*(E797=E18:E$780)))))</f>
        <v/>
      </c>
      <c r="J797" s="24" t="str">
        <f aca="true">IF(OR(E797="",E797="!!!",F797="NEW"),"",COUNTBLANK(OFFSET(A$1,,,SUMPRODUCT(MAX(ROW(E$2:E797)*(E797=E$2:E797)))))-COUNTBLANK(OFFSET(A$1,,,SUMPRODUCT(MAX(ROW(E$1:E796)*(E2=E$1:E796))))))</f>
        <v/>
      </c>
      <c r="K797" s="24" t="str">
        <f aca="false">IF(OR(E797="",E797="!!!",F797="NEW"),"",INDEX(J$1:J796,SUMPRODUCT(MAX(ROW(E$1:E796)*(E797=E$1:E796)))))</f>
        <v/>
      </c>
      <c r="L797" s="21"/>
    </row>
    <row r="798" customFormat="false" ht="15" hidden="false" customHeight="false" outlineLevel="0" collapsed="false">
      <c r="A798" s="20"/>
      <c r="L798" s="21"/>
    </row>
    <row r="799" customFormat="false" ht="15" hidden="false" customHeight="false" outlineLevel="0" collapsed="false">
      <c r="A799" s="20" t="s">
        <v>1467</v>
      </c>
      <c r="L799" s="21"/>
    </row>
    <row r="800" customFormat="false" ht="15" hidden="false" customHeight="false" outlineLevel="0" collapsed="false">
      <c r="A800" s="20" t="s">
        <v>1468</v>
      </c>
      <c r="E800" s="23"/>
      <c r="F800" s="25"/>
      <c r="G800" s="26"/>
      <c r="H800" s="27"/>
      <c r="I800" s="24" t="str">
        <f aca="false">IF(OR(E800="",E800="!!!",F800="NEW"),"",INDEX(B2:B$799,-1+SUMPRODUCT(MAX(ROW(E2:E$799)*(E800=E2:E$799)))))</f>
        <v/>
      </c>
      <c r="J800" s="24" t="str">
        <f aca="true">IF(OR(E800="",E800="!!!",F800="NEW"),"",COUNTBLANK(OFFSET(A$1,,,SUMPRODUCT(MAX(ROW(E$2:E800)*(E800=E$2:E800)))))-COUNTBLANK(OFFSET(A$1,,,SUMPRODUCT(MAX(ROW(E$1:E799)*(E2=E$1:E799))))))</f>
        <v/>
      </c>
      <c r="K800" s="24" t="str">
        <f aca="false">IF(OR(E800="",E800="!!!",F800="NEW"),"",INDEX(J$1:J799,SUMPRODUCT(MAX(ROW(E$1:E799)*(E800=E$1:E799)))))</f>
        <v/>
      </c>
      <c r="L800" s="21"/>
    </row>
    <row r="801" customFormat="false" ht="15" hidden="false" customHeight="false" outlineLevel="0" collapsed="false">
      <c r="A801" s="20" t="s">
        <v>1173</v>
      </c>
      <c r="E801" s="23"/>
      <c r="F801" s="25"/>
      <c r="G801" s="26"/>
      <c r="H801" s="27"/>
      <c r="I801" s="24" t="str">
        <f aca="false">IF(OR(E801="",E801="!!!",F801="NEW"),"",INDEX(B3:B$799,-1+SUMPRODUCT(MAX(ROW(E3:E$799)*(E801=E3:E$799)))))</f>
        <v/>
      </c>
      <c r="J801" s="24" t="str">
        <f aca="true">IF(OR(E801="",E801="!!!",F801="NEW"),"",COUNTBLANK(OFFSET(A$1,,,SUMPRODUCT(MAX(ROW(E$2:E801)*(E801=E$2:E801)))))-COUNTBLANK(OFFSET(A$1,,,SUMPRODUCT(MAX(ROW(E$1:E800)*(E2=E$1:E800))))))</f>
        <v/>
      </c>
      <c r="K801" s="24" t="str">
        <f aca="false">IF(OR(E801="",E801="!!!",F801="NEW"),"",INDEX(J$1:J800,SUMPRODUCT(MAX(ROW(E$1:E800)*(E801=E$1:E800)))))</f>
        <v/>
      </c>
      <c r="L801" s="21"/>
    </row>
    <row r="802" customFormat="false" ht="15" hidden="false" customHeight="false" outlineLevel="0" collapsed="false">
      <c r="A802" s="20" t="s">
        <v>1080</v>
      </c>
      <c r="B802" s="22" t="s">
        <v>1086</v>
      </c>
      <c r="C802" s="22" t="s">
        <v>1082</v>
      </c>
      <c r="D802" s="22" t="s">
        <v>1060</v>
      </c>
      <c r="E802" s="23" t="s">
        <v>1466</v>
      </c>
      <c r="F802" s="23" t="s">
        <v>1083</v>
      </c>
      <c r="G802" s="23" t="s">
        <v>1120</v>
      </c>
      <c r="H802" s="23"/>
      <c r="I802" s="24" t="n">
        <f aca="false">IF(OR(E802="",E802="!!!",F802="NEW"),"",INDEX(B4:B$799,-1+SUMPRODUCT(MAX(ROW(E4:E$799)*(E802=E4:E$799)))))</f>
        <v>0</v>
      </c>
      <c r="J802" s="24" t="n">
        <f aca="true">IF(OR(E802="",E802="!!!",F802="NEW"),"",COUNTBLANK(OFFSET(A$1,,,SUMPRODUCT(MAX(ROW(E$2:E802)*(E802=E$2:E802)))))-COUNTBLANK(OFFSET(A$1,,,SUMPRODUCT(MAX(ROW(E$1:E801)*(E2=E$1:E801))))))</f>
        <v>0</v>
      </c>
      <c r="K802" s="24" t="str">
        <f aca="false">IF(OR(E802="",E802="!!!",F802="NEW"),"",INDEX(J$1:J801,SUMPRODUCT(MAX(ROW(E$1:E801)*(E802=E$1:E801)))))</f>
        <v/>
      </c>
      <c r="L802" s="21"/>
    </row>
    <row r="803" customFormat="false" ht="15" hidden="false" customHeight="false" outlineLevel="0" collapsed="false">
      <c r="A803" s="20" t="s">
        <v>1469</v>
      </c>
      <c r="E803" s="23"/>
      <c r="F803" s="25"/>
      <c r="G803" s="26"/>
      <c r="H803" s="27"/>
      <c r="I803" s="24" t="str">
        <f aca="false">IF(OR(E803="",E803="!!!",F803="NEW"),"",INDEX(B5:B$799,-1+SUMPRODUCT(MAX(ROW(E5:E$799)*(E803=E5:E$799)))))</f>
        <v/>
      </c>
      <c r="J803" s="24" t="str">
        <f aca="true">IF(OR(E803="",E803="!!!",F803="NEW"),"",COUNTBLANK(OFFSET(A$1,,,SUMPRODUCT(MAX(ROW(E$2:E803)*(E803=E$2:E803)))))-COUNTBLANK(OFFSET(A$1,,,SUMPRODUCT(MAX(ROW(E$1:E802)*(E2=E$1:E802))))))</f>
        <v/>
      </c>
      <c r="K803" s="24" t="str">
        <f aca="false">IF(OR(E803="",E803="!!!",F803="NEW"),"",INDEX(J$1:J802,SUMPRODUCT(MAX(ROW(E$1:E802)*(E803=E$1:E802)))))</f>
        <v/>
      </c>
      <c r="L803" s="21"/>
    </row>
    <row r="804" customFormat="false" ht="15" hidden="false" customHeight="false" outlineLevel="0" collapsed="false">
      <c r="A804" s="20" t="s">
        <v>1470</v>
      </c>
      <c r="B804" s="22" t="s">
        <v>1105</v>
      </c>
      <c r="C804" s="22" t="s">
        <v>1160</v>
      </c>
      <c r="E804" s="23"/>
      <c r="F804" s="25"/>
      <c r="G804" s="26"/>
      <c r="H804" s="27"/>
      <c r="I804" s="24" t="str">
        <f aca="false">IF(OR(E804="",E804="!!!",F804="NEW"),"",INDEX(B6:B$799,-1+SUMPRODUCT(MAX(ROW(E6:E$799)*(E804=E6:E$799)))))</f>
        <v/>
      </c>
      <c r="J804" s="24" t="str">
        <f aca="true">IF(OR(E804="",E804="!!!",F804="NEW"),"",COUNTBLANK(OFFSET(A$1,,,SUMPRODUCT(MAX(ROW(E$2:E804)*(E804=E$2:E804)))))-COUNTBLANK(OFFSET(A$1,,,SUMPRODUCT(MAX(ROW(E$1:E803)*(E2=E$1:E803))))))</f>
        <v/>
      </c>
      <c r="K804" s="24" t="str">
        <f aca="false">IF(OR(E804="",E804="!!!",F804="NEW"),"",INDEX(J$1:J803,SUMPRODUCT(MAX(ROW(E$1:E803)*(E804=E$1:E803)))))</f>
        <v/>
      </c>
      <c r="L804" s="21"/>
    </row>
    <row r="805" customFormat="false" ht="15" hidden="false" customHeight="false" outlineLevel="0" collapsed="false">
      <c r="A805" s="20" t="s">
        <v>1162</v>
      </c>
      <c r="B805" s="22" t="s">
        <v>1091</v>
      </c>
      <c r="C805" s="22" t="s">
        <v>1082</v>
      </c>
      <c r="D805" s="22" t="s">
        <v>1060</v>
      </c>
      <c r="E805" s="23" t="s">
        <v>1163</v>
      </c>
      <c r="F805" s="23" t="s">
        <v>1083</v>
      </c>
      <c r="G805" s="23" t="s">
        <v>1084</v>
      </c>
      <c r="H805" s="23"/>
      <c r="I805" s="24" t="n">
        <f aca="false">IF(OR(E805="",E805="!!!",F805="NEW"),"",INDEX(B7:B$799,-1+SUMPRODUCT(MAX(ROW(E7:E$799)*(E805=E7:E$799)))))</f>
        <v>0</v>
      </c>
      <c r="J805" s="24" t="n">
        <f aca="true">IF(OR(E805="",E805="!!!",F805="NEW"),"",COUNTBLANK(OFFSET(A$1,,,SUMPRODUCT(MAX(ROW(E$2:E805)*(E805=E$2:E805)))))-COUNTBLANK(OFFSET(A$1,,,SUMPRODUCT(MAX(ROW(E$1:E804)*(E2=E$1:E804))))))</f>
        <v>0</v>
      </c>
      <c r="K805" s="24" t="n">
        <f aca="false">IF(OR(E805="",E805="!!!",F805="NEW"),"",INDEX(J$1:J804,SUMPRODUCT(MAX(ROW(E$1:E804)*(E805=E$1:E804)))))</f>
        <v>0</v>
      </c>
      <c r="L805" s="21"/>
    </row>
    <row r="806" customFormat="false" ht="15" hidden="false" customHeight="false" outlineLevel="0" collapsed="false">
      <c r="A806" s="20" t="s">
        <v>1471</v>
      </c>
      <c r="E806" s="23"/>
      <c r="F806" s="25"/>
      <c r="G806" s="26"/>
      <c r="H806" s="27"/>
      <c r="I806" s="24" t="str">
        <f aca="false">IF(OR(E806="",E806="!!!",F806="NEW"),"",INDEX(B8:B$799,-1+SUMPRODUCT(MAX(ROW(E8:E$799)*(E806=E8:E$799)))))</f>
        <v/>
      </c>
      <c r="J806" s="24" t="str">
        <f aca="true">IF(OR(E806="",E806="!!!",F806="NEW"),"",COUNTBLANK(OFFSET(A$1,,,SUMPRODUCT(MAX(ROW(E$2:E806)*(E806=E$2:E806)))))-COUNTBLANK(OFFSET(A$1,,,SUMPRODUCT(MAX(ROW(E$1:E805)*(E2=E$1:E805))))))</f>
        <v/>
      </c>
      <c r="K806" s="24" t="str">
        <f aca="false">IF(OR(E806="",E806="!!!",F806="NEW"),"",INDEX(J$1:J805,SUMPRODUCT(MAX(ROW(E$1:E805)*(E806=E$1:E805)))))</f>
        <v/>
      </c>
      <c r="L806" s="21"/>
    </row>
    <row r="807" customFormat="false" ht="15" hidden="false" customHeight="false" outlineLevel="0" collapsed="false">
      <c r="A807" s="20" t="s">
        <v>1085</v>
      </c>
      <c r="E807" s="23"/>
      <c r="F807" s="25"/>
      <c r="G807" s="26"/>
      <c r="H807" s="27"/>
      <c r="I807" s="24" t="str">
        <f aca="false">IF(OR(E807="",E807="!!!",F807="NEW"),"",INDEX(B9:B$799,-1+SUMPRODUCT(MAX(ROW(E9:E$799)*(E807=E9:E$799)))))</f>
        <v/>
      </c>
      <c r="J807" s="24" t="str">
        <f aca="true">IF(OR(E807="",E807="!!!",F807="NEW"),"",COUNTBLANK(OFFSET(A$1,,,SUMPRODUCT(MAX(ROW(E$2:E807)*(E807=E$2:E807)))))-COUNTBLANK(OFFSET(A$1,,,SUMPRODUCT(MAX(ROW(E$1:E806)*(E2=E$1:E806))))))</f>
        <v/>
      </c>
      <c r="K807" s="24" t="str">
        <f aca="false">IF(OR(E807="",E807="!!!",F807="NEW"),"",INDEX(J$1:J806,SUMPRODUCT(MAX(ROW(E$1:E806)*(E807=E$1:E806)))))</f>
        <v/>
      </c>
      <c r="L807" s="21"/>
    </row>
    <row r="808" customFormat="false" ht="15" hidden="false" customHeight="false" outlineLevel="0" collapsed="false">
      <c r="A808" s="20" t="s">
        <v>1472</v>
      </c>
      <c r="E808" s="23"/>
      <c r="F808" s="25"/>
      <c r="G808" s="26"/>
      <c r="H808" s="27"/>
      <c r="I808" s="24" t="str">
        <f aca="false">IF(OR(E808="",E808="!!!",F808="NEW"),"",INDEX(B10:B$799,-1+SUMPRODUCT(MAX(ROW(E10:E$799)*(E808=E10:E$799)))))</f>
        <v/>
      </c>
      <c r="J808" s="24" t="str">
        <f aca="true">IF(OR(E808="",E808="!!!",F808="NEW"),"",COUNTBLANK(OFFSET(A$1,,,SUMPRODUCT(MAX(ROW(E$2:E808)*(E808=E$2:E808)))))-COUNTBLANK(OFFSET(A$1,,,SUMPRODUCT(MAX(ROW(E$1:E807)*(E2=E$1:E807))))))</f>
        <v/>
      </c>
      <c r="K808" s="24" t="str">
        <f aca="false">IF(OR(E808="",E808="!!!",F808="NEW"),"",INDEX(J$1:J807,SUMPRODUCT(MAX(ROW(E$1:E807)*(E808=E$1:E807)))))</f>
        <v/>
      </c>
      <c r="L808" s="21"/>
    </row>
    <row r="809" customFormat="false" ht="15" hidden="false" customHeight="false" outlineLevel="0" collapsed="false">
      <c r="A809" s="20" t="s">
        <v>1473</v>
      </c>
      <c r="B809" s="22" t="s">
        <v>1146</v>
      </c>
      <c r="C809" s="22" t="s">
        <v>1087</v>
      </c>
      <c r="E809" s="23"/>
      <c r="F809" s="25"/>
      <c r="G809" s="26"/>
      <c r="H809" s="27"/>
      <c r="I809" s="24" t="str">
        <f aca="false">IF(OR(E809="",E809="!!!",F809="NEW"),"",INDEX(B11:B$799,-1+SUMPRODUCT(MAX(ROW(E11:E$799)*(E809=E11:E$799)))))</f>
        <v/>
      </c>
      <c r="J809" s="24" t="str">
        <f aca="true">IF(OR(E809="",E809="!!!",F809="NEW"),"",COUNTBLANK(OFFSET(A$1,,,SUMPRODUCT(MAX(ROW(E$2:E809)*(E809=E$2:E809)))))-COUNTBLANK(OFFSET(A$1,,,SUMPRODUCT(MAX(ROW(E$1:E808)*(E2=E$1:E808))))))</f>
        <v/>
      </c>
      <c r="K809" s="24" t="str">
        <f aca="false">IF(OR(E809="",E809="!!!",F809="NEW"),"",INDEX(J$1:J808,SUMPRODUCT(MAX(ROW(E$1:E808)*(E809=E$1:E808)))))</f>
        <v/>
      </c>
      <c r="L809" s="21"/>
    </row>
    <row r="810" customFormat="false" ht="15" hidden="false" customHeight="false" outlineLevel="0" collapsed="false">
      <c r="A810" s="20" t="s">
        <v>1162</v>
      </c>
      <c r="B810" s="22" t="s">
        <v>1359</v>
      </c>
      <c r="C810" s="22" t="s">
        <v>1082</v>
      </c>
      <c r="D810" s="22" t="s">
        <v>1060</v>
      </c>
      <c r="E810" s="23" t="s">
        <v>1163</v>
      </c>
      <c r="F810" s="23" t="s">
        <v>1083</v>
      </c>
      <c r="G810" s="23" t="s">
        <v>1084</v>
      </c>
      <c r="H810" s="23"/>
      <c r="I810" s="24" t="str">
        <f aca="false">IF(OR(E810="",E810="!!!",F810="NEW"),"",INDEX(B12:B$799,-1+SUMPRODUCT(MAX(ROW(E12:E$799)*(E810=E12:E$799)))))</f>
        <v>other_2</v>
      </c>
      <c r="J810" s="24" t="n">
        <f aca="true">IF(OR(E810="",E810="!!!",F810="NEW"),"",COUNTBLANK(OFFSET(A$1,,,SUMPRODUCT(MAX(ROW(E$2:E810)*(E810=E$2:E810)))))-COUNTBLANK(OFFSET(A$1,,,SUMPRODUCT(MAX(ROW(E$1:E809)*(E2=E$1:E809))))))</f>
        <v>0</v>
      </c>
      <c r="K810" s="24" t="n">
        <f aca="false">IF(OR(E810="",E810="!!!",F810="NEW"),"",INDEX(J$1:J809,SUMPRODUCT(MAX(ROW(E$1:E809)*(E810=E$1:E809)))))</f>
        <v>0</v>
      </c>
      <c r="L810" s="21"/>
    </row>
    <row r="811" customFormat="false" ht="15" hidden="false" customHeight="false" outlineLevel="0" collapsed="false">
      <c r="A811" s="20" t="s">
        <v>1198</v>
      </c>
      <c r="E811" s="23"/>
      <c r="F811" s="25"/>
      <c r="G811" s="26"/>
      <c r="H811" s="27"/>
      <c r="I811" s="24" t="str">
        <f aca="false">IF(OR(E811="",E811="!!!",F811="NEW"),"",INDEX(B13:B$799,-1+SUMPRODUCT(MAX(ROW(E13:E$799)*(E811=E13:E$799)))))</f>
        <v/>
      </c>
      <c r="J811" s="24" t="str">
        <f aca="true">IF(OR(E811="",E811="!!!",F811="NEW"),"",COUNTBLANK(OFFSET(A$1,,,SUMPRODUCT(MAX(ROW(E$2:E811)*(E811=E$2:E811)))))-COUNTBLANK(OFFSET(A$1,,,SUMPRODUCT(MAX(ROW(E$1:E810)*(E2=E$1:E810))))))</f>
        <v/>
      </c>
      <c r="K811" s="24" t="str">
        <f aca="false">IF(OR(E811="",E811="!!!",F811="NEW"),"",INDEX(J$1:J810,SUMPRODUCT(MAX(ROW(E$1:E810)*(E811=E$1:E810)))))</f>
        <v/>
      </c>
      <c r="L811" s="21"/>
    </row>
    <row r="812" customFormat="false" ht="15" hidden="false" customHeight="false" outlineLevel="0" collapsed="false">
      <c r="A812" s="20" t="s">
        <v>382</v>
      </c>
      <c r="E812" s="23"/>
      <c r="F812" s="25"/>
      <c r="G812" s="26"/>
      <c r="H812" s="27"/>
      <c r="I812" s="24" t="str">
        <f aca="false">IF(OR(E812="",E812="!!!",F812="NEW"),"",INDEX(B14:B$799,-1+SUMPRODUCT(MAX(ROW(E14:E$799)*(E812=E14:E$799)))))</f>
        <v/>
      </c>
      <c r="J812" s="24" t="str">
        <f aca="true">IF(OR(E812="",E812="!!!",F812="NEW"),"",COUNTBLANK(OFFSET(A$1,,,SUMPRODUCT(MAX(ROW(E$2:E812)*(E812=E$2:E812)))))-COUNTBLANK(OFFSET(A$1,,,SUMPRODUCT(MAX(ROW(E$1:E811)*(E2=E$1:E811))))))</f>
        <v/>
      </c>
      <c r="K812" s="24" t="str">
        <f aca="false">IF(OR(E812="",E812="!!!",F812="NEW"),"",INDEX(J$1:J811,SUMPRODUCT(MAX(ROW(E$1:E811)*(E812=E$1:E811)))))</f>
        <v/>
      </c>
      <c r="L812" s="21"/>
    </row>
    <row r="813" customFormat="false" ht="15" hidden="false" customHeight="false" outlineLevel="0" collapsed="false">
      <c r="A813" s="20" t="s">
        <v>1474</v>
      </c>
      <c r="E813" s="23"/>
      <c r="F813" s="25"/>
      <c r="G813" s="26"/>
      <c r="H813" s="27"/>
      <c r="I813" s="24" t="str">
        <f aca="false">IF(OR(E813="",E813="!!!",F813="NEW"),"",INDEX(B15:B$799,-1+SUMPRODUCT(MAX(ROW(E15:E$799)*(E813=E15:E$799)))))</f>
        <v/>
      </c>
      <c r="J813" s="24" t="str">
        <f aca="true">IF(OR(E813="",E813="!!!",F813="NEW"),"",COUNTBLANK(OFFSET(A$1,,,SUMPRODUCT(MAX(ROW(E$2:E813)*(E813=E$2:E813)))))-COUNTBLANK(OFFSET(A$1,,,SUMPRODUCT(MAX(ROW(E$1:E812)*(E2=E$1:E812))))))</f>
        <v/>
      </c>
      <c r="K813" s="24" t="str">
        <f aca="false">IF(OR(E813="",E813="!!!",F813="NEW"),"",INDEX(J$1:J812,SUMPRODUCT(MAX(ROW(E$1:E812)*(E813=E$1:E812)))))</f>
        <v/>
      </c>
      <c r="L813" s="21"/>
    </row>
    <row r="814" customFormat="false" ht="15" hidden="false" customHeight="false" outlineLevel="0" collapsed="false">
      <c r="A814" s="20" t="s">
        <v>1475</v>
      </c>
      <c r="E814" s="23"/>
      <c r="F814" s="25"/>
      <c r="G814" s="26"/>
      <c r="H814" s="27"/>
      <c r="I814" s="24" t="str">
        <f aca="false">IF(OR(E814="",E814="!!!",F814="NEW"),"",INDEX(B16:B$799,-1+SUMPRODUCT(MAX(ROW(E16:E$799)*(E814=E16:E$799)))))</f>
        <v/>
      </c>
      <c r="J814" s="24" t="str">
        <f aca="true">IF(OR(E814="",E814="!!!",F814="NEW"),"",COUNTBLANK(OFFSET(A$1,,,SUMPRODUCT(MAX(ROW(E$2:E814)*(E814=E$2:E814)))))-COUNTBLANK(OFFSET(A$1,,,SUMPRODUCT(MAX(ROW(E$1:E813)*(E2=E$1:E813))))))</f>
        <v/>
      </c>
      <c r="K814" s="24" t="str">
        <f aca="false">IF(OR(E814="",E814="!!!",F814="NEW"),"",INDEX(J$1:J813,SUMPRODUCT(MAX(ROW(E$1:E813)*(E814=E$1:E813)))))</f>
        <v/>
      </c>
      <c r="L814" s="21"/>
    </row>
    <row r="815" customFormat="false" ht="15" hidden="false" customHeight="false" outlineLevel="0" collapsed="false">
      <c r="A815" s="20" t="s">
        <v>1109</v>
      </c>
      <c r="E815" s="23"/>
      <c r="F815" s="25"/>
      <c r="G815" s="26"/>
      <c r="H815" s="27"/>
      <c r="I815" s="24" t="str">
        <f aca="false">IF(OR(E815="",E815="!!!",F815="NEW"),"",INDEX(B17:B$799,-1+SUMPRODUCT(MAX(ROW(E17:E$799)*(E815=E17:E$799)))))</f>
        <v/>
      </c>
      <c r="J815" s="24" t="str">
        <f aca="true">IF(OR(E815="",E815="!!!",F815="NEW"),"",COUNTBLANK(OFFSET(A$1,,,SUMPRODUCT(MAX(ROW(E$2:E815)*(E815=E$2:E815)))))-COUNTBLANK(OFFSET(A$1,,,SUMPRODUCT(MAX(ROW(E$1:E814)*(E2=E$1:E814))))))</f>
        <v/>
      </c>
      <c r="K815" s="24" t="str">
        <f aca="false">IF(OR(E815="",E815="!!!",F815="NEW"),"",INDEX(J$1:J814,SUMPRODUCT(MAX(ROW(E$1:E814)*(E815=E$1:E814)))))</f>
        <v/>
      </c>
      <c r="L815" s="21"/>
    </row>
    <row r="816" customFormat="false" ht="15" hidden="false" customHeight="false" outlineLevel="0" collapsed="false">
      <c r="A816" s="20" t="s">
        <v>1476</v>
      </c>
      <c r="E816" s="23"/>
      <c r="F816" s="25"/>
      <c r="G816" s="26"/>
      <c r="H816" s="27"/>
      <c r="I816" s="24" t="str">
        <f aca="false">IF(OR(E816="",E816="!!!",F816="NEW"),"",INDEX(B18:B$799,-1+SUMPRODUCT(MAX(ROW(E18:E$799)*(E816=E18:E$799)))))</f>
        <v/>
      </c>
      <c r="J816" s="24" t="str">
        <f aca="true">IF(OR(E816="",E816="!!!",F816="NEW"),"",COUNTBLANK(OFFSET(A$1,,,SUMPRODUCT(MAX(ROW(E$2:E816)*(E816=E$2:E816)))))-COUNTBLANK(OFFSET(A$1,,,SUMPRODUCT(MAX(ROW(E$1:E815)*(E2=E$1:E815))))))</f>
        <v/>
      </c>
      <c r="K816" s="24" t="str">
        <f aca="false">IF(OR(E816="",E816="!!!",F816="NEW"),"",INDEX(J$1:J815,SUMPRODUCT(MAX(ROW(E$1:E815)*(E816=E$1:E815)))))</f>
        <v/>
      </c>
      <c r="L816" s="21"/>
    </row>
    <row r="817" customFormat="false" ht="15" hidden="false" customHeight="false" outlineLevel="0" collapsed="false">
      <c r="A817" s="20" t="s">
        <v>1429</v>
      </c>
      <c r="B817" s="22" t="s">
        <v>1098</v>
      </c>
      <c r="C817" s="22" t="s">
        <v>1150</v>
      </c>
      <c r="D817" s="22" t="s">
        <v>1060</v>
      </c>
      <c r="E817" s="23" t="s">
        <v>1429</v>
      </c>
      <c r="F817" s="23" t="s">
        <v>1083</v>
      </c>
      <c r="G817" s="23" t="s">
        <v>1070</v>
      </c>
      <c r="H817" s="23"/>
      <c r="I817" s="28" t="n">
        <f aca="false">IF(OR(E817="",E817="!!!",F817="NEW"),"",INDEX(B19:B$799,-1+SUMPRODUCT(MAX(ROW(E19:E$799)*(E817=E19:E$799)))))</f>
        <v>0</v>
      </c>
      <c r="J817" s="24" t="n">
        <f aca="true">IF(OR(E817="",E817="!!!",F817="NEW"),"",COUNTBLANK(OFFSET(A$1,,,SUMPRODUCT(MAX(ROW(E$2:E817)*(E817=E$2:E817)))))-COUNTBLANK(OFFSET(A$1,,,SUMPRODUCT(MAX(ROW(E$1:E816)*(E2=E$1:E816))))))</f>
        <v>0</v>
      </c>
      <c r="K817" s="24" t="str">
        <f aca="false">IF(OR(E817="",E817="!!!",F817="NEW"),"",INDEX(J$1:J816,SUMPRODUCT(MAX(ROW(E$1:E816)*(E817=E$1:E816)))))</f>
        <v/>
      </c>
      <c r="L817" s="21"/>
    </row>
    <row r="818" customFormat="false" ht="15" hidden="false" customHeight="false" outlineLevel="0" collapsed="false">
      <c r="A818" s="20" t="s">
        <v>923</v>
      </c>
      <c r="E818" s="23"/>
      <c r="F818" s="25"/>
      <c r="G818" s="26"/>
      <c r="H818" s="27"/>
      <c r="I818" s="24" t="str">
        <f aca="false">IF(OR(E818="",E818="!!!",F818="NEW"),"",INDEX(B20:B$799,-1+SUMPRODUCT(MAX(ROW(E20:E$799)*(E818=E20:E$799)))))</f>
        <v/>
      </c>
      <c r="J818" s="24" t="str">
        <f aca="true">IF(OR(E818="",E818="!!!",F818="NEW"),"",COUNTBLANK(OFFSET(A$1,,,SUMPRODUCT(MAX(ROW(E$2:E818)*(E818=E$2:E818)))))-COUNTBLANK(OFFSET(A$1,,,SUMPRODUCT(MAX(ROW(E$1:E817)*(E2=E$1:E817))))))</f>
        <v/>
      </c>
      <c r="K818" s="24" t="str">
        <f aca="false">IF(OR(E818="",E818="!!!",F818="NEW"),"",INDEX(J$1:J817,SUMPRODUCT(MAX(ROW(E$1:E817)*(E818=E$1:E817)))))</f>
        <v/>
      </c>
      <c r="L818" s="21"/>
    </row>
    <row r="819" customFormat="false" ht="15" hidden="false" customHeight="false" outlineLevel="0" collapsed="false">
      <c r="A819" s="20"/>
      <c r="L819" s="21"/>
    </row>
    <row r="820" customFormat="false" ht="15" hidden="false" customHeight="false" outlineLevel="0" collapsed="false">
      <c r="A820" s="20" t="s">
        <v>1477</v>
      </c>
      <c r="L820" s="21"/>
    </row>
    <row r="821" customFormat="false" ht="15" hidden="false" customHeight="false" outlineLevel="0" collapsed="false">
      <c r="A821" s="20" t="s">
        <v>1478</v>
      </c>
      <c r="E821" s="23"/>
      <c r="F821" s="25"/>
      <c r="G821" s="26"/>
      <c r="H821" s="27"/>
      <c r="I821" s="24" t="str">
        <f aca="false">IF(OR(E821="",E821="!!!",F821="NEW"),"",INDEX(B2:B$820,-1+SUMPRODUCT(MAX(ROW(E2:E$820)*(E821=E2:E$820)))))</f>
        <v/>
      </c>
      <c r="J821" s="24" t="str">
        <f aca="true">IF(OR(E821="",E821="!!!",F821="NEW"),"",COUNTBLANK(OFFSET(A$1,,,SUMPRODUCT(MAX(ROW(E$2:E821)*(E821=E$2:E821)))))-COUNTBLANK(OFFSET(A$1,,,SUMPRODUCT(MAX(ROW(E$1:E820)*(E2=E$1:E820))))))</f>
        <v/>
      </c>
      <c r="K821" s="24" t="str">
        <f aca="false">IF(OR(E821="",E821="!!!",F821="NEW"),"",INDEX(J$1:J820,SUMPRODUCT(MAX(ROW(E$1:E820)*(E821=E$1:E820)))))</f>
        <v/>
      </c>
      <c r="L821" s="21"/>
    </row>
    <row r="822" customFormat="false" ht="15" hidden="false" customHeight="false" outlineLevel="0" collapsed="false">
      <c r="A822" s="20" t="s">
        <v>1135</v>
      </c>
      <c r="E822" s="23"/>
      <c r="F822" s="25"/>
      <c r="G822" s="26"/>
      <c r="H822" s="27"/>
      <c r="I822" s="24" t="str">
        <f aca="false">IF(OR(E822="",E822="!!!",F822="NEW"),"",INDEX(B3:B$820,-1+SUMPRODUCT(MAX(ROW(E3:E$820)*(E822=E3:E$820)))))</f>
        <v/>
      </c>
      <c r="J822" s="24" t="str">
        <f aca="true">IF(OR(E822="",E822="!!!",F822="NEW"),"",COUNTBLANK(OFFSET(A$1,,,SUMPRODUCT(MAX(ROW(E$2:E822)*(E822=E$2:E822)))))-COUNTBLANK(OFFSET(A$1,,,SUMPRODUCT(MAX(ROW(E$1:E821)*(E2=E$1:E821))))))</f>
        <v/>
      </c>
      <c r="K822" s="24" t="str">
        <f aca="false">IF(OR(E822="",E822="!!!",F822="NEW"),"",INDEX(J$1:J821,SUMPRODUCT(MAX(ROW(E$1:E821)*(E822=E$1:E821)))))</f>
        <v/>
      </c>
      <c r="L822" s="21"/>
    </row>
    <row r="823" customFormat="false" ht="15" hidden="false" customHeight="false" outlineLevel="0" collapsed="false">
      <c r="A823" s="20" t="s">
        <v>1199</v>
      </c>
      <c r="E823" s="23"/>
      <c r="F823" s="25"/>
      <c r="G823" s="26"/>
      <c r="H823" s="27"/>
      <c r="I823" s="24" t="str">
        <f aca="false">IF(OR(E823="",E823="!!!",F823="NEW"),"",INDEX(B4:B$820,-1+SUMPRODUCT(MAX(ROW(E4:E$820)*(E823=E4:E$820)))))</f>
        <v/>
      </c>
      <c r="J823" s="24" t="str">
        <f aca="true">IF(OR(E823="",E823="!!!",F823="NEW"),"",COUNTBLANK(OFFSET(A$1,,,SUMPRODUCT(MAX(ROW(E$2:E823)*(E823=E$2:E823)))))-COUNTBLANK(OFFSET(A$1,,,SUMPRODUCT(MAX(ROW(E$1:E822)*(E2=E$1:E822))))))</f>
        <v/>
      </c>
      <c r="K823" s="24" t="str">
        <f aca="false">IF(OR(E823="",E823="!!!",F823="NEW"),"",INDEX(J$1:J822,SUMPRODUCT(MAX(ROW(E$1:E822)*(E823=E$1:E822)))))</f>
        <v/>
      </c>
      <c r="L823" s="21"/>
    </row>
    <row r="824" customFormat="false" ht="15" hidden="false" customHeight="false" outlineLevel="0" collapsed="false">
      <c r="A824" s="20" t="s">
        <v>1386</v>
      </c>
      <c r="E824" s="23"/>
      <c r="F824" s="25"/>
      <c r="G824" s="26"/>
      <c r="H824" s="27"/>
      <c r="I824" s="24" t="str">
        <f aca="false">IF(OR(E824="",E824="!!!",F824="NEW"),"",INDEX(B5:B$820,-1+SUMPRODUCT(MAX(ROW(E5:E$820)*(E824=E5:E$820)))))</f>
        <v/>
      </c>
      <c r="J824" s="24" t="str">
        <f aca="true">IF(OR(E824="",E824="!!!",F824="NEW"),"",COUNTBLANK(OFFSET(A$1,,,SUMPRODUCT(MAX(ROW(E$2:E824)*(E824=E$2:E824)))))-COUNTBLANK(OFFSET(A$1,,,SUMPRODUCT(MAX(ROW(E$1:E823)*(E2=E$1:E823))))))</f>
        <v/>
      </c>
      <c r="K824" s="24" t="str">
        <f aca="false">IF(OR(E824="",E824="!!!",F824="NEW"),"",INDEX(J$1:J823,SUMPRODUCT(MAX(ROW(E$1:E823)*(E824=E$1:E823)))))</f>
        <v/>
      </c>
      <c r="L824" s="21"/>
    </row>
    <row r="825" customFormat="false" ht="15" hidden="false" customHeight="false" outlineLevel="0" collapsed="false">
      <c r="A825" s="20" t="s">
        <v>1479</v>
      </c>
      <c r="B825" s="22" t="s">
        <v>1058</v>
      </c>
      <c r="C825" s="22" t="s">
        <v>1389</v>
      </c>
      <c r="E825" s="23"/>
      <c r="F825" s="25"/>
      <c r="G825" s="26"/>
      <c r="H825" s="27"/>
      <c r="I825" s="24" t="str">
        <f aca="false">IF(OR(E825="",E825="!!!",F825="NEW"),"",INDEX(B6:B$820,-1+SUMPRODUCT(MAX(ROW(E6:E$820)*(E825=E6:E$820)))))</f>
        <v/>
      </c>
      <c r="J825" s="24" t="str">
        <f aca="true">IF(OR(E825="",E825="!!!",F825="NEW"),"",COUNTBLANK(OFFSET(A$1,,,SUMPRODUCT(MAX(ROW(E$2:E825)*(E825=E$2:E825)))))-COUNTBLANK(OFFSET(A$1,,,SUMPRODUCT(MAX(ROW(E$1:E824)*(E2=E$1:E824))))))</f>
        <v/>
      </c>
      <c r="K825" s="24" t="str">
        <f aca="false">IF(OR(E825="",E825="!!!",F825="NEW"),"",INDEX(J$1:J824,SUMPRODUCT(MAX(ROW(E$1:E824)*(E825=E$1:E824)))))</f>
        <v/>
      </c>
      <c r="L825" s="21"/>
    </row>
    <row r="826" customFormat="false" ht="15" hidden="false" customHeight="false" outlineLevel="0" collapsed="false">
      <c r="A826" s="20" t="s">
        <v>1173</v>
      </c>
      <c r="E826" s="23"/>
      <c r="F826" s="25"/>
      <c r="G826" s="26"/>
      <c r="H826" s="27"/>
      <c r="I826" s="24" t="str">
        <f aca="false">IF(OR(E826="",E826="!!!",F826="NEW"),"",INDEX(B7:B$820,-1+SUMPRODUCT(MAX(ROW(E7:E$820)*(E826=E7:E$820)))))</f>
        <v/>
      </c>
      <c r="J826" s="24" t="str">
        <f aca="true">IF(OR(E826="",E826="!!!",F826="NEW"),"",COUNTBLANK(OFFSET(A$1,,,SUMPRODUCT(MAX(ROW(E$2:E826)*(E826=E$2:E826)))))-COUNTBLANK(OFFSET(A$1,,,SUMPRODUCT(MAX(ROW(E$1:E825)*(E2=E$1:E825))))))</f>
        <v/>
      </c>
      <c r="K826" s="24" t="str">
        <f aca="false">IF(OR(E826="",E826="!!!",F826="NEW"),"",INDEX(J$1:J825,SUMPRODUCT(MAX(ROW(E$1:E825)*(E826=E$1:E825)))))</f>
        <v/>
      </c>
      <c r="L826" s="21"/>
    </row>
    <row r="827" customFormat="false" ht="15" hidden="false" customHeight="false" outlineLevel="0" collapsed="false">
      <c r="A827" s="20" t="s">
        <v>1109</v>
      </c>
      <c r="E827" s="23"/>
      <c r="F827" s="25"/>
      <c r="G827" s="26"/>
      <c r="H827" s="27"/>
      <c r="I827" s="24" t="str">
        <f aca="false">IF(OR(E827="",E827="!!!",F827="NEW"),"",INDEX(B8:B$820,-1+SUMPRODUCT(MAX(ROW(E8:E$820)*(E827=E8:E$820)))))</f>
        <v/>
      </c>
      <c r="J827" s="24" t="str">
        <f aca="true">IF(OR(E827="",E827="!!!",F827="NEW"),"",COUNTBLANK(OFFSET(A$1,,,SUMPRODUCT(MAX(ROW(E$2:E827)*(E827=E$2:E827)))))-COUNTBLANK(OFFSET(A$1,,,SUMPRODUCT(MAX(ROW(E$1:E826)*(E2=E$1:E826))))))</f>
        <v/>
      </c>
      <c r="K827" s="24" t="str">
        <f aca="false">IF(OR(E827="",E827="!!!",F827="NEW"),"",INDEX(J$1:J826,SUMPRODUCT(MAX(ROW(E$1:E826)*(E827=E$1:E826)))))</f>
        <v/>
      </c>
      <c r="L827" s="21"/>
    </row>
    <row r="828" customFormat="false" ht="15" hidden="false" customHeight="false" outlineLevel="0" collapsed="false">
      <c r="A828" s="20" t="s">
        <v>1436</v>
      </c>
      <c r="B828" s="22" t="s">
        <v>1073</v>
      </c>
      <c r="C828" s="22" t="s">
        <v>1150</v>
      </c>
      <c r="D828" s="22" t="s">
        <v>1060</v>
      </c>
      <c r="E828" s="23" t="s">
        <v>1433</v>
      </c>
      <c r="F828" s="23" t="s">
        <v>1083</v>
      </c>
      <c r="G828" s="23" t="s">
        <v>1070</v>
      </c>
      <c r="H828" s="23"/>
      <c r="I828" s="28" t="n">
        <f aca="false">IF(OR(E828="",E828="!!!",F828="NEW"),"",INDEX(B9:B$820,-1+SUMPRODUCT(MAX(ROW(E9:E$820)*(E828=E9:E$820)))))</f>
        <v>0</v>
      </c>
      <c r="J828" s="24" t="n">
        <f aca="true">IF(OR(E828="",E828="!!!",F828="NEW"),"",COUNTBLANK(OFFSET(A$1,,,SUMPRODUCT(MAX(ROW(E$2:E828)*(E828=E$2:E828)))))-COUNTBLANK(OFFSET(A$1,,,SUMPRODUCT(MAX(ROW(E$1:E827)*(E2=E$1:E827))))))</f>
        <v>0</v>
      </c>
      <c r="K828" s="24" t="n">
        <f aca="false">IF(OR(E828="",E828="!!!",F828="NEW"),"",INDEX(J$1:J827,SUMPRODUCT(MAX(ROW(E$1:E827)*(E828=E$1:E827)))))</f>
        <v>0</v>
      </c>
      <c r="L828" s="21"/>
    </row>
    <row r="829" customFormat="false" ht="15" hidden="false" customHeight="false" outlineLevel="0" collapsed="false">
      <c r="A829" s="20" t="s">
        <v>1076</v>
      </c>
      <c r="E829" s="23"/>
      <c r="F829" s="25"/>
      <c r="G829" s="26"/>
      <c r="H829" s="27"/>
      <c r="I829" s="24" t="str">
        <f aca="false">IF(OR(E829="",E829="!!!",F829="NEW"),"",INDEX(B10:B$820,-1+SUMPRODUCT(MAX(ROW(E10:E$820)*(E829=E10:E$820)))))</f>
        <v/>
      </c>
      <c r="J829" s="24" t="str">
        <f aca="true">IF(OR(E829="",E829="!!!",F829="NEW"),"",COUNTBLANK(OFFSET(A$1,,,SUMPRODUCT(MAX(ROW(E$2:E829)*(E829=E$2:E829)))))-COUNTBLANK(OFFSET(A$1,,,SUMPRODUCT(MAX(ROW(E$1:E828)*(E2=E$1:E828))))))</f>
        <v/>
      </c>
      <c r="K829" s="24" t="str">
        <f aca="false">IF(OR(E829="",E829="!!!",F829="NEW"),"",INDEX(J$1:J828,SUMPRODUCT(MAX(ROW(E$1:E828)*(E829=E$1:E828)))))</f>
        <v/>
      </c>
      <c r="L829" s="21"/>
    </row>
    <row r="830" customFormat="false" ht="15" hidden="false" customHeight="false" outlineLevel="0" collapsed="false">
      <c r="A830" s="20" t="s">
        <v>499</v>
      </c>
      <c r="B830" s="22" t="s">
        <v>1073</v>
      </c>
      <c r="C830" s="22" t="s">
        <v>1068</v>
      </c>
      <c r="D830" s="22" t="s">
        <v>1060</v>
      </c>
      <c r="E830" s="23" t="s">
        <v>1480</v>
      </c>
      <c r="F830" s="23" t="s">
        <v>1062</v>
      </c>
      <c r="G830" s="23" t="s">
        <v>1253</v>
      </c>
      <c r="H830" s="23"/>
      <c r="I830" s="24" t="str">
        <f aca="false">IF(OR(E830="",E830="!!!",F830="NEW"),"",INDEX(B11:B$820,-1+SUMPRODUCT(MAX(ROW(E11:E$820)*(E830=E11:E$820)))))</f>
        <v/>
      </c>
      <c r="J830" s="24" t="str">
        <f aca="true">IF(OR(E830="",E830="!!!",F830="NEW"),"",COUNTBLANK(OFFSET(A$1,,,SUMPRODUCT(MAX(ROW(E$2:E830)*(E830=E$2:E830)))))-COUNTBLANK(OFFSET(A$1,,,SUMPRODUCT(MAX(ROW(E$1:E829)*(E2=E$1:E829))))))</f>
        <v/>
      </c>
      <c r="K830" s="24" t="str">
        <f aca="false">IF(OR(E830="",E830="!!!",F830="NEW"),"",INDEX(J$1:J829,SUMPRODUCT(MAX(ROW(E$1:E829)*(E830=E$1:E829)))))</f>
        <v/>
      </c>
      <c r="L830" s="21"/>
    </row>
    <row r="831" customFormat="false" ht="15" hidden="false" customHeight="false" outlineLevel="0" collapsed="false">
      <c r="A831" s="20" t="s">
        <v>1481</v>
      </c>
      <c r="E831" s="23"/>
      <c r="F831" s="25"/>
      <c r="G831" s="26"/>
      <c r="H831" s="27"/>
      <c r="I831" s="24" t="str">
        <f aca="false">IF(OR(E831="",E831="!!!",F831="NEW"),"",INDEX(B12:B$820,-1+SUMPRODUCT(MAX(ROW(E12:E$820)*(E831=E12:E$820)))))</f>
        <v/>
      </c>
      <c r="J831" s="24" t="str">
        <f aca="true">IF(OR(E831="",E831="!!!",F831="NEW"),"",COUNTBLANK(OFFSET(A$1,,,SUMPRODUCT(MAX(ROW(E$2:E831)*(E831=E$2:E831)))))-COUNTBLANK(OFFSET(A$1,,,SUMPRODUCT(MAX(ROW(E$1:E830)*(E2=E$1:E830))))))</f>
        <v/>
      </c>
      <c r="K831" s="24" t="str">
        <f aca="false">IF(OR(E831="",E831="!!!",F831="NEW"),"",INDEX(J$1:J830,SUMPRODUCT(MAX(ROW(E$1:E830)*(E831=E$1:E830)))))</f>
        <v/>
      </c>
      <c r="L831" s="21"/>
    </row>
    <row r="832" customFormat="false" ht="15" hidden="false" customHeight="false" outlineLevel="0" collapsed="false">
      <c r="A832" s="20" t="s">
        <v>1128</v>
      </c>
      <c r="E832" s="23"/>
      <c r="F832" s="25"/>
      <c r="G832" s="26"/>
      <c r="H832" s="27"/>
      <c r="I832" s="24" t="str">
        <f aca="false">IF(OR(E832="",E832="!!!",F832="NEW"),"",INDEX(B13:B$820,-1+SUMPRODUCT(MAX(ROW(E13:E$820)*(E832=E13:E$820)))))</f>
        <v/>
      </c>
      <c r="J832" s="24" t="str">
        <f aca="true">IF(OR(E832="",E832="!!!",F832="NEW"),"",COUNTBLANK(OFFSET(A$1,,,SUMPRODUCT(MAX(ROW(E$2:E832)*(E832=E$2:E832)))))-COUNTBLANK(OFFSET(A$1,,,SUMPRODUCT(MAX(ROW(E$1:E831)*(E2=E$1:E831))))))</f>
        <v/>
      </c>
      <c r="K832" s="24" t="str">
        <f aca="false">IF(OR(E832="",E832="!!!",F832="NEW"),"",INDEX(J$1:J831,SUMPRODUCT(MAX(ROW(E$1:E831)*(E832=E$1:E831)))))</f>
        <v/>
      </c>
      <c r="L832" s="21"/>
    </row>
    <row r="833" customFormat="false" ht="15" hidden="false" customHeight="false" outlineLevel="0" collapsed="false">
      <c r="A833" s="20" t="s">
        <v>1482</v>
      </c>
      <c r="B833" s="22" t="s">
        <v>1073</v>
      </c>
      <c r="C833" s="22" t="s">
        <v>1068</v>
      </c>
      <c r="D833" s="22" t="s">
        <v>1060</v>
      </c>
      <c r="E833" s="23" t="s">
        <v>1482</v>
      </c>
      <c r="F833" s="23" t="s">
        <v>1062</v>
      </c>
      <c r="G833" s="23" t="s">
        <v>1253</v>
      </c>
      <c r="H833" s="23"/>
      <c r="I833" s="24" t="str">
        <f aca="false">IF(OR(E833="",E833="!!!",F833="NEW"),"",INDEX(B14:B$820,-1+SUMPRODUCT(MAX(ROW(E14:E$820)*(E833=E14:E$820)))))</f>
        <v/>
      </c>
      <c r="J833" s="24" t="str">
        <f aca="true">IF(OR(E833="",E833="!!!",F833="NEW"),"",COUNTBLANK(OFFSET(A$1,,,SUMPRODUCT(MAX(ROW(E$2:E833)*(E833=E$2:E833)))))-COUNTBLANK(OFFSET(A$1,,,SUMPRODUCT(MAX(ROW(E$1:E832)*(E2=E$1:E832))))))</f>
        <v/>
      </c>
      <c r="K833" s="24" t="str">
        <f aca="false">IF(OR(E833="",E833="!!!",F833="NEW"),"",INDEX(J$1:J832,SUMPRODUCT(MAX(ROW(E$1:E832)*(E833=E$1:E832)))))</f>
        <v/>
      </c>
      <c r="L833" s="21"/>
    </row>
    <row r="834" customFormat="false" ht="15" hidden="false" customHeight="false" outlineLevel="0" collapsed="false">
      <c r="A834" s="20" t="s">
        <v>923</v>
      </c>
      <c r="E834" s="23"/>
      <c r="F834" s="25"/>
      <c r="G834" s="26"/>
      <c r="H834" s="27"/>
      <c r="I834" s="24" t="str">
        <f aca="false">IF(OR(E834="",E834="!!!",F834="NEW"),"",INDEX(B15:B$820,-1+SUMPRODUCT(MAX(ROW(E15:E$820)*(E834=E15:E$820)))))</f>
        <v/>
      </c>
      <c r="J834" s="24" t="str">
        <f aca="true">IF(OR(E834="",E834="!!!",F834="NEW"),"",COUNTBLANK(OFFSET(A$1,,,SUMPRODUCT(MAX(ROW(E$2:E834)*(E834=E$2:E834)))))-COUNTBLANK(OFFSET(A$1,,,SUMPRODUCT(MAX(ROW(E$1:E833)*(E2=E$1:E833))))))</f>
        <v/>
      </c>
      <c r="K834" s="24" t="str">
        <f aca="false">IF(OR(E834="",E834="!!!",F834="NEW"),"",INDEX(J$1:J833,SUMPRODUCT(MAX(ROW(E$1:E833)*(E834=E$1:E833)))))</f>
        <v/>
      </c>
      <c r="L834" s="21"/>
    </row>
    <row r="835" customFormat="false" ht="15" hidden="false" customHeight="false" outlineLevel="0" collapsed="false">
      <c r="A835" s="20"/>
      <c r="L835" s="21"/>
    </row>
    <row r="836" customFormat="false" ht="15" hidden="false" customHeight="false" outlineLevel="0" collapsed="false">
      <c r="A836" s="20" t="s">
        <v>1483</v>
      </c>
      <c r="L836" s="21"/>
    </row>
    <row r="837" customFormat="false" ht="15" hidden="false" customHeight="false" outlineLevel="0" collapsed="false">
      <c r="A837" s="20" t="s">
        <v>1484</v>
      </c>
      <c r="B837" s="22" t="s">
        <v>1058</v>
      </c>
      <c r="C837" s="22" t="s">
        <v>1082</v>
      </c>
      <c r="D837" s="22" t="s">
        <v>1060</v>
      </c>
      <c r="E837" s="23" t="s">
        <v>1485</v>
      </c>
      <c r="F837" s="23" t="s">
        <v>1181</v>
      </c>
      <c r="G837" s="23" t="s">
        <v>1120</v>
      </c>
      <c r="H837" s="23"/>
      <c r="I837" s="28" t="e">
        <f aca="false">IF(OR(E837="",E837="!!!",F837="NEW"),"",INDEX(B2:B$836,-1+SUMPRODUCT(MAX(ROW(E2:E$836)*(E837=E2:E$836)))))</f>
        <v>#VALUE!</v>
      </c>
      <c r="J837" s="24" t="n">
        <f aca="true">IF(OR(E837="",E837="!!!",F837="NEW"),"",COUNTBLANK(OFFSET(A$1,,,SUMPRODUCT(MAX(ROW(E$2:E837)*(E837=E$2:E837)))))-COUNTBLANK(OFFSET(A$1,,,SUMPRODUCT(MAX(ROW(E$1:E836)*(E2=E$1:E836))))))</f>
        <v>0</v>
      </c>
      <c r="K837" s="28" t="e">
        <f aca="false">IF(OR(E837="",E837="!!!",F837="NEW"),"",INDEX(J$1:J836,SUMPRODUCT(MAX(ROW(E$1:E836)*(E837=E$1:E836)))))</f>
        <v>#VALUE!</v>
      </c>
      <c r="L837" s="21"/>
    </row>
    <row r="838" customFormat="false" ht="15" hidden="false" customHeight="false" outlineLevel="0" collapsed="false">
      <c r="A838" s="20" t="s">
        <v>1486</v>
      </c>
      <c r="E838" s="23"/>
      <c r="F838" s="25"/>
      <c r="G838" s="26"/>
      <c r="H838" s="27"/>
      <c r="I838" s="24" t="str">
        <f aca="false">IF(OR(E838="",E838="!!!",F838="NEW"),"",INDEX(B3:B$836,-1+SUMPRODUCT(MAX(ROW(E3:E$836)*(E838=E3:E$836)))))</f>
        <v/>
      </c>
      <c r="J838" s="24" t="str">
        <f aca="true">IF(OR(E838="",E838="!!!",F838="NEW"),"",COUNTBLANK(OFFSET(A$1,,,SUMPRODUCT(MAX(ROW(E$2:E838)*(E838=E$2:E838)))))-COUNTBLANK(OFFSET(A$1,,,SUMPRODUCT(MAX(ROW(E$1:E837)*(E2=E$1:E837))))))</f>
        <v/>
      </c>
      <c r="K838" s="24" t="str">
        <f aca="false">IF(OR(E838="",E838="!!!",F838="NEW"),"",INDEX(J$1:J837,SUMPRODUCT(MAX(ROW(E$1:E837)*(E838=E$1:E837)))))</f>
        <v/>
      </c>
      <c r="L838" s="21"/>
    </row>
    <row r="839" customFormat="false" ht="15" hidden="false" customHeight="false" outlineLevel="0" collapsed="false">
      <c r="A839" s="20" t="s">
        <v>1213</v>
      </c>
      <c r="E839" s="23"/>
      <c r="F839" s="25"/>
      <c r="G839" s="26"/>
      <c r="H839" s="27"/>
      <c r="I839" s="24" t="str">
        <f aca="false">IF(OR(E839="",E839="!!!",F839="NEW"),"",INDEX(B4:B$836,-1+SUMPRODUCT(MAX(ROW(E4:E$836)*(E839=E4:E$836)))))</f>
        <v/>
      </c>
      <c r="J839" s="24" t="str">
        <f aca="true">IF(OR(E839="",E839="!!!",F839="NEW"),"",COUNTBLANK(OFFSET(A$1,,,SUMPRODUCT(MAX(ROW(E$2:E839)*(E839=E$2:E839)))))-COUNTBLANK(OFFSET(A$1,,,SUMPRODUCT(MAX(ROW(E$1:E838)*(E2=E$1:E838))))))</f>
        <v/>
      </c>
      <c r="K839" s="24" t="str">
        <f aca="false">IF(OR(E839="",E839="!!!",F839="NEW"),"",INDEX(J$1:J838,SUMPRODUCT(MAX(ROW(E$1:E838)*(E839=E$1:E838)))))</f>
        <v/>
      </c>
      <c r="L839" s="21"/>
    </row>
    <row r="840" customFormat="false" ht="15" hidden="false" customHeight="false" outlineLevel="0" collapsed="false">
      <c r="A840" s="20" t="s">
        <v>1111</v>
      </c>
      <c r="B840" s="22" t="s">
        <v>1067</v>
      </c>
      <c r="C840" s="22" t="s">
        <v>1099</v>
      </c>
      <c r="D840" s="22" t="s">
        <v>1060</v>
      </c>
      <c r="E840" s="23" t="s">
        <v>1487</v>
      </c>
      <c r="F840" s="23" t="s">
        <v>1083</v>
      </c>
      <c r="G840" s="23" t="s">
        <v>1084</v>
      </c>
      <c r="H840" s="23"/>
      <c r="I840" s="28" t="e">
        <f aca="false">IF(OR(E840="",E840="!!!",F840="NEW"),"",INDEX(B5:B$836,-1+SUMPRODUCT(MAX(ROW(E5:E$836)*(E840=E5:E$836)))))</f>
        <v>#VALUE!</v>
      </c>
      <c r="J840" s="24" t="n">
        <f aca="true">IF(OR(E840="",E840="!!!",F840="NEW"),"",COUNTBLANK(OFFSET(A$1,,,SUMPRODUCT(MAX(ROW(E$2:E840)*(E840=E$2:E840)))))-COUNTBLANK(OFFSET(A$1,,,SUMPRODUCT(MAX(ROW(E$1:E839)*(E2=E$1:E839))))))</f>
        <v>0</v>
      </c>
      <c r="K840" s="28" t="e">
        <f aca="false">IF(OR(E840="",E840="!!!",F840="NEW"),"",INDEX(J$1:J839,SUMPRODUCT(MAX(ROW(E$1:E839)*(E840=E$1:E839)))))</f>
        <v>#VALUE!</v>
      </c>
      <c r="L840" s="21"/>
    </row>
    <row r="841" customFormat="false" ht="15" hidden="false" customHeight="false" outlineLevel="0" collapsed="false">
      <c r="A841" s="20" t="s">
        <v>1488</v>
      </c>
      <c r="B841" s="22" t="s">
        <v>1073</v>
      </c>
      <c r="C841" s="22" t="s">
        <v>1059</v>
      </c>
      <c r="D841" s="22" t="s">
        <v>1060</v>
      </c>
      <c r="E841" s="23" t="s">
        <v>1489</v>
      </c>
      <c r="F841" s="23" t="s">
        <v>1062</v>
      </c>
      <c r="G841" s="23" t="s">
        <v>1063</v>
      </c>
      <c r="H841" s="23"/>
      <c r="I841" s="24" t="str">
        <f aca="false">IF(OR(E841="",E841="!!!",F841="NEW"),"",INDEX(B6:B$836,-1+SUMPRODUCT(MAX(ROW(E6:E$836)*(E841=E6:E$836)))))</f>
        <v/>
      </c>
      <c r="J841" s="24" t="str">
        <f aca="true">IF(OR(E841="",E841="!!!",F841="NEW"),"",COUNTBLANK(OFFSET(A$1,,,SUMPRODUCT(MAX(ROW(E$2:E841)*(E841=E$2:E841)))))-COUNTBLANK(OFFSET(A$1,,,SUMPRODUCT(MAX(ROW(E$1:E840)*(E2=E$1:E840))))))</f>
        <v/>
      </c>
      <c r="K841" s="24" t="str">
        <f aca="false">IF(OR(E841="",E841="!!!",F841="NEW"),"",INDEX(J$1:J840,SUMPRODUCT(MAX(ROW(E$1:E840)*(E841=E$1:E840)))))</f>
        <v/>
      </c>
      <c r="L841" s="21"/>
    </row>
    <row r="842" customFormat="false" ht="15" hidden="false" customHeight="false" outlineLevel="0" collapsed="false">
      <c r="A842" s="20" t="s">
        <v>1490</v>
      </c>
      <c r="E842" s="23"/>
      <c r="F842" s="25"/>
      <c r="G842" s="26"/>
      <c r="H842" s="27"/>
      <c r="I842" s="24" t="str">
        <f aca="false">IF(OR(E842="",E842="!!!",F842="NEW"),"",INDEX(B7:B$836,-1+SUMPRODUCT(MAX(ROW(E7:E$836)*(E842=E7:E$836)))))</f>
        <v/>
      </c>
      <c r="J842" s="24" t="str">
        <f aca="true">IF(OR(E842="",E842="!!!",F842="NEW"),"",COUNTBLANK(OFFSET(A$1,,,SUMPRODUCT(MAX(ROW(E$2:E842)*(E842=E$2:E842)))))-COUNTBLANK(OFFSET(A$1,,,SUMPRODUCT(MAX(ROW(E$1:E841)*(E2=E$1:E841))))))</f>
        <v/>
      </c>
      <c r="K842" s="24" t="str">
        <f aca="false">IF(OR(E842="",E842="!!!",F842="NEW"),"",INDEX(J$1:J841,SUMPRODUCT(MAX(ROW(E$1:E841)*(E842=E$1:E841)))))</f>
        <v/>
      </c>
      <c r="L842" s="21"/>
    </row>
    <row r="843" customFormat="false" ht="15" hidden="false" customHeight="false" outlineLevel="0" collapsed="false">
      <c r="A843" s="20" t="s">
        <v>1231</v>
      </c>
      <c r="B843" s="22" t="s">
        <v>1105</v>
      </c>
      <c r="C843" s="22" t="s">
        <v>1082</v>
      </c>
      <c r="D843" s="22" t="s">
        <v>1060</v>
      </c>
      <c r="E843" s="23" t="s">
        <v>1163</v>
      </c>
      <c r="F843" s="23" t="s">
        <v>1083</v>
      </c>
      <c r="G843" s="23" t="s">
        <v>1120</v>
      </c>
      <c r="H843" s="23"/>
      <c r="I843" s="28" t="n">
        <f aca="false">IF(OR(E843="",E843="!!!",F843="NEW"),"",INDEX(B8:B$836,-1+SUMPRODUCT(MAX(ROW(E8:E$836)*(E843=E8:E$836)))))</f>
        <v>0</v>
      </c>
      <c r="J843" s="24" t="n">
        <f aca="true">IF(OR(E843="",E843="!!!",F843="NEW"),"",COUNTBLANK(OFFSET(A$1,,,SUMPRODUCT(MAX(ROW(E$2:E843)*(E843=E$2:E843)))))-COUNTBLANK(OFFSET(A$1,,,SUMPRODUCT(MAX(ROW(E$1:E842)*(E2=E$1:E842))))))</f>
        <v>0</v>
      </c>
      <c r="K843" s="24" t="n">
        <f aca="false">IF(OR(E843="",E843="!!!",F843="NEW"),"",INDEX(J$1:J842,SUMPRODUCT(MAX(ROW(E$1:E842)*(E843=E$1:E842)))))</f>
        <v>0</v>
      </c>
      <c r="L843" s="21"/>
    </row>
    <row r="844" customFormat="false" ht="15" hidden="false" customHeight="false" outlineLevel="0" collapsed="false">
      <c r="A844" s="20" t="s">
        <v>1224</v>
      </c>
      <c r="E844" s="23"/>
      <c r="F844" s="25"/>
      <c r="G844" s="26"/>
      <c r="H844" s="27"/>
      <c r="I844" s="24" t="str">
        <f aca="false">IF(OR(E844="",E844="!!!",F844="NEW"),"",INDEX(B9:B$836,-1+SUMPRODUCT(MAX(ROW(E9:E$836)*(E844=E9:E$836)))))</f>
        <v/>
      </c>
      <c r="J844" s="24" t="str">
        <f aca="true">IF(OR(E844="",E844="!!!",F844="NEW"),"",COUNTBLANK(OFFSET(A$1,,,SUMPRODUCT(MAX(ROW(E$2:E844)*(E844=E$2:E844)))))-COUNTBLANK(OFFSET(A$1,,,SUMPRODUCT(MAX(ROW(E$1:E843)*(E2=E$1:E843))))))</f>
        <v/>
      </c>
      <c r="K844" s="24" t="str">
        <f aca="false">IF(OR(E844="",E844="!!!",F844="NEW"),"",INDEX(J$1:J843,SUMPRODUCT(MAX(ROW(E$1:E843)*(E844=E$1:E843)))))</f>
        <v/>
      </c>
      <c r="L844" s="21"/>
    </row>
    <row r="845" customFormat="false" ht="15" hidden="false" customHeight="false" outlineLevel="0" collapsed="false">
      <c r="A845" s="20" t="s">
        <v>1225</v>
      </c>
      <c r="E845" s="23"/>
      <c r="F845" s="25"/>
      <c r="G845" s="26"/>
      <c r="H845" s="27"/>
      <c r="I845" s="24" t="str">
        <f aca="false">IF(OR(E845="",E845="!!!",F845="NEW"),"",INDEX(B10:B$836,-1+SUMPRODUCT(MAX(ROW(E10:E$836)*(E845=E10:E$836)))))</f>
        <v/>
      </c>
      <c r="J845" s="24" t="str">
        <f aca="true">IF(OR(E845="",E845="!!!",F845="NEW"),"",COUNTBLANK(OFFSET(A$1,,,SUMPRODUCT(MAX(ROW(E$2:E845)*(E845=E$2:E845)))))-COUNTBLANK(OFFSET(A$1,,,SUMPRODUCT(MAX(ROW(E$1:E844)*(E2=E$1:E844))))))</f>
        <v/>
      </c>
      <c r="K845" s="24" t="str">
        <f aca="false">IF(OR(E845="",E845="!!!",F845="NEW"),"",INDEX(J$1:J844,SUMPRODUCT(MAX(ROW(E$1:E844)*(E845=E$1:E844)))))</f>
        <v/>
      </c>
      <c r="L845" s="21"/>
    </row>
    <row r="846" customFormat="false" ht="15" hidden="false" customHeight="false" outlineLevel="0" collapsed="false">
      <c r="A846" s="20" t="s">
        <v>1226</v>
      </c>
      <c r="B846" s="22" t="s">
        <v>1105</v>
      </c>
      <c r="C846" s="22" t="s">
        <v>1227</v>
      </c>
      <c r="E846" s="23"/>
      <c r="F846" s="25"/>
      <c r="G846" s="26"/>
      <c r="H846" s="27"/>
      <c r="I846" s="24" t="str">
        <f aca="false">IF(OR(E846="",E846="!!!",F846="NEW"),"",INDEX(B11:B$836,-1+SUMPRODUCT(MAX(ROW(E11:E$836)*(E846=E11:E$836)))))</f>
        <v/>
      </c>
      <c r="J846" s="24" t="str">
        <f aca="true">IF(OR(E846="",E846="!!!",F846="NEW"),"",COUNTBLANK(OFFSET(A$1,,,SUMPRODUCT(MAX(ROW(E$2:E846)*(E846=E$2:E846)))))-COUNTBLANK(OFFSET(A$1,,,SUMPRODUCT(MAX(ROW(E$1:E845)*(E2=E$1:E845))))))</f>
        <v/>
      </c>
      <c r="K846" s="24" t="str">
        <f aca="false">IF(OR(E846="",E846="!!!",F846="NEW"),"",INDEX(J$1:J845,SUMPRODUCT(MAX(ROW(E$1:E845)*(E846=E$1:E845)))))</f>
        <v/>
      </c>
      <c r="L846" s="21"/>
    </row>
    <row r="847" customFormat="false" ht="15" hidden="false" customHeight="false" outlineLevel="0" collapsed="false">
      <c r="A847" s="20" t="s">
        <v>1064</v>
      </c>
      <c r="E847" s="23"/>
      <c r="F847" s="25"/>
      <c r="G847" s="26"/>
      <c r="H847" s="27"/>
      <c r="I847" s="24" t="str">
        <f aca="false">IF(OR(E847="",E847="!!!",F847="NEW"),"",INDEX(B12:B$836,-1+SUMPRODUCT(MAX(ROW(E12:E$836)*(E847=E12:E$836)))))</f>
        <v/>
      </c>
      <c r="J847" s="24" t="str">
        <f aca="true">IF(OR(E847="",E847="!!!",F847="NEW"),"",COUNTBLANK(OFFSET(A$1,,,SUMPRODUCT(MAX(ROW(E$2:E847)*(E847=E$2:E847)))))-COUNTBLANK(OFFSET(A$1,,,SUMPRODUCT(MAX(ROW(E$1:E846)*(E2=E$1:E846))))))</f>
        <v/>
      </c>
      <c r="K847" s="24" t="str">
        <f aca="false">IF(OR(E847="",E847="!!!",F847="NEW"),"",INDEX(J$1:J846,SUMPRODUCT(MAX(ROW(E$1:E846)*(E847=E$1:E846)))))</f>
        <v/>
      </c>
      <c r="L847" s="21"/>
    </row>
    <row r="848" customFormat="false" ht="15" hidden="false" customHeight="false" outlineLevel="0" collapsed="false">
      <c r="A848" s="20" t="s">
        <v>1109</v>
      </c>
      <c r="E848" s="23"/>
      <c r="F848" s="25"/>
      <c r="G848" s="26"/>
      <c r="H848" s="27"/>
      <c r="I848" s="24" t="str">
        <f aca="false">IF(OR(E848="",E848="!!!",F848="NEW"),"",INDEX(B13:B$836,-1+SUMPRODUCT(MAX(ROW(E13:E$836)*(E848=E13:E$836)))))</f>
        <v/>
      </c>
      <c r="J848" s="24" t="str">
        <f aca="true">IF(OR(E848="",E848="!!!",F848="NEW"),"",COUNTBLANK(OFFSET(A$1,,,SUMPRODUCT(MAX(ROW(E$2:E848)*(E848=E$2:E848)))))-COUNTBLANK(OFFSET(A$1,,,SUMPRODUCT(MAX(ROW(E$1:E847)*(E2=E$1:E847))))))</f>
        <v/>
      </c>
      <c r="K848" s="24" t="str">
        <f aca="false">IF(OR(E848="",E848="!!!",F848="NEW"),"",INDEX(J$1:J847,SUMPRODUCT(MAX(ROW(E$1:E847)*(E848=E$1:E847)))))</f>
        <v/>
      </c>
      <c r="L848" s="21"/>
    </row>
    <row r="849" customFormat="false" ht="15" hidden="false" customHeight="false" outlineLevel="0" collapsed="false">
      <c r="A849" s="20" t="s">
        <v>1352</v>
      </c>
      <c r="E849" s="23"/>
      <c r="F849" s="25"/>
      <c r="G849" s="26"/>
      <c r="H849" s="27"/>
      <c r="I849" s="24" t="str">
        <f aca="false">IF(OR(E849="",E849="!!!",F849="NEW"),"",INDEX(B14:B$836,-1+SUMPRODUCT(MAX(ROW(E14:E$836)*(E849=E14:E$836)))))</f>
        <v/>
      </c>
      <c r="J849" s="24" t="str">
        <f aca="true">IF(OR(E849="",E849="!!!",F849="NEW"),"",COUNTBLANK(OFFSET(A$1,,,SUMPRODUCT(MAX(ROW(E$2:E849)*(E849=E$2:E849)))))-COUNTBLANK(OFFSET(A$1,,,SUMPRODUCT(MAX(ROW(E$1:E848)*(E2=E$1:E848))))))</f>
        <v/>
      </c>
      <c r="K849" s="24" t="str">
        <f aca="false">IF(OR(E849="",E849="!!!",F849="NEW"),"",INDEX(J$1:J848,SUMPRODUCT(MAX(ROW(E$1:E848)*(E849=E$1:E848)))))</f>
        <v/>
      </c>
      <c r="L849" s="21"/>
    </row>
    <row r="850" customFormat="false" ht="15" hidden="false" customHeight="false" outlineLevel="0" collapsed="false">
      <c r="A850" s="20" t="s">
        <v>1491</v>
      </c>
      <c r="B850" s="22" t="s">
        <v>1073</v>
      </c>
      <c r="C850" s="22" t="s">
        <v>1150</v>
      </c>
      <c r="D850" s="22" t="s">
        <v>1060</v>
      </c>
      <c r="E850" s="23" t="s">
        <v>1492</v>
      </c>
      <c r="F850" s="23" t="s">
        <v>1062</v>
      </c>
      <c r="G850" s="23" t="s">
        <v>1063</v>
      </c>
      <c r="H850" s="23"/>
      <c r="I850" s="24" t="str">
        <f aca="false">IF(OR(E850="",E850="!!!",F850="NEW"),"",INDEX(B15:B$836,-1+SUMPRODUCT(MAX(ROW(E15:E$836)*(E850=E15:E$836)))))</f>
        <v/>
      </c>
      <c r="J850" s="24" t="str">
        <f aca="true">IF(OR(E850="",E850="!!!",F850="NEW"),"",COUNTBLANK(OFFSET(A$1,,,SUMPRODUCT(MAX(ROW(E$2:E850)*(E850=E$2:E850)))))-COUNTBLANK(OFFSET(A$1,,,SUMPRODUCT(MAX(ROW(E$1:E849)*(E2=E$1:E849))))))</f>
        <v/>
      </c>
      <c r="K850" s="24" t="str">
        <f aca="false">IF(OR(E850="",E850="!!!",F850="NEW"),"",INDEX(J$1:J849,SUMPRODUCT(MAX(ROW(E$1:E849)*(E850=E$1:E849)))))</f>
        <v/>
      </c>
      <c r="L850" s="21"/>
    </row>
    <row r="851" customFormat="false" ht="15" hidden="false" customHeight="false" outlineLevel="0" collapsed="false">
      <c r="A851" s="20" t="s">
        <v>923</v>
      </c>
      <c r="E851" s="23"/>
      <c r="F851" s="25"/>
      <c r="G851" s="26"/>
      <c r="H851" s="27"/>
      <c r="I851" s="24" t="str">
        <f aca="false">IF(OR(E851="",E851="!!!",F851="NEW"),"",INDEX(B16:B$836,-1+SUMPRODUCT(MAX(ROW(E16:E$836)*(E851=E16:E$836)))))</f>
        <v/>
      </c>
      <c r="J851" s="24" t="str">
        <f aca="true">IF(OR(E851="",E851="!!!",F851="NEW"),"",COUNTBLANK(OFFSET(A$1,,,SUMPRODUCT(MAX(ROW(E$2:E851)*(E851=E$2:E851)))))-COUNTBLANK(OFFSET(A$1,,,SUMPRODUCT(MAX(ROW(E$1:E850)*(E2=E$1:E850))))))</f>
        <v/>
      </c>
      <c r="K851" s="24" t="str">
        <f aca="false">IF(OR(E851="",E851="!!!",F851="NEW"),"",INDEX(J$1:J850,SUMPRODUCT(MAX(ROW(E$1:E850)*(E851=E$1:E850)))))</f>
        <v/>
      </c>
      <c r="L851" s="21"/>
    </row>
    <row r="852" customFormat="false" ht="15" hidden="false" customHeight="false" outlineLevel="0" collapsed="false">
      <c r="A852" s="20"/>
      <c r="L852" s="21"/>
    </row>
    <row r="853" customFormat="false" ht="15" hidden="false" customHeight="false" outlineLevel="0" collapsed="false">
      <c r="A853" s="20" t="s">
        <v>1493</v>
      </c>
      <c r="L853" s="21"/>
    </row>
    <row r="854" customFormat="false" ht="15" hidden="false" customHeight="false" outlineLevel="0" collapsed="false">
      <c r="A854" s="20" t="s">
        <v>1494</v>
      </c>
      <c r="B854" s="22" t="s">
        <v>1058</v>
      </c>
      <c r="C854" s="22" t="s">
        <v>1059</v>
      </c>
      <c r="D854" s="22" t="s">
        <v>1060</v>
      </c>
      <c r="E854" s="23" t="s">
        <v>1487</v>
      </c>
      <c r="F854" s="23" t="s">
        <v>1083</v>
      </c>
      <c r="G854" s="23" t="s">
        <v>1084</v>
      </c>
      <c r="H854" s="23" t="s">
        <v>1052</v>
      </c>
      <c r="I854" s="24" t="str">
        <f aca="false">IF(OR(E854="",E854="!!!",F854="NEW"),"",INDEX(B2:B$853,-1+SUMPRODUCT(MAX(ROW(E2:E$853)*(E854=E2:E$853)))))</f>
        <v>other_3</v>
      </c>
      <c r="J854" s="24" t="n">
        <f aca="true">IF(OR(E854="",E854="!!!",F854="NEW"),"",COUNTBLANK(OFFSET(A$1,,,SUMPRODUCT(MAX(ROW(E$2:E854)*(E854=E$2:E854)))))-COUNTBLANK(OFFSET(A$1,,,SUMPRODUCT(MAX(ROW(E$1:E853)*(E2=E$1:E853))))))</f>
        <v>0</v>
      </c>
      <c r="K854" s="24" t="n">
        <f aca="false">IF(OR(E854="",E854="!!!",F854="NEW"),"",INDEX(J$1:J853,SUMPRODUCT(MAX(ROW(E$1:E853)*(E854=E$1:E853)))))</f>
        <v>0</v>
      </c>
      <c r="L854" s="21"/>
    </row>
    <row r="855" customFormat="false" ht="15" hidden="false" customHeight="false" outlineLevel="0" collapsed="false">
      <c r="A855" s="20" t="s">
        <v>1064</v>
      </c>
      <c r="E855" s="23"/>
      <c r="F855" s="25"/>
      <c r="G855" s="26"/>
      <c r="H855" s="27"/>
      <c r="I855" s="24" t="str">
        <f aca="false">IF(OR(E855="",E855="!!!",F855="NEW"),"",INDEX(B3:B$853,-1+SUMPRODUCT(MAX(ROW(E3:E$853)*(E855=E3:E$853)))))</f>
        <v/>
      </c>
      <c r="J855" s="24" t="str">
        <f aca="true">IF(OR(E855="",E855="!!!",F855="NEW"),"",COUNTBLANK(OFFSET(A$1,,,SUMPRODUCT(MAX(ROW(E$2:E855)*(E855=E$2:E855)))))-COUNTBLANK(OFFSET(A$1,,,SUMPRODUCT(MAX(ROW(E$1:E854)*(E2=E$1:E854))))))</f>
        <v/>
      </c>
      <c r="K855" s="24" t="str">
        <f aca="false">IF(OR(E855="",E855="!!!",F855="NEW"),"",INDEX(J$1:J854,SUMPRODUCT(MAX(ROW(E$1:E854)*(E855=E$1:E854)))))</f>
        <v/>
      </c>
      <c r="L855" s="21"/>
    </row>
    <row r="856" customFormat="false" ht="15" hidden="false" customHeight="false" outlineLevel="0" collapsed="false">
      <c r="A856" s="20" t="s">
        <v>1454</v>
      </c>
      <c r="B856" s="22" t="s">
        <v>1073</v>
      </c>
      <c r="C856" s="22" t="s">
        <v>1082</v>
      </c>
      <c r="D856" s="22" t="s">
        <v>1060</v>
      </c>
      <c r="E856" s="23" t="s">
        <v>1487</v>
      </c>
      <c r="F856" s="23" t="s">
        <v>1083</v>
      </c>
      <c r="G856" s="23" t="s">
        <v>1084</v>
      </c>
      <c r="H856" s="23"/>
      <c r="I856" s="28" t="n">
        <f aca="false">IF(OR(E856="",E856="!!!",F856="NEW"),"",INDEX(B4:B$853,-1+SUMPRODUCT(MAX(ROW(E4:E$853)*(E856=E4:E$853)))))</f>
        <v>0</v>
      </c>
      <c r="J856" s="24" t="n">
        <f aca="true">IF(OR(E856="",E856="!!!",F856="NEW"),"",COUNTBLANK(OFFSET(A$1,,,SUMPRODUCT(MAX(ROW(E$2:E856)*(E856=E$2:E856)))))-COUNTBLANK(OFFSET(A$1,,,SUMPRODUCT(MAX(ROW(E$1:E855)*(E2=E$1:E855))))))</f>
        <v>0</v>
      </c>
      <c r="K856" s="24" t="n">
        <f aca="false">IF(OR(E856="",E856="!!!",F856="NEW"),"",INDEX(J$1:J855,SUMPRODUCT(MAX(ROW(E$1:E855)*(E856=E$1:E855)))))</f>
        <v>0</v>
      </c>
      <c r="L856" s="21"/>
    </row>
    <row r="857" customFormat="false" ht="15" hidden="false" customHeight="false" outlineLevel="0" collapsed="false">
      <c r="A857" s="20" t="s">
        <v>1135</v>
      </c>
      <c r="E857" s="23"/>
      <c r="F857" s="25"/>
      <c r="G857" s="26"/>
      <c r="H857" s="27"/>
      <c r="I857" s="24" t="str">
        <f aca="false">IF(OR(E857="",E857="!!!",F857="NEW"),"",INDEX(B5:B$853,-1+SUMPRODUCT(MAX(ROW(E5:E$853)*(E857=E5:E$853)))))</f>
        <v/>
      </c>
      <c r="J857" s="24" t="str">
        <f aca="true">IF(OR(E857="",E857="!!!",F857="NEW"),"",COUNTBLANK(OFFSET(A$1,,,SUMPRODUCT(MAX(ROW(E$2:E857)*(E857=E$2:E857)))))-COUNTBLANK(OFFSET(A$1,,,SUMPRODUCT(MAX(ROW(E$1:E856)*(E2=E$1:E856))))))</f>
        <v/>
      </c>
      <c r="K857" s="24" t="str">
        <f aca="false">IF(OR(E857="",E857="!!!",F857="NEW"),"",INDEX(J$1:J856,SUMPRODUCT(MAX(ROW(E$1:E856)*(E857=E$1:E856)))))</f>
        <v/>
      </c>
      <c r="L857" s="21"/>
    </row>
    <row r="858" customFormat="false" ht="15" hidden="false" customHeight="false" outlineLevel="0" collapsed="false">
      <c r="A858" s="20" t="s">
        <v>1495</v>
      </c>
      <c r="E858" s="23"/>
      <c r="F858" s="25"/>
      <c r="G858" s="26"/>
      <c r="H858" s="27"/>
      <c r="I858" s="24" t="str">
        <f aca="false">IF(OR(E858="",E858="!!!",F858="NEW"),"",INDEX(B6:B$853,-1+SUMPRODUCT(MAX(ROW(E6:E$853)*(E858=E6:E$853)))))</f>
        <v/>
      </c>
      <c r="J858" s="24" t="str">
        <f aca="true">IF(OR(E858="",E858="!!!",F858="NEW"),"",COUNTBLANK(OFFSET(A$1,,,SUMPRODUCT(MAX(ROW(E$2:E858)*(E858=E$2:E858)))))-COUNTBLANK(OFFSET(A$1,,,SUMPRODUCT(MAX(ROW(E$1:E857)*(E2=E$1:E857))))))</f>
        <v/>
      </c>
      <c r="K858" s="24" t="str">
        <f aca="false">IF(OR(E858="",E858="!!!",F858="NEW"),"",INDEX(J$1:J857,SUMPRODUCT(MAX(ROW(E$1:E857)*(E858=E$1:E857)))))</f>
        <v/>
      </c>
      <c r="L858" s="21"/>
    </row>
    <row r="859" customFormat="false" ht="15" hidden="false" customHeight="false" outlineLevel="0" collapsed="false">
      <c r="A859" s="20" t="s">
        <v>1496</v>
      </c>
      <c r="B859" s="22" t="s">
        <v>1081</v>
      </c>
      <c r="C859" s="22" t="s">
        <v>1160</v>
      </c>
      <c r="E859" s="23"/>
      <c r="F859" s="25"/>
      <c r="G859" s="26"/>
      <c r="H859" s="27"/>
      <c r="I859" s="24" t="str">
        <f aca="false">IF(OR(E859="",E859="!!!",F859="NEW"),"",INDEX(B7:B$853,-1+SUMPRODUCT(MAX(ROW(E7:E$853)*(E859=E7:E$853)))))</f>
        <v/>
      </c>
      <c r="J859" s="24" t="str">
        <f aca="true">IF(OR(E859="",E859="!!!",F859="NEW"),"",COUNTBLANK(OFFSET(A$1,,,SUMPRODUCT(MAX(ROW(E$2:E859)*(E859=E$2:E859)))))-COUNTBLANK(OFFSET(A$1,,,SUMPRODUCT(MAX(ROW(E$1:E858)*(E2=E$1:E858))))))</f>
        <v/>
      </c>
      <c r="K859" s="24" t="str">
        <f aca="false">IF(OR(E859="",E859="!!!",F859="NEW"),"",INDEX(J$1:J858,SUMPRODUCT(MAX(ROW(E$1:E858)*(E859=E$1:E858)))))</f>
        <v/>
      </c>
      <c r="L859" s="21"/>
    </row>
    <row r="860" customFormat="false" ht="15" hidden="false" customHeight="false" outlineLevel="0" collapsed="false">
      <c r="A860" s="20" t="s">
        <v>1076</v>
      </c>
      <c r="E860" s="23"/>
      <c r="F860" s="25"/>
      <c r="G860" s="26"/>
      <c r="H860" s="27"/>
      <c r="I860" s="24" t="str">
        <f aca="false">IF(OR(E860="",E860="!!!",F860="NEW"),"",INDEX(B8:B$853,-1+SUMPRODUCT(MAX(ROW(E8:E$853)*(E860=E8:E$853)))))</f>
        <v/>
      </c>
      <c r="J860" s="24" t="str">
        <f aca="true">IF(OR(E860="",E860="!!!",F860="NEW"),"",COUNTBLANK(OFFSET(A$1,,,SUMPRODUCT(MAX(ROW(E$2:E860)*(E860=E$2:E860)))))-COUNTBLANK(OFFSET(A$1,,,SUMPRODUCT(MAX(ROW(E$1:E859)*(E2=E$1:E859))))))</f>
        <v/>
      </c>
      <c r="K860" s="24" t="str">
        <f aca="false">IF(OR(E860="",E860="!!!",F860="NEW"),"",INDEX(J$1:J859,SUMPRODUCT(MAX(ROW(E$1:E859)*(E860=E$1:E859)))))</f>
        <v/>
      </c>
      <c r="L860" s="21"/>
    </row>
    <row r="861" customFormat="false" ht="15" hidden="false" customHeight="false" outlineLevel="0" collapsed="false">
      <c r="A861" s="20" t="s">
        <v>1128</v>
      </c>
      <c r="E861" s="23"/>
      <c r="F861" s="25"/>
      <c r="G861" s="26"/>
      <c r="H861" s="27"/>
      <c r="I861" s="24" t="str">
        <f aca="false">IF(OR(E861="",E861="!!!",F861="NEW"),"",INDEX(B9:B$853,-1+SUMPRODUCT(MAX(ROW(E9:E$853)*(E861=E9:E$853)))))</f>
        <v/>
      </c>
      <c r="J861" s="24" t="str">
        <f aca="true">IF(OR(E861="",E861="!!!",F861="NEW"),"",COUNTBLANK(OFFSET(A$1,,,SUMPRODUCT(MAX(ROW(E$2:E861)*(E861=E$2:E861)))))-COUNTBLANK(OFFSET(A$1,,,SUMPRODUCT(MAX(ROW(E$1:E860)*(E2=E$1:E860))))))</f>
        <v/>
      </c>
      <c r="K861" s="24" t="str">
        <f aca="false">IF(OR(E861="",E861="!!!",F861="NEW"),"",INDEX(J$1:J860,SUMPRODUCT(MAX(ROW(E$1:E860)*(E861=E$1:E860)))))</f>
        <v/>
      </c>
      <c r="L861" s="21"/>
    </row>
    <row r="862" customFormat="false" ht="15" hidden="false" customHeight="false" outlineLevel="0" collapsed="false">
      <c r="A862" s="20" t="s">
        <v>1497</v>
      </c>
      <c r="B862" s="22" t="s">
        <v>1086</v>
      </c>
      <c r="C862" s="22" t="s">
        <v>1160</v>
      </c>
      <c r="E862" s="23"/>
      <c r="F862" s="25"/>
      <c r="G862" s="26"/>
      <c r="H862" s="27"/>
      <c r="I862" s="24" t="str">
        <f aca="false">IF(OR(E862="",E862="!!!",F862="NEW"),"",INDEX(B10:B$853,-1+SUMPRODUCT(MAX(ROW(E10:E$853)*(E862=E10:E$853)))))</f>
        <v/>
      </c>
      <c r="J862" s="24" t="str">
        <f aca="true">IF(OR(E862="",E862="!!!",F862="NEW"),"",COUNTBLANK(OFFSET(A$1,,,SUMPRODUCT(MAX(ROW(E$2:E862)*(E862=E$2:E862)))))-COUNTBLANK(OFFSET(A$1,,,SUMPRODUCT(MAX(ROW(E$1:E861)*(E2=E$1:E861))))))</f>
        <v/>
      </c>
      <c r="K862" s="24" t="str">
        <f aca="false">IF(OR(E862="",E862="!!!",F862="NEW"),"",INDEX(J$1:J861,SUMPRODUCT(MAX(ROW(E$1:E861)*(E862=E$1:E861)))))</f>
        <v/>
      </c>
      <c r="L862" s="21"/>
    </row>
    <row r="863" customFormat="false" ht="15" hidden="false" customHeight="false" outlineLevel="0" collapsed="false">
      <c r="A863" s="20" t="s">
        <v>1128</v>
      </c>
      <c r="E863" s="23"/>
      <c r="F863" s="25"/>
      <c r="G863" s="26"/>
      <c r="H863" s="27"/>
      <c r="I863" s="24" t="str">
        <f aca="false">IF(OR(E863="",E863="!!!",F863="NEW"),"",INDEX(B11:B$853,-1+SUMPRODUCT(MAX(ROW(E11:E$853)*(E863=E11:E$853)))))</f>
        <v/>
      </c>
      <c r="J863" s="24" t="str">
        <f aca="true">IF(OR(E863="",E863="!!!",F863="NEW"),"",COUNTBLANK(OFFSET(A$1,,,SUMPRODUCT(MAX(ROW(E$2:E863)*(E863=E$2:E863)))))-COUNTBLANK(OFFSET(A$1,,,SUMPRODUCT(MAX(ROW(E$1:E862)*(E2=E$1:E862))))))</f>
        <v/>
      </c>
      <c r="K863" s="24" t="str">
        <f aca="false">IF(OR(E863="",E863="!!!",F863="NEW"),"",INDEX(J$1:J862,SUMPRODUCT(MAX(ROW(E$1:E862)*(E863=E$1:E862)))))</f>
        <v/>
      </c>
      <c r="L863" s="21"/>
    </row>
    <row r="864" customFormat="false" ht="15" hidden="false" customHeight="false" outlineLevel="0" collapsed="false">
      <c r="A864" s="20" t="s">
        <v>1498</v>
      </c>
      <c r="B864" s="22" t="s">
        <v>1067</v>
      </c>
      <c r="C864" s="22" t="s">
        <v>1160</v>
      </c>
      <c r="E864" s="23"/>
      <c r="F864" s="25"/>
      <c r="G864" s="26"/>
      <c r="H864" s="27"/>
      <c r="I864" s="24" t="str">
        <f aca="false">IF(OR(E864="",E864="!!!",F864="NEW"),"",INDEX(B12:B$853,-1+SUMPRODUCT(MAX(ROW(E12:E$853)*(E864=E12:E$853)))))</f>
        <v/>
      </c>
      <c r="J864" s="24" t="str">
        <f aca="true">IF(OR(E864="",E864="!!!",F864="NEW"),"",COUNTBLANK(OFFSET(A$1,,,SUMPRODUCT(MAX(ROW(E$2:E864)*(E864=E$2:E864)))))-COUNTBLANK(OFFSET(A$1,,,SUMPRODUCT(MAX(ROW(E$1:E863)*(E2=E$1:E863))))))</f>
        <v/>
      </c>
      <c r="K864" s="24" t="str">
        <f aca="false">IF(OR(E864="",E864="!!!",F864="NEW"),"",INDEX(J$1:J863,SUMPRODUCT(MAX(ROW(E$1:E863)*(E864=E$1:E863)))))</f>
        <v/>
      </c>
      <c r="L864" s="21"/>
    </row>
    <row r="865" customFormat="false" ht="15" hidden="false" customHeight="false" outlineLevel="0" collapsed="false">
      <c r="A865" s="20" t="s">
        <v>1135</v>
      </c>
      <c r="E865" s="23"/>
      <c r="F865" s="25"/>
      <c r="G865" s="26"/>
      <c r="H865" s="27"/>
      <c r="I865" s="24" t="str">
        <f aca="false">IF(OR(E865="",E865="!!!",F865="NEW"),"",INDEX(B13:B$853,-1+SUMPRODUCT(MAX(ROW(E13:E$853)*(E865=E13:E$853)))))</f>
        <v/>
      </c>
      <c r="J865" s="24" t="str">
        <f aca="true">IF(OR(E865="",E865="!!!",F865="NEW"),"",COUNTBLANK(OFFSET(A$1,,,SUMPRODUCT(MAX(ROW(E$2:E865)*(E865=E$2:E865)))))-COUNTBLANK(OFFSET(A$1,,,SUMPRODUCT(MAX(ROW(E$1:E864)*(E2=E$1:E864))))))</f>
        <v/>
      </c>
      <c r="K865" s="24" t="str">
        <f aca="false">IF(OR(E865="",E865="!!!",F865="NEW"),"",INDEX(J$1:J864,SUMPRODUCT(MAX(ROW(E$1:E864)*(E865=E$1:E864)))))</f>
        <v/>
      </c>
      <c r="L865" s="21"/>
    </row>
    <row r="866" customFormat="false" ht="15" hidden="false" customHeight="false" outlineLevel="0" collapsed="false">
      <c r="A866" s="20" t="s">
        <v>1173</v>
      </c>
      <c r="E866" s="23"/>
      <c r="F866" s="25"/>
      <c r="G866" s="26"/>
      <c r="H866" s="27"/>
      <c r="I866" s="24" t="str">
        <f aca="false">IF(OR(E866="",E866="!!!",F866="NEW"),"",INDEX(B14:B$853,-1+SUMPRODUCT(MAX(ROW(E14:E$853)*(E866=E14:E$853)))))</f>
        <v/>
      </c>
      <c r="J866" s="24" t="str">
        <f aca="true">IF(OR(E866="",E866="!!!",F866="NEW"),"",COUNTBLANK(OFFSET(A$1,,,SUMPRODUCT(MAX(ROW(E$2:E866)*(E866=E$2:E866)))))-COUNTBLANK(OFFSET(A$1,,,SUMPRODUCT(MAX(ROW(E$1:E865)*(E2=E$1:E865))))))</f>
        <v/>
      </c>
      <c r="K866" s="24" t="str">
        <f aca="false">IF(OR(E866="",E866="!!!",F866="NEW"),"",INDEX(J$1:J865,SUMPRODUCT(MAX(ROW(E$1:E865)*(E866=E$1:E865)))))</f>
        <v/>
      </c>
      <c r="L866" s="21"/>
    </row>
    <row r="867" customFormat="false" ht="15" hidden="false" customHeight="false" outlineLevel="0" collapsed="false">
      <c r="A867" s="20" t="s">
        <v>1178</v>
      </c>
      <c r="B867" s="22" t="s">
        <v>1105</v>
      </c>
      <c r="C867" s="22" t="s">
        <v>1059</v>
      </c>
      <c r="D867" s="22" t="s">
        <v>1060</v>
      </c>
      <c r="E867" s="23" t="s">
        <v>16</v>
      </c>
      <c r="F867" s="23" t="s">
        <v>1398</v>
      </c>
      <c r="G867" s="23"/>
      <c r="H867" s="23"/>
      <c r="I867" s="28" t="n">
        <f aca="false">IF(OR(E867="",E867="!!!",F867="NEW"),"",INDEX(B15:B$853,-1+SUMPRODUCT(MAX(ROW(E15:E$853)*(E867=E15:E$853)))))</f>
        <v>0</v>
      </c>
      <c r="J867" s="24" t="n">
        <f aca="true">IF(OR(E867="",E867="!!!",F867="NEW"),"",COUNTBLANK(OFFSET(A$1,,,SUMPRODUCT(MAX(ROW(E$2:E867)*(E867=E$2:E867)))))-COUNTBLANK(OFFSET(A$1,,,SUMPRODUCT(MAX(ROW(E$1:E866)*(E2=E$1:E866))))))</f>
        <v>0</v>
      </c>
      <c r="K867" s="24" t="n">
        <f aca="false">IF(OR(E867="",E867="!!!",F867="NEW"),"",INDEX(J$1:J866,SUMPRODUCT(MAX(ROW(E$1:E866)*(E867=E$1:E866)))))</f>
        <v>0</v>
      </c>
      <c r="L867" s="21"/>
    </row>
    <row r="868" customFormat="false" ht="15" hidden="false" customHeight="false" outlineLevel="0" collapsed="false">
      <c r="A868" s="20" t="s">
        <v>1064</v>
      </c>
      <c r="E868" s="23"/>
      <c r="F868" s="25"/>
      <c r="G868" s="26"/>
      <c r="H868" s="27"/>
      <c r="I868" s="24" t="str">
        <f aca="false">IF(OR(E868="",E868="!!!",F868="NEW"),"",INDEX(B16:B$853,-1+SUMPRODUCT(MAX(ROW(E16:E$853)*(E868=E16:E$853)))))</f>
        <v/>
      </c>
      <c r="J868" s="24" t="str">
        <f aca="true">IF(OR(E868="",E868="!!!",F868="NEW"),"",COUNTBLANK(OFFSET(A$1,,,SUMPRODUCT(MAX(ROW(E$2:E868)*(E868=E$2:E868)))))-COUNTBLANK(OFFSET(A$1,,,SUMPRODUCT(MAX(ROW(E$1:E867)*(E2=E$1:E867))))))</f>
        <v/>
      </c>
      <c r="K868" s="24" t="str">
        <f aca="false">IF(OR(E868="",E868="!!!",F868="NEW"),"",INDEX(J$1:J867,SUMPRODUCT(MAX(ROW(E$1:E867)*(E868=E$1:E867)))))</f>
        <v/>
      </c>
      <c r="L868" s="21"/>
    </row>
    <row r="869" customFormat="false" ht="15" hidden="false" customHeight="false" outlineLevel="0" collapsed="false">
      <c r="A869" s="20" t="s">
        <v>1454</v>
      </c>
      <c r="B869" s="22" t="s">
        <v>1073</v>
      </c>
      <c r="C869" s="22" t="s">
        <v>1082</v>
      </c>
      <c r="D869" s="22" t="s">
        <v>1060</v>
      </c>
      <c r="E869" s="23" t="s">
        <v>1487</v>
      </c>
      <c r="F869" s="23" t="s">
        <v>1083</v>
      </c>
      <c r="G869" s="23" t="s">
        <v>1084</v>
      </c>
      <c r="H869" s="23"/>
      <c r="I869" s="28" t="e">
        <f aca="false">IF(OR(E869="",E869="!!!",F869="NEW"),"",INDEX(B17:B$853,-1+SUMPRODUCT(MAX(ROW(E17:E$853)*(E869=E17:E$853)))))</f>
        <v>#REF!</v>
      </c>
      <c r="J869" s="24" t="n">
        <f aca="true">IF(OR(E869="",E869="!!!",F869="NEW"),"",COUNTBLANK(OFFSET(A$1,,,SUMPRODUCT(MAX(ROW(E$2:E869)*(E869=E$2:E869)))))-COUNTBLANK(OFFSET(A$1,,,SUMPRODUCT(MAX(ROW(E$1:E868)*(E2=E$1:E868))))))</f>
        <v>0</v>
      </c>
      <c r="K869" s="24" t="n">
        <f aca="false">IF(OR(E869="",E869="!!!",F869="NEW"),"",INDEX(J$1:J868,SUMPRODUCT(MAX(ROW(E$1:E868)*(E869=E$1:E868)))))</f>
        <v>0</v>
      </c>
      <c r="L869" s="21"/>
    </row>
    <row r="870" customFormat="false" ht="15" hidden="false" customHeight="false" outlineLevel="0" collapsed="false">
      <c r="A870" s="20" t="s">
        <v>923</v>
      </c>
      <c r="E870" s="23"/>
      <c r="F870" s="25"/>
      <c r="G870" s="26"/>
      <c r="H870" s="27"/>
      <c r="I870" s="24" t="str">
        <f aca="false">IF(OR(E870="",E870="!!!",F870="NEW"),"",INDEX(B18:B$853,-1+SUMPRODUCT(MAX(ROW(E18:E$853)*(E870=E18:E$853)))))</f>
        <v/>
      </c>
      <c r="J870" s="24" t="str">
        <f aca="true">IF(OR(E870="",E870="!!!",F870="NEW"),"",COUNTBLANK(OFFSET(A$1,,,SUMPRODUCT(MAX(ROW(E$2:E870)*(E870=E$2:E870)))))-COUNTBLANK(OFFSET(A$1,,,SUMPRODUCT(MAX(ROW(E$1:E869)*(E2=E$1:E869))))))</f>
        <v/>
      </c>
      <c r="K870" s="24" t="str">
        <f aca="false">IF(OR(E870="",E870="!!!",F870="NEW"),"",INDEX(J$1:J869,SUMPRODUCT(MAX(ROW(E$1:E869)*(E870=E$1:E869)))))</f>
        <v/>
      </c>
      <c r="L870" s="21"/>
    </row>
    <row r="871" customFormat="false" ht="15" hidden="false" customHeight="false" outlineLevel="0" collapsed="false">
      <c r="A871" s="20"/>
      <c r="L871" s="21"/>
    </row>
    <row r="872" customFormat="false" ht="15" hidden="false" customHeight="false" outlineLevel="0" collapsed="false">
      <c r="A872" s="20" t="s">
        <v>1499</v>
      </c>
      <c r="L872" s="21"/>
    </row>
    <row r="873" customFormat="false" ht="15" hidden="false" customHeight="false" outlineLevel="0" collapsed="false">
      <c r="A873" s="20" t="s">
        <v>1482</v>
      </c>
      <c r="B873" s="22" t="s">
        <v>1058</v>
      </c>
      <c r="C873" s="22" t="s">
        <v>1068</v>
      </c>
      <c r="D873" s="22" t="s">
        <v>1060</v>
      </c>
      <c r="E873" s="23" t="s">
        <v>1482</v>
      </c>
      <c r="F873" s="23" t="s">
        <v>1083</v>
      </c>
      <c r="G873" s="23" t="s">
        <v>1084</v>
      </c>
      <c r="H873" s="23"/>
      <c r="I873" s="24" t="str">
        <f aca="false">IF(OR(E873="",E873="!!!",F873="NEW"),"",INDEX(B2:B$872,-1+SUMPRODUCT(MAX(ROW(E2:E$872)*(E873=E2:E$872)))))</f>
        <v>other_2</v>
      </c>
      <c r="J873" s="24" t="n">
        <f aca="true">IF(OR(E873="",E873="!!!",F873="NEW"),"",COUNTBLANK(OFFSET(A$1,,,SUMPRODUCT(MAX(ROW(E$2:E873)*(E873=E$2:E873)))))-COUNTBLANK(OFFSET(A$1,,,SUMPRODUCT(MAX(ROW(E$1:E872)*(E2=E$1:E872))))))</f>
        <v>0</v>
      </c>
      <c r="K873" s="24" t="str">
        <f aca="false">IF(OR(E873="",E873="!!!",F873="NEW"),"",INDEX(J$1:J872,SUMPRODUCT(MAX(ROW(E$1:E872)*(E873=E$1:E872)))))</f>
        <v/>
      </c>
      <c r="L873" s="21"/>
    </row>
    <row r="874" customFormat="false" ht="15" hidden="false" customHeight="false" outlineLevel="0" collapsed="false">
      <c r="A874" s="20" t="s">
        <v>1092</v>
      </c>
      <c r="E874" s="23"/>
      <c r="F874" s="25"/>
      <c r="G874" s="26"/>
      <c r="H874" s="27"/>
      <c r="I874" s="24" t="str">
        <f aca="false">IF(OR(E874="",E874="!!!",F874="NEW"),"",INDEX(B3:B$872,-1+SUMPRODUCT(MAX(ROW(E3:E$872)*(E874=E3:E$872)))))</f>
        <v/>
      </c>
      <c r="J874" s="24" t="str">
        <f aca="true">IF(OR(E874="",E874="!!!",F874="NEW"),"",COUNTBLANK(OFFSET(A$1,,,SUMPRODUCT(MAX(ROW(E$2:E874)*(E874=E$2:E874)))))-COUNTBLANK(OFFSET(A$1,,,SUMPRODUCT(MAX(ROW(E$1:E873)*(E2=E$1:E873))))))</f>
        <v/>
      </c>
      <c r="K874" s="24" t="str">
        <f aca="false">IF(OR(E874="",E874="!!!",F874="NEW"),"",INDEX(J$1:J873,SUMPRODUCT(MAX(ROW(E$1:E873)*(E874=E$1:E873)))))</f>
        <v/>
      </c>
      <c r="L874" s="21"/>
    </row>
    <row r="875" customFormat="false" ht="15" hidden="false" customHeight="false" outlineLevel="0" collapsed="false">
      <c r="A875" s="20" t="s">
        <v>1500</v>
      </c>
      <c r="E875" s="23"/>
      <c r="F875" s="25"/>
      <c r="G875" s="26"/>
      <c r="H875" s="27"/>
      <c r="I875" s="24" t="str">
        <f aca="false">IF(OR(E875="",E875="!!!",F875="NEW"),"",INDEX(B4:B$872,-1+SUMPRODUCT(MAX(ROW(E4:E$872)*(E875=E4:E$872)))))</f>
        <v/>
      </c>
      <c r="J875" s="24" t="str">
        <f aca="true">IF(OR(E875="",E875="!!!",F875="NEW"),"",COUNTBLANK(OFFSET(A$1,,,SUMPRODUCT(MAX(ROW(E$2:E875)*(E875=E$2:E875)))))-COUNTBLANK(OFFSET(A$1,,,SUMPRODUCT(MAX(ROW(E$1:E874)*(E2=E$1:E874))))))</f>
        <v/>
      </c>
      <c r="K875" s="24" t="str">
        <f aca="false">IF(OR(E875="",E875="!!!",F875="NEW"),"",INDEX(J$1:J874,SUMPRODUCT(MAX(ROW(E$1:E874)*(E875=E$1:E874)))))</f>
        <v/>
      </c>
      <c r="L875" s="21"/>
    </row>
    <row r="876" customFormat="false" ht="15" hidden="false" customHeight="false" outlineLevel="0" collapsed="false">
      <c r="A876" s="20" t="s">
        <v>1213</v>
      </c>
      <c r="E876" s="23"/>
      <c r="F876" s="25"/>
      <c r="G876" s="26"/>
      <c r="H876" s="27"/>
      <c r="I876" s="24" t="str">
        <f aca="false">IF(OR(E876="",E876="!!!",F876="NEW"),"",INDEX(B5:B$872,-1+SUMPRODUCT(MAX(ROW(E5:E$872)*(E876=E5:E$872)))))</f>
        <v/>
      </c>
      <c r="J876" s="24" t="str">
        <f aca="true">IF(OR(E876="",E876="!!!",F876="NEW"),"",COUNTBLANK(OFFSET(A$1,,,SUMPRODUCT(MAX(ROW(E$2:E876)*(E876=E$2:E876)))))-COUNTBLANK(OFFSET(A$1,,,SUMPRODUCT(MAX(ROW(E$1:E875)*(E2=E$1:E875))))))</f>
        <v/>
      </c>
      <c r="K876" s="24" t="str">
        <f aca="false">IF(OR(E876="",E876="!!!",F876="NEW"),"",INDEX(J$1:J875,SUMPRODUCT(MAX(ROW(E$1:E875)*(E876=E$1:E875)))))</f>
        <v/>
      </c>
      <c r="L876" s="21"/>
    </row>
    <row r="877" customFormat="false" ht="15" hidden="false" customHeight="false" outlineLevel="0" collapsed="false">
      <c r="A877" s="20" t="s">
        <v>1501</v>
      </c>
      <c r="B877" s="22" t="s">
        <v>1105</v>
      </c>
      <c r="C877" s="22" t="s">
        <v>1160</v>
      </c>
      <c r="E877" s="23"/>
      <c r="F877" s="25"/>
      <c r="G877" s="26"/>
      <c r="H877" s="27"/>
      <c r="I877" s="24" t="str">
        <f aca="false">IF(OR(E877="",E877="!!!",F877="NEW"),"",INDEX(B6:B$872,-1+SUMPRODUCT(MAX(ROW(E6:E$872)*(E877=E6:E$872)))))</f>
        <v/>
      </c>
      <c r="J877" s="24" t="str">
        <f aca="true">IF(OR(E877="",E877="!!!",F877="NEW"),"",COUNTBLANK(OFFSET(A$1,,,SUMPRODUCT(MAX(ROW(E$2:E877)*(E877=E$2:E877)))))-COUNTBLANK(OFFSET(A$1,,,SUMPRODUCT(MAX(ROW(E$1:E876)*(E2=E$1:E876))))))</f>
        <v/>
      </c>
      <c r="K877" s="24" t="str">
        <f aca="false">IF(OR(E877="",E877="!!!",F877="NEW"),"",INDEX(J$1:J876,SUMPRODUCT(MAX(ROW(E$1:E876)*(E877=E$1:E876)))))</f>
        <v/>
      </c>
      <c r="L877" s="21"/>
    </row>
    <row r="878" customFormat="false" ht="15" hidden="false" customHeight="false" outlineLevel="0" collapsed="false">
      <c r="A878" s="20" t="s">
        <v>1076</v>
      </c>
      <c r="E878" s="23"/>
      <c r="F878" s="25"/>
      <c r="G878" s="26"/>
      <c r="H878" s="27"/>
      <c r="I878" s="24" t="str">
        <f aca="false">IF(OR(E878="",E878="!!!",F878="NEW"),"",INDEX(B7:B$872,-1+SUMPRODUCT(MAX(ROW(E7:E$872)*(E878=E7:E$872)))))</f>
        <v/>
      </c>
      <c r="J878" s="24" t="str">
        <f aca="true">IF(OR(E878="",E878="!!!",F878="NEW"),"",COUNTBLANK(OFFSET(A$1,,,SUMPRODUCT(MAX(ROW(E$2:E878)*(E878=E$2:E878)))))-COUNTBLANK(OFFSET(A$1,,,SUMPRODUCT(MAX(ROW(E$1:E877)*(E2=E$1:E877))))))</f>
        <v/>
      </c>
      <c r="K878" s="24" t="str">
        <f aca="false">IF(OR(E878="",E878="!!!",F878="NEW"),"",INDEX(J$1:J877,SUMPRODUCT(MAX(ROW(E$1:E877)*(E878=E$1:E877)))))</f>
        <v/>
      </c>
      <c r="L878" s="21"/>
    </row>
    <row r="879" customFormat="false" ht="15" hidden="false" customHeight="false" outlineLevel="0" collapsed="false">
      <c r="A879" s="20" t="s">
        <v>1168</v>
      </c>
      <c r="E879" s="23"/>
      <c r="F879" s="25"/>
      <c r="G879" s="26"/>
      <c r="H879" s="27"/>
      <c r="I879" s="24" t="str">
        <f aca="false">IF(OR(E879="",E879="!!!",F879="NEW"),"",INDEX(B8:B$872,-1+SUMPRODUCT(MAX(ROW(E8:E$872)*(E879=E8:E$872)))))</f>
        <v/>
      </c>
      <c r="J879" s="24" t="str">
        <f aca="true">IF(OR(E879="",E879="!!!",F879="NEW"),"",COUNTBLANK(OFFSET(A$1,,,SUMPRODUCT(MAX(ROW(E$2:E879)*(E879=E$2:E879)))))-COUNTBLANK(OFFSET(A$1,,,SUMPRODUCT(MAX(ROW(E$1:E878)*(E2=E$1:E878))))))</f>
        <v/>
      </c>
      <c r="K879" s="24" t="str">
        <f aca="false">IF(OR(E879="",E879="!!!",F879="NEW"),"",INDEX(J$1:J878,SUMPRODUCT(MAX(ROW(E$1:E878)*(E879=E$1:E878)))))</f>
        <v/>
      </c>
      <c r="L879" s="21"/>
    </row>
    <row r="880" customFormat="false" ht="15" hidden="false" customHeight="false" outlineLevel="0" collapsed="false">
      <c r="A880" s="20" t="s">
        <v>1109</v>
      </c>
      <c r="E880" s="23"/>
      <c r="F880" s="25"/>
      <c r="G880" s="26"/>
      <c r="H880" s="27"/>
      <c r="I880" s="24" t="str">
        <f aca="false">IF(OR(E880="",E880="!!!",F880="NEW"),"",INDEX(B9:B$872,-1+SUMPRODUCT(MAX(ROW(E9:E$872)*(E880=E9:E$872)))))</f>
        <v/>
      </c>
      <c r="J880" s="24" t="str">
        <f aca="true">IF(OR(E880="",E880="!!!",F880="NEW"),"",COUNTBLANK(OFFSET(A$1,,,SUMPRODUCT(MAX(ROW(E$2:E880)*(E880=E$2:E880)))))-COUNTBLANK(OFFSET(A$1,,,SUMPRODUCT(MAX(ROW(E$1:E879)*(E2=E$1:E879))))))</f>
        <v/>
      </c>
      <c r="K880" s="24" t="str">
        <f aca="false">IF(OR(E880="",E880="!!!",F880="NEW"),"",INDEX(J$1:J879,SUMPRODUCT(MAX(ROW(E$1:E879)*(E880=E$1:E879)))))</f>
        <v/>
      </c>
      <c r="L880" s="21"/>
    </row>
    <row r="881" customFormat="false" ht="15" hidden="false" customHeight="false" outlineLevel="0" collapsed="false">
      <c r="A881" s="20" t="s">
        <v>1502</v>
      </c>
      <c r="B881" s="22" t="s">
        <v>1086</v>
      </c>
      <c r="C881" s="22" t="s">
        <v>1150</v>
      </c>
      <c r="D881" s="22" t="s">
        <v>1060</v>
      </c>
      <c r="E881" s="23" t="s">
        <v>1482</v>
      </c>
      <c r="F881" s="23" t="s">
        <v>1083</v>
      </c>
      <c r="G881" s="23" t="s">
        <v>1084</v>
      </c>
      <c r="H881" s="23"/>
      <c r="I881" s="24" t="str">
        <f aca="false">IF(OR(E881="",E881="!!!",F881="NEW"),"",INDEX(B10:B$872,-1+SUMPRODUCT(MAX(ROW(E10:E$872)*(E881=E10:E$872)))))</f>
        <v>other_2</v>
      </c>
      <c r="J881" s="24" t="n">
        <f aca="true">IF(OR(E881="",E881="!!!",F881="NEW"),"",COUNTBLANK(OFFSET(A$1,,,SUMPRODUCT(MAX(ROW(E$2:E881)*(E881=E$2:E881)))))-COUNTBLANK(OFFSET(A$1,,,SUMPRODUCT(MAX(ROW(E$1:E880)*(E2=E$1:E880))))))</f>
        <v>0</v>
      </c>
      <c r="K881" s="24" t="n">
        <f aca="false">IF(OR(E881="",E881="!!!",F881="NEW"),"",INDEX(J$1:J880,SUMPRODUCT(MAX(ROW(E$1:E880)*(E881=E$1:E880)))))</f>
        <v>0</v>
      </c>
      <c r="L881" s="21"/>
    </row>
    <row r="882" customFormat="false" ht="15" hidden="false" customHeight="false" outlineLevel="0" collapsed="false">
      <c r="A882" s="20" t="s">
        <v>1503</v>
      </c>
      <c r="E882" s="23"/>
      <c r="F882" s="25"/>
      <c r="G882" s="26"/>
      <c r="H882" s="27"/>
      <c r="I882" s="24" t="str">
        <f aca="false">IF(OR(E882="",E882="!!!",F882="NEW"),"",INDEX(B11:B$872,-1+SUMPRODUCT(MAX(ROW(E11:E$872)*(E882=E11:E$872)))))</f>
        <v/>
      </c>
      <c r="J882" s="24" t="str">
        <f aca="true">IF(OR(E882="",E882="!!!",F882="NEW"),"",COUNTBLANK(OFFSET(A$1,,,SUMPRODUCT(MAX(ROW(E$2:E882)*(E882=E$2:E882)))))-COUNTBLANK(OFFSET(A$1,,,SUMPRODUCT(MAX(ROW(E$1:E881)*(E2=E$1:E881))))))</f>
        <v/>
      </c>
      <c r="K882" s="24" t="str">
        <f aca="false">IF(OR(E882="",E882="!!!",F882="NEW"),"",INDEX(J$1:J881,SUMPRODUCT(MAX(ROW(E$1:E881)*(E882=E$1:E881)))))</f>
        <v/>
      </c>
      <c r="L882" s="21"/>
    </row>
    <row r="883" customFormat="false" ht="15" hidden="false" customHeight="false" outlineLevel="0" collapsed="false">
      <c r="A883" s="20" t="s">
        <v>1504</v>
      </c>
      <c r="B883" s="22" t="s">
        <v>1142</v>
      </c>
      <c r="C883" s="22" t="s">
        <v>1160</v>
      </c>
      <c r="E883" s="23"/>
      <c r="F883" s="25"/>
      <c r="G883" s="26"/>
      <c r="H883" s="27"/>
      <c r="I883" s="24" t="str">
        <f aca="false">IF(OR(E883="",E883="!!!",F883="NEW"),"",INDEX(B12:B$872,-1+SUMPRODUCT(MAX(ROW(E12:E$872)*(E883=E12:E$872)))))</f>
        <v/>
      </c>
      <c r="J883" s="24" t="str">
        <f aca="true">IF(OR(E883="",E883="!!!",F883="NEW"),"",COUNTBLANK(OFFSET(A$1,,,SUMPRODUCT(MAX(ROW(E$2:E883)*(E883=E$2:E883)))))-COUNTBLANK(OFFSET(A$1,,,SUMPRODUCT(MAX(ROW(E$1:E882)*(E2=E$1:E882))))))</f>
        <v/>
      </c>
      <c r="K883" s="24" t="str">
        <f aca="false">IF(OR(E883="",E883="!!!",F883="NEW"),"",INDEX(J$1:J882,SUMPRODUCT(MAX(ROW(E$1:E882)*(E883=E$1:E882)))))</f>
        <v/>
      </c>
      <c r="L883" s="21"/>
    </row>
    <row r="884" customFormat="false" ht="15" hidden="false" customHeight="false" outlineLevel="0" collapsed="false">
      <c r="A884" s="20" t="s">
        <v>1128</v>
      </c>
      <c r="E884" s="23"/>
      <c r="F884" s="25"/>
      <c r="G884" s="26"/>
      <c r="H884" s="27"/>
      <c r="I884" s="24" t="str">
        <f aca="false">IF(OR(E884="",E884="!!!",F884="NEW"),"",INDEX(B13:B$872,-1+SUMPRODUCT(MAX(ROW(E13:E$872)*(E884=E13:E$872)))))</f>
        <v/>
      </c>
      <c r="J884" s="24" t="str">
        <f aca="true">IF(OR(E884="",E884="!!!",F884="NEW"),"",COUNTBLANK(OFFSET(A$1,,,SUMPRODUCT(MAX(ROW(E$2:E884)*(E884=E$2:E884)))))-COUNTBLANK(OFFSET(A$1,,,SUMPRODUCT(MAX(ROW(E$1:E883)*(E2=E$1:E883))))))</f>
        <v/>
      </c>
      <c r="K884" s="24" t="str">
        <f aca="false">IF(OR(E884="",E884="!!!",F884="NEW"),"",INDEX(J$1:J883,SUMPRODUCT(MAX(ROW(E$1:E883)*(E884=E$1:E883)))))</f>
        <v/>
      </c>
      <c r="L884" s="21"/>
    </row>
    <row r="885" customFormat="false" ht="15" hidden="false" customHeight="false" outlineLevel="0" collapsed="false">
      <c r="A885" s="20" t="s">
        <v>1505</v>
      </c>
      <c r="B885" s="22" t="s">
        <v>1067</v>
      </c>
      <c r="C885" s="22" t="s">
        <v>1160</v>
      </c>
      <c r="E885" s="23"/>
      <c r="F885" s="25"/>
      <c r="G885" s="26"/>
      <c r="H885" s="27"/>
      <c r="I885" s="24" t="str">
        <f aca="false">IF(OR(E885="",E885="!!!",F885="NEW"),"",INDEX(B14:B$872,-1+SUMPRODUCT(MAX(ROW(E14:E$872)*(E885=E14:E$872)))))</f>
        <v/>
      </c>
      <c r="J885" s="24" t="str">
        <f aca="true">IF(OR(E885="",E885="!!!",F885="NEW"),"",COUNTBLANK(OFFSET(A$1,,,SUMPRODUCT(MAX(ROW(E$2:E885)*(E885=E$2:E885)))))-COUNTBLANK(OFFSET(A$1,,,SUMPRODUCT(MAX(ROW(E$1:E884)*(E2=E$1:E884))))))</f>
        <v/>
      </c>
      <c r="K885" s="24" t="str">
        <f aca="false">IF(OR(E885="",E885="!!!",F885="NEW"),"",INDEX(J$1:J884,SUMPRODUCT(MAX(ROW(E$1:E884)*(E885=E$1:E884)))))</f>
        <v/>
      </c>
      <c r="L885" s="21"/>
    </row>
    <row r="886" customFormat="false" ht="15" hidden="false" customHeight="false" outlineLevel="0" collapsed="false">
      <c r="A886" s="20" t="s">
        <v>923</v>
      </c>
      <c r="E886" s="23"/>
      <c r="F886" s="25"/>
      <c r="G886" s="26"/>
      <c r="H886" s="27"/>
      <c r="I886" s="24" t="str">
        <f aca="false">IF(OR(E886="",E886="!!!",F886="NEW"),"",INDEX(B15:B$872,-1+SUMPRODUCT(MAX(ROW(E15:E$872)*(E886=E15:E$872)))))</f>
        <v/>
      </c>
      <c r="J886" s="24" t="str">
        <f aca="true">IF(OR(E886="",E886="!!!",F886="NEW"),"",COUNTBLANK(OFFSET(A$1,,,SUMPRODUCT(MAX(ROW(E$2:E886)*(E886=E$2:E886)))))-COUNTBLANK(OFFSET(A$1,,,SUMPRODUCT(MAX(ROW(E$1:E885)*(E2=E$1:E885))))))</f>
        <v/>
      </c>
      <c r="K886" s="24" t="str">
        <f aca="false">IF(OR(E886="",E886="!!!",F886="NEW"),"",INDEX(J$1:J885,SUMPRODUCT(MAX(ROW(E$1:E885)*(E886=E$1:E885)))))</f>
        <v/>
      </c>
      <c r="L886" s="21"/>
    </row>
    <row r="887" customFormat="false" ht="15" hidden="false" customHeight="false" outlineLevel="0" collapsed="false">
      <c r="A887" s="20"/>
      <c r="L887" s="21"/>
    </row>
    <row r="888" customFormat="false" ht="15" hidden="false" customHeight="false" outlineLevel="0" collapsed="false">
      <c r="A888" s="20" t="s">
        <v>1506</v>
      </c>
      <c r="L888" s="21"/>
    </row>
    <row r="889" customFormat="false" ht="15" hidden="false" customHeight="false" outlineLevel="0" collapsed="false">
      <c r="A889" s="20" t="s">
        <v>1507</v>
      </c>
      <c r="E889" s="23"/>
      <c r="F889" s="25"/>
      <c r="G889" s="26"/>
      <c r="H889" s="27"/>
      <c r="I889" s="24" t="str">
        <f aca="false">IF(OR(E889="",E889="!!!",F889="NEW"),"",INDEX(B2:B$888,-1+SUMPRODUCT(MAX(ROW(E2:E$888)*(E889=E2:E$888)))))</f>
        <v/>
      </c>
      <c r="J889" s="24" t="str">
        <f aca="true">IF(OR(E889="",E889="!!!",F889="NEW"),"",COUNTBLANK(OFFSET(A$1,,,SUMPRODUCT(MAX(ROW(E$2:E889)*(E889=E$2:E889)))))-COUNTBLANK(OFFSET(A$1,,,SUMPRODUCT(MAX(ROW(E$1:E888)*(E2=E$1:E888))))))</f>
        <v/>
      </c>
      <c r="K889" s="24" t="str">
        <f aca="false">IF(OR(E889="",E889="!!!",F889="NEW"),"",INDEX(J$1:J888,SUMPRODUCT(MAX(ROW(E$1:E888)*(E889=E$1:E888)))))</f>
        <v/>
      </c>
      <c r="L889" s="21"/>
    </row>
    <row r="890" customFormat="false" ht="15" hidden="false" customHeight="false" outlineLevel="0" collapsed="false">
      <c r="A890" s="20" t="s">
        <v>1109</v>
      </c>
      <c r="E890" s="23"/>
      <c r="F890" s="25"/>
      <c r="G890" s="26"/>
      <c r="H890" s="27"/>
      <c r="I890" s="24" t="str">
        <f aca="false">IF(OR(E890="",E890="!!!",F890="NEW"),"",INDEX(B3:B$888,-1+SUMPRODUCT(MAX(ROW(E3:E$888)*(E890=E3:E$888)))))</f>
        <v/>
      </c>
      <c r="J890" s="24" t="str">
        <f aca="true">IF(OR(E890="",E890="!!!",F890="NEW"),"",COUNTBLANK(OFFSET(A$1,,,SUMPRODUCT(MAX(ROW(E$2:E890)*(E890=E$2:E890)))))-COUNTBLANK(OFFSET(A$1,,,SUMPRODUCT(MAX(ROW(E$1:E889)*(E2=E$1:E889))))))</f>
        <v/>
      </c>
      <c r="K890" s="24" t="str">
        <f aca="false">IF(OR(E890="",E890="!!!",F890="NEW"),"",INDEX(J$1:J889,SUMPRODUCT(MAX(ROW(E$1:E889)*(E890=E$1:E889)))))</f>
        <v/>
      </c>
      <c r="L890" s="21"/>
    </row>
    <row r="891" customFormat="false" ht="15" hidden="false" customHeight="false" outlineLevel="0" collapsed="false">
      <c r="A891" s="20" t="s">
        <v>1508</v>
      </c>
      <c r="B891" s="22" t="s">
        <v>1058</v>
      </c>
      <c r="C891" s="22" t="s">
        <v>1059</v>
      </c>
      <c r="D891" s="22" t="s">
        <v>1060</v>
      </c>
      <c r="E891" s="23" t="s">
        <v>1508</v>
      </c>
      <c r="F891" s="23" t="s">
        <v>1062</v>
      </c>
      <c r="G891" s="23" t="s">
        <v>1063</v>
      </c>
      <c r="H891" s="23"/>
      <c r="I891" s="24" t="str">
        <f aca="false">IF(OR(E891="",E891="!!!",F891="NEW"),"",INDEX(B4:B$888,-1+SUMPRODUCT(MAX(ROW(E4:E$888)*(E891=E4:E$888)))))</f>
        <v/>
      </c>
      <c r="J891" s="24" t="str">
        <f aca="true">IF(OR(E891="",E891="!!!",F891="NEW"),"",COUNTBLANK(OFFSET(A$1,,,SUMPRODUCT(MAX(ROW(E$2:E891)*(E891=E$2:E891)))))-COUNTBLANK(OFFSET(A$1,,,SUMPRODUCT(MAX(ROW(E$1:E890)*(E2=E$1:E890))))))</f>
        <v/>
      </c>
      <c r="K891" s="24" t="str">
        <f aca="false">IF(OR(E891="",E891="!!!",F891="NEW"),"",INDEX(J$1:J890,SUMPRODUCT(MAX(ROW(E$1:E890)*(E891=E$1:E890)))))</f>
        <v/>
      </c>
      <c r="L891" s="21"/>
    </row>
    <row r="892" customFormat="false" ht="15" hidden="false" customHeight="false" outlineLevel="0" collapsed="false">
      <c r="A892" s="20" t="s">
        <v>1064</v>
      </c>
      <c r="E892" s="23"/>
      <c r="F892" s="25"/>
      <c r="G892" s="26"/>
      <c r="H892" s="27"/>
      <c r="I892" s="24" t="str">
        <f aca="false">IF(OR(E892="",E892="!!!",F892="NEW"),"",INDEX(B5:B$888,-1+SUMPRODUCT(MAX(ROW(E5:E$888)*(E892=E5:E$888)))))</f>
        <v/>
      </c>
      <c r="J892" s="24" t="str">
        <f aca="true">IF(OR(E892="",E892="!!!",F892="NEW"),"",COUNTBLANK(OFFSET(A$1,,,SUMPRODUCT(MAX(ROW(E$2:E892)*(E892=E$2:E892)))))-COUNTBLANK(OFFSET(A$1,,,SUMPRODUCT(MAX(ROW(E$1:E891)*(E2=E$1:E891))))))</f>
        <v/>
      </c>
      <c r="K892" s="24" t="str">
        <f aca="false">IF(OR(E892="",E892="!!!",F892="NEW"),"",INDEX(J$1:J891,SUMPRODUCT(MAX(ROW(E$1:E891)*(E892=E$1:E891)))))</f>
        <v/>
      </c>
      <c r="L892" s="21"/>
    </row>
    <row r="893" customFormat="false" ht="15" hidden="false" customHeight="false" outlineLevel="0" collapsed="false">
      <c r="A893" s="20" t="s">
        <v>1089</v>
      </c>
      <c r="E893" s="23"/>
      <c r="F893" s="25"/>
      <c r="G893" s="26"/>
      <c r="H893" s="27"/>
      <c r="I893" s="24" t="str">
        <f aca="false">IF(OR(E893="",E893="!!!",F893="NEW"),"",INDEX(B6:B$888,-1+SUMPRODUCT(MAX(ROW(E6:E$888)*(E893=E6:E$888)))))</f>
        <v/>
      </c>
      <c r="J893" s="24" t="str">
        <f aca="true">IF(OR(E893="",E893="!!!",F893="NEW"),"",COUNTBLANK(OFFSET(A$1,,,SUMPRODUCT(MAX(ROW(E$2:E893)*(E893=E$2:E893)))))-COUNTBLANK(OFFSET(A$1,,,SUMPRODUCT(MAX(ROW(E$1:E892)*(E2=E$1:E892))))))</f>
        <v/>
      </c>
      <c r="K893" s="24" t="str">
        <f aca="false">IF(OR(E893="",E893="!!!",F893="NEW"),"",INDEX(J$1:J892,SUMPRODUCT(MAX(ROW(E$1:E892)*(E893=E$1:E892)))))</f>
        <v/>
      </c>
      <c r="L893" s="21"/>
    </row>
    <row r="894" customFormat="false" ht="15" hidden="false" customHeight="false" outlineLevel="0" collapsed="false">
      <c r="A894" s="20" t="s">
        <v>1509</v>
      </c>
      <c r="E894" s="23"/>
      <c r="F894" s="25"/>
      <c r="G894" s="26"/>
      <c r="H894" s="27"/>
      <c r="I894" s="24" t="str">
        <f aca="false">IF(OR(E894="",E894="!!!",F894="NEW"),"",INDEX(B7:B$888,-1+SUMPRODUCT(MAX(ROW(E7:E$888)*(E894=E7:E$888)))))</f>
        <v/>
      </c>
      <c r="J894" s="24" t="str">
        <f aca="true">IF(OR(E894="",E894="!!!",F894="NEW"),"",COUNTBLANK(OFFSET(A$1,,,SUMPRODUCT(MAX(ROW(E$2:E894)*(E894=E$2:E894)))))-COUNTBLANK(OFFSET(A$1,,,SUMPRODUCT(MAX(ROW(E$1:E893)*(E2=E$1:E893))))))</f>
        <v/>
      </c>
      <c r="K894" s="24" t="str">
        <f aca="false">IF(OR(E894="",E894="!!!",F894="NEW"),"",INDEX(J$1:J893,SUMPRODUCT(MAX(ROW(E$1:E893)*(E894=E$1:E893)))))</f>
        <v/>
      </c>
      <c r="L894" s="21"/>
    </row>
    <row r="895" customFormat="false" ht="15" hidden="false" customHeight="false" outlineLevel="0" collapsed="false">
      <c r="A895" s="20" t="s">
        <v>1297</v>
      </c>
      <c r="B895" s="22" t="s">
        <v>1073</v>
      </c>
      <c r="C895" s="22" t="s">
        <v>1171</v>
      </c>
      <c r="D895" s="22" t="s">
        <v>1060</v>
      </c>
      <c r="E895" s="23"/>
      <c r="F895" s="23"/>
      <c r="G895" s="23"/>
      <c r="H895" s="23"/>
      <c r="I895" s="24" t="str">
        <f aca="false">IF(OR(E895="",E895="!!!",F895="NEW"),"",INDEX(B8:B$888,-1+SUMPRODUCT(MAX(ROW(E8:E$888)*(E895=E8:E$888)))))</f>
        <v/>
      </c>
      <c r="J895" s="24" t="str">
        <f aca="true">IF(OR(E895="",E895="!!!",F895="NEW"),"",COUNTBLANK(OFFSET(A$1,,,SUMPRODUCT(MAX(ROW(E$2:E895)*(E895=E$2:E895)))))-COUNTBLANK(OFFSET(A$1,,,SUMPRODUCT(MAX(ROW(E$1:E894)*(E2=E$1:E894))))))</f>
        <v/>
      </c>
      <c r="K895" s="24" t="str">
        <f aca="false">IF(OR(E895="",E895="!!!",F895="NEW"),"",INDEX(J$1:J894,SUMPRODUCT(MAX(ROW(E$1:E894)*(E895=E$1:E894)))))</f>
        <v/>
      </c>
      <c r="L895" s="21"/>
    </row>
    <row r="896" customFormat="false" ht="15" hidden="false" customHeight="false" outlineLevel="0" collapsed="false">
      <c r="A896" s="20" t="s">
        <v>1510</v>
      </c>
      <c r="E896" s="23"/>
      <c r="F896" s="25"/>
      <c r="G896" s="26"/>
      <c r="H896" s="27"/>
      <c r="I896" s="24" t="str">
        <f aca="false">IF(OR(E896="",E896="!!!",F896="NEW"),"",INDEX(B9:B$888,-1+SUMPRODUCT(MAX(ROW(E9:E$888)*(E896=E9:E$888)))))</f>
        <v/>
      </c>
      <c r="J896" s="24" t="str">
        <f aca="true">IF(OR(E896="",E896="!!!",F896="NEW"),"",COUNTBLANK(OFFSET(A$1,,,SUMPRODUCT(MAX(ROW(E$2:E896)*(E896=E$2:E896)))))-COUNTBLANK(OFFSET(A$1,,,SUMPRODUCT(MAX(ROW(E$1:E895)*(E2=E$1:E895))))))</f>
        <v/>
      </c>
      <c r="K896" s="24" t="str">
        <f aca="false">IF(OR(E896="",E896="!!!",F896="NEW"),"",INDEX(J$1:J895,SUMPRODUCT(MAX(ROW(E$1:E895)*(E896=E$1:E895)))))</f>
        <v/>
      </c>
      <c r="L896" s="21"/>
    </row>
    <row r="897" customFormat="false" ht="15" hidden="false" customHeight="false" outlineLevel="0" collapsed="false">
      <c r="A897" s="20" t="s">
        <v>1109</v>
      </c>
      <c r="E897" s="23"/>
      <c r="F897" s="25"/>
      <c r="G897" s="26"/>
      <c r="H897" s="27"/>
      <c r="I897" s="24" t="str">
        <f aca="false">IF(OR(E897="",E897="!!!",F897="NEW"),"",INDEX(B10:B$888,-1+SUMPRODUCT(MAX(ROW(E10:E$888)*(E897=E10:E$888)))))</f>
        <v/>
      </c>
      <c r="J897" s="24" t="str">
        <f aca="true">IF(OR(E897="",E897="!!!",F897="NEW"),"",COUNTBLANK(OFFSET(A$1,,,SUMPRODUCT(MAX(ROW(E$2:E897)*(E897=E$2:E897)))))-COUNTBLANK(OFFSET(A$1,,,SUMPRODUCT(MAX(ROW(E$1:E896)*(E2=E$1:E896))))))</f>
        <v/>
      </c>
      <c r="K897" s="24" t="str">
        <f aca="false">IF(OR(E897="",E897="!!!",F897="NEW"),"",INDEX(J$1:J896,SUMPRODUCT(MAX(ROW(E$1:E896)*(E897=E$1:E896)))))</f>
        <v/>
      </c>
      <c r="L897" s="21"/>
    </row>
    <row r="898" customFormat="false" ht="15" hidden="false" customHeight="false" outlineLevel="0" collapsed="false">
      <c r="A898" s="20" t="s">
        <v>1511</v>
      </c>
      <c r="E898" s="23"/>
      <c r="F898" s="25"/>
      <c r="G898" s="26"/>
      <c r="H898" s="27"/>
      <c r="I898" s="24" t="str">
        <f aca="false">IF(OR(E898="",E898="!!!",F898="NEW"),"",INDEX(B11:B$888,-1+SUMPRODUCT(MAX(ROW(E11:E$888)*(E898=E11:E$888)))))</f>
        <v/>
      </c>
      <c r="J898" s="24" t="str">
        <f aca="true">IF(OR(E898="",E898="!!!",F898="NEW"),"",COUNTBLANK(OFFSET(A$1,,,SUMPRODUCT(MAX(ROW(E$2:E898)*(E898=E$2:E898)))))-COUNTBLANK(OFFSET(A$1,,,SUMPRODUCT(MAX(ROW(E$1:E897)*(E2=E$1:E897))))))</f>
        <v/>
      </c>
      <c r="K898" s="24" t="str">
        <f aca="false">IF(OR(E898="",E898="!!!",F898="NEW"),"",INDEX(J$1:J897,SUMPRODUCT(MAX(ROW(E$1:E897)*(E898=E$1:E897)))))</f>
        <v/>
      </c>
      <c r="L898" s="21"/>
    </row>
    <row r="899" customFormat="false" ht="15" hidden="false" customHeight="false" outlineLevel="0" collapsed="false">
      <c r="A899" s="20" t="s">
        <v>16</v>
      </c>
      <c r="E899" s="23"/>
      <c r="F899" s="25"/>
      <c r="G899" s="26"/>
      <c r="H899" s="27"/>
      <c r="I899" s="24" t="str">
        <f aca="false">IF(OR(E899="",E899="!!!",F899="NEW"),"",INDEX(B12:B$888,-1+SUMPRODUCT(MAX(ROW(E12:E$888)*(E899=E12:E$888)))))</f>
        <v/>
      </c>
      <c r="J899" s="24" t="str">
        <f aca="true">IF(OR(E899="",E899="!!!",F899="NEW"),"",COUNTBLANK(OFFSET(A$1,,,SUMPRODUCT(MAX(ROW(E$2:E899)*(E899=E$2:E899)))))-COUNTBLANK(OFFSET(A$1,,,SUMPRODUCT(MAX(ROW(E$1:E898)*(E2=E$1:E898))))))</f>
        <v/>
      </c>
      <c r="K899" s="24" t="str">
        <f aca="false">IF(OR(E899="",E899="!!!",F899="NEW"),"",INDEX(J$1:J898,SUMPRODUCT(MAX(ROW(E$1:E898)*(E899=E$1:E898)))))</f>
        <v/>
      </c>
      <c r="L899" s="21"/>
    </row>
    <row r="900" customFormat="false" ht="15" hidden="false" customHeight="false" outlineLevel="0" collapsed="false">
      <c r="A900" s="20" t="s">
        <v>1512</v>
      </c>
      <c r="E900" s="23"/>
      <c r="F900" s="25"/>
      <c r="G900" s="26"/>
      <c r="H900" s="27"/>
      <c r="I900" s="24" t="str">
        <f aca="false">IF(OR(E900="",E900="!!!",F900="NEW"),"",INDEX(B13:B$888,-1+SUMPRODUCT(MAX(ROW(E13:E$888)*(E900=E13:E$888)))))</f>
        <v/>
      </c>
      <c r="J900" s="24" t="str">
        <f aca="true">IF(OR(E900="",E900="!!!",F900="NEW"),"",COUNTBLANK(OFFSET(A$1,,,SUMPRODUCT(MAX(ROW(E$2:E900)*(E900=E$2:E900)))))-COUNTBLANK(OFFSET(A$1,,,SUMPRODUCT(MAX(ROW(E$1:E899)*(E2=E$1:E899))))))</f>
        <v/>
      </c>
      <c r="K900" s="24" t="str">
        <f aca="false">IF(OR(E900="",E900="!!!",F900="NEW"),"",INDEX(J$1:J899,SUMPRODUCT(MAX(ROW(E$1:E899)*(E900=E$1:E899)))))</f>
        <v/>
      </c>
      <c r="L900" s="21"/>
    </row>
    <row r="901" customFormat="false" ht="15" hidden="false" customHeight="false" outlineLevel="0" collapsed="false">
      <c r="A901" s="20" t="s">
        <v>1223</v>
      </c>
      <c r="B901" s="22" t="s">
        <v>1073</v>
      </c>
      <c r="C901" s="22" t="s">
        <v>1150</v>
      </c>
      <c r="D901" s="22" t="s">
        <v>1060</v>
      </c>
      <c r="E901" s="23" t="s">
        <v>547</v>
      </c>
      <c r="F901" s="23" t="s">
        <v>1083</v>
      </c>
      <c r="G901" s="23" t="s">
        <v>1070</v>
      </c>
      <c r="H901" s="23"/>
      <c r="I901" s="24" t="str">
        <f aca="false">IF(OR(E901="",E901="!!!",F901="NEW"),"",INDEX(B14:B$888,-1+SUMPRODUCT(MAX(ROW(E14:E$888)*(E901=E14:E$888)))))</f>
        <v>other_2</v>
      </c>
      <c r="J901" s="24" t="n">
        <f aca="true">IF(OR(E901="",E901="!!!",F901="NEW"),"",COUNTBLANK(OFFSET(A$1,,,SUMPRODUCT(MAX(ROW(E$2:E901)*(E901=E$2:E901)))))-COUNTBLANK(OFFSET(A$1,,,SUMPRODUCT(MAX(ROW(E$1:E900)*(E2=E$1:E900))))))</f>
        <v>0</v>
      </c>
      <c r="K901" s="24" t="n">
        <f aca="false">IF(OR(E901="",E901="!!!",F901="NEW"),"",INDEX(J$1:J900,SUMPRODUCT(MAX(ROW(E$1:E900)*(E901=E$1:E900)))))</f>
        <v>0</v>
      </c>
      <c r="L901" s="21"/>
    </row>
    <row r="902" customFormat="false" ht="15" hidden="false" customHeight="false" outlineLevel="0" collapsed="false">
      <c r="A902" s="20" t="s">
        <v>1092</v>
      </c>
      <c r="E902" s="23"/>
      <c r="F902" s="25"/>
      <c r="G902" s="26"/>
      <c r="H902" s="27"/>
      <c r="I902" s="24" t="str">
        <f aca="false">IF(OR(E902="",E902="!!!",F902="NEW"),"",INDEX(B15:B$888,-1+SUMPRODUCT(MAX(ROW(E15:E$888)*(E902=E15:E$888)))))</f>
        <v/>
      </c>
      <c r="J902" s="24" t="str">
        <f aca="true">IF(OR(E902="",E902="!!!",F902="NEW"),"",COUNTBLANK(OFFSET(A$1,,,SUMPRODUCT(MAX(ROW(E$2:E902)*(E902=E$2:E902)))))-COUNTBLANK(OFFSET(A$1,,,SUMPRODUCT(MAX(ROW(E$1:E901)*(E2=E$1:E901))))))</f>
        <v/>
      </c>
      <c r="K902" s="24" t="str">
        <f aca="false">IF(OR(E902="",E902="!!!",F902="NEW"),"",INDEX(J$1:J901,SUMPRODUCT(MAX(ROW(E$1:E901)*(E902=E$1:E901)))))</f>
        <v/>
      </c>
      <c r="L902" s="21"/>
    </row>
    <row r="903" customFormat="false" ht="15" hidden="false" customHeight="false" outlineLevel="0" collapsed="false">
      <c r="A903" s="20" t="s">
        <v>1513</v>
      </c>
      <c r="E903" s="23"/>
      <c r="F903" s="25"/>
      <c r="G903" s="26"/>
      <c r="H903" s="27"/>
      <c r="I903" s="24" t="str">
        <f aca="false">IF(OR(E903="",E903="!!!",F903="NEW"),"",INDEX(B16:B$888,-1+SUMPRODUCT(MAX(ROW(E16:E$888)*(E903=E16:E$888)))))</f>
        <v/>
      </c>
      <c r="J903" s="24" t="str">
        <f aca="true">IF(OR(E903="",E903="!!!",F903="NEW"),"",COUNTBLANK(OFFSET(A$1,,,SUMPRODUCT(MAX(ROW(E$2:E903)*(E903=E$2:E903)))))-COUNTBLANK(OFFSET(A$1,,,SUMPRODUCT(MAX(ROW(E$1:E902)*(E2=E$1:E902))))))</f>
        <v/>
      </c>
      <c r="K903" s="24" t="str">
        <f aca="false">IF(OR(E903="",E903="!!!",F903="NEW"),"",INDEX(J$1:J902,SUMPRODUCT(MAX(ROW(E$1:E902)*(E903=E$1:E902)))))</f>
        <v/>
      </c>
      <c r="L903" s="21"/>
    </row>
    <row r="904" customFormat="false" ht="15" hidden="false" customHeight="false" outlineLevel="0" collapsed="false">
      <c r="A904" s="20" t="s">
        <v>1514</v>
      </c>
      <c r="E904" s="23"/>
      <c r="F904" s="25"/>
      <c r="G904" s="26"/>
      <c r="H904" s="27"/>
      <c r="I904" s="24" t="str">
        <f aca="false">IF(OR(E904="",E904="!!!",F904="NEW"),"",INDEX(B17:B$888,-1+SUMPRODUCT(MAX(ROW(E17:E$888)*(E904=E17:E$888)))))</f>
        <v/>
      </c>
      <c r="J904" s="24" t="str">
        <f aca="true">IF(OR(E904="",E904="!!!",F904="NEW"),"",COUNTBLANK(OFFSET(A$1,,,SUMPRODUCT(MAX(ROW(E$2:E904)*(E904=E$2:E904)))))-COUNTBLANK(OFFSET(A$1,,,SUMPRODUCT(MAX(ROW(E$1:E903)*(E2=E$1:E903))))))</f>
        <v/>
      </c>
      <c r="K904" s="24" t="str">
        <f aca="false">IF(OR(E904="",E904="!!!",F904="NEW"),"",INDEX(J$1:J903,SUMPRODUCT(MAX(ROW(E$1:E903)*(E904=E$1:E903)))))</f>
        <v/>
      </c>
      <c r="L904" s="21"/>
    </row>
    <row r="905" customFormat="false" ht="15" hidden="false" customHeight="false" outlineLevel="0" collapsed="false">
      <c r="A905" s="20" t="s">
        <v>1218</v>
      </c>
      <c r="E905" s="23"/>
      <c r="F905" s="25"/>
      <c r="G905" s="26"/>
      <c r="H905" s="27"/>
      <c r="I905" s="24" t="str">
        <f aca="false">IF(OR(E905="",E905="!!!",F905="NEW"),"",INDEX(B18:B$888,-1+SUMPRODUCT(MAX(ROW(E18:E$888)*(E905=E18:E$888)))))</f>
        <v/>
      </c>
      <c r="J905" s="24" t="str">
        <f aca="true">IF(OR(E905="",E905="!!!",F905="NEW"),"",COUNTBLANK(OFFSET(A$1,,,SUMPRODUCT(MAX(ROW(E$2:E905)*(E905=E$2:E905)))))-COUNTBLANK(OFFSET(A$1,,,SUMPRODUCT(MAX(ROW(E$1:E904)*(E2=E$1:E904))))))</f>
        <v/>
      </c>
      <c r="K905" s="24" t="str">
        <f aca="false">IF(OR(E905="",E905="!!!",F905="NEW"),"",INDEX(J$1:J904,SUMPRODUCT(MAX(ROW(E$1:E904)*(E905=E$1:E904)))))</f>
        <v/>
      </c>
      <c r="L905" s="21"/>
    </row>
    <row r="906" customFormat="false" ht="15" hidden="false" customHeight="false" outlineLevel="0" collapsed="false">
      <c r="A906" s="20" t="s">
        <v>1097</v>
      </c>
      <c r="B906" s="22" t="s">
        <v>1073</v>
      </c>
      <c r="C906" s="22" t="s">
        <v>1099</v>
      </c>
      <c r="D906" s="22" t="s">
        <v>1060</v>
      </c>
      <c r="E906" s="23" t="s">
        <v>1482</v>
      </c>
      <c r="F906" s="23" t="s">
        <v>1083</v>
      </c>
      <c r="G906" s="23" t="s">
        <v>1120</v>
      </c>
      <c r="H906" s="23" t="s">
        <v>1052</v>
      </c>
      <c r="I906" s="28" t="e">
        <f aca="false">IF(OR(E906="",E906="!!!",F906="NEW"),"",INDEX(B19:B$888,-1+SUMPRODUCT(MAX(ROW(E19:E$888)*(E906=E19:E$888)))))</f>
        <v>#REF!</v>
      </c>
      <c r="J906" s="24" t="n">
        <f aca="true">IF(OR(E906="",E906="!!!",F906="NEW"),"",COUNTBLANK(OFFSET(A$1,,,SUMPRODUCT(MAX(ROW(E$2:E906)*(E906=E$2:E906)))))-COUNTBLANK(OFFSET(A$1,,,SUMPRODUCT(MAX(ROW(E$1:E905)*(E2=E$1:E905))))))</f>
        <v>0</v>
      </c>
      <c r="K906" s="24" t="n">
        <f aca="false">IF(OR(E906="",E906="!!!",F906="NEW"),"",INDEX(J$1:J905,SUMPRODUCT(MAX(ROW(E$1:E905)*(E906=E$1:E905)))))</f>
        <v>0</v>
      </c>
      <c r="L906" s="21"/>
    </row>
    <row r="907" customFormat="false" ht="15" hidden="false" customHeight="false" outlineLevel="0" collapsed="false">
      <c r="A907" s="20" t="s">
        <v>1515</v>
      </c>
      <c r="B907" s="22" t="s">
        <v>1105</v>
      </c>
      <c r="C907" s="22" t="s">
        <v>1059</v>
      </c>
      <c r="D907" s="22" t="s">
        <v>1060</v>
      </c>
      <c r="E907" s="23" t="s">
        <v>1516</v>
      </c>
      <c r="F907" s="23" t="s">
        <v>1062</v>
      </c>
      <c r="G907" s="23" t="s">
        <v>1063</v>
      </c>
      <c r="H907" s="23"/>
      <c r="I907" s="24" t="str">
        <f aca="false">IF(OR(E907="",E907="!!!",F907="NEW"),"",INDEX(B20:B$888,-1+SUMPRODUCT(MAX(ROW(E20:E$888)*(E907=E20:E$888)))))</f>
        <v/>
      </c>
      <c r="J907" s="24" t="str">
        <f aca="true">IF(OR(E907="",E907="!!!",F907="NEW"),"",COUNTBLANK(OFFSET(A$1,,,SUMPRODUCT(MAX(ROW(E$2:E907)*(E907=E$2:E907)))))-COUNTBLANK(OFFSET(A$1,,,SUMPRODUCT(MAX(ROW(E$1:E906)*(E2=E$1:E906))))))</f>
        <v/>
      </c>
      <c r="K907" s="24" t="str">
        <f aca="false">IF(OR(E907="",E907="!!!",F907="NEW"),"",INDEX(J$1:J906,SUMPRODUCT(MAX(ROW(E$1:E906)*(E907=E$1:E906)))))</f>
        <v/>
      </c>
      <c r="L907" s="21"/>
    </row>
    <row r="908" customFormat="false" ht="15" hidden="false" customHeight="false" outlineLevel="0" collapsed="false">
      <c r="A908" s="20" t="s">
        <v>923</v>
      </c>
      <c r="E908" s="23"/>
      <c r="F908" s="25"/>
      <c r="G908" s="26"/>
      <c r="H908" s="27"/>
      <c r="I908" s="24" t="str">
        <f aca="false">IF(OR(E908="",E908="!!!",F908="NEW"),"",INDEX(B21:B$888,-1+SUMPRODUCT(MAX(ROW(E21:E$888)*(E908=E21:E$888)))))</f>
        <v/>
      </c>
      <c r="J908" s="24" t="str">
        <f aca="true">IF(OR(E908="",E908="!!!",F908="NEW"),"",COUNTBLANK(OFFSET(A$1,,,SUMPRODUCT(MAX(ROW(E$2:E908)*(E908=E$2:E908)))))-COUNTBLANK(OFFSET(A$1,,,SUMPRODUCT(MAX(ROW(E$1:E907)*(E2=E$1:E907))))))</f>
        <v/>
      </c>
      <c r="K908" s="24" t="str">
        <f aca="false">IF(OR(E908="",E908="!!!",F908="NEW"),"",INDEX(J$1:J907,SUMPRODUCT(MAX(ROW(E$1:E907)*(E908=E$1:E907)))))</f>
        <v/>
      </c>
      <c r="L908" s="21"/>
    </row>
    <row r="909" customFormat="false" ht="15" hidden="false" customHeight="false" outlineLevel="0" collapsed="false">
      <c r="A909" s="20"/>
      <c r="L909" s="21"/>
    </row>
    <row r="910" customFormat="false" ht="15" hidden="false" customHeight="false" outlineLevel="0" collapsed="false">
      <c r="A910" s="20" t="s">
        <v>1517</v>
      </c>
      <c r="L910" s="21"/>
    </row>
    <row r="911" customFormat="false" ht="15" hidden="false" customHeight="false" outlineLevel="0" collapsed="false">
      <c r="A911" s="20" t="s">
        <v>1312</v>
      </c>
      <c r="E911" s="23"/>
      <c r="F911" s="25"/>
      <c r="G911" s="26"/>
      <c r="H911" s="27"/>
      <c r="I911" s="24" t="str">
        <f aca="false">IF(OR(E911="",E911="!!!",F911="NEW"),"",INDEX(B2:B$910,-1+SUMPRODUCT(MAX(ROW(E2:E$910)*(E911=E2:E$910)))))</f>
        <v/>
      </c>
      <c r="J911" s="24" t="str">
        <f aca="true">IF(OR(E911="",E911="!!!",F911="NEW"),"",COUNTBLANK(OFFSET(A$1,,,SUMPRODUCT(MAX(ROW(E$2:E911)*(E911=E$2:E911)))))-COUNTBLANK(OFFSET(A$1,,,SUMPRODUCT(MAX(ROW(E$1:E910)*(E2=E$1:E910))))))</f>
        <v/>
      </c>
      <c r="K911" s="24" t="str">
        <f aca="false">IF(OR(E911="",E911="!!!",F911="NEW"),"",INDEX(J$1:J910,SUMPRODUCT(MAX(ROW(E$1:E910)*(E911=E$1:E910)))))</f>
        <v/>
      </c>
      <c r="L911" s="21"/>
    </row>
    <row r="912" customFormat="false" ht="15" hidden="false" customHeight="false" outlineLevel="0" collapsed="false">
      <c r="A912" s="20" t="s">
        <v>1162</v>
      </c>
      <c r="B912" s="22" t="s">
        <v>1058</v>
      </c>
      <c r="C912" s="22" t="s">
        <v>1082</v>
      </c>
      <c r="D912" s="22" t="s">
        <v>1060</v>
      </c>
      <c r="E912" s="23" t="s">
        <v>1163</v>
      </c>
      <c r="F912" s="23" t="s">
        <v>1083</v>
      </c>
      <c r="G912" s="23" t="s">
        <v>1070</v>
      </c>
      <c r="H912" s="23"/>
      <c r="I912" s="28" t="n">
        <f aca="false">IF(OR(E912="",E912="!!!",F912="NEW"),"",INDEX(B3:B$910,-1+SUMPRODUCT(MAX(ROW(E3:E$910)*(E912=E3:E$910)))))</f>
        <v>0</v>
      </c>
      <c r="J912" s="24" t="n">
        <f aca="true">IF(OR(E912="",E912="!!!",F912="NEW"),"",COUNTBLANK(OFFSET(A$1,,,SUMPRODUCT(MAX(ROW(E$2:E912)*(E912=E$2:E912)))))-COUNTBLANK(OFFSET(A$1,,,SUMPRODUCT(MAX(ROW(E$1:E911)*(E2=E$1:E911))))))</f>
        <v>0</v>
      </c>
      <c r="K912" s="24" t="n">
        <f aca="false">IF(OR(E912="",E912="!!!",F912="NEW"),"",INDEX(J$1:J911,SUMPRODUCT(MAX(ROW(E$1:E911)*(E912=E$1:E911)))))</f>
        <v>0</v>
      </c>
      <c r="L912" s="21"/>
    </row>
    <row r="913" customFormat="false" ht="15" hidden="false" customHeight="false" outlineLevel="0" collapsed="false">
      <c r="A913" s="20" t="s">
        <v>1455</v>
      </c>
      <c r="E913" s="23"/>
      <c r="F913" s="25"/>
      <c r="G913" s="26"/>
      <c r="H913" s="27"/>
      <c r="I913" s="24" t="str">
        <f aca="false">IF(OR(E913="",E913="!!!",F913="NEW"),"",INDEX(B4:B$910,-1+SUMPRODUCT(MAX(ROW(E4:E$910)*(E913=E4:E$910)))))</f>
        <v/>
      </c>
      <c r="J913" s="24" t="str">
        <f aca="true">IF(OR(E913="",E913="!!!",F913="NEW"),"",COUNTBLANK(OFFSET(A$1,,,SUMPRODUCT(MAX(ROW(E$2:E913)*(E913=E$2:E913)))))-COUNTBLANK(OFFSET(A$1,,,SUMPRODUCT(MAX(ROW(E$1:E912)*(E2=E$1:E912))))))</f>
        <v/>
      </c>
      <c r="K913" s="24" t="str">
        <f aca="false">IF(OR(E913="",E913="!!!",F913="NEW"),"",INDEX(J$1:J912,SUMPRODUCT(MAX(ROW(E$1:E912)*(E913=E$1:E912)))))</f>
        <v/>
      </c>
      <c r="L913" s="21"/>
    </row>
    <row r="914" customFormat="false" ht="15" hidden="false" customHeight="false" outlineLevel="0" collapsed="false">
      <c r="A914" s="20" t="s">
        <v>1454</v>
      </c>
      <c r="B914" s="22" t="s">
        <v>1081</v>
      </c>
      <c r="C914" s="22" t="s">
        <v>1082</v>
      </c>
      <c r="D914" s="22" t="s">
        <v>1060</v>
      </c>
      <c r="E914" s="23" t="s">
        <v>1487</v>
      </c>
      <c r="F914" s="23" t="s">
        <v>1083</v>
      </c>
      <c r="G914" s="23" t="s">
        <v>1070</v>
      </c>
      <c r="H914" s="23"/>
      <c r="I914" s="28" t="n">
        <f aca="false">IF(OR(E914="",E914="!!!",F914="NEW"),"",INDEX(B5:B$910,-1+SUMPRODUCT(MAX(ROW(E5:E$910)*(E914=E5:E$910)))))</f>
        <v>0</v>
      </c>
      <c r="J914" s="24" t="n">
        <f aca="true">IF(OR(E914="",E914="!!!",F914="NEW"),"",COUNTBLANK(OFFSET(A$1,,,SUMPRODUCT(MAX(ROW(E$2:E914)*(E914=E$2:E914)))))-COUNTBLANK(OFFSET(A$1,,,SUMPRODUCT(MAX(ROW(E$1:E913)*(E2=E$1:E913))))))</f>
        <v>0</v>
      </c>
      <c r="K914" s="24" t="n">
        <f aca="false">IF(OR(E914="",E914="!!!",F914="NEW"),"",INDEX(J$1:J913,SUMPRODUCT(MAX(ROW(E$1:E913)*(E914=E$1:E913)))))</f>
        <v>0</v>
      </c>
      <c r="L914" s="21"/>
    </row>
    <row r="915" customFormat="false" ht="15" hidden="false" customHeight="false" outlineLevel="0" collapsed="false">
      <c r="A915" s="20" t="s">
        <v>1482</v>
      </c>
      <c r="B915" s="22" t="s">
        <v>1086</v>
      </c>
      <c r="C915" s="22" t="s">
        <v>1068</v>
      </c>
      <c r="D915" s="22" t="s">
        <v>1060</v>
      </c>
      <c r="E915" s="23" t="s">
        <v>1482</v>
      </c>
      <c r="F915" s="23" t="s">
        <v>1083</v>
      </c>
      <c r="G915" s="23" t="s">
        <v>1120</v>
      </c>
      <c r="H915" s="23" t="s">
        <v>1052</v>
      </c>
      <c r="I915" s="28" t="n">
        <f aca="false">IF(OR(E915="",E915="!!!",F915="NEW"),"",INDEX(B6:B$910,-1+SUMPRODUCT(MAX(ROW(E6:E$910)*(E915=E6:E$910)))))</f>
        <v>0</v>
      </c>
      <c r="J915" s="24" t="n">
        <f aca="true">IF(OR(E915="",E915="!!!",F915="NEW"),"",COUNTBLANK(OFFSET(A$1,,,SUMPRODUCT(MAX(ROW(E$2:E915)*(E915=E$2:E915)))))-COUNTBLANK(OFFSET(A$1,,,SUMPRODUCT(MAX(ROW(E$1:E914)*(E2=E$1:E914))))))</f>
        <v>0</v>
      </c>
      <c r="K915" s="24" t="n">
        <f aca="false">IF(OR(E915="",E915="!!!",F915="NEW"),"",INDEX(J$1:J914,SUMPRODUCT(MAX(ROW(E$1:E914)*(E915=E$1:E914)))))</f>
        <v>0</v>
      </c>
      <c r="L915" s="21"/>
    </row>
    <row r="916" customFormat="false" ht="15" hidden="false" customHeight="false" outlineLevel="0" collapsed="false">
      <c r="A916" s="20" t="s">
        <v>1518</v>
      </c>
      <c r="E916" s="23"/>
      <c r="F916" s="25"/>
      <c r="G916" s="26"/>
      <c r="H916" s="27"/>
      <c r="I916" s="24" t="str">
        <f aca="false">IF(OR(E916="",E916="!!!",F916="NEW"),"",INDEX(B7:B$910,-1+SUMPRODUCT(MAX(ROW(E7:E$910)*(E916=E7:E$910)))))</f>
        <v/>
      </c>
      <c r="J916" s="24" t="str">
        <f aca="true">IF(OR(E916="",E916="!!!",F916="NEW"),"",COUNTBLANK(OFFSET(A$1,,,SUMPRODUCT(MAX(ROW(E$2:E916)*(E916=E$2:E916)))))-COUNTBLANK(OFFSET(A$1,,,SUMPRODUCT(MAX(ROW(E$1:E915)*(E2=E$1:E915))))))</f>
        <v/>
      </c>
      <c r="K916" s="24" t="str">
        <f aca="false">IF(OR(E916="",E916="!!!",F916="NEW"),"",INDEX(J$1:J915,SUMPRODUCT(MAX(ROW(E$1:E915)*(E916=E$1:E915)))))</f>
        <v/>
      </c>
      <c r="L916" s="21"/>
    </row>
    <row r="917" customFormat="false" ht="15" hidden="false" customHeight="false" outlineLevel="0" collapsed="false">
      <c r="A917" s="20" t="s">
        <v>1128</v>
      </c>
      <c r="E917" s="23"/>
      <c r="F917" s="25"/>
      <c r="G917" s="26"/>
      <c r="H917" s="27"/>
      <c r="I917" s="24" t="str">
        <f aca="false">IF(OR(E917="",E917="!!!",F917="NEW"),"",INDEX(B8:B$910,-1+SUMPRODUCT(MAX(ROW(E8:E$910)*(E917=E8:E$910)))))</f>
        <v/>
      </c>
      <c r="J917" s="24" t="str">
        <f aca="true">IF(OR(E917="",E917="!!!",F917="NEW"),"",COUNTBLANK(OFFSET(A$1,,,SUMPRODUCT(MAX(ROW(E$2:E917)*(E917=E$2:E917)))))-COUNTBLANK(OFFSET(A$1,,,SUMPRODUCT(MAX(ROW(E$1:E916)*(E2=E$1:E916))))))</f>
        <v/>
      </c>
      <c r="K917" s="24" t="str">
        <f aca="false">IF(OR(E917="",E917="!!!",F917="NEW"),"",INDEX(J$1:J916,SUMPRODUCT(MAX(ROW(E$1:E916)*(E917=E$1:E916)))))</f>
        <v/>
      </c>
      <c r="L917" s="21"/>
    </row>
    <row r="918" customFormat="false" ht="15" hidden="false" customHeight="false" outlineLevel="0" collapsed="false">
      <c r="A918" s="20" t="s">
        <v>1519</v>
      </c>
      <c r="E918" s="23"/>
      <c r="F918" s="25"/>
      <c r="G918" s="26"/>
      <c r="H918" s="27"/>
      <c r="I918" s="24" t="str">
        <f aca="false">IF(OR(E918="",E918="!!!",F918="NEW"),"",INDEX(B9:B$910,-1+SUMPRODUCT(MAX(ROW(E9:E$910)*(E918=E9:E$910)))))</f>
        <v/>
      </c>
      <c r="J918" s="24" t="str">
        <f aca="true">IF(OR(E918="",E918="!!!",F918="NEW"),"",COUNTBLANK(OFFSET(A$1,,,SUMPRODUCT(MAX(ROW(E$2:E918)*(E918=E$2:E918)))))-COUNTBLANK(OFFSET(A$1,,,SUMPRODUCT(MAX(ROW(E$1:E917)*(E2=E$1:E917))))))</f>
        <v/>
      </c>
      <c r="K918" s="24" t="str">
        <f aca="false">IF(OR(E918="",E918="!!!",F918="NEW"),"",INDEX(J$1:J917,SUMPRODUCT(MAX(ROW(E$1:E917)*(E918=E$1:E917)))))</f>
        <v/>
      </c>
      <c r="L918" s="21"/>
    </row>
    <row r="919" customFormat="false" ht="15" hidden="false" customHeight="false" outlineLevel="0" collapsed="false">
      <c r="A919" s="20" t="s">
        <v>1109</v>
      </c>
      <c r="E919" s="23"/>
      <c r="F919" s="25"/>
      <c r="G919" s="26"/>
      <c r="H919" s="27"/>
      <c r="I919" s="24" t="str">
        <f aca="false">IF(OR(E919="",E919="!!!",F919="NEW"),"",INDEX(B10:B$910,-1+SUMPRODUCT(MAX(ROW(E10:E$910)*(E919=E10:E$910)))))</f>
        <v/>
      </c>
      <c r="J919" s="24" t="str">
        <f aca="true">IF(OR(E919="",E919="!!!",F919="NEW"),"",COUNTBLANK(OFFSET(A$1,,,SUMPRODUCT(MAX(ROW(E$2:E919)*(E919=E$2:E919)))))-COUNTBLANK(OFFSET(A$1,,,SUMPRODUCT(MAX(ROW(E$1:E918)*(E2=E$1:E918))))))</f>
        <v/>
      </c>
      <c r="K919" s="24" t="str">
        <f aca="false">IF(OR(E919="",E919="!!!",F919="NEW"),"",INDEX(J$1:J918,SUMPRODUCT(MAX(ROW(E$1:E918)*(E919=E$1:E918)))))</f>
        <v/>
      </c>
      <c r="L919" s="21"/>
    </row>
    <row r="920" customFormat="false" ht="15" hidden="false" customHeight="false" outlineLevel="0" collapsed="false">
      <c r="A920" s="20" t="s">
        <v>1436</v>
      </c>
      <c r="B920" s="22" t="s">
        <v>1142</v>
      </c>
      <c r="C920" s="22" t="s">
        <v>1150</v>
      </c>
      <c r="D920" s="22" t="s">
        <v>1060</v>
      </c>
      <c r="E920" s="23" t="s">
        <v>1433</v>
      </c>
      <c r="F920" s="23" t="s">
        <v>1083</v>
      </c>
      <c r="G920" s="23" t="s">
        <v>1070</v>
      </c>
      <c r="H920" s="23"/>
      <c r="I920" s="24" t="str">
        <f aca="false">IF(OR(E920="",E920="!!!",F920="NEW"),"",INDEX(B11:B$910,-1+SUMPRODUCT(MAX(ROW(E11:E$910)*(E920=E11:E$910)))))</f>
        <v>SBJ</v>
      </c>
      <c r="J920" s="24" t="n">
        <f aca="true">IF(OR(E920="",E920="!!!",F920="NEW"),"",COUNTBLANK(OFFSET(A$1,,,SUMPRODUCT(MAX(ROW(E$2:E920)*(E920=E$2:E920)))))-COUNTBLANK(OFFSET(A$1,,,SUMPRODUCT(MAX(ROW(E$1:E919)*(E2=E$1:E919))))))</f>
        <v>0</v>
      </c>
      <c r="K920" s="24" t="n">
        <f aca="false">IF(OR(E920="",E920="!!!",F920="NEW"),"",INDEX(J$1:J919,SUMPRODUCT(MAX(ROW(E$1:E919)*(E920=E$1:E919)))))</f>
        <v>0</v>
      </c>
      <c r="L920" s="21"/>
    </row>
    <row r="921" customFormat="false" ht="15" hidden="false" customHeight="false" outlineLevel="0" collapsed="false">
      <c r="A921" s="20" t="s">
        <v>1076</v>
      </c>
      <c r="E921" s="23"/>
      <c r="F921" s="25"/>
      <c r="G921" s="26"/>
      <c r="H921" s="27"/>
      <c r="I921" s="24" t="str">
        <f aca="false">IF(OR(E921="",E921="!!!",F921="NEW"),"",INDEX(B12:B$910,-1+SUMPRODUCT(MAX(ROW(E12:E$910)*(E921=E12:E$910)))))</f>
        <v/>
      </c>
      <c r="J921" s="24" t="str">
        <f aca="true">IF(OR(E921="",E921="!!!",F921="NEW"),"",COUNTBLANK(OFFSET(A$1,,,SUMPRODUCT(MAX(ROW(E$2:E921)*(E921=E$2:E921)))))-COUNTBLANK(OFFSET(A$1,,,SUMPRODUCT(MAX(ROW(E$1:E920)*(E2=E$1:E920))))))</f>
        <v/>
      </c>
      <c r="K921" s="24" t="str">
        <f aca="false">IF(OR(E921="",E921="!!!",F921="NEW"),"",INDEX(J$1:J920,SUMPRODUCT(MAX(ROW(E$1:E920)*(E921=E$1:E920)))))</f>
        <v/>
      </c>
      <c r="L921" s="21"/>
    </row>
    <row r="922" customFormat="false" ht="15" hidden="false" customHeight="false" outlineLevel="0" collapsed="false">
      <c r="A922" s="20" t="s">
        <v>1295</v>
      </c>
      <c r="E922" s="23"/>
      <c r="F922" s="25"/>
      <c r="G922" s="26"/>
      <c r="H922" s="27"/>
      <c r="I922" s="24" t="str">
        <f aca="false">IF(OR(E922="",E922="!!!",F922="NEW"),"",INDEX(B13:B$910,-1+SUMPRODUCT(MAX(ROW(E13:E$910)*(E922=E13:E$910)))))</f>
        <v/>
      </c>
      <c r="J922" s="24" t="str">
        <f aca="true">IF(OR(E922="",E922="!!!",F922="NEW"),"",COUNTBLANK(OFFSET(A$1,,,SUMPRODUCT(MAX(ROW(E$2:E922)*(E922=E$2:E922)))))-COUNTBLANK(OFFSET(A$1,,,SUMPRODUCT(MAX(ROW(E$1:E921)*(E2=E$1:E921))))))</f>
        <v/>
      </c>
      <c r="K922" s="24" t="str">
        <f aca="false">IF(OR(E922="",E922="!!!",F922="NEW"),"",INDEX(J$1:J921,SUMPRODUCT(MAX(ROW(E$1:E921)*(E922=E$1:E921)))))</f>
        <v/>
      </c>
      <c r="L922" s="21"/>
    </row>
    <row r="923" customFormat="false" ht="15" hidden="false" customHeight="false" outlineLevel="0" collapsed="false">
      <c r="A923" s="20" t="s">
        <v>499</v>
      </c>
      <c r="B923" s="22" t="s">
        <v>1086</v>
      </c>
      <c r="C923" s="22" t="s">
        <v>1068</v>
      </c>
      <c r="D923" s="22" t="s">
        <v>1060</v>
      </c>
      <c r="E923" s="23" t="s">
        <v>1480</v>
      </c>
      <c r="F923" s="23" t="s">
        <v>1083</v>
      </c>
      <c r="G923" s="23" t="s">
        <v>1070</v>
      </c>
      <c r="H923" s="23"/>
      <c r="I923" s="28" t="n">
        <f aca="false">IF(OR(E923="",E923="!!!",F923="NEW"),"",INDEX(B14:B$910,-1+SUMPRODUCT(MAX(ROW(E14:E$910)*(E923=E14:E$910)))))</f>
        <v>0</v>
      </c>
      <c r="J923" s="24" t="n">
        <f aca="true">IF(OR(E923="",E923="!!!",F923="NEW"),"",COUNTBLANK(OFFSET(A$1,,,SUMPRODUCT(MAX(ROW(E$2:E923)*(E923=E$2:E923)))))-COUNTBLANK(OFFSET(A$1,,,SUMPRODUCT(MAX(ROW(E$1:E922)*(E2=E$1:E922))))))</f>
        <v>0</v>
      </c>
      <c r="K923" s="24" t="str">
        <f aca="false">IF(OR(E923="",E923="!!!",F923="NEW"),"",INDEX(J$1:J922,SUMPRODUCT(MAX(ROW(E$1:E922)*(E923=E$1:E922)))))</f>
        <v/>
      </c>
      <c r="L923" s="21"/>
    </row>
    <row r="924" customFormat="false" ht="15" hidden="false" customHeight="false" outlineLevel="0" collapsed="false">
      <c r="A924" s="20" t="s">
        <v>1481</v>
      </c>
      <c r="E924" s="23"/>
      <c r="F924" s="25"/>
      <c r="G924" s="26"/>
      <c r="H924" s="27"/>
      <c r="I924" s="24" t="str">
        <f aca="false">IF(OR(E924="",E924="!!!",F924="NEW"),"",INDEX(B15:B$910,-1+SUMPRODUCT(MAX(ROW(E15:E$910)*(E924=E15:E$910)))))</f>
        <v/>
      </c>
      <c r="J924" s="24" t="str">
        <f aca="true">IF(OR(E924="",E924="!!!",F924="NEW"),"",COUNTBLANK(OFFSET(A$1,,,SUMPRODUCT(MAX(ROW(E$2:E924)*(E924=E$2:E924)))))-COUNTBLANK(OFFSET(A$1,,,SUMPRODUCT(MAX(ROW(E$1:E923)*(E2=E$1:E923))))))</f>
        <v/>
      </c>
      <c r="K924" s="24" t="str">
        <f aca="false">IF(OR(E924="",E924="!!!",F924="NEW"),"",INDEX(J$1:J923,SUMPRODUCT(MAX(ROW(E$1:E923)*(E924=E$1:E923)))))</f>
        <v/>
      </c>
      <c r="L924" s="21"/>
    </row>
    <row r="925" customFormat="false" ht="15" hidden="false" customHeight="false" outlineLevel="0" collapsed="false">
      <c r="A925" s="20" t="s">
        <v>1520</v>
      </c>
      <c r="E925" s="23"/>
      <c r="F925" s="25"/>
      <c r="G925" s="26"/>
      <c r="H925" s="27"/>
      <c r="I925" s="24" t="str">
        <f aca="false">IF(OR(E925="",E925="!!!",F925="NEW"),"",INDEX(B16:B$910,-1+SUMPRODUCT(MAX(ROW(E16:E$910)*(E925=E16:E$910)))))</f>
        <v/>
      </c>
      <c r="J925" s="24" t="str">
        <f aca="true">IF(OR(E925="",E925="!!!",F925="NEW"),"",COUNTBLANK(OFFSET(A$1,,,SUMPRODUCT(MAX(ROW(E$2:E925)*(E925=E$2:E925)))))-COUNTBLANK(OFFSET(A$1,,,SUMPRODUCT(MAX(ROW(E$1:E924)*(E2=E$1:E924))))))</f>
        <v/>
      </c>
      <c r="K925" s="24" t="str">
        <f aca="false">IF(OR(E925="",E925="!!!",F925="NEW"),"",INDEX(J$1:J924,SUMPRODUCT(MAX(ROW(E$1:E924)*(E925=E$1:E924)))))</f>
        <v/>
      </c>
      <c r="L925" s="21"/>
    </row>
    <row r="926" customFormat="false" ht="15" hidden="false" customHeight="false" outlineLevel="0" collapsed="false">
      <c r="A926" s="20" t="s">
        <v>1097</v>
      </c>
      <c r="B926" s="22" t="s">
        <v>1067</v>
      </c>
      <c r="C926" s="22" t="s">
        <v>1099</v>
      </c>
      <c r="D926" s="22" t="s">
        <v>1060</v>
      </c>
      <c r="E926" s="23" t="s">
        <v>1480</v>
      </c>
      <c r="F926" s="23" t="s">
        <v>1083</v>
      </c>
      <c r="G926" s="23" t="s">
        <v>1084</v>
      </c>
      <c r="H926" s="23"/>
      <c r="I926" s="28" t="n">
        <f aca="false">IF(OR(E926="",E926="!!!",F926="NEW"),"",INDEX(B17:B$910,-1+SUMPRODUCT(MAX(ROW(E17:E$910)*(E926=E17:E$910)))))</f>
        <v>0</v>
      </c>
      <c r="J926" s="24" t="n">
        <f aca="true">IF(OR(E926="",E926="!!!",F926="NEW"),"",COUNTBLANK(OFFSET(A$1,,,SUMPRODUCT(MAX(ROW(E$2:E926)*(E926=E$2:E926)))))-COUNTBLANK(OFFSET(A$1,,,SUMPRODUCT(MAX(ROW(E$1:E925)*(E2=E$1:E925))))))</f>
        <v>0</v>
      </c>
      <c r="K926" s="24" t="n">
        <f aca="false">IF(OR(E926="",E926="!!!",F926="NEW"),"",INDEX(J$1:J925,SUMPRODUCT(MAX(ROW(E$1:E925)*(E926=E$1:E925)))))</f>
        <v>0</v>
      </c>
      <c r="L926" s="21"/>
    </row>
    <row r="927" customFormat="false" ht="15" hidden="false" customHeight="false" outlineLevel="0" collapsed="false">
      <c r="A927" s="20" t="s">
        <v>1521</v>
      </c>
      <c r="B927" s="22" t="s">
        <v>1142</v>
      </c>
      <c r="C927" s="22" t="s">
        <v>1059</v>
      </c>
      <c r="D927" s="22" t="s">
        <v>1060</v>
      </c>
      <c r="E927" s="23" t="s">
        <v>1522</v>
      </c>
      <c r="F927" s="23" t="s">
        <v>1062</v>
      </c>
      <c r="G927" s="23" t="s">
        <v>1063</v>
      </c>
      <c r="H927" s="23"/>
      <c r="I927" s="24" t="str">
        <f aca="false">IF(OR(E927="",E927="!!!",F927="NEW"),"",INDEX(B18:B$910,-1+SUMPRODUCT(MAX(ROW(E18:E$910)*(E927=E18:E$910)))))</f>
        <v/>
      </c>
      <c r="J927" s="24" t="str">
        <f aca="true">IF(OR(E927="",E927="!!!",F927="NEW"),"",COUNTBLANK(OFFSET(A$1,,,SUMPRODUCT(MAX(ROW(E$2:E927)*(E927=E$2:E927)))))-COUNTBLANK(OFFSET(A$1,,,SUMPRODUCT(MAX(ROW(E$1:E926)*(E2=E$1:E926))))))</f>
        <v/>
      </c>
      <c r="K927" s="24" t="str">
        <f aca="false">IF(OR(E927="",E927="!!!",F927="NEW"),"",INDEX(J$1:J926,SUMPRODUCT(MAX(ROW(E$1:E926)*(E927=E$1:E926)))))</f>
        <v/>
      </c>
      <c r="L927" s="21"/>
    </row>
    <row r="928" customFormat="false" ht="15" hidden="false" customHeight="false" outlineLevel="0" collapsed="false">
      <c r="A928" s="20" t="s">
        <v>1234</v>
      </c>
      <c r="E928" s="23"/>
      <c r="F928" s="25"/>
      <c r="G928" s="26"/>
      <c r="H928" s="27"/>
      <c r="I928" s="24" t="str">
        <f aca="false">IF(OR(E928="",E928="!!!",F928="NEW"),"",INDEX(B19:B$910,-1+SUMPRODUCT(MAX(ROW(E19:E$910)*(E928=E19:E$910)))))</f>
        <v/>
      </c>
      <c r="J928" s="24" t="str">
        <f aca="true">IF(OR(E928="",E928="!!!",F928="NEW"),"",COUNTBLANK(OFFSET(A$1,,,SUMPRODUCT(MAX(ROW(E$2:E928)*(E928=E$2:E928)))))-COUNTBLANK(OFFSET(A$1,,,SUMPRODUCT(MAX(ROW(E$1:E927)*(E2=E$1:E927))))))</f>
        <v/>
      </c>
      <c r="K928" s="24" t="str">
        <f aca="false">IF(OR(E928="",E928="!!!",F928="NEW"),"",INDEX(J$1:J927,SUMPRODUCT(MAX(ROW(E$1:E927)*(E928=E$1:E927)))))</f>
        <v/>
      </c>
      <c r="L928" s="21"/>
    </row>
    <row r="929" customFormat="false" ht="15" hidden="false" customHeight="false" outlineLevel="0" collapsed="false">
      <c r="A929" s="20" t="s">
        <v>1128</v>
      </c>
      <c r="E929" s="23"/>
      <c r="F929" s="25"/>
      <c r="G929" s="26"/>
      <c r="H929" s="27"/>
      <c r="I929" s="24" t="str">
        <f aca="false">IF(OR(E929="",E929="!!!",F929="NEW"),"",INDEX(B20:B$910,-1+SUMPRODUCT(MAX(ROW(E20:E$910)*(E929=E20:E$910)))))</f>
        <v/>
      </c>
      <c r="J929" s="24" t="str">
        <f aca="true">IF(OR(E929="",E929="!!!",F929="NEW"),"",COUNTBLANK(OFFSET(A$1,,,SUMPRODUCT(MAX(ROW(E$2:E929)*(E929=E$2:E929)))))-COUNTBLANK(OFFSET(A$1,,,SUMPRODUCT(MAX(ROW(E$1:E928)*(E2=E$1:E928))))))</f>
        <v/>
      </c>
      <c r="K929" s="24" t="str">
        <f aca="false">IF(OR(E929="",E929="!!!",F929="NEW"),"",INDEX(J$1:J928,SUMPRODUCT(MAX(ROW(E$1:E928)*(E929=E$1:E928)))))</f>
        <v/>
      </c>
      <c r="L929" s="21"/>
    </row>
    <row r="930" customFormat="false" ht="15" hidden="false" customHeight="false" outlineLevel="0" collapsed="false">
      <c r="A930" s="20" t="s">
        <v>1523</v>
      </c>
      <c r="E930" s="23"/>
      <c r="F930" s="25"/>
      <c r="G930" s="26"/>
      <c r="H930" s="27"/>
      <c r="I930" s="24" t="str">
        <f aca="false">IF(OR(E930="",E930="!!!",F930="NEW"),"",INDEX(B21:B$910,-1+SUMPRODUCT(MAX(ROW(E21:E$910)*(E930=E21:E$910)))))</f>
        <v/>
      </c>
      <c r="J930" s="24" t="str">
        <f aca="true">IF(OR(E930="",E930="!!!",F930="NEW"),"",COUNTBLANK(OFFSET(A$1,,,SUMPRODUCT(MAX(ROW(E$2:E930)*(E930=E$2:E930)))))-COUNTBLANK(OFFSET(A$1,,,SUMPRODUCT(MAX(ROW(E$1:E929)*(E2=E$1:E929))))))</f>
        <v/>
      </c>
      <c r="K930" s="24" t="str">
        <f aca="false">IF(OR(E930="",E930="!!!",F930="NEW"),"",INDEX(J$1:J929,SUMPRODUCT(MAX(ROW(E$1:E929)*(E930=E$1:E929)))))</f>
        <v/>
      </c>
      <c r="L930" s="21"/>
    </row>
    <row r="931" customFormat="false" ht="15" hidden="false" customHeight="false" outlineLevel="0" collapsed="false">
      <c r="A931" s="20" t="s">
        <v>1232</v>
      </c>
      <c r="E931" s="23"/>
      <c r="F931" s="25"/>
      <c r="G931" s="26"/>
      <c r="H931" s="27"/>
      <c r="I931" s="24" t="str">
        <f aca="false">IF(OR(E931="",E931="!!!",F931="NEW"),"",INDEX(B22:B$910,-1+SUMPRODUCT(MAX(ROW(E22:E$910)*(E931=E22:E$910)))))</f>
        <v/>
      </c>
      <c r="J931" s="24" t="str">
        <f aca="true">IF(OR(E931="",E931="!!!",F931="NEW"),"",COUNTBLANK(OFFSET(A$1,,,SUMPRODUCT(MAX(ROW(E$2:E931)*(E931=E$2:E931)))))-COUNTBLANK(OFFSET(A$1,,,SUMPRODUCT(MAX(ROW(E$1:E930)*(E2=E$1:E930))))))</f>
        <v/>
      </c>
      <c r="K931" s="24" t="str">
        <f aca="false">IF(OR(E931="",E931="!!!",F931="NEW"),"",INDEX(J$1:J930,SUMPRODUCT(MAX(ROW(E$1:E930)*(E931=E$1:E930)))))</f>
        <v/>
      </c>
      <c r="L931" s="21"/>
    </row>
    <row r="932" customFormat="false" ht="15" hidden="false" customHeight="false" outlineLevel="0" collapsed="false">
      <c r="A932" s="20" t="s">
        <v>1173</v>
      </c>
      <c r="E932" s="23"/>
      <c r="F932" s="25"/>
      <c r="G932" s="26"/>
      <c r="H932" s="27"/>
      <c r="I932" s="24" t="str">
        <f aca="false">IF(OR(E932="",E932="!!!",F932="NEW"),"",INDEX(B23:B$910,-1+SUMPRODUCT(MAX(ROW(E23:E$910)*(E932=E23:E$910)))))</f>
        <v/>
      </c>
      <c r="J932" s="24" t="str">
        <f aca="true">IF(OR(E932="",E932="!!!",F932="NEW"),"",COUNTBLANK(OFFSET(A$1,,,SUMPRODUCT(MAX(ROW(E$2:E932)*(E932=E$2:E932)))))-COUNTBLANK(OFFSET(A$1,,,SUMPRODUCT(MAX(ROW(E$1:E931)*(E2=E$1:E931))))))</f>
        <v/>
      </c>
      <c r="K932" s="24" t="str">
        <f aca="false">IF(OR(E932="",E932="!!!",F932="NEW"),"",INDEX(J$1:J931,SUMPRODUCT(MAX(ROW(E$1:E931)*(E932=E$1:E931)))))</f>
        <v/>
      </c>
      <c r="L932" s="21"/>
    </row>
    <row r="933" customFormat="false" ht="15" hidden="false" customHeight="false" outlineLevel="0" collapsed="false">
      <c r="A933" s="20" t="s">
        <v>1097</v>
      </c>
      <c r="B933" s="22" t="s">
        <v>1107</v>
      </c>
      <c r="C933" s="22" t="s">
        <v>1099</v>
      </c>
      <c r="D933" s="22" t="s">
        <v>1060</v>
      </c>
      <c r="E933" s="23" t="s">
        <v>1480</v>
      </c>
      <c r="F933" s="23" t="s">
        <v>1083</v>
      </c>
      <c r="G933" s="23" t="s">
        <v>1084</v>
      </c>
      <c r="H933" s="23"/>
      <c r="I933" s="28" t="n">
        <f aca="false">IF(OR(E933="",E933="!!!",F933="NEW"),"",INDEX(B24:B$910,-1+SUMPRODUCT(MAX(ROW(E24:E$910)*(E933=E24:E$910)))))</f>
        <v>0</v>
      </c>
      <c r="J933" s="24" t="n">
        <f aca="true">IF(OR(E933="",E933="!!!",F933="NEW"),"",COUNTBLANK(OFFSET(A$1,,,SUMPRODUCT(MAX(ROW(E$2:E933)*(E933=E$2:E933)))))-COUNTBLANK(OFFSET(A$1,,,SUMPRODUCT(MAX(ROW(E$1:E932)*(E2=E$1:E932))))))</f>
        <v>0</v>
      </c>
      <c r="K933" s="24" t="n">
        <f aca="false">IF(OR(E933="",E933="!!!",F933="NEW"),"",INDEX(J$1:J932,SUMPRODUCT(MAX(ROW(E$1:E932)*(E933=E$1:E932)))))</f>
        <v>0</v>
      </c>
      <c r="L933" s="21"/>
    </row>
    <row r="934" customFormat="false" ht="15" hidden="false" customHeight="false" outlineLevel="0" collapsed="false">
      <c r="A934" s="20" t="s">
        <v>1524</v>
      </c>
      <c r="B934" s="22" t="s">
        <v>1067</v>
      </c>
      <c r="C934" s="22" t="s">
        <v>1059</v>
      </c>
      <c r="D934" s="22" t="s">
        <v>1060</v>
      </c>
      <c r="E934" s="23" t="s">
        <v>1525</v>
      </c>
      <c r="F934" s="23" t="s">
        <v>1062</v>
      </c>
      <c r="G934" s="23" t="s">
        <v>1063</v>
      </c>
      <c r="H934" s="23"/>
      <c r="I934" s="24" t="str">
        <f aca="false">IF(OR(E934="",E934="!!!",F934="NEW"),"",INDEX(B25:B$910,-1+SUMPRODUCT(MAX(ROW(E25:E$910)*(E934=E25:E$910)))))</f>
        <v/>
      </c>
      <c r="J934" s="24" t="str">
        <f aca="true">IF(OR(E934="",E934="!!!",F934="NEW"),"",COUNTBLANK(OFFSET(A$1,,,SUMPRODUCT(MAX(ROW(E$2:E934)*(E934=E$2:E934)))))-COUNTBLANK(OFFSET(A$1,,,SUMPRODUCT(MAX(ROW(E$1:E933)*(E2=E$1:E933))))))</f>
        <v/>
      </c>
      <c r="K934" s="24" t="str">
        <f aca="false">IF(OR(E934="",E934="!!!",F934="NEW"),"",INDEX(J$1:J933,SUMPRODUCT(MAX(ROW(E$1:E933)*(E934=E$1:E933)))))</f>
        <v/>
      </c>
      <c r="L934" s="21"/>
    </row>
    <row r="935" customFormat="false" ht="15" hidden="false" customHeight="false" outlineLevel="0" collapsed="false">
      <c r="A935" s="20" t="s">
        <v>1076</v>
      </c>
      <c r="E935" s="23"/>
      <c r="F935" s="25"/>
      <c r="G935" s="26"/>
      <c r="H935" s="27"/>
      <c r="I935" s="24" t="str">
        <f aca="false">IF(OR(E935="",E935="!!!",F935="NEW"),"",INDEX(B26:B$910,-1+SUMPRODUCT(MAX(ROW(E26:E$910)*(E935=E26:E$910)))))</f>
        <v/>
      </c>
      <c r="J935" s="24" t="str">
        <f aca="true">IF(OR(E935="",E935="!!!",F935="NEW"),"",COUNTBLANK(OFFSET(A$1,,,SUMPRODUCT(MAX(ROW(E$2:E935)*(E935=E$2:E935)))))-COUNTBLANK(OFFSET(A$1,,,SUMPRODUCT(MAX(ROW(E$1:E934)*(E2=E$1:E934))))))</f>
        <v/>
      </c>
      <c r="K935" s="24" t="str">
        <f aca="false">IF(OR(E935="",E935="!!!",F935="NEW"),"",INDEX(J$1:J934,SUMPRODUCT(MAX(ROW(E$1:E934)*(E935=E$1:E934)))))</f>
        <v/>
      </c>
      <c r="L935" s="21"/>
    </row>
    <row r="936" customFormat="false" ht="15" hidden="false" customHeight="false" outlineLevel="0" collapsed="false">
      <c r="A936" s="20" t="s">
        <v>1526</v>
      </c>
      <c r="E936" s="23"/>
      <c r="F936" s="25"/>
      <c r="G936" s="26"/>
      <c r="H936" s="27"/>
      <c r="I936" s="24" t="str">
        <f aca="false">IF(OR(E936="",E936="!!!",F936="NEW"),"",INDEX(B27:B$910,-1+SUMPRODUCT(MAX(ROW(E27:E$910)*(E936=E27:E$910)))))</f>
        <v/>
      </c>
      <c r="J936" s="24" t="str">
        <f aca="true">IF(OR(E936="",E936="!!!",F936="NEW"),"",COUNTBLANK(OFFSET(A$1,,,SUMPRODUCT(MAX(ROW(E$2:E936)*(E936=E$2:E936)))))-COUNTBLANK(OFFSET(A$1,,,SUMPRODUCT(MAX(ROW(E$1:E935)*(E2=E$1:E935))))))</f>
        <v/>
      </c>
      <c r="K936" s="24" t="str">
        <f aca="false">IF(OR(E936="",E936="!!!",F936="NEW"),"",INDEX(J$1:J935,SUMPRODUCT(MAX(ROW(E$1:E935)*(E936=E$1:E935)))))</f>
        <v/>
      </c>
      <c r="L936" s="21"/>
    </row>
    <row r="937" customFormat="false" ht="15" hidden="false" customHeight="false" outlineLevel="0" collapsed="false">
      <c r="A937" s="20" t="s">
        <v>1184</v>
      </c>
      <c r="E937" s="23"/>
      <c r="F937" s="25"/>
      <c r="G937" s="26"/>
      <c r="H937" s="27"/>
      <c r="I937" s="24" t="str">
        <f aca="false">IF(OR(E937="",E937="!!!",F937="NEW"),"",INDEX(B28:B$910,-1+SUMPRODUCT(MAX(ROW(E28:E$910)*(E937=E28:E$910)))))</f>
        <v/>
      </c>
      <c r="J937" s="24" t="str">
        <f aca="true">IF(OR(E937="",E937="!!!",F937="NEW"),"",COUNTBLANK(OFFSET(A$1,,,SUMPRODUCT(MAX(ROW(E$2:E937)*(E937=E$2:E937)))))-COUNTBLANK(OFFSET(A$1,,,SUMPRODUCT(MAX(ROW(E$1:E936)*(E2=E$1:E936))))))</f>
        <v/>
      </c>
      <c r="K937" s="24" t="str">
        <f aca="false">IF(OR(E937="",E937="!!!",F937="NEW"),"",INDEX(J$1:J936,SUMPRODUCT(MAX(ROW(E$1:E936)*(E937=E$1:E936)))))</f>
        <v/>
      </c>
      <c r="L937" s="21"/>
    </row>
    <row r="938" customFormat="false" ht="15" hidden="false" customHeight="false" outlineLevel="0" collapsed="false">
      <c r="A938" s="20" t="s">
        <v>1097</v>
      </c>
      <c r="B938" s="22" t="s">
        <v>1107</v>
      </c>
      <c r="C938" s="22" t="s">
        <v>1099</v>
      </c>
      <c r="D938" s="22" t="s">
        <v>1060</v>
      </c>
      <c r="E938" s="23" t="s">
        <v>1480</v>
      </c>
      <c r="F938" s="23" t="s">
        <v>1083</v>
      </c>
      <c r="G938" s="23" t="s">
        <v>1084</v>
      </c>
      <c r="H938" s="23"/>
      <c r="I938" s="28" t="n">
        <f aca="false">IF(OR(E938="",E938="!!!",F938="NEW"),"",INDEX(B29:B$910,-1+SUMPRODUCT(MAX(ROW(E29:E$910)*(E938=E29:E$910)))))</f>
        <v>0</v>
      </c>
      <c r="J938" s="24" t="n">
        <f aca="true">IF(OR(E938="",E938="!!!",F938="NEW"),"",COUNTBLANK(OFFSET(A$1,,,SUMPRODUCT(MAX(ROW(E$2:E938)*(E938=E$2:E938)))))-COUNTBLANK(OFFSET(A$1,,,SUMPRODUCT(MAX(ROW(E$1:E937)*(E2=E$1:E937))))))</f>
        <v>0</v>
      </c>
      <c r="K938" s="24" t="n">
        <f aca="false">IF(OR(E938="",E938="!!!",F938="NEW"),"",INDEX(J$1:J937,SUMPRODUCT(MAX(ROW(E$1:E937)*(E938=E$1:E937)))))</f>
        <v>0</v>
      </c>
      <c r="L938" s="21"/>
    </row>
    <row r="939" customFormat="false" ht="15" hidden="false" customHeight="false" outlineLevel="0" collapsed="false">
      <c r="A939" s="20" t="s">
        <v>1527</v>
      </c>
      <c r="B939" s="22" t="s">
        <v>1067</v>
      </c>
      <c r="C939" s="22" t="s">
        <v>1059</v>
      </c>
      <c r="D939" s="22" t="s">
        <v>1060</v>
      </c>
      <c r="E939" s="23" t="s">
        <v>1527</v>
      </c>
      <c r="F939" s="23" t="s">
        <v>1062</v>
      </c>
      <c r="G939" s="23" t="s">
        <v>1063</v>
      </c>
      <c r="H939" s="23"/>
      <c r="I939" s="24" t="str">
        <f aca="false">IF(OR(E939="",E939="!!!",F939="NEW"),"",INDEX(B30:B$910,-1+SUMPRODUCT(MAX(ROW(E30:E$910)*(E939=E30:E$910)))))</f>
        <v/>
      </c>
      <c r="J939" s="24" t="str">
        <f aca="true">IF(OR(E939="",E939="!!!",F939="NEW"),"",COUNTBLANK(OFFSET(A$1,,,SUMPRODUCT(MAX(ROW(E$2:E939)*(E939=E$2:E939)))))-COUNTBLANK(OFFSET(A$1,,,SUMPRODUCT(MAX(ROW(E$1:E938)*(E2=E$1:E938))))))</f>
        <v/>
      </c>
      <c r="K939" s="24" t="str">
        <f aca="false">IF(OR(E939="",E939="!!!",F939="NEW"),"",INDEX(J$1:J938,SUMPRODUCT(MAX(ROW(E$1:E938)*(E939=E$1:E938)))))</f>
        <v/>
      </c>
      <c r="L939" s="21"/>
    </row>
    <row r="940" customFormat="false" ht="15" hidden="false" customHeight="false" outlineLevel="0" collapsed="false">
      <c r="A940" s="20" t="s">
        <v>923</v>
      </c>
      <c r="E940" s="23"/>
      <c r="F940" s="25"/>
      <c r="G940" s="26"/>
      <c r="H940" s="27"/>
      <c r="I940" s="24" t="str">
        <f aca="false">IF(OR(E940="",E940="!!!",F940="NEW"),"",INDEX(B31:B$910,-1+SUMPRODUCT(MAX(ROW(E31:E$910)*(E940=E31:E$910)))))</f>
        <v/>
      </c>
      <c r="J940" s="24" t="str">
        <f aca="true">IF(OR(E940="",E940="!!!",F940="NEW"),"",COUNTBLANK(OFFSET(A$1,,,SUMPRODUCT(MAX(ROW(E$2:E940)*(E940=E$2:E940)))))-COUNTBLANK(OFFSET(A$1,,,SUMPRODUCT(MAX(ROW(E$1:E939)*(E2=E$1:E939))))))</f>
        <v/>
      </c>
      <c r="K940" s="24" t="str">
        <f aca="false">IF(OR(E940="",E940="!!!",F940="NEW"),"",INDEX(J$1:J939,SUMPRODUCT(MAX(ROW(E$1:E939)*(E940=E$1:E939)))))</f>
        <v/>
      </c>
      <c r="L940" s="21"/>
    </row>
    <row r="941" customFormat="false" ht="15" hidden="false" customHeight="false" outlineLevel="0" collapsed="false">
      <c r="A941" s="20"/>
      <c r="L941" s="21"/>
    </row>
    <row r="942" customFormat="false" ht="15" hidden="false" customHeight="false" outlineLevel="0" collapsed="false">
      <c r="A942" s="20" t="s">
        <v>1528</v>
      </c>
      <c r="L942" s="21"/>
    </row>
    <row r="943" customFormat="false" ht="15" hidden="false" customHeight="false" outlineLevel="0" collapsed="false">
      <c r="A943" s="20" t="s">
        <v>1162</v>
      </c>
      <c r="B943" s="22" t="s">
        <v>1058</v>
      </c>
      <c r="C943" s="22" t="s">
        <v>1082</v>
      </c>
      <c r="D943" s="22" t="s">
        <v>1060</v>
      </c>
      <c r="E943" s="23" t="s">
        <v>1163</v>
      </c>
      <c r="F943" s="23" t="s">
        <v>1083</v>
      </c>
      <c r="G943" s="23" t="s">
        <v>1084</v>
      </c>
      <c r="H943" s="23"/>
      <c r="I943" s="24" t="str">
        <f aca="false">IF(OR(E943="",E943="!!!",F943="NEW"),"",INDEX(B2:B$942,-1+SUMPRODUCT(MAX(ROW(E2:E$942)*(E943=E2:E$942)))))</f>
        <v>SBJ</v>
      </c>
      <c r="J943" s="24" t="n">
        <f aca="true">IF(OR(E943="",E943="!!!",F943="NEW"),"",COUNTBLANK(OFFSET(A$1,,,SUMPRODUCT(MAX(ROW(E$2:E943)*(E943=E$2:E943)))))-COUNTBLANK(OFFSET(A$1,,,SUMPRODUCT(MAX(ROW(E$1:E942)*(E2=E$1:E942))))))</f>
        <v>0</v>
      </c>
      <c r="K943" s="24" t="n">
        <f aca="false">IF(OR(E943="",E943="!!!",F943="NEW"),"",INDEX(J$1:J942,SUMPRODUCT(MAX(ROW(E$1:E942)*(E943=E$1:E942)))))</f>
        <v>0</v>
      </c>
      <c r="L943" s="21"/>
    </row>
    <row r="944" customFormat="false" ht="15" hidden="false" customHeight="false" outlineLevel="0" collapsed="false">
      <c r="A944" s="20" t="s">
        <v>1529</v>
      </c>
      <c r="E944" s="23"/>
      <c r="F944" s="25"/>
      <c r="G944" s="26"/>
      <c r="H944" s="27"/>
      <c r="I944" s="24" t="str">
        <f aca="false">IF(OR(E944="",E944="!!!",F944="NEW"),"",INDEX(B3:B$942,-1+SUMPRODUCT(MAX(ROW(E3:E$942)*(E944=E3:E$942)))))</f>
        <v/>
      </c>
      <c r="J944" s="24" t="str">
        <f aca="true">IF(OR(E944="",E944="!!!",F944="NEW"),"",COUNTBLANK(OFFSET(A$1,,,SUMPRODUCT(MAX(ROW(E$2:E944)*(E944=E$2:E944)))))-COUNTBLANK(OFFSET(A$1,,,SUMPRODUCT(MAX(ROW(E$1:E943)*(E2=E$1:E943))))))</f>
        <v/>
      </c>
      <c r="K944" s="24" t="str">
        <f aca="false">IF(OR(E944="",E944="!!!",F944="NEW"),"",INDEX(J$1:J943,SUMPRODUCT(MAX(ROW(E$1:E943)*(E944=E$1:E943)))))</f>
        <v/>
      </c>
      <c r="L944" s="21"/>
    </row>
    <row r="945" customFormat="false" ht="15" hidden="false" customHeight="false" outlineLevel="0" collapsed="false">
      <c r="A945" s="20" t="s">
        <v>1109</v>
      </c>
      <c r="E945" s="23"/>
      <c r="F945" s="25"/>
      <c r="G945" s="26"/>
      <c r="H945" s="27"/>
      <c r="I945" s="24" t="str">
        <f aca="false">IF(OR(E945="",E945="!!!",F945="NEW"),"",INDEX(B4:B$942,-1+SUMPRODUCT(MAX(ROW(E4:E$942)*(E945=E4:E$942)))))</f>
        <v/>
      </c>
      <c r="J945" s="24" t="str">
        <f aca="true">IF(OR(E945="",E945="!!!",F945="NEW"),"",COUNTBLANK(OFFSET(A$1,,,SUMPRODUCT(MAX(ROW(E$2:E945)*(E945=E$2:E945)))))-COUNTBLANK(OFFSET(A$1,,,SUMPRODUCT(MAX(ROW(E$1:E944)*(E2=E$1:E944))))))</f>
        <v/>
      </c>
      <c r="K945" s="24" t="str">
        <f aca="false">IF(OR(E945="",E945="!!!",F945="NEW"),"",INDEX(J$1:J944,SUMPRODUCT(MAX(ROW(E$1:E944)*(E945=E$1:E944)))))</f>
        <v/>
      </c>
      <c r="L945" s="21"/>
    </row>
    <row r="946" customFormat="false" ht="15" hidden="false" customHeight="false" outlineLevel="0" collapsed="false">
      <c r="A946" s="20" t="s">
        <v>1530</v>
      </c>
      <c r="B946" s="22" t="s">
        <v>1081</v>
      </c>
      <c r="C946" s="22" t="s">
        <v>1150</v>
      </c>
      <c r="D946" s="22" t="s">
        <v>1060</v>
      </c>
      <c r="E946" s="23" t="s">
        <v>1530</v>
      </c>
      <c r="F946" s="23" t="s">
        <v>1062</v>
      </c>
      <c r="G946" s="23" t="s">
        <v>1063</v>
      </c>
      <c r="H946" s="23"/>
      <c r="I946" s="24" t="str">
        <f aca="false">IF(OR(E946="",E946="!!!",F946="NEW"),"",INDEX(B5:B$942,-1+SUMPRODUCT(MAX(ROW(E5:E$942)*(E946=E5:E$942)))))</f>
        <v/>
      </c>
      <c r="J946" s="24" t="str">
        <f aca="true">IF(OR(E946="",E946="!!!",F946="NEW"),"",COUNTBLANK(OFFSET(A$1,,,SUMPRODUCT(MAX(ROW(E$2:E946)*(E946=E$2:E946)))))-COUNTBLANK(OFFSET(A$1,,,SUMPRODUCT(MAX(ROW(E$1:E945)*(E2=E$1:E945))))))</f>
        <v/>
      </c>
      <c r="K946" s="24" t="str">
        <f aca="false">IF(OR(E946="",E946="!!!",F946="NEW"),"",INDEX(J$1:J945,SUMPRODUCT(MAX(ROW(E$1:E945)*(E946=E$1:E945)))))</f>
        <v/>
      </c>
      <c r="L946" s="21"/>
    </row>
    <row r="947" customFormat="false" ht="15" hidden="false" customHeight="false" outlineLevel="0" collapsed="false">
      <c r="A947" s="20" t="s">
        <v>1064</v>
      </c>
      <c r="E947" s="23"/>
      <c r="F947" s="25"/>
      <c r="G947" s="26"/>
      <c r="H947" s="27"/>
      <c r="I947" s="24" t="str">
        <f aca="false">IF(OR(E947="",E947="!!!",F947="NEW"),"",INDEX(B6:B$942,-1+SUMPRODUCT(MAX(ROW(E6:E$942)*(E947=E6:E$942)))))</f>
        <v/>
      </c>
      <c r="J947" s="24" t="str">
        <f aca="true">IF(OR(E947="",E947="!!!",F947="NEW"),"",COUNTBLANK(OFFSET(A$1,,,SUMPRODUCT(MAX(ROW(E$2:E947)*(E947=E$2:E947)))))-COUNTBLANK(OFFSET(A$1,,,SUMPRODUCT(MAX(ROW(E$1:E946)*(E2=E$1:E946))))))</f>
        <v/>
      </c>
      <c r="K947" s="24" t="str">
        <f aca="false">IF(OR(E947="",E947="!!!",F947="NEW"),"",INDEX(J$1:J946,SUMPRODUCT(MAX(ROW(E$1:E946)*(E947=E$1:E946)))))</f>
        <v/>
      </c>
      <c r="L947" s="21"/>
    </row>
    <row r="948" customFormat="false" ht="15" hidden="false" customHeight="false" outlineLevel="0" collapsed="false">
      <c r="A948" s="20" t="s">
        <v>1085</v>
      </c>
      <c r="E948" s="23"/>
      <c r="F948" s="25"/>
      <c r="G948" s="26"/>
      <c r="H948" s="27"/>
      <c r="I948" s="24" t="str">
        <f aca="false">IF(OR(E948="",E948="!!!",F948="NEW"),"",INDEX(B7:B$942,-1+SUMPRODUCT(MAX(ROW(E7:E$942)*(E948=E7:E$942)))))</f>
        <v/>
      </c>
      <c r="J948" s="24" t="str">
        <f aca="true">IF(OR(E948="",E948="!!!",F948="NEW"),"",COUNTBLANK(OFFSET(A$1,,,SUMPRODUCT(MAX(ROW(E$2:E948)*(E948=E$2:E948)))))-COUNTBLANK(OFFSET(A$1,,,SUMPRODUCT(MAX(ROW(E$1:E947)*(E2=E$1:E947))))))</f>
        <v/>
      </c>
      <c r="K948" s="24" t="str">
        <f aca="false">IF(OR(E948="",E948="!!!",F948="NEW"),"",INDEX(J$1:J947,SUMPRODUCT(MAX(ROW(E$1:E947)*(E948=E$1:E947)))))</f>
        <v/>
      </c>
      <c r="L948" s="21"/>
    </row>
    <row r="949" customFormat="false" ht="15" hidden="false" customHeight="false" outlineLevel="0" collapsed="false">
      <c r="A949" s="20" t="s">
        <v>1281</v>
      </c>
      <c r="B949" s="22" t="s">
        <v>1073</v>
      </c>
      <c r="C949" s="22" t="s">
        <v>1087</v>
      </c>
      <c r="E949" s="23"/>
      <c r="F949" s="25"/>
      <c r="G949" s="26"/>
      <c r="H949" s="27"/>
      <c r="I949" s="24" t="str">
        <f aca="false">IF(OR(E949="",E949="!!!",F949="NEW"),"",INDEX(B8:B$942,-1+SUMPRODUCT(MAX(ROW(E8:E$942)*(E949=E8:E$942)))))</f>
        <v/>
      </c>
      <c r="J949" s="24" t="str">
        <f aca="true">IF(OR(E949="",E949="!!!",F949="NEW"),"",COUNTBLANK(OFFSET(A$1,,,SUMPRODUCT(MAX(ROW(E$2:E949)*(E949=E$2:E949)))))-COUNTBLANK(OFFSET(A$1,,,SUMPRODUCT(MAX(ROW(E$1:E948)*(E2=E$1:E948))))))</f>
        <v/>
      </c>
      <c r="K949" s="24" t="str">
        <f aca="false">IF(OR(E949="",E949="!!!",F949="NEW"),"",INDEX(J$1:J948,SUMPRODUCT(MAX(ROW(E$1:E948)*(E949=E$1:E948)))))</f>
        <v/>
      </c>
      <c r="L949" s="21"/>
    </row>
    <row r="950" customFormat="false" ht="15" hidden="false" customHeight="false" outlineLevel="0" collapsed="false">
      <c r="A950" s="20" t="s">
        <v>1128</v>
      </c>
      <c r="E950" s="23"/>
      <c r="F950" s="25"/>
      <c r="G950" s="26"/>
      <c r="H950" s="27"/>
      <c r="I950" s="24" t="str">
        <f aca="false">IF(OR(E950="",E950="!!!",F950="NEW"),"",INDEX(B9:B$942,-1+SUMPRODUCT(MAX(ROW(E9:E$942)*(E950=E9:E$942)))))</f>
        <v/>
      </c>
      <c r="J950" s="24" t="str">
        <f aca="true">IF(OR(E950="",E950="!!!",F950="NEW"),"",COUNTBLANK(OFFSET(A$1,,,SUMPRODUCT(MAX(ROW(E$2:E950)*(E950=E$2:E950)))))-COUNTBLANK(OFFSET(A$1,,,SUMPRODUCT(MAX(ROW(E$1:E949)*(E2=E$1:E949))))))</f>
        <v/>
      </c>
      <c r="K950" s="24" t="str">
        <f aca="false">IF(OR(E950="",E950="!!!",F950="NEW"),"",INDEX(J$1:J949,SUMPRODUCT(MAX(ROW(E$1:E949)*(E950=E$1:E949)))))</f>
        <v/>
      </c>
      <c r="L950" s="21"/>
    </row>
    <row r="951" customFormat="false" ht="15" hidden="false" customHeight="false" outlineLevel="0" collapsed="false">
      <c r="A951" s="20" t="s">
        <v>1109</v>
      </c>
      <c r="E951" s="23"/>
      <c r="F951" s="25"/>
      <c r="G951" s="26"/>
      <c r="H951" s="27"/>
      <c r="I951" s="24" t="str">
        <f aca="false">IF(OR(E951="",E951="!!!",F951="NEW"),"",INDEX(B10:B$942,-1+SUMPRODUCT(MAX(ROW(E10:E$942)*(E951=E10:E$942)))))</f>
        <v/>
      </c>
      <c r="J951" s="24" t="str">
        <f aca="true">IF(OR(E951="",E951="!!!",F951="NEW"),"",COUNTBLANK(OFFSET(A$1,,,SUMPRODUCT(MAX(ROW(E$2:E951)*(E951=E$2:E951)))))-COUNTBLANK(OFFSET(A$1,,,SUMPRODUCT(MAX(ROW(E$1:E950)*(E2=E$1:E950))))))</f>
        <v/>
      </c>
      <c r="K951" s="24" t="str">
        <f aca="false">IF(OR(E951="",E951="!!!",F951="NEW"),"",INDEX(J$1:J950,SUMPRODUCT(MAX(ROW(E$1:E950)*(E951=E$1:E950)))))</f>
        <v/>
      </c>
      <c r="L951" s="21"/>
    </row>
    <row r="952" customFormat="false" ht="15" hidden="false" customHeight="false" outlineLevel="0" collapsed="false">
      <c r="A952" s="20" t="s">
        <v>1531</v>
      </c>
      <c r="E952" s="23"/>
      <c r="F952" s="25"/>
      <c r="G952" s="26"/>
      <c r="H952" s="27"/>
      <c r="I952" s="24" t="str">
        <f aca="false">IF(OR(E952="",E952="!!!",F952="NEW"),"",INDEX(B11:B$942,-1+SUMPRODUCT(MAX(ROW(E11:E$942)*(E952=E11:E$942)))))</f>
        <v/>
      </c>
      <c r="J952" s="24" t="str">
        <f aca="true">IF(OR(E952="",E952="!!!",F952="NEW"),"",COUNTBLANK(OFFSET(A$1,,,SUMPRODUCT(MAX(ROW(E$2:E952)*(E952=E$2:E952)))))-COUNTBLANK(OFFSET(A$1,,,SUMPRODUCT(MAX(ROW(E$1:E951)*(E2=E$1:E951))))))</f>
        <v/>
      </c>
      <c r="K952" s="24" t="str">
        <f aca="false">IF(OR(E952="",E952="!!!",F952="NEW"),"",INDEX(J$1:J951,SUMPRODUCT(MAX(ROW(E$1:E951)*(E952=E$1:E951)))))</f>
        <v/>
      </c>
      <c r="L952" s="21"/>
    </row>
    <row r="953" customFormat="false" ht="15" hidden="false" customHeight="false" outlineLevel="0" collapsed="false">
      <c r="A953" s="20" t="s">
        <v>1532</v>
      </c>
      <c r="B953" s="22" t="s">
        <v>1073</v>
      </c>
      <c r="C953" s="22" t="s">
        <v>1150</v>
      </c>
      <c r="D953" s="22" t="s">
        <v>1060</v>
      </c>
      <c r="E953" s="23" t="s">
        <v>1533</v>
      </c>
      <c r="F953" s="23" t="s">
        <v>1062</v>
      </c>
      <c r="G953" s="23" t="s">
        <v>1063</v>
      </c>
      <c r="H953" s="23"/>
      <c r="I953" s="24" t="str">
        <f aca="false">IF(OR(E953="",E953="!!!",F953="NEW"),"",INDEX(B12:B$942,-1+SUMPRODUCT(MAX(ROW(E12:E$942)*(E953=E12:E$942)))))</f>
        <v/>
      </c>
      <c r="J953" s="24" t="str">
        <f aca="true">IF(OR(E953="",E953="!!!",F953="NEW"),"",COUNTBLANK(OFFSET(A$1,,,SUMPRODUCT(MAX(ROW(E$2:E953)*(E953=E$2:E953)))))-COUNTBLANK(OFFSET(A$1,,,SUMPRODUCT(MAX(ROW(E$1:E952)*(E2=E$1:E952))))))</f>
        <v/>
      </c>
      <c r="K953" s="24" t="str">
        <f aca="false">IF(OR(E953="",E953="!!!",F953="NEW"),"",INDEX(J$1:J952,SUMPRODUCT(MAX(ROW(E$1:E952)*(E953=E$1:E952)))))</f>
        <v/>
      </c>
      <c r="L953" s="21"/>
    </row>
    <row r="954" customFormat="false" ht="15" hidden="false" customHeight="false" outlineLevel="0" collapsed="false">
      <c r="A954" s="20" t="s">
        <v>1064</v>
      </c>
      <c r="E954" s="23"/>
      <c r="F954" s="25"/>
      <c r="G954" s="26"/>
      <c r="H954" s="27"/>
      <c r="I954" s="24" t="str">
        <f aca="false">IF(OR(E954="",E954="!!!",F954="NEW"),"",INDEX(B13:B$942,-1+SUMPRODUCT(MAX(ROW(E13:E$942)*(E954=E13:E$942)))))</f>
        <v/>
      </c>
      <c r="J954" s="24" t="str">
        <f aca="true">IF(OR(E954="",E954="!!!",F954="NEW"),"",COUNTBLANK(OFFSET(A$1,,,SUMPRODUCT(MAX(ROW(E$2:E954)*(E954=E$2:E954)))))-COUNTBLANK(OFFSET(A$1,,,SUMPRODUCT(MAX(ROW(E$1:E953)*(E2=E$1:E953))))))</f>
        <v/>
      </c>
      <c r="K954" s="24" t="str">
        <f aca="false">IF(OR(E954="",E954="!!!",F954="NEW"),"",INDEX(J$1:J953,SUMPRODUCT(MAX(ROW(E$1:E953)*(E954=E$1:E953)))))</f>
        <v/>
      </c>
      <c r="L954" s="21"/>
    </row>
    <row r="955" customFormat="false" ht="15" hidden="false" customHeight="false" outlineLevel="0" collapsed="false">
      <c r="A955" s="20" t="s">
        <v>1534</v>
      </c>
      <c r="B955" s="22" t="s">
        <v>1067</v>
      </c>
      <c r="C955" s="22" t="s">
        <v>1160</v>
      </c>
      <c r="E955" s="23"/>
      <c r="F955" s="25"/>
      <c r="G955" s="26"/>
      <c r="H955" s="27"/>
      <c r="I955" s="24" t="str">
        <f aca="false">IF(OR(E955="",E955="!!!",F955="NEW"),"",INDEX(B14:B$942,-1+SUMPRODUCT(MAX(ROW(E14:E$942)*(E955=E14:E$942)))))</f>
        <v/>
      </c>
      <c r="J955" s="24" t="str">
        <f aca="true">IF(OR(E955="",E955="!!!",F955="NEW"),"",COUNTBLANK(OFFSET(A$1,,,SUMPRODUCT(MAX(ROW(E$2:E955)*(E955=E$2:E955)))))-COUNTBLANK(OFFSET(A$1,,,SUMPRODUCT(MAX(ROW(E$1:E954)*(E2=E$1:E954))))))</f>
        <v/>
      </c>
      <c r="K955" s="24" t="str">
        <f aca="false">IF(OR(E955="",E955="!!!",F955="NEW"),"",INDEX(J$1:J954,SUMPRODUCT(MAX(ROW(E$1:E954)*(E955=E$1:E954)))))</f>
        <v/>
      </c>
      <c r="L955" s="21"/>
    </row>
    <row r="956" customFormat="false" ht="15" hidden="false" customHeight="false" outlineLevel="0" collapsed="false">
      <c r="A956" s="20" t="s">
        <v>1218</v>
      </c>
      <c r="E956" s="23"/>
      <c r="F956" s="25"/>
      <c r="G956" s="26"/>
      <c r="H956" s="27"/>
      <c r="I956" s="24" t="str">
        <f aca="false">IF(OR(E956="",E956="!!!",F956="NEW"),"",INDEX(B15:B$942,-1+SUMPRODUCT(MAX(ROW(E15:E$942)*(E956=E15:E$942)))))</f>
        <v/>
      </c>
      <c r="J956" s="24" t="str">
        <f aca="true">IF(OR(E956="",E956="!!!",F956="NEW"),"",COUNTBLANK(OFFSET(A$1,,,SUMPRODUCT(MAX(ROW(E$2:E956)*(E956=E$2:E956)))))-COUNTBLANK(OFFSET(A$1,,,SUMPRODUCT(MAX(ROW(E$1:E955)*(E2=E$1:E955))))))</f>
        <v/>
      </c>
      <c r="K956" s="24" t="str">
        <f aca="false">IF(OR(E956="",E956="!!!",F956="NEW"),"",INDEX(J$1:J955,SUMPRODUCT(MAX(ROW(E$1:E955)*(E956=E$1:E955)))))</f>
        <v/>
      </c>
      <c r="L956" s="21"/>
    </row>
    <row r="957" customFormat="false" ht="15" hidden="false" customHeight="false" outlineLevel="0" collapsed="false">
      <c r="A957" s="20" t="s">
        <v>1535</v>
      </c>
      <c r="B957" s="22" t="s">
        <v>1107</v>
      </c>
      <c r="C957" s="22" t="s">
        <v>1160</v>
      </c>
      <c r="E957" s="23"/>
      <c r="F957" s="25"/>
      <c r="G957" s="26"/>
      <c r="H957" s="27"/>
      <c r="I957" s="24" t="str">
        <f aca="false">IF(OR(E957="",E957="!!!",F957="NEW"),"",INDEX(B16:B$942,-1+SUMPRODUCT(MAX(ROW(E16:E$942)*(E957=E16:E$942)))))</f>
        <v/>
      </c>
      <c r="J957" s="24" t="str">
        <f aca="true">IF(OR(E957="",E957="!!!",F957="NEW"),"",COUNTBLANK(OFFSET(A$1,,,SUMPRODUCT(MAX(ROW(E$2:E957)*(E957=E$2:E957)))))-COUNTBLANK(OFFSET(A$1,,,SUMPRODUCT(MAX(ROW(E$1:E956)*(E2=E$1:E956))))))</f>
        <v/>
      </c>
      <c r="K957" s="24" t="str">
        <f aca="false">IF(OR(E957="",E957="!!!",F957="NEW"),"",INDEX(J$1:J956,SUMPRODUCT(MAX(ROW(E$1:E956)*(E957=E$1:E956)))))</f>
        <v/>
      </c>
      <c r="L957" s="21"/>
    </row>
    <row r="958" customFormat="false" ht="15" hidden="false" customHeight="false" outlineLevel="0" collapsed="false">
      <c r="A958" s="20" t="s">
        <v>923</v>
      </c>
      <c r="E958" s="23"/>
      <c r="F958" s="25"/>
      <c r="G958" s="26"/>
      <c r="H958" s="27"/>
      <c r="I958" s="24" t="str">
        <f aca="false">IF(OR(E958="",E958="!!!",F958="NEW"),"",INDEX(B17:B$942,-1+SUMPRODUCT(MAX(ROW(E17:E$942)*(E958=E17:E$942)))))</f>
        <v/>
      </c>
      <c r="J958" s="24" t="str">
        <f aca="true">IF(OR(E958="",E958="!!!",F958="NEW"),"",COUNTBLANK(OFFSET(A$1,,,SUMPRODUCT(MAX(ROW(E$2:E958)*(E958=E$2:E958)))))-COUNTBLANK(OFFSET(A$1,,,SUMPRODUCT(MAX(ROW(E$1:E957)*(E2=E$1:E957))))))</f>
        <v/>
      </c>
      <c r="K958" s="24" t="str">
        <f aca="false">IF(OR(E958="",E958="!!!",F958="NEW"),"",INDEX(J$1:J957,SUMPRODUCT(MAX(ROW(E$1:E957)*(E958=E$1:E957)))))</f>
        <v/>
      </c>
      <c r="L958" s="21"/>
    </row>
    <row r="959" customFormat="false" ht="15" hidden="false" customHeight="false" outlineLevel="0" collapsed="false">
      <c r="A959" s="20"/>
      <c r="L959" s="21"/>
    </row>
    <row r="960" customFormat="false" ht="15" hidden="false" customHeight="false" outlineLevel="0" collapsed="false">
      <c r="A960" s="20" t="s">
        <v>1536</v>
      </c>
      <c r="L960" s="21"/>
    </row>
    <row r="961" customFormat="false" ht="15" hidden="false" customHeight="false" outlineLevel="0" collapsed="false">
      <c r="A961" s="20" t="s">
        <v>1148</v>
      </c>
      <c r="E961" s="23"/>
      <c r="F961" s="25"/>
      <c r="G961" s="26"/>
      <c r="H961" s="27"/>
      <c r="I961" s="24" t="str">
        <f aca="false">IF(OR(E961="",E961="!!!",F961="NEW"),"",INDEX(B2:B$960,-1+SUMPRODUCT(MAX(ROW(E2:E$960)*(E961=E2:E$960)))))</f>
        <v/>
      </c>
      <c r="J961" s="24" t="str">
        <f aca="true">IF(OR(E961="",E961="!!!",F961="NEW"),"",COUNTBLANK(OFFSET(A$1,,,SUMPRODUCT(MAX(ROW(E$2:E961)*(E961=E$2:E961)))))-COUNTBLANK(OFFSET(A$1,,,SUMPRODUCT(MAX(ROW(E$1:E960)*(E2=E$1:E960))))))</f>
        <v/>
      </c>
      <c r="K961" s="24" t="str">
        <f aca="false">IF(OR(E961="",E961="!!!",F961="NEW"),"",INDEX(J$1:J960,SUMPRODUCT(MAX(ROW(E$1:E960)*(E961=E$1:E960)))))</f>
        <v/>
      </c>
      <c r="L961" s="21"/>
    </row>
    <row r="962" customFormat="false" ht="15" hidden="false" customHeight="false" outlineLevel="0" collapsed="false">
      <c r="A962" s="20" t="s">
        <v>1537</v>
      </c>
      <c r="B962" s="22" t="s">
        <v>1058</v>
      </c>
      <c r="C962" s="22" t="s">
        <v>1150</v>
      </c>
      <c r="D962" s="22" t="s">
        <v>1060</v>
      </c>
      <c r="E962" s="23" t="s">
        <v>1538</v>
      </c>
      <c r="F962" s="23" t="s">
        <v>1062</v>
      </c>
      <c r="G962" s="23" t="s">
        <v>1063</v>
      </c>
      <c r="H962" s="23"/>
      <c r="I962" s="24" t="str">
        <f aca="false">IF(OR(E962="",E962="!!!",F962="NEW"),"",INDEX(B3:B$960,-1+SUMPRODUCT(MAX(ROW(E3:E$960)*(E962=E3:E$960)))))</f>
        <v/>
      </c>
      <c r="J962" s="24" t="str">
        <f aca="true">IF(OR(E962="",E962="!!!",F962="NEW"),"",COUNTBLANK(OFFSET(A$1,,,SUMPRODUCT(MAX(ROW(E$2:E962)*(E962=E$2:E962)))))-COUNTBLANK(OFFSET(A$1,,,SUMPRODUCT(MAX(ROW(E$1:E961)*(E2=E$1:E961))))))</f>
        <v/>
      </c>
      <c r="K962" s="24" t="str">
        <f aca="false">IF(OR(E962="",E962="!!!",F962="NEW"),"",INDEX(J$1:J961,SUMPRODUCT(MAX(ROW(E$1:E961)*(E962=E$1:E961)))))</f>
        <v/>
      </c>
      <c r="L962" s="21"/>
    </row>
    <row r="963" customFormat="false" ht="15" hidden="false" customHeight="false" outlineLevel="0" collapsed="false">
      <c r="A963" s="20" t="s">
        <v>1267</v>
      </c>
      <c r="E963" s="23"/>
      <c r="F963" s="25"/>
      <c r="G963" s="26"/>
      <c r="H963" s="27"/>
      <c r="I963" s="24" t="str">
        <f aca="false">IF(OR(E963="",E963="!!!",F963="NEW"),"",INDEX(B4:B$960,-1+SUMPRODUCT(MAX(ROW(E4:E$960)*(E963=E4:E$960)))))</f>
        <v/>
      </c>
      <c r="J963" s="24" t="str">
        <f aca="true">IF(OR(E963="",E963="!!!",F963="NEW"),"",COUNTBLANK(OFFSET(A$1,,,SUMPRODUCT(MAX(ROW(E$2:E963)*(E963=E$2:E963)))))-COUNTBLANK(OFFSET(A$1,,,SUMPRODUCT(MAX(ROW(E$1:E962)*(E2=E$1:E962))))))</f>
        <v/>
      </c>
      <c r="K963" s="24" t="str">
        <f aca="false">IF(OR(E963="",E963="!!!",F963="NEW"),"",INDEX(J$1:J962,SUMPRODUCT(MAX(ROW(E$1:E962)*(E963=E$1:E962)))))</f>
        <v/>
      </c>
      <c r="L963" s="21"/>
    </row>
    <row r="964" customFormat="false" ht="15" hidden="false" customHeight="false" outlineLevel="0" collapsed="false">
      <c r="A964" s="20" t="s">
        <v>1381</v>
      </c>
      <c r="E964" s="23"/>
      <c r="F964" s="25"/>
      <c r="G964" s="26"/>
      <c r="H964" s="27"/>
      <c r="I964" s="24" t="str">
        <f aca="false">IF(OR(E964="",E964="!!!",F964="NEW"),"",INDEX(B5:B$960,-1+SUMPRODUCT(MAX(ROW(E5:E$960)*(E964=E5:E$960)))))</f>
        <v/>
      </c>
      <c r="J964" s="24" t="str">
        <f aca="true">IF(OR(E964="",E964="!!!",F964="NEW"),"",COUNTBLANK(OFFSET(A$1,,,SUMPRODUCT(MAX(ROW(E$2:E964)*(E964=E$2:E964)))))-COUNTBLANK(OFFSET(A$1,,,SUMPRODUCT(MAX(ROW(E$1:E963)*(E2=E$1:E963))))))</f>
        <v/>
      </c>
      <c r="K964" s="24" t="str">
        <f aca="false">IF(OR(E964="",E964="!!!",F964="NEW"),"",INDEX(J$1:J963,SUMPRODUCT(MAX(ROW(E$1:E963)*(E964=E$1:E963)))))</f>
        <v/>
      </c>
      <c r="L964" s="21"/>
    </row>
    <row r="965" customFormat="false" ht="15" hidden="false" customHeight="false" outlineLevel="0" collapsed="false">
      <c r="A965" s="20" t="s">
        <v>1109</v>
      </c>
      <c r="E965" s="23"/>
      <c r="F965" s="25"/>
      <c r="G965" s="26"/>
      <c r="H965" s="27"/>
      <c r="I965" s="24" t="str">
        <f aca="false">IF(OR(E965="",E965="!!!",F965="NEW"),"",INDEX(B6:B$960,-1+SUMPRODUCT(MAX(ROW(E6:E$960)*(E965=E6:E$960)))))</f>
        <v/>
      </c>
      <c r="J965" s="24" t="str">
        <f aca="true">IF(OR(E965="",E965="!!!",F965="NEW"),"",COUNTBLANK(OFFSET(A$1,,,SUMPRODUCT(MAX(ROW(E$2:E965)*(E965=E$2:E965)))))-COUNTBLANK(OFFSET(A$1,,,SUMPRODUCT(MAX(ROW(E$1:E964)*(E2=E$1:E964))))))</f>
        <v/>
      </c>
      <c r="K965" s="24" t="str">
        <f aca="false">IF(OR(E965="",E965="!!!",F965="NEW"),"",INDEX(J$1:J964,SUMPRODUCT(MAX(ROW(E$1:E964)*(E965=E$1:E964)))))</f>
        <v/>
      </c>
      <c r="L965" s="21"/>
    </row>
    <row r="966" customFormat="false" ht="15" hidden="false" customHeight="false" outlineLevel="0" collapsed="false">
      <c r="A966" s="20" t="s">
        <v>1458</v>
      </c>
      <c r="B966" s="22" t="s">
        <v>1105</v>
      </c>
      <c r="C966" s="22" t="s">
        <v>1150</v>
      </c>
      <c r="D966" s="22" t="s">
        <v>1060</v>
      </c>
      <c r="E966" s="23" t="s">
        <v>1458</v>
      </c>
      <c r="F966" s="23" t="s">
        <v>1083</v>
      </c>
      <c r="G966" s="23" t="s">
        <v>1070</v>
      </c>
      <c r="H966" s="23"/>
      <c r="I966" s="28" t="n">
        <f aca="false">IF(OR(E966="",E966="!!!",F966="NEW"),"",INDEX(B7:B$960,-1+SUMPRODUCT(MAX(ROW(E7:E$960)*(E966=E7:E$960)))))</f>
        <v>0</v>
      </c>
      <c r="J966" s="24" t="n">
        <f aca="true">IF(OR(E966="",E966="!!!",F966="NEW"),"",COUNTBLANK(OFFSET(A$1,,,SUMPRODUCT(MAX(ROW(E$2:E966)*(E966=E$2:E966)))))-COUNTBLANK(OFFSET(A$1,,,SUMPRODUCT(MAX(ROW(E$1:E965)*(E2=E$1:E965))))))</f>
        <v>0</v>
      </c>
      <c r="K966" s="24" t="str">
        <f aca="false">IF(OR(E966="",E966="!!!",F966="NEW"),"",INDEX(J$1:J965,SUMPRODUCT(MAX(ROW(E$1:E965)*(E966=E$1:E965)))))</f>
        <v/>
      </c>
      <c r="L966" s="21"/>
    </row>
    <row r="967" customFormat="false" ht="15" hidden="false" customHeight="false" outlineLevel="0" collapsed="false">
      <c r="A967" s="20" t="s">
        <v>1224</v>
      </c>
      <c r="E967" s="23"/>
      <c r="F967" s="25"/>
      <c r="G967" s="26"/>
      <c r="H967" s="27"/>
      <c r="I967" s="24" t="str">
        <f aca="false">IF(OR(E967="",E967="!!!",F967="NEW"),"",INDEX(B8:B$960,-1+SUMPRODUCT(MAX(ROW(E8:E$960)*(E967=E8:E$960)))))</f>
        <v/>
      </c>
      <c r="J967" s="24" t="str">
        <f aca="true">IF(OR(E967="",E967="!!!",F967="NEW"),"",COUNTBLANK(OFFSET(A$1,,,SUMPRODUCT(MAX(ROW(E$2:E967)*(E967=E$2:E967)))))-COUNTBLANK(OFFSET(A$1,,,SUMPRODUCT(MAX(ROW(E$1:E966)*(E2=E$1:E966))))))</f>
        <v/>
      </c>
      <c r="K967" s="24" t="str">
        <f aca="false">IF(OR(E967="",E967="!!!",F967="NEW"),"",INDEX(J$1:J966,SUMPRODUCT(MAX(ROW(E$1:E966)*(E967=E$1:E966)))))</f>
        <v/>
      </c>
      <c r="L967" s="21"/>
    </row>
    <row r="968" customFormat="false" ht="15" hidden="false" customHeight="false" outlineLevel="0" collapsed="false">
      <c r="A968" s="20" t="s">
        <v>1109</v>
      </c>
      <c r="E968" s="23"/>
      <c r="F968" s="25"/>
      <c r="G968" s="26"/>
      <c r="H968" s="27"/>
      <c r="I968" s="24" t="str">
        <f aca="false">IF(OR(E968="",E968="!!!",F968="NEW"),"",INDEX(B9:B$960,-1+SUMPRODUCT(MAX(ROW(E9:E$960)*(E968=E9:E$960)))))</f>
        <v/>
      </c>
      <c r="J968" s="24" t="str">
        <f aca="true">IF(OR(E968="",E968="!!!",F968="NEW"),"",COUNTBLANK(OFFSET(A$1,,,SUMPRODUCT(MAX(ROW(E$2:E968)*(E968=E$2:E968)))))-COUNTBLANK(OFFSET(A$1,,,SUMPRODUCT(MAX(ROW(E$1:E967)*(E2=E$1:E967))))))</f>
        <v/>
      </c>
      <c r="K968" s="24" t="str">
        <f aca="false">IF(OR(E968="",E968="!!!",F968="NEW"),"",INDEX(J$1:J967,SUMPRODUCT(MAX(ROW(E$1:E967)*(E968=E$1:E967)))))</f>
        <v/>
      </c>
      <c r="L968" s="21"/>
    </row>
    <row r="969" customFormat="false" ht="15" hidden="false" customHeight="false" outlineLevel="0" collapsed="false">
      <c r="A969" s="20" t="s">
        <v>1105</v>
      </c>
      <c r="E969" s="23"/>
      <c r="F969" s="25"/>
      <c r="G969" s="26"/>
      <c r="H969" s="27"/>
      <c r="I969" s="24" t="str">
        <f aca="false">IF(OR(E969="",E969="!!!",F969="NEW"),"",INDEX(B10:B$960,-1+SUMPRODUCT(MAX(ROW(E10:E$960)*(E969=E10:E$960)))))</f>
        <v/>
      </c>
      <c r="J969" s="24" t="str">
        <f aca="true">IF(OR(E969="",E969="!!!",F969="NEW"),"",COUNTBLANK(OFFSET(A$1,,,SUMPRODUCT(MAX(ROW(E$2:E969)*(E969=E$2:E969)))))-COUNTBLANK(OFFSET(A$1,,,SUMPRODUCT(MAX(ROW(E$1:E968)*(E2=E$1:E968))))))</f>
        <v/>
      </c>
      <c r="K969" s="24" t="str">
        <f aca="false">IF(OR(E969="",E969="!!!",F969="NEW"),"",INDEX(J$1:J968,SUMPRODUCT(MAX(ROW(E$1:E968)*(E969=E$1:E968)))))</f>
        <v/>
      </c>
      <c r="L969" s="21"/>
    </row>
    <row r="970" customFormat="false" ht="15" hidden="false" customHeight="false" outlineLevel="0" collapsed="false">
      <c r="A970" s="20" t="s">
        <v>1226</v>
      </c>
      <c r="B970" s="22" t="s">
        <v>1073</v>
      </c>
      <c r="C970" s="22" t="s">
        <v>1539</v>
      </c>
      <c r="D970" s="22" t="s">
        <v>1060</v>
      </c>
      <c r="E970" s="23" t="s">
        <v>1540</v>
      </c>
      <c r="F970" s="23" t="s">
        <v>1062</v>
      </c>
      <c r="G970" s="23" t="s">
        <v>1063</v>
      </c>
      <c r="H970" s="23"/>
      <c r="I970" s="24" t="str">
        <f aca="false">IF(OR(E970="",E970="!!!",F970="NEW"),"",INDEX(B11:B$960,-1+SUMPRODUCT(MAX(ROW(E11:E$960)*(E970=E11:E$960)))))</f>
        <v/>
      </c>
      <c r="J970" s="24" t="str">
        <f aca="true">IF(OR(E970="",E970="!!!",F970="NEW"),"",COUNTBLANK(OFFSET(A$1,,,SUMPRODUCT(MAX(ROW(E$2:E970)*(E970=E$2:E970)))))-COUNTBLANK(OFFSET(A$1,,,SUMPRODUCT(MAX(ROW(E$1:E969)*(E2=E$1:E969))))))</f>
        <v/>
      </c>
      <c r="K970" s="24" t="str">
        <f aca="false">IF(OR(E970="",E970="!!!",F970="NEW"),"",INDEX(J$1:J969,SUMPRODUCT(MAX(ROW(E$1:E969)*(E970=E$1:E969)))))</f>
        <v/>
      </c>
      <c r="L970" s="21"/>
    </row>
    <row r="971" customFormat="false" ht="15" hidden="false" customHeight="false" outlineLevel="0" collapsed="false">
      <c r="A971" s="20" t="s">
        <v>1064</v>
      </c>
      <c r="E971" s="23"/>
      <c r="F971" s="25"/>
      <c r="G971" s="26"/>
      <c r="H971" s="27"/>
      <c r="I971" s="24" t="str">
        <f aca="false">IF(OR(E971="",E971="!!!",F971="NEW"),"",INDEX(B12:B$960,-1+SUMPRODUCT(MAX(ROW(E12:E$960)*(E971=E12:E$960)))))</f>
        <v/>
      </c>
      <c r="J971" s="24" t="str">
        <f aca="true">IF(OR(E971="",E971="!!!",F971="NEW"),"",COUNTBLANK(OFFSET(A$1,,,SUMPRODUCT(MAX(ROW(E$2:E971)*(E971=E$2:E971)))))-COUNTBLANK(OFFSET(A$1,,,SUMPRODUCT(MAX(ROW(E$1:E970)*(E2=E$1:E970))))))</f>
        <v/>
      </c>
      <c r="K971" s="24" t="str">
        <f aca="false">IF(OR(E971="",E971="!!!",F971="NEW"),"",INDEX(J$1:J970,SUMPRODUCT(MAX(ROW(E$1:E970)*(E971=E$1:E970)))))</f>
        <v/>
      </c>
      <c r="L971" s="21"/>
    </row>
    <row r="972" customFormat="false" ht="15" hidden="false" customHeight="false" outlineLevel="0" collapsed="false">
      <c r="A972" s="20" t="s">
        <v>1109</v>
      </c>
      <c r="E972" s="23"/>
      <c r="F972" s="25"/>
      <c r="G972" s="26"/>
      <c r="H972" s="27"/>
      <c r="I972" s="24" t="str">
        <f aca="false">IF(OR(E972="",E972="!!!",F972="NEW"),"",INDEX(B13:B$960,-1+SUMPRODUCT(MAX(ROW(E13:E$960)*(E972=E13:E$960)))))</f>
        <v/>
      </c>
      <c r="J972" s="24" t="str">
        <f aca="true">IF(OR(E972="",E972="!!!",F972="NEW"),"",COUNTBLANK(OFFSET(A$1,,,SUMPRODUCT(MAX(ROW(E$2:E972)*(E972=E$2:E972)))))-COUNTBLANK(OFFSET(A$1,,,SUMPRODUCT(MAX(ROW(E$1:E971)*(E2=E$1:E971))))))</f>
        <v/>
      </c>
      <c r="K972" s="24" t="str">
        <f aca="false">IF(OR(E972="",E972="!!!",F972="NEW"),"",INDEX(J$1:J971,SUMPRODUCT(MAX(ROW(E$1:E971)*(E972=E$1:E971)))))</f>
        <v/>
      </c>
      <c r="L972" s="21"/>
    </row>
    <row r="973" customFormat="false" ht="15" hidden="false" customHeight="false" outlineLevel="0" collapsed="false">
      <c r="A973" s="20" t="s">
        <v>1462</v>
      </c>
      <c r="B973" s="22" t="s">
        <v>1067</v>
      </c>
      <c r="C973" s="22" t="s">
        <v>1150</v>
      </c>
      <c r="D973" s="22" t="s">
        <v>1060</v>
      </c>
      <c r="E973" s="23" t="s">
        <v>1462</v>
      </c>
      <c r="F973" s="23" t="s">
        <v>1083</v>
      </c>
      <c r="G973" s="23" t="s">
        <v>1070</v>
      </c>
      <c r="H973" s="23"/>
      <c r="I973" s="28" t="n">
        <f aca="false">IF(OR(E973="",E973="!!!",F973="NEW"),"",INDEX(B14:B$960,-1+SUMPRODUCT(MAX(ROW(E14:E$960)*(E973=E14:E$960)))))</f>
        <v>0</v>
      </c>
      <c r="J973" s="24" t="n">
        <f aca="true">IF(OR(E973="",E973="!!!",F973="NEW"),"",COUNTBLANK(OFFSET(A$1,,,SUMPRODUCT(MAX(ROW(E$2:E973)*(E973=E$2:E973)))))-COUNTBLANK(OFFSET(A$1,,,SUMPRODUCT(MAX(ROW(E$1:E972)*(E2=E$1:E972))))))</f>
        <v>0</v>
      </c>
      <c r="K973" s="24" t="str">
        <f aca="false">IF(OR(E973="",E973="!!!",F973="NEW"),"",INDEX(J$1:J972,SUMPRODUCT(MAX(ROW(E$1:E972)*(E973=E$1:E972)))))</f>
        <v/>
      </c>
      <c r="L973" s="21"/>
    </row>
    <row r="974" customFormat="false" ht="15" hidden="false" customHeight="false" outlineLevel="0" collapsed="false">
      <c r="A974" s="20" t="s">
        <v>1167</v>
      </c>
      <c r="E974" s="23"/>
      <c r="F974" s="25"/>
      <c r="G974" s="26"/>
      <c r="H974" s="27"/>
      <c r="I974" s="24" t="str">
        <f aca="false">IF(OR(E974="",E974="!!!",F974="NEW"),"",INDEX(B15:B$960,-1+SUMPRODUCT(MAX(ROW(E15:E$960)*(E974=E15:E$960)))))</f>
        <v/>
      </c>
      <c r="J974" s="24" t="str">
        <f aca="true">IF(OR(E974="",E974="!!!",F974="NEW"),"",COUNTBLANK(OFFSET(A$1,,,SUMPRODUCT(MAX(ROW(E$2:E974)*(E974=E$2:E974)))))-COUNTBLANK(OFFSET(A$1,,,SUMPRODUCT(MAX(ROW(E$1:E973)*(E2=E$1:E973))))))</f>
        <v/>
      </c>
      <c r="K974" s="24" t="str">
        <f aca="false">IF(OR(E974="",E974="!!!",F974="NEW"),"",INDEX(J$1:J973,SUMPRODUCT(MAX(ROW(E$1:E973)*(E974=E$1:E973)))))</f>
        <v/>
      </c>
      <c r="L974" s="21"/>
    </row>
    <row r="975" customFormat="false" ht="15" hidden="false" customHeight="false" outlineLevel="0" collapsed="false">
      <c r="A975" s="20" t="s">
        <v>1125</v>
      </c>
      <c r="E975" s="23"/>
      <c r="F975" s="25"/>
      <c r="G975" s="26"/>
      <c r="H975" s="27"/>
      <c r="I975" s="24" t="str">
        <f aca="false">IF(OR(E975="",E975="!!!",F975="NEW"),"",INDEX(B16:B$960,-1+SUMPRODUCT(MAX(ROW(E16:E$960)*(E975=E16:E$960)))))</f>
        <v/>
      </c>
      <c r="J975" s="24" t="str">
        <f aca="true">IF(OR(E975="",E975="!!!",F975="NEW"),"",COUNTBLANK(OFFSET(A$1,,,SUMPRODUCT(MAX(ROW(E$2:E975)*(E975=E$2:E975)))))-COUNTBLANK(OFFSET(A$1,,,SUMPRODUCT(MAX(ROW(E$1:E974)*(E2=E$1:E974))))))</f>
        <v/>
      </c>
      <c r="K975" s="24" t="str">
        <f aca="false">IF(OR(E975="",E975="!!!",F975="NEW"),"",INDEX(J$1:J974,SUMPRODUCT(MAX(ROW(E$1:E974)*(E975=E$1:E974)))))</f>
        <v/>
      </c>
      <c r="L975" s="21"/>
    </row>
    <row r="976" customFormat="false" ht="15" hidden="false" customHeight="false" outlineLevel="0" collapsed="false">
      <c r="A976" s="20" t="s">
        <v>1162</v>
      </c>
      <c r="B976" s="22" t="s">
        <v>1086</v>
      </c>
      <c r="C976" s="22" t="s">
        <v>1082</v>
      </c>
      <c r="D976" s="22" t="s">
        <v>1060</v>
      </c>
      <c r="E976" s="23" t="s">
        <v>1163</v>
      </c>
      <c r="F976" s="23" t="s">
        <v>1083</v>
      </c>
      <c r="G976" s="23" t="s">
        <v>1084</v>
      </c>
      <c r="H976" s="23"/>
      <c r="I976" s="28" t="n">
        <f aca="false">IF(OR(E976="",E976="!!!",F976="NEW"),"",INDEX(B17:B$960,-1+SUMPRODUCT(MAX(ROW(E17:E$960)*(E976=E17:E$960)))))</f>
        <v>0</v>
      </c>
      <c r="J976" s="24" t="n">
        <f aca="true">IF(OR(E976="",E976="!!!",F976="NEW"),"",COUNTBLANK(OFFSET(A$1,,,SUMPRODUCT(MAX(ROW(E$2:E976)*(E976=E$2:E976)))))-COUNTBLANK(OFFSET(A$1,,,SUMPRODUCT(MAX(ROW(E$1:E975)*(E2=E$1:E975))))))</f>
        <v>0</v>
      </c>
      <c r="K976" s="24" t="n">
        <f aca="false">IF(OR(E976="",E976="!!!",F976="NEW"),"",INDEX(J$1:J975,SUMPRODUCT(MAX(ROW(E$1:E975)*(E976=E$1:E975)))))</f>
        <v>0</v>
      </c>
      <c r="L976" s="21"/>
    </row>
    <row r="977" customFormat="false" ht="15" hidden="false" customHeight="false" outlineLevel="0" collapsed="false">
      <c r="A977" s="20" t="s">
        <v>1541</v>
      </c>
      <c r="E977" s="23"/>
      <c r="F977" s="25"/>
      <c r="G977" s="26"/>
      <c r="H977" s="27"/>
      <c r="I977" s="24" t="str">
        <f aca="false">IF(OR(E977="",E977="!!!",F977="NEW"),"",INDEX(B18:B$960,-1+SUMPRODUCT(MAX(ROW(E18:E$960)*(E977=E18:E$960)))))</f>
        <v/>
      </c>
      <c r="J977" s="24" t="str">
        <f aca="true">IF(OR(E977="",E977="!!!",F977="NEW"),"",COUNTBLANK(OFFSET(A$1,,,SUMPRODUCT(MAX(ROW(E$2:E977)*(E977=E$2:E977)))))-COUNTBLANK(OFFSET(A$1,,,SUMPRODUCT(MAX(ROW(E$1:E976)*(E2=E$1:E976))))))</f>
        <v/>
      </c>
      <c r="K977" s="24" t="str">
        <f aca="false">IF(OR(E977="",E977="!!!",F977="NEW"),"",INDEX(J$1:J976,SUMPRODUCT(MAX(ROW(E$1:E976)*(E977=E$1:E976)))))</f>
        <v/>
      </c>
      <c r="L977" s="21"/>
    </row>
    <row r="978" customFormat="false" ht="15" hidden="false" customHeight="false" outlineLevel="0" collapsed="false">
      <c r="A978" s="20" t="s">
        <v>923</v>
      </c>
      <c r="E978" s="23"/>
      <c r="F978" s="25"/>
      <c r="G978" s="26"/>
      <c r="H978" s="27"/>
      <c r="I978" s="24" t="str">
        <f aca="false">IF(OR(E978="",E978="!!!",F978="NEW"),"",INDEX(B19:B$960,-1+SUMPRODUCT(MAX(ROW(E19:E$960)*(E978=E19:E$960)))))</f>
        <v/>
      </c>
      <c r="J978" s="24" t="str">
        <f aca="true">IF(OR(E978="",E978="!!!",F978="NEW"),"",COUNTBLANK(OFFSET(A$1,,,SUMPRODUCT(MAX(ROW(E$2:E978)*(E978=E$2:E978)))))-COUNTBLANK(OFFSET(A$1,,,SUMPRODUCT(MAX(ROW(E$1:E977)*(E2=E$1:E977))))))</f>
        <v/>
      </c>
      <c r="K978" s="24" t="str">
        <f aca="false">IF(OR(E978="",E978="!!!",F978="NEW"),"",INDEX(J$1:J977,SUMPRODUCT(MAX(ROW(E$1:E977)*(E978=E$1:E977)))))</f>
        <v/>
      </c>
      <c r="L978" s="21"/>
    </row>
    <row r="979" customFormat="false" ht="15" hidden="false" customHeight="false" outlineLevel="0" collapsed="false">
      <c r="A979" s="20"/>
      <c r="L979" s="21"/>
    </row>
    <row r="980" customFormat="false" ht="15" hidden="false" customHeight="false" outlineLevel="0" collapsed="false">
      <c r="A980" s="20" t="s">
        <v>1542</v>
      </c>
      <c r="L980" s="21"/>
    </row>
    <row r="981" customFormat="false" ht="15" hidden="false" customHeight="false" outlineLevel="0" collapsed="false">
      <c r="A981" s="20" t="s">
        <v>1543</v>
      </c>
      <c r="E981" s="23"/>
      <c r="F981" s="25"/>
      <c r="G981" s="26"/>
      <c r="H981" s="27"/>
      <c r="I981" s="24" t="str">
        <f aca="false">IF(OR(E981="",E981="!!!",F981="NEW"),"",INDEX(B2:B$980,-1+SUMPRODUCT(MAX(ROW(E2:E$980)*(E981=E2:E$980)))))</f>
        <v/>
      </c>
      <c r="J981" s="24" t="str">
        <f aca="true">IF(OR(E981="",E981="!!!",F981="NEW"),"",COUNTBLANK(OFFSET(A$1,,,SUMPRODUCT(MAX(ROW(E$2:E981)*(E981=E$2:E981)))))-COUNTBLANK(OFFSET(A$1,,,SUMPRODUCT(MAX(ROW(E$1:E980)*(E2=E$1:E980))))))</f>
        <v/>
      </c>
      <c r="K981" s="24" t="str">
        <f aca="false">IF(OR(E981="",E981="!!!",F981="NEW"),"",INDEX(J$1:J980,SUMPRODUCT(MAX(ROW(E$1:E980)*(E981=E$1:E980)))))</f>
        <v/>
      </c>
      <c r="L981" s="21"/>
    </row>
    <row r="982" customFormat="false" ht="15" hidden="false" customHeight="false" outlineLevel="0" collapsed="false">
      <c r="A982" s="20" t="s">
        <v>1360</v>
      </c>
      <c r="E982" s="23"/>
      <c r="F982" s="25"/>
      <c r="G982" s="26"/>
      <c r="H982" s="27"/>
      <c r="I982" s="24" t="str">
        <f aca="false">IF(OR(E982="",E982="!!!",F982="NEW"),"",INDEX(B3:B$980,-1+SUMPRODUCT(MAX(ROW(E3:E$980)*(E982=E3:E$980)))))</f>
        <v/>
      </c>
      <c r="J982" s="24" t="str">
        <f aca="true">IF(OR(E982="",E982="!!!",F982="NEW"),"",COUNTBLANK(OFFSET(A$1,,,SUMPRODUCT(MAX(ROW(E$2:E982)*(E982=E$2:E982)))))-COUNTBLANK(OFFSET(A$1,,,SUMPRODUCT(MAX(ROW(E$1:E981)*(E2=E$1:E981))))))</f>
        <v/>
      </c>
      <c r="K982" s="24" t="str">
        <f aca="false">IF(OR(E982="",E982="!!!",F982="NEW"),"",INDEX(J$1:J981,SUMPRODUCT(MAX(ROW(E$1:E981)*(E982=E$1:E981)))))</f>
        <v/>
      </c>
      <c r="L982" s="21"/>
    </row>
    <row r="983" customFormat="false" ht="15" hidden="false" customHeight="false" outlineLevel="0" collapsed="false">
      <c r="A983" s="20" t="s">
        <v>1076</v>
      </c>
      <c r="E983" s="23"/>
      <c r="F983" s="25"/>
      <c r="G983" s="26"/>
      <c r="H983" s="27"/>
      <c r="I983" s="24" t="str">
        <f aca="false">IF(OR(E983="",E983="!!!",F983="NEW"),"",INDEX(B4:B$980,-1+SUMPRODUCT(MAX(ROW(E4:E$980)*(E983=E4:E$980)))))</f>
        <v/>
      </c>
      <c r="J983" s="24" t="str">
        <f aca="true">IF(OR(E983="",E983="!!!",F983="NEW"),"",COUNTBLANK(OFFSET(A$1,,,SUMPRODUCT(MAX(ROW(E$2:E983)*(E983=E$2:E983)))))-COUNTBLANK(OFFSET(A$1,,,SUMPRODUCT(MAX(ROW(E$1:E982)*(E2=E$1:E982))))))</f>
        <v/>
      </c>
      <c r="K983" s="24" t="str">
        <f aca="false">IF(OR(E983="",E983="!!!",F983="NEW"),"",INDEX(J$1:J982,SUMPRODUCT(MAX(ROW(E$1:E982)*(E983=E$1:E982)))))</f>
        <v/>
      </c>
      <c r="L983" s="21"/>
    </row>
    <row r="984" customFormat="false" ht="15" hidden="false" customHeight="false" outlineLevel="0" collapsed="false">
      <c r="A984" s="20" t="s">
        <v>1162</v>
      </c>
      <c r="B984" s="22" t="s">
        <v>1058</v>
      </c>
      <c r="C984" s="22" t="s">
        <v>1082</v>
      </c>
      <c r="D984" s="22" t="s">
        <v>1060</v>
      </c>
      <c r="E984" s="23" t="s">
        <v>1163</v>
      </c>
      <c r="F984" s="23" t="s">
        <v>1083</v>
      </c>
      <c r="G984" s="23" t="s">
        <v>1084</v>
      </c>
      <c r="H984" s="23" t="s">
        <v>1052</v>
      </c>
      <c r="I984" s="28" t="n">
        <f aca="false">IF(OR(E984="",E984="!!!",F984="NEW"),"",INDEX(B5:B$980,-1+SUMPRODUCT(MAX(ROW(E5:E$980)*(E984=E5:E$980)))))</f>
        <v>0</v>
      </c>
      <c r="J984" s="24" t="n">
        <f aca="true">IF(OR(E984="",E984="!!!",F984="NEW"),"",COUNTBLANK(OFFSET(A$1,,,SUMPRODUCT(MAX(ROW(E$2:E984)*(E984=E$2:E984)))))-COUNTBLANK(OFFSET(A$1,,,SUMPRODUCT(MAX(ROW(E$1:E983)*(E2=E$1:E983))))))</f>
        <v>0</v>
      </c>
      <c r="K984" s="24" t="n">
        <f aca="false">IF(OR(E984="",E984="!!!",F984="NEW"),"",INDEX(J$1:J983,SUMPRODUCT(MAX(ROW(E$1:E983)*(E984=E$1:E983)))))</f>
        <v>0</v>
      </c>
      <c r="L984" s="21"/>
    </row>
    <row r="985" customFormat="false" ht="15" hidden="false" customHeight="false" outlineLevel="0" collapsed="false">
      <c r="A985" s="20" t="s">
        <v>1544</v>
      </c>
      <c r="E985" s="23"/>
      <c r="F985" s="25"/>
      <c r="G985" s="26"/>
      <c r="H985" s="27"/>
      <c r="I985" s="24" t="str">
        <f aca="false">IF(OR(E985="",E985="!!!",F985="NEW"),"",INDEX(B6:B$980,-1+SUMPRODUCT(MAX(ROW(E6:E$980)*(E985=E6:E$980)))))</f>
        <v/>
      </c>
      <c r="J985" s="24" t="str">
        <f aca="true">IF(OR(E985="",E985="!!!",F985="NEW"),"",COUNTBLANK(OFFSET(A$1,,,SUMPRODUCT(MAX(ROW(E$2:E985)*(E985=E$2:E985)))))-COUNTBLANK(OFFSET(A$1,,,SUMPRODUCT(MAX(ROW(E$1:E984)*(E2=E$1:E984))))))</f>
        <v/>
      </c>
      <c r="K985" s="24" t="str">
        <f aca="false">IF(OR(E985="",E985="!!!",F985="NEW"),"",INDEX(J$1:J984,SUMPRODUCT(MAX(ROW(E$1:E984)*(E985=E$1:E984)))))</f>
        <v/>
      </c>
      <c r="L985" s="21"/>
    </row>
    <row r="986" customFormat="false" ht="15" hidden="false" customHeight="false" outlineLevel="0" collapsed="false">
      <c r="A986" s="20" t="s">
        <v>1109</v>
      </c>
      <c r="E986" s="23"/>
      <c r="F986" s="25"/>
      <c r="G986" s="26"/>
      <c r="H986" s="27"/>
      <c r="I986" s="24" t="str">
        <f aca="false">IF(OR(E986="",E986="!!!",F986="NEW"),"",INDEX(B7:B$980,-1+SUMPRODUCT(MAX(ROW(E7:E$980)*(E986=E7:E$980)))))</f>
        <v/>
      </c>
      <c r="J986" s="24" t="str">
        <f aca="true">IF(OR(E986="",E986="!!!",F986="NEW"),"",COUNTBLANK(OFFSET(A$1,,,SUMPRODUCT(MAX(ROW(E$2:E986)*(E986=E$2:E986)))))-COUNTBLANK(OFFSET(A$1,,,SUMPRODUCT(MAX(ROW(E$1:E985)*(E2=E$1:E985))))))</f>
        <v/>
      </c>
      <c r="K986" s="24" t="str">
        <f aca="false">IF(OR(E986="",E986="!!!",F986="NEW"),"",INDEX(J$1:J985,SUMPRODUCT(MAX(ROW(E$1:E985)*(E986=E$1:E985)))))</f>
        <v/>
      </c>
      <c r="L986" s="21"/>
    </row>
    <row r="987" customFormat="false" ht="15" hidden="false" customHeight="false" outlineLevel="0" collapsed="false">
      <c r="A987" s="20" t="s">
        <v>1545</v>
      </c>
      <c r="E987" s="23"/>
      <c r="F987" s="25"/>
      <c r="G987" s="26"/>
      <c r="H987" s="27"/>
      <c r="I987" s="24" t="str">
        <f aca="false">IF(OR(E987="",E987="!!!",F987="NEW"),"",INDEX(B8:B$980,-1+SUMPRODUCT(MAX(ROW(E8:E$980)*(E987=E8:E$980)))))</f>
        <v/>
      </c>
      <c r="J987" s="24" t="str">
        <f aca="true">IF(OR(E987="",E987="!!!",F987="NEW"),"",COUNTBLANK(OFFSET(A$1,,,SUMPRODUCT(MAX(ROW(E$2:E987)*(E987=E$2:E987)))))-COUNTBLANK(OFFSET(A$1,,,SUMPRODUCT(MAX(ROW(E$1:E986)*(E2=E$1:E986))))))</f>
        <v/>
      </c>
      <c r="K987" s="24" t="str">
        <f aca="false">IF(OR(E987="",E987="!!!",F987="NEW"),"",INDEX(J$1:J986,SUMPRODUCT(MAX(ROW(E$1:E986)*(E987=E$1:E986)))))</f>
        <v/>
      </c>
      <c r="L987" s="21"/>
    </row>
    <row r="988" customFormat="false" ht="15" hidden="false" customHeight="false" outlineLevel="0" collapsed="false">
      <c r="A988" s="20" t="s">
        <v>452</v>
      </c>
      <c r="B988" s="22" t="s">
        <v>1081</v>
      </c>
      <c r="C988" s="22" t="s">
        <v>1150</v>
      </c>
      <c r="D988" s="22" t="s">
        <v>1060</v>
      </c>
      <c r="E988" s="23" t="s">
        <v>1482</v>
      </c>
      <c r="F988" s="23" t="s">
        <v>1083</v>
      </c>
      <c r="G988" s="23" t="s">
        <v>1070</v>
      </c>
      <c r="H988" s="23"/>
      <c r="I988" s="28" t="n">
        <f aca="false">IF(OR(E988="",E988="!!!",F988="NEW"),"",INDEX(B9:B$980,-1+SUMPRODUCT(MAX(ROW(E9:E$980)*(E988=E9:E$980)))))</f>
        <v>0</v>
      </c>
      <c r="J988" s="24" t="n">
        <f aca="true">IF(OR(E988="",E988="!!!",F988="NEW"),"",COUNTBLANK(OFFSET(A$1,,,SUMPRODUCT(MAX(ROW(E$2:E988)*(E988=E$2:E988)))))-COUNTBLANK(OFFSET(A$1,,,SUMPRODUCT(MAX(ROW(E$1:E987)*(E2=E$1:E987))))))</f>
        <v>0</v>
      </c>
      <c r="K988" s="24" t="n">
        <f aca="false">IF(OR(E988="",E988="!!!",F988="NEW"),"",INDEX(J$1:J987,SUMPRODUCT(MAX(ROW(E$1:E987)*(E988=E$1:E987)))))</f>
        <v>0</v>
      </c>
      <c r="L988" s="21"/>
    </row>
    <row r="989" customFormat="false" ht="15" hidden="false" customHeight="false" outlineLevel="0" collapsed="false">
      <c r="A989" s="20" t="s">
        <v>1184</v>
      </c>
      <c r="E989" s="23"/>
      <c r="F989" s="25"/>
      <c r="G989" s="26"/>
      <c r="H989" s="27"/>
      <c r="I989" s="24" t="str">
        <f aca="false">IF(OR(E989="",E989="!!!",F989="NEW"),"",INDEX(B10:B$980,-1+SUMPRODUCT(MAX(ROW(E10:E$980)*(E989=E10:E$980)))))</f>
        <v/>
      </c>
      <c r="J989" s="24" t="str">
        <f aca="true">IF(OR(E989="",E989="!!!",F989="NEW"),"",COUNTBLANK(OFFSET(A$1,,,SUMPRODUCT(MAX(ROW(E$2:E989)*(E989=E$2:E989)))))-COUNTBLANK(OFFSET(A$1,,,SUMPRODUCT(MAX(ROW(E$1:E988)*(E2=E$1:E988))))))</f>
        <v/>
      </c>
      <c r="K989" s="24" t="str">
        <f aca="false">IF(OR(E989="",E989="!!!",F989="NEW"),"",INDEX(J$1:J988,SUMPRODUCT(MAX(ROW(E$1:E988)*(E989=E$1:E988)))))</f>
        <v/>
      </c>
      <c r="L989" s="21"/>
    </row>
    <row r="990" customFormat="false" ht="15" hidden="false" customHeight="false" outlineLevel="0" collapsed="false">
      <c r="A990" s="20" t="s">
        <v>1109</v>
      </c>
      <c r="E990" s="23"/>
      <c r="F990" s="25"/>
      <c r="G990" s="26"/>
      <c r="H990" s="27"/>
      <c r="I990" s="24" t="str">
        <f aca="false">IF(OR(E990="",E990="!!!",F990="NEW"),"",INDEX(B11:B$980,-1+SUMPRODUCT(MAX(ROW(E11:E$980)*(E990=E11:E$980)))))</f>
        <v/>
      </c>
      <c r="J990" s="24" t="str">
        <f aca="true">IF(OR(E990="",E990="!!!",F990="NEW"),"",COUNTBLANK(OFFSET(A$1,,,SUMPRODUCT(MAX(ROW(E$2:E990)*(E990=E$2:E990)))))-COUNTBLANK(OFFSET(A$1,,,SUMPRODUCT(MAX(ROW(E$1:E989)*(E2=E$1:E989))))))</f>
        <v/>
      </c>
      <c r="K990" s="24" t="str">
        <f aca="false">IF(OR(E990="",E990="!!!",F990="NEW"),"",INDEX(J$1:J989,SUMPRODUCT(MAX(ROW(E$1:E989)*(E990=E$1:E989)))))</f>
        <v/>
      </c>
      <c r="L990" s="21"/>
    </row>
    <row r="991" customFormat="false" ht="15" hidden="false" customHeight="false" outlineLevel="0" collapsed="false">
      <c r="A991" s="20" t="s">
        <v>1281</v>
      </c>
      <c r="B991" s="22" t="s">
        <v>1105</v>
      </c>
      <c r="C991" s="22" t="s">
        <v>1150</v>
      </c>
      <c r="D991" s="22" t="s">
        <v>1060</v>
      </c>
      <c r="E991" s="23" t="s">
        <v>1546</v>
      </c>
      <c r="F991" s="23" t="s">
        <v>1062</v>
      </c>
      <c r="G991" s="23" t="s">
        <v>1063</v>
      </c>
      <c r="H991" s="23"/>
      <c r="I991" s="24" t="str">
        <f aca="false">IF(OR(E991="",E991="!!!",F991="NEW"),"",INDEX(B12:B$980,-1+SUMPRODUCT(MAX(ROW(E12:E$980)*(E991=E12:E$980)))))</f>
        <v/>
      </c>
      <c r="J991" s="24" t="str">
        <f aca="true">IF(OR(E991="",E991="!!!",F991="NEW"),"",COUNTBLANK(OFFSET(A$1,,,SUMPRODUCT(MAX(ROW(E$2:E991)*(E991=E$2:E991)))))-COUNTBLANK(OFFSET(A$1,,,SUMPRODUCT(MAX(ROW(E$1:E990)*(E2=E$1:E990))))))</f>
        <v/>
      </c>
      <c r="K991" s="24" t="str">
        <f aca="false">IF(OR(E991="",E991="!!!",F991="NEW"),"",INDEX(J$1:J990,SUMPRODUCT(MAX(ROW(E$1:E990)*(E991=E$1:E990)))))</f>
        <v/>
      </c>
      <c r="L991" s="21"/>
    </row>
    <row r="992" customFormat="false" ht="15" hidden="false" customHeight="false" outlineLevel="0" collapsed="false">
      <c r="A992" s="20" t="s">
        <v>1064</v>
      </c>
      <c r="E992" s="23"/>
      <c r="F992" s="25"/>
      <c r="G992" s="26"/>
      <c r="H992" s="27"/>
      <c r="I992" s="24" t="str">
        <f aca="false">IF(OR(E992="",E992="!!!",F992="NEW"),"",INDEX(B13:B$980,-1+SUMPRODUCT(MAX(ROW(E13:E$980)*(E992=E13:E$980)))))</f>
        <v/>
      </c>
      <c r="J992" s="24" t="str">
        <f aca="true">IF(OR(E992="",E992="!!!",F992="NEW"),"",COUNTBLANK(OFFSET(A$1,,,SUMPRODUCT(MAX(ROW(E$2:E992)*(E992=E$2:E992)))))-COUNTBLANK(OFFSET(A$1,,,SUMPRODUCT(MAX(ROW(E$1:E991)*(E2=E$1:E991))))))</f>
        <v/>
      </c>
      <c r="K992" s="24" t="str">
        <f aca="false">IF(OR(E992="",E992="!!!",F992="NEW"),"",INDEX(J$1:J991,SUMPRODUCT(MAX(ROW(E$1:E991)*(E992=E$1:E991)))))</f>
        <v/>
      </c>
      <c r="L992" s="21"/>
    </row>
    <row r="993" customFormat="false" ht="15" hidden="false" customHeight="false" outlineLevel="0" collapsed="false">
      <c r="A993" s="20" t="s">
        <v>1399</v>
      </c>
      <c r="E993" s="23"/>
      <c r="F993" s="25"/>
      <c r="G993" s="26"/>
      <c r="H993" s="27"/>
      <c r="I993" s="24" t="str">
        <f aca="false">IF(OR(E993="",E993="!!!",F993="NEW"),"",INDEX(B14:B$980,-1+SUMPRODUCT(MAX(ROW(E14:E$980)*(E993=E14:E$980)))))</f>
        <v/>
      </c>
      <c r="J993" s="24" t="str">
        <f aca="true">IF(OR(E993="",E993="!!!",F993="NEW"),"",COUNTBLANK(OFFSET(A$1,,,SUMPRODUCT(MAX(ROW(E$2:E993)*(E993=E$2:E993)))))-COUNTBLANK(OFFSET(A$1,,,SUMPRODUCT(MAX(ROW(E$1:E992)*(E2=E$1:E992))))))</f>
        <v/>
      </c>
      <c r="K993" s="24" t="str">
        <f aca="false">IF(OR(E993="",E993="!!!",F993="NEW"),"",INDEX(J$1:J992,SUMPRODUCT(MAX(ROW(E$1:E992)*(E993=E$1:E992)))))</f>
        <v/>
      </c>
      <c r="L993" s="21"/>
    </row>
    <row r="994" customFormat="false" ht="15" hidden="false" customHeight="false" outlineLevel="0" collapsed="false">
      <c r="A994" s="20" t="s">
        <v>1547</v>
      </c>
      <c r="E994" s="23"/>
      <c r="F994" s="25"/>
      <c r="G994" s="26"/>
      <c r="H994" s="27"/>
      <c r="I994" s="24" t="str">
        <f aca="false">IF(OR(E994="",E994="!!!",F994="NEW"),"",INDEX(B15:B$980,-1+SUMPRODUCT(MAX(ROW(E15:E$980)*(E994=E15:E$980)))))</f>
        <v/>
      </c>
      <c r="J994" s="24" t="str">
        <f aca="true">IF(OR(E994="",E994="!!!",F994="NEW"),"",COUNTBLANK(OFFSET(A$1,,,SUMPRODUCT(MAX(ROW(E$2:E994)*(E994=E$2:E994)))))-COUNTBLANK(OFFSET(A$1,,,SUMPRODUCT(MAX(ROW(E$1:E993)*(E2=E$1:E993))))))</f>
        <v/>
      </c>
      <c r="K994" s="24" t="str">
        <f aca="false">IF(OR(E994="",E994="!!!",F994="NEW"),"",INDEX(J$1:J993,SUMPRODUCT(MAX(ROW(E$1:E993)*(E994=E$1:E993)))))</f>
        <v/>
      </c>
      <c r="L994" s="21"/>
    </row>
    <row r="995" customFormat="false" ht="15" hidden="false" customHeight="false" outlineLevel="0" collapsed="false">
      <c r="A995" s="20" t="s">
        <v>16</v>
      </c>
      <c r="E995" s="23"/>
      <c r="F995" s="25"/>
      <c r="G995" s="26"/>
      <c r="H995" s="27"/>
      <c r="I995" s="24" t="str">
        <f aca="false">IF(OR(E995="",E995="!!!",F995="NEW"),"",INDEX(B16:B$980,-1+SUMPRODUCT(MAX(ROW(E16:E$980)*(E995=E16:E$980)))))</f>
        <v/>
      </c>
      <c r="J995" s="24" t="str">
        <f aca="true">IF(OR(E995="",E995="!!!",F995="NEW"),"",COUNTBLANK(OFFSET(A$1,,,SUMPRODUCT(MAX(ROW(E$2:E995)*(E995=E$2:E995)))))-COUNTBLANK(OFFSET(A$1,,,SUMPRODUCT(MAX(ROW(E$1:E994)*(E2=E$1:E994))))))</f>
        <v/>
      </c>
      <c r="K995" s="24" t="str">
        <f aca="false">IF(OR(E995="",E995="!!!",F995="NEW"),"",INDEX(J$1:J994,SUMPRODUCT(MAX(ROW(E$1:E994)*(E995=E$1:E994)))))</f>
        <v/>
      </c>
      <c r="L995" s="21"/>
    </row>
    <row r="996" customFormat="false" ht="15" hidden="false" customHeight="false" outlineLevel="0" collapsed="false">
      <c r="A996" s="20" t="s">
        <v>1269</v>
      </c>
      <c r="B996" s="22" t="s">
        <v>1073</v>
      </c>
      <c r="C996" s="22" t="s">
        <v>1087</v>
      </c>
      <c r="E996" s="23"/>
      <c r="F996" s="25"/>
      <c r="G996" s="26"/>
      <c r="H996" s="27"/>
      <c r="I996" s="24" t="str">
        <f aca="false">IF(OR(E996="",E996="!!!",F996="NEW"),"",INDEX(B17:B$980,-1+SUMPRODUCT(MAX(ROW(E17:E$980)*(E996=E17:E$980)))))</f>
        <v/>
      </c>
      <c r="J996" s="24" t="str">
        <f aca="true">IF(OR(E996="",E996="!!!",F996="NEW"),"",COUNTBLANK(OFFSET(A$1,,,SUMPRODUCT(MAX(ROW(E$2:E996)*(E996=E$2:E996)))))-COUNTBLANK(OFFSET(A$1,,,SUMPRODUCT(MAX(ROW(E$1:E995)*(E2=E$1:E995))))))</f>
        <v/>
      </c>
      <c r="K996" s="24" t="str">
        <f aca="false">IF(OR(E996="",E996="!!!",F996="NEW"),"",INDEX(J$1:J995,SUMPRODUCT(MAX(ROW(E$1:E995)*(E996=E$1:E995)))))</f>
        <v/>
      </c>
      <c r="L996" s="21"/>
    </row>
    <row r="997" customFormat="false" ht="15" hidden="false" customHeight="false" outlineLevel="0" collapsed="false">
      <c r="A997" s="20" t="s">
        <v>1173</v>
      </c>
      <c r="E997" s="23"/>
      <c r="F997" s="25"/>
      <c r="G997" s="26"/>
      <c r="H997" s="27"/>
      <c r="I997" s="24" t="str">
        <f aca="false">IF(OR(E997="",E997="!!!",F997="NEW"),"",INDEX(B18:B$980,-1+SUMPRODUCT(MAX(ROW(E18:E$980)*(E997=E18:E$980)))))</f>
        <v/>
      </c>
      <c r="J997" s="24" t="str">
        <f aca="true">IF(OR(E997="",E997="!!!",F997="NEW"),"",COUNTBLANK(OFFSET(A$1,,,SUMPRODUCT(MAX(ROW(E$2:E997)*(E997=E$2:E997)))))-COUNTBLANK(OFFSET(A$1,,,SUMPRODUCT(MAX(ROW(E$1:E996)*(E2=E$1:E996))))))</f>
        <v/>
      </c>
      <c r="K997" s="24" t="str">
        <f aca="false">IF(OR(E997="",E997="!!!",F997="NEW"),"",INDEX(J$1:J996,SUMPRODUCT(MAX(ROW(E$1:E996)*(E997=E$1:E996)))))</f>
        <v/>
      </c>
      <c r="L997" s="21"/>
    </row>
    <row r="998" customFormat="false" ht="15" hidden="false" customHeight="false" outlineLevel="0" collapsed="false">
      <c r="A998" s="20" t="s">
        <v>1109</v>
      </c>
      <c r="E998" s="23"/>
      <c r="F998" s="25"/>
      <c r="G998" s="26"/>
      <c r="H998" s="27"/>
      <c r="I998" s="24" t="str">
        <f aca="false">IF(OR(E998="",E998="!!!",F998="NEW"),"",INDEX(B19:B$980,-1+SUMPRODUCT(MAX(ROW(E19:E$980)*(E998=E19:E$980)))))</f>
        <v/>
      </c>
      <c r="J998" s="24" t="str">
        <f aca="true">IF(OR(E998="",E998="!!!",F998="NEW"),"",COUNTBLANK(OFFSET(A$1,,,SUMPRODUCT(MAX(ROW(E$2:E998)*(E998=E$2:E998)))))-COUNTBLANK(OFFSET(A$1,,,SUMPRODUCT(MAX(ROW(E$1:E997)*(E2=E$1:E997))))))</f>
        <v/>
      </c>
      <c r="K998" s="24" t="str">
        <f aca="false">IF(OR(E998="",E998="!!!",F998="NEW"),"",INDEX(J$1:J997,SUMPRODUCT(MAX(ROW(E$1:E997)*(E998=E$1:E997)))))</f>
        <v/>
      </c>
      <c r="L998" s="21"/>
    </row>
    <row r="999" customFormat="false" ht="15" hidden="false" customHeight="false" outlineLevel="0" collapsed="false">
      <c r="A999" s="20" t="s">
        <v>1548</v>
      </c>
      <c r="B999" s="22" t="s">
        <v>1067</v>
      </c>
      <c r="C999" s="22" t="s">
        <v>1150</v>
      </c>
      <c r="D999" s="22" t="s">
        <v>1060</v>
      </c>
      <c r="E999" s="23" t="s">
        <v>1549</v>
      </c>
      <c r="F999" s="23" t="s">
        <v>1062</v>
      </c>
      <c r="G999" s="23" t="s">
        <v>1063</v>
      </c>
      <c r="H999" s="23"/>
      <c r="I999" s="24" t="str">
        <f aca="false">IF(OR(E999="",E999="!!!",F999="NEW"),"",INDEX(B20:B$980,-1+SUMPRODUCT(MAX(ROW(E20:E$980)*(E999=E20:E$980)))))</f>
        <v/>
      </c>
      <c r="J999" s="24" t="str">
        <f aca="true">IF(OR(E999="",E999="!!!",F999="NEW"),"",COUNTBLANK(OFFSET(A$1,,,SUMPRODUCT(MAX(ROW(E$2:E999)*(E999=E$2:E999)))))-COUNTBLANK(OFFSET(A$1,,,SUMPRODUCT(MAX(ROW(E$1:E998)*(E2=E$1:E998))))))</f>
        <v/>
      </c>
      <c r="K999" s="24" t="str">
        <f aca="false">IF(OR(E999="",E999="!!!",F999="NEW"),"",INDEX(J$1:J998,SUMPRODUCT(MAX(ROW(E$1:E998)*(E999=E$1:E998)))))</f>
        <v/>
      </c>
      <c r="L999" s="21"/>
    </row>
    <row r="1000" customFormat="false" ht="15" hidden="false" customHeight="false" outlineLevel="0" collapsed="false">
      <c r="A1000" s="20" t="s">
        <v>1064</v>
      </c>
      <c r="E1000" s="23"/>
      <c r="F1000" s="25"/>
      <c r="G1000" s="26"/>
      <c r="H1000" s="27"/>
      <c r="I1000" s="24" t="str">
        <f aca="false">IF(OR(E1000="",E1000="!!!",F1000="NEW"),"",INDEX(B21:B$980,-1+SUMPRODUCT(MAX(ROW(E21:E$980)*(E1000=E21:E$980)))))</f>
        <v/>
      </c>
      <c r="J1000" s="24" t="str">
        <f aca="true">IF(OR(E1000="",E1000="!!!",F1000="NEW"),"",COUNTBLANK(OFFSET(A$1,,,SUMPRODUCT(MAX(ROW(E$2:E1000)*(E1000=E$2:E1000)))))-COUNTBLANK(OFFSET(A$1,,,SUMPRODUCT(MAX(ROW(E$1:E999)*(E2=E$1:E999))))))</f>
        <v/>
      </c>
      <c r="K1000" s="24" t="str">
        <f aca="false">IF(OR(E1000="",E1000="!!!",F1000="NEW"),"",INDEX(J$1:J999,SUMPRODUCT(MAX(ROW(E$1:E999)*(E1000=E$1:E999)))))</f>
        <v/>
      </c>
      <c r="L1000" s="21"/>
    </row>
    <row r="1001" customFormat="false" ht="15" hidden="false" customHeight="false" outlineLevel="0" collapsed="false">
      <c r="A1001" s="20" t="s">
        <v>1109</v>
      </c>
      <c r="E1001" s="23"/>
      <c r="F1001" s="25"/>
      <c r="G1001" s="26"/>
      <c r="H1001" s="27"/>
      <c r="I1001" s="24" t="str">
        <f aca="false">IF(OR(E1001="",E1001="!!!",F1001="NEW"),"",INDEX(B22:B$980,-1+SUMPRODUCT(MAX(ROW(E22:E$980)*(E1001=E22:E$980)))))</f>
        <v/>
      </c>
      <c r="J1001" s="24" t="str">
        <f aca="true">IF(OR(E1001="",E1001="!!!",F1001="NEW"),"",COUNTBLANK(OFFSET(A$1,,,SUMPRODUCT(MAX(ROW(E$2:E1001)*(E1001=E$2:E1001)))))-COUNTBLANK(OFFSET(A$1,,,SUMPRODUCT(MAX(ROW(E$1:E1000)*(E2=E$1:E1000))))))</f>
        <v/>
      </c>
      <c r="K1001" s="24" t="str">
        <f aca="false">IF(OR(E1001="",E1001="!!!",F1001="NEW"),"",INDEX(J$1:J1000,SUMPRODUCT(MAX(ROW(E$1:E1000)*(E1001=E$1:E1000)))))</f>
        <v/>
      </c>
      <c r="L1001" s="21"/>
    </row>
    <row r="1002" customFormat="false" ht="15" hidden="false" customHeight="false" outlineLevel="0" collapsed="false">
      <c r="A1002" s="20" t="s">
        <v>1465</v>
      </c>
      <c r="B1002" s="22" t="s">
        <v>1107</v>
      </c>
      <c r="C1002" s="22" t="s">
        <v>1150</v>
      </c>
      <c r="D1002" s="22" t="s">
        <v>1060</v>
      </c>
      <c r="E1002" s="23" t="s">
        <v>1466</v>
      </c>
      <c r="F1002" s="23" t="s">
        <v>1083</v>
      </c>
      <c r="G1002" s="23" t="s">
        <v>1070</v>
      </c>
      <c r="H1002" s="23"/>
      <c r="I1002" s="28" t="n">
        <f aca="false">IF(OR(E1002="",E1002="!!!",F1002="NEW"),"",INDEX(B23:B$980,-1+SUMPRODUCT(MAX(ROW(E23:E$980)*(E1002=E23:E$980)))))</f>
        <v>0</v>
      </c>
      <c r="J1002" s="24" t="n">
        <f aca="true">IF(OR(E1002="",E1002="!!!",F1002="NEW"),"",COUNTBLANK(OFFSET(A$1,,,SUMPRODUCT(MAX(ROW(E$2:E1002)*(E1002=E$2:E1002)))))-COUNTBLANK(OFFSET(A$1,,,SUMPRODUCT(MAX(ROW(E$1:E1001)*(E2=E$1:E1001))))))</f>
        <v>0</v>
      </c>
      <c r="K1002" s="24" t="n">
        <f aca="false">IF(OR(E1002="",E1002="!!!",F1002="NEW"),"",INDEX(J$1:J1001,SUMPRODUCT(MAX(ROW(E$1:E1001)*(E1002=E$1:E1001)))))</f>
        <v>0</v>
      </c>
      <c r="L1002" s="21"/>
    </row>
    <row r="1003" customFormat="false" ht="15" hidden="false" customHeight="false" outlineLevel="0" collapsed="false">
      <c r="A1003" s="20" t="s">
        <v>923</v>
      </c>
      <c r="E1003" s="23"/>
      <c r="F1003" s="25"/>
      <c r="G1003" s="26"/>
      <c r="H1003" s="27"/>
      <c r="I1003" s="24" t="str">
        <f aca="false">IF(OR(E1003="",E1003="!!!",F1003="NEW"),"",INDEX(B24:B$980,-1+SUMPRODUCT(MAX(ROW(E24:E$980)*(E1003=E24:E$980)))))</f>
        <v/>
      </c>
      <c r="J1003" s="24" t="str">
        <f aca="true">IF(OR(E1003="",E1003="!!!",F1003="NEW"),"",COUNTBLANK(OFFSET(A$1,,,SUMPRODUCT(MAX(ROW(E$2:E1003)*(E1003=E$2:E1003)))))-COUNTBLANK(OFFSET(A$1,,,SUMPRODUCT(MAX(ROW(E$1:E1002)*(E2=E$1:E1002))))))</f>
        <v/>
      </c>
      <c r="K1003" s="24" t="str">
        <f aca="false">IF(OR(E1003="",E1003="!!!",F1003="NEW"),"",INDEX(J$1:J1002,SUMPRODUCT(MAX(ROW(E$1:E1002)*(E1003=E$1:E1002)))))</f>
        <v/>
      </c>
      <c r="L1003" s="21" t="s">
        <v>1550</v>
      </c>
    </row>
    <row r="1004" customFormat="false" ht="15" hidden="false" customHeight="false" outlineLevel="0" collapsed="false">
      <c r="A1004" s="20"/>
      <c r="L1004" s="21" t="s">
        <v>1551</v>
      </c>
    </row>
    <row r="1005" customFormat="false" ht="15" hidden="false" customHeight="false" outlineLevel="0" collapsed="false">
      <c r="A1005" s="20" t="s">
        <v>1552</v>
      </c>
    </row>
    <row r="1006" customFormat="false" ht="15" hidden="false" customHeight="false" outlineLevel="0" collapsed="false">
      <c r="A1006" s="20" t="s">
        <v>1345</v>
      </c>
      <c r="E1006" s="23" t="str">
        <f aca="false">IF(D1006="?OLD","!!!","")</f>
        <v/>
      </c>
      <c r="F1006" s="25" t="str">
        <f aca="false">IF(OR(E1006="",E1006="!!!"),"",IF(NOT(ISNA(VLOOKUP(E1006,E$1:E1005,1,FALSE()))),"OLD",IF(AND(E1006&lt;&gt;"",E1006&lt;&gt;"!!!"),"NEW","")))</f>
        <v/>
      </c>
      <c r="G1006" s="26" t="str">
        <f aca="false">IF(OR(E1006="",E1006="!!!"),"",IF(OR(J1006=0,AND(J1006=1,K1006=1),AND(J1006=1,I1006="SBJ"),AND(J1006=1,I1006=0)),"?IN_FOCUS",IF(J1006&lt;=2,"?ACTIVATED",IF(J1006&lt;&gt;"","?FAMILIAR",IF(F1006="NEW",IF(ISNA(VLOOKUP(E1006,#REF!,1,FALSE())),"?TYPE_IDENTIFIABLE","?REFERENTIAL"),"_")))))</f>
        <v/>
      </c>
      <c r="H1006" s="27" t="str">
        <f aca="false">IF(J1006&lt;&gt;1,"",IF(I1006="SBJ","CB","?"))</f>
        <v/>
      </c>
      <c r="I1006" s="24" t="str">
        <f aca="false">IF(OR(E1006="",E1006="!!!",F1006="NEW"),"",INDEX(B2:B$1005,-1+SUMPRODUCT(MAX(ROW(E2:E$1005)*(E1006=E2:E$1005)))))</f>
        <v/>
      </c>
      <c r="J1006" s="24" t="str">
        <f aca="true">IF(OR(E1006="",E1006="!!!",F1006="NEW"),"",COUNTBLANK(OFFSET(A$1,,,SUMPRODUCT(MAX(ROW(E$2:E1006)*(E1006=E$2:E1006)))))-COUNTBLANK(OFFSET(A$1,,,SUMPRODUCT(MAX(ROW(E$1:E1005)*(E2=E$1:E1005))))))</f>
        <v/>
      </c>
      <c r="K1006" s="24" t="str">
        <f aca="false">IF(OR(E1006="",E1006="!!!",F1006="NEW"),"",INDEX(J$1:J1005,SUMPRODUCT(MAX(ROW(E$1:E1005)*(E1006=E$1:E1005)))))</f>
        <v/>
      </c>
      <c r="L1006" s="31"/>
    </row>
    <row r="1007" customFormat="false" ht="15" hidden="false" customHeight="false" outlineLevel="0" collapsed="false">
      <c r="A1007" s="20" t="s">
        <v>1553</v>
      </c>
      <c r="B1007" s="22" t="s">
        <v>1058</v>
      </c>
      <c r="C1007" s="22" t="s">
        <v>1087</v>
      </c>
      <c r="E1007" s="23" t="str">
        <f aca="false">IF(D1007="?OLD","!!!","")</f>
        <v/>
      </c>
      <c r="F1007" s="25" t="str">
        <f aca="false">IF(OR(E1007="",E1007="!!!"),"",IF(NOT(ISNA(VLOOKUP(E1007,E$1:E1006,1,FALSE()))),"OLD",IF(AND(E1007&lt;&gt;"",E1007&lt;&gt;"!!!"),"NEW","")))</f>
        <v/>
      </c>
      <c r="G1007" s="26" t="str">
        <f aca="false">IF(OR(E1007="",E1007="!!!"),"",IF(OR(J1007=0,AND(J1007=1,K1007=1),AND(J1007=1,I1007="SBJ"),AND(J1007=1,I1007=0)),"?IN_FOCUS",IF(J1007&lt;=2,"?ACTIVATED",IF(J1007&lt;&gt;"","?FAMILIAR",IF(F1007="NEW",IF(ISNA(VLOOKUP(E1007,#REF!,1,FALSE())),"?TYPE_IDENTIFIABLE","?REFERENTIAL"),"_")))))</f>
        <v/>
      </c>
      <c r="H1007" s="27" t="str">
        <f aca="false">IF(J1007&lt;&gt;1,"",IF(I1007="SBJ","CB","?"))</f>
        <v/>
      </c>
      <c r="I1007" s="24" t="str">
        <f aca="false">IF(OR(E1007="",E1007="!!!",F1007="NEW"),"",INDEX(B3:B$1005,-1+SUMPRODUCT(MAX(ROW(E3:E$1005)*(E1007=E3:E$1005)))))</f>
        <v/>
      </c>
      <c r="J1007" s="24" t="str">
        <f aca="true">IF(OR(E1007="",E1007="!!!",F1007="NEW"),"",COUNTBLANK(OFFSET(A$1,,,SUMPRODUCT(MAX(ROW(E$2:E1007)*(E1007=E$2:E1007)))))-COUNTBLANK(OFFSET(A$1,,,SUMPRODUCT(MAX(ROW(E$1:E1006)*(E2=E$1:E1006))))))</f>
        <v/>
      </c>
      <c r="K1007" s="24" t="str">
        <f aca="false">IF(OR(E1007="",E1007="!!!",F1007="NEW"),"",INDEX(J$1:J1006,SUMPRODUCT(MAX(ROW(E$1:E1006)*(E1007=E$1:E1006)))))</f>
        <v/>
      </c>
      <c r="L1007" s="31"/>
    </row>
    <row r="1008" customFormat="false" ht="15" hidden="false" customHeight="false" outlineLevel="0" collapsed="false">
      <c r="A1008" s="20" t="s">
        <v>1554</v>
      </c>
      <c r="E1008" s="23" t="str">
        <f aca="false">IF(D1008="?OLD","!!!","")</f>
        <v/>
      </c>
      <c r="F1008" s="25" t="str">
        <f aca="false">IF(OR(E1008="",E1008="!!!"),"",IF(NOT(ISNA(VLOOKUP(E1008,E$1:E1007,1,FALSE()))),"OLD",IF(AND(E1008&lt;&gt;"",E1008&lt;&gt;"!!!"),"NEW","")))</f>
        <v/>
      </c>
      <c r="G1008" s="26" t="str">
        <f aca="false">IF(OR(E1008="",E1008="!!!"),"",IF(OR(J1008=0,AND(J1008=1,K1008=1),AND(J1008=1,I1008="SBJ"),AND(J1008=1,I1008=0)),"?IN_FOCUS",IF(J1008&lt;=2,"?ACTIVATED",IF(J1008&lt;&gt;"","?FAMILIAR",IF(F1008="NEW",IF(ISNA(VLOOKUP(E1008,#REF!,1,FALSE())),"?TYPE_IDENTIFIABLE","?REFERENTIAL"),"_")))))</f>
        <v/>
      </c>
      <c r="H1008" s="27" t="str">
        <f aca="false">IF(J1008&lt;&gt;1,"",IF(I1008="SBJ","CB","?"))</f>
        <v/>
      </c>
      <c r="I1008" s="24" t="str">
        <f aca="false">IF(OR(E1008="",E1008="!!!",F1008="NEW"),"",INDEX(B4:B$1005,-1+SUMPRODUCT(MAX(ROW(E4:E$1005)*(E1008=E4:E$1005)))))</f>
        <v/>
      </c>
      <c r="J1008" s="24" t="str">
        <f aca="true">IF(OR(E1008="",E1008="!!!",F1008="NEW"),"",COUNTBLANK(OFFSET(A$1,,,SUMPRODUCT(MAX(ROW(E$2:E1008)*(E1008=E$2:E1008)))))-COUNTBLANK(OFFSET(A$1,,,SUMPRODUCT(MAX(ROW(E$1:E1007)*(E2=E$1:E1007))))))</f>
        <v/>
      </c>
      <c r="K1008" s="24" t="str">
        <f aca="false">IF(OR(E1008="",E1008="!!!",F1008="NEW"),"",INDEX(J$1:J1007,SUMPRODUCT(MAX(ROW(E$1:E1007)*(E1008=E$1:E1007)))))</f>
        <v/>
      </c>
      <c r="L1008" s="31"/>
    </row>
    <row r="1009" customFormat="false" ht="15" hidden="false" customHeight="false" outlineLevel="0" collapsed="false">
      <c r="A1009" s="20" t="s">
        <v>1173</v>
      </c>
      <c r="E1009" s="23" t="str">
        <f aca="false">IF(D1009="?OLD","!!!","")</f>
        <v/>
      </c>
      <c r="F1009" s="25" t="str">
        <f aca="false">IF(OR(E1009="",E1009="!!!"),"",IF(NOT(ISNA(VLOOKUP(E1009,E$1:E1008,1,FALSE()))),"OLD",IF(AND(E1009&lt;&gt;"",E1009&lt;&gt;"!!!"),"NEW","")))</f>
        <v/>
      </c>
      <c r="G1009" s="26" t="str">
        <f aca="false">IF(OR(E1009="",E1009="!!!"),"",IF(OR(J1009=0,AND(J1009=1,K1009=1),AND(J1009=1,I1009="SBJ"),AND(J1009=1,I1009=0)),"?IN_FOCUS",IF(J1009&lt;=2,"?ACTIVATED",IF(J1009&lt;&gt;"","?FAMILIAR",IF(F1009="NEW",IF(ISNA(VLOOKUP(E1009,#REF!,1,FALSE())),"?TYPE_IDENTIFIABLE","?REFERENTIAL"),"_")))))</f>
        <v/>
      </c>
      <c r="H1009" s="27" t="str">
        <f aca="false">IF(J1009&lt;&gt;1,"",IF(I1009="SBJ","CB","?"))</f>
        <v/>
      </c>
      <c r="I1009" s="24" t="str">
        <f aca="false">IF(OR(E1009="",E1009="!!!",F1009="NEW"),"",INDEX(B5:B$1005,-1+SUMPRODUCT(MAX(ROW(E5:E$1005)*(E1009=E5:E$1005)))))</f>
        <v/>
      </c>
      <c r="J1009" s="24" t="str">
        <f aca="true">IF(OR(E1009="",E1009="!!!",F1009="NEW"),"",COUNTBLANK(OFFSET(A$1,,,SUMPRODUCT(MAX(ROW(E$2:E1009)*(E1009=E$2:E1009)))))-COUNTBLANK(OFFSET(A$1,,,SUMPRODUCT(MAX(ROW(E$1:E1008)*(E2=E$1:E1008))))))</f>
        <v/>
      </c>
      <c r="K1009" s="24" t="str">
        <f aca="false">IF(OR(E1009="",E1009="!!!",F1009="NEW"),"",INDEX(J$1:J1008,SUMPRODUCT(MAX(ROW(E$1:E1008)*(E1009=E$1:E1008)))))</f>
        <v/>
      </c>
      <c r="L1009" s="31"/>
    </row>
    <row r="1010" customFormat="false" ht="15" hidden="false" customHeight="false" outlineLevel="0" collapsed="false">
      <c r="A1010" s="20" t="s">
        <v>1085</v>
      </c>
      <c r="E1010" s="23" t="str">
        <f aca="false">IF(D1010="?OLD","!!!","")</f>
        <v/>
      </c>
      <c r="F1010" s="25" t="str">
        <f aca="false">IF(OR(E1010="",E1010="!!!"),"",IF(NOT(ISNA(VLOOKUP(E1010,E$1:E1009,1,FALSE()))),"OLD",IF(AND(E1010&lt;&gt;"",E1010&lt;&gt;"!!!"),"NEW","")))</f>
        <v/>
      </c>
      <c r="G1010" s="26" t="str">
        <f aca="false">IF(OR(E1010="",E1010="!!!"),"",IF(OR(J1010=0,AND(J1010=1,K1010=1),AND(J1010=1,I1010="SBJ"),AND(J1010=1,I1010=0)),"?IN_FOCUS",IF(J1010&lt;=2,"?ACTIVATED",IF(J1010&lt;&gt;"","?FAMILIAR",IF(F1010="NEW",IF(ISNA(VLOOKUP(E1010,#REF!,1,FALSE())),"?TYPE_IDENTIFIABLE","?REFERENTIAL"),"_")))))</f>
        <v/>
      </c>
      <c r="H1010" s="27" t="str">
        <f aca="false">IF(J1010&lt;&gt;1,"",IF(I1010="SBJ","CB","?"))</f>
        <v/>
      </c>
      <c r="I1010" s="24" t="str">
        <f aca="false">IF(OR(E1010="",E1010="!!!",F1010="NEW"),"",INDEX(B6:B$1005,-1+SUMPRODUCT(MAX(ROW(E6:E$1005)*(E1010=E6:E$1005)))))</f>
        <v/>
      </c>
      <c r="J1010" s="24" t="str">
        <f aca="true">IF(OR(E1010="",E1010="!!!",F1010="NEW"),"",COUNTBLANK(OFFSET(A$1,,,SUMPRODUCT(MAX(ROW(E$2:E1010)*(E1010=E$2:E1010)))))-COUNTBLANK(OFFSET(A$1,,,SUMPRODUCT(MAX(ROW(E$1:E1009)*(E2=E$1:E1009))))))</f>
        <v/>
      </c>
      <c r="K1010" s="24" t="str">
        <f aca="false">IF(OR(E1010="",E1010="!!!",F1010="NEW"),"",INDEX(J$1:J1009,SUMPRODUCT(MAX(ROW(E$1:E1009)*(E1010=E$1:E1009)))))</f>
        <v/>
      </c>
      <c r="L1010" s="31"/>
    </row>
    <row r="1011" customFormat="false" ht="15" hidden="false" customHeight="false" outlineLevel="0" collapsed="false">
      <c r="A1011" s="20" t="s">
        <v>661</v>
      </c>
      <c r="B1011" s="22" t="s">
        <v>1105</v>
      </c>
      <c r="C1011" s="22" t="s">
        <v>1087</v>
      </c>
      <c r="E1011" s="23" t="str">
        <f aca="false">IF(D1011="?OLD","!!!","")</f>
        <v/>
      </c>
      <c r="F1011" s="25" t="str">
        <f aca="false">IF(OR(E1011="",E1011="!!!"),"",IF(NOT(ISNA(VLOOKUP(E1011,E$1:E1010,1,FALSE()))),"OLD",IF(AND(E1011&lt;&gt;"",E1011&lt;&gt;"!!!"),"NEW","")))</f>
        <v/>
      </c>
      <c r="G1011" s="26" t="str">
        <f aca="false">IF(OR(E1011="",E1011="!!!"),"",IF(OR(J1011=0,AND(J1011=1,K1011=1),AND(J1011=1,I1011="SBJ"),AND(J1011=1,I1011=0)),"?IN_FOCUS",IF(J1011&lt;=2,"?ACTIVATED",IF(J1011&lt;&gt;"","?FAMILIAR",IF(F1011="NEW",IF(ISNA(VLOOKUP(E1011,#REF!,1,FALSE())),"?TYPE_IDENTIFIABLE","?REFERENTIAL"),"_")))))</f>
        <v/>
      </c>
      <c r="H1011" s="27" t="str">
        <f aca="false">IF(J1011&lt;&gt;1,"",IF(I1011="SBJ","CB","?"))</f>
        <v/>
      </c>
      <c r="I1011" s="24" t="str">
        <f aca="false">IF(OR(E1011="",E1011="!!!",F1011="NEW"),"",INDEX(B7:B$1005,-1+SUMPRODUCT(MAX(ROW(E7:E$1005)*(E1011=E7:E$1005)))))</f>
        <v/>
      </c>
      <c r="J1011" s="24" t="str">
        <f aca="true">IF(OR(E1011="",E1011="!!!",F1011="NEW"),"",COUNTBLANK(OFFSET(A$1,,,SUMPRODUCT(MAX(ROW(E$2:E1011)*(E1011=E$2:E1011)))))-COUNTBLANK(OFFSET(A$1,,,SUMPRODUCT(MAX(ROW(E$1:E1010)*(E2=E$1:E1010))))))</f>
        <v/>
      </c>
      <c r="K1011" s="24" t="str">
        <f aca="false">IF(OR(E1011="",E1011="!!!",F1011="NEW"),"",INDEX(J$1:J1010,SUMPRODUCT(MAX(ROW(E$1:E1010)*(E1011=E$1:E1010)))))</f>
        <v/>
      </c>
      <c r="L1011" s="31"/>
    </row>
    <row r="1012" customFormat="false" ht="15" hidden="false" customHeight="false" outlineLevel="0" collapsed="false">
      <c r="A1012" s="20" t="s">
        <v>1076</v>
      </c>
      <c r="E1012" s="23" t="str">
        <f aca="false">IF(D1012="?OLD","!!!","")</f>
        <v/>
      </c>
      <c r="F1012" s="25" t="str">
        <f aca="false">IF(OR(E1012="",E1012="!!!"),"",IF(NOT(ISNA(VLOOKUP(E1012,E$1:E1011,1,FALSE()))),"OLD",IF(AND(E1012&lt;&gt;"",E1012&lt;&gt;"!!!"),"NEW","")))</f>
        <v/>
      </c>
      <c r="G1012" s="26" t="str">
        <f aca="false">IF(OR(E1012="",E1012="!!!"),"",IF(OR(J1012=0,AND(J1012=1,K1012=1),AND(J1012=1,I1012="SBJ"),AND(J1012=1,I1012=0)),"?IN_FOCUS",IF(J1012&lt;=2,"?ACTIVATED",IF(J1012&lt;&gt;"","?FAMILIAR",IF(F1012="NEW",IF(ISNA(VLOOKUP(E1012,#REF!,1,FALSE())),"?TYPE_IDENTIFIABLE","?REFERENTIAL"),"_")))))</f>
        <v/>
      </c>
      <c r="H1012" s="27" t="str">
        <f aca="false">IF(J1012&lt;&gt;1,"",IF(I1012="SBJ","CB","?"))</f>
        <v/>
      </c>
      <c r="I1012" s="24" t="str">
        <f aca="false">IF(OR(E1012="",E1012="!!!",F1012="NEW"),"",INDEX(B8:B$1005,-1+SUMPRODUCT(MAX(ROW(E8:E$1005)*(E1012=E8:E$1005)))))</f>
        <v/>
      </c>
      <c r="J1012" s="24" t="str">
        <f aca="true">IF(OR(E1012="",E1012="!!!",F1012="NEW"),"",COUNTBLANK(OFFSET(A$1,,,SUMPRODUCT(MAX(ROW(E$2:E1012)*(E1012=E$2:E1012)))))-COUNTBLANK(OFFSET(A$1,,,SUMPRODUCT(MAX(ROW(E$1:E1011)*(E2=E$1:E1011))))))</f>
        <v/>
      </c>
      <c r="K1012" s="24" t="str">
        <f aca="false">IF(OR(E1012="",E1012="!!!",F1012="NEW"),"",INDEX(J$1:J1011,SUMPRODUCT(MAX(ROW(E$1:E1011)*(E1012=E$1:E1011)))))</f>
        <v/>
      </c>
      <c r="L1012" s="31"/>
    </row>
    <row r="1013" customFormat="false" ht="15" hidden="false" customHeight="false" outlineLevel="0" collapsed="false">
      <c r="A1013" s="20" t="s">
        <v>1128</v>
      </c>
      <c r="E1013" s="23" t="str">
        <f aca="false">IF(D1013="?OLD","!!!","")</f>
        <v/>
      </c>
      <c r="F1013" s="25" t="str">
        <f aca="false">IF(OR(E1013="",E1013="!!!"),"",IF(NOT(ISNA(VLOOKUP(E1013,E$1:E1012,1,FALSE()))),"OLD",IF(AND(E1013&lt;&gt;"",E1013&lt;&gt;"!!!"),"NEW","")))</f>
        <v/>
      </c>
      <c r="G1013" s="26" t="str">
        <f aca="false">IF(OR(E1013="",E1013="!!!"),"",IF(OR(J1013=0,AND(J1013=1,K1013=1),AND(J1013=1,I1013="SBJ"),AND(J1013=1,I1013=0)),"?IN_FOCUS",IF(J1013&lt;=2,"?ACTIVATED",IF(J1013&lt;&gt;"","?FAMILIAR",IF(F1013="NEW",IF(ISNA(VLOOKUP(E1013,#REF!,1,FALSE())),"?TYPE_IDENTIFIABLE","?REFERENTIAL"),"_")))))</f>
        <v/>
      </c>
      <c r="H1013" s="27" t="str">
        <f aca="false">IF(J1013&lt;&gt;1,"",IF(I1013="SBJ","CB","?"))</f>
        <v/>
      </c>
      <c r="I1013" s="24" t="str">
        <f aca="false">IF(OR(E1013="",E1013="!!!",F1013="NEW"),"",INDEX(B9:B$1005,-1+SUMPRODUCT(MAX(ROW(E9:E$1005)*(E1013=E9:E$1005)))))</f>
        <v/>
      </c>
      <c r="J1013" s="24" t="str">
        <f aca="true">IF(OR(E1013="",E1013="!!!",F1013="NEW"),"",COUNTBLANK(OFFSET(A$1,,,SUMPRODUCT(MAX(ROW(E$2:E1013)*(E1013=E$2:E1013)))))-COUNTBLANK(OFFSET(A$1,,,SUMPRODUCT(MAX(ROW(E$1:E1012)*(E2=E$1:E1012))))))</f>
        <v/>
      </c>
      <c r="K1013" s="24" t="str">
        <f aca="false">IF(OR(E1013="",E1013="!!!",F1013="NEW"),"",INDEX(J$1:J1012,SUMPRODUCT(MAX(ROW(E$1:E1012)*(E1013=E$1:E1012)))))</f>
        <v/>
      </c>
      <c r="L1013" s="31"/>
    </row>
    <row r="1014" customFormat="false" ht="15" hidden="false" customHeight="false" outlineLevel="0" collapsed="false">
      <c r="A1014" s="20" t="s">
        <v>1157</v>
      </c>
      <c r="E1014" s="23" t="str">
        <f aca="false">IF(D1014="?OLD","!!!","")</f>
        <v/>
      </c>
      <c r="F1014" s="25" t="str">
        <f aca="false">IF(OR(E1014="",E1014="!!!"),"",IF(NOT(ISNA(VLOOKUP(E1014,E$1:E1013,1,FALSE()))),"OLD",IF(AND(E1014&lt;&gt;"",E1014&lt;&gt;"!!!"),"NEW","")))</f>
        <v/>
      </c>
      <c r="G1014" s="26" t="str">
        <f aca="false">IF(OR(E1014="",E1014="!!!"),"",IF(OR(J1014=0,AND(J1014=1,K1014=1),AND(J1014=1,I1014="SBJ"),AND(J1014=1,I1014=0)),"?IN_FOCUS",IF(J1014&lt;=2,"?ACTIVATED",IF(J1014&lt;&gt;"","?FAMILIAR",IF(F1014="NEW",IF(ISNA(VLOOKUP(E1014,#REF!,1,FALSE())),"?TYPE_IDENTIFIABLE","?REFERENTIAL"),"_")))))</f>
        <v/>
      </c>
      <c r="H1014" s="27" t="str">
        <f aca="false">IF(J1014&lt;&gt;1,"",IF(I1014="SBJ","CB","?"))</f>
        <v/>
      </c>
      <c r="I1014" s="24" t="str">
        <f aca="false">IF(OR(E1014="",E1014="!!!",F1014="NEW"),"",INDEX(B10:B$1005,-1+SUMPRODUCT(MAX(ROW(E10:E$1005)*(E1014=E10:E$1005)))))</f>
        <v/>
      </c>
      <c r="J1014" s="24" t="str">
        <f aca="true">IF(OR(E1014="",E1014="!!!",F1014="NEW"),"",COUNTBLANK(OFFSET(A$1,,,SUMPRODUCT(MAX(ROW(E$2:E1014)*(E1014=E$2:E1014)))))-COUNTBLANK(OFFSET(A$1,,,SUMPRODUCT(MAX(ROW(E$1:E1013)*(E2=E$1:E1013))))))</f>
        <v/>
      </c>
      <c r="K1014" s="24" t="str">
        <f aca="false">IF(OR(E1014="",E1014="!!!",F1014="NEW"),"",INDEX(J$1:J1013,SUMPRODUCT(MAX(ROW(E$1:E1013)*(E1014=E$1:E1013)))))</f>
        <v/>
      </c>
      <c r="L1014" s="31"/>
    </row>
    <row r="1015" customFormat="false" ht="15" hidden="false" customHeight="false" outlineLevel="0" collapsed="false">
      <c r="A1015" s="20" t="s">
        <v>1090</v>
      </c>
      <c r="B1015" s="22" t="s">
        <v>1091</v>
      </c>
      <c r="C1015" s="22" t="s">
        <v>1082</v>
      </c>
      <c r="D1015" s="22" t="s">
        <v>1060</v>
      </c>
      <c r="E1015" s="23" t="str">
        <f aca="false">IF(D1015="?OLD","!!!","")</f>
        <v>!!!</v>
      </c>
      <c r="F1015" s="25" t="str">
        <f aca="false">IF(OR(E1015="",E1015="!!!"),"",IF(NOT(ISNA(VLOOKUP(E1015,E$1:E1014,1,FALSE()))),"OLD",IF(AND(E1015&lt;&gt;"",E1015&lt;&gt;"!!!"),"NEW","")))</f>
        <v/>
      </c>
      <c r="G1015" s="26" t="str">
        <f aca="false">IF(OR(E1015="",E1015="!!!"),"",IF(OR(J1015=0,AND(J1015=1,K1015=1),AND(J1015=1,I1015="SBJ"),AND(J1015=1,I1015=0)),"?IN_FOCUS",IF(J1015&lt;=2,"?ACTIVATED",IF(J1015&lt;&gt;"","?FAMILIAR",IF(F1015="NEW",IF(ISNA(VLOOKUP(E1015,#REF!,1,FALSE())),"?TYPE_IDENTIFIABLE","?REFERENTIAL"),"_")))))</f>
        <v/>
      </c>
      <c r="H1015" s="27" t="str">
        <f aca="false">IF(J1015&lt;&gt;1,"",IF(I1015="SBJ","CB","?"))</f>
        <v/>
      </c>
      <c r="I1015" s="24" t="str">
        <f aca="false">IF(OR(E1015="",E1015="!!!",F1015="NEW"),"",INDEX(B11:B$1005,-1+SUMPRODUCT(MAX(ROW(E11:E$1005)*(E1015=E11:E$1005)))))</f>
        <v/>
      </c>
      <c r="J1015" s="24" t="str">
        <f aca="true">IF(OR(E1015="",E1015="!!!",F1015="NEW"),"",COUNTBLANK(OFFSET(A$1,,,SUMPRODUCT(MAX(ROW(E$2:E1015)*(E1015=E$2:E1015)))))-COUNTBLANK(OFFSET(A$1,,,SUMPRODUCT(MAX(ROW(E$1:E1014)*(E2=E$1:E1014))))))</f>
        <v/>
      </c>
      <c r="K1015" s="24" t="str">
        <f aca="false">IF(OR(E1015="",E1015="!!!",F1015="NEW"),"",INDEX(J$1:J1014,SUMPRODUCT(MAX(ROW(E$1:E1014)*(E1015=E$1:E1014)))))</f>
        <v/>
      </c>
      <c r="L1015" s="31"/>
    </row>
    <row r="1016" customFormat="false" ht="15" hidden="false" customHeight="false" outlineLevel="0" collapsed="false">
      <c r="A1016" s="20" t="s">
        <v>1267</v>
      </c>
      <c r="E1016" s="23" t="str">
        <f aca="false">IF(D1016="?OLD","!!!","")</f>
        <v/>
      </c>
      <c r="F1016" s="25" t="str">
        <f aca="false">IF(OR(E1016="",E1016="!!!"),"",IF(NOT(ISNA(VLOOKUP(E1016,E$1:E1015,1,FALSE()))),"OLD",IF(AND(E1016&lt;&gt;"",E1016&lt;&gt;"!!!"),"NEW","")))</f>
        <v/>
      </c>
      <c r="G1016" s="26" t="str">
        <f aca="false">IF(OR(E1016="",E1016="!!!"),"",IF(OR(J1016=0,AND(J1016=1,K1016=1),AND(J1016=1,I1016="SBJ"),AND(J1016=1,I1016=0)),"?IN_FOCUS",IF(J1016&lt;=2,"?ACTIVATED",IF(J1016&lt;&gt;"","?FAMILIAR",IF(F1016="NEW",IF(ISNA(VLOOKUP(E1016,#REF!,1,FALSE())),"?TYPE_IDENTIFIABLE","?REFERENTIAL"),"_")))))</f>
        <v/>
      </c>
      <c r="H1016" s="27" t="str">
        <f aca="false">IF(J1016&lt;&gt;1,"",IF(I1016="SBJ","CB","?"))</f>
        <v/>
      </c>
      <c r="I1016" s="24" t="str">
        <f aca="false">IF(OR(E1016="",E1016="!!!",F1016="NEW"),"",INDEX(B12:B$1005,-1+SUMPRODUCT(MAX(ROW(E12:E$1005)*(E1016=E12:E$1005)))))</f>
        <v/>
      </c>
      <c r="J1016" s="24" t="str">
        <f aca="true">IF(OR(E1016="",E1016="!!!",F1016="NEW"),"",COUNTBLANK(OFFSET(A$1,,,SUMPRODUCT(MAX(ROW(E$2:E1016)*(E1016=E$2:E1016)))))-COUNTBLANK(OFFSET(A$1,,,SUMPRODUCT(MAX(ROW(E$1:E1015)*(E2=E$1:E1015))))))</f>
        <v/>
      </c>
      <c r="K1016" s="24" t="str">
        <f aca="false">IF(OR(E1016="",E1016="!!!",F1016="NEW"),"",INDEX(J$1:J1015,SUMPRODUCT(MAX(ROW(E$1:E1015)*(E1016=E$1:E1015)))))</f>
        <v/>
      </c>
      <c r="L1016" s="31"/>
    </row>
    <row r="1017" customFormat="false" ht="15" hidden="false" customHeight="false" outlineLevel="0" collapsed="false">
      <c r="A1017" s="20" t="s">
        <v>1173</v>
      </c>
      <c r="E1017" s="23" t="str">
        <f aca="false">IF(D1017="?OLD","!!!","")</f>
        <v/>
      </c>
      <c r="F1017" s="25" t="str">
        <f aca="false">IF(OR(E1017="",E1017="!!!"),"",IF(NOT(ISNA(VLOOKUP(E1017,E$1:E1016,1,FALSE()))),"OLD",IF(AND(E1017&lt;&gt;"",E1017&lt;&gt;"!!!"),"NEW","")))</f>
        <v/>
      </c>
      <c r="G1017" s="26" t="str">
        <f aca="false">IF(OR(E1017="",E1017="!!!"),"",IF(OR(J1017=0,AND(J1017=1,K1017=1),AND(J1017=1,I1017="SBJ"),AND(J1017=1,I1017=0)),"?IN_FOCUS",IF(J1017&lt;=2,"?ACTIVATED",IF(J1017&lt;&gt;"","?FAMILIAR",IF(F1017="NEW",IF(ISNA(VLOOKUP(E1017,#REF!,1,FALSE())),"?TYPE_IDENTIFIABLE","?REFERENTIAL"),"_")))))</f>
        <v/>
      </c>
      <c r="H1017" s="27" t="str">
        <f aca="false">IF(J1017&lt;&gt;1,"",IF(I1017="SBJ","CB","?"))</f>
        <v/>
      </c>
      <c r="I1017" s="24" t="str">
        <f aca="false">IF(OR(E1017="",E1017="!!!",F1017="NEW"),"",INDEX(B13:B$1005,-1+SUMPRODUCT(MAX(ROW(E13:E$1005)*(E1017=E13:E$1005)))))</f>
        <v/>
      </c>
      <c r="J1017" s="24" t="str">
        <f aca="true">IF(OR(E1017="",E1017="!!!",F1017="NEW"),"",COUNTBLANK(OFFSET(A$1,,,SUMPRODUCT(MAX(ROW(E$2:E1017)*(E1017=E$2:E1017)))))-COUNTBLANK(OFFSET(A$1,,,SUMPRODUCT(MAX(ROW(E$1:E1016)*(E2=E$1:E1016))))))</f>
        <v/>
      </c>
      <c r="K1017" s="24" t="str">
        <f aca="false">IF(OR(E1017="",E1017="!!!",F1017="NEW"),"",INDEX(J$1:J1016,SUMPRODUCT(MAX(ROW(E$1:E1016)*(E1017=E$1:E1016)))))</f>
        <v/>
      </c>
      <c r="L1017" s="31"/>
    </row>
    <row r="1018" customFormat="false" ht="15" hidden="false" customHeight="false" outlineLevel="0" collapsed="false">
      <c r="A1018" s="20" t="s">
        <v>1555</v>
      </c>
      <c r="E1018" s="23" t="str">
        <f aca="false">IF(D1018="?OLD","!!!","")</f>
        <v/>
      </c>
      <c r="F1018" s="25" t="str">
        <f aca="false">IF(OR(E1018="",E1018="!!!"),"",IF(NOT(ISNA(VLOOKUP(E1018,E$1:E1017,1,FALSE()))),"OLD",IF(AND(E1018&lt;&gt;"",E1018&lt;&gt;"!!!"),"NEW","")))</f>
        <v/>
      </c>
      <c r="G1018" s="26" t="str">
        <f aca="false">IF(OR(E1018="",E1018="!!!"),"",IF(OR(J1018=0,AND(J1018=1,K1018=1),AND(J1018=1,I1018="SBJ"),AND(J1018=1,I1018=0)),"?IN_FOCUS",IF(J1018&lt;=2,"?ACTIVATED",IF(J1018&lt;&gt;"","?FAMILIAR",IF(F1018="NEW",IF(ISNA(VLOOKUP(E1018,#REF!,1,FALSE())),"?TYPE_IDENTIFIABLE","?REFERENTIAL"),"_")))))</f>
        <v/>
      </c>
      <c r="H1018" s="27" t="str">
        <f aca="false">IF(J1018&lt;&gt;1,"",IF(I1018="SBJ","CB","?"))</f>
        <v/>
      </c>
      <c r="I1018" s="24" t="str">
        <f aca="false">IF(OR(E1018="",E1018="!!!",F1018="NEW"),"",INDEX(B14:B$1005,-1+SUMPRODUCT(MAX(ROW(E14:E$1005)*(E1018=E14:E$1005)))))</f>
        <v/>
      </c>
      <c r="J1018" s="24" t="str">
        <f aca="true">IF(OR(E1018="",E1018="!!!",F1018="NEW"),"",COUNTBLANK(OFFSET(A$1,,,SUMPRODUCT(MAX(ROW(E$2:E1018)*(E1018=E$2:E1018)))))-COUNTBLANK(OFFSET(A$1,,,SUMPRODUCT(MAX(ROW(E$1:E1017)*(E2=E$1:E1017))))))</f>
        <v/>
      </c>
      <c r="K1018" s="24" t="str">
        <f aca="false">IF(OR(E1018="",E1018="!!!",F1018="NEW"),"",INDEX(J$1:J1017,SUMPRODUCT(MAX(ROW(E$1:E1017)*(E1018=E$1:E1017)))))</f>
        <v/>
      </c>
      <c r="L1018" s="31"/>
    </row>
    <row r="1019" customFormat="false" ht="15" hidden="false" customHeight="false" outlineLevel="0" collapsed="false">
      <c r="A1019" s="20" t="s">
        <v>1092</v>
      </c>
      <c r="E1019" s="23" t="str">
        <f aca="false">IF(D1019="?OLD","!!!","")</f>
        <v/>
      </c>
      <c r="F1019" s="25" t="str">
        <f aca="false">IF(OR(E1019="",E1019="!!!"),"",IF(NOT(ISNA(VLOOKUP(E1019,E$1:E1018,1,FALSE()))),"OLD",IF(AND(E1019&lt;&gt;"",E1019&lt;&gt;"!!!"),"NEW","")))</f>
        <v/>
      </c>
      <c r="G1019" s="26" t="str">
        <f aca="false">IF(OR(E1019="",E1019="!!!"),"",IF(OR(J1019=0,AND(J1019=1,K1019=1),AND(J1019=1,I1019="SBJ"),AND(J1019=1,I1019=0)),"?IN_FOCUS",IF(J1019&lt;=2,"?ACTIVATED",IF(J1019&lt;&gt;"","?FAMILIAR",IF(F1019="NEW",IF(ISNA(VLOOKUP(E1019,#REF!,1,FALSE())),"?TYPE_IDENTIFIABLE","?REFERENTIAL"),"_")))))</f>
        <v/>
      </c>
      <c r="H1019" s="27" t="str">
        <f aca="false">IF(J1019&lt;&gt;1,"",IF(I1019="SBJ","CB","?"))</f>
        <v/>
      </c>
      <c r="I1019" s="24" t="str">
        <f aca="false">IF(OR(E1019="",E1019="!!!",F1019="NEW"),"",INDEX(B15:B$1005,-1+SUMPRODUCT(MAX(ROW(E15:E$1005)*(E1019=E15:E$1005)))))</f>
        <v/>
      </c>
      <c r="J1019" s="24" t="str">
        <f aca="true">IF(OR(E1019="",E1019="!!!",F1019="NEW"),"",COUNTBLANK(OFFSET(A$1,,,SUMPRODUCT(MAX(ROW(E$2:E1019)*(E1019=E$2:E1019)))))-COUNTBLANK(OFFSET(A$1,,,SUMPRODUCT(MAX(ROW(E$1:E1018)*(E2=E$1:E1018))))))</f>
        <v/>
      </c>
      <c r="K1019" s="24" t="str">
        <f aca="false">IF(OR(E1019="",E1019="!!!",F1019="NEW"),"",INDEX(J$1:J1018,SUMPRODUCT(MAX(ROW(E$1:E1018)*(E1019=E$1:E1018)))))</f>
        <v/>
      </c>
      <c r="L1019" s="31"/>
    </row>
    <row r="1020" customFormat="false" ht="15" hidden="false" customHeight="false" outlineLevel="0" collapsed="false">
      <c r="A1020" s="20" t="s">
        <v>1085</v>
      </c>
      <c r="E1020" s="23" t="str">
        <f aca="false">IF(D1020="?OLD","!!!","")</f>
        <v/>
      </c>
      <c r="F1020" s="25" t="str">
        <f aca="false">IF(OR(E1020="",E1020="!!!"),"",IF(NOT(ISNA(VLOOKUP(E1020,E$1:E1019,1,FALSE()))),"OLD",IF(AND(E1020&lt;&gt;"",E1020&lt;&gt;"!!!"),"NEW","")))</f>
        <v/>
      </c>
      <c r="G1020" s="26" t="str">
        <f aca="false">IF(OR(E1020="",E1020="!!!"),"",IF(OR(J1020=0,AND(J1020=1,K1020=1),AND(J1020=1,I1020="SBJ"),AND(J1020=1,I1020=0)),"?IN_FOCUS",IF(J1020&lt;=2,"?ACTIVATED",IF(J1020&lt;&gt;"","?FAMILIAR",IF(F1020="NEW",IF(ISNA(VLOOKUP(E1020,#REF!,1,FALSE())),"?TYPE_IDENTIFIABLE","?REFERENTIAL"),"_")))))</f>
        <v/>
      </c>
      <c r="H1020" s="27" t="str">
        <f aca="false">IF(J1020&lt;&gt;1,"",IF(I1020="SBJ","CB","?"))</f>
        <v/>
      </c>
      <c r="I1020" s="24" t="str">
        <f aca="false">IF(OR(E1020="",E1020="!!!",F1020="NEW"),"",INDEX(B16:B$1005,-1+SUMPRODUCT(MAX(ROW(E16:E$1005)*(E1020=E16:E$1005)))))</f>
        <v/>
      </c>
      <c r="J1020" s="24" t="str">
        <f aca="true">IF(OR(E1020="",E1020="!!!",F1020="NEW"),"",COUNTBLANK(OFFSET(A$1,,,SUMPRODUCT(MAX(ROW(E$2:E1020)*(E1020=E$2:E1020)))))-COUNTBLANK(OFFSET(A$1,,,SUMPRODUCT(MAX(ROW(E$1:E1019)*(E2=E$1:E1019))))))</f>
        <v/>
      </c>
      <c r="K1020" s="24" t="str">
        <f aca="false">IF(OR(E1020="",E1020="!!!",F1020="NEW"),"",INDEX(J$1:J1019,SUMPRODUCT(MAX(ROW(E$1:E1019)*(E1020=E$1:E1019)))))</f>
        <v/>
      </c>
      <c r="L1020" s="31"/>
    </row>
    <row r="1021" customFormat="false" ht="15" hidden="false" customHeight="false" outlineLevel="0" collapsed="false">
      <c r="A1021" s="20" t="s">
        <v>1556</v>
      </c>
      <c r="E1021" s="23" t="str">
        <f aca="false">IF(D1021="?OLD","!!!","")</f>
        <v/>
      </c>
      <c r="F1021" s="25" t="str">
        <f aca="false">IF(OR(E1021="",E1021="!!!"),"",IF(NOT(ISNA(VLOOKUP(E1021,E$1:E1020,1,FALSE()))),"OLD",IF(AND(E1021&lt;&gt;"",E1021&lt;&gt;"!!!"),"NEW","")))</f>
        <v/>
      </c>
      <c r="G1021" s="26" t="str">
        <f aca="false">IF(OR(E1021="",E1021="!!!"),"",IF(OR(J1021=0,AND(J1021=1,K1021=1),AND(J1021=1,I1021="SBJ"),AND(J1021=1,I1021=0)),"?IN_FOCUS",IF(J1021&lt;=2,"?ACTIVATED",IF(J1021&lt;&gt;"","?FAMILIAR",IF(F1021="NEW",IF(ISNA(VLOOKUP(E1021,#REF!,1,FALSE())),"?TYPE_IDENTIFIABLE","?REFERENTIAL"),"_")))))</f>
        <v/>
      </c>
      <c r="H1021" s="27" t="str">
        <f aca="false">IF(J1021&lt;&gt;1,"",IF(I1021="SBJ","CB","?"))</f>
        <v/>
      </c>
      <c r="I1021" s="24" t="str">
        <f aca="false">IF(OR(E1021="",E1021="!!!",F1021="NEW"),"",INDEX(B17:B$1005,-1+SUMPRODUCT(MAX(ROW(E17:E$1005)*(E1021=E17:E$1005)))))</f>
        <v/>
      </c>
      <c r="J1021" s="24" t="str">
        <f aca="true">IF(OR(E1021="",E1021="!!!",F1021="NEW"),"",COUNTBLANK(OFFSET(A$1,,,SUMPRODUCT(MAX(ROW(E$2:E1021)*(E1021=E$2:E1021)))))-COUNTBLANK(OFFSET(A$1,,,SUMPRODUCT(MAX(ROW(E$1:E1020)*(E2=E$1:E1020))))))</f>
        <v/>
      </c>
      <c r="K1021" s="24" t="str">
        <f aca="false">IF(OR(E1021="",E1021="!!!",F1021="NEW"),"",INDEX(J$1:J1020,SUMPRODUCT(MAX(ROW(E$1:E1020)*(E1021=E$1:E1020)))))</f>
        <v/>
      </c>
      <c r="L1021" s="31"/>
    </row>
    <row r="1022" customFormat="false" ht="15" hidden="false" customHeight="false" outlineLevel="0" collapsed="false">
      <c r="A1022" s="20" t="s">
        <v>1557</v>
      </c>
      <c r="E1022" s="23" t="str">
        <f aca="false">IF(D1022="?OLD","!!!","")</f>
        <v/>
      </c>
      <c r="F1022" s="25" t="str">
        <f aca="false">IF(OR(E1022="",E1022="!!!"),"",IF(NOT(ISNA(VLOOKUP(E1022,E$1:E1021,1,FALSE()))),"OLD",IF(AND(E1022&lt;&gt;"",E1022&lt;&gt;"!!!"),"NEW","")))</f>
        <v/>
      </c>
      <c r="G1022" s="26" t="str">
        <f aca="false">IF(OR(E1022="",E1022="!!!"),"",IF(OR(J1022=0,AND(J1022=1,K1022=1),AND(J1022=1,I1022="SBJ"),AND(J1022=1,I1022=0)),"?IN_FOCUS",IF(J1022&lt;=2,"?ACTIVATED",IF(J1022&lt;&gt;"","?FAMILIAR",IF(F1022="NEW",IF(ISNA(VLOOKUP(E1022,#REF!,1,FALSE())),"?TYPE_IDENTIFIABLE","?REFERENTIAL"),"_")))))</f>
        <v/>
      </c>
      <c r="H1022" s="27" t="str">
        <f aca="false">IF(J1022&lt;&gt;1,"",IF(I1022="SBJ","CB","?"))</f>
        <v/>
      </c>
      <c r="I1022" s="24" t="str">
        <f aca="false">IF(OR(E1022="",E1022="!!!",F1022="NEW"),"",INDEX(B18:B$1005,-1+SUMPRODUCT(MAX(ROW(E18:E$1005)*(E1022=E18:E$1005)))))</f>
        <v/>
      </c>
      <c r="J1022" s="24" t="str">
        <f aca="true">IF(OR(E1022="",E1022="!!!",F1022="NEW"),"",COUNTBLANK(OFFSET(A$1,,,SUMPRODUCT(MAX(ROW(E$2:E1022)*(E1022=E$2:E1022)))))-COUNTBLANK(OFFSET(A$1,,,SUMPRODUCT(MAX(ROW(E$1:E1021)*(E2=E$1:E1021))))))</f>
        <v/>
      </c>
      <c r="K1022" s="24" t="str">
        <f aca="false">IF(OR(E1022="",E1022="!!!",F1022="NEW"),"",INDEX(J$1:J1021,SUMPRODUCT(MAX(ROW(E$1:E1021)*(E1022=E$1:E1021)))))</f>
        <v/>
      </c>
      <c r="L1022" s="31"/>
    </row>
    <row r="1023" customFormat="false" ht="15" hidden="false" customHeight="false" outlineLevel="0" collapsed="false">
      <c r="A1023" s="20" t="s">
        <v>1558</v>
      </c>
      <c r="B1023" s="22" t="s">
        <v>1105</v>
      </c>
      <c r="C1023" s="22" t="s">
        <v>1087</v>
      </c>
      <c r="E1023" s="23" t="str">
        <f aca="false">IF(D1023="?OLD","!!!","")</f>
        <v/>
      </c>
      <c r="F1023" s="25" t="str">
        <f aca="false">IF(OR(E1023="",E1023="!!!"),"",IF(NOT(ISNA(VLOOKUP(E1023,E$1:E1022,1,FALSE()))),"OLD",IF(AND(E1023&lt;&gt;"",E1023&lt;&gt;"!!!"),"NEW","")))</f>
        <v/>
      </c>
      <c r="G1023" s="26" t="str">
        <f aca="false">IF(OR(E1023="",E1023="!!!"),"",IF(OR(J1023=0,AND(J1023=1,K1023=1),AND(J1023=1,I1023="SBJ"),AND(J1023=1,I1023=0)),"?IN_FOCUS",IF(J1023&lt;=2,"?ACTIVATED",IF(J1023&lt;&gt;"","?FAMILIAR",IF(F1023="NEW",IF(ISNA(VLOOKUP(E1023,#REF!,1,FALSE())),"?TYPE_IDENTIFIABLE","?REFERENTIAL"),"_")))))</f>
        <v/>
      </c>
      <c r="H1023" s="27" t="str">
        <f aca="false">IF(J1023&lt;&gt;1,"",IF(I1023="SBJ","CB","?"))</f>
        <v/>
      </c>
      <c r="I1023" s="24" t="str">
        <f aca="false">IF(OR(E1023="",E1023="!!!",F1023="NEW"),"",INDEX(B19:B$1005,-1+SUMPRODUCT(MAX(ROW(E19:E$1005)*(E1023=E19:E$1005)))))</f>
        <v/>
      </c>
      <c r="J1023" s="24" t="str">
        <f aca="true">IF(OR(E1023="",E1023="!!!",F1023="NEW"),"",COUNTBLANK(OFFSET(A$1,,,SUMPRODUCT(MAX(ROW(E$2:E1023)*(E1023=E$2:E1023)))))-COUNTBLANK(OFFSET(A$1,,,SUMPRODUCT(MAX(ROW(E$1:E1022)*(E2=E$1:E1022))))))</f>
        <v/>
      </c>
      <c r="K1023" s="24" t="str">
        <f aca="false">IF(OR(E1023="",E1023="!!!",F1023="NEW"),"",INDEX(J$1:J1022,SUMPRODUCT(MAX(ROW(E$1:E1022)*(E1023=E$1:E1022)))))</f>
        <v/>
      </c>
      <c r="L1023" s="31"/>
    </row>
    <row r="1024" customFormat="false" ht="15" hidden="false" customHeight="false" outlineLevel="0" collapsed="false">
      <c r="A1024" s="20" t="s">
        <v>1119</v>
      </c>
      <c r="E1024" s="23" t="str">
        <f aca="false">IF(D1024="?OLD","!!!","")</f>
        <v/>
      </c>
      <c r="F1024" s="25" t="str">
        <f aca="false">IF(OR(E1024="",E1024="!!!"),"",IF(NOT(ISNA(VLOOKUP(E1024,E$1:E1023,1,FALSE()))),"OLD",IF(AND(E1024&lt;&gt;"",E1024&lt;&gt;"!!!"),"NEW","")))</f>
        <v/>
      </c>
      <c r="G1024" s="26" t="str">
        <f aca="false">IF(OR(E1024="",E1024="!!!"),"",IF(OR(J1024=0,AND(J1024=1,K1024=1),AND(J1024=1,I1024="SBJ"),AND(J1024=1,I1024=0)),"?IN_FOCUS",IF(J1024&lt;=2,"?ACTIVATED",IF(J1024&lt;&gt;"","?FAMILIAR",IF(F1024="NEW",IF(ISNA(VLOOKUP(E1024,#REF!,1,FALSE())),"?TYPE_IDENTIFIABLE","?REFERENTIAL"),"_")))))</f>
        <v/>
      </c>
      <c r="H1024" s="27" t="str">
        <f aca="false">IF(J1024&lt;&gt;1,"",IF(I1024="SBJ","CB","?"))</f>
        <v/>
      </c>
      <c r="I1024" s="24" t="str">
        <f aca="false">IF(OR(E1024="",E1024="!!!",F1024="NEW"),"",INDEX(B20:B$1005,-1+SUMPRODUCT(MAX(ROW(E20:E$1005)*(E1024=E20:E$1005)))))</f>
        <v/>
      </c>
      <c r="J1024" s="24" t="str">
        <f aca="true">IF(OR(E1024="",E1024="!!!",F1024="NEW"),"",COUNTBLANK(OFFSET(A$1,,,SUMPRODUCT(MAX(ROW(E$2:E1024)*(E1024=E$2:E1024)))))-COUNTBLANK(OFFSET(A$1,,,SUMPRODUCT(MAX(ROW(E$1:E1023)*(E2=E$1:E1023))))))</f>
        <v/>
      </c>
      <c r="K1024" s="24" t="str">
        <f aca="false">IF(OR(E1024="",E1024="!!!",F1024="NEW"),"",INDEX(J$1:J1023,SUMPRODUCT(MAX(ROW(E$1:E1023)*(E1024=E$1:E1023)))))</f>
        <v/>
      </c>
      <c r="L1024" s="31"/>
    </row>
    <row r="1025" customFormat="false" ht="15" hidden="false" customHeight="false" outlineLevel="0" collapsed="false">
      <c r="A1025" s="20" t="s">
        <v>1559</v>
      </c>
      <c r="B1025" s="22" t="s">
        <v>1105</v>
      </c>
      <c r="C1025" s="22" t="s">
        <v>1160</v>
      </c>
      <c r="E1025" s="23" t="str">
        <f aca="false">IF(D1025="?OLD","!!!","")</f>
        <v/>
      </c>
      <c r="F1025" s="25" t="str">
        <f aca="false">IF(OR(E1025="",E1025="!!!"),"",IF(NOT(ISNA(VLOOKUP(E1025,E$1:E1024,1,FALSE()))),"OLD",IF(AND(E1025&lt;&gt;"",E1025&lt;&gt;"!!!"),"NEW","")))</f>
        <v/>
      </c>
      <c r="G1025" s="26" t="str">
        <f aca="false">IF(OR(E1025="",E1025="!!!"),"",IF(OR(J1025=0,AND(J1025=1,K1025=1),AND(J1025=1,I1025="SBJ"),AND(J1025=1,I1025=0)),"?IN_FOCUS",IF(J1025&lt;=2,"?ACTIVATED",IF(J1025&lt;&gt;"","?FAMILIAR",IF(F1025="NEW",IF(ISNA(VLOOKUP(E1025,#REF!,1,FALSE())),"?TYPE_IDENTIFIABLE","?REFERENTIAL"),"_")))))</f>
        <v/>
      </c>
      <c r="H1025" s="27" t="str">
        <f aca="false">IF(J1025&lt;&gt;1,"",IF(I1025="SBJ","CB","?"))</f>
        <v/>
      </c>
      <c r="I1025" s="24" t="str">
        <f aca="false">IF(OR(E1025="",E1025="!!!",F1025="NEW"),"",INDEX(B21:B$1005,-1+SUMPRODUCT(MAX(ROW(E21:E$1005)*(E1025=E21:E$1005)))))</f>
        <v/>
      </c>
      <c r="J1025" s="24" t="str">
        <f aca="true">IF(OR(E1025="",E1025="!!!",F1025="NEW"),"",COUNTBLANK(OFFSET(A$1,,,SUMPRODUCT(MAX(ROW(E$2:E1025)*(E1025=E$2:E1025)))))-COUNTBLANK(OFFSET(A$1,,,SUMPRODUCT(MAX(ROW(E$1:E1024)*(E2=E$1:E1024))))))</f>
        <v/>
      </c>
      <c r="K1025" s="24" t="str">
        <f aca="false">IF(OR(E1025="",E1025="!!!",F1025="NEW"),"",INDEX(J$1:J1024,SUMPRODUCT(MAX(ROW(E$1:E1024)*(E1025=E$1:E1024)))))</f>
        <v/>
      </c>
      <c r="L1025" s="31"/>
    </row>
    <row r="1026" customFormat="false" ht="15" hidden="false" customHeight="false" outlineLevel="0" collapsed="false">
      <c r="A1026" s="20" t="s">
        <v>923</v>
      </c>
      <c r="E1026" s="23" t="str">
        <f aca="false">IF(D1026="?OLD","!!!","")</f>
        <v/>
      </c>
      <c r="F1026" s="25" t="str">
        <f aca="false">IF(OR(E1026="",E1026="!!!"),"",IF(NOT(ISNA(VLOOKUP(E1026,E$1:E1025,1,FALSE()))),"OLD",IF(AND(E1026&lt;&gt;"",E1026&lt;&gt;"!!!"),"NEW","")))</f>
        <v/>
      </c>
      <c r="G1026" s="26" t="str">
        <f aca="false">IF(OR(E1026="",E1026="!!!"),"",IF(OR(J1026=0,AND(J1026=1,K1026=1),AND(J1026=1,I1026="SBJ"),AND(J1026=1,I1026=0)),"?IN_FOCUS",IF(J1026&lt;=2,"?ACTIVATED",IF(J1026&lt;&gt;"","?FAMILIAR",IF(F1026="NEW",IF(ISNA(VLOOKUP(E1026,#REF!,1,FALSE())),"?TYPE_IDENTIFIABLE","?REFERENTIAL"),"_")))))</f>
        <v/>
      </c>
      <c r="H1026" s="27" t="str">
        <f aca="false">IF(J1026&lt;&gt;1,"",IF(I1026="SBJ","CB","?"))</f>
        <v/>
      </c>
      <c r="I1026" s="24" t="str">
        <f aca="false">IF(OR(E1026="",E1026="!!!",F1026="NEW"),"",INDEX(B22:B$1005,-1+SUMPRODUCT(MAX(ROW(E22:E$1005)*(E1026=E22:E$1005)))))</f>
        <v/>
      </c>
      <c r="J1026" s="24" t="str">
        <f aca="true">IF(OR(E1026="",E1026="!!!",F1026="NEW"),"",COUNTBLANK(OFFSET(A$1,,,SUMPRODUCT(MAX(ROW(E$2:E1026)*(E1026=E$2:E1026)))))-COUNTBLANK(OFFSET(A$1,,,SUMPRODUCT(MAX(ROW(E$1:E1025)*(E2=E$1:E1025))))))</f>
        <v/>
      </c>
      <c r="K1026" s="24" t="str">
        <f aca="false">IF(OR(E1026="",E1026="!!!",F1026="NEW"),"",INDEX(J$1:J1025,SUMPRODUCT(MAX(ROW(E$1:E1025)*(E1026=E$1:E1025)))))</f>
        <v/>
      </c>
      <c r="L1026" s="31"/>
    </row>
    <row r="1027" customFormat="false" ht="15" hidden="false" customHeight="false" outlineLevel="0" collapsed="false">
      <c r="A1027" s="20"/>
    </row>
    <row r="1028" customFormat="false" ht="15" hidden="false" customHeight="false" outlineLevel="0" collapsed="false">
      <c r="A1028" s="20" t="s">
        <v>1560</v>
      </c>
    </row>
    <row r="1029" customFormat="false" ht="15" hidden="false" customHeight="false" outlineLevel="0" collapsed="false">
      <c r="A1029" s="20" t="s">
        <v>1561</v>
      </c>
      <c r="B1029" s="22" t="s">
        <v>1058</v>
      </c>
      <c r="C1029" s="22" t="s">
        <v>1082</v>
      </c>
      <c r="D1029" s="22" t="s">
        <v>1060</v>
      </c>
      <c r="E1029" s="23" t="str">
        <f aca="false">IF(D1029="?OLD","!!!","")</f>
        <v>!!!</v>
      </c>
      <c r="F1029" s="25" t="str">
        <f aca="false">IF(OR(E1029="",E1029="!!!"),"",IF(NOT(ISNA(VLOOKUP(E1029,E$1:E1028,1,FALSE()))),"OLD",IF(AND(E1029&lt;&gt;"",E1029&lt;&gt;"!!!"),"NEW","")))</f>
        <v/>
      </c>
      <c r="G1029" s="26" t="str">
        <f aca="false">IF(OR(E1029="",E1029="!!!"),"",IF(OR(J1029=0,AND(J1029=1,K1029=1),AND(J1029=1,I1029="SBJ"),AND(J1029=1,I1029=0)),"?IN_FOCUS",IF(J1029&lt;=2,"?ACTIVATED",IF(J1029&lt;&gt;"","?FAMILIAR",IF(F1029="NEW",IF(ISNA(VLOOKUP(E1029,#REF!,1,FALSE())),"?TYPE_IDENTIFIABLE","?REFERENTIAL"),"_")))))</f>
        <v/>
      </c>
      <c r="H1029" s="27" t="str">
        <f aca="false">IF(J1029&lt;&gt;1,"",IF(I1029="SBJ","CB","?"))</f>
        <v/>
      </c>
      <c r="I1029" s="24" t="str">
        <f aca="false">IF(OR(E1029="",E1029="!!!",F1029="NEW"),"",INDEX(B2:B$1028,-1+SUMPRODUCT(MAX(ROW(E2:E$1028)*(E1029=E2:E$1028)))))</f>
        <v/>
      </c>
      <c r="J1029" s="24" t="str">
        <f aca="true">IF(OR(E1029="",E1029="!!!",F1029="NEW"),"",COUNTBLANK(OFFSET(A$1,,,SUMPRODUCT(MAX(ROW(E$2:E1029)*(E1029=E$2:E1029)))))-COUNTBLANK(OFFSET(A$1,,,SUMPRODUCT(MAX(ROW(E$1:E1028)*(E2=E$1:E1028))))))</f>
        <v/>
      </c>
      <c r="K1029" s="24" t="str">
        <f aca="false">IF(OR(E1029="",E1029="!!!",F1029="NEW"),"",INDEX(J$1:J1028,SUMPRODUCT(MAX(ROW(E$1:E1028)*(E1029=E$1:E1028)))))</f>
        <v/>
      </c>
      <c r="L1029" s="31"/>
    </row>
    <row r="1030" customFormat="false" ht="15" hidden="false" customHeight="false" outlineLevel="0" collapsed="false">
      <c r="A1030" s="20" t="s">
        <v>1092</v>
      </c>
      <c r="E1030" s="23" t="str">
        <f aca="false">IF(D1030="?OLD","!!!","")</f>
        <v/>
      </c>
      <c r="F1030" s="25" t="str">
        <f aca="false">IF(OR(E1030="",E1030="!!!"),"",IF(NOT(ISNA(VLOOKUP(E1030,E$1:E1029,1,FALSE()))),"OLD",IF(AND(E1030&lt;&gt;"",E1030&lt;&gt;"!!!"),"NEW","")))</f>
        <v/>
      </c>
      <c r="G1030" s="26" t="str">
        <f aca="false">IF(OR(E1030="",E1030="!!!"),"",IF(OR(J1030=0,AND(J1030=1,K1030=1),AND(J1030=1,I1030="SBJ"),AND(J1030=1,I1030=0)),"?IN_FOCUS",IF(J1030&lt;=2,"?ACTIVATED",IF(J1030&lt;&gt;"","?FAMILIAR",IF(F1030="NEW",IF(ISNA(VLOOKUP(E1030,#REF!,1,FALSE())),"?TYPE_IDENTIFIABLE","?REFERENTIAL"),"_")))))</f>
        <v/>
      </c>
      <c r="H1030" s="27" t="str">
        <f aca="false">IF(J1030&lt;&gt;1,"",IF(I1030="SBJ","CB","?"))</f>
        <v/>
      </c>
      <c r="I1030" s="24" t="str">
        <f aca="false">IF(OR(E1030="",E1030="!!!",F1030="NEW"),"",INDEX(B3:B$1028,-1+SUMPRODUCT(MAX(ROW(E3:E$1028)*(E1030=E3:E$1028)))))</f>
        <v/>
      </c>
      <c r="J1030" s="24" t="str">
        <f aca="true">IF(OR(E1030="",E1030="!!!",F1030="NEW"),"",COUNTBLANK(OFFSET(A$1,,,SUMPRODUCT(MAX(ROW(E$2:E1030)*(E1030=E$2:E1030)))))-COUNTBLANK(OFFSET(A$1,,,SUMPRODUCT(MAX(ROW(E$1:E1029)*(E2=E$1:E1029))))))</f>
        <v/>
      </c>
      <c r="K1030" s="24" t="str">
        <f aca="false">IF(OR(E1030="",E1030="!!!",F1030="NEW"),"",INDEX(J$1:J1029,SUMPRODUCT(MAX(ROW(E$1:E1029)*(E1030=E$1:E1029)))))</f>
        <v/>
      </c>
      <c r="L1030" s="31"/>
    </row>
    <row r="1031" customFormat="false" ht="15" hidden="false" customHeight="false" outlineLevel="0" collapsed="false">
      <c r="A1031" s="20" t="s">
        <v>1199</v>
      </c>
      <c r="E1031" s="23" t="str">
        <f aca="false">IF(D1031="?OLD","!!!","")</f>
        <v/>
      </c>
      <c r="F1031" s="25" t="str">
        <f aca="false">IF(OR(E1031="",E1031="!!!"),"",IF(NOT(ISNA(VLOOKUP(E1031,E$1:E1030,1,FALSE()))),"OLD",IF(AND(E1031&lt;&gt;"",E1031&lt;&gt;"!!!"),"NEW","")))</f>
        <v/>
      </c>
      <c r="G1031" s="26" t="str">
        <f aca="false">IF(OR(E1031="",E1031="!!!"),"",IF(OR(J1031=0,AND(J1031=1,K1031=1),AND(J1031=1,I1031="SBJ"),AND(J1031=1,I1031=0)),"?IN_FOCUS",IF(J1031&lt;=2,"?ACTIVATED",IF(J1031&lt;&gt;"","?FAMILIAR",IF(F1031="NEW",IF(ISNA(VLOOKUP(E1031,#REF!,1,FALSE())),"?TYPE_IDENTIFIABLE","?REFERENTIAL"),"_")))))</f>
        <v/>
      </c>
      <c r="H1031" s="27" t="str">
        <f aca="false">IF(J1031&lt;&gt;1,"",IF(I1031="SBJ","CB","?"))</f>
        <v/>
      </c>
      <c r="I1031" s="24" t="str">
        <f aca="false">IF(OR(E1031="",E1031="!!!",F1031="NEW"),"",INDEX(B4:B$1028,-1+SUMPRODUCT(MAX(ROW(E4:E$1028)*(E1031=E4:E$1028)))))</f>
        <v/>
      </c>
      <c r="J1031" s="24" t="str">
        <f aca="true">IF(OR(E1031="",E1031="!!!",F1031="NEW"),"",COUNTBLANK(OFFSET(A$1,,,SUMPRODUCT(MAX(ROW(E$2:E1031)*(E1031=E$2:E1031)))))-COUNTBLANK(OFFSET(A$1,,,SUMPRODUCT(MAX(ROW(E$1:E1030)*(E2=E$1:E1030))))))</f>
        <v/>
      </c>
      <c r="K1031" s="24" t="str">
        <f aca="false">IF(OR(E1031="",E1031="!!!",F1031="NEW"),"",INDEX(J$1:J1030,SUMPRODUCT(MAX(ROW(E$1:E1030)*(E1031=E$1:E1030)))))</f>
        <v/>
      </c>
      <c r="L1031" s="31"/>
    </row>
    <row r="1032" customFormat="false" ht="15" hidden="false" customHeight="false" outlineLevel="0" collapsed="false">
      <c r="A1032" s="20" t="s">
        <v>1085</v>
      </c>
      <c r="E1032" s="23" t="str">
        <f aca="false">IF(D1032="?OLD","!!!","")</f>
        <v/>
      </c>
      <c r="F1032" s="25" t="str">
        <f aca="false">IF(OR(E1032="",E1032="!!!"),"",IF(NOT(ISNA(VLOOKUP(E1032,E$1:E1031,1,FALSE()))),"OLD",IF(AND(E1032&lt;&gt;"",E1032&lt;&gt;"!!!"),"NEW","")))</f>
        <v/>
      </c>
      <c r="G1032" s="26" t="str">
        <f aca="false">IF(OR(E1032="",E1032="!!!"),"",IF(OR(J1032=0,AND(J1032=1,K1032=1),AND(J1032=1,I1032="SBJ"),AND(J1032=1,I1032=0)),"?IN_FOCUS",IF(J1032&lt;=2,"?ACTIVATED",IF(J1032&lt;&gt;"","?FAMILIAR",IF(F1032="NEW",IF(ISNA(VLOOKUP(E1032,#REF!,1,FALSE())),"?TYPE_IDENTIFIABLE","?REFERENTIAL"),"_")))))</f>
        <v/>
      </c>
      <c r="H1032" s="27" t="str">
        <f aca="false">IF(J1032&lt;&gt;1,"",IF(I1032="SBJ","CB","?"))</f>
        <v/>
      </c>
      <c r="I1032" s="24" t="str">
        <f aca="false">IF(OR(E1032="",E1032="!!!",F1032="NEW"),"",INDEX(B5:B$1028,-1+SUMPRODUCT(MAX(ROW(E5:E$1028)*(E1032=E5:E$1028)))))</f>
        <v/>
      </c>
      <c r="J1032" s="24" t="str">
        <f aca="true">IF(OR(E1032="",E1032="!!!",F1032="NEW"),"",COUNTBLANK(OFFSET(A$1,,,SUMPRODUCT(MAX(ROW(E$2:E1032)*(E1032=E$2:E1032)))))-COUNTBLANK(OFFSET(A$1,,,SUMPRODUCT(MAX(ROW(E$1:E1031)*(E2=E$1:E1031))))))</f>
        <v/>
      </c>
      <c r="K1032" s="24" t="str">
        <f aca="false">IF(OR(E1032="",E1032="!!!",F1032="NEW"),"",INDEX(J$1:J1031,SUMPRODUCT(MAX(ROW(E$1:E1031)*(E1032=E$1:E1031)))))</f>
        <v/>
      </c>
      <c r="L1032" s="31"/>
    </row>
    <row r="1033" customFormat="false" ht="15" hidden="false" customHeight="false" outlineLevel="0" collapsed="false">
      <c r="A1033" s="20" t="s">
        <v>311</v>
      </c>
      <c r="B1033" s="22" t="s">
        <v>1105</v>
      </c>
      <c r="C1033" s="22" t="s">
        <v>1087</v>
      </c>
      <c r="E1033" s="23" t="str">
        <f aca="false">IF(D1033="?OLD","!!!","")</f>
        <v/>
      </c>
      <c r="F1033" s="25" t="str">
        <f aca="false">IF(OR(E1033="",E1033="!!!"),"",IF(NOT(ISNA(VLOOKUP(E1033,E$1:E1032,1,FALSE()))),"OLD",IF(AND(E1033&lt;&gt;"",E1033&lt;&gt;"!!!"),"NEW","")))</f>
        <v/>
      </c>
      <c r="G1033" s="26" t="str">
        <f aca="false">IF(OR(E1033="",E1033="!!!"),"",IF(OR(J1033=0,AND(J1033=1,K1033=1),AND(J1033=1,I1033="SBJ"),AND(J1033=1,I1033=0)),"?IN_FOCUS",IF(J1033&lt;=2,"?ACTIVATED",IF(J1033&lt;&gt;"","?FAMILIAR",IF(F1033="NEW",IF(ISNA(VLOOKUP(E1033,#REF!,1,FALSE())),"?TYPE_IDENTIFIABLE","?REFERENTIAL"),"_")))))</f>
        <v/>
      </c>
      <c r="H1033" s="27" t="str">
        <f aca="false">IF(J1033&lt;&gt;1,"",IF(I1033="SBJ","CB","?"))</f>
        <v/>
      </c>
      <c r="I1033" s="24" t="str">
        <f aca="false">IF(OR(E1033="",E1033="!!!",F1033="NEW"),"",INDEX(B6:B$1028,-1+SUMPRODUCT(MAX(ROW(E6:E$1028)*(E1033=E6:E$1028)))))</f>
        <v/>
      </c>
      <c r="J1033" s="24" t="str">
        <f aca="true">IF(OR(E1033="",E1033="!!!",F1033="NEW"),"",COUNTBLANK(OFFSET(A$1,,,SUMPRODUCT(MAX(ROW(E$2:E1033)*(E1033=E$2:E1033)))))-COUNTBLANK(OFFSET(A$1,,,SUMPRODUCT(MAX(ROW(E$1:E1032)*(E2=E$1:E1032))))))</f>
        <v/>
      </c>
      <c r="K1033" s="24" t="str">
        <f aca="false">IF(OR(E1033="",E1033="!!!",F1033="NEW"),"",INDEX(J$1:J1032,SUMPRODUCT(MAX(ROW(E$1:E1032)*(E1033=E$1:E1032)))))</f>
        <v/>
      </c>
      <c r="L1033" s="31"/>
    </row>
    <row r="1034" customFormat="false" ht="15" hidden="false" customHeight="false" outlineLevel="0" collapsed="false">
      <c r="A1034" s="20" t="s">
        <v>1562</v>
      </c>
      <c r="E1034" s="23" t="str">
        <f aca="false">IF(D1034="?OLD","!!!","")</f>
        <v/>
      </c>
      <c r="F1034" s="25" t="str">
        <f aca="false">IF(OR(E1034="",E1034="!!!"),"",IF(NOT(ISNA(VLOOKUP(E1034,E$1:E1033,1,FALSE()))),"OLD",IF(AND(E1034&lt;&gt;"",E1034&lt;&gt;"!!!"),"NEW","")))</f>
        <v/>
      </c>
      <c r="G1034" s="26" t="str">
        <f aca="false">IF(OR(E1034="",E1034="!!!"),"",IF(OR(J1034=0,AND(J1034=1,K1034=1),AND(J1034=1,I1034="SBJ"),AND(J1034=1,I1034=0)),"?IN_FOCUS",IF(J1034&lt;=2,"?ACTIVATED",IF(J1034&lt;&gt;"","?FAMILIAR",IF(F1034="NEW",IF(ISNA(VLOOKUP(E1034,#REF!,1,FALSE())),"?TYPE_IDENTIFIABLE","?REFERENTIAL"),"_")))))</f>
        <v/>
      </c>
      <c r="H1034" s="27" t="str">
        <f aca="false">IF(J1034&lt;&gt;1,"",IF(I1034="SBJ","CB","?"))</f>
        <v/>
      </c>
      <c r="I1034" s="24" t="str">
        <f aca="false">IF(OR(E1034="",E1034="!!!",F1034="NEW"),"",INDEX(B7:B$1028,-1+SUMPRODUCT(MAX(ROW(E7:E$1028)*(E1034=E7:E$1028)))))</f>
        <v/>
      </c>
      <c r="J1034" s="24" t="str">
        <f aca="true">IF(OR(E1034="",E1034="!!!",F1034="NEW"),"",COUNTBLANK(OFFSET(A$1,,,SUMPRODUCT(MAX(ROW(E$2:E1034)*(E1034=E$2:E1034)))))-COUNTBLANK(OFFSET(A$1,,,SUMPRODUCT(MAX(ROW(E$1:E1033)*(E2=E$1:E1033))))))</f>
        <v/>
      </c>
      <c r="K1034" s="24" t="str">
        <f aca="false">IF(OR(E1034="",E1034="!!!",F1034="NEW"),"",INDEX(J$1:J1033,SUMPRODUCT(MAX(ROW(E$1:E1033)*(E1034=E$1:E1033)))))</f>
        <v/>
      </c>
      <c r="L1034" s="31"/>
    </row>
    <row r="1035" customFormat="false" ht="15" hidden="false" customHeight="false" outlineLevel="0" collapsed="false">
      <c r="A1035" s="20" t="s">
        <v>587</v>
      </c>
      <c r="E1035" s="23" t="str">
        <f aca="false">IF(D1035="?OLD","!!!","")</f>
        <v/>
      </c>
      <c r="F1035" s="25" t="str">
        <f aca="false">IF(OR(E1035="",E1035="!!!"),"",IF(NOT(ISNA(VLOOKUP(E1035,E$1:E1034,1,FALSE()))),"OLD",IF(AND(E1035&lt;&gt;"",E1035&lt;&gt;"!!!"),"NEW","")))</f>
        <v/>
      </c>
      <c r="G1035" s="26" t="str">
        <f aca="false">IF(OR(E1035="",E1035="!!!"),"",IF(OR(J1035=0,AND(J1035=1,K1035=1),AND(J1035=1,I1035="SBJ"),AND(J1035=1,I1035=0)),"?IN_FOCUS",IF(J1035&lt;=2,"?ACTIVATED",IF(J1035&lt;&gt;"","?FAMILIAR",IF(F1035="NEW",IF(ISNA(VLOOKUP(E1035,#REF!,1,FALSE())),"?TYPE_IDENTIFIABLE","?REFERENTIAL"),"_")))))</f>
        <v/>
      </c>
      <c r="H1035" s="27" t="str">
        <f aca="false">IF(J1035&lt;&gt;1,"",IF(I1035="SBJ","CB","?"))</f>
        <v/>
      </c>
      <c r="I1035" s="24" t="str">
        <f aca="false">IF(OR(E1035="",E1035="!!!",F1035="NEW"),"",INDEX(B8:B$1028,-1+SUMPRODUCT(MAX(ROW(E8:E$1028)*(E1035=E8:E$1028)))))</f>
        <v/>
      </c>
      <c r="J1035" s="24" t="str">
        <f aca="true">IF(OR(E1035="",E1035="!!!",F1035="NEW"),"",COUNTBLANK(OFFSET(A$1,,,SUMPRODUCT(MAX(ROW(E$2:E1035)*(E1035=E$2:E1035)))))-COUNTBLANK(OFFSET(A$1,,,SUMPRODUCT(MAX(ROW(E$1:E1034)*(E2=E$1:E1034))))))</f>
        <v/>
      </c>
      <c r="K1035" s="24" t="str">
        <f aca="false">IF(OR(E1035="",E1035="!!!",F1035="NEW"),"",INDEX(J$1:J1034,SUMPRODUCT(MAX(ROW(E$1:E1034)*(E1035=E$1:E1034)))))</f>
        <v/>
      </c>
      <c r="L1035" s="31"/>
    </row>
    <row r="1036" customFormat="false" ht="15" hidden="false" customHeight="false" outlineLevel="0" collapsed="false">
      <c r="A1036" s="20" t="s">
        <v>1415</v>
      </c>
      <c r="E1036" s="23" t="str">
        <f aca="false">IF(D1036="?OLD","!!!","")</f>
        <v/>
      </c>
      <c r="F1036" s="25" t="str">
        <f aca="false">IF(OR(E1036="",E1036="!!!"),"",IF(NOT(ISNA(VLOOKUP(E1036,E$1:E1035,1,FALSE()))),"OLD",IF(AND(E1036&lt;&gt;"",E1036&lt;&gt;"!!!"),"NEW","")))</f>
        <v/>
      </c>
      <c r="G1036" s="26" t="str">
        <f aca="false">IF(OR(E1036="",E1036="!!!"),"",IF(OR(J1036=0,AND(J1036=1,K1036=1),AND(J1036=1,I1036="SBJ"),AND(J1036=1,I1036=0)),"?IN_FOCUS",IF(J1036&lt;=2,"?ACTIVATED",IF(J1036&lt;&gt;"","?FAMILIAR",IF(F1036="NEW",IF(ISNA(VLOOKUP(E1036,#REF!,1,FALSE())),"?TYPE_IDENTIFIABLE","?REFERENTIAL"),"_")))))</f>
        <v/>
      </c>
      <c r="H1036" s="27" t="str">
        <f aca="false">IF(J1036&lt;&gt;1,"",IF(I1036="SBJ","CB","?"))</f>
        <v/>
      </c>
      <c r="I1036" s="24" t="str">
        <f aca="false">IF(OR(E1036="",E1036="!!!",F1036="NEW"),"",INDEX(B9:B$1028,-1+SUMPRODUCT(MAX(ROW(E9:E$1028)*(E1036=E9:E$1028)))))</f>
        <v/>
      </c>
      <c r="J1036" s="24" t="str">
        <f aca="true">IF(OR(E1036="",E1036="!!!",F1036="NEW"),"",COUNTBLANK(OFFSET(A$1,,,SUMPRODUCT(MAX(ROW(E$2:E1036)*(E1036=E$2:E1036)))))-COUNTBLANK(OFFSET(A$1,,,SUMPRODUCT(MAX(ROW(E$1:E1035)*(E2=E$1:E1035))))))</f>
        <v/>
      </c>
      <c r="K1036" s="24" t="str">
        <f aca="false">IF(OR(E1036="",E1036="!!!",F1036="NEW"),"",INDEX(J$1:J1035,SUMPRODUCT(MAX(ROW(E$1:E1035)*(E1036=E$1:E1035)))))</f>
        <v/>
      </c>
      <c r="L1036" s="31"/>
    </row>
    <row r="1037" customFormat="false" ht="15" hidden="false" customHeight="false" outlineLevel="0" collapsed="false">
      <c r="A1037" s="20" t="s">
        <v>1076</v>
      </c>
      <c r="E1037" s="23" t="str">
        <f aca="false">IF(D1037="?OLD","!!!","")</f>
        <v/>
      </c>
      <c r="F1037" s="25" t="str">
        <f aca="false">IF(OR(E1037="",E1037="!!!"),"",IF(NOT(ISNA(VLOOKUP(E1037,E$1:E1036,1,FALSE()))),"OLD",IF(AND(E1037&lt;&gt;"",E1037&lt;&gt;"!!!"),"NEW","")))</f>
        <v/>
      </c>
      <c r="G1037" s="26" t="str">
        <f aca="false">IF(OR(E1037="",E1037="!!!"),"",IF(OR(J1037=0,AND(J1037=1,K1037=1),AND(J1037=1,I1037="SBJ"),AND(J1037=1,I1037=0)),"?IN_FOCUS",IF(J1037&lt;=2,"?ACTIVATED",IF(J1037&lt;&gt;"","?FAMILIAR",IF(F1037="NEW",IF(ISNA(VLOOKUP(E1037,#REF!,1,FALSE())),"?TYPE_IDENTIFIABLE","?REFERENTIAL"),"_")))))</f>
        <v/>
      </c>
      <c r="H1037" s="27" t="str">
        <f aca="false">IF(J1037&lt;&gt;1,"",IF(I1037="SBJ","CB","?"))</f>
        <v/>
      </c>
      <c r="I1037" s="24" t="str">
        <f aca="false">IF(OR(E1037="",E1037="!!!",F1037="NEW"),"",INDEX(B10:B$1028,-1+SUMPRODUCT(MAX(ROW(E10:E$1028)*(E1037=E10:E$1028)))))</f>
        <v/>
      </c>
      <c r="J1037" s="24" t="str">
        <f aca="true">IF(OR(E1037="",E1037="!!!",F1037="NEW"),"",COUNTBLANK(OFFSET(A$1,,,SUMPRODUCT(MAX(ROW(E$2:E1037)*(E1037=E$2:E1037)))))-COUNTBLANK(OFFSET(A$1,,,SUMPRODUCT(MAX(ROW(E$1:E1036)*(E2=E$1:E1036))))))</f>
        <v/>
      </c>
      <c r="K1037" s="24" t="str">
        <f aca="false">IF(OR(E1037="",E1037="!!!",F1037="NEW"),"",INDEX(J$1:J1036,SUMPRODUCT(MAX(ROW(E$1:E1036)*(E1037=E$1:E1036)))))</f>
        <v/>
      </c>
      <c r="L1037" s="31"/>
    </row>
    <row r="1038" customFormat="false" ht="15" hidden="false" customHeight="false" outlineLevel="0" collapsed="false">
      <c r="A1038" s="20" t="s">
        <v>1128</v>
      </c>
      <c r="E1038" s="23" t="str">
        <f aca="false">IF(D1038="?OLD","!!!","")</f>
        <v/>
      </c>
      <c r="F1038" s="25" t="str">
        <f aca="false">IF(OR(E1038="",E1038="!!!"),"",IF(NOT(ISNA(VLOOKUP(E1038,E$1:E1037,1,FALSE()))),"OLD",IF(AND(E1038&lt;&gt;"",E1038&lt;&gt;"!!!"),"NEW","")))</f>
        <v/>
      </c>
      <c r="G1038" s="26" t="str">
        <f aca="false">IF(OR(E1038="",E1038="!!!"),"",IF(OR(J1038=0,AND(J1038=1,K1038=1),AND(J1038=1,I1038="SBJ"),AND(J1038=1,I1038=0)),"?IN_FOCUS",IF(J1038&lt;=2,"?ACTIVATED",IF(J1038&lt;&gt;"","?FAMILIAR",IF(F1038="NEW",IF(ISNA(VLOOKUP(E1038,#REF!,1,FALSE())),"?TYPE_IDENTIFIABLE","?REFERENTIAL"),"_")))))</f>
        <v/>
      </c>
      <c r="H1038" s="27" t="str">
        <f aca="false">IF(J1038&lt;&gt;1,"",IF(I1038="SBJ","CB","?"))</f>
        <v/>
      </c>
      <c r="I1038" s="24" t="str">
        <f aca="false">IF(OR(E1038="",E1038="!!!",F1038="NEW"),"",INDEX(B11:B$1028,-1+SUMPRODUCT(MAX(ROW(E11:E$1028)*(E1038=E11:E$1028)))))</f>
        <v/>
      </c>
      <c r="J1038" s="24" t="str">
        <f aca="true">IF(OR(E1038="",E1038="!!!",F1038="NEW"),"",COUNTBLANK(OFFSET(A$1,,,SUMPRODUCT(MAX(ROW(E$2:E1038)*(E1038=E$2:E1038)))))-COUNTBLANK(OFFSET(A$1,,,SUMPRODUCT(MAX(ROW(E$1:E1037)*(E2=E$1:E1037))))))</f>
        <v/>
      </c>
      <c r="K1038" s="24" t="str">
        <f aca="false">IF(OR(E1038="",E1038="!!!",F1038="NEW"),"",INDEX(J$1:J1037,SUMPRODUCT(MAX(ROW(E$1:E1037)*(E1038=E$1:E1037)))))</f>
        <v/>
      </c>
      <c r="L1038" s="31"/>
    </row>
    <row r="1039" customFormat="false" ht="15" hidden="false" customHeight="false" outlineLevel="0" collapsed="false">
      <c r="A1039" s="20" t="s">
        <v>1563</v>
      </c>
      <c r="E1039" s="23" t="str">
        <f aca="false">IF(D1039="?OLD","!!!","")</f>
        <v/>
      </c>
      <c r="F1039" s="25" t="str">
        <f aca="false">IF(OR(E1039="",E1039="!!!"),"",IF(NOT(ISNA(VLOOKUP(E1039,E$1:E1038,1,FALSE()))),"OLD",IF(AND(E1039&lt;&gt;"",E1039&lt;&gt;"!!!"),"NEW","")))</f>
        <v/>
      </c>
      <c r="G1039" s="26" t="str">
        <f aca="false">IF(OR(E1039="",E1039="!!!"),"",IF(OR(J1039=0,AND(J1039=1,K1039=1),AND(J1039=1,I1039="SBJ"),AND(J1039=1,I1039=0)),"?IN_FOCUS",IF(J1039&lt;=2,"?ACTIVATED",IF(J1039&lt;&gt;"","?FAMILIAR",IF(F1039="NEW",IF(ISNA(VLOOKUP(E1039,#REF!,1,FALSE())),"?TYPE_IDENTIFIABLE","?REFERENTIAL"),"_")))))</f>
        <v/>
      </c>
      <c r="H1039" s="27" t="str">
        <f aca="false">IF(J1039&lt;&gt;1,"",IF(I1039="SBJ","CB","?"))</f>
        <v/>
      </c>
      <c r="I1039" s="24" t="str">
        <f aca="false">IF(OR(E1039="",E1039="!!!",F1039="NEW"),"",INDEX(B12:B$1028,-1+SUMPRODUCT(MAX(ROW(E12:E$1028)*(E1039=E12:E$1028)))))</f>
        <v/>
      </c>
      <c r="J1039" s="24" t="str">
        <f aca="true">IF(OR(E1039="",E1039="!!!",F1039="NEW"),"",COUNTBLANK(OFFSET(A$1,,,SUMPRODUCT(MAX(ROW(E$2:E1039)*(E1039=E$2:E1039)))))-COUNTBLANK(OFFSET(A$1,,,SUMPRODUCT(MAX(ROW(E$1:E1038)*(E2=E$1:E1038))))))</f>
        <v/>
      </c>
      <c r="K1039" s="24" t="str">
        <f aca="false">IF(OR(E1039="",E1039="!!!",F1039="NEW"),"",INDEX(J$1:J1038,SUMPRODUCT(MAX(ROW(E$1:E1038)*(E1039=E$1:E1038)))))</f>
        <v/>
      </c>
      <c r="L1039" s="31"/>
    </row>
    <row r="1040" customFormat="false" ht="15" hidden="false" customHeight="false" outlineLevel="0" collapsed="false">
      <c r="A1040" s="20" t="s">
        <v>1162</v>
      </c>
      <c r="B1040" s="22" t="s">
        <v>1086</v>
      </c>
      <c r="C1040" s="22" t="s">
        <v>1082</v>
      </c>
      <c r="D1040" s="22" t="s">
        <v>1060</v>
      </c>
      <c r="E1040" s="23" t="str">
        <f aca="false">IF(D1040="?OLD","!!!","")</f>
        <v>!!!</v>
      </c>
      <c r="F1040" s="25" t="str">
        <f aca="false">IF(OR(E1040="",E1040="!!!"),"",IF(NOT(ISNA(VLOOKUP(E1040,E$1:E1039,1,FALSE()))),"OLD",IF(AND(E1040&lt;&gt;"",E1040&lt;&gt;"!!!"),"NEW","")))</f>
        <v/>
      </c>
      <c r="G1040" s="26" t="str">
        <f aca="false">IF(OR(E1040="",E1040="!!!"),"",IF(OR(J1040=0,AND(J1040=1,K1040=1),AND(J1040=1,I1040="SBJ"),AND(J1040=1,I1040=0)),"?IN_FOCUS",IF(J1040&lt;=2,"?ACTIVATED",IF(J1040&lt;&gt;"","?FAMILIAR",IF(F1040="NEW",IF(ISNA(VLOOKUP(E1040,#REF!,1,FALSE())),"?TYPE_IDENTIFIABLE","?REFERENTIAL"),"_")))))</f>
        <v/>
      </c>
      <c r="H1040" s="27" t="str">
        <f aca="false">IF(J1040&lt;&gt;1,"",IF(I1040="SBJ","CB","?"))</f>
        <v/>
      </c>
      <c r="I1040" s="24" t="str">
        <f aca="false">IF(OR(E1040="",E1040="!!!",F1040="NEW"),"",INDEX(B13:B$1028,-1+SUMPRODUCT(MAX(ROW(E13:E$1028)*(E1040=E13:E$1028)))))</f>
        <v/>
      </c>
      <c r="J1040" s="24" t="str">
        <f aca="true">IF(OR(E1040="",E1040="!!!",F1040="NEW"),"",COUNTBLANK(OFFSET(A$1,,,SUMPRODUCT(MAX(ROW(E$2:E1040)*(E1040=E$2:E1040)))))-COUNTBLANK(OFFSET(A$1,,,SUMPRODUCT(MAX(ROW(E$1:E1039)*(E2=E$1:E1039))))))</f>
        <v/>
      </c>
      <c r="K1040" s="24" t="str">
        <f aca="false">IF(OR(E1040="",E1040="!!!",F1040="NEW"),"",INDEX(J$1:J1039,SUMPRODUCT(MAX(ROW(E$1:E1039)*(E1040=E$1:E1039)))))</f>
        <v/>
      </c>
      <c r="L1040" s="31"/>
    </row>
    <row r="1041" customFormat="false" ht="15" hidden="false" customHeight="false" outlineLevel="0" collapsed="false">
      <c r="A1041" s="20" t="s">
        <v>1529</v>
      </c>
      <c r="E1041" s="23" t="str">
        <f aca="false">IF(D1041="?OLD","!!!","")</f>
        <v/>
      </c>
      <c r="F1041" s="25" t="str">
        <f aca="false">IF(OR(E1041="",E1041="!!!"),"",IF(NOT(ISNA(VLOOKUP(E1041,E$1:E1040,1,FALSE()))),"OLD",IF(AND(E1041&lt;&gt;"",E1041&lt;&gt;"!!!"),"NEW","")))</f>
        <v/>
      </c>
      <c r="G1041" s="26" t="str">
        <f aca="false">IF(OR(E1041="",E1041="!!!"),"",IF(OR(J1041=0,AND(J1041=1,K1041=1),AND(J1041=1,I1041="SBJ"),AND(J1041=1,I1041=0)),"?IN_FOCUS",IF(J1041&lt;=2,"?ACTIVATED",IF(J1041&lt;&gt;"","?FAMILIAR",IF(F1041="NEW",IF(ISNA(VLOOKUP(E1041,#REF!,1,FALSE())),"?TYPE_IDENTIFIABLE","?REFERENTIAL"),"_")))))</f>
        <v/>
      </c>
      <c r="H1041" s="27" t="str">
        <f aca="false">IF(J1041&lt;&gt;1,"",IF(I1041="SBJ","CB","?"))</f>
        <v/>
      </c>
      <c r="I1041" s="24" t="str">
        <f aca="false">IF(OR(E1041="",E1041="!!!",F1041="NEW"),"",INDEX(B14:B$1028,-1+SUMPRODUCT(MAX(ROW(E14:E$1028)*(E1041=E14:E$1028)))))</f>
        <v/>
      </c>
      <c r="J1041" s="24" t="str">
        <f aca="true">IF(OR(E1041="",E1041="!!!",F1041="NEW"),"",COUNTBLANK(OFFSET(A$1,,,SUMPRODUCT(MAX(ROW(E$2:E1041)*(E1041=E$2:E1041)))))-COUNTBLANK(OFFSET(A$1,,,SUMPRODUCT(MAX(ROW(E$1:E1040)*(E2=E$1:E1040))))))</f>
        <v/>
      </c>
      <c r="K1041" s="24" t="str">
        <f aca="false">IF(OR(E1041="",E1041="!!!",F1041="NEW"),"",INDEX(J$1:J1040,SUMPRODUCT(MAX(ROW(E$1:E1040)*(E1041=E$1:E1040)))))</f>
        <v/>
      </c>
      <c r="L1041" s="31"/>
    </row>
    <row r="1042" customFormat="false" ht="15" hidden="false" customHeight="false" outlineLevel="0" collapsed="false">
      <c r="A1042" s="20" t="s">
        <v>1109</v>
      </c>
      <c r="E1042" s="23" t="str">
        <f aca="false">IF(D1042="?OLD","!!!","")</f>
        <v/>
      </c>
      <c r="F1042" s="25" t="str">
        <f aca="false">IF(OR(E1042="",E1042="!!!"),"",IF(NOT(ISNA(VLOOKUP(E1042,E$1:E1041,1,FALSE()))),"OLD",IF(AND(E1042&lt;&gt;"",E1042&lt;&gt;"!!!"),"NEW","")))</f>
        <v/>
      </c>
      <c r="G1042" s="26" t="str">
        <f aca="false">IF(OR(E1042="",E1042="!!!"),"",IF(OR(J1042=0,AND(J1042=1,K1042=1),AND(J1042=1,I1042="SBJ"),AND(J1042=1,I1042=0)),"?IN_FOCUS",IF(J1042&lt;=2,"?ACTIVATED",IF(J1042&lt;&gt;"","?FAMILIAR",IF(F1042="NEW",IF(ISNA(VLOOKUP(E1042,#REF!,1,FALSE())),"?TYPE_IDENTIFIABLE","?REFERENTIAL"),"_")))))</f>
        <v/>
      </c>
      <c r="H1042" s="27" t="str">
        <f aca="false">IF(J1042&lt;&gt;1,"",IF(I1042="SBJ","CB","?"))</f>
        <v/>
      </c>
      <c r="I1042" s="24" t="str">
        <f aca="false">IF(OR(E1042="",E1042="!!!",F1042="NEW"),"",INDEX(B15:B$1028,-1+SUMPRODUCT(MAX(ROW(E15:E$1028)*(E1042=E15:E$1028)))))</f>
        <v/>
      </c>
      <c r="J1042" s="24" t="str">
        <f aca="true">IF(OR(E1042="",E1042="!!!",F1042="NEW"),"",COUNTBLANK(OFFSET(A$1,,,SUMPRODUCT(MAX(ROW(E$2:E1042)*(E1042=E$2:E1042)))))-COUNTBLANK(OFFSET(A$1,,,SUMPRODUCT(MAX(ROW(E$1:E1041)*(E2=E$1:E1041))))))</f>
        <v/>
      </c>
      <c r="K1042" s="24" t="str">
        <f aca="false">IF(OR(E1042="",E1042="!!!",F1042="NEW"),"",INDEX(J$1:J1041,SUMPRODUCT(MAX(ROW(E$1:E1041)*(E1042=E$1:E1041)))))</f>
        <v/>
      </c>
      <c r="L1042" s="31"/>
    </row>
    <row r="1043" customFormat="false" ht="15" hidden="false" customHeight="false" outlineLevel="0" collapsed="false">
      <c r="A1043" s="20" t="s">
        <v>1553</v>
      </c>
      <c r="E1043" s="23" t="str">
        <f aca="false">IF(D1043="?OLD","!!!","")</f>
        <v/>
      </c>
      <c r="F1043" s="25" t="str">
        <f aca="false">IF(OR(E1043="",E1043="!!!"),"",IF(NOT(ISNA(VLOOKUP(E1043,E$1:E1042,1,FALSE()))),"OLD",IF(AND(E1043&lt;&gt;"",E1043&lt;&gt;"!!!"),"NEW","")))</f>
        <v/>
      </c>
      <c r="G1043" s="26" t="str">
        <f aca="false">IF(OR(E1043="",E1043="!!!"),"",IF(OR(J1043=0,AND(J1043=1,K1043=1),AND(J1043=1,I1043="SBJ"),AND(J1043=1,I1043=0)),"?IN_FOCUS",IF(J1043&lt;=2,"?ACTIVATED",IF(J1043&lt;&gt;"","?FAMILIAR",IF(F1043="NEW",IF(ISNA(VLOOKUP(E1043,#REF!,1,FALSE())),"?TYPE_IDENTIFIABLE","?REFERENTIAL"),"_")))))</f>
        <v/>
      </c>
      <c r="H1043" s="27" t="str">
        <f aca="false">IF(J1043&lt;&gt;1,"",IF(I1043="SBJ","CB","?"))</f>
        <v/>
      </c>
      <c r="I1043" s="24" t="str">
        <f aca="false">IF(OR(E1043="",E1043="!!!",F1043="NEW"),"",INDEX(B16:B$1028,-1+SUMPRODUCT(MAX(ROW(E16:E$1028)*(E1043=E16:E$1028)))))</f>
        <v/>
      </c>
      <c r="J1043" s="24" t="str">
        <f aca="true">IF(OR(E1043="",E1043="!!!",F1043="NEW"),"",COUNTBLANK(OFFSET(A$1,,,SUMPRODUCT(MAX(ROW(E$2:E1043)*(E1043=E$2:E1043)))))-COUNTBLANK(OFFSET(A$1,,,SUMPRODUCT(MAX(ROW(E$1:E1042)*(E2=E$1:E1042))))))</f>
        <v/>
      </c>
      <c r="K1043" s="24" t="str">
        <f aca="false">IF(OR(E1043="",E1043="!!!",F1043="NEW"),"",INDEX(J$1:J1042,SUMPRODUCT(MAX(ROW(E$1:E1042)*(E1043=E$1:E1042)))))</f>
        <v/>
      </c>
      <c r="L1043" s="31"/>
    </row>
    <row r="1044" customFormat="false" ht="15" hidden="false" customHeight="false" outlineLevel="0" collapsed="false">
      <c r="A1044" s="20" t="s">
        <v>220</v>
      </c>
      <c r="B1044" s="22" t="s">
        <v>1142</v>
      </c>
      <c r="C1044" s="22" t="s">
        <v>1150</v>
      </c>
      <c r="D1044" s="22" t="s">
        <v>1060</v>
      </c>
      <c r="E1044" s="23" t="str">
        <f aca="false">IF(D1044="?OLD","!!!","")</f>
        <v>!!!</v>
      </c>
      <c r="F1044" s="25" t="str">
        <f aca="false">IF(OR(E1044="",E1044="!!!"),"",IF(NOT(ISNA(VLOOKUP(E1044,E$1:E1043,1,FALSE()))),"OLD",IF(AND(E1044&lt;&gt;"",E1044&lt;&gt;"!!!"),"NEW","")))</f>
        <v/>
      </c>
      <c r="G1044" s="26" t="str">
        <f aca="false">IF(OR(E1044="",E1044="!!!"),"",IF(OR(J1044=0,AND(J1044=1,K1044=1),AND(J1044=1,I1044="SBJ"),AND(J1044=1,I1044=0)),"?IN_FOCUS",IF(J1044&lt;=2,"?ACTIVATED",IF(J1044&lt;&gt;"","?FAMILIAR",IF(F1044="NEW",IF(ISNA(VLOOKUP(E1044,#REF!,1,FALSE())),"?TYPE_IDENTIFIABLE","?REFERENTIAL"),"_")))))</f>
        <v/>
      </c>
      <c r="H1044" s="27" t="str">
        <f aca="false">IF(J1044&lt;&gt;1,"",IF(I1044="SBJ","CB","?"))</f>
        <v/>
      </c>
      <c r="I1044" s="24" t="str">
        <f aca="false">IF(OR(E1044="",E1044="!!!",F1044="NEW"),"",INDEX(B17:B$1028,-1+SUMPRODUCT(MAX(ROW(E17:E$1028)*(E1044=E17:E$1028)))))</f>
        <v/>
      </c>
      <c r="J1044" s="24" t="str">
        <f aca="true">IF(OR(E1044="",E1044="!!!",F1044="NEW"),"",COUNTBLANK(OFFSET(A$1,,,SUMPRODUCT(MAX(ROW(E$2:E1044)*(E1044=E$2:E1044)))))-COUNTBLANK(OFFSET(A$1,,,SUMPRODUCT(MAX(ROW(E$1:E1043)*(E2=E$1:E1043))))))</f>
        <v/>
      </c>
      <c r="K1044" s="24" t="str">
        <f aca="false">IF(OR(E1044="",E1044="!!!",F1044="NEW"),"",INDEX(J$1:J1043,SUMPRODUCT(MAX(ROW(E$1:E1043)*(E1044=E$1:E1043)))))</f>
        <v/>
      </c>
      <c r="L1044" s="31"/>
    </row>
    <row r="1045" customFormat="false" ht="15" hidden="false" customHeight="false" outlineLevel="0" collapsed="false">
      <c r="A1045" s="20" t="s">
        <v>1233</v>
      </c>
      <c r="E1045" s="23" t="str">
        <f aca="false">IF(D1045="?OLD","!!!","")</f>
        <v/>
      </c>
      <c r="F1045" s="25" t="str">
        <f aca="false">IF(OR(E1045="",E1045="!!!"),"",IF(NOT(ISNA(VLOOKUP(E1045,E$1:E1044,1,FALSE()))),"OLD",IF(AND(E1045&lt;&gt;"",E1045&lt;&gt;"!!!"),"NEW","")))</f>
        <v/>
      </c>
      <c r="G1045" s="26" t="str">
        <f aca="false">IF(OR(E1045="",E1045="!!!"),"",IF(OR(J1045=0,AND(J1045=1,K1045=1),AND(J1045=1,I1045="SBJ"),AND(J1045=1,I1045=0)),"?IN_FOCUS",IF(J1045&lt;=2,"?ACTIVATED",IF(J1045&lt;&gt;"","?FAMILIAR",IF(F1045="NEW",IF(ISNA(VLOOKUP(E1045,#REF!,1,FALSE())),"?TYPE_IDENTIFIABLE","?REFERENTIAL"),"_")))))</f>
        <v/>
      </c>
      <c r="H1045" s="27" t="str">
        <f aca="false">IF(J1045&lt;&gt;1,"",IF(I1045="SBJ","CB","?"))</f>
        <v/>
      </c>
      <c r="I1045" s="24" t="str">
        <f aca="false">IF(OR(E1045="",E1045="!!!",F1045="NEW"),"",INDEX(B18:B$1028,-1+SUMPRODUCT(MAX(ROW(E18:E$1028)*(E1045=E18:E$1028)))))</f>
        <v/>
      </c>
      <c r="J1045" s="24" t="str">
        <f aca="true">IF(OR(E1045="",E1045="!!!",F1045="NEW"),"",COUNTBLANK(OFFSET(A$1,,,SUMPRODUCT(MAX(ROW(E$2:E1045)*(E1045=E$2:E1045)))))-COUNTBLANK(OFFSET(A$1,,,SUMPRODUCT(MAX(ROW(E$1:E1044)*(E2=E$1:E1044))))))</f>
        <v/>
      </c>
      <c r="K1045" s="24" t="str">
        <f aca="false">IF(OR(E1045="",E1045="!!!",F1045="NEW"),"",INDEX(J$1:J1044,SUMPRODUCT(MAX(ROW(E$1:E1044)*(E1045=E$1:E1044)))))</f>
        <v/>
      </c>
      <c r="L1045" s="31"/>
    </row>
    <row r="1046" customFormat="false" ht="15" hidden="false" customHeight="false" outlineLevel="0" collapsed="false">
      <c r="A1046" s="20" t="s">
        <v>967</v>
      </c>
      <c r="E1046" s="23" t="str">
        <f aca="false">IF(D1046="?OLD","!!!","")</f>
        <v/>
      </c>
      <c r="F1046" s="25" t="str">
        <f aca="false">IF(OR(E1046="",E1046="!!!"),"",IF(NOT(ISNA(VLOOKUP(E1046,E$1:E1045,1,FALSE()))),"OLD",IF(AND(E1046&lt;&gt;"",E1046&lt;&gt;"!!!"),"NEW","")))</f>
        <v/>
      </c>
      <c r="G1046" s="26" t="str">
        <f aca="false">IF(OR(E1046="",E1046="!!!"),"",IF(OR(J1046=0,AND(J1046=1,K1046=1),AND(J1046=1,I1046="SBJ"),AND(J1046=1,I1046=0)),"?IN_FOCUS",IF(J1046&lt;=2,"?ACTIVATED",IF(J1046&lt;&gt;"","?FAMILIAR",IF(F1046="NEW",IF(ISNA(VLOOKUP(E1046,#REF!,1,FALSE())),"?TYPE_IDENTIFIABLE","?REFERENTIAL"),"_")))))</f>
        <v/>
      </c>
      <c r="H1046" s="27" t="str">
        <f aca="false">IF(J1046&lt;&gt;1,"",IF(I1046="SBJ","CB","?"))</f>
        <v/>
      </c>
      <c r="I1046" s="24" t="str">
        <f aca="false">IF(OR(E1046="",E1046="!!!",F1046="NEW"),"",INDEX(B19:B$1028,-1+SUMPRODUCT(MAX(ROW(E19:E$1028)*(E1046=E19:E$1028)))))</f>
        <v/>
      </c>
      <c r="J1046" s="24" t="str">
        <f aca="true">IF(OR(E1046="",E1046="!!!",F1046="NEW"),"",COUNTBLANK(OFFSET(A$1,,,SUMPRODUCT(MAX(ROW(E$2:E1046)*(E1046=E$2:E1046)))))-COUNTBLANK(OFFSET(A$1,,,SUMPRODUCT(MAX(ROW(E$1:E1045)*(E2=E$1:E1045))))))</f>
        <v/>
      </c>
      <c r="K1046" s="24" t="str">
        <f aca="false">IF(OR(E1046="",E1046="!!!",F1046="NEW"),"",INDEX(J$1:J1045,SUMPRODUCT(MAX(ROW(E$1:E1045)*(E1046=E$1:E1045)))))</f>
        <v/>
      </c>
      <c r="L1046" s="31"/>
    </row>
    <row r="1047" customFormat="false" ht="15" hidden="false" customHeight="false" outlineLevel="0" collapsed="false">
      <c r="A1047" s="20" t="s">
        <v>1128</v>
      </c>
      <c r="E1047" s="23" t="str">
        <f aca="false">IF(D1047="?OLD","!!!","")</f>
        <v/>
      </c>
      <c r="F1047" s="25" t="str">
        <f aca="false">IF(OR(E1047="",E1047="!!!"),"",IF(NOT(ISNA(VLOOKUP(E1047,E$1:E1046,1,FALSE()))),"OLD",IF(AND(E1047&lt;&gt;"",E1047&lt;&gt;"!!!"),"NEW","")))</f>
        <v/>
      </c>
      <c r="G1047" s="26" t="str">
        <f aca="false">IF(OR(E1047="",E1047="!!!"),"",IF(OR(J1047=0,AND(J1047=1,K1047=1),AND(J1047=1,I1047="SBJ"),AND(J1047=1,I1047=0)),"?IN_FOCUS",IF(J1047&lt;=2,"?ACTIVATED",IF(J1047&lt;&gt;"","?FAMILIAR",IF(F1047="NEW",IF(ISNA(VLOOKUP(E1047,#REF!,1,FALSE())),"?TYPE_IDENTIFIABLE","?REFERENTIAL"),"_")))))</f>
        <v/>
      </c>
      <c r="H1047" s="27" t="str">
        <f aca="false">IF(J1047&lt;&gt;1,"",IF(I1047="SBJ","CB","?"))</f>
        <v/>
      </c>
      <c r="I1047" s="24" t="str">
        <f aca="false">IF(OR(E1047="",E1047="!!!",F1047="NEW"),"",INDEX(B20:B$1028,-1+SUMPRODUCT(MAX(ROW(E20:E$1028)*(E1047=E20:E$1028)))))</f>
        <v/>
      </c>
      <c r="J1047" s="24" t="str">
        <f aca="true">IF(OR(E1047="",E1047="!!!",F1047="NEW"),"",COUNTBLANK(OFFSET(A$1,,,SUMPRODUCT(MAX(ROW(E$2:E1047)*(E1047=E$2:E1047)))))-COUNTBLANK(OFFSET(A$1,,,SUMPRODUCT(MAX(ROW(E$1:E1046)*(E2=E$1:E1046))))))</f>
        <v/>
      </c>
      <c r="K1047" s="24" t="str">
        <f aca="false">IF(OR(E1047="",E1047="!!!",F1047="NEW"),"",INDEX(J$1:J1046,SUMPRODUCT(MAX(ROW(E$1:E1046)*(E1047=E$1:E1046)))))</f>
        <v/>
      </c>
      <c r="L1047" s="31"/>
    </row>
    <row r="1048" customFormat="false" ht="15" hidden="false" customHeight="false" outlineLevel="0" collapsed="false">
      <c r="A1048" s="20" t="s">
        <v>1090</v>
      </c>
      <c r="B1048" s="22" t="s">
        <v>1086</v>
      </c>
      <c r="C1048" s="22" t="s">
        <v>1082</v>
      </c>
      <c r="D1048" s="22" t="s">
        <v>1060</v>
      </c>
      <c r="E1048" s="23" t="str">
        <f aca="false">IF(D1048="?OLD","!!!","")</f>
        <v>!!!</v>
      </c>
      <c r="F1048" s="25" t="str">
        <f aca="false">IF(OR(E1048="",E1048="!!!"),"",IF(NOT(ISNA(VLOOKUP(E1048,E$1:E1047,1,FALSE()))),"OLD",IF(AND(E1048&lt;&gt;"",E1048&lt;&gt;"!!!"),"NEW","")))</f>
        <v/>
      </c>
      <c r="G1048" s="26" t="str">
        <f aca="false">IF(OR(E1048="",E1048="!!!"),"",IF(OR(J1048=0,AND(J1048=1,K1048=1),AND(J1048=1,I1048="SBJ"),AND(J1048=1,I1048=0)),"?IN_FOCUS",IF(J1048&lt;=2,"?ACTIVATED",IF(J1048&lt;&gt;"","?FAMILIAR",IF(F1048="NEW",IF(ISNA(VLOOKUP(E1048,#REF!,1,FALSE())),"?TYPE_IDENTIFIABLE","?REFERENTIAL"),"_")))))</f>
        <v/>
      </c>
      <c r="H1048" s="27" t="str">
        <f aca="false">IF(J1048&lt;&gt;1,"",IF(I1048="SBJ","CB","?"))</f>
        <v/>
      </c>
      <c r="I1048" s="24" t="str">
        <f aca="false">IF(OR(E1048="",E1048="!!!",F1048="NEW"),"",INDEX(B21:B$1028,-1+SUMPRODUCT(MAX(ROW(E21:E$1028)*(E1048=E21:E$1028)))))</f>
        <v/>
      </c>
      <c r="J1048" s="24" t="str">
        <f aca="true">IF(OR(E1048="",E1048="!!!",F1048="NEW"),"",COUNTBLANK(OFFSET(A$1,,,SUMPRODUCT(MAX(ROW(E$2:E1048)*(E1048=E$2:E1048)))))-COUNTBLANK(OFFSET(A$1,,,SUMPRODUCT(MAX(ROW(E$1:E1047)*(E2=E$1:E1047))))))</f>
        <v/>
      </c>
      <c r="K1048" s="24" t="str">
        <f aca="false">IF(OR(E1048="",E1048="!!!",F1048="NEW"),"",INDEX(J$1:J1047,SUMPRODUCT(MAX(ROW(E$1:E1047)*(E1048=E$1:E1047)))))</f>
        <v/>
      </c>
      <c r="L1048" s="31"/>
    </row>
    <row r="1049" customFormat="false" ht="15" hidden="false" customHeight="false" outlineLevel="0" collapsed="false">
      <c r="A1049" s="20" t="s">
        <v>1267</v>
      </c>
      <c r="E1049" s="23" t="str">
        <f aca="false">IF(D1049="?OLD","!!!","")</f>
        <v/>
      </c>
      <c r="F1049" s="25" t="str">
        <f aca="false">IF(OR(E1049="",E1049="!!!"),"",IF(NOT(ISNA(VLOOKUP(E1049,E$1:E1048,1,FALSE()))),"OLD",IF(AND(E1049&lt;&gt;"",E1049&lt;&gt;"!!!"),"NEW","")))</f>
        <v/>
      </c>
      <c r="G1049" s="26" t="str">
        <f aca="false">IF(OR(E1049="",E1049="!!!"),"",IF(OR(J1049=0,AND(J1049=1,K1049=1),AND(J1049=1,I1049="SBJ"),AND(J1049=1,I1049=0)),"?IN_FOCUS",IF(J1049&lt;=2,"?ACTIVATED",IF(J1049&lt;&gt;"","?FAMILIAR",IF(F1049="NEW",IF(ISNA(VLOOKUP(E1049,#REF!,1,FALSE())),"?TYPE_IDENTIFIABLE","?REFERENTIAL"),"_")))))</f>
        <v/>
      </c>
      <c r="H1049" s="27" t="str">
        <f aca="false">IF(J1049&lt;&gt;1,"",IF(I1049="SBJ","CB","?"))</f>
        <v/>
      </c>
      <c r="I1049" s="24" t="str">
        <f aca="false">IF(OR(E1049="",E1049="!!!",F1049="NEW"),"",INDEX(B22:B$1028,-1+SUMPRODUCT(MAX(ROW(E22:E$1028)*(E1049=E22:E$1028)))))</f>
        <v/>
      </c>
      <c r="J1049" s="24" t="str">
        <f aca="true">IF(OR(E1049="",E1049="!!!",F1049="NEW"),"",COUNTBLANK(OFFSET(A$1,,,SUMPRODUCT(MAX(ROW(E$2:E1049)*(E1049=E$2:E1049)))))-COUNTBLANK(OFFSET(A$1,,,SUMPRODUCT(MAX(ROW(E$1:E1048)*(E2=E$1:E1048))))))</f>
        <v/>
      </c>
      <c r="K1049" s="24" t="str">
        <f aca="false">IF(OR(E1049="",E1049="!!!",F1049="NEW"),"",INDEX(J$1:J1048,SUMPRODUCT(MAX(ROW(E$1:E1048)*(E1049=E$1:E1048)))))</f>
        <v/>
      </c>
      <c r="L1049" s="31"/>
    </row>
    <row r="1050" customFormat="false" ht="15" hidden="false" customHeight="false" outlineLevel="0" collapsed="false">
      <c r="A1050" s="20" t="s">
        <v>1231</v>
      </c>
      <c r="B1050" s="22" t="s">
        <v>1142</v>
      </c>
      <c r="C1050" s="22" t="s">
        <v>1082</v>
      </c>
      <c r="D1050" s="22" t="s">
        <v>1060</v>
      </c>
      <c r="E1050" s="23" t="str">
        <f aca="false">IF(D1050="?OLD","!!!","")</f>
        <v>!!!</v>
      </c>
      <c r="F1050" s="25" t="str">
        <f aca="false">IF(OR(E1050="",E1050="!!!"),"",IF(NOT(ISNA(VLOOKUP(E1050,E$1:E1049,1,FALSE()))),"OLD",IF(AND(E1050&lt;&gt;"",E1050&lt;&gt;"!!!"),"NEW","")))</f>
        <v/>
      </c>
      <c r="G1050" s="26" t="str">
        <f aca="false">IF(OR(E1050="",E1050="!!!"),"",IF(OR(J1050=0,AND(J1050=1,K1050=1),AND(J1050=1,I1050="SBJ"),AND(J1050=1,I1050=0)),"?IN_FOCUS",IF(J1050&lt;=2,"?ACTIVATED",IF(J1050&lt;&gt;"","?FAMILIAR",IF(F1050="NEW",IF(ISNA(VLOOKUP(E1050,#REF!,1,FALSE())),"?TYPE_IDENTIFIABLE","?REFERENTIAL"),"_")))))</f>
        <v/>
      </c>
      <c r="H1050" s="27" t="str">
        <f aca="false">IF(J1050&lt;&gt;1,"",IF(I1050="SBJ","CB","?"))</f>
        <v/>
      </c>
      <c r="I1050" s="24" t="str">
        <f aca="false">IF(OR(E1050="",E1050="!!!",F1050="NEW"),"",INDEX(B23:B$1028,-1+SUMPRODUCT(MAX(ROW(E23:E$1028)*(E1050=E23:E$1028)))))</f>
        <v/>
      </c>
      <c r="J1050" s="24" t="str">
        <f aca="true">IF(OR(E1050="",E1050="!!!",F1050="NEW"),"",COUNTBLANK(OFFSET(A$1,,,SUMPRODUCT(MAX(ROW(E$2:E1050)*(E1050=E$2:E1050)))))-COUNTBLANK(OFFSET(A$1,,,SUMPRODUCT(MAX(ROW(E$1:E1049)*(E2=E$1:E1049))))))</f>
        <v/>
      </c>
      <c r="K1050" s="24" t="str">
        <f aca="false">IF(OR(E1050="",E1050="!!!",F1050="NEW"),"",INDEX(J$1:J1049,SUMPRODUCT(MAX(ROW(E$1:E1049)*(E1050=E$1:E1049)))))</f>
        <v/>
      </c>
      <c r="L1050" s="31"/>
    </row>
    <row r="1051" customFormat="false" ht="15" hidden="false" customHeight="false" outlineLevel="0" collapsed="false">
      <c r="A1051" s="20" t="s">
        <v>1128</v>
      </c>
      <c r="E1051" s="23" t="str">
        <f aca="false">IF(D1051="?OLD","!!!","")</f>
        <v/>
      </c>
      <c r="F1051" s="25" t="str">
        <f aca="false">IF(OR(E1051="",E1051="!!!"),"",IF(NOT(ISNA(VLOOKUP(E1051,E$1:E1050,1,FALSE()))),"OLD",IF(AND(E1051&lt;&gt;"",E1051&lt;&gt;"!!!"),"NEW","")))</f>
        <v/>
      </c>
      <c r="G1051" s="26" t="str">
        <f aca="false">IF(OR(E1051="",E1051="!!!"),"",IF(OR(J1051=0,AND(J1051=1,K1051=1),AND(J1051=1,I1051="SBJ"),AND(J1051=1,I1051=0)),"?IN_FOCUS",IF(J1051&lt;=2,"?ACTIVATED",IF(J1051&lt;&gt;"","?FAMILIAR",IF(F1051="NEW",IF(ISNA(VLOOKUP(E1051,#REF!,1,FALSE())),"?TYPE_IDENTIFIABLE","?REFERENTIAL"),"_")))))</f>
        <v/>
      </c>
      <c r="H1051" s="27" t="str">
        <f aca="false">IF(J1051&lt;&gt;1,"",IF(I1051="SBJ","CB","?"))</f>
        <v/>
      </c>
      <c r="I1051" s="24" t="str">
        <f aca="false">IF(OR(E1051="",E1051="!!!",F1051="NEW"),"",INDEX(B24:B$1028,-1+SUMPRODUCT(MAX(ROW(E24:E$1028)*(E1051=E24:E$1028)))))</f>
        <v/>
      </c>
      <c r="J1051" s="24" t="str">
        <f aca="true">IF(OR(E1051="",E1051="!!!",F1051="NEW"),"",COUNTBLANK(OFFSET(A$1,,,SUMPRODUCT(MAX(ROW(E$2:E1051)*(E1051=E$2:E1051)))))-COUNTBLANK(OFFSET(A$1,,,SUMPRODUCT(MAX(ROW(E$1:E1050)*(E2=E$1:E1050))))))</f>
        <v/>
      </c>
      <c r="K1051" s="24" t="str">
        <f aca="false">IF(OR(E1051="",E1051="!!!",F1051="NEW"),"",INDEX(J$1:J1050,SUMPRODUCT(MAX(ROW(E$1:E1050)*(E1051=E$1:E1050)))))</f>
        <v/>
      </c>
      <c r="L1051" s="31"/>
    </row>
    <row r="1052" customFormat="false" ht="15" hidden="false" customHeight="false" outlineLevel="0" collapsed="false">
      <c r="A1052" s="20" t="s">
        <v>1564</v>
      </c>
      <c r="E1052" s="23" t="str">
        <f aca="false">IF(D1052="?OLD","!!!","")</f>
        <v/>
      </c>
      <c r="F1052" s="25" t="str">
        <f aca="false">IF(OR(E1052="",E1052="!!!"),"",IF(NOT(ISNA(VLOOKUP(E1052,E$1:E1051,1,FALSE()))),"OLD",IF(AND(E1052&lt;&gt;"",E1052&lt;&gt;"!!!"),"NEW","")))</f>
        <v/>
      </c>
      <c r="G1052" s="26" t="str">
        <f aca="false">IF(OR(E1052="",E1052="!!!"),"",IF(OR(J1052=0,AND(J1052=1,K1052=1),AND(J1052=1,I1052="SBJ"),AND(J1052=1,I1052=0)),"?IN_FOCUS",IF(J1052&lt;=2,"?ACTIVATED",IF(J1052&lt;&gt;"","?FAMILIAR",IF(F1052="NEW",IF(ISNA(VLOOKUP(E1052,#REF!,1,FALSE())),"?TYPE_IDENTIFIABLE","?REFERENTIAL"),"_")))))</f>
        <v/>
      </c>
      <c r="H1052" s="27" t="str">
        <f aca="false">IF(J1052&lt;&gt;1,"",IF(I1052="SBJ","CB","?"))</f>
        <v/>
      </c>
      <c r="I1052" s="24" t="str">
        <f aca="false">IF(OR(E1052="",E1052="!!!",F1052="NEW"),"",INDEX(B25:B$1028,-1+SUMPRODUCT(MAX(ROW(E25:E$1028)*(E1052=E25:E$1028)))))</f>
        <v/>
      </c>
      <c r="J1052" s="24" t="str">
        <f aca="true">IF(OR(E1052="",E1052="!!!",F1052="NEW"),"",COUNTBLANK(OFFSET(A$1,,,SUMPRODUCT(MAX(ROW(E$2:E1052)*(E1052=E$2:E1052)))))-COUNTBLANK(OFFSET(A$1,,,SUMPRODUCT(MAX(ROW(E$1:E1051)*(E2=E$1:E1051))))))</f>
        <v/>
      </c>
      <c r="K1052" s="24" t="str">
        <f aca="false">IF(OR(E1052="",E1052="!!!",F1052="NEW"),"",INDEX(J$1:J1051,SUMPRODUCT(MAX(ROW(E$1:E1051)*(E1052=E$1:E1051)))))</f>
        <v/>
      </c>
      <c r="L1052" s="31"/>
    </row>
    <row r="1053" customFormat="false" ht="15" hidden="false" customHeight="false" outlineLevel="0" collapsed="false">
      <c r="A1053" s="20" t="s">
        <v>1109</v>
      </c>
      <c r="E1053" s="23" t="str">
        <f aca="false">IF(D1053="?OLD","!!!","")</f>
        <v/>
      </c>
      <c r="F1053" s="25" t="str">
        <f aca="false">IF(OR(E1053="",E1053="!!!"),"",IF(NOT(ISNA(VLOOKUP(E1053,E$1:E1052,1,FALSE()))),"OLD",IF(AND(E1053&lt;&gt;"",E1053&lt;&gt;"!!!"),"NEW","")))</f>
        <v/>
      </c>
      <c r="G1053" s="26" t="str">
        <f aca="false">IF(OR(E1053="",E1053="!!!"),"",IF(OR(J1053=0,AND(J1053=1,K1053=1),AND(J1053=1,I1053="SBJ"),AND(J1053=1,I1053=0)),"?IN_FOCUS",IF(J1053&lt;=2,"?ACTIVATED",IF(J1053&lt;&gt;"","?FAMILIAR",IF(F1053="NEW",IF(ISNA(VLOOKUP(E1053,#REF!,1,FALSE())),"?TYPE_IDENTIFIABLE","?REFERENTIAL"),"_")))))</f>
        <v/>
      </c>
      <c r="H1053" s="27" t="str">
        <f aca="false">IF(J1053&lt;&gt;1,"",IF(I1053="SBJ","CB","?"))</f>
        <v/>
      </c>
      <c r="I1053" s="24" t="str">
        <f aca="false">IF(OR(E1053="",E1053="!!!",F1053="NEW"),"",INDEX(B26:B$1028,-1+SUMPRODUCT(MAX(ROW(E26:E$1028)*(E1053=E26:E$1028)))))</f>
        <v/>
      </c>
      <c r="J1053" s="24" t="str">
        <f aca="true">IF(OR(E1053="",E1053="!!!",F1053="NEW"),"",COUNTBLANK(OFFSET(A$1,,,SUMPRODUCT(MAX(ROW(E$2:E1053)*(E1053=E$2:E1053)))))-COUNTBLANK(OFFSET(A$1,,,SUMPRODUCT(MAX(ROW(E$1:E1052)*(E2=E$1:E1052))))))</f>
        <v/>
      </c>
      <c r="K1053" s="24" t="str">
        <f aca="false">IF(OR(E1053="",E1053="!!!",F1053="NEW"),"",INDEX(J$1:J1052,SUMPRODUCT(MAX(ROW(E$1:E1052)*(E1053=E$1:E1052)))))</f>
        <v/>
      </c>
      <c r="L1053" s="31"/>
    </row>
    <row r="1054" customFormat="false" ht="15" hidden="false" customHeight="false" outlineLevel="0" collapsed="false">
      <c r="A1054" s="20" t="s">
        <v>1269</v>
      </c>
      <c r="B1054" s="22" t="s">
        <v>1146</v>
      </c>
      <c r="C1054" s="22" t="s">
        <v>1150</v>
      </c>
      <c r="D1054" s="22" t="s">
        <v>1060</v>
      </c>
      <c r="E1054" s="23" t="str">
        <f aca="false">IF(D1054="?OLD","!!!","")</f>
        <v>!!!</v>
      </c>
      <c r="F1054" s="25" t="str">
        <f aca="false">IF(OR(E1054="",E1054="!!!"),"",IF(NOT(ISNA(VLOOKUP(E1054,E$1:E1053,1,FALSE()))),"OLD",IF(AND(E1054&lt;&gt;"",E1054&lt;&gt;"!!!"),"NEW","")))</f>
        <v/>
      </c>
      <c r="G1054" s="26" t="str">
        <f aca="false">IF(OR(E1054="",E1054="!!!"),"",IF(OR(J1054=0,AND(J1054=1,K1054=1),AND(J1054=1,I1054="SBJ"),AND(J1054=1,I1054=0)),"?IN_FOCUS",IF(J1054&lt;=2,"?ACTIVATED",IF(J1054&lt;&gt;"","?FAMILIAR",IF(F1054="NEW",IF(ISNA(VLOOKUP(E1054,#REF!,1,FALSE())),"?TYPE_IDENTIFIABLE","?REFERENTIAL"),"_")))))</f>
        <v/>
      </c>
      <c r="H1054" s="27" t="str">
        <f aca="false">IF(J1054&lt;&gt;1,"",IF(I1054="SBJ","CB","?"))</f>
        <v/>
      </c>
      <c r="I1054" s="24" t="str">
        <f aca="false">IF(OR(E1054="",E1054="!!!",F1054="NEW"),"",INDEX(B27:B$1028,-1+SUMPRODUCT(MAX(ROW(E27:E$1028)*(E1054=E27:E$1028)))))</f>
        <v/>
      </c>
      <c r="J1054" s="24" t="str">
        <f aca="true">IF(OR(E1054="",E1054="!!!",F1054="NEW"),"",COUNTBLANK(OFFSET(A$1,,,SUMPRODUCT(MAX(ROW(E$2:E1054)*(E1054=E$2:E1054)))))-COUNTBLANK(OFFSET(A$1,,,SUMPRODUCT(MAX(ROW(E$1:E1053)*(E2=E$1:E1053))))))</f>
        <v/>
      </c>
      <c r="K1054" s="24" t="str">
        <f aca="false">IF(OR(E1054="",E1054="!!!",F1054="NEW"),"",INDEX(J$1:J1053,SUMPRODUCT(MAX(ROW(E$1:E1053)*(E1054=E$1:E1053)))))</f>
        <v/>
      </c>
      <c r="L1054" s="31"/>
    </row>
    <row r="1055" customFormat="false" ht="15" hidden="false" customHeight="false" outlineLevel="0" collapsed="false">
      <c r="A1055" s="20" t="s">
        <v>923</v>
      </c>
      <c r="E1055" s="23" t="str">
        <f aca="false">IF(D1055="?OLD","!!!","")</f>
        <v/>
      </c>
      <c r="F1055" s="25" t="str">
        <f aca="false">IF(OR(E1055="",E1055="!!!"),"",IF(NOT(ISNA(VLOOKUP(E1055,E$1:E1054,1,FALSE()))),"OLD",IF(AND(E1055&lt;&gt;"",E1055&lt;&gt;"!!!"),"NEW","")))</f>
        <v/>
      </c>
      <c r="G1055" s="26" t="str">
        <f aca="false">IF(OR(E1055="",E1055="!!!"),"",IF(OR(J1055=0,AND(J1055=1,K1055=1),AND(J1055=1,I1055="SBJ"),AND(J1055=1,I1055=0)),"?IN_FOCUS",IF(J1055&lt;=2,"?ACTIVATED",IF(J1055&lt;&gt;"","?FAMILIAR",IF(F1055="NEW",IF(ISNA(VLOOKUP(E1055,#REF!,1,FALSE())),"?TYPE_IDENTIFIABLE","?REFERENTIAL"),"_")))))</f>
        <v/>
      </c>
      <c r="H1055" s="27" t="str">
        <f aca="false">IF(J1055&lt;&gt;1,"",IF(I1055="SBJ","CB","?"))</f>
        <v/>
      </c>
      <c r="I1055" s="24" t="str">
        <f aca="false">IF(OR(E1055="",E1055="!!!",F1055="NEW"),"",INDEX(B28:B$1028,-1+SUMPRODUCT(MAX(ROW(E28:E$1028)*(E1055=E28:E$1028)))))</f>
        <v/>
      </c>
      <c r="J1055" s="24" t="str">
        <f aca="true">IF(OR(E1055="",E1055="!!!",F1055="NEW"),"",COUNTBLANK(OFFSET(A$1,,,SUMPRODUCT(MAX(ROW(E$2:E1055)*(E1055=E$2:E1055)))))-COUNTBLANK(OFFSET(A$1,,,SUMPRODUCT(MAX(ROW(E$1:E1054)*(E2=E$1:E1054))))))</f>
        <v/>
      </c>
      <c r="K1055" s="24" t="str">
        <f aca="false">IF(OR(E1055="",E1055="!!!",F1055="NEW"),"",INDEX(J$1:J1054,SUMPRODUCT(MAX(ROW(E$1:E1054)*(E1055=E$1:E1054)))))</f>
        <v/>
      </c>
      <c r="L1055" s="31"/>
    </row>
    <row r="1056" customFormat="false" ht="15" hidden="false" customHeight="false" outlineLevel="0" collapsed="false">
      <c r="A1056" s="20"/>
    </row>
    <row r="1057" customFormat="false" ht="15" hidden="false" customHeight="false" outlineLevel="0" collapsed="false">
      <c r="A1057" s="20" t="s">
        <v>1565</v>
      </c>
    </row>
    <row r="1058" customFormat="false" ht="15" hidden="false" customHeight="false" outlineLevel="0" collapsed="false">
      <c r="A1058" s="20" t="s">
        <v>1162</v>
      </c>
      <c r="B1058" s="22" t="s">
        <v>1058</v>
      </c>
      <c r="C1058" s="22" t="s">
        <v>1082</v>
      </c>
      <c r="D1058" s="22" t="s">
        <v>1060</v>
      </c>
      <c r="E1058" s="23" t="str">
        <f aca="false">IF(D1058="?OLD","!!!","")</f>
        <v>!!!</v>
      </c>
      <c r="F1058" s="25" t="str">
        <f aca="false">IF(OR(E1058="",E1058="!!!"),"",IF(NOT(ISNA(VLOOKUP(E1058,E$1:E1057,1,FALSE()))),"OLD",IF(AND(E1058&lt;&gt;"",E1058&lt;&gt;"!!!"),"NEW","")))</f>
        <v/>
      </c>
      <c r="G1058" s="26" t="str">
        <f aca="false">IF(OR(E1058="",E1058="!!!"),"",IF(OR(J1058=0,AND(J1058=1,K1058=1),AND(J1058=1,I1058="SBJ"),AND(J1058=1,I1058=0)),"?IN_FOCUS",IF(J1058&lt;=2,"?ACTIVATED",IF(J1058&lt;&gt;"","?FAMILIAR",IF(F1058="NEW",IF(ISNA(VLOOKUP(E1058,#REF!,1,FALSE())),"?TYPE_IDENTIFIABLE","?REFERENTIAL"),"_")))))</f>
        <v/>
      </c>
      <c r="H1058" s="27" t="str">
        <f aca="false">IF(J1058&lt;&gt;1,"",IF(I1058="SBJ","CB","?"))</f>
        <v/>
      </c>
      <c r="I1058" s="24" t="str">
        <f aca="false">IF(OR(E1058="",E1058="!!!",F1058="NEW"),"",INDEX(B2:B$1057,-1+SUMPRODUCT(MAX(ROW(E2:E$1057)*(E1058=E2:E$1057)))))</f>
        <v/>
      </c>
      <c r="J1058" s="24" t="str">
        <f aca="true">IF(OR(E1058="",E1058="!!!",F1058="NEW"),"",COUNTBLANK(OFFSET(A$1,,,SUMPRODUCT(MAX(ROW(E$2:E1058)*(E1058=E$2:E1058)))))-COUNTBLANK(OFFSET(A$1,,,SUMPRODUCT(MAX(ROW(E$1:E1057)*(E2=E$1:E1057))))))</f>
        <v/>
      </c>
      <c r="K1058" s="24" t="str">
        <f aca="false">IF(OR(E1058="",E1058="!!!",F1058="NEW"),"",INDEX(J$1:J1057,SUMPRODUCT(MAX(ROW(E$1:E1057)*(E1058=E$1:E1057)))))</f>
        <v/>
      </c>
      <c r="L1058" s="31"/>
    </row>
    <row r="1059" customFormat="false" ht="15" hidden="false" customHeight="false" outlineLevel="0" collapsed="false">
      <c r="A1059" s="20" t="s">
        <v>1544</v>
      </c>
      <c r="E1059" s="23" t="str">
        <f aca="false">IF(D1059="?OLD","!!!","")</f>
        <v/>
      </c>
      <c r="F1059" s="25" t="str">
        <f aca="false">IF(OR(E1059="",E1059="!!!"),"",IF(NOT(ISNA(VLOOKUP(E1059,E$1:E1058,1,FALSE()))),"OLD",IF(AND(E1059&lt;&gt;"",E1059&lt;&gt;"!!!"),"NEW","")))</f>
        <v/>
      </c>
      <c r="G1059" s="26" t="str">
        <f aca="false">IF(OR(E1059="",E1059="!!!"),"",IF(OR(J1059=0,AND(J1059=1,K1059=1),AND(J1059=1,I1059="SBJ"),AND(J1059=1,I1059=0)),"?IN_FOCUS",IF(J1059&lt;=2,"?ACTIVATED",IF(J1059&lt;&gt;"","?FAMILIAR",IF(F1059="NEW",IF(ISNA(VLOOKUP(E1059,#REF!,1,FALSE())),"?TYPE_IDENTIFIABLE","?REFERENTIAL"),"_")))))</f>
        <v/>
      </c>
      <c r="H1059" s="27" t="str">
        <f aca="false">IF(J1059&lt;&gt;1,"",IF(I1059="SBJ","CB","?"))</f>
        <v/>
      </c>
      <c r="I1059" s="24" t="str">
        <f aca="false">IF(OR(E1059="",E1059="!!!",F1059="NEW"),"",INDEX(B3:B$1057,-1+SUMPRODUCT(MAX(ROW(E3:E$1057)*(E1059=E3:E$1057)))))</f>
        <v/>
      </c>
      <c r="J1059" s="24" t="str">
        <f aca="true">IF(OR(E1059="",E1059="!!!",F1059="NEW"),"",COUNTBLANK(OFFSET(A$1,,,SUMPRODUCT(MAX(ROW(E$2:E1059)*(E1059=E$2:E1059)))))-COUNTBLANK(OFFSET(A$1,,,SUMPRODUCT(MAX(ROW(E$1:E1058)*(E2=E$1:E1058))))))</f>
        <v/>
      </c>
      <c r="K1059" s="24" t="str">
        <f aca="false">IF(OR(E1059="",E1059="!!!",F1059="NEW"),"",INDEX(J$1:J1058,SUMPRODUCT(MAX(ROW(E$1:E1058)*(E1059=E$1:E1058)))))</f>
        <v/>
      </c>
      <c r="L1059" s="31"/>
    </row>
    <row r="1060" customFormat="false" ht="15" hidden="false" customHeight="false" outlineLevel="0" collapsed="false">
      <c r="A1060" s="20" t="s">
        <v>1137</v>
      </c>
      <c r="B1060" s="22" t="s">
        <v>1081</v>
      </c>
      <c r="C1060" s="22" t="s">
        <v>1082</v>
      </c>
      <c r="D1060" s="22" t="s">
        <v>1060</v>
      </c>
      <c r="E1060" s="23" t="str">
        <f aca="false">IF(D1060="?OLD","!!!","")</f>
        <v>!!!</v>
      </c>
      <c r="F1060" s="25" t="str">
        <f aca="false">IF(OR(E1060="",E1060="!!!"),"",IF(NOT(ISNA(VLOOKUP(E1060,E$1:E1059,1,FALSE()))),"OLD",IF(AND(E1060&lt;&gt;"",E1060&lt;&gt;"!!!"),"NEW","")))</f>
        <v/>
      </c>
      <c r="G1060" s="26" t="str">
        <f aca="false">IF(OR(E1060="",E1060="!!!"),"",IF(OR(J1060=0,AND(J1060=1,K1060=1),AND(J1060=1,I1060="SBJ"),AND(J1060=1,I1060=0)),"?IN_FOCUS",IF(J1060&lt;=2,"?ACTIVATED",IF(J1060&lt;&gt;"","?FAMILIAR",IF(F1060="NEW",IF(ISNA(VLOOKUP(E1060,#REF!,1,FALSE())),"?TYPE_IDENTIFIABLE","?REFERENTIAL"),"_")))))</f>
        <v/>
      </c>
      <c r="H1060" s="27" t="str">
        <f aca="false">IF(J1060&lt;&gt;1,"",IF(I1060="SBJ","CB","?"))</f>
        <v/>
      </c>
      <c r="I1060" s="24" t="str">
        <f aca="false">IF(OR(E1060="",E1060="!!!",F1060="NEW"),"",INDEX(B4:B$1057,-1+SUMPRODUCT(MAX(ROW(E4:E$1057)*(E1060=E4:E$1057)))))</f>
        <v/>
      </c>
      <c r="J1060" s="24" t="str">
        <f aca="true">IF(OR(E1060="",E1060="!!!",F1060="NEW"),"",COUNTBLANK(OFFSET(A$1,,,SUMPRODUCT(MAX(ROW(E$2:E1060)*(E1060=E$2:E1060)))))-COUNTBLANK(OFFSET(A$1,,,SUMPRODUCT(MAX(ROW(E$1:E1059)*(E2=E$1:E1059))))))</f>
        <v/>
      </c>
      <c r="K1060" s="24" t="str">
        <f aca="false">IF(OR(E1060="",E1060="!!!",F1060="NEW"),"",INDEX(J$1:J1059,SUMPRODUCT(MAX(ROW(E$1:E1059)*(E1060=E$1:E1059)))))</f>
        <v/>
      </c>
      <c r="L1060" s="31"/>
    </row>
    <row r="1061" customFormat="false" ht="15" hidden="false" customHeight="false" outlineLevel="0" collapsed="false">
      <c r="A1061" s="20" t="s">
        <v>1566</v>
      </c>
      <c r="E1061" s="23" t="str">
        <f aca="false">IF(D1061="?OLD","!!!","")</f>
        <v/>
      </c>
      <c r="F1061" s="25" t="str">
        <f aca="false">IF(OR(E1061="",E1061="!!!"),"",IF(NOT(ISNA(VLOOKUP(E1061,E$1:E1060,1,FALSE()))),"OLD",IF(AND(E1061&lt;&gt;"",E1061&lt;&gt;"!!!"),"NEW","")))</f>
        <v/>
      </c>
      <c r="G1061" s="26" t="str">
        <f aca="false">IF(OR(E1061="",E1061="!!!"),"",IF(OR(J1061=0,AND(J1061=1,K1061=1),AND(J1061=1,I1061="SBJ"),AND(J1061=1,I1061=0)),"?IN_FOCUS",IF(J1061&lt;=2,"?ACTIVATED",IF(J1061&lt;&gt;"","?FAMILIAR",IF(F1061="NEW",IF(ISNA(VLOOKUP(E1061,#REF!,1,FALSE())),"?TYPE_IDENTIFIABLE","?REFERENTIAL"),"_")))))</f>
        <v/>
      </c>
      <c r="H1061" s="27" t="str">
        <f aca="false">IF(J1061&lt;&gt;1,"",IF(I1061="SBJ","CB","?"))</f>
        <v/>
      </c>
      <c r="I1061" s="24" t="str">
        <f aca="false">IF(OR(E1061="",E1061="!!!",F1061="NEW"),"",INDEX(B5:B$1057,-1+SUMPRODUCT(MAX(ROW(E5:E$1057)*(E1061=E5:E$1057)))))</f>
        <v/>
      </c>
      <c r="J1061" s="24" t="str">
        <f aca="true">IF(OR(E1061="",E1061="!!!",F1061="NEW"),"",COUNTBLANK(OFFSET(A$1,,,SUMPRODUCT(MAX(ROW(E$2:E1061)*(E1061=E$2:E1061)))))-COUNTBLANK(OFFSET(A$1,,,SUMPRODUCT(MAX(ROW(E$1:E1060)*(E2=E$1:E1060))))))</f>
        <v/>
      </c>
      <c r="K1061" s="24" t="str">
        <f aca="false">IF(OR(E1061="",E1061="!!!",F1061="NEW"),"",INDEX(J$1:J1060,SUMPRODUCT(MAX(ROW(E$1:E1060)*(E1061=E$1:E1060)))))</f>
        <v/>
      </c>
      <c r="L1061" s="31"/>
    </row>
    <row r="1062" customFormat="false" ht="15" hidden="false" customHeight="false" outlineLevel="0" collapsed="false">
      <c r="A1062" s="20" t="s">
        <v>1097</v>
      </c>
      <c r="B1062" s="22" t="s">
        <v>1073</v>
      </c>
      <c r="C1062" s="22" t="s">
        <v>1099</v>
      </c>
      <c r="D1062" s="22" t="s">
        <v>1060</v>
      </c>
      <c r="E1062" s="23" t="str">
        <f aca="false">IF(D1062="?OLD","!!!","")</f>
        <v>!!!</v>
      </c>
      <c r="F1062" s="25" t="str">
        <f aca="false">IF(OR(E1062="",E1062="!!!"),"",IF(NOT(ISNA(VLOOKUP(E1062,E$1:E1061,1,FALSE()))),"OLD",IF(AND(E1062&lt;&gt;"",E1062&lt;&gt;"!!!"),"NEW","")))</f>
        <v/>
      </c>
      <c r="G1062" s="26" t="str">
        <f aca="false">IF(OR(E1062="",E1062="!!!"),"",IF(OR(J1062=0,AND(J1062=1,K1062=1),AND(J1062=1,I1062="SBJ"),AND(J1062=1,I1062=0)),"?IN_FOCUS",IF(J1062&lt;=2,"?ACTIVATED",IF(J1062&lt;&gt;"","?FAMILIAR",IF(F1062="NEW",IF(ISNA(VLOOKUP(E1062,#REF!,1,FALSE())),"?TYPE_IDENTIFIABLE","?REFERENTIAL"),"_")))))</f>
        <v/>
      </c>
      <c r="H1062" s="27" t="str">
        <f aca="false">IF(J1062&lt;&gt;1,"",IF(I1062="SBJ","CB","?"))</f>
        <v/>
      </c>
      <c r="I1062" s="24" t="str">
        <f aca="false">IF(OR(E1062="",E1062="!!!",F1062="NEW"),"",INDEX(B6:B$1057,-1+SUMPRODUCT(MAX(ROW(E6:E$1057)*(E1062=E6:E$1057)))))</f>
        <v/>
      </c>
      <c r="J1062" s="24" t="str">
        <f aca="true">IF(OR(E1062="",E1062="!!!",F1062="NEW"),"",COUNTBLANK(OFFSET(A$1,,,SUMPRODUCT(MAX(ROW(E$2:E1062)*(E1062=E$2:E1062)))))-COUNTBLANK(OFFSET(A$1,,,SUMPRODUCT(MAX(ROW(E$1:E1061)*(E2=E$1:E1061))))))</f>
        <v/>
      </c>
      <c r="K1062" s="24" t="str">
        <f aca="false">IF(OR(E1062="",E1062="!!!",F1062="NEW"),"",INDEX(J$1:J1061,SUMPRODUCT(MAX(ROW(E$1:E1061)*(E1062=E$1:E1061)))))</f>
        <v/>
      </c>
      <c r="L1062" s="31"/>
    </row>
    <row r="1063" customFormat="false" ht="15" hidden="false" customHeight="false" outlineLevel="0" collapsed="false">
      <c r="A1063" s="20" t="s">
        <v>1567</v>
      </c>
      <c r="B1063" s="22" t="s">
        <v>1105</v>
      </c>
      <c r="C1063" s="22" t="s">
        <v>1059</v>
      </c>
      <c r="D1063" s="22" t="s">
        <v>1060</v>
      </c>
      <c r="E1063" s="23" t="str">
        <f aca="false">IF(D1063="?OLD","!!!","")</f>
        <v>!!!</v>
      </c>
      <c r="F1063" s="25" t="str">
        <f aca="false">IF(OR(E1063="",E1063="!!!"),"",IF(NOT(ISNA(VLOOKUP(E1063,E$1:E1062,1,FALSE()))),"OLD",IF(AND(E1063&lt;&gt;"",E1063&lt;&gt;"!!!"),"NEW","")))</f>
        <v/>
      </c>
      <c r="G1063" s="26" t="str">
        <f aca="false">IF(OR(E1063="",E1063="!!!"),"",IF(OR(J1063=0,AND(J1063=1,K1063=1),AND(J1063=1,I1063="SBJ"),AND(J1063=1,I1063=0)),"?IN_FOCUS",IF(J1063&lt;=2,"?ACTIVATED",IF(J1063&lt;&gt;"","?FAMILIAR",IF(F1063="NEW",IF(ISNA(VLOOKUP(E1063,#REF!,1,FALSE())),"?TYPE_IDENTIFIABLE","?REFERENTIAL"),"_")))))</f>
        <v/>
      </c>
      <c r="H1063" s="27" t="str">
        <f aca="false">IF(J1063&lt;&gt;1,"",IF(I1063="SBJ","CB","?"))</f>
        <v/>
      </c>
      <c r="I1063" s="24" t="str">
        <f aca="false">IF(OR(E1063="",E1063="!!!",F1063="NEW"),"",INDEX(B7:B$1057,-1+SUMPRODUCT(MAX(ROW(E7:E$1057)*(E1063=E7:E$1057)))))</f>
        <v/>
      </c>
      <c r="J1063" s="24" t="str">
        <f aca="true">IF(OR(E1063="",E1063="!!!",F1063="NEW"),"",COUNTBLANK(OFFSET(A$1,,,SUMPRODUCT(MAX(ROW(E$2:E1063)*(E1063=E$2:E1063)))))-COUNTBLANK(OFFSET(A$1,,,SUMPRODUCT(MAX(ROW(E$1:E1062)*(E2=E$1:E1062))))))</f>
        <v/>
      </c>
      <c r="K1063" s="24" t="str">
        <f aca="false">IF(OR(E1063="",E1063="!!!",F1063="NEW"),"",INDEX(J$1:J1062,SUMPRODUCT(MAX(ROW(E$1:E1062)*(E1063=E$1:E1062)))))</f>
        <v/>
      </c>
      <c r="L1063" s="31"/>
    </row>
    <row r="1064" customFormat="false" ht="15" hidden="false" customHeight="false" outlineLevel="0" collapsed="false">
      <c r="A1064" s="20" t="s">
        <v>1076</v>
      </c>
      <c r="E1064" s="23" t="str">
        <f aca="false">IF(D1064="?OLD","!!!","")</f>
        <v/>
      </c>
      <c r="F1064" s="25" t="str">
        <f aca="false">IF(OR(E1064="",E1064="!!!"),"",IF(NOT(ISNA(VLOOKUP(E1064,E$1:E1063,1,FALSE()))),"OLD",IF(AND(E1064&lt;&gt;"",E1064&lt;&gt;"!!!"),"NEW","")))</f>
        <v/>
      </c>
      <c r="G1064" s="26" t="str">
        <f aca="false">IF(OR(E1064="",E1064="!!!"),"",IF(OR(J1064=0,AND(J1064=1,K1064=1),AND(J1064=1,I1064="SBJ"),AND(J1064=1,I1064=0)),"?IN_FOCUS",IF(J1064&lt;=2,"?ACTIVATED",IF(J1064&lt;&gt;"","?FAMILIAR",IF(F1064="NEW",IF(ISNA(VLOOKUP(E1064,#REF!,1,FALSE())),"?TYPE_IDENTIFIABLE","?REFERENTIAL"),"_")))))</f>
        <v/>
      </c>
      <c r="H1064" s="27" t="str">
        <f aca="false">IF(J1064&lt;&gt;1,"",IF(I1064="SBJ","CB","?"))</f>
        <v/>
      </c>
      <c r="I1064" s="24" t="str">
        <f aca="false">IF(OR(E1064="",E1064="!!!",F1064="NEW"),"",INDEX(B8:B$1057,-1+SUMPRODUCT(MAX(ROW(E8:E$1057)*(E1064=E8:E$1057)))))</f>
        <v/>
      </c>
      <c r="J1064" s="24" t="str">
        <f aca="true">IF(OR(E1064="",E1064="!!!",F1064="NEW"),"",COUNTBLANK(OFFSET(A$1,,,SUMPRODUCT(MAX(ROW(E$2:E1064)*(E1064=E$2:E1064)))))-COUNTBLANK(OFFSET(A$1,,,SUMPRODUCT(MAX(ROW(E$1:E1063)*(E2=E$1:E1063))))))</f>
        <v/>
      </c>
      <c r="K1064" s="24" t="str">
        <f aca="false">IF(OR(E1064="",E1064="!!!",F1064="NEW"),"",INDEX(J$1:J1063,SUMPRODUCT(MAX(ROW(E$1:E1063)*(E1064=E$1:E1063)))))</f>
        <v/>
      </c>
      <c r="L1064" s="31"/>
    </row>
    <row r="1065" customFormat="false" ht="15" hidden="false" customHeight="false" outlineLevel="0" collapsed="false">
      <c r="A1065" s="20" t="s">
        <v>1128</v>
      </c>
      <c r="E1065" s="23" t="str">
        <f aca="false">IF(D1065="?OLD","!!!","")</f>
        <v/>
      </c>
      <c r="F1065" s="25" t="str">
        <f aca="false">IF(OR(E1065="",E1065="!!!"),"",IF(NOT(ISNA(VLOOKUP(E1065,E$1:E1064,1,FALSE()))),"OLD",IF(AND(E1065&lt;&gt;"",E1065&lt;&gt;"!!!"),"NEW","")))</f>
        <v/>
      </c>
      <c r="G1065" s="26" t="str">
        <f aca="false">IF(OR(E1065="",E1065="!!!"),"",IF(OR(J1065=0,AND(J1065=1,K1065=1),AND(J1065=1,I1065="SBJ"),AND(J1065=1,I1065=0)),"?IN_FOCUS",IF(J1065&lt;=2,"?ACTIVATED",IF(J1065&lt;&gt;"","?FAMILIAR",IF(F1065="NEW",IF(ISNA(VLOOKUP(E1065,#REF!,1,FALSE())),"?TYPE_IDENTIFIABLE","?REFERENTIAL"),"_")))))</f>
        <v/>
      </c>
      <c r="H1065" s="27" t="str">
        <f aca="false">IF(J1065&lt;&gt;1,"",IF(I1065="SBJ","CB","?"))</f>
        <v/>
      </c>
      <c r="I1065" s="24" t="str">
        <f aca="false">IF(OR(E1065="",E1065="!!!",F1065="NEW"),"",INDEX(B9:B$1057,-1+SUMPRODUCT(MAX(ROW(E9:E$1057)*(E1065=E9:E$1057)))))</f>
        <v/>
      </c>
      <c r="J1065" s="24" t="str">
        <f aca="true">IF(OR(E1065="",E1065="!!!",F1065="NEW"),"",COUNTBLANK(OFFSET(A$1,,,SUMPRODUCT(MAX(ROW(E$2:E1065)*(E1065=E$2:E1065)))))-COUNTBLANK(OFFSET(A$1,,,SUMPRODUCT(MAX(ROW(E$1:E1064)*(E2=E$1:E1064))))))</f>
        <v/>
      </c>
      <c r="K1065" s="24" t="str">
        <f aca="false">IF(OR(E1065="",E1065="!!!",F1065="NEW"),"",INDEX(J$1:J1064,SUMPRODUCT(MAX(ROW(E$1:E1064)*(E1065=E$1:E1064)))))</f>
        <v/>
      </c>
      <c r="L1065" s="31"/>
    </row>
    <row r="1066" customFormat="false" ht="15" hidden="false" customHeight="false" outlineLevel="0" collapsed="false">
      <c r="A1066" s="20" t="s">
        <v>1162</v>
      </c>
      <c r="B1066" s="22" t="s">
        <v>1086</v>
      </c>
      <c r="C1066" s="22" t="s">
        <v>1082</v>
      </c>
      <c r="D1066" s="22" t="s">
        <v>1060</v>
      </c>
      <c r="E1066" s="23" t="str">
        <f aca="false">IF(D1066="?OLD","!!!","")</f>
        <v>!!!</v>
      </c>
      <c r="F1066" s="25" t="str">
        <f aca="false">IF(OR(E1066="",E1066="!!!"),"",IF(NOT(ISNA(VLOOKUP(E1066,E$1:E1065,1,FALSE()))),"OLD",IF(AND(E1066&lt;&gt;"",E1066&lt;&gt;"!!!"),"NEW","")))</f>
        <v/>
      </c>
      <c r="G1066" s="26" t="str">
        <f aca="false">IF(OR(E1066="",E1066="!!!"),"",IF(OR(J1066=0,AND(J1066=1,K1066=1),AND(J1066=1,I1066="SBJ"),AND(J1066=1,I1066=0)),"?IN_FOCUS",IF(J1066&lt;=2,"?ACTIVATED",IF(J1066&lt;&gt;"","?FAMILIAR",IF(F1066="NEW",IF(ISNA(VLOOKUP(E1066,#REF!,1,FALSE())),"?TYPE_IDENTIFIABLE","?REFERENTIAL"),"_")))))</f>
        <v/>
      </c>
      <c r="H1066" s="27" t="str">
        <f aca="false">IF(J1066&lt;&gt;1,"",IF(I1066="SBJ","CB","?"))</f>
        <v/>
      </c>
      <c r="I1066" s="24" t="str">
        <f aca="false">IF(OR(E1066="",E1066="!!!",F1066="NEW"),"",INDEX(B10:B$1057,-1+SUMPRODUCT(MAX(ROW(E10:E$1057)*(E1066=E10:E$1057)))))</f>
        <v/>
      </c>
      <c r="J1066" s="24" t="str">
        <f aca="true">IF(OR(E1066="",E1066="!!!",F1066="NEW"),"",COUNTBLANK(OFFSET(A$1,,,SUMPRODUCT(MAX(ROW(E$2:E1066)*(E1066=E$2:E1066)))))-COUNTBLANK(OFFSET(A$1,,,SUMPRODUCT(MAX(ROW(E$1:E1065)*(E2=E$1:E1065))))))</f>
        <v/>
      </c>
      <c r="K1066" s="24" t="str">
        <f aca="false">IF(OR(E1066="",E1066="!!!",F1066="NEW"),"",INDEX(J$1:J1065,SUMPRODUCT(MAX(ROW(E$1:E1065)*(E1066=E$1:E1065)))))</f>
        <v/>
      </c>
      <c r="L1066" s="31"/>
    </row>
    <row r="1067" customFormat="false" ht="15" hidden="false" customHeight="false" outlineLevel="0" collapsed="false">
      <c r="A1067" s="20" t="s">
        <v>1568</v>
      </c>
      <c r="E1067" s="23" t="str">
        <f aca="false">IF(D1067="?OLD","!!!","")</f>
        <v/>
      </c>
      <c r="F1067" s="25" t="str">
        <f aca="false">IF(OR(E1067="",E1067="!!!"),"",IF(NOT(ISNA(VLOOKUP(E1067,E$1:E1066,1,FALSE()))),"OLD",IF(AND(E1067&lt;&gt;"",E1067&lt;&gt;"!!!"),"NEW","")))</f>
        <v/>
      </c>
      <c r="G1067" s="26" t="str">
        <f aca="false">IF(OR(E1067="",E1067="!!!"),"",IF(OR(J1067=0,AND(J1067=1,K1067=1),AND(J1067=1,I1067="SBJ"),AND(J1067=1,I1067=0)),"?IN_FOCUS",IF(J1067&lt;=2,"?ACTIVATED",IF(J1067&lt;&gt;"","?FAMILIAR",IF(F1067="NEW",IF(ISNA(VLOOKUP(E1067,#REF!,1,FALSE())),"?TYPE_IDENTIFIABLE","?REFERENTIAL"),"_")))))</f>
        <v/>
      </c>
      <c r="H1067" s="27" t="str">
        <f aca="false">IF(J1067&lt;&gt;1,"",IF(I1067="SBJ","CB","?"))</f>
        <v/>
      </c>
      <c r="I1067" s="24" t="str">
        <f aca="false">IF(OR(E1067="",E1067="!!!",F1067="NEW"),"",INDEX(B11:B$1057,-1+SUMPRODUCT(MAX(ROW(E11:E$1057)*(E1067=E11:E$1057)))))</f>
        <v/>
      </c>
      <c r="J1067" s="24" t="str">
        <f aca="true">IF(OR(E1067="",E1067="!!!",F1067="NEW"),"",COUNTBLANK(OFFSET(A$1,,,SUMPRODUCT(MAX(ROW(E$2:E1067)*(E1067=E$2:E1067)))))-COUNTBLANK(OFFSET(A$1,,,SUMPRODUCT(MAX(ROW(E$1:E1066)*(E2=E$1:E1066))))))</f>
        <v/>
      </c>
      <c r="K1067" s="24" t="str">
        <f aca="false">IF(OR(E1067="",E1067="!!!",F1067="NEW"),"",INDEX(J$1:J1066,SUMPRODUCT(MAX(ROW(E$1:E1066)*(E1067=E$1:E1066)))))</f>
        <v/>
      </c>
      <c r="L1067" s="31"/>
    </row>
    <row r="1068" customFormat="false" ht="15" hidden="false" customHeight="false" outlineLevel="0" collapsed="false">
      <c r="A1068" s="20" t="s">
        <v>1446</v>
      </c>
      <c r="E1068" s="23" t="str">
        <f aca="false">IF(D1068="?OLD","!!!","")</f>
        <v/>
      </c>
      <c r="F1068" s="25" t="str">
        <f aca="false">IF(OR(E1068="",E1068="!!!"),"",IF(NOT(ISNA(VLOOKUP(E1068,E$1:E1067,1,FALSE()))),"OLD",IF(AND(E1068&lt;&gt;"",E1068&lt;&gt;"!!!"),"NEW","")))</f>
        <v/>
      </c>
      <c r="G1068" s="26" t="str">
        <f aca="false">IF(OR(E1068="",E1068="!!!"),"",IF(OR(J1068=0,AND(J1068=1,K1068=1),AND(J1068=1,I1068="SBJ"),AND(J1068=1,I1068=0)),"?IN_FOCUS",IF(J1068&lt;=2,"?ACTIVATED",IF(J1068&lt;&gt;"","?FAMILIAR",IF(F1068="NEW",IF(ISNA(VLOOKUP(E1068,#REF!,1,FALSE())),"?TYPE_IDENTIFIABLE","?REFERENTIAL"),"_")))))</f>
        <v/>
      </c>
      <c r="H1068" s="27" t="str">
        <f aca="false">IF(J1068&lt;&gt;1,"",IF(I1068="SBJ","CB","?"))</f>
        <v/>
      </c>
      <c r="I1068" s="24" t="str">
        <f aca="false">IF(OR(E1068="",E1068="!!!",F1068="NEW"),"",INDEX(B12:B$1057,-1+SUMPRODUCT(MAX(ROW(E12:E$1057)*(E1068=E12:E$1057)))))</f>
        <v/>
      </c>
      <c r="J1068" s="24" t="str">
        <f aca="true">IF(OR(E1068="",E1068="!!!",F1068="NEW"),"",COUNTBLANK(OFFSET(A$1,,,SUMPRODUCT(MAX(ROW(E$2:E1068)*(E1068=E$2:E1068)))))-COUNTBLANK(OFFSET(A$1,,,SUMPRODUCT(MAX(ROW(E$1:E1067)*(E2=E$1:E1067))))))</f>
        <v/>
      </c>
      <c r="K1068" s="24" t="str">
        <f aca="false">IF(OR(E1068="",E1068="!!!",F1068="NEW"),"",INDEX(J$1:J1067,SUMPRODUCT(MAX(ROW(E$1:E1067)*(E1068=E$1:E1067)))))</f>
        <v/>
      </c>
      <c r="L1068" s="31"/>
    </row>
    <row r="1069" customFormat="false" ht="15" hidden="false" customHeight="false" outlineLevel="0" collapsed="false">
      <c r="A1069" s="20" t="s">
        <v>1232</v>
      </c>
      <c r="E1069" s="23" t="str">
        <f aca="false">IF(D1069="?OLD","!!!","")</f>
        <v/>
      </c>
      <c r="F1069" s="25" t="str">
        <f aca="false">IF(OR(E1069="",E1069="!!!"),"",IF(NOT(ISNA(VLOOKUP(E1069,E$1:E1068,1,FALSE()))),"OLD",IF(AND(E1069&lt;&gt;"",E1069&lt;&gt;"!!!"),"NEW","")))</f>
        <v/>
      </c>
      <c r="G1069" s="26" t="str">
        <f aca="false">IF(OR(E1069="",E1069="!!!"),"",IF(OR(J1069=0,AND(J1069=1,K1069=1),AND(J1069=1,I1069="SBJ"),AND(J1069=1,I1069=0)),"?IN_FOCUS",IF(J1069&lt;=2,"?ACTIVATED",IF(J1069&lt;&gt;"","?FAMILIAR",IF(F1069="NEW",IF(ISNA(VLOOKUP(E1069,#REF!,1,FALSE())),"?TYPE_IDENTIFIABLE","?REFERENTIAL"),"_")))))</f>
        <v/>
      </c>
      <c r="H1069" s="27" t="str">
        <f aca="false">IF(J1069&lt;&gt;1,"",IF(I1069="SBJ","CB","?"))</f>
        <v/>
      </c>
      <c r="I1069" s="24" t="str">
        <f aca="false">IF(OR(E1069="",E1069="!!!",F1069="NEW"),"",INDEX(B13:B$1057,-1+SUMPRODUCT(MAX(ROW(E13:E$1057)*(E1069=E13:E$1057)))))</f>
        <v/>
      </c>
      <c r="J1069" s="24" t="str">
        <f aca="true">IF(OR(E1069="",E1069="!!!",F1069="NEW"),"",COUNTBLANK(OFFSET(A$1,,,SUMPRODUCT(MAX(ROW(E$2:E1069)*(E1069=E$2:E1069)))))-COUNTBLANK(OFFSET(A$1,,,SUMPRODUCT(MAX(ROW(E$1:E1068)*(E2=E$1:E1068))))))</f>
        <v/>
      </c>
      <c r="K1069" s="24" t="str">
        <f aca="false">IF(OR(E1069="",E1069="!!!",F1069="NEW"),"",INDEX(J$1:J1068,SUMPRODUCT(MAX(ROW(E$1:E1068)*(E1069=E$1:E1068)))))</f>
        <v/>
      </c>
      <c r="L1069" s="31"/>
    </row>
    <row r="1070" customFormat="false" ht="15" hidden="false" customHeight="false" outlineLevel="0" collapsed="false">
      <c r="A1070" s="20" t="s">
        <v>1095</v>
      </c>
      <c r="E1070" s="23" t="str">
        <f aca="false">IF(D1070="?OLD","!!!","")</f>
        <v/>
      </c>
      <c r="F1070" s="25" t="str">
        <f aca="false">IF(OR(E1070="",E1070="!!!"),"",IF(NOT(ISNA(VLOOKUP(E1070,E$1:E1069,1,FALSE()))),"OLD",IF(AND(E1070&lt;&gt;"",E1070&lt;&gt;"!!!"),"NEW","")))</f>
        <v/>
      </c>
      <c r="G1070" s="26" t="str">
        <f aca="false">IF(OR(E1070="",E1070="!!!"),"",IF(OR(J1070=0,AND(J1070=1,K1070=1),AND(J1070=1,I1070="SBJ"),AND(J1070=1,I1070=0)),"?IN_FOCUS",IF(J1070&lt;=2,"?ACTIVATED",IF(J1070&lt;&gt;"","?FAMILIAR",IF(F1070="NEW",IF(ISNA(VLOOKUP(E1070,#REF!,1,FALSE())),"?TYPE_IDENTIFIABLE","?REFERENTIAL"),"_")))))</f>
        <v/>
      </c>
      <c r="H1070" s="27" t="str">
        <f aca="false">IF(J1070&lt;&gt;1,"",IF(I1070="SBJ","CB","?"))</f>
        <v/>
      </c>
      <c r="I1070" s="24" t="str">
        <f aca="false">IF(OR(E1070="",E1070="!!!",F1070="NEW"),"",INDEX(B14:B$1057,-1+SUMPRODUCT(MAX(ROW(E14:E$1057)*(E1070=E14:E$1057)))))</f>
        <v/>
      </c>
      <c r="J1070" s="24" t="str">
        <f aca="true">IF(OR(E1070="",E1070="!!!",F1070="NEW"),"",COUNTBLANK(OFFSET(A$1,,,SUMPRODUCT(MAX(ROW(E$2:E1070)*(E1070=E$2:E1070)))))-COUNTBLANK(OFFSET(A$1,,,SUMPRODUCT(MAX(ROW(E$1:E1069)*(E2=E$1:E1069))))))</f>
        <v/>
      </c>
      <c r="K1070" s="24" t="str">
        <f aca="false">IF(OR(E1070="",E1070="!!!",F1070="NEW"),"",INDEX(J$1:J1069,SUMPRODUCT(MAX(ROW(E$1:E1069)*(E1070=E$1:E1069)))))</f>
        <v/>
      </c>
      <c r="L1070" s="31"/>
    </row>
    <row r="1071" customFormat="false" ht="15" hidden="false" customHeight="false" outlineLevel="0" collapsed="false">
      <c r="A1071" s="20" t="s">
        <v>1569</v>
      </c>
      <c r="E1071" s="23" t="str">
        <f aca="false">IF(D1071="?OLD","!!!","")</f>
        <v/>
      </c>
      <c r="F1071" s="25" t="str">
        <f aca="false">IF(OR(E1071="",E1071="!!!"),"",IF(NOT(ISNA(VLOOKUP(E1071,E$1:E1070,1,FALSE()))),"OLD",IF(AND(E1071&lt;&gt;"",E1071&lt;&gt;"!!!"),"NEW","")))</f>
        <v/>
      </c>
      <c r="G1071" s="26" t="str">
        <f aca="false">IF(OR(E1071="",E1071="!!!"),"",IF(OR(J1071=0,AND(J1071=1,K1071=1),AND(J1071=1,I1071="SBJ"),AND(J1071=1,I1071=0)),"?IN_FOCUS",IF(J1071&lt;=2,"?ACTIVATED",IF(J1071&lt;&gt;"","?FAMILIAR",IF(F1071="NEW",IF(ISNA(VLOOKUP(E1071,#REF!,1,FALSE())),"?TYPE_IDENTIFIABLE","?REFERENTIAL"),"_")))))</f>
        <v/>
      </c>
      <c r="H1071" s="27" t="str">
        <f aca="false">IF(J1071&lt;&gt;1,"",IF(I1071="SBJ","CB","?"))</f>
        <v/>
      </c>
      <c r="I1071" s="24" t="str">
        <f aca="false">IF(OR(E1071="",E1071="!!!",F1071="NEW"),"",INDEX(B15:B$1057,-1+SUMPRODUCT(MAX(ROW(E15:E$1057)*(E1071=E15:E$1057)))))</f>
        <v/>
      </c>
      <c r="J1071" s="24" t="str">
        <f aca="true">IF(OR(E1071="",E1071="!!!",F1071="NEW"),"",COUNTBLANK(OFFSET(A$1,,,SUMPRODUCT(MAX(ROW(E$2:E1071)*(E1071=E$2:E1071)))))-COUNTBLANK(OFFSET(A$1,,,SUMPRODUCT(MAX(ROW(E$1:E1070)*(E2=E$1:E1070))))))</f>
        <v/>
      </c>
      <c r="K1071" s="24" t="str">
        <f aca="false">IF(OR(E1071="",E1071="!!!",F1071="NEW"),"",INDEX(J$1:J1070,SUMPRODUCT(MAX(ROW(E$1:E1070)*(E1071=E$1:E1070)))))</f>
        <v/>
      </c>
      <c r="L1071" s="31"/>
    </row>
    <row r="1072" customFormat="false" ht="15" hidden="false" customHeight="false" outlineLevel="0" collapsed="false">
      <c r="A1072" s="20" t="s">
        <v>1313</v>
      </c>
      <c r="B1072" s="22" t="s">
        <v>1098</v>
      </c>
      <c r="C1072" s="22" t="s">
        <v>1099</v>
      </c>
      <c r="D1072" s="22" t="s">
        <v>1060</v>
      </c>
      <c r="E1072" s="23" t="str">
        <f aca="false">IF(D1072="?OLD","!!!","")</f>
        <v>!!!</v>
      </c>
      <c r="F1072" s="25" t="str">
        <f aca="false">IF(OR(E1072="",E1072="!!!"),"",IF(NOT(ISNA(VLOOKUP(E1072,E$1:E1071,1,FALSE()))),"OLD",IF(AND(E1072&lt;&gt;"",E1072&lt;&gt;"!!!"),"NEW","")))</f>
        <v/>
      </c>
      <c r="G1072" s="26" t="str">
        <f aca="false">IF(OR(E1072="",E1072="!!!"),"",IF(OR(J1072=0,AND(J1072=1,K1072=1),AND(J1072=1,I1072="SBJ"),AND(J1072=1,I1072=0)),"?IN_FOCUS",IF(J1072&lt;=2,"?ACTIVATED",IF(J1072&lt;&gt;"","?FAMILIAR",IF(F1072="NEW",IF(ISNA(VLOOKUP(E1072,#REF!,1,FALSE())),"?TYPE_IDENTIFIABLE","?REFERENTIAL"),"_")))))</f>
        <v/>
      </c>
      <c r="H1072" s="27" t="str">
        <f aca="false">IF(J1072&lt;&gt;1,"",IF(I1072="SBJ","CB","?"))</f>
        <v/>
      </c>
      <c r="I1072" s="24" t="str">
        <f aca="false">IF(OR(E1072="",E1072="!!!",F1072="NEW"),"",INDEX(B16:B$1057,-1+SUMPRODUCT(MAX(ROW(E16:E$1057)*(E1072=E16:E$1057)))))</f>
        <v/>
      </c>
      <c r="J1072" s="24" t="str">
        <f aca="true">IF(OR(E1072="",E1072="!!!",F1072="NEW"),"",COUNTBLANK(OFFSET(A$1,,,SUMPRODUCT(MAX(ROW(E$2:E1072)*(E1072=E$2:E1072)))))-COUNTBLANK(OFFSET(A$1,,,SUMPRODUCT(MAX(ROW(E$1:E1071)*(E2=E$1:E1071))))))</f>
        <v/>
      </c>
      <c r="K1072" s="24" t="str">
        <f aca="false">IF(OR(E1072="",E1072="!!!",F1072="NEW"),"",INDEX(J$1:J1071,SUMPRODUCT(MAX(ROW(E$1:E1071)*(E1072=E$1:E1071)))))</f>
        <v/>
      </c>
      <c r="L1072" s="31"/>
    </row>
    <row r="1073" customFormat="false" ht="15" hidden="false" customHeight="false" outlineLevel="0" collapsed="false">
      <c r="A1073" s="20" t="s">
        <v>1570</v>
      </c>
      <c r="B1073" s="22" t="s">
        <v>1197</v>
      </c>
      <c r="C1073" s="22" t="s">
        <v>1059</v>
      </c>
      <c r="D1073" s="22" t="s">
        <v>1060</v>
      </c>
      <c r="E1073" s="23" t="str">
        <f aca="false">IF(D1073="?OLD","!!!","")</f>
        <v>!!!</v>
      </c>
      <c r="F1073" s="25" t="str">
        <f aca="false">IF(OR(E1073="",E1073="!!!"),"",IF(NOT(ISNA(VLOOKUP(E1073,E$1:E1072,1,FALSE()))),"OLD",IF(AND(E1073&lt;&gt;"",E1073&lt;&gt;"!!!"),"NEW","")))</f>
        <v/>
      </c>
      <c r="G1073" s="26" t="str">
        <f aca="false">IF(OR(E1073="",E1073="!!!"),"",IF(OR(J1073=0,AND(J1073=1,K1073=1),AND(J1073=1,I1073="SBJ"),AND(J1073=1,I1073=0)),"?IN_FOCUS",IF(J1073&lt;=2,"?ACTIVATED",IF(J1073&lt;&gt;"","?FAMILIAR",IF(F1073="NEW",IF(ISNA(VLOOKUP(E1073,#REF!,1,FALSE())),"?TYPE_IDENTIFIABLE","?REFERENTIAL"),"_")))))</f>
        <v/>
      </c>
      <c r="H1073" s="27" t="str">
        <f aca="false">IF(J1073&lt;&gt;1,"",IF(I1073="SBJ","CB","?"))</f>
        <v/>
      </c>
      <c r="I1073" s="24" t="str">
        <f aca="false">IF(OR(E1073="",E1073="!!!",F1073="NEW"),"",INDEX(B17:B$1057,-1+SUMPRODUCT(MAX(ROW(E17:E$1057)*(E1073=E17:E$1057)))))</f>
        <v/>
      </c>
      <c r="J1073" s="24" t="str">
        <f aca="true">IF(OR(E1073="",E1073="!!!",F1073="NEW"),"",COUNTBLANK(OFFSET(A$1,,,SUMPRODUCT(MAX(ROW(E$2:E1073)*(E1073=E$2:E1073)))))-COUNTBLANK(OFFSET(A$1,,,SUMPRODUCT(MAX(ROW(E$1:E1072)*(E2=E$1:E1072))))))</f>
        <v/>
      </c>
      <c r="K1073" s="24" t="str">
        <f aca="false">IF(OR(E1073="",E1073="!!!",F1073="NEW"),"",INDEX(J$1:J1072,SUMPRODUCT(MAX(ROW(E$1:E1072)*(E1073=E$1:E1072)))))</f>
        <v/>
      </c>
      <c r="L1073" s="31"/>
    </row>
    <row r="1074" customFormat="false" ht="15" hidden="false" customHeight="false" outlineLevel="0" collapsed="false">
      <c r="A1074" s="20" t="s">
        <v>1135</v>
      </c>
      <c r="E1074" s="23" t="str">
        <f aca="false">IF(D1074="?OLD","!!!","")</f>
        <v/>
      </c>
      <c r="F1074" s="25" t="str">
        <f aca="false">IF(OR(E1074="",E1074="!!!"),"",IF(NOT(ISNA(VLOOKUP(E1074,E$1:E1073,1,FALSE()))),"OLD",IF(AND(E1074&lt;&gt;"",E1074&lt;&gt;"!!!"),"NEW","")))</f>
        <v/>
      </c>
      <c r="G1074" s="26" t="str">
        <f aca="false">IF(OR(E1074="",E1074="!!!"),"",IF(OR(J1074=0,AND(J1074=1,K1074=1),AND(J1074=1,I1074="SBJ"),AND(J1074=1,I1074=0)),"?IN_FOCUS",IF(J1074&lt;=2,"?ACTIVATED",IF(J1074&lt;&gt;"","?FAMILIAR",IF(F1074="NEW",IF(ISNA(VLOOKUP(E1074,#REF!,1,FALSE())),"?TYPE_IDENTIFIABLE","?REFERENTIAL"),"_")))))</f>
        <v/>
      </c>
      <c r="H1074" s="27" t="str">
        <f aca="false">IF(J1074&lt;&gt;1,"",IF(I1074="SBJ","CB","?"))</f>
        <v/>
      </c>
      <c r="I1074" s="24" t="str">
        <f aca="false">IF(OR(E1074="",E1074="!!!",F1074="NEW"),"",INDEX(B18:B$1057,-1+SUMPRODUCT(MAX(ROW(E18:E$1057)*(E1074=E18:E$1057)))))</f>
        <v/>
      </c>
      <c r="J1074" s="24" t="str">
        <f aca="true">IF(OR(E1074="",E1074="!!!",F1074="NEW"),"",COUNTBLANK(OFFSET(A$1,,,SUMPRODUCT(MAX(ROW(E$2:E1074)*(E1074=E$2:E1074)))))-COUNTBLANK(OFFSET(A$1,,,SUMPRODUCT(MAX(ROW(E$1:E1073)*(E2=E$1:E1073))))))</f>
        <v/>
      </c>
      <c r="K1074" s="24" t="str">
        <f aca="false">IF(OR(E1074="",E1074="!!!",F1074="NEW"),"",INDEX(J$1:J1073,SUMPRODUCT(MAX(ROW(E$1:E1073)*(E1074=E$1:E1073)))))</f>
        <v/>
      </c>
      <c r="L1074" s="31"/>
    </row>
    <row r="1075" customFormat="false" ht="15" hidden="false" customHeight="false" outlineLevel="0" collapsed="false">
      <c r="A1075" s="20" t="s">
        <v>1346</v>
      </c>
      <c r="E1075" s="23" t="str">
        <f aca="false">IF(D1075="?OLD","!!!","")</f>
        <v/>
      </c>
      <c r="F1075" s="25" t="str">
        <f aca="false">IF(OR(E1075="",E1075="!!!"),"",IF(NOT(ISNA(VLOOKUP(E1075,E$1:E1074,1,FALSE()))),"OLD",IF(AND(E1075&lt;&gt;"",E1075&lt;&gt;"!!!"),"NEW","")))</f>
        <v/>
      </c>
      <c r="G1075" s="26" t="str">
        <f aca="false">IF(OR(E1075="",E1075="!!!"),"",IF(OR(J1075=0,AND(J1075=1,K1075=1),AND(J1075=1,I1075="SBJ"),AND(J1075=1,I1075=0)),"?IN_FOCUS",IF(J1075&lt;=2,"?ACTIVATED",IF(J1075&lt;&gt;"","?FAMILIAR",IF(F1075="NEW",IF(ISNA(VLOOKUP(E1075,#REF!,1,FALSE())),"?TYPE_IDENTIFIABLE","?REFERENTIAL"),"_")))))</f>
        <v/>
      </c>
      <c r="H1075" s="27" t="str">
        <f aca="false">IF(J1075&lt;&gt;1,"",IF(I1075="SBJ","CB","?"))</f>
        <v/>
      </c>
      <c r="I1075" s="24" t="str">
        <f aca="false">IF(OR(E1075="",E1075="!!!",F1075="NEW"),"",INDEX(B19:B$1057,-1+SUMPRODUCT(MAX(ROW(E19:E$1057)*(E1075=E19:E$1057)))))</f>
        <v/>
      </c>
      <c r="J1075" s="24" t="str">
        <f aca="true">IF(OR(E1075="",E1075="!!!",F1075="NEW"),"",COUNTBLANK(OFFSET(A$1,,,SUMPRODUCT(MAX(ROW(E$2:E1075)*(E1075=E$2:E1075)))))-COUNTBLANK(OFFSET(A$1,,,SUMPRODUCT(MAX(ROW(E$1:E1074)*(E2=E$1:E1074))))))</f>
        <v/>
      </c>
      <c r="K1075" s="24" t="str">
        <f aca="false">IF(OR(E1075="",E1075="!!!",F1075="NEW"),"",INDEX(J$1:J1074,SUMPRODUCT(MAX(ROW(E$1:E1074)*(E1075=E$1:E1074)))))</f>
        <v/>
      </c>
      <c r="L1075" s="31"/>
    </row>
    <row r="1076" customFormat="false" ht="15" hidden="false" customHeight="false" outlineLevel="0" collapsed="false">
      <c r="A1076" s="20" t="s">
        <v>1095</v>
      </c>
      <c r="E1076" s="23" t="str">
        <f aca="false">IF(D1076="?OLD","!!!","")</f>
        <v/>
      </c>
      <c r="F1076" s="25" t="str">
        <f aca="false">IF(OR(E1076="",E1076="!!!"),"",IF(NOT(ISNA(VLOOKUP(E1076,E$1:E1075,1,FALSE()))),"OLD",IF(AND(E1076&lt;&gt;"",E1076&lt;&gt;"!!!"),"NEW","")))</f>
        <v/>
      </c>
      <c r="G1076" s="26" t="str">
        <f aca="false">IF(OR(E1076="",E1076="!!!"),"",IF(OR(J1076=0,AND(J1076=1,K1076=1),AND(J1076=1,I1076="SBJ"),AND(J1076=1,I1076=0)),"?IN_FOCUS",IF(J1076&lt;=2,"?ACTIVATED",IF(J1076&lt;&gt;"","?FAMILIAR",IF(F1076="NEW",IF(ISNA(VLOOKUP(E1076,#REF!,1,FALSE())),"?TYPE_IDENTIFIABLE","?REFERENTIAL"),"_")))))</f>
        <v/>
      </c>
      <c r="H1076" s="27" t="str">
        <f aca="false">IF(J1076&lt;&gt;1,"",IF(I1076="SBJ","CB","?"))</f>
        <v/>
      </c>
      <c r="I1076" s="24" t="str">
        <f aca="false">IF(OR(E1076="",E1076="!!!",F1076="NEW"),"",INDEX(B20:B$1057,-1+SUMPRODUCT(MAX(ROW(E20:E$1057)*(E1076=E20:E$1057)))))</f>
        <v/>
      </c>
      <c r="J1076" s="24" t="str">
        <f aca="true">IF(OR(E1076="",E1076="!!!",F1076="NEW"),"",COUNTBLANK(OFFSET(A$1,,,SUMPRODUCT(MAX(ROW(E$2:E1076)*(E1076=E$2:E1076)))))-COUNTBLANK(OFFSET(A$1,,,SUMPRODUCT(MAX(ROW(E$1:E1075)*(E2=E$1:E1075))))))</f>
        <v/>
      </c>
      <c r="K1076" s="24" t="str">
        <f aca="false">IF(OR(E1076="",E1076="!!!",F1076="NEW"),"",INDEX(J$1:J1075,SUMPRODUCT(MAX(ROW(E$1:E1075)*(E1076=E$1:E1075)))))</f>
        <v/>
      </c>
      <c r="L1076" s="31"/>
    </row>
    <row r="1077" customFormat="false" ht="15" hidden="false" customHeight="false" outlineLevel="0" collapsed="false">
      <c r="A1077" s="20" t="s">
        <v>146</v>
      </c>
      <c r="E1077" s="23" t="str">
        <f aca="false">IF(D1077="?OLD","!!!","")</f>
        <v/>
      </c>
      <c r="F1077" s="25" t="str">
        <f aca="false">IF(OR(E1077="",E1077="!!!"),"",IF(NOT(ISNA(VLOOKUP(E1077,E$1:E1076,1,FALSE()))),"OLD",IF(AND(E1077&lt;&gt;"",E1077&lt;&gt;"!!!"),"NEW","")))</f>
        <v/>
      </c>
      <c r="G1077" s="26" t="str">
        <f aca="false">IF(OR(E1077="",E1077="!!!"),"",IF(OR(J1077=0,AND(J1077=1,K1077=1),AND(J1077=1,I1077="SBJ"),AND(J1077=1,I1077=0)),"?IN_FOCUS",IF(J1077&lt;=2,"?ACTIVATED",IF(J1077&lt;&gt;"","?FAMILIAR",IF(F1077="NEW",IF(ISNA(VLOOKUP(E1077,#REF!,1,FALSE())),"?TYPE_IDENTIFIABLE","?REFERENTIAL"),"_")))))</f>
        <v/>
      </c>
      <c r="H1077" s="27" t="str">
        <f aca="false">IF(J1077&lt;&gt;1,"",IF(I1077="SBJ","CB","?"))</f>
        <v/>
      </c>
      <c r="I1077" s="24" t="str">
        <f aca="false">IF(OR(E1077="",E1077="!!!",F1077="NEW"),"",INDEX(B21:B$1057,-1+SUMPRODUCT(MAX(ROW(E21:E$1057)*(E1077=E21:E$1057)))))</f>
        <v/>
      </c>
      <c r="J1077" s="24" t="str">
        <f aca="true">IF(OR(E1077="",E1077="!!!",F1077="NEW"),"",COUNTBLANK(OFFSET(A$1,,,SUMPRODUCT(MAX(ROW(E$2:E1077)*(E1077=E$2:E1077)))))-COUNTBLANK(OFFSET(A$1,,,SUMPRODUCT(MAX(ROW(E$1:E1076)*(E2=E$1:E1076))))))</f>
        <v/>
      </c>
      <c r="K1077" s="24" t="str">
        <f aca="false">IF(OR(E1077="",E1077="!!!",F1077="NEW"),"",INDEX(J$1:J1076,SUMPRODUCT(MAX(ROW(E$1:E1076)*(E1077=E$1:E1076)))))</f>
        <v/>
      </c>
      <c r="L1077" s="31"/>
    </row>
    <row r="1078" customFormat="false" ht="15" hidden="false" customHeight="false" outlineLevel="0" collapsed="false">
      <c r="A1078" s="20" t="s">
        <v>1454</v>
      </c>
      <c r="B1078" s="22" t="s">
        <v>1131</v>
      </c>
      <c r="C1078" s="22" t="s">
        <v>1082</v>
      </c>
      <c r="D1078" s="22" t="s">
        <v>1060</v>
      </c>
      <c r="E1078" s="23" t="str">
        <f aca="false">IF(D1078="?OLD","!!!","")</f>
        <v>!!!</v>
      </c>
      <c r="F1078" s="25" t="str">
        <f aca="false">IF(OR(E1078="",E1078="!!!"),"",IF(NOT(ISNA(VLOOKUP(E1078,E$1:E1077,1,FALSE()))),"OLD",IF(AND(E1078&lt;&gt;"",E1078&lt;&gt;"!!!"),"NEW","")))</f>
        <v/>
      </c>
      <c r="G1078" s="26" t="str">
        <f aca="false">IF(OR(E1078="",E1078="!!!"),"",IF(OR(J1078=0,AND(J1078=1,K1078=1),AND(J1078=1,I1078="SBJ"),AND(J1078=1,I1078=0)),"?IN_FOCUS",IF(J1078&lt;=2,"?ACTIVATED",IF(J1078&lt;&gt;"","?FAMILIAR",IF(F1078="NEW",IF(ISNA(VLOOKUP(E1078,#REF!,1,FALSE())),"?TYPE_IDENTIFIABLE","?REFERENTIAL"),"_")))))</f>
        <v/>
      </c>
      <c r="H1078" s="27" t="str">
        <f aca="false">IF(J1078&lt;&gt;1,"",IF(I1078="SBJ","CB","?"))</f>
        <v/>
      </c>
      <c r="I1078" s="24" t="str">
        <f aca="false">IF(OR(E1078="",E1078="!!!",F1078="NEW"),"",INDEX(B22:B$1057,-1+SUMPRODUCT(MAX(ROW(E22:E$1057)*(E1078=E22:E$1057)))))</f>
        <v/>
      </c>
      <c r="J1078" s="24" t="str">
        <f aca="true">IF(OR(E1078="",E1078="!!!",F1078="NEW"),"",COUNTBLANK(OFFSET(A$1,,,SUMPRODUCT(MAX(ROW(E$2:E1078)*(E1078=E$2:E1078)))))-COUNTBLANK(OFFSET(A$1,,,SUMPRODUCT(MAX(ROW(E$1:E1077)*(E2=E$1:E1077))))))</f>
        <v/>
      </c>
      <c r="K1078" s="24" t="str">
        <f aca="false">IF(OR(E1078="",E1078="!!!",F1078="NEW"),"",INDEX(J$1:J1077,SUMPRODUCT(MAX(ROW(E$1:E1077)*(E1078=E$1:E1077)))))</f>
        <v/>
      </c>
      <c r="L1078" s="31"/>
    </row>
    <row r="1079" customFormat="false" ht="15" hidden="false" customHeight="false" outlineLevel="0" collapsed="false">
      <c r="A1079" s="20" t="s">
        <v>1201</v>
      </c>
      <c r="B1079" s="22" t="s">
        <v>1571</v>
      </c>
      <c r="C1079" s="22" t="s">
        <v>1202</v>
      </c>
      <c r="E1079" s="23" t="str">
        <f aca="false">IF(D1079="?OLD","!!!","")</f>
        <v/>
      </c>
      <c r="F1079" s="25" t="str">
        <f aca="false">IF(OR(E1079="",E1079="!!!"),"",IF(NOT(ISNA(VLOOKUP(E1079,E$1:E1078,1,FALSE()))),"OLD",IF(AND(E1079&lt;&gt;"",E1079&lt;&gt;"!!!"),"NEW","")))</f>
        <v/>
      </c>
      <c r="G1079" s="26" t="str">
        <f aca="false">IF(OR(E1079="",E1079="!!!"),"",IF(OR(J1079=0,AND(J1079=1,K1079=1),AND(J1079=1,I1079="SBJ"),AND(J1079=1,I1079=0)),"?IN_FOCUS",IF(J1079&lt;=2,"?ACTIVATED",IF(J1079&lt;&gt;"","?FAMILIAR",IF(F1079="NEW",IF(ISNA(VLOOKUP(E1079,#REF!,1,FALSE())),"?TYPE_IDENTIFIABLE","?REFERENTIAL"),"_")))))</f>
        <v/>
      </c>
      <c r="H1079" s="27" t="str">
        <f aca="false">IF(J1079&lt;&gt;1,"",IF(I1079="SBJ","CB","?"))</f>
        <v/>
      </c>
      <c r="I1079" s="24" t="str">
        <f aca="false">IF(OR(E1079="",E1079="!!!",F1079="NEW"),"",INDEX(B23:B$1057,-1+SUMPRODUCT(MAX(ROW(E23:E$1057)*(E1079=E23:E$1057)))))</f>
        <v/>
      </c>
      <c r="J1079" s="24" t="str">
        <f aca="true">IF(OR(E1079="",E1079="!!!",F1079="NEW"),"",COUNTBLANK(OFFSET(A$1,,,SUMPRODUCT(MAX(ROW(E$2:E1079)*(E1079=E$2:E1079)))))-COUNTBLANK(OFFSET(A$1,,,SUMPRODUCT(MAX(ROW(E$1:E1078)*(E2=E$1:E1078))))))</f>
        <v/>
      </c>
      <c r="K1079" s="24" t="str">
        <f aca="false">IF(OR(E1079="",E1079="!!!",F1079="NEW"),"",INDEX(J$1:J1078,SUMPRODUCT(MAX(ROW(E$1:E1078)*(E1079=E$1:E1078)))))</f>
        <v/>
      </c>
      <c r="L1079" s="31"/>
    </row>
    <row r="1080" customFormat="false" ht="15" hidden="false" customHeight="false" outlineLevel="0" collapsed="false">
      <c r="A1080" s="20" t="s">
        <v>1162</v>
      </c>
      <c r="B1080" s="22" t="s">
        <v>1205</v>
      </c>
      <c r="C1080" s="22" t="s">
        <v>1082</v>
      </c>
      <c r="D1080" s="22" t="s">
        <v>1060</v>
      </c>
      <c r="E1080" s="23" t="str">
        <f aca="false">IF(D1080="?OLD","!!!","")</f>
        <v>!!!</v>
      </c>
      <c r="F1080" s="25" t="str">
        <f aca="false">IF(OR(E1080="",E1080="!!!"),"",IF(NOT(ISNA(VLOOKUP(E1080,E$1:E1079,1,FALSE()))),"OLD",IF(AND(E1080&lt;&gt;"",E1080&lt;&gt;"!!!"),"NEW","")))</f>
        <v/>
      </c>
      <c r="G1080" s="26" t="str">
        <f aca="false">IF(OR(E1080="",E1080="!!!"),"",IF(OR(J1080=0,AND(J1080=1,K1080=1),AND(J1080=1,I1080="SBJ"),AND(J1080=1,I1080=0)),"?IN_FOCUS",IF(J1080&lt;=2,"?ACTIVATED",IF(J1080&lt;&gt;"","?FAMILIAR",IF(F1080="NEW",IF(ISNA(VLOOKUP(E1080,#REF!,1,FALSE())),"?TYPE_IDENTIFIABLE","?REFERENTIAL"),"_")))))</f>
        <v/>
      </c>
      <c r="H1080" s="27" t="str">
        <f aca="false">IF(J1080&lt;&gt;1,"",IF(I1080="SBJ","CB","?"))</f>
        <v/>
      </c>
      <c r="I1080" s="24" t="str">
        <f aca="false">IF(OR(E1080="",E1080="!!!",F1080="NEW"),"",INDEX(B24:B$1057,-1+SUMPRODUCT(MAX(ROW(E24:E$1057)*(E1080=E24:E$1057)))))</f>
        <v/>
      </c>
      <c r="J1080" s="24" t="str">
        <f aca="true">IF(OR(E1080="",E1080="!!!",F1080="NEW"),"",COUNTBLANK(OFFSET(A$1,,,SUMPRODUCT(MAX(ROW(E$2:E1080)*(E1080=E$2:E1080)))))-COUNTBLANK(OFFSET(A$1,,,SUMPRODUCT(MAX(ROW(E$1:E1079)*(E2=E$1:E1079))))))</f>
        <v/>
      </c>
      <c r="K1080" s="24" t="str">
        <f aca="false">IF(OR(E1080="",E1080="!!!",F1080="NEW"),"",INDEX(J$1:J1079,SUMPRODUCT(MAX(ROW(E$1:E1079)*(E1080=E$1:E1079)))))</f>
        <v/>
      </c>
      <c r="L1080" s="31"/>
    </row>
    <row r="1081" customFormat="false" ht="15" hidden="false" customHeight="false" outlineLevel="0" collapsed="false">
      <c r="A1081" s="20" t="s">
        <v>1164</v>
      </c>
      <c r="E1081" s="23" t="str">
        <f aca="false">IF(D1081="?OLD","!!!","")</f>
        <v/>
      </c>
      <c r="F1081" s="25" t="str">
        <f aca="false">IF(OR(E1081="",E1081="!!!"),"",IF(NOT(ISNA(VLOOKUP(E1081,E$1:E1080,1,FALSE()))),"OLD",IF(AND(E1081&lt;&gt;"",E1081&lt;&gt;"!!!"),"NEW","")))</f>
        <v/>
      </c>
      <c r="G1081" s="26" t="str">
        <f aca="false">IF(OR(E1081="",E1081="!!!"),"",IF(OR(J1081=0,AND(J1081=1,K1081=1),AND(J1081=1,I1081="SBJ"),AND(J1081=1,I1081=0)),"?IN_FOCUS",IF(J1081&lt;=2,"?ACTIVATED",IF(J1081&lt;&gt;"","?FAMILIAR",IF(F1081="NEW",IF(ISNA(VLOOKUP(E1081,#REF!,1,FALSE())),"?TYPE_IDENTIFIABLE","?REFERENTIAL"),"_")))))</f>
        <v/>
      </c>
      <c r="H1081" s="27" t="str">
        <f aca="false">IF(J1081&lt;&gt;1,"",IF(I1081="SBJ","CB","?"))</f>
        <v/>
      </c>
      <c r="I1081" s="24" t="str">
        <f aca="false">IF(OR(E1081="",E1081="!!!",F1081="NEW"),"",INDEX(B25:B$1057,-1+SUMPRODUCT(MAX(ROW(E25:E$1057)*(E1081=E25:E$1057)))))</f>
        <v/>
      </c>
      <c r="J1081" s="24" t="str">
        <f aca="true">IF(OR(E1081="",E1081="!!!",F1081="NEW"),"",COUNTBLANK(OFFSET(A$1,,,SUMPRODUCT(MAX(ROW(E$2:E1081)*(E1081=E$2:E1081)))))-COUNTBLANK(OFFSET(A$1,,,SUMPRODUCT(MAX(ROW(E$1:E1080)*(E2=E$1:E1080))))))</f>
        <v/>
      </c>
      <c r="K1081" s="24" t="str">
        <f aca="false">IF(OR(E1081="",E1081="!!!",F1081="NEW"),"",INDEX(J$1:J1080,SUMPRODUCT(MAX(ROW(E$1:E1080)*(E1081=E$1:E1080)))))</f>
        <v/>
      </c>
      <c r="L1081" s="31"/>
    </row>
    <row r="1082" customFormat="false" ht="15" hidden="false" customHeight="false" outlineLevel="0" collapsed="false">
      <c r="A1082" s="20" t="s">
        <v>1572</v>
      </c>
      <c r="E1082" s="23" t="str">
        <f aca="false">IF(D1082="?OLD","!!!","")</f>
        <v/>
      </c>
      <c r="F1082" s="25" t="str">
        <f aca="false">IF(OR(E1082="",E1082="!!!"),"",IF(NOT(ISNA(VLOOKUP(E1082,E$1:E1081,1,FALSE()))),"OLD",IF(AND(E1082&lt;&gt;"",E1082&lt;&gt;"!!!"),"NEW","")))</f>
        <v/>
      </c>
      <c r="G1082" s="26" t="str">
        <f aca="false">IF(OR(E1082="",E1082="!!!"),"",IF(OR(J1082=0,AND(J1082=1,K1082=1),AND(J1082=1,I1082="SBJ"),AND(J1082=1,I1082=0)),"?IN_FOCUS",IF(J1082&lt;=2,"?ACTIVATED",IF(J1082&lt;&gt;"","?FAMILIAR",IF(F1082="NEW",IF(ISNA(VLOOKUP(E1082,#REF!,1,FALSE())),"?TYPE_IDENTIFIABLE","?REFERENTIAL"),"_")))))</f>
        <v/>
      </c>
      <c r="H1082" s="27" t="str">
        <f aca="false">IF(J1082&lt;&gt;1,"",IF(I1082="SBJ","CB","?"))</f>
        <v/>
      </c>
      <c r="I1082" s="24" t="str">
        <f aca="false">IF(OR(E1082="",E1082="!!!",F1082="NEW"),"",INDEX(B26:B$1057,-1+SUMPRODUCT(MAX(ROW(E26:E$1057)*(E1082=E26:E$1057)))))</f>
        <v/>
      </c>
      <c r="J1082" s="24" t="str">
        <f aca="true">IF(OR(E1082="",E1082="!!!",F1082="NEW"),"",COUNTBLANK(OFFSET(A$1,,,SUMPRODUCT(MAX(ROW(E$2:E1082)*(E1082=E$2:E1082)))))-COUNTBLANK(OFFSET(A$1,,,SUMPRODUCT(MAX(ROW(E$1:E1081)*(E2=E$1:E1081))))))</f>
        <v/>
      </c>
      <c r="K1082" s="24" t="str">
        <f aca="false">IF(OR(E1082="",E1082="!!!",F1082="NEW"),"",INDEX(J$1:J1081,SUMPRODUCT(MAX(ROW(E$1:E1081)*(E1082=E$1:E1081)))))</f>
        <v/>
      </c>
      <c r="L1082" s="31"/>
    </row>
    <row r="1083" customFormat="false" ht="15" hidden="false" customHeight="false" outlineLevel="0" collapsed="false">
      <c r="A1083" s="20" t="s">
        <v>923</v>
      </c>
      <c r="E1083" s="23" t="str">
        <f aca="false">IF(D1083="?OLD","!!!","")</f>
        <v/>
      </c>
      <c r="F1083" s="25" t="str">
        <f aca="false">IF(OR(E1083="",E1083="!!!"),"",IF(NOT(ISNA(VLOOKUP(E1083,E$1:E1082,1,FALSE()))),"OLD",IF(AND(E1083&lt;&gt;"",E1083&lt;&gt;"!!!"),"NEW","")))</f>
        <v/>
      </c>
      <c r="G1083" s="26" t="str">
        <f aca="false">IF(OR(E1083="",E1083="!!!"),"",IF(OR(J1083=0,AND(J1083=1,K1083=1),AND(J1083=1,I1083="SBJ"),AND(J1083=1,I1083=0)),"?IN_FOCUS",IF(J1083&lt;=2,"?ACTIVATED",IF(J1083&lt;&gt;"","?FAMILIAR",IF(F1083="NEW",IF(ISNA(VLOOKUP(E1083,#REF!,1,FALSE())),"?TYPE_IDENTIFIABLE","?REFERENTIAL"),"_")))))</f>
        <v/>
      </c>
      <c r="H1083" s="27" t="str">
        <f aca="false">IF(J1083&lt;&gt;1,"",IF(I1083="SBJ","CB","?"))</f>
        <v/>
      </c>
      <c r="I1083" s="24" t="str">
        <f aca="false">IF(OR(E1083="",E1083="!!!",F1083="NEW"),"",INDEX(B27:B$1057,-1+SUMPRODUCT(MAX(ROW(E27:E$1057)*(E1083=E27:E$1057)))))</f>
        <v/>
      </c>
      <c r="J1083" s="24" t="str">
        <f aca="true">IF(OR(E1083="",E1083="!!!",F1083="NEW"),"",COUNTBLANK(OFFSET(A$1,,,SUMPRODUCT(MAX(ROW(E$2:E1083)*(E1083=E$2:E1083)))))-COUNTBLANK(OFFSET(A$1,,,SUMPRODUCT(MAX(ROW(E$1:E1082)*(E2=E$1:E1082))))))</f>
        <v/>
      </c>
      <c r="K1083" s="24" t="str">
        <f aca="false">IF(OR(E1083="",E1083="!!!",F1083="NEW"),"",INDEX(J$1:J1082,SUMPRODUCT(MAX(ROW(E$1:E1082)*(E1083=E$1:E1082)))))</f>
        <v/>
      </c>
      <c r="L1083" s="31"/>
    </row>
    <row r="1084" customFormat="false" ht="15" hidden="false" customHeight="false" outlineLevel="0" collapsed="false">
      <c r="A1084" s="20"/>
    </row>
    <row r="1085" customFormat="false" ht="15" hidden="false" customHeight="false" outlineLevel="0" collapsed="false">
      <c r="A1085" s="20" t="s">
        <v>1301</v>
      </c>
      <c r="E1085" s="23" t="str">
        <f aca="false">IF(D1085="?OLD","!!!","")</f>
        <v/>
      </c>
      <c r="F1085" s="25" t="str">
        <f aca="false">IF(OR(E1085="",E1085="!!!"),"",IF(NOT(ISNA(VLOOKUP(E1085,E$1:E1084,1,FALSE()))),"OLD",IF(AND(E1085&lt;&gt;"",E1085&lt;&gt;"!!!"),"NEW","")))</f>
        <v/>
      </c>
      <c r="G1085" s="26" t="str">
        <f aca="false">IF(OR(E1085="",E1085="!!!"),"",IF(OR(J1085=0,AND(J1085=1,K1085=1),AND(J1085=1,I1085="SBJ"),AND(J1085=1,I1085=0)),"?IN_FOCUS",IF(J1085&lt;=2,"?ACTIVATED",IF(J1085&lt;&gt;"","?FAMILIAR",IF(F1085="NEW",IF(ISNA(VLOOKUP(E1085,#REF!,1,FALSE())),"?TYPE_IDENTIFIABLE","?REFERENTIAL"),"_")))))</f>
        <v/>
      </c>
      <c r="H1085" s="27" t="str">
        <f aca="false">IF(J1085&lt;&gt;1,"",IF(I1085="SBJ","CB","?"))</f>
        <v/>
      </c>
      <c r="I1085" s="24" t="str">
        <f aca="false">IF(OR(E1085="",E1085="!!!",F1085="NEW"),"",INDEX(B2:B$1084,-1+SUMPRODUCT(MAX(ROW(E2:E$1084)*(E1085=E2:E$1084)))))</f>
        <v/>
      </c>
      <c r="J1085" s="24" t="str">
        <f aca="true">IF(OR(E1085="",E1085="!!!",F1085="NEW"),"",COUNTBLANK(OFFSET(A$1,,,SUMPRODUCT(MAX(ROW(E$2:E1085)*(E1085=E$2:E1085)))))-COUNTBLANK(OFFSET(A$1,,,SUMPRODUCT(MAX(ROW(E$1:E1084)*(E2=E$1:E1084))))))</f>
        <v/>
      </c>
      <c r="K1085" s="24" t="str">
        <f aca="false">IF(OR(E1085="",E1085="!!!",F1085="NEW"),"",INDEX(J$1:J1084,SUMPRODUCT(MAX(ROW(E$1:E1084)*(E1085=E$1:E1084)))))</f>
        <v/>
      </c>
      <c r="L1085" s="31"/>
    </row>
    <row r="1086" customFormat="false" ht="15" hidden="false" customHeight="false" outlineLevel="0" collapsed="false">
      <c r="A1086" s="20" t="s">
        <v>1573</v>
      </c>
    </row>
    <row r="1087" customFormat="false" ht="15" hidden="false" customHeight="false" outlineLevel="0" collapsed="false">
      <c r="A1087" s="20" t="s">
        <v>607</v>
      </c>
      <c r="E1087" s="23" t="str">
        <f aca="false">IF(D1087="?OLD","!!!","")</f>
        <v/>
      </c>
      <c r="F1087" s="25" t="str">
        <f aca="false">IF(OR(E1087="",E1087="!!!"),"",IF(NOT(ISNA(VLOOKUP(E1087,E$1:E1086,1,FALSE()))),"OLD",IF(AND(E1087&lt;&gt;"",E1087&lt;&gt;"!!!"),"NEW","")))</f>
        <v/>
      </c>
      <c r="G1087" s="26" t="str">
        <f aca="false">IF(OR(E1087="",E1087="!!!"),"",IF(OR(J1087=0,AND(J1087=1,K1087=1),AND(J1087=1,I1087="SBJ"),AND(J1087=1,I1087=0)),"?IN_FOCUS",IF(J1087&lt;=2,"?ACTIVATED",IF(J1087&lt;&gt;"","?FAMILIAR",IF(F1087="NEW",IF(ISNA(VLOOKUP(E1087,#REF!,1,FALSE())),"?TYPE_IDENTIFIABLE","?REFERENTIAL"),"_")))))</f>
        <v/>
      </c>
      <c r="H1087" s="27" t="str">
        <f aca="false">IF(J1087&lt;&gt;1,"",IF(I1087="SBJ","CB","?"))</f>
        <v/>
      </c>
      <c r="I1087" s="24" t="str">
        <f aca="false">IF(OR(E1087="",E1087="!!!",F1087="NEW"),"",INDEX(B2:B$1086,-1+SUMPRODUCT(MAX(ROW(E2:E$1086)*(E1087=E2:E$1086)))))</f>
        <v/>
      </c>
      <c r="J1087" s="24" t="str">
        <f aca="true">IF(OR(E1087="",E1087="!!!",F1087="NEW"),"",COUNTBLANK(OFFSET(A$1,,,SUMPRODUCT(MAX(ROW(E$2:E1087)*(E1087=E$2:E1087)))))-COUNTBLANK(OFFSET(A$1,,,SUMPRODUCT(MAX(ROW(E$1:E1086)*(E2=E$1:E1086))))))</f>
        <v/>
      </c>
      <c r="K1087" s="24" t="str">
        <f aca="false">IF(OR(E1087="",E1087="!!!",F1087="NEW"),"",INDEX(J$1:J1086,SUMPRODUCT(MAX(ROW(E$1:E1086)*(E1087=E$1:E1086)))))</f>
        <v/>
      </c>
      <c r="L1087" s="31"/>
    </row>
    <row r="1088" customFormat="false" ht="15" hidden="false" customHeight="false" outlineLevel="0" collapsed="false">
      <c r="A1088" s="20" t="s">
        <v>1335</v>
      </c>
      <c r="B1088" s="22" t="s">
        <v>1058</v>
      </c>
      <c r="C1088" s="22" t="s">
        <v>1082</v>
      </c>
      <c r="D1088" s="22" t="s">
        <v>1060</v>
      </c>
      <c r="E1088" s="23" t="str">
        <f aca="false">IF(D1088="?OLD","!!!","")</f>
        <v>!!!</v>
      </c>
      <c r="F1088" s="25" t="str">
        <f aca="false">IF(OR(E1088="",E1088="!!!"),"",IF(NOT(ISNA(VLOOKUP(E1088,E$1:E1087,1,FALSE()))),"OLD",IF(AND(E1088&lt;&gt;"",E1088&lt;&gt;"!!!"),"NEW","")))</f>
        <v/>
      </c>
      <c r="G1088" s="26" t="str">
        <f aca="false">IF(OR(E1088="",E1088="!!!"),"",IF(OR(J1088=0,AND(J1088=1,K1088=1),AND(J1088=1,I1088="SBJ"),AND(J1088=1,I1088=0)),"?IN_FOCUS",IF(J1088&lt;=2,"?ACTIVATED",IF(J1088&lt;&gt;"","?FAMILIAR",IF(F1088="NEW",IF(ISNA(VLOOKUP(E1088,#REF!,1,FALSE())),"?TYPE_IDENTIFIABLE","?REFERENTIAL"),"_")))))</f>
        <v/>
      </c>
      <c r="H1088" s="27" t="str">
        <f aca="false">IF(J1088&lt;&gt;1,"",IF(I1088="SBJ","CB","?"))</f>
        <v/>
      </c>
      <c r="I1088" s="24" t="str">
        <f aca="false">IF(OR(E1088="",E1088="!!!",F1088="NEW"),"",INDEX(B3:B$1086,-1+SUMPRODUCT(MAX(ROW(E3:E$1086)*(E1088=E3:E$1086)))))</f>
        <v/>
      </c>
      <c r="J1088" s="24" t="str">
        <f aca="true">IF(OR(E1088="",E1088="!!!",F1088="NEW"),"",COUNTBLANK(OFFSET(A$1,,,SUMPRODUCT(MAX(ROW(E$2:E1088)*(E1088=E$2:E1088)))))-COUNTBLANK(OFFSET(A$1,,,SUMPRODUCT(MAX(ROW(E$1:E1087)*(E2=E$1:E1087))))))</f>
        <v/>
      </c>
      <c r="K1088" s="24" t="str">
        <f aca="false">IF(OR(E1088="",E1088="!!!",F1088="NEW"),"",INDEX(J$1:J1087,SUMPRODUCT(MAX(ROW(E$1:E1087)*(E1088=E$1:E1087)))))</f>
        <v/>
      </c>
      <c r="L1088" s="31"/>
    </row>
    <row r="1089" customFormat="false" ht="15" hidden="false" customHeight="false" outlineLevel="0" collapsed="false">
      <c r="A1089" s="20" t="s">
        <v>123</v>
      </c>
      <c r="E1089" s="23" t="str">
        <f aca="false">IF(D1089="?OLD","!!!","")</f>
        <v/>
      </c>
      <c r="F1089" s="25" t="str">
        <f aca="false">IF(OR(E1089="",E1089="!!!"),"",IF(NOT(ISNA(VLOOKUP(E1089,E$1:E1088,1,FALSE()))),"OLD",IF(AND(E1089&lt;&gt;"",E1089&lt;&gt;"!!!"),"NEW","")))</f>
        <v/>
      </c>
      <c r="G1089" s="26" t="str">
        <f aca="false">IF(OR(E1089="",E1089="!!!"),"",IF(OR(J1089=0,AND(J1089=1,K1089=1),AND(J1089=1,I1089="SBJ"),AND(J1089=1,I1089=0)),"?IN_FOCUS",IF(J1089&lt;=2,"?ACTIVATED",IF(J1089&lt;&gt;"","?FAMILIAR",IF(F1089="NEW",IF(ISNA(VLOOKUP(E1089,#REF!,1,FALSE())),"?TYPE_IDENTIFIABLE","?REFERENTIAL"),"_")))))</f>
        <v/>
      </c>
      <c r="H1089" s="27" t="str">
        <f aca="false">IF(J1089&lt;&gt;1,"",IF(I1089="SBJ","CB","?"))</f>
        <v/>
      </c>
      <c r="I1089" s="24" t="str">
        <f aca="false">IF(OR(E1089="",E1089="!!!",F1089="NEW"),"",INDEX(B4:B$1086,-1+SUMPRODUCT(MAX(ROW(E4:E$1086)*(E1089=E4:E$1086)))))</f>
        <v/>
      </c>
      <c r="J1089" s="24" t="str">
        <f aca="true">IF(OR(E1089="",E1089="!!!",F1089="NEW"),"",COUNTBLANK(OFFSET(A$1,,,SUMPRODUCT(MAX(ROW(E$2:E1089)*(E1089=E$2:E1089)))))-COUNTBLANK(OFFSET(A$1,,,SUMPRODUCT(MAX(ROW(E$1:E1088)*(E2=E$1:E1088))))))</f>
        <v/>
      </c>
      <c r="K1089" s="24" t="str">
        <f aca="false">IF(OR(E1089="",E1089="!!!",F1089="NEW"),"",INDEX(J$1:J1088,SUMPRODUCT(MAX(ROW(E$1:E1088)*(E1089=E$1:E1088)))))</f>
        <v/>
      </c>
      <c r="L1089" s="31"/>
    </row>
    <row r="1090" customFormat="false" ht="15" hidden="false" customHeight="false" outlineLevel="0" collapsed="false">
      <c r="A1090" s="20" t="s">
        <v>1076</v>
      </c>
      <c r="E1090" s="23" t="str">
        <f aca="false">IF(D1090="?OLD","!!!","")</f>
        <v/>
      </c>
      <c r="F1090" s="25" t="str">
        <f aca="false">IF(OR(E1090="",E1090="!!!"),"",IF(NOT(ISNA(VLOOKUP(E1090,E$1:E1089,1,FALSE()))),"OLD",IF(AND(E1090&lt;&gt;"",E1090&lt;&gt;"!!!"),"NEW","")))</f>
        <v/>
      </c>
      <c r="G1090" s="26" t="str">
        <f aca="false">IF(OR(E1090="",E1090="!!!"),"",IF(OR(J1090=0,AND(J1090=1,K1090=1),AND(J1090=1,I1090="SBJ"),AND(J1090=1,I1090=0)),"?IN_FOCUS",IF(J1090&lt;=2,"?ACTIVATED",IF(J1090&lt;&gt;"","?FAMILIAR",IF(F1090="NEW",IF(ISNA(VLOOKUP(E1090,#REF!,1,FALSE())),"?TYPE_IDENTIFIABLE","?REFERENTIAL"),"_")))))</f>
        <v/>
      </c>
      <c r="H1090" s="27" t="str">
        <f aca="false">IF(J1090&lt;&gt;1,"",IF(I1090="SBJ","CB","?"))</f>
        <v/>
      </c>
      <c r="I1090" s="24" t="str">
        <f aca="false">IF(OR(E1090="",E1090="!!!",F1090="NEW"),"",INDEX(B5:B$1086,-1+SUMPRODUCT(MAX(ROW(E5:E$1086)*(E1090=E5:E$1086)))))</f>
        <v/>
      </c>
      <c r="J1090" s="24" t="str">
        <f aca="true">IF(OR(E1090="",E1090="!!!",F1090="NEW"),"",COUNTBLANK(OFFSET(A$1,,,SUMPRODUCT(MAX(ROW(E$2:E1090)*(E1090=E$2:E1090)))))-COUNTBLANK(OFFSET(A$1,,,SUMPRODUCT(MAX(ROW(E$1:E1089)*(E2=E$1:E1089))))))</f>
        <v/>
      </c>
      <c r="K1090" s="24" t="str">
        <f aca="false">IF(OR(E1090="",E1090="!!!",F1090="NEW"),"",INDEX(J$1:J1089,SUMPRODUCT(MAX(ROW(E$1:E1089)*(E1090=E$1:E1089)))))</f>
        <v/>
      </c>
      <c r="L1090" s="31"/>
    </row>
    <row r="1091" customFormat="false" ht="15" hidden="false" customHeight="false" outlineLevel="0" collapsed="false">
      <c r="A1091" s="20" t="s">
        <v>1163</v>
      </c>
      <c r="B1091" s="22" t="s">
        <v>1105</v>
      </c>
      <c r="C1091" s="22" t="s">
        <v>1068</v>
      </c>
      <c r="D1091" s="22" t="s">
        <v>1060</v>
      </c>
      <c r="E1091" s="23" t="str">
        <f aca="false">IF(D1091="?OLD","!!!","")</f>
        <v>!!!</v>
      </c>
      <c r="F1091" s="25" t="str">
        <f aca="false">IF(OR(E1091="",E1091="!!!"),"",IF(NOT(ISNA(VLOOKUP(E1091,E$1:E1090,1,FALSE()))),"OLD",IF(AND(E1091&lt;&gt;"",E1091&lt;&gt;"!!!"),"NEW","")))</f>
        <v/>
      </c>
      <c r="G1091" s="26" t="str">
        <f aca="false">IF(OR(E1091="",E1091="!!!"),"",IF(OR(J1091=0,AND(J1091=1,K1091=1),AND(J1091=1,I1091="SBJ"),AND(J1091=1,I1091=0)),"?IN_FOCUS",IF(J1091&lt;=2,"?ACTIVATED",IF(J1091&lt;&gt;"","?FAMILIAR",IF(F1091="NEW",IF(ISNA(VLOOKUP(E1091,#REF!,1,FALSE())),"?TYPE_IDENTIFIABLE","?REFERENTIAL"),"_")))))</f>
        <v/>
      </c>
      <c r="H1091" s="27" t="str">
        <f aca="false">IF(J1091&lt;&gt;1,"",IF(I1091="SBJ","CB","?"))</f>
        <v/>
      </c>
      <c r="I1091" s="24" t="str">
        <f aca="false">IF(OR(E1091="",E1091="!!!",F1091="NEW"),"",INDEX(B6:B$1086,-1+SUMPRODUCT(MAX(ROW(E6:E$1086)*(E1091=E6:E$1086)))))</f>
        <v/>
      </c>
      <c r="J1091" s="24" t="str">
        <f aca="true">IF(OR(E1091="",E1091="!!!",F1091="NEW"),"",COUNTBLANK(OFFSET(A$1,,,SUMPRODUCT(MAX(ROW(E$2:E1091)*(E1091=E$2:E1091)))))-COUNTBLANK(OFFSET(A$1,,,SUMPRODUCT(MAX(ROW(E$1:E1090)*(E2=E$1:E1090))))))</f>
        <v/>
      </c>
      <c r="K1091" s="24" t="str">
        <f aca="false">IF(OR(E1091="",E1091="!!!",F1091="NEW"),"",INDEX(J$1:J1090,SUMPRODUCT(MAX(ROW(E$1:E1090)*(E1091=E$1:E1090)))))</f>
        <v/>
      </c>
      <c r="L1091" s="31"/>
    </row>
    <row r="1092" customFormat="false" ht="15" hidden="false" customHeight="false" outlineLevel="0" collapsed="false">
      <c r="A1092" s="20" t="s">
        <v>1076</v>
      </c>
      <c r="E1092" s="23" t="str">
        <f aca="false">IF(D1092="?OLD","!!!","")</f>
        <v/>
      </c>
      <c r="F1092" s="25" t="str">
        <f aca="false">IF(OR(E1092="",E1092="!!!"),"",IF(NOT(ISNA(VLOOKUP(E1092,E$1:E1091,1,FALSE()))),"OLD",IF(AND(E1092&lt;&gt;"",E1092&lt;&gt;"!!!"),"NEW","")))</f>
        <v/>
      </c>
      <c r="G1092" s="26" t="str">
        <f aca="false">IF(OR(E1092="",E1092="!!!"),"",IF(OR(J1092=0,AND(J1092=1,K1092=1),AND(J1092=1,I1092="SBJ"),AND(J1092=1,I1092=0)),"?IN_FOCUS",IF(J1092&lt;=2,"?ACTIVATED",IF(J1092&lt;&gt;"","?FAMILIAR",IF(F1092="NEW",IF(ISNA(VLOOKUP(E1092,#REF!,1,FALSE())),"?TYPE_IDENTIFIABLE","?REFERENTIAL"),"_")))))</f>
        <v/>
      </c>
      <c r="H1092" s="27" t="str">
        <f aca="false">IF(J1092&lt;&gt;1,"",IF(I1092="SBJ","CB","?"))</f>
        <v/>
      </c>
      <c r="I1092" s="24" t="str">
        <f aca="false">IF(OR(E1092="",E1092="!!!",F1092="NEW"),"",INDEX(B7:B$1086,-1+SUMPRODUCT(MAX(ROW(E7:E$1086)*(E1092=E7:E$1086)))))</f>
        <v/>
      </c>
      <c r="J1092" s="24" t="str">
        <f aca="true">IF(OR(E1092="",E1092="!!!",F1092="NEW"),"",COUNTBLANK(OFFSET(A$1,,,SUMPRODUCT(MAX(ROW(E$2:E1092)*(E1092=E$2:E1092)))))-COUNTBLANK(OFFSET(A$1,,,SUMPRODUCT(MAX(ROW(E$1:E1091)*(E2=E$1:E1091))))))</f>
        <v/>
      </c>
      <c r="K1092" s="24" t="str">
        <f aca="false">IF(OR(E1092="",E1092="!!!",F1092="NEW"),"",INDEX(J$1:J1091,SUMPRODUCT(MAX(ROW(E$1:E1091)*(E1092=E$1:E1091)))))</f>
        <v/>
      </c>
      <c r="L1092" s="31"/>
    </row>
    <row r="1093" customFormat="false" ht="15" hidden="false" customHeight="false" outlineLevel="0" collapsed="false">
      <c r="A1093" s="20" t="s">
        <v>1089</v>
      </c>
      <c r="E1093" s="23" t="str">
        <f aca="false">IF(D1093="?OLD","!!!","")</f>
        <v/>
      </c>
      <c r="F1093" s="25" t="str">
        <f aca="false">IF(OR(E1093="",E1093="!!!"),"",IF(NOT(ISNA(VLOOKUP(E1093,E$1:E1092,1,FALSE()))),"OLD",IF(AND(E1093&lt;&gt;"",E1093&lt;&gt;"!!!"),"NEW","")))</f>
        <v/>
      </c>
      <c r="G1093" s="26" t="str">
        <f aca="false">IF(OR(E1093="",E1093="!!!"),"",IF(OR(J1093=0,AND(J1093=1,K1093=1),AND(J1093=1,I1093="SBJ"),AND(J1093=1,I1093=0)),"?IN_FOCUS",IF(J1093&lt;=2,"?ACTIVATED",IF(J1093&lt;&gt;"","?FAMILIAR",IF(F1093="NEW",IF(ISNA(VLOOKUP(E1093,#REF!,1,FALSE())),"?TYPE_IDENTIFIABLE","?REFERENTIAL"),"_")))))</f>
        <v/>
      </c>
      <c r="H1093" s="27" t="str">
        <f aca="false">IF(J1093&lt;&gt;1,"",IF(I1093="SBJ","CB","?"))</f>
        <v/>
      </c>
      <c r="I1093" s="24" t="str">
        <f aca="false">IF(OR(E1093="",E1093="!!!",F1093="NEW"),"",INDEX(B8:B$1086,-1+SUMPRODUCT(MAX(ROW(E8:E$1086)*(E1093=E8:E$1086)))))</f>
        <v/>
      </c>
      <c r="J1093" s="24" t="str">
        <f aca="true">IF(OR(E1093="",E1093="!!!",F1093="NEW"),"",COUNTBLANK(OFFSET(A$1,,,SUMPRODUCT(MAX(ROW(E$2:E1093)*(E1093=E$2:E1093)))))-COUNTBLANK(OFFSET(A$1,,,SUMPRODUCT(MAX(ROW(E$1:E1092)*(E2=E$1:E1092))))))</f>
        <v/>
      </c>
      <c r="K1093" s="24" t="str">
        <f aca="false">IF(OR(E1093="",E1093="!!!",F1093="NEW"),"",INDEX(J$1:J1092,SUMPRODUCT(MAX(ROW(E$1:E1092)*(E1093=E$1:E1092)))))</f>
        <v/>
      </c>
      <c r="L1093" s="31"/>
    </row>
    <row r="1094" customFormat="false" ht="15" hidden="false" customHeight="false" outlineLevel="0" collapsed="false">
      <c r="A1094" s="20" t="s">
        <v>1109</v>
      </c>
      <c r="E1094" s="23" t="str">
        <f aca="false">IF(D1094="?OLD","!!!","")</f>
        <v/>
      </c>
      <c r="F1094" s="25" t="str">
        <f aca="false">IF(OR(E1094="",E1094="!!!"),"",IF(NOT(ISNA(VLOOKUP(E1094,E$1:E1093,1,FALSE()))),"OLD",IF(AND(E1094&lt;&gt;"",E1094&lt;&gt;"!!!"),"NEW","")))</f>
        <v/>
      </c>
      <c r="G1094" s="26" t="str">
        <f aca="false">IF(OR(E1094="",E1094="!!!"),"",IF(OR(J1094=0,AND(J1094=1,K1094=1),AND(J1094=1,I1094="SBJ"),AND(J1094=1,I1094=0)),"?IN_FOCUS",IF(J1094&lt;=2,"?ACTIVATED",IF(J1094&lt;&gt;"","?FAMILIAR",IF(F1094="NEW",IF(ISNA(VLOOKUP(E1094,#REF!,1,FALSE())),"?TYPE_IDENTIFIABLE","?REFERENTIAL"),"_")))))</f>
        <v/>
      </c>
      <c r="H1094" s="27" t="str">
        <f aca="false">IF(J1094&lt;&gt;1,"",IF(I1094="SBJ","CB","?"))</f>
        <v/>
      </c>
      <c r="I1094" s="24" t="str">
        <f aca="false">IF(OR(E1094="",E1094="!!!",F1094="NEW"),"",INDEX(B9:B$1086,-1+SUMPRODUCT(MAX(ROW(E9:E$1086)*(E1094=E9:E$1086)))))</f>
        <v/>
      </c>
      <c r="J1094" s="24" t="str">
        <f aca="true">IF(OR(E1094="",E1094="!!!",F1094="NEW"),"",COUNTBLANK(OFFSET(A$1,,,SUMPRODUCT(MAX(ROW(E$2:E1094)*(E1094=E$2:E1094)))))-COUNTBLANK(OFFSET(A$1,,,SUMPRODUCT(MAX(ROW(E$1:E1093)*(E2=E$1:E1093))))))</f>
        <v/>
      </c>
      <c r="K1094" s="24" t="str">
        <f aca="false">IF(OR(E1094="",E1094="!!!",F1094="NEW"),"",INDEX(J$1:J1093,SUMPRODUCT(MAX(ROW(E$1:E1093)*(E1094=E$1:E1093)))))</f>
        <v/>
      </c>
      <c r="L1094" s="31"/>
    </row>
    <row r="1095" customFormat="false" ht="15" hidden="false" customHeight="false" outlineLevel="0" collapsed="false">
      <c r="A1095" s="20" t="s">
        <v>1574</v>
      </c>
      <c r="B1095" s="22" t="s">
        <v>1091</v>
      </c>
      <c r="C1095" s="22" t="s">
        <v>1150</v>
      </c>
      <c r="D1095" s="22" t="s">
        <v>1060</v>
      </c>
      <c r="E1095" s="23" t="str">
        <f aca="false">IF(D1095="?OLD","!!!","")</f>
        <v>!!!</v>
      </c>
      <c r="F1095" s="25" t="str">
        <f aca="false">IF(OR(E1095="",E1095="!!!"),"",IF(NOT(ISNA(VLOOKUP(E1095,E$1:E1094,1,FALSE()))),"OLD",IF(AND(E1095&lt;&gt;"",E1095&lt;&gt;"!!!"),"NEW","")))</f>
        <v/>
      </c>
      <c r="G1095" s="26" t="str">
        <f aca="false">IF(OR(E1095="",E1095="!!!"),"",IF(OR(J1095=0,AND(J1095=1,K1095=1),AND(J1095=1,I1095="SBJ"),AND(J1095=1,I1095=0)),"?IN_FOCUS",IF(J1095&lt;=2,"?ACTIVATED",IF(J1095&lt;&gt;"","?FAMILIAR",IF(F1095="NEW",IF(ISNA(VLOOKUP(E1095,#REF!,1,FALSE())),"?TYPE_IDENTIFIABLE","?REFERENTIAL"),"_")))))</f>
        <v/>
      </c>
      <c r="H1095" s="27" t="str">
        <f aca="false">IF(J1095&lt;&gt;1,"",IF(I1095="SBJ","CB","?"))</f>
        <v/>
      </c>
      <c r="I1095" s="24" t="str">
        <f aca="false">IF(OR(E1095="",E1095="!!!",F1095="NEW"),"",INDEX(B10:B$1086,-1+SUMPRODUCT(MAX(ROW(E10:E$1086)*(E1095=E10:E$1086)))))</f>
        <v/>
      </c>
      <c r="J1095" s="24" t="str">
        <f aca="true">IF(OR(E1095="",E1095="!!!",F1095="NEW"),"",COUNTBLANK(OFFSET(A$1,,,SUMPRODUCT(MAX(ROW(E$2:E1095)*(E1095=E$2:E1095)))))-COUNTBLANK(OFFSET(A$1,,,SUMPRODUCT(MAX(ROW(E$1:E1094)*(E2=E$1:E1094))))))</f>
        <v/>
      </c>
      <c r="K1095" s="24" t="str">
        <f aca="false">IF(OR(E1095="",E1095="!!!",F1095="NEW"),"",INDEX(J$1:J1094,SUMPRODUCT(MAX(ROW(E$1:E1094)*(E1095=E$1:E1094)))))</f>
        <v/>
      </c>
      <c r="L1095" s="31"/>
    </row>
    <row r="1096" customFormat="false" ht="15" hidden="false" customHeight="false" outlineLevel="0" collapsed="false">
      <c r="A1096" s="20" t="s">
        <v>1369</v>
      </c>
      <c r="E1096" s="23" t="str">
        <f aca="false">IF(D1096="?OLD","!!!","")</f>
        <v/>
      </c>
      <c r="F1096" s="25" t="str">
        <f aca="false">IF(OR(E1096="",E1096="!!!"),"",IF(NOT(ISNA(VLOOKUP(E1096,E$1:E1095,1,FALSE()))),"OLD",IF(AND(E1096&lt;&gt;"",E1096&lt;&gt;"!!!"),"NEW","")))</f>
        <v/>
      </c>
      <c r="G1096" s="26" t="str">
        <f aca="false">IF(OR(E1096="",E1096="!!!"),"",IF(OR(J1096=0,AND(J1096=1,K1096=1),AND(J1096=1,I1096="SBJ"),AND(J1096=1,I1096=0)),"?IN_FOCUS",IF(J1096&lt;=2,"?ACTIVATED",IF(J1096&lt;&gt;"","?FAMILIAR",IF(F1096="NEW",IF(ISNA(VLOOKUP(E1096,#REF!,1,FALSE())),"?TYPE_IDENTIFIABLE","?REFERENTIAL"),"_")))))</f>
        <v/>
      </c>
      <c r="H1096" s="27" t="str">
        <f aca="false">IF(J1096&lt;&gt;1,"",IF(I1096="SBJ","CB","?"))</f>
        <v/>
      </c>
      <c r="I1096" s="24" t="str">
        <f aca="false">IF(OR(E1096="",E1096="!!!",F1096="NEW"),"",INDEX(B11:B$1086,-1+SUMPRODUCT(MAX(ROW(E11:E$1086)*(E1096=E11:E$1086)))))</f>
        <v/>
      </c>
      <c r="J1096" s="24" t="str">
        <f aca="true">IF(OR(E1096="",E1096="!!!",F1096="NEW"),"",COUNTBLANK(OFFSET(A$1,,,SUMPRODUCT(MAX(ROW(E$2:E1096)*(E1096=E$2:E1096)))))-COUNTBLANK(OFFSET(A$1,,,SUMPRODUCT(MAX(ROW(E$1:E1095)*(E2=E$1:E1095))))))</f>
        <v/>
      </c>
      <c r="K1096" s="24" t="str">
        <f aca="false">IF(OR(E1096="",E1096="!!!",F1096="NEW"),"",INDEX(J$1:J1095,SUMPRODUCT(MAX(ROW(E$1:E1095)*(E1096=E$1:E1095)))))</f>
        <v/>
      </c>
      <c r="L1096" s="31"/>
    </row>
    <row r="1097" customFormat="false" ht="15" hidden="false" customHeight="false" outlineLevel="0" collapsed="false">
      <c r="A1097" s="20" t="s">
        <v>1279</v>
      </c>
      <c r="E1097" s="23" t="str">
        <f aca="false">IF(D1097="?OLD","!!!","")</f>
        <v/>
      </c>
      <c r="F1097" s="25" t="str">
        <f aca="false">IF(OR(E1097="",E1097="!!!"),"",IF(NOT(ISNA(VLOOKUP(E1097,E$1:E1096,1,FALSE()))),"OLD",IF(AND(E1097&lt;&gt;"",E1097&lt;&gt;"!!!"),"NEW","")))</f>
        <v/>
      </c>
      <c r="G1097" s="26" t="str">
        <f aca="false">IF(OR(E1097="",E1097="!!!"),"",IF(OR(J1097=0,AND(J1097=1,K1097=1),AND(J1097=1,I1097="SBJ"),AND(J1097=1,I1097=0)),"?IN_FOCUS",IF(J1097&lt;=2,"?ACTIVATED",IF(J1097&lt;&gt;"","?FAMILIAR",IF(F1097="NEW",IF(ISNA(VLOOKUP(E1097,#REF!,1,FALSE())),"?TYPE_IDENTIFIABLE","?REFERENTIAL"),"_")))))</f>
        <v/>
      </c>
      <c r="H1097" s="27" t="str">
        <f aca="false">IF(J1097&lt;&gt;1,"",IF(I1097="SBJ","CB","?"))</f>
        <v/>
      </c>
      <c r="I1097" s="24" t="str">
        <f aca="false">IF(OR(E1097="",E1097="!!!",F1097="NEW"),"",INDEX(B12:B$1086,-1+SUMPRODUCT(MAX(ROW(E12:E$1086)*(E1097=E12:E$1086)))))</f>
        <v/>
      </c>
      <c r="J1097" s="24" t="str">
        <f aca="true">IF(OR(E1097="",E1097="!!!",F1097="NEW"),"",COUNTBLANK(OFFSET(A$1,,,SUMPRODUCT(MAX(ROW(E$2:E1097)*(E1097=E$2:E1097)))))-COUNTBLANK(OFFSET(A$1,,,SUMPRODUCT(MAX(ROW(E$1:E1096)*(E2=E$1:E1096))))))</f>
        <v/>
      </c>
      <c r="K1097" s="24" t="str">
        <f aca="false">IF(OR(E1097="",E1097="!!!",F1097="NEW"),"",INDEX(J$1:J1096,SUMPRODUCT(MAX(ROW(E$1:E1096)*(E1097=E$1:E1096)))))</f>
        <v/>
      </c>
      <c r="L1097" s="31"/>
    </row>
    <row r="1098" customFormat="false" ht="15" hidden="false" customHeight="false" outlineLevel="0" collapsed="false">
      <c r="A1098" s="20" t="s">
        <v>1555</v>
      </c>
      <c r="B1098" s="22" t="s">
        <v>1073</v>
      </c>
      <c r="C1098" s="22" t="s">
        <v>1575</v>
      </c>
      <c r="D1098" s="22" t="s">
        <v>1060</v>
      </c>
      <c r="E1098" s="23" t="str">
        <f aca="false">IF(D1098="?OLD","!!!","")</f>
        <v>!!!</v>
      </c>
      <c r="F1098" s="25" t="str">
        <f aca="false">IF(OR(E1098="",E1098="!!!"),"",IF(NOT(ISNA(VLOOKUP(E1098,E$1:E1097,1,FALSE()))),"OLD",IF(AND(E1098&lt;&gt;"",E1098&lt;&gt;"!!!"),"NEW","")))</f>
        <v/>
      </c>
      <c r="G1098" s="26" t="str">
        <f aca="false">IF(OR(E1098="",E1098="!!!"),"",IF(OR(J1098=0,AND(J1098=1,K1098=1),AND(J1098=1,I1098="SBJ"),AND(J1098=1,I1098=0)),"?IN_FOCUS",IF(J1098&lt;=2,"?ACTIVATED",IF(J1098&lt;&gt;"","?FAMILIAR",IF(F1098="NEW",IF(ISNA(VLOOKUP(E1098,#REF!,1,FALSE())),"?TYPE_IDENTIFIABLE","?REFERENTIAL"),"_")))))</f>
        <v/>
      </c>
      <c r="H1098" s="27" t="str">
        <f aca="false">IF(J1098&lt;&gt;1,"",IF(I1098="SBJ","CB","?"))</f>
        <v/>
      </c>
      <c r="I1098" s="24" t="str">
        <f aca="false">IF(OR(E1098="",E1098="!!!",F1098="NEW"),"",INDEX(B13:B$1086,-1+SUMPRODUCT(MAX(ROW(E13:E$1086)*(E1098=E13:E$1086)))))</f>
        <v/>
      </c>
      <c r="J1098" s="24" t="str">
        <f aca="true">IF(OR(E1098="",E1098="!!!",F1098="NEW"),"",COUNTBLANK(OFFSET(A$1,,,SUMPRODUCT(MAX(ROW(E$2:E1098)*(E1098=E$2:E1098)))))-COUNTBLANK(OFFSET(A$1,,,SUMPRODUCT(MAX(ROW(E$1:E1097)*(E2=E$1:E1097))))))</f>
        <v/>
      </c>
      <c r="K1098" s="24" t="str">
        <f aca="false">IF(OR(E1098="",E1098="!!!",F1098="NEW"),"",INDEX(J$1:J1097,SUMPRODUCT(MAX(ROW(E$1:E1097)*(E1098=E$1:E1097)))))</f>
        <v/>
      </c>
      <c r="L1098" s="31"/>
    </row>
    <row r="1099" customFormat="false" ht="15" hidden="false" customHeight="false" outlineLevel="0" collapsed="false">
      <c r="A1099" s="20" t="s">
        <v>1307</v>
      </c>
      <c r="E1099" s="23" t="str">
        <f aca="false">IF(D1099="?OLD","!!!","")</f>
        <v/>
      </c>
      <c r="F1099" s="25" t="str">
        <f aca="false">IF(OR(E1099="",E1099="!!!"),"",IF(NOT(ISNA(VLOOKUP(E1099,E$1:E1098,1,FALSE()))),"OLD",IF(AND(E1099&lt;&gt;"",E1099&lt;&gt;"!!!"),"NEW","")))</f>
        <v/>
      </c>
      <c r="G1099" s="26" t="str">
        <f aca="false">IF(OR(E1099="",E1099="!!!"),"",IF(OR(J1099=0,AND(J1099=1,K1099=1),AND(J1099=1,I1099="SBJ"),AND(J1099=1,I1099=0)),"?IN_FOCUS",IF(J1099&lt;=2,"?ACTIVATED",IF(J1099&lt;&gt;"","?FAMILIAR",IF(F1099="NEW",IF(ISNA(VLOOKUP(E1099,#REF!,1,FALSE())),"?TYPE_IDENTIFIABLE","?REFERENTIAL"),"_")))))</f>
        <v/>
      </c>
      <c r="H1099" s="27" t="str">
        <f aca="false">IF(J1099&lt;&gt;1,"",IF(I1099="SBJ","CB","?"))</f>
        <v/>
      </c>
      <c r="I1099" s="24" t="str">
        <f aca="false">IF(OR(E1099="",E1099="!!!",F1099="NEW"),"",INDEX(B14:B$1086,-1+SUMPRODUCT(MAX(ROW(E14:E$1086)*(E1099=E14:E$1086)))))</f>
        <v/>
      </c>
      <c r="J1099" s="24" t="str">
        <f aca="true">IF(OR(E1099="",E1099="!!!",F1099="NEW"),"",COUNTBLANK(OFFSET(A$1,,,SUMPRODUCT(MAX(ROW(E$2:E1099)*(E1099=E$2:E1099)))))-COUNTBLANK(OFFSET(A$1,,,SUMPRODUCT(MAX(ROW(E$1:E1098)*(E2=E$1:E1098))))))</f>
        <v/>
      </c>
      <c r="K1099" s="24" t="str">
        <f aca="false">IF(OR(E1099="",E1099="!!!",F1099="NEW"),"",INDEX(J$1:J1098,SUMPRODUCT(MAX(ROW(E$1:E1098)*(E1099=E$1:E1098)))))</f>
        <v/>
      </c>
      <c r="L1099" s="31"/>
    </row>
    <row r="1100" customFormat="false" ht="15" hidden="false" customHeight="false" outlineLevel="0" collapsed="false">
      <c r="A1100" s="20" t="s">
        <v>607</v>
      </c>
      <c r="E1100" s="23" t="str">
        <f aca="false">IF(D1100="?OLD","!!!","")</f>
        <v/>
      </c>
      <c r="F1100" s="25" t="str">
        <f aca="false">IF(OR(E1100="",E1100="!!!"),"",IF(NOT(ISNA(VLOOKUP(E1100,E$1:E1099,1,FALSE()))),"OLD",IF(AND(E1100&lt;&gt;"",E1100&lt;&gt;"!!!"),"NEW","")))</f>
        <v/>
      </c>
      <c r="G1100" s="26" t="str">
        <f aca="false">IF(OR(E1100="",E1100="!!!"),"",IF(OR(J1100=0,AND(J1100=1,K1100=1),AND(J1100=1,I1100="SBJ"),AND(J1100=1,I1100=0)),"?IN_FOCUS",IF(J1100&lt;=2,"?ACTIVATED",IF(J1100&lt;&gt;"","?FAMILIAR",IF(F1100="NEW",IF(ISNA(VLOOKUP(E1100,#REF!,1,FALSE())),"?TYPE_IDENTIFIABLE","?REFERENTIAL"),"_")))))</f>
        <v/>
      </c>
      <c r="H1100" s="27" t="str">
        <f aca="false">IF(J1100&lt;&gt;1,"",IF(I1100="SBJ","CB","?"))</f>
        <v/>
      </c>
      <c r="I1100" s="24" t="str">
        <f aca="false">IF(OR(E1100="",E1100="!!!",F1100="NEW"),"",INDEX(B15:B$1086,-1+SUMPRODUCT(MAX(ROW(E15:E$1086)*(E1100=E15:E$1086)))))</f>
        <v/>
      </c>
      <c r="J1100" s="24" t="str">
        <f aca="true">IF(OR(E1100="",E1100="!!!",F1100="NEW"),"",COUNTBLANK(OFFSET(A$1,,,SUMPRODUCT(MAX(ROW(E$2:E1100)*(E1100=E$2:E1100)))))-COUNTBLANK(OFFSET(A$1,,,SUMPRODUCT(MAX(ROW(E$1:E1099)*(E2=E$1:E1099))))))</f>
        <v/>
      </c>
      <c r="K1100" s="24" t="str">
        <f aca="false">IF(OR(E1100="",E1100="!!!",F1100="NEW"),"",INDEX(J$1:J1099,SUMPRODUCT(MAX(ROW(E$1:E1099)*(E1100=E$1:E1099)))))</f>
        <v/>
      </c>
      <c r="L1100" s="31"/>
    </row>
    <row r="1101" customFormat="false" ht="15" hidden="false" customHeight="false" outlineLevel="0" collapsed="false">
      <c r="A1101" s="20"/>
    </row>
    <row r="1102" customFormat="false" ht="15" hidden="false" customHeight="false" outlineLevel="0" collapsed="false">
      <c r="A1102" s="20" t="s">
        <v>1576</v>
      </c>
    </row>
    <row r="1103" customFormat="false" ht="15" hidden="false" customHeight="false" outlineLevel="0" collapsed="false">
      <c r="A1103" s="20" t="s">
        <v>1066</v>
      </c>
      <c r="B1103" s="22" t="s">
        <v>1058</v>
      </c>
      <c r="C1103" s="22" t="s">
        <v>1160</v>
      </c>
      <c r="E1103" s="23" t="str">
        <f aca="false">IF(D1103="?OLD","!!!","")</f>
        <v/>
      </c>
      <c r="F1103" s="25" t="str">
        <f aca="false">IF(OR(E1103="",E1103="!!!"),"",IF(NOT(ISNA(VLOOKUP(E1103,E$1:E1102,1,FALSE()))),"OLD",IF(AND(E1103&lt;&gt;"",E1103&lt;&gt;"!!!"),"NEW","")))</f>
        <v/>
      </c>
      <c r="G1103" s="26" t="str">
        <f aca="false">IF(OR(E1103="",E1103="!!!"),"",IF(OR(J1103=0,AND(J1103=1,K1103=1),AND(J1103=1,I1103="SBJ"),AND(J1103=1,I1103=0)),"?IN_FOCUS",IF(J1103&lt;=2,"?ACTIVATED",IF(J1103&lt;&gt;"","?FAMILIAR",IF(F1103="NEW",IF(ISNA(VLOOKUP(E1103,#REF!,1,FALSE())),"?TYPE_IDENTIFIABLE","?REFERENTIAL"),"_")))))</f>
        <v/>
      </c>
      <c r="H1103" s="27" t="str">
        <f aca="false">IF(J1103&lt;&gt;1,"",IF(I1103="SBJ","CB","?"))</f>
        <v/>
      </c>
      <c r="I1103" s="24" t="str">
        <f aca="false">IF(OR(E1103="",E1103="!!!",F1103="NEW"),"",INDEX(B2:B$1102,-1+SUMPRODUCT(MAX(ROW(E2:E$1102)*(E1103=E2:E$1102)))))</f>
        <v/>
      </c>
      <c r="J1103" s="24" t="str">
        <f aca="true">IF(OR(E1103="",E1103="!!!",F1103="NEW"),"",COUNTBLANK(OFFSET(A$1,,,SUMPRODUCT(MAX(ROW(E$2:E1103)*(E1103=E$2:E1103)))))-COUNTBLANK(OFFSET(A$1,,,SUMPRODUCT(MAX(ROW(E$1:E1102)*(E2=E$1:E1102))))))</f>
        <v/>
      </c>
      <c r="K1103" s="24" t="str">
        <f aca="false">IF(OR(E1103="",E1103="!!!",F1103="NEW"),"",INDEX(J$1:J1102,SUMPRODUCT(MAX(ROW(E$1:E1102)*(E1103=E$1:E1102)))))</f>
        <v/>
      </c>
      <c r="L1103" s="31"/>
    </row>
    <row r="1104" customFormat="false" ht="15" hidden="false" customHeight="false" outlineLevel="0" collapsed="false">
      <c r="A1104" s="20" t="s">
        <v>1577</v>
      </c>
      <c r="E1104" s="23" t="str">
        <f aca="false">IF(D1104="?OLD","!!!","")</f>
        <v/>
      </c>
      <c r="F1104" s="25" t="str">
        <f aca="false">IF(OR(E1104="",E1104="!!!"),"",IF(NOT(ISNA(VLOOKUP(E1104,E$1:E1103,1,FALSE()))),"OLD",IF(AND(E1104&lt;&gt;"",E1104&lt;&gt;"!!!"),"NEW","")))</f>
        <v/>
      </c>
      <c r="G1104" s="26" t="str">
        <f aca="false">IF(OR(E1104="",E1104="!!!"),"",IF(OR(J1104=0,AND(J1104=1,K1104=1),AND(J1104=1,I1104="SBJ"),AND(J1104=1,I1104=0)),"?IN_FOCUS",IF(J1104&lt;=2,"?ACTIVATED",IF(J1104&lt;&gt;"","?FAMILIAR",IF(F1104="NEW",IF(ISNA(VLOOKUP(E1104,#REF!,1,FALSE())),"?TYPE_IDENTIFIABLE","?REFERENTIAL"),"_")))))</f>
        <v/>
      </c>
      <c r="H1104" s="27" t="str">
        <f aca="false">IF(J1104&lt;&gt;1,"",IF(I1104="SBJ","CB","?"))</f>
        <v/>
      </c>
      <c r="I1104" s="24" t="str">
        <f aca="false">IF(OR(E1104="",E1104="!!!",F1104="NEW"),"",INDEX(B3:B$1102,-1+SUMPRODUCT(MAX(ROW(E3:E$1102)*(E1104=E3:E$1102)))))</f>
        <v/>
      </c>
      <c r="J1104" s="24" t="str">
        <f aca="true">IF(OR(E1104="",E1104="!!!",F1104="NEW"),"",COUNTBLANK(OFFSET(A$1,,,SUMPRODUCT(MAX(ROW(E$2:E1104)*(E1104=E$2:E1104)))))-COUNTBLANK(OFFSET(A$1,,,SUMPRODUCT(MAX(ROW(E$1:E1103)*(E2=E$1:E1103))))))</f>
        <v/>
      </c>
      <c r="K1104" s="24" t="str">
        <f aca="false">IF(OR(E1104="",E1104="!!!",F1104="NEW"),"",INDEX(J$1:J1103,SUMPRODUCT(MAX(ROW(E$1:E1103)*(E1104=E$1:E1103)))))</f>
        <v/>
      </c>
      <c r="L1104" s="31"/>
    </row>
    <row r="1105" customFormat="false" ht="15" hidden="false" customHeight="false" outlineLevel="0" collapsed="false">
      <c r="A1105" s="20" t="s">
        <v>1076</v>
      </c>
      <c r="E1105" s="23" t="str">
        <f aca="false">IF(D1105="?OLD","!!!","")</f>
        <v/>
      </c>
      <c r="F1105" s="25" t="str">
        <f aca="false">IF(OR(E1105="",E1105="!!!"),"",IF(NOT(ISNA(VLOOKUP(E1105,E$1:E1104,1,FALSE()))),"OLD",IF(AND(E1105&lt;&gt;"",E1105&lt;&gt;"!!!"),"NEW","")))</f>
        <v/>
      </c>
      <c r="G1105" s="26" t="str">
        <f aca="false">IF(OR(E1105="",E1105="!!!"),"",IF(OR(J1105=0,AND(J1105=1,K1105=1),AND(J1105=1,I1105="SBJ"),AND(J1105=1,I1105=0)),"?IN_FOCUS",IF(J1105&lt;=2,"?ACTIVATED",IF(J1105&lt;&gt;"","?FAMILIAR",IF(F1105="NEW",IF(ISNA(VLOOKUP(E1105,#REF!,1,FALSE())),"?TYPE_IDENTIFIABLE","?REFERENTIAL"),"_")))))</f>
        <v/>
      </c>
      <c r="H1105" s="27" t="str">
        <f aca="false">IF(J1105&lt;&gt;1,"",IF(I1105="SBJ","CB","?"))</f>
        <v/>
      </c>
      <c r="I1105" s="24" t="str">
        <f aca="false">IF(OR(E1105="",E1105="!!!",F1105="NEW"),"",INDEX(B4:B$1102,-1+SUMPRODUCT(MAX(ROW(E4:E$1102)*(E1105=E4:E$1102)))))</f>
        <v/>
      </c>
      <c r="J1105" s="24" t="str">
        <f aca="true">IF(OR(E1105="",E1105="!!!",F1105="NEW"),"",COUNTBLANK(OFFSET(A$1,,,SUMPRODUCT(MAX(ROW(E$2:E1105)*(E1105=E$2:E1105)))))-COUNTBLANK(OFFSET(A$1,,,SUMPRODUCT(MAX(ROW(E$1:E1104)*(E2=E$1:E1104))))))</f>
        <v/>
      </c>
      <c r="K1105" s="24" t="str">
        <f aca="false">IF(OR(E1105="",E1105="!!!",F1105="NEW"),"",INDEX(J$1:J1104,SUMPRODUCT(MAX(ROW(E$1:E1104)*(E1105=E$1:E1104)))))</f>
        <v/>
      </c>
      <c r="L1105" s="31"/>
    </row>
    <row r="1106" customFormat="false" ht="15" hidden="false" customHeight="false" outlineLevel="0" collapsed="false">
      <c r="A1106" s="20" t="s">
        <v>1215</v>
      </c>
      <c r="E1106" s="23" t="str">
        <f aca="false">IF(D1106="?OLD","!!!","")</f>
        <v/>
      </c>
      <c r="F1106" s="25" t="str">
        <f aca="false">IF(OR(E1106="",E1106="!!!"),"",IF(NOT(ISNA(VLOOKUP(E1106,E$1:E1105,1,FALSE()))),"OLD",IF(AND(E1106&lt;&gt;"",E1106&lt;&gt;"!!!"),"NEW","")))</f>
        <v/>
      </c>
      <c r="G1106" s="26" t="str">
        <f aca="false">IF(OR(E1106="",E1106="!!!"),"",IF(OR(J1106=0,AND(J1106=1,K1106=1),AND(J1106=1,I1106="SBJ"),AND(J1106=1,I1106=0)),"?IN_FOCUS",IF(J1106&lt;=2,"?ACTIVATED",IF(J1106&lt;&gt;"","?FAMILIAR",IF(F1106="NEW",IF(ISNA(VLOOKUP(E1106,#REF!,1,FALSE())),"?TYPE_IDENTIFIABLE","?REFERENTIAL"),"_")))))</f>
        <v/>
      </c>
      <c r="H1106" s="27" t="str">
        <f aca="false">IF(J1106&lt;&gt;1,"",IF(I1106="SBJ","CB","?"))</f>
        <v/>
      </c>
      <c r="I1106" s="24" t="str">
        <f aca="false">IF(OR(E1106="",E1106="!!!",F1106="NEW"),"",INDEX(B5:B$1102,-1+SUMPRODUCT(MAX(ROW(E5:E$1102)*(E1106=E5:E$1102)))))</f>
        <v/>
      </c>
      <c r="J1106" s="24" t="str">
        <f aca="true">IF(OR(E1106="",E1106="!!!",F1106="NEW"),"",COUNTBLANK(OFFSET(A$1,,,SUMPRODUCT(MAX(ROW(E$2:E1106)*(E1106=E$2:E1106)))))-COUNTBLANK(OFFSET(A$1,,,SUMPRODUCT(MAX(ROW(E$1:E1105)*(E2=E$1:E1105))))))</f>
        <v/>
      </c>
      <c r="K1106" s="24" t="str">
        <f aca="false">IF(OR(E1106="",E1106="!!!",F1106="NEW"),"",INDEX(J$1:J1105,SUMPRODUCT(MAX(ROW(E$1:E1105)*(E1106=E$1:E1105)))))</f>
        <v/>
      </c>
      <c r="L1106" s="31"/>
    </row>
    <row r="1107" customFormat="false" ht="15" hidden="false" customHeight="false" outlineLevel="0" collapsed="false">
      <c r="A1107" s="20" t="s">
        <v>1162</v>
      </c>
      <c r="B1107" s="22" t="s">
        <v>1086</v>
      </c>
      <c r="C1107" s="22" t="s">
        <v>1082</v>
      </c>
      <c r="D1107" s="22" t="s">
        <v>1060</v>
      </c>
      <c r="E1107" s="23" t="str">
        <f aca="false">IF(D1107="?OLD","!!!","")</f>
        <v>!!!</v>
      </c>
      <c r="F1107" s="25" t="str">
        <f aca="false">IF(OR(E1107="",E1107="!!!"),"",IF(NOT(ISNA(VLOOKUP(E1107,E$1:E1106,1,FALSE()))),"OLD",IF(AND(E1107&lt;&gt;"",E1107&lt;&gt;"!!!"),"NEW","")))</f>
        <v/>
      </c>
      <c r="G1107" s="26" t="str">
        <f aca="false">IF(OR(E1107="",E1107="!!!"),"",IF(OR(J1107=0,AND(J1107=1,K1107=1),AND(J1107=1,I1107="SBJ"),AND(J1107=1,I1107=0)),"?IN_FOCUS",IF(J1107&lt;=2,"?ACTIVATED",IF(J1107&lt;&gt;"","?FAMILIAR",IF(F1107="NEW",IF(ISNA(VLOOKUP(E1107,#REF!,1,FALSE())),"?TYPE_IDENTIFIABLE","?REFERENTIAL"),"_")))))</f>
        <v/>
      </c>
      <c r="H1107" s="27" t="str">
        <f aca="false">IF(J1107&lt;&gt;1,"",IF(I1107="SBJ","CB","?"))</f>
        <v/>
      </c>
      <c r="I1107" s="24" t="str">
        <f aca="false">IF(OR(E1107="",E1107="!!!",F1107="NEW"),"",INDEX(B6:B$1102,-1+SUMPRODUCT(MAX(ROW(E6:E$1102)*(E1107=E6:E$1102)))))</f>
        <v/>
      </c>
      <c r="J1107" s="24" t="str">
        <f aca="true">IF(OR(E1107="",E1107="!!!",F1107="NEW"),"",COUNTBLANK(OFFSET(A$1,,,SUMPRODUCT(MAX(ROW(E$2:E1107)*(E1107=E$2:E1107)))))-COUNTBLANK(OFFSET(A$1,,,SUMPRODUCT(MAX(ROW(E$1:E1106)*(E2=E$1:E1106))))))</f>
        <v/>
      </c>
      <c r="K1107" s="24" t="str">
        <f aca="false">IF(OR(E1107="",E1107="!!!",F1107="NEW"),"",INDEX(J$1:J1106,SUMPRODUCT(MAX(ROW(E$1:E1106)*(E1107=E$1:E1106)))))</f>
        <v/>
      </c>
      <c r="L1107" s="31"/>
    </row>
    <row r="1108" customFormat="false" ht="15" hidden="false" customHeight="false" outlineLevel="0" collapsed="false">
      <c r="A1108" s="20" t="s">
        <v>1164</v>
      </c>
      <c r="E1108" s="23" t="str">
        <f aca="false">IF(D1108="?OLD","!!!","")</f>
        <v/>
      </c>
      <c r="F1108" s="25" t="str">
        <f aca="false">IF(OR(E1108="",E1108="!!!"),"",IF(NOT(ISNA(VLOOKUP(E1108,E$1:E1107,1,FALSE()))),"OLD",IF(AND(E1108&lt;&gt;"",E1108&lt;&gt;"!!!"),"NEW","")))</f>
        <v/>
      </c>
      <c r="G1108" s="26" t="str">
        <f aca="false">IF(OR(E1108="",E1108="!!!"),"",IF(OR(J1108=0,AND(J1108=1,K1108=1),AND(J1108=1,I1108="SBJ"),AND(J1108=1,I1108=0)),"?IN_FOCUS",IF(J1108&lt;=2,"?ACTIVATED",IF(J1108&lt;&gt;"","?FAMILIAR",IF(F1108="NEW",IF(ISNA(VLOOKUP(E1108,#REF!,1,FALSE())),"?TYPE_IDENTIFIABLE","?REFERENTIAL"),"_")))))</f>
        <v/>
      </c>
      <c r="H1108" s="27" t="str">
        <f aca="false">IF(J1108&lt;&gt;1,"",IF(I1108="SBJ","CB","?"))</f>
        <v/>
      </c>
      <c r="I1108" s="24" t="str">
        <f aca="false">IF(OR(E1108="",E1108="!!!",F1108="NEW"),"",INDEX(B7:B$1102,-1+SUMPRODUCT(MAX(ROW(E7:E$1102)*(E1108=E7:E$1102)))))</f>
        <v/>
      </c>
      <c r="J1108" s="24" t="str">
        <f aca="true">IF(OR(E1108="",E1108="!!!",F1108="NEW"),"",COUNTBLANK(OFFSET(A$1,,,SUMPRODUCT(MAX(ROW(E$2:E1108)*(E1108=E$2:E1108)))))-COUNTBLANK(OFFSET(A$1,,,SUMPRODUCT(MAX(ROW(E$1:E1107)*(E2=E$1:E1107))))))</f>
        <v/>
      </c>
      <c r="K1108" s="24" t="str">
        <f aca="false">IF(OR(E1108="",E1108="!!!",F1108="NEW"),"",INDEX(J$1:J1107,SUMPRODUCT(MAX(ROW(E$1:E1107)*(E1108=E$1:E1107)))))</f>
        <v/>
      </c>
      <c r="L1108" s="31"/>
    </row>
    <row r="1109" customFormat="false" ht="15" hidden="false" customHeight="false" outlineLevel="0" collapsed="false">
      <c r="A1109" s="20" t="s">
        <v>1578</v>
      </c>
      <c r="E1109" s="23" t="str">
        <f aca="false">IF(D1109="?OLD","!!!","")</f>
        <v/>
      </c>
      <c r="F1109" s="25" t="str">
        <f aca="false">IF(OR(E1109="",E1109="!!!"),"",IF(NOT(ISNA(VLOOKUP(E1109,E$1:E1108,1,FALSE()))),"OLD",IF(AND(E1109&lt;&gt;"",E1109&lt;&gt;"!!!"),"NEW","")))</f>
        <v/>
      </c>
      <c r="G1109" s="26" t="str">
        <f aca="false">IF(OR(E1109="",E1109="!!!"),"",IF(OR(J1109=0,AND(J1109=1,K1109=1),AND(J1109=1,I1109="SBJ"),AND(J1109=1,I1109=0)),"?IN_FOCUS",IF(J1109&lt;=2,"?ACTIVATED",IF(J1109&lt;&gt;"","?FAMILIAR",IF(F1109="NEW",IF(ISNA(VLOOKUP(E1109,#REF!,1,FALSE())),"?TYPE_IDENTIFIABLE","?REFERENTIAL"),"_")))))</f>
        <v/>
      </c>
      <c r="H1109" s="27" t="str">
        <f aca="false">IF(J1109&lt;&gt;1,"",IF(I1109="SBJ","CB","?"))</f>
        <v/>
      </c>
      <c r="I1109" s="24" t="str">
        <f aca="false">IF(OR(E1109="",E1109="!!!",F1109="NEW"),"",INDEX(B8:B$1102,-1+SUMPRODUCT(MAX(ROW(E8:E$1102)*(E1109=E8:E$1102)))))</f>
        <v/>
      </c>
      <c r="J1109" s="24" t="str">
        <f aca="true">IF(OR(E1109="",E1109="!!!",F1109="NEW"),"",COUNTBLANK(OFFSET(A$1,,,SUMPRODUCT(MAX(ROW(E$2:E1109)*(E1109=E$2:E1109)))))-COUNTBLANK(OFFSET(A$1,,,SUMPRODUCT(MAX(ROW(E$1:E1108)*(E2=E$1:E1108))))))</f>
        <v/>
      </c>
      <c r="K1109" s="24" t="str">
        <f aca="false">IF(OR(E1109="",E1109="!!!",F1109="NEW"),"",INDEX(J$1:J1108,SUMPRODUCT(MAX(ROW(E$1:E1108)*(E1109=E$1:E1108)))))</f>
        <v/>
      </c>
      <c r="L1109" s="31"/>
    </row>
    <row r="1110" customFormat="false" ht="15" hidden="false" customHeight="false" outlineLevel="0" collapsed="false">
      <c r="A1110" s="20" t="s">
        <v>1313</v>
      </c>
      <c r="B1110" s="22" t="s">
        <v>1067</v>
      </c>
      <c r="C1110" s="22" t="s">
        <v>1099</v>
      </c>
      <c r="D1110" s="22" t="s">
        <v>1060</v>
      </c>
      <c r="E1110" s="23" t="str">
        <f aca="false">IF(D1110="?OLD","!!!","")</f>
        <v>!!!</v>
      </c>
      <c r="F1110" s="25" t="str">
        <f aca="false">IF(OR(E1110="",E1110="!!!"),"",IF(NOT(ISNA(VLOOKUP(E1110,E$1:E1109,1,FALSE()))),"OLD",IF(AND(E1110&lt;&gt;"",E1110&lt;&gt;"!!!"),"NEW","")))</f>
        <v/>
      </c>
      <c r="G1110" s="26" t="str">
        <f aca="false">IF(OR(E1110="",E1110="!!!"),"",IF(OR(J1110=0,AND(J1110=1,K1110=1),AND(J1110=1,I1110="SBJ"),AND(J1110=1,I1110=0)),"?IN_FOCUS",IF(J1110&lt;=2,"?ACTIVATED",IF(J1110&lt;&gt;"","?FAMILIAR",IF(F1110="NEW",IF(ISNA(VLOOKUP(E1110,#REF!,1,FALSE())),"?TYPE_IDENTIFIABLE","?REFERENTIAL"),"_")))))</f>
        <v/>
      </c>
      <c r="H1110" s="27" t="str">
        <f aca="false">IF(J1110&lt;&gt;1,"",IF(I1110="SBJ","CB","?"))</f>
        <v/>
      </c>
      <c r="I1110" s="24" t="str">
        <f aca="false">IF(OR(E1110="",E1110="!!!",F1110="NEW"),"",INDEX(B9:B$1102,-1+SUMPRODUCT(MAX(ROW(E9:E$1102)*(E1110=E9:E$1102)))))</f>
        <v/>
      </c>
      <c r="J1110" s="24" t="str">
        <f aca="true">IF(OR(E1110="",E1110="!!!",F1110="NEW"),"",COUNTBLANK(OFFSET(A$1,,,SUMPRODUCT(MAX(ROW(E$2:E1110)*(E1110=E$2:E1110)))))-COUNTBLANK(OFFSET(A$1,,,SUMPRODUCT(MAX(ROW(E$1:E1109)*(E2=E$1:E1109))))))</f>
        <v/>
      </c>
      <c r="K1110" s="24" t="str">
        <f aca="false">IF(OR(E1110="",E1110="!!!",F1110="NEW"),"",INDEX(J$1:J1109,SUMPRODUCT(MAX(ROW(E$1:E1109)*(E1110=E$1:E1109)))))</f>
        <v/>
      </c>
      <c r="L1110" s="31"/>
    </row>
    <row r="1111" customFormat="false" ht="15" hidden="false" customHeight="false" outlineLevel="0" collapsed="false">
      <c r="A1111" s="20" t="s">
        <v>1579</v>
      </c>
      <c r="B1111" s="22" t="s">
        <v>1142</v>
      </c>
      <c r="C1111" s="22" t="s">
        <v>1059</v>
      </c>
      <c r="D1111" s="22" t="s">
        <v>1060</v>
      </c>
      <c r="E1111" s="23" t="str">
        <f aca="false">IF(D1111="?OLD","!!!","")</f>
        <v>!!!</v>
      </c>
      <c r="F1111" s="25" t="str">
        <f aca="false">IF(OR(E1111="",E1111="!!!"),"",IF(NOT(ISNA(VLOOKUP(E1111,E$1:E1110,1,FALSE()))),"OLD",IF(AND(E1111&lt;&gt;"",E1111&lt;&gt;"!!!"),"NEW","")))</f>
        <v/>
      </c>
      <c r="G1111" s="26" t="str">
        <f aca="false">IF(OR(E1111="",E1111="!!!"),"",IF(OR(J1111=0,AND(J1111=1,K1111=1),AND(J1111=1,I1111="SBJ"),AND(J1111=1,I1111=0)),"?IN_FOCUS",IF(J1111&lt;=2,"?ACTIVATED",IF(J1111&lt;&gt;"","?FAMILIAR",IF(F1111="NEW",IF(ISNA(VLOOKUP(E1111,#REF!,1,FALSE())),"?TYPE_IDENTIFIABLE","?REFERENTIAL"),"_")))))</f>
        <v/>
      </c>
      <c r="H1111" s="27" t="str">
        <f aca="false">IF(J1111&lt;&gt;1,"",IF(I1111="SBJ","CB","?"))</f>
        <v/>
      </c>
      <c r="I1111" s="24" t="str">
        <f aca="false">IF(OR(E1111="",E1111="!!!",F1111="NEW"),"",INDEX(B10:B$1102,-1+SUMPRODUCT(MAX(ROW(E10:E$1102)*(E1111=E10:E$1102)))))</f>
        <v/>
      </c>
      <c r="J1111" s="24" t="str">
        <f aca="true">IF(OR(E1111="",E1111="!!!",F1111="NEW"),"",COUNTBLANK(OFFSET(A$1,,,SUMPRODUCT(MAX(ROW(E$2:E1111)*(E1111=E$2:E1111)))))-COUNTBLANK(OFFSET(A$1,,,SUMPRODUCT(MAX(ROW(E$1:E1110)*(E2=E$1:E1110))))))</f>
        <v/>
      </c>
      <c r="K1111" s="24" t="str">
        <f aca="false">IF(OR(E1111="",E1111="!!!",F1111="NEW"),"",INDEX(J$1:J1110,SUMPRODUCT(MAX(ROW(E$1:E1110)*(E1111=E$1:E1110)))))</f>
        <v/>
      </c>
      <c r="L1111" s="31"/>
    </row>
    <row r="1112" customFormat="false" ht="15" hidden="false" customHeight="false" outlineLevel="0" collapsed="false">
      <c r="A1112" s="20" t="s">
        <v>923</v>
      </c>
      <c r="E1112" s="23" t="str">
        <f aca="false">IF(D1112="?OLD","!!!","")</f>
        <v/>
      </c>
      <c r="F1112" s="25" t="str">
        <f aca="false">IF(OR(E1112="",E1112="!!!"),"",IF(NOT(ISNA(VLOOKUP(E1112,E$1:E1111,1,FALSE()))),"OLD",IF(AND(E1112&lt;&gt;"",E1112&lt;&gt;"!!!"),"NEW","")))</f>
        <v/>
      </c>
      <c r="G1112" s="26" t="str">
        <f aca="false">IF(OR(E1112="",E1112="!!!"),"",IF(OR(J1112=0,AND(J1112=1,K1112=1),AND(J1112=1,I1112="SBJ"),AND(J1112=1,I1112=0)),"?IN_FOCUS",IF(J1112&lt;=2,"?ACTIVATED",IF(J1112&lt;&gt;"","?FAMILIAR",IF(F1112="NEW",IF(ISNA(VLOOKUP(E1112,#REF!,1,FALSE())),"?TYPE_IDENTIFIABLE","?REFERENTIAL"),"_")))))</f>
        <v/>
      </c>
      <c r="H1112" s="27" t="str">
        <f aca="false">IF(J1112&lt;&gt;1,"",IF(I1112="SBJ","CB","?"))</f>
        <v/>
      </c>
      <c r="I1112" s="24" t="str">
        <f aca="false">IF(OR(E1112="",E1112="!!!",F1112="NEW"),"",INDEX(B11:B$1102,-1+SUMPRODUCT(MAX(ROW(E11:E$1102)*(E1112=E11:E$1102)))))</f>
        <v/>
      </c>
      <c r="J1112" s="24" t="str">
        <f aca="true">IF(OR(E1112="",E1112="!!!",F1112="NEW"),"",COUNTBLANK(OFFSET(A$1,,,SUMPRODUCT(MAX(ROW(E$2:E1112)*(E1112=E$2:E1112)))))-COUNTBLANK(OFFSET(A$1,,,SUMPRODUCT(MAX(ROW(E$1:E1111)*(E2=E$1:E1111))))))</f>
        <v/>
      </c>
      <c r="K1112" s="24" t="str">
        <f aca="false">IF(OR(E1112="",E1112="!!!",F1112="NEW"),"",INDEX(J$1:J1111,SUMPRODUCT(MAX(ROW(E$1:E1111)*(E1112=E$1:E1111)))))</f>
        <v/>
      </c>
      <c r="L1112" s="31"/>
    </row>
    <row r="1113" customFormat="false" ht="15" hidden="false" customHeight="false" outlineLevel="0" collapsed="false">
      <c r="A1113" s="20"/>
    </row>
    <row r="1114" customFormat="false" ht="15" hidden="false" customHeight="false" outlineLevel="0" collapsed="false">
      <c r="A1114" s="20" t="s">
        <v>1301</v>
      </c>
      <c r="E1114" s="23" t="str">
        <f aca="false">IF(D1114="?OLD","!!!","")</f>
        <v/>
      </c>
      <c r="F1114" s="25" t="str">
        <f aca="false">IF(OR(E1114="",E1114="!!!"),"",IF(NOT(ISNA(VLOOKUP(E1114,E$1:E1113,1,FALSE()))),"OLD",IF(AND(E1114&lt;&gt;"",E1114&lt;&gt;"!!!"),"NEW","")))</f>
        <v/>
      </c>
      <c r="G1114" s="26" t="str">
        <f aca="false">IF(OR(E1114="",E1114="!!!"),"",IF(OR(J1114=0,AND(J1114=1,K1114=1),AND(J1114=1,I1114="SBJ"),AND(J1114=1,I1114=0)),"?IN_FOCUS",IF(J1114&lt;=2,"?ACTIVATED",IF(J1114&lt;&gt;"","?FAMILIAR",IF(F1114="NEW",IF(ISNA(VLOOKUP(E1114,#REF!,1,FALSE())),"?TYPE_IDENTIFIABLE","?REFERENTIAL"),"_")))))</f>
        <v/>
      </c>
      <c r="H1114" s="27" t="str">
        <f aca="false">IF(J1114&lt;&gt;1,"",IF(I1114="SBJ","CB","?"))</f>
        <v/>
      </c>
      <c r="I1114" s="24" t="str">
        <f aca="false">IF(OR(E1114="",E1114="!!!",F1114="NEW"),"",INDEX(B2:B$1113,-1+SUMPRODUCT(MAX(ROW(E2:E$1113)*(E1114=E2:E$1113)))))</f>
        <v/>
      </c>
      <c r="J1114" s="24" t="str">
        <f aca="true">IF(OR(E1114="",E1114="!!!",F1114="NEW"),"",COUNTBLANK(OFFSET(A$1,,,SUMPRODUCT(MAX(ROW(E$2:E1114)*(E1114=E$2:E1114)))))-COUNTBLANK(OFFSET(A$1,,,SUMPRODUCT(MAX(ROW(E$1:E1113)*(E2=E$1:E1113))))))</f>
        <v/>
      </c>
      <c r="K1114" s="24" t="str">
        <f aca="false">IF(OR(E1114="",E1114="!!!",F1114="NEW"),"",INDEX(J$1:J1113,SUMPRODUCT(MAX(ROW(E$1:E1113)*(E1114=E$1:E1113)))))</f>
        <v/>
      </c>
      <c r="L1114" s="31"/>
    </row>
    <row r="1115" customFormat="false" ht="15" hidden="false" customHeight="false" outlineLevel="0" collapsed="false">
      <c r="A1115" s="20" t="s">
        <v>1580</v>
      </c>
    </row>
    <row r="1116" customFormat="false" ht="15" hidden="false" customHeight="false" outlineLevel="0" collapsed="false">
      <c r="A1116" s="20" t="s">
        <v>607</v>
      </c>
      <c r="E1116" s="23" t="str">
        <f aca="false">IF(D1116="?OLD","!!!","")</f>
        <v/>
      </c>
      <c r="F1116" s="25" t="str">
        <f aca="false">IF(OR(E1116="",E1116="!!!"),"",IF(NOT(ISNA(VLOOKUP(E1116,E$1:E1115,1,FALSE()))),"OLD",IF(AND(E1116&lt;&gt;"",E1116&lt;&gt;"!!!"),"NEW","")))</f>
        <v/>
      </c>
      <c r="G1116" s="26" t="str">
        <f aca="false">IF(OR(E1116="",E1116="!!!"),"",IF(OR(J1116=0,AND(J1116=1,K1116=1),AND(J1116=1,I1116="SBJ"),AND(J1116=1,I1116=0)),"?IN_FOCUS",IF(J1116&lt;=2,"?ACTIVATED",IF(J1116&lt;&gt;"","?FAMILIAR",IF(F1116="NEW",IF(ISNA(VLOOKUP(E1116,#REF!,1,FALSE())),"?TYPE_IDENTIFIABLE","?REFERENTIAL"),"_")))))</f>
        <v/>
      </c>
      <c r="H1116" s="27" t="str">
        <f aca="false">IF(J1116&lt;&gt;1,"",IF(I1116="SBJ","CB","?"))</f>
        <v/>
      </c>
      <c r="I1116" s="24" t="str">
        <f aca="false">IF(OR(E1116="",E1116="!!!",F1116="NEW"),"",INDEX(B2:B$1115,-1+SUMPRODUCT(MAX(ROW(E2:E$1115)*(E1116=E2:E$1115)))))</f>
        <v/>
      </c>
      <c r="J1116" s="24" t="str">
        <f aca="true">IF(OR(E1116="",E1116="!!!",F1116="NEW"),"",COUNTBLANK(OFFSET(A$1,,,SUMPRODUCT(MAX(ROW(E$2:E1116)*(E1116=E$2:E1116)))))-COUNTBLANK(OFFSET(A$1,,,SUMPRODUCT(MAX(ROW(E$1:E1115)*(E2=E$1:E1115))))))</f>
        <v/>
      </c>
      <c r="K1116" s="24" t="str">
        <f aca="false">IF(OR(E1116="",E1116="!!!",F1116="NEW"),"",INDEX(J$1:J1115,SUMPRODUCT(MAX(ROW(E$1:E1115)*(E1116=E$1:E1115)))))</f>
        <v/>
      </c>
      <c r="L1116" s="31"/>
    </row>
    <row r="1117" customFormat="false" ht="15" hidden="false" customHeight="false" outlineLevel="0" collapsed="false">
      <c r="A1117" s="20" t="s">
        <v>1581</v>
      </c>
      <c r="E1117" s="23" t="str">
        <f aca="false">IF(D1117="?OLD","!!!","")</f>
        <v/>
      </c>
      <c r="F1117" s="25" t="str">
        <f aca="false">IF(OR(E1117="",E1117="!!!"),"",IF(NOT(ISNA(VLOOKUP(E1117,E$1:E1116,1,FALSE()))),"OLD",IF(AND(E1117&lt;&gt;"",E1117&lt;&gt;"!!!"),"NEW","")))</f>
        <v/>
      </c>
      <c r="G1117" s="26" t="str">
        <f aca="false">IF(OR(E1117="",E1117="!!!"),"",IF(OR(J1117=0,AND(J1117=1,K1117=1),AND(J1117=1,I1117="SBJ"),AND(J1117=1,I1117=0)),"?IN_FOCUS",IF(J1117&lt;=2,"?ACTIVATED",IF(J1117&lt;&gt;"","?FAMILIAR",IF(F1117="NEW",IF(ISNA(VLOOKUP(E1117,#REF!,1,FALSE())),"?TYPE_IDENTIFIABLE","?REFERENTIAL"),"_")))))</f>
        <v/>
      </c>
      <c r="H1117" s="27" t="str">
        <f aca="false">IF(J1117&lt;&gt;1,"",IF(I1117="SBJ","CB","?"))</f>
        <v/>
      </c>
      <c r="I1117" s="24" t="str">
        <f aca="false">IF(OR(E1117="",E1117="!!!",F1117="NEW"),"",INDEX(B3:B$1115,-1+SUMPRODUCT(MAX(ROW(E3:E$1115)*(E1117=E3:E$1115)))))</f>
        <v/>
      </c>
      <c r="J1117" s="24" t="str">
        <f aca="true">IF(OR(E1117="",E1117="!!!",F1117="NEW"),"",COUNTBLANK(OFFSET(A$1,,,SUMPRODUCT(MAX(ROW(E$2:E1117)*(E1117=E$2:E1117)))))-COUNTBLANK(OFFSET(A$1,,,SUMPRODUCT(MAX(ROW(E$1:E1116)*(E2=E$1:E1116))))))</f>
        <v/>
      </c>
      <c r="K1117" s="24" t="str">
        <f aca="false">IF(OR(E1117="",E1117="!!!",F1117="NEW"),"",INDEX(J$1:J1116,SUMPRODUCT(MAX(ROW(E$1:E1116)*(E1117=E$1:E1116)))))</f>
        <v/>
      </c>
      <c r="L1117" s="31"/>
    </row>
    <row r="1118" customFormat="false" ht="15" hidden="false" customHeight="false" outlineLevel="0" collapsed="false">
      <c r="A1118" s="20" t="s">
        <v>923</v>
      </c>
      <c r="E1118" s="23" t="str">
        <f aca="false">IF(D1118="?OLD","!!!","")</f>
        <v/>
      </c>
      <c r="F1118" s="25" t="str">
        <f aca="false">IF(OR(E1118="",E1118="!!!"),"",IF(NOT(ISNA(VLOOKUP(E1118,E$1:E1117,1,FALSE()))),"OLD",IF(AND(E1118&lt;&gt;"",E1118&lt;&gt;"!!!"),"NEW","")))</f>
        <v/>
      </c>
      <c r="G1118" s="26" t="str">
        <f aca="false">IF(OR(E1118="",E1118="!!!"),"",IF(OR(J1118=0,AND(J1118=1,K1118=1),AND(J1118=1,I1118="SBJ"),AND(J1118=1,I1118=0)),"?IN_FOCUS",IF(J1118&lt;=2,"?ACTIVATED",IF(J1118&lt;&gt;"","?FAMILIAR",IF(F1118="NEW",IF(ISNA(VLOOKUP(E1118,#REF!,1,FALSE())),"?TYPE_IDENTIFIABLE","?REFERENTIAL"),"_")))))</f>
        <v/>
      </c>
      <c r="H1118" s="27" t="str">
        <f aca="false">IF(J1118&lt;&gt;1,"",IF(I1118="SBJ","CB","?"))</f>
        <v/>
      </c>
      <c r="I1118" s="24" t="str">
        <f aca="false">IF(OR(E1118="",E1118="!!!",F1118="NEW"),"",INDEX(B4:B$1115,-1+SUMPRODUCT(MAX(ROW(E4:E$1115)*(E1118=E4:E$1115)))))</f>
        <v/>
      </c>
      <c r="J1118" s="24" t="str">
        <f aca="true">IF(OR(E1118="",E1118="!!!",F1118="NEW"),"",COUNTBLANK(OFFSET(A$1,,,SUMPRODUCT(MAX(ROW(E$2:E1118)*(E1118=E$2:E1118)))))-COUNTBLANK(OFFSET(A$1,,,SUMPRODUCT(MAX(ROW(E$1:E1117)*(E2=E$1:E1117))))))</f>
        <v/>
      </c>
      <c r="K1118" s="24" t="str">
        <f aca="false">IF(OR(E1118="",E1118="!!!",F1118="NEW"),"",INDEX(J$1:J1117,SUMPRODUCT(MAX(ROW(E$1:E1117)*(E1118=E$1:E1117)))))</f>
        <v/>
      </c>
      <c r="L1118" s="31"/>
    </row>
    <row r="1119" customFormat="false" ht="15" hidden="false" customHeight="false" outlineLevel="0" collapsed="false">
      <c r="A1119" s="20" t="s">
        <v>607</v>
      </c>
      <c r="E1119" s="23" t="str">
        <f aca="false">IF(D1119="?OLD","!!!","")</f>
        <v/>
      </c>
      <c r="F1119" s="25" t="str">
        <f aca="false">IF(OR(E1119="",E1119="!!!"),"",IF(NOT(ISNA(VLOOKUP(E1119,E$1:E1118,1,FALSE()))),"OLD",IF(AND(E1119&lt;&gt;"",E1119&lt;&gt;"!!!"),"NEW","")))</f>
        <v/>
      </c>
      <c r="G1119" s="26" t="str">
        <f aca="false">IF(OR(E1119="",E1119="!!!"),"",IF(OR(J1119=0,AND(J1119=1,K1119=1),AND(J1119=1,I1119="SBJ"),AND(J1119=1,I1119=0)),"?IN_FOCUS",IF(J1119&lt;=2,"?ACTIVATED",IF(J1119&lt;&gt;"","?FAMILIAR",IF(F1119="NEW",IF(ISNA(VLOOKUP(E1119,#REF!,1,FALSE())),"?TYPE_IDENTIFIABLE","?REFERENTIAL"),"_")))))</f>
        <v/>
      </c>
      <c r="H1119" s="27" t="str">
        <f aca="false">IF(J1119&lt;&gt;1,"",IF(I1119="SBJ","CB","?"))</f>
        <v/>
      </c>
      <c r="I1119" s="24" t="str">
        <f aca="false">IF(OR(E1119="",E1119="!!!",F1119="NEW"),"",INDEX(B5:B$1115,-1+SUMPRODUCT(MAX(ROW(E5:E$1115)*(E1119=E5:E$1115)))))</f>
        <v/>
      </c>
      <c r="J1119" s="24" t="str">
        <f aca="true">IF(OR(E1119="",E1119="!!!",F1119="NEW"),"",COUNTBLANK(OFFSET(A$1,,,SUMPRODUCT(MAX(ROW(E$2:E1119)*(E1119=E$2:E1119)))))-COUNTBLANK(OFFSET(A$1,,,SUMPRODUCT(MAX(ROW(E$1:E1118)*(E2=E$1:E1118))))))</f>
        <v/>
      </c>
      <c r="K1119" s="24" t="str">
        <f aca="false">IF(OR(E1119="",E1119="!!!",F1119="NEW"),"",INDEX(J$1:J1118,SUMPRODUCT(MAX(ROW(E$1:E1118)*(E1119=E$1:E1118)))))</f>
        <v/>
      </c>
      <c r="L1119" s="31"/>
    </row>
    <row r="1120" customFormat="false" ht="15" hidden="false" customHeight="false" outlineLevel="0" collapsed="false">
      <c r="A1120" s="20" t="s">
        <v>607</v>
      </c>
      <c r="E1120" s="23" t="str">
        <f aca="false">IF(D1120="?OLD","!!!","")</f>
        <v/>
      </c>
      <c r="F1120" s="25" t="str">
        <f aca="false">IF(OR(E1120="",E1120="!!!"),"",IF(NOT(ISNA(VLOOKUP(E1120,E$1:E1119,1,FALSE()))),"OLD",IF(AND(E1120&lt;&gt;"",E1120&lt;&gt;"!!!"),"NEW","")))</f>
        <v/>
      </c>
      <c r="G1120" s="26" t="str">
        <f aca="false">IF(OR(E1120="",E1120="!!!"),"",IF(OR(J1120=0,AND(J1120=1,K1120=1),AND(J1120=1,I1120="SBJ"),AND(J1120=1,I1120=0)),"?IN_FOCUS",IF(J1120&lt;=2,"?ACTIVATED",IF(J1120&lt;&gt;"","?FAMILIAR",IF(F1120="NEW",IF(ISNA(VLOOKUP(E1120,#REF!,1,FALSE())),"?TYPE_IDENTIFIABLE","?REFERENTIAL"),"_")))))</f>
        <v/>
      </c>
      <c r="H1120" s="27" t="str">
        <f aca="false">IF(J1120&lt;&gt;1,"",IF(I1120="SBJ","CB","?"))</f>
        <v/>
      </c>
      <c r="I1120" s="24" t="str">
        <f aca="false">IF(OR(E1120="",E1120="!!!",F1120="NEW"),"",INDEX(B6:B$1115,-1+SUMPRODUCT(MAX(ROW(E6:E$1115)*(E1120=E6:E$1115)))))</f>
        <v/>
      </c>
      <c r="J1120" s="24" t="str">
        <f aca="true">IF(OR(E1120="",E1120="!!!",F1120="NEW"),"",COUNTBLANK(OFFSET(A$1,,,SUMPRODUCT(MAX(ROW(E$2:E1120)*(E1120=E$2:E1120)))))-COUNTBLANK(OFFSET(A$1,,,SUMPRODUCT(MAX(ROW(E$1:E1119)*(E2=E$1:E1119))))))</f>
        <v/>
      </c>
      <c r="K1120" s="24" t="str">
        <f aca="false">IF(OR(E1120="",E1120="!!!",F1120="NEW"),"",INDEX(J$1:J1119,SUMPRODUCT(MAX(ROW(E$1:E1119)*(E1120=E$1:E1119)))))</f>
        <v/>
      </c>
      <c r="L1120" s="31"/>
    </row>
    <row r="1121" customFormat="false" ht="15" hidden="false" customHeight="false" outlineLevel="0" collapsed="false">
      <c r="A1121" s="20" t="s">
        <v>1582</v>
      </c>
      <c r="E1121" s="23" t="str">
        <f aca="false">IF(D1121="?OLD","!!!","")</f>
        <v/>
      </c>
      <c r="F1121" s="25" t="str">
        <f aca="false">IF(OR(E1121="",E1121="!!!"),"",IF(NOT(ISNA(VLOOKUP(E1121,E$1:E1120,1,FALSE()))),"OLD",IF(AND(E1121&lt;&gt;"",E1121&lt;&gt;"!!!"),"NEW","")))</f>
        <v/>
      </c>
      <c r="G1121" s="26" t="str">
        <f aca="false">IF(OR(E1121="",E1121="!!!"),"",IF(OR(J1121=0,AND(J1121=1,K1121=1),AND(J1121=1,I1121="SBJ"),AND(J1121=1,I1121=0)),"?IN_FOCUS",IF(J1121&lt;=2,"?ACTIVATED",IF(J1121&lt;&gt;"","?FAMILIAR",IF(F1121="NEW",IF(ISNA(VLOOKUP(E1121,#REF!,1,FALSE())),"?TYPE_IDENTIFIABLE","?REFERENTIAL"),"_")))))</f>
        <v/>
      </c>
      <c r="H1121" s="27" t="str">
        <f aca="false">IF(J1121&lt;&gt;1,"",IF(I1121="SBJ","CB","?"))</f>
        <v/>
      </c>
      <c r="I1121" s="24" t="str">
        <f aca="false">IF(OR(E1121="",E1121="!!!",F1121="NEW"),"",INDEX(B7:B$1115,-1+SUMPRODUCT(MAX(ROW(E7:E$1115)*(E1121=E7:E$1115)))))</f>
        <v/>
      </c>
      <c r="J1121" s="24" t="str">
        <f aca="true">IF(OR(E1121="",E1121="!!!",F1121="NEW"),"",COUNTBLANK(OFFSET(A$1,,,SUMPRODUCT(MAX(ROW(E$2:E1121)*(E1121=E$2:E1121)))))-COUNTBLANK(OFFSET(A$1,,,SUMPRODUCT(MAX(ROW(E$1:E1120)*(E2=E$1:E1120))))))</f>
        <v/>
      </c>
      <c r="K1121" s="24" t="str">
        <f aca="false">IF(OR(E1121="",E1121="!!!",F1121="NEW"),"",INDEX(J$1:J1120,SUMPRODUCT(MAX(ROW(E$1:E1120)*(E1121=E$1:E1120)))))</f>
        <v/>
      </c>
      <c r="L1121" s="31"/>
    </row>
    <row r="1122" customFormat="false" ht="15" hidden="false" customHeight="false" outlineLevel="0" collapsed="false">
      <c r="A1122" s="20" t="s">
        <v>1583</v>
      </c>
      <c r="E1122" s="23" t="str">
        <f aca="false">IF(D1122="?OLD","!!!","")</f>
        <v/>
      </c>
      <c r="F1122" s="25" t="str">
        <f aca="false">IF(OR(E1122="",E1122="!!!"),"",IF(NOT(ISNA(VLOOKUP(E1122,E$1:E1121,1,FALSE()))),"OLD",IF(AND(E1122&lt;&gt;"",E1122&lt;&gt;"!!!"),"NEW","")))</f>
        <v/>
      </c>
      <c r="G1122" s="26" t="str">
        <f aca="false">IF(OR(E1122="",E1122="!!!"),"",IF(OR(J1122=0,AND(J1122=1,K1122=1),AND(J1122=1,I1122="SBJ"),AND(J1122=1,I1122=0)),"?IN_FOCUS",IF(J1122&lt;=2,"?ACTIVATED",IF(J1122&lt;&gt;"","?FAMILIAR",IF(F1122="NEW",IF(ISNA(VLOOKUP(E1122,#REF!,1,FALSE())),"?TYPE_IDENTIFIABLE","?REFERENTIAL"),"_")))))</f>
        <v/>
      </c>
      <c r="H1122" s="27" t="str">
        <f aca="false">IF(J1122&lt;&gt;1,"",IF(I1122="SBJ","CB","?"))</f>
        <v/>
      </c>
      <c r="I1122" s="24" t="str">
        <f aca="false">IF(OR(E1122="",E1122="!!!",F1122="NEW"),"",INDEX(B8:B$1115,-1+SUMPRODUCT(MAX(ROW(E8:E$1115)*(E1122=E8:E$1115)))))</f>
        <v/>
      </c>
      <c r="J1122" s="24" t="str">
        <f aca="true">IF(OR(E1122="",E1122="!!!",F1122="NEW"),"",COUNTBLANK(OFFSET(A$1,,,SUMPRODUCT(MAX(ROW(E$2:E1122)*(E1122=E$2:E1122)))))-COUNTBLANK(OFFSET(A$1,,,SUMPRODUCT(MAX(ROW(E$1:E1121)*(E2=E$1:E1121))))))</f>
        <v/>
      </c>
      <c r="K1122" s="24" t="str">
        <f aca="false">IF(OR(E1122="",E1122="!!!",F1122="NEW"),"",INDEX(J$1:J1121,SUMPRODUCT(MAX(ROW(E$1:E1121)*(E1122=E$1:E1121)))))</f>
        <v/>
      </c>
      <c r="L1122" s="31"/>
    </row>
    <row r="1123" customFormat="false" ht="15" hidden="false" customHeight="false" outlineLevel="0" collapsed="false">
      <c r="A1123" s="20" t="s">
        <v>1584</v>
      </c>
      <c r="B1123" s="22" t="s">
        <v>1058</v>
      </c>
      <c r="C1123" s="22" t="s">
        <v>1082</v>
      </c>
      <c r="D1123" s="22" t="s">
        <v>1060</v>
      </c>
      <c r="E1123" s="23" t="str">
        <f aca="false">IF(D1123="?OLD","!!!","")</f>
        <v>!!!</v>
      </c>
      <c r="F1123" s="25" t="str">
        <f aca="false">IF(OR(E1123="",E1123="!!!"),"",IF(NOT(ISNA(VLOOKUP(E1123,E$1:E1122,1,FALSE()))),"OLD",IF(AND(E1123&lt;&gt;"",E1123&lt;&gt;"!!!"),"NEW","")))</f>
        <v/>
      </c>
      <c r="G1123" s="26" t="str">
        <f aca="false">IF(OR(E1123="",E1123="!!!"),"",IF(OR(J1123=0,AND(J1123=1,K1123=1),AND(J1123=1,I1123="SBJ"),AND(J1123=1,I1123=0)),"?IN_FOCUS",IF(J1123&lt;=2,"?ACTIVATED",IF(J1123&lt;&gt;"","?FAMILIAR",IF(F1123="NEW",IF(ISNA(VLOOKUP(E1123,#REF!,1,FALSE())),"?TYPE_IDENTIFIABLE","?REFERENTIAL"),"_")))))</f>
        <v/>
      </c>
      <c r="H1123" s="27" t="str">
        <f aca="false">IF(J1123&lt;&gt;1,"",IF(I1123="SBJ","CB","?"))</f>
        <v/>
      </c>
      <c r="I1123" s="24" t="str">
        <f aca="false">IF(OR(E1123="",E1123="!!!",F1123="NEW"),"",INDEX(B9:B$1115,-1+SUMPRODUCT(MAX(ROW(E9:E$1115)*(E1123=E9:E$1115)))))</f>
        <v/>
      </c>
      <c r="J1123" s="24" t="str">
        <f aca="true">IF(OR(E1123="",E1123="!!!",F1123="NEW"),"",COUNTBLANK(OFFSET(A$1,,,SUMPRODUCT(MAX(ROW(E$2:E1123)*(E1123=E$2:E1123)))))-COUNTBLANK(OFFSET(A$1,,,SUMPRODUCT(MAX(ROW(E$1:E1122)*(E2=E$1:E1122))))))</f>
        <v/>
      </c>
      <c r="K1123" s="24" t="str">
        <f aca="false">IF(OR(E1123="",E1123="!!!",F1123="NEW"),"",INDEX(J$1:J1122,SUMPRODUCT(MAX(ROW(E$1:E1122)*(E1123=E$1:E1122)))))</f>
        <v/>
      </c>
      <c r="L1123" s="31"/>
    </row>
    <row r="1124" customFormat="false" ht="15" hidden="false" customHeight="false" outlineLevel="0" collapsed="false">
      <c r="A1124" s="20" t="s">
        <v>185</v>
      </c>
      <c r="E1124" s="23" t="str">
        <f aca="false">IF(D1124="?OLD","!!!","")</f>
        <v/>
      </c>
      <c r="F1124" s="25" t="str">
        <f aca="false">IF(OR(E1124="",E1124="!!!"),"",IF(NOT(ISNA(VLOOKUP(E1124,E$1:E1123,1,FALSE()))),"OLD",IF(AND(E1124&lt;&gt;"",E1124&lt;&gt;"!!!"),"NEW","")))</f>
        <v/>
      </c>
      <c r="G1124" s="26" t="str">
        <f aca="false">IF(OR(E1124="",E1124="!!!"),"",IF(OR(J1124=0,AND(J1124=1,K1124=1),AND(J1124=1,I1124="SBJ"),AND(J1124=1,I1124=0)),"?IN_FOCUS",IF(J1124&lt;=2,"?ACTIVATED",IF(J1124&lt;&gt;"","?FAMILIAR",IF(F1124="NEW",IF(ISNA(VLOOKUP(E1124,#REF!,1,FALSE())),"?TYPE_IDENTIFIABLE","?REFERENTIAL"),"_")))))</f>
        <v/>
      </c>
      <c r="H1124" s="27" t="str">
        <f aca="false">IF(J1124&lt;&gt;1,"",IF(I1124="SBJ","CB","?"))</f>
        <v/>
      </c>
      <c r="I1124" s="24" t="str">
        <f aca="false">IF(OR(E1124="",E1124="!!!",F1124="NEW"),"",INDEX(B10:B$1115,-1+SUMPRODUCT(MAX(ROW(E10:E$1115)*(E1124=E10:E$1115)))))</f>
        <v/>
      </c>
      <c r="J1124" s="24" t="str">
        <f aca="true">IF(OR(E1124="",E1124="!!!",F1124="NEW"),"",COUNTBLANK(OFFSET(A$1,,,SUMPRODUCT(MAX(ROW(E$2:E1124)*(E1124=E$2:E1124)))))-COUNTBLANK(OFFSET(A$1,,,SUMPRODUCT(MAX(ROW(E$1:E1123)*(E2=E$1:E1123))))))</f>
        <v/>
      </c>
      <c r="K1124" s="24" t="str">
        <f aca="false">IF(OR(E1124="",E1124="!!!",F1124="NEW"),"",INDEX(J$1:J1123,SUMPRODUCT(MAX(ROW(E$1:E1123)*(E1124=E$1:E1123)))))</f>
        <v/>
      </c>
      <c r="L1124" s="31"/>
    </row>
    <row r="1125" customFormat="false" ht="15" hidden="false" customHeight="false" outlineLevel="0" collapsed="false">
      <c r="A1125" s="20" t="s">
        <v>1076</v>
      </c>
      <c r="E1125" s="23" t="str">
        <f aca="false">IF(D1125="?OLD","!!!","")</f>
        <v/>
      </c>
      <c r="F1125" s="25" t="str">
        <f aca="false">IF(OR(E1125="",E1125="!!!"),"",IF(NOT(ISNA(VLOOKUP(E1125,E$1:E1124,1,FALSE()))),"OLD",IF(AND(E1125&lt;&gt;"",E1125&lt;&gt;"!!!"),"NEW","")))</f>
        <v/>
      </c>
      <c r="G1125" s="26" t="str">
        <f aca="false">IF(OR(E1125="",E1125="!!!"),"",IF(OR(J1125=0,AND(J1125=1,K1125=1),AND(J1125=1,I1125="SBJ"),AND(J1125=1,I1125=0)),"?IN_FOCUS",IF(J1125&lt;=2,"?ACTIVATED",IF(J1125&lt;&gt;"","?FAMILIAR",IF(F1125="NEW",IF(ISNA(VLOOKUP(E1125,#REF!,1,FALSE())),"?TYPE_IDENTIFIABLE","?REFERENTIAL"),"_")))))</f>
        <v/>
      </c>
      <c r="H1125" s="27" t="str">
        <f aca="false">IF(J1125&lt;&gt;1,"",IF(I1125="SBJ","CB","?"))</f>
        <v/>
      </c>
      <c r="I1125" s="24" t="str">
        <f aca="false">IF(OR(E1125="",E1125="!!!",F1125="NEW"),"",INDEX(B11:B$1115,-1+SUMPRODUCT(MAX(ROW(E11:E$1115)*(E1125=E11:E$1115)))))</f>
        <v/>
      </c>
      <c r="J1125" s="24" t="str">
        <f aca="true">IF(OR(E1125="",E1125="!!!",F1125="NEW"),"",COUNTBLANK(OFFSET(A$1,,,SUMPRODUCT(MAX(ROW(E$2:E1125)*(E1125=E$2:E1125)))))-COUNTBLANK(OFFSET(A$1,,,SUMPRODUCT(MAX(ROW(E$1:E1124)*(E2=E$1:E1124))))))</f>
        <v/>
      </c>
      <c r="K1125" s="24" t="str">
        <f aca="false">IF(OR(E1125="",E1125="!!!",F1125="NEW"),"",INDEX(J$1:J1124,SUMPRODUCT(MAX(ROW(E$1:E1124)*(E1125=E$1:E1124)))))</f>
        <v/>
      </c>
      <c r="L1125" s="31"/>
    </row>
    <row r="1126" customFormat="false" ht="15" hidden="false" customHeight="false" outlineLevel="0" collapsed="false">
      <c r="A1126" s="20" t="s">
        <v>1563</v>
      </c>
      <c r="E1126" s="23" t="str">
        <f aca="false">IF(D1126="?OLD","!!!","")</f>
        <v/>
      </c>
      <c r="F1126" s="25" t="str">
        <f aca="false">IF(OR(E1126="",E1126="!!!"),"",IF(NOT(ISNA(VLOOKUP(E1126,E$1:E1125,1,FALSE()))),"OLD",IF(AND(E1126&lt;&gt;"",E1126&lt;&gt;"!!!"),"NEW","")))</f>
        <v/>
      </c>
      <c r="G1126" s="26" t="str">
        <f aca="false">IF(OR(E1126="",E1126="!!!"),"",IF(OR(J1126=0,AND(J1126=1,K1126=1),AND(J1126=1,I1126="SBJ"),AND(J1126=1,I1126=0)),"?IN_FOCUS",IF(J1126&lt;=2,"?ACTIVATED",IF(J1126&lt;&gt;"","?FAMILIAR",IF(F1126="NEW",IF(ISNA(VLOOKUP(E1126,#REF!,1,FALSE())),"?TYPE_IDENTIFIABLE","?REFERENTIAL"),"_")))))</f>
        <v/>
      </c>
      <c r="H1126" s="27" t="str">
        <f aca="false">IF(J1126&lt;&gt;1,"",IF(I1126="SBJ","CB","?"))</f>
        <v/>
      </c>
      <c r="I1126" s="24" t="str">
        <f aca="false">IF(OR(E1126="",E1126="!!!",F1126="NEW"),"",INDEX(B12:B$1115,-1+SUMPRODUCT(MAX(ROW(E12:E$1115)*(E1126=E12:E$1115)))))</f>
        <v/>
      </c>
      <c r="J1126" s="24" t="str">
        <f aca="true">IF(OR(E1126="",E1126="!!!",F1126="NEW"),"",COUNTBLANK(OFFSET(A$1,,,SUMPRODUCT(MAX(ROW(E$2:E1126)*(E1126=E$2:E1126)))))-COUNTBLANK(OFFSET(A$1,,,SUMPRODUCT(MAX(ROW(E$1:E1125)*(E2=E$1:E1125))))))</f>
        <v/>
      </c>
      <c r="K1126" s="24" t="str">
        <f aca="false">IF(OR(E1126="",E1126="!!!",F1126="NEW"),"",INDEX(J$1:J1125,SUMPRODUCT(MAX(ROW(E$1:E1125)*(E1126=E$1:E1125)))))</f>
        <v/>
      </c>
      <c r="L1126" s="31"/>
    </row>
    <row r="1127" customFormat="false" ht="15" hidden="false" customHeight="false" outlineLevel="0" collapsed="false">
      <c r="A1127" s="20" t="s">
        <v>1076</v>
      </c>
      <c r="E1127" s="23" t="str">
        <f aca="false">IF(D1127="?OLD","!!!","")</f>
        <v/>
      </c>
      <c r="F1127" s="25" t="str">
        <f aca="false">IF(OR(E1127="",E1127="!!!"),"",IF(NOT(ISNA(VLOOKUP(E1127,E$1:E1126,1,FALSE()))),"OLD",IF(AND(E1127&lt;&gt;"",E1127&lt;&gt;"!!!"),"NEW","")))</f>
        <v/>
      </c>
      <c r="G1127" s="26" t="str">
        <f aca="false">IF(OR(E1127="",E1127="!!!"),"",IF(OR(J1127=0,AND(J1127=1,K1127=1),AND(J1127=1,I1127="SBJ"),AND(J1127=1,I1127=0)),"?IN_FOCUS",IF(J1127&lt;=2,"?ACTIVATED",IF(J1127&lt;&gt;"","?FAMILIAR",IF(F1127="NEW",IF(ISNA(VLOOKUP(E1127,#REF!,1,FALSE())),"?TYPE_IDENTIFIABLE","?REFERENTIAL"),"_")))))</f>
        <v/>
      </c>
      <c r="H1127" s="27" t="str">
        <f aca="false">IF(J1127&lt;&gt;1,"",IF(I1127="SBJ","CB","?"))</f>
        <v/>
      </c>
      <c r="I1127" s="24" t="str">
        <f aca="false">IF(OR(E1127="",E1127="!!!",F1127="NEW"),"",INDEX(B13:B$1115,-1+SUMPRODUCT(MAX(ROW(E13:E$1115)*(E1127=E13:E$1115)))))</f>
        <v/>
      </c>
      <c r="J1127" s="24" t="str">
        <f aca="true">IF(OR(E1127="",E1127="!!!",F1127="NEW"),"",COUNTBLANK(OFFSET(A$1,,,SUMPRODUCT(MAX(ROW(E$2:E1127)*(E1127=E$2:E1127)))))-COUNTBLANK(OFFSET(A$1,,,SUMPRODUCT(MAX(ROW(E$1:E1126)*(E2=E$1:E1126))))))</f>
        <v/>
      </c>
      <c r="K1127" s="24" t="str">
        <f aca="false">IF(OR(E1127="",E1127="!!!",F1127="NEW"),"",INDEX(J$1:J1126,SUMPRODUCT(MAX(ROW(E$1:E1126)*(E1127=E$1:E1126)))))</f>
        <v/>
      </c>
      <c r="L1127" s="31"/>
    </row>
    <row r="1128" customFormat="false" ht="15" hidden="false" customHeight="false" outlineLevel="0" collapsed="false">
      <c r="A1128" s="20" t="s">
        <v>1585</v>
      </c>
      <c r="E1128" s="23" t="str">
        <f aca="false">IF(D1128="?OLD","!!!","")</f>
        <v/>
      </c>
      <c r="F1128" s="25" t="str">
        <f aca="false">IF(OR(E1128="",E1128="!!!"),"",IF(NOT(ISNA(VLOOKUP(E1128,E$1:E1127,1,FALSE()))),"OLD",IF(AND(E1128&lt;&gt;"",E1128&lt;&gt;"!!!"),"NEW","")))</f>
        <v/>
      </c>
      <c r="G1128" s="26" t="str">
        <f aca="false">IF(OR(E1128="",E1128="!!!"),"",IF(OR(J1128=0,AND(J1128=1,K1128=1),AND(J1128=1,I1128="SBJ"),AND(J1128=1,I1128=0)),"?IN_FOCUS",IF(J1128&lt;=2,"?ACTIVATED",IF(J1128&lt;&gt;"","?FAMILIAR",IF(F1128="NEW",IF(ISNA(VLOOKUP(E1128,#REF!,1,FALSE())),"?TYPE_IDENTIFIABLE","?REFERENTIAL"),"_")))))</f>
        <v/>
      </c>
      <c r="H1128" s="27" t="str">
        <f aca="false">IF(J1128&lt;&gt;1,"",IF(I1128="SBJ","CB","?"))</f>
        <v/>
      </c>
      <c r="I1128" s="24" t="str">
        <f aca="false">IF(OR(E1128="",E1128="!!!",F1128="NEW"),"",INDEX(B14:B$1115,-1+SUMPRODUCT(MAX(ROW(E14:E$1115)*(E1128=E14:E$1115)))))</f>
        <v/>
      </c>
      <c r="J1128" s="24" t="str">
        <f aca="true">IF(OR(E1128="",E1128="!!!",F1128="NEW"),"",COUNTBLANK(OFFSET(A$1,,,SUMPRODUCT(MAX(ROW(E$2:E1128)*(E1128=E$2:E1128)))))-COUNTBLANK(OFFSET(A$1,,,SUMPRODUCT(MAX(ROW(E$1:E1127)*(E2=E$1:E1127))))))</f>
        <v/>
      </c>
      <c r="K1128" s="24" t="str">
        <f aca="false">IF(OR(E1128="",E1128="!!!",F1128="NEW"),"",INDEX(J$1:J1127,SUMPRODUCT(MAX(ROW(E$1:E1127)*(E1128=E$1:E1127)))))</f>
        <v/>
      </c>
      <c r="L1128" s="31"/>
    </row>
    <row r="1129" customFormat="false" ht="15" hidden="false" customHeight="false" outlineLevel="0" collapsed="false">
      <c r="A1129" s="20" t="s">
        <v>1555</v>
      </c>
      <c r="E1129" s="23" t="str">
        <f aca="false">IF(D1129="?OLD","!!!","")</f>
        <v/>
      </c>
      <c r="F1129" s="25" t="str">
        <f aca="false">IF(OR(E1129="",E1129="!!!"),"",IF(NOT(ISNA(VLOOKUP(E1129,E$1:E1128,1,FALSE()))),"OLD",IF(AND(E1129&lt;&gt;"",E1129&lt;&gt;"!!!"),"NEW","")))</f>
        <v/>
      </c>
      <c r="G1129" s="26" t="str">
        <f aca="false">IF(OR(E1129="",E1129="!!!"),"",IF(OR(J1129=0,AND(J1129=1,K1129=1),AND(J1129=1,I1129="SBJ"),AND(J1129=1,I1129=0)),"?IN_FOCUS",IF(J1129&lt;=2,"?ACTIVATED",IF(J1129&lt;&gt;"","?FAMILIAR",IF(F1129="NEW",IF(ISNA(VLOOKUP(E1129,#REF!,1,FALSE())),"?TYPE_IDENTIFIABLE","?REFERENTIAL"),"_")))))</f>
        <v/>
      </c>
      <c r="H1129" s="27" t="str">
        <f aca="false">IF(J1129&lt;&gt;1,"",IF(I1129="SBJ","CB","?"))</f>
        <v/>
      </c>
      <c r="I1129" s="24" t="str">
        <f aca="false">IF(OR(E1129="",E1129="!!!",F1129="NEW"),"",INDEX(B15:B$1115,-1+SUMPRODUCT(MAX(ROW(E15:E$1115)*(E1129=E15:E$1115)))))</f>
        <v/>
      </c>
      <c r="J1129" s="24" t="str">
        <f aca="true">IF(OR(E1129="",E1129="!!!",F1129="NEW"),"",COUNTBLANK(OFFSET(A$1,,,SUMPRODUCT(MAX(ROW(E$2:E1129)*(E1129=E$2:E1129)))))-COUNTBLANK(OFFSET(A$1,,,SUMPRODUCT(MAX(ROW(E$1:E1128)*(E2=E$1:E1128))))))</f>
        <v/>
      </c>
      <c r="K1129" s="24" t="str">
        <f aca="false">IF(OR(E1129="",E1129="!!!",F1129="NEW"),"",INDEX(J$1:J1128,SUMPRODUCT(MAX(ROW(E$1:E1128)*(E1129=E$1:E1128)))))</f>
        <v/>
      </c>
      <c r="L1129" s="31"/>
    </row>
    <row r="1130" customFormat="false" ht="15" hidden="false" customHeight="false" outlineLevel="0" collapsed="false">
      <c r="A1130" s="20" t="s">
        <v>1369</v>
      </c>
      <c r="E1130" s="23" t="str">
        <f aca="false">IF(D1130="?OLD","!!!","")</f>
        <v/>
      </c>
      <c r="F1130" s="25" t="str">
        <f aca="false">IF(OR(E1130="",E1130="!!!"),"",IF(NOT(ISNA(VLOOKUP(E1130,E$1:E1129,1,FALSE()))),"OLD",IF(AND(E1130&lt;&gt;"",E1130&lt;&gt;"!!!"),"NEW","")))</f>
        <v/>
      </c>
      <c r="G1130" s="26" t="str">
        <f aca="false">IF(OR(E1130="",E1130="!!!"),"",IF(OR(J1130=0,AND(J1130=1,K1130=1),AND(J1130=1,I1130="SBJ"),AND(J1130=1,I1130=0)),"?IN_FOCUS",IF(J1130&lt;=2,"?ACTIVATED",IF(J1130&lt;&gt;"","?FAMILIAR",IF(F1130="NEW",IF(ISNA(VLOOKUP(E1130,#REF!,1,FALSE())),"?TYPE_IDENTIFIABLE","?REFERENTIAL"),"_")))))</f>
        <v/>
      </c>
      <c r="H1130" s="27" t="str">
        <f aca="false">IF(J1130&lt;&gt;1,"",IF(I1130="SBJ","CB","?"))</f>
        <v/>
      </c>
      <c r="I1130" s="24" t="str">
        <f aca="false">IF(OR(E1130="",E1130="!!!",F1130="NEW"),"",INDEX(B16:B$1115,-1+SUMPRODUCT(MAX(ROW(E16:E$1115)*(E1130=E16:E$1115)))))</f>
        <v/>
      </c>
      <c r="J1130" s="24" t="str">
        <f aca="true">IF(OR(E1130="",E1130="!!!",F1130="NEW"),"",COUNTBLANK(OFFSET(A$1,,,SUMPRODUCT(MAX(ROW(E$2:E1130)*(E1130=E$2:E1130)))))-COUNTBLANK(OFFSET(A$1,,,SUMPRODUCT(MAX(ROW(E$1:E1129)*(E2=E$1:E1129))))))</f>
        <v/>
      </c>
      <c r="K1130" s="24" t="str">
        <f aca="false">IF(OR(E1130="",E1130="!!!",F1130="NEW"),"",INDEX(J$1:J1129,SUMPRODUCT(MAX(ROW(E$1:E1129)*(E1130=E$1:E1129)))))</f>
        <v/>
      </c>
      <c r="L1130" s="31"/>
    </row>
    <row r="1131" customFormat="false" ht="15" hidden="false" customHeight="false" outlineLevel="0" collapsed="false">
      <c r="A1131" s="20" t="s">
        <v>1117</v>
      </c>
      <c r="E1131" s="23" t="str">
        <f aca="false">IF(D1131="?OLD","!!!","")</f>
        <v/>
      </c>
      <c r="F1131" s="25" t="str">
        <f aca="false">IF(OR(E1131="",E1131="!!!"),"",IF(NOT(ISNA(VLOOKUP(E1131,E$1:E1130,1,FALSE()))),"OLD",IF(AND(E1131&lt;&gt;"",E1131&lt;&gt;"!!!"),"NEW","")))</f>
        <v/>
      </c>
      <c r="G1131" s="26" t="str">
        <f aca="false">IF(OR(E1131="",E1131="!!!"),"",IF(OR(J1131=0,AND(J1131=1,K1131=1),AND(J1131=1,I1131="SBJ"),AND(J1131=1,I1131=0)),"?IN_FOCUS",IF(J1131&lt;=2,"?ACTIVATED",IF(J1131&lt;&gt;"","?FAMILIAR",IF(F1131="NEW",IF(ISNA(VLOOKUP(E1131,#REF!,1,FALSE())),"?TYPE_IDENTIFIABLE","?REFERENTIAL"),"_")))))</f>
        <v/>
      </c>
      <c r="H1131" s="27" t="str">
        <f aca="false">IF(J1131&lt;&gt;1,"",IF(I1131="SBJ","CB","?"))</f>
        <v/>
      </c>
      <c r="I1131" s="24" t="str">
        <f aca="false">IF(OR(E1131="",E1131="!!!",F1131="NEW"),"",INDEX(B17:B$1115,-1+SUMPRODUCT(MAX(ROW(E17:E$1115)*(E1131=E17:E$1115)))))</f>
        <v/>
      </c>
      <c r="J1131" s="24" t="str">
        <f aca="true">IF(OR(E1131="",E1131="!!!",F1131="NEW"),"",COUNTBLANK(OFFSET(A$1,,,SUMPRODUCT(MAX(ROW(E$2:E1131)*(E1131=E$2:E1131)))))-COUNTBLANK(OFFSET(A$1,,,SUMPRODUCT(MAX(ROW(E$1:E1130)*(E2=E$1:E1130))))))</f>
        <v/>
      </c>
      <c r="K1131" s="24" t="str">
        <f aca="false">IF(OR(E1131="",E1131="!!!",F1131="NEW"),"",INDEX(J$1:J1130,SUMPRODUCT(MAX(ROW(E$1:E1130)*(E1131=E$1:E1130)))))</f>
        <v/>
      </c>
      <c r="L1131" s="31"/>
    </row>
    <row r="1132" customFormat="false" ht="15" hidden="false" customHeight="false" outlineLevel="0" collapsed="false">
      <c r="A1132" s="20" t="s">
        <v>1586</v>
      </c>
      <c r="B1132" s="22" t="s">
        <v>1086</v>
      </c>
      <c r="C1132" s="22" t="s">
        <v>1389</v>
      </c>
      <c r="E1132" s="23" t="str">
        <f aca="false">IF(D1132="?OLD","!!!","")</f>
        <v/>
      </c>
      <c r="F1132" s="25" t="str">
        <f aca="false">IF(OR(E1132="",E1132="!!!"),"",IF(NOT(ISNA(VLOOKUP(E1132,E$1:E1131,1,FALSE()))),"OLD",IF(AND(E1132&lt;&gt;"",E1132&lt;&gt;"!!!"),"NEW","")))</f>
        <v/>
      </c>
      <c r="G1132" s="26" t="str">
        <f aca="false">IF(OR(E1132="",E1132="!!!"),"",IF(OR(J1132=0,AND(J1132=1,K1132=1),AND(J1132=1,I1132="SBJ"),AND(J1132=1,I1132=0)),"?IN_FOCUS",IF(J1132&lt;=2,"?ACTIVATED",IF(J1132&lt;&gt;"","?FAMILIAR",IF(F1132="NEW",IF(ISNA(VLOOKUP(E1132,#REF!,1,FALSE())),"?TYPE_IDENTIFIABLE","?REFERENTIAL"),"_")))))</f>
        <v/>
      </c>
      <c r="H1132" s="27" t="str">
        <f aca="false">IF(J1132&lt;&gt;1,"",IF(I1132="SBJ","CB","?"))</f>
        <v/>
      </c>
      <c r="I1132" s="24" t="str">
        <f aca="false">IF(OR(E1132="",E1132="!!!",F1132="NEW"),"",INDEX(B18:B$1115,-1+SUMPRODUCT(MAX(ROW(E18:E$1115)*(E1132=E18:E$1115)))))</f>
        <v/>
      </c>
      <c r="J1132" s="24" t="str">
        <f aca="true">IF(OR(E1132="",E1132="!!!",F1132="NEW"),"",COUNTBLANK(OFFSET(A$1,,,SUMPRODUCT(MAX(ROW(E$2:E1132)*(E1132=E$2:E1132)))))-COUNTBLANK(OFFSET(A$1,,,SUMPRODUCT(MAX(ROW(E$1:E1131)*(E2=E$1:E1131))))))</f>
        <v/>
      </c>
      <c r="K1132" s="24" t="str">
        <f aca="false">IF(OR(E1132="",E1132="!!!",F1132="NEW"),"",INDEX(J$1:J1131,SUMPRODUCT(MAX(ROW(E$1:E1131)*(E1132=E$1:E1131)))))</f>
        <v/>
      </c>
      <c r="L1132" s="31"/>
    </row>
    <row r="1133" customFormat="false" ht="15" hidden="false" customHeight="false" outlineLevel="0" collapsed="false">
      <c r="A1133" s="20" t="s">
        <v>1173</v>
      </c>
      <c r="E1133" s="23" t="str">
        <f aca="false">IF(D1133="?OLD","!!!","")</f>
        <v/>
      </c>
      <c r="F1133" s="25" t="str">
        <f aca="false">IF(OR(E1133="",E1133="!!!"),"",IF(NOT(ISNA(VLOOKUP(E1133,E$1:E1132,1,FALSE()))),"OLD",IF(AND(E1133&lt;&gt;"",E1133&lt;&gt;"!!!"),"NEW","")))</f>
        <v/>
      </c>
      <c r="G1133" s="26" t="str">
        <f aca="false">IF(OR(E1133="",E1133="!!!"),"",IF(OR(J1133=0,AND(J1133=1,K1133=1),AND(J1133=1,I1133="SBJ"),AND(J1133=1,I1133=0)),"?IN_FOCUS",IF(J1133&lt;=2,"?ACTIVATED",IF(J1133&lt;&gt;"","?FAMILIAR",IF(F1133="NEW",IF(ISNA(VLOOKUP(E1133,#REF!,1,FALSE())),"?TYPE_IDENTIFIABLE","?REFERENTIAL"),"_")))))</f>
        <v/>
      </c>
      <c r="H1133" s="27" t="str">
        <f aca="false">IF(J1133&lt;&gt;1,"",IF(I1133="SBJ","CB","?"))</f>
        <v/>
      </c>
      <c r="I1133" s="24" t="str">
        <f aca="false">IF(OR(E1133="",E1133="!!!",F1133="NEW"),"",INDEX(B19:B$1115,-1+SUMPRODUCT(MAX(ROW(E19:E$1115)*(E1133=E19:E$1115)))))</f>
        <v/>
      </c>
      <c r="J1133" s="24" t="str">
        <f aca="true">IF(OR(E1133="",E1133="!!!",F1133="NEW"),"",COUNTBLANK(OFFSET(A$1,,,SUMPRODUCT(MAX(ROW(E$2:E1133)*(E1133=E$2:E1133)))))-COUNTBLANK(OFFSET(A$1,,,SUMPRODUCT(MAX(ROW(E$1:E1132)*(E2=E$1:E1132))))))</f>
        <v/>
      </c>
      <c r="K1133" s="24" t="str">
        <f aca="false">IF(OR(E1133="",E1133="!!!",F1133="NEW"),"",INDEX(J$1:J1132,SUMPRODUCT(MAX(ROW(E$1:E1132)*(E1133=E$1:E1132)))))</f>
        <v/>
      </c>
      <c r="L1133" s="31"/>
    </row>
    <row r="1134" customFormat="false" ht="15" hidden="false" customHeight="false" outlineLevel="0" collapsed="false">
      <c r="A1134" s="20" t="s">
        <v>1104</v>
      </c>
      <c r="E1134" s="23" t="str">
        <f aca="false">IF(D1134="?OLD","!!!","")</f>
        <v/>
      </c>
      <c r="F1134" s="25" t="str">
        <f aca="false">IF(OR(E1134="",E1134="!!!"),"",IF(NOT(ISNA(VLOOKUP(E1134,E$1:E1133,1,FALSE()))),"OLD",IF(AND(E1134&lt;&gt;"",E1134&lt;&gt;"!!!"),"NEW","")))</f>
        <v/>
      </c>
      <c r="G1134" s="26" t="str">
        <f aca="false">IF(OR(E1134="",E1134="!!!"),"",IF(OR(J1134=0,AND(J1134=1,K1134=1),AND(J1134=1,I1134="SBJ"),AND(J1134=1,I1134=0)),"?IN_FOCUS",IF(J1134&lt;=2,"?ACTIVATED",IF(J1134&lt;&gt;"","?FAMILIAR",IF(F1134="NEW",IF(ISNA(VLOOKUP(E1134,#REF!,1,FALSE())),"?TYPE_IDENTIFIABLE","?REFERENTIAL"),"_")))))</f>
        <v/>
      </c>
      <c r="H1134" s="27" t="str">
        <f aca="false">IF(J1134&lt;&gt;1,"",IF(I1134="SBJ","CB","?"))</f>
        <v/>
      </c>
      <c r="I1134" s="24" t="str">
        <f aca="false">IF(OR(E1134="",E1134="!!!",F1134="NEW"),"",INDEX(B20:B$1115,-1+SUMPRODUCT(MAX(ROW(E20:E$1115)*(E1134=E20:E$1115)))))</f>
        <v/>
      </c>
      <c r="J1134" s="24" t="str">
        <f aca="true">IF(OR(E1134="",E1134="!!!",F1134="NEW"),"",COUNTBLANK(OFFSET(A$1,,,SUMPRODUCT(MAX(ROW(E$2:E1134)*(E1134=E$2:E1134)))))-COUNTBLANK(OFFSET(A$1,,,SUMPRODUCT(MAX(ROW(E$1:E1133)*(E2=E$1:E1133))))))</f>
        <v/>
      </c>
      <c r="K1134" s="24" t="str">
        <f aca="false">IF(OR(E1134="",E1134="!!!",F1134="NEW"),"",INDEX(J$1:J1133,SUMPRODUCT(MAX(ROW(E$1:E1133)*(E1134=E$1:E1133)))))</f>
        <v/>
      </c>
      <c r="L1134" s="31"/>
    </row>
    <row r="1135" customFormat="false" ht="15" hidden="false" customHeight="false" outlineLevel="0" collapsed="false">
      <c r="A1135" s="20" t="s">
        <v>1105</v>
      </c>
      <c r="E1135" s="23" t="str">
        <f aca="false">IF(D1135="?OLD","!!!","")</f>
        <v/>
      </c>
      <c r="F1135" s="25" t="str">
        <f aca="false">IF(OR(E1135="",E1135="!!!"),"",IF(NOT(ISNA(VLOOKUP(E1135,E$1:E1134,1,FALSE()))),"OLD",IF(AND(E1135&lt;&gt;"",E1135&lt;&gt;"!!!"),"NEW","")))</f>
        <v/>
      </c>
      <c r="G1135" s="26" t="str">
        <f aca="false">IF(OR(E1135="",E1135="!!!"),"",IF(OR(J1135=0,AND(J1135=1,K1135=1),AND(J1135=1,I1135="SBJ"),AND(J1135=1,I1135=0)),"?IN_FOCUS",IF(J1135&lt;=2,"?ACTIVATED",IF(J1135&lt;&gt;"","?FAMILIAR",IF(F1135="NEW",IF(ISNA(VLOOKUP(E1135,#REF!,1,FALSE())),"?TYPE_IDENTIFIABLE","?REFERENTIAL"),"_")))))</f>
        <v/>
      </c>
      <c r="H1135" s="27" t="str">
        <f aca="false">IF(J1135&lt;&gt;1,"",IF(I1135="SBJ","CB","?"))</f>
        <v/>
      </c>
      <c r="I1135" s="24" t="str">
        <f aca="false">IF(OR(E1135="",E1135="!!!",F1135="NEW"),"",INDEX(B21:B$1115,-1+SUMPRODUCT(MAX(ROW(E21:E$1115)*(E1135=E21:E$1115)))))</f>
        <v/>
      </c>
      <c r="J1135" s="24" t="str">
        <f aca="true">IF(OR(E1135="",E1135="!!!",F1135="NEW"),"",COUNTBLANK(OFFSET(A$1,,,SUMPRODUCT(MAX(ROW(E$2:E1135)*(E1135=E$2:E1135)))))-COUNTBLANK(OFFSET(A$1,,,SUMPRODUCT(MAX(ROW(E$1:E1134)*(E2=E$1:E1134))))))</f>
        <v/>
      </c>
      <c r="K1135" s="24" t="str">
        <f aca="false">IF(OR(E1135="",E1135="!!!",F1135="NEW"),"",INDEX(J$1:J1134,SUMPRODUCT(MAX(ROW(E$1:E1134)*(E1135=E$1:E1134)))))</f>
        <v/>
      </c>
      <c r="L1135" s="31"/>
    </row>
    <row r="1136" customFormat="false" ht="15" hidden="false" customHeight="false" outlineLevel="0" collapsed="false">
      <c r="A1136" s="20" t="s">
        <v>1436</v>
      </c>
      <c r="B1136" s="22" t="s">
        <v>1067</v>
      </c>
      <c r="C1136" s="22" t="s">
        <v>1087</v>
      </c>
      <c r="E1136" s="23" t="str">
        <f aca="false">IF(D1136="?OLD","!!!","")</f>
        <v/>
      </c>
      <c r="F1136" s="25" t="str">
        <f aca="false">IF(OR(E1136="",E1136="!!!"),"",IF(NOT(ISNA(VLOOKUP(E1136,E$1:E1135,1,FALSE()))),"OLD",IF(AND(E1136&lt;&gt;"",E1136&lt;&gt;"!!!"),"NEW","")))</f>
        <v/>
      </c>
      <c r="G1136" s="26" t="str">
        <f aca="false">IF(OR(E1136="",E1136="!!!"),"",IF(OR(J1136=0,AND(J1136=1,K1136=1),AND(J1136=1,I1136="SBJ"),AND(J1136=1,I1136=0)),"?IN_FOCUS",IF(J1136&lt;=2,"?ACTIVATED",IF(J1136&lt;&gt;"","?FAMILIAR",IF(F1136="NEW",IF(ISNA(VLOOKUP(E1136,#REF!,1,FALSE())),"?TYPE_IDENTIFIABLE","?REFERENTIAL"),"_")))))</f>
        <v/>
      </c>
      <c r="H1136" s="27" t="str">
        <f aca="false">IF(J1136&lt;&gt;1,"",IF(I1136="SBJ","CB","?"))</f>
        <v/>
      </c>
      <c r="I1136" s="24" t="str">
        <f aca="false">IF(OR(E1136="",E1136="!!!",F1136="NEW"),"",INDEX(B22:B$1115,-1+SUMPRODUCT(MAX(ROW(E22:E$1115)*(E1136=E22:E$1115)))))</f>
        <v/>
      </c>
      <c r="J1136" s="24" t="str">
        <f aca="true">IF(OR(E1136="",E1136="!!!",F1136="NEW"),"",COUNTBLANK(OFFSET(A$1,,,SUMPRODUCT(MAX(ROW(E$2:E1136)*(E1136=E$2:E1136)))))-COUNTBLANK(OFFSET(A$1,,,SUMPRODUCT(MAX(ROW(E$1:E1135)*(E2=E$1:E1135))))))</f>
        <v/>
      </c>
      <c r="K1136" s="24" t="str">
        <f aca="false">IF(OR(E1136="",E1136="!!!",F1136="NEW"),"",INDEX(J$1:J1135,SUMPRODUCT(MAX(ROW(E$1:E1135)*(E1136=E$1:E1135)))))</f>
        <v/>
      </c>
      <c r="L1136" s="31"/>
    </row>
    <row r="1137" customFormat="false" ht="15" hidden="false" customHeight="false" outlineLevel="0" collapsed="false">
      <c r="A1137" s="20" t="s">
        <v>1587</v>
      </c>
      <c r="E1137" s="23" t="str">
        <f aca="false">IF(D1137="?OLD","!!!","")</f>
        <v/>
      </c>
      <c r="F1137" s="25" t="str">
        <f aca="false">IF(OR(E1137="",E1137="!!!"),"",IF(NOT(ISNA(VLOOKUP(E1137,E$1:E1136,1,FALSE()))),"OLD",IF(AND(E1137&lt;&gt;"",E1137&lt;&gt;"!!!"),"NEW","")))</f>
        <v/>
      </c>
      <c r="G1137" s="26" t="str">
        <f aca="false">IF(OR(E1137="",E1137="!!!"),"",IF(OR(J1137=0,AND(J1137=1,K1137=1),AND(J1137=1,I1137="SBJ"),AND(J1137=1,I1137=0)),"?IN_FOCUS",IF(J1137&lt;=2,"?ACTIVATED",IF(J1137&lt;&gt;"","?FAMILIAR",IF(F1137="NEW",IF(ISNA(VLOOKUP(E1137,#REF!,1,FALSE())),"?TYPE_IDENTIFIABLE","?REFERENTIAL"),"_")))))</f>
        <v/>
      </c>
      <c r="H1137" s="27" t="str">
        <f aca="false">IF(J1137&lt;&gt;1,"",IF(I1137="SBJ","CB","?"))</f>
        <v/>
      </c>
      <c r="I1137" s="24" t="str">
        <f aca="false">IF(OR(E1137="",E1137="!!!",F1137="NEW"),"",INDEX(B23:B$1115,-1+SUMPRODUCT(MAX(ROW(E23:E$1115)*(E1137=E23:E$1115)))))</f>
        <v/>
      </c>
      <c r="J1137" s="24" t="str">
        <f aca="true">IF(OR(E1137="",E1137="!!!",F1137="NEW"),"",COUNTBLANK(OFFSET(A$1,,,SUMPRODUCT(MAX(ROW(E$2:E1137)*(E1137=E$2:E1137)))))-COUNTBLANK(OFFSET(A$1,,,SUMPRODUCT(MAX(ROW(E$1:E1136)*(E2=E$1:E1136))))))</f>
        <v/>
      </c>
      <c r="K1137" s="24" t="str">
        <f aca="false">IF(OR(E1137="",E1137="!!!",F1137="NEW"),"",INDEX(J$1:J1136,SUMPRODUCT(MAX(ROW(E$1:E1136)*(E1137=E$1:E1136)))))</f>
        <v/>
      </c>
      <c r="L1137" s="31"/>
    </row>
    <row r="1138" customFormat="false" ht="15" hidden="false" customHeight="false" outlineLevel="0" collapsed="false">
      <c r="A1138" s="20" t="s">
        <v>1109</v>
      </c>
      <c r="E1138" s="23" t="str">
        <f aca="false">IF(D1138="?OLD","!!!","")</f>
        <v/>
      </c>
      <c r="F1138" s="25" t="str">
        <f aca="false">IF(OR(E1138="",E1138="!!!"),"",IF(NOT(ISNA(VLOOKUP(E1138,E$1:E1137,1,FALSE()))),"OLD",IF(AND(E1138&lt;&gt;"",E1138&lt;&gt;"!!!"),"NEW","")))</f>
        <v/>
      </c>
      <c r="G1138" s="26" t="str">
        <f aca="false">IF(OR(E1138="",E1138="!!!"),"",IF(OR(J1138=0,AND(J1138=1,K1138=1),AND(J1138=1,I1138="SBJ"),AND(J1138=1,I1138=0)),"?IN_FOCUS",IF(J1138&lt;=2,"?ACTIVATED",IF(J1138&lt;&gt;"","?FAMILIAR",IF(F1138="NEW",IF(ISNA(VLOOKUP(E1138,#REF!,1,FALSE())),"?TYPE_IDENTIFIABLE","?REFERENTIAL"),"_")))))</f>
        <v/>
      </c>
      <c r="H1138" s="27" t="str">
        <f aca="false">IF(J1138&lt;&gt;1,"",IF(I1138="SBJ","CB","?"))</f>
        <v/>
      </c>
      <c r="I1138" s="24" t="str">
        <f aca="false">IF(OR(E1138="",E1138="!!!",F1138="NEW"),"",INDEX(B24:B$1115,-1+SUMPRODUCT(MAX(ROW(E24:E$1115)*(E1138=E24:E$1115)))))</f>
        <v/>
      </c>
      <c r="J1138" s="24" t="str">
        <f aca="true">IF(OR(E1138="",E1138="!!!",F1138="NEW"),"",COUNTBLANK(OFFSET(A$1,,,SUMPRODUCT(MAX(ROW(E$2:E1138)*(E1138=E$2:E1138)))))-COUNTBLANK(OFFSET(A$1,,,SUMPRODUCT(MAX(ROW(E$1:E1137)*(E2=E$1:E1137))))))</f>
        <v/>
      </c>
      <c r="K1138" s="24" t="str">
        <f aca="false">IF(OR(E1138="",E1138="!!!",F1138="NEW"),"",INDEX(J$1:J1137,SUMPRODUCT(MAX(ROW(E$1:E1137)*(E1138=E$1:E1137)))))</f>
        <v/>
      </c>
      <c r="L1138" s="31"/>
    </row>
    <row r="1139" customFormat="false" ht="15" hidden="false" customHeight="false" outlineLevel="0" collapsed="false">
      <c r="A1139" s="20" t="s">
        <v>1425</v>
      </c>
      <c r="B1139" s="22" t="s">
        <v>1107</v>
      </c>
      <c r="C1139" s="22" t="s">
        <v>1150</v>
      </c>
      <c r="D1139" s="22" t="s">
        <v>1060</v>
      </c>
      <c r="E1139" s="23" t="str">
        <f aca="false">IF(D1139="?OLD","!!!","")</f>
        <v>!!!</v>
      </c>
      <c r="F1139" s="25" t="str">
        <f aca="false">IF(OR(E1139="",E1139="!!!"),"",IF(NOT(ISNA(VLOOKUP(E1139,E$1:E1138,1,FALSE()))),"OLD",IF(AND(E1139&lt;&gt;"",E1139&lt;&gt;"!!!"),"NEW","")))</f>
        <v/>
      </c>
      <c r="G1139" s="26" t="str">
        <f aca="false">IF(OR(E1139="",E1139="!!!"),"",IF(OR(J1139=0,AND(J1139=1,K1139=1),AND(J1139=1,I1139="SBJ"),AND(J1139=1,I1139=0)),"?IN_FOCUS",IF(J1139&lt;=2,"?ACTIVATED",IF(J1139&lt;&gt;"","?FAMILIAR",IF(F1139="NEW",IF(ISNA(VLOOKUP(E1139,#REF!,1,FALSE())),"?TYPE_IDENTIFIABLE","?REFERENTIAL"),"_")))))</f>
        <v/>
      </c>
      <c r="H1139" s="27" t="str">
        <f aca="false">IF(J1139&lt;&gt;1,"",IF(I1139="SBJ","CB","?"))</f>
        <v/>
      </c>
      <c r="I1139" s="24" t="str">
        <f aca="false">IF(OR(E1139="",E1139="!!!",F1139="NEW"),"",INDEX(B25:B$1115,-1+SUMPRODUCT(MAX(ROW(E25:E$1115)*(E1139=E25:E$1115)))))</f>
        <v/>
      </c>
      <c r="J1139" s="24" t="str">
        <f aca="true">IF(OR(E1139="",E1139="!!!",F1139="NEW"),"",COUNTBLANK(OFFSET(A$1,,,SUMPRODUCT(MAX(ROW(E$2:E1139)*(E1139=E$2:E1139)))))-COUNTBLANK(OFFSET(A$1,,,SUMPRODUCT(MAX(ROW(E$1:E1138)*(E2=E$1:E1138))))))</f>
        <v/>
      </c>
      <c r="K1139" s="24" t="str">
        <f aca="false">IF(OR(E1139="",E1139="!!!",F1139="NEW"),"",INDEX(J$1:J1138,SUMPRODUCT(MAX(ROW(E$1:E1138)*(E1139=E$1:E1138)))))</f>
        <v/>
      </c>
      <c r="L1139" s="31"/>
    </row>
    <row r="1140" customFormat="false" ht="15" hidden="false" customHeight="false" outlineLevel="0" collapsed="false">
      <c r="A1140" s="20" t="s">
        <v>1307</v>
      </c>
      <c r="E1140" s="23" t="str">
        <f aca="false">IF(D1140="?OLD","!!!","")</f>
        <v/>
      </c>
      <c r="F1140" s="25" t="str">
        <f aca="false">IF(OR(E1140="",E1140="!!!"),"",IF(NOT(ISNA(VLOOKUP(E1140,E$1:E1139,1,FALSE()))),"OLD",IF(AND(E1140&lt;&gt;"",E1140&lt;&gt;"!!!"),"NEW","")))</f>
        <v/>
      </c>
      <c r="G1140" s="26" t="str">
        <f aca="false">IF(OR(E1140="",E1140="!!!"),"",IF(OR(J1140=0,AND(J1140=1,K1140=1),AND(J1140=1,I1140="SBJ"),AND(J1140=1,I1140=0)),"?IN_FOCUS",IF(J1140&lt;=2,"?ACTIVATED",IF(J1140&lt;&gt;"","?FAMILIAR",IF(F1140="NEW",IF(ISNA(VLOOKUP(E1140,#REF!,1,FALSE())),"?TYPE_IDENTIFIABLE","?REFERENTIAL"),"_")))))</f>
        <v/>
      </c>
      <c r="H1140" s="27" t="str">
        <f aca="false">IF(J1140&lt;&gt;1,"",IF(I1140="SBJ","CB","?"))</f>
        <v/>
      </c>
      <c r="I1140" s="24" t="str">
        <f aca="false">IF(OR(E1140="",E1140="!!!",F1140="NEW"),"",INDEX(B26:B$1115,-1+SUMPRODUCT(MAX(ROW(E26:E$1115)*(E1140=E26:E$1115)))))</f>
        <v/>
      </c>
      <c r="J1140" s="24" t="str">
        <f aca="true">IF(OR(E1140="",E1140="!!!",F1140="NEW"),"",COUNTBLANK(OFFSET(A$1,,,SUMPRODUCT(MAX(ROW(E$2:E1140)*(E1140=E$2:E1140)))))-COUNTBLANK(OFFSET(A$1,,,SUMPRODUCT(MAX(ROW(E$1:E1139)*(E2=E$1:E1139))))))</f>
        <v/>
      </c>
      <c r="K1140" s="24" t="str">
        <f aca="false">IF(OR(E1140="",E1140="!!!",F1140="NEW"),"",INDEX(J$1:J1139,SUMPRODUCT(MAX(ROW(E$1:E1139)*(E1140=E$1:E1139)))))</f>
        <v/>
      </c>
      <c r="L1140" s="31"/>
    </row>
    <row r="1141" customFormat="false" ht="15" hidden="false" customHeight="false" outlineLevel="0" collapsed="false">
      <c r="A1141" s="20" t="s">
        <v>607</v>
      </c>
      <c r="E1141" s="23" t="str">
        <f aca="false">IF(D1141="?OLD","!!!","")</f>
        <v/>
      </c>
      <c r="F1141" s="25" t="str">
        <f aca="false">IF(OR(E1141="",E1141="!!!"),"",IF(NOT(ISNA(VLOOKUP(E1141,E$1:E1140,1,FALSE()))),"OLD",IF(AND(E1141&lt;&gt;"",E1141&lt;&gt;"!!!"),"NEW","")))</f>
        <v/>
      </c>
      <c r="G1141" s="26" t="str">
        <f aca="false">IF(OR(E1141="",E1141="!!!"),"",IF(OR(J1141=0,AND(J1141=1,K1141=1),AND(J1141=1,I1141="SBJ"),AND(J1141=1,I1141=0)),"?IN_FOCUS",IF(J1141&lt;=2,"?ACTIVATED",IF(J1141&lt;&gt;"","?FAMILIAR",IF(F1141="NEW",IF(ISNA(VLOOKUP(E1141,#REF!,1,FALSE())),"?TYPE_IDENTIFIABLE","?REFERENTIAL"),"_")))))</f>
        <v/>
      </c>
      <c r="H1141" s="27" t="str">
        <f aca="false">IF(J1141&lt;&gt;1,"",IF(I1141="SBJ","CB","?"))</f>
        <v/>
      </c>
      <c r="I1141" s="24" t="str">
        <f aca="false">IF(OR(E1141="",E1141="!!!",F1141="NEW"),"",INDEX(B27:B$1115,-1+SUMPRODUCT(MAX(ROW(E27:E$1115)*(E1141=E27:E$1115)))))</f>
        <v/>
      </c>
      <c r="J1141" s="24" t="str">
        <f aca="true">IF(OR(E1141="",E1141="!!!",F1141="NEW"),"",COUNTBLANK(OFFSET(A$1,,,SUMPRODUCT(MAX(ROW(E$2:E1141)*(E1141=E$2:E1141)))))-COUNTBLANK(OFFSET(A$1,,,SUMPRODUCT(MAX(ROW(E$1:E1140)*(E2=E$1:E1140))))))</f>
        <v/>
      </c>
      <c r="K1141" s="24" t="str">
        <f aca="false">IF(OR(E1141="",E1141="!!!",F1141="NEW"),"",INDEX(J$1:J1140,SUMPRODUCT(MAX(ROW(E$1:E1140)*(E1141=E$1:E1140)))))</f>
        <v/>
      </c>
      <c r="L1141" s="31"/>
    </row>
    <row r="1142" customFormat="false" ht="15" hidden="false" customHeight="false" outlineLevel="0" collapsed="false">
      <c r="A1142" s="20"/>
    </row>
    <row r="1143" customFormat="false" ht="15" hidden="false" customHeight="false" outlineLevel="0" collapsed="false">
      <c r="A1143" s="20" t="s">
        <v>1301</v>
      </c>
      <c r="E1143" s="23" t="str">
        <f aca="false">IF(D1143="?OLD","!!!","")</f>
        <v/>
      </c>
      <c r="F1143" s="25" t="str">
        <f aca="false">IF(OR(E1143="",E1143="!!!"),"",IF(NOT(ISNA(VLOOKUP(E1143,E$1:E1142,1,FALSE()))),"OLD",IF(AND(E1143&lt;&gt;"",E1143&lt;&gt;"!!!"),"NEW","")))</f>
        <v/>
      </c>
      <c r="G1143" s="26" t="str">
        <f aca="false">IF(OR(E1143="",E1143="!!!"),"",IF(OR(J1143=0,AND(J1143=1,K1143=1),AND(J1143=1,I1143="SBJ"),AND(J1143=1,I1143=0)),"?IN_FOCUS",IF(J1143&lt;=2,"?ACTIVATED",IF(J1143&lt;&gt;"","?FAMILIAR",IF(F1143="NEW",IF(ISNA(VLOOKUP(E1143,#REF!,1,FALSE())),"?TYPE_IDENTIFIABLE","?REFERENTIAL"),"_")))))</f>
        <v/>
      </c>
      <c r="H1143" s="27" t="str">
        <f aca="false">IF(J1143&lt;&gt;1,"",IF(I1143="SBJ","CB","?"))</f>
        <v/>
      </c>
      <c r="I1143" s="24" t="str">
        <f aca="false">IF(OR(E1143="",E1143="!!!",F1143="NEW"),"",INDEX(B2:B$1142,-1+SUMPRODUCT(MAX(ROW(E2:E$1142)*(E1143=E2:E$1142)))))</f>
        <v/>
      </c>
      <c r="J1143" s="24" t="str">
        <f aca="true">IF(OR(E1143="",E1143="!!!",F1143="NEW"),"",COUNTBLANK(OFFSET(A$1,,,SUMPRODUCT(MAX(ROW(E$2:E1143)*(E1143=E$2:E1143)))))-COUNTBLANK(OFFSET(A$1,,,SUMPRODUCT(MAX(ROW(E$1:E1142)*(E2=E$1:E1142))))))</f>
        <v/>
      </c>
      <c r="K1143" s="24" t="str">
        <f aca="false">IF(OR(E1143="",E1143="!!!",F1143="NEW"),"",INDEX(J$1:J1142,SUMPRODUCT(MAX(ROW(E$1:E1142)*(E1143=E$1:E1142)))))</f>
        <v/>
      </c>
      <c r="L1143" s="31"/>
    </row>
    <row r="1144" customFormat="false" ht="15" hidden="false" customHeight="false" outlineLevel="0" collapsed="false">
      <c r="A1144" s="20" t="s">
        <v>1588</v>
      </c>
    </row>
    <row r="1145" customFormat="false" ht="15" hidden="false" customHeight="false" outlineLevel="0" collapsed="false">
      <c r="A1145" s="20" t="s">
        <v>607</v>
      </c>
      <c r="E1145" s="23" t="str">
        <f aca="false">IF(D1145="?OLD","!!!","")</f>
        <v/>
      </c>
      <c r="F1145" s="25" t="str">
        <f aca="false">IF(OR(E1145="",E1145="!!!"),"",IF(NOT(ISNA(VLOOKUP(E1145,E$1:E1144,1,FALSE()))),"OLD",IF(AND(E1145&lt;&gt;"",E1145&lt;&gt;"!!!"),"NEW","")))</f>
        <v/>
      </c>
      <c r="G1145" s="26" t="str">
        <f aca="false">IF(OR(E1145="",E1145="!!!"),"",IF(OR(J1145=0,AND(J1145=1,K1145=1),AND(J1145=1,I1145="SBJ"),AND(J1145=1,I1145=0)),"?IN_FOCUS",IF(J1145&lt;=2,"?ACTIVATED",IF(J1145&lt;&gt;"","?FAMILIAR",IF(F1145="NEW",IF(ISNA(VLOOKUP(E1145,#REF!,1,FALSE())),"?TYPE_IDENTIFIABLE","?REFERENTIAL"),"_")))))</f>
        <v/>
      </c>
      <c r="H1145" s="27" t="str">
        <f aca="false">IF(J1145&lt;&gt;1,"",IF(I1145="SBJ","CB","?"))</f>
        <v/>
      </c>
      <c r="I1145" s="24" t="str">
        <f aca="false">IF(OR(E1145="",E1145="!!!",F1145="NEW"),"",INDEX(B2:B$1144,-1+SUMPRODUCT(MAX(ROW(E2:E$1144)*(E1145=E2:E$1144)))))</f>
        <v/>
      </c>
      <c r="J1145" s="24" t="str">
        <f aca="true">IF(OR(E1145="",E1145="!!!",F1145="NEW"),"",COUNTBLANK(OFFSET(A$1,,,SUMPRODUCT(MAX(ROW(E$2:E1145)*(E1145=E$2:E1145)))))-COUNTBLANK(OFFSET(A$1,,,SUMPRODUCT(MAX(ROW(E$1:E1144)*(E2=E$1:E1144))))))</f>
        <v/>
      </c>
      <c r="K1145" s="24" t="str">
        <f aca="false">IF(OR(E1145="",E1145="!!!",F1145="NEW"),"",INDEX(J$1:J1144,SUMPRODUCT(MAX(ROW(E$1:E1144)*(E1145=E$1:E1144)))))</f>
        <v/>
      </c>
      <c r="L1145" s="31"/>
    </row>
    <row r="1146" customFormat="false" ht="15" hidden="false" customHeight="false" outlineLevel="0" collapsed="false">
      <c r="A1146" s="20" t="s">
        <v>1162</v>
      </c>
      <c r="B1146" s="22" t="s">
        <v>1058</v>
      </c>
      <c r="C1146" s="22" t="s">
        <v>1082</v>
      </c>
      <c r="D1146" s="22" t="s">
        <v>1060</v>
      </c>
      <c r="E1146" s="23" t="str">
        <f aca="false">IF(D1146="?OLD","!!!","")</f>
        <v>!!!</v>
      </c>
      <c r="F1146" s="25" t="str">
        <f aca="false">IF(OR(E1146="",E1146="!!!"),"",IF(NOT(ISNA(VLOOKUP(E1146,E$1:E1145,1,FALSE()))),"OLD",IF(AND(E1146&lt;&gt;"",E1146&lt;&gt;"!!!"),"NEW","")))</f>
        <v/>
      </c>
      <c r="G1146" s="26" t="str">
        <f aca="false">IF(OR(E1146="",E1146="!!!"),"",IF(OR(J1146=0,AND(J1146=1,K1146=1),AND(J1146=1,I1146="SBJ"),AND(J1146=1,I1146=0)),"?IN_FOCUS",IF(J1146&lt;=2,"?ACTIVATED",IF(J1146&lt;&gt;"","?FAMILIAR",IF(F1146="NEW",IF(ISNA(VLOOKUP(E1146,#REF!,1,FALSE())),"?TYPE_IDENTIFIABLE","?REFERENTIAL"),"_")))))</f>
        <v/>
      </c>
      <c r="H1146" s="27" t="str">
        <f aca="false">IF(J1146&lt;&gt;1,"",IF(I1146="SBJ","CB","?"))</f>
        <v/>
      </c>
      <c r="I1146" s="24" t="str">
        <f aca="false">IF(OR(E1146="",E1146="!!!",F1146="NEW"),"",INDEX(B3:B$1144,-1+SUMPRODUCT(MAX(ROW(E3:E$1144)*(E1146=E3:E$1144)))))</f>
        <v/>
      </c>
      <c r="J1146" s="24" t="str">
        <f aca="true">IF(OR(E1146="",E1146="!!!",F1146="NEW"),"",COUNTBLANK(OFFSET(A$1,,,SUMPRODUCT(MAX(ROW(E$2:E1146)*(E1146=E$2:E1146)))))-COUNTBLANK(OFFSET(A$1,,,SUMPRODUCT(MAX(ROW(E$1:E1145)*(E2=E$1:E1145))))))</f>
        <v/>
      </c>
      <c r="K1146" s="24" t="str">
        <f aca="false">IF(OR(E1146="",E1146="!!!",F1146="NEW"),"",INDEX(J$1:J1145,SUMPRODUCT(MAX(ROW(E$1:E1145)*(E1146=E$1:E1145)))))</f>
        <v/>
      </c>
      <c r="L1146" s="31"/>
    </row>
    <row r="1147" customFormat="false" ht="15" hidden="false" customHeight="false" outlineLevel="0" collapsed="false">
      <c r="A1147" s="20" t="s">
        <v>1583</v>
      </c>
      <c r="E1147" s="23" t="str">
        <f aca="false">IF(D1147="?OLD","!!!","")</f>
        <v/>
      </c>
      <c r="F1147" s="25" t="str">
        <f aca="false">IF(OR(E1147="",E1147="!!!"),"",IF(NOT(ISNA(VLOOKUP(E1147,E$1:E1146,1,FALSE()))),"OLD",IF(AND(E1147&lt;&gt;"",E1147&lt;&gt;"!!!"),"NEW","")))</f>
        <v/>
      </c>
      <c r="G1147" s="26" t="str">
        <f aca="false">IF(OR(E1147="",E1147="!!!"),"",IF(OR(J1147=0,AND(J1147=1,K1147=1),AND(J1147=1,I1147="SBJ"),AND(J1147=1,I1147=0)),"?IN_FOCUS",IF(J1147&lt;=2,"?ACTIVATED",IF(J1147&lt;&gt;"","?FAMILIAR",IF(F1147="NEW",IF(ISNA(VLOOKUP(E1147,#REF!,1,FALSE())),"?TYPE_IDENTIFIABLE","?REFERENTIAL"),"_")))))</f>
        <v/>
      </c>
      <c r="H1147" s="27" t="str">
        <f aca="false">IF(J1147&lt;&gt;1,"",IF(I1147="SBJ","CB","?"))</f>
        <v/>
      </c>
      <c r="I1147" s="24" t="str">
        <f aca="false">IF(OR(E1147="",E1147="!!!",F1147="NEW"),"",INDEX(B4:B$1144,-1+SUMPRODUCT(MAX(ROW(E4:E$1144)*(E1147=E4:E$1144)))))</f>
        <v/>
      </c>
      <c r="J1147" s="24" t="str">
        <f aca="true">IF(OR(E1147="",E1147="!!!",F1147="NEW"),"",COUNTBLANK(OFFSET(A$1,,,SUMPRODUCT(MAX(ROW(E$2:E1147)*(E1147=E$2:E1147)))))-COUNTBLANK(OFFSET(A$1,,,SUMPRODUCT(MAX(ROW(E$1:E1146)*(E2=E$1:E1146))))))</f>
        <v/>
      </c>
      <c r="K1147" s="24" t="str">
        <f aca="false">IF(OR(E1147="",E1147="!!!",F1147="NEW"),"",INDEX(J$1:J1146,SUMPRODUCT(MAX(ROW(E$1:E1146)*(E1147=E$1:E1146)))))</f>
        <v/>
      </c>
      <c r="L1147" s="31"/>
    </row>
    <row r="1148" customFormat="false" ht="15" hidden="false" customHeight="false" outlineLevel="0" collapsed="false">
      <c r="A1148" s="20" t="s">
        <v>1279</v>
      </c>
      <c r="E1148" s="23" t="str">
        <f aca="false">IF(D1148="?OLD","!!!","")</f>
        <v/>
      </c>
      <c r="F1148" s="25" t="str">
        <f aca="false">IF(OR(E1148="",E1148="!!!"),"",IF(NOT(ISNA(VLOOKUP(E1148,E$1:E1147,1,FALSE()))),"OLD",IF(AND(E1148&lt;&gt;"",E1148&lt;&gt;"!!!"),"NEW","")))</f>
        <v/>
      </c>
      <c r="G1148" s="26" t="str">
        <f aca="false">IF(OR(E1148="",E1148="!!!"),"",IF(OR(J1148=0,AND(J1148=1,K1148=1),AND(J1148=1,I1148="SBJ"),AND(J1148=1,I1148=0)),"?IN_FOCUS",IF(J1148&lt;=2,"?ACTIVATED",IF(J1148&lt;&gt;"","?FAMILIAR",IF(F1148="NEW",IF(ISNA(VLOOKUP(E1148,#REF!,1,FALSE())),"?TYPE_IDENTIFIABLE","?REFERENTIAL"),"_")))))</f>
        <v/>
      </c>
      <c r="H1148" s="27" t="str">
        <f aca="false">IF(J1148&lt;&gt;1,"",IF(I1148="SBJ","CB","?"))</f>
        <v/>
      </c>
      <c r="I1148" s="24" t="str">
        <f aca="false">IF(OR(E1148="",E1148="!!!",F1148="NEW"),"",INDEX(B5:B$1144,-1+SUMPRODUCT(MAX(ROW(E5:E$1144)*(E1148=E5:E$1144)))))</f>
        <v/>
      </c>
      <c r="J1148" s="24" t="str">
        <f aca="true">IF(OR(E1148="",E1148="!!!",F1148="NEW"),"",COUNTBLANK(OFFSET(A$1,,,SUMPRODUCT(MAX(ROW(E$2:E1148)*(E1148=E$2:E1148)))))-COUNTBLANK(OFFSET(A$1,,,SUMPRODUCT(MAX(ROW(E$1:E1147)*(E2=E$1:E1147))))))</f>
        <v/>
      </c>
      <c r="K1148" s="24" t="str">
        <f aca="false">IF(OR(E1148="",E1148="!!!",F1148="NEW"),"",INDEX(J$1:J1147,SUMPRODUCT(MAX(ROW(E$1:E1147)*(E1148=E$1:E1147)))))</f>
        <v/>
      </c>
      <c r="L1148" s="31"/>
    </row>
    <row r="1149" customFormat="false" ht="15" hidden="false" customHeight="false" outlineLevel="0" collapsed="false">
      <c r="A1149" s="20" t="s">
        <v>153</v>
      </c>
      <c r="E1149" s="23" t="str">
        <f aca="false">IF(D1149="?OLD","!!!","")</f>
        <v/>
      </c>
      <c r="F1149" s="25" t="str">
        <f aca="false">IF(OR(E1149="",E1149="!!!"),"",IF(NOT(ISNA(VLOOKUP(E1149,E$1:E1148,1,FALSE()))),"OLD",IF(AND(E1149&lt;&gt;"",E1149&lt;&gt;"!!!"),"NEW","")))</f>
        <v/>
      </c>
      <c r="G1149" s="26" t="str">
        <f aca="false">IF(OR(E1149="",E1149="!!!"),"",IF(OR(J1149=0,AND(J1149=1,K1149=1),AND(J1149=1,I1149="SBJ"),AND(J1149=1,I1149=0)),"?IN_FOCUS",IF(J1149&lt;=2,"?ACTIVATED",IF(J1149&lt;&gt;"","?FAMILIAR",IF(F1149="NEW",IF(ISNA(VLOOKUP(E1149,#REF!,1,FALSE())),"?TYPE_IDENTIFIABLE","?REFERENTIAL"),"_")))))</f>
        <v/>
      </c>
      <c r="H1149" s="27" t="str">
        <f aca="false">IF(J1149&lt;&gt;1,"",IF(I1149="SBJ","CB","?"))</f>
        <v/>
      </c>
      <c r="I1149" s="24" t="str">
        <f aca="false">IF(OR(E1149="",E1149="!!!",F1149="NEW"),"",INDEX(B6:B$1144,-1+SUMPRODUCT(MAX(ROW(E6:E$1144)*(E1149=E6:E$1144)))))</f>
        <v/>
      </c>
      <c r="J1149" s="24" t="str">
        <f aca="true">IF(OR(E1149="",E1149="!!!",F1149="NEW"),"",COUNTBLANK(OFFSET(A$1,,,SUMPRODUCT(MAX(ROW(E$2:E1149)*(E1149=E$2:E1149)))))-COUNTBLANK(OFFSET(A$1,,,SUMPRODUCT(MAX(ROW(E$1:E1148)*(E2=E$1:E1148))))))</f>
        <v/>
      </c>
      <c r="K1149" s="24" t="str">
        <f aca="false">IF(OR(E1149="",E1149="!!!",F1149="NEW"),"",INDEX(J$1:J1148,SUMPRODUCT(MAX(ROW(E$1:E1148)*(E1149=E$1:E1148)))))</f>
        <v/>
      </c>
      <c r="L1149" s="31"/>
    </row>
    <row r="1150" customFormat="false" ht="15" hidden="false" customHeight="false" outlineLevel="0" collapsed="false">
      <c r="A1150" s="20" t="s">
        <v>1569</v>
      </c>
      <c r="B1150" s="22" t="s">
        <v>1105</v>
      </c>
      <c r="C1150" s="22" t="s">
        <v>1202</v>
      </c>
      <c r="E1150" s="23" t="str">
        <f aca="false">IF(D1150="?OLD","!!!","")</f>
        <v/>
      </c>
      <c r="F1150" s="25" t="str">
        <f aca="false">IF(OR(E1150="",E1150="!!!"),"",IF(NOT(ISNA(VLOOKUP(E1150,E$1:E1149,1,FALSE()))),"OLD",IF(AND(E1150&lt;&gt;"",E1150&lt;&gt;"!!!"),"NEW","")))</f>
        <v/>
      </c>
      <c r="G1150" s="26" t="str">
        <f aca="false">IF(OR(E1150="",E1150="!!!"),"",IF(OR(J1150=0,AND(J1150=1,K1150=1),AND(J1150=1,I1150="SBJ"),AND(J1150=1,I1150=0)),"?IN_FOCUS",IF(J1150&lt;=2,"?ACTIVATED",IF(J1150&lt;&gt;"","?FAMILIAR",IF(F1150="NEW",IF(ISNA(VLOOKUP(E1150,#REF!,1,FALSE())),"?TYPE_IDENTIFIABLE","?REFERENTIAL"),"_")))))</f>
        <v/>
      </c>
      <c r="H1150" s="27" t="str">
        <f aca="false">IF(J1150&lt;&gt;1,"",IF(I1150="SBJ","CB","?"))</f>
        <v/>
      </c>
      <c r="I1150" s="24" t="str">
        <f aca="false">IF(OR(E1150="",E1150="!!!",F1150="NEW"),"",INDEX(B7:B$1144,-1+SUMPRODUCT(MAX(ROW(E7:E$1144)*(E1150=E7:E$1144)))))</f>
        <v/>
      </c>
      <c r="J1150" s="24" t="str">
        <f aca="true">IF(OR(E1150="",E1150="!!!",F1150="NEW"),"",COUNTBLANK(OFFSET(A$1,,,SUMPRODUCT(MAX(ROW(E$2:E1150)*(E1150=E$2:E1150)))))-COUNTBLANK(OFFSET(A$1,,,SUMPRODUCT(MAX(ROW(E$1:E1149)*(E2=E$1:E1149))))))</f>
        <v/>
      </c>
      <c r="K1150" s="24" t="str">
        <f aca="false">IF(OR(E1150="",E1150="!!!",F1150="NEW"),"",INDEX(J$1:J1149,SUMPRODUCT(MAX(ROW(E$1:E1149)*(E1150=E$1:E1149)))))</f>
        <v/>
      </c>
      <c r="L1150" s="31"/>
    </row>
    <row r="1151" customFormat="false" ht="15" hidden="false" customHeight="false" outlineLevel="0" collapsed="false">
      <c r="A1151" s="20" t="s">
        <v>1584</v>
      </c>
      <c r="B1151" s="22" t="s">
        <v>1091</v>
      </c>
      <c r="C1151" s="22" t="s">
        <v>1082</v>
      </c>
      <c r="D1151" s="22" t="s">
        <v>1060</v>
      </c>
      <c r="E1151" s="23" t="str">
        <f aca="false">IF(D1151="?OLD","!!!","")</f>
        <v>!!!</v>
      </c>
      <c r="F1151" s="25" t="str">
        <f aca="false">IF(OR(E1151="",E1151="!!!"),"",IF(NOT(ISNA(VLOOKUP(E1151,E$1:E1150,1,FALSE()))),"OLD",IF(AND(E1151&lt;&gt;"",E1151&lt;&gt;"!!!"),"NEW","")))</f>
        <v/>
      </c>
      <c r="G1151" s="26" t="str">
        <f aca="false">IF(OR(E1151="",E1151="!!!"),"",IF(OR(J1151=0,AND(J1151=1,K1151=1),AND(J1151=1,I1151="SBJ"),AND(J1151=1,I1151=0)),"?IN_FOCUS",IF(J1151&lt;=2,"?ACTIVATED",IF(J1151&lt;&gt;"","?FAMILIAR",IF(F1151="NEW",IF(ISNA(VLOOKUP(E1151,#REF!,1,FALSE())),"?TYPE_IDENTIFIABLE","?REFERENTIAL"),"_")))))</f>
        <v/>
      </c>
      <c r="H1151" s="27" t="str">
        <f aca="false">IF(J1151&lt;&gt;1,"",IF(I1151="SBJ","CB","?"))</f>
        <v/>
      </c>
      <c r="I1151" s="24" t="str">
        <f aca="false">IF(OR(E1151="",E1151="!!!",F1151="NEW"),"",INDEX(B8:B$1144,-1+SUMPRODUCT(MAX(ROW(E8:E$1144)*(E1151=E8:E$1144)))))</f>
        <v/>
      </c>
      <c r="J1151" s="24" t="str">
        <f aca="true">IF(OR(E1151="",E1151="!!!",F1151="NEW"),"",COUNTBLANK(OFFSET(A$1,,,SUMPRODUCT(MAX(ROW(E$2:E1151)*(E1151=E$2:E1151)))))-COUNTBLANK(OFFSET(A$1,,,SUMPRODUCT(MAX(ROW(E$1:E1150)*(E2=E$1:E1150))))))</f>
        <v/>
      </c>
      <c r="K1151" s="24" t="str">
        <f aca="false">IF(OR(E1151="",E1151="!!!",F1151="NEW"),"",INDEX(J$1:J1150,SUMPRODUCT(MAX(ROW(E$1:E1150)*(E1151=E$1:E1150)))))</f>
        <v/>
      </c>
      <c r="L1151" s="31"/>
    </row>
    <row r="1152" customFormat="false" ht="15" hidden="false" customHeight="false" outlineLevel="0" collapsed="false">
      <c r="A1152" s="20" t="s">
        <v>1369</v>
      </c>
      <c r="E1152" s="23" t="str">
        <f aca="false">IF(D1152="?OLD","!!!","")</f>
        <v/>
      </c>
      <c r="F1152" s="25" t="str">
        <f aca="false">IF(OR(E1152="",E1152="!!!"),"",IF(NOT(ISNA(VLOOKUP(E1152,E$1:E1151,1,FALSE()))),"OLD",IF(AND(E1152&lt;&gt;"",E1152&lt;&gt;"!!!"),"NEW","")))</f>
        <v/>
      </c>
      <c r="G1152" s="26" t="str">
        <f aca="false">IF(OR(E1152="",E1152="!!!"),"",IF(OR(J1152=0,AND(J1152=1,K1152=1),AND(J1152=1,I1152="SBJ"),AND(J1152=1,I1152=0)),"?IN_FOCUS",IF(J1152&lt;=2,"?ACTIVATED",IF(J1152&lt;&gt;"","?FAMILIAR",IF(F1152="NEW",IF(ISNA(VLOOKUP(E1152,#REF!,1,FALSE())),"?TYPE_IDENTIFIABLE","?REFERENTIAL"),"_")))))</f>
        <v/>
      </c>
      <c r="H1152" s="27" t="str">
        <f aca="false">IF(J1152&lt;&gt;1,"",IF(I1152="SBJ","CB","?"))</f>
        <v/>
      </c>
      <c r="I1152" s="24" t="str">
        <f aca="false">IF(OR(E1152="",E1152="!!!",F1152="NEW"),"",INDEX(B9:B$1144,-1+SUMPRODUCT(MAX(ROW(E9:E$1144)*(E1152=E9:E$1144)))))</f>
        <v/>
      </c>
      <c r="J1152" s="24" t="str">
        <f aca="true">IF(OR(E1152="",E1152="!!!",F1152="NEW"),"",COUNTBLANK(OFFSET(A$1,,,SUMPRODUCT(MAX(ROW(E$2:E1152)*(E1152=E$2:E1152)))))-COUNTBLANK(OFFSET(A$1,,,SUMPRODUCT(MAX(ROW(E$1:E1151)*(E2=E$1:E1151))))))</f>
        <v/>
      </c>
      <c r="K1152" s="24" t="str">
        <f aca="false">IF(OR(E1152="",E1152="!!!",F1152="NEW"),"",INDEX(J$1:J1151,SUMPRODUCT(MAX(ROW(E$1:E1151)*(E1152=E$1:E1151)))))</f>
        <v/>
      </c>
      <c r="L1152" s="31"/>
    </row>
    <row r="1153" customFormat="false" ht="15" hidden="false" customHeight="false" outlineLevel="0" collapsed="false">
      <c r="A1153" s="20" t="s">
        <v>923</v>
      </c>
      <c r="E1153" s="23" t="str">
        <f aca="false">IF(D1153="?OLD","!!!","")</f>
        <v/>
      </c>
      <c r="F1153" s="25" t="str">
        <f aca="false">IF(OR(E1153="",E1153="!!!"),"",IF(NOT(ISNA(VLOOKUP(E1153,E$1:E1152,1,FALSE()))),"OLD",IF(AND(E1153&lt;&gt;"",E1153&lt;&gt;"!!!"),"NEW","")))</f>
        <v/>
      </c>
      <c r="G1153" s="26" t="str">
        <f aca="false">IF(OR(E1153="",E1153="!!!"),"",IF(OR(J1153=0,AND(J1153=1,K1153=1),AND(J1153=1,I1153="SBJ"),AND(J1153=1,I1153=0)),"?IN_FOCUS",IF(J1153&lt;=2,"?ACTIVATED",IF(J1153&lt;&gt;"","?FAMILIAR",IF(F1153="NEW",IF(ISNA(VLOOKUP(E1153,#REF!,1,FALSE())),"?TYPE_IDENTIFIABLE","?REFERENTIAL"),"_")))))</f>
        <v/>
      </c>
      <c r="H1153" s="27" t="str">
        <f aca="false">IF(J1153&lt;&gt;1,"",IF(I1153="SBJ","CB","?"))</f>
        <v/>
      </c>
      <c r="I1153" s="24" t="str">
        <f aca="false">IF(OR(E1153="",E1153="!!!",F1153="NEW"),"",INDEX(B10:B$1144,-1+SUMPRODUCT(MAX(ROW(E10:E$1144)*(E1153=E10:E$1144)))))</f>
        <v/>
      </c>
      <c r="J1153" s="24" t="str">
        <f aca="true">IF(OR(E1153="",E1153="!!!",F1153="NEW"),"",COUNTBLANK(OFFSET(A$1,,,SUMPRODUCT(MAX(ROW(E$2:E1153)*(E1153=E$2:E1153)))))-COUNTBLANK(OFFSET(A$1,,,SUMPRODUCT(MAX(ROW(E$1:E1152)*(E2=E$1:E1152))))))</f>
        <v/>
      </c>
      <c r="K1153" s="24" t="str">
        <f aca="false">IF(OR(E1153="",E1153="!!!",F1153="NEW"),"",INDEX(J$1:J1152,SUMPRODUCT(MAX(ROW(E$1:E1152)*(E1153=E$1:E1152)))))</f>
        <v/>
      </c>
      <c r="L1153" s="31"/>
    </row>
    <row r="1154" customFormat="false" ht="15" hidden="false" customHeight="false" outlineLevel="0" collapsed="false">
      <c r="A1154" s="20" t="s">
        <v>607</v>
      </c>
      <c r="E1154" s="23" t="str">
        <f aca="false">IF(D1154="?OLD","!!!","")</f>
        <v/>
      </c>
      <c r="F1154" s="25" t="str">
        <f aca="false">IF(OR(E1154="",E1154="!!!"),"",IF(NOT(ISNA(VLOOKUP(E1154,E$1:E1153,1,FALSE()))),"OLD",IF(AND(E1154&lt;&gt;"",E1154&lt;&gt;"!!!"),"NEW","")))</f>
        <v/>
      </c>
      <c r="G1154" s="26" t="str">
        <f aca="false">IF(OR(E1154="",E1154="!!!"),"",IF(OR(J1154=0,AND(J1154=1,K1154=1),AND(J1154=1,I1154="SBJ"),AND(J1154=1,I1154=0)),"?IN_FOCUS",IF(J1154&lt;=2,"?ACTIVATED",IF(J1154&lt;&gt;"","?FAMILIAR",IF(F1154="NEW",IF(ISNA(VLOOKUP(E1154,#REF!,1,FALSE())),"?TYPE_IDENTIFIABLE","?REFERENTIAL"),"_")))))</f>
        <v/>
      </c>
      <c r="H1154" s="27" t="str">
        <f aca="false">IF(J1154&lt;&gt;1,"",IF(I1154="SBJ","CB","?"))</f>
        <v/>
      </c>
      <c r="I1154" s="24" t="str">
        <f aca="false">IF(OR(E1154="",E1154="!!!",F1154="NEW"),"",INDEX(B11:B$1144,-1+SUMPRODUCT(MAX(ROW(E11:E$1144)*(E1154=E11:E$1144)))))</f>
        <v/>
      </c>
      <c r="J1154" s="24" t="str">
        <f aca="true">IF(OR(E1154="",E1154="!!!",F1154="NEW"),"",COUNTBLANK(OFFSET(A$1,,,SUMPRODUCT(MAX(ROW(E$2:E1154)*(E1154=E$2:E1154)))))-COUNTBLANK(OFFSET(A$1,,,SUMPRODUCT(MAX(ROW(E$1:E1153)*(E2=E$1:E1153))))))</f>
        <v/>
      </c>
      <c r="K1154" s="24" t="str">
        <f aca="false">IF(OR(E1154="",E1154="!!!",F1154="NEW"),"",INDEX(J$1:J1153,SUMPRODUCT(MAX(ROW(E$1:E1153)*(E1154=E$1:E1153)))))</f>
        <v/>
      </c>
      <c r="L1154" s="31"/>
    </row>
    <row r="1155" customFormat="false" ht="15" hidden="false" customHeight="false" outlineLevel="0" collapsed="false">
      <c r="A1155" s="20"/>
    </row>
    <row r="1156" customFormat="false" ht="15" hidden="false" customHeight="false" outlineLevel="0" collapsed="false">
      <c r="A1156" s="20" t="s">
        <v>1589</v>
      </c>
    </row>
    <row r="1157" customFormat="false" ht="15" hidden="false" customHeight="false" outlineLevel="0" collapsed="false">
      <c r="A1157" s="20" t="s">
        <v>1162</v>
      </c>
      <c r="B1157" s="22" t="s">
        <v>1058</v>
      </c>
      <c r="C1157" s="22" t="s">
        <v>1082</v>
      </c>
      <c r="D1157" s="22" t="s">
        <v>1060</v>
      </c>
      <c r="E1157" s="23" t="str">
        <f aca="false">IF(D1157="?OLD","!!!","")</f>
        <v>!!!</v>
      </c>
      <c r="F1157" s="25" t="str">
        <f aca="false">IF(OR(E1157="",E1157="!!!"),"",IF(NOT(ISNA(VLOOKUP(E1157,E$1:E1156,1,FALSE()))),"OLD",IF(AND(E1157&lt;&gt;"",E1157&lt;&gt;"!!!"),"NEW","")))</f>
        <v/>
      </c>
      <c r="G1157" s="26" t="str">
        <f aca="false">IF(OR(E1157="",E1157="!!!"),"",IF(OR(J1157=0,AND(J1157=1,K1157=1),AND(J1157=1,I1157="SBJ"),AND(J1157=1,I1157=0)),"?IN_FOCUS",IF(J1157&lt;=2,"?ACTIVATED",IF(J1157&lt;&gt;"","?FAMILIAR",IF(F1157="NEW",IF(ISNA(VLOOKUP(E1157,#REF!,1,FALSE())),"?TYPE_IDENTIFIABLE","?REFERENTIAL"),"_")))))</f>
        <v/>
      </c>
      <c r="H1157" s="27" t="str">
        <f aca="false">IF(J1157&lt;&gt;1,"",IF(I1157="SBJ","CB","?"))</f>
        <v/>
      </c>
      <c r="I1157" s="24" t="str">
        <f aca="false">IF(OR(E1157="",E1157="!!!",F1157="NEW"),"",INDEX(B2:B$1156,-1+SUMPRODUCT(MAX(ROW(E2:E$1156)*(E1157=E2:E$1156)))))</f>
        <v/>
      </c>
      <c r="J1157" s="24" t="str">
        <f aca="true">IF(OR(E1157="",E1157="!!!",F1157="NEW"),"",COUNTBLANK(OFFSET(A$1,,,SUMPRODUCT(MAX(ROW(E$2:E1157)*(E1157=E$2:E1157)))))-COUNTBLANK(OFFSET(A$1,,,SUMPRODUCT(MAX(ROW(E$1:E1156)*(E2=E$1:E1156))))))</f>
        <v/>
      </c>
      <c r="K1157" s="24" t="str">
        <f aca="false">IF(OR(E1157="",E1157="!!!",F1157="NEW"),"",INDEX(J$1:J1156,SUMPRODUCT(MAX(ROW(E$1:E1156)*(E1157=E$1:E1156)))))</f>
        <v/>
      </c>
      <c r="L1157" s="31"/>
    </row>
    <row r="1158" customFormat="false" ht="15" hidden="false" customHeight="false" outlineLevel="0" collapsed="false">
      <c r="A1158" s="20" t="s">
        <v>576</v>
      </c>
      <c r="E1158" s="23" t="str">
        <f aca="false">IF(D1158="?OLD","!!!","")</f>
        <v/>
      </c>
      <c r="F1158" s="25" t="str">
        <f aca="false">IF(OR(E1158="",E1158="!!!"),"",IF(NOT(ISNA(VLOOKUP(E1158,E$1:E1157,1,FALSE()))),"OLD",IF(AND(E1158&lt;&gt;"",E1158&lt;&gt;"!!!"),"NEW","")))</f>
        <v/>
      </c>
      <c r="G1158" s="26" t="str">
        <f aca="false">IF(OR(E1158="",E1158="!!!"),"",IF(OR(J1158=0,AND(J1158=1,K1158=1),AND(J1158=1,I1158="SBJ"),AND(J1158=1,I1158=0)),"?IN_FOCUS",IF(J1158&lt;=2,"?ACTIVATED",IF(J1158&lt;&gt;"","?FAMILIAR",IF(F1158="NEW",IF(ISNA(VLOOKUP(E1158,#REF!,1,FALSE())),"?TYPE_IDENTIFIABLE","?REFERENTIAL"),"_")))))</f>
        <v/>
      </c>
      <c r="H1158" s="27" t="str">
        <f aca="false">IF(J1158&lt;&gt;1,"",IF(I1158="SBJ","CB","?"))</f>
        <v/>
      </c>
      <c r="I1158" s="24" t="str">
        <f aca="false">IF(OR(E1158="",E1158="!!!",F1158="NEW"),"",INDEX(B3:B$1156,-1+SUMPRODUCT(MAX(ROW(E3:E$1156)*(E1158=E3:E$1156)))))</f>
        <v/>
      </c>
      <c r="J1158" s="24" t="str">
        <f aca="true">IF(OR(E1158="",E1158="!!!",F1158="NEW"),"",COUNTBLANK(OFFSET(A$1,,,SUMPRODUCT(MAX(ROW(E$2:E1158)*(E1158=E$2:E1158)))))-COUNTBLANK(OFFSET(A$1,,,SUMPRODUCT(MAX(ROW(E$1:E1157)*(E2=E$1:E1157))))))</f>
        <v/>
      </c>
      <c r="K1158" s="24" t="str">
        <f aca="false">IF(OR(E1158="",E1158="!!!",F1158="NEW"),"",INDEX(J$1:J1157,SUMPRODUCT(MAX(ROW(E$1:E1157)*(E1158=E$1:E1157)))))</f>
        <v/>
      </c>
      <c r="L1158" s="31"/>
    </row>
    <row r="1159" customFormat="false" ht="15" hidden="false" customHeight="false" outlineLevel="0" collapsed="false">
      <c r="A1159" s="20" t="s">
        <v>1194</v>
      </c>
      <c r="E1159" s="23" t="str">
        <f aca="false">IF(D1159="?OLD","!!!","")</f>
        <v/>
      </c>
      <c r="F1159" s="25" t="str">
        <f aca="false">IF(OR(E1159="",E1159="!!!"),"",IF(NOT(ISNA(VLOOKUP(E1159,E$1:E1158,1,FALSE()))),"OLD",IF(AND(E1159&lt;&gt;"",E1159&lt;&gt;"!!!"),"NEW","")))</f>
        <v/>
      </c>
      <c r="G1159" s="26" t="str">
        <f aca="false">IF(OR(E1159="",E1159="!!!"),"",IF(OR(J1159=0,AND(J1159=1,K1159=1),AND(J1159=1,I1159="SBJ"),AND(J1159=1,I1159=0)),"?IN_FOCUS",IF(J1159&lt;=2,"?ACTIVATED",IF(J1159&lt;&gt;"","?FAMILIAR",IF(F1159="NEW",IF(ISNA(VLOOKUP(E1159,#REF!,1,FALSE())),"?TYPE_IDENTIFIABLE","?REFERENTIAL"),"_")))))</f>
        <v/>
      </c>
      <c r="H1159" s="27" t="str">
        <f aca="false">IF(J1159&lt;&gt;1,"",IF(I1159="SBJ","CB","?"))</f>
        <v/>
      </c>
      <c r="I1159" s="24" t="str">
        <f aca="false">IF(OR(E1159="",E1159="!!!",F1159="NEW"),"",INDEX(B4:B$1156,-1+SUMPRODUCT(MAX(ROW(E4:E$1156)*(E1159=E4:E$1156)))))</f>
        <v/>
      </c>
      <c r="J1159" s="24" t="str">
        <f aca="true">IF(OR(E1159="",E1159="!!!",F1159="NEW"),"",COUNTBLANK(OFFSET(A$1,,,SUMPRODUCT(MAX(ROW(E$2:E1159)*(E1159=E$2:E1159)))))-COUNTBLANK(OFFSET(A$1,,,SUMPRODUCT(MAX(ROW(E$1:E1158)*(E2=E$1:E1158))))))</f>
        <v/>
      </c>
      <c r="K1159" s="24" t="str">
        <f aca="false">IF(OR(E1159="",E1159="!!!",F1159="NEW"),"",INDEX(J$1:J1158,SUMPRODUCT(MAX(ROW(E$1:E1158)*(E1159=E$1:E1158)))))</f>
        <v/>
      </c>
      <c r="L1159" s="31"/>
    </row>
    <row r="1160" customFormat="false" ht="15" hidden="false" customHeight="false" outlineLevel="0" collapsed="false">
      <c r="A1160" s="20" t="s">
        <v>1089</v>
      </c>
      <c r="E1160" s="23" t="str">
        <f aca="false">IF(D1160="?OLD","!!!","")</f>
        <v/>
      </c>
      <c r="F1160" s="25" t="str">
        <f aca="false">IF(OR(E1160="",E1160="!!!"),"",IF(NOT(ISNA(VLOOKUP(E1160,E$1:E1159,1,FALSE()))),"OLD",IF(AND(E1160&lt;&gt;"",E1160&lt;&gt;"!!!"),"NEW","")))</f>
        <v/>
      </c>
      <c r="G1160" s="26" t="str">
        <f aca="false">IF(OR(E1160="",E1160="!!!"),"",IF(OR(J1160=0,AND(J1160=1,K1160=1),AND(J1160=1,I1160="SBJ"),AND(J1160=1,I1160=0)),"?IN_FOCUS",IF(J1160&lt;=2,"?ACTIVATED",IF(J1160&lt;&gt;"","?FAMILIAR",IF(F1160="NEW",IF(ISNA(VLOOKUP(E1160,#REF!,1,FALSE())),"?TYPE_IDENTIFIABLE","?REFERENTIAL"),"_")))))</f>
        <v/>
      </c>
      <c r="H1160" s="27" t="str">
        <f aca="false">IF(J1160&lt;&gt;1,"",IF(I1160="SBJ","CB","?"))</f>
        <v/>
      </c>
      <c r="I1160" s="24" t="str">
        <f aca="false">IF(OR(E1160="",E1160="!!!",F1160="NEW"),"",INDEX(B5:B$1156,-1+SUMPRODUCT(MAX(ROW(E5:E$1156)*(E1160=E5:E$1156)))))</f>
        <v/>
      </c>
      <c r="J1160" s="24" t="str">
        <f aca="true">IF(OR(E1160="",E1160="!!!",F1160="NEW"),"",COUNTBLANK(OFFSET(A$1,,,SUMPRODUCT(MAX(ROW(E$2:E1160)*(E1160=E$2:E1160)))))-COUNTBLANK(OFFSET(A$1,,,SUMPRODUCT(MAX(ROW(E$1:E1159)*(E2=E$1:E1159))))))</f>
        <v/>
      </c>
      <c r="K1160" s="24" t="str">
        <f aca="false">IF(OR(E1160="",E1160="!!!",F1160="NEW"),"",INDEX(J$1:J1159,SUMPRODUCT(MAX(ROW(E$1:E1159)*(E1160=E$1:E1159)))))</f>
        <v/>
      </c>
      <c r="L1160" s="31"/>
    </row>
    <row r="1161" customFormat="false" ht="15" hidden="false" customHeight="false" outlineLevel="0" collapsed="false">
      <c r="A1161" s="20" t="s">
        <v>1360</v>
      </c>
      <c r="E1161" s="23" t="str">
        <f aca="false">IF(D1161="?OLD","!!!","")</f>
        <v/>
      </c>
      <c r="F1161" s="25" t="str">
        <f aca="false">IF(OR(E1161="",E1161="!!!"),"",IF(NOT(ISNA(VLOOKUP(E1161,E$1:E1160,1,FALSE()))),"OLD",IF(AND(E1161&lt;&gt;"",E1161&lt;&gt;"!!!"),"NEW","")))</f>
        <v/>
      </c>
      <c r="G1161" s="26" t="str">
        <f aca="false">IF(OR(E1161="",E1161="!!!"),"",IF(OR(J1161=0,AND(J1161=1,K1161=1),AND(J1161=1,I1161="SBJ"),AND(J1161=1,I1161=0)),"?IN_FOCUS",IF(J1161&lt;=2,"?ACTIVATED",IF(J1161&lt;&gt;"","?FAMILIAR",IF(F1161="NEW",IF(ISNA(VLOOKUP(E1161,#REF!,1,FALSE())),"?TYPE_IDENTIFIABLE","?REFERENTIAL"),"_")))))</f>
        <v/>
      </c>
      <c r="H1161" s="27" t="str">
        <f aca="false">IF(J1161&lt;&gt;1,"",IF(I1161="SBJ","CB","?"))</f>
        <v/>
      </c>
      <c r="I1161" s="24" t="str">
        <f aca="false">IF(OR(E1161="",E1161="!!!",F1161="NEW"),"",INDEX(B6:B$1156,-1+SUMPRODUCT(MAX(ROW(E6:E$1156)*(E1161=E6:E$1156)))))</f>
        <v/>
      </c>
      <c r="J1161" s="24" t="str">
        <f aca="true">IF(OR(E1161="",E1161="!!!",F1161="NEW"),"",COUNTBLANK(OFFSET(A$1,,,SUMPRODUCT(MAX(ROW(E$2:E1161)*(E1161=E$2:E1161)))))-COUNTBLANK(OFFSET(A$1,,,SUMPRODUCT(MAX(ROW(E$1:E1160)*(E2=E$1:E1160))))))</f>
        <v/>
      </c>
      <c r="K1161" s="24" t="str">
        <f aca="false">IF(OR(E1161="",E1161="!!!",F1161="NEW"),"",INDEX(J$1:J1160,SUMPRODUCT(MAX(ROW(E$1:E1160)*(E1161=E$1:E1160)))))</f>
        <v/>
      </c>
      <c r="L1161" s="31"/>
    </row>
    <row r="1162" customFormat="false" ht="15" hidden="false" customHeight="false" outlineLevel="0" collapsed="false">
      <c r="A1162" s="20" t="s">
        <v>1109</v>
      </c>
      <c r="E1162" s="23" t="str">
        <f aca="false">IF(D1162="?OLD","!!!","")</f>
        <v/>
      </c>
      <c r="F1162" s="25" t="str">
        <f aca="false">IF(OR(E1162="",E1162="!!!"),"",IF(NOT(ISNA(VLOOKUP(E1162,E$1:E1161,1,FALSE()))),"OLD",IF(AND(E1162&lt;&gt;"",E1162&lt;&gt;"!!!"),"NEW","")))</f>
        <v/>
      </c>
      <c r="G1162" s="26" t="str">
        <f aca="false">IF(OR(E1162="",E1162="!!!"),"",IF(OR(J1162=0,AND(J1162=1,K1162=1),AND(J1162=1,I1162="SBJ"),AND(J1162=1,I1162=0)),"?IN_FOCUS",IF(J1162&lt;=2,"?ACTIVATED",IF(J1162&lt;&gt;"","?FAMILIAR",IF(F1162="NEW",IF(ISNA(VLOOKUP(E1162,#REF!,1,FALSE())),"?TYPE_IDENTIFIABLE","?REFERENTIAL"),"_")))))</f>
        <v/>
      </c>
      <c r="H1162" s="27" t="str">
        <f aca="false">IF(J1162&lt;&gt;1,"",IF(I1162="SBJ","CB","?"))</f>
        <v/>
      </c>
      <c r="I1162" s="24" t="str">
        <f aca="false">IF(OR(E1162="",E1162="!!!",F1162="NEW"),"",INDEX(B7:B$1156,-1+SUMPRODUCT(MAX(ROW(E7:E$1156)*(E1162=E7:E$1156)))))</f>
        <v/>
      </c>
      <c r="J1162" s="24" t="str">
        <f aca="true">IF(OR(E1162="",E1162="!!!",F1162="NEW"),"",COUNTBLANK(OFFSET(A$1,,,SUMPRODUCT(MAX(ROW(E$2:E1162)*(E1162=E$2:E1162)))))-COUNTBLANK(OFFSET(A$1,,,SUMPRODUCT(MAX(ROW(E$1:E1161)*(E2=E$1:E1161))))))</f>
        <v/>
      </c>
      <c r="K1162" s="24" t="str">
        <f aca="false">IF(OR(E1162="",E1162="!!!",F1162="NEW"),"",INDEX(J$1:J1161,SUMPRODUCT(MAX(ROW(E$1:E1161)*(E1162=E$1:E1161)))))</f>
        <v/>
      </c>
      <c r="L1162" s="31"/>
    </row>
    <row r="1163" customFormat="false" ht="15" hidden="false" customHeight="false" outlineLevel="0" collapsed="false">
      <c r="A1163" s="20" t="s">
        <v>1176</v>
      </c>
      <c r="E1163" s="23" t="str">
        <f aca="false">IF(D1163="?OLD","!!!","")</f>
        <v/>
      </c>
      <c r="F1163" s="25" t="str">
        <f aca="false">IF(OR(E1163="",E1163="!!!"),"",IF(NOT(ISNA(VLOOKUP(E1163,E$1:E1162,1,FALSE()))),"OLD",IF(AND(E1163&lt;&gt;"",E1163&lt;&gt;"!!!"),"NEW","")))</f>
        <v/>
      </c>
      <c r="G1163" s="26" t="str">
        <f aca="false">IF(OR(E1163="",E1163="!!!"),"",IF(OR(J1163=0,AND(J1163=1,K1163=1),AND(J1163=1,I1163="SBJ"),AND(J1163=1,I1163=0)),"?IN_FOCUS",IF(J1163&lt;=2,"?ACTIVATED",IF(J1163&lt;&gt;"","?FAMILIAR",IF(F1163="NEW",IF(ISNA(VLOOKUP(E1163,#REF!,1,FALSE())),"?TYPE_IDENTIFIABLE","?REFERENTIAL"),"_")))))</f>
        <v/>
      </c>
      <c r="H1163" s="27" t="str">
        <f aca="false">IF(J1163&lt;&gt;1,"",IF(I1163="SBJ","CB","?"))</f>
        <v/>
      </c>
      <c r="I1163" s="24" t="str">
        <f aca="false">IF(OR(E1163="",E1163="!!!",F1163="NEW"),"",INDEX(B8:B$1156,-1+SUMPRODUCT(MAX(ROW(E8:E$1156)*(E1163=E8:E$1156)))))</f>
        <v/>
      </c>
      <c r="J1163" s="24" t="str">
        <f aca="true">IF(OR(E1163="",E1163="!!!",F1163="NEW"),"",COUNTBLANK(OFFSET(A$1,,,SUMPRODUCT(MAX(ROW(E$2:E1163)*(E1163=E$2:E1163)))))-COUNTBLANK(OFFSET(A$1,,,SUMPRODUCT(MAX(ROW(E$1:E1162)*(E2=E$1:E1162))))))</f>
        <v/>
      </c>
      <c r="K1163" s="24" t="str">
        <f aca="false">IF(OR(E1163="",E1163="!!!",F1163="NEW"),"",INDEX(J$1:J1162,SUMPRODUCT(MAX(ROW(E$1:E1162)*(E1163=E$1:E1162)))))</f>
        <v/>
      </c>
      <c r="L1163" s="31"/>
    </row>
    <row r="1164" customFormat="false" ht="15" hidden="false" customHeight="false" outlineLevel="0" collapsed="false">
      <c r="A1164" s="20" t="s">
        <v>1361</v>
      </c>
      <c r="E1164" s="23" t="str">
        <f aca="false">IF(D1164="?OLD","!!!","")</f>
        <v/>
      </c>
      <c r="F1164" s="25" t="str">
        <f aca="false">IF(OR(E1164="",E1164="!!!"),"",IF(NOT(ISNA(VLOOKUP(E1164,E$1:E1163,1,FALSE()))),"OLD",IF(AND(E1164&lt;&gt;"",E1164&lt;&gt;"!!!"),"NEW","")))</f>
        <v/>
      </c>
      <c r="G1164" s="26" t="str">
        <f aca="false">IF(OR(E1164="",E1164="!!!"),"",IF(OR(J1164=0,AND(J1164=1,K1164=1),AND(J1164=1,I1164="SBJ"),AND(J1164=1,I1164=0)),"?IN_FOCUS",IF(J1164&lt;=2,"?ACTIVATED",IF(J1164&lt;&gt;"","?FAMILIAR",IF(F1164="NEW",IF(ISNA(VLOOKUP(E1164,#REF!,1,FALSE())),"?TYPE_IDENTIFIABLE","?REFERENTIAL"),"_")))))</f>
        <v/>
      </c>
      <c r="H1164" s="27" t="str">
        <f aca="false">IF(J1164&lt;&gt;1,"",IF(I1164="SBJ","CB","?"))</f>
        <v/>
      </c>
      <c r="I1164" s="24" t="str">
        <f aca="false">IF(OR(E1164="",E1164="!!!",F1164="NEW"),"",INDEX(B9:B$1156,-1+SUMPRODUCT(MAX(ROW(E9:E$1156)*(E1164=E9:E$1156)))))</f>
        <v/>
      </c>
      <c r="J1164" s="24" t="str">
        <f aca="true">IF(OR(E1164="",E1164="!!!",F1164="NEW"),"",COUNTBLANK(OFFSET(A$1,,,SUMPRODUCT(MAX(ROW(E$2:E1164)*(E1164=E$2:E1164)))))-COUNTBLANK(OFFSET(A$1,,,SUMPRODUCT(MAX(ROW(E$1:E1163)*(E2=E$1:E1163))))))</f>
        <v/>
      </c>
      <c r="K1164" s="24" t="str">
        <f aca="false">IF(OR(E1164="",E1164="!!!",F1164="NEW"),"",INDEX(J$1:J1163,SUMPRODUCT(MAX(ROW(E$1:E1163)*(E1164=E$1:E1163)))))</f>
        <v/>
      </c>
      <c r="L1164" s="31"/>
    </row>
    <row r="1165" customFormat="false" ht="15" hidden="false" customHeight="false" outlineLevel="0" collapsed="false">
      <c r="A1165" s="20" t="s">
        <v>1362</v>
      </c>
      <c r="B1165" s="22" t="s">
        <v>1086</v>
      </c>
      <c r="C1165" s="22" t="s">
        <v>1068</v>
      </c>
      <c r="D1165" s="22" t="s">
        <v>1060</v>
      </c>
      <c r="E1165" s="23" t="str">
        <f aca="false">IF(D1165="?OLD","!!!","")</f>
        <v>!!!</v>
      </c>
      <c r="F1165" s="25" t="str">
        <f aca="false">IF(OR(E1165="",E1165="!!!"),"",IF(NOT(ISNA(VLOOKUP(E1165,E$1:E1164,1,FALSE()))),"OLD",IF(AND(E1165&lt;&gt;"",E1165&lt;&gt;"!!!"),"NEW","")))</f>
        <v/>
      </c>
      <c r="G1165" s="26" t="str">
        <f aca="false">IF(OR(E1165="",E1165="!!!"),"",IF(OR(J1165=0,AND(J1165=1,K1165=1),AND(J1165=1,I1165="SBJ"),AND(J1165=1,I1165=0)),"?IN_FOCUS",IF(J1165&lt;=2,"?ACTIVATED",IF(J1165&lt;&gt;"","?FAMILIAR",IF(F1165="NEW",IF(ISNA(VLOOKUP(E1165,#REF!,1,FALSE())),"?TYPE_IDENTIFIABLE","?REFERENTIAL"),"_")))))</f>
        <v/>
      </c>
      <c r="H1165" s="27" t="str">
        <f aca="false">IF(J1165&lt;&gt;1,"",IF(I1165="SBJ","CB","?"))</f>
        <v/>
      </c>
      <c r="I1165" s="24" t="str">
        <f aca="false">IF(OR(E1165="",E1165="!!!",F1165="NEW"),"",INDEX(B10:B$1156,-1+SUMPRODUCT(MAX(ROW(E10:E$1156)*(E1165=E10:E$1156)))))</f>
        <v/>
      </c>
      <c r="J1165" s="24" t="str">
        <f aca="true">IF(OR(E1165="",E1165="!!!",F1165="NEW"),"",COUNTBLANK(OFFSET(A$1,,,SUMPRODUCT(MAX(ROW(E$2:E1165)*(E1165=E$2:E1165)))))-COUNTBLANK(OFFSET(A$1,,,SUMPRODUCT(MAX(ROW(E$1:E1164)*(E2=E$1:E1164))))))</f>
        <v/>
      </c>
      <c r="K1165" s="24" t="str">
        <f aca="false">IF(OR(E1165="",E1165="!!!",F1165="NEW"),"",INDEX(J$1:J1164,SUMPRODUCT(MAX(ROW(E$1:E1164)*(E1165=E$1:E1164)))))</f>
        <v/>
      </c>
      <c r="L1165" s="31"/>
    </row>
    <row r="1166" customFormat="false" ht="15" hidden="false" customHeight="false" outlineLevel="0" collapsed="false">
      <c r="A1166" s="20" t="s">
        <v>1555</v>
      </c>
      <c r="E1166" s="23" t="str">
        <f aca="false">IF(D1166="?OLD","!!!","")</f>
        <v/>
      </c>
      <c r="F1166" s="25" t="str">
        <f aca="false">IF(OR(E1166="",E1166="!!!"),"",IF(NOT(ISNA(VLOOKUP(E1166,E$1:E1165,1,FALSE()))),"OLD",IF(AND(E1166&lt;&gt;"",E1166&lt;&gt;"!!!"),"NEW","")))</f>
        <v/>
      </c>
      <c r="G1166" s="26" t="str">
        <f aca="false">IF(OR(E1166="",E1166="!!!"),"",IF(OR(J1166=0,AND(J1166=1,K1166=1),AND(J1166=1,I1166="SBJ"),AND(J1166=1,I1166=0)),"?IN_FOCUS",IF(J1166&lt;=2,"?ACTIVATED",IF(J1166&lt;&gt;"","?FAMILIAR",IF(F1166="NEW",IF(ISNA(VLOOKUP(E1166,#REF!,1,FALSE())),"?TYPE_IDENTIFIABLE","?REFERENTIAL"),"_")))))</f>
        <v/>
      </c>
      <c r="H1166" s="27" t="str">
        <f aca="false">IF(J1166&lt;&gt;1,"",IF(I1166="SBJ","CB","?"))</f>
        <v/>
      </c>
      <c r="I1166" s="24" t="str">
        <f aca="false">IF(OR(E1166="",E1166="!!!",F1166="NEW"),"",INDEX(B11:B$1156,-1+SUMPRODUCT(MAX(ROW(E11:E$1156)*(E1166=E11:E$1156)))))</f>
        <v/>
      </c>
      <c r="J1166" s="24" t="str">
        <f aca="true">IF(OR(E1166="",E1166="!!!",F1166="NEW"),"",COUNTBLANK(OFFSET(A$1,,,SUMPRODUCT(MAX(ROW(E$2:E1166)*(E1166=E$2:E1166)))))-COUNTBLANK(OFFSET(A$1,,,SUMPRODUCT(MAX(ROW(E$1:E1165)*(E2=E$1:E1165))))))</f>
        <v/>
      </c>
      <c r="K1166" s="24" t="str">
        <f aca="false">IF(OR(E1166="",E1166="!!!",F1166="NEW"),"",INDEX(J$1:J1165,SUMPRODUCT(MAX(ROW(E$1:E1165)*(E1166=E$1:E1165)))))</f>
        <v/>
      </c>
      <c r="L1166" s="31"/>
    </row>
    <row r="1167" customFormat="false" ht="15" hidden="false" customHeight="false" outlineLevel="0" collapsed="false">
      <c r="A1167" s="20" t="s">
        <v>1590</v>
      </c>
      <c r="E1167" s="23" t="str">
        <f aca="false">IF(D1167="?OLD","!!!","")</f>
        <v/>
      </c>
      <c r="F1167" s="25" t="str">
        <f aca="false">IF(OR(E1167="",E1167="!!!"),"",IF(NOT(ISNA(VLOOKUP(E1167,E$1:E1166,1,FALSE()))),"OLD",IF(AND(E1167&lt;&gt;"",E1167&lt;&gt;"!!!"),"NEW","")))</f>
        <v/>
      </c>
      <c r="G1167" s="26" t="str">
        <f aca="false">IF(OR(E1167="",E1167="!!!"),"",IF(OR(J1167=0,AND(J1167=1,K1167=1),AND(J1167=1,I1167="SBJ"),AND(J1167=1,I1167=0)),"?IN_FOCUS",IF(J1167&lt;=2,"?ACTIVATED",IF(J1167&lt;&gt;"","?FAMILIAR",IF(F1167="NEW",IF(ISNA(VLOOKUP(E1167,#REF!,1,FALSE())),"?TYPE_IDENTIFIABLE","?REFERENTIAL"),"_")))))</f>
        <v/>
      </c>
      <c r="H1167" s="27" t="str">
        <f aca="false">IF(J1167&lt;&gt;1,"",IF(I1167="SBJ","CB","?"))</f>
        <v/>
      </c>
      <c r="I1167" s="24" t="str">
        <f aca="false">IF(OR(E1167="",E1167="!!!",F1167="NEW"),"",INDEX(B12:B$1156,-1+SUMPRODUCT(MAX(ROW(E12:E$1156)*(E1167=E12:E$1156)))))</f>
        <v/>
      </c>
      <c r="J1167" s="24" t="str">
        <f aca="true">IF(OR(E1167="",E1167="!!!",F1167="NEW"),"",COUNTBLANK(OFFSET(A$1,,,SUMPRODUCT(MAX(ROW(E$2:E1167)*(E1167=E$2:E1167)))))-COUNTBLANK(OFFSET(A$1,,,SUMPRODUCT(MAX(ROW(E$1:E1166)*(E2=E$1:E1166))))))</f>
        <v/>
      </c>
      <c r="K1167" s="24" t="str">
        <f aca="false">IF(OR(E1167="",E1167="!!!",F1167="NEW"),"",INDEX(J$1:J1166,SUMPRODUCT(MAX(ROW(E$1:E1166)*(E1167=E$1:E1166)))))</f>
        <v/>
      </c>
      <c r="L1167" s="31"/>
    </row>
    <row r="1168" customFormat="false" ht="15" hidden="false" customHeight="false" outlineLevel="0" collapsed="false">
      <c r="A1168" s="20" t="s">
        <v>1085</v>
      </c>
      <c r="E1168" s="23" t="str">
        <f aca="false">IF(D1168="?OLD","!!!","")</f>
        <v/>
      </c>
      <c r="F1168" s="25" t="str">
        <f aca="false">IF(OR(E1168="",E1168="!!!"),"",IF(NOT(ISNA(VLOOKUP(E1168,E$1:E1167,1,FALSE()))),"OLD",IF(AND(E1168&lt;&gt;"",E1168&lt;&gt;"!!!"),"NEW","")))</f>
        <v/>
      </c>
      <c r="G1168" s="26" t="str">
        <f aca="false">IF(OR(E1168="",E1168="!!!"),"",IF(OR(J1168=0,AND(J1168=1,K1168=1),AND(J1168=1,I1168="SBJ"),AND(J1168=1,I1168=0)),"?IN_FOCUS",IF(J1168&lt;=2,"?ACTIVATED",IF(J1168&lt;&gt;"","?FAMILIAR",IF(F1168="NEW",IF(ISNA(VLOOKUP(E1168,#REF!,1,FALSE())),"?TYPE_IDENTIFIABLE","?REFERENTIAL"),"_")))))</f>
        <v/>
      </c>
      <c r="H1168" s="27" t="str">
        <f aca="false">IF(J1168&lt;&gt;1,"",IF(I1168="SBJ","CB","?"))</f>
        <v/>
      </c>
      <c r="I1168" s="24" t="str">
        <f aca="false">IF(OR(E1168="",E1168="!!!",F1168="NEW"),"",INDEX(B13:B$1156,-1+SUMPRODUCT(MAX(ROW(E13:E$1156)*(E1168=E13:E$1156)))))</f>
        <v/>
      </c>
      <c r="J1168" s="24" t="str">
        <f aca="true">IF(OR(E1168="",E1168="!!!",F1168="NEW"),"",COUNTBLANK(OFFSET(A$1,,,SUMPRODUCT(MAX(ROW(E$2:E1168)*(E1168=E$2:E1168)))))-COUNTBLANK(OFFSET(A$1,,,SUMPRODUCT(MAX(ROW(E$1:E1167)*(E2=E$1:E1167))))))</f>
        <v/>
      </c>
      <c r="K1168" s="24" t="str">
        <f aca="false">IF(OR(E1168="",E1168="!!!",F1168="NEW"),"",INDEX(J$1:J1167,SUMPRODUCT(MAX(ROW(E$1:E1167)*(E1168=E$1:E1167)))))</f>
        <v/>
      </c>
      <c r="L1168" s="31"/>
    </row>
    <row r="1169" customFormat="false" ht="15" hidden="false" customHeight="false" outlineLevel="0" collapsed="false">
      <c r="A1169" s="20" t="s">
        <v>1591</v>
      </c>
      <c r="B1169" s="22" t="s">
        <v>1142</v>
      </c>
      <c r="C1169" s="22" t="s">
        <v>1087</v>
      </c>
      <c r="E1169" s="23" t="str">
        <f aca="false">IF(D1169="?OLD","!!!","")</f>
        <v/>
      </c>
      <c r="F1169" s="25" t="str">
        <f aca="false">IF(OR(E1169="",E1169="!!!"),"",IF(NOT(ISNA(VLOOKUP(E1169,E$1:E1168,1,FALSE()))),"OLD",IF(AND(E1169&lt;&gt;"",E1169&lt;&gt;"!!!"),"NEW","")))</f>
        <v/>
      </c>
      <c r="G1169" s="26" t="str">
        <f aca="false">IF(OR(E1169="",E1169="!!!"),"",IF(OR(J1169=0,AND(J1169=1,K1169=1),AND(J1169=1,I1169="SBJ"),AND(J1169=1,I1169=0)),"?IN_FOCUS",IF(J1169&lt;=2,"?ACTIVATED",IF(J1169&lt;&gt;"","?FAMILIAR",IF(F1169="NEW",IF(ISNA(VLOOKUP(E1169,#REF!,1,FALSE())),"?TYPE_IDENTIFIABLE","?REFERENTIAL"),"_")))))</f>
        <v/>
      </c>
      <c r="H1169" s="27" t="str">
        <f aca="false">IF(J1169&lt;&gt;1,"",IF(I1169="SBJ","CB","?"))</f>
        <v/>
      </c>
      <c r="I1169" s="24" t="str">
        <f aca="false">IF(OR(E1169="",E1169="!!!",F1169="NEW"),"",INDEX(B14:B$1156,-1+SUMPRODUCT(MAX(ROW(E14:E$1156)*(E1169=E14:E$1156)))))</f>
        <v/>
      </c>
      <c r="J1169" s="24" t="str">
        <f aca="true">IF(OR(E1169="",E1169="!!!",F1169="NEW"),"",COUNTBLANK(OFFSET(A$1,,,SUMPRODUCT(MAX(ROW(E$2:E1169)*(E1169=E$2:E1169)))))-COUNTBLANK(OFFSET(A$1,,,SUMPRODUCT(MAX(ROW(E$1:E1168)*(E2=E$1:E1168))))))</f>
        <v/>
      </c>
      <c r="K1169" s="24" t="str">
        <f aca="false">IF(OR(E1169="",E1169="!!!",F1169="NEW"),"",INDEX(J$1:J1168,SUMPRODUCT(MAX(ROW(E$1:E1168)*(E1169=E$1:E1168)))))</f>
        <v/>
      </c>
      <c r="L1169" s="31"/>
    </row>
    <row r="1170" customFormat="false" ht="15" hidden="false" customHeight="false" outlineLevel="0" collapsed="false">
      <c r="A1170" s="20" t="s">
        <v>1076</v>
      </c>
      <c r="E1170" s="23" t="str">
        <f aca="false">IF(D1170="?OLD","!!!","")</f>
        <v/>
      </c>
      <c r="F1170" s="25" t="str">
        <f aca="false">IF(OR(E1170="",E1170="!!!"),"",IF(NOT(ISNA(VLOOKUP(E1170,E$1:E1169,1,FALSE()))),"OLD",IF(AND(E1170&lt;&gt;"",E1170&lt;&gt;"!!!"),"NEW","")))</f>
        <v/>
      </c>
      <c r="G1170" s="26" t="str">
        <f aca="false">IF(OR(E1170="",E1170="!!!"),"",IF(OR(J1170=0,AND(J1170=1,K1170=1),AND(J1170=1,I1170="SBJ"),AND(J1170=1,I1170=0)),"?IN_FOCUS",IF(J1170&lt;=2,"?ACTIVATED",IF(J1170&lt;&gt;"","?FAMILIAR",IF(F1170="NEW",IF(ISNA(VLOOKUP(E1170,#REF!,1,FALSE())),"?TYPE_IDENTIFIABLE","?REFERENTIAL"),"_")))))</f>
        <v/>
      </c>
      <c r="H1170" s="27" t="str">
        <f aca="false">IF(J1170&lt;&gt;1,"",IF(I1170="SBJ","CB","?"))</f>
        <v/>
      </c>
      <c r="I1170" s="24" t="str">
        <f aca="false">IF(OR(E1170="",E1170="!!!",F1170="NEW"),"",INDEX(B15:B$1156,-1+SUMPRODUCT(MAX(ROW(E15:E$1156)*(E1170=E15:E$1156)))))</f>
        <v/>
      </c>
      <c r="J1170" s="24" t="str">
        <f aca="true">IF(OR(E1170="",E1170="!!!",F1170="NEW"),"",COUNTBLANK(OFFSET(A$1,,,SUMPRODUCT(MAX(ROW(E$2:E1170)*(E1170=E$2:E1170)))))-COUNTBLANK(OFFSET(A$1,,,SUMPRODUCT(MAX(ROW(E$1:E1169)*(E2=E$1:E1169))))))</f>
        <v/>
      </c>
      <c r="K1170" s="24" t="str">
        <f aca="false">IF(OR(E1170="",E1170="!!!",F1170="NEW"),"",INDEX(J$1:J1169,SUMPRODUCT(MAX(ROW(E$1:E1169)*(E1170=E$1:E1169)))))</f>
        <v/>
      </c>
      <c r="L1170" s="31"/>
    </row>
    <row r="1171" customFormat="false" ht="15" hidden="false" customHeight="false" outlineLevel="0" collapsed="false">
      <c r="A1171" s="20" t="s">
        <v>1592</v>
      </c>
      <c r="E1171" s="23" t="str">
        <f aca="false">IF(D1171="?OLD","!!!","")</f>
        <v/>
      </c>
      <c r="F1171" s="25" t="str">
        <f aca="false">IF(OR(E1171="",E1171="!!!"),"",IF(NOT(ISNA(VLOOKUP(E1171,E$1:E1170,1,FALSE()))),"OLD",IF(AND(E1171&lt;&gt;"",E1171&lt;&gt;"!!!"),"NEW","")))</f>
        <v/>
      </c>
      <c r="G1171" s="26" t="str">
        <f aca="false">IF(OR(E1171="",E1171="!!!"),"",IF(OR(J1171=0,AND(J1171=1,K1171=1),AND(J1171=1,I1171="SBJ"),AND(J1171=1,I1171=0)),"?IN_FOCUS",IF(J1171&lt;=2,"?ACTIVATED",IF(J1171&lt;&gt;"","?FAMILIAR",IF(F1171="NEW",IF(ISNA(VLOOKUP(E1171,#REF!,1,FALSE())),"?TYPE_IDENTIFIABLE","?REFERENTIAL"),"_")))))</f>
        <v/>
      </c>
      <c r="H1171" s="27" t="str">
        <f aca="false">IF(J1171&lt;&gt;1,"",IF(I1171="SBJ","CB","?"))</f>
        <v/>
      </c>
      <c r="I1171" s="24" t="str">
        <f aca="false">IF(OR(E1171="",E1171="!!!",F1171="NEW"),"",INDEX(B16:B$1156,-1+SUMPRODUCT(MAX(ROW(E16:E$1156)*(E1171=E16:E$1156)))))</f>
        <v/>
      </c>
      <c r="J1171" s="24" t="str">
        <f aca="true">IF(OR(E1171="",E1171="!!!",F1171="NEW"),"",COUNTBLANK(OFFSET(A$1,,,SUMPRODUCT(MAX(ROW(E$2:E1171)*(E1171=E$2:E1171)))))-COUNTBLANK(OFFSET(A$1,,,SUMPRODUCT(MAX(ROW(E$1:E1170)*(E2=E$1:E1170))))))</f>
        <v/>
      </c>
      <c r="K1171" s="24" t="str">
        <f aca="false">IF(OR(E1171="",E1171="!!!",F1171="NEW"),"",INDEX(J$1:J1170,SUMPRODUCT(MAX(ROW(E$1:E1170)*(E1171=E$1:E1170)))))</f>
        <v/>
      </c>
      <c r="L1171" s="31"/>
    </row>
    <row r="1172" customFormat="false" ht="15" hidden="false" customHeight="false" outlineLevel="0" collapsed="false">
      <c r="A1172" s="20" t="s">
        <v>1358</v>
      </c>
      <c r="B1172" s="22" t="s">
        <v>1067</v>
      </c>
      <c r="C1172" s="22" t="s">
        <v>1160</v>
      </c>
      <c r="E1172" s="23" t="str">
        <f aca="false">IF(D1172="?OLD","!!!","")</f>
        <v/>
      </c>
      <c r="F1172" s="25" t="str">
        <f aca="false">IF(OR(E1172="",E1172="!!!"),"",IF(NOT(ISNA(VLOOKUP(E1172,E$1:E1171,1,FALSE()))),"OLD",IF(AND(E1172&lt;&gt;"",E1172&lt;&gt;"!!!"),"NEW","")))</f>
        <v/>
      </c>
      <c r="G1172" s="26" t="str">
        <f aca="false">IF(OR(E1172="",E1172="!!!"),"",IF(OR(J1172=0,AND(J1172=1,K1172=1),AND(J1172=1,I1172="SBJ"),AND(J1172=1,I1172=0)),"?IN_FOCUS",IF(J1172&lt;=2,"?ACTIVATED",IF(J1172&lt;&gt;"","?FAMILIAR",IF(F1172="NEW",IF(ISNA(VLOOKUP(E1172,#REF!,1,FALSE())),"?TYPE_IDENTIFIABLE","?REFERENTIAL"),"_")))))</f>
        <v/>
      </c>
      <c r="H1172" s="27" t="str">
        <f aca="false">IF(J1172&lt;&gt;1,"",IF(I1172="SBJ","CB","?"))</f>
        <v/>
      </c>
      <c r="I1172" s="24" t="str">
        <f aca="false">IF(OR(E1172="",E1172="!!!",F1172="NEW"),"",INDEX(B17:B$1156,-1+SUMPRODUCT(MAX(ROW(E17:E$1156)*(E1172=E17:E$1156)))))</f>
        <v/>
      </c>
      <c r="J1172" s="24" t="str">
        <f aca="true">IF(OR(E1172="",E1172="!!!",F1172="NEW"),"",COUNTBLANK(OFFSET(A$1,,,SUMPRODUCT(MAX(ROW(E$2:E1172)*(E1172=E$2:E1172)))))-COUNTBLANK(OFFSET(A$1,,,SUMPRODUCT(MAX(ROW(E$1:E1171)*(E2=E$1:E1171))))))</f>
        <v/>
      </c>
      <c r="K1172" s="24" t="str">
        <f aca="false">IF(OR(E1172="",E1172="!!!",F1172="NEW"),"",INDEX(J$1:J1171,SUMPRODUCT(MAX(ROW(E$1:E1171)*(E1172=E$1:E1171)))))</f>
        <v/>
      </c>
      <c r="L1172" s="31"/>
    </row>
    <row r="1173" customFormat="false" ht="15" hidden="false" customHeight="false" outlineLevel="0" collapsed="false">
      <c r="A1173" s="20" t="s">
        <v>923</v>
      </c>
      <c r="E1173" s="23" t="str">
        <f aca="false">IF(D1173="?OLD","!!!","")</f>
        <v/>
      </c>
      <c r="F1173" s="25" t="str">
        <f aca="false">IF(OR(E1173="",E1173="!!!"),"",IF(NOT(ISNA(VLOOKUP(E1173,E$1:E1172,1,FALSE()))),"OLD",IF(AND(E1173&lt;&gt;"",E1173&lt;&gt;"!!!"),"NEW","")))</f>
        <v/>
      </c>
      <c r="G1173" s="26" t="str">
        <f aca="false">IF(OR(E1173="",E1173="!!!"),"",IF(OR(J1173=0,AND(J1173=1,K1173=1),AND(J1173=1,I1173="SBJ"),AND(J1173=1,I1173=0)),"?IN_FOCUS",IF(J1173&lt;=2,"?ACTIVATED",IF(J1173&lt;&gt;"","?FAMILIAR",IF(F1173="NEW",IF(ISNA(VLOOKUP(E1173,#REF!,1,FALSE())),"?TYPE_IDENTIFIABLE","?REFERENTIAL"),"_")))))</f>
        <v/>
      </c>
      <c r="H1173" s="27" t="str">
        <f aca="false">IF(J1173&lt;&gt;1,"",IF(I1173="SBJ","CB","?"))</f>
        <v/>
      </c>
      <c r="I1173" s="24" t="str">
        <f aca="false">IF(OR(E1173="",E1173="!!!",F1173="NEW"),"",INDEX(B18:B$1156,-1+SUMPRODUCT(MAX(ROW(E18:E$1156)*(E1173=E18:E$1156)))))</f>
        <v/>
      </c>
      <c r="J1173" s="24" t="str">
        <f aca="true">IF(OR(E1173="",E1173="!!!",F1173="NEW"),"",COUNTBLANK(OFFSET(A$1,,,SUMPRODUCT(MAX(ROW(E$2:E1173)*(E1173=E$2:E1173)))))-COUNTBLANK(OFFSET(A$1,,,SUMPRODUCT(MAX(ROW(E$1:E1172)*(E2=E$1:E1172))))))</f>
        <v/>
      </c>
      <c r="K1173" s="24" t="str">
        <f aca="false">IF(OR(E1173="",E1173="!!!",F1173="NEW"),"",INDEX(J$1:J1172,SUMPRODUCT(MAX(ROW(E$1:E1172)*(E1173=E$1:E1172)))))</f>
        <v/>
      </c>
      <c r="L1173" s="31"/>
    </row>
    <row r="1174" customFormat="false" ht="15" hidden="false" customHeight="false" outlineLevel="0" collapsed="false">
      <c r="A1174" s="20"/>
    </row>
    <row r="1175" customFormat="false" ht="15" hidden="false" customHeight="false" outlineLevel="0" collapsed="false">
      <c r="A1175" s="20" t="s">
        <v>1593</v>
      </c>
    </row>
    <row r="1176" customFormat="false" ht="15" hidden="false" customHeight="false" outlineLevel="0" collapsed="false">
      <c r="A1176" s="20" t="s">
        <v>1261</v>
      </c>
      <c r="B1176" s="22" t="s">
        <v>1058</v>
      </c>
      <c r="C1176" s="22" t="s">
        <v>1082</v>
      </c>
      <c r="D1176" s="22" t="s">
        <v>1060</v>
      </c>
      <c r="E1176" s="23" t="str">
        <f aca="false">IF(D1176="?OLD","!!!","")</f>
        <v>!!!</v>
      </c>
      <c r="F1176" s="25" t="str">
        <f aca="false">IF(OR(E1176="",E1176="!!!"),"",IF(NOT(ISNA(VLOOKUP(E1176,E$1:E1175,1,FALSE()))),"OLD",IF(AND(E1176&lt;&gt;"",E1176&lt;&gt;"!!!"),"NEW","")))</f>
        <v/>
      </c>
      <c r="G1176" s="26" t="str">
        <f aca="false">IF(OR(E1176="",E1176="!!!"),"",IF(OR(J1176=0,AND(J1176=1,K1176=1),AND(J1176=1,I1176="SBJ"),AND(J1176=1,I1176=0)),"?IN_FOCUS",IF(J1176&lt;=2,"?ACTIVATED",IF(J1176&lt;&gt;"","?FAMILIAR",IF(F1176="NEW",IF(ISNA(VLOOKUP(E1176,#REF!,1,FALSE())),"?TYPE_IDENTIFIABLE","?REFERENTIAL"),"_")))))</f>
        <v/>
      </c>
      <c r="H1176" s="27" t="str">
        <f aca="false">IF(J1176&lt;&gt;1,"",IF(I1176="SBJ","CB","?"))</f>
        <v/>
      </c>
      <c r="I1176" s="24" t="str">
        <f aca="false">IF(OR(E1176="",E1176="!!!",F1176="NEW"),"",INDEX(B2:B$1175,-1+SUMPRODUCT(MAX(ROW(E2:E$1175)*(E1176=E2:E$1175)))))</f>
        <v/>
      </c>
      <c r="J1176" s="24" t="str">
        <f aca="true">IF(OR(E1176="",E1176="!!!",F1176="NEW"),"",COUNTBLANK(OFFSET(A$1,,,SUMPRODUCT(MAX(ROW(E$2:E1176)*(E1176=E$2:E1176)))))-COUNTBLANK(OFFSET(A$1,,,SUMPRODUCT(MAX(ROW(E$1:E1175)*(E2=E$1:E1175))))))</f>
        <v/>
      </c>
      <c r="K1176" s="24" t="str">
        <f aca="false">IF(OR(E1176="",E1176="!!!",F1176="NEW"),"",INDEX(J$1:J1175,SUMPRODUCT(MAX(ROW(E$1:E1175)*(E1176=E$1:E1175)))))</f>
        <v/>
      </c>
      <c r="L1176" s="31"/>
    </row>
    <row r="1177" customFormat="false" ht="15" hidden="false" customHeight="false" outlineLevel="0" collapsed="false">
      <c r="A1177" s="20" t="s">
        <v>1092</v>
      </c>
      <c r="E1177" s="23" t="str">
        <f aca="false">IF(D1177="?OLD","!!!","")</f>
        <v/>
      </c>
      <c r="F1177" s="25" t="str">
        <f aca="false">IF(OR(E1177="",E1177="!!!"),"",IF(NOT(ISNA(VLOOKUP(E1177,E$1:E1176,1,FALSE()))),"OLD",IF(AND(E1177&lt;&gt;"",E1177&lt;&gt;"!!!"),"NEW","")))</f>
        <v/>
      </c>
      <c r="G1177" s="26" t="str">
        <f aca="false">IF(OR(E1177="",E1177="!!!"),"",IF(OR(J1177=0,AND(J1177=1,K1177=1),AND(J1177=1,I1177="SBJ"),AND(J1177=1,I1177=0)),"?IN_FOCUS",IF(J1177&lt;=2,"?ACTIVATED",IF(J1177&lt;&gt;"","?FAMILIAR",IF(F1177="NEW",IF(ISNA(VLOOKUP(E1177,#REF!,1,FALSE())),"?TYPE_IDENTIFIABLE","?REFERENTIAL"),"_")))))</f>
        <v/>
      </c>
      <c r="H1177" s="27" t="str">
        <f aca="false">IF(J1177&lt;&gt;1,"",IF(I1177="SBJ","CB","?"))</f>
        <v/>
      </c>
      <c r="I1177" s="24" t="str">
        <f aca="false">IF(OR(E1177="",E1177="!!!",F1177="NEW"),"",INDEX(B3:B$1175,-1+SUMPRODUCT(MAX(ROW(E3:E$1175)*(E1177=E3:E$1175)))))</f>
        <v/>
      </c>
      <c r="J1177" s="24" t="str">
        <f aca="true">IF(OR(E1177="",E1177="!!!",F1177="NEW"),"",COUNTBLANK(OFFSET(A$1,,,SUMPRODUCT(MAX(ROW(E$2:E1177)*(E1177=E$2:E1177)))))-COUNTBLANK(OFFSET(A$1,,,SUMPRODUCT(MAX(ROW(E$1:E1176)*(E2=E$1:E1176))))))</f>
        <v/>
      </c>
      <c r="K1177" s="24" t="str">
        <f aca="false">IF(OR(E1177="",E1177="!!!",F1177="NEW"),"",INDEX(J$1:J1176,SUMPRODUCT(MAX(ROW(E$1:E1176)*(E1177=E$1:E1176)))))</f>
        <v/>
      </c>
      <c r="L1177" s="31"/>
    </row>
    <row r="1178" customFormat="false" ht="15" hidden="false" customHeight="false" outlineLevel="0" collapsed="false">
      <c r="A1178" s="20" t="s">
        <v>1594</v>
      </c>
      <c r="E1178" s="23" t="str">
        <f aca="false">IF(D1178="?OLD","!!!","")</f>
        <v/>
      </c>
      <c r="F1178" s="25" t="str">
        <f aca="false">IF(OR(E1178="",E1178="!!!"),"",IF(NOT(ISNA(VLOOKUP(E1178,E$1:E1177,1,FALSE()))),"OLD",IF(AND(E1178&lt;&gt;"",E1178&lt;&gt;"!!!"),"NEW","")))</f>
        <v/>
      </c>
      <c r="G1178" s="26" t="str">
        <f aca="false">IF(OR(E1178="",E1178="!!!"),"",IF(OR(J1178=0,AND(J1178=1,K1178=1),AND(J1178=1,I1178="SBJ"),AND(J1178=1,I1178=0)),"?IN_FOCUS",IF(J1178&lt;=2,"?ACTIVATED",IF(J1178&lt;&gt;"","?FAMILIAR",IF(F1178="NEW",IF(ISNA(VLOOKUP(E1178,#REF!,1,FALSE())),"?TYPE_IDENTIFIABLE","?REFERENTIAL"),"_")))))</f>
        <v/>
      </c>
      <c r="H1178" s="27" t="str">
        <f aca="false">IF(J1178&lt;&gt;1,"",IF(I1178="SBJ","CB","?"))</f>
        <v/>
      </c>
      <c r="I1178" s="24" t="str">
        <f aca="false">IF(OR(E1178="",E1178="!!!",F1178="NEW"),"",INDEX(B4:B$1175,-1+SUMPRODUCT(MAX(ROW(E4:E$1175)*(E1178=E4:E$1175)))))</f>
        <v/>
      </c>
      <c r="J1178" s="24" t="str">
        <f aca="true">IF(OR(E1178="",E1178="!!!",F1178="NEW"),"",COUNTBLANK(OFFSET(A$1,,,SUMPRODUCT(MAX(ROW(E$2:E1178)*(E1178=E$2:E1178)))))-COUNTBLANK(OFFSET(A$1,,,SUMPRODUCT(MAX(ROW(E$1:E1177)*(E2=E$1:E1177))))))</f>
        <v/>
      </c>
      <c r="K1178" s="24" t="str">
        <f aca="false">IF(OR(E1178="",E1178="!!!",F1178="NEW"),"",INDEX(J$1:J1177,SUMPRODUCT(MAX(ROW(E$1:E1177)*(E1178=E$1:E1177)))))</f>
        <v/>
      </c>
      <c r="L1178" s="31"/>
    </row>
    <row r="1179" customFormat="false" ht="15" hidden="false" customHeight="false" outlineLevel="0" collapsed="false">
      <c r="A1179" s="20" t="s">
        <v>1595</v>
      </c>
      <c r="E1179" s="23" t="str">
        <f aca="false">IF(D1179="?OLD","!!!","")</f>
        <v/>
      </c>
      <c r="F1179" s="25" t="str">
        <f aca="false">IF(OR(E1179="",E1179="!!!"),"",IF(NOT(ISNA(VLOOKUP(E1179,E$1:E1178,1,FALSE()))),"OLD",IF(AND(E1179&lt;&gt;"",E1179&lt;&gt;"!!!"),"NEW","")))</f>
        <v/>
      </c>
      <c r="G1179" s="26" t="str">
        <f aca="false">IF(OR(E1179="",E1179="!!!"),"",IF(OR(J1179=0,AND(J1179=1,K1179=1),AND(J1179=1,I1179="SBJ"),AND(J1179=1,I1179=0)),"?IN_FOCUS",IF(J1179&lt;=2,"?ACTIVATED",IF(J1179&lt;&gt;"","?FAMILIAR",IF(F1179="NEW",IF(ISNA(VLOOKUP(E1179,#REF!,1,FALSE())),"?TYPE_IDENTIFIABLE","?REFERENTIAL"),"_")))))</f>
        <v/>
      </c>
      <c r="H1179" s="27" t="str">
        <f aca="false">IF(J1179&lt;&gt;1,"",IF(I1179="SBJ","CB","?"))</f>
        <v/>
      </c>
      <c r="I1179" s="24" t="str">
        <f aca="false">IF(OR(E1179="",E1179="!!!",F1179="NEW"),"",INDEX(B5:B$1175,-1+SUMPRODUCT(MAX(ROW(E5:E$1175)*(E1179=E5:E$1175)))))</f>
        <v/>
      </c>
      <c r="J1179" s="24" t="str">
        <f aca="true">IF(OR(E1179="",E1179="!!!",F1179="NEW"),"",COUNTBLANK(OFFSET(A$1,,,SUMPRODUCT(MAX(ROW(E$2:E1179)*(E1179=E$2:E1179)))))-COUNTBLANK(OFFSET(A$1,,,SUMPRODUCT(MAX(ROW(E$1:E1178)*(E2=E$1:E1178))))))</f>
        <v/>
      </c>
      <c r="K1179" s="24" t="str">
        <f aca="false">IF(OR(E1179="",E1179="!!!",F1179="NEW"),"",INDEX(J$1:J1178,SUMPRODUCT(MAX(ROW(E$1:E1178)*(E1179=E$1:E1178)))))</f>
        <v/>
      </c>
      <c r="L1179" s="31"/>
    </row>
    <row r="1180" customFormat="false" ht="15" hidden="false" customHeight="false" outlineLevel="0" collapsed="false">
      <c r="A1180" s="20" t="s">
        <v>1173</v>
      </c>
      <c r="E1180" s="23" t="str">
        <f aca="false">IF(D1180="?OLD","!!!","")</f>
        <v/>
      </c>
      <c r="F1180" s="25" t="str">
        <f aca="false">IF(OR(E1180="",E1180="!!!"),"",IF(NOT(ISNA(VLOOKUP(E1180,E$1:E1179,1,FALSE()))),"OLD",IF(AND(E1180&lt;&gt;"",E1180&lt;&gt;"!!!"),"NEW","")))</f>
        <v/>
      </c>
      <c r="G1180" s="26" t="str">
        <f aca="false">IF(OR(E1180="",E1180="!!!"),"",IF(OR(J1180=0,AND(J1180=1,K1180=1),AND(J1180=1,I1180="SBJ"),AND(J1180=1,I1180=0)),"?IN_FOCUS",IF(J1180&lt;=2,"?ACTIVATED",IF(J1180&lt;&gt;"","?FAMILIAR",IF(F1180="NEW",IF(ISNA(VLOOKUP(E1180,#REF!,1,FALSE())),"?TYPE_IDENTIFIABLE","?REFERENTIAL"),"_")))))</f>
        <v/>
      </c>
      <c r="H1180" s="27" t="str">
        <f aca="false">IF(J1180&lt;&gt;1,"",IF(I1180="SBJ","CB","?"))</f>
        <v/>
      </c>
      <c r="I1180" s="24" t="str">
        <f aca="false">IF(OR(E1180="",E1180="!!!",F1180="NEW"),"",INDEX(B6:B$1175,-1+SUMPRODUCT(MAX(ROW(E6:E$1175)*(E1180=E6:E$1175)))))</f>
        <v/>
      </c>
      <c r="J1180" s="24" t="str">
        <f aca="true">IF(OR(E1180="",E1180="!!!",F1180="NEW"),"",COUNTBLANK(OFFSET(A$1,,,SUMPRODUCT(MAX(ROW(E$2:E1180)*(E1180=E$2:E1180)))))-COUNTBLANK(OFFSET(A$1,,,SUMPRODUCT(MAX(ROW(E$1:E1179)*(E2=E$1:E1179))))))</f>
        <v/>
      </c>
      <c r="K1180" s="24" t="str">
        <f aca="false">IF(OR(E1180="",E1180="!!!",F1180="NEW"),"",INDEX(J$1:J1179,SUMPRODUCT(MAX(ROW(E$1:E1179)*(E1180=E$1:E1179)))))</f>
        <v/>
      </c>
      <c r="L1180" s="31"/>
    </row>
    <row r="1181" customFormat="false" ht="15" hidden="false" customHeight="false" outlineLevel="0" collapsed="false">
      <c r="A1181" s="20" t="s">
        <v>1189</v>
      </c>
      <c r="B1181" s="22" t="s">
        <v>1073</v>
      </c>
      <c r="C1181" s="22" t="s">
        <v>1099</v>
      </c>
      <c r="D1181" s="22" t="s">
        <v>1060</v>
      </c>
      <c r="E1181" s="23" t="str">
        <f aca="false">IF(D1181="?OLD","!!!","")</f>
        <v>!!!</v>
      </c>
      <c r="F1181" s="25" t="str">
        <f aca="false">IF(OR(E1181="",E1181="!!!"),"",IF(NOT(ISNA(VLOOKUP(E1181,E$1:E1180,1,FALSE()))),"OLD",IF(AND(E1181&lt;&gt;"",E1181&lt;&gt;"!!!"),"NEW","")))</f>
        <v/>
      </c>
      <c r="G1181" s="26" t="str">
        <f aca="false">IF(OR(E1181="",E1181="!!!"),"",IF(OR(J1181=0,AND(J1181=1,K1181=1),AND(J1181=1,I1181="SBJ"),AND(J1181=1,I1181=0)),"?IN_FOCUS",IF(J1181&lt;=2,"?ACTIVATED",IF(J1181&lt;&gt;"","?FAMILIAR",IF(F1181="NEW",IF(ISNA(VLOOKUP(E1181,#REF!,1,FALSE())),"?TYPE_IDENTIFIABLE","?REFERENTIAL"),"_")))))</f>
        <v/>
      </c>
      <c r="H1181" s="27" t="str">
        <f aca="false">IF(J1181&lt;&gt;1,"",IF(I1181="SBJ","CB","?"))</f>
        <v/>
      </c>
      <c r="I1181" s="24" t="str">
        <f aca="false">IF(OR(E1181="",E1181="!!!",F1181="NEW"),"",INDEX(B7:B$1175,-1+SUMPRODUCT(MAX(ROW(E7:E$1175)*(E1181=E7:E$1175)))))</f>
        <v/>
      </c>
      <c r="J1181" s="24" t="str">
        <f aca="true">IF(OR(E1181="",E1181="!!!",F1181="NEW"),"",COUNTBLANK(OFFSET(A$1,,,SUMPRODUCT(MAX(ROW(E$2:E1181)*(E1181=E$2:E1181)))))-COUNTBLANK(OFFSET(A$1,,,SUMPRODUCT(MAX(ROW(E$1:E1180)*(E2=E$1:E1180))))))</f>
        <v/>
      </c>
      <c r="K1181" s="24" t="str">
        <f aca="false">IF(OR(E1181="",E1181="!!!",F1181="NEW"),"",INDEX(J$1:J1180,SUMPRODUCT(MAX(ROW(E$1:E1180)*(E1181=E$1:E1180)))))</f>
        <v/>
      </c>
      <c r="L1181" s="31"/>
    </row>
    <row r="1182" customFormat="false" ht="15" hidden="false" customHeight="false" outlineLevel="0" collapsed="false">
      <c r="A1182" s="20" t="s">
        <v>1596</v>
      </c>
      <c r="B1182" s="22" t="s">
        <v>1105</v>
      </c>
      <c r="C1182" s="22" t="s">
        <v>1059</v>
      </c>
      <c r="D1182" s="22" t="s">
        <v>1060</v>
      </c>
      <c r="E1182" s="23" t="str">
        <f aca="false">IF(D1182="?OLD","!!!","")</f>
        <v>!!!</v>
      </c>
      <c r="F1182" s="25" t="str">
        <f aca="false">IF(OR(E1182="",E1182="!!!"),"",IF(NOT(ISNA(VLOOKUP(E1182,E$1:E1181,1,FALSE()))),"OLD",IF(AND(E1182&lt;&gt;"",E1182&lt;&gt;"!!!"),"NEW","")))</f>
        <v/>
      </c>
      <c r="G1182" s="26" t="str">
        <f aca="false">IF(OR(E1182="",E1182="!!!"),"",IF(OR(J1182=0,AND(J1182=1,K1182=1),AND(J1182=1,I1182="SBJ"),AND(J1182=1,I1182=0)),"?IN_FOCUS",IF(J1182&lt;=2,"?ACTIVATED",IF(J1182&lt;&gt;"","?FAMILIAR",IF(F1182="NEW",IF(ISNA(VLOOKUP(E1182,#REF!,1,FALSE())),"?TYPE_IDENTIFIABLE","?REFERENTIAL"),"_")))))</f>
        <v/>
      </c>
      <c r="H1182" s="27" t="str">
        <f aca="false">IF(J1182&lt;&gt;1,"",IF(I1182="SBJ","CB","?"))</f>
        <v/>
      </c>
      <c r="I1182" s="24" t="str">
        <f aca="false">IF(OR(E1182="",E1182="!!!",F1182="NEW"),"",INDEX(B8:B$1175,-1+SUMPRODUCT(MAX(ROW(E8:E$1175)*(E1182=E8:E$1175)))))</f>
        <v/>
      </c>
      <c r="J1182" s="24" t="str">
        <f aca="true">IF(OR(E1182="",E1182="!!!",F1182="NEW"),"",COUNTBLANK(OFFSET(A$1,,,SUMPRODUCT(MAX(ROW(E$2:E1182)*(E1182=E$2:E1182)))))-COUNTBLANK(OFFSET(A$1,,,SUMPRODUCT(MAX(ROW(E$1:E1181)*(E2=E$1:E1181))))))</f>
        <v/>
      </c>
      <c r="K1182" s="24" t="str">
        <f aca="false">IF(OR(E1182="",E1182="!!!",F1182="NEW"),"",INDEX(J$1:J1181,SUMPRODUCT(MAX(ROW(E$1:E1181)*(E1182=E$1:E1181)))))</f>
        <v/>
      </c>
      <c r="L1182" s="31"/>
    </row>
    <row r="1183" customFormat="false" ht="15" hidden="false" customHeight="false" outlineLevel="0" collapsed="false">
      <c r="A1183" s="20" t="s">
        <v>1076</v>
      </c>
      <c r="E1183" s="23" t="str">
        <f aca="false">IF(D1183="?OLD","!!!","")</f>
        <v/>
      </c>
      <c r="F1183" s="25" t="str">
        <f aca="false">IF(OR(E1183="",E1183="!!!"),"",IF(NOT(ISNA(VLOOKUP(E1183,E$1:E1182,1,FALSE()))),"OLD",IF(AND(E1183&lt;&gt;"",E1183&lt;&gt;"!!!"),"NEW","")))</f>
        <v/>
      </c>
      <c r="G1183" s="26" t="str">
        <f aca="false">IF(OR(E1183="",E1183="!!!"),"",IF(OR(J1183=0,AND(J1183=1,K1183=1),AND(J1183=1,I1183="SBJ"),AND(J1183=1,I1183=0)),"?IN_FOCUS",IF(J1183&lt;=2,"?ACTIVATED",IF(J1183&lt;&gt;"","?FAMILIAR",IF(F1183="NEW",IF(ISNA(VLOOKUP(E1183,#REF!,1,FALSE())),"?TYPE_IDENTIFIABLE","?REFERENTIAL"),"_")))))</f>
        <v/>
      </c>
      <c r="H1183" s="27" t="str">
        <f aca="false">IF(J1183&lt;&gt;1,"",IF(I1183="SBJ","CB","?"))</f>
        <v/>
      </c>
      <c r="I1183" s="24" t="str">
        <f aca="false">IF(OR(E1183="",E1183="!!!",F1183="NEW"),"",INDEX(B9:B$1175,-1+SUMPRODUCT(MAX(ROW(E9:E$1175)*(E1183=E9:E$1175)))))</f>
        <v/>
      </c>
      <c r="J1183" s="24" t="str">
        <f aca="true">IF(OR(E1183="",E1183="!!!",F1183="NEW"),"",COUNTBLANK(OFFSET(A$1,,,SUMPRODUCT(MAX(ROW(E$2:E1183)*(E1183=E$2:E1183)))))-COUNTBLANK(OFFSET(A$1,,,SUMPRODUCT(MAX(ROW(E$1:E1182)*(E2=E$1:E1182))))))</f>
        <v/>
      </c>
      <c r="K1183" s="24" t="str">
        <f aca="false">IF(OR(E1183="",E1183="!!!",F1183="NEW"),"",INDEX(J$1:J1182,SUMPRODUCT(MAX(ROW(E$1:E1182)*(E1183=E$1:E1182)))))</f>
        <v/>
      </c>
      <c r="L1183" s="31"/>
    </row>
    <row r="1184" customFormat="false" ht="15" hidden="false" customHeight="false" outlineLevel="0" collapsed="false">
      <c r="A1184" s="20" t="s">
        <v>1128</v>
      </c>
      <c r="E1184" s="23" t="str">
        <f aca="false">IF(D1184="?OLD","!!!","")</f>
        <v/>
      </c>
      <c r="F1184" s="25" t="str">
        <f aca="false">IF(OR(E1184="",E1184="!!!"),"",IF(NOT(ISNA(VLOOKUP(E1184,E$1:E1183,1,FALSE()))),"OLD",IF(AND(E1184&lt;&gt;"",E1184&lt;&gt;"!!!"),"NEW","")))</f>
        <v/>
      </c>
      <c r="G1184" s="26" t="str">
        <f aca="false">IF(OR(E1184="",E1184="!!!"),"",IF(OR(J1184=0,AND(J1184=1,K1184=1),AND(J1184=1,I1184="SBJ"),AND(J1184=1,I1184=0)),"?IN_FOCUS",IF(J1184&lt;=2,"?ACTIVATED",IF(J1184&lt;&gt;"","?FAMILIAR",IF(F1184="NEW",IF(ISNA(VLOOKUP(E1184,#REF!,1,FALSE())),"?TYPE_IDENTIFIABLE","?REFERENTIAL"),"_")))))</f>
        <v/>
      </c>
      <c r="H1184" s="27" t="str">
        <f aca="false">IF(J1184&lt;&gt;1,"",IF(I1184="SBJ","CB","?"))</f>
        <v/>
      </c>
      <c r="I1184" s="24" t="str">
        <f aca="false">IF(OR(E1184="",E1184="!!!",F1184="NEW"),"",INDEX(B10:B$1175,-1+SUMPRODUCT(MAX(ROW(E10:E$1175)*(E1184=E10:E$1175)))))</f>
        <v/>
      </c>
      <c r="J1184" s="24" t="str">
        <f aca="true">IF(OR(E1184="",E1184="!!!",F1184="NEW"),"",COUNTBLANK(OFFSET(A$1,,,SUMPRODUCT(MAX(ROW(E$2:E1184)*(E1184=E$2:E1184)))))-COUNTBLANK(OFFSET(A$1,,,SUMPRODUCT(MAX(ROW(E$1:E1183)*(E2=E$1:E1183))))))</f>
        <v/>
      </c>
      <c r="K1184" s="24" t="str">
        <f aca="false">IF(OR(E1184="",E1184="!!!",F1184="NEW"),"",INDEX(J$1:J1183,SUMPRODUCT(MAX(ROW(E$1:E1183)*(E1184=E$1:E1183)))))</f>
        <v/>
      </c>
      <c r="L1184" s="31"/>
    </row>
    <row r="1185" customFormat="false" ht="15" hidden="false" customHeight="false" outlineLevel="0" collapsed="false">
      <c r="A1185" s="20" t="s">
        <v>1597</v>
      </c>
      <c r="E1185" s="23" t="str">
        <f aca="false">IF(D1185="?OLD","!!!","")</f>
        <v/>
      </c>
      <c r="F1185" s="25" t="str">
        <f aca="false">IF(OR(E1185="",E1185="!!!"),"",IF(NOT(ISNA(VLOOKUP(E1185,E$1:E1184,1,FALSE()))),"OLD",IF(AND(E1185&lt;&gt;"",E1185&lt;&gt;"!!!"),"NEW","")))</f>
        <v/>
      </c>
      <c r="G1185" s="26" t="str">
        <f aca="false">IF(OR(E1185="",E1185="!!!"),"",IF(OR(J1185=0,AND(J1185=1,K1185=1),AND(J1185=1,I1185="SBJ"),AND(J1185=1,I1185=0)),"?IN_FOCUS",IF(J1185&lt;=2,"?ACTIVATED",IF(J1185&lt;&gt;"","?FAMILIAR",IF(F1185="NEW",IF(ISNA(VLOOKUP(E1185,#REF!,1,FALSE())),"?TYPE_IDENTIFIABLE","?REFERENTIAL"),"_")))))</f>
        <v/>
      </c>
      <c r="H1185" s="27" t="str">
        <f aca="false">IF(J1185&lt;&gt;1,"",IF(I1185="SBJ","CB","?"))</f>
        <v/>
      </c>
      <c r="I1185" s="24" t="str">
        <f aca="false">IF(OR(E1185="",E1185="!!!",F1185="NEW"),"",INDEX(B11:B$1175,-1+SUMPRODUCT(MAX(ROW(E11:E$1175)*(E1185=E11:E$1175)))))</f>
        <v/>
      </c>
      <c r="J1185" s="24" t="str">
        <f aca="true">IF(OR(E1185="",E1185="!!!",F1185="NEW"),"",COUNTBLANK(OFFSET(A$1,,,SUMPRODUCT(MAX(ROW(E$2:E1185)*(E1185=E$2:E1185)))))-COUNTBLANK(OFFSET(A$1,,,SUMPRODUCT(MAX(ROW(E$1:E1184)*(E2=E$1:E1184))))))</f>
        <v/>
      </c>
      <c r="K1185" s="24" t="str">
        <f aca="false">IF(OR(E1185="",E1185="!!!",F1185="NEW"),"",INDEX(J$1:J1184,SUMPRODUCT(MAX(ROW(E$1:E1184)*(E1185=E$1:E1184)))))</f>
        <v/>
      </c>
      <c r="L1185" s="31"/>
    </row>
    <row r="1186" customFormat="false" ht="15" hidden="false" customHeight="false" outlineLevel="0" collapsed="false">
      <c r="A1186" s="20" t="s">
        <v>1598</v>
      </c>
      <c r="B1186" s="22" t="s">
        <v>1142</v>
      </c>
      <c r="E1186" s="23" t="str">
        <f aca="false">IF(D1186="?OLD","!!!","")</f>
        <v/>
      </c>
      <c r="F1186" s="25" t="str">
        <f aca="false">IF(OR(E1186="",E1186="!!!"),"",IF(NOT(ISNA(VLOOKUP(E1186,E$1:E1185,1,FALSE()))),"OLD",IF(AND(E1186&lt;&gt;"",E1186&lt;&gt;"!!!"),"NEW","")))</f>
        <v/>
      </c>
      <c r="G1186" s="26" t="str">
        <f aca="false">IF(OR(E1186="",E1186="!!!"),"",IF(OR(J1186=0,AND(J1186=1,K1186=1),AND(J1186=1,I1186="SBJ"),AND(J1186=1,I1186=0)),"?IN_FOCUS",IF(J1186&lt;=2,"?ACTIVATED",IF(J1186&lt;&gt;"","?FAMILIAR",IF(F1186="NEW",IF(ISNA(VLOOKUP(E1186,#REF!,1,FALSE())),"?TYPE_IDENTIFIABLE","?REFERENTIAL"),"_")))))</f>
        <v/>
      </c>
      <c r="H1186" s="27" t="str">
        <f aca="false">IF(J1186&lt;&gt;1,"",IF(I1186="SBJ","CB","?"))</f>
        <v/>
      </c>
      <c r="I1186" s="24" t="str">
        <f aca="false">IF(OR(E1186="",E1186="!!!",F1186="NEW"),"",INDEX(B12:B$1175,-1+SUMPRODUCT(MAX(ROW(E12:E$1175)*(E1186=E12:E$1175)))))</f>
        <v/>
      </c>
      <c r="J1186" s="24" t="str">
        <f aca="true">IF(OR(E1186="",E1186="!!!",F1186="NEW"),"",COUNTBLANK(OFFSET(A$1,,,SUMPRODUCT(MAX(ROW(E$2:E1186)*(E1186=E$2:E1186)))))-COUNTBLANK(OFFSET(A$1,,,SUMPRODUCT(MAX(ROW(E$1:E1185)*(E2=E$1:E1185))))))</f>
        <v/>
      </c>
      <c r="K1186" s="24" t="str">
        <f aca="false">IF(OR(E1186="",E1186="!!!",F1186="NEW"),"",INDEX(J$1:J1185,SUMPRODUCT(MAX(ROW(E$1:E1185)*(E1186=E$1:E1185)))))</f>
        <v/>
      </c>
      <c r="L1186" s="31"/>
    </row>
    <row r="1187" customFormat="false" ht="15" hidden="false" customHeight="false" outlineLevel="0" collapsed="false">
      <c r="A1187" s="20" t="s">
        <v>1280</v>
      </c>
      <c r="E1187" s="23" t="str">
        <f aca="false">IF(D1187="?OLD","!!!","")</f>
        <v/>
      </c>
      <c r="F1187" s="25" t="str">
        <f aca="false">IF(OR(E1187="",E1187="!!!"),"",IF(NOT(ISNA(VLOOKUP(E1187,E$1:E1186,1,FALSE()))),"OLD",IF(AND(E1187&lt;&gt;"",E1187&lt;&gt;"!!!"),"NEW","")))</f>
        <v/>
      </c>
      <c r="G1187" s="26" t="str">
        <f aca="false">IF(OR(E1187="",E1187="!!!"),"",IF(OR(J1187=0,AND(J1187=1,K1187=1),AND(J1187=1,I1187="SBJ"),AND(J1187=1,I1187=0)),"?IN_FOCUS",IF(J1187&lt;=2,"?ACTIVATED",IF(J1187&lt;&gt;"","?FAMILIAR",IF(F1187="NEW",IF(ISNA(VLOOKUP(E1187,#REF!,1,FALSE())),"?TYPE_IDENTIFIABLE","?REFERENTIAL"),"_")))))</f>
        <v/>
      </c>
      <c r="H1187" s="27" t="str">
        <f aca="false">IF(J1187&lt;&gt;1,"",IF(I1187="SBJ","CB","?"))</f>
        <v/>
      </c>
      <c r="I1187" s="24" t="str">
        <f aca="false">IF(OR(E1187="",E1187="!!!",F1187="NEW"),"",INDEX(B13:B$1175,-1+SUMPRODUCT(MAX(ROW(E13:E$1175)*(E1187=E13:E$1175)))))</f>
        <v/>
      </c>
      <c r="J1187" s="24" t="str">
        <f aca="true">IF(OR(E1187="",E1187="!!!",F1187="NEW"),"",COUNTBLANK(OFFSET(A$1,,,SUMPRODUCT(MAX(ROW(E$2:E1187)*(E1187=E$2:E1187)))))-COUNTBLANK(OFFSET(A$1,,,SUMPRODUCT(MAX(ROW(E$1:E1186)*(E2=E$1:E1186))))))</f>
        <v/>
      </c>
      <c r="K1187" s="24" t="str">
        <f aca="false">IF(OR(E1187="",E1187="!!!",F1187="NEW"),"",INDEX(J$1:J1186,SUMPRODUCT(MAX(ROW(E$1:E1186)*(E1187=E$1:E1186)))))</f>
        <v/>
      </c>
      <c r="L1187" s="31"/>
    </row>
    <row r="1188" customFormat="false" ht="15" hidden="false" customHeight="false" outlineLevel="0" collapsed="false">
      <c r="A1188" s="20" t="s">
        <v>1599</v>
      </c>
      <c r="E1188" s="23" t="str">
        <f aca="false">IF(D1188="?OLD","!!!","")</f>
        <v/>
      </c>
      <c r="F1188" s="25" t="str">
        <f aca="false">IF(OR(E1188="",E1188="!!!"),"",IF(NOT(ISNA(VLOOKUP(E1188,E$1:E1187,1,FALSE()))),"OLD",IF(AND(E1188&lt;&gt;"",E1188&lt;&gt;"!!!"),"NEW","")))</f>
        <v/>
      </c>
      <c r="G1188" s="26" t="str">
        <f aca="false">IF(OR(E1188="",E1188="!!!"),"",IF(OR(J1188=0,AND(J1188=1,K1188=1),AND(J1188=1,I1188="SBJ"),AND(J1188=1,I1188=0)),"?IN_FOCUS",IF(J1188&lt;=2,"?ACTIVATED",IF(J1188&lt;&gt;"","?FAMILIAR",IF(F1188="NEW",IF(ISNA(VLOOKUP(E1188,#REF!,1,FALSE())),"?TYPE_IDENTIFIABLE","?REFERENTIAL"),"_")))))</f>
        <v/>
      </c>
      <c r="H1188" s="27" t="str">
        <f aca="false">IF(J1188&lt;&gt;1,"",IF(I1188="SBJ","CB","?"))</f>
        <v/>
      </c>
      <c r="I1188" s="24" t="str">
        <f aca="false">IF(OR(E1188="",E1188="!!!",F1188="NEW"),"",INDEX(B14:B$1175,-1+SUMPRODUCT(MAX(ROW(E14:E$1175)*(E1188=E14:E$1175)))))</f>
        <v/>
      </c>
      <c r="J1188" s="24" t="str">
        <f aca="true">IF(OR(E1188="",E1188="!!!",F1188="NEW"),"",COUNTBLANK(OFFSET(A$1,,,SUMPRODUCT(MAX(ROW(E$2:E1188)*(E1188=E$2:E1188)))))-COUNTBLANK(OFFSET(A$1,,,SUMPRODUCT(MAX(ROW(E$1:E1187)*(E2=E$1:E1187))))))</f>
        <v/>
      </c>
      <c r="K1188" s="24" t="str">
        <f aca="false">IF(OR(E1188="",E1188="!!!",F1188="NEW"),"",INDEX(J$1:J1187,SUMPRODUCT(MAX(ROW(E$1:E1187)*(E1188=E$1:E1187)))))</f>
        <v/>
      </c>
      <c r="L1188" s="31"/>
    </row>
    <row r="1189" customFormat="false" ht="15" hidden="false" customHeight="false" outlineLevel="0" collapsed="false">
      <c r="A1189" s="20" t="s">
        <v>1085</v>
      </c>
      <c r="E1189" s="23" t="str">
        <f aca="false">IF(D1189="?OLD","!!!","")</f>
        <v/>
      </c>
      <c r="F1189" s="25" t="str">
        <f aca="false">IF(OR(E1189="",E1189="!!!"),"",IF(NOT(ISNA(VLOOKUP(E1189,E$1:E1188,1,FALSE()))),"OLD",IF(AND(E1189&lt;&gt;"",E1189&lt;&gt;"!!!"),"NEW","")))</f>
        <v/>
      </c>
      <c r="G1189" s="26" t="str">
        <f aca="false">IF(OR(E1189="",E1189="!!!"),"",IF(OR(J1189=0,AND(J1189=1,K1189=1),AND(J1189=1,I1189="SBJ"),AND(J1189=1,I1189=0)),"?IN_FOCUS",IF(J1189&lt;=2,"?ACTIVATED",IF(J1189&lt;&gt;"","?FAMILIAR",IF(F1189="NEW",IF(ISNA(VLOOKUP(E1189,#REF!,1,FALSE())),"?TYPE_IDENTIFIABLE","?REFERENTIAL"),"_")))))</f>
        <v/>
      </c>
      <c r="H1189" s="27" t="str">
        <f aca="false">IF(J1189&lt;&gt;1,"",IF(I1189="SBJ","CB","?"))</f>
        <v/>
      </c>
      <c r="I1189" s="24" t="str">
        <f aca="false">IF(OR(E1189="",E1189="!!!",F1189="NEW"),"",INDEX(B15:B$1175,-1+SUMPRODUCT(MAX(ROW(E15:E$1175)*(E1189=E15:E$1175)))))</f>
        <v/>
      </c>
      <c r="J1189" s="24" t="str">
        <f aca="true">IF(OR(E1189="",E1189="!!!",F1189="NEW"),"",COUNTBLANK(OFFSET(A$1,,,SUMPRODUCT(MAX(ROW(E$2:E1189)*(E1189=E$2:E1189)))))-COUNTBLANK(OFFSET(A$1,,,SUMPRODUCT(MAX(ROW(E$1:E1188)*(E2=E$1:E1188))))))</f>
        <v/>
      </c>
      <c r="K1189" s="24" t="str">
        <f aca="false">IF(OR(E1189="",E1189="!!!",F1189="NEW"),"",INDEX(J$1:J1188,SUMPRODUCT(MAX(ROW(E$1:E1188)*(E1189=E$1:E1188)))))</f>
        <v/>
      </c>
      <c r="L1189" s="31"/>
    </row>
    <row r="1190" customFormat="false" ht="15" hidden="false" customHeight="false" outlineLevel="0" collapsed="false">
      <c r="A1190" s="20" t="s">
        <v>1462</v>
      </c>
      <c r="B1190" s="22" t="s">
        <v>1073</v>
      </c>
      <c r="C1190" s="22" t="s">
        <v>1087</v>
      </c>
      <c r="E1190" s="23" t="str">
        <f aca="false">IF(D1190="?OLD","!!!","")</f>
        <v/>
      </c>
      <c r="F1190" s="25" t="str">
        <f aca="false">IF(OR(E1190="",E1190="!!!"),"",IF(NOT(ISNA(VLOOKUP(E1190,E$1:E1189,1,FALSE()))),"OLD",IF(AND(E1190&lt;&gt;"",E1190&lt;&gt;"!!!"),"NEW","")))</f>
        <v/>
      </c>
      <c r="G1190" s="26" t="str">
        <f aca="false">IF(OR(E1190="",E1190="!!!"),"",IF(OR(J1190=0,AND(J1190=1,K1190=1),AND(J1190=1,I1190="SBJ"),AND(J1190=1,I1190=0)),"?IN_FOCUS",IF(J1190&lt;=2,"?ACTIVATED",IF(J1190&lt;&gt;"","?FAMILIAR",IF(F1190="NEW",IF(ISNA(VLOOKUP(E1190,#REF!,1,FALSE())),"?TYPE_IDENTIFIABLE","?REFERENTIAL"),"_")))))</f>
        <v/>
      </c>
      <c r="H1190" s="27" t="str">
        <f aca="false">IF(J1190&lt;&gt;1,"",IF(I1190="SBJ","CB","?"))</f>
        <v/>
      </c>
      <c r="I1190" s="24" t="str">
        <f aca="false">IF(OR(E1190="",E1190="!!!",F1190="NEW"),"",INDEX(B16:B$1175,-1+SUMPRODUCT(MAX(ROW(E16:E$1175)*(E1190=E16:E$1175)))))</f>
        <v/>
      </c>
      <c r="J1190" s="24" t="str">
        <f aca="true">IF(OR(E1190="",E1190="!!!",F1190="NEW"),"",COUNTBLANK(OFFSET(A$1,,,SUMPRODUCT(MAX(ROW(E$2:E1190)*(E1190=E$2:E1190)))))-COUNTBLANK(OFFSET(A$1,,,SUMPRODUCT(MAX(ROW(E$1:E1189)*(E2=E$1:E1189))))))</f>
        <v/>
      </c>
      <c r="K1190" s="24" t="str">
        <f aca="false">IF(OR(E1190="",E1190="!!!",F1190="NEW"),"",INDEX(J$1:J1189,SUMPRODUCT(MAX(ROW(E$1:E1189)*(E1190=E$1:E1189)))))</f>
        <v/>
      </c>
      <c r="L1190" s="31"/>
    </row>
    <row r="1191" customFormat="false" ht="15" hidden="false" customHeight="false" outlineLevel="0" collapsed="false">
      <c r="A1191" s="20" t="s">
        <v>1224</v>
      </c>
      <c r="E1191" s="23" t="str">
        <f aca="false">IF(D1191="?OLD","!!!","")</f>
        <v/>
      </c>
      <c r="F1191" s="25" t="str">
        <f aca="false">IF(OR(E1191="",E1191="!!!"),"",IF(NOT(ISNA(VLOOKUP(E1191,E$1:E1190,1,FALSE()))),"OLD",IF(AND(E1191&lt;&gt;"",E1191&lt;&gt;"!!!"),"NEW","")))</f>
        <v/>
      </c>
      <c r="G1191" s="26" t="str">
        <f aca="false">IF(OR(E1191="",E1191="!!!"),"",IF(OR(J1191=0,AND(J1191=1,K1191=1),AND(J1191=1,I1191="SBJ"),AND(J1191=1,I1191=0)),"?IN_FOCUS",IF(J1191&lt;=2,"?ACTIVATED",IF(J1191&lt;&gt;"","?FAMILIAR",IF(F1191="NEW",IF(ISNA(VLOOKUP(E1191,#REF!,1,FALSE())),"?TYPE_IDENTIFIABLE","?REFERENTIAL"),"_")))))</f>
        <v/>
      </c>
      <c r="H1191" s="27" t="str">
        <f aca="false">IF(J1191&lt;&gt;1,"",IF(I1191="SBJ","CB","?"))</f>
        <v/>
      </c>
      <c r="I1191" s="24" t="str">
        <f aca="false">IF(OR(E1191="",E1191="!!!",F1191="NEW"),"",INDEX(B17:B$1175,-1+SUMPRODUCT(MAX(ROW(E17:E$1175)*(E1191=E17:E$1175)))))</f>
        <v/>
      </c>
      <c r="J1191" s="24" t="str">
        <f aca="true">IF(OR(E1191="",E1191="!!!",F1191="NEW"),"",COUNTBLANK(OFFSET(A$1,,,SUMPRODUCT(MAX(ROW(E$2:E1191)*(E1191=E$2:E1191)))))-COUNTBLANK(OFFSET(A$1,,,SUMPRODUCT(MAX(ROW(E$1:E1190)*(E2=E$1:E1190))))))</f>
        <v/>
      </c>
      <c r="K1191" s="24" t="str">
        <f aca="false">IF(OR(E1191="",E1191="!!!",F1191="NEW"),"",INDEX(J$1:J1190,SUMPRODUCT(MAX(ROW(E$1:E1190)*(E1191=E$1:E1190)))))</f>
        <v/>
      </c>
      <c r="L1191" s="31"/>
    </row>
    <row r="1192" customFormat="false" ht="15" hidden="false" customHeight="false" outlineLevel="0" collapsed="false">
      <c r="A1192" s="20" t="s">
        <v>1089</v>
      </c>
      <c r="E1192" s="23" t="str">
        <f aca="false">IF(D1192="?OLD","!!!","")</f>
        <v/>
      </c>
      <c r="F1192" s="25" t="str">
        <f aca="false">IF(OR(E1192="",E1192="!!!"),"",IF(NOT(ISNA(VLOOKUP(E1192,E$1:E1191,1,FALSE()))),"OLD",IF(AND(E1192&lt;&gt;"",E1192&lt;&gt;"!!!"),"NEW","")))</f>
        <v/>
      </c>
      <c r="G1192" s="26" t="str">
        <f aca="false">IF(OR(E1192="",E1192="!!!"),"",IF(OR(J1192=0,AND(J1192=1,K1192=1),AND(J1192=1,I1192="SBJ"),AND(J1192=1,I1192=0)),"?IN_FOCUS",IF(J1192&lt;=2,"?ACTIVATED",IF(J1192&lt;&gt;"","?FAMILIAR",IF(F1192="NEW",IF(ISNA(VLOOKUP(E1192,#REF!,1,FALSE())),"?TYPE_IDENTIFIABLE","?REFERENTIAL"),"_")))))</f>
        <v/>
      </c>
      <c r="H1192" s="27" t="str">
        <f aca="false">IF(J1192&lt;&gt;1,"",IF(I1192="SBJ","CB","?"))</f>
        <v/>
      </c>
      <c r="I1192" s="24" t="str">
        <f aca="false">IF(OR(E1192="",E1192="!!!",F1192="NEW"),"",INDEX(B18:B$1175,-1+SUMPRODUCT(MAX(ROW(E18:E$1175)*(E1192=E18:E$1175)))))</f>
        <v/>
      </c>
      <c r="J1192" s="24" t="str">
        <f aca="true">IF(OR(E1192="",E1192="!!!",F1192="NEW"),"",COUNTBLANK(OFFSET(A$1,,,SUMPRODUCT(MAX(ROW(E$2:E1192)*(E1192=E$2:E1192)))))-COUNTBLANK(OFFSET(A$1,,,SUMPRODUCT(MAX(ROW(E$1:E1191)*(E2=E$1:E1191))))))</f>
        <v/>
      </c>
      <c r="K1192" s="24" t="str">
        <f aca="false">IF(OR(E1192="",E1192="!!!",F1192="NEW"),"",INDEX(J$1:J1191,SUMPRODUCT(MAX(ROW(E$1:E1191)*(E1192=E$1:E1191)))))</f>
        <v/>
      </c>
      <c r="L1192" s="31"/>
    </row>
    <row r="1193" customFormat="false" ht="15" hidden="false" customHeight="false" outlineLevel="0" collapsed="false">
      <c r="A1193" s="20" t="s">
        <v>1226</v>
      </c>
      <c r="B1193" s="22" t="s">
        <v>1067</v>
      </c>
      <c r="C1193" s="22" t="s">
        <v>1171</v>
      </c>
      <c r="D1193" s="22" t="s">
        <v>1060</v>
      </c>
      <c r="E1193" s="23" t="str">
        <f aca="false">IF(D1193="?OLD","!!!","")</f>
        <v>!!!</v>
      </c>
      <c r="F1193" s="25" t="str">
        <f aca="false">IF(OR(E1193="",E1193="!!!"),"",IF(NOT(ISNA(VLOOKUP(E1193,E$1:E1192,1,FALSE()))),"OLD",IF(AND(E1193&lt;&gt;"",E1193&lt;&gt;"!!!"),"NEW","")))</f>
        <v/>
      </c>
      <c r="G1193" s="26" t="str">
        <f aca="false">IF(OR(E1193="",E1193="!!!"),"",IF(OR(J1193=0,AND(J1193=1,K1193=1),AND(J1193=1,I1193="SBJ"),AND(J1193=1,I1193=0)),"?IN_FOCUS",IF(J1193&lt;=2,"?ACTIVATED",IF(J1193&lt;&gt;"","?FAMILIAR",IF(F1193="NEW",IF(ISNA(VLOOKUP(E1193,#REF!,1,FALSE())),"?TYPE_IDENTIFIABLE","?REFERENTIAL"),"_")))))</f>
        <v/>
      </c>
      <c r="H1193" s="27" t="str">
        <f aca="false">IF(J1193&lt;&gt;1,"",IF(I1193="SBJ","CB","?"))</f>
        <v/>
      </c>
      <c r="I1193" s="24" t="str">
        <f aca="false">IF(OR(E1193="",E1193="!!!",F1193="NEW"),"",INDEX(B19:B$1175,-1+SUMPRODUCT(MAX(ROW(E19:E$1175)*(E1193=E19:E$1175)))))</f>
        <v/>
      </c>
      <c r="J1193" s="24" t="str">
        <f aca="true">IF(OR(E1193="",E1193="!!!",F1193="NEW"),"",COUNTBLANK(OFFSET(A$1,,,SUMPRODUCT(MAX(ROW(E$2:E1193)*(E1193=E$2:E1193)))))-COUNTBLANK(OFFSET(A$1,,,SUMPRODUCT(MAX(ROW(E$1:E1192)*(E2=E$1:E1192))))))</f>
        <v/>
      </c>
      <c r="K1193" s="24" t="str">
        <f aca="false">IF(OR(E1193="",E1193="!!!",F1193="NEW"),"",INDEX(J$1:J1192,SUMPRODUCT(MAX(ROW(E$1:E1192)*(E1193=E$1:E1192)))))</f>
        <v/>
      </c>
      <c r="L1193" s="31"/>
    </row>
    <row r="1194" customFormat="false" ht="15" hidden="false" customHeight="false" outlineLevel="0" collapsed="false">
      <c r="A1194" s="20" t="s">
        <v>1064</v>
      </c>
      <c r="E1194" s="23" t="str">
        <f aca="false">IF(D1194="?OLD","!!!","")</f>
        <v/>
      </c>
      <c r="F1194" s="25" t="str">
        <f aca="false">IF(OR(E1194="",E1194="!!!"),"",IF(NOT(ISNA(VLOOKUP(E1194,E$1:E1193,1,FALSE()))),"OLD",IF(AND(E1194&lt;&gt;"",E1194&lt;&gt;"!!!"),"NEW","")))</f>
        <v/>
      </c>
      <c r="G1194" s="26" t="str">
        <f aca="false">IF(OR(E1194="",E1194="!!!"),"",IF(OR(J1194=0,AND(J1194=1,K1194=1),AND(J1194=1,I1194="SBJ"),AND(J1194=1,I1194=0)),"?IN_FOCUS",IF(J1194&lt;=2,"?ACTIVATED",IF(J1194&lt;&gt;"","?FAMILIAR",IF(F1194="NEW",IF(ISNA(VLOOKUP(E1194,#REF!,1,FALSE())),"?TYPE_IDENTIFIABLE","?REFERENTIAL"),"_")))))</f>
        <v/>
      </c>
      <c r="H1194" s="27" t="str">
        <f aca="false">IF(J1194&lt;&gt;1,"",IF(I1194="SBJ","CB","?"))</f>
        <v/>
      </c>
      <c r="I1194" s="24" t="str">
        <f aca="false">IF(OR(E1194="",E1194="!!!",F1194="NEW"),"",INDEX(B20:B$1175,-1+SUMPRODUCT(MAX(ROW(E20:E$1175)*(E1194=E20:E$1175)))))</f>
        <v/>
      </c>
      <c r="J1194" s="24" t="str">
        <f aca="true">IF(OR(E1194="",E1194="!!!",F1194="NEW"),"",COUNTBLANK(OFFSET(A$1,,,SUMPRODUCT(MAX(ROW(E$2:E1194)*(E1194=E$2:E1194)))))-COUNTBLANK(OFFSET(A$1,,,SUMPRODUCT(MAX(ROW(E$1:E1193)*(E2=E$1:E1193))))))</f>
        <v/>
      </c>
      <c r="K1194" s="24" t="str">
        <f aca="false">IF(OR(E1194="",E1194="!!!",F1194="NEW"),"",INDEX(J$1:J1193,SUMPRODUCT(MAX(ROW(E$1:E1193)*(E1194=E$1:E1193)))))</f>
        <v/>
      </c>
      <c r="L1194" s="31"/>
    </row>
    <row r="1195" customFormat="false" ht="15" hidden="false" customHeight="false" outlineLevel="0" collapsed="false">
      <c r="A1195" s="20" t="s">
        <v>1179</v>
      </c>
      <c r="B1195" s="22" t="s">
        <v>1107</v>
      </c>
      <c r="C1195" s="22" t="s">
        <v>1082</v>
      </c>
      <c r="D1195" s="22" t="s">
        <v>1060</v>
      </c>
      <c r="E1195" s="23" t="str">
        <f aca="false">IF(D1195="?OLD","!!!","")</f>
        <v>!!!</v>
      </c>
      <c r="F1195" s="25" t="str">
        <f aca="false">IF(OR(E1195="",E1195="!!!"),"",IF(NOT(ISNA(VLOOKUP(E1195,E$1:E1194,1,FALSE()))),"OLD",IF(AND(E1195&lt;&gt;"",E1195&lt;&gt;"!!!"),"NEW","")))</f>
        <v/>
      </c>
      <c r="G1195" s="26" t="str">
        <f aca="false">IF(OR(E1195="",E1195="!!!"),"",IF(OR(J1195=0,AND(J1195=1,K1195=1),AND(J1195=1,I1195="SBJ"),AND(J1195=1,I1195=0)),"?IN_FOCUS",IF(J1195&lt;=2,"?ACTIVATED",IF(J1195&lt;&gt;"","?FAMILIAR",IF(F1195="NEW",IF(ISNA(VLOOKUP(E1195,#REF!,1,FALSE())),"?TYPE_IDENTIFIABLE","?REFERENTIAL"),"_")))))</f>
        <v/>
      </c>
      <c r="H1195" s="27" t="str">
        <f aca="false">IF(J1195&lt;&gt;1,"",IF(I1195="SBJ","CB","?"))</f>
        <v/>
      </c>
      <c r="I1195" s="24" t="str">
        <f aca="false">IF(OR(E1195="",E1195="!!!",F1195="NEW"),"",INDEX(B21:B$1175,-1+SUMPRODUCT(MAX(ROW(E21:E$1175)*(E1195=E21:E$1175)))))</f>
        <v/>
      </c>
      <c r="J1195" s="24" t="str">
        <f aca="true">IF(OR(E1195="",E1195="!!!",F1195="NEW"),"",COUNTBLANK(OFFSET(A$1,,,SUMPRODUCT(MAX(ROW(E$2:E1195)*(E1195=E$2:E1195)))))-COUNTBLANK(OFFSET(A$1,,,SUMPRODUCT(MAX(ROW(E$1:E1194)*(E2=E$1:E1194))))))</f>
        <v/>
      </c>
      <c r="K1195" s="24" t="str">
        <f aca="false">IF(OR(E1195="",E1195="!!!",F1195="NEW"),"",INDEX(J$1:J1194,SUMPRODUCT(MAX(ROW(E$1:E1194)*(E1195=E$1:E1194)))))</f>
        <v/>
      </c>
      <c r="L1195" s="31"/>
    </row>
    <row r="1196" customFormat="false" ht="15" hidden="false" customHeight="false" outlineLevel="0" collapsed="false">
      <c r="A1196" s="20" t="s">
        <v>1076</v>
      </c>
      <c r="E1196" s="23" t="str">
        <f aca="false">IF(D1196="?OLD","!!!","")</f>
        <v/>
      </c>
      <c r="F1196" s="25" t="str">
        <f aca="false">IF(OR(E1196="",E1196="!!!"),"",IF(NOT(ISNA(VLOOKUP(E1196,E$1:E1195,1,FALSE()))),"OLD",IF(AND(E1196&lt;&gt;"",E1196&lt;&gt;"!!!"),"NEW","")))</f>
        <v/>
      </c>
      <c r="G1196" s="26" t="str">
        <f aca="false">IF(OR(E1196="",E1196="!!!"),"",IF(OR(J1196=0,AND(J1196=1,K1196=1),AND(J1196=1,I1196="SBJ"),AND(J1196=1,I1196=0)),"?IN_FOCUS",IF(J1196&lt;=2,"?ACTIVATED",IF(J1196&lt;&gt;"","?FAMILIAR",IF(F1196="NEW",IF(ISNA(VLOOKUP(E1196,#REF!,1,FALSE())),"?TYPE_IDENTIFIABLE","?REFERENTIAL"),"_")))))</f>
        <v/>
      </c>
      <c r="H1196" s="27" t="str">
        <f aca="false">IF(J1196&lt;&gt;1,"",IF(I1196="SBJ","CB","?"))</f>
        <v/>
      </c>
      <c r="I1196" s="24" t="str">
        <f aca="false">IF(OR(E1196="",E1196="!!!",F1196="NEW"),"",INDEX(B22:B$1175,-1+SUMPRODUCT(MAX(ROW(E22:E$1175)*(E1196=E22:E$1175)))))</f>
        <v/>
      </c>
      <c r="J1196" s="24" t="str">
        <f aca="true">IF(OR(E1196="",E1196="!!!",F1196="NEW"),"",COUNTBLANK(OFFSET(A$1,,,SUMPRODUCT(MAX(ROW(E$2:E1196)*(E1196=E$2:E1196)))))-COUNTBLANK(OFFSET(A$1,,,SUMPRODUCT(MAX(ROW(E$1:E1195)*(E2=E$1:E1195))))))</f>
        <v/>
      </c>
      <c r="K1196" s="24" t="str">
        <f aca="false">IF(OR(E1196="",E1196="!!!",F1196="NEW"),"",INDEX(J$1:J1195,SUMPRODUCT(MAX(ROW(E$1:E1195)*(E1196=E$1:E1195)))))</f>
        <v/>
      </c>
      <c r="L1196" s="31"/>
    </row>
    <row r="1197" customFormat="false" ht="15" hidden="false" customHeight="false" outlineLevel="0" collapsed="false">
      <c r="A1197" s="20" t="s">
        <v>1461</v>
      </c>
      <c r="E1197" s="23" t="str">
        <f aca="false">IF(D1197="?OLD","!!!","")</f>
        <v/>
      </c>
      <c r="F1197" s="25" t="str">
        <f aca="false">IF(OR(E1197="",E1197="!!!"),"",IF(NOT(ISNA(VLOOKUP(E1197,E$1:E1196,1,FALSE()))),"OLD",IF(AND(E1197&lt;&gt;"",E1197&lt;&gt;"!!!"),"NEW","")))</f>
        <v/>
      </c>
      <c r="G1197" s="26" t="str">
        <f aca="false">IF(OR(E1197="",E1197="!!!"),"",IF(OR(J1197=0,AND(J1197=1,K1197=1),AND(J1197=1,I1197="SBJ"),AND(J1197=1,I1197=0)),"?IN_FOCUS",IF(J1197&lt;=2,"?ACTIVATED",IF(J1197&lt;&gt;"","?FAMILIAR",IF(F1197="NEW",IF(ISNA(VLOOKUP(E1197,#REF!,1,FALSE())),"?TYPE_IDENTIFIABLE","?REFERENTIAL"),"_")))))</f>
        <v/>
      </c>
      <c r="H1197" s="27" t="str">
        <f aca="false">IF(J1197&lt;&gt;1,"",IF(I1197="SBJ","CB","?"))</f>
        <v/>
      </c>
      <c r="I1197" s="24" t="str">
        <f aca="false">IF(OR(E1197="",E1197="!!!",F1197="NEW"),"",INDEX(B23:B$1175,-1+SUMPRODUCT(MAX(ROW(E23:E$1175)*(E1197=E23:E$1175)))))</f>
        <v/>
      </c>
      <c r="J1197" s="24" t="str">
        <f aca="true">IF(OR(E1197="",E1197="!!!",F1197="NEW"),"",COUNTBLANK(OFFSET(A$1,,,SUMPRODUCT(MAX(ROW(E$2:E1197)*(E1197=E$2:E1197)))))-COUNTBLANK(OFFSET(A$1,,,SUMPRODUCT(MAX(ROW(E$1:E1196)*(E2=E$1:E1196))))))</f>
        <v/>
      </c>
      <c r="K1197" s="24" t="str">
        <f aca="false">IF(OR(E1197="",E1197="!!!",F1197="NEW"),"",INDEX(J$1:J1196,SUMPRODUCT(MAX(ROW(E$1:E1196)*(E1197=E$1:E1196)))))</f>
        <v/>
      </c>
      <c r="L1197" s="31"/>
    </row>
    <row r="1198" customFormat="false" ht="15" hidden="false" customHeight="false" outlineLevel="0" collapsed="false">
      <c r="A1198" s="20" t="s">
        <v>1076</v>
      </c>
      <c r="E1198" s="23" t="str">
        <f aca="false">IF(D1198="?OLD","!!!","")</f>
        <v/>
      </c>
      <c r="F1198" s="25" t="str">
        <f aca="false">IF(OR(E1198="",E1198="!!!"),"",IF(NOT(ISNA(VLOOKUP(E1198,E$1:E1197,1,FALSE()))),"OLD",IF(AND(E1198&lt;&gt;"",E1198&lt;&gt;"!!!"),"NEW","")))</f>
        <v/>
      </c>
      <c r="G1198" s="26" t="str">
        <f aca="false">IF(OR(E1198="",E1198="!!!"),"",IF(OR(J1198=0,AND(J1198=1,K1198=1),AND(J1198=1,I1198="SBJ"),AND(J1198=1,I1198=0)),"?IN_FOCUS",IF(J1198&lt;=2,"?ACTIVATED",IF(J1198&lt;&gt;"","?FAMILIAR",IF(F1198="NEW",IF(ISNA(VLOOKUP(E1198,#REF!,1,FALSE())),"?TYPE_IDENTIFIABLE","?REFERENTIAL"),"_")))))</f>
        <v/>
      </c>
      <c r="H1198" s="27" t="str">
        <f aca="false">IF(J1198&lt;&gt;1,"",IF(I1198="SBJ","CB","?"))</f>
        <v/>
      </c>
      <c r="I1198" s="24" t="str">
        <f aca="false">IF(OR(E1198="",E1198="!!!",F1198="NEW"),"",INDEX(B24:B$1175,-1+SUMPRODUCT(MAX(ROW(E24:E$1175)*(E1198=E24:E$1175)))))</f>
        <v/>
      </c>
      <c r="J1198" s="24" t="str">
        <f aca="true">IF(OR(E1198="",E1198="!!!",F1198="NEW"),"",COUNTBLANK(OFFSET(A$1,,,SUMPRODUCT(MAX(ROW(E$2:E1198)*(E1198=E$2:E1198)))))-COUNTBLANK(OFFSET(A$1,,,SUMPRODUCT(MAX(ROW(E$1:E1197)*(E2=E$1:E1197))))))</f>
        <v/>
      </c>
      <c r="K1198" s="24" t="str">
        <f aca="false">IF(OR(E1198="",E1198="!!!",F1198="NEW"),"",INDEX(J$1:J1197,SUMPRODUCT(MAX(ROW(E$1:E1197)*(E1198=E$1:E1197)))))</f>
        <v/>
      </c>
      <c r="L1198" s="31"/>
    </row>
    <row r="1199" customFormat="false" ht="15" hidden="false" customHeight="false" outlineLevel="0" collapsed="false">
      <c r="A1199" s="20" t="s">
        <v>1168</v>
      </c>
      <c r="E1199" s="23" t="str">
        <f aca="false">IF(D1199="?OLD","!!!","")</f>
        <v/>
      </c>
      <c r="F1199" s="25" t="str">
        <f aca="false">IF(OR(E1199="",E1199="!!!"),"",IF(NOT(ISNA(VLOOKUP(E1199,E$1:E1198,1,FALSE()))),"OLD",IF(AND(E1199&lt;&gt;"",E1199&lt;&gt;"!!!"),"NEW","")))</f>
        <v/>
      </c>
      <c r="G1199" s="26" t="str">
        <f aca="false">IF(OR(E1199="",E1199="!!!"),"",IF(OR(J1199=0,AND(J1199=1,K1199=1),AND(J1199=1,I1199="SBJ"),AND(J1199=1,I1199=0)),"?IN_FOCUS",IF(J1199&lt;=2,"?ACTIVATED",IF(J1199&lt;&gt;"","?FAMILIAR",IF(F1199="NEW",IF(ISNA(VLOOKUP(E1199,#REF!,1,FALSE())),"?TYPE_IDENTIFIABLE","?REFERENTIAL"),"_")))))</f>
        <v/>
      </c>
      <c r="H1199" s="27" t="str">
        <f aca="false">IF(J1199&lt;&gt;1,"",IF(I1199="SBJ","CB","?"))</f>
        <v/>
      </c>
      <c r="I1199" s="24" t="str">
        <f aca="false">IF(OR(E1199="",E1199="!!!",F1199="NEW"),"",INDEX(B25:B$1175,-1+SUMPRODUCT(MAX(ROW(E25:E$1175)*(E1199=E25:E$1175)))))</f>
        <v/>
      </c>
      <c r="J1199" s="24" t="str">
        <f aca="true">IF(OR(E1199="",E1199="!!!",F1199="NEW"),"",COUNTBLANK(OFFSET(A$1,,,SUMPRODUCT(MAX(ROW(E$2:E1199)*(E1199=E$2:E1199)))))-COUNTBLANK(OFFSET(A$1,,,SUMPRODUCT(MAX(ROW(E$1:E1198)*(E2=E$1:E1198))))))</f>
        <v/>
      </c>
      <c r="K1199" s="24" t="str">
        <f aca="false">IF(OR(E1199="",E1199="!!!",F1199="NEW"),"",INDEX(J$1:J1198,SUMPRODUCT(MAX(ROW(E$1:E1198)*(E1199=E$1:E1198)))))</f>
        <v/>
      </c>
      <c r="L1199" s="31"/>
    </row>
    <row r="1200" customFormat="false" ht="15" hidden="false" customHeight="false" outlineLevel="0" collapsed="false">
      <c r="A1200" s="20" t="s">
        <v>1600</v>
      </c>
      <c r="E1200" s="23" t="str">
        <f aca="false">IF(D1200="?OLD","!!!","")</f>
        <v/>
      </c>
      <c r="F1200" s="25" t="str">
        <f aca="false">IF(OR(E1200="",E1200="!!!"),"",IF(NOT(ISNA(VLOOKUP(E1200,E$1:E1199,1,FALSE()))),"OLD",IF(AND(E1200&lt;&gt;"",E1200&lt;&gt;"!!!"),"NEW","")))</f>
        <v/>
      </c>
      <c r="G1200" s="26" t="str">
        <f aca="false">IF(OR(E1200="",E1200="!!!"),"",IF(OR(J1200=0,AND(J1200=1,K1200=1),AND(J1200=1,I1200="SBJ"),AND(J1200=1,I1200=0)),"?IN_FOCUS",IF(J1200&lt;=2,"?ACTIVATED",IF(J1200&lt;&gt;"","?FAMILIAR",IF(F1200="NEW",IF(ISNA(VLOOKUP(E1200,#REF!,1,FALSE())),"?TYPE_IDENTIFIABLE","?REFERENTIAL"),"_")))))</f>
        <v/>
      </c>
      <c r="H1200" s="27" t="str">
        <f aca="false">IF(J1200&lt;&gt;1,"",IF(I1200="SBJ","CB","?"))</f>
        <v/>
      </c>
      <c r="I1200" s="24" t="str">
        <f aca="false">IF(OR(E1200="",E1200="!!!",F1200="NEW"),"",INDEX(B26:B$1175,-1+SUMPRODUCT(MAX(ROW(E26:E$1175)*(E1200=E26:E$1175)))))</f>
        <v/>
      </c>
      <c r="J1200" s="24" t="str">
        <f aca="true">IF(OR(E1200="",E1200="!!!",F1200="NEW"),"",COUNTBLANK(OFFSET(A$1,,,SUMPRODUCT(MAX(ROW(E$2:E1200)*(E1200=E$2:E1200)))))-COUNTBLANK(OFFSET(A$1,,,SUMPRODUCT(MAX(ROW(E$1:E1199)*(E2=E$1:E1199))))))</f>
        <v/>
      </c>
      <c r="K1200" s="24" t="str">
        <f aca="false">IF(OR(E1200="",E1200="!!!",F1200="NEW"),"",INDEX(J$1:J1199,SUMPRODUCT(MAX(ROW(E$1:E1199)*(E1200=E$1:E1199)))))</f>
        <v/>
      </c>
      <c r="L1200" s="31"/>
    </row>
    <row r="1201" customFormat="false" ht="15" hidden="false" customHeight="false" outlineLevel="0" collapsed="false">
      <c r="A1201" s="20" t="s">
        <v>1128</v>
      </c>
      <c r="E1201" s="23" t="str">
        <f aca="false">IF(D1201="?OLD","!!!","")</f>
        <v/>
      </c>
      <c r="F1201" s="25" t="str">
        <f aca="false">IF(OR(E1201="",E1201="!!!"),"",IF(NOT(ISNA(VLOOKUP(E1201,E$1:E1200,1,FALSE()))),"OLD",IF(AND(E1201&lt;&gt;"",E1201&lt;&gt;"!!!"),"NEW","")))</f>
        <v/>
      </c>
      <c r="G1201" s="26" t="str">
        <f aca="false">IF(OR(E1201="",E1201="!!!"),"",IF(OR(J1201=0,AND(J1201=1,K1201=1),AND(J1201=1,I1201="SBJ"),AND(J1201=1,I1201=0)),"?IN_FOCUS",IF(J1201&lt;=2,"?ACTIVATED",IF(J1201&lt;&gt;"","?FAMILIAR",IF(F1201="NEW",IF(ISNA(VLOOKUP(E1201,#REF!,1,FALSE())),"?TYPE_IDENTIFIABLE","?REFERENTIAL"),"_")))))</f>
        <v/>
      </c>
      <c r="H1201" s="27" t="str">
        <f aca="false">IF(J1201&lt;&gt;1,"",IF(I1201="SBJ","CB","?"))</f>
        <v/>
      </c>
      <c r="I1201" s="24" t="str">
        <f aca="false">IF(OR(E1201="",E1201="!!!",F1201="NEW"),"",INDEX(B27:B$1175,-1+SUMPRODUCT(MAX(ROW(E27:E$1175)*(E1201=E27:E$1175)))))</f>
        <v/>
      </c>
      <c r="J1201" s="24" t="str">
        <f aca="true">IF(OR(E1201="",E1201="!!!",F1201="NEW"),"",COUNTBLANK(OFFSET(A$1,,,SUMPRODUCT(MAX(ROW(E$2:E1201)*(E1201=E$2:E1201)))))-COUNTBLANK(OFFSET(A$1,,,SUMPRODUCT(MAX(ROW(E$1:E1200)*(E2=E$1:E1200))))))</f>
        <v/>
      </c>
      <c r="K1201" s="24" t="str">
        <f aca="false">IF(OR(E1201="",E1201="!!!",F1201="NEW"),"",INDEX(J$1:J1200,SUMPRODUCT(MAX(ROW(E$1:E1200)*(E1201=E$1:E1200)))))</f>
        <v/>
      </c>
      <c r="L1201" s="31"/>
    </row>
    <row r="1202" customFormat="false" ht="15" hidden="false" customHeight="false" outlineLevel="0" collapsed="false">
      <c r="A1202" s="20" t="s">
        <v>1601</v>
      </c>
      <c r="E1202" s="23" t="str">
        <f aca="false">IF(D1202="?OLD","!!!","")</f>
        <v/>
      </c>
      <c r="F1202" s="25" t="str">
        <f aca="false">IF(OR(E1202="",E1202="!!!"),"",IF(NOT(ISNA(VLOOKUP(E1202,E$1:E1201,1,FALSE()))),"OLD",IF(AND(E1202&lt;&gt;"",E1202&lt;&gt;"!!!"),"NEW","")))</f>
        <v/>
      </c>
      <c r="G1202" s="26" t="str">
        <f aca="false">IF(OR(E1202="",E1202="!!!"),"",IF(OR(J1202=0,AND(J1202=1,K1202=1),AND(J1202=1,I1202="SBJ"),AND(J1202=1,I1202=0)),"?IN_FOCUS",IF(J1202&lt;=2,"?ACTIVATED",IF(J1202&lt;&gt;"","?FAMILIAR",IF(F1202="NEW",IF(ISNA(VLOOKUP(E1202,#REF!,1,FALSE())),"?TYPE_IDENTIFIABLE","?REFERENTIAL"),"_")))))</f>
        <v/>
      </c>
      <c r="H1202" s="27" t="str">
        <f aca="false">IF(J1202&lt;&gt;1,"",IF(I1202="SBJ","CB","?"))</f>
        <v/>
      </c>
      <c r="I1202" s="24" t="str">
        <f aca="false">IF(OR(E1202="",E1202="!!!",F1202="NEW"),"",INDEX(B28:B$1175,-1+SUMPRODUCT(MAX(ROW(E28:E$1175)*(E1202=E28:E$1175)))))</f>
        <v/>
      </c>
      <c r="J1202" s="24" t="str">
        <f aca="true">IF(OR(E1202="",E1202="!!!",F1202="NEW"),"",COUNTBLANK(OFFSET(A$1,,,SUMPRODUCT(MAX(ROW(E$2:E1202)*(E1202=E$2:E1202)))))-COUNTBLANK(OFFSET(A$1,,,SUMPRODUCT(MAX(ROW(E$1:E1201)*(E2=E$1:E1201))))))</f>
        <v/>
      </c>
      <c r="K1202" s="24" t="str">
        <f aca="false">IF(OR(E1202="",E1202="!!!",F1202="NEW"),"",INDEX(J$1:J1201,SUMPRODUCT(MAX(ROW(E$1:E1201)*(E1202=E$1:E1201)))))</f>
        <v/>
      </c>
      <c r="L1202" s="31"/>
    </row>
    <row r="1203" customFormat="false" ht="15" hidden="false" customHeight="false" outlineLevel="0" collapsed="false">
      <c r="A1203" s="20" t="s">
        <v>1602</v>
      </c>
      <c r="E1203" s="23" t="str">
        <f aca="false">IF(D1203="?OLD","!!!","")</f>
        <v/>
      </c>
      <c r="F1203" s="25" t="str">
        <f aca="false">IF(OR(E1203="",E1203="!!!"),"",IF(NOT(ISNA(VLOOKUP(E1203,E$1:E1202,1,FALSE()))),"OLD",IF(AND(E1203&lt;&gt;"",E1203&lt;&gt;"!!!"),"NEW","")))</f>
        <v/>
      </c>
      <c r="G1203" s="26" t="str">
        <f aca="false">IF(OR(E1203="",E1203="!!!"),"",IF(OR(J1203=0,AND(J1203=1,K1203=1),AND(J1203=1,I1203="SBJ"),AND(J1203=1,I1203=0)),"?IN_FOCUS",IF(J1203&lt;=2,"?ACTIVATED",IF(J1203&lt;&gt;"","?FAMILIAR",IF(F1203="NEW",IF(ISNA(VLOOKUP(E1203,#REF!,1,FALSE())),"?TYPE_IDENTIFIABLE","?REFERENTIAL"),"_")))))</f>
        <v/>
      </c>
      <c r="H1203" s="27" t="str">
        <f aca="false">IF(J1203&lt;&gt;1,"",IF(I1203="SBJ","CB","?"))</f>
        <v/>
      </c>
      <c r="I1203" s="24" t="str">
        <f aca="false">IF(OR(E1203="",E1203="!!!",F1203="NEW"),"",INDEX(B29:B$1175,-1+SUMPRODUCT(MAX(ROW(E29:E$1175)*(E1203=E29:E$1175)))))</f>
        <v/>
      </c>
      <c r="J1203" s="24" t="str">
        <f aca="true">IF(OR(E1203="",E1203="!!!",F1203="NEW"),"",COUNTBLANK(OFFSET(A$1,,,SUMPRODUCT(MAX(ROW(E$2:E1203)*(E1203=E$2:E1203)))))-COUNTBLANK(OFFSET(A$1,,,SUMPRODUCT(MAX(ROW(E$1:E1202)*(E2=E$1:E1202))))))</f>
        <v/>
      </c>
      <c r="K1203" s="24" t="str">
        <f aca="false">IF(OR(E1203="",E1203="!!!",F1203="NEW"),"",INDEX(J$1:J1202,SUMPRODUCT(MAX(ROW(E$1:E1202)*(E1203=E$1:E1202)))))</f>
        <v/>
      </c>
      <c r="L1203" s="31"/>
    </row>
    <row r="1204" customFormat="false" ht="15" hidden="false" customHeight="false" outlineLevel="0" collapsed="false">
      <c r="A1204" s="20" t="s">
        <v>923</v>
      </c>
      <c r="E1204" s="23" t="str">
        <f aca="false">IF(D1204="?OLD","!!!","")</f>
        <v/>
      </c>
      <c r="F1204" s="25" t="str">
        <f aca="false">IF(OR(E1204="",E1204="!!!"),"",IF(NOT(ISNA(VLOOKUP(E1204,E$1:E1203,1,FALSE()))),"OLD",IF(AND(E1204&lt;&gt;"",E1204&lt;&gt;"!!!"),"NEW","")))</f>
        <v/>
      </c>
      <c r="G1204" s="26" t="str">
        <f aca="false">IF(OR(E1204="",E1204="!!!"),"",IF(OR(J1204=0,AND(J1204=1,K1204=1),AND(J1204=1,I1204="SBJ"),AND(J1204=1,I1204=0)),"?IN_FOCUS",IF(J1204&lt;=2,"?ACTIVATED",IF(J1204&lt;&gt;"","?FAMILIAR",IF(F1204="NEW",IF(ISNA(VLOOKUP(E1204,#REF!,1,FALSE())),"?TYPE_IDENTIFIABLE","?REFERENTIAL"),"_")))))</f>
        <v/>
      </c>
      <c r="H1204" s="27" t="str">
        <f aca="false">IF(J1204&lt;&gt;1,"",IF(I1204="SBJ","CB","?"))</f>
        <v/>
      </c>
      <c r="I1204" s="24" t="str">
        <f aca="false">IF(OR(E1204="",E1204="!!!",F1204="NEW"),"",INDEX(B30:B$1175,-1+SUMPRODUCT(MAX(ROW(E30:E$1175)*(E1204=E30:E$1175)))))</f>
        <v/>
      </c>
      <c r="J1204" s="24" t="str">
        <f aca="true">IF(OR(E1204="",E1204="!!!",F1204="NEW"),"",COUNTBLANK(OFFSET(A$1,,,SUMPRODUCT(MAX(ROW(E$2:E1204)*(E1204=E$2:E1204)))))-COUNTBLANK(OFFSET(A$1,,,SUMPRODUCT(MAX(ROW(E$1:E1203)*(E2=E$1:E1203))))))</f>
        <v/>
      </c>
      <c r="K1204" s="24" t="str">
        <f aca="false">IF(OR(E1204="",E1204="!!!",F1204="NEW"),"",INDEX(J$1:J1203,SUMPRODUCT(MAX(ROW(E$1:E1203)*(E1204=E$1:E1203)))))</f>
        <v/>
      </c>
      <c r="L1204" s="31"/>
    </row>
    <row r="1205" customFormat="false" ht="15" hidden="false" customHeight="false" outlineLevel="0" collapsed="false">
      <c r="A1205" s="20"/>
    </row>
    <row r="1206" customFormat="false" ht="15" hidden="false" customHeight="false" outlineLevel="0" collapsed="false">
      <c r="A1206" s="20" t="s">
        <v>1603</v>
      </c>
    </row>
    <row r="1207" customFormat="false" ht="15" hidden="false" customHeight="false" outlineLevel="0" collapsed="false">
      <c r="A1207" s="20" t="s">
        <v>1148</v>
      </c>
      <c r="E1207" s="23" t="str">
        <f aca="false">IF(D1207="?OLD","!!!","")</f>
        <v/>
      </c>
      <c r="F1207" s="25" t="str">
        <f aca="false">IF(OR(E1207="",E1207="!!!"),"",IF(NOT(ISNA(VLOOKUP(E1207,E$1:E1206,1,FALSE()))),"OLD",IF(AND(E1207&lt;&gt;"",E1207&lt;&gt;"!!!"),"NEW","")))</f>
        <v/>
      </c>
      <c r="G1207" s="26" t="str">
        <f aca="false">IF(OR(E1207="",E1207="!!!"),"",IF(OR(J1207=0,AND(J1207=1,K1207=1),AND(J1207=1,I1207="SBJ"),AND(J1207=1,I1207=0)),"?IN_FOCUS",IF(J1207&lt;=2,"?ACTIVATED",IF(J1207&lt;&gt;"","?FAMILIAR",IF(F1207="NEW",IF(ISNA(VLOOKUP(E1207,#REF!,1,FALSE())),"?TYPE_IDENTIFIABLE","?REFERENTIAL"),"_")))))</f>
        <v/>
      </c>
      <c r="H1207" s="27" t="str">
        <f aca="false">IF(J1207&lt;&gt;1,"",IF(I1207="SBJ","CB","?"))</f>
        <v/>
      </c>
      <c r="I1207" s="24" t="str">
        <f aca="false">IF(OR(E1207="",E1207="!!!",F1207="NEW"),"",INDEX(B2:B$1206,-1+SUMPRODUCT(MAX(ROW(E2:E$1206)*(E1207=E2:E$1206)))))</f>
        <v/>
      </c>
      <c r="J1207" s="24" t="str">
        <f aca="true">IF(OR(E1207="",E1207="!!!",F1207="NEW"),"",COUNTBLANK(OFFSET(A$1,,,SUMPRODUCT(MAX(ROW(E$2:E1207)*(E1207=E$2:E1207)))))-COUNTBLANK(OFFSET(A$1,,,SUMPRODUCT(MAX(ROW(E$1:E1206)*(E2=E$1:E1206))))))</f>
        <v/>
      </c>
      <c r="K1207" s="24" t="str">
        <f aca="false">IF(OR(E1207="",E1207="!!!",F1207="NEW"),"",INDEX(J$1:J1206,SUMPRODUCT(MAX(ROW(E$1:E1206)*(E1207=E$1:E1206)))))</f>
        <v/>
      </c>
      <c r="L1207" s="31"/>
    </row>
    <row r="1208" customFormat="false" ht="15" hidden="false" customHeight="false" outlineLevel="0" collapsed="false">
      <c r="A1208" s="20" t="s">
        <v>1604</v>
      </c>
      <c r="E1208" s="23" t="str">
        <f aca="false">IF(D1208="?OLD","!!!","")</f>
        <v/>
      </c>
      <c r="F1208" s="25" t="str">
        <f aca="false">IF(OR(E1208="",E1208="!!!"),"",IF(NOT(ISNA(VLOOKUP(E1208,E$1:E1207,1,FALSE()))),"OLD",IF(AND(E1208&lt;&gt;"",E1208&lt;&gt;"!!!"),"NEW","")))</f>
        <v/>
      </c>
      <c r="G1208" s="26" t="str">
        <f aca="false">IF(OR(E1208="",E1208="!!!"),"",IF(OR(J1208=0,AND(J1208=1,K1208=1),AND(J1208=1,I1208="SBJ"),AND(J1208=1,I1208=0)),"?IN_FOCUS",IF(J1208&lt;=2,"?ACTIVATED",IF(J1208&lt;&gt;"","?FAMILIAR",IF(F1208="NEW",IF(ISNA(VLOOKUP(E1208,#REF!,1,FALSE())),"?TYPE_IDENTIFIABLE","?REFERENTIAL"),"_")))))</f>
        <v/>
      </c>
      <c r="H1208" s="27" t="str">
        <f aca="false">IF(J1208&lt;&gt;1,"",IF(I1208="SBJ","CB","?"))</f>
        <v/>
      </c>
      <c r="I1208" s="24" t="str">
        <f aca="false">IF(OR(E1208="",E1208="!!!",F1208="NEW"),"",INDEX(B3:B$1206,-1+SUMPRODUCT(MAX(ROW(E3:E$1206)*(E1208=E3:E$1206)))))</f>
        <v/>
      </c>
      <c r="J1208" s="24" t="str">
        <f aca="true">IF(OR(E1208="",E1208="!!!",F1208="NEW"),"",COUNTBLANK(OFFSET(A$1,,,SUMPRODUCT(MAX(ROW(E$2:E1208)*(E1208=E$2:E1208)))))-COUNTBLANK(OFFSET(A$1,,,SUMPRODUCT(MAX(ROW(E$1:E1207)*(E2=E$1:E1207))))))</f>
        <v/>
      </c>
      <c r="K1208" s="24" t="str">
        <f aca="false">IF(OR(E1208="",E1208="!!!",F1208="NEW"),"",INDEX(J$1:J1207,SUMPRODUCT(MAX(ROW(E$1:E1207)*(E1208=E$1:E1207)))))</f>
        <v/>
      </c>
      <c r="L1208" s="31"/>
    </row>
    <row r="1209" customFormat="false" ht="15" hidden="false" customHeight="false" outlineLevel="0" collapsed="false">
      <c r="A1209" s="20" t="s">
        <v>253</v>
      </c>
      <c r="B1209" s="22" t="s">
        <v>1105</v>
      </c>
      <c r="C1209" s="22" t="s">
        <v>1150</v>
      </c>
      <c r="D1209" s="22" t="s">
        <v>1060</v>
      </c>
      <c r="E1209" s="23" t="str">
        <f aca="false">IF(D1209="?OLD","!!!","")</f>
        <v>!!!</v>
      </c>
      <c r="F1209" s="25" t="str">
        <f aca="false">IF(OR(E1209="",E1209="!!!"),"",IF(NOT(ISNA(VLOOKUP(E1209,E$1:E1208,1,FALSE()))),"OLD",IF(AND(E1209&lt;&gt;"",E1209&lt;&gt;"!!!"),"NEW","")))</f>
        <v/>
      </c>
      <c r="G1209" s="26" t="str">
        <f aca="false">IF(OR(E1209="",E1209="!!!"),"",IF(OR(J1209=0,AND(J1209=1,K1209=1),AND(J1209=1,I1209="SBJ"),AND(J1209=1,I1209=0)),"?IN_FOCUS",IF(J1209&lt;=2,"?ACTIVATED",IF(J1209&lt;&gt;"","?FAMILIAR",IF(F1209="NEW",IF(ISNA(VLOOKUP(E1209,#REF!,1,FALSE())),"?TYPE_IDENTIFIABLE","?REFERENTIAL"),"_")))))</f>
        <v/>
      </c>
      <c r="H1209" s="27" t="str">
        <f aca="false">IF(J1209&lt;&gt;1,"",IF(I1209="SBJ","CB","?"))</f>
        <v/>
      </c>
      <c r="I1209" s="24" t="str">
        <f aca="false">IF(OR(E1209="",E1209="!!!",F1209="NEW"),"",INDEX(B4:B$1206,-1+SUMPRODUCT(MAX(ROW(E4:E$1206)*(E1209=E4:E$1206)))))</f>
        <v/>
      </c>
      <c r="J1209" s="24" t="str">
        <f aca="true">IF(OR(E1209="",E1209="!!!",F1209="NEW"),"",COUNTBLANK(OFFSET(A$1,,,SUMPRODUCT(MAX(ROW(E$2:E1209)*(E1209=E$2:E1209)))))-COUNTBLANK(OFFSET(A$1,,,SUMPRODUCT(MAX(ROW(E$1:E1208)*(E2=E$1:E1208))))))</f>
        <v/>
      </c>
      <c r="K1209" s="24" t="str">
        <f aca="false">IF(OR(E1209="",E1209="!!!",F1209="NEW"),"",INDEX(J$1:J1208,SUMPRODUCT(MAX(ROW(E$1:E1208)*(E1209=E$1:E1208)))))</f>
        <v/>
      </c>
      <c r="L1209" s="31"/>
    </row>
    <row r="1210" customFormat="false" ht="15" hidden="false" customHeight="false" outlineLevel="0" collapsed="false">
      <c r="A1210" s="20" t="s">
        <v>1224</v>
      </c>
      <c r="E1210" s="23" t="str">
        <f aca="false">IF(D1210="?OLD","!!!","")</f>
        <v/>
      </c>
      <c r="F1210" s="25" t="str">
        <f aca="false">IF(OR(E1210="",E1210="!!!"),"",IF(NOT(ISNA(VLOOKUP(E1210,E$1:E1209,1,FALSE()))),"OLD",IF(AND(E1210&lt;&gt;"",E1210&lt;&gt;"!!!"),"NEW","")))</f>
        <v/>
      </c>
      <c r="G1210" s="26" t="str">
        <f aca="false">IF(OR(E1210="",E1210="!!!"),"",IF(OR(J1210=0,AND(J1210=1,K1210=1),AND(J1210=1,I1210="SBJ"),AND(J1210=1,I1210=0)),"?IN_FOCUS",IF(J1210&lt;=2,"?ACTIVATED",IF(J1210&lt;&gt;"","?FAMILIAR",IF(F1210="NEW",IF(ISNA(VLOOKUP(E1210,#REF!,1,FALSE())),"?TYPE_IDENTIFIABLE","?REFERENTIAL"),"_")))))</f>
        <v/>
      </c>
      <c r="H1210" s="27" t="str">
        <f aca="false">IF(J1210&lt;&gt;1,"",IF(I1210="SBJ","CB","?"))</f>
        <v/>
      </c>
      <c r="I1210" s="24" t="str">
        <f aca="false">IF(OR(E1210="",E1210="!!!",F1210="NEW"),"",INDEX(B5:B$1206,-1+SUMPRODUCT(MAX(ROW(E5:E$1206)*(E1210=E5:E$1206)))))</f>
        <v/>
      </c>
      <c r="J1210" s="24" t="str">
        <f aca="true">IF(OR(E1210="",E1210="!!!",F1210="NEW"),"",COUNTBLANK(OFFSET(A$1,,,SUMPRODUCT(MAX(ROW(E$2:E1210)*(E1210=E$2:E1210)))))-COUNTBLANK(OFFSET(A$1,,,SUMPRODUCT(MAX(ROW(E$1:E1209)*(E2=E$1:E1209))))))</f>
        <v/>
      </c>
      <c r="K1210" s="24" t="str">
        <f aca="false">IF(OR(E1210="",E1210="!!!",F1210="NEW"),"",INDEX(J$1:J1209,SUMPRODUCT(MAX(ROW(E$1:E1209)*(E1210=E$1:E1209)))))</f>
        <v/>
      </c>
      <c r="L1210" s="31"/>
    </row>
    <row r="1211" customFormat="false" ht="15" hidden="false" customHeight="false" outlineLevel="0" collapsed="false">
      <c r="A1211" s="20" t="s">
        <v>1080</v>
      </c>
      <c r="B1211" s="22" t="s">
        <v>1105</v>
      </c>
      <c r="C1211" s="22" t="s">
        <v>1082</v>
      </c>
      <c r="D1211" s="22" t="s">
        <v>1060</v>
      </c>
      <c r="E1211" s="23" t="str">
        <f aca="false">IF(D1211="?OLD","!!!","")</f>
        <v>!!!</v>
      </c>
      <c r="F1211" s="25" t="str">
        <f aca="false">IF(OR(E1211="",E1211="!!!"),"",IF(NOT(ISNA(VLOOKUP(E1211,E$1:E1210,1,FALSE()))),"OLD",IF(AND(E1211&lt;&gt;"",E1211&lt;&gt;"!!!"),"NEW","")))</f>
        <v/>
      </c>
      <c r="G1211" s="26" t="str">
        <f aca="false">IF(OR(E1211="",E1211="!!!"),"",IF(OR(J1211=0,AND(J1211=1,K1211=1),AND(J1211=1,I1211="SBJ"),AND(J1211=1,I1211=0)),"?IN_FOCUS",IF(J1211&lt;=2,"?ACTIVATED",IF(J1211&lt;&gt;"","?FAMILIAR",IF(F1211="NEW",IF(ISNA(VLOOKUP(E1211,#REF!,1,FALSE())),"?TYPE_IDENTIFIABLE","?REFERENTIAL"),"_")))))</f>
        <v/>
      </c>
      <c r="H1211" s="27" t="str">
        <f aca="false">IF(J1211&lt;&gt;1,"",IF(I1211="SBJ","CB","?"))</f>
        <v/>
      </c>
      <c r="I1211" s="24" t="str">
        <f aca="false">IF(OR(E1211="",E1211="!!!",F1211="NEW"),"",INDEX(B6:B$1206,-1+SUMPRODUCT(MAX(ROW(E6:E$1206)*(E1211=E6:E$1206)))))</f>
        <v/>
      </c>
      <c r="J1211" s="24" t="str">
        <f aca="true">IF(OR(E1211="",E1211="!!!",F1211="NEW"),"",COUNTBLANK(OFFSET(A$1,,,SUMPRODUCT(MAX(ROW(E$2:E1211)*(E1211=E$2:E1211)))))-COUNTBLANK(OFFSET(A$1,,,SUMPRODUCT(MAX(ROW(E$1:E1210)*(E2=E$1:E1210))))))</f>
        <v/>
      </c>
      <c r="K1211" s="24" t="str">
        <f aca="false">IF(OR(E1211="",E1211="!!!",F1211="NEW"),"",INDEX(J$1:J1210,SUMPRODUCT(MAX(ROW(E$1:E1210)*(E1211=E$1:E1210)))))</f>
        <v/>
      </c>
      <c r="L1211" s="31"/>
    </row>
    <row r="1212" customFormat="false" ht="15" hidden="false" customHeight="false" outlineLevel="0" collapsed="false">
      <c r="A1212" s="20" t="s">
        <v>1076</v>
      </c>
      <c r="E1212" s="23" t="str">
        <f aca="false">IF(D1212="?OLD","!!!","")</f>
        <v/>
      </c>
      <c r="F1212" s="25" t="str">
        <f aca="false">IF(OR(E1212="",E1212="!!!"),"",IF(NOT(ISNA(VLOOKUP(E1212,E$1:E1211,1,FALSE()))),"OLD",IF(AND(E1212&lt;&gt;"",E1212&lt;&gt;"!!!"),"NEW","")))</f>
        <v/>
      </c>
      <c r="G1212" s="26" t="str">
        <f aca="false">IF(OR(E1212="",E1212="!!!"),"",IF(OR(J1212=0,AND(J1212=1,K1212=1),AND(J1212=1,I1212="SBJ"),AND(J1212=1,I1212=0)),"?IN_FOCUS",IF(J1212&lt;=2,"?ACTIVATED",IF(J1212&lt;&gt;"","?FAMILIAR",IF(F1212="NEW",IF(ISNA(VLOOKUP(E1212,#REF!,1,FALSE())),"?TYPE_IDENTIFIABLE","?REFERENTIAL"),"_")))))</f>
        <v/>
      </c>
      <c r="H1212" s="27" t="str">
        <f aca="false">IF(J1212&lt;&gt;1,"",IF(I1212="SBJ","CB","?"))</f>
        <v/>
      </c>
      <c r="I1212" s="24" t="str">
        <f aca="false">IF(OR(E1212="",E1212="!!!",F1212="NEW"),"",INDEX(B7:B$1206,-1+SUMPRODUCT(MAX(ROW(E7:E$1206)*(E1212=E7:E$1206)))))</f>
        <v/>
      </c>
      <c r="J1212" s="24" t="str">
        <f aca="true">IF(OR(E1212="",E1212="!!!",F1212="NEW"),"",COUNTBLANK(OFFSET(A$1,,,SUMPRODUCT(MAX(ROW(E$2:E1212)*(E1212=E$2:E1212)))))-COUNTBLANK(OFFSET(A$1,,,SUMPRODUCT(MAX(ROW(E$1:E1211)*(E2=E$1:E1211))))))</f>
        <v/>
      </c>
      <c r="K1212" s="24" t="str">
        <f aca="false">IF(OR(E1212="",E1212="!!!",F1212="NEW"),"",INDEX(J$1:J1211,SUMPRODUCT(MAX(ROW(E$1:E1211)*(E1212=E$1:E1211)))))</f>
        <v/>
      </c>
      <c r="L1212" s="31"/>
    </row>
    <row r="1213" customFormat="false" ht="15" hidden="false" customHeight="false" outlineLevel="0" collapsed="false">
      <c r="A1213" s="20" t="s">
        <v>1128</v>
      </c>
      <c r="E1213" s="23" t="str">
        <f aca="false">IF(D1213="?OLD","!!!","")</f>
        <v/>
      </c>
      <c r="F1213" s="25" t="str">
        <f aca="false">IF(OR(E1213="",E1213="!!!"),"",IF(NOT(ISNA(VLOOKUP(E1213,E$1:E1212,1,FALSE()))),"OLD",IF(AND(E1213&lt;&gt;"",E1213&lt;&gt;"!!!"),"NEW","")))</f>
        <v/>
      </c>
      <c r="G1213" s="26" t="str">
        <f aca="false">IF(OR(E1213="",E1213="!!!"),"",IF(OR(J1213=0,AND(J1213=1,K1213=1),AND(J1213=1,I1213="SBJ"),AND(J1213=1,I1213=0)),"?IN_FOCUS",IF(J1213&lt;=2,"?ACTIVATED",IF(J1213&lt;&gt;"","?FAMILIAR",IF(F1213="NEW",IF(ISNA(VLOOKUP(E1213,#REF!,1,FALSE())),"?TYPE_IDENTIFIABLE","?REFERENTIAL"),"_")))))</f>
        <v/>
      </c>
      <c r="H1213" s="27" t="str">
        <f aca="false">IF(J1213&lt;&gt;1,"",IF(I1213="SBJ","CB","?"))</f>
        <v/>
      </c>
      <c r="I1213" s="24" t="str">
        <f aca="false">IF(OR(E1213="",E1213="!!!",F1213="NEW"),"",INDEX(B8:B$1206,-1+SUMPRODUCT(MAX(ROW(E8:E$1206)*(E1213=E8:E$1206)))))</f>
        <v/>
      </c>
      <c r="J1213" s="24" t="str">
        <f aca="true">IF(OR(E1213="",E1213="!!!",F1213="NEW"),"",COUNTBLANK(OFFSET(A$1,,,SUMPRODUCT(MAX(ROW(E$2:E1213)*(E1213=E$2:E1213)))))-COUNTBLANK(OFFSET(A$1,,,SUMPRODUCT(MAX(ROW(E$1:E1212)*(E2=E$1:E1212))))))</f>
        <v/>
      </c>
      <c r="K1213" s="24" t="str">
        <f aca="false">IF(OR(E1213="",E1213="!!!",F1213="NEW"),"",INDEX(J$1:J1212,SUMPRODUCT(MAX(ROW(E$1:E1212)*(E1213=E$1:E1212)))))</f>
        <v/>
      </c>
      <c r="L1213" s="31"/>
    </row>
    <row r="1214" customFormat="false" ht="15" hidden="false" customHeight="false" outlineLevel="0" collapsed="false">
      <c r="A1214" s="20" t="s">
        <v>1080</v>
      </c>
      <c r="B1214" s="22" t="s">
        <v>1086</v>
      </c>
      <c r="C1214" s="22" t="s">
        <v>1082</v>
      </c>
      <c r="D1214" s="22" t="s">
        <v>1060</v>
      </c>
      <c r="E1214" s="23" t="str">
        <f aca="false">IF(D1214="?OLD","!!!","")</f>
        <v>!!!</v>
      </c>
      <c r="F1214" s="25" t="str">
        <f aca="false">IF(OR(E1214="",E1214="!!!"),"",IF(NOT(ISNA(VLOOKUP(E1214,E$1:E1213,1,FALSE()))),"OLD",IF(AND(E1214&lt;&gt;"",E1214&lt;&gt;"!!!"),"NEW","")))</f>
        <v/>
      </c>
      <c r="G1214" s="26" t="str">
        <f aca="false">IF(OR(E1214="",E1214="!!!"),"",IF(OR(J1214=0,AND(J1214=1,K1214=1),AND(J1214=1,I1214="SBJ"),AND(J1214=1,I1214=0)),"?IN_FOCUS",IF(J1214&lt;=2,"?ACTIVATED",IF(J1214&lt;&gt;"","?FAMILIAR",IF(F1214="NEW",IF(ISNA(VLOOKUP(E1214,#REF!,1,FALSE())),"?TYPE_IDENTIFIABLE","?REFERENTIAL"),"_")))))</f>
        <v/>
      </c>
      <c r="H1214" s="27" t="str">
        <f aca="false">IF(J1214&lt;&gt;1,"",IF(I1214="SBJ","CB","?"))</f>
        <v/>
      </c>
      <c r="I1214" s="24" t="str">
        <f aca="false">IF(OR(E1214="",E1214="!!!",F1214="NEW"),"",INDEX(B9:B$1206,-1+SUMPRODUCT(MAX(ROW(E9:E$1206)*(E1214=E9:E$1206)))))</f>
        <v/>
      </c>
      <c r="J1214" s="24" t="str">
        <f aca="true">IF(OR(E1214="",E1214="!!!",F1214="NEW"),"",COUNTBLANK(OFFSET(A$1,,,SUMPRODUCT(MAX(ROW(E$2:E1214)*(E1214=E$2:E1214)))))-COUNTBLANK(OFFSET(A$1,,,SUMPRODUCT(MAX(ROW(E$1:E1213)*(E2=E$1:E1213))))))</f>
        <v/>
      </c>
      <c r="K1214" s="24" t="str">
        <f aca="false">IF(OR(E1214="",E1214="!!!",F1214="NEW"),"",INDEX(J$1:J1213,SUMPRODUCT(MAX(ROW(E$1:E1213)*(E1214=E$1:E1213)))))</f>
        <v/>
      </c>
      <c r="L1214" s="31"/>
    </row>
    <row r="1215" customFormat="false" ht="15" hidden="false" customHeight="false" outlineLevel="0" collapsed="false">
      <c r="A1215" s="20" t="s">
        <v>1503</v>
      </c>
      <c r="E1215" s="23" t="str">
        <f aca="false">IF(D1215="?OLD","!!!","")</f>
        <v/>
      </c>
      <c r="F1215" s="25" t="str">
        <f aca="false">IF(OR(E1215="",E1215="!!!"),"",IF(NOT(ISNA(VLOOKUP(E1215,E$1:E1214,1,FALSE()))),"OLD",IF(AND(E1215&lt;&gt;"",E1215&lt;&gt;"!!!"),"NEW","")))</f>
        <v/>
      </c>
      <c r="G1215" s="26" t="str">
        <f aca="false">IF(OR(E1215="",E1215="!!!"),"",IF(OR(J1215=0,AND(J1215=1,K1215=1),AND(J1215=1,I1215="SBJ"),AND(J1215=1,I1215=0)),"?IN_FOCUS",IF(J1215&lt;=2,"?ACTIVATED",IF(J1215&lt;&gt;"","?FAMILIAR",IF(F1215="NEW",IF(ISNA(VLOOKUP(E1215,#REF!,1,FALSE())),"?TYPE_IDENTIFIABLE","?REFERENTIAL"),"_")))))</f>
        <v/>
      </c>
      <c r="H1215" s="27" t="str">
        <f aca="false">IF(J1215&lt;&gt;1,"",IF(I1215="SBJ","CB","?"))</f>
        <v/>
      </c>
      <c r="I1215" s="24" t="str">
        <f aca="false">IF(OR(E1215="",E1215="!!!",F1215="NEW"),"",INDEX(B10:B$1206,-1+SUMPRODUCT(MAX(ROW(E10:E$1206)*(E1215=E10:E$1206)))))</f>
        <v/>
      </c>
      <c r="J1215" s="24" t="str">
        <f aca="true">IF(OR(E1215="",E1215="!!!",F1215="NEW"),"",COUNTBLANK(OFFSET(A$1,,,SUMPRODUCT(MAX(ROW(E$2:E1215)*(E1215=E$2:E1215)))))-COUNTBLANK(OFFSET(A$1,,,SUMPRODUCT(MAX(ROW(E$1:E1214)*(E2=E$1:E1214))))))</f>
        <v/>
      </c>
      <c r="K1215" s="24" t="str">
        <f aca="false">IF(OR(E1215="",E1215="!!!",F1215="NEW"),"",INDEX(J$1:J1214,SUMPRODUCT(MAX(ROW(E$1:E1214)*(E1215=E$1:E1214)))))</f>
        <v/>
      </c>
      <c r="L1215" s="31"/>
    </row>
    <row r="1216" customFormat="false" ht="15" hidden="false" customHeight="false" outlineLevel="0" collapsed="false">
      <c r="A1216" s="20" t="s">
        <v>1599</v>
      </c>
      <c r="E1216" s="23" t="str">
        <f aca="false">IF(D1216="?OLD","!!!","")</f>
        <v/>
      </c>
      <c r="F1216" s="25" t="str">
        <f aca="false">IF(OR(E1216="",E1216="!!!"),"",IF(NOT(ISNA(VLOOKUP(E1216,E$1:E1215,1,FALSE()))),"OLD",IF(AND(E1216&lt;&gt;"",E1216&lt;&gt;"!!!"),"NEW","")))</f>
        <v/>
      </c>
      <c r="G1216" s="26" t="str">
        <f aca="false">IF(OR(E1216="",E1216="!!!"),"",IF(OR(J1216=0,AND(J1216=1,K1216=1),AND(J1216=1,I1216="SBJ"),AND(J1216=1,I1216=0)),"?IN_FOCUS",IF(J1216&lt;=2,"?ACTIVATED",IF(J1216&lt;&gt;"","?FAMILIAR",IF(F1216="NEW",IF(ISNA(VLOOKUP(E1216,#REF!,1,FALSE())),"?TYPE_IDENTIFIABLE","?REFERENTIAL"),"_")))))</f>
        <v/>
      </c>
      <c r="H1216" s="27" t="str">
        <f aca="false">IF(J1216&lt;&gt;1,"",IF(I1216="SBJ","CB","?"))</f>
        <v/>
      </c>
      <c r="I1216" s="24" t="str">
        <f aca="false">IF(OR(E1216="",E1216="!!!",F1216="NEW"),"",INDEX(B11:B$1206,-1+SUMPRODUCT(MAX(ROW(E11:E$1206)*(E1216=E11:E$1206)))))</f>
        <v/>
      </c>
      <c r="J1216" s="24" t="str">
        <f aca="true">IF(OR(E1216="",E1216="!!!",F1216="NEW"),"",COUNTBLANK(OFFSET(A$1,,,SUMPRODUCT(MAX(ROW(E$2:E1216)*(E1216=E$2:E1216)))))-COUNTBLANK(OFFSET(A$1,,,SUMPRODUCT(MAX(ROW(E$1:E1215)*(E2=E$1:E1215))))))</f>
        <v/>
      </c>
      <c r="K1216" s="24" t="str">
        <f aca="false">IF(OR(E1216="",E1216="!!!",F1216="NEW"),"",INDEX(J$1:J1215,SUMPRODUCT(MAX(ROW(E$1:E1215)*(E1216=E$1:E1215)))))</f>
        <v/>
      </c>
      <c r="L1216" s="31"/>
    </row>
    <row r="1217" customFormat="false" ht="15" hidden="false" customHeight="false" outlineLevel="0" collapsed="false">
      <c r="A1217" s="20" t="s">
        <v>1085</v>
      </c>
      <c r="E1217" s="23" t="str">
        <f aca="false">IF(D1217="?OLD","!!!","")</f>
        <v/>
      </c>
      <c r="F1217" s="25" t="str">
        <f aca="false">IF(OR(E1217="",E1217="!!!"),"",IF(NOT(ISNA(VLOOKUP(E1217,E$1:E1216,1,FALSE()))),"OLD",IF(AND(E1217&lt;&gt;"",E1217&lt;&gt;"!!!"),"NEW","")))</f>
        <v/>
      </c>
      <c r="G1217" s="26" t="str">
        <f aca="false">IF(OR(E1217="",E1217="!!!"),"",IF(OR(J1217=0,AND(J1217=1,K1217=1),AND(J1217=1,I1217="SBJ"),AND(J1217=1,I1217=0)),"?IN_FOCUS",IF(J1217&lt;=2,"?ACTIVATED",IF(J1217&lt;&gt;"","?FAMILIAR",IF(F1217="NEW",IF(ISNA(VLOOKUP(E1217,#REF!,1,FALSE())),"?TYPE_IDENTIFIABLE","?REFERENTIAL"),"_")))))</f>
        <v/>
      </c>
      <c r="H1217" s="27" t="str">
        <f aca="false">IF(J1217&lt;&gt;1,"",IF(I1217="SBJ","CB","?"))</f>
        <v/>
      </c>
      <c r="I1217" s="24" t="str">
        <f aca="false">IF(OR(E1217="",E1217="!!!",F1217="NEW"),"",INDEX(B12:B$1206,-1+SUMPRODUCT(MAX(ROW(E12:E$1206)*(E1217=E12:E$1206)))))</f>
        <v/>
      </c>
      <c r="J1217" s="24" t="str">
        <f aca="true">IF(OR(E1217="",E1217="!!!",F1217="NEW"),"",COUNTBLANK(OFFSET(A$1,,,SUMPRODUCT(MAX(ROW(E$2:E1217)*(E1217=E$2:E1217)))))-COUNTBLANK(OFFSET(A$1,,,SUMPRODUCT(MAX(ROW(E$1:E1216)*(E2=E$1:E1216))))))</f>
        <v/>
      </c>
      <c r="K1217" s="24" t="str">
        <f aca="false">IF(OR(E1217="",E1217="!!!",F1217="NEW"),"",INDEX(J$1:J1216,SUMPRODUCT(MAX(ROW(E$1:E1216)*(E1217=E$1:E1216)))))</f>
        <v/>
      </c>
      <c r="L1217" s="31"/>
    </row>
    <row r="1218" customFormat="false" ht="15" hidden="false" customHeight="false" outlineLevel="0" collapsed="false">
      <c r="A1218" s="20" t="s">
        <v>1176</v>
      </c>
      <c r="E1218" s="23" t="str">
        <f aca="false">IF(D1218="?OLD","!!!","")</f>
        <v/>
      </c>
      <c r="F1218" s="25" t="str">
        <f aca="false">IF(OR(E1218="",E1218="!!!"),"",IF(NOT(ISNA(VLOOKUP(E1218,E$1:E1217,1,FALSE()))),"OLD",IF(AND(E1218&lt;&gt;"",E1218&lt;&gt;"!!!"),"NEW","")))</f>
        <v/>
      </c>
      <c r="G1218" s="26" t="str">
        <f aca="false">IF(OR(E1218="",E1218="!!!"),"",IF(OR(J1218=0,AND(J1218=1,K1218=1),AND(J1218=1,I1218="SBJ"),AND(J1218=1,I1218=0)),"?IN_FOCUS",IF(J1218&lt;=2,"?ACTIVATED",IF(J1218&lt;&gt;"","?FAMILIAR",IF(F1218="NEW",IF(ISNA(VLOOKUP(E1218,#REF!,1,FALSE())),"?TYPE_IDENTIFIABLE","?REFERENTIAL"),"_")))))</f>
        <v/>
      </c>
      <c r="H1218" s="27" t="str">
        <f aca="false">IF(J1218&lt;&gt;1,"",IF(I1218="SBJ","CB","?"))</f>
        <v/>
      </c>
      <c r="I1218" s="24" t="str">
        <f aca="false">IF(OR(E1218="",E1218="!!!",F1218="NEW"),"",INDEX(B13:B$1206,-1+SUMPRODUCT(MAX(ROW(E13:E$1206)*(E1218=E13:E$1206)))))</f>
        <v/>
      </c>
      <c r="J1218" s="24" t="str">
        <f aca="true">IF(OR(E1218="",E1218="!!!",F1218="NEW"),"",COUNTBLANK(OFFSET(A$1,,,SUMPRODUCT(MAX(ROW(E$2:E1218)*(E1218=E$2:E1218)))))-COUNTBLANK(OFFSET(A$1,,,SUMPRODUCT(MAX(ROW(E$1:E1217)*(E2=E$1:E1217))))))</f>
        <v/>
      </c>
      <c r="K1218" s="24" t="str">
        <f aca="false">IF(OR(E1218="",E1218="!!!",F1218="NEW"),"",INDEX(J$1:J1217,SUMPRODUCT(MAX(ROW(E$1:E1217)*(E1218=E$1:E1217)))))</f>
        <v/>
      </c>
      <c r="L1218" s="31"/>
    </row>
    <row r="1219" customFormat="false" ht="15" hidden="false" customHeight="false" outlineLevel="0" collapsed="false">
      <c r="A1219" s="20" t="s">
        <v>1605</v>
      </c>
      <c r="E1219" s="23" t="str">
        <f aca="false">IF(D1219="?OLD","!!!","")</f>
        <v/>
      </c>
      <c r="F1219" s="25" t="str">
        <f aca="false">IF(OR(E1219="",E1219="!!!"),"",IF(NOT(ISNA(VLOOKUP(E1219,E$1:E1218,1,FALSE()))),"OLD",IF(AND(E1219&lt;&gt;"",E1219&lt;&gt;"!!!"),"NEW","")))</f>
        <v/>
      </c>
      <c r="G1219" s="26" t="str">
        <f aca="false">IF(OR(E1219="",E1219="!!!"),"",IF(OR(J1219=0,AND(J1219=1,K1219=1),AND(J1219=1,I1219="SBJ"),AND(J1219=1,I1219=0)),"?IN_FOCUS",IF(J1219&lt;=2,"?ACTIVATED",IF(J1219&lt;&gt;"","?FAMILIAR",IF(F1219="NEW",IF(ISNA(VLOOKUP(E1219,#REF!,1,FALSE())),"?TYPE_IDENTIFIABLE","?REFERENTIAL"),"_")))))</f>
        <v/>
      </c>
      <c r="H1219" s="27" t="str">
        <f aca="false">IF(J1219&lt;&gt;1,"",IF(I1219="SBJ","CB","?"))</f>
        <v/>
      </c>
      <c r="I1219" s="24" t="str">
        <f aca="false">IF(OR(E1219="",E1219="!!!",F1219="NEW"),"",INDEX(B14:B$1206,-1+SUMPRODUCT(MAX(ROW(E14:E$1206)*(E1219=E14:E$1206)))))</f>
        <v/>
      </c>
      <c r="J1219" s="24" t="str">
        <f aca="true">IF(OR(E1219="",E1219="!!!",F1219="NEW"),"",COUNTBLANK(OFFSET(A$1,,,SUMPRODUCT(MAX(ROW(E$2:E1219)*(E1219=E$2:E1219)))))-COUNTBLANK(OFFSET(A$1,,,SUMPRODUCT(MAX(ROW(E$1:E1218)*(E2=E$1:E1218))))))</f>
        <v/>
      </c>
      <c r="K1219" s="24" t="str">
        <f aca="false">IF(OR(E1219="",E1219="!!!",F1219="NEW"),"",INDEX(J$1:J1218,SUMPRODUCT(MAX(ROW(E$1:E1218)*(E1219=E$1:E1218)))))</f>
        <v/>
      </c>
      <c r="L1219" s="31"/>
    </row>
    <row r="1220" customFormat="false" ht="15" hidden="false" customHeight="false" outlineLevel="0" collapsed="false">
      <c r="A1220" s="20" t="s">
        <v>1606</v>
      </c>
      <c r="E1220" s="23" t="str">
        <f aca="false">IF(D1220="?OLD","!!!","")</f>
        <v/>
      </c>
      <c r="F1220" s="25" t="str">
        <f aca="false">IF(OR(E1220="",E1220="!!!"),"",IF(NOT(ISNA(VLOOKUP(E1220,E$1:E1219,1,FALSE()))),"OLD",IF(AND(E1220&lt;&gt;"",E1220&lt;&gt;"!!!"),"NEW","")))</f>
        <v/>
      </c>
      <c r="G1220" s="26" t="str">
        <f aca="false">IF(OR(E1220="",E1220="!!!"),"",IF(OR(J1220=0,AND(J1220=1,K1220=1),AND(J1220=1,I1220="SBJ"),AND(J1220=1,I1220=0)),"?IN_FOCUS",IF(J1220&lt;=2,"?ACTIVATED",IF(J1220&lt;&gt;"","?FAMILIAR",IF(F1220="NEW",IF(ISNA(VLOOKUP(E1220,#REF!,1,FALSE())),"?TYPE_IDENTIFIABLE","?REFERENTIAL"),"_")))))</f>
        <v/>
      </c>
      <c r="H1220" s="27" t="str">
        <f aca="false">IF(J1220&lt;&gt;1,"",IF(I1220="SBJ","CB","?"))</f>
        <v/>
      </c>
      <c r="I1220" s="24" t="str">
        <f aca="false">IF(OR(E1220="",E1220="!!!",F1220="NEW"),"",INDEX(B15:B$1206,-1+SUMPRODUCT(MAX(ROW(E15:E$1206)*(E1220=E15:E$1206)))))</f>
        <v/>
      </c>
      <c r="J1220" s="24" t="str">
        <f aca="true">IF(OR(E1220="",E1220="!!!",F1220="NEW"),"",COUNTBLANK(OFFSET(A$1,,,SUMPRODUCT(MAX(ROW(E$2:E1220)*(E1220=E$2:E1220)))))-COUNTBLANK(OFFSET(A$1,,,SUMPRODUCT(MAX(ROW(E$1:E1219)*(E2=E$1:E1219))))))</f>
        <v/>
      </c>
      <c r="K1220" s="24" t="str">
        <f aca="false">IF(OR(E1220="",E1220="!!!",F1220="NEW"),"",INDEX(J$1:J1219,SUMPRODUCT(MAX(ROW(E$1:E1219)*(E1220=E$1:E1219)))))</f>
        <v/>
      </c>
      <c r="L1220" s="31"/>
    </row>
    <row r="1221" customFormat="false" ht="15" hidden="false" customHeight="false" outlineLevel="0" collapsed="false">
      <c r="A1221" s="20" t="s">
        <v>16</v>
      </c>
      <c r="E1221" s="23" t="str">
        <f aca="false">IF(D1221="?OLD","!!!","")</f>
        <v/>
      </c>
      <c r="F1221" s="25" t="str">
        <f aca="false">IF(OR(E1221="",E1221="!!!"),"",IF(NOT(ISNA(VLOOKUP(E1221,E$1:E1220,1,FALSE()))),"OLD",IF(AND(E1221&lt;&gt;"",E1221&lt;&gt;"!!!"),"NEW","")))</f>
        <v/>
      </c>
      <c r="G1221" s="26" t="str">
        <f aca="false">IF(OR(E1221="",E1221="!!!"),"",IF(OR(J1221=0,AND(J1221=1,K1221=1),AND(J1221=1,I1221="SBJ"),AND(J1221=1,I1221=0)),"?IN_FOCUS",IF(J1221&lt;=2,"?ACTIVATED",IF(J1221&lt;&gt;"","?FAMILIAR",IF(F1221="NEW",IF(ISNA(VLOOKUP(E1221,#REF!,1,FALSE())),"?TYPE_IDENTIFIABLE","?REFERENTIAL"),"_")))))</f>
        <v/>
      </c>
      <c r="H1221" s="27" t="str">
        <f aca="false">IF(J1221&lt;&gt;1,"",IF(I1221="SBJ","CB","?"))</f>
        <v/>
      </c>
      <c r="I1221" s="24" t="str">
        <f aca="false">IF(OR(E1221="",E1221="!!!",F1221="NEW"),"",INDEX(B16:B$1206,-1+SUMPRODUCT(MAX(ROW(E16:E$1206)*(E1221=E16:E$1206)))))</f>
        <v/>
      </c>
      <c r="J1221" s="24" t="str">
        <f aca="true">IF(OR(E1221="",E1221="!!!",F1221="NEW"),"",COUNTBLANK(OFFSET(A$1,,,SUMPRODUCT(MAX(ROW(E$2:E1221)*(E1221=E$2:E1221)))))-COUNTBLANK(OFFSET(A$1,,,SUMPRODUCT(MAX(ROW(E$1:E1220)*(E2=E$1:E1220))))))</f>
        <v/>
      </c>
      <c r="K1221" s="24" t="str">
        <f aca="false">IF(OR(E1221="",E1221="!!!",F1221="NEW"),"",INDEX(J$1:J1220,SUMPRODUCT(MAX(ROW(E$1:E1220)*(E1221=E$1:E1220)))))</f>
        <v/>
      </c>
      <c r="L1221" s="31"/>
    </row>
    <row r="1222" customFormat="false" ht="15" hidden="false" customHeight="false" outlineLevel="0" collapsed="false">
      <c r="A1222" s="20" t="s">
        <v>1607</v>
      </c>
      <c r="B1222" s="22" t="s">
        <v>1073</v>
      </c>
      <c r="C1222" s="22" t="s">
        <v>1087</v>
      </c>
      <c r="E1222" s="23" t="str">
        <f aca="false">IF(D1222="?OLD","!!!","")</f>
        <v/>
      </c>
      <c r="F1222" s="25" t="str">
        <f aca="false">IF(OR(E1222="",E1222="!!!"),"",IF(NOT(ISNA(VLOOKUP(E1222,E$1:E1221,1,FALSE()))),"OLD",IF(AND(E1222&lt;&gt;"",E1222&lt;&gt;"!!!"),"NEW","")))</f>
        <v/>
      </c>
      <c r="G1222" s="26" t="str">
        <f aca="false">IF(OR(E1222="",E1222="!!!"),"",IF(OR(J1222=0,AND(J1222=1,K1222=1),AND(J1222=1,I1222="SBJ"),AND(J1222=1,I1222=0)),"?IN_FOCUS",IF(J1222&lt;=2,"?ACTIVATED",IF(J1222&lt;&gt;"","?FAMILIAR",IF(F1222="NEW",IF(ISNA(VLOOKUP(E1222,#REF!,1,FALSE())),"?TYPE_IDENTIFIABLE","?REFERENTIAL"),"_")))))</f>
        <v/>
      </c>
      <c r="H1222" s="27" t="str">
        <f aca="false">IF(J1222&lt;&gt;1,"",IF(I1222="SBJ","CB","?"))</f>
        <v/>
      </c>
      <c r="I1222" s="24" t="str">
        <f aca="false">IF(OR(E1222="",E1222="!!!",F1222="NEW"),"",INDEX(B17:B$1206,-1+SUMPRODUCT(MAX(ROW(E17:E$1206)*(E1222=E17:E$1206)))))</f>
        <v/>
      </c>
      <c r="J1222" s="24" t="str">
        <f aca="true">IF(OR(E1222="",E1222="!!!",F1222="NEW"),"",COUNTBLANK(OFFSET(A$1,,,SUMPRODUCT(MAX(ROW(E$2:E1222)*(E1222=E$2:E1222)))))-COUNTBLANK(OFFSET(A$1,,,SUMPRODUCT(MAX(ROW(E$1:E1221)*(E2=E$1:E1221))))))</f>
        <v/>
      </c>
      <c r="K1222" s="24" t="str">
        <f aca="false">IF(OR(E1222="",E1222="!!!",F1222="NEW"),"",INDEX(J$1:J1221,SUMPRODUCT(MAX(ROW(E$1:E1221)*(E1222=E$1:E1221)))))</f>
        <v/>
      </c>
      <c r="L1222" s="31"/>
    </row>
    <row r="1223" customFormat="false" ht="15" hidden="false" customHeight="false" outlineLevel="0" collapsed="false">
      <c r="A1223" s="20" t="s">
        <v>1076</v>
      </c>
      <c r="E1223" s="23" t="str">
        <f aca="false">IF(D1223="?OLD","!!!","")</f>
        <v/>
      </c>
      <c r="F1223" s="25" t="str">
        <f aca="false">IF(OR(E1223="",E1223="!!!"),"",IF(NOT(ISNA(VLOOKUP(E1223,E$1:E1222,1,FALSE()))),"OLD",IF(AND(E1223&lt;&gt;"",E1223&lt;&gt;"!!!"),"NEW","")))</f>
        <v/>
      </c>
      <c r="G1223" s="26" t="str">
        <f aca="false">IF(OR(E1223="",E1223="!!!"),"",IF(OR(J1223=0,AND(J1223=1,K1223=1),AND(J1223=1,I1223="SBJ"),AND(J1223=1,I1223=0)),"?IN_FOCUS",IF(J1223&lt;=2,"?ACTIVATED",IF(J1223&lt;&gt;"","?FAMILIAR",IF(F1223="NEW",IF(ISNA(VLOOKUP(E1223,#REF!,1,FALSE())),"?TYPE_IDENTIFIABLE","?REFERENTIAL"),"_")))))</f>
        <v/>
      </c>
      <c r="H1223" s="27" t="str">
        <f aca="false">IF(J1223&lt;&gt;1,"",IF(I1223="SBJ","CB","?"))</f>
        <v/>
      </c>
      <c r="I1223" s="24" t="str">
        <f aca="false">IF(OR(E1223="",E1223="!!!",F1223="NEW"),"",INDEX(B18:B$1206,-1+SUMPRODUCT(MAX(ROW(E18:E$1206)*(E1223=E18:E$1206)))))</f>
        <v/>
      </c>
      <c r="J1223" s="24" t="str">
        <f aca="true">IF(OR(E1223="",E1223="!!!",F1223="NEW"),"",COUNTBLANK(OFFSET(A$1,,,SUMPRODUCT(MAX(ROW(E$2:E1223)*(E1223=E$2:E1223)))))-COUNTBLANK(OFFSET(A$1,,,SUMPRODUCT(MAX(ROW(E$1:E1222)*(E2=E$1:E1222))))))</f>
        <v/>
      </c>
      <c r="K1223" s="24" t="str">
        <f aca="false">IF(OR(E1223="",E1223="!!!",F1223="NEW"),"",INDEX(J$1:J1222,SUMPRODUCT(MAX(ROW(E$1:E1222)*(E1223=E$1:E1222)))))</f>
        <v/>
      </c>
      <c r="L1223" s="31"/>
    </row>
    <row r="1224" customFormat="false" ht="15" hidden="false" customHeight="false" outlineLevel="0" collapsed="false">
      <c r="A1224" s="20" t="s">
        <v>1213</v>
      </c>
      <c r="E1224" s="23" t="str">
        <f aca="false">IF(D1224="?OLD","!!!","")</f>
        <v/>
      </c>
      <c r="F1224" s="25" t="str">
        <f aca="false">IF(OR(E1224="",E1224="!!!"),"",IF(NOT(ISNA(VLOOKUP(E1224,E$1:E1223,1,FALSE()))),"OLD",IF(AND(E1224&lt;&gt;"",E1224&lt;&gt;"!!!"),"NEW","")))</f>
        <v/>
      </c>
      <c r="G1224" s="26" t="str">
        <f aca="false">IF(OR(E1224="",E1224="!!!"),"",IF(OR(J1224=0,AND(J1224=1,K1224=1),AND(J1224=1,I1224="SBJ"),AND(J1224=1,I1224=0)),"?IN_FOCUS",IF(J1224&lt;=2,"?ACTIVATED",IF(J1224&lt;&gt;"","?FAMILIAR",IF(F1224="NEW",IF(ISNA(VLOOKUP(E1224,#REF!,1,FALSE())),"?TYPE_IDENTIFIABLE","?REFERENTIAL"),"_")))))</f>
        <v/>
      </c>
      <c r="H1224" s="27" t="str">
        <f aca="false">IF(J1224&lt;&gt;1,"",IF(I1224="SBJ","CB","?"))</f>
        <v/>
      </c>
      <c r="I1224" s="24" t="str">
        <f aca="false">IF(OR(E1224="",E1224="!!!",F1224="NEW"),"",INDEX(B19:B$1206,-1+SUMPRODUCT(MAX(ROW(E19:E$1206)*(E1224=E19:E$1206)))))</f>
        <v/>
      </c>
      <c r="J1224" s="24" t="str">
        <f aca="true">IF(OR(E1224="",E1224="!!!",F1224="NEW"),"",COUNTBLANK(OFFSET(A$1,,,SUMPRODUCT(MAX(ROW(E$2:E1224)*(E1224=E$2:E1224)))))-COUNTBLANK(OFFSET(A$1,,,SUMPRODUCT(MAX(ROW(E$1:E1223)*(E2=E$1:E1223))))))</f>
        <v/>
      </c>
      <c r="K1224" s="24" t="str">
        <f aca="false">IF(OR(E1224="",E1224="!!!",F1224="NEW"),"",INDEX(J$1:J1223,SUMPRODUCT(MAX(ROW(E$1:E1223)*(E1224=E$1:E1223)))))</f>
        <v/>
      </c>
      <c r="L1224" s="31"/>
    </row>
    <row r="1225" customFormat="false" ht="15" hidden="false" customHeight="false" outlineLevel="0" collapsed="false">
      <c r="A1225" s="20" t="s">
        <v>1109</v>
      </c>
      <c r="E1225" s="23" t="str">
        <f aca="false">IF(D1225="?OLD","!!!","")</f>
        <v/>
      </c>
      <c r="F1225" s="25" t="str">
        <f aca="false">IF(OR(E1225="",E1225="!!!"),"",IF(NOT(ISNA(VLOOKUP(E1225,E$1:E1224,1,FALSE()))),"OLD",IF(AND(E1225&lt;&gt;"",E1225&lt;&gt;"!!!"),"NEW","")))</f>
        <v/>
      </c>
      <c r="G1225" s="26" t="str">
        <f aca="false">IF(OR(E1225="",E1225="!!!"),"",IF(OR(J1225=0,AND(J1225=1,K1225=1),AND(J1225=1,I1225="SBJ"),AND(J1225=1,I1225=0)),"?IN_FOCUS",IF(J1225&lt;=2,"?ACTIVATED",IF(J1225&lt;&gt;"","?FAMILIAR",IF(F1225="NEW",IF(ISNA(VLOOKUP(E1225,#REF!,1,FALSE())),"?TYPE_IDENTIFIABLE","?REFERENTIAL"),"_")))))</f>
        <v/>
      </c>
      <c r="H1225" s="27" t="str">
        <f aca="false">IF(J1225&lt;&gt;1,"",IF(I1225="SBJ","CB","?"))</f>
        <v/>
      </c>
      <c r="I1225" s="24" t="str">
        <f aca="false">IF(OR(E1225="",E1225="!!!",F1225="NEW"),"",INDEX(B20:B$1206,-1+SUMPRODUCT(MAX(ROW(E20:E$1206)*(E1225=E20:E$1206)))))</f>
        <v/>
      </c>
      <c r="J1225" s="24" t="str">
        <f aca="true">IF(OR(E1225="",E1225="!!!",F1225="NEW"),"",COUNTBLANK(OFFSET(A$1,,,SUMPRODUCT(MAX(ROW(E$2:E1225)*(E1225=E$2:E1225)))))-COUNTBLANK(OFFSET(A$1,,,SUMPRODUCT(MAX(ROW(E$1:E1224)*(E2=E$1:E1224))))))</f>
        <v/>
      </c>
      <c r="K1225" s="24" t="str">
        <f aca="false">IF(OR(E1225="",E1225="!!!",F1225="NEW"),"",INDEX(J$1:J1224,SUMPRODUCT(MAX(ROW(E$1:E1224)*(E1225=E$1:E1224)))))</f>
        <v/>
      </c>
      <c r="L1225" s="31"/>
    </row>
    <row r="1226" customFormat="false" ht="15" hidden="false" customHeight="false" outlineLevel="0" collapsed="false">
      <c r="A1226" s="20" t="s">
        <v>1608</v>
      </c>
      <c r="B1226" s="22" t="s">
        <v>1105</v>
      </c>
      <c r="C1226" s="22" t="s">
        <v>1150</v>
      </c>
      <c r="D1226" s="22" t="s">
        <v>1060</v>
      </c>
      <c r="E1226" s="23" t="str">
        <f aca="false">IF(D1226="?OLD","!!!","")</f>
        <v>!!!</v>
      </c>
      <c r="F1226" s="25" t="str">
        <f aca="false">IF(OR(E1226="",E1226="!!!"),"",IF(NOT(ISNA(VLOOKUP(E1226,E$1:E1225,1,FALSE()))),"OLD",IF(AND(E1226&lt;&gt;"",E1226&lt;&gt;"!!!"),"NEW","")))</f>
        <v/>
      </c>
      <c r="G1226" s="26" t="str">
        <f aca="false">IF(OR(E1226="",E1226="!!!"),"",IF(OR(J1226=0,AND(J1226=1,K1226=1),AND(J1226=1,I1226="SBJ"),AND(J1226=1,I1226=0)),"?IN_FOCUS",IF(J1226&lt;=2,"?ACTIVATED",IF(J1226&lt;&gt;"","?FAMILIAR",IF(F1226="NEW",IF(ISNA(VLOOKUP(E1226,#REF!,1,FALSE())),"?TYPE_IDENTIFIABLE","?REFERENTIAL"),"_")))))</f>
        <v/>
      </c>
      <c r="H1226" s="27" t="str">
        <f aca="false">IF(J1226&lt;&gt;1,"",IF(I1226="SBJ","CB","?"))</f>
        <v/>
      </c>
      <c r="I1226" s="24" t="str">
        <f aca="false">IF(OR(E1226="",E1226="!!!",F1226="NEW"),"",INDEX(B21:B$1206,-1+SUMPRODUCT(MAX(ROW(E21:E$1206)*(E1226=E21:E$1206)))))</f>
        <v/>
      </c>
      <c r="J1226" s="24" t="str">
        <f aca="true">IF(OR(E1226="",E1226="!!!",F1226="NEW"),"",COUNTBLANK(OFFSET(A$1,,,SUMPRODUCT(MAX(ROW(E$2:E1226)*(E1226=E$2:E1226)))))-COUNTBLANK(OFFSET(A$1,,,SUMPRODUCT(MAX(ROW(E$1:E1225)*(E2=E$1:E1225))))))</f>
        <v/>
      </c>
      <c r="K1226" s="24" t="str">
        <f aca="false">IF(OR(E1226="",E1226="!!!",F1226="NEW"),"",INDEX(J$1:J1225,SUMPRODUCT(MAX(ROW(E$1:E1225)*(E1226=E$1:E1225)))))</f>
        <v/>
      </c>
      <c r="L1226" s="31"/>
    </row>
    <row r="1227" customFormat="false" ht="15" hidden="false" customHeight="false" outlineLevel="0" collapsed="false">
      <c r="A1227" s="20" t="s">
        <v>1064</v>
      </c>
      <c r="E1227" s="23" t="str">
        <f aca="false">IF(D1227="?OLD","!!!","")</f>
        <v/>
      </c>
      <c r="F1227" s="25" t="str">
        <f aca="false">IF(OR(E1227="",E1227="!!!"),"",IF(NOT(ISNA(VLOOKUP(E1227,E$1:E1226,1,FALSE()))),"OLD",IF(AND(E1227&lt;&gt;"",E1227&lt;&gt;"!!!"),"NEW","")))</f>
        <v/>
      </c>
      <c r="G1227" s="26" t="str">
        <f aca="false">IF(OR(E1227="",E1227="!!!"),"",IF(OR(J1227=0,AND(J1227=1,K1227=1),AND(J1227=1,I1227="SBJ"),AND(J1227=1,I1227=0)),"?IN_FOCUS",IF(J1227&lt;=2,"?ACTIVATED",IF(J1227&lt;&gt;"","?FAMILIAR",IF(F1227="NEW",IF(ISNA(VLOOKUP(E1227,#REF!,1,FALSE())),"?TYPE_IDENTIFIABLE","?REFERENTIAL"),"_")))))</f>
        <v/>
      </c>
      <c r="H1227" s="27" t="str">
        <f aca="false">IF(J1227&lt;&gt;1,"",IF(I1227="SBJ","CB","?"))</f>
        <v/>
      </c>
      <c r="I1227" s="24" t="str">
        <f aca="false">IF(OR(E1227="",E1227="!!!",F1227="NEW"),"",INDEX(B22:B$1206,-1+SUMPRODUCT(MAX(ROW(E22:E$1206)*(E1227=E22:E$1206)))))</f>
        <v/>
      </c>
      <c r="J1227" s="24" t="str">
        <f aca="true">IF(OR(E1227="",E1227="!!!",F1227="NEW"),"",COUNTBLANK(OFFSET(A$1,,,SUMPRODUCT(MAX(ROW(E$2:E1227)*(E1227=E$2:E1227)))))-COUNTBLANK(OFFSET(A$1,,,SUMPRODUCT(MAX(ROW(E$1:E1226)*(E2=E$1:E1226))))))</f>
        <v/>
      </c>
      <c r="K1227" s="24" t="str">
        <f aca="false">IF(OR(E1227="",E1227="!!!",F1227="NEW"),"",INDEX(J$1:J1226,SUMPRODUCT(MAX(ROW(E$1:E1226)*(E1227=E$1:E1226)))))</f>
        <v/>
      </c>
      <c r="L1227" s="31"/>
    </row>
    <row r="1228" customFormat="false" ht="15" hidden="false" customHeight="false" outlineLevel="0" collapsed="false">
      <c r="A1228" s="20" t="s">
        <v>1109</v>
      </c>
      <c r="E1228" s="23" t="str">
        <f aca="false">IF(D1228="?OLD","!!!","")</f>
        <v/>
      </c>
      <c r="F1228" s="25" t="str">
        <f aca="false">IF(OR(E1228="",E1228="!!!"),"",IF(NOT(ISNA(VLOOKUP(E1228,E$1:E1227,1,FALSE()))),"OLD",IF(AND(E1228&lt;&gt;"",E1228&lt;&gt;"!!!"),"NEW","")))</f>
        <v/>
      </c>
      <c r="G1228" s="26" t="str">
        <f aca="false">IF(OR(E1228="",E1228="!!!"),"",IF(OR(J1228=0,AND(J1228=1,K1228=1),AND(J1228=1,I1228="SBJ"),AND(J1228=1,I1228=0)),"?IN_FOCUS",IF(J1228&lt;=2,"?ACTIVATED",IF(J1228&lt;&gt;"","?FAMILIAR",IF(F1228="NEW",IF(ISNA(VLOOKUP(E1228,#REF!,1,FALSE())),"?TYPE_IDENTIFIABLE","?REFERENTIAL"),"_")))))</f>
        <v/>
      </c>
      <c r="H1228" s="27" t="str">
        <f aca="false">IF(J1228&lt;&gt;1,"",IF(I1228="SBJ","CB","?"))</f>
        <v/>
      </c>
      <c r="I1228" s="24" t="str">
        <f aca="false">IF(OR(E1228="",E1228="!!!",F1228="NEW"),"",INDEX(B23:B$1206,-1+SUMPRODUCT(MAX(ROW(E23:E$1206)*(E1228=E23:E$1206)))))</f>
        <v/>
      </c>
      <c r="J1228" s="24" t="str">
        <f aca="true">IF(OR(E1228="",E1228="!!!",F1228="NEW"),"",COUNTBLANK(OFFSET(A$1,,,SUMPRODUCT(MAX(ROW(E$2:E1228)*(E1228=E$2:E1228)))))-COUNTBLANK(OFFSET(A$1,,,SUMPRODUCT(MAX(ROW(E$1:E1227)*(E2=E$1:E1227))))))</f>
        <v/>
      </c>
      <c r="K1228" s="24" t="str">
        <f aca="false">IF(OR(E1228="",E1228="!!!",F1228="NEW"),"",INDEX(J$1:J1227,SUMPRODUCT(MAX(ROW(E$1:E1227)*(E1228=E$1:E1227)))))</f>
        <v/>
      </c>
      <c r="L1228" s="31"/>
    </row>
    <row r="1229" customFormat="false" ht="15" hidden="false" customHeight="false" outlineLevel="0" collapsed="false">
      <c r="A1229" s="20" t="s">
        <v>1609</v>
      </c>
      <c r="E1229" s="23" t="str">
        <f aca="false">IF(D1229="?OLD","!!!","")</f>
        <v/>
      </c>
      <c r="F1229" s="25" t="str">
        <f aca="false">IF(OR(E1229="",E1229="!!!"),"",IF(NOT(ISNA(VLOOKUP(E1229,E$1:E1228,1,FALSE()))),"OLD",IF(AND(E1229&lt;&gt;"",E1229&lt;&gt;"!!!"),"NEW","")))</f>
        <v/>
      </c>
      <c r="G1229" s="26" t="str">
        <f aca="false">IF(OR(E1229="",E1229="!!!"),"",IF(OR(J1229=0,AND(J1229=1,K1229=1),AND(J1229=1,I1229="SBJ"),AND(J1229=1,I1229=0)),"?IN_FOCUS",IF(J1229&lt;=2,"?ACTIVATED",IF(J1229&lt;&gt;"","?FAMILIAR",IF(F1229="NEW",IF(ISNA(VLOOKUP(E1229,#REF!,1,FALSE())),"?TYPE_IDENTIFIABLE","?REFERENTIAL"),"_")))))</f>
        <v/>
      </c>
      <c r="H1229" s="27" t="str">
        <f aca="false">IF(J1229&lt;&gt;1,"",IF(I1229="SBJ","CB","?"))</f>
        <v/>
      </c>
      <c r="I1229" s="24" t="str">
        <f aca="false">IF(OR(E1229="",E1229="!!!",F1229="NEW"),"",INDEX(B24:B$1206,-1+SUMPRODUCT(MAX(ROW(E24:E$1206)*(E1229=E24:E$1206)))))</f>
        <v/>
      </c>
      <c r="J1229" s="24" t="str">
        <f aca="true">IF(OR(E1229="",E1229="!!!",F1229="NEW"),"",COUNTBLANK(OFFSET(A$1,,,SUMPRODUCT(MAX(ROW(E$2:E1229)*(E1229=E$2:E1229)))))-COUNTBLANK(OFFSET(A$1,,,SUMPRODUCT(MAX(ROW(E$1:E1228)*(E2=E$1:E1228))))))</f>
        <v/>
      </c>
      <c r="K1229" s="24" t="str">
        <f aca="false">IF(OR(E1229="",E1229="!!!",F1229="NEW"),"",INDEX(J$1:J1228,SUMPRODUCT(MAX(ROW(E$1:E1228)*(E1229=E$1:E1228)))))</f>
        <v/>
      </c>
      <c r="L1229" s="31"/>
    </row>
    <row r="1230" customFormat="false" ht="15" hidden="false" customHeight="false" outlineLevel="0" collapsed="false">
      <c r="A1230" s="20" t="s">
        <v>1610</v>
      </c>
      <c r="B1230" s="22" t="s">
        <v>1073</v>
      </c>
      <c r="C1230" s="22" t="s">
        <v>1150</v>
      </c>
      <c r="D1230" s="22" t="s">
        <v>1060</v>
      </c>
      <c r="E1230" s="23" t="str">
        <f aca="false">IF(D1230="?OLD","!!!","")</f>
        <v>!!!</v>
      </c>
      <c r="F1230" s="25" t="str">
        <f aca="false">IF(OR(E1230="",E1230="!!!"),"",IF(NOT(ISNA(VLOOKUP(E1230,E$1:E1229,1,FALSE()))),"OLD",IF(AND(E1230&lt;&gt;"",E1230&lt;&gt;"!!!"),"NEW","")))</f>
        <v/>
      </c>
      <c r="G1230" s="26" t="str">
        <f aca="false">IF(OR(E1230="",E1230="!!!"),"",IF(OR(J1230=0,AND(J1230=1,K1230=1),AND(J1230=1,I1230="SBJ"),AND(J1230=1,I1230=0)),"?IN_FOCUS",IF(J1230&lt;=2,"?ACTIVATED",IF(J1230&lt;&gt;"","?FAMILIAR",IF(F1230="NEW",IF(ISNA(VLOOKUP(E1230,#REF!,1,FALSE())),"?TYPE_IDENTIFIABLE","?REFERENTIAL"),"_")))))</f>
        <v/>
      </c>
      <c r="H1230" s="27" t="str">
        <f aca="false">IF(J1230&lt;&gt;1,"",IF(I1230="SBJ","CB","?"))</f>
        <v/>
      </c>
      <c r="I1230" s="24" t="str">
        <f aca="false">IF(OR(E1230="",E1230="!!!",F1230="NEW"),"",INDEX(B25:B$1206,-1+SUMPRODUCT(MAX(ROW(E25:E$1206)*(E1230=E25:E$1206)))))</f>
        <v/>
      </c>
      <c r="J1230" s="24" t="str">
        <f aca="true">IF(OR(E1230="",E1230="!!!",F1230="NEW"),"",COUNTBLANK(OFFSET(A$1,,,SUMPRODUCT(MAX(ROW(E$2:E1230)*(E1230=E$2:E1230)))))-COUNTBLANK(OFFSET(A$1,,,SUMPRODUCT(MAX(ROW(E$1:E1229)*(E2=E$1:E1229))))))</f>
        <v/>
      </c>
      <c r="K1230" s="24" t="str">
        <f aca="false">IF(OR(E1230="",E1230="!!!",F1230="NEW"),"",INDEX(J$1:J1229,SUMPRODUCT(MAX(ROW(E$1:E1229)*(E1230=E$1:E1229)))))</f>
        <v/>
      </c>
      <c r="L1230" s="31"/>
    </row>
    <row r="1231" customFormat="false" ht="15" hidden="false" customHeight="false" outlineLevel="0" collapsed="false">
      <c r="A1231" s="20" t="s">
        <v>1157</v>
      </c>
      <c r="E1231" s="23" t="str">
        <f aca="false">IF(D1231="?OLD","!!!","")</f>
        <v/>
      </c>
      <c r="F1231" s="25" t="str">
        <f aca="false">IF(OR(E1231="",E1231="!!!"),"",IF(NOT(ISNA(VLOOKUP(E1231,E$1:E1230,1,FALSE()))),"OLD",IF(AND(E1231&lt;&gt;"",E1231&lt;&gt;"!!!"),"NEW","")))</f>
        <v/>
      </c>
      <c r="G1231" s="26" t="str">
        <f aca="false">IF(OR(E1231="",E1231="!!!"),"",IF(OR(J1231=0,AND(J1231=1,K1231=1),AND(J1231=1,I1231="SBJ"),AND(J1231=1,I1231=0)),"?IN_FOCUS",IF(J1231&lt;=2,"?ACTIVATED",IF(J1231&lt;&gt;"","?FAMILIAR",IF(F1231="NEW",IF(ISNA(VLOOKUP(E1231,#REF!,1,FALSE())),"?TYPE_IDENTIFIABLE","?REFERENTIAL"),"_")))))</f>
        <v/>
      </c>
      <c r="H1231" s="27" t="str">
        <f aca="false">IF(J1231&lt;&gt;1,"",IF(I1231="SBJ","CB","?"))</f>
        <v/>
      </c>
      <c r="I1231" s="24" t="str">
        <f aca="false">IF(OR(E1231="",E1231="!!!",F1231="NEW"),"",INDEX(B26:B$1206,-1+SUMPRODUCT(MAX(ROW(E26:E$1206)*(E1231=E26:E$1206)))))</f>
        <v/>
      </c>
      <c r="J1231" s="24" t="str">
        <f aca="true">IF(OR(E1231="",E1231="!!!",F1231="NEW"),"",COUNTBLANK(OFFSET(A$1,,,SUMPRODUCT(MAX(ROW(E$2:E1231)*(E1231=E$2:E1231)))))-COUNTBLANK(OFFSET(A$1,,,SUMPRODUCT(MAX(ROW(E$1:E1230)*(E2=E$1:E1230))))))</f>
        <v/>
      </c>
      <c r="K1231" s="24" t="str">
        <f aca="false">IF(OR(E1231="",E1231="!!!",F1231="NEW"),"",INDEX(J$1:J1230,SUMPRODUCT(MAX(ROW(E$1:E1230)*(E1231=E$1:E1230)))))</f>
        <v/>
      </c>
      <c r="L1231" s="31"/>
    </row>
    <row r="1232" customFormat="false" ht="15" hidden="false" customHeight="false" outlineLevel="0" collapsed="false">
      <c r="A1232" s="20" t="s">
        <v>1396</v>
      </c>
      <c r="B1232" s="22" t="s">
        <v>1105</v>
      </c>
      <c r="C1232" s="22" t="s">
        <v>1160</v>
      </c>
      <c r="E1232" s="23" t="str">
        <f aca="false">IF(D1232="?OLD","!!!","")</f>
        <v/>
      </c>
      <c r="F1232" s="25" t="str">
        <f aca="false">IF(OR(E1232="",E1232="!!!"),"",IF(NOT(ISNA(VLOOKUP(E1232,E$1:E1231,1,FALSE()))),"OLD",IF(AND(E1232&lt;&gt;"",E1232&lt;&gt;"!!!"),"NEW","")))</f>
        <v/>
      </c>
      <c r="G1232" s="26" t="str">
        <f aca="false">IF(OR(E1232="",E1232="!!!"),"",IF(OR(J1232=0,AND(J1232=1,K1232=1),AND(J1232=1,I1232="SBJ"),AND(J1232=1,I1232=0)),"?IN_FOCUS",IF(J1232&lt;=2,"?ACTIVATED",IF(J1232&lt;&gt;"","?FAMILIAR",IF(F1232="NEW",IF(ISNA(VLOOKUP(E1232,#REF!,1,FALSE())),"?TYPE_IDENTIFIABLE","?REFERENTIAL"),"_")))))</f>
        <v/>
      </c>
      <c r="H1232" s="27" t="str">
        <f aca="false">IF(J1232&lt;&gt;1,"",IF(I1232="SBJ","CB","?"))</f>
        <v/>
      </c>
      <c r="I1232" s="24" t="str">
        <f aca="false">IF(OR(E1232="",E1232="!!!",F1232="NEW"),"",INDEX(B27:B$1206,-1+SUMPRODUCT(MAX(ROW(E27:E$1206)*(E1232=E27:E$1206)))))</f>
        <v/>
      </c>
      <c r="J1232" s="24" t="str">
        <f aca="true">IF(OR(E1232="",E1232="!!!",F1232="NEW"),"",COUNTBLANK(OFFSET(A$1,,,SUMPRODUCT(MAX(ROW(E$2:E1232)*(E1232=E$2:E1232)))))-COUNTBLANK(OFFSET(A$1,,,SUMPRODUCT(MAX(ROW(E$1:E1231)*(E2=E$1:E1231))))))</f>
        <v/>
      </c>
      <c r="K1232" s="24" t="str">
        <f aca="false">IF(OR(E1232="",E1232="!!!",F1232="NEW"),"",INDEX(J$1:J1231,SUMPRODUCT(MAX(ROW(E$1:E1231)*(E1232=E$1:E1231)))))</f>
        <v/>
      </c>
      <c r="L1232" s="31"/>
    </row>
    <row r="1233" customFormat="false" ht="15" hidden="false" customHeight="false" outlineLevel="0" collapsed="false">
      <c r="A1233" s="20" t="s">
        <v>1611</v>
      </c>
      <c r="E1233" s="23" t="str">
        <f aca="false">IF(D1233="?OLD","!!!","")</f>
        <v/>
      </c>
      <c r="F1233" s="25" t="str">
        <f aca="false">IF(OR(E1233="",E1233="!!!"),"",IF(NOT(ISNA(VLOOKUP(E1233,E$1:E1232,1,FALSE()))),"OLD",IF(AND(E1233&lt;&gt;"",E1233&lt;&gt;"!!!"),"NEW","")))</f>
        <v/>
      </c>
      <c r="G1233" s="26" t="str">
        <f aca="false">IF(OR(E1233="",E1233="!!!"),"",IF(OR(J1233=0,AND(J1233=1,K1233=1),AND(J1233=1,I1233="SBJ"),AND(J1233=1,I1233=0)),"?IN_FOCUS",IF(J1233&lt;=2,"?ACTIVATED",IF(J1233&lt;&gt;"","?FAMILIAR",IF(F1233="NEW",IF(ISNA(VLOOKUP(E1233,#REF!,1,FALSE())),"?TYPE_IDENTIFIABLE","?REFERENTIAL"),"_")))))</f>
        <v/>
      </c>
      <c r="H1233" s="27" t="str">
        <f aca="false">IF(J1233&lt;&gt;1,"",IF(I1233="SBJ","CB","?"))</f>
        <v/>
      </c>
      <c r="I1233" s="24" t="str">
        <f aca="false">IF(OR(E1233="",E1233="!!!",F1233="NEW"),"",INDEX(B28:B$1206,-1+SUMPRODUCT(MAX(ROW(E28:E$1206)*(E1233=E28:E$1206)))))</f>
        <v/>
      </c>
      <c r="J1233" s="24" t="str">
        <f aca="true">IF(OR(E1233="",E1233="!!!",F1233="NEW"),"",COUNTBLANK(OFFSET(A$1,,,SUMPRODUCT(MAX(ROW(E$2:E1233)*(E1233=E$2:E1233)))))-COUNTBLANK(OFFSET(A$1,,,SUMPRODUCT(MAX(ROW(E$1:E1232)*(E2=E$1:E1232))))))</f>
        <v/>
      </c>
      <c r="K1233" s="24" t="str">
        <f aca="false">IF(OR(E1233="",E1233="!!!",F1233="NEW"),"",INDEX(J$1:J1232,SUMPRODUCT(MAX(ROW(E$1:E1232)*(E1233=E$1:E1232)))))</f>
        <v/>
      </c>
      <c r="L1233" s="31"/>
    </row>
    <row r="1234" customFormat="false" ht="15" hidden="false" customHeight="false" outlineLevel="0" collapsed="false">
      <c r="A1234" s="20" t="s">
        <v>1218</v>
      </c>
      <c r="E1234" s="23" t="str">
        <f aca="false">IF(D1234="?OLD","!!!","")</f>
        <v/>
      </c>
      <c r="F1234" s="25" t="str">
        <f aca="false">IF(OR(E1234="",E1234="!!!"),"",IF(NOT(ISNA(VLOOKUP(E1234,E$1:E1233,1,FALSE()))),"OLD",IF(AND(E1234&lt;&gt;"",E1234&lt;&gt;"!!!"),"NEW","")))</f>
        <v/>
      </c>
      <c r="G1234" s="26" t="str">
        <f aca="false">IF(OR(E1234="",E1234="!!!"),"",IF(OR(J1234=0,AND(J1234=1,K1234=1),AND(J1234=1,I1234="SBJ"),AND(J1234=1,I1234=0)),"?IN_FOCUS",IF(J1234&lt;=2,"?ACTIVATED",IF(J1234&lt;&gt;"","?FAMILIAR",IF(F1234="NEW",IF(ISNA(VLOOKUP(E1234,#REF!,1,FALSE())),"?TYPE_IDENTIFIABLE","?REFERENTIAL"),"_")))))</f>
        <v/>
      </c>
      <c r="H1234" s="27" t="str">
        <f aca="false">IF(J1234&lt;&gt;1,"",IF(I1234="SBJ","CB","?"))</f>
        <v/>
      </c>
      <c r="I1234" s="24" t="str">
        <f aca="false">IF(OR(E1234="",E1234="!!!",F1234="NEW"),"",INDEX(B29:B$1206,-1+SUMPRODUCT(MAX(ROW(E29:E$1206)*(E1234=E29:E$1206)))))</f>
        <v/>
      </c>
      <c r="J1234" s="24" t="str">
        <f aca="true">IF(OR(E1234="",E1234="!!!",F1234="NEW"),"",COUNTBLANK(OFFSET(A$1,,,SUMPRODUCT(MAX(ROW(E$2:E1234)*(E1234=E$2:E1234)))))-COUNTBLANK(OFFSET(A$1,,,SUMPRODUCT(MAX(ROW(E$1:E1233)*(E2=E$1:E1233))))))</f>
        <v/>
      </c>
      <c r="K1234" s="24" t="str">
        <f aca="false">IF(OR(E1234="",E1234="!!!",F1234="NEW"),"",INDEX(J$1:J1233,SUMPRODUCT(MAX(ROW(E$1:E1233)*(E1234=E$1:E1233)))))</f>
        <v/>
      </c>
      <c r="L1234" s="31"/>
    </row>
    <row r="1235" customFormat="false" ht="15" hidden="false" customHeight="false" outlineLevel="0" collapsed="false">
      <c r="A1235" s="20" t="s">
        <v>1612</v>
      </c>
      <c r="B1235" s="22" t="s">
        <v>1107</v>
      </c>
      <c r="C1235" s="22" t="s">
        <v>1099</v>
      </c>
      <c r="D1235" s="22" t="s">
        <v>1060</v>
      </c>
      <c r="E1235" s="23" t="str">
        <f aca="false">IF(D1235="?OLD","!!!","")</f>
        <v>!!!</v>
      </c>
      <c r="F1235" s="25" t="str">
        <f aca="false">IF(OR(E1235="",E1235="!!!"),"",IF(NOT(ISNA(VLOOKUP(E1235,E$1:E1234,1,FALSE()))),"OLD",IF(AND(E1235&lt;&gt;"",E1235&lt;&gt;"!!!"),"NEW","")))</f>
        <v/>
      </c>
      <c r="G1235" s="26" t="str">
        <f aca="false">IF(OR(E1235="",E1235="!!!"),"",IF(OR(J1235=0,AND(J1235=1,K1235=1),AND(J1235=1,I1235="SBJ"),AND(J1235=1,I1235=0)),"?IN_FOCUS",IF(J1235&lt;=2,"?ACTIVATED",IF(J1235&lt;&gt;"","?FAMILIAR",IF(F1235="NEW",IF(ISNA(VLOOKUP(E1235,#REF!,1,FALSE())),"?TYPE_IDENTIFIABLE","?REFERENTIAL"),"_")))))</f>
        <v/>
      </c>
      <c r="H1235" s="27" t="str">
        <f aca="false">IF(J1235&lt;&gt;1,"",IF(I1235="SBJ","CB","?"))</f>
        <v/>
      </c>
      <c r="I1235" s="24" t="str">
        <f aca="false">IF(OR(E1235="",E1235="!!!",F1235="NEW"),"",INDEX(B30:B$1206,-1+SUMPRODUCT(MAX(ROW(E30:E$1206)*(E1235=E30:E$1206)))))</f>
        <v/>
      </c>
      <c r="J1235" s="24" t="str">
        <f aca="true">IF(OR(E1235="",E1235="!!!",F1235="NEW"),"",COUNTBLANK(OFFSET(A$1,,,SUMPRODUCT(MAX(ROW(E$2:E1235)*(E1235=E$2:E1235)))))-COUNTBLANK(OFFSET(A$1,,,SUMPRODUCT(MAX(ROW(E$1:E1234)*(E2=E$1:E1234))))))</f>
        <v/>
      </c>
      <c r="K1235" s="24" t="str">
        <f aca="false">IF(OR(E1235="",E1235="!!!",F1235="NEW"),"",INDEX(J$1:J1234,SUMPRODUCT(MAX(ROW(E$1:E1234)*(E1235=E$1:E1234)))))</f>
        <v/>
      </c>
      <c r="L1235" s="31"/>
    </row>
    <row r="1236" customFormat="false" ht="15" hidden="false" customHeight="false" outlineLevel="0" collapsed="false">
      <c r="A1236" s="20" t="s">
        <v>1613</v>
      </c>
      <c r="B1236" s="22" t="s">
        <v>1067</v>
      </c>
      <c r="C1236" s="22" t="s">
        <v>1059</v>
      </c>
      <c r="D1236" s="22" t="s">
        <v>1060</v>
      </c>
      <c r="E1236" s="23" t="str">
        <f aca="false">IF(D1236="?OLD","!!!","")</f>
        <v>!!!</v>
      </c>
      <c r="F1236" s="25" t="str">
        <f aca="false">IF(OR(E1236="",E1236="!!!"),"",IF(NOT(ISNA(VLOOKUP(E1236,E$1:E1235,1,FALSE()))),"OLD",IF(AND(E1236&lt;&gt;"",E1236&lt;&gt;"!!!"),"NEW","")))</f>
        <v/>
      </c>
      <c r="G1236" s="26" t="str">
        <f aca="false">IF(OR(E1236="",E1236="!!!"),"",IF(OR(J1236=0,AND(J1236=1,K1236=1),AND(J1236=1,I1236="SBJ"),AND(J1236=1,I1236=0)),"?IN_FOCUS",IF(J1236&lt;=2,"?ACTIVATED",IF(J1236&lt;&gt;"","?FAMILIAR",IF(F1236="NEW",IF(ISNA(VLOOKUP(E1236,#REF!,1,FALSE())),"?TYPE_IDENTIFIABLE","?REFERENTIAL"),"_")))))</f>
        <v/>
      </c>
      <c r="H1236" s="27" t="str">
        <f aca="false">IF(J1236&lt;&gt;1,"",IF(I1236="SBJ","CB","?"))</f>
        <v/>
      </c>
      <c r="I1236" s="24" t="str">
        <f aca="false">IF(OR(E1236="",E1236="!!!",F1236="NEW"),"",INDEX(B31:B$1206,-1+SUMPRODUCT(MAX(ROW(E31:E$1206)*(E1236=E31:E$1206)))))</f>
        <v/>
      </c>
      <c r="J1236" s="24" t="str">
        <f aca="true">IF(OR(E1236="",E1236="!!!",F1236="NEW"),"",COUNTBLANK(OFFSET(A$1,,,SUMPRODUCT(MAX(ROW(E$2:E1236)*(E1236=E$2:E1236)))))-COUNTBLANK(OFFSET(A$1,,,SUMPRODUCT(MAX(ROW(E$1:E1235)*(E2=E$1:E1235))))))</f>
        <v/>
      </c>
      <c r="K1236" s="24" t="str">
        <f aca="false">IF(OR(E1236="",E1236="!!!",F1236="NEW"),"",INDEX(J$1:J1235,SUMPRODUCT(MAX(ROW(E$1:E1235)*(E1236=E$1:E1235)))))</f>
        <v/>
      </c>
      <c r="L1236" s="31"/>
    </row>
    <row r="1237" customFormat="false" ht="15" hidden="false" customHeight="false" outlineLevel="0" collapsed="false">
      <c r="A1237" s="20" t="s">
        <v>923</v>
      </c>
      <c r="E1237" s="23" t="str">
        <f aca="false">IF(D1237="?OLD","!!!","")</f>
        <v/>
      </c>
      <c r="F1237" s="25" t="str">
        <f aca="false">IF(OR(E1237="",E1237="!!!"),"",IF(NOT(ISNA(VLOOKUP(E1237,E$1:E1236,1,FALSE()))),"OLD",IF(AND(E1237&lt;&gt;"",E1237&lt;&gt;"!!!"),"NEW","")))</f>
        <v/>
      </c>
      <c r="G1237" s="26" t="str">
        <f aca="false">IF(OR(E1237="",E1237="!!!"),"",IF(OR(J1237=0,AND(J1237=1,K1237=1),AND(J1237=1,I1237="SBJ"),AND(J1237=1,I1237=0)),"?IN_FOCUS",IF(J1237&lt;=2,"?ACTIVATED",IF(J1237&lt;&gt;"","?FAMILIAR",IF(F1237="NEW",IF(ISNA(VLOOKUP(E1237,#REF!,1,FALSE())),"?TYPE_IDENTIFIABLE","?REFERENTIAL"),"_")))))</f>
        <v/>
      </c>
      <c r="H1237" s="27" t="str">
        <f aca="false">IF(J1237&lt;&gt;1,"",IF(I1237="SBJ","CB","?"))</f>
        <v/>
      </c>
      <c r="I1237" s="24" t="str">
        <f aca="false">IF(OR(E1237="",E1237="!!!",F1237="NEW"),"",INDEX(B32:B$1206,-1+SUMPRODUCT(MAX(ROW(E32:E$1206)*(E1237=E32:E$1206)))))</f>
        <v/>
      </c>
      <c r="J1237" s="24" t="str">
        <f aca="true">IF(OR(E1237="",E1237="!!!",F1237="NEW"),"",COUNTBLANK(OFFSET(A$1,,,SUMPRODUCT(MAX(ROW(E$2:E1237)*(E1237=E$2:E1237)))))-COUNTBLANK(OFFSET(A$1,,,SUMPRODUCT(MAX(ROW(E$1:E1236)*(E2=E$1:E1236))))))</f>
        <v/>
      </c>
      <c r="K1237" s="24" t="str">
        <f aca="false">IF(OR(E1237="",E1237="!!!",F1237="NEW"),"",INDEX(J$1:J1236,SUMPRODUCT(MAX(ROW(E$1:E1236)*(E1237=E$1:E1236)))))</f>
        <v/>
      </c>
      <c r="L1237" s="31"/>
    </row>
    <row r="1238" customFormat="false" ht="15" hidden="false" customHeight="false" outlineLevel="0" collapsed="false">
      <c r="A1238" s="20"/>
    </row>
    <row r="1239" customFormat="false" ht="15" hidden="false" customHeight="false" outlineLevel="0" collapsed="false">
      <c r="A1239" s="20" t="s">
        <v>1614</v>
      </c>
    </row>
    <row r="1240" customFormat="false" ht="15" hidden="false" customHeight="false" outlineLevel="0" collapsed="false">
      <c r="A1240" s="20" t="s">
        <v>1066</v>
      </c>
      <c r="B1240" s="22" t="s">
        <v>1073</v>
      </c>
      <c r="C1240" s="22" t="s">
        <v>1068</v>
      </c>
      <c r="D1240" s="22" t="s">
        <v>1060</v>
      </c>
      <c r="E1240" s="23" t="str">
        <f aca="false">IF(D1240="?OLD","!!!","")</f>
        <v>!!!</v>
      </c>
      <c r="F1240" s="25" t="str">
        <f aca="false">IF(OR(E1240="",E1240="!!!"),"",IF(NOT(ISNA(VLOOKUP(E1240,E$1:E1239,1,FALSE()))),"OLD",IF(AND(E1240&lt;&gt;"",E1240&lt;&gt;"!!!"),"NEW","")))</f>
        <v/>
      </c>
      <c r="G1240" s="26" t="str">
        <f aca="false">IF(OR(E1240="",E1240="!!!"),"",IF(OR(J1240=0,AND(J1240=1,K1240=1),AND(J1240=1,I1240="SBJ"),AND(J1240=1,I1240=0)),"?IN_FOCUS",IF(J1240&lt;=2,"?ACTIVATED",IF(J1240&lt;&gt;"","?FAMILIAR",IF(F1240="NEW",IF(ISNA(VLOOKUP(E1240,#REF!,1,FALSE())),"?TYPE_IDENTIFIABLE","?REFERENTIAL"),"_")))))</f>
        <v/>
      </c>
      <c r="H1240" s="27" t="str">
        <f aca="false">IF(J1240&lt;&gt;1,"",IF(I1240="SBJ","CB","?"))</f>
        <v/>
      </c>
      <c r="I1240" s="24" t="str">
        <f aca="false">IF(OR(E1240="",E1240="!!!",F1240="NEW"),"",INDEX(B2:B$1239,-1+SUMPRODUCT(MAX(ROW(E2:E$1239)*(E1240=E2:E$1239)))))</f>
        <v/>
      </c>
      <c r="J1240" s="24" t="str">
        <f aca="true">IF(OR(E1240="",E1240="!!!",F1240="NEW"),"",COUNTBLANK(OFFSET(A$1,,,SUMPRODUCT(MAX(ROW(E$2:E1240)*(E1240=E$2:E1240)))))-COUNTBLANK(OFFSET(A$1,,,SUMPRODUCT(MAX(ROW(E$1:E1239)*(E2=E$1:E1239))))))</f>
        <v/>
      </c>
      <c r="K1240" s="24" t="str">
        <f aca="false">IF(OR(E1240="",E1240="!!!",F1240="NEW"),"",INDEX(J$1:J1239,SUMPRODUCT(MAX(ROW(E$1:E1239)*(E1240=E$1:E1239)))))</f>
        <v/>
      </c>
      <c r="L1240" s="31"/>
    </row>
    <row r="1241" customFormat="false" ht="15" hidden="false" customHeight="false" outlineLevel="0" collapsed="false">
      <c r="A1241" s="20" t="s">
        <v>1071</v>
      </c>
      <c r="E1241" s="23" t="str">
        <f aca="false">IF(D1241="?OLD","!!!","")</f>
        <v/>
      </c>
      <c r="F1241" s="25" t="str">
        <f aca="false">IF(OR(E1241="",E1241="!!!"),"",IF(NOT(ISNA(VLOOKUP(E1241,E$1:E1240,1,FALSE()))),"OLD",IF(AND(E1241&lt;&gt;"",E1241&lt;&gt;"!!!"),"NEW","")))</f>
        <v/>
      </c>
      <c r="G1241" s="26" t="str">
        <f aca="false">IF(OR(E1241="",E1241="!!!"),"",IF(OR(J1241=0,AND(J1241=1,K1241=1),AND(J1241=1,I1241="SBJ"),AND(J1241=1,I1241=0)),"?IN_FOCUS",IF(J1241&lt;=2,"?ACTIVATED",IF(J1241&lt;&gt;"","?FAMILIAR",IF(F1241="NEW",IF(ISNA(VLOOKUP(E1241,#REF!,1,FALSE())),"?TYPE_IDENTIFIABLE","?REFERENTIAL"),"_")))))</f>
        <v/>
      </c>
      <c r="H1241" s="27" t="str">
        <f aca="false">IF(J1241&lt;&gt;1,"",IF(I1241="SBJ","CB","?"))</f>
        <v/>
      </c>
      <c r="I1241" s="24" t="str">
        <f aca="false">IF(OR(E1241="",E1241="!!!",F1241="NEW"),"",INDEX(B3:B$1239,-1+SUMPRODUCT(MAX(ROW(E3:E$1239)*(E1241=E3:E$1239)))))</f>
        <v/>
      </c>
      <c r="J1241" s="24" t="str">
        <f aca="true">IF(OR(E1241="",E1241="!!!",F1241="NEW"),"",COUNTBLANK(OFFSET(A$1,,,SUMPRODUCT(MAX(ROW(E$2:E1241)*(E1241=E$2:E1241)))))-COUNTBLANK(OFFSET(A$1,,,SUMPRODUCT(MAX(ROW(E$1:E1240)*(E2=E$1:E1240))))))</f>
        <v/>
      </c>
      <c r="K1241" s="24" t="str">
        <f aca="false">IF(OR(E1241="",E1241="!!!",F1241="NEW"),"",INDEX(J$1:J1240,SUMPRODUCT(MAX(ROW(E$1:E1240)*(E1241=E$1:E1240)))))</f>
        <v/>
      </c>
      <c r="L1241" s="31"/>
    </row>
    <row r="1242" customFormat="false" ht="15" hidden="false" customHeight="false" outlineLevel="0" collapsed="false">
      <c r="A1242" s="20" t="s">
        <v>690</v>
      </c>
      <c r="B1242" s="22" t="s">
        <v>1058</v>
      </c>
      <c r="C1242" s="22" t="s">
        <v>1059</v>
      </c>
      <c r="D1242" s="22" t="s">
        <v>1060</v>
      </c>
      <c r="E1242" s="23" t="str">
        <f aca="false">IF(D1242="?OLD","!!!","")</f>
        <v>!!!</v>
      </c>
      <c r="F1242" s="25" t="str">
        <f aca="false">IF(OR(E1242="",E1242="!!!"),"",IF(NOT(ISNA(VLOOKUP(E1242,E$1:E1241,1,FALSE()))),"OLD",IF(AND(E1242&lt;&gt;"",E1242&lt;&gt;"!!!"),"NEW","")))</f>
        <v/>
      </c>
      <c r="G1242" s="26" t="str">
        <f aca="false">IF(OR(E1242="",E1242="!!!"),"",IF(OR(J1242=0,AND(J1242=1,K1242=1),AND(J1242=1,I1242="SBJ"),AND(J1242=1,I1242=0)),"?IN_FOCUS",IF(J1242&lt;=2,"?ACTIVATED",IF(J1242&lt;&gt;"","?FAMILIAR",IF(F1242="NEW",IF(ISNA(VLOOKUP(E1242,#REF!,1,FALSE())),"?TYPE_IDENTIFIABLE","?REFERENTIAL"),"_")))))</f>
        <v/>
      </c>
      <c r="H1242" s="27" t="str">
        <f aca="false">IF(J1242&lt;&gt;1,"",IF(I1242="SBJ","CB","?"))</f>
        <v/>
      </c>
      <c r="I1242" s="24" t="str">
        <f aca="false">IF(OR(E1242="",E1242="!!!",F1242="NEW"),"",INDEX(B4:B$1239,-1+SUMPRODUCT(MAX(ROW(E4:E$1239)*(E1242=E4:E$1239)))))</f>
        <v/>
      </c>
      <c r="J1242" s="24" t="str">
        <f aca="true">IF(OR(E1242="",E1242="!!!",F1242="NEW"),"",COUNTBLANK(OFFSET(A$1,,,SUMPRODUCT(MAX(ROW(E$2:E1242)*(E1242=E$2:E1242)))))-COUNTBLANK(OFFSET(A$1,,,SUMPRODUCT(MAX(ROW(E$1:E1241)*(E2=E$1:E1241))))))</f>
        <v/>
      </c>
      <c r="K1242" s="24" t="str">
        <f aca="false">IF(OR(E1242="",E1242="!!!",F1242="NEW"),"",INDEX(J$1:J1241,SUMPRODUCT(MAX(ROW(E$1:E1241)*(E1242=E$1:E1241)))))</f>
        <v/>
      </c>
      <c r="L1242" s="31"/>
    </row>
    <row r="1243" customFormat="false" ht="15" hidden="false" customHeight="false" outlineLevel="0" collapsed="false">
      <c r="A1243" s="20" t="s">
        <v>1092</v>
      </c>
      <c r="E1243" s="23" t="str">
        <f aca="false">IF(D1243="?OLD","!!!","")</f>
        <v/>
      </c>
      <c r="F1243" s="25" t="str">
        <f aca="false">IF(OR(E1243="",E1243="!!!"),"",IF(NOT(ISNA(VLOOKUP(E1243,E$1:E1242,1,FALSE()))),"OLD",IF(AND(E1243&lt;&gt;"",E1243&lt;&gt;"!!!"),"NEW","")))</f>
        <v/>
      </c>
      <c r="G1243" s="26" t="str">
        <f aca="false">IF(OR(E1243="",E1243="!!!"),"",IF(OR(J1243=0,AND(J1243=1,K1243=1),AND(J1243=1,I1243="SBJ"),AND(J1243=1,I1243=0)),"?IN_FOCUS",IF(J1243&lt;=2,"?ACTIVATED",IF(J1243&lt;&gt;"","?FAMILIAR",IF(F1243="NEW",IF(ISNA(VLOOKUP(E1243,#REF!,1,FALSE())),"?TYPE_IDENTIFIABLE","?REFERENTIAL"),"_")))))</f>
        <v/>
      </c>
      <c r="H1243" s="27" t="str">
        <f aca="false">IF(J1243&lt;&gt;1,"",IF(I1243="SBJ","CB","?"))</f>
        <v/>
      </c>
      <c r="I1243" s="24" t="str">
        <f aca="false">IF(OR(E1243="",E1243="!!!",F1243="NEW"),"",INDEX(B5:B$1239,-1+SUMPRODUCT(MAX(ROW(E5:E$1239)*(E1243=E5:E$1239)))))</f>
        <v/>
      </c>
      <c r="J1243" s="24" t="str">
        <f aca="true">IF(OR(E1243="",E1243="!!!",F1243="NEW"),"",COUNTBLANK(OFFSET(A$1,,,SUMPRODUCT(MAX(ROW(E$2:E1243)*(E1243=E$2:E1243)))))-COUNTBLANK(OFFSET(A$1,,,SUMPRODUCT(MAX(ROW(E$1:E1242)*(E2=E$1:E1242))))))</f>
        <v/>
      </c>
      <c r="K1243" s="24" t="str">
        <f aca="false">IF(OR(E1243="",E1243="!!!",F1243="NEW"),"",INDEX(J$1:J1242,SUMPRODUCT(MAX(ROW(E$1:E1242)*(E1243=E$1:E1242)))))</f>
        <v/>
      </c>
      <c r="L1243" s="31"/>
    </row>
    <row r="1244" customFormat="false" ht="15" hidden="false" customHeight="false" outlineLevel="0" collapsed="false">
      <c r="A1244" s="20" t="s">
        <v>1554</v>
      </c>
      <c r="E1244" s="23" t="str">
        <f aca="false">IF(D1244="?OLD","!!!","")</f>
        <v/>
      </c>
      <c r="F1244" s="25" t="str">
        <f aca="false">IF(OR(E1244="",E1244="!!!"),"",IF(NOT(ISNA(VLOOKUP(E1244,E$1:E1243,1,FALSE()))),"OLD",IF(AND(E1244&lt;&gt;"",E1244&lt;&gt;"!!!"),"NEW","")))</f>
        <v/>
      </c>
      <c r="G1244" s="26" t="str">
        <f aca="false">IF(OR(E1244="",E1244="!!!"),"",IF(OR(J1244=0,AND(J1244=1,K1244=1),AND(J1244=1,I1244="SBJ"),AND(J1244=1,I1244=0)),"?IN_FOCUS",IF(J1244&lt;=2,"?ACTIVATED",IF(J1244&lt;&gt;"","?FAMILIAR",IF(F1244="NEW",IF(ISNA(VLOOKUP(E1244,#REF!,1,FALSE())),"?TYPE_IDENTIFIABLE","?REFERENTIAL"),"_")))))</f>
        <v/>
      </c>
      <c r="H1244" s="27" t="str">
        <f aca="false">IF(J1244&lt;&gt;1,"",IF(I1244="SBJ","CB","?"))</f>
        <v/>
      </c>
      <c r="I1244" s="24" t="str">
        <f aca="false">IF(OR(E1244="",E1244="!!!",F1244="NEW"),"",INDEX(B6:B$1239,-1+SUMPRODUCT(MAX(ROW(E6:E$1239)*(E1244=E6:E$1239)))))</f>
        <v/>
      </c>
      <c r="J1244" s="24" t="str">
        <f aca="true">IF(OR(E1244="",E1244="!!!",F1244="NEW"),"",COUNTBLANK(OFFSET(A$1,,,SUMPRODUCT(MAX(ROW(E$2:E1244)*(E1244=E$2:E1244)))))-COUNTBLANK(OFFSET(A$1,,,SUMPRODUCT(MAX(ROW(E$1:E1243)*(E2=E$1:E1243))))))</f>
        <v/>
      </c>
      <c r="K1244" s="24" t="str">
        <f aca="false">IF(OR(E1244="",E1244="!!!",F1244="NEW"),"",INDEX(J$1:J1243,SUMPRODUCT(MAX(ROW(E$1:E1243)*(E1244=E$1:E1243)))))</f>
        <v/>
      </c>
      <c r="L1244" s="31"/>
    </row>
    <row r="1245" customFormat="false" ht="15" hidden="false" customHeight="false" outlineLevel="0" collapsed="false">
      <c r="A1245" s="20" t="s">
        <v>1490</v>
      </c>
      <c r="E1245" s="23" t="str">
        <f aca="false">IF(D1245="?OLD","!!!","")</f>
        <v/>
      </c>
      <c r="F1245" s="25" t="str">
        <f aca="false">IF(OR(E1245="",E1245="!!!"),"",IF(NOT(ISNA(VLOOKUP(E1245,E$1:E1244,1,FALSE()))),"OLD",IF(AND(E1245&lt;&gt;"",E1245&lt;&gt;"!!!"),"NEW","")))</f>
        <v/>
      </c>
      <c r="G1245" s="26" t="str">
        <f aca="false">IF(OR(E1245="",E1245="!!!"),"",IF(OR(J1245=0,AND(J1245=1,K1245=1),AND(J1245=1,I1245="SBJ"),AND(J1245=1,I1245=0)),"?IN_FOCUS",IF(J1245&lt;=2,"?ACTIVATED",IF(J1245&lt;&gt;"","?FAMILIAR",IF(F1245="NEW",IF(ISNA(VLOOKUP(E1245,#REF!,1,FALSE())),"?TYPE_IDENTIFIABLE","?REFERENTIAL"),"_")))))</f>
        <v/>
      </c>
      <c r="H1245" s="27" t="str">
        <f aca="false">IF(J1245&lt;&gt;1,"",IF(I1245="SBJ","CB","?"))</f>
        <v/>
      </c>
      <c r="I1245" s="24" t="str">
        <f aca="false">IF(OR(E1245="",E1245="!!!",F1245="NEW"),"",INDEX(B7:B$1239,-1+SUMPRODUCT(MAX(ROW(E7:E$1239)*(E1245=E7:E$1239)))))</f>
        <v/>
      </c>
      <c r="J1245" s="24" t="str">
        <f aca="true">IF(OR(E1245="",E1245="!!!",F1245="NEW"),"",COUNTBLANK(OFFSET(A$1,,,SUMPRODUCT(MAX(ROW(E$2:E1245)*(E1245=E$2:E1245)))))-COUNTBLANK(OFFSET(A$1,,,SUMPRODUCT(MAX(ROW(E$1:E1244)*(E2=E$1:E1244))))))</f>
        <v/>
      </c>
      <c r="K1245" s="24" t="str">
        <f aca="false">IF(OR(E1245="",E1245="!!!",F1245="NEW"),"",INDEX(J$1:J1244,SUMPRODUCT(MAX(ROW(E$1:E1244)*(E1245=E$1:E1244)))))</f>
        <v/>
      </c>
      <c r="L1245" s="31"/>
    </row>
    <row r="1246" customFormat="false" ht="15" hidden="false" customHeight="false" outlineLevel="0" collapsed="false">
      <c r="A1246" s="20" t="s">
        <v>1080</v>
      </c>
      <c r="B1246" s="22" t="s">
        <v>1105</v>
      </c>
      <c r="C1246" s="22" t="s">
        <v>1082</v>
      </c>
      <c r="D1246" s="22" t="s">
        <v>1060</v>
      </c>
      <c r="E1246" s="23" t="str">
        <f aca="false">IF(D1246="?OLD","!!!","")</f>
        <v>!!!</v>
      </c>
      <c r="F1246" s="25" t="str">
        <f aca="false">IF(OR(E1246="",E1246="!!!"),"",IF(NOT(ISNA(VLOOKUP(E1246,E$1:E1245,1,FALSE()))),"OLD",IF(AND(E1246&lt;&gt;"",E1246&lt;&gt;"!!!"),"NEW","")))</f>
        <v/>
      </c>
      <c r="G1246" s="26" t="str">
        <f aca="false">IF(OR(E1246="",E1246="!!!"),"",IF(OR(J1246=0,AND(J1246=1,K1246=1),AND(J1246=1,I1246="SBJ"),AND(J1246=1,I1246=0)),"?IN_FOCUS",IF(J1246&lt;=2,"?ACTIVATED",IF(J1246&lt;&gt;"","?FAMILIAR",IF(F1246="NEW",IF(ISNA(VLOOKUP(E1246,#REF!,1,FALSE())),"?TYPE_IDENTIFIABLE","?REFERENTIAL"),"_")))))</f>
        <v/>
      </c>
      <c r="H1246" s="27" t="str">
        <f aca="false">IF(J1246&lt;&gt;1,"",IF(I1246="SBJ","CB","?"))</f>
        <v/>
      </c>
      <c r="I1246" s="24" t="str">
        <f aca="false">IF(OR(E1246="",E1246="!!!",F1246="NEW"),"",INDEX(B8:B$1239,-1+SUMPRODUCT(MAX(ROW(E8:E$1239)*(E1246=E8:E$1239)))))</f>
        <v/>
      </c>
      <c r="J1246" s="24" t="str">
        <f aca="true">IF(OR(E1246="",E1246="!!!",F1246="NEW"),"",COUNTBLANK(OFFSET(A$1,,,SUMPRODUCT(MAX(ROW(E$2:E1246)*(E1246=E$2:E1246)))))-COUNTBLANK(OFFSET(A$1,,,SUMPRODUCT(MAX(ROW(E$1:E1245)*(E2=E$1:E1245))))))</f>
        <v/>
      </c>
      <c r="K1246" s="24" t="str">
        <f aca="false">IF(OR(E1246="",E1246="!!!",F1246="NEW"),"",INDEX(J$1:J1245,SUMPRODUCT(MAX(ROW(E$1:E1245)*(E1246=E$1:E1245)))))</f>
        <v/>
      </c>
      <c r="L1246" s="31"/>
    </row>
    <row r="1247" customFormat="false" ht="15" hidden="false" customHeight="false" outlineLevel="0" collapsed="false">
      <c r="A1247" s="20" t="s">
        <v>1076</v>
      </c>
      <c r="E1247" s="23" t="str">
        <f aca="false">IF(D1247="?OLD","!!!","")</f>
        <v/>
      </c>
      <c r="F1247" s="25" t="str">
        <f aca="false">IF(OR(E1247="",E1247="!!!"),"",IF(NOT(ISNA(VLOOKUP(E1247,E$1:E1246,1,FALSE()))),"OLD",IF(AND(E1247&lt;&gt;"",E1247&lt;&gt;"!!!"),"NEW","")))</f>
        <v/>
      </c>
      <c r="G1247" s="26" t="str">
        <f aca="false">IF(OR(E1247="",E1247="!!!"),"",IF(OR(J1247=0,AND(J1247=1,K1247=1),AND(J1247=1,I1247="SBJ"),AND(J1247=1,I1247=0)),"?IN_FOCUS",IF(J1247&lt;=2,"?ACTIVATED",IF(J1247&lt;&gt;"","?FAMILIAR",IF(F1247="NEW",IF(ISNA(VLOOKUP(E1247,#REF!,1,FALSE())),"?TYPE_IDENTIFIABLE","?REFERENTIAL"),"_")))))</f>
        <v/>
      </c>
      <c r="H1247" s="27" t="str">
        <f aca="false">IF(J1247&lt;&gt;1,"",IF(I1247="SBJ","CB","?"))</f>
        <v/>
      </c>
      <c r="I1247" s="24" t="str">
        <f aca="false">IF(OR(E1247="",E1247="!!!",F1247="NEW"),"",INDEX(B9:B$1239,-1+SUMPRODUCT(MAX(ROW(E9:E$1239)*(E1247=E9:E$1239)))))</f>
        <v/>
      </c>
      <c r="J1247" s="24" t="str">
        <f aca="true">IF(OR(E1247="",E1247="!!!",F1247="NEW"),"",COUNTBLANK(OFFSET(A$1,,,SUMPRODUCT(MAX(ROW(E$2:E1247)*(E1247=E$2:E1247)))))-COUNTBLANK(OFFSET(A$1,,,SUMPRODUCT(MAX(ROW(E$1:E1246)*(E2=E$1:E1246))))))</f>
        <v/>
      </c>
      <c r="K1247" s="24" t="str">
        <f aca="false">IF(OR(E1247="",E1247="!!!",F1247="NEW"),"",INDEX(J$1:J1246,SUMPRODUCT(MAX(ROW(E$1:E1246)*(E1247=E$1:E1246)))))</f>
        <v/>
      </c>
      <c r="L1247" s="31"/>
    </row>
    <row r="1248" customFormat="false" ht="15" hidden="false" customHeight="false" outlineLevel="0" collapsed="false">
      <c r="A1248" s="20" t="s">
        <v>1128</v>
      </c>
      <c r="E1248" s="23" t="str">
        <f aca="false">IF(D1248="?OLD","!!!","")</f>
        <v/>
      </c>
      <c r="F1248" s="25" t="str">
        <f aca="false">IF(OR(E1248="",E1248="!!!"),"",IF(NOT(ISNA(VLOOKUP(E1248,E$1:E1247,1,FALSE()))),"OLD",IF(AND(E1248&lt;&gt;"",E1248&lt;&gt;"!!!"),"NEW","")))</f>
        <v/>
      </c>
      <c r="G1248" s="26" t="str">
        <f aca="false">IF(OR(E1248="",E1248="!!!"),"",IF(OR(J1248=0,AND(J1248=1,K1248=1),AND(J1248=1,I1248="SBJ"),AND(J1248=1,I1248=0)),"?IN_FOCUS",IF(J1248&lt;=2,"?ACTIVATED",IF(J1248&lt;&gt;"","?FAMILIAR",IF(F1248="NEW",IF(ISNA(VLOOKUP(E1248,#REF!,1,FALSE())),"?TYPE_IDENTIFIABLE","?REFERENTIAL"),"_")))))</f>
        <v/>
      </c>
      <c r="H1248" s="27" t="str">
        <f aca="false">IF(J1248&lt;&gt;1,"",IF(I1248="SBJ","CB","?"))</f>
        <v/>
      </c>
      <c r="I1248" s="24" t="str">
        <f aca="false">IF(OR(E1248="",E1248="!!!",F1248="NEW"),"",INDEX(B10:B$1239,-1+SUMPRODUCT(MAX(ROW(E10:E$1239)*(E1248=E10:E$1239)))))</f>
        <v/>
      </c>
      <c r="J1248" s="24" t="str">
        <f aca="true">IF(OR(E1248="",E1248="!!!",F1248="NEW"),"",COUNTBLANK(OFFSET(A$1,,,SUMPRODUCT(MAX(ROW(E$2:E1248)*(E1248=E$2:E1248)))))-COUNTBLANK(OFFSET(A$1,,,SUMPRODUCT(MAX(ROW(E$1:E1247)*(E2=E$1:E1247))))))</f>
        <v/>
      </c>
      <c r="K1248" s="24" t="str">
        <f aca="false">IF(OR(E1248="",E1248="!!!",F1248="NEW"),"",INDEX(J$1:J1247,SUMPRODUCT(MAX(ROW(E$1:E1247)*(E1248=E$1:E1247)))))</f>
        <v/>
      </c>
      <c r="L1248" s="31"/>
    </row>
    <row r="1249" customFormat="false" ht="15" hidden="false" customHeight="false" outlineLevel="0" collapsed="false">
      <c r="A1249" s="20" t="s">
        <v>1090</v>
      </c>
      <c r="B1249" s="22" t="s">
        <v>1086</v>
      </c>
      <c r="C1249" s="22" t="s">
        <v>1082</v>
      </c>
      <c r="D1249" s="22" t="s">
        <v>1060</v>
      </c>
      <c r="E1249" s="23" t="str">
        <f aca="false">IF(D1249="?OLD","!!!","")</f>
        <v>!!!</v>
      </c>
      <c r="F1249" s="25" t="str">
        <f aca="false">IF(OR(E1249="",E1249="!!!"),"",IF(NOT(ISNA(VLOOKUP(E1249,E$1:E1248,1,FALSE()))),"OLD",IF(AND(E1249&lt;&gt;"",E1249&lt;&gt;"!!!"),"NEW","")))</f>
        <v/>
      </c>
      <c r="G1249" s="26" t="str">
        <f aca="false">IF(OR(E1249="",E1249="!!!"),"",IF(OR(J1249=0,AND(J1249=1,K1249=1),AND(J1249=1,I1249="SBJ"),AND(J1249=1,I1249=0)),"?IN_FOCUS",IF(J1249&lt;=2,"?ACTIVATED",IF(J1249&lt;&gt;"","?FAMILIAR",IF(F1249="NEW",IF(ISNA(VLOOKUP(E1249,#REF!,1,FALSE())),"?TYPE_IDENTIFIABLE","?REFERENTIAL"),"_")))))</f>
        <v/>
      </c>
      <c r="H1249" s="27" t="str">
        <f aca="false">IF(J1249&lt;&gt;1,"",IF(I1249="SBJ","CB","?"))</f>
        <v/>
      </c>
      <c r="I1249" s="24" t="str">
        <f aca="false">IF(OR(E1249="",E1249="!!!",F1249="NEW"),"",INDEX(B11:B$1239,-1+SUMPRODUCT(MAX(ROW(E11:E$1239)*(E1249=E11:E$1239)))))</f>
        <v/>
      </c>
      <c r="J1249" s="24" t="str">
        <f aca="true">IF(OR(E1249="",E1249="!!!",F1249="NEW"),"",COUNTBLANK(OFFSET(A$1,,,SUMPRODUCT(MAX(ROW(E$2:E1249)*(E1249=E$2:E1249)))))-COUNTBLANK(OFFSET(A$1,,,SUMPRODUCT(MAX(ROW(E$1:E1248)*(E2=E$1:E1248))))))</f>
        <v/>
      </c>
      <c r="K1249" s="24" t="str">
        <f aca="false">IF(OR(E1249="",E1249="!!!",F1249="NEW"),"",INDEX(J$1:J1248,SUMPRODUCT(MAX(ROW(E$1:E1248)*(E1249=E$1:E1248)))))</f>
        <v/>
      </c>
      <c r="L1249" s="31"/>
    </row>
    <row r="1250" customFormat="false" ht="15" hidden="false" customHeight="false" outlineLevel="0" collapsed="false">
      <c r="A1250" s="20" t="s">
        <v>1615</v>
      </c>
      <c r="E1250" s="23" t="str">
        <f aca="false">IF(D1250="?OLD","!!!","")</f>
        <v/>
      </c>
      <c r="F1250" s="25" t="str">
        <f aca="false">IF(OR(E1250="",E1250="!!!"),"",IF(NOT(ISNA(VLOOKUP(E1250,E$1:E1249,1,FALSE()))),"OLD",IF(AND(E1250&lt;&gt;"",E1250&lt;&gt;"!!!"),"NEW","")))</f>
        <v/>
      </c>
      <c r="G1250" s="26" t="str">
        <f aca="false">IF(OR(E1250="",E1250="!!!"),"",IF(OR(J1250=0,AND(J1250=1,K1250=1),AND(J1250=1,I1250="SBJ"),AND(J1250=1,I1250=0)),"?IN_FOCUS",IF(J1250&lt;=2,"?ACTIVATED",IF(J1250&lt;&gt;"","?FAMILIAR",IF(F1250="NEW",IF(ISNA(VLOOKUP(E1250,#REF!,1,FALSE())),"?TYPE_IDENTIFIABLE","?REFERENTIAL"),"_")))))</f>
        <v/>
      </c>
      <c r="H1250" s="27" t="str">
        <f aca="false">IF(J1250&lt;&gt;1,"",IF(I1250="SBJ","CB","?"))</f>
        <v/>
      </c>
      <c r="I1250" s="24" t="str">
        <f aca="false">IF(OR(E1250="",E1250="!!!",F1250="NEW"),"",INDEX(B12:B$1239,-1+SUMPRODUCT(MAX(ROW(E12:E$1239)*(E1250=E12:E$1239)))))</f>
        <v/>
      </c>
      <c r="J1250" s="24" t="str">
        <f aca="true">IF(OR(E1250="",E1250="!!!",F1250="NEW"),"",COUNTBLANK(OFFSET(A$1,,,SUMPRODUCT(MAX(ROW(E$2:E1250)*(E1250=E$2:E1250)))))-COUNTBLANK(OFFSET(A$1,,,SUMPRODUCT(MAX(ROW(E$1:E1249)*(E2=E$1:E1249))))))</f>
        <v/>
      </c>
      <c r="K1250" s="24" t="str">
        <f aca="false">IF(OR(E1250="",E1250="!!!",F1250="NEW"),"",INDEX(J$1:J1249,SUMPRODUCT(MAX(ROW(E$1:E1249)*(E1250=E$1:E1249)))))</f>
        <v/>
      </c>
      <c r="L1250" s="31"/>
    </row>
    <row r="1251" customFormat="false" ht="15" hidden="false" customHeight="false" outlineLevel="0" collapsed="false">
      <c r="A1251" s="20" t="s">
        <v>1616</v>
      </c>
      <c r="E1251" s="23" t="str">
        <f aca="false">IF(D1251="?OLD","!!!","")</f>
        <v/>
      </c>
      <c r="F1251" s="25" t="str">
        <f aca="false">IF(OR(E1251="",E1251="!!!"),"",IF(NOT(ISNA(VLOOKUP(E1251,E$1:E1250,1,FALSE()))),"OLD",IF(AND(E1251&lt;&gt;"",E1251&lt;&gt;"!!!"),"NEW","")))</f>
        <v/>
      </c>
      <c r="G1251" s="26" t="str">
        <f aca="false">IF(OR(E1251="",E1251="!!!"),"",IF(OR(J1251=0,AND(J1251=1,K1251=1),AND(J1251=1,I1251="SBJ"),AND(J1251=1,I1251=0)),"?IN_FOCUS",IF(J1251&lt;=2,"?ACTIVATED",IF(J1251&lt;&gt;"","?FAMILIAR",IF(F1251="NEW",IF(ISNA(VLOOKUP(E1251,#REF!,1,FALSE())),"?TYPE_IDENTIFIABLE","?REFERENTIAL"),"_")))))</f>
        <v/>
      </c>
      <c r="H1251" s="27" t="str">
        <f aca="false">IF(J1251&lt;&gt;1,"",IF(I1251="SBJ","CB","?"))</f>
        <v/>
      </c>
      <c r="I1251" s="24" t="str">
        <f aca="false">IF(OR(E1251="",E1251="!!!",F1251="NEW"),"",INDEX(B13:B$1239,-1+SUMPRODUCT(MAX(ROW(E13:E$1239)*(E1251=E13:E$1239)))))</f>
        <v/>
      </c>
      <c r="J1251" s="24" t="str">
        <f aca="true">IF(OR(E1251="",E1251="!!!",F1251="NEW"),"",COUNTBLANK(OFFSET(A$1,,,SUMPRODUCT(MAX(ROW(E$2:E1251)*(E1251=E$2:E1251)))))-COUNTBLANK(OFFSET(A$1,,,SUMPRODUCT(MAX(ROW(E$1:E1250)*(E2=E$1:E1250))))))</f>
        <v/>
      </c>
      <c r="K1251" s="24" t="str">
        <f aca="false">IF(OR(E1251="",E1251="!!!",F1251="NEW"),"",INDEX(J$1:J1250,SUMPRODUCT(MAX(ROW(E$1:E1250)*(E1251=E$1:E1250)))))</f>
        <v/>
      </c>
      <c r="L1251" s="31"/>
    </row>
    <row r="1252" customFormat="false" ht="15" hidden="false" customHeight="false" outlineLevel="0" collapsed="false">
      <c r="A1252" s="20" t="s">
        <v>1157</v>
      </c>
      <c r="E1252" s="23" t="str">
        <f aca="false">IF(D1252="?OLD","!!!","")</f>
        <v/>
      </c>
      <c r="F1252" s="25" t="str">
        <f aca="false">IF(OR(E1252="",E1252="!!!"),"",IF(NOT(ISNA(VLOOKUP(E1252,E$1:E1251,1,FALSE()))),"OLD",IF(AND(E1252&lt;&gt;"",E1252&lt;&gt;"!!!"),"NEW","")))</f>
        <v/>
      </c>
      <c r="G1252" s="26" t="str">
        <f aca="false">IF(OR(E1252="",E1252="!!!"),"",IF(OR(J1252=0,AND(J1252=1,K1252=1),AND(J1252=1,I1252="SBJ"),AND(J1252=1,I1252=0)),"?IN_FOCUS",IF(J1252&lt;=2,"?ACTIVATED",IF(J1252&lt;&gt;"","?FAMILIAR",IF(F1252="NEW",IF(ISNA(VLOOKUP(E1252,#REF!,1,FALSE())),"?TYPE_IDENTIFIABLE","?REFERENTIAL"),"_")))))</f>
        <v/>
      </c>
      <c r="H1252" s="27" t="str">
        <f aca="false">IF(J1252&lt;&gt;1,"",IF(I1252="SBJ","CB","?"))</f>
        <v/>
      </c>
      <c r="I1252" s="24" t="str">
        <f aca="false">IF(OR(E1252="",E1252="!!!",F1252="NEW"),"",INDEX(B14:B$1239,-1+SUMPRODUCT(MAX(ROW(E14:E$1239)*(E1252=E14:E$1239)))))</f>
        <v/>
      </c>
      <c r="J1252" s="24" t="str">
        <f aca="true">IF(OR(E1252="",E1252="!!!",F1252="NEW"),"",COUNTBLANK(OFFSET(A$1,,,SUMPRODUCT(MAX(ROW(E$2:E1252)*(E1252=E$2:E1252)))))-COUNTBLANK(OFFSET(A$1,,,SUMPRODUCT(MAX(ROW(E$1:E1251)*(E2=E$1:E1251))))))</f>
        <v/>
      </c>
      <c r="K1252" s="24" t="str">
        <f aca="false">IF(OR(E1252="",E1252="!!!",F1252="NEW"),"",INDEX(J$1:J1251,SUMPRODUCT(MAX(ROW(E$1:E1251)*(E1252=E$1:E1251)))))</f>
        <v/>
      </c>
      <c r="L1252" s="31"/>
    </row>
    <row r="1253" customFormat="false" ht="15" hidden="false" customHeight="false" outlineLevel="0" collapsed="false">
      <c r="A1253" s="20" t="s">
        <v>1090</v>
      </c>
      <c r="B1253" s="22" t="s">
        <v>1091</v>
      </c>
      <c r="C1253" s="22" t="s">
        <v>1082</v>
      </c>
      <c r="D1253" s="22" t="s">
        <v>1060</v>
      </c>
      <c r="E1253" s="23" t="str">
        <f aca="false">IF(D1253="?OLD","!!!","")</f>
        <v>!!!</v>
      </c>
      <c r="F1253" s="25" t="str">
        <f aca="false">IF(OR(E1253="",E1253="!!!"),"",IF(NOT(ISNA(VLOOKUP(E1253,E$1:E1252,1,FALSE()))),"OLD",IF(AND(E1253&lt;&gt;"",E1253&lt;&gt;"!!!"),"NEW","")))</f>
        <v/>
      </c>
      <c r="G1253" s="26" t="str">
        <f aca="false">IF(OR(E1253="",E1253="!!!"),"",IF(OR(J1253=0,AND(J1253=1,K1253=1),AND(J1253=1,I1253="SBJ"),AND(J1253=1,I1253=0)),"?IN_FOCUS",IF(J1253&lt;=2,"?ACTIVATED",IF(J1253&lt;&gt;"","?FAMILIAR",IF(F1253="NEW",IF(ISNA(VLOOKUP(E1253,#REF!,1,FALSE())),"?TYPE_IDENTIFIABLE","?REFERENTIAL"),"_")))))</f>
        <v/>
      </c>
      <c r="H1253" s="27" t="str">
        <f aca="false">IF(J1253&lt;&gt;1,"",IF(I1253="SBJ","CB","?"))</f>
        <v/>
      </c>
      <c r="I1253" s="24" t="str">
        <f aca="false">IF(OR(E1253="",E1253="!!!",F1253="NEW"),"",INDEX(B15:B$1239,-1+SUMPRODUCT(MAX(ROW(E15:E$1239)*(E1253=E15:E$1239)))))</f>
        <v/>
      </c>
      <c r="J1253" s="24" t="str">
        <f aca="true">IF(OR(E1253="",E1253="!!!",F1253="NEW"),"",COUNTBLANK(OFFSET(A$1,,,SUMPRODUCT(MAX(ROW(E$2:E1253)*(E1253=E$2:E1253)))))-COUNTBLANK(OFFSET(A$1,,,SUMPRODUCT(MAX(ROW(E$1:E1252)*(E2=E$1:E1252))))))</f>
        <v/>
      </c>
      <c r="K1253" s="24" t="str">
        <f aca="false">IF(OR(E1253="",E1253="!!!",F1253="NEW"),"",INDEX(J$1:J1252,SUMPRODUCT(MAX(ROW(E$1:E1252)*(E1253=E$1:E1252)))))</f>
        <v/>
      </c>
      <c r="L1253" s="31"/>
    </row>
    <row r="1254" customFormat="false" ht="15" hidden="false" customHeight="false" outlineLevel="0" collapsed="false">
      <c r="A1254" s="20" t="s">
        <v>1455</v>
      </c>
      <c r="E1254" s="23" t="str">
        <f aca="false">IF(D1254="?OLD","!!!","")</f>
        <v/>
      </c>
      <c r="F1254" s="25" t="str">
        <f aca="false">IF(OR(E1254="",E1254="!!!"),"",IF(NOT(ISNA(VLOOKUP(E1254,E$1:E1253,1,FALSE()))),"OLD",IF(AND(E1254&lt;&gt;"",E1254&lt;&gt;"!!!"),"NEW","")))</f>
        <v/>
      </c>
      <c r="G1254" s="26" t="str">
        <f aca="false">IF(OR(E1254="",E1254="!!!"),"",IF(OR(J1254=0,AND(J1254=1,K1254=1),AND(J1254=1,I1254="SBJ"),AND(J1254=1,I1254=0)),"?IN_FOCUS",IF(J1254&lt;=2,"?ACTIVATED",IF(J1254&lt;&gt;"","?FAMILIAR",IF(F1254="NEW",IF(ISNA(VLOOKUP(E1254,#REF!,1,FALSE())),"?TYPE_IDENTIFIABLE","?REFERENTIAL"),"_")))))</f>
        <v/>
      </c>
      <c r="H1254" s="27" t="str">
        <f aca="false">IF(J1254&lt;&gt;1,"",IF(I1254="SBJ","CB","?"))</f>
        <v/>
      </c>
      <c r="I1254" s="24" t="str">
        <f aca="false">IF(OR(E1254="",E1254="!!!",F1254="NEW"),"",INDEX(B16:B$1239,-1+SUMPRODUCT(MAX(ROW(E16:E$1239)*(E1254=E16:E$1239)))))</f>
        <v/>
      </c>
      <c r="J1254" s="24" t="str">
        <f aca="true">IF(OR(E1254="",E1254="!!!",F1254="NEW"),"",COUNTBLANK(OFFSET(A$1,,,SUMPRODUCT(MAX(ROW(E$2:E1254)*(E1254=E$2:E1254)))))-COUNTBLANK(OFFSET(A$1,,,SUMPRODUCT(MAX(ROW(E$1:E1253)*(E2=E$1:E1253))))))</f>
        <v/>
      </c>
      <c r="K1254" s="24" t="str">
        <f aca="false">IF(OR(E1254="",E1254="!!!",F1254="NEW"),"",INDEX(J$1:J1253,SUMPRODUCT(MAX(ROW(E$1:E1253)*(E1254=E$1:E1253)))))</f>
        <v/>
      </c>
      <c r="L1254" s="31"/>
    </row>
    <row r="1255" customFormat="false" ht="15" hidden="false" customHeight="false" outlineLevel="0" collapsed="false">
      <c r="A1255" s="20" t="s">
        <v>1612</v>
      </c>
      <c r="B1255" s="22" t="s">
        <v>1107</v>
      </c>
      <c r="C1255" s="22" t="s">
        <v>1099</v>
      </c>
      <c r="D1255" s="22" t="s">
        <v>1060</v>
      </c>
      <c r="E1255" s="23" t="str">
        <f aca="false">IF(D1255="?OLD","!!!","")</f>
        <v>!!!</v>
      </c>
      <c r="F1255" s="25" t="str">
        <f aca="false">IF(OR(E1255="",E1255="!!!"),"",IF(NOT(ISNA(VLOOKUP(E1255,E$1:E1254,1,FALSE()))),"OLD",IF(AND(E1255&lt;&gt;"",E1255&lt;&gt;"!!!"),"NEW","")))</f>
        <v/>
      </c>
      <c r="G1255" s="26" t="str">
        <f aca="false">IF(OR(E1255="",E1255="!!!"),"",IF(OR(J1255=0,AND(J1255=1,K1255=1),AND(J1255=1,I1255="SBJ"),AND(J1255=1,I1255=0)),"?IN_FOCUS",IF(J1255&lt;=2,"?ACTIVATED",IF(J1255&lt;&gt;"","?FAMILIAR",IF(F1255="NEW",IF(ISNA(VLOOKUP(E1255,#REF!,1,FALSE())),"?TYPE_IDENTIFIABLE","?REFERENTIAL"),"_")))))</f>
        <v/>
      </c>
      <c r="H1255" s="27" t="str">
        <f aca="false">IF(J1255&lt;&gt;1,"",IF(I1255="SBJ","CB","?"))</f>
        <v/>
      </c>
      <c r="I1255" s="24" t="str">
        <f aca="false">IF(OR(E1255="",E1255="!!!",F1255="NEW"),"",INDEX(B17:B$1239,-1+SUMPRODUCT(MAX(ROW(E17:E$1239)*(E1255=E17:E$1239)))))</f>
        <v/>
      </c>
      <c r="J1255" s="24" t="str">
        <f aca="true">IF(OR(E1255="",E1255="!!!",F1255="NEW"),"",COUNTBLANK(OFFSET(A$1,,,SUMPRODUCT(MAX(ROW(E$2:E1255)*(E1255=E$2:E1255)))))-COUNTBLANK(OFFSET(A$1,,,SUMPRODUCT(MAX(ROW(E$1:E1254)*(E2=E$1:E1254))))))</f>
        <v/>
      </c>
      <c r="K1255" s="24" t="str">
        <f aca="false">IF(OR(E1255="",E1255="!!!",F1255="NEW"),"",INDEX(J$1:J1254,SUMPRODUCT(MAX(ROW(E$1:E1254)*(E1255=E$1:E1254)))))</f>
        <v/>
      </c>
      <c r="L1255" s="31"/>
    </row>
    <row r="1256" customFormat="false" ht="15" hidden="false" customHeight="false" outlineLevel="0" collapsed="false">
      <c r="A1256" s="20" t="s">
        <v>1617</v>
      </c>
      <c r="E1256" s="23" t="str">
        <f aca="false">IF(D1256="?OLD","!!!","")</f>
        <v/>
      </c>
      <c r="F1256" s="25" t="str">
        <f aca="false">IF(OR(E1256="",E1256="!!!"),"",IF(NOT(ISNA(VLOOKUP(E1256,E$1:E1255,1,FALSE()))),"OLD",IF(AND(E1256&lt;&gt;"",E1256&lt;&gt;"!!!"),"NEW","")))</f>
        <v/>
      </c>
      <c r="G1256" s="26" t="str">
        <f aca="false">IF(OR(E1256="",E1256="!!!"),"",IF(OR(J1256=0,AND(J1256=1,K1256=1),AND(J1256=1,I1256="SBJ"),AND(J1256=1,I1256=0)),"?IN_FOCUS",IF(J1256&lt;=2,"?ACTIVATED",IF(J1256&lt;&gt;"","?FAMILIAR",IF(F1256="NEW",IF(ISNA(VLOOKUP(E1256,#REF!,1,FALSE())),"?TYPE_IDENTIFIABLE","?REFERENTIAL"),"_")))))</f>
        <v/>
      </c>
      <c r="H1256" s="27" t="str">
        <f aca="false">IF(J1256&lt;&gt;1,"",IF(I1256="SBJ","CB","?"))</f>
        <v/>
      </c>
      <c r="I1256" s="24" t="str">
        <f aca="false">IF(OR(E1256="",E1256="!!!",F1256="NEW"),"",INDEX(B18:B$1239,-1+SUMPRODUCT(MAX(ROW(E18:E$1239)*(E1256=E18:E$1239)))))</f>
        <v/>
      </c>
      <c r="J1256" s="24" t="str">
        <f aca="true">IF(OR(E1256="",E1256="!!!",F1256="NEW"),"",COUNTBLANK(OFFSET(A$1,,,SUMPRODUCT(MAX(ROW(E$2:E1256)*(E1256=E$2:E1256)))))-COUNTBLANK(OFFSET(A$1,,,SUMPRODUCT(MAX(ROW(E$1:E1255)*(E2=E$1:E1255))))))</f>
        <v/>
      </c>
      <c r="K1256" s="24" t="str">
        <f aca="false">IF(OR(E1256="",E1256="!!!",F1256="NEW"),"",INDEX(J$1:J1255,SUMPRODUCT(MAX(ROW(E$1:E1255)*(E1256=E$1:E1255)))))</f>
        <v/>
      </c>
      <c r="L1256" s="31"/>
    </row>
    <row r="1257" customFormat="false" ht="15" hidden="false" customHeight="false" outlineLevel="0" collapsed="false">
      <c r="A1257" s="20" t="s">
        <v>249</v>
      </c>
      <c r="B1257" s="22" t="s">
        <v>1146</v>
      </c>
      <c r="C1257" s="22" t="s">
        <v>1059</v>
      </c>
      <c r="D1257" s="22" t="s">
        <v>1060</v>
      </c>
      <c r="E1257" s="23" t="str">
        <f aca="false">IF(D1257="?OLD","!!!","")</f>
        <v>!!!</v>
      </c>
      <c r="F1257" s="25" t="str">
        <f aca="false">IF(OR(E1257="",E1257="!!!"),"",IF(NOT(ISNA(VLOOKUP(E1257,E$1:E1256,1,FALSE()))),"OLD",IF(AND(E1257&lt;&gt;"",E1257&lt;&gt;"!!!"),"NEW","")))</f>
        <v/>
      </c>
      <c r="G1257" s="26" t="str">
        <f aca="false">IF(OR(E1257="",E1257="!!!"),"",IF(OR(J1257=0,AND(J1257=1,K1257=1),AND(J1257=1,I1257="SBJ"),AND(J1257=1,I1257=0)),"?IN_FOCUS",IF(J1257&lt;=2,"?ACTIVATED",IF(J1257&lt;&gt;"","?FAMILIAR",IF(F1257="NEW",IF(ISNA(VLOOKUP(E1257,#REF!,1,FALSE())),"?TYPE_IDENTIFIABLE","?REFERENTIAL"),"_")))))</f>
        <v/>
      </c>
      <c r="H1257" s="27" t="str">
        <f aca="false">IF(J1257&lt;&gt;1,"",IF(I1257="SBJ","CB","?"))</f>
        <v/>
      </c>
      <c r="I1257" s="24" t="str">
        <f aca="false">IF(OR(E1257="",E1257="!!!",F1257="NEW"),"",INDEX(B19:B$1239,-1+SUMPRODUCT(MAX(ROW(E19:E$1239)*(E1257=E19:E$1239)))))</f>
        <v/>
      </c>
      <c r="J1257" s="24" t="str">
        <f aca="true">IF(OR(E1257="",E1257="!!!",F1257="NEW"),"",COUNTBLANK(OFFSET(A$1,,,SUMPRODUCT(MAX(ROW(E$2:E1257)*(E1257=E$2:E1257)))))-COUNTBLANK(OFFSET(A$1,,,SUMPRODUCT(MAX(ROW(E$1:E1256)*(E2=E$1:E1256))))))</f>
        <v/>
      </c>
      <c r="K1257" s="24" t="str">
        <f aca="false">IF(OR(E1257="",E1257="!!!",F1257="NEW"),"",INDEX(J$1:J1256,SUMPRODUCT(MAX(ROW(E$1:E1256)*(E1257=E$1:E1256)))))</f>
        <v/>
      </c>
      <c r="L1257" s="31"/>
    </row>
    <row r="1258" customFormat="false" ht="15" hidden="false" customHeight="false" outlineLevel="0" collapsed="false">
      <c r="A1258" s="20" t="s">
        <v>923</v>
      </c>
      <c r="E1258" s="23" t="str">
        <f aca="false">IF(D1258="?OLD","!!!","")</f>
        <v/>
      </c>
      <c r="F1258" s="25" t="str">
        <f aca="false">IF(OR(E1258="",E1258="!!!"),"",IF(NOT(ISNA(VLOOKUP(E1258,E$1:E1257,1,FALSE()))),"OLD",IF(AND(E1258&lt;&gt;"",E1258&lt;&gt;"!!!"),"NEW","")))</f>
        <v/>
      </c>
      <c r="G1258" s="26" t="str">
        <f aca="false">IF(OR(E1258="",E1258="!!!"),"",IF(OR(J1258=0,AND(J1258=1,K1258=1),AND(J1258=1,I1258="SBJ"),AND(J1258=1,I1258=0)),"?IN_FOCUS",IF(J1258&lt;=2,"?ACTIVATED",IF(J1258&lt;&gt;"","?FAMILIAR",IF(F1258="NEW",IF(ISNA(VLOOKUP(E1258,#REF!,1,FALSE())),"?TYPE_IDENTIFIABLE","?REFERENTIAL"),"_")))))</f>
        <v/>
      </c>
      <c r="H1258" s="27" t="str">
        <f aca="false">IF(J1258&lt;&gt;1,"",IF(I1258="SBJ","CB","?"))</f>
        <v/>
      </c>
      <c r="I1258" s="24" t="str">
        <f aca="false">IF(OR(E1258="",E1258="!!!",F1258="NEW"),"",INDEX(B20:B$1239,-1+SUMPRODUCT(MAX(ROW(E20:E$1239)*(E1258=E20:E$1239)))))</f>
        <v/>
      </c>
      <c r="J1258" s="24" t="str">
        <f aca="true">IF(OR(E1258="",E1258="!!!",F1258="NEW"),"",COUNTBLANK(OFFSET(A$1,,,SUMPRODUCT(MAX(ROW(E$2:E1258)*(E1258=E$2:E1258)))))-COUNTBLANK(OFFSET(A$1,,,SUMPRODUCT(MAX(ROW(E$1:E1257)*(E2=E$1:E1257))))))</f>
        <v/>
      </c>
      <c r="K1258" s="24" t="str">
        <f aca="false">IF(OR(E1258="",E1258="!!!",F1258="NEW"),"",INDEX(J$1:J1257,SUMPRODUCT(MAX(ROW(E$1:E1257)*(E1258=E$1:E1257)))))</f>
        <v/>
      </c>
      <c r="L1258" s="31"/>
    </row>
    <row r="1259" customFormat="false" ht="15" hidden="false" customHeight="false" outlineLevel="0" collapsed="false">
      <c r="A1259" s="20"/>
    </row>
    <row r="1260" customFormat="false" ht="15" hidden="false" customHeight="false" outlineLevel="0" collapsed="false">
      <c r="A1260" s="20" t="s">
        <v>1301</v>
      </c>
      <c r="E1260" s="23" t="str">
        <f aca="false">IF(D1260="?OLD","!!!","")</f>
        <v/>
      </c>
      <c r="F1260" s="25" t="str">
        <f aca="false">IF(OR(E1260="",E1260="!!!"),"",IF(NOT(ISNA(VLOOKUP(E1260,E$1:E1259,1,FALSE()))),"OLD",IF(AND(E1260&lt;&gt;"",E1260&lt;&gt;"!!!"),"NEW","")))</f>
        <v/>
      </c>
      <c r="G1260" s="26" t="str">
        <f aca="false">IF(OR(E1260="",E1260="!!!"),"",IF(OR(J1260=0,AND(J1260=1,K1260=1),AND(J1260=1,I1260="SBJ"),AND(J1260=1,I1260=0)),"?IN_FOCUS",IF(J1260&lt;=2,"?ACTIVATED",IF(J1260&lt;&gt;"","?FAMILIAR",IF(F1260="NEW",IF(ISNA(VLOOKUP(E1260,#REF!,1,FALSE())),"?TYPE_IDENTIFIABLE","?REFERENTIAL"),"_")))))</f>
        <v/>
      </c>
      <c r="H1260" s="27" t="str">
        <f aca="false">IF(J1260&lt;&gt;1,"",IF(I1260="SBJ","CB","?"))</f>
        <v/>
      </c>
      <c r="I1260" s="24" t="str">
        <f aca="false">IF(OR(E1260="",E1260="!!!",F1260="NEW"),"",INDEX(B2:B$1259,-1+SUMPRODUCT(MAX(ROW(E2:E$1259)*(E1260=E2:E$1259)))))</f>
        <v/>
      </c>
      <c r="J1260" s="24" t="str">
        <f aca="true">IF(OR(E1260="",E1260="!!!",F1260="NEW"),"",COUNTBLANK(OFFSET(A$1,,,SUMPRODUCT(MAX(ROW(E$2:E1260)*(E1260=E$2:E1260)))))-COUNTBLANK(OFFSET(A$1,,,SUMPRODUCT(MAX(ROW(E$1:E1259)*(E2=E$1:E1259))))))</f>
        <v/>
      </c>
      <c r="K1260" s="24" t="str">
        <f aca="false">IF(OR(E1260="",E1260="!!!",F1260="NEW"),"",INDEX(J$1:J1259,SUMPRODUCT(MAX(ROW(E$1:E1259)*(E1260=E$1:E1259)))))</f>
        <v/>
      </c>
      <c r="L1260" s="31"/>
    </row>
    <row r="1261" customFormat="false" ht="15" hidden="false" customHeight="false" outlineLevel="0" collapsed="false">
      <c r="A1261" s="20" t="s">
        <v>1618</v>
      </c>
    </row>
    <row r="1262" customFormat="false" ht="15" hidden="false" customHeight="false" outlineLevel="0" collapsed="false">
      <c r="A1262" s="20" t="s">
        <v>607</v>
      </c>
      <c r="E1262" s="23" t="str">
        <f aca="false">IF(D1262="?OLD","!!!","")</f>
        <v/>
      </c>
      <c r="F1262" s="25" t="str">
        <f aca="false">IF(OR(E1262="",E1262="!!!"),"",IF(NOT(ISNA(VLOOKUP(E1262,E$1:E1261,1,FALSE()))),"OLD",IF(AND(E1262&lt;&gt;"",E1262&lt;&gt;"!!!"),"NEW","")))</f>
        <v/>
      </c>
      <c r="G1262" s="26" t="str">
        <f aca="false">IF(OR(E1262="",E1262="!!!"),"",IF(OR(J1262=0,AND(J1262=1,K1262=1),AND(J1262=1,I1262="SBJ"),AND(J1262=1,I1262=0)),"?IN_FOCUS",IF(J1262&lt;=2,"?ACTIVATED",IF(J1262&lt;&gt;"","?FAMILIAR",IF(F1262="NEW",IF(ISNA(VLOOKUP(E1262,#REF!,1,FALSE())),"?TYPE_IDENTIFIABLE","?REFERENTIAL"),"_")))))</f>
        <v/>
      </c>
      <c r="H1262" s="27" t="str">
        <f aca="false">IF(J1262&lt;&gt;1,"",IF(I1262="SBJ","CB","?"))</f>
        <v/>
      </c>
      <c r="I1262" s="24" t="str">
        <f aca="false">IF(OR(E1262="",E1262="!!!",F1262="NEW"),"",INDEX(B2:B$1261,-1+SUMPRODUCT(MAX(ROW(E2:E$1261)*(E1262=E2:E$1261)))))</f>
        <v/>
      </c>
      <c r="J1262" s="24" t="str">
        <f aca="true">IF(OR(E1262="",E1262="!!!",F1262="NEW"),"",COUNTBLANK(OFFSET(A$1,,,SUMPRODUCT(MAX(ROW(E$2:E1262)*(E1262=E$2:E1262)))))-COUNTBLANK(OFFSET(A$1,,,SUMPRODUCT(MAX(ROW(E$1:E1261)*(E2=E$1:E1261))))))</f>
        <v/>
      </c>
      <c r="K1262" s="24" t="str">
        <f aca="false">IF(OR(E1262="",E1262="!!!",F1262="NEW"),"",INDEX(J$1:J1261,SUMPRODUCT(MAX(ROW(E$1:E1261)*(E1262=E$1:E1261)))))</f>
        <v/>
      </c>
      <c r="L1262" s="31"/>
    </row>
    <row r="1263" customFormat="false" ht="15" hidden="false" customHeight="false" outlineLevel="0" collapsed="false">
      <c r="A1263" s="20" t="s">
        <v>1261</v>
      </c>
      <c r="B1263" s="22" t="s">
        <v>1058</v>
      </c>
      <c r="C1263" s="22" t="s">
        <v>1082</v>
      </c>
      <c r="D1263" s="22" t="s">
        <v>1060</v>
      </c>
      <c r="E1263" s="23" t="str">
        <f aca="false">IF(D1263="?OLD","!!!","")</f>
        <v>!!!</v>
      </c>
      <c r="F1263" s="25" t="str">
        <f aca="false">IF(OR(E1263="",E1263="!!!"),"",IF(NOT(ISNA(VLOOKUP(E1263,E$1:E1262,1,FALSE()))),"OLD",IF(AND(E1263&lt;&gt;"",E1263&lt;&gt;"!!!"),"NEW","")))</f>
        <v/>
      </c>
      <c r="G1263" s="26" t="str">
        <f aca="false">IF(OR(E1263="",E1263="!!!"),"",IF(OR(J1263=0,AND(J1263=1,K1263=1),AND(J1263=1,I1263="SBJ"),AND(J1263=1,I1263=0)),"?IN_FOCUS",IF(J1263&lt;=2,"?ACTIVATED",IF(J1263&lt;&gt;"","?FAMILIAR",IF(F1263="NEW",IF(ISNA(VLOOKUP(E1263,#REF!,1,FALSE())),"?TYPE_IDENTIFIABLE","?REFERENTIAL"),"_")))))</f>
        <v/>
      </c>
      <c r="H1263" s="27" t="str">
        <f aca="false">IF(J1263&lt;&gt;1,"",IF(I1263="SBJ","CB","?"))</f>
        <v/>
      </c>
      <c r="I1263" s="24" t="str">
        <f aca="false">IF(OR(E1263="",E1263="!!!",F1263="NEW"),"",INDEX(B3:B$1261,-1+SUMPRODUCT(MAX(ROW(E3:E$1261)*(E1263=E3:E$1261)))))</f>
        <v/>
      </c>
      <c r="J1263" s="24" t="str">
        <f aca="true">IF(OR(E1263="",E1263="!!!",F1263="NEW"),"",COUNTBLANK(OFFSET(A$1,,,SUMPRODUCT(MAX(ROW(E$2:E1263)*(E1263=E$2:E1263)))))-COUNTBLANK(OFFSET(A$1,,,SUMPRODUCT(MAX(ROW(E$1:E1262)*(E2=E$1:E1262))))))</f>
        <v/>
      </c>
      <c r="K1263" s="24" t="str">
        <f aca="false">IF(OR(E1263="",E1263="!!!",F1263="NEW"),"",INDEX(J$1:J1262,SUMPRODUCT(MAX(ROW(E$1:E1262)*(E1263=E$1:E1262)))))</f>
        <v/>
      </c>
      <c r="L1263" s="31"/>
    </row>
    <row r="1264" customFormat="false" ht="15" hidden="false" customHeight="false" outlineLevel="0" collapsed="false">
      <c r="A1264" s="20" t="s">
        <v>1071</v>
      </c>
      <c r="E1264" s="23" t="str">
        <f aca="false">IF(D1264="?OLD","!!!","")</f>
        <v/>
      </c>
      <c r="F1264" s="25" t="str">
        <f aca="false">IF(OR(E1264="",E1264="!!!"),"",IF(NOT(ISNA(VLOOKUP(E1264,E$1:E1263,1,FALSE()))),"OLD",IF(AND(E1264&lt;&gt;"",E1264&lt;&gt;"!!!"),"NEW","")))</f>
        <v/>
      </c>
      <c r="G1264" s="26" t="str">
        <f aca="false">IF(OR(E1264="",E1264="!!!"),"",IF(OR(J1264=0,AND(J1264=1,K1264=1),AND(J1264=1,I1264="SBJ"),AND(J1264=1,I1264=0)),"?IN_FOCUS",IF(J1264&lt;=2,"?ACTIVATED",IF(J1264&lt;&gt;"","?FAMILIAR",IF(F1264="NEW",IF(ISNA(VLOOKUP(E1264,#REF!,1,FALSE())),"?TYPE_IDENTIFIABLE","?REFERENTIAL"),"_")))))</f>
        <v/>
      </c>
      <c r="H1264" s="27" t="str">
        <f aca="false">IF(J1264&lt;&gt;1,"",IF(I1264="SBJ","CB","?"))</f>
        <v/>
      </c>
      <c r="I1264" s="24" t="str">
        <f aca="false">IF(OR(E1264="",E1264="!!!",F1264="NEW"),"",INDEX(B4:B$1261,-1+SUMPRODUCT(MAX(ROW(E4:E$1261)*(E1264=E4:E$1261)))))</f>
        <v/>
      </c>
      <c r="J1264" s="24" t="str">
        <f aca="true">IF(OR(E1264="",E1264="!!!",F1264="NEW"),"",COUNTBLANK(OFFSET(A$1,,,SUMPRODUCT(MAX(ROW(E$2:E1264)*(E1264=E$2:E1264)))))-COUNTBLANK(OFFSET(A$1,,,SUMPRODUCT(MAX(ROW(E$1:E1263)*(E2=E$1:E1263))))))</f>
        <v/>
      </c>
      <c r="K1264" s="24" t="str">
        <f aca="false">IF(OR(E1264="",E1264="!!!",F1264="NEW"),"",INDEX(J$1:J1263,SUMPRODUCT(MAX(ROW(E$1:E1263)*(E1264=E$1:E1263)))))</f>
        <v/>
      </c>
      <c r="L1264" s="31"/>
    </row>
    <row r="1265" customFormat="false" ht="15" hidden="false" customHeight="false" outlineLevel="0" collapsed="false">
      <c r="A1265" s="20" t="s">
        <v>1619</v>
      </c>
      <c r="E1265" s="23" t="str">
        <f aca="false">IF(D1265="?OLD","!!!","")</f>
        <v/>
      </c>
      <c r="F1265" s="25" t="str">
        <f aca="false">IF(OR(E1265="",E1265="!!!"),"",IF(NOT(ISNA(VLOOKUP(E1265,E$1:E1264,1,FALSE()))),"OLD",IF(AND(E1265&lt;&gt;"",E1265&lt;&gt;"!!!"),"NEW","")))</f>
        <v/>
      </c>
      <c r="G1265" s="26" t="str">
        <f aca="false">IF(OR(E1265="",E1265="!!!"),"",IF(OR(J1265=0,AND(J1265=1,K1265=1),AND(J1265=1,I1265="SBJ"),AND(J1265=1,I1265=0)),"?IN_FOCUS",IF(J1265&lt;=2,"?ACTIVATED",IF(J1265&lt;&gt;"","?FAMILIAR",IF(F1265="NEW",IF(ISNA(VLOOKUP(E1265,#REF!,1,FALSE())),"?TYPE_IDENTIFIABLE","?REFERENTIAL"),"_")))))</f>
        <v/>
      </c>
      <c r="H1265" s="27" t="str">
        <f aca="false">IF(J1265&lt;&gt;1,"",IF(I1265="SBJ","CB","?"))</f>
        <v/>
      </c>
      <c r="I1265" s="24" t="str">
        <f aca="false">IF(OR(E1265="",E1265="!!!",F1265="NEW"),"",INDEX(B5:B$1261,-1+SUMPRODUCT(MAX(ROW(E5:E$1261)*(E1265=E5:E$1261)))))</f>
        <v/>
      </c>
      <c r="J1265" s="24" t="str">
        <f aca="true">IF(OR(E1265="",E1265="!!!",F1265="NEW"),"",COUNTBLANK(OFFSET(A$1,,,SUMPRODUCT(MAX(ROW(E$2:E1265)*(E1265=E$2:E1265)))))-COUNTBLANK(OFFSET(A$1,,,SUMPRODUCT(MAX(ROW(E$1:E1264)*(E2=E$1:E1264))))))</f>
        <v/>
      </c>
      <c r="K1265" s="24" t="str">
        <f aca="false">IF(OR(E1265="",E1265="!!!",F1265="NEW"),"",INDEX(J$1:J1264,SUMPRODUCT(MAX(ROW(E$1:E1264)*(E1265=E$1:E1264)))))</f>
        <v/>
      </c>
      <c r="L1265" s="31"/>
    </row>
    <row r="1266" customFormat="false" ht="15" hidden="false" customHeight="false" outlineLevel="0" collapsed="false">
      <c r="A1266" s="20" t="s">
        <v>1490</v>
      </c>
      <c r="E1266" s="23" t="str">
        <f aca="false">IF(D1266="?OLD","!!!","")</f>
        <v/>
      </c>
      <c r="F1266" s="25" t="str">
        <f aca="false">IF(OR(E1266="",E1266="!!!"),"",IF(NOT(ISNA(VLOOKUP(E1266,E$1:E1265,1,FALSE()))),"OLD",IF(AND(E1266&lt;&gt;"",E1266&lt;&gt;"!!!"),"NEW","")))</f>
        <v/>
      </c>
      <c r="G1266" s="26" t="str">
        <f aca="false">IF(OR(E1266="",E1266="!!!"),"",IF(OR(J1266=0,AND(J1266=1,K1266=1),AND(J1266=1,I1266="SBJ"),AND(J1266=1,I1266=0)),"?IN_FOCUS",IF(J1266&lt;=2,"?ACTIVATED",IF(J1266&lt;&gt;"","?FAMILIAR",IF(F1266="NEW",IF(ISNA(VLOOKUP(E1266,#REF!,1,FALSE())),"?TYPE_IDENTIFIABLE","?REFERENTIAL"),"_")))))</f>
        <v/>
      </c>
      <c r="H1266" s="27" t="str">
        <f aca="false">IF(J1266&lt;&gt;1,"",IF(I1266="SBJ","CB","?"))</f>
        <v/>
      </c>
      <c r="I1266" s="24" t="str">
        <f aca="false">IF(OR(E1266="",E1266="!!!",F1266="NEW"),"",INDEX(B6:B$1261,-1+SUMPRODUCT(MAX(ROW(E6:E$1261)*(E1266=E6:E$1261)))))</f>
        <v/>
      </c>
      <c r="J1266" s="24" t="str">
        <f aca="true">IF(OR(E1266="",E1266="!!!",F1266="NEW"),"",COUNTBLANK(OFFSET(A$1,,,SUMPRODUCT(MAX(ROW(E$2:E1266)*(E1266=E$2:E1266)))))-COUNTBLANK(OFFSET(A$1,,,SUMPRODUCT(MAX(ROW(E$1:E1265)*(E2=E$1:E1265))))))</f>
        <v/>
      </c>
      <c r="K1266" s="24" t="str">
        <f aca="false">IF(OR(E1266="",E1266="!!!",F1266="NEW"),"",INDEX(J$1:J1265,SUMPRODUCT(MAX(ROW(E$1:E1265)*(E1266=E$1:E1265)))))</f>
        <v/>
      </c>
      <c r="L1266" s="31"/>
    </row>
    <row r="1267" customFormat="false" ht="15" hidden="false" customHeight="false" outlineLevel="0" collapsed="false">
      <c r="A1267" s="20" t="s">
        <v>1179</v>
      </c>
      <c r="B1267" s="22" t="s">
        <v>1105</v>
      </c>
      <c r="C1267" s="22" t="s">
        <v>1082</v>
      </c>
      <c r="D1267" s="22" t="s">
        <v>1060</v>
      </c>
      <c r="E1267" s="23" t="str">
        <f aca="false">IF(D1267="?OLD","!!!","")</f>
        <v>!!!</v>
      </c>
      <c r="F1267" s="25" t="str">
        <f aca="false">IF(OR(E1267="",E1267="!!!"),"",IF(NOT(ISNA(VLOOKUP(E1267,E$1:E1266,1,FALSE()))),"OLD",IF(AND(E1267&lt;&gt;"",E1267&lt;&gt;"!!!"),"NEW","")))</f>
        <v/>
      </c>
      <c r="G1267" s="26" t="str">
        <f aca="false">IF(OR(E1267="",E1267="!!!"),"",IF(OR(J1267=0,AND(J1267=1,K1267=1),AND(J1267=1,I1267="SBJ"),AND(J1267=1,I1267=0)),"?IN_FOCUS",IF(J1267&lt;=2,"?ACTIVATED",IF(J1267&lt;&gt;"","?FAMILIAR",IF(F1267="NEW",IF(ISNA(VLOOKUP(E1267,#REF!,1,FALSE())),"?TYPE_IDENTIFIABLE","?REFERENTIAL"),"_")))))</f>
        <v/>
      </c>
      <c r="H1267" s="27" t="str">
        <f aca="false">IF(J1267&lt;&gt;1,"",IF(I1267="SBJ","CB","?"))</f>
        <v/>
      </c>
      <c r="I1267" s="24" t="str">
        <f aca="false">IF(OR(E1267="",E1267="!!!",F1267="NEW"),"",INDEX(B7:B$1261,-1+SUMPRODUCT(MAX(ROW(E7:E$1261)*(E1267=E7:E$1261)))))</f>
        <v/>
      </c>
      <c r="J1267" s="24" t="str">
        <f aca="true">IF(OR(E1267="",E1267="!!!",F1267="NEW"),"",COUNTBLANK(OFFSET(A$1,,,SUMPRODUCT(MAX(ROW(E$2:E1267)*(E1267=E$2:E1267)))))-COUNTBLANK(OFFSET(A$1,,,SUMPRODUCT(MAX(ROW(E$1:E1266)*(E2=E$1:E1266))))))</f>
        <v/>
      </c>
      <c r="K1267" s="24" t="str">
        <f aca="false">IF(OR(E1267="",E1267="!!!",F1267="NEW"),"",INDEX(J$1:J1266,SUMPRODUCT(MAX(ROW(E$1:E1266)*(E1267=E$1:E1266)))))</f>
        <v/>
      </c>
      <c r="L1267" s="31"/>
    </row>
    <row r="1268" customFormat="false" ht="15" hidden="false" customHeight="false" outlineLevel="0" collapsed="false">
      <c r="A1268" s="20" t="s">
        <v>1076</v>
      </c>
      <c r="E1268" s="23" t="str">
        <f aca="false">IF(D1268="?OLD","!!!","")</f>
        <v/>
      </c>
      <c r="F1268" s="25" t="str">
        <f aca="false">IF(OR(E1268="",E1268="!!!"),"",IF(NOT(ISNA(VLOOKUP(E1268,E$1:E1267,1,FALSE()))),"OLD",IF(AND(E1268&lt;&gt;"",E1268&lt;&gt;"!!!"),"NEW","")))</f>
        <v/>
      </c>
      <c r="G1268" s="26" t="str">
        <f aca="false">IF(OR(E1268="",E1268="!!!"),"",IF(OR(J1268=0,AND(J1268=1,K1268=1),AND(J1268=1,I1268="SBJ"),AND(J1268=1,I1268=0)),"?IN_FOCUS",IF(J1268&lt;=2,"?ACTIVATED",IF(J1268&lt;&gt;"","?FAMILIAR",IF(F1268="NEW",IF(ISNA(VLOOKUP(E1268,#REF!,1,FALSE())),"?TYPE_IDENTIFIABLE","?REFERENTIAL"),"_")))))</f>
        <v/>
      </c>
      <c r="H1268" s="27" t="str">
        <f aca="false">IF(J1268&lt;&gt;1,"",IF(I1268="SBJ","CB","?"))</f>
        <v/>
      </c>
      <c r="I1268" s="24" t="str">
        <f aca="false">IF(OR(E1268="",E1268="!!!",F1268="NEW"),"",INDEX(B8:B$1261,-1+SUMPRODUCT(MAX(ROW(E8:E$1261)*(E1268=E8:E$1261)))))</f>
        <v/>
      </c>
      <c r="J1268" s="24" t="str">
        <f aca="true">IF(OR(E1268="",E1268="!!!",F1268="NEW"),"",COUNTBLANK(OFFSET(A$1,,,SUMPRODUCT(MAX(ROW(E$2:E1268)*(E1268=E$2:E1268)))))-COUNTBLANK(OFFSET(A$1,,,SUMPRODUCT(MAX(ROW(E$1:E1267)*(E2=E$1:E1267))))))</f>
        <v/>
      </c>
      <c r="K1268" s="24" t="str">
        <f aca="false">IF(OR(E1268="",E1268="!!!",F1268="NEW"),"",INDEX(J$1:J1267,SUMPRODUCT(MAX(ROW(E$1:E1267)*(E1268=E$1:E1267)))))</f>
        <v/>
      </c>
      <c r="L1268" s="31"/>
    </row>
    <row r="1269" customFormat="false" ht="15" hidden="false" customHeight="false" outlineLevel="0" collapsed="false">
      <c r="A1269" s="20" t="s">
        <v>1163</v>
      </c>
      <c r="B1269" s="22" t="s">
        <v>1073</v>
      </c>
      <c r="C1269" s="22" t="s">
        <v>1068</v>
      </c>
      <c r="D1269" s="22" t="s">
        <v>1060</v>
      </c>
      <c r="E1269" s="23" t="str">
        <f aca="false">IF(D1269="?OLD","!!!","")</f>
        <v>!!!</v>
      </c>
      <c r="F1269" s="25" t="str">
        <f aca="false">IF(OR(E1269="",E1269="!!!"),"",IF(NOT(ISNA(VLOOKUP(E1269,E$1:E1268,1,FALSE()))),"OLD",IF(AND(E1269&lt;&gt;"",E1269&lt;&gt;"!!!"),"NEW","")))</f>
        <v/>
      </c>
      <c r="G1269" s="26" t="str">
        <f aca="false">IF(OR(E1269="",E1269="!!!"),"",IF(OR(J1269=0,AND(J1269=1,K1269=1),AND(J1269=1,I1269="SBJ"),AND(J1269=1,I1269=0)),"?IN_FOCUS",IF(J1269&lt;=2,"?ACTIVATED",IF(J1269&lt;&gt;"","?FAMILIAR",IF(F1269="NEW",IF(ISNA(VLOOKUP(E1269,#REF!,1,FALSE())),"?TYPE_IDENTIFIABLE","?REFERENTIAL"),"_")))))</f>
        <v/>
      </c>
      <c r="H1269" s="27" t="str">
        <f aca="false">IF(J1269&lt;&gt;1,"",IF(I1269="SBJ","CB","?"))</f>
        <v/>
      </c>
      <c r="I1269" s="24" t="str">
        <f aca="false">IF(OR(E1269="",E1269="!!!",F1269="NEW"),"",INDEX(B9:B$1261,-1+SUMPRODUCT(MAX(ROW(E9:E$1261)*(E1269=E9:E$1261)))))</f>
        <v/>
      </c>
      <c r="J1269" s="24" t="str">
        <f aca="true">IF(OR(E1269="",E1269="!!!",F1269="NEW"),"",COUNTBLANK(OFFSET(A$1,,,SUMPRODUCT(MAX(ROW(E$2:E1269)*(E1269=E$2:E1269)))))-COUNTBLANK(OFFSET(A$1,,,SUMPRODUCT(MAX(ROW(E$1:E1268)*(E2=E$1:E1268))))))</f>
        <v/>
      </c>
      <c r="K1269" s="24" t="str">
        <f aca="false">IF(OR(E1269="",E1269="!!!",F1269="NEW"),"",INDEX(J$1:J1268,SUMPRODUCT(MAX(ROW(E$1:E1268)*(E1269=E$1:E1268)))))</f>
        <v/>
      </c>
      <c r="L1269" s="31"/>
    </row>
    <row r="1270" customFormat="false" ht="15" hidden="false" customHeight="false" outlineLevel="0" collapsed="false">
      <c r="A1270" s="20" t="s">
        <v>923</v>
      </c>
      <c r="E1270" s="23" t="str">
        <f aca="false">IF(D1270="?OLD","!!!","")</f>
        <v/>
      </c>
      <c r="F1270" s="25" t="str">
        <f aca="false">IF(OR(E1270="",E1270="!!!"),"",IF(NOT(ISNA(VLOOKUP(E1270,E$1:E1269,1,FALSE()))),"OLD",IF(AND(E1270&lt;&gt;"",E1270&lt;&gt;"!!!"),"NEW","")))</f>
        <v/>
      </c>
      <c r="G1270" s="26" t="str">
        <f aca="false">IF(OR(E1270="",E1270="!!!"),"",IF(OR(J1270=0,AND(J1270=1,K1270=1),AND(J1270=1,I1270="SBJ"),AND(J1270=1,I1270=0)),"?IN_FOCUS",IF(J1270&lt;=2,"?ACTIVATED",IF(J1270&lt;&gt;"","?FAMILIAR",IF(F1270="NEW",IF(ISNA(VLOOKUP(E1270,#REF!,1,FALSE())),"?TYPE_IDENTIFIABLE","?REFERENTIAL"),"_")))))</f>
        <v/>
      </c>
      <c r="H1270" s="27" t="str">
        <f aca="false">IF(J1270&lt;&gt;1,"",IF(I1270="SBJ","CB","?"))</f>
        <v/>
      </c>
      <c r="I1270" s="24" t="str">
        <f aca="false">IF(OR(E1270="",E1270="!!!",F1270="NEW"),"",INDEX(B10:B$1261,-1+SUMPRODUCT(MAX(ROW(E10:E$1261)*(E1270=E10:E$1261)))))</f>
        <v/>
      </c>
      <c r="J1270" s="24" t="str">
        <f aca="true">IF(OR(E1270="",E1270="!!!",F1270="NEW"),"",COUNTBLANK(OFFSET(A$1,,,SUMPRODUCT(MAX(ROW(E$2:E1270)*(E1270=E$2:E1270)))))-COUNTBLANK(OFFSET(A$1,,,SUMPRODUCT(MAX(ROW(E$1:E1269)*(E2=E$1:E1269))))))</f>
        <v/>
      </c>
      <c r="K1270" s="24" t="str">
        <f aca="false">IF(OR(E1270="",E1270="!!!",F1270="NEW"),"",INDEX(J$1:J1269,SUMPRODUCT(MAX(ROW(E$1:E1269)*(E1270=E$1:E1269)))))</f>
        <v/>
      </c>
      <c r="L1270" s="31"/>
    </row>
    <row r="1271" customFormat="false" ht="15" hidden="false" customHeight="false" outlineLevel="0" collapsed="false">
      <c r="A1271" s="20" t="s">
        <v>607</v>
      </c>
      <c r="E1271" s="23" t="str">
        <f aca="false">IF(D1271="?OLD","!!!","")</f>
        <v/>
      </c>
      <c r="F1271" s="25" t="str">
        <f aca="false">IF(OR(E1271="",E1271="!!!"),"",IF(NOT(ISNA(VLOOKUP(E1271,E$1:E1270,1,FALSE()))),"OLD",IF(AND(E1271&lt;&gt;"",E1271&lt;&gt;"!!!"),"NEW","")))</f>
        <v/>
      </c>
      <c r="G1271" s="26" t="str">
        <f aca="false">IF(OR(E1271="",E1271="!!!"),"",IF(OR(J1271=0,AND(J1271=1,K1271=1),AND(J1271=1,I1271="SBJ"),AND(J1271=1,I1271=0)),"?IN_FOCUS",IF(J1271&lt;=2,"?ACTIVATED",IF(J1271&lt;&gt;"","?FAMILIAR",IF(F1271="NEW",IF(ISNA(VLOOKUP(E1271,#REF!,1,FALSE())),"?TYPE_IDENTIFIABLE","?REFERENTIAL"),"_")))))</f>
        <v/>
      </c>
      <c r="H1271" s="27" t="str">
        <f aca="false">IF(J1271&lt;&gt;1,"",IF(I1271="SBJ","CB","?"))</f>
        <v/>
      </c>
      <c r="I1271" s="24" t="str">
        <f aca="false">IF(OR(E1271="",E1271="!!!",F1271="NEW"),"",INDEX(B11:B$1261,-1+SUMPRODUCT(MAX(ROW(E11:E$1261)*(E1271=E11:E$1261)))))</f>
        <v/>
      </c>
      <c r="J1271" s="24" t="str">
        <f aca="true">IF(OR(E1271="",E1271="!!!",F1271="NEW"),"",COUNTBLANK(OFFSET(A$1,,,SUMPRODUCT(MAX(ROW(E$2:E1271)*(E1271=E$2:E1271)))))-COUNTBLANK(OFFSET(A$1,,,SUMPRODUCT(MAX(ROW(E$1:E1270)*(E2=E$1:E1270))))))</f>
        <v/>
      </c>
      <c r="K1271" s="24" t="str">
        <f aca="false">IF(OR(E1271="",E1271="!!!",F1271="NEW"),"",INDEX(J$1:J1270,SUMPRODUCT(MAX(ROW(E$1:E1270)*(E1271=E$1:E1270)))))</f>
        <v/>
      </c>
      <c r="L1271" s="31"/>
    </row>
    <row r="1272" customFormat="false" ht="15" hidden="false" customHeight="false" outlineLevel="0" collapsed="false">
      <c r="A1272" s="20"/>
    </row>
    <row r="1273" customFormat="false" ht="15" hidden="false" customHeight="false" outlineLevel="0" collapsed="false">
      <c r="A1273" s="20" t="s">
        <v>1301</v>
      </c>
      <c r="E1273" s="23" t="str">
        <f aca="false">IF(D1273="?OLD","!!!","")</f>
        <v/>
      </c>
      <c r="F1273" s="25" t="str">
        <f aca="false">IF(OR(E1273="",E1273="!!!"),"",IF(NOT(ISNA(VLOOKUP(E1273,E$1:E1272,1,FALSE()))),"OLD",IF(AND(E1273&lt;&gt;"",E1273&lt;&gt;"!!!"),"NEW","")))</f>
        <v/>
      </c>
      <c r="G1273" s="26" t="str">
        <f aca="false">IF(OR(E1273="",E1273="!!!"),"",IF(OR(J1273=0,AND(J1273=1,K1273=1),AND(J1273=1,I1273="SBJ"),AND(J1273=1,I1273=0)),"?IN_FOCUS",IF(J1273&lt;=2,"?ACTIVATED",IF(J1273&lt;&gt;"","?FAMILIAR",IF(F1273="NEW",IF(ISNA(VLOOKUP(E1273,#REF!,1,FALSE())),"?TYPE_IDENTIFIABLE","?REFERENTIAL"),"_")))))</f>
        <v/>
      </c>
      <c r="H1273" s="27" t="str">
        <f aca="false">IF(J1273&lt;&gt;1,"",IF(I1273="SBJ","CB","?"))</f>
        <v/>
      </c>
      <c r="I1273" s="24" t="str">
        <f aca="false">IF(OR(E1273="",E1273="!!!",F1273="NEW"),"",INDEX(B2:B$1272,-1+SUMPRODUCT(MAX(ROW(E2:E$1272)*(E1273=E2:E$1272)))))</f>
        <v/>
      </c>
      <c r="J1273" s="24" t="str">
        <f aca="true">IF(OR(E1273="",E1273="!!!",F1273="NEW"),"",COUNTBLANK(OFFSET(A$1,,,SUMPRODUCT(MAX(ROW(E$2:E1273)*(E1273=E$2:E1273)))))-COUNTBLANK(OFFSET(A$1,,,SUMPRODUCT(MAX(ROW(E$1:E1272)*(E2=E$1:E1272))))))</f>
        <v/>
      </c>
      <c r="K1273" s="24" t="str">
        <f aca="false">IF(OR(E1273="",E1273="!!!",F1273="NEW"),"",INDEX(J$1:J1272,SUMPRODUCT(MAX(ROW(E$1:E1272)*(E1273=E$1:E1272)))))</f>
        <v/>
      </c>
      <c r="L1273" s="31"/>
    </row>
    <row r="1274" customFormat="false" ht="15" hidden="false" customHeight="false" outlineLevel="0" collapsed="false">
      <c r="A1274" s="20" t="s">
        <v>1620</v>
      </c>
    </row>
    <row r="1275" customFormat="false" ht="15" hidden="false" customHeight="false" outlineLevel="0" collapsed="false">
      <c r="A1275" s="20" t="s">
        <v>607</v>
      </c>
      <c r="E1275" s="23" t="str">
        <f aca="false">IF(D1275="?OLD","!!!","")</f>
        <v/>
      </c>
      <c r="F1275" s="25" t="str">
        <f aca="false">IF(OR(E1275="",E1275="!!!"),"",IF(NOT(ISNA(VLOOKUP(E1275,E$1:E1274,1,FALSE()))),"OLD",IF(AND(E1275&lt;&gt;"",E1275&lt;&gt;"!!!"),"NEW","")))</f>
        <v/>
      </c>
      <c r="G1275" s="26" t="str">
        <f aca="false">IF(OR(E1275="",E1275="!!!"),"",IF(OR(J1275=0,AND(J1275=1,K1275=1),AND(J1275=1,I1275="SBJ"),AND(J1275=1,I1275=0)),"?IN_FOCUS",IF(J1275&lt;=2,"?ACTIVATED",IF(J1275&lt;&gt;"","?FAMILIAR",IF(F1275="NEW",IF(ISNA(VLOOKUP(E1275,#REF!,1,FALSE())),"?TYPE_IDENTIFIABLE","?REFERENTIAL"),"_")))))</f>
        <v/>
      </c>
      <c r="H1275" s="27" t="str">
        <f aca="false">IF(J1275&lt;&gt;1,"",IF(I1275="SBJ","CB","?"))</f>
        <v/>
      </c>
      <c r="I1275" s="24" t="str">
        <f aca="false">IF(OR(E1275="",E1275="!!!",F1275="NEW"),"",INDEX(B2:B$1274,-1+SUMPRODUCT(MAX(ROW(E2:E$1274)*(E1275=E2:E$1274)))))</f>
        <v/>
      </c>
      <c r="J1275" s="24" t="str">
        <f aca="true">IF(OR(E1275="",E1275="!!!",F1275="NEW"),"",COUNTBLANK(OFFSET(A$1,,,SUMPRODUCT(MAX(ROW(E$2:E1275)*(E1275=E$2:E1275)))))-COUNTBLANK(OFFSET(A$1,,,SUMPRODUCT(MAX(ROW(E$1:E1274)*(E2=E$1:E1274))))))</f>
        <v/>
      </c>
      <c r="K1275" s="24" t="str">
        <f aca="false">IF(OR(E1275="",E1275="!!!",F1275="NEW"),"",INDEX(J$1:J1274,SUMPRODUCT(MAX(ROW(E$1:E1274)*(E1275=E$1:E1274)))))</f>
        <v/>
      </c>
      <c r="L1275" s="31"/>
    </row>
    <row r="1276" customFormat="false" ht="15" hidden="false" customHeight="false" outlineLevel="0" collapsed="false">
      <c r="A1276" s="20" t="s">
        <v>1621</v>
      </c>
      <c r="E1276" s="23" t="str">
        <f aca="false">IF(D1276="?OLD","!!!","")</f>
        <v/>
      </c>
      <c r="F1276" s="25" t="str">
        <f aca="false">IF(OR(E1276="",E1276="!!!"),"",IF(NOT(ISNA(VLOOKUP(E1276,E$1:E1275,1,FALSE()))),"OLD",IF(AND(E1276&lt;&gt;"",E1276&lt;&gt;"!!!"),"NEW","")))</f>
        <v/>
      </c>
      <c r="G1276" s="26" t="str">
        <f aca="false">IF(OR(E1276="",E1276="!!!"),"",IF(OR(J1276=0,AND(J1276=1,K1276=1),AND(J1276=1,I1276="SBJ"),AND(J1276=1,I1276=0)),"?IN_FOCUS",IF(J1276&lt;=2,"?ACTIVATED",IF(J1276&lt;&gt;"","?FAMILIAR",IF(F1276="NEW",IF(ISNA(VLOOKUP(E1276,#REF!,1,FALSE())),"?TYPE_IDENTIFIABLE","?REFERENTIAL"),"_")))))</f>
        <v/>
      </c>
      <c r="H1276" s="27" t="str">
        <f aca="false">IF(J1276&lt;&gt;1,"",IF(I1276="SBJ","CB","?"))</f>
        <v/>
      </c>
      <c r="I1276" s="24" t="str">
        <f aca="false">IF(OR(E1276="",E1276="!!!",F1276="NEW"),"",INDEX(B3:B$1274,-1+SUMPRODUCT(MAX(ROW(E3:E$1274)*(E1276=E3:E$1274)))))</f>
        <v/>
      </c>
      <c r="J1276" s="24" t="str">
        <f aca="true">IF(OR(E1276="",E1276="!!!",F1276="NEW"),"",COUNTBLANK(OFFSET(A$1,,,SUMPRODUCT(MAX(ROW(E$2:E1276)*(E1276=E$2:E1276)))))-COUNTBLANK(OFFSET(A$1,,,SUMPRODUCT(MAX(ROW(E$1:E1275)*(E2=E$1:E1275))))))</f>
        <v/>
      </c>
      <c r="K1276" s="24" t="str">
        <f aca="false">IF(OR(E1276="",E1276="!!!",F1276="NEW"),"",INDEX(J$1:J1275,SUMPRODUCT(MAX(ROW(E$1:E1275)*(E1276=E$1:E1275)))))</f>
        <v/>
      </c>
      <c r="L1276" s="31"/>
    </row>
    <row r="1277" customFormat="false" ht="15" hidden="false" customHeight="false" outlineLevel="0" collapsed="false">
      <c r="A1277" s="20" t="s">
        <v>1089</v>
      </c>
      <c r="B1277" s="22" t="s">
        <v>1058</v>
      </c>
      <c r="C1277" s="22" t="s">
        <v>1132</v>
      </c>
      <c r="D1277" s="22" t="s">
        <v>1060</v>
      </c>
      <c r="E1277" s="23" t="str">
        <f aca="false">IF(D1277="?OLD","!!!","")</f>
        <v>!!!</v>
      </c>
      <c r="F1277" s="25" t="str">
        <f aca="false">IF(OR(E1277="",E1277="!!!"),"",IF(NOT(ISNA(VLOOKUP(E1277,E$1:E1276,1,FALSE()))),"OLD",IF(AND(E1277&lt;&gt;"",E1277&lt;&gt;"!!!"),"NEW","")))</f>
        <v/>
      </c>
      <c r="G1277" s="26" t="str">
        <f aca="false">IF(OR(E1277="",E1277="!!!"),"",IF(OR(J1277=0,AND(J1277=1,K1277=1),AND(J1277=1,I1277="SBJ"),AND(J1277=1,I1277=0)),"?IN_FOCUS",IF(J1277&lt;=2,"?ACTIVATED",IF(J1277&lt;&gt;"","?FAMILIAR",IF(F1277="NEW",IF(ISNA(VLOOKUP(E1277,#REF!,1,FALSE())),"?TYPE_IDENTIFIABLE","?REFERENTIAL"),"_")))))</f>
        <v/>
      </c>
      <c r="H1277" s="27" t="str">
        <f aca="false">IF(J1277&lt;&gt;1,"",IF(I1277="SBJ","CB","?"))</f>
        <v/>
      </c>
      <c r="I1277" s="24" t="str">
        <f aca="false">IF(OR(E1277="",E1277="!!!",F1277="NEW"),"",INDEX(B4:B$1274,-1+SUMPRODUCT(MAX(ROW(E4:E$1274)*(E1277=E4:E$1274)))))</f>
        <v/>
      </c>
      <c r="J1277" s="24" t="str">
        <f aca="true">IF(OR(E1277="",E1277="!!!",F1277="NEW"),"",COUNTBLANK(OFFSET(A$1,,,SUMPRODUCT(MAX(ROW(E$2:E1277)*(E1277=E$2:E1277)))))-COUNTBLANK(OFFSET(A$1,,,SUMPRODUCT(MAX(ROW(E$1:E1276)*(E2=E$1:E1276))))))</f>
        <v/>
      </c>
      <c r="K1277" s="24" t="str">
        <f aca="false">IF(OR(E1277="",E1277="!!!",F1277="NEW"),"",INDEX(J$1:J1276,SUMPRODUCT(MAX(ROW(E$1:E1276)*(E1277=E$1:E1276)))))</f>
        <v/>
      </c>
      <c r="L1277" s="31"/>
    </row>
    <row r="1278" customFormat="false" ht="15" hidden="false" customHeight="false" outlineLevel="0" collapsed="false">
      <c r="A1278" s="20" t="s">
        <v>1622</v>
      </c>
      <c r="E1278" s="23" t="str">
        <f aca="false">IF(D1278="?OLD","!!!","")</f>
        <v/>
      </c>
      <c r="F1278" s="25" t="str">
        <f aca="false">IF(OR(E1278="",E1278="!!!"),"",IF(NOT(ISNA(VLOOKUP(E1278,E$1:E1277,1,FALSE()))),"OLD",IF(AND(E1278&lt;&gt;"",E1278&lt;&gt;"!!!"),"NEW","")))</f>
        <v/>
      </c>
      <c r="G1278" s="26" t="str">
        <f aca="false">IF(OR(E1278="",E1278="!!!"),"",IF(OR(J1278=0,AND(J1278=1,K1278=1),AND(J1278=1,I1278="SBJ"),AND(J1278=1,I1278=0)),"?IN_FOCUS",IF(J1278&lt;=2,"?ACTIVATED",IF(J1278&lt;&gt;"","?FAMILIAR",IF(F1278="NEW",IF(ISNA(VLOOKUP(E1278,#REF!,1,FALSE())),"?TYPE_IDENTIFIABLE","?REFERENTIAL"),"_")))))</f>
        <v/>
      </c>
      <c r="H1278" s="27" t="str">
        <f aca="false">IF(J1278&lt;&gt;1,"",IF(I1278="SBJ","CB","?"))</f>
        <v/>
      </c>
      <c r="I1278" s="24" t="str">
        <f aca="false">IF(OR(E1278="",E1278="!!!",F1278="NEW"),"",INDEX(B5:B$1274,-1+SUMPRODUCT(MAX(ROW(E5:E$1274)*(E1278=E5:E$1274)))))</f>
        <v/>
      </c>
      <c r="J1278" s="24" t="str">
        <f aca="true">IF(OR(E1278="",E1278="!!!",F1278="NEW"),"",COUNTBLANK(OFFSET(A$1,,,SUMPRODUCT(MAX(ROW(E$2:E1278)*(E1278=E$2:E1278)))))-COUNTBLANK(OFFSET(A$1,,,SUMPRODUCT(MAX(ROW(E$1:E1277)*(E2=E$1:E1277))))))</f>
        <v/>
      </c>
      <c r="K1278" s="24" t="str">
        <f aca="false">IF(OR(E1278="",E1278="!!!",F1278="NEW"),"",INDEX(J$1:J1277,SUMPRODUCT(MAX(ROW(E$1:E1277)*(E1278=E$1:E1277)))))</f>
        <v/>
      </c>
      <c r="L1278" s="31"/>
    </row>
    <row r="1279" customFormat="false" ht="15" hidden="false" customHeight="false" outlineLevel="0" collapsed="false">
      <c r="A1279" s="20" t="s">
        <v>1307</v>
      </c>
      <c r="E1279" s="23" t="str">
        <f aca="false">IF(D1279="?OLD","!!!","")</f>
        <v/>
      </c>
      <c r="F1279" s="25" t="str">
        <f aca="false">IF(OR(E1279="",E1279="!!!"),"",IF(NOT(ISNA(VLOOKUP(E1279,E$1:E1278,1,FALSE()))),"OLD",IF(AND(E1279&lt;&gt;"",E1279&lt;&gt;"!!!"),"NEW","")))</f>
        <v/>
      </c>
      <c r="G1279" s="26" t="str">
        <f aca="false">IF(OR(E1279="",E1279="!!!"),"",IF(OR(J1279=0,AND(J1279=1,K1279=1),AND(J1279=1,I1279="SBJ"),AND(J1279=1,I1279=0)),"?IN_FOCUS",IF(J1279&lt;=2,"?ACTIVATED",IF(J1279&lt;&gt;"","?FAMILIAR",IF(F1279="NEW",IF(ISNA(VLOOKUP(E1279,#REF!,1,FALSE())),"?TYPE_IDENTIFIABLE","?REFERENTIAL"),"_")))))</f>
        <v/>
      </c>
      <c r="H1279" s="27" t="str">
        <f aca="false">IF(J1279&lt;&gt;1,"",IF(I1279="SBJ","CB","?"))</f>
        <v/>
      </c>
      <c r="I1279" s="24" t="str">
        <f aca="false">IF(OR(E1279="",E1279="!!!",F1279="NEW"),"",INDEX(B6:B$1274,-1+SUMPRODUCT(MAX(ROW(E6:E$1274)*(E1279=E6:E$1274)))))</f>
        <v/>
      </c>
      <c r="J1279" s="24" t="str">
        <f aca="true">IF(OR(E1279="",E1279="!!!",F1279="NEW"),"",COUNTBLANK(OFFSET(A$1,,,SUMPRODUCT(MAX(ROW(E$2:E1279)*(E1279=E$2:E1279)))))-COUNTBLANK(OFFSET(A$1,,,SUMPRODUCT(MAX(ROW(E$1:E1278)*(E2=E$1:E1278))))))</f>
        <v/>
      </c>
      <c r="K1279" s="24" t="str">
        <f aca="false">IF(OR(E1279="",E1279="!!!",F1279="NEW"),"",INDEX(J$1:J1278,SUMPRODUCT(MAX(ROW(E$1:E1278)*(E1279=E$1:E1278)))))</f>
        <v/>
      </c>
      <c r="L1279" s="31"/>
    </row>
    <row r="1280" customFormat="false" ht="15" hidden="false" customHeight="false" outlineLevel="0" collapsed="false">
      <c r="A1280" s="20" t="s">
        <v>607</v>
      </c>
      <c r="E1280" s="23" t="str">
        <f aca="false">IF(D1280="?OLD","!!!","")</f>
        <v/>
      </c>
      <c r="F1280" s="25" t="str">
        <f aca="false">IF(OR(E1280="",E1280="!!!"),"",IF(NOT(ISNA(VLOOKUP(E1280,E$1:E1279,1,FALSE()))),"OLD",IF(AND(E1280&lt;&gt;"",E1280&lt;&gt;"!!!"),"NEW","")))</f>
        <v/>
      </c>
      <c r="G1280" s="26" t="str">
        <f aca="false">IF(OR(E1280="",E1280="!!!"),"",IF(OR(J1280=0,AND(J1280=1,K1280=1),AND(J1280=1,I1280="SBJ"),AND(J1280=1,I1280=0)),"?IN_FOCUS",IF(J1280&lt;=2,"?ACTIVATED",IF(J1280&lt;&gt;"","?FAMILIAR",IF(F1280="NEW",IF(ISNA(VLOOKUP(E1280,#REF!,1,FALSE())),"?TYPE_IDENTIFIABLE","?REFERENTIAL"),"_")))))</f>
        <v/>
      </c>
      <c r="H1280" s="27" t="str">
        <f aca="false">IF(J1280&lt;&gt;1,"",IF(I1280="SBJ","CB","?"))</f>
        <v/>
      </c>
      <c r="I1280" s="24" t="str">
        <f aca="false">IF(OR(E1280="",E1280="!!!",F1280="NEW"),"",INDEX(B7:B$1274,-1+SUMPRODUCT(MAX(ROW(E7:E$1274)*(E1280=E7:E$1274)))))</f>
        <v/>
      </c>
      <c r="J1280" s="24" t="str">
        <f aca="true">IF(OR(E1280="",E1280="!!!",F1280="NEW"),"",COUNTBLANK(OFFSET(A$1,,,SUMPRODUCT(MAX(ROW(E$2:E1280)*(E1280=E$2:E1280)))))-COUNTBLANK(OFFSET(A$1,,,SUMPRODUCT(MAX(ROW(E$1:E1279)*(E2=E$1:E1279))))))</f>
        <v/>
      </c>
      <c r="K1280" s="24" t="str">
        <f aca="false">IF(OR(E1280="",E1280="!!!",F1280="NEW"),"",INDEX(J$1:J1279,SUMPRODUCT(MAX(ROW(E$1:E1279)*(E1280=E$1:E1279)))))</f>
        <v/>
      </c>
      <c r="L1280" s="31"/>
    </row>
    <row r="1281" customFormat="false" ht="15" hidden="false" customHeight="false" outlineLevel="0" collapsed="false">
      <c r="A1281" s="20"/>
    </row>
    <row r="1282" customFormat="false" ht="15" hidden="false" customHeight="false" outlineLevel="0" collapsed="false">
      <c r="A1282" s="20" t="s">
        <v>1301</v>
      </c>
      <c r="E1282" s="23" t="str">
        <f aca="false">IF(D1282="?OLD","!!!","")</f>
        <v/>
      </c>
      <c r="F1282" s="25" t="str">
        <f aca="false">IF(OR(E1282="",E1282="!!!"),"",IF(NOT(ISNA(VLOOKUP(E1282,E$1:E1281,1,FALSE()))),"OLD",IF(AND(E1282&lt;&gt;"",E1282&lt;&gt;"!!!"),"NEW","")))</f>
        <v/>
      </c>
      <c r="G1282" s="26" t="str">
        <f aca="false">IF(OR(E1282="",E1282="!!!"),"",IF(OR(J1282=0,AND(J1282=1,K1282=1),AND(J1282=1,I1282="SBJ"),AND(J1282=1,I1282=0)),"?IN_FOCUS",IF(J1282&lt;=2,"?ACTIVATED",IF(J1282&lt;&gt;"","?FAMILIAR",IF(F1282="NEW",IF(ISNA(VLOOKUP(E1282,#REF!,1,FALSE())),"?TYPE_IDENTIFIABLE","?REFERENTIAL"),"_")))))</f>
        <v/>
      </c>
      <c r="H1282" s="27" t="str">
        <f aca="false">IF(J1282&lt;&gt;1,"",IF(I1282="SBJ","CB","?"))</f>
        <v/>
      </c>
      <c r="I1282" s="24" t="str">
        <f aca="false">IF(OR(E1282="",E1282="!!!",F1282="NEW"),"",INDEX(B2:B$1281,-1+SUMPRODUCT(MAX(ROW(E2:E$1281)*(E1282=E2:E$1281)))))</f>
        <v/>
      </c>
      <c r="J1282" s="24" t="str">
        <f aca="true">IF(OR(E1282="",E1282="!!!",F1282="NEW"),"",COUNTBLANK(OFFSET(A$1,,,SUMPRODUCT(MAX(ROW(E$2:E1282)*(E1282=E$2:E1282)))))-COUNTBLANK(OFFSET(A$1,,,SUMPRODUCT(MAX(ROW(E$1:E1281)*(E2=E$1:E1281))))))</f>
        <v/>
      </c>
      <c r="K1282" s="24" t="str">
        <f aca="false">IF(OR(E1282="",E1282="!!!",F1282="NEW"),"",INDEX(J$1:J1281,SUMPRODUCT(MAX(ROW(E$1:E1281)*(E1282=E$1:E1281)))))</f>
        <v/>
      </c>
      <c r="L1282" s="31"/>
    </row>
    <row r="1283" customFormat="false" ht="15" hidden="false" customHeight="false" outlineLevel="0" collapsed="false">
      <c r="A1283" s="20" t="s">
        <v>1623</v>
      </c>
    </row>
    <row r="1284" customFormat="false" ht="15" hidden="false" customHeight="false" outlineLevel="0" collapsed="false">
      <c r="A1284" s="20" t="s">
        <v>607</v>
      </c>
      <c r="E1284" s="23" t="str">
        <f aca="false">IF(D1284="?OLD","!!!","")</f>
        <v/>
      </c>
      <c r="F1284" s="25" t="str">
        <f aca="false">IF(OR(E1284="",E1284="!!!"),"",IF(NOT(ISNA(VLOOKUP(E1284,E$1:E1283,1,FALSE()))),"OLD",IF(AND(E1284&lt;&gt;"",E1284&lt;&gt;"!!!"),"NEW","")))</f>
        <v/>
      </c>
      <c r="G1284" s="26" t="str">
        <f aca="false">IF(OR(E1284="",E1284="!!!"),"",IF(OR(J1284=0,AND(J1284=1,K1284=1),AND(J1284=1,I1284="SBJ"),AND(J1284=1,I1284=0)),"?IN_FOCUS",IF(J1284&lt;=2,"?ACTIVATED",IF(J1284&lt;&gt;"","?FAMILIAR",IF(F1284="NEW",IF(ISNA(VLOOKUP(E1284,#REF!,1,FALSE())),"?TYPE_IDENTIFIABLE","?REFERENTIAL"),"_")))))</f>
        <v/>
      </c>
      <c r="H1284" s="27" t="str">
        <f aca="false">IF(J1284&lt;&gt;1,"",IF(I1284="SBJ","CB","?"))</f>
        <v/>
      </c>
      <c r="I1284" s="24" t="str">
        <f aca="false">IF(OR(E1284="",E1284="!!!",F1284="NEW"),"",INDEX(B2:B$1283,-1+SUMPRODUCT(MAX(ROW(E2:E$1283)*(E1284=E2:E$1283)))))</f>
        <v/>
      </c>
      <c r="J1284" s="24" t="str">
        <f aca="true">IF(OR(E1284="",E1284="!!!",F1284="NEW"),"",COUNTBLANK(OFFSET(A$1,,,SUMPRODUCT(MAX(ROW(E$2:E1284)*(E1284=E$2:E1284)))))-COUNTBLANK(OFFSET(A$1,,,SUMPRODUCT(MAX(ROW(E$1:E1283)*(E2=E$1:E1283))))))</f>
        <v/>
      </c>
      <c r="K1284" s="24" t="str">
        <f aca="false">IF(OR(E1284="",E1284="!!!",F1284="NEW"),"",INDEX(J$1:J1283,SUMPRODUCT(MAX(ROW(E$1:E1283)*(E1284=E$1:E1283)))))</f>
        <v/>
      </c>
      <c r="L1284" s="31"/>
    </row>
    <row r="1285" customFormat="false" ht="15" hidden="false" customHeight="false" outlineLevel="0" collapsed="false">
      <c r="A1285" s="20" t="s">
        <v>1624</v>
      </c>
      <c r="E1285" s="23" t="str">
        <f aca="false">IF(D1285="?OLD","!!!","")</f>
        <v/>
      </c>
      <c r="F1285" s="25" t="str">
        <f aca="false">IF(OR(E1285="",E1285="!!!"),"",IF(NOT(ISNA(VLOOKUP(E1285,E$1:E1284,1,FALSE()))),"OLD",IF(AND(E1285&lt;&gt;"",E1285&lt;&gt;"!!!"),"NEW","")))</f>
        <v/>
      </c>
      <c r="G1285" s="26" t="str">
        <f aca="false">IF(OR(E1285="",E1285="!!!"),"",IF(OR(J1285=0,AND(J1285=1,K1285=1),AND(J1285=1,I1285="SBJ"),AND(J1285=1,I1285=0)),"?IN_FOCUS",IF(J1285&lt;=2,"?ACTIVATED",IF(J1285&lt;&gt;"","?FAMILIAR",IF(F1285="NEW",IF(ISNA(VLOOKUP(E1285,#REF!,1,FALSE())),"?TYPE_IDENTIFIABLE","?REFERENTIAL"),"_")))))</f>
        <v/>
      </c>
      <c r="H1285" s="27" t="str">
        <f aca="false">IF(J1285&lt;&gt;1,"",IF(I1285="SBJ","CB","?"))</f>
        <v/>
      </c>
      <c r="I1285" s="24" t="str">
        <f aca="false">IF(OR(E1285="",E1285="!!!",F1285="NEW"),"",INDEX(B3:B$1283,-1+SUMPRODUCT(MAX(ROW(E3:E$1283)*(E1285=E3:E$1283)))))</f>
        <v/>
      </c>
      <c r="J1285" s="24" t="str">
        <f aca="true">IF(OR(E1285="",E1285="!!!",F1285="NEW"),"",COUNTBLANK(OFFSET(A$1,,,SUMPRODUCT(MAX(ROW(E$2:E1285)*(E1285=E$2:E1285)))))-COUNTBLANK(OFFSET(A$1,,,SUMPRODUCT(MAX(ROW(E$1:E1284)*(E2=E$1:E1284))))))</f>
        <v/>
      </c>
      <c r="K1285" s="24" t="str">
        <f aca="false">IF(OR(E1285="",E1285="!!!",F1285="NEW"),"",INDEX(J$1:J1284,SUMPRODUCT(MAX(ROW(E$1:E1284)*(E1285=E$1:E1284)))))</f>
        <v/>
      </c>
      <c r="L1285" s="31"/>
    </row>
    <row r="1286" customFormat="false" ht="15" hidden="false" customHeight="false" outlineLevel="0" collapsed="false">
      <c r="A1286" s="20" t="s">
        <v>1622</v>
      </c>
      <c r="E1286" s="23" t="str">
        <f aca="false">IF(D1286="?OLD","!!!","")</f>
        <v/>
      </c>
      <c r="F1286" s="25" t="str">
        <f aca="false">IF(OR(E1286="",E1286="!!!"),"",IF(NOT(ISNA(VLOOKUP(E1286,E$1:E1285,1,FALSE()))),"OLD",IF(AND(E1286&lt;&gt;"",E1286&lt;&gt;"!!!"),"NEW","")))</f>
        <v/>
      </c>
      <c r="G1286" s="26" t="str">
        <f aca="false">IF(OR(E1286="",E1286="!!!"),"",IF(OR(J1286=0,AND(J1286=1,K1286=1),AND(J1286=1,I1286="SBJ"),AND(J1286=1,I1286=0)),"?IN_FOCUS",IF(J1286&lt;=2,"?ACTIVATED",IF(J1286&lt;&gt;"","?FAMILIAR",IF(F1286="NEW",IF(ISNA(VLOOKUP(E1286,#REF!,1,FALSE())),"?TYPE_IDENTIFIABLE","?REFERENTIAL"),"_")))))</f>
        <v/>
      </c>
      <c r="H1286" s="27" t="str">
        <f aca="false">IF(J1286&lt;&gt;1,"",IF(I1286="SBJ","CB","?"))</f>
        <v/>
      </c>
      <c r="I1286" s="24" t="str">
        <f aca="false">IF(OR(E1286="",E1286="!!!",F1286="NEW"),"",INDEX(B4:B$1283,-1+SUMPRODUCT(MAX(ROW(E4:E$1283)*(E1286=E4:E$1283)))))</f>
        <v/>
      </c>
      <c r="J1286" s="24" t="str">
        <f aca="true">IF(OR(E1286="",E1286="!!!",F1286="NEW"),"",COUNTBLANK(OFFSET(A$1,,,SUMPRODUCT(MAX(ROW(E$2:E1286)*(E1286=E$2:E1286)))))-COUNTBLANK(OFFSET(A$1,,,SUMPRODUCT(MAX(ROW(E$1:E1285)*(E2=E$1:E1285))))))</f>
        <v/>
      </c>
      <c r="K1286" s="24" t="str">
        <f aca="false">IF(OR(E1286="",E1286="!!!",F1286="NEW"),"",INDEX(J$1:J1285,SUMPRODUCT(MAX(ROW(E$1:E1285)*(E1286=E$1:E1285)))))</f>
        <v/>
      </c>
      <c r="L1286" s="31"/>
    </row>
    <row r="1287" customFormat="false" ht="15" hidden="false" customHeight="false" outlineLevel="0" collapsed="false">
      <c r="A1287" s="20" t="s">
        <v>1076</v>
      </c>
      <c r="E1287" s="23" t="str">
        <f aca="false">IF(D1287="?OLD","!!!","")</f>
        <v/>
      </c>
      <c r="F1287" s="25" t="str">
        <f aca="false">IF(OR(E1287="",E1287="!!!"),"",IF(NOT(ISNA(VLOOKUP(E1287,E$1:E1286,1,FALSE()))),"OLD",IF(AND(E1287&lt;&gt;"",E1287&lt;&gt;"!!!"),"NEW","")))</f>
        <v/>
      </c>
      <c r="G1287" s="26" t="str">
        <f aca="false">IF(OR(E1287="",E1287="!!!"),"",IF(OR(J1287=0,AND(J1287=1,K1287=1),AND(J1287=1,I1287="SBJ"),AND(J1287=1,I1287=0)),"?IN_FOCUS",IF(J1287&lt;=2,"?ACTIVATED",IF(J1287&lt;&gt;"","?FAMILIAR",IF(F1287="NEW",IF(ISNA(VLOOKUP(E1287,#REF!,1,FALSE())),"?TYPE_IDENTIFIABLE","?REFERENTIAL"),"_")))))</f>
        <v/>
      </c>
      <c r="H1287" s="27" t="str">
        <f aca="false">IF(J1287&lt;&gt;1,"",IF(I1287="SBJ","CB","?"))</f>
        <v/>
      </c>
      <c r="I1287" s="24" t="str">
        <f aca="false">IF(OR(E1287="",E1287="!!!",F1287="NEW"),"",INDEX(B5:B$1283,-1+SUMPRODUCT(MAX(ROW(E5:E$1283)*(E1287=E5:E$1283)))))</f>
        <v/>
      </c>
      <c r="J1287" s="24" t="str">
        <f aca="true">IF(OR(E1287="",E1287="!!!",F1287="NEW"),"",COUNTBLANK(OFFSET(A$1,,,SUMPRODUCT(MAX(ROW(E$2:E1287)*(E1287=E$2:E1287)))))-COUNTBLANK(OFFSET(A$1,,,SUMPRODUCT(MAX(ROW(E$1:E1286)*(E2=E$1:E1286))))))</f>
        <v/>
      </c>
      <c r="K1287" s="24" t="str">
        <f aca="false">IF(OR(E1287="",E1287="!!!",F1287="NEW"),"",INDEX(J$1:J1286,SUMPRODUCT(MAX(ROW(E$1:E1286)*(E1287=E$1:E1286)))))</f>
        <v/>
      </c>
      <c r="L1287" s="31"/>
    </row>
    <row r="1288" customFormat="false" ht="15" hidden="false" customHeight="false" outlineLevel="0" collapsed="false">
      <c r="A1288" s="20" t="s">
        <v>1077</v>
      </c>
      <c r="E1288" s="23" t="str">
        <f aca="false">IF(D1288="?OLD","!!!","")</f>
        <v/>
      </c>
      <c r="F1288" s="25" t="str">
        <f aca="false">IF(OR(E1288="",E1288="!!!"),"",IF(NOT(ISNA(VLOOKUP(E1288,E$1:E1287,1,FALSE()))),"OLD",IF(AND(E1288&lt;&gt;"",E1288&lt;&gt;"!!!"),"NEW","")))</f>
        <v/>
      </c>
      <c r="G1288" s="26" t="str">
        <f aca="false">IF(OR(E1288="",E1288="!!!"),"",IF(OR(J1288=0,AND(J1288=1,K1288=1),AND(J1288=1,I1288="SBJ"),AND(J1288=1,I1288=0)),"?IN_FOCUS",IF(J1288&lt;=2,"?ACTIVATED",IF(J1288&lt;&gt;"","?FAMILIAR",IF(F1288="NEW",IF(ISNA(VLOOKUP(E1288,#REF!,1,FALSE())),"?TYPE_IDENTIFIABLE","?REFERENTIAL"),"_")))))</f>
        <v/>
      </c>
      <c r="H1288" s="27" t="str">
        <f aca="false">IF(J1288&lt;&gt;1,"",IF(I1288="SBJ","CB","?"))</f>
        <v/>
      </c>
      <c r="I1288" s="24" t="str">
        <f aca="false">IF(OR(E1288="",E1288="!!!",F1288="NEW"),"",INDEX(B6:B$1283,-1+SUMPRODUCT(MAX(ROW(E6:E$1283)*(E1288=E6:E$1283)))))</f>
        <v/>
      </c>
      <c r="J1288" s="24" t="str">
        <f aca="true">IF(OR(E1288="",E1288="!!!",F1288="NEW"),"",COUNTBLANK(OFFSET(A$1,,,SUMPRODUCT(MAX(ROW(E$2:E1288)*(E1288=E$2:E1288)))))-COUNTBLANK(OFFSET(A$1,,,SUMPRODUCT(MAX(ROW(E$1:E1287)*(E2=E$1:E1287))))))</f>
        <v/>
      </c>
      <c r="K1288" s="24" t="str">
        <f aca="false">IF(OR(E1288="",E1288="!!!",F1288="NEW"),"",INDEX(J$1:J1287,SUMPRODUCT(MAX(ROW(E$1:E1287)*(E1288=E$1:E1287)))))</f>
        <v/>
      </c>
      <c r="L1288" s="31"/>
    </row>
    <row r="1289" customFormat="false" ht="15" hidden="false" customHeight="false" outlineLevel="0" collapsed="false">
      <c r="A1289" s="20" t="s">
        <v>1625</v>
      </c>
      <c r="E1289" s="23" t="str">
        <f aca="false">IF(D1289="?OLD","!!!","")</f>
        <v/>
      </c>
      <c r="F1289" s="25" t="str">
        <f aca="false">IF(OR(E1289="",E1289="!!!"),"",IF(NOT(ISNA(VLOOKUP(E1289,E$1:E1288,1,FALSE()))),"OLD",IF(AND(E1289&lt;&gt;"",E1289&lt;&gt;"!!!"),"NEW","")))</f>
        <v/>
      </c>
      <c r="G1289" s="26" t="str">
        <f aca="false">IF(OR(E1289="",E1289="!!!"),"",IF(OR(J1289=0,AND(J1289=1,K1289=1),AND(J1289=1,I1289="SBJ"),AND(J1289=1,I1289=0)),"?IN_FOCUS",IF(J1289&lt;=2,"?ACTIVATED",IF(J1289&lt;&gt;"","?FAMILIAR",IF(F1289="NEW",IF(ISNA(VLOOKUP(E1289,#REF!,1,FALSE())),"?TYPE_IDENTIFIABLE","?REFERENTIAL"),"_")))))</f>
        <v/>
      </c>
      <c r="H1289" s="27" t="str">
        <f aca="false">IF(J1289&lt;&gt;1,"",IF(I1289="SBJ","CB","?"))</f>
        <v/>
      </c>
      <c r="I1289" s="24" t="str">
        <f aca="false">IF(OR(E1289="",E1289="!!!",F1289="NEW"),"",INDEX(B7:B$1283,-1+SUMPRODUCT(MAX(ROW(E7:E$1283)*(E1289=E7:E$1283)))))</f>
        <v/>
      </c>
      <c r="J1289" s="24" t="str">
        <f aca="true">IF(OR(E1289="",E1289="!!!",F1289="NEW"),"",COUNTBLANK(OFFSET(A$1,,,SUMPRODUCT(MAX(ROW(E$2:E1289)*(E1289=E$2:E1289)))))-COUNTBLANK(OFFSET(A$1,,,SUMPRODUCT(MAX(ROW(E$1:E1288)*(E2=E$1:E1288))))))</f>
        <v/>
      </c>
      <c r="K1289" s="24" t="str">
        <f aca="false">IF(OR(E1289="",E1289="!!!",F1289="NEW"),"",INDEX(J$1:J1288,SUMPRODUCT(MAX(ROW(E$1:E1288)*(E1289=E$1:E1288)))))</f>
        <v/>
      </c>
      <c r="L1289" s="31"/>
    </row>
    <row r="1290" customFormat="false" ht="15" hidden="false" customHeight="false" outlineLevel="0" collapsed="false">
      <c r="A1290" s="20" t="s">
        <v>1078</v>
      </c>
      <c r="E1290" s="23" t="str">
        <f aca="false">IF(D1290="?OLD","!!!","")</f>
        <v/>
      </c>
      <c r="F1290" s="25" t="str">
        <f aca="false">IF(OR(E1290="",E1290="!!!"),"",IF(NOT(ISNA(VLOOKUP(E1290,E$1:E1289,1,FALSE()))),"OLD",IF(AND(E1290&lt;&gt;"",E1290&lt;&gt;"!!!"),"NEW","")))</f>
        <v/>
      </c>
      <c r="G1290" s="26" t="str">
        <f aca="false">IF(OR(E1290="",E1290="!!!"),"",IF(OR(J1290=0,AND(J1290=1,K1290=1),AND(J1290=1,I1290="SBJ"),AND(J1290=1,I1290=0)),"?IN_FOCUS",IF(J1290&lt;=2,"?ACTIVATED",IF(J1290&lt;&gt;"","?FAMILIAR",IF(F1290="NEW",IF(ISNA(VLOOKUP(E1290,#REF!,1,FALSE())),"?TYPE_IDENTIFIABLE","?REFERENTIAL"),"_")))))</f>
        <v/>
      </c>
      <c r="H1290" s="27" t="str">
        <f aca="false">IF(J1290&lt;&gt;1,"",IF(I1290="SBJ","CB","?"))</f>
        <v/>
      </c>
      <c r="I1290" s="24" t="str">
        <f aca="false">IF(OR(E1290="",E1290="!!!",F1290="NEW"),"",INDEX(B8:B$1283,-1+SUMPRODUCT(MAX(ROW(E8:E$1283)*(E1290=E8:E$1283)))))</f>
        <v/>
      </c>
      <c r="J1290" s="24" t="str">
        <f aca="true">IF(OR(E1290="",E1290="!!!",F1290="NEW"),"",COUNTBLANK(OFFSET(A$1,,,SUMPRODUCT(MAX(ROW(E$2:E1290)*(E1290=E$2:E1290)))))-COUNTBLANK(OFFSET(A$1,,,SUMPRODUCT(MAX(ROW(E$1:E1289)*(E2=E$1:E1289))))))</f>
        <v/>
      </c>
      <c r="K1290" s="24" t="str">
        <f aca="false">IF(OR(E1290="",E1290="!!!",F1290="NEW"),"",INDEX(J$1:J1289,SUMPRODUCT(MAX(ROW(E$1:E1289)*(E1290=E$1:E1289)))))</f>
        <v/>
      </c>
      <c r="L1290" s="31"/>
    </row>
    <row r="1291" customFormat="false" ht="15" hidden="false" customHeight="false" outlineLevel="0" collapsed="false">
      <c r="A1291" s="20" t="s">
        <v>267</v>
      </c>
      <c r="B1291" s="22" t="s">
        <v>1105</v>
      </c>
      <c r="C1291" s="22" t="s">
        <v>1626</v>
      </c>
      <c r="D1291" s="22" t="s">
        <v>1060</v>
      </c>
      <c r="E1291" s="23" t="str">
        <f aca="false">IF(D1291="?OLD","!!!","")</f>
        <v>!!!</v>
      </c>
      <c r="F1291" s="25" t="str">
        <f aca="false">IF(OR(E1291="",E1291="!!!"),"",IF(NOT(ISNA(VLOOKUP(E1291,E$1:E1290,1,FALSE()))),"OLD",IF(AND(E1291&lt;&gt;"",E1291&lt;&gt;"!!!"),"NEW","")))</f>
        <v/>
      </c>
      <c r="G1291" s="26" t="str">
        <f aca="false">IF(OR(E1291="",E1291="!!!"),"",IF(OR(J1291=0,AND(J1291=1,K1291=1),AND(J1291=1,I1291="SBJ"),AND(J1291=1,I1291=0)),"?IN_FOCUS",IF(J1291&lt;=2,"?ACTIVATED",IF(J1291&lt;&gt;"","?FAMILIAR",IF(F1291="NEW",IF(ISNA(VLOOKUP(E1291,#REF!,1,FALSE())),"?TYPE_IDENTIFIABLE","?REFERENTIAL"),"_")))))</f>
        <v/>
      </c>
      <c r="H1291" s="27" t="str">
        <f aca="false">IF(J1291&lt;&gt;1,"",IF(I1291="SBJ","CB","?"))</f>
        <v/>
      </c>
      <c r="I1291" s="24" t="str">
        <f aca="false">IF(OR(E1291="",E1291="!!!",F1291="NEW"),"",INDEX(B9:B$1283,-1+SUMPRODUCT(MAX(ROW(E9:E$1283)*(E1291=E9:E$1283)))))</f>
        <v/>
      </c>
      <c r="J1291" s="24" t="str">
        <f aca="true">IF(OR(E1291="",E1291="!!!",F1291="NEW"),"",COUNTBLANK(OFFSET(A$1,,,SUMPRODUCT(MAX(ROW(E$2:E1291)*(E1291=E$2:E1291)))))-COUNTBLANK(OFFSET(A$1,,,SUMPRODUCT(MAX(ROW(E$1:E1290)*(E2=E$1:E1290))))))</f>
        <v/>
      </c>
      <c r="K1291" s="24" t="str">
        <f aca="false">IF(OR(E1291="",E1291="!!!",F1291="NEW"),"",INDEX(J$1:J1290,SUMPRODUCT(MAX(ROW(E$1:E1290)*(E1291=E$1:E1290)))))</f>
        <v/>
      </c>
      <c r="L1291" s="31"/>
    </row>
    <row r="1292" customFormat="false" ht="15" hidden="false" customHeight="false" outlineLevel="0" collapsed="false">
      <c r="A1292" s="20" t="s">
        <v>1218</v>
      </c>
      <c r="E1292" s="23" t="str">
        <f aca="false">IF(D1292="?OLD","!!!","")</f>
        <v/>
      </c>
      <c r="F1292" s="25" t="str">
        <f aca="false">IF(OR(E1292="",E1292="!!!"),"",IF(NOT(ISNA(VLOOKUP(E1292,E$1:E1291,1,FALSE()))),"OLD",IF(AND(E1292&lt;&gt;"",E1292&lt;&gt;"!!!"),"NEW","")))</f>
        <v/>
      </c>
      <c r="G1292" s="26" t="str">
        <f aca="false">IF(OR(E1292="",E1292="!!!"),"",IF(OR(J1292=0,AND(J1292=1,K1292=1),AND(J1292=1,I1292="SBJ"),AND(J1292=1,I1292=0)),"?IN_FOCUS",IF(J1292&lt;=2,"?ACTIVATED",IF(J1292&lt;&gt;"","?FAMILIAR",IF(F1292="NEW",IF(ISNA(VLOOKUP(E1292,#REF!,1,FALSE())),"?TYPE_IDENTIFIABLE","?REFERENTIAL"),"_")))))</f>
        <v/>
      </c>
      <c r="H1292" s="27" t="str">
        <f aca="false">IF(J1292&lt;&gt;1,"",IF(I1292="SBJ","CB","?"))</f>
        <v/>
      </c>
      <c r="I1292" s="24" t="str">
        <f aca="false">IF(OR(E1292="",E1292="!!!",F1292="NEW"),"",INDEX(B10:B$1283,-1+SUMPRODUCT(MAX(ROW(E10:E$1283)*(E1292=E10:E$1283)))))</f>
        <v/>
      </c>
      <c r="J1292" s="24" t="str">
        <f aca="true">IF(OR(E1292="",E1292="!!!",F1292="NEW"),"",COUNTBLANK(OFFSET(A$1,,,SUMPRODUCT(MAX(ROW(E$2:E1292)*(E1292=E$2:E1292)))))-COUNTBLANK(OFFSET(A$1,,,SUMPRODUCT(MAX(ROW(E$1:E1291)*(E2=E$1:E1291))))))</f>
        <v/>
      </c>
      <c r="K1292" s="24" t="str">
        <f aca="false">IF(OR(E1292="",E1292="!!!",F1292="NEW"),"",INDEX(J$1:J1291,SUMPRODUCT(MAX(ROW(E$1:E1291)*(E1292=E$1:E1291)))))</f>
        <v/>
      </c>
      <c r="L1292" s="31"/>
    </row>
    <row r="1293" customFormat="false" ht="15" hidden="false" customHeight="false" outlineLevel="0" collapsed="false">
      <c r="A1293" s="20" t="s">
        <v>1627</v>
      </c>
      <c r="B1293" s="22" t="s">
        <v>1105</v>
      </c>
      <c r="C1293" s="22" t="s">
        <v>1160</v>
      </c>
      <c r="E1293" s="23" t="str">
        <f aca="false">IF(D1293="?OLD","!!!","")</f>
        <v/>
      </c>
      <c r="F1293" s="25" t="str">
        <f aca="false">IF(OR(E1293="",E1293="!!!"),"",IF(NOT(ISNA(VLOOKUP(E1293,E$1:E1292,1,FALSE()))),"OLD",IF(AND(E1293&lt;&gt;"",E1293&lt;&gt;"!!!"),"NEW","")))</f>
        <v/>
      </c>
      <c r="G1293" s="26" t="str">
        <f aca="false">IF(OR(E1293="",E1293="!!!"),"",IF(OR(J1293=0,AND(J1293=1,K1293=1),AND(J1293=1,I1293="SBJ"),AND(J1293=1,I1293=0)),"?IN_FOCUS",IF(J1293&lt;=2,"?ACTIVATED",IF(J1293&lt;&gt;"","?FAMILIAR",IF(F1293="NEW",IF(ISNA(VLOOKUP(E1293,#REF!,1,FALSE())),"?TYPE_IDENTIFIABLE","?REFERENTIAL"),"_")))))</f>
        <v/>
      </c>
      <c r="H1293" s="27" t="str">
        <f aca="false">IF(J1293&lt;&gt;1,"",IF(I1293="SBJ","CB","?"))</f>
        <v/>
      </c>
      <c r="I1293" s="24" t="str">
        <f aca="false">IF(OR(E1293="",E1293="!!!",F1293="NEW"),"",INDEX(B11:B$1283,-1+SUMPRODUCT(MAX(ROW(E11:E$1283)*(E1293=E11:E$1283)))))</f>
        <v/>
      </c>
      <c r="J1293" s="24" t="str">
        <f aca="true">IF(OR(E1293="",E1293="!!!",F1293="NEW"),"",COUNTBLANK(OFFSET(A$1,,,SUMPRODUCT(MAX(ROW(E$2:E1293)*(E1293=E$2:E1293)))))-COUNTBLANK(OFFSET(A$1,,,SUMPRODUCT(MAX(ROW(E$1:E1292)*(E2=E$1:E1292))))))</f>
        <v/>
      </c>
      <c r="K1293" s="24" t="str">
        <f aca="false">IF(OR(E1293="",E1293="!!!",F1293="NEW"),"",INDEX(J$1:J1292,SUMPRODUCT(MAX(ROW(E$1:E1292)*(E1293=E$1:E1292)))))</f>
        <v/>
      </c>
      <c r="L1293" s="31"/>
    </row>
    <row r="1294" customFormat="false" ht="15" hidden="false" customHeight="false" outlineLevel="0" collapsed="false">
      <c r="A1294" s="20" t="s">
        <v>1125</v>
      </c>
      <c r="B1294" s="22" t="s">
        <v>1086</v>
      </c>
      <c r="E1294" s="23" t="str">
        <f aca="false">IF(D1294="?OLD","!!!","")</f>
        <v/>
      </c>
      <c r="F1294" s="25" t="str">
        <f aca="false">IF(OR(E1294="",E1294="!!!"),"",IF(NOT(ISNA(VLOOKUP(E1294,E$1:E1293,1,FALSE()))),"OLD",IF(AND(E1294&lt;&gt;"",E1294&lt;&gt;"!!!"),"NEW","")))</f>
        <v/>
      </c>
      <c r="G1294" s="26" t="str">
        <f aca="false">IF(OR(E1294="",E1294="!!!"),"",IF(OR(J1294=0,AND(J1294=1,K1294=1),AND(J1294=1,I1294="SBJ"),AND(J1294=1,I1294=0)),"?IN_FOCUS",IF(J1294&lt;=2,"?ACTIVATED",IF(J1294&lt;&gt;"","?FAMILIAR",IF(F1294="NEW",IF(ISNA(VLOOKUP(E1294,#REF!,1,FALSE())),"?TYPE_IDENTIFIABLE","?REFERENTIAL"),"_")))))</f>
        <v/>
      </c>
      <c r="H1294" s="27" t="str">
        <f aca="false">IF(J1294&lt;&gt;1,"",IF(I1294="SBJ","CB","?"))</f>
        <v/>
      </c>
      <c r="I1294" s="24" t="str">
        <f aca="false">IF(OR(E1294="",E1294="!!!",F1294="NEW"),"",INDEX(B12:B$1283,-1+SUMPRODUCT(MAX(ROW(E12:E$1283)*(E1294=E12:E$1283)))))</f>
        <v/>
      </c>
      <c r="J1294" s="24" t="str">
        <f aca="true">IF(OR(E1294="",E1294="!!!",F1294="NEW"),"",COUNTBLANK(OFFSET(A$1,,,SUMPRODUCT(MAX(ROW(E$2:E1294)*(E1294=E$2:E1294)))))-COUNTBLANK(OFFSET(A$1,,,SUMPRODUCT(MAX(ROW(E$1:E1293)*(E2=E$1:E1293))))))</f>
        <v/>
      </c>
      <c r="K1294" s="24" t="str">
        <f aca="false">IF(OR(E1294="",E1294="!!!",F1294="NEW"),"",INDEX(J$1:J1293,SUMPRODUCT(MAX(ROW(E$1:E1293)*(E1294=E$1:E1293)))))</f>
        <v/>
      </c>
      <c r="L1294" s="31"/>
    </row>
    <row r="1295" customFormat="false" ht="15" hidden="false" customHeight="false" outlineLevel="0" collapsed="false">
      <c r="A1295" s="20" t="s">
        <v>1198</v>
      </c>
      <c r="E1295" s="23" t="str">
        <f aca="false">IF(D1295="?OLD","!!!","")</f>
        <v/>
      </c>
      <c r="F1295" s="25" t="str">
        <f aca="false">IF(OR(E1295="",E1295="!!!"),"",IF(NOT(ISNA(VLOOKUP(E1295,E$1:E1294,1,FALSE()))),"OLD",IF(AND(E1295&lt;&gt;"",E1295&lt;&gt;"!!!"),"NEW","")))</f>
        <v/>
      </c>
      <c r="G1295" s="26" t="str">
        <f aca="false">IF(OR(E1295="",E1295="!!!"),"",IF(OR(J1295=0,AND(J1295=1,K1295=1),AND(J1295=1,I1295="SBJ"),AND(J1295=1,I1295=0)),"?IN_FOCUS",IF(J1295&lt;=2,"?ACTIVATED",IF(J1295&lt;&gt;"","?FAMILIAR",IF(F1295="NEW",IF(ISNA(VLOOKUP(E1295,#REF!,1,FALSE())),"?TYPE_IDENTIFIABLE","?REFERENTIAL"),"_")))))</f>
        <v/>
      </c>
      <c r="H1295" s="27" t="str">
        <f aca="false">IF(J1295&lt;&gt;1,"",IF(I1295="SBJ","CB","?"))</f>
        <v/>
      </c>
      <c r="I1295" s="24" t="str">
        <f aca="false">IF(OR(E1295="",E1295="!!!",F1295="NEW"),"",INDEX(B13:B$1283,-1+SUMPRODUCT(MAX(ROW(E13:E$1283)*(E1295=E13:E$1283)))))</f>
        <v/>
      </c>
      <c r="J1295" s="24" t="str">
        <f aca="true">IF(OR(E1295="",E1295="!!!",F1295="NEW"),"",COUNTBLANK(OFFSET(A$1,,,SUMPRODUCT(MAX(ROW(E$2:E1295)*(E1295=E$2:E1295)))))-COUNTBLANK(OFFSET(A$1,,,SUMPRODUCT(MAX(ROW(E$1:E1294)*(E2=E$1:E1294))))))</f>
        <v/>
      </c>
      <c r="K1295" s="24" t="str">
        <f aca="false">IF(OR(E1295="",E1295="!!!",F1295="NEW"),"",INDEX(J$1:J1294,SUMPRODUCT(MAX(ROW(E$1:E1294)*(E1295=E$1:E1294)))))</f>
        <v/>
      </c>
      <c r="L1295" s="31"/>
    </row>
    <row r="1296" customFormat="false" ht="15" hidden="false" customHeight="false" outlineLevel="0" collapsed="false">
      <c r="A1296" s="20" t="s">
        <v>576</v>
      </c>
      <c r="E1296" s="23" t="str">
        <f aca="false">IF(D1296="?OLD","!!!","")</f>
        <v/>
      </c>
      <c r="F1296" s="25" t="str">
        <f aca="false">IF(OR(E1296="",E1296="!!!"),"",IF(NOT(ISNA(VLOOKUP(E1296,E$1:E1295,1,FALSE()))),"OLD",IF(AND(E1296&lt;&gt;"",E1296&lt;&gt;"!!!"),"NEW","")))</f>
        <v/>
      </c>
      <c r="G1296" s="26" t="str">
        <f aca="false">IF(OR(E1296="",E1296="!!!"),"",IF(OR(J1296=0,AND(J1296=1,K1296=1),AND(J1296=1,I1296="SBJ"),AND(J1296=1,I1296=0)),"?IN_FOCUS",IF(J1296&lt;=2,"?ACTIVATED",IF(J1296&lt;&gt;"","?FAMILIAR",IF(F1296="NEW",IF(ISNA(VLOOKUP(E1296,#REF!,1,FALSE())),"?TYPE_IDENTIFIABLE","?REFERENTIAL"),"_")))))</f>
        <v/>
      </c>
      <c r="H1296" s="27" t="str">
        <f aca="false">IF(J1296&lt;&gt;1,"",IF(I1296="SBJ","CB","?"))</f>
        <v/>
      </c>
      <c r="I1296" s="24" t="str">
        <f aca="false">IF(OR(E1296="",E1296="!!!",F1296="NEW"),"",INDEX(B14:B$1283,-1+SUMPRODUCT(MAX(ROW(E14:E$1283)*(E1296=E14:E$1283)))))</f>
        <v/>
      </c>
      <c r="J1296" s="24" t="str">
        <f aca="true">IF(OR(E1296="",E1296="!!!",F1296="NEW"),"",COUNTBLANK(OFFSET(A$1,,,SUMPRODUCT(MAX(ROW(E$2:E1296)*(E1296=E$2:E1296)))))-COUNTBLANK(OFFSET(A$1,,,SUMPRODUCT(MAX(ROW(E$1:E1295)*(E2=E$1:E1295))))))</f>
        <v/>
      </c>
      <c r="K1296" s="24" t="str">
        <f aca="false">IF(OR(E1296="",E1296="!!!",F1296="NEW"),"",INDEX(J$1:J1295,SUMPRODUCT(MAX(ROW(E$1:E1295)*(E1296=E$1:E1295)))))</f>
        <v/>
      </c>
      <c r="L1296" s="31"/>
    </row>
    <row r="1297" customFormat="false" ht="15" hidden="false" customHeight="false" outlineLevel="0" collapsed="false">
      <c r="A1297" s="20" t="s">
        <v>1628</v>
      </c>
      <c r="E1297" s="23" t="str">
        <f aca="false">IF(D1297="?OLD","!!!","")</f>
        <v/>
      </c>
      <c r="F1297" s="25" t="str">
        <f aca="false">IF(OR(E1297="",E1297="!!!"),"",IF(NOT(ISNA(VLOOKUP(E1297,E$1:E1296,1,FALSE()))),"OLD",IF(AND(E1297&lt;&gt;"",E1297&lt;&gt;"!!!"),"NEW","")))</f>
        <v/>
      </c>
      <c r="G1297" s="26" t="str">
        <f aca="false">IF(OR(E1297="",E1297="!!!"),"",IF(OR(J1297=0,AND(J1297=1,K1297=1),AND(J1297=1,I1297="SBJ"),AND(J1297=1,I1297=0)),"?IN_FOCUS",IF(J1297&lt;=2,"?ACTIVATED",IF(J1297&lt;&gt;"","?FAMILIAR",IF(F1297="NEW",IF(ISNA(VLOOKUP(E1297,#REF!,1,FALSE())),"?TYPE_IDENTIFIABLE","?REFERENTIAL"),"_")))))</f>
        <v/>
      </c>
      <c r="H1297" s="27" t="str">
        <f aca="false">IF(J1297&lt;&gt;1,"",IF(I1297="SBJ","CB","?"))</f>
        <v/>
      </c>
      <c r="I1297" s="24" t="str">
        <f aca="false">IF(OR(E1297="",E1297="!!!",F1297="NEW"),"",INDEX(B15:B$1283,-1+SUMPRODUCT(MAX(ROW(E15:E$1283)*(E1297=E15:E$1283)))))</f>
        <v/>
      </c>
      <c r="J1297" s="24" t="str">
        <f aca="true">IF(OR(E1297="",E1297="!!!",F1297="NEW"),"",COUNTBLANK(OFFSET(A$1,,,SUMPRODUCT(MAX(ROW(E$2:E1297)*(E1297=E$2:E1297)))))-COUNTBLANK(OFFSET(A$1,,,SUMPRODUCT(MAX(ROW(E$1:E1296)*(E2=E$1:E1296))))))</f>
        <v/>
      </c>
      <c r="K1297" s="24" t="str">
        <f aca="false">IF(OR(E1297="",E1297="!!!",F1297="NEW"),"",INDEX(J$1:J1296,SUMPRODUCT(MAX(ROW(E$1:E1296)*(E1297=E$1:E1296)))))</f>
        <v/>
      </c>
      <c r="L1297" s="31"/>
    </row>
    <row r="1298" customFormat="false" ht="15" hidden="false" customHeight="false" outlineLevel="0" collapsed="false">
      <c r="A1298" s="20" t="s">
        <v>1313</v>
      </c>
      <c r="B1298" s="22" t="s">
        <v>1067</v>
      </c>
      <c r="C1298" s="22" t="s">
        <v>1099</v>
      </c>
      <c r="D1298" s="22" t="s">
        <v>1060</v>
      </c>
      <c r="E1298" s="23" t="str">
        <f aca="false">IF(D1298="?OLD","!!!","")</f>
        <v>!!!</v>
      </c>
      <c r="F1298" s="25" t="str">
        <f aca="false">IF(OR(E1298="",E1298="!!!"),"",IF(NOT(ISNA(VLOOKUP(E1298,E$1:E1297,1,FALSE()))),"OLD",IF(AND(E1298&lt;&gt;"",E1298&lt;&gt;"!!!"),"NEW","")))</f>
        <v/>
      </c>
      <c r="G1298" s="26" t="str">
        <f aca="false">IF(OR(E1298="",E1298="!!!"),"",IF(OR(J1298=0,AND(J1298=1,K1298=1),AND(J1298=1,I1298="SBJ"),AND(J1298=1,I1298=0)),"?IN_FOCUS",IF(J1298&lt;=2,"?ACTIVATED",IF(J1298&lt;&gt;"","?FAMILIAR",IF(F1298="NEW",IF(ISNA(VLOOKUP(E1298,#REF!,1,FALSE())),"?TYPE_IDENTIFIABLE","?REFERENTIAL"),"_")))))</f>
        <v/>
      </c>
      <c r="H1298" s="27" t="str">
        <f aca="false">IF(J1298&lt;&gt;1,"",IF(I1298="SBJ","CB","?"))</f>
        <v/>
      </c>
      <c r="I1298" s="24" t="str">
        <f aca="false">IF(OR(E1298="",E1298="!!!",F1298="NEW"),"",INDEX(B16:B$1283,-1+SUMPRODUCT(MAX(ROW(E16:E$1283)*(E1298=E16:E$1283)))))</f>
        <v/>
      </c>
      <c r="J1298" s="24" t="str">
        <f aca="true">IF(OR(E1298="",E1298="!!!",F1298="NEW"),"",COUNTBLANK(OFFSET(A$1,,,SUMPRODUCT(MAX(ROW(E$2:E1298)*(E1298=E$2:E1298)))))-COUNTBLANK(OFFSET(A$1,,,SUMPRODUCT(MAX(ROW(E$1:E1297)*(E2=E$1:E1297))))))</f>
        <v/>
      </c>
      <c r="K1298" s="24" t="str">
        <f aca="false">IF(OR(E1298="",E1298="!!!",F1298="NEW"),"",INDEX(J$1:J1297,SUMPRODUCT(MAX(ROW(E$1:E1297)*(E1298=E$1:E1297)))))</f>
        <v/>
      </c>
      <c r="L1298" s="31"/>
    </row>
    <row r="1299" customFormat="false" ht="15" hidden="false" customHeight="false" outlineLevel="0" collapsed="false">
      <c r="A1299" s="20" t="s">
        <v>1101</v>
      </c>
      <c r="B1299" s="22" t="s">
        <v>1142</v>
      </c>
      <c r="C1299" s="22" t="s">
        <v>1059</v>
      </c>
      <c r="D1299" s="22" t="s">
        <v>1060</v>
      </c>
      <c r="E1299" s="23" t="str">
        <f aca="false">IF(D1299="?OLD","!!!","")</f>
        <v>!!!</v>
      </c>
      <c r="F1299" s="25" t="str">
        <f aca="false">IF(OR(E1299="",E1299="!!!"),"",IF(NOT(ISNA(VLOOKUP(E1299,E$1:E1298,1,FALSE()))),"OLD",IF(AND(E1299&lt;&gt;"",E1299&lt;&gt;"!!!"),"NEW","")))</f>
        <v/>
      </c>
      <c r="G1299" s="26" t="str">
        <f aca="false">IF(OR(E1299="",E1299="!!!"),"",IF(OR(J1299=0,AND(J1299=1,K1299=1),AND(J1299=1,I1299="SBJ"),AND(J1299=1,I1299=0)),"?IN_FOCUS",IF(J1299&lt;=2,"?ACTIVATED",IF(J1299&lt;&gt;"","?FAMILIAR",IF(F1299="NEW",IF(ISNA(VLOOKUP(E1299,#REF!,1,FALSE())),"?TYPE_IDENTIFIABLE","?REFERENTIAL"),"_")))))</f>
        <v/>
      </c>
      <c r="H1299" s="27" t="str">
        <f aca="false">IF(J1299&lt;&gt;1,"",IF(I1299="SBJ","CB","?"))</f>
        <v/>
      </c>
      <c r="I1299" s="24" t="str">
        <f aca="false">IF(OR(E1299="",E1299="!!!",F1299="NEW"),"",INDEX(B17:B$1283,-1+SUMPRODUCT(MAX(ROW(E17:E$1283)*(E1299=E17:E$1283)))))</f>
        <v/>
      </c>
      <c r="J1299" s="24" t="str">
        <f aca="true">IF(OR(E1299="",E1299="!!!",F1299="NEW"),"",COUNTBLANK(OFFSET(A$1,,,SUMPRODUCT(MAX(ROW(E$2:E1299)*(E1299=E$2:E1299)))))-COUNTBLANK(OFFSET(A$1,,,SUMPRODUCT(MAX(ROW(E$1:E1298)*(E2=E$1:E1298))))))</f>
        <v/>
      </c>
      <c r="K1299" s="24" t="str">
        <f aca="false">IF(OR(E1299="",E1299="!!!",F1299="NEW"),"",INDEX(J$1:J1298,SUMPRODUCT(MAX(ROW(E$1:E1298)*(E1299=E$1:E1298)))))</f>
        <v/>
      </c>
      <c r="L1299" s="31"/>
    </row>
    <row r="1300" customFormat="false" ht="15" hidden="false" customHeight="false" outlineLevel="0" collapsed="false">
      <c r="A1300" s="20" t="s">
        <v>923</v>
      </c>
      <c r="E1300" s="23" t="str">
        <f aca="false">IF(D1300="?OLD","!!!","")</f>
        <v/>
      </c>
      <c r="F1300" s="25" t="str">
        <f aca="false">IF(OR(E1300="",E1300="!!!"),"",IF(NOT(ISNA(VLOOKUP(E1300,E$1:E1299,1,FALSE()))),"OLD",IF(AND(E1300&lt;&gt;"",E1300&lt;&gt;"!!!"),"NEW","")))</f>
        <v/>
      </c>
      <c r="G1300" s="26" t="str">
        <f aca="false">IF(OR(E1300="",E1300="!!!"),"",IF(OR(J1300=0,AND(J1300=1,K1300=1),AND(J1300=1,I1300="SBJ"),AND(J1300=1,I1300=0)),"?IN_FOCUS",IF(J1300&lt;=2,"?ACTIVATED",IF(J1300&lt;&gt;"","?FAMILIAR",IF(F1300="NEW",IF(ISNA(VLOOKUP(E1300,#REF!,1,FALSE())),"?TYPE_IDENTIFIABLE","?REFERENTIAL"),"_")))))</f>
        <v/>
      </c>
      <c r="H1300" s="27" t="str">
        <f aca="false">IF(J1300&lt;&gt;1,"",IF(I1300="SBJ","CB","?"))</f>
        <v/>
      </c>
      <c r="I1300" s="24" t="str">
        <f aca="false">IF(OR(E1300="",E1300="!!!",F1300="NEW"),"",INDEX(B18:B$1283,-1+SUMPRODUCT(MAX(ROW(E18:E$1283)*(E1300=E18:E$1283)))))</f>
        <v/>
      </c>
      <c r="J1300" s="24" t="str">
        <f aca="true">IF(OR(E1300="",E1300="!!!",F1300="NEW"),"",COUNTBLANK(OFFSET(A$1,,,SUMPRODUCT(MAX(ROW(E$2:E1300)*(E1300=E$2:E1300)))))-COUNTBLANK(OFFSET(A$1,,,SUMPRODUCT(MAX(ROW(E$1:E1299)*(E2=E$1:E1299))))))</f>
        <v/>
      </c>
      <c r="K1300" s="24" t="str">
        <f aca="false">IF(OR(E1300="",E1300="!!!",F1300="NEW"),"",INDEX(J$1:J1299,SUMPRODUCT(MAX(ROW(E$1:E1299)*(E1300=E$1:E1299)))))</f>
        <v/>
      </c>
      <c r="L1300" s="31"/>
    </row>
    <row r="1301" customFormat="false" ht="15" hidden="false" customHeight="false" outlineLevel="0" collapsed="false">
      <c r="A1301" s="20"/>
    </row>
    <row r="1302" customFormat="false" ht="15" hidden="false" customHeight="false" outlineLevel="0" collapsed="false">
      <c r="A1302" s="20" t="s">
        <v>1629</v>
      </c>
    </row>
    <row r="1303" customFormat="false" ht="15" hidden="false" customHeight="false" outlineLevel="0" collapsed="false">
      <c r="A1303" s="20" t="s">
        <v>1561</v>
      </c>
      <c r="B1303" s="22" t="s">
        <v>1058</v>
      </c>
      <c r="C1303" s="22" t="s">
        <v>1082</v>
      </c>
      <c r="D1303" s="22" t="s">
        <v>1060</v>
      </c>
      <c r="E1303" s="23" t="str">
        <f aca="false">IF(D1303="?OLD","!!!","")</f>
        <v>!!!</v>
      </c>
      <c r="F1303" s="25" t="str">
        <f aca="false">IF(OR(E1303="",E1303="!!!"),"",IF(NOT(ISNA(VLOOKUP(E1303,E$1:E1302,1,FALSE()))),"OLD",IF(AND(E1303&lt;&gt;"",E1303&lt;&gt;"!!!"),"NEW","")))</f>
        <v/>
      </c>
      <c r="G1303" s="26" t="str">
        <f aca="false">IF(OR(E1303="",E1303="!!!"),"",IF(OR(J1303=0,AND(J1303=1,K1303=1),AND(J1303=1,I1303="SBJ"),AND(J1303=1,I1303=0)),"?IN_FOCUS",IF(J1303&lt;=2,"?ACTIVATED",IF(J1303&lt;&gt;"","?FAMILIAR",IF(F1303="NEW",IF(ISNA(VLOOKUP(E1303,#REF!,1,FALSE())),"?TYPE_IDENTIFIABLE","?REFERENTIAL"),"_")))))</f>
        <v/>
      </c>
      <c r="H1303" s="27" t="str">
        <f aca="false">IF(J1303&lt;&gt;1,"",IF(I1303="SBJ","CB","?"))</f>
        <v/>
      </c>
      <c r="I1303" s="24" t="str">
        <f aca="false">IF(OR(E1303="",E1303="!!!",F1303="NEW"),"",INDEX(B2:B$1302,-1+SUMPRODUCT(MAX(ROW(E2:E$1302)*(E1303=E2:E$1302)))))</f>
        <v/>
      </c>
      <c r="J1303" s="24" t="str">
        <f aca="true">IF(OR(E1303="",E1303="!!!",F1303="NEW"),"",COUNTBLANK(OFFSET(A$1,,,SUMPRODUCT(MAX(ROW(E$2:E1303)*(E1303=E$2:E1303)))))-COUNTBLANK(OFFSET(A$1,,,SUMPRODUCT(MAX(ROW(E$1:E1302)*(E2=E$1:E1302))))))</f>
        <v/>
      </c>
      <c r="K1303" s="24" t="str">
        <f aca="false">IF(OR(E1303="",E1303="!!!",F1303="NEW"),"",INDEX(J$1:J1302,SUMPRODUCT(MAX(ROW(E$1:E1302)*(E1303=E$1:E1302)))))</f>
        <v/>
      </c>
      <c r="L1303" s="31"/>
    </row>
    <row r="1304" customFormat="false" ht="15" hidden="false" customHeight="false" outlineLevel="0" collapsed="false">
      <c r="A1304" s="20" t="s">
        <v>1630</v>
      </c>
      <c r="E1304" s="23" t="str">
        <f aca="false">IF(D1304="?OLD","!!!","")</f>
        <v/>
      </c>
      <c r="F1304" s="25" t="str">
        <f aca="false">IF(OR(E1304="",E1304="!!!"),"",IF(NOT(ISNA(VLOOKUP(E1304,E$1:E1303,1,FALSE()))),"OLD",IF(AND(E1304&lt;&gt;"",E1304&lt;&gt;"!!!"),"NEW","")))</f>
        <v/>
      </c>
      <c r="G1304" s="26" t="str">
        <f aca="false">IF(OR(E1304="",E1304="!!!"),"",IF(OR(J1304=0,AND(J1304=1,K1304=1),AND(J1304=1,I1304="SBJ"),AND(J1304=1,I1304=0)),"?IN_FOCUS",IF(J1304&lt;=2,"?ACTIVATED",IF(J1304&lt;&gt;"","?FAMILIAR",IF(F1304="NEW",IF(ISNA(VLOOKUP(E1304,#REF!,1,FALSE())),"?TYPE_IDENTIFIABLE","?REFERENTIAL"),"_")))))</f>
        <v/>
      </c>
      <c r="H1304" s="27" t="str">
        <f aca="false">IF(J1304&lt;&gt;1,"",IF(I1304="SBJ","CB","?"))</f>
        <v/>
      </c>
      <c r="I1304" s="24" t="str">
        <f aca="false">IF(OR(E1304="",E1304="!!!",F1304="NEW"),"",INDEX(B3:B$1302,-1+SUMPRODUCT(MAX(ROW(E3:E$1302)*(E1304=E3:E$1302)))))</f>
        <v/>
      </c>
      <c r="J1304" s="24" t="str">
        <f aca="true">IF(OR(E1304="",E1304="!!!",F1304="NEW"),"",COUNTBLANK(OFFSET(A$1,,,SUMPRODUCT(MAX(ROW(E$2:E1304)*(E1304=E$2:E1304)))))-COUNTBLANK(OFFSET(A$1,,,SUMPRODUCT(MAX(ROW(E$1:E1303)*(E2=E$1:E1303))))))</f>
        <v/>
      </c>
      <c r="K1304" s="24" t="str">
        <f aca="false">IF(OR(E1304="",E1304="!!!",F1304="NEW"),"",INDEX(J$1:J1303,SUMPRODUCT(MAX(ROW(E$1:E1303)*(E1304=E$1:E1303)))))</f>
        <v/>
      </c>
      <c r="L1304" s="31"/>
    </row>
    <row r="1305" customFormat="false" ht="15" hidden="false" customHeight="false" outlineLevel="0" collapsed="false">
      <c r="A1305" s="20" t="s">
        <v>1452</v>
      </c>
      <c r="E1305" s="23" t="str">
        <f aca="false">IF(D1305="?OLD","!!!","")</f>
        <v/>
      </c>
      <c r="F1305" s="25" t="str">
        <f aca="false">IF(OR(E1305="",E1305="!!!"),"",IF(NOT(ISNA(VLOOKUP(E1305,E$1:E1304,1,FALSE()))),"OLD",IF(AND(E1305&lt;&gt;"",E1305&lt;&gt;"!!!"),"NEW","")))</f>
        <v/>
      </c>
      <c r="G1305" s="26" t="str">
        <f aca="false">IF(OR(E1305="",E1305="!!!"),"",IF(OR(J1305=0,AND(J1305=1,K1305=1),AND(J1305=1,I1305="SBJ"),AND(J1305=1,I1305=0)),"?IN_FOCUS",IF(J1305&lt;=2,"?ACTIVATED",IF(J1305&lt;&gt;"","?FAMILIAR",IF(F1305="NEW",IF(ISNA(VLOOKUP(E1305,#REF!,1,FALSE())),"?TYPE_IDENTIFIABLE","?REFERENTIAL"),"_")))))</f>
        <v/>
      </c>
      <c r="H1305" s="27" t="str">
        <f aca="false">IF(J1305&lt;&gt;1,"",IF(I1305="SBJ","CB","?"))</f>
        <v/>
      </c>
      <c r="I1305" s="24" t="str">
        <f aca="false">IF(OR(E1305="",E1305="!!!",F1305="NEW"),"",INDEX(B4:B$1302,-1+SUMPRODUCT(MAX(ROW(E4:E$1302)*(E1305=E4:E$1302)))))</f>
        <v/>
      </c>
      <c r="J1305" s="24" t="str">
        <f aca="true">IF(OR(E1305="",E1305="!!!",F1305="NEW"),"",COUNTBLANK(OFFSET(A$1,,,SUMPRODUCT(MAX(ROW(E$2:E1305)*(E1305=E$2:E1305)))))-COUNTBLANK(OFFSET(A$1,,,SUMPRODUCT(MAX(ROW(E$1:E1304)*(E2=E$1:E1304))))))</f>
        <v/>
      </c>
      <c r="K1305" s="24" t="str">
        <f aca="false">IF(OR(E1305="",E1305="!!!",F1305="NEW"),"",INDEX(J$1:J1304,SUMPRODUCT(MAX(ROW(E$1:E1304)*(E1305=E$1:E1304)))))</f>
        <v/>
      </c>
      <c r="L1305" s="31"/>
    </row>
    <row r="1306" customFormat="false" ht="15" hidden="false" customHeight="false" outlineLevel="0" collapsed="false">
      <c r="A1306" s="20" t="s">
        <v>185</v>
      </c>
      <c r="E1306" s="23" t="str">
        <f aca="false">IF(D1306="?OLD","!!!","")</f>
        <v/>
      </c>
      <c r="F1306" s="25" t="str">
        <f aca="false">IF(OR(E1306="",E1306="!!!"),"",IF(NOT(ISNA(VLOOKUP(E1306,E$1:E1305,1,FALSE()))),"OLD",IF(AND(E1306&lt;&gt;"",E1306&lt;&gt;"!!!"),"NEW","")))</f>
        <v/>
      </c>
      <c r="G1306" s="26" t="str">
        <f aca="false">IF(OR(E1306="",E1306="!!!"),"",IF(OR(J1306=0,AND(J1306=1,K1306=1),AND(J1306=1,I1306="SBJ"),AND(J1306=1,I1306=0)),"?IN_FOCUS",IF(J1306&lt;=2,"?ACTIVATED",IF(J1306&lt;&gt;"","?FAMILIAR",IF(F1306="NEW",IF(ISNA(VLOOKUP(E1306,#REF!,1,FALSE())),"?TYPE_IDENTIFIABLE","?REFERENTIAL"),"_")))))</f>
        <v/>
      </c>
      <c r="H1306" s="27" t="str">
        <f aca="false">IF(J1306&lt;&gt;1,"",IF(I1306="SBJ","CB","?"))</f>
        <v/>
      </c>
      <c r="I1306" s="24" t="str">
        <f aca="false">IF(OR(E1306="",E1306="!!!",F1306="NEW"),"",INDEX(B5:B$1302,-1+SUMPRODUCT(MAX(ROW(E5:E$1302)*(E1306=E5:E$1302)))))</f>
        <v/>
      </c>
      <c r="J1306" s="24" t="str">
        <f aca="true">IF(OR(E1306="",E1306="!!!",F1306="NEW"),"",COUNTBLANK(OFFSET(A$1,,,SUMPRODUCT(MAX(ROW(E$2:E1306)*(E1306=E$2:E1306)))))-COUNTBLANK(OFFSET(A$1,,,SUMPRODUCT(MAX(ROW(E$1:E1305)*(E2=E$1:E1305))))))</f>
        <v/>
      </c>
      <c r="K1306" s="24" t="str">
        <f aca="false">IF(OR(E1306="",E1306="!!!",F1306="NEW"),"",INDEX(J$1:J1305,SUMPRODUCT(MAX(ROW(E$1:E1305)*(E1306=E$1:E1305)))))</f>
        <v/>
      </c>
      <c r="L1306" s="31"/>
    </row>
    <row r="1307" customFormat="false" ht="15" hidden="false" customHeight="false" outlineLevel="0" collapsed="false">
      <c r="A1307" s="20" t="s">
        <v>1152</v>
      </c>
      <c r="E1307" s="23" t="str">
        <f aca="false">IF(D1307="?OLD","!!!","")</f>
        <v/>
      </c>
      <c r="F1307" s="25" t="str">
        <f aca="false">IF(OR(E1307="",E1307="!!!"),"",IF(NOT(ISNA(VLOOKUP(E1307,E$1:E1306,1,FALSE()))),"OLD",IF(AND(E1307&lt;&gt;"",E1307&lt;&gt;"!!!"),"NEW","")))</f>
        <v/>
      </c>
      <c r="G1307" s="26" t="str">
        <f aca="false">IF(OR(E1307="",E1307="!!!"),"",IF(OR(J1307=0,AND(J1307=1,K1307=1),AND(J1307=1,I1307="SBJ"),AND(J1307=1,I1307=0)),"?IN_FOCUS",IF(J1307&lt;=2,"?ACTIVATED",IF(J1307&lt;&gt;"","?FAMILIAR",IF(F1307="NEW",IF(ISNA(VLOOKUP(E1307,#REF!,1,FALSE())),"?TYPE_IDENTIFIABLE","?REFERENTIAL"),"_")))))</f>
        <v/>
      </c>
      <c r="H1307" s="27" t="str">
        <f aca="false">IF(J1307&lt;&gt;1,"",IF(I1307="SBJ","CB","?"))</f>
        <v/>
      </c>
      <c r="I1307" s="24" t="str">
        <f aca="false">IF(OR(E1307="",E1307="!!!",F1307="NEW"),"",INDEX(B6:B$1302,-1+SUMPRODUCT(MAX(ROW(E6:E$1302)*(E1307=E6:E$1302)))))</f>
        <v/>
      </c>
      <c r="J1307" s="24" t="str">
        <f aca="true">IF(OR(E1307="",E1307="!!!",F1307="NEW"),"",COUNTBLANK(OFFSET(A$1,,,SUMPRODUCT(MAX(ROW(E$2:E1307)*(E1307=E$2:E1307)))))-COUNTBLANK(OFFSET(A$1,,,SUMPRODUCT(MAX(ROW(E$1:E1306)*(E2=E$1:E1306))))))</f>
        <v/>
      </c>
      <c r="K1307" s="24" t="str">
        <f aca="false">IF(OR(E1307="",E1307="!!!",F1307="NEW"),"",INDEX(J$1:J1306,SUMPRODUCT(MAX(ROW(E$1:E1306)*(E1307=E$1:E1306)))))</f>
        <v/>
      </c>
      <c r="L1307" s="31"/>
    </row>
    <row r="1308" customFormat="false" ht="15" hidden="false" customHeight="false" outlineLevel="0" collapsed="false">
      <c r="A1308" s="20" t="s">
        <v>78</v>
      </c>
      <c r="E1308" s="23" t="str">
        <f aca="false">IF(D1308="?OLD","!!!","")</f>
        <v/>
      </c>
      <c r="F1308" s="25" t="str">
        <f aca="false">IF(OR(E1308="",E1308="!!!"),"",IF(NOT(ISNA(VLOOKUP(E1308,E$1:E1307,1,FALSE()))),"OLD",IF(AND(E1308&lt;&gt;"",E1308&lt;&gt;"!!!"),"NEW","")))</f>
        <v/>
      </c>
      <c r="G1308" s="26" t="str">
        <f aca="false">IF(OR(E1308="",E1308="!!!"),"",IF(OR(J1308=0,AND(J1308=1,K1308=1),AND(J1308=1,I1308="SBJ"),AND(J1308=1,I1308=0)),"?IN_FOCUS",IF(J1308&lt;=2,"?ACTIVATED",IF(J1308&lt;&gt;"","?FAMILIAR",IF(F1308="NEW",IF(ISNA(VLOOKUP(E1308,#REF!,1,FALSE())),"?TYPE_IDENTIFIABLE","?REFERENTIAL"),"_")))))</f>
        <v/>
      </c>
      <c r="H1308" s="27" t="str">
        <f aca="false">IF(J1308&lt;&gt;1,"",IF(I1308="SBJ","CB","?"))</f>
        <v/>
      </c>
      <c r="I1308" s="24" t="str">
        <f aca="false">IF(OR(E1308="",E1308="!!!",F1308="NEW"),"",INDEX(B7:B$1302,-1+SUMPRODUCT(MAX(ROW(E7:E$1302)*(E1308=E7:E$1302)))))</f>
        <v/>
      </c>
      <c r="J1308" s="24" t="str">
        <f aca="true">IF(OR(E1308="",E1308="!!!",F1308="NEW"),"",COUNTBLANK(OFFSET(A$1,,,SUMPRODUCT(MAX(ROW(E$2:E1308)*(E1308=E$2:E1308)))))-COUNTBLANK(OFFSET(A$1,,,SUMPRODUCT(MAX(ROW(E$1:E1307)*(E2=E$1:E1307))))))</f>
        <v/>
      </c>
      <c r="K1308" s="24" t="str">
        <f aca="false">IF(OR(E1308="",E1308="!!!",F1308="NEW"),"",INDEX(J$1:J1307,SUMPRODUCT(MAX(ROW(E$1:E1307)*(E1308=E$1:E1307)))))</f>
        <v/>
      </c>
      <c r="L1308" s="31"/>
    </row>
    <row r="1309" customFormat="false" ht="15" hidden="false" customHeight="false" outlineLevel="0" collapsed="false">
      <c r="A1309" s="20" t="s">
        <v>1076</v>
      </c>
      <c r="E1309" s="23" t="str">
        <f aca="false">IF(D1309="?OLD","!!!","")</f>
        <v/>
      </c>
      <c r="F1309" s="25" t="str">
        <f aca="false">IF(OR(E1309="",E1309="!!!"),"",IF(NOT(ISNA(VLOOKUP(E1309,E$1:E1308,1,FALSE()))),"OLD",IF(AND(E1309&lt;&gt;"",E1309&lt;&gt;"!!!"),"NEW","")))</f>
        <v/>
      </c>
      <c r="G1309" s="26" t="str">
        <f aca="false">IF(OR(E1309="",E1309="!!!"),"",IF(OR(J1309=0,AND(J1309=1,K1309=1),AND(J1309=1,I1309="SBJ"),AND(J1309=1,I1309=0)),"?IN_FOCUS",IF(J1309&lt;=2,"?ACTIVATED",IF(J1309&lt;&gt;"","?FAMILIAR",IF(F1309="NEW",IF(ISNA(VLOOKUP(E1309,#REF!,1,FALSE())),"?TYPE_IDENTIFIABLE","?REFERENTIAL"),"_")))))</f>
        <v/>
      </c>
      <c r="H1309" s="27" t="str">
        <f aca="false">IF(J1309&lt;&gt;1,"",IF(I1309="SBJ","CB","?"))</f>
        <v/>
      </c>
      <c r="I1309" s="24" t="str">
        <f aca="false">IF(OR(E1309="",E1309="!!!",F1309="NEW"),"",INDEX(B8:B$1302,-1+SUMPRODUCT(MAX(ROW(E8:E$1302)*(E1309=E8:E$1302)))))</f>
        <v/>
      </c>
      <c r="J1309" s="24" t="str">
        <f aca="true">IF(OR(E1309="",E1309="!!!",F1309="NEW"),"",COUNTBLANK(OFFSET(A$1,,,SUMPRODUCT(MAX(ROW(E$2:E1309)*(E1309=E$2:E1309)))))-COUNTBLANK(OFFSET(A$1,,,SUMPRODUCT(MAX(ROW(E$1:E1308)*(E2=E$1:E1308))))))</f>
        <v/>
      </c>
      <c r="K1309" s="24" t="str">
        <f aca="false">IF(OR(E1309="",E1309="!!!",F1309="NEW"),"",INDEX(J$1:J1308,SUMPRODUCT(MAX(ROW(E$1:E1308)*(E1309=E$1:E1308)))))</f>
        <v/>
      </c>
      <c r="L1309" s="31"/>
    </row>
    <row r="1310" customFormat="false" ht="15" hidden="false" customHeight="false" outlineLevel="0" collapsed="false">
      <c r="A1310" s="20" t="s">
        <v>1343</v>
      </c>
      <c r="E1310" s="23" t="str">
        <f aca="false">IF(D1310="?OLD","!!!","")</f>
        <v/>
      </c>
      <c r="F1310" s="25" t="str">
        <f aca="false">IF(OR(E1310="",E1310="!!!"),"",IF(NOT(ISNA(VLOOKUP(E1310,E$1:E1309,1,FALSE()))),"OLD",IF(AND(E1310&lt;&gt;"",E1310&lt;&gt;"!!!"),"NEW","")))</f>
        <v/>
      </c>
      <c r="G1310" s="26" t="str">
        <f aca="false">IF(OR(E1310="",E1310="!!!"),"",IF(OR(J1310=0,AND(J1310=1,K1310=1),AND(J1310=1,I1310="SBJ"),AND(J1310=1,I1310=0)),"?IN_FOCUS",IF(J1310&lt;=2,"?ACTIVATED",IF(J1310&lt;&gt;"","?FAMILIAR",IF(F1310="NEW",IF(ISNA(VLOOKUP(E1310,#REF!,1,FALSE())),"?TYPE_IDENTIFIABLE","?REFERENTIAL"),"_")))))</f>
        <v/>
      </c>
      <c r="H1310" s="27" t="str">
        <f aca="false">IF(J1310&lt;&gt;1,"",IF(I1310="SBJ","CB","?"))</f>
        <v/>
      </c>
      <c r="I1310" s="24" t="str">
        <f aca="false">IF(OR(E1310="",E1310="!!!",F1310="NEW"),"",INDEX(B9:B$1302,-1+SUMPRODUCT(MAX(ROW(E9:E$1302)*(E1310=E9:E$1302)))))</f>
        <v/>
      </c>
      <c r="J1310" s="24" t="str">
        <f aca="true">IF(OR(E1310="",E1310="!!!",F1310="NEW"),"",COUNTBLANK(OFFSET(A$1,,,SUMPRODUCT(MAX(ROW(E$2:E1310)*(E1310=E$2:E1310)))))-COUNTBLANK(OFFSET(A$1,,,SUMPRODUCT(MAX(ROW(E$1:E1309)*(E2=E$1:E1309))))))</f>
        <v/>
      </c>
      <c r="K1310" s="24" t="str">
        <f aca="false">IF(OR(E1310="",E1310="!!!",F1310="NEW"),"",INDEX(J$1:J1309,SUMPRODUCT(MAX(ROW(E$1:E1309)*(E1310=E$1:E1309)))))</f>
        <v/>
      </c>
      <c r="L1310" s="31"/>
    </row>
    <row r="1311" customFormat="false" ht="15" hidden="false" customHeight="false" outlineLevel="0" collapsed="false">
      <c r="A1311" s="20" t="s">
        <v>923</v>
      </c>
      <c r="E1311" s="23" t="str">
        <f aca="false">IF(D1311="?OLD","!!!","")</f>
        <v/>
      </c>
      <c r="F1311" s="25" t="str">
        <f aca="false">IF(OR(E1311="",E1311="!!!"),"",IF(NOT(ISNA(VLOOKUP(E1311,E$1:E1310,1,FALSE()))),"OLD",IF(AND(E1311&lt;&gt;"",E1311&lt;&gt;"!!!"),"NEW","")))</f>
        <v/>
      </c>
      <c r="G1311" s="26" t="str">
        <f aca="false">IF(OR(E1311="",E1311="!!!"),"",IF(OR(J1311=0,AND(J1311=1,K1311=1),AND(J1311=1,I1311="SBJ"),AND(J1311=1,I1311=0)),"?IN_FOCUS",IF(J1311&lt;=2,"?ACTIVATED",IF(J1311&lt;&gt;"","?FAMILIAR",IF(F1311="NEW",IF(ISNA(VLOOKUP(E1311,#REF!,1,FALSE())),"?TYPE_IDENTIFIABLE","?REFERENTIAL"),"_")))))</f>
        <v/>
      </c>
      <c r="H1311" s="27" t="str">
        <f aca="false">IF(J1311&lt;&gt;1,"",IF(I1311="SBJ","CB","?"))</f>
        <v/>
      </c>
      <c r="I1311" s="24" t="str">
        <f aca="false">IF(OR(E1311="",E1311="!!!",F1311="NEW"),"",INDEX(B10:B$1302,-1+SUMPRODUCT(MAX(ROW(E10:E$1302)*(E1311=E10:E$1302)))))</f>
        <v/>
      </c>
      <c r="J1311" s="24" t="str">
        <f aca="true">IF(OR(E1311="",E1311="!!!",F1311="NEW"),"",COUNTBLANK(OFFSET(A$1,,,SUMPRODUCT(MAX(ROW(E$2:E1311)*(E1311=E$2:E1311)))))-COUNTBLANK(OFFSET(A$1,,,SUMPRODUCT(MAX(ROW(E$1:E1310)*(E2=E$1:E1310))))))</f>
        <v/>
      </c>
      <c r="K1311" s="24" t="str">
        <f aca="false">IF(OR(E1311="",E1311="!!!",F1311="NEW"),"",INDEX(J$1:J1310,SUMPRODUCT(MAX(ROW(E$1:E1310)*(E1311=E$1:E1310)))))</f>
        <v/>
      </c>
      <c r="L1311" s="31"/>
    </row>
    <row r="1312" customFormat="false" ht="15" hidden="false" customHeight="false" outlineLevel="0" collapsed="false">
      <c r="A1312" s="20"/>
    </row>
    <row r="1313" customFormat="false" ht="15" hidden="false" customHeight="false" outlineLevel="0" collapsed="false">
      <c r="A1313" s="20" t="s">
        <v>1631</v>
      </c>
    </row>
    <row r="1314" customFormat="false" ht="15" hidden="false" customHeight="false" outlineLevel="0" collapsed="false">
      <c r="A1314" s="20" t="s">
        <v>1261</v>
      </c>
      <c r="B1314" s="22" t="s">
        <v>1058</v>
      </c>
      <c r="C1314" s="22" t="s">
        <v>1082</v>
      </c>
      <c r="D1314" s="22" t="s">
        <v>1060</v>
      </c>
      <c r="E1314" s="23" t="str">
        <f aca="false">IF(D1314="?OLD","!!!","")</f>
        <v>!!!</v>
      </c>
      <c r="F1314" s="25" t="str">
        <f aca="false">IF(OR(E1314="",E1314="!!!"),"",IF(NOT(ISNA(VLOOKUP(E1314,E$1:E1313,1,FALSE()))),"OLD",IF(AND(E1314&lt;&gt;"",E1314&lt;&gt;"!!!"),"NEW","")))</f>
        <v/>
      </c>
      <c r="G1314" s="26" t="str">
        <f aca="false">IF(OR(E1314="",E1314="!!!"),"",IF(OR(J1314=0,AND(J1314=1,K1314=1),AND(J1314=1,I1314="SBJ"),AND(J1314=1,I1314=0)),"?IN_FOCUS",IF(J1314&lt;=2,"?ACTIVATED",IF(J1314&lt;&gt;"","?FAMILIAR",IF(F1314="NEW",IF(ISNA(VLOOKUP(E1314,#REF!,1,FALSE())),"?TYPE_IDENTIFIABLE","?REFERENTIAL"),"_")))))</f>
        <v/>
      </c>
      <c r="H1314" s="27" t="str">
        <f aca="false">IF(J1314&lt;&gt;1,"",IF(I1314="SBJ","CB","?"))</f>
        <v/>
      </c>
      <c r="I1314" s="24" t="str">
        <f aca="false">IF(OR(E1314="",E1314="!!!",F1314="NEW"),"",INDEX(B2:B$1313,-1+SUMPRODUCT(MAX(ROW(E2:E$1313)*(E1314=E2:E$1313)))))</f>
        <v/>
      </c>
      <c r="J1314" s="24" t="str">
        <f aca="true">IF(OR(E1314="",E1314="!!!",F1314="NEW"),"",COUNTBLANK(OFFSET(A$1,,,SUMPRODUCT(MAX(ROW(E$2:E1314)*(E1314=E$2:E1314)))))-COUNTBLANK(OFFSET(A$1,,,SUMPRODUCT(MAX(ROW(E$1:E1313)*(E2=E$1:E1313))))))</f>
        <v/>
      </c>
      <c r="K1314" s="24" t="str">
        <f aca="false">IF(OR(E1314="",E1314="!!!",F1314="NEW"),"",INDEX(J$1:J1313,SUMPRODUCT(MAX(ROW(E$1:E1313)*(E1314=E$1:E1313)))))</f>
        <v/>
      </c>
      <c r="L1314" s="31"/>
    </row>
    <row r="1315" customFormat="false" ht="15" hidden="false" customHeight="false" outlineLevel="0" collapsed="false">
      <c r="A1315" s="20" t="s">
        <v>1369</v>
      </c>
      <c r="E1315" s="23" t="str">
        <f aca="false">IF(D1315="?OLD","!!!","")</f>
        <v/>
      </c>
      <c r="F1315" s="25" t="str">
        <f aca="false">IF(OR(E1315="",E1315="!!!"),"",IF(NOT(ISNA(VLOOKUP(E1315,E$1:E1314,1,FALSE()))),"OLD",IF(AND(E1315&lt;&gt;"",E1315&lt;&gt;"!!!"),"NEW","")))</f>
        <v/>
      </c>
      <c r="G1315" s="26" t="str">
        <f aca="false">IF(OR(E1315="",E1315="!!!"),"",IF(OR(J1315=0,AND(J1315=1,K1315=1),AND(J1315=1,I1315="SBJ"),AND(J1315=1,I1315=0)),"?IN_FOCUS",IF(J1315&lt;=2,"?ACTIVATED",IF(J1315&lt;&gt;"","?FAMILIAR",IF(F1315="NEW",IF(ISNA(VLOOKUP(E1315,#REF!,1,FALSE())),"?TYPE_IDENTIFIABLE","?REFERENTIAL"),"_")))))</f>
        <v/>
      </c>
      <c r="H1315" s="27" t="str">
        <f aca="false">IF(J1315&lt;&gt;1,"",IF(I1315="SBJ","CB","?"))</f>
        <v/>
      </c>
      <c r="I1315" s="24" t="str">
        <f aca="false">IF(OR(E1315="",E1315="!!!",F1315="NEW"),"",INDEX(B3:B$1313,-1+SUMPRODUCT(MAX(ROW(E3:E$1313)*(E1315=E3:E$1313)))))</f>
        <v/>
      </c>
      <c r="J1315" s="24" t="str">
        <f aca="true">IF(OR(E1315="",E1315="!!!",F1315="NEW"),"",COUNTBLANK(OFFSET(A$1,,,SUMPRODUCT(MAX(ROW(E$2:E1315)*(E1315=E$2:E1315)))))-COUNTBLANK(OFFSET(A$1,,,SUMPRODUCT(MAX(ROW(E$1:E1314)*(E2=E$1:E1314))))))</f>
        <v/>
      </c>
      <c r="K1315" s="24" t="str">
        <f aca="false">IF(OR(E1315="",E1315="!!!",F1315="NEW"),"",INDEX(J$1:J1314,SUMPRODUCT(MAX(ROW(E$1:E1314)*(E1315=E$1:E1314)))))</f>
        <v/>
      </c>
      <c r="L1315" s="31"/>
    </row>
    <row r="1316" customFormat="false" ht="15" hidden="false" customHeight="false" outlineLevel="0" collapsed="false">
      <c r="A1316" s="20" t="s">
        <v>1632</v>
      </c>
      <c r="E1316" s="23" t="str">
        <f aca="false">IF(D1316="?OLD","!!!","")</f>
        <v/>
      </c>
      <c r="F1316" s="25" t="str">
        <f aca="false">IF(OR(E1316="",E1316="!!!"),"",IF(NOT(ISNA(VLOOKUP(E1316,E$1:E1315,1,FALSE()))),"OLD",IF(AND(E1316&lt;&gt;"",E1316&lt;&gt;"!!!"),"NEW","")))</f>
        <v/>
      </c>
      <c r="G1316" s="26" t="str">
        <f aca="false">IF(OR(E1316="",E1316="!!!"),"",IF(OR(J1316=0,AND(J1316=1,K1316=1),AND(J1316=1,I1316="SBJ"),AND(J1316=1,I1316=0)),"?IN_FOCUS",IF(J1316&lt;=2,"?ACTIVATED",IF(J1316&lt;&gt;"","?FAMILIAR",IF(F1316="NEW",IF(ISNA(VLOOKUP(E1316,#REF!,1,FALSE())),"?TYPE_IDENTIFIABLE","?REFERENTIAL"),"_")))))</f>
        <v/>
      </c>
      <c r="H1316" s="27" t="str">
        <f aca="false">IF(J1316&lt;&gt;1,"",IF(I1316="SBJ","CB","?"))</f>
        <v/>
      </c>
      <c r="I1316" s="24" t="str">
        <f aca="false">IF(OR(E1316="",E1316="!!!",F1316="NEW"),"",INDEX(B4:B$1313,-1+SUMPRODUCT(MAX(ROW(E4:E$1313)*(E1316=E4:E$1313)))))</f>
        <v/>
      </c>
      <c r="J1316" s="24" t="str">
        <f aca="true">IF(OR(E1316="",E1316="!!!",F1316="NEW"),"",COUNTBLANK(OFFSET(A$1,,,SUMPRODUCT(MAX(ROW(E$2:E1316)*(E1316=E$2:E1316)))))-COUNTBLANK(OFFSET(A$1,,,SUMPRODUCT(MAX(ROW(E$1:E1315)*(E2=E$1:E1315))))))</f>
        <v/>
      </c>
      <c r="K1316" s="24" t="str">
        <f aca="false">IF(OR(E1316="",E1316="!!!",F1316="NEW"),"",INDEX(J$1:J1315,SUMPRODUCT(MAX(ROW(E$1:E1315)*(E1316=E$1:E1315)))))</f>
        <v/>
      </c>
      <c r="L1316" s="31"/>
    </row>
    <row r="1317" customFormat="false" ht="15" hidden="false" customHeight="false" outlineLevel="0" collapsed="false">
      <c r="A1317" s="20" t="s">
        <v>1633</v>
      </c>
      <c r="E1317" s="23" t="str">
        <f aca="false">IF(D1317="?OLD","!!!","")</f>
        <v/>
      </c>
      <c r="F1317" s="25" t="str">
        <f aca="false">IF(OR(E1317="",E1317="!!!"),"",IF(NOT(ISNA(VLOOKUP(E1317,E$1:E1316,1,FALSE()))),"OLD",IF(AND(E1317&lt;&gt;"",E1317&lt;&gt;"!!!"),"NEW","")))</f>
        <v/>
      </c>
      <c r="G1317" s="26" t="str">
        <f aca="false">IF(OR(E1317="",E1317="!!!"),"",IF(OR(J1317=0,AND(J1317=1,K1317=1),AND(J1317=1,I1317="SBJ"),AND(J1317=1,I1317=0)),"?IN_FOCUS",IF(J1317&lt;=2,"?ACTIVATED",IF(J1317&lt;&gt;"","?FAMILIAR",IF(F1317="NEW",IF(ISNA(VLOOKUP(E1317,#REF!,1,FALSE())),"?TYPE_IDENTIFIABLE","?REFERENTIAL"),"_")))))</f>
        <v/>
      </c>
      <c r="H1317" s="27" t="str">
        <f aca="false">IF(J1317&lt;&gt;1,"",IF(I1317="SBJ","CB","?"))</f>
        <v/>
      </c>
      <c r="I1317" s="24" t="str">
        <f aca="false">IF(OR(E1317="",E1317="!!!",F1317="NEW"),"",INDEX(B5:B$1313,-1+SUMPRODUCT(MAX(ROW(E5:E$1313)*(E1317=E5:E$1313)))))</f>
        <v/>
      </c>
      <c r="J1317" s="24" t="str">
        <f aca="true">IF(OR(E1317="",E1317="!!!",F1317="NEW"),"",COUNTBLANK(OFFSET(A$1,,,SUMPRODUCT(MAX(ROW(E$2:E1317)*(E1317=E$2:E1317)))))-COUNTBLANK(OFFSET(A$1,,,SUMPRODUCT(MAX(ROW(E$1:E1316)*(E2=E$1:E1316))))))</f>
        <v/>
      </c>
      <c r="K1317" s="24" t="str">
        <f aca="false">IF(OR(E1317="",E1317="!!!",F1317="NEW"),"",INDEX(J$1:J1316,SUMPRODUCT(MAX(ROW(E$1:E1316)*(E1317=E$1:E1316)))))</f>
        <v/>
      </c>
      <c r="L1317" s="31"/>
    </row>
    <row r="1318" customFormat="false" ht="15" hidden="false" customHeight="false" outlineLevel="0" collapsed="false">
      <c r="A1318" s="20" t="s">
        <v>1634</v>
      </c>
      <c r="B1318" s="22" t="s">
        <v>1105</v>
      </c>
      <c r="C1318" s="22" t="s">
        <v>1389</v>
      </c>
      <c r="E1318" s="23" t="str">
        <f aca="false">IF(D1318="?OLD","!!!","")</f>
        <v/>
      </c>
      <c r="F1318" s="25" t="str">
        <f aca="false">IF(OR(E1318="",E1318="!!!"),"",IF(NOT(ISNA(VLOOKUP(E1318,E$1:E1317,1,FALSE()))),"OLD",IF(AND(E1318&lt;&gt;"",E1318&lt;&gt;"!!!"),"NEW","")))</f>
        <v/>
      </c>
      <c r="G1318" s="26" t="str">
        <f aca="false">IF(OR(E1318="",E1318="!!!"),"",IF(OR(J1318=0,AND(J1318=1,K1318=1),AND(J1318=1,I1318="SBJ"),AND(J1318=1,I1318=0)),"?IN_FOCUS",IF(J1318&lt;=2,"?ACTIVATED",IF(J1318&lt;&gt;"","?FAMILIAR",IF(F1318="NEW",IF(ISNA(VLOOKUP(E1318,#REF!,1,FALSE())),"?TYPE_IDENTIFIABLE","?REFERENTIAL"),"_")))))</f>
        <v/>
      </c>
      <c r="H1318" s="27" t="str">
        <f aca="false">IF(J1318&lt;&gt;1,"",IF(I1318="SBJ","CB","?"))</f>
        <v/>
      </c>
      <c r="I1318" s="24" t="str">
        <f aca="false">IF(OR(E1318="",E1318="!!!",F1318="NEW"),"",INDEX(B6:B$1313,-1+SUMPRODUCT(MAX(ROW(E6:E$1313)*(E1318=E6:E$1313)))))</f>
        <v/>
      </c>
      <c r="J1318" s="24" t="str">
        <f aca="true">IF(OR(E1318="",E1318="!!!",F1318="NEW"),"",COUNTBLANK(OFFSET(A$1,,,SUMPRODUCT(MAX(ROW(E$2:E1318)*(E1318=E$2:E1318)))))-COUNTBLANK(OFFSET(A$1,,,SUMPRODUCT(MAX(ROW(E$1:E1317)*(E2=E$1:E1317))))))</f>
        <v/>
      </c>
      <c r="K1318" s="24" t="str">
        <f aca="false">IF(OR(E1318="",E1318="!!!",F1318="NEW"),"",INDEX(J$1:J1317,SUMPRODUCT(MAX(ROW(E$1:E1317)*(E1318=E$1:E1317)))))</f>
        <v/>
      </c>
      <c r="L1318" s="31"/>
    </row>
    <row r="1319" customFormat="false" ht="15" hidden="false" customHeight="false" outlineLevel="0" collapsed="false">
      <c r="A1319" s="20" t="s">
        <v>923</v>
      </c>
      <c r="E1319" s="23" t="str">
        <f aca="false">IF(D1319="?OLD","!!!","")</f>
        <v/>
      </c>
      <c r="F1319" s="25" t="str">
        <f aca="false">IF(OR(E1319="",E1319="!!!"),"",IF(NOT(ISNA(VLOOKUP(E1319,E$1:E1318,1,FALSE()))),"OLD",IF(AND(E1319&lt;&gt;"",E1319&lt;&gt;"!!!"),"NEW","")))</f>
        <v/>
      </c>
      <c r="G1319" s="26" t="str">
        <f aca="false">IF(OR(E1319="",E1319="!!!"),"",IF(OR(J1319=0,AND(J1319=1,K1319=1),AND(J1319=1,I1319="SBJ"),AND(J1319=1,I1319=0)),"?IN_FOCUS",IF(J1319&lt;=2,"?ACTIVATED",IF(J1319&lt;&gt;"","?FAMILIAR",IF(F1319="NEW",IF(ISNA(VLOOKUP(E1319,#REF!,1,FALSE())),"?TYPE_IDENTIFIABLE","?REFERENTIAL"),"_")))))</f>
        <v/>
      </c>
      <c r="H1319" s="27" t="str">
        <f aca="false">IF(J1319&lt;&gt;1,"",IF(I1319="SBJ","CB","?"))</f>
        <v/>
      </c>
      <c r="I1319" s="24" t="str">
        <f aca="false">IF(OR(E1319="",E1319="!!!",F1319="NEW"),"",INDEX(B7:B$1313,-1+SUMPRODUCT(MAX(ROW(E7:E$1313)*(E1319=E7:E$1313)))))</f>
        <v/>
      </c>
      <c r="J1319" s="24" t="str">
        <f aca="true">IF(OR(E1319="",E1319="!!!",F1319="NEW"),"",COUNTBLANK(OFFSET(A$1,,,SUMPRODUCT(MAX(ROW(E$2:E1319)*(E1319=E$2:E1319)))))-COUNTBLANK(OFFSET(A$1,,,SUMPRODUCT(MAX(ROW(E$1:E1318)*(E2=E$1:E1318))))))</f>
        <v/>
      </c>
      <c r="K1319" s="24" t="str">
        <f aca="false">IF(OR(E1319="",E1319="!!!",F1319="NEW"),"",INDEX(J$1:J1318,SUMPRODUCT(MAX(ROW(E$1:E1318)*(E1319=E$1:E1318)))))</f>
        <v/>
      </c>
      <c r="L1319" s="31"/>
    </row>
    <row r="1320" customFormat="false" ht="15" hidden="false" customHeight="false" outlineLevel="0" collapsed="false">
      <c r="A1320" s="20"/>
    </row>
    <row r="1321" customFormat="false" ht="15" hidden="false" customHeight="false" outlineLevel="0" collapsed="false">
      <c r="A1321" s="20" t="s">
        <v>1301</v>
      </c>
      <c r="E1321" s="23" t="str">
        <f aca="false">IF(D1321="?OLD","!!!","")</f>
        <v/>
      </c>
      <c r="F1321" s="25" t="str">
        <f aca="false">IF(OR(E1321="",E1321="!!!"),"",IF(NOT(ISNA(VLOOKUP(E1321,E$1:E1320,1,FALSE()))),"OLD",IF(AND(E1321&lt;&gt;"",E1321&lt;&gt;"!!!"),"NEW","")))</f>
        <v/>
      </c>
      <c r="G1321" s="26" t="str">
        <f aca="false">IF(OR(E1321="",E1321="!!!"),"",IF(OR(J1321=0,AND(J1321=1,K1321=1),AND(J1321=1,I1321="SBJ"),AND(J1321=1,I1321=0)),"?IN_FOCUS",IF(J1321&lt;=2,"?ACTIVATED",IF(J1321&lt;&gt;"","?FAMILIAR",IF(F1321="NEW",IF(ISNA(VLOOKUP(E1321,#REF!,1,FALSE())),"?TYPE_IDENTIFIABLE","?REFERENTIAL"),"_")))))</f>
        <v/>
      </c>
      <c r="H1321" s="27" t="str">
        <f aca="false">IF(J1321&lt;&gt;1,"",IF(I1321="SBJ","CB","?"))</f>
        <v/>
      </c>
      <c r="I1321" s="24" t="str">
        <f aca="false">IF(OR(E1321="",E1321="!!!",F1321="NEW"),"",INDEX(B2:B$1320,-1+SUMPRODUCT(MAX(ROW(E2:E$1320)*(E1321=E2:E$1320)))))</f>
        <v/>
      </c>
      <c r="J1321" s="24" t="str">
        <f aca="true">IF(OR(E1321="",E1321="!!!",F1321="NEW"),"",COUNTBLANK(OFFSET(A$1,,,SUMPRODUCT(MAX(ROW(E$2:E1321)*(E1321=E$2:E1321)))))-COUNTBLANK(OFFSET(A$1,,,SUMPRODUCT(MAX(ROW(E$1:E1320)*(E2=E$1:E1320))))))</f>
        <v/>
      </c>
      <c r="K1321" s="24" t="str">
        <f aca="false">IF(OR(E1321="",E1321="!!!",F1321="NEW"),"",INDEX(J$1:J1320,SUMPRODUCT(MAX(ROW(E$1:E1320)*(E1321=E$1:E1320)))))</f>
        <v/>
      </c>
      <c r="L1321" s="31"/>
    </row>
    <row r="1322" customFormat="false" ht="15" hidden="false" customHeight="false" outlineLevel="0" collapsed="false">
      <c r="A1322" s="20" t="s">
        <v>1635</v>
      </c>
    </row>
    <row r="1323" customFormat="false" ht="15" hidden="false" customHeight="false" outlineLevel="0" collapsed="false">
      <c r="A1323" s="20" t="s">
        <v>1245</v>
      </c>
      <c r="B1323" s="22" t="s">
        <v>1073</v>
      </c>
      <c r="C1323" s="22" t="s">
        <v>1099</v>
      </c>
      <c r="D1323" s="22" t="s">
        <v>1060</v>
      </c>
      <c r="E1323" s="23" t="str">
        <f aca="false">IF(D1323="?OLD","!!!","")</f>
        <v>!!!</v>
      </c>
      <c r="F1323" s="25" t="str">
        <f aca="false">IF(OR(E1323="",E1323="!!!"),"",IF(NOT(ISNA(VLOOKUP(E1323,E$1:E1322,1,FALSE()))),"OLD",IF(AND(E1323&lt;&gt;"",E1323&lt;&gt;"!!!"),"NEW","")))</f>
        <v/>
      </c>
      <c r="G1323" s="26" t="str">
        <f aca="false">IF(OR(E1323="",E1323="!!!"),"",IF(OR(J1323=0,AND(J1323=1,K1323=1),AND(J1323=1,I1323="SBJ"),AND(J1323=1,I1323=0)),"?IN_FOCUS",IF(J1323&lt;=2,"?ACTIVATED",IF(J1323&lt;&gt;"","?FAMILIAR",IF(F1323="NEW",IF(ISNA(VLOOKUP(E1323,#REF!,1,FALSE())),"?TYPE_IDENTIFIABLE","?REFERENTIAL"),"_")))))</f>
        <v/>
      </c>
      <c r="H1323" s="27" t="str">
        <f aca="false">IF(J1323&lt;&gt;1,"",IF(I1323="SBJ","CB","?"))</f>
        <v/>
      </c>
      <c r="I1323" s="24" t="str">
        <f aca="false">IF(OR(E1323="",E1323="!!!",F1323="NEW"),"",INDEX(B2:B$1322,-1+SUMPRODUCT(MAX(ROW(E2:E$1322)*(E1323=E2:E$1322)))))</f>
        <v/>
      </c>
      <c r="J1323" s="24" t="str">
        <f aca="true">IF(OR(E1323="",E1323="!!!",F1323="NEW"),"",COUNTBLANK(OFFSET(A$1,,,SUMPRODUCT(MAX(ROW(E$2:E1323)*(E1323=E$2:E1323)))))-COUNTBLANK(OFFSET(A$1,,,SUMPRODUCT(MAX(ROW(E$1:E1322)*(E2=E$1:E1322))))))</f>
        <v/>
      </c>
      <c r="K1323" s="24" t="str">
        <f aca="false">IF(OR(E1323="",E1323="!!!",F1323="NEW"),"",INDEX(J$1:J1322,SUMPRODUCT(MAX(ROW(E$1:E1322)*(E1323=E$1:E1322)))))</f>
        <v/>
      </c>
      <c r="L1323" s="31"/>
    </row>
    <row r="1324" customFormat="false" ht="15" hidden="false" customHeight="false" outlineLevel="0" collapsed="false">
      <c r="A1324" s="20" t="s">
        <v>1636</v>
      </c>
      <c r="B1324" s="22" t="s">
        <v>1058</v>
      </c>
      <c r="C1324" s="22" t="s">
        <v>1059</v>
      </c>
      <c r="D1324" s="22" t="s">
        <v>1060</v>
      </c>
      <c r="E1324" s="23" t="str">
        <f aca="false">IF(D1324="?OLD","!!!","")</f>
        <v>!!!</v>
      </c>
      <c r="F1324" s="25" t="str">
        <f aca="false">IF(OR(E1324="",E1324="!!!"),"",IF(NOT(ISNA(VLOOKUP(E1324,E$1:E1323,1,FALSE()))),"OLD",IF(AND(E1324&lt;&gt;"",E1324&lt;&gt;"!!!"),"NEW","")))</f>
        <v/>
      </c>
      <c r="G1324" s="26" t="str">
        <f aca="false">IF(OR(E1324="",E1324="!!!"),"",IF(OR(J1324=0,AND(J1324=1,K1324=1),AND(J1324=1,I1324="SBJ"),AND(J1324=1,I1324=0)),"?IN_FOCUS",IF(J1324&lt;=2,"?ACTIVATED",IF(J1324&lt;&gt;"","?FAMILIAR",IF(F1324="NEW",IF(ISNA(VLOOKUP(E1324,#REF!,1,FALSE())),"?TYPE_IDENTIFIABLE","?REFERENTIAL"),"_")))))</f>
        <v/>
      </c>
      <c r="H1324" s="27" t="str">
        <f aca="false">IF(J1324&lt;&gt;1,"",IF(I1324="SBJ","CB","?"))</f>
        <v/>
      </c>
      <c r="I1324" s="24" t="str">
        <f aca="false">IF(OR(E1324="",E1324="!!!",F1324="NEW"),"",INDEX(B3:B$1322,-1+SUMPRODUCT(MAX(ROW(E3:E$1322)*(E1324=E3:E$1322)))))</f>
        <v/>
      </c>
      <c r="J1324" s="24" t="str">
        <f aca="true">IF(OR(E1324="",E1324="!!!",F1324="NEW"),"",COUNTBLANK(OFFSET(A$1,,,SUMPRODUCT(MAX(ROW(E$2:E1324)*(E1324=E$2:E1324)))))-COUNTBLANK(OFFSET(A$1,,,SUMPRODUCT(MAX(ROW(E$1:E1323)*(E2=E$1:E1323))))))</f>
        <v/>
      </c>
      <c r="K1324" s="24" t="str">
        <f aca="false">IF(OR(E1324="",E1324="!!!",F1324="NEW"),"",INDEX(J$1:J1323,SUMPRODUCT(MAX(ROW(E$1:E1323)*(E1324=E$1:E1323)))))</f>
        <v/>
      </c>
      <c r="L1324" s="31"/>
    </row>
    <row r="1325" customFormat="false" ht="15" hidden="false" customHeight="false" outlineLevel="0" collapsed="false">
      <c r="A1325" s="20" t="s">
        <v>1128</v>
      </c>
      <c r="E1325" s="23" t="str">
        <f aca="false">IF(D1325="?OLD","!!!","")</f>
        <v/>
      </c>
      <c r="F1325" s="25" t="str">
        <f aca="false">IF(OR(E1325="",E1325="!!!"),"",IF(NOT(ISNA(VLOOKUP(E1325,E$1:E1324,1,FALSE()))),"OLD",IF(AND(E1325&lt;&gt;"",E1325&lt;&gt;"!!!"),"NEW","")))</f>
        <v/>
      </c>
      <c r="G1325" s="26" t="str">
        <f aca="false">IF(OR(E1325="",E1325="!!!"),"",IF(OR(J1325=0,AND(J1325=1,K1325=1),AND(J1325=1,I1325="SBJ"),AND(J1325=1,I1325=0)),"?IN_FOCUS",IF(J1325&lt;=2,"?ACTIVATED",IF(J1325&lt;&gt;"","?FAMILIAR",IF(F1325="NEW",IF(ISNA(VLOOKUP(E1325,#REF!,1,FALSE())),"?TYPE_IDENTIFIABLE","?REFERENTIAL"),"_")))))</f>
        <v/>
      </c>
      <c r="H1325" s="27" t="str">
        <f aca="false">IF(J1325&lt;&gt;1,"",IF(I1325="SBJ","CB","?"))</f>
        <v/>
      </c>
      <c r="I1325" s="24" t="str">
        <f aca="false">IF(OR(E1325="",E1325="!!!",F1325="NEW"),"",INDEX(B4:B$1322,-1+SUMPRODUCT(MAX(ROW(E4:E$1322)*(E1325=E4:E$1322)))))</f>
        <v/>
      </c>
      <c r="J1325" s="24" t="str">
        <f aca="true">IF(OR(E1325="",E1325="!!!",F1325="NEW"),"",COUNTBLANK(OFFSET(A$1,,,SUMPRODUCT(MAX(ROW(E$2:E1325)*(E1325=E$2:E1325)))))-COUNTBLANK(OFFSET(A$1,,,SUMPRODUCT(MAX(ROW(E$1:E1324)*(E2=E$1:E1324))))))</f>
        <v/>
      </c>
      <c r="K1325" s="24" t="str">
        <f aca="false">IF(OR(E1325="",E1325="!!!",F1325="NEW"),"",INDEX(J$1:J1324,SUMPRODUCT(MAX(ROW(E$1:E1324)*(E1325=E$1:E1324)))))</f>
        <v/>
      </c>
      <c r="L1325" s="31"/>
    </row>
    <row r="1326" customFormat="false" ht="15" hidden="false" customHeight="false" outlineLevel="0" collapsed="false">
      <c r="A1326" s="20" t="s">
        <v>1637</v>
      </c>
      <c r="E1326" s="23" t="str">
        <f aca="false">IF(D1326="?OLD","!!!","")</f>
        <v/>
      </c>
      <c r="F1326" s="25" t="str">
        <f aca="false">IF(OR(E1326="",E1326="!!!"),"",IF(NOT(ISNA(VLOOKUP(E1326,E$1:E1325,1,FALSE()))),"OLD",IF(AND(E1326&lt;&gt;"",E1326&lt;&gt;"!!!"),"NEW","")))</f>
        <v/>
      </c>
      <c r="G1326" s="26" t="str">
        <f aca="false">IF(OR(E1326="",E1326="!!!"),"",IF(OR(J1326=0,AND(J1326=1,K1326=1),AND(J1326=1,I1326="SBJ"),AND(J1326=1,I1326=0)),"?IN_FOCUS",IF(J1326&lt;=2,"?ACTIVATED",IF(J1326&lt;&gt;"","?FAMILIAR",IF(F1326="NEW",IF(ISNA(VLOOKUP(E1326,#REF!,1,FALSE())),"?TYPE_IDENTIFIABLE","?REFERENTIAL"),"_")))))</f>
        <v/>
      </c>
      <c r="H1326" s="27" t="str">
        <f aca="false">IF(J1326&lt;&gt;1,"",IF(I1326="SBJ","CB","?"))</f>
        <v/>
      </c>
      <c r="I1326" s="24" t="str">
        <f aca="false">IF(OR(E1326="",E1326="!!!",F1326="NEW"),"",INDEX(B5:B$1322,-1+SUMPRODUCT(MAX(ROW(E5:E$1322)*(E1326=E5:E$1322)))))</f>
        <v/>
      </c>
      <c r="J1326" s="24" t="str">
        <f aca="true">IF(OR(E1326="",E1326="!!!",F1326="NEW"),"",COUNTBLANK(OFFSET(A$1,,,SUMPRODUCT(MAX(ROW(E$2:E1326)*(E1326=E$2:E1326)))))-COUNTBLANK(OFFSET(A$1,,,SUMPRODUCT(MAX(ROW(E$1:E1325)*(E2=E$1:E1325))))))</f>
        <v/>
      </c>
      <c r="K1326" s="24" t="str">
        <f aca="false">IF(OR(E1326="",E1326="!!!",F1326="NEW"),"",INDEX(J$1:J1325,SUMPRODUCT(MAX(ROW(E$1:E1325)*(E1326=E$1:E1325)))))</f>
        <v/>
      </c>
      <c r="L1326" s="31"/>
    </row>
    <row r="1327" customFormat="false" ht="15" hidden="false" customHeight="false" outlineLevel="0" collapsed="false">
      <c r="A1327" s="20" t="s">
        <v>1097</v>
      </c>
      <c r="B1327" s="22" t="s">
        <v>1107</v>
      </c>
      <c r="C1327" s="22" t="s">
        <v>1099</v>
      </c>
      <c r="D1327" s="22" t="s">
        <v>1060</v>
      </c>
      <c r="E1327" s="23" t="str">
        <f aca="false">IF(D1327="?OLD","!!!","")</f>
        <v>!!!</v>
      </c>
      <c r="F1327" s="25" t="str">
        <f aca="false">IF(OR(E1327="",E1327="!!!"),"",IF(NOT(ISNA(VLOOKUP(E1327,E$1:E1326,1,FALSE()))),"OLD",IF(AND(E1327&lt;&gt;"",E1327&lt;&gt;"!!!"),"NEW","")))</f>
        <v/>
      </c>
      <c r="G1327" s="26" t="str">
        <f aca="false">IF(OR(E1327="",E1327="!!!"),"",IF(OR(J1327=0,AND(J1327=1,K1327=1),AND(J1327=1,I1327="SBJ"),AND(J1327=1,I1327=0)),"?IN_FOCUS",IF(J1327&lt;=2,"?ACTIVATED",IF(J1327&lt;&gt;"","?FAMILIAR",IF(F1327="NEW",IF(ISNA(VLOOKUP(E1327,#REF!,1,FALSE())),"?TYPE_IDENTIFIABLE","?REFERENTIAL"),"_")))))</f>
        <v/>
      </c>
      <c r="H1327" s="27" t="str">
        <f aca="false">IF(J1327&lt;&gt;1,"",IF(I1327="SBJ","CB","?"))</f>
        <v/>
      </c>
      <c r="I1327" s="24" t="str">
        <f aca="false">IF(OR(E1327="",E1327="!!!",F1327="NEW"),"",INDEX(B6:B$1322,-1+SUMPRODUCT(MAX(ROW(E6:E$1322)*(E1327=E6:E$1322)))))</f>
        <v/>
      </c>
      <c r="J1327" s="24" t="str">
        <f aca="true">IF(OR(E1327="",E1327="!!!",F1327="NEW"),"",COUNTBLANK(OFFSET(A$1,,,SUMPRODUCT(MAX(ROW(E$2:E1327)*(E1327=E$2:E1327)))))-COUNTBLANK(OFFSET(A$1,,,SUMPRODUCT(MAX(ROW(E$1:E1326)*(E2=E$1:E1326))))))</f>
        <v/>
      </c>
      <c r="K1327" s="24" t="str">
        <f aca="false">IF(OR(E1327="",E1327="!!!",F1327="NEW"),"",INDEX(J$1:J1326,SUMPRODUCT(MAX(ROW(E$1:E1326)*(E1327=E$1:E1326)))))</f>
        <v/>
      </c>
      <c r="L1327" s="31"/>
    </row>
    <row r="1328" customFormat="false" ht="15" hidden="false" customHeight="false" outlineLevel="0" collapsed="false">
      <c r="A1328" s="20" t="s">
        <v>1638</v>
      </c>
      <c r="B1328" s="22" t="s">
        <v>1091</v>
      </c>
      <c r="C1328" s="22" t="s">
        <v>1059</v>
      </c>
      <c r="D1328" s="22" t="s">
        <v>1060</v>
      </c>
      <c r="E1328" s="23" t="str">
        <f aca="false">IF(D1328="?OLD","!!!","")</f>
        <v>!!!</v>
      </c>
      <c r="F1328" s="25" t="str">
        <f aca="false">IF(OR(E1328="",E1328="!!!"),"",IF(NOT(ISNA(VLOOKUP(E1328,E$1:E1327,1,FALSE()))),"OLD",IF(AND(E1328&lt;&gt;"",E1328&lt;&gt;"!!!"),"NEW","")))</f>
        <v/>
      </c>
      <c r="G1328" s="26" t="str">
        <f aca="false">IF(OR(E1328="",E1328="!!!"),"",IF(OR(J1328=0,AND(J1328=1,K1328=1),AND(J1328=1,I1328="SBJ"),AND(J1328=1,I1328=0)),"?IN_FOCUS",IF(J1328&lt;=2,"?ACTIVATED",IF(J1328&lt;&gt;"","?FAMILIAR",IF(F1328="NEW",IF(ISNA(VLOOKUP(E1328,#REF!,1,FALSE())),"?TYPE_IDENTIFIABLE","?REFERENTIAL"),"_")))))</f>
        <v/>
      </c>
      <c r="H1328" s="27" t="str">
        <f aca="false">IF(J1328&lt;&gt;1,"",IF(I1328="SBJ","CB","?"))</f>
        <v/>
      </c>
      <c r="I1328" s="24" t="str">
        <f aca="false">IF(OR(E1328="",E1328="!!!",F1328="NEW"),"",INDEX(B7:B$1322,-1+SUMPRODUCT(MAX(ROW(E7:E$1322)*(E1328=E7:E$1322)))))</f>
        <v/>
      </c>
      <c r="J1328" s="24" t="str">
        <f aca="true">IF(OR(E1328="",E1328="!!!",F1328="NEW"),"",COUNTBLANK(OFFSET(A$1,,,SUMPRODUCT(MAX(ROW(E$2:E1328)*(E1328=E$2:E1328)))))-COUNTBLANK(OFFSET(A$1,,,SUMPRODUCT(MAX(ROW(E$1:E1327)*(E2=E$1:E1327))))))</f>
        <v/>
      </c>
      <c r="K1328" s="24" t="str">
        <f aca="false">IF(OR(E1328="",E1328="!!!",F1328="NEW"),"",INDEX(J$1:J1327,SUMPRODUCT(MAX(ROW(E$1:E1327)*(E1328=E$1:E1327)))))</f>
        <v/>
      </c>
      <c r="L1328" s="31"/>
    </row>
    <row r="1329" customFormat="false" ht="15" hidden="false" customHeight="false" outlineLevel="0" collapsed="false">
      <c r="A1329" s="20" t="s">
        <v>1079</v>
      </c>
      <c r="E1329" s="23" t="str">
        <f aca="false">IF(D1329="?OLD","!!!","")</f>
        <v/>
      </c>
      <c r="F1329" s="25" t="str">
        <f aca="false">IF(OR(E1329="",E1329="!!!"),"",IF(NOT(ISNA(VLOOKUP(E1329,E$1:E1328,1,FALSE()))),"OLD",IF(AND(E1329&lt;&gt;"",E1329&lt;&gt;"!!!"),"NEW","")))</f>
        <v/>
      </c>
      <c r="G1329" s="26" t="str">
        <f aca="false">IF(OR(E1329="",E1329="!!!"),"",IF(OR(J1329=0,AND(J1329=1,K1329=1),AND(J1329=1,I1329="SBJ"),AND(J1329=1,I1329=0)),"?IN_FOCUS",IF(J1329&lt;=2,"?ACTIVATED",IF(J1329&lt;&gt;"","?FAMILIAR",IF(F1329="NEW",IF(ISNA(VLOOKUP(E1329,#REF!,1,FALSE())),"?TYPE_IDENTIFIABLE","?REFERENTIAL"),"_")))))</f>
        <v/>
      </c>
      <c r="H1329" s="27" t="str">
        <f aca="false">IF(J1329&lt;&gt;1,"",IF(I1329="SBJ","CB","?"))</f>
        <v/>
      </c>
      <c r="I1329" s="24" t="str">
        <f aca="false">IF(OR(E1329="",E1329="!!!",F1329="NEW"),"",INDEX(B8:B$1322,-1+SUMPRODUCT(MAX(ROW(E8:E$1322)*(E1329=E8:E$1322)))))</f>
        <v/>
      </c>
      <c r="J1329" s="24" t="str">
        <f aca="true">IF(OR(E1329="",E1329="!!!",F1329="NEW"),"",COUNTBLANK(OFFSET(A$1,,,SUMPRODUCT(MAX(ROW(E$2:E1329)*(E1329=E$2:E1329)))))-COUNTBLANK(OFFSET(A$1,,,SUMPRODUCT(MAX(ROW(E$1:E1328)*(E2=E$1:E1328))))))</f>
        <v/>
      </c>
      <c r="K1329" s="24" t="str">
        <f aca="false">IF(OR(E1329="",E1329="!!!",F1329="NEW"),"",INDEX(J$1:J1328,SUMPRODUCT(MAX(ROW(E$1:E1328)*(E1329=E$1:E1328)))))</f>
        <v/>
      </c>
      <c r="L1329" s="31"/>
    </row>
    <row r="1330" customFormat="false" ht="15" hidden="false" customHeight="false" outlineLevel="0" collapsed="false">
      <c r="A1330" s="20" t="s">
        <v>1639</v>
      </c>
      <c r="E1330" s="23" t="str">
        <f aca="false">IF(D1330="?OLD","!!!","")</f>
        <v/>
      </c>
      <c r="F1330" s="25" t="str">
        <f aca="false">IF(OR(E1330="",E1330="!!!"),"",IF(NOT(ISNA(VLOOKUP(E1330,E$1:E1329,1,FALSE()))),"OLD",IF(AND(E1330&lt;&gt;"",E1330&lt;&gt;"!!!"),"NEW","")))</f>
        <v/>
      </c>
      <c r="G1330" s="26" t="str">
        <f aca="false">IF(OR(E1330="",E1330="!!!"),"",IF(OR(J1330=0,AND(J1330=1,K1330=1),AND(J1330=1,I1330="SBJ"),AND(J1330=1,I1330=0)),"?IN_FOCUS",IF(J1330&lt;=2,"?ACTIVATED",IF(J1330&lt;&gt;"","?FAMILIAR",IF(F1330="NEW",IF(ISNA(VLOOKUP(E1330,#REF!,1,FALSE())),"?TYPE_IDENTIFIABLE","?REFERENTIAL"),"_")))))</f>
        <v/>
      </c>
      <c r="H1330" s="27" t="str">
        <f aca="false">IF(J1330&lt;&gt;1,"",IF(I1330="SBJ","CB","?"))</f>
        <v/>
      </c>
      <c r="I1330" s="24" t="str">
        <f aca="false">IF(OR(E1330="",E1330="!!!",F1330="NEW"),"",INDEX(B9:B$1322,-1+SUMPRODUCT(MAX(ROW(E9:E$1322)*(E1330=E9:E$1322)))))</f>
        <v/>
      </c>
      <c r="J1330" s="24" t="str">
        <f aca="true">IF(OR(E1330="",E1330="!!!",F1330="NEW"),"",COUNTBLANK(OFFSET(A$1,,,SUMPRODUCT(MAX(ROW(E$2:E1330)*(E1330=E$2:E1330)))))-COUNTBLANK(OFFSET(A$1,,,SUMPRODUCT(MAX(ROW(E$1:E1329)*(E2=E$1:E1329))))))</f>
        <v/>
      </c>
      <c r="K1330" s="24" t="str">
        <f aca="false">IF(OR(E1330="",E1330="!!!",F1330="NEW"),"",INDEX(J$1:J1329,SUMPRODUCT(MAX(ROW(E$1:E1329)*(E1330=E$1:E1329)))))</f>
        <v/>
      </c>
      <c r="L1330" s="31"/>
    </row>
    <row r="1331" customFormat="false" ht="15" hidden="false" customHeight="false" outlineLevel="0" collapsed="false">
      <c r="A1331" s="20" t="s">
        <v>1218</v>
      </c>
      <c r="E1331" s="23" t="str">
        <f aca="false">IF(D1331="?OLD","!!!","")</f>
        <v/>
      </c>
      <c r="F1331" s="25" t="str">
        <f aca="false">IF(OR(E1331="",E1331="!!!"),"",IF(NOT(ISNA(VLOOKUP(E1331,E$1:E1330,1,FALSE()))),"OLD",IF(AND(E1331&lt;&gt;"",E1331&lt;&gt;"!!!"),"NEW","")))</f>
        <v/>
      </c>
      <c r="G1331" s="26" t="str">
        <f aca="false">IF(OR(E1331="",E1331="!!!"),"",IF(OR(J1331=0,AND(J1331=1,K1331=1),AND(J1331=1,I1331="SBJ"),AND(J1331=1,I1331=0)),"?IN_FOCUS",IF(J1331&lt;=2,"?ACTIVATED",IF(J1331&lt;&gt;"","?FAMILIAR",IF(F1331="NEW",IF(ISNA(VLOOKUP(E1331,#REF!,1,FALSE())),"?TYPE_IDENTIFIABLE","?REFERENTIAL"),"_")))))</f>
        <v/>
      </c>
      <c r="H1331" s="27" t="str">
        <f aca="false">IF(J1331&lt;&gt;1,"",IF(I1331="SBJ","CB","?"))</f>
        <v/>
      </c>
      <c r="I1331" s="24" t="str">
        <f aca="false">IF(OR(E1331="",E1331="!!!",F1331="NEW"),"",INDEX(B10:B$1322,-1+SUMPRODUCT(MAX(ROW(E10:E$1322)*(E1331=E10:E$1322)))))</f>
        <v/>
      </c>
      <c r="J1331" s="24" t="str">
        <f aca="true">IF(OR(E1331="",E1331="!!!",F1331="NEW"),"",COUNTBLANK(OFFSET(A$1,,,SUMPRODUCT(MAX(ROW(E$2:E1331)*(E1331=E$2:E1331)))))-COUNTBLANK(OFFSET(A$1,,,SUMPRODUCT(MAX(ROW(E$1:E1330)*(E2=E$1:E1330))))))</f>
        <v/>
      </c>
      <c r="K1331" s="24" t="str">
        <f aca="false">IF(OR(E1331="",E1331="!!!",F1331="NEW"),"",INDEX(J$1:J1330,SUMPRODUCT(MAX(ROW(E$1:E1330)*(E1331=E$1:E1330)))))</f>
        <v/>
      </c>
      <c r="L1331" s="31"/>
    </row>
    <row r="1332" customFormat="false" ht="15" hidden="false" customHeight="false" outlineLevel="0" collapsed="false">
      <c r="A1332" s="20" t="s">
        <v>1097</v>
      </c>
      <c r="B1332" s="22" t="s">
        <v>1197</v>
      </c>
      <c r="C1332" s="22" t="s">
        <v>1082</v>
      </c>
      <c r="D1332" s="22" t="s">
        <v>1060</v>
      </c>
      <c r="E1332" s="23" t="str">
        <f aca="false">IF(D1332="?OLD","!!!","")</f>
        <v>!!!</v>
      </c>
      <c r="F1332" s="25" t="str">
        <f aca="false">IF(OR(E1332="",E1332="!!!"),"",IF(NOT(ISNA(VLOOKUP(E1332,E$1:E1331,1,FALSE()))),"OLD",IF(AND(E1332&lt;&gt;"",E1332&lt;&gt;"!!!"),"NEW","")))</f>
        <v/>
      </c>
      <c r="G1332" s="26" t="str">
        <f aca="false">IF(OR(E1332="",E1332="!!!"),"",IF(OR(J1332=0,AND(J1332=1,K1332=1),AND(J1332=1,I1332="SBJ"),AND(J1332=1,I1332=0)),"?IN_FOCUS",IF(J1332&lt;=2,"?ACTIVATED",IF(J1332&lt;&gt;"","?FAMILIAR",IF(F1332="NEW",IF(ISNA(VLOOKUP(E1332,#REF!,1,FALSE())),"?TYPE_IDENTIFIABLE","?REFERENTIAL"),"_")))))</f>
        <v/>
      </c>
      <c r="H1332" s="27" t="str">
        <f aca="false">IF(J1332&lt;&gt;1,"",IF(I1332="SBJ","CB","?"))</f>
        <v/>
      </c>
      <c r="I1332" s="24" t="str">
        <f aca="false">IF(OR(E1332="",E1332="!!!",F1332="NEW"),"",INDEX(B11:B$1322,-1+SUMPRODUCT(MAX(ROW(E11:E$1322)*(E1332=E11:E$1322)))))</f>
        <v/>
      </c>
      <c r="J1332" s="24" t="str">
        <f aca="true">IF(OR(E1332="",E1332="!!!",F1332="NEW"),"",COUNTBLANK(OFFSET(A$1,,,SUMPRODUCT(MAX(ROW(E$2:E1332)*(E1332=E$2:E1332)))))-COUNTBLANK(OFFSET(A$1,,,SUMPRODUCT(MAX(ROW(E$1:E1331)*(E2=E$1:E1331))))))</f>
        <v/>
      </c>
      <c r="K1332" s="24" t="str">
        <f aca="false">IF(OR(E1332="",E1332="!!!",F1332="NEW"),"",INDEX(J$1:J1331,SUMPRODUCT(MAX(ROW(E$1:E1331)*(E1332=E$1:E1331)))))</f>
        <v/>
      </c>
      <c r="L1332" s="31"/>
    </row>
    <row r="1333" customFormat="false" ht="15" hidden="false" customHeight="false" outlineLevel="0" collapsed="false">
      <c r="A1333" s="20" t="s">
        <v>1640</v>
      </c>
      <c r="E1333" s="23" t="str">
        <f aca="false">IF(D1333="?OLD","!!!","")</f>
        <v/>
      </c>
      <c r="F1333" s="25" t="str">
        <f aca="false">IF(OR(E1333="",E1333="!!!"),"",IF(NOT(ISNA(VLOOKUP(E1333,E$1:E1332,1,FALSE()))),"OLD",IF(AND(E1333&lt;&gt;"",E1333&lt;&gt;"!!!"),"NEW","")))</f>
        <v/>
      </c>
      <c r="G1333" s="26" t="str">
        <f aca="false">IF(OR(E1333="",E1333="!!!"),"",IF(OR(J1333=0,AND(J1333=1,K1333=1),AND(J1333=1,I1333="SBJ"),AND(J1333=1,I1333=0)),"?IN_FOCUS",IF(J1333&lt;=2,"?ACTIVATED",IF(J1333&lt;&gt;"","?FAMILIAR",IF(F1333="NEW",IF(ISNA(VLOOKUP(E1333,#REF!,1,FALSE())),"?TYPE_IDENTIFIABLE","?REFERENTIAL"),"_")))))</f>
        <v/>
      </c>
      <c r="H1333" s="27" t="str">
        <f aca="false">IF(J1333&lt;&gt;1,"",IF(I1333="SBJ","CB","?"))</f>
        <v/>
      </c>
      <c r="I1333" s="24" t="str">
        <f aca="false">IF(OR(E1333="",E1333="!!!",F1333="NEW"),"",INDEX(B12:B$1322,-1+SUMPRODUCT(MAX(ROW(E12:E$1322)*(E1333=E12:E$1322)))))</f>
        <v/>
      </c>
      <c r="J1333" s="24" t="str">
        <f aca="true">IF(OR(E1333="",E1333="!!!",F1333="NEW"),"",COUNTBLANK(OFFSET(A$1,,,SUMPRODUCT(MAX(ROW(E$2:E1333)*(E1333=E$2:E1333)))))-COUNTBLANK(OFFSET(A$1,,,SUMPRODUCT(MAX(ROW(E$1:E1332)*(E2=E$1:E1332))))))</f>
        <v/>
      </c>
      <c r="K1333" s="24" t="str">
        <f aca="false">IF(OR(E1333="",E1333="!!!",F1333="NEW"),"",INDEX(J$1:J1332,SUMPRODUCT(MAX(ROW(E$1:E1332)*(E1333=E$1:E1332)))))</f>
        <v/>
      </c>
      <c r="L1333" s="31"/>
    </row>
    <row r="1334" customFormat="false" ht="15" hidden="false" customHeight="false" outlineLevel="0" collapsed="false">
      <c r="A1334" s="20" t="s">
        <v>1547</v>
      </c>
      <c r="E1334" s="23" t="str">
        <f aca="false">IF(D1334="?OLD","!!!","")</f>
        <v/>
      </c>
      <c r="F1334" s="25" t="str">
        <f aca="false">IF(OR(E1334="",E1334="!!!"),"",IF(NOT(ISNA(VLOOKUP(E1334,E$1:E1333,1,FALSE()))),"OLD",IF(AND(E1334&lt;&gt;"",E1334&lt;&gt;"!!!"),"NEW","")))</f>
        <v/>
      </c>
      <c r="G1334" s="26" t="str">
        <f aca="false">IF(OR(E1334="",E1334="!!!"),"",IF(OR(J1334=0,AND(J1334=1,K1334=1),AND(J1334=1,I1334="SBJ"),AND(J1334=1,I1334=0)),"?IN_FOCUS",IF(J1334&lt;=2,"?ACTIVATED",IF(J1334&lt;&gt;"","?FAMILIAR",IF(F1334="NEW",IF(ISNA(VLOOKUP(E1334,#REF!,1,FALSE())),"?TYPE_IDENTIFIABLE","?REFERENTIAL"),"_")))))</f>
        <v/>
      </c>
      <c r="H1334" s="27" t="str">
        <f aca="false">IF(J1334&lt;&gt;1,"",IF(I1334="SBJ","CB","?"))</f>
        <v/>
      </c>
      <c r="I1334" s="24" t="str">
        <f aca="false">IF(OR(E1334="",E1334="!!!",F1334="NEW"),"",INDEX(B13:B$1322,-1+SUMPRODUCT(MAX(ROW(E13:E$1322)*(E1334=E13:E$1322)))))</f>
        <v/>
      </c>
      <c r="J1334" s="24" t="str">
        <f aca="true">IF(OR(E1334="",E1334="!!!",F1334="NEW"),"",COUNTBLANK(OFFSET(A$1,,,SUMPRODUCT(MAX(ROW(E$2:E1334)*(E1334=E$2:E1334)))))-COUNTBLANK(OFFSET(A$1,,,SUMPRODUCT(MAX(ROW(E$1:E1333)*(E2=E$1:E1333))))))</f>
        <v/>
      </c>
      <c r="K1334" s="24" t="str">
        <f aca="false">IF(OR(E1334="",E1334="!!!",F1334="NEW"),"",INDEX(J$1:J1333,SUMPRODUCT(MAX(ROW(E$1:E1333)*(E1334=E$1:E1333)))))</f>
        <v/>
      </c>
      <c r="L1334" s="31"/>
    </row>
    <row r="1335" customFormat="false" ht="15" hidden="false" customHeight="false" outlineLevel="0" collapsed="false">
      <c r="A1335" s="20" t="s">
        <v>1641</v>
      </c>
      <c r="E1335" s="23" t="str">
        <f aca="false">IF(D1335="?OLD","!!!","")</f>
        <v/>
      </c>
      <c r="F1335" s="25" t="str">
        <f aca="false">IF(OR(E1335="",E1335="!!!"),"",IF(NOT(ISNA(VLOOKUP(E1335,E$1:E1334,1,FALSE()))),"OLD",IF(AND(E1335&lt;&gt;"",E1335&lt;&gt;"!!!"),"NEW","")))</f>
        <v/>
      </c>
      <c r="G1335" s="26" t="str">
        <f aca="false">IF(OR(E1335="",E1335="!!!"),"",IF(OR(J1335=0,AND(J1335=1,K1335=1),AND(J1335=1,I1335="SBJ"),AND(J1335=1,I1335=0)),"?IN_FOCUS",IF(J1335&lt;=2,"?ACTIVATED",IF(J1335&lt;&gt;"","?FAMILIAR",IF(F1335="NEW",IF(ISNA(VLOOKUP(E1335,#REF!,1,FALSE())),"?TYPE_IDENTIFIABLE","?REFERENTIAL"),"_")))))</f>
        <v/>
      </c>
      <c r="H1335" s="27" t="str">
        <f aca="false">IF(J1335&lt;&gt;1,"",IF(I1335="SBJ","CB","?"))</f>
        <v/>
      </c>
      <c r="I1335" s="24" t="str">
        <f aca="false">IF(OR(E1335="",E1335="!!!",F1335="NEW"),"",INDEX(B14:B$1322,-1+SUMPRODUCT(MAX(ROW(E14:E$1322)*(E1335=E14:E$1322)))))</f>
        <v/>
      </c>
      <c r="J1335" s="24" t="str">
        <f aca="true">IF(OR(E1335="",E1335="!!!",F1335="NEW"),"",COUNTBLANK(OFFSET(A$1,,,SUMPRODUCT(MAX(ROW(E$2:E1335)*(E1335=E$2:E1335)))))-COUNTBLANK(OFFSET(A$1,,,SUMPRODUCT(MAX(ROW(E$1:E1334)*(E2=E$1:E1334))))))</f>
        <v/>
      </c>
      <c r="K1335" s="24" t="str">
        <f aca="false">IF(OR(E1335="",E1335="!!!",F1335="NEW"),"",INDEX(J$1:J1334,SUMPRODUCT(MAX(ROW(E$1:E1334)*(E1335=E$1:E1334)))))</f>
        <v/>
      </c>
      <c r="L1335" s="31"/>
    </row>
    <row r="1336" customFormat="false" ht="15" hidden="false" customHeight="false" outlineLevel="0" collapsed="false">
      <c r="A1336" s="20" t="s">
        <v>1109</v>
      </c>
      <c r="E1336" s="23" t="str">
        <f aca="false">IF(D1336="?OLD","!!!","")</f>
        <v/>
      </c>
      <c r="F1336" s="25" t="str">
        <f aca="false">IF(OR(E1336="",E1336="!!!"),"",IF(NOT(ISNA(VLOOKUP(E1336,E$1:E1335,1,FALSE()))),"OLD",IF(AND(E1336&lt;&gt;"",E1336&lt;&gt;"!!!"),"NEW","")))</f>
        <v/>
      </c>
      <c r="G1336" s="26" t="str">
        <f aca="false">IF(OR(E1336="",E1336="!!!"),"",IF(OR(J1336=0,AND(J1336=1,K1336=1),AND(J1336=1,I1336="SBJ"),AND(J1336=1,I1336=0)),"?IN_FOCUS",IF(J1336&lt;=2,"?ACTIVATED",IF(J1336&lt;&gt;"","?FAMILIAR",IF(F1336="NEW",IF(ISNA(VLOOKUP(E1336,#REF!,1,FALSE())),"?TYPE_IDENTIFIABLE","?REFERENTIAL"),"_")))))</f>
        <v/>
      </c>
      <c r="H1336" s="27" t="str">
        <f aca="false">IF(J1336&lt;&gt;1,"",IF(I1336="SBJ","CB","?"))</f>
        <v/>
      </c>
      <c r="I1336" s="24" t="str">
        <f aca="false">IF(OR(E1336="",E1336="!!!",F1336="NEW"),"",INDEX(B15:B$1322,-1+SUMPRODUCT(MAX(ROW(E15:E$1322)*(E1336=E15:E$1322)))))</f>
        <v/>
      </c>
      <c r="J1336" s="24" t="str">
        <f aca="true">IF(OR(E1336="",E1336="!!!",F1336="NEW"),"",COUNTBLANK(OFFSET(A$1,,,SUMPRODUCT(MAX(ROW(E$2:E1336)*(E1336=E$2:E1336)))))-COUNTBLANK(OFFSET(A$1,,,SUMPRODUCT(MAX(ROW(E$1:E1335)*(E2=E$1:E1335))))))</f>
        <v/>
      </c>
      <c r="K1336" s="24" t="str">
        <f aca="false">IF(OR(E1336="",E1336="!!!",F1336="NEW"),"",INDEX(J$1:J1335,SUMPRODUCT(MAX(ROW(E$1:E1335)*(E1336=E$1:E1335)))))</f>
        <v/>
      </c>
      <c r="L1336" s="31"/>
    </row>
    <row r="1337" customFormat="false" ht="15" hidden="false" customHeight="false" outlineLevel="0" collapsed="false">
      <c r="A1337" s="20" t="s">
        <v>1358</v>
      </c>
      <c r="B1337" s="22" t="s">
        <v>1107</v>
      </c>
      <c r="C1337" s="22" t="s">
        <v>1150</v>
      </c>
      <c r="D1337" s="22" t="s">
        <v>1060</v>
      </c>
      <c r="E1337" s="23" t="str">
        <f aca="false">IF(D1337="?OLD","!!!","")</f>
        <v>!!!</v>
      </c>
      <c r="F1337" s="25" t="str">
        <f aca="false">IF(OR(E1337="",E1337="!!!"),"",IF(NOT(ISNA(VLOOKUP(E1337,E$1:E1336,1,FALSE()))),"OLD",IF(AND(E1337&lt;&gt;"",E1337&lt;&gt;"!!!"),"NEW","")))</f>
        <v/>
      </c>
      <c r="G1337" s="26" t="str">
        <f aca="false">IF(OR(E1337="",E1337="!!!"),"",IF(OR(J1337=0,AND(J1337=1,K1337=1),AND(J1337=1,I1337="SBJ"),AND(J1337=1,I1337=0)),"?IN_FOCUS",IF(J1337&lt;=2,"?ACTIVATED",IF(J1337&lt;&gt;"","?FAMILIAR",IF(F1337="NEW",IF(ISNA(VLOOKUP(E1337,#REF!,1,FALSE())),"?TYPE_IDENTIFIABLE","?REFERENTIAL"),"_")))))</f>
        <v/>
      </c>
      <c r="H1337" s="27" t="str">
        <f aca="false">IF(J1337&lt;&gt;1,"",IF(I1337="SBJ","CB","?"))</f>
        <v/>
      </c>
      <c r="I1337" s="24" t="str">
        <f aca="false">IF(OR(E1337="",E1337="!!!",F1337="NEW"),"",INDEX(B16:B$1322,-1+SUMPRODUCT(MAX(ROW(E16:E$1322)*(E1337=E16:E$1322)))))</f>
        <v/>
      </c>
      <c r="J1337" s="24" t="str">
        <f aca="true">IF(OR(E1337="",E1337="!!!",F1337="NEW"),"",COUNTBLANK(OFFSET(A$1,,,SUMPRODUCT(MAX(ROW(E$2:E1337)*(E1337=E$2:E1337)))))-COUNTBLANK(OFFSET(A$1,,,SUMPRODUCT(MAX(ROW(E$1:E1336)*(E2=E$1:E1336))))))</f>
        <v/>
      </c>
      <c r="K1337" s="24" t="str">
        <f aca="false">IF(OR(E1337="",E1337="!!!",F1337="NEW"),"",INDEX(J$1:J1336,SUMPRODUCT(MAX(ROW(E$1:E1336)*(E1337=E$1:E1336)))))</f>
        <v/>
      </c>
      <c r="L1337" s="31"/>
    </row>
    <row r="1338" customFormat="false" ht="15" hidden="false" customHeight="false" outlineLevel="0" collapsed="false">
      <c r="A1338" s="20" t="s">
        <v>1369</v>
      </c>
      <c r="E1338" s="23" t="str">
        <f aca="false">IF(D1338="?OLD","!!!","")</f>
        <v/>
      </c>
      <c r="F1338" s="25" t="str">
        <f aca="false">IF(OR(E1338="",E1338="!!!"),"",IF(NOT(ISNA(VLOOKUP(E1338,E$1:E1337,1,FALSE()))),"OLD",IF(AND(E1338&lt;&gt;"",E1338&lt;&gt;"!!!"),"NEW","")))</f>
        <v/>
      </c>
      <c r="G1338" s="26" t="str">
        <f aca="false">IF(OR(E1338="",E1338="!!!"),"",IF(OR(J1338=0,AND(J1338=1,K1338=1),AND(J1338=1,I1338="SBJ"),AND(J1338=1,I1338=0)),"?IN_FOCUS",IF(J1338&lt;=2,"?ACTIVATED",IF(J1338&lt;&gt;"","?FAMILIAR",IF(F1338="NEW",IF(ISNA(VLOOKUP(E1338,#REF!,1,FALSE())),"?TYPE_IDENTIFIABLE","?REFERENTIAL"),"_")))))</f>
        <v/>
      </c>
      <c r="H1338" s="27" t="str">
        <f aca="false">IF(J1338&lt;&gt;1,"",IF(I1338="SBJ","CB","?"))</f>
        <v/>
      </c>
      <c r="I1338" s="24" t="str">
        <f aca="false">IF(OR(E1338="",E1338="!!!",F1338="NEW"),"",INDEX(B17:B$1322,-1+SUMPRODUCT(MAX(ROW(E17:E$1322)*(E1338=E17:E$1322)))))</f>
        <v/>
      </c>
      <c r="J1338" s="24" t="str">
        <f aca="true">IF(OR(E1338="",E1338="!!!",F1338="NEW"),"",COUNTBLANK(OFFSET(A$1,,,SUMPRODUCT(MAX(ROW(E$2:E1338)*(E1338=E$2:E1338)))))-COUNTBLANK(OFFSET(A$1,,,SUMPRODUCT(MAX(ROW(E$1:E1337)*(E2=E$1:E1337))))))</f>
        <v/>
      </c>
      <c r="K1338" s="24" t="str">
        <f aca="false">IF(OR(E1338="",E1338="!!!",F1338="NEW"),"",INDEX(J$1:J1337,SUMPRODUCT(MAX(ROW(E$1:E1337)*(E1338=E$1:E1337)))))</f>
        <v/>
      </c>
      <c r="L1338" s="31"/>
    </row>
    <row r="1339" customFormat="false" ht="15" hidden="false" customHeight="false" outlineLevel="0" collapsed="false">
      <c r="A1339" s="20" t="s">
        <v>1360</v>
      </c>
      <c r="E1339" s="23" t="str">
        <f aca="false">IF(D1339="?OLD","!!!","")</f>
        <v/>
      </c>
      <c r="F1339" s="25" t="str">
        <f aca="false">IF(OR(E1339="",E1339="!!!"),"",IF(NOT(ISNA(VLOOKUP(E1339,E$1:E1338,1,FALSE()))),"OLD",IF(AND(E1339&lt;&gt;"",E1339&lt;&gt;"!!!"),"NEW","")))</f>
        <v/>
      </c>
      <c r="G1339" s="26" t="str">
        <f aca="false">IF(OR(E1339="",E1339="!!!"),"",IF(OR(J1339=0,AND(J1339=1,K1339=1),AND(J1339=1,I1339="SBJ"),AND(J1339=1,I1339=0)),"?IN_FOCUS",IF(J1339&lt;=2,"?ACTIVATED",IF(J1339&lt;&gt;"","?FAMILIAR",IF(F1339="NEW",IF(ISNA(VLOOKUP(E1339,#REF!,1,FALSE())),"?TYPE_IDENTIFIABLE","?REFERENTIAL"),"_")))))</f>
        <v/>
      </c>
      <c r="H1339" s="27" t="str">
        <f aca="false">IF(J1339&lt;&gt;1,"",IF(I1339="SBJ","CB","?"))</f>
        <v/>
      </c>
      <c r="I1339" s="24" t="str">
        <f aca="false">IF(OR(E1339="",E1339="!!!",F1339="NEW"),"",INDEX(B18:B$1322,-1+SUMPRODUCT(MAX(ROW(E18:E$1322)*(E1339=E18:E$1322)))))</f>
        <v/>
      </c>
      <c r="J1339" s="24" t="str">
        <f aca="true">IF(OR(E1339="",E1339="!!!",F1339="NEW"),"",COUNTBLANK(OFFSET(A$1,,,SUMPRODUCT(MAX(ROW(E$2:E1339)*(E1339=E$2:E1339)))))-COUNTBLANK(OFFSET(A$1,,,SUMPRODUCT(MAX(ROW(E$1:E1338)*(E2=E$1:E1338))))))</f>
        <v/>
      </c>
      <c r="K1339" s="24" t="str">
        <f aca="false">IF(OR(E1339="",E1339="!!!",F1339="NEW"),"",INDEX(J$1:J1338,SUMPRODUCT(MAX(ROW(E$1:E1338)*(E1339=E$1:E1338)))))</f>
        <v/>
      </c>
      <c r="L1339" s="31"/>
    </row>
    <row r="1340" customFormat="false" ht="15" hidden="false" customHeight="false" outlineLevel="0" collapsed="false">
      <c r="A1340" s="20" t="s">
        <v>1109</v>
      </c>
      <c r="E1340" s="23" t="str">
        <f aca="false">IF(D1340="?OLD","!!!","")</f>
        <v/>
      </c>
      <c r="F1340" s="25" t="str">
        <f aca="false">IF(OR(E1340="",E1340="!!!"),"",IF(NOT(ISNA(VLOOKUP(E1340,E$1:E1339,1,FALSE()))),"OLD",IF(AND(E1340&lt;&gt;"",E1340&lt;&gt;"!!!"),"NEW","")))</f>
        <v/>
      </c>
      <c r="G1340" s="26" t="str">
        <f aca="false">IF(OR(E1340="",E1340="!!!"),"",IF(OR(J1340=0,AND(J1340=1,K1340=1),AND(J1340=1,I1340="SBJ"),AND(J1340=1,I1340=0)),"?IN_FOCUS",IF(J1340&lt;=2,"?ACTIVATED",IF(J1340&lt;&gt;"","?FAMILIAR",IF(F1340="NEW",IF(ISNA(VLOOKUP(E1340,#REF!,1,FALSE())),"?TYPE_IDENTIFIABLE","?REFERENTIAL"),"_")))))</f>
        <v/>
      </c>
      <c r="H1340" s="27" t="str">
        <f aca="false">IF(J1340&lt;&gt;1,"",IF(I1340="SBJ","CB","?"))</f>
        <v/>
      </c>
      <c r="I1340" s="24" t="str">
        <f aca="false">IF(OR(E1340="",E1340="!!!",F1340="NEW"),"",INDEX(B19:B$1322,-1+SUMPRODUCT(MAX(ROW(E19:E$1322)*(E1340=E19:E$1322)))))</f>
        <v/>
      </c>
      <c r="J1340" s="24" t="str">
        <f aca="true">IF(OR(E1340="",E1340="!!!",F1340="NEW"),"",COUNTBLANK(OFFSET(A$1,,,SUMPRODUCT(MAX(ROW(E$2:E1340)*(E1340=E$2:E1340)))))-COUNTBLANK(OFFSET(A$1,,,SUMPRODUCT(MAX(ROW(E$1:E1339)*(E2=E$1:E1339))))))</f>
        <v/>
      </c>
      <c r="K1340" s="24" t="str">
        <f aca="false">IF(OR(E1340="",E1340="!!!",F1340="NEW"),"",INDEX(J$1:J1339,SUMPRODUCT(MAX(ROW(E$1:E1339)*(E1340=E$1:E1339)))))</f>
        <v/>
      </c>
      <c r="L1340" s="31"/>
    </row>
    <row r="1341" customFormat="false" ht="15" hidden="false" customHeight="false" outlineLevel="0" collapsed="false">
      <c r="A1341" s="20" t="s">
        <v>1458</v>
      </c>
      <c r="B1341" s="22" t="s">
        <v>1105</v>
      </c>
      <c r="C1341" s="22" t="s">
        <v>1150</v>
      </c>
      <c r="D1341" s="22" t="s">
        <v>1060</v>
      </c>
      <c r="E1341" s="23" t="str">
        <f aca="false">IF(D1341="?OLD","!!!","")</f>
        <v>!!!</v>
      </c>
      <c r="F1341" s="25" t="str">
        <f aca="false">IF(OR(E1341="",E1341="!!!"),"",IF(NOT(ISNA(VLOOKUP(E1341,E$1:E1340,1,FALSE()))),"OLD",IF(AND(E1341&lt;&gt;"",E1341&lt;&gt;"!!!"),"NEW","")))</f>
        <v/>
      </c>
      <c r="G1341" s="26" t="str">
        <f aca="false">IF(OR(E1341="",E1341="!!!"),"",IF(OR(J1341=0,AND(J1341=1,K1341=1),AND(J1341=1,I1341="SBJ"),AND(J1341=1,I1341=0)),"?IN_FOCUS",IF(J1341&lt;=2,"?ACTIVATED",IF(J1341&lt;&gt;"","?FAMILIAR",IF(F1341="NEW",IF(ISNA(VLOOKUP(E1341,#REF!,1,FALSE())),"?TYPE_IDENTIFIABLE","?REFERENTIAL"),"_")))))</f>
        <v/>
      </c>
      <c r="H1341" s="27" t="str">
        <f aca="false">IF(J1341&lt;&gt;1,"",IF(I1341="SBJ","CB","?"))</f>
        <v/>
      </c>
      <c r="I1341" s="24" t="str">
        <f aca="false">IF(OR(E1341="",E1341="!!!",F1341="NEW"),"",INDEX(B20:B$1322,-1+SUMPRODUCT(MAX(ROW(E20:E$1322)*(E1341=E20:E$1322)))))</f>
        <v/>
      </c>
      <c r="J1341" s="24" t="str">
        <f aca="true">IF(OR(E1341="",E1341="!!!",F1341="NEW"),"",COUNTBLANK(OFFSET(A$1,,,SUMPRODUCT(MAX(ROW(E$2:E1341)*(E1341=E$2:E1341)))))-COUNTBLANK(OFFSET(A$1,,,SUMPRODUCT(MAX(ROW(E$1:E1340)*(E2=E$1:E1340))))))</f>
        <v/>
      </c>
      <c r="K1341" s="24" t="str">
        <f aca="false">IF(OR(E1341="",E1341="!!!",F1341="NEW"),"",INDEX(J$1:J1340,SUMPRODUCT(MAX(ROW(E$1:E1340)*(E1341=E$1:E1340)))))</f>
        <v/>
      </c>
      <c r="L1341" s="31"/>
    </row>
    <row r="1342" customFormat="false" ht="15" hidden="false" customHeight="false" outlineLevel="0" collapsed="false">
      <c r="A1342" s="20" t="s">
        <v>923</v>
      </c>
      <c r="E1342" s="23" t="str">
        <f aca="false">IF(D1342="?OLD","!!!","")</f>
        <v/>
      </c>
      <c r="F1342" s="25" t="str">
        <f aca="false">IF(OR(E1342="",E1342="!!!"),"",IF(NOT(ISNA(VLOOKUP(E1342,E$1:E1341,1,FALSE()))),"OLD",IF(AND(E1342&lt;&gt;"",E1342&lt;&gt;"!!!"),"NEW","")))</f>
        <v/>
      </c>
      <c r="G1342" s="26" t="str">
        <f aca="false">IF(OR(E1342="",E1342="!!!"),"",IF(OR(J1342=0,AND(J1342=1,K1342=1),AND(J1342=1,I1342="SBJ"),AND(J1342=1,I1342=0)),"?IN_FOCUS",IF(J1342&lt;=2,"?ACTIVATED",IF(J1342&lt;&gt;"","?FAMILIAR",IF(F1342="NEW",IF(ISNA(VLOOKUP(E1342,#REF!,1,FALSE())),"?TYPE_IDENTIFIABLE","?REFERENTIAL"),"_")))))</f>
        <v/>
      </c>
      <c r="H1342" s="27" t="str">
        <f aca="false">IF(J1342&lt;&gt;1,"",IF(I1342="SBJ","CB","?"))</f>
        <v/>
      </c>
      <c r="I1342" s="24" t="str">
        <f aca="false">IF(OR(E1342="",E1342="!!!",F1342="NEW"),"",INDEX(B21:B$1322,-1+SUMPRODUCT(MAX(ROW(E21:E$1322)*(E1342=E21:E$1322)))))</f>
        <v/>
      </c>
      <c r="J1342" s="24" t="str">
        <f aca="true">IF(OR(E1342="",E1342="!!!",F1342="NEW"),"",COUNTBLANK(OFFSET(A$1,,,SUMPRODUCT(MAX(ROW(E$2:E1342)*(E1342=E$2:E1342)))))-COUNTBLANK(OFFSET(A$1,,,SUMPRODUCT(MAX(ROW(E$1:E1341)*(E2=E$1:E1341))))))</f>
        <v/>
      </c>
      <c r="K1342" s="24" t="str">
        <f aca="false">IF(OR(E1342="",E1342="!!!",F1342="NEW"),"",INDEX(J$1:J1341,SUMPRODUCT(MAX(ROW(E$1:E1341)*(E1342=E$1:E1341)))))</f>
        <v/>
      </c>
      <c r="L1342" s="31"/>
    </row>
    <row r="1343" customFormat="false" ht="15" hidden="false" customHeight="false" outlineLevel="0" collapsed="false">
      <c r="A1343" s="20" t="s">
        <v>607</v>
      </c>
      <c r="E1343" s="23" t="str">
        <f aca="false">IF(D1343="?OLD","!!!","")</f>
        <v/>
      </c>
      <c r="F1343" s="25" t="str">
        <f aca="false">IF(OR(E1343="",E1343="!!!"),"",IF(NOT(ISNA(VLOOKUP(E1343,E$1:E1342,1,FALSE()))),"OLD",IF(AND(E1343&lt;&gt;"",E1343&lt;&gt;"!!!"),"NEW","")))</f>
        <v/>
      </c>
      <c r="G1343" s="26" t="str">
        <f aca="false">IF(OR(E1343="",E1343="!!!"),"",IF(OR(J1343=0,AND(J1343=1,K1343=1),AND(J1343=1,I1343="SBJ"),AND(J1343=1,I1343=0)),"?IN_FOCUS",IF(J1343&lt;=2,"?ACTIVATED",IF(J1343&lt;&gt;"","?FAMILIAR",IF(F1343="NEW",IF(ISNA(VLOOKUP(E1343,#REF!,1,FALSE())),"?TYPE_IDENTIFIABLE","?REFERENTIAL"),"_")))))</f>
        <v/>
      </c>
      <c r="H1343" s="27" t="str">
        <f aca="false">IF(J1343&lt;&gt;1,"",IF(I1343="SBJ","CB","?"))</f>
        <v/>
      </c>
      <c r="I1343" s="24" t="str">
        <f aca="false">IF(OR(E1343="",E1343="!!!",F1343="NEW"),"",INDEX(B22:B$1322,-1+SUMPRODUCT(MAX(ROW(E22:E$1322)*(E1343=E22:E$1322)))))</f>
        <v/>
      </c>
      <c r="J1343" s="24" t="str">
        <f aca="true">IF(OR(E1343="",E1343="!!!",F1343="NEW"),"",COUNTBLANK(OFFSET(A$1,,,SUMPRODUCT(MAX(ROW(E$2:E1343)*(E1343=E$2:E1343)))))-COUNTBLANK(OFFSET(A$1,,,SUMPRODUCT(MAX(ROW(E$1:E1342)*(E2=E$1:E1342))))))</f>
        <v/>
      </c>
      <c r="K1343" s="24" t="str">
        <f aca="false">IF(OR(E1343="",E1343="!!!",F1343="NEW"),"",INDEX(J$1:J1342,SUMPRODUCT(MAX(ROW(E$1:E1342)*(E1343=E$1:E1342)))))</f>
        <v/>
      </c>
      <c r="L1343" s="31"/>
    </row>
    <row r="1344" customFormat="false" ht="15" hidden="false" customHeight="false" outlineLevel="0" collapsed="false">
      <c r="A1344" s="20"/>
    </row>
    <row r="1345" customFormat="false" ht="15" hidden="false" customHeight="false" outlineLevel="0" collapsed="false">
      <c r="A1345" s="20" t="s">
        <v>1642</v>
      </c>
    </row>
    <row r="1346" customFormat="false" ht="15" hidden="false" customHeight="false" outlineLevel="0" collapsed="false">
      <c r="A1346" s="20" t="s">
        <v>1148</v>
      </c>
      <c r="E1346" s="23" t="str">
        <f aca="false">IF(D1346="?OLD","!!!","")</f>
        <v/>
      </c>
      <c r="F1346" s="25" t="str">
        <f aca="false">IF(OR(E1346="",E1346="!!!"),"",IF(NOT(ISNA(VLOOKUP(E1346,E$1:E1345,1,FALSE()))),"OLD",IF(AND(E1346&lt;&gt;"",E1346&lt;&gt;"!!!"),"NEW","")))</f>
        <v/>
      </c>
      <c r="G1346" s="26" t="str">
        <f aca="false">IF(OR(E1346="",E1346="!!!"),"",IF(OR(J1346=0,AND(J1346=1,K1346=1),AND(J1346=1,I1346="SBJ"),AND(J1346=1,I1346=0)),"?IN_FOCUS",IF(J1346&lt;=2,"?ACTIVATED",IF(J1346&lt;&gt;"","?FAMILIAR",IF(F1346="NEW",IF(ISNA(VLOOKUP(E1346,#REF!,1,FALSE())),"?TYPE_IDENTIFIABLE","?REFERENTIAL"),"_")))))</f>
        <v/>
      </c>
      <c r="H1346" s="27" t="str">
        <f aca="false">IF(J1346&lt;&gt;1,"",IF(I1346="SBJ","CB","?"))</f>
        <v/>
      </c>
      <c r="I1346" s="24" t="str">
        <f aca="false">IF(OR(E1346="",E1346="!!!",F1346="NEW"),"",INDEX(B2:B$1345,-1+SUMPRODUCT(MAX(ROW(E2:E$1345)*(E1346=E2:E$1345)))))</f>
        <v/>
      </c>
      <c r="J1346" s="24" t="str">
        <f aca="true">IF(OR(E1346="",E1346="!!!",F1346="NEW"),"",COUNTBLANK(OFFSET(A$1,,,SUMPRODUCT(MAX(ROW(E$2:E1346)*(E1346=E$2:E1346)))))-COUNTBLANK(OFFSET(A$1,,,SUMPRODUCT(MAX(ROW(E$1:E1345)*(E2=E$1:E1345))))))</f>
        <v/>
      </c>
      <c r="K1346" s="24" t="str">
        <f aca="false">IF(OR(E1346="",E1346="!!!",F1346="NEW"),"",INDEX(J$1:J1345,SUMPRODUCT(MAX(ROW(E$1:E1345)*(E1346=E$1:E1345)))))</f>
        <v/>
      </c>
      <c r="L1346" s="31"/>
    </row>
    <row r="1347" customFormat="false" ht="15" hidden="false" customHeight="false" outlineLevel="0" collapsed="false">
      <c r="A1347" s="20" t="s">
        <v>1643</v>
      </c>
      <c r="B1347" s="22" t="s">
        <v>1058</v>
      </c>
      <c r="C1347" s="22" t="s">
        <v>1150</v>
      </c>
      <c r="D1347" s="22" t="s">
        <v>1060</v>
      </c>
      <c r="E1347" s="23" t="str">
        <f aca="false">IF(D1347="?OLD","!!!","")</f>
        <v>!!!</v>
      </c>
      <c r="F1347" s="25" t="str">
        <f aca="false">IF(OR(E1347="",E1347="!!!"),"",IF(NOT(ISNA(VLOOKUP(E1347,E$1:E1346,1,FALSE()))),"OLD",IF(AND(E1347&lt;&gt;"",E1347&lt;&gt;"!!!"),"NEW","")))</f>
        <v/>
      </c>
      <c r="G1347" s="26" t="str">
        <f aca="false">IF(OR(E1347="",E1347="!!!"),"",IF(OR(J1347=0,AND(J1347=1,K1347=1),AND(J1347=1,I1347="SBJ"),AND(J1347=1,I1347=0)),"?IN_FOCUS",IF(J1347&lt;=2,"?ACTIVATED",IF(J1347&lt;&gt;"","?FAMILIAR",IF(F1347="NEW",IF(ISNA(VLOOKUP(E1347,#REF!,1,FALSE())),"?TYPE_IDENTIFIABLE","?REFERENTIAL"),"_")))))</f>
        <v/>
      </c>
      <c r="H1347" s="27" t="str">
        <f aca="false">IF(J1347&lt;&gt;1,"",IF(I1347="SBJ","CB","?"))</f>
        <v/>
      </c>
      <c r="I1347" s="24" t="str">
        <f aca="false">IF(OR(E1347="",E1347="!!!",F1347="NEW"),"",INDEX(B3:B$1345,-1+SUMPRODUCT(MAX(ROW(E3:E$1345)*(E1347=E3:E$1345)))))</f>
        <v/>
      </c>
      <c r="J1347" s="24" t="str">
        <f aca="true">IF(OR(E1347="",E1347="!!!",F1347="NEW"),"",COUNTBLANK(OFFSET(A$1,,,SUMPRODUCT(MAX(ROW(E$2:E1347)*(E1347=E$2:E1347)))))-COUNTBLANK(OFFSET(A$1,,,SUMPRODUCT(MAX(ROW(E$1:E1346)*(E2=E$1:E1346))))))</f>
        <v/>
      </c>
      <c r="K1347" s="24" t="str">
        <f aca="false">IF(OR(E1347="",E1347="!!!",F1347="NEW"),"",INDEX(J$1:J1346,SUMPRODUCT(MAX(ROW(E$1:E1346)*(E1347=E$1:E1346)))))</f>
        <v/>
      </c>
      <c r="L1347" s="31"/>
    </row>
    <row r="1348" customFormat="false" ht="15" hidden="false" customHeight="false" outlineLevel="0" collapsed="false">
      <c r="A1348" s="20" t="s">
        <v>1092</v>
      </c>
      <c r="E1348" s="23" t="str">
        <f aca="false">IF(D1348="?OLD","!!!","")</f>
        <v/>
      </c>
      <c r="F1348" s="25" t="str">
        <f aca="false">IF(OR(E1348="",E1348="!!!"),"",IF(NOT(ISNA(VLOOKUP(E1348,E$1:E1347,1,FALSE()))),"OLD",IF(AND(E1348&lt;&gt;"",E1348&lt;&gt;"!!!"),"NEW","")))</f>
        <v/>
      </c>
      <c r="G1348" s="26" t="str">
        <f aca="false">IF(OR(E1348="",E1348="!!!"),"",IF(OR(J1348=0,AND(J1348=1,K1348=1),AND(J1348=1,I1348="SBJ"),AND(J1348=1,I1348=0)),"?IN_FOCUS",IF(J1348&lt;=2,"?ACTIVATED",IF(J1348&lt;&gt;"","?FAMILIAR",IF(F1348="NEW",IF(ISNA(VLOOKUP(E1348,#REF!,1,FALSE())),"?TYPE_IDENTIFIABLE","?REFERENTIAL"),"_")))))</f>
        <v/>
      </c>
      <c r="H1348" s="27" t="str">
        <f aca="false">IF(J1348&lt;&gt;1,"",IF(I1348="SBJ","CB","?"))</f>
        <v/>
      </c>
      <c r="I1348" s="24" t="str">
        <f aca="false">IF(OR(E1348="",E1348="!!!",F1348="NEW"),"",INDEX(B4:B$1345,-1+SUMPRODUCT(MAX(ROW(E4:E$1345)*(E1348=E4:E$1345)))))</f>
        <v/>
      </c>
      <c r="J1348" s="24" t="str">
        <f aca="true">IF(OR(E1348="",E1348="!!!",F1348="NEW"),"",COUNTBLANK(OFFSET(A$1,,,SUMPRODUCT(MAX(ROW(E$2:E1348)*(E1348=E$2:E1348)))))-COUNTBLANK(OFFSET(A$1,,,SUMPRODUCT(MAX(ROW(E$1:E1347)*(E2=E$1:E1347))))))</f>
        <v/>
      </c>
      <c r="K1348" s="24" t="str">
        <f aca="false">IF(OR(E1348="",E1348="!!!",F1348="NEW"),"",INDEX(J$1:J1347,SUMPRODUCT(MAX(ROW(E$1:E1347)*(E1348=E$1:E1347)))))</f>
        <v/>
      </c>
      <c r="L1348" s="31"/>
    </row>
    <row r="1349" customFormat="false" ht="15" hidden="false" customHeight="false" outlineLevel="0" collapsed="false">
      <c r="A1349" s="20" t="s">
        <v>1644</v>
      </c>
      <c r="E1349" s="23" t="str">
        <f aca="false">IF(D1349="?OLD","!!!","")</f>
        <v/>
      </c>
      <c r="F1349" s="25" t="str">
        <f aca="false">IF(OR(E1349="",E1349="!!!"),"",IF(NOT(ISNA(VLOOKUP(E1349,E$1:E1348,1,FALSE()))),"OLD",IF(AND(E1349&lt;&gt;"",E1349&lt;&gt;"!!!"),"NEW","")))</f>
        <v/>
      </c>
      <c r="G1349" s="26" t="str">
        <f aca="false">IF(OR(E1349="",E1349="!!!"),"",IF(OR(J1349=0,AND(J1349=1,K1349=1),AND(J1349=1,I1349="SBJ"),AND(J1349=1,I1349=0)),"?IN_FOCUS",IF(J1349&lt;=2,"?ACTIVATED",IF(J1349&lt;&gt;"","?FAMILIAR",IF(F1349="NEW",IF(ISNA(VLOOKUP(E1349,#REF!,1,FALSE())),"?TYPE_IDENTIFIABLE","?REFERENTIAL"),"_")))))</f>
        <v/>
      </c>
      <c r="H1349" s="27" t="str">
        <f aca="false">IF(J1349&lt;&gt;1,"",IF(I1349="SBJ","CB","?"))</f>
        <v/>
      </c>
      <c r="I1349" s="24" t="str">
        <f aca="false">IF(OR(E1349="",E1349="!!!",F1349="NEW"),"",INDEX(B5:B$1345,-1+SUMPRODUCT(MAX(ROW(E5:E$1345)*(E1349=E5:E$1345)))))</f>
        <v/>
      </c>
      <c r="J1349" s="24" t="str">
        <f aca="true">IF(OR(E1349="",E1349="!!!",F1349="NEW"),"",COUNTBLANK(OFFSET(A$1,,,SUMPRODUCT(MAX(ROW(E$2:E1349)*(E1349=E$2:E1349)))))-COUNTBLANK(OFFSET(A$1,,,SUMPRODUCT(MAX(ROW(E$1:E1348)*(E2=E$1:E1348))))))</f>
        <v/>
      </c>
      <c r="K1349" s="24" t="str">
        <f aca="false">IF(OR(E1349="",E1349="!!!",F1349="NEW"),"",INDEX(J$1:J1348,SUMPRODUCT(MAX(ROW(E$1:E1348)*(E1349=E$1:E1348)))))</f>
        <v/>
      </c>
      <c r="L1349" s="31"/>
    </row>
    <row r="1350" customFormat="false" ht="15" hidden="false" customHeight="false" outlineLevel="0" collapsed="false">
      <c r="A1350" s="20" t="s">
        <v>1128</v>
      </c>
      <c r="E1350" s="23" t="str">
        <f aca="false">IF(D1350="?OLD","!!!","")</f>
        <v/>
      </c>
      <c r="F1350" s="25" t="str">
        <f aca="false">IF(OR(E1350="",E1350="!!!"),"",IF(NOT(ISNA(VLOOKUP(E1350,E$1:E1349,1,FALSE()))),"OLD",IF(AND(E1350&lt;&gt;"",E1350&lt;&gt;"!!!"),"NEW","")))</f>
        <v/>
      </c>
      <c r="G1350" s="26" t="str">
        <f aca="false">IF(OR(E1350="",E1350="!!!"),"",IF(OR(J1350=0,AND(J1350=1,K1350=1),AND(J1350=1,I1350="SBJ"),AND(J1350=1,I1350=0)),"?IN_FOCUS",IF(J1350&lt;=2,"?ACTIVATED",IF(J1350&lt;&gt;"","?FAMILIAR",IF(F1350="NEW",IF(ISNA(VLOOKUP(E1350,#REF!,1,FALSE())),"?TYPE_IDENTIFIABLE","?REFERENTIAL"),"_")))))</f>
        <v/>
      </c>
      <c r="H1350" s="27" t="str">
        <f aca="false">IF(J1350&lt;&gt;1,"",IF(I1350="SBJ","CB","?"))</f>
        <v/>
      </c>
      <c r="I1350" s="24" t="str">
        <f aca="false">IF(OR(E1350="",E1350="!!!",F1350="NEW"),"",INDEX(B6:B$1345,-1+SUMPRODUCT(MAX(ROW(E6:E$1345)*(E1350=E6:E$1345)))))</f>
        <v/>
      </c>
      <c r="J1350" s="24" t="str">
        <f aca="true">IF(OR(E1350="",E1350="!!!",F1350="NEW"),"",COUNTBLANK(OFFSET(A$1,,,SUMPRODUCT(MAX(ROW(E$2:E1350)*(E1350=E$2:E1350)))))-COUNTBLANK(OFFSET(A$1,,,SUMPRODUCT(MAX(ROW(E$1:E1349)*(E2=E$1:E1349))))))</f>
        <v/>
      </c>
      <c r="K1350" s="24" t="str">
        <f aca="false">IF(OR(E1350="",E1350="!!!",F1350="NEW"),"",INDEX(J$1:J1349,SUMPRODUCT(MAX(ROW(E$1:E1349)*(E1350=E$1:E1349)))))</f>
        <v/>
      </c>
      <c r="L1350" s="31"/>
    </row>
    <row r="1351" customFormat="false" ht="15" hidden="false" customHeight="false" outlineLevel="0" collapsed="false">
      <c r="A1351" s="20" t="s">
        <v>1645</v>
      </c>
      <c r="E1351" s="23" t="str">
        <f aca="false">IF(D1351="?OLD","!!!","")</f>
        <v/>
      </c>
      <c r="F1351" s="25" t="str">
        <f aca="false">IF(OR(E1351="",E1351="!!!"),"",IF(NOT(ISNA(VLOOKUP(E1351,E$1:E1350,1,FALSE()))),"OLD",IF(AND(E1351&lt;&gt;"",E1351&lt;&gt;"!!!"),"NEW","")))</f>
        <v/>
      </c>
      <c r="G1351" s="26" t="str">
        <f aca="false">IF(OR(E1351="",E1351="!!!"),"",IF(OR(J1351=0,AND(J1351=1,K1351=1),AND(J1351=1,I1351="SBJ"),AND(J1351=1,I1351=0)),"?IN_FOCUS",IF(J1351&lt;=2,"?ACTIVATED",IF(J1351&lt;&gt;"","?FAMILIAR",IF(F1351="NEW",IF(ISNA(VLOOKUP(E1351,#REF!,1,FALSE())),"?TYPE_IDENTIFIABLE","?REFERENTIAL"),"_")))))</f>
        <v/>
      </c>
      <c r="H1351" s="27" t="str">
        <f aca="false">IF(J1351&lt;&gt;1,"",IF(I1351="SBJ","CB","?"))</f>
        <v/>
      </c>
      <c r="I1351" s="24" t="str">
        <f aca="false">IF(OR(E1351="",E1351="!!!",F1351="NEW"),"",INDEX(B7:B$1345,-1+SUMPRODUCT(MAX(ROW(E7:E$1345)*(E1351=E7:E$1345)))))</f>
        <v/>
      </c>
      <c r="J1351" s="24" t="str">
        <f aca="true">IF(OR(E1351="",E1351="!!!",F1351="NEW"),"",COUNTBLANK(OFFSET(A$1,,,SUMPRODUCT(MAX(ROW(E$2:E1351)*(E1351=E$2:E1351)))))-COUNTBLANK(OFFSET(A$1,,,SUMPRODUCT(MAX(ROW(E$1:E1350)*(E2=E$1:E1350))))))</f>
        <v/>
      </c>
      <c r="K1351" s="24" t="str">
        <f aca="false">IF(OR(E1351="",E1351="!!!",F1351="NEW"),"",INDEX(J$1:J1350,SUMPRODUCT(MAX(ROW(E$1:E1350)*(E1351=E$1:E1350)))))</f>
        <v/>
      </c>
      <c r="L1351" s="31"/>
    </row>
    <row r="1352" customFormat="false" ht="15" hidden="false" customHeight="false" outlineLevel="0" collapsed="false">
      <c r="A1352" s="20" t="s">
        <v>1377</v>
      </c>
      <c r="E1352" s="23" t="str">
        <f aca="false">IF(D1352="?OLD","!!!","")</f>
        <v/>
      </c>
      <c r="F1352" s="25" t="str">
        <f aca="false">IF(OR(E1352="",E1352="!!!"),"",IF(NOT(ISNA(VLOOKUP(E1352,E$1:E1351,1,FALSE()))),"OLD",IF(AND(E1352&lt;&gt;"",E1352&lt;&gt;"!!!"),"NEW","")))</f>
        <v/>
      </c>
      <c r="G1352" s="26" t="str">
        <f aca="false">IF(OR(E1352="",E1352="!!!"),"",IF(OR(J1352=0,AND(J1352=1,K1352=1),AND(J1352=1,I1352="SBJ"),AND(J1352=1,I1352=0)),"?IN_FOCUS",IF(J1352&lt;=2,"?ACTIVATED",IF(J1352&lt;&gt;"","?FAMILIAR",IF(F1352="NEW",IF(ISNA(VLOOKUP(E1352,#REF!,1,FALSE())),"?TYPE_IDENTIFIABLE","?REFERENTIAL"),"_")))))</f>
        <v/>
      </c>
      <c r="H1352" s="27" t="str">
        <f aca="false">IF(J1352&lt;&gt;1,"",IF(I1352="SBJ","CB","?"))</f>
        <v/>
      </c>
      <c r="I1352" s="24" t="str">
        <f aca="false">IF(OR(E1352="",E1352="!!!",F1352="NEW"),"",INDEX(B8:B$1345,-1+SUMPRODUCT(MAX(ROW(E8:E$1345)*(E1352=E8:E$1345)))))</f>
        <v/>
      </c>
      <c r="J1352" s="24" t="str">
        <f aca="true">IF(OR(E1352="",E1352="!!!",F1352="NEW"),"",COUNTBLANK(OFFSET(A$1,,,SUMPRODUCT(MAX(ROW(E$2:E1352)*(E1352=E$2:E1352)))))-COUNTBLANK(OFFSET(A$1,,,SUMPRODUCT(MAX(ROW(E$1:E1351)*(E2=E$1:E1351))))))</f>
        <v/>
      </c>
      <c r="K1352" s="24" t="str">
        <f aca="false">IF(OR(E1352="",E1352="!!!",F1352="NEW"),"",INDEX(J$1:J1351,SUMPRODUCT(MAX(ROW(E$1:E1351)*(E1352=E$1:E1351)))))</f>
        <v/>
      </c>
      <c r="L1352" s="31"/>
    </row>
    <row r="1353" customFormat="false" ht="15" hidden="false" customHeight="false" outlineLevel="0" collapsed="false">
      <c r="A1353" s="20" t="s">
        <v>1179</v>
      </c>
      <c r="B1353" s="22" t="s">
        <v>1073</v>
      </c>
      <c r="C1353" s="22" t="s">
        <v>1082</v>
      </c>
      <c r="D1353" s="22" t="s">
        <v>1060</v>
      </c>
      <c r="E1353" s="23" t="str">
        <f aca="false">IF(D1353="?OLD","!!!","")</f>
        <v>!!!</v>
      </c>
      <c r="F1353" s="25" t="str">
        <f aca="false">IF(OR(E1353="",E1353="!!!"),"",IF(NOT(ISNA(VLOOKUP(E1353,E$1:E1352,1,FALSE()))),"OLD",IF(AND(E1353&lt;&gt;"",E1353&lt;&gt;"!!!"),"NEW","")))</f>
        <v/>
      </c>
      <c r="G1353" s="26" t="str">
        <f aca="false">IF(OR(E1353="",E1353="!!!"),"",IF(OR(J1353=0,AND(J1353=1,K1353=1),AND(J1353=1,I1353="SBJ"),AND(J1353=1,I1353=0)),"?IN_FOCUS",IF(J1353&lt;=2,"?ACTIVATED",IF(J1353&lt;&gt;"","?FAMILIAR",IF(F1353="NEW",IF(ISNA(VLOOKUP(E1353,#REF!,1,FALSE())),"?TYPE_IDENTIFIABLE","?REFERENTIAL"),"_")))))</f>
        <v/>
      </c>
      <c r="H1353" s="27" t="str">
        <f aca="false">IF(J1353&lt;&gt;1,"",IF(I1353="SBJ","CB","?"))</f>
        <v/>
      </c>
      <c r="I1353" s="24" t="str">
        <f aca="false">IF(OR(E1353="",E1353="!!!",F1353="NEW"),"",INDEX(B9:B$1345,-1+SUMPRODUCT(MAX(ROW(E9:E$1345)*(E1353=E9:E$1345)))))</f>
        <v/>
      </c>
      <c r="J1353" s="24" t="str">
        <f aca="true">IF(OR(E1353="",E1353="!!!",F1353="NEW"),"",COUNTBLANK(OFFSET(A$1,,,SUMPRODUCT(MAX(ROW(E$2:E1353)*(E1353=E$2:E1353)))))-COUNTBLANK(OFFSET(A$1,,,SUMPRODUCT(MAX(ROW(E$1:E1352)*(E2=E$1:E1352))))))</f>
        <v/>
      </c>
      <c r="K1353" s="24" t="str">
        <f aca="false">IF(OR(E1353="",E1353="!!!",F1353="NEW"),"",INDEX(J$1:J1352,SUMPRODUCT(MAX(ROW(E$1:E1352)*(E1353=E$1:E1352)))))</f>
        <v/>
      </c>
      <c r="L1353" s="31"/>
    </row>
    <row r="1354" customFormat="false" ht="15" hidden="false" customHeight="false" outlineLevel="0" collapsed="false">
      <c r="A1354" s="20" t="s">
        <v>923</v>
      </c>
      <c r="E1354" s="23" t="str">
        <f aca="false">IF(D1354="?OLD","!!!","")</f>
        <v/>
      </c>
      <c r="F1354" s="25" t="str">
        <f aca="false">IF(OR(E1354="",E1354="!!!"),"",IF(NOT(ISNA(VLOOKUP(E1354,E$1:E1353,1,FALSE()))),"OLD",IF(AND(E1354&lt;&gt;"",E1354&lt;&gt;"!!!"),"NEW","")))</f>
        <v/>
      </c>
      <c r="G1354" s="26" t="str">
        <f aca="false">IF(OR(E1354="",E1354="!!!"),"",IF(OR(J1354=0,AND(J1354=1,K1354=1),AND(J1354=1,I1354="SBJ"),AND(J1354=1,I1354=0)),"?IN_FOCUS",IF(J1354&lt;=2,"?ACTIVATED",IF(J1354&lt;&gt;"","?FAMILIAR",IF(F1354="NEW",IF(ISNA(VLOOKUP(E1354,#REF!,1,FALSE())),"?TYPE_IDENTIFIABLE","?REFERENTIAL"),"_")))))</f>
        <v/>
      </c>
      <c r="H1354" s="27" t="str">
        <f aca="false">IF(J1354&lt;&gt;1,"",IF(I1354="SBJ","CB","?"))</f>
        <v/>
      </c>
      <c r="I1354" s="24" t="str">
        <f aca="false">IF(OR(E1354="",E1354="!!!",F1354="NEW"),"",INDEX(B10:B$1345,-1+SUMPRODUCT(MAX(ROW(E10:E$1345)*(E1354=E10:E$1345)))))</f>
        <v/>
      </c>
      <c r="J1354" s="24" t="str">
        <f aca="true">IF(OR(E1354="",E1354="!!!",F1354="NEW"),"",COUNTBLANK(OFFSET(A$1,,,SUMPRODUCT(MAX(ROW(E$2:E1354)*(E1354=E$2:E1354)))))-COUNTBLANK(OFFSET(A$1,,,SUMPRODUCT(MAX(ROW(E$1:E1353)*(E2=E$1:E1353))))))</f>
        <v/>
      </c>
      <c r="K1354" s="24" t="str">
        <f aca="false">IF(OR(E1354="",E1354="!!!",F1354="NEW"),"",INDEX(J$1:J1353,SUMPRODUCT(MAX(ROW(E$1:E1353)*(E1354=E$1:E1353)))))</f>
        <v/>
      </c>
      <c r="L1354" s="31"/>
    </row>
    <row r="1355" customFormat="false" ht="15" hidden="false" customHeight="false" outlineLevel="0" collapsed="false">
      <c r="A1355" s="20"/>
    </row>
    <row r="1356" customFormat="false" ht="15" hidden="false" customHeight="false" outlineLevel="0" collapsed="false">
      <c r="A1356" s="20" t="s">
        <v>1646</v>
      </c>
    </row>
    <row r="1357" customFormat="false" ht="15" hidden="false" customHeight="false" outlineLevel="0" collapsed="false">
      <c r="A1357" s="20" t="s">
        <v>1148</v>
      </c>
      <c r="E1357" s="23" t="str">
        <f aca="false">IF(D1357="?OLD","!!!","")</f>
        <v/>
      </c>
      <c r="F1357" s="25" t="str">
        <f aca="false">IF(OR(E1357="",E1357="!!!"),"",IF(NOT(ISNA(VLOOKUP(E1357,E$1:E1356,1,FALSE()))),"OLD",IF(AND(E1357&lt;&gt;"",E1357&lt;&gt;"!!!"),"NEW","")))</f>
        <v/>
      </c>
      <c r="G1357" s="26" t="str">
        <f aca="false">IF(OR(E1357="",E1357="!!!"),"",IF(OR(J1357=0,AND(J1357=1,K1357=1),AND(J1357=1,I1357="SBJ"),AND(J1357=1,I1357=0)),"?IN_FOCUS",IF(J1357&lt;=2,"?ACTIVATED",IF(J1357&lt;&gt;"","?FAMILIAR",IF(F1357="NEW",IF(ISNA(VLOOKUP(E1357,#REF!,1,FALSE())),"?TYPE_IDENTIFIABLE","?REFERENTIAL"),"_")))))</f>
        <v/>
      </c>
      <c r="H1357" s="27" t="str">
        <f aca="false">IF(J1357&lt;&gt;1,"",IF(I1357="SBJ","CB","?"))</f>
        <v/>
      </c>
      <c r="I1357" s="24" t="str">
        <f aca="false">IF(OR(E1357="",E1357="!!!",F1357="NEW"),"",INDEX(B2:B$1356,-1+SUMPRODUCT(MAX(ROW(E2:E$1356)*(E1357=E2:E$1356)))))</f>
        <v/>
      </c>
      <c r="J1357" s="24" t="str">
        <f aca="true">IF(OR(E1357="",E1357="!!!",F1357="NEW"),"",COUNTBLANK(OFFSET(A$1,,,SUMPRODUCT(MAX(ROW(E$2:E1357)*(E1357=E$2:E1357)))))-COUNTBLANK(OFFSET(A$1,,,SUMPRODUCT(MAX(ROW(E$1:E1356)*(E2=E$1:E1356))))))</f>
        <v/>
      </c>
      <c r="K1357" s="24" t="str">
        <f aca="false">IF(OR(E1357="",E1357="!!!",F1357="NEW"),"",INDEX(J$1:J1356,SUMPRODUCT(MAX(ROW(E$1:E1356)*(E1357=E$1:E1356)))))</f>
        <v/>
      </c>
      <c r="L1357" s="31"/>
    </row>
    <row r="1358" customFormat="false" ht="15" hidden="false" customHeight="false" outlineLevel="0" collapsed="false">
      <c r="A1358" s="20" t="s">
        <v>1647</v>
      </c>
      <c r="E1358" s="23" t="str">
        <f aca="false">IF(D1358="?OLD","!!!","")</f>
        <v/>
      </c>
      <c r="F1358" s="25" t="str">
        <f aca="false">IF(OR(E1358="",E1358="!!!"),"",IF(NOT(ISNA(VLOOKUP(E1358,E$1:E1357,1,FALSE()))),"OLD",IF(AND(E1358&lt;&gt;"",E1358&lt;&gt;"!!!"),"NEW","")))</f>
        <v/>
      </c>
      <c r="G1358" s="26" t="str">
        <f aca="false">IF(OR(E1358="",E1358="!!!"),"",IF(OR(J1358=0,AND(J1358=1,K1358=1),AND(J1358=1,I1358="SBJ"),AND(J1358=1,I1358=0)),"?IN_FOCUS",IF(J1358&lt;=2,"?ACTIVATED",IF(J1358&lt;&gt;"","?FAMILIAR",IF(F1358="NEW",IF(ISNA(VLOOKUP(E1358,#REF!,1,FALSE())),"?TYPE_IDENTIFIABLE","?REFERENTIAL"),"_")))))</f>
        <v/>
      </c>
      <c r="H1358" s="27" t="str">
        <f aca="false">IF(J1358&lt;&gt;1,"",IF(I1358="SBJ","CB","?"))</f>
        <v/>
      </c>
      <c r="I1358" s="24" t="str">
        <f aca="false">IF(OR(E1358="",E1358="!!!",F1358="NEW"),"",INDEX(B3:B$1356,-1+SUMPRODUCT(MAX(ROW(E3:E$1356)*(E1358=E3:E$1356)))))</f>
        <v/>
      </c>
      <c r="J1358" s="24" t="str">
        <f aca="true">IF(OR(E1358="",E1358="!!!",F1358="NEW"),"",COUNTBLANK(OFFSET(A$1,,,SUMPRODUCT(MAX(ROW(E$2:E1358)*(E1358=E$2:E1358)))))-COUNTBLANK(OFFSET(A$1,,,SUMPRODUCT(MAX(ROW(E$1:E1357)*(E2=E$1:E1357))))))</f>
        <v/>
      </c>
      <c r="K1358" s="24" t="str">
        <f aca="false">IF(OR(E1358="",E1358="!!!",F1358="NEW"),"",INDEX(J$1:J1357,SUMPRODUCT(MAX(ROW(E$1:E1357)*(E1358=E$1:E1357)))))</f>
        <v/>
      </c>
      <c r="L1358" s="31"/>
    </row>
    <row r="1359" customFormat="false" ht="15" hidden="false" customHeight="false" outlineLevel="0" collapsed="false">
      <c r="A1359" s="20" t="s">
        <v>253</v>
      </c>
      <c r="B1359" s="22" t="s">
        <v>1105</v>
      </c>
      <c r="C1359" s="22" t="s">
        <v>1150</v>
      </c>
      <c r="D1359" s="22" t="s">
        <v>1060</v>
      </c>
      <c r="E1359" s="23" t="str">
        <f aca="false">IF(D1359="?OLD","!!!","")</f>
        <v>!!!</v>
      </c>
      <c r="F1359" s="25" t="str">
        <f aca="false">IF(OR(E1359="",E1359="!!!"),"",IF(NOT(ISNA(VLOOKUP(E1359,E$1:E1358,1,FALSE()))),"OLD",IF(AND(E1359&lt;&gt;"",E1359&lt;&gt;"!!!"),"NEW","")))</f>
        <v/>
      </c>
      <c r="G1359" s="26" t="str">
        <f aca="false">IF(OR(E1359="",E1359="!!!"),"",IF(OR(J1359=0,AND(J1359=1,K1359=1),AND(J1359=1,I1359="SBJ"),AND(J1359=1,I1359=0)),"?IN_FOCUS",IF(J1359&lt;=2,"?ACTIVATED",IF(J1359&lt;&gt;"","?FAMILIAR",IF(F1359="NEW",IF(ISNA(VLOOKUP(E1359,#REF!,1,FALSE())),"?TYPE_IDENTIFIABLE","?REFERENTIAL"),"_")))))</f>
        <v/>
      </c>
      <c r="H1359" s="27" t="str">
        <f aca="false">IF(J1359&lt;&gt;1,"",IF(I1359="SBJ","CB","?"))</f>
        <v/>
      </c>
      <c r="I1359" s="24" t="str">
        <f aca="false">IF(OR(E1359="",E1359="!!!",F1359="NEW"),"",INDEX(B4:B$1356,-1+SUMPRODUCT(MAX(ROW(E4:E$1356)*(E1359=E4:E$1356)))))</f>
        <v/>
      </c>
      <c r="J1359" s="24" t="str">
        <f aca="true">IF(OR(E1359="",E1359="!!!",F1359="NEW"),"",COUNTBLANK(OFFSET(A$1,,,SUMPRODUCT(MAX(ROW(E$2:E1359)*(E1359=E$2:E1359)))))-COUNTBLANK(OFFSET(A$1,,,SUMPRODUCT(MAX(ROW(E$1:E1358)*(E2=E$1:E1358))))))</f>
        <v/>
      </c>
      <c r="K1359" s="24" t="str">
        <f aca="false">IF(OR(E1359="",E1359="!!!",F1359="NEW"),"",INDEX(J$1:J1358,SUMPRODUCT(MAX(ROW(E$1:E1358)*(E1359=E$1:E1358)))))</f>
        <v/>
      </c>
      <c r="L1359" s="31"/>
    </row>
    <row r="1360" customFormat="false" ht="15" hidden="false" customHeight="false" outlineLevel="0" collapsed="false">
      <c r="A1360" s="20" t="s">
        <v>1216</v>
      </c>
      <c r="E1360" s="23" t="str">
        <f aca="false">IF(D1360="?OLD","!!!","")</f>
        <v/>
      </c>
      <c r="F1360" s="25" t="str">
        <f aca="false">IF(OR(E1360="",E1360="!!!"),"",IF(NOT(ISNA(VLOOKUP(E1360,E$1:E1359,1,FALSE()))),"OLD",IF(AND(E1360&lt;&gt;"",E1360&lt;&gt;"!!!"),"NEW","")))</f>
        <v/>
      </c>
      <c r="G1360" s="26" t="str">
        <f aca="false">IF(OR(E1360="",E1360="!!!"),"",IF(OR(J1360=0,AND(J1360=1,K1360=1),AND(J1360=1,I1360="SBJ"),AND(J1360=1,I1360=0)),"?IN_FOCUS",IF(J1360&lt;=2,"?ACTIVATED",IF(J1360&lt;&gt;"","?FAMILIAR",IF(F1360="NEW",IF(ISNA(VLOOKUP(E1360,#REF!,1,FALSE())),"?TYPE_IDENTIFIABLE","?REFERENTIAL"),"_")))))</f>
        <v/>
      </c>
      <c r="H1360" s="27" t="str">
        <f aca="false">IF(J1360&lt;&gt;1,"",IF(I1360="SBJ","CB","?"))</f>
        <v/>
      </c>
      <c r="I1360" s="24" t="str">
        <f aca="false">IF(OR(E1360="",E1360="!!!",F1360="NEW"),"",INDEX(B5:B$1356,-1+SUMPRODUCT(MAX(ROW(E5:E$1356)*(E1360=E5:E$1356)))))</f>
        <v/>
      </c>
      <c r="J1360" s="24" t="str">
        <f aca="true">IF(OR(E1360="",E1360="!!!",F1360="NEW"),"",COUNTBLANK(OFFSET(A$1,,,SUMPRODUCT(MAX(ROW(E$2:E1360)*(E1360=E$2:E1360)))))-COUNTBLANK(OFFSET(A$1,,,SUMPRODUCT(MAX(ROW(E$1:E1359)*(E2=E$1:E1359))))))</f>
        <v/>
      </c>
      <c r="K1360" s="24" t="str">
        <f aca="false">IF(OR(E1360="",E1360="!!!",F1360="NEW"),"",INDEX(J$1:J1359,SUMPRODUCT(MAX(ROW(E$1:E1359)*(E1360=E$1:E1359)))))</f>
        <v/>
      </c>
      <c r="L1360" s="31"/>
    </row>
    <row r="1361" customFormat="false" ht="15" hidden="false" customHeight="false" outlineLevel="0" collapsed="false">
      <c r="A1361" s="20" t="s">
        <v>1128</v>
      </c>
      <c r="E1361" s="23" t="str">
        <f aca="false">IF(D1361="?OLD","!!!","")</f>
        <v/>
      </c>
      <c r="F1361" s="25" t="str">
        <f aca="false">IF(OR(E1361="",E1361="!!!"),"",IF(NOT(ISNA(VLOOKUP(E1361,E$1:E1360,1,FALSE()))),"OLD",IF(AND(E1361&lt;&gt;"",E1361&lt;&gt;"!!!"),"NEW","")))</f>
        <v/>
      </c>
      <c r="G1361" s="26" t="str">
        <f aca="false">IF(OR(E1361="",E1361="!!!"),"",IF(OR(J1361=0,AND(J1361=1,K1361=1),AND(J1361=1,I1361="SBJ"),AND(J1361=1,I1361=0)),"?IN_FOCUS",IF(J1361&lt;=2,"?ACTIVATED",IF(J1361&lt;&gt;"","?FAMILIAR",IF(F1361="NEW",IF(ISNA(VLOOKUP(E1361,#REF!,1,FALSE())),"?TYPE_IDENTIFIABLE","?REFERENTIAL"),"_")))))</f>
        <v/>
      </c>
      <c r="H1361" s="27" t="str">
        <f aca="false">IF(J1361&lt;&gt;1,"",IF(I1361="SBJ","CB","?"))</f>
        <v/>
      </c>
      <c r="I1361" s="24" t="str">
        <f aca="false">IF(OR(E1361="",E1361="!!!",F1361="NEW"),"",INDEX(B6:B$1356,-1+SUMPRODUCT(MAX(ROW(E6:E$1356)*(E1361=E6:E$1356)))))</f>
        <v/>
      </c>
      <c r="J1361" s="24" t="str">
        <f aca="true">IF(OR(E1361="",E1361="!!!",F1361="NEW"),"",COUNTBLANK(OFFSET(A$1,,,SUMPRODUCT(MAX(ROW(E$2:E1361)*(E1361=E$2:E1361)))))-COUNTBLANK(OFFSET(A$1,,,SUMPRODUCT(MAX(ROW(E$1:E1360)*(E2=E$1:E1360))))))</f>
        <v/>
      </c>
      <c r="K1361" s="24" t="str">
        <f aca="false">IF(OR(E1361="",E1361="!!!",F1361="NEW"),"",INDEX(J$1:J1360,SUMPRODUCT(MAX(ROW(E$1:E1360)*(E1361=E$1:E1360)))))</f>
        <v/>
      </c>
      <c r="L1361" s="31"/>
    </row>
    <row r="1362" customFormat="false" ht="15" hidden="false" customHeight="false" outlineLevel="0" collapsed="false">
      <c r="A1362" s="20" t="s">
        <v>1648</v>
      </c>
      <c r="E1362" s="23" t="str">
        <f aca="false">IF(D1362="?OLD","!!!","")</f>
        <v/>
      </c>
      <c r="F1362" s="25" t="str">
        <f aca="false">IF(OR(E1362="",E1362="!!!"),"",IF(NOT(ISNA(VLOOKUP(E1362,E$1:E1361,1,FALSE()))),"OLD",IF(AND(E1362&lt;&gt;"",E1362&lt;&gt;"!!!"),"NEW","")))</f>
        <v/>
      </c>
      <c r="G1362" s="26" t="str">
        <f aca="false">IF(OR(E1362="",E1362="!!!"),"",IF(OR(J1362=0,AND(J1362=1,K1362=1),AND(J1362=1,I1362="SBJ"),AND(J1362=1,I1362=0)),"?IN_FOCUS",IF(J1362&lt;=2,"?ACTIVATED",IF(J1362&lt;&gt;"","?FAMILIAR",IF(F1362="NEW",IF(ISNA(VLOOKUP(E1362,#REF!,1,FALSE())),"?TYPE_IDENTIFIABLE","?REFERENTIAL"),"_")))))</f>
        <v/>
      </c>
      <c r="H1362" s="27" t="str">
        <f aca="false">IF(J1362&lt;&gt;1,"",IF(I1362="SBJ","CB","?"))</f>
        <v/>
      </c>
      <c r="I1362" s="24" t="str">
        <f aca="false">IF(OR(E1362="",E1362="!!!",F1362="NEW"),"",INDEX(B7:B$1356,-1+SUMPRODUCT(MAX(ROW(E7:E$1356)*(E1362=E7:E$1356)))))</f>
        <v/>
      </c>
      <c r="J1362" s="24" t="str">
        <f aca="true">IF(OR(E1362="",E1362="!!!",F1362="NEW"),"",COUNTBLANK(OFFSET(A$1,,,SUMPRODUCT(MAX(ROW(E$2:E1362)*(E1362=E$2:E1362)))))-COUNTBLANK(OFFSET(A$1,,,SUMPRODUCT(MAX(ROW(E$1:E1361)*(E2=E$1:E1361))))))</f>
        <v/>
      </c>
      <c r="K1362" s="24" t="str">
        <f aca="false">IF(OR(E1362="",E1362="!!!",F1362="NEW"),"",INDEX(J$1:J1361,SUMPRODUCT(MAX(ROW(E$1:E1361)*(E1362=E$1:E1361)))))</f>
        <v/>
      </c>
      <c r="L1362" s="31"/>
    </row>
    <row r="1363" customFormat="false" ht="15" hidden="false" customHeight="false" outlineLevel="0" collapsed="false">
      <c r="A1363" s="20" t="s">
        <v>1076</v>
      </c>
      <c r="E1363" s="23" t="str">
        <f aca="false">IF(D1363="?OLD","!!!","")</f>
        <v/>
      </c>
      <c r="F1363" s="25" t="str">
        <f aca="false">IF(OR(E1363="",E1363="!!!"),"",IF(NOT(ISNA(VLOOKUP(E1363,E$1:E1362,1,FALSE()))),"OLD",IF(AND(E1363&lt;&gt;"",E1363&lt;&gt;"!!!"),"NEW","")))</f>
        <v/>
      </c>
      <c r="G1363" s="26" t="str">
        <f aca="false">IF(OR(E1363="",E1363="!!!"),"",IF(OR(J1363=0,AND(J1363=1,K1363=1),AND(J1363=1,I1363="SBJ"),AND(J1363=1,I1363=0)),"?IN_FOCUS",IF(J1363&lt;=2,"?ACTIVATED",IF(J1363&lt;&gt;"","?FAMILIAR",IF(F1363="NEW",IF(ISNA(VLOOKUP(E1363,#REF!,1,FALSE())),"?TYPE_IDENTIFIABLE","?REFERENTIAL"),"_")))))</f>
        <v/>
      </c>
      <c r="H1363" s="27" t="str">
        <f aca="false">IF(J1363&lt;&gt;1,"",IF(I1363="SBJ","CB","?"))</f>
        <v/>
      </c>
      <c r="I1363" s="24" t="str">
        <f aca="false">IF(OR(E1363="",E1363="!!!",F1363="NEW"),"",INDEX(B8:B$1356,-1+SUMPRODUCT(MAX(ROW(E8:E$1356)*(E1363=E8:E$1356)))))</f>
        <v/>
      </c>
      <c r="J1363" s="24" t="str">
        <f aca="true">IF(OR(E1363="",E1363="!!!",F1363="NEW"),"",COUNTBLANK(OFFSET(A$1,,,SUMPRODUCT(MAX(ROW(E$2:E1363)*(E1363=E$2:E1363)))))-COUNTBLANK(OFFSET(A$1,,,SUMPRODUCT(MAX(ROW(E$1:E1362)*(E2=E$1:E1362))))))</f>
        <v/>
      </c>
      <c r="K1363" s="24" t="str">
        <f aca="false">IF(OR(E1363="",E1363="!!!",F1363="NEW"),"",INDEX(J$1:J1362,SUMPRODUCT(MAX(ROW(E$1:E1362)*(E1363=E$1:E1362)))))</f>
        <v/>
      </c>
      <c r="L1363" s="31"/>
    </row>
    <row r="1364" customFormat="false" ht="15" hidden="false" customHeight="false" outlineLevel="0" collapsed="false">
      <c r="A1364" s="20" t="s">
        <v>1295</v>
      </c>
      <c r="E1364" s="23" t="str">
        <f aca="false">IF(D1364="?OLD","!!!","")</f>
        <v/>
      </c>
      <c r="F1364" s="25" t="str">
        <f aca="false">IF(OR(E1364="",E1364="!!!"),"",IF(NOT(ISNA(VLOOKUP(E1364,E$1:E1363,1,FALSE()))),"OLD",IF(AND(E1364&lt;&gt;"",E1364&lt;&gt;"!!!"),"NEW","")))</f>
        <v/>
      </c>
      <c r="G1364" s="26" t="str">
        <f aca="false">IF(OR(E1364="",E1364="!!!"),"",IF(OR(J1364=0,AND(J1364=1,K1364=1),AND(J1364=1,I1364="SBJ"),AND(J1364=1,I1364=0)),"?IN_FOCUS",IF(J1364&lt;=2,"?ACTIVATED",IF(J1364&lt;&gt;"","?FAMILIAR",IF(F1364="NEW",IF(ISNA(VLOOKUP(E1364,#REF!,1,FALSE())),"?TYPE_IDENTIFIABLE","?REFERENTIAL"),"_")))))</f>
        <v/>
      </c>
      <c r="H1364" s="27" t="str">
        <f aca="false">IF(J1364&lt;&gt;1,"",IF(I1364="SBJ","CB","?"))</f>
        <v/>
      </c>
      <c r="I1364" s="24" t="str">
        <f aca="false">IF(OR(E1364="",E1364="!!!",F1364="NEW"),"",INDEX(B9:B$1356,-1+SUMPRODUCT(MAX(ROW(E9:E$1356)*(E1364=E9:E$1356)))))</f>
        <v/>
      </c>
      <c r="J1364" s="24" t="str">
        <f aca="true">IF(OR(E1364="",E1364="!!!",F1364="NEW"),"",COUNTBLANK(OFFSET(A$1,,,SUMPRODUCT(MAX(ROW(E$2:E1364)*(E1364=E$2:E1364)))))-COUNTBLANK(OFFSET(A$1,,,SUMPRODUCT(MAX(ROW(E$1:E1363)*(E2=E$1:E1363))))))</f>
        <v/>
      </c>
      <c r="K1364" s="24" t="str">
        <f aca="false">IF(OR(E1364="",E1364="!!!",F1364="NEW"),"",INDEX(J$1:J1363,SUMPRODUCT(MAX(ROW(E$1:E1363)*(E1364=E$1:E1363)))))</f>
        <v/>
      </c>
      <c r="L1364" s="31"/>
    </row>
    <row r="1365" customFormat="false" ht="15" hidden="false" customHeight="false" outlineLevel="0" collapsed="false">
      <c r="A1365" s="20" t="s">
        <v>1085</v>
      </c>
      <c r="E1365" s="23" t="str">
        <f aca="false">IF(D1365="?OLD","!!!","")</f>
        <v/>
      </c>
      <c r="F1365" s="25" t="str">
        <f aca="false">IF(OR(E1365="",E1365="!!!"),"",IF(NOT(ISNA(VLOOKUP(E1365,E$1:E1364,1,FALSE()))),"OLD",IF(AND(E1365&lt;&gt;"",E1365&lt;&gt;"!!!"),"NEW","")))</f>
        <v/>
      </c>
      <c r="G1365" s="26" t="str">
        <f aca="false">IF(OR(E1365="",E1365="!!!"),"",IF(OR(J1365=0,AND(J1365=1,K1365=1),AND(J1365=1,I1365="SBJ"),AND(J1365=1,I1365=0)),"?IN_FOCUS",IF(J1365&lt;=2,"?ACTIVATED",IF(J1365&lt;&gt;"","?FAMILIAR",IF(F1365="NEW",IF(ISNA(VLOOKUP(E1365,#REF!,1,FALSE())),"?TYPE_IDENTIFIABLE","?REFERENTIAL"),"_")))))</f>
        <v/>
      </c>
      <c r="H1365" s="27" t="str">
        <f aca="false">IF(J1365&lt;&gt;1,"",IF(I1365="SBJ","CB","?"))</f>
        <v/>
      </c>
      <c r="I1365" s="24" t="str">
        <f aca="false">IF(OR(E1365="",E1365="!!!",F1365="NEW"),"",INDEX(B10:B$1356,-1+SUMPRODUCT(MAX(ROW(E10:E$1356)*(E1365=E10:E$1356)))))</f>
        <v/>
      </c>
      <c r="J1365" s="24" t="str">
        <f aca="true">IF(OR(E1365="",E1365="!!!",F1365="NEW"),"",COUNTBLANK(OFFSET(A$1,,,SUMPRODUCT(MAX(ROW(E$2:E1365)*(E1365=E$2:E1365)))))-COUNTBLANK(OFFSET(A$1,,,SUMPRODUCT(MAX(ROW(E$1:E1364)*(E2=E$1:E1364))))))</f>
        <v/>
      </c>
      <c r="K1365" s="24" t="str">
        <f aca="false">IF(OR(E1365="",E1365="!!!",F1365="NEW"),"",INDEX(J$1:J1364,SUMPRODUCT(MAX(ROW(E$1:E1364)*(E1365=E$1:E1364)))))</f>
        <v/>
      </c>
      <c r="L1365" s="31"/>
    </row>
    <row r="1366" customFormat="false" ht="15" hidden="false" customHeight="false" outlineLevel="0" collapsed="false">
      <c r="A1366" s="20" t="s">
        <v>1649</v>
      </c>
      <c r="E1366" s="23" t="str">
        <f aca="false">IF(D1366="?OLD","!!!","")</f>
        <v/>
      </c>
      <c r="F1366" s="25" t="str">
        <f aca="false">IF(OR(E1366="",E1366="!!!"),"",IF(NOT(ISNA(VLOOKUP(E1366,E$1:E1365,1,FALSE()))),"OLD",IF(AND(E1366&lt;&gt;"",E1366&lt;&gt;"!!!"),"NEW","")))</f>
        <v/>
      </c>
      <c r="G1366" s="26" t="str">
        <f aca="false">IF(OR(E1366="",E1366="!!!"),"",IF(OR(J1366=0,AND(J1366=1,K1366=1),AND(J1366=1,I1366="SBJ"),AND(J1366=1,I1366=0)),"?IN_FOCUS",IF(J1366&lt;=2,"?ACTIVATED",IF(J1366&lt;&gt;"","?FAMILIAR",IF(F1366="NEW",IF(ISNA(VLOOKUP(E1366,#REF!,1,FALSE())),"?TYPE_IDENTIFIABLE","?REFERENTIAL"),"_")))))</f>
        <v/>
      </c>
      <c r="H1366" s="27" t="str">
        <f aca="false">IF(J1366&lt;&gt;1,"",IF(I1366="SBJ","CB","?"))</f>
        <v/>
      </c>
      <c r="I1366" s="24" t="str">
        <f aca="false">IF(OR(E1366="",E1366="!!!",F1366="NEW"),"",INDEX(B11:B$1356,-1+SUMPRODUCT(MAX(ROW(E11:E$1356)*(E1366=E11:E$1356)))))</f>
        <v/>
      </c>
      <c r="J1366" s="24" t="str">
        <f aca="true">IF(OR(E1366="",E1366="!!!",F1366="NEW"),"",COUNTBLANK(OFFSET(A$1,,,SUMPRODUCT(MAX(ROW(E$2:E1366)*(E1366=E$2:E1366)))))-COUNTBLANK(OFFSET(A$1,,,SUMPRODUCT(MAX(ROW(E$1:E1365)*(E2=E$1:E1365))))))</f>
        <v/>
      </c>
      <c r="K1366" s="24" t="str">
        <f aca="false">IF(OR(E1366="",E1366="!!!",F1366="NEW"),"",INDEX(J$1:J1365,SUMPRODUCT(MAX(ROW(E$1:E1365)*(E1366=E$1:E1365)))))</f>
        <v/>
      </c>
      <c r="L1366" s="31"/>
    </row>
    <row r="1367" customFormat="false" ht="15" hidden="false" customHeight="false" outlineLevel="0" collapsed="false">
      <c r="A1367" s="20" t="s">
        <v>16</v>
      </c>
      <c r="E1367" s="23" t="str">
        <f aca="false">IF(D1367="?OLD","!!!","")</f>
        <v/>
      </c>
      <c r="F1367" s="25" t="str">
        <f aca="false">IF(OR(E1367="",E1367="!!!"),"",IF(NOT(ISNA(VLOOKUP(E1367,E$1:E1366,1,FALSE()))),"OLD",IF(AND(E1367&lt;&gt;"",E1367&lt;&gt;"!!!"),"NEW","")))</f>
        <v/>
      </c>
      <c r="G1367" s="26" t="str">
        <f aca="false">IF(OR(E1367="",E1367="!!!"),"",IF(OR(J1367=0,AND(J1367=1,K1367=1),AND(J1367=1,I1367="SBJ"),AND(J1367=1,I1367=0)),"?IN_FOCUS",IF(J1367&lt;=2,"?ACTIVATED",IF(J1367&lt;&gt;"","?FAMILIAR",IF(F1367="NEW",IF(ISNA(VLOOKUP(E1367,#REF!,1,FALSE())),"?TYPE_IDENTIFIABLE","?REFERENTIAL"),"_")))))</f>
        <v/>
      </c>
      <c r="H1367" s="27" t="str">
        <f aca="false">IF(J1367&lt;&gt;1,"",IF(I1367="SBJ","CB","?"))</f>
        <v/>
      </c>
      <c r="I1367" s="24" t="str">
        <f aca="false">IF(OR(E1367="",E1367="!!!",F1367="NEW"),"",INDEX(B12:B$1356,-1+SUMPRODUCT(MAX(ROW(E12:E$1356)*(E1367=E12:E$1356)))))</f>
        <v/>
      </c>
      <c r="J1367" s="24" t="str">
        <f aca="true">IF(OR(E1367="",E1367="!!!",F1367="NEW"),"",COUNTBLANK(OFFSET(A$1,,,SUMPRODUCT(MAX(ROW(E$2:E1367)*(E1367=E$2:E1367)))))-COUNTBLANK(OFFSET(A$1,,,SUMPRODUCT(MAX(ROW(E$1:E1366)*(E2=E$1:E1366))))))</f>
        <v/>
      </c>
      <c r="K1367" s="24" t="str">
        <f aca="false">IF(OR(E1367="",E1367="!!!",F1367="NEW"),"",INDEX(J$1:J1366,SUMPRODUCT(MAX(ROW(E$1:E1366)*(E1367=E$1:E1366)))))</f>
        <v/>
      </c>
      <c r="L1367" s="31"/>
    </row>
    <row r="1368" customFormat="false" ht="15" hidden="false" customHeight="false" outlineLevel="0" collapsed="false">
      <c r="A1368" s="20" t="s">
        <v>1604</v>
      </c>
      <c r="B1368" s="22" t="s">
        <v>1086</v>
      </c>
      <c r="C1368" s="22" t="s">
        <v>1087</v>
      </c>
      <c r="E1368" s="23" t="str">
        <f aca="false">IF(D1368="?OLD","!!!","")</f>
        <v/>
      </c>
      <c r="F1368" s="25" t="str">
        <f aca="false">IF(OR(E1368="",E1368="!!!"),"",IF(NOT(ISNA(VLOOKUP(E1368,E$1:E1367,1,FALSE()))),"OLD",IF(AND(E1368&lt;&gt;"",E1368&lt;&gt;"!!!"),"NEW","")))</f>
        <v/>
      </c>
      <c r="G1368" s="26" t="str">
        <f aca="false">IF(OR(E1368="",E1368="!!!"),"",IF(OR(J1368=0,AND(J1368=1,K1368=1),AND(J1368=1,I1368="SBJ"),AND(J1368=1,I1368=0)),"?IN_FOCUS",IF(J1368&lt;=2,"?ACTIVATED",IF(J1368&lt;&gt;"","?FAMILIAR",IF(F1368="NEW",IF(ISNA(VLOOKUP(E1368,#REF!,1,FALSE())),"?TYPE_IDENTIFIABLE","?REFERENTIAL"),"_")))))</f>
        <v/>
      </c>
      <c r="H1368" s="27" t="str">
        <f aca="false">IF(J1368&lt;&gt;1,"",IF(I1368="SBJ","CB","?"))</f>
        <v/>
      </c>
      <c r="I1368" s="24" t="str">
        <f aca="false">IF(OR(E1368="",E1368="!!!",F1368="NEW"),"",INDEX(B13:B$1356,-1+SUMPRODUCT(MAX(ROW(E13:E$1356)*(E1368=E13:E$1356)))))</f>
        <v/>
      </c>
      <c r="J1368" s="24" t="str">
        <f aca="true">IF(OR(E1368="",E1368="!!!",F1368="NEW"),"",COUNTBLANK(OFFSET(A$1,,,SUMPRODUCT(MAX(ROW(E$2:E1368)*(E1368=E$2:E1368)))))-COUNTBLANK(OFFSET(A$1,,,SUMPRODUCT(MAX(ROW(E$1:E1367)*(E2=E$1:E1367))))))</f>
        <v/>
      </c>
      <c r="K1368" s="24" t="str">
        <f aca="false">IF(OR(E1368="",E1368="!!!",F1368="NEW"),"",INDEX(J$1:J1367,SUMPRODUCT(MAX(ROW(E$1:E1367)*(E1368=E$1:E1367)))))</f>
        <v/>
      </c>
      <c r="L1368" s="31"/>
    </row>
    <row r="1369" customFormat="false" ht="15" hidden="false" customHeight="false" outlineLevel="0" collapsed="false">
      <c r="A1369" s="20" t="s">
        <v>1650</v>
      </c>
      <c r="E1369" s="23" t="str">
        <f aca="false">IF(D1369="?OLD","!!!","")</f>
        <v/>
      </c>
      <c r="F1369" s="25" t="str">
        <f aca="false">IF(OR(E1369="",E1369="!!!"),"",IF(NOT(ISNA(VLOOKUP(E1369,E$1:E1368,1,FALSE()))),"OLD",IF(AND(E1369&lt;&gt;"",E1369&lt;&gt;"!!!"),"NEW","")))</f>
        <v/>
      </c>
      <c r="G1369" s="26" t="str">
        <f aca="false">IF(OR(E1369="",E1369="!!!"),"",IF(OR(J1369=0,AND(J1369=1,K1369=1),AND(J1369=1,I1369="SBJ"),AND(J1369=1,I1369=0)),"?IN_FOCUS",IF(J1369&lt;=2,"?ACTIVATED",IF(J1369&lt;&gt;"","?FAMILIAR",IF(F1369="NEW",IF(ISNA(VLOOKUP(E1369,#REF!,1,FALSE())),"?TYPE_IDENTIFIABLE","?REFERENTIAL"),"_")))))</f>
        <v/>
      </c>
      <c r="H1369" s="27" t="str">
        <f aca="false">IF(J1369&lt;&gt;1,"",IF(I1369="SBJ","CB","?"))</f>
        <v/>
      </c>
      <c r="I1369" s="24" t="str">
        <f aca="false">IF(OR(E1369="",E1369="!!!",F1369="NEW"),"",INDEX(B14:B$1356,-1+SUMPRODUCT(MAX(ROW(E14:E$1356)*(E1369=E14:E$1356)))))</f>
        <v/>
      </c>
      <c r="J1369" s="24" t="str">
        <f aca="true">IF(OR(E1369="",E1369="!!!",F1369="NEW"),"",COUNTBLANK(OFFSET(A$1,,,SUMPRODUCT(MAX(ROW(E$2:E1369)*(E1369=E$2:E1369)))))-COUNTBLANK(OFFSET(A$1,,,SUMPRODUCT(MAX(ROW(E$1:E1368)*(E2=E$1:E1368))))))</f>
        <v/>
      </c>
      <c r="K1369" s="24" t="str">
        <f aca="false">IF(OR(E1369="",E1369="!!!",F1369="NEW"),"",INDEX(J$1:J1368,SUMPRODUCT(MAX(ROW(E$1:E1368)*(E1369=E$1:E1368)))))</f>
        <v/>
      </c>
      <c r="L1369" s="31"/>
    </row>
    <row r="1370" customFormat="false" ht="15" hidden="false" customHeight="false" outlineLevel="0" collapsed="false">
      <c r="A1370" s="20" t="s">
        <v>1109</v>
      </c>
      <c r="E1370" s="23" t="str">
        <f aca="false">IF(D1370="?OLD","!!!","")</f>
        <v/>
      </c>
      <c r="F1370" s="25" t="str">
        <f aca="false">IF(OR(E1370="",E1370="!!!"),"",IF(NOT(ISNA(VLOOKUP(E1370,E$1:E1369,1,FALSE()))),"OLD",IF(AND(E1370&lt;&gt;"",E1370&lt;&gt;"!!!"),"NEW","")))</f>
        <v/>
      </c>
      <c r="G1370" s="26" t="str">
        <f aca="false">IF(OR(E1370="",E1370="!!!"),"",IF(OR(J1370=0,AND(J1370=1,K1370=1),AND(J1370=1,I1370="SBJ"),AND(J1370=1,I1370=0)),"?IN_FOCUS",IF(J1370&lt;=2,"?ACTIVATED",IF(J1370&lt;&gt;"","?FAMILIAR",IF(F1370="NEW",IF(ISNA(VLOOKUP(E1370,#REF!,1,FALSE())),"?TYPE_IDENTIFIABLE","?REFERENTIAL"),"_")))))</f>
        <v/>
      </c>
      <c r="H1370" s="27" t="str">
        <f aca="false">IF(J1370&lt;&gt;1,"",IF(I1370="SBJ","CB","?"))</f>
        <v/>
      </c>
      <c r="I1370" s="24" t="str">
        <f aca="false">IF(OR(E1370="",E1370="!!!",F1370="NEW"),"",INDEX(B15:B$1356,-1+SUMPRODUCT(MAX(ROW(E15:E$1356)*(E1370=E15:E$1356)))))</f>
        <v/>
      </c>
      <c r="J1370" s="24" t="str">
        <f aca="true">IF(OR(E1370="",E1370="!!!",F1370="NEW"),"",COUNTBLANK(OFFSET(A$1,,,SUMPRODUCT(MAX(ROW(E$2:E1370)*(E1370=E$2:E1370)))))-COUNTBLANK(OFFSET(A$1,,,SUMPRODUCT(MAX(ROW(E$1:E1369)*(E2=E$1:E1369))))))</f>
        <v/>
      </c>
      <c r="K1370" s="24" t="str">
        <f aca="false">IF(OR(E1370="",E1370="!!!",F1370="NEW"),"",INDEX(J$1:J1369,SUMPRODUCT(MAX(ROW(E$1:E1369)*(E1370=E$1:E1369)))))</f>
        <v/>
      </c>
      <c r="L1370" s="31"/>
    </row>
    <row r="1371" customFormat="false" ht="15" hidden="false" customHeight="false" outlineLevel="0" collapsed="false">
      <c r="A1371" s="20" t="s">
        <v>1651</v>
      </c>
      <c r="E1371" s="23" t="str">
        <f aca="false">IF(D1371="?OLD","!!!","")</f>
        <v/>
      </c>
      <c r="F1371" s="25" t="str">
        <f aca="false">IF(OR(E1371="",E1371="!!!"),"",IF(NOT(ISNA(VLOOKUP(E1371,E$1:E1370,1,FALSE()))),"OLD",IF(AND(E1371&lt;&gt;"",E1371&lt;&gt;"!!!"),"NEW","")))</f>
        <v/>
      </c>
      <c r="G1371" s="26" t="str">
        <f aca="false">IF(OR(E1371="",E1371="!!!"),"",IF(OR(J1371=0,AND(J1371=1,K1371=1),AND(J1371=1,I1371="SBJ"),AND(J1371=1,I1371=0)),"?IN_FOCUS",IF(J1371&lt;=2,"?ACTIVATED",IF(J1371&lt;&gt;"","?FAMILIAR",IF(F1371="NEW",IF(ISNA(VLOOKUP(E1371,#REF!,1,FALSE())),"?TYPE_IDENTIFIABLE","?REFERENTIAL"),"_")))))</f>
        <v/>
      </c>
      <c r="H1371" s="27" t="str">
        <f aca="false">IF(J1371&lt;&gt;1,"",IF(I1371="SBJ","CB","?"))</f>
        <v/>
      </c>
      <c r="I1371" s="24" t="str">
        <f aca="false">IF(OR(E1371="",E1371="!!!",F1371="NEW"),"",INDEX(B16:B$1356,-1+SUMPRODUCT(MAX(ROW(E16:E$1356)*(E1371=E16:E$1356)))))</f>
        <v/>
      </c>
      <c r="J1371" s="24" t="str">
        <f aca="true">IF(OR(E1371="",E1371="!!!",F1371="NEW"),"",COUNTBLANK(OFFSET(A$1,,,SUMPRODUCT(MAX(ROW(E$2:E1371)*(E1371=E$2:E1371)))))-COUNTBLANK(OFFSET(A$1,,,SUMPRODUCT(MAX(ROW(E$1:E1370)*(E2=E$1:E1370))))))</f>
        <v/>
      </c>
      <c r="K1371" s="24" t="str">
        <f aca="false">IF(OR(E1371="",E1371="!!!",F1371="NEW"),"",INDEX(J$1:J1370,SUMPRODUCT(MAX(ROW(E$1:E1370)*(E1371=E$1:E1370)))))</f>
        <v/>
      </c>
      <c r="L1371" s="31"/>
    </row>
    <row r="1372" customFormat="false" ht="15" hidden="false" customHeight="false" outlineLevel="0" collapsed="false">
      <c r="A1372" s="20" t="s">
        <v>1274</v>
      </c>
      <c r="B1372" s="22" t="s">
        <v>1142</v>
      </c>
      <c r="C1372" s="22" t="s">
        <v>1150</v>
      </c>
      <c r="D1372" s="22" t="s">
        <v>1060</v>
      </c>
      <c r="E1372" s="23" t="str">
        <f aca="false">IF(D1372="?OLD","!!!","")</f>
        <v>!!!</v>
      </c>
      <c r="F1372" s="25" t="str">
        <f aca="false">IF(OR(E1372="",E1372="!!!"),"",IF(NOT(ISNA(VLOOKUP(E1372,E$1:E1371,1,FALSE()))),"OLD",IF(AND(E1372&lt;&gt;"",E1372&lt;&gt;"!!!"),"NEW","")))</f>
        <v/>
      </c>
      <c r="G1372" s="26" t="str">
        <f aca="false">IF(OR(E1372="",E1372="!!!"),"",IF(OR(J1372=0,AND(J1372=1,K1372=1),AND(J1372=1,I1372="SBJ"),AND(J1372=1,I1372=0)),"?IN_FOCUS",IF(J1372&lt;=2,"?ACTIVATED",IF(J1372&lt;&gt;"","?FAMILIAR",IF(F1372="NEW",IF(ISNA(VLOOKUP(E1372,#REF!,1,FALSE())),"?TYPE_IDENTIFIABLE","?REFERENTIAL"),"_")))))</f>
        <v/>
      </c>
      <c r="H1372" s="27" t="str">
        <f aca="false">IF(J1372&lt;&gt;1,"",IF(I1372="SBJ","CB","?"))</f>
        <v/>
      </c>
      <c r="I1372" s="24" t="str">
        <f aca="false">IF(OR(E1372="",E1372="!!!",F1372="NEW"),"",INDEX(B17:B$1356,-1+SUMPRODUCT(MAX(ROW(E17:E$1356)*(E1372=E17:E$1356)))))</f>
        <v/>
      </c>
      <c r="J1372" s="24" t="str">
        <f aca="true">IF(OR(E1372="",E1372="!!!",F1372="NEW"),"",COUNTBLANK(OFFSET(A$1,,,SUMPRODUCT(MAX(ROW(E$2:E1372)*(E1372=E$2:E1372)))))-COUNTBLANK(OFFSET(A$1,,,SUMPRODUCT(MAX(ROW(E$1:E1371)*(E2=E$1:E1371))))))</f>
        <v/>
      </c>
      <c r="K1372" s="24" t="str">
        <f aca="false">IF(OR(E1372="",E1372="!!!",F1372="NEW"),"",INDEX(J$1:J1371,SUMPRODUCT(MAX(ROW(E$1:E1371)*(E1372=E$1:E1371)))))</f>
        <v/>
      </c>
      <c r="L1372" s="31"/>
    </row>
    <row r="1373" customFormat="false" ht="15" hidden="false" customHeight="false" outlineLevel="0" collapsed="false">
      <c r="A1373" s="20" t="s">
        <v>1173</v>
      </c>
      <c r="E1373" s="23" t="str">
        <f aca="false">IF(D1373="?OLD","!!!","")</f>
        <v/>
      </c>
      <c r="F1373" s="25" t="str">
        <f aca="false">IF(OR(E1373="",E1373="!!!"),"",IF(NOT(ISNA(VLOOKUP(E1373,E$1:E1372,1,FALSE()))),"OLD",IF(AND(E1373&lt;&gt;"",E1373&lt;&gt;"!!!"),"NEW","")))</f>
        <v/>
      </c>
      <c r="G1373" s="26" t="str">
        <f aca="false">IF(OR(E1373="",E1373="!!!"),"",IF(OR(J1373=0,AND(J1373=1,K1373=1),AND(J1373=1,I1373="SBJ"),AND(J1373=1,I1373=0)),"?IN_FOCUS",IF(J1373&lt;=2,"?ACTIVATED",IF(J1373&lt;&gt;"","?FAMILIAR",IF(F1373="NEW",IF(ISNA(VLOOKUP(E1373,#REF!,1,FALSE())),"?TYPE_IDENTIFIABLE","?REFERENTIAL"),"_")))))</f>
        <v/>
      </c>
      <c r="H1373" s="27" t="str">
        <f aca="false">IF(J1373&lt;&gt;1,"",IF(I1373="SBJ","CB","?"))</f>
        <v/>
      </c>
      <c r="I1373" s="24" t="str">
        <f aca="false">IF(OR(E1373="",E1373="!!!",F1373="NEW"),"",INDEX(B18:B$1356,-1+SUMPRODUCT(MAX(ROW(E18:E$1356)*(E1373=E18:E$1356)))))</f>
        <v/>
      </c>
      <c r="J1373" s="24" t="str">
        <f aca="true">IF(OR(E1373="",E1373="!!!",F1373="NEW"),"",COUNTBLANK(OFFSET(A$1,,,SUMPRODUCT(MAX(ROW(E$2:E1373)*(E1373=E$2:E1373)))))-COUNTBLANK(OFFSET(A$1,,,SUMPRODUCT(MAX(ROW(E$1:E1372)*(E2=E$1:E1372))))))</f>
        <v/>
      </c>
      <c r="K1373" s="24" t="str">
        <f aca="false">IF(OR(E1373="",E1373="!!!",F1373="NEW"),"",INDEX(J$1:J1372,SUMPRODUCT(MAX(ROW(E$1:E1372)*(E1373=E$1:E1372)))))</f>
        <v/>
      </c>
      <c r="L1373" s="31"/>
    </row>
    <row r="1374" customFormat="false" ht="15" hidden="false" customHeight="false" outlineLevel="0" collapsed="false">
      <c r="A1374" s="20" t="s">
        <v>1085</v>
      </c>
      <c r="E1374" s="23" t="str">
        <f aca="false">IF(D1374="?OLD","!!!","")</f>
        <v/>
      </c>
      <c r="F1374" s="25" t="str">
        <f aca="false">IF(OR(E1374="",E1374="!!!"),"",IF(NOT(ISNA(VLOOKUP(E1374,E$1:E1373,1,FALSE()))),"OLD",IF(AND(E1374&lt;&gt;"",E1374&lt;&gt;"!!!"),"NEW","")))</f>
        <v/>
      </c>
      <c r="G1374" s="26" t="str">
        <f aca="false">IF(OR(E1374="",E1374="!!!"),"",IF(OR(J1374=0,AND(J1374=1,K1374=1),AND(J1374=1,I1374="SBJ"),AND(J1374=1,I1374=0)),"?IN_FOCUS",IF(J1374&lt;=2,"?ACTIVATED",IF(J1374&lt;&gt;"","?FAMILIAR",IF(F1374="NEW",IF(ISNA(VLOOKUP(E1374,#REF!,1,FALSE())),"?TYPE_IDENTIFIABLE","?REFERENTIAL"),"_")))))</f>
        <v/>
      </c>
      <c r="H1374" s="27" t="str">
        <f aca="false">IF(J1374&lt;&gt;1,"",IF(I1374="SBJ","CB","?"))</f>
        <v/>
      </c>
      <c r="I1374" s="24" t="str">
        <f aca="false">IF(OR(E1374="",E1374="!!!",F1374="NEW"),"",INDEX(B19:B$1356,-1+SUMPRODUCT(MAX(ROW(E19:E$1356)*(E1374=E19:E$1356)))))</f>
        <v/>
      </c>
      <c r="J1374" s="24" t="str">
        <f aca="true">IF(OR(E1374="",E1374="!!!",F1374="NEW"),"",COUNTBLANK(OFFSET(A$1,,,SUMPRODUCT(MAX(ROW(E$2:E1374)*(E1374=E$2:E1374)))))-COUNTBLANK(OFFSET(A$1,,,SUMPRODUCT(MAX(ROW(E$1:E1373)*(E2=E$1:E1373))))))</f>
        <v/>
      </c>
      <c r="K1374" s="24" t="str">
        <f aca="false">IF(OR(E1374="",E1374="!!!",F1374="NEW"),"",INDEX(J$1:J1373,SUMPRODUCT(MAX(ROW(E$1:E1373)*(E1374=E$1:E1373)))))</f>
        <v/>
      </c>
      <c r="L1374" s="31"/>
    </row>
    <row r="1375" customFormat="false" ht="15" hidden="false" customHeight="false" outlineLevel="0" collapsed="false">
      <c r="A1375" s="20" t="s">
        <v>1652</v>
      </c>
      <c r="E1375" s="23" t="str">
        <f aca="false">IF(D1375="?OLD","!!!","")</f>
        <v/>
      </c>
      <c r="F1375" s="25" t="str">
        <f aca="false">IF(OR(E1375="",E1375="!!!"),"",IF(NOT(ISNA(VLOOKUP(E1375,E$1:E1374,1,FALSE()))),"OLD",IF(AND(E1375&lt;&gt;"",E1375&lt;&gt;"!!!"),"NEW","")))</f>
        <v/>
      </c>
      <c r="G1375" s="26" t="str">
        <f aca="false">IF(OR(E1375="",E1375="!!!"),"",IF(OR(J1375=0,AND(J1375=1,K1375=1),AND(J1375=1,I1375="SBJ"),AND(J1375=1,I1375=0)),"?IN_FOCUS",IF(J1375&lt;=2,"?ACTIVATED",IF(J1375&lt;&gt;"","?FAMILIAR",IF(F1375="NEW",IF(ISNA(VLOOKUP(E1375,#REF!,1,FALSE())),"?TYPE_IDENTIFIABLE","?REFERENTIAL"),"_")))))</f>
        <v/>
      </c>
      <c r="H1375" s="27" t="str">
        <f aca="false">IF(J1375&lt;&gt;1,"",IF(I1375="SBJ","CB","?"))</f>
        <v/>
      </c>
      <c r="I1375" s="24" t="str">
        <f aca="false">IF(OR(E1375="",E1375="!!!",F1375="NEW"),"",INDEX(B20:B$1356,-1+SUMPRODUCT(MAX(ROW(E20:E$1356)*(E1375=E20:E$1356)))))</f>
        <v/>
      </c>
      <c r="J1375" s="24" t="str">
        <f aca="true">IF(OR(E1375="",E1375="!!!",F1375="NEW"),"",COUNTBLANK(OFFSET(A$1,,,SUMPRODUCT(MAX(ROW(E$2:E1375)*(E1375=E$2:E1375)))))-COUNTBLANK(OFFSET(A$1,,,SUMPRODUCT(MAX(ROW(E$1:E1374)*(E2=E$1:E1374))))))</f>
        <v/>
      </c>
      <c r="K1375" s="24" t="str">
        <f aca="false">IF(OR(E1375="",E1375="!!!",F1375="NEW"),"",INDEX(J$1:J1374,SUMPRODUCT(MAX(ROW(E$1:E1374)*(E1375=E$1:E1374)))))</f>
        <v/>
      </c>
      <c r="L1375" s="31"/>
    </row>
    <row r="1376" customFormat="false" ht="15" hidden="false" customHeight="false" outlineLevel="0" collapsed="false">
      <c r="A1376" s="20" t="s">
        <v>1076</v>
      </c>
      <c r="E1376" s="23" t="str">
        <f aca="false">IF(D1376="?OLD","!!!","")</f>
        <v/>
      </c>
      <c r="F1376" s="25" t="str">
        <f aca="false">IF(OR(E1376="",E1376="!!!"),"",IF(NOT(ISNA(VLOOKUP(E1376,E$1:E1375,1,FALSE()))),"OLD",IF(AND(E1376&lt;&gt;"",E1376&lt;&gt;"!!!"),"NEW","")))</f>
        <v/>
      </c>
      <c r="G1376" s="26" t="str">
        <f aca="false">IF(OR(E1376="",E1376="!!!"),"",IF(OR(J1376=0,AND(J1376=1,K1376=1),AND(J1376=1,I1376="SBJ"),AND(J1376=1,I1376=0)),"?IN_FOCUS",IF(J1376&lt;=2,"?ACTIVATED",IF(J1376&lt;&gt;"","?FAMILIAR",IF(F1376="NEW",IF(ISNA(VLOOKUP(E1376,#REF!,1,FALSE())),"?TYPE_IDENTIFIABLE","?REFERENTIAL"),"_")))))</f>
        <v/>
      </c>
      <c r="H1376" s="27" t="str">
        <f aca="false">IF(J1376&lt;&gt;1,"",IF(I1376="SBJ","CB","?"))</f>
        <v/>
      </c>
      <c r="I1376" s="24" t="str">
        <f aca="false">IF(OR(E1376="",E1376="!!!",F1376="NEW"),"",INDEX(B21:B$1356,-1+SUMPRODUCT(MAX(ROW(E21:E$1356)*(E1376=E21:E$1356)))))</f>
        <v/>
      </c>
      <c r="J1376" s="24" t="str">
        <f aca="true">IF(OR(E1376="",E1376="!!!",F1376="NEW"),"",COUNTBLANK(OFFSET(A$1,,,SUMPRODUCT(MAX(ROW(E$2:E1376)*(E1376=E$2:E1376)))))-COUNTBLANK(OFFSET(A$1,,,SUMPRODUCT(MAX(ROW(E$1:E1375)*(E2=E$1:E1375))))))</f>
        <v/>
      </c>
      <c r="K1376" s="24" t="str">
        <f aca="false">IF(OR(E1376="",E1376="!!!",F1376="NEW"),"",INDEX(J$1:J1375,SUMPRODUCT(MAX(ROW(E$1:E1375)*(E1376=E$1:E1375)))))</f>
        <v/>
      </c>
      <c r="L1376" s="31"/>
    </row>
    <row r="1377" customFormat="false" ht="15" hidden="false" customHeight="false" outlineLevel="0" collapsed="false">
      <c r="A1377" s="20" t="s">
        <v>1653</v>
      </c>
      <c r="E1377" s="23" t="str">
        <f aca="false">IF(D1377="?OLD","!!!","")</f>
        <v/>
      </c>
      <c r="F1377" s="25" t="str">
        <f aca="false">IF(OR(E1377="",E1377="!!!"),"",IF(NOT(ISNA(VLOOKUP(E1377,E$1:E1376,1,FALSE()))),"OLD",IF(AND(E1377&lt;&gt;"",E1377&lt;&gt;"!!!"),"NEW","")))</f>
        <v/>
      </c>
      <c r="G1377" s="26" t="str">
        <f aca="false">IF(OR(E1377="",E1377="!!!"),"",IF(OR(J1377=0,AND(J1377=1,K1377=1),AND(J1377=1,I1377="SBJ"),AND(J1377=1,I1377=0)),"?IN_FOCUS",IF(J1377&lt;=2,"?ACTIVATED",IF(J1377&lt;&gt;"","?FAMILIAR",IF(F1377="NEW",IF(ISNA(VLOOKUP(E1377,#REF!,1,FALSE())),"?TYPE_IDENTIFIABLE","?REFERENTIAL"),"_")))))</f>
        <v/>
      </c>
      <c r="H1377" s="27" t="str">
        <f aca="false">IF(J1377&lt;&gt;1,"",IF(I1377="SBJ","CB","?"))</f>
        <v/>
      </c>
      <c r="I1377" s="24" t="str">
        <f aca="false">IF(OR(E1377="",E1377="!!!",F1377="NEW"),"",INDEX(B22:B$1356,-1+SUMPRODUCT(MAX(ROW(E22:E$1356)*(E1377=E22:E$1356)))))</f>
        <v/>
      </c>
      <c r="J1377" s="24" t="str">
        <f aca="true">IF(OR(E1377="",E1377="!!!",F1377="NEW"),"",COUNTBLANK(OFFSET(A$1,,,SUMPRODUCT(MAX(ROW(E$2:E1377)*(E1377=E$2:E1377)))))-COUNTBLANK(OFFSET(A$1,,,SUMPRODUCT(MAX(ROW(E$1:E1376)*(E2=E$1:E1376))))))</f>
        <v/>
      </c>
      <c r="K1377" s="24" t="str">
        <f aca="false">IF(OR(E1377="",E1377="!!!",F1377="NEW"),"",INDEX(J$1:J1376,SUMPRODUCT(MAX(ROW(E$1:E1376)*(E1377=E$1:E1376)))))</f>
        <v/>
      </c>
      <c r="L1377" s="31"/>
    </row>
    <row r="1378" customFormat="false" ht="15" hidden="false" customHeight="false" outlineLevel="0" collapsed="false">
      <c r="A1378" s="20" t="s">
        <v>1586</v>
      </c>
      <c r="B1378" s="22" t="s">
        <v>1073</v>
      </c>
      <c r="C1378" s="22" t="s">
        <v>1087</v>
      </c>
      <c r="E1378" s="23" t="str">
        <f aca="false">IF(D1378="?OLD","!!!","")</f>
        <v/>
      </c>
      <c r="F1378" s="25" t="str">
        <f aca="false">IF(OR(E1378="",E1378="!!!"),"",IF(NOT(ISNA(VLOOKUP(E1378,E$1:E1377,1,FALSE()))),"OLD",IF(AND(E1378&lt;&gt;"",E1378&lt;&gt;"!!!"),"NEW","")))</f>
        <v/>
      </c>
      <c r="G1378" s="26" t="str">
        <f aca="false">IF(OR(E1378="",E1378="!!!"),"",IF(OR(J1378=0,AND(J1378=1,K1378=1),AND(J1378=1,I1378="SBJ"),AND(J1378=1,I1378=0)),"?IN_FOCUS",IF(J1378&lt;=2,"?ACTIVATED",IF(J1378&lt;&gt;"","?FAMILIAR",IF(F1378="NEW",IF(ISNA(VLOOKUP(E1378,#REF!,1,FALSE())),"?TYPE_IDENTIFIABLE","?REFERENTIAL"),"_")))))</f>
        <v/>
      </c>
      <c r="H1378" s="27" t="str">
        <f aca="false">IF(J1378&lt;&gt;1,"",IF(I1378="SBJ","CB","?"))</f>
        <v/>
      </c>
      <c r="I1378" s="24" t="str">
        <f aca="false">IF(OR(E1378="",E1378="!!!",F1378="NEW"),"",INDEX(B23:B$1356,-1+SUMPRODUCT(MAX(ROW(E23:E$1356)*(E1378=E23:E$1356)))))</f>
        <v/>
      </c>
      <c r="J1378" s="24" t="str">
        <f aca="true">IF(OR(E1378="",E1378="!!!",F1378="NEW"),"",COUNTBLANK(OFFSET(A$1,,,SUMPRODUCT(MAX(ROW(E$2:E1378)*(E1378=E$2:E1378)))))-COUNTBLANK(OFFSET(A$1,,,SUMPRODUCT(MAX(ROW(E$1:E1377)*(E2=E$1:E1377))))))</f>
        <v/>
      </c>
      <c r="K1378" s="24" t="str">
        <f aca="false">IF(OR(E1378="",E1378="!!!",F1378="NEW"),"",INDEX(J$1:J1377,SUMPRODUCT(MAX(ROW(E$1:E1377)*(E1378=E$1:E1377)))))</f>
        <v/>
      </c>
      <c r="L1378" s="31"/>
    </row>
    <row r="1379" customFormat="false" ht="15" hidden="false" customHeight="false" outlineLevel="0" collapsed="false">
      <c r="A1379" s="20" t="s">
        <v>923</v>
      </c>
      <c r="E1379" s="23" t="str">
        <f aca="false">IF(D1379="?OLD","!!!","")</f>
        <v/>
      </c>
      <c r="F1379" s="25" t="str">
        <f aca="false">IF(OR(E1379="",E1379="!!!"),"",IF(NOT(ISNA(VLOOKUP(E1379,E$1:E1378,1,FALSE()))),"OLD",IF(AND(E1379&lt;&gt;"",E1379&lt;&gt;"!!!"),"NEW","")))</f>
        <v/>
      </c>
      <c r="G1379" s="26" t="str">
        <f aca="false">IF(OR(E1379="",E1379="!!!"),"",IF(OR(J1379=0,AND(J1379=1,K1379=1),AND(J1379=1,I1379="SBJ"),AND(J1379=1,I1379=0)),"?IN_FOCUS",IF(J1379&lt;=2,"?ACTIVATED",IF(J1379&lt;&gt;"","?FAMILIAR",IF(F1379="NEW",IF(ISNA(VLOOKUP(E1379,#REF!,1,FALSE())),"?TYPE_IDENTIFIABLE","?REFERENTIAL"),"_")))))</f>
        <v/>
      </c>
      <c r="H1379" s="27" t="str">
        <f aca="false">IF(J1379&lt;&gt;1,"",IF(I1379="SBJ","CB","?"))</f>
        <v/>
      </c>
      <c r="I1379" s="24" t="str">
        <f aca="false">IF(OR(E1379="",E1379="!!!",F1379="NEW"),"",INDEX(B24:B$1356,-1+SUMPRODUCT(MAX(ROW(E24:E$1356)*(E1379=E24:E$1356)))))</f>
        <v/>
      </c>
      <c r="J1379" s="24" t="str">
        <f aca="true">IF(OR(E1379="",E1379="!!!",F1379="NEW"),"",COUNTBLANK(OFFSET(A$1,,,SUMPRODUCT(MAX(ROW(E$2:E1379)*(E1379=E$2:E1379)))))-COUNTBLANK(OFFSET(A$1,,,SUMPRODUCT(MAX(ROW(E$1:E1378)*(E2=E$1:E1378))))))</f>
        <v/>
      </c>
      <c r="K1379" s="24" t="str">
        <f aca="false">IF(OR(E1379="",E1379="!!!",F1379="NEW"),"",INDEX(J$1:J1378,SUMPRODUCT(MAX(ROW(E$1:E1378)*(E1379=E$1:E1378)))))</f>
        <v/>
      </c>
      <c r="L1379" s="31"/>
    </row>
    <row r="1380" customFormat="false" ht="15" hidden="false" customHeight="false" outlineLevel="0" collapsed="false">
      <c r="A1380" s="20"/>
    </row>
    <row r="1381" customFormat="false" ht="15" hidden="false" customHeight="false" outlineLevel="0" collapsed="false">
      <c r="A1381" s="20" t="s">
        <v>1654</v>
      </c>
    </row>
    <row r="1382" customFormat="false" ht="15" hidden="false" customHeight="false" outlineLevel="0" collapsed="false">
      <c r="A1382" s="20" t="s">
        <v>1655</v>
      </c>
      <c r="E1382" s="23" t="str">
        <f aca="false">IF(D1382="?OLD","!!!","")</f>
        <v/>
      </c>
      <c r="F1382" s="25" t="str">
        <f aca="false">IF(OR(E1382="",E1382="!!!"),"",IF(NOT(ISNA(VLOOKUP(E1382,E$1:E1381,1,FALSE()))),"OLD",IF(AND(E1382&lt;&gt;"",E1382&lt;&gt;"!!!"),"NEW","")))</f>
        <v/>
      </c>
      <c r="G1382" s="26" t="str">
        <f aca="false">IF(OR(E1382="",E1382="!!!"),"",IF(OR(J1382=0,AND(J1382=1,K1382=1),AND(J1382=1,I1382="SBJ"),AND(J1382=1,I1382=0)),"?IN_FOCUS",IF(J1382&lt;=2,"?ACTIVATED",IF(J1382&lt;&gt;"","?FAMILIAR",IF(F1382="NEW",IF(ISNA(VLOOKUP(E1382,#REF!,1,FALSE())),"?TYPE_IDENTIFIABLE","?REFERENTIAL"),"_")))))</f>
        <v/>
      </c>
      <c r="H1382" s="27" t="str">
        <f aca="false">IF(J1382&lt;&gt;1,"",IF(I1382="SBJ","CB","?"))</f>
        <v/>
      </c>
      <c r="I1382" s="24" t="str">
        <f aca="false">IF(OR(E1382="",E1382="!!!",F1382="NEW"),"",INDEX(B2:B$1381,-1+SUMPRODUCT(MAX(ROW(E2:E$1381)*(E1382=E2:E$1381)))))</f>
        <v/>
      </c>
      <c r="J1382" s="24" t="str">
        <f aca="true">IF(OR(E1382="",E1382="!!!",F1382="NEW"),"",COUNTBLANK(OFFSET(A$1,,,SUMPRODUCT(MAX(ROW(E$2:E1382)*(E1382=E$2:E1382)))))-COUNTBLANK(OFFSET(A$1,,,SUMPRODUCT(MAX(ROW(E$1:E1381)*(E2=E$1:E1381))))))</f>
        <v/>
      </c>
      <c r="K1382" s="24" t="str">
        <f aca="false">IF(OR(E1382="",E1382="!!!",F1382="NEW"),"",INDEX(J$1:J1381,SUMPRODUCT(MAX(ROW(E$1:E1381)*(E1382=E$1:E1381)))))</f>
        <v/>
      </c>
      <c r="L1382" s="31"/>
    </row>
    <row r="1383" customFormat="false" ht="15" hidden="false" customHeight="false" outlineLevel="0" collapsed="false">
      <c r="A1383" s="20" t="s">
        <v>1179</v>
      </c>
      <c r="B1383" s="22" t="s">
        <v>1086</v>
      </c>
      <c r="C1383" s="22" t="s">
        <v>1082</v>
      </c>
      <c r="D1383" s="22" t="s">
        <v>1060</v>
      </c>
      <c r="E1383" s="23" t="str">
        <f aca="false">IF(D1383="?OLD","!!!","")</f>
        <v>!!!</v>
      </c>
      <c r="F1383" s="25" t="str">
        <f aca="false">IF(OR(E1383="",E1383="!!!"),"",IF(NOT(ISNA(VLOOKUP(E1383,E$1:E1382,1,FALSE()))),"OLD",IF(AND(E1383&lt;&gt;"",E1383&lt;&gt;"!!!"),"NEW","")))</f>
        <v/>
      </c>
      <c r="G1383" s="26" t="str">
        <f aca="false">IF(OR(E1383="",E1383="!!!"),"",IF(OR(J1383=0,AND(J1383=1,K1383=1),AND(J1383=1,I1383="SBJ"),AND(J1383=1,I1383=0)),"?IN_FOCUS",IF(J1383&lt;=2,"?ACTIVATED",IF(J1383&lt;&gt;"","?FAMILIAR",IF(F1383="NEW",IF(ISNA(VLOOKUP(E1383,#REF!,1,FALSE())),"?TYPE_IDENTIFIABLE","?REFERENTIAL"),"_")))))</f>
        <v/>
      </c>
      <c r="H1383" s="27" t="str">
        <f aca="false">IF(J1383&lt;&gt;1,"",IF(I1383="SBJ","CB","?"))</f>
        <v/>
      </c>
      <c r="I1383" s="24" t="str">
        <f aca="false">IF(OR(E1383="",E1383="!!!",F1383="NEW"),"",INDEX(B3:B$1381,-1+SUMPRODUCT(MAX(ROW(E3:E$1381)*(E1383=E3:E$1381)))))</f>
        <v/>
      </c>
      <c r="J1383" s="24" t="str">
        <f aca="true">IF(OR(E1383="",E1383="!!!",F1383="NEW"),"",COUNTBLANK(OFFSET(A$1,,,SUMPRODUCT(MAX(ROW(E$2:E1383)*(E1383=E$2:E1383)))))-COUNTBLANK(OFFSET(A$1,,,SUMPRODUCT(MAX(ROW(E$1:E1382)*(E2=E$1:E1382))))))</f>
        <v/>
      </c>
      <c r="K1383" s="24" t="str">
        <f aca="false">IF(OR(E1383="",E1383="!!!",F1383="NEW"),"",INDEX(J$1:J1382,SUMPRODUCT(MAX(ROW(E$1:E1382)*(E1383=E$1:E1382)))))</f>
        <v/>
      </c>
      <c r="L1383" s="31"/>
    </row>
    <row r="1384" customFormat="false" ht="15" hidden="false" customHeight="false" outlineLevel="0" collapsed="false">
      <c r="A1384" s="20" t="s">
        <v>502</v>
      </c>
      <c r="E1384" s="23" t="str">
        <f aca="false">IF(D1384="?OLD","!!!","")</f>
        <v/>
      </c>
      <c r="F1384" s="25" t="str">
        <f aca="false">IF(OR(E1384="",E1384="!!!"),"",IF(NOT(ISNA(VLOOKUP(E1384,E$1:E1383,1,FALSE()))),"OLD",IF(AND(E1384&lt;&gt;"",E1384&lt;&gt;"!!!"),"NEW","")))</f>
        <v/>
      </c>
      <c r="G1384" s="26" t="str">
        <f aca="false">IF(OR(E1384="",E1384="!!!"),"",IF(OR(J1384=0,AND(J1384=1,K1384=1),AND(J1384=1,I1384="SBJ"),AND(J1384=1,I1384=0)),"?IN_FOCUS",IF(J1384&lt;=2,"?ACTIVATED",IF(J1384&lt;&gt;"","?FAMILIAR",IF(F1384="NEW",IF(ISNA(VLOOKUP(E1384,#REF!,1,FALSE())),"?TYPE_IDENTIFIABLE","?REFERENTIAL"),"_")))))</f>
        <v/>
      </c>
      <c r="H1384" s="27" t="str">
        <f aca="false">IF(J1384&lt;&gt;1,"",IF(I1384="SBJ","CB","?"))</f>
        <v/>
      </c>
      <c r="I1384" s="24" t="str">
        <f aca="false">IF(OR(E1384="",E1384="!!!",F1384="NEW"),"",INDEX(B4:B$1381,-1+SUMPRODUCT(MAX(ROW(E4:E$1381)*(E1384=E4:E$1381)))))</f>
        <v/>
      </c>
      <c r="J1384" s="24" t="str">
        <f aca="true">IF(OR(E1384="",E1384="!!!",F1384="NEW"),"",COUNTBLANK(OFFSET(A$1,,,SUMPRODUCT(MAX(ROW(E$2:E1384)*(E1384=E$2:E1384)))))-COUNTBLANK(OFFSET(A$1,,,SUMPRODUCT(MAX(ROW(E$1:E1383)*(E2=E$1:E1383))))))</f>
        <v/>
      </c>
      <c r="K1384" s="24" t="str">
        <f aca="false">IF(OR(E1384="",E1384="!!!",F1384="NEW"),"",INDEX(J$1:J1383,SUMPRODUCT(MAX(ROW(E$1:E1383)*(E1384=E$1:E1383)))))</f>
        <v/>
      </c>
      <c r="L1384" s="31"/>
    </row>
    <row r="1385" customFormat="false" ht="15" hidden="false" customHeight="false" outlineLevel="0" collapsed="false">
      <c r="A1385" s="20" t="s">
        <v>1109</v>
      </c>
      <c r="E1385" s="23" t="str">
        <f aca="false">IF(D1385="?OLD","!!!","")</f>
        <v/>
      </c>
      <c r="F1385" s="25" t="str">
        <f aca="false">IF(OR(E1385="",E1385="!!!"),"",IF(NOT(ISNA(VLOOKUP(E1385,E$1:E1384,1,FALSE()))),"OLD",IF(AND(E1385&lt;&gt;"",E1385&lt;&gt;"!!!"),"NEW","")))</f>
        <v/>
      </c>
      <c r="G1385" s="26" t="str">
        <f aca="false">IF(OR(E1385="",E1385="!!!"),"",IF(OR(J1385=0,AND(J1385=1,K1385=1),AND(J1385=1,I1385="SBJ"),AND(J1385=1,I1385=0)),"?IN_FOCUS",IF(J1385&lt;=2,"?ACTIVATED",IF(J1385&lt;&gt;"","?FAMILIAR",IF(F1385="NEW",IF(ISNA(VLOOKUP(E1385,#REF!,1,FALSE())),"?TYPE_IDENTIFIABLE","?REFERENTIAL"),"_")))))</f>
        <v/>
      </c>
      <c r="H1385" s="27" t="str">
        <f aca="false">IF(J1385&lt;&gt;1,"",IF(I1385="SBJ","CB","?"))</f>
        <v/>
      </c>
      <c r="I1385" s="24" t="str">
        <f aca="false">IF(OR(E1385="",E1385="!!!",F1385="NEW"),"",INDEX(B5:B$1381,-1+SUMPRODUCT(MAX(ROW(E5:E$1381)*(E1385=E5:E$1381)))))</f>
        <v/>
      </c>
      <c r="J1385" s="24" t="str">
        <f aca="true">IF(OR(E1385="",E1385="!!!",F1385="NEW"),"",COUNTBLANK(OFFSET(A$1,,,SUMPRODUCT(MAX(ROW(E$2:E1385)*(E1385=E$2:E1385)))))-COUNTBLANK(OFFSET(A$1,,,SUMPRODUCT(MAX(ROW(E$1:E1384)*(E2=E$1:E1384))))))</f>
        <v/>
      </c>
      <c r="K1385" s="24" t="str">
        <f aca="false">IF(OR(E1385="",E1385="!!!",F1385="NEW"),"",INDEX(J$1:J1384,SUMPRODUCT(MAX(ROW(E$1:E1384)*(E1385=E$1:E1384)))))</f>
        <v/>
      </c>
      <c r="L1385" s="31"/>
    </row>
    <row r="1386" customFormat="false" ht="15" hidden="false" customHeight="false" outlineLevel="0" collapsed="false">
      <c r="A1386" s="20" t="s">
        <v>1220</v>
      </c>
      <c r="E1386" s="23" t="str">
        <f aca="false">IF(D1386="?OLD","!!!","")</f>
        <v/>
      </c>
      <c r="F1386" s="25" t="str">
        <f aca="false">IF(OR(E1386="",E1386="!!!"),"",IF(NOT(ISNA(VLOOKUP(E1386,E$1:E1385,1,FALSE()))),"OLD",IF(AND(E1386&lt;&gt;"",E1386&lt;&gt;"!!!"),"NEW","")))</f>
        <v/>
      </c>
      <c r="G1386" s="26" t="str">
        <f aca="false">IF(OR(E1386="",E1386="!!!"),"",IF(OR(J1386=0,AND(J1386=1,K1386=1),AND(J1386=1,I1386="SBJ"),AND(J1386=1,I1386=0)),"?IN_FOCUS",IF(J1386&lt;=2,"?ACTIVATED",IF(J1386&lt;&gt;"","?FAMILIAR",IF(F1386="NEW",IF(ISNA(VLOOKUP(E1386,#REF!,1,FALSE())),"?TYPE_IDENTIFIABLE","?REFERENTIAL"),"_")))))</f>
        <v/>
      </c>
      <c r="H1386" s="27" t="str">
        <f aca="false">IF(J1386&lt;&gt;1,"",IF(I1386="SBJ","CB","?"))</f>
        <v/>
      </c>
      <c r="I1386" s="24" t="str">
        <f aca="false">IF(OR(E1386="",E1386="!!!",F1386="NEW"),"",INDEX(B6:B$1381,-1+SUMPRODUCT(MAX(ROW(E6:E$1381)*(E1386=E6:E$1381)))))</f>
        <v/>
      </c>
      <c r="J1386" s="24" t="str">
        <f aca="true">IF(OR(E1386="",E1386="!!!",F1386="NEW"),"",COUNTBLANK(OFFSET(A$1,,,SUMPRODUCT(MAX(ROW(E$2:E1386)*(E1386=E$2:E1386)))))-COUNTBLANK(OFFSET(A$1,,,SUMPRODUCT(MAX(ROW(E$1:E1385)*(E2=E$1:E1385))))))</f>
        <v/>
      </c>
      <c r="K1386" s="24" t="str">
        <f aca="false">IF(OR(E1386="",E1386="!!!",F1386="NEW"),"",INDEX(J$1:J1385,SUMPRODUCT(MAX(ROW(E$1:E1385)*(E1386=E$1:E1385)))))</f>
        <v/>
      </c>
      <c r="L1386" s="31"/>
    </row>
    <row r="1387" customFormat="false" ht="15" hidden="false" customHeight="false" outlineLevel="0" collapsed="false">
      <c r="A1387" s="20" t="s">
        <v>1656</v>
      </c>
      <c r="B1387" s="22" t="s">
        <v>1142</v>
      </c>
      <c r="C1387" s="22" t="s">
        <v>1150</v>
      </c>
      <c r="D1387" s="22" t="s">
        <v>1060</v>
      </c>
      <c r="E1387" s="23" t="str">
        <f aca="false">IF(D1387="?OLD","!!!","")</f>
        <v>!!!</v>
      </c>
      <c r="F1387" s="25" t="str">
        <f aca="false">IF(OR(E1387="",E1387="!!!"),"",IF(NOT(ISNA(VLOOKUP(E1387,E$1:E1386,1,FALSE()))),"OLD",IF(AND(E1387&lt;&gt;"",E1387&lt;&gt;"!!!"),"NEW","")))</f>
        <v/>
      </c>
      <c r="G1387" s="26" t="str">
        <f aca="false">IF(OR(E1387="",E1387="!!!"),"",IF(OR(J1387=0,AND(J1387=1,K1387=1),AND(J1387=1,I1387="SBJ"),AND(J1387=1,I1387=0)),"?IN_FOCUS",IF(J1387&lt;=2,"?ACTIVATED",IF(J1387&lt;&gt;"","?FAMILIAR",IF(F1387="NEW",IF(ISNA(VLOOKUP(E1387,#REF!,1,FALSE())),"?TYPE_IDENTIFIABLE","?REFERENTIAL"),"_")))))</f>
        <v/>
      </c>
      <c r="H1387" s="27" t="str">
        <f aca="false">IF(J1387&lt;&gt;1,"",IF(I1387="SBJ","CB","?"))</f>
        <v/>
      </c>
      <c r="I1387" s="24" t="str">
        <f aca="false">IF(OR(E1387="",E1387="!!!",F1387="NEW"),"",INDEX(B7:B$1381,-1+SUMPRODUCT(MAX(ROW(E7:E$1381)*(E1387=E7:E$1381)))))</f>
        <v/>
      </c>
      <c r="J1387" s="24" t="str">
        <f aca="true">IF(OR(E1387="",E1387="!!!",F1387="NEW"),"",COUNTBLANK(OFFSET(A$1,,,SUMPRODUCT(MAX(ROW(E$2:E1387)*(E1387=E$2:E1387)))))-COUNTBLANK(OFFSET(A$1,,,SUMPRODUCT(MAX(ROW(E$1:E1386)*(E2=E$1:E1386))))))</f>
        <v/>
      </c>
      <c r="K1387" s="24" t="str">
        <f aca="false">IF(OR(E1387="",E1387="!!!",F1387="NEW"),"",INDEX(J$1:J1386,SUMPRODUCT(MAX(ROW(E$1:E1386)*(E1387=E$1:E1386)))))</f>
        <v/>
      </c>
      <c r="L1387" s="31"/>
    </row>
    <row r="1388" customFormat="false" ht="15" hidden="false" customHeight="false" outlineLevel="0" collapsed="false">
      <c r="A1388" s="20" t="s">
        <v>1064</v>
      </c>
      <c r="E1388" s="23" t="str">
        <f aca="false">IF(D1388="?OLD","!!!","")</f>
        <v/>
      </c>
      <c r="F1388" s="25" t="str">
        <f aca="false">IF(OR(E1388="",E1388="!!!"),"",IF(NOT(ISNA(VLOOKUP(E1388,E$1:E1387,1,FALSE()))),"OLD",IF(AND(E1388&lt;&gt;"",E1388&lt;&gt;"!!!"),"NEW","")))</f>
        <v/>
      </c>
      <c r="G1388" s="26" t="str">
        <f aca="false">IF(OR(E1388="",E1388="!!!"),"",IF(OR(J1388=0,AND(J1388=1,K1388=1),AND(J1388=1,I1388="SBJ"),AND(J1388=1,I1388=0)),"?IN_FOCUS",IF(J1388&lt;=2,"?ACTIVATED",IF(J1388&lt;&gt;"","?FAMILIAR",IF(F1388="NEW",IF(ISNA(VLOOKUP(E1388,#REF!,1,FALSE())),"?TYPE_IDENTIFIABLE","?REFERENTIAL"),"_")))))</f>
        <v/>
      </c>
      <c r="H1388" s="27" t="str">
        <f aca="false">IF(J1388&lt;&gt;1,"",IF(I1388="SBJ","CB","?"))</f>
        <v/>
      </c>
      <c r="I1388" s="24" t="str">
        <f aca="false">IF(OR(E1388="",E1388="!!!",F1388="NEW"),"",INDEX(B8:B$1381,-1+SUMPRODUCT(MAX(ROW(E8:E$1381)*(E1388=E8:E$1381)))))</f>
        <v/>
      </c>
      <c r="J1388" s="24" t="str">
        <f aca="true">IF(OR(E1388="",E1388="!!!",F1388="NEW"),"",COUNTBLANK(OFFSET(A$1,,,SUMPRODUCT(MAX(ROW(E$2:E1388)*(E1388=E$2:E1388)))))-COUNTBLANK(OFFSET(A$1,,,SUMPRODUCT(MAX(ROW(E$1:E1387)*(E2=E$1:E1387))))))</f>
        <v/>
      </c>
      <c r="K1388" s="24" t="str">
        <f aca="false">IF(OR(E1388="",E1388="!!!",F1388="NEW"),"",INDEX(J$1:J1387,SUMPRODUCT(MAX(ROW(E$1:E1387)*(E1388=E$1:E1387)))))</f>
        <v/>
      </c>
      <c r="L1388" s="31"/>
    </row>
    <row r="1389" customFormat="false" ht="15" hidden="false" customHeight="false" outlineLevel="0" collapsed="false">
      <c r="A1389" s="20" t="s">
        <v>1109</v>
      </c>
      <c r="E1389" s="23" t="str">
        <f aca="false">IF(D1389="?OLD","!!!","")</f>
        <v/>
      </c>
      <c r="F1389" s="25" t="str">
        <f aca="false">IF(OR(E1389="",E1389="!!!"),"",IF(NOT(ISNA(VLOOKUP(E1389,E$1:E1388,1,FALSE()))),"OLD",IF(AND(E1389&lt;&gt;"",E1389&lt;&gt;"!!!"),"NEW","")))</f>
        <v/>
      </c>
      <c r="G1389" s="26" t="str">
        <f aca="false">IF(OR(E1389="",E1389="!!!"),"",IF(OR(J1389=0,AND(J1389=1,K1389=1),AND(J1389=1,I1389="SBJ"),AND(J1389=1,I1389=0)),"?IN_FOCUS",IF(J1389&lt;=2,"?ACTIVATED",IF(J1389&lt;&gt;"","?FAMILIAR",IF(F1389="NEW",IF(ISNA(VLOOKUP(E1389,#REF!,1,FALSE())),"?TYPE_IDENTIFIABLE","?REFERENTIAL"),"_")))))</f>
        <v/>
      </c>
      <c r="H1389" s="27" t="str">
        <f aca="false">IF(J1389&lt;&gt;1,"",IF(I1389="SBJ","CB","?"))</f>
        <v/>
      </c>
      <c r="I1389" s="24" t="str">
        <f aca="false">IF(OR(E1389="",E1389="!!!",F1389="NEW"),"",INDEX(B9:B$1381,-1+SUMPRODUCT(MAX(ROW(E9:E$1381)*(E1389=E9:E$1381)))))</f>
        <v/>
      </c>
      <c r="J1389" s="24" t="str">
        <f aca="true">IF(OR(E1389="",E1389="!!!",F1389="NEW"),"",COUNTBLANK(OFFSET(A$1,,,SUMPRODUCT(MAX(ROW(E$2:E1389)*(E1389=E$2:E1389)))))-COUNTBLANK(OFFSET(A$1,,,SUMPRODUCT(MAX(ROW(E$1:E1388)*(E2=E$1:E1388))))))</f>
        <v/>
      </c>
      <c r="K1389" s="24" t="str">
        <f aca="false">IF(OR(E1389="",E1389="!!!",F1389="NEW"),"",INDEX(J$1:J1388,SUMPRODUCT(MAX(ROW(E$1:E1388)*(E1389=E$1:E1388)))))</f>
        <v/>
      </c>
      <c r="L1389" s="31"/>
    </row>
    <row r="1390" customFormat="false" ht="15" hidden="false" customHeight="false" outlineLevel="0" collapsed="false">
      <c r="A1390" s="20" t="s">
        <v>1269</v>
      </c>
      <c r="B1390" s="22" t="s">
        <v>1067</v>
      </c>
      <c r="C1390" s="22" t="s">
        <v>1150</v>
      </c>
      <c r="D1390" s="22" t="s">
        <v>1060</v>
      </c>
      <c r="E1390" s="23" t="str">
        <f aca="false">IF(D1390="?OLD","!!!","")</f>
        <v>!!!</v>
      </c>
      <c r="F1390" s="25" t="str">
        <f aca="false">IF(OR(E1390="",E1390="!!!"),"",IF(NOT(ISNA(VLOOKUP(E1390,E$1:E1389,1,FALSE()))),"OLD",IF(AND(E1390&lt;&gt;"",E1390&lt;&gt;"!!!"),"NEW","")))</f>
        <v/>
      </c>
      <c r="G1390" s="26" t="str">
        <f aca="false">IF(OR(E1390="",E1390="!!!"),"",IF(OR(J1390=0,AND(J1390=1,K1390=1),AND(J1390=1,I1390="SBJ"),AND(J1390=1,I1390=0)),"?IN_FOCUS",IF(J1390&lt;=2,"?ACTIVATED",IF(J1390&lt;&gt;"","?FAMILIAR",IF(F1390="NEW",IF(ISNA(VLOOKUP(E1390,#REF!,1,FALSE())),"?TYPE_IDENTIFIABLE","?REFERENTIAL"),"_")))))</f>
        <v/>
      </c>
      <c r="H1390" s="27" t="str">
        <f aca="false">IF(J1390&lt;&gt;1,"",IF(I1390="SBJ","CB","?"))</f>
        <v/>
      </c>
      <c r="I1390" s="24" t="str">
        <f aca="false">IF(OR(E1390="",E1390="!!!",F1390="NEW"),"",INDEX(B10:B$1381,-1+SUMPRODUCT(MAX(ROW(E10:E$1381)*(E1390=E10:E$1381)))))</f>
        <v/>
      </c>
      <c r="J1390" s="24" t="str">
        <f aca="true">IF(OR(E1390="",E1390="!!!",F1390="NEW"),"",COUNTBLANK(OFFSET(A$1,,,SUMPRODUCT(MAX(ROW(E$2:E1390)*(E1390=E$2:E1390)))))-COUNTBLANK(OFFSET(A$1,,,SUMPRODUCT(MAX(ROW(E$1:E1389)*(E2=E$1:E1389))))))</f>
        <v/>
      </c>
      <c r="K1390" s="24" t="str">
        <f aca="false">IF(OR(E1390="",E1390="!!!",F1390="NEW"),"",INDEX(J$1:J1389,SUMPRODUCT(MAX(ROW(E$1:E1389)*(E1390=E$1:E1389)))))</f>
        <v/>
      </c>
      <c r="L1390" s="31"/>
    </row>
    <row r="1391" customFormat="false" ht="15" hidden="false" customHeight="false" outlineLevel="0" collapsed="false">
      <c r="A1391" s="20" t="s">
        <v>1076</v>
      </c>
      <c r="E1391" s="23" t="str">
        <f aca="false">IF(D1391="?OLD","!!!","")</f>
        <v/>
      </c>
      <c r="F1391" s="25" t="str">
        <f aca="false">IF(OR(E1391="",E1391="!!!"),"",IF(NOT(ISNA(VLOOKUP(E1391,E$1:E1390,1,FALSE()))),"OLD",IF(AND(E1391&lt;&gt;"",E1391&lt;&gt;"!!!"),"NEW","")))</f>
        <v/>
      </c>
      <c r="G1391" s="26" t="str">
        <f aca="false">IF(OR(E1391="",E1391="!!!"),"",IF(OR(J1391=0,AND(J1391=1,K1391=1),AND(J1391=1,I1391="SBJ"),AND(J1391=1,I1391=0)),"?IN_FOCUS",IF(J1391&lt;=2,"?ACTIVATED",IF(J1391&lt;&gt;"","?FAMILIAR",IF(F1391="NEW",IF(ISNA(VLOOKUP(E1391,#REF!,1,FALSE())),"?TYPE_IDENTIFIABLE","?REFERENTIAL"),"_")))))</f>
        <v/>
      </c>
      <c r="H1391" s="27" t="str">
        <f aca="false">IF(J1391&lt;&gt;1,"",IF(I1391="SBJ","CB","?"))</f>
        <v/>
      </c>
      <c r="I1391" s="24" t="str">
        <f aca="false">IF(OR(E1391="",E1391="!!!",F1391="NEW"),"",INDEX(B11:B$1381,-1+SUMPRODUCT(MAX(ROW(E11:E$1381)*(E1391=E11:E$1381)))))</f>
        <v/>
      </c>
      <c r="J1391" s="24" t="str">
        <f aca="true">IF(OR(E1391="",E1391="!!!",F1391="NEW"),"",COUNTBLANK(OFFSET(A$1,,,SUMPRODUCT(MAX(ROW(E$2:E1391)*(E1391=E$2:E1391)))))-COUNTBLANK(OFFSET(A$1,,,SUMPRODUCT(MAX(ROW(E$1:E1390)*(E2=E$1:E1390))))))</f>
        <v/>
      </c>
      <c r="K1391" s="24" t="str">
        <f aca="false">IF(OR(E1391="",E1391="!!!",F1391="NEW"),"",INDEX(J$1:J1390,SUMPRODUCT(MAX(ROW(E$1:E1390)*(E1391=E$1:E1390)))))</f>
        <v/>
      </c>
      <c r="L1391" s="31"/>
    </row>
    <row r="1392" customFormat="false" ht="15" hidden="false" customHeight="false" outlineLevel="0" collapsed="false">
      <c r="A1392" s="20" t="s">
        <v>1080</v>
      </c>
      <c r="B1392" s="22" t="s">
        <v>1058</v>
      </c>
      <c r="C1392" s="22" t="s">
        <v>1082</v>
      </c>
      <c r="D1392" s="22" t="s">
        <v>1060</v>
      </c>
      <c r="E1392" s="23" t="str">
        <f aca="false">IF(D1392="?OLD","!!!","")</f>
        <v>!!!</v>
      </c>
      <c r="F1392" s="25" t="str">
        <f aca="false">IF(OR(E1392="",E1392="!!!"),"",IF(NOT(ISNA(VLOOKUP(E1392,E$1:E1391,1,FALSE()))),"OLD",IF(AND(E1392&lt;&gt;"",E1392&lt;&gt;"!!!"),"NEW","")))</f>
        <v/>
      </c>
      <c r="G1392" s="26" t="str">
        <f aca="false">IF(OR(E1392="",E1392="!!!"),"",IF(OR(J1392=0,AND(J1392=1,K1392=1),AND(J1392=1,I1392="SBJ"),AND(J1392=1,I1392=0)),"?IN_FOCUS",IF(J1392&lt;=2,"?ACTIVATED",IF(J1392&lt;&gt;"","?FAMILIAR",IF(F1392="NEW",IF(ISNA(VLOOKUP(E1392,#REF!,1,FALSE())),"?TYPE_IDENTIFIABLE","?REFERENTIAL"),"_")))))</f>
        <v/>
      </c>
      <c r="H1392" s="27" t="str">
        <f aca="false">IF(J1392&lt;&gt;1,"",IF(I1392="SBJ","CB","?"))</f>
        <v/>
      </c>
      <c r="I1392" s="24" t="str">
        <f aca="false">IF(OR(E1392="",E1392="!!!",F1392="NEW"),"",INDEX(B12:B$1381,-1+SUMPRODUCT(MAX(ROW(E12:E$1381)*(E1392=E12:E$1381)))))</f>
        <v/>
      </c>
      <c r="J1392" s="24" t="str">
        <f aca="true">IF(OR(E1392="",E1392="!!!",F1392="NEW"),"",COUNTBLANK(OFFSET(A$1,,,SUMPRODUCT(MAX(ROW(E$2:E1392)*(E1392=E$2:E1392)))))-COUNTBLANK(OFFSET(A$1,,,SUMPRODUCT(MAX(ROW(E$1:E1391)*(E2=E$1:E1391))))))</f>
        <v/>
      </c>
      <c r="K1392" s="24" t="str">
        <f aca="false">IF(OR(E1392="",E1392="!!!",F1392="NEW"),"",INDEX(J$1:J1391,SUMPRODUCT(MAX(ROW(E$1:E1391)*(E1392=E$1:E1391)))))</f>
        <v/>
      </c>
      <c r="L1392" s="31"/>
    </row>
    <row r="1393" customFormat="false" ht="15" hidden="false" customHeight="false" outlineLevel="0" collapsed="false">
      <c r="A1393" s="20" t="s">
        <v>1469</v>
      </c>
      <c r="E1393" s="23" t="str">
        <f aca="false">IF(D1393="?OLD","!!!","")</f>
        <v/>
      </c>
      <c r="F1393" s="25" t="str">
        <f aca="false">IF(OR(E1393="",E1393="!!!"),"",IF(NOT(ISNA(VLOOKUP(E1393,E$1:E1392,1,FALSE()))),"OLD",IF(AND(E1393&lt;&gt;"",E1393&lt;&gt;"!!!"),"NEW","")))</f>
        <v/>
      </c>
      <c r="G1393" s="26" t="str">
        <f aca="false">IF(OR(E1393="",E1393="!!!"),"",IF(OR(J1393=0,AND(J1393=1,K1393=1),AND(J1393=1,I1393="SBJ"),AND(J1393=1,I1393=0)),"?IN_FOCUS",IF(J1393&lt;=2,"?ACTIVATED",IF(J1393&lt;&gt;"","?FAMILIAR",IF(F1393="NEW",IF(ISNA(VLOOKUP(E1393,#REF!,1,FALSE())),"?TYPE_IDENTIFIABLE","?REFERENTIAL"),"_")))))</f>
        <v/>
      </c>
      <c r="H1393" s="27" t="str">
        <f aca="false">IF(J1393&lt;&gt;1,"",IF(I1393="SBJ","CB","?"))</f>
        <v/>
      </c>
      <c r="I1393" s="24" t="str">
        <f aca="false">IF(OR(E1393="",E1393="!!!",F1393="NEW"),"",INDEX(B13:B$1381,-1+SUMPRODUCT(MAX(ROW(E13:E$1381)*(E1393=E13:E$1381)))))</f>
        <v/>
      </c>
      <c r="J1393" s="24" t="str">
        <f aca="true">IF(OR(E1393="",E1393="!!!",F1393="NEW"),"",COUNTBLANK(OFFSET(A$1,,,SUMPRODUCT(MAX(ROW(E$2:E1393)*(E1393=E$2:E1393)))))-COUNTBLANK(OFFSET(A$1,,,SUMPRODUCT(MAX(ROW(E$1:E1392)*(E2=E$1:E1392))))))</f>
        <v/>
      </c>
      <c r="K1393" s="24" t="str">
        <f aca="false">IF(OR(E1393="",E1393="!!!",F1393="NEW"),"",INDEX(J$1:J1392,SUMPRODUCT(MAX(ROW(E$1:E1392)*(E1393=E$1:E1392)))))</f>
        <v/>
      </c>
      <c r="L1393" s="31"/>
    </row>
    <row r="1394" customFormat="false" ht="15" hidden="false" customHeight="false" outlineLevel="0" collapsed="false">
      <c r="A1394" s="20" t="s">
        <v>1657</v>
      </c>
      <c r="E1394" s="23" t="str">
        <f aca="false">IF(D1394="?OLD","!!!","")</f>
        <v/>
      </c>
      <c r="F1394" s="25" t="str">
        <f aca="false">IF(OR(E1394="",E1394="!!!"),"",IF(NOT(ISNA(VLOOKUP(E1394,E$1:E1393,1,FALSE()))),"OLD",IF(AND(E1394&lt;&gt;"",E1394&lt;&gt;"!!!"),"NEW","")))</f>
        <v/>
      </c>
      <c r="G1394" s="26" t="str">
        <f aca="false">IF(OR(E1394="",E1394="!!!"),"",IF(OR(J1394=0,AND(J1394=1,K1394=1),AND(J1394=1,I1394="SBJ"),AND(J1394=1,I1394=0)),"?IN_FOCUS",IF(J1394&lt;=2,"?ACTIVATED",IF(J1394&lt;&gt;"","?FAMILIAR",IF(F1394="NEW",IF(ISNA(VLOOKUP(E1394,#REF!,1,FALSE())),"?TYPE_IDENTIFIABLE","?REFERENTIAL"),"_")))))</f>
        <v/>
      </c>
      <c r="H1394" s="27" t="str">
        <f aca="false">IF(J1394&lt;&gt;1,"",IF(I1394="SBJ","CB","?"))</f>
        <v/>
      </c>
      <c r="I1394" s="24" t="str">
        <f aca="false">IF(OR(E1394="",E1394="!!!",F1394="NEW"),"",INDEX(B14:B$1381,-1+SUMPRODUCT(MAX(ROW(E14:E$1381)*(E1394=E14:E$1381)))))</f>
        <v/>
      </c>
      <c r="J1394" s="24" t="str">
        <f aca="true">IF(OR(E1394="",E1394="!!!",F1394="NEW"),"",COUNTBLANK(OFFSET(A$1,,,SUMPRODUCT(MAX(ROW(E$2:E1394)*(E1394=E$2:E1394)))))-COUNTBLANK(OFFSET(A$1,,,SUMPRODUCT(MAX(ROW(E$1:E1393)*(E2=E$1:E1393))))))</f>
        <v/>
      </c>
      <c r="K1394" s="24" t="str">
        <f aca="false">IF(OR(E1394="",E1394="!!!",F1394="NEW"),"",INDEX(J$1:J1393,SUMPRODUCT(MAX(ROW(E$1:E1393)*(E1394=E$1:E1393)))))</f>
        <v/>
      </c>
      <c r="L1394" s="31"/>
    </row>
    <row r="1395" customFormat="false" ht="15" hidden="false" customHeight="false" outlineLevel="0" collapsed="false">
      <c r="A1395" s="20" t="s">
        <v>1658</v>
      </c>
      <c r="B1395" s="22" t="s">
        <v>1105</v>
      </c>
      <c r="C1395" s="22" t="s">
        <v>1160</v>
      </c>
      <c r="E1395" s="23" t="str">
        <f aca="false">IF(D1395="?OLD","!!!","")</f>
        <v/>
      </c>
      <c r="F1395" s="25" t="str">
        <f aca="false">IF(OR(E1395="",E1395="!!!"),"",IF(NOT(ISNA(VLOOKUP(E1395,E$1:E1394,1,FALSE()))),"OLD",IF(AND(E1395&lt;&gt;"",E1395&lt;&gt;"!!!"),"NEW","")))</f>
        <v/>
      </c>
      <c r="G1395" s="26" t="str">
        <f aca="false">IF(OR(E1395="",E1395="!!!"),"",IF(OR(J1395=0,AND(J1395=1,K1395=1),AND(J1395=1,I1395="SBJ"),AND(J1395=1,I1395=0)),"?IN_FOCUS",IF(J1395&lt;=2,"?ACTIVATED",IF(J1395&lt;&gt;"","?FAMILIAR",IF(F1395="NEW",IF(ISNA(VLOOKUP(E1395,#REF!,1,FALSE())),"?TYPE_IDENTIFIABLE","?REFERENTIAL"),"_")))))</f>
        <v/>
      </c>
      <c r="H1395" s="27" t="str">
        <f aca="false">IF(J1395&lt;&gt;1,"",IF(I1395="SBJ","CB","?"))</f>
        <v/>
      </c>
      <c r="I1395" s="24" t="str">
        <f aca="false">IF(OR(E1395="",E1395="!!!",F1395="NEW"),"",INDEX(B15:B$1381,-1+SUMPRODUCT(MAX(ROW(E15:E$1381)*(E1395=E15:E$1381)))))</f>
        <v/>
      </c>
      <c r="J1395" s="24" t="str">
        <f aca="true">IF(OR(E1395="",E1395="!!!",F1395="NEW"),"",COUNTBLANK(OFFSET(A$1,,,SUMPRODUCT(MAX(ROW(E$2:E1395)*(E1395=E$2:E1395)))))-COUNTBLANK(OFFSET(A$1,,,SUMPRODUCT(MAX(ROW(E$1:E1394)*(E2=E$1:E1394))))))</f>
        <v/>
      </c>
      <c r="K1395" s="24" t="str">
        <f aca="false">IF(OR(E1395="",E1395="!!!",F1395="NEW"),"",INDEX(J$1:J1394,SUMPRODUCT(MAX(ROW(E$1:E1394)*(E1395=E$1:E1394)))))</f>
        <v/>
      </c>
      <c r="L1395" s="31"/>
    </row>
    <row r="1396" customFormat="false" ht="15" hidden="false" customHeight="false" outlineLevel="0" collapsed="false">
      <c r="A1396" s="20" t="s">
        <v>1128</v>
      </c>
      <c r="E1396" s="23" t="str">
        <f aca="false">IF(D1396="?OLD","!!!","")</f>
        <v/>
      </c>
      <c r="F1396" s="25" t="str">
        <f aca="false">IF(OR(E1396="",E1396="!!!"),"",IF(NOT(ISNA(VLOOKUP(E1396,E$1:E1395,1,FALSE()))),"OLD",IF(AND(E1396&lt;&gt;"",E1396&lt;&gt;"!!!"),"NEW","")))</f>
        <v/>
      </c>
      <c r="G1396" s="26" t="str">
        <f aca="false">IF(OR(E1396="",E1396="!!!"),"",IF(OR(J1396=0,AND(J1396=1,K1396=1),AND(J1396=1,I1396="SBJ"),AND(J1396=1,I1396=0)),"?IN_FOCUS",IF(J1396&lt;=2,"?ACTIVATED",IF(J1396&lt;&gt;"","?FAMILIAR",IF(F1396="NEW",IF(ISNA(VLOOKUP(E1396,#REF!,1,FALSE())),"?TYPE_IDENTIFIABLE","?REFERENTIAL"),"_")))))</f>
        <v/>
      </c>
      <c r="H1396" s="27" t="str">
        <f aca="false">IF(J1396&lt;&gt;1,"",IF(I1396="SBJ","CB","?"))</f>
        <v/>
      </c>
      <c r="I1396" s="24" t="str">
        <f aca="false">IF(OR(E1396="",E1396="!!!",F1396="NEW"),"",INDEX(B16:B$1381,-1+SUMPRODUCT(MAX(ROW(E16:E$1381)*(E1396=E16:E$1381)))))</f>
        <v/>
      </c>
      <c r="J1396" s="24" t="str">
        <f aca="true">IF(OR(E1396="",E1396="!!!",F1396="NEW"),"",COUNTBLANK(OFFSET(A$1,,,SUMPRODUCT(MAX(ROW(E$2:E1396)*(E1396=E$2:E1396)))))-COUNTBLANK(OFFSET(A$1,,,SUMPRODUCT(MAX(ROW(E$1:E1395)*(E2=E$1:E1395))))))</f>
        <v/>
      </c>
      <c r="K1396" s="24" t="str">
        <f aca="false">IF(OR(E1396="",E1396="!!!",F1396="NEW"),"",INDEX(J$1:J1395,SUMPRODUCT(MAX(ROW(E$1:E1395)*(E1396=E$1:E1395)))))</f>
        <v/>
      </c>
      <c r="L1396" s="31"/>
    </row>
    <row r="1397" customFormat="false" ht="15" hidden="false" customHeight="false" outlineLevel="0" collapsed="false">
      <c r="A1397" s="20" t="s">
        <v>1659</v>
      </c>
      <c r="E1397" s="23" t="str">
        <f aca="false">IF(D1397="?OLD","!!!","")</f>
        <v/>
      </c>
      <c r="F1397" s="25" t="str">
        <f aca="false">IF(OR(E1397="",E1397="!!!"),"",IF(NOT(ISNA(VLOOKUP(E1397,E$1:E1396,1,FALSE()))),"OLD",IF(AND(E1397&lt;&gt;"",E1397&lt;&gt;"!!!"),"NEW","")))</f>
        <v/>
      </c>
      <c r="G1397" s="26" t="str">
        <f aca="false">IF(OR(E1397="",E1397="!!!"),"",IF(OR(J1397=0,AND(J1397=1,K1397=1),AND(J1397=1,I1397="SBJ"),AND(J1397=1,I1397=0)),"?IN_FOCUS",IF(J1397&lt;=2,"?ACTIVATED",IF(J1397&lt;&gt;"","?FAMILIAR",IF(F1397="NEW",IF(ISNA(VLOOKUP(E1397,#REF!,1,FALSE())),"?TYPE_IDENTIFIABLE","?REFERENTIAL"),"_")))))</f>
        <v/>
      </c>
      <c r="H1397" s="27" t="str">
        <f aca="false">IF(J1397&lt;&gt;1,"",IF(I1397="SBJ","CB","?"))</f>
        <v/>
      </c>
      <c r="I1397" s="24" t="str">
        <f aca="false">IF(OR(E1397="",E1397="!!!",F1397="NEW"),"",INDEX(B17:B$1381,-1+SUMPRODUCT(MAX(ROW(E17:E$1381)*(E1397=E17:E$1381)))))</f>
        <v/>
      </c>
      <c r="J1397" s="24" t="str">
        <f aca="true">IF(OR(E1397="",E1397="!!!",F1397="NEW"),"",COUNTBLANK(OFFSET(A$1,,,SUMPRODUCT(MAX(ROW(E$2:E1397)*(E1397=E$2:E1397)))))-COUNTBLANK(OFFSET(A$1,,,SUMPRODUCT(MAX(ROW(E$1:E1396)*(E2=E$1:E1396))))))</f>
        <v/>
      </c>
      <c r="K1397" s="24" t="str">
        <f aca="false">IF(OR(E1397="",E1397="!!!",F1397="NEW"),"",INDEX(J$1:J1396,SUMPRODUCT(MAX(ROW(E$1:E1396)*(E1397=E$1:E1396)))))</f>
        <v/>
      </c>
      <c r="L1397" s="31"/>
    </row>
    <row r="1398" customFormat="false" ht="15" hidden="false" customHeight="false" outlineLevel="0" collapsed="false">
      <c r="A1398" s="20" t="s">
        <v>1660</v>
      </c>
      <c r="B1398" s="22" t="s">
        <v>1105</v>
      </c>
      <c r="C1398" s="22" t="s">
        <v>1160</v>
      </c>
      <c r="E1398" s="23" t="str">
        <f aca="false">IF(D1398="?OLD","!!!","")</f>
        <v/>
      </c>
      <c r="F1398" s="25" t="str">
        <f aca="false">IF(OR(E1398="",E1398="!!!"),"",IF(NOT(ISNA(VLOOKUP(E1398,E$1:E1397,1,FALSE()))),"OLD",IF(AND(E1398&lt;&gt;"",E1398&lt;&gt;"!!!"),"NEW","")))</f>
        <v/>
      </c>
      <c r="G1398" s="26" t="str">
        <f aca="false">IF(OR(E1398="",E1398="!!!"),"",IF(OR(J1398=0,AND(J1398=1,K1398=1),AND(J1398=1,I1398="SBJ"),AND(J1398=1,I1398=0)),"?IN_FOCUS",IF(J1398&lt;=2,"?ACTIVATED",IF(J1398&lt;&gt;"","?FAMILIAR",IF(F1398="NEW",IF(ISNA(VLOOKUP(E1398,#REF!,1,FALSE())),"?TYPE_IDENTIFIABLE","?REFERENTIAL"),"_")))))</f>
        <v/>
      </c>
      <c r="H1398" s="27" t="str">
        <f aca="false">IF(J1398&lt;&gt;1,"",IF(I1398="SBJ","CB","?"))</f>
        <v/>
      </c>
      <c r="I1398" s="24" t="str">
        <f aca="false">IF(OR(E1398="",E1398="!!!",F1398="NEW"),"",INDEX(B18:B$1381,-1+SUMPRODUCT(MAX(ROW(E18:E$1381)*(E1398=E18:E$1381)))))</f>
        <v/>
      </c>
      <c r="J1398" s="24" t="str">
        <f aca="true">IF(OR(E1398="",E1398="!!!",F1398="NEW"),"",COUNTBLANK(OFFSET(A$1,,,SUMPRODUCT(MAX(ROW(E$2:E1398)*(E1398=E$2:E1398)))))-COUNTBLANK(OFFSET(A$1,,,SUMPRODUCT(MAX(ROW(E$1:E1397)*(E2=E$1:E1397))))))</f>
        <v/>
      </c>
      <c r="K1398" s="24" t="str">
        <f aca="false">IF(OR(E1398="",E1398="!!!",F1398="NEW"),"",INDEX(J$1:J1397,SUMPRODUCT(MAX(ROW(E$1:E1397)*(E1398=E$1:E1397)))))</f>
        <v/>
      </c>
      <c r="L1398" s="31"/>
    </row>
    <row r="1399" customFormat="false" ht="15" hidden="false" customHeight="false" outlineLevel="0" collapsed="false">
      <c r="A1399" s="20" t="s">
        <v>1661</v>
      </c>
      <c r="E1399" s="23" t="str">
        <f aca="false">IF(D1399="?OLD","!!!","")</f>
        <v/>
      </c>
      <c r="F1399" s="25" t="str">
        <f aca="false">IF(OR(E1399="",E1399="!!!"),"",IF(NOT(ISNA(VLOOKUP(E1399,E$1:E1398,1,FALSE()))),"OLD",IF(AND(E1399&lt;&gt;"",E1399&lt;&gt;"!!!"),"NEW","")))</f>
        <v/>
      </c>
      <c r="G1399" s="26" t="str">
        <f aca="false">IF(OR(E1399="",E1399="!!!"),"",IF(OR(J1399=0,AND(J1399=1,K1399=1),AND(J1399=1,I1399="SBJ"),AND(J1399=1,I1399=0)),"?IN_FOCUS",IF(J1399&lt;=2,"?ACTIVATED",IF(J1399&lt;&gt;"","?FAMILIAR",IF(F1399="NEW",IF(ISNA(VLOOKUP(E1399,#REF!,1,FALSE())),"?TYPE_IDENTIFIABLE","?REFERENTIAL"),"_")))))</f>
        <v/>
      </c>
      <c r="H1399" s="27" t="str">
        <f aca="false">IF(J1399&lt;&gt;1,"",IF(I1399="SBJ","CB","?"))</f>
        <v/>
      </c>
      <c r="I1399" s="24" t="str">
        <f aca="false">IF(OR(E1399="",E1399="!!!",F1399="NEW"),"",INDEX(B19:B$1381,-1+SUMPRODUCT(MAX(ROW(E19:E$1381)*(E1399=E19:E$1381)))))</f>
        <v/>
      </c>
      <c r="J1399" s="24" t="str">
        <f aca="true">IF(OR(E1399="",E1399="!!!",F1399="NEW"),"",COUNTBLANK(OFFSET(A$1,,,SUMPRODUCT(MAX(ROW(E$2:E1399)*(E1399=E$2:E1399)))))-COUNTBLANK(OFFSET(A$1,,,SUMPRODUCT(MAX(ROW(E$1:E1398)*(E2=E$1:E1398))))))</f>
        <v/>
      </c>
      <c r="K1399" s="24" t="str">
        <f aca="false">IF(OR(E1399="",E1399="!!!",F1399="NEW"),"",INDEX(J$1:J1398,SUMPRODUCT(MAX(ROW(E$1:E1398)*(E1399=E$1:E1398)))))</f>
        <v/>
      </c>
      <c r="L1399" s="31"/>
    </row>
    <row r="1400" customFormat="false" ht="15" hidden="false" customHeight="false" outlineLevel="0" collapsed="false">
      <c r="A1400" s="20" t="s">
        <v>1662</v>
      </c>
      <c r="E1400" s="23" t="str">
        <f aca="false">IF(D1400="?OLD","!!!","")</f>
        <v/>
      </c>
      <c r="F1400" s="25" t="str">
        <f aca="false">IF(OR(E1400="",E1400="!!!"),"",IF(NOT(ISNA(VLOOKUP(E1400,E$1:E1399,1,FALSE()))),"OLD",IF(AND(E1400&lt;&gt;"",E1400&lt;&gt;"!!!"),"NEW","")))</f>
        <v/>
      </c>
      <c r="G1400" s="26" t="str">
        <f aca="false">IF(OR(E1400="",E1400="!!!"),"",IF(OR(J1400=0,AND(J1400=1,K1400=1),AND(J1400=1,I1400="SBJ"),AND(J1400=1,I1400=0)),"?IN_FOCUS",IF(J1400&lt;=2,"?ACTIVATED",IF(J1400&lt;&gt;"","?FAMILIAR",IF(F1400="NEW",IF(ISNA(VLOOKUP(E1400,#REF!,1,FALSE())),"?TYPE_IDENTIFIABLE","?REFERENTIAL"),"_")))))</f>
        <v/>
      </c>
      <c r="H1400" s="27" t="str">
        <f aca="false">IF(J1400&lt;&gt;1,"",IF(I1400="SBJ","CB","?"))</f>
        <v/>
      </c>
      <c r="I1400" s="24" t="str">
        <f aca="false">IF(OR(E1400="",E1400="!!!",F1400="NEW"),"",INDEX(B20:B$1381,-1+SUMPRODUCT(MAX(ROW(E20:E$1381)*(E1400=E20:E$1381)))))</f>
        <v/>
      </c>
      <c r="J1400" s="24" t="str">
        <f aca="true">IF(OR(E1400="",E1400="!!!",F1400="NEW"),"",COUNTBLANK(OFFSET(A$1,,,SUMPRODUCT(MAX(ROW(E$2:E1400)*(E1400=E$2:E1400)))))-COUNTBLANK(OFFSET(A$1,,,SUMPRODUCT(MAX(ROW(E$1:E1399)*(E2=E$1:E1399))))))</f>
        <v/>
      </c>
      <c r="K1400" s="24" t="str">
        <f aca="false">IF(OR(E1400="",E1400="!!!",F1400="NEW"),"",INDEX(J$1:J1399,SUMPRODUCT(MAX(ROW(E$1:E1399)*(E1400=E$1:E1399)))))</f>
        <v/>
      </c>
      <c r="L1400" s="31"/>
    </row>
    <row r="1401" customFormat="false" ht="15" hidden="false" customHeight="false" outlineLevel="0" collapsed="false">
      <c r="A1401" s="20" t="s">
        <v>1663</v>
      </c>
      <c r="E1401" s="23" t="str">
        <f aca="false">IF(D1401="?OLD","!!!","")</f>
        <v/>
      </c>
      <c r="F1401" s="25" t="str">
        <f aca="false">IF(OR(E1401="",E1401="!!!"),"",IF(NOT(ISNA(VLOOKUP(E1401,E$1:E1400,1,FALSE()))),"OLD",IF(AND(E1401&lt;&gt;"",E1401&lt;&gt;"!!!"),"NEW","")))</f>
        <v/>
      </c>
      <c r="G1401" s="26" t="str">
        <f aca="false">IF(OR(E1401="",E1401="!!!"),"",IF(OR(J1401=0,AND(J1401=1,K1401=1),AND(J1401=1,I1401="SBJ"),AND(J1401=1,I1401=0)),"?IN_FOCUS",IF(J1401&lt;=2,"?ACTIVATED",IF(J1401&lt;&gt;"","?FAMILIAR",IF(F1401="NEW",IF(ISNA(VLOOKUP(E1401,#REF!,1,FALSE())),"?TYPE_IDENTIFIABLE","?REFERENTIAL"),"_")))))</f>
        <v/>
      </c>
      <c r="H1401" s="27" t="str">
        <f aca="false">IF(J1401&lt;&gt;1,"",IF(I1401="SBJ","CB","?"))</f>
        <v/>
      </c>
      <c r="I1401" s="24" t="str">
        <f aca="false">IF(OR(E1401="",E1401="!!!",F1401="NEW"),"",INDEX(B21:B$1381,-1+SUMPRODUCT(MAX(ROW(E21:E$1381)*(E1401=E21:E$1381)))))</f>
        <v/>
      </c>
      <c r="J1401" s="24" t="str">
        <f aca="true">IF(OR(E1401="",E1401="!!!",F1401="NEW"),"",COUNTBLANK(OFFSET(A$1,,,SUMPRODUCT(MAX(ROW(E$2:E1401)*(E1401=E$2:E1401)))))-COUNTBLANK(OFFSET(A$1,,,SUMPRODUCT(MAX(ROW(E$1:E1400)*(E2=E$1:E1400))))))</f>
        <v/>
      </c>
      <c r="K1401" s="24" t="str">
        <f aca="false">IF(OR(E1401="",E1401="!!!",F1401="NEW"),"",INDEX(J$1:J1400,SUMPRODUCT(MAX(ROW(E$1:E1400)*(E1401=E$1:E1400)))))</f>
        <v/>
      </c>
      <c r="L1401" s="31"/>
    </row>
    <row r="1402" customFormat="false" ht="15" hidden="false" customHeight="false" outlineLevel="0" collapsed="false">
      <c r="A1402" s="20" t="s">
        <v>1109</v>
      </c>
      <c r="E1402" s="23" t="str">
        <f aca="false">IF(D1402="?OLD","!!!","")</f>
        <v/>
      </c>
      <c r="F1402" s="25" t="str">
        <f aca="false">IF(OR(E1402="",E1402="!!!"),"",IF(NOT(ISNA(VLOOKUP(E1402,E$1:E1401,1,FALSE()))),"OLD",IF(AND(E1402&lt;&gt;"",E1402&lt;&gt;"!!!"),"NEW","")))</f>
        <v/>
      </c>
      <c r="G1402" s="26" t="str">
        <f aca="false">IF(OR(E1402="",E1402="!!!"),"",IF(OR(J1402=0,AND(J1402=1,K1402=1),AND(J1402=1,I1402="SBJ"),AND(J1402=1,I1402=0)),"?IN_FOCUS",IF(J1402&lt;=2,"?ACTIVATED",IF(J1402&lt;&gt;"","?FAMILIAR",IF(F1402="NEW",IF(ISNA(VLOOKUP(E1402,#REF!,1,FALSE())),"?TYPE_IDENTIFIABLE","?REFERENTIAL"),"_")))))</f>
        <v/>
      </c>
      <c r="H1402" s="27" t="str">
        <f aca="false">IF(J1402&lt;&gt;1,"",IF(I1402="SBJ","CB","?"))</f>
        <v/>
      </c>
      <c r="I1402" s="24" t="str">
        <f aca="false">IF(OR(E1402="",E1402="!!!",F1402="NEW"),"",INDEX(B22:B$1381,-1+SUMPRODUCT(MAX(ROW(E22:E$1381)*(E1402=E22:E$1381)))))</f>
        <v/>
      </c>
      <c r="J1402" s="24" t="str">
        <f aca="true">IF(OR(E1402="",E1402="!!!",F1402="NEW"),"",COUNTBLANK(OFFSET(A$1,,,SUMPRODUCT(MAX(ROW(E$2:E1402)*(E1402=E$2:E1402)))))-COUNTBLANK(OFFSET(A$1,,,SUMPRODUCT(MAX(ROW(E$1:E1401)*(E2=E$1:E1401))))))</f>
        <v/>
      </c>
      <c r="K1402" s="24" t="str">
        <f aca="false">IF(OR(E1402="",E1402="!!!",F1402="NEW"),"",INDEX(J$1:J1401,SUMPRODUCT(MAX(ROW(E$1:E1401)*(E1402=E$1:E1401)))))</f>
        <v/>
      </c>
      <c r="L1402" s="31"/>
    </row>
    <row r="1403" customFormat="false" ht="15" hidden="false" customHeight="false" outlineLevel="0" collapsed="false">
      <c r="A1403" s="20" t="s">
        <v>1664</v>
      </c>
      <c r="B1403" s="22" t="s">
        <v>1098</v>
      </c>
      <c r="C1403" s="22" t="s">
        <v>1160</v>
      </c>
      <c r="E1403" s="23" t="str">
        <f aca="false">IF(D1403="?OLD","!!!","")</f>
        <v/>
      </c>
      <c r="F1403" s="25" t="str">
        <f aca="false">IF(OR(E1403="",E1403="!!!"),"",IF(NOT(ISNA(VLOOKUP(E1403,E$1:E1402,1,FALSE()))),"OLD",IF(AND(E1403&lt;&gt;"",E1403&lt;&gt;"!!!"),"NEW","")))</f>
        <v/>
      </c>
      <c r="G1403" s="26" t="str">
        <f aca="false">IF(OR(E1403="",E1403="!!!"),"",IF(OR(J1403=0,AND(J1403=1,K1403=1),AND(J1403=1,I1403="SBJ"),AND(J1403=1,I1403=0)),"?IN_FOCUS",IF(J1403&lt;=2,"?ACTIVATED",IF(J1403&lt;&gt;"","?FAMILIAR",IF(F1403="NEW",IF(ISNA(VLOOKUP(E1403,#REF!,1,FALSE())),"?TYPE_IDENTIFIABLE","?REFERENTIAL"),"_")))))</f>
        <v/>
      </c>
      <c r="H1403" s="27" t="str">
        <f aca="false">IF(J1403&lt;&gt;1,"",IF(I1403="SBJ","CB","?"))</f>
        <v/>
      </c>
      <c r="I1403" s="24" t="str">
        <f aca="false">IF(OR(E1403="",E1403="!!!",F1403="NEW"),"",INDEX(B23:B$1381,-1+SUMPRODUCT(MAX(ROW(E23:E$1381)*(E1403=E23:E$1381)))))</f>
        <v/>
      </c>
      <c r="J1403" s="24" t="str">
        <f aca="true">IF(OR(E1403="",E1403="!!!",F1403="NEW"),"",COUNTBLANK(OFFSET(A$1,,,SUMPRODUCT(MAX(ROW(E$2:E1403)*(E1403=E$2:E1403)))))-COUNTBLANK(OFFSET(A$1,,,SUMPRODUCT(MAX(ROW(E$1:E1402)*(E2=E$1:E1402))))))</f>
        <v/>
      </c>
      <c r="K1403" s="24" t="str">
        <f aca="false">IF(OR(E1403="",E1403="!!!",F1403="NEW"),"",INDEX(J$1:J1402,SUMPRODUCT(MAX(ROW(E$1:E1402)*(E1403=E$1:E1402)))))</f>
        <v/>
      </c>
      <c r="L1403" s="31"/>
    </row>
    <row r="1404" customFormat="false" ht="15" hidden="false" customHeight="false" outlineLevel="0" collapsed="false">
      <c r="A1404" s="20" t="s">
        <v>16</v>
      </c>
      <c r="E1404" s="23" t="str">
        <f aca="false">IF(D1404="?OLD","!!!","")</f>
        <v/>
      </c>
      <c r="F1404" s="25" t="str">
        <f aca="false">IF(OR(E1404="",E1404="!!!"),"",IF(NOT(ISNA(VLOOKUP(E1404,E$1:E1403,1,FALSE()))),"OLD",IF(AND(E1404&lt;&gt;"",E1404&lt;&gt;"!!!"),"NEW","")))</f>
        <v/>
      </c>
      <c r="G1404" s="26" t="str">
        <f aca="false">IF(OR(E1404="",E1404="!!!"),"",IF(OR(J1404=0,AND(J1404=1,K1404=1),AND(J1404=1,I1404="SBJ"),AND(J1404=1,I1404=0)),"?IN_FOCUS",IF(J1404&lt;=2,"?ACTIVATED",IF(J1404&lt;&gt;"","?FAMILIAR",IF(F1404="NEW",IF(ISNA(VLOOKUP(E1404,#REF!,1,FALSE())),"?TYPE_IDENTIFIABLE","?REFERENTIAL"),"_")))))</f>
        <v/>
      </c>
      <c r="H1404" s="27" t="str">
        <f aca="false">IF(J1404&lt;&gt;1,"",IF(I1404="SBJ","CB","?"))</f>
        <v/>
      </c>
      <c r="I1404" s="24" t="str">
        <f aca="false">IF(OR(E1404="",E1404="!!!",F1404="NEW"),"",INDEX(B24:B$1381,-1+SUMPRODUCT(MAX(ROW(E24:E$1381)*(E1404=E24:E$1381)))))</f>
        <v/>
      </c>
      <c r="J1404" s="24" t="str">
        <f aca="true">IF(OR(E1404="",E1404="!!!",F1404="NEW"),"",COUNTBLANK(OFFSET(A$1,,,SUMPRODUCT(MAX(ROW(E$2:E1404)*(E1404=E$2:E1404)))))-COUNTBLANK(OFFSET(A$1,,,SUMPRODUCT(MAX(ROW(E$1:E1403)*(E2=E$1:E1403))))))</f>
        <v/>
      </c>
      <c r="K1404" s="24" t="str">
        <f aca="false">IF(OR(E1404="",E1404="!!!",F1404="NEW"),"",INDEX(J$1:J1403,SUMPRODUCT(MAX(ROW(E$1:E1403)*(E1404=E$1:E1403)))))</f>
        <v/>
      </c>
      <c r="L1404" s="31"/>
    </row>
    <row r="1405" customFormat="false" ht="15" hidden="false" customHeight="false" outlineLevel="0" collapsed="false">
      <c r="A1405" s="20" t="s">
        <v>1665</v>
      </c>
      <c r="E1405" s="23" t="str">
        <f aca="false">IF(D1405="?OLD","!!!","")</f>
        <v/>
      </c>
      <c r="F1405" s="25" t="str">
        <f aca="false">IF(OR(E1405="",E1405="!!!"),"",IF(NOT(ISNA(VLOOKUP(E1405,E$1:E1404,1,FALSE()))),"OLD",IF(AND(E1405&lt;&gt;"",E1405&lt;&gt;"!!!"),"NEW","")))</f>
        <v/>
      </c>
      <c r="G1405" s="26" t="str">
        <f aca="false">IF(OR(E1405="",E1405="!!!"),"",IF(OR(J1405=0,AND(J1405=1,K1405=1),AND(J1405=1,I1405="SBJ"),AND(J1405=1,I1405=0)),"?IN_FOCUS",IF(J1405&lt;=2,"?ACTIVATED",IF(J1405&lt;&gt;"","?FAMILIAR",IF(F1405="NEW",IF(ISNA(VLOOKUP(E1405,#REF!,1,FALSE())),"?TYPE_IDENTIFIABLE","?REFERENTIAL"),"_")))))</f>
        <v/>
      </c>
      <c r="H1405" s="27" t="str">
        <f aca="false">IF(J1405&lt;&gt;1,"",IF(I1405="SBJ","CB","?"))</f>
        <v/>
      </c>
      <c r="I1405" s="24" t="str">
        <f aca="false">IF(OR(E1405="",E1405="!!!",F1405="NEW"),"",INDEX(B25:B$1381,-1+SUMPRODUCT(MAX(ROW(E25:E$1381)*(E1405=E25:E$1381)))))</f>
        <v/>
      </c>
      <c r="J1405" s="24" t="str">
        <f aca="true">IF(OR(E1405="",E1405="!!!",F1405="NEW"),"",COUNTBLANK(OFFSET(A$1,,,SUMPRODUCT(MAX(ROW(E$2:E1405)*(E1405=E$2:E1405)))))-COUNTBLANK(OFFSET(A$1,,,SUMPRODUCT(MAX(ROW(E$1:E1404)*(E2=E$1:E1404))))))</f>
        <v/>
      </c>
      <c r="K1405" s="24" t="str">
        <f aca="false">IF(OR(E1405="",E1405="!!!",F1405="NEW"),"",INDEX(J$1:J1404,SUMPRODUCT(MAX(ROW(E$1:E1404)*(E1405=E$1:E1404)))))</f>
        <v/>
      </c>
      <c r="L1405" s="31"/>
    </row>
    <row r="1406" customFormat="false" ht="15" hidden="false" customHeight="false" outlineLevel="0" collapsed="false">
      <c r="A1406" s="20" t="s">
        <v>1666</v>
      </c>
      <c r="B1406" s="22" t="s">
        <v>1067</v>
      </c>
      <c r="C1406" s="22" t="s">
        <v>1150</v>
      </c>
      <c r="D1406" s="22" t="s">
        <v>1060</v>
      </c>
      <c r="E1406" s="23" t="str">
        <f aca="false">IF(D1406="?OLD","!!!","")</f>
        <v>!!!</v>
      </c>
      <c r="F1406" s="25" t="str">
        <f aca="false">IF(OR(E1406="",E1406="!!!"),"",IF(NOT(ISNA(VLOOKUP(E1406,E$1:E1405,1,FALSE()))),"OLD",IF(AND(E1406&lt;&gt;"",E1406&lt;&gt;"!!!"),"NEW","")))</f>
        <v/>
      </c>
      <c r="G1406" s="26" t="str">
        <f aca="false">IF(OR(E1406="",E1406="!!!"),"",IF(OR(J1406=0,AND(J1406=1,K1406=1),AND(J1406=1,I1406="SBJ"),AND(J1406=1,I1406=0)),"?IN_FOCUS",IF(J1406&lt;=2,"?ACTIVATED",IF(J1406&lt;&gt;"","?FAMILIAR",IF(F1406="NEW",IF(ISNA(VLOOKUP(E1406,#REF!,1,FALSE())),"?TYPE_IDENTIFIABLE","?REFERENTIAL"),"_")))))</f>
        <v/>
      </c>
      <c r="H1406" s="27" t="str">
        <f aca="false">IF(J1406&lt;&gt;1,"",IF(I1406="SBJ","CB","?"))</f>
        <v/>
      </c>
      <c r="I1406" s="24" t="str">
        <f aca="false">IF(OR(E1406="",E1406="!!!",F1406="NEW"),"",INDEX(B26:B$1381,-1+SUMPRODUCT(MAX(ROW(E26:E$1381)*(E1406=E26:E$1381)))))</f>
        <v/>
      </c>
      <c r="J1406" s="24" t="str">
        <f aca="true">IF(OR(E1406="",E1406="!!!",F1406="NEW"),"",COUNTBLANK(OFFSET(A$1,,,SUMPRODUCT(MAX(ROW(E$2:E1406)*(E1406=E$2:E1406)))))-COUNTBLANK(OFFSET(A$1,,,SUMPRODUCT(MAX(ROW(E$1:E1405)*(E2=E$1:E1405))))))</f>
        <v/>
      </c>
      <c r="K1406" s="24" t="str">
        <f aca="false">IF(OR(E1406="",E1406="!!!",F1406="NEW"),"",INDEX(J$1:J1405,SUMPRODUCT(MAX(ROW(E$1:E1405)*(E1406=E$1:E1405)))))</f>
        <v/>
      </c>
      <c r="L1406" s="31"/>
    </row>
    <row r="1407" customFormat="false" ht="15" hidden="false" customHeight="false" outlineLevel="0" collapsed="false">
      <c r="A1407" s="20" t="s">
        <v>923</v>
      </c>
      <c r="E1407" s="23" t="str">
        <f aca="false">IF(D1407="?OLD","!!!","")</f>
        <v/>
      </c>
      <c r="F1407" s="25" t="str">
        <f aca="false">IF(OR(E1407="",E1407="!!!"),"",IF(NOT(ISNA(VLOOKUP(E1407,E$1:E1406,1,FALSE()))),"OLD",IF(AND(E1407&lt;&gt;"",E1407&lt;&gt;"!!!"),"NEW","")))</f>
        <v/>
      </c>
      <c r="G1407" s="26" t="str">
        <f aca="false">IF(OR(E1407="",E1407="!!!"),"",IF(OR(J1407=0,AND(J1407=1,K1407=1),AND(J1407=1,I1407="SBJ"),AND(J1407=1,I1407=0)),"?IN_FOCUS",IF(J1407&lt;=2,"?ACTIVATED",IF(J1407&lt;&gt;"","?FAMILIAR",IF(F1407="NEW",IF(ISNA(VLOOKUP(E1407,#REF!,1,FALSE())),"?TYPE_IDENTIFIABLE","?REFERENTIAL"),"_")))))</f>
        <v/>
      </c>
      <c r="H1407" s="27" t="str">
        <f aca="false">IF(J1407&lt;&gt;1,"",IF(I1407="SBJ","CB","?"))</f>
        <v/>
      </c>
      <c r="I1407" s="24" t="str">
        <f aca="false">IF(OR(E1407="",E1407="!!!",F1407="NEW"),"",INDEX(B27:B$1381,-1+SUMPRODUCT(MAX(ROW(E27:E$1381)*(E1407=E27:E$1381)))))</f>
        <v/>
      </c>
      <c r="J1407" s="24" t="str">
        <f aca="true">IF(OR(E1407="",E1407="!!!",F1407="NEW"),"",COUNTBLANK(OFFSET(A$1,,,SUMPRODUCT(MAX(ROW(E$2:E1407)*(E1407=E$2:E1407)))))-COUNTBLANK(OFFSET(A$1,,,SUMPRODUCT(MAX(ROW(E$1:E1406)*(E2=E$1:E1406))))))</f>
        <v/>
      </c>
      <c r="K1407" s="24" t="str">
        <f aca="false">IF(OR(E1407="",E1407="!!!",F1407="NEW"),"",INDEX(J$1:J1406,SUMPRODUCT(MAX(ROW(E$1:E1406)*(E1407=E$1:E1406)))))</f>
        <v/>
      </c>
      <c r="L1407" s="31"/>
    </row>
    <row r="1408" customFormat="false" ht="15" hidden="false" customHeight="false" outlineLevel="0" collapsed="false">
      <c r="A1408" s="20"/>
    </row>
    <row r="1409" customFormat="false" ht="15" hidden="false" customHeight="false" outlineLevel="0" collapsed="false">
      <c r="A1409" s="20" t="s">
        <v>1667</v>
      </c>
    </row>
    <row r="1410" customFormat="false" ht="15" hidden="false" customHeight="false" outlineLevel="0" collapsed="false">
      <c r="A1410" s="20" t="s">
        <v>1668</v>
      </c>
      <c r="E1410" s="23" t="str">
        <f aca="false">IF(D1410="?OLD","!!!","")</f>
        <v/>
      </c>
      <c r="F1410" s="25" t="str">
        <f aca="false">IF(OR(E1410="",E1410="!!!"),"",IF(NOT(ISNA(VLOOKUP(E1410,E$1:E1409,1,FALSE()))),"OLD",IF(AND(E1410&lt;&gt;"",E1410&lt;&gt;"!!!"),"NEW","")))</f>
        <v/>
      </c>
      <c r="G1410" s="26" t="str">
        <f aca="false">IF(OR(E1410="",E1410="!!!"),"",IF(OR(J1410=0,AND(J1410=1,K1410=1),AND(J1410=1,I1410="SBJ"),AND(J1410=1,I1410=0)),"?IN_FOCUS",IF(J1410&lt;=2,"?ACTIVATED",IF(J1410&lt;&gt;"","?FAMILIAR",IF(F1410="NEW",IF(ISNA(VLOOKUP(E1410,#REF!,1,FALSE())),"?TYPE_IDENTIFIABLE","?REFERENTIAL"),"_")))))</f>
        <v/>
      </c>
      <c r="H1410" s="27" t="str">
        <f aca="false">IF(J1410&lt;&gt;1,"",IF(I1410="SBJ","CB","?"))</f>
        <v/>
      </c>
      <c r="I1410" s="24" t="str">
        <f aca="false">IF(OR(E1410="",E1410="!!!",F1410="NEW"),"",INDEX(B2:B$1409,-1+SUMPRODUCT(MAX(ROW(E2:E$1409)*(E1410=E2:E$1409)))))</f>
        <v/>
      </c>
      <c r="J1410" s="24" t="str">
        <f aca="true">IF(OR(E1410="",E1410="!!!",F1410="NEW"),"",COUNTBLANK(OFFSET(A$1,,,SUMPRODUCT(MAX(ROW(E$2:E1410)*(E1410=E$2:E1410)))))-COUNTBLANK(OFFSET(A$1,,,SUMPRODUCT(MAX(ROW(E$1:E1409)*(E2=E$1:E1409))))))</f>
        <v/>
      </c>
      <c r="K1410" s="24" t="str">
        <f aca="false">IF(OR(E1410="",E1410="!!!",F1410="NEW"),"",INDEX(J$1:J1409,SUMPRODUCT(MAX(ROW(E$1:E1409)*(E1410=E$1:E1409)))))</f>
        <v/>
      </c>
      <c r="L1410" s="31"/>
    </row>
    <row r="1411" customFormat="false" ht="15" hidden="false" customHeight="false" outlineLevel="0" collapsed="false">
      <c r="A1411" s="20" t="s">
        <v>1669</v>
      </c>
      <c r="B1411" s="22" t="s">
        <v>1105</v>
      </c>
      <c r="C1411" s="22" t="s">
        <v>1160</v>
      </c>
      <c r="E1411" s="23" t="str">
        <f aca="false">IF(D1411="?OLD","!!!","")</f>
        <v/>
      </c>
      <c r="F1411" s="25" t="str">
        <f aca="false">IF(OR(E1411="",E1411="!!!"),"",IF(NOT(ISNA(VLOOKUP(E1411,E$1:E1410,1,FALSE()))),"OLD",IF(AND(E1411&lt;&gt;"",E1411&lt;&gt;"!!!"),"NEW","")))</f>
        <v/>
      </c>
      <c r="G1411" s="26" t="str">
        <f aca="false">IF(OR(E1411="",E1411="!!!"),"",IF(OR(J1411=0,AND(J1411=1,K1411=1),AND(J1411=1,I1411="SBJ"),AND(J1411=1,I1411=0)),"?IN_FOCUS",IF(J1411&lt;=2,"?ACTIVATED",IF(J1411&lt;&gt;"","?FAMILIAR",IF(F1411="NEW",IF(ISNA(VLOOKUP(E1411,#REF!,1,FALSE())),"?TYPE_IDENTIFIABLE","?REFERENTIAL"),"_")))))</f>
        <v/>
      </c>
      <c r="H1411" s="27" t="str">
        <f aca="false">IF(J1411&lt;&gt;1,"",IF(I1411="SBJ","CB","?"))</f>
        <v/>
      </c>
      <c r="I1411" s="24" t="str">
        <f aca="false">IF(OR(E1411="",E1411="!!!",F1411="NEW"),"",INDEX(B3:B$1409,-1+SUMPRODUCT(MAX(ROW(E3:E$1409)*(E1411=E3:E$1409)))))</f>
        <v/>
      </c>
      <c r="J1411" s="24" t="str">
        <f aca="true">IF(OR(E1411="",E1411="!!!",F1411="NEW"),"",COUNTBLANK(OFFSET(A$1,,,SUMPRODUCT(MAX(ROW(E$2:E1411)*(E1411=E$2:E1411)))))-COUNTBLANK(OFFSET(A$1,,,SUMPRODUCT(MAX(ROW(E$1:E1410)*(E2=E$1:E1410))))))</f>
        <v/>
      </c>
      <c r="K1411" s="24" t="str">
        <f aca="false">IF(OR(E1411="",E1411="!!!",F1411="NEW"),"",INDEX(J$1:J1410,SUMPRODUCT(MAX(ROW(E$1:E1410)*(E1411=E$1:E1410)))))</f>
        <v/>
      </c>
      <c r="L1411" s="31"/>
    </row>
    <row r="1412" customFormat="false" ht="15" hidden="false" customHeight="false" outlineLevel="0" collapsed="false">
      <c r="A1412" s="20" t="s">
        <v>1064</v>
      </c>
      <c r="E1412" s="23" t="str">
        <f aca="false">IF(D1412="?OLD","!!!","")</f>
        <v/>
      </c>
      <c r="F1412" s="25" t="str">
        <f aca="false">IF(OR(E1412="",E1412="!!!"),"",IF(NOT(ISNA(VLOOKUP(E1412,E$1:E1411,1,FALSE()))),"OLD",IF(AND(E1412&lt;&gt;"",E1412&lt;&gt;"!!!"),"NEW","")))</f>
        <v/>
      </c>
      <c r="G1412" s="26" t="str">
        <f aca="false">IF(OR(E1412="",E1412="!!!"),"",IF(OR(J1412=0,AND(J1412=1,K1412=1),AND(J1412=1,I1412="SBJ"),AND(J1412=1,I1412=0)),"?IN_FOCUS",IF(J1412&lt;=2,"?ACTIVATED",IF(J1412&lt;&gt;"","?FAMILIAR",IF(F1412="NEW",IF(ISNA(VLOOKUP(E1412,#REF!,1,FALSE())),"?TYPE_IDENTIFIABLE","?REFERENTIAL"),"_")))))</f>
        <v/>
      </c>
      <c r="H1412" s="27" t="str">
        <f aca="false">IF(J1412&lt;&gt;1,"",IF(I1412="SBJ","CB","?"))</f>
        <v/>
      </c>
      <c r="I1412" s="24" t="str">
        <f aca="false">IF(OR(E1412="",E1412="!!!",F1412="NEW"),"",INDEX(B4:B$1409,-1+SUMPRODUCT(MAX(ROW(E4:E$1409)*(E1412=E4:E$1409)))))</f>
        <v/>
      </c>
      <c r="J1412" s="24" t="str">
        <f aca="true">IF(OR(E1412="",E1412="!!!",F1412="NEW"),"",COUNTBLANK(OFFSET(A$1,,,SUMPRODUCT(MAX(ROW(E$2:E1412)*(E1412=E$2:E1412)))))-COUNTBLANK(OFFSET(A$1,,,SUMPRODUCT(MAX(ROW(E$1:E1411)*(E2=E$1:E1411))))))</f>
        <v/>
      </c>
      <c r="K1412" s="24" t="str">
        <f aca="false">IF(OR(E1412="",E1412="!!!",F1412="NEW"),"",INDEX(J$1:J1411,SUMPRODUCT(MAX(ROW(E$1:E1411)*(E1412=E$1:E1411)))))</f>
        <v/>
      </c>
      <c r="L1412" s="31"/>
    </row>
    <row r="1413" customFormat="false" ht="15" hidden="false" customHeight="false" outlineLevel="0" collapsed="false">
      <c r="A1413" s="20" t="s">
        <v>1670</v>
      </c>
      <c r="E1413" s="23" t="str">
        <f aca="false">IF(D1413="?OLD","!!!","")</f>
        <v/>
      </c>
      <c r="F1413" s="25" t="str">
        <f aca="false">IF(OR(E1413="",E1413="!!!"),"",IF(NOT(ISNA(VLOOKUP(E1413,E$1:E1412,1,FALSE()))),"OLD",IF(AND(E1413&lt;&gt;"",E1413&lt;&gt;"!!!"),"NEW","")))</f>
        <v/>
      </c>
      <c r="G1413" s="26" t="str">
        <f aca="false">IF(OR(E1413="",E1413="!!!"),"",IF(OR(J1413=0,AND(J1413=1,K1413=1),AND(J1413=1,I1413="SBJ"),AND(J1413=1,I1413=0)),"?IN_FOCUS",IF(J1413&lt;=2,"?ACTIVATED",IF(J1413&lt;&gt;"","?FAMILIAR",IF(F1413="NEW",IF(ISNA(VLOOKUP(E1413,#REF!,1,FALSE())),"?TYPE_IDENTIFIABLE","?REFERENTIAL"),"_")))))</f>
        <v/>
      </c>
      <c r="H1413" s="27" t="str">
        <f aca="false">IF(J1413&lt;&gt;1,"",IF(I1413="SBJ","CB","?"))</f>
        <v/>
      </c>
      <c r="I1413" s="24" t="str">
        <f aca="false">IF(OR(E1413="",E1413="!!!",F1413="NEW"),"",INDEX(B5:B$1409,-1+SUMPRODUCT(MAX(ROW(E5:E$1409)*(E1413=E5:E$1409)))))</f>
        <v/>
      </c>
      <c r="J1413" s="24" t="str">
        <f aca="true">IF(OR(E1413="",E1413="!!!",F1413="NEW"),"",COUNTBLANK(OFFSET(A$1,,,SUMPRODUCT(MAX(ROW(E$2:E1413)*(E1413=E$2:E1413)))))-COUNTBLANK(OFFSET(A$1,,,SUMPRODUCT(MAX(ROW(E$1:E1412)*(E2=E$1:E1412))))))</f>
        <v/>
      </c>
      <c r="K1413" s="24" t="str">
        <f aca="false">IF(OR(E1413="",E1413="!!!",F1413="NEW"),"",INDEX(J$1:J1412,SUMPRODUCT(MAX(ROW(E$1:E1412)*(E1413=E$1:E1412)))))</f>
        <v/>
      </c>
      <c r="L1413" s="31"/>
    </row>
    <row r="1414" customFormat="false" ht="15" hidden="false" customHeight="false" outlineLevel="0" collapsed="false">
      <c r="A1414" s="20" t="s">
        <v>1586</v>
      </c>
      <c r="B1414" s="22" t="s">
        <v>1105</v>
      </c>
      <c r="C1414" s="22" t="s">
        <v>1160</v>
      </c>
      <c r="E1414" s="23" t="str">
        <f aca="false">IF(D1414="?OLD","!!!","")</f>
        <v/>
      </c>
      <c r="F1414" s="25" t="str">
        <f aca="false">IF(OR(E1414="",E1414="!!!"),"",IF(NOT(ISNA(VLOOKUP(E1414,E$1:E1413,1,FALSE()))),"OLD",IF(AND(E1414&lt;&gt;"",E1414&lt;&gt;"!!!"),"NEW","")))</f>
        <v/>
      </c>
      <c r="G1414" s="26" t="str">
        <f aca="false">IF(OR(E1414="",E1414="!!!"),"",IF(OR(J1414=0,AND(J1414=1,K1414=1),AND(J1414=1,I1414="SBJ"),AND(J1414=1,I1414=0)),"?IN_FOCUS",IF(J1414&lt;=2,"?ACTIVATED",IF(J1414&lt;&gt;"","?FAMILIAR",IF(F1414="NEW",IF(ISNA(VLOOKUP(E1414,#REF!,1,FALSE())),"?TYPE_IDENTIFIABLE","?REFERENTIAL"),"_")))))</f>
        <v/>
      </c>
      <c r="H1414" s="27" t="str">
        <f aca="false">IF(J1414&lt;&gt;1,"",IF(I1414="SBJ","CB","?"))</f>
        <v/>
      </c>
      <c r="I1414" s="24" t="str">
        <f aca="false">IF(OR(E1414="",E1414="!!!",F1414="NEW"),"",INDEX(B6:B$1409,-1+SUMPRODUCT(MAX(ROW(E6:E$1409)*(E1414=E6:E$1409)))))</f>
        <v/>
      </c>
      <c r="J1414" s="24" t="str">
        <f aca="true">IF(OR(E1414="",E1414="!!!",F1414="NEW"),"",COUNTBLANK(OFFSET(A$1,,,SUMPRODUCT(MAX(ROW(E$2:E1414)*(E1414=E$2:E1414)))))-COUNTBLANK(OFFSET(A$1,,,SUMPRODUCT(MAX(ROW(E$1:E1413)*(E2=E$1:E1413))))))</f>
        <v/>
      </c>
      <c r="K1414" s="24" t="str">
        <f aca="false">IF(OR(E1414="",E1414="!!!",F1414="NEW"),"",INDEX(J$1:J1413,SUMPRODUCT(MAX(ROW(E$1:E1413)*(E1414=E$1:E1413)))))</f>
        <v/>
      </c>
      <c r="L1414" s="31"/>
    </row>
    <row r="1415" customFormat="false" ht="15" hidden="false" customHeight="false" outlineLevel="0" collapsed="false">
      <c r="A1415" s="20" t="s">
        <v>1119</v>
      </c>
      <c r="E1415" s="23" t="str">
        <f aca="false">IF(D1415="?OLD","!!!","")</f>
        <v/>
      </c>
      <c r="F1415" s="25" t="str">
        <f aca="false">IF(OR(E1415="",E1415="!!!"),"",IF(NOT(ISNA(VLOOKUP(E1415,E$1:E1414,1,FALSE()))),"OLD",IF(AND(E1415&lt;&gt;"",E1415&lt;&gt;"!!!"),"NEW","")))</f>
        <v/>
      </c>
      <c r="G1415" s="26" t="str">
        <f aca="false">IF(OR(E1415="",E1415="!!!"),"",IF(OR(J1415=0,AND(J1415=1,K1415=1),AND(J1415=1,I1415="SBJ"),AND(J1415=1,I1415=0)),"?IN_FOCUS",IF(J1415&lt;=2,"?ACTIVATED",IF(J1415&lt;&gt;"","?FAMILIAR",IF(F1415="NEW",IF(ISNA(VLOOKUP(E1415,#REF!,1,FALSE())),"?TYPE_IDENTIFIABLE","?REFERENTIAL"),"_")))))</f>
        <v/>
      </c>
      <c r="H1415" s="27" t="str">
        <f aca="false">IF(J1415&lt;&gt;1,"",IF(I1415="SBJ","CB","?"))</f>
        <v/>
      </c>
      <c r="I1415" s="24" t="str">
        <f aca="false">IF(OR(E1415="",E1415="!!!",F1415="NEW"),"",INDEX(B7:B$1409,-1+SUMPRODUCT(MAX(ROW(E7:E$1409)*(E1415=E7:E$1409)))))</f>
        <v/>
      </c>
      <c r="J1415" s="24" t="str">
        <f aca="true">IF(OR(E1415="",E1415="!!!",F1415="NEW"),"",COUNTBLANK(OFFSET(A$1,,,SUMPRODUCT(MAX(ROW(E$2:E1415)*(E1415=E$2:E1415)))))-COUNTBLANK(OFFSET(A$1,,,SUMPRODUCT(MAX(ROW(E$1:E1414)*(E2=E$1:E1414))))))</f>
        <v/>
      </c>
      <c r="K1415" s="24" t="str">
        <f aca="false">IF(OR(E1415="",E1415="!!!",F1415="NEW"),"",INDEX(J$1:J1414,SUMPRODUCT(MAX(ROW(E$1:E1414)*(E1415=E$1:E1414)))))</f>
        <v/>
      </c>
      <c r="L1415" s="31"/>
    </row>
    <row r="1416" customFormat="false" ht="15" hidden="false" customHeight="false" outlineLevel="0" collapsed="false">
      <c r="A1416" s="20" t="s">
        <v>1109</v>
      </c>
      <c r="E1416" s="23" t="str">
        <f aca="false">IF(D1416="?OLD","!!!","")</f>
        <v/>
      </c>
      <c r="F1416" s="25" t="str">
        <f aca="false">IF(OR(E1416="",E1416="!!!"),"",IF(NOT(ISNA(VLOOKUP(E1416,E$1:E1415,1,FALSE()))),"OLD",IF(AND(E1416&lt;&gt;"",E1416&lt;&gt;"!!!"),"NEW","")))</f>
        <v/>
      </c>
      <c r="G1416" s="26" t="str">
        <f aca="false">IF(OR(E1416="",E1416="!!!"),"",IF(OR(J1416=0,AND(J1416=1,K1416=1),AND(J1416=1,I1416="SBJ"),AND(J1416=1,I1416=0)),"?IN_FOCUS",IF(J1416&lt;=2,"?ACTIVATED",IF(J1416&lt;&gt;"","?FAMILIAR",IF(F1416="NEW",IF(ISNA(VLOOKUP(E1416,#REF!,1,FALSE())),"?TYPE_IDENTIFIABLE","?REFERENTIAL"),"_")))))</f>
        <v/>
      </c>
      <c r="H1416" s="27" t="str">
        <f aca="false">IF(J1416&lt;&gt;1,"",IF(I1416="SBJ","CB","?"))</f>
        <v/>
      </c>
      <c r="I1416" s="24" t="str">
        <f aca="false">IF(OR(E1416="",E1416="!!!",F1416="NEW"),"",INDEX(B8:B$1409,-1+SUMPRODUCT(MAX(ROW(E8:E$1409)*(E1416=E8:E$1409)))))</f>
        <v/>
      </c>
      <c r="J1416" s="24" t="str">
        <f aca="true">IF(OR(E1416="",E1416="!!!",F1416="NEW"),"",COUNTBLANK(OFFSET(A$1,,,SUMPRODUCT(MAX(ROW(E$2:E1416)*(E1416=E$2:E1416)))))-COUNTBLANK(OFFSET(A$1,,,SUMPRODUCT(MAX(ROW(E$1:E1415)*(E2=E$1:E1415))))))</f>
        <v/>
      </c>
      <c r="K1416" s="24" t="str">
        <f aca="false">IF(OR(E1416="",E1416="!!!",F1416="NEW"),"",INDEX(J$1:J1415,SUMPRODUCT(MAX(ROW(E$1:E1415)*(E1416=E$1:E1415)))))</f>
        <v/>
      </c>
      <c r="L1416" s="31"/>
    </row>
    <row r="1417" customFormat="false" ht="15" hidden="false" customHeight="false" outlineLevel="0" collapsed="false">
      <c r="A1417" s="20" t="s">
        <v>1671</v>
      </c>
      <c r="E1417" s="23" t="str">
        <f aca="false">IF(D1417="?OLD","!!!","")</f>
        <v/>
      </c>
      <c r="F1417" s="25" t="str">
        <f aca="false">IF(OR(E1417="",E1417="!!!"),"",IF(NOT(ISNA(VLOOKUP(E1417,E$1:E1416,1,FALSE()))),"OLD",IF(AND(E1417&lt;&gt;"",E1417&lt;&gt;"!!!"),"NEW","")))</f>
        <v/>
      </c>
      <c r="G1417" s="26" t="str">
        <f aca="false">IF(OR(E1417="",E1417="!!!"),"",IF(OR(J1417=0,AND(J1417=1,K1417=1),AND(J1417=1,I1417="SBJ"),AND(J1417=1,I1417=0)),"?IN_FOCUS",IF(J1417&lt;=2,"?ACTIVATED",IF(J1417&lt;&gt;"","?FAMILIAR",IF(F1417="NEW",IF(ISNA(VLOOKUP(E1417,#REF!,1,FALSE())),"?TYPE_IDENTIFIABLE","?REFERENTIAL"),"_")))))</f>
        <v/>
      </c>
      <c r="H1417" s="27" t="str">
        <f aca="false">IF(J1417&lt;&gt;1,"",IF(I1417="SBJ","CB","?"))</f>
        <v/>
      </c>
      <c r="I1417" s="24" t="str">
        <f aca="false">IF(OR(E1417="",E1417="!!!",F1417="NEW"),"",INDEX(B9:B$1409,-1+SUMPRODUCT(MAX(ROW(E9:E$1409)*(E1417=E9:E$1409)))))</f>
        <v/>
      </c>
      <c r="J1417" s="24" t="str">
        <f aca="true">IF(OR(E1417="",E1417="!!!",F1417="NEW"),"",COUNTBLANK(OFFSET(A$1,,,SUMPRODUCT(MAX(ROW(E$2:E1417)*(E1417=E$2:E1417)))))-COUNTBLANK(OFFSET(A$1,,,SUMPRODUCT(MAX(ROW(E$1:E1416)*(E2=E$1:E1416))))))</f>
        <v/>
      </c>
      <c r="K1417" s="24" t="str">
        <f aca="false">IF(OR(E1417="",E1417="!!!",F1417="NEW"),"",INDEX(J$1:J1416,SUMPRODUCT(MAX(ROW(E$1:E1416)*(E1417=E$1:E1416)))))</f>
        <v/>
      </c>
      <c r="L1417" s="31"/>
    </row>
    <row r="1418" customFormat="false" ht="15" hidden="false" customHeight="false" outlineLevel="0" collapsed="false">
      <c r="A1418" s="20" t="s">
        <v>1422</v>
      </c>
      <c r="B1418" s="22" t="s">
        <v>1105</v>
      </c>
      <c r="C1418" s="22" t="s">
        <v>1150</v>
      </c>
      <c r="D1418" s="22" t="s">
        <v>1060</v>
      </c>
      <c r="E1418" s="23" t="str">
        <f aca="false">IF(D1418="?OLD","!!!","")</f>
        <v>!!!</v>
      </c>
      <c r="F1418" s="25" t="str">
        <f aca="false">IF(OR(E1418="",E1418="!!!"),"",IF(NOT(ISNA(VLOOKUP(E1418,E$1:E1417,1,FALSE()))),"OLD",IF(AND(E1418&lt;&gt;"",E1418&lt;&gt;"!!!"),"NEW","")))</f>
        <v/>
      </c>
      <c r="G1418" s="26" t="str">
        <f aca="false">IF(OR(E1418="",E1418="!!!"),"",IF(OR(J1418=0,AND(J1418=1,K1418=1),AND(J1418=1,I1418="SBJ"),AND(J1418=1,I1418=0)),"?IN_FOCUS",IF(J1418&lt;=2,"?ACTIVATED",IF(J1418&lt;&gt;"","?FAMILIAR",IF(F1418="NEW",IF(ISNA(VLOOKUP(E1418,#REF!,1,FALSE())),"?TYPE_IDENTIFIABLE","?REFERENTIAL"),"_")))))</f>
        <v/>
      </c>
      <c r="H1418" s="27" t="str">
        <f aca="false">IF(J1418&lt;&gt;1,"",IF(I1418="SBJ","CB","?"))</f>
        <v/>
      </c>
      <c r="I1418" s="24" t="str">
        <f aca="false">IF(OR(E1418="",E1418="!!!",F1418="NEW"),"",INDEX(B10:B$1409,-1+SUMPRODUCT(MAX(ROW(E10:E$1409)*(E1418=E10:E$1409)))))</f>
        <v/>
      </c>
      <c r="J1418" s="24" t="str">
        <f aca="true">IF(OR(E1418="",E1418="!!!",F1418="NEW"),"",COUNTBLANK(OFFSET(A$1,,,SUMPRODUCT(MAX(ROW(E$2:E1418)*(E1418=E$2:E1418)))))-COUNTBLANK(OFFSET(A$1,,,SUMPRODUCT(MAX(ROW(E$1:E1417)*(E2=E$1:E1417))))))</f>
        <v/>
      </c>
      <c r="K1418" s="24" t="str">
        <f aca="false">IF(OR(E1418="",E1418="!!!",F1418="NEW"),"",INDEX(J$1:J1417,SUMPRODUCT(MAX(ROW(E$1:E1417)*(E1418=E$1:E1417)))))</f>
        <v/>
      </c>
      <c r="L1418" s="31"/>
    </row>
    <row r="1419" customFormat="false" ht="15" hidden="false" customHeight="false" outlineLevel="0" collapsed="false">
      <c r="A1419" s="20" t="s">
        <v>1672</v>
      </c>
      <c r="E1419" s="23" t="str">
        <f aca="false">IF(D1419="?OLD","!!!","")</f>
        <v/>
      </c>
      <c r="F1419" s="25" t="str">
        <f aca="false">IF(OR(E1419="",E1419="!!!"),"",IF(NOT(ISNA(VLOOKUP(E1419,E$1:E1418,1,FALSE()))),"OLD",IF(AND(E1419&lt;&gt;"",E1419&lt;&gt;"!!!"),"NEW","")))</f>
        <v/>
      </c>
      <c r="G1419" s="26" t="str">
        <f aca="false">IF(OR(E1419="",E1419="!!!"),"",IF(OR(J1419=0,AND(J1419=1,K1419=1),AND(J1419=1,I1419="SBJ"),AND(J1419=1,I1419=0)),"?IN_FOCUS",IF(J1419&lt;=2,"?ACTIVATED",IF(J1419&lt;&gt;"","?FAMILIAR",IF(F1419="NEW",IF(ISNA(VLOOKUP(E1419,#REF!,1,FALSE())),"?TYPE_IDENTIFIABLE","?REFERENTIAL"),"_")))))</f>
        <v/>
      </c>
      <c r="H1419" s="27" t="str">
        <f aca="false">IF(J1419&lt;&gt;1,"",IF(I1419="SBJ","CB","?"))</f>
        <v/>
      </c>
      <c r="I1419" s="24" t="str">
        <f aca="false">IF(OR(E1419="",E1419="!!!",F1419="NEW"),"",INDEX(B11:B$1409,-1+SUMPRODUCT(MAX(ROW(E11:E$1409)*(E1419=E11:E$1409)))))</f>
        <v/>
      </c>
      <c r="J1419" s="24" t="str">
        <f aca="true">IF(OR(E1419="",E1419="!!!",F1419="NEW"),"",COUNTBLANK(OFFSET(A$1,,,SUMPRODUCT(MAX(ROW(E$2:E1419)*(E1419=E$2:E1419)))))-COUNTBLANK(OFFSET(A$1,,,SUMPRODUCT(MAX(ROW(E$1:E1418)*(E2=E$1:E1418))))))</f>
        <v/>
      </c>
      <c r="K1419" s="24" t="str">
        <f aca="false">IF(OR(E1419="",E1419="!!!",F1419="NEW"),"",INDEX(J$1:J1418,SUMPRODUCT(MAX(ROW(E$1:E1418)*(E1419=E$1:E1418)))))</f>
        <v/>
      </c>
      <c r="L1419" s="31"/>
    </row>
    <row r="1420" customFormat="false" ht="15" hidden="false" customHeight="false" outlineLevel="0" collapsed="false">
      <c r="A1420" s="20" t="s">
        <v>1510</v>
      </c>
      <c r="E1420" s="23" t="str">
        <f aca="false">IF(D1420="?OLD","!!!","")</f>
        <v/>
      </c>
      <c r="F1420" s="25" t="str">
        <f aca="false">IF(OR(E1420="",E1420="!!!"),"",IF(NOT(ISNA(VLOOKUP(E1420,E$1:E1419,1,FALSE()))),"OLD",IF(AND(E1420&lt;&gt;"",E1420&lt;&gt;"!!!"),"NEW","")))</f>
        <v/>
      </c>
      <c r="G1420" s="26" t="str">
        <f aca="false">IF(OR(E1420="",E1420="!!!"),"",IF(OR(J1420=0,AND(J1420=1,K1420=1),AND(J1420=1,I1420="SBJ"),AND(J1420=1,I1420=0)),"?IN_FOCUS",IF(J1420&lt;=2,"?ACTIVATED",IF(J1420&lt;&gt;"","?FAMILIAR",IF(F1420="NEW",IF(ISNA(VLOOKUP(E1420,#REF!,1,FALSE())),"?TYPE_IDENTIFIABLE","?REFERENTIAL"),"_")))))</f>
        <v/>
      </c>
      <c r="H1420" s="27" t="str">
        <f aca="false">IF(J1420&lt;&gt;1,"",IF(I1420="SBJ","CB","?"))</f>
        <v/>
      </c>
      <c r="I1420" s="24" t="str">
        <f aca="false">IF(OR(E1420="",E1420="!!!",F1420="NEW"),"",INDEX(B12:B$1409,-1+SUMPRODUCT(MAX(ROW(E12:E$1409)*(E1420=E12:E$1409)))))</f>
        <v/>
      </c>
      <c r="J1420" s="24" t="str">
        <f aca="true">IF(OR(E1420="",E1420="!!!",F1420="NEW"),"",COUNTBLANK(OFFSET(A$1,,,SUMPRODUCT(MAX(ROW(E$2:E1420)*(E1420=E$2:E1420)))))-COUNTBLANK(OFFSET(A$1,,,SUMPRODUCT(MAX(ROW(E$1:E1419)*(E2=E$1:E1419))))))</f>
        <v/>
      </c>
      <c r="K1420" s="24" t="str">
        <f aca="false">IF(OR(E1420="",E1420="!!!",F1420="NEW"),"",INDEX(J$1:J1419,SUMPRODUCT(MAX(ROW(E$1:E1419)*(E1420=E$1:E1419)))))</f>
        <v/>
      </c>
      <c r="L1420" s="31"/>
    </row>
    <row r="1421" customFormat="false" ht="15" hidden="false" customHeight="false" outlineLevel="0" collapsed="false">
      <c r="A1421" s="20" t="s">
        <v>1109</v>
      </c>
      <c r="E1421" s="23" t="str">
        <f aca="false">IF(D1421="?OLD","!!!","")</f>
        <v/>
      </c>
      <c r="F1421" s="25" t="str">
        <f aca="false">IF(OR(E1421="",E1421="!!!"),"",IF(NOT(ISNA(VLOOKUP(E1421,E$1:E1420,1,FALSE()))),"OLD",IF(AND(E1421&lt;&gt;"",E1421&lt;&gt;"!!!"),"NEW","")))</f>
        <v/>
      </c>
      <c r="G1421" s="26" t="str">
        <f aca="false">IF(OR(E1421="",E1421="!!!"),"",IF(OR(J1421=0,AND(J1421=1,K1421=1),AND(J1421=1,I1421="SBJ"),AND(J1421=1,I1421=0)),"?IN_FOCUS",IF(J1421&lt;=2,"?ACTIVATED",IF(J1421&lt;&gt;"","?FAMILIAR",IF(F1421="NEW",IF(ISNA(VLOOKUP(E1421,#REF!,1,FALSE())),"?TYPE_IDENTIFIABLE","?REFERENTIAL"),"_")))))</f>
        <v/>
      </c>
      <c r="H1421" s="27" t="str">
        <f aca="false">IF(J1421&lt;&gt;1,"",IF(I1421="SBJ","CB","?"))</f>
        <v/>
      </c>
      <c r="I1421" s="24" t="str">
        <f aca="false">IF(OR(E1421="",E1421="!!!",F1421="NEW"),"",INDEX(B13:B$1409,-1+SUMPRODUCT(MAX(ROW(E13:E$1409)*(E1421=E13:E$1409)))))</f>
        <v/>
      </c>
      <c r="J1421" s="24" t="str">
        <f aca="true">IF(OR(E1421="",E1421="!!!",F1421="NEW"),"",COUNTBLANK(OFFSET(A$1,,,SUMPRODUCT(MAX(ROW(E$2:E1421)*(E1421=E$2:E1421)))))-COUNTBLANK(OFFSET(A$1,,,SUMPRODUCT(MAX(ROW(E$1:E1420)*(E2=E$1:E1420))))))</f>
        <v/>
      </c>
      <c r="K1421" s="24" t="str">
        <f aca="false">IF(OR(E1421="",E1421="!!!",F1421="NEW"),"",INDEX(J$1:J1420,SUMPRODUCT(MAX(ROW(E$1:E1420)*(E1421=E$1:E1420)))))</f>
        <v/>
      </c>
      <c r="L1421" s="31"/>
    </row>
    <row r="1422" customFormat="false" ht="15" hidden="false" customHeight="false" outlineLevel="0" collapsed="false">
      <c r="A1422" s="20" t="s">
        <v>1465</v>
      </c>
      <c r="B1422" s="22" t="s">
        <v>1067</v>
      </c>
      <c r="C1422" s="22" t="s">
        <v>1150</v>
      </c>
      <c r="D1422" s="22" t="s">
        <v>1060</v>
      </c>
      <c r="E1422" s="23" t="str">
        <f aca="false">IF(D1422="?OLD","!!!","")</f>
        <v>!!!</v>
      </c>
      <c r="F1422" s="25" t="str">
        <f aca="false">IF(OR(E1422="",E1422="!!!"),"",IF(NOT(ISNA(VLOOKUP(E1422,E$1:E1421,1,FALSE()))),"OLD",IF(AND(E1422&lt;&gt;"",E1422&lt;&gt;"!!!"),"NEW","")))</f>
        <v/>
      </c>
      <c r="G1422" s="26" t="str">
        <f aca="false">IF(OR(E1422="",E1422="!!!"),"",IF(OR(J1422=0,AND(J1422=1,K1422=1),AND(J1422=1,I1422="SBJ"),AND(J1422=1,I1422=0)),"?IN_FOCUS",IF(J1422&lt;=2,"?ACTIVATED",IF(J1422&lt;&gt;"","?FAMILIAR",IF(F1422="NEW",IF(ISNA(VLOOKUP(E1422,#REF!,1,FALSE())),"?TYPE_IDENTIFIABLE","?REFERENTIAL"),"_")))))</f>
        <v/>
      </c>
      <c r="H1422" s="27" t="str">
        <f aca="false">IF(J1422&lt;&gt;1,"",IF(I1422="SBJ","CB","?"))</f>
        <v/>
      </c>
      <c r="I1422" s="24" t="str">
        <f aca="false">IF(OR(E1422="",E1422="!!!",F1422="NEW"),"",INDEX(B14:B$1409,-1+SUMPRODUCT(MAX(ROW(E14:E$1409)*(E1422=E14:E$1409)))))</f>
        <v/>
      </c>
      <c r="J1422" s="24" t="str">
        <f aca="true">IF(OR(E1422="",E1422="!!!",F1422="NEW"),"",COUNTBLANK(OFFSET(A$1,,,SUMPRODUCT(MAX(ROW(E$2:E1422)*(E1422=E$2:E1422)))))-COUNTBLANK(OFFSET(A$1,,,SUMPRODUCT(MAX(ROW(E$1:E1421)*(E2=E$1:E1421))))))</f>
        <v/>
      </c>
      <c r="K1422" s="24" t="str">
        <f aca="false">IF(OR(E1422="",E1422="!!!",F1422="NEW"),"",INDEX(J$1:J1421,SUMPRODUCT(MAX(ROW(E$1:E1421)*(E1422=E$1:E1421)))))</f>
        <v/>
      </c>
      <c r="L1422" s="31"/>
    </row>
    <row r="1423" customFormat="false" ht="15" hidden="false" customHeight="false" outlineLevel="0" collapsed="false">
      <c r="A1423" s="20" t="s">
        <v>1128</v>
      </c>
      <c r="E1423" s="23" t="str">
        <f aca="false">IF(D1423="?OLD","!!!","")</f>
        <v/>
      </c>
      <c r="F1423" s="25" t="str">
        <f aca="false">IF(OR(E1423="",E1423="!!!"),"",IF(NOT(ISNA(VLOOKUP(E1423,E$1:E1422,1,FALSE()))),"OLD",IF(AND(E1423&lt;&gt;"",E1423&lt;&gt;"!!!"),"NEW","")))</f>
        <v/>
      </c>
      <c r="G1423" s="26" t="str">
        <f aca="false">IF(OR(E1423="",E1423="!!!"),"",IF(OR(J1423=0,AND(J1423=1,K1423=1),AND(J1423=1,I1423="SBJ"),AND(J1423=1,I1423=0)),"?IN_FOCUS",IF(J1423&lt;=2,"?ACTIVATED",IF(J1423&lt;&gt;"","?FAMILIAR",IF(F1423="NEW",IF(ISNA(VLOOKUP(E1423,#REF!,1,FALSE())),"?TYPE_IDENTIFIABLE","?REFERENTIAL"),"_")))))</f>
        <v/>
      </c>
      <c r="H1423" s="27" t="str">
        <f aca="false">IF(J1423&lt;&gt;1,"",IF(I1423="SBJ","CB","?"))</f>
        <v/>
      </c>
      <c r="I1423" s="24" t="str">
        <f aca="false">IF(OR(E1423="",E1423="!!!",F1423="NEW"),"",INDEX(B15:B$1409,-1+SUMPRODUCT(MAX(ROW(E15:E$1409)*(E1423=E15:E$1409)))))</f>
        <v/>
      </c>
      <c r="J1423" s="24" t="str">
        <f aca="true">IF(OR(E1423="",E1423="!!!",F1423="NEW"),"",COUNTBLANK(OFFSET(A$1,,,SUMPRODUCT(MAX(ROW(E$2:E1423)*(E1423=E$2:E1423)))))-COUNTBLANK(OFFSET(A$1,,,SUMPRODUCT(MAX(ROW(E$1:E1422)*(E2=E$1:E1422))))))</f>
        <v/>
      </c>
      <c r="K1423" s="24" t="str">
        <f aca="false">IF(OR(E1423="",E1423="!!!",F1423="NEW"),"",INDEX(J$1:J1422,SUMPRODUCT(MAX(ROW(E$1:E1422)*(E1423=E$1:E1422)))))</f>
        <v/>
      </c>
      <c r="L1423" s="31"/>
    </row>
    <row r="1424" customFormat="false" ht="15" hidden="false" customHeight="false" outlineLevel="0" collapsed="false">
      <c r="A1424" s="20" t="s">
        <v>1109</v>
      </c>
      <c r="E1424" s="23" t="str">
        <f aca="false">IF(D1424="?OLD","!!!","")</f>
        <v/>
      </c>
      <c r="F1424" s="25" t="str">
        <f aca="false">IF(OR(E1424="",E1424="!!!"),"",IF(NOT(ISNA(VLOOKUP(E1424,E$1:E1423,1,FALSE()))),"OLD",IF(AND(E1424&lt;&gt;"",E1424&lt;&gt;"!!!"),"NEW","")))</f>
        <v/>
      </c>
      <c r="G1424" s="26" t="str">
        <f aca="false">IF(OR(E1424="",E1424="!!!"),"",IF(OR(J1424=0,AND(J1424=1,K1424=1),AND(J1424=1,I1424="SBJ"),AND(J1424=1,I1424=0)),"?IN_FOCUS",IF(J1424&lt;=2,"?ACTIVATED",IF(J1424&lt;&gt;"","?FAMILIAR",IF(F1424="NEW",IF(ISNA(VLOOKUP(E1424,#REF!,1,FALSE())),"?TYPE_IDENTIFIABLE","?REFERENTIAL"),"_")))))</f>
        <v/>
      </c>
      <c r="H1424" s="27" t="str">
        <f aca="false">IF(J1424&lt;&gt;1,"",IF(I1424="SBJ","CB","?"))</f>
        <v/>
      </c>
      <c r="I1424" s="24" t="str">
        <f aca="false">IF(OR(E1424="",E1424="!!!",F1424="NEW"),"",INDEX(B16:B$1409,-1+SUMPRODUCT(MAX(ROW(E16:E$1409)*(E1424=E16:E$1409)))))</f>
        <v/>
      </c>
      <c r="J1424" s="24" t="str">
        <f aca="true">IF(OR(E1424="",E1424="!!!",F1424="NEW"),"",COUNTBLANK(OFFSET(A$1,,,SUMPRODUCT(MAX(ROW(E$2:E1424)*(E1424=E$2:E1424)))))-COUNTBLANK(OFFSET(A$1,,,SUMPRODUCT(MAX(ROW(E$1:E1423)*(E2=E$1:E1423))))))</f>
        <v/>
      </c>
      <c r="K1424" s="24" t="str">
        <f aca="false">IF(OR(E1424="",E1424="!!!",F1424="NEW"),"",INDEX(J$1:J1423,SUMPRODUCT(MAX(ROW(E$1:E1423)*(E1424=E$1:E1423)))))</f>
        <v/>
      </c>
      <c r="L1424" s="31"/>
    </row>
    <row r="1425" customFormat="false" ht="15" hidden="false" customHeight="false" outlineLevel="0" collapsed="false">
      <c r="A1425" s="20" t="s">
        <v>1223</v>
      </c>
      <c r="B1425" s="22" t="s">
        <v>1105</v>
      </c>
      <c r="C1425" s="22" t="s">
        <v>1150</v>
      </c>
      <c r="D1425" s="22" t="s">
        <v>1060</v>
      </c>
      <c r="E1425" s="23" t="str">
        <f aca="false">IF(D1425="?OLD","!!!","")</f>
        <v>!!!</v>
      </c>
      <c r="F1425" s="25" t="str">
        <f aca="false">IF(OR(E1425="",E1425="!!!"),"",IF(NOT(ISNA(VLOOKUP(E1425,E$1:E1424,1,FALSE()))),"OLD",IF(AND(E1425&lt;&gt;"",E1425&lt;&gt;"!!!"),"NEW","")))</f>
        <v/>
      </c>
      <c r="G1425" s="26" t="str">
        <f aca="false">IF(OR(E1425="",E1425="!!!"),"",IF(OR(J1425=0,AND(J1425=1,K1425=1),AND(J1425=1,I1425="SBJ"),AND(J1425=1,I1425=0)),"?IN_FOCUS",IF(J1425&lt;=2,"?ACTIVATED",IF(J1425&lt;&gt;"","?FAMILIAR",IF(F1425="NEW",IF(ISNA(VLOOKUP(E1425,#REF!,1,FALSE())),"?TYPE_IDENTIFIABLE","?REFERENTIAL"),"_")))))</f>
        <v/>
      </c>
      <c r="H1425" s="27" t="str">
        <f aca="false">IF(J1425&lt;&gt;1,"",IF(I1425="SBJ","CB","?"))</f>
        <v/>
      </c>
      <c r="I1425" s="24" t="str">
        <f aca="false">IF(OR(E1425="",E1425="!!!",F1425="NEW"),"",INDEX(B17:B$1409,-1+SUMPRODUCT(MAX(ROW(E17:E$1409)*(E1425=E17:E$1409)))))</f>
        <v/>
      </c>
      <c r="J1425" s="24" t="str">
        <f aca="true">IF(OR(E1425="",E1425="!!!",F1425="NEW"),"",COUNTBLANK(OFFSET(A$1,,,SUMPRODUCT(MAX(ROW(E$2:E1425)*(E1425=E$2:E1425)))))-COUNTBLANK(OFFSET(A$1,,,SUMPRODUCT(MAX(ROW(E$1:E1424)*(E2=E$1:E1424))))))</f>
        <v/>
      </c>
      <c r="K1425" s="24" t="str">
        <f aca="false">IF(OR(E1425="",E1425="!!!",F1425="NEW"),"",INDEX(J$1:J1424,SUMPRODUCT(MAX(ROW(E$1:E1424)*(E1425=E$1:E1424)))))</f>
        <v/>
      </c>
      <c r="L1425" s="31"/>
    </row>
    <row r="1426" customFormat="false" ht="15" hidden="false" customHeight="false" outlineLevel="0" collapsed="false">
      <c r="A1426" s="20" t="s">
        <v>923</v>
      </c>
      <c r="E1426" s="23" t="str">
        <f aca="false">IF(D1426="?OLD","!!!","")</f>
        <v/>
      </c>
      <c r="F1426" s="25" t="str">
        <f aca="false">IF(OR(E1426="",E1426="!!!"),"",IF(NOT(ISNA(VLOOKUP(E1426,E$1:E1425,1,FALSE()))),"OLD",IF(AND(E1426&lt;&gt;"",E1426&lt;&gt;"!!!"),"NEW","")))</f>
        <v/>
      </c>
      <c r="G1426" s="26" t="str">
        <f aca="false">IF(OR(E1426="",E1426="!!!"),"",IF(OR(J1426=0,AND(J1426=1,K1426=1),AND(J1426=1,I1426="SBJ"),AND(J1426=1,I1426=0)),"?IN_FOCUS",IF(J1426&lt;=2,"?ACTIVATED",IF(J1426&lt;&gt;"","?FAMILIAR",IF(F1426="NEW",IF(ISNA(VLOOKUP(E1426,#REF!,1,FALSE())),"?TYPE_IDENTIFIABLE","?REFERENTIAL"),"_")))))</f>
        <v/>
      </c>
      <c r="H1426" s="27" t="str">
        <f aca="false">IF(J1426&lt;&gt;1,"",IF(I1426="SBJ","CB","?"))</f>
        <v/>
      </c>
      <c r="I1426" s="24" t="str">
        <f aca="false">IF(OR(E1426="",E1426="!!!",F1426="NEW"),"",INDEX(B18:B$1409,-1+SUMPRODUCT(MAX(ROW(E18:E$1409)*(E1426=E18:E$1409)))))</f>
        <v/>
      </c>
      <c r="J1426" s="24" t="str">
        <f aca="true">IF(OR(E1426="",E1426="!!!",F1426="NEW"),"",COUNTBLANK(OFFSET(A$1,,,SUMPRODUCT(MAX(ROW(E$2:E1426)*(E1426=E$2:E1426)))))-COUNTBLANK(OFFSET(A$1,,,SUMPRODUCT(MAX(ROW(E$1:E1425)*(E2=E$1:E1425))))))</f>
        <v/>
      </c>
      <c r="K1426" s="24" t="str">
        <f aca="false">IF(OR(E1426="",E1426="!!!",F1426="NEW"),"",INDEX(J$1:J1425,SUMPRODUCT(MAX(ROW(E$1:E1425)*(E1426=E$1:E1425)))))</f>
        <v/>
      </c>
      <c r="L1426" s="31"/>
    </row>
    <row r="1427" customFormat="false" ht="15" hidden="false" customHeight="false" outlineLevel="0" collapsed="false">
      <c r="A1427" s="20"/>
    </row>
    <row r="1428" customFormat="false" ht="15" hidden="false" customHeight="false" outlineLevel="0" collapsed="false">
      <c r="A1428" s="20" t="s">
        <v>1673</v>
      </c>
    </row>
    <row r="1429" customFormat="false" ht="15" hidden="false" customHeight="false" outlineLevel="0" collapsed="false">
      <c r="A1429" s="20" t="s">
        <v>1057</v>
      </c>
      <c r="B1429" s="22" t="s">
        <v>1058</v>
      </c>
      <c r="C1429" s="22" t="s">
        <v>1059</v>
      </c>
      <c r="D1429" s="22" t="s">
        <v>1060</v>
      </c>
      <c r="E1429" s="23" t="str">
        <f aca="false">IF(D1429="?OLD","!!!","")</f>
        <v>!!!</v>
      </c>
      <c r="F1429" s="25" t="str">
        <f aca="false">IF(OR(E1429="",E1429="!!!"),"",IF(NOT(ISNA(VLOOKUP(E1429,E$1:E1428,1,FALSE()))),"OLD",IF(AND(E1429&lt;&gt;"",E1429&lt;&gt;"!!!"),"NEW","")))</f>
        <v/>
      </c>
      <c r="G1429" s="26" t="str">
        <f aca="false">IF(OR(E1429="",E1429="!!!"),"",IF(OR(J1429=0,AND(J1429=1,K1429=1),AND(J1429=1,I1429="SBJ"),AND(J1429=1,I1429=0)),"?IN_FOCUS",IF(J1429&lt;=2,"?ACTIVATED",IF(J1429&lt;&gt;"","?FAMILIAR",IF(F1429="NEW",IF(ISNA(VLOOKUP(E1429,#REF!,1,FALSE())),"?TYPE_IDENTIFIABLE","?REFERENTIAL"),"_")))))</f>
        <v/>
      </c>
      <c r="H1429" s="27" t="str">
        <f aca="false">IF(J1429&lt;&gt;1,"",IF(I1429="SBJ","CB","?"))</f>
        <v/>
      </c>
      <c r="I1429" s="24" t="str">
        <f aca="false">IF(OR(E1429="",E1429="!!!",F1429="NEW"),"",INDEX(B2:B$1428,-1+SUMPRODUCT(MAX(ROW(E2:E$1428)*(E1429=E2:E$1428)))))</f>
        <v/>
      </c>
      <c r="J1429" s="24" t="str">
        <f aca="true">IF(OR(E1429="",E1429="!!!",F1429="NEW"),"",COUNTBLANK(OFFSET(A$1,,,SUMPRODUCT(MAX(ROW(E$2:E1429)*(E1429=E$2:E1429)))))-COUNTBLANK(OFFSET(A$1,,,SUMPRODUCT(MAX(ROW(E$1:E1428)*(E2=E$1:E1428))))))</f>
        <v/>
      </c>
      <c r="K1429" s="24" t="str">
        <f aca="false">IF(OR(E1429="",E1429="!!!",F1429="NEW"),"",INDEX(J$1:J1428,SUMPRODUCT(MAX(ROW(E$1:E1428)*(E1429=E$1:E1428)))))</f>
        <v/>
      </c>
      <c r="L1429" s="31"/>
    </row>
    <row r="1430" customFormat="false" ht="15" hidden="false" customHeight="false" outlineLevel="0" collapsed="false">
      <c r="A1430" s="20" t="s">
        <v>1064</v>
      </c>
      <c r="E1430" s="23" t="str">
        <f aca="false">IF(D1430="?OLD","!!!","")</f>
        <v/>
      </c>
      <c r="F1430" s="25" t="str">
        <f aca="false">IF(OR(E1430="",E1430="!!!"),"",IF(NOT(ISNA(VLOOKUP(E1430,E$1:E1429,1,FALSE()))),"OLD",IF(AND(E1430&lt;&gt;"",E1430&lt;&gt;"!!!"),"NEW","")))</f>
        <v/>
      </c>
      <c r="G1430" s="26" t="str">
        <f aca="false">IF(OR(E1430="",E1430="!!!"),"",IF(OR(J1430=0,AND(J1430=1,K1430=1),AND(J1430=1,I1430="SBJ"),AND(J1430=1,I1430=0)),"?IN_FOCUS",IF(J1430&lt;=2,"?ACTIVATED",IF(J1430&lt;&gt;"","?FAMILIAR",IF(F1430="NEW",IF(ISNA(VLOOKUP(E1430,#REF!,1,FALSE())),"?TYPE_IDENTIFIABLE","?REFERENTIAL"),"_")))))</f>
        <v/>
      </c>
      <c r="H1430" s="27" t="str">
        <f aca="false">IF(J1430&lt;&gt;1,"",IF(I1430="SBJ","CB","?"))</f>
        <v/>
      </c>
      <c r="I1430" s="24" t="str">
        <f aca="false">IF(OR(E1430="",E1430="!!!",F1430="NEW"),"",INDEX(B3:B$1428,-1+SUMPRODUCT(MAX(ROW(E3:E$1428)*(E1430=E3:E$1428)))))</f>
        <v/>
      </c>
      <c r="J1430" s="24" t="str">
        <f aca="true">IF(OR(E1430="",E1430="!!!",F1430="NEW"),"",COUNTBLANK(OFFSET(A$1,,,SUMPRODUCT(MAX(ROW(E$2:E1430)*(E1430=E$2:E1430)))))-COUNTBLANK(OFFSET(A$1,,,SUMPRODUCT(MAX(ROW(E$1:E1429)*(E2=E$1:E1429))))))</f>
        <v/>
      </c>
      <c r="K1430" s="24" t="str">
        <f aca="false">IF(OR(E1430="",E1430="!!!",F1430="NEW"),"",INDEX(J$1:J1429,SUMPRODUCT(MAX(ROW(E$1:E1429)*(E1430=E$1:E1429)))))</f>
        <v/>
      </c>
      <c r="L1430" s="31"/>
    </row>
    <row r="1431" customFormat="false" ht="15" hidden="false" customHeight="false" outlineLevel="0" collapsed="false">
      <c r="A1431" s="20" t="s">
        <v>1454</v>
      </c>
      <c r="B1431" s="22" t="s">
        <v>1073</v>
      </c>
      <c r="C1431" s="22" t="s">
        <v>1082</v>
      </c>
      <c r="D1431" s="22" t="s">
        <v>1060</v>
      </c>
      <c r="E1431" s="23" t="str">
        <f aca="false">IF(D1431="?OLD","!!!","")</f>
        <v>!!!</v>
      </c>
      <c r="F1431" s="25" t="str">
        <f aca="false">IF(OR(E1431="",E1431="!!!"),"",IF(NOT(ISNA(VLOOKUP(E1431,E$1:E1430,1,FALSE()))),"OLD",IF(AND(E1431&lt;&gt;"",E1431&lt;&gt;"!!!"),"NEW","")))</f>
        <v/>
      </c>
      <c r="G1431" s="26" t="str">
        <f aca="false">IF(OR(E1431="",E1431="!!!"),"",IF(OR(J1431=0,AND(J1431=1,K1431=1),AND(J1431=1,I1431="SBJ"),AND(J1431=1,I1431=0)),"?IN_FOCUS",IF(J1431&lt;=2,"?ACTIVATED",IF(J1431&lt;&gt;"","?FAMILIAR",IF(F1431="NEW",IF(ISNA(VLOOKUP(E1431,#REF!,1,FALSE())),"?TYPE_IDENTIFIABLE","?REFERENTIAL"),"_")))))</f>
        <v/>
      </c>
      <c r="H1431" s="27" t="str">
        <f aca="false">IF(J1431&lt;&gt;1,"",IF(I1431="SBJ","CB","?"))</f>
        <v/>
      </c>
      <c r="I1431" s="24" t="str">
        <f aca="false">IF(OR(E1431="",E1431="!!!",F1431="NEW"),"",INDEX(B4:B$1428,-1+SUMPRODUCT(MAX(ROW(E4:E$1428)*(E1431=E4:E$1428)))))</f>
        <v/>
      </c>
      <c r="J1431" s="24" t="str">
        <f aca="true">IF(OR(E1431="",E1431="!!!",F1431="NEW"),"",COUNTBLANK(OFFSET(A$1,,,SUMPRODUCT(MAX(ROW(E$2:E1431)*(E1431=E$2:E1431)))))-COUNTBLANK(OFFSET(A$1,,,SUMPRODUCT(MAX(ROW(E$1:E1430)*(E2=E$1:E1430))))))</f>
        <v/>
      </c>
      <c r="K1431" s="24" t="str">
        <f aca="false">IF(OR(E1431="",E1431="!!!",F1431="NEW"),"",INDEX(J$1:J1430,SUMPRODUCT(MAX(ROW(E$1:E1430)*(E1431=E$1:E1430)))))</f>
        <v/>
      </c>
      <c r="L1431" s="31"/>
    </row>
    <row r="1432" customFormat="false" ht="15" hidden="false" customHeight="false" outlineLevel="0" collapsed="false">
      <c r="A1432" s="20" t="s">
        <v>1092</v>
      </c>
      <c r="E1432" s="23" t="str">
        <f aca="false">IF(D1432="?OLD","!!!","")</f>
        <v/>
      </c>
      <c r="F1432" s="25" t="str">
        <f aca="false">IF(OR(E1432="",E1432="!!!"),"",IF(NOT(ISNA(VLOOKUP(E1432,E$1:E1431,1,FALSE()))),"OLD",IF(AND(E1432&lt;&gt;"",E1432&lt;&gt;"!!!"),"NEW","")))</f>
        <v/>
      </c>
      <c r="G1432" s="26" t="str">
        <f aca="false">IF(OR(E1432="",E1432="!!!"),"",IF(OR(J1432=0,AND(J1432=1,K1432=1),AND(J1432=1,I1432="SBJ"),AND(J1432=1,I1432=0)),"?IN_FOCUS",IF(J1432&lt;=2,"?ACTIVATED",IF(J1432&lt;&gt;"","?FAMILIAR",IF(F1432="NEW",IF(ISNA(VLOOKUP(E1432,#REF!,1,FALSE())),"?TYPE_IDENTIFIABLE","?REFERENTIAL"),"_")))))</f>
        <v/>
      </c>
      <c r="H1432" s="27" t="str">
        <f aca="false">IF(J1432&lt;&gt;1,"",IF(I1432="SBJ","CB","?"))</f>
        <v/>
      </c>
      <c r="I1432" s="24" t="str">
        <f aca="false">IF(OR(E1432="",E1432="!!!",F1432="NEW"),"",INDEX(B5:B$1428,-1+SUMPRODUCT(MAX(ROW(E5:E$1428)*(E1432=E5:E$1428)))))</f>
        <v/>
      </c>
      <c r="J1432" s="24" t="str">
        <f aca="true">IF(OR(E1432="",E1432="!!!",F1432="NEW"),"",COUNTBLANK(OFFSET(A$1,,,SUMPRODUCT(MAX(ROW(E$2:E1432)*(E1432=E$2:E1432)))))-COUNTBLANK(OFFSET(A$1,,,SUMPRODUCT(MAX(ROW(E$1:E1431)*(E2=E$1:E1431))))))</f>
        <v/>
      </c>
      <c r="K1432" s="24" t="str">
        <f aca="false">IF(OR(E1432="",E1432="!!!",F1432="NEW"),"",INDEX(J$1:J1431,SUMPRODUCT(MAX(ROW(E$1:E1431)*(E1432=E$1:E1431)))))</f>
        <v/>
      </c>
      <c r="L1432" s="31"/>
    </row>
    <row r="1433" customFormat="false" ht="15" hidden="false" customHeight="false" outlineLevel="0" collapsed="false">
      <c r="A1433" s="20" t="s">
        <v>1674</v>
      </c>
      <c r="E1433" s="23" t="str">
        <f aca="false">IF(D1433="?OLD","!!!","")</f>
        <v/>
      </c>
      <c r="F1433" s="25" t="str">
        <f aca="false">IF(OR(E1433="",E1433="!!!"),"",IF(NOT(ISNA(VLOOKUP(E1433,E$1:E1432,1,FALSE()))),"OLD",IF(AND(E1433&lt;&gt;"",E1433&lt;&gt;"!!!"),"NEW","")))</f>
        <v/>
      </c>
      <c r="G1433" s="26" t="str">
        <f aca="false">IF(OR(E1433="",E1433="!!!"),"",IF(OR(J1433=0,AND(J1433=1,K1433=1),AND(J1433=1,I1433="SBJ"),AND(J1433=1,I1433=0)),"?IN_FOCUS",IF(J1433&lt;=2,"?ACTIVATED",IF(J1433&lt;&gt;"","?FAMILIAR",IF(F1433="NEW",IF(ISNA(VLOOKUP(E1433,#REF!,1,FALSE())),"?TYPE_IDENTIFIABLE","?REFERENTIAL"),"_")))))</f>
        <v/>
      </c>
      <c r="H1433" s="27" t="str">
        <f aca="false">IF(J1433&lt;&gt;1,"",IF(I1433="SBJ","CB","?"))</f>
        <v/>
      </c>
      <c r="I1433" s="24" t="str">
        <f aca="false">IF(OR(E1433="",E1433="!!!",F1433="NEW"),"",INDEX(B6:B$1428,-1+SUMPRODUCT(MAX(ROW(E6:E$1428)*(E1433=E6:E$1428)))))</f>
        <v/>
      </c>
      <c r="J1433" s="24" t="str">
        <f aca="true">IF(OR(E1433="",E1433="!!!",F1433="NEW"),"",COUNTBLANK(OFFSET(A$1,,,SUMPRODUCT(MAX(ROW(E$2:E1433)*(E1433=E$2:E1433)))))-COUNTBLANK(OFFSET(A$1,,,SUMPRODUCT(MAX(ROW(E$1:E1432)*(E2=E$1:E1432))))))</f>
        <v/>
      </c>
      <c r="K1433" s="24" t="str">
        <f aca="false">IF(OR(E1433="",E1433="!!!",F1433="NEW"),"",INDEX(J$1:J1432,SUMPRODUCT(MAX(ROW(E$1:E1432)*(E1433=E$1:E1432)))))</f>
        <v/>
      </c>
      <c r="L1433" s="31"/>
    </row>
    <row r="1434" customFormat="false" ht="15" hidden="false" customHeight="false" outlineLevel="0" collapsed="false">
      <c r="A1434" s="20" t="s">
        <v>299</v>
      </c>
      <c r="E1434" s="23" t="str">
        <f aca="false">IF(D1434="?OLD","!!!","")</f>
        <v/>
      </c>
      <c r="F1434" s="25" t="str">
        <f aca="false">IF(OR(E1434="",E1434="!!!"),"",IF(NOT(ISNA(VLOOKUP(E1434,E$1:E1433,1,FALSE()))),"OLD",IF(AND(E1434&lt;&gt;"",E1434&lt;&gt;"!!!"),"NEW","")))</f>
        <v/>
      </c>
      <c r="G1434" s="26" t="str">
        <f aca="false">IF(OR(E1434="",E1434="!!!"),"",IF(OR(J1434=0,AND(J1434=1,K1434=1),AND(J1434=1,I1434="SBJ"),AND(J1434=1,I1434=0)),"?IN_FOCUS",IF(J1434&lt;=2,"?ACTIVATED",IF(J1434&lt;&gt;"","?FAMILIAR",IF(F1434="NEW",IF(ISNA(VLOOKUP(E1434,#REF!,1,FALSE())),"?TYPE_IDENTIFIABLE","?REFERENTIAL"),"_")))))</f>
        <v/>
      </c>
      <c r="H1434" s="27" t="str">
        <f aca="false">IF(J1434&lt;&gt;1,"",IF(I1434="SBJ","CB","?"))</f>
        <v/>
      </c>
      <c r="I1434" s="24" t="str">
        <f aca="false">IF(OR(E1434="",E1434="!!!",F1434="NEW"),"",INDEX(B7:B$1428,-1+SUMPRODUCT(MAX(ROW(E7:E$1428)*(E1434=E7:E$1428)))))</f>
        <v/>
      </c>
      <c r="J1434" s="24" t="str">
        <f aca="true">IF(OR(E1434="",E1434="!!!",F1434="NEW"),"",COUNTBLANK(OFFSET(A$1,,,SUMPRODUCT(MAX(ROW(E$2:E1434)*(E1434=E$2:E1434)))))-COUNTBLANK(OFFSET(A$1,,,SUMPRODUCT(MAX(ROW(E$1:E1433)*(E2=E$1:E1433))))))</f>
        <v/>
      </c>
      <c r="K1434" s="24" t="str">
        <f aca="false">IF(OR(E1434="",E1434="!!!",F1434="NEW"),"",INDEX(J$1:J1433,SUMPRODUCT(MAX(ROW(E$1:E1433)*(E1434=E$1:E1433)))))</f>
        <v/>
      </c>
      <c r="L1434" s="31"/>
    </row>
    <row r="1435" customFormat="false" ht="15" hidden="false" customHeight="false" outlineLevel="0" collapsed="false">
      <c r="A1435" s="20" t="s">
        <v>1288</v>
      </c>
      <c r="E1435" s="23" t="str">
        <f aca="false">IF(D1435="?OLD","!!!","")</f>
        <v/>
      </c>
      <c r="F1435" s="25" t="str">
        <f aca="false">IF(OR(E1435="",E1435="!!!"),"",IF(NOT(ISNA(VLOOKUP(E1435,E$1:E1434,1,FALSE()))),"OLD",IF(AND(E1435&lt;&gt;"",E1435&lt;&gt;"!!!"),"NEW","")))</f>
        <v/>
      </c>
      <c r="G1435" s="26" t="str">
        <f aca="false">IF(OR(E1435="",E1435="!!!"),"",IF(OR(J1435=0,AND(J1435=1,K1435=1),AND(J1435=1,I1435="SBJ"),AND(J1435=1,I1435=0)),"?IN_FOCUS",IF(J1435&lt;=2,"?ACTIVATED",IF(J1435&lt;&gt;"","?FAMILIAR",IF(F1435="NEW",IF(ISNA(VLOOKUP(E1435,#REF!,1,FALSE())),"?TYPE_IDENTIFIABLE","?REFERENTIAL"),"_")))))</f>
        <v/>
      </c>
      <c r="H1435" s="27" t="str">
        <f aca="false">IF(J1435&lt;&gt;1,"",IF(I1435="SBJ","CB","?"))</f>
        <v/>
      </c>
      <c r="I1435" s="24" t="str">
        <f aca="false">IF(OR(E1435="",E1435="!!!",F1435="NEW"),"",INDEX(B8:B$1428,-1+SUMPRODUCT(MAX(ROW(E8:E$1428)*(E1435=E8:E$1428)))))</f>
        <v/>
      </c>
      <c r="J1435" s="24" t="str">
        <f aca="true">IF(OR(E1435="",E1435="!!!",F1435="NEW"),"",COUNTBLANK(OFFSET(A$1,,,SUMPRODUCT(MAX(ROW(E$2:E1435)*(E1435=E$2:E1435)))))-COUNTBLANK(OFFSET(A$1,,,SUMPRODUCT(MAX(ROW(E$1:E1434)*(E2=E$1:E1434))))))</f>
        <v/>
      </c>
      <c r="K1435" s="24" t="str">
        <f aca="false">IF(OR(E1435="",E1435="!!!",F1435="NEW"),"",INDEX(J$1:J1434,SUMPRODUCT(MAX(ROW(E$1:E1434)*(E1435=E$1:E1434)))))</f>
        <v/>
      </c>
      <c r="L1435" s="31"/>
    </row>
    <row r="1436" customFormat="false" ht="15" hidden="false" customHeight="false" outlineLevel="0" collapsed="false">
      <c r="A1436" s="20" t="s">
        <v>923</v>
      </c>
      <c r="E1436" s="23" t="str">
        <f aca="false">IF(D1436="?OLD","!!!","")</f>
        <v/>
      </c>
      <c r="F1436" s="25" t="str">
        <f aca="false">IF(OR(E1436="",E1436="!!!"),"",IF(NOT(ISNA(VLOOKUP(E1436,E$1:E1435,1,FALSE()))),"OLD",IF(AND(E1436&lt;&gt;"",E1436&lt;&gt;"!!!"),"NEW","")))</f>
        <v/>
      </c>
      <c r="G1436" s="26" t="str">
        <f aca="false">IF(OR(E1436="",E1436="!!!"),"",IF(OR(J1436=0,AND(J1436=1,K1436=1),AND(J1436=1,I1436="SBJ"),AND(J1436=1,I1436=0)),"?IN_FOCUS",IF(J1436&lt;=2,"?ACTIVATED",IF(J1436&lt;&gt;"","?FAMILIAR",IF(F1436="NEW",IF(ISNA(VLOOKUP(E1436,#REF!,1,FALSE())),"?TYPE_IDENTIFIABLE","?REFERENTIAL"),"_")))))</f>
        <v/>
      </c>
      <c r="H1436" s="27" t="str">
        <f aca="false">IF(J1436&lt;&gt;1,"",IF(I1436="SBJ","CB","?"))</f>
        <v/>
      </c>
      <c r="I1436" s="24" t="str">
        <f aca="false">IF(OR(E1436="",E1436="!!!",F1436="NEW"),"",INDEX(B9:B$1428,-1+SUMPRODUCT(MAX(ROW(E9:E$1428)*(E1436=E9:E$1428)))))</f>
        <v/>
      </c>
      <c r="J1436" s="24" t="str">
        <f aca="true">IF(OR(E1436="",E1436="!!!",F1436="NEW"),"",COUNTBLANK(OFFSET(A$1,,,SUMPRODUCT(MAX(ROW(E$2:E1436)*(E1436=E$2:E1436)))))-COUNTBLANK(OFFSET(A$1,,,SUMPRODUCT(MAX(ROW(E$1:E1435)*(E2=E$1:E1435))))))</f>
        <v/>
      </c>
      <c r="K1436" s="24" t="str">
        <f aca="false">IF(OR(E1436="",E1436="!!!",F1436="NEW"),"",INDEX(J$1:J1435,SUMPRODUCT(MAX(ROW(E$1:E1435)*(E1436=E$1:E1435)))))</f>
        <v/>
      </c>
      <c r="L1436" s="31"/>
    </row>
    <row r="1437" customFormat="false" ht="15" hidden="false" customHeight="false" outlineLevel="0" collapsed="false">
      <c r="A1437" s="20"/>
    </row>
    <row r="1438" customFormat="false" ht="15" hidden="false" customHeight="false" outlineLevel="0" collapsed="false">
      <c r="A1438" s="20" t="s">
        <v>1675</v>
      </c>
    </row>
    <row r="1439" customFormat="false" ht="15" hidden="false" customHeight="false" outlineLevel="0" collapsed="false">
      <c r="A1439" s="20" t="s">
        <v>1148</v>
      </c>
      <c r="E1439" s="23" t="str">
        <f aca="false">IF(D1439="?OLD","!!!","")</f>
        <v/>
      </c>
      <c r="F1439" s="25" t="str">
        <f aca="false">IF(OR(E1439="",E1439="!!!"),"",IF(NOT(ISNA(VLOOKUP(E1439,E$1:E1438,1,FALSE()))),"OLD",IF(AND(E1439&lt;&gt;"",E1439&lt;&gt;"!!!"),"NEW","")))</f>
        <v/>
      </c>
      <c r="G1439" s="26" t="str">
        <f aca="false">IF(OR(E1439="",E1439="!!!"),"",IF(OR(J1439=0,AND(J1439=1,K1439=1),AND(J1439=1,I1439="SBJ"),AND(J1439=1,I1439=0)),"?IN_FOCUS",IF(J1439&lt;=2,"?ACTIVATED",IF(J1439&lt;&gt;"","?FAMILIAR",IF(F1439="NEW",IF(ISNA(VLOOKUP(E1439,#REF!,1,FALSE())),"?TYPE_IDENTIFIABLE","?REFERENTIAL"),"_")))))</f>
        <v/>
      </c>
      <c r="H1439" s="27" t="str">
        <f aca="false">IF(J1439&lt;&gt;1,"",IF(I1439="SBJ","CB","?"))</f>
        <v/>
      </c>
      <c r="I1439" s="24" t="str">
        <f aca="false">IF(OR(E1439="",E1439="!!!",F1439="NEW"),"",INDEX(B2:B$1438,-1+SUMPRODUCT(MAX(ROW(E2:E$1438)*(E1439=E2:E$1438)))))</f>
        <v/>
      </c>
      <c r="J1439" s="24" t="str">
        <f aca="true">IF(OR(E1439="",E1439="!!!",F1439="NEW"),"",COUNTBLANK(OFFSET(A$1,,,SUMPRODUCT(MAX(ROW(E$2:E1439)*(E1439=E$2:E1439)))))-COUNTBLANK(OFFSET(A$1,,,SUMPRODUCT(MAX(ROW(E$1:E1438)*(E2=E$1:E1438))))))</f>
        <v/>
      </c>
      <c r="K1439" s="24" t="str">
        <f aca="false">IF(OR(E1439="",E1439="!!!",F1439="NEW"),"",INDEX(J$1:J1438,SUMPRODUCT(MAX(ROW(E$1:E1438)*(E1439=E$1:E1438)))))</f>
        <v/>
      </c>
      <c r="L1439" s="31"/>
    </row>
    <row r="1440" customFormat="false" ht="15" hidden="false" customHeight="false" outlineLevel="0" collapsed="false">
      <c r="A1440" s="20" t="s">
        <v>1676</v>
      </c>
      <c r="B1440" s="22" t="s">
        <v>1058</v>
      </c>
      <c r="C1440" s="22" t="s">
        <v>1150</v>
      </c>
      <c r="D1440" s="22" t="s">
        <v>1060</v>
      </c>
      <c r="E1440" s="23" t="str">
        <f aca="false">IF(D1440="?OLD","!!!","")</f>
        <v>!!!</v>
      </c>
      <c r="F1440" s="25" t="str">
        <f aca="false">IF(OR(E1440="",E1440="!!!"),"",IF(NOT(ISNA(VLOOKUP(E1440,E$1:E1439,1,FALSE()))),"OLD",IF(AND(E1440&lt;&gt;"",E1440&lt;&gt;"!!!"),"NEW","")))</f>
        <v/>
      </c>
      <c r="G1440" s="26" t="str">
        <f aca="false">IF(OR(E1440="",E1440="!!!"),"",IF(OR(J1440=0,AND(J1440=1,K1440=1),AND(J1440=1,I1440="SBJ"),AND(J1440=1,I1440=0)),"?IN_FOCUS",IF(J1440&lt;=2,"?ACTIVATED",IF(J1440&lt;&gt;"","?FAMILIAR",IF(F1440="NEW",IF(ISNA(VLOOKUP(E1440,#REF!,1,FALSE())),"?TYPE_IDENTIFIABLE","?REFERENTIAL"),"_")))))</f>
        <v/>
      </c>
      <c r="H1440" s="27" t="str">
        <f aca="false">IF(J1440&lt;&gt;1,"",IF(I1440="SBJ","CB","?"))</f>
        <v/>
      </c>
      <c r="I1440" s="24" t="str">
        <f aca="false">IF(OR(E1440="",E1440="!!!",F1440="NEW"),"",INDEX(B3:B$1438,-1+SUMPRODUCT(MAX(ROW(E3:E$1438)*(E1440=E3:E$1438)))))</f>
        <v/>
      </c>
      <c r="J1440" s="24" t="str">
        <f aca="true">IF(OR(E1440="",E1440="!!!",F1440="NEW"),"",COUNTBLANK(OFFSET(A$1,,,SUMPRODUCT(MAX(ROW(E$2:E1440)*(E1440=E$2:E1440)))))-COUNTBLANK(OFFSET(A$1,,,SUMPRODUCT(MAX(ROW(E$1:E1439)*(E2=E$1:E1439))))))</f>
        <v/>
      </c>
      <c r="K1440" s="24" t="str">
        <f aca="false">IF(OR(E1440="",E1440="!!!",F1440="NEW"),"",INDEX(J$1:J1439,SUMPRODUCT(MAX(ROW(E$1:E1439)*(E1440=E$1:E1439)))))</f>
        <v/>
      </c>
      <c r="L1440" s="31"/>
    </row>
    <row r="1441" customFormat="false" ht="15" hidden="false" customHeight="false" outlineLevel="0" collapsed="false">
      <c r="A1441" s="20" t="s">
        <v>1164</v>
      </c>
      <c r="E1441" s="23" t="str">
        <f aca="false">IF(D1441="?OLD","!!!","")</f>
        <v/>
      </c>
      <c r="F1441" s="25" t="str">
        <f aca="false">IF(OR(E1441="",E1441="!!!"),"",IF(NOT(ISNA(VLOOKUP(E1441,E$1:E1440,1,FALSE()))),"OLD",IF(AND(E1441&lt;&gt;"",E1441&lt;&gt;"!!!"),"NEW","")))</f>
        <v/>
      </c>
      <c r="G1441" s="26" t="str">
        <f aca="false">IF(OR(E1441="",E1441="!!!"),"",IF(OR(J1441=0,AND(J1441=1,K1441=1),AND(J1441=1,I1441="SBJ"),AND(J1441=1,I1441=0)),"?IN_FOCUS",IF(J1441&lt;=2,"?ACTIVATED",IF(J1441&lt;&gt;"","?FAMILIAR",IF(F1441="NEW",IF(ISNA(VLOOKUP(E1441,#REF!,1,FALSE())),"?TYPE_IDENTIFIABLE","?REFERENTIAL"),"_")))))</f>
        <v/>
      </c>
      <c r="H1441" s="27" t="str">
        <f aca="false">IF(J1441&lt;&gt;1,"",IF(I1441="SBJ","CB","?"))</f>
        <v/>
      </c>
      <c r="I1441" s="24" t="str">
        <f aca="false">IF(OR(E1441="",E1441="!!!",F1441="NEW"),"",INDEX(B4:B$1438,-1+SUMPRODUCT(MAX(ROW(E4:E$1438)*(E1441=E4:E$1438)))))</f>
        <v/>
      </c>
      <c r="J1441" s="24" t="str">
        <f aca="true">IF(OR(E1441="",E1441="!!!",F1441="NEW"),"",COUNTBLANK(OFFSET(A$1,,,SUMPRODUCT(MAX(ROW(E$2:E1441)*(E1441=E$2:E1441)))))-COUNTBLANK(OFFSET(A$1,,,SUMPRODUCT(MAX(ROW(E$1:E1440)*(E2=E$1:E1440))))))</f>
        <v/>
      </c>
      <c r="K1441" s="24" t="str">
        <f aca="false">IF(OR(E1441="",E1441="!!!",F1441="NEW"),"",INDEX(J$1:J1440,SUMPRODUCT(MAX(ROW(E$1:E1440)*(E1441=E$1:E1440)))))</f>
        <v/>
      </c>
      <c r="L1441" s="31"/>
    </row>
    <row r="1442" customFormat="false" ht="15" hidden="false" customHeight="false" outlineLevel="0" collapsed="false">
      <c r="A1442" s="20" t="s">
        <v>1519</v>
      </c>
      <c r="E1442" s="23" t="str">
        <f aca="false">IF(D1442="?OLD","!!!","")</f>
        <v/>
      </c>
      <c r="F1442" s="25" t="str">
        <f aca="false">IF(OR(E1442="",E1442="!!!"),"",IF(NOT(ISNA(VLOOKUP(E1442,E$1:E1441,1,FALSE()))),"OLD",IF(AND(E1442&lt;&gt;"",E1442&lt;&gt;"!!!"),"NEW","")))</f>
        <v/>
      </c>
      <c r="G1442" s="26" t="str">
        <f aca="false">IF(OR(E1442="",E1442="!!!"),"",IF(OR(J1442=0,AND(J1442=1,K1442=1),AND(J1442=1,I1442="SBJ"),AND(J1442=1,I1442=0)),"?IN_FOCUS",IF(J1442&lt;=2,"?ACTIVATED",IF(J1442&lt;&gt;"","?FAMILIAR",IF(F1442="NEW",IF(ISNA(VLOOKUP(E1442,#REF!,1,FALSE())),"?TYPE_IDENTIFIABLE","?REFERENTIAL"),"_")))))</f>
        <v/>
      </c>
      <c r="H1442" s="27" t="str">
        <f aca="false">IF(J1442&lt;&gt;1,"",IF(I1442="SBJ","CB","?"))</f>
        <v/>
      </c>
      <c r="I1442" s="24" t="str">
        <f aca="false">IF(OR(E1442="",E1442="!!!",F1442="NEW"),"",INDEX(B5:B$1438,-1+SUMPRODUCT(MAX(ROW(E5:E$1438)*(E1442=E5:E$1438)))))</f>
        <v/>
      </c>
      <c r="J1442" s="24" t="str">
        <f aca="true">IF(OR(E1442="",E1442="!!!",F1442="NEW"),"",COUNTBLANK(OFFSET(A$1,,,SUMPRODUCT(MAX(ROW(E$2:E1442)*(E1442=E$2:E1442)))))-COUNTBLANK(OFFSET(A$1,,,SUMPRODUCT(MAX(ROW(E$1:E1441)*(E2=E$1:E1441))))))</f>
        <v/>
      </c>
      <c r="K1442" s="24" t="str">
        <f aca="false">IF(OR(E1442="",E1442="!!!",F1442="NEW"),"",INDEX(J$1:J1441,SUMPRODUCT(MAX(ROW(E$1:E1441)*(E1442=E$1:E1441)))))</f>
        <v/>
      </c>
      <c r="L1442" s="31"/>
    </row>
    <row r="1443" customFormat="false" ht="15" hidden="false" customHeight="false" outlineLevel="0" collapsed="false">
      <c r="A1443" s="20" t="s">
        <v>1109</v>
      </c>
      <c r="E1443" s="23" t="str">
        <f aca="false">IF(D1443="?OLD","!!!","")</f>
        <v/>
      </c>
      <c r="F1443" s="25" t="str">
        <f aca="false">IF(OR(E1443="",E1443="!!!"),"",IF(NOT(ISNA(VLOOKUP(E1443,E$1:E1442,1,FALSE()))),"OLD",IF(AND(E1443&lt;&gt;"",E1443&lt;&gt;"!!!"),"NEW","")))</f>
        <v/>
      </c>
      <c r="G1443" s="26" t="str">
        <f aca="false">IF(OR(E1443="",E1443="!!!"),"",IF(OR(J1443=0,AND(J1443=1,K1443=1),AND(J1443=1,I1443="SBJ"),AND(J1443=1,I1443=0)),"?IN_FOCUS",IF(J1443&lt;=2,"?ACTIVATED",IF(J1443&lt;&gt;"","?FAMILIAR",IF(F1443="NEW",IF(ISNA(VLOOKUP(E1443,#REF!,1,FALSE())),"?TYPE_IDENTIFIABLE","?REFERENTIAL"),"_")))))</f>
        <v/>
      </c>
      <c r="H1443" s="27" t="str">
        <f aca="false">IF(J1443&lt;&gt;1,"",IF(I1443="SBJ","CB","?"))</f>
        <v/>
      </c>
      <c r="I1443" s="24" t="str">
        <f aca="false">IF(OR(E1443="",E1443="!!!",F1443="NEW"),"",INDEX(B6:B$1438,-1+SUMPRODUCT(MAX(ROW(E6:E$1438)*(E1443=E6:E$1438)))))</f>
        <v/>
      </c>
      <c r="J1443" s="24" t="str">
        <f aca="true">IF(OR(E1443="",E1443="!!!",F1443="NEW"),"",COUNTBLANK(OFFSET(A$1,,,SUMPRODUCT(MAX(ROW(E$2:E1443)*(E1443=E$2:E1443)))))-COUNTBLANK(OFFSET(A$1,,,SUMPRODUCT(MAX(ROW(E$1:E1442)*(E2=E$1:E1442))))))</f>
        <v/>
      </c>
      <c r="K1443" s="24" t="str">
        <f aca="false">IF(OR(E1443="",E1443="!!!",F1443="NEW"),"",INDEX(J$1:J1442,SUMPRODUCT(MAX(ROW(E$1:E1442)*(E1443=E$1:E1442)))))</f>
        <v/>
      </c>
      <c r="L1443" s="31"/>
    </row>
    <row r="1444" customFormat="false" ht="15" hidden="false" customHeight="false" outlineLevel="0" collapsed="false">
      <c r="A1444" s="20" t="s">
        <v>1425</v>
      </c>
      <c r="B1444" s="22" t="s">
        <v>1081</v>
      </c>
      <c r="C1444" s="22" t="s">
        <v>1150</v>
      </c>
      <c r="D1444" s="22" t="s">
        <v>1060</v>
      </c>
      <c r="E1444" s="23" t="str">
        <f aca="false">IF(D1444="?OLD","!!!","")</f>
        <v>!!!</v>
      </c>
      <c r="F1444" s="25" t="str">
        <f aca="false">IF(OR(E1444="",E1444="!!!"),"",IF(NOT(ISNA(VLOOKUP(E1444,E$1:E1443,1,FALSE()))),"OLD",IF(AND(E1444&lt;&gt;"",E1444&lt;&gt;"!!!"),"NEW","")))</f>
        <v/>
      </c>
      <c r="G1444" s="26" t="str">
        <f aca="false">IF(OR(E1444="",E1444="!!!"),"",IF(OR(J1444=0,AND(J1444=1,K1444=1),AND(J1444=1,I1444="SBJ"),AND(J1444=1,I1444=0)),"?IN_FOCUS",IF(J1444&lt;=2,"?ACTIVATED",IF(J1444&lt;&gt;"","?FAMILIAR",IF(F1444="NEW",IF(ISNA(VLOOKUP(E1444,#REF!,1,FALSE())),"?TYPE_IDENTIFIABLE","?REFERENTIAL"),"_")))))</f>
        <v/>
      </c>
      <c r="H1444" s="27" t="str">
        <f aca="false">IF(J1444&lt;&gt;1,"",IF(I1444="SBJ","CB","?"))</f>
        <v/>
      </c>
      <c r="I1444" s="24" t="str">
        <f aca="false">IF(OR(E1444="",E1444="!!!",F1444="NEW"),"",INDEX(B7:B$1438,-1+SUMPRODUCT(MAX(ROW(E7:E$1438)*(E1444=E7:E$1438)))))</f>
        <v/>
      </c>
      <c r="J1444" s="24" t="str">
        <f aca="true">IF(OR(E1444="",E1444="!!!",F1444="NEW"),"",COUNTBLANK(OFFSET(A$1,,,SUMPRODUCT(MAX(ROW(E$2:E1444)*(E1444=E$2:E1444)))))-COUNTBLANK(OFFSET(A$1,,,SUMPRODUCT(MAX(ROW(E$1:E1443)*(E2=E$1:E1443))))))</f>
        <v/>
      </c>
      <c r="K1444" s="24" t="str">
        <f aca="false">IF(OR(E1444="",E1444="!!!",F1444="NEW"),"",INDEX(J$1:J1443,SUMPRODUCT(MAX(ROW(E$1:E1443)*(E1444=E$1:E1443)))))</f>
        <v/>
      </c>
      <c r="L1444" s="31"/>
    </row>
    <row r="1445" customFormat="false" ht="15" hidden="false" customHeight="false" outlineLevel="0" collapsed="false">
      <c r="A1445" s="20" t="s">
        <v>923</v>
      </c>
      <c r="E1445" s="23" t="str">
        <f aca="false">IF(D1445="?OLD","!!!","")</f>
        <v/>
      </c>
      <c r="F1445" s="25" t="str">
        <f aca="false">IF(OR(E1445="",E1445="!!!"),"",IF(NOT(ISNA(VLOOKUP(E1445,E$1:E1444,1,FALSE()))),"OLD",IF(AND(E1445&lt;&gt;"",E1445&lt;&gt;"!!!"),"NEW","")))</f>
        <v/>
      </c>
      <c r="G1445" s="26" t="str">
        <f aca="false">IF(OR(E1445="",E1445="!!!"),"",IF(OR(J1445=0,AND(J1445=1,K1445=1),AND(J1445=1,I1445="SBJ"),AND(J1445=1,I1445=0)),"?IN_FOCUS",IF(J1445&lt;=2,"?ACTIVATED",IF(J1445&lt;&gt;"","?FAMILIAR",IF(F1445="NEW",IF(ISNA(VLOOKUP(E1445,#REF!,1,FALSE())),"?TYPE_IDENTIFIABLE","?REFERENTIAL"),"_")))))</f>
        <v/>
      </c>
      <c r="H1445" s="27" t="str">
        <f aca="false">IF(J1445&lt;&gt;1,"",IF(I1445="SBJ","CB","?"))</f>
        <v/>
      </c>
      <c r="I1445" s="24" t="str">
        <f aca="false">IF(OR(E1445="",E1445="!!!",F1445="NEW"),"",INDEX(B8:B$1438,-1+SUMPRODUCT(MAX(ROW(E8:E$1438)*(E1445=E8:E$1438)))))</f>
        <v/>
      </c>
      <c r="J1445" s="24" t="str">
        <f aca="true">IF(OR(E1445="",E1445="!!!",F1445="NEW"),"",COUNTBLANK(OFFSET(A$1,,,SUMPRODUCT(MAX(ROW(E$2:E1445)*(E1445=E$2:E1445)))))-COUNTBLANK(OFFSET(A$1,,,SUMPRODUCT(MAX(ROW(E$1:E1444)*(E2=E$1:E1444))))))</f>
        <v/>
      </c>
      <c r="K1445" s="24" t="str">
        <f aca="false">IF(OR(E1445="",E1445="!!!",F1445="NEW"),"",INDEX(J$1:J1444,SUMPRODUCT(MAX(ROW(E$1:E1444)*(E1445=E$1:E1444)))))</f>
        <v/>
      </c>
      <c r="L1445" s="31"/>
    </row>
    <row r="1446" customFormat="false" ht="15" hidden="false" customHeight="false" outlineLevel="0" collapsed="false">
      <c r="A1446" s="20"/>
    </row>
    <row r="1447" customFormat="false" ht="15" hidden="false" customHeight="false" outlineLevel="0" collapsed="false">
      <c r="A1447" s="20" t="s">
        <v>1677</v>
      </c>
    </row>
    <row r="1448" customFormat="false" ht="15" hidden="false" customHeight="false" outlineLevel="0" collapsed="false">
      <c r="A1448" s="20" t="s">
        <v>1478</v>
      </c>
      <c r="E1448" s="23" t="str">
        <f aca="false">IF(D1448="?OLD","!!!","")</f>
        <v/>
      </c>
      <c r="F1448" s="25" t="str">
        <f aca="false">IF(OR(E1448="",E1448="!!!"),"",IF(NOT(ISNA(VLOOKUP(E1448,E$1:E1447,1,FALSE()))),"OLD",IF(AND(E1448&lt;&gt;"",E1448&lt;&gt;"!!!"),"NEW","")))</f>
        <v/>
      </c>
      <c r="G1448" s="26" t="str">
        <f aca="false">IF(OR(E1448="",E1448="!!!"),"",IF(OR(J1448=0,AND(J1448=1,K1448=1),AND(J1448=1,I1448="SBJ"),AND(J1448=1,I1448=0)),"?IN_FOCUS",IF(J1448&lt;=2,"?ACTIVATED",IF(J1448&lt;&gt;"","?FAMILIAR",IF(F1448="NEW",IF(ISNA(VLOOKUP(E1448,#REF!,1,FALSE())),"?TYPE_IDENTIFIABLE","?REFERENTIAL"),"_")))))</f>
        <v/>
      </c>
      <c r="H1448" s="27" t="str">
        <f aca="false">IF(J1448&lt;&gt;1,"",IF(I1448="SBJ","CB","?"))</f>
        <v/>
      </c>
      <c r="I1448" s="24" t="str">
        <f aca="false">IF(OR(E1448="",E1448="!!!",F1448="NEW"),"",INDEX(B2:B$1447,-1+SUMPRODUCT(MAX(ROW(E2:E$1447)*(E1448=E2:E$1447)))))</f>
        <v/>
      </c>
      <c r="J1448" s="24" t="str">
        <f aca="true">IF(OR(E1448="",E1448="!!!",F1448="NEW"),"",COUNTBLANK(OFFSET(A$1,,,SUMPRODUCT(MAX(ROW(E$2:E1448)*(E1448=E$2:E1448)))))-COUNTBLANK(OFFSET(A$1,,,SUMPRODUCT(MAX(ROW(E$1:E1447)*(E2=E$1:E1447))))))</f>
        <v/>
      </c>
      <c r="K1448" s="24" t="str">
        <f aca="false">IF(OR(E1448="",E1448="!!!",F1448="NEW"),"",INDEX(J$1:J1447,SUMPRODUCT(MAX(ROW(E$1:E1447)*(E1448=E$1:E1447)))))</f>
        <v/>
      </c>
      <c r="L1448" s="31"/>
    </row>
    <row r="1449" customFormat="false" ht="15" hidden="false" customHeight="false" outlineLevel="0" collapsed="false">
      <c r="A1449" s="20" t="s">
        <v>1199</v>
      </c>
      <c r="E1449" s="23" t="str">
        <f aca="false">IF(D1449="?OLD","!!!","")</f>
        <v/>
      </c>
      <c r="F1449" s="25" t="str">
        <f aca="false">IF(OR(E1449="",E1449="!!!"),"",IF(NOT(ISNA(VLOOKUP(E1449,E$1:E1448,1,FALSE()))),"OLD",IF(AND(E1449&lt;&gt;"",E1449&lt;&gt;"!!!"),"NEW","")))</f>
        <v/>
      </c>
      <c r="G1449" s="26" t="str">
        <f aca="false">IF(OR(E1449="",E1449="!!!"),"",IF(OR(J1449=0,AND(J1449=1,K1449=1),AND(J1449=1,I1449="SBJ"),AND(J1449=1,I1449=0)),"?IN_FOCUS",IF(J1449&lt;=2,"?ACTIVATED",IF(J1449&lt;&gt;"","?FAMILIAR",IF(F1449="NEW",IF(ISNA(VLOOKUP(E1449,#REF!,1,FALSE())),"?TYPE_IDENTIFIABLE","?REFERENTIAL"),"_")))))</f>
        <v/>
      </c>
      <c r="H1449" s="27" t="str">
        <f aca="false">IF(J1449&lt;&gt;1,"",IF(I1449="SBJ","CB","?"))</f>
        <v/>
      </c>
      <c r="I1449" s="24" t="str">
        <f aca="false">IF(OR(E1449="",E1449="!!!",F1449="NEW"),"",INDEX(B3:B$1447,-1+SUMPRODUCT(MAX(ROW(E3:E$1447)*(E1449=E3:E$1447)))))</f>
        <v/>
      </c>
      <c r="J1449" s="24" t="str">
        <f aca="true">IF(OR(E1449="",E1449="!!!",F1449="NEW"),"",COUNTBLANK(OFFSET(A$1,,,SUMPRODUCT(MAX(ROW(E$2:E1449)*(E1449=E$2:E1449)))))-COUNTBLANK(OFFSET(A$1,,,SUMPRODUCT(MAX(ROW(E$1:E1448)*(E2=E$1:E1448))))))</f>
        <v/>
      </c>
      <c r="K1449" s="24" t="str">
        <f aca="false">IF(OR(E1449="",E1449="!!!",F1449="NEW"),"",INDEX(J$1:J1448,SUMPRODUCT(MAX(ROW(E$1:E1448)*(E1449=E$1:E1448)))))</f>
        <v/>
      </c>
      <c r="L1449" s="31"/>
    </row>
    <row r="1450" customFormat="false" ht="15" hidden="false" customHeight="false" outlineLevel="0" collapsed="false">
      <c r="A1450" s="20" t="s">
        <v>1678</v>
      </c>
      <c r="E1450" s="23" t="str">
        <f aca="false">IF(D1450="?OLD","!!!","")</f>
        <v/>
      </c>
      <c r="F1450" s="25" t="str">
        <f aca="false">IF(OR(E1450="",E1450="!!!"),"",IF(NOT(ISNA(VLOOKUP(E1450,E$1:E1449,1,FALSE()))),"OLD",IF(AND(E1450&lt;&gt;"",E1450&lt;&gt;"!!!"),"NEW","")))</f>
        <v/>
      </c>
      <c r="G1450" s="26" t="str">
        <f aca="false">IF(OR(E1450="",E1450="!!!"),"",IF(OR(J1450=0,AND(J1450=1,K1450=1),AND(J1450=1,I1450="SBJ"),AND(J1450=1,I1450=0)),"?IN_FOCUS",IF(J1450&lt;=2,"?ACTIVATED",IF(J1450&lt;&gt;"","?FAMILIAR",IF(F1450="NEW",IF(ISNA(VLOOKUP(E1450,#REF!,1,FALSE())),"?TYPE_IDENTIFIABLE","?REFERENTIAL"),"_")))))</f>
        <v/>
      </c>
      <c r="H1450" s="27" t="str">
        <f aca="false">IF(J1450&lt;&gt;1,"",IF(I1450="SBJ","CB","?"))</f>
        <v/>
      </c>
      <c r="I1450" s="24" t="str">
        <f aca="false">IF(OR(E1450="",E1450="!!!",F1450="NEW"),"",INDEX(B4:B$1447,-1+SUMPRODUCT(MAX(ROW(E4:E$1447)*(E1450=E4:E$1447)))))</f>
        <v/>
      </c>
      <c r="J1450" s="24" t="str">
        <f aca="true">IF(OR(E1450="",E1450="!!!",F1450="NEW"),"",COUNTBLANK(OFFSET(A$1,,,SUMPRODUCT(MAX(ROW(E$2:E1450)*(E1450=E$2:E1450)))))-COUNTBLANK(OFFSET(A$1,,,SUMPRODUCT(MAX(ROW(E$1:E1449)*(E2=E$1:E1449))))))</f>
        <v/>
      </c>
      <c r="K1450" s="24" t="str">
        <f aca="false">IF(OR(E1450="",E1450="!!!",F1450="NEW"),"",INDEX(J$1:J1449,SUMPRODUCT(MAX(ROW(E$1:E1449)*(E1450=E$1:E1449)))))</f>
        <v/>
      </c>
      <c r="L1450" s="31"/>
    </row>
    <row r="1451" customFormat="false" ht="15" hidden="false" customHeight="false" outlineLevel="0" collapsed="false">
      <c r="A1451" s="20" t="s">
        <v>1109</v>
      </c>
      <c r="E1451" s="23" t="str">
        <f aca="false">IF(D1451="?OLD","!!!","")</f>
        <v/>
      </c>
      <c r="F1451" s="25" t="str">
        <f aca="false">IF(OR(E1451="",E1451="!!!"),"",IF(NOT(ISNA(VLOOKUP(E1451,E$1:E1450,1,FALSE()))),"OLD",IF(AND(E1451&lt;&gt;"",E1451&lt;&gt;"!!!"),"NEW","")))</f>
        <v/>
      </c>
      <c r="G1451" s="26" t="str">
        <f aca="false">IF(OR(E1451="",E1451="!!!"),"",IF(OR(J1451=0,AND(J1451=1,K1451=1),AND(J1451=1,I1451="SBJ"),AND(J1451=1,I1451=0)),"?IN_FOCUS",IF(J1451&lt;=2,"?ACTIVATED",IF(J1451&lt;&gt;"","?FAMILIAR",IF(F1451="NEW",IF(ISNA(VLOOKUP(E1451,#REF!,1,FALSE())),"?TYPE_IDENTIFIABLE","?REFERENTIAL"),"_")))))</f>
        <v/>
      </c>
      <c r="H1451" s="27" t="str">
        <f aca="false">IF(J1451&lt;&gt;1,"",IF(I1451="SBJ","CB","?"))</f>
        <v/>
      </c>
      <c r="I1451" s="24" t="str">
        <f aca="false">IF(OR(E1451="",E1451="!!!",F1451="NEW"),"",INDEX(B5:B$1447,-1+SUMPRODUCT(MAX(ROW(E5:E$1447)*(E1451=E5:E$1447)))))</f>
        <v/>
      </c>
      <c r="J1451" s="24" t="str">
        <f aca="true">IF(OR(E1451="",E1451="!!!",F1451="NEW"),"",COUNTBLANK(OFFSET(A$1,,,SUMPRODUCT(MAX(ROW(E$2:E1451)*(E1451=E$2:E1451)))))-COUNTBLANK(OFFSET(A$1,,,SUMPRODUCT(MAX(ROW(E$1:E1450)*(E2=E$1:E1450))))))</f>
        <v/>
      </c>
      <c r="K1451" s="24" t="str">
        <f aca="false">IF(OR(E1451="",E1451="!!!",F1451="NEW"),"",INDEX(J$1:J1450,SUMPRODUCT(MAX(ROW(E$1:E1450)*(E1451=E$1:E1450)))))</f>
        <v/>
      </c>
      <c r="L1451" s="31"/>
    </row>
    <row r="1452" customFormat="false" ht="15" hidden="false" customHeight="false" outlineLevel="0" collapsed="false">
      <c r="A1452" s="20" t="s">
        <v>1679</v>
      </c>
      <c r="B1452" s="22" t="s">
        <v>1081</v>
      </c>
      <c r="C1452" s="22" t="s">
        <v>1150</v>
      </c>
      <c r="D1452" s="22" t="s">
        <v>1060</v>
      </c>
      <c r="E1452" s="23" t="str">
        <f aca="false">IF(D1452="?OLD","!!!","")</f>
        <v>!!!</v>
      </c>
      <c r="F1452" s="25" t="str">
        <f aca="false">IF(OR(E1452="",E1452="!!!"),"",IF(NOT(ISNA(VLOOKUP(E1452,E$1:E1451,1,FALSE()))),"OLD",IF(AND(E1452&lt;&gt;"",E1452&lt;&gt;"!!!"),"NEW","")))</f>
        <v/>
      </c>
      <c r="G1452" s="26" t="str">
        <f aca="false">IF(OR(E1452="",E1452="!!!"),"",IF(OR(J1452=0,AND(J1452=1,K1452=1),AND(J1452=1,I1452="SBJ"),AND(J1452=1,I1452=0)),"?IN_FOCUS",IF(J1452&lt;=2,"?ACTIVATED",IF(J1452&lt;&gt;"","?FAMILIAR",IF(F1452="NEW",IF(ISNA(VLOOKUP(E1452,#REF!,1,FALSE())),"?TYPE_IDENTIFIABLE","?REFERENTIAL"),"_")))))</f>
        <v/>
      </c>
      <c r="H1452" s="27" t="str">
        <f aca="false">IF(J1452&lt;&gt;1,"",IF(I1452="SBJ","CB","?"))</f>
        <v/>
      </c>
      <c r="I1452" s="24" t="str">
        <f aca="false">IF(OR(E1452="",E1452="!!!",F1452="NEW"),"",INDEX(B6:B$1447,-1+SUMPRODUCT(MAX(ROW(E6:E$1447)*(E1452=E6:E$1447)))))</f>
        <v/>
      </c>
      <c r="J1452" s="24" t="str">
        <f aca="true">IF(OR(E1452="",E1452="!!!",F1452="NEW"),"",COUNTBLANK(OFFSET(A$1,,,SUMPRODUCT(MAX(ROW(E$2:E1452)*(E1452=E$2:E1452)))))-COUNTBLANK(OFFSET(A$1,,,SUMPRODUCT(MAX(ROW(E$1:E1451)*(E2=E$1:E1451))))))</f>
        <v/>
      </c>
      <c r="K1452" s="24" t="str">
        <f aca="false">IF(OR(E1452="",E1452="!!!",F1452="NEW"),"",INDEX(J$1:J1451,SUMPRODUCT(MAX(ROW(E$1:E1451)*(E1452=E$1:E1451)))))</f>
        <v/>
      </c>
      <c r="L1452" s="31"/>
    </row>
    <row r="1453" customFormat="false" ht="15" hidden="false" customHeight="false" outlineLevel="0" collapsed="false">
      <c r="A1453" s="20" t="s">
        <v>1173</v>
      </c>
      <c r="E1453" s="23" t="str">
        <f aca="false">IF(D1453="?OLD","!!!","")</f>
        <v/>
      </c>
      <c r="F1453" s="25" t="str">
        <f aca="false">IF(OR(E1453="",E1453="!!!"),"",IF(NOT(ISNA(VLOOKUP(E1453,E$1:E1452,1,FALSE()))),"OLD",IF(AND(E1453&lt;&gt;"",E1453&lt;&gt;"!!!"),"NEW","")))</f>
        <v/>
      </c>
      <c r="G1453" s="26" t="str">
        <f aca="false">IF(OR(E1453="",E1453="!!!"),"",IF(OR(J1453=0,AND(J1453=1,K1453=1),AND(J1453=1,I1453="SBJ"),AND(J1453=1,I1453=0)),"?IN_FOCUS",IF(J1453&lt;=2,"?ACTIVATED",IF(J1453&lt;&gt;"","?FAMILIAR",IF(F1453="NEW",IF(ISNA(VLOOKUP(E1453,#REF!,1,FALSE())),"?TYPE_IDENTIFIABLE","?REFERENTIAL"),"_")))))</f>
        <v/>
      </c>
      <c r="H1453" s="27" t="str">
        <f aca="false">IF(J1453&lt;&gt;1,"",IF(I1453="SBJ","CB","?"))</f>
        <v/>
      </c>
      <c r="I1453" s="24" t="str">
        <f aca="false">IF(OR(E1453="",E1453="!!!",F1453="NEW"),"",INDEX(B7:B$1447,-1+SUMPRODUCT(MAX(ROW(E7:E$1447)*(E1453=E7:E$1447)))))</f>
        <v/>
      </c>
      <c r="J1453" s="24" t="str">
        <f aca="true">IF(OR(E1453="",E1453="!!!",F1453="NEW"),"",COUNTBLANK(OFFSET(A$1,,,SUMPRODUCT(MAX(ROW(E$2:E1453)*(E1453=E$2:E1453)))))-COUNTBLANK(OFFSET(A$1,,,SUMPRODUCT(MAX(ROW(E$1:E1452)*(E2=E$1:E1452))))))</f>
        <v/>
      </c>
      <c r="K1453" s="24" t="str">
        <f aca="false">IF(OR(E1453="",E1453="!!!",F1453="NEW"),"",INDEX(J$1:J1452,SUMPRODUCT(MAX(ROW(E$1:E1452)*(E1453=E$1:E1452)))))</f>
        <v/>
      </c>
      <c r="L1453" s="31"/>
    </row>
    <row r="1454" customFormat="false" ht="15" hidden="false" customHeight="false" outlineLevel="0" collapsed="false">
      <c r="A1454" s="20" t="s">
        <v>1109</v>
      </c>
      <c r="E1454" s="23" t="str">
        <f aca="false">IF(D1454="?OLD","!!!","")</f>
        <v/>
      </c>
      <c r="F1454" s="25" t="str">
        <f aca="false">IF(OR(E1454="",E1454="!!!"),"",IF(NOT(ISNA(VLOOKUP(E1454,E$1:E1453,1,FALSE()))),"OLD",IF(AND(E1454&lt;&gt;"",E1454&lt;&gt;"!!!"),"NEW","")))</f>
        <v/>
      </c>
      <c r="G1454" s="26" t="str">
        <f aca="false">IF(OR(E1454="",E1454="!!!"),"",IF(OR(J1454=0,AND(J1454=1,K1454=1),AND(J1454=1,I1454="SBJ"),AND(J1454=1,I1454=0)),"?IN_FOCUS",IF(J1454&lt;=2,"?ACTIVATED",IF(J1454&lt;&gt;"","?FAMILIAR",IF(F1454="NEW",IF(ISNA(VLOOKUP(E1454,#REF!,1,FALSE())),"?TYPE_IDENTIFIABLE","?REFERENTIAL"),"_")))))</f>
        <v/>
      </c>
      <c r="H1454" s="27" t="str">
        <f aca="false">IF(J1454&lt;&gt;1,"",IF(I1454="SBJ","CB","?"))</f>
        <v/>
      </c>
      <c r="I1454" s="24" t="str">
        <f aca="false">IF(OR(E1454="",E1454="!!!",F1454="NEW"),"",INDEX(B8:B$1447,-1+SUMPRODUCT(MAX(ROW(E8:E$1447)*(E1454=E8:E$1447)))))</f>
        <v/>
      </c>
      <c r="J1454" s="24" t="str">
        <f aca="true">IF(OR(E1454="",E1454="!!!",F1454="NEW"),"",COUNTBLANK(OFFSET(A$1,,,SUMPRODUCT(MAX(ROW(E$2:E1454)*(E1454=E$2:E1454)))))-COUNTBLANK(OFFSET(A$1,,,SUMPRODUCT(MAX(ROW(E$1:E1453)*(E2=E$1:E1453))))))</f>
        <v/>
      </c>
      <c r="K1454" s="24" t="str">
        <f aca="false">IF(OR(E1454="",E1454="!!!",F1454="NEW"),"",INDEX(J$1:J1453,SUMPRODUCT(MAX(ROW(E$1:E1453)*(E1454=E$1:E1453)))))</f>
        <v/>
      </c>
      <c r="L1454" s="31"/>
    </row>
    <row r="1455" customFormat="false" ht="15" hidden="false" customHeight="false" outlineLevel="0" collapsed="false">
      <c r="A1455" s="20" t="s">
        <v>1435</v>
      </c>
      <c r="E1455" s="23" t="str">
        <f aca="false">IF(D1455="?OLD","!!!","")</f>
        <v/>
      </c>
      <c r="F1455" s="25" t="str">
        <f aca="false">IF(OR(E1455="",E1455="!!!"),"",IF(NOT(ISNA(VLOOKUP(E1455,E$1:E1454,1,FALSE()))),"OLD",IF(AND(E1455&lt;&gt;"",E1455&lt;&gt;"!!!"),"NEW","")))</f>
        <v/>
      </c>
      <c r="G1455" s="26" t="str">
        <f aca="false">IF(OR(E1455="",E1455="!!!"),"",IF(OR(J1455=0,AND(J1455=1,K1455=1),AND(J1455=1,I1455="SBJ"),AND(J1455=1,I1455=0)),"?IN_FOCUS",IF(J1455&lt;=2,"?ACTIVATED",IF(J1455&lt;&gt;"","?FAMILIAR",IF(F1455="NEW",IF(ISNA(VLOOKUP(E1455,#REF!,1,FALSE())),"?TYPE_IDENTIFIABLE","?REFERENTIAL"),"_")))))</f>
        <v/>
      </c>
      <c r="H1455" s="27" t="str">
        <f aca="false">IF(J1455&lt;&gt;1,"",IF(I1455="SBJ","CB","?"))</f>
        <v/>
      </c>
      <c r="I1455" s="24" t="str">
        <f aca="false">IF(OR(E1455="",E1455="!!!",F1455="NEW"),"",INDEX(B9:B$1447,-1+SUMPRODUCT(MAX(ROW(E9:E$1447)*(E1455=E9:E$1447)))))</f>
        <v/>
      </c>
      <c r="J1455" s="24" t="str">
        <f aca="true">IF(OR(E1455="",E1455="!!!",F1455="NEW"),"",COUNTBLANK(OFFSET(A$1,,,SUMPRODUCT(MAX(ROW(E$2:E1455)*(E1455=E$2:E1455)))))-COUNTBLANK(OFFSET(A$1,,,SUMPRODUCT(MAX(ROW(E$1:E1454)*(E2=E$1:E1454))))))</f>
        <v/>
      </c>
      <c r="K1455" s="24" t="str">
        <f aca="false">IF(OR(E1455="",E1455="!!!",F1455="NEW"),"",INDEX(J$1:J1454,SUMPRODUCT(MAX(ROW(E$1:E1454)*(E1455=E$1:E1454)))))</f>
        <v/>
      </c>
      <c r="L1455" s="31"/>
    </row>
    <row r="1456" customFormat="false" ht="15" hidden="false" customHeight="false" outlineLevel="0" collapsed="false">
      <c r="A1456" s="20" t="s">
        <v>16</v>
      </c>
      <c r="E1456" s="23" t="str">
        <f aca="false">IF(D1456="?OLD","!!!","")</f>
        <v/>
      </c>
      <c r="F1456" s="25" t="str">
        <f aca="false">IF(OR(E1456="",E1456="!!!"),"",IF(NOT(ISNA(VLOOKUP(E1456,E$1:E1455,1,FALSE()))),"OLD",IF(AND(E1456&lt;&gt;"",E1456&lt;&gt;"!!!"),"NEW","")))</f>
        <v/>
      </c>
      <c r="G1456" s="26" t="str">
        <f aca="false">IF(OR(E1456="",E1456="!!!"),"",IF(OR(J1456=0,AND(J1456=1,K1456=1),AND(J1456=1,I1456="SBJ"),AND(J1456=1,I1456=0)),"?IN_FOCUS",IF(J1456&lt;=2,"?ACTIVATED",IF(J1456&lt;&gt;"","?FAMILIAR",IF(F1456="NEW",IF(ISNA(VLOOKUP(E1456,#REF!,1,FALSE())),"?TYPE_IDENTIFIABLE","?REFERENTIAL"),"_")))))</f>
        <v/>
      </c>
      <c r="H1456" s="27" t="str">
        <f aca="false">IF(J1456&lt;&gt;1,"",IF(I1456="SBJ","CB","?"))</f>
        <v/>
      </c>
      <c r="I1456" s="24" t="str">
        <f aca="false">IF(OR(E1456="",E1456="!!!",F1456="NEW"),"",INDEX(B10:B$1447,-1+SUMPRODUCT(MAX(ROW(E10:E$1447)*(E1456=E10:E$1447)))))</f>
        <v/>
      </c>
      <c r="J1456" s="24" t="str">
        <f aca="true">IF(OR(E1456="",E1456="!!!",F1456="NEW"),"",COUNTBLANK(OFFSET(A$1,,,SUMPRODUCT(MAX(ROW(E$2:E1456)*(E1456=E$2:E1456)))))-COUNTBLANK(OFFSET(A$1,,,SUMPRODUCT(MAX(ROW(E$1:E1455)*(E2=E$1:E1455))))))</f>
        <v/>
      </c>
      <c r="K1456" s="24" t="str">
        <f aca="false">IF(OR(E1456="",E1456="!!!",F1456="NEW"),"",INDEX(J$1:J1455,SUMPRODUCT(MAX(ROW(E$1:E1455)*(E1456=E$1:E1455)))))</f>
        <v/>
      </c>
      <c r="L1456" s="31"/>
    </row>
    <row r="1457" customFormat="false" ht="15" hidden="false" customHeight="false" outlineLevel="0" collapsed="false">
      <c r="A1457" s="20" t="s">
        <v>1436</v>
      </c>
      <c r="B1457" s="22" t="s">
        <v>1105</v>
      </c>
      <c r="C1457" s="22" t="s">
        <v>1150</v>
      </c>
      <c r="D1457" s="22" t="s">
        <v>1060</v>
      </c>
      <c r="E1457" s="23" t="str">
        <f aca="false">IF(D1457="?OLD","!!!","")</f>
        <v>!!!</v>
      </c>
      <c r="F1457" s="25" t="str">
        <f aca="false">IF(OR(E1457="",E1457="!!!"),"",IF(NOT(ISNA(VLOOKUP(E1457,E$1:E1456,1,FALSE()))),"OLD",IF(AND(E1457&lt;&gt;"",E1457&lt;&gt;"!!!"),"NEW","")))</f>
        <v/>
      </c>
      <c r="G1457" s="26" t="str">
        <f aca="false">IF(OR(E1457="",E1457="!!!"),"",IF(OR(J1457=0,AND(J1457=1,K1457=1),AND(J1457=1,I1457="SBJ"),AND(J1457=1,I1457=0)),"?IN_FOCUS",IF(J1457&lt;=2,"?ACTIVATED",IF(J1457&lt;&gt;"","?FAMILIAR",IF(F1457="NEW",IF(ISNA(VLOOKUP(E1457,#REF!,1,FALSE())),"?TYPE_IDENTIFIABLE","?REFERENTIAL"),"_")))))</f>
        <v/>
      </c>
      <c r="H1457" s="27" t="str">
        <f aca="false">IF(J1457&lt;&gt;1,"",IF(I1457="SBJ","CB","?"))</f>
        <v/>
      </c>
      <c r="I1457" s="24" t="str">
        <f aca="false">IF(OR(E1457="",E1457="!!!",F1457="NEW"),"",INDEX(B11:B$1447,-1+SUMPRODUCT(MAX(ROW(E11:E$1447)*(E1457=E11:E$1447)))))</f>
        <v/>
      </c>
      <c r="J1457" s="24" t="str">
        <f aca="true">IF(OR(E1457="",E1457="!!!",F1457="NEW"),"",COUNTBLANK(OFFSET(A$1,,,SUMPRODUCT(MAX(ROW(E$2:E1457)*(E1457=E$2:E1457)))))-COUNTBLANK(OFFSET(A$1,,,SUMPRODUCT(MAX(ROW(E$1:E1456)*(E2=E$1:E1456))))))</f>
        <v/>
      </c>
      <c r="K1457" s="24" t="str">
        <f aca="false">IF(OR(E1457="",E1457="!!!",F1457="NEW"),"",INDEX(J$1:J1456,SUMPRODUCT(MAX(ROW(E$1:E1456)*(E1457=E$1:E1456)))))</f>
        <v/>
      </c>
      <c r="L1457" s="31"/>
    </row>
    <row r="1458" customFormat="false" ht="15" hidden="false" customHeight="false" outlineLevel="0" collapsed="false">
      <c r="A1458" s="20" t="s">
        <v>1569</v>
      </c>
      <c r="E1458" s="23" t="str">
        <f aca="false">IF(D1458="?OLD","!!!","")</f>
        <v/>
      </c>
      <c r="F1458" s="25" t="str">
        <f aca="false">IF(OR(E1458="",E1458="!!!"),"",IF(NOT(ISNA(VLOOKUP(E1458,E$1:E1457,1,FALSE()))),"OLD",IF(AND(E1458&lt;&gt;"",E1458&lt;&gt;"!!!"),"NEW","")))</f>
        <v/>
      </c>
      <c r="G1458" s="26" t="str">
        <f aca="false">IF(OR(E1458="",E1458="!!!"),"",IF(OR(J1458=0,AND(J1458=1,K1458=1),AND(J1458=1,I1458="SBJ"),AND(J1458=1,I1458=0)),"?IN_FOCUS",IF(J1458&lt;=2,"?ACTIVATED",IF(J1458&lt;&gt;"","?FAMILIAR",IF(F1458="NEW",IF(ISNA(VLOOKUP(E1458,#REF!,1,FALSE())),"?TYPE_IDENTIFIABLE","?REFERENTIAL"),"_")))))</f>
        <v/>
      </c>
      <c r="H1458" s="27" t="str">
        <f aca="false">IF(J1458&lt;&gt;1,"",IF(I1458="SBJ","CB","?"))</f>
        <v/>
      </c>
      <c r="I1458" s="24" t="str">
        <f aca="false">IF(OR(E1458="",E1458="!!!",F1458="NEW"),"",INDEX(B12:B$1447,-1+SUMPRODUCT(MAX(ROW(E12:E$1447)*(E1458=E12:E$1447)))))</f>
        <v/>
      </c>
      <c r="J1458" s="24" t="str">
        <f aca="true">IF(OR(E1458="",E1458="!!!",F1458="NEW"),"",COUNTBLANK(OFFSET(A$1,,,SUMPRODUCT(MAX(ROW(E$2:E1458)*(E1458=E$2:E1458)))))-COUNTBLANK(OFFSET(A$1,,,SUMPRODUCT(MAX(ROW(E$1:E1457)*(E2=E$1:E1457))))))</f>
        <v/>
      </c>
      <c r="K1458" s="24" t="str">
        <f aca="false">IF(OR(E1458="",E1458="!!!",F1458="NEW"),"",INDEX(J$1:J1457,SUMPRODUCT(MAX(ROW(E$1:E1457)*(E1458=E$1:E1457)))))</f>
        <v/>
      </c>
      <c r="L1458" s="31"/>
    </row>
    <row r="1459" customFormat="false" ht="15" hidden="false" customHeight="false" outlineLevel="0" collapsed="false">
      <c r="A1459" s="20" t="s">
        <v>1109</v>
      </c>
      <c r="E1459" s="23" t="str">
        <f aca="false">IF(D1459="?OLD","!!!","")</f>
        <v/>
      </c>
      <c r="F1459" s="25" t="str">
        <f aca="false">IF(OR(E1459="",E1459="!!!"),"",IF(NOT(ISNA(VLOOKUP(E1459,E$1:E1458,1,FALSE()))),"OLD",IF(AND(E1459&lt;&gt;"",E1459&lt;&gt;"!!!"),"NEW","")))</f>
        <v/>
      </c>
      <c r="G1459" s="26" t="str">
        <f aca="false">IF(OR(E1459="",E1459="!!!"),"",IF(OR(J1459=0,AND(J1459=1,K1459=1),AND(J1459=1,I1459="SBJ"),AND(J1459=1,I1459=0)),"?IN_FOCUS",IF(J1459&lt;=2,"?ACTIVATED",IF(J1459&lt;&gt;"","?FAMILIAR",IF(F1459="NEW",IF(ISNA(VLOOKUP(E1459,#REF!,1,FALSE())),"?TYPE_IDENTIFIABLE","?REFERENTIAL"),"_")))))</f>
        <v/>
      </c>
      <c r="H1459" s="27" t="str">
        <f aca="false">IF(J1459&lt;&gt;1,"",IF(I1459="SBJ","CB","?"))</f>
        <v/>
      </c>
      <c r="I1459" s="24" t="str">
        <f aca="false">IF(OR(E1459="",E1459="!!!",F1459="NEW"),"",INDEX(B13:B$1447,-1+SUMPRODUCT(MAX(ROW(E13:E$1447)*(E1459=E13:E$1447)))))</f>
        <v/>
      </c>
      <c r="J1459" s="24" t="str">
        <f aca="true">IF(OR(E1459="",E1459="!!!",F1459="NEW"),"",COUNTBLANK(OFFSET(A$1,,,SUMPRODUCT(MAX(ROW(E$2:E1459)*(E1459=E$2:E1459)))))-COUNTBLANK(OFFSET(A$1,,,SUMPRODUCT(MAX(ROW(E$1:E1458)*(E2=E$1:E1458))))))</f>
        <v/>
      </c>
      <c r="K1459" s="24" t="str">
        <f aca="false">IF(OR(E1459="",E1459="!!!",F1459="NEW"),"",INDEX(J$1:J1458,SUMPRODUCT(MAX(ROW(E$1:E1458)*(E1459=E$1:E1458)))))</f>
        <v/>
      </c>
      <c r="L1459" s="31"/>
    </row>
    <row r="1460" customFormat="false" ht="15" hidden="false" customHeight="false" outlineLevel="0" collapsed="false">
      <c r="A1460" s="20" t="s">
        <v>1386</v>
      </c>
      <c r="E1460" s="23" t="str">
        <f aca="false">IF(D1460="?OLD","!!!","")</f>
        <v/>
      </c>
      <c r="F1460" s="25" t="str">
        <f aca="false">IF(OR(E1460="",E1460="!!!"),"",IF(NOT(ISNA(VLOOKUP(E1460,E$1:E1459,1,FALSE()))),"OLD",IF(AND(E1460&lt;&gt;"",E1460&lt;&gt;"!!!"),"NEW","")))</f>
        <v/>
      </c>
      <c r="G1460" s="26" t="str">
        <f aca="false">IF(OR(E1460="",E1460="!!!"),"",IF(OR(J1460=0,AND(J1460=1,K1460=1),AND(J1460=1,I1460="SBJ"),AND(J1460=1,I1460=0)),"?IN_FOCUS",IF(J1460&lt;=2,"?ACTIVATED",IF(J1460&lt;&gt;"","?FAMILIAR",IF(F1460="NEW",IF(ISNA(VLOOKUP(E1460,#REF!,1,FALSE())),"?TYPE_IDENTIFIABLE","?REFERENTIAL"),"_")))))</f>
        <v/>
      </c>
      <c r="H1460" s="27" t="str">
        <f aca="false">IF(J1460&lt;&gt;1,"",IF(I1460="SBJ","CB","?"))</f>
        <v/>
      </c>
      <c r="I1460" s="24" t="str">
        <f aca="false">IF(OR(E1460="",E1460="!!!",F1460="NEW"),"",INDEX(B14:B$1447,-1+SUMPRODUCT(MAX(ROW(E14:E$1447)*(E1460=E14:E$1447)))))</f>
        <v/>
      </c>
      <c r="J1460" s="24" t="str">
        <f aca="true">IF(OR(E1460="",E1460="!!!",F1460="NEW"),"",COUNTBLANK(OFFSET(A$1,,,SUMPRODUCT(MAX(ROW(E$2:E1460)*(E1460=E$2:E1460)))))-COUNTBLANK(OFFSET(A$1,,,SUMPRODUCT(MAX(ROW(E$1:E1459)*(E2=E$1:E1459))))))</f>
        <v/>
      </c>
      <c r="K1460" s="24" t="str">
        <f aca="false">IF(OR(E1460="",E1460="!!!",F1460="NEW"),"",INDEX(J$1:J1459,SUMPRODUCT(MAX(ROW(E$1:E1459)*(E1460=E$1:E1459)))))</f>
        <v/>
      </c>
      <c r="L1460" s="31"/>
    </row>
    <row r="1461" customFormat="false" ht="15" hidden="false" customHeight="false" outlineLevel="0" collapsed="false">
      <c r="A1461" s="20" t="s">
        <v>1479</v>
      </c>
      <c r="B1461" s="22" t="s">
        <v>1091</v>
      </c>
      <c r="C1461" s="22" t="s">
        <v>1428</v>
      </c>
      <c r="D1461" s="22" t="s">
        <v>1060</v>
      </c>
      <c r="E1461" s="23" t="str">
        <f aca="false">IF(D1461="?OLD","!!!","")</f>
        <v>!!!</v>
      </c>
      <c r="F1461" s="25" t="str">
        <f aca="false">IF(OR(E1461="",E1461="!!!"),"",IF(NOT(ISNA(VLOOKUP(E1461,E$1:E1460,1,FALSE()))),"OLD",IF(AND(E1461&lt;&gt;"",E1461&lt;&gt;"!!!"),"NEW","")))</f>
        <v/>
      </c>
      <c r="G1461" s="26" t="str">
        <f aca="false">IF(OR(E1461="",E1461="!!!"),"",IF(OR(J1461=0,AND(J1461=1,K1461=1),AND(J1461=1,I1461="SBJ"),AND(J1461=1,I1461=0)),"?IN_FOCUS",IF(J1461&lt;=2,"?ACTIVATED",IF(J1461&lt;&gt;"","?FAMILIAR",IF(F1461="NEW",IF(ISNA(VLOOKUP(E1461,#REF!,1,FALSE())),"?TYPE_IDENTIFIABLE","?REFERENTIAL"),"_")))))</f>
        <v/>
      </c>
      <c r="H1461" s="27" t="str">
        <f aca="false">IF(J1461&lt;&gt;1,"",IF(I1461="SBJ","CB","?"))</f>
        <v/>
      </c>
      <c r="I1461" s="24" t="str">
        <f aca="false">IF(OR(E1461="",E1461="!!!",F1461="NEW"),"",INDEX(B15:B$1447,-1+SUMPRODUCT(MAX(ROW(E15:E$1447)*(E1461=E15:E$1447)))))</f>
        <v/>
      </c>
      <c r="J1461" s="24" t="str">
        <f aca="true">IF(OR(E1461="",E1461="!!!",F1461="NEW"),"",COUNTBLANK(OFFSET(A$1,,,SUMPRODUCT(MAX(ROW(E$2:E1461)*(E1461=E$2:E1461)))))-COUNTBLANK(OFFSET(A$1,,,SUMPRODUCT(MAX(ROW(E$1:E1460)*(E2=E$1:E1460))))))</f>
        <v/>
      </c>
      <c r="K1461" s="24" t="str">
        <f aca="false">IF(OR(E1461="",E1461="!!!",F1461="NEW"),"",INDEX(J$1:J1460,SUMPRODUCT(MAX(ROW(E$1:E1460)*(E1461=E$1:E1460)))))</f>
        <v/>
      </c>
      <c r="L1461" s="31"/>
    </row>
    <row r="1462" customFormat="false" ht="15" hidden="false" customHeight="false" outlineLevel="0" collapsed="false">
      <c r="A1462" s="20" t="s">
        <v>1076</v>
      </c>
      <c r="E1462" s="23" t="str">
        <f aca="false">IF(D1462="?OLD","!!!","")</f>
        <v/>
      </c>
      <c r="F1462" s="25" t="str">
        <f aca="false">IF(OR(E1462="",E1462="!!!"),"",IF(NOT(ISNA(VLOOKUP(E1462,E$1:E1461,1,FALSE()))),"OLD",IF(AND(E1462&lt;&gt;"",E1462&lt;&gt;"!!!"),"NEW","")))</f>
        <v/>
      </c>
      <c r="G1462" s="26" t="str">
        <f aca="false">IF(OR(E1462="",E1462="!!!"),"",IF(OR(J1462=0,AND(J1462=1,K1462=1),AND(J1462=1,I1462="SBJ"),AND(J1462=1,I1462=0)),"?IN_FOCUS",IF(J1462&lt;=2,"?ACTIVATED",IF(J1462&lt;&gt;"","?FAMILIAR",IF(F1462="NEW",IF(ISNA(VLOOKUP(E1462,#REF!,1,FALSE())),"?TYPE_IDENTIFIABLE","?REFERENTIAL"),"_")))))</f>
        <v/>
      </c>
      <c r="H1462" s="27" t="str">
        <f aca="false">IF(J1462&lt;&gt;1,"",IF(I1462="SBJ","CB","?"))</f>
        <v/>
      </c>
      <c r="I1462" s="24" t="str">
        <f aca="false">IF(OR(E1462="",E1462="!!!",F1462="NEW"),"",INDEX(B16:B$1447,-1+SUMPRODUCT(MAX(ROW(E16:E$1447)*(E1462=E16:E$1447)))))</f>
        <v/>
      </c>
      <c r="J1462" s="24" t="str">
        <f aca="true">IF(OR(E1462="",E1462="!!!",F1462="NEW"),"",COUNTBLANK(OFFSET(A$1,,,SUMPRODUCT(MAX(ROW(E$2:E1462)*(E1462=E$2:E1462)))))-COUNTBLANK(OFFSET(A$1,,,SUMPRODUCT(MAX(ROW(E$1:E1461)*(E2=E$1:E1461))))))</f>
        <v/>
      </c>
      <c r="K1462" s="24" t="str">
        <f aca="false">IF(OR(E1462="",E1462="!!!",F1462="NEW"),"",INDEX(J$1:J1461,SUMPRODUCT(MAX(ROW(E$1:E1461)*(E1462=E$1:E1461)))))</f>
        <v/>
      </c>
      <c r="L1462" s="31"/>
    </row>
    <row r="1463" customFormat="false" ht="15" hidden="false" customHeight="false" outlineLevel="0" collapsed="false">
      <c r="A1463" s="20" t="s">
        <v>1109</v>
      </c>
      <c r="E1463" s="23" t="str">
        <f aca="false">IF(D1463="?OLD","!!!","")</f>
        <v/>
      </c>
      <c r="F1463" s="25" t="str">
        <f aca="false">IF(OR(E1463="",E1463="!!!"),"",IF(NOT(ISNA(VLOOKUP(E1463,E$1:E1462,1,FALSE()))),"OLD",IF(AND(E1463&lt;&gt;"",E1463&lt;&gt;"!!!"),"NEW","")))</f>
        <v/>
      </c>
      <c r="G1463" s="26" t="str">
        <f aca="false">IF(OR(E1463="",E1463="!!!"),"",IF(OR(J1463=0,AND(J1463=1,K1463=1),AND(J1463=1,I1463="SBJ"),AND(J1463=1,I1463=0)),"?IN_FOCUS",IF(J1463&lt;=2,"?ACTIVATED",IF(J1463&lt;&gt;"","?FAMILIAR",IF(F1463="NEW",IF(ISNA(VLOOKUP(E1463,#REF!,1,FALSE())),"?TYPE_IDENTIFIABLE","?REFERENTIAL"),"_")))))</f>
        <v/>
      </c>
      <c r="H1463" s="27" t="str">
        <f aca="false">IF(J1463&lt;&gt;1,"",IF(I1463="SBJ","CB","?"))</f>
        <v/>
      </c>
      <c r="I1463" s="24" t="str">
        <f aca="false">IF(OR(E1463="",E1463="!!!",F1463="NEW"),"",INDEX(B17:B$1447,-1+SUMPRODUCT(MAX(ROW(E17:E$1447)*(E1463=E17:E$1447)))))</f>
        <v/>
      </c>
      <c r="J1463" s="24" t="str">
        <f aca="true">IF(OR(E1463="",E1463="!!!",F1463="NEW"),"",COUNTBLANK(OFFSET(A$1,,,SUMPRODUCT(MAX(ROW(E$2:E1463)*(E1463=E$2:E1463)))))-COUNTBLANK(OFFSET(A$1,,,SUMPRODUCT(MAX(ROW(E$1:E1462)*(E2=E$1:E1462))))))</f>
        <v/>
      </c>
      <c r="K1463" s="24" t="str">
        <f aca="false">IF(OR(E1463="",E1463="!!!",F1463="NEW"),"",INDEX(J$1:J1462,SUMPRODUCT(MAX(ROW(E$1:E1462)*(E1463=E$1:E1462)))))</f>
        <v/>
      </c>
      <c r="L1463" s="31"/>
    </row>
    <row r="1464" customFormat="false" ht="15" hidden="false" customHeight="false" outlineLevel="0" collapsed="false">
      <c r="A1464" s="20" t="s">
        <v>1680</v>
      </c>
      <c r="E1464" s="23" t="str">
        <f aca="false">IF(D1464="?OLD","!!!","")</f>
        <v/>
      </c>
      <c r="F1464" s="25" t="str">
        <f aca="false">IF(OR(E1464="",E1464="!!!"),"",IF(NOT(ISNA(VLOOKUP(E1464,E$1:E1463,1,FALSE()))),"OLD",IF(AND(E1464&lt;&gt;"",E1464&lt;&gt;"!!!"),"NEW","")))</f>
        <v/>
      </c>
      <c r="G1464" s="26" t="str">
        <f aca="false">IF(OR(E1464="",E1464="!!!"),"",IF(OR(J1464=0,AND(J1464=1,K1464=1),AND(J1464=1,I1464="SBJ"),AND(J1464=1,I1464=0)),"?IN_FOCUS",IF(J1464&lt;=2,"?ACTIVATED",IF(J1464&lt;&gt;"","?FAMILIAR",IF(F1464="NEW",IF(ISNA(VLOOKUP(E1464,#REF!,1,FALSE())),"?TYPE_IDENTIFIABLE","?REFERENTIAL"),"_")))))</f>
        <v/>
      </c>
      <c r="H1464" s="27" t="str">
        <f aca="false">IF(J1464&lt;&gt;1,"",IF(I1464="SBJ","CB","?"))</f>
        <v/>
      </c>
      <c r="I1464" s="24" t="str">
        <f aca="false">IF(OR(E1464="",E1464="!!!",F1464="NEW"),"",INDEX(B18:B$1447,-1+SUMPRODUCT(MAX(ROW(E18:E$1447)*(E1464=E18:E$1447)))))</f>
        <v/>
      </c>
      <c r="J1464" s="24" t="str">
        <f aca="true">IF(OR(E1464="",E1464="!!!",F1464="NEW"),"",COUNTBLANK(OFFSET(A$1,,,SUMPRODUCT(MAX(ROW(E$2:E1464)*(E1464=E$2:E1464)))))-COUNTBLANK(OFFSET(A$1,,,SUMPRODUCT(MAX(ROW(E$1:E1463)*(E2=E$1:E1463))))))</f>
        <v/>
      </c>
      <c r="K1464" s="24" t="str">
        <f aca="false">IF(OR(E1464="",E1464="!!!",F1464="NEW"),"",INDEX(J$1:J1463,SUMPRODUCT(MAX(ROW(E$1:E1463)*(E1464=E$1:E1463)))))</f>
        <v/>
      </c>
      <c r="L1464" s="31"/>
    </row>
    <row r="1465" customFormat="false" ht="15" hidden="false" customHeight="false" outlineLevel="0" collapsed="false">
      <c r="A1465" s="20" t="s">
        <v>1681</v>
      </c>
      <c r="B1465" s="22" t="s">
        <v>1107</v>
      </c>
      <c r="C1465" s="22" t="s">
        <v>1150</v>
      </c>
      <c r="D1465" s="22" t="s">
        <v>1060</v>
      </c>
      <c r="E1465" s="23" t="str">
        <f aca="false">IF(D1465="?OLD","!!!","")</f>
        <v>!!!</v>
      </c>
      <c r="F1465" s="25" t="str">
        <f aca="false">IF(OR(E1465="",E1465="!!!"),"",IF(NOT(ISNA(VLOOKUP(E1465,E$1:E1464,1,FALSE()))),"OLD",IF(AND(E1465&lt;&gt;"",E1465&lt;&gt;"!!!"),"NEW","")))</f>
        <v/>
      </c>
      <c r="G1465" s="26" t="str">
        <f aca="false">IF(OR(E1465="",E1465="!!!"),"",IF(OR(J1465=0,AND(J1465=1,K1465=1),AND(J1465=1,I1465="SBJ"),AND(J1465=1,I1465=0)),"?IN_FOCUS",IF(J1465&lt;=2,"?ACTIVATED",IF(J1465&lt;&gt;"","?FAMILIAR",IF(F1465="NEW",IF(ISNA(VLOOKUP(E1465,#REF!,1,FALSE())),"?TYPE_IDENTIFIABLE","?REFERENTIAL"),"_")))))</f>
        <v/>
      </c>
      <c r="H1465" s="27" t="str">
        <f aca="false">IF(J1465&lt;&gt;1,"",IF(I1465="SBJ","CB","?"))</f>
        <v/>
      </c>
      <c r="I1465" s="24" t="str">
        <f aca="false">IF(OR(E1465="",E1465="!!!",F1465="NEW"),"",INDEX(B19:B$1447,-1+SUMPRODUCT(MAX(ROW(E19:E$1447)*(E1465=E19:E$1447)))))</f>
        <v/>
      </c>
      <c r="J1465" s="24" t="str">
        <f aca="true">IF(OR(E1465="",E1465="!!!",F1465="NEW"),"",COUNTBLANK(OFFSET(A$1,,,SUMPRODUCT(MAX(ROW(E$2:E1465)*(E1465=E$2:E1465)))))-COUNTBLANK(OFFSET(A$1,,,SUMPRODUCT(MAX(ROW(E$1:E1464)*(E2=E$1:E1464))))))</f>
        <v/>
      </c>
      <c r="K1465" s="24" t="str">
        <f aca="false">IF(OR(E1465="",E1465="!!!",F1465="NEW"),"",INDEX(J$1:J1464,SUMPRODUCT(MAX(ROW(E$1:E1464)*(E1465=E$1:E1464)))))</f>
        <v/>
      </c>
      <c r="L1465" s="31"/>
    </row>
    <row r="1466" customFormat="false" ht="15" hidden="false" customHeight="false" outlineLevel="0" collapsed="false">
      <c r="A1466" s="20" t="s">
        <v>1128</v>
      </c>
      <c r="E1466" s="23" t="str">
        <f aca="false">IF(D1466="?OLD","!!!","")</f>
        <v/>
      </c>
      <c r="F1466" s="25" t="str">
        <f aca="false">IF(OR(E1466="",E1466="!!!"),"",IF(NOT(ISNA(VLOOKUP(E1466,E$1:E1465,1,FALSE()))),"OLD",IF(AND(E1466&lt;&gt;"",E1466&lt;&gt;"!!!"),"NEW","")))</f>
        <v/>
      </c>
      <c r="G1466" s="26" t="str">
        <f aca="false">IF(OR(E1466="",E1466="!!!"),"",IF(OR(J1466=0,AND(J1466=1,K1466=1),AND(J1466=1,I1466="SBJ"),AND(J1466=1,I1466=0)),"?IN_FOCUS",IF(J1466&lt;=2,"?ACTIVATED",IF(J1466&lt;&gt;"","?FAMILIAR",IF(F1466="NEW",IF(ISNA(VLOOKUP(E1466,#REF!,1,FALSE())),"?TYPE_IDENTIFIABLE","?REFERENTIAL"),"_")))))</f>
        <v/>
      </c>
      <c r="H1466" s="27" t="str">
        <f aca="false">IF(J1466&lt;&gt;1,"",IF(I1466="SBJ","CB","?"))</f>
        <v/>
      </c>
      <c r="I1466" s="24" t="str">
        <f aca="false">IF(OR(E1466="",E1466="!!!",F1466="NEW"),"",INDEX(B20:B$1447,-1+SUMPRODUCT(MAX(ROW(E20:E$1447)*(E1466=E20:E$1447)))))</f>
        <v/>
      </c>
      <c r="J1466" s="24" t="str">
        <f aca="true">IF(OR(E1466="",E1466="!!!",F1466="NEW"),"",COUNTBLANK(OFFSET(A$1,,,SUMPRODUCT(MAX(ROW(E$2:E1466)*(E1466=E$2:E1466)))))-COUNTBLANK(OFFSET(A$1,,,SUMPRODUCT(MAX(ROW(E$1:E1465)*(E2=E$1:E1465))))))</f>
        <v/>
      </c>
      <c r="K1466" s="24" t="str">
        <f aca="false">IF(OR(E1466="",E1466="!!!",F1466="NEW"),"",INDEX(J$1:J1465,SUMPRODUCT(MAX(ROW(E$1:E1465)*(E1466=E$1:E1465)))))</f>
        <v/>
      </c>
      <c r="L1466" s="31"/>
    </row>
    <row r="1467" customFormat="false" ht="15" hidden="false" customHeight="false" outlineLevel="0" collapsed="false">
      <c r="A1467" s="20" t="s">
        <v>1109</v>
      </c>
      <c r="E1467" s="23" t="str">
        <f aca="false">IF(D1467="?OLD","!!!","")</f>
        <v/>
      </c>
      <c r="F1467" s="25" t="str">
        <f aca="false">IF(OR(E1467="",E1467="!!!"),"",IF(NOT(ISNA(VLOOKUP(E1467,E$1:E1466,1,FALSE()))),"OLD",IF(AND(E1467&lt;&gt;"",E1467&lt;&gt;"!!!"),"NEW","")))</f>
        <v/>
      </c>
      <c r="G1467" s="26" t="str">
        <f aca="false">IF(OR(E1467="",E1467="!!!"),"",IF(OR(J1467=0,AND(J1467=1,K1467=1),AND(J1467=1,I1467="SBJ"),AND(J1467=1,I1467=0)),"?IN_FOCUS",IF(J1467&lt;=2,"?ACTIVATED",IF(J1467&lt;&gt;"","?FAMILIAR",IF(F1467="NEW",IF(ISNA(VLOOKUP(E1467,#REF!,1,FALSE())),"?TYPE_IDENTIFIABLE","?REFERENTIAL"),"_")))))</f>
        <v/>
      </c>
      <c r="H1467" s="27" t="str">
        <f aca="false">IF(J1467&lt;&gt;1,"",IF(I1467="SBJ","CB","?"))</f>
        <v/>
      </c>
      <c r="I1467" s="24" t="str">
        <f aca="false">IF(OR(E1467="",E1467="!!!",F1467="NEW"),"",INDEX(B21:B$1447,-1+SUMPRODUCT(MAX(ROW(E21:E$1447)*(E1467=E21:E$1447)))))</f>
        <v/>
      </c>
      <c r="J1467" s="24" t="str">
        <f aca="true">IF(OR(E1467="",E1467="!!!",F1467="NEW"),"",COUNTBLANK(OFFSET(A$1,,,SUMPRODUCT(MAX(ROW(E$2:E1467)*(E1467=E$2:E1467)))))-COUNTBLANK(OFFSET(A$1,,,SUMPRODUCT(MAX(ROW(E$1:E1466)*(E2=E$1:E1466))))))</f>
        <v/>
      </c>
      <c r="K1467" s="24" t="str">
        <f aca="false">IF(OR(E1467="",E1467="!!!",F1467="NEW"),"",INDEX(J$1:J1466,SUMPRODUCT(MAX(ROW(E$1:E1466)*(E1467=E$1:E1466)))))</f>
        <v/>
      </c>
      <c r="L1467" s="31"/>
    </row>
    <row r="1468" customFormat="false" ht="15" hidden="false" customHeight="false" outlineLevel="0" collapsed="false">
      <c r="A1468" s="20" t="s">
        <v>1682</v>
      </c>
      <c r="E1468" s="23" t="str">
        <f aca="false">IF(D1468="?OLD","!!!","")</f>
        <v/>
      </c>
      <c r="F1468" s="25" t="str">
        <f aca="false">IF(OR(E1468="",E1468="!!!"),"",IF(NOT(ISNA(VLOOKUP(E1468,E$1:E1467,1,FALSE()))),"OLD",IF(AND(E1468&lt;&gt;"",E1468&lt;&gt;"!!!"),"NEW","")))</f>
        <v/>
      </c>
      <c r="G1468" s="26" t="str">
        <f aca="false">IF(OR(E1468="",E1468="!!!"),"",IF(OR(J1468=0,AND(J1468=1,K1468=1),AND(J1468=1,I1468="SBJ"),AND(J1468=1,I1468=0)),"?IN_FOCUS",IF(J1468&lt;=2,"?ACTIVATED",IF(J1468&lt;&gt;"","?FAMILIAR",IF(F1468="NEW",IF(ISNA(VLOOKUP(E1468,#REF!,1,FALSE())),"?TYPE_IDENTIFIABLE","?REFERENTIAL"),"_")))))</f>
        <v/>
      </c>
      <c r="H1468" s="27" t="str">
        <f aca="false">IF(J1468&lt;&gt;1,"",IF(I1468="SBJ","CB","?"))</f>
        <v/>
      </c>
      <c r="I1468" s="24" t="str">
        <f aca="false">IF(OR(E1468="",E1468="!!!",F1468="NEW"),"",INDEX(B22:B$1447,-1+SUMPRODUCT(MAX(ROW(E22:E$1447)*(E1468=E22:E$1447)))))</f>
        <v/>
      </c>
      <c r="J1468" s="24" t="str">
        <f aca="true">IF(OR(E1468="",E1468="!!!",F1468="NEW"),"",COUNTBLANK(OFFSET(A$1,,,SUMPRODUCT(MAX(ROW(E$2:E1468)*(E1468=E$2:E1468)))))-COUNTBLANK(OFFSET(A$1,,,SUMPRODUCT(MAX(ROW(E$1:E1467)*(E2=E$1:E1467))))))</f>
        <v/>
      </c>
      <c r="K1468" s="24" t="str">
        <f aca="false">IF(OR(E1468="",E1468="!!!",F1468="NEW"),"",INDEX(J$1:J1467,SUMPRODUCT(MAX(ROW(E$1:E1467)*(E1468=E$1:E1467)))))</f>
        <v/>
      </c>
      <c r="L1468" s="31"/>
    </row>
    <row r="1469" customFormat="false" ht="15" hidden="false" customHeight="false" outlineLevel="0" collapsed="false">
      <c r="A1469" s="20" t="s">
        <v>1567</v>
      </c>
      <c r="B1469" s="22" t="s">
        <v>1098</v>
      </c>
      <c r="C1469" s="22" t="s">
        <v>1150</v>
      </c>
      <c r="D1469" s="22" t="s">
        <v>1060</v>
      </c>
      <c r="E1469" s="23" t="str">
        <f aca="false">IF(D1469="?OLD","!!!","")</f>
        <v>!!!</v>
      </c>
      <c r="F1469" s="25" t="str">
        <f aca="false">IF(OR(E1469="",E1469="!!!"),"",IF(NOT(ISNA(VLOOKUP(E1469,E$1:E1468,1,FALSE()))),"OLD",IF(AND(E1469&lt;&gt;"",E1469&lt;&gt;"!!!"),"NEW","")))</f>
        <v/>
      </c>
      <c r="G1469" s="26" t="str">
        <f aca="false">IF(OR(E1469="",E1469="!!!"),"",IF(OR(J1469=0,AND(J1469=1,K1469=1),AND(J1469=1,I1469="SBJ"),AND(J1469=1,I1469=0)),"?IN_FOCUS",IF(J1469&lt;=2,"?ACTIVATED",IF(J1469&lt;&gt;"","?FAMILIAR",IF(F1469="NEW",IF(ISNA(VLOOKUP(E1469,#REF!,1,FALSE())),"?TYPE_IDENTIFIABLE","?REFERENTIAL"),"_")))))</f>
        <v/>
      </c>
      <c r="H1469" s="27" t="str">
        <f aca="false">IF(J1469&lt;&gt;1,"",IF(I1469="SBJ","CB","?"))</f>
        <v/>
      </c>
      <c r="I1469" s="24" t="str">
        <f aca="false">IF(OR(E1469="",E1469="!!!",F1469="NEW"),"",INDEX(B23:B$1447,-1+SUMPRODUCT(MAX(ROW(E23:E$1447)*(E1469=E23:E$1447)))))</f>
        <v/>
      </c>
      <c r="J1469" s="24" t="str">
        <f aca="true">IF(OR(E1469="",E1469="!!!",F1469="NEW"),"",COUNTBLANK(OFFSET(A$1,,,SUMPRODUCT(MAX(ROW(E$2:E1469)*(E1469=E$2:E1469)))))-COUNTBLANK(OFFSET(A$1,,,SUMPRODUCT(MAX(ROW(E$1:E1468)*(E2=E$1:E1468))))))</f>
        <v/>
      </c>
      <c r="K1469" s="24" t="str">
        <f aca="false">IF(OR(E1469="",E1469="!!!",F1469="NEW"),"",INDEX(J$1:J1468,SUMPRODUCT(MAX(ROW(E$1:E1468)*(E1469=E$1:E1468)))))</f>
        <v/>
      </c>
      <c r="L1469" s="31"/>
    </row>
    <row r="1470" customFormat="false" ht="15" hidden="false" customHeight="false" outlineLevel="0" collapsed="false">
      <c r="A1470" s="20" t="s">
        <v>1076</v>
      </c>
      <c r="E1470" s="23" t="str">
        <f aca="false">IF(D1470="?OLD","!!!","")</f>
        <v/>
      </c>
      <c r="F1470" s="25" t="str">
        <f aca="false">IF(OR(E1470="",E1470="!!!"),"",IF(NOT(ISNA(VLOOKUP(E1470,E$1:E1469,1,FALSE()))),"OLD",IF(AND(E1470&lt;&gt;"",E1470&lt;&gt;"!!!"),"NEW","")))</f>
        <v/>
      </c>
      <c r="G1470" s="26" t="str">
        <f aca="false">IF(OR(E1470="",E1470="!!!"),"",IF(OR(J1470=0,AND(J1470=1,K1470=1),AND(J1470=1,I1470="SBJ"),AND(J1470=1,I1470=0)),"?IN_FOCUS",IF(J1470&lt;=2,"?ACTIVATED",IF(J1470&lt;&gt;"","?FAMILIAR",IF(F1470="NEW",IF(ISNA(VLOOKUP(E1470,#REF!,1,FALSE())),"?TYPE_IDENTIFIABLE","?REFERENTIAL"),"_")))))</f>
        <v/>
      </c>
      <c r="H1470" s="27" t="str">
        <f aca="false">IF(J1470&lt;&gt;1,"",IF(I1470="SBJ","CB","?"))</f>
        <v/>
      </c>
      <c r="I1470" s="24" t="str">
        <f aca="false">IF(OR(E1470="",E1470="!!!",F1470="NEW"),"",INDEX(B24:B$1447,-1+SUMPRODUCT(MAX(ROW(E24:E$1447)*(E1470=E24:E$1447)))))</f>
        <v/>
      </c>
      <c r="J1470" s="24" t="str">
        <f aca="true">IF(OR(E1470="",E1470="!!!",F1470="NEW"),"",COUNTBLANK(OFFSET(A$1,,,SUMPRODUCT(MAX(ROW(E$2:E1470)*(E1470=E$2:E1470)))))-COUNTBLANK(OFFSET(A$1,,,SUMPRODUCT(MAX(ROW(E$1:E1469)*(E2=E$1:E1469))))))</f>
        <v/>
      </c>
      <c r="K1470" s="24" t="str">
        <f aca="false">IF(OR(E1470="",E1470="!!!",F1470="NEW"),"",INDEX(J$1:J1469,SUMPRODUCT(MAX(ROW(E$1:E1469)*(E1470=E$1:E1469)))))</f>
        <v/>
      </c>
      <c r="L1470" s="31"/>
    </row>
    <row r="1471" customFormat="false" ht="15" hidden="false" customHeight="false" outlineLevel="0" collapsed="false">
      <c r="A1471" s="20" t="s">
        <v>1683</v>
      </c>
      <c r="E1471" s="23" t="str">
        <f aca="false">IF(D1471="?OLD","!!!","")</f>
        <v/>
      </c>
      <c r="F1471" s="25" t="str">
        <f aca="false">IF(OR(E1471="",E1471="!!!"),"",IF(NOT(ISNA(VLOOKUP(E1471,E$1:E1470,1,FALSE()))),"OLD",IF(AND(E1471&lt;&gt;"",E1471&lt;&gt;"!!!"),"NEW","")))</f>
        <v/>
      </c>
      <c r="G1471" s="26" t="str">
        <f aca="false">IF(OR(E1471="",E1471="!!!"),"",IF(OR(J1471=0,AND(J1471=1,K1471=1),AND(J1471=1,I1471="SBJ"),AND(J1471=1,I1471=0)),"?IN_FOCUS",IF(J1471&lt;=2,"?ACTIVATED",IF(J1471&lt;&gt;"","?FAMILIAR",IF(F1471="NEW",IF(ISNA(VLOOKUP(E1471,#REF!,1,FALSE())),"?TYPE_IDENTIFIABLE","?REFERENTIAL"),"_")))))</f>
        <v/>
      </c>
      <c r="H1471" s="27" t="str">
        <f aca="false">IF(J1471&lt;&gt;1,"",IF(I1471="SBJ","CB","?"))</f>
        <v/>
      </c>
      <c r="I1471" s="24" t="str">
        <f aca="false">IF(OR(E1471="",E1471="!!!",F1471="NEW"),"",INDEX(B25:B$1447,-1+SUMPRODUCT(MAX(ROW(E25:E$1447)*(E1471=E25:E$1447)))))</f>
        <v/>
      </c>
      <c r="J1471" s="24" t="str">
        <f aca="true">IF(OR(E1471="",E1471="!!!",F1471="NEW"),"",COUNTBLANK(OFFSET(A$1,,,SUMPRODUCT(MAX(ROW(E$2:E1471)*(E1471=E$2:E1471)))))-COUNTBLANK(OFFSET(A$1,,,SUMPRODUCT(MAX(ROW(E$1:E1470)*(E2=E$1:E1470))))))</f>
        <v/>
      </c>
      <c r="K1471" s="24" t="str">
        <f aca="false">IF(OR(E1471="",E1471="!!!",F1471="NEW"),"",INDEX(J$1:J1470,SUMPRODUCT(MAX(ROW(E$1:E1470)*(E1471=E$1:E1470)))))</f>
        <v/>
      </c>
      <c r="L1471" s="31"/>
    </row>
    <row r="1472" customFormat="false" ht="15" hidden="false" customHeight="false" outlineLevel="0" collapsed="false">
      <c r="A1472" s="20" t="s">
        <v>1684</v>
      </c>
      <c r="E1472" s="23" t="str">
        <f aca="false">IF(D1472="?OLD","!!!","")</f>
        <v/>
      </c>
      <c r="F1472" s="25" t="str">
        <f aca="false">IF(OR(E1472="",E1472="!!!"),"",IF(NOT(ISNA(VLOOKUP(E1472,E$1:E1471,1,FALSE()))),"OLD",IF(AND(E1472&lt;&gt;"",E1472&lt;&gt;"!!!"),"NEW","")))</f>
        <v/>
      </c>
      <c r="G1472" s="26" t="str">
        <f aca="false">IF(OR(E1472="",E1472="!!!"),"",IF(OR(J1472=0,AND(J1472=1,K1472=1),AND(J1472=1,I1472="SBJ"),AND(J1472=1,I1472=0)),"?IN_FOCUS",IF(J1472&lt;=2,"?ACTIVATED",IF(J1472&lt;&gt;"","?FAMILIAR",IF(F1472="NEW",IF(ISNA(VLOOKUP(E1472,#REF!,1,FALSE())),"?TYPE_IDENTIFIABLE","?REFERENTIAL"),"_")))))</f>
        <v/>
      </c>
      <c r="H1472" s="27" t="str">
        <f aca="false">IF(J1472&lt;&gt;1,"",IF(I1472="SBJ","CB","?"))</f>
        <v/>
      </c>
      <c r="I1472" s="24" t="str">
        <f aca="false">IF(OR(E1472="",E1472="!!!",F1472="NEW"),"",INDEX(B26:B$1447,-1+SUMPRODUCT(MAX(ROW(E26:E$1447)*(E1472=E26:E$1447)))))</f>
        <v/>
      </c>
      <c r="J1472" s="24" t="str">
        <f aca="true">IF(OR(E1472="",E1472="!!!",F1472="NEW"),"",COUNTBLANK(OFFSET(A$1,,,SUMPRODUCT(MAX(ROW(E$2:E1472)*(E1472=E$2:E1472)))))-COUNTBLANK(OFFSET(A$1,,,SUMPRODUCT(MAX(ROW(E$1:E1471)*(E2=E$1:E1471))))))</f>
        <v/>
      </c>
      <c r="K1472" s="24" t="str">
        <f aca="false">IF(OR(E1472="",E1472="!!!",F1472="NEW"),"",INDEX(J$1:J1471,SUMPRODUCT(MAX(ROW(E$1:E1471)*(E1472=E$1:E1471)))))</f>
        <v/>
      </c>
      <c r="L1472" s="31"/>
    </row>
    <row r="1473" customFormat="false" ht="15" hidden="false" customHeight="false" outlineLevel="0" collapsed="false">
      <c r="A1473" s="20" t="s">
        <v>1360</v>
      </c>
      <c r="E1473" s="23" t="str">
        <f aca="false">IF(D1473="?OLD","!!!","")</f>
        <v/>
      </c>
      <c r="F1473" s="25" t="str">
        <f aca="false">IF(OR(E1473="",E1473="!!!"),"",IF(NOT(ISNA(VLOOKUP(E1473,E$1:E1472,1,FALSE()))),"OLD",IF(AND(E1473&lt;&gt;"",E1473&lt;&gt;"!!!"),"NEW","")))</f>
        <v/>
      </c>
      <c r="G1473" s="26" t="str">
        <f aca="false">IF(OR(E1473="",E1473="!!!"),"",IF(OR(J1473=0,AND(J1473=1,K1473=1),AND(J1473=1,I1473="SBJ"),AND(J1473=1,I1473=0)),"?IN_FOCUS",IF(J1473&lt;=2,"?ACTIVATED",IF(J1473&lt;&gt;"","?FAMILIAR",IF(F1473="NEW",IF(ISNA(VLOOKUP(E1473,#REF!,1,FALSE())),"?TYPE_IDENTIFIABLE","?REFERENTIAL"),"_")))))</f>
        <v/>
      </c>
      <c r="H1473" s="27" t="str">
        <f aca="false">IF(J1473&lt;&gt;1,"",IF(I1473="SBJ","CB","?"))</f>
        <v/>
      </c>
      <c r="I1473" s="24" t="str">
        <f aca="false">IF(OR(E1473="",E1473="!!!",F1473="NEW"),"",INDEX(B27:B$1447,-1+SUMPRODUCT(MAX(ROW(E27:E$1447)*(E1473=E27:E$1447)))))</f>
        <v/>
      </c>
      <c r="J1473" s="24" t="str">
        <f aca="true">IF(OR(E1473="",E1473="!!!",F1473="NEW"),"",COUNTBLANK(OFFSET(A$1,,,SUMPRODUCT(MAX(ROW(E$2:E1473)*(E1473=E$2:E1473)))))-COUNTBLANK(OFFSET(A$1,,,SUMPRODUCT(MAX(ROW(E$1:E1472)*(E2=E$1:E1472))))))</f>
        <v/>
      </c>
      <c r="K1473" s="24" t="str">
        <f aca="false">IF(OR(E1473="",E1473="!!!",F1473="NEW"),"",INDEX(J$1:J1472,SUMPRODUCT(MAX(ROW(E$1:E1472)*(E1473=E$1:E1472)))))</f>
        <v/>
      </c>
      <c r="L1473" s="31"/>
    </row>
    <row r="1474" customFormat="false" ht="15" hidden="false" customHeight="false" outlineLevel="0" collapsed="false">
      <c r="A1474" s="20" t="s">
        <v>1111</v>
      </c>
      <c r="B1474" s="22" t="s">
        <v>1107</v>
      </c>
      <c r="C1474" s="22" t="s">
        <v>1099</v>
      </c>
      <c r="D1474" s="22" t="s">
        <v>1060</v>
      </c>
      <c r="E1474" s="23" t="str">
        <f aca="false">IF(D1474="?OLD","!!!","")</f>
        <v>!!!</v>
      </c>
      <c r="F1474" s="25" t="str">
        <f aca="false">IF(OR(E1474="",E1474="!!!"),"",IF(NOT(ISNA(VLOOKUP(E1474,E$1:E1473,1,FALSE()))),"OLD",IF(AND(E1474&lt;&gt;"",E1474&lt;&gt;"!!!"),"NEW","")))</f>
        <v/>
      </c>
      <c r="G1474" s="26" t="str">
        <f aca="false">IF(OR(E1474="",E1474="!!!"),"",IF(OR(J1474=0,AND(J1474=1,K1474=1),AND(J1474=1,I1474="SBJ"),AND(J1474=1,I1474=0)),"?IN_FOCUS",IF(J1474&lt;=2,"?ACTIVATED",IF(J1474&lt;&gt;"","?FAMILIAR",IF(F1474="NEW",IF(ISNA(VLOOKUP(E1474,#REF!,1,FALSE())),"?TYPE_IDENTIFIABLE","?REFERENTIAL"),"_")))))</f>
        <v/>
      </c>
      <c r="H1474" s="27" t="str">
        <f aca="false">IF(J1474&lt;&gt;1,"",IF(I1474="SBJ","CB","?"))</f>
        <v/>
      </c>
      <c r="I1474" s="24" t="str">
        <f aca="false">IF(OR(E1474="",E1474="!!!",F1474="NEW"),"",INDEX(B28:B$1447,-1+SUMPRODUCT(MAX(ROW(E28:E$1447)*(E1474=E28:E$1447)))))</f>
        <v/>
      </c>
      <c r="J1474" s="24" t="str">
        <f aca="true">IF(OR(E1474="",E1474="!!!",F1474="NEW"),"",COUNTBLANK(OFFSET(A$1,,,SUMPRODUCT(MAX(ROW(E$2:E1474)*(E1474=E$2:E1474)))))-COUNTBLANK(OFFSET(A$1,,,SUMPRODUCT(MAX(ROW(E$1:E1473)*(E2=E$1:E1473))))))</f>
        <v/>
      </c>
      <c r="K1474" s="24" t="str">
        <f aca="false">IF(OR(E1474="",E1474="!!!",F1474="NEW"),"",INDEX(J$1:J1473,SUMPRODUCT(MAX(ROW(E$1:E1473)*(E1474=E$1:E1473)))))</f>
        <v/>
      </c>
      <c r="L1474" s="31"/>
    </row>
    <row r="1475" customFormat="false" ht="15" hidden="false" customHeight="false" outlineLevel="0" collapsed="false">
      <c r="A1475" s="20" t="s">
        <v>1496</v>
      </c>
      <c r="B1475" s="22" t="s">
        <v>1067</v>
      </c>
      <c r="C1475" s="22" t="s">
        <v>1059</v>
      </c>
      <c r="D1475" s="22" t="s">
        <v>1060</v>
      </c>
      <c r="E1475" s="23" t="str">
        <f aca="false">IF(D1475="?OLD","!!!","")</f>
        <v>!!!</v>
      </c>
      <c r="F1475" s="25" t="str">
        <f aca="false">IF(OR(E1475="",E1475="!!!"),"",IF(NOT(ISNA(VLOOKUP(E1475,E$1:E1474,1,FALSE()))),"OLD",IF(AND(E1475&lt;&gt;"",E1475&lt;&gt;"!!!"),"NEW","")))</f>
        <v/>
      </c>
      <c r="G1475" s="26" t="str">
        <f aca="false">IF(OR(E1475="",E1475="!!!"),"",IF(OR(J1475=0,AND(J1475=1,K1475=1),AND(J1475=1,I1475="SBJ"),AND(J1475=1,I1475=0)),"?IN_FOCUS",IF(J1475&lt;=2,"?ACTIVATED",IF(J1475&lt;&gt;"","?FAMILIAR",IF(F1475="NEW",IF(ISNA(VLOOKUP(E1475,#REF!,1,FALSE())),"?TYPE_IDENTIFIABLE","?REFERENTIAL"),"_")))))</f>
        <v/>
      </c>
      <c r="H1475" s="27" t="str">
        <f aca="false">IF(J1475&lt;&gt;1,"",IF(I1475="SBJ","CB","?"))</f>
        <v/>
      </c>
      <c r="I1475" s="24" t="str">
        <f aca="false">IF(OR(E1475="",E1475="!!!",F1475="NEW"),"",INDEX(B29:B$1447,-1+SUMPRODUCT(MAX(ROW(E29:E$1447)*(E1475=E29:E$1447)))))</f>
        <v/>
      </c>
      <c r="J1475" s="24" t="str">
        <f aca="true">IF(OR(E1475="",E1475="!!!",F1475="NEW"),"",COUNTBLANK(OFFSET(A$1,,,SUMPRODUCT(MAX(ROW(E$2:E1475)*(E1475=E$2:E1475)))))-COUNTBLANK(OFFSET(A$1,,,SUMPRODUCT(MAX(ROW(E$1:E1474)*(E2=E$1:E1474))))))</f>
        <v/>
      </c>
      <c r="K1475" s="24" t="str">
        <f aca="false">IF(OR(E1475="",E1475="!!!",F1475="NEW"),"",INDEX(J$1:J1474,SUMPRODUCT(MAX(ROW(E$1:E1474)*(E1475=E$1:E1474)))))</f>
        <v/>
      </c>
      <c r="L1475" s="31"/>
    </row>
    <row r="1476" customFormat="false" ht="15" hidden="false" customHeight="false" outlineLevel="0" collapsed="false">
      <c r="A1476" s="20" t="s">
        <v>923</v>
      </c>
      <c r="E1476" s="23" t="str">
        <f aca="false">IF(D1476="?OLD","!!!","")</f>
        <v/>
      </c>
      <c r="F1476" s="25" t="str">
        <f aca="false">IF(OR(E1476="",E1476="!!!"),"",IF(NOT(ISNA(VLOOKUP(E1476,E$1:E1475,1,FALSE()))),"OLD",IF(AND(E1476&lt;&gt;"",E1476&lt;&gt;"!!!"),"NEW","")))</f>
        <v/>
      </c>
      <c r="G1476" s="26" t="str">
        <f aca="false">IF(OR(E1476="",E1476="!!!"),"",IF(OR(J1476=0,AND(J1476=1,K1476=1),AND(J1476=1,I1476="SBJ"),AND(J1476=1,I1476=0)),"?IN_FOCUS",IF(J1476&lt;=2,"?ACTIVATED",IF(J1476&lt;&gt;"","?FAMILIAR",IF(F1476="NEW",IF(ISNA(VLOOKUP(E1476,#REF!,1,FALSE())),"?TYPE_IDENTIFIABLE","?REFERENTIAL"),"_")))))</f>
        <v/>
      </c>
      <c r="H1476" s="27" t="str">
        <f aca="false">IF(J1476&lt;&gt;1,"",IF(I1476="SBJ","CB","?"))</f>
        <v/>
      </c>
      <c r="I1476" s="24" t="str">
        <f aca="false">IF(OR(E1476="",E1476="!!!",F1476="NEW"),"",INDEX(B30:B$1447,-1+SUMPRODUCT(MAX(ROW(E30:E$1447)*(E1476=E30:E$1447)))))</f>
        <v/>
      </c>
      <c r="J1476" s="24" t="str">
        <f aca="true">IF(OR(E1476="",E1476="!!!",F1476="NEW"),"",COUNTBLANK(OFFSET(A$1,,,SUMPRODUCT(MAX(ROW(E$2:E1476)*(E1476=E$2:E1476)))))-COUNTBLANK(OFFSET(A$1,,,SUMPRODUCT(MAX(ROW(E$1:E1475)*(E2=E$1:E1475))))))</f>
        <v/>
      </c>
      <c r="K1476" s="24" t="str">
        <f aca="false">IF(OR(E1476="",E1476="!!!",F1476="NEW"),"",INDEX(J$1:J1475,SUMPRODUCT(MAX(ROW(E$1:E1475)*(E1476=E$1:E1475)))))</f>
        <v/>
      </c>
      <c r="L1476" s="31"/>
    </row>
    <row r="1477" customFormat="false" ht="15" hidden="false" customHeight="false" outlineLevel="0" collapsed="false">
      <c r="A1477" s="20"/>
    </row>
    <row r="1478" customFormat="false" ht="15" hidden="false" customHeight="false" outlineLevel="0" collapsed="false">
      <c r="A1478" s="20" t="s">
        <v>1685</v>
      </c>
    </row>
    <row r="1479" customFormat="false" ht="15" hidden="false" customHeight="false" outlineLevel="0" collapsed="false">
      <c r="A1479" s="20" t="s">
        <v>1236</v>
      </c>
      <c r="E1479" s="23" t="str">
        <f aca="false">IF(D1479="?OLD","!!!","")</f>
        <v/>
      </c>
      <c r="F1479" s="25" t="str">
        <f aca="false">IF(OR(E1479="",E1479="!!!"),"",IF(NOT(ISNA(VLOOKUP(E1479,E$1:E1478,1,FALSE()))),"OLD",IF(AND(E1479&lt;&gt;"",E1479&lt;&gt;"!!!"),"NEW","")))</f>
        <v/>
      </c>
      <c r="G1479" s="26" t="str">
        <f aca="false">IF(OR(E1479="",E1479="!!!"),"",IF(OR(J1479=0,AND(J1479=1,K1479=1),AND(J1479=1,I1479="SBJ"),AND(J1479=1,I1479=0)),"?IN_FOCUS",IF(J1479&lt;=2,"?ACTIVATED",IF(J1479&lt;&gt;"","?FAMILIAR",IF(F1479="NEW",IF(ISNA(VLOOKUP(E1479,#REF!,1,FALSE())),"?TYPE_IDENTIFIABLE","?REFERENTIAL"),"_")))))</f>
        <v/>
      </c>
      <c r="H1479" s="27" t="str">
        <f aca="false">IF(J1479&lt;&gt;1,"",IF(I1479="SBJ","CB","?"))</f>
        <v/>
      </c>
      <c r="I1479" s="24" t="str">
        <f aca="false">IF(OR(E1479="",E1479="!!!",F1479="NEW"),"",INDEX(B2:B$1478,-1+SUMPRODUCT(MAX(ROW(E2:E$1478)*(E1479=E2:E$1478)))))</f>
        <v/>
      </c>
      <c r="J1479" s="24" t="str">
        <f aca="true">IF(OR(E1479="",E1479="!!!",F1479="NEW"),"",COUNTBLANK(OFFSET(A$1,,,SUMPRODUCT(MAX(ROW(E$2:E1479)*(E1479=E$2:E1479)))))-COUNTBLANK(OFFSET(A$1,,,SUMPRODUCT(MAX(ROW(E$1:E1478)*(E2=E$1:E1478))))))</f>
        <v/>
      </c>
      <c r="K1479" s="24" t="str">
        <f aca="false">IF(OR(E1479="",E1479="!!!",F1479="NEW"),"",INDEX(J$1:J1478,SUMPRODUCT(MAX(ROW(E$1:E1478)*(E1479=E$1:E1478)))))</f>
        <v/>
      </c>
      <c r="L1479" s="31"/>
    </row>
    <row r="1480" customFormat="false" ht="15" hidden="false" customHeight="false" outlineLevel="0" collapsed="false">
      <c r="A1480" s="20" t="s">
        <v>311</v>
      </c>
      <c r="B1480" s="22" t="s">
        <v>1105</v>
      </c>
      <c r="C1480" s="22" t="s">
        <v>1227</v>
      </c>
      <c r="E1480" s="23" t="str">
        <f aca="false">IF(D1480="?OLD","!!!","")</f>
        <v/>
      </c>
      <c r="F1480" s="25" t="str">
        <f aca="false">IF(OR(E1480="",E1480="!!!"),"",IF(NOT(ISNA(VLOOKUP(E1480,E$1:E1479,1,FALSE()))),"OLD",IF(AND(E1480&lt;&gt;"",E1480&lt;&gt;"!!!"),"NEW","")))</f>
        <v/>
      </c>
      <c r="G1480" s="26" t="str">
        <f aca="false">IF(OR(E1480="",E1480="!!!"),"",IF(OR(J1480=0,AND(J1480=1,K1480=1),AND(J1480=1,I1480="SBJ"),AND(J1480=1,I1480=0)),"?IN_FOCUS",IF(J1480&lt;=2,"?ACTIVATED",IF(J1480&lt;&gt;"","?FAMILIAR",IF(F1480="NEW",IF(ISNA(VLOOKUP(E1480,#REF!,1,FALSE())),"?TYPE_IDENTIFIABLE","?REFERENTIAL"),"_")))))</f>
        <v/>
      </c>
      <c r="H1480" s="27" t="str">
        <f aca="false">IF(J1480&lt;&gt;1,"",IF(I1480="SBJ","CB","?"))</f>
        <v/>
      </c>
      <c r="I1480" s="24" t="str">
        <f aca="false">IF(OR(E1480="",E1480="!!!",F1480="NEW"),"",INDEX(B3:B$1478,-1+SUMPRODUCT(MAX(ROW(E3:E$1478)*(E1480=E3:E$1478)))))</f>
        <v/>
      </c>
      <c r="J1480" s="24" t="str">
        <f aca="true">IF(OR(E1480="",E1480="!!!",F1480="NEW"),"",COUNTBLANK(OFFSET(A$1,,,SUMPRODUCT(MAX(ROW(E$2:E1480)*(E1480=E$2:E1480)))))-COUNTBLANK(OFFSET(A$1,,,SUMPRODUCT(MAX(ROW(E$1:E1479)*(E2=E$1:E1479))))))</f>
        <v/>
      </c>
      <c r="K1480" s="24" t="str">
        <f aca="false">IF(OR(E1480="",E1480="!!!",F1480="NEW"),"",INDEX(J$1:J1479,SUMPRODUCT(MAX(ROW(E$1:E1479)*(E1480=E$1:E1479)))))</f>
        <v/>
      </c>
      <c r="L1480" s="31"/>
    </row>
    <row r="1481" customFormat="false" ht="15" hidden="false" customHeight="false" outlineLevel="0" collapsed="false">
      <c r="A1481" s="20" t="s">
        <v>1089</v>
      </c>
      <c r="E1481" s="23" t="str">
        <f aca="false">IF(D1481="?OLD","!!!","")</f>
        <v/>
      </c>
      <c r="F1481" s="25" t="str">
        <f aca="false">IF(OR(E1481="",E1481="!!!"),"",IF(NOT(ISNA(VLOOKUP(E1481,E$1:E1480,1,FALSE()))),"OLD",IF(AND(E1481&lt;&gt;"",E1481&lt;&gt;"!!!"),"NEW","")))</f>
        <v/>
      </c>
      <c r="G1481" s="26" t="str">
        <f aca="false">IF(OR(E1481="",E1481="!!!"),"",IF(OR(J1481=0,AND(J1481=1,K1481=1),AND(J1481=1,I1481="SBJ"),AND(J1481=1,I1481=0)),"?IN_FOCUS",IF(J1481&lt;=2,"?ACTIVATED",IF(J1481&lt;&gt;"","?FAMILIAR",IF(F1481="NEW",IF(ISNA(VLOOKUP(E1481,#REF!,1,FALSE())),"?TYPE_IDENTIFIABLE","?REFERENTIAL"),"_")))))</f>
        <v/>
      </c>
      <c r="H1481" s="27" t="str">
        <f aca="false">IF(J1481&lt;&gt;1,"",IF(I1481="SBJ","CB","?"))</f>
        <v/>
      </c>
      <c r="I1481" s="24" t="str">
        <f aca="false">IF(OR(E1481="",E1481="!!!",F1481="NEW"),"",INDEX(B4:B$1478,-1+SUMPRODUCT(MAX(ROW(E4:E$1478)*(E1481=E4:E$1478)))))</f>
        <v/>
      </c>
      <c r="J1481" s="24" t="str">
        <f aca="true">IF(OR(E1481="",E1481="!!!",F1481="NEW"),"",COUNTBLANK(OFFSET(A$1,,,SUMPRODUCT(MAX(ROW(E$2:E1481)*(E1481=E$2:E1481)))))-COUNTBLANK(OFFSET(A$1,,,SUMPRODUCT(MAX(ROW(E$1:E1480)*(E2=E$1:E1480))))))</f>
        <v/>
      </c>
      <c r="K1481" s="24" t="str">
        <f aca="false">IF(OR(E1481="",E1481="!!!",F1481="NEW"),"",INDEX(J$1:J1480,SUMPRODUCT(MAX(ROW(E$1:E1480)*(E1481=E$1:E1480)))))</f>
        <v/>
      </c>
      <c r="L1481" s="31"/>
    </row>
    <row r="1482" customFormat="false" ht="15" hidden="false" customHeight="false" outlineLevel="0" collapsed="false">
      <c r="A1482" s="20" t="s">
        <v>1592</v>
      </c>
      <c r="E1482" s="23" t="str">
        <f aca="false">IF(D1482="?OLD","!!!","")</f>
        <v/>
      </c>
      <c r="F1482" s="25" t="str">
        <f aca="false">IF(OR(E1482="",E1482="!!!"),"",IF(NOT(ISNA(VLOOKUP(E1482,E$1:E1481,1,FALSE()))),"OLD",IF(AND(E1482&lt;&gt;"",E1482&lt;&gt;"!!!"),"NEW","")))</f>
        <v/>
      </c>
      <c r="G1482" s="26" t="str">
        <f aca="false">IF(OR(E1482="",E1482="!!!"),"",IF(OR(J1482=0,AND(J1482=1,K1482=1),AND(J1482=1,I1482="SBJ"),AND(J1482=1,I1482=0)),"?IN_FOCUS",IF(J1482&lt;=2,"?ACTIVATED",IF(J1482&lt;&gt;"","?FAMILIAR",IF(F1482="NEW",IF(ISNA(VLOOKUP(E1482,#REF!,1,FALSE())),"?TYPE_IDENTIFIABLE","?REFERENTIAL"),"_")))))</f>
        <v/>
      </c>
      <c r="H1482" s="27" t="str">
        <f aca="false">IF(J1482&lt;&gt;1,"",IF(I1482="SBJ","CB","?"))</f>
        <v/>
      </c>
      <c r="I1482" s="24" t="str">
        <f aca="false">IF(OR(E1482="",E1482="!!!",F1482="NEW"),"",INDEX(B5:B$1478,-1+SUMPRODUCT(MAX(ROW(E5:E$1478)*(E1482=E5:E$1478)))))</f>
        <v/>
      </c>
      <c r="J1482" s="24" t="str">
        <f aca="true">IF(OR(E1482="",E1482="!!!",F1482="NEW"),"",COUNTBLANK(OFFSET(A$1,,,SUMPRODUCT(MAX(ROW(E$2:E1482)*(E1482=E$2:E1482)))))-COUNTBLANK(OFFSET(A$1,,,SUMPRODUCT(MAX(ROW(E$1:E1481)*(E2=E$1:E1481))))))</f>
        <v/>
      </c>
      <c r="K1482" s="24" t="str">
        <f aca="false">IF(OR(E1482="",E1482="!!!",F1482="NEW"),"",INDEX(J$1:J1481,SUMPRODUCT(MAX(ROW(E$1:E1481)*(E1482=E$1:E1481)))))</f>
        <v/>
      </c>
      <c r="L1482" s="31"/>
    </row>
    <row r="1483" customFormat="false" ht="15" hidden="false" customHeight="false" outlineLevel="0" collapsed="false">
      <c r="A1483" s="20" t="s">
        <v>1686</v>
      </c>
      <c r="E1483" s="23" t="str">
        <f aca="false">IF(D1483="?OLD","!!!","")</f>
        <v/>
      </c>
      <c r="F1483" s="25" t="str">
        <f aca="false">IF(OR(E1483="",E1483="!!!"),"",IF(NOT(ISNA(VLOOKUP(E1483,E$1:E1482,1,FALSE()))),"OLD",IF(AND(E1483&lt;&gt;"",E1483&lt;&gt;"!!!"),"NEW","")))</f>
        <v/>
      </c>
      <c r="G1483" s="26" t="str">
        <f aca="false">IF(OR(E1483="",E1483="!!!"),"",IF(OR(J1483=0,AND(J1483=1,K1483=1),AND(J1483=1,I1483="SBJ"),AND(J1483=1,I1483=0)),"?IN_FOCUS",IF(J1483&lt;=2,"?ACTIVATED",IF(J1483&lt;&gt;"","?FAMILIAR",IF(F1483="NEW",IF(ISNA(VLOOKUP(E1483,#REF!,1,FALSE())),"?TYPE_IDENTIFIABLE","?REFERENTIAL"),"_")))))</f>
        <v/>
      </c>
      <c r="H1483" s="27" t="str">
        <f aca="false">IF(J1483&lt;&gt;1,"",IF(I1483="SBJ","CB","?"))</f>
        <v/>
      </c>
      <c r="I1483" s="24" t="str">
        <f aca="false">IF(OR(E1483="",E1483="!!!",F1483="NEW"),"",INDEX(B6:B$1478,-1+SUMPRODUCT(MAX(ROW(E6:E$1478)*(E1483=E6:E$1478)))))</f>
        <v/>
      </c>
      <c r="J1483" s="24" t="str">
        <f aca="true">IF(OR(E1483="",E1483="!!!",F1483="NEW"),"",COUNTBLANK(OFFSET(A$1,,,SUMPRODUCT(MAX(ROW(E$2:E1483)*(E1483=E$2:E1483)))))-COUNTBLANK(OFFSET(A$1,,,SUMPRODUCT(MAX(ROW(E$1:E1482)*(E2=E$1:E1482))))))</f>
        <v/>
      </c>
      <c r="K1483" s="24" t="str">
        <f aca="false">IF(OR(E1483="",E1483="!!!",F1483="NEW"),"",INDEX(J$1:J1482,SUMPRODUCT(MAX(ROW(E$1:E1482)*(E1483=E$1:E1482)))))</f>
        <v/>
      </c>
      <c r="L1483" s="31"/>
    </row>
    <row r="1484" customFormat="false" ht="15" hidden="false" customHeight="false" outlineLevel="0" collapsed="false">
      <c r="A1484" s="20" t="s">
        <v>1687</v>
      </c>
      <c r="B1484" s="22" t="s">
        <v>1086</v>
      </c>
      <c r="C1484" s="22" t="s">
        <v>1160</v>
      </c>
      <c r="E1484" s="23" t="str">
        <f aca="false">IF(D1484="?OLD","!!!","")</f>
        <v/>
      </c>
      <c r="F1484" s="25" t="str">
        <f aca="false">IF(OR(E1484="",E1484="!!!"),"",IF(NOT(ISNA(VLOOKUP(E1484,E$1:E1483,1,FALSE()))),"OLD",IF(AND(E1484&lt;&gt;"",E1484&lt;&gt;"!!!"),"NEW","")))</f>
        <v/>
      </c>
      <c r="G1484" s="26" t="str">
        <f aca="false">IF(OR(E1484="",E1484="!!!"),"",IF(OR(J1484=0,AND(J1484=1,K1484=1),AND(J1484=1,I1484="SBJ"),AND(J1484=1,I1484=0)),"?IN_FOCUS",IF(J1484&lt;=2,"?ACTIVATED",IF(J1484&lt;&gt;"","?FAMILIAR",IF(F1484="NEW",IF(ISNA(VLOOKUP(E1484,#REF!,1,FALSE())),"?TYPE_IDENTIFIABLE","?REFERENTIAL"),"_")))))</f>
        <v/>
      </c>
      <c r="H1484" s="27" t="str">
        <f aca="false">IF(J1484&lt;&gt;1,"",IF(I1484="SBJ","CB","?"))</f>
        <v/>
      </c>
      <c r="I1484" s="24" t="str">
        <f aca="false">IF(OR(E1484="",E1484="!!!",F1484="NEW"),"",INDEX(B7:B$1478,-1+SUMPRODUCT(MAX(ROW(E7:E$1478)*(E1484=E7:E$1478)))))</f>
        <v/>
      </c>
      <c r="J1484" s="24" t="str">
        <f aca="true">IF(OR(E1484="",E1484="!!!",F1484="NEW"),"",COUNTBLANK(OFFSET(A$1,,,SUMPRODUCT(MAX(ROW(E$2:E1484)*(E1484=E$2:E1484)))))-COUNTBLANK(OFFSET(A$1,,,SUMPRODUCT(MAX(ROW(E$1:E1483)*(E2=E$1:E1483))))))</f>
        <v/>
      </c>
      <c r="K1484" s="24" t="str">
        <f aca="false">IF(OR(E1484="",E1484="!!!",F1484="NEW"),"",INDEX(J$1:J1483,SUMPRODUCT(MAX(ROW(E$1:E1483)*(E1484=E$1:E1483)))))</f>
        <v/>
      </c>
      <c r="L1484" s="31"/>
    </row>
    <row r="1485" customFormat="false" ht="15" hidden="false" customHeight="false" outlineLevel="0" collapsed="false">
      <c r="A1485" s="20" t="s">
        <v>1125</v>
      </c>
      <c r="B1485" s="22" t="s">
        <v>1197</v>
      </c>
      <c r="E1485" s="23" t="str">
        <f aca="false">IF(D1485="?OLD","!!!","")</f>
        <v/>
      </c>
      <c r="F1485" s="25" t="str">
        <f aca="false">IF(OR(E1485="",E1485="!!!"),"",IF(NOT(ISNA(VLOOKUP(E1485,E$1:E1484,1,FALSE()))),"OLD",IF(AND(E1485&lt;&gt;"",E1485&lt;&gt;"!!!"),"NEW","")))</f>
        <v/>
      </c>
      <c r="G1485" s="26" t="str">
        <f aca="false">IF(OR(E1485="",E1485="!!!"),"",IF(OR(J1485=0,AND(J1485=1,K1485=1),AND(J1485=1,I1485="SBJ"),AND(J1485=1,I1485=0)),"?IN_FOCUS",IF(J1485&lt;=2,"?ACTIVATED",IF(J1485&lt;&gt;"","?FAMILIAR",IF(F1485="NEW",IF(ISNA(VLOOKUP(E1485,#REF!,1,FALSE())),"?TYPE_IDENTIFIABLE","?REFERENTIAL"),"_")))))</f>
        <v/>
      </c>
      <c r="H1485" s="27" t="str">
        <f aca="false">IF(J1485&lt;&gt;1,"",IF(I1485="SBJ","CB","?"))</f>
        <v/>
      </c>
      <c r="I1485" s="24" t="str">
        <f aca="false">IF(OR(E1485="",E1485="!!!",F1485="NEW"),"",INDEX(B8:B$1478,-1+SUMPRODUCT(MAX(ROW(E8:E$1478)*(E1485=E8:E$1478)))))</f>
        <v/>
      </c>
      <c r="J1485" s="24" t="str">
        <f aca="true">IF(OR(E1485="",E1485="!!!",F1485="NEW"),"",COUNTBLANK(OFFSET(A$1,,,SUMPRODUCT(MAX(ROW(E$2:E1485)*(E1485=E$2:E1485)))))-COUNTBLANK(OFFSET(A$1,,,SUMPRODUCT(MAX(ROW(E$1:E1484)*(E2=E$1:E1484))))))</f>
        <v/>
      </c>
      <c r="K1485" s="24" t="str">
        <f aca="false">IF(OR(E1485="",E1485="!!!",F1485="NEW"),"",INDEX(J$1:J1484,SUMPRODUCT(MAX(ROW(E$1:E1484)*(E1485=E$1:E1484)))))</f>
        <v/>
      </c>
      <c r="L1485" s="31"/>
    </row>
    <row r="1486" customFormat="false" ht="15" hidden="false" customHeight="false" outlineLevel="0" collapsed="false">
      <c r="A1486" s="20" t="s">
        <v>1688</v>
      </c>
      <c r="E1486" s="23" t="str">
        <f aca="false">IF(D1486="?OLD","!!!","")</f>
        <v/>
      </c>
      <c r="F1486" s="25" t="str">
        <f aca="false">IF(OR(E1486="",E1486="!!!"),"",IF(NOT(ISNA(VLOOKUP(E1486,E$1:E1485,1,FALSE()))),"OLD",IF(AND(E1486&lt;&gt;"",E1486&lt;&gt;"!!!"),"NEW","")))</f>
        <v/>
      </c>
      <c r="G1486" s="26" t="str">
        <f aca="false">IF(OR(E1486="",E1486="!!!"),"",IF(OR(J1486=0,AND(J1486=1,K1486=1),AND(J1486=1,I1486="SBJ"),AND(J1486=1,I1486=0)),"?IN_FOCUS",IF(J1486&lt;=2,"?ACTIVATED",IF(J1486&lt;&gt;"","?FAMILIAR",IF(F1486="NEW",IF(ISNA(VLOOKUP(E1486,#REF!,1,FALSE())),"?TYPE_IDENTIFIABLE","?REFERENTIAL"),"_")))))</f>
        <v/>
      </c>
      <c r="H1486" s="27" t="str">
        <f aca="false">IF(J1486&lt;&gt;1,"",IF(I1486="SBJ","CB","?"))</f>
        <v/>
      </c>
      <c r="I1486" s="24" t="str">
        <f aca="false">IF(OR(E1486="",E1486="!!!",F1486="NEW"),"",INDEX(B9:B$1478,-1+SUMPRODUCT(MAX(ROW(E9:E$1478)*(E1486=E9:E$1478)))))</f>
        <v/>
      </c>
      <c r="J1486" s="24" t="str">
        <f aca="true">IF(OR(E1486="",E1486="!!!",F1486="NEW"),"",COUNTBLANK(OFFSET(A$1,,,SUMPRODUCT(MAX(ROW(E$2:E1486)*(E1486=E$2:E1486)))))-COUNTBLANK(OFFSET(A$1,,,SUMPRODUCT(MAX(ROW(E$1:E1485)*(E2=E$1:E1485))))))</f>
        <v/>
      </c>
      <c r="K1486" s="24" t="str">
        <f aca="false">IF(OR(E1486="",E1486="!!!",F1486="NEW"),"",INDEX(J$1:J1485,SUMPRODUCT(MAX(ROW(E$1:E1485)*(E1486=E$1:E1485)))))</f>
        <v/>
      </c>
      <c r="L1486" s="31"/>
    </row>
    <row r="1487" customFormat="false" ht="15" hidden="false" customHeight="false" outlineLevel="0" collapsed="false">
      <c r="A1487" s="20" t="s">
        <v>1078</v>
      </c>
      <c r="E1487" s="23" t="str">
        <f aca="false">IF(D1487="?OLD","!!!","")</f>
        <v/>
      </c>
      <c r="F1487" s="25" t="str">
        <f aca="false">IF(OR(E1487="",E1487="!!!"),"",IF(NOT(ISNA(VLOOKUP(E1487,E$1:E1486,1,FALSE()))),"OLD",IF(AND(E1487&lt;&gt;"",E1487&lt;&gt;"!!!"),"NEW","")))</f>
        <v/>
      </c>
      <c r="G1487" s="26" t="str">
        <f aca="false">IF(OR(E1487="",E1487="!!!"),"",IF(OR(J1487=0,AND(J1487=1,K1487=1),AND(J1487=1,I1487="SBJ"),AND(J1487=1,I1487=0)),"?IN_FOCUS",IF(J1487&lt;=2,"?ACTIVATED",IF(J1487&lt;&gt;"","?FAMILIAR",IF(F1487="NEW",IF(ISNA(VLOOKUP(E1487,#REF!,1,FALSE())),"?TYPE_IDENTIFIABLE","?REFERENTIAL"),"_")))))</f>
        <v/>
      </c>
      <c r="H1487" s="27" t="str">
        <f aca="false">IF(J1487&lt;&gt;1,"",IF(I1487="SBJ","CB","?"))</f>
        <v/>
      </c>
      <c r="I1487" s="24" t="str">
        <f aca="false">IF(OR(E1487="",E1487="!!!",F1487="NEW"),"",INDEX(B10:B$1478,-1+SUMPRODUCT(MAX(ROW(E10:E$1478)*(E1487=E10:E$1478)))))</f>
        <v/>
      </c>
      <c r="J1487" s="24" t="str">
        <f aca="true">IF(OR(E1487="",E1487="!!!",F1487="NEW"),"",COUNTBLANK(OFFSET(A$1,,,SUMPRODUCT(MAX(ROW(E$2:E1487)*(E1487=E$2:E1487)))))-COUNTBLANK(OFFSET(A$1,,,SUMPRODUCT(MAX(ROW(E$1:E1486)*(E2=E$1:E1486))))))</f>
        <v/>
      </c>
      <c r="K1487" s="24" t="str">
        <f aca="false">IF(OR(E1487="",E1487="!!!",F1487="NEW"),"",INDEX(J$1:J1486,SUMPRODUCT(MAX(ROW(E$1:E1486)*(E1487=E$1:E1486)))))</f>
        <v/>
      </c>
      <c r="L1487" s="31"/>
    </row>
    <row r="1488" customFormat="false" ht="15" hidden="false" customHeight="false" outlineLevel="0" collapsed="false">
      <c r="A1488" s="20" t="s">
        <v>1649</v>
      </c>
      <c r="B1488" s="22" t="s">
        <v>1102</v>
      </c>
      <c r="C1488" s="22" t="s">
        <v>1389</v>
      </c>
      <c r="E1488" s="23" t="str">
        <f aca="false">IF(D1488="?OLD","!!!","")</f>
        <v/>
      </c>
      <c r="F1488" s="25" t="str">
        <f aca="false">IF(OR(E1488="",E1488="!!!"),"",IF(NOT(ISNA(VLOOKUP(E1488,E$1:E1487,1,FALSE()))),"OLD",IF(AND(E1488&lt;&gt;"",E1488&lt;&gt;"!!!"),"NEW","")))</f>
        <v/>
      </c>
      <c r="G1488" s="26" t="str">
        <f aca="false">IF(OR(E1488="",E1488="!!!"),"",IF(OR(J1488=0,AND(J1488=1,K1488=1),AND(J1488=1,I1488="SBJ"),AND(J1488=1,I1488=0)),"?IN_FOCUS",IF(J1488&lt;=2,"?ACTIVATED",IF(J1488&lt;&gt;"","?FAMILIAR",IF(F1488="NEW",IF(ISNA(VLOOKUP(E1488,#REF!,1,FALSE())),"?TYPE_IDENTIFIABLE","?REFERENTIAL"),"_")))))</f>
        <v/>
      </c>
      <c r="H1488" s="27" t="str">
        <f aca="false">IF(J1488&lt;&gt;1,"",IF(I1488="SBJ","CB","?"))</f>
        <v/>
      </c>
      <c r="I1488" s="24" t="str">
        <f aca="false">IF(OR(E1488="",E1488="!!!",F1488="NEW"),"",INDEX(B11:B$1478,-1+SUMPRODUCT(MAX(ROW(E11:E$1478)*(E1488=E11:E$1478)))))</f>
        <v/>
      </c>
      <c r="J1488" s="24" t="str">
        <f aca="true">IF(OR(E1488="",E1488="!!!",F1488="NEW"),"",COUNTBLANK(OFFSET(A$1,,,SUMPRODUCT(MAX(ROW(E$2:E1488)*(E1488=E$2:E1488)))))-COUNTBLANK(OFFSET(A$1,,,SUMPRODUCT(MAX(ROW(E$1:E1487)*(E2=E$1:E1487))))))</f>
        <v/>
      </c>
      <c r="K1488" s="24" t="str">
        <f aca="false">IF(OR(E1488="",E1488="!!!",F1488="NEW"),"",INDEX(J$1:J1487,SUMPRODUCT(MAX(ROW(E$1:E1487)*(E1488=E$1:E1487)))))</f>
        <v/>
      </c>
      <c r="L1488" s="31"/>
    </row>
    <row r="1489" customFormat="false" ht="15" hidden="false" customHeight="false" outlineLevel="0" collapsed="false">
      <c r="A1489" s="20" t="s">
        <v>1064</v>
      </c>
      <c r="E1489" s="23" t="str">
        <f aca="false">IF(D1489="?OLD","!!!","")</f>
        <v/>
      </c>
      <c r="F1489" s="25" t="str">
        <f aca="false">IF(OR(E1489="",E1489="!!!"),"",IF(NOT(ISNA(VLOOKUP(E1489,E$1:E1488,1,FALSE()))),"OLD",IF(AND(E1489&lt;&gt;"",E1489&lt;&gt;"!!!"),"NEW","")))</f>
        <v/>
      </c>
      <c r="G1489" s="26" t="str">
        <f aca="false">IF(OR(E1489="",E1489="!!!"),"",IF(OR(J1489=0,AND(J1489=1,K1489=1),AND(J1489=1,I1489="SBJ"),AND(J1489=1,I1489=0)),"?IN_FOCUS",IF(J1489&lt;=2,"?ACTIVATED",IF(J1489&lt;&gt;"","?FAMILIAR",IF(F1489="NEW",IF(ISNA(VLOOKUP(E1489,#REF!,1,FALSE())),"?TYPE_IDENTIFIABLE","?REFERENTIAL"),"_")))))</f>
        <v/>
      </c>
      <c r="H1489" s="27" t="str">
        <f aca="false">IF(J1489&lt;&gt;1,"",IF(I1489="SBJ","CB","?"))</f>
        <v/>
      </c>
      <c r="I1489" s="24" t="str">
        <f aca="false">IF(OR(E1489="",E1489="!!!",F1489="NEW"),"",INDEX(B12:B$1478,-1+SUMPRODUCT(MAX(ROW(E12:E$1478)*(E1489=E12:E$1478)))))</f>
        <v/>
      </c>
      <c r="J1489" s="24" t="str">
        <f aca="true">IF(OR(E1489="",E1489="!!!",F1489="NEW"),"",COUNTBLANK(OFFSET(A$1,,,SUMPRODUCT(MAX(ROW(E$2:E1489)*(E1489=E$2:E1489)))))-COUNTBLANK(OFFSET(A$1,,,SUMPRODUCT(MAX(ROW(E$1:E1488)*(E2=E$1:E1488))))))</f>
        <v/>
      </c>
      <c r="K1489" s="24" t="str">
        <f aca="false">IF(OR(E1489="",E1489="!!!",F1489="NEW"),"",INDEX(J$1:J1488,SUMPRODUCT(MAX(ROW(E$1:E1488)*(E1489=E$1:E1488)))))</f>
        <v/>
      </c>
      <c r="L1489" s="31"/>
    </row>
    <row r="1490" customFormat="false" ht="15" hidden="false" customHeight="false" outlineLevel="0" collapsed="false">
      <c r="A1490" s="20" t="s">
        <v>1109</v>
      </c>
      <c r="E1490" s="23" t="str">
        <f aca="false">IF(D1490="?OLD","!!!","")</f>
        <v/>
      </c>
      <c r="F1490" s="25" t="str">
        <f aca="false">IF(OR(E1490="",E1490="!!!"),"",IF(NOT(ISNA(VLOOKUP(E1490,E$1:E1489,1,FALSE()))),"OLD",IF(AND(E1490&lt;&gt;"",E1490&lt;&gt;"!!!"),"NEW","")))</f>
        <v/>
      </c>
      <c r="G1490" s="26" t="str">
        <f aca="false">IF(OR(E1490="",E1490="!!!"),"",IF(OR(J1490=0,AND(J1490=1,K1490=1),AND(J1490=1,I1490="SBJ"),AND(J1490=1,I1490=0)),"?IN_FOCUS",IF(J1490&lt;=2,"?ACTIVATED",IF(J1490&lt;&gt;"","?FAMILIAR",IF(F1490="NEW",IF(ISNA(VLOOKUP(E1490,#REF!,1,FALSE())),"?TYPE_IDENTIFIABLE","?REFERENTIAL"),"_")))))</f>
        <v/>
      </c>
      <c r="H1490" s="27" t="str">
        <f aca="false">IF(J1490&lt;&gt;1,"",IF(I1490="SBJ","CB","?"))</f>
        <v/>
      </c>
      <c r="I1490" s="24" t="str">
        <f aca="false">IF(OR(E1490="",E1490="!!!",F1490="NEW"),"",INDEX(B13:B$1478,-1+SUMPRODUCT(MAX(ROW(E13:E$1478)*(E1490=E13:E$1478)))))</f>
        <v/>
      </c>
      <c r="J1490" s="24" t="str">
        <f aca="true">IF(OR(E1490="",E1490="!!!",F1490="NEW"),"",COUNTBLANK(OFFSET(A$1,,,SUMPRODUCT(MAX(ROW(E$2:E1490)*(E1490=E$2:E1490)))))-COUNTBLANK(OFFSET(A$1,,,SUMPRODUCT(MAX(ROW(E$1:E1489)*(E2=E$1:E1489))))))</f>
        <v/>
      </c>
      <c r="K1490" s="24" t="str">
        <f aca="false">IF(OR(E1490="",E1490="!!!",F1490="NEW"),"",INDEX(J$1:J1489,SUMPRODUCT(MAX(ROW(E$1:E1489)*(E1490=E$1:E1489)))))</f>
        <v/>
      </c>
      <c r="L1490" s="31"/>
    </row>
    <row r="1491" customFormat="false" ht="15" hidden="false" customHeight="false" outlineLevel="0" collapsed="false">
      <c r="A1491" s="20" t="s">
        <v>1223</v>
      </c>
      <c r="B1491" s="22" t="s">
        <v>1098</v>
      </c>
      <c r="C1491" s="22" t="s">
        <v>1150</v>
      </c>
      <c r="D1491" s="22" t="s">
        <v>1060</v>
      </c>
      <c r="E1491" s="23" t="str">
        <f aca="false">IF(D1491="?OLD","!!!","")</f>
        <v>!!!</v>
      </c>
      <c r="F1491" s="25" t="str">
        <f aca="false">IF(OR(E1491="",E1491="!!!"),"",IF(NOT(ISNA(VLOOKUP(E1491,E$1:E1490,1,FALSE()))),"OLD",IF(AND(E1491&lt;&gt;"",E1491&lt;&gt;"!!!"),"NEW","")))</f>
        <v/>
      </c>
      <c r="G1491" s="26" t="str">
        <f aca="false">IF(OR(E1491="",E1491="!!!"),"",IF(OR(J1491=0,AND(J1491=1,K1491=1),AND(J1491=1,I1491="SBJ"),AND(J1491=1,I1491=0)),"?IN_FOCUS",IF(J1491&lt;=2,"?ACTIVATED",IF(J1491&lt;&gt;"","?FAMILIAR",IF(F1491="NEW",IF(ISNA(VLOOKUP(E1491,#REF!,1,FALSE())),"?TYPE_IDENTIFIABLE","?REFERENTIAL"),"_")))))</f>
        <v/>
      </c>
      <c r="H1491" s="27" t="str">
        <f aca="false">IF(J1491&lt;&gt;1,"",IF(I1491="SBJ","CB","?"))</f>
        <v/>
      </c>
      <c r="I1491" s="24" t="str">
        <f aca="false">IF(OR(E1491="",E1491="!!!",F1491="NEW"),"",INDEX(B14:B$1478,-1+SUMPRODUCT(MAX(ROW(E14:E$1478)*(E1491=E14:E$1478)))))</f>
        <v/>
      </c>
      <c r="J1491" s="24" t="str">
        <f aca="true">IF(OR(E1491="",E1491="!!!",F1491="NEW"),"",COUNTBLANK(OFFSET(A$1,,,SUMPRODUCT(MAX(ROW(E$2:E1491)*(E1491=E$2:E1491)))))-COUNTBLANK(OFFSET(A$1,,,SUMPRODUCT(MAX(ROW(E$1:E1490)*(E2=E$1:E1490))))))</f>
        <v/>
      </c>
      <c r="K1491" s="24" t="str">
        <f aca="false">IF(OR(E1491="",E1491="!!!",F1491="NEW"),"",INDEX(J$1:J1490,SUMPRODUCT(MAX(ROW(E$1:E1490)*(E1491=E$1:E1490)))))</f>
        <v/>
      </c>
      <c r="L1491" s="31"/>
    </row>
    <row r="1492" customFormat="false" ht="15" hidden="false" customHeight="false" outlineLevel="0" collapsed="false">
      <c r="A1492" s="20" t="s">
        <v>1092</v>
      </c>
      <c r="E1492" s="23" t="str">
        <f aca="false">IF(D1492="?OLD","!!!","")</f>
        <v/>
      </c>
      <c r="F1492" s="25" t="str">
        <f aca="false">IF(OR(E1492="",E1492="!!!"),"",IF(NOT(ISNA(VLOOKUP(E1492,E$1:E1491,1,FALSE()))),"OLD",IF(AND(E1492&lt;&gt;"",E1492&lt;&gt;"!!!"),"NEW","")))</f>
        <v/>
      </c>
      <c r="G1492" s="26" t="str">
        <f aca="false">IF(OR(E1492="",E1492="!!!"),"",IF(OR(J1492=0,AND(J1492=1,K1492=1),AND(J1492=1,I1492="SBJ"),AND(J1492=1,I1492=0)),"?IN_FOCUS",IF(J1492&lt;=2,"?ACTIVATED",IF(J1492&lt;&gt;"","?FAMILIAR",IF(F1492="NEW",IF(ISNA(VLOOKUP(E1492,#REF!,1,FALSE())),"?TYPE_IDENTIFIABLE","?REFERENTIAL"),"_")))))</f>
        <v/>
      </c>
      <c r="H1492" s="27" t="str">
        <f aca="false">IF(J1492&lt;&gt;1,"",IF(I1492="SBJ","CB","?"))</f>
        <v/>
      </c>
      <c r="I1492" s="24" t="str">
        <f aca="false">IF(OR(E1492="",E1492="!!!",F1492="NEW"),"",INDEX(B15:B$1478,-1+SUMPRODUCT(MAX(ROW(E15:E$1478)*(E1492=E15:E$1478)))))</f>
        <v/>
      </c>
      <c r="J1492" s="24" t="str">
        <f aca="true">IF(OR(E1492="",E1492="!!!",F1492="NEW"),"",COUNTBLANK(OFFSET(A$1,,,SUMPRODUCT(MAX(ROW(E$2:E1492)*(E1492=E$2:E1492)))))-COUNTBLANK(OFFSET(A$1,,,SUMPRODUCT(MAX(ROW(E$1:E1491)*(E2=E$1:E1491))))))</f>
        <v/>
      </c>
      <c r="K1492" s="24" t="str">
        <f aca="false">IF(OR(E1492="",E1492="!!!",F1492="NEW"),"",INDEX(J$1:J1491,SUMPRODUCT(MAX(ROW(E$1:E1491)*(E1492=E$1:E1491)))))</f>
        <v/>
      </c>
      <c r="L1492" s="31"/>
    </row>
    <row r="1493" customFormat="false" ht="15" hidden="false" customHeight="false" outlineLevel="0" collapsed="false">
      <c r="A1493" s="20" t="s">
        <v>1594</v>
      </c>
      <c r="E1493" s="23" t="str">
        <f aca="false">IF(D1493="?OLD","!!!","")</f>
        <v/>
      </c>
      <c r="F1493" s="25" t="str">
        <f aca="false">IF(OR(E1493="",E1493="!!!"),"",IF(NOT(ISNA(VLOOKUP(E1493,E$1:E1492,1,FALSE()))),"OLD",IF(AND(E1493&lt;&gt;"",E1493&lt;&gt;"!!!"),"NEW","")))</f>
        <v/>
      </c>
      <c r="G1493" s="26" t="str">
        <f aca="false">IF(OR(E1493="",E1493="!!!"),"",IF(OR(J1493=0,AND(J1493=1,K1493=1),AND(J1493=1,I1493="SBJ"),AND(J1493=1,I1493=0)),"?IN_FOCUS",IF(J1493&lt;=2,"?ACTIVATED",IF(J1493&lt;&gt;"","?FAMILIAR",IF(F1493="NEW",IF(ISNA(VLOOKUP(E1493,#REF!,1,FALSE())),"?TYPE_IDENTIFIABLE","?REFERENTIAL"),"_")))))</f>
        <v/>
      </c>
      <c r="H1493" s="27" t="str">
        <f aca="false">IF(J1493&lt;&gt;1,"",IF(I1493="SBJ","CB","?"))</f>
        <v/>
      </c>
      <c r="I1493" s="24" t="str">
        <f aca="false">IF(OR(E1493="",E1493="!!!",F1493="NEW"),"",INDEX(B16:B$1478,-1+SUMPRODUCT(MAX(ROW(E16:E$1478)*(E1493=E16:E$1478)))))</f>
        <v/>
      </c>
      <c r="J1493" s="24" t="str">
        <f aca="true">IF(OR(E1493="",E1493="!!!",F1493="NEW"),"",COUNTBLANK(OFFSET(A$1,,,SUMPRODUCT(MAX(ROW(E$2:E1493)*(E1493=E$2:E1493)))))-COUNTBLANK(OFFSET(A$1,,,SUMPRODUCT(MAX(ROW(E$1:E1492)*(E2=E$1:E1492))))))</f>
        <v/>
      </c>
      <c r="K1493" s="24" t="str">
        <f aca="false">IF(OR(E1493="",E1493="!!!",F1493="NEW"),"",INDEX(J$1:J1492,SUMPRODUCT(MAX(ROW(E$1:E1492)*(E1493=E$1:E1492)))))</f>
        <v/>
      </c>
      <c r="L1493" s="31"/>
    </row>
    <row r="1494" customFormat="false" ht="15" hidden="false" customHeight="false" outlineLevel="0" collapsed="false">
      <c r="A1494" s="20" t="s">
        <v>1689</v>
      </c>
      <c r="E1494" s="23" t="str">
        <f aca="false">IF(D1494="?OLD","!!!","")</f>
        <v/>
      </c>
      <c r="F1494" s="25" t="str">
        <f aca="false">IF(OR(E1494="",E1494="!!!"),"",IF(NOT(ISNA(VLOOKUP(E1494,E$1:E1493,1,FALSE()))),"OLD",IF(AND(E1494&lt;&gt;"",E1494&lt;&gt;"!!!"),"NEW","")))</f>
        <v/>
      </c>
      <c r="G1494" s="26" t="str">
        <f aca="false">IF(OR(E1494="",E1494="!!!"),"",IF(OR(J1494=0,AND(J1494=1,K1494=1),AND(J1494=1,I1494="SBJ"),AND(J1494=1,I1494=0)),"?IN_FOCUS",IF(J1494&lt;=2,"?ACTIVATED",IF(J1494&lt;&gt;"","?FAMILIAR",IF(F1494="NEW",IF(ISNA(VLOOKUP(E1494,#REF!,1,FALSE())),"?TYPE_IDENTIFIABLE","?REFERENTIAL"),"_")))))</f>
        <v/>
      </c>
      <c r="H1494" s="27" t="str">
        <f aca="false">IF(J1494&lt;&gt;1,"",IF(I1494="SBJ","CB","?"))</f>
        <v/>
      </c>
      <c r="I1494" s="24" t="str">
        <f aca="false">IF(OR(E1494="",E1494="!!!",F1494="NEW"),"",INDEX(B17:B$1478,-1+SUMPRODUCT(MAX(ROW(E17:E$1478)*(E1494=E17:E$1478)))))</f>
        <v/>
      </c>
      <c r="J1494" s="24" t="str">
        <f aca="true">IF(OR(E1494="",E1494="!!!",F1494="NEW"),"",COUNTBLANK(OFFSET(A$1,,,SUMPRODUCT(MAX(ROW(E$2:E1494)*(E1494=E$2:E1494)))))-COUNTBLANK(OFFSET(A$1,,,SUMPRODUCT(MAX(ROW(E$1:E1493)*(E2=E$1:E1493))))))</f>
        <v/>
      </c>
      <c r="K1494" s="24" t="str">
        <f aca="false">IF(OR(E1494="",E1494="!!!",F1494="NEW"),"",INDEX(J$1:J1493,SUMPRODUCT(MAX(ROW(E$1:E1493)*(E1494=E$1:E1493)))))</f>
        <v/>
      </c>
      <c r="L1494" s="31"/>
    </row>
    <row r="1495" customFormat="false" ht="15" hidden="false" customHeight="false" outlineLevel="0" collapsed="false">
      <c r="A1495" s="20" t="s">
        <v>1128</v>
      </c>
      <c r="E1495" s="23" t="str">
        <f aca="false">IF(D1495="?OLD","!!!","")</f>
        <v/>
      </c>
      <c r="F1495" s="25" t="str">
        <f aca="false">IF(OR(E1495="",E1495="!!!"),"",IF(NOT(ISNA(VLOOKUP(E1495,E$1:E1494,1,FALSE()))),"OLD",IF(AND(E1495&lt;&gt;"",E1495&lt;&gt;"!!!"),"NEW","")))</f>
        <v/>
      </c>
      <c r="G1495" s="26" t="str">
        <f aca="false">IF(OR(E1495="",E1495="!!!"),"",IF(OR(J1495=0,AND(J1495=1,K1495=1),AND(J1495=1,I1495="SBJ"),AND(J1495=1,I1495=0)),"?IN_FOCUS",IF(J1495&lt;=2,"?ACTIVATED",IF(J1495&lt;&gt;"","?FAMILIAR",IF(F1495="NEW",IF(ISNA(VLOOKUP(E1495,#REF!,1,FALSE())),"?TYPE_IDENTIFIABLE","?REFERENTIAL"),"_")))))</f>
        <v/>
      </c>
      <c r="H1495" s="27" t="str">
        <f aca="false">IF(J1495&lt;&gt;1,"",IF(I1495="SBJ","CB","?"))</f>
        <v/>
      </c>
      <c r="I1495" s="24" t="str">
        <f aca="false">IF(OR(E1495="",E1495="!!!",F1495="NEW"),"",INDEX(B18:B$1478,-1+SUMPRODUCT(MAX(ROW(E18:E$1478)*(E1495=E18:E$1478)))))</f>
        <v/>
      </c>
      <c r="J1495" s="24" t="str">
        <f aca="true">IF(OR(E1495="",E1495="!!!",F1495="NEW"),"",COUNTBLANK(OFFSET(A$1,,,SUMPRODUCT(MAX(ROW(E$2:E1495)*(E1495=E$2:E1495)))))-COUNTBLANK(OFFSET(A$1,,,SUMPRODUCT(MAX(ROW(E$1:E1494)*(E2=E$1:E1494))))))</f>
        <v/>
      </c>
      <c r="K1495" s="24" t="str">
        <f aca="false">IF(OR(E1495="",E1495="!!!",F1495="NEW"),"",INDEX(J$1:J1494,SUMPRODUCT(MAX(ROW(E$1:E1494)*(E1495=E$1:E1494)))))</f>
        <v/>
      </c>
      <c r="L1495" s="31"/>
    </row>
    <row r="1496" customFormat="false" ht="15" hidden="false" customHeight="false" outlineLevel="0" collapsed="false">
      <c r="A1496" s="20" t="s">
        <v>1689</v>
      </c>
      <c r="E1496" s="23" t="str">
        <f aca="false">IF(D1496="?OLD","!!!","")</f>
        <v/>
      </c>
      <c r="F1496" s="25" t="str">
        <f aca="false">IF(OR(E1496="",E1496="!!!"),"",IF(NOT(ISNA(VLOOKUP(E1496,E$1:E1495,1,FALSE()))),"OLD",IF(AND(E1496&lt;&gt;"",E1496&lt;&gt;"!!!"),"NEW","")))</f>
        <v/>
      </c>
      <c r="G1496" s="26" t="str">
        <f aca="false">IF(OR(E1496="",E1496="!!!"),"",IF(OR(J1496=0,AND(J1496=1,K1496=1),AND(J1496=1,I1496="SBJ"),AND(J1496=1,I1496=0)),"?IN_FOCUS",IF(J1496&lt;=2,"?ACTIVATED",IF(J1496&lt;&gt;"","?FAMILIAR",IF(F1496="NEW",IF(ISNA(VLOOKUP(E1496,#REF!,1,FALSE())),"?TYPE_IDENTIFIABLE","?REFERENTIAL"),"_")))))</f>
        <v/>
      </c>
      <c r="H1496" s="27" t="str">
        <f aca="false">IF(J1496&lt;&gt;1,"",IF(I1496="SBJ","CB","?"))</f>
        <v/>
      </c>
      <c r="I1496" s="24" t="str">
        <f aca="false">IF(OR(E1496="",E1496="!!!",F1496="NEW"),"",INDEX(B19:B$1478,-1+SUMPRODUCT(MAX(ROW(E19:E$1478)*(E1496=E19:E$1478)))))</f>
        <v/>
      </c>
      <c r="J1496" s="24" t="str">
        <f aca="true">IF(OR(E1496="",E1496="!!!",F1496="NEW"),"",COUNTBLANK(OFFSET(A$1,,,SUMPRODUCT(MAX(ROW(E$2:E1496)*(E1496=E$2:E1496)))))-COUNTBLANK(OFFSET(A$1,,,SUMPRODUCT(MAX(ROW(E$1:E1495)*(E2=E$1:E1495))))))</f>
        <v/>
      </c>
      <c r="K1496" s="24" t="str">
        <f aca="false">IF(OR(E1496="",E1496="!!!",F1496="NEW"),"",INDEX(J$1:J1495,SUMPRODUCT(MAX(ROW(E$1:E1495)*(E1496=E$1:E1495)))))</f>
        <v/>
      </c>
      <c r="L1496" s="31"/>
    </row>
    <row r="1497" customFormat="false" ht="15" hidden="false" customHeight="false" outlineLevel="0" collapsed="false">
      <c r="A1497" s="20" t="s">
        <v>1095</v>
      </c>
      <c r="E1497" s="23" t="str">
        <f aca="false">IF(D1497="?OLD","!!!","")</f>
        <v/>
      </c>
      <c r="F1497" s="25" t="str">
        <f aca="false">IF(OR(E1497="",E1497="!!!"),"",IF(NOT(ISNA(VLOOKUP(E1497,E$1:E1496,1,FALSE()))),"OLD",IF(AND(E1497&lt;&gt;"",E1497&lt;&gt;"!!!"),"NEW","")))</f>
        <v/>
      </c>
      <c r="G1497" s="26" t="str">
        <f aca="false">IF(OR(E1497="",E1497="!!!"),"",IF(OR(J1497=0,AND(J1497=1,K1497=1),AND(J1497=1,I1497="SBJ"),AND(J1497=1,I1497=0)),"?IN_FOCUS",IF(J1497&lt;=2,"?ACTIVATED",IF(J1497&lt;&gt;"","?FAMILIAR",IF(F1497="NEW",IF(ISNA(VLOOKUP(E1497,#REF!,1,FALSE())),"?TYPE_IDENTIFIABLE","?REFERENTIAL"),"_")))))</f>
        <v/>
      </c>
      <c r="H1497" s="27" t="str">
        <f aca="false">IF(J1497&lt;&gt;1,"",IF(I1497="SBJ","CB","?"))</f>
        <v/>
      </c>
      <c r="I1497" s="24" t="str">
        <f aca="false">IF(OR(E1497="",E1497="!!!",F1497="NEW"),"",INDEX(B20:B$1478,-1+SUMPRODUCT(MAX(ROW(E20:E$1478)*(E1497=E20:E$1478)))))</f>
        <v/>
      </c>
      <c r="J1497" s="24" t="str">
        <f aca="true">IF(OR(E1497="",E1497="!!!",F1497="NEW"),"",COUNTBLANK(OFFSET(A$1,,,SUMPRODUCT(MAX(ROW(E$2:E1497)*(E1497=E$2:E1497)))))-COUNTBLANK(OFFSET(A$1,,,SUMPRODUCT(MAX(ROW(E$1:E1496)*(E2=E$1:E1496))))))</f>
        <v/>
      </c>
      <c r="K1497" s="24" t="str">
        <f aca="false">IF(OR(E1497="",E1497="!!!",F1497="NEW"),"",INDEX(J$1:J1496,SUMPRODUCT(MAX(ROW(E$1:E1496)*(E1497=E$1:E1496)))))</f>
        <v/>
      </c>
      <c r="L1497" s="31"/>
    </row>
    <row r="1498" customFormat="false" ht="15" hidden="false" customHeight="false" outlineLevel="0" collapsed="false">
      <c r="A1498" s="20" t="s">
        <v>1109</v>
      </c>
      <c r="E1498" s="23" t="str">
        <f aca="false">IF(D1498="?OLD","!!!","")</f>
        <v/>
      </c>
      <c r="F1498" s="25" t="str">
        <f aca="false">IF(OR(E1498="",E1498="!!!"),"",IF(NOT(ISNA(VLOOKUP(E1498,E$1:E1497,1,FALSE()))),"OLD",IF(AND(E1498&lt;&gt;"",E1498&lt;&gt;"!!!"),"NEW","")))</f>
        <v/>
      </c>
      <c r="G1498" s="26" t="str">
        <f aca="false">IF(OR(E1498="",E1498="!!!"),"",IF(OR(J1498=0,AND(J1498=1,K1498=1),AND(J1498=1,I1498="SBJ"),AND(J1498=1,I1498=0)),"?IN_FOCUS",IF(J1498&lt;=2,"?ACTIVATED",IF(J1498&lt;&gt;"","?FAMILIAR",IF(F1498="NEW",IF(ISNA(VLOOKUP(E1498,#REF!,1,FALSE())),"?TYPE_IDENTIFIABLE","?REFERENTIAL"),"_")))))</f>
        <v/>
      </c>
      <c r="H1498" s="27" t="str">
        <f aca="false">IF(J1498&lt;&gt;1,"",IF(I1498="SBJ","CB","?"))</f>
        <v/>
      </c>
      <c r="I1498" s="24" t="str">
        <f aca="false">IF(OR(E1498="",E1498="!!!",F1498="NEW"),"",INDEX(B21:B$1478,-1+SUMPRODUCT(MAX(ROW(E21:E$1478)*(E1498=E21:E$1478)))))</f>
        <v/>
      </c>
      <c r="J1498" s="24" t="str">
        <f aca="true">IF(OR(E1498="",E1498="!!!",F1498="NEW"),"",COUNTBLANK(OFFSET(A$1,,,SUMPRODUCT(MAX(ROW(E$2:E1498)*(E1498=E$2:E1498)))))-COUNTBLANK(OFFSET(A$1,,,SUMPRODUCT(MAX(ROW(E$1:E1497)*(E2=E$1:E1497))))))</f>
        <v/>
      </c>
      <c r="K1498" s="24" t="str">
        <f aca="false">IF(OR(E1498="",E1498="!!!",F1498="NEW"),"",INDEX(J$1:J1497,SUMPRODUCT(MAX(ROW(E$1:E1497)*(E1498=E$1:E1497)))))</f>
        <v/>
      </c>
      <c r="L1498" s="31"/>
    </row>
    <row r="1499" customFormat="false" ht="15" hidden="false" customHeight="false" outlineLevel="0" collapsed="false">
      <c r="A1499" s="20" t="s">
        <v>1269</v>
      </c>
      <c r="B1499" s="22" t="s">
        <v>1073</v>
      </c>
      <c r="C1499" s="22" t="s">
        <v>1150</v>
      </c>
      <c r="D1499" s="22" t="s">
        <v>1060</v>
      </c>
      <c r="E1499" s="23" t="str">
        <f aca="false">IF(D1499="?OLD","!!!","")</f>
        <v>!!!</v>
      </c>
      <c r="F1499" s="25" t="str">
        <f aca="false">IF(OR(E1499="",E1499="!!!"),"",IF(NOT(ISNA(VLOOKUP(E1499,E$1:E1498,1,FALSE()))),"OLD",IF(AND(E1499&lt;&gt;"",E1499&lt;&gt;"!!!"),"NEW","")))</f>
        <v/>
      </c>
      <c r="G1499" s="26" t="str">
        <f aca="false">IF(OR(E1499="",E1499="!!!"),"",IF(OR(J1499=0,AND(J1499=1,K1499=1),AND(J1499=1,I1499="SBJ"),AND(J1499=1,I1499=0)),"?IN_FOCUS",IF(J1499&lt;=2,"?ACTIVATED",IF(J1499&lt;&gt;"","?FAMILIAR",IF(F1499="NEW",IF(ISNA(VLOOKUP(E1499,#REF!,1,FALSE())),"?TYPE_IDENTIFIABLE","?REFERENTIAL"),"_")))))</f>
        <v/>
      </c>
      <c r="H1499" s="27" t="str">
        <f aca="false">IF(J1499&lt;&gt;1,"",IF(I1499="SBJ","CB","?"))</f>
        <v/>
      </c>
      <c r="I1499" s="24" t="str">
        <f aca="false">IF(OR(E1499="",E1499="!!!",F1499="NEW"),"",INDEX(B22:B$1478,-1+SUMPRODUCT(MAX(ROW(E22:E$1478)*(E1499=E22:E$1478)))))</f>
        <v/>
      </c>
      <c r="J1499" s="24" t="str">
        <f aca="true">IF(OR(E1499="",E1499="!!!",F1499="NEW"),"",COUNTBLANK(OFFSET(A$1,,,SUMPRODUCT(MAX(ROW(E$2:E1499)*(E1499=E$2:E1499)))))-COUNTBLANK(OFFSET(A$1,,,SUMPRODUCT(MAX(ROW(E$1:E1498)*(E2=E$1:E1498))))))</f>
        <v/>
      </c>
      <c r="K1499" s="24" t="str">
        <f aca="false">IF(OR(E1499="",E1499="!!!",F1499="NEW"),"",INDEX(J$1:J1498,SUMPRODUCT(MAX(ROW(E$1:E1498)*(E1499=E$1:E1498)))))</f>
        <v/>
      </c>
      <c r="L1499" s="31"/>
    </row>
    <row r="1500" customFormat="false" ht="15" hidden="false" customHeight="false" outlineLevel="0" collapsed="false">
      <c r="A1500" s="20" t="s">
        <v>923</v>
      </c>
      <c r="E1500" s="23" t="str">
        <f aca="false">IF(D1500="?OLD","!!!","")</f>
        <v/>
      </c>
      <c r="F1500" s="25" t="str">
        <f aca="false">IF(OR(E1500="",E1500="!!!"),"",IF(NOT(ISNA(VLOOKUP(E1500,E$1:E1499,1,FALSE()))),"OLD",IF(AND(E1500&lt;&gt;"",E1500&lt;&gt;"!!!"),"NEW","")))</f>
        <v/>
      </c>
      <c r="G1500" s="26" t="str">
        <f aca="false">IF(OR(E1500="",E1500="!!!"),"",IF(OR(J1500=0,AND(J1500=1,K1500=1),AND(J1500=1,I1500="SBJ"),AND(J1500=1,I1500=0)),"?IN_FOCUS",IF(J1500&lt;=2,"?ACTIVATED",IF(J1500&lt;&gt;"","?FAMILIAR",IF(F1500="NEW",IF(ISNA(VLOOKUP(E1500,#REF!,1,FALSE())),"?TYPE_IDENTIFIABLE","?REFERENTIAL"),"_")))))</f>
        <v/>
      </c>
      <c r="H1500" s="27" t="str">
        <f aca="false">IF(J1500&lt;&gt;1,"",IF(I1500="SBJ","CB","?"))</f>
        <v/>
      </c>
      <c r="I1500" s="24" t="str">
        <f aca="false">IF(OR(E1500="",E1500="!!!",F1500="NEW"),"",INDEX(B23:B$1478,-1+SUMPRODUCT(MAX(ROW(E23:E$1478)*(E1500=E23:E$1478)))))</f>
        <v/>
      </c>
      <c r="J1500" s="24" t="str">
        <f aca="true">IF(OR(E1500="",E1500="!!!",F1500="NEW"),"",COUNTBLANK(OFFSET(A$1,,,SUMPRODUCT(MAX(ROW(E$2:E1500)*(E1500=E$2:E1500)))))-COUNTBLANK(OFFSET(A$1,,,SUMPRODUCT(MAX(ROW(E$1:E1499)*(E2=E$1:E1499))))))</f>
        <v/>
      </c>
      <c r="K1500" s="24" t="str">
        <f aca="false">IF(OR(E1500="",E1500="!!!",F1500="NEW"),"",INDEX(J$1:J1499,SUMPRODUCT(MAX(ROW(E$1:E1499)*(E1500=E$1:E1499)))))</f>
        <v/>
      </c>
      <c r="L1500" s="31"/>
    </row>
    <row r="1501" customFormat="false" ht="15" hidden="false" customHeight="false" outlineLevel="0" collapsed="false">
      <c r="A1501" s="20"/>
    </row>
    <row r="1502" customFormat="false" ht="15" hidden="false" customHeight="false" outlineLevel="0" collapsed="false">
      <c r="A1502" s="20" t="s">
        <v>1690</v>
      </c>
    </row>
    <row r="1503" customFormat="false" ht="15" hidden="false" customHeight="false" outlineLevel="0" collapsed="false">
      <c r="A1503" s="20" t="s">
        <v>1691</v>
      </c>
      <c r="E1503" s="23" t="str">
        <f aca="false">IF(D1503="?OLD","!!!","")</f>
        <v/>
      </c>
      <c r="F1503" s="25" t="str">
        <f aca="false">IF(OR(E1503="",E1503="!!!"),"",IF(NOT(ISNA(VLOOKUP(E1503,E$1:E1502,1,FALSE()))),"OLD",IF(AND(E1503&lt;&gt;"",E1503&lt;&gt;"!!!"),"NEW","")))</f>
        <v/>
      </c>
      <c r="G1503" s="26" t="str">
        <f aca="false">IF(OR(E1503="",E1503="!!!"),"",IF(OR(J1503=0,AND(J1503=1,K1503=1),AND(J1503=1,I1503="SBJ"),AND(J1503=1,I1503=0)),"?IN_FOCUS",IF(J1503&lt;=2,"?ACTIVATED",IF(J1503&lt;&gt;"","?FAMILIAR",IF(F1503="NEW",IF(ISNA(VLOOKUP(E1503,#REF!,1,FALSE())),"?TYPE_IDENTIFIABLE","?REFERENTIAL"),"_")))))</f>
        <v/>
      </c>
      <c r="H1503" s="27" t="str">
        <f aca="false">IF(J1503&lt;&gt;1,"",IF(I1503="SBJ","CB","?"))</f>
        <v/>
      </c>
      <c r="I1503" s="24" t="str">
        <f aca="false">IF(OR(E1503="",E1503="!!!",F1503="NEW"),"",INDEX(B2:B$1502,-1+SUMPRODUCT(MAX(ROW(E2:E$1502)*(E1503=E2:E$1502)))))</f>
        <v/>
      </c>
      <c r="J1503" s="24" t="str">
        <f aca="true">IF(OR(E1503="",E1503="!!!",F1503="NEW"),"",COUNTBLANK(OFFSET(A$1,,,SUMPRODUCT(MAX(ROW(E$2:E1503)*(E1503=E$2:E1503)))))-COUNTBLANK(OFFSET(A$1,,,SUMPRODUCT(MAX(ROW(E$1:E1502)*(E2=E$1:E1502))))))</f>
        <v/>
      </c>
      <c r="K1503" s="24" t="str">
        <f aca="false">IF(OR(E1503="",E1503="!!!",F1503="NEW"),"",INDEX(J$1:J1502,SUMPRODUCT(MAX(ROW(E$1:E1502)*(E1503=E$1:E1502)))))</f>
        <v/>
      </c>
      <c r="L1503" s="31"/>
    </row>
    <row r="1504" customFormat="false" ht="15" hidden="false" customHeight="false" outlineLevel="0" collapsed="false">
      <c r="A1504" s="20" t="s">
        <v>1109</v>
      </c>
      <c r="E1504" s="23" t="str">
        <f aca="false">IF(D1504="?OLD","!!!","")</f>
        <v/>
      </c>
      <c r="F1504" s="25" t="str">
        <f aca="false">IF(OR(E1504="",E1504="!!!"),"",IF(NOT(ISNA(VLOOKUP(E1504,E$1:E1503,1,FALSE()))),"OLD",IF(AND(E1504&lt;&gt;"",E1504&lt;&gt;"!!!"),"NEW","")))</f>
        <v/>
      </c>
      <c r="G1504" s="26" t="str">
        <f aca="false">IF(OR(E1504="",E1504="!!!"),"",IF(OR(J1504=0,AND(J1504=1,K1504=1),AND(J1504=1,I1504="SBJ"),AND(J1504=1,I1504=0)),"?IN_FOCUS",IF(J1504&lt;=2,"?ACTIVATED",IF(J1504&lt;&gt;"","?FAMILIAR",IF(F1504="NEW",IF(ISNA(VLOOKUP(E1504,#REF!,1,FALSE())),"?TYPE_IDENTIFIABLE","?REFERENTIAL"),"_")))))</f>
        <v/>
      </c>
      <c r="H1504" s="27" t="str">
        <f aca="false">IF(J1504&lt;&gt;1,"",IF(I1504="SBJ","CB","?"))</f>
        <v/>
      </c>
      <c r="I1504" s="24" t="str">
        <f aca="false">IF(OR(E1504="",E1504="!!!",F1504="NEW"),"",INDEX(B3:B$1502,-1+SUMPRODUCT(MAX(ROW(E3:E$1502)*(E1504=E3:E$1502)))))</f>
        <v/>
      </c>
      <c r="J1504" s="24" t="str">
        <f aca="true">IF(OR(E1504="",E1504="!!!",F1504="NEW"),"",COUNTBLANK(OFFSET(A$1,,,SUMPRODUCT(MAX(ROW(E$2:E1504)*(E1504=E$2:E1504)))))-COUNTBLANK(OFFSET(A$1,,,SUMPRODUCT(MAX(ROW(E$1:E1503)*(E2=E$1:E1503))))))</f>
        <v/>
      </c>
      <c r="K1504" s="24" t="str">
        <f aca="false">IF(OR(E1504="",E1504="!!!",F1504="NEW"),"",INDEX(J$1:J1503,SUMPRODUCT(MAX(ROW(E$1:E1503)*(E1504=E$1:E1503)))))</f>
        <v/>
      </c>
      <c r="L1504" s="31"/>
    </row>
    <row r="1505" customFormat="false" ht="15" hidden="false" customHeight="false" outlineLevel="0" collapsed="false">
      <c r="A1505" s="20" t="s">
        <v>1692</v>
      </c>
      <c r="E1505" s="23" t="str">
        <f aca="false">IF(D1505="?OLD","!!!","")</f>
        <v/>
      </c>
      <c r="F1505" s="25" t="str">
        <f aca="false">IF(OR(E1505="",E1505="!!!"),"",IF(NOT(ISNA(VLOOKUP(E1505,E$1:E1504,1,FALSE()))),"OLD",IF(AND(E1505&lt;&gt;"",E1505&lt;&gt;"!!!"),"NEW","")))</f>
        <v/>
      </c>
      <c r="G1505" s="26" t="str">
        <f aca="false">IF(OR(E1505="",E1505="!!!"),"",IF(OR(J1505=0,AND(J1505=1,K1505=1),AND(J1505=1,I1505="SBJ"),AND(J1505=1,I1505=0)),"?IN_FOCUS",IF(J1505&lt;=2,"?ACTIVATED",IF(J1505&lt;&gt;"","?FAMILIAR",IF(F1505="NEW",IF(ISNA(VLOOKUP(E1505,#REF!,1,FALSE())),"?TYPE_IDENTIFIABLE","?REFERENTIAL"),"_")))))</f>
        <v/>
      </c>
      <c r="H1505" s="27" t="str">
        <f aca="false">IF(J1505&lt;&gt;1,"",IF(I1505="SBJ","CB","?"))</f>
        <v/>
      </c>
      <c r="I1505" s="24" t="str">
        <f aca="false">IF(OR(E1505="",E1505="!!!",F1505="NEW"),"",INDEX(B4:B$1502,-1+SUMPRODUCT(MAX(ROW(E4:E$1502)*(E1505=E4:E$1502)))))</f>
        <v/>
      </c>
      <c r="J1505" s="24" t="str">
        <f aca="true">IF(OR(E1505="",E1505="!!!",F1505="NEW"),"",COUNTBLANK(OFFSET(A$1,,,SUMPRODUCT(MAX(ROW(E$2:E1505)*(E1505=E$2:E1505)))))-COUNTBLANK(OFFSET(A$1,,,SUMPRODUCT(MAX(ROW(E$1:E1504)*(E2=E$1:E1504))))))</f>
        <v/>
      </c>
      <c r="K1505" s="24" t="str">
        <f aca="false">IF(OR(E1505="",E1505="!!!",F1505="NEW"),"",INDEX(J$1:J1504,SUMPRODUCT(MAX(ROW(E$1:E1504)*(E1505=E$1:E1504)))))</f>
        <v/>
      </c>
      <c r="L1505" s="31"/>
    </row>
    <row r="1506" customFormat="false" ht="15" hidden="false" customHeight="false" outlineLevel="0" collapsed="false">
      <c r="A1506" s="20" t="s">
        <v>1693</v>
      </c>
      <c r="E1506" s="23" t="str">
        <f aca="false">IF(D1506="?OLD","!!!","")</f>
        <v/>
      </c>
      <c r="F1506" s="25" t="str">
        <f aca="false">IF(OR(E1506="",E1506="!!!"),"",IF(NOT(ISNA(VLOOKUP(E1506,E$1:E1505,1,FALSE()))),"OLD",IF(AND(E1506&lt;&gt;"",E1506&lt;&gt;"!!!"),"NEW","")))</f>
        <v/>
      </c>
      <c r="G1506" s="26" t="str">
        <f aca="false">IF(OR(E1506="",E1506="!!!"),"",IF(OR(J1506=0,AND(J1506=1,K1506=1),AND(J1506=1,I1506="SBJ"),AND(J1506=1,I1506=0)),"?IN_FOCUS",IF(J1506&lt;=2,"?ACTIVATED",IF(J1506&lt;&gt;"","?FAMILIAR",IF(F1506="NEW",IF(ISNA(VLOOKUP(E1506,#REF!,1,FALSE())),"?TYPE_IDENTIFIABLE","?REFERENTIAL"),"_")))))</f>
        <v/>
      </c>
      <c r="H1506" s="27" t="str">
        <f aca="false">IF(J1506&lt;&gt;1,"",IF(I1506="SBJ","CB","?"))</f>
        <v/>
      </c>
      <c r="I1506" s="24" t="str">
        <f aca="false">IF(OR(E1506="",E1506="!!!",F1506="NEW"),"",INDEX(B5:B$1502,-1+SUMPRODUCT(MAX(ROW(E5:E$1502)*(E1506=E5:E$1502)))))</f>
        <v/>
      </c>
      <c r="J1506" s="24" t="str">
        <f aca="true">IF(OR(E1506="",E1506="!!!",F1506="NEW"),"",COUNTBLANK(OFFSET(A$1,,,SUMPRODUCT(MAX(ROW(E$2:E1506)*(E1506=E$2:E1506)))))-COUNTBLANK(OFFSET(A$1,,,SUMPRODUCT(MAX(ROW(E$1:E1505)*(E2=E$1:E1505))))))</f>
        <v/>
      </c>
      <c r="K1506" s="24" t="str">
        <f aca="false">IF(OR(E1506="",E1506="!!!",F1506="NEW"),"",INDEX(J$1:J1505,SUMPRODUCT(MAX(ROW(E$1:E1505)*(E1506=E$1:E1505)))))</f>
        <v/>
      </c>
      <c r="L1506" s="31"/>
    </row>
    <row r="1507" customFormat="false" ht="15" hidden="false" customHeight="false" outlineLevel="0" collapsed="false">
      <c r="A1507" s="20" t="s">
        <v>1694</v>
      </c>
      <c r="B1507" s="22" t="s">
        <v>1058</v>
      </c>
      <c r="C1507" s="22" t="s">
        <v>1059</v>
      </c>
      <c r="D1507" s="22" t="s">
        <v>1060</v>
      </c>
      <c r="E1507" s="23" t="str">
        <f aca="false">IF(D1507="?OLD","!!!","")</f>
        <v>!!!</v>
      </c>
      <c r="F1507" s="25" t="str">
        <f aca="false">IF(OR(E1507="",E1507="!!!"),"",IF(NOT(ISNA(VLOOKUP(E1507,E$1:E1506,1,FALSE()))),"OLD",IF(AND(E1507&lt;&gt;"",E1507&lt;&gt;"!!!"),"NEW","")))</f>
        <v/>
      </c>
      <c r="G1507" s="26" t="str">
        <f aca="false">IF(OR(E1507="",E1507="!!!"),"",IF(OR(J1507=0,AND(J1507=1,K1507=1),AND(J1507=1,I1507="SBJ"),AND(J1507=1,I1507=0)),"?IN_FOCUS",IF(J1507&lt;=2,"?ACTIVATED",IF(J1507&lt;&gt;"","?FAMILIAR",IF(F1507="NEW",IF(ISNA(VLOOKUP(E1507,#REF!,1,FALSE())),"?TYPE_IDENTIFIABLE","?REFERENTIAL"),"_")))))</f>
        <v/>
      </c>
      <c r="H1507" s="27" t="str">
        <f aca="false">IF(J1507&lt;&gt;1,"",IF(I1507="SBJ","CB","?"))</f>
        <v/>
      </c>
      <c r="I1507" s="24" t="str">
        <f aca="false">IF(OR(E1507="",E1507="!!!",F1507="NEW"),"",INDEX(B6:B$1502,-1+SUMPRODUCT(MAX(ROW(E6:E$1502)*(E1507=E6:E$1502)))))</f>
        <v/>
      </c>
      <c r="J1507" s="24" t="str">
        <f aca="true">IF(OR(E1507="",E1507="!!!",F1507="NEW"),"",COUNTBLANK(OFFSET(A$1,,,SUMPRODUCT(MAX(ROW(E$2:E1507)*(E1507=E$2:E1507)))))-COUNTBLANK(OFFSET(A$1,,,SUMPRODUCT(MAX(ROW(E$1:E1506)*(E2=E$1:E1506))))))</f>
        <v/>
      </c>
      <c r="K1507" s="24" t="str">
        <f aca="false">IF(OR(E1507="",E1507="!!!",F1507="NEW"),"",INDEX(J$1:J1506,SUMPRODUCT(MAX(ROW(E$1:E1506)*(E1507=E$1:E1506)))))</f>
        <v/>
      </c>
      <c r="L1507" s="31"/>
    </row>
    <row r="1508" customFormat="false" ht="15" hidden="false" customHeight="false" outlineLevel="0" collapsed="false">
      <c r="A1508" s="20" t="s">
        <v>1064</v>
      </c>
      <c r="E1508" s="23" t="str">
        <f aca="false">IF(D1508="?OLD","!!!","")</f>
        <v/>
      </c>
      <c r="F1508" s="25" t="str">
        <f aca="false">IF(OR(E1508="",E1508="!!!"),"",IF(NOT(ISNA(VLOOKUP(E1508,E$1:E1507,1,FALSE()))),"OLD",IF(AND(E1508&lt;&gt;"",E1508&lt;&gt;"!!!"),"NEW","")))</f>
        <v/>
      </c>
      <c r="G1508" s="26" t="str">
        <f aca="false">IF(OR(E1508="",E1508="!!!"),"",IF(OR(J1508=0,AND(J1508=1,K1508=1),AND(J1508=1,I1508="SBJ"),AND(J1508=1,I1508=0)),"?IN_FOCUS",IF(J1508&lt;=2,"?ACTIVATED",IF(J1508&lt;&gt;"","?FAMILIAR",IF(F1508="NEW",IF(ISNA(VLOOKUP(E1508,#REF!,1,FALSE())),"?TYPE_IDENTIFIABLE","?REFERENTIAL"),"_")))))</f>
        <v/>
      </c>
      <c r="H1508" s="27" t="str">
        <f aca="false">IF(J1508&lt;&gt;1,"",IF(I1508="SBJ","CB","?"))</f>
        <v/>
      </c>
      <c r="I1508" s="24" t="str">
        <f aca="false">IF(OR(E1508="",E1508="!!!",F1508="NEW"),"",INDEX(B7:B$1502,-1+SUMPRODUCT(MAX(ROW(E7:E$1502)*(E1508=E7:E$1502)))))</f>
        <v/>
      </c>
      <c r="J1508" s="24" t="str">
        <f aca="true">IF(OR(E1508="",E1508="!!!",F1508="NEW"),"",COUNTBLANK(OFFSET(A$1,,,SUMPRODUCT(MAX(ROW(E$2:E1508)*(E1508=E$2:E1508)))))-COUNTBLANK(OFFSET(A$1,,,SUMPRODUCT(MAX(ROW(E$1:E1507)*(E2=E$1:E1507))))))</f>
        <v/>
      </c>
      <c r="K1508" s="24" t="str">
        <f aca="false">IF(OR(E1508="",E1508="!!!",F1508="NEW"),"",INDEX(J$1:J1507,SUMPRODUCT(MAX(ROW(E$1:E1507)*(E1508=E$1:E1507)))))</f>
        <v/>
      </c>
      <c r="L1508" s="31"/>
    </row>
    <row r="1509" customFormat="false" ht="15" hidden="false" customHeight="false" outlineLevel="0" collapsed="false">
      <c r="A1509" s="20" t="s">
        <v>1080</v>
      </c>
      <c r="B1509" s="22" t="s">
        <v>1073</v>
      </c>
      <c r="C1509" s="22" t="s">
        <v>1082</v>
      </c>
      <c r="D1509" s="22" t="s">
        <v>1060</v>
      </c>
      <c r="E1509" s="23" t="str">
        <f aca="false">IF(D1509="?OLD","!!!","")</f>
        <v>!!!</v>
      </c>
      <c r="F1509" s="25" t="str">
        <f aca="false">IF(OR(E1509="",E1509="!!!"),"",IF(NOT(ISNA(VLOOKUP(E1509,E$1:E1508,1,FALSE()))),"OLD",IF(AND(E1509&lt;&gt;"",E1509&lt;&gt;"!!!"),"NEW","")))</f>
        <v/>
      </c>
      <c r="G1509" s="26" t="str">
        <f aca="false">IF(OR(E1509="",E1509="!!!"),"",IF(OR(J1509=0,AND(J1509=1,K1509=1),AND(J1509=1,I1509="SBJ"),AND(J1509=1,I1509=0)),"?IN_FOCUS",IF(J1509&lt;=2,"?ACTIVATED",IF(J1509&lt;&gt;"","?FAMILIAR",IF(F1509="NEW",IF(ISNA(VLOOKUP(E1509,#REF!,1,FALSE())),"?TYPE_IDENTIFIABLE","?REFERENTIAL"),"_")))))</f>
        <v/>
      </c>
      <c r="H1509" s="27" t="str">
        <f aca="false">IF(J1509&lt;&gt;1,"",IF(I1509="SBJ","CB","?"))</f>
        <v/>
      </c>
      <c r="I1509" s="24" t="str">
        <f aca="false">IF(OR(E1509="",E1509="!!!",F1509="NEW"),"",INDEX(B8:B$1502,-1+SUMPRODUCT(MAX(ROW(E8:E$1502)*(E1509=E8:E$1502)))))</f>
        <v/>
      </c>
      <c r="J1509" s="24" t="str">
        <f aca="true">IF(OR(E1509="",E1509="!!!",F1509="NEW"),"",COUNTBLANK(OFFSET(A$1,,,SUMPRODUCT(MAX(ROW(E$2:E1509)*(E1509=E$2:E1509)))))-COUNTBLANK(OFFSET(A$1,,,SUMPRODUCT(MAX(ROW(E$1:E1508)*(E2=E$1:E1508))))))</f>
        <v/>
      </c>
      <c r="K1509" s="24" t="str">
        <f aca="false">IF(OR(E1509="",E1509="!!!",F1509="NEW"),"",INDEX(J$1:J1508,SUMPRODUCT(MAX(ROW(E$1:E1508)*(E1509=E$1:E1508)))))</f>
        <v/>
      </c>
      <c r="L1509" s="31"/>
    </row>
    <row r="1510" customFormat="false" ht="15" hidden="false" customHeight="false" outlineLevel="0" collapsed="false">
      <c r="A1510" s="20" t="s">
        <v>1135</v>
      </c>
      <c r="E1510" s="23" t="str">
        <f aca="false">IF(D1510="?OLD","!!!","")</f>
        <v/>
      </c>
      <c r="F1510" s="25" t="str">
        <f aca="false">IF(OR(E1510="",E1510="!!!"),"",IF(NOT(ISNA(VLOOKUP(E1510,E$1:E1509,1,FALSE()))),"OLD",IF(AND(E1510&lt;&gt;"",E1510&lt;&gt;"!!!"),"NEW","")))</f>
        <v/>
      </c>
      <c r="G1510" s="26" t="str">
        <f aca="false">IF(OR(E1510="",E1510="!!!"),"",IF(OR(J1510=0,AND(J1510=1,K1510=1),AND(J1510=1,I1510="SBJ"),AND(J1510=1,I1510=0)),"?IN_FOCUS",IF(J1510&lt;=2,"?ACTIVATED",IF(J1510&lt;&gt;"","?FAMILIAR",IF(F1510="NEW",IF(ISNA(VLOOKUP(E1510,#REF!,1,FALSE())),"?TYPE_IDENTIFIABLE","?REFERENTIAL"),"_")))))</f>
        <v/>
      </c>
      <c r="H1510" s="27" t="str">
        <f aca="false">IF(J1510&lt;&gt;1,"",IF(I1510="SBJ","CB","?"))</f>
        <v/>
      </c>
      <c r="I1510" s="24" t="str">
        <f aca="false">IF(OR(E1510="",E1510="!!!",F1510="NEW"),"",INDEX(B9:B$1502,-1+SUMPRODUCT(MAX(ROW(E9:E$1502)*(E1510=E9:E$1502)))))</f>
        <v/>
      </c>
      <c r="J1510" s="24" t="str">
        <f aca="true">IF(OR(E1510="",E1510="!!!",F1510="NEW"),"",COUNTBLANK(OFFSET(A$1,,,SUMPRODUCT(MAX(ROW(E$2:E1510)*(E1510=E$2:E1510)))))-COUNTBLANK(OFFSET(A$1,,,SUMPRODUCT(MAX(ROW(E$1:E1509)*(E2=E$1:E1509))))))</f>
        <v/>
      </c>
      <c r="K1510" s="24" t="str">
        <f aca="false">IF(OR(E1510="",E1510="!!!",F1510="NEW"),"",INDEX(J$1:J1509,SUMPRODUCT(MAX(ROW(E$1:E1509)*(E1510=E$1:E1509)))))</f>
        <v/>
      </c>
      <c r="L1510" s="31"/>
    </row>
    <row r="1511" customFormat="false" ht="15" hidden="false" customHeight="false" outlineLevel="0" collapsed="false">
      <c r="A1511" s="20" t="s">
        <v>1695</v>
      </c>
      <c r="E1511" s="23" t="str">
        <f aca="false">IF(D1511="?OLD","!!!","")</f>
        <v/>
      </c>
      <c r="F1511" s="25" t="str">
        <f aca="false">IF(OR(E1511="",E1511="!!!"),"",IF(NOT(ISNA(VLOOKUP(E1511,E$1:E1510,1,FALSE()))),"OLD",IF(AND(E1511&lt;&gt;"",E1511&lt;&gt;"!!!"),"NEW","")))</f>
        <v/>
      </c>
      <c r="G1511" s="26" t="str">
        <f aca="false">IF(OR(E1511="",E1511="!!!"),"",IF(OR(J1511=0,AND(J1511=1,K1511=1),AND(J1511=1,I1511="SBJ"),AND(J1511=1,I1511=0)),"?IN_FOCUS",IF(J1511&lt;=2,"?ACTIVATED",IF(J1511&lt;&gt;"","?FAMILIAR",IF(F1511="NEW",IF(ISNA(VLOOKUP(E1511,#REF!,1,FALSE())),"?TYPE_IDENTIFIABLE","?REFERENTIAL"),"_")))))</f>
        <v/>
      </c>
      <c r="H1511" s="27" t="str">
        <f aca="false">IF(J1511&lt;&gt;1,"",IF(I1511="SBJ","CB","?"))</f>
        <v/>
      </c>
      <c r="I1511" s="24" t="str">
        <f aca="false">IF(OR(E1511="",E1511="!!!",F1511="NEW"),"",INDEX(B10:B$1502,-1+SUMPRODUCT(MAX(ROW(E10:E$1502)*(E1511=E10:E$1502)))))</f>
        <v/>
      </c>
      <c r="J1511" s="24" t="str">
        <f aca="true">IF(OR(E1511="",E1511="!!!",F1511="NEW"),"",COUNTBLANK(OFFSET(A$1,,,SUMPRODUCT(MAX(ROW(E$2:E1511)*(E1511=E$2:E1511)))))-COUNTBLANK(OFFSET(A$1,,,SUMPRODUCT(MAX(ROW(E$1:E1510)*(E2=E$1:E1510))))))</f>
        <v/>
      </c>
      <c r="K1511" s="24" t="str">
        <f aca="false">IF(OR(E1511="",E1511="!!!",F1511="NEW"),"",INDEX(J$1:J1510,SUMPRODUCT(MAX(ROW(E$1:E1510)*(E1511=E$1:E1510)))))</f>
        <v/>
      </c>
      <c r="L1511" s="31"/>
    </row>
    <row r="1512" customFormat="false" ht="15" hidden="false" customHeight="false" outlineLevel="0" collapsed="false">
      <c r="A1512" s="20" t="s">
        <v>1510</v>
      </c>
      <c r="E1512" s="23" t="str">
        <f aca="false">IF(D1512="?OLD","!!!","")</f>
        <v/>
      </c>
      <c r="F1512" s="25" t="str">
        <f aca="false">IF(OR(E1512="",E1512="!!!"),"",IF(NOT(ISNA(VLOOKUP(E1512,E$1:E1511,1,FALSE()))),"OLD",IF(AND(E1512&lt;&gt;"",E1512&lt;&gt;"!!!"),"NEW","")))</f>
        <v/>
      </c>
      <c r="G1512" s="26" t="str">
        <f aca="false">IF(OR(E1512="",E1512="!!!"),"",IF(OR(J1512=0,AND(J1512=1,K1512=1),AND(J1512=1,I1512="SBJ"),AND(J1512=1,I1512=0)),"?IN_FOCUS",IF(J1512&lt;=2,"?ACTIVATED",IF(J1512&lt;&gt;"","?FAMILIAR",IF(F1512="NEW",IF(ISNA(VLOOKUP(E1512,#REF!,1,FALSE())),"?TYPE_IDENTIFIABLE","?REFERENTIAL"),"_")))))</f>
        <v/>
      </c>
      <c r="H1512" s="27" t="str">
        <f aca="false">IF(J1512&lt;&gt;1,"",IF(I1512="SBJ","CB","?"))</f>
        <v/>
      </c>
      <c r="I1512" s="24" t="str">
        <f aca="false">IF(OR(E1512="",E1512="!!!",F1512="NEW"),"",INDEX(B11:B$1502,-1+SUMPRODUCT(MAX(ROW(E11:E$1502)*(E1512=E11:E$1502)))))</f>
        <v/>
      </c>
      <c r="J1512" s="24" t="str">
        <f aca="true">IF(OR(E1512="",E1512="!!!",F1512="NEW"),"",COUNTBLANK(OFFSET(A$1,,,SUMPRODUCT(MAX(ROW(E$2:E1512)*(E1512=E$2:E1512)))))-COUNTBLANK(OFFSET(A$1,,,SUMPRODUCT(MAX(ROW(E$1:E1511)*(E2=E$1:E1511))))))</f>
        <v/>
      </c>
      <c r="K1512" s="24" t="str">
        <f aca="false">IF(OR(E1512="",E1512="!!!",F1512="NEW"),"",INDEX(J$1:J1511,SUMPRODUCT(MAX(ROW(E$1:E1511)*(E1512=E$1:E1511)))))</f>
        <v/>
      </c>
      <c r="L1512" s="31"/>
    </row>
    <row r="1513" customFormat="false" ht="15" hidden="false" customHeight="false" outlineLevel="0" collapsed="false">
      <c r="A1513" s="20" t="s">
        <v>1109</v>
      </c>
      <c r="E1513" s="23" t="str">
        <f aca="false">IF(D1513="?OLD","!!!","")</f>
        <v/>
      </c>
      <c r="F1513" s="25" t="str">
        <f aca="false">IF(OR(E1513="",E1513="!!!"),"",IF(NOT(ISNA(VLOOKUP(E1513,E$1:E1512,1,FALSE()))),"OLD",IF(AND(E1513&lt;&gt;"",E1513&lt;&gt;"!!!"),"NEW","")))</f>
        <v/>
      </c>
      <c r="G1513" s="26" t="str">
        <f aca="false">IF(OR(E1513="",E1513="!!!"),"",IF(OR(J1513=0,AND(J1513=1,K1513=1),AND(J1513=1,I1513="SBJ"),AND(J1513=1,I1513=0)),"?IN_FOCUS",IF(J1513&lt;=2,"?ACTIVATED",IF(J1513&lt;&gt;"","?FAMILIAR",IF(F1513="NEW",IF(ISNA(VLOOKUP(E1513,#REF!,1,FALSE())),"?TYPE_IDENTIFIABLE","?REFERENTIAL"),"_")))))</f>
        <v/>
      </c>
      <c r="H1513" s="27" t="str">
        <f aca="false">IF(J1513&lt;&gt;1,"",IF(I1513="SBJ","CB","?"))</f>
        <v/>
      </c>
      <c r="I1513" s="24" t="str">
        <f aca="false">IF(OR(E1513="",E1513="!!!",F1513="NEW"),"",INDEX(B12:B$1502,-1+SUMPRODUCT(MAX(ROW(E12:E$1502)*(E1513=E12:E$1502)))))</f>
        <v/>
      </c>
      <c r="J1513" s="24" t="str">
        <f aca="true">IF(OR(E1513="",E1513="!!!",F1513="NEW"),"",COUNTBLANK(OFFSET(A$1,,,SUMPRODUCT(MAX(ROW(E$2:E1513)*(E1513=E$2:E1513)))))-COUNTBLANK(OFFSET(A$1,,,SUMPRODUCT(MAX(ROW(E$1:E1512)*(E2=E$1:E1512))))))</f>
        <v/>
      </c>
      <c r="K1513" s="24" t="str">
        <f aca="false">IF(OR(E1513="",E1513="!!!",F1513="NEW"),"",INDEX(J$1:J1512,SUMPRODUCT(MAX(ROW(E$1:E1512)*(E1513=E$1:E1512)))))</f>
        <v/>
      </c>
      <c r="L1513" s="31"/>
    </row>
    <row r="1514" customFormat="false" ht="15" hidden="false" customHeight="false" outlineLevel="0" collapsed="false">
      <c r="A1514" s="20" t="s">
        <v>1670</v>
      </c>
      <c r="E1514" s="23" t="str">
        <f aca="false">IF(D1514="?OLD","!!!","")</f>
        <v/>
      </c>
      <c r="F1514" s="25" t="str">
        <f aca="false">IF(OR(E1514="",E1514="!!!"),"",IF(NOT(ISNA(VLOOKUP(E1514,E$1:E1513,1,FALSE()))),"OLD",IF(AND(E1514&lt;&gt;"",E1514&lt;&gt;"!!!"),"NEW","")))</f>
        <v/>
      </c>
      <c r="G1514" s="26" t="str">
        <f aca="false">IF(OR(E1514="",E1514="!!!"),"",IF(OR(J1514=0,AND(J1514=1,K1514=1),AND(J1514=1,I1514="SBJ"),AND(J1514=1,I1514=0)),"?IN_FOCUS",IF(J1514&lt;=2,"?ACTIVATED",IF(J1514&lt;&gt;"","?FAMILIAR",IF(F1514="NEW",IF(ISNA(VLOOKUP(E1514,#REF!,1,FALSE())),"?TYPE_IDENTIFIABLE","?REFERENTIAL"),"_")))))</f>
        <v/>
      </c>
      <c r="H1514" s="27" t="str">
        <f aca="false">IF(J1514&lt;&gt;1,"",IF(I1514="SBJ","CB","?"))</f>
        <v/>
      </c>
      <c r="I1514" s="24" t="str">
        <f aca="false">IF(OR(E1514="",E1514="!!!",F1514="NEW"),"",INDEX(B13:B$1502,-1+SUMPRODUCT(MAX(ROW(E13:E$1502)*(E1514=E13:E$1502)))))</f>
        <v/>
      </c>
      <c r="J1514" s="24" t="str">
        <f aca="true">IF(OR(E1514="",E1514="!!!",F1514="NEW"),"",COUNTBLANK(OFFSET(A$1,,,SUMPRODUCT(MAX(ROW(E$2:E1514)*(E1514=E$2:E1514)))))-COUNTBLANK(OFFSET(A$1,,,SUMPRODUCT(MAX(ROW(E$1:E1513)*(E2=E$1:E1513))))))</f>
        <v/>
      </c>
      <c r="K1514" s="24" t="str">
        <f aca="false">IF(OR(E1514="",E1514="!!!",F1514="NEW"),"",INDEX(J$1:J1513,SUMPRODUCT(MAX(ROW(E$1:E1513)*(E1514=E$1:E1513)))))</f>
        <v/>
      </c>
      <c r="L1514" s="31"/>
    </row>
    <row r="1515" customFormat="false" ht="15" hidden="false" customHeight="false" outlineLevel="0" collapsed="false">
      <c r="A1515" s="20" t="s">
        <v>1696</v>
      </c>
      <c r="B1515" s="22" t="s">
        <v>1105</v>
      </c>
      <c r="C1515" s="22" t="s">
        <v>1150</v>
      </c>
      <c r="D1515" s="22" t="s">
        <v>1060</v>
      </c>
      <c r="E1515" s="23" t="str">
        <f aca="false">IF(D1515="?OLD","!!!","")</f>
        <v>!!!</v>
      </c>
      <c r="F1515" s="25" t="str">
        <f aca="false">IF(OR(E1515="",E1515="!!!"),"",IF(NOT(ISNA(VLOOKUP(E1515,E$1:E1514,1,FALSE()))),"OLD",IF(AND(E1515&lt;&gt;"",E1515&lt;&gt;"!!!"),"NEW","")))</f>
        <v/>
      </c>
      <c r="G1515" s="26" t="str">
        <f aca="false">IF(OR(E1515="",E1515="!!!"),"",IF(OR(J1515=0,AND(J1515=1,K1515=1),AND(J1515=1,I1515="SBJ"),AND(J1515=1,I1515=0)),"?IN_FOCUS",IF(J1515&lt;=2,"?ACTIVATED",IF(J1515&lt;&gt;"","?FAMILIAR",IF(F1515="NEW",IF(ISNA(VLOOKUP(E1515,#REF!,1,FALSE())),"?TYPE_IDENTIFIABLE","?REFERENTIAL"),"_")))))</f>
        <v/>
      </c>
      <c r="H1515" s="27" t="str">
        <f aca="false">IF(J1515&lt;&gt;1,"",IF(I1515="SBJ","CB","?"))</f>
        <v/>
      </c>
      <c r="I1515" s="24" t="str">
        <f aca="false">IF(OR(E1515="",E1515="!!!",F1515="NEW"),"",INDEX(B14:B$1502,-1+SUMPRODUCT(MAX(ROW(E14:E$1502)*(E1515=E14:E$1502)))))</f>
        <v/>
      </c>
      <c r="J1515" s="24" t="str">
        <f aca="true">IF(OR(E1515="",E1515="!!!",F1515="NEW"),"",COUNTBLANK(OFFSET(A$1,,,SUMPRODUCT(MAX(ROW(E$2:E1515)*(E1515=E$2:E1515)))))-COUNTBLANK(OFFSET(A$1,,,SUMPRODUCT(MAX(ROW(E$1:E1514)*(E2=E$1:E1514))))))</f>
        <v/>
      </c>
      <c r="K1515" s="24" t="str">
        <f aca="false">IF(OR(E1515="",E1515="!!!",F1515="NEW"),"",INDEX(J$1:J1514,SUMPRODUCT(MAX(ROW(E$1:E1514)*(E1515=E$1:E1514)))))</f>
        <v/>
      </c>
      <c r="L1515" s="31"/>
    </row>
    <row r="1516" customFormat="false" ht="15" hidden="false" customHeight="false" outlineLevel="0" collapsed="false">
      <c r="A1516" s="20" t="s">
        <v>1064</v>
      </c>
      <c r="E1516" s="23" t="str">
        <f aca="false">IF(D1516="?OLD","!!!","")</f>
        <v/>
      </c>
      <c r="F1516" s="25" t="str">
        <f aca="false">IF(OR(E1516="",E1516="!!!"),"",IF(NOT(ISNA(VLOOKUP(E1516,E$1:E1515,1,FALSE()))),"OLD",IF(AND(E1516&lt;&gt;"",E1516&lt;&gt;"!!!"),"NEW","")))</f>
        <v/>
      </c>
      <c r="G1516" s="26" t="str">
        <f aca="false">IF(OR(E1516="",E1516="!!!"),"",IF(OR(J1516=0,AND(J1516=1,K1516=1),AND(J1516=1,I1516="SBJ"),AND(J1516=1,I1516=0)),"?IN_FOCUS",IF(J1516&lt;=2,"?ACTIVATED",IF(J1516&lt;&gt;"","?FAMILIAR",IF(F1516="NEW",IF(ISNA(VLOOKUP(E1516,#REF!,1,FALSE())),"?TYPE_IDENTIFIABLE","?REFERENTIAL"),"_")))))</f>
        <v/>
      </c>
      <c r="H1516" s="27" t="str">
        <f aca="false">IF(J1516&lt;&gt;1,"",IF(I1516="SBJ","CB","?"))</f>
        <v/>
      </c>
      <c r="I1516" s="24" t="str">
        <f aca="false">IF(OR(E1516="",E1516="!!!",F1516="NEW"),"",INDEX(B15:B$1502,-1+SUMPRODUCT(MAX(ROW(E15:E$1502)*(E1516=E15:E$1502)))))</f>
        <v/>
      </c>
      <c r="J1516" s="24" t="str">
        <f aca="true">IF(OR(E1516="",E1516="!!!",F1516="NEW"),"",COUNTBLANK(OFFSET(A$1,,,SUMPRODUCT(MAX(ROW(E$2:E1516)*(E1516=E$2:E1516)))))-COUNTBLANK(OFFSET(A$1,,,SUMPRODUCT(MAX(ROW(E$1:E1515)*(E2=E$1:E1515))))))</f>
        <v/>
      </c>
      <c r="K1516" s="24" t="str">
        <f aca="false">IF(OR(E1516="",E1516="!!!",F1516="NEW"),"",INDEX(J$1:J1515,SUMPRODUCT(MAX(ROW(E$1:E1515)*(E1516=E$1:E1515)))))</f>
        <v/>
      </c>
      <c r="L1516" s="31"/>
    </row>
    <row r="1517" customFormat="false" ht="15" hidden="false" customHeight="false" outlineLevel="0" collapsed="false">
      <c r="A1517" s="20" t="s">
        <v>1109</v>
      </c>
      <c r="E1517" s="23" t="str">
        <f aca="false">IF(D1517="?OLD","!!!","")</f>
        <v/>
      </c>
      <c r="F1517" s="25" t="str">
        <f aca="false">IF(OR(E1517="",E1517="!!!"),"",IF(NOT(ISNA(VLOOKUP(E1517,E$1:E1516,1,FALSE()))),"OLD",IF(AND(E1517&lt;&gt;"",E1517&lt;&gt;"!!!"),"NEW","")))</f>
        <v/>
      </c>
      <c r="G1517" s="26" t="str">
        <f aca="false">IF(OR(E1517="",E1517="!!!"),"",IF(OR(J1517=0,AND(J1517=1,K1517=1),AND(J1517=1,I1517="SBJ"),AND(J1517=1,I1517=0)),"?IN_FOCUS",IF(J1517&lt;=2,"?ACTIVATED",IF(J1517&lt;&gt;"","?FAMILIAR",IF(F1517="NEW",IF(ISNA(VLOOKUP(E1517,#REF!,1,FALSE())),"?TYPE_IDENTIFIABLE","?REFERENTIAL"),"_")))))</f>
        <v/>
      </c>
      <c r="H1517" s="27" t="str">
        <f aca="false">IF(J1517&lt;&gt;1,"",IF(I1517="SBJ","CB","?"))</f>
        <v/>
      </c>
      <c r="I1517" s="24" t="str">
        <f aca="false">IF(OR(E1517="",E1517="!!!",F1517="NEW"),"",INDEX(B16:B$1502,-1+SUMPRODUCT(MAX(ROW(E16:E$1502)*(E1517=E16:E$1502)))))</f>
        <v/>
      </c>
      <c r="J1517" s="24" t="str">
        <f aca="true">IF(OR(E1517="",E1517="!!!",F1517="NEW"),"",COUNTBLANK(OFFSET(A$1,,,SUMPRODUCT(MAX(ROW(E$2:E1517)*(E1517=E$2:E1517)))))-COUNTBLANK(OFFSET(A$1,,,SUMPRODUCT(MAX(ROW(E$1:E1516)*(E2=E$1:E1516))))))</f>
        <v/>
      </c>
      <c r="K1517" s="24" t="str">
        <f aca="false">IF(OR(E1517="",E1517="!!!",F1517="NEW"),"",INDEX(J$1:J1516,SUMPRODUCT(MAX(ROW(E$1:E1516)*(E1517=E$1:E1516)))))</f>
        <v/>
      </c>
      <c r="L1517" s="31"/>
    </row>
    <row r="1518" customFormat="false" ht="15" hidden="false" customHeight="false" outlineLevel="0" collapsed="false">
      <c r="A1518" s="20" t="s">
        <v>1697</v>
      </c>
      <c r="E1518" s="23" t="str">
        <f aca="false">IF(D1518="?OLD","!!!","")</f>
        <v/>
      </c>
      <c r="F1518" s="25" t="str">
        <f aca="false">IF(OR(E1518="",E1518="!!!"),"",IF(NOT(ISNA(VLOOKUP(E1518,E$1:E1517,1,FALSE()))),"OLD",IF(AND(E1518&lt;&gt;"",E1518&lt;&gt;"!!!"),"NEW","")))</f>
        <v/>
      </c>
      <c r="G1518" s="26" t="str">
        <f aca="false">IF(OR(E1518="",E1518="!!!"),"",IF(OR(J1518=0,AND(J1518=1,K1518=1),AND(J1518=1,I1518="SBJ"),AND(J1518=1,I1518=0)),"?IN_FOCUS",IF(J1518&lt;=2,"?ACTIVATED",IF(J1518&lt;&gt;"","?FAMILIAR",IF(F1518="NEW",IF(ISNA(VLOOKUP(E1518,#REF!,1,FALSE())),"?TYPE_IDENTIFIABLE","?REFERENTIAL"),"_")))))</f>
        <v/>
      </c>
      <c r="H1518" s="27" t="str">
        <f aca="false">IF(J1518&lt;&gt;1,"",IF(I1518="SBJ","CB","?"))</f>
        <v/>
      </c>
      <c r="I1518" s="24" t="str">
        <f aca="false">IF(OR(E1518="",E1518="!!!",F1518="NEW"),"",INDEX(B17:B$1502,-1+SUMPRODUCT(MAX(ROW(E17:E$1502)*(E1518=E17:E$1502)))))</f>
        <v/>
      </c>
      <c r="J1518" s="24" t="str">
        <f aca="true">IF(OR(E1518="",E1518="!!!",F1518="NEW"),"",COUNTBLANK(OFFSET(A$1,,,SUMPRODUCT(MAX(ROW(E$2:E1518)*(E1518=E$2:E1518)))))-COUNTBLANK(OFFSET(A$1,,,SUMPRODUCT(MAX(ROW(E$1:E1517)*(E2=E$1:E1517))))))</f>
        <v/>
      </c>
      <c r="K1518" s="24" t="str">
        <f aca="false">IF(OR(E1518="",E1518="!!!",F1518="NEW"),"",INDEX(J$1:J1517,SUMPRODUCT(MAX(ROW(E$1:E1517)*(E1518=E$1:E1517)))))</f>
        <v/>
      </c>
      <c r="L1518" s="31"/>
    </row>
    <row r="1519" customFormat="false" ht="15" hidden="false" customHeight="false" outlineLevel="0" collapsed="false">
      <c r="A1519" s="20" t="s">
        <v>1429</v>
      </c>
      <c r="B1519" s="22" t="s">
        <v>1073</v>
      </c>
      <c r="C1519" s="22" t="s">
        <v>1150</v>
      </c>
      <c r="D1519" s="22" t="s">
        <v>1060</v>
      </c>
      <c r="E1519" s="23" t="str">
        <f aca="false">IF(D1519="?OLD","!!!","")</f>
        <v>!!!</v>
      </c>
      <c r="F1519" s="25" t="str">
        <f aca="false">IF(OR(E1519="",E1519="!!!"),"",IF(NOT(ISNA(VLOOKUP(E1519,E$1:E1518,1,FALSE()))),"OLD",IF(AND(E1519&lt;&gt;"",E1519&lt;&gt;"!!!"),"NEW","")))</f>
        <v/>
      </c>
      <c r="G1519" s="26" t="str">
        <f aca="false">IF(OR(E1519="",E1519="!!!"),"",IF(OR(J1519=0,AND(J1519=1,K1519=1),AND(J1519=1,I1519="SBJ"),AND(J1519=1,I1519=0)),"?IN_FOCUS",IF(J1519&lt;=2,"?ACTIVATED",IF(J1519&lt;&gt;"","?FAMILIAR",IF(F1519="NEW",IF(ISNA(VLOOKUP(E1519,#REF!,1,FALSE())),"?TYPE_IDENTIFIABLE","?REFERENTIAL"),"_")))))</f>
        <v/>
      </c>
      <c r="H1519" s="27" t="str">
        <f aca="false">IF(J1519&lt;&gt;1,"",IF(I1519="SBJ","CB","?"))</f>
        <v/>
      </c>
      <c r="I1519" s="24" t="str">
        <f aca="false">IF(OR(E1519="",E1519="!!!",F1519="NEW"),"",INDEX(B18:B$1502,-1+SUMPRODUCT(MAX(ROW(E18:E$1502)*(E1519=E18:E$1502)))))</f>
        <v/>
      </c>
      <c r="J1519" s="24" t="str">
        <f aca="true">IF(OR(E1519="",E1519="!!!",F1519="NEW"),"",COUNTBLANK(OFFSET(A$1,,,SUMPRODUCT(MAX(ROW(E$2:E1519)*(E1519=E$2:E1519)))))-COUNTBLANK(OFFSET(A$1,,,SUMPRODUCT(MAX(ROW(E$1:E1518)*(E2=E$1:E1518))))))</f>
        <v/>
      </c>
      <c r="K1519" s="24" t="str">
        <f aca="false">IF(OR(E1519="",E1519="!!!",F1519="NEW"),"",INDEX(J$1:J1518,SUMPRODUCT(MAX(ROW(E$1:E1518)*(E1519=E$1:E1518)))))</f>
        <v/>
      </c>
      <c r="L1519" s="31"/>
    </row>
    <row r="1520" customFormat="false" ht="15" hidden="false" customHeight="false" outlineLevel="0" collapsed="false">
      <c r="A1520" s="20" t="s">
        <v>923</v>
      </c>
      <c r="E1520" s="23" t="str">
        <f aca="false">IF(D1520="?OLD","!!!","")</f>
        <v/>
      </c>
      <c r="F1520" s="25" t="str">
        <f aca="false">IF(OR(E1520="",E1520="!!!"),"",IF(NOT(ISNA(VLOOKUP(E1520,E$1:E1519,1,FALSE()))),"OLD",IF(AND(E1520&lt;&gt;"",E1520&lt;&gt;"!!!"),"NEW","")))</f>
        <v/>
      </c>
      <c r="G1520" s="26" t="str">
        <f aca="false">IF(OR(E1520="",E1520="!!!"),"",IF(OR(J1520=0,AND(J1520=1,K1520=1),AND(J1520=1,I1520="SBJ"),AND(J1520=1,I1520=0)),"?IN_FOCUS",IF(J1520&lt;=2,"?ACTIVATED",IF(J1520&lt;&gt;"","?FAMILIAR",IF(F1520="NEW",IF(ISNA(VLOOKUP(E1520,#REF!,1,FALSE())),"?TYPE_IDENTIFIABLE","?REFERENTIAL"),"_")))))</f>
        <v/>
      </c>
      <c r="H1520" s="27" t="str">
        <f aca="false">IF(J1520&lt;&gt;1,"",IF(I1520="SBJ","CB","?"))</f>
        <v/>
      </c>
      <c r="I1520" s="24" t="str">
        <f aca="false">IF(OR(E1520="",E1520="!!!",F1520="NEW"),"",INDEX(B19:B$1502,-1+SUMPRODUCT(MAX(ROW(E19:E$1502)*(E1520=E19:E$1502)))))</f>
        <v/>
      </c>
      <c r="J1520" s="24" t="str">
        <f aca="true">IF(OR(E1520="",E1520="!!!",F1520="NEW"),"",COUNTBLANK(OFFSET(A$1,,,SUMPRODUCT(MAX(ROW(E$2:E1520)*(E1520=E$2:E1520)))))-COUNTBLANK(OFFSET(A$1,,,SUMPRODUCT(MAX(ROW(E$1:E1519)*(E2=E$1:E1519))))))</f>
        <v/>
      </c>
      <c r="K1520" s="24" t="str">
        <f aca="false">IF(OR(E1520="",E1520="!!!",F1520="NEW"),"",INDEX(J$1:J1519,SUMPRODUCT(MAX(ROW(E$1:E1519)*(E1520=E$1:E1519)))))</f>
        <v/>
      </c>
      <c r="L1520" s="31"/>
    </row>
    <row r="1521" customFormat="false" ht="15" hidden="false" customHeight="false" outlineLevel="0" collapsed="false">
      <c r="A1521" s="20"/>
    </row>
    <row r="1522" customFormat="false" ht="15" hidden="false" customHeight="false" outlineLevel="0" collapsed="false">
      <c r="A1522" s="20" t="s">
        <v>1698</v>
      </c>
    </row>
    <row r="1523" customFormat="false" ht="15" hidden="false" customHeight="false" outlineLevel="0" collapsed="false">
      <c r="A1523" s="20" t="s">
        <v>1148</v>
      </c>
      <c r="E1523" s="23" t="str">
        <f aca="false">IF(D1523="?OLD","!!!","")</f>
        <v/>
      </c>
      <c r="F1523" s="25" t="str">
        <f aca="false">IF(OR(E1523="",E1523="!!!"),"",IF(NOT(ISNA(VLOOKUP(E1523,E$1:E1522,1,FALSE()))),"OLD",IF(AND(E1523&lt;&gt;"",E1523&lt;&gt;"!!!"),"NEW","")))</f>
        <v/>
      </c>
      <c r="G1523" s="26" t="str">
        <f aca="false">IF(OR(E1523="",E1523="!!!"),"",IF(OR(J1523=0,AND(J1523=1,K1523=1),AND(J1523=1,I1523="SBJ"),AND(J1523=1,I1523=0)),"?IN_FOCUS",IF(J1523&lt;=2,"?ACTIVATED",IF(J1523&lt;&gt;"","?FAMILIAR",IF(F1523="NEW",IF(ISNA(VLOOKUP(E1523,#REF!,1,FALSE())),"?TYPE_IDENTIFIABLE","?REFERENTIAL"),"_")))))</f>
        <v/>
      </c>
      <c r="H1523" s="27" t="str">
        <f aca="false">IF(J1523&lt;&gt;1,"",IF(I1523="SBJ","CB","?"))</f>
        <v/>
      </c>
      <c r="I1523" s="24" t="str">
        <f aca="false">IF(OR(E1523="",E1523="!!!",F1523="NEW"),"",INDEX(B2:B$1522,-1+SUMPRODUCT(MAX(ROW(E2:E$1522)*(E1523=E2:E$1522)))))</f>
        <v/>
      </c>
      <c r="J1523" s="24" t="str">
        <f aca="true">IF(OR(E1523="",E1523="!!!",F1523="NEW"),"",COUNTBLANK(OFFSET(A$1,,,SUMPRODUCT(MAX(ROW(E$2:E1523)*(E1523=E$2:E1523)))))-COUNTBLANK(OFFSET(A$1,,,SUMPRODUCT(MAX(ROW(E$1:E1522)*(E2=E$1:E1522))))))</f>
        <v/>
      </c>
      <c r="K1523" s="24" t="str">
        <f aca="false">IF(OR(E1523="",E1523="!!!",F1523="NEW"),"",INDEX(J$1:J1522,SUMPRODUCT(MAX(ROW(E$1:E1522)*(E1523=E$1:E1522)))))</f>
        <v/>
      </c>
      <c r="L1523" s="31"/>
    </row>
    <row r="1524" customFormat="false" ht="15" hidden="false" customHeight="false" outlineLevel="0" collapsed="false">
      <c r="A1524" s="20" t="s">
        <v>1699</v>
      </c>
      <c r="E1524" s="23" t="str">
        <f aca="false">IF(D1524="?OLD","!!!","")</f>
        <v/>
      </c>
      <c r="F1524" s="25" t="str">
        <f aca="false">IF(OR(E1524="",E1524="!!!"),"",IF(NOT(ISNA(VLOOKUP(E1524,E$1:E1523,1,FALSE()))),"OLD",IF(AND(E1524&lt;&gt;"",E1524&lt;&gt;"!!!"),"NEW","")))</f>
        <v/>
      </c>
      <c r="G1524" s="26" t="str">
        <f aca="false">IF(OR(E1524="",E1524="!!!"),"",IF(OR(J1524=0,AND(J1524=1,K1524=1),AND(J1524=1,I1524="SBJ"),AND(J1524=1,I1524=0)),"?IN_FOCUS",IF(J1524&lt;=2,"?ACTIVATED",IF(J1524&lt;&gt;"","?FAMILIAR",IF(F1524="NEW",IF(ISNA(VLOOKUP(E1524,#REF!,1,FALSE())),"?TYPE_IDENTIFIABLE","?REFERENTIAL"),"_")))))</f>
        <v/>
      </c>
      <c r="H1524" s="27" t="str">
        <f aca="false">IF(J1524&lt;&gt;1,"",IF(I1524="SBJ","CB","?"))</f>
        <v/>
      </c>
      <c r="I1524" s="24" t="str">
        <f aca="false">IF(OR(E1524="",E1524="!!!",F1524="NEW"),"",INDEX(B3:B$1522,-1+SUMPRODUCT(MAX(ROW(E3:E$1522)*(E1524=E3:E$1522)))))</f>
        <v/>
      </c>
      <c r="J1524" s="24" t="str">
        <f aca="true">IF(OR(E1524="",E1524="!!!",F1524="NEW"),"",COUNTBLANK(OFFSET(A$1,,,SUMPRODUCT(MAX(ROW(E$2:E1524)*(E1524=E$2:E1524)))))-COUNTBLANK(OFFSET(A$1,,,SUMPRODUCT(MAX(ROW(E$1:E1523)*(E2=E$1:E1523))))))</f>
        <v/>
      </c>
      <c r="K1524" s="24" t="str">
        <f aca="false">IF(OR(E1524="",E1524="!!!",F1524="NEW"),"",INDEX(J$1:J1523,SUMPRODUCT(MAX(ROW(E$1:E1523)*(E1524=E$1:E1523)))))</f>
        <v/>
      </c>
      <c r="L1524" s="31"/>
    </row>
    <row r="1525" customFormat="false" ht="15" hidden="false" customHeight="false" outlineLevel="0" collapsed="false">
      <c r="A1525" s="20" t="s">
        <v>1462</v>
      </c>
      <c r="B1525" s="22" t="s">
        <v>1058</v>
      </c>
      <c r="C1525" s="22" t="s">
        <v>1150</v>
      </c>
      <c r="D1525" s="22" t="s">
        <v>1060</v>
      </c>
      <c r="E1525" s="23" t="str">
        <f aca="false">IF(D1525="?OLD","!!!","")</f>
        <v>!!!</v>
      </c>
      <c r="F1525" s="25" t="str">
        <f aca="false">IF(OR(E1525="",E1525="!!!"),"",IF(NOT(ISNA(VLOOKUP(E1525,E$1:E1524,1,FALSE()))),"OLD",IF(AND(E1525&lt;&gt;"",E1525&lt;&gt;"!!!"),"NEW","")))</f>
        <v/>
      </c>
      <c r="G1525" s="26" t="str">
        <f aca="false">IF(OR(E1525="",E1525="!!!"),"",IF(OR(J1525=0,AND(J1525=1,K1525=1),AND(J1525=1,I1525="SBJ"),AND(J1525=1,I1525=0)),"?IN_FOCUS",IF(J1525&lt;=2,"?ACTIVATED",IF(J1525&lt;&gt;"","?FAMILIAR",IF(F1525="NEW",IF(ISNA(VLOOKUP(E1525,#REF!,1,FALSE())),"?TYPE_IDENTIFIABLE","?REFERENTIAL"),"_")))))</f>
        <v/>
      </c>
      <c r="H1525" s="27" t="str">
        <f aca="false">IF(J1525&lt;&gt;1,"",IF(I1525="SBJ","CB","?"))</f>
        <v/>
      </c>
      <c r="I1525" s="24" t="str">
        <f aca="false">IF(OR(E1525="",E1525="!!!",F1525="NEW"),"",INDEX(B4:B$1522,-1+SUMPRODUCT(MAX(ROW(E4:E$1522)*(E1525=E4:E$1522)))))</f>
        <v/>
      </c>
      <c r="J1525" s="24" t="str">
        <f aca="true">IF(OR(E1525="",E1525="!!!",F1525="NEW"),"",COUNTBLANK(OFFSET(A$1,,,SUMPRODUCT(MAX(ROW(E$2:E1525)*(E1525=E$2:E1525)))))-COUNTBLANK(OFFSET(A$1,,,SUMPRODUCT(MAX(ROW(E$1:E1524)*(E2=E$1:E1524))))))</f>
        <v/>
      </c>
      <c r="K1525" s="24" t="str">
        <f aca="false">IF(OR(E1525="",E1525="!!!",F1525="NEW"),"",INDEX(J$1:J1524,SUMPRODUCT(MAX(ROW(E$1:E1524)*(E1525=E$1:E1524)))))</f>
        <v/>
      </c>
      <c r="L1525" s="31"/>
    </row>
    <row r="1526" customFormat="false" ht="15" hidden="false" customHeight="false" outlineLevel="0" collapsed="false">
      <c r="A1526" s="20" t="s">
        <v>1064</v>
      </c>
      <c r="E1526" s="23" t="str">
        <f aca="false">IF(D1526="?OLD","!!!","")</f>
        <v/>
      </c>
      <c r="F1526" s="25" t="str">
        <f aca="false">IF(OR(E1526="",E1526="!!!"),"",IF(NOT(ISNA(VLOOKUP(E1526,E$1:E1525,1,FALSE()))),"OLD",IF(AND(E1526&lt;&gt;"",E1526&lt;&gt;"!!!"),"NEW","")))</f>
        <v/>
      </c>
      <c r="G1526" s="26" t="str">
        <f aca="false">IF(OR(E1526="",E1526="!!!"),"",IF(OR(J1526=0,AND(J1526=1,K1526=1),AND(J1526=1,I1526="SBJ"),AND(J1526=1,I1526=0)),"?IN_FOCUS",IF(J1526&lt;=2,"?ACTIVATED",IF(J1526&lt;&gt;"","?FAMILIAR",IF(F1526="NEW",IF(ISNA(VLOOKUP(E1526,#REF!,1,FALSE())),"?TYPE_IDENTIFIABLE","?REFERENTIAL"),"_")))))</f>
        <v/>
      </c>
      <c r="H1526" s="27" t="str">
        <f aca="false">IF(J1526&lt;&gt;1,"",IF(I1526="SBJ","CB","?"))</f>
        <v/>
      </c>
      <c r="I1526" s="24" t="str">
        <f aca="false">IF(OR(E1526="",E1526="!!!",F1526="NEW"),"",INDEX(B5:B$1522,-1+SUMPRODUCT(MAX(ROW(E5:E$1522)*(E1526=E5:E$1522)))))</f>
        <v/>
      </c>
      <c r="J1526" s="24" t="str">
        <f aca="true">IF(OR(E1526="",E1526="!!!",F1526="NEW"),"",COUNTBLANK(OFFSET(A$1,,,SUMPRODUCT(MAX(ROW(E$2:E1526)*(E1526=E$2:E1526)))))-COUNTBLANK(OFFSET(A$1,,,SUMPRODUCT(MAX(ROW(E$1:E1525)*(E2=E$1:E1525))))))</f>
        <v/>
      </c>
      <c r="K1526" s="24" t="str">
        <f aca="false">IF(OR(E1526="",E1526="!!!",F1526="NEW"),"",INDEX(J$1:J1525,SUMPRODUCT(MAX(ROW(E$1:E1525)*(E1526=E$1:E1525)))))</f>
        <v/>
      </c>
      <c r="L1526" s="31"/>
    </row>
    <row r="1527" customFormat="false" ht="15" hidden="false" customHeight="false" outlineLevel="0" collapsed="false">
      <c r="A1527" s="20" t="s">
        <v>1109</v>
      </c>
      <c r="E1527" s="23" t="str">
        <f aca="false">IF(D1527="?OLD","!!!","")</f>
        <v/>
      </c>
      <c r="F1527" s="25" t="str">
        <f aca="false">IF(OR(E1527="",E1527="!!!"),"",IF(NOT(ISNA(VLOOKUP(E1527,E$1:E1526,1,FALSE()))),"OLD",IF(AND(E1527&lt;&gt;"",E1527&lt;&gt;"!!!"),"NEW","")))</f>
        <v/>
      </c>
      <c r="G1527" s="26" t="str">
        <f aca="false">IF(OR(E1527="",E1527="!!!"),"",IF(OR(J1527=0,AND(J1527=1,K1527=1),AND(J1527=1,I1527="SBJ"),AND(J1527=1,I1527=0)),"?IN_FOCUS",IF(J1527&lt;=2,"?ACTIVATED",IF(J1527&lt;&gt;"","?FAMILIAR",IF(F1527="NEW",IF(ISNA(VLOOKUP(E1527,#REF!,1,FALSE())),"?TYPE_IDENTIFIABLE","?REFERENTIAL"),"_")))))</f>
        <v/>
      </c>
      <c r="H1527" s="27" t="str">
        <f aca="false">IF(J1527&lt;&gt;1,"",IF(I1527="SBJ","CB","?"))</f>
        <v/>
      </c>
      <c r="I1527" s="24" t="str">
        <f aca="false">IF(OR(E1527="",E1527="!!!",F1527="NEW"),"",INDEX(B6:B$1522,-1+SUMPRODUCT(MAX(ROW(E6:E$1522)*(E1527=E6:E$1522)))))</f>
        <v/>
      </c>
      <c r="J1527" s="24" t="str">
        <f aca="true">IF(OR(E1527="",E1527="!!!",F1527="NEW"),"",COUNTBLANK(OFFSET(A$1,,,SUMPRODUCT(MAX(ROW(E$2:E1527)*(E1527=E$2:E1527)))))-COUNTBLANK(OFFSET(A$1,,,SUMPRODUCT(MAX(ROW(E$1:E1526)*(E2=E$1:E1526))))))</f>
        <v/>
      </c>
      <c r="K1527" s="24" t="str">
        <f aca="false">IF(OR(E1527="",E1527="!!!",F1527="NEW"),"",INDEX(J$1:J1526,SUMPRODUCT(MAX(ROW(E$1:E1526)*(E1527=E$1:E1526)))))</f>
        <v/>
      </c>
      <c r="L1527" s="31"/>
    </row>
    <row r="1528" customFormat="false" ht="15" hidden="false" customHeight="false" outlineLevel="0" collapsed="false">
      <c r="A1528" s="20" t="s">
        <v>1465</v>
      </c>
      <c r="B1528" s="22" t="s">
        <v>1073</v>
      </c>
      <c r="C1528" s="22" t="s">
        <v>1150</v>
      </c>
      <c r="D1528" s="22" t="s">
        <v>1060</v>
      </c>
      <c r="E1528" s="23" t="str">
        <f aca="false">IF(D1528="?OLD","!!!","")</f>
        <v>!!!</v>
      </c>
      <c r="F1528" s="25" t="str">
        <f aca="false">IF(OR(E1528="",E1528="!!!"),"",IF(NOT(ISNA(VLOOKUP(E1528,E$1:E1527,1,FALSE()))),"OLD",IF(AND(E1528&lt;&gt;"",E1528&lt;&gt;"!!!"),"NEW","")))</f>
        <v/>
      </c>
      <c r="G1528" s="26" t="str">
        <f aca="false">IF(OR(E1528="",E1528="!!!"),"",IF(OR(J1528=0,AND(J1528=1,K1528=1),AND(J1528=1,I1528="SBJ"),AND(J1528=1,I1528=0)),"?IN_FOCUS",IF(J1528&lt;=2,"?ACTIVATED",IF(J1528&lt;&gt;"","?FAMILIAR",IF(F1528="NEW",IF(ISNA(VLOOKUP(E1528,#REF!,1,FALSE())),"?TYPE_IDENTIFIABLE","?REFERENTIAL"),"_")))))</f>
        <v/>
      </c>
      <c r="H1528" s="27" t="str">
        <f aca="false">IF(J1528&lt;&gt;1,"",IF(I1528="SBJ","CB","?"))</f>
        <v/>
      </c>
      <c r="I1528" s="24" t="str">
        <f aca="false">IF(OR(E1528="",E1528="!!!",F1528="NEW"),"",INDEX(B7:B$1522,-1+SUMPRODUCT(MAX(ROW(E7:E$1522)*(E1528=E7:E$1522)))))</f>
        <v/>
      </c>
      <c r="J1528" s="24" t="str">
        <f aca="true">IF(OR(E1528="",E1528="!!!",F1528="NEW"),"",COUNTBLANK(OFFSET(A$1,,,SUMPRODUCT(MAX(ROW(E$2:E1528)*(E1528=E$2:E1528)))))-COUNTBLANK(OFFSET(A$1,,,SUMPRODUCT(MAX(ROW(E$1:E1527)*(E2=E$1:E1527))))))</f>
        <v/>
      </c>
      <c r="K1528" s="24" t="str">
        <f aca="false">IF(OR(E1528="",E1528="!!!",F1528="NEW"),"",INDEX(J$1:J1527,SUMPRODUCT(MAX(ROW(E$1:E1527)*(E1528=E$1:E1527)))))</f>
        <v/>
      </c>
      <c r="L1528" s="31"/>
    </row>
    <row r="1529" customFormat="false" ht="15" hidden="false" customHeight="false" outlineLevel="0" collapsed="false">
      <c r="A1529" s="20" t="s">
        <v>1092</v>
      </c>
      <c r="E1529" s="23" t="str">
        <f aca="false">IF(D1529="?OLD","!!!","")</f>
        <v/>
      </c>
      <c r="F1529" s="25" t="str">
        <f aca="false">IF(OR(E1529="",E1529="!!!"),"",IF(NOT(ISNA(VLOOKUP(E1529,E$1:E1528,1,FALSE()))),"OLD",IF(AND(E1529&lt;&gt;"",E1529&lt;&gt;"!!!"),"NEW","")))</f>
        <v/>
      </c>
      <c r="G1529" s="26" t="str">
        <f aca="false">IF(OR(E1529="",E1529="!!!"),"",IF(OR(J1529=0,AND(J1529=1,K1529=1),AND(J1529=1,I1529="SBJ"),AND(J1529=1,I1529=0)),"?IN_FOCUS",IF(J1529&lt;=2,"?ACTIVATED",IF(J1529&lt;&gt;"","?FAMILIAR",IF(F1529="NEW",IF(ISNA(VLOOKUP(E1529,#REF!,1,FALSE())),"?TYPE_IDENTIFIABLE","?REFERENTIAL"),"_")))))</f>
        <v/>
      </c>
      <c r="H1529" s="27" t="str">
        <f aca="false">IF(J1529&lt;&gt;1,"",IF(I1529="SBJ","CB","?"))</f>
        <v/>
      </c>
      <c r="I1529" s="24" t="str">
        <f aca="false">IF(OR(E1529="",E1529="!!!",F1529="NEW"),"",INDEX(B8:B$1522,-1+SUMPRODUCT(MAX(ROW(E8:E$1522)*(E1529=E8:E$1522)))))</f>
        <v/>
      </c>
      <c r="J1529" s="24" t="str">
        <f aca="true">IF(OR(E1529="",E1529="!!!",F1529="NEW"),"",COUNTBLANK(OFFSET(A$1,,,SUMPRODUCT(MAX(ROW(E$2:E1529)*(E1529=E$2:E1529)))))-COUNTBLANK(OFFSET(A$1,,,SUMPRODUCT(MAX(ROW(E$1:E1528)*(E2=E$1:E1528))))))</f>
        <v/>
      </c>
      <c r="K1529" s="24" t="str">
        <f aca="false">IF(OR(E1529="",E1529="!!!",F1529="NEW"),"",INDEX(J$1:J1528,SUMPRODUCT(MAX(ROW(E$1:E1528)*(E1529=E$1:E1528)))))</f>
        <v/>
      </c>
      <c r="L1529" s="31"/>
    </row>
    <row r="1530" customFormat="false" ht="15" hidden="false" customHeight="false" outlineLevel="0" collapsed="false">
      <c r="A1530" s="20" t="s">
        <v>1632</v>
      </c>
      <c r="E1530" s="23" t="str">
        <f aca="false">IF(D1530="?OLD","!!!","")</f>
        <v/>
      </c>
      <c r="F1530" s="25" t="str">
        <f aca="false">IF(OR(E1530="",E1530="!!!"),"",IF(NOT(ISNA(VLOOKUP(E1530,E$1:E1529,1,FALSE()))),"OLD",IF(AND(E1530&lt;&gt;"",E1530&lt;&gt;"!!!"),"NEW","")))</f>
        <v/>
      </c>
      <c r="G1530" s="26" t="str">
        <f aca="false">IF(OR(E1530="",E1530="!!!"),"",IF(OR(J1530=0,AND(J1530=1,K1530=1),AND(J1530=1,I1530="SBJ"),AND(J1530=1,I1530=0)),"?IN_FOCUS",IF(J1530&lt;=2,"?ACTIVATED",IF(J1530&lt;&gt;"","?FAMILIAR",IF(F1530="NEW",IF(ISNA(VLOOKUP(E1530,#REF!,1,FALSE())),"?TYPE_IDENTIFIABLE","?REFERENTIAL"),"_")))))</f>
        <v/>
      </c>
      <c r="H1530" s="27" t="str">
        <f aca="false">IF(J1530&lt;&gt;1,"",IF(I1530="SBJ","CB","?"))</f>
        <v/>
      </c>
      <c r="I1530" s="24" t="str">
        <f aca="false">IF(OR(E1530="",E1530="!!!",F1530="NEW"),"",INDEX(B9:B$1522,-1+SUMPRODUCT(MAX(ROW(E9:E$1522)*(E1530=E9:E$1522)))))</f>
        <v/>
      </c>
      <c r="J1530" s="24" t="str">
        <f aca="true">IF(OR(E1530="",E1530="!!!",F1530="NEW"),"",COUNTBLANK(OFFSET(A$1,,,SUMPRODUCT(MAX(ROW(E$2:E1530)*(E1530=E$2:E1530)))))-COUNTBLANK(OFFSET(A$1,,,SUMPRODUCT(MAX(ROW(E$1:E1529)*(E2=E$1:E1529))))))</f>
        <v/>
      </c>
      <c r="K1530" s="24" t="str">
        <f aca="false">IF(OR(E1530="",E1530="!!!",F1530="NEW"),"",INDEX(J$1:J1529,SUMPRODUCT(MAX(ROW(E$1:E1529)*(E1530=E$1:E1529)))))</f>
        <v/>
      </c>
      <c r="L1530" s="31"/>
    </row>
    <row r="1531" customFormat="false" ht="15" hidden="false" customHeight="false" outlineLevel="0" collapsed="false">
      <c r="A1531" s="20" t="s">
        <v>1700</v>
      </c>
      <c r="E1531" s="23" t="str">
        <f aca="false">IF(D1531="?OLD","!!!","")</f>
        <v/>
      </c>
      <c r="F1531" s="25" t="str">
        <f aca="false">IF(OR(E1531="",E1531="!!!"),"",IF(NOT(ISNA(VLOOKUP(E1531,E$1:E1530,1,FALSE()))),"OLD",IF(AND(E1531&lt;&gt;"",E1531&lt;&gt;"!!!"),"NEW","")))</f>
        <v/>
      </c>
      <c r="G1531" s="26" t="str">
        <f aca="false">IF(OR(E1531="",E1531="!!!"),"",IF(OR(J1531=0,AND(J1531=1,K1531=1),AND(J1531=1,I1531="SBJ"),AND(J1531=1,I1531=0)),"?IN_FOCUS",IF(J1531&lt;=2,"?ACTIVATED",IF(J1531&lt;&gt;"","?FAMILIAR",IF(F1531="NEW",IF(ISNA(VLOOKUP(E1531,#REF!,1,FALSE())),"?TYPE_IDENTIFIABLE","?REFERENTIAL"),"_")))))</f>
        <v/>
      </c>
      <c r="H1531" s="27" t="str">
        <f aca="false">IF(J1531&lt;&gt;1,"",IF(I1531="SBJ","CB","?"))</f>
        <v/>
      </c>
      <c r="I1531" s="24" t="str">
        <f aca="false">IF(OR(E1531="",E1531="!!!",F1531="NEW"),"",INDEX(B10:B$1522,-1+SUMPRODUCT(MAX(ROW(E10:E$1522)*(E1531=E10:E$1522)))))</f>
        <v/>
      </c>
      <c r="J1531" s="24" t="str">
        <f aca="true">IF(OR(E1531="",E1531="!!!",F1531="NEW"),"",COUNTBLANK(OFFSET(A$1,,,SUMPRODUCT(MAX(ROW(E$2:E1531)*(E1531=E$2:E1531)))))-COUNTBLANK(OFFSET(A$1,,,SUMPRODUCT(MAX(ROW(E$1:E1530)*(E2=E$1:E1530))))))</f>
        <v/>
      </c>
      <c r="K1531" s="24" t="str">
        <f aca="false">IF(OR(E1531="",E1531="!!!",F1531="NEW"),"",INDEX(J$1:J1530,SUMPRODUCT(MAX(ROW(E$1:E1530)*(E1531=E$1:E1530)))))</f>
        <v/>
      </c>
      <c r="L1531" s="31"/>
    </row>
    <row r="1532" customFormat="false" ht="15" hidden="false" customHeight="false" outlineLevel="0" collapsed="false">
      <c r="A1532" s="20" t="s">
        <v>1076</v>
      </c>
      <c r="E1532" s="23" t="str">
        <f aca="false">IF(D1532="?OLD","!!!","")</f>
        <v/>
      </c>
      <c r="F1532" s="25" t="str">
        <f aca="false">IF(OR(E1532="",E1532="!!!"),"",IF(NOT(ISNA(VLOOKUP(E1532,E$1:E1531,1,FALSE()))),"OLD",IF(AND(E1532&lt;&gt;"",E1532&lt;&gt;"!!!"),"NEW","")))</f>
        <v/>
      </c>
      <c r="G1532" s="26" t="str">
        <f aca="false">IF(OR(E1532="",E1532="!!!"),"",IF(OR(J1532=0,AND(J1532=1,K1532=1),AND(J1532=1,I1532="SBJ"),AND(J1532=1,I1532=0)),"?IN_FOCUS",IF(J1532&lt;=2,"?ACTIVATED",IF(J1532&lt;&gt;"","?FAMILIAR",IF(F1532="NEW",IF(ISNA(VLOOKUP(E1532,#REF!,1,FALSE())),"?TYPE_IDENTIFIABLE","?REFERENTIAL"),"_")))))</f>
        <v/>
      </c>
      <c r="H1532" s="27" t="str">
        <f aca="false">IF(J1532&lt;&gt;1,"",IF(I1532="SBJ","CB","?"))</f>
        <v/>
      </c>
      <c r="I1532" s="24" t="str">
        <f aca="false">IF(OR(E1532="",E1532="!!!",F1532="NEW"),"",INDEX(B11:B$1522,-1+SUMPRODUCT(MAX(ROW(E11:E$1522)*(E1532=E11:E$1522)))))</f>
        <v/>
      </c>
      <c r="J1532" s="24" t="str">
        <f aca="true">IF(OR(E1532="",E1532="!!!",F1532="NEW"),"",COUNTBLANK(OFFSET(A$1,,,SUMPRODUCT(MAX(ROW(E$2:E1532)*(E1532=E$2:E1532)))))-COUNTBLANK(OFFSET(A$1,,,SUMPRODUCT(MAX(ROW(E$1:E1531)*(E2=E$1:E1531))))))</f>
        <v/>
      </c>
      <c r="K1532" s="24" t="str">
        <f aca="false">IF(OR(E1532="",E1532="!!!",F1532="NEW"),"",INDEX(J$1:J1531,SUMPRODUCT(MAX(ROW(E$1:E1531)*(E1532=E$1:E1531)))))</f>
        <v/>
      </c>
      <c r="L1532" s="31"/>
    </row>
    <row r="1533" customFormat="false" ht="15" hidden="false" customHeight="false" outlineLevel="0" collapsed="false">
      <c r="A1533" s="20" t="s">
        <v>1128</v>
      </c>
      <c r="E1533" s="23" t="str">
        <f aca="false">IF(D1533="?OLD","!!!","")</f>
        <v/>
      </c>
      <c r="F1533" s="25" t="str">
        <f aca="false">IF(OR(E1533="",E1533="!!!"),"",IF(NOT(ISNA(VLOOKUP(E1533,E$1:E1532,1,FALSE()))),"OLD",IF(AND(E1533&lt;&gt;"",E1533&lt;&gt;"!!!"),"NEW","")))</f>
        <v/>
      </c>
      <c r="G1533" s="26" t="str">
        <f aca="false">IF(OR(E1533="",E1533="!!!"),"",IF(OR(J1533=0,AND(J1533=1,K1533=1),AND(J1533=1,I1533="SBJ"),AND(J1533=1,I1533=0)),"?IN_FOCUS",IF(J1533&lt;=2,"?ACTIVATED",IF(J1533&lt;&gt;"","?FAMILIAR",IF(F1533="NEW",IF(ISNA(VLOOKUP(E1533,#REF!,1,FALSE())),"?TYPE_IDENTIFIABLE","?REFERENTIAL"),"_")))))</f>
        <v/>
      </c>
      <c r="H1533" s="27" t="str">
        <f aca="false">IF(J1533&lt;&gt;1,"",IF(I1533="SBJ","CB","?"))</f>
        <v/>
      </c>
      <c r="I1533" s="24" t="str">
        <f aca="false">IF(OR(E1533="",E1533="!!!",F1533="NEW"),"",INDEX(B12:B$1522,-1+SUMPRODUCT(MAX(ROW(E12:E$1522)*(E1533=E12:E$1522)))))</f>
        <v/>
      </c>
      <c r="J1533" s="24" t="str">
        <f aca="true">IF(OR(E1533="",E1533="!!!",F1533="NEW"),"",COUNTBLANK(OFFSET(A$1,,,SUMPRODUCT(MAX(ROW(E$2:E1533)*(E1533=E$2:E1533)))))-COUNTBLANK(OFFSET(A$1,,,SUMPRODUCT(MAX(ROW(E$1:E1532)*(E2=E$1:E1532))))))</f>
        <v/>
      </c>
      <c r="K1533" s="24" t="str">
        <f aca="false">IF(OR(E1533="",E1533="!!!",F1533="NEW"),"",INDEX(J$1:J1532,SUMPRODUCT(MAX(ROW(E$1:E1532)*(E1533=E$1:E1532)))))</f>
        <v/>
      </c>
      <c r="L1533" s="31"/>
    </row>
    <row r="1534" customFormat="false" ht="15" hidden="false" customHeight="false" outlineLevel="0" collapsed="false">
      <c r="A1534" s="20" t="s">
        <v>1109</v>
      </c>
      <c r="E1534" s="23" t="str">
        <f aca="false">IF(D1534="?OLD","!!!","")</f>
        <v/>
      </c>
      <c r="F1534" s="25" t="str">
        <f aca="false">IF(OR(E1534="",E1534="!!!"),"",IF(NOT(ISNA(VLOOKUP(E1534,E$1:E1533,1,FALSE()))),"OLD",IF(AND(E1534&lt;&gt;"",E1534&lt;&gt;"!!!"),"NEW","")))</f>
        <v/>
      </c>
      <c r="G1534" s="26" t="str">
        <f aca="false">IF(OR(E1534="",E1534="!!!"),"",IF(OR(J1534=0,AND(J1534=1,K1534=1),AND(J1534=1,I1534="SBJ"),AND(J1534=1,I1534=0)),"?IN_FOCUS",IF(J1534&lt;=2,"?ACTIVATED",IF(J1534&lt;&gt;"","?FAMILIAR",IF(F1534="NEW",IF(ISNA(VLOOKUP(E1534,#REF!,1,FALSE())),"?TYPE_IDENTIFIABLE","?REFERENTIAL"),"_")))))</f>
        <v/>
      </c>
      <c r="H1534" s="27" t="str">
        <f aca="false">IF(J1534&lt;&gt;1,"",IF(I1534="SBJ","CB","?"))</f>
        <v/>
      </c>
      <c r="I1534" s="24" t="str">
        <f aca="false">IF(OR(E1534="",E1534="!!!",F1534="NEW"),"",INDEX(B13:B$1522,-1+SUMPRODUCT(MAX(ROW(E13:E$1522)*(E1534=E13:E$1522)))))</f>
        <v/>
      </c>
      <c r="J1534" s="24" t="str">
        <f aca="true">IF(OR(E1534="",E1534="!!!",F1534="NEW"),"",COUNTBLANK(OFFSET(A$1,,,SUMPRODUCT(MAX(ROW(E$2:E1534)*(E1534=E$2:E1534)))))-COUNTBLANK(OFFSET(A$1,,,SUMPRODUCT(MAX(ROW(E$1:E1533)*(E2=E$1:E1533))))))</f>
        <v/>
      </c>
      <c r="K1534" s="24" t="str">
        <f aca="false">IF(OR(E1534="",E1534="!!!",F1534="NEW"),"",INDEX(J$1:J1533,SUMPRODUCT(MAX(ROW(E$1:E1533)*(E1534=E$1:E1533)))))</f>
        <v/>
      </c>
      <c r="L1534" s="31"/>
    </row>
    <row r="1535" customFormat="false" ht="15" hidden="false" customHeight="false" outlineLevel="0" collapsed="false">
      <c r="A1535" s="20" t="s">
        <v>1701</v>
      </c>
      <c r="B1535" s="22" t="s">
        <v>1086</v>
      </c>
      <c r="C1535" s="22" t="s">
        <v>1150</v>
      </c>
      <c r="D1535" s="22" t="s">
        <v>1060</v>
      </c>
      <c r="E1535" s="23" t="str">
        <f aca="false">IF(D1535="?OLD","!!!","")</f>
        <v>!!!</v>
      </c>
      <c r="F1535" s="25" t="str">
        <f aca="false">IF(OR(E1535="",E1535="!!!"),"",IF(NOT(ISNA(VLOOKUP(E1535,E$1:E1534,1,FALSE()))),"OLD",IF(AND(E1535&lt;&gt;"",E1535&lt;&gt;"!!!"),"NEW","")))</f>
        <v/>
      </c>
      <c r="G1535" s="26" t="str">
        <f aca="false">IF(OR(E1535="",E1535="!!!"),"",IF(OR(J1535=0,AND(J1535=1,K1535=1),AND(J1535=1,I1535="SBJ"),AND(J1535=1,I1535=0)),"?IN_FOCUS",IF(J1535&lt;=2,"?ACTIVATED",IF(J1535&lt;&gt;"","?FAMILIAR",IF(F1535="NEW",IF(ISNA(VLOOKUP(E1535,#REF!,1,FALSE())),"?TYPE_IDENTIFIABLE","?REFERENTIAL"),"_")))))</f>
        <v/>
      </c>
      <c r="H1535" s="27" t="str">
        <f aca="false">IF(J1535&lt;&gt;1,"",IF(I1535="SBJ","CB","?"))</f>
        <v/>
      </c>
      <c r="I1535" s="24" t="str">
        <f aca="false">IF(OR(E1535="",E1535="!!!",F1535="NEW"),"",INDEX(B14:B$1522,-1+SUMPRODUCT(MAX(ROW(E14:E$1522)*(E1535=E14:E$1522)))))</f>
        <v/>
      </c>
      <c r="J1535" s="24" t="str">
        <f aca="true">IF(OR(E1535="",E1535="!!!",F1535="NEW"),"",COUNTBLANK(OFFSET(A$1,,,SUMPRODUCT(MAX(ROW(E$2:E1535)*(E1535=E$2:E1535)))))-COUNTBLANK(OFFSET(A$1,,,SUMPRODUCT(MAX(ROW(E$1:E1534)*(E2=E$1:E1534))))))</f>
        <v/>
      </c>
      <c r="K1535" s="24" t="str">
        <f aca="false">IF(OR(E1535="",E1535="!!!",F1535="NEW"),"",INDEX(J$1:J1534,SUMPRODUCT(MAX(ROW(E$1:E1534)*(E1535=E$1:E1534)))))</f>
        <v/>
      </c>
      <c r="L1535" s="31"/>
    </row>
    <row r="1536" customFormat="false" ht="15" hidden="false" customHeight="false" outlineLevel="0" collapsed="false">
      <c r="A1536" s="20" t="s">
        <v>1135</v>
      </c>
      <c r="E1536" s="23" t="str">
        <f aca="false">IF(D1536="?OLD","!!!","")</f>
        <v/>
      </c>
      <c r="F1536" s="25" t="str">
        <f aca="false">IF(OR(E1536="",E1536="!!!"),"",IF(NOT(ISNA(VLOOKUP(E1536,E$1:E1535,1,FALSE()))),"OLD",IF(AND(E1536&lt;&gt;"",E1536&lt;&gt;"!!!"),"NEW","")))</f>
        <v/>
      </c>
      <c r="G1536" s="26" t="str">
        <f aca="false">IF(OR(E1536="",E1536="!!!"),"",IF(OR(J1536=0,AND(J1536=1,K1536=1),AND(J1536=1,I1536="SBJ"),AND(J1536=1,I1536=0)),"?IN_FOCUS",IF(J1536&lt;=2,"?ACTIVATED",IF(J1536&lt;&gt;"","?FAMILIAR",IF(F1536="NEW",IF(ISNA(VLOOKUP(E1536,#REF!,1,FALSE())),"?TYPE_IDENTIFIABLE","?REFERENTIAL"),"_")))))</f>
        <v/>
      </c>
      <c r="H1536" s="27" t="str">
        <f aca="false">IF(J1536&lt;&gt;1,"",IF(I1536="SBJ","CB","?"))</f>
        <v/>
      </c>
      <c r="I1536" s="24" t="str">
        <f aca="false">IF(OR(E1536="",E1536="!!!",F1536="NEW"),"",INDEX(B15:B$1522,-1+SUMPRODUCT(MAX(ROW(E15:E$1522)*(E1536=E15:E$1522)))))</f>
        <v/>
      </c>
      <c r="J1536" s="24" t="str">
        <f aca="true">IF(OR(E1536="",E1536="!!!",F1536="NEW"),"",COUNTBLANK(OFFSET(A$1,,,SUMPRODUCT(MAX(ROW(E$2:E1536)*(E1536=E$2:E1536)))))-COUNTBLANK(OFFSET(A$1,,,SUMPRODUCT(MAX(ROW(E$1:E1535)*(E2=E$1:E1535))))))</f>
        <v/>
      </c>
      <c r="K1536" s="24" t="str">
        <f aca="false">IF(OR(E1536="",E1536="!!!",F1536="NEW"),"",INDEX(J$1:J1535,SUMPRODUCT(MAX(ROW(E$1:E1535)*(E1536=E$1:E1535)))))</f>
        <v/>
      </c>
      <c r="L1536" s="31"/>
    </row>
    <row r="1537" customFormat="false" ht="15" hidden="false" customHeight="false" outlineLevel="0" collapsed="false">
      <c r="A1537" s="20" t="s">
        <v>1702</v>
      </c>
      <c r="E1537" s="23" t="str">
        <f aca="false">IF(D1537="?OLD","!!!","")</f>
        <v/>
      </c>
      <c r="F1537" s="25" t="str">
        <f aca="false">IF(OR(E1537="",E1537="!!!"),"",IF(NOT(ISNA(VLOOKUP(E1537,E$1:E1536,1,FALSE()))),"OLD",IF(AND(E1537&lt;&gt;"",E1537&lt;&gt;"!!!"),"NEW","")))</f>
        <v/>
      </c>
      <c r="G1537" s="26" t="str">
        <f aca="false">IF(OR(E1537="",E1537="!!!"),"",IF(OR(J1537=0,AND(J1537=1,K1537=1),AND(J1537=1,I1537="SBJ"),AND(J1537=1,I1537=0)),"?IN_FOCUS",IF(J1537&lt;=2,"?ACTIVATED",IF(J1537&lt;&gt;"","?FAMILIAR",IF(F1537="NEW",IF(ISNA(VLOOKUP(E1537,#REF!,1,FALSE())),"?TYPE_IDENTIFIABLE","?REFERENTIAL"),"_")))))</f>
        <v/>
      </c>
      <c r="H1537" s="27" t="str">
        <f aca="false">IF(J1537&lt;&gt;1,"",IF(I1537="SBJ","CB","?"))</f>
        <v/>
      </c>
      <c r="I1537" s="24" t="str">
        <f aca="false">IF(OR(E1537="",E1537="!!!",F1537="NEW"),"",INDEX(B16:B$1522,-1+SUMPRODUCT(MAX(ROW(E16:E$1522)*(E1537=E16:E$1522)))))</f>
        <v/>
      </c>
      <c r="J1537" s="24" t="str">
        <f aca="true">IF(OR(E1537="",E1537="!!!",F1537="NEW"),"",COUNTBLANK(OFFSET(A$1,,,SUMPRODUCT(MAX(ROW(E$2:E1537)*(E1537=E$2:E1537)))))-COUNTBLANK(OFFSET(A$1,,,SUMPRODUCT(MAX(ROW(E$1:E1536)*(E2=E$1:E1536))))))</f>
        <v/>
      </c>
      <c r="K1537" s="24" t="str">
        <f aca="false">IF(OR(E1537="",E1537="!!!",F1537="NEW"),"",INDEX(J$1:J1536,SUMPRODUCT(MAX(ROW(E$1:E1536)*(E1537=E$1:E1536)))))</f>
        <v/>
      </c>
      <c r="L1537" s="31"/>
    </row>
    <row r="1538" customFormat="false" ht="15" hidden="false" customHeight="false" outlineLevel="0" collapsed="false">
      <c r="A1538" s="20" t="s">
        <v>1547</v>
      </c>
      <c r="E1538" s="23" t="str">
        <f aca="false">IF(D1538="?OLD","!!!","")</f>
        <v/>
      </c>
      <c r="F1538" s="25" t="str">
        <f aca="false">IF(OR(E1538="",E1538="!!!"),"",IF(NOT(ISNA(VLOOKUP(E1538,E$1:E1537,1,FALSE()))),"OLD",IF(AND(E1538&lt;&gt;"",E1538&lt;&gt;"!!!"),"NEW","")))</f>
        <v/>
      </c>
      <c r="G1538" s="26" t="str">
        <f aca="false">IF(OR(E1538="",E1538="!!!"),"",IF(OR(J1538=0,AND(J1538=1,K1538=1),AND(J1538=1,I1538="SBJ"),AND(J1538=1,I1538=0)),"?IN_FOCUS",IF(J1538&lt;=2,"?ACTIVATED",IF(J1538&lt;&gt;"","?FAMILIAR",IF(F1538="NEW",IF(ISNA(VLOOKUP(E1538,#REF!,1,FALSE())),"?TYPE_IDENTIFIABLE","?REFERENTIAL"),"_")))))</f>
        <v/>
      </c>
      <c r="H1538" s="27" t="str">
        <f aca="false">IF(J1538&lt;&gt;1,"",IF(I1538="SBJ","CB","?"))</f>
        <v/>
      </c>
      <c r="I1538" s="24" t="str">
        <f aca="false">IF(OR(E1538="",E1538="!!!",F1538="NEW"),"",INDEX(B17:B$1522,-1+SUMPRODUCT(MAX(ROW(E17:E$1522)*(E1538=E17:E$1522)))))</f>
        <v/>
      </c>
      <c r="J1538" s="24" t="str">
        <f aca="true">IF(OR(E1538="",E1538="!!!",F1538="NEW"),"",COUNTBLANK(OFFSET(A$1,,,SUMPRODUCT(MAX(ROW(E$2:E1538)*(E1538=E$2:E1538)))))-COUNTBLANK(OFFSET(A$1,,,SUMPRODUCT(MAX(ROW(E$1:E1537)*(E2=E$1:E1537))))))</f>
        <v/>
      </c>
      <c r="K1538" s="24" t="str">
        <f aca="false">IF(OR(E1538="",E1538="!!!",F1538="NEW"),"",INDEX(J$1:J1537,SUMPRODUCT(MAX(ROW(E$1:E1537)*(E1538=E$1:E1537)))))</f>
        <v/>
      </c>
      <c r="L1538" s="31"/>
    </row>
    <row r="1539" customFormat="false" ht="15" hidden="false" customHeight="false" outlineLevel="0" collapsed="false">
      <c r="A1539" s="20" t="s">
        <v>1064</v>
      </c>
      <c r="E1539" s="23" t="str">
        <f aca="false">IF(D1539="?OLD","!!!","")</f>
        <v/>
      </c>
      <c r="F1539" s="25" t="str">
        <f aca="false">IF(OR(E1539="",E1539="!!!"),"",IF(NOT(ISNA(VLOOKUP(E1539,E$1:E1538,1,FALSE()))),"OLD",IF(AND(E1539&lt;&gt;"",E1539&lt;&gt;"!!!"),"NEW","")))</f>
        <v/>
      </c>
      <c r="G1539" s="26" t="str">
        <f aca="false">IF(OR(E1539="",E1539="!!!"),"",IF(OR(J1539=0,AND(J1539=1,K1539=1),AND(J1539=1,I1539="SBJ"),AND(J1539=1,I1539=0)),"?IN_FOCUS",IF(J1539&lt;=2,"?ACTIVATED",IF(J1539&lt;&gt;"","?FAMILIAR",IF(F1539="NEW",IF(ISNA(VLOOKUP(E1539,#REF!,1,FALSE())),"?TYPE_IDENTIFIABLE","?REFERENTIAL"),"_")))))</f>
        <v/>
      </c>
      <c r="H1539" s="27" t="str">
        <f aca="false">IF(J1539&lt;&gt;1,"",IF(I1539="SBJ","CB","?"))</f>
        <v/>
      </c>
      <c r="I1539" s="24" t="str">
        <f aca="false">IF(OR(E1539="",E1539="!!!",F1539="NEW"),"",INDEX(B18:B$1522,-1+SUMPRODUCT(MAX(ROW(E18:E$1522)*(E1539=E18:E$1522)))))</f>
        <v/>
      </c>
      <c r="J1539" s="24" t="str">
        <f aca="true">IF(OR(E1539="",E1539="!!!",F1539="NEW"),"",COUNTBLANK(OFFSET(A$1,,,SUMPRODUCT(MAX(ROW(E$2:E1539)*(E1539=E$2:E1539)))))-COUNTBLANK(OFFSET(A$1,,,SUMPRODUCT(MAX(ROW(E$1:E1538)*(E2=E$1:E1538))))))</f>
        <v/>
      </c>
      <c r="K1539" s="24" t="str">
        <f aca="false">IF(OR(E1539="",E1539="!!!",F1539="NEW"),"",INDEX(J$1:J1538,SUMPRODUCT(MAX(ROW(E$1:E1538)*(E1539=E$1:E1538)))))</f>
        <v/>
      </c>
      <c r="L1539" s="31"/>
    </row>
    <row r="1540" customFormat="false" ht="15" hidden="false" customHeight="false" outlineLevel="0" collapsed="false">
      <c r="A1540" s="20" t="s">
        <v>1085</v>
      </c>
      <c r="E1540" s="23" t="str">
        <f aca="false">IF(D1540="?OLD","!!!","")</f>
        <v/>
      </c>
      <c r="F1540" s="25" t="str">
        <f aca="false">IF(OR(E1540="",E1540="!!!"),"",IF(NOT(ISNA(VLOOKUP(E1540,E$1:E1539,1,FALSE()))),"OLD",IF(AND(E1540&lt;&gt;"",E1540&lt;&gt;"!!!"),"NEW","")))</f>
        <v/>
      </c>
      <c r="G1540" s="26" t="str">
        <f aca="false">IF(OR(E1540="",E1540="!!!"),"",IF(OR(J1540=0,AND(J1540=1,K1540=1),AND(J1540=1,I1540="SBJ"),AND(J1540=1,I1540=0)),"?IN_FOCUS",IF(J1540&lt;=2,"?ACTIVATED",IF(J1540&lt;&gt;"","?FAMILIAR",IF(F1540="NEW",IF(ISNA(VLOOKUP(E1540,#REF!,1,FALSE())),"?TYPE_IDENTIFIABLE","?REFERENTIAL"),"_")))))</f>
        <v/>
      </c>
      <c r="H1540" s="27" t="str">
        <f aca="false">IF(J1540&lt;&gt;1,"",IF(I1540="SBJ","CB","?"))</f>
        <v/>
      </c>
      <c r="I1540" s="24" t="str">
        <f aca="false">IF(OR(E1540="",E1540="!!!",F1540="NEW"),"",INDEX(B19:B$1522,-1+SUMPRODUCT(MAX(ROW(E19:E$1522)*(E1540=E19:E$1522)))))</f>
        <v/>
      </c>
      <c r="J1540" s="24" t="str">
        <f aca="true">IF(OR(E1540="",E1540="!!!",F1540="NEW"),"",COUNTBLANK(OFFSET(A$1,,,SUMPRODUCT(MAX(ROW(E$2:E1540)*(E1540=E$2:E1540)))))-COUNTBLANK(OFFSET(A$1,,,SUMPRODUCT(MAX(ROW(E$1:E1539)*(E2=E$1:E1539))))))</f>
        <v/>
      </c>
      <c r="K1540" s="24" t="str">
        <f aca="false">IF(OR(E1540="",E1540="!!!",F1540="NEW"),"",INDEX(J$1:J1539,SUMPRODUCT(MAX(ROW(E$1:E1539)*(E1540=E$1:E1539)))))</f>
        <v/>
      </c>
      <c r="L1540" s="31"/>
    </row>
    <row r="1541" customFormat="false" ht="15" hidden="false" customHeight="false" outlineLevel="0" collapsed="false">
      <c r="A1541" s="20" t="s">
        <v>1703</v>
      </c>
      <c r="B1541" s="22" t="s">
        <v>1073</v>
      </c>
      <c r="C1541" s="22" t="s">
        <v>1087</v>
      </c>
      <c r="E1541" s="23" t="str">
        <f aca="false">IF(D1541="?OLD","!!!","")</f>
        <v/>
      </c>
      <c r="F1541" s="25" t="str">
        <f aca="false">IF(OR(E1541="",E1541="!!!"),"",IF(NOT(ISNA(VLOOKUP(E1541,E$1:E1540,1,FALSE()))),"OLD",IF(AND(E1541&lt;&gt;"",E1541&lt;&gt;"!!!"),"NEW","")))</f>
        <v/>
      </c>
      <c r="G1541" s="26" t="str">
        <f aca="false">IF(OR(E1541="",E1541="!!!"),"",IF(OR(J1541=0,AND(J1541=1,K1541=1),AND(J1541=1,I1541="SBJ"),AND(J1541=1,I1541=0)),"?IN_FOCUS",IF(J1541&lt;=2,"?ACTIVATED",IF(J1541&lt;&gt;"","?FAMILIAR",IF(F1541="NEW",IF(ISNA(VLOOKUP(E1541,#REF!,1,FALSE())),"?TYPE_IDENTIFIABLE","?REFERENTIAL"),"_")))))</f>
        <v/>
      </c>
      <c r="H1541" s="27" t="str">
        <f aca="false">IF(J1541&lt;&gt;1,"",IF(I1541="SBJ","CB","?"))</f>
        <v/>
      </c>
      <c r="I1541" s="24" t="str">
        <f aca="false">IF(OR(E1541="",E1541="!!!",F1541="NEW"),"",INDEX(B20:B$1522,-1+SUMPRODUCT(MAX(ROW(E20:E$1522)*(E1541=E20:E$1522)))))</f>
        <v/>
      </c>
      <c r="J1541" s="24" t="str">
        <f aca="true">IF(OR(E1541="",E1541="!!!",F1541="NEW"),"",COUNTBLANK(OFFSET(A$1,,,SUMPRODUCT(MAX(ROW(E$2:E1541)*(E1541=E$2:E1541)))))-COUNTBLANK(OFFSET(A$1,,,SUMPRODUCT(MAX(ROW(E$1:E1540)*(E2=E$1:E1540))))))</f>
        <v/>
      </c>
      <c r="K1541" s="24" t="str">
        <f aca="false">IF(OR(E1541="",E1541="!!!",F1541="NEW"),"",INDEX(J$1:J1540,SUMPRODUCT(MAX(ROW(E$1:E1540)*(E1541=E$1:E1540)))))</f>
        <v/>
      </c>
      <c r="L1541" s="31"/>
    </row>
    <row r="1542" customFormat="false" ht="15" hidden="false" customHeight="false" outlineLevel="0" collapsed="false">
      <c r="A1542" s="20" t="s">
        <v>1064</v>
      </c>
      <c r="E1542" s="23" t="str">
        <f aca="false">IF(D1542="?OLD","!!!","")</f>
        <v/>
      </c>
      <c r="F1542" s="25" t="str">
        <f aca="false">IF(OR(E1542="",E1542="!!!"),"",IF(NOT(ISNA(VLOOKUP(E1542,E$1:E1541,1,FALSE()))),"OLD",IF(AND(E1542&lt;&gt;"",E1542&lt;&gt;"!!!"),"NEW","")))</f>
        <v/>
      </c>
      <c r="G1542" s="26" t="str">
        <f aca="false">IF(OR(E1542="",E1542="!!!"),"",IF(OR(J1542=0,AND(J1542=1,K1542=1),AND(J1542=1,I1542="SBJ"),AND(J1542=1,I1542=0)),"?IN_FOCUS",IF(J1542&lt;=2,"?ACTIVATED",IF(J1542&lt;&gt;"","?FAMILIAR",IF(F1542="NEW",IF(ISNA(VLOOKUP(E1542,#REF!,1,FALSE())),"?TYPE_IDENTIFIABLE","?REFERENTIAL"),"_")))))</f>
        <v/>
      </c>
      <c r="H1542" s="27" t="str">
        <f aca="false">IF(J1542&lt;&gt;1,"",IF(I1542="SBJ","CB","?"))</f>
        <v/>
      </c>
      <c r="I1542" s="24" t="str">
        <f aca="false">IF(OR(E1542="",E1542="!!!",F1542="NEW"),"",INDEX(B21:B$1522,-1+SUMPRODUCT(MAX(ROW(E21:E$1522)*(E1542=E21:E$1522)))))</f>
        <v/>
      </c>
      <c r="J1542" s="24" t="str">
        <f aca="true">IF(OR(E1542="",E1542="!!!",F1542="NEW"),"",COUNTBLANK(OFFSET(A$1,,,SUMPRODUCT(MAX(ROW(E$2:E1542)*(E1542=E$2:E1542)))))-COUNTBLANK(OFFSET(A$1,,,SUMPRODUCT(MAX(ROW(E$1:E1541)*(E2=E$1:E1541))))))</f>
        <v/>
      </c>
      <c r="K1542" s="24" t="str">
        <f aca="false">IF(OR(E1542="",E1542="!!!",F1542="NEW"),"",INDEX(J$1:J1541,SUMPRODUCT(MAX(ROW(E$1:E1541)*(E1542=E$1:E1541)))))</f>
        <v/>
      </c>
      <c r="L1542" s="31"/>
    </row>
    <row r="1543" customFormat="false" ht="15" hidden="false" customHeight="false" outlineLevel="0" collapsed="false">
      <c r="A1543" s="20" t="s">
        <v>1592</v>
      </c>
      <c r="E1543" s="23" t="str">
        <f aca="false">IF(D1543="?OLD","!!!","")</f>
        <v/>
      </c>
      <c r="F1543" s="25" t="str">
        <f aca="false">IF(OR(E1543="",E1543="!!!"),"",IF(NOT(ISNA(VLOOKUP(E1543,E$1:E1542,1,FALSE()))),"OLD",IF(AND(E1543&lt;&gt;"",E1543&lt;&gt;"!!!"),"NEW","")))</f>
        <v/>
      </c>
      <c r="G1543" s="26" t="str">
        <f aca="false">IF(OR(E1543="",E1543="!!!"),"",IF(OR(J1543=0,AND(J1543=1,K1543=1),AND(J1543=1,I1543="SBJ"),AND(J1543=1,I1543=0)),"?IN_FOCUS",IF(J1543&lt;=2,"?ACTIVATED",IF(J1543&lt;&gt;"","?FAMILIAR",IF(F1543="NEW",IF(ISNA(VLOOKUP(E1543,#REF!,1,FALSE())),"?TYPE_IDENTIFIABLE","?REFERENTIAL"),"_")))))</f>
        <v/>
      </c>
      <c r="H1543" s="27" t="str">
        <f aca="false">IF(J1543&lt;&gt;1,"",IF(I1543="SBJ","CB","?"))</f>
        <v/>
      </c>
      <c r="I1543" s="24" t="str">
        <f aca="false">IF(OR(E1543="",E1543="!!!",F1543="NEW"),"",INDEX(B22:B$1522,-1+SUMPRODUCT(MAX(ROW(E22:E$1522)*(E1543=E22:E$1522)))))</f>
        <v/>
      </c>
      <c r="J1543" s="24" t="str">
        <f aca="true">IF(OR(E1543="",E1543="!!!",F1543="NEW"),"",COUNTBLANK(OFFSET(A$1,,,SUMPRODUCT(MAX(ROW(E$2:E1543)*(E1543=E$2:E1543)))))-COUNTBLANK(OFFSET(A$1,,,SUMPRODUCT(MAX(ROW(E$1:E1542)*(E2=E$1:E1542))))))</f>
        <v/>
      </c>
      <c r="K1543" s="24" t="str">
        <f aca="false">IF(OR(E1543="",E1543="!!!",F1543="NEW"),"",INDEX(J$1:J1542,SUMPRODUCT(MAX(ROW(E$1:E1542)*(E1543=E$1:E1542)))))</f>
        <v/>
      </c>
      <c r="L1543" s="31"/>
    </row>
    <row r="1544" customFormat="false" ht="15" hidden="false" customHeight="false" outlineLevel="0" collapsed="false">
      <c r="A1544" s="20" t="s">
        <v>1704</v>
      </c>
      <c r="B1544" s="22" t="s">
        <v>1067</v>
      </c>
      <c r="C1544" s="22" t="s">
        <v>1160</v>
      </c>
      <c r="E1544" s="23" t="str">
        <f aca="false">IF(D1544="?OLD","!!!","")</f>
        <v/>
      </c>
      <c r="F1544" s="25" t="str">
        <f aca="false">IF(OR(E1544="",E1544="!!!"),"",IF(NOT(ISNA(VLOOKUP(E1544,E$1:E1543,1,FALSE()))),"OLD",IF(AND(E1544&lt;&gt;"",E1544&lt;&gt;"!!!"),"NEW","")))</f>
        <v/>
      </c>
      <c r="G1544" s="26" t="str">
        <f aca="false">IF(OR(E1544="",E1544="!!!"),"",IF(OR(J1544=0,AND(J1544=1,K1544=1),AND(J1544=1,I1544="SBJ"),AND(J1544=1,I1544=0)),"?IN_FOCUS",IF(J1544&lt;=2,"?ACTIVATED",IF(J1544&lt;&gt;"","?FAMILIAR",IF(F1544="NEW",IF(ISNA(VLOOKUP(E1544,#REF!,1,FALSE())),"?TYPE_IDENTIFIABLE","?REFERENTIAL"),"_")))))</f>
        <v/>
      </c>
      <c r="H1544" s="27" t="str">
        <f aca="false">IF(J1544&lt;&gt;1,"",IF(I1544="SBJ","CB","?"))</f>
        <v/>
      </c>
      <c r="I1544" s="24" t="str">
        <f aca="false">IF(OR(E1544="",E1544="!!!",F1544="NEW"),"",INDEX(B23:B$1522,-1+SUMPRODUCT(MAX(ROW(E23:E$1522)*(E1544=E23:E$1522)))))</f>
        <v/>
      </c>
      <c r="J1544" s="24" t="str">
        <f aca="true">IF(OR(E1544="",E1544="!!!",F1544="NEW"),"",COUNTBLANK(OFFSET(A$1,,,SUMPRODUCT(MAX(ROW(E$2:E1544)*(E1544=E$2:E1544)))))-COUNTBLANK(OFFSET(A$1,,,SUMPRODUCT(MAX(ROW(E$1:E1543)*(E2=E$1:E1543))))))</f>
        <v/>
      </c>
      <c r="K1544" s="24" t="str">
        <f aca="false">IF(OR(E1544="",E1544="!!!",F1544="NEW"),"",INDEX(J$1:J1543,SUMPRODUCT(MAX(ROW(E$1:E1543)*(E1544=E$1:E1543)))))</f>
        <v/>
      </c>
      <c r="L1544" s="31"/>
    </row>
    <row r="1545" customFormat="false" ht="15" hidden="false" customHeight="false" outlineLevel="0" collapsed="false">
      <c r="A1545" s="20" t="s">
        <v>923</v>
      </c>
      <c r="E1545" s="23" t="str">
        <f aca="false">IF(D1545="?OLD","!!!","")</f>
        <v/>
      </c>
      <c r="F1545" s="25" t="str">
        <f aca="false">IF(OR(E1545="",E1545="!!!"),"",IF(NOT(ISNA(VLOOKUP(E1545,E$1:E1544,1,FALSE()))),"OLD",IF(AND(E1545&lt;&gt;"",E1545&lt;&gt;"!!!"),"NEW","")))</f>
        <v/>
      </c>
      <c r="G1545" s="26" t="str">
        <f aca="false">IF(OR(E1545="",E1545="!!!"),"",IF(OR(J1545=0,AND(J1545=1,K1545=1),AND(J1545=1,I1545="SBJ"),AND(J1545=1,I1545=0)),"?IN_FOCUS",IF(J1545&lt;=2,"?ACTIVATED",IF(J1545&lt;&gt;"","?FAMILIAR",IF(F1545="NEW",IF(ISNA(VLOOKUP(E1545,#REF!,1,FALSE())),"?TYPE_IDENTIFIABLE","?REFERENTIAL"),"_")))))</f>
        <v/>
      </c>
      <c r="H1545" s="27" t="str">
        <f aca="false">IF(J1545&lt;&gt;1,"",IF(I1545="SBJ","CB","?"))</f>
        <v/>
      </c>
      <c r="I1545" s="24" t="str">
        <f aca="false">IF(OR(E1545="",E1545="!!!",F1545="NEW"),"",INDEX(B24:B$1522,-1+SUMPRODUCT(MAX(ROW(E24:E$1522)*(E1545=E24:E$1522)))))</f>
        <v/>
      </c>
      <c r="J1545" s="24" t="str">
        <f aca="true">IF(OR(E1545="",E1545="!!!",F1545="NEW"),"",COUNTBLANK(OFFSET(A$1,,,SUMPRODUCT(MAX(ROW(E$2:E1545)*(E1545=E$2:E1545)))))-COUNTBLANK(OFFSET(A$1,,,SUMPRODUCT(MAX(ROW(E$1:E1544)*(E2=E$1:E1544))))))</f>
        <v/>
      </c>
      <c r="K1545" s="24" t="str">
        <f aca="false">IF(OR(E1545="",E1545="!!!",F1545="NEW"),"",INDEX(J$1:J1544,SUMPRODUCT(MAX(ROW(E$1:E1544)*(E1545=E$1:E1544)))))</f>
        <v/>
      </c>
      <c r="L1545" s="31"/>
    </row>
    <row r="1546" customFormat="false" ht="15" hidden="false" customHeight="false" outlineLevel="0" collapsed="false">
      <c r="A1546" s="20"/>
    </row>
    <row r="1547" customFormat="false" ht="15" hidden="false" customHeight="false" outlineLevel="0" collapsed="false">
      <c r="A1547" s="20" t="s">
        <v>1705</v>
      </c>
    </row>
    <row r="1548" customFormat="false" ht="15" hidden="false" customHeight="false" outlineLevel="0" collapsed="false">
      <c r="A1548" s="20" t="s">
        <v>1312</v>
      </c>
      <c r="E1548" s="23" t="str">
        <f aca="false">IF(D1548="?OLD","!!!","")</f>
        <v/>
      </c>
      <c r="F1548" s="25" t="str">
        <f aca="false">IF(OR(E1548="",E1548="!!!"),"",IF(NOT(ISNA(VLOOKUP(E1548,E$1:E1547,1,FALSE()))),"OLD",IF(AND(E1548&lt;&gt;"",E1548&lt;&gt;"!!!"),"NEW","")))</f>
        <v/>
      </c>
      <c r="G1548" s="26" t="str">
        <f aca="false">IF(OR(E1548="",E1548="!!!"),"",IF(OR(J1548=0,AND(J1548=1,K1548=1),AND(J1548=1,I1548="SBJ"),AND(J1548=1,I1548=0)),"?IN_FOCUS",IF(J1548&lt;=2,"?ACTIVATED",IF(J1548&lt;&gt;"","?FAMILIAR",IF(F1548="NEW",IF(ISNA(VLOOKUP(E1548,#REF!,1,FALSE())),"?TYPE_IDENTIFIABLE","?REFERENTIAL"),"_")))))</f>
        <v/>
      </c>
      <c r="H1548" s="27" t="str">
        <f aca="false">IF(J1548&lt;&gt;1,"",IF(I1548="SBJ","CB","?"))</f>
        <v/>
      </c>
      <c r="I1548" s="24" t="str">
        <f aca="false">IF(OR(E1548="",E1548="!!!",F1548="NEW"),"",INDEX(B2:B$1547,-1+SUMPRODUCT(MAX(ROW(E2:E$1547)*(E1548=E2:E$1547)))))</f>
        <v/>
      </c>
      <c r="J1548" s="24" t="str">
        <f aca="true">IF(OR(E1548="",E1548="!!!",F1548="NEW"),"",COUNTBLANK(OFFSET(A$1,,,SUMPRODUCT(MAX(ROW(E$2:E1548)*(E1548=E$2:E1548)))))-COUNTBLANK(OFFSET(A$1,,,SUMPRODUCT(MAX(ROW(E$1:E1547)*(E2=E$1:E1547))))))</f>
        <v/>
      </c>
      <c r="K1548" s="24" t="str">
        <f aca="false">IF(OR(E1548="",E1548="!!!",F1548="NEW"),"",INDEX(J$1:J1547,SUMPRODUCT(MAX(ROW(E$1:E1547)*(E1548=E$1:E1547)))))</f>
        <v/>
      </c>
      <c r="L1548" s="31"/>
    </row>
    <row r="1549" customFormat="false" ht="15" hidden="false" customHeight="false" outlineLevel="0" collapsed="false">
      <c r="A1549" s="20" t="s">
        <v>1186</v>
      </c>
      <c r="B1549" s="22" t="s">
        <v>1086</v>
      </c>
      <c r="C1549" s="22" t="s">
        <v>1082</v>
      </c>
      <c r="D1549" s="22" t="s">
        <v>1060</v>
      </c>
      <c r="E1549" s="23" t="str">
        <f aca="false">IF(D1549="?OLD","!!!","")</f>
        <v>!!!</v>
      </c>
      <c r="F1549" s="25" t="str">
        <f aca="false">IF(OR(E1549="",E1549="!!!"),"",IF(NOT(ISNA(VLOOKUP(E1549,E$1:E1548,1,FALSE()))),"OLD",IF(AND(E1549&lt;&gt;"",E1549&lt;&gt;"!!!"),"NEW","")))</f>
        <v/>
      </c>
      <c r="G1549" s="26" t="str">
        <f aca="false">IF(OR(E1549="",E1549="!!!"),"",IF(OR(J1549=0,AND(J1549=1,K1549=1),AND(J1549=1,I1549="SBJ"),AND(J1549=1,I1549=0)),"?IN_FOCUS",IF(J1549&lt;=2,"?ACTIVATED",IF(J1549&lt;&gt;"","?FAMILIAR",IF(F1549="NEW",IF(ISNA(VLOOKUP(E1549,#REF!,1,FALSE())),"?TYPE_IDENTIFIABLE","?REFERENTIAL"),"_")))))</f>
        <v/>
      </c>
      <c r="H1549" s="27" t="str">
        <f aca="false">IF(J1549&lt;&gt;1,"",IF(I1549="SBJ","CB","?"))</f>
        <v/>
      </c>
      <c r="I1549" s="24" t="str">
        <f aca="false">IF(OR(E1549="",E1549="!!!",F1549="NEW"),"",INDEX(B3:B$1547,-1+SUMPRODUCT(MAX(ROW(E3:E$1547)*(E1549=E3:E$1547)))))</f>
        <v/>
      </c>
      <c r="J1549" s="24" t="str">
        <f aca="true">IF(OR(E1549="",E1549="!!!",F1549="NEW"),"",COUNTBLANK(OFFSET(A$1,,,SUMPRODUCT(MAX(ROW(E$2:E1549)*(E1549=E$2:E1549)))))-COUNTBLANK(OFFSET(A$1,,,SUMPRODUCT(MAX(ROW(E$1:E1548)*(E2=E$1:E1548))))))</f>
        <v/>
      </c>
      <c r="K1549" s="24" t="str">
        <f aca="false">IF(OR(E1549="",E1549="!!!",F1549="NEW"),"",INDEX(J$1:J1548,SUMPRODUCT(MAX(ROW(E$1:E1548)*(E1549=E$1:E1548)))))</f>
        <v/>
      </c>
      <c r="L1549" s="31"/>
    </row>
    <row r="1550" customFormat="false" ht="15" hidden="false" customHeight="false" outlineLevel="0" collapsed="false">
      <c r="A1550" s="20" t="s">
        <v>1455</v>
      </c>
      <c r="E1550" s="23" t="str">
        <f aca="false">IF(D1550="?OLD","!!!","")</f>
        <v/>
      </c>
      <c r="F1550" s="25" t="str">
        <f aca="false">IF(OR(E1550="",E1550="!!!"),"",IF(NOT(ISNA(VLOOKUP(E1550,E$1:E1549,1,FALSE()))),"OLD",IF(AND(E1550&lt;&gt;"",E1550&lt;&gt;"!!!"),"NEW","")))</f>
        <v/>
      </c>
      <c r="G1550" s="26" t="str">
        <f aca="false">IF(OR(E1550="",E1550="!!!"),"",IF(OR(J1550=0,AND(J1550=1,K1550=1),AND(J1550=1,I1550="SBJ"),AND(J1550=1,I1550=0)),"?IN_FOCUS",IF(J1550&lt;=2,"?ACTIVATED",IF(J1550&lt;&gt;"","?FAMILIAR",IF(F1550="NEW",IF(ISNA(VLOOKUP(E1550,#REF!,1,FALSE())),"?TYPE_IDENTIFIABLE","?REFERENTIAL"),"_")))))</f>
        <v/>
      </c>
      <c r="H1550" s="27" t="str">
        <f aca="false">IF(J1550&lt;&gt;1,"",IF(I1550="SBJ","CB","?"))</f>
        <v/>
      </c>
      <c r="I1550" s="24" t="str">
        <f aca="false">IF(OR(E1550="",E1550="!!!",F1550="NEW"),"",INDEX(B4:B$1547,-1+SUMPRODUCT(MAX(ROW(E4:E$1547)*(E1550=E4:E$1547)))))</f>
        <v/>
      </c>
      <c r="J1550" s="24" t="str">
        <f aca="true">IF(OR(E1550="",E1550="!!!",F1550="NEW"),"",COUNTBLANK(OFFSET(A$1,,,SUMPRODUCT(MAX(ROW(E$2:E1550)*(E1550=E$2:E1550)))))-COUNTBLANK(OFFSET(A$1,,,SUMPRODUCT(MAX(ROW(E$1:E1549)*(E2=E$1:E1549))))))</f>
        <v/>
      </c>
      <c r="K1550" s="24" t="str">
        <f aca="false">IF(OR(E1550="",E1550="!!!",F1550="NEW"),"",INDEX(J$1:J1549,SUMPRODUCT(MAX(ROW(E$1:E1549)*(E1550=E$1:E1549)))))</f>
        <v/>
      </c>
      <c r="L1550" s="31"/>
    </row>
    <row r="1551" customFormat="false" ht="15" hidden="false" customHeight="false" outlineLevel="0" collapsed="false">
      <c r="A1551" s="20" t="s">
        <v>1080</v>
      </c>
      <c r="B1551" s="22" t="s">
        <v>1142</v>
      </c>
      <c r="C1551" s="22" t="s">
        <v>1082</v>
      </c>
      <c r="D1551" s="22" t="s">
        <v>1060</v>
      </c>
      <c r="E1551" s="23" t="str">
        <f aca="false">IF(D1551="?OLD","!!!","")</f>
        <v>!!!</v>
      </c>
      <c r="F1551" s="25" t="str">
        <f aca="false">IF(OR(E1551="",E1551="!!!"),"",IF(NOT(ISNA(VLOOKUP(E1551,E$1:E1550,1,FALSE()))),"OLD",IF(AND(E1551&lt;&gt;"",E1551&lt;&gt;"!!!"),"NEW","")))</f>
        <v/>
      </c>
      <c r="G1551" s="26" t="str">
        <f aca="false">IF(OR(E1551="",E1551="!!!"),"",IF(OR(J1551=0,AND(J1551=1,K1551=1),AND(J1551=1,I1551="SBJ"),AND(J1551=1,I1551=0)),"?IN_FOCUS",IF(J1551&lt;=2,"?ACTIVATED",IF(J1551&lt;&gt;"","?FAMILIAR",IF(F1551="NEW",IF(ISNA(VLOOKUP(E1551,#REF!,1,FALSE())),"?TYPE_IDENTIFIABLE","?REFERENTIAL"),"_")))))</f>
        <v/>
      </c>
      <c r="H1551" s="27" t="str">
        <f aca="false">IF(J1551&lt;&gt;1,"",IF(I1551="SBJ","CB","?"))</f>
        <v/>
      </c>
      <c r="I1551" s="24" t="str">
        <f aca="false">IF(OR(E1551="",E1551="!!!",F1551="NEW"),"",INDEX(B5:B$1547,-1+SUMPRODUCT(MAX(ROW(E5:E$1547)*(E1551=E5:E$1547)))))</f>
        <v/>
      </c>
      <c r="J1551" s="24" t="str">
        <f aca="true">IF(OR(E1551="",E1551="!!!",F1551="NEW"),"",COUNTBLANK(OFFSET(A$1,,,SUMPRODUCT(MAX(ROW(E$2:E1551)*(E1551=E$2:E1551)))))-COUNTBLANK(OFFSET(A$1,,,SUMPRODUCT(MAX(ROW(E$1:E1550)*(E2=E$1:E1550))))))</f>
        <v/>
      </c>
      <c r="K1551" s="24" t="str">
        <f aca="false">IF(OR(E1551="",E1551="!!!",F1551="NEW"),"",INDEX(J$1:J1550,SUMPRODUCT(MAX(ROW(E$1:E1550)*(E1551=E$1:E1550)))))</f>
        <v/>
      </c>
      <c r="L1551" s="31"/>
    </row>
    <row r="1552" customFormat="false" ht="15" hidden="false" customHeight="false" outlineLevel="0" collapsed="false">
      <c r="A1552" s="20" t="s">
        <v>1109</v>
      </c>
      <c r="E1552" s="23" t="str">
        <f aca="false">IF(D1552="?OLD","!!!","")</f>
        <v/>
      </c>
      <c r="F1552" s="25" t="str">
        <f aca="false">IF(OR(E1552="",E1552="!!!"),"",IF(NOT(ISNA(VLOOKUP(E1552,E$1:E1551,1,FALSE()))),"OLD",IF(AND(E1552&lt;&gt;"",E1552&lt;&gt;"!!!"),"NEW","")))</f>
        <v/>
      </c>
      <c r="G1552" s="26" t="str">
        <f aca="false">IF(OR(E1552="",E1552="!!!"),"",IF(OR(J1552=0,AND(J1552=1,K1552=1),AND(J1552=1,I1552="SBJ"),AND(J1552=1,I1552=0)),"?IN_FOCUS",IF(J1552&lt;=2,"?ACTIVATED",IF(J1552&lt;&gt;"","?FAMILIAR",IF(F1552="NEW",IF(ISNA(VLOOKUP(E1552,#REF!,1,FALSE())),"?TYPE_IDENTIFIABLE","?REFERENTIAL"),"_")))))</f>
        <v/>
      </c>
      <c r="H1552" s="27" t="str">
        <f aca="false">IF(J1552&lt;&gt;1,"",IF(I1552="SBJ","CB","?"))</f>
        <v/>
      </c>
      <c r="I1552" s="24" t="str">
        <f aca="false">IF(OR(E1552="",E1552="!!!",F1552="NEW"),"",INDEX(B6:B$1547,-1+SUMPRODUCT(MAX(ROW(E6:E$1547)*(E1552=E6:E$1547)))))</f>
        <v/>
      </c>
      <c r="J1552" s="24" t="str">
        <f aca="true">IF(OR(E1552="",E1552="!!!",F1552="NEW"),"",COUNTBLANK(OFFSET(A$1,,,SUMPRODUCT(MAX(ROW(E$2:E1552)*(E1552=E$2:E1552)))))-COUNTBLANK(OFFSET(A$1,,,SUMPRODUCT(MAX(ROW(E$1:E1551)*(E2=E$1:E1551))))))</f>
        <v/>
      </c>
      <c r="K1552" s="24" t="str">
        <f aca="false">IF(OR(E1552="",E1552="!!!",F1552="NEW"),"",INDEX(J$1:J1551,SUMPRODUCT(MAX(ROW(E$1:E1551)*(E1552=E$1:E1551)))))</f>
        <v/>
      </c>
      <c r="L1552" s="31"/>
    </row>
    <row r="1553" customFormat="false" ht="15" hidden="false" customHeight="false" outlineLevel="0" collapsed="false">
      <c r="A1553" s="20" t="s">
        <v>1358</v>
      </c>
      <c r="E1553" s="23" t="str">
        <f aca="false">IF(D1553="?OLD","!!!","")</f>
        <v/>
      </c>
      <c r="F1553" s="25" t="str">
        <f aca="false">IF(OR(E1553="",E1553="!!!"),"",IF(NOT(ISNA(VLOOKUP(E1553,E$1:E1552,1,FALSE()))),"OLD",IF(AND(E1553&lt;&gt;"",E1553&lt;&gt;"!!!"),"NEW","")))</f>
        <v/>
      </c>
      <c r="G1553" s="26" t="str">
        <f aca="false">IF(OR(E1553="",E1553="!!!"),"",IF(OR(J1553=0,AND(J1553=1,K1553=1),AND(J1553=1,I1553="SBJ"),AND(J1553=1,I1553=0)),"?IN_FOCUS",IF(J1553&lt;=2,"?ACTIVATED",IF(J1553&lt;&gt;"","?FAMILIAR",IF(F1553="NEW",IF(ISNA(VLOOKUP(E1553,#REF!,1,FALSE())),"?TYPE_IDENTIFIABLE","?REFERENTIAL"),"_")))))</f>
        <v/>
      </c>
      <c r="H1553" s="27" t="str">
        <f aca="false">IF(J1553&lt;&gt;1,"",IF(I1553="SBJ","CB","?"))</f>
        <v/>
      </c>
      <c r="I1553" s="24" t="str">
        <f aca="false">IF(OR(E1553="",E1553="!!!",F1553="NEW"),"",INDEX(B7:B$1547,-1+SUMPRODUCT(MAX(ROW(E7:E$1547)*(E1553=E7:E$1547)))))</f>
        <v/>
      </c>
      <c r="J1553" s="24" t="str">
        <f aca="true">IF(OR(E1553="",E1553="!!!",F1553="NEW"),"",COUNTBLANK(OFFSET(A$1,,,SUMPRODUCT(MAX(ROW(E$2:E1553)*(E1553=E$2:E1553)))))-COUNTBLANK(OFFSET(A$1,,,SUMPRODUCT(MAX(ROW(E$1:E1552)*(E2=E$1:E1552))))))</f>
        <v/>
      </c>
      <c r="K1553" s="24" t="str">
        <f aca="false">IF(OR(E1553="",E1553="!!!",F1553="NEW"),"",INDEX(J$1:J1552,SUMPRODUCT(MAX(ROW(E$1:E1552)*(E1553=E$1:E1552)))))</f>
        <v/>
      </c>
      <c r="L1553" s="31"/>
    </row>
    <row r="1554" customFormat="false" ht="15" hidden="false" customHeight="false" outlineLevel="0" collapsed="false">
      <c r="A1554" s="20" t="s">
        <v>16</v>
      </c>
      <c r="E1554" s="23" t="str">
        <f aca="false">IF(D1554="?OLD","!!!","")</f>
        <v/>
      </c>
      <c r="F1554" s="25" t="str">
        <f aca="false">IF(OR(E1554="",E1554="!!!"),"",IF(NOT(ISNA(VLOOKUP(E1554,E$1:E1553,1,FALSE()))),"OLD",IF(AND(E1554&lt;&gt;"",E1554&lt;&gt;"!!!"),"NEW","")))</f>
        <v/>
      </c>
      <c r="G1554" s="26" t="str">
        <f aca="false">IF(OR(E1554="",E1554="!!!"),"",IF(OR(J1554=0,AND(J1554=1,K1554=1),AND(J1554=1,I1554="SBJ"),AND(J1554=1,I1554=0)),"?IN_FOCUS",IF(J1554&lt;=2,"?ACTIVATED",IF(J1554&lt;&gt;"","?FAMILIAR",IF(F1554="NEW",IF(ISNA(VLOOKUP(E1554,#REF!,1,FALSE())),"?TYPE_IDENTIFIABLE","?REFERENTIAL"),"_")))))</f>
        <v/>
      </c>
      <c r="H1554" s="27" t="str">
        <f aca="false">IF(J1554&lt;&gt;1,"",IF(I1554="SBJ","CB","?"))</f>
        <v/>
      </c>
      <c r="I1554" s="24" t="str">
        <f aca="false">IF(OR(E1554="",E1554="!!!",F1554="NEW"),"",INDEX(B8:B$1547,-1+SUMPRODUCT(MAX(ROW(E8:E$1547)*(E1554=E8:E$1547)))))</f>
        <v/>
      </c>
      <c r="J1554" s="24" t="str">
        <f aca="true">IF(OR(E1554="",E1554="!!!",F1554="NEW"),"",COUNTBLANK(OFFSET(A$1,,,SUMPRODUCT(MAX(ROW(E$2:E1554)*(E1554=E$2:E1554)))))-COUNTBLANK(OFFSET(A$1,,,SUMPRODUCT(MAX(ROW(E$1:E1553)*(E2=E$1:E1553))))))</f>
        <v/>
      </c>
      <c r="K1554" s="24" t="str">
        <f aca="false">IF(OR(E1554="",E1554="!!!",F1554="NEW"),"",INDEX(J$1:J1553,SUMPRODUCT(MAX(ROW(E$1:E1553)*(E1554=E$1:E1553)))))</f>
        <v/>
      </c>
      <c r="L1554" s="31"/>
    </row>
    <row r="1555" customFormat="false" ht="15" hidden="false" customHeight="false" outlineLevel="0" collapsed="false">
      <c r="A1555" s="20" t="s">
        <v>1706</v>
      </c>
      <c r="B1555" s="22" t="s">
        <v>1058</v>
      </c>
      <c r="C1555" s="22" t="s">
        <v>1150</v>
      </c>
      <c r="D1555" s="22" t="s">
        <v>1060</v>
      </c>
      <c r="E1555" s="23" t="str">
        <f aca="false">IF(D1555="?OLD","!!!","")</f>
        <v>!!!</v>
      </c>
      <c r="F1555" s="25" t="str">
        <f aca="false">IF(OR(E1555="",E1555="!!!"),"",IF(NOT(ISNA(VLOOKUP(E1555,E$1:E1554,1,FALSE()))),"OLD",IF(AND(E1555&lt;&gt;"",E1555&lt;&gt;"!!!"),"NEW","")))</f>
        <v/>
      </c>
      <c r="G1555" s="26" t="str">
        <f aca="false">IF(OR(E1555="",E1555="!!!"),"",IF(OR(J1555=0,AND(J1555=1,K1555=1),AND(J1555=1,I1555="SBJ"),AND(J1555=1,I1555=0)),"?IN_FOCUS",IF(J1555&lt;=2,"?ACTIVATED",IF(J1555&lt;&gt;"","?FAMILIAR",IF(F1555="NEW",IF(ISNA(VLOOKUP(E1555,#REF!,1,FALSE())),"?TYPE_IDENTIFIABLE","?REFERENTIAL"),"_")))))</f>
        <v/>
      </c>
      <c r="H1555" s="27" t="str">
        <f aca="false">IF(J1555&lt;&gt;1,"",IF(I1555="SBJ","CB","?"))</f>
        <v/>
      </c>
      <c r="I1555" s="24" t="str">
        <f aca="false">IF(OR(E1555="",E1555="!!!",F1555="NEW"),"",INDEX(B9:B$1547,-1+SUMPRODUCT(MAX(ROW(E9:E$1547)*(E1555=E9:E$1547)))))</f>
        <v/>
      </c>
      <c r="J1555" s="24" t="str">
        <f aca="true">IF(OR(E1555="",E1555="!!!",F1555="NEW"),"",COUNTBLANK(OFFSET(A$1,,,SUMPRODUCT(MAX(ROW(E$2:E1555)*(E1555=E$2:E1555)))))-COUNTBLANK(OFFSET(A$1,,,SUMPRODUCT(MAX(ROW(E$1:E1554)*(E2=E$1:E1554))))))</f>
        <v/>
      </c>
      <c r="K1555" s="24" t="str">
        <f aca="false">IF(OR(E1555="",E1555="!!!",F1555="NEW"),"",INDEX(J$1:J1554,SUMPRODUCT(MAX(ROW(E$1:E1554)*(E1555=E$1:E1554)))))</f>
        <v/>
      </c>
      <c r="L1555" s="31"/>
    </row>
    <row r="1556" customFormat="false" ht="15" hidden="false" customHeight="false" outlineLevel="0" collapsed="false">
      <c r="A1556" s="20" t="s">
        <v>1116</v>
      </c>
      <c r="E1556" s="23" t="str">
        <f aca="false">IF(D1556="?OLD","!!!","")</f>
        <v/>
      </c>
      <c r="F1556" s="25" t="str">
        <f aca="false">IF(OR(E1556="",E1556="!!!"),"",IF(NOT(ISNA(VLOOKUP(E1556,E$1:E1555,1,FALSE()))),"OLD",IF(AND(E1556&lt;&gt;"",E1556&lt;&gt;"!!!"),"NEW","")))</f>
        <v/>
      </c>
      <c r="G1556" s="26" t="str">
        <f aca="false">IF(OR(E1556="",E1556="!!!"),"",IF(OR(J1556=0,AND(J1556=1,K1556=1),AND(J1556=1,I1556="SBJ"),AND(J1556=1,I1556=0)),"?IN_FOCUS",IF(J1556&lt;=2,"?ACTIVATED",IF(J1556&lt;&gt;"","?FAMILIAR",IF(F1556="NEW",IF(ISNA(VLOOKUP(E1556,#REF!,1,FALSE())),"?TYPE_IDENTIFIABLE","?REFERENTIAL"),"_")))))</f>
        <v/>
      </c>
      <c r="H1556" s="27" t="str">
        <f aca="false">IF(J1556&lt;&gt;1,"",IF(I1556="SBJ","CB","?"))</f>
        <v/>
      </c>
      <c r="I1556" s="24" t="str">
        <f aca="false">IF(OR(E1556="",E1556="!!!",F1556="NEW"),"",INDEX(B10:B$1547,-1+SUMPRODUCT(MAX(ROW(E10:E$1547)*(E1556=E10:E$1547)))))</f>
        <v/>
      </c>
      <c r="J1556" s="24" t="str">
        <f aca="true">IF(OR(E1556="",E1556="!!!",F1556="NEW"),"",COUNTBLANK(OFFSET(A$1,,,SUMPRODUCT(MAX(ROW(E$2:E1556)*(E1556=E$2:E1556)))))-COUNTBLANK(OFFSET(A$1,,,SUMPRODUCT(MAX(ROW(E$1:E1555)*(E2=E$1:E1555))))))</f>
        <v/>
      </c>
      <c r="K1556" s="24" t="str">
        <f aca="false">IF(OR(E1556="",E1556="!!!",F1556="NEW"),"",INDEX(J$1:J1555,SUMPRODUCT(MAX(ROW(E$1:E1555)*(E1556=E$1:E1555)))))</f>
        <v/>
      </c>
      <c r="L1556" s="31"/>
    </row>
    <row r="1557" customFormat="false" ht="15" hidden="false" customHeight="false" outlineLevel="0" collapsed="false">
      <c r="A1557" s="20" t="s">
        <v>1707</v>
      </c>
      <c r="E1557" s="23" t="str">
        <f aca="false">IF(D1557="?OLD","!!!","")</f>
        <v/>
      </c>
      <c r="F1557" s="25" t="str">
        <f aca="false">IF(OR(E1557="",E1557="!!!"),"",IF(NOT(ISNA(VLOOKUP(E1557,E$1:E1556,1,FALSE()))),"OLD",IF(AND(E1557&lt;&gt;"",E1557&lt;&gt;"!!!"),"NEW","")))</f>
        <v/>
      </c>
      <c r="G1557" s="26" t="str">
        <f aca="false">IF(OR(E1557="",E1557="!!!"),"",IF(OR(J1557=0,AND(J1557=1,K1557=1),AND(J1557=1,I1557="SBJ"),AND(J1557=1,I1557=0)),"?IN_FOCUS",IF(J1557&lt;=2,"?ACTIVATED",IF(J1557&lt;&gt;"","?FAMILIAR",IF(F1557="NEW",IF(ISNA(VLOOKUP(E1557,#REF!,1,FALSE())),"?TYPE_IDENTIFIABLE","?REFERENTIAL"),"_")))))</f>
        <v/>
      </c>
      <c r="H1557" s="27" t="str">
        <f aca="false">IF(J1557&lt;&gt;1,"",IF(I1557="SBJ","CB","?"))</f>
        <v/>
      </c>
      <c r="I1557" s="24" t="str">
        <f aca="false">IF(OR(E1557="",E1557="!!!",F1557="NEW"),"",INDEX(B11:B$1547,-1+SUMPRODUCT(MAX(ROW(E11:E$1547)*(E1557=E11:E$1547)))))</f>
        <v/>
      </c>
      <c r="J1557" s="24" t="str">
        <f aca="true">IF(OR(E1557="",E1557="!!!",F1557="NEW"),"",COUNTBLANK(OFFSET(A$1,,,SUMPRODUCT(MAX(ROW(E$2:E1557)*(E1557=E$2:E1557)))))-COUNTBLANK(OFFSET(A$1,,,SUMPRODUCT(MAX(ROW(E$1:E1556)*(E2=E$1:E1556))))))</f>
        <v/>
      </c>
      <c r="K1557" s="24" t="str">
        <f aca="false">IF(OR(E1557="",E1557="!!!",F1557="NEW"),"",INDEX(J$1:J1556,SUMPRODUCT(MAX(ROW(E$1:E1556)*(E1557=E$1:E1556)))))</f>
        <v/>
      </c>
      <c r="L1557" s="31"/>
    </row>
    <row r="1558" customFormat="false" ht="15" hidden="false" customHeight="false" outlineLevel="0" collapsed="false">
      <c r="A1558" s="20" t="s">
        <v>1352</v>
      </c>
      <c r="E1558" s="23" t="str">
        <f aca="false">IF(D1558="?OLD","!!!","")</f>
        <v/>
      </c>
      <c r="F1558" s="25" t="str">
        <f aca="false">IF(OR(E1558="",E1558="!!!"),"",IF(NOT(ISNA(VLOOKUP(E1558,E$1:E1557,1,FALSE()))),"OLD",IF(AND(E1558&lt;&gt;"",E1558&lt;&gt;"!!!"),"NEW","")))</f>
        <v/>
      </c>
      <c r="G1558" s="26" t="str">
        <f aca="false">IF(OR(E1558="",E1558="!!!"),"",IF(OR(J1558=0,AND(J1558=1,K1558=1),AND(J1558=1,I1558="SBJ"),AND(J1558=1,I1558=0)),"?IN_FOCUS",IF(J1558&lt;=2,"?ACTIVATED",IF(J1558&lt;&gt;"","?FAMILIAR",IF(F1558="NEW",IF(ISNA(VLOOKUP(E1558,#REF!,1,FALSE())),"?TYPE_IDENTIFIABLE","?REFERENTIAL"),"_")))))</f>
        <v/>
      </c>
      <c r="H1558" s="27" t="str">
        <f aca="false">IF(J1558&lt;&gt;1,"",IF(I1558="SBJ","CB","?"))</f>
        <v/>
      </c>
      <c r="I1558" s="24" t="str">
        <f aca="false">IF(OR(E1558="",E1558="!!!",F1558="NEW"),"",INDEX(B12:B$1547,-1+SUMPRODUCT(MAX(ROW(E12:E$1547)*(E1558=E12:E$1547)))))</f>
        <v/>
      </c>
      <c r="J1558" s="24" t="str">
        <f aca="true">IF(OR(E1558="",E1558="!!!",F1558="NEW"),"",COUNTBLANK(OFFSET(A$1,,,SUMPRODUCT(MAX(ROW(E$2:E1558)*(E1558=E$2:E1558)))))-COUNTBLANK(OFFSET(A$1,,,SUMPRODUCT(MAX(ROW(E$1:E1557)*(E2=E$1:E1557))))))</f>
        <v/>
      </c>
      <c r="K1558" s="24" t="str">
        <f aca="false">IF(OR(E1558="",E1558="!!!",F1558="NEW"),"",INDEX(J$1:J1557,SUMPRODUCT(MAX(ROW(E$1:E1557)*(E1558=E$1:E1557)))))</f>
        <v/>
      </c>
      <c r="L1558" s="31"/>
    </row>
    <row r="1559" customFormat="false" ht="15" hidden="false" customHeight="false" outlineLevel="0" collapsed="false">
      <c r="A1559" s="20" t="s">
        <v>1708</v>
      </c>
      <c r="E1559" s="23" t="str">
        <f aca="false">IF(D1559="?OLD","!!!","")</f>
        <v/>
      </c>
      <c r="F1559" s="25" t="str">
        <f aca="false">IF(OR(E1559="",E1559="!!!"),"",IF(NOT(ISNA(VLOOKUP(E1559,E$1:E1558,1,FALSE()))),"OLD",IF(AND(E1559&lt;&gt;"",E1559&lt;&gt;"!!!"),"NEW","")))</f>
        <v/>
      </c>
      <c r="G1559" s="26" t="str">
        <f aca="false">IF(OR(E1559="",E1559="!!!"),"",IF(OR(J1559=0,AND(J1559=1,K1559=1),AND(J1559=1,I1559="SBJ"),AND(J1559=1,I1559=0)),"?IN_FOCUS",IF(J1559&lt;=2,"?ACTIVATED",IF(J1559&lt;&gt;"","?FAMILIAR",IF(F1559="NEW",IF(ISNA(VLOOKUP(E1559,#REF!,1,FALSE())),"?TYPE_IDENTIFIABLE","?REFERENTIAL"),"_")))))</f>
        <v/>
      </c>
      <c r="H1559" s="27" t="str">
        <f aca="false">IF(J1559&lt;&gt;1,"",IF(I1559="SBJ","CB","?"))</f>
        <v/>
      </c>
      <c r="I1559" s="24" t="str">
        <f aca="false">IF(OR(E1559="",E1559="!!!",F1559="NEW"),"",INDEX(B13:B$1547,-1+SUMPRODUCT(MAX(ROW(E13:E$1547)*(E1559=E13:E$1547)))))</f>
        <v/>
      </c>
      <c r="J1559" s="24" t="str">
        <f aca="true">IF(OR(E1559="",E1559="!!!",F1559="NEW"),"",COUNTBLANK(OFFSET(A$1,,,SUMPRODUCT(MAX(ROW(E$2:E1559)*(E1559=E$2:E1559)))))-COUNTBLANK(OFFSET(A$1,,,SUMPRODUCT(MAX(ROW(E$1:E1558)*(E2=E$1:E1558))))))</f>
        <v/>
      </c>
      <c r="K1559" s="24" t="str">
        <f aca="false">IF(OR(E1559="",E1559="!!!",F1559="NEW"),"",INDEX(J$1:J1558,SUMPRODUCT(MAX(ROW(E$1:E1558)*(E1559=E$1:E1558)))))</f>
        <v/>
      </c>
      <c r="L1559" s="31"/>
    </row>
    <row r="1560" customFormat="false" ht="15" hidden="false" customHeight="false" outlineLevel="0" collapsed="false">
      <c r="A1560" s="20" t="s">
        <v>1709</v>
      </c>
      <c r="B1560" s="22" t="s">
        <v>1073</v>
      </c>
      <c r="C1560" s="22" t="s">
        <v>1428</v>
      </c>
      <c r="D1560" s="22" t="s">
        <v>1060</v>
      </c>
      <c r="E1560" s="23" t="str">
        <f aca="false">IF(D1560="?OLD","!!!","")</f>
        <v>!!!</v>
      </c>
      <c r="F1560" s="25" t="str">
        <f aca="false">IF(OR(E1560="",E1560="!!!"),"",IF(NOT(ISNA(VLOOKUP(E1560,E$1:E1559,1,FALSE()))),"OLD",IF(AND(E1560&lt;&gt;"",E1560&lt;&gt;"!!!"),"NEW","")))</f>
        <v/>
      </c>
      <c r="G1560" s="26" t="str">
        <f aca="false">IF(OR(E1560="",E1560="!!!"),"",IF(OR(J1560=0,AND(J1560=1,K1560=1),AND(J1560=1,I1560="SBJ"),AND(J1560=1,I1560=0)),"?IN_FOCUS",IF(J1560&lt;=2,"?ACTIVATED",IF(J1560&lt;&gt;"","?FAMILIAR",IF(F1560="NEW",IF(ISNA(VLOOKUP(E1560,#REF!,1,FALSE())),"?TYPE_IDENTIFIABLE","?REFERENTIAL"),"_")))))</f>
        <v/>
      </c>
      <c r="H1560" s="27" t="str">
        <f aca="false">IF(J1560&lt;&gt;1,"",IF(I1560="SBJ","CB","?"))</f>
        <v/>
      </c>
      <c r="I1560" s="24" t="str">
        <f aca="false">IF(OR(E1560="",E1560="!!!",F1560="NEW"),"",INDEX(B14:B$1547,-1+SUMPRODUCT(MAX(ROW(E14:E$1547)*(E1560=E14:E$1547)))))</f>
        <v/>
      </c>
      <c r="J1560" s="24" t="str">
        <f aca="true">IF(OR(E1560="",E1560="!!!",F1560="NEW"),"",COUNTBLANK(OFFSET(A$1,,,SUMPRODUCT(MAX(ROW(E$2:E1560)*(E1560=E$2:E1560)))))-COUNTBLANK(OFFSET(A$1,,,SUMPRODUCT(MAX(ROW(E$1:E1559)*(E2=E$1:E1559))))))</f>
        <v/>
      </c>
      <c r="K1560" s="24" t="str">
        <f aca="false">IF(OR(E1560="",E1560="!!!",F1560="NEW"),"",INDEX(J$1:J1559,SUMPRODUCT(MAX(ROW(E$1:E1559)*(E1560=E$1:E1559)))))</f>
        <v/>
      </c>
      <c r="L1560" s="31"/>
    </row>
    <row r="1561" customFormat="false" ht="15" hidden="false" customHeight="false" outlineLevel="0" collapsed="false">
      <c r="A1561" s="20" t="s">
        <v>1064</v>
      </c>
      <c r="E1561" s="23" t="str">
        <f aca="false">IF(D1561="?OLD","!!!","")</f>
        <v/>
      </c>
      <c r="F1561" s="25" t="str">
        <f aca="false">IF(OR(E1561="",E1561="!!!"),"",IF(NOT(ISNA(VLOOKUP(E1561,E$1:E1560,1,FALSE()))),"OLD",IF(AND(E1561&lt;&gt;"",E1561&lt;&gt;"!!!"),"NEW","")))</f>
        <v/>
      </c>
      <c r="G1561" s="26" t="str">
        <f aca="false">IF(OR(E1561="",E1561="!!!"),"",IF(OR(J1561=0,AND(J1561=1,K1561=1),AND(J1561=1,I1561="SBJ"),AND(J1561=1,I1561=0)),"?IN_FOCUS",IF(J1561&lt;=2,"?ACTIVATED",IF(J1561&lt;&gt;"","?FAMILIAR",IF(F1561="NEW",IF(ISNA(VLOOKUP(E1561,#REF!,1,FALSE())),"?TYPE_IDENTIFIABLE","?REFERENTIAL"),"_")))))</f>
        <v/>
      </c>
      <c r="H1561" s="27" t="str">
        <f aca="false">IF(J1561&lt;&gt;1,"",IF(I1561="SBJ","CB","?"))</f>
        <v/>
      </c>
      <c r="I1561" s="24" t="str">
        <f aca="false">IF(OR(E1561="",E1561="!!!",F1561="NEW"),"",INDEX(B15:B$1547,-1+SUMPRODUCT(MAX(ROW(E15:E$1547)*(E1561=E15:E$1547)))))</f>
        <v/>
      </c>
      <c r="J1561" s="24" t="str">
        <f aca="true">IF(OR(E1561="",E1561="!!!",F1561="NEW"),"",COUNTBLANK(OFFSET(A$1,,,SUMPRODUCT(MAX(ROW(E$2:E1561)*(E1561=E$2:E1561)))))-COUNTBLANK(OFFSET(A$1,,,SUMPRODUCT(MAX(ROW(E$1:E1560)*(E2=E$1:E1560))))))</f>
        <v/>
      </c>
      <c r="K1561" s="24" t="str">
        <f aca="false">IF(OR(E1561="",E1561="!!!",F1561="NEW"),"",INDEX(J$1:J1560,SUMPRODUCT(MAX(ROW(E$1:E1560)*(E1561=E$1:E1560)))))</f>
        <v/>
      </c>
      <c r="L1561" s="31"/>
    </row>
    <row r="1562" customFormat="false" ht="15" hidden="false" customHeight="false" outlineLevel="0" collapsed="false">
      <c r="A1562" s="20" t="s">
        <v>1109</v>
      </c>
      <c r="E1562" s="23" t="str">
        <f aca="false">IF(D1562="?OLD","!!!","")</f>
        <v/>
      </c>
      <c r="F1562" s="25" t="str">
        <f aca="false">IF(OR(E1562="",E1562="!!!"),"",IF(NOT(ISNA(VLOOKUP(E1562,E$1:E1561,1,FALSE()))),"OLD",IF(AND(E1562&lt;&gt;"",E1562&lt;&gt;"!!!"),"NEW","")))</f>
        <v/>
      </c>
      <c r="G1562" s="26" t="str">
        <f aca="false">IF(OR(E1562="",E1562="!!!"),"",IF(OR(J1562=0,AND(J1562=1,K1562=1),AND(J1562=1,I1562="SBJ"),AND(J1562=1,I1562=0)),"?IN_FOCUS",IF(J1562&lt;=2,"?ACTIVATED",IF(J1562&lt;&gt;"","?FAMILIAR",IF(F1562="NEW",IF(ISNA(VLOOKUP(E1562,#REF!,1,FALSE())),"?TYPE_IDENTIFIABLE","?REFERENTIAL"),"_")))))</f>
        <v/>
      </c>
      <c r="H1562" s="27" t="str">
        <f aca="false">IF(J1562&lt;&gt;1,"",IF(I1562="SBJ","CB","?"))</f>
        <v/>
      </c>
      <c r="I1562" s="24" t="str">
        <f aca="false">IF(OR(E1562="",E1562="!!!",F1562="NEW"),"",INDEX(B16:B$1547,-1+SUMPRODUCT(MAX(ROW(E16:E$1547)*(E1562=E16:E$1547)))))</f>
        <v/>
      </c>
      <c r="J1562" s="24" t="str">
        <f aca="true">IF(OR(E1562="",E1562="!!!",F1562="NEW"),"",COUNTBLANK(OFFSET(A$1,,,SUMPRODUCT(MAX(ROW(E$2:E1562)*(E1562=E$2:E1562)))))-COUNTBLANK(OFFSET(A$1,,,SUMPRODUCT(MAX(ROW(E$1:E1561)*(E2=E$1:E1561))))))</f>
        <v/>
      </c>
      <c r="K1562" s="24" t="str">
        <f aca="false">IF(OR(E1562="",E1562="!!!",F1562="NEW"),"",INDEX(J$1:J1561,SUMPRODUCT(MAX(ROW(E$1:E1561)*(E1562=E$1:E1561)))))</f>
        <v/>
      </c>
      <c r="L1562" s="31"/>
    </row>
    <row r="1563" customFormat="false" ht="15" hidden="false" customHeight="false" outlineLevel="0" collapsed="false">
      <c r="A1563" s="20" t="s">
        <v>1269</v>
      </c>
      <c r="B1563" s="22" t="s">
        <v>1067</v>
      </c>
      <c r="C1563" s="22" t="s">
        <v>1150</v>
      </c>
      <c r="D1563" s="22" t="s">
        <v>1060</v>
      </c>
      <c r="E1563" s="23" t="str">
        <f aca="false">IF(D1563="?OLD","!!!","")</f>
        <v>!!!</v>
      </c>
      <c r="F1563" s="25" t="str">
        <f aca="false">IF(OR(E1563="",E1563="!!!"),"",IF(NOT(ISNA(VLOOKUP(E1563,E$1:E1562,1,FALSE()))),"OLD",IF(AND(E1563&lt;&gt;"",E1563&lt;&gt;"!!!"),"NEW","")))</f>
        <v/>
      </c>
      <c r="G1563" s="26" t="str">
        <f aca="false">IF(OR(E1563="",E1563="!!!"),"",IF(OR(J1563=0,AND(J1563=1,K1563=1),AND(J1563=1,I1563="SBJ"),AND(J1563=1,I1563=0)),"?IN_FOCUS",IF(J1563&lt;=2,"?ACTIVATED",IF(J1563&lt;&gt;"","?FAMILIAR",IF(F1563="NEW",IF(ISNA(VLOOKUP(E1563,#REF!,1,FALSE())),"?TYPE_IDENTIFIABLE","?REFERENTIAL"),"_")))))</f>
        <v/>
      </c>
      <c r="H1563" s="27" t="str">
        <f aca="false">IF(J1563&lt;&gt;1,"",IF(I1563="SBJ","CB","?"))</f>
        <v/>
      </c>
      <c r="I1563" s="24" t="str">
        <f aca="false">IF(OR(E1563="",E1563="!!!",F1563="NEW"),"",INDEX(B17:B$1547,-1+SUMPRODUCT(MAX(ROW(E17:E$1547)*(E1563=E17:E$1547)))))</f>
        <v/>
      </c>
      <c r="J1563" s="24" t="str">
        <f aca="true">IF(OR(E1563="",E1563="!!!",F1563="NEW"),"",COUNTBLANK(OFFSET(A$1,,,SUMPRODUCT(MAX(ROW(E$2:E1563)*(E1563=E$2:E1563)))))-COUNTBLANK(OFFSET(A$1,,,SUMPRODUCT(MAX(ROW(E$1:E1562)*(E2=E$1:E1562))))))</f>
        <v/>
      </c>
      <c r="K1563" s="24" t="str">
        <f aca="false">IF(OR(E1563="",E1563="!!!",F1563="NEW"),"",INDEX(J$1:J1562,SUMPRODUCT(MAX(ROW(E$1:E1562)*(E1563=E$1:E1562)))))</f>
        <v/>
      </c>
      <c r="L1563" s="31"/>
    </row>
    <row r="1564" customFormat="false" ht="15" hidden="false" customHeight="false" outlineLevel="0" collapsed="false">
      <c r="A1564" s="20" t="s">
        <v>1128</v>
      </c>
      <c r="E1564" s="23" t="str">
        <f aca="false">IF(D1564="?OLD","!!!","")</f>
        <v/>
      </c>
      <c r="F1564" s="25" t="str">
        <f aca="false">IF(OR(E1564="",E1564="!!!"),"",IF(NOT(ISNA(VLOOKUP(E1564,E$1:E1563,1,FALSE()))),"OLD",IF(AND(E1564&lt;&gt;"",E1564&lt;&gt;"!!!"),"NEW","")))</f>
        <v/>
      </c>
      <c r="G1564" s="26" t="str">
        <f aca="false">IF(OR(E1564="",E1564="!!!"),"",IF(OR(J1564=0,AND(J1564=1,K1564=1),AND(J1564=1,I1564="SBJ"),AND(J1564=1,I1564=0)),"?IN_FOCUS",IF(J1564&lt;=2,"?ACTIVATED",IF(J1564&lt;&gt;"","?FAMILIAR",IF(F1564="NEW",IF(ISNA(VLOOKUP(E1564,#REF!,1,FALSE())),"?TYPE_IDENTIFIABLE","?REFERENTIAL"),"_")))))</f>
        <v/>
      </c>
      <c r="H1564" s="27" t="str">
        <f aca="false">IF(J1564&lt;&gt;1,"",IF(I1564="SBJ","CB","?"))</f>
        <v/>
      </c>
      <c r="I1564" s="24" t="str">
        <f aca="false">IF(OR(E1564="",E1564="!!!",F1564="NEW"),"",INDEX(B18:B$1547,-1+SUMPRODUCT(MAX(ROW(E18:E$1547)*(E1564=E18:E$1547)))))</f>
        <v/>
      </c>
      <c r="J1564" s="24" t="str">
        <f aca="true">IF(OR(E1564="",E1564="!!!",F1564="NEW"),"",COUNTBLANK(OFFSET(A$1,,,SUMPRODUCT(MAX(ROW(E$2:E1564)*(E1564=E$2:E1564)))))-COUNTBLANK(OFFSET(A$1,,,SUMPRODUCT(MAX(ROW(E$1:E1563)*(E2=E$1:E1563))))))</f>
        <v/>
      </c>
      <c r="K1564" s="24" t="str">
        <f aca="false">IF(OR(E1564="",E1564="!!!",F1564="NEW"),"",INDEX(J$1:J1563,SUMPRODUCT(MAX(ROW(E$1:E1563)*(E1564=E$1:E1563)))))</f>
        <v/>
      </c>
      <c r="L1564" s="31"/>
    </row>
    <row r="1565" customFormat="false" ht="15" hidden="false" customHeight="false" outlineLevel="0" collapsed="false">
      <c r="A1565" s="20" t="s">
        <v>1710</v>
      </c>
      <c r="E1565" s="23" t="str">
        <f aca="false">IF(D1565="?OLD","!!!","")</f>
        <v/>
      </c>
      <c r="F1565" s="25" t="str">
        <f aca="false">IF(OR(E1565="",E1565="!!!"),"",IF(NOT(ISNA(VLOOKUP(E1565,E$1:E1564,1,FALSE()))),"OLD",IF(AND(E1565&lt;&gt;"",E1565&lt;&gt;"!!!"),"NEW","")))</f>
        <v/>
      </c>
      <c r="G1565" s="26" t="str">
        <f aca="false">IF(OR(E1565="",E1565="!!!"),"",IF(OR(J1565=0,AND(J1565=1,K1565=1),AND(J1565=1,I1565="SBJ"),AND(J1565=1,I1565=0)),"?IN_FOCUS",IF(J1565&lt;=2,"?ACTIVATED",IF(J1565&lt;&gt;"","?FAMILIAR",IF(F1565="NEW",IF(ISNA(VLOOKUP(E1565,#REF!,1,FALSE())),"?TYPE_IDENTIFIABLE","?REFERENTIAL"),"_")))))</f>
        <v/>
      </c>
      <c r="H1565" s="27" t="str">
        <f aca="false">IF(J1565&lt;&gt;1,"",IF(I1565="SBJ","CB","?"))</f>
        <v/>
      </c>
      <c r="I1565" s="24" t="str">
        <f aca="false">IF(OR(E1565="",E1565="!!!",F1565="NEW"),"",INDEX(B19:B$1547,-1+SUMPRODUCT(MAX(ROW(E19:E$1547)*(E1565=E19:E$1547)))))</f>
        <v/>
      </c>
      <c r="J1565" s="24" t="str">
        <f aca="true">IF(OR(E1565="",E1565="!!!",F1565="NEW"),"",COUNTBLANK(OFFSET(A$1,,,SUMPRODUCT(MAX(ROW(E$2:E1565)*(E1565=E$2:E1565)))))-COUNTBLANK(OFFSET(A$1,,,SUMPRODUCT(MAX(ROW(E$1:E1564)*(E2=E$1:E1564))))))</f>
        <v/>
      </c>
      <c r="K1565" s="24" t="str">
        <f aca="false">IF(OR(E1565="",E1565="!!!",F1565="NEW"),"",INDEX(J$1:J1564,SUMPRODUCT(MAX(ROW(E$1:E1564)*(E1565=E$1:E1564)))))</f>
        <v/>
      </c>
      <c r="L1565" s="31"/>
    </row>
    <row r="1566" customFormat="false" ht="15" hidden="false" customHeight="false" outlineLevel="0" collapsed="false">
      <c r="A1566" s="20" t="s">
        <v>1595</v>
      </c>
      <c r="E1566" s="23" t="str">
        <f aca="false">IF(D1566="?OLD","!!!","")</f>
        <v/>
      </c>
      <c r="F1566" s="25" t="str">
        <f aca="false">IF(OR(E1566="",E1566="!!!"),"",IF(NOT(ISNA(VLOOKUP(E1566,E$1:E1565,1,FALSE()))),"OLD",IF(AND(E1566&lt;&gt;"",E1566&lt;&gt;"!!!"),"NEW","")))</f>
        <v/>
      </c>
      <c r="G1566" s="26" t="str">
        <f aca="false">IF(OR(E1566="",E1566="!!!"),"",IF(OR(J1566=0,AND(J1566=1,K1566=1),AND(J1566=1,I1566="SBJ"),AND(J1566=1,I1566=0)),"?IN_FOCUS",IF(J1566&lt;=2,"?ACTIVATED",IF(J1566&lt;&gt;"","?FAMILIAR",IF(F1566="NEW",IF(ISNA(VLOOKUP(E1566,#REF!,1,FALSE())),"?TYPE_IDENTIFIABLE","?REFERENTIAL"),"_")))))</f>
        <v/>
      </c>
      <c r="H1566" s="27" t="str">
        <f aca="false">IF(J1566&lt;&gt;1,"",IF(I1566="SBJ","CB","?"))</f>
        <v/>
      </c>
      <c r="I1566" s="24" t="str">
        <f aca="false">IF(OR(E1566="",E1566="!!!",F1566="NEW"),"",INDEX(B20:B$1547,-1+SUMPRODUCT(MAX(ROW(E20:E$1547)*(E1566=E20:E$1547)))))</f>
        <v/>
      </c>
      <c r="J1566" s="24" t="str">
        <f aca="true">IF(OR(E1566="",E1566="!!!",F1566="NEW"),"",COUNTBLANK(OFFSET(A$1,,,SUMPRODUCT(MAX(ROW(E$2:E1566)*(E1566=E$2:E1566)))))-COUNTBLANK(OFFSET(A$1,,,SUMPRODUCT(MAX(ROW(E$1:E1565)*(E2=E$1:E1565))))))</f>
        <v/>
      </c>
      <c r="K1566" s="24" t="str">
        <f aca="false">IF(OR(E1566="",E1566="!!!",F1566="NEW"),"",INDEX(J$1:J1565,SUMPRODUCT(MAX(ROW(E$1:E1565)*(E1566=E$1:E1565)))))</f>
        <v/>
      </c>
      <c r="L1566" s="31"/>
    </row>
    <row r="1567" customFormat="false" ht="15" hidden="false" customHeight="false" outlineLevel="0" collapsed="false">
      <c r="A1567" s="20" t="s">
        <v>1410</v>
      </c>
      <c r="E1567" s="23" t="str">
        <f aca="false">IF(D1567="?OLD","!!!","")</f>
        <v/>
      </c>
      <c r="F1567" s="25" t="str">
        <f aca="false">IF(OR(E1567="",E1567="!!!"),"",IF(NOT(ISNA(VLOOKUP(E1567,E$1:E1566,1,FALSE()))),"OLD",IF(AND(E1567&lt;&gt;"",E1567&lt;&gt;"!!!"),"NEW","")))</f>
        <v/>
      </c>
      <c r="G1567" s="26" t="str">
        <f aca="false">IF(OR(E1567="",E1567="!!!"),"",IF(OR(J1567=0,AND(J1567=1,K1567=1),AND(J1567=1,I1567="SBJ"),AND(J1567=1,I1567=0)),"?IN_FOCUS",IF(J1567&lt;=2,"?ACTIVATED",IF(J1567&lt;&gt;"","?FAMILIAR",IF(F1567="NEW",IF(ISNA(VLOOKUP(E1567,#REF!,1,FALSE())),"?TYPE_IDENTIFIABLE","?REFERENTIAL"),"_")))))</f>
        <v/>
      </c>
      <c r="H1567" s="27" t="str">
        <f aca="false">IF(J1567&lt;&gt;1,"",IF(I1567="SBJ","CB","?"))</f>
        <v/>
      </c>
      <c r="I1567" s="24" t="str">
        <f aca="false">IF(OR(E1567="",E1567="!!!",F1567="NEW"),"",INDEX(B21:B$1547,-1+SUMPRODUCT(MAX(ROW(E21:E$1547)*(E1567=E21:E$1547)))))</f>
        <v/>
      </c>
      <c r="J1567" s="24" t="str">
        <f aca="true">IF(OR(E1567="",E1567="!!!",F1567="NEW"),"",COUNTBLANK(OFFSET(A$1,,,SUMPRODUCT(MAX(ROW(E$2:E1567)*(E1567=E$2:E1567)))))-COUNTBLANK(OFFSET(A$1,,,SUMPRODUCT(MAX(ROW(E$1:E1566)*(E2=E$1:E1566))))))</f>
        <v/>
      </c>
      <c r="K1567" s="24" t="str">
        <f aca="false">IF(OR(E1567="",E1567="!!!",F1567="NEW"),"",INDEX(J$1:J1566,SUMPRODUCT(MAX(ROW(E$1:E1566)*(E1567=E$1:E1566)))))</f>
        <v/>
      </c>
      <c r="L1567" s="31"/>
    </row>
    <row r="1568" customFormat="false" ht="15" hidden="false" customHeight="false" outlineLevel="0" collapsed="false">
      <c r="A1568" s="20" t="s">
        <v>1078</v>
      </c>
      <c r="E1568" s="23" t="str">
        <f aca="false">IF(D1568="?OLD","!!!","")</f>
        <v/>
      </c>
      <c r="F1568" s="25" t="str">
        <f aca="false">IF(OR(E1568="",E1568="!!!"),"",IF(NOT(ISNA(VLOOKUP(E1568,E$1:E1567,1,FALSE()))),"OLD",IF(AND(E1568&lt;&gt;"",E1568&lt;&gt;"!!!"),"NEW","")))</f>
        <v/>
      </c>
      <c r="G1568" s="26" t="str">
        <f aca="false">IF(OR(E1568="",E1568="!!!"),"",IF(OR(J1568=0,AND(J1568=1,K1568=1),AND(J1568=1,I1568="SBJ"),AND(J1568=1,I1568=0)),"?IN_FOCUS",IF(J1568&lt;=2,"?ACTIVATED",IF(J1568&lt;&gt;"","?FAMILIAR",IF(F1568="NEW",IF(ISNA(VLOOKUP(E1568,#REF!,1,FALSE())),"?TYPE_IDENTIFIABLE","?REFERENTIAL"),"_")))))</f>
        <v/>
      </c>
      <c r="H1568" s="27" t="str">
        <f aca="false">IF(J1568&lt;&gt;1,"",IF(I1568="SBJ","CB","?"))</f>
        <v/>
      </c>
      <c r="I1568" s="24" t="str">
        <f aca="false">IF(OR(E1568="",E1568="!!!",F1568="NEW"),"",INDEX(B22:B$1547,-1+SUMPRODUCT(MAX(ROW(E22:E$1547)*(E1568=E22:E$1547)))))</f>
        <v/>
      </c>
      <c r="J1568" s="24" t="str">
        <f aca="true">IF(OR(E1568="",E1568="!!!",F1568="NEW"),"",COUNTBLANK(OFFSET(A$1,,,SUMPRODUCT(MAX(ROW(E$2:E1568)*(E1568=E$2:E1568)))))-COUNTBLANK(OFFSET(A$1,,,SUMPRODUCT(MAX(ROW(E$1:E1567)*(E2=E$1:E1567))))))</f>
        <v/>
      </c>
      <c r="K1568" s="24" t="str">
        <f aca="false">IF(OR(E1568="",E1568="!!!",F1568="NEW"),"",INDEX(J$1:J1567,SUMPRODUCT(MAX(ROW(E$1:E1567)*(E1568=E$1:E1567)))))</f>
        <v/>
      </c>
      <c r="L1568" s="31"/>
    </row>
    <row r="1569" customFormat="false" ht="15" hidden="false" customHeight="false" outlineLevel="0" collapsed="false">
      <c r="A1569" s="20" t="s">
        <v>1591</v>
      </c>
      <c r="E1569" s="23" t="str">
        <f aca="false">IF(D1569="?OLD","!!!","")</f>
        <v/>
      </c>
      <c r="F1569" s="25" t="str">
        <f aca="false">IF(OR(E1569="",E1569="!!!"),"",IF(NOT(ISNA(VLOOKUP(E1569,E$1:E1568,1,FALSE()))),"OLD",IF(AND(E1569&lt;&gt;"",E1569&lt;&gt;"!!!"),"NEW","")))</f>
        <v/>
      </c>
      <c r="G1569" s="26" t="str">
        <f aca="false">IF(OR(E1569="",E1569="!!!"),"",IF(OR(J1569=0,AND(J1569=1,K1569=1),AND(J1569=1,I1569="SBJ"),AND(J1569=1,I1569=0)),"?IN_FOCUS",IF(J1569&lt;=2,"?ACTIVATED",IF(J1569&lt;&gt;"","?FAMILIAR",IF(F1569="NEW",IF(ISNA(VLOOKUP(E1569,#REF!,1,FALSE())),"?TYPE_IDENTIFIABLE","?REFERENTIAL"),"_")))))</f>
        <v/>
      </c>
      <c r="H1569" s="27" t="str">
        <f aca="false">IF(J1569&lt;&gt;1,"",IF(I1569="SBJ","CB","?"))</f>
        <v/>
      </c>
      <c r="I1569" s="24" t="str">
        <f aca="false">IF(OR(E1569="",E1569="!!!",F1569="NEW"),"",INDEX(B23:B$1547,-1+SUMPRODUCT(MAX(ROW(E23:E$1547)*(E1569=E23:E$1547)))))</f>
        <v/>
      </c>
      <c r="J1569" s="24" t="str">
        <f aca="true">IF(OR(E1569="",E1569="!!!",F1569="NEW"),"",COUNTBLANK(OFFSET(A$1,,,SUMPRODUCT(MAX(ROW(E$2:E1569)*(E1569=E$2:E1569)))))-COUNTBLANK(OFFSET(A$1,,,SUMPRODUCT(MAX(ROW(E$1:E1568)*(E2=E$1:E1568))))))</f>
        <v/>
      </c>
      <c r="K1569" s="24" t="str">
        <f aca="false">IF(OR(E1569="",E1569="!!!",F1569="NEW"),"",INDEX(J$1:J1568,SUMPRODUCT(MAX(ROW(E$1:E1568)*(E1569=E$1:E1568)))))</f>
        <v/>
      </c>
      <c r="L1569" s="31"/>
    </row>
    <row r="1570" customFormat="false" ht="15" hidden="false" customHeight="false" outlineLevel="0" collapsed="false">
      <c r="A1570" s="20" t="s">
        <v>1711</v>
      </c>
      <c r="B1570" s="22" t="s">
        <v>1067</v>
      </c>
      <c r="C1570" s="22" t="s">
        <v>1389</v>
      </c>
      <c r="E1570" s="23" t="str">
        <f aca="false">IF(D1570="?OLD","!!!","")</f>
        <v/>
      </c>
      <c r="F1570" s="25" t="str">
        <f aca="false">IF(OR(E1570="",E1570="!!!"),"",IF(NOT(ISNA(VLOOKUP(E1570,E$1:E1569,1,FALSE()))),"OLD",IF(AND(E1570&lt;&gt;"",E1570&lt;&gt;"!!!"),"NEW","")))</f>
        <v/>
      </c>
      <c r="G1570" s="26" t="str">
        <f aca="false">IF(OR(E1570="",E1570="!!!"),"",IF(OR(J1570=0,AND(J1570=1,K1570=1),AND(J1570=1,I1570="SBJ"),AND(J1570=1,I1570=0)),"?IN_FOCUS",IF(J1570&lt;=2,"?ACTIVATED",IF(J1570&lt;&gt;"","?FAMILIAR",IF(F1570="NEW",IF(ISNA(VLOOKUP(E1570,#REF!,1,FALSE())),"?TYPE_IDENTIFIABLE","?REFERENTIAL"),"_")))))</f>
        <v/>
      </c>
      <c r="H1570" s="27" t="str">
        <f aca="false">IF(J1570&lt;&gt;1,"",IF(I1570="SBJ","CB","?"))</f>
        <v/>
      </c>
      <c r="I1570" s="24" t="str">
        <f aca="false">IF(OR(E1570="",E1570="!!!",F1570="NEW"),"",INDEX(B24:B$1547,-1+SUMPRODUCT(MAX(ROW(E24:E$1547)*(E1570=E24:E$1547)))))</f>
        <v/>
      </c>
      <c r="J1570" s="24" t="str">
        <f aca="true">IF(OR(E1570="",E1570="!!!",F1570="NEW"),"",COUNTBLANK(OFFSET(A$1,,,SUMPRODUCT(MAX(ROW(E$2:E1570)*(E1570=E$2:E1570)))))-COUNTBLANK(OFFSET(A$1,,,SUMPRODUCT(MAX(ROW(E$1:E1569)*(E2=E$1:E1569))))))</f>
        <v/>
      </c>
      <c r="K1570" s="24" t="str">
        <f aca="false">IF(OR(E1570="",E1570="!!!",F1570="NEW"),"",INDEX(J$1:J1569,SUMPRODUCT(MAX(ROW(E$1:E1569)*(E1570=E$1:E1569)))))</f>
        <v/>
      </c>
      <c r="L1570" s="31"/>
    </row>
    <row r="1571" customFormat="false" ht="15" hidden="false" customHeight="false" outlineLevel="0" collapsed="false">
      <c r="A1571" s="20" t="s">
        <v>1076</v>
      </c>
      <c r="E1571" s="23" t="str">
        <f aca="false">IF(D1571="?OLD","!!!","")</f>
        <v/>
      </c>
      <c r="F1571" s="25" t="str">
        <f aca="false">IF(OR(E1571="",E1571="!!!"),"",IF(NOT(ISNA(VLOOKUP(E1571,E$1:E1570,1,FALSE()))),"OLD",IF(AND(E1571&lt;&gt;"",E1571&lt;&gt;"!!!"),"NEW","")))</f>
        <v/>
      </c>
      <c r="G1571" s="26" t="str">
        <f aca="false">IF(OR(E1571="",E1571="!!!"),"",IF(OR(J1571=0,AND(J1571=1,K1571=1),AND(J1571=1,I1571="SBJ"),AND(J1571=1,I1571=0)),"?IN_FOCUS",IF(J1571&lt;=2,"?ACTIVATED",IF(J1571&lt;&gt;"","?FAMILIAR",IF(F1571="NEW",IF(ISNA(VLOOKUP(E1571,#REF!,1,FALSE())),"?TYPE_IDENTIFIABLE","?REFERENTIAL"),"_")))))</f>
        <v/>
      </c>
      <c r="H1571" s="27" t="str">
        <f aca="false">IF(J1571&lt;&gt;1,"",IF(I1571="SBJ","CB","?"))</f>
        <v/>
      </c>
      <c r="I1571" s="24" t="str">
        <f aca="false">IF(OR(E1571="",E1571="!!!",F1571="NEW"),"",INDEX(B25:B$1547,-1+SUMPRODUCT(MAX(ROW(E25:E$1547)*(E1571=E25:E$1547)))))</f>
        <v/>
      </c>
      <c r="J1571" s="24" t="str">
        <f aca="true">IF(OR(E1571="",E1571="!!!",F1571="NEW"),"",COUNTBLANK(OFFSET(A$1,,,SUMPRODUCT(MAX(ROW(E$2:E1571)*(E1571=E$2:E1571)))))-COUNTBLANK(OFFSET(A$1,,,SUMPRODUCT(MAX(ROW(E$1:E1570)*(E2=E$1:E1570))))))</f>
        <v/>
      </c>
      <c r="K1571" s="24" t="str">
        <f aca="false">IF(OR(E1571="",E1571="!!!",F1571="NEW"),"",INDEX(J$1:J1570,SUMPRODUCT(MAX(ROW(E$1:E1570)*(E1571=E$1:E1570)))))</f>
        <v/>
      </c>
      <c r="L1571" s="31"/>
    </row>
    <row r="1572" customFormat="false" ht="15" hidden="false" customHeight="false" outlineLevel="0" collapsed="false">
      <c r="A1572" s="20" t="s">
        <v>1224</v>
      </c>
      <c r="E1572" s="23" t="str">
        <f aca="false">IF(D1572="?OLD","!!!","")</f>
        <v/>
      </c>
      <c r="F1572" s="25" t="str">
        <f aca="false">IF(OR(E1572="",E1572="!!!"),"",IF(NOT(ISNA(VLOOKUP(E1572,E$1:E1571,1,FALSE()))),"OLD",IF(AND(E1572&lt;&gt;"",E1572&lt;&gt;"!!!"),"NEW","")))</f>
        <v/>
      </c>
      <c r="G1572" s="26" t="str">
        <f aca="false">IF(OR(E1572="",E1572="!!!"),"",IF(OR(J1572=0,AND(J1572=1,K1572=1),AND(J1572=1,I1572="SBJ"),AND(J1572=1,I1572=0)),"?IN_FOCUS",IF(J1572&lt;=2,"?ACTIVATED",IF(J1572&lt;&gt;"","?FAMILIAR",IF(F1572="NEW",IF(ISNA(VLOOKUP(E1572,#REF!,1,FALSE())),"?TYPE_IDENTIFIABLE","?REFERENTIAL"),"_")))))</f>
        <v/>
      </c>
      <c r="H1572" s="27" t="str">
        <f aca="false">IF(J1572&lt;&gt;1,"",IF(I1572="SBJ","CB","?"))</f>
        <v/>
      </c>
      <c r="I1572" s="24" t="str">
        <f aca="false">IF(OR(E1572="",E1572="!!!",F1572="NEW"),"",INDEX(B26:B$1547,-1+SUMPRODUCT(MAX(ROW(E26:E$1547)*(E1572=E26:E$1547)))))</f>
        <v/>
      </c>
      <c r="J1572" s="24" t="str">
        <f aca="true">IF(OR(E1572="",E1572="!!!",F1572="NEW"),"",COUNTBLANK(OFFSET(A$1,,,SUMPRODUCT(MAX(ROW(E$2:E1572)*(E1572=E$2:E1572)))))-COUNTBLANK(OFFSET(A$1,,,SUMPRODUCT(MAX(ROW(E$1:E1571)*(E2=E$1:E1571))))))</f>
        <v/>
      </c>
      <c r="K1572" s="24" t="str">
        <f aca="false">IF(OR(E1572="",E1572="!!!",F1572="NEW"),"",INDEX(J$1:J1571,SUMPRODUCT(MAX(ROW(E$1:E1571)*(E1572=E$1:E1571)))))</f>
        <v/>
      </c>
      <c r="L1572" s="31"/>
    </row>
    <row r="1573" customFormat="false" ht="15" hidden="false" customHeight="false" outlineLevel="0" collapsed="false">
      <c r="A1573" s="20" t="s">
        <v>1125</v>
      </c>
      <c r="E1573" s="23" t="str">
        <f aca="false">IF(D1573="?OLD","!!!","")</f>
        <v/>
      </c>
      <c r="F1573" s="25" t="str">
        <f aca="false">IF(OR(E1573="",E1573="!!!"),"",IF(NOT(ISNA(VLOOKUP(E1573,E$1:E1572,1,FALSE()))),"OLD",IF(AND(E1573&lt;&gt;"",E1573&lt;&gt;"!!!"),"NEW","")))</f>
        <v/>
      </c>
      <c r="G1573" s="26" t="str">
        <f aca="false">IF(OR(E1573="",E1573="!!!"),"",IF(OR(J1573=0,AND(J1573=1,K1573=1),AND(J1573=1,I1573="SBJ"),AND(J1573=1,I1573=0)),"?IN_FOCUS",IF(J1573&lt;=2,"?ACTIVATED",IF(J1573&lt;&gt;"","?FAMILIAR",IF(F1573="NEW",IF(ISNA(VLOOKUP(E1573,#REF!,1,FALSE())),"?TYPE_IDENTIFIABLE","?REFERENTIAL"),"_")))))</f>
        <v/>
      </c>
      <c r="H1573" s="27" t="str">
        <f aca="false">IF(J1573&lt;&gt;1,"",IF(I1573="SBJ","CB","?"))</f>
        <v/>
      </c>
      <c r="I1573" s="24" t="str">
        <f aca="false">IF(OR(E1573="",E1573="!!!",F1573="NEW"),"",INDEX(B27:B$1547,-1+SUMPRODUCT(MAX(ROW(E27:E$1547)*(E1573=E27:E$1547)))))</f>
        <v/>
      </c>
      <c r="J1573" s="24" t="str">
        <f aca="true">IF(OR(E1573="",E1573="!!!",F1573="NEW"),"",COUNTBLANK(OFFSET(A$1,,,SUMPRODUCT(MAX(ROW(E$2:E1573)*(E1573=E$2:E1573)))))-COUNTBLANK(OFFSET(A$1,,,SUMPRODUCT(MAX(ROW(E$1:E1572)*(E2=E$1:E1572))))))</f>
        <v/>
      </c>
      <c r="K1573" s="24" t="str">
        <f aca="false">IF(OR(E1573="",E1573="!!!",F1573="NEW"),"",INDEX(J$1:J1572,SUMPRODUCT(MAX(ROW(E$1:E1572)*(E1573=E$1:E1572)))))</f>
        <v/>
      </c>
      <c r="L1573" s="31"/>
    </row>
    <row r="1574" customFormat="false" ht="15" hidden="false" customHeight="false" outlineLevel="0" collapsed="false">
      <c r="A1574" s="20" t="s">
        <v>1109</v>
      </c>
      <c r="E1574" s="23" t="str">
        <f aca="false">IF(D1574="?OLD","!!!","")</f>
        <v/>
      </c>
      <c r="F1574" s="25" t="str">
        <f aca="false">IF(OR(E1574="",E1574="!!!"),"",IF(NOT(ISNA(VLOOKUP(E1574,E$1:E1573,1,FALSE()))),"OLD",IF(AND(E1574&lt;&gt;"",E1574&lt;&gt;"!!!"),"NEW","")))</f>
        <v/>
      </c>
      <c r="G1574" s="26" t="str">
        <f aca="false">IF(OR(E1574="",E1574="!!!"),"",IF(OR(J1574=0,AND(J1574=1,K1574=1),AND(J1574=1,I1574="SBJ"),AND(J1574=1,I1574=0)),"?IN_FOCUS",IF(J1574&lt;=2,"?ACTIVATED",IF(J1574&lt;&gt;"","?FAMILIAR",IF(F1574="NEW",IF(ISNA(VLOOKUP(E1574,#REF!,1,FALSE())),"?TYPE_IDENTIFIABLE","?REFERENTIAL"),"_")))))</f>
        <v/>
      </c>
      <c r="H1574" s="27" t="str">
        <f aca="false">IF(J1574&lt;&gt;1,"",IF(I1574="SBJ","CB","?"))</f>
        <v/>
      </c>
      <c r="I1574" s="24" t="str">
        <f aca="false">IF(OR(E1574="",E1574="!!!",F1574="NEW"),"",INDEX(B28:B$1547,-1+SUMPRODUCT(MAX(ROW(E28:E$1547)*(E1574=E28:E$1547)))))</f>
        <v/>
      </c>
      <c r="J1574" s="24" t="str">
        <f aca="true">IF(OR(E1574="",E1574="!!!",F1574="NEW"),"",COUNTBLANK(OFFSET(A$1,,,SUMPRODUCT(MAX(ROW(E$2:E1574)*(E1574=E$2:E1574)))))-COUNTBLANK(OFFSET(A$1,,,SUMPRODUCT(MAX(ROW(E$1:E1573)*(E2=E$1:E1573))))))</f>
        <v/>
      </c>
      <c r="K1574" s="24" t="str">
        <f aca="false">IF(OR(E1574="",E1574="!!!",F1574="NEW"),"",INDEX(J$1:J1573,SUMPRODUCT(MAX(ROW(E$1:E1573)*(E1574=E$1:E1573)))))</f>
        <v/>
      </c>
      <c r="L1574" s="31"/>
    </row>
    <row r="1575" customFormat="false" ht="15" hidden="false" customHeight="false" outlineLevel="0" collapsed="false">
      <c r="A1575" s="20" t="s">
        <v>1712</v>
      </c>
      <c r="E1575" s="23" t="str">
        <f aca="false">IF(D1575="?OLD","!!!","")</f>
        <v/>
      </c>
      <c r="F1575" s="25" t="str">
        <f aca="false">IF(OR(E1575="",E1575="!!!"),"",IF(NOT(ISNA(VLOOKUP(E1575,E$1:E1574,1,FALSE()))),"OLD",IF(AND(E1575&lt;&gt;"",E1575&lt;&gt;"!!!"),"NEW","")))</f>
        <v/>
      </c>
      <c r="G1575" s="26" t="str">
        <f aca="false">IF(OR(E1575="",E1575="!!!"),"",IF(OR(J1575=0,AND(J1575=1,K1575=1),AND(J1575=1,I1575="SBJ"),AND(J1575=1,I1575=0)),"?IN_FOCUS",IF(J1575&lt;=2,"?ACTIVATED",IF(J1575&lt;&gt;"","?FAMILIAR",IF(F1575="NEW",IF(ISNA(VLOOKUP(E1575,#REF!,1,FALSE())),"?TYPE_IDENTIFIABLE","?REFERENTIAL"),"_")))))</f>
        <v/>
      </c>
      <c r="H1575" s="27" t="str">
        <f aca="false">IF(J1575&lt;&gt;1,"",IF(I1575="SBJ","CB","?"))</f>
        <v/>
      </c>
      <c r="I1575" s="24" t="str">
        <f aca="false">IF(OR(E1575="",E1575="!!!",F1575="NEW"),"",INDEX(B29:B$1547,-1+SUMPRODUCT(MAX(ROW(E29:E$1547)*(E1575=E29:E$1547)))))</f>
        <v/>
      </c>
      <c r="J1575" s="24" t="str">
        <f aca="true">IF(OR(E1575="",E1575="!!!",F1575="NEW"),"",COUNTBLANK(OFFSET(A$1,,,SUMPRODUCT(MAX(ROW(E$2:E1575)*(E1575=E$2:E1575)))))-COUNTBLANK(OFFSET(A$1,,,SUMPRODUCT(MAX(ROW(E$1:E1574)*(E2=E$1:E1574))))))</f>
        <v/>
      </c>
      <c r="K1575" s="24" t="str">
        <f aca="false">IF(OR(E1575="",E1575="!!!",F1575="NEW"),"",INDEX(J$1:J1574,SUMPRODUCT(MAX(ROW(E$1:E1574)*(E1575=E$1:E1574)))))</f>
        <v/>
      </c>
      <c r="L1575" s="31"/>
    </row>
    <row r="1576" customFormat="false" ht="15" hidden="false" customHeight="false" outlineLevel="0" collapsed="false">
      <c r="A1576" s="20" t="s">
        <v>1713</v>
      </c>
      <c r="B1576" s="22" t="s">
        <v>1359</v>
      </c>
      <c r="C1576" s="22" t="s">
        <v>1150</v>
      </c>
      <c r="D1576" s="22" t="s">
        <v>1060</v>
      </c>
      <c r="E1576" s="23" t="str">
        <f aca="false">IF(D1576="?OLD","!!!","")</f>
        <v>!!!</v>
      </c>
      <c r="F1576" s="25" t="str">
        <f aca="false">IF(OR(E1576="",E1576="!!!"),"",IF(NOT(ISNA(VLOOKUP(E1576,E$1:E1575,1,FALSE()))),"OLD",IF(AND(E1576&lt;&gt;"",E1576&lt;&gt;"!!!"),"NEW","")))</f>
        <v/>
      </c>
      <c r="G1576" s="26" t="str">
        <f aca="false">IF(OR(E1576="",E1576="!!!"),"",IF(OR(J1576=0,AND(J1576=1,K1576=1),AND(J1576=1,I1576="SBJ"),AND(J1576=1,I1576=0)),"?IN_FOCUS",IF(J1576&lt;=2,"?ACTIVATED",IF(J1576&lt;&gt;"","?FAMILIAR",IF(F1576="NEW",IF(ISNA(VLOOKUP(E1576,#REF!,1,FALSE())),"?TYPE_IDENTIFIABLE","?REFERENTIAL"),"_")))))</f>
        <v/>
      </c>
      <c r="H1576" s="27" t="str">
        <f aca="false">IF(J1576&lt;&gt;1,"",IF(I1576="SBJ","CB","?"))</f>
        <v/>
      </c>
      <c r="I1576" s="24" t="str">
        <f aca="false">IF(OR(E1576="",E1576="!!!",F1576="NEW"),"",INDEX(B30:B$1547,-1+SUMPRODUCT(MAX(ROW(E30:E$1547)*(E1576=E30:E$1547)))))</f>
        <v/>
      </c>
      <c r="J1576" s="24" t="str">
        <f aca="true">IF(OR(E1576="",E1576="!!!",F1576="NEW"),"",COUNTBLANK(OFFSET(A$1,,,SUMPRODUCT(MAX(ROW(E$2:E1576)*(E1576=E$2:E1576)))))-COUNTBLANK(OFFSET(A$1,,,SUMPRODUCT(MAX(ROW(E$1:E1575)*(E2=E$1:E1575))))))</f>
        <v/>
      </c>
      <c r="K1576" s="24" t="str">
        <f aca="false">IF(OR(E1576="",E1576="!!!",F1576="NEW"),"",INDEX(J$1:J1575,SUMPRODUCT(MAX(ROW(E$1:E1575)*(E1576=E$1:E1575)))))</f>
        <v/>
      </c>
      <c r="L1576" s="31"/>
    </row>
    <row r="1577" customFormat="false" ht="15" hidden="false" customHeight="false" outlineLevel="0" collapsed="false">
      <c r="A1577" s="20" t="s">
        <v>1128</v>
      </c>
      <c r="E1577" s="23" t="str">
        <f aca="false">IF(D1577="?OLD","!!!","")</f>
        <v/>
      </c>
      <c r="F1577" s="25" t="str">
        <f aca="false">IF(OR(E1577="",E1577="!!!"),"",IF(NOT(ISNA(VLOOKUP(E1577,E$1:E1576,1,FALSE()))),"OLD",IF(AND(E1577&lt;&gt;"",E1577&lt;&gt;"!!!"),"NEW","")))</f>
        <v/>
      </c>
      <c r="G1577" s="26" t="str">
        <f aca="false">IF(OR(E1577="",E1577="!!!"),"",IF(OR(J1577=0,AND(J1577=1,K1577=1),AND(J1577=1,I1577="SBJ"),AND(J1577=1,I1577=0)),"?IN_FOCUS",IF(J1577&lt;=2,"?ACTIVATED",IF(J1577&lt;&gt;"","?FAMILIAR",IF(F1577="NEW",IF(ISNA(VLOOKUP(E1577,#REF!,1,FALSE())),"?TYPE_IDENTIFIABLE","?REFERENTIAL"),"_")))))</f>
        <v/>
      </c>
      <c r="H1577" s="27" t="str">
        <f aca="false">IF(J1577&lt;&gt;1,"",IF(I1577="SBJ","CB","?"))</f>
        <v/>
      </c>
      <c r="I1577" s="24" t="str">
        <f aca="false">IF(OR(E1577="",E1577="!!!",F1577="NEW"),"",INDEX(B31:B$1547,-1+SUMPRODUCT(MAX(ROW(E31:E$1547)*(E1577=E31:E$1547)))))</f>
        <v/>
      </c>
      <c r="J1577" s="24" t="str">
        <f aca="true">IF(OR(E1577="",E1577="!!!",F1577="NEW"),"",COUNTBLANK(OFFSET(A$1,,,SUMPRODUCT(MAX(ROW(E$2:E1577)*(E1577=E$2:E1577)))))-COUNTBLANK(OFFSET(A$1,,,SUMPRODUCT(MAX(ROW(E$1:E1576)*(E2=E$1:E1576))))))</f>
        <v/>
      </c>
      <c r="K1577" s="24" t="str">
        <f aca="false">IF(OR(E1577="",E1577="!!!",F1577="NEW"),"",INDEX(J$1:J1576,SUMPRODUCT(MAX(ROW(E$1:E1576)*(E1577=E$1:E1576)))))</f>
        <v/>
      </c>
      <c r="L1577" s="31"/>
    </row>
    <row r="1578" customFormat="false" ht="15" hidden="false" customHeight="false" outlineLevel="0" collapsed="false">
      <c r="A1578" s="20" t="s">
        <v>1109</v>
      </c>
      <c r="E1578" s="23" t="str">
        <f aca="false">IF(D1578="?OLD","!!!","")</f>
        <v/>
      </c>
      <c r="F1578" s="25" t="str">
        <f aca="false">IF(OR(E1578="",E1578="!!!"),"",IF(NOT(ISNA(VLOOKUP(E1578,E$1:E1577,1,FALSE()))),"OLD",IF(AND(E1578&lt;&gt;"",E1578&lt;&gt;"!!!"),"NEW","")))</f>
        <v/>
      </c>
      <c r="G1578" s="26" t="str">
        <f aca="false">IF(OR(E1578="",E1578="!!!"),"",IF(OR(J1578=0,AND(J1578=1,K1578=1),AND(J1578=1,I1578="SBJ"),AND(J1578=1,I1578=0)),"?IN_FOCUS",IF(J1578&lt;=2,"?ACTIVATED",IF(J1578&lt;&gt;"","?FAMILIAR",IF(F1578="NEW",IF(ISNA(VLOOKUP(E1578,#REF!,1,FALSE())),"?TYPE_IDENTIFIABLE","?REFERENTIAL"),"_")))))</f>
        <v/>
      </c>
      <c r="H1578" s="27" t="str">
        <f aca="false">IF(J1578&lt;&gt;1,"",IF(I1578="SBJ","CB","?"))</f>
        <v/>
      </c>
      <c r="I1578" s="24" t="str">
        <f aca="false">IF(OR(E1578="",E1578="!!!",F1578="NEW"),"",INDEX(B32:B$1547,-1+SUMPRODUCT(MAX(ROW(E32:E$1547)*(E1578=E32:E$1547)))))</f>
        <v/>
      </c>
      <c r="J1578" s="24" t="str">
        <f aca="true">IF(OR(E1578="",E1578="!!!",F1578="NEW"),"",COUNTBLANK(OFFSET(A$1,,,SUMPRODUCT(MAX(ROW(E$2:E1578)*(E1578=E$2:E1578)))))-COUNTBLANK(OFFSET(A$1,,,SUMPRODUCT(MAX(ROW(E$1:E1577)*(E2=E$1:E1577))))))</f>
        <v/>
      </c>
      <c r="K1578" s="24" t="str">
        <f aca="false">IF(OR(E1578="",E1578="!!!",F1578="NEW"),"",INDEX(J$1:J1577,SUMPRODUCT(MAX(ROW(E$1:E1577)*(E1578=E$1:E1577)))))</f>
        <v/>
      </c>
      <c r="L1578" s="31"/>
    </row>
    <row r="1579" customFormat="false" ht="15" hidden="false" customHeight="false" outlineLevel="0" collapsed="false">
      <c r="A1579" s="20" t="s">
        <v>1658</v>
      </c>
      <c r="B1579" s="22" t="s">
        <v>1112</v>
      </c>
      <c r="C1579" s="22" t="s">
        <v>1150</v>
      </c>
      <c r="D1579" s="22" t="s">
        <v>1060</v>
      </c>
      <c r="E1579" s="23" t="str">
        <f aca="false">IF(D1579="?OLD","!!!","")</f>
        <v>!!!</v>
      </c>
      <c r="F1579" s="25" t="str">
        <f aca="false">IF(OR(E1579="",E1579="!!!"),"",IF(NOT(ISNA(VLOOKUP(E1579,E$1:E1578,1,FALSE()))),"OLD",IF(AND(E1579&lt;&gt;"",E1579&lt;&gt;"!!!"),"NEW","")))</f>
        <v/>
      </c>
      <c r="G1579" s="26" t="str">
        <f aca="false">IF(OR(E1579="",E1579="!!!"),"",IF(OR(J1579=0,AND(J1579=1,K1579=1),AND(J1579=1,I1579="SBJ"),AND(J1579=1,I1579=0)),"?IN_FOCUS",IF(J1579&lt;=2,"?ACTIVATED",IF(J1579&lt;&gt;"","?FAMILIAR",IF(F1579="NEW",IF(ISNA(VLOOKUP(E1579,#REF!,1,FALSE())),"?TYPE_IDENTIFIABLE","?REFERENTIAL"),"_")))))</f>
        <v/>
      </c>
      <c r="H1579" s="27" t="str">
        <f aca="false">IF(J1579&lt;&gt;1,"",IF(I1579="SBJ","CB","?"))</f>
        <v/>
      </c>
      <c r="I1579" s="24" t="str">
        <f aca="false">IF(OR(E1579="",E1579="!!!",F1579="NEW"),"",INDEX(B33:B$1547,-1+SUMPRODUCT(MAX(ROW(E33:E$1547)*(E1579=E33:E$1547)))))</f>
        <v/>
      </c>
      <c r="J1579" s="24" t="str">
        <f aca="true">IF(OR(E1579="",E1579="!!!",F1579="NEW"),"",COUNTBLANK(OFFSET(A$1,,,SUMPRODUCT(MAX(ROW(E$2:E1579)*(E1579=E$2:E1579)))))-COUNTBLANK(OFFSET(A$1,,,SUMPRODUCT(MAX(ROW(E$1:E1578)*(E2=E$1:E1578))))))</f>
        <v/>
      </c>
      <c r="K1579" s="24" t="str">
        <f aca="false">IF(OR(E1579="",E1579="!!!",F1579="NEW"),"",INDEX(J$1:J1578,SUMPRODUCT(MAX(ROW(E$1:E1578)*(E1579=E$1:E1578)))))</f>
        <v/>
      </c>
      <c r="L1579" s="31"/>
    </row>
    <row r="1580" customFormat="false" ht="15" hidden="false" customHeight="false" outlineLevel="0" collapsed="false">
      <c r="A1580" s="20" t="s">
        <v>1714</v>
      </c>
      <c r="E1580" s="23" t="str">
        <f aca="false">IF(D1580="?OLD","!!!","")</f>
        <v/>
      </c>
      <c r="F1580" s="25" t="str">
        <f aca="false">IF(OR(E1580="",E1580="!!!"),"",IF(NOT(ISNA(VLOOKUP(E1580,E$1:E1579,1,FALSE()))),"OLD",IF(AND(E1580&lt;&gt;"",E1580&lt;&gt;"!!!"),"NEW","")))</f>
        <v/>
      </c>
      <c r="G1580" s="26" t="str">
        <f aca="false">IF(OR(E1580="",E1580="!!!"),"",IF(OR(J1580=0,AND(J1580=1,K1580=1),AND(J1580=1,I1580="SBJ"),AND(J1580=1,I1580=0)),"?IN_FOCUS",IF(J1580&lt;=2,"?ACTIVATED",IF(J1580&lt;&gt;"","?FAMILIAR",IF(F1580="NEW",IF(ISNA(VLOOKUP(E1580,#REF!,1,FALSE())),"?TYPE_IDENTIFIABLE","?REFERENTIAL"),"_")))))</f>
        <v/>
      </c>
      <c r="H1580" s="27" t="str">
        <f aca="false">IF(J1580&lt;&gt;1,"",IF(I1580="SBJ","CB","?"))</f>
        <v/>
      </c>
      <c r="I1580" s="24" t="str">
        <f aca="false">IF(OR(E1580="",E1580="!!!",F1580="NEW"),"",INDEX(B34:B$1547,-1+SUMPRODUCT(MAX(ROW(E34:E$1547)*(E1580=E34:E$1547)))))</f>
        <v/>
      </c>
      <c r="J1580" s="24" t="str">
        <f aca="true">IF(OR(E1580="",E1580="!!!",F1580="NEW"),"",COUNTBLANK(OFFSET(A$1,,,SUMPRODUCT(MAX(ROW(E$2:E1580)*(E1580=E$2:E1580)))))-COUNTBLANK(OFFSET(A$1,,,SUMPRODUCT(MAX(ROW(E$1:E1579)*(E2=E$1:E1579))))))</f>
        <v/>
      </c>
      <c r="K1580" s="24" t="str">
        <f aca="false">IF(OR(E1580="",E1580="!!!",F1580="NEW"),"",INDEX(J$1:J1579,SUMPRODUCT(MAX(ROW(E$1:E1579)*(E1580=E$1:E1579)))))</f>
        <v/>
      </c>
      <c r="L1580" s="31"/>
    </row>
    <row r="1581" customFormat="false" ht="15" hidden="false" customHeight="false" outlineLevel="0" collapsed="false">
      <c r="A1581" s="20" t="s">
        <v>1599</v>
      </c>
      <c r="E1581" s="23" t="str">
        <f aca="false">IF(D1581="?OLD","!!!","")</f>
        <v/>
      </c>
      <c r="F1581" s="25" t="str">
        <f aca="false">IF(OR(E1581="",E1581="!!!"),"",IF(NOT(ISNA(VLOOKUP(E1581,E$1:E1580,1,FALSE()))),"OLD",IF(AND(E1581&lt;&gt;"",E1581&lt;&gt;"!!!"),"NEW","")))</f>
        <v/>
      </c>
      <c r="G1581" s="26" t="str">
        <f aca="false">IF(OR(E1581="",E1581="!!!"),"",IF(OR(J1581=0,AND(J1581=1,K1581=1),AND(J1581=1,I1581="SBJ"),AND(J1581=1,I1581=0)),"?IN_FOCUS",IF(J1581&lt;=2,"?ACTIVATED",IF(J1581&lt;&gt;"","?FAMILIAR",IF(F1581="NEW",IF(ISNA(VLOOKUP(E1581,#REF!,1,FALSE())),"?TYPE_IDENTIFIABLE","?REFERENTIAL"),"_")))))</f>
        <v/>
      </c>
      <c r="H1581" s="27" t="str">
        <f aca="false">IF(J1581&lt;&gt;1,"",IF(I1581="SBJ","CB","?"))</f>
        <v/>
      </c>
      <c r="I1581" s="24" t="str">
        <f aca="false">IF(OR(E1581="",E1581="!!!",F1581="NEW"),"",INDEX(B35:B$1547,-1+SUMPRODUCT(MAX(ROW(E35:E$1547)*(E1581=E35:E$1547)))))</f>
        <v/>
      </c>
      <c r="J1581" s="24" t="str">
        <f aca="true">IF(OR(E1581="",E1581="!!!",F1581="NEW"),"",COUNTBLANK(OFFSET(A$1,,,SUMPRODUCT(MAX(ROW(E$2:E1581)*(E1581=E$2:E1581)))))-COUNTBLANK(OFFSET(A$1,,,SUMPRODUCT(MAX(ROW(E$1:E1580)*(E2=E$1:E1580))))))</f>
        <v/>
      </c>
      <c r="K1581" s="24" t="str">
        <f aca="false">IF(OR(E1581="",E1581="!!!",F1581="NEW"),"",INDEX(J$1:J1580,SUMPRODUCT(MAX(ROW(E$1:E1580)*(E1581=E$1:E1580)))))</f>
        <v/>
      </c>
      <c r="L1581" s="31"/>
    </row>
    <row r="1582" customFormat="false" ht="15" hidden="false" customHeight="false" outlineLevel="0" collapsed="false">
      <c r="A1582" s="20" t="s">
        <v>1085</v>
      </c>
      <c r="E1582" s="23" t="str">
        <f aca="false">IF(D1582="?OLD","!!!","")</f>
        <v/>
      </c>
      <c r="F1582" s="25" t="str">
        <f aca="false">IF(OR(E1582="",E1582="!!!"),"",IF(NOT(ISNA(VLOOKUP(E1582,E$1:E1581,1,FALSE()))),"OLD",IF(AND(E1582&lt;&gt;"",E1582&lt;&gt;"!!!"),"NEW","")))</f>
        <v/>
      </c>
      <c r="G1582" s="26" t="str">
        <f aca="false">IF(OR(E1582="",E1582="!!!"),"",IF(OR(J1582=0,AND(J1582=1,K1582=1),AND(J1582=1,I1582="SBJ"),AND(J1582=1,I1582=0)),"?IN_FOCUS",IF(J1582&lt;=2,"?ACTIVATED",IF(J1582&lt;&gt;"","?FAMILIAR",IF(F1582="NEW",IF(ISNA(VLOOKUP(E1582,#REF!,1,FALSE())),"?TYPE_IDENTIFIABLE","?REFERENTIAL"),"_")))))</f>
        <v/>
      </c>
      <c r="H1582" s="27" t="str">
        <f aca="false">IF(J1582&lt;&gt;1,"",IF(I1582="SBJ","CB","?"))</f>
        <v/>
      </c>
      <c r="I1582" s="24" t="str">
        <f aca="false">IF(OR(E1582="",E1582="!!!",F1582="NEW"),"",INDEX(B36:B$1547,-1+SUMPRODUCT(MAX(ROW(E36:E$1547)*(E1582=E36:E$1547)))))</f>
        <v/>
      </c>
      <c r="J1582" s="24" t="str">
        <f aca="true">IF(OR(E1582="",E1582="!!!",F1582="NEW"),"",COUNTBLANK(OFFSET(A$1,,,SUMPRODUCT(MAX(ROW(E$2:E1582)*(E1582=E$2:E1582)))))-COUNTBLANK(OFFSET(A$1,,,SUMPRODUCT(MAX(ROW(E$1:E1581)*(E2=E$1:E1581))))))</f>
        <v/>
      </c>
      <c r="K1582" s="24" t="str">
        <f aca="false">IF(OR(E1582="",E1582="!!!",F1582="NEW"),"",INDEX(J$1:J1581,SUMPRODUCT(MAX(ROW(E$1:E1581)*(E1582=E$1:E1581)))))</f>
        <v/>
      </c>
      <c r="L1582" s="31"/>
    </row>
    <row r="1583" customFormat="false" ht="15" hidden="false" customHeight="false" outlineLevel="0" collapsed="false">
      <c r="A1583" s="20" t="s">
        <v>1715</v>
      </c>
      <c r="E1583" s="23" t="str">
        <f aca="false">IF(D1583="?OLD","!!!","")</f>
        <v/>
      </c>
      <c r="F1583" s="25" t="str">
        <f aca="false">IF(OR(E1583="",E1583="!!!"),"",IF(NOT(ISNA(VLOOKUP(E1583,E$1:E1582,1,FALSE()))),"OLD",IF(AND(E1583&lt;&gt;"",E1583&lt;&gt;"!!!"),"NEW","")))</f>
        <v/>
      </c>
      <c r="G1583" s="26" t="str">
        <f aca="false">IF(OR(E1583="",E1583="!!!"),"",IF(OR(J1583=0,AND(J1583=1,K1583=1),AND(J1583=1,I1583="SBJ"),AND(J1583=1,I1583=0)),"?IN_FOCUS",IF(J1583&lt;=2,"?ACTIVATED",IF(J1583&lt;&gt;"","?FAMILIAR",IF(F1583="NEW",IF(ISNA(VLOOKUP(E1583,#REF!,1,FALSE())),"?TYPE_IDENTIFIABLE","?REFERENTIAL"),"_")))))</f>
        <v/>
      </c>
      <c r="H1583" s="27" t="str">
        <f aca="false">IF(J1583&lt;&gt;1,"",IF(I1583="SBJ","CB","?"))</f>
        <v/>
      </c>
      <c r="I1583" s="24" t="str">
        <f aca="false">IF(OR(E1583="",E1583="!!!",F1583="NEW"),"",INDEX(B37:B$1547,-1+SUMPRODUCT(MAX(ROW(E37:E$1547)*(E1583=E37:E$1547)))))</f>
        <v/>
      </c>
      <c r="J1583" s="24" t="str">
        <f aca="true">IF(OR(E1583="",E1583="!!!",F1583="NEW"),"",COUNTBLANK(OFFSET(A$1,,,SUMPRODUCT(MAX(ROW(E$2:E1583)*(E1583=E$2:E1583)))))-COUNTBLANK(OFFSET(A$1,,,SUMPRODUCT(MAX(ROW(E$1:E1582)*(E2=E$1:E1582))))))</f>
        <v/>
      </c>
      <c r="K1583" s="24" t="str">
        <f aca="false">IF(OR(E1583="",E1583="!!!",F1583="NEW"),"",INDEX(J$1:J1582,SUMPRODUCT(MAX(ROW(E$1:E1582)*(E1583=E$1:E1582)))))</f>
        <v/>
      </c>
      <c r="L1583" s="31"/>
    </row>
    <row r="1584" customFormat="false" ht="15" hidden="false" customHeight="false" outlineLevel="0" collapsed="false">
      <c r="A1584" s="20" t="s">
        <v>1716</v>
      </c>
      <c r="B1584" s="22" t="s">
        <v>1098</v>
      </c>
      <c r="C1584" s="22" t="s">
        <v>1087</v>
      </c>
      <c r="E1584" s="23" t="str">
        <f aca="false">IF(D1584="?OLD","!!!","")</f>
        <v/>
      </c>
      <c r="F1584" s="25" t="str">
        <f aca="false">IF(OR(E1584="",E1584="!!!"),"",IF(NOT(ISNA(VLOOKUP(E1584,E$1:E1583,1,FALSE()))),"OLD",IF(AND(E1584&lt;&gt;"",E1584&lt;&gt;"!!!"),"NEW","")))</f>
        <v/>
      </c>
      <c r="G1584" s="26" t="str">
        <f aca="false">IF(OR(E1584="",E1584="!!!"),"",IF(OR(J1584=0,AND(J1584=1,K1584=1),AND(J1584=1,I1584="SBJ"),AND(J1584=1,I1584=0)),"?IN_FOCUS",IF(J1584&lt;=2,"?ACTIVATED",IF(J1584&lt;&gt;"","?FAMILIAR",IF(F1584="NEW",IF(ISNA(VLOOKUP(E1584,#REF!,1,FALSE())),"?TYPE_IDENTIFIABLE","?REFERENTIAL"),"_")))))</f>
        <v/>
      </c>
      <c r="H1584" s="27" t="str">
        <f aca="false">IF(J1584&lt;&gt;1,"",IF(I1584="SBJ","CB","?"))</f>
        <v/>
      </c>
      <c r="I1584" s="24" t="str">
        <f aca="false">IF(OR(E1584="",E1584="!!!",F1584="NEW"),"",INDEX(B38:B$1547,-1+SUMPRODUCT(MAX(ROW(E38:E$1547)*(E1584=E38:E$1547)))))</f>
        <v/>
      </c>
      <c r="J1584" s="24" t="str">
        <f aca="true">IF(OR(E1584="",E1584="!!!",F1584="NEW"),"",COUNTBLANK(OFFSET(A$1,,,SUMPRODUCT(MAX(ROW(E$2:E1584)*(E1584=E$2:E1584)))))-COUNTBLANK(OFFSET(A$1,,,SUMPRODUCT(MAX(ROW(E$1:E1583)*(E2=E$1:E1583))))))</f>
        <v/>
      </c>
      <c r="K1584" s="24" t="str">
        <f aca="false">IF(OR(E1584="",E1584="!!!",F1584="NEW"),"",INDEX(J$1:J1583,SUMPRODUCT(MAX(ROW(E$1:E1583)*(E1584=E$1:E1583)))))</f>
        <v/>
      </c>
      <c r="L1584" s="31"/>
    </row>
    <row r="1585" customFormat="false" ht="15" hidden="false" customHeight="false" outlineLevel="0" collapsed="false">
      <c r="A1585" s="20" t="s">
        <v>1218</v>
      </c>
      <c r="E1585" s="23" t="str">
        <f aca="false">IF(D1585="?OLD","!!!","")</f>
        <v/>
      </c>
      <c r="F1585" s="25" t="str">
        <f aca="false">IF(OR(E1585="",E1585="!!!"),"",IF(NOT(ISNA(VLOOKUP(E1585,E$1:E1584,1,FALSE()))),"OLD",IF(AND(E1585&lt;&gt;"",E1585&lt;&gt;"!!!"),"NEW","")))</f>
        <v/>
      </c>
      <c r="G1585" s="26" t="str">
        <f aca="false">IF(OR(E1585="",E1585="!!!"),"",IF(OR(J1585=0,AND(J1585=1,K1585=1),AND(J1585=1,I1585="SBJ"),AND(J1585=1,I1585=0)),"?IN_FOCUS",IF(J1585&lt;=2,"?ACTIVATED",IF(J1585&lt;&gt;"","?FAMILIAR",IF(F1585="NEW",IF(ISNA(VLOOKUP(E1585,#REF!,1,FALSE())),"?TYPE_IDENTIFIABLE","?REFERENTIAL"),"_")))))</f>
        <v/>
      </c>
      <c r="H1585" s="27" t="str">
        <f aca="false">IF(J1585&lt;&gt;1,"",IF(I1585="SBJ","CB","?"))</f>
        <v/>
      </c>
      <c r="I1585" s="24" t="str">
        <f aca="false">IF(OR(E1585="",E1585="!!!",F1585="NEW"),"",INDEX(B39:B$1547,-1+SUMPRODUCT(MAX(ROW(E39:E$1547)*(E1585=E39:E$1547)))))</f>
        <v/>
      </c>
      <c r="J1585" s="24" t="str">
        <f aca="true">IF(OR(E1585="",E1585="!!!",F1585="NEW"),"",COUNTBLANK(OFFSET(A$1,,,SUMPRODUCT(MAX(ROW(E$2:E1585)*(E1585=E$2:E1585)))))-COUNTBLANK(OFFSET(A$1,,,SUMPRODUCT(MAX(ROW(E$1:E1584)*(E2=E$1:E1584))))))</f>
        <v/>
      </c>
      <c r="K1585" s="24" t="str">
        <f aca="false">IF(OR(E1585="",E1585="!!!",F1585="NEW"),"",INDEX(J$1:J1584,SUMPRODUCT(MAX(ROW(E$1:E1584)*(E1585=E$1:E1584)))))</f>
        <v/>
      </c>
      <c r="L1585" s="31"/>
    </row>
    <row r="1586" customFormat="false" ht="15" hidden="false" customHeight="false" outlineLevel="0" collapsed="false">
      <c r="A1586" s="20" t="s">
        <v>1085</v>
      </c>
      <c r="E1586" s="23" t="str">
        <f aca="false">IF(D1586="?OLD","!!!","")</f>
        <v/>
      </c>
      <c r="F1586" s="25" t="str">
        <f aca="false">IF(OR(E1586="",E1586="!!!"),"",IF(NOT(ISNA(VLOOKUP(E1586,E$1:E1585,1,FALSE()))),"OLD",IF(AND(E1586&lt;&gt;"",E1586&lt;&gt;"!!!"),"NEW","")))</f>
        <v/>
      </c>
      <c r="G1586" s="26" t="str">
        <f aca="false">IF(OR(E1586="",E1586="!!!"),"",IF(OR(J1586=0,AND(J1586=1,K1586=1),AND(J1586=1,I1586="SBJ"),AND(J1586=1,I1586=0)),"?IN_FOCUS",IF(J1586&lt;=2,"?ACTIVATED",IF(J1586&lt;&gt;"","?FAMILIAR",IF(F1586="NEW",IF(ISNA(VLOOKUP(E1586,#REF!,1,FALSE())),"?TYPE_IDENTIFIABLE","?REFERENTIAL"),"_")))))</f>
        <v/>
      </c>
      <c r="H1586" s="27" t="str">
        <f aca="false">IF(J1586&lt;&gt;1,"",IF(I1586="SBJ","CB","?"))</f>
        <v/>
      </c>
      <c r="I1586" s="24" t="str">
        <f aca="false">IF(OR(E1586="",E1586="!!!",F1586="NEW"),"",INDEX(B40:B$1547,-1+SUMPRODUCT(MAX(ROW(E40:E$1547)*(E1586=E40:E$1547)))))</f>
        <v/>
      </c>
      <c r="J1586" s="24" t="str">
        <f aca="true">IF(OR(E1586="",E1586="!!!",F1586="NEW"),"",COUNTBLANK(OFFSET(A$1,,,SUMPRODUCT(MAX(ROW(E$2:E1586)*(E1586=E$2:E1586)))))-COUNTBLANK(OFFSET(A$1,,,SUMPRODUCT(MAX(ROW(E$1:E1585)*(E2=E$1:E1585))))))</f>
        <v/>
      </c>
      <c r="K1586" s="24" t="str">
        <f aca="false">IF(OR(E1586="",E1586="!!!",F1586="NEW"),"",INDEX(J$1:J1585,SUMPRODUCT(MAX(ROW(E$1:E1585)*(E1586=E$1:E1585)))))</f>
        <v/>
      </c>
      <c r="L1586" s="31"/>
    </row>
    <row r="1587" customFormat="false" ht="15" hidden="false" customHeight="false" outlineLevel="0" collapsed="false">
      <c r="A1587" s="20" t="s">
        <v>1717</v>
      </c>
      <c r="E1587" s="23" t="str">
        <f aca="false">IF(D1587="?OLD","!!!","")</f>
        <v/>
      </c>
      <c r="F1587" s="25" t="str">
        <f aca="false">IF(OR(E1587="",E1587="!!!"),"",IF(NOT(ISNA(VLOOKUP(E1587,E$1:E1586,1,FALSE()))),"OLD",IF(AND(E1587&lt;&gt;"",E1587&lt;&gt;"!!!"),"NEW","")))</f>
        <v/>
      </c>
      <c r="G1587" s="26" t="str">
        <f aca="false">IF(OR(E1587="",E1587="!!!"),"",IF(OR(J1587=0,AND(J1587=1,K1587=1),AND(J1587=1,I1587="SBJ"),AND(J1587=1,I1587=0)),"?IN_FOCUS",IF(J1587&lt;=2,"?ACTIVATED",IF(J1587&lt;&gt;"","?FAMILIAR",IF(F1587="NEW",IF(ISNA(VLOOKUP(E1587,#REF!,1,FALSE())),"?TYPE_IDENTIFIABLE","?REFERENTIAL"),"_")))))</f>
        <v/>
      </c>
      <c r="H1587" s="27" t="str">
        <f aca="false">IF(J1587&lt;&gt;1,"",IF(I1587="SBJ","CB","?"))</f>
        <v/>
      </c>
      <c r="I1587" s="24" t="str">
        <f aca="false">IF(OR(E1587="",E1587="!!!",F1587="NEW"),"",INDEX(B41:B$1547,-1+SUMPRODUCT(MAX(ROW(E41:E$1547)*(E1587=E41:E$1547)))))</f>
        <v/>
      </c>
      <c r="J1587" s="24" t="str">
        <f aca="true">IF(OR(E1587="",E1587="!!!",F1587="NEW"),"",COUNTBLANK(OFFSET(A$1,,,SUMPRODUCT(MAX(ROW(E$2:E1587)*(E1587=E$2:E1587)))))-COUNTBLANK(OFFSET(A$1,,,SUMPRODUCT(MAX(ROW(E$1:E1586)*(E2=E$1:E1586))))))</f>
        <v/>
      </c>
      <c r="K1587" s="24" t="str">
        <f aca="false">IF(OR(E1587="",E1587="!!!",F1587="NEW"),"",INDEX(J$1:J1586,SUMPRODUCT(MAX(ROW(E$1:E1586)*(E1587=E$1:E1586)))))</f>
        <v/>
      </c>
      <c r="L1587" s="31"/>
    </row>
    <row r="1588" customFormat="false" ht="15" hidden="false" customHeight="false" outlineLevel="0" collapsed="false">
      <c r="A1588" s="20" t="s">
        <v>1718</v>
      </c>
      <c r="B1588" s="22" t="s">
        <v>1098</v>
      </c>
      <c r="C1588" s="22" t="s">
        <v>1087</v>
      </c>
      <c r="E1588" s="23" t="str">
        <f aca="false">IF(D1588="?OLD","!!!","")</f>
        <v/>
      </c>
      <c r="F1588" s="25" t="str">
        <f aca="false">IF(OR(E1588="",E1588="!!!"),"",IF(NOT(ISNA(VLOOKUP(E1588,E$1:E1587,1,FALSE()))),"OLD",IF(AND(E1588&lt;&gt;"",E1588&lt;&gt;"!!!"),"NEW","")))</f>
        <v/>
      </c>
      <c r="G1588" s="26" t="str">
        <f aca="false">IF(OR(E1588="",E1588="!!!"),"",IF(OR(J1588=0,AND(J1588=1,K1588=1),AND(J1588=1,I1588="SBJ"),AND(J1588=1,I1588=0)),"?IN_FOCUS",IF(J1588&lt;=2,"?ACTIVATED",IF(J1588&lt;&gt;"","?FAMILIAR",IF(F1588="NEW",IF(ISNA(VLOOKUP(E1588,#REF!,1,FALSE())),"?TYPE_IDENTIFIABLE","?REFERENTIAL"),"_")))))</f>
        <v/>
      </c>
      <c r="H1588" s="27" t="str">
        <f aca="false">IF(J1588&lt;&gt;1,"",IF(I1588="SBJ","CB","?"))</f>
        <v/>
      </c>
      <c r="I1588" s="24" t="str">
        <f aca="false">IF(OR(E1588="",E1588="!!!",F1588="NEW"),"",INDEX(B42:B$1547,-1+SUMPRODUCT(MAX(ROW(E42:E$1547)*(E1588=E42:E$1547)))))</f>
        <v/>
      </c>
      <c r="J1588" s="24" t="str">
        <f aca="true">IF(OR(E1588="",E1588="!!!",F1588="NEW"),"",COUNTBLANK(OFFSET(A$1,,,SUMPRODUCT(MAX(ROW(E$2:E1588)*(E1588=E$2:E1588)))))-COUNTBLANK(OFFSET(A$1,,,SUMPRODUCT(MAX(ROW(E$1:E1587)*(E2=E$1:E1587))))))</f>
        <v/>
      </c>
      <c r="K1588" s="24" t="str">
        <f aca="false">IF(OR(E1588="",E1588="!!!",F1588="NEW"),"",INDEX(J$1:J1587,SUMPRODUCT(MAX(ROW(E$1:E1587)*(E1588=E$1:E1587)))))</f>
        <v/>
      </c>
      <c r="L1588" s="31"/>
    </row>
    <row r="1589" customFormat="false" ht="15" hidden="false" customHeight="false" outlineLevel="0" collapsed="false">
      <c r="A1589" s="20" t="s">
        <v>923</v>
      </c>
      <c r="E1589" s="23" t="str">
        <f aca="false">IF(D1589="?OLD","!!!","")</f>
        <v/>
      </c>
      <c r="F1589" s="25" t="str">
        <f aca="false">IF(OR(E1589="",E1589="!!!"),"",IF(NOT(ISNA(VLOOKUP(E1589,E$1:E1588,1,FALSE()))),"OLD",IF(AND(E1589&lt;&gt;"",E1589&lt;&gt;"!!!"),"NEW","")))</f>
        <v/>
      </c>
      <c r="G1589" s="26" t="str">
        <f aca="false">IF(OR(E1589="",E1589="!!!"),"",IF(OR(J1589=0,AND(J1589=1,K1589=1),AND(J1589=1,I1589="SBJ"),AND(J1589=1,I1589=0)),"?IN_FOCUS",IF(J1589&lt;=2,"?ACTIVATED",IF(J1589&lt;&gt;"","?FAMILIAR",IF(F1589="NEW",IF(ISNA(VLOOKUP(E1589,#REF!,1,FALSE())),"?TYPE_IDENTIFIABLE","?REFERENTIAL"),"_")))))</f>
        <v/>
      </c>
      <c r="H1589" s="27" t="str">
        <f aca="false">IF(J1589&lt;&gt;1,"",IF(I1589="SBJ","CB","?"))</f>
        <v/>
      </c>
      <c r="I1589" s="24" t="str">
        <f aca="false">IF(OR(E1589="",E1589="!!!",F1589="NEW"),"",INDEX(B43:B$1547,-1+SUMPRODUCT(MAX(ROW(E43:E$1547)*(E1589=E43:E$1547)))))</f>
        <v/>
      </c>
      <c r="J1589" s="24" t="str">
        <f aca="true">IF(OR(E1589="",E1589="!!!",F1589="NEW"),"",COUNTBLANK(OFFSET(A$1,,,SUMPRODUCT(MAX(ROW(E$2:E1589)*(E1589=E$2:E1589)))))-COUNTBLANK(OFFSET(A$1,,,SUMPRODUCT(MAX(ROW(E$1:E1588)*(E2=E$1:E1588))))))</f>
        <v/>
      </c>
      <c r="K1589" s="24" t="str">
        <f aca="false">IF(OR(E1589="",E1589="!!!",F1589="NEW"),"",INDEX(J$1:J1588,SUMPRODUCT(MAX(ROW(E$1:E1588)*(E1589=E$1:E1588)))))</f>
        <v/>
      </c>
      <c r="L1589" s="31"/>
    </row>
    <row r="1590" customFormat="false" ht="15" hidden="false" customHeight="false" outlineLevel="0" collapsed="false">
      <c r="A1590" s="20"/>
    </row>
    <row r="1591" customFormat="false" ht="15" hidden="false" customHeight="false" outlineLevel="0" collapsed="false">
      <c r="A1591" s="20" t="s">
        <v>1719</v>
      </c>
    </row>
    <row r="1592" customFormat="false" ht="15" hidden="false" customHeight="false" outlineLevel="0" collapsed="false">
      <c r="A1592" s="20" t="s">
        <v>1066</v>
      </c>
      <c r="E1592" s="23" t="str">
        <f aca="false">IF(D1592="?OLD","!!!","")</f>
        <v/>
      </c>
      <c r="F1592" s="25" t="str">
        <f aca="false">IF(OR(E1592="",E1592="!!!"),"",IF(NOT(ISNA(VLOOKUP(E1592,E$1:E1591,1,FALSE()))),"OLD",IF(AND(E1592&lt;&gt;"",E1592&lt;&gt;"!!!"),"NEW","")))</f>
        <v/>
      </c>
      <c r="G1592" s="26" t="str">
        <f aca="false">IF(OR(E1592="",E1592="!!!"),"",IF(OR(J1592=0,AND(J1592=1,K1592=1),AND(J1592=1,I1592="SBJ"),AND(J1592=1,I1592=0)),"?IN_FOCUS",IF(J1592&lt;=2,"?ACTIVATED",IF(J1592&lt;&gt;"","?FAMILIAR",IF(F1592="NEW",IF(ISNA(VLOOKUP(E1592,#REF!,1,FALSE())),"?TYPE_IDENTIFIABLE","?REFERENTIAL"),"_")))))</f>
        <v/>
      </c>
      <c r="H1592" s="27" t="str">
        <f aca="false">IF(J1592&lt;&gt;1,"",IF(I1592="SBJ","CB","?"))</f>
        <v/>
      </c>
      <c r="I1592" s="24" t="str">
        <f aca="false">IF(OR(E1592="",E1592="!!!",F1592="NEW"),"",INDEX(B2:B$1591,-1+SUMPRODUCT(MAX(ROW(E2:E$1591)*(E1592=E2:E$1591)))))</f>
        <v/>
      </c>
      <c r="J1592" s="24" t="str">
        <f aca="true">IF(OR(E1592="",E1592="!!!",F1592="NEW"),"",COUNTBLANK(OFFSET(A$1,,,SUMPRODUCT(MAX(ROW(E$2:E1592)*(E1592=E$2:E1592)))))-COUNTBLANK(OFFSET(A$1,,,SUMPRODUCT(MAX(ROW(E$1:E1591)*(E2=E$1:E1591))))))</f>
        <v/>
      </c>
      <c r="K1592" s="24" t="str">
        <f aca="false">IF(OR(E1592="",E1592="!!!",F1592="NEW"),"",INDEX(J$1:J1591,SUMPRODUCT(MAX(ROW(E$1:E1591)*(E1592=E$1:E1591)))))</f>
        <v/>
      </c>
      <c r="L1592" s="31"/>
    </row>
    <row r="1593" customFormat="false" ht="15" hidden="false" customHeight="false" outlineLevel="0" collapsed="false">
      <c r="A1593" s="20" t="s">
        <v>327</v>
      </c>
      <c r="E1593" s="23" t="str">
        <f aca="false">IF(D1593="?OLD","!!!","")</f>
        <v/>
      </c>
      <c r="F1593" s="25" t="str">
        <f aca="false">IF(OR(E1593="",E1593="!!!"),"",IF(NOT(ISNA(VLOOKUP(E1593,E$1:E1592,1,FALSE()))),"OLD",IF(AND(E1593&lt;&gt;"",E1593&lt;&gt;"!!!"),"NEW","")))</f>
        <v/>
      </c>
      <c r="G1593" s="26" t="str">
        <f aca="false">IF(OR(E1593="",E1593="!!!"),"",IF(OR(J1593=0,AND(J1593=1,K1593=1),AND(J1593=1,I1593="SBJ"),AND(J1593=1,I1593=0)),"?IN_FOCUS",IF(J1593&lt;=2,"?ACTIVATED",IF(J1593&lt;&gt;"","?FAMILIAR",IF(F1593="NEW",IF(ISNA(VLOOKUP(E1593,#REF!,1,FALSE())),"?TYPE_IDENTIFIABLE","?REFERENTIAL"),"_")))))</f>
        <v/>
      </c>
      <c r="H1593" s="27" t="str">
        <f aca="false">IF(J1593&lt;&gt;1,"",IF(I1593="SBJ","CB","?"))</f>
        <v/>
      </c>
      <c r="I1593" s="24" t="str">
        <f aca="false">IF(OR(E1593="",E1593="!!!",F1593="NEW"),"",INDEX(B3:B$1591,-1+SUMPRODUCT(MAX(ROW(E3:E$1591)*(E1593=E3:E$1591)))))</f>
        <v/>
      </c>
      <c r="J1593" s="24" t="str">
        <f aca="true">IF(OR(E1593="",E1593="!!!",F1593="NEW"),"",COUNTBLANK(OFFSET(A$1,,,SUMPRODUCT(MAX(ROW(E$2:E1593)*(E1593=E$2:E1593)))))-COUNTBLANK(OFFSET(A$1,,,SUMPRODUCT(MAX(ROW(E$1:E1592)*(E2=E$1:E1592))))))</f>
        <v/>
      </c>
      <c r="K1593" s="24" t="str">
        <f aca="false">IF(OR(E1593="",E1593="!!!",F1593="NEW"),"",INDEX(J$1:J1592,SUMPRODUCT(MAX(ROW(E$1:E1592)*(E1593=E$1:E1592)))))</f>
        <v/>
      </c>
      <c r="L1593" s="31"/>
    </row>
    <row r="1594" customFormat="false" ht="15" hidden="false" customHeight="false" outlineLevel="0" collapsed="false">
      <c r="A1594" s="20" t="s">
        <v>1097</v>
      </c>
      <c r="B1594" s="22" t="s">
        <v>1073</v>
      </c>
      <c r="C1594" s="22" t="s">
        <v>1099</v>
      </c>
      <c r="D1594" s="22" t="s">
        <v>1060</v>
      </c>
      <c r="E1594" s="23" t="str">
        <f aca="false">IF(D1594="?OLD","!!!","")</f>
        <v>!!!</v>
      </c>
      <c r="F1594" s="25" t="str">
        <f aca="false">IF(OR(E1594="",E1594="!!!"),"",IF(NOT(ISNA(VLOOKUP(E1594,E$1:E1593,1,FALSE()))),"OLD",IF(AND(E1594&lt;&gt;"",E1594&lt;&gt;"!!!"),"NEW","")))</f>
        <v/>
      </c>
      <c r="G1594" s="26" t="str">
        <f aca="false">IF(OR(E1594="",E1594="!!!"),"",IF(OR(J1594=0,AND(J1594=1,K1594=1),AND(J1594=1,I1594="SBJ"),AND(J1594=1,I1594=0)),"?IN_FOCUS",IF(J1594&lt;=2,"?ACTIVATED",IF(J1594&lt;&gt;"","?FAMILIAR",IF(F1594="NEW",IF(ISNA(VLOOKUP(E1594,#REF!,1,FALSE())),"?TYPE_IDENTIFIABLE","?REFERENTIAL"),"_")))))</f>
        <v/>
      </c>
      <c r="H1594" s="27" t="str">
        <f aca="false">IF(J1594&lt;&gt;1,"",IF(I1594="SBJ","CB","?"))</f>
        <v/>
      </c>
      <c r="I1594" s="24" t="str">
        <f aca="false">IF(OR(E1594="",E1594="!!!",F1594="NEW"),"",INDEX(B4:B$1591,-1+SUMPRODUCT(MAX(ROW(E4:E$1591)*(E1594=E4:E$1591)))))</f>
        <v/>
      </c>
      <c r="J1594" s="24" t="str">
        <f aca="true">IF(OR(E1594="",E1594="!!!",F1594="NEW"),"",COUNTBLANK(OFFSET(A$1,,,SUMPRODUCT(MAX(ROW(E$2:E1594)*(E1594=E$2:E1594)))))-COUNTBLANK(OFFSET(A$1,,,SUMPRODUCT(MAX(ROW(E$1:E1593)*(E2=E$1:E1593))))))</f>
        <v/>
      </c>
      <c r="K1594" s="24" t="str">
        <f aca="false">IF(OR(E1594="",E1594="!!!",F1594="NEW"),"",INDEX(J$1:J1593,SUMPRODUCT(MAX(ROW(E$1:E1593)*(E1594=E$1:E1593)))))</f>
        <v/>
      </c>
      <c r="L1594" s="31"/>
    </row>
    <row r="1595" customFormat="false" ht="15" hidden="false" customHeight="false" outlineLevel="0" collapsed="false">
      <c r="A1595" s="20" t="s">
        <v>1720</v>
      </c>
      <c r="B1595" s="22" t="s">
        <v>1081</v>
      </c>
      <c r="C1595" s="22" t="s">
        <v>1059</v>
      </c>
      <c r="D1595" s="22" t="s">
        <v>1060</v>
      </c>
      <c r="E1595" s="23" t="str">
        <f aca="false">IF(D1595="?OLD","!!!","")</f>
        <v>!!!</v>
      </c>
      <c r="F1595" s="25" t="str">
        <f aca="false">IF(OR(E1595="",E1595="!!!"),"",IF(NOT(ISNA(VLOOKUP(E1595,E$1:E1594,1,FALSE()))),"OLD",IF(AND(E1595&lt;&gt;"",E1595&lt;&gt;"!!!"),"NEW","")))</f>
        <v/>
      </c>
      <c r="G1595" s="26" t="str">
        <f aca="false">IF(OR(E1595="",E1595="!!!"),"",IF(OR(J1595=0,AND(J1595=1,K1595=1),AND(J1595=1,I1595="SBJ"),AND(J1595=1,I1595=0)),"?IN_FOCUS",IF(J1595&lt;=2,"?ACTIVATED",IF(J1595&lt;&gt;"","?FAMILIAR",IF(F1595="NEW",IF(ISNA(VLOOKUP(E1595,#REF!,1,FALSE())),"?TYPE_IDENTIFIABLE","?REFERENTIAL"),"_")))))</f>
        <v/>
      </c>
      <c r="H1595" s="27" t="str">
        <f aca="false">IF(J1595&lt;&gt;1,"",IF(I1595="SBJ","CB","?"))</f>
        <v/>
      </c>
      <c r="I1595" s="24" t="str">
        <f aca="false">IF(OR(E1595="",E1595="!!!",F1595="NEW"),"",INDEX(B5:B$1591,-1+SUMPRODUCT(MAX(ROW(E5:E$1591)*(E1595=E5:E$1591)))))</f>
        <v/>
      </c>
      <c r="J1595" s="24" t="str">
        <f aca="true">IF(OR(E1595="",E1595="!!!",F1595="NEW"),"",COUNTBLANK(OFFSET(A$1,,,SUMPRODUCT(MAX(ROW(E$2:E1595)*(E1595=E$2:E1595)))))-COUNTBLANK(OFFSET(A$1,,,SUMPRODUCT(MAX(ROW(E$1:E1594)*(E2=E$1:E1594))))))</f>
        <v/>
      </c>
      <c r="K1595" s="24" t="str">
        <f aca="false">IF(OR(E1595="",E1595="!!!",F1595="NEW"),"",INDEX(J$1:J1594,SUMPRODUCT(MAX(ROW(E$1:E1594)*(E1595=E$1:E1594)))))</f>
        <v/>
      </c>
      <c r="L1595" s="31"/>
    </row>
    <row r="1596" customFormat="false" ht="15" hidden="false" customHeight="false" outlineLevel="0" collapsed="false">
      <c r="A1596" s="20" t="s">
        <v>1721</v>
      </c>
      <c r="E1596" s="23" t="str">
        <f aca="false">IF(D1596="?OLD","!!!","")</f>
        <v/>
      </c>
      <c r="F1596" s="25" t="str">
        <f aca="false">IF(OR(E1596="",E1596="!!!"),"",IF(NOT(ISNA(VLOOKUP(E1596,E$1:E1595,1,FALSE()))),"OLD",IF(AND(E1596&lt;&gt;"",E1596&lt;&gt;"!!!"),"NEW","")))</f>
        <v/>
      </c>
      <c r="G1596" s="26" t="str">
        <f aca="false">IF(OR(E1596="",E1596="!!!"),"",IF(OR(J1596=0,AND(J1596=1,K1596=1),AND(J1596=1,I1596="SBJ"),AND(J1596=1,I1596=0)),"?IN_FOCUS",IF(J1596&lt;=2,"?ACTIVATED",IF(J1596&lt;&gt;"","?FAMILIAR",IF(F1596="NEW",IF(ISNA(VLOOKUP(E1596,#REF!,1,FALSE())),"?TYPE_IDENTIFIABLE","?REFERENTIAL"),"_")))))</f>
        <v/>
      </c>
      <c r="H1596" s="27" t="str">
        <f aca="false">IF(J1596&lt;&gt;1,"",IF(I1596="SBJ","CB","?"))</f>
        <v/>
      </c>
      <c r="I1596" s="24" t="str">
        <f aca="false">IF(OR(E1596="",E1596="!!!",F1596="NEW"),"",INDEX(B6:B$1591,-1+SUMPRODUCT(MAX(ROW(E6:E$1591)*(E1596=E6:E$1591)))))</f>
        <v/>
      </c>
      <c r="J1596" s="24" t="str">
        <f aca="true">IF(OR(E1596="",E1596="!!!",F1596="NEW"),"",COUNTBLANK(OFFSET(A$1,,,SUMPRODUCT(MAX(ROW(E$2:E1596)*(E1596=E$2:E1596)))))-COUNTBLANK(OFFSET(A$1,,,SUMPRODUCT(MAX(ROW(E$1:E1595)*(E2=E$1:E1595))))))</f>
        <v/>
      </c>
      <c r="K1596" s="24" t="str">
        <f aca="false">IF(OR(E1596="",E1596="!!!",F1596="NEW"),"",INDEX(J$1:J1595,SUMPRODUCT(MAX(ROW(E$1:E1595)*(E1596=E$1:E1595)))))</f>
        <v/>
      </c>
      <c r="L1596" s="31"/>
    </row>
    <row r="1597" customFormat="false" ht="15" hidden="false" customHeight="false" outlineLevel="0" collapsed="false">
      <c r="A1597" s="20" t="s">
        <v>1218</v>
      </c>
      <c r="E1597" s="23" t="str">
        <f aca="false">IF(D1597="?OLD","!!!","")</f>
        <v/>
      </c>
      <c r="F1597" s="25" t="str">
        <f aca="false">IF(OR(E1597="",E1597="!!!"),"",IF(NOT(ISNA(VLOOKUP(E1597,E$1:E1596,1,FALSE()))),"OLD",IF(AND(E1597&lt;&gt;"",E1597&lt;&gt;"!!!"),"NEW","")))</f>
        <v/>
      </c>
      <c r="G1597" s="26" t="str">
        <f aca="false">IF(OR(E1597="",E1597="!!!"),"",IF(OR(J1597=0,AND(J1597=1,K1597=1),AND(J1597=1,I1597="SBJ"),AND(J1597=1,I1597=0)),"?IN_FOCUS",IF(J1597&lt;=2,"?ACTIVATED",IF(J1597&lt;&gt;"","?FAMILIAR",IF(F1597="NEW",IF(ISNA(VLOOKUP(E1597,#REF!,1,FALSE())),"?TYPE_IDENTIFIABLE","?REFERENTIAL"),"_")))))</f>
        <v/>
      </c>
      <c r="H1597" s="27" t="str">
        <f aca="false">IF(J1597&lt;&gt;1,"",IF(I1597="SBJ","CB","?"))</f>
        <v/>
      </c>
      <c r="I1597" s="24" t="str">
        <f aca="false">IF(OR(E1597="",E1597="!!!",F1597="NEW"),"",INDEX(B7:B$1591,-1+SUMPRODUCT(MAX(ROW(E7:E$1591)*(E1597=E7:E$1591)))))</f>
        <v/>
      </c>
      <c r="J1597" s="24" t="str">
        <f aca="true">IF(OR(E1597="",E1597="!!!",F1597="NEW"),"",COUNTBLANK(OFFSET(A$1,,,SUMPRODUCT(MAX(ROW(E$2:E1597)*(E1597=E$2:E1597)))))-COUNTBLANK(OFFSET(A$1,,,SUMPRODUCT(MAX(ROW(E$1:E1596)*(E2=E$1:E1596))))))</f>
        <v/>
      </c>
      <c r="K1597" s="24" t="str">
        <f aca="false">IF(OR(E1597="",E1597="!!!",F1597="NEW"),"",INDEX(J$1:J1596,SUMPRODUCT(MAX(ROW(E$1:E1596)*(E1597=E$1:E1596)))))</f>
        <v/>
      </c>
      <c r="L1597" s="31"/>
    </row>
    <row r="1598" customFormat="false" ht="15" hidden="false" customHeight="false" outlineLevel="0" collapsed="false">
      <c r="A1598" s="20" t="s">
        <v>1109</v>
      </c>
      <c r="E1598" s="23" t="str">
        <f aca="false">IF(D1598="?OLD","!!!","")</f>
        <v/>
      </c>
      <c r="F1598" s="25" t="str">
        <f aca="false">IF(OR(E1598="",E1598="!!!"),"",IF(NOT(ISNA(VLOOKUP(E1598,E$1:E1597,1,FALSE()))),"OLD",IF(AND(E1598&lt;&gt;"",E1598&lt;&gt;"!!!"),"NEW","")))</f>
        <v/>
      </c>
      <c r="G1598" s="26" t="str">
        <f aca="false">IF(OR(E1598="",E1598="!!!"),"",IF(OR(J1598=0,AND(J1598=1,K1598=1),AND(J1598=1,I1598="SBJ"),AND(J1598=1,I1598=0)),"?IN_FOCUS",IF(J1598&lt;=2,"?ACTIVATED",IF(J1598&lt;&gt;"","?FAMILIAR",IF(F1598="NEW",IF(ISNA(VLOOKUP(E1598,#REF!,1,FALSE())),"?TYPE_IDENTIFIABLE","?REFERENTIAL"),"_")))))</f>
        <v/>
      </c>
      <c r="H1598" s="27" t="str">
        <f aca="false">IF(J1598&lt;&gt;1,"",IF(I1598="SBJ","CB","?"))</f>
        <v/>
      </c>
      <c r="I1598" s="24" t="str">
        <f aca="false">IF(OR(E1598="",E1598="!!!",F1598="NEW"),"",INDEX(B8:B$1591,-1+SUMPRODUCT(MAX(ROW(E8:E$1591)*(E1598=E8:E$1591)))))</f>
        <v/>
      </c>
      <c r="J1598" s="24" t="str">
        <f aca="true">IF(OR(E1598="",E1598="!!!",F1598="NEW"),"",COUNTBLANK(OFFSET(A$1,,,SUMPRODUCT(MAX(ROW(E$2:E1598)*(E1598=E$2:E1598)))))-COUNTBLANK(OFFSET(A$1,,,SUMPRODUCT(MAX(ROW(E$1:E1597)*(E2=E$1:E1597))))))</f>
        <v/>
      </c>
      <c r="K1598" s="24" t="str">
        <f aca="false">IF(OR(E1598="",E1598="!!!",F1598="NEW"),"",INDEX(J$1:J1597,SUMPRODUCT(MAX(ROW(E$1:E1597)*(E1598=E$1:E1597)))))</f>
        <v/>
      </c>
      <c r="L1598" s="31"/>
    </row>
    <row r="1599" customFormat="false" ht="15" hidden="false" customHeight="false" outlineLevel="0" collapsed="false">
      <c r="A1599" s="20" t="s">
        <v>1722</v>
      </c>
      <c r="B1599" s="22" t="s">
        <v>1105</v>
      </c>
      <c r="C1599" s="22" t="s">
        <v>1150</v>
      </c>
      <c r="D1599" s="22" t="s">
        <v>1060</v>
      </c>
      <c r="E1599" s="23" t="str">
        <f aca="false">IF(D1599="?OLD","!!!","")</f>
        <v>!!!</v>
      </c>
      <c r="F1599" s="25" t="str">
        <f aca="false">IF(OR(E1599="",E1599="!!!"),"",IF(NOT(ISNA(VLOOKUP(E1599,E$1:E1598,1,FALSE()))),"OLD",IF(AND(E1599&lt;&gt;"",E1599&lt;&gt;"!!!"),"NEW","")))</f>
        <v/>
      </c>
      <c r="G1599" s="26" t="str">
        <f aca="false">IF(OR(E1599="",E1599="!!!"),"",IF(OR(J1599=0,AND(J1599=1,K1599=1),AND(J1599=1,I1599="SBJ"),AND(J1599=1,I1599=0)),"?IN_FOCUS",IF(J1599&lt;=2,"?ACTIVATED",IF(J1599&lt;&gt;"","?FAMILIAR",IF(F1599="NEW",IF(ISNA(VLOOKUP(E1599,#REF!,1,FALSE())),"?TYPE_IDENTIFIABLE","?REFERENTIAL"),"_")))))</f>
        <v/>
      </c>
      <c r="H1599" s="27" t="str">
        <f aca="false">IF(J1599&lt;&gt;1,"",IF(I1599="SBJ","CB","?"))</f>
        <v/>
      </c>
      <c r="I1599" s="24" t="str">
        <f aca="false">IF(OR(E1599="",E1599="!!!",F1599="NEW"),"",INDEX(B9:B$1591,-1+SUMPRODUCT(MAX(ROW(E9:E$1591)*(E1599=E9:E$1591)))))</f>
        <v/>
      </c>
      <c r="J1599" s="24" t="str">
        <f aca="true">IF(OR(E1599="",E1599="!!!",F1599="NEW"),"",COUNTBLANK(OFFSET(A$1,,,SUMPRODUCT(MAX(ROW(E$2:E1599)*(E1599=E$2:E1599)))))-COUNTBLANK(OFFSET(A$1,,,SUMPRODUCT(MAX(ROW(E$1:E1598)*(E2=E$1:E1598))))))</f>
        <v/>
      </c>
      <c r="K1599" s="24" t="str">
        <f aca="false">IF(OR(E1599="",E1599="!!!",F1599="NEW"),"",INDEX(J$1:J1598,SUMPRODUCT(MAX(ROW(E$1:E1598)*(E1599=E$1:E1598)))))</f>
        <v/>
      </c>
      <c r="L1599" s="31"/>
    </row>
    <row r="1600" customFormat="false" ht="15" hidden="false" customHeight="false" outlineLevel="0" collapsed="false">
      <c r="A1600" s="20" t="s">
        <v>1173</v>
      </c>
      <c r="E1600" s="23" t="str">
        <f aca="false">IF(D1600="?OLD","!!!","")</f>
        <v/>
      </c>
      <c r="F1600" s="25" t="str">
        <f aca="false">IF(OR(E1600="",E1600="!!!"),"",IF(NOT(ISNA(VLOOKUP(E1600,E$1:E1599,1,FALSE()))),"OLD",IF(AND(E1600&lt;&gt;"",E1600&lt;&gt;"!!!"),"NEW","")))</f>
        <v/>
      </c>
      <c r="G1600" s="26" t="str">
        <f aca="false">IF(OR(E1600="",E1600="!!!"),"",IF(OR(J1600=0,AND(J1600=1,K1600=1),AND(J1600=1,I1600="SBJ"),AND(J1600=1,I1600=0)),"?IN_FOCUS",IF(J1600&lt;=2,"?ACTIVATED",IF(J1600&lt;&gt;"","?FAMILIAR",IF(F1600="NEW",IF(ISNA(VLOOKUP(E1600,#REF!,1,FALSE())),"?TYPE_IDENTIFIABLE","?REFERENTIAL"),"_")))))</f>
        <v/>
      </c>
      <c r="H1600" s="27" t="str">
        <f aca="false">IF(J1600&lt;&gt;1,"",IF(I1600="SBJ","CB","?"))</f>
        <v/>
      </c>
      <c r="I1600" s="24" t="str">
        <f aca="false">IF(OR(E1600="",E1600="!!!",F1600="NEW"),"",INDEX(B10:B$1591,-1+SUMPRODUCT(MAX(ROW(E10:E$1591)*(E1600=E10:E$1591)))))</f>
        <v/>
      </c>
      <c r="J1600" s="24" t="str">
        <f aca="true">IF(OR(E1600="",E1600="!!!",F1600="NEW"),"",COUNTBLANK(OFFSET(A$1,,,SUMPRODUCT(MAX(ROW(E$2:E1600)*(E1600=E$2:E1600)))))-COUNTBLANK(OFFSET(A$1,,,SUMPRODUCT(MAX(ROW(E$1:E1599)*(E2=E$1:E1599))))))</f>
        <v/>
      </c>
      <c r="K1600" s="24" t="str">
        <f aca="false">IF(OR(E1600="",E1600="!!!",F1600="NEW"),"",INDEX(J$1:J1599,SUMPRODUCT(MAX(ROW(E$1:E1599)*(E1600=E$1:E1599)))))</f>
        <v/>
      </c>
      <c r="L1600" s="31"/>
    </row>
    <row r="1601" customFormat="false" ht="15" hidden="false" customHeight="false" outlineLevel="0" collapsed="false">
      <c r="A1601" s="20" t="s">
        <v>1178</v>
      </c>
      <c r="B1601" s="22" t="s">
        <v>1073</v>
      </c>
      <c r="C1601" s="22" t="s">
        <v>1059</v>
      </c>
      <c r="D1601" s="22" t="s">
        <v>1060</v>
      </c>
      <c r="E1601" s="23" t="str">
        <f aca="false">IF(D1601="?OLD","!!!","")</f>
        <v>!!!</v>
      </c>
      <c r="F1601" s="25" t="str">
        <f aca="false">IF(OR(E1601="",E1601="!!!"),"",IF(NOT(ISNA(VLOOKUP(E1601,E$1:E1600,1,FALSE()))),"OLD",IF(AND(E1601&lt;&gt;"",E1601&lt;&gt;"!!!"),"NEW","")))</f>
        <v/>
      </c>
      <c r="G1601" s="26" t="str">
        <f aca="false">IF(OR(E1601="",E1601="!!!"),"",IF(OR(J1601=0,AND(J1601=1,K1601=1),AND(J1601=1,I1601="SBJ"),AND(J1601=1,I1601=0)),"?IN_FOCUS",IF(J1601&lt;=2,"?ACTIVATED",IF(J1601&lt;&gt;"","?FAMILIAR",IF(F1601="NEW",IF(ISNA(VLOOKUP(E1601,#REF!,1,FALSE())),"?TYPE_IDENTIFIABLE","?REFERENTIAL"),"_")))))</f>
        <v/>
      </c>
      <c r="H1601" s="27" t="str">
        <f aca="false">IF(J1601&lt;&gt;1,"",IF(I1601="SBJ","CB","?"))</f>
        <v/>
      </c>
      <c r="I1601" s="24" t="str">
        <f aca="false">IF(OR(E1601="",E1601="!!!",F1601="NEW"),"",INDEX(B11:B$1591,-1+SUMPRODUCT(MAX(ROW(E11:E$1591)*(E1601=E11:E$1591)))))</f>
        <v/>
      </c>
      <c r="J1601" s="24" t="str">
        <f aca="true">IF(OR(E1601="",E1601="!!!",F1601="NEW"),"",COUNTBLANK(OFFSET(A$1,,,SUMPRODUCT(MAX(ROW(E$2:E1601)*(E1601=E$2:E1601)))))-COUNTBLANK(OFFSET(A$1,,,SUMPRODUCT(MAX(ROW(E$1:E1600)*(E2=E$1:E1600))))))</f>
        <v/>
      </c>
      <c r="K1601" s="24" t="str">
        <f aca="false">IF(OR(E1601="",E1601="!!!",F1601="NEW"),"",INDEX(J$1:J1600,SUMPRODUCT(MAX(ROW(E$1:E1600)*(E1601=E$1:E1600)))))</f>
        <v/>
      </c>
      <c r="L1601" s="31"/>
    </row>
    <row r="1602" customFormat="false" ht="15" hidden="false" customHeight="false" outlineLevel="0" collapsed="false">
      <c r="A1602" s="20" t="s">
        <v>1064</v>
      </c>
      <c r="E1602" s="23" t="str">
        <f aca="false">IF(D1602="?OLD","!!!","")</f>
        <v/>
      </c>
      <c r="F1602" s="25" t="str">
        <f aca="false">IF(OR(E1602="",E1602="!!!"),"",IF(NOT(ISNA(VLOOKUP(E1602,E$1:E1601,1,FALSE()))),"OLD",IF(AND(E1602&lt;&gt;"",E1602&lt;&gt;"!!!"),"NEW","")))</f>
        <v/>
      </c>
      <c r="G1602" s="26" t="str">
        <f aca="false">IF(OR(E1602="",E1602="!!!"),"",IF(OR(J1602=0,AND(J1602=1,K1602=1),AND(J1602=1,I1602="SBJ"),AND(J1602=1,I1602=0)),"?IN_FOCUS",IF(J1602&lt;=2,"?ACTIVATED",IF(J1602&lt;&gt;"","?FAMILIAR",IF(F1602="NEW",IF(ISNA(VLOOKUP(E1602,#REF!,1,FALSE())),"?TYPE_IDENTIFIABLE","?REFERENTIAL"),"_")))))</f>
        <v/>
      </c>
      <c r="H1602" s="27" t="str">
        <f aca="false">IF(J1602&lt;&gt;1,"",IF(I1602="SBJ","CB","?"))</f>
        <v/>
      </c>
      <c r="I1602" s="24" t="str">
        <f aca="false">IF(OR(E1602="",E1602="!!!",F1602="NEW"),"",INDEX(B12:B$1591,-1+SUMPRODUCT(MAX(ROW(E12:E$1591)*(E1602=E12:E$1591)))))</f>
        <v/>
      </c>
      <c r="J1602" s="24" t="str">
        <f aca="true">IF(OR(E1602="",E1602="!!!",F1602="NEW"),"",COUNTBLANK(OFFSET(A$1,,,SUMPRODUCT(MAX(ROW(E$2:E1602)*(E1602=E$2:E1602)))))-COUNTBLANK(OFFSET(A$1,,,SUMPRODUCT(MAX(ROW(E$1:E1601)*(E2=E$1:E1601))))))</f>
        <v/>
      </c>
      <c r="K1602" s="24" t="str">
        <f aca="false">IF(OR(E1602="",E1602="!!!",F1602="NEW"),"",INDEX(J$1:J1601,SUMPRODUCT(MAX(ROW(E$1:E1601)*(E1602=E$1:E1601)))))</f>
        <v/>
      </c>
      <c r="L1602" s="31"/>
    </row>
    <row r="1603" customFormat="false" ht="15" hidden="false" customHeight="false" outlineLevel="0" collapsed="false">
      <c r="A1603" s="20" t="s">
        <v>1179</v>
      </c>
      <c r="B1603" s="22" t="s">
        <v>1067</v>
      </c>
      <c r="C1603" s="22" t="s">
        <v>1082</v>
      </c>
      <c r="D1603" s="22" t="s">
        <v>1060</v>
      </c>
      <c r="E1603" s="23" t="str">
        <f aca="false">IF(D1603="?OLD","!!!","")</f>
        <v>!!!</v>
      </c>
      <c r="F1603" s="25" t="str">
        <f aca="false">IF(OR(E1603="",E1603="!!!"),"",IF(NOT(ISNA(VLOOKUP(E1603,E$1:E1602,1,FALSE()))),"OLD",IF(AND(E1603&lt;&gt;"",E1603&lt;&gt;"!!!"),"NEW","")))</f>
        <v/>
      </c>
      <c r="G1603" s="26" t="str">
        <f aca="false">IF(OR(E1603="",E1603="!!!"),"",IF(OR(J1603=0,AND(J1603=1,K1603=1),AND(J1603=1,I1603="SBJ"),AND(J1603=1,I1603=0)),"?IN_FOCUS",IF(J1603&lt;=2,"?ACTIVATED",IF(J1603&lt;&gt;"","?FAMILIAR",IF(F1603="NEW",IF(ISNA(VLOOKUP(E1603,#REF!,1,FALSE())),"?TYPE_IDENTIFIABLE","?REFERENTIAL"),"_")))))</f>
        <v/>
      </c>
      <c r="H1603" s="27" t="str">
        <f aca="false">IF(J1603&lt;&gt;1,"",IF(I1603="SBJ","CB","?"))</f>
        <v/>
      </c>
      <c r="I1603" s="24" t="str">
        <f aca="false">IF(OR(E1603="",E1603="!!!",F1603="NEW"),"",INDEX(B13:B$1591,-1+SUMPRODUCT(MAX(ROW(E13:E$1591)*(E1603=E13:E$1591)))))</f>
        <v/>
      </c>
      <c r="J1603" s="24" t="str">
        <f aca="true">IF(OR(E1603="",E1603="!!!",F1603="NEW"),"",COUNTBLANK(OFFSET(A$1,,,SUMPRODUCT(MAX(ROW(E$2:E1603)*(E1603=E$2:E1603)))))-COUNTBLANK(OFFSET(A$1,,,SUMPRODUCT(MAX(ROW(E$1:E1602)*(E2=E$1:E1602))))))</f>
        <v/>
      </c>
      <c r="K1603" s="24" t="str">
        <f aca="false">IF(OR(E1603="",E1603="!!!",F1603="NEW"),"",INDEX(J$1:J1602,SUMPRODUCT(MAX(ROW(E$1:E1602)*(E1603=E$1:E1602)))))</f>
        <v/>
      </c>
      <c r="L1603" s="31"/>
    </row>
    <row r="1604" customFormat="false" ht="15" hidden="false" customHeight="false" outlineLevel="0" collapsed="false">
      <c r="A1604" s="20" t="s">
        <v>1128</v>
      </c>
      <c r="E1604" s="23" t="str">
        <f aca="false">IF(D1604="?OLD","!!!","")</f>
        <v/>
      </c>
      <c r="F1604" s="25" t="str">
        <f aca="false">IF(OR(E1604="",E1604="!!!"),"",IF(NOT(ISNA(VLOOKUP(E1604,E$1:E1603,1,FALSE()))),"OLD",IF(AND(E1604&lt;&gt;"",E1604&lt;&gt;"!!!"),"NEW","")))</f>
        <v/>
      </c>
      <c r="G1604" s="26" t="str">
        <f aca="false">IF(OR(E1604="",E1604="!!!"),"",IF(OR(J1604=0,AND(J1604=1,K1604=1),AND(J1604=1,I1604="SBJ"),AND(J1604=1,I1604=0)),"?IN_FOCUS",IF(J1604&lt;=2,"?ACTIVATED",IF(J1604&lt;&gt;"","?FAMILIAR",IF(F1604="NEW",IF(ISNA(VLOOKUP(E1604,#REF!,1,FALSE())),"?TYPE_IDENTIFIABLE","?REFERENTIAL"),"_")))))</f>
        <v/>
      </c>
      <c r="H1604" s="27" t="str">
        <f aca="false">IF(J1604&lt;&gt;1,"",IF(I1604="SBJ","CB","?"))</f>
        <v/>
      </c>
      <c r="I1604" s="24" t="str">
        <f aca="false">IF(OR(E1604="",E1604="!!!",F1604="NEW"),"",INDEX(B14:B$1591,-1+SUMPRODUCT(MAX(ROW(E14:E$1591)*(E1604=E14:E$1591)))))</f>
        <v/>
      </c>
      <c r="J1604" s="24" t="str">
        <f aca="true">IF(OR(E1604="",E1604="!!!",F1604="NEW"),"",COUNTBLANK(OFFSET(A$1,,,SUMPRODUCT(MAX(ROW(E$2:E1604)*(E1604=E$2:E1604)))))-COUNTBLANK(OFFSET(A$1,,,SUMPRODUCT(MAX(ROW(E$1:E1603)*(E2=E$1:E1603))))))</f>
        <v/>
      </c>
      <c r="K1604" s="24" t="str">
        <f aca="false">IF(OR(E1604="",E1604="!!!",F1604="NEW"),"",INDEX(J$1:J1603,SUMPRODUCT(MAX(ROW(E$1:E1603)*(E1604=E$1:E1603)))))</f>
        <v/>
      </c>
      <c r="L1604" s="31"/>
    </row>
    <row r="1605" customFormat="false" ht="15" hidden="false" customHeight="false" outlineLevel="0" collapsed="false">
      <c r="A1605" s="20" t="s">
        <v>1723</v>
      </c>
      <c r="E1605" s="23" t="str">
        <f aca="false">IF(D1605="?OLD","!!!","")</f>
        <v/>
      </c>
      <c r="F1605" s="25" t="str">
        <f aca="false">IF(OR(E1605="",E1605="!!!"),"",IF(NOT(ISNA(VLOOKUP(E1605,E$1:E1604,1,FALSE()))),"OLD",IF(AND(E1605&lt;&gt;"",E1605&lt;&gt;"!!!"),"NEW","")))</f>
        <v/>
      </c>
      <c r="G1605" s="26" t="str">
        <f aca="false">IF(OR(E1605="",E1605="!!!"),"",IF(OR(J1605=0,AND(J1605=1,K1605=1),AND(J1605=1,I1605="SBJ"),AND(J1605=1,I1605=0)),"?IN_FOCUS",IF(J1605&lt;=2,"?ACTIVATED",IF(J1605&lt;&gt;"","?FAMILIAR",IF(F1605="NEW",IF(ISNA(VLOOKUP(E1605,#REF!,1,FALSE())),"?TYPE_IDENTIFIABLE","?REFERENTIAL"),"_")))))</f>
        <v/>
      </c>
      <c r="H1605" s="27" t="str">
        <f aca="false">IF(J1605&lt;&gt;1,"",IF(I1605="SBJ","CB","?"))</f>
        <v/>
      </c>
      <c r="I1605" s="24" t="str">
        <f aca="false">IF(OR(E1605="",E1605="!!!",F1605="NEW"),"",INDEX(B15:B$1591,-1+SUMPRODUCT(MAX(ROW(E15:E$1591)*(E1605=E15:E$1591)))))</f>
        <v/>
      </c>
      <c r="J1605" s="24" t="str">
        <f aca="true">IF(OR(E1605="",E1605="!!!",F1605="NEW"),"",COUNTBLANK(OFFSET(A$1,,,SUMPRODUCT(MAX(ROW(E$2:E1605)*(E1605=E$2:E1605)))))-COUNTBLANK(OFFSET(A$1,,,SUMPRODUCT(MAX(ROW(E$1:E1604)*(E2=E$1:E1604))))))</f>
        <v/>
      </c>
      <c r="K1605" s="24" t="str">
        <f aca="false">IF(OR(E1605="",E1605="!!!",F1605="NEW"),"",INDEX(J$1:J1604,SUMPRODUCT(MAX(ROW(E$1:E1604)*(E1605=E$1:E1604)))))</f>
        <v/>
      </c>
      <c r="L1605" s="31"/>
    </row>
    <row r="1606" customFormat="false" ht="15" hidden="false" customHeight="false" outlineLevel="0" collapsed="false">
      <c r="A1606" s="20" t="s">
        <v>1097</v>
      </c>
      <c r="B1606" s="22" t="s">
        <v>1067</v>
      </c>
      <c r="C1606" s="22" t="s">
        <v>1099</v>
      </c>
      <c r="D1606" s="22" t="s">
        <v>1060</v>
      </c>
      <c r="E1606" s="23" t="str">
        <f aca="false">IF(D1606="?OLD","!!!","")</f>
        <v>!!!</v>
      </c>
      <c r="F1606" s="25" t="str">
        <f aca="false">IF(OR(E1606="",E1606="!!!"),"",IF(NOT(ISNA(VLOOKUP(E1606,E$1:E1605,1,FALSE()))),"OLD",IF(AND(E1606&lt;&gt;"",E1606&lt;&gt;"!!!"),"NEW","")))</f>
        <v/>
      </c>
      <c r="G1606" s="26" t="str">
        <f aca="false">IF(OR(E1606="",E1606="!!!"),"",IF(OR(J1606=0,AND(J1606=1,K1606=1),AND(J1606=1,I1606="SBJ"),AND(J1606=1,I1606=0)),"?IN_FOCUS",IF(J1606&lt;=2,"?ACTIVATED",IF(J1606&lt;&gt;"","?FAMILIAR",IF(F1606="NEW",IF(ISNA(VLOOKUP(E1606,#REF!,1,FALSE())),"?TYPE_IDENTIFIABLE","?REFERENTIAL"),"_")))))</f>
        <v/>
      </c>
      <c r="H1606" s="27" t="str">
        <f aca="false">IF(J1606&lt;&gt;1,"",IF(I1606="SBJ","CB","?"))</f>
        <v/>
      </c>
      <c r="I1606" s="24" t="str">
        <f aca="false">IF(OR(E1606="",E1606="!!!",F1606="NEW"),"",INDEX(B16:B$1591,-1+SUMPRODUCT(MAX(ROW(E16:E$1591)*(E1606=E16:E$1591)))))</f>
        <v/>
      </c>
      <c r="J1606" s="24" t="str">
        <f aca="true">IF(OR(E1606="",E1606="!!!",F1606="NEW"),"",COUNTBLANK(OFFSET(A$1,,,SUMPRODUCT(MAX(ROW(E$2:E1606)*(E1606=E$2:E1606)))))-COUNTBLANK(OFFSET(A$1,,,SUMPRODUCT(MAX(ROW(E$1:E1605)*(E2=E$1:E1605))))))</f>
        <v/>
      </c>
      <c r="K1606" s="24" t="str">
        <f aca="false">IF(OR(E1606="",E1606="!!!",F1606="NEW"),"",INDEX(J$1:J1605,SUMPRODUCT(MAX(ROW(E$1:E1605)*(E1606=E$1:E1605)))))</f>
        <v/>
      </c>
      <c r="L1606" s="31"/>
    </row>
    <row r="1607" customFormat="false" ht="15" hidden="false" customHeight="false" outlineLevel="0" collapsed="false">
      <c r="A1607" s="20" t="s">
        <v>1724</v>
      </c>
      <c r="B1607" s="22" t="s">
        <v>1142</v>
      </c>
      <c r="C1607" s="22" t="s">
        <v>1059</v>
      </c>
      <c r="D1607" s="22" t="s">
        <v>1060</v>
      </c>
      <c r="E1607" s="23" t="str">
        <f aca="false">IF(D1607="?OLD","!!!","")</f>
        <v>!!!</v>
      </c>
      <c r="F1607" s="25" t="str">
        <f aca="false">IF(OR(E1607="",E1607="!!!"),"",IF(NOT(ISNA(VLOOKUP(E1607,E$1:E1606,1,FALSE()))),"OLD",IF(AND(E1607&lt;&gt;"",E1607&lt;&gt;"!!!"),"NEW","")))</f>
        <v/>
      </c>
      <c r="G1607" s="26" t="str">
        <f aca="false">IF(OR(E1607="",E1607="!!!"),"",IF(OR(J1607=0,AND(J1607=1,K1607=1),AND(J1607=1,I1607="SBJ"),AND(J1607=1,I1607=0)),"?IN_FOCUS",IF(J1607&lt;=2,"?ACTIVATED",IF(J1607&lt;&gt;"","?FAMILIAR",IF(F1607="NEW",IF(ISNA(VLOOKUP(E1607,#REF!,1,FALSE())),"?TYPE_IDENTIFIABLE","?REFERENTIAL"),"_")))))</f>
        <v/>
      </c>
      <c r="H1607" s="27" t="str">
        <f aca="false">IF(J1607&lt;&gt;1,"",IF(I1607="SBJ","CB","?"))</f>
        <v/>
      </c>
      <c r="I1607" s="24" t="str">
        <f aca="false">IF(OR(E1607="",E1607="!!!",F1607="NEW"),"",INDEX(B17:B$1591,-1+SUMPRODUCT(MAX(ROW(E17:E$1591)*(E1607=E17:E$1591)))))</f>
        <v/>
      </c>
      <c r="J1607" s="24" t="str">
        <f aca="true">IF(OR(E1607="",E1607="!!!",F1607="NEW"),"",COUNTBLANK(OFFSET(A$1,,,SUMPRODUCT(MAX(ROW(E$2:E1607)*(E1607=E$2:E1607)))))-COUNTBLANK(OFFSET(A$1,,,SUMPRODUCT(MAX(ROW(E$1:E1606)*(E2=E$1:E1606))))))</f>
        <v/>
      </c>
      <c r="K1607" s="24" t="str">
        <f aca="false">IF(OR(E1607="",E1607="!!!",F1607="NEW"),"",INDEX(J$1:J1606,SUMPRODUCT(MAX(ROW(E$1:E1606)*(E1607=E$1:E1606)))))</f>
        <v/>
      </c>
      <c r="L1607" s="31"/>
    </row>
    <row r="1608" customFormat="false" ht="15" hidden="false" customHeight="false" outlineLevel="0" collapsed="false">
      <c r="A1608" s="20" t="s">
        <v>1173</v>
      </c>
      <c r="E1608" s="23" t="str">
        <f aca="false">IF(D1608="?OLD","!!!","")</f>
        <v/>
      </c>
      <c r="F1608" s="25" t="str">
        <f aca="false">IF(OR(E1608="",E1608="!!!"),"",IF(NOT(ISNA(VLOOKUP(E1608,E$1:E1607,1,FALSE()))),"OLD",IF(AND(E1608&lt;&gt;"",E1608&lt;&gt;"!!!"),"NEW","")))</f>
        <v/>
      </c>
      <c r="G1608" s="26" t="str">
        <f aca="false">IF(OR(E1608="",E1608="!!!"),"",IF(OR(J1608=0,AND(J1608=1,K1608=1),AND(J1608=1,I1608="SBJ"),AND(J1608=1,I1608=0)),"?IN_FOCUS",IF(J1608&lt;=2,"?ACTIVATED",IF(J1608&lt;&gt;"","?FAMILIAR",IF(F1608="NEW",IF(ISNA(VLOOKUP(E1608,#REF!,1,FALSE())),"?TYPE_IDENTIFIABLE","?REFERENTIAL"),"_")))))</f>
        <v/>
      </c>
      <c r="H1608" s="27" t="str">
        <f aca="false">IF(J1608&lt;&gt;1,"",IF(I1608="SBJ","CB","?"))</f>
        <v/>
      </c>
      <c r="I1608" s="24" t="str">
        <f aca="false">IF(OR(E1608="",E1608="!!!",F1608="NEW"),"",INDEX(B18:B$1591,-1+SUMPRODUCT(MAX(ROW(E18:E$1591)*(E1608=E18:E$1591)))))</f>
        <v/>
      </c>
      <c r="J1608" s="24" t="str">
        <f aca="true">IF(OR(E1608="",E1608="!!!",F1608="NEW"),"",COUNTBLANK(OFFSET(A$1,,,SUMPRODUCT(MAX(ROW(E$2:E1608)*(E1608=E$2:E1608)))))-COUNTBLANK(OFFSET(A$1,,,SUMPRODUCT(MAX(ROW(E$1:E1607)*(E2=E$1:E1607))))))</f>
        <v/>
      </c>
      <c r="K1608" s="24" t="str">
        <f aca="false">IF(OR(E1608="",E1608="!!!",F1608="NEW"),"",INDEX(J$1:J1607,SUMPRODUCT(MAX(ROW(E$1:E1607)*(E1608=E$1:E1607)))))</f>
        <v/>
      </c>
      <c r="L1608" s="31"/>
    </row>
    <row r="1609" customFormat="false" ht="15" hidden="false" customHeight="false" outlineLevel="0" collapsed="false">
      <c r="A1609" s="20" t="s">
        <v>1097</v>
      </c>
      <c r="B1609" s="22" t="s">
        <v>1067</v>
      </c>
      <c r="C1609" s="22" t="s">
        <v>1099</v>
      </c>
      <c r="D1609" s="22" t="s">
        <v>1060</v>
      </c>
      <c r="E1609" s="23" t="str">
        <f aca="false">IF(D1609="?OLD","!!!","")</f>
        <v>!!!</v>
      </c>
      <c r="F1609" s="25" t="str">
        <f aca="false">IF(OR(E1609="",E1609="!!!"),"",IF(NOT(ISNA(VLOOKUP(E1609,E$1:E1608,1,FALSE()))),"OLD",IF(AND(E1609&lt;&gt;"",E1609&lt;&gt;"!!!"),"NEW","")))</f>
        <v/>
      </c>
      <c r="G1609" s="26" t="str">
        <f aca="false">IF(OR(E1609="",E1609="!!!"),"",IF(OR(J1609=0,AND(J1609=1,K1609=1),AND(J1609=1,I1609="SBJ"),AND(J1609=1,I1609=0)),"?IN_FOCUS",IF(J1609&lt;=2,"?ACTIVATED",IF(J1609&lt;&gt;"","?FAMILIAR",IF(F1609="NEW",IF(ISNA(VLOOKUP(E1609,#REF!,1,FALSE())),"?TYPE_IDENTIFIABLE","?REFERENTIAL"),"_")))))</f>
        <v/>
      </c>
      <c r="H1609" s="27" t="str">
        <f aca="false">IF(J1609&lt;&gt;1,"",IF(I1609="SBJ","CB","?"))</f>
        <v/>
      </c>
      <c r="I1609" s="24" t="str">
        <f aca="false">IF(OR(E1609="",E1609="!!!",F1609="NEW"),"",INDEX(B19:B$1591,-1+SUMPRODUCT(MAX(ROW(E19:E$1591)*(E1609=E19:E$1591)))))</f>
        <v/>
      </c>
      <c r="J1609" s="24" t="str">
        <f aca="true">IF(OR(E1609="",E1609="!!!",F1609="NEW"),"",COUNTBLANK(OFFSET(A$1,,,SUMPRODUCT(MAX(ROW(E$2:E1609)*(E1609=E$2:E1609)))))-COUNTBLANK(OFFSET(A$1,,,SUMPRODUCT(MAX(ROW(E$1:E1608)*(E2=E$1:E1608))))))</f>
        <v/>
      </c>
      <c r="K1609" s="24" t="str">
        <f aca="false">IF(OR(E1609="",E1609="!!!",F1609="NEW"),"",INDEX(J$1:J1608,SUMPRODUCT(MAX(ROW(E$1:E1608)*(E1609=E$1:E1608)))))</f>
        <v/>
      </c>
      <c r="L1609" s="31"/>
    </row>
    <row r="1610" customFormat="false" ht="15" hidden="false" customHeight="false" outlineLevel="0" collapsed="false">
      <c r="A1610" s="20" t="s">
        <v>1725</v>
      </c>
      <c r="B1610" s="22" t="s">
        <v>1073</v>
      </c>
      <c r="C1610" s="22" t="s">
        <v>1059</v>
      </c>
      <c r="D1610" s="22" t="s">
        <v>1060</v>
      </c>
      <c r="E1610" s="23" t="str">
        <f aca="false">IF(D1610="?OLD","!!!","")</f>
        <v>!!!</v>
      </c>
      <c r="F1610" s="25" t="str">
        <f aca="false">IF(OR(E1610="",E1610="!!!"),"",IF(NOT(ISNA(VLOOKUP(E1610,E$1:E1609,1,FALSE()))),"OLD",IF(AND(E1610&lt;&gt;"",E1610&lt;&gt;"!!!"),"NEW","")))</f>
        <v/>
      </c>
      <c r="G1610" s="26" t="str">
        <f aca="false">IF(OR(E1610="",E1610="!!!"),"",IF(OR(J1610=0,AND(J1610=1,K1610=1),AND(J1610=1,I1610="SBJ"),AND(J1610=1,I1610=0)),"?IN_FOCUS",IF(J1610&lt;=2,"?ACTIVATED",IF(J1610&lt;&gt;"","?FAMILIAR",IF(F1610="NEW",IF(ISNA(VLOOKUP(E1610,#REF!,1,FALSE())),"?TYPE_IDENTIFIABLE","?REFERENTIAL"),"_")))))</f>
        <v/>
      </c>
      <c r="H1610" s="27" t="str">
        <f aca="false">IF(J1610&lt;&gt;1,"",IF(I1610="SBJ","CB","?"))</f>
        <v/>
      </c>
      <c r="I1610" s="24" t="str">
        <f aca="false">IF(OR(E1610="",E1610="!!!",F1610="NEW"),"",INDEX(B20:B$1591,-1+SUMPRODUCT(MAX(ROW(E20:E$1591)*(E1610=E20:E$1591)))))</f>
        <v/>
      </c>
      <c r="J1610" s="24" t="str">
        <f aca="true">IF(OR(E1610="",E1610="!!!",F1610="NEW"),"",COUNTBLANK(OFFSET(A$1,,,SUMPRODUCT(MAX(ROW(E$2:E1610)*(E1610=E$2:E1610)))))-COUNTBLANK(OFFSET(A$1,,,SUMPRODUCT(MAX(ROW(E$1:E1609)*(E2=E$1:E1609))))))</f>
        <v/>
      </c>
      <c r="K1610" s="24" t="str">
        <f aca="false">IF(OR(E1610="",E1610="!!!",F1610="NEW"),"",INDEX(J$1:J1609,SUMPRODUCT(MAX(ROW(E$1:E1609)*(E1610=E$1:E1609)))))</f>
        <v/>
      </c>
      <c r="L1610" s="31"/>
    </row>
    <row r="1611" customFormat="false" ht="15" hidden="false" customHeight="false" outlineLevel="0" collapsed="false">
      <c r="A1611" s="20" t="s">
        <v>923</v>
      </c>
      <c r="E1611" s="23" t="str">
        <f aca="false">IF(D1611="?OLD","!!!","")</f>
        <v/>
      </c>
      <c r="F1611" s="25" t="str">
        <f aca="false">IF(OR(E1611="",E1611="!!!"),"",IF(NOT(ISNA(VLOOKUP(E1611,E$1:E1610,1,FALSE()))),"OLD",IF(AND(E1611&lt;&gt;"",E1611&lt;&gt;"!!!"),"NEW","")))</f>
        <v/>
      </c>
      <c r="G1611" s="26" t="str">
        <f aca="false">IF(OR(E1611="",E1611="!!!"),"",IF(OR(J1611=0,AND(J1611=1,K1611=1),AND(J1611=1,I1611="SBJ"),AND(J1611=1,I1611=0)),"?IN_FOCUS",IF(J1611&lt;=2,"?ACTIVATED",IF(J1611&lt;&gt;"","?FAMILIAR",IF(F1611="NEW",IF(ISNA(VLOOKUP(E1611,#REF!,1,FALSE())),"?TYPE_IDENTIFIABLE","?REFERENTIAL"),"_")))))</f>
        <v/>
      </c>
      <c r="H1611" s="27" t="str">
        <f aca="false">IF(J1611&lt;&gt;1,"",IF(I1611="SBJ","CB","?"))</f>
        <v/>
      </c>
      <c r="I1611" s="24" t="str">
        <f aca="false">IF(OR(E1611="",E1611="!!!",F1611="NEW"),"",INDEX(B21:B$1591,-1+SUMPRODUCT(MAX(ROW(E21:E$1591)*(E1611=E21:E$1591)))))</f>
        <v/>
      </c>
      <c r="J1611" s="24" t="str">
        <f aca="true">IF(OR(E1611="",E1611="!!!",F1611="NEW"),"",COUNTBLANK(OFFSET(A$1,,,SUMPRODUCT(MAX(ROW(E$2:E1611)*(E1611=E$2:E1611)))))-COUNTBLANK(OFFSET(A$1,,,SUMPRODUCT(MAX(ROW(E$1:E1610)*(E2=E$1:E1610))))))</f>
        <v/>
      </c>
      <c r="K1611" s="24" t="str">
        <f aca="false">IF(OR(E1611="",E1611="!!!",F1611="NEW"),"",INDEX(J$1:J1610,SUMPRODUCT(MAX(ROW(E$1:E1610)*(E1611=E$1:E1610)))))</f>
        <v/>
      </c>
      <c r="L1611" s="31"/>
    </row>
    <row r="1612" customFormat="false" ht="15" hidden="false" customHeight="false" outlineLevel="0" collapsed="false">
      <c r="A1612" s="20"/>
    </row>
    <row r="1613" customFormat="false" ht="15" hidden="false" customHeight="false" outlineLevel="0" collapsed="false">
      <c r="A1613" s="20" t="s">
        <v>1301</v>
      </c>
      <c r="E1613" s="23" t="str">
        <f aca="false">IF(D1613="?OLD","!!!","")</f>
        <v/>
      </c>
      <c r="F1613" s="25" t="str">
        <f aca="false">IF(OR(E1613="",E1613="!!!"),"",IF(NOT(ISNA(VLOOKUP(E1613,E$1:E1612,1,FALSE()))),"OLD",IF(AND(E1613&lt;&gt;"",E1613&lt;&gt;"!!!"),"NEW","")))</f>
        <v/>
      </c>
      <c r="G1613" s="26" t="str">
        <f aca="false">IF(OR(E1613="",E1613="!!!"),"",IF(OR(J1613=0,AND(J1613=1,K1613=1),AND(J1613=1,I1613="SBJ"),AND(J1613=1,I1613=0)),"?IN_FOCUS",IF(J1613&lt;=2,"?ACTIVATED",IF(J1613&lt;&gt;"","?FAMILIAR",IF(F1613="NEW",IF(ISNA(VLOOKUP(E1613,#REF!,1,FALSE())),"?TYPE_IDENTIFIABLE","?REFERENTIAL"),"_")))))</f>
        <v/>
      </c>
      <c r="H1613" s="27" t="str">
        <f aca="false">IF(J1613&lt;&gt;1,"",IF(I1613="SBJ","CB","?"))</f>
        <v/>
      </c>
      <c r="I1613" s="24" t="str">
        <f aca="false">IF(OR(E1613="",E1613="!!!",F1613="NEW"),"",INDEX(B2:B$1612,-1+SUMPRODUCT(MAX(ROW(E2:E$1612)*(E1613=E2:E$1612)))))</f>
        <v/>
      </c>
      <c r="J1613" s="24" t="str">
        <f aca="true">IF(OR(E1613="",E1613="!!!",F1613="NEW"),"",COUNTBLANK(OFFSET(A$1,,,SUMPRODUCT(MAX(ROW(E$2:E1613)*(E1613=E$2:E1613)))))-COUNTBLANK(OFFSET(A$1,,,SUMPRODUCT(MAX(ROW(E$1:E1612)*(E2=E$1:E1612))))))</f>
        <v/>
      </c>
      <c r="K1613" s="24" t="str">
        <f aca="false">IF(OR(E1613="",E1613="!!!",F1613="NEW"),"",INDEX(J$1:J1612,SUMPRODUCT(MAX(ROW(E$1:E1612)*(E1613=E$1:E1612)))))</f>
        <v/>
      </c>
      <c r="L1613" s="31"/>
    </row>
    <row r="1614" customFormat="false" ht="15" hidden="false" customHeight="false" outlineLevel="0" collapsed="false">
      <c r="A1614" s="20" t="s">
        <v>1726</v>
      </c>
    </row>
    <row r="1615" customFormat="false" ht="15" hidden="false" customHeight="false" outlineLevel="0" collapsed="false">
      <c r="A1615" s="20" t="s">
        <v>607</v>
      </c>
      <c r="E1615" s="23" t="str">
        <f aca="false">IF(D1615="?OLD","!!!","")</f>
        <v/>
      </c>
      <c r="F1615" s="25" t="str">
        <f aca="false">IF(OR(E1615="",E1615="!!!"),"",IF(NOT(ISNA(VLOOKUP(E1615,E$1:E1614,1,FALSE()))),"OLD",IF(AND(E1615&lt;&gt;"",E1615&lt;&gt;"!!!"),"NEW","")))</f>
        <v/>
      </c>
      <c r="G1615" s="26" t="str">
        <f aca="false">IF(OR(E1615="",E1615="!!!"),"",IF(OR(J1615=0,AND(J1615=1,K1615=1),AND(J1615=1,I1615="SBJ"),AND(J1615=1,I1615=0)),"?IN_FOCUS",IF(J1615&lt;=2,"?ACTIVATED",IF(J1615&lt;&gt;"","?FAMILIAR",IF(F1615="NEW",IF(ISNA(VLOOKUP(E1615,#REF!,1,FALSE())),"?TYPE_IDENTIFIABLE","?REFERENTIAL"),"_")))))</f>
        <v/>
      </c>
      <c r="H1615" s="27" t="str">
        <f aca="false">IF(J1615&lt;&gt;1,"",IF(I1615="SBJ","CB","?"))</f>
        <v/>
      </c>
      <c r="I1615" s="24" t="str">
        <f aca="false">IF(OR(E1615="",E1615="!!!",F1615="NEW"),"",INDEX(B2:B$1614,-1+SUMPRODUCT(MAX(ROW(E2:E$1614)*(E1615=E2:E$1614)))))</f>
        <v/>
      </c>
      <c r="J1615" s="24" t="str">
        <f aca="true">IF(OR(E1615="",E1615="!!!",F1615="NEW"),"",COUNTBLANK(OFFSET(A$1,,,SUMPRODUCT(MAX(ROW(E$2:E1615)*(E1615=E$2:E1615)))))-COUNTBLANK(OFFSET(A$1,,,SUMPRODUCT(MAX(ROW(E$1:E1614)*(E2=E$1:E1614))))))</f>
        <v/>
      </c>
      <c r="K1615" s="24" t="str">
        <f aca="false">IF(OR(E1615="",E1615="!!!",F1615="NEW"),"",INDEX(J$1:J1614,SUMPRODUCT(MAX(ROW(E$1:E1614)*(E1615=E$1:E1614)))))</f>
        <v/>
      </c>
      <c r="L1615" s="31"/>
    </row>
    <row r="1616" customFormat="false" ht="15" hidden="false" customHeight="false" outlineLevel="0" collapsed="false">
      <c r="A1616" s="20" t="s">
        <v>1727</v>
      </c>
      <c r="E1616" s="23" t="str">
        <f aca="false">IF(D1616="?OLD","!!!","")</f>
        <v/>
      </c>
      <c r="F1616" s="25" t="str">
        <f aca="false">IF(OR(E1616="",E1616="!!!"),"",IF(NOT(ISNA(VLOOKUP(E1616,E$1:E1615,1,FALSE()))),"OLD",IF(AND(E1616&lt;&gt;"",E1616&lt;&gt;"!!!"),"NEW","")))</f>
        <v/>
      </c>
      <c r="G1616" s="26" t="str">
        <f aca="false">IF(OR(E1616="",E1616="!!!"),"",IF(OR(J1616=0,AND(J1616=1,K1616=1),AND(J1616=1,I1616="SBJ"),AND(J1616=1,I1616=0)),"?IN_FOCUS",IF(J1616&lt;=2,"?ACTIVATED",IF(J1616&lt;&gt;"","?FAMILIAR",IF(F1616="NEW",IF(ISNA(VLOOKUP(E1616,#REF!,1,FALSE())),"?TYPE_IDENTIFIABLE","?REFERENTIAL"),"_")))))</f>
        <v/>
      </c>
      <c r="H1616" s="27" t="str">
        <f aca="false">IF(J1616&lt;&gt;1,"",IF(I1616="SBJ","CB","?"))</f>
        <v/>
      </c>
      <c r="I1616" s="24" t="str">
        <f aca="false">IF(OR(E1616="",E1616="!!!",F1616="NEW"),"",INDEX(B3:B$1614,-1+SUMPRODUCT(MAX(ROW(E3:E$1614)*(E1616=E3:E$1614)))))</f>
        <v/>
      </c>
      <c r="J1616" s="24" t="str">
        <f aca="true">IF(OR(E1616="",E1616="!!!",F1616="NEW"),"",COUNTBLANK(OFFSET(A$1,,,SUMPRODUCT(MAX(ROW(E$2:E1616)*(E1616=E$2:E1616)))))-COUNTBLANK(OFFSET(A$1,,,SUMPRODUCT(MAX(ROW(E$1:E1615)*(E2=E$1:E1615))))))</f>
        <v/>
      </c>
      <c r="K1616" s="24" t="str">
        <f aca="false">IF(OR(E1616="",E1616="!!!",F1616="NEW"),"",INDEX(J$1:J1615,SUMPRODUCT(MAX(ROW(E$1:E1615)*(E1616=E$1:E1615)))))</f>
        <v/>
      </c>
      <c r="L1616" s="31"/>
    </row>
    <row r="1617" customFormat="false" ht="15" hidden="false" customHeight="false" outlineLevel="0" collapsed="false">
      <c r="A1617" s="20" t="s">
        <v>1090</v>
      </c>
      <c r="B1617" s="22" t="s">
        <v>1086</v>
      </c>
      <c r="C1617" s="22" t="s">
        <v>1082</v>
      </c>
      <c r="D1617" s="22" t="s">
        <v>1060</v>
      </c>
      <c r="E1617" s="23" t="str">
        <f aca="false">IF(D1617="?OLD","!!!","")</f>
        <v>!!!</v>
      </c>
      <c r="F1617" s="25" t="str">
        <f aca="false">IF(OR(E1617="",E1617="!!!"),"",IF(NOT(ISNA(VLOOKUP(E1617,E$1:E1616,1,FALSE()))),"OLD",IF(AND(E1617&lt;&gt;"",E1617&lt;&gt;"!!!"),"NEW","")))</f>
        <v/>
      </c>
      <c r="G1617" s="26" t="str">
        <f aca="false">IF(OR(E1617="",E1617="!!!"),"",IF(OR(J1617=0,AND(J1617=1,K1617=1),AND(J1617=1,I1617="SBJ"),AND(J1617=1,I1617=0)),"?IN_FOCUS",IF(J1617&lt;=2,"?ACTIVATED",IF(J1617&lt;&gt;"","?FAMILIAR",IF(F1617="NEW",IF(ISNA(VLOOKUP(E1617,#REF!,1,FALSE())),"?TYPE_IDENTIFIABLE","?REFERENTIAL"),"_")))))</f>
        <v/>
      </c>
      <c r="H1617" s="27" t="str">
        <f aca="false">IF(J1617&lt;&gt;1,"",IF(I1617="SBJ","CB","?"))</f>
        <v/>
      </c>
      <c r="I1617" s="24" t="str">
        <f aca="false">IF(OR(E1617="",E1617="!!!",F1617="NEW"),"",INDEX(B4:B$1614,-1+SUMPRODUCT(MAX(ROW(E4:E$1614)*(E1617=E4:E$1614)))))</f>
        <v/>
      </c>
      <c r="J1617" s="24" t="str">
        <f aca="true">IF(OR(E1617="",E1617="!!!",F1617="NEW"),"",COUNTBLANK(OFFSET(A$1,,,SUMPRODUCT(MAX(ROW(E$2:E1617)*(E1617=E$2:E1617)))))-COUNTBLANK(OFFSET(A$1,,,SUMPRODUCT(MAX(ROW(E$1:E1616)*(E2=E$1:E1616))))))</f>
        <v/>
      </c>
      <c r="K1617" s="24" t="str">
        <f aca="false">IF(OR(E1617="",E1617="!!!",F1617="NEW"),"",INDEX(J$1:J1616,SUMPRODUCT(MAX(ROW(E$1:E1616)*(E1617=E$1:E1616)))))</f>
        <v/>
      </c>
      <c r="L1617" s="31"/>
    </row>
    <row r="1618" customFormat="false" ht="15" hidden="false" customHeight="false" outlineLevel="0" collapsed="false">
      <c r="A1618" s="20" t="s">
        <v>1369</v>
      </c>
      <c r="E1618" s="23" t="str">
        <f aca="false">IF(D1618="?OLD","!!!","")</f>
        <v/>
      </c>
      <c r="F1618" s="25" t="str">
        <f aca="false">IF(OR(E1618="",E1618="!!!"),"",IF(NOT(ISNA(VLOOKUP(E1618,E$1:E1617,1,FALSE()))),"OLD",IF(AND(E1618&lt;&gt;"",E1618&lt;&gt;"!!!"),"NEW","")))</f>
        <v/>
      </c>
      <c r="G1618" s="26" t="str">
        <f aca="false">IF(OR(E1618="",E1618="!!!"),"",IF(OR(J1618=0,AND(J1618=1,K1618=1),AND(J1618=1,I1618="SBJ"),AND(J1618=1,I1618=0)),"?IN_FOCUS",IF(J1618&lt;=2,"?ACTIVATED",IF(J1618&lt;&gt;"","?FAMILIAR",IF(F1618="NEW",IF(ISNA(VLOOKUP(E1618,#REF!,1,FALSE())),"?TYPE_IDENTIFIABLE","?REFERENTIAL"),"_")))))</f>
        <v/>
      </c>
      <c r="H1618" s="27" t="str">
        <f aca="false">IF(J1618&lt;&gt;1,"",IF(I1618="SBJ","CB","?"))</f>
        <v/>
      </c>
      <c r="I1618" s="24" t="str">
        <f aca="false">IF(OR(E1618="",E1618="!!!",F1618="NEW"),"",INDEX(B5:B$1614,-1+SUMPRODUCT(MAX(ROW(E5:E$1614)*(E1618=E5:E$1614)))))</f>
        <v/>
      </c>
      <c r="J1618" s="24" t="str">
        <f aca="true">IF(OR(E1618="",E1618="!!!",F1618="NEW"),"",COUNTBLANK(OFFSET(A$1,,,SUMPRODUCT(MAX(ROW(E$2:E1618)*(E1618=E$2:E1618)))))-COUNTBLANK(OFFSET(A$1,,,SUMPRODUCT(MAX(ROW(E$1:E1617)*(E2=E$1:E1617))))))</f>
        <v/>
      </c>
      <c r="K1618" s="24" t="str">
        <f aca="false">IF(OR(E1618="",E1618="!!!",F1618="NEW"),"",INDEX(J$1:J1617,SUMPRODUCT(MAX(ROW(E$1:E1617)*(E1618=E$1:E1617)))))</f>
        <v/>
      </c>
      <c r="L1618" s="31"/>
    </row>
    <row r="1619" customFormat="false" ht="15" hidden="false" customHeight="false" outlineLevel="0" collapsed="false">
      <c r="A1619" s="20" t="s">
        <v>1452</v>
      </c>
      <c r="E1619" s="23" t="str">
        <f aca="false">IF(D1619="?OLD","!!!","")</f>
        <v/>
      </c>
      <c r="F1619" s="25" t="str">
        <f aca="false">IF(OR(E1619="",E1619="!!!"),"",IF(NOT(ISNA(VLOOKUP(E1619,E$1:E1618,1,FALSE()))),"OLD",IF(AND(E1619&lt;&gt;"",E1619&lt;&gt;"!!!"),"NEW","")))</f>
        <v/>
      </c>
      <c r="G1619" s="26" t="str">
        <f aca="false">IF(OR(E1619="",E1619="!!!"),"",IF(OR(J1619=0,AND(J1619=1,K1619=1),AND(J1619=1,I1619="SBJ"),AND(J1619=1,I1619=0)),"?IN_FOCUS",IF(J1619&lt;=2,"?ACTIVATED",IF(J1619&lt;&gt;"","?FAMILIAR",IF(F1619="NEW",IF(ISNA(VLOOKUP(E1619,#REF!,1,FALSE())),"?TYPE_IDENTIFIABLE","?REFERENTIAL"),"_")))))</f>
        <v/>
      </c>
      <c r="H1619" s="27" t="str">
        <f aca="false">IF(J1619&lt;&gt;1,"",IF(I1619="SBJ","CB","?"))</f>
        <v/>
      </c>
      <c r="I1619" s="24" t="str">
        <f aca="false">IF(OR(E1619="",E1619="!!!",F1619="NEW"),"",INDEX(B6:B$1614,-1+SUMPRODUCT(MAX(ROW(E6:E$1614)*(E1619=E6:E$1614)))))</f>
        <v/>
      </c>
      <c r="J1619" s="24" t="str">
        <f aca="true">IF(OR(E1619="",E1619="!!!",F1619="NEW"),"",COUNTBLANK(OFFSET(A$1,,,SUMPRODUCT(MAX(ROW(E$2:E1619)*(E1619=E$2:E1619)))))-COUNTBLANK(OFFSET(A$1,,,SUMPRODUCT(MAX(ROW(E$1:E1618)*(E2=E$1:E1618))))))</f>
        <v/>
      </c>
      <c r="K1619" s="24" t="str">
        <f aca="false">IF(OR(E1619="",E1619="!!!",F1619="NEW"),"",INDEX(J$1:J1618,SUMPRODUCT(MAX(ROW(E$1:E1618)*(E1619=E$1:E1618)))))</f>
        <v/>
      </c>
      <c r="L1619" s="31"/>
    </row>
    <row r="1620" customFormat="false" ht="15" hidden="false" customHeight="false" outlineLevel="0" collapsed="false">
      <c r="A1620" s="20" t="s">
        <v>1547</v>
      </c>
      <c r="E1620" s="23" t="str">
        <f aca="false">IF(D1620="?OLD","!!!","")</f>
        <v/>
      </c>
      <c r="F1620" s="25" t="str">
        <f aca="false">IF(OR(E1620="",E1620="!!!"),"",IF(NOT(ISNA(VLOOKUP(E1620,E$1:E1619,1,FALSE()))),"OLD",IF(AND(E1620&lt;&gt;"",E1620&lt;&gt;"!!!"),"NEW","")))</f>
        <v/>
      </c>
      <c r="G1620" s="26" t="str">
        <f aca="false">IF(OR(E1620="",E1620="!!!"),"",IF(OR(J1620=0,AND(J1620=1,K1620=1),AND(J1620=1,I1620="SBJ"),AND(J1620=1,I1620=0)),"?IN_FOCUS",IF(J1620&lt;=2,"?ACTIVATED",IF(J1620&lt;&gt;"","?FAMILIAR",IF(F1620="NEW",IF(ISNA(VLOOKUP(E1620,#REF!,1,FALSE())),"?TYPE_IDENTIFIABLE","?REFERENTIAL"),"_")))))</f>
        <v/>
      </c>
      <c r="H1620" s="27" t="str">
        <f aca="false">IF(J1620&lt;&gt;1,"",IF(I1620="SBJ","CB","?"))</f>
        <v/>
      </c>
      <c r="I1620" s="24" t="str">
        <f aca="false">IF(OR(E1620="",E1620="!!!",F1620="NEW"),"",INDEX(B7:B$1614,-1+SUMPRODUCT(MAX(ROW(E7:E$1614)*(E1620=E7:E$1614)))))</f>
        <v/>
      </c>
      <c r="J1620" s="24" t="str">
        <f aca="true">IF(OR(E1620="",E1620="!!!",F1620="NEW"),"",COUNTBLANK(OFFSET(A$1,,,SUMPRODUCT(MAX(ROW(E$2:E1620)*(E1620=E$2:E1620)))))-COUNTBLANK(OFFSET(A$1,,,SUMPRODUCT(MAX(ROW(E$1:E1619)*(E2=E$1:E1619))))))</f>
        <v/>
      </c>
      <c r="K1620" s="24" t="str">
        <f aca="false">IF(OR(E1620="",E1620="!!!",F1620="NEW"),"",INDEX(J$1:J1619,SUMPRODUCT(MAX(ROW(E$1:E1619)*(E1620=E$1:E1619)))))</f>
        <v/>
      </c>
      <c r="L1620" s="31"/>
    </row>
    <row r="1621" customFormat="false" ht="15" hidden="false" customHeight="false" outlineLevel="0" collapsed="false">
      <c r="A1621" s="20" t="s">
        <v>1173</v>
      </c>
      <c r="E1621" s="23" t="str">
        <f aca="false">IF(D1621="?OLD","!!!","")</f>
        <v/>
      </c>
      <c r="F1621" s="25" t="str">
        <f aca="false">IF(OR(E1621="",E1621="!!!"),"",IF(NOT(ISNA(VLOOKUP(E1621,E$1:E1620,1,FALSE()))),"OLD",IF(AND(E1621&lt;&gt;"",E1621&lt;&gt;"!!!"),"NEW","")))</f>
        <v/>
      </c>
      <c r="G1621" s="26" t="str">
        <f aca="false">IF(OR(E1621="",E1621="!!!"),"",IF(OR(J1621=0,AND(J1621=1,K1621=1),AND(J1621=1,I1621="SBJ"),AND(J1621=1,I1621=0)),"?IN_FOCUS",IF(J1621&lt;=2,"?ACTIVATED",IF(J1621&lt;&gt;"","?FAMILIAR",IF(F1621="NEW",IF(ISNA(VLOOKUP(E1621,#REF!,1,FALSE())),"?TYPE_IDENTIFIABLE","?REFERENTIAL"),"_")))))</f>
        <v/>
      </c>
      <c r="H1621" s="27" t="str">
        <f aca="false">IF(J1621&lt;&gt;1,"",IF(I1621="SBJ","CB","?"))</f>
        <v/>
      </c>
      <c r="I1621" s="24" t="str">
        <f aca="false">IF(OR(E1621="",E1621="!!!",F1621="NEW"),"",INDEX(B8:B$1614,-1+SUMPRODUCT(MAX(ROW(E8:E$1614)*(E1621=E8:E$1614)))))</f>
        <v/>
      </c>
      <c r="J1621" s="24" t="str">
        <f aca="true">IF(OR(E1621="",E1621="!!!",F1621="NEW"),"",COUNTBLANK(OFFSET(A$1,,,SUMPRODUCT(MAX(ROW(E$2:E1621)*(E1621=E$2:E1621)))))-COUNTBLANK(OFFSET(A$1,,,SUMPRODUCT(MAX(ROW(E$1:E1620)*(E2=E$1:E1620))))))</f>
        <v/>
      </c>
      <c r="K1621" s="24" t="str">
        <f aca="false">IF(OR(E1621="",E1621="!!!",F1621="NEW"),"",INDEX(J$1:J1620,SUMPRODUCT(MAX(ROW(E$1:E1620)*(E1621=E$1:E1620)))))</f>
        <v/>
      </c>
      <c r="L1621" s="31"/>
    </row>
    <row r="1622" customFormat="false" ht="15" hidden="false" customHeight="false" outlineLevel="0" collapsed="false">
      <c r="A1622" s="20" t="s">
        <v>1085</v>
      </c>
      <c r="E1622" s="23" t="str">
        <f aca="false">IF(D1622="?OLD","!!!","")</f>
        <v/>
      </c>
      <c r="F1622" s="25" t="str">
        <f aca="false">IF(OR(E1622="",E1622="!!!"),"",IF(NOT(ISNA(VLOOKUP(E1622,E$1:E1621,1,FALSE()))),"OLD",IF(AND(E1622&lt;&gt;"",E1622&lt;&gt;"!!!"),"NEW","")))</f>
        <v/>
      </c>
      <c r="G1622" s="26" t="str">
        <f aca="false">IF(OR(E1622="",E1622="!!!"),"",IF(OR(J1622=0,AND(J1622=1,K1622=1),AND(J1622=1,I1622="SBJ"),AND(J1622=1,I1622=0)),"?IN_FOCUS",IF(J1622&lt;=2,"?ACTIVATED",IF(J1622&lt;&gt;"","?FAMILIAR",IF(F1622="NEW",IF(ISNA(VLOOKUP(E1622,#REF!,1,FALSE())),"?TYPE_IDENTIFIABLE","?REFERENTIAL"),"_")))))</f>
        <v/>
      </c>
      <c r="H1622" s="27" t="str">
        <f aca="false">IF(J1622&lt;&gt;1,"",IF(I1622="SBJ","CB","?"))</f>
        <v/>
      </c>
      <c r="I1622" s="24" t="str">
        <f aca="false">IF(OR(E1622="",E1622="!!!",F1622="NEW"),"",INDEX(B9:B$1614,-1+SUMPRODUCT(MAX(ROW(E9:E$1614)*(E1622=E9:E$1614)))))</f>
        <v/>
      </c>
      <c r="J1622" s="24" t="str">
        <f aca="true">IF(OR(E1622="",E1622="!!!",F1622="NEW"),"",COUNTBLANK(OFFSET(A$1,,,SUMPRODUCT(MAX(ROW(E$2:E1622)*(E1622=E$2:E1622)))))-COUNTBLANK(OFFSET(A$1,,,SUMPRODUCT(MAX(ROW(E$1:E1621)*(E2=E$1:E1621))))))</f>
        <v/>
      </c>
      <c r="K1622" s="24" t="str">
        <f aca="false">IF(OR(E1622="",E1622="!!!",F1622="NEW"),"",INDEX(J$1:J1621,SUMPRODUCT(MAX(ROW(E$1:E1621)*(E1622=E$1:E1621)))))</f>
        <v/>
      </c>
      <c r="L1622" s="31"/>
    </row>
    <row r="1623" customFormat="false" ht="15" hidden="false" customHeight="false" outlineLevel="0" collapsed="false">
      <c r="A1623" s="20" t="s">
        <v>1728</v>
      </c>
      <c r="B1623" s="22" t="s">
        <v>1105</v>
      </c>
      <c r="C1623" s="22" t="s">
        <v>1087</v>
      </c>
      <c r="E1623" s="23" t="str">
        <f aca="false">IF(D1623="?OLD","!!!","")</f>
        <v/>
      </c>
      <c r="F1623" s="25" t="str">
        <f aca="false">IF(OR(E1623="",E1623="!!!"),"",IF(NOT(ISNA(VLOOKUP(E1623,E$1:E1622,1,FALSE()))),"OLD",IF(AND(E1623&lt;&gt;"",E1623&lt;&gt;"!!!"),"NEW","")))</f>
        <v/>
      </c>
      <c r="G1623" s="26" t="str">
        <f aca="false">IF(OR(E1623="",E1623="!!!"),"",IF(OR(J1623=0,AND(J1623=1,K1623=1),AND(J1623=1,I1623="SBJ"),AND(J1623=1,I1623=0)),"?IN_FOCUS",IF(J1623&lt;=2,"?ACTIVATED",IF(J1623&lt;&gt;"","?FAMILIAR",IF(F1623="NEW",IF(ISNA(VLOOKUP(E1623,#REF!,1,FALSE())),"?TYPE_IDENTIFIABLE","?REFERENTIAL"),"_")))))</f>
        <v/>
      </c>
      <c r="H1623" s="27" t="str">
        <f aca="false">IF(J1623&lt;&gt;1,"",IF(I1623="SBJ","CB","?"))</f>
        <v/>
      </c>
      <c r="I1623" s="24" t="str">
        <f aca="false">IF(OR(E1623="",E1623="!!!",F1623="NEW"),"",INDEX(B10:B$1614,-1+SUMPRODUCT(MAX(ROW(E10:E$1614)*(E1623=E10:E$1614)))))</f>
        <v/>
      </c>
      <c r="J1623" s="24" t="str">
        <f aca="true">IF(OR(E1623="",E1623="!!!",F1623="NEW"),"",COUNTBLANK(OFFSET(A$1,,,SUMPRODUCT(MAX(ROW(E$2:E1623)*(E1623=E$2:E1623)))))-COUNTBLANK(OFFSET(A$1,,,SUMPRODUCT(MAX(ROW(E$1:E1622)*(E2=E$1:E1622))))))</f>
        <v/>
      </c>
      <c r="K1623" s="24" t="str">
        <f aca="false">IF(OR(E1623="",E1623="!!!",F1623="NEW"),"",INDEX(J$1:J1622,SUMPRODUCT(MAX(ROW(E$1:E1622)*(E1623=E$1:E1622)))))</f>
        <v/>
      </c>
      <c r="L1623" s="31"/>
    </row>
    <row r="1624" customFormat="false" ht="15" hidden="false" customHeight="false" outlineLevel="0" collapsed="false">
      <c r="A1624" s="20" t="s">
        <v>1064</v>
      </c>
      <c r="E1624" s="23" t="str">
        <f aca="false">IF(D1624="?OLD","!!!","")</f>
        <v/>
      </c>
      <c r="F1624" s="25" t="str">
        <f aca="false">IF(OR(E1624="",E1624="!!!"),"",IF(NOT(ISNA(VLOOKUP(E1624,E$1:E1623,1,FALSE()))),"OLD",IF(AND(E1624&lt;&gt;"",E1624&lt;&gt;"!!!"),"NEW","")))</f>
        <v/>
      </c>
      <c r="G1624" s="26" t="str">
        <f aca="false">IF(OR(E1624="",E1624="!!!"),"",IF(OR(J1624=0,AND(J1624=1,K1624=1),AND(J1624=1,I1624="SBJ"),AND(J1624=1,I1624=0)),"?IN_FOCUS",IF(J1624&lt;=2,"?ACTIVATED",IF(J1624&lt;&gt;"","?FAMILIAR",IF(F1624="NEW",IF(ISNA(VLOOKUP(E1624,#REF!,1,FALSE())),"?TYPE_IDENTIFIABLE","?REFERENTIAL"),"_")))))</f>
        <v/>
      </c>
      <c r="H1624" s="27" t="str">
        <f aca="false">IF(J1624&lt;&gt;1,"",IF(I1624="SBJ","CB","?"))</f>
        <v/>
      </c>
      <c r="I1624" s="24" t="str">
        <f aca="false">IF(OR(E1624="",E1624="!!!",F1624="NEW"),"",INDEX(B11:B$1614,-1+SUMPRODUCT(MAX(ROW(E11:E$1614)*(E1624=E11:E$1614)))))</f>
        <v/>
      </c>
      <c r="J1624" s="24" t="str">
        <f aca="true">IF(OR(E1624="",E1624="!!!",F1624="NEW"),"",COUNTBLANK(OFFSET(A$1,,,SUMPRODUCT(MAX(ROW(E$2:E1624)*(E1624=E$2:E1624)))))-COUNTBLANK(OFFSET(A$1,,,SUMPRODUCT(MAX(ROW(E$1:E1623)*(E2=E$1:E1623))))))</f>
        <v/>
      </c>
      <c r="K1624" s="24" t="str">
        <f aca="false">IF(OR(E1624="",E1624="!!!",F1624="NEW"),"",INDEX(J$1:J1623,SUMPRODUCT(MAX(ROW(E$1:E1623)*(E1624=E$1:E1623)))))</f>
        <v/>
      </c>
      <c r="L1624" s="31"/>
    </row>
    <row r="1625" customFormat="false" ht="15" hidden="false" customHeight="false" outlineLevel="0" collapsed="false">
      <c r="A1625" s="20" t="s">
        <v>1399</v>
      </c>
      <c r="E1625" s="23" t="str">
        <f aca="false">IF(D1625="?OLD","!!!","")</f>
        <v/>
      </c>
      <c r="F1625" s="25" t="str">
        <f aca="false">IF(OR(E1625="",E1625="!!!"),"",IF(NOT(ISNA(VLOOKUP(E1625,E$1:E1624,1,FALSE()))),"OLD",IF(AND(E1625&lt;&gt;"",E1625&lt;&gt;"!!!"),"NEW","")))</f>
        <v/>
      </c>
      <c r="G1625" s="26" t="str">
        <f aca="false">IF(OR(E1625="",E1625="!!!"),"",IF(OR(J1625=0,AND(J1625=1,K1625=1),AND(J1625=1,I1625="SBJ"),AND(J1625=1,I1625=0)),"?IN_FOCUS",IF(J1625&lt;=2,"?ACTIVATED",IF(J1625&lt;&gt;"","?FAMILIAR",IF(F1625="NEW",IF(ISNA(VLOOKUP(E1625,#REF!,1,FALSE())),"?TYPE_IDENTIFIABLE","?REFERENTIAL"),"_")))))</f>
        <v/>
      </c>
      <c r="H1625" s="27" t="str">
        <f aca="false">IF(J1625&lt;&gt;1,"",IF(I1625="SBJ","CB","?"))</f>
        <v/>
      </c>
      <c r="I1625" s="24" t="str">
        <f aca="false">IF(OR(E1625="",E1625="!!!",F1625="NEW"),"",INDEX(B12:B$1614,-1+SUMPRODUCT(MAX(ROW(E12:E$1614)*(E1625=E12:E$1614)))))</f>
        <v/>
      </c>
      <c r="J1625" s="24" t="str">
        <f aca="true">IF(OR(E1625="",E1625="!!!",F1625="NEW"),"",COUNTBLANK(OFFSET(A$1,,,SUMPRODUCT(MAX(ROW(E$2:E1625)*(E1625=E$2:E1625)))))-COUNTBLANK(OFFSET(A$1,,,SUMPRODUCT(MAX(ROW(E$1:E1624)*(E2=E$1:E1624))))))</f>
        <v/>
      </c>
      <c r="K1625" s="24" t="str">
        <f aca="false">IF(OR(E1625="",E1625="!!!",F1625="NEW"),"",INDEX(J$1:J1624,SUMPRODUCT(MAX(ROW(E$1:E1624)*(E1625=E$1:E1624)))))</f>
        <v/>
      </c>
      <c r="L1625" s="31"/>
    </row>
    <row r="1626" customFormat="false" ht="15" hidden="false" customHeight="false" outlineLevel="0" collapsed="false">
      <c r="A1626" s="20" t="s">
        <v>1729</v>
      </c>
      <c r="B1626" s="22" t="s">
        <v>1073</v>
      </c>
      <c r="C1626" s="22" t="s">
        <v>1087</v>
      </c>
      <c r="E1626" s="23" t="str">
        <f aca="false">IF(D1626="?OLD","!!!","")</f>
        <v/>
      </c>
      <c r="F1626" s="25" t="str">
        <f aca="false">IF(OR(E1626="",E1626="!!!"),"",IF(NOT(ISNA(VLOOKUP(E1626,E$1:E1625,1,FALSE()))),"OLD",IF(AND(E1626&lt;&gt;"",E1626&lt;&gt;"!!!"),"NEW","")))</f>
        <v/>
      </c>
      <c r="G1626" s="26" t="str">
        <f aca="false">IF(OR(E1626="",E1626="!!!"),"",IF(OR(J1626=0,AND(J1626=1,K1626=1),AND(J1626=1,I1626="SBJ"),AND(J1626=1,I1626=0)),"?IN_FOCUS",IF(J1626&lt;=2,"?ACTIVATED",IF(J1626&lt;&gt;"","?FAMILIAR",IF(F1626="NEW",IF(ISNA(VLOOKUP(E1626,#REF!,1,FALSE())),"?TYPE_IDENTIFIABLE","?REFERENTIAL"),"_")))))</f>
        <v/>
      </c>
      <c r="H1626" s="27" t="str">
        <f aca="false">IF(J1626&lt;&gt;1,"",IF(I1626="SBJ","CB","?"))</f>
        <v/>
      </c>
      <c r="I1626" s="24" t="str">
        <f aca="false">IF(OR(E1626="",E1626="!!!",F1626="NEW"),"",INDEX(B13:B$1614,-1+SUMPRODUCT(MAX(ROW(E13:E$1614)*(E1626=E13:E$1614)))))</f>
        <v/>
      </c>
      <c r="J1626" s="24" t="str">
        <f aca="true">IF(OR(E1626="",E1626="!!!",F1626="NEW"),"",COUNTBLANK(OFFSET(A$1,,,SUMPRODUCT(MAX(ROW(E$2:E1626)*(E1626=E$2:E1626)))))-COUNTBLANK(OFFSET(A$1,,,SUMPRODUCT(MAX(ROW(E$1:E1625)*(E2=E$1:E1625))))))</f>
        <v/>
      </c>
      <c r="K1626" s="24" t="str">
        <f aca="false">IF(OR(E1626="",E1626="!!!",F1626="NEW"),"",INDEX(J$1:J1625,SUMPRODUCT(MAX(ROW(E$1:E1625)*(E1626=E$1:E1625)))))</f>
        <v/>
      </c>
      <c r="L1626" s="31"/>
    </row>
    <row r="1627" customFormat="false" ht="15" hidden="false" customHeight="false" outlineLevel="0" collapsed="false">
      <c r="A1627" s="20" t="s">
        <v>1109</v>
      </c>
      <c r="E1627" s="23" t="str">
        <f aca="false">IF(D1627="?OLD","!!!","")</f>
        <v/>
      </c>
      <c r="F1627" s="25" t="str">
        <f aca="false">IF(OR(E1627="",E1627="!!!"),"",IF(NOT(ISNA(VLOOKUP(E1627,E$1:E1626,1,FALSE()))),"OLD",IF(AND(E1627&lt;&gt;"",E1627&lt;&gt;"!!!"),"NEW","")))</f>
        <v/>
      </c>
      <c r="G1627" s="26" t="str">
        <f aca="false">IF(OR(E1627="",E1627="!!!"),"",IF(OR(J1627=0,AND(J1627=1,K1627=1),AND(J1627=1,I1627="SBJ"),AND(J1627=1,I1627=0)),"?IN_FOCUS",IF(J1627&lt;=2,"?ACTIVATED",IF(J1627&lt;&gt;"","?FAMILIAR",IF(F1627="NEW",IF(ISNA(VLOOKUP(E1627,#REF!,1,FALSE())),"?TYPE_IDENTIFIABLE","?REFERENTIAL"),"_")))))</f>
        <v/>
      </c>
      <c r="H1627" s="27" t="str">
        <f aca="false">IF(J1627&lt;&gt;1,"",IF(I1627="SBJ","CB","?"))</f>
        <v/>
      </c>
      <c r="I1627" s="24" t="str">
        <f aca="false">IF(OR(E1627="",E1627="!!!",F1627="NEW"),"",INDEX(B14:B$1614,-1+SUMPRODUCT(MAX(ROW(E14:E$1614)*(E1627=E14:E$1614)))))</f>
        <v/>
      </c>
      <c r="J1627" s="24" t="str">
        <f aca="true">IF(OR(E1627="",E1627="!!!",F1627="NEW"),"",COUNTBLANK(OFFSET(A$1,,,SUMPRODUCT(MAX(ROW(E$2:E1627)*(E1627=E$2:E1627)))))-COUNTBLANK(OFFSET(A$1,,,SUMPRODUCT(MAX(ROW(E$1:E1626)*(E2=E$1:E1626))))))</f>
        <v/>
      </c>
      <c r="K1627" s="24" t="str">
        <f aca="false">IF(OR(E1627="",E1627="!!!",F1627="NEW"),"",INDEX(J$1:J1626,SUMPRODUCT(MAX(ROW(E$1:E1626)*(E1627=E$1:E1626)))))</f>
        <v/>
      </c>
      <c r="L1627" s="31"/>
    </row>
    <row r="1628" customFormat="false" ht="15" hidden="false" customHeight="false" outlineLevel="0" collapsed="false">
      <c r="A1628" s="20" t="s">
        <v>1458</v>
      </c>
      <c r="B1628" s="22" t="s">
        <v>1058</v>
      </c>
      <c r="C1628" s="22" t="s">
        <v>1150</v>
      </c>
      <c r="D1628" s="22" t="s">
        <v>1060</v>
      </c>
      <c r="E1628" s="23" t="str">
        <f aca="false">IF(D1628="?OLD","!!!","")</f>
        <v>!!!</v>
      </c>
      <c r="F1628" s="25" t="str">
        <f aca="false">IF(OR(E1628="",E1628="!!!"),"",IF(NOT(ISNA(VLOOKUP(E1628,E$1:E1627,1,FALSE()))),"OLD",IF(AND(E1628&lt;&gt;"",E1628&lt;&gt;"!!!"),"NEW","")))</f>
        <v/>
      </c>
      <c r="G1628" s="26" t="str">
        <f aca="false">IF(OR(E1628="",E1628="!!!"),"",IF(OR(J1628=0,AND(J1628=1,K1628=1),AND(J1628=1,I1628="SBJ"),AND(J1628=1,I1628=0)),"?IN_FOCUS",IF(J1628&lt;=2,"?ACTIVATED",IF(J1628&lt;&gt;"","?FAMILIAR",IF(F1628="NEW",IF(ISNA(VLOOKUP(E1628,#REF!,1,FALSE())),"?TYPE_IDENTIFIABLE","?REFERENTIAL"),"_")))))</f>
        <v/>
      </c>
      <c r="H1628" s="27" t="str">
        <f aca="false">IF(J1628&lt;&gt;1,"",IF(I1628="SBJ","CB","?"))</f>
        <v/>
      </c>
      <c r="I1628" s="24" t="str">
        <f aca="false">IF(OR(E1628="",E1628="!!!",F1628="NEW"),"",INDEX(B15:B$1614,-1+SUMPRODUCT(MAX(ROW(E15:E$1614)*(E1628=E15:E$1614)))))</f>
        <v/>
      </c>
      <c r="J1628" s="24" t="str">
        <f aca="true">IF(OR(E1628="",E1628="!!!",F1628="NEW"),"",COUNTBLANK(OFFSET(A$1,,,SUMPRODUCT(MAX(ROW(E$2:E1628)*(E1628=E$2:E1628)))))-COUNTBLANK(OFFSET(A$1,,,SUMPRODUCT(MAX(ROW(E$1:E1627)*(E2=E$1:E1627))))))</f>
        <v/>
      </c>
      <c r="K1628" s="24" t="str">
        <f aca="false">IF(OR(E1628="",E1628="!!!",F1628="NEW"),"",INDEX(J$1:J1627,SUMPRODUCT(MAX(ROW(E$1:E1627)*(E1628=E$1:E1627)))))</f>
        <v/>
      </c>
      <c r="L1628" s="31"/>
    </row>
    <row r="1629" customFormat="false" ht="15" hidden="false" customHeight="false" outlineLevel="0" collapsed="false">
      <c r="A1629" s="20" t="s">
        <v>1393</v>
      </c>
      <c r="E1629" s="23" t="str">
        <f aca="false">IF(D1629="?OLD","!!!","")</f>
        <v/>
      </c>
      <c r="F1629" s="25" t="str">
        <f aca="false">IF(OR(E1629="",E1629="!!!"),"",IF(NOT(ISNA(VLOOKUP(E1629,E$1:E1628,1,FALSE()))),"OLD",IF(AND(E1629&lt;&gt;"",E1629&lt;&gt;"!!!"),"NEW","")))</f>
        <v/>
      </c>
      <c r="G1629" s="26" t="str">
        <f aca="false">IF(OR(E1629="",E1629="!!!"),"",IF(OR(J1629=0,AND(J1629=1,K1629=1),AND(J1629=1,I1629="SBJ"),AND(J1629=1,I1629=0)),"?IN_FOCUS",IF(J1629&lt;=2,"?ACTIVATED",IF(J1629&lt;&gt;"","?FAMILIAR",IF(F1629="NEW",IF(ISNA(VLOOKUP(E1629,#REF!,1,FALSE())),"?TYPE_IDENTIFIABLE","?REFERENTIAL"),"_")))))</f>
        <v/>
      </c>
      <c r="H1629" s="27" t="str">
        <f aca="false">IF(J1629&lt;&gt;1,"",IF(I1629="SBJ","CB","?"))</f>
        <v/>
      </c>
      <c r="I1629" s="24" t="str">
        <f aca="false">IF(OR(E1629="",E1629="!!!",F1629="NEW"),"",INDEX(B16:B$1614,-1+SUMPRODUCT(MAX(ROW(E16:E$1614)*(E1629=E16:E$1614)))))</f>
        <v/>
      </c>
      <c r="J1629" s="24" t="str">
        <f aca="true">IF(OR(E1629="",E1629="!!!",F1629="NEW"),"",COUNTBLANK(OFFSET(A$1,,,SUMPRODUCT(MAX(ROW(E$2:E1629)*(E1629=E$2:E1629)))))-COUNTBLANK(OFFSET(A$1,,,SUMPRODUCT(MAX(ROW(E$1:E1628)*(E2=E$1:E1628))))))</f>
        <v/>
      </c>
      <c r="K1629" s="24" t="str">
        <f aca="false">IF(OR(E1629="",E1629="!!!",F1629="NEW"),"",INDEX(J$1:J1628,SUMPRODUCT(MAX(ROW(E$1:E1628)*(E1629=E$1:E1628)))))</f>
        <v/>
      </c>
      <c r="L1629" s="31"/>
    </row>
    <row r="1630" customFormat="false" ht="15" hidden="false" customHeight="false" outlineLevel="0" collapsed="false">
      <c r="A1630" s="20" t="s">
        <v>185</v>
      </c>
      <c r="E1630" s="23" t="str">
        <f aca="false">IF(D1630="?OLD","!!!","")</f>
        <v/>
      </c>
      <c r="F1630" s="25" t="str">
        <f aca="false">IF(OR(E1630="",E1630="!!!"),"",IF(NOT(ISNA(VLOOKUP(E1630,E$1:E1629,1,FALSE()))),"OLD",IF(AND(E1630&lt;&gt;"",E1630&lt;&gt;"!!!"),"NEW","")))</f>
        <v/>
      </c>
      <c r="G1630" s="26" t="str">
        <f aca="false">IF(OR(E1630="",E1630="!!!"),"",IF(OR(J1630=0,AND(J1630=1,K1630=1),AND(J1630=1,I1630="SBJ"),AND(J1630=1,I1630=0)),"?IN_FOCUS",IF(J1630&lt;=2,"?ACTIVATED",IF(J1630&lt;&gt;"","?FAMILIAR",IF(F1630="NEW",IF(ISNA(VLOOKUP(E1630,#REF!,1,FALSE())),"?TYPE_IDENTIFIABLE","?REFERENTIAL"),"_")))))</f>
        <v/>
      </c>
      <c r="H1630" s="27" t="str">
        <f aca="false">IF(J1630&lt;&gt;1,"",IF(I1630="SBJ","CB","?"))</f>
        <v/>
      </c>
      <c r="I1630" s="24" t="str">
        <f aca="false">IF(OR(E1630="",E1630="!!!",F1630="NEW"),"",INDEX(B17:B$1614,-1+SUMPRODUCT(MAX(ROW(E17:E$1614)*(E1630=E17:E$1614)))))</f>
        <v/>
      </c>
      <c r="J1630" s="24" t="str">
        <f aca="true">IF(OR(E1630="",E1630="!!!",F1630="NEW"),"",COUNTBLANK(OFFSET(A$1,,,SUMPRODUCT(MAX(ROW(E$2:E1630)*(E1630=E$2:E1630)))))-COUNTBLANK(OFFSET(A$1,,,SUMPRODUCT(MAX(ROW(E$1:E1629)*(E2=E$1:E1629))))))</f>
        <v/>
      </c>
      <c r="K1630" s="24" t="str">
        <f aca="false">IF(OR(E1630="",E1630="!!!",F1630="NEW"),"",INDEX(J$1:J1629,SUMPRODUCT(MAX(ROW(E$1:E1629)*(E1630=E$1:E1629)))))</f>
        <v/>
      </c>
      <c r="L1630" s="31"/>
    </row>
    <row r="1631" customFormat="false" ht="15" hidden="false" customHeight="false" outlineLevel="0" collapsed="false">
      <c r="A1631" s="20" t="s">
        <v>1688</v>
      </c>
      <c r="E1631" s="23" t="str">
        <f aca="false">IF(D1631="?OLD","!!!","")</f>
        <v/>
      </c>
      <c r="F1631" s="25" t="str">
        <f aca="false">IF(OR(E1631="",E1631="!!!"),"",IF(NOT(ISNA(VLOOKUP(E1631,E$1:E1630,1,FALSE()))),"OLD",IF(AND(E1631&lt;&gt;"",E1631&lt;&gt;"!!!"),"NEW","")))</f>
        <v/>
      </c>
      <c r="G1631" s="26" t="str">
        <f aca="false">IF(OR(E1631="",E1631="!!!"),"",IF(OR(J1631=0,AND(J1631=1,K1631=1),AND(J1631=1,I1631="SBJ"),AND(J1631=1,I1631=0)),"?IN_FOCUS",IF(J1631&lt;=2,"?ACTIVATED",IF(J1631&lt;&gt;"","?FAMILIAR",IF(F1631="NEW",IF(ISNA(VLOOKUP(E1631,#REF!,1,FALSE())),"?TYPE_IDENTIFIABLE","?REFERENTIAL"),"_")))))</f>
        <v/>
      </c>
      <c r="H1631" s="27" t="str">
        <f aca="false">IF(J1631&lt;&gt;1,"",IF(I1631="SBJ","CB","?"))</f>
        <v/>
      </c>
      <c r="I1631" s="24" t="str">
        <f aca="false">IF(OR(E1631="",E1631="!!!",F1631="NEW"),"",INDEX(B18:B$1614,-1+SUMPRODUCT(MAX(ROW(E18:E$1614)*(E1631=E18:E$1614)))))</f>
        <v/>
      </c>
      <c r="J1631" s="24" t="str">
        <f aca="true">IF(OR(E1631="",E1631="!!!",F1631="NEW"),"",COUNTBLANK(OFFSET(A$1,,,SUMPRODUCT(MAX(ROW(E$2:E1631)*(E1631=E$2:E1631)))))-COUNTBLANK(OFFSET(A$1,,,SUMPRODUCT(MAX(ROW(E$1:E1630)*(E2=E$1:E1630))))))</f>
        <v/>
      </c>
      <c r="K1631" s="24" t="str">
        <f aca="false">IF(OR(E1631="",E1631="!!!",F1631="NEW"),"",INDEX(J$1:J1630,SUMPRODUCT(MAX(ROW(E$1:E1630)*(E1631=E$1:E1630)))))</f>
        <v/>
      </c>
      <c r="L1631" s="31"/>
    </row>
    <row r="1632" customFormat="false" ht="15" hidden="false" customHeight="false" outlineLevel="0" collapsed="false">
      <c r="A1632" s="20" t="s">
        <v>923</v>
      </c>
      <c r="E1632" s="23" t="str">
        <f aca="false">IF(D1632="?OLD","!!!","")</f>
        <v/>
      </c>
      <c r="F1632" s="25" t="str">
        <f aca="false">IF(OR(E1632="",E1632="!!!"),"",IF(NOT(ISNA(VLOOKUP(E1632,E$1:E1631,1,FALSE()))),"OLD",IF(AND(E1632&lt;&gt;"",E1632&lt;&gt;"!!!"),"NEW","")))</f>
        <v/>
      </c>
      <c r="G1632" s="26" t="str">
        <f aca="false">IF(OR(E1632="",E1632="!!!"),"",IF(OR(J1632=0,AND(J1632=1,K1632=1),AND(J1632=1,I1632="SBJ"),AND(J1632=1,I1632=0)),"?IN_FOCUS",IF(J1632&lt;=2,"?ACTIVATED",IF(J1632&lt;&gt;"","?FAMILIAR",IF(F1632="NEW",IF(ISNA(VLOOKUP(E1632,#REF!,1,FALSE())),"?TYPE_IDENTIFIABLE","?REFERENTIAL"),"_")))))</f>
        <v/>
      </c>
      <c r="H1632" s="27" t="str">
        <f aca="false">IF(J1632&lt;&gt;1,"",IF(I1632="SBJ","CB","?"))</f>
        <v/>
      </c>
      <c r="I1632" s="24" t="str">
        <f aca="false">IF(OR(E1632="",E1632="!!!",F1632="NEW"),"",INDEX(B19:B$1614,-1+SUMPRODUCT(MAX(ROW(E19:E$1614)*(E1632=E19:E$1614)))))</f>
        <v/>
      </c>
      <c r="J1632" s="24" t="str">
        <f aca="true">IF(OR(E1632="",E1632="!!!",F1632="NEW"),"",COUNTBLANK(OFFSET(A$1,,,SUMPRODUCT(MAX(ROW(E$2:E1632)*(E1632=E$2:E1632)))))-COUNTBLANK(OFFSET(A$1,,,SUMPRODUCT(MAX(ROW(E$1:E1631)*(E2=E$1:E1631))))))</f>
        <v/>
      </c>
      <c r="K1632" s="24" t="str">
        <f aca="false">IF(OR(E1632="",E1632="!!!",F1632="NEW"),"",INDEX(J$1:J1631,SUMPRODUCT(MAX(ROW(E$1:E1631)*(E1632=E$1:E1631)))))</f>
        <v/>
      </c>
      <c r="L1632" s="31"/>
    </row>
    <row r="1633" customFormat="false" ht="15" hidden="false" customHeight="false" outlineLevel="0" collapsed="false">
      <c r="A1633" s="20"/>
    </row>
    <row r="1634" customFormat="false" ht="15" hidden="false" customHeight="false" outlineLevel="0" collapsed="false">
      <c r="A1634" s="20" t="s">
        <v>1301</v>
      </c>
      <c r="E1634" s="23" t="str">
        <f aca="false">IF(D1634="?OLD","!!!","")</f>
        <v/>
      </c>
      <c r="F1634" s="25" t="str">
        <f aca="false">IF(OR(E1634="",E1634="!!!"),"",IF(NOT(ISNA(VLOOKUP(E1634,E$1:E1633,1,FALSE()))),"OLD",IF(AND(E1634&lt;&gt;"",E1634&lt;&gt;"!!!"),"NEW","")))</f>
        <v/>
      </c>
      <c r="G1634" s="26" t="str">
        <f aca="false">IF(OR(E1634="",E1634="!!!"),"",IF(OR(J1634=0,AND(J1634=1,K1634=1),AND(J1634=1,I1634="SBJ"),AND(J1634=1,I1634=0)),"?IN_FOCUS",IF(J1634&lt;=2,"?ACTIVATED",IF(J1634&lt;&gt;"","?FAMILIAR",IF(F1634="NEW",IF(ISNA(VLOOKUP(E1634,#REF!,1,FALSE())),"?TYPE_IDENTIFIABLE","?REFERENTIAL"),"_")))))</f>
        <v/>
      </c>
      <c r="H1634" s="27" t="str">
        <f aca="false">IF(J1634&lt;&gt;1,"",IF(I1634="SBJ","CB","?"))</f>
        <v/>
      </c>
      <c r="I1634" s="24" t="str">
        <f aca="false">IF(OR(E1634="",E1634="!!!",F1634="NEW"),"",INDEX(B2:B$1633,-1+SUMPRODUCT(MAX(ROW(E2:E$1633)*(E1634=E2:E$1633)))))</f>
        <v/>
      </c>
      <c r="J1634" s="24" t="str">
        <f aca="true">IF(OR(E1634="",E1634="!!!",F1634="NEW"),"",COUNTBLANK(OFFSET(A$1,,,SUMPRODUCT(MAX(ROW(E$2:E1634)*(E1634=E$2:E1634)))))-COUNTBLANK(OFFSET(A$1,,,SUMPRODUCT(MAX(ROW(E$1:E1633)*(E2=E$1:E1633))))))</f>
        <v/>
      </c>
      <c r="K1634" s="24" t="str">
        <f aca="false">IF(OR(E1634="",E1634="!!!",F1634="NEW"),"",INDEX(J$1:J1633,SUMPRODUCT(MAX(ROW(E$1:E1633)*(E1634=E$1:E1633)))))</f>
        <v/>
      </c>
      <c r="L1634" s="31"/>
    </row>
    <row r="1635" customFormat="false" ht="15" hidden="false" customHeight="false" outlineLevel="0" collapsed="false">
      <c r="A1635" s="20" t="s">
        <v>1730</v>
      </c>
    </row>
    <row r="1636" customFormat="false" ht="15" hidden="false" customHeight="false" outlineLevel="0" collapsed="false">
      <c r="A1636" s="20" t="s">
        <v>1731</v>
      </c>
      <c r="E1636" s="23" t="str">
        <f aca="false">IF(D1636="?OLD","!!!","")</f>
        <v/>
      </c>
      <c r="F1636" s="25" t="str">
        <f aca="false">IF(OR(E1636="",E1636="!!!"),"",IF(NOT(ISNA(VLOOKUP(E1636,E$1:E1635,1,FALSE()))),"OLD",IF(AND(E1636&lt;&gt;"",E1636&lt;&gt;"!!!"),"NEW","")))</f>
        <v/>
      </c>
      <c r="G1636" s="26" t="str">
        <f aca="false">IF(OR(E1636="",E1636="!!!"),"",IF(OR(J1636=0,AND(J1636=1,K1636=1),AND(J1636=1,I1636="SBJ"),AND(J1636=1,I1636=0)),"?IN_FOCUS",IF(J1636&lt;=2,"?ACTIVATED",IF(J1636&lt;&gt;"","?FAMILIAR",IF(F1636="NEW",IF(ISNA(VLOOKUP(E1636,#REF!,1,FALSE())),"?TYPE_IDENTIFIABLE","?REFERENTIAL"),"_")))))</f>
        <v/>
      </c>
      <c r="H1636" s="27" t="str">
        <f aca="false">IF(J1636&lt;&gt;1,"",IF(I1636="SBJ","CB","?"))</f>
        <v/>
      </c>
      <c r="I1636" s="24" t="str">
        <f aca="false">IF(OR(E1636="",E1636="!!!",F1636="NEW"),"",INDEX(B2:B$1635,-1+SUMPRODUCT(MAX(ROW(E2:E$1635)*(E1636=E2:E$1635)))))</f>
        <v/>
      </c>
      <c r="J1636" s="24" t="str">
        <f aca="true">IF(OR(E1636="",E1636="!!!",F1636="NEW"),"",COUNTBLANK(OFFSET(A$1,,,SUMPRODUCT(MAX(ROW(E$2:E1636)*(E1636=E$2:E1636)))))-COUNTBLANK(OFFSET(A$1,,,SUMPRODUCT(MAX(ROW(E$1:E1635)*(E2=E$1:E1635))))))</f>
        <v/>
      </c>
      <c r="K1636" s="24" t="str">
        <f aca="false">IF(OR(E1636="",E1636="!!!",F1636="NEW"),"",INDEX(J$1:J1635,SUMPRODUCT(MAX(ROW(E$1:E1635)*(E1636=E$1:E1635)))))</f>
        <v/>
      </c>
      <c r="L1636" s="31"/>
    </row>
    <row r="1637" customFormat="false" ht="15" hidden="false" customHeight="false" outlineLevel="0" collapsed="false">
      <c r="A1637" s="20" t="s">
        <v>1649</v>
      </c>
      <c r="E1637" s="23" t="str">
        <f aca="false">IF(D1637="?OLD","!!!","")</f>
        <v/>
      </c>
      <c r="F1637" s="25" t="str">
        <f aca="false">IF(OR(E1637="",E1637="!!!"),"",IF(NOT(ISNA(VLOOKUP(E1637,E$1:E1636,1,FALSE()))),"OLD",IF(AND(E1637&lt;&gt;"",E1637&lt;&gt;"!!!"),"NEW","")))</f>
        <v/>
      </c>
      <c r="G1637" s="26" t="str">
        <f aca="false">IF(OR(E1637="",E1637="!!!"),"",IF(OR(J1637=0,AND(J1637=1,K1637=1),AND(J1637=1,I1637="SBJ"),AND(J1637=1,I1637=0)),"?IN_FOCUS",IF(J1637&lt;=2,"?ACTIVATED",IF(J1637&lt;&gt;"","?FAMILIAR",IF(F1637="NEW",IF(ISNA(VLOOKUP(E1637,#REF!,1,FALSE())),"?TYPE_IDENTIFIABLE","?REFERENTIAL"),"_")))))</f>
        <v/>
      </c>
      <c r="H1637" s="27" t="str">
        <f aca="false">IF(J1637&lt;&gt;1,"",IF(I1637="SBJ","CB","?"))</f>
        <v/>
      </c>
      <c r="I1637" s="24" t="str">
        <f aca="false">IF(OR(E1637="",E1637="!!!",F1637="NEW"),"",INDEX(B3:B$1635,-1+SUMPRODUCT(MAX(ROW(E3:E$1635)*(E1637=E3:E$1635)))))</f>
        <v/>
      </c>
      <c r="J1637" s="24" t="str">
        <f aca="true">IF(OR(E1637="",E1637="!!!",F1637="NEW"),"",COUNTBLANK(OFFSET(A$1,,,SUMPRODUCT(MAX(ROW(E$2:E1637)*(E1637=E$2:E1637)))))-COUNTBLANK(OFFSET(A$1,,,SUMPRODUCT(MAX(ROW(E$1:E1636)*(E2=E$1:E1636))))))</f>
        <v/>
      </c>
      <c r="K1637" s="24" t="str">
        <f aca="false">IF(OR(E1637="",E1637="!!!",F1637="NEW"),"",INDEX(J$1:J1636,SUMPRODUCT(MAX(ROW(E$1:E1636)*(E1637=E$1:E1636)))))</f>
        <v/>
      </c>
      <c r="L1637" s="31"/>
    </row>
    <row r="1638" customFormat="false" ht="15" hidden="false" customHeight="false" outlineLevel="0" collapsed="false">
      <c r="A1638" s="20" t="s">
        <v>1399</v>
      </c>
      <c r="E1638" s="23" t="str">
        <f aca="false">IF(D1638="?OLD","!!!","")</f>
        <v/>
      </c>
      <c r="F1638" s="25" t="str">
        <f aca="false">IF(OR(E1638="",E1638="!!!"),"",IF(NOT(ISNA(VLOOKUP(E1638,E$1:E1637,1,FALSE()))),"OLD",IF(AND(E1638&lt;&gt;"",E1638&lt;&gt;"!!!"),"NEW","")))</f>
        <v/>
      </c>
      <c r="G1638" s="26" t="str">
        <f aca="false">IF(OR(E1638="",E1638="!!!"),"",IF(OR(J1638=0,AND(J1638=1,K1638=1),AND(J1638=1,I1638="SBJ"),AND(J1638=1,I1638=0)),"?IN_FOCUS",IF(J1638&lt;=2,"?ACTIVATED",IF(J1638&lt;&gt;"","?FAMILIAR",IF(F1638="NEW",IF(ISNA(VLOOKUP(E1638,#REF!,1,FALSE())),"?TYPE_IDENTIFIABLE","?REFERENTIAL"),"_")))))</f>
        <v/>
      </c>
      <c r="H1638" s="27" t="str">
        <f aca="false">IF(J1638&lt;&gt;1,"",IF(I1638="SBJ","CB","?"))</f>
        <v/>
      </c>
      <c r="I1638" s="24" t="str">
        <f aca="false">IF(OR(E1638="",E1638="!!!",F1638="NEW"),"",INDEX(B4:B$1635,-1+SUMPRODUCT(MAX(ROW(E4:E$1635)*(E1638=E4:E$1635)))))</f>
        <v/>
      </c>
      <c r="J1638" s="24" t="str">
        <f aca="true">IF(OR(E1638="",E1638="!!!",F1638="NEW"),"",COUNTBLANK(OFFSET(A$1,,,SUMPRODUCT(MAX(ROW(E$2:E1638)*(E1638=E$2:E1638)))))-COUNTBLANK(OFFSET(A$1,,,SUMPRODUCT(MAX(ROW(E$1:E1637)*(E2=E$1:E1637))))))</f>
        <v/>
      </c>
      <c r="K1638" s="24" t="str">
        <f aca="false">IF(OR(E1638="",E1638="!!!",F1638="NEW"),"",INDEX(J$1:J1637,SUMPRODUCT(MAX(ROW(E$1:E1637)*(E1638=E$1:E1637)))))</f>
        <v/>
      </c>
      <c r="L1638" s="31"/>
    </row>
    <row r="1639" customFormat="false" ht="15" hidden="false" customHeight="false" outlineLevel="0" collapsed="false">
      <c r="A1639" s="20" t="s">
        <v>1729</v>
      </c>
      <c r="B1639" s="22" t="s">
        <v>1105</v>
      </c>
      <c r="C1639" s="22" t="s">
        <v>1087</v>
      </c>
      <c r="E1639" s="23" t="str">
        <f aca="false">IF(D1639="?OLD","!!!","")</f>
        <v/>
      </c>
      <c r="F1639" s="25" t="str">
        <f aca="false">IF(OR(E1639="",E1639="!!!"),"",IF(NOT(ISNA(VLOOKUP(E1639,E$1:E1638,1,FALSE()))),"OLD",IF(AND(E1639&lt;&gt;"",E1639&lt;&gt;"!!!"),"NEW","")))</f>
        <v/>
      </c>
      <c r="G1639" s="26" t="str">
        <f aca="false">IF(OR(E1639="",E1639="!!!"),"",IF(OR(J1639=0,AND(J1639=1,K1639=1),AND(J1639=1,I1639="SBJ"),AND(J1639=1,I1639=0)),"?IN_FOCUS",IF(J1639&lt;=2,"?ACTIVATED",IF(J1639&lt;&gt;"","?FAMILIAR",IF(F1639="NEW",IF(ISNA(VLOOKUP(E1639,#REF!,1,FALSE())),"?TYPE_IDENTIFIABLE","?REFERENTIAL"),"_")))))</f>
        <v/>
      </c>
      <c r="H1639" s="27" t="str">
        <f aca="false">IF(J1639&lt;&gt;1,"",IF(I1639="SBJ","CB","?"))</f>
        <v/>
      </c>
      <c r="I1639" s="24" t="str">
        <f aca="false">IF(OR(E1639="",E1639="!!!",F1639="NEW"),"",INDEX(B5:B$1635,-1+SUMPRODUCT(MAX(ROW(E5:E$1635)*(E1639=E5:E$1635)))))</f>
        <v/>
      </c>
      <c r="J1639" s="24" t="str">
        <f aca="true">IF(OR(E1639="",E1639="!!!",F1639="NEW"),"",COUNTBLANK(OFFSET(A$1,,,SUMPRODUCT(MAX(ROW(E$2:E1639)*(E1639=E$2:E1639)))))-COUNTBLANK(OFFSET(A$1,,,SUMPRODUCT(MAX(ROW(E$1:E1638)*(E2=E$1:E1638))))))</f>
        <v/>
      </c>
      <c r="K1639" s="24" t="str">
        <f aca="false">IF(OR(E1639="",E1639="!!!",F1639="NEW"),"",INDEX(J$1:J1638,SUMPRODUCT(MAX(ROW(E$1:E1638)*(E1639=E$1:E1638)))))</f>
        <v/>
      </c>
      <c r="L1639" s="31"/>
    </row>
    <row r="1640" customFormat="false" ht="15" hidden="false" customHeight="false" outlineLevel="0" collapsed="false">
      <c r="A1640" s="20" t="s">
        <v>1186</v>
      </c>
      <c r="B1640" s="22" t="s">
        <v>1058</v>
      </c>
      <c r="C1640" s="22" t="s">
        <v>1082</v>
      </c>
      <c r="D1640" s="22" t="s">
        <v>1060</v>
      </c>
      <c r="E1640" s="23" t="str">
        <f aca="false">IF(D1640="?OLD","!!!","")</f>
        <v>!!!</v>
      </c>
      <c r="F1640" s="25" t="str">
        <f aca="false">IF(OR(E1640="",E1640="!!!"),"",IF(NOT(ISNA(VLOOKUP(E1640,E$1:E1639,1,FALSE()))),"OLD",IF(AND(E1640&lt;&gt;"",E1640&lt;&gt;"!!!"),"NEW","")))</f>
        <v/>
      </c>
      <c r="G1640" s="26" t="str">
        <f aca="false">IF(OR(E1640="",E1640="!!!"),"",IF(OR(J1640=0,AND(J1640=1,K1640=1),AND(J1640=1,I1640="SBJ"),AND(J1640=1,I1640=0)),"?IN_FOCUS",IF(J1640&lt;=2,"?ACTIVATED",IF(J1640&lt;&gt;"","?FAMILIAR",IF(F1640="NEW",IF(ISNA(VLOOKUP(E1640,#REF!,1,FALSE())),"?TYPE_IDENTIFIABLE","?REFERENTIAL"),"_")))))</f>
        <v/>
      </c>
      <c r="H1640" s="27" t="str">
        <f aca="false">IF(J1640&lt;&gt;1,"",IF(I1640="SBJ","CB","?"))</f>
        <v/>
      </c>
      <c r="I1640" s="24" t="str">
        <f aca="false">IF(OR(E1640="",E1640="!!!",F1640="NEW"),"",INDEX(B6:B$1635,-1+SUMPRODUCT(MAX(ROW(E6:E$1635)*(E1640=E6:E$1635)))))</f>
        <v/>
      </c>
      <c r="J1640" s="24" t="str">
        <f aca="true">IF(OR(E1640="",E1640="!!!",F1640="NEW"),"",COUNTBLANK(OFFSET(A$1,,,SUMPRODUCT(MAX(ROW(E$2:E1640)*(E1640=E$2:E1640)))))-COUNTBLANK(OFFSET(A$1,,,SUMPRODUCT(MAX(ROW(E$1:E1639)*(E2=E$1:E1639))))))</f>
        <v/>
      </c>
      <c r="K1640" s="24" t="str">
        <f aca="false">IF(OR(E1640="",E1640="!!!",F1640="NEW"),"",INDEX(J$1:J1639,SUMPRODUCT(MAX(ROW(E$1:E1639)*(E1640=E$1:E1639)))))</f>
        <v/>
      </c>
      <c r="L1640" s="31"/>
    </row>
    <row r="1641" customFormat="false" ht="15" hidden="false" customHeight="false" outlineLevel="0" collapsed="false">
      <c r="A1641" s="20" t="s">
        <v>1732</v>
      </c>
      <c r="E1641" s="23" t="str">
        <f aca="false">IF(D1641="?OLD","!!!","")</f>
        <v/>
      </c>
      <c r="F1641" s="25" t="str">
        <f aca="false">IF(OR(E1641="",E1641="!!!"),"",IF(NOT(ISNA(VLOOKUP(E1641,E$1:E1640,1,FALSE()))),"OLD",IF(AND(E1641&lt;&gt;"",E1641&lt;&gt;"!!!"),"NEW","")))</f>
        <v/>
      </c>
      <c r="G1641" s="26" t="str">
        <f aca="false">IF(OR(E1641="",E1641="!!!"),"",IF(OR(J1641=0,AND(J1641=1,K1641=1),AND(J1641=1,I1641="SBJ"),AND(J1641=1,I1641=0)),"?IN_FOCUS",IF(J1641&lt;=2,"?ACTIVATED",IF(J1641&lt;&gt;"","?FAMILIAR",IF(F1641="NEW",IF(ISNA(VLOOKUP(E1641,#REF!,1,FALSE())),"?TYPE_IDENTIFIABLE","?REFERENTIAL"),"_")))))</f>
        <v/>
      </c>
      <c r="H1641" s="27" t="str">
        <f aca="false">IF(J1641&lt;&gt;1,"",IF(I1641="SBJ","CB","?"))</f>
        <v/>
      </c>
      <c r="I1641" s="24" t="str">
        <f aca="false">IF(OR(E1641="",E1641="!!!",F1641="NEW"),"",INDEX(B7:B$1635,-1+SUMPRODUCT(MAX(ROW(E7:E$1635)*(E1641=E7:E$1635)))))</f>
        <v/>
      </c>
      <c r="J1641" s="24" t="str">
        <f aca="true">IF(OR(E1641="",E1641="!!!",F1641="NEW"),"",COUNTBLANK(OFFSET(A$1,,,SUMPRODUCT(MAX(ROW(E$2:E1641)*(E1641=E$2:E1641)))))-COUNTBLANK(OFFSET(A$1,,,SUMPRODUCT(MAX(ROW(E$1:E1640)*(E2=E$1:E1640))))))</f>
        <v/>
      </c>
      <c r="K1641" s="24" t="str">
        <f aca="false">IF(OR(E1641="",E1641="!!!",F1641="NEW"),"",INDEX(J$1:J1640,SUMPRODUCT(MAX(ROW(E$1:E1640)*(E1641=E$1:E1640)))))</f>
        <v/>
      </c>
      <c r="L1641" s="31"/>
    </row>
    <row r="1642" customFormat="false" ht="15" hidden="false" customHeight="false" outlineLevel="0" collapsed="false">
      <c r="A1642" s="20" t="s">
        <v>1452</v>
      </c>
      <c r="E1642" s="23" t="str">
        <f aca="false">IF(D1642="?OLD","!!!","")</f>
        <v/>
      </c>
      <c r="F1642" s="25" t="str">
        <f aca="false">IF(OR(E1642="",E1642="!!!"),"",IF(NOT(ISNA(VLOOKUP(E1642,E$1:E1641,1,FALSE()))),"OLD",IF(AND(E1642&lt;&gt;"",E1642&lt;&gt;"!!!"),"NEW","")))</f>
        <v/>
      </c>
      <c r="G1642" s="26" t="str">
        <f aca="false">IF(OR(E1642="",E1642="!!!"),"",IF(OR(J1642=0,AND(J1642=1,K1642=1),AND(J1642=1,I1642="SBJ"),AND(J1642=1,I1642=0)),"?IN_FOCUS",IF(J1642&lt;=2,"?ACTIVATED",IF(J1642&lt;&gt;"","?FAMILIAR",IF(F1642="NEW",IF(ISNA(VLOOKUP(E1642,#REF!,1,FALSE())),"?TYPE_IDENTIFIABLE","?REFERENTIAL"),"_")))))</f>
        <v/>
      </c>
      <c r="H1642" s="27" t="str">
        <f aca="false">IF(J1642&lt;&gt;1,"",IF(I1642="SBJ","CB","?"))</f>
        <v/>
      </c>
      <c r="I1642" s="24" t="str">
        <f aca="false">IF(OR(E1642="",E1642="!!!",F1642="NEW"),"",INDEX(B8:B$1635,-1+SUMPRODUCT(MAX(ROW(E8:E$1635)*(E1642=E8:E$1635)))))</f>
        <v/>
      </c>
      <c r="J1642" s="24" t="str">
        <f aca="true">IF(OR(E1642="",E1642="!!!",F1642="NEW"),"",COUNTBLANK(OFFSET(A$1,,,SUMPRODUCT(MAX(ROW(E$2:E1642)*(E1642=E$2:E1642)))))-COUNTBLANK(OFFSET(A$1,,,SUMPRODUCT(MAX(ROW(E$1:E1641)*(E2=E$1:E1641))))))</f>
        <v/>
      </c>
      <c r="K1642" s="24" t="str">
        <f aca="false">IF(OR(E1642="",E1642="!!!",F1642="NEW"),"",INDEX(J$1:J1641,SUMPRODUCT(MAX(ROW(E$1:E1641)*(E1642=E$1:E1641)))))</f>
        <v/>
      </c>
      <c r="L1642" s="31"/>
    </row>
    <row r="1643" customFormat="false" ht="15" hidden="false" customHeight="false" outlineLevel="0" collapsed="false">
      <c r="A1643" s="20" t="s">
        <v>185</v>
      </c>
      <c r="E1643" s="23" t="str">
        <f aca="false">IF(D1643="?OLD","!!!","")</f>
        <v/>
      </c>
      <c r="F1643" s="25" t="str">
        <f aca="false">IF(OR(E1643="",E1643="!!!"),"",IF(NOT(ISNA(VLOOKUP(E1643,E$1:E1642,1,FALSE()))),"OLD",IF(AND(E1643&lt;&gt;"",E1643&lt;&gt;"!!!"),"NEW","")))</f>
        <v/>
      </c>
      <c r="G1643" s="26" t="str">
        <f aca="false">IF(OR(E1643="",E1643="!!!"),"",IF(OR(J1643=0,AND(J1643=1,K1643=1),AND(J1643=1,I1643="SBJ"),AND(J1643=1,I1643=0)),"?IN_FOCUS",IF(J1643&lt;=2,"?ACTIVATED",IF(J1643&lt;&gt;"","?FAMILIAR",IF(F1643="NEW",IF(ISNA(VLOOKUP(E1643,#REF!,1,FALSE())),"?TYPE_IDENTIFIABLE","?REFERENTIAL"),"_")))))</f>
        <v/>
      </c>
      <c r="H1643" s="27" t="str">
        <f aca="false">IF(J1643&lt;&gt;1,"",IF(I1643="SBJ","CB","?"))</f>
        <v/>
      </c>
      <c r="I1643" s="24" t="str">
        <f aca="false">IF(OR(E1643="",E1643="!!!",F1643="NEW"),"",INDEX(B9:B$1635,-1+SUMPRODUCT(MAX(ROW(E9:E$1635)*(E1643=E9:E$1635)))))</f>
        <v/>
      </c>
      <c r="J1643" s="24" t="str">
        <f aca="true">IF(OR(E1643="",E1643="!!!",F1643="NEW"),"",COUNTBLANK(OFFSET(A$1,,,SUMPRODUCT(MAX(ROW(E$2:E1643)*(E1643=E$2:E1643)))))-COUNTBLANK(OFFSET(A$1,,,SUMPRODUCT(MAX(ROW(E$1:E1642)*(E2=E$1:E1642))))))</f>
        <v/>
      </c>
      <c r="K1643" s="24" t="str">
        <f aca="false">IF(OR(E1643="",E1643="!!!",F1643="NEW"),"",INDEX(J$1:J1642,SUMPRODUCT(MAX(ROW(E$1:E1642)*(E1643=E$1:E1642)))))</f>
        <v/>
      </c>
      <c r="L1643" s="31"/>
    </row>
    <row r="1644" customFormat="false" ht="15" hidden="false" customHeight="false" outlineLevel="0" collapsed="false">
      <c r="A1644" s="20" t="s">
        <v>1733</v>
      </c>
      <c r="E1644" s="23" t="str">
        <f aca="false">IF(D1644="?OLD","!!!","")</f>
        <v/>
      </c>
      <c r="F1644" s="25" t="str">
        <f aca="false">IF(OR(E1644="",E1644="!!!"),"",IF(NOT(ISNA(VLOOKUP(E1644,E$1:E1643,1,FALSE()))),"OLD",IF(AND(E1644&lt;&gt;"",E1644&lt;&gt;"!!!"),"NEW","")))</f>
        <v/>
      </c>
      <c r="G1644" s="26" t="str">
        <f aca="false">IF(OR(E1644="",E1644="!!!"),"",IF(OR(J1644=0,AND(J1644=1,K1644=1),AND(J1644=1,I1644="SBJ"),AND(J1644=1,I1644=0)),"?IN_FOCUS",IF(J1644&lt;=2,"?ACTIVATED",IF(J1644&lt;&gt;"","?FAMILIAR",IF(F1644="NEW",IF(ISNA(VLOOKUP(E1644,#REF!,1,FALSE())),"?TYPE_IDENTIFIABLE","?REFERENTIAL"),"_")))))</f>
        <v/>
      </c>
      <c r="H1644" s="27" t="str">
        <f aca="false">IF(J1644&lt;&gt;1,"",IF(I1644="SBJ","CB","?"))</f>
        <v/>
      </c>
      <c r="I1644" s="24" t="str">
        <f aca="false">IF(OR(E1644="",E1644="!!!",F1644="NEW"),"",INDEX(B10:B$1635,-1+SUMPRODUCT(MAX(ROW(E10:E$1635)*(E1644=E10:E$1635)))))</f>
        <v/>
      </c>
      <c r="J1644" s="24" t="str">
        <f aca="true">IF(OR(E1644="",E1644="!!!",F1644="NEW"),"",COUNTBLANK(OFFSET(A$1,,,SUMPRODUCT(MAX(ROW(E$2:E1644)*(E1644=E$2:E1644)))))-COUNTBLANK(OFFSET(A$1,,,SUMPRODUCT(MAX(ROW(E$1:E1643)*(E2=E$1:E1643))))))</f>
        <v/>
      </c>
      <c r="K1644" s="24" t="str">
        <f aca="false">IF(OR(E1644="",E1644="!!!",F1644="NEW"),"",INDEX(J$1:J1643,SUMPRODUCT(MAX(ROW(E$1:E1643)*(E1644=E$1:E1643)))))</f>
        <v/>
      </c>
      <c r="L1644" s="31"/>
    </row>
    <row r="1645" customFormat="false" ht="15" hidden="false" customHeight="false" outlineLevel="0" collapsed="false">
      <c r="A1645" s="20" t="s">
        <v>1095</v>
      </c>
      <c r="E1645" s="23" t="str">
        <f aca="false">IF(D1645="?OLD","!!!","")</f>
        <v/>
      </c>
      <c r="F1645" s="25" t="str">
        <f aca="false">IF(OR(E1645="",E1645="!!!"),"",IF(NOT(ISNA(VLOOKUP(E1645,E$1:E1644,1,FALSE()))),"OLD",IF(AND(E1645&lt;&gt;"",E1645&lt;&gt;"!!!"),"NEW","")))</f>
        <v/>
      </c>
      <c r="G1645" s="26" t="str">
        <f aca="false">IF(OR(E1645="",E1645="!!!"),"",IF(OR(J1645=0,AND(J1645=1,K1645=1),AND(J1645=1,I1645="SBJ"),AND(J1645=1,I1645=0)),"?IN_FOCUS",IF(J1645&lt;=2,"?ACTIVATED",IF(J1645&lt;&gt;"","?FAMILIAR",IF(F1645="NEW",IF(ISNA(VLOOKUP(E1645,#REF!,1,FALSE())),"?TYPE_IDENTIFIABLE","?REFERENTIAL"),"_")))))</f>
        <v/>
      </c>
      <c r="H1645" s="27" t="str">
        <f aca="false">IF(J1645&lt;&gt;1,"",IF(I1645="SBJ","CB","?"))</f>
        <v/>
      </c>
      <c r="I1645" s="24" t="str">
        <f aca="false">IF(OR(E1645="",E1645="!!!",F1645="NEW"),"",INDEX(B11:B$1635,-1+SUMPRODUCT(MAX(ROW(E11:E$1635)*(E1645=E11:E$1635)))))</f>
        <v/>
      </c>
      <c r="J1645" s="24" t="str">
        <f aca="true">IF(OR(E1645="",E1645="!!!",F1645="NEW"),"",COUNTBLANK(OFFSET(A$1,,,SUMPRODUCT(MAX(ROW(E$2:E1645)*(E1645=E$2:E1645)))))-COUNTBLANK(OFFSET(A$1,,,SUMPRODUCT(MAX(ROW(E$1:E1644)*(E2=E$1:E1644))))))</f>
        <v/>
      </c>
      <c r="K1645" s="24" t="str">
        <f aca="false">IF(OR(E1645="",E1645="!!!",F1645="NEW"),"",INDEX(J$1:J1644,SUMPRODUCT(MAX(ROW(E$1:E1644)*(E1645=E$1:E1644)))))</f>
        <v/>
      </c>
      <c r="L1645" s="31"/>
    </row>
    <row r="1646" customFormat="false" ht="15" hidden="false" customHeight="false" outlineLevel="0" collapsed="false">
      <c r="A1646" s="20" t="s">
        <v>106</v>
      </c>
      <c r="E1646" s="23" t="str">
        <f aca="false">IF(D1646="?OLD","!!!","")</f>
        <v/>
      </c>
      <c r="F1646" s="25" t="str">
        <f aca="false">IF(OR(E1646="",E1646="!!!"),"",IF(NOT(ISNA(VLOOKUP(E1646,E$1:E1645,1,FALSE()))),"OLD",IF(AND(E1646&lt;&gt;"",E1646&lt;&gt;"!!!"),"NEW","")))</f>
        <v/>
      </c>
      <c r="G1646" s="26" t="str">
        <f aca="false">IF(OR(E1646="",E1646="!!!"),"",IF(OR(J1646=0,AND(J1646=1,K1646=1),AND(J1646=1,I1646="SBJ"),AND(J1646=1,I1646=0)),"?IN_FOCUS",IF(J1646&lt;=2,"?ACTIVATED",IF(J1646&lt;&gt;"","?FAMILIAR",IF(F1646="NEW",IF(ISNA(VLOOKUP(E1646,#REF!,1,FALSE())),"?TYPE_IDENTIFIABLE","?REFERENTIAL"),"_")))))</f>
        <v/>
      </c>
      <c r="H1646" s="27" t="str">
        <f aca="false">IF(J1646&lt;&gt;1,"",IF(I1646="SBJ","CB","?"))</f>
        <v/>
      </c>
      <c r="I1646" s="24" t="str">
        <f aca="false">IF(OR(E1646="",E1646="!!!",F1646="NEW"),"",INDEX(B12:B$1635,-1+SUMPRODUCT(MAX(ROW(E12:E$1635)*(E1646=E12:E$1635)))))</f>
        <v/>
      </c>
      <c r="J1646" s="24" t="str">
        <f aca="true">IF(OR(E1646="",E1646="!!!",F1646="NEW"),"",COUNTBLANK(OFFSET(A$1,,,SUMPRODUCT(MAX(ROW(E$2:E1646)*(E1646=E$2:E1646)))))-COUNTBLANK(OFFSET(A$1,,,SUMPRODUCT(MAX(ROW(E$1:E1645)*(E2=E$1:E1645))))))</f>
        <v/>
      </c>
      <c r="K1646" s="24" t="str">
        <f aca="false">IF(OR(E1646="",E1646="!!!",F1646="NEW"),"",INDEX(J$1:J1645,SUMPRODUCT(MAX(ROW(E$1:E1645)*(E1646=E$1:E1645)))))</f>
        <v/>
      </c>
      <c r="L1646" s="31"/>
    </row>
    <row r="1647" customFormat="false" ht="15" hidden="false" customHeight="false" outlineLevel="0" collapsed="false">
      <c r="A1647" s="20" t="s">
        <v>1189</v>
      </c>
      <c r="B1647" s="22" t="s">
        <v>1067</v>
      </c>
      <c r="C1647" s="22" t="s">
        <v>1099</v>
      </c>
      <c r="D1647" s="22" t="s">
        <v>1060</v>
      </c>
      <c r="E1647" s="23" t="str">
        <f aca="false">IF(D1647="?OLD","!!!","")</f>
        <v>!!!</v>
      </c>
      <c r="F1647" s="25" t="str">
        <f aca="false">IF(OR(E1647="",E1647="!!!"),"",IF(NOT(ISNA(VLOOKUP(E1647,E$1:E1646,1,FALSE()))),"OLD",IF(AND(E1647&lt;&gt;"",E1647&lt;&gt;"!!!"),"NEW","")))</f>
        <v/>
      </c>
      <c r="G1647" s="26" t="str">
        <f aca="false">IF(OR(E1647="",E1647="!!!"),"",IF(OR(J1647=0,AND(J1647=1,K1647=1),AND(J1647=1,I1647="SBJ"),AND(J1647=1,I1647=0)),"?IN_FOCUS",IF(J1647&lt;=2,"?ACTIVATED",IF(J1647&lt;&gt;"","?FAMILIAR",IF(F1647="NEW",IF(ISNA(VLOOKUP(E1647,#REF!,1,FALSE())),"?TYPE_IDENTIFIABLE","?REFERENTIAL"),"_")))))</f>
        <v/>
      </c>
      <c r="H1647" s="27" t="str">
        <f aca="false">IF(J1647&lt;&gt;1,"",IF(I1647="SBJ","CB","?"))</f>
        <v/>
      </c>
      <c r="I1647" s="24" t="str">
        <f aca="false">IF(OR(E1647="",E1647="!!!",F1647="NEW"),"",INDEX(B13:B$1635,-1+SUMPRODUCT(MAX(ROW(E13:E$1635)*(E1647=E13:E$1635)))))</f>
        <v/>
      </c>
      <c r="J1647" s="24" t="str">
        <f aca="true">IF(OR(E1647="",E1647="!!!",F1647="NEW"),"",COUNTBLANK(OFFSET(A$1,,,SUMPRODUCT(MAX(ROW(E$2:E1647)*(E1647=E$2:E1647)))))-COUNTBLANK(OFFSET(A$1,,,SUMPRODUCT(MAX(ROW(E$1:E1646)*(E2=E$1:E1646))))))</f>
        <v/>
      </c>
      <c r="K1647" s="24" t="str">
        <f aca="false">IF(OR(E1647="",E1647="!!!",F1647="NEW"),"",INDEX(J$1:J1646,SUMPRODUCT(MAX(ROW(E$1:E1646)*(E1647=E$1:E1646)))))</f>
        <v/>
      </c>
      <c r="L1647" s="31"/>
    </row>
    <row r="1648" customFormat="false" ht="15" hidden="false" customHeight="false" outlineLevel="0" collapsed="false">
      <c r="A1648" s="20" t="s">
        <v>1734</v>
      </c>
      <c r="B1648" s="22" t="s">
        <v>1142</v>
      </c>
      <c r="C1648" s="22" t="s">
        <v>1059</v>
      </c>
      <c r="D1648" s="22" t="s">
        <v>1060</v>
      </c>
      <c r="E1648" s="23" t="str">
        <f aca="false">IF(D1648="?OLD","!!!","")</f>
        <v>!!!</v>
      </c>
      <c r="F1648" s="25" t="str">
        <f aca="false">IF(OR(E1648="",E1648="!!!"),"",IF(NOT(ISNA(VLOOKUP(E1648,E$1:E1647,1,FALSE()))),"OLD",IF(AND(E1648&lt;&gt;"",E1648&lt;&gt;"!!!"),"NEW","")))</f>
        <v/>
      </c>
      <c r="G1648" s="26" t="str">
        <f aca="false">IF(OR(E1648="",E1648="!!!"),"",IF(OR(J1648=0,AND(J1648=1,K1648=1),AND(J1648=1,I1648="SBJ"),AND(J1648=1,I1648=0)),"?IN_FOCUS",IF(J1648&lt;=2,"?ACTIVATED",IF(J1648&lt;&gt;"","?FAMILIAR",IF(F1648="NEW",IF(ISNA(VLOOKUP(E1648,#REF!,1,FALSE())),"?TYPE_IDENTIFIABLE","?REFERENTIAL"),"_")))))</f>
        <v/>
      </c>
      <c r="H1648" s="27" t="str">
        <f aca="false">IF(J1648&lt;&gt;1,"",IF(I1648="SBJ","CB","?"))</f>
        <v/>
      </c>
      <c r="I1648" s="24" t="str">
        <f aca="false">IF(OR(E1648="",E1648="!!!",F1648="NEW"),"",INDEX(B14:B$1635,-1+SUMPRODUCT(MAX(ROW(E14:E$1635)*(E1648=E14:E$1635)))))</f>
        <v/>
      </c>
      <c r="J1648" s="24" t="str">
        <f aca="true">IF(OR(E1648="",E1648="!!!",F1648="NEW"),"",COUNTBLANK(OFFSET(A$1,,,SUMPRODUCT(MAX(ROW(E$2:E1648)*(E1648=E$2:E1648)))))-COUNTBLANK(OFFSET(A$1,,,SUMPRODUCT(MAX(ROW(E$1:E1647)*(E2=E$1:E1647))))))</f>
        <v/>
      </c>
      <c r="K1648" s="24" t="str">
        <f aca="false">IF(OR(E1648="",E1648="!!!",F1648="NEW"),"",INDEX(J$1:J1647,SUMPRODUCT(MAX(ROW(E$1:E1647)*(E1648=E$1:E1647)))))</f>
        <v/>
      </c>
      <c r="L1648" s="31"/>
    </row>
    <row r="1649" customFormat="false" ht="15" hidden="false" customHeight="false" outlineLevel="0" collapsed="false">
      <c r="A1649" s="20" t="s">
        <v>1173</v>
      </c>
      <c r="E1649" s="23" t="str">
        <f aca="false">IF(D1649="?OLD","!!!","")</f>
        <v/>
      </c>
      <c r="F1649" s="25" t="str">
        <f aca="false">IF(OR(E1649="",E1649="!!!"),"",IF(NOT(ISNA(VLOOKUP(E1649,E$1:E1648,1,FALSE()))),"OLD",IF(AND(E1649&lt;&gt;"",E1649&lt;&gt;"!!!"),"NEW","")))</f>
        <v/>
      </c>
      <c r="G1649" s="26" t="str">
        <f aca="false">IF(OR(E1649="",E1649="!!!"),"",IF(OR(J1649=0,AND(J1649=1,K1649=1),AND(J1649=1,I1649="SBJ"),AND(J1649=1,I1649=0)),"?IN_FOCUS",IF(J1649&lt;=2,"?ACTIVATED",IF(J1649&lt;&gt;"","?FAMILIAR",IF(F1649="NEW",IF(ISNA(VLOOKUP(E1649,#REF!,1,FALSE())),"?TYPE_IDENTIFIABLE","?REFERENTIAL"),"_")))))</f>
        <v/>
      </c>
      <c r="H1649" s="27" t="str">
        <f aca="false">IF(J1649&lt;&gt;1,"",IF(I1649="SBJ","CB","?"))</f>
        <v/>
      </c>
      <c r="I1649" s="24" t="str">
        <f aca="false">IF(OR(E1649="",E1649="!!!",F1649="NEW"),"",INDEX(B15:B$1635,-1+SUMPRODUCT(MAX(ROW(E15:E$1635)*(E1649=E15:E$1635)))))</f>
        <v/>
      </c>
      <c r="J1649" s="24" t="str">
        <f aca="true">IF(OR(E1649="",E1649="!!!",F1649="NEW"),"",COUNTBLANK(OFFSET(A$1,,,SUMPRODUCT(MAX(ROW(E$2:E1649)*(E1649=E$2:E1649)))))-COUNTBLANK(OFFSET(A$1,,,SUMPRODUCT(MAX(ROW(E$1:E1648)*(E2=E$1:E1648))))))</f>
        <v/>
      </c>
      <c r="K1649" s="24" t="str">
        <f aca="false">IF(OR(E1649="",E1649="!!!",F1649="NEW"),"",INDEX(J$1:J1648,SUMPRODUCT(MAX(ROW(E$1:E1648)*(E1649=E$1:E1648)))))</f>
        <v/>
      </c>
      <c r="L1649" s="31"/>
    </row>
    <row r="1650" customFormat="false" ht="15" hidden="false" customHeight="false" outlineLevel="0" collapsed="false">
      <c r="A1650" s="20" t="s">
        <v>1178</v>
      </c>
      <c r="B1650" s="22" t="s">
        <v>1073</v>
      </c>
      <c r="C1650" s="22" t="s">
        <v>1059</v>
      </c>
      <c r="D1650" s="22" t="s">
        <v>1060</v>
      </c>
      <c r="E1650" s="23" t="str">
        <f aca="false">IF(D1650="?OLD","!!!","")</f>
        <v>!!!</v>
      </c>
      <c r="F1650" s="25" t="str">
        <f aca="false">IF(OR(E1650="",E1650="!!!"),"",IF(NOT(ISNA(VLOOKUP(E1650,E$1:E1649,1,FALSE()))),"OLD",IF(AND(E1650&lt;&gt;"",E1650&lt;&gt;"!!!"),"NEW","")))</f>
        <v/>
      </c>
      <c r="G1650" s="26" t="str">
        <f aca="false">IF(OR(E1650="",E1650="!!!"),"",IF(OR(J1650=0,AND(J1650=1,K1650=1),AND(J1650=1,I1650="SBJ"),AND(J1650=1,I1650=0)),"?IN_FOCUS",IF(J1650&lt;=2,"?ACTIVATED",IF(J1650&lt;&gt;"","?FAMILIAR",IF(F1650="NEW",IF(ISNA(VLOOKUP(E1650,#REF!,1,FALSE())),"?TYPE_IDENTIFIABLE","?REFERENTIAL"),"_")))))</f>
        <v/>
      </c>
      <c r="H1650" s="27" t="str">
        <f aca="false">IF(J1650&lt;&gt;1,"",IF(I1650="SBJ","CB","?"))</f>
        <v/>
      </c>
      <c r="I1650" s="24" t="str">
        <f aca="false">IF(OR(E1650="",E1650="!!!",F1650="NEW"),"",INDEX(B16:B$1635,-1+SUMPRODUCT(MAX(ROW(E16:E$1635)*(E1650=E16:E$1635)))))</f>
        <v/>
      </c>
      <c r="J1650" s="24" t="str">
        <f aca="true">IF(OR(E1650="",E1650="!!!",F1650="NEW"),"",COUNTBLANK(OFFSET(A$1,,,SUMPRODUCT(MAX(ROW(E$2:E1650)*(E1650=E$2:E1650)))))-COUNTBLANK(OFFSET(A$1,,,SUMPRODUCT(MAX(ROW(E$1:E1649)*(E2=E$1:E1649))))))</f>
        <v/>
      </c>
      <c r="K1650" s="24" t="str">
        <f aca="false">IF(OR(E1650="",E1650="!!!",F1650="NEW"),"",INDEX(J$1:J1649,SUMPRODUCT(MAX(ROW(E$1:E1649)*(E1650=E$1:E1649)))))</f>
        <v/>
      </c>
      <c r="L1650" s="31"/>
    </row>
    <row r="1651" customFormat="false" ht="15" hidden="false" customHeight="false" outlineLevel="0" collapsed="false">
      <c r="A1651" s="20" t="s">
        <v>1064</v>
      </c>
      <c r="E1651" s="23" t="str">
        <f aca="false">IF(D1651="?OLD","!!!","")</f>
        <v/>
      </c>
      <c r="F1651" s="25" t="str">
        <f aca="false">IF(OR(E1651="",E1651="!!!"),"",IF(NOT(ISNA(VLOOKUP(E1651,E$1:E1650,1,FALSE()))),"OLD",IF(AND(E1651&lt;&gt;"",E1651&lt;&gt;"!!!"),"NEW","")))</f>
        <v/>
      </c>
      <c r="G1651" s="26" t="str">
        <f aca="false">IF(OR(E1651="",E1651="!!!"),"",IF(OR(J1651=0,AND(J1651=1,K1651=1),AND(J1651=1,I1651="SBJ"),AND(J1651=1,I1651=0)),"?IN_FOCUS",IF(J1651&lt;=2,"?ACTIVATED",IF(J1651&lt;&gt;"","?FAMILIAR",IF(F1651="NEW",IF(ISNA(VLOOKUP(E1651,#REF!,1,FALSE())),"?TYPE_IDENTIFIABLE","?REFERENTIAL"),"_")))))</f>
        <v/>
      </c>
      <c r="H1651" s="27" t="str">
        <f aca="false">IF(J1651&lt;&gt;1,"",IF(I1651="SBJ","CB","?"))</f>
        <v/>
      </c>
      <c r="I1651" s="24" t="str">
        <f aca="false">IF(OR(E1651="",E1651="!!!",F1651="NEW"),"",INDEX(B17:B$1635,-1+SUMPRODUCT(MAX(ROW(E17:E$1635)*(E1651=E17:E$1635)))))</f>
        <v/>
      </c>
      <c r="J1651" s="24" t="str">
        <f aca="true">IF(OR(E1651="",E1651="!!!",F1651="NEW"),"",COUNTBLANK(OFFSET(A$1,,,SUMPRODUCT(MAX(ROW(E$2:E1651)*(E1651=E$2:E1651)))))-COUNTBLANK(OFFSET(A$1,,,SUMPRODUCT(MAX(ROW(E$1:E1650)*(E2=E$1:E1650))))))</f>
        <v/>
      </c>
      <c r="K1651" s="24" t="str">
        <f aca="false">IF(OR(E1651="",E1651="!!!",F1651="NEW"),"",INDEX(J$1:J1650,SUMPRODUCT(MAX(ROW(E$1:E1650)*(E1651=E$1:E1650)))))</f>
        <v/>
      </c>
      <c r="L1651" s="31"/>
    </row>
    <row r="1652" customFormat="false" ht="15" hidden="false" customHeight="false" outlineLevel="0" collapsed="false">
      <c r="A1652" s="20" t="s">
        <v>1179</v>
      </c>
      <c r="B1652" s="22" t="s">
        <v>1067</v>
      </c>
      <c r="C1652" s="22" t="s">
        <v>1082</v>
      </c>
      <c r="D1652" s="22" t="s">
        <v>1060</v>
      </c>
      <c r="E1652" s="23" t="str">
        <f aca="false">IF(D1652="?OLD","!!!","")</f>
        <v>!!!</v>
      </c>
      <c r="F1652" s="25" t="str">
        <f aca="false">IF(OR(E1652="",E1652="!!!"),"",IF(NOT(ISNA(VLOOKUP(E1652,E$1:E1651,1,FALSE()))),"OLD",IF(AND(E1652&lt;&gt;"",E1652&lt;&gt;"!!!"),"NEW","")))</f>
        <v/>
      </c>
      <c r="G1652" s="26" t="str">
        <f aca="false">IF(OR(E1652="",E1652="!!!"),"",IF(OR(J1652=0,AND(J1652=1,K1652=1),AND(J1652=1,I1652="SBJ"),AND(J1652=1,I1652=0)),"?IN_FOCUS",IF(J1652&lt;=2,"?ACTIVATED",IF(J1652&lt;&gt;"","?FAMILIAR",IF(F1652="NEW",IF(ISNA(VLOOKUP(E1652,#REF!,1,FALSE())),"?TYPE_IDENTIFIABLE","?REFERENTIAL"),"_")))))</f>
        <v/>
      </c>
      <c r="H1652" s="27" t="str">
        <f aca="false">IF(J1652&lt;&gt;1,"",IF(I1652="SBJ","CB","?"))</f>
        <v/>
      </c>
      <c r="I1652" s="24" t="str">
        <f aca="false">IF(OR(E1652="",E1652="!!!",F1652="NEW"),"",INDEX(B18:B$1635,-1+SUMPRODUCT(MAX(ROW(E18:E$1635)*(E1652=E18:E$1635)))))</f>
        <v/>
      </c>
      <c r="J1652" s="24" t="str">
        <f aca="true">IF(OR(E1652="",E1652="!!!",F1652="NEW"),"",COUNTBLANK(OFFSET(A$1,,,SUMPRODUCT(MAX(ROW(E$2:E1652)*(E1652=E$2:E1652)))))-COUNTBLANK(OFFSET(A$1,,,SUMPRODUCT(MAX(ROW(E$1:E1651)*(E2=E$1:E1651))))))</f>
        <v/>
      </c>
      <c r="K1652" s="24" t="str">
        <f aca="false">IF(OR(E1652="",E1652="!!!",F1652="NEW"),"",INDEX(J$1:J1651,SUMPRODUCT(MAX(ROW(E$1:E1651)*(E1652=E$1:E1651)))))</f>
        <v/>
      </c>
      <c r="L1652" s="31"/>
    </row>
    <row r="1653" customFormat="false" ht="15" hidden="false" customHeight="false" outlineLevel="0" collapsed="false">
      <c r="A1653" s="20" t="s">
        <v>923</v>
      </c>
      <c r="E1653" s="23" t="str">
        <f aca="false">IF(D1653="?OLD","!!!","")</f>
        <v/>
      </c>
      <c r="F1653" s="25" t="str">
        <f aca="false">IF(OR(E1653="",E1653="!!!"),"",IF(NOT(ISNA(VLOOKUP(E1653,E$1:E1652,1,FALSE()))),"OLD",IF(AND(E1653&lt;&gt;"",E1653&lt;&gt;"!!!"),"NEW","")))</f>
        <v/>
      </c>
      <c r="G1653" s="26" t="str">
        <f aca="false">IF(OR(E1653="",E1653="!!!"),"",IF(OR(J1653=0,AND(J1653=1,K1653=1),AND(J1653=1,I1653="SBJ"),AND(J1653=1,I1653=0)),"?IN_FOCUS",IF(J1653&lt;=2,"?ACTIVATED",IF(J1653&lt;&gt;"","?FAMILIAR",IF(F1653="NEW",IF(ISNA(VLOOKUP(E1653,#REF!,1,FALSE())),"?TYPE_IDENTIFIABLE","?REFERENTIAL"),"_")))))</f>
        <v/>
      </c>
      <c r="H1653" s="27" t="str">
        <f aca="false">IF(J1653&lt;&gt;1,"",IF(I1653="SBJ","CB","?"))</f>
        <v/>
      </c>
      <c r="I1653" s="24" t="str">
        <f aca="false">IF(OR(E1653="",E1653="!!!",F1653="NEW"),"",INDEX(B19:B$1635,-1+SUMPRODUCT(MAX(ROW(E19:E$1635)*(E1653=E19:E$1635)))))</f>
        <v/>
      </c>
      <c r="J1653" s="24" t="str">
        <f aca="true">IF(OR(E1653="",E1653="!!!",F1653="NEW"),"",COUNTBLANK(OFFSET(A$1,,,SUMPRODUCT(MAX(ROW(E$2:E1653)*(E1653=E$2:E1653)))))-COUNTBLANK(OFFSET(A$1,,,SUMPRODUCT(MAX(ROW(E$1:E1652)*(E2=E$1:E1652))))))</f>
        <v/>
      </c>
      <c r="K1653" s="24" t="str">
        <f aca="false">IF(OR(E1653="",E1653="!!!",F1653="NEW"),"",INDEX(J$1:J1652,SUMPRODUCT(MAX(ROW(E$1:E1652)*(E1653=E$1:E1652)))))</f>
        <v/>
      </c>
      <c r="L1653" s="31"/>
    </row>
    <row r="1654" customFormat="false" ht="15" hidden="false" customHeight="false" outlineLevel="0" collapsed="false">
      <c r="A1654" s="20" t="s">
        <v>607</v>
      </c>
      <c r="E1654" s="23" t="str">
        <f aca="false">IF(D1654="?OLD","!!!","")</f>
        <v/>
      </c>
      <c r="F1654" s="25" t="str">
        <f aca="false">IF(OR(E1654="",E1654="!!!"),"",IF(NOT(ISNA(VLOOKUP(E1654,E$1:E1653,1,FALSE()))),"OLD",IF(AND(E1654&lt;&gt;"",E1654&lt;&gt;"!!!"),"NEW","")))</f>
        <v/>
      </c>
      <c r="G1654" s="26" t="str">
        <f aca="false">IF(OR(E1654="",E1654="!!!"),"",IF(OR(J1654=0,AND(J1654=1,K1654=1),AND(J1654=1,I1654="SBJ"),AND(J1654=1,I1654=0)),"?IN_FOCUS",IF(J1654&lt;=2,"?ACTIVATED",IF(J1654&lt;&gt;"","?FAMILIAR",IF(F1654="NEW",IF(ISNA(VLOOKUP(E1654,#REF!,1,FALSE())),"?TYPE_IDENTIFIABLE","?REFERENTIAL"),"_")))))</f>
        <v/>
      </c>
      <c r="H1654" s="27" t="str">
        <f aca="false">IF(J1654&lt;&gt;1,"",IF(I1654="SBJ","CB","?"))</f>
        <v/>
      </c>
      <c r="I1654" s="24" t="str">
        <f aca="false">IF(OR(E1654="",E1654="!!!",F1654="NEW"),"",INDEX(B20:B$1635,-1+SUMPRODUCT(MAX(ROW(E20:E$1635)*(E1654=E20:E$1635)))))</f>
        <v/>
      </c>
      <c r="J1654" s="24" t="str">
        <f aca="true">IF(OR(E1654="",E1654="!!!",F1654="NEW"),"",COUNTBLANK(OFFSET(A$1,,,SUMPRODUCT(MAX(ROW(E$2:E1654)*(E1654=E$2:E1654)))))-COUNTBLANK(OFFSET(A$1,,,SUMPRODUCT(MAX(ROW(E$1:E1653)*(E2=E$1:E1653))))))</f>
        <v/>
      </c>
      <c r="K1654" s="24" t="str">
        <f aca="false">IF(OR(E1654="",E1654="!!!",F1654="NEW"),"",INDEX(J$1:J1653,SUMPRODUCT(MAX(ROW(E$1:E1653)*(E1654=E$1:E1653)))))</f>
        <v/>
      </c>
      <c r="L1654" s="31"/>
    </row>
    <row r="1655" customFormat="false" ht="15" hidden="false" customHeight="false" outlineLevel="0" collapsed="false">
      <c r="A1655" s="20"/>
    </row>
    <row r="1656" customFormat="false" ht="15" hidden="false" customHeight="false" outlineLevel="0" collapsed="false">
      <c r="A1656" s="20" t="s">
        <v>1301</v>
      </c>
      <c r="E1656" s="23" t="str">
        <f aca="false">IF(D1656="?OLD","!!!","")</f>
        <v/>
      </c>
      <c r="F1656" s="25" t="str">
        <f aca="false">IF(OR(E1656="",E1656="!!!"),"",IF(NOT(ISNA(VLOOKUP(E1656,E$1:E1655,1,FALSE()))),"OLD",IF(AND(E1656&lt;&gt;"",E1656&lt;&gt;"!!!"),"NEW","")))</f>
        <v/>
      </c>
      <c r="G1656" s="26" t="str">
        <f aca="false">IF(OR(E1656="",E1656="!!!"),"",IF(OR(J1656=0,AND(J1656=1,K1656=1),AND(J1656=1,I1656="SBJ"),AND(J1656=1,I1656=0)),"?IN_FOCUS",IF(J1656&lt;=2,"?ACTIVATED",IF(J1656&lt;&gt;"","?FAMILIAR",IF(F1656="NEW",IF(ISNA(VLOOKUP(E1656,#REF!,1,FALSE())),"?TYPE_IDENTIFIABLE","?REFERENTIAL"),"_")))))</f>
        <v/>
      </c>
      <c r="H1656" s="27" t="str">
        <f aca="false">IF(J1656&lt;&gt;1,"",IF(I1656="SBJ","CB","?"))</f>
        <v/>
      </c>
      <c r="I1656" s="24" t="str">
        <f aca="false">IF(OR(E1656="",E1656="!!!",F1656="NEW"),"",INDEX(B2:B$1655,-1+SUMPRODUCT(MAX(ROW(E2:E$1655)*(E1656=E2:E$1655)))))</f>
        <v/>
      </c>
      <c r="J1656" s="24" t="str">
        <f aca="true">IF(OR(E1656="",E1656="!!!",F1656="NEW"),"",COUNTBLANK(OFFSET(A$1,,,SUMPRODUCT(MAX(ROW(E$2:E1656)*(E1656=E$2:E1656)))))-COUNTBLANK(OFFSET(A$1,,,SUMPRODUCT(MAX(ROW(E$1:E1655)*(E2=E$1:E1655))))))</f>
        <v/>
      </c>
      <c r="K1656" s="24" t="str">
        <f aca="false">IF(OR(E1656="",E1656="!!!",F1656="NEW"),"",INDEX(J$1:J1655,SUMPRODUCT(MAX(ROW(E$1:E1655)*(E1656=E$1:E1655)))))</f>
        <v/>
      </c>
      <c r="L1656" s="31"/>
    </row>
    <row r="1657" customFormat="false" ht="15" hidden="false" customHeight="false" outlineLevel="0" collapsed="false">
      <c r="A1657" s="20" t="s">
        <v>1735</v>
      </c>
    </row>
    <row r="1658" customFormat="false" ht="15" hidden="false" customHeight="false" outlineLevel="0" collapsed="false">
      <c r="A1658" s="20" t="s">
        <v>607</v>
      </c>
      <c r="E1658" s="23" t="str">
        <f aca="false">IF(D1658="?OLD","!!!","")</f>
        <v/>
      </c>
      <c r="F1658" s="25" t="str">
        <f aca="false">IF(OR(E1658="",E1658="!!!"),"",IF(NOT(ISNA(VLOOKUP(E1658,E$1:E1657,1,FALSE()))),"OLD",IF(AND(E1658&lt;&gt;"",E1658&lt;&gt;"!!!"),"NEW","")))</f>
        <v/>
      </c>
      <c r="G1658" s="26" t="str">
        <f aca="false">IF(OR(E1658="",E1658="!!!"),"",IF(OR(J1658=0,AND(J1658=1,K1658=1),AND(J1658=1,I1658="SBJ"),AND(J1658=1,I1658=0)),"?IN_FOCUS",IF(J1658&lt;=2,"?ACTIVATED",IF(J1658&lt;&gt;"","?FAMILIAR",IF(F1658="NEW",IF(ISNA(VLOOKUP(E1658,#REF!,1,FALSE())),"?TYPE_IDENTIFIABLE","?REFERENTIAL"),"_")))))</f>
        <v/>
      </c>
      <c r="H1658" s="27" t="str">
        <f aca="false">IF(J1658&lt;&gt;1,"",IF(I1658="SBJ","CB","?"))</f>
        <v/>
      </c>
      <c r="I1658" s="24" t="str">
        <f aca="false">IF(OR(E1658="",E1658="!!!",F1658="NEW"),"",INDEX(B2:B$1657,-1+SUMPRODUCT(MAX(ROW(E2:E$1657)*(E1658=E2:E$1657)))))</f>
        <v/>
      </c>
      <c r="J1658" s="24" t="str">
        <f aca="true">IF(OR(E1658="",E1658="!!!",F1658="NEW"),"",COUNTBLANK(OFFSET(A$1,,,SUMPRODUCT(MAX(ROW(E$2:E1658)*(E1658=E$2:E1658)))))-COUNTBLANK(OFFSET(A$1,,,SUMPRODUCT(MAX(ROW(E$1:E1657)*(E2=E$1:E1657))))))</f>
        <v/>
      </c>
      <c r="K1658" s="24" t="str">
        <f aca="false">IF(OR(E1658="",E1658="!!!",F1658="NEW"),"",INDEX(J$1:J1657,SUMPRODUCT(MAX(ROW(E$1:E1657)*(E1658=E$1:E1657)))))</f>
        <v/>
      </c>
      <c r="L1658" s="31"/>
    </row>
    <row r="1659" customFormat="false" ht="15" hidden="false" customHeight="false" outlineLevel="0" collapsed="false">
      <c r="A1659" s="20" t="s">
        <v>1736</v>
      </c>
      <c r="E1659" s="23" t="str">
        <f aca="false">IF(D1659="?OLD","!!!","")</f>
        <v/>
      </c>
      <c r="F1659" s="25" t="str">
        <f aca="false">IF(OR(E1659="",E1659="!!!"),"",IF(NOT(ISNA(VLOOKUP(E1659,E$1:E1658,1,FALSE()))),"OLD",IF(AND(E1659&lt;&gt;"",E1659&lt;&gt;"!!!"),"NEW","")))</f>
        <v/>
      </c>
      <c r="G1659" s="26" t="str">
        <f aca="false">IF(OR(E1659="",E1659="!!!"),"",IF(OR(J1659=0,AND(J1659=1,K1659=1),AND(J1659=1,I1659="SBJ"),AND(J1659=1,I1659=0)),"?IN_FOCUS",IF(J1659&lt;=2,"?ACTIVATED",IF(J1659&lt;&gt;"","?FAMILIAR",IF(F1659="NEW",IF(ISNA(VLOOKUP(E1659,#REF!,1,FALSE())),"?TYPE_IDENTIFIABLE","?REFERENTIAL"),"_")))))</f>
        <v/>
      </c>
      <c r="H1659" s="27" t="str">
        <f aca="false">IF(J1659&lt;&gt;1,"",IF(I1659="SBJ","CB","?"))</f>
        <v/>
      </c>
      <c r="I1659" s="24" t="str">
        <f aca="false">IF(OR(E1659="",E1659="!!!",F1659="NEW"),"",INDEX(B3:B$1657,-1+SUMPRODUCT(MAX(ROW(E3:E$1657)*(E1659=E3:E$1657)))))</f>
        <v/>
      </c>
      <c r="J1659" s="24" t="str">
        <f aca="true">IF(OR(E1659="",E1659="!!!",F1659="NEW"),"",COUNTBLANK(OFFSET(A$1,,,SUMPRODUCT(MAX(ROW(E$2:E1659)*(E1659=E$2:E1659)))))-COUNTBLANK(OFFSET(A$1,,,SUMPRODUCT(MAX(ROW(E$1:E1658)*(E2=E$1:E1658))))))</f>
        <v/>
      </c>
      <c r="K1659" s="24" t="str">
        <f aca="false">IF(OR(E1659="",E1659="!!!",F1659="NEW"),"",INDEX(J$1:J1658,SUMPRODUCT(MAX(ROW(E$1:E1658)*(E1659=E$1:E1658)))))</f>
        <v/>
      </c>
      <c r="L1659" s="31"/>
    </row>
    <row r="1660" customFormat="false" ht="15" hidden="false" customHeight="false" outlineLevel="0" collapsed="false">
      <c r="A1660" s="20" t="s">
        <v>1186</v>
      </c>
      <c r="B1660" s="22" t="s">
        <v>1058</v>
      </c>
      <c r="C1660" s="22" t="s">
        <v>1082</v>
      </c>
      <c r="D1660" s="22" t="s">
        <v>1060</v>
      </c>
      <c r="E1660" s="23" t="str">
        <f aca="false">IF(D1660="?OLD","!!!","")</f>
        <v>!!!</v>
      </c>
      <c r="F1660" s="25" t="str">
        <f aca="false">IF(OR(E1660="",E1660="!!!"),"",IF(NOT(ISNA(VLOOKUP(E1660,E$1:E1659,1,FALSE()))),"OLD",IF(AND(E1660&lt;&gt;"",E1660&lt;&gt;"!!!"),"NEW","")))</f>
        <v/>
      </c>
      <c r="G1660" s="26" t="str">
        <f aca="false">IF(OR(E1660="",E1660="!!!"),"",IF(OR(J1660=0,AND(J1660=1,K1660=1),AND(J1660=1,I1660="SBJ"),AND(J1660=1,I1660=0)),"?IN_FOCUS",IF(J1660&lt;=2,"?ACTIVATED",IF(J1660&lt;&gt;"","?FAMILIAR",IF(F1660="NEW",IF(ISNA(VLOOKUP(E1660,#REF!,1,FALSE())),"?TYPE_IDENTIFIABLE","?REFERENTIAL"),"_")))))</f>
        <v/>
      </c>
      <c r="H1660" s="27" t="str">
        <f aca="false">IF(J1660&lt;&gt;1,"",IF(I1660="SBJ","CB","?"))</f>
        <v/>
      </c>
      <c r="I1660" s="24" t="str">
        <f aca="false">IF(OR(E1660="",E1660="!!!",F1660="NEW"),"",INDEX(B4:B$1657,-1+SUMPRODUCT(MAX(ROW(E4:E$1657)*(E1660=E4:E$1657)))))</f>
        <v/>
      </c>
      <c r="J1660" s="24" t="str">
        <f aca="true">IF(OR(E1660="",E1660="!!!",F1660="NEW"),"",COUNTBLANK(OFFSET(A$1,,,SUMPRODUCT(MAX(ROW(E$2:E1660)*(E1660=E$2:E1660)))))-COUNTBLANK(OFFSET(A$1,,,SUMPRODUCT(MAX(ROW(E$1:E1659)*(E2=E$1:E1659))))))</f>
        <v/>
      </c>
      <c r="K1660" s="24" t="str">
        <f aca="false">IF(OR(E1660="",E1660="!!!",F1660="NEW"),"",INDEX(J$1:J1659,SUMPRODUCT(MAX(ROW(E$1:E1659)*(E1660=E$1:E1659)))))</f>
        <v/>
      </c>
      <c r="L1660" s="31"/>
    </row>
    <row r="1661" customFormat="false" ht="15" hidden="false" customHeight="false" outlineLevel="0" collapsed="false">
      <c r="A1661" s="20" t="s">
        <v>119</v>
      </c>
      <c r="E1661" s="23" t="str">
        <f aca="false">IF(D1661="?OLD","!!!","")</f>
        <v/>
      </c>
      <c r="F1661" s="25" t="str">
        <f aca="false">IF(OR(E1661="",E1661="!!!"),"",IF(NOT(ISNA(VLOOKUP(E1661,E$1:E1660,1,FALSE()))),"OLD",IF(AND(E1661&lt;&gt;"",E1661&lt;&gt;"!!!"),"NEW","")))</f>
        <v/>
      </c>
      <c r="G1661" s="26" t="str">
        <f aca="false">IF(OR(E1661="",E1661="!!!"),"",IF(OR(J1661=0,AND(J1661=1,K1661=1),AND(J1661=1,I1661="SBJ"),AND(J1661=1,I1661=0)),"?IN_FOCUS",IF(J1661&lt;=2,"?ACTIVATED",IF(J1661&lt;&gt;"","?FAMILIAR",IF(F1661="NEW",IF(ISNA(VLOOKUP(E1661,#REF!,1,FALSE())),"?TYPE_IDENTIFIABLE","?REFERENTIAL"),"_")))))</f>
        <v/>
      </c>
      <c r="H1661" s="27" t="str">
        <f aca="false">IF(J1661&lt;&gt;1,"",IF(I1661="SBJ","CB","?"))</f>
        <v/>
      </c>
      <c r="I1661" s="24" t="str">
        <f aca="false">IF(OR(E1661="",E1661="!!!",F1661="NEW"),"",INDEX(B5:B$1657,-1+SUMPRODUCT(MAX(ROW(E5:E$1657)*(E1661=E5:E$1657)))))</f>
        <v/>
      </c>
      <c r="J1661" s="24" t="str">
        <f aca="true">IF(OR(E1661="",E1661="!!!",F1661="NEW"),"",COUNTBLANK(OFFSET(A$1,,,SUMPRODUCT(MAX(ROW(E$2:E1661)*(E1661=E$2:E1661)))))-COUNTBLANK(OFFSET(A$1,,,SUMPRODUCT(MAX(ROW(E$1:E1660)*(E2=E$1:E1660))))))</f>
        <v/>
      </c>
      <c r="K1661" s="24" t="str">
        <f aca="false">IF(OR(E1661="",E1661="!!!",F1661="NEW"),"",INDEX(J$1:J1660,SUMPRODUCT(MAX(ROW(E$1:E1660)*(E1661=E$1:E1660)))))</f>
        <v/>
      </c>
      <c r="L1661" s="31"/>
    </row>
    <row r="1662" customFormat="false" ht="15" hidden="false" customHeight="false" outlineLevel="0" collapsed="false">
      <c r="A1662" s="20" t="s">
        <v>1699</v>
      </c>
      <c r="E1662" s="23" t="str">
        <f aca="false">IF(D1662="?OLD","!!!","")</f>
        <v/>
      </c>
      <c r="F1662" s="25" t="str">
        <f aca="false">IF(OR(E1662="",E1662="!!!"),"",IF(NOT(ISNA(VLOOKUP(E1662,E$1:E1661,1,FALSE()))),"OLD",IF(AND(E1662&lt;&gt;"",E1662&lt;&gt;"!!!"),"NEW","")))</f>
        <v/>
      </c>
      <c r="G1662" s="26" t="str">
        <f aca="false">IF(OR(E1662="",E1662="!!!"),"",IF(OR(J1662=0,AND(J1662=1,K1662=1),AND(J1662=1,I1662="SBJ"),AND(J1662=1,I1662=0)),"?IN_FOCUS",IF(J1662&lt;=2,"?ACTIVATED",IF(J1662&lt;&gt;"","?FAMILIAR",IF(F1662="NEW",IF(ISNA(VLOOKUP(E1662,#REF!,1,FALSE())),"?TYPE_IDENTIFIABLE","?REFERENTIAL"),"_")))))</f>
        <v/>
      </c>
      <c r="H1662" s="27" t="str">
        <f aca="false">IF(J1662&lt;&gt;1,"",IF(I1662="SBJ","CB","?"))</f>
        <v/>
      </c>
      <c r="I1662" s="24" t="str">
        <f aca="false">IF(OR(E1662="",E1662="!!!",F1662="NEW"),"",INDEX(B6:B$1657,-1+SUMPRODUCT(MAX(ROW(E6:E$1657)*(E1662=E6:E$1657)))))</f>
        <v/>
      </c>
      <c r="J1662" s="24" t="str">
        <f aca="true">IF(OR(E1662="",E1662="!!!",F1662="NEW"),"",COUNTBLANK(OFFSET(A$1,,,SUMPRODUCT(MAX(ROW(E$2:E1662)*(E1662=E$2:E1662)))))-COUNTBLANK(OFFSET(A$1,,,SUMPRODUCT(MAX(ROW(E$1:E1661)*(E2=E$1:E1661))))))</f>
        <v/>
      </c>
      <c r="K1662" s="24" t="str">
        <f aca="false">IF(OR(E1662="",E1662="!!!",F1662="NEW"),"",INDEX(J$1:J1661,SUMPRODUCT(MAX(ROW(E$1:E1661)*(E1662=E$1:E1661)))))</f>
        <v/>
      </c>
      <c r="L1662" s="31"/>
    </row>
    <row r="1663" customFormat="false" ht="15" hidden="false" customHeight="false" outlineLevel="0" collapsed="false">
      <c r="A1663" s="20" t="s">
        <v>1232</v>
      </c>
      <c r="E1663" s="23" t="str">
        <f aca="false">IF(D1663="?OLD","!!!","")</f>
        <v/>
      </c>
      <c r="F1663" s="25" t="str">
        <f aca="false">IF(OR(E1663="",E1663="!!!"),"",IF(NOT(ISNA(VLOOKUP(E1663,E$1:E1662,1,FALSE()))),"OLD",IF(AND(E1663&lt;&gt;"",E1663&lt;&gt;"!!!"),"NEW","")))</f>
        <v/>
      </c>
      <c r="G1663" s="26" t="str">
        <f aca="false">IF(OR(E1663="",E1663="!!!"),"",IF(OR(J1663=0,AND(J1663=1,K1663=1),AND(J1663=1,I1663="SBJ"),AND(J1663=1,I1663=0)),"?IN_FOCUS",IF(J1663&lt;=2,"?ACTIVATED",IF(J1663&lt;&gt;"","?FAMILIAR",IF(F1663="NEW",IF(ISNA(VLOOKUP(E1663,#REF!,1,FALSE())),"?TYPE_IDENTIFIABLE","?REFERENTIAL"),"_")))))</f>
        <v/>
      </c>
      <c r="H1663" s="27" t="str">
        <f aca="false">IF(J1663&lt;&gt;1,"",IF(I1663="SBJ","CB","?"))</f>
        <v/>
      </c>
      <c r="I1663" s="24" t="str">
        <f aca="false">IF(OR(E1663="",E1663="!!!",F1663="NEW"),"",INDEX(B7:B$1657,-1+SUMPRODUCT(MAX(ROW(E7:E$1657)*(E1663=E7:E$1657)))))</f>
        <v/>
      </c>
      <c r="J1663" s="24" t="str">
        <f aca="true">IF(OR(E1663="",E1663="!!!",F1663="NEW"),"",COUNTBLANK(OFFSET(A$1,,,SUMPRODUCT(MAX(ROW(E$2:E1663)*(E1663=E$2:E1663)))))-COUNTBLANK(OFFSET(A$1,,,SUMPRODUCT(MAX(ROW(E$1:E1662)*(E2=E$1:E1662))))))</f>
        <v/>
      </c>
      <c r="K1663" s="24" t="str">
        <f aca="false">IF(OR(E1663="",E1663="!!!",F1663="NEW"),"",INDEX(J$1:J1662,SUMPRODUCT(MAX(ROW(E$1:E1662)*(E1663=E$1:E1662)))))</f>
        <v/>
      </c>
      <c r="L1663" s="31"/>
    </row>
    <row r="1664" customFormat="false" ht="15" hidden="false" customHeight="false" outlineLevel="0" collapsed="false">
      <c r="A1664" s="20" t="s">
        <v>1218</v>
      </c>
      <c r="E1664" s="23" t="str">
        <f aca="false">IF(D1664="?OLD","!!!","")</f>
        <v/>
      </c>
      <c r="F1664" s="25" t="str">
        <f aca="false">IF(OR(E1664="",E1664="!!!"),"",IF(NOT(ISNA(VLOOKUP(E1664,E$1:E1663,1,FALSE()))),"OLD",IF(AND(E1664&lt;&gt;"",E1664&lt;&gt;"!!!"),"NEW","")))</f>
        <v/>
      </c>
      <c r="G1664" s="26" t="str">
        <f aca="false">IF(OR(E1664="",E1664="!!!"),"",IF(OR(J1664=0,AND(J1664=1,K1664=1),AND(J1664=1,I1664="SBJ"),AND(J1664=1,I1664=0)),"?IN_FOCUS",IF(J1664&lt;=2,"?ACTIVATED",IF(J1664&lt;&gt;"","?FAMILIAR",IF(F1664="NEW",IF(ISNA(VLOOKUP(E1664,#REF!,1,FALSE())),"?TYPE_IDENTIFIABLE","?REFERENTIAL"),"_")))))</f>
        <v/>
      </c>
      <c r="H1664" s="27" t="str">
        <f aca="false">IF(J1664&lt;&gt;1,"",IF(I1664="SBJ","CB","?"))</f>
        <v/>
      </c>
      <c r="I1664" s="24" t="str">
        <f aca="false">IF(OR(E1664="",E1664="!!!",F1664="NEW"),"",INDEX(B8:B$1657,-1+SUMPRODUCT(MAX(ROW(E8:E$1657)*(E1664=E8:E$1657)))))</f>
        <v/>
      </c>
      <c r="J1664" s="24" t="str">
        <f aca="true">IF(OR(E1664="",E1664="!!!",F1664="NEW"),"",COUNTBLANK(OFFSET(A$1,,,SUMPRODUCT(MAX(ROW(E$2:E1664)*(E1664=E$2:E1664)))))-COUNTBLANK(OFFSET(A$1,,,SUMPRODUCT(MAX(ROW(E$1:E1663)*(E2=E$1:E1663))))))</f>
        <v/>
      </c>
      <c r="K1664" s="24" t="str">
        <f aca="false">IF(OR(E1664="",E1664="!!!",F1664="NEW"),"",INDEX(J$1:J1663,SUMPRODUCT(MAX(ROW(E$1:E1663)*(E1664=E$1:E1663)))))</f>
        <v/>
      </c>
      <c r="L1664" s="31"/>
    </row>
    <row r="1665" customFormat="false" ht="15" hidden="false" customHeight="false" outlineLevel="0" collapsed="false">
      <c r="A1665" s="20" t="s">
        <v>1737</v>
      </c>
      <c r="E1665" s="23" t="str">
        <f aca="false">IF(D1665="?OLD","!!!","")</f>
        <v/>
      </c>
      <c r="F1665" s="25" t="str">
        <f aca="false">IF(OR(E1665="",E1665="!!!"),"",IF(NOT(ISNA(VLOOKUP(E1665,E$1:E1664,1,FALSE()))),"OLD",IF(AND(E1665&lt;&gt;"",E1665&lt;&gt;"!!!"),"NEW","")))</f>
        <v/>
      </c>
      <c r="G1665" s="26" t="str">
        <f aca="false">IF(OR(E1665="",E1665="!!!"),"",IF(OR(J1665=0,AND(J1665=1,K1665=1),AND(J1665=1,I1665="SBJ"),AND(J1665=1,I1665=0)),"?IN_FOCUS",IF(J1665&lt;=2,"?ACTIVATED",IF(J1665&lt;&gt;"","?FAMILIAR",IF(F1665="NEW",IF(ISNA(VLOOKUP(E1665,#REF!,1,FALSE())),"?TYPE_IDENTIFIABLE","?REFERENTIAL"),"_")))))</f>
        <v/>
      </c>
      <c r="H1665" s="27" t="str">
        <f aca="false">IF(J1665&lt;&gt;1,"",IF(I1665="SBJ","CB","?"))</f>
        <v/>
      </c>
      <c r="I1665" s="24" t="str">
        <f aca="false">IF(OR(E1665="",E1665="!!!",F1665="NEW"),"",INDEX(B9:B$1657,-1+SUMPRODUCT(MAX(ROW(E9:E$1657)*(E1665=E9:E$1657)))))</f>
        <v/>
      </c>
      <c r="J1665" s="24" t="str">
        <f aca="true">IF(OR(E1665="",E1665="!!!",F1665="NEW"),"",COUNTBLANK(OFFSET(A$1,,,SUMPRODUCT(MAX(ROW(E$2:E1665)*(E1665=E$2:E1665)))))-COUNTBLANK(OFFSET(A$1,,,SUMPRODUCT(MAX(ROW(E$1:E1664)*(E2=E$1:E1664))))))</f>
        <v/>
      </c>
      <c r="K1665" s="24" t="str">
        <f aca="false">IF(OR(E1665="",E1665="!!!",F1665="NEW"),"",INDEX(J$1:J1664,SUMPRODUCT(MAX(ROW(E$1:E1664)*(E1665=E$1:E1664)))))</f>
        <v/>
      </c>
      <c r="L1665" s="31"/>
    </row>
    <row r="1666" customFormat="false" ht="15" hidden="false" customHeight="false" outlineLevel="0" collapsed="false">
      <c r="A1666" s="20" t="s">
        <v>1738</v>
      </c>
      <c r="B1666" s="22" t="s">
        <v>1105</v>
      </c>
      <c r="C1666" s="22" t="s">
        <v>1160</v>
      </c>
      <c r="E1666" s="23" t="str">
        <f aca="false">IF(D1666="?OLD","!!!","")</f>
        <v/>
      </c>
      <c r="F1666" s="25" t="str">
        <f aca="false">IF(OR(E1666="",E1666="!!!"),"",IF(NOT(ISNA(VLOOKUP(E1666,E$1:E1665,1,FALSE()))),"OLD",IF(AND(E1666&lt;&gt;"",E1666&lt;&gt;"!!!"),"NEW","")))</f>
        <v/>
      </c>
      <c r="G1666" s="26" t="str">
        <f aca="false">IF(OR(E1666="",E1666="!!!"),"",IF(OR(J1666=0,AND(J1666=1,K1666=1),AND(J1666=1,I1666="SBJ"),AND(J1666=1,I1666=0)),"?IN_FOCUS",IF(J1666&lt;=2,"?ACTIVATED",IF(J1666&lt;&gt;"","?FAMILIAR",IF(F1666="NEW",IF(ISNA(VLOOKUP(E1666,#REF!,1,FALSE())),"?TYPE_IDENTIFIABLE","?REFERENTIAL"),"_")))))</f>
        <v/>
      </c>
      <c r="H1666" s="27" t="str">
        <f aca="false">IF(J1666&lt;&gt;1,"",IF(I1666="SBJ","CB","?"))</f>
        <v/>
      </c>
      <c r="I1666" s="24" t="str">
        <f aca="false">IF(OR(E1666="",E1666="!!!",F1666="NEW"),"",INDEX(B10:B$1657,-1+SUMPRODUCT(MAX(ROW(E10:E$1657)*(E1666=E10:E$1657)))))</f>
        <v/>
      </c>
      <c r="J1666" s="24" t="str">
        <f aca="true">IF(OR(E1666="",E1666="!!!",F1666="NEW"),"",COUNTBLANK(OFFSET(A$1,,,SUMPRODUCT(MAX(ROW(E$2:E1666)*(E1666=E$2:E1666)))))-COUNTBLANK(OFFSET(A$1,,,SUMPRODUCT(MAX(ROW(E$1:E1665)*(E2=E$1:E1665))))))</f>
        <v/>
      </c>
      <c r="K1666" s="24" t="str">
        <f aca="false">IF(OR(E1666="",E1666="!!!",F1666="NEW"),"",INDEX(J$1:J1665,SUMPRODUCT(MAX(ROW(E$1:E1665)*(E1666=E$1:E1665)))))</f>
        <v/>
      </c>
      <c r="L1666" s="31"/>
    </row>
    <row r="1667" customFormat="false" ht="15" hidden="false" customHeight="false" outlineLevel="0" collapsed="false">
      <c r="A1667" s="20" t="s">
        <v>1307</v>
      </c>
      <c r="E1667" s="23" t="str">
        <f aca="false">IF(D1667="?OLD","!!!","")</f>
        <v/>
      </c>
      <c r="F1667" s="25" t="str">
        <f aca="false">IF(OR(E1667="",E1667="!!!"),"",IF(NOT(ISNA(VLOOKUP(E1667,E$1:E1666,1,FALSE()))),"OLD",IF(AND(E1667&lt;&gt;"",E1667&lt;&gt;"!!!"),"NEW","")))</f>
        <v/>
      </c>
      <c r="G1667" s="26" t="str">
        <f aca="false">IF(OR(E1667="",E1667="!!!"),"",IF(OR(J1667=0,AND(J1667=1,K1667=1),AND(J1667=1,I1667="SBJ"),AND(J1667=1,I1667=0)),"?IN_FOCUS",IF(J1667&lt;=2,"?ACTIVATED",IF(J1667&lt;&gt;"","?FAMILIAR",IF(F1667="NEW",IF(ISNA(VLOOKUP(E1667,#REF!,1,FALSE())),"?TYPE_IDENTIFIABLE","?REFERENTIAL"),"_")))))</f>
        <v/>
      </c>
      <c r="H1667" s="27" t="str">
        <f aca="false">IF(J1667&lt;&gt;1,"",IF(I1667="SBJ","CB","?"))</f>
        <v/>
      </c>
      <c r="I1667" s="24" t="str">
        <f aca="false">IF(OR(E1667="",E1667="!!!",F1667="NEW"),"",INDEX(B11:B$1657,-1+SUMPRODUCT(MAX(ROW(E11:E$1657)*(E1667=E11:E$1657)))))</f>
        <v/>
      </c>
      <c r="J1667" s="24" t="str">
        <f aca="true">IF(OR(E1667="",E1667="!!!",F1667="NEW"),"",COUNTBLANK(OFFSET(A$1,,,SUMPRODUCT(MAX(ROW(E$2:E1667)*(E1667=E$2:E1667)))))-COUNTBLANK(OFFSET(A$1,,,SUMPRODUCT(MAX(ROW(E$1:E1666)*(E2=E$1:E1666))))))</f>
        <v/>
      </c>
      <c r="K1667" s="24" t="str">
        <f aca="false">IF(OR(E1667="",E1667="!!!",F1667="NEW"),"",INDEX(J$1:J1666,SUMPRODUCT(MAX(ROW(E$1:E1666)*(E1667=E$1:E1666)))))</f>
        <v/>
      </c>
      <c r="L1667" s="31"/>
    </row>
    <row r="1668" customFormat="false" ht="15" hidden="false" customHeight="false" outlineLevel="0" collapsed="false">
      <c r="A1668" s="20" t="s">
        <v>607</v>
      </c>
      <c r="E1668" s="23" t="str">
        <f aca="false">IF(D1668="?OLD","!!!","")</f>
        <v/>
      </c>
      <c r="F1668" s="25" t="str">
        <f aca="false">IF(OR(E1668="",E1668="!!!"),"",IF(NOT(ISNA(VLOOKUP(E1668,E$1:E1667,1,FALSE()))),"OLD",IF(AND(E1668&lt;&gt;"",E1668&lt;&gt;"!!!"),"NEW","")))</f>
        <v/>
      </c>
      <c r="G1668" s="26" t="str">
        <f aca="false">IF(OR(E1668="",E1668="!!!"),"",IF(OR(J1668=0,AND(J1668=1,K1668=1),AND(J1668=1,I1668="SBJ"),AND(J1668=1,I1668=0)),"?IN_FOCUS",IF(J1668&lt;=2,"?ACTIVATED",IF(J1668&lt;&gt;"","?FAMILIAR",IF(F1668="NEW",IF(ISNA(VLOOKUP(E1668,#REF!,1,FALSE())),"?TYPE_IDENTIFIABLE","?REFERENTIAL"),"_")))))</f>
        <v/>
      </c>
      <c r="H1668" s="27" t="str">
        <f aca="false">IF(J1668&lt;&gt;1,"",IF(I1668="SBJ","CB","?"))</f>
        <v/>
      </c>
      <c r="I1668" s="24" t="str">
        <f aca="false">IF(OR(E1668="",E1668="!!!",F1668="NEW"),"",INDEX(B12:B$1657,-1+SUMPRODUCT(MAX(ROW(E12:E$1657)*(E1668=E12:E$1657)))))</f>
        <v/>
      </c>
      <c r="J1668" s="24" t="str">
        <f aca="true">IF(OR(E1668="",E1668="!!!",F1668="NEW"),"",COUNTBLANK(OFFSET(A$1,,,SUMPRODUCT(MAX(ROW(E$2:E1668)*(E1668=E$2:E1668)))))-COUNTBLANK(OFFSET(A$1,,,SUMPRODUCT(MAX(ROW(E$1:E1667)*(E2=E$1:E1667))))))</f>
        <v/>
      </c>
      <c r="K1668" s="24" t="str">
        <f aca="false">IF(OR(E1668="",E1668="!!!",F1668="NEW"),"",INDEX(J$1:J1667,SUMPRODUCT(MAX(ROW(E$1:E1667)*(E1668=E$1:E1667)))))</f>
        <v/>
      </c>
      <c r="L1668" s="31"/>
    </row>
    <row r="1669" customFormat="false" ht="15" hidden="false" customHeight="false" outlineLevel="0" collapsed="false">
      <c r="A1669" s="20"/>
    </row>
    <row r="1670" customFormat="false" ht="15" hidden="false" customHeight="false" outlineLevel="0" collapsed="false">
      <c r="A1670" s="20" t="s">
        <v>1301</v>
      </c>
      <c r="E1670" s="23" t="str">
        <f aca="false">IF(D1670="?OLD","!!!","")</f>
        <v/>
      </c>
      <c r="F1670" s="25" t="str">
        <f aca="false">IF(OR(E1670="",E1670="!!!"),"",IF(NOT(ISNA(VLOOKUP(E1670,E$1:E1669,1,FALSE()))),"OLD",IF(AND(E1670&lt;&gt;"",E1670&lt;&gt;"!!!"),"NEW","")))</f>
        <v/>
      </c>
      <c r="G1670" s="26" t="str">
        <f aca="false">IF(OR(E1670="",E1670="!!!"),"",IF(OR(J1670=0,AND(J1670=1,K1670=1),AND(J1670=1,I1670="SBJ"),AND(J1670=1,I1670=0)),"?IN_FOCUS",IF(J1670&lt;=2,"?ACTIVATED",IF(J1670&lt;&gt;"","?FAMILIAR",IF(F1670="NEW",IF(ISNA(VLOOKUP(E1670,#REF!,1,FALSE())),"?TYPE_IDENTIFIABLE","?REFERENTIAL"),"_")))))</f>
        <v/>
      </c>
      <c r="H1670" s="27" t="str">
        <f aca="false">IF(J1670&lt;&gt;1,"",IF(I1670="SBJ","CB","?"))</f>
        <v/>
      </c>
      <c r="I1670" s="24" t="str">
        <f aca="false">IF(OR(E1670="",E1670="!!!",F1670="NEW"),"",INDEX(B2:B$1669,-1+SUMPRODUCT(MAX(ROW(E2:E$1669)*(E1670=E2:E$1669)))))</f>
        <v/>
      </c>
      <c r="J1670" s="24" t="str">
        <f aca="true">IF(OR(E1670="",E1670="!!!",F1670="NEW"),"",COUNTBLANK(OFFSET(A$1,,,SUMPRODUCT(MAX(ROW(E$2:E1670)*(E1670=E$2:E1670)))))-COUNTBLANK(OFFSET(A$1,,,SUMPRODUCT(MAX(ROW(E$1:E1669)*(E2=E$1:E1669))))))</f>
        <v/>
      </c>
      <c r="K1670" s="24" t="str">
        <f aca="false">IF(OR(E1670="",E1670="!!!",F1670="NEW"),"",INDEX(J$1:J1669,SUMPRODUCT(MAX(ROW(E$1:E1669)*(E1670=E$1:E1669)))))</f>
        <v/>
      </c>
      <c r="L1670" s="31"/>
    </row>
    <row r="1671" customFormat="false" ht="15" hidden="false" customHeight="false" outlineLevel="0" collapsed="false">
      <c r="A1671" s="20" t="s">
        <v>1739</v>
      </c>
    </row>
    <row r="1672" customFormat="false" ht="15" hidden="false" customHeight="false" outlineLevel="0" collapsed="false">
      <c r="A1672" s="20" t="s">
        <v>607</v>
      </c>
      <c r="E1672" s="23" t="str">
        <f aca="false">IF(D1672="?OLD","!!!","")</f>
        <v/>
      </c>
      <c r="F1672" s="25" t="str">
        <f aca="false">IF(OR(E1672="",E1672="!!!"),"",IF(NOT(ISNA(VLOOKUP(E1672,E$1:E1671,1,FALSE()))),"OLD",IF(AND(E1672&lt;&gt;"",E1672&lt;&gt;"!!!"),"NEW","")))</f>
        <v/>
      </c>
      <c r="G1672" s="26" t="str">
        <f aca="false">IF(OR(E1672="",E1672="!!!"),"",IF(OR(J1672=0,AND(J1672=1,K1672=1),AND(J1672=1,I1672="SBJ"),AND(J1672=1,I1672=0)),"?IN_FOCUS",IF(J1672&lt;=2,"?ACTIVATED",IF(J1672&lt;&gt;"","?FAMILIAR",IF(F1672="NEW",IF(ISNA(VLOOKUP(E1672,#REF!,1,FALSE())),"?TYPE_IDENTIFIABLE","?REFERENTIAL"),"_")))))</f>
        <v/>
      </c>
      <c r="H1672" s="27" t="str">
        <f aca="false">IF(J1672&lt;&gt;1,"",IF(I1672="SBJ","CB","?"))</f>
        <v/>
      </c>
      <c r="I1672" s="24" t="str">
        <f aca="false">IF(OR(E1672="",E1672="!!!",F1672="NEW"),"",INDEX(B2:B$1671,-1+SUMPRODUCT(MAX(ROW(E2:E$1671)*(E1672=E2:E$1671)))))</f>
        <v/>
      </c>
      <c r="J1672" s="24" t="str">
        <f aca="true">IF(OR(E1672="",E1672="!!!",F1672="NEW"),"",COUNTBLANK(OFFSET(A$1,,,SUMPRODUCT(MAX(ROW(E$2:E1672)*(E1672=E$2:E1672)))))-COUNTBLANK(OFFSET(A$1,,,SUMPRODUCT(MAX(ROW(E$1:E1671)*(E2=E$1:E1671))))))</f>
        <v/>
      </c>
      <c r="K1672" s="24" t="str">
        <f aca="false">IF(OR(E1672="",E1672="!!!",F1672="NEW"),"",INDEX(J$1:J1671,SUMPRODUCT(MAX(ROW(E$1:E1671)*(E1672=E$1:E1671)))))</f>
        <v/>
      </c>
      <c r="L1672" s="31"/>
    </row>
    <row r="1673" customFormat="false" ht="15" hidden="false" customHeight="false" outlineLevel="0" collapsed="false">
      <c r="A1673" s="20" t="s">
        <v>1404</v>
      </c>
      <c r="E1673" s="23" t="str">
        <f aca="false">IF(D1673="?OLD","!!!","")</f>
        <v/>
      </c>
      <c r="F1673" s="25" t="str">
        <f aca="false">IF(OR(E1673="",E1673="!!!"),"",IF(NOT(ISNA(VLOOKUP(E1673,E$1:E1672,1,FALSE()))),"OLD",IF(AND(E1673&lt;&gt;"",E1673&lt;&gt;"!!!"),"NEW","")))</f>
        <v/>
      </c>
      <c r="G1673" s="26" t="str">
        <f aca="false">IF(OR(E1673="",E1673="!!!"),"",IF(OR(J1673=0,AND(J1673=1,K1673=1),AND(J1673=1,I1673="SBJ"),AND(J1673=1,I1673=0)),"?IN_FOCUS",IF(J1673&lt;=2,"?ACTIVATED",IF(J1673&lt;&gt;"","?FAMILIAR",IF(F1673="NEW",IF(ISNA(VLOOKUP(E1673,#REF!,1,FALSE())),"?TYPE_IDENTIFIABLE","?REFERENTIAL"),"_")))))</f>
        <v/>
      </c>
      <c r="H1673" s="27" t="str">
        <f aca="false">IF(J1673&lt;&gt;1,"",IF(I1673="SBJ","CB","?"))</f>
        <v/>
      </c>
      <c r="I1673" s="24" t="str">
        <f aca="false">IF(OR(E1673="",E1673="!!!",F1673="NEW"),"",INDEX(B3:B$1671,-1+SUMPRODUCT(MAX(ROW(E3:E$1671)*(E1673=E3:E$1671)))))</f>
        <v/>
      </c>
      <c r="J1673" s="24" t="str">
        <f aca="true">IF(OR(E1673="",E1673="!!!",F1673="NEW"),"",COUNTBLANK(OFFSET(A$1,,,SUMPRODUCT(MAX(ROW(E$2:E1673)*(E1673=E$2:E1673)))))-COUNTBLANK(OFFSET(A$1,,,SUMPRODUCT(MAX(ROW(E$1:E1672)*(E2=E$1:E1672))))))</f>
        <v/>
      </c>
      <c r="K1673" s="24" t="str">
        <f aca="false">IF(OR(E1673="",E1673="!!!",F1673="NEW"),"",INDEX(J$1:J1672,SUMPRODUCT(MAX(ROW(E$1:E1672)*(E1673=E$1:E1672)))))</f>
        <v/>
      </c>
      <c r="L1673" s="31"/>
    </row>
    <row r="1674" customFormat="false" ht="15" hidden="false" customHeight="false" outlineLevel="0" collapsed="false">
      <c r="A1674" s="20" t="s">
        <v>1076</v>
      </c>
      <c r="E1674" s="23" t="str">
        <f aca="false">IF(D1674="?OLD","!!!","")</f>
        <v/>
      </c>
      <c r="F1674" s="25" t="str">
        <f aca="false">IF(OR(E1674="",E1674="!!!"),"",IF(NOT(ISNA(VLOOKUP(E1674,E$1:E1673,1,FALSE()))),"OLD",IF(AND(E1674&lt;&gt;"",E1674&lt;&gt;"!!!"),"NEW","")))</f>
        <v/>
      </c>
      <c r="G1674" s="26" t="str">
        <f aca="false">IF(OR(E1674="",E1674="!!!"),"",IF(OR(J1674=0,AND(J1674=1,K1674=1),AND(J1674=1,I1674="SBJ"),AND(J1674=1,I1674=0)),"?IN_FOCUS",IF(J1674&lt;=2,"?ACTIVATED",IF(J1674&lt;&gt;"","?FAMILIAR",IF(F1674="NEW",IF(ISNA(VLOOKUP(E1674,#REF!,1,FALSE())),"?TYPE_IDENTIFIABLE","?REFERENTIAL"),"_")))))</f>
        <v/>
      </c>
      <c r="H1674" s="27" t="str">
        <f aca="false">IF(J1674&lt;&gt;1,"",IF(I1674="SBJ","CB","?"))</f>
        <v/>
      </c>
      <c r="I1674" s="24" t="str">
        <f aca="false">IF(OR(E1674="",E1674="!!!",F1674="NEW"),"",INDEX(B4:B$1671,-1+SUMPRODUCT(MAX(ROW(E4:E$1671)*(E1674=E4:E$1671)))))</f>
        <v/>
      </c>
      <c r="J1674" s="24" t="str">
        <f aca="true">IF(OR(E1674="",E1674="!!!",F1674="NEW"),"",COUNTBLANK(OFFSET(A$1,,,SUMPRODUCT(MAX(ROW(E$2:E1674)*(E1674=E$2:E1674)))))-COUNTBLANK(OFFSET(A$1,,,SUMPRODUCT(MAX(ROW(E$1:E1673)*(E2=E$1:E1673))))))</f>
        <v/>
      </c>
      <c r="K1674" s="24" t="str">
        <f aca="false">IF(OR(E1674="",E1674="!!!",F1674="NEW"),"",INDEX(J$1:J1673,SUMPRODUCT(MAX(ROW(E$1:E1673)*(E1674=E$1:E1673)))))</f>
        <v/>
      </c>
      <c r="L1674" s="31"/>
    </row>
    <row r="1675" customFormat="false" ht="15" hidden="false" customHeight="false" outlineLevel="0" collapsed="false">
      <c r="A1675" s="20" t="s">
        <v>1162</v>
      </c>
      <c r="B1675" s="22" t="s">
        <v>1058</v>
      </c>
      <c r="C1675" s="22" t="s">
        <v>1082</v>
      </c>
      <c r="D1675" s="22" t="s">
        <v>1060</v>
      </c>
      <c r="E1675" s="23" t="str">
        <f aca="false">IF(D1675="?OLD","!!!","")</f>
        <v>!!!</v>
      </c>
      <c r="F1675" s="25" t="str">
        <f aca="false">IF(OR(E1675="",E1675="!!!"),"",IF(NOT(ISNA(VLOOKUP(E1675,E$1:E1674,1,FALSE()))),"OLD",IF(AND(E1675&lt;&gt;"",E1675&lt;&gt;"!!!"),"NEW","")))</f>
        <v/>
      </c>
      <c r="G1675" s="26" t="str">
        <f aca="false">IF(OR(E1675="",E1675="!!!"),"",IF(OR(J1675=0,AND(J1675=1,K1675=1),AND(J1675=1,I1675="SBJ"),AND(J1675=1,I1675=0)),"?IN_FOCUS",IF(J1675&lt;=2,"?ACTIVATED",IF(J1675&lt;&gt;"","?FAMILIAR",IF(F1675="NEW",IF(ISNA(VLOOKUP(E1675,#REF!,1,FALSE())),"?TYPE_IDENTIFIABLE","?REFERENTIAL"),"_")))))</f>
        <v/>
      </c>
      <c r="H1675" s="27" t="str">
        <f aca="false">IF(J1675&lt;&gt;1,"",IF(I1675="SBJ","CB","?"))</f>
        <v/>
      </c>
      <c r="I1675" s="24" t="str">
        <f aca="false">IF(OR(E1675="",E1675="!!!",F1675="NEW"),"",INDEX(B5:B$1671,-1+SUMPRODUCT(MAX(ROW(E5:E$1671)*(E1675=E5:E$1671)))))</f>
        <v/>
      </c>
      <c r="J1675" s="24" t="str">
        <f aca="true">IF(OR(E1675="",E1675="!!!",F1675="NEW"),"",COUNTBLANK(OFFSET(A$1,,,SUMPRODUCT(MAX(ROW(E$2:E1675)*(E1675=E$2:E1675)))))-COUNTBLANK(OFFSET(A$1,,,SUMPRODUCT(MAX(ROW(E$1:E1674)*(E2=E$1:E1674))))))</f>
        <v/>
      </c>
      <c r="K1675" s="24" t="str">
        <f aca="false">IF(OR(E1675="",E1675="!!!",F1675="NEW"),"",INDEX(J$1:J1674,SUMPRODUCT(MAX(ROW(E$1:E1674)*(E1675=E$1:E1674)))))</f>
        <v/>
      </c>
      <c r="L1675" s="31"/>
    </row>
    <row r="1676" customFormat="false" ht="15" hidden="false" customHeight="false" outlineLevel="0" collapsed="false">
      <c r="A1676" s="20" t="s">
        <v>153</v>
      </c>
      <c r="E1676" s="23" t="str">
        <f aca="false">IF(D1676="?OLD","!!!","")</f>
        <v/>
      </c>
      <c r="F1676" s="25" t="str">
        <f aca="false">IF(OR(E1676="",E1676="!!!"),"",IF(NOT(ISNA(VLOOKUP(E1676,E$1:E1675,1,FALSE()))),"OLD",IF(AND(E1676&lt;&gt;"",E1676&lt;&gt;"!!!"),"NEW","")))</f>
        <v/>
      </c>
      <c r="G1676" s="26" t="str">
        <f aca="false">IF(OR(E1676="",E1676="!!!"),"",IF(OR(J1676=0,AND(J1676=1,K1676=1),AND(J1676=1,I1676="SBJ"),AND(J1676=1,I1676=0)),"?IN_FOCUS",IF(J1676&lt;=2,"?ACTIVATED",IF(J1676&lt;&gt;"","?FAMILIAR",IF(F1676="NEW",IF(ISNA(VLOOKUP(E1676,#REF!,1,FALSE())),"?TYPE_IDENTIFIABLE","?REFERENTIAL"),"_")))))</f>
        <v/>
      </c>
      <c r="H1676" s="27" t="str">
        <f aca="false">IF(J1676&lt;&gt;1,"",IF(I1676="SBJ","CB","?"))</f>
        <v/>
      </c>
      <c r="I1676" s="24" t="str">
        <f aca="false">IF(OR(E1676="",E1676="!!!",F1676="NEW"),"",INDEX(B6:B$1671,-1+SUMPRODUCT(MAX(ROW(E6:E$1671)*(E1676=E6:E$1671)))))</f>
        <v/>
      </c>
      <c r="J1676" s="24" t="str">
        <f aca="true">IF(OR(E1676="",E1676="!!!",F1676="NEW"),"",COUNTBLANK(OFFSET(A$1,,,SUMPRODUCT(MAX(ROW(E$2:E1676)*(E1676=E$2:E1676)))))-COUNTBLANK(OFFSET(A$1,,,SUMPRODUCT(MAX(ROW(E$1:E1675)*(E2=E$1:E1675))))))</f>
        <v/>
      </c>
      <c r="K1676" s="24" t="str">
        <f aca="false">IF(OR(E1676="",E1676="!!!",F1676="NEW"),"",INDEX(J$1:J1675,SUMPRODUCT(MAX(ROW(E$1:E1675)*(E1676=E$1:E1675)))))</f>
        <v/>
      </c>
      <c r="L1676" s="31"/>
    </row>
    <row r="1677" customFormat="false" ht="15" hidden="false" customHeight="false" outlineLevel="0" collapsed="false">
      <c r="A1677" s="20" t="s">
        <v>1080</v>
      </c>
      <c r="B1677" s="22" t="s">
        <v>1086</v>
      </c>
      <c r="C1677" s="22" t="s">
        <v>1082</v>
      </c>
      <c r="D1677" s="22" t="s">
        <v>1060</v>
      </c>
      <c r="E1677" s="23" t="str">
        <f aca="false">IF(D1677="?OLD","!!!","")</f>
        <v>!!!</v>
      </c>
      <c r="F1677" s="25" t="str">
        <f aca="false">IF(OR(E1677="",E1677="!!!"),"",IF(NOT(ISNA(VLOOKUP(E1677,E$1:E1676,1,FALSE()))),"OLD",IF(AND(E1677&lt;&gt;"",E1677&lt;&gt;"!!!"),"NEW","")))</f>
        <v/>
      </c>
      <c r="G1677" s="26" t="str">
        <f aca="false">IF(OR(E1677="",E1677="!!!"),"",IF(OR(J1677=0,AND(J1677=1,K1677=1),AND(J1677=1,I1677="SBJ"),AND(J1677=1,I1677=0)),"?IN_FOCUS",IF(J1677&lt;=2,"?ACTIVATED",IF(J1677&lt;&gt;"","?FAMILIAR",IF(F1677="NEW",IF(ISNA(VLOOKUP(E1677,#REF!,1,FALSE())),"?TYPE_IDENTIFIABLE","?REFERENTIAL"),"_")))))</f>
        <v/>
      </c>
      <c r="H1677" s="27" t="str">
        <f aca="false">IF(J1677&lt;&gt;1,"",IF(I1677="SBJ","CB","?"))</f>
        <v/>
      </c>
      <c r="I1677" s="24" t="str">
        <f aca="false">IF(OR(E1677="",E1677="!!!",F1677="NEW"),"",INDEX(B7:B$1671,-1+SUMPRODUCT(MAX(ROW(E7:E$1671)*(E1677=E7:E$1671)))))</f>
        <v/>
      </c>
      <c r="J1677" s="24" t="str">
        <f aca="true">IF(OR(E1677="",E1677="!!!",F1677="NEW"),"",COUNTBLANK(OFFSET(A$1,,,SUMPRODUCT(MAX(ROW(E$2:E1677)*(E1677=E$2:E1677)))))-COUNTBLANK(OFFSET(A$1,,,SUMPRODUCT(MAX(ROW(E$1:E1676)*(E2=E$1:E1676))))))</f>
        <v/>
      </c>
      <c r="K1677" s="24" t="str">
        <f aca="false">IF(OR(E1677="",E1677="!!!",F1677="NEW"),"",INDEX(J$1:J1676,SUMPRODUCT(MAX(ROW(E$1:E1676)*(E1677=E$1:E1676)))))</f>
        <v/>
      </c>
      <c r="L1677" s="31"/>
    </row>
    <row r="1678" customFormat="false" ht="15" hidden="false" customHeight="false" outlineLevel="0" collapsed="false">
      <c r="A1678" s="20" t="s">
        <v>1207</v>
      </c>
      <c r="E1678" s="23" t="str">
        <f aca="false">IF(D1678="?OLD","!!!","")</f>
        <v/>
      </c>
      <c r="F1678" s="25" t="str">
        <f aca="false">IF(OR(E1678="",E1678="!!!"),"",IF(NOT(ISNA(VLOOKUP(E1678,E$1:E1677,1,FALSE()))),"OLD",IF(AND(E1678&lt;&gt;"",E1678&lt;&gt;"!!!"),"NEW","")))</f>
        <v/>
      </c>
      <c r="G1678" s="26" t="str">
        <f aca="false">IF(OR(E1678="",E1678="!!!"),"",IF(OR(J1678=0,AND(J1678=1,K1678=1),AND(J1678=1,I1678="SBJ"),AND(J1678=1,I1678=0)),"?IN_FOCUS",IF(J1678&lt;=2,"?ACTIVATED",IF(J1678&lt;&gt;"","?FAMILIAR",IF(F1678="NEW",IF(ISNA(VLOOKUP(E1678,#REF!,1,FALSE())),"?TYPE_IDENTIFIABLE","?REFERENTIAL"),"_")))))</f>
        <v/>
      </c>
      <c r="H1678" s="27" t="str">
        <f aca="false">IF(J1678&lt;&gt;1,"",IF(I1678="SBJ","CB","?"))</f>
        <v/>
      </c>
      <c r="I1678" s="24" t="str">
        <f aca="false">IF(OR(E1678="",E1678="!!!",F1678="NEW"),"",INDEX(B8:B$1671,-1+SUMPRODUCT(MAX(ROW(E8:E$1671)*(E1678=E8:E$1671)))))</f>
        <v/>
      </c>
      <c r="J1678" s="24" t="str">
        <f aca="true">IF(OR(E1678="",E1678="!!!",F1678="NEW"),"",COUNTBLANK(OFFSET(A$1,,,SUMPRODUCT(MAX(ROW(E$2:E1678)*(E1678=E$2:E1678)))))-COUNTBLANK(OFFSET(A$1,,,SUMPRODUCT(MAX(ROW(E$1:E1677)*(E2=E$1:E1677))))))</f>
        <v/>
      </c>
      <c r="K1678" s="24" t="str">
        <f aca="false">IF(OR(E1678="",E1678="!!!",F1678="NEW"),"",INDEX(J$1:J1677,SUMPRODUCT(MAX(ROW(E$1:E1677)*(E1678=E$1:E1677)))))</f>
        <v/>
      </c>
      <c r="L1678" s="31"/>
    </row>
    <row r="1679" customFormat="false" ht="15" hidden="false" customHeight="false" outlineLevel="0" collapsed="false">
      <c r="A1679" s="20" t="s">
        <v>185</v>
      </c>
      <c r="E1679" s="23" t="str">
        <f aca="false">IF(D1679="?OLD","!!!","")</f>
        <v/>
      </c>
      <c r="F1679" s="25" t="str">
        <f aca="false">IF(OR(E1679="",E1679="!!!"),"",IF(NOT(ISNA(VLOOKUP(E1679,E$1:E1678,1,FALSE()))),"OLD",IF(AND(E1679&lt;&gt;"",E1679&lt;&gt;"!!!"),"NEW","")))</f>
        <v/>
      </c>
      <c r="G1679" s="26" t="str">
        <f aca="false">IF(OR(E1679="",E1679="!!!"),"",IF(OR(J1679=0,AND(J1679=1,K1679=1),AND(J1679=1,I1679="SBJ"),AND(J1679=1,I1679=0)),"?IN_FOCUS",IF(J1679&lt;=2,"?ACTIVATED",IF(J1679&lt;&gt;"","?FAMILIAR",IF(F1679="NEW",IF(ISNA(VLOOKUP(E1679,#REF!,1,FALSE())),"?TYPE_IDENTIFIABLE","?REFERENTIAL"),"_")))))</f>
        <v/>
      </c>
      <c r="H1679" s="27" t="str">
        <f aca="false">IF(J1679&lt;&gt;1,"",IF(I1679="SBJ","CB","?"))</f>
        <v/>
      </c>
      <c r="I1679" s="24" t="str">
        <f aca="false">IF(OR(E1679="",E1679="!!!",F1679="NEW"),"",INDEX(B9:B$1671,-1+SUMPRODUCT(MAX(ROW(E9:E$1671)*(E1679=E9:E$1671)))))</f>
        <v/>
      </c>
      <c r="J1679" s="24" t="str">
        <f aca="true">IF(OR(E1679="",E1679="!!!",F1679="NEW"),"",COUNTBLANK(OFFSET(A$1,,,SUMPRODUCT(MAX(ROW(E$2:E1679)*(E1679=E$2:E1679)))))-COUNTBLANK(OFFSET(A$1,,,SUMPRODUCT(MAX(ROW(E$1:E1678)*(E2=E$1:E1678))))))</f>
        <v/>
      </c>
      <c r="K1679" s="24" t="str">
        <f aca="false">IF(OR(E1679="",E1679="!!!",F1679="NEW"),"",INDEX(J$1:J1678,SUMPRODUCT(MAX(ROW(E$1:E1678)*(E1679=E$1:E1678)))))</f>
        <v/>
      </c>
      <c r="L1679" s="31"/>
    </row>
    <row r="1680" customFormat="false" ht="15" hidden="false" customHeight="false" outlineLevel="0" collapsed="false">
      <c r="A1680" s="20" t="s">
        <v>1157</v>
      </c>
      <c r="E1680" s="23" t="str">
        <f aca="false">IF(D1680="?OLD","!!!","")</f>
        <v/>
      </c>
      <c r="F1680" s="25" t="str">
        <f aca="false">IF(OR(E1680="",E1680="!!!"),"",IF(NOT(ISNA(VLOOKUP(E1680,E$1:E1679,1,FALSE()))),"OLD",IF(AND(E1680&lt;&gt;"",E1680&lt;&gt;"!!!"),"NEW","")))</f>
        <v/>
      </c>
      <c r="G1680" s="26" t="str">
        <f aca="false">IF(OR(E1680="",E1680="!!!"),"",IF(OR(J1680=0,AND(J1680=1,K1680=1),AND(J1680=1,I1680="SBJ"),AND(J1680=1,I1680=0)),"?IN_FOCUS",IF(J1680&lt;=2,"?ACTIVATED",IF(J1680&lt;&gt;"","?FAMILIAR",IF(F1680="NEW",IF(ISNA(VLOOKUP(E1680,#REF!,1,FALSE())),"?TYPE_IDENTIFIABLE","?REFERENTIAL"),"_")))))</f>
        <v/>
      </c>
      <c r="H1680" s="27" t="str">
        <f aca="false">IF(J1680&lt;&gt;1,"",IF(I1680="SBJ","CB","?"))</f>
        <v/>
      </c>
      <c r="I1680" s="24" t="str">
        <f aca="false">IF(OR(E1680="",E1680="!!!",F1680="NEW"),"",INDEX(B10:B$1671,-1+SUMPRODUCT(MAX(ROW(E10:E$1671)*(E1680=E10:E$1671)))))</f>
        <v/>
      </c>
      <c r="J1680" s="24" t="str">
        <f aca="true">IF(OR(E1680="",E1680="!!!",F1680="NEW"),"",COUNTBLANK(OFFSET(A$1,,,SUMPRODUCT(MAX(ROW(E$2:E1680)*(E1680=E$2:E1680)))))-COUNTBLANK(OFFSET(A$1,,,SUMPRODUCT(MAX(ROW(E$1:E1679)*(E2=E$1:E1679))))))</f>
        <v/>
      </c>
      <c r="K1680" s="24" t="str">
        <f aca="false">IF(OR(E1680="",E1680="!!!",F1680="NEW"),"",INDEX(J$1:J1679,SUMPRODUCT(MAX(ROW(E$1:E1679)*(E1680=E$1:E1679)))))</f>
        <v/>
      </c>
      <c r="L1680" s="31"/>
    </row>
    <row r="1681" customFormat="false" ht="15" hidden="false" customHeight="false" outlineLevel="0" collapsed="false">
      <c r="A1681" s="20" t="s">
        <v>1601</v>
      </c>
      <c r="E1681" s="23" t="str">
        <f aca="false">IF(D1681="?OLD","!!!","")</f>
        <v/>
      </c>
      <c r="F1681" s="25" t="str">
        <f aca="false">IF(OR(E1681="",E1681="!!!"),"",IF(NOT(ISNA(VLOOKUP(E1681,E$1:E1680,1,FALSE()))),"OLD",IF(AND(E1681&lt;&gt;"",E1681&lt;&gt;"!!!"),"NEW","")))</f>
        <v/>
      </c>
      <c r="G1681" s="26" t="str">
        <f aca="false">IF(OR(E1681="",E1681="!!!"),"",IF(OR(J1681=0,AND(J1681=1,K1681=1),AND(J1681=1,I1681="SBJ"),AND(J1681=1,I1681=0)),"?IN_FOCUS",IF(J1681&lt;=2,"?ACTIVATED",IF(J1681&lt;&gt;"","?FAMILIAR",IF(F1681="NEW",IF(ISNA(VLOOKUP(E1681,#REF!,1,FALSE())),"?TYPE_IDENTIFIABLE","?REFERENTIAL"),"_")))))</f>
        <v/>
      </c>
      <c r="H1681" s="27" t="str">
        <f aca="false">IF(J1681&lt;&gt;1,"",IF(I1681="SBJ","CB","?"))</f>
        <v/>
      </c>
      <c r="I1681" s="24" t="str">
        <f aca="false">IF(OR(E1681="",E1681="!!!",F1681="NEW"),"",INDEX(B11:B$1671,-1+SUMPRODUCT(MAX(ROW(E11:E$1671)*(E1681=E11:E$1671)))))</f>
        <v/>
      </c>
      <c r="J1681" s="24" t="str">
        <f aca="true">IF(OR(E1681="",E1681="!!!",F1681="NEW"),"",COUNTBLANK(OFFSET(A$1,,,SUMPRODUCT(MAX(ROW(E$2:E1681)*(E1681=E$2:E1681)))))-COUNTBLANK(OFFSET(A$1,,,SUMPRODUCT(MAX(ROW(E$1:E1680)*(E2=E$1:E1680))))))</f>
        <v/>
      </c>
      <c r="K1681" s="24" t="str">
        <f aca="false">IF(OR(E1681="",E1681="!!!",F1681="NEW"),"",INDEX(J$1:J1680,SUMPRODUCT(MAX(ROW(E$1:E1680)*(E1681=E$1:E1680)))))</f>
        <v/>
      </c>
      <c r="L1681" s="31"/>
    </row>
    <row r="1682" customFormat="false" ht="15" hidden="false" customHeight="false" outlineLevel="0" collapsed="false">
      <c r="A1682" s="20" t="s">
        <v>923</v>
      </c>
      <c r="E1682" s="23" t="str">
        <f aca="false">IF(D1682="?OLD","!!!","")</f>
        <v/>
      </c>
      <c r="F1682" s="25" t="str">
        <f aca="false">IF(OR(E1682="",E1682="!!!"),"",IF(NOT(ISNA(VLOOKUP(E1682,E$1:E1681,1,FALSE()))),"OLD",IF(AND(E1682&lt;&gt;"",E1682&lt;&gt;"!!!"),"NEW","")))</f>
        <v/>
      </c>
      <c r="G1682" s="26" t="str">
        <f aca="false">IF(OR(E1682="",E1682="!!!"),"",IF(OR(J1682=0,AND(J1682=1,K1682=1),AND(J1682=1,I1682="SBJ"),AND(J1682=1,I1682=0)),"?IN_FOCUS",IF(J1682&lt;=2,"?ACTIVATED",IF(J1682&lt;&gt;"","?FAMILIAR",IF(F1682="NEW",IF(ISNA(VLOOKUP(E1682,#REF!,1,FALSE())),"?TYPE_IDENTIFIABLE","?REFERENTIAL"),"_")))))</f>
        <v/>
      </c>
      <c r="H1682" s="27" t="str">
        <f aca="false">IF(J1682&lt;&gt;1,"",IF(I1682="SBJ","CB","?"))</f>
        <v/>
      </c>
      <c r="I1682" s="24" t="str">
        <f aca="false">IF(OR(E1682="",E1682="!!!",F1682="NEW"),"",INDEX(B12:B$1671,-1+SUMPRODUCT(MAX(ROW(E12:E$1671)*(E1682=E12:E$1671)))))</f>
        <v/>
      </c>
      <c r="J1682" s="24" t="str">
        <f aca="true">IF(OR(E1682="",E1682="!!!",F1682="NEW"),"",COUNTBLANK(OFFSET(A$1,,,SUMPRODUCT(MAX(ROW(E$2:E1682)*(E1682=E$2:E1682)))))-COUNTBLANK(OFFSET(A$1,,,SUMPRODUCT(MAX(ROW(E$1:E1681)*(E2=E$1:E1681))))))</f>
        <v/>
      </c>
      <c r="K1682" s="24" t="str">
        <f aca="false">IF(OR(E1682="",E1682="!!!",F1682="NEW"),"",INDEX(J$1:J1681,SUMPRODUCT(MAX(ROW(E$1:E1681)*(E1682=E$1:E1681)))))</f>
        <v/>
      </c>
      <c r="L1682" s="31"/>
    </row>
    <row r="1683" customFormat="false" ht="15" hidden="false" customHeight="false" outlineLevel="0" collapsed="false">
      <c r="A1683" s="20" t="s">
        <v>607</v>
      </c>
      <c r="E1683" s="23" t="str">
        <f aca="false">IF(D1683="?OLD","!!!","")</f>
        <v/>
      </c>
      <c r="F1683" s="25" t="str">
        <f aca="false">IF(OR(E1683="",E1683="!!!"),"",IF(NOT(ISNA(VLOOKUP(E1683,E$1:E1682,1,FALSE()))),"OLD",IF(AND(E1683&lt;&gt;"",E1683&lt;&gt;"!!!"),"NEW","")))</f>
        <v/>
      </c>
      <c r="G1683" s="26" t="str">
        <f aca="false">IF(OR(E1683="",E1683="!!!"),"",IF(OR(J1683=0,AND(J1683=1,K1683=1),AND(J1683=1,I1683="SBJ"),AND(J1683=1,I1683=0)),"?IN_FOCUS",IF(J1683&lt;=2,"?ACTIVATED",IF(J1683&lt;&gt;"","?FAMILIAR",IF(F1683="NEW",IF(ISNA(VLOOKUP(E1683,#REF!,1,FALSE())),"?TYPE_IDENTIFIABLE","?REFERENTIAL"),"_")))))</f>
        <v/>
      </c>
      <c r="H1683" s="27" t="str">
        <f aca="false">IF(J1683&lt;&gt;1,"",IF(I1683="SBJ","CB","?"))</f>
        <v/>
      </c>
      <c r="I1683" s="24" t="str">
        <f aca="false">IF(OR(E1683="",E1683="!!!",F1683="NEW"),"",INDEX(B13:B$1671,-1+SUMPRODUCT(MAX(ROW(E13:E$1671)*(E1683=E13:E$1671)))))</f>
        <v/>
      </c>
      <c r="J1683" s="24" t="str">
        <f aca="true">IF(OR(E1683="",E1683="!!!",F1683="NEW"),"",COUNTBLANK(OFFSET(A$1,,,SUMPRODUCT(MAX(ROW(E$2:E1683)*(E1683=E$2:E1683)))))-COUNTBLANK(OFFSET(A$1,,,SUMPRODUCT(MAX(ROW(E$1:E1682)*(E2=E$1:E1682))))))</f>
        <v/>
      </c>
      <c r="K1683" s="24" t="str">
        <f aca="false">IF(OR(E1683="",E1683="!!!",F1683="NEW"),"",INDEX(J$1:J1682,SUMPRODUCT(MAX(ROW(E$1:E1682)*(E1683=E$1:E1682)))))</f>
        <v/>
      </c>
      <c r="L1683" s="31"/>
    </row>
    <row r="1684" customFormat="false" ht="15" hidden="false" customHeight="false" outlineLevel="0" collapsed="false">
      <c r="A1684" s="20"/>
    </row>
    <row r="1685" customFormat="false" ht="15" hidden="false" customHeight="false" outlineLevel="0" collapsed="false">
      <c r="A1685" s="20" t="s">
        <v>1740</v>
      </c>
    </row>
    <row r="1686" customFormat="false" ht="15" hidden="false" customHeight="false" outlineLevel="0" collapsed="false">
      <c r="A1686" s="20" t="s">
        <v>1741</v>
      </c>
      <c r="E1686" s="23" t="str">
        <f aca="false">IF(D1686="?OLD","!!!","")</f>
        <v/>
      </c>
      <c r="F1686" s="25" t="str">
        <f aca="false">IF(OR(E1686="",E1686="!!!"),"",IF(NOT(ISNA(VLOOKUP(E1686,E$1:E1685,1,FALSE()))),"OLD",IF(AND(E1686&lt;&gt;"",E1686&lt;&gt;"!!!"),"NEW","")))</f>
        <v/>
      </c>
      <c r="G1686" s="26" t="str">
        <f aca="false">IF(OR(E1686="",E1686="!!!"),"",IF(OR(J1686=0,AND(J1686=1,K1686=1),AND(J1686=1,I1686="SBJ"),AND(J1686=1,I1686=0)),"?IN_FOCUS",IF(J1686&lt;=2,"?ACTIVATED",IF(J1686&lt;&gt;"","?FAMILIAR",IF(F1686="NEW",IF(ISNA(VLOOKUP(E1686,#REF!,1,FALSE())),"?TYPE_IDENTIFIABLE","?REFERENTIAL"),"_")))))</f>
        <v/>
      </c>
      <c r="H1686" s="27" t="str">
        <f aca="false">IF(J1686&lt;&gt;1,"",IF(I1686="SBJ","CB","?"))</f>
        <v/>
      </c>
      <c r="I1686" s="24" t="str">
        <f aca="false">IF(OR(E1686="",E1686="!!!",F1686="NEW"),"",INDEX(B2:B$1685,-1+SUMPRODUCT(MAX(ROW(E2:E$1685)*(E1686=E2:E$1685)))))</f>
        <v/>
      </c>
      <c r="J1686" s="24" t="str">
        <f aca="true">IF(OR(E1686="",E1686="!!!",F1686="NEW"),"",COUNTBLANK(OFFSET(A$1,,,SUMPRODUCT(MAX(ROW(E$2:E1686)*(E1686=E$2:E1686)))))-COUNTBLANK(OFFSET(A$1,,,SUMPRODUCT(MAX(ROW(E$1:E1685)*(E2=E$1:E1685))))))</f>
        <v/>
      </c>
      <c r="K1686" s="24" t="str">
        <f aca="false">IF(OR(E1686="",E1686="!!!",F1686="NEW"),"",INDEX(J$1:J1685,SUMPRODUCT(MAX(ROW(E$1:E1685)*(E1686=E$1:E1685)))))</f>
        <v/>
      </c>
      <c r="L1686" s="31"/>
    </row>
    <row r="1687" customFormat="false" ht="15" hidden="false" customHeight="false" outlineLevel="0" collapsed="false">
      <c r="A1687" s="20" t="s">
        <v>1157</v>
      </c>
      <c r="E1687" s="23" t="str">
        <f aca="false">IF(D1687="?OLD","!!!","")</f>
        <v/>
      </c>
      <c r="F1687" s="25" t="str">
        <f aca="false">IF(OR(E1687="",E1687="!!!"),"",IF(NOT(ISNA(VLOOKUP(E1687,E$1:E1686,1,FALSE()))),"OLD",IF(AND(E1687&lt;&gt;"",E1687&lt;&gt;"!!!"),"NEW","")))</f>
        <v/>
      </c>
      <c r="G1687" s="26" t="str">
        <f aca="false">IF(OR(E1687="",E1687="!!!"),"",IF(OR(J1687=0,AND(J1687=1,K1687=1),AND(J1687=1,I1687="SBJ"),AND(J1687=1,I1687=0)),"?IN_FOCUS",IF(J1687&lt;=2,"?ACTIVATED",IF(J1687&lt;&gt;"","?FAMILIAR",IF(F1687="NEW",IF(ISNA(VLOOKUP(E1687,#REF!,1,FALSE())),"?TYPE_IDENTIFIABLE","?REFERENTIAL"),"_")))))</f>
        <v/>
      </c>
      <c r="H1687" s="27" t="str">
        <f aca="false">IF(J1687&lt;&gt;1,"",IF(I1687="SBJ","CB","?"))</f>
        <v/>
      </c>
      <c r="I1687" s="24" t="str">
        <f aca="false">IF(OR(E1687="",E1687="!!!",F1687="NEW"),"",INDEX(B3:B$1685,-1+SUMPRODUCT(MAX(ROW(E3:E$1685)*(E1687=E3:E$1685)))))</f>
        <v/>
      </c>
      <c r="J1687" s="24" t="str">
        <f aca="true">IF(OR(E1687="",E1687="!!!",F1687="NEW"),"",COUNTBLANK(OFFSET(A$1,,,SUMPRODUCT(MAX(ROW(E$2:E1687)*(E1687=E$2:E1687)))))-COUNTBLANK(OFFSET(A$1,,,SUMPRODUCT(MAX(ROW(E$1:E1686)*(E2=E$1:E1686))))))</f>
        <v/>
      </c>
      <c r="K1687" s="24" t="str">
        <f aca="false">IF(OR(E1687="",E1687="!!!",F1687="NEW"),"",INDEX(J$1:J1686,SUMPRODUCT(MAX(ROW(E$1:E1686)*(E1687=E$1:E1686)))))</f>
        <v/>
      </c>
      <c r="L1687" s="31"/>
    </row>
    <row r="1688" customFormat="false" ht="15" hidden="false" customHeight="false" outlineLevel="0" collapsed="false">
      <c r="A1688" s="20" t="s">
        <v>1109</v>
      </c>
      <c r="E1688" s="23" t="str">
        <f aca="false">IF(D1688="?OLD","!!!","")</f>
        <v/>
      </c>
      <c r="F1688" s="25" t="str">
        <f aca="false">IF(OR(E1688="",E1688="!!!"),"",IF(NOT(ISNA(VLOOKUP(E1688,E$1:E1687,1,FALSE()))),"OLD",IF(AND(E1688&lt;&gt;"",E1688&lt;&gt;"!!!"),"NEW","")))</f>
        <v/>
      </c>
      <c r="G1688" s="26" t="str">
        <f aca="false">IF(OR(E1688="",E1688="!!!"),"",IF(OR(J1688=0,AND(J1688=1,K1688=1),AND(J1688=1,I1688="SBJ"),AND(J1688=1,I1688=0)),"?IN_FOCUS",IF(J1688&lt;=2,"?ACTIVATED",IF(J1688&lt;&gt;"","?FAMILIAR",IF(F1688="NEW",IF(ISNA(VLOOKUP(E1688,#REF!,1,FALSE())),"?TYPE_IDENTIFIABLE","?REFERENTIAL"),"_")))))</f>
        <v/>
      </c>
      <c r="H1688" s="27" t="str">
        <f aca="false">IF(J1688&lt;&gt;1,"",IF(I1688="SBJ","CB","?"))</f>
        <v/>
      </c>
      <c r="I1688" s="24" t="str">
        <f aca="false">IF(OR(E1688="",E1688="!!!",F1688="NEW"),"",INDEX(B4:B$1685,-1+SUMPRODUCT(MAX(ROW(E4:E$1685)*(E1688=E4:E$1685)))))</f>
        <v/>
      </c>
      <c r="J1688" s="24" t="str">
        <f aca="true">IF(OR(E1688="",E1688="!!!",F1688="NEW"),"",COUNTBLANK(OFFSET(A$1,,,SUMPRODUCT(MAX(ROW(E$2:E1688)*(E1688=E$2:E1688)))))-COUNTBLANK(OFFSET(A$1,,,SUMPRODUCT(MAX(ROW(E$1:E1687)*(E2=E$1:E1687))))))</f>
        <v/>
      </c>
      <c r="K1688" s="24" t="str">
        <f aca="false">IF(OR(E1688="",E1688="!!!",F1688="NEW"),"",INDEX(J$1:J1687,SUMPRODUCT(MAX(ROW(E$1:E1687)*(E1688=E$1:E1687)))))</f>
        <v/>
      </c>
      <c r="L1688" s="31"/>
    </row>
    <row r="1689" customFormat="false" ht="15" hidden="false" customHeight="false" outlineLevel="0" collapsed="false">
      <c r="A1689" s="20" t="s">
        <v>1358</v>
      </c>
      <c r="E1689" s="23" t="str">
        <f aca="false">IF(D1689="?OLD","!!!","")</f>
        <v/>
      </c>
      <c r="F1689" s="25" t="str">
        <f aca="false">IF(OR(E1689="",E1689="!!!"),"",IF(NOT(ISNA(VLOOKUP(E1689,E$1:E1688,1,FALSE()))),"OLD",IF(AND(E1689&lt;&gt;"",E1689&lt;&gt;"!!!"),"NEW","")))</f>
        <v/>
      </c>
      <c r="G1689" s="26" t="str">
        <f aca="false">IF(OR(E1689="",E1689="!!!"),"",IF(OR(J1689=0,AND(J1689=1,K1689=1),AND(J1689=1,I1689="SBJ"),AND(J1689=1,I1689=0)),"?IN_FOCUS",IF(J1689&lt;=2,"?ACTIVATED",IF(J1689&lt;&gt;"","?FAMILIAR",IF(F1689="NEW",IF(ISNA(VLOOKUP(E1689,#REF!,1,FALSE())),"?TYPE_IDENTIFIABLE","?REFERENTIAL"),"_")))))</f>
        <v/>
      </c>
      <c r="H1689" s="27" t="str">
        <f aca="false">IF(J1689&lt;&gt;1,"",IF(I1689="SBJ","CB","?"))</f>
        <v/>
      </c>
      <c r="I1689" s="24" t="str">
        <f aca="false">IF(OR(E1689="",E1689="!!!",F1689="NEW"),"",INDEX(B5:B$1685,-1+SUMPRODUCT(MAX(ROW(E5:E$1685)*(E1689=E5:E$1685)))))</f>
        <v/>
      </c>
      <c r="J1689" s="24" t="str">
        <f aca="true">IF(OR(E1689="",E1689="!!!",F1689="NEW"),"",COUNTBLANK(OFFSET(A$1,,,SUMPRODUCT(MAX(ROW(E$2:E1689)*(E1689=E$2:E1689)))))-COUNTBLANK(OFFSET(A$1,,,SUMPRODUCT(MAX(ROW(E$1:E1688)*(E2=E$1:E1688))))))</f>
        <v/>
      </c>
      <c r="K1689" s="24" t="str">
        <f aca="false">IF(OR(E1689="",E1689="!!!",F1689="NEW"),"",INDEX(J$1:J1688,SUMPRODUCT(MAX(ROW(E$1:E1688)*(E1689=E$1:E1688)))))</f>
        <v/>
      </c>
      <c r="L1689" s="31"/>
    </row>
    <row r="1690" customFormat="false" ht="15" hidden="false" customHeight="false" outlineLevel="0" collapsed="false">
      <c r="A1690" s="20" t="s">
        <v>16</v>
      </c>
      <c r="E1690" s="23" t="str">
        <f aca="false">IF(D1690="?OLD","!!!","")</f>
        <v/>
      </c>
      <c r="F1690" s="25" t="str">
        <f aca="false">IF(OR(E1690="",E1690="!!!"),"",IF(NOT(ISNA(VLOOKUP(E1690,E$1:E1689,1,FALSE()))),"OLD",IF(AND(E1690&lt;&gt;"",E1690&lt;&gt;"!!!"),"NEW","")))</f>
        <v/>
      </c>
      <c r="G1690" s="26" t="str">
        <f aca="false">IF(OR(E1690="",E1690="!!!"),"",IF(OR(J1690=0,AND(J1690=1,K1690=1),AND(J1690=1,I1690="SBJ"),AND(J1690=1,I1690=0)),"?IN_FOCUS",IF(J1690&lt;=2,"?ACTIVATED",IF(J1690&lt;&gt;"","?FAMILIAR",IF(F1690="NEW",IF(ISNA(VLOOKUP(E1690,#REF!,1,FALSE())),"?TYPE_IDENTIFIABLE","?REFERENTIAL"),"_")))))</f>
        <v/>
      </c>
      <c r="H1690" s="27" t="str">
        <f aca="false">IF(J1690&lt;&gt;1,"",IF(I1690="SBJ","CB","?"))</f>
        <v/>
      </c>
      <c r="I1690" s="24" t="str">
        <f aca="false">IF(OR(E1690="",E1690="!!!",F1690="NEW"),"",INDEX(B6:B$1685,-1+SUMPRODUCT(MAX(ROW(E6:E$1685)*(E1690=E6:E$1685)))))</f>
        <v/>
      </c>
      <c r="J1690" s="24" t="str">
        <f aca="true">IF(OR(E1690="",E1690="!!!",F1690="NEW"),"",COUNTBLANK(OFFSET(A$1,,,SUMPRODUCT(MAX(ROW(E$2:E1690)*(E1690=E$2:E1690)))))-COUNTBLANK(OFFSET(A$1,,,SUMPRODUCT(MAX(ROW(E$1:E1689)*(E2=E$1:E1689))))))</f>
        <v/>
      </c>
      <c r="K1690" s="24" t="str">
        <f aca="false">IF(OR(E1690="",E1690="!!!",F1690="NEW"),"",INDEX(J$1:J1689,SUMPRODUCT(MAX(ROW(E$1:E1689)*(E1690=E$1:E1689)))))</f>
        <v/>
      </c>
      <c r="L1690" s="31"/>
    </row>
    <row r="1691" customFormat="false" ht="15" hidden="false" customHeight="false" outlineLevel="0" collapsed="false">
      <c r="A1691" s="20" t="s">
        <v>1711</v>
      </c>
      <c r="B1691" s="22" t="s">
        <v>1073</v>
      </c>
      <c r="C1691" s="22" t="s">
        <v>1150</v>
      </c>
      <c r="D1691" s="22" t="s">
        <v>1060</v>
      </c>
      <c r="E1691" s="23" t="str">
        <f aca="false">IF(D1691="?OLD","!!!","")</f>
        <v>!!!</v>
      </c>
      <c r="F1691" s="25" t="str">
        <f aca="false">IF(OR(E1691="",E1691="!!!"),"",IF(NOT(ISNA(VLOOKUP(E1691,E$1:E1690,1,FALSE()))),"OLD",IF(AND(E1691&lt;&gt;"",E1691&lt;&gt;"!!!"),"NEW","")))</f>
        <v/>
      </c>
      <c r="G1691" s="26" t="str">
        <f aca="false">IF(OR(E1691="",E1691="!!!"),"",IF(OR(J1691=0,AND(J1691=1,K1691=1),AND(J1691=1,I1691="SBJ"),AND(J1691=1,I1691=0)),"?IN_FOCUS",IF(J1691&lt;=2,"?ACTIVATED",IF(J1691&lt;&gt;"","?FAMILIAR",IF(F1691="NEW",IF(ISNA(VLOOKUP(E1691,#REF!,1,FALSE())),"?TYPE_IDENTIFIABLE","?REFERENTIAL"),"_")))))</f>
        <v/>
      </c>
      <c r="H1691" s="27" t="str">
        <f aca="false">IF(J1691&lt;&gt;1,"",IF(I1691="SBJ","CB","?"))</f>
        <v/>
      </c>
      <c r="I1691" s="24" t="str">
        <f aca="false">IF(OR(E1691="",E1691="!!!",F1691="NEW"),"",INDEX(B7:B$1685,-1+SUMPRODUCT(MAX(ROW(E7:E$1685)*(E1691=E7:E$1685)))))</f>
        <v/>
      </c>
      <c r="J1691" s="24" t="str">
        <f aca="true">IF(OR(E1691="",E1691="!!!",F1691="NEW"),"",COUNTBLANK(OFFSET(A$1,,,SUMPRODUCT(MAX(ROW(E$2:E1691)*(E1691=E$2:E1691)))))-COUNTBLANK(OFFSET(A$1,,,SUMPRODUCT(MAX(ROW(E$1:E1690)*(E2=E$1:E1690))))))</f>
        <v/>
      </c>
      <c r="K1691" s="24" t="str">
        <f aca="false">IF(OR(E1691="",E1691="!!!",F1691="NEW"),"",INDEX(J$1:J1690,SUMPRODUCT(MAX(ROW(E$1:E1690)*(E1691=E$1:E1690)))))</f>
        <v/>
      </c>
      <c r="L1691" s="31"/>
    </row>
    <row r="1692" customFormat="false" ht="15" hidden="false" customHeight="false" outlineLevel="0" collapsed="false">
      <c r="A1692" s="20" t="s">
        <v>1742</v>
      </c>
      <c r="E1692" s="23" t="str">
        <f aca="false">IF(D1692="?OLD","!!!","")</f>
        <v/>
      </c>
      <c r="F1692" s="25" t="str">
        <f aca="false">IF(OR(E1692="",E1692="!!!"),"",IF(NOT(ISNA(VLOOKUP(E1692,E$1:E1691,1,FALSE()))),"OLD",IF(AND(E1692&lt;&gt;"",E1692&lt;&gt;"!!!"),"NEW","")))</f>
        <v/>
      </c>
      <c r="G1692" s="26" t="str">
        <f aca="false">IF(OR(E1692="",E1692="!!!"),"",IF(OR(J1692=0,AND(J1692=1,K1692=1),AND(J1692=1,I1692="SBJ"),AND(J1692=1,I1692=0)),"?IN_FOCUS",IF(J1692&lt;=2,"?ACTIVATED",IF(J1692&lt;&gt;"","?FAMILIAR",IF(F1692="NEW",IF(ISNA(VLOOKUP(E1692,#REF!,1,FALSE())),"?TYPE_IDENTIFIABLE","?REFERENTIAL"),"_")))))</f>
        <v/>
      </c>
      <c r="H1692" s="27" t="str">
        <f aca="false">IF(J1692&lt;&gt;1,"",IF(I1692="SBJ","CB","?"))</f>
        <v/>
      </c>
      <c r="I1692" s="24" t="str">
        <f aca="false">IF(OR(E1692="",E1692="!!!",F1692="NEW"),"",INDEX(B8:B$1685,-1+SUMPRODUCT(MAX(ROW(E8:E$1685)*(E1692=E8:E$1685)))))</f>
        <v/>
      </c>
      <c r="J1692" s="24" t="str">
        <f aca="true">IF(OR(E1692="",E1692="!!!",F1692="NEW"),"",COUNTBLANK(OFFSET(A$1,,,SUMPRODUCT(MAX(ROW(E$2:E1692)*(E1692=E$2:E1692)))))-COUNTBLANK(OFFSET(A$1,,,SUMPRODUCT(MAX(ROW(E$1:E1691)*(E2=E$1:E1691))))))</f>
        <v/>
      </c>
      <c r="K1692" s="24" t="str">
        <f aca="false">IF(OR(E1692="",E1692="!!!",F1692="NEW"),"",INDEX(J$1:J1691,SUMPRODUCT(MAX(ROW(E$1:E1691)*(E1692=E$1:E1691)))))</f>
        <v/>
      </c>
      <c r="L1692" s="31"/>
    </row>
    <row r="1693" customFormat="false" ht="15" hidden="false" customHeight="false" outlineLevel="0" collapsed="false">
      <c r="A1693" s="20" t="s">
        <v>1743</v>
      </c>
      <c r="E1693" s="23" t="str">
        <f aca="false">IF(D1693="?OLD","!!!","")</f>
        <v/>
      </c>
      <c r="F1693" s="25" t="str">
        <f aca="false">IF(OR(E1693="",E1693="!!!"),"",IF(NOT(ISNA(VLOOKUP(E1693,E$1:E1692,1,FALSE()))),"OLD",IF(AND(E1693&lt;&gt;"",E1693&lt;&gt;"!!!"),"NEW","")))</f>
        <v/>
      </c>
      <c r="G1693" s="26" t="str">
        <f aca="false">IF(OR(E1693="",E1693="!!!"),"",IF(OR(J1693=0,AND(J1693=1,K1693=1),AND(J1693=1,I1693="SBJ"),AND(J1693=1,I1693=0)),"?IN_FOCUS",IF(J1693&lt;=2,"?ACTIVATED",IF(J1693&lt;&gt;"","?FAMILIAR",IF(F1693="NEW",IF(ISNA(VLOOKUP(E1693,#REF!,1,FALSE())),"?TYPE_IDENTIFIABLE","?REFERENTIAL"),"_")))))</f>
        <v/>
      </c>
      <c r="H1693" s="27" t="str">
        <f aca="false">IF(J1693&lt;&gt;1,"",IF(I1693="SBJ","CB","?"))</f>
        <v/>
      </c>
      <c r="I1693" s="24" t="str">
        <f aca="false">IF(OR(E1693="",E1693="!!!",F1693="NEW"),"",INDEX(B9:B$1685,-1+SUMPRODUCT(MAX(ROW(E9:E$1685)*(E1693=E9:E$1685)))))</f>
        <v/>
      </c>
      <c r="J1693" s="24" t="str">
        <f aca="true">IF(OR(E1693="",E1693="!!!",F1693="NEW"),"",COUNTBLANK(OFFSET(A$1,,,SUMPRODUCT(MAX(ROW(E$2:E1693)*(E1693=E$2:E1693)))))-COUNTBLANK(OFFSET(A$1,,,SUMPRODUCT(MAX(ROW(E$1:E1692)*(E2=E$1:E1692))))))</f>
        <v/>
      </c>
      <c r="K1693" s="24" t="str">
        <f aca="false">IF(OR(E1693="",E1693="!!!",F1693="NEW"),"",INDEX(J$1:J1692,SUMPRODUCT(MAX(ROW(E$1:E1692)*(E1693=E$1:E1692)))))</f>
        <v/>
      </c>
      <c r="L1693" s="31"/>
    </row>
    <row r="1694" customFormat="false" ht="15" hidden="false" customHeight="false" outlineLevel="0" collapsed="false">
      <c r="A1694" s="20" t="s">
        <v>1186</v>
      </c>
      <c r="B1694" s="22" t="s">
        <v>1086</v>
      </c>
      <c r="C1694" s="22" t="s">
        <v>1082</v>
      </c>
      <c r="D1694" s="22" t="s">
        <v>1060</v>
      </c>
      <c r="E1694" s="23" t="str">
        <f aca="false">IF(D1694="?OLD","!!!","")</f>
        <v>!!!</v>
      </c>
      <c r="F1694" s="25" t="str">
        <f aca="false">IF(OR(E1694="",E1694="!!!"),"",IF(NOT(ISNA(VLOOKUP(E1694,E$1:E1693,1,FALSE()))),"OLD",IF(AND(E1694&lt;&gt;"",E1694&lt;&gt;"!!!"),"NEW","")))</f>
        <v/>
      </c>
      <c r="G1694" s="26" t="str">
        <f aca="false">IF(OR(E1694="",E1694="!!!"),"",IF(OR(J1694=0,AND(J1694=1,K1694=1),AND(J1694=1,I1694="SBJ"),AND(J1694=1,I1694=0)),"?IN_FOCUS",IF(J1694&lt;=2,"?ACTIVATED",IF(J1694&lt;&gt;"","?FAMILIAR",IF(F1694="NEW",IF(ISNA(VLOOKUP(E1694,#REF!,1,FALSE())),"?TYPE_IDENTIFIABLE","?REFERENTIAL"),"_")))))</f>
        <v/>
      </c>
      <c r="H1694" s="27" t="str">
        <f aca="false">IF(J1694&lt;&gt;1,"",IF(I1694="SBJ","CB","?"))</f>
        <v/>
      </c>
      <c r="I1694" s="24" t="str">
        <f aca="false">IF(OR(E1694="",E1694="!!!",F1694="NEW"),"",INDEX(B10:B$1685,-1+SUMPRODUCT(MAX(ROW(E10:E$1685)*(E1694=E10:E$1685)))))</f>
        <v/>
      </c>
      <c r="J1694" s="24" t="str">
        <f aca="true">IF(OR(E1694="",E1694="!!!",F1694="NEW"),"",COUNTBLANK(OFFSET(A$1,,,SUMPRODUCT(MAX(ROW(E$2:E1694)*(E1694=E$2:E1694)))))-COUNTBLANK(OFFSET(A$1,,,SUMPRODUCT(MAX(ROW(E$1:E1693)*(E2=E$1:E1693))))))</f>
        <v/>
      </c>
      <c r="K1694" s="24" t="str">
        <f aca="false">IF(OR(E1694="",E1694="!!!",F1694="NEW"),"",INDEX(J$1:J1693,SUMPRODUCT(MAX(ROW(E$1:E1693)*(E1694=E$1:E1693)))))</f>
        <v/>
      </c>
      <c r="L1694" s="31"/>
    </row>
    <row r="1695" customFormat="false" ht="15" hidden="false" customHeight="false" outlineLevel="0" collapsed="false">
      <c r="A1695" s="20" t="s">
        <v>1744</v>
      </c>
      <c r="E1695" s="23" t="str">
        <f aca="false">IF(D1695="?OLD","!!!","")</f>
        <v/>
      </c>
      <c r="F1695" s="25" t="str">
        <f aca="false">IF(OR(E1695="",E1695="!!!"),"",IF(NOT(ISNA(VLOOKUP(E1695,E$1:E1694,1,FALSE()))),"OLD",IF(AND(E1695&lt;&gt;"",E1695&lt;&gt;"!!!"),"NEW","")))</f>
        <v/>
      </c>
      <c r="G1695" s="26" t="str">
        <f aca="false">IF(OR(E1695="",E1695="!!!"),"",IF(OR(J1695=0,AND(J1695=1,K1695=1),AND(J1695=1,I1695="SBJ"),AND(J1695=1,I1695=0)),"?IN_FOCUS",IF(J1695&lt;=2,"?ACTIVATED",IF(J1695&lt;&gt;"","?FAMILIAR",IF(F1695="NEW",IF(ISNA(VLOOKUP(E1695,#REF!,1,FALSE())),"?TYPE_IDENTIFIABLE","?REFERENTIAL"),"_")))))</f>
        <v/>
      </c>
      <c r="H1695" s="27" t="str">
        <f aca="false">IF(J1695&lt;&gt;1,"",IF(I1695="SBJ","CB","?"))</f>
        <v/>
      </c>
      <c r="I1695" s="24" t="str">
        <f aca="false">IF(OR(E1695="",E1695="!!!",F1695="NEW"),"",INDEX(B11:B$1685,-1+SUMPRODUCT(MAX(ROW(E11:E$1685)*(E1695=E11:E$1685)))))</f>
        <v/>
      </c>
      <c r="J1695" s="24" t="str">
        <f aca="true">IF(OR(E1695="",E1695="!!!",F1695="NEW"),"",COUNTBLANK(OFFSET(A$1,,,SUMPRODUCT(MAX(ROW(E$2:E1695)*(E1695=E$2:E1695)))))-COUNTBLANK(OFFSET(A$1,,,SUMPRODUCT(MAX(ROW(E$1:E1694)*(E2=E$1:E1694))))))</f>
        <v/>
      </c>
      <c r="K1695" s="24" t="str">
        <f aca="false">IF(OR(E1695="",E1695="!!!",F1695="NEW"),"",INDEX(J$1:J1694,SUMPRODUCT(MAX(ROW(E$1:E1694)*(E1695=E$1:E1694)))))</f>
        <v/>
      </c>
      <c r="L1695" s="31"/>
    </row>
    <row r="1696" customFormat="false" ht="15" hidden="false" customHeight="false" outlineLevel="0" collapsed="false">
      <c r="A1696" s="20" t="s">
        <v>1232</v>
      </c>
      <c r="E1696" s="23" t="str">
        <f aca="false">IF(D1696="?OLD","!!!","")</f>
        <v/>
      </c>
      <c r="F1696" s="25" t="str">
        <f aca="false">IF(OR(E1696="",E1696="!!!"),"",IF(NOT(ISNA(VLOOKUP(E1696,E$1:E1695,1,FALSE()))),"OLD",IF(AND(E1696&lt;&gt;"",E1696&lt;&gt;"!!!"),"NEW","")))</f>
        <v/>
      </c>
      <c r="G1696" s="26" t="str">
        <f aca="false">IF(OR(E1696="",E1696="!!!"),"",IF(OR(J1696=0,AND(J1696=1,K1696=1),AND(J1696=1,I1696="SBJ"),AND(J1696=1,I1696=0)),"?IN_FOCUS",IF(J1696&lt;=2,"?ACTIVATED",IF(J1696&lt;&gt;"","?FAMILIAR",IF(F1696="NEW",IF(ISNA(VLOOKUP(E1696,#REF!,1,FALSE())),"?TYPE_IDENTIFIABLE","?REFERENTIAL"),"_")))))</f>
        <v/>
      </c>
      <c r="H1696" s="27" t="str">
        <f aca="false">IF(J1696&lt;&gt;1,"",IF(I1696="SBJ","CB","?"))</f>
        <v/>
      </c>
      <c r="I1696" s="24" t="str">
        <f aca="false">IF(OR(E1696="",E1696="!!!",F1696="NEW"),"",INDEX(B12:B$1685,-1+SUMPRODUCT(MAX(ROW(E12:E$1685)*(E1696=E12:E$1685)))))</f>
        <v/>
      </c>
      <c r="J1696" s="24" t="str">
        <f aca="true">IF(OR(E1696="",E1696="!!!",F1696="NEW"),"",COUNTBLANK(OFFSET(A$1,,,SUMPRODUCT(MAX(ROW(E$2:E1696)*(E1696=E$2:E1696)))))-COUNTBLANK(OFFSET(A$1,,,SUMPRODUCT(MAX(ROW(E$1:E1695)*(E2=E$1:E1695))))))</f>
        <v/>
      </c>
      <c r="K1696" s="24" t="str">
        <f aca="false">IF(OR(E1696="",E1696="!!!",F1696="NEW"),"",INDEX(J$1:J1695,SUMPRODUCT(MAX(ROW(E$1:E1695)*(E1696=E$1:E1695)))))</f>
        <v/>
      </c>
      <c r="L1696" s="31"/>
    </row>
    <row r="1697" customFormat="false" ht="15" hidden="false" customHeight="false" outlineLevel="0" collapsed="false">
      <c r="A1697" s="20" t="s">
        <v>1641</v>
      </c>
      <c r="E1697" s="23" t="str">
        <f aca="false">IF(D1697="?OLD","!!!","")</f>
        <v/>
      </c>
      <c r="F1697" s="25" t="str">
        <f aca="false">IF(OR(E1697="",E1697="!!!"),"",IF(NOT(ISNA(VLOOKUP(E1697,E$1:E1696,1,FALSE()))),"OLD",IF(AND(E1697&lt;&gt;"",E1697&lt;&gt;"!!!"),"NEW","")))</f>
        <v/>
      </c>
      <c r="G1697" s="26" t="str">
        <f aca="false">IF(OR(E1697="",E1697="!!!"),"",IF(OR(J1697=0,AND(J1697=1,K1697=1),AND(J1697=1,I1697="SBJ"),AND(J1697=1,I1697=0)),"?IN_FOCUS",IF(J1697&lt;=2,"?ACTIVATED",IF(J1697&lt;&gt;"","?FAMILIAR",IF(F1697="NEW",IF(ISNA(VLOOKUP(E1697,#REF!,1,FALSE())),"?TYPE_IDENTIFIABLE","?REFERENTIAL"),"_")))))</f>
        <v/>
      </c>
      <c r="H1697" s="27" t="str">
        <f aca="false">IF(J1697&lt;&gt;1,"",IF(I1697="SBJ","CB","?"))</f>
        <v/>
      </c>
      <c r="I1697" s="24" t="str">
        <f aca="false">IF(OR(E1697="",E1697="!!!",F1697="NEW"),"",INDEX(B13:B$1685,-1+SUMPRODUCT(MAX(ROW(E13:E$1685)*(E1697=E13:E$1685)))))</f>
        <v/>
      </c>
      <c r="J1697" s="24" t="str">
        <f aca="true">IF(OR(E1697="",E1697="!!!",F1697="NEW"),"",COUNTBLANK(OFFSET(A$1,,,SUMPRODUCT(MAX(ROW(E$2:E1697)*(E1697=E$2:E1697)))))-COUNTBLANK(OFFSET(A$1,,,SUMPRODUCT(MAX(ROW(E$1:E1696)*(E2=E$1:E1696))))))</f>
        <v/>
      </c>
      <c r="K1697" s="24" t="str">
        <f aca="false">IF(OR(E1697="",E1697="!!!",F1697="NEW"),"",INDEX(J$1:J1696,SUMPRODUCT(MAX(ROW(E$1:E1696)*(E1697=E$1:E1696)))))</f>
        <v/>
      </c>
      <c r="L1697" s="31"/>
    </row>
    <row r="1698" customFormat="false" ht="15" hidden="false" customHeight="false" outlineLevel="0" collapsed="false">
      <c r="A1698" s="20" t="s">
        <v>1080</v>
      </c>
      <c r="B1698" s="22" t="s">
        <v>1067</v>
      </c>
      <c r="C1698" s="22" t="s">
        <v>1082</v>
      </c>
      <c r="D1698" s="22" t="s">
        <v>1060</v>
      </c>
      <c r="E1698" s="23" t="str">
        <f aca="false">IF(D1698="?OLD","!!!","")</f>
        <v>!!!</v>
      </c>
      <c r="F1698" s="25" t="str">
        <f aca="false">IF(OR(E1698="",E1698="!!!"),"",IF(NOT(ISNA(VLOOKUP(E1698,E$1:E1697,1,FALSE()))),"OLD",IF(AND(E1698&lt;&gt;"",E1698&lt;&gt;"!!!"),"NEW","")))</f>
        <v/>
      </c>
      <c r="G1698" s="26" t="str">
        <f aca="false">IF(OR(E1698="",E1698="!!!"),"",IF(OR(J1698=0,AND(J1698=1,K1698=1),AND(J1698=1,I1698="SBJ"),AND(J1698=1,I1698=0)),"?IN_FOCUS",IF(J1698&lt;=2,"?ACTIVATED",IF(J1698&lt;&gt;"","?FAMILIAR",IF(F1698="NEW",IF(ISNA(VLOOKUP(E1698,#REF!,1,FALSE())),"?TYPE_IDENTIFIABLE","?REFERENTIAL"),"_")))))</f>
        <v/>
      </c>
      <c r="H1698" s="27" t="str">
        <f aca="false">IF(J1698&lt;&gt;1,"",IF(I1698="SBJ","CB","?"))</f>
        <v/>
      </c>
      <c r="I1698" s="24" t="str">
        <f aca="false">IF(OR(E1698="",E1698="!!!",F1698="NEW"),"",INDEX(B14:B$1685,-1+SUMPRODUCT(MAX(ROW(E14:E$1685)*(E1698=E14:E$1685)))))</f>
        <v/>
      </c>
      <c r="J1698" s="24" t="str">
        <f aca="true">IF(OR(E1698="",E1698="!!!",F1698="NEW"),"",COUNTBLANK(OFFSET(A$1,,,SUMPRODUCT(MAX(ROW(E$2:E1698)*(E1698=E$2:E1698)))))-COUNTBLANK(OFFSET(A$1,,,SUMPRODUCT(MAX(ROW(E$1:E1697)*(E2=E$1:E1697))))))</f>
        <v/>
      </c>
      <c r="K1698" s="24" t="str">
        <f aca="false">IF(OR(E1698="",E1698="!!!",F1698="NEW"),"",INDEX(J$1:J1697,SUMPRODUCT(MAX(ROW(E$1:E1697)*(E1698=E$1:E1697)))))</f>
        <v/>
      </c>
      <c r="L1698" s="31"/>
    </row>
    <row r="1699" customFormat="false" ht="15" hidden="false" customHeight="false" outlineLevel="0" collapsed="false">
      <c r="A1699" s="20" t="s">
        <v>1108</v>
      </c>
      <c r="E1699" s="23" t="str">
        <f aca="false">IF(D1699="?OLD","!!!","")</f>
        <v/>
      </c>
      <c r="F1699" s="25" t="str">
        <f aca="false">IF(OR(E1699="",E1699="!!!"),"",IF(NOT(ISNA(VLOOKUP(E1699,E$1:E1698,1,FALSE()))),"OLD",IF(AND(E1699&lt;&gt;"",E1699&lt;&gt;"!!!"),"NEW","")))</f>
        <v/>
      </c>
      <c r="G1699" s="26" t="str">
        <f aca="false">IF(OR(E1699="",E1699="!!!"),"",IF(OR(J1699=0,AND(J1699=1,K1699=1),AND(J1699=1,I1699="SBJ"),AND(J1699=1,I1699=0)),"?IN_FOCUS",IF(J1699&lt;=2,"?ACTIVATED",IF(J1699&lt;&gt;"","?FAMILIAR",IF(F1699="NEW",IF(ISNA(VLOOKUP(E1699,#REF!,1,FALSE())),"?TYPE_IDENTIFIABLE","?REFERENTIAL"),"_")))))</f>
        <v/>
      </c>
      <c r="H1699" s="27" t="str">
        <f aca="false">IF(J1699&lt;&gt;1,"",IF(I1699="SBJ","CB","?"))</f>
        <v/>
      </c>
      <c r="I1699" s="24" t="str">
        <f aca="false">IF(OR(E1699="",E1699="!!!",F1699="NEW"),"",INDEX(B15:B$1685,-1+SUMPRODUCT(MAX(ROW(E15:E$1685)*(E1699=E15:E$1685)))))</f>
        <v/>
      </c>
      <c r="J1699" s="24" t="str">
        <f aca="true">IF(OR(E1699="",E1699="!!!",F1699="NEW"),"",COUNTBLANK(OFFSET(A$1,,,SUMPRODUCT(MAX(ROW(E$2:E1699)*(E1699=E$2:E1699)))))-COUNTBLANK(OFFSET(A$1,,,SUMPRODUCT(MAX(ROW(E$1:E1698)*(E2=E$1:E1698))))))</f>
        <v/>
      </c>
      <c r="K1699" s="24" t="str">
        <f aca="false">IF(OR(E1699="",E1699="!!!",F1699="NEW"),"",INDEX(J$1:J1698,SUMPRODUCT(MAX(ROW(E$1:E1698)*(E1699=E$1:E1698)))))</f>
        <v/>
      </c>
      <c r="L1699" s="31"/>
    </row>
    <row r="1700" customFormat="false" ht="15" hidden="false" customHeight="false" outlineLevel="0" collapsed="false">
      <c r="A1700" s="20" t="s">
        <v>1186</v>
      </c>
      <c r="B1700" s="22" t="s">
        <v>1091</v>
      </c>
      <c r="C1700" s="22" t="s">
        <v>1082</v>
      </c>
      <c r="D1700" s="22" t="s">
        <v>1060</v>
      </c>
      <c r="E1700" s="23" t="str">
        <f aca="false">IF(D1700="?OLD","!!!","")</f>
        <v>!!!</v>
      </c>
      <c r="F1700" s="25" t="str">
        <f aca="false">IF(OR(E1700="",E1700="!!!"),"",IF(NOT(ISNA(VLOOKUP(E1700,E$1:E1699,1,FALSE()))),"OLD",IF(AND(E1700&lt;&gt;"",E1700&lt;&gt;"!!!"),"NEW","")))</f>
        <v/>
      </c>
      <c r="G1700" s="26" t="str">
        <f aca="false">IF(OR(E1700="",E1700="!!!"),"",IF(OR(J1700=0,AND(J1700=1,K1700=1),AND(J1700=1,I1700="SBJ"),AND(J1700=1,I1700=0)),"?IN_FOCUS",IF(J1700&lt;=2,"?ACTIVATED",IF(J1700&lt;&gt;"","?FAMILIAR",IF(F1700="NEW",IF(ISNA(VLOOKUP(E1700,#REF!,1,FALSE())),"?TYPE_IDENTIFIABLE","?REFERENTIAL"),"_")))))</f>
        <v/>
      </c>
      <c r="H1700" s="27" t="str">
        <f aca="false">IF(J1700&lt;&gt;1,"",IF(I1700="SBJ","CB","?"))</f>
        <v/>
      </c>
      <c r="I1700" s="24" t="str">
        <f aca="false">IF(OR(E1700="",E1700="!!!",F1700="NEW"),"",INDEX(B16:B$1685,-1+SUMPRODUCT(MAX(ROW(E16:E$1685)*(E1700=E16:E$1685)))))</f>
        <v/>
      </c>
      <c r="J1700" s="24" t="str">
        <f aca="true">IF(OR(E1700="",E1700="!!!",F1700="NEW"),"",COUNTBLANK(OFFSET(A$1,,,SUMPRODUCT(MAX(ROW(E$2:E1700)*(E1700=E$2:E1700)))))-COUNTBLANK(OFFSET(A$1,,,SUMPRODUCT(MAX(ROW(E$1:E1699)*(E2=E$1:E1699))))))</f>
        <v/>
      </c>
      <c r="K1700" s="24" t="str">
        <f aca="false">IF(OR(E1700="",E1700="!!!",F1700="NEW"),"",INDEX(J$1:J1699,SUMPRODUCT(MAX(ROW(E$1:E1699)*(E1700=E$1:E1699)))))</f>
        <v/>
      </c>
      <c r="L1700" s="31"/>
    </row>
    <row r="1701" customFormat="false" ht="15" hidden="false" customHeight="false" outlineLevel="0" collapsed="false">
      <c r="A1701" s="20" t="s">
        <v>1135</v>
      </c>
      <c r="E1701" s="23" t="str">
        <f aca="false">IF(D1701="?OLD","!!!","")</f>
        <v/>
      </c>
      <c r="F1701" s="25" t="str">
        <f aca="false">IF(OR(E1701="",E1701="!!!"),"",IF(NOT(ISNA(VLOOKUP(E1701,E$1:E1700,1,FALSE()))),"OLD",IF(AND(E1701&lt;&gt;"",E1701&lt;&gt;"!!!"),"NEW","")))</f>
        <v/>
      </c>
      <c r="G1701" s="26" t="str">
        <f aca="false">IF(OR(E1701="",E1701="!!!"),"",IF(OR(J1701=0,AND(J1701=1,K1701=1),AND(J1701=1,I1701="SBJ"),AND(J1701=1,I1701=0)),"?IN_FOCUS",IF(J1701&lt;=2,"?ACTIVATED",IF(J1701&lt;&gt;"","?FAMILIAR",IF(F1701="NEW",IF(ISNA(VLOOKUP(E1701,#REF!,1,FALSE())),"?TYPE_IDENTIFIABLE","?REFERENTIAL"),"_")))))</f>
        <v/>
      </c>
      <c r="H1701" s="27" t="str">
        <f aca="false">IF(J1701&lt;&gt;1,"",IF(I1701="SBJ","CB","?"))</f>
        <v/>
      </c>
      <c r="I1701" s="24" t="str">
        <f aca="false">IF(OR(E1701="",E1701="!!!",F1701="NEW"),"",INDEX(B17:B$1685,-1+SUMPRODUCT(MAX(ROW(E17:E$1685)*(E1701=E17:E$1685)))))</f>
        <v/>
      </c>
      <c r="J1701" s="24" t="str">
        <f aca="true">IF(OR(E1701="",E1701="!!!",F1701="NEW"),"",COUNTBLANK(OFFSET(A$1,,,SUMPRODUCT(MAX(ROW(E$2:E1701)*(E1701=E$2:E1701)))))-COUNTBLANK(OFFSET(A$1,,,SUMPRODUCT(MAX(ROW(E$1:E1700)*(E2=E$1:E1700))))))</f>
        <v/>
      </c>
      <c r="K1701" s="24" t="str">
        <f aca="false">IF(OR(E1701="",E1701="!!!",F1701="NEW"),"",INDEX(J$1:J1700,SUMPRODUCT(MAX(ROW(E$1:E1700)*(E1701=E$1:E1700)))))</f>
        <v/>
      </c>
      <c r="L1701" s="31"/>
    </row>
    <row r="1702" customFormat="false" ht="15" hidden="false" customHeight="false" outlineLevel="0" collapsed="false">
      <c r="A1702" s="20" t="s">
        <v>1649</v>
      </c>
      <c r="E1702" s="23" t="str">
        <f aca="false">IF(D1702="?OLD","!!!","")</f>
        <v/>
      </c>
      <c r="F1702" s="25" t="str">
        <f aca="false">IF(OR(E1702="",E1702="!!!"),"",IF(NOT(ISNA(VLOOKUP(E1702,E$1:E1701,1,FALSE()))),"OLD",IF(AND(E1702&lt;&gt;"",E1702&lt;&gt;"!!!"),"NEW","")))</f>
        <v/>
      </c>
      <c r="G1702" s="26" t="str">
        <f aca="false">IF(OR(E1702="",E1702="!!!"),"",IF(OR(J1702=0,AND(J1702=1,K1702=1),AND(J1702=1,I1702="SBJ"),AND(J1702=1,I1702=0)),"?IN_FOCUS",IF(J1702&lt;=2,"?ACTIVATED",IF(J1702&lt;&gt;"","?FAMILIAR",IF(F1702="NEW",IF(ISNA(VLOOKUP(E1702,#REF!,1,FALSE())),"?TYPE_IDENTIFIABLE","?REFERENTIAL"),"_")))))</f>
        <v/>
      </c>
      <c r="H1702" s="27" t="str">
        <f aca="false">IF(J1702&lt;&gt;1,"",IF(I1702="SBJ","CB","?"))</f>
        <v/>
      </c>
      <c r="I1702" s="24" t="str">
        <f aca="false">IF(OR(E1702="",E1702="!!!",F1702="NEW"),"",INDEX(B18:B$1685,-1+SUMPRODUCT(MAX(ROW(E18:E$1685)*(E1702=E18:E$1685)))))</f>
        <v/>
      </c>
      <c r="J1702" s="24" t="str">
        <f aca="true">IF(OR(E1702="",E1702="!!!",F1702="NEW"),"",COUNTBLANK(OFFSET(A$1,,,SUMPRODUCT(MAX(ROW(E$2:E1702)*(E1702=E$2:E1702)))))-COUNTBLANK(OFFSET(A$1,,,SUMPRODUCT(MAX(ROW(E$1:E1701)*(E2=E$1:E1701))))))</f>
        <v/>
      </c>
      <c r="K1702" s="24" t="str">
        <f aca="false">IF(OR(E1702="",E1702="!!!",F1702="NEW"),"",INDEX(J$1:J1701,SUMPRODUCT(MAX(ROW(E$1:E1701)*(E1702=E$1:E1701)))))</f>
        <v/>
      </c>
      <c r="L1702" s="31"/>
    </row>
    <row r="1703" customFormat="false" ht="15" hidden="false" customHeight="false" outlineLevel="0" collapsed="false">
      <c r="A1703" s="20" t="s">
        <v>1085</v>
      </c>
      <c r="E1703" s="23" t="str">
        <f aca="false">IF(D1703="?OLD","!!!","")</f>
        <v/>
      </c>
      <c r="F1703" s="25" t="str">
        <f aca="false">IF(OR(E1703="",E1703="!!!"),"",IF(NOT(ISNA(VLOOKUP(E1703,E$1:E1702,1,FALSE()))),"OLD",IF(AND(E1703&lt;&gt;"",E1703&lt;&gt;"!!!"),"NEW","")))</f>
        <v/>
      </c>
      <c r="G1703" s="26" t="str">
        <f aca="false">IF(OR(E1703="",E1703="!!!"),"",IF(OR(J1703=0,AND(J1703=1,K1703=1),AND(J1703=1,I1703="SBJ"),AND(J1703=1,I1703=0)),"?IN_FOCUS",IF(J1703&lt;=2,"?ACTIVATED",IF(J1703&lt;&gt;"","?FAMILIAR",IF(F1703="NEW",IF(ISNA(VLOOKUP(E1703,#REF!,1,FALSE())),"?TYPE_IDENTIFIABLE","?REFERENTIAL"),"_")))))</f>
        <v/>
      </c>
      <c r="H1703" s="27" t="str">
        <f aca="false">IF(J1703&lt;&gt;1,"",IF(I1703="SBJ","CB","?"))</f>
        <v/>
      </c>
      <c r="I1703" s="24" t="str">
        <f aca="false">IF(OR(E1703="",E1703="!!!",F1703="NEW"),"",INDEX(B19:B$1685,-1+SUMPRODUCT(MAX(ROW(E19:E$1685)*(E1703=E19:E$1685)))))</f>
        <v/>
      </c>
      <c r="J1703" s="24" t="str">
        <f aca="true">IF(OR(E1703="",E1703="!!!",F1703="NEW"),"",COUNTBLANK(OFFSET(A$1,,,SUMPRODUCT(MAX(ROW(E$2:E1703)*(E1703=E$2:E1703)))))-COUNTBLANK(OFFSET(A$1,,,SUMPRODUCT(MAX(ROW(E$1:E1702)*(E2=E$1:E1702))))))</f>
        <v/>
      </c>
      <c r="K1703" s="24" t="str">
        <f aca="false">IF(OR(E1703="",E1703="!!!",F1703="NEW"),"",INDEX(J$1:J1702,SUMPRODUCT(MAX(ROW(E$1:E1702)*(E1703=E$1:E1702)))))</f>
        <v/>
      </c>
      <c r="L1703" s="31"/>
    </row>
    <row r="1704" customFormat="false" ht="15" hidden="false" customHeight="false" outlineLevel="0" collapsed="false">
      <c r="A1704" s="20" t="s">
        <v>1745</v>
      </c>
      <c r="B1704" s="22" t="s">
        <v>1073</v>
      </c>
      <c r="C1704" s="22" t="s">
        <v>1087</v>
      </c>
      <c r="E1704" s="23" t="str">
        <f aca="false">IF(D1704="?OLD","!!!","")</f>
        <v/>
      </c>
      <c r="F1704" s="25" t="str">
        <f aca="false">IF(OR(E1704="",E1704="!!!"),"",IF(NOT(ISNA(VLOOKUP(E1704,E$1:E1703,1,FALSE()))),"OLD",IF(AND(E1704&lt;&gt;"",E1704&lt;&gt;"!!!"),"NEW","")))</f>
        <v/>
      </c>
      <c r="G1704" s="26" t="str">
        <f aca="false">IF(OR(E1704="",E1704="!!!"),"",IF(OR(J1704=0,AND(J1704=1,K1704=1),AND(J1704=1,I1704="SBJ"),AND(J1704=1,I1704=0)),"?IN_FOCUS",IF(J1704&lt;=2,"?ACTIVATED",IF(J1704&lt;&gt;"","?FAMILIAR",IF(F1704="NEW",IF(ISNA(VLOOKUP(E1704,#REF!,1,FALSE())),"?TYPE_IDENTIFIABLE","?REFERENTIAL"),"_")))))</f>
        <v/>
      </c>
      <c r="H1704" s="27" t="str">
        <f aca="false">IF(J1704&lt;&gt;1,"",IF(I1704="SBJ","CB","?"))</f>
        <v/>
      </c>
      <c r="I1704" s="24" t="str">
        <f aca="false">IF(OR(E1704="",E1704="!!!",F1704="NEW"),"",INDEX(B20:B$1685,-1+SUMPRODUCT(MAX(ROW(E20:E$1685)*(E1704=E20:E$1685)))))</f>
        <v/>
      </c>
      <c r="J1704" s="24" t="str">
        <f aca="true">IF(OR(E1704="",E1704="!!!",F1704="NEW"),"",COUNTBLANK(OFFSET(A$1,,,SUMPRODUCT(MAX(ROW(E$2:E1704)*(E1704=E$2:E1704)))))-COUNTBLANK(OFFSET(A$1,,,SUMPRODUCT(MAX(ROW(E$1:E1703)*(E2=E$1:E1703))))))</f>
        <v/>
      </c>
      <c r="K1704" s="24" t="str">
        <f aca="false">IF(OR(E1704="",E1704="!!!",F1704="NEW"),"",INDEX(J$1:J1703,SUMPRODUCT(MAX(ROW(E$1:E1703)*(E1704=E$1:E1703)))))</f>
        <v/>
      </c>
      <c r="L1704" s="31"/>
    </row>
    <row r="1705" customFormat="false" ht="15" hidden="false" customHeight="false" outlineLevel="0" collapsed="false">
      <c r="A1705" s="20" t="s">
        <v>1119</v>
      </c>
      <c r="E1705" s="23" t="str">
        <f aca="false">IF(D1705="?OLD","!!!","")</f>
        <v/>
      </c>
      <c r="F1705" s="25" t="str">
        <f aca="false">IF(OR(E1705="",E1705="!!!"),"",IF(NOT(ISNA(VLOOKUP(E1705,E$1:E1704,1,FALSE()))),"OLD",IF(AND(E1705&lt;&gt;"",E1705&lt;&gt;"!!!"),"NEW","")))</f>
        <v/>
      </c>
      <c r="G1705" s="26" t="str">
        <f aca="false">IF(OR(E1705="",E1705="!!!"),"",IF(OR(J1705=0,AND(J1705=1,K1705=1),AND(J1705=1,I1705="SBJ"),AND(J1705=1,I1705=0)),"?IN_FOCUS",IF(J1705&lt;=2,"?ACTIVATED",IF(J1705&lt;&gt;"","?FAMILIAR",IF(F1705="NEW",IF(ISNA(VLOOKUP(E1705,#REF!,1,FALSE())),"?TYPE_IDENTIFIABLE","?REFERENTIAL"),"_")))))</f>
        <v/>
      </c>
      <c r="H1705" s="27" t="str">
        <f aca="false">IF(J1705&lt;&gt;1,"",IF(I1705="SBJ","CB","?"))</f>
        <v/>
      </c>
      <c r="I1705" s="24" t="str">
        <f aca="false">IF(OR(E1705="",E1705="!!!",F1705="NEW"),"",INDEX(B21:B$1685,-1+SUMPRODUCT(MAX(ROW(E21:E$1685)*(E1705=E21:E$1685)))))</f>
        <v/>
      </c>
      <c r="J1705" s="24" t="str">
        <f aca="true">IF(OR(E1705="",E1705="!!!",F1705="NEW"),"",COUNTBLANK(OFFSET(A$1,,,SUMPRODUCT(MAX(ROW(E$2:E1705)*(E1705=E$2:E1705)))))-COUNTBLANK(OFFSET(A$1,,,SUMPRODUCT(MAX(ROW(E$1:E1704)*(E2=E$1:E1704))))))</f>
        <v/>
      </c>
      <c r="K1705" s="24" t="str">
        <f aca="false">IF(OR(E1705="",E1705="!!!",F1705="NEW"),"",INDEX(J$1:J1704,SUMPRODUCT(MAX(ROW(E$1:E1704)*(E1705=E$1:E1704)))))</f>
        <v/>
      </c>
      <c r="L1705" s="31"/>
    </row>
    <row r="1706" customFormat="false" ht="15" hidden="false" customHeight="false" outlineLevel="0" collapsed="false">
      <c r="A1706" s="20" t="s">
        <v>1109</v>
      </c>
      <c r="E1706" s="23" t="str">
        <f aca="false">IF(D1706="?OLD","!!!","")</f>
        <v/>
      </c>
      <c r="F1706" s="25" t="str">
        <f aca="false">IF(OR(E1706="",E1706="!!!"),"",IF(NOT(ISNA(VLOOKUP(E1706,E$1:E1705,1,FALSE()))),"OLD",IF(AND(E1706&lt;&gt;"",E1706&lt;&gt;"!!!"),"NEW","")))</f>
        <v/>
      </c>
      <c r="G1706" s="26" t="str">
        <f aca="false">IF(OR(E1706="",E1706="!!!"),"",IF(OR(J1706=0,AND(J1706=1,K1706=1),AND(J1706=1,I1706="SBJ"),AND(J1706=1,I1706=0)),"?IN_FOCUS",IF(J1706&lt;=2,"?ACTIVATED",IF(J1706&lt;&gt;"","?FAMILIAR",IF(F1706="NEW",IF(ISNA(VLOOKUP(E1706,#REF!,1,FALSE())),"?TYPE_IDENTIFIABLE","?REFERENTIAL"),"_")))))</f>
        <v/>
      </c>
      <c r="H1706" s="27" t="str">
        <f aca="false">IF(J1706&lt;&gt;1,"",IF(I1706="SBJ","CB","?"))</f>
        <v/>
      </c>
      <c r="I1706" s="24" t="str">
        <f aca="false">IF(OR(E1706="",E1706="!!!",F1706="NEW"),"",INDEX(B22:B$1685,-1+SUMPRODUCT(MAX(ROW(E22:E$1685)*(E1706=E22:E$1685)))))</f>
        <v/>
      </c>
      <c r="J1706" s="24" t="str">
        <f aca="true">IF(OR(E1706="",E1706="!!!",F1706="NEW"),"",COUNTBLANK(OFFSET(A$1,,,SUMPRODUCT(MAX(ROW(E$2:E1706)*(E1706=E$2:E1706)))))-COUNTBLANK(OFFSET(A$1,,,SUMPRODUCT(MAX(ROW(E$1:E1705)*(E2=E$1:E1705))))))</f>
        <v/>
      </c>
      <c r="K1706" s="24" t="str">
        <f aca="false">IF(OR(E1706="",E1706="!!!",F1706="NEW"),"",INDEX(J$1:J1705,SUMPRODUCT(MAX(ROW(E$1:E1705)*(E1706=E$1:E1705)))))</f>
        <v/>
      </c>
      <c r="L1706" s="31"/>
    </row>
    <row r="1707" customFormat="false" ht="15" hidden="false" customHeight="false" outlineLevel="0" collapsed="false">
      <c r="A1707" s="20" t="s">
        <v>1269</v>
      </c>
      <c r="B1707" s="22" t="s">
        <v>1067</v>
      </c>
      <c r="C1707" s="22" t="s">
        <v>1150</v>
      </c>
      <c r="D1707" s="22" t="s">
        <v>1060</v>
      </c>
      <c r="E1707" s="23" t="str">
        <f aca="false">IF(D1707="?OLD","!!!","")</f>
        <v>!!!</v>
      </c>
      <c r="F1707" s="25" t="str">
        <f aca="false">IF(OR(E1707="",E1707="!!!"),"",IF(NOT(ISNA(VLOOKUP(E1707,E$1:E1706,1,FALSE()))),"OLD",IF(AND(E1707&lt;&gt;"",E1707&lt;&gt;"!!!"),"NEW","")))</f>
        <v/>
      </c>
      <c r="G1707" s="26" t="str">
        <f aca="false">IF(OR(E1707="",E1707="!!!"),"",IF(OR(J1707=0,AND(J1707=1,K1707=1),AND(J1707=1,I1707="SBJ"),AND(J1707=1,I1707=0)),"?IN_FOCUS",IF(J1707&lt;=2,"?ACTIVATED",IF(J1707&lt;&gt;"","?FAMILIAR",IF(F1707="NEW",IF(ISNA(VLOOKUP(E1707,#REF!,1,FALSE())),"?TYPE_IDENTIFIABLE","?REFERENTIAL"),"_")))))</f>
        <v/>
      </c>
      <c r="H1707" s="27" t="str">
        <f aca="false">IF(J1707&lt;&gt;1,"",IF(I1707="SBJ","CB","?"))</f>
        <v/>
      </c>
      <c r="I1707" s="24" t="str">
        <f aca="false">IF(OR(E1707="",E1707="!!!",F1707="NEW"),"",INDEX(B23:B$1685,-1+SUMPRODUCT(MAX(ROW(E23:E$1685)*(E1707=E23:E$1685)))))</f>
        <v/>
      </c>
      <c r="J1707" s="24" t="str">
        <f aca="true">IF(OR(E1707="",E1707="!!!",F1707="NEW"),"",COUNTBLANK(OFFSET(A$1,,,SUMPRODUCT(MAX(ROW(E$2:E1707)*(E1707=E$2:E1707)))))-COUNTBLANK(OFFSET(A$1,,,SUMPRODUCT(MAX(ROW(E$1:E1706)*(E2=E$1:E1706))))))</f>
        <v/>
      </c>
      <c r="K1707" s="24" t="str">
        <f aca="false">IF(OR(E1707="",E1707="!!!",F1707="NEW"),"",INDEX(J$1:J1706,SUMPRODUCT(MAX(ROW(E$1:E1706)*(E1707=E$1:E1706)))))</f>
        <v/>
      </c>
      <c r="L1707" s="31"/>
    </row>
    <row r="1708" customFormat="false" ht="15" hidden="false" customHeight="false" outlineLevel="0" collapsed="false">
      <c r="A1708" s="20" t="s">
        <v>1076</v>
      </c>
      <c r="E1708" s="23" t="str">
        <f aca="false">IF(D1708="?OLD","!!!","")</f>
        <v/>
      </c>
      <c r="F1708" s="25" t="str">
        <f aca="false">IF(OR(E1708="",E1708="!!!"),"",IF(NOT(ISNA(VLOOKUP(E1708,E$1:E1707,1,FALSE()))),"OLD",IF(AND(E1708&lt;&gt;"",E1708&lt;&gt;"!!!"),"NEW","")))</f>
        <v/>
      </c>
      <c r="G1708" s="26" t="str">
        <f aca="false">IF(OR(E1708="",E1708="!!!"),"",IF(OR(J1708=0,AND(J1708=1,K1708=1),AND(J1708=1,I1708="SBJ"),AND(J1708=1,I1708=0)),"?IN_FOCUS",IF(J1708&lt;=2,"?ACTIVATED",IF(J1708&lt;&gt;"","?FAMILIAR",IF(F1708="NEW",IF(ISNA(VLOOKUP(E1708,#REF!,1,FALSE())),"?TYPE_IDENTIFIABLE","?REFERENTIAL"),"_")))))</f>
        <v/>
      </c>
      <c r="H1708" s="27" t="str">
        <f aca="false">IF(J1708&lt;&gt;1,"",IF(I1708="SBJ","CB","?"))</f>
        <v/>
      </c>
      <c r="I1708" s="24" t="str">
        <f aca="false">IF(OR(E1708="",E1708="!!!",F1708="NEW"),"",INDEX(B24:B$1685,-1+SUMPRODUCT(MAX(ROW(E24:E$1685)*(E1708=E24:E$1685)))))</f>
        <v/>
      </c>
      <c r="J1708" s="24" t="str">
        <f aca="true">IF(OR(E1708="",E1708="!!!",F1708="NEW"),"",COUNTBLANK(OFFSET(A$1,,,SUMPRODUCT(MAX(ROW(E$2:E1708)*(E1708=E$2:E1708)))))-COUNTBLANK(OFFSET(A$1,,,SUMPRODUCT(MAX(ROW(E$1:E1707)*(E2=E$1:E1707))))))</f>
        <v/>
      </c>
      <c r="K1708" s="24" t="str">
        <f aca="false">IF(OR(E1708="",E1708="!!!",F1708="NEW"),"",INDEX(J$1:J1707,SUMPRODUCT(MAX(ROW(E$1:E1707)*(E1708=E$1:E1707)))))</f>
        <v/>
      </c>
      <c r="L1708" s="31"/>
    </row>
    <row r="1709" customFormat="false" ht="15" hidden="false" customHeight="false" outlineLevel="0" collapsed="false">
      <c r="A1709" s="20" t="s">
        <v>1128</v>
      </c>
      <c r="E1709" s="23" t="str">
        <f aca="false">IF(D1709="?OLD","!!!","")</f>
        <v/>
      </c>
      <c r="F1709" s="25" t="str">
        <f aca="false">IF(OR(E1709="",E1709="!!!"),"",IF(NOT(ISNA(VLOOKUP(E1709,E$1:E1708,1,FALSE()))),"OLD",IF(AND(E1709&lt;&gt;"",E1709&lt;&gt;"!!!"),"NEW","")))</f>
        <v/>
      </c>
      <c r="G1709" s="26" t="str">
        <f aca="false">IF(OR(E1709="",E1709="!!!"),"",IF(OR(J1709=0,AND(J1709=1,K1709=1),AND(J1709=1,I1709="SBJ"),AND(J1709=1,I1709=0)),"?IN_FOCUS",IF(J1709&lt;=2,"?ACTIVATED",IF(J1709&lt;&gt;"","?FAMILIAR",IF(F1709="NEW",IF(ISNA(VLOOKUP(E1709,#REF!,1,FALSE())),"?TYPE_IDENTIFIABLE","?REFERENTIAL"),"_")))))</f>
        <v/>
      </c>
      <c r="H1709" s="27" t="str">
        <f aca="false">IF(J1709&lt;&gt;1,"",IF(I1709="SBJ","CB","?"))</f>
        <v/>
      </c>
      <c r="I1709" s="24" t="str">
        <f aca="false">IF(OR(E1709="",E1709="!!!",F1709="NEW"),"",INDEX(B25:B$1685,-1+SUMPRODUCT(MAX(ROW(E25:E$1685)*(E1709=E25:E$1685)))))</f>
        <v/>
      </c>
      <c r="J1709" s="24" t="str">
        <f aca="true">IF(OR(E1709="",E1709="!!!",F1709="NEW"),"",COUNTBLANK(OFFSET(A$1,,,SUMPRODUCT(MAX(ROW(E$2:E1709)*(E1709=E$2:E1709)))))-COUNTBLANK(OFFSET(A$1,,,SUMPRODUCT(MAX(ROW(E$1:E1708)*(E2=E$1:E1708))))))</f>
        <v/>
      </c>
      <c r="K1709" s="24" t="str">
        <f aca="false">IF(OR(E1709="",E1709="!!!",F1709="NEW"),"",INDEX(J$1:J1708,SUMPRODUCT(MAX(ROW(E$1:E1708)*(E1709=E$1:E1708)))))</f>
        <v/>
      </c>
      <c r="L1709" s="31"/>
    </row>
    <row r="1710" customFormat="false" ht="15" hidden="false" customHeight="false" outlineLevel="0" collapsed="false">
      <c r="A1710" s="20" t="s">
        <v>1683</v>
      </c>
      <c r="E1710" s="23" t="str">
        <f aca="false">IF(D1710="?OLD","!!!","")</f>
        <v/>
      </c>
      <c r="F1710" s="25" t="str">
        <f aca="false">IF(OR(E1710="",E1710="!!!"),"",IF(NOT(ISNA(VLOOKUP(E1710,E$1:E1709,1,FALSE()))),"OLD",IF(AND(E1710&lt;&gt;"",E1710&lt;&gt;"!!!"),"NEW","")))</f>
        <v/>
      </c>
      <c r="G1710" s="26" t="str">
        <f aca="false">IF(OR(E1710="",E1710="!!!"),"",IF(OR(J1710=0,AND(J1710=1,K1710=1),AND(J1710=1,I1710="SBJ"),AND(J1710=1,I1710=0)),"?IN_FOCUS",IF(J1710&lt;=2,"?ACTIVATED",IF(J1710&lt;&gt;"","?FAMILIAR",IF(F1710="NEW",IF(ISNA(VLOOKUP(E1710,#REF!,1,FALSE())),"?TYPE_IDENTIFIABLE","?REFERENTIAL"),"_")))))</f>
        <v/>
      </c>
      <c r="H1710" s="27" t="str">
        <f aca="false">IF(J1710&lt;&gt;1,"",IF(I1710="SBJ","CB","?"))</f>
        <v/>
      </c>
      <c r="I1710" s="24" t="str">
        <f aca="false">IF(OR(E1710="",E1710="!!!",F1710="NEW"),"",INDEX(B26:B$1685,-1+SUMPRODUCT(MAX(ROW(E26:E$1685)*(E1710=E26:E$1685)))))</f>
        <v/>
      </c>
      <c r="J1710" s="24" t="str">
        <f aca="true">IF(OR(E1710="",E1710="!!!",F1710="NEW"),"",COUNTBLANK(OFFSET(A$1,,,SUMPRODUCT(MAX(ROW(E$2:E1710)*(E1710=E$2:E1710)))))-COUNTBLANK(OFFSET(A$1,,,SUMPRODUCT(MAX(ROW(E$1:E1709)*(E2=E$1:E1709))))))</f>
        <v/>
      </c>
      <c r="K1710" s="24" t="str">
        <f aca="false">IF(OR(E1710="",E1710="!!!",F1710="NEW"),"",INDEX(J$1:J1709,SUMPRODUCT(MAX(ROW(E$1:E1709)*(E1710=E$1:E1709)))))</f>
        <v/>
      </c>
      <c r="L1710" s="31"/>
    </row>
    <row r="1711" customFormat="false" ht="15" hidden="false" customHeight="false" outlineLevel="0" collapsed="false">
      <c r="A1711" s="20" t="s">
        <v>1089</v>
      </c>
      <c r="E1711" s="23" t="str">
        <f aca="false">IF(D1711="?OLD","!!!","")</f>
        <v/>
      </c>
      <c r="F1711" s="25" t="str">
        <f aca="false">IF(OR(E1711="",E1711="!!!"),"",IF(NOT(ISNA(VLOOKUP(E1711,E$1:E1710,1,FALSE()))),"OLD",IF(AND(E1711&lt;&gt;"",E1711&lt;&gt;"!!!"),"NEW","")))</f>
        <v/>
      </c>
      <c r="G1711" s="26" t="str">
        <f aca="false">IF(OR(E1711="",E1711="!!!"),"",IF(OR(J1711=0,AND(J1711=1,K1711=1),AND(J1711=1,I1711="SBJ"),AND(J1711=1,I1711=0)),"?IN_FOCUS",IF(J1711&lt;=2,"?ACTIVATED",IF(J1711&lt;&gt;"","?FAMILIAR",IF(F1711="NEW",IF(ISNA(VLOOKUP(E1711,#REF!,1,FALSE())),"?TYPE_IDENTIFIABLE","?REFERENTIAL"),"_")))))</f>
        <v/>
      </c>
      <c r="H1711" s="27" t="str">
        <f aca="false">IF(J1711&lt;&gt;1,"",IF(I1711="SBJ","CB","?"))</f>
        <v/>
      </c>
      <c r="I1711" s="24" t="str">
        <f aca="false">IF(OR(E1711="",E1711="!!!",F1711="NEW"),"",INDEX(B27:B$1685,-1+SUMPRODUCT(MAX(ROW(E27:E$1685)*(E1711=E27:E$1685)))))</f>
        <v/>
      </c>
      <c r="J1711" s="24" t="str">
        <f aca="true">IF(OR(E1711="",E1711="!!!",F1711="NEW"),"",COUNTBLANK(OFFSET(A$1,,,SUMPRODUCT(MAX(ROW(E$2:E1711)*(E1711=E$2:E1711)))))-COUNTBLANK(OFFSET(A$1,,,SUMPRODUCT(MAX(ROW(E$1:E1710)*(E2=E$1:E1710))))))</f>
        <v/>
      </c>
      <c r="K1711" s="24" t="str">
        <f aca="false">IF(OR(E1711="",E1711="!!!",F1711="NEW"),"",INDEX(J$1:J1710,SUMPRODUCT(MAX(ROW(E$1:E1710)*(E1711=E$1:E1710)))))</f>
        <v/>
      </c>
      <c r="L1711" s="31"/>
    </row>
    <row r="1712" customFormat="false" ht="15" hidden="false" customHeight="false" outlineLevel="0" collapsed="false">
      <c r="A1712" s="20" t="s">
        <v>1591</v>
      </c>
      <c r="E1712" s="23" t="str">
        <f aca="false">IF(D1712="?OLD","!!!","")</f>
        <v/>
      </c>
      <c r="F1712" s="25" t="str">
        <f aca="false">IF(OR(E1712="",E1712="!!!"),"",IF(NOT(ISNA(VLOOKUP(E1712,E$1:E1711,1,FALSE()))),"OLD",IF(AND(E1712&lt;&gt;"",E1712&lt;&gt;"!!!"),"NEW","")))</f>
        <v/>
      </c>
      <c r="G1712" s="26" t="str">
        <f aca="false">IF(OR(E1712="",E1712="!!!"),"",IF(OR(J1712=0,AND(J1712=1,K1712=1),AND(J1712=1,I1712="SBJ"),AND(J1712=1,I1712=0)),"?IN_FOCUS",IF(J1712&lt;=2,"?ACTIVATED",IF(J1712&lt;&gt;"","?FAMILIAR",IF(F1712="NEW",IF(ISNA(VLOOKUP(E1712,#REF!,1,FALSE())),"?TYPE_IDENTIFIABLE","?REFERENTIAL"),"_")))))</f>
        <v/>
      </c>
      <c r="H1712" s="27" t="str">
        <f aca="false">IF(J1712&lt;&gt;1,"",IF(I1712="SBJ","CB","?"))</f>
        <v/>
      </c>
      <c r="I1712" s="24" t="str">
        <f aca="false">IF(OR(E1712="",E1712="!!!",F1712="NEW"),"",INDEX(B28:B$1685,-1+SUMPRODUCT(MAX(ROW(E28:E$1685)*(E1712=E28:E$1685)))))</f>
        <v/>
      </c>
      <c r="J1712" s="24" t="str">
        <f aca="true">IF(OR(E1712="",E1712="!!!",F1712="NEW"),"",COUNTBLANK(OFFSET(A$1,,,SUMPRODUCT(MAX(ROW(E$2:E1712)*(E1712=E$2:E1712)))))-COUNTBLANK(OFFSET(A$1,,,SUMPRODUCT(MAX(ROW(E$1:E1711)*(E2=E$1:E1711))))))</f>
        <v/>
      </c>
      <c r="K1712" s="24" t="str">
        <f aca="false">IF(OR(E1712="",E1712="!!!",F1712="NEW"),"",INDEX(J$1:J1711,SUMPRODUCT(MAX(ROW(E$1:E1711)*(E1712=E$1:E1711)))))</f>
        <v/>
      </c>
      <c r="L1712" s="31"/>
    </row>
    <row r="1713" customFormat="false" ht="15" hidden="false" customHeight="false" outlineLevel="0" collapsed="false">
      <c r="A1713" s="20" t="s">
        <v>1592</v>
      </c>
      <c r="E1713" s="23" t="str">
        <f aca="false">IF(D1713="?OLD","!!!","")</f>
        <v/>
      </c>
      <c r="F1713" s="25" t="str">
        <f aca="false">IF(OR(E1713="",E1713="!!!"),"",IF(NOT(ISNA(VLOOKUP(E1713,E$1:E1712,1,FALSE()))),"OLD",IF(AND(E1713&lt;&gt;"",E1713&lt;&gt;"!!!"),"NEW","")))</f>
        <v/>
      </c>
      <c r="G1713" s="26" t="str">
        <f aca="false">IF(OR(E1713="",E1713="!!!"),"",IF(OR(J1713=0,AND(J1713=1,K1713=1),AND(J1713=1,I1713="SBJ"),AND(J1713=1,I1713=0)),"?IN_FOCUS",IF(J1713&lt;=2,"?ACTIVATED",IF(J1713&lt;&gt;"","?FAMILIAR",IF(F1713="NEW",IF(ISNA(VLOOKUP(E1713,#REF!,1,FALSE())),"?TYPE_IDENTIFIABLE","?REFERENTIAL"),"_")))))</f>
        <v/>
      </c>
      <c r="H1713" s="27" t="str">
        <f aca="false">IF(J1713&lt;&gt;1,"",IF(I1713="SBJ","CB","?"))</f>
        <v/>
      </c>
      <c r="I1713" s="24" t="str">
        <f aca="false">IF(OR(E1713="",E1713="!!!",F1713="NEW"),"",INDEX(B29:B$1685,-1+SUMPRODUCT(MAX(ROW(E29:E$1685)*(E1713=E29:E$1685)))))</f>
        <v/>
      </c>
      <c r="J1713" s="24" t="str">
        <f aca="true">IF(OR(E1713="",E1713="!!!",F1713="NEW"),"",COUNTBLANK(OFFSET(A$1,,,SUMPRODUCT(MAX(ROW(E$2:E1713)*(E1713=E$2:E1713)))))-COUNTBLANK(OFFSET(A$1,,,SUMPRODUCT(MAX(ROW(E$1:E1712)*(E2=E$1:E1712))))))</f>
        <v/>
      </c>
      <c r="K1713" s="24" t="str">
        <f aca="false">IF(OR(E1713="",E1713="!!!",F1713="NEW"),"",INDEX(J$1:J1712,SUMPRODUCT(MAX(ROW(E$1:E1712)*(E1713=E$1:E1712)))))</f>
        <v/>
      </c>
      <c r="L1713" s="31"/>
    </row>
    <row r="1714" customFormat="false" ht="15" hidden="false" customHeight="false" outlineLevel="0" collapsed="false">
      <c r="A1714" s="20" t="s">
        <v>1718</v>
      </c>
      <c r="B1714" s="22" t="s">
        <v>1073</v>
      </c>
      <c r="C1714" s="22" t="s">
        <v>1171</v>
      </c>
      <c r="D1714" s="22" t="s">
        <v>1060</v>
      </c>
      <c r="E1714" s="23" t="str">
        <f aca="false">IF(D1714="?OLD","!!!","")</f>
        <v>!!!</v>
      </c>
      <c r="F1714" s="25" t="str">
        <f aca="false">IF(OR(E1714="",E1714="!!!"),"",IF(NOT(ISNA(VLOOKUP(E1714,E$1:E1713,1,FALSE()))),"OLD",IF(AND(E1714&lt;&gt;"",E1714&lt;&gt;"!!!"),"NEW","")))</f>
        <v/>
      </c>
      <c r="G1714" s="26" t="str">
        <f aca="false">IF(OR(E1714="",E1714="!!!"),"",IF(OR(J1714=0,AND(J1714=1,K1714=1),AND(J1714=1,I1714="SBJ"),AND(J1714=1,I1714=0)),"?IN_FOCUS",IF(J1714&lt;=2,"?ACTIVATED",IF(J1714&lt;&gt;"","?FAMILIAR",IF(F1714="NEW",IF(ISNA(VLOOKUP(E1714,#REF!,1,FALSE())),"?TYPE_IDENTIFIABLE","?REFERENTIAL"),"_")))))</f>
        <v/>
      </c>
      <c r="H1714" s="27" t="str">
        <f aca="false">IF(J1714&lt;&gt;1,"",IF(I1714="SBJ","CB","?"))</f>
        <v/>
      </c>
      <c r="I1714" s="24" t="str">
        <f aca="false">IF(OR(E1714="",E1714="!!!",F1714="NEW"),"",INDEX(B30:B$1685,-1+SUMPRODUCT(MAX(ROW(E30:E$1685)*(E1714=E30:E$1685)))))</f>
        <v/>
      </c>
      <c r="J1714" s="24" t="str">
        <f aca="true">IF(OR(E1714="",E1714="!!!",F1714="NEW"),"",COUNTBLANK(OFFSET(A$1,,,SUMPRODUCT(MAX(ROW(E$2:E1714)*(E1714=E$2:E1714)))))-COUNTBLANK(OFFSET(A$1,,,SUMPRODUCT(MAX(ROW(E$1:E1713)*(E2=E$1:E1713))))))</f>
        <v/>
      </c>
      <c r="K1714" s="24" t="str">
        <f aca="false">IF(OR(E1714="",E1714="!!!",F1714="NEW"),"",INDEX(J$1:J1713,SUMPRODUCT(MAX(ROW(E$1:E1713)*(E1714=E$1:E1713)))))</f>
        <v/>
      </c>
      <c r="L1714" s="31"/>
    </row>
    <row r="1715" customFormat="false" ht="15" hidden="false" customHeight="false" outlineLevel="0" collapsed="false">
      <c r="A1715" s="20" t="s">
        <v>1076</v>
      </c>
      <c r="E1715" s="23" t="str">
        <f aca="false">IF(D1715="?OLD","!!!","")</f>
        <v/>
      </c>
      <c r="F1715" s="25" t="str">
        <f aca="false">IF(OR(E1715="",E1715="!!!"),"",IF(NOT(ISNA(VLOOKUP(E1715,E$1:E1714,1,FALSE()))),"OLD",IF(AND(E1715&lt;&gt;"",E1715&lt;&gt;"!!!"),"NEW","")))</f>
        <v/>
      </c>
      <c r="G1715" s="26" t="str">
        <f aca="false">IF(OR(E1715="",E1715="!!!"),"",IF(OR(J1715=0,AND(J1715=1,K1715=1),AND(J1715=1,I1715="SBJ"),AND(J1715=1,I1715=0)),"?IN_FOCUS",IF(J1715&lt;=2,"?ACTIVATED",IF(J1715&lt;&gt;"","?FAMILIAR",IF(F1715="NEW",IF(ISNA(VLOOKUP(E1715,#REF!,1,FALSE())),"?TYPE_IDENTIFIABLE","?REFERENTIAL"),"_")))))</f>
        <v/>
      </c>
      <c r="H1715" s="27" t="str">
        <f aca="false">IF(J1715&lt;&gt;1,"",IF(I1715="SBJ","CB","?"))</f>
        <v/>
      </c>
      <c r="I1715" s="24" t="str">
        <f aca="false">IF(OR(E1715="",E1715="!!!",F1715="NEW"),"",INDEX(B31:B$1685,-1+SUMPRODUCT(MAX(ROW(E31:E$1685)*(E1715=E31:E$1685)))))</f>
        <v/>
      </c>
      <c r="J1715" s="24" t="str">
        <f aca="true">IF(OR(E1715="",E1715="!!!",F1715="NEW"),"",COUNTBLANK(OFFSET(A$1,,,SUMPRODUCT(MAX(ROW(E$2:E1715)*(E1715=E$2:E1715)))))-COUNTBLANK(OFFSET(A$1,,,SUMPRODUCT(MAX(ROW(E$1:E1714)*(E2=E$1:E1714))))))</f>
        <v/>
      </c>
      <c r="K1715" s="24" t="str">
        <f aca="false">IF(OR(E1715="",E1715="!!!",F1715="NEW"),"",INDEX(J$1:J1714,SUMPRODUCT(MAX(ROW(E$1:E1714)*(E1715=E$1:E1714)))))</f>
        <v/>
      </c>
      <c r="L1715" s="31"/>
    </row>
    <row r="1716" customFormat="false" ht="15" hidden="false" customHeight="false" outlineLevel="0" collapsed="false">
      <c r="A1716" s="20" t="s">
        <v>1213</v>
      </c>
      <c r="E1716" s="23" t="str">
        <f aca="false">IF(D1716="?OLD","!!!","")</f>
        <v/>
      </c>
      <c r="F1716" s="25" t="str">
        <f aca="false">IF(OR(E1716="",E1716="!!!"),"",IF(NOT(ISNA(VLOOKUP(E1716,E$1:E1715,1,FALSE()))),"OLD",IF(AND(E1716&lt;&gt;"",E1716&lt;&gt;"!!!"),"NEW","")))</f>
        <v/>
      </c>
      <c r="G1716" s="26" t="str">
        <f aca="false">IF(OR(E1716="",E1716="!!!"),"",IF(OR(J1716=0,AND(J1716=1,K1716=1),AND(J1716=1,I1716="SBJ"),AND(J1716=1,I1716=0)),"?IN_FOCUS",IF(J1716&lt;=2,"?ACTIVATED",IF(J1716&lt;&gt;"","?FAMILIAR",IF(F1716="NEW",IF(ISNA(VLOOKUP(E1716,#REF!,1,FALSE())),"?TYPE_IDENTIFIABLE","?REFERENTIAL"),"_")))))</f>
        <v/>
      </c>
      <c r="H1716" s="27" t="str">
        <f aca="false">IF(J1716&lt;&gt;1,"",IF(I1716="SBJ","CB","?"))</f>
        <v/>
      </c>
      <c r="I1716" s="24" t="str">
        <f aca="false">IF(OR(E1716="",E1716="!!!",F1716="NEW"),"",INDEX(B32:B$1685,-1+SUMPRODUCT(MAX(ROW(E32:E$1685)*(E1716=E32:E$1685)))))</f>
        <v/>
      </c>
      <c r="J1716" s="24" t="str">
        <f aca="true">IF(OR(E1716="",E1716="!!!",F1716="NEW"),"",COUNTBLANK(OFFSET(A$1,,,SUMPRODUCT(MAX(ROW(E$2:E1716)*(E1716=E$2:E1716)))))-COUNTBLANK(OFFSET(A$1,,,SUMPRODUCT(MAX(ROW(E$1:E1715)*(E2=E$1:E1715))))))</f>
        <v/>
      </c>
      <c r="K1716" s="24" t="str">
        <f aca="false">IF(OR(E1716="",E1716="!!!",F1716="NEW"),"",INDEX(J$1:J1715,SUMPRODUCT(MAX(ROW(E$1:E1715)*(E1716=E$1:E1715)))))</f>
        <v/>
      </c>
      <c r="L1716" s="31"/>
    </row>
    <row r="1717" customFormat="false" ht="15" hidden="false" customHeight="false" outlineLevel="0" collapsed="false">
      <c r="A1717" s="20" t="s">
        <v>1109</v>
      </c>
      <c r="E1717" s="23" t="str">
        <f aca="false">IF(D1717="?OLD","!!!","")</f>
        <v/>
      </c>
      <c r="F1717" s="25" t="str">
        <f aca="false">IF(OR(E1717="",E1717="!!!"),"",IF(NOT(ISNA(VLOOKUP(E1717,E$1:E1716,1,FALSE()))),"OLD",IF(AND(E1717&lt;&gt;"",E1717&lt;&gt;"!!!"),"NEW","")))</f>
        <v/>
      </c>
      <c r="G1717" s="26" t="str">
        <f aca="false">IF(OR(E1717="",E1717="!!!"),"",IF(OR(J1717=0,AND(J1717=1,K1717=1),AND(J1717=1,I1717="SBJ"),AND(J1717=1,I1717=0)),"?IN_FOCUS",IF(J1717&lt;=2,"?ACTIVATED",IF(J1717&lt;&gt;"","?FAMILIAR",IF(F1717="NEW",IF(ISNA(VLOOKUP(E1717,#REF!,1,FALSE())),"?TYPE_IDENTIFIABLE","?REFERENTIAL"),"_")))))</f>
        <v/>
      </c>
      <c r="H1717" s="27" t="str">
        <f aca="false">IF(J1717&lt;&gt;1,"",IF(I1717="SBJ","CB","?"))</f>
        <v/>
      </c>
      <c r="I1717" s="24" t="str">
        <f aca="false">IF(OR(E1717="",E1717="!!!",F1717="NEW"),"",INDEX(B33:B$1685,-1+SUMPRODUCT(MAX(ROW(E33:E$1685)*(E1717=E33:E$1685)))))</f>
        <v/>
      </c>
      <c r="J1717" s="24" t="str">
        <f aca="true">IF(OR(E1717="",E1717="!!!",F1717="NEW"),"",COUNTBLANK(OFFSET(A$1,,,SUMPRODUCT(MAX(ROW(E$2:E1717)*(E1717=E$2:E1717)))))-COUNTBLANK(OFFSET(A$1,,,SUMPRODUCT(MAX(ROW(E$1:E1716)*(E2=E$1:E1716))))))</f>
        <v/>
      </c>
      <c r="K1717" s="24" t="str">
        <f aca="false">IF(OR(E1717="",E1717="!!!",F1717="NEW"),"",INDEX(J$1:J1716,SUMPRODUCT(MAX(ROW(E$1:E1716)*(E1717=E$1:E1716)))))</f>
        <v/>
      </c>
      <c r="L1717" s="31"/>
    </row>
    <row r="1718" customFormat="false" ht="15" hidden="false" customHeight="false" outlineLevel="0" collapsed="false">
      <c r="A1718" s="20" t="s">
        <v>1604</v>
      </c>
      <c r="B1718" s="22" t="s">
        <v>1091</v>
      </c>
      <c r="C1718" s="22" t="s">
        <v>1150</v>
      </c>
      <c r="D1718" s="22" t="s">
        <v>1060</v>
      </c>
      <c r="E1718" s="23" t="str">
        <f aca="false">IF(D1718="?OLD","!!!","")</f>
        <v>!!!</v>
      </c>
      <c r="F1718" s="25" t="str">
        <f aca="false">IF(OR(E1718="",E1718="!!!"),"",IF(NOT(ISNA(VLOOKUP(E1718,E$1:E1717,1,FALSE()))),"OLD",IF(AND(E1718&lt;&gt;"",E1718&lt;&gt;"!!!"),"NEW","")))</f>
        <v/>
      </c>
      <c r="G1718" s="26" t="str">
        <f aca="false">IF(OR(E1718="",E1718="!!!"),"",IF(OR(J1718=0,AND(J1718=1,K1718=1),AND(J1718=1,I1718="SBJ"),AND(J1718=1,I1718=0)),"?IN_FOCUS",IF(J1718&lt;=2,"?ACTIVATED",IF(J1718&lt;&gt;"","?FAMILIAR",IF(F1718="NEW",IF(ISNA(VLOOKUP(E1718,#REF!,1,FALSE())),"?TYPE_IDENTIFIABLE","?REFERENTIAL"),"_")))))</f>
        <v/>
      </c>
      <c r="H1718" s="27" t="str">
        <f aca="false">IF(J1718&lt;&gt;1,"",IF(I1718="SBJ","CB","?"))</f>
        <v/>
      </c>
      <c r="I1718" s="24" t="str">
        <f aca="false">IF(OR(E1718="",E1718="!!!",F1718="NEW"),"",INDEX(B34:B$1685,-1+SUMPRODUCT(MAX(ROW(E34:E$1685)*(E1718=E34:E$1685)))))</f>
        <v/>
      </c>
      <c r="J1718" s="24" t="str">
        <f aca="true">IF(OR(E1718="",E1718="!!!",F1718="NEW"),"",COUNTBLANK(OFFSET(A$1,,,SUMPRODUCT(MAX(ROW(E$2:E1718)*(E1718=E$2:E1718)))))-COUNTBLANK(OFFSET(A$1,,,SUMPRODUCT(MAX(ROW(E$1:E1717)*(E2=E$1:E1717))))))</f>
        <v/>
      </c>
      <c r="K1718" s="24" t="str">
        <f aca="false">IF(OR(E1718="",E1718="!!!",F1718="NEW"),"",INDEX(J$1:J1717,SUMPRODUCT(MAX(ROW(E$1:E1717)*(E1718=E$1:E1717)))))</f>
        <v/>
      </c>
      <c r="L1718" s="31"/>
    </row>
    <row r="1719" customFormat="false" ht="15" hidden="false" customHeight="false" outlineLevel="0" collapsed="false">
      <c r="A1719" s="20" t="s">
        <v>1746</v>
      </c>
      <c r="E1719" s="23" t="str">
        <f aca="false">IF(D1719="?OLD","!!!","")</f>
        <v/>
      </c>
      <c r="F1719" s="25" t="str">
        <f aca="false">IF(OR(E1719="",E1719="!!!"),"",IF(NOT(ISNA(VLOOKUP(E1719,E$1:E1718,1,FALSE()))),"OLD",IF(AND(E1719&lt;&gt;"",E1719&lt;&gt;"!!!"),"NEW","")))</f>
        <v/>
      </c>
      <c r="G1719" s="26" t="str">
        <f aca="false">IF(OR(E1719="",E1719="!!!"),"",IF(OR(J1719=0,AND(J1719=1,K1719=1),AND(J1719=1,I1719="SBJ"),AND(J1719=1,I1719=0)),"?IN_FOCUS",IF(J1719&lt;=2,"?ACTIVATED",IF(J1719&lt;&gt;"","?FAMILIAR",IF(F1719="NEW",IF(ISNA(VLOOKUP(E1719,#REF!,1,FALSE())),"?TYPE_IDENTIFIABLE","?REFERENTIAL"),"_")))))</f>
        <v/>
      </c>
      <c r="H1719" s="27" t="str">
        <f aca="false">IF(J1719&lt;&gt;1,"",IF(I1719="SBJ","CB","?"))</f>
        <v/>
      </c>
      <c r="I1719" s="24" t="str">
        <f aca="false">IF(OR(E1719="",E1719="!!!",F1719="NEW"),"",INDEX(B35:B$1685,-1+SUMPRODUCT(MAX(ROW(E35:E$1685)*(E1719=E35:E$1685)))))</f>
        <v/>
      </c>
      <c r="J1719" s="24" t="str">
        <f aca="true">IF(OR(E1719="",E1719="!!!",F1719="NEW"),"",COUNTBLANK(OFFSET(A$1,,,SUMPRODUCT(MAX(ROW(E$2:E1719)*(E1719=E$2:E1719)))))-COUNTBLANK(OFFSET(A$1,,,SUMPRODUCT(MAX(ROW(E$1:E1718)*(E2=E$1:E1718))))))</f>
        <v/>
      </c>
      <c r="K1719" s="24" t="str">
        <f aca="false">IF(OR(E1719="",E1719="!!!",F1719="NEW"),"",INDEX(J$1:J1718,SUMPRODUCT(MAX(ROW(E$1:E1718)*(E1719=E$1:E1718)))))</f>
        <v/>
      </c>
      <c r="L1719" s="31"/>
    </row>
    <row r="1720" customFormat="false" ht="15" hidden="false" customHeight="false" outlineLevel="0" collapsed="false">
      <c r="A1720" s="20" t="s">
        <v>1612</v>
      </c>
      <c r="B1720" s="22" t="s">
        <v>1107</v>
      </c>
      <c r="C1720" s="22" t="s">
        <v>1099</v>
      </c>
      <c r="D1720" s="22" t="s">
        <v>1060</v>
      </c>
      <c r="E1720" s="23" t="str">
        <f aca="false">IF(D1720="?OLD","!!!","")</f>
        <v>!!!</v>
      </c>
      <c r="F1720" s="25" t="str">
        <f aca="false">IF(OR(E1720="",E1720="!!!"),"",IF(NOT(ISNA(VLOOKUP(E1720,E$1:E1719,1,FALSE()))),"OLD",IF(AND(E1720&lt;&gt;"",E1720&lt;&gt;"!!!"),"NEW","")))</f>
        <v/>
      </c>
      <c r="G1720" s="26" t="str">
        <f aca="false">IF(OR(E1720="",E1720="!!!"),"",IF(OR(J1720=0,AND(J1720=1,K1720=1),AND(J1720=1,I1720="SBJ"),AND(J1720=1,I1720=0)),"?IN_FOCUS",IF(J1720&lt;=2,"?ACTIVATED",IF(J1720&lt;&gt;"","?FAMILIAR",IF(F1720="NEW",IF(ISNA(VLOOKUP(E1720,#REF!,1,FALSE())),"?TYPE_IDENTIFIABLE","?REFERENTIAL"),"_")))))</f>
        <v/>
      </c>
      <c r="H1720" s="27" t="str">
        <f aca="false">IF(J1720&lt;&gt;1,"",IF(I1720="SBJ","CB","?"))</f>
        <v/>
      </c>
      <c r="I1720" s="24" t="str">
        <f aca="false">IF(OR(E1720="",E1720="!!!",F1720="NEW"),"",INDEX(B36:B$1685,-1+SUMPRODUCT(MAX(ROW(E36:E$1685)*(E1720=E36:E$1685)))))</f>
        <v/>
      </c>
      <c r="J1720" s="24" t="str">
        <f aca="true">IF(OR(E1720="",E1720="!!!",F1720="NEW"),"",COUNTBLANK(OFFSET(A$1,,,SUMPRODUCT(MAX(ROW(E$2:E1720)*(E1720=E$2:E1720)))))-COUNTBLANK(OFFSET(A$1,,,SUMPRODUCT(MAX(ROW(E$1:E1719)*(E2=E$1:E1719))))))</f>
        <v/>
      </c>
      <c r="K1720" s="24" t="str">
        <f aca="false">IF(OR(E1720="",E1720="!!!",F1720="NEW"),"",INDEX(J$1:J1719,SUMPRODUCT(MAX(ROW(E$1:E1719)*(E1720=E$1:E1719)))))</f>
        <v/>
      </c>
      <c r="L1720" s="31"/>
    </row>
    <row r="1721" customFormat="false" ht="15" hidden="false" customHeight="false" outlineLevel="0" collapsed="false">
      <c r="A1721" s="20" t="s">
        <v>1712</v>
      </c>
      <c r="E1721" s="23" t="str">
        <f aca="false">IF(D1721="?OLD","!!!","")</f>
        <v/>
      </c>
      <c r="F1721" s="25" t="str">
        <f aca="false">IF(OR(E1721="",E1721="!!!"),"",IF(NOT(ISNA(VLOOKUP(E1721,E$1:E1720,1,FALSE()))),"OLD",IF(AND(E1721&lt;&gt;"",E1721&lt;&gt;"!!!"),"NEW","")))</f>
        <v/>
      </c>
      <c r="G1721" s="26" t="str">
        <f aca="false">IF(OR(E1721="",E1721="!!!"),"",IF(OR(J1721=0,AND(J1721=1,K1721=1),AND(J1721=1,I1721="SBJ"),AND(J1721=1,I1721=0)),"?IN_FOCUS",IF(J1721&lt;=2,"?ACTIVATED",IF(J1721&lt;&gt;"","?FAMILIAR",IF(F1721="NEW",IF(ISNA(VLOOKUP(E1721,#REF!,1,FALSE())),"?TYPE_IDENTIFIABLE","?REFERENTIAL"),"_")))))</f>
        <v/>
      </c>
      <c r="H1721" s="27" t="str">
        <f aca="false">IF(J1721&lt;&gt;1,"",IF(I1721="SBJ","CB","?"))</f>
        <v/>
      </c>
      <c r="I1721" s="24" t="str">
        <f aca="false">IF(OR(E1721="",E1721="!!!",F1721="NEW"),"",INDEX(B37:B$1685,-1+SUMPRODUCT(MAX(ROW(E37:E$1685)*(E1721=E37:E$1685)))))</f>
        <v/>
      </c>
      <c r="J1721" s="24" t="str">
        <f aca="true">IF(OR(E1721="",E1721="!!!",F1721="NEW"),"",COUNTBLANK(OFFSET(A$1,,,SUMPRODUCT(MAX(ROW(E$2:E1721)*(E1721=E$2:E1721)))))-COUNTBLANK(OFFSET(A$1,,,SUMPRODUCT(MAX(ROW(E$1:E1720)*(E2=E$1:E1720))))))</f>
        <v/>
      </c>
      <c r="K1721" s="24" t="str">
        <f aca="false">IF(OR(E1721="",E1721="!!!",F1721="NEW"),"",INDEX(J$1:J1720,SUMPRODUCT(MAX(ROW(E$1:E1720)*(E1721=E$1:E1720)))))</f>
        <v/>
      </c>
      <c r="L1721" s="31"/>
    </row>
    <row r="1722" customFormat="false" ht="15" hidden="false" customHeight="false" outlineLevel="0" collapsed="false">
      <c r="A1722" s="20" t="s">
        <v>1747</v>
      </c>
      <c r="B1722" s="22" t="s">
        <v>1146</v>
      </c>
      <c r="C1722" s="22" t="s">
        <v>1059</v>
      </c>
      <c r="D1722" s="22" t="s">
        <v>1060</v>
      </c>
      <c r="E1722" s="23" t="str">
        <f aca="false">IF(D1722="?OLD","!!!","")</f>
        <v>!!!</v>
      </c>
      <c r="F1722" s="25" t="str">
        <f aca="false">IF(OR(E1722="",E1722="!!!"),"",IF(NOT(ISNA(VLOOKUP(E1722,E$1:E1721,1,FALSE()))),"OLD",IF(AND(E1722&lt;&gt;"",E1722&lt;&gt;"!!!"),"NEW","")))</f>
        <v/>
      </c>
      <c r="G1722" s="26" t="str">
        <f aca="false">IF(OR(E1722="",E1722="!!!"),"",IF(OR(J1722=0,AND(J1722=1,K1722=1),AND(J1722=1,I1722="SBJ"),AND(J1722=1,I1722=0)),"?IN_FOCUS",IF(J1722&lt;=2,"?ACTIVATED",IF(J1722&lt;&gt;"","?FAMILIAR",IF(F1722="NEW",IF(ISNA(VLOOKUP(E1722,#REF!,1,FALSE())),"?TYPE_IDENTIFIABLE","?REFERENTIAL"),"_")))))</f>
        <v/>
      </c>
      <c r="H1722" s="27" t="str">
        <f aca="false">IF(J1722&lt;&gt;1,"",IF(I1722="SBJ","CB","?"))</f>
        <v/>
      </c>
      <c r="I1722" s="24" t="str">
        <f aca="false">IF(OR(E1722="",E1722="!!!",F1722="NEW"),"",INDEX(B38:B$1685,-1+SUMPRODUCT(MAX(ROW(E38:E$1685)*(E1722=E38:E$1685)))))</f>
        <v/>
      </c>
      <c r="J1722" s="24" t="str">
        <f aca="true">IF(OR(E1722="",E1722="!!!",F1722="NEW"),"",COUNTBLANK(OFFSET(A$1,,,SUMPRODUCT(MAX(ROW(E$2:E1722)*(E1722=E$2:E1722)))))-COUNTBLANK(OFFSET(A$1,,,SUMPRODUCT(MAX(ROW(E$1:E1721)*(E2=E$1:E1721))))))</f>
        <v/>
      </c>
      <c r="K1722" s="24" t="str">
        <f aca="false">IF(OR(E1722="",E1722="!!!",F1722="NEW"),"",INDEX(J$1:J1721,SUMPRODUCT(MAX(ROW(E$1:E1721)*(E1722=E$1:E1721)))))</f>
        <v/>
      </c>
      <c r="L1722" s="31"/>
    </row>
    <row r="1723" customFormat="false" ht="15" hidden="false" customHeight="false" outlineLevel="0" collapsed="false">
      <c r="A1723" s="20" t="s">
        <v>1076</v>
      </c>
      <c r="E1723" s="23" t="str">
        <f aca="false">IF(D1723="?OLD","!!!","")</f>
        <v/>
      </c>
      <c r="F1723" s="25" t="str">
        <f aca="false">IF(OR(E1723="",E1723="!!!"),"",IF(NOT(ISNA(VLOOKUP(E1723,E$1:E1722,1,FALSE()))),"OLD",IF(AND(E1723&lt;&gt;"",E1723&lt;&gt;"!!!"),"NEW","")))</f>
        <v/>
      </c>
      <c r="G1723" s="26" t="str">
        <f aca="false">IF(OR(E1723="",E1723="!!!"),"",IF(OR(J1723=0,AND(J1723=1,K1723=1),AND(J1723=1,I1723="SBJ"),AND(J1723=1,I1723=0)),"?IN_FOCUS",IF(J1723&lt;=2,"?ACTIVATED",IF(J1723&lt;&gt;"","?FAMILIAR",IF(F1723="NEW",IF(ISNA(VLOOKUP(E1723,#REF!,1,FALSE())),"?TYPE_IDENTIFIABLE","?REFERENTIAL"),"_")))))</f>
        <v/>
      </c>
      <c r="H1723" s="27" t="str">
        <f aca="false">IF(J1723&lt;&gt;1,"",IF(I1723="SBJ","CB","?"))</f>
        <v/>
      </c>
      <c r="I1723" s="24" t="str">
        <f aca="false">IF(OR(E1723="",E1723="!!!",F1723="NEW"),"",INDEX(B39:B$1685,-1+SUMPRODUCT(MAX(ROW(E39:E$1685)*(E1723=E39:E$1685)))))</f>
        <v/>
      </c>
      <c r="J1723" s="24" t="str">
        <f aca="true">IF(OR(E1723="",E1723="!!!",F1723="NEW"),"",COUNTBLANK(OFFSET(A$1,,,SUMPRODUCT(MAX(ROW(E$2:E1723)*(E1723=E$2:E1723)))))-COUNTBLANK(OFFSET(A$1,,,SUMPRODUCT(MAX(ROW(E$1:E1722)*(E2=E$1:E1722))))))</f>
        <v/>
      </c>
      <c r="K1723" s="24" t="str">
        <f aca="false">IF(OR(E1723="",E1723="!!!",F1723="NEW"),"",INDEX(J$1:J1722,SUMPRODUCT(MAX(ROW(E$1:E1722)*(E1723=E$1:E1722)))))</f>
        <v/>
      </c>
      <c r="L1723" s="31"/>
    </row>
    <row r="1724" customFormat="false" ht="15" hidden="false" customHeight="false" outlineLevel="0" collapsed="false">
      <c r="A1724" s="20" t="s">
        <v>1748</v>
      </c>
      <c r="E1724" s="23" t="str">
        <f aca="false">IF(D1724="?OLD","!!!","")</f>
        <v/>
      </c>
      <c r="F1724" s="25" t="str">
        <f aca="false">IF(OR(E1724="",E1724="!!!"),"",IF(NOT(ISNA(VLOOKUP(E1724,E$1:E1723,1,FALSE()))),"OLD",IF(AND(E1724&lt;&gt;"",E1724&lt;&gt;"!!!"),"NEW","")))</f>
        <v/>
      </c>
      <c r="G1724" s="26" t="str">
        <f aca="false">IF(OR(E1724="",E1724="!!!"),"",IF(OR(J1724=0,AND(J1724=1,K1724=1),AND(J1724=1,I1724="SBJ"),AND(J1724=1,I1724=0)),"?IN_FOCUS",IF(J1724&lt;=2,"?ACTIVATED",IF(J1724&lt;&gt;"","?FAMILIAR",IF(F1724="NEW",IF(ISNA(VLOOKUP(E1724,#REF!,1,FALSE())),"?TYPE_IDENTIFIABLE","?REFERENTIAL"),"_")))))</f>
        <v/>
      </c>
      <c r="H1724" s="27" t="str">
        <f aca="false">IF(J1724&lt;&gt;1,"",IF(I1724="SBJ","CB","?"))</f>
        <v/>
      </c>
      <c r="I1724" s="24" t="str">
        <f aca="false">IF(OR(E1724="",E1724="!!!",F1724="NEW"),"",INDEX(B40:B$1685,-1+SUMPRODUCT(MAX(ROW(E40:E$1685)*(E1724=E40:E$1685)))))</f>
        <v/>
      </c>
      <c r="J1724" s="24" t="str">
        <f aca="true">IF(OR(E1724="",E1724="!!!",F1724="NEW"),"",COUNTBLANK(OFFSET(A$1,,,SUMPRODUCT(MAX(ROW(E$2:E1724)*(E1724=E$2:E1724)))))-COUNTBLANK(OFFSET(A$1,,,SUMPRODUCT(MAX(ROW(E$1:E1723)*(E2=E$1:E1723))))))</f>
        <v/>
      </c>
      <c r="K1724" s="24" t="str">
        <f aca="false">IF(OR(E1724="",E1724="!!!",F1724="NEW"),"",INDEX(J$1:J1723,SUMPRODUCT(MAX(ROW(E$1:E1723)*(E1724=E$1:E1723)))))</f>
        <v/>
      </c>
      <c r="L1724" s="31"/>
    </row>
    <row r="1725" customFormat="false" ht="15" hidden="false" customHeight="false" outlineLevel="0" collapsed="false">
      <c r="A1725" s="20" t="s">
        <v>1595</v>
      </c>
      <c r="E1725" s="23" t="str">
        <f aca="false">IF(D1725="?OLD","!!!","")</f>
        <v/>
      </c>
      <c r="F1725" s="25" t="str">
        <f aca="false">IF(OR(E1725="",E1725="!!!"),"",IF(NOT(ISNA(VLOOKUP(E1725,E$1:E1724,1,FALSE()))),"OLD",IF(AND(E1725&lt;&gt;"",E1725&lt;&gt;"!!!"),"NEW","")))</f>
        <v/>
      </c>
      <c r="G1725" s="26" t="str">
        <f aca="false">IF(OR(E1725="",E1725="!!!"),"",IF(OR(J1725=0,AND(J1725=1,K1725=1),AND(J1725=1,I1725="SBJ"),AND(J1725=1,I1725=0)),"?IN_FOCUS",IF(J1725&lt;=2,"?ACTIVATED",IF(J1725&lt;&gt;"","?FAMILIAR",IF(F1725="NEW",IF(ISNA(VLOOKUP(E1725,#REF!,1,FALSE())),"?TYPE_IDENTIFIABLE","?REFERENTIAL"),"_")))))</f>
        <v/>
      </c>
      <c r="H1725" s="27" t="str">
        <f aca="false">IF(J1725&lt;&gt;1,"",IF(I1725="SBJ","CB","?"))</f>
        <v/>
      </c>
      <c r="I1725" s="24" t="str">
        <f aca="false">IF(OR(E1725="",E1725="!!!",F1725="NEW"),"",INDEX(B41:B$1685,-1+SUMPRODUCT(MAX(ROW(E41:E$1685)*(E1725=E41:E$1685)))))</f>
        <v/>
      </c>
      <c r="J1725" s="24" t="str">
        <f aca="true">IF(OR(E1725="",E1725="!!!",F1725="NEW"),"",COUNTBLANK(OFFSET(A$1,,,SUMPRODUCT(MAX(ROW(E$2:E1725)*(E1725=E$2:E1725)))))-COUNTBLANK(OFFSET(A$1,,,SUMPRODUCT(MAX(ROW(E$1:E1724)*(E2=E$1:E1724))))))</f>
        <v/>
      </c>
      <c r="K1725" s="24" t="str">
        <f aca="false">IF(OR(E1725="",E1725="!!!",F1725="NEW"),"",INDEX(J$1:J1724,SUMPRODUCT(MAX(ROW(E$1:E1724)*(E1725=E$1:E1724)))))</f>
        <v/>
      </c>
      <c r="L1725" s="31"/>
    </row>
    <row r="1726" customFormat="false" ht="15" hidden="false" customHeight="false" outlineLevel="0" collapsed="false">
      <c r="A1726" s="20" t="s">
        <v>1128</v>
      </c>
      <c r="E1726" s="23" t="str">
        <f aca="false">IF(D1726="?OLD","!!!","")</f>
        <v/>
      </c>
      <c r="F1726" s="25" t="str">
        <f aca="false">IF(OR(E1726="",E1726="!!!"),"",IF(NOT(ISNA(VLOOKUP(E1726,E$1:E1725,1,FALSE()))),"OLD",IF(AND(E1726&lt;&gt;"",E1726&lt;&gt;"!!!"),"NEW","")))</f>
        <v/>
      </c>
      <c r="G1726" s="26" t="str">
        <f aca="false">IF(OR(E1726="",E1726="!!!"),"",IF(OR(J1726=0,AND(J1726=1,K1726=1),AND(J1726=1,I1726="SBJ"),AND(J1726=1,I1726=0)),"?IN_FOCUS",IF(J1726&lt;=2,"?ACTIVATED",IF(J1726&lt;&gt;"","?FAMILIAR",IF(F1726="NEW",IF(ISNA(VLOOKUP(E1726,#REF!,1,FALSE())),"?TYPE_IDENTIFIABLE","?REFERENTIAL"),"_")))))</f>
        <v/>
      </c>
      <c r="H1726" s="27" t="str">
        <f aca="false">IF(J1726&lt;&gt;1,"",IF(I1726="SBJ","CB","?"))</f>
        <v/>
      </c>
      <c r="I1726" s="24" t="str">
        <f aca="false">IF(OR(E1726="",E1726="!!!",F1726="NEW"),"",INDEX(B42:B$1685,-1+SUMPRODUCT(MAX(ROW(E42:E$1685)*(E1726=E42:E$1685)))))</f>
        <v/>
      </c>
      <c r="J1726" s="24" t="str">
        <f aca="true">IF(OR(E1726="",E1726="!!!",F1726="NEW"),"",COUNTBLANK(OFFSET(A$1,,,SUMPRODUCT(MAX(ROW(E$2:E1726)*(E1726=E$2:E1726)))))-COUNTBLANK(OFFSET(A$1,,,SUMPRODUCT(MAX(ROW(E$1:E1725)*(E2=E$1:E1725))))))</f>
        <v/>
      </c>
      <c r="K1726" s="24" t="str">
        <f aca="false">IF(OR(E1726="",E1726="!!!",F1726="NEW"),"",INDEX(J$1:J1725,SUMPRODUCT(MAX(ROW(E$1:E1725)*(E1726=E$1:E1725)))))</f>
        <v/>
      </c>
      <c r="L1726" s="31"/>
    </row>
    <row r="1727" customFormat="false" ht="15" hidden="false" customHeight="false" outlineLevel="0" collapsed="false">
      <c r="A1727" s="20" t="s">
        <v>1749</v>
      </c>
      <c r="E1727" s="23" t="str">
        <f aca="false">IF(D1727="?OLD","!!!","")</f>
        <v/>
      </c>
      <c r="F1727" s="25" t="str">
        <f aca="false">IF(OR(E1727="",E1727="!!!"),"",IF(NOT(ISNA(VLOOKUP(E1727,E$1:E1726,1,FALSE()))),"OLD",IF(AND(E1727&lt;&gt;"",E1727&lt;&gt;"!!!"),"NEW","")))</f>
        <v/>
      </c>
      <c r="G1727" s="26" t="str">
        <f aca="false">IF(OR(E1727="",E1727="!!!"),"",IF(OR(J1727=0,AND(J1727=1,K1727=1),AND(J1727=1,I1727="SBJ"),AND(J1727=1,I1727=0)),"?IN_FOCUS",IF(J1727&lt;=2,"?ACTIVATED",IF(J1727&lt;&gt;"","?FAMILIAR",IF(F1727="NEW",IF(ISNA(VLOOKUP(E1727,#REF!,1,FALSE())),"?TYPE_IDENTIFIABLE","?REFERENTIAL"),"_")))))</f>
        <v/>
      </c>
      <c r="H1727" s="27" t="str">
        <f aca="false">IF(J1727&lt;&gt;1,"",IF(I1727="SBJ","CB","?"))</f>
        <v/>
      </c>
      <c r="I1727" s="24" t="str">
        <f aca="false">IF(OR(E1727="",E1727="!!!",F1727="NEW"),"",INDEX(B43:B$1685,-1+SUMPRODUCT(MAX(ROW(E43:E$1685)*(E1727=E43:E$1685)))))</f>
        <v/>
      </c>
      <c r="J1727" s="24" t="str">
        <f aca="true">IF(OR(E1727="",E1727="!!!",F1727="NEW"),"",COUNTBLANK(OFFSET(A$1,,,SUMPRODUCT(MAX(ROW(E$2:E1727)*(E1727=E$2:E1727)))))-COUNTBLANK(OFFSET(A$1,,,SUMPRODUCT(MAX(ROW(E$1:E1726)*(E2=E$1:E1726))))))</f>
        <v/>
      </c>
      <c r="K1727" s="24" t="str">
        <f aca="false">IF(OR(E1727="",E1727="!!!",F1727="NEW"),"",INDEX(J$1:J1726,SUMPRODUCT(MAX(ROW(E$1:E1726)*(E1727=E$1:E1726)))))</f>
        <v/>
      </c>
      <c r="L1727" s="31"/>
    </row>
    <row r="1728" customFormat="false" ht="15" hidden="false" customHeight="false" outlineLevel="0" collapsed="false">
      <c r="A1728" s="20" t="s">
        <v>1224</v>
      </c>
      <c r="E1728" s="23" t="str">
        <f aca="false">IF(D1728="?OLD","!!!","")</f>
        <v/>
      </c>
      <c r="F1728" s="25" t="str">
        <f aca="false">IF(OR(E1728="",E1728="!!!"),"",IF(NOT(ISNA(VLOOKUP(E1728,E$1:E1727,1,FALSE()))),"OLD",IF(AND(E1728&lt;&gt;"",E1728&lt;&gt;"!!!"),"NEW","")))</f>
        <v/>
      </c>
      <c r="G1728" s="26" t="str">
        <f aca="false">IF(OR(E1728="",E1728="!!!"),"",IF(OR(J1728=0,AND(J1728=1,K1728=1),AND(J1728=1,I1728="SBJ"),AND(J1728=1,I1728=0)),"?IN_FOCUS",IF(J1728&lt;=2,"?ACTIVATED",IF(J1728&lt;&gt;"","?FAMILIAR",IF(F1728="NEW",IF(ISNA(VLOOKUP(E1728,#REF!,1,FALSE())),"?TYPE_IDENTIFIABLE","?REFERENTIAL"),"_")))))</f>
        <v/>
      </c>
      <c r="H1728" s="27" t="str">
        <f aca="false">IF(J1728&lt;&gt;1,"",IF(I1728="SBJ","CB","?"))</f>
        <v/>
      </c>
      <c r="I1728" s="24" t="str">
        <f aca="false">IF(OR(E1728="",E1728="!!!",F1728="NEW"),"",INDEX(B44:B$1685,-1+SUMPRODUCT(MAX(ROW(E44:E$1685)*(E1728=E44:E$1685)))))</f>
        <v/>
      </c>
      <c r="J1728" s="24" t="str">
        <f aca="true">IF(OR(E1728="",E1728="!!!",F1728="NEW"),"",COUNTBLANK(OFFSET(A$1,,,SUMPRODUCT(MAX(ROW(E$2:E1728)*(E1728=E$2:E1728)))))-COUNTBLANK(OFFSET(A$1,,,SUMPRODUCT(MAX(ROW(E$1:E1727)*(E2=E$1:E1727))))))</f>
        <v/>
      </c>
      <c r="K1728" s="24" t="str">
        <f aca="false">IF(OR(E1728="",E1728="!!!",F1728="NEW"),"",INDEX(J$1:J1727,SUMPRODUCT(MAX(ROW(E$1:E1727)*(E1728=E$1:E1727)))))</f>
        <v/>
      </c>
      <c r="L1728" s="31"/>
    </row>
    <row r="1729" customFormat="false" ht="15" hidden="false" customHeight="false" outlineLevel="0" collapsed="false">
      <c r="A1729" s="20" t="s">
        <v>923</v>
      </c>
      <c r="E1729" s="23" t="str">
        <f aca="false">IF(D1729="?OLD","!!!","")</f>
        <v/>
      </c>
      <c r="F1729" s="25" t="str">
        <f aca="false">IF(OR(E1729="",E1729="!!!"),"",IF(NOT(ISNA(VLOOKUP(E1729,E$1:E1728,1,FALSE()))),"OLD",IF(AND(E1729&lt;&gt;"",E1729&lt;&gt;"!!!"),"NEW","")))</f>
        <v/>
      </c>
      <c r="G1729" s="26" t="str">
        <f aca="false">IF(OR(E1729="",E1729="!!!"),"",IF(OR(J1729=0,AND(J1729=1,K1729=1),AND(J1729=1,I1729="SBJ"),AND(J1729=1,I1729=0)),"?IN_FOCUS",IF(J1729&lt;=2,"?ACTIVATED",IF(J1729&lt;&gt;"","?FAMILIAR",IF(F1729="NEW",IF(ISNA(VLOOKUP(E1729,#REF!,1,FALSE())),"?TYPE_IDENTIFIABLE","?REFERENTIAL"),"_")))))</f>
        <v/>
      </c>
      <c r="H1729" s="27" t="str">
        <f aca="false">IF(J1729&lt;&gt;1,"",IF(I1729="SBJ","CB","?"))</f>
        <v/>
      </c>
      <c r="I1729" s="24" t="str">
        <f aca="false">IF(OR(E1729="",E1729="!!!",F1729="NEW"),"",INDEX(B45:B$1685,-1+SUMPRODUCT(MAX(ROW(E45:E$1685)*(E1729=E45:E$1685)))))</f>
        <v/>
      </c>
      <c r="J1729" s="24" t="str">
        <f aca="true">IF(OR(E1729="",E1729="!!!",F1729="NEW"),"",COUNTBLANK(OFFSET(A$1,,,SUMPRODUCT(MAX(ROW(E$2:E1729)*(E1729=E$2:E1729)))))-COUNTBLANK(OFFSET(A$1,,,SUMPRODUCT(MAX(ROW(E$1:E1728)*(E2=E$1:E1728))))))</f>
        <v/>
      </c>
      <c r="K1729" s="24" t="str">
        <f aca="false">IF(OR(E1729="",E1729="!!!",F1729="NEW"),"",INDEX(J$1:J1728,SUMPRODUCT(MAX(ROW(E$1:E1728)*(E1729=E$1:E1728)))))</f>
        <v/>
      </c>
      <c r="L1729" s="31"/>
    </row>
    <row r="1730" customFormat="false" ht="15" hidden="false" customHeight="false" outlineLevel="0" collapsed="false">
      <c r="A1730" s="20"/>
    </row>
    <row r="1731" customFormat="false" ht="15" hidden="false" customHeight="false" outlineLevel="0" collapsed="false">
      <c r="A1731" s="20" t="s">
        <v>1301</v>
      </c>
      <c r="E1731" s="23" t="str">
        <f aca="false">IF(D1731="?OLD","!!!","")</f>
        <v/>
      </c>
      <c r="F1731" s="25" t="str">
        <f aca="false">IF(OR(E1731="",E1731="!!!"),"",IF(NOT(ISNA(VLOOKUP(E1731,E$1:E1730,1,FALSE()))),"OLD",IF(AND(E1731&lt;&gt;"",E1731&lt;&gt;"!!!"),"NEW","")))</f>
        <v/>
      </c>
      <c r="G1731" s="26" t="str">
        <f aca="false">IF(OR(E1731="",E1731="!!!"),"",IF(OR(J1731=0,AND(J1731=1,K1731=1),AND(J1731=1,I1731="SBJ"),AND(J1731=1,I1731=0)),"?IN_FOCUS",IF(J1731&lt;=2,"?ACTIVATED",IF(J1731&lt;&gt;"","?FAMILIAR",IF(F1731="NEW",IF(ISNA(VLOOKUP(E1731,#REF!,1,FALSE())),"?TYPE_IDENTIFIABLE","?REFERENTIAL"),"_")))))</f>
        <v/>
      </c>
      <c r="H1731" s="27" t="str">
        <f aca="false">IF(J1731&lt;&gt;1,"",IF(I1731="SBJ","CB","?"))</f>
        <v/>
      </c>
      <c r="I1731" s="24" t="str">
        <f aca="false">IF(OR(E1731="",E1731="!!!",F1731="NEW"),"",INDEX(B2:B$1730,-1+SUMPRODUCT(MAX(ROW(E2:E$1730)*(E1731=E2:E$1730)))))</f>
        <v/>
      </c>
      <c r="J1731" s="24" t="str">
        <f aca="true">IF(OR(E1731="",E1731="!!!",F1731="NEW"),"",COUNTBLANK(OFFSET(A$1,,,SUMPRODUCT(MAX(ROW(E$2:E1731)*(E1731=E$2:E1731)))))-COUNTBLANK(OFFSET(A$1,,,SUMPRODUCT(MAX(ROW(E$1:E1730)*(E2=E$1:E1730))))))</f>
        <v/>
      </c>
      <c r="K1731" s="24" t="str">
        <f aca="false">IF(OR(E1731="",E1731="!!!",F1731="NEW"),"",INDEX(J$1:J1730,SUMPRODUCT(MAX(ROW(E$1:E1730)*(E1731=E$1:E1730)))))</f>
        <v/>
      </c>
      <c r="L1731" s="31"/>
    </row>
    <row r="1732" customFormat="false" ht="15" hidden="false" customHeight="false" outlineLevel="0" collapsed="false">
      <c r="A1732" s="20" t="s">
        <v>1750</v>
      </c>
    </row>
    <row r="1733" customFormat="false" ht="15" hidden="false" customHeight="false" outlineLevel="0" collapsed="false">
      <c r="A1733" s="20" t="s">
        <v>607</v>
      </c>
      <c r="E1733" s="23" t="str">
        <f aca="false">IF(D1733="?OLD","!!!","")</f>
        <v/>
      </c>
      <c r="F1733" s="25" t="str">
        <f aca="false">IF(OR(E1733="",E1733="!!!"),"",IF(NOT(ISNA(VLOOKUP(E1733,E$1:E1732,1,FALSE()))),"OLD",IF(AND(E1733&lt;&gt;"",E1733&lt;&gt;"!!!"),"NEW","")))</f>
        <v/>
      </c>
      <c r="G1733" s="26" t="str">
        <f aca="false">IF(OR(E1733="",E1733="!!!"),"",IF(OR(J1733=0,AND(J1733=1,K1733=1),AND(J1733=1,I1733="SBJ"),AND(J1733=1,I1733=0)),"?IN_FOCUS",IF(J1733&lt;=2,"?ACTIVATED",IF(J1733&lt;&gt;"","?FAMILIAR",IF(F1733="NEW",IF(ISNA(VLOOKUP(E1733,#REF!,1,FALSE())),"?TYPE_IDENTIFIABLE","?REFERENTIAL"),"_")))))</f>
        <v/>
      </c>
      <c r="H1733" s="27" t="str">
        <f aca="false">IF(J1733&lt;&gt;1,"",IF(I1733="SBJ","CB","?"))</f>
        <v/>
      </c>
      <c r="I1733" s="24" t="str">
        <f aca="false">IF(OR(E1733="",E1733="!!!",F1733="NEW"),"",INDEX(B2:B$1732,-1+SUMPRODUCT(MAX(ROW(E2:E$1732)*(E1733=E2:E$1732)))))</f>
        <v/>
      </c>
      <c r="J1733" s="24" t="str">
        <f aca="true">IF(OR(E1733="",E1733="!!!",F1733="NEW"),"",COUNTBLANK(OFFSET(A$1,,,SUMPRODUCT(MAX(ROW(E$2:E1733)*(E1733=E$2:E1733)))))-COUNTBLANK(OFFSET(A$1,,,SUMPRODUCT(MAX(ROW(E$1:E1732)*(E2=E$1:E1732))))))</f>
        <v/>
      </c>
      <c r="K1733" s="24" t="str">
        <f aca="false">IF(OR(E1733="",E1733="!!!",F1733="NEW"),"",INDEX(J$1:J1732,SUMPRODUCT(MAX(ROW(E$1:E1732)*(E1733=E$1:E1732)))))</f>
        <v/>
      </c>
      <c r="L1733" s="31"/>
    </row>
    <row r="1734" customFormat="false" ht="15" hidden="false" customHeight="false" outlineLevel="0" collapsed="false">
      <c r="A1734" s="20" t="s">
        <v>1277</v>
      </c>
      <c r="B1734" s="22" t="s">
        <v>1086</v>
      </c>
      <c r="C1734" s="22" t="s">
        <v>1082</v>
      </c>
      <c r="D1734" s="22" t="s">
        <v>1060</v>
      </c>
      <c r="E1734" s="23" t="str">
        <f aca="false">IF(D1734="?OLD","!!!","")</f>
        <v>!!!</v>
      </c>
      <c r="F1734" s="25" t="str">
        <f aca="false">IF(OR(E1734="",E1734="!!!"),"",IF(NOT(ISNA(VLOOKUP(E1734,E$1:E1733,1,FALSE()))),"OLD",IF(AND(E1734&lt;&gt;"",E1734&lt;&gt;"!!!"),"NEW","")))</f>
        <v/>
      </c>
      <c r="G1734" s="26" t="str">
        <f aca="false">IF(OR(E1734="",E1734="!!!"),"",IF(OR(J1734=0,AND(J1734=1,K1734=1),AND(J1734=1,I1734="SBJ"),AND(J1734=1,I1734=0)),"?IN_FOCUS",IF(J1734&lt;=2,"?ACTIVATED",IF(J1734&lt;&gt;"","?FAMILIAR",IF(F1734="NEW",IF(ISNA(VLOOKUP(E1734,#REF!,1,FALSE())),"?TYPE_IDENTIFIABLE","?REFERENTIAL"),"_")))))</f>
        <v/>
      </c>
      <c r="H1734" s="27" t="str">
        <f aca="false">IF(J1734&lt;&gt;1,"",IF(I1734="SBJ","CB","?"))</f>
        <v/>
      </c>
      <c r="I1734" s="24" t="str">
        <f aca="false">IF(OR(E1734="",E1734="!!!",F1734="NEW"),"",INDEX(B3:B$1732,-1+SUMPRODUCT(MAX(ROW(E3:E$1732)*(E1734=E3:E$1732)))))</f>
        <v/>
      </c>
      <c r="J1734" s="24" t="str">
        <f aca="true">IF(OR(E1734="",E1734="!!!",F1734="NEW"),"",COUNTBLANK(OFFSET(A$1,,,SUMPRODUCT(MAX(ROW(E$2:E1734)*(E1734=E$2:E1734)))))-COUNTBLANK(OFFSET(A$1,,,SUMPRODUCT(MAX(ROW(E$1:E1733)*(E2=E$1:E1733))))))</f>
        <v/>
      </c>
      <c r="K1734" s="24" t="str">
        <f aca="false">IF(OR(E1734="",E1734="!!!",F1734="NEW"),"",INDEX(J$1:J1733,SUMPRODUCT(MAX(ROW(E$1:E1733)*(E1734=E$1:E1733)))))</f>
        <v/>
      </c>
      <c r="L1734" s="31"/>
    </row>
    <row r="1735" customFormat="false" ht="15" hidden="false" customHeight="false" outlineLevel="0" collapsed="false">
      <c r="A1735" s="20" t="s">
        <v>1331</v>
      </c>
      <c r="E1735" s="23" t="str">
        <f aca="false">IF(D1735="?OLD","!!!","")</f>
        <v/>
      </c>
      <c r="F1735" s="25" t="str">
        <f aca="false">IF(OR(E1735="",E1735="!!!"),"",IF(NOT(ISNA(VLOOKUP(E1735,E$1:E1734,1,FALSE()))),"OLD",IF(AND(E1735&lt;&gt;"",E1735&lt;&gt;"!!!"),"NEW","")))</f>
        <v/>
      </c>
      <c r="G1735" s="26" t="str">
        <f aca="false">IF(OR(E1735="",E1735="!!!"),"",IF(OR(J1735=0,AND(J1735=1,K1735=1),AND(J1735=1,I1735="SBJ"),AND(J1735=1,I1735=0)),"?IN_FOCUS",IF(J1735&lt;=2,"?ACTIVATED",IF(J1735&lt;&gt;"","?FAMILIAR",IF(F1735="NEW",IF(ISNA(VLOOKUP(E1735,#REF!,1,FALSE())),"?TYPE_IDENTIFIABLE","?REFERENTIAL"),"_")))))</f>
        <v/>
      </c>
      <c r="H1735" s="27" t="str">
        <f aca="false">IF(J1735&lt;&gt;1,"",IF(I1735="SBJ","CB","?"))</f>
        <v/>
      </c>
      <c r="I1735" s="24" t="str">
        <f aca="false">IF(OR(E1735="",E1735="!!!",F1735="NEW"),"",INDEX(B4:B$1732,-1+SUMPRODUCT(MAX(ROW(E4:E$1732)*(E1735=E4:E$1732)))))</f>
        <v/>
      </c>
      <c r="J1735" s="24" t="str">
        <f aca="true">IF(OR(E1735="",E1735="!!!",F1735="NEW"),"",COUNTBLANK(OFFSET(A$1,,,SUMPRODUCT(MAX(ROW(E$2:E1735)*(E1735=E$2:E1735)))))-COUNTBLANK(OFFSET(A$1,,,SUMPRODUCT(MAX(ROW(E$1:E1734)*(E2=E$1:E1734))))))</f>
        <v/>
      </c>
      <c r="K1735" s="24" t="str">
        <f aca="false">IF(OR(E1735="",E1735="!!!",F1735="NEW"),"",INDEX(J$1:J1734,SUMPRODUCT(MAX(ROW(E$1:E1734)*(E1735=E$1:E1734)))))</f>
        <v/>
      </c>
      <c r="L1735" s="31"/>
    </row>
    <row r="1736" customFormat="false" ht="15" hidden="false" customHeight="false" outlineLevel="0" collapsed="false">
      <c r="A1736" s="20" t="s">
        <v>1751</v>
      </c>
      <c r="E1736" s="23" t="str">
        <f aca="false">IF(D1736="?OLD","!!!","")</f>
        <v/>
      </c>
      <c r="F1736" s="25" t="str">
        <f aca="false">IF(OR(E1736="",E1736="!!!"),"",IF(NOT(ISNA(VLOOKUP(E1736,E$1:E1735,1,FALSE()))),"OLD",IF(AND(E1736&lt;&gt;"",E1736&lt;&gt;"!!!"),"NEW","")))</f>
        <v/>
      </c>
      <c r="G1736" s="26" t="str">
        <f aca="false">IF(OR(E1736="",E1736="!!!"),"",IF(OR(J1736=0,AND(J1736=1,K1736=1),AND(J1736=1,I1736="SBJ"),AND(J1736=1,I1736=0)),"?IN_FOCUS",IF(J1736&lt;=2,"?ACTIVATED",IF(J1736&lt;&gt;"","?FAMILIAR",IF(F1736="NEW",IF(ISNA(VLOOKUP(E1736,#REF!,1,FALSE())),"?TYPE_IDENTIFIABLE","?REFERENTIAL"),"_")))))</f>
        <v/>
      </c>
      <c r="H1736" s="27" t="str">
        <f aca="false">IF(J1736&lt;&gt;1,"",IF(I1736="SBJ","CB","?"))</f>
        <v/>
      </c>
      <c r="I1736" s="24" t="str">
        <f aca="false">IF(OR(E1736="",E1736="!!!",F1736="NEW"),"",INDEX(B5:B$1732,-1+SUMPRODUCT(MAX(ROW(E5:E$1732)*(E1736=E5:E$1732)))))</f>
        <v/>
      </c>
      <c r="J1736" s="24" t="str">
        <f aca="true">IF(OR(E1736="",E1736="!!!",F1736="NEW"),"",COUNTBLANK(OFFSET(A$1,,,SUMPRODUCT(MAX(ROW(E$2:E1736)*(E1736=E$2:E1736)))))-COUNTBLANK(OFFSET(A$1,,,SUMPRODUCT(MAX(ROW(E$1:E1735)*(E2=E$1:E1735))))))</f>
        <v/>
      </c>
      <c r="K1736" s="24" t="str">
        <f aca="false">IF(OR(E1736="",E1736="!!!",F1736="NEW"),"",INDEX(J$1:J1735,SUMPRODUCT(MAX(ROW(E$1:E1735)*(E1736=E$1:E1735)))))</f>
        <v/>
      </c>
      <c r="L1736" s="31"/>
    </row>
    <row r="1737" customFormat="false" ht="15" hidden="false" customHeight="false" outlineLevel="0" collapsed="false">
      <c r="A1737" s="20" t="s">
        <v>1752</v>
      </c>
      <c r="E1737" s="23" t="str">
        <f aca="false">IF(D1737="?OLD","!!!","")</f>
        <v/>
      </c>
      <c r="F1737" s="25" t="str">
        <f aca="false">IF(OR(E1737="",E1737="!!!"),"",IF(NOT(ISNA(VLOOKUP(E1737,E$1:E1736,1,FALSE()))),"OLD",IF(AND(E1737&lt;&gt;"",E1737&lt;&gt;"!!!"),"NEW","")))</f>
        <v/>
      </c>
      <c r="G1737" s="26" t="str">
        <f aca="false">IF(OR(E1737="",E1737="!!!"),"",IF(OR(J1737=0,AND(J1737=1,K1737=1),AND(J1737=1,I1737="SBJ"),AND(J1737=1,I1737=0)),"?IN_FOCUS",IF(J1737&lt;=2,"?ACTIVATED",IF(J1737&lt;&gt;"","?FAMILIAR",IF(F1737="NEW",IF(ISNA(VLOOKUP(E1737,#REF!,1,FALSE())),"?TYPE_IDENTIFIABLE","?REFERENTIAL"),"_")))))</f>
        <v/>
      </c>
      <c r="H1737" s="27" t="str">
        <f aca="false">IF(J1737&lt;&gt;1,"",IF(I1737="SBJ","CB","?"))</f>
        <v/>
      </c>
      <c r="I1737" s="24" t="str">
        <f aca="false">IF(OR(E1737="",E1737="!!!",F1737="NEW"),"",INDEX(B6:B$1732,-1+SUMPRODUCT(MAX(ROW(E6:E$1732)*(E1737=E6:E$1732)))))</f>
        <v/>
      </c>
      <c r="J1737" s="24" t="str">
        <f aca="true">IF(OR(E1737="",E1737="!!!",F1737="NEW"),"",COUNTBLANK(OFFSET(A$1,,,SUMPRODUCT(MAX(ROW(E$2:E1737)*(E1737=E$2:E1737)))))-COUNTBLANK(OFFSET(A$1,,,SUMPRODUCT(MAX(ROW(E$1:E1736)*(E2=E$1:E1736))))))</f>
        <v/>
      </c>
      <c r="K1737" s="24" t="str">
        <f aca="false">IF(OR(E1737="",E1737="!!!",F1737="NEW"),"",INDEX(J$1:J1736,SUMPRODUCT(MAX(ROW(E$1:E1736)*(E1737=E$1:E1736)))))</f>
        <v/>
      </c>
      <c r="L1737" s="31"/>
    </row>
    <row r="1738" customFormat="false" ht="15" hidden="false" customHeight="false" outlineLevel="0" collapsed="false">
      <c r="A1738" s="20" t="s">
        <v>1753</v>
      </c>
      <c r="E1738" s="23" t="str">
        <f aca="false">IF(D1738="?OLD","!!!","")</f>
        <v/>
      </c>
      <c r="F1738" s="25" t="str">
        <f aca="false">IF(OR(E1738="",E1738="!!!"),"",IF(NOT(ISNA(VLOOKUP(E1738,E$1:E1737,1,FALSE()))),"OLD",IF(AND(E1738&lt;&gt;"",E1738&lt;&gt;"!!!"),"NEW","")))</f>
        <v/>
      </c>
      <c r="G1738" s="26" t="str">
        <f aca="false">IF(OR(E1738="",E1738="!!!"),"",IF(OR(J1738=0,AND(J1738=1,K1738=1),AND(J1738=1,I1738="SBJ"),AND(J1738=1,I1738=0)),"?IN_FOCUS",IF(J1738&lt;=2,"?ACTIVATED",IF(J1738&lt;&gt;"","?FAMILIAR",IF(F1738="NEW",IF(ISNA(VLOOKUP(E1738,#REF!,1,FALSE())),"?TYPE_IDENTIFIABLE","?REFERENTIAL"),"_")))))</f>
        <v/>
      </c>
      <c r="H1738" s="27" t="str">
        <f aca="false">IF(J1738&lt;&gt;1,"",IF(I1738="SBJ","CB","?"))</f>
        <v/>
      </c>
      <c r="I1738" s="24" t="str">
        <f aca="false">IF(OR(E1738="",E1738="!!!",F1738="NEW"),"",INDEX(B7:B$1732,-1+SUMPRODUCT(MAX(ROW(E7:E$1732)*(E1738=E7:E$1732)))))</f>
        <v/>
      </c>
      <c r="J1738" s="24" t="str">
        <f aca="true">IF(OR(E1738="",E1738="!!!",F1738="NEW"),"",COUNTBLANK(OFFSET(A$1,,,SUMPRODUCT(MAX(ROW(E$2:E1738)*(E1738=E$2:E1738)))))-COUNTBLANK(OFFSET(A$1,,,SUMPRODUCT(MAX(ROW(E$1:E1737)*(E2=E$1:E1737))))))</f>
        <v/>
      </c>
      <c r="K1738" s="24" t="str">
        <f aca="false">IF(OR(E1738="",E1738="!!!",F1738="NEW"),"",INDEX(J$1:J1737,SUMPRODUCT(MAX(ROW(E$1:E1737)*(E1738=E$1:E1737)))))</f>
        <v/>
      </c>
      <c r="L1738" s="31"/>
    </row>
    <row r="1739" customFormat="false" ht="15" hidden="false" customHeight="false" outlineLevel="0" collapsed="false">
      <c r="A1739" s="20" t="s">
        <v>1076</v>
      </c>
      <c r="E1739" s="23" t="str">
        <f aca="false">IF(D1739="?OLD","!!!","")</f>
        <v/>
      </c>
      <c r="F1739" s="25" t="str">
        <f aca="false">IF(OR(E1739="",E1739="!!!"),"",IF(NOT(ISNA(VLOOKUP(E1739,E$1:E1738,1,FALSE()))),"OLD",IF(AND(E1739&lt;&gt;"",E1739&lt;&gt;"!!!"),"NEW","")))</f>
        <v/>
      </c>
      <c r="G1739" s="26" t="str">
        <f aca="false">IF(OR(E1739="",E1739="!!!"),"",IF(OR(J1739=0,AND(J1739=1,K1739=1),AND(J1739=1,I1739="SBJ"),AND(J1739=1,I1739=0)),"?IN_FOCUS",IF(J1739&lt;=2,"?ACTIVATED",IF(J1739&lt;&gt;"","?FAMILIAR",IF(F1739="NEW",IF(ISNA(VLOOKUP(E1739,#REF!,1,FALSE())),"?TYPE_IDENTIFIABLE","?REFERENTIAL"),"_")))))</f>
        <v/>
      </c>
      <c r="H1739" s="27" t="str">
        <f aca="false">IF(J1739&lt;&gt;1,"",IF(I1739="SBJ","CB","?"))</f>
        <v/>
      </c>
      <c r="I1739" s="24" t="str">
        <f aca="false">IF(OR(E1739="",E1739="!!!",F1739="NEW"),"",INDEX(B8:B$1732,-1+SUMPRODUCT(MAX(ROW(E8:E$1732)*(E1739=E8:E$1732)))))</f>
        <v/>
      </c>
      <c r="J1739" s="24" t="str">
        <f aca="true">IF(OR(E1739="",E1739="!!!",F1739="NEW"),"",COUNTBLANK(OFFSET(A$1,,,SUMPRODUCT(MAX(ROW(E$2:E1739)*(E1739=E$2:E1739)))))-COUNTBLANK(OFFSET(A$1,,,SUMPRODUCT(MAX(ROW(E$1:E1738)*(E2=E$1:E1738))))))</f>
        <v/>
      </c>
      <c r="K1739" s="24" t="str">
        <f aca="false">IF(OR(E1739="",E1739="!!!",F1739="NEW"),"",INDEX(J$1:J1738,SUMPRODUCT(MAX(ROW(E$1:E1738)*(E1739=E$1:E1738)))))</f>
        <v/>
      </c>
      <c r="L1739" s="31"/>
    </row>
    <row r="1740" customFormat="false" ht="15" hidden="false" customHeight="false" outlineLevel="0" collapsed="false">
      <c r="A1740" s="20" t="s">
        <v>607</v>
      </c>
      <c r="E1740" s="23" t="str">
        <f aca="false">IF(D1740="?OLD","!!!","")</f>
        <v/>
      </c>
      <c r="F1740" s="25" t="str">
        <f aca="false">IF(OR(E1740="",E1740="!!!"),"",IF(NOT(ISNA(VLOOKUP(E1740,E$1:E1739,1,FALSE()))),"OLD",IF(AND(E1740&lt;&gt;"",E1740&lt;&gt;"!!!"),"NEW","")))</f>
        <v/>
      </c>
      <c r="G1740" s="26" t="str">
        <f aca="false">IF(OR(E1740="",E1740="!!!"),"",IF(OR(J1740=0,AND(J1740=1,K1740=1),AND(J1740=1,I1740="SBJ"),AND(J1740=1,I1740=0)),"?IN_FOCUS",IF(J1740&lt;=2,"?ACTIVATED",IF(J1740&lt;&gt;"","?FAMILIAR",IF(F1740="NEW",IF(ISNA(VLOOKUP(E1740,#REF!,1,FALSE())),"?TYPE_IDENTIFIABLE","?REFERENTIAL"),"_")))))</f>
        <v/>
      </c>
      <c r="H1740" s="27" t="str">
        <f aca="false">IF(J1740&lt;&gt;1,"",IF(I1740="SBJ","CB","?"))</f>
        <v/>
      </c>
      <c r="I1740" s="24" t="str">
        <f aca="false">IF(OR(E1740="",E1740="!!!",F1740="NEW"),"",INDEX(B9:B$1732,-1+SUMPRODUCT(MAX(ROW(E9:E$1732)*(E1740=E9:E$1732)))))</f>
        <v/>
      </c>
      <c r="J1740" s="24" t="str">
        <f aca="true">IF(OR(E1740="",E1740="!!!",F1740="NEW"),"",COUNTBLANK(OFFSET(A$1,,,SUMPRODUCT(MAX(ROW(E$2:E1740)*(E1740=E$2:E1740)))))-COUNTBLANK(OFFSET(A$1,,,SUMPRODUCT(MAX(ROW(E$1:E1739)*(E2=E$1:E1739))))))</f>
        <v/>
      </c>
      <c r="K1740" s="24" t="str">
        <f aca="false">IF(OR(E1740="",E1740="!!!",F1740="NEW"),"",INDEX(J$1:J1739,SUMPRODUCT(MAX(ROW(E$1:E1739)*(E1740=E$1:E1739)))))</f>
        <v/>
      </c>
      <c r="L1740" s="31"/>
    </row>
    <row r="1741" customFormat="false" ht="15" hidden="false" customHeight="false" outlineLevel="0" collapsed="false">
      <c r="A1741" s="20" t="s">
        <v>1194</v>
      </c>
      <c r="E1741" s="23" t="str">
        <f aca="false">IF(D1741="?OLD","!!!","")</f>
        <v/>
      </c>
      <c r="F1741" s="25" t="str">
        <f aca="false">IF(OR(E1741="",E1741="!!!"),"",IF(NOT(ISNA(VLOOKUP(E1741,E$1:E1740,1,FALSE()))),"OLD",IF(AND(E1741&lt;&gt;"",E1741&lt;&gt;"!!!"),"NEW","")))</f>
        <v/>
      </c>
      <c r="G1741" s="26" t="str">
        <f aca="false">IF(OR(E1741="",E1741="!!!"),"",IF(OR(J1741=0,AND(J1741=1,K1741=1),AND(J1741=1,I1741="SBJ"),AND(J1741=1,I1741=0)),"?IN_FOCUS",IF(J1741&lt;=2,"?ACTIVATED",IF(J1741&lt;&gt;"","?FAMILIAR",IF(F1741="NEW",IF(ISNA(VLOOKUP(E1741,#REF!,1,FALSE())),"?TYPE_IDENTIFIABLE","?REFERENTIAL"),"_")))))</f>
        <v/>
      </c>
      <c r="H1741" s="27" t="str">
        <f aca="false">IF(J1741&lt;&gt;1,"",IF(I1741="SBJ","CB","?"))</f>
        <v/>
      </c>
      <c r="I1741" s="24" t="str">
        <f aca="false">IF(OR(E1741="",E1741="!!!",F1741="NEW"),"",INDEX(B10:B$1732,-1+SUMPRODUCT(MAX(ROW(E10:E$1732)*(E1741=E10:E$1732)))))</f>
        <v/>
      </c>
      <c r="J1741" s="24" t="str">
        <f aca="true">IF(OR(E1741="",E1741="!!!",F1741="NEW"),"",COUNTBLANK(OFFSET(A$1,,,SUMPRODUCT(MAX(ROW(E$2:E1741)*(E1741=E$2:E1741)))))-COUNTBLANK(OFFSET(A$1,,,SUMPRODUCT(MAX(ROW(E$1:E1740)*(E2=E$1:E1740))))))</f>
        <v/>
      </c>
      <c r="K1741" s="24" t="str">
        <f aca="false">IF(OR(E1741="",E1741="!!!",F1741="NEW"),"",INDEX(J$1:J1740,SUMPRODUCT(MAX(ROW(E$1:E1740)*(E1741=E$1:E1740)))))</f>
        <v/>
      </c>
      <c r="L1741" s="31"/>
    </row>
    <row r="1742" customFormat="false" ht="15" hidden="false" customHeight="false" outlineLevel="0" collapsed="false">
      <c r="A1742" s="20" t="s">
        <v>1066</v>
      </c>
      <c r="B1742" s="22" t="s">
        <v>1058</v>
      </c>
      <c r="C1742" s="22" t="s">
        <v>1068</v>
      </c>
      <c r="D1742" s="22" t="s">
        <v>1060</v>
      </c>
      <c r="E1742" s="23" t="str">
        <f aca="false">IF(D1742="?OLD","!!!","")</f>
        <v>!!!</v>
      </c>
      <c r="F1742" s="25" t="str">
        <f aca="false">IF(OR(E1742="",E1742="!!!"),"",IF(NOT(ISNA(VLOOKUP(E1742,E$1:E1741,1,FALSE()))),"OLD",IF(AND(E1742&lt;&gt;"",E1742&lt;&gt;"!!!"),"NEW","")))</f>
        <v/>
      </c>
      <c r="G1742" s="26" t="str">
        <f aca="false">IF(OR(E1742="",E1742="!!!"),"",IF(OR(J1742=0,AND(J1742=1,K1742=1),AND(J1742=1,I1742="SBJ"),AND(J1742=1,I1742=0)),"?IN_FOCUS",IF(J1742&lt;=2,"?ACTIVATED",IF(J1742&lt;&gt;"","?FAMILIAR",IF(F1742="NEW",IF(ISNA(VLOOKUP(E1742,#REF!,1,FALSE())),"?TYPE_IDENTIFIABLE","?REFERENTIAL"),"_")))))</f>
        <v/>
      </c>
      <c r="H1742" s="27" t="str">
        <f aca="false">IF(J1742&lt;&gt;1,"",IF(I1742="SBJ","CB","?"))</f>
        <v/>
      </c>
      <c r="I1742" s="24" t="str">
        <f aca="false">IF(OR(E1742="",E1742="!!!",F1742="NEW"),"",INDEX(B11:B$1732,-1+SUMPRODUCT(MAX(ROW(E11:E$1732)*(E1742=E11:E$1732)))))</f>
        <v/>
      </c>
      <c r="J1742" s="24" t="str">
        <f aca="true">IF(OR(E1742="",E1742="!!!",F1742="NEW"),"",COUNTBLANK(OFFSET(A$1,,,SUMPRODUCT(MAX(ROW(E$2:E1742)*(E1742=E$2:E1742)))))-COUNTBLANK(OFFSET(A$1,,,SUMPRODUCT(MAX(ROW(E$1:E1741)*(E2=E$1:E1741))))))</f>
        <v/>
      </c>
      <c r="K1742" s="24" t="str">
        <f aca="false">IF(OR(E1742="",E1742="!!!",F1742="NEW"),"",INDEX(J$1:J1741,SUMPRODUCT(MAX(ROW(E$1:E1741)*(E1742=E$1:E1741)))))</f>
        <v/>
      </c>
      <c r="L1742" s="31"/>
    </row>
    <row r="1743" customFormat="false" ht="15" hidden="false" customHeight="false" outlineLevel="0" collapsed="false">
      <c r="A1743" s="20" t="s">
        <v>923</v>
      </c>
      <c r="E1743" s="23" t="str">
        <f aca="false">IF(D1743="?OLD","!!!","")</f>
        <v/>
      </c>
      <c r="F1743" s="25" t="str">
        <f aca="false">IF(OR(E1743="",E1743="!!!"),"",IF(NOT(ISNA(VLOOKUP(E1743,E$1:E1742,1,FALSE()))),"OLD",IF(AND(E1743&lt;&gt;"",E1743&lt;&gt;"!!!"),"NEW","")))</f>
        <v/>
      </c>
      <c r="G1743" s="26" t="str">
        <f aca="false">IF(OR(E1743="",E1743="!!!"),"",IF(OR(J1743=0,AND(J1743=1,K1743=1),AND(J1743=1,I1743="SBJ"),AND(J1743=1,I1743=0)),"?IN_FOCUS",IF(J1743&lt;=2,"?ACTIVATED",IF(J1743&lt;&gt;"","?FAMILIAR",IF(F1743="NEW",IF(ISNA(VLOOKUP(E1743,#REF!,1,FALSE())),"?TYPE_IDENTIFIABLE","?REFERENTIAL"),"_")))))</f>
        <v/>
      </c>
      <c r="H1743" s="27" t="str">
        <f aca="false">IF(J1743&lt;&gt;1,"",IF(I1743="SBJ","CB","?"))</f>
        <v/>
      </c>
      <c r="I1743" s="24" t="str">
        <f aca="false">IF(OR(E1743="",E1743="!!!",F1743="NEW"),"",INDEX(B12:B$1732,-1+SUMPRODUCT(MAX(ROW(E12:E$1732)*(E1743=E12:E$1732)))))</f>
        <v/>
      </c>
      <c r="J1743" s="24" t="str">
        <f aca="true">IF(OR(E1743="",E1743="!!!",F1743="NEW"),"",COUNTBLANK(OFFSET(A$1,,,SUMPRODUCT(MAX(ROW(E$2:E1743)*(E1743=E$2:E1743)))))-COUNTBLANK(OFFSET(A$1,,,SUMPRODUCT(MAX(ROW(E$1:E1742)*(E2=E$1:E1742))))))</f>
        <v/>
      </c>
      <c r="K1743" s="24" t="str">
        <f aca="false">IF(OR(E1743="",E1743="!!!",F1743="NEW"),"",INDEX(J$1:J1742,SUMPRODUCT(MAX(ROW(E$1:E1742)*(E1743=E$1:E1742)))))</f>
        <v/>
      </c>
      <c r="L1743" s="31"/>
    </row>
    <row r="1744" customFormat="false" ht="15" hidden="false" customHeight="false" outlineLevel="0" collapsed="false">
      <c r="A1744" s="20"/>
    </row>
    <row r="1745" customFormat="false" ht="15" hidden="false" customHeight="false" outlineLevel="0" collapsed="false">
      <c r="A1745" s="20" t="s">
        <v>1301</v>
      </c>
      <c r="E1745" s="23" t="str">
        <f aca="false">IF(D1745="?OLD","!!!","")</f>
        <v/>
      </c>
      <c r="F1745" s="25" t="str">
        <f aca="false">IF(OR(E1745="",E1745="!!!"),"",IF(NOT(ISNA(VLOOKUP(E1745,E$1:E1744,1,FALSE()))),"OLD",IF(AND(E1745&lt;&gt;"",E1745&lt;&gt;"!!!"),"NEW","")))</f>
        <v/>
      </c>
      <c r="G1745" s="26" t="str">
        <f aca="false">IF(OR(E1745="",E1745="!!!"),"",IF(OR(J1745=0,AND(J1745=1,K1745=1),AND(J1745=1,I1745="SBJ"),AND(J1745=1,I1745=0)),"?IN_FOCUS",IF(J1745&lt;=2,"?ACTIVATED",IF(J1745&lt;&gt;"","?FAMILIAR",IF(F1745="NEW",IF(ISNA(VLOOKUP(E1745,#REF!,1,FALSE())),"?TYPE_IDENTIFIABLE","?REFERENTIAL"),"_")))))</f>
        <v/>
      </c>
      <c r="H1745" s="27" t="str">
        <f aca="false">IF(J1745&lt;&gt;1,"",IF(I1745="SBJ","CB","?"))</f>
        <v/>
      </c>
      <c r="I1745" s="24" t="str">
        <f aca="false">IF(OR(E1745="",E1745="!!!",F1745="NEW"),"",INDEX(B2:B$1744,-1+SUMPRODUCT(MAX(ROW(E2:E$1744)*(E1745=E2:E$1744)))))</f>
        <v/>
      </c>
      <c r="J1745" s="24" t="str">
        <f aca="true">IF(OR(E1745="",E1745="!!!",F1745="NEW"),"",COUNTBLANK(OFFSET(A$1,,,SUMPRODUCT(MAX(ROW(E$2:E1745)*(E1745=E$2:E1745)))))-COUNTBLANK(OFFSET(A$1,,,SUMPRODUCT(MAX(ROW(E$1:E1744)*(E2=E$1:E1744))))))</f>
        <v/>
      </c>
      <c r="K1745" s="24" t="str">
        <f aca="false">IF(OR(E1745="",E1745="!!!",F1745="NEW"),"",INDEX(J$1:J1744,SUMPRODUCT(MAX(ROW(E$1:E1744)*(E1745=E$1:E1744)))))</f>
        <v/>
      </c>
      <c r="L1745" s="31"/>
    </row>
    <row r="1746" customFormat="false" ht="15" hidden="false" customHeight="false" outlineLevel="0" collapsed="false">
      <c r="A1746" s="20" t="s">
        <v>1754</v>
      </c>
    </row>
    <row r="1747" customFormat="false" ht="15" hidden="false" customHeight="false" outlineLevel="0" collapsed="false">
      <c r="A1747" s="20" t="s">
        <v>607</v>
      </c>
      <c r="E1747" s="23" t="str">
        <f aca="false">IF(D1747="?OLD","!!!","")</f>
        <v/>
      </c>
      <c r="F1747" s="25" t="str">
        <f aca="false">IF(OR(E1747="",E1747="!!!"),"",IF(NOT(ISNA(VLOOKUP(E1747,E$1:E1746,1,FALSE()))),"OLD",IF(AND(E1747&lt;&gt;"",E1747&lt;&gt;"!!!"),"NEW","")))</f>
        <v/>
      </c>
      <c r="G1747" s="26" t="str">
        <f aca="false">IF(OR(E1747="",E1747="!!!"),"",IF(OR(J1747=0,AND(J1747=1,K1747=1),AND(J1747=1,I1747="SBJ"),AND(J1747=1,I1747=0)),"?IN_FOCUS",IF(J1747&lt;=2,"?ACTIVATED",IF(J1747&lt;&gt;"","?FAMILIAR",IF(F1747="NEW",IF(ISNA(VLOOKUP(E1747,#REF!,1,FALSE())),"?TYPE_IDENTIFIABLE","?REFERENTIAL"),"_")))))</f>
        <v/>
      </c>
      <c r="H1747" s="27" t="str">
        <f aca="false">IF(J1747&lt;&gt;1,"",IF(I1747="SBJ","CB","?"))</f>
        <v/>
      </c>
      <c r="I1747" s="24" t="str">
        <f aca="false">IF(OR(E1747="",E1747="!!!",F1747="NEW"),"",INDEX(B2:B$1746,-1+SUMPRODUCT(MAX(ROW(E2:E$1746)*(E1747=E2:E$1746)))))</f>
        <v/>
      </c>
      <c r="J1747" s="24" t="str">
        <f aca="true">IF(OR(E1747="",E1747="!!!",F1747="NEW"),"",COUNTBLANK(OFFSET(A$1,,,SUMPRODUCT(MAX(ROW(E$2:E1747)*(E1747=E$2:E1747)))))-COUNTBLANK(OFFSET(A$1,,,SUMPRODUCT(MAX(ROW(E$1:E1746)*(E2=E$1:E1746))))))</f>
        <v/>
      </c>
      <c r="K1747" s="24" t="str">
        <f aca="false">IF(OR(E1747="",E1747="!!!",F1747="NEW"),"",INDEX(J$1:J1746,SUMPRODUCT(MAX(ROW(E$1:E1746)*(E1747=E$1:E1746)))))</f>
        <v/>
      </c>
      <c r="L1747" s="31"/>
    </row>
    <row r="1748" customFormat="false" ht="15" hidden="false" customHeight="false" outlineLevel="0" collapsed="false">
      <c r="A1748" s="20" t="s">
        <v>1277</v>
      </c>
      <c r="B1748" s="22" t="s">
        <v>1058</v>
      </c>
      <c r="C1748" s="22" t="s">
        <v>1082</v>
      </c>
      <c r="D1748" s="22" t="s">
        <v>1060</v>
      </c>
      <c r="E1748" s="23" t="str">
        <f aca="false">IF(D1748="?OLD","!!!","")</f>
        <v>!!!</v>
      </c>
      <c r="F1748" s="25" t="str">
        <f aca="false">IF(OR(E1748="",E1748="!!!"),"",IF(NOT(ISNA(VLOOKUP(E1748,E$1:E1747,1,FALSE()))),"OLD",IF(AND(E1748&lt;&gt;"",E1748&lt;&gt;"!!!"),"NEW","")))</f>
        <v/>
      </c>
      <c r="G1748" s="26" t="str">
        <f aca="false">IF(OR(E1748="",E1748="!!!"),"",IF(OR(J1748=0,AND(J1748=1,K1748=1),AND(J1748=1,I1748="SBJ"),AND(J1748=1,I1748=0)),"?IN_FOCUS",IF(J1748&lt;=2,"?ACTIVATED",IF(J1748&lt;&gt;"","?FAMILIAR",IF(F1748="NEW",IF(ISNA(VLOOKUP(E1748,#REF!,1,FALSE())),"?TYPE_IDENTIFIABLE","?REFERENTIAL"),"_")))))</f>
        <v/>
      </c>
      <c r="H1748" s="27" t="str">
        <f aca="false">IF(J1748&lt;&gt;1,"",IF(I1748="SBJ","CB","?"))</f>
        <v/>
      </c>
      <c r="I1748" s="24" t="str">
        <f aca="false">IF(OR(E1748="",E1748="!!!",F1748="NEW"),"",INDEX(B3:B$1746,-1+SUMPRODUCT(MAX(ROW(E3:E$1746)*(E1748=E3:E$1746)))))</f>
        <v/>
      </c>
      <c r="J1748" s="24" t="str">
        <f aca="true">IF(OR(E1748="",E1748="!!!",F1748="NEW"),"",COUNTBLANK(OFFSET(A$1,,,SUMPRODUCT(MAX(ROW(E$2:E1748)*(E1748=E$2:E1748)))))-COUNTBLANK(OFFSET(A$1,,,SUMPRODUCT(MAX(ROW(E$1:E1747)*(E2=E$1:E1747))))))</f>
        <v/>
      </c>
      <c r="K1748" s="24" t="str">
        <f aca="false">IF(OR(E1748="",E1748="!!!",F1748="NEW"),"",INDEX(J$1:J1747,SUMPRODUCT(MAX(ROW(E$1:E1747)*(E1748=E$1:E1747)))))</f>
        <v/>
      </c>
      <c r="L1748" s="31"/>
    </row>
    <row r="1749" customFormat="false" ht="15" hidden="false" customHeight="false" outlineLevel="0" collapsed="false">
      <c r="A1749" s="20" t="s">
        <v>354</v>
      </c>
      <c r="E1749" s="23" t="str">
        <f aca="false">IF(D1749="?OLD","!!!","")</f>
        <v/>
      </c>
      <c r="F1749" s="25" t="str">
        <f aca="false">IF(OR(E1749="",E1749="!!!"),"",IF(NOT(ISNA(VLOOKUP(E1749,E$1:E1748,1,FALSE()))),"OLD",IF(AND(E1749&lt;&gt;"",E1749&lt;&gt;"!!!"),"NEW","")))</f>
        <v/>
      </c>
      <c r="G1749" s="26" t="str">
        <f aca="false">IF(OR(E1749="",E1749="!!!"),"",IF(OR(J1749=0,AND(J1749=1,K1749=1),AND(J1749=1,I1749="SBJ"),AND(J1749=1,I1749=0)),"?IN_FOCUS",IF(J1749&lt;=2,"?ACTIVATED",IF(J1749&lt;&gt;"","?FAMILIAR",IF(F1749="NEW",IF(ISNA(VLOOKUP(E1749,#REF!,1,FALSE())),"?TYPE_IDENTIFIABLE","?REFERENTIAL"),"_")))))</f>
        <v/>
      </c>
      <c r="H1749" s="27" t="str">
        <f aca="false">IF(J1749&lt;&gt;1,"",IF(I1749="SBJ","CB","?"))</f>
        <v/>
      </c>
      <c r="I1749" s="24" t="str">
        <f aca="false">IF(OR(E1749="",E1749="!!!",F1749="NEW"),"",INDEX(B4:B$1746,-1+SUMPRODUCT(MAX(ROW(E4:E$1746)*(E1749=E4:E$1746)))))</f>
        <v/>
      </c>
      <c r="J1749" s="24" t="str">
        <f aca="true">IF(OR(E1749="",E1749="!!!",F1749="NEW"),"",COUNTBLANK(OFFSET(A$1,,,SUMPRODUCT(MAX(ROW(E$2:E1749)*(E1749=E$2:E1749)))))-COUNTBLANK(OFFSET(A$1,,,SUMPRODUCT(MAX(ROW(E$1:E1748)*(E2=E$1:E1748))))))</f>
        <v/>
      </c>
      <c r="K1749" s="24" t="str">
        <f aca="false">IF(OR(E1749="",E1749="!!!",F1749="NEW"),"",INDEX(J$1:J1748,SUMPRODUCT(MAX(ROW(E$1:E1748)*(E1749=E$1:E1748)))))</f>
        <v/>
      </c>
      <c r="L1749" s="31"/>
    </row>
    <row r="1750" customFormat="false" ht="15" hidden="false" customHeight="false" outlineLevel="0" collapsed="false">
      <c r="A1750" s="20" t="s">
        <v>1279</v>
      </c>
      <c r="E1750" s="23" t="str">
        <f aca="false">IF(D1750="?OLD","!!!","")</f>
        <v/>
      </c>
      <c r="F1750" s="25" t="str">
        <f aca="false">IF(OR(E1750="",E1750="!!!"),"",IF(NOT(ISNA(VLOOKUP(E1750,E$1:E1749,1,FALSE()))),"OLD",IF(AND(E1750&lt;&gt;"",E1750&lt;&gt;"!!!"),"NEW","")))</f>
        <v/>
      </c>
      <c r="G1750" s="26" t="str">
        <f aca="false">IF(OR(E1750="",E1750="!!!"),"",IF(OR(J1750=0,AND(J1750=1,K1750=1),AND(J1750=1,I1750="SBJ"),AND(J1750=1,I1750=0)),"?IN_FOCUS",IF(J1750&lt;=2,"?ACTIVATED",IF(J1750&lt;&gt;"","?FAMILIAR",IF(F1750="NEW",IF(ISNA(VLOOKUP(E1750,#REF!,1,FALSE())),"?TYPE_IDENTIFIABLE","?REFERENTIAL"),"_")))))</f>
        <v/>
      </c>
      <c r="H1750" s="27" t="str">
        <f aca="false">IF(J1750&lt;&gt;1,"",IF(I1750="SBJ","CB","?"))</f>
        <v/>
      </c>
      <c r="I1750" s="24" t="str">
        <f aca="false">IF(OR(E1750="",E1750="!!!",F1750="NEW"),"",INDEX(B5:B$1746,-1+SUMPRODUCT(MAX(ROW(E5:E$1746)*(E1750=E5:E$1746)))))</f>
        <v/>
      </c>
      <c r="J1750" s="24" t="str">
        <f aca="true">IF(OR(E1750="",E1750="!!!",F1750="NEW"),"",COUNTBLANK(OFFSET(A$1,,,SUMPRODUCT(MAX(ROW(E$2:E1750)*(E1750=E$2:E1750)))))-COUNTBLANK(OFFSET(A$1,,,SUMPRODUCT(MAX(ROW(E$1:E1749)*(E2=E$1:E1749))))))</f>
        <v/>
      </c>
      <c r="K1750" s="24" t="str">
        <f aca="false">IF(OR(E1750="",E1750="!!!",F1750="NEW"),"",INDEX(J$1:J1749,SUMPRODUCT(MAX(ROW(E$1:E1749)*(E1750=E$1:E1749)))))</f>
        <v/>
      </c>
      <c r="L1750" s="31"/>
    </row>
    <row r="1751" customFormat="false" ht="15" hidden="false" customHeight="false" outlineLevel="0" collapsed="false">
      <c r="A1751" s="20" t="s">
        <v>1144</v>
      </c>
      <c r="E1751" s="23" t="str">
        <f aca="false">IF(D1751="?OLD","!!!","")</f>
        <v/>
      </c>
      <c r="F1751" s="25" t="str">
        <f aca="false">IF(OR(E1751="",E1751="!!!"),"",IF(NOT(ISNA(VLOOKUP(E1751,E$1:E1750,1,FALSE()))),"OLD",IF(AND(E1751&lt;&gt;"",E1751&lt;&gt;"!!!"),"NEW","")))</f>
        <v/>
      </c>
      <c r="G1751" s="26" t="str">
        <f aca="false">IF(OR(E1751="",E1751="!!!"),"",IF(OR(J1751=0,AND(J1751=1,K1751=1),AND(J1751=1,I1751="SBJ"),AND(J1751=1,I1751=0)),"?IN_FOCUS",IF(J1751&lt;=2,"?ACTIVATED",IF(J1751&lt;&gt;"","?FAMILIAR",IF(F1751="NEW",IF(ISNA(VLOOKUP(E1751,#REF!,1,FALSE())),"?TYPE_IDENTIFIABLE","?REFERENTIAL"),"_")))))</f>
        <v/>
      </c>
      <c r="H1751" s="27" t="str">
        <f aca="false">IF(J1751&lt;&gt;1,"",IF(I1751="SBJ","CB","?"))</f>
        <v/>
      </c>
      <c r="I1751" s="24" t="str">
        <f aca="false">IF(OR(E1751="",E1751="!!!",F1751="NEW"),"",INDEX(B6:B$1746,-1+SUMPRODUCT(MAX(ROW(E6:E$1746)*(E1751=E6:E$1746)))))</f>
        <v/>
      </c>
      <c r="J1751" s="24" t="str">
        <f aca="true">IF(OR(E1751="",E1751="!!!",F1751="NEW"),"",COUNTBLANK(OFFSET(A$1,,,SUMPRODUCT(MAX(ROW(E$2:E1751)*(E1751=E$2:E1751)))))-COUNTBLANK(OFFSET(A$1,,,SUMPRODUCT(MAX(ROW(E$1:E1750)*(E2=E$1:E1750))))))</f>
        <v/>
      </c>
      <c r="K1751" s="24" t="str">
        <f aca="false">IF(OR(E1751="",E1751="!!!",F1751="NEW"),"",INDEX(J$1:J1750,SUMPRODUCT(MAX(ROW(E$1:E1750)*(E1751=E$1:E1750)))))</f>
        <v/>
      </c>
      <c r="L1751" s="31"/>
    </row>
    <row r="1752" customFormat="false" ht="15" hidden="false" customHeight="false" outlineLevel="0" collapsed="false">
      <c r="A1752" s="20" t="s">
        <v>1109</v>
      </c>
      <c r="E1752" s="23" t="str">
        <f aca="false">IF(D1752="?OLD","!!!","")</f>
        <v/>
      </c>
      <c r="F1752" s="25" t="str">
        <f aca="false">IF(OR(E1752="",E1752="!!!"),"",IF(NOT(ISNA(VLOOKUP(E1752,E$1:E1751,1,FALSE()))),"OLD",IF(AND(E1752&lt;&gt;"",E1752&lt;&gt;"!!!"),"NEW","")))</f>
        <v/>
      </c>
      <c r="G1752" s="26" t="str">
        <f aca="false">IF(OR(E1752="",E1752="!!!"),"",IF(OR(J1752=0,AND(J1752=1,K1752=1),AND(J1752=1,I1752="SBJ"),AND(J1752=1,I1752=0)),"?IN_FOCUS",IF(J1752&lt;=2,"?ACTIVATED",IF(J1752&lt;&gt;"","?FAMILIAR",IF(F1752="NEW",IF(ISNA(VLOOKUP(E1752,#REF!,1,FALSE())),"?TYPE_IDENTIFIABLE","?REFERENTIAL"),"_")))))</f>
        <v/>
      </c>
      <c r="H1752" s="27" t="str">
        <f aca="false">IF(J1752&lt;&gt;1,"",IF(I1752="SBJ","CB","?"))</f>
        <v/>
      </c>
      <c r="I1752" s="24" t="str">
        <f aca="false">IF(OR(E1752="",E1752="!!!",F1752="NEW"),"",INDEX(B7:B$1746,-1+SUMPRODUCT(MAX(ROW(E7:E$1746)*(E1752=E7:E$1746)))))</f>
        <v/>
      </c>
      <c r="J1752" s="24" t="str">
        <f aca="true">IF(OR(E1752="",E1752="!!!",F1752="NEW"),"",COUNTBLANK(OFFSET(A$1,,,SUMPRODUCT(MAX(ROW(E$2:E1752)*(E1752=E$2:E1752)))))-COUNTBLANK(OFFSET(A$1,,,SUMPRODUCT(MAX(ROW(E$1:E1751)*(E2=E$1:E1751))))))</f>
        <v/>
      </c>
      <c r="K1752" s="24" t="str">
        <f aca="false">IF(OR(E1752="",E1752="!!!",F1752="NEW"),"",INDEX(J$1:J1751,SUMPRODUCT(MAX(ROW(E$1:E1751)*(E1752=E$1:E1751)))))</f>
        <v/>
      </c>
      <c r="L1752" s="31"/>
    </row>
    <row r="1753" customFormat="false" ht="15" hidden="false" customHeight="false" outlineLevel="0" collapsed="false">
      <c r="A1753" s="20" t="s">
        <v>1755</v>
      </c>
      <c r="B1753" s="22" t="s">
        <v>1142</v>
      </c>
      <c r="C1753" s="22" t="s">
        <v>1150</v>
      </c>
      <c r="D1753" s="22" t="s">
        <v>1060</v>
      </c>
      <c r="E1753" s="23" t="str">
        <f aca="false">IF(D1753="?OLD","!!!","")</f>
        <v>!!!</v>
      </c>
      <c r="F1753" s="25" t="str">
        <f aca="false">IF(OR(E1753="",E1753="!!!"),"",IF(NOT(ISNA(VLOOKUP(E1753,E$1:E1752,1,FALSE()))),"OLD",IF(AND(E1753&lt;&gt;"",E1753&lt;&gt;"!!!"),"NEW","")))</f>
        <v/>
      </c>
      <c r="G1753" s="26" t="str">
        <f aca="false">IF(OR(E1753="",E1753="!!!"),"",IF(OR(J1753=0,AND(J1753=1,K1753=1),AND(J1753=1,I1753="SBJ"),AND(J1753=1,I1753=0)),"?IN_FOCUS",IF(J1753&lt;=2,"?ACTIVATED",IF(J1753&lt;&gt;"","?FAMILIAR",IF(F1753="NEW",IF(ISNA(VLOOKUP(E1753,#REF!,1,FALSE())),"?TYPE_IDENTIFIABLE","?REFERENTIAL"),"_")))))</f>
        <v/>
      </c>
      <c r="H1753" s="27" t="str">
        <f aca="false">IF(J1753&lt;&gt;1,"",IF(I1753="SBJ","CB","?"))</f>
        <v/>
      </c>
      <c r="I1753" s="24" t="str">
        <f aca="false">IF(OR(E1753="",E1753="!!!",F1753="NEW"),"",INDEX(B8:B$1746,-1+SUMPRODUCT(MAX(ROW(E8:E$1746)*(E1753=E8:E$1746)))))</f>
        <v/>
      </c>
      <c r="J1753" s="24" t="str">
        <f aca="true">IF(OR(E1753="",E1753="!!!",F1753="NEW"),"",COUNTBLANK(OFFSET(A$1,,,SUMPRODUCT(MAX(ROW(E$2:E1753)*(E1753=E$2:E1753)))))-COUNTBLANK(OFFSET(A$1,,,SUMPRODUCT(MAX(ROW(E$1:E1752)*(E2=E$1:E1752))))))</f>
        <v/>
      </c>
      <c r="K1753" s="24" t="str">
        <f aca="false">IF(OR(E1753="",E1753="!!!",F1753="NEW"),"",INDEX(J$1:J1752,SUMPRODUCT(MAX(ROW(E$1:E1752)*(E1753=E$1:E1752)))))</f>
        <v/>
      </c>
      <c r="L1753" s="31"/>
    </row>
    <row r="1754" customFormat="false" ht="15" hidden="false" customHeight="false" outlineLevel="0" collapsed="false">
      <c r="A1754" s="20" t="s">
        <v>1064</v>
      </c>
      <c r="E1754" s="23" t="str">
        <f aca="false">IF(D1754="?OLD","!!!","")</f>
        <v/>
      </c>
      <c r="F1754" s="25" t="str">
        <f aca="false">IF(OR(E1754="",E1754="!!!"),"",IF(NOT(ISNA(VLOOKUP(E1754,E$1:E1753,1,FALSE()))),"OLD",IF(AND(E1754&lt;&gt;"",E1754&lt;&gt;"!!!"),"NEW","")))</f>
        <v/>
      </c>
      <c r="G1754" s="26" t="str">
        <f aca="false">IF(OR(E1754="",E1754="!!!"),"",IF(OR(J1754=0,AND(J1754=1,K1754=1),AND(J1754=1,I1754="SBJ"),AND(J1754=1,I1754=0)),"?IN_FOCUS",IF(J1754&lt;=2,"?ACTIVATED",IF(J1754&lt;&gt;"","?FAMILIAR",IF(F1754="NEW",IF(ISNA(VLOOKUP(E1754,#REF!,1,FALSE())),"?TYPE_IDENTIFIABLE","?REFERENTIAL"),"_")))))</f>
        <v/>
      </c>
      <c r="H1754" s="27" t="str">
        <f aca="false">IF(J1754&lt;&gt;1,"",IF(I1754="SBJ","CB","?"))</f>
        <v/>
      </c>
      <c r="I1754" s="24" t="str">
        <f aca="false">IF(OR(E1754="",E1754="!!!",F1754="NEW"),"",INDEX(B9:B$1746,-1+SUMPRODUCT(MAX(ROW(E9:E$1746)*(E1754=E9:E$1746)))))</f>
        <v/>
      </c>
      <c r="J1754" s="24" t="str">
        <f aca="true">IF(OR(E1754="",E1754="!!!",F1754="NEW"),"",COUNTBLANK(OFFSET(A$1,,,SUMPRODUCT(MAX(ROW(E$2:E1754)*(E1754=E$2:E1754)))))-COUNTBLANK(OFFSET(A$1,,,SUMPRODUCT(MAX(ROW(E$1:E1753)*(E2=E$1:E1753))))))</f>
        <v/>
      </c>
      <c r="K1754" s="24" t="str">
        <f aca="false">IF(OR(E1754="",E1754="!!!",F1754="NEW"),"",INDEX(J$1:J1753,SUMPRODUCT(MAX(ROW(E$1:E1753)*(E1754=E$1:E1753)))))</f>
        <v/>
      </c>
      <c r="L1754" s="31"/>
    </row>
    <row r="1755" customFormat="false" ht="15" hidden="false" customHeight="false" outlineLevel="0" collapsed="false">
      <c r="A1755" s="20" t="s">
        <v>1097</v>
      </c>
      <c r="B1755" s="22" t="s">
        <v>1197</v>
      </c>
      <c r="C1755" s="22" t="s">
        <v>1082</v>
      </c>
      <c r="D1755" s="22" t="s">
        <v>1060</v>
      </c>
      <c r="E1755" s="23" t="str">
        <f aca="false">IF(D1755="?OLD","!!!","")</f>
        <v>!!!</v>
      </c>
      <c r="F1755" s="25" t="str">
        <f aca="false">IF(OR(E1755="",E1755="!!!"),"",IF(NOT(ISNA(VLOOKUP(E1755,E$1:E1754,1,FALSE()))),"OLD",IF(AND(E1755&lt;&gt;"",E1755&lt;&gt;"!!!"),"NEW","")))</f>
        <v/>
      </c>
      <c r="G1755" s="26" t="str">
        <f aca="false">IF(OR(E1755="",E1755="!!!"),"",IF(OR(J1755=0,AND(J1755=1,K1755=1),AND(J1755=1,I1755="SBJ"),AND(J1755=1,I1755=0)),"?IN_FOCUS",IF(J1755&lt;=2,"?ACTIVATED",IF(J1755&lt;&gt;"","?FAMILIAR",IF(F1755="NEW",IF(ISNA(VLOOKUP(E1755,#REF!,1,FALSE())),"?TYPE_IDENTIFIABLE","?REFERENTIAL"),"_")))))</f>
        <v/>
      </c>
      <c r="H1755" s="27" t="str">
        <f aca="false">IF(J1755&lt;&gt;1,"",IF(I1755="SBJ","CB","?"))</f>
        <v/>
      </c>
      <c r="I1755" s="24" t="str">
        <f aca="false">IF(OR(E1755="",E1755="!!!",F1755="NEW"),"",INDEX(B10:B$1746,-1+SUMPRODUCT(MAX(ROW(E10:E$1746)*(E1755=E10:E$1746)))))</f>
        <v/>
      </c>
      <c r="J1755" s="24" t="str">
        <f aca="true">IF(OR(E1755="",E1755="!!!",F1755="NEW"),"",COUNTBLANK(OFFSET(A$1,,,SUMPRODUCT(MAX(ROW(E$2:E1755)*(E1755=E$2:E1755)))))-COUNTBLANK(OFFSET(A$1,,,SUMPRODUCT(MAX(ROW(E$1:E1754)*(E2=E$1:E1754))))))</f>
        <v/>
      </c>
      <c r="K1755" s="24" t="str">
        <f aca="false">IF(OR(E1755="",E1755="!!!",F1755="NEW"),"",INDEX(J$1:J1754,SUMPRODUCT(MAX(ROW(E$1:E1754)*(E1755=E$1:E1754)))))</f>
        <v/>
      </c>
      <c r="L1755" s="31"/>
    </row>
    <row r="1756" customFormat="false" ht="15" hidden="false" customHeight="false" outlineLevel="0" collapsed="false">
      <c r="A1756" s="20" t="s">
        <v>1756</v>
      </c>
      <c r="E1756" s="23" t="str">
        <f aca="false">IF(D1756="?OLD","!!!","")</f>
        <v/>
      </c>
      <c r="F1756" s="25" t="str">
        <f aca="false">IF(OR(E1756="",E1756="!!!"),"",IF(NOT(ISNA(VLOOKUP(E1756,E$1:E1755,1,FALSE()))),"OLD",IF(AND(E1756&lt;&gt;"",E1756&lt;&gt;"!!!"),"NEW","")))</f>
        <v/>
      </c>
      <c r="G1756" s="26" t="str">
        <f aca="false">IF(OR(E1756="",E1756="!!!"),"",IF(OR(J1756=0,AND(J1756=1,K1756=1),AND(J1756=1,I1756="SBJ"),AND(J1756=1,I1756=0)),"?IN_FOCUS",IF(J1756&lt;=2,"?ACTIVATED",IF(J1756&lt;&gt;"","?FAMILIAR",IF(F1756="NEW",IF(ISNA(VLOOKUP(E1756,#REF!,1,FALSE())),"?TYPE_IDENTIFIABLE","?REFERENTIAL"),"_")))))</f>
        <v/>
      </c>
      <c r="H1756" s="27" t="str">
        <f aca="false">IF(J1756&lt;&gt;1,"",IF(I1756="SBJ","CB","?"))</f>
        <v/>
      </c>
      <c r="I1756" s="24" t="str">
        <f aca="false">IF(OR(E1756="",E1756="!!!",F1756="NEW"),"",INDEX(B11:B$1746,-1+SUMPRODUCT(MAX(ROW(E11:E$1746)*(E1756=E11:E$1746)))))</f>
        <v/>
      </c>
      <c r="J1756" s="24" t="str">
        <f aca="true">IF(OR(E1756="",E1756="!!!",F1756="NEW"),"",COUNTBLANK(OFFSET(A$1,,,SUMPRODUCT(MAX(ROW(E$2:E1756)*(E1756=E$2:E1756)))))-COUNTBLANK(OFFSET(A$1,,,SUMPRODUCT(MAX(ROW(E$1:E1755)*(E2=E$1:E1755))))))</f>
        <v/>
      </c>
      <c r="K1756" s="24" t="str">
        <f aca="false">IF(OR(E1756="",E1756="!!!",F1756="NEW"),"",INDEX(J$1:J1755,SUMPRODUCT(MAX(ROW(E$1:E1755)*(E1756=E$1:E1755)))))</f>
        <v/>
      </c>
      <c r="L1756" s="31"/>
    </row>
    <row r="1757" customFormat="false" ht="15" hidden="false" customHeight="false" outlineLevel="0" collapsed="false">
      <c r="A1757" s="20" t="s">
        <v>1757</v>
      </c>
      <c r="E1757" s="23" t="str">
        <f aca="false">IF(D1757="?OLD","!!!","")</f>
        <v/>
      </c>
      <c r="F1757" s="25" t="str">
        <f aca="false">IF(OR(E1757="",E1757="!!!"),"",IF(NOT(ISNA(VLOOKUP(E1757,E$1:E1756,1,FALSE()))),"OLD",IF(AND(E1757&lt;&gt;"",E1757&lt;&gt;"!!!"),"NEW","")))</f>
        <v/>
      </c>
      <c r="G1757" s="26" t="str">
        <f aca="false">IF(OR(E1757="",E1757="!!!"),"",IF(OR(J1757=0,AND(J1757=1,K1757=1),AND(J1757=1,I1757="SBJ"),AND(J1757=1,I1757=0)),"?IN_FOCUS",IF(J1757&lt;=2,"?ACTIVATED",IF(J1757&lt;&gt;"","?FAMILIAR",IF(F1757="NEW",IF(ISNA(VLOOKUP(E1757,#REF!,1,FALSE())),"?TYPE_IDENTIFIABLE","?REFERENTIAL"),"_")))))</f>
        <v/>
      </c>
      <c r="H1757" s="27" t="str">
        <f aca="false">IF(J1757&lt;&gt;1,"",IF(I1757="SBJ","CB","?"))</f>
        <v/>
      </c>
      <c r="I1757" s="24" t="str">
        <f aca="false">IF(OR(E1757="",E1757="!!!",F1757="NEW"),"",INDEX(B12:B$1746,-1+SUMPRODUCT(MAX(ROW(E12:E$1746)*(E1757=E12:E$1746)))))</f>
        <v/>
      </c>
      <c r="J1757" s="24" t="str">
        <f aca="true">IF(OR(E1757="",E1757="!!!",F1757="NEW"),"",COUNTBLANK(OFFSET(A$1,,,SUMPRODUCT(MAX(ROW(E$2:E1757)*(E1757=E$2:E1757)))))-COUNTBLANK(OFFSET(A$1,,,SUMPRODUCT(MAX(ROW(E$1:E1756)*(E2=E$1:E1756))))))</f>
        <v/>
      </c>
      <c r="K1757" s="24" t="str">
        <f aca="false">IF(OR(E1757="",E1757="!!!",F1757="NEW"),"",INDEX(J$1:J1756,SUMPRODUCT(MAX(ROW(E$1:E1756)*(E1757=E$1:E1756)))))</f>
        <v/>
      </c>
      <c r="L1757" s="31"/>
    </row>
    <row r="1758" customFormat="false" ht="15" hidden="false" customHeight="false" outlineLevel="0" collapsed="false">
      <c r="A1758" s="20" t="s">
        <v>1641</v>
      </c>
      <c r="E1758" s="23" t="str">
        <f aca="false">IF(D1758="?OLD","!!!","")</f>
        <v/>
      </c>
      <c r="F1758" s="25" t="str">
        <f aca="false">IF(OR(E1758="",E1758="!!!"),"",IF(NOT(ISNA(VLOOKUP(E1758,E$1:E1757,1,FALSE()))),"OLD",IF(AND(E1758&lt;&gt;"",E1758&lt;&gt;"!!!"),"NEW","")))</f>
        <v/>
      </c>
      <c r="G1758" s="26" t="str">
        <f aca="false">IF(OR(E1758="",E1758="!!!"),"",IF(OR(J1758=0,AND(J1758=1,K1758=1),AND(J1758=1,I1758="SBJ"),AND(J1758=1,I1758=0)),"?IN_FOCUS",IF(J1758&lt;=2,"?ACTIVATED",IF(J1758&lt;&gt;"","?FAMILIAR",IF(F1758="NEW",IF(ISNA(VLOOKUP(E1758,#REF!,1,FALSE())),"?TYPE_IDENTIFIABLE","?REFERENTIAL"),"_")))))</f>
        <v/>
      </c>
      <c r="H1758" s="27" t="str">
        <f aca="false">IF(J1758&lt;&gt;1,"",IF(I1758="SBJ","CB","?"))</f>
        <v/>
      </c>
      <c r="I1758" s="24" t="str">
        <f aca="false">IF(OR(E1758="",E1758="!!!",F1758="NEW"),"",INDEX(B13:B$1746,-1+SUMPRODUCT(MAX(ROW(E13:E$1746)*(E1758=E13:E$1746)))))</f>
        <v/>
      </c>
      <c r="J1758" s="24" t="str">
        <f aca="true">IF(OR(E1758="",E1758="!!!",F1758="NEW"),"",COUNTBLANK(OFFSET(A$1,,,SUMPRODUCT(MAX(ROW(E$2:E1758)*(E1758=E$2:E1758)))))-COUNTBLANK(OFFSET(A$1,,,SUMPRODUCT(MAX(ROW(E$1:E1757)*(E2=E$1:E1757))))))</f>
        <v/>
      </c>
      <c r="K1758" s="24" t="str">
        <f aca="false">IF(OR(E1758="",E1758="!!!",F1758="NEW"),"",INDEX(J$1:J1757,SUMPRODUCT(MAX(ROW(E$1:E1757)*(E1758=E$1:E1757)))))</f>
        <v/>
      </c>
      <c r="L1758" s="31"/>
    </row>
    <row r="1759" customFormat="false" ht="15" hidden="false" customHeight="false" outlineLevel="0" collapsed="false">
      <c r="A1759" s="20" t="s">
        <v>1090</v>
      </c>
      <c r="B1759" s="22" t="s">
        <v>1359</v>
      </c>
      <c r="C1759" s="22" t="s">
        <v>1082</v>
      </c>
      <c r="D1759" s="22" t="s">
        <v>1060</v>
      </c>
      <c r="E1759" s="23" t="str">
        <f aca="false">IF(D1759="?OLD","!!!","")</f>
        <v>!!!</v>
      </c>
      <c r="F1759" s="25" t="str">
        <f aca="false">IF(OR(E1759="",E1759="!!!"),"",IF(NOT(ISNA(VLOOKUP(E1759,E$1:E1758,1,FALSE()))),"OLD",IF(AND(E1759&lt;&gt;"",E1759&lt;&gt;"!!!"),"NEW","")))</f>
        <v/>
      </c>
      <c r="G1759" s="26" t="str">
        <f aca="false">IF(OR(E1759="",E1759="!!!"),"",IF(OR(J1759=0,AND(J1759=1,K1759=1),AND(J1759=1,I1759="SBJ"),AND(J1759=1,I1759=0)),"?IN_FOCUS",IF(J1759&lt;=2,"?ACTIVATED",IF(J1759&lt;&gt;"","?FAMILIAR",IF(F1759="NEW",IF(ISNA(VLOOKUP(E1759,#REF!,1,FALSE())),"?TYPE_IDENTIFIABLE","?REFERENTIAL"),"_")))))</f>
        <v/>
      </c>
      <c r="H1759" s="27" t="str">
        <f aca="false">IF(J1759&lt;&gt;1,"",IF(I1759="SBJ","CB","?"))</f>
        <v/>
      </c>
      <c r="I1759" s="24" t="str">
        <f aca="false">IF(OR(E1759="",E1759="!!!",F1759="NEW"),"",INDEX(B14:B$1746,-1+SUMPRODUCT(MAX(ROW(E14:E$1746)*(E1759=E14:E$1746)))))</f>
        <v/>
      </c>
      <c r="J1759" s="24" t="str">
        <f aca="true">IF(OR(E1759="",E1759="!!!",F1759="NEW"),"",COUNTBLANK(OFFSET(A$1,,,SUMPRODUCT(MAX(ROW(E$2:E1759)*(E1759=E$2:E1759)))))-COUNTBLANK(OFFSET(A$1,,,SUMPRODUCT(MAX(ROW(E$1:E1758)*(E2=E$1:E1758))))))</f>
        <v/>
      </c>
      <c r="K1759" s="24" t="str">
        <f aca="false">IF(OR(E1759="",E1759="!!!",F1759="NEW"),"",INDEX(J$1:J1758,SUMPRODUCT(MAX(ROW(E$1:E1758)*(E1759=E$1:E1758)))))</f>
        <v/>
      </c>
      <c r="L1759" s="31"/>
    </row>
    <row r="1760" customFormat="false" ht="15" hidden="false" customHeight="false" outlineLevel="0" collapsed="false">
      <c r="A1760" s="20" t="s">
        <v>1583</v>
      </c>
      <c r="E1760" s="23" t="str">
        <f aca="false">IF(D1760="?OLD","!!!","")</f>
        <v/>
      </c>
      <c r="F1760" s="25" t="str">
        <f aca="false">IF(OR(E1760="",E1760="!!!"),"",IF(NOT(ISNA(VLOOKUP(E1760,E$1:E1759,1,FALSE()))),"OLD",IF(AND(E1760&lt;&gt;"",E1760&lt;&gt;"!!!"),"NEW","")))</f>
        <v/>
      </c>
      <c r="G1760" s="26" t="str">
        <f aca="false">IF(OR(E1760="",E1760="!!!"),"",IF(OR(J1760=0,AND(J1760=1,K1760=1),AND(J1760=1,I1760="SBJ"),AND(J1760=1,I1760=0)),"?IN_FOCUS",IF(J1760&lt;=2,"?ACTIVATED",IF(J1760&lt;&gt;"","?FAMILIAR",IF(F1760="NEW",IF(ISNA(VLOOKUP(E1760,#REF!,1,FALSE())),"?TYPE_IDENTIFIABLE","?REFERENTIAL"),"_")))))</f>
        <v/>
      </c>
      <c r="H1760" s="27" t="str">
        <f aca="false">IF(J1760&lt;&gt;1,"",IF(I1760="SBJ","CB","?"))</f>
        <v/>
      </c>
      <c r="I1760" s="24" t="str">
        <f aca="false">IF(OR(E1760="",E1760="!!!",F1760="NEW"),"",INDEX(B15:B$1746,-1+SUMPRODUCT(MAX(ROW(E15:E$1746)*(E1760=E15:E$1746)))))</f>
        <v/>
      </c>
      <c r="J1760" s="24" t="str">
        <f aca="true">IF(OR(E1760="",E1760="!!!",F1760="NEW"),"",COUNTBLANK(OFFSET(A$1,,,SUMPRODUCT(MAX(ROW(E$2:E1760)*(E1760=E$2:E1760)))))-COUNTBLANK(OFFSET(A$1,,,SUMPRODUCT(MAX(ROW(E$1:E1759)*(E2=E$1:E1759))))))</f>
        <v/>
      </c>
      <c r="K1760" s="24" t="str">
        <f aca="false">IF(OR(E1760="",E1760="!!!",F1760="NEW"),"",INDEX(J$1:J1759,SUMPRODUCT(MAX(ROW(E$1:E1759)*(E1760=E$1:E1759)))))</f>
        <v/>
      </c>
      <c r="L1760" s="31"/>
    </row>
    <row r="1761" customFormat="false" ht="15" hidden="false" customHeight="false" outlineLevel="0" collapsed="false">
      <c r="A1761" s="20" t="s">
        <v>978</v>
      </c>
      <c r="E1761" s="23" t="str">
        <f aca="false">IF(D1761="?OLD","!!!","")</f>
        <v/>
      </c>
      <c r="F1761" s="25" t="str">
        <f aca="false">IF(OR(E1761="",E1761="!!!"),"",IF(NOT(ISNA(VLOOKUP(E1761,E$1:E1760,1,FALSE()))),"OLD",IF(AND(E1761&lt;&gt;"",E1761&lt;&gt;"!!!"),"NEW","")))</f>
        <v/>
      </c>
      <c r="G1761" s="26" t="str">
        <f aca="false">IF(OR(E1761="",E1761="!!!"),"",IF(OR(J1761=0,AND(J1761=1,K1761=1),AND(J1761=1,I1761="SBJ"),AND(J1761=1,I1761=0)),"?IN_FOCUS",IF(J1761&lt;=2,"?ACTIVATED",IF(J1761&lt;&gt;"","?FAMILIAR",IF(F1761="NEW",IF(ISNA(VLOOKUP(E1761,#REF!,1,FALSE())),"?TYPE_IDENTIFIABLE","?REFERENTIAL"),"_")))))</f>
        <v/>
      </c>
      <c r="H1761" s="27" t="str">
        <f aca="false">IF(J1761&lt;&gt;1,"",IF(I1761="SBJ","CB","?"))</f>
        <v/>
      </c>
      <c r="I1761" s="24" t="str">
        <f aca="false">IF(OR(E1761="",E1761="!!!",F1761="NEW"),"",INDEX(B16:B$1746,-1+SUMPRODUCT(MAX(ROW(E16:E$1746)*(E1761=E16:E$1746)))))</f>
        <v/>
      </c>
      <c r="J1761" s="24" t="str">
        <f aca="true">IF(OR(E1761="",E1761="!!!",F1761="NEW"),"",COUNTBLANK(OFFSET(A$1,,,SUMPRODUCT(MAX(ROW(E$2:E1761)*(E1761=E$2:E1761)))))-COUNTBLANK(OFFSET(A$1,,,SUMPRODUCT(MAX(ROW(E$1:E1760)*(E2=E$1:E1760))))))</f>
        <v/>
      </c>
      <c r="K1761" s="24" t="str">
        <f aca="false">IF(OR(E1761="",E1761="!!!",F1761="NEW"),"",INDEX(J$1:J1760,SUMPRODUCT(MAX(ROW(E$1:E1760)*(E1761=E$1:E1760)))))</f>
        <v/>
      </c>
      <c r="L1761" s="31"/>
    </row>
    <row r="1762" customFormat="false" ht="15" hidden="false" customHeight="false" outlineLevel="0" collapsed="false">
      <c r="A1762" s="20" t="s">
        <v>1179</v>
      </c>
      <c r="B1762" s="22" t="s">
        <v>1131</v>
      </c>
      <c r="C1762" s="22" t="s">
        <v>1082</v>
      </c>
      <c r="D1762" s="22" t="s">
        <v>1060</v>
      </c>
      <c r="E1762" s="23" t="str">
        <f aca="false">IF(D1762="?OLD","!!!","")</f>
        <v>!!!</v>
      </c>
      <c r="F1762" s="25" t="str">
        <f aca="false">IF(OR(E1762="",E1762="!!!"),"",IF(NOT(ISNA(VLOOKUP(E1762,E$1:E1761,1,FALSE()))),"OLD",IF(AND(E1762&lt;&gt;"",E1762&lt;&gt;"!!!"),"NEW","")))</f>
        <v/>
      </c>
      <c r="G1762" s="26" t="str">
        <f aca="false">IF(OR(E1762="",E1762="!!!"),"",IF(OR(J1762=0,AND(J1762=1,K1762=1),AND(J1762=1,I1762="SBJ"),AND(J1762=1,I1762=0)),"?IN_FOCUS",IF(J1762&lt;=2,"?ACTIVATED",IF(J1762&lt;&gt;"","?FAMILIAR",IF(F1762="NEW",IF(ISNA(VLOOKUP(E1762,#REF!,1,FALSE())),"?TYPE_IDENTIFIABLE","?REFERENTIAL"),"_")))))</f>
        <v/>
      </c>
      <c r="H1762" s="27" t="str">
        <f aca="false">IF(J1762&lt;&gt;1,"",IF(I1762="SBJ","CB","?"))</f>
        <v/>
      </c>
      <c r="I1762" s="24" t="str">
        <f aca="false">IF(OR(E1762="",E1762="!!!",F1762="NEW"),"",INDEX(B17:B$1746,-1+SUMPRODUCT(MAX(ROW(E17:E$1746)*(E1762=E17:E$1746)))))</f>
        <v/>
      </c>
      <c r="J1762" s="24" t="str">
        <f aca="true">IF(OR(E1762="",E1762="!!!",F1762="NEW"),"",COUNTBLANK(OFFSET(A$1,,,SUMPRODUCT(MAX(ROW(E$2:E1762)*(E1762=E$2:E1762)))))-COUNTBLANK(OFFSET(A$1,,,SUMPRODUCT(MAX(ROW(E$1:E1761)*(E2=E$1:E1761))))))</f>
        <v/>
      </c>
      <c r="K1762" s="24" t="str">
        <f aca="false">IF(OR(E1762="",E1762="!!!",F1762="NEW"),"",INDEX(J$1:J1761,SUMPRODUCT(MAX(ROW(E$1:E1761)*(E1762=E$1:E1761)))))</f>
        <v/>
      </c>
      <c r="L1762" s="31"/>
    </row>
    <row r="1763" customFormat="false" ht="15" hidden="false" customHeight="false" outlineLevel="0" collapsed="false">
      <c r="A1763" s="20" t="s">
        <v>923</v>
      </c>
      <c r="E1763" s="23" t="str">
        <f aca="false">IF(D1763="?OLD","!!!","")</f>
        <v/>
      </c>
      <c r="F1763" s="25" t="str">
        <f aca="false">IF(OR(E1763="",E1763="!!!"),"",IF(NOT(ISNA(VLOOKUP(E1763,E$1:E1762,1,FALSE()))),"OLD",IF(AND(E1763&lt;&gt;"",E1763&lt;&gt;"!!!"),"NEW","")))</f>
        <v/>
      </c>
      <c r="G1763" s="26" t="str">
        <f aca="false">IF(OR(E1763="",E1763="!!!"),"",IF(OR(J1763=0,AND(J1763=1,K1763=1),AND(J1763=1,I1763="SBJ"),AND(J1763=1,I1763=0)),"?IN_FOCUS",IF(J1763&lt;=2,"?ACTIVATED",IF(J1763&lt;&gt;"","?FAMILIAR",IF(F1763="NEW",IF(ISNA(VLOOKUP(E1763,#REF!,1,FALSE())),"?TYPE_IDENTIFIABLE","?REFERENTIAL"),"_")))))</f>
        <v/>
      </c>
      <c r="H1763" s="27" t="str">
        <f aca="false">IF(J1763&lt;&gt;1,"",IF(I1763="SBJ","CB","?"))</f>
        <v/>
      </c>
      <c r="I1763" s="24" t="str">
        <f aca="false">IF(OR(E1763="",E1763="!!!",F1763="NEW"),"",INDEX(B18:B$1746,-1+SUMPRODUCT(MAX(ROW(E18:E$1746)*(E1763=E18:E$1746)))))</f>
        <v/>
      </c>
      <c r="J1763" s="24" t="str">
        <f aca="true">IF(OR(E1763="",E1763="!!!",F1763="NEW"),"",COUNTBLANK(OFFSET(A$1,,,SUMPRODUCT(MAX(ROW(E$2:E1763)*(E1763=E$2:E1763)))))-COUNTBLANK(OFFSET(A$1,,,SUMPRODUCT(MAX(ROW(E$1:E1762)*(E2=E$1:E1762))))))</f>
        <v/>
      </c>
      <c r="K1763" s="24" t="str">
        <f aca="false">IF(OR(E1763="",E1763="!!!",F1763="NEW"),"",INDEX(J$1:J1762,SUMPRODUCT(MAX(ROW(E$1:E1762)*(E1763=E$1:E1762)))))</f>
        <v/>
      </c>
      <c r="L1763" s="31"/>
    </row>
    <row r="1764" customFormat="false" ht="15" hidden="false" customHeight="false" outlineLevel="0" collapsed="false">
      <c r="A1764" s="20"/>
    </row>
    <row r="1765" customFormat="false" ht="15" hidden="false" customHeight="false" outlineLevel="0" collapsed="false">
      <c r="A1765" s="20" t="s">
        <v>1301</v>
      </c>
      <c r="E1765" s="23" t="str">
        <f aca="false">IF(D1765="?OLD","!!!","")</f>
        <v/>
      </c>
      <c r="F1765" s="25" t="str">
        <f aca="false">IF(OR(E1765="",E1765="!!!"),"",IF(NOT(ISNA(VLOOKUP(E1765,E$1:E1764,1,FALSE()))),"OLD",IF(AND(E1765&lt;&gt;"",E1765&lt;&gt;"!!!"),"NEW","")))</f>
        <v/>
      </c>
      <c r="G1765" s="26" t="str">
        <f aca="false">IF(OR(E1765="",E1765="!!!"),"",IF(OR(J1765=0,AND(J1765=1,K1765=1),AND(J1765=1,I1765="SBJ"),AND(J1765=1,I1765=0)),"?IN_FOCUS",IF(J1765&lt;=2,"?ACTIVATED",IF(J1765&lt;&gt;"","?FAMILIAR",IF(F1765="NEW",IF(ISNA(VLOOKUP(E1765,#REF!,1,FALSE())),"?TYPE_IDENTIFIABLE","?REFERENTIAL"),"_")))))</f>
        <v/>
      </c>
      <c r="H1765" s="27" t="str">
        <f aca="false">IF(J1765&lt;&gt;1,"",IF(I1765="SBJ","CB","?"))</f>
        <v/>
      </c>
      <c r="I1765" s="24" t="str">
        <f aca="false">IF(OR(E1765="",E1765="!!!",F1765="NEW"),"",INDEX(B2:B$1764,-1+SUMPRODUCT(MAX(ROW(E2:E$1764)*(E1765=E2:E$1764)))))</f>
        <v/>
      </c>
      <c r="J1765" s="24" t="str">
        <f aca="true">IF(OR(E1765="",E1765="!!!",F1765="NEW"),"",COUNTBLANK(OFFSET(A$1,,,SUMPRODUCT(MAX(ROW(E$2:E1765)*(E1765=E$2:E1765)))))-COUNTBLANK(OFFSET(A$1,,,SUMPRODUCT(MAX(ROW(E$1:E1764)*(E2=E$1:E1764))))))</f>
        <v/>
      </c>
      <c r="K1765" s="24" t="str">
        <f aca="false">IF(OR(E1765="",E1765="!!!",F1765="NEW"),"",INDEX(J$1:J1764,SUMPRODUCT(MAX(ROW(E$1:E1764)*(E1765=E$1:E1764)))))</f>
        <v/>
      </c>
      <c r="L1765" s="31"/>
    </row>
    <row r="1766" customFormat="false" ht="15" hidden="false" customHeight="false" outlineLevel="0" collapsed="false">
      <c r="A1766" s="20" t="s">
        <v>1758</v>
      </c>
    </row>
    <row r="1767" customFormat="false" ht="15" hidden="false" customHeight="false" outlineLevel="0" collapsed="false">
      <c r="A1767" s="20" t="s">
        <v>1759</v>
      </c>
      <c r="E1767" s="23" t="str">
        <f aca="false">IF(D1767="?OLD","!!!","")</f>
        <v/>
      </c>
      <c r="F1767" s="25" t="str">
        <f aca="false">IF(OR(E1767="",E1767="!!!"),"",IF(NOT(ISNA(VLOOKUP(E1767,E$1:E1766,1,FALSE()))),"OLD",IF(AND(E1767&lt;&gt;"",E1767&lt;&gt;"!!!"),"NEW","")))</f>
        <v/>
      </c>
      <c r="G1767" s="26" t="str">
        <f aca="false">IF(OR(E1767="",E1767="!!!"),"",IF(OR(J1767=0,AND(J1767=1,K1767=1),AND(J1767=1,I1767="SBJ"),AND(J1767=1,I1767=0)),"?IN_FOCUS",IF(J1767&lt;=2,"?ACTIVATED",IF(J1767&lt;&gt;"","?FAMILIAR",IF(F1767="NEW",IF(ISNA(VLOOKUP(E1767,#REF!,1,FALSE())),"?TYPE_IDENTIFIABLE","?REFERENTIAL"),"_")))))</f>
        <v/>
      </c>
      <c r="H1767" s="27" t="str">
        <f aca="false">IF(J1767&lt;&gt;1,"",IF(I1767="SBJ","CB","?"))</f>
        <v/>
      </c>
      <c r="I1767" s="24" t="str">
        <f aca="false">IF(OR(E1767="",E1767="!!!",F1767="NEW"),"",INDEX(B2:B$1766,-1+SUMPRODUCT(MAX(ROW(E2:E$1766)*(E1767=E2:E$1766)))))</f>
        <v/>
      </c>
      <c r="J1767" s="24" t="str">
        <f aca="true">IF(OR(E1767="",E1767="!!!",F1767="NEW"),"",COUNTBLANK(OFFSET(A$1,,,SUMPRODUCT(MAX(ROW(E$2:E1767)*(E1767=E$2:E1767)))))-COUNTBLANK(OFFSET(A$1,,,SUMPRODUCT(MAX(ROW(E$1:E1766)*(E2=E$1:E1766))))))</f>
        <v/>
      </c>
      <c r="K1767" s="24" t="str">
        <f aca="false">IF(OR(E1767="",E1767="!!!",F1767="NEW"),"",INDEX(J$1:J1766,SUMPRODUCT(MAX(ROW(E$1:E1766)*(E1767=E$1:E1766)))))</f>
        <v/>
      </c>
      <c r="L1767" s="31"/>
    </row>
    <row r="1768" customFormat="false" ht="15" hidden="false" customHeight="false" outlineLevel="0" collapsed="false">
      <c r="A1768" s="20" t="s">
        <v>1760</v>
      </c>
      <c r="E1768" s="23" t="str">
        <f aca="false">IF(D1768="?OLD","!!!","")</f>
        <v/>
      </c>
      <c r="F1768" s="25" t="str">
        <f aca="false">IF(OR(E1768="",E1768="!!!"),"",IF(NOT(ISNA(VLOOKUP(E1768,E$1:E1767,1,FALSE()))),"OLD",IF(AND(E1768&lt;&gt;"",E1768&lt;&gt;"!!!"),"NEW","")))</f>
        <v/>
      </c>
      <c r="G1768" s="26" t="str">
        <f aca="false">IF(OR(E1768="",E1768="!!!"),"",IF(OR(J1768=0,AND(J1768=1,K1768=1),AND(J1768=1,I1768="SBJ"),AND(J1768=1,I1768=0)),"?IN_FOCUS",IF(J1768&lt;=2,"?ACTIVATED",IF(J1768&lt;&gt;"","?FAMILIAR",IF(F1768="NEW",IF(ISNA(VLOOKUP(E1768,#REF!,1,FALSE())),"?TYPE_IDENTIFIABLE","?REFERENTIAL"),"_")))))</f>
        <v/>
      </c>
      <c r="H1768" s="27" t="str">
        <f aca="false">IF(J1768&lt;&gt;1,"",IF(I1768="SBJ","CB","?"))</f>
        <v/>
      </c>
      <c r="I1768" s="24" t="str">
        <f aca="false">IF(OR(E1768="",E1768="!!!",F1768="NEW"),"",INDEX(B3:B$1766,-1+SUMPRODUCT(MAX(ROW(E3:E$1766)*(E1768=E3:E$1766)))))</f>
        <v/>
      </c>
      <c r="J1768" s="24" t="str">
        <f aca="true">IF(OR(E1768="",E1768="!!!",F1768="NEW"),"",COUNTBLANK(OFFSET(A$1,,,SUMPRODUCT(MAX(ROW(E$2:E1768)*(E1768=E$2:E1768)))))-COUNTBLANK(OFFSET(A$1,,,SUMPRODUCT(MAX(ROW(E$1:E1767)*(E2=E$1:E1767))))))</f>
        <v/>
      </c>
      <c r="K1768" s="24" t="str">
        <f aca="false">IF(OR(E1768="",E1768="!!!",F1768="NEW"),"",INDEX(J$1:J1767,SUMPRODUCT(MAX(ROW(E$1:E1767)*(E1768=E$1:E1767)))))</f>
        <v/>
      </c>
      <c r="L1768" s="31"/>
    </row>
    <row r="1769" customFormat="false" ht="15" hidden="false" customHeight="false" outlineLevel="0" collapsed="false">
      <c r="A1769" s="20" t="s">
        <v>1761</v>
      </c>
      <c r="B1769" s="22" t="s">
        <v>1105</v>
      </c>
      <c r="C1769" s="22" t="s">
        <v>1087</v>
      </c>
      <c r="E1769" s="23" t="str">
        <f aca="false">IF(D1769="?OLD","!!!","")</f>
        <v/>
      </c>
      <c r="F1769" s="25" t="str">
        <f aca="false">IF(OR(E1769="",E1769="!!!"),"",IF(NOT(ISNA(VLOOKUP(E1769,E$1:E1768,1,FALSE()))),"OLD",IF(AND(E1769&lt;&gt;"",E1769&lt;&gt;"!!!"),"NEW","")))</f>
        <v/>
      </c>
      <c r="G1769" s="26" t="str">
        <f aca="false">IF(OR(E1769="",E1769="!!!"),"",IF(OR(J1769=0,AND(J1769=1,K1769=1),AND(J1769=1,I1769="SBJ"),AND(J1769=1,I1769=0)),"?IN_FOCUS",IF(J1769&lt;=2,"?ACTIVATED",IF(J1769&lt;&gt;"","?FAMILIAR",IF(F1769="NEW",IF(ISNA(VLOOKUP(E1769,#REF!,1,FALSE())),"?TYPE_IDENTIFIABLE","?REFERENTIAL"),"_")))))</f>
        <v/>
      </c>
      <c r="H1769" s="27" t="str">
        <f aca="false">IF(J1769&lt;&gt;1,"",IF(I1769="SBJ","CB","?"))</f>
        <v/>
      </c>
      <c r="I1769" s="24" t="str">
        <f aca="false">IF(OR(E1769="",E1769="!!!",F1769="NEW"),"",INDEX(B4:B$1766,-1+SUMPRODUCT(MAX(ROW(E4:E$1766)*(E1769=E4:E$1766)))))</f>
        <v/>
      </c>
      <c r="J1769" s="24" t="str">
        <f aca="true">IF(OR(E1769="",E1769="!!!",F1769="NEW"),"",COUNTBLANK(OFFSET(A$1,,,SUMPRODUCT(MAX(ROW(E$2:E1769)*(E1769=E$2:E1769)))))-COUNTBLANK(OFFSET(A$1,,,SUMPRODUCT(MAX(ROW(E$1:E1768)*(E2=E$1:E1768))))))</f>
        <v/>
      </c>
      <c r="K1769" s="24" t="str">
        <f aca="false">IF(OR(E1769="",E1769="!!!",F1769="NEW"),"",INDEX(J$1:J1768,SUMPRODUCT(MAX(ROW(E$1:E1768)*(E1769=E$1:E1768)))))</f>
        <v/>
      </c>
      <c r="L1769" s="31"/>
    </row>
    <row r="1770" customFormat="false" ht="15" hidden="false" customHeight="false" outlineLevel="0" collapsed="false">
      <c r="A1770" s="20" t="s">
        <v>1186</v>
      </c>
      <c r="B1770" s="22" t="s">
        <v>1058</v>
      </c>
      <c r="C1770" s="22" t="s">
        <v>1082</v>
      </c>
      <c r="D1770" s="22" t="s">
        <v>1060</v>
      </c>
      <c r="E1770" s="23" t="str">
        <f aca="false">IF(D1770="?OLD","!!!","")</f>
        <v>!!!</v>
      </c>
      <c r="F1770" s="25" t="str">
        <f aca="false">IF(OR(E1770="",E1770="!!!"),"",IF(NOT(ISNA(VLOOKUP(E1770,E$1:E1769,1,FALSE()))),"OLD",IF(AND(E1770&lt;&gt;"",E1770&lt;&gt;"!!!"),"NEW","")))</f>
        <v/>
      </c>
      <c r="G1770" s="26" t="str">
        <f aca="false">IF(OR(E1770="",E1770="!!!"),"",IF(OR(J1770=0,AND(J1770=1,K1770=1),AND(J1770=1,I1770="SBJ"),AND(J1770=1,I1770=0)),"?IN_FOCUS",IF(J1770&lt;=2,"?ACTIVATED",IF(J1770&lt;&gt;"","?FAMILIAR",IF(F1770="NEW",IF(ISNA(VLOOKUP(E1770,#REF!,1,FALSE())),"?TYPE_IDENTIFIABLE","?REFERENTIAL"),"_")))))</f>
        <v/>
      </c>
      <c r="H1770" s="27" t="str">
        <f aca="false">IF(J1770&lt;&gt;1,"",IF(I1770="SBJ","CB","?"))</f>
        <v/>
      </c>
      <c r="I1770" s="24" t="str">
        <f aca="false">IF(OR(E1770="",E1770="!!!",F1770="NEW"),"",INDEX(B5:B$1766,-1+SUMPRODUCT(MAX(ROW(E5:E$1766)*(E1770=E5:E$1766)))))</f>
        <v/>
      </c>
      <c r="J1770" s="24" t="str">
        <f aca="true">IF(OR(E1770="",E1770="!!!",F1770="NEW"),"",COUNTBLANK(OFFSET(A$1,,,SUMPRODUCT(MAX(ROW(E$2:E1770)*(E1770=E$2:E1770)))))-COUNTBLANK(OFFSET(A$1,,,SUMPRODUCT(MAX(ROW(E$1:E1769)*(E2=E$1:E1769))))))</f>
        <v/>
      </c>
      <c r="K1770" s="24" t="str">
        <f aca="false">IF(OR(E1770="",E1770="!!!",F1770="NEW"),"",INDEX(J$1:J1769,SUMPRODUCT(MAX(ROW(E$1:E1769)*(E1770=E$1:E1769)))))</f>
        <v/>
      </c>
      <c r="L1770" s="31"/>
    </row>
    <row r="1771" customFormat="false" ht="15" hidden="false" customHeight="false" outlineLevel="0" collapsed="false">
      <c r="A1771" s="20" t="s">
        <v>1375</v>
      </c>
      <c r="E1771" s="23" t="str">
        <f aca="false">IF(D1771="?OLD","!!!","")</f>
        <v/>
      </c>
      <c r="F1771" s="25" t="str">
        <f aca="false">IF(OR(E1771="",E1771="!!!"),"",IF(NOT(ISNA(VLOOKUP(E1771,E$1:E1770,1,FALSE()))),"OLD",IF(AND(E1771&lt;&gt;"",E1771&lt;&gt;"!!!"),"NEW","")))</f>
        <v/>
      </c>
      <c r="G1771" s="26" t="str">
        <f aca="false">IF(OR(E1771="",E1771="!!!"),"",IF(OR(J1771=0,AND(J1771=1,K1771=1),AND(J1771=1,I1771="SBJ"),AND(J1771=1,I1771=0)),"?IN_FOCUS",IF(J1771&lt;=2,"?ACTIVATED",IF(J1771&lt;&gt;"","?FAMILIAR",IF(F1771="NEW",IF(ISNA(VLOOKUP(E1771,#REF!,1,FALSE())),"?TYPE_IDENTIFIABLE","?REFERENTIAL"),"_")))))</f>
        <v/>
      </c>
      <c r="H1771" s="27" t="str">
        <f aca="false">IF(J1771&lt;&gt;1,"",IF(I1771="SBJ","CB","?"))</f>
        <v/>
      </c>
      <c r="I1771" s="24" t="str">
        <f aca="false">IF(OR(E1771="",E1771="!!!",F1771="NEW"),"",INDEX(B6:B$1766,-1+SUMPRODUCT(MAX(ROW(E6:E$1766)*(E1771=E6:E$1766)))))</f>
        <v/>
      </c>
      <c r="J1771" s="24" t="str">
        <f aca="true">IF(OR(E1771="",E1771="!!!",F1771="NEW"),"",COUNTBLANK(OFFSET(A$1,,,SUMPRODUCT(MAX(ROW(E$2:E1771)*(E1771=E$2:E1771)))))-COUNTBLANK(OFFSET(A$1,,,SUMPRODUCT(MAX(ROW(E$1:E1770)*(E2=E$1:E1770))))))</f>
        <v/>
      </c>
      <c r="K1771" s="24" t="str">
        <f aca="false">IF(OR(E1771="",E1771="!!!",F1771="NEW"),"",INDEX(J$1:J1770,SUMPRODUCT(MAX(ROW(E$1:E1770)*(E1771=E$1:E1770)))))</f>
        <v/>
      </c>
      <c r="L1771" s="31"/>
    </row>
    <row r="1772" customFormat="false" ht="15" hidden="false" customHeight="false" outlineLevel="0" collapsed="false">
      <c r="A1772" s="20" t="s">
        <v>358</v>
      </c>
      <c r="E1772" s="23" t="str">
        <f aca="false">IF(D1772="?OLD","!!!","")</f>
        <v/>
      </c>
      <c r="F1772" s="25" t="str">
        <f aca="false">IF(OR(E1772="",E1772="!!!"),"",IF(NOT(ISNA(VLOOKUP(E1772,E$1:E1771,1,FALSE()))),"OLD",IF(AND(E1772&lt;&gt;"",E1772&lt;&gt;"!!!"),"NEW","")))</f>
        <v/>
      </c>
      <c r="G1772" s="26" t="str">
        <f aca="false">IF(OR(E1772="",E1772="!!!"),"",IF(OR(J1772=0,AND(J1772=1,K1772=1),AND(J1772=1,I1772="SBJ"),AND(J1772=1,I1772=0)),"?IN_FOCUS",IF(J1772&lt;=2,"?ACTIVATED",IF(J1772&lt;&gt;"","?FAMILIAR",IF(F1772="NEW",IF(ISNA(VLOOKUP(E1772,#REF!,1,FALSE())),"?TYPE_IDENTIFIABLE","?REFERENTIAL"),"_")))))</f>
        <v/>
      </c>
      <c r="H1772" s="27" t="str">
        <f aca="false">IF(J1772&lt;&gt;1,"",IF(I1772="SBJ","CB","?"))</f>
        <v/>
      </c>
      <c r="I1772" s="24" t="str">
        <f aca="false">IF(OR(E1772="",E1772="!!!",F1772="NEW"),"",INDEX(B7:B$1766,-1+SUMPRODUCT(MAX(ROW(E7:E$1766)*(E1772=E7:E$1766)))))</f>
        <v/>
      </c>
      <c r="J1772" s="24" t="str">
        <f aca="true">IF(OR(E1772="",E1772="!!!",F1772="NEW"),"",COUNTBLANK(OFFSET(A$1,,,SUMPRODUCT(MAX(ROW(E$2:E1772)*(E1772=E$2:E1772)))))-COUNTBLANK(OFFSET(A$1,,,SUMPRODUCT(MAX(ROW(E$1:E1771)*(E2=E$1:E1771))))))</f>
        <v/>
      </c>
      <c r="K1772" s="24" t="str">
        <f aca="false">IF(OR(E1772="",E1772="!!!",F1772="NEW"),"",INDEX(J$1:J1771,SUMPRODUCT(MAX(ROW(E$1:E1771)*(E1772=E$1:E1771)))))</f>
        <v/>
      </c>
      <c r="L1772" s="31"/>
    </row>
    <row r="1773" customFormat="false" ht="15" hidden="false" customHeight="false" outlineLevel="0" collapsed="false">
      <c r="A1773" s="20" t="s">
        <v>1189</v>
      </c>
      <c r="B1773" s="22" t="s">
        <v>1073</v>
      </c>
      <c r="C1773" s="22" t="s">
        <v>1099</v>
      </c>
      <c r="D1773" s="22" t="s">
        <v>1060</v>
      </c>
      <c r="E1773" s="23" t="str">
        <f aca="false">IF(D1773="?OLD","!!!","")</f>
        <v>!!!</v>
      </c>
      <c r="F1773" s="25" t="str">
        <f aca="false">IF(OR(E1773="",E1773="!!!"),"",IF(NOT(ISNA(VLOOKUP(E1773,E$1:E1772,1,FALSE()))),"OLD",IF(AND(E1773&lt;&gt;"",E1773&lt;&gt;"!!!"),"NEW","")))</f>
        <v/>
      </c>
      <c r="G1773" s="26" t="str">
        <f aca="false">IF(OR(E1773="",E1773="!!!"),"",IF(OR(J1773=0,AND(J1773=1,K1773=1),AND(J1773=1,I1773="SBJ"),AND(J1773=1,I1773=0)),"?IN_FOCUS",IF(J1773&lt;=2,"?ACTIVATED",IF(J1773&lt;&gt;"","?FAMILIAR",IF(F1773="NEW",IF(ISNA(VLOOKUP(E1773,#REF!,1,FALSE())),"?TYPE_IDENTIFIABLE","?REFERENTIAL"),"_")))))</f>
        <v/>
      </c>
      <c r="H1773" s="27" t="str">
        <f aca="false">IF(J1773&lt;&gt;1,"",IF(I1773="SBJ","CB","?"))</f>
        <v/>
      </c>
      <c r="I1773" s="24" t="str">
        <f aca="false">IF(OR(E1773="",E1773="!!!",F1773="NEW"),"",INDEX(B8:B$1766,-1+SUMPRODUCT(MAX(ROW(E8:E$1766)*(E1773=E8:E$1766)))))</f>
        <v/>
      </c>
      <c r="J1773" s="24" t="str">
        <f aca="true">IF(OR(E1773="",E1773="!!!",F1773="NEW"),"",COUNTBLANK(OFFSET(A$1,,,SUMPRODUCT(MAX(ROW(E$2:E1773)*(E1773=E$2:E1773)))))-COUNTBLANK(OFFSET(A$1,,,SUMPRODUCT(MAX(ROW(E$1:E1772)*(E2=E$1:E1772))))))</f>
        <v/>
      </c>
      <c r="K1773" s="24" t="str">
        <f aca="false">IF(OR(E1773="",E1773="!!!",F1773="NEW"),"",INDEX(J$1:J1772,SUMPRODUCT(MAX(ROW(E$1:E1772)*(E1773=E$1:E1772)))))</f>
        <v/>
      </c>
      <c r="L1773" s="31"/>
    </row>
    <row r="1774" customFormat="false" ht="15" hidden="false" customHeight="false" outlineLevel="0" collapsed="false">
      <c r="A1774" s="20" t="s">
        <v>1738</v>
      </c>
      <c r="B1774" s="22" t="s">
        <v>1081</v>
      </c>
      <c r="C1774" s="22" t="s">
        <v>1059</v>
      </c>
      <c r="D1774" s="22" t="s">
        <v>1060</v>
      </c>
      <c r="E1774" s="23" t="str">
        <f aca="false">IF(D1774="?OLD","!!!","")</f>
        <v>!!!</v>
      </c>
      <c r="F1774" s="25" t="str">
        <f aca="false">IF(OR(E1774="",E1774="!!!"),"",IF(NOT(ISNA(VLOOKUP(E1774,E$1:E1773,1,FALSE()))),"OLD",IF(AND(E1774&lt;&gt;"",E1774&lt;&gt;"!!!"),"NEW","")))</f>
        <v/>
      </c>
      <c r="G1774" s="26" t="str">
        <f aca="false">IF(OR(E1774="",E1774="!!!"),"",IF(OR(J1774=0,AND(J1774=1,K1774=1),AND(J1774=1,I1774="SBJ"),AND(J1774=1,I1774=0)),"?IN_FOCUS",IF(J1774&lt;=2,"?ACTIVATED",IF(J1774&lt;&gt;"","?FAMILIAR",IF(F1774="NEW",IF(ISNA(VLOOKUP(E1774,#REF!,1,FALSE())),"?TYPE_IDENTIFIABLE","?REFERENTIAL"),"_")))))</f>
        <v/>
      </c>
      <c r="H1774" s="27" t="str">
        <f aca="false">IF(J1774&lt;&gt;1,"",IF(I1774="SBJ","CB","?"))</f>
        <v/>
      </c>
      <c r="I1774" s="24" t="str">
        <f aca="false">IF(OR(E1774="",E1774="!!!",F1774="NEW"),"",INDEX(B9:B$1766,-1+SUMPRODUCT(MAX(ROW(E9:E$1766)*(E1774=E9:E$1766)))))</f>
        <v/>
      </c>
      <c r="J1774" s="24" t="str">
        <f aca="true">IF(OR(E1774="",E1774="!!!",F1774="NEW"),"",COUNTBLANK(OFFSET(A$1,,,SUMPRODUCT(MAX(ROW(E$2:E1774)*(E1774=E$2:E1774)))))-COUNTBLANK(OFFSET(A$1,,,SUMPRODUCT(MAX(ROW(E$1:E1773)*(E2=E$1:E1773))))))</f>
        <v/>
      </c>
      <c r="K1774" s="24" t="str">
        <f aca="false">IF(OR(E1774="",E1774="!!!",F1774="NEW"),"",INDEX(J$1:J1773,SUMPRODUCT(MAX(ROW(E$1:E1773)*(E1774=E$1:E1773)))))</f>
        <v/>
      </c>
      <c r="L1774" s="31"/>
    </row>
    <row r="1775" customFormat="false" ht="15" hidden="false" customHeight="false" outlineLevel="0" collapsed="false">
      <c r="A1775" s="20" t="s">
        <v>1569</v>
      </c>
      <c r="E1775" s="23" t="str">
        <f aca="false">IF(D1775="?OLD","!!!","")</f>
        <v/>
      </c>
      <c r="F1775" s="25" t="str">
        <f aca="false">IF(OR(E1775="",E1775="!!!"),"",IF(NOT(ISNA(VLOOKUP(E1775,E$1:E1774,1,FALSE()))),"OLD",IF(AND(E1775&lt;&gt;"",E1775&lt;&gt;"!!!"),"NEW","")))</f>
        <v/>
      </c>
      <c r="G1775" s="26" t="str">
        <f aca="false">IF(OR(E1775="",E1775="!!!"),"",IF(OR(J1775=0,AND(J1775=1,K1775=1),AND(J1775=1,I1775="SBJ"),AND(J1775=1,I1775=0)),"?IN_FOCUS",IF(J1775&lt;=2,"?ACTIVATED",IF(J1775&lt;&gt;"","?FAMILIAR",IF(F1775="NEW",IF(ISNA(VLOOKUP(E1775,#REF!,1,FALSE())),"?TYPE_IDENTIFIABLE","?REFERENTIAL"),"_")))))</f>
        <v/>
      </c>
      <c r="H1775" s="27" t="str">
        <f aca="false">IF(J1775&lt;&gt;1,"",IF(I1775="SBJ","CB","?"))</f>
        <v/>
      </c>
      <c r="I1775" s="24" t="str">
        <f aca="false">IF(OR(E1775="",E1775="!!!",F1775="NEW"),"",INDEX(B10:B$1766,-1+SUMPRODUCT(MAX(ROW(E10:E$1766)*(E1775=E10:E$1766)))))</f>
        <v/>
      </c>
      <c r="J1775" s="24" t="str">
        <f aca="true">IF(OR(E1775="",E1775="!!!",F1775="NEW"),"",COUNTBLANK(OFFSET(A$1,,,SUMPRODUCT(MAX(ROW(E$2:E1775)*(E1775=E$2:E1775)))))-COUNTBLANK(OFFSET(A$1,,,SUMPRODUCT(MAX(ROW(E$1:E1774)*(E2=E$1:E1774))))))</f>
        <v/>
      </c>
      <c r="K1775" s="24" t="str">
        <f aca="false">IF(OR(E1775="",E1775="!!!",F1775="NEW"),"",INDEX(J$1:J1774,SUMPRODUCT(MAX(ROW(E$1:E1774)*(E1775=E$1:E1774)))))</f>
        <v/>
      </c>
      <c r="L1775" s="31"/>
    </row>
    <row r="1776" customFormat="false" ht="15" hidden="false" customHeight="false" outlineLevel="0" collapsed="false">
      <c r="A1776" s="20" t="s">
        <v>1186</v>
      </c>
      <c r="B1776" s="22" t="s">
        <v>1086</v>
      </c>
      <c r="C1776" s="22" t="s">
        <v>1082</v>
      </c>
      <c r="D1776" s="22" t="s">
        <v>1060</v>
      </c>
      <c r="E1776" s="23" t="str">
        <f aca="false">IF(D1776="?OLD","!!!","")</f>
        <v>!!!</v>
      </c>
      <c r="F1776" s="25" t="str">
        <f aca="false">IF(OR(E1776="",E1776="!!!"),"",IF(NOT(ISNA(VLOOKUP(E1776,E$1:E1775,1,FALSE()))),"OLD",IF(AND(E1776&lt;&gt;"",E1776&lt;&gt;"!!!"),"NEW","")))</f>
        <v/>
      </c>
      <c r="G1776" s="26" t="str">
        <f aca="false">IF(OR(E1776="",E1776="!!!"),"",IF(OR(J1776=0,AND(J1776=1,K1776=1),AND(J1776=1,I1776="SBJ"),AND(J1776=1,I1776=0)),"?IN_FOCUS",IF(J1776&lt;=2,"?ACTIVATED",IF(J1776&lt;&gt;"","?FAMILIAR",IF(F1776="NEW",IF(ISNA(VLOOKUP(E1776,#REF!,1,FALSE())),"?TYPE_IDENTIFIABLE","?REFERENTIAL"),"_")))))</f>
        <v/>
      </c>
      <c r="H1776" s="27" t="str">
        <f aca="false">IF(J1776&lt;&gt;1,"",IF(I1776="SBJ","CB","?"))</f>
        <v/>
      </c>
      <c r="I1776" s="24" t="str">
        <f aca="false">IF(OR(E1776="",E1776="!!!",F1776="NEW"),"",INDEX(B11:B$1766,-1+SUMPRODUCT(MAX(ROW(E11:E$1766)*(E1776=E11:E$1766)))))</f>
        <v/>
      </c>
      <c r="J1776" s="24" t="str">
        <f aca="true">IF(OR(E1776="",E1776="!!!",F1776="NEW"),"",COUNTBLANK(OFFSET(A$1,,,SUMPRODUCT(MAX(ROW(E$2:E1776)*(E1776=E$2:E1776)))))-COUNTBLANK(OFFSET(A$1,,,SUMPRODUCT(MAX(ROW(E$1:E1775)*(E2=E$1:E1775))))))</f>
        <v/>
      </c>
      <c r="K1776" s="24" t="str">
        <f aca="false">IF(OR(E1776="",E1776="!!!",F1776="NEW"),"",INDEX(J$1:J1775,SUMPRODUCT(MAX(ROW(E$1:E1775)*(E1776=E$1:E1775)))))</f>
        <v/>
      </c>
      <c r="L1776" s="31"/>
    </row>
    <row r="1777" customFormat="false" ht="15" hidden="false" customHeight="false" outlineLevel="0" collapsed="false">
      <c r="A1777" s="20" t="s">
        <v>1331</v>
      </c>
      <c r="E1777" s="23" t="str">
        <f aca="false">IF(D1777="?OLD","!!!","")</f>
        <v/>
      </c>
      <c r="F1777" s="25" t="str">
        <f aca="false">IF(OR(E1777="",E1777="!!!"),"",IF(NOT(ISNA(VLOOKUP(E1777,E$1:E1776,1,FALSE()))),"OLD",IF(AND(E1777&lt;&gt;"",E1777&lt;&gt;"!!!"),"NEW","")))</f>
        <v/>
      </c>
      <c r="G1777" s="26" t="str">
        <f aca="false">IF(OR(E1777="",E1777="!!!"),"",IF(OR(J1777=0,AND(J1777=1,K1777=1),AND(J1777=1,I1777="SBJ"),AND(J1777=1,I1777=0)),"?IN_FOCUS",IF(J1777&lt;=2,"?ACTIVATED",IF(J1777&lt;&gt;"","?FAMILIAR",IF(F1777="NEW",IF(ISNA(VLOOKUP(E1777,#REF!,1,FALSE())),"?TYPE_IDENTIFIABLE","?REFERENTIAL"),"_")))))</f>
        <v/>
      </c>
      <c r="H1777" s="27" t="str">
        <f aca="false">IF(J1777&lt;&gt;1,"",IF(I1777="SBJ","CB","?"))</f>
        <v/>
      </c>
      <c r="I1777" s="24" t="str">
        <f aca="false">IF(OR(E1777="",E1777="!!!",F1777="NEW"),"",INDEX(B12:B$1766,-1+SUMPRODUCT(MAX(ROW(E12:E$1766)*(E1777=E12:E$1766)))))</f>
        <v/>
      </c>
      <c r="J1777" s="24" t="str">
        <f aca="true">IF(OR(E1777="",E1777="!!!",F1777="NEW"),"",COUNTBLANK(OFFSET(A$1,,,SUMPRODUCT(MAX(ROW(E$2:E1777)*(E1777=E$2:E1777)))))-COUNTBLANK(OFFSET(A$1,,,SUMPRODUCT(MAX(ROW(E$1:E1776)*(E2=E$1:E1776))))))</f>
        <v/>
      </c>
      <c r="K1777" s="24" t="str">
        <f aca="false">IF(OR(E1777="",E1777="!!!",F1777="NEW"),"",INDEX(J$1:J1776,SUMPRODUCT(MAX(ROW(E$1:E1776)*(E1777=E$1:E1776)))))</f>
        <v/>
      </c>
      <c r="L1777" s="31"/>
    </row>
    <row r="1778" customFormat="false" ht="15" hidden="false" customHeight="false" outlineLevel="0" collapsed="false">
      <c r="A1778" s="20" t="s">
        <v>923</v>
      </c>
      <c r="E1778" s="23" t="str">
        <f aca="false">IF(D1778="?OLD","!!!","")</f>
        <v/>
      </c>
      <c r="F1778" s="25" t="str">
        <f aca="false">IF(OR(E1778="",E1778="!!!"),"",IF(NOT(ISNA(VLOOKUP(E1778,E$1:E1777,1,FALSE()))),"OLD",IF(AND(E1778&lt;&gt;"",E1778&lt;&gt;"!!!"),"NEW","")))</f>
        <v/>
      </c>
      <c r="G1778" s="26" t="str">
        <f aca="false">IF(OR(E1778="",E1778="!!!"),"",IF(OR(J1778=0,AND(J1778=1,K1778=1),AND(J1778=1,I1778="SBJ"),AND(J1778=1,I1778=0)),"?IN_FOCUS",IF(J1778&lt;=2,"?ACTIVATED",IF(J1778&lt;&gt;"","?FAMILIAR",IF(F1778="NEW",IF(ISNA(VLOOKUP(E1778,#REF!,1,FALSE())),"?TYPE_IDENTIFIABLE","?REFERENTIAL"),"_")))))</f>
        <v/>
      </c>
      <c r="H1778" s="27" t="str">
        <f aca="false">IF(J1778&lt;&gt;1,"",IF(I1778="SBJ","CB","?"))</f>
        <v/>
      </c>
      <c r="I1778" s="24" t="str">
        <f aca="false">IF(OR(E1778="",E1778="!!!",F1778="NEW"),"",INDEX(B13:B$1766,-1+SUMPRODUCT(MAX(ROW(E13:E$1766)*(E1778=E13:E$1766)))))</f>
        <v/>
      </c>
      <c r="J1778" s="24" t="str">
        <f aca="true">IF(OR(E1778="",E1778="!!!",F1778="NEW"),"",COUNTBLANK(OFFSET(A$1,,,SUMPRODUCT(MAX(ROW(E$2:E1778)*(E1778=E$2:E1778)))))-COUNTBLANK(OFFSET(A$1,,,SUMPRODUCT(MAX(ROW(E$1:E1777)*(E2=E$1:E1777))))))</f>
        <v/>
      </c>
      <c r="K1778" s="24" t="str">
        <f aca="false">IF(OR(E1778="",E1778="!!!",F1778="NEW"),"",INDEX(J$1:J1777,SUMPRODUCT(MAX(ROW(E$1:E1777)*(E1778=E$1:E1777)))))</f>
        <v/>
      </c>
      <c r="L1778" s="31"/>
    </row>
    <row r="1779" customFormat="false" ht="15" hidden="false" customHeight="false" outlineLevel="0" collapsed="false">
      <c r="A1779" s="20" t="s">
        <v>607</v>
      </c>
      <c r="E1779" s="23" t="str">
        <f aca="false">IF(D1779="?OLD","!!!","")</f>
        <v/>
      </c>
      <c r="F1779" s="25" t="str">
        <f aca="false">IF(OR(E1779="",E1779="!!!"),"",IF(NOT(ISNA(VLOOKUP(E1779,E$1:E1778,1,FALSE()))),"OLD",IF(AND(E1779&lt;&gt;"",E1779&lt;&gt;"!!!"),"NEW","")))</f>
        <v/>
      </c>
      <c r="G1779" s="26" t="str">
        <f aca="false">IF(OR(E1779="",E1779="!!!"),"",IF(OR(J1779=0,AND(J1779=1,K1779=1),AND(J1779=1,I1779="SBJ"),AND(J1779=1,I1779=0)),"?IN_FOCUS",IF(J1779&lt;=2,"?ACTIVATED",IF(J1779&lt;&gt;"","?FAMILIAR",IF(F1779="NEW",IF(ISNA(VLOOKUP(E1779,#REF!,1,FALSE())),"?TYPE_IDENTIFIABLE","?REFERENTIAL"),"_")))))</f>
        <v/>
      </c>
      <c r="H1779" s="27" t="str">
        <f aca="false">IF(J1779&lt;&gt;1,"",IF(I1779="SBJ","CB","?"))</f>
        <v/>
      </c>
      <c r="I1779" s="24" t="str">
        <f aca="false">IF(OR(E1779="",E1779="!!!",F1779="NEW"),"",INDEX(B14:B$1766,-1+SUMPRODUCT(MAX(ROW(E14:E$1766)*(E1779=E14:E$1766)))))</f>
        <v/>
      </c>
      <c r="J1779" s="24" t="str">
        <f aca="true">IF(OR(E1779="",E1779="!!!",F1779="NEW"),"",COUNTBLANK(OFFSET(A$1,,,SUMPRODUCT(MAX(ROW(E$2:E1779)*(E1779=E$2:E1779)))))-COUNTBLANK(OFFSET(A$1,,,SUMPRODUCT(MAX(ROW(E$1:E1778)*(E2=E$1:E1778))))))</f>
        <v/>
      </c>
      <c r="K1779" s="24" t="str">
        <f aca="false">IF(OR(E1779="",E1779="!!!",F1779="NEW"),"",INDEX(J$1:J1778,SUMPRODUCT(MAX(ROW(E$1:E1778)*(E1779=E$1:E1778)))))</f>
        <v/>
      </c>
      <c r="L1779" s="31"/>
    </row>
    <row r="1780" customFormat="false" ht="15" hidden="false" customHeight="false" outlineLevel="0" collapsed="false">
      <c r="A1780" s="20"/>
    </row>
    <row r="1781" customFormat="false" ht="15" hidden="false" customHeight="false" outlineLevel="0" collapsed="false">
      <c r="A1781" s="20" t="s">
        <v>1762</v>
      </c>
    </row>
    <row r="1782" customFormat="false" ht="15" hidden="false" customHeight="false" outlineLevel="0" collapsed="false">
      <c r="A1782" s="20" t="s">
        <v>1561</v>
      </c>
      <c r="B1782" s="22" t="s">
        <v>1058</v>
      </c>
      <c r="C1782" s="22" t="s">
        <v>1082</v>
      </c>
      <c r="D1782" s="22" t="s">
        <v>1060</v>
      </c>
      <c r="E1782" s="23" t="str">
        <f aca="false">IF(D1782="?OLD","!!!","")</f>
        <v>!!!</v>
      </c>
      <c r="F1782" s="25" t="str">
        <f aca="false">IF(OR(E1782="",E1782="!!!"),"",IF(NOT(ISNA(VLOOKUP(E1782,E$1:E1781,1,FALSE()))),"OLD",IF(AND(E1782&lt;&gt;"",E1782&lt;&gt;"!!!"),"NEW","")))</f>
        <v/>
      </c>
      <c r="G1782" s="26" t="str">
        <f aca="false">IF(OR(E1782="",E1782="!!!"),"",IF(OR(J1782=0,AND(J1782=1,K1782=1),AND(J1782=1,I1782="SBJ"),AND(J1782=1,I1782=0)),"?IN_FOCUS",IF(J1782&lt;=2,"?ACTIVATED",IF(J1782&lt;&gt;"","?FAMILIAR",IF(F1782="NEW",IF(ISNA(VLOOKUP(E1782,#REF!,1,FALSE())),"?TYPE_IDENTIFIABLE","?REFERENTIAL"),"_")))))</f>
        <v/>
      </c>
      <c r="H1782" s="27" t="str">
        <f aca="false">IF(J1782&lt;&gt;1,"",IF(I1782="SBJ","CB","?"))</f>
        <v/>
      </c>
      <c r="I1782" s="24" t="str">
        <f aca="false">IF(OR(E1782="",E1782="!!!",F1782="NEW"),"",INDEX(B2:B$1781,-1+SUMPRODUCT(MAX(ROW(E2:E$1781)*(E1782=E2:E$1781)))))</f>
        <v/>
      </c>
      <c r="J1782" s="24" t="str">
        <f aca="true">IF(OR(E1782="",E1782="!!!",F1782="NEW"),"",COUNTBLANK(OFFSET(A$1,,,SUMPRODUCT(MAX(ROW(E$2:E1782)*(E1782=E$2:E1782)))))-COUNTBLANK(OFFSET(A$1,,,SUMPRODUCT(MAX(ROW(E$1:E1781)*(E2=E$1:E1781))))))</f>
        <v/>
      </c>
      <c r="K1782" s="24" t="str">
        <f aca="false">IF(OR(E1782="",E1782="!!!",F1782="NEW"),"",INDEX(J$1:J1781,SUMPRODUCT(MAX(ROW(E$1:E1781)*(E1782=E$1:E1781)))))</f>
        <v/>
      </c>
      <c r="L1782" s="31"/>
    </row>
    <row r="1783" customFormat="false" ht="15" hidden="false" customHeight="false" outlineLevel="0" collapsed="false">
      <c r="A1783" s="20" t="s">
        <v>1763</v>
      </c>
      <c r="E1783" s="23" t="str">
        <f aca="false">IF(D1783="?OLD","!!!","")</f>
        <v/>
      </c>
      <c r="F1783" s="25" t="str">
        <f aca="false">IF(OR(E1783="",E1783="!!!"),"",IF(NOT(ISNA(VLOOKUP(E1783,E$1:E1782,1,FALSE()))),"OLD",IF(AND(E1783&lt;&gt;"",E1783&lt;&gt;"!!!"),"NEW","")))</f>
        <v/>
      </c>
      <c r="G1783" s="26" t="str">
        <f aca="false">IF(OR(E1783="",E1783="!!!"),"",IF(OR(J1783=0,AND(J1783=1,K1783=1),AND(J1783=1,I1783="SBJ"),AND(J1783=1,I1783=0)),"?IN_FOCUS",IF(J1783&lt;=2,"?ACTIVATED",IF(J1783&lt;&gt;"","?FAMILIAR",IF(F1783="NEW",IF(ISNA(VLOOKUP(E1783,#REF!,1,FALSE())),"?TYPE_IDENTIFIABLE","?REFERENTIAL"),"_")))))</f>
        <v/>
      </c>
      <c r="H1783" s="27" t="str">
        <f aca="false">IF(J1783&lt;&gt;1,"",IF(I1783="SBJ","CB","?"))</f>
        <v/>
      </c>
      <c r="I1783" s="24" t="str">
        <f aca="false">IF(OR(E1783="",E1783="!!!",F1783="NEW"),"",INDEX(B3:B$1781,-1+SUMPRODUCT(MAX(ROW(E3:E$1781)*(E1783=E3:E$1781)))))</f>
        <v/>
      </c>
      <c r="J1783" s="24" t="str">
        <f aca="true">IF(OR(E1783="",E1783="!!!",F1783="NEW"),"",COUNTBLANK(OFFSET(A$1,,,SUMPRODUCT(MAX(ROW(E$2:E1783)*(E1783=E$2:E1783)))))-COUNTBLANK(OFFSET(A$1,,,SUMPRODUCT(MAX(ROW(E$1:E1782)*(E2=E$1:E1782))))))</f>
        <v/>
      </c>
      <c r="K1783" s="24" t="str">
        <f aca="false">IF(OR(E1783="",E1783="!!!",F1783="NEW"),"",INDEX(J$1:J1782,SUMPRODUCT(MAX(ROW(E$1:E1782)*(E1783=E$1:E1782)))))</f>
        <v/>
      </c>
      <c r="L1783" s="31"/>
    </row>
    <row r="1784" customFormat="false" ht="15" hidden="false" customHeight="false" outlineLevel="0" collapsed="false">
      <c r="A1784" s="20" t="s">
        <v>1224</v>
      </c>
      <c r="E1784" s="23" t="str">
        <f aca="false">IF(D1784="?OLD","!!!","")</f>
        <v/>
      </c>
      <c r="F1784" s="25" t="str">
        <f aca="false">IF(OR(E1784="",E1784="!!!"),"",IF(NOT(ISNA(VLOOKUP(E1784,E$1:E1783,1,FALSE()))),"OLD",IF(AND(E1784&lt;&gt;"",E1784&lt;&gt;"!!!"),"NEW","")))</f>
        <v/>
      </c>
      <c r="G1784" s="26" t="str">
        <f aca="false">IF(OR(E1784="",E1784="!!!"),"",IF(OR(J1784=0,AND(J1784=1,K1784=1),AND(J1784=1,I1784="SBJ"),AND(J1784=1,I1784=0)),"?IN_FOCUS",IF(J1784&lt;=2,"?ACTIVATED",IF(J1784&lt;&gt;"","?FAMILIAR",IF(F1784="NEW",IF(ISNA(VLOOKUP(E1784,#REF!,1,FALSE())),"?TYPE_IDENTIFIABLE","?REFERENTIAL"),"_")))))</f>
        <v/>
      </c>
      <c r="H1784" s="27" t="str">
        <f aca="false">IF(J1784&lt;&gt;1,"",IF(I1784="SBJ","CB","?"))</f>
        <v/>
      </c>
      <c r="I1784" s="24" t="str">
        <f aca="false">IF(OR(E1784="",E1784="!!!",F1784="NEW"),"",INDEX(B4:B$1781,-1+SUMPRODUCT(MAX(ROW(E4:E$1781)*(E1784=E4:E$1781)))))</f>
        <v/>
      </c>
      <c r="J1784" s="24" t="str">
        <f aca="true">IF(OR(E1784="",E1784="!!!",F1784="NEW"),"",COUNTBLANK(OFFSET(A$1,,,SUMPRODUCT(MAX(ROW(E$2:E1784)*(E1784=E$2:E1784)))))-COUNTBLANK(OFFSET(A$1,,,SUMPRODUCT(MAX(ROW(E$1:E1783)*(E2=E$1:E1783))))))</f>
        <v/>
      </c>
      <c r="K1784" s="24" t="str">
        <f aca="false">IF(OR(E1784="",E1784="!!!",F1784="NEW"),"",INDEX(J$1:J1783,SUMPRODUCT(MAX(ROW(E$1:E1783)*(E1784=E$1:E1783)))))</f>
        <v/>
      </c>
      <c r="L1784" s="31"/>
    </row>
    <row r="1785" customFormat="false" ht="15" hidden="false" customHeight="false" outlineLevel="0" collapsed="false">
      <c r="A1785" s="20" t="s">
        <v>1097</v>
      </c>
      <c r="B1785" s="22" t="s">
        <v>1073</v>
      </c>
      <c r="C1785" s="22" t="s">
        <v>1099</v>
      </c>
      <c r="D1785" s="22" t="s">
        <v>1060</v>
      </c>
      <c r="E1785" s="23" t="str">
        <f aca="false">IF(D1785="?OLD","!!!","")</f>
        <v>!!!</v>
      </c>
      <c r="F1785" s="25" t="str">
        <f aca="false">IF(OR(E1785="",E1785="!!!"),"",IF(NOT(ISNA(VLOOKUP(E1785,E$1:E1784,1,FALSE()))),"OLD",IF(AND(E1785&lt;&gt;"",E1785&lt;&gt;"!!!"),"NEW","")))</f>
        <v/>
      </c>
      <c r="G1785" s="26" t="str">
        <f aca="false">IF(OR(E1785="",E1785="!!!"),"",IF(OR(J1785=0,AND(J1785=1,K1785=1),AND(J1785=1,I1785="SBJ"),AND(J1785=1,I1785=0)),"?IN_FOCUS",IF(J1785&lt;=2,"?ACTIVATED",IF(J1785&lt;&gt;"","?FAMILIAR",IF(F1785="NEW",IF(ISNA(VLOOKUP(E1785,#REF!,1,FALSE())),"?TYPE_IDENTIFIABLE","?REFERENTIAL"),"_")))))</f>
        <v/>
      </c>
      <c r="H1785" s="27" t="str">
        <f aca="false">IF(J1785&lt;&gt;1,"",IF(I1785="SBJ","CB","?"))</f>
        <v/>
      </c>
      <c r="I1785" s="24" t="str">
        <f aca="false">IF(OR(E1785="",E1785="!!!",F1785="NEW"),"",INDEX(B5:B$1781,-1+SUMPRODUCT(MAX(ROW(E5:E$1781)*(E1785=E5:E$1781)))))</f>
        <v/>
      </c>
      <c r="J1785" s="24" t="str">
        <f aca="true">IF(OR(E1785="",E1785="!!!",F1785="NEW"),"",COUNTBLANK(OFFSET(A$1,,,SUMPRODUCT(MAX(ROW(E$2:E1785)*(E1785=E$2:E1785)))))-COUNTBLANK(OFFSET(A$1,,,SUMPRODUCT(MAX(ROW(E$1:E1784)*(E2=E$1:E1784))))))</f>
        <v/>
      </c>
      <c r="K1785" s="24" t="str">
        <f aca="false">IF(OR(E1785="",E1785="!!!",F1785="NEW"),"",INDEX(J$1:J1784,SUMPRODUCT(MAX(ROW(E$1:E1784)*(E1785=E$1:E1784)))))</f>
        <v/>
      </c>
      <c r="L1785" s="31"/>
    </row>
    <row r="1786" customFormat="false" ht="15" hidden="false" customHeight="false" outlineLevel="0" collapsed="false">
      <c r="A1786" s="20" t="s">
        <v>1764</v>
      </c>
      <c r="B1786" s="22" t="s">
        <v>1105</v>
      </c>
      <c r="C1786" s="22" t="s">
        <v>1059</v>
      </c>
      <c r="D1786" s="22" t="s">
        <v>1060</v>
      </c>
      <c r="E1786" s="23" t="str">
        <f aca="false">IF(D1786="?OLD","!!!","")</f>
        <v>!!!</v>
      </c>
      <c r="F1786" s="25" t="str">
        <f aca="false">IF(OR(E1786="",E1786="!!!"),"",IF(NOT(ISNA(VLOOKUP(E1786,E$1:E1785,1,FALSE()))),"OLD",IF(AND(E1786&lt;&gt;"",E1786&lt;&gt;"!!!"),"NEW","")))</f>
        <v/>
      </c>
      <c r="G1786" s="26" t="str">
        <f aca="false">IF(OR(E1786="",E1786="!!!"),"",IF(OR(J1786=0,AND(J1786=1,K1786=1),AND(J1786=1,I1786="SBJ"),AND(J1786=1,I1786=0)),"?IN_FOCUS",IF(J1786&lt;=2,"?ACTIVATED",IF(J1786&lt;&gt;"","?FAMILIAR",IF(F1786="NEW",IF(ISNA(VLOOKUP(E1786,#REF!,1,FALSE())),"?TYPE_IDENTIFIABLE","?REFERENTIAL"),"_")))))</f>
        <v/>
      </c>
      <c r="H1786" s="27" t="str">
        <f aca="false">IF(J1786&lt;&gt;1,"",IF(I1786="SBJ","CB","?"))</f>
        <v/>
      </c>
      <c r="I1786" s="24" t="str">
        <f aca="false">IF(OR(E1786="",E1786="!!!",F1786="NEW"),"",INDEX(B6:B$1781,-1+SUMPRODUCT(MAX(ROW(E6:E$1781)*(E1786=E6:E$1781)))))</f>
        <v/>
      </c>
      <c r="J1786" s="24" t="str">
        <f aca="true">IF(OR(E1786="",E1786="!!!",F1786="NEW"),"",COUNTBLANK(OFFSET(A$1,,,SUMPRODUCT(MAX(ROW(E$2:E1786)*(E1786=E$2:E1786)))))-COUNTBLANK(OFFSET(A$1,,,SUMPRODUCT(MAX(ROW(E$1:E1785)*(E2=E$1:E1785))))))</f>
        <v/>
      </c>
      <c r="K1786" s="24" t="str">
        <f aca="false">IF(OR(E1786="",E1786="!!!",F1786="NEW"),"",INDEX(J$1:J1785,SUMPRODUCT(MAX(ROW(E$1:E1785)*(E1786=E$1:E1785)))))</f>
        <v/>
      </c>
      <c r="L1786" s="31"/>
    </row>
    <row r="1787" customFormat="false" ht="15" hidden="false" customHeight="false" outlineLevel="0" collapsed="false">
      <c r="A1787" s="20" t="s">
        <v>1128</v>
      </c>
      <c r="E1787" s="23" t="str">
        <f aca="false">IF(D1787="?OLD","!!!","")</f>
        <v/>
      </c>
      <c r="F1787" s="25" t="str">
        <f aca="false">IF(OR(E1787="",E1787="!!!"),"",IF(NOT(ISNA(VLOOKUP(E1787,E$1:E1786,1,FALSE()))),"OLD",IF(AND(E1787&lt;&gt;"",E1787&lt;&gt;"!!!"),"NEW","")))</f>
        <v/>
      </c>
      <c r="G1787" s="26" t="str">
        <f aca="false">IF(OR(E1787="",E1787="!!!"),"",IF(OR(J1787=0,AND(J1787=1,K1787=1),AND(J1787=1,I1787="SBJ"),AND(J1787=1,I1787=0)),"?IN_FOCUS",IF(J1787&lt;=2,"?ACTIVATED",IF(J1787&lt;&gt;"","?FAMILIAR",IF(F1787="NEW",IF(ISNA(VLOOKUP(E1787,#REF!,1,FALSE())),"?TYPE_IDENTIFIABLE","?REFERENTIAL"),"_")))))</f>
        <v/>
      </c>
      <c r="H1787" s="27" t="str">
        <f aca="false">IF(J1787&lt;&gt;1,"",IF(I1787="SBJ","CB","?"))</f>
        <v/>
      </c>
      <c r="I1787" s="24" t="str">
        <f aca="false">IF(OR(E1787="",E1787="!!!",F1787="NEW"),"",INDEX(B7:B$1781,-1+SUMPRODUCT(MAX(ROW(E7:E$1781)*(E1787=E7:E$1781)))))</f>
        <v/>
      </c>
      <c r="J1787" s="24" t="str">
        <f aca="true">IF(OR(E1787="",E1787="!!!",F1787="NEW"),"",COUNTBLANK(OFFSET(A$1,,,SUMPRODUCT(MAX(ROW(E$2:E1787)*(E1787=E$2:E1787)))))-COUNTBLANK(OFFSET(A$1,,,SUMPRODUCT(MAX(ROW(E$1:E1786)*(E2=E$1:E1786))))))</f>
        <v/>
      </c>
      <c r="K1787" s="24" t="str">
        <f aca="false">IF(OR(E1787="",E1787="!!!",F1787="NEW"),"",INDEX(J$1:J1786,SUMPRODUCT(MAX(ROW(E$1:E1786)*(E1787=E$1:E1786)))))</f>
        <v/>
      </c>
      <c r="L1787" s="31"/>
    </row>
    <row r="1788" customFormat="false" ht="15" hidden="false" customHeight="false" outlineLevel="0" collapsed="false">
      <c r="A1788" s="20" t="s">
        <v>1765</v>
      </c>
      <c r="E1788" s="23" t="str">
        <f aca="false">IF(D1788="?OLD","!!!","")</f>
        <v/>
      </c>
      <c r="F1788" s="25" t="str">
        <f aca="false">IF(OR(E1788="",E1788="!!!"),"",IF(NOT(ISNA(VLOOKUP(E1788,E$1:E1787,1,FALSE()))),"OLD",IF(AND(E1788&lt;&gt;"",E1788&lt;&gt;"!!!"),"NEW","")))</f>
        <v/>
      </c>
      <c r="G1788" s="26" t="str">
        <f aca="false">IF(OR(E1788="",E1788="!!!"),"",IF(OR(J1788=0,AND(J1788=1,K1788=1),AND(J1788=1,I1788="SBJ"),AND(J1788=1,I1788=0)),"?IN_FOCUS",IF(J1788&lt;=2,"?ACTIVATED",IF(J1788&lt;&gt;"","?FAMILIAR",IF(F1788="NEW",IF(ISNA(VLOOKUP(E1788,#REF!,1,FALSE())),"?TYPE_IDENTIFIABLE","?REFERENTIAL"),"_")))))</f>
        <v/>
      </c>
      <c r="H1788" s="27" t="str">
        <f aca="false">IF(J1788&lt;&gt;1,"",IF(I1788="SBJ","CB","?"))</f>
        <v/>
      </c>
      <c r="I1788" s="24" t="str">
        <f aca="false">IF(OR(E1788="",E1788="!!!",F1788="NEW"),"",INDEX(B8:B$1781,-1+SUMPRODUCT(MAX(ROW(E8:E$1781)*(E1788=E8:E$1781)))))</f>
        <v/>
      </c>
      <c r="J1788" s="24" t="str">
        <f aca="true">IF(OR(E1788="",E1788="!!!",F1788="NEW"),"",COUNTBLANK(OFFSET(A$1,,,SUMPRODUCT(MAX(ROW(E$2:E1788)*(E1788=E$2:E1788)))))-COUNTBLANK(OFFSET(A$1,,,SUMPRODUCT(MAX(ROW(E$1:E1787)*(E2=E$1:E1787))))))</f>
        <v/>
      </c>
      <c r="K1788" s="24" t="str">
        <f aca="false">IF(OR(E1788="",E1788="!!!",F1788="NEW"),"",INDEX(J$1:J1787,SUMPRODUCT(MAX(ROW(E$1:E1787)*(E1788=E$1:E1787)))))</f>
        <v/>
      </c>
      <c r="L1788" s="31"/>
    </row>
    <row r="1789" customFormat="false" ht="15" hidden="false" customHeight="false" outlineLevel="0" collapsed="false">
      <c r="A1789" s="20" t="s">
        <v>1097</v>
      </c>
      <c r="B1789" s="22" t="s">
        <v>1067</v>
      </c>
      <c r="C1789" s="22" t="s">
        <v>1099</v>
      </c>
      <c r="D1789" s="22" t="s">
        <v>1060</v>
      </c>
      <c r="E1789" s="23" t="str">
        <f aca="false">IF(D1789="?OLD","!!!","")</f>
        <v>!!!</v>
      </c>
      <c r="F1789" s="25" t="str">
        <f aca="false">IF(OR(E1789="",E1789="!!!"),"",IF(NOT(ISNA(VLOOKUP(E1789,E$1:E1788,1,FALSE()))),"OLD",IF(AND(E1789&lt;&gt;"",E1789&lt;&gt;"!!!"),"NEW","")))</f>
        <v/>
      </c>
      <c r="G1789" s="26" t="str">
        <f aca="false">IF(OR(E1789="",E1789="!!!"),"",IF(OR(J1789=0,AND(J1789=1,K1789=1),AND(J1789=1,I1789="SBJ"),AND(J1789=1,I1789=0)),"?IN_FOCUS",IF(J1789&lt;=2,"?ACTIVATED",IF(J1789&lt;&gt;"","?FAMILIAR",IF(F1789="NEW",IF(ISNA(VLOOKUP(E1789,#REF!,1,FALSE())),"?TYPE_IDENTIFIABLE","?REFERENTIAL"),"_")))))</f>
        <v/>
      </c>
      <c r="H1789" s="27" t="str">
        <f aca="false">IF(J1789&lt;&gt;1,"",IF(I1789="SBJ","CB","?"))</f>
        <v/>
      </c>
      <c r="I1789" s="24" t="str">
        <f aca="false">IF(OR(E1789="",E1789="!!!",F1789="NEW"),"",INDEX(B9:B$1781,-1+SUMPRODUCT(MAX(ROW(E9:E$1781)*(E1789=E9:E$1781)))))</f>
        <v/>
      </c>
      <c r="J1789" s="24" t="str">
        <f aca="true">IF(OR(E1789="",E1789="!!!",F1789="NEW"),"",COUNTBLANK(OFFSET(A$1,,,SUMPRODUCT(MAX(ROW(E$2:E1789)*(E1789=E$2:E1789)))))-COUNTBLANK(OFFSET(A$1,,,SUMPRODUCT(MAX(ROW(E$1:E1788)*(E2=E$1:E1788))))))</f>
        <v/>
      </c>
      <c r="K1789" s="24" t="str">
        <f aca="false">IF(OR(E1789="",E1789="!!!",F1789="NEW"),"",INDEX(J$1:J1788,SUMPRODUCT(MAX(ROW(E$1:E1788)*(E1789=E$1:E1788)))))</f>
        <v/>
      </c>
      <c r="L1789" s="31"/>
    </row>
    <row r="1790" customFormat="false" ht="15" hidden="false" customHeight="false" outlineLevel="0" collapsed="false">
      <c r="A1790" s="20" t="s">
        <v>1766</v>
      </c>
      <c r="B1790" s="22" t="s">
        <v>1142</v>
      </c>
      <c r="C1790" s="22" t="s">
        <v>1059</v>
      </c>
      <c r="D1790" s="22" t="s">
        <v>1060</v>
      </c>
      <c r="E1790" s="23" t="str">
        <f aca="false">IF(D1790="?OLD","!!!","")</f>
        <v>!!!</v>
      </c>
      <c r="F1790" s="25" t="str">
        <f aca="false">IF(OR(E1790="",E1790="!!!"),"",IF(NOT(ISNA(VLOOKUP(E1790,E$1:E1789,1,FALSE()))),"OLD",IF(AND(E1790&lt;&gt;"",E1790&lt;&gt;"!!!"),"NEW","")))</f>
        <v/>
      </c>
      <c r="G1790" s="26" t="str">
        <f aca="false">IF(OR(E1790="",E1790="!!!"),"",IF(OR(J1790=0,AND(J1790=1,K1790=1),AND(J1790=1,I1790="SBJ"),AND(J1790=1,I1790=0)),"?IN_FOCUS",IF(J1790&lt;=2,"?ACTIVATED",IF(J1790&lt;&gt;"","?FAMILIAR",IF(F1790="NEW",IF(ISNA(VLOOKUP(E1790,#REF!,1,FALSE())),"?TYPE_IDENTIFIABLE","?REFERENTIAL"),"_")))))</f>
        <v/>
      </c>
      <c r="H1790" s="27" t="str">
        <f aca="false">IF(J1790&lt;&gt;1,"",IF(I1790="SBJ","CB","?"))</f>
        <v/>
      </c>
      <c r="I1790" s="24" t="str">
        <f aca="false">IF(OR(E1790="",E1790="!!!",F1790="NEW"),"",INDEX(B10:B$1781,-1+SUMPRODUCT(MAX(ROW(E10:E$1781)*(E1790=E10:E$1781)))))</f>
        <v/>
      </c>
      <c r="J1790" s="24" t="str">
        <f aca="true">IF(OR(E1790="",E1790="!!!",F1790="NEW"),"",COUNTBLANK(OFFSET(A$1,,,SUMPRODUCT(MAX(ROW(E$2:E1790)*(E1790=E$2:E1790)))))-COUNTBLANK(OFFSET(A$1,,,SUMPRODUCT(MAX(ROW(E$1:E1789)*(E2=E$1:E1789))))))</f>
        <v/>
      </c>
      <c r="K1790" s="24" t="str">
        <f aca="false">IF(OR(E1790="",E1790="!!!",F1790="NEW"),"",INDEX(J$1:J1789,SUMPRODUCT(MAX(ROW(E$1:E1789)*(E1790=E$1:E1789)))))</f>
        <v/>
      </c>
      <c r="L1790" s="31"/>
    </row>
    <row r="1791" customFormat="false" ht="15" hidden="false" customHeight="false" outlineLevel="0" collapsed="false">
      <c r="A1791" s="20" t="s">
        <v>1095</v>
      </c>
      <c r="E1791" s="23" t="str">
        <f aca="false">IF(D1791="?OLD","!!!","")</f>
        <v/>
      </c>
      <c r="F1791" s="25" t="str">
        <f aca="false">IF(OR(E1791="",E1791="!!!"),"",IF(NOT(ISNA(VLOOKUP(E1791,E$1:E1790,1,FALSE()))),"OLD",IF(AND(E1791&lt;&gt;"",E1791&lt;&gt;"!!!"),"NEW","")))</f>
        <v/>
      </c>
      <c r="G1791" s="26" t="str">
        <f aca="false">IF(OR(E1791="",E1791="!!!"),"",IF(OR(J1791=0,AND(J1791=1,K1791=1),AND(J1791=1,I1791="SBJ"),AND(J1791=1,I1791=0)),"?IN_FOCUS",IF(J1791&lt;=2,"?ACTIVATED",IF(J1791&lt;&gt;"","?FAMILIAR",IF(F1791="NEW",IF(ISNA(VLOOKUP(E1791,#REF!,1,FALSE())),"?TYPE_IDENTIFIABLE","?REFERENTIAL"),"_")))))</f>
        <v/>
      </c>
      <c r="H1791" s="27" t="str">
        <f aca="false">IF(J1791&lt;&gt;1,"",IF(I1791="SBJ","CB","?"))</f>
        <v/>
      </c>
      <c r="I1791" s="24" t="str">
        <f aca="false">IF(OR(E1791="",E1791="!!!",F1791="NEW"),"",INDEX(B11:B$1781,-1+SUMPRODUCT(MAX(ROW(E11:E$1781)*(E1791=E11:E$1781)))))</f>
        <v/>
      </c>
      <c r="J1791" s="24" t="str">
        <f aca="true">IF(OR(E1791="",E1791="!!!",F1791="NEW"),"",COUNTBLANK(OFFSET(A$1,,,SUMPRODUCT(MAX(ROW(E$2:E1791)*(E1791=E$2:E1791)))))-COUNTBLANK(OFFSET(A$1,,,SUMPRODUCT(MAX(ROW(E$1:E1790)*(E2=E$1:E1790))))))</f>
        <v/>
      </c>
      <c r="K1791" s="24" t="str">
        <f aca="false">IF(OR(E1791="",E1791="!!!",F1791="NEW"),"",INDEX(J$1:J1790,SUMPRODUCT(MAX(ROW(E$1:E1790)*(E1791=E$1:E1790)))))</f>
        <v/>
      </c>
      <c r="L1791" s="31"/>
    </row>
    <row r="1792" customFormat="false" ht="15" hidden="false" customHeight="false" outlineLevel="0" collapsed="false">
      <c r="A1792" s="20" t="s">
        <v>1109</v>
      </c>
      <c r="E1792" s="23" t="str">
        <f aca="false">IF(D1792="?OLD","!!!","")</f>
        <v/>
      </c>
      <c r="F1792" s="25" t="str">
        <f aca="false">IF(OR(E1792="",E1792="!!!"),"",IF(NOT(ISNA(VLOOKUP(E1792,E$1:E1791,1,FALSE()))),"OLD",IF(AND(E1792&lt;&gt;"",E1792&lt;&gt;"!!!"),"NEW","")))</f>
        <v/>
      </c>
      <c r="G1792" s="26" t="str">
        <f aca="false">IF(OR(E1792="",E1792="!!!"),"",IF(OR(J1792=0,AND(J1792=1,K1792=1),AND(J1792=1,I1792="SBJ"),AND(J1792=1,I1792=0)),"?IN_FOCUS",IF(J1792&lt;=2,"?ACTIVATED",IF(J1792&lt;&gt;"","?FAMILIAR",IF(F1792="NEW",IF(ISNA(VLOOKUP(E1792,#REF!,1,FALSE())),"?TYPE_IDENTIFIABLE","?REFERENTIAL"),"_")))))</f>
        <v/>
      </c>
      <c r="H1792" s="27" t="str">
        <f aca="false">IF(J1792&lt;&gt;1,"",IF(I1792="SBJ","CB","?"))</f>
        <v/>
      </c>
      <c r="I1792" s="24" t="str">
        <f aca="false">IF(OR(E1792="",E1792="!!!",F1792="NEW"),"",INDEX(B12:B$1781,-1+SUMPRODUCT(MAX(ROW(E12:E$1781)*(E1792=E12:E$1781)))))</f>
        <v/>
      </c>
      <c r="J1792" s="24" t="str">
        <f aca="true">IF(OR(E1792="",E1792="!!!",F1792="NEW"),"",COUNTBLANK(OFFSET(A$1,,,SUMPRODUCT(MAX(ROW(E$2:E1792)*(E1792=E$2:E1792)))))-COUNTBLANK(OFFSET(A$1,,,SUMPRODUCT(MAX(ROW(E$1:E1791)*(E2=E$1:E1791))))))</f>
        <v/>
      </c>
      <c r="K1792" s="24" t="str">
        <f aca="false">IF(OR(E1792="",E1792="!!!",F1792="NEW"),"",INDEX(J$1:J1791,SUMPRODUCT(MAX(ROW(E$1:E1791)*(E1792=E$1:E1791)))))</f>
        <v/>
      </c>
      <c r="L1792" s="31"/>
    </row>
    <row r="1793" customFormat="false" ht="15" hidden="false" customHeight="false" outlineLevel="0" collapsed="false">
      <c r="A1793" s="20" t="s">
        <v>1738</v>
      </c>
      <c r="B1793" s="22" t="s">
        <v>1067</v>
      </c>
      <c r="C1793" s="22" t="s">
        <v>1150</v>
      </c>
      <c r="D1793" s="22" t="s">
        <v>1060</v>
      </c>
      <c r="E1793" s="23" t="str">
        <f aca="false">IF(D1793="?OLD","!!!","")</f>
        <v>!!!</v>
      </c>
      <c r="F1793" s="25" t="str">
        <f aca="false">IF(OR(E1793="",E1793="!!!"),"",IF(NOT(ISNA(VLOOKUP(E1793,E$1:E1792,1,FALSE()))),"OLD",IF(AND(E1793&lt;&gt;"",E1793&lt;&gt;"!!!"),"NEW","")))</f>
        <v/>
      </c>
      <c r="G1793" s="26" t="str">
        <f aca="false">IF(OR(E1793="",E1793="!!!"),"",IF(OR(J1793=0,AND(J1793=1,K1793=1),AND(J1793=1,I1793="SBJ"),AND(J1793=1,I1793=0)),"?IN_FOCUS",IF(J1793&lt;=2,"?ACTIVATED",IF(J1793&lt;&gt;"","?FAMILIAR",IF(F1793="NEW",IF(ISNA(VLOOKUP(E1793,#REF!,1,FALSE())),"?TYPE_IDENTIFIABLE","?REFERENTIAL"),"_")))))</f>
        <v/>
      </c>
      <c r="H1793" s="27" t="str">
        <f aca="false">IF(J1793&lt;&gt;1,"",IF(I1793="SBJ","CB","?"))</f>
        <v/>
      </c>
      <c r="I1793" s="24" t="str">
        <f aca="false">IF(OR(E1793="",E1793="!!!",F1793="NEW"),"",INDEX(B13:B$1781,-1+SUMPRODUCT(MAX(ROW(E13:E$1781)*(E1793=E13:E$1781)))))</f>
        <v/>
      </c>
      <c r="J1793" s="24" t="str">
        <f aca="true">IF(OR(E1793="",E1793="!!!",F1793="NEW"),"",COUNTBLANK(OFFSET(A$1,,,SUMPRODUCT(MAX(ROW(E$2:E1793)*(E1793=E$2:E1793)))))-COUNTBLANK(OFFSET(A$1,,,SUMPRODUCT(MAX(ROW(E$1:E1792)*(E2=E$1:E1792))))))</f>
        <v/>
      </c>
      <c r="K1793" s="24" t="str">
        <f aca="false">IF(OR(E1793="",E1793="!!!",F1793="NEW"),"",INDEX(J$1:J1792,SUMPRODUCT(MAX(ROW(E$1:E1792)*(E1793=E$1:E1792)))))</f>
        <v/>
      </c>
      <c r="L1793" s="31"/>
    </row>
    <row r="1794" customFormat="false" ht="15" hidden="false" customHeight="false" outlineLevel="0" collapsed="false">
      <c r="A1794" s="20" t="s">
        <v>923</v>
      </c>
      <c r="E1794" s="23" t="str">
        <f aca="false">IF(D1794="?OLD","!!!","")</f>
        <v/>
      </c>
      <c r="F1794" s="25" t="str">
        <f aca="false">IF(OR(E1794="",E1794="!!!"),"",IF(NOT(ISNA(VLOOKUP(E1794,E$1:E1793,1,FALSE()))),"OLD",IF(AND(E1794&lt;&gt;"",E1794&lt;&gt;"!!!"),"NEW","")))</f>
        <v/>
      </c>
      <c r="G1794" s="26" t="str">
        <f aca="false">IF(OR(E1794="",E1794="!!!"),"",IF(OR(J1794=0,AND(J1794=1,K1794=1),AND(J1794=1,I1794="SBJ"),AND(J1794=1,I1794=0)),"?IN_FOCUS",IF(J1794&lt;=2,"?ACTIVATED",IF(J1794&lt;&gt;"","?FAMILIAR",IF(F1794="NEW",IF(ISNA(VLOOKUP(E1794,#REF!,1,FALSE())),"?TYPE_IDENTIFIABLE","?REFERENTIAL"),"_")))))</f>
        <v/>
      </c>
      <c r="H1794" s="27" t="str">
        <f aca="false">IF(J1794&lt;&gt;1,"",IF(I1794="SBJ","CB","?"))</f>
        <v/>
      </c>
      <c r="I1794" s="24" t="str">
        <f aca="false">IF(OR(E1794="",E1794="!!!",F1794="NEW"),"",INDEX(B14:B$1781,-1+SUMPRODUCT(MAX(ROW(E14:E$1781)*(E1794=E14:E$1781)))))</f>
        <v/>
      </c>
      <c r="J1794" s="24" t="str">
        <f aca="true">IF(OR(E1794="",E1794="!!!",F1794="NEW"),"",COUNTBLANK(OFFSET(A$1,,,SUMPRODUCT(MAX(ROW(E$2:E1794)*(E1794=E$2:E1794)))))-COUNTBLANK(OFFSET(A$1,,,SUMPRODUCT(MAX(ROW(E$1:E1793)*(E2=E$1:E1793))))))</f>
        <v/>
      </c>
      <c r="K1794" s="24" t="str">
        <f aca="false">IF(OR(E1794="",E1794="!!!",F1794="NEW"),"",INDEX(J$1:J1793,SUMPRODUCT(MAX(ROW(E$1:E1793)*(E1794=E$1:E1793)))))</f>
        <v/>
      </c>
      <c r="L1794" s="31"/>
    </row>
    <row r="1795" customFormat="false" ht="15" hidden="false" customHeight="false" outlineLevel="0" collapsed="false">
      <c r="A1795" s="20"/>
    </row>
    <row r="1796" customFormat="false" ht="15" hidden="false" customHeight="false" outlineLevel="0" collapsed="false">
      <c r="A1796" s="20" t="s">
        <v>1301</v>
      </c>
      <c r="E1796" s="23" t="str">
        <f aca="false">IF(D1796="?OLD","!!!","")</f>
        <v/>
      </c>
      <c r="F1796" s="25" t="str">
        <f aca="false">IF(OR(E1796="",E1796="!!!"),"",IF(NOT(ISNA(VLOOKUP(E1796,E$1:E1795,1,FALSE()))),"OLD",IF(AND(E1796&lt;&gt;"",E1796&lt;&gt;"!!!"),"NEW","")))</f>
        <v/>
      </c>
      <c r="G1796" s="26" t="str">
        <f aca="false">IF(OR(E1796="",E1796="!!!"),"",IF(OR(J1796=0,AND(J1796=1,K1796=1),AND(J1796=1,I1796="SBJ"),AND(J1796=1,I1796=0)),"?IN_FOCUS",IF(J1796&lt;=2,"?ACTIVATED",IF(J1796&lt;&gt;"","?FAMILIAR",IF(F1796="NEW",IF(ISNA(VLOOKUP(E1796,#REF!,1,FALSE())),"?TYPE_IDENTIFIABLE","?REFERENTIAL"),"_")))))</f>
        <v/>
      </c>
      <c r="H1796" s="27" t="str">
        <f aca="false">IF(J1796&lt;&gt;1,"",IF(I1796="SBJ","CB","?"))</f>
        <v/>
      </c>
      <c r="I1796" s="24" t="str">
        <f aca="false">IF(OR(E1796="",E1796="!!!",F1796="NEW"),"",INDEX(B2:B$1795,-1+SUMPRODUCT(MAX(ROW(E2:E$1795)*(E1796=E2:E$1795)))))</f>
        <v/>
      </c>
      <c r="J1796" s="24" t="str">
        <f aca="true">IF(OR(E1796="",E1796="!!!",F1796="NEW"),"",COUNTBLANK(OFFSET(A$1,,,SUMPRODUCT(MAX(ROW(E$2:E1796)*(E1796=E$2:E1796)))))-COUNTBLANK(OFFSET(A$1,,,SUMPRODUCT(MAX(ROW(E$1:E1795)*(E2=E$1:E1795))))))</f>
        <v/>
      </c>
      <c r="K1796" s="24" t="str">
        <f aca="false">IF(OR(E1796="",E1796="!!!",F1796="NEW"),"",INDEX(J$1:J1795,SUMPRODUCT(MAX(ROW(E$1:E1795)*(E1796=E$1:E1795)))))</f>
        <v/>
      </c>
      <c r="L1796" s="31"/>
    </row>
    <row r="1797" customFormat="false" ht="15" hidden="false" customHeight="false" outlineLevel="0" collapsed="false">
      <c r="A1797" s="20" t="s">
        <v>1767</v>
      </c>
    </row>
    <row r="1798" customFormat="false" ht="15" hidden="false" customHeight="false" outlineLevel="0" collapsed="false">
      <c r="A1798" s="20" t="s">
        <v>607</v>
      </c>
      <c r="E1798" s="23" t="str">
        <f aca="false">IF(D1798="?OLD","!!!","")</f>
        <v/>
      </c>
      <c r="F1798" s="25" t="str">
        <f aca="false">IF(OR(E1798="",E1798="!!!"),"",IF(NOT(ISNA(VLOOKUP(E1798,E$1:E1797,1,FALSE()))),"OLD",IF(AND(E1798&lt;&gt;"",E1798&lt;&gt;"!!!"),"NEW","")))</f>
        <v/>
      </c>
      <c r="G1798" s="26" t="str">
        <f aca="false">IF(OR(E1798="",E1798="!!!"),"",IF(OR(J1798=0,AND(J1798=1,K1798=1),AND(J1798=1,I1798="SBJ"),AND(J1798=1,I1798=0)),"?IN_FOCUS",IF(J1798&lt;=2,"?ACTIVATED",IF(J1798&lt;&gt;"","?FAMILIAR",IF(F1798="NEW",IF(ISNA(VLOOKUP(E1798,#REF!,1,FALSE())),"?TYPE_IDENTIFIABLE","?REFERENTIAL"),"_")))))</f>
        <v/>
      </c>
      <c r="H1798" s="27" t="str">
        <f aca="false">IF(J1798&lt;&gt;1,"",IF(I1798="SBJ","CB","?"))</f>
        <v/>
      </c>
      <c r="I1798" s="24" t="str">
        <f aca="false">IF(OR(E1798="",E1798="!!!",F1798="NEW"),"",INDEX(B2:B$1797,-1+SUMPRODUCT(MAX(ROW(E2:E$1797)*(E1798=E2:E$1797)))))</f>
        <v/>
      </c>
      <c r="J1798" s="24" t="str">
        <f aca="true">IF(OR(E1798="",E1798="!!!",F1798="NEW"),"",COUNTBLANK(OFFSET(A$1,,,SUMPRODUCT(MAX(ROW(E$2:E1798)*(E1798=E$2:E1798)))))-COUNTBLANK(OFFSET(A$1,,,SUMPRODUCT(MAX(ROW(E$1:E1797)*(E2=E$1:E1797))))))</f>
        <v/>
      </c>
      <c r="K1798" s="24" t="str">
        <f aca="false">IF(OR(E1798="",E1798="!!!",F1798="NEW"),"",INDEX(J$1:J1797,SUMPRODUCT(MAX(ROW(E$1:E1797)*(E1798=E$1:E1797)))))</f>
        <v/>
      </c>
      <c r="L1798" s="31"/>
    </row>
    <row r="1799" customFormat="false" ht="15" hidden="false" customHeight="false" outlineLevel="0" collapsed="false">
      <c r="A1799" s="20" t="s">
        <v>1768</v>
      </c>
      <c r="B1799" s="22" t="s">
        <v>1105</v>
      </c>
      <c r="C1799" s="22" t="s">
        <v>1160</v>
      </c>
      <c r="E1799" s="23" t="str">
        <f aca="false">IF(D1799="?OLD","!!!","")</f>
        <v/>
      </c>
      <c r="F1799" s="25" t="str">
        <f aca="false">IF(OR(E1799="",E1799="!!!"),"",IF(NOT(ISNA(VLOOKUP(E1799,E$1:E1798,1,FALSE()))),"OLD",IF(AND(E1799&lt;&gt;"",E1799&lt;&gt;"!!!"),"NEW","")))</f>
        <v/>
      </c>
      <c r="G1799" s="26" t="str">
        <f aca="false">IF(OR(E1799="",E1799="!!!"),"",IF(OR(J1799=0,AND(J1799=1,K1799=1),AND(J1799=1,I1799="SBJ"),AND(J1799=1,I1799=0)),"?IN_FOCUS",IF(J1799&lt;=2,"?ACTIVATED",IF(J1799&lt;&gt;"","?FAMILIAR",IF(F1799="NEW",IF(ISNA(VLOOKUP(E1799,#REF!,1,FALSE())),"?TYPE_IDENTIFIABLE","?REFERENTIAL"),"_")))))</f>
        <v/>
      </c>
      <c r="H1799" s="27" t="str">
        <f aca="false">IF(J1799&lt;&gt;1,"",IF(I1799="SBJ","CB","?"))</f>
        <v/>
      </c>
      <c r="I1799" s="24" t="str">
        <f aca="false">IF(OR(E1799="",E1799="!!!",F1799="NEW"),"",INDEX(B3:B$1797,-1+SUMPRODUCT(MAX(ROW(E3:E$1797)*(E1799=E3:E$1797)))))</f>
        <v/>
      </c>
      <c r="J1799" s="24" t="str">
        <f aca="true">IF(OR(E1799="",E1799="!!!",F1799="NEW"),"",COUNTBLANK(OFFSET(A$1,,,SUMPRODUCT(MAX(ROW(E$2:E1799)*(E1799=E$2:E1799)))))-COUNTBLANK(OFFSET(A$1,,,SUMPRODUCT(MAX(ROW(E$1:E1798)*(E2=E$1:E1798))))))</f>
        <v/>
      </c>
      <c r="K1799" s="24" t="str">
        <f aca="false">IF(OR(E1799="",E1799="!!!",F1799="NEW"),"",INDEX(J$1:J1798,SUMPRODUCT(MAX(ROW(E$1:E1798)*(E1799=E$1:E1798)))))</f>
        <v/>
      </c>
      <c r="L1799" s="31"/>
    </row>
    <row r="1800" customFormat="false" ht="15" hidden="false" customHeight="false" outlineLevel="0" collapsed="false">
      <c r="A1800" s="20" t="s">
        <v>1769</v>
      </c>
      <c r="B1800" s="22" t="s">
        <v>1105</v>
      </c>
      <c r="C1800" s="22" t="s">
        <v>1068</v>
      </c>
      <c r="D1800" s="22" t="s">
        <v>1060</v>
      </c>
      <c r="E1800" s="23" t="str">
        <f aca="false">IF(D1800="?OLD","!!!","")</f>
        <v>!!!</v>
      </c>
      <c r="F1800" s="25" t="str">
        <f aca="false">IF(OR(E1800="",E1800="!!!"),"",IF(NOT(ISNA(VLOOKUP(E1800,E$1:E1799,1,FALSE()))),"OLD",IF(AND(E1800&lt;&gt;"",E1800&lt;&gt;"!!!"),"NEW","")))</f>
        <v/>
      </c>
      <c r="G1800" s="26" t="str">
        <f aca="false">IF(OR(E1800="",E1800="!!!"),"",IF(OR(J1800=0,AND(J1800=1,K1800=1),AND(J1800=1,I1800="SBJ"),AND(J1800=1,I1800=0)),"?IN_FOCUS",IF(J1800&lt;=2,"?ACTIVATED",IF(J1800&lt;&gt;"","?FAMILIAR",IF(F1800="NEW",IF(ISNA(VLOOKUP(E1800,#REF!,1,FALSE())),"?TYPE_IDENTIFIABLE","?REFERENTIAL"),"_")))))</f>
        <v/>
      </c>
      <c r="H1800" s="27" t="str">
        <f aca="false">IF(J1800&lt;&gt;1,"",IF(I1800="SBJ","CB","?"))</f>
        <v/>
      </c>
      <c r="I1800" s="24" t="str">
        <f aca="false">IF(OR(E1800="",E1800="!!!",F1800="NEW"),"",INDEX(B4:B$1797,-1+SUMPRODUCT(MAX(ROW(E4:E$1797)*(E1800=E4:E$1797)))))</f>
        <v/>
      </c>
      <c r="J1800" s="24" t="str">
        <f aca="true">IF(OR(E1800="",E1800="!!!",F1800="NEW"),"",COUNTBLANK(OFFSET(A$1,,,SUMPRODUCT(MAX(ROW(E$2:E1800)*(E1800=E$2:E1800)))))-COUNTBLANK(OFFSET(A$1,,,SUMPRODUCT(MAX(ROW(E$1:E1799)*(E2=E$1:E1799))))))</f>
        <v/>
      </c>
      <c r="K1800" s="24" t="str">
        <f aca="false">IF(OR(E1800="",E1800="!!!",F1800="NEW"),"",INDEX(J$1:J1799,SUMPRODUCT(MAX(ROW(E$1:E1799)*(E1800=E$1:E1799)))))</f>
        <v/>
      </c>
      <c r="L1800" s="31"/>
    </row>
    <row r="1801" customFormat="false" ht="15" hidden="false" customHeight="false" outlineLevel="0" collapsed="false">
      <c r="A1801" s="20" t="s">
        <v>1076</v>
      </c>
      <c r="E1801" s="23" t="str">
        <f aca="false">IF(D1801="?OLD","!!!","")</f>
        <v/>
      </c>
      <c r="F1801" s="25" t="str">
        <f aca="false">IF(OR(E1801="",E1801="!!!"),"",IF(NOT(ISNA(VLOOKUP(E1801,E$1:E1800,1,FALSE()))),"OLD",IF(AND(E1801&lt;&gt;"",E1801&lt;&gt;"!!!"),"NEW","")))</f>
        <v/>
      </c>
      <c r="G1801" s="26" t="str">
        <f aca="false">IF(OR(E1801="",E1801="!!!"),"",IF(OR(J1801=0,AND(J1801=1,K1801=1),AND(J1801=1,I1801="SBJ"),AND(J1801=1,I1801=0)),"?IN_FOCUS",IF(J1801&lt;=2,"?ACTIVATED",IF(J1801&lt;&gt;"","?FAMILIAR",IF(F1801="NEW",IF(ISNA(VLOOKUP(E1801,#REF!,1,FALSE())),"?TYPE_IDENTIFIABLE","?REFERENTIAL"),"_")))))</f>
        <v/>
      </c>
      <c r="H1801" s="27" t="str">
        <f aca="false">IF(J1801&lt;&gt;1,"",IF(I1801="SBJ","CB","?"))</f>
        <v/>
      </c>
      <c r="I1801" s="24" t="str">
        <f aca="false">IF(OR(E1801="",E1801="!!!",F1801="NEW"),"",INDEX(B5:B$1797,-1+SUMPRODUCT(MAX(ROW(E5:E$1797)*(E1801=E5:E$1797)))))</f>
        <v/>
      </c>
      <c r="J1801" s="24" t="str">
        <f aca="true">IF(OR(E1801="",E1801="!!!",F1801="NEW"),"",COUNTBLANK(OFFSET(A$1,,,SUMPRODUCT(MAX(ROW(E$2:E1801)*(E1801=E$2:E1801)))))-COUNTBLANK(OFFSET(A$1,,,SUMPRODUCT(MAX(ROW(E$1:E1800)*(E2=E$1:E1800))))))</f>
        <v/>
      </c>
      <c r="K1801" s="24" t="str">
        <f aca="false">IF(OR(E1801="",E1801="!!!",F1801="NEW"),"",INDEX(J$1:J1800,SUMPRODUCT(MAX(ROW(E$1:E1800)*(E1801=E$1:E1800)))))</f>
        <v/>
      </c>
      <c r="L1801" s="31"/>
    </row>
    <row r="1802" customFormat="false" ht="15" hidden="false" customHeight="false" outlineLevel="0" collapsed="false">
      <c r="A1802" s="20" t="s">
        <v>1162</v>
      </c>
      <c r="B1802" s="22" t="s">
        <v>1086</v>
      </c>
      <c r="C1802" s="22" t="s">
        <v>1082</v>
      </c>
      <c r="D1802" s="22" t="s">
        <v>1060</v>
      </c>
      <c r="E1802" s="23" t="str">
        <f aca="false">IF(D1802="?OLD","!!!","")</f>
        <v>!!!</v>
      </c>
      <c r="F1802" s="25" t="str">
        <f aca="false">IF(OR(E1802="",E1802="!!!"),"",IF(NOT(ISNA(VLOOKUP(E1802,E$1:E1801,1,FALSE()))),"OLD",IF(AND(E1802&lt;&gt;"",E1802&lt;&gt;"!!!"),"NEW","")))</f>
        <v/>
      </c>
      <c r="G1802" s="26" t="str">
        <f aca="false">IF(OR(E1802="",E1802="!!!"),"",IF(OR(J1802=0,AND(J1802=1,K1802=1),AND(J1802=1,I1802="SBJ"),AND(J1802=1,I1802=0)),"?IN_FOCUS",IF(J1802&lt;=2,"?ACTIVATED",IF(J1802&lt;&gt;"","?FAMILIAR",IF(F1802="NEW",IF(ISNA(VLOOKUP(E1802,#REF!,1,FALSE())),"?TYPE_IDENTIFIABLE","?REFERENTIAL"),"_")))))</f>
        <v/>
      </c>
      <c r="H1802" s="27" t="str">
        <f aca="false">IF(J1802&lt;&gt;1,"",IF(I1802="SBJ","CB","?"))</f>
        <v/>
      </c>
      <c r="I1802" s="24" t="str">
        <f aca="false">IF(OR(E1802="",E1802="!!!",F1802="NEW"),"",INDEX(B6:B$1797,-1+SUMPRODUCT(MAX(ROW(E6:E$1797)*(E1802=E6:E$1797)))))</f>
        <v/>
      </c>
      <c r="J1802" s="24" t="str">
        <f aca="true">IF(OR(E1802="",E1802="!!!",F1802="NEW"),"",COUNTBLANK(OFFSET(A$1,,,SUMPRODUCT(MAX(ROW(E$2:E1802)*(E1802=E$2:E1802)))))-COUNTBLANK(OFFSET(A$1,,,SUMPRODUCT(MAX(ROW(E$1:E1801)*(E2=E$1:E1801))))))</f>
        <v/>
      </c>
      <c r="K1802" s="24" t="str">
        <f aca="false">IF(OR(E1802="",E1802="!!!",F1802="NEW"),"",INDEX(J$1:J1801,SUMPRODUCT(MAX(ROW(E$1:E1801)*(E1802=E$1:E1801)))))</f>
        <v/>
      </c>
      <c r="L1802" s="31"/>
    </row>
    <row r="1803" customFormat="false" ht="15" hidden="false" customHeight="false" outlineLevel="0" collapsed="false">
      <c r="A1803" s="20" t="s">
        <v>153</v>
      </c>
      <c r="E1803" s="23" t="str">
        <f aca="false">IF(D1803="?OLD","!!!","")</f>
        <v/>
      </c>
      <c r="F1803" s="25" t="str">
        <f aca="false">IF(OR(E1803="",E1803="!!!"),"",IF(NOT(ISNA(VLOOKUP(E1803,E$1:E1802,1,FALSE()))),"OLD",IF(AND(E1803&lt;&gt;"",E1803&lt;&gt;"!!!"),"NEW","")))</f>
        <v/>
      </c>
      <c r="G1803" s="26" t="str">
        <f aca="false">IF(OR(E1803="",E1803="!!!"),"",IF(OR(J1803=0,AND(J1803=1,K1803=1),AND(J1803=1,I1803="SBJ"),AND(J1803=1,I1803=0)),"?IN_FOCUS",IF(J1803&lt;=2,"?ACTIVATED",IF(J1803&lt;&gt;"","?FAMILIAR",IF(F1803="NEW",IF(ISNA(VLOOKUP(E1803,#REF!,1,FALSE())),"?TYPE_IDENTIFIABLE","?REFERENTIAL"),"_")))))</f>
        <v/>
      </c>
      <c r="H1803" s="27" t="str">
        <f aca="false">IF(J1803&lt;&gt;1,"",IF(I1803="SBJ","CB","?"))</f>
        <v/>
      </c>
      <c r="I1803" s="24" t="str">
        <f aca="false">IF(OR(E1803="",E1803="!!!",F1803="NEW"),"",INDEX(B7:B$1797,-1+SUMPRODUCT(MAX(ROW(E7:E$1797)*(E1803=E7:E$1797)))))</f>
        <v/>
      </c>
      <c r="J1803" s="24" t="str">
        <f aca="true">IF(OR(E1803="",E1803="!!!",F1803="NEW"),"",COUNTBLANK(OFFSET(A$1,,,SUMPRODUCT(MAX(ROW(E$2:E1803)*(E1803=E$2:E1803)))))-COUNTBLANK(OFFSET(A$1,,,SUMPRODUCT(MAX(ROW(E$1:E1802)*(E2=E$1:E1802))))))</f>
        <v/>
      </c>
      <c r="K1803" s="24" t="str">
        <f aca="false">IF(OR(E1803="",E1803="!!!",F1803="NEW"),"",INDEX(J$1:J1802,SUMPRODUCT(MAX(ROW(E$1:E1802)*(E1803=E$1:E1802)))))</f>
        <v/>
      </c>
      <c r="L1803" s="31"/>
    </row>
    <row r="1804" customFormat="false" ht="15" hidden="false" customHeight="false" outlineLevel="0" collapsed="false">
      <c r="A1804" s="20" t="s">
        <v>1089</v>
      </c>
      <c r="E1804" s="23" t="str">
        <f aca="false">IF(D1804="?OLD","!!!","")</f>
        <v/>
      </c>
      <c r="F1804" s="25" t="str">
        <f aca="false">IF(OR(E1804="",E1804="!!!"),"",IF(NOT(ISNA(VLOOKUP(E1804,E$1:E1803,1,FALSE()))),"OLD",IF(AND(E1804&lt;&gt;"",E1804&lt;&gt;"!!!"),"NEW","")))</f>
        <v/>
      </c>
      <c r="G1804" s="26" t="str">
        <f aca="false">IF(OR(E1804="",E1804="!!!"),"",IF(OR(J1804=0,AND(J1804=1,K1804=1),AND(J1804=1,I1804="SBJ"),AND(J1804=1,I1804=0)),"?IN_FOCUS",IF(J1804&lt;=2,"?ACTIVATED",IF(J1804&lt;&gt;"","?FAMILIAR",IF(F1804="NEW",IF(ISNA(VLOOKUP(E1804,#REF!,1,FALSE())),"?TYPE_IDENTIFIABLE","?REFERENTIAL"),"_")))))</f>
        <v/>
      </c>
      <c r="H1804" s="27" t="str">
        <f aca="false">IF(J1804&lt;&gt;1,"",IF(I1804="SBJ","CB","?"))</f>
        <v/>
      </c>
      <c r="I1804" s="24" t="str">
        <f aca="false">IF(OR(E1804="",E1804="!!!",F1804="NEW"),"",INDEX(B8:B$1797,-1+SUMPRODUCT(MAX(ROW(E8:E$1797)*(E1804=E8:E$1797)))))</f>
        <v/>
      </c>
      <c r="J1804" s="24" t="str">
        <f aca="true">IF(OR(E1804="",E1804="!!!",F1804="NEW"),"",COUNTBLANK(OFFSET(A$1,,,SUMPRODUCT(MAX(ROW(E$2:E1804)*(E1804=E$2:E1804)))))-COUNTBLANK(OFFSET(A$1,,,SUMPRODUCT(MAX(ROW(E$1:E1803)*(E2=E$1:E1803))))))</f>
        <v/>
      </c>
      <c r="K1804" s="24" t="str">
        <f aca="false">IF(OR(E1804="",E1804="!!!",F1804="NEW"),"",INDEX(J$1:J1803,SUMPRODUCT(MAX(ROW(E$1:E1803)*(E1804=E$1:E1803)))))</f>
        <v/>
      </c>
      <c r="L1804" s="31"/>
    </row>
    <row r="1805" customFormat="false" ht="15" hidden="false" customHeight="false" outlineLevel="0" collapsed="false">
      <c r="A1805" s="20" t="s">
        <v>1162</v>
      </c>
      <c r="B1805" s="22" t="s">
        <v>1091</v>
      </c>
      <c r="C1805" s="22" t="s">
        <v>1082</v>
      </c>
      <c r="D1805" s="22" t="s">
        <v>1060</v>
      </c>
      <c r="E1805" s="23" t="str">
        <f aca="false">IF(D1805="?OLD","!!!","")</f>
        <v>!!!</v>
      </c>
      <c r="F1805" s="25" t="str">
        <f aca="false">IF(OR(E1805="",E1805="!!!"),"",IF(NOT(ISNA(VLOOKUP(E1805,E$1:E1804,1,FALSE()))),"OLD",IF(AND(E1805&lt;&gt;"",E1805&lt;&gt;"!!!"),"NEW","")))</f>
        <v/>
      </c>
      <c r="G1805" s="26" t="str">
        <f aca="false">IF(OR(E1805="",E1805="!!!"),"",IF(OR(J1805=0,AND(J1805=1,K1805=1),AND(J1805=1,I1805="SBJ"),AND(J1805=1,I1805=0)),"?IN_FOCUS",IF(J1805&lt;=2,"?ACTIVATED",IF(J1805&lt;&gt;"","?FAMILIAR",IF(F1805="NEW",IF(ISNA(VLOOKUP(E1805,#REF!,1,FALSE())),"?TYPE_IDENTIFIABLE","?REFERENTIAL"),"_")))))</f>
        <v/>
      </c>
      <c r="H1805" s="27" t="str">
        <f aca="false">IF(J1805&lt;&gt;1,"",IF(I1805="SBJ","CB","?"))</f>
        <v/>
      </c>
      <c r="I1805" s="24" t="str">
        <f aca="false">IF(OR(E1805="",E1805="!!!",F1805="NEW"),"",INDEX(B9:B$1797,-1+SUMPRODUCT(MAX(ROW(E9:E$1797)*(E1805=E9:E$1797)))))</f>
        <v/>
      </c>
      <c r="J1805" s="24" t="str">
        <f aca="true">IF(OR(E1805="",E1805="!!!",F1805="NEW"),"",COUNTBLANK(OFFSET(A$1,,,SUMPRODUCT(MAX(ROW(E$2:E1805)*(E1805=E$2:E1805)))))-COUNTBLANK(OFFSET(A$1,,,SUMPRODUCT(MAX(ROW(E$1:E1804)*(E2=E$1:E1804))))))</f>
        <v/>
      </c>
      <c r="K1805" s="24" t="str">
        <f aca="false">IF(OR(E1805="",E1805="!!!",F1805="NEW"),"",INDEX(J$1:J1804,SUMPRODUCT(MAX(ROW(E$1:E1804)*(E1805=E$1:E1804)))))</f>
        <v/>
      </c>
      <c r="L1805" s="31"/>
    </row>
    <row r="1806" customFormat="false" ht="15" hidden="false" customHeight="false" outlineLevel="0" collapsed="false">
      <c r="A1806" s="20" t="s">
        <v>209</v>
      </c>
      <c r="E1806" s="23" t="str">
        <f aca="false">IF(D1806="?OLD","!!!","")</f>
        <v/>
      </c>
      <c r="F1806" s="25" t="str">
        <f aca="false">IF(OR(E1806="",E1806="!!!"),"",IF(NOT(ISNA(VLOOKUP(E1806,E$1:E1805,1,FALSE()))),"OLD",IF(AND(E1806&lt;&gt;"",E1806&lt;&gt;"!!!"),"NEW","")))</f>
        <v/>
      </c>
      <c r="G1806" s="26" t="str">
        <f aca="false">IF(OR(E1806="",E1806="!!!"),"",IF(OR(J1806=0,AND(J1806=1,K1806=1),AND(J1806=1,I1806="SBJ"),AND(J1806=1,I1806=0)),"?IN_FOCUS",IF(J1806&lt;=2,"?ACTIVATED",IF(J1806&lt;&gt;"","?FAMILIAR",IF(F1806="NEW",IF(ISNA(VLOOKUP(E1806,#REF!,1,FALSE())),"?TYPE_IDENTIFIABLE","?REFERENTIAL"),"_")))))</f>
        <v/>
      </c>
      <c r="H1806" s="27" t="str">
        <f aca="false">IF(J1806&lt;&gt;1,"",IF(I1806="SBJ","CB","?"))</f>
        <v/>
      </c>
      <c r="I1806" s="24" t="str">
        <f aca="false">IF(OR(E1806="",E1806="!!!",F1806="NEW"),"",INDEX(B10:B$1797,-1+SUMPRODUCT(MAX(ROW(E10:E$1797)*(E1806=E10:E$1797)))))</f>
        <v/>
      </c>
      <c r="J1806" s="24" t="str">
        <f aca="true">IF(OR(E1806="",E1806="!!!",F1806="NEW"),"",COUNTBLANK(OFFSET(A$1,,,SUMPRODUCT(MAX(ROW(E$2:E1806)*(E1806=E$2:E1806)))))-COUNTBLANK(OFFSET(A$1,,,SUMPRODUCT(MAX(ROW(E$1:E1805)*(E2=E$1:E1805))))))</f>
        <v/>
      </c>
      <c r="K1806" s="24" t="str">
        <f aca="false">IF(OR(E1806="",E1806="!!!",F1806="NEW"),"",INDEX(J$1:J1805,SUMPRODUCT(MAX(ROW(E$1:E1805)*(E1806=E$1:E1805)))))</f>
        <v/>
      </c>
      <c r="L1806" s="31"/>
    </row>
    <row r="1807" customFormat="false" ht="15" hidden="false" customHeight="false" outlineLevel="0" collapsed="false">
      <c r="A1807" s="20" t="s">
        <v>1137</v>
      </c>
      <c r="B1807" s="22" t="s">
        <v>1146</v>
      </c>
      <c r="C1807" s="22" t="s">
        <v>1082</v>
      </c>
      <c r="D1807" s="22" t="s">
        <v>1060</v>
      </c>
      <c r="E1807" s="23" t="str">
        <f aca="false">IF(D1807="?OLD","!!!","")</f>
        <v>!!!</v>
      </c>
      <c r="F1807" s="25" t="str">
        <f aca="false">IF(OR(E1807="",E1807="!!!"),"",IF(NOT(ISNA(VLOOKUP(E1807,E$1:E1806,1,FALSE()))),"OLD",IF(AND(E1807&lt;&gt;"",E1807&lt;&gt;"!!!"),"NEW","")))</f>
        <v/>
      </c>
      <c r="G1807" s="26" t="str">
        <f aca="false">IF(OR(E1807="",E1807="!!!"),"",IF(OR(J1807=0,AND(J1807=1,K1807=1),AND(J1807=1,I1807="SBJ"),AND(J1807=1,I1807=0)),"?IN_FOCUS",IF(J1807&lt;=2,"?ACTIVATED",IF(J1807&lt;&gt;"","?FAMILIAR",IF(F1807="NEW",IF(ISNA(VLOOKUP(E1807,#REF!,1,FALSE())),"?TYPE_IDENTIFIABLE","?REFERENTIAL"),"_")))))</f>
        <v/>
      </c>
      <c r="H1807" s="27" t="str">
        <f aca="false">IF(J1807&lt;&gt;1,"",IF(I1807="SBJ","CB","?"))</f>
        <v/>
      </c>
      <c r="I1807" s="24" t="str">
        <f aca="false">IF(OR(E1807="",E1807="!!!",F1807="NEW"),"",INDEX(B11:B$1797,-1+SUMPRODUCT(MAX(ROW(E11:E$1797)*(E1807=E11:E$1797)))))</f>
        <v/>
      </c>
      <c r="J1807" s="24" t="str">
        <f aca="true">IF(OR(E1807="",E1807="!!!",F1807="NEW"),"",COUNTBLANK(OFFSET(A$1,,,SUMPRODUCT(MAX(ROW(E$2:E1807)*(E1807=E$2:E1807)))))-COUNTBLANK(OFFSET(A$1,,,SUMPRODUCT(MAX(ROW(E$1:E1806)*(E2=E$1:E1806))))))</f>
        <v/>
      </c>
      <c r="K1807" s="24" t="str">
        <f aca="false">IF(OR(E1807="",E1807="!!!",F1807="NEW"),"",INDEX(J$1:J1806,SUMPRODUCT(MAX(ROW(E$1:E1806)*(E1807=E$1:E1806)))))</f>
        <v/>
      </c>
      <c r="L1807" s="31"/>
    </row>
    <row r="1808" customFormat="false" ht="15" hidden="false" customHeight="false" outlineLevel="0" collapsed="false">
      <c r="A1808" s="20" t="s">
        <v>1640</v>
      </c>
      <c r="E1808" s="23" t="str">
        <f aca="false">IF(D1808="?OLD","!!!","")</f>
        <v/>
      </c>
      <c r="F1808" s="25" t="str">
        <f aca="false">IF(OR(E1808="",E1808="!!!"),"",IF(NOT(ISNA(VLOOKUP(E1808,E$1:E1807,1,FALSE()))),"OLD",IF(AND(E1808&lt;&gt;"",E1808&lt;&gt;"!!!"),"NEW","")))</f>
        <v/>
      </c>
      <c r="G1808" s="26" t="str">
        <f aca="false">IF(OR(E1808="",E1808="!!!"),"",IF(OR(J1808=0,AND(J1808=1,K1808=1),AND(J1808=1,I1808="SBJ"),AND(J1808=1,I1808=0)),"?IN_FOCUS",IF(J1808&lt;=2,"?ACTIVATED",IF(J1808&lt;&gt;"","?FAMILIAR",IF(F1808="NEW",IF(ISNA(VLOOKUP(E1808,#REF!,1,FALSE())),"?TYPE_IDENTIFIABLE","?REFERENTIAL"),"_")))))</f>
        <v/>
      </c>
      <c r="H1808" s="27" t="str">
        <f aca="false">IF(J1808&lt;&gt;1,"",IF(I1808="SBJ","CB","?"))</f>
        <v/>
      </c>
      <c r="I1808" s="24" t="str">
        <f aca="false">IF(OR(E1808="",E1808="!!!",F1808="NEW"),"",INDEX(B12:B$1797,-1+SUMPRODUCT(MAX(ROW(E12:E$1797)*(E1808=E12:E$1797)))))</f>
        <v/>
      </c>
      <c r="J1808" s="24" t="str">
        <f aca="true">IF(OR(E1808="",E1808="!!!",F1808="NEW"),"",COUNTBLANK(OFFSET(A$1,,,SUMPRODUCT(MAX(ROW(E$2:E1808)*(E1808=E$2:E1808)))))-COUNTBLANK(OFFSET(A$1,,,SUMPRODUCT(MAX(ROW(E$1:E1807)*(E2=E$1:E1807))))))</f>
        <v/>
      </c>
      <c r="K1808" s="24" t="str">
        <f aca="false">IF(OR(E1808="",E1808="!!!",F1808="NEW"),"",INDEX(J$1:J1807,SUMPRODUCT(MAX(ROW(E$1:E1807)*(E1808=E$1:E1807)))))</f>
        <v/>
      </c>
      <c r="L1808" s="31"/>
    </row>
    <row r="1809" customFormat="false" ht="15" hidden="false" customHeight="false" outlineLevel="0" collapsed="false">
      <c r="A1809" s="20" t="s">
        <v>923</v>
      </c>
      <c r="E1809" s="23" t="str">
        <f aca="false">IF(D1809="?OLD","!!!","")</f>
        <v/>
      </c>
      <c r="F1809" s="25" t="str">
        <f aca="false">IF(OR(E1809="",E1809="!!!"),"",IF(NOT(ISNA(VLOOKUP(E1809,E$1:E1808,1,FALSE()))),"OLD",IF(AND(E1809&lt;&gt;"",E1809&lt;&gt;"!!!"),"NEW","")))</f>
        <v/>
      </c>
      <c r="G1809" s="26" t="str">
        <f aca="false">IF(OR(E1809="",E1809="!!!"),"",IF(OR(J1809=0,AND(J1809=1,K1809=1),AND(J1809=1,I1809="SBJ"),AND(J1809=1,I1809=0)),"?IN_FOCUS",IF(J1809&lt;=2,"?ACTIVATED",IF(J1809&lt;&gt;"","?FAMILIAR",IF(F1809="NEW",IF(ISNA(VLOOKUP(E1809,#REF!,1,FALSE())),"?TYPE_IDENTIFIABLE","?REFERENTIAL"),"_")))))</f>
        <v/>
      </c>
      <c r="H1809" s="27" t="str">
        <f aca="false">IF(J1809&lt;&gt;1,"",IF(I1809="SBJ","CB","?"))</f>
        <v/>
      </c>
      <c r="I1809" s="24" t="str">
        <f aca="false">IF(OR(E1809="",E1809="!!!",F1809="NEW"),"",INDEX(B13:B$1797,-1+SUMPRODUCT(MAX(ROW(E13:E$1797)*(E1809=E13:E$1797)))))</f>
        <v/>
      </c>
      <c r="J1809" s="24" t="str">
        <f aca="true">IF(OR(E1809="",E1809="!!!",F1809="NEW"),"",COUNTBLANK(OFFSET(A$1,,,SUMPRODUCT(MAX(ROW(E$2:E1809)*(E1809=E$2:E1809)))))-COUNTBLANK(OFFSET(A$1,,,SUMPRODUCT(MAX(ROW(E$1:E1808)*(E2=E$1:E1808))))))</f>
        <v/>
      </c>
      <c r="K1809" s="24" t="str">
        <f aca="false">IF(OR(E1809="",E1809="!!!",F1809="NEW"),"",INDEX(J$1:J1808,SUMPRODUCT(MAX(ROW(E$1:E1808)*(E1809=E$1:E1808)))))</f>
        <v/>
      </c>
      <c r="L1809" s="31"/>
    </row>
    <row r="1810" customFormat="false" ht="15" hidden="false" customHeight="false" outlineLevel="0" collapsed="false">
      <c r="A1810" s="20" t="s">
        <v>607</v>
      </c>
      <c r="E1810" s="23" t="str">
        <f aca="false">IF(D1810="?OLD","!!!","")</f>
        <v/>
      </c>
      <c r="F1810" s="25" t="str">
        <f aca="false">IF(OR(E1810="",E1810="!!!"),"",IF(NOT(ISNA(VLOOKUP(E1810,E$1:E1809,1,FALSE()))),"OLD",IF(AND(E1810&lt;&gt;"",E1810&lt;&gt;"!!!"),"NEW","")))</f>
        <v/>
      </c>
      <c r="G1810" s="26" t="str">
        <f aca="false">IF(OR(E1810="",E1810="!!!"),"",IF(OR(J1810=0,AND(J1810=1,K1810=1),AND(J1810=1,I1810="SBJ"),AND(J1810=1,I1810=0)),"?IN_FOCUS",IF(J1810&lt;=2,"?ACTIVATED",IF(J1810&lt;&gt;"","?FAMILIAR",IF(F1810="NEW",IF(ISNA(VLOOKUP(E1810,#REF!,1,FALSE())),"?TYPE_IDENTIFIABLE","?REFERENTIAL"),"_")))))</f>
        <v/>
      </c>
      <c r="H1810" s="27" t="str">
        <f aca="false">IF(J1810&lt;&gt;1,"",IF(I1810="SBJ","CB","?"))</f>
        <v/>
      </c>
      <c r="I1810" s="24" t="str">
        <f aca="false">IF(OR(E1810="",E1810="!!!",F1810="NEW"),"",INDEX(B14:B$1797,-1+SUMPRODUCT(MAX(ROW(E14:E$1797)*(E1810=E14:E$1797)))))</f>
        <v/>
      </c>
      <c r="J1810" s="24" t="str">
        <f aca="true">IF(OR(E1810="",E1810="!!!",F1810="NEW"),"",COUNTBLANK(OFFSET(A$1,,,SUMPRODUCT(MAX(ROW(E$2:E1810)*(E1810=E$2:E1810)))))-COUNTBLANK(OFFSET(A$1,,,SUMPRODUCT(MAX(ROW(E$1:E1809)*(E2=E$1:E1809))))))</f>
        <v/>
      </c>
      <c r="K1810" s="24" t="str">
        <f aca="false">IF(OR(E1810="",E1810="!!!",F1810="NEW"),"",INDEX(J$1:J1809,SUMPRODUCT(MAX(ROW(E$1:E1809)*(E1810=E$1:E1809)))))</f>
        <v/>
      </c>
      <c r="L1810" s="31"/>
    </row>
    <row r="1811" customFormat="false" ht="15" hidden="false" customHeight="false" outlineLevel="0" collapsed="false">
      <c r="A1811" s="20"/>
    </row>
    <row r="1812" customFormat="false" ht="15" hidden="false" customHeight="false" outlineLevel="0" collapsed="false">
      <c r="A1812" s="20" t="s">
        <v>1770</v>
      </c>
    </row>
    <row r="1813" customFormat="false" ht="15" hidden="false" customHeight="false" outlineLevel="0" collapsed="false">
      <c r="A1813" s="20" t="s">
        <v>1345</v>
      </c>
      <c r="E1813" s="23" t="str">
        <f aca="false">IF(D1813="?OLD","!!!","")</f>
        <v/>
      </c>
      <c r="F1813" s="25" t="str">
        <f aca="false">IF(OR(E1813="",E1813="!!!"),"",IF(NOT(ISNA(VLOOKUP(E1813,E$1:E1812,1,FALSE()))),"OLD",IF(AND(E1813&lt;&gt;"",E1813&lt;&gt;"!!!"),"NEW","")))</f>
        <v/>
      </c>
      <c r="G1813" s="26" t="str">
        <f aca="false">IF(OR(E1813="",E1813="!!!"),"",IF(OR(J1813=0,AND(J1813=1,K1813=1),AND(J1813=1,I1813="SBJ"),AND(J1813=1,I1813=0)),"?IN_FOCUS",IF(J1813&lt;=2,"?ACTIVATED",IF(J1813&lt;&gt;"","?FAMILIAR",IF(F1813="NEW",IF(ISNA(VLOOKUP(E1813,#REF!,1,FALSE())),"?TYPE_IDENTIFIABLE","?REFERENTIAL"),"_")))))</f>
        <v/>
      </c>
      <c r="H1813" s="27" t="str">
        <f aca="false">IF(J1813&lt;&gt;1,"",IF(I1813="SBJ","CB","?"))</f>
        <v/>
      </c>
      <c r="I1813" s="24" t="str">
        <f aca="false">IF(OR(E1813="",E1813="!!!",F1813="NEW"),"",INDEX(B2:B$1812,-1+SUMPRODUCT(MAX(ROW(E2:E$1812)*(E1813=E2:E$1812)))))</f>
        <v/>
      </c>
      <c r="J1813" s="24" t="str">
        <f aca="true">IF(OR(E1813="",E1813="!!!",F1813="NEW"),"",COUNTBLANK(OFFSET(A$1,,,SUMPRODUCT(MAX(ROW(E$2:E1813)*(E1813=E$2:E1813)))))-COUNTBLANK(OFFSET(A$1,,,SUMPRODUCT(MAX(ROW(E$1:E1812)*(E2=E$1:E1812))))))</f>
        <v/>
      </c>
      <c r="K1813" s="24" t="str">
        <f aca="false">IF(OR(E1813="",E1813="!!!",F1813="NEW"),"",INDEX(J$1:J1812,SUMPRODUCT(MAX(ROW(E$1:E1812)*(E1813=E$1:E1812)))))</f>
        <v/>
      </c>
      <c r="L1813" s="31"/>
    </row>
    <row r="1814" customFormat="false" ht="15" hidden="false" customHeight="false" outlineLevel="0" collapsed="false">
      <c r="A1814" s="20" t="s">
        <v>1532</v>
      </c>
      <c r="B1814" s="22" t="s">
        <v>1058</v>
      </c>
      <c r="C1814" s="22" t="s">
        <v>1087</v>
      </c>
      <c r="E1814" s="23" t="str">
        <f aca="false">IF(D1814="?OLD","!!!","")</f>
        <v/>
      </c>
      <c r="F1814" s="25" t="str">
        <f aca="false">IF(OR(E1814="",E1814="!!!"),"",IF(NOT(ISNA(VLOOKUP(E1814,E$1:E1813,1,FALSE()))),"OLD",IF(AND(E1814&lt;&gt;"",E1814&lt;&gt;"!!!"),"NEW","")))</f>
        <v/>
      </c>
      <c r="G1814" s="26" t="str">
        <f aca="false">IF(OR(E1814="",E1814="!!!"),"",IF(OR(J1814=0,AND(J1814=1,K1814=1),AND(J1814=1,I1814="SBJ"),AND(J1814=1,I1814=0)),"?IN_FOCUS",IF(J1814&lt;=2,"?ACTIVATED",IF(J1814&lt;&gt;"","?FAMILIAR",IF(F1814="NEW",IF(ISNA(VLOOKUP(E1814,#REF!,1,FALSE())),"?TYPE_IDENTIFIABLE","?REFERENTIAL"),"_")))))</f>
        <v/>
      </c>
      <c r="H1814" s="27" t="str">
        <f aca="false">IF(J1814&lt;&gt;1,"",IF(I1814="SBJ","CB","?"))</f>
        <v/>
      </c>
      <c r="I1814" s="24" t="str">
        <f aca="false">IF(OR(E1814="",E1814="!!!",F1814="NEW"),"",INDEX(B3:B$1812,-1+SUMPRODUCT(MAX(ROW(E3:E$1812)*(E1814=E3:E$1812)))))</f>
        <v/>
      </c>
      <c r="J1814" s="24" t="str">
        <f aca="true">IF(OR(E1814="",E1814="!!!",F1814="NEW"),"",COUNTBLANK(OFFSET(A$1,,,SUMPRODUCT(MAX(ROW(E$2:E1814)*(E1814=E$2:E1814)))))-COUNTBLANK(OFFSET(A$1,,,SUMPRODUCT(MAX(ROW(E$1:E1813)*(E2=E$1:E1813))))))</f>
        <v/>
      </c>
      <c r="K1814" s="24" t="str">
        <f aca="false">IF(OR(E1814="",E1814="!!!",F1814="NEW"),"",INDEX(J$1:J1813,SUMPRODUCT(MAX(ROW(E$1:E1813)*(E1814=E$1:E1813)))))</f>
        <v/>
      </c>
      <c r="L1814" s="31"/>
    </row>
    <row r="1815" customFormat="false" ht="15" hidden="false" customHeight="false" outlineLevel="0" collapsed="false">
      <c r="A1815" s="20" t="s">
        <v>1064</v>
      </c>
      <c r="E1815" s="23" t="str">
        <f aca="false">IF(D1815="?OLD","!!!","")</f>
        <v/>
      </c>
      <c r="F1815" s="25" t="str">
        <f aca="false">IF(OR(E1815="",E1815="!!!"),"",IF(NOT(ISNA(VLOOKUP(E1815,E$1:E1814,1,FALSE()))),"OLD",IF(AND(E1815&lt;&gt;"",E1815&lt;&gt;"!!!"),"NEW","")))</f>
        <v/>
      </c>
      <c r="G1815" s="26" t="str">
        <f aca="false">IF(OR(E1815="",E1815="!!!"),"",IF(OR(J1815=0,AND(J1815=1,K1815=1),AND(J1815=1,I1815="SBJ"),AND(J1815=1,I1815=0)),"?IN_FOCUS",IF(J1815&lt;=2,"?ACTIVATED",IF(J1815&lt;&gt;"","?FAMILIAR",IF(F1815="NEW",IF(ISNA(VLOOKUP(E1815,#REF!,1,FALSE())),"?TYPE_IDENTIFIABLE","?REFERENTIAL"),"_")))))</f>
        <v/>
      </c>
      <c r="H1815" s="27" t="str">
        <f aca="false">IF(J1815&lt;&gt;1,"",IF(I1815="SBJ","CB","?"))</f>
        <v/>
      </c>
      <c r="I1815" s="24" t="str">
        <f aca="false">IF(OR(E1815="",E1815="!!!",F1815="NEW"),"",INDEX(B4:B$1812,-1+SUMPRODUCT(MAX(ROW(E4:E$1812)*(E1815=E4:E$1812)))))</f>
        <v/>
      </c>
      <c r="J1815" s="24" t="str">
        <f aca="true">IF(OR(E1815="",E1815="!!!",F1815="NEW"),"",COUNTBLANK(OFFSET(A$1,,,SUMPRODUCT(MAX(ROW(E$2:E1815)*(E1815=E$2:E1815)))))-COUNTBLANK(OFFSET(A$1,,,SUMPRODUCT(MAX(ROW(E$1:E1814)*(E2=E$1:E1814))))))</f>
        <v/>
      </c>
      <c r="K1815" s="24" t="str">
        <f aca="false">IF(OR(E1815="",E1815="!!!",F1815="NEW"),"",INDEX(J$1:J1814,SUMPRODUCT(MAX(ROW(E$1:E1814)*(E1815=E$1:E1814)))))</f>
        <v/>
      </c>
      <c r="L1815" s="31"/>
    </row>
    <row r="1816" customFormat="false" ht="15" hidden="false" customHeight="false" outlineLevel="0" collapsed="false">
      <c r="A1816" s="20" t="s">
        <v>1771</v>
      </c>
      <c r="E1816" s="23" t="str">
        <f aca="false">IF(D1816="?OLD","!!!","")</f>
        <v/>
      </c>
      <c r="F1816" s="25" t="str">
        <f aca="false">IF(OR(E1816="",E1816="!!!"),"",IF(NOT(ISNA(VLOOKUP(E1816,E$1:E1815,1,FALSE()))),"OLD",IF(AND(E1816&lt;&gt;"",E1816&lt;&gt;"!!!"),"NEW","")))</f>
        <v/>
      </c>
      <c r="G1816" s="26" t="str">
        <f aca="false">IF(OR(E1816="",E1816="!!!"),"",IF(OR(J1816=0,AND(J1816=1,K1816=1),AND(J1816=1,I1816="SBJ"),AND(J1816=1,I1816=0)),"?IN_FOCUS",IF(J1816&lt;=2,"?ACTIVATED",IF(J1816&lt;&gt;"","?FAMILIAR",IF(F1816="NEW",IF(ISNA(VLOOKUP(E1816,#REF!,1,FALSE())),"?TYPE_IDENTIFIABLE","?REFERENTIAL"),"_")))))</f>
        <v/>
      </c>
      <c r="H1816" s="27" t="str">
        <f aca="false">IF(J1816&lt;&gt;1,"",IF(I1816="SBJ","CB","?"))</f>
        <v/>
      </c>
      <c r="I1816" s="24" t="str">
        <f aca="false">IF(OR(E1816="",E1816="!!!",F1816="NEW"),"",INDEX(B5:B$1812,-1+SUMPRODUCT(MAX(ROW(E5:E$1812)*(E1816=E5:E$1812)))))</f>
        <v/>
      </c>
      <c r="J1816" s="24" t="str">
        <f aca="true">IF(OR(E1816="",E1816="!!!",F1816="NEW"),"",COUNTBLANK(OFFSET(A$1,,,SUMPRODUCT(MAX(ROW(E$2:E1816)*(E1816=E$2:E1816)))))-COUNTBLANK(OFFSET(A$1,,,SUMPRODUCT(MAX(ROW(E$1:E1815)*(E2=E$1:E1815))))))</f>
        <v/>
      </c>
      <c r="K1816" s="24" t="str">
        <f aca="false">IF(OR(E1816="",E1816="!!!",F1816="NEW"),"",INDEX(J$1:J1815,SUMPRODUCT(MAX(ROW(E$1:E1815)*(E1816=E$1:E1815)))))</f>
        <v/>
      </c>
      <c r="L1816" s="31"/>
    </row>
    <row r="1817" customFormat="false" ht="15" hidden="false" customHeight="false" outlineLevel="0" collapsed="false">
      <c r="A1817" s="20" t="s">
        <v>1537</v>
      </c>
      <c r="B1817" s="22" t="s">
        <v>1073</v>
      </c>
      <c r="C1817" s="22" t="s">
        <v>1160</v>
      </c>
      <c r="E1817" s="23" t="str">
        <f aca="false">IF(D1817="?OLD","!!!","")</f>
        <v/>
      </c>
      <c r="F1817" s="25" t="str">
        <f aca="false">IF(OR(E1817="",E1817="!!!"),"",IF(NOT(ISNA(VLOOKUP(E1817,E$1:E1816,1,FALSE()))),"OLD",IF(AND(E1817&lt;&gt;"",E1817&lt;&gt;"!!!"),"NEW","")))</f>
        <v/>
      </c>
      <c r="G1817" s="26" t="str">
        <f aca="false">IF(OR(E1817="",E1817="!!!"),"",IF(OR(J1817=0,AND(J1817=1,K1817=1),AND(J1817=1,I1817="SBJ"),AND(J1817=1,I1817=0)),"?IN_FOCUS",IF(J1817&lt;=2,"?ACTIVATED",IF(J1817&lt;&gt;"","?FAMILIAR",IF(F1817="NEW",IF(ISNA(VLOOKUP(E1817,#REF!,1,FALSE())),"?TYPE_IDENTIFIABLE","?REFERENTIAL"),"_")))))</f>
        <v/>
      </c>
      <c r="H1817" s="27" t="str">
        <f aca="false">IF(J1817&lt;&gt;1,"",IF(I1817="SBJ","CB","?"))</f>
        <v/>
      </c>
      <c r="I1817" s="24" t="str">
        <f aca="false">IF(OR(E1817="",E1817="!!!",F1817="NEW"),"",INDEX(B6:B$1812,-1+SUMPRODUCT(MAX(ROW(E6:E$1812)*(E1817=E6:E$1812)))))</f>
        <v/>
      </c>
      <c r="J1817" s="24" t="str">
        <f aca="true">IF(OR(E1817="",E1817="!!!",F1817="NEW"),"",COUNTBLANK(OFFSET(A$1,,,SUMPRODUCT(MAX(ROW(E$2:E1817)*(E1817=E$2:E1817)))))-COUNTBLANK(OFFSET(A$1,,,SUMPRODUCT(MAX(ROW(E$1:E1816)*(E2=E$1:E1816))))))</f>
        <v/>
      </c>
      <c r="K1817" s="24" t="str">
        <f aca="false">IF(OR(E1817="",E1817="!!!",F1817="NEW"),"",INDEX(J$1:J1816,SUMPRODUCT(MAX(ROW(E$1:E1816)*(E1817=E$1:E1816)))))</f>
        <v/>
      </c>
      <c r="L1817" s="31"/>
    </row>
    <row r="1818" customFormat="false" ht="15" hidden="false" customHeight="false" outlineLevel="0" collapsed="false">
      <c r="A1818" s="20" t="s">
        <v>1772</v>
      </c>
      <c r="E1818" s="23" t="str">
        <f aca="false">IF(D1818="?OLD","!!!","")</f>
        <v/>
      </c>
      <c r="F1818" s="25" t="str">
        <f aca="false">IF(OR(E1818="",E1818="!!!"),"",IF(NOT(ISNA(VLOOKUP(E1818,E$1:E1817,1,FALSE()))),"OLD",IF(AND(E1818&lt;&gt;"",E1818&lt;&gt;"!!!"),"NEW","")))</f>
        <v/>
      </c>
      <c r="G1818" s="26" t="str">
        <f aca="false">IF(OR(E1818="",E1818="!!!"),"",IF(OR(J1818=0,AND(J1818=1,K1818=1),AND(J1818=1,I1818="SBJ"),AND(J1818=1,I1818=0)),"?IN_FOCUS",IF(J1818&lt;=2,"?ACTIVATED",IF(J1818&lt;&gt;"","?FAMILIAR",IF(F1818="NEW",IF(ISNA(VLOOKUP(E1818,#REF!,1,FALSE())),"?TYPE_IDENTIFIABLE","?REFERENTIAL"),"_")))))</f>
        <v/>
      </c>
      <c r="H1818" s="27" t="str">
        <f aca="false">IF(J1818&lt;&gt;1,"",IF(I1818="SBJ","CB","?"))</f>
        <v/>
      </c>
      <c r="I1818" s="24" t="str">
        <f aca="false">IF(OR(E1818="",E1818="!!!",F1818="NEW"),"",INDEX(B7:B$1812,-1+SUMPRODUCT(MAX(ROW(E7:E$1812)*(E1818=E7:E$1812)))))</f>
        <v/>
      </c>
      <c r="J1818" s="24" t="str">
        <f aca="true">IF(OR(E1818="",E1818="!!!",F1818="NEW"),"",COUNTBLANK(OFFSET(A$1,,,SUMPRODUCT(MAX(ROW(E$2:E1818)*(E1818=E$2:E1818)))))-COUNTBLANK(OFFSET(A$1,,,SUMPRODUCT(MAX(ROW(E$1:E1817)*(E2=E$1:E1817))))))</f>
        <v/>
      </c>
      <c r="K1818" s="24" t="str">
        <f aca="false">IF(OR(E1818="",E1818="!!!",F1818="NEW"),"",INDEX(J$1:J1817,SUMPRODUCT(MAX(ROW(E$1:E1817)*(E1818=E$1:E1817)))))</f>
        <v/>
      </c>
      <c r="L1818" s="31"/>
    </row>
    <row r="1819" customFormat="false" ht="15" hidden="false" customHeight="false" outlineLevel="0" collapsed="false">
      <c r="A1819" s="20" t="s">
        <v>1109</v>
      </c>
      <c r="E1819" s="23" t="str">
        <f aca="false">IF(D1819="?OLD","!!!","")</f>
        <v/>
      </c>
      <c r="F1819" s="25" t="str">
        <f aca="false">IF(OR(E1819="",E1819="!!!"),"",IF(NOT(ISNA(VLOOKUP(E1819,E$1:E1818,1,FALSE()))),"OLD",IF(AND(E1819&lt;&gt;"",E1819&lt;&gt;"!!!"),"NEW","")))</f>
        <v/>
      </c>
      <c r="G1819" s="26" t="str">
        <f aca="false">IF(OR(E1819="",E1819="!!!"),"",IF(OR(J1819=0,AND(J1819=1,K1819=1),AND(J1819=1,I1819="SBJ"),AND(J1819=1,I1819=0)),"?IN_FOCUS",IF(J1819&lt;=2,"?ACTIVATED",IF(J1819&lt;&gt;"","?FAMILIAR",IF(F1819="NEW",IF(ISNA(VLOOKUP(E1819,#REF!,1,FALSE())),"?TYPE_IDENTIFIABLE","?REFERENTIAL"),"_")))))</f>
        <v/>
      </c>
      <c r="H1819" s="27" t="str">
        <f aca="false">IF(J1819&lt;&gt;1,"",IF(I1819="SBJ","CB","?"))</f>
        <v/>
      </c>
      <c r="I1819" s="24" t="str">
        <f aca="false">IF(OR(E1819="",E1819="!!!",F1819="NEW"),"",INDEX(B8:B$1812,-1+SUMPRODUCT(MAX(ROW(E8:E$1812)*(E1819=E8:E$1812)))))</f>
        <v/>
      </c>
      <c r="J1819" s="24" t="str">
        <f aca="true">IF(OR(E1819="",E1819="!!!",F1819="NEW"),"",COUNTBLANK(OFFSET(A$1,,,SUMPRODUCT(MAX(ROW(E$2:E1819)*(E1819=E$2:E1819)))))-COUNTBLANK(OFFSET(A$1,,,SUMPRODUCT(MAX(ROW(E$1:E1818)*(E2=E$1:E1818))))))</f>
        <v/>
      </c>
      <c r="K1819" s="24" t="str">
        <f aca="false">IF(OR(E1819="",E1819="!!!",F1819="NEW"),"",INDEX(J$1:J1818,SUMPRODUCT(MAX(ROW(E$1:E1818)*(E1819=E$1:E1818)))))</f>
        <v/>
      </c>
      <c r="L1819" s="31"/>
    </row>
    <row r="1820" customFormat="false" ht="15" hidden="false" customHeight="false" outlineLevel="0" collapsed="false">
      <c r="A1820" s="20" t="s">
        <v>1773</v>
      </c>
      <c r="B1820" s="22" t="s">
        <v>1081</v>
      </c>
      <c r="C1820" s="22" t="s">
        <v>1150</v>
      </c>
      <c r="D1820" s="22" t="s">
        <v>1060</v>
      </c>
      <c r="E1820" s="23" t="str">
        <f aca="false">IF(D1820="?OLD","!!!","")</f>
        <v>!!!</v>
      </c>
      <c r="F1820" s="25" t="str">
        <f aca="false">IF(OR(E1820="",E1820="!!!"),"",IF(NOT(ISNA(VLOOKUP(E1820,E$1:E1819,1,FALSE()))),"OLD",IF(AND(E1820&lt;&gt;"",E1820&lt;&gt;"!!!"),"NEW","")))</f>
        <v/>
      </c>
      <c r="G1820" s="26" t="str">
        <f aca="false">IF(OR(E1820="",E1820="!!!"),"",IF(OR(J1820=0,AND(J1820=1,K1820=1),AND(J1820=1,I1820="SBJ"),AND(J1820=1,I1820=0)),"?IN_FOCUS",IF(J1820&lt;=2,"?ACTIVATED",IF(J1820&lt;&gt;"","?FAMILIAR",IF(F1820="NEW",IF(ISNA(VLOOKUP(E1820,#REF!,1,FALSE())),"?TYPE_IDENTIFIABLE","?REFERENTIAL"),"_")))))</f>
        <v/>
      </c>
      <c r="H1820" s="27" t="str">
        <f aca="false">IF(J1820&lt;&gt;1,"",IF(I1820="SBJ","CB","?"))</f>
        <v/>
      </c>
      <c r="I1820" s="24" t="str">
        <f aca="false">IF(OR(E1820="",E1820="!!!",F1820="NEW"),"",INDEX(B9:B$1812,-1+SUMPRODUCT(MAX(ROW(E9:E$1812)*(E1820=E9:E$1812)))))</f>
        <v/>
      </c>
      <c r="J1820" s="24" t="str">
        <f aca="true">IF(OR(E1820="",E1820="!!!",F1820="NEW"),"",COUNTBLANK(OFFSET(A$1,,,SUMPRODUCT(MAX(ROW(E$2:E1820)*(E1820=E$2:E1820)))))-COUNTBLANK(OFFSET(A$1,,,SUMPRODUCT(MAX(ROW(E$1:E1819)*(E2=E$1:E1819))))))</f>
        <v/>
      </c>
      <c r="K1820" s="24" t="str">
        <f aca="false">IF(OR(E1820="",E1820="!!!",F1820="NEW"),"",INDEX(J$1:J1819,SUMPRODUCT(MAX(ROW(E$1:E1819)*(E1820=E$1:E1819)))))</f>
        <v/>
      </c>
      <c r="L1820" s="31"/>
    </row>
    <row r="1821" customFormat="false" ht="15" hidden="false" customHeight="false" outlineLevel="0" collapsed="false">
      <c r="A1821" s="20" t="s">
        <v>1064</v>
      </c>
      <c r="E1821" s="23" t="str">
        <f aca="false">IF(D1821="?OLD","!!!","")</f>
        <v/>
      </c>
      <c r="F1821" s="25" t="str">
        <f aca="false">IF(OR(E1821="",E1821="!!!"),"",IF(NOT(ISNA(VLOOKUP(E1821,E$1:E1820,1,FALSE()))),"OLD",IF(AND(E1821&lt;&gt;"",E1821&lt;&gt;"!!!"),"NEW","")))</f>
        <v/>
      </c>
      <c r="G1821" s="26" t="str">
        <f aca="false">IF(OR(E1821="",E1821="!!!"),"",IF(OR(J1821=0,AND(J1821=1,K1821=1),AND(J1821=1,I1821="SBJ"),AND(J1821=1,I1821=0)),"?IN_FOCUS",IF(J1821&lt;=2,"?ACTIVATED",IF(J1821&lt;&gt;"","?FAMILIAR",IF(F1821="NEW",IF(ISNA(VLOOKUP(E1821,#REF!,1,FALSE())),"?TYPE_IDENTIFIABLE","?REFERENTIAL"),"_")))))</f>
        <v/>
      </c>
      <c r="H1821" s="27" t="str">
        <f aca="false">IF(J1821&lt;&gt;1,"",IF(I1821="SBJ","CB","?"))</f>
        <v/>
      </c>
      <c r="I1821" s="24" t="str">
        <f aca="false">IF(OR(E1821="",E1821="!!!",F1821="NEW"),"",INDEX(B10:B$1812,-1+SUMPRODUCT(MAX(ROW(E10:E$1812)*(E1821=E10:E$1812)))))</f>
        <v/>
      </c>
      <c r="J1821" s="24" t="str">
        <f aca="true">IF(OR(E1821="",E1821="!!!",F1821="NEW"),"",COUNTBLANK(OFFSET(A$1,,,SUMPRODUCT(MAX(ROW(E$2:E1821)*(E1821=E$2:E1821)))))-COUNTBLANK(OFFSET(A$1,,,SUMPRODUCT(MAX(ROW(E$1:E1820)*(E2=E$1:E1820))))))</f>
        <v/>
      </c>
      <c r="K1821" s="24" t="str">
        <f aca="false">IF(OR(E1821="",E1821="!!!",F1821="NEW"),"",INDEX(J$1:J1820,SUMPRODUCT(MAX(ROW(E$1:E1820)*(E1821=E$1:E1820)))))</f>
        <v/>
      </c>
      <c r="L1821" s="31"/>
    </row>
    <row r="1822" customFormat="false" ht="15" hidden="false" customHeight="false" outlineLevel="0" collapsed="false">
      <c r="A1822" s="20" t="s">
        <v>1109</v>
      </c>
      <c r="E1822" s="23" t="str">
        <f aca="false">IF(D1822="?OLD","!!!","")</f>
        <v/>
      </c>
      <c r="F1822" s="25" t="str">
        <f aca="false">IF(OR(E1822="",E1822="!!!"),"",IF(NOT(ISNA(VLOOKUP(E1822,E$1:E1821,1,FALSE()))),"OLD",IF(AND(E1822&lt;&gt;"",E1822&lt;&gt;"!!!"),"NEW","")))</f>
        <v/>
      </c>
      <c r="G1822" s="26" t="str">
        <f aca="false">IF(OR(E1822="",E1822="!!!"),"",IF(OR(J1822=0,AND(J1822=1,K1822=1),AND(J1822=1,I1822="SBJ"),AND(J1822=1,I1822=0)),"?IN_FOCUS",IF(J1822&lt;=2,"?ACTIVATED",IF(J1822&lt;&gt;"","?FAMILIAR",IF(F1822="NEW",IF(ISNA(VLOOKUP(E1822,#REF!,1,FALSE())),"?TYPE_IDENTIFIABLE","?REFERENTIAL"),"_")))))</f>
        <v/>
      </c>
      <c r="H1822" s="27" t="str">
        <f aca="false">IF(J1822&lt;&gt;1,"",IF(I1822="SBJ","CB","?"))</f>
        <v/>
      </c>
      <c r="I1822" s="24" t="str">
        <f aca="false">IF(OR(E1822="",E1822="!!!",F1822="NEW"),"",INDEX(B11:B$1812,-1+SUMPRODUCT(MAX(ROW(E11:E$1812)*(E1822=E11:E$1812)))))</f>
        <v/>
      </c>
      <c r="J1822" s="24" t="str">
        <f aca="true">IF(OR(E1822="",E1822="!!!",F1822="NEW"),"",COUNTBLANK(OFFSET(A$1,,,SUMPRODUCT(MAX(ROW(E$2:E1822)*(E1822=E$2:E1822)))))-COUNTBLANK(OFFSET(A$1,,,SUMPRODUCT(MAX(ROW(E$1:E1821)*(E2=E$1:E1821))))))</f>
        <v/>
      </c>
      <c r="K1822" s="24" t="str">
        <f aca="false">IF(OR(E1822="",E1822="!!!",F1822="NEW"),"",INDEX(J$1:J1821,SUMPRODUCT(MAX(ROW(E$1:E1821)*(E1822=E$1:E1821)))))</f>
        <v/>
      </c>
      <c r="L1822" s="31"/>
    </row>
    <row r="1823" customFormat="false" ht="15" hidden="false" customHeight="false" outlineLevel="0" collapsed="false">
      <c r="A1823" s="20" t="s">
        <v>1223</v>
      </c>
      <c r="B1823" s="22" t="s">
        <v>1073</v>
      </c>
      <c r="C1823" s="22" t="s">
        <v>1150</v>
      </c>
      <c r="D1823" s="22" t="s">
        <v>1060</v>
      </c>
      <c r="E1823" s="23" t="str">
        <f aca="false">IF(D1823="?OLD","!!!","")</f>
        <v>!!!</v>
      </c>
      <c r="F1823" s="25" t="str">
        <f aca="false">IF(OR(E1823="",E1823="!!!"),"",IF(NOT(ISNA(VLOOKUP(E1823,E$1:E1822,1,FALSE()))),"OLD",IF(AND(E1823&lt;&gt;"",E1823&lt;&gt;"!!!"),"NEW","")))</f>
        <v/>
      </c>
      <c r="G1823" s="26" t="str">
        <f aca="false">IF(OR(E1823="",E1823="!!!"),"",IF(OR(J1823=0,AND(J1823=1,K1823=1),AND(J1823=1,I1823="SBJ"),AND(J1823=1,I1823=0)),"?IN_FOCUS",IF(J1823&lt;=2,"?ACTIVATED",IF(J1823&lt;&gt;"","?FAMILIAR",IF(F1823="NEW",IF(ISNA(VLOOKUP(E1823,#REF!,1,FALSE())),"?TYPE_IDENTIFIABLE","?REFERENTIAL"),"_")))))</f>
        <v/>
      </c>
      <c r="H1823" s="27" t="str">
        <f aca="false">IF(J1823&lt;&gt;1,"",IF(I1823="SBJ","CB","?"))</f>
        <v/>
      </c>
      <c r="I1823" s="24" t="str">
        <f aca="false">IF(OR(E1823="",E1823="!!!",F1823="NEW"),"",INDEX(B12:B$1812,-1+SUMPRODUCT(MAX(ROW(E12:E$1812)*(E1823=E12:E$1812)))))</f>
        <v/>
      </c>
      <c r="J1823" s="24" t="str">
        <f aca="true">IF(OR(E1823="",E1823="!!!",F1823="NEW"),"",COUNTBLANK(OFFSET(A$1,,,SUMPRODUCT(MAX(ROW(E$2:E1823)*(E1823=E$2:E1823)))))-COUNTBLANK(OFFSET(A$1,,,SUMPRODUCT(MAX(ROW(E$1:E1822)*(E2=E$1:E1822))))))</f>
        <v/>
      </c>
      <c r="K1823" s="24" t="str">
        <f aca="false">IF(OR(E1823="",E1823="!!!",F1823="NEW"),"",INDEX(J$1:J1822,SUMPRODUCT(MAX(ROW(E$1:E1822)*(E1823=E$1:E1822)))))</f>
        <v/>
      </c>
      <c r="L1823" s="31"/>
    </row>
    <row r="1824" customFormat="false" ht="15" hidden="false" customHeight="false" outlineLevel="0" collapsed="false">
      <c r="A1824" s="20" t="s">
        <v>923</v>
      </c>
      <c r="E1824" s="23" t="str">
        <f aca="false">IF(D1824="?OLD","!!!","")</f>
        <v/>
      </c>
      <c r="F1824" s="25" t="str">
        <f aca="false">IF(OR(E1824="",E1824="!!!"),"",IF(NOT(ISNA(VLOOKUP(E1824,E$1:E1823,1,FALSE()))),"OLD",IF(AND(E1824&lt;&gt;"",E1824&lt;&gt;"!!!"),"NEW","")))</f>
        <v/>
      </c>
      <c r="G1824" s="26" t="str">
        <f aca="false">IF(OR(E1824="",E1824="!!!"),"",IF(OR(J1824=0,AND(J1824=1,K1824=1),AND(J1824=1,I1824="SBJ"),AND(J1824=1,I1824=0)),"?IN_FOCUS",IF(J1824&lt;=2,"?ACTIVATED",IF(J1824&lt;&gt;"","?FAMILIAR",IF(F1824="NEW",IF(ISNA(VLOOKUP(E1824,#REF!,1,FALSE())),"?TYPE_IDENTIFIABLE","?REFERENTIAL"),"_")))))</f>
        <v/>
      </c>
      <c r="H1824" s="27" t="str">
        <f aca="false">IF(J1824&lt;&gt;1,"",IF(I1824="SBJ","CB","?"))</f>
        <v/>
      </c>
      <c r="I1824" s="24" t="str">
        <f aca="false">IF(OR(E1824="",E1824="!!!",F1824="NEW"),"",INDEX(B13:B$1812,-1+SUMPRODUCT(MAX(ROW(E13:E$1812)*(E1824=E13:E$1812)))))</f>
        <v/>
      </c>
      <c r="J1824" s="24" t="str">
        <f aca="true">IF(OR(E1824="",E1824="!!!",F1824="NEW"),"",COUNTBLANK(OFFSET(A$1,,,SUMPRODUCT(MAX(ROW(E$2:E1824)*(E1824=E$2:E1824)))))-COUNTBLANK(OFFSET(A$1,,,SUMPRODUCT(MAX(ROW(E$1:E1823)*(E2=E$1:E1823))))))</f>
        <v/>
      </c>
      <c r="K1824" s="24" t="str">
        <f aca="false">IF(OR(E1824="",E1824="!!!",F1824="NEW"),"",INDEX(J$1:J1823,SUMPRODUCT(MAX(ROW(E$1:E1823)*(E1824=E$1:E1823)))))</f>
        <v/>
      </c>
      <c r="L1824" s="31"/>
    </row>
    <row r="1825" customFormat="false" ht="15" hidden="false" customHeight="false" outlineLevel="0" collapsed="false">
      <c r="A1825" s="20"/>
    </row>
    <row r="1826" customFormat="false" ht="15" hidden="false" customHeight="false" outlineLevel="0" collapsed="false">
      <c r="A1826" s="20" t="s">
        <v>1774</v>
      </c>
    </row>
    <row r="1827" customFormat="false" ht="15" hidden="false" customHeight="false" outlineLevel="0" collapsed="false">
      <c r="A1827" s="20" t="s">
        <v>1775</v>
      </c>
      <c r="E1827" s="23" t="str">
        <f aca="false">IF(D1827="?OLD","!!!","")</f>
        <v/>
      </c>
      <c r="F1827" s="25" t="str">
        <f aca="false">IF(OR(E1827="",E1827="!!!"),"",IF(NOT(ISNA(VLOOKUP(E1827,E$1:E1826,1,FALSE()))),"OLD",IF(AND(E1827&lt;&gt;"",E1827&lt;&gt;"!!!"),"NEW","")))</f>
        <v/>
      </c>
      <c r="G1827" s="26" t="str">
        <f aca="false">IF(OR(E1827="",E1827="!!!"),"",IF(OR(J1827=0,AND(J1827=1,K1827=1),AND(J1827=1,I1827="SBJ"),AND(J1827=1,I1827=0)),"?IN_FOCUS",IF(J1827&lt;=2,"?ACTIVATED",IF(J1827&lt;&gt;"","?FAMILIAR",IF(F1827="NEW",IF(ISNA(VLOOKUP(E1827,#REF!,1,FALSE())),"?TYPE_IDENTIFIABLE","?REFERENTIAL"),"_")))))</f>
        <v/>
      </c>
      <c r="H1827" s="27" t="str">
        <f aca="false">IF(J1827&lt;&gt;1,"",IF(I1827="SBJ","CB","?"))</f>
        <v/>
      </c>
      <c r="I1827" s="24" t="str">
        <f aca="false">IF(OR(E1827="",E1827="!!!",F1827="NEW"),"",INDEX(B2:B$1826,-1+SUMPRODUCT(MAX(ROW(E2:E$1826)*(E1827=E2:E$1826)))))</f>
        <v/>
      </c>
      <c r="J1827" s="24" t="str">
        <f aca="true">IF(OR(E1827="",E1827="!!!",F1827="NEW"),"",COUNTBLANK(OFFSET(A$1,,,SUMPRODUCT(MAX(ROW(E$2:E1827)*(E1827=E$2:E1827)))))-COUNTBLANK(OFFSET(A$1,,,SUMPRODUCT(MAX(ROW(E$1:E1826)*(E2=E$1:E1826))))))</f>
        <v/>
      </c>
      <c r="K1827" s="24" t="str">
        <f aca="false">IF(OR(E1827="",E1827="!!!",F1827="NEW"),"",INDEX(J$1:J1826,SUMPRODUCT(MAX(ROW(E$1:E1826)*(E1827=E$1:E1826)))))</f>
        <v/>
      </c>
      <c r="L1827" s="31"/>
    </row>
    <row r="1828" customFormat="false" ht="15" hidden="false" customHeight="false" outlineLevel="0" collapsed="false">
      <c r="A1828" s="20" t="s">
        <v>1776</v>
      </c>
      <c r="E1828" s="23" t="str">
        <f aca="false">IF(D1828="?OLD","!!!","")</f>
        <v/>
      </c>
      <c r="F1828" s="25" t="str">
        <f aca="false">IF(OR(E1828="",E1828="!!!"),"",IF(NOT(ISNA(VLOOKUP(E1828,E$1:E1827,1,FALSE()))),"OLD",IF(AND(E1828&lt;&gt;"",E1828&lt;&gt;"!!!"),"NEW","")))</f>
        <v/>
      </c>
      <c r="G1828" s="26" t="str">
        <f aca="false">IF(OR(E1828="",E1828="!!!"),"",IF(OR(J1828=0,AND(J1828=1,K1828=1),AND(J1828=1,I1828="SBJ"),AND(J1828=1,I1828=0)),"?IN_FOCUS",IF(J1828&lt;=2,"?ACTIVATED",IF(J1828&lt;&gt;"","?FAMILIAR",IF(F1828="NEW",IF(ISNA(VLOOKUP(E1828,#REF!,1,FALSE())),"?TYPE_IDENTIFIABLE","?REFERENTIAL"),"_")))))</f>
        <v/>
      </c>
      <c r="H1828" s="27" t="str">
        <f aca="false">IF(J1828&lt;&gt;1,"",IF(I1828="SBJ","CB","?"))</f>
        <v/>
      </c>
      <c r="I1828" s="24" t="str">
        <f aca="false">IF(OR(E1828="",E1828="!!!",F1828="NEW"),"",INDEX(B3:B$1826,-1+SUMPRODUCT(MAX(ROW(E3:E$1826)*(E1828=E3:E$1826)))))</f>
        <v/>
      </c>
      <c r="J1828" s="24" t="str">
        <f aca="true">IF(OR(E1828="",E1828="!!!",F1828="NEW"),"",COUNTBLANK(OFFSET(A$1,,,SUMPRODUCT(MAX(ROW(E$2:E1828)*(E1828=E$2:E1828)))))-COUNTBLANK(OFFSET(A$1,,,SUMPRODUCT(MAX(ROW(E$1:E1827)*(E2=E$1:E1827))))))</f>
        <v/>
      </c>
      <c r="K1828" s="24" t="str">
        <f aca="false">IF(OR(E1828="",E1828="!!!",F1828="NEW"),"",INDEX(J$1:J1827,SUMPRODUCT(MAX(ROW(E$1:E1827)*(E1828=E$1:E1827)))))</f>
        <v/>
      </c>
      <c r="L1828" s="31"/>
    </row>
    <row r="1829" customFormat="false" ht="15" hidden="false" customHeight="false" outlineLevel="0" collapsed="false">
      <c r="A1829" s="20" t="s">
        <v>1109</v>
      </c>
      <c r="E1829" s="23" t="str">
        <f aca="false">IF(D1829="?OLD","!!!","")</f>
        <v/>
      </c>
      <c r="F1829" s="25" t="str">
        <f aca="false">IF(OR(E1829="",E1829="!!!"),"",IF(NOT(ISNA(VLOOKUP(E1829,E$1:E1828,1,FALSE()))),"OLD",IF(AND(E1829&lt;&gt;"",E1829&lt;&gt;"!!!"),"NEW","")))</f>
        <v/>
      </c>
      <c r="G1829" s="26" t="str">
        <f aca="false">IF(OR(E1829="",E1829="!!!"),"",IF(OR(J1829=0,AND(J1829=1,K1829=1),AND(J1829=1,I1829="SBJ"),AND(J1829=1,I1829=0)),"?IN_FOCUS",IF(J1829&lt;=2,"?ACTIVATED",IF(J1829&lt;&gt;"","?FAMILIAR",IF(F1829="NEW",IF(ISNA(VLOOKUP(E1829,#REF!,1,FALSE())),"?TYPE_IDENTIFIABLE","?REFERENTIAL"),"_")))))</f>
        <v/>
      </c>
      <c r="H1829" s="27" t="str">
        <f aca="false">IF(J1829&lt;&gt;1,"",IF(I1829="SBJ","CB","?"))</f>
        <v/>
      </c>
      <c r="I1829" s="24" t="str">
        <f aca="false">IF(OR(E1829="",E1829="!!!",F1829="NEW"),"",INDEX(B4:B$1826,-1+SUMPRODUCT(MAX(ROW(E4:E$1826)*(E1829=E4:E$1826)))))</f>
        <v/>
      </c>
      <c r="J1829" s="24" t="str">
        <f aca="true">IF(OR(E1829="",E1829="!!!",F1829="NEW"),"",COUNTBLANK(OFFSET(A$1,,,SUMPRODUCT(MAX(ROW(E$2:E1829)*(E1829=E$2:E1829)))))-COUNTBLANK(OFFSET(A$1,,,SUMPRODUCT(MAX(ROW(E$1:E1828)*(E2=E$1:E1828))))))</f>
        <v/>
      </c>
      <c r="K1829" s="24" t="str">
        <f aca="false">IF(OR(E1829="",E1829="!!!",F1829="NEW"),"",INDEX(J$1:J1828,SUMPRODUCT(MAX(ROW(E$1:E1828)*(E1829=E$1:E1828)))))</f>
        <v/>
      </c>
      <c r="L1829" s="31"/>
    </row>
    <row r="1830" customFormat="false" ht="15" hidden="false" customHeight="false" outlineLevel="0" collapsed="false">
      <c r="A1830" s="20" t="s">
        <v>1777</v>
      </c>
      <c r="B1830" s="22" t="s">
        <v>1073</v>
      </c>
      <c r="C1830" s="22" t="s">
        <v>1150</v>
      </c>
      <c r="D1830" s="22" t="s">
        <v>1060</v>
      </c>
      <c r="E1830" s="23" t="str">
        <f aca="false">IF(D1830="?OLD","!!!","")</f>
        <v>!!!</v>
      </c>
      <c r="F1830" s="25" t="str">
        <f aca="false">IF(OR(E1830="",E1830="!!!"),"",IF(NOT(ISNA(VLOOKUP(E1830,E$1:E1829,1,FALSE()))),"OLD",IF(AND(E1830&lt;&gt;"",E1830&lt;&gt;"!!!"),"NEW","")))</f>
        <v/>
      </c>
      <c r="G1830" s="26" t="str">
        <f aca="false">IF(OR(E1830="",E1830="!!!"),"",IF(OR(J1830=0,AND(J1830=1,K1830=1),AND(J1830=1,I1830="SBJ"),AND(J1830=1,I1830=0)),"?IN_FOCUS",IF(J1830&lt;=2,"?ACTIVATED",IF(J1830&lt;&gt;"","?FAMILIAR",IF(F1830="NEW",IF(ISNA(VLOOKUP(E1830,#REF!,1,FALSE())),"?TYPE_IDENTIFIABLE","?REFERENTIAL"),"_")))))</f>
        <v/>
      </c>
      <c r="H1830" s="27" t="str">
        <f aca="false">IF(J1830&lt;&gt;1,"",IF(I1830="SBJ","CB","?"))</f>
        <v/>
      </c>
      <c r="I1830" s="24" t="str">
        <f aca="false">IF(OR(E1830="",E1830="!!!",F1830="NEW"),"",INDEX(B5:B$1826,-1+SUMPRODUCT(MAX(ROW(E5:E$1826)*(E1830=E5:E$1826)))))</f>
        <v/>
      </c>
      <c r="J1830" s="24" t="str">
        <f aca="true">IF(OR(E1830="",E1830="!!!",F1830="NEW"),"",COUNTBLANK(OFFSET(A$1,,,SUMPRODUCT(MAX(ROW(E$2:E1830)*(E1830=E$2:E1830)))))-COUNTBLANK(OFFSET(A$1,,,SUMPRODUCT(MAX(ROW(E$1:E1829)*(E2=E$1:E1829))))))</f>
        <v/>
      </c>
      <c r="K1830" s="24" t="str">
        <f aca="false">IF(OR(E1830="",E1830="!!!",F1830="NEW"),"",INDEX(J$1:J1829,SUMPRODUCT(MAX(ROW(E$1:E1829)*(E1830=E$1:E1829)))))</f>
        <v/>
      </c>
      <c r="L1830" s="31"/>
    </row>
    <row r="1831" customFormat="false" ht="15" hidden="false" customHeight="false" outlineLevel="0" collapsed="false">
      <c r="A1831" s="20" t="s">
        <v>1186</v>
      </c>
      <c r="B1831" s="22" t="s">
        <v>1058</v>
      </c>
      <c r="C1831" s="22" t="s">
        <v>1082</v>
      </c>
      <c r="D1831" s="22" t="s">
        <v>1060</v>
      </c>
      <c r="E1831" s="23" t="str">
        <f aca="false">IF(D1831="?OLD","!!!","")</f>
        <v>!!!</v>
      </c>
      <c r="F1831" s="25" t="str">
        <f aca="false">IF(OR(E1831="",E1831="!!!"),"",IF(NOT(ISNA(VLOOKUP(E1831,E$1:E1830,1,FALSE()))),"OLD",IF(AND(E1831&lt;&gt;"",E1831&lt;&gt;"!!!"),"NEW","")))</f>
        <v/>
      </c>
      <c r="G1831" s="26" t="str">
        <f aca="false">IF(OR(E1831="",E1831="!!!"),"",IF(OR(J1831=0,AND(J1831=1,K1831=1),AND(J1831=1,I1831="SBJ"),AND(J1831=1,I1831=0)),"?IN_FOCUS",IF(J1831&lt;=2,"?ACTIVATED",IF(J1831&lt;&gt;"","?FAMILIAR",IF(F1831="NEW",IF(ISNA(VLOOKUP(E1831,#REF!,1,FALSE())),"?TYPE_IDENTIFIABLE","?REFERENTIAL"),"_")))))</f>
        <v/>
      </c>
      <c r="H1831" s="27" t="str">
        <f aca="false">IF(J1831&lt;&gt;1,"",IF(I1831="SBJ","CB","?"))</f>
        <v/>
      </c>
      <c r="I1831" s="24" t="str">
        <f aca="false">IF(OR(E1831="",E1831="!!!",F1831="NEW"),"",INDEX(B6:B$1826,-1+SUMPRODUCT(MAX(ROW(E6:E$1826)*(E1831=E6:E$1826)))))</f>
        <v/>
      </c>
      <c r="J1831" s="24" t="str">
        <f aca="true">IF(OR(E1831="",E1831="!!!",F1831="NEW"),"",COUNTBLANK(OFFSET(A$1,,,SUMPRODUCT(MAX(ROW(E$2:E1831)*(E1831=E$2:E1831)))))-COUNTBLANK(OFFSET(A$1,,,SUMPRODUCT(MAX(ROW(E$1:E1830)*(E2=E$1:E1830))))))</f>
        <v/>
      </c>
      <c r="K1831" s="24" t="str">
        <f aca="false">IF(OR(E1831="",E1831="!!!",F1831="NEW"),"",INDEX(J$1:J1830,SUMPRODUCT(MAX(ROW(E$1:E1830)*(E1831=E$1:E1830)))))</f>
        <v/>
      </c>
      <c r="L1831" s="31"/>
    </row>
    <row r="1832" customFormat="false" ht="15" hidden="false" customHeight="false" outlineLevel="0" collapsed="false">
      <c r="A1832" s="20" t="s">
        <v>1778</v>
      </c>
      <c r="E1832" s="23" t="str">
        <f aca="false">IF(D1832="?OLD","!!!","")</f>
        <v/>
      </c>
      <c r="F1832" s="25" t="str">
        <f aca="false">IF(OR(E1832="",E1832="!!!"),"",IF(NOT(ISNA(VLOOKUP(E1832,E$1:E1831,1,FALSE()))),"OLD",IF(AND(E1832&lt;&gt;"",E1832&lt;&gt;"!!!"),"NEW","")))</f>
        <v/>
      </c>
      <c r="G1832" s="26" t="str">
        <f aca="false">IF(OR(E1832="",E1832="!!!"),"",IF(OR(J1832=0,AND(J1832=1,K1832=1),AND(J1832=1,I1832="SBJ"),AND(J1832=1,I1832=0)),"?IN_FOCUS",IF(J1832&lt;=2,"?ACTIVATED",IF(J1832&lt;&gt;"","?FAMILIAR",IF(F1832="NEW",IF(ISNA(VLOOKUP(E1832,#REF!,1,FALSE())),"?TYPE_IDENTIFIABLE","?REFERENTIAL"),"_")))))</f>
        <v/>
      </c>
      <c r="H1832" s="27" t="str">
        <f aca="false">IF(J1832&lt;&gt;1,"",IF(I1832="SBJ","CB","?"))</f>
        <v/>
      </c>
      <c r="I1832" s="24" t="str">
        <f aca="false">IF(OR(E1832="",E1832="!!!",F1832="NEW"),"",INDEX(B7:B$1826,-1+SUMPRODUCT(MAX(ROW(E7:E$1826)*(E1832=E7:E$1826)))))</f>
        <v/>
      </c>
      <c r="J1832" s="24" t="str">
        <f aca="true">IF(OR(E1832="",E1832="!!!",F1832="NEW"),"",COUNTBLANK(OFFSET(A$1,,,SUMPRODUCT(MAX(ROW(E$2:E1832)*(E1832=E$2:E1832)))))-COUNTBLANK(OFFSET(A$1,,,SUMPRODUCT(MAX(ROW(E$1:E1831)*(E2=E$1:E1831))))))</f>
        <v/>
      </c>
      <c r="K1832" s="24" t="str">
        <f aca="false">IF(OR(E1832="",E1832="!!!",F1832="NEW"),"",INDEX(J$1:J1831,SUMPRODUCT(MAX(ROW(E$1:E1831)*(E1832=E$1:E1831)))))</f>
        <v/>
      </c>
      <c r="L1832" s="31"/>
    </row>
    <row r="1833" customFormat="false" ht="15" hidden="false" customHeight="false" outlineLevel="0" collapsed="false">
      <c r="A1833" s="20" t="s">
        <v>1779</v>
      </c>
      <c r="E1833" s="23" t="str">
        <f aca="false">IF(D1833="?OLD","!!!","")</f>
        <v/>
      </c>
      <c r="F1833" s="25" t="str">
        <f aca="false">IF(OR(E1833="",E1833="!!!"),"",IF(NOT(ISNA(VLOOKUP(E1833,E$1:E1832,1,FALSE()))),"OLD",IF(AND(E1833&lt;&gt;"",E1833&lt;&gt;"!!!"),"NEW","")))</f>
        <v/>
      </c>
      <c r="G1833" s="26" t="str">
        <f aca="false">IF(OR(E1833="",E1833="!!!"),"",IF(OR(J1833=0,AND(J1833=1,K1833=1),AND(J1833=1,I1833="SBJ"),AND(J1833=1,I1833=0)),"?IN_FOCUS",IF(J1833&lt;=2,"?ACTIVATED",IF(J1833&lt;&gt;"","?FAMILIAR",IF(F1833="NEW",IF(ISNA(VLOOKUP(E1833,#REF!,1,FALSE())),"?TYPE_IDENTIFIABLE","?REFERENTIAL"),"_")))))</f>
        <v/>
      </c>
      <c r="H1833" s="27" t="str">
        <f aca="false">IF(J1833&lt;&gt;1,"",IF(I1833="SBJ","CB","?"))</f>
        <v/>
      </c>
      <c r="I1833" s="24" t="str">
        <f aca="false">IF(OR(E1833="",E1833="!!!",F1833="NEW"),"",INDEX(B8:B$1826,-1+SUMPRODUCT(MAX(ROW(E8:E$1826)*(E1833=E8:E$1826)))))</f>
        <v/>
      </c>
      <c r="J1833" s="24" t="str">
        <f aca="true">IF(OR(E1833="",E1833="!!!",F1833="NEW"),"",COUNTBLANK(OFFSET(A$1,,,SUMPRODUCT(MAX(ROW(E$2:E1833)*(E1833=E$2:E1833)))))-COUNTBLANK(OFFSET(A$1,,,SUMPRODUCT(MAX(ROW(E$1:E1832)*(E2=E$1:E1832))))))</f>
        <v/>
      </c>
      <c r="K1833" s="24" t="str">
        <f aca="false">IF(OR(E1833="",E1833="!!!",F1833="NEW"),"",INDEX(J$1:J1832,SUMPRODUCT(MAX(ROW(E$1:E1832)*(E1833=E$1:E1832)))))</f>
        <v/>
      </c>
      <c r="L1833" s="31"/>
    </row>
    <row r="1834" customFormat="false" ht="15" hidden="false" customHeight="false" outlineLevel="0" collapsed="false">
      <c r="A1834" s="20" t="s">
        <v>1184</v>
      </c>
      <c r="E1834" s="23" t="str">
        <f aca="false">IF(D1834="?OLD","!!!","")</f>
        <v/>
      </c>
      <c r="F1834" s="25" t="str">
        <f aca="false">IF(OR(E1834="",E1834="!!!"),"",IF(NOT(ISNA(VLOOKUP(E1834,E$1:E1833,1,FALSE()))),"OLD",IF(AND(E1834&lt;&gt;"",E1834&lt;&gt;"!!!"),"NEW","")))</f>
        <v/>
      </c>
      <c r="G1834" s="26" t="str">
        <f aca="false">IF(OR(E1834="",E1834="!!!"),"",IF(OR(J1834=0,AND(J1834=1,K1834=1),AND(J1834=1,I1834="SBJ"),AND(J1834=1,I1834=0)),"?IN_FOCUS",IF(J1834&lt;=2,"?ACTIVATED",IF(J1834&lt;&gt;"","?FAMILIAR",IF(F1834="NEW",IF(ISNA(VLOOKUP(E1834,#REF!,1,FALSE())),"?TYPE_IDENTIFIABLE","?REFERENTIAL"),"_")))))</f>
        <v/>
      </c>
      <c r="H1834" s="27" t="str">
        <f aca="false">IF(J1834&lt;&gt;1,"",IF(I1834="SBJ","CB","?"))</f>
        <v/>
      </c>
      <c r="I1834" s="24" t="str">
        <f aca="false">IF(OR(E1834="",E1834="!!!",F1834="NEW"),"",INDEX(B9:B$1826,-1+SUMPRODUCT(MAX(ROW(E9:E$1826)*(E1834=E9:E$1826)))))</f>
        <v/>
      </c>
      <c r="J1834" s="24" t="str">
        <f aca="true">IF(OR(E1834="",E1834="!!!",F1834="NEW"),"",COUNTBLANK(OFFSET(A$1,,,SUMPRODUCT(MAX(ROW(E$2:E1834)*(E1834=E$2:E1834)))))-COUNTBLANK(OFFSET(A$1,,,SUMPRODUCT(MAX(ROW(E$1:E1833)*(E2=E$1:E1833))))))</f>
        <v/>
      </c>
      <c r="K1834" s="24" t="str">
        <f aca="false">IF(OR(E1834="",E1834="!!!",F1834="NEW"),"",INDEX(J$1:J1833,SUMPRODUCT(MAX(ROW(E$1:E1833)*(E1834=E$1:E1833)))))</f>
        <v/>
      </c>
      <c r="L1834" s="31"/>
    </row>
    <row r="1835" customFormat="false" ht="15" hidden="false" customHeight="false" outlineLevel="0" collapsed="false">
      <c r="A1835" s="20" t="s">
        <v>1109</v>
      </c>
      <c r="E1835" s="23" t="str">
        <f aca="false">IF(D1835="?OLD","!!!","")</f>
        <v/>
      </c>
      <c r="F1835" s="25" t="str">
        <f aca="false">IF(OR(E1835="",E1835="!!!"),"",IF(NOT(ISNA(VLOOKUP(E1835,E$1:E1834,1,FALSE()))),"OLD",IF(AND(E1835&lt;&gt;"",E1835&lt;&gt;"!!!"),"NEW","")))</f>
        <v/>
      </c>
      <c r="G1835" s="26" t="str">
        <f aca="false">IF(OR(E1835="",E1835="!!!"),"",IF(OR(J1835=0,AND(J1835=1,K1835=1),AND(J1835=1,I1835="SBJ"),AND(J1835=1,I1835=0)),"?IN_FOCUS",IF(J1835&lt;=2,"?ACTIVATED",IF(J1835&lt;&gt;"","?FAMILIAR",IF(F1835="NEW",IF(ISNA(VLOOKUP(E1835,#REF!,1,FALSE())),"?TYPE_IDENTIFIABLE","?REFERENTIAL"),"_")))))</f>
        <v/>
      </c>
      <c r="H1835" s="27" t="str">
        <f aca="false">IF(J1835&lt;&gt;1,"",IF(I1835="SBJ","CB","?"))</f>
        <v/>
      </c>
      <c r="I1835" s="24" t="str">
        <f aca="false">IF(OR(E1835="",E1835="!!!",F1835="NEW"),"",INDEX(B10:B$1826,-1+SUMPRODUCT(MAX(ROW(E10:E$1826)*(E1835=E10:E$1826)))))</f>
        <v/>
      </c>
      <c r="J1835" s="24" t="str">
        <f aca="true">IF(OR(E1835="",E1835="!!!",F1835="NEW"),"",COUNTBLANK(OFFSET(A$1,,,SUMPRODUCT(MAX(ROW(E$2:E1835)*(E1835=E$2:E1835)))))-COUNTBLANK(OFFSET(A$1,,,SUMPRODUCT(MAX(ROW(E$1:E1834)*(E2=E$1:E1834))))))</f>
        <v/>
      </c>
      <c r="K1835" s="24" t="str">
        <f aca="false">IF(OR(E1835="",E1835="!!!",F1835="NEW"),"",INDEX(J$1:J1834,SUMPRODUCT(MAX(ROW(E$1:E1834)*(E1835=E$1:E1834)))))</f>
        <v/>
      </c>
      <c r="L1835" s="31"/>
    </row>
    <row r="1836" customFormat="false" ht="15" hidden="false" customHeight="false" outlineLevel="0" collapsed="false">
      <c r="A1836" s="20" t="s">
        <v>1664</v>
      </c>
      <c r="B1836" s="22" t="s">
        <v>1067</v>
      </c>
      <c r="C1836" s="22" t="s">
        <v>1160</v>
      </c>
      <c r="E1836" s="23" t="str">
        <f aca="false">IF(D1836="?OLD","!!!","")</f>
        <v/>
      </c>
      <c r="F1836" s="25" t="str">
        <f aca="false">IF(OR(E1836="",E1836="!!!"),"",IF(NOT(ISNA(VLOOKUP(E1836,E$1:E1835,1,FALSE()))),"OLD",IF(AND(E1836&lt;&gt;"",E1836&lt;&gt;"!!!"),"NEW","")))</f>
        <v/>
      </c>
      <c r="G1836" s="26" t="str">
        <f aca="false">IF(OR(E1836="",E1836="!!!"),"",IF(OR(J1836=0,AND(J1836=1,K1836=1),AND(J1836=1,I1836="SBJ"),AND(J1836=1,I1836=0)),"?IN_FOCUS",IF(J1836&lt;=2,"?ACTIVATED",IF(J1836&lt;&gt;"","?FAMILIAR",IF(F1836="NEW",IF(ISNA(VLOOKUP(E1836,#REF!,1,FALSE())),"?TYPE_IDENTIFIABLE","?REFERENTIAL"),"_")))))</f>
        <v/>
      </c>
      <c r="H1836" s="27" t="str">
        <f aca="false">IF(J1836&lt;&gt;1,"",IF(I1836="SBJ","CB","?"))</f>
        <v/>
      </c>
      <c r="I1836" s="24" t="str">
        <f aca="false">IF(OR(E1836="",E1836="!!!",F1836="NEW"),"",INDEX(B11:B$1826,-1+SUMPRODUCT(MAX(ROW(E11:E$1826)*(E1836=E11:E$1826)))))</f>
        <v/>
      </c>
      <c r="J1836" s="24" t="str">
        <f aca="true">IF(OR(E1836="",E1836="!!!",F1836="NEW"),"",COUNTBLANK(OFFSET(A$1,,,SUMPRODUCT(MAX(ROW(E$2:E1836)*(E1836=E$2:E1836)))))-COUNTBLANK(OFFSET(A$1,,,SUMPRODUCT(MAX(ROW(E$1:E1835)*(E2=E$1:E1835))))))</f>
        <v/>
      </c>
      <c r="K1836" s="24" t="str">
        <f aca="false">IF(OR(E1836="",E1836="!!!",F1836="NEW"),"",INDEX(J$1:J1835,SUMPRODUCT(MAX(ROW(E$1:E1835)*(E1836=E$1:E1835)))))</f>
        <v/>
      </c>
      <c r="L1836" s="31"/>
    </row>
    <row r="1837" customFormat="false" ht="15" hidden="false" customHeight="false" outlineLevel="0" collapsed="false">
      <c r="A1837" s="20" t="s">
        <v>16</v>
      </c>
      <c r="E1837" s="23" t="str">
        <f aca="false">IF(D1837="?OLD","!!!","")</f>
        <v/>
      </c>
      <c r="F1837" s="25" t="str">
        <f aca="false">IF(OR(E1837="",E1837="!!!"),"",IF(NOT(ISNA(VLOOKUP(E1837,E$1:E1836,1,FALSE()))),"OLD",IF(AND(E1837&lt;&gt;"",E1837&lt;&gt;"!!!"),"NEW","")))</f>
        <v/>
      </c>
      <c r="G1837" s="26" t="str">
        <f aca="false">IF(OR(E1837="",E1837="!!!"),"",IF(OR(J1837=0,AND(J1837=1,K1837=1),AND(J1837=1,I1837="SBJ"),AND(J1837=1,I1837=0)),"?IN_FOCUS",IF(J1837&lt;=2,"?ACTIVATED",IF(J1837&lt;&gt;"","?FAMILIAR",IF(F1837="NEW",IF(ISNA(VLOOKUP(E1837,#REF!,1,FALSE())),"?TYPE_IDENTIFIABLE","?REFERENTIAL"),"_")))))</f>
        <v/>
      </c>
      <c r="H1837" s="27" t="str">
        <f aca="false">IF(J1837&lt;&gt;1,"",IF(I1837="SBJ","CB","?"))</f>
        <v/>
      </c>
      <c r="I1837" s="24" t="str">
        <f aca="false">IF(OR(E1837="",E1837="!!!",F1837="NEW"),"",INDEX(B12:B$1826,-1+SUMPRODUCT(MAX(ROW(E12:E$1826)*(E1837=E12:E$1826)))))</f>
        <v/>
      </c>
      <c r="J1837" s="24" t="str">
        <f aca="true">IF(OR(E1837="",E1837="!!!",F1837="NEW"),"",COUNTBLANK(OFFSET(A$1,,,SUMPRODUCT(MAX(ROW(E$2:E1837)*(E1837=E$2:E1837)))))-COUNTBLANK(OFFSET(A$1,,,SUMPRODUCT(MAX(ROW(E$1:E1836)*(E2=E$1:E1836))))))</f>
        <v/>
      </c>
      <c r="K1837" s="24" t="str">
        <f aca="false">IF(OR(E1837="",E1837="!!!",F1837="NEW"),"",INDEX(J$1:J1836,SUMPRODUCT(MAX(ROW(E$1:E1836)*(E1837=E$1:E1836)))))</f>
        <v/>
      </c>
      <c r="L1837" s="31"/>
    </row>
    <row r="1838" customFormat="false" ht="15" hidden="false" customHeight="false" outlineLevel="0" collapsed="false">
      <c r="A1838" s="20" t="s">
        <v>1780</v>
      </c>
      <c r="E1838" s="23" t="str">
        <f aca="false">IF(D1838="?OLD","!!!","")</f>
        <v/>
      </c>
      <c r="F1838" s="25" t="str">
        <f aca="false">IF(OR(E1838="",E1838="!!!"),"",IF(NOT(ISNA(VLOOKUP(E1838,E$1:E1837,1,FALSE()))),"OLD",IF(AND(E1838&lt;&gt;"",E1838&lt;&gt;"!!!"),"NEW","")))</f>
        <v/>
      </c>
      <c r="G1838" s="26" t="str">
        <f aca="false">IF(OR(E1838="",E1838="!!!"),"",IF(OR(J1838=0,AND(J1838=1,K1838=1),AND(J1838=1,I1838="SBJ"),AND(J1838=1,I1838=0)),"?IN_FOCUS",IF(J1838&lt;=2,"?ACTIVATED",IF(J1838&lt;&gt;"","?FAMILIAR",IF(F1838="NEW",IF(ISNA(VLOOKUP(E1838,#REF!,1,FALSE())),"?TYPE_IDENTIFIABLE","?REFERENTIAL"),"_")))))</f>
        <v/>
      </c>
      <c r="H1838" s="27" t="str">
        <f aca="false">IF(J1838&lt;&gt;1,"",IF(I1838="SBJ","CB","?"))</f>
        <v/>
      </c>
      <c r="I1838" s="24" t="str">
        <f aca="false">IF(OR(E1838="",E1838="!!!",F1838="NEW"),"",INDEX(B13:B$1826,-1+SUMPRODUCT(MAX(ROW(E13:E$1826)*(E1838=E13:E$1826)))))</f>
        <v/>
      </c>
      <c r="J1838" s="24" t="str">
        <f aca="true">IF(OR(E1838="",E1838="!!!",F1838="NEW"),"",COUNTBLANK(OFFSET(A$1,,,SUMPRODUCT(MAX(ROW(E$2:E1838)*(E1838=E$2:E1838)))))-COUNTBLANK(OFFSET(A$1,,,SUMPRODUCT(MAX(ROW(E$1:E1837)*(E2=E$1:E1837))))))</f>
        <v/>
      </c>
      <c r="K1838" s="24" t="str">
        <f aca="false">IF(OR(E1838="",E1838="!!!",F1838="NEW"),"",INDEX(J$1:J1837,SUMPRODUCT(MAX(ROW(E$1:E1837)*(E1838=E$1:E1837)))))</f>
        <v/>
      </c>
      <c r="L1838" s="31"/>
    </row>
    <row r="1839" customFormat="false" ht="15" hidden="false" customHeight="false" outlineLevel="0" collapsed="false">
      <c r="A1839" s="20" t="s">
        <v>1711</v>
      </c>
      <c r="B1839" s="22" t="s">
        <v>1105</v>
      </c>
      <c r="C1839" s="22" t="s">
        <v>1150</v>
      </c>
      <c r="D1839" s="22" t="s">
        <v>1060</v>
      </c>
      <c r="E1839" s="23" t="str">
        <f aca="false">IF(D1839="?OLD","!!!","")</f>
        <v>!!!</v>
      </c>
      <c r="F1839" s="25" t="str">
        <f aca="false">IF(OR(E1839="",E1839="!!!"),"",IF(NOT(ISNA(VLOOKUP(E1839,E$1:E1838,1,FALSE()))),"OLD",IF(AND(E1839&lt;&gt;"",E1839&lt;&gt;"!!!"),"NEW","")))</f>
        <v/>
      </c>
      <c r="G1839" s="26" t="str">
        <f aca="false">IF(OR(E1839="",E1839="!!!"),"",IF(OR(J1839=0,AND(J1839=1,K1839=1),AND(J1839=1,I1839="SBJ"),AND(J1839=1,I1839=0)),"?IN_FOCUS",IF(J1839&lt;=2,"?ACTIVATED",IF(J1839&lt;&gt;"","?FAMILIAR",IF(F1839="NEW",IF(ISNA(VLOOKUP(E1839,#REF!,1,FALSE())),"?TYPE_IDENTIFIABLE","?REFERENTIAL"),"_")))))</f>
        <v/>
      </c>
      <c r="H1839" s="27" t="str">
        <f aca="false">IF(J1839&lt;&gt;1,"",IF(I1839="SBJ","CB","?"))</f>
        <v/>
      </c>
      <c r="I1839" s="24" t="str">
        <f aca="false">IF(OR(E1839="",E1839="!!!",F1839="NEW"),"",INDEX(B14:B$1826,-1+SUMPRODUCT(MAX(ROW(E14:E$1826)*(E1839=E14:E$1826)))))</f>
        <v/>
      </c>
      <c r="J1839" s="24" t="str">
        <f aca="true">IF(OR(E1839="",E1839="!!!",F1839="NEW"),"",COUNTBLANK(OFFSET(A$1,,,SUMPRODUCT(MAX(ROW(E$2:E1839)*(E1839=E$2:E1839)))))-COUNTBLANK(OFFSET(A$1,,,SUMPRODUCT(MAX(ROW(E$1:E1838)*(E2=E$1:E1838))))))</f>
        <v/>
      </c>
      <c r="K1839" s="24" t="str">
        <f aca="false">IF(OR(E1839="",E1839="!!!",F1839="NEW"),"",INDEX(J$1:J1838,SUMPRODUCT(MAX(ROW(E$1:E1838)*(E1839=E$1:E1838)))))</f>
        <v/>
      </c>
      <c r="L1839" s="31"/>
    </row>
    <row r="1840" customFormat="false" ht="15" hidden="false" customHeight="false" outlineLevel="0" collapsed="false">
      <c r="A1840" s="20" t="s">
        <v>1173</v>
      </c>
      <c r="E1840" s="23" t="str">
        <f aca="false">IF(D1840="?OLD","!!!","")</f>
        <v/>
      </c>
      <c r="F1840" s="25" t="str">
        <f aca="false">IF(OR(E1840="",E1840="!!!"),"",IF(NOT(ISNA(VLOOKUP(E1840,E$1:E1839,1,FALSE()))),"OLD",IF(AND(E1840&lt;&gt;"",E1840&lt;&gt;"!!!"),"NEW","")))</f>
        <v/>
      </c>
      <c r="G1840" s="26" t="str">
        <f aca="false">IF(OR(E1840="",E1840="!!!"),"",IF(OR(J1840=0,AND(J1840=1,K1840=1),AND(J1840=1,I1840="SBJ"),AND(J1840=1,I1840=0)),"?IN_FOCUS",IF(J1840&lt;=2,"?ACTIVATED",IF(J1840&lt;&gt;"","?FAMILIAR",IF(F1840="NEW",IF(ISNA(VLOOKUP(E1840,#REF!,1,FALSE())),"?TYPE_IDENTIFIABLE","?REFERENTIAL"),"_")))))</f>
        <v/>
      </c>
      <c r="H1840" s="27" t="str">
        <f aca="false">IF(J1840&lt;&gt;1,"",IF(I1840="SBJ","CB","?"))</f>
        <v/>
      </c>
      <c r="I1840" s="24" t="str">
        <f aca="false">IF(OR(E1840="",E1840="!!!",F1840="NEW"),"",INDEX(B15:B$1826,-1+SUMPRODUCT(MAX(ROW(E15:E$1826)*(E1840=E15:E$1826)))))</f>
        <v/>
      </c>
      <c r="J1840" s="24" t="str">
        <f aca="true">IF(OR(E1840="",E1840="!!!",F1840="NEW"),"",COUNTBLANK(OFFSET(A$1,,,SUMPRODUCT(MAX(ROW(E$2:E1840)*(E1840=E$2:E1840)))))-COUNTBLANK(OFFSET(A$1,,,SUMPRODUCT(MAX(ROW(E$1:E1839)*(E2=E$1:E1839))))))</f>
        <v/>
      </c>
      <c r="K1840" s="24" t="str">
        <f aca="false">IF(OR(E1840="",E1840="!!!",F1840="NEW"),"",INDEX(J$1:J1839,SUMPRODUCT(MAX(ROW(E$1:E1839)*(E1840=E$1:E1839)))))</f>
        <v/>
      </c>
      <c r="L1840" s="31"/>
    </row>
    <row r="1841" customFormat="false" ht="15" hidden="false" customHeight="false" outlineLevel="0" collapsed="false">
      <c r="A1841" s="20" t="s">
        <v>1178</v>
      </c>
      <c r="B1841" s="22" t="s">
        <v>1105</v>
      </c>
      <c r="C1841" s="22" t="s">
        <v>1059</v>
      </c>
      <c r="D1841" s="22" t="s">
        <v>1060</v>
      </c>
      <c r="E1841" s="23" t="str">
        <f aca="false">IF(D1841="?OLD","!!!","")</f>
        <v>!!!</v>
      </c>
      <c r="F1841" s="25" t="str">
        <f aca="false">IF(OR(E1841="",E1841="!!!"),"",IF(NOT(ISNA(VLOOKUP(E1841,E$1:E1840,1,FALSE()))),"OLD",IF(AND(E1841&lt;&gt;"",E1841&lt;&gt;"!!!"),"NEW","")))</f>
        <v/>
      </c>
      <c r="G1841" s="26" t="str">
        <f aca="false">IF(OR(E1841="",E1841="!!!"),"",IF(OR(J1841=0,AND(J1841=1,K1841=1),AND(J1841=1,I1841="SBJ"),AND(J1841=1,I1841=0)),"?IN_FOCUS",IF(J1841&lt;=2,"?ACTIVATED",IF(J1841&lt;&gt;"","?FAMILIAR",IF(F1841="NEW",IF(ISNA(VLOOKUP(E1841,#REF!,1,FALSE())),"?TYPE_IDENTIFIABLE","?REFERENTIAL"),"_")))))</f>
        <v/>
      </c>
      <c r="H1841" s="27" t="str">
        <f aca="false">IF(J1841&lt;&gt;1,"",IF(I1841="SBJ","CB","?"))</f>
        <v/>
      </c>
      <c r="I1841" s="24" t="str">
        <f aca="false">IF(OR(E1841="",E1841="!!!",F1841="NEW"),"",INDEX(B16:B$1826,-1+SUMPRODUCT(MAX(ROW(E16:E$1826)*(E1841=E16:E$1826)))))</f>
        <v/>
      </c>
      <c r="J1841" s="24" t="str">
        <f aca="true">IF(OR(E1841="",E1841="!!!",F1841="NEW"),"",COUNTBLANK(OFFSET(A$1,,,SUMPRODUCT(MAX(ROW(E$2:E1841)*(E1841=E$2:E1841)))))-COUNTBLANK(OFFSET(A$1,,,SUMPRODUCT(MAX(ROW(E$1:E1840)*(E2=E$1:E1840))))))</f>
        <v/>
      </c>
      <c r="K1841" s="24" t="str">
        <f aca="false">IF(OR(E1841="",E1841="!!!",F1841="NEW"),"",INDEX(J$1:J1840,SUMPRODUCT(MAX(ROW(E$1:E1840)*(E1841=E$1:E1840)))))</f>
        <v/>
      </c>
      <c r="L1841" s="31"/>
    </row>
    <row r="1842" customFormat="false" ht="15" hidden="false" customHeight="false" outlineLevel="0" collapsed="false">
      <c r="A1842" s="20" t="s">
        <v>1064</v>
      </c>
      <c r="E1842" s="23" t="str">
        <f aca="false">IF(D1842="?OLD","!!!","")</f>
        <v/>
      </c>
      <c r="F1842" s="25" t="str">
        <f aca="false">IF(OR(E1842="",E1842="!!!"),"",IF(NOT(ISNA(VLOOKUP(E1842,E$1:E1841,1,FALSE()))),"OLD",IF(AND(E1842&lt;&gt;"",E1842&lt;&gt;"!!!"),"NEW","")))</f>
        <v/>
      </c>
      <c r="G1842" s="26" t="str">
        <f aca="false">IF(OR(E1842="",E1842="!!!"),"",IF(OR(J1842=0,AND(J1842=1,K1842=1),AND(J1842=1,I1842="SBJ"),AND(J1842=1,I1842=0)),"?IN_FOCUS",IF(J1842&lt;=2,"?ACTIVATED",IF(J1842&lt;&gt;"","?FAMILIAR",IF(F1842="NEW",IF(ISNA(VLOOKUP(E1842,#REF!,1,FALSE())),"?TYPE_IDENTIFIABLE","?REFERENTIAL"),"_")))))</f>
        <v/>
      </c>
      <c r="H1842" s="27" t="str">
        <f aca="false">IF(J1842&lt;&gt;1,"",IF(I1842="SBJ","CB","?"))</f>
        <v/>
      </c>
      <c r="I1842" s="24" t="str">
        <f aca="false">IF(OR(E1842="",E1842="!!!",F1842="NEW"),"",INDEX(B17:B$1826,-1+SUMPRODUCT(MAX(ROW(E17:E$1826)*(E1842=E17:E$1826)))))</f>
        <v/>
      </c>
      <c r="J1842" s="24" t="str">
        <f aca="true">IF(OR(E1842="",E1842="!!!",F1842="NEW"),"",COUNTBLANK(OFFSET(A$1,,,SUMPRODUCT(MAX(ROW(E$2:E1842)*(E1842=E$2:E1842)))))-COUNTBLANK(OFFSET(A$1,,,SUMPRODUCT(MAX(ROW(E$1:E1841)*(E2=E$1:E1841))))))</f>
        <v/>
      </c>
      <c r="K1842" s="24" t="str">
        <f aca="false">IF(OR(E1842="",E1842="!!!",F1842="NEW"),"",INDEX(J$1:J1841,SUMPRODUCT(MAX(ROW(E$1:E1841)*(E1842=E$1:E1841)))))</f>
        <v/>
      </c>
      <c r="L1842" s="31"/>
    </row>
    <row r="1843" customFormat="false" ht="15" hidden="false" customHeight="false" outlineLevel="0" collapsed="false">
      <c r="A1843" s="20" t="s">
        <v>1179</v>
      </c>
      <c r="B1843" s="22" t="s">
        <v>1073</v>
      </c>
      <c r="C1843" s="22" t="s">
        <v>1082</v>
      </c>
      <c r="D1843" s="22" t="s">
        <v>1060</v>
      </c>
      <c r="E1843" s="23" t="str">
        <f aca="false">IF(D1843="?OLD","!!!","")</f>
        <v>!!!</v>
      </c>
      <c r="F1843" s="25" t="str">
        <f aca="false">IF(OR(E1843="",E1843="!!!"),"",IF(NOT(ISNA(VLOOKUP(E1843,E$1:E1842,1,FALSE()))),"OLD",IF(AND(E1843&lt;&gt;"",E1843&lt;&gt;"!!!"),"NEW","")))</f>
        <v/>
      </c>
      <c r="G1843" s="26" t="str">
        <f aca="false">IF(OR(E1843="",E1843="!!!"),"",IF(OR(J1843=0,AND(J1843=1,K1843=1),AND(J1843=1,I1843="SBJ"),AND(J1843=1,I1843=0)),"?IN_FOCUS",IF(J1843&lt;=2,"?ACTIVATED",IF(J1843&lt;&gt;"","?FAMILIAR",IF(F1843="NEW",IF(ISNA(VLOOKUP(E1843,#REF!,1,FALSE())),"?TYPE_IDENTIFIABLE","?REFERENTIAL"),"_")))))</f>
        <v/>
      </c>
      <c r="H1843" s="27" t="str">
        <f aca="false">IF(J1843&lt;&gt;1,"",IF(I1843="SBJ","CB","?"))</f>
        <v/>
      </c>
      <c r="I1843" s="24" t="str">
        <f aca="false">IF(OR(E1843="",E1843="!!!",F1843="NEW"),"",INDEX(B18:B$1826,-1+SUMPRODUCT(MAX(ROW(E18:E$1826)*(E1843=E18:E$1826)))))</f>
        <v/>
      </c>
      <c r="J1843" s="24" t="str">
        <f aca="true">IF(OR(E1843="",E1843="!!!",F1843="NEW"),"",COUNTBLANK(OFFSET(A$1,,,SUMPRODUCT(MAX(ROW(E$2:E1843)*(E1843=E$2:E1843)))))-COUNTBLANK(OFFSET(A$1,,,SUMPRODUCT(MAX(ROW(E$1:E1842)*(E2=E$1:E1842))))))</f>
        <v/>
      </c>
      <c r="K1843" s="24" t="str">
        <f aca="false">IF(OR(E1843="",E1843="!!!",F1843="NEW"),"",INDEX(J$1:J1842,SUMPRODUCT(MAX(ROW(E$1:E1842)*(E1843=E$1:E1842)))))</f>
        <v/>
      </c>
      <c r="L1843" s="31"/>
    </row>
    <row r="1844" customFormat="false" ht="15" hidden="false" customHeight="false" outlineLevel="0" collapsed="false">
      <c r="A1844" s="20" t="s">
        <v>923</v>
      </c>
      <c r="E1844" s="23" t="str">
        <f aca="false">IF(D1844="?OLD","!!!","")</f>
        <v/>
      </c>
      <c r="F1844" s="25" t="str">
        <f aca="false">IF(OR(E1844="",E1844="!!!"),"",IF(NOT(ISNA(VLOOKUP(E1844,E$1:E1843,1,FALSE()))),"OLD",IF(AND(E1844&lt;&gt;"",E1844&lt;&gt;"!!!"),"NEW","")))</f>
        <v/>
      </c>
      <c r="G1844" s="26" t="str">
        <f aca="false">IF(OR(E1844="",E1844="!!!"),"",IF(OR(J1844=0,AND(J1844=1,K1844=1),AND(J1844=1,I1844="SBJ"),AND(J1844=1,I1844=0)),"?IN_FOCUS",IF(J1844&lt;=2,"?ACTIVATED",IF(J1844&lt;&gt;"","?FAMILIAR",IF(F1844="NEW",IF(ISNA(VLOOKUP(E1844,#REF!,1,FALSE())),"?TYPE_IDENTIFIABLE","?REFERENTIAL"),"_")))))</f>
        <v/>
      </c>
      <c r="H1844" s="27" t="str">
        <f aca="false">IF(J1844&lt;&gt;1,"",IF(I1844="SBJ","CB","?"))</f>
        <v/>
      </c>
      <c r="I1844" s="24" t="str">
        <f aca="false">IF(OR(E1844="",E1844="!!!",F1844="NEW"),"",INDEX(B19:B$1826,-1+SUMPRODUCT(MAX(ROW(E19:E$1826)*(E1844=E19:E$1826)))))</f>
        <v/>
      </c>
      <c r="J1844" s="24" t="str">
        <f aca="true">IF(OR(E1844="",E1844="!!!",F1844="NEW"),"",COUNTBLANK(OFFSET(A$1,,,SUMPRODUCT(MAX(ROW(E$2:E1844)*(E1844=E$2:E1844)))))-COUNTBLANK(OFFSET(A$1,,,SUMPRODUCT(MAX(ROW(E$1:E1843)*(E2=E$1:E1843))))))</f>
        <v/>
      </c>
      <c r="K1844" s="24" t="str">
        <f aca="false">IF(OR(E1844="",E1844="!!!",F1844="NEW"),"",INDEX(J$1:J1843,SUMPRODUCT(MAX(ROW(E$1:E1843)*(E1844=E$1:E1843)))))</f>
        <v/>
      </c>
      <c r="L1844" s="31"/>
    </row>
    <row r="1845" customFormat="false" ht="15" hidden="false" customHeight="false" outlineLevel="0" collapsed="false">
      <c r="A1845" s="20"/>
    </row>
    <row r="1846" customFormat="false" ht="15" hidden="false" customHeight="false" outlineLevel="0" collapsed="false">
      <c r="A1846" s="20" t="s">
        <v>1781</v>
      </c>
    </row>
    <row r="1847" customFormat="false" ht="15" hidden="false" customHeight="false" outlineLevel="0" collapsed="false">
      <c r="A1847" s="20" t="s">
        <v>1148</v>
      </c>
      <c r="E1847" s="23" t="str">
        <f aca="false">IF(D1847="?OLD","!!!","")</f>
        <v/>
      </c>
      <c r="F1847" s="25" t="str">
        <f aca="false">IF(OR(E1847="",E1847="!!!"),"",IF(NOT(ISNA(VLOOKUP(E1847,E$1:E1846,1,FALSE()))),"OLD",IF(AND(E1847&lt;&gt;"",E1847&lt;&gt;"!!!"),"NEW","")))</f>
        <v/>
      </c>
      <c r="G1847" s="26" t="str">
        <f aca="false">IF(OR(E1847="",E1847="!!!"),"",IF(OR(J1847=0,AND(J1847=1,K1847=1),AND(J1847=1,I1847="SBJ"),AND(J1847=1,I1847=0)),"?IN_FOCUS",IF(J1847&lt;=2,"?ACTIVATED",IF(J1847&lt;&gt;"","?FAMILIAR",IF(F1847="NEW",IF(ISNA(VLOOKUP(E1847,#REF!,1,FALSE())),"?TYPE_IDENTIFIABLE","?REFERENTIAL"),"_")))))</f>
        <v/>
      </c>
      <c r="H1847" s="27" t="str">
        <f aca="false">IF(J1847&lt;&gt;1,"",IF(I1847="SBJ","CB","?"))</f>
        <v/>
      </c>
      <c r="I1847" s="24" t="str">
        <f aca="false">IF(OR(E1847="",E1847="!!!",F1847="NEW"),"",INDEX(B2:B$1846,-1+SUMPRODUCT(MAX(ROW(E2:E$1846)*(E1847=E2:E$1846)))))</f>
        <v/>
      </c>
      <c r="J1847" s="24" t="str">
        <f aca="true">IF(OR(E1847="",E1847="!!!",F1847="NEW"),"",COUNTBLANK(OFFSET(A$1,,,SUMPRODUCT(MAX(ROW(E$2:E1847)*(E1847=E$2:E1847)))))-COUNTBLANK(OFFSET(A$1,,,SUMPRODUCT(MAX(ROW(E$1:E1846)*(E2=E$1:E1846))))))</f>
        <v/>
      </c>
      <c r="K1847" s="24" t="str">
        <f aca="false">IF(OR(E1847="",E1847="!!!",F1847="NEW"),"",INDEX(J$1:J1846,SUMPRODUCT(MAX(ROW(E$1:E1846)*(E1847=E$1:E1846)))))</f>
        <v/>
      </c>
      <c r="L1847" s="31"/>
    </row>
    <row r="1848" customFormat="false" ht="15" hidden="false" customHeight="false" outlineLevel="0" collapsed="false">
      <c r="A1848" s="20" t="s">
        <v>1537</v>
      </c>
      <c r="B1848" s="22" t="s">
        <v>1058</v>
      </c>
      <c r="C1848" s="22" t="s">
        <v>1150</v>
      </c>
      <c r="D1848" s="22" t="s">
        <v>1060</v>
      </c>
      <c r="E1848" s="23" t="str">
        <f aca="false">IF(D1848="?OLD","!!!","")</f>
        <v>!!!</v>
      </c>
      <c r="F1848" s="25" t="str">
        <f aca="false">IF(OR(E1848="",E1848="!!!"),"",IF(NOT(ISNA(VLOOKUP(E1848,E$1:E1847,1,FALSE()))),"OLD",IF(AND(E1848&lt;&gt;"",E1848&lt;&gt;"!!!"),"NEW","")))</f>
        <v/>
      </c>
      <c r="G1848" s="26" t="str">
        <f aca="false">IF(OR(E1848="",E1848="!!!"),"",IF(OR(J1848=0,AND(J1848=1,K1848=1),AND(J1848=1,I1848="SBJ"),AND(J1848=1,I1848=0)),"?IN_FOCUS",IF(J1848&lt;=2,"?ACTIVATED",IF(J1848&lt;&gt;"","?FAMILIAR",IF(F1848="NEW",IF(ISNA(VLOOKUP(E1848,#REF!,1,FALSE())),"?TYPE_IDENTIFIABLE","?REFERENTIAL"),"_")))))</f>
        <v/>
      </c>
      <c r="H1848" s="27" t="str">
        <f aca="false">IF(J1848&lt;&gt;1,"",IF(I1848="SBJ","CB","?"))</f>
        <v/>
      </c>
      <c r="I1848" s="24" t="str">
        <f aca="false">IF(OR(E1848="",E1848="!!!",F1848="NEW"),"",INDEX(B3:B$1846,-1+SUMPRODUCT(MAX(ROW(E3:E$1846)*(E1848=E3:E$1846)))))</f>
        <v/>
      </c>
      <c r="J1848" s="24" t="str">
        <f aca="true">IF(OR(E1848="",E1848="!!!",F1848="NEW"),"",COUNTBLANK(OFFSET(A$1,,,SUMPRODUCT(MAX(ROW(E$2:E1848)*(E1848=E$2:E1848)))))-COUNTBLANK(OFFSET(A$1,,,SUMPRODUCT(MAX(ROW(E$1:E1847)*(E2=E$1:E1847))))))</f>
        <v/>
      </c>
      <c r="K1848" s="24" t="str">
        <f aca="false">IF(OR(E1848="",E1848="!!!",F1848="NEW"),"",INDEX(J$1:J1847,SUMPRODUCT(MAX(ROW(E$1:E1847)*(E1848=E$1:E1847)))))</f>
        <v/>
      </c>
      <c r="L1848" s="31"/>
    </row>
    <row r="1849" customFormat="false" ht="15" hidden="false" customHeight="false" outlineLevel="0" collapsed="false">
      <c r="A1849" s="20" t="s">
        <v>1782</v>
      </c>
      <c r="E1849" s="23" t="str">
        <f aca="false">IF(D1849="?OLD","!!!","")</f>
        <v/>
      </c>
      <c r="F1849" s="25" t="str">
        <f aca="false">IF(OR(E1849="",E1849="!!!"),"",IF(NOT(ISNA(VLOOKUP(E1849,E$1:E1848,1,FALSE()))),"OLD",IF(AND(E1849&lt;&gt;"",E1849&lt;&gt;"!!!"),"NEW","")))</f>
        <v/>
      </c>
      <c r="G1849" s="26" t="str">
        <f aca="false">IF(OR(E1849="",E1849="!!!"),"",IF(OR(J1849=0,AND(J1849=1,K1849=1),AND(J1849=1,I1849="SBJ"),AND(J1849=1,I1849=0)),"?IN_FOCUS",IF(J1849&lt;=2,"?ACTIVATED",IF(J1849&lt;&gt;"","?FAMILIAR",IF(F1849="NEW",IF(ISNA(VLOOKUP(E1849,#REF!,1,FALSE())),"?TYPE_IDENTIFIABLE","?REFERENTIAL"),"_")))))</f>
        <v/>
      </c>
      <c r="H1849" s="27" t="str">
        <f aca="false">IF(J1849&lt;&gt;1,"",IF(I1849="SBJ","CB","?"))</f>
        <v/>
      </c>
      <c r="I1849" s="24" t="str">
        <f aca="false">IF(OR(E1849="",E1849="!!!",F1849="NEW"),"",INDEX(B4:B$1846,-1+SUMPRODUCT(MAX(ROW(E4:E$1846)*(E1849=E4:E$1846)))))</f>
        <v/>
      </c>
      <c r="J1849" s="24" t="str">
        <f aca="true">IF(OR(E1849="",E1849="!!!",F1849="NEW"),"",COUNTBLANK(OFFSET(A$1,,,SUMPRODUCT(MAX(ROW(E$2:E1849)*(E1849=E$2:E1849)))))-COUNTBLANK(OFFSET(A$1,,,SUMPRODUCT(MAX(ROW(E$1:E1848)*(E2=E$1:E1848))))))</f>
        <v/>
      </c>
      <c r="K1849" s="24" t="str">
        <f aca="false">IF(OR(E1849="",E1849="!!!",F1849="NEW"),"",INDEX(J$1:J1848,SUMPRODUCT(MAX(ROW(E$1:E1848)*(E1849=E$1:E1848)))))</f>
        <v/>
      </c>
      <c r="L1849" s="31"/>
    </row>
    <row r="1850" customFormat="false" ht="15" hidden="false" customHeight="false" outlineLevel="0" collapsed="false">
      <c r="A1850" s="20" t="s">
        <v>1783</v>
      </c>
      <c r="B1850" s="22" t="s">
        <v>1081</v>
      </c>
      <c r="C1850" s="22" t="s">
        <v>1160</v>
      </c>
      <c r="E1850" s="23" t="str">
        <f aca="false">IF(D1850="?OLD","!!!","")</f>
        <v/>
      </c>
      <c r="F1850" s="25" t="str">
        <f aca="false">IF(OR(E1850="",E1850="!!!"),"",IF(NOT(ISNA(VLOOKUP(E1850,E$1:E1849,1,FALSE()))),"OLD",IF(AND(E1850&lt;&gt;"",E1850&lt;&gt;"!!!"),"NEW","")))</f>
        <v/>
      </c>
      <c r="G1850" s="26" t="str">
        <f aca="false">IF(OR(E1850="",E1850="!!!"),"",IF(OR(J1850=0,AND(J1850=1,K1850=1),AND(J1850=1,I1850="SBJ"),AND(J1850=1,I1850=0)),"?IN_FOCUS",IF(J1850&lt;=2,"?ACTIVATED",IF(J1850&lt;&gt;"","?FAMILIAR",IF(F1850="NEW",IF(ISNA(VLOOKUP(E1850,#REF!,1,FALSE())),"?TYPE_IDENTIFIABLE","?REFERENTIAL"),"_")))))</f>
        <v/>
      </c>
      <c r="H1850" s="27" t="str">
        <f aca="false">IF(J1850&lt;&gt;1,"",IF(I1850="SBJ","CB","?"))</f>
        <v/>
      </c>
      <c r="I1850" s="24" t="str">
        <f aca="false">IF(OR(E1850="",E1850="!!!",F1850="NEW"),"",INDEX(B5:B$1846,-1+SUMPRODUCT(MAX(ROW(E5:E$1846)*(E1850=E5:E$1846)))))</f>
        <v/>
      </c>
      <c r="J1850" s="24" t="str">
        <f aca="true">IF(OR(E1850="",E1850="!!!",F1850="NEW"),"",COUNTBLANK(OFFSET(A$1,,,SUMPRODUCT(MAX(ROW(E$2:E1850)*(E1850=E$2:E1850)))))-COUNTBLANK(OFFSET(A$1,,,SUMPRODUCT(MAX(ROW(E$1:E1849)*(E2=E$1:E1849))))))</f>
        <v/>
      </c>
      <c r="K1850" s="24" t="str">
        <f aca="false">IF(OR(E1850="",E1850="!!!",F1850="NEW"),"",INDEX(J$1:J1849,SUMPRODUCT(MAX(ROW(E$1:E1849)*(E1850=E$1:E1849)))))</f>
        <v/>
      </c>
      <c r="L1850" s="31"/>
    </row>
    <row r="1851" customFormat="false" ht="15" hidden="false" customHeight="false" outlineLevel="0" collapsed="false">
      <c r="A1851" s="20" t="s">
        <v>1076</v>
      </c>
      <c r="E1851" s="23" t="str">
        <f aca="false">IF(D1851="?OLD","!!!","")</f>
        <v/>
      </c>
      <c r="F1851" s="25" t="str">
        <f aca="false">IF(OR(E1851="",E1851="!!!"),"",IF(NOT(ISNA(VLOOKUP(E1851,E$1:E1850,1,FALSE()))),"OLD",IF(AND(E1851&lt;&gt;"",E1851&lt;&gt;"!!!"),"NEW","")))</f>
        <v/>
      </c>
      <c r="G1851" s="26" t="str">
        <f aca="false">IF(OR(E1851="",E1851="!!!"),"",IF(OR(J1851=0,AND(J1851=1,K1851=1),AND(J1851=1,I1851="SBJ"),AND(J1851=1,I1851=0)),"?IN_FOCUS",IF(J1851&lt;=2,"?ACTIVATED",IF(J1851&lt;&gt;"","?FAMILIAR",IF(F1851="NEW",IF(ISNA(VLOOKUP(E1851,#REF!,1,FALSE())),"?TYPE_IDENTIFIABLE","?REFERENTIAL"),"_")))))</f>
        <v/>
      </c>
      <c r="H1851" s="27" t="str">
        <f aca="false">IF(J1851&lt;&gt;1,"",IF(I1851="SBJ","CB","?"))</f>
        <v/>
      </c>
      <c r="I1851" s="24" t="str">
        <f aca="false">IF(OR(E1851="",E1851="!!!",F1851="NEW"),"",INDEX(B6:B$1846,-1+SUMPRODUCT(MAX(ROW(E6:E$1846)*(E1851=E6:E$1846)))))</f>
        <v/>
      </c>
      <c r="J1851" s="24" t="str">
        <f aca="true">IF(OR(E1851="",E1851="!!!",F1851="NEW"),"",COUNTBLANK(OFFSET(A$1,,,SUMPRODUCT(MAX(ROW(E$2:E1851)*(E1851=E$2:E1851)))))-COUNTBLANK(OFFSET(A$1,,,SUMPRODUCT(MAX(ROW(E$1:E1850)*(E2=E$1:E1850))))))</f>
        <v/>
      </c>
      <c r="K1851" s="24" t="str">
        <f aca="false">IF(OR(E1851="",E1851="!!!",F1851="NEW"),"",INDEX(J$1:J1850,SUMPRODUCT(MAX(ROW(E$1:E1850)*(E1851=E$1:E1850)))))</f>
        <v/>
      </c>
      <c r="L1851" s="31"/>
    </row>
    <row r="1852" customFormat="false" ht="15" hidden="false" customHeight="false" outlineLevel="0" collapsed="false">
      <c r="A1852" s="20" t="s">
        <v>1128</v>
      </c>
      <c r="E1852" s="23" t="str">
        <f aca="false">IF(D1852="?OLD","!!!","")</f>
        <v/>
      </c>
      <c r="F1852" s="25" t="str">
        <f aca="false">IF(OR(E1852="",E1852="!!!"),"",IF(NOT(ISNA(VLOOKUP(E1852,E$1:E1851,1,FALSE()))),"OLD",IF(AND(E1852&lt;&gt;"",E1852&lt;&gt;"!!!"),"NEW","")))</f>
        <v/>
      </c>
      <c r="G1852" s="26" t="str">
        <f aca="false">IF(OR(E1852="",E1852="!!!"),"",IF(OR(J1852=0,AND(J1852=1,K1852=1),AND(J1852=1,I1852="SBJ"),AND(J1852=1,I1852=0)),"?IN_FOCUS",IF(J1852&lt;=2,"?ACTIVATED",IF(J1852&lt;&gt;"","?FAMILIAR",IF(F1852="NEW",IF(ISNA(VLOOKUP(E1852,#REF!,1,FALSE())),"?TYPE_IDENTIFIABLE","?REFERENTIAL"),"_")))))</f>
        <v/>
      </c>
      <c r="H1852" s="27" t="str">
        <f aca="false">IF(J1852&lt;&gt;1,"",IF(I1852="SBJ","CB","?"))</f>
        <v/>
      </c>
      <c r="I1852" s="24" t="str">
        <f aca="false">IF(OR(E1852="",E1852="!!!",F1852="NEW"),"",INDEX(B7:B$1846,-1+SUMPRODUCT(MAX(ROW(E7:E$1846)*(E1852=E7:E$1846)))))</f>
        <v/>
      </c>
      <c r="J1852" s="24" t="str">
        <f aca="true">IF(OR(E1852="",E1852="!!!",F1852="NEW"),"",COUNTBLANK(OFFSET(A$1,,,SUMPRODUCT(MAX(ROW(E$2:E1852)*(E1852=E$2:E1852)))))-COUNTBLANK(OFFSET(A$1,,,SUMPRODUCT(MAX(ROW(E$1:E1851)*(E2=E$1:E1851))))))</f>
        <v/>
      </c>
      <c r="K1852" s="24" t="str">
        <f aca="false">IF(OR(E1852="",E1852="!!!",F1852="NEW"),"",INDEX(J$1:J1851,SUMPRODUCT(MAX(ROW(E$1:E1851)*(E1852=E$1:E1851)))))</f>
        <v/>
      </c>
      <c r="L1852" s="31"/>
    </row>
    <row r="1853" customFormat="false" ht="15" hidden="false" customHeight="false" outlineLevel="0" collapsed="false">
      <c r="A1853" s="20" t="s">
        <v>1475</v>
      </c>
      <c r="E1853" s="23" t="str">
        <f aca="false">IF(D1853="?OLD","!!!","")</f>
        <v/>
      </c>
      <c r="F1853" s="25" t="str">
        <f aca="false">IF(OR(E1853="",E1853="!!!"),"",IF(NOT(ISNA(VLOOKUP(E1853,E$1:E1852,1,FALSE()))),"OLD",IF(AND(E1853&lt;&gt;"",E1853&lt;&gt;"!!!"),"NEW","")))</f>
        <v/>
      </c>
      <c r="G1853" s="26" t="str">
        <f aca="false">IF(OR(E1853="",E1853="!!!"),"",IF(OR(J1853=0,AND(J1853=1,K1853=1),AND(J1853=1,I1853="SBJ"),AND(J1853=1,I1853=0)),"?IN_FOCUS",IF(J1853&lt;=2,"?ACTIVATED",IF(J1853&lt;&gt;"","?FAMILIAR",IF(F1853="NEW",IF(ISNA(VLOOKUP(E1853,#REF!,1,FALSE())),"?TYPE_IDENTIFIABLE","?REFERENTIAL"),"_")))))</f>
        <v/>
      </c>
      <c r="H1853" s="27" t="str">
        <f aca="false">IF(J1853&lt;&gt;1,"",IF(I1853="SBJ","CB","?"))</f>
        <v/>
      </c>
      <c r="I1853" s="24" t="str">
        <f aca="false">IF(OR(E1853="",E1853="!!!",F1853="NEW"),"",INDEX(B8:B$1846,-1+SUMPRODUCT(MAX(ROW(E8:E$1846)*(E1853=E8:E$1846)))))</f>
        <v/>
      </c>
      <c r="J1853" s="24" t="str">
        <f aca="true">IF(OR(E1853="",E1853="!!!",F1853="NEW"),"",COUNTBLANK(OFFSET(A$1,,,SUMPRODUCT(MAX(ROW(E$2:E1853)*(E1853=E$2:E1853)))))-COUNTBLANK(OFFSET(A$1,,,SUMPRODUCT(MAX(ROW(E$1:E1852)*(E2=E$1:E1852))))))</f>
        <v/>
      </c>
      <c r="K1853" s="24" t="str">
        <f aca="false">IF(OR(E1853="",E1853="!!!",F1853="NEW"),"",INDEX(J$1:J1852,SUMPRODUCT(MAX(ROW(E$1:E1852)*(E1853=E$1:E1852)))))</f>
        <v/>
      </c>
      <c r="L1853" s="31"/>
    </row>
    <row r="1854" customFormat="false" ht="15" hidden="false" customHeight="false" outlineLevel="0" collapsed="false">
      <c r="A1854" s="20" t="s">
        <v>1109</v>
      </c>
      <c r="E1854" s="23" t="str">
        <f aca="false">IF(D1854="?OLD","!!!","")</f>
        <v/>
      </c>
      <c r="F1854" s="25" t="str">
        <f aca="false">IF(OR(E1854="",E1854="!!!"),"",IF(NOT(ISNA(VLOOKUP(E1854,E$1:E1853,1,FALSE()))),"OLD",IF(AND(E1854&lt;&gt;"",E1854&lt;&gt;"!!!"),"NEW","")))</f>
        <v/>
      </c>
      <c r="G1854" s="26" t="str">
        <f aca="false">IF(OR(E1854="",E1854="!!!"),"",IF(OR(J1854=0,AND(J1854=1,K1854=1),AND(J1854=1,I1854="SBJ"),AND(J1854=1,I1854=0)),"?IN_FOCUS",IF(J1854&lt;=2,"?ACTIVATED",IF(J1854&lt;&gt;"","?FAMILIAR",IF(F1854="NEW",IF(ISNA(VLOOKUP(E1854,#REF!,1,FALSE())),"?TYPE_IDENTIFIABLE","?REFERENTIAL"),"_")))))</f>
        <v/>
      </c>
      <c r="H1854" s="27" t="str">
        <f aca="false">IF(J1854&lt;&gt;1,"",IF(I1854="SBJ","CB","?"))</f>
        <v/>
      </c>
      <c r="I1854" s="24" t="str">
        <f aca="false">IF(OR(E1854="",E1854="!!!",F1854="NEW"),"",INDEX(B9:B$1846,-1+SUMPRODUCT(MAX(ROW(E9:E$1846)*(E1854=E9:E$1846)))))</f>
        <v/>
      </c>
      <c r="J1854" s="24" t="str">
        <f aca="true">IF(OR(E1854="",E1854="!!!",F1854="NEW"),"",COUNTBLANK(OFFSET(A$1,,,SUMPRODUCT(MAX(ROW(E$2:E1854)*(E1854=E$2:E1854)))))-COUNTBLANK(OFFSET(A$1,,,SUMPRODUCT(MAX(ROW(E$1:E1853)*(E2=E$1:E1853))))))</f>
        <v/>
      </c>
      <c r="K1854" s="24" t="str">
        <f aca="false">IF(OR(E1854="",E1854="!!!",F1854="NEW"),"",INDEX(J$1:J1853,SUMPRODUCT(MAX(ROW(E$1:E1853)*(E1854=E$1:E1853)))))</f>
        <v/>
      </c>
      <c r="L1854" s="31"/>
    </row>
    <row r="1855" customFormat="false" ht="15" hidden="false" customHeight="false" outlineLevel="0" collapsed="false">
      <c r="A1855" s="20" t="s">
        <v>1358</v>
      </c>
      <c r="B1855" s="22" t="s">
        <v>1105</v>
      </c>
      <c r="C1855" s="22" t="s">
        <v>1150</v>
      </c>
      <c r="D1855" s="22" t="s">
        <v>1060</v>
      </c>
      <c r="E1855" s="23" t="str">
        <f aca="false">IF(D1855="?OLD","!!!","")</f>
        <v>!!!</v>
      </c>
      <c r="F1855" s="25" t="str">
        <f aca="false">IF(OR(E1855="",E1855="!!!"),"",IF(NOT(ISNA(VLOOKUP(E1855,E$1:E1854,1,FALSE()))),"OLD",IF(AND(E1855&lt;&gt;"",E1855&lt;&gt;"!!!"),"NEW","")))</f>
        <v/>
      </c>
      <c r="G1855" s="26" t="str">
        <f aca="false">IF(OR(E1855="",E1855="!!!"),"",IF(OR(J1855=0,AND(J1855=1,K1855=1),AND(J1855=1,I1855="SBJ"),AND(J1855=1,I1855=0)),"?IN_FOCUS",IF(J1855&lt;=2,"?ACTIVATED",IF(J1855&lt;&gt;"","?FAMILIAR",IF(F1855="NEW",IF(ISNA(VLOOKUP(E1855,#REF!,1,FALSE())),"?TYPE_IDENTIFIABLE","?REFERENTIAL"),"_")))))</f>
        <v/>
      </c>
      <c r="H1855" s="27" t="str">
        <f aca="false">IF(J1855&lt;&gt;1,"",IF(I1855="SBJ","CB","?"))</f>
        <v/>
      </c>
      <c r="I1855" s="24" t="str">
        <f aca="false">IF(OR(E1855="",E1855="!!!",F1855="NEW"),"",INDEX(B10:B$1846,-1+SUMPRODUCT(MAX(ROW(E10:E$1846)*(E1855=E10:E$1846)))))</f>
        <v/>
      </c>
      <c r="J1855" s="24" t="str">
        <f aca="true">IF(OR(E1855="",E1855="!!!",F1855="NEW"),"",COUNTBLANK(OFFSET(A$1,,,SUMPRODUCT(MAX(ROW(E$2:E1855)*(E1855=E$2:E1855)))))-COUNTBLANK(OFFSET(A$1,,,SUMPRODUCT(MAX(ROW(E$1:E1854)*(E2=E$1:E1854))))))</f>
        <v/>
      </c>
      <c r="K1855" s="24" t="str">
        <f aca="false">IF(OR(E1855="",E1855="!!!",F1855="NEW"),"",INDEX(J$1:J1854,SUMPRODUCT(MAX(ROW(E$1:E1854)*(E1855=E$1:E1854)))))</f>
        <v/>
      </c>
      <c r="L1855" s="31"/>
    </row>
    <row r="1856" customFormat="false" ht="15" hidden="false" customHeight="false" outlineLevel="0" collapsed="false">
      <c r="A1856" s="20" t="s">
        <v>1076</v>
      </c>
      <c r="E1856" s="23" t="str">
        <f aca="false">IF(D1856="?OLD","!!!","")</f>
        <v/>
      </c>
      <c r="F1856" s="25" t="str">
        <f aca="false">IF(OR(E1856="",E1856="!!!"),"",IF(NOT(ISNA(VLOOKUP(E1856,E$1:E1855,1,FALSE()))),"OLD",IF(AND(E1856&lt;&gt;"",E1856&lt;&gt;"!!!"),"NEW","")))</f>
        <v/>
      </c>
      <c r="G1856" s="26" t="str">
        <f aca="false">IF(OR(E1856="",E1856="!!!"),"",IF(OR(J1856=0,AND(J1856=1,K1856=1),AND(J1856=1,I1856="SBJ"),AND(J1856=1,I1856=0)),"?IN_FOCUS",IF(J1856&lt;=2,"?ACTIVATED",IF(J1856&lt;&gt;"","?FAMILIAR",IF(F1856="NEW",IF(ISNA(VLOOKUP(E1856,#REF!,1,FALSE())),"?TYPE_IDENTIFIABLE","?REFERENTIAL"),"_")))))</f>
        <v/>
      </c>
      <c r="H1856" s="27" t="str">
        <f aca="false">IF(J1856&lt;&gt;1,"",IF(I1856="SBJ","CB","?"))</f>
        <v/>
      </c>
      <c r="I1856" s="24" t="str">
        <f aca="false">IF(OR(E1856="",E1856="!!!",F1856="NEW"),"",INDEX(B11:B$1846,-1+SUMPRODUCT(MAX(ROW(E11:E$1846)*(E1856=E11:E$1846)))))</f>
        <v/>
      </c>
      <c r="J1856" s="24" t="str">
        <f aca="true">IF(OR(E1856="",E1856="!!!",F1856="NEW"),"",COUNTBLANK(OFFSET(A$1,,,SUMPRODUCT(MAX(ROW(E$2:E1856)*(E1856=E$2:E1856)))))-COUNTBLANK(OFFSET(A$1,,,SUMPRODUCT(MAX(ROW(E$1:E1855)*(E2=E$1:E1855))))))</f>
        <v/>
      </c>
      <c r="K1856" s="24" t="str">
        <f aca="false">IF(OR(E1856="",E1856="!!!",F1856="NEW"),"",INDEX(J$1:J1855,SUMPRODUCT(MAX(ROW(E$1:E1855)*(E1856=E$1:E1855)))))</f>
        <v/>
      </c>
      <c r="L1856" s="31"/>
    </row>
    <row r="1857" customFormat="false" ht="15" hidden="false" customHeight="false" outlineLevel="0" collapsed="false">
      <c r="A1857" s="20" t="s">
        <v>1157</v>
      </c>
      <c r="E1857" s="23" t="str">
        <f aca="false">IF(D1857="?OLD","!!!","")</f>
        <v/>
      </c>
      <c r="F1857" s="25" t="str">
        <f aca="false">IF(OR(E1857="",E1857="!!!"),"",IF(NOT(ISNA(VLOOKUP(E1857,E$1:E1856,1,FALSE()))),"OLD",IF(AND(E1857&lt;&gt;"",E1857&lt;&gt;"!!!"),"NEW","")))</f>
        <v/>
      </c>
      <c r="G1857" s="26" t="str">
        <f aca="false">IF(OR(E1857="",E1857="!!!"),"",IF(OR(J1857=0,AND(J1857=1,K1857=1),AND(J1857=1,I1857="SBJ"),AND(J1857=1,I1857=0)),"?IN_FOCUS",IF(J1857&lt;=2,"?ACTIVATED",IF(J1857&lt;&gt;"","?FAMILIAR",IF(F1857="NEW",IF(ISNA(VLOOKUP(E1857,#REF!,1,FALSE())),"?TYPE_IDENTIFIABLE","?REFERENTIAL"),"_")))))</f>
        <v/>
      </c>
      <c r="H1857" s="27" t="str">
        <f aca="false">IF(J1857&lt;&gt;1,"",IF(I1857="SBJ","CB","?"))</f>
        <v/>
      </c>
      <c r="I1857" s="24" t="str">
        <f aca="false">IF(OR(E1857="",E1857="!!!",F1857="NEW"),"",INDEX(B12:B$1846,-1+SUMPRODUCT(MAX(ROW(E12:E$1846)*(E1857=E12:E$1846)))))</f>
        <v/>
      </c>
      <c r="J1857" s="24" t="str">
        <f aca="true">IF(OR(E1857="",E1857="!!!",F1857="NEW"),"",COUNTBLANK(OFFSET(A$1,,,SUMPRODUCT(MAX(ROW(E$2:E1857)*(E1857=E$2:E1857)))))-COUNTBLANK(OFFSET(A$1,,,SUMPRODUCT(MAX(ROW(E$1:E1856)*(E2=E$1:E1856))))))</f>
        <v/>
      </c>
      <c r="K1857" s="24" t="str">
        <f aca="false">IF(OR(E1857="",E1857="!!!",F1857="NEW"),"",INDEX(J$1:J1856,SUMPRODUCT(MAX(ROW(E$1:E1856)*(E1857=E$1:E1856)))))</f>
        <v/>
      </c>
      <c r="L1857" s="31"/>
    </row>
    <row r="1858" customFormat="false" ht="15" hidden="false" customHeight="false" outlineLevel="0" collapsed="false">
      <c r="A1858" s="20" t="s">
        <v>1475</v>
      </c>
      <c r="E1858" s="23" t="str">
        <f aca="false">IF(D1858="?OLD","!!!","")</f>
        <v/>
      </c>
      <c r="F1858" s="25" t="str">
        <f aca="false">IF(OR(E1858="",E1858="!!!"),"",IF(NOT(ISNA(VLOOKUP(E1858,E$1:E1857,1,FALSE()))),"OLD",IF(AND(E1858&lt;&gt;"",E1858&lt;&gt;"!!!"),"NEW","")))</f>
        <v/>
      </c>
      <c r="G1858" s="26" t="str">
        <f aca="false">IF(OR(E1858="",E1858="!!!"),"",IF(OR(J1858=0,AND(J1858=1,K1858=1),AND(J1858=1,I1858="SBJ"),AND(J1858=1,I1858=0)),"?IN_FOCUS",IF(J1858&lt;=2,"?ACTIVATED",IF(J1858&lt;&gt;"","?FAMILIAR",IF(F1858="NEW",IF(ISNA(VLOOKUP(E1858,#REF!,1,FALSE())),"?TYPE_IDENTIFIABLE","?REFERENTIAL"),"_")))))</f>
        <v/>
      </c>
      <c r="H1858" s="27" t="str">
        <f aca="false">IF(J1858&lt;&gt;1,"",IF(I1858="SBJ","CB","?"))</f>
        <v/>
      </c>
      <c r="I1858" s="24" t="str">
        <f aca="false">IF(OR(E1858="",E1858="!!!",F1858="NEW"),"",INDEX(B13:B$1846,-1+SUMPRODUCT(MAX(ROW(E13:E$1846)*(E1858=E13:E$1846)))))</f>
        <v/>
      </c>
      <c r="J1858" s="24" t="str">
        <f aca="true">IF(OR(E1858="",E1858="!!!",F1858="NEW"),"",COUNTBLANK(OFFSET(A$1,,,SUMPRODUCT(MAX(ROW(E$2:E1858)*(E1858=E$2:E1858)))))-COUNTBLANK(OFFSET(A$1,,,SUMPRODUCT(MAX(ROW(E$1:E1857)*(E2=E$1:E1857))))))</f>
        <v/>
      </c>
      <c r="K1858" s="24" t="str">
        <f aca="false">IF(OR(E1858="",E1858="!!!",F1858="NEW"),"",INDEX(J$1:J1857,SUMPRODUCT(MAX(ROW(E$1:E1857)*(E1858=E$1:E1857)))))</f>
        <v/>
      </c>
      <c r="L1858" s="31"/>
    </row>
    <row r="1859" customFormat="false" ht="15" hidden="false" customHeight="false" outlineLevel="0" collapsed="false">
      <c r="A1859" s="20" t="s">
        <v>1085</v>
      </c>
      <c r="E1859" s="23" t="str">
        <f aca="false">IF(D1859="?OLD","!!!","")</f>
        <v/>
      </c>
      <c r="F1859" s="25" t="str">
        <f aca="false">IF(OR(E1859="",E1859="!!!"),"",IF(NOT(ISNA(VLOOKUP(E1859,E$1:E1858,1,FALSE()))),"OLD",IF(AND(E1859&lt;&gt;"",E1859&lt;&gt;"!!!"),"NEW","")))</f>
        <v/>
      </c>
      <c r="G1859" s="26" t="str">
        <f aca="false">IF(OR(E1859="",E1859="!!!"),"",IF(OR(J1859=0,AND(J1859=1,K1859=1),AND(J1859=1,I1859="SBJ"),AND(J1859=1,I1859=0)),"?IN_FOCUS",IF(J1859&lt;=2,"?ACTIVATED",IF(J1859&lt;&gt;"","?FAMILIAR",IF(F1859="NEW",IF(ISNA(VLOOKUP(E1859,#REF!,1,FALSE())),"?TYPE_IDENTIFIABLE","?REFERENTIAL"),"_")))))</f>
        <v/>
      </c>
      <c r="H1859" s="27" t="str">
        <f aca="false">IF(J1859&lt;&gt;1,"",IF(I1859="SBJ","CB","?"))</f>
        <v/>
      </c>
      <c r="I1859" s="24" t="str">
        <f aca="false">IF(OR(E1859="",E1859="!!!",F1859="NEW"),"",INDEX(B14:B$1846,-1+SUMPRODUCT(MAX(ROW(E14:E$1846)*(E1859=E14:E$1846)))))</f>
        <v/>
      </c>
      <c r="J1859" s="24" t="str">
        <f aca="true">IF(OR(E1859="",E1859="!!!",F1859="NEW"),"",COUNTBLANK(OFFSET(A$1,,,SUMPRODUCT(MAX(ROW(E$2:E1859)*(E1859=E$2:E1859)))))-COUNTBLANK(OFFSET(A$1,,,SUMPRODUCT(MAX(ROW(E$1:E1858)*(E2=E$1:E1858))))))</f>
        <v/>
      </c>
      <c r="K1859" s="24" t="str">
        <f aca="false">IF(OR(E1859="",E1859="!!!",F1859="NEW"),"",INDEX(J$1:J1858,SUMPRODUCT(MAX(ROW(E$1:E1858)*(E1859=E$1:E1858)))))</f>
        <v/>
      </c>
      <c r="L1859" s="31"/>
    </row>
    <row r="1860" customFormat="false" ht="15" hidden="false" customHeight="false" outlineLevel="0" collapsed="false">
      <c r="A1860" s="20" t="s">
        <v>1784</v>
      </c>
      <c r="B1860" s="22" t="s">
        <v>1073</v>
      </c>
      <c r="C1860" s="22" t="s">
        <v>1087</v>
      </c>
      <c r="E1860" s="23" t="str">
        <f aca="false">IF(D1860="?OLD","!!!","")</f>
        <v/>
      </c>
      <c r="F1860" s="25" t="str">
        <f aca="false">IF(OR(E1860="",E1860="!!!"),"",IF(NOT(ISNA(VLOOKUP(E1860,E$1:E1859,1,FALSE()))),"OLD",IF(AND(E1860&lt;&gt;"",E1860&lt;&gt;"!!!"),"NEW","")))</f>
        <v/>
      </c>
      <c r="G1860" s="26" t="str">
        <f aca="false">IF(OR(E1860="",E1860="!!!"),"",IF(OR(J1860=0,AND(J1860=1,K1860=1),AND(J1860=1,I1860="SBJ"),AND(J1860=1,I1860=0)),"?IN_FOCUS",IF(J1860&lt;=2,"?ACTIVATED",IF(J1860&lt;&gt;"","?FAMILIAR",IF(F1860="NEW",IF(ISNA(VLOOKUP(E1860,#REF!,1,FALSE())),"?TYPE_IDENTIFIABLE","?REFERENTIAL"),"_")))))</f>
        <v/>
      </c>
      <c r="H1860" s="27" t="str">
        <f aca="false">IF(J1860&lt;&gt;1,"",IF(I1860="SBJ","CB","?"))</f>
        <v/>
      </c>
      <c r="I1860" s="24" t="str">
        <f aca="false">IF(OR(E1860="",E1860="!!!",F1860="NEW"),"",INDEX(B15:B$1846,-1+SUMPRODUCT(MAX(ROW(E15:E$1846)*(E1860=E15:E$1846)))))</f>
        <v/>
      </c>
      <c r="J1860" s="24" t="str">
        <f aca="true">IF(OR(E1860="",E1860="!!!",F1860="NEW"),"",COUNTBLANK(OFFSET(A$1,,,SUMPRODUCT(MAX(ROW(E$2:E1860)*(E1860=E$2:E1860)))))-COUNTBLANK(OFFSET(A$1,,,SUMPRODUCT(MAX(ROW(E$1:E1859)*(E2=E$1:E1859))))))</f>
        <v/>
      </c>
      <c r="K1860" s="24" t="str">
        <f aca="false">IF(OR(E1860="",E1860="!!!",F1860="NEW"),"",INDEX(J$1:J1859,SUMPRODUCT(MAX(ROW(E$1:E1859)*(E1860=E$1:E1859)))))</f>
        <v/>
      </c>
      <c r="L1860" s="31"/>
    </row>
    <row r="1861" customFormat="false" ht="15" hidden="false" customHeight="false" outlineLevel="0" collapsed="false">
      <c r="A1861" s="20" t="s">
        <v>1076</v>
      </c>
      <c r="E1861" s="23" t="str">
        <f aca="false">IF(D1861="?OLD","!!!","")</f>
        <v/>
      </c>
      <c r="F1861" s="25" t="str">
        <f aca="false">IF(OR(E1861="",E1861="!!!"),"",IF(NOT(ISNA(VLOOKUP(E1861,E$1:E1860,1,FALSE()))),"OLD",IF(AND(E1861&lt;&gt;"",E1861&lt;&gt;"!!!"),"NEW","")))</f>
        <v/>
      </c>
      <c r="G1861" s="26" t="str">
        <f aca="false">IF(OR(E1861="",E1861="!!!"),"",IF(OR(J1861=0,AND(J1861=1,K1861=1),AND(J1861=1,I1861="SBJ"),AND(J1861=1,I1861=0)),"?IN_FOCUS",IF(J1861&lt;=2,"?ACTIVATED",IF(J1861&lt;&gt;"","?FAMILIAR",IF(F1861="NEW",IF(ISNA(VLOOKUP(E1861,#REF!,1,FALSE())),"?TYPE_IDENTIFIABLE","?REFERENTIAL"),"_")))))</f>
        <v/>
      </c>
      <c r="H1861" s="27" t="str">
        <f aca="false">IF(J1861&lt;&gt;1,"",IF(I1861="SBJ","CB","?"))</f>
        <v/>
      </c>
      <c r="I1861" s="24" t="str">
        <f aca="false">IF(OR(E1861="",E1861="!!!",F1861="NEW"),"",INDEX(B16:B$1846,-1+SUMPRODUCT(MAX(ROW(E16:E$1846)*(E1861=E16:E$1846)))))</f>
        <v/>
      </c>
      <c r="J1861" s="24" t="str">
        <f aca="true">IF(OR(E1861="",E1861="!!!",F1861="NEW"),"",COUNTBLANK(OFFSET(A$1,,,SUMPRODUCT(MAX(ROW(E$2:E1861)*(E1861=E$2:E1861)))))-COUNTBLANK(OFFSET(A$1,,,SUMPRODUCT(MAX(ROW(E$1:E1860)*(E2=E$1:E1860))))))</f>
        <v/>
      </c>
      <c r="K1861" s="24" t="str">
        <f aca="false">IF(OR(E1861="",E1861="!!!",F1861="NEW"),"",INDEX(J$1:J1860,SUMPRODUCT(MAX(ROW(E$1:E1860)*(E1861=E$1:E1860)))))</f>
        <v/>
      </c>
      <c r="L1861" s="31"/>
    </row>
    <row r="1862" customFormat="false" ht="15" hidden="false" customHeight="false" outlineLevel="0" collapsed="false">
      <c r="A1862" s="20" t="s">
        <v>1555</v>
      </c>
      <c r="E1862" s="23" t="str">
        <f aca="false">IF(D1862="?OLD","!!!","")</f>
        <v/>
      </c>
      <c r="F1862" s="25" t="str">
        <f aca="false">IF(OR(E1862="",E1862="!!!"),"",IF(NOT(ISNA(VLOOKUP(E1862,E$1:E1861,1,FALSE()))),"OLD",IF(AND(E1862&lt;&gt;"",E1862&lt;&gt;"!!!"),"NEW","")))</f>
        <v/>
      </c>
      <c r="G1862" s="26" t="str">
        <f aca="false">IF(OR(E1862="",E1862="!!!"),"",IF(OR(J1862=0,AND(J1862=1,K1862=1),AND(J1862=1,I1862="SBJ"),AND(J1862=1,I1862=0)),"?IN_FOCUS",IF(J1862&lt;=2,"?ACTIVATED",IF(J1862&lt;&gt;"","?FAMILIAR",IF(F1862="NEW",IF(ISNA(VLOOKUP(E1862,#REF!,1,FALSE())),"?TYPE_IDENTIFIABLE","?REFERENTIAL"),"_")))))</f>
        <v/>
      </c>
      <c r="H1862" s="27" t="str">
        <f aca="false">IF(J1862&lt;&gt;1,"",IF(I1862="SBJ","CB","?"))</f>
        <v/>
      </c>
      <c r="I1862" s="24" t="str">
        <f aca="false">IF(OR(E1862="",E1862="!!!",F1862="NEW"),"",INDEX(B17:B$1846,-1+SUMPRODUCT(MAX(ROW(E17:E$1846)*(E1862=E17:E$1846)))))</f>
        <v/>
      </c>
      <c r="J1862" s="24" t="str">
        <f aca="true">IF(OR(E1862="",E1862="!!!",F1862="NEW"),"",COUNTBLANK(OFFSET(A$1,,,SUMPRODUCT(MAX(ROW(E$2:E1862)*(E1862=E$2:E1862)))))-COUNTBLANK(OFFSET(A$1,,,SUMPRODUCT(MAX(ROW(E$1:E1861)*(E2=E$1:E1861))))))</f>
        <v/>
      </c>
      <c r="K1862" s="24" t="str">
        <f aca="false">IF(OR(E1862="",E1862="!!!",F1862="NEW"),"",INDEX(J$1:J1861,SUMPRODUCT(MAX(ROW(E$1:E1861)*(E1862=E$1:E1861)))))</f>
        <v/>
      </c>
      <c r="L1862" s="31"/>
    </row>
    <row r="1863" customFormat="false" ht="15" hidden="false" customHeight="false" outlineLevel="0" collapsed="false">
      <c r="A1863" s="20" t="s">
        <v>1785</v>
      </c>
      <c r="E1863" s="23" t="str">
        <f aca="false">IF(D1863="?OLD","!!!","")</f>
        <v/>
      </c>
      <c r="F1863" s="25" t="str">
        <f aca="false">IF(OR(E1863="",E1863="!!!"),"",IF(NOT(ISNA(VLOOKUP(E1863,E$1:E1862,1,FALSE()))),"OLD",IF(AND(E1863&lt;&gt;"",E1863&lt;&gt;"!!!"),"NEW","")))</f>
        <v/>
      </c>
      <c r="G1863" s="26" t="str">
        <f aca="false">IF(OR(E1863="",E1863="!!!"),"",IF(OR(J1863=0,AND(J1863=1,K1863=1),AND(J1863=1,I1863="SBJ"),AND(J1863=1,I1863=0)),"?IN_FOCUS",IF(J1863&lt;=2,"?ACTIVATED",IF(J1863&lt;&gt;"","?FAMILIAR",IF(F1863="NEW",IF(ISNA(VLOOKUP(E1863,#REF!,1,FALSE())),"?TYPE_IDENTIFIABLE","?REFERENTIAL"),"_")))))</f>
        <v/>
      </c>
      <c r="H1863" s="27" t="str">
        <f aca="false">IF(J1863&lt;&gt;1,"",IF(I1863="SBJ","CB","?"))</f>
        <v/>
      </c>
      <c r="I1863" s="24" t="str">
        <f aca="false">IF(OR(E1863="",E1863="!!!",F1863="NEW"),"",INDEX(B18:B$1846,-1+SUMPRODUCT(MAX(ROW(E18:E$1846)*(E1863=E18:E$1846)))))</f>
        <v/>
      </c>
      <c r="J1863" s="24" t="str">
        <f aca="true">IF(OR(E1863="",E1863="!!!",F1863="NEW"),"",COUNTBLANK(OFFSET(A$1,,,SUMPRODUCT(MAX(ROW(E$2:E1863)*(E1863=E$2:E1863)))))-COUNTBLANK(OFFSET(A$1,,,SUMPRODUCT(MAX(ROW(E$1:E1862)*(E2=E$1:E1862))))))</f>
        <v/>
      </c>
      <c r="K1863" s="24" t="str">
        <f aca="false">IF(OR(E1863="",E1863="!!!",F1863="NEW"),"",INDEX(J$1:J1862,SUMPRODUCT(MAX(ROW(E$1:E1862)*(E1863=E$1:E1862)))))</f>
        <v/>
      </c>
      <c r="L1863" s="31"/>
    </row>
    <row r="1864" customFormat="false" ht="15" hidden="false" customHeight="false" outlineLevel="0" collapsed="false">
      <c r="A1864" s="20" t="s">
        <v>1109</v>
      </c>
      <c r="E1864" s="23" t="str">
        <f aca="false">IF(D1864="?OLD","!!!","")</f>
        <v/>
      </c>
      <c r="F1864" s="25" t="str">
        <f aca="false">IF(OR(E1864="",E1864="!!!"),"",IF(NOT(ISNA(VLOOKUP(E1864,E$1:E1863,1,FALSE()))),"OLD",IF(AND(E1864&lt;&gt;"",E1864&lt;&gt;"!!!"),"NEW","")))</f>
        <v/>
      </c>
      <c r="G1864" s="26" t="str">
        <f aca="false">IF(OR(E1864="",E1864="!!!"),"",IF(OR(J1864=0,AND(J1864=1,K1864=1),AND(J1864=1,I1864="SBJ"),AND(J1864=1,I1864=0)),"?IN_FOCUS",IF(J1864&lt;=2,"?ACTIVATED",IF(J1864&lt;&gt;"","?FAMILIAR",IF(F1864="NEW",IF(ISNA(VLOOKUP(E1864,#REF!,1,FALSE())),"?TYPE_IDENTIFIABLE","?REFERENTIAL"),"_")))))</f>
        <v/>
      </c>
      <c r="H1864" s="27" t="str">
        <f aca="false">IF(J1864&lt;&gt;1,"",IF(I1864="SBJ","CB","?"))</f>
        <v/>
      </c>
      <c r="I1864" s="24" t="str">
        <f aca="false">IF(OR(E1864="",E1864="!!!",F1864="NEW"),"",INDEX(B19:B$1846,-1+SUMPRODUCT(MAX(ROW(E19:E$1846)*(E1864=E19:E$1846)))))</f>
        <v/>
      </c>
      <c r="J1864" s="24" t="str">
        <f aca="true">IF(OR(E1864="",E1864="!!!",F1864="NEW"),"",COUNTBLANK(OFFSET(A$1,,,SUMPRODUCT(MAX(ROW(E$2:E1864)*(E1864=E$2:E1864)))))-COUNTBLANK(OFFSET(A$1,,,SUMPRODUCT(MAX(ROW(E$1:E1863)*(E2=E$1:E1863))))))</f>
        <v/>
      </c>
      <c r="K1864" s="24" t="str">
        <f aca="false">IF(OR(E1864="",E1864="!!!",F1864="NEW"),"",INDEX(J$1:J1863,SUMPRODUCT(MAX(ROW(E$1:E1863)*(E1864=E$1:E1863)))))</f>
        <v/>
      </c>
      <c r="L1864" s="31"/>
    </row>
    <row r="1865" customFormat="false" ht="15" hidden="false" customHeight="false" outlineLevel="0" collapsed="false">
      <c r="A1865" s="20" t="s">
        <v>1786</v>
      </c>
      <c r="B1865" s="22" t="s">
        <v>1142</v>
      </c>
      <c r="C1865" s="22" t="s">
        <v>1150</v>
      </c>
      <c r="D1865" s="22" t="s">
        <v>1060</v>
      </c>
      <c r="E1865" s="23" t="str">
        <f aca="false">IF(D1865="?OLD","!!!","")</f>
        <v>!!!</v>
      </c>
      <c r="F1865" s="25" t="str">
        <f aca="false">IF(OR(E1865="",E1865="!!!"),"",IF(NOT(ISNA(VLOOKUP(E1865,E$1:E1864,1,FALSE()))),"OLD",IF(AND(E1865&lt;&gt;"",E1865&lt;&gt;"!!!"),"NEW","")))</f>
        <v/>
      </c>
      <c r="G1865" s="26" t="str">
        <f aca="false">IF(OR(E1865="",E1865="!!!"),"",IF(OR(J1865=0,AND(J1865=1,K1865=1),AND(J1865=1,I1865="SBJ"),AND(J1865=1,I1865=0)),"?IN_FOCUS",IF(J1865&lt;=2,"?ACTIVATED",IF(J1865&lt;&gt;"","?FAMILIAR",IF(F1865="NEW",IF(ISNA(VLOOKUP(E1865,#REF!,1,FALSE())),"?TYPE_IDENTIFIABLE","?REFERENTIAL"),"_")))))</f>
        <v/>
      </c>
      <c r="H1865" s="27" t="str">
        <f aca="false">IF(J1865&lt;&gt;1,"",IF(I1865="SBJ","CB","?"))</f>
        <v/>
      </c>
      <c r="I1865" s="24" t="str">
        <f aca="false">IF(OR(E1865="",E1865="!!!",F1865="NEW"),"",INDEX(B20:B$1846,-1+SUMPRODUCT(MAX(ROW(E20:E$1846)*(E1865=E20:E$1846)))))</f>
        <v/>
      </c>
      <c r="J1865" s="24" t="str">
        <f aca="true">IF(OR(E1865="",E1865="!!!",F1865="NEW"),"",COUNTBLANK(OFFSET(A$1,,,SUMPRODUCT(MAX(ROW(E$2:E1865)*(E1865=E$2:E1865)))))-COUNTBLANK(OFFSET(A$1,,,SUMPRODUCT(MAX(ROW(E$1:E1864)*(E2=E$1:E1864))))))</f>
        <v/>
      </c>
      <c r="K1865" s="24" t="str">
        <f aca="false">IF(OR(E1865="",E1865="!!!",F1865="NEW"),"",INDEX(J$1:J1864,SUMPRODUCT(MAX(ROW(E$1:E1864)*(E1865=E$1:E1864)))))</f>
        <v/>
      </c>
      <c r="L1865" s="31"/>
    </row>
    <row r="1866" customFormat="false" ht="15" hidden="false" customHeight="false" outlineLevel="0" collapsed="false">
      <c r="A1866" s="20" t="s">
        <v>1787</v>
      </c>
      <c r="B1866" s="22" t="s">
        <v>1102</v>
      </c>
      <c r="E1866" s="23" t="str">
        <f aca="false">IF(D1866="?OLD","!!!","")</f>
        <v/>
      </c>
      <c r="F1866" s="25" t="str">
        <f aca="false">IF(OR(E1866="",E1866="!!!"),"",IF(NOT(ISNA(VLOOKUP(E1866,E$1:E1865,1,FALSE()))),"OLD",IF(AND(E1866&lt;&gt;"",E1866&lt;&gt;"!!!"),"NEW","")))</f>
        <v/>
      </c>
      <c r="G1866" s="26" t="str">
        <f aca="false">IF(OR(E1866="",E1866="!!!"),"",IF(OR(J1866=0,AND(J1866=1,K1866=1),AND(J1866=1,I1866="SBJ"),AND(J1866=1,I1866=0)),"?IN_FOCUS",IF(J1866&lt;=2,"?ACTIVATED",IF(J1866&lt;&gt;"","?FAMILIAR",IF(F1866="NEW",IF(ISNA(VLOOKUP(E1866,#REF!,1,FALSE())),"?TYPE_IDENTIFIABLE","?REFERENTIAL"),"_")))))</f>
        <v/>
      </c>
      <c r="H1866" s="27" t="str">
        <f aca="false">IF(J1866&lt;&gt;1,"",IF(I1866="SBJ","CB","?"))</f>
        <v/>
      </c>
      <c r="I1866" s="24" t="str">
        <f aca="false">IF(OR(E1866="",E1866="!!!",F1866="NEW"),"",INDEX(B21:B$1846,-1+SUMPRODUCT(MAX(ROW(E21:E$1846)*(E1866=E21:E$1846)))))</f>
        <v/>
      </c>
      <c r="J1866" s="24" t="str">
        <f aca="true">IF(OR(E1866="",E1866="!!!",F1866="NEW"),"",COUNTBLANK(OFFSET(A$1,,,SUMPRODUCT(MAX(ROW(E$2:E1866)*(E1866=E$2:E1866)))))-COUNTBLANK(OFFSET(A$1,,,SUMPRODUCT(MAX(ROW(E$1:E1865)*(E2=E$1:E1865))))))</f>
        <v/>
      </c>
      <c r="K1866" s="24" t="str">
        <f aca="false">IF(OR(E1866="",E1866="!!!",F1866="NEW"),"",INDEX(J$1:J1865,SUMPRODUCT(MAX(ROW(E$1:E1865)*(E1866=E$1:E1865)))))</f>
        <v/>
      </c>
      <c r="L1866" s="31"/>
    </row>
    <row r="1867" customFormat="false" ht="15" hidden="false" customHeight="false" outlineLevel="0" collapsed="false">
      <c r="A1867" s="20" t="s">
        <v>1186</v>
      </c>
      <c r="B1867" s="22" t="s">
        <v>1197</v>
      </c>
      <c r="C1867" s="22" t="s">
        <v>1082</v>
      </c>
      <c r="D1867" s="22" t="s">
        <v>1060</v>
      </c>
      <c r="E1867" s="23" t="str">
        <f aca="false">IF(D1867="?OLD","!!!","")</f>
        <v>!!!</v>
      </c>
      <c r="F1867" s="25" t="str">
        <f aca="false">IF(OR(E1867="",E1867="!!!"),"",IF(NOT(ISNA(VLOOKUP(E1867,E$1:E1866,1,FALSE()))),"OLD",IF(AND(E1867&lt;&gt;"",E1867&lt;&gt;"!!!"),"NEW","")))</f>
        <v/>
      </c>
      <c r="G1867" s="26" t="str">
        <f aca="false">IF(OR(E1867="",E1867="!!!"),"",IF(OR(J1867=0,AND(J1867=1,K1867=1),AND(J1867=1,I1867="SBJ"),AND(J1867=1,I1867=0)),"?IN_FOCUS",IF(J1867&lt;=2,"?ACTIVATED",IF(J1867&lt;&gt;"","?FAMILIAR",IF(F1867="NEW",IF(ISNA(VLOOKUP(E1867,#REF!,1,FALSE())),"?TYPE_IDENTIFIABLE","?REFERENTIAL"),"_")))))</f>
        <v/>
      </c>
      <c r="H1867" s="27" t="str">
        <f aca="false">IF(J1867&lt;&gt;1,"",IF(I1867="SBJ","CB","?"))</f>
        <v/>
      </c>
      <c r="I1867" s="24" t="str">
        <f aca="false">IF(OR(E1867="",E1867="!!!",F1867="NEW"),"",INDEX(B22:B$1846,-1+SUMPRODUCT(MAX(ROW(E22:E$1846)*(E1867=E22:E$1846)))))</f>
        <v/>
      </c>
      <c r="J1867" s="24" t="str">
        <f aca="true">IF(OR(E1867="",E1867="!!!",F1867="NEW"),"",COUNTBLANK(OFFSET(A$1,,,SUMPRODUCT(MAX(ROW(E$2:E1867)*(E1867=E$2:E1867)))))-COUNTBLANK(OFFSET(A$1,,,SUMPRODUCT(MAX(ROW(E$1:E1866)*(E2=E$1:E1866))))))</f>
        <v/>
      </c>
      <c r="K1867" s="24" t="str">
        <f aca="false">IF(OR(E1867="",E1867="!!!",F1867="NEW"),"",INDEX(J$1:J1866,SUMPRODUCT(MAX(ROW(E$1:E1866)*(E1867=E$1:E1866)))))</f>
        <v/>
      </c>
      <c r="L1867" s="31"/>
    </row>
    <row r="1868" customFormat="false" ht="15" hidden="false" customHeight="false" outlineLevel="0" collapsed="false">
      <c r="A1868" s="20" t="s">
        <v>1135</v>
      </c>
      <c r="E1868" s="23" t="str">
        <f aca="false">IF(D1868="?OLD","!!!","")</f>
        <v/>
      </c>
      <c r="F1868" s="25" t="str">
        <f aca="false">IF(OR(E1868="",E1868="!!!"),"",IF(NOT(ISNA(VLOOKUP(E1868,E$1:E1867,1,FALSE()))),"OLD",IF(AND(E1868&lt;&gt;"",E1868&lt;&gt;"!!!"),"NEW","")))</f>
        <v/>
      </c>
      <c r="G1868" s="26" t="str">
        <f aca="false">IF(OR(E1868="",E1868="!!!"),"",IF(OR(J1868=0,AND(J1868=1,K1868=1),AND(J1868=1,I1868="SBJ"),AND(J1868=1,I1868=0)),"?IN_FOCUS",IF(J1868&lt;=2,"?ACTIVATED",IF(J1868&lt;&gt;"","?FAMILIAR",IF(F1868="NEW",IF(ISNA(VLOOKUP(E1868,#REF!,1,FALSE())),"?TYPE_IDENTIFIABLE","?REFERENTIAL"),"_")))))</f>
        <v/>
      </c>
      <c r="H1868" s="27" t="str">
        <f aca="false">IF(J1868&lt;&gt;1,"",IF(I1868="SBJ","CB","?"))</f>
        <v/>
      </c>
      <c r="I1868" s="24" t="str">
        <f aca="false">IF(OR(E1868="",E1868="!!!",F1868="NEW"),"",INDEX(B23:B$1846,-1+SUMPRODUCT(MAX(ROW(E23:E$1846)*(E1868=E23:E$1846)))))</f>
        <v/>
      </c>
      <c r="J1868" s="24" t="str">
        <f aca="true">IF(OR(E1868="",E1868="!!!",F1868="NEW"),"",COUNTBLANK(OFFSET(A$1,,,SUMPRODUCT(MAX(ROW(E$2:E1868)*(E1868=E$2:E1868)))))-COUNTBLANK(OFFSET(A$1,,,SUMPRODUCT(MAX(ROW(E$1:E1867)*(E2=E$1:E1867))))))</f>
        <v/>
      </c>
      <c r="K1868" s="24" t="str">
        <f aca="false">IF(OR(E1868="",E1868="!!!",F1868="NEW"),"",INDEX(J$1:J1867,SUMPRODUCT(MAX(ROW(E$1:E1867)*(E1868=E$1:E1867)))))</f>
        <v/>
      </c>
      <c r="L1868" s="31"/>
    </row>
    <row r="1869" customFormat="false" ht="15" hidden="false" customHeight="false" outlineLevel="0" collapsed="false">
      <c r="A1869" s="20" t="s">
        <v>1788</v>
      </c>
      <c r="E1869" s="23" t="str">
        <f aca="false">IF(D1869="?OLD","!!!","")</f>
        <v/>
      </c>
      <c r="F1869" s="25" t="str">
        <f aca="false">IF(OR(E1869="",E1869="!!!"),"",IF(NOT(ISNA(VLOOKUP(E1869,E$1:E1868,1,FALSE()))),"OLD",IF(AND(E1869&lt;&gt;"",E1869&lt;&gt;"!!!"),"NEW","")))</f>
        <v/>
      </c>
      <c r="G1869" s="26" t="str">
        <f aca="false">IF(OR(E1869="",E1869="!!!"),"",IF(OR(J1869=0,AND(J1869=1,K1869=1),AND(J1869=1,I1869="SBJ"),AND(J1869=1,I1869=0)),"?IN_FOCUS",IF(J1869&lt;=2,"?ACTIVATED",IF(J1869&lt;&gt;"","?FAMILIAR",IF(F1869="NEW",IF(ISNA(VLOOKUP(E1869,#REF!,1,FALSE())),"?TYPE_IDENTIFIABLE","?REFERENTIAL"),"_")))))</f>
        <v/>
      </c>
      <c r="H1869" s="27" t="str">
        <f aca="false">IF(J1869&lt;&gt;1,"",IF(I1869="SBJ","CB","?"))</f>
        <v/>
      </c>
      <c r="I1869" s="24" t="str">
        <f aca="false">IF(OR(E1869="",E1869="!!!",F1869="NEW"),"",INDEX(B24:B$1846,-1+SUMPRODUCT(MAX(ROW(E24:E$1846)*(E1869=E24:E$1846)))))</f>
        <v/>
      </c>
      <c r="J1869" s="24" t="str">
        <f aca="true">IF(OR(E1869="",E1869="!!!",F1869="NEW"),"",COUNTBLANK(OFFSET(A$1,,,SUMPRODUCT(MAX(ROW(E$2:E1869)*(E1869=E$2:E1869)))))-COUNTBLANK(OFFSET(A$1,,,SUMPRODUCT(MAX(ROW(E$1:E1868)*(E2=E$1:E1868))))))</f>
        <v/>
      </c>
      <c r="K1869" s="24" t="str">
        <f aca="false">IF(OR(E1869="",E1869="!!!",F1869="NEW"),"",INDEX(J$1:J1868,SUMPRODUCT(MAX(ROW(E$1:E1868)*(E1869=E$1:E1868)))))</f>
        <v/>
      </c>
      <c r="L1869" s="31"/>
    </row>
    <row r="1870" customFormat="false" ht="15" hidden="false" customHeight="false" outlineLevel="0" collapsed="false">
      <c r="A1870" s="20" t="s">
        <v>923</v>
      </c>
      <c r="E1870" s="23" t="str">
        <f aca="false">IF(D1870="?OLD","!!!","")</f>
        <v/>
      </c>
      <c r="F1870" s="25" t="str">
        <f aca="false">IF(OR(E1870="",E1870="!!!"),"",IF(NOT(ISNA(VLOOKUP(E1870,E$1:E1869,1,FALSE()))),"OLD",IF(AND(E1870&lt;&gt;"",E1870&lt;&gt;"!!!"),"NEW","")))</f>
        <v/>
      </c>
      <c r="G1870" s="26" t="str">
        <f aca="false">IF(OR(E1870="",E1870="!!!"),"",IF(OR(J1870=0,AND(J1870=1,K1870=1),AND(J1870=1,I1870="SBJ"),AND(J1870=1,I1870=0)),"?IN_FOCUS",IF(J1870&lt;=2,"?ACTIVATED",IF(J1870&lt;&gt;"","?FAMILIAR",IF(F1870="NEW",IF(ISNA(VLOOKUP(E1870,#REF!,1,FALSE())),"?TYPE_IDENTIFIABLE","?REFERENTIAL"),"_")))))</f>
        <v/>
      </c>
      <c r="H1870" s="27" t="str">
        <f aca="false">IF(J1870&lt;&gt;1,"",IF(I1870="SBJ","CB","?"))</f>
        <v/>
      </c>
      <c r="I1870" s="24" t="str">
        <f aca="false">IF(OR(E1870="",E1870="!!!",F1870="NEW"),"",INDEX(B25:B$1846,-1+SUMPRODUCT(MAX(ROW(E25:E$1846)*(E1870=E25:E$1846)))))</f>
        <v/>
      </c>
      <c r="J1870" s="24" t="str">
        <f aca="true">IF(OR(E1870="",E1870="!!!",F1870="NEW"),"",COUNTBLANK(OFFSET(A$1,,,SUMPRODUCT(MAX(ROW(E$2:E1870)*(E1870=E$2:E1870)))))-COUNTBLANK(OFFSET(A$1,,,SUMPRODUCT(MAX(ROW(E$1:E1869)*(E2=E$1:E1869))))))</f>
        <v/>
      </c>
      <c r="K1870" s="24" t="str">
        <f aca="false">IF(OR(E1870="",E1870="!!!",F1870="NEW"),"",INDEX(J$1:J1869,SUMPRODUCT(MAX(ROW(E$1:E1869)*(E1870=E$1:E1869)))))</f>
        <v/>
      </c>
      <c r="L1870" s="31"/>
    </row>
    <row r="1871" customFormat="false" ht="15" hidden="false" customHeight="false" outlineLevel="0" collapsed="false">
      <c r="A1871" s="20"/>
    </row>
    <row r="1872" customFormat="false" ht="15" hidden="false" customHeight="false" outlineLevel="0" collapsed="false">
      <c r="A1872" s="20" t="s">
        <v>1789</v>
      </c>
    </row>
    <row r="1873" customFormat="false" ht="15" hidden="false" customHeight="false" outlineLevel="0" collapsed="false">
      <c r="A1873" s="20" t="s">
        <v>1561</v>
      </c>
      <c r="B1873" s="22" t="s">
        <v>1058</v>
      </c>
      <c r="C1873" s="22" t="s">
        <v>1082</v>
      </c>
      <c r="D1873" s="22" t="s">
        <v>1060</v>
      </c>
      <c r="E1873" s="23" t="str">
        <f aca="false">IF(D1873="?OLD","!!!","")</f>
        <v>!!!</v>
      </c>
      <c r="F1873" s="25" t="str">
        <f aca="false">IF(OR(E1873="",E1873="!!!"),"",IF(NOT(ISNA(VLOOKUP(E1873,E$1:E1872,1,FALSE()))),"OLD",IF(AND(E1873&lt;&gt;"",E1873&lt;&gt;"!!!"),"NEW","")))</f>
        <v/>
      </c>
      <c r="G1873" s="26" t="str">
        <f aca="false">IF(OR(E1873="",E1873="!!!"),"",IF(OR(J1873=0,AND(J1873=1,K1873=1),AND(J1873=1,I1873="SBJ"),AND(J1873=1,I1873=0)),"?IN_FOCUS",IF(J1873&lt;=2,"?ACTIVATED",IF(J1873&lt;&gt;"","?FAMILIAR",IF(F1873="NEW",IF(ISNA(VLOOKUP(E1873,#REF!,1,FALSE())),"?TYPE_IDENTIFIABLE","?REFERENTIAL"),"_")))))</f>
        <v/>
      </c>
      <c r="H1873" s="27" t="str">
        <f aca="false">IF(J1873&lt;&gt;1,"",IF(I1873="SBJ","CB","?"))</f>
        <v/>
      </c>
      <c r="I1873" s="24" t="str">
        <f aca="false">IF(OR(E1873="",E1873="!!!",F1873="NEW"),"",INDEX(B2:B$1872,-1+SUMPRODUCT(MAX(ROW(E2:E$1872)*(E1873=E2:E$1872)))))</f>
        <v/>
      </c>
      <c r="J1873" s="24" t="str">
        <f aca="true">IF(OR(E1873="",E1873="!!!",F1873="NEW"),"",COUNTBLANK(OFFSET(A$1,,,SUMPRODUCT(MAX(ROW(E$2:E1873)*(E1873=E$2:E1873)))))-COUNTBLANK(OFFSET(A$1,,,SUMPRODUCT(MAX(ROW(E$1:E1872)*(E2=E$1:E1872))))))</f>
        <v/>
      </c>
      <c r="K1873" s="24" t="str">
        <f aca="false">IF(OR(E1873="",E1873="!!!",F1873="NEW"),"",INDEX(J$1:J1872,SUMPRODUCT(MAX(ROW(E$1:E1872)*(E1873=E$1:E1872)))))</f>
        <v/>
      </c>
      <c r="L1873" s="31"/>
    </row>
    <row r="1874" customFormat="false" ht="15" hidden="false" customHeight="false" outlineLevel="0" collapsed="false">
      <c r="A1874" s="20" t="s">
        <v>1503</v>
      </c>
      <c r="E1874" s="23" t="str">
        <f aca="false">IF(D1874="?OLD","!!!","")</f>
        <v/>
      </c>
      <c r="F1874" s="25" t="str">
        <f aca="false">IF(OR(E1874="",E1874="!!!"),"",IF(NOT(ISNA(VLOOKUP(E1874,E$1:E1873,1,FALSE()))),"OLD",IF(AND(E1874&lt;&gt;"",E1874&lt;&gt;"!!!"),"NEW","")))</f>
        <v/>
      </c>
      <c r="G1874" s="26" t="str">
        <f aca="false">IF(OR(E1874="",E1874="!!!"),"",IF(OR(J1874=0,AND(J1874=1,K1874=1),AND(J1874=1,I1874="SBJ"),AND(J1874=1,I1874=0)),"?IN_FOCUS",IF(J1874&lt;=2,"?ACTIVATED",IF(J1874&lt;&gt;"","?FAMILIAR",IF(F1874="NEW",IF(ISNA(VLOOKUP(E1874,#REF!,1,FALSE())),"?TYPE_IDENTIFIABLE","?REFERENTIAL"),"_")))))</f>
        <v/>
      </c>
      <c r="H1874" s="27" t="str">
        <f aca="false">IF(J1874&lt;&gt;1,"",IF(I1874="SBJ","CB","?"))</f>
        <v/>
      </c>
      <c r="I1874" s="24" t="str">
        <f aca="false">IF(OR(E1874="",E1874="!!!",F1874="NEW"),"",INDEX(B3:B$1872,-1+SUMPRODUCT(MAX(ROW(E3:E$1872)*(E1874=E3:E$1872)))))</f>
        <v/>
      </c>
      <c r="J1874" s="24" t="str">
        <f aca="true">IF(OR(E1874="",E1874="!!!",F1874="NEW"),"",COUNTBLANK(OFFSET(A$1,,,SUMPRODUCT(MAX(ROW(E$2:E1874)*(E1874=E$2:E1874)))))-COUNTBLANK(OFFSET(A$1,,,SUMPRODUCT(MAX(ROW(E$1:E1873)*(E2=E$1:E1873))))))</f>
        <v/>
      </c>
      <c r="K1874" s="24" t="str">
        <f aca="false">IF(OR(E1874="",E1874="!!!",F1874="NEW"),"",INDEX(J$1:J1873,SUMPRODUCT(MAX(ROW(E$1:E1873)*(E1874=E$1:E1873)))))</f>
        <v/>
      </c>
      <c r="L1874" s="31"/>
    </row>
    <row r="1875" customFormat="false" ht="15" hidden="false" customHeight="false" outlineLevel="0" collapsed="false">
      <c r="A1875" s="20" t="s">
        <v>1352</v>
      </c>
      <c r="E1875" s="23" t="str">
        <f aca="false">IF(D1875="?OLD","!!!","")</f>
        <v/>
      </c>
      <c r="F1875" s="25" t="str">
        <f aca="false">IF(OR(E1875="",E1875="!!!"),"",IF(NOT(ISNA(VLOOKUP(E1875,E$1:E1874,1,FALSE()))),"OLD",IF(AND(E1875&lt;&gt;"",E1875&lt;&gt;"!!!"),"NEW","")))</f>
        <v/>
      </c>
      <c r="G1875" s="26" t="str">
        <f aca="false">IF(OR(E1875="",E1875="!!!"),"",IF(OR(J1875=0,AND(J1875=1,K1875=1),AND(J1875=1,I1875="SBJ"),AND(J1875=1,I1875=0)),"?IN_FOCUS",IF(J1875&lt;=2,"?ACTIVATED",IF(J1875&lt;&gt;"","?FAMILIAR",IF(F1875="NEW",IF(ISNA(VLOOKUP(E1875,#REF!,1,FALSE())),"?TYPE_IDENTIFIABLE","?REFERENTIAL"),"_")))))</f>
        <v/>
      </c>
      <c r="H1875" s="27" t="str">
        <f aca="false">IF(J1875&lt;&gt;1,"",IF(I1875="SBJ","CB","?"))</f>
        <v/>
      </c>
      <c r="I1875" s="24" t="str">
        <f aca="false">IF(OR(E1875="",E1875="!!!",F1875="NEW"),"",INDEX(B4:B$1872,-1+SUMPRODUCT(MAX(ROW(E4:E$1872)*(E1875=E4:E$1872)))))</f>
        <v/>
      </c>
      <c r="J1875" s="24" t="str">
        <f aca="true">IF(OR(E1875="",E1875="!!!",F1875="NEW"),"",COUNTBLANK(OFFSET(A$1,,,SUMPRODUCT(MAX(ROW(E$2:E1875)*(E1875=E$2:E1875)))))-COUNTBLANK(OFFSET(A$1,,,SUMPRODUCT(MAX(ROW(E$1:E1874)*(E2=E$1:E1874))))))</f>
        <v/>
      </c>
      <c r="K1875" s="24" t="str">
        <f aca="false">IF(OR(E1875="",E1875="!!!",F1875="NEW"),"",INDEX(J$1:J1874,SUMPRODUCT(MAX(ROW(E$1:E1874)*(E1875=E$1:E1874)))))</f>
        <v/>
      </c>
      <c r="L1875" s="31"/>
    </row>
    <row r="1876" customFormat="false" ht="15" hidden="false" customHeight="false" outlineLevel="0" collapsed="false">
      <c r="A1876" s="20" t="s">
        <v>1137</v>
      </c>
      <c r="B1876" s="22" t="s">
        <v>1081</v>
      </c>
      <c r="C1876" s="22" t="s">
        <v>1082</v>
      </c>
      <c r="D1876" s="22" t="s">
        <v>1060</v>
      </c>
      <c r="E1876" s="23" t="str">
        <f aca="false">IF(D1876="?OLD","!!!","")</f>
        <v>!!!</v>
      </c>
      <c r="F1876" s="25" t="str">
        <f aca="false">IF(OR(E1876="",E1876="!!!"),"",IF(NOT(ISNA(VLOOKUP(E1876,E$1:E1875,1,FALSE()))),"OLD",IF(AND(E1876&lt;&gt;"",E1876&lt;&gt;"!!!"),"NEW","")))</f>
        <v/>
      </c>
      <c r="G1876" s="26" t="str">
        <f aca="false">IF(OR(E1876="",E1876="!!!"),"",IF(OR(J1876=0,AND(J1876=1,K1876=1),AND(J1876=1,I1876="SBJ"),AND(J1876=1,I1876=0)),"?IN_FOCUS",IF(J1876&lt;=2,"?ACTIVATED",IF(J1876&lt;&gt;"","?FAMILIAR",IF(F1876="NEW",IF(ISNA(VLOOKUP(E1876,#REF!,1,FALSE())),"?TYPE_IDENTIFIABLE","?REFERENTIAL"),"_")))))</f>
        <v/>
      </c>
      <c r="H1876" s="27" t="str">
        <f aca="false">IF(J1876&lt;&gt;1,"",IF(I1876="SBJ","CB","?"))</f>
        <v/>
      </c>
      <c r="I1876" s="24" t="str">
        <f aca="false">IF(OR(E1876="",E1876="!!!",F1876="NEW"),"",INDEX(B5:B$1872,-1+SUMPRODUCT(MAX(ROW(E5:E$1872)*(E1876=E5:E$1872)))))</f>
        <v/>
      </c>
      <c r="J1876" s="24" t="str">
        <f aca="true">IF(OR(E1876="",E1876="!!!",F1876="NEW"),"",COUNTBLANK(OFFSET(A$1,,,SUMPRODUCT(MAX(ROW(E$2:E1876)*(E1876=E$2:E1876)))))-COUNTBLANK(OFFSET(A$1,,,SUMPRODUCT(MAX(ROW(E$1:E1875)*(E2=E$1:E1875))))))</f>
        <v/>
      </c>
      <c r="K1876" s="24" t="str">
        <f aca="false">IF(OR(E1876="",E1876="!!!",F1876="NEW"),"",INDEX(J$1:J1875,SUMPRODUCT(MAX(ROW(E$1:E1875)*(E1876=E$1:E1875)))))</f>
        <v/>
      </c>
      <c r="L1876" s="31"/>
    </row>
    <row r="1877" customFormat="false" ht="15" hidden="false" customHeight="false" outlineLevel="0" collapsed="false">
      <c r="A1877" s="20" t="s">
        <v>1173</v>
      </c>
      <c r="E1877" s="23" t="str">
        <f aca="false">IF(D1877="?OLD","!!!","")</f>
        <v/>
      </c>
      <c r="F1877" s="25" t="str">
        <f aca="false">IF(OR(E1877="",E1877="!!!"),"",IF(NOT(ISNA(VLOOKUP(E1877,E$1:E1876,1,FALSE()))),"OLD",IF(AND(E1877&lt;&gt;"",E1877&lt;&gt;"!!!"),"NEW","")))</f>
        <v/>
      </c>
      <c r="G1877" s="26" t="str">
        <f aca="false">IF(OR(E1877="",E1877="!!!"),"",IF(OR(J1877=0,AND(J1877=1,K1877=1),AND(J1877=1,I1877="SBJ"),AND(J1877=1,I1877=0)),"?IN_FOCUS",IF(J1877&lt;=2,"?ACTIVATED",IF(J1877&lt;&gt;"","?FAMILIAR",IF(F1877="NEW",IF(ISNA(VLOOKUP(E1877,#REF!,1,FALSE())),"?TYPE_IDENTIFIABLE","?REFERENTIAL"),"_")))))</f>
        <v/>
      </c>
      <c r="H1877" s="27" t="str">
        <f aca="false">IF(J1877&lt;&gt;1,"",IF(I1877="SBJ","CB","?"))</f>
        <v/>
      </c>
      <c r="I1877" s="24" t="str">
        <f aca="false">IF(OR(E1877="",E1877="!!!",F1877="NEW"),"",INDEX(B6:B$1872,-1+SUMPRODUCT(MAX(ROW(E6:E$1872)*(E1877=E6:E$1872)))))</f>
        <v/>
      </c>
      <c r="J1877" s="24" t="str">
        <f aca="true">IF(OR(E1877="",E1877="!!!",F1877="NEW"),"",COUNTBLANK(OFFSET(A$1,,,SUMPRODUCT(MAX(ROW(E$2:E1877)*(E1877=E$2:E1877)))))-COUNTBLANK(OFFSET(A$1,,,SUMPRODUCT(MAX(ROW(E$1:E1876)*(E2=E$1:E1876))))))</f>
        <v/>
      </c>
      <c r="K1877" s="24" t="str">
        <f aca="false">IF(OR(E1877="",E1877="!!!",F1877="NEW"),"",INDEX(J$1:J1876,SUMPRODUCT(MAX(ROW(E$1:E1876)*(E1877=E$1:E1876)))))</f>
        <v/>
      </c>
      <c r="L1877" s="31"/>
    </row>
    <row r="1878" customFormat="false" ht="15" hidden="false" customHeight="false" outlineLevel="0" collapsed="false">
      <c r="A1878" s="20" t="s">
        <v>1129</v>
      </c>
      <c r="B1878" s="22" t="s">
        <v>1105</v>
      </c>
      <c r="C1878" s="22" t="s">
        <v>1160</v>
      </c>
      <c r="E1878" s="23" t="str">
        <f aca="false">IF(D1878="?OLD","!!!","")</f>
        <v/>
      </c>
      <c r="F1878" s="25" t="str">
        <f aca="false">IF(OR(E1878="",E1878="!!!"),"",IF(NOT(ISNA(VLOOKUP(E1878,E$1:E1877,1,FALSE()))),"OLD",IF(AND(E1878&lt;&gt;"",E1878&lt;&gt;"!!!"),"NEW","")))</f>
        <v/>
      </c>
      <c r="G1878" s="26" t="str">
        <f aca="false">IF(OR(E1878="",E1878="!!!"),"",IF(OR(J1878=0,AND(J1878=1,K1878=1),AND(J1878=1,I1878="SBJ"),AND(J1878=1,I1878=0)),"?IN_FOCUS",IF(J1878&lt;=2,"?ACTIVATED",IF(J1878&lt;&gt;"","?FAMILIAR",IF(F1878="NEW",IF(ISNA(VLOOKUP(E1878,#REF!,1,FALSE())),"?TYPE_IDENTIFIABLE","?REFERENTIAL"),"_")))))</f>
        <v/>
      </c>
      <c r="H1878" s="27" t="str">
        <f aca="false">IF(J1878&lt;&gt;1,"",IF(I1878="SBJ","CB","?"))</f>
        <v/>
      </c>
      <c r="I1878" s="24" t="str">
        <f aca="false">IF(OR(E1878="",E1878="!!!",F1878="NEW"),"",INDEX(B7:B$1872,-1+SUMPRODUCT(MAX(ROW(E7:E$1872)*(E1878=E7:E$1872)))))</f>
        <v/>
      </c>
      <c r="J1878" s="24" t="str">
        <f aca="true">IF(OR(E1878="",E1878="!!!",F1878="NEW"),"",COUNTBLANK(OFFSET(A$1,,,SUMPRODUCT(MAX(ROW(E$2:E1878)*(E1878=E$2:E1878)))))-COUNTBLANK(OFFSET(A$1,,,SUMPRODUCT(MAX(ROW(E$1:E1877)*(E2=E$1:E1877))))))</f>
        <v/>
      </c>
      <c r="K1878" s="24" t="str">
        <f aca="false">IF(OR(E1878="",E1878="!!!",F1878="NEW"),"",INDEX(J$1:J1877,SUMPRODUCT(MAX(ROW(E$1:E1877)*(E1878=E$1:E1877)))))</f>
        <v/>
      </c>
      <c r="L1878" s="31"/>
    </row>
    <row r="1879" customFormat="false" ht="15" hidden="false" customHeight="false" outlineLevel="0" collapsed="false">
      <c r="A1879" s="20" t="s">
        <v>1157</v>
      </c>
      <c r="E1879" s="23" t="str">
        <f aca="false">IF(D1879="?OLD","!!!","")</f>
        <v/>
      </c>
      <c r="F1879" s="25" t="str">
        <f aca="false">IF(OR(E1879="",E1879="!!!"),"",IF(NOT(ISNA(VLOOKUP(E1879,E$1:E1878,1,FALSE()))),"OLD",IF(AND(E1879&lt;&gt;"",E1879&lt;&gt;"!!!"),"NEW","")))</f>
        <v/>
      </c>
      <c r="G1879" s="26" t="str">
        <f aca="false">IF(OR(E1879="",E1879="!!!"),"",IF(OR(J1879=0,AND(J1879=1,K1879=1),AND(J1879=1,I1879="SBJ"),AND(J1879=1,I1879=0)),"?IN_FOCUS",IF(J1879&lt;=2,"?ACTIVATED",IF(J1879&lt;&gt;"","?FAMILIAR",IF(F1879="NEW",IF(ISNA(VLOOKUP(E1879,#REF!,1,FALSE())),"?TYPE_IDENTIFIABLE","?REFERENTIAL"),"_")))))</f>
        <v/>
      </c>
      <c r="H1879" s="27" t="str">
        <f aca="false">IF(J1879&lt;&gt;1,"",IF(I1879="SBJ","CB","?"))</f>
        <v/>
      </c>
      <c r="I1879" s="24" t="str">
        <f aca="false">IF(OR(E1879="",E1879="!!!",F1879="NEW"),"",INDEX(B8:B$1872,-1+SUMPRODUCT(MAX(ROW(E8:E$1872)*(E1879=E8:E$1872)))))</f>
        <v/>
      </c>
      <c r="J1879" s="24" t="str">
        <f aca="true">IF(OR(E1879="",E1879="!!!",F1879="NEW"),"",COUNTBLANK(OFFSET(A$1,,,SUMPRODUCT(MAX(ROW(E$2:E1879)*(E1879=E$2:E1879)))))-COUNTBLANK(OFFSET(A$1,,,SUMPRODUCT(MAX(ROW(E$1:E1878)*(E2=E$1:E1878))))))</f>
        <v/>
      </c>
      <c r="K1879" s="24" t="str">
        <f aca="false">IF(OR(E1879="",E1879="!!!",F1879="NEW"),"",INDEX(J$1:J1878,SUMPRODUCT(MAX(ROW(E$1:E1878)*(E1879=E$1:E1878)))))</f>
        <v/>
      </c>
      <c r="L1879" s="31"/>
    </row>
    <row r="1880" customFormat="false" ht="15" hidden="false" customHeight="false" outlineLevel="0" collapsed="false">
      <c r="A1880" s="20" t="s">
        <v>1090</v>
      </c>
      <c r="B1880" s="22" t="s">
        <v>1086</v>
      </c>
      <c r="C1880" s="22" t="s">
        <v>1082</v>
      </c>
      <c r="D1880" s="22" t="s">
        <v>1060</v>
      </c>
      <c r="E1880" s="23" t="str">
        <f aca="false">IF(D1880="?OLD","!!!","")</f>
        <v>!!!</v>
      </c>
      <c r="F1880" s="25" t="str">
        <f aca="false">IF(OR(E1880="",E1880="!!!"),"",IF(NOT(ISNA(VLOOKUP(E1880,E$1:E1879,1,FALSE()))),"OLD",IF(AND(E1880&lt;&gt;"",E1880&lt;&gt;"!!!"),"NEW","")))</f>
        <v/>
      </c>
      <c r="G1880" s="26" t="str">
        <f aca="false">IF(OR(E1880="",E1880="!!!"),"",IF(OR(J1880=0,AND(J1880=1,K1880=1),AND(J1880=1,I1880="SBJ"),AND(J1880=1,I1880=0)),"?IN_FOCUS",IF(J1880&lt;=2,"?ACTIVATED",IF(J1880&lt;&gt;"","?FAMILIAR",IF(F1880="NEW",IF(ISNA(VLOOKUP(E1880,#REF!,1,FALSE())),"?TYPE_IDENTIFIABLE","?REFERENTIAL"),"_")))))</f>
        <v/>
      </c>
      <c r="H1880" s="27" t="str">
        <f aca="false">IF(J1880&lt;&gt;1,"",IF(I1880="SBJ","CB","?"))</f>
        <v/>
      </c>
      <c r="I1880" s="24" t="str">
        <f aca="false">IF(OR(E1880="",E1880="!!!",F1880="NEW"),"",INDEX(B9:B$1872,-1+SUMPRODUCT(MAX(ROW(E9:E$1872)*(E1880=E9:E$1872)))))</f>
        <v/>
      </c>
      <c r="J1880" s="24" t="str">
        <f aca="true">IF(OR(E1880="",E1880="!!!",F1880="NEW"),"",COUNTBLANK(OFFSET(A$1,,,SUMPRODUCT(MAX(ROW(E$2:E1880)*(E1880=E$2:E1880)))))-COUNTBLANK(OFFSET(A$1,,,SUMPRODUCT(MAX(ROW(E$1:E1879)*(E2=E$1:E1879))))))</f>
        <v/>
      </c>
      <c r="K1880" s="24" t="str">
        <f aca="false">IF(OR(E1880="",E1880="!!!",F1880="NEW"),"",INDEX(J$1:J1879,SUMPRODUCT(MAX(ROW(E$1:E1879)*(E1880=E$1:E1879)))))</f>
        <v/>
      </c>
      <c r="L1880" s="31"/>
    </row>
    <row r="1881" customFormat="false" ht="15" hidden="false" customHeight="false" outlineLevel="0" collapsed="false">
      <c r="A1881" s="20" t="s">
        <v>1790</v>
      </c>
      <c r="E1881" s="23" t="str">
        <f aca="false">IF(D1881="?OLD","!!!","")</f>
        <v/>
      </c>
      <c r="F1881" s="25" t="str">
        <f aca="false">IF(OR(E1881="",E1881="!!!"),"",IF(NOT(ISNA(VLOOKUP(E1881,E$1:E1880,1,FALSE()))),"OLD",IF(AND(E1881&lt;&gt;"",E1881&lt;&gt;"!!!"),"NEW","")))</f>
        <v/>
      </c>
      <c r="G1881" s="26" t="str">
        <f aca="false">IF(OR(E1881="",E1881="!!!"),"",IF(OR(J1881=0,AND(J1881=1,K1881=1),AND(J1881=1,I1881="SBJ"),AND(J1881=1,I1881=0)),"?IN_FOCUS",IF(J1881&lt;=2,"?ACTIVATED",IF(J1881&lt;&gt;"","?FAMILIAR",IF(F1881="NEW",IF(ISNA(VLOOKUP(E1881,#REF!,1,FALSE())),"?TYPE_IDENTIFIABLE","?REFERENTIAL"),"_")))))</f>
        <v/>
      </c>
      <c r="H1881" s="27" t="str">
        <f aca="false">IF(J1881&lt;&gt;1,"",IF(I1881="SBJ","CB","?"))</f>
        <v/>
      </c>
      <c r="I1881" s="24" t="str">
        <f aca="false">IF(OR(E1881="",E1881="!!!",F1881="NEW"),"",INDEX(B10:B$1872,-1+SUMPRODUCT(MAX(ROW(E10:E$1872)*(E1881=E10:E$1872)))))</f>
        <v/>
      </c>
      <c r="J1881" s="24" t="str">
        <f aca="true">IF(OR(E1881="",E1881="!!!",F1881="NEW"),"",COUNTBLANK(OFFSET(A$1,,,SUMPRODUCT(MAX(ROW(E$2:E1881)*(E1881=E$2:E1881)))))-COUNTBLANK(OFFSET(A$1,,,SUMPRODUCT(MAX(ROW(E$1:E1880)*(E2=E$1:E1880))))))</f>
        <v/>
      </c>
      <c r="K1881" s="24" t="str">
        <f aca="false">IF(OR(E1881="",E1881="!!!",F1881="NEW"),"",INDEX(J$1:J1880,SUMPRODUCT(MAX(ROW(E$1:E1880)*(E1881=E$1:E1880)))))</f>
        <v/>
      </c>
      <c r="L1881" s="31"/>
    </row>
    <row r="1882" customFormat="false" ht="15" hidden="false" customHeight="false" outlineLevel="0" collapsed="false">
      <c r="A1882" s="20" t="s">
        <v>1410</v>
      </c>
      <c r="E1882" s="23" t="str">
        <f aca="false">IF(D1882="?OLD","!!!","")</f>
        <v/>
      </c>
      <c r="F1882" s="25" t="str">
        <f aca="false">IF(OR(E1882="",E1882="!!!"),"",IF(NOT(ISNA(VLOOKUP(E1882,E$1:E1881,1,FALSE()))),"OLD",IF(AND(E1882&lt;&gt;"",E1882&lt;&gt;"!!!"),"NEW","")))</f>
        <v/>
      </c>
      <c r="G1882" s="26" t="str">
        <f aca="false">IF(OR(E1882="",E1882="!!!"),"",IF(OR(J1882=0,AND(J1882=1,K1882=1),AND(J1882=1,I1882="SBJ"),AND(J1882=1,I1882=0)),"?IN_FOCUS",IF(J1882&lt;=2,"?ACTIVATED",IF(J1882&lt;&gt;"","?FAMILIAR",IF(F1882="NEW",IF(ISNA(VLOOKUP(E1882,#REF!,1,FALSE())),"?TYPE_IDENTIFIABLE","?REFERENTIAL"),"_")))))</f>
        <v/>
      </c>
      <c r="H1882" s="27" t="str">
        <f aca="false">IF(J1882&lt;&gt;1,"",IF(I1882="SBJ","CB","?"))</f>
        <v/>
      </c>
      <c r="I1882" s="24" t="str">
        <f aca="false">IF(OR(E1882="",E1882="!!!",F1882="NEW"),"",INDEX(B11:B$1872,-1+SUMPRODUCT(MAX(ROW(E11:E$1872)*(E1882=E11:E$1872)))))</f>
        <v/>
      </c>
      <c r="J1882" s="24" t="str">
        <f aca="true">IF(OR(E1882="",E1882="!!!",F1882="NEW"),"",COUNTBLANK(OFFSET(A$1,,,SUMPRODUCT(MAX(ROW(E$2:E1882)*(E1882=E$2:E1882)))))-COUNTBLANK(OFFSET(A$1,,,SUMPRODUCT(MAX(ROW(E$1:E1881)*(E2=E$1:E1881))))))</f>
        <v/>
      </c>
      <c r="K1882" s="24" t="str">
        <f aca="false">IF(OR(E1882="",E1882="!!!",F1882="NEW"),"",INDEX(J$1:J1881,SUMPRODUCT(MAX(ROW(E$1:E1881)*(E1882=E$1:E1881)))))</f>
        <v/>
      </c>
      <c r="L1882" s="31"/>
    </row>
    <row r="1883" customFormat="false" ht="15" hidden="false" customHeight="false" outlineLevel="0" collapsed="false">
      <c r="A1883" s="20" t="s">
        <v>1109</v>
      </c>
      <c r="E1883" s="23" t="str">
        <f aca="false">IF(D1883="?OLD","!!!","")</f>
        <v/>
      </c>
      <c r="F1883" s="25" t="str">
        <f aca="false">IF(OR(E1883="",E1883="!!!"),"",IF(NOT(ISNA(VLOOKUP(E1883,E$1:E1882,1,FALSE()))),"OLD",IF(AND(E1883&lt;&gt;"",E1883&lt;&gt;"!!!"),"NEW","")))</f>
        <v/>
      </c>
      <c r="G1883" s="26" t="str">
        <f aca="false">IF(OR(E1883="",E1883="!!!"),"",IF(OR(J1883=0,AND(J1883=1,K1883=1),AND(J1883=1,I1883="SBJ"),AND(J1883=1,I1883=0)),"?IN_FOCUS",IF(J1883&lt;=2,"?ACTIVATED",IF(J1883&lt;&gt;"","?FAMILIAR",IF(F1883="NEW",IF(ISNA(VLOOKUP(E1883,#REF!,1,FALSE())),"?TYPE_IDENTIFIABLE","?REFERENTIAL"),"_")))))</f>
        <v/>
      </c>
      <c r="H1883" s="27" t="str">
        <f aca="false">IF(J1883&lt;&gt;1,"",IF(I1883="SBJ","CB","?"))</f>
        <v/>
      </c>
      <c r="I1883" s="24" t="str">
        <f aca="false">IF(OR(E1883="",E1883="!!!",F1883="NEW"),"",INDEX(B12:B$1872,-1+SUMPRODUCT(MAX(ROW(E12:E$1872)*(E1883=E12:E$1872)))))</f>
        <v/>
      </c>
      <c r="J1883" s="24" t="str">
        <f aca="true">IF(OR(E1883="",E1883="!!!",F1883="NEW"),"",COUNTBLANK(OFFSET(A$1,,,SUMPRODUCT(MAX(ROW(E$2:E1883)*(E1883=E$2:E1883)))))-COUNTBLANK(OFFSET(A$1,,,SUMPRODUCT(MAX(ROW(E$1:E1882)*(E2=E$1:E1882))))))</f>
        <v/>
      </c>
      <c r="K1883" s="24" t="str">
        <f aca="false">IF(OR(E1883="",E1883="!!!",F1883="NEW"),"",INDEX(J$1:J1882,SUMPRODUCT(MAX(ROW(E$1:E1882)*(E1883=E$1:E1882)))))</f>
        <v/>
      </c>
      <c r="L1883" s="31"/>
    </row>
    <row r="1884" customFormat="false" ht="15" hidden="false" customHeight="false" outlineLevel="0" collapsed="false">
      <c r="A1884" s="20" t="s">
        <v>1644</v>
      </c>
      <c r="E1884" s="23" t="str">
        <f aca="false">IF(D1884="?OLD","!!!","")</f>
        <v/>
      </c>
      <c r="F1884" s="25" t="str">
        <f aca="false">IF(OR(E1884="",E1884="!!!"),"",IF(NOT(ISNA(VLOOKUP(E1884,E$1:E1883,1,FALSE()))),"OLD",IF(AND(E1884&lt;&gt;"",E1884&lt;&gt;"!!!"),"NEW","")))</f>
        <v/>
      </c>
      <c r="G1884" s="26" t="str">
        <f aca="false">IF(OR(E1884="",E1884="!!!"),"",IF(OR(J1884=0,AND(J1884=1,K1884=1),AND(J1884=1,I1884="SBJ"),AND(J1884=1,I1884=0)),"?IN_FOCUS",IF(J1884&lt;=2,"?ACTIVATED",IF(J1884&lt;&gt;"","?FAMILIAR",IF(F1884="NEW",IF(ISNA(VLOOKUP(E1884,#REF!,1,FALSE())),"?TYPE_IDENTIFIABLE","?REFERENTIAL"),"_")))))</f>
        <v/>
      </c>
      <c r="H1884" s="27" t="str">
        <f aca="false">IF(J1884&lt;&gt;1,"",IF(I1884="SBJ","CB","?"))</f>
        <v/>
      </c>
      <c r="I1884" s="24" t="str">
        <f aca="false">IF(OR(E1884="",E1884="!!!",F1884="NEW"),"",INDEX(B13:B$1872,-1+SUMPRODUCT(MAX(ROW(E13:E$1872)*(E1884=E13:E$1872)))))</f>
        <v/>
      </c>
      <c r="J1884" s="24" t="str">
        <f aca="true">IF(OR(E1884="",E1884="!!!",F1884="NEW"),"",COUNTBLANK(OFFSET(A$1,,,SUMPRODUCT(MAX(ROW(E$2:E1884)*(E1884=E$2:E1884)))))-COUNTBLANK(OFFSET(A$1,,,SUMPRODUCT(MAX(ROW(E$1:E1883)*(E2=E$1:E1883))))))</f>
        <v/>
      </c>
      <c r="K1884" s="24" t="str">
        <f aca="false">IF(OR(E1884="",E1884="!!!",F1884="NEW"),"",INDEX(J$1:J1883,SUMPRODUCT(MAX(ROW(E$1:E1883)*(E1884=E$1:E1883)))))</f>
        <v/>
      </c>
      <c r="L1884" s="31"/>
    </row>
    <row r="1885" customFormat="false" ht="15" hidden="false" customHeight="false" outlineLevel="0" collapsed="false">
      <c r="A1885" s="20" t="s">
        <v>1076</v>
      </c>
      <c r="E1885" s="23" t="str">
        <f aca="false">IF(D1885="?OLD","!!!","")</f>
        <v/>
      </c>
      <c r="F1885" s="25" t="str">
        <f aca="false">IF(OR(E1885="",E1885="!!!"),"",IF(NOT(ISNA(VLOOKUP(E1885,E$1:E1884,1,FALSE()))),"OLD",IF(AND(E1885&lt;&gt;"",E1885&lt;&gt;"!!!"),"NEW","")))</f>
        <v/>
      </c>
      <c r="G1885" s="26" t="str">
        <f aca="false">IF(OR(E1885="",E1885="!!!"),"",IF(OR(J1885=0,AND(J1885=1,K1885=1),AND(J1885=1,I1885="SBJ"),AND(J1885=1,I1885=0)),"?IN_FOCUS",IF(J1885&lt;=2,"?ACTIVATED",IF(J1885&lt;&gt;"","?FAMILIAR",IF(F1885="NEW",IF(ISNA(VLOOKUP(E1885,#REF!,1,FALSE())),"?TYPE_IDENTIFIABLE","?REFERENTIAL"),"_")))))</f>
        <v/>
      </c>
      <c r="H1885" s="27" t="str">
        <f aca="false">IF(J1885&lt;&gt;1,"",IF(I1885="SBJ","CB","?"))</f>
        <v/>
      </c>
      <c r="I1885" s="24" t="str">
        <f aca="false">IF(OR(E1885="",E1885="!!!",F1885="NEW"),"",INDEX(B14:B$1872,-1+SUMPRODUCT(MAX(ROW(E14:E$1872)*(E1885=E14:E$1872)))))</f>
        <v/>
      </c>
      <c r="J1885" s="24" t="str">
        <f aca="true">IF(OR(E1885="",E1885="!!!",F1885="NEW"),"",COUNTBLANK(OFFSET(A$1,,,SUMPRODUCT(MAX(ROW(E$2:E1885)*(E1885=E$2:E1885)))))-COUNTBLANK(OFFSET(A$1,,,SUMPRODUCT(MAX(ROW(E$1:E1884)*(E2=E$1:E1884))))))</f>
        <v/>
      </c>
      <c r="K1885" s="24" t="str">
        <f aca="false">IF(OR(E1885="",E1885="!!!",F1885="NEW"),"",INDEX(J$1:J1884,SUMPRODUCT(MAX(ROW(E$1:E1884)*(E1885=E$1:E1884)))))</f>
        <v/>
      </c>
      <c r="L1885" s="31"/>
    </row>
    <row r="1886" customFormat="false" ht="15" hidden="false" customHeight="false" outlineLevel="0" collapsed="false">
      <c r="A1886" s="20" t="s">
        <v>1791</v>
      </c>
      <c r="E1886" s="23" t="str">
        <f aca="false">IF(D1886="?OLD","!!!","")</f>
        <v/>
      </c>
      <c r="F1886" s="25" t="str">
        <f aca="false">IF(OR(E1886="",E1886="!!!"),"",IF(NOT(ISNA(VLOOKUP(E1886,E$1:E1885,1,FALSE()))),"OLD",IF(AND(E1886&lt;&gt;"",E1886&lt;&gt;"!!!"),"NEW","")))</f>
        <v/>
      </c>
      <c r="G1886" s="26" t="str">
        <f aca="false">IF(OR(E1886="",E1886="!!!"),"",IF(OR(J1886=0,AND(J1886=1,K1886=1),AND(J1886=1,I1886="SBJ"),AND(J1886=1,I1886=0)),"?IN_FOCUS",IF(J1886&lt;=2,"?ACTIVATED",IF(J1886&lt;&gt;"","?FAMILIAR",IF(F1886="NEW",IF(ISNA(VLOOKUP(E1886,#REF!,1,FALSE())),"?TYPE_IDENTIFIABLE","?REFERENTIAL"),"_")))))</f>
        <v/>
      </c>
      <c r="H1886" s="27" t="str">
        <f aca="false">IF(J1886&lt;&gt;1,"",IF(I1886="SBJ","CB","?"))</f>
        <v/>
      </c>
      <c r="I1886" s="24" t="str">
        <f aca="false">IF(OR(E1886="",E1886="!!!",F1886="NEW"),"",INDEX(B15:B$1872,-1+SUMPRODUCT(MAX(ROW(E15:E$1872)*(E1886=E15:E$1872)))))</f>
        <v/>
      </c>
      <c r="J1886" s="24" t="str">
        <f aca="true">IF(OR(E1886="",E1886="!!!",F1886="NEW"),"",COUNTBLANK(OFFSET(A$1,,,SUMPRODUCT(MAX(ROW(E$2:E1886)*(E1886=E$2:E1886)))))-COUNTBLANK(OFFSET(A$1,,,SUMPRODUCT(MAX(ROW(E$1:E1885)*(E2=E$1:E1885))))))</f>
        <v/>
      </c>
      <c r="K1886" s="24" t="str">
        <f aca="false">IF(OR(E1886="",E1886="!!!",F1886="NEW"),"",INDEX(J$1:J1885,SUMPRODUCT(MAX(ROW(E$1:E1885)*(E1886=E$1:E1885)))))</f>
        <v/>
      </c>
      <c r="L1886" s="31"/>
    </row>
    <row r="1887" customFormat="false" ht="15" hidden="false" customHeight="false" outlineLevel="0" collapsed="false">
      <c r="A1887" s="20" t="s">
        <v>1643</v>
      </c>
      <c r="B1887" s="22" t="s">
        <v>1073</v>
      </c>
      <c r="C1887" s="22" t="s">
        <v>1150</v>
      </c>
      <c r="D1887" s="22" t="s">
        <v>1060</v>
      </c>
      <c r="E1887" s="23" t="str">
        <f aca="false">IF(D1887="?OLD","!!!","")</f>
        <v>!!!</v>
      </c>
      <c r="F1887" s="25" t="str">
        <f aca="false">IF(OR(E1887="",E1887="!!!"),"",IF(NOT(ISNA(VLOOKUP(E1887,E$1:E1886,1,FALSE()))),"OLD",IF(AND(E1887&lt;&gt;"",E1887&lt;&gt;"!!!"),"NEW","")))</f>
        <v/>
      </c>
      <c r="G1887" s="26" t="str">
        <f aca="false">IF(OR(E1887="",E1887="!!!"),"",IF(OR(J1887=0,AND(J1887=1,K1887=1),AND(J1887=1,I1887="SBJ"),AND(J1887=1,I1887=0)),"?IN_FOCUS",IF(J1887&lt;=2,"?ACTIVATED",IF(J1887&lt;&gt;"","?FAMILIAR",IF(F1887="NEW",IF(ISNA(VLOOKUP(E1887,#REF!,1,FALSE())),"?TYPE_IDENTIFIABLE","?REFERENTIAL"),"_")))))</f>
        <v/>
      </c>
      <c r="H1887" s="27" t="str">
        <f aca="false">IF(J1887&lt;&gt;1,"",IF(I1887="SBJ","CB","?"))</f>
        <v/>
      </c>
      <c r="I1887" s="24" t="str">
        <f aca="false">IF(OR(E1887="",E1887="!!!",F1887="NEW"),"",INDEX(B16:B$1872,-1+SUMPRODUCT(MAX(ROW(E16:E$1872)*(E1887=E16:E$1872)))))</f>
        <v/>
      </c>
      <c r="J1887" s="24" t="str">
        <f aca="true">IF(OR(E1887="",E1887="!!!",F1887="NEW"),"",COUNTBLANK(OFFSET(A$1,,,SUMPRODUCT(MAX(ROW(E$2:E1887)*(E1887=E$2:E1887)))))-COUNTBLANK(OFFSET(A$1,,,SUMPRODUCT(MAX(ROW(E$1:E1886)*(E2=E$1:E1886))))))</f>
        <v/>
      </c>
      <c r="K1887" s="24" t="str">
        <f aca="false">IF(OR(E1887="",E1887="!!!",F1887="NEW"),"",INDEX(J$1:J1886,SUMPRODUCT(MAX(ROW(E$1:E1886)*(E1887=E$1:E1886)))))</f>
        <v/>
      </c>
      <c r="L1887" s="31"/>
    </row>
    <row r="1888" customFormat="false" ht="15" hidden="false" customHeight="false" outlineLevel="0" collapsed="false">
      <c r="A1888" s="20" t="s">
        <v>923</v>
      </c>
      <c r="E1888" s="23" t="str">
        <f aca="false">IF(D1888="?OLD","!!!","")</f>
        <v/>
      </c>
      <c r="F1888" s="25" t="str">
        <f aca="false">IF(OR(E1888="",E1888="!!!"),"",IF(NOT(ISNA(VLOOKUP(E1888,E$1:E1887,1,FALSE()))),"OLD",IF(AND(E1888&lt;&gt;"",E1888&lt;&gt;"!!!"),"NEW","")))</f>
        <v/>
      </c>
      <c r="G1888" s="26" t="str">
        <f aca="false">IF(OR(E1888="",E1888="!!!"),"",IF(OR(J1888=0,AND(J1888=1,K1888=1),AND(J1888=1,I1888="SBJ"),AND(J1888=1,I1888=0)),"?IN_FOCUS",IF(J1888&lt;=2,"?ACTIVATED",IF(J1888&lt;&gt;"","?FAMILIAR",IF(F1888="NEW",IF(ISNA(VLOOKUP(E1888,#REF!,1,FALSE())),"?TYPE_IDENTIFIABLE","?REFERENTIAL"),"_")))))</f>
        <v/>
      </c>
      <c r="H1888" s="27" t="str">
        <f aca="false">IF(J1888&lt;&gt;1,"",IF(I1888="SBJ","CB","?"))</f>
        <v/>
      </c>
      <c r="I1888" s="24" t="str">
        <f aca="false">IF(OR(E1888="",E1888="!!!",F1888="NEW"),"",INDEX(B17:B$1872,-1+SUMPRODUCT(MAX(ROW(E17:E$1872)*(E1888=E17:E$1872)))))</f>
        <v/>
      </c>
      <c r="J1888" s="24" t="str">
        <f aca="true">IF(OR(E1888="",E1888="!!!",F1888="NEW"),"",COUNTBLANK(OFFSET(A$1,,,SUMPRODUCT(MAX(ROW(E$2:E1888)*(E1888=E$2:E1888)))))-COUNTBLANK(OFFSET(A$1,,,SUMPRODUCT(MAX(ROW(E$1:E1887)*(E2=E$1:E1887))))))</f>
        <v/>
      </c>
      <c r="K1888" s="24" t="str">
        <f aca="false">IF(OR(E1888="",E1888="!!!",F1888="NEW"),"",INDEX(J$1:J1887,SUMPRODUCT(MAX(ROW(E$1:E1887)*(E1888=E$1:E1887)))))</f>
        <v/>
      </c>
      <c r="L1888" s="31"/>
    </row>
    <row r="1889" customFormat="false" ht="15" hidden="false" customHeight="false" outlineLevel="0" collapsed="false">
      <c r="A1889" s="20"/>
    </row>
    <row r="1890" customFormat="false" ht="15" hidden="false" customHeight="false" outlineLevel="0" collapsed="false">
      <c r="A1890" s="20" t="s">
        <v>1792</v>
      </c>
    </row>
    <row r="1891" customFormat="false" ht="15" hidden="false" customHeight="false" outlineLevel="0" collapsed="false">
      <c r="A1891" s="20" t="s">
        <v>1793</v>
      </c>
      <c r="E1891" s="23" t="str">
        <f aca="false">IF(D1891="?OLD","!!!","")</f>
        <v/>
      </c>
      <c r="F1891" s="25" t="str">
        <f aca="false">IF(OR(E1891="",E1891="!!!"),"",IF(NOT(ISNA(VLOOKUP(E1891,E$1:E1890,1,FALSE()))),"OLD",IF(AND(E1891&lt;&gt;"",E1891&lt;&gt;"!!!"),"NEW","")))</f>
        <v/>
      </c>
      <c r="G1891" s="26" t="str">
        <f aca="false">IF(OR(E1891="",E1891="!!!"),"",IF(OR(J1891=0,AND(J1891=1,K1891=1),AND(J1891=1,I1891="SBJ"),AND(J1891=1,I1891=0)),"?IN_FOCUS",IF(J1891&lt;=2,"?ACTIVATED",IF(J1891&lt;&gt;"","?FAMILIAR",IF(F1891="NEW",IF(ISNA(VLOOKUP(E1891,#REF!,1,FALSE())),"?TYPE_IDENTIFIABLE","?REFERENTIAL"),"_")))))</f>
        <v/>
      </c>
      <c r="H1891" s="27" t="str">
        <f aca="false">IF(J1891&lt;&gt;1,"",IF(I1891="SBJ","CB","?"))</f>
        <v/>
      </c>
      <c r="I1891" s="24" t="str">
        <f aca="false">IF(OR(E1891="",E1891="!!!",F1891="NEW"),"",INDEX(B2:B$1890,-1+SUMPRODUCT(MAX(ROW(E2:E$1890)*(E1891=E2:E$1890)))))</f>
        <v/>
      </c>
      <c r="J1891" s="24" t="str">
        <f aca="true">IF(OR(E1891="",E1891="!!!",F1891="NEW"),"",COUNTBLANK(OFFSET(A$1,,,SUMPRODUCT(MAX(ROW(E$2:E1891)*(E1891=E$2:E1891)))))-COUNTBLANK(OFFSET(A$1,,,SUMPRODUCT(MAX(ROW(E$1:E1890)*(E2=E$1:E1890))))))</f>
        <v/>
      </c>
      <c r="K1891" s="24" t="str">
        <f aca="false">IF(OR(E1891="",E1891="!!!",F1891="NEW"),"",INDEX(J$1:J1890,SUMPRODUCT(MAX(ROW(E$1:E1890)*(E1891=E$1:E1890)))))</f>
        <v/>
      </c>
      <c r="L1891" s="31"/>
    </row>
    <row r="1892" customFormat="false" ht="15" hidden="false" customHeight="false" outlineLevel="0" collapsed="false">
      <c r="A1892" s="20" t="s">
        <v>1090</v>
      </c>
      <c r="B1892" s="22" t="s">
        <v>1058</v>
      </c>
      <c r="C1892" s="22" t="s">
        <v>1082</v>
      </c>
      <c r="D1892" s="22" t="s">
        <v>1060</v>
      </c>
      <c r="E1892" s="23" t="str">
        <f aca="false">IF(D1892="?OLD","!!!","")</f>
        <v>!!!</v>
      </c>
      <c r="F1892" s="25" t="str">
        <f aca="false">IF(OR(E1892="",E1892="!!!"),"",IF(NOT(ISNA(VLOOKUP(E1892,E$1:E1891,1,FALSE()))),"OLD",IF(AND(E1892&lt;&gt;"",E1892&lt;&gt;"!!!"),"NEW","")))</f>
        <v/>
      </c>
      <c r="G1892" s="26" t="str">
        <f aca="false">IF(OR(E1892="",E1892="!!!"),"",IF(OR(J1892=0,AND(J1892=1,K1892=1),AND(J1892=1,I1892="SBJ"),AND(J1892=1,I1892=0)),"?IN_FOCUS",IF(J1892&lt;=2,"?ACTIVATED",IF(J1892&lt;&gt;"","?FAMILIAR",IF(F1892="NEW",IF(ISNA(VLOOKUP(E1892,#REF!,1,FALSE())),"?TYPE_IDENTIFIABLE","?REFERENTIAL"),"_")))))</f>
        <v/>
      </c>
      <c r="H1892" s="27" t="str">
        <f aca="false">IF(J1892&lt;&gt;1,"",IF(I1892="SBJ","CB","?"))</f>
        <v/>
      </c>
      <c r="I1892" s="24" t="str">
        <f aca="false">IF(OR(E1892="",E1892="!!!",F1892="NEW"),"",INDEX(B3:B$1890,-1+SUMPRODUCT(MAX(ROW(E3:E$1890)*(E1892=E3:E$1890)))))</f>
        <v/>
      </c>
      <c r="J1892" s="24" t="str">
        <f aca="true">IF(OR(E1892="",E1892="!!!",F1892="NEW"),"",COUNTBLANK(OFFSET(A$1,,,SUMPRODUCT(MAX(ROW(E$2:E1892)*(E1892=E$2:E1892)))))-COUNTBLANK(OFFSET(A$1,,,SUMPRODUCT(MAX(ROW(E$1:E1891)*(E2=E$1:E1891))))))</f>
        <v/>
      </c>
      <c r="K1892" s="24" t="str">
        <f aca="false">IF(OR(E1892="",E1892="!!!",F1892="NEW"),"",INDEX(J$1:J1891,SUMPRODUCT(MAX(ROW(E$1:E1891)*(E1892=E$1:E1891)))))</f>
        <v/>
      </c>
      <c r="L1892" s="31"/>
    </row>
    <row r="1893" customFormat="false" ht="15" hidden="false" customHeight="false" outlineLevel="0" collapsed="false">
      <c r="A1893" s="20" t="s">
        <v>1116</v>
      </c>
      <c r="E1893" s="23" t="str">
        <f aca="false">IF(D1893="?OLD","!!!","")</f>
        <v/>
      </c>
      <c r="F1893" s="25" t="str">
        <f aca="false">IF(OR(E1893="",E1893="!!!"),"",IF(NOT(ISNA(VLOOKUP(E1893,E$1:E1892,1,FALSE()))),"OLD",IF(AND(E1893&lt;&gt;"",E1893&lt;&gt;"!!!"),"NEW","")))</f>
        <v/>
      </c>
      <c r="G1893" s="26" t="str">
        <f aca="false">IF(OR(E1893="",E1893="!!!"),"",IF(OR(J1893=0,AND(J1893=1,K1893=1),AND(J1893=1,I1893="SBJ"),AND(J1893=1,I1893=0)),"?IN_FOCUS",IF(J1893&lt;=2,"?ACTIVATED",IF(J1893&lt;&gt;"","?FAMILIAR",IF(F1893="NEW",IF(ISNA(VLOOKUP(E1893,#REF!,1,FALSE())),"?TYPE_IDENTIFIABLE","?REFERENTIAL"),"_")))))</f>
        <v/>
      </c>
      <c r="H1893" s="27" t="str">
        <f aca="false">IF(J1893&lt;&gt;1,"",IF(I1893="SBJ","CB","?"))</f>
        <v/>
      </c>
      <c r="I1893" s="24" t="str">
        <f aca="false">IF(OR(E1893="",E1893="!!!",F1893="NEW"),"",INDEX(B4:B$1890,-1+SUMPRODUCT(MAX(ROW(E4:E$1890)*(E1893=E4:E$1890)))))</f>
        <v/>
      </c>
      <c r="J1893" s="24" t="str">
        <f aca="true">IF(OR(E1893="",E1893="!!!",F1893="NEW"),"",COUNTBLANK(OFFSET(A$1,,,SUMPRODUCT(MAX(ROW(E$2:E1893)*(E1893=E$2:E1893)))))-COUNTBLANK(OFFSET(A$1,,,SUMPRODUCT(MAX(ROW(E$1:E1892)*(E2=E$1:E1892))))))</f>
        <v/>
      </c>
      <c r="K1893" s="24" t="str">
        <f aca="false">IF(OR(E1893="",E1893="!!!",F1893="NEW"),"",INDEX(J$1:J1892,SUMPRODUCT(MAX(ROW(E$1:E1892)*(E1893=E$1:E1892)))))</f>
        <v/>
      </c>
      <c r="L1893" s="31"/>
    </row>
    <row r="1894" customFormat="false" ht="15" hidden="false" customHeight="false" outlineLevel="0" collapsed="false">
      <c r="A1894" s="20" t="s">
        <v>1794</v>
      </c>
      <c r="E1894" s="23" t="str">
        <f aca="false">IF(D1894="?OLD","!!!","")</f>
        <v/>
      </c>
      <c r="F1894" s="25" t="str">
        <f aca="false">IF(OR(E1894="",E1894="!!!"),"",IF(NOT(ISNA(VLOOKUP(E1894,E$1:E1893,1,FALSE()))),"OLD",IF(AND(E1894&lt;&gt;"",E1894&lt;&gt;"!!!"),"NEW","")))</f>
        <v/>
      </c>
      <c r="G1894" s="26" t="str">
        <f aca="false">IF(OR(E1894="",E1894="!!!"),"",IF(OR(J1894=0,AND(J1894=1,K1894=1),AND(J1894=1,I1894="SBJ"),AND(J1894=1,I1894=0)),"?IN_FOCUS",IF(J1894&lt;=2,"?ACTIVATED",IF(J1894&lt;&gt;"","?FAMILIAR",IF(F1894="NEW",IF(ISNA(VLOOKUP(E1894,#REF!,1,FALSE())),"?TYPE_IDENTIFIABLE","?REFERENTIAL"),"_")))))</f>
        <v/>
      </c>
      <c r="H1894" s="27" t="str">
        <f aca="false">IF(J1894&lt;&gt;1,"",IF(I1894="SBJ","CB","?"))</f>
        <v/>
      </c>
      <c r="I1894" s="24" t="str">
        <f aca="false">IF(OR(E1894="",E1894="!!!",F1894="NEW"),"",INDEX(B5:B$1890,-1+SUMPRODUCT(MAX(ROW(E5:E$1890)*(E1894=E5:E$1890)))))</f>
        <v/>
      </c>
      <c r="J1894" s="24" t="str">
        <f aca="true">IF(OR(E1894="",E1894="!!!",F1894="NEW"),"",COUNTBLANK(OFFSET(A$1,,,SUMPRODUCT(MAX(ROW(E$2:E1894)*(E1894=E$2:E1894)))))-COUNTBLANK(OFFSET(A$1,,,SUMPRODUCT(MAX(ROW(E$1:E1893)*(E2=E$1:E1893))))))</f>
        <v/>
      </c>
      <c r="K1894" s="24" t="str">
        <f aca="false">IF(OR(E1894="",E1894="!!!",F1894="NEW"),"",INDEX(J$1:J1893,SUMPRODUCT(MAX(ROW(E$1:E1893)*(E1894=E$1:E1893)))))</f>
        <v/>
      </c>
      <c r="L1894" s="31"/>
    </row>
    <row r="1895" customFormat="false" ht="15" hidden="false" customHeight="false" outlineLevel="0" collapsed="false">
      <c r="A1895" s="20" t="s">
        <v>1381</v>
      </c>
      <c r="E1895" s="23" t="str">
        <f aca="false">IF(D1895="?OLD","!!!","")</f>
        <v/>
      </c>
      <c r="F1895" s="25" t="str">
        <f aca="false">IF(OR(E1895="",E1895="!!!"),"",IF(NOT(ISNA(VLOOKUP(E1895,E$1:E1894,1,FALSE()))),"OLD",IF(AND(E1895&lt;&gt;"",E1895&lt;&gt;"!!!"),"NEW","")))</f>
        <v/>
      </c>
      <c r="G1895" s="26" t="str">
        <f aca="false">IF(OR(E1895="",E1895="!!!"),"",IF(OR(J1895=0,AND(J1895=1,K1895=1),AND(J1895=1,I1895="SBJ"),AND(J1895=1,I1895=0)),"?IN_FOCUS",IF(J1895&lt;=2,"?ACTIVATED",IF(J1895&lt;&gt;"","?FAMILIAR",IF(F1895="NEW",IF(ISNA(VLOOKUP(E1895,#REF!,1,FALSE())),"?TYPE_IDENTIFIABLE","?REFERENTIAL"),"_")))))</f>
        <v/>
      </c>
      <c r="H1895" s="27" t="str">
        <f aca="false">IF(J1895&lt;&gt;1,"",IF(I1895="SBJ","CB","?"))</f>
        <v/>
      </c>
      <c r="I1895" s="24" t="str">
        <f aca="false">IF(OR(E1895="",E1895="!!!",F1895="NEW"),"",INDEX(B6:B$1890,-1+SUMPRODUCT(MAX(ROW(E6:E$1890)*(E1895=E6:E$1890)))))</f>
        <v/>
      </c>
      <c r="J1895" s="24" t="str">
        <f aca="true">IF(OR(E1895="",E1895="!!!",F1895="NEW"),"",COUNTBLANK(OFFSET(A$1,,,SUMPRODUCT(MAX(ROW(E$2:E1895)*(E1895=E$2:E1895)))))-COUNTBLANK(OFFSET(A$1,,,SUMPRODUCT(MAX(ROW(E$1:E1894)*(E2=E$1:E1894))))))</f>
        <v/>
      </c>
      <c r="K1895" s="24" t="str">
        <f aca="false">IF(OR(E1895="",E1895="!!!",F1895="NEW"),"",INDEX(J$1:J1894,SUMPRODUCT(MAX(ROW(E$1:E1894)*(E1895=E$1:E1894)))))</f>
        <v/>
      </c>
      <c r="L1895" s="31"/>
    </row>
    <row r="1896" customFormat="false" ht="15" hidden="false" customHeight="false" outlineLevel="0" collapsed="false">
      <c r="A1896" s="20" t="s">
        <v>1109</v>
      </c>
      <c r="E1896" s="23" t="str">
        <f aca="false">IF(D1896="?OLD","!!!","")</f>
        <v/>
      </c>
      <c r="F1896" s="25" t="str">
        <f aca="false">IF(OR(E1896="",E1896="!!!"),"",IF(NOT(ISNA(VLOOKUP(E1896,E$1:E1895,1,FALSE()))),"OLD",IF(AND(E1896&lt;&gt;"",E1896&lt;&gt;"!!!"),"NEW","")))</f>
        <v/>
      </c>
      <c r="G1896" s="26" t="str">
        <f aca="false">IF(OR(E1896="",E1896="!!!"),"",IF(OR(J1896=0,AND(J1896=1,K1896=1),AND(J1896=1,I1896="SBJ"),AND(J1896=1,I1896=0)),"?IN_FOCUS",IF(J1896&lt;=2,"?ACTIVATED",IF(J1896&lt;&gt;"","?FAMILIAR",IF(F1896="NEW",IF(ISNA(VLOOKUP(E1896,#REF!,1,FALSE())),"?TYPE_IDENTIFIABLE","?REFERENTIAL"),"_")))))</f>
        <v/>
      </c>
      <c r="H1896" s="27" t="str">
        <f aca="false">IF(J1896&lt;&gt;1,"",IF(I1896="SBJ","CB","?"))</f>
        <v/>
      </c>
      <c r="I1896" s="24" t="str">
        <f aca="false">IF(OR(E1896="",E1896="!!!",F1896="NEW"),"",INDEX(B7:B$1890,-1+SUMPRODUCT(MAX(ROW(E7:E$1890)*(E1896=E7:E$1890)))))</f>
        <v/>
      </c>
      <c r="J1896" s="24" t="str">
        <f aca="true">IF(OR(E1896="",E1896="!!!",F1896="NEW"),"",COUNTBLANK(OFFSET(A$1,,,SUMPRODUCT(MAX(ROW(E$2:E1896)*(E1896=E$2:E1896)))))-COUNTBLANK(OFFSET(A$1,,,SUMPRODUCT(MAX(ROW(E$1:E1895)*(E2=E$1:E1895))))))</f>
        <v/>
      </c>
      <c r="K1896" s="24" t="str">
        <f aca="false">IF(OR(E1896="",E1896="!!!",F1896="NEW"),"",INDEX(J$1:J1895,SUMPRODUCT(MAX(ROW(E$1:E1895)*(E1896=E$1:E1895)))))</f>
        <v/>
      </c>
      <c r="L1896" s="31"/>
    </row>
    <row r="1897" customFormat="false" ht="15" hidden="false" customHeight="false" outlineLevel="0" collapsed="false">
      <c r="A1897" s="20" t="s">
        <v>1458</v>
      </c>
      <c r="B1897" s="22" t="s">
        <v>1105</v>
      </c>
      <c r="C1897" s="22" t="s">
        <v>1150</v>
      </c>
      <c r="D1897" s="22" t="s">
        <v>1060</v>
      </c>
      <c r="E1897" s="23" t="str">
        <f aca="false">IF(D1897="?OLD","!!!","")</f>
        <v>!!!</v>
      </c>
      <c r="F1897" s="25" t="str">
        <f aca="false">IF(OR(E1897="",E1897="!!!"),"",IF(NOT(ISNA(VLOOKUP(E1897,E$1:E1896,1,FALSE()))),"OLD",IF(AND(E1897&lt;&gt;"",E1897&lt;&gt;"!!!"),"NEW","")))</f>
        <v/>
      </c>
      <c r="G1897" s="26" t="str">
        <f aca="false">IF(OR(E1897="",E1897="!!!"),"",IF(OR(J1897=0,AND(J1897=1,K1897=1),AND(J1897=1,I1897="SBJ"),AND(J1897=1,I1897=0)),"?IN_FOCUS",IF(J1897&lt;=2,"?ACTIVATED",IF(J1897&lt;&gt;"","?FAMILIAR",IF(F1897="NEW",IF(ISNA(VLOOKUP(E1897,#REF!,1,FALSE())),"?TYPE_IDENTIFIABLE","?REFERENTIAL"),"_")))))</f>
        <v/>
      </c>
      <c r="H1897" s="27" t="str">
        <f aca="false">IF(J1897&lt;&gt;1,"",IF(I1897="SBJ","CB","?"))</f>
        <v/>
      </c>
      <c r="I1897" s="24" t="str">
        <f aca="false">IF(OR(E1897="",E1897="!!!",F1897="NEW"),"",INDEX(B8:B$1890,-1+SUMPRODUCT(MAX(ROW(E8:E$1890)*(E1897=E8:E$1890)))))</f>
        <v/>
      </c>
      <c r="J1897" s="24" t="str">
        <f aca="true">IF(OR(E1897="",E1897="!!!",F1897="NEW"),"",COUNTBLANK(OFFSET(A$1,,,SUMPRODUCT(MAX(ROW(E$2:E1897)*(E1897=E$2:E1897)))))-COUNTBLANK(OFFSET(A$1,,,SUMPRODUCT(MAX(ROW(E$1:E1896)*(E2=E$1:E1896))))))</f>
        <v/>
      </c>
      <c r="K1897" s="24" t="str">
        <f aca="false">IF(OR(E1897="",E1897="!!!",F1897="NEW"),"",INDEX(J$1:J1896,SUMPRODUCT(MAX(ROW(E$1:E1896)*(E1897=E$1:E1896)))))</f>
        <v/>
      </c>
      <c r="L1897" s="31"/>
    </row>
    <row r="1898" customFormat="false" ht="15" hidden="false" customHeight="false" outlineLevel="0" collapsed="false">
      <c r="A1898" s="20" t="s">
        <v>1076</v>
      </c>
      <c r="E1898" s="23" t="str">
        <f aca="false">IF(D1898="?OLD","!!!","")</f>
        <v/>
      </c>
      <c r="F1898" s="25" t="str">
        <f aca="false">IF(OR(E1898="",E1898="!!!"),"",IF(NOT(ISNA(VLOOKUP(E1898,E$1:E1897,1,FALSE()))),"OLD",IF(AND(E1898&lt;&gt;"",E1898&lt;&gt;"!!!"),"NEW","")))</f>
        <v/>
      </c>
      <c r="G1898" s="26" t="str">
        <f aca="false">IF(OR(E1898="",E1898="!!!"),"",IF(OR(J1898=0,AND(J1898=1,K1898=1),AND(J1898=1,I1898="SBJ"),AND(J1898=1,I1898=0)),"?IN_FOCUS",IF(J1898&lt;=2,"?ACTIVATED",IF(J1898&lt;&gt;"","?FAMILIAR",IF(F1898="NEW",IF(ISNA(VLOOKUP(E1898,#REF!,1,FALSE())),"?TYPE_IDENTIFIABLE","?REFERENTIAL"),"_")))))</f>
        <v/>
      </c>
      <c r="H1898" s="27" t="str">
        <f aca="false">IF(J1898&lt;&gt;1,"",IF(I1898="SBJ","CB","?"))</f>
        <v/>
      </c>
      <c r="I1898" s="24" t="str">
        <f aca="false">IF(OR(E1898="",E1898="!!!",F1898="NEW"),"",INDEX(B9:B$1890,-1+SUMPRODUCT(MAX(ROW(E9:E$1890)*(E1898=E9:E$1890)))))</f>
        <v/>
      </c>
      <c r="J1898" s="24" t="str">
        <f aca="true">IF(OR(E1898="",E1898="!!!",F1898="NEW"),"",COUNTBLANK(OFFSET(A$1,,,SUMPRODUCT(MAX(ROW(E$2:E1898)*(E1898=E$2:E1898)))))-COUNTBLANK(OFFSET(A$1,,,SUMPRODUCT(MAX(ROW(E$1:E1897)*(E2=E$1:E1897))))))</f>
        <v/>
      </c>
      <c r="K1898" s="24" t="str">
        <f aca="false">IF(OR(E1898="",E1898="!!!",F1898="NEW"),"",INDEX(J$1:J1897,SUMPRODUCT(MAX(ROW(E$1:E1897)*(E1898=E$1:E1897)))))</f>
        <v/>
      </c>
      <c r="L1898" s="31"/>
    </row>
    <row r="1899" customFormat="false" ht="15" hidden="false" customHeight="false" outlineLevel="0" collapsed="false">
      <c r="A1899" s="20" t="s">
        <v>1267</v>
      </c>
      <c r="E1899" s="23" t="str">
        <f aca="false">IF(D1899="?OLD","!!!","")</f>
        <v/>
      </c>
      <c r="F1899" s="25" t="str">
        <f aca="false">IF(OR(E1899="",E1899="!!!"),"",IF(NOT(ISNA(VLOOKUP(E1899,E$1:E1898,1,FALSE()))),"OLD",IF(AND(E1899&lt;&gt;"",E1899&lt;&gt;"!!!"),"NEW","")))</f>
        <v/>
      </c>
      <c r="G1899" s="26" t="str">
        <f aca="false">IF(OR(E1899="",E1899="!!!"),"",IF(OR(J1899=0,AND(J1899=1,K1899=1),AND(J1899=1,I1899="SBJ"),AND(J1899=1,I1899=0)),"?IN_FOCUS",IF(J1899&lt;=2,"?ACTIVATED",IF(J1899&lt;&gt;"","?FAMILIAR",IF(F1899="NEW",IF(ISNA(VLOOKUP(E1899,#REF!,1,FALSE())),"?TYPE_IDENTIFIABLE","?REFERENTIAL"),"_")))))</f>
        <v/>
      </c>
      <c r="H1899" s="27" t="str">
        <f aca="false">IF(J1899&lt;&gt;1,"",IF(I1899="SBJ","CB","?"))</f>
        <v/>
      </c>
      <c r="I1899" s="24" t="str">
        <f aca="false">IF(OR(E1899="",E1899="!!!",F1899="NEW"),"",INDEX(B10:B$1890,-1+SUMPRODUCT(MAX(ROW(E10:E$1890)*(E1899=E10:E$1890)))))</f>
        <v/>
      </c>
      <c r="J1899" s="24" t="str">
        <f aca="true">IF(OR(E1899="",E1899="!!!",F1899="NEW"),"",COUNTBLANK(OFFSET(A$1,,,SUMPRODUCT(MAX(ROW(E$2:E1899)*(E1899=E$2:E1899)))))-COUNTBLANK(OFFSET(A$1,,,SUMPRODUCT(MAX(ROW(E$1:E1898)*(E2=E$1:E1898))))))</f>
        <v/>
      </c>
      <c r="K1899" s="24" t="str">
        <f aca="false">IF(OR(E1899="",E1899="!!!",F1899="NEW"),"",INDEX(J$1:J1898,SUMPRODUCT(MAX(ROW(E$1:E1898)*(E1899=E$1:E1898)))))</f>
        <v/>
      </c>
      <c r="L1899" s="31"/>
    </row>
    <row r="1900" customFormat="false" ht="15" hidden="false" customHeight="false" outlineLevel="0" collapsed="false">
      <c r="A1900" s="20" t="s">
        <v>1338</v>
      </c>
      <c r="E1900" s="23" t="str">
        <f aca="false">IF(D1900="?OLD","!!!","")</f>
        <v/>
      </c>
      <c r="F1900" s="25" t="str">
        <f aca="false">IF(OR(E1900="",E1900="!!!"),"",IF(NOT(ISNA(VLOOKUP(E1900,E$1:E1899,1,FALSE()))),"OLD",IF(AND(E1900&lt;&gt;"",E1900&lt;&gt;"!!!"),"NEW","")))</f>
        <v/>
      </c>
      <c r="G1900" s="26" t="str">
        <f aca="false">IF(OR(E1900="",E1900="!!!"),"",IF(OR(J1900=0,AND(J1900=1,K1900=1),AND(J1900=1,I1900="SBJ"),AND(J1900=1,I1900=0)),"?IN_FOCUS",IF(J1900&lt;=2,"?ACTIVATED",IF(J1900&lt;&gt;"","?FAMILIAR",IF(F1900="NEW",IF(ISNA(VLOOKUP(E1900,#REF!,1,FALSE())),"?TYPE_IDENTIFIABLE","?REFERENTIAL"),"_")))))</f>
        <v/>
      </c>
      <c r="H1900" s="27" t="str">
        <f aca="false">IF(J1900&lt;&gt;1,"",IF(I1900="SBJ","CB","?"))</f>
        <v/>
      </c>
      <c r="I1900" s="24" t="str">
        <f aca="false">IF(OR(E1900="",E1900="!!!",F1900="NEW"),"",INDEX(B11:B$1890,-1+SUMPRODUCT(MAX(ROW(E11:E$1890)*(E1900=E11:E$1890)))))</f>
        <v/>
      </c>
      <c r="J1900" s="24" t="str">
        <f aca="true">IF(OR(E1900="",E1900="!!!",F1900="NEW"),"",COUNTBLANK(OFFSET(A$1,,,SUMPRODUCT(MAX(ROW(E$2:E1900)*(E1900=E$2:E1900)))))-COUNTBLANK(OFFSET(A$1,,,SUMPRODUCT(MAX(ROW(E$1:E1899)*(E2=E$1:E1899))))))</f>
        <v/>
      </c>
      <c r="K1900" s="24" t="str">
        <f aca="false">IF(OR(E1900="",E1900="!!!",F1900="NEW"),"",INDEX(J$1:J1899,SUMPRODUCT(MAX(ROW(E$1:E1899)*(E1900=E$1:E1899)))))</f>
        <v/>
      </c>
      <c r="L1900" s="31"/>
    </row>
    <row r="1901" customFormat="false" ht="15" hidden="false" customHeight="false" outlineLevel="0" collapsed="false">
      <c r="A1901" s="20" t="s">
        <v>1095</v>
      </c>
      <c r="E1901" s="23" t="str">
        <f aca="false">IF(D1901="?OLD","!!!","")</f>
        <v/>
      </c>
      <c r="F1901" s="25" t="str">
        <f aca="false">IF(OR(E1901="",E1901="!!!"),"",IF(NOT(ISNA(VLOOKUP(E1901,E$1:E1900,1,FALSE()))),"OLD",IF(AND(E1901&lt;&gt;"",E1901&lt;&gt;"!!!"),"NEW","")))</f>
        <v/>
      </c>
      <c r="G1901" s="26" t="str">
        <f aca="false">IF(OR(E1901="",E1901="!!!"),"",IF(OR(J1901=0,AND(J1901=1,K1901=1),AND(J1901=1,I1901="SBJ"),AND(J1901=1,I1901=0)),"?IN_FOCUS",IF(J1901&lt;=2,"?ACTIVATED",IF(J1901&lt;&gt;"","?FAMILIAR",IF(F1901="NEW",IF(ISNA(VLOOKUP(E1901,#REF!,1,FALSE())),"?TYPE_IDENTIFIABLE","?REFERENTIAL"),"_")))))</f>
        <v/>
      </c>
      <c r="H1901" s="27" t="str">
        <f aca="false">IF(J1901&lt;&gt;1,"",IF(I1901="SBJ","CB","?"))</f>
        <v/>
      </c>
      <c r="I1901" s="24" t="str">
        <f aca="false">IF(OR(E1901="",E1901="!!!",F1901="NEW"),"",INDEX(B12:B$1890,-1+SUMPRODUCT(MAX(ROW(E12:E$1890)*(E1901=E12:E$1890)))))</f>
        <v/>
      </c>
      <c r="J1901" s="24" t="str">
        <f aca="true">IF(OR(E1901="",E1901="!!!",F1901="NEW"),"",COUNTBLANK(OFFSET(A$1,,,SUMPRODUCT(MAX(ROW(E$2:E1901)*(E1901=E$2:E1901)))))-COUNTBLANK(OFFSET(A$1,,,SUMPRODUCT(MAX(ROW(E$1:E1900)*(E2=E$1:E1900))))))</f>
        <v/>
      </c>
      <c r="K1901" s="24" t="str">
        <f aca="false">IF(OR(E1901="",E1901="!!!",F1901="NEW"),"",INDEX(J$1:J1900,SUMPRODUCT(MAX(ROW(E$1:E1900)*(E1901=E$1:E1900)))))</f>
        <v/>
      </c>
      <c r="L1901" s="31"/>
    </row>
    <row r="1902" customFormat="false" ht="15" hidden="false" customHeight="false" outlineLevel="0" collapsed="false">
      <c r="A1902" s="20" t="s">
        <v>1569</v>
      </c>
      <c r="B1902" s="22" t="s">
        <v>1067</v>
      </c>
      <c r="C1902" s="22" t="s">
        <v>1202</v>
      </c>
      <c r="E1902" s="23" t="str">
        <f aca="false">IF(D1902="?OLD","!!!","")</f>
        <v/>
      </c>
      <c r="F1902" s="25" t="str">
        <f aca="false">IF(OR(E1902="",E1902="!!!"),"",IF(NOT(ISNA(VLOOKUP(E1902,E$1:E1901,1,FALSE()))),"OLD",IF(AND(E1902&lt;&gt;"",E1902&lt;&gt;"!!!"),"NEW","")))</f>
        <v/>
      </c>
      <c r="G1902" s="26" t="str">
        <f aca="false">IF(OR(E1902="",E1902="!!!"),"",IF(OR(J1902=0,AND(J1902=1,K1902=1),AND(J1902=1,I1902="SBJ"),AND(J1902=1,I1902=0)),"?IN_FOCUS",IF(J1902&lt;=2,"?ACTIVATED",IF(J1902&lt;&gt;"","?FAMILIAR",IF(F1902="NEW",IF(ISNA(VLOOKUP(E1902,#REF!,1,FALSE())),"?TYPE_IDENTIFIABLE","?REFERENTIAL"),"_")))))</f>
        <v/>
      </c>
      <c r="H1902" s="27" t="str">
        <f aca="false">IF(J1902&lt;&gt;1,"",IF(I1902="SBJ","CB","?"))</f>
        <v/>
      </c>
      <c r="I1902" s="24" t="str">
        <f aca="false">IF(OR(E1902="",E1902="!!!",F1902="NEW"),"",INDEX(B13:B$1890,-1+SUMPRODUCT(MAX(ROW(E13:E$1890)*(E1902=E13:E$1890)))))</f>
        <v/>
      </c>
      <c r="J1902" s="24" t="str">
        <f aca="true">IF(OR(E1902="",E1902="!!!",F1902="NEW"),"",COUNTBLANK(OFFSET(A$1,,,SUMPRODUCT(MAX(ROW(E$2:E1902)*(E1902=E$2:E1902)))))-COUNTBLANK(OFFSET(A$1,,,SUMPRODUCT(MAX(ROW(E$1:E1901)*(E2=E$1:E1901))))))</f>
        <v/>
      </c>
      <c r="K1902" s="24" t="str">
        <f aca="false">IF(OR(E1902="",E1902="!!!",F1902="NEW"),"",INDEX(J$1:J1901,SUMPRODUCT(MAX(ROW(E$1:E1901)*(E1902=E$1:E1901)))))</f>
        <v/>
      </c>
      <c r="L1902" s="31"/>
    </row>
    <row r="1903" customFormat="false" ht="15" hidden="false" customHeight="false" outlineLevel="0" collapsed="false">
      <c r="A1903" s="20" t="s">
        <v>1186</v>
      </c>
      <c r="B1903" s="22" t="s">
        <v>1359</v>
      </c>
      <c r="C1903" s="22" t="s">
        <v>1082</v>
      </c>
      <c r="D1903" s="22" t="s">
        <v>1060</v>
      </c>
      <c r="E1903" s="23" t="str">
        <f aca="false">IF(D1903="?OLD","!!!","")</f>
        <v>!!!</v>
      </c>
      <c r="F1903" s="25" t="str">
        <f aca="false">IF(OR(E1903="",E1903="!!!"),"",IF(NOT(ISNA(VLOOKUP(E1903,E$1:E1902,1,FALSE()))),"OLD",IF(AND(E1903&lt;&gt;"",E1903&lt;&gt;"!!!"),"NEW","")))</f>
        <v/>
      </c>
      <c r="G1903" s="26" t="str">
        <f aca="false">IF(OR(E1903="",E1903="!!!"),"",IF(OR(J1903=0,AND(J1903=1,K1903=1),AND(J1903=1,I1903="SBJ"),AND(J1903=1,I1903=0)),"?IN_FOCUS",IF(J1903&lt;=2,"?ACTIVATED",IF(J1903&lt;&gt;"","?FAMILIAR",IF(F1903="NEW",IF(ISNA(VLOOKUP(E1903,#REF!,1,FALSE())),"?TYPE_IDENTIFIABLE","?REFERENTIAL"),"_")))))</f>
        <v/>
      </c>
      <c r="H1903" s="27" t="str">
        <f aca="false">IF(J1903&lt;&gt;1,"",IF(I1903="SBJ","CB","?"))</f>
        <v/>
      </c>
      <c r="I1903" s="24" t="str">
        <f aca="false">IF(OR(E1903="",E1903="!!!",F1903="NEW"),"",INDEX(B14:B$1890,-1+SUMPRODUCT(MAX(ROW(E14:E$1890)*(E1903=E14:E$1890)))))</f>
        <v/>
      </c>
      <c r="J1903" s="24" t="str">
        <f aca="true">IF(OR(E1903="",E1903="!!!",F1903="NEW"),"",COUNTBLANK(OFFSET(A$1,,,SUMPRODUCT(MAX(ROW(E$2:E1903)*(E1903=E$2:E1903)))))-COUNTBLANK(OFFSET(A$1,,,SUMPRODUCT(MAX(ROW(E$1:E1902)*(E2=E$1:E1902))))))</f>
        <v/>
      </c>
      <c r="K1903" s="24" t="str">
        <f aca="false">IF(OR(E1903="",E1903="!!!",F1903="NEW"),"",INDEX(J$1:J1902,SUMPRODUCT(MAX(ROW(E$1:E1902)*(E1903=E$1:E1902)))))</f>
        <v/>
      </c>
      <c r="L1903" s="31"/>
    </row>
    <row r="1904" customFormat="false" ht="15" hidden="false" customHeight="false" outlineLevel="0" collapsed="false">
      <c r="A1904" s="20" t="s">
        <v>502</v>
      </c>
      <c r="E1904" s="23" t="str">
        <f aca="false">IF(D1904="?OLD","!!!","")</f>
        <v/>
      </c>
      <c r="F1904" s="25" t="str">
        <f aca="false">IF(OR(E1904="",E1904="!!!"),"",IF(NOT(ISNA(VLOOKUP(E1904,E$1:E1903,1,FALSE()))),"OLD",IF(AND(E1904&lt;&gt;"",E1904&lt;&gt;"!!!"),"NEW","")))</f>
        <v/>
      </c>
      <c r="G1904" s="26" t="str">
        <f aca="false">IF(OR(E1904="",E1904="!!!"),"",IF(OR(J1904=0,AND(J1904=1,K1904=1),AND(J1904=1,I1904="SBJ"),AND(J1904=1,I1904=0)),"?IN_FOCUS",IF(J1904&lt;=2,"?ACTIVATED",IF(J1904&lt;&gt;"","?FAMILIAR",IF(F1904="NEW",IF(ISNA(VLOOKUP(E1904,#REF!,1,FALSE())),"?TYPE_IDENTIFIABLE","?REFERENTIAL"),"_")))))</f>
        <v/>
      </c>
      <c r="H1904" s="27" t="str">
        <f aca="false">IF(J1904&lt;&gt;1,"",IF(I1904="SBJ","CB","?"))</f>
        <v/>
      </c>
      <c r="I1904" s="24" t="str">
        <f aca="false">IF(OR(E1904="",E1904="!!!",F1904="NEW"),"",INDEX(B15:B$1890,-1+SUMPRODUCT(MAX(ROW(E15:E$1890)*(E1904=E15:E$1890)))))</f>
        <v/>
      </c>
      <c r="J1904" s="24" t="str">
        <f aca="true">IF(OR(E1904="",E1904="!!!",F1904="NEW"),"",COUNTBLANK(OFFSET(A$1,,,SUMPRODUCT(MAX(ROW(E$2:E1904)*(E1904=E$2:E1904)))))-COUNTBLANK(OFFSET(A$1,,,SUMPRODUCT(MAX(ROW(E$1:E1903)*(E2=E$1:E1903))))))</f>
        <v/>
      </c>
      <c r="K1904" s="24" t="str">
        <f aca="false">IF(OR(E1904="",E1904="!!!",F1904="NEW"),"",INDEX(J$1:J1903,SUMPRODUCT(MAX(ROW(E$1:E1903)*(E1904=E$1:E1903)))))</f>
        <v/>
      </c>
      <c r="L1904" s="31"/>
    </row>
    <row r="1905" customFormat="false" ht="15" hidden="false" customHeight="false" outlineLevel="0" collapsed="false">
      <c r="A1905" s="20" t="s">
        <v>1076</v>
      </c>
      <c r="E1905" s="23" t="str">
        <f aca="false">IF(D1905="?OLD","!!!","")</f>
        <v/>
      </c>
      <c r="F1905" s="25" t="str">
        <f aca="false">IF(OR(E1905="",E1905="!!!"),"",IF(NOT(ISNA(VLOOKUP(E1905,E$1:E1904,1,FALSE()))),"OLD",IF(AND(E1905&lt;&gt;"",E1905&lt;&gt;"!!!"),"NEW","")))</f>
        <v/>
      </c>
      <c r="G1905" s="26" t="str">
        <f aca="false">IF(OR(E1905="",E1905="!!!"),"",IF(OR(J1905=0,AND(J1905=1,K1905=1),AND(J1905=1,I1905="SBJ"),AND(J1905=1,I1905=0)),"?IN_FOCUS",IF(J1905&lt;=2,"?ACTIVATED",IF(J1905&lt;&gt;"","?FAMILIAR",IF(F1905="NEW",IF(ISNA(VLOOKUP(E1905,#REF!,1,FALSE())),"?TYPE_IDENTIFIABLE","?REFERENTIAL"),"_")))))</f>
        <v/>
      </c>
      <c r="H1905" s="27" t="str">
        <f aca="false">IF(J1905&lt;&gt;1,"",IF(I1905="SBJ","CB","?"))</f>
        <v/>
      </c>
      <c r="I1905" s="24" t="str">
        <f aca="false">IF(OR(E1905="",E1905="!!!",F1905="NEW"),"",INDEX(B16:B$1890,-1+SUMPRODUCT(MAX(ROW(E16:E$1890)*(E1905=E16:E$1890)))))</f>
        <v/>
      </c>
      <c r="J1905" s="24" t="str">
        <f aca="true">IF(OR(E1905="",E1905="!!!",F1905="NEW"),"",COUNTBLANK(OFFSET(A$1,,,SUMPRODUCT(MAX(ROW(E$2:E1905)*(E1905=E$2:E1905)))))-COUNTBLANK(OFFSET(A$1,,,SUMPRODUCT(MAX(ROW(E$1:E1904)*(E2=E$1:E1904))))))</f>
        <v/>
      </c>
      <c r="K1905" s="24" t="str">
        <f aca="false">IF(OR(E1905="",E1905="!!!",F1905="NEW"),"",INDEX(J$1:J1904,SUMPRODUCT(MAX(ROW(E$1:E1904)*(E1905=E$1:E1904)))))</f>
        <v/>
      </c>
      <c r="L1905" s="31"/>
    </row>
    <row r="1906" customFormat="false" ht="15" hidden="false" customHeight="false" outlineLevel="0" collapsed="false">
      <c r="A1906" s="20" t="s">
        <v>1128</v>
      </c>
      <c r="E1906" s="23" t="str">
        <f aca="false">IF(D1906="?OLD","!!!","")</f>
        <v/>
      </c>
      <c r="F1906" s="25" t="str">
        <f aca="false">IF(OR(E1906="",E1906="!!!"),"",IF(NOT(ISNA(VLOOKUP(E1906,E$1:E1905,1,FALSE()))),"OLD",IF(AND(E1906&lt;&gt;"",E1906&lt;&gt;"!!!"),"NEW","")))</f>
        <v/>
      </c>
      <c r="G1906" s="26" t="str">
        <f aca="false">IF(OR(E1906="",E1906="!!!"),"",IF(OR(J1906=0,AND(J1906=1,K1906=1),AND(J1906=1,I1906="SBJ"),AND(J1906=1,I1906=0)),"?IN_FOCUS",IF(J1906&lt;=2,"?ACTIVATED",IF(J1906&lt;&gt;"","?FAMILIAR",IF(F1906="NEW",IF(ISNA(VLOOKUP(E1906,#REF!,1,FALSE())),"?TYPE_IDENTIFIABLE","?REFERENTIAL"),"_")))))</f>
        <v/>
      </c>
      <c r="H1906" s="27" t="str">
        <f aca="false">IF(J1906&lt;&gt;1,"",IF(I1906="SBJ","CB","?"))</f>
        <v/>
      </c>
      <c r="I1906" s="24" t="str">
        <f aca="false">IF(OR(E1906="",E1906="!!!",F1906="NEW"),"",INDEX(B17:B$1890,-1+SUMPRODUCT(MAX(ROW(E17:E$1890)*(E1906=E17:E$1890)))))</f>
        <v/>
      </c>
      <c r="J1906" s="24" t="str">
        <f aca="true">IF(OR(E1906="",E1906="!!!",F1906="NEW"),"",COUNTBLANK(OFFSET(A$1,,,SUMPRODUCT(MAX(ROW(E$2:E1906)*(E1906=E$2:E1906)))))-COUNTBLANK(OFFSET(A$1,,,SUMPRODUCT(MAX(ROW(E$1:E1905)*(E2=E$1:E1905))))))</f>
        <v/>
      </c>
      <c r="K1906" s="24" t="str">
        <f aca="false">IF(OR(E1906="",E1906="!!!",F1906="NEW"),"",INDEX(J$1:J1905,SUMPRODUCT(MAX(ROW(E$1:E1905)*(E1906=E$1:E1905)))))</f>
        <v/>
      </c>
      <c r="L1906" s="31"/>
    </row>
    <row r="1907" customFormat="false" ht="15" hidden="false" customHeight="false" outlineLevel="0" collapsed="false">
      <c r="A1907" s="20" t="s">
        <v>1795</v>
      </c>
      <c r="E1907" s="23" t="str">
        <f aca="false">IF(D1907="?OLD","!!!","")</f>
        <v/>
      </c>
      <c r="F1907" s="25" t="str">
        <f aca="false">IF(OR(E1907="",E1907="!!!"),"",IF(NOT(ISNA(VLOOKUP(E1907,E$1:E1906,1,FALSE()))),"OLD",IF(AND(E1907&lt;&gt;"",E1907&lt;&gt;"!!!"),"NEW","")))</f>
        <v/>
      </c>
      <c r="G1907" s="26" t="str">
        <f aca="false">IF(OR(E1907="",E1907="!!!"),"",IF(OR(J1907=0,AND(J1907=1,K1907=1),AND(J1907=1,I1907="SBJ"),AND(J1907=1,I1907=0)),"?IN_FOCUS",IF(J1907&lt;=2,"?ACTIVATED",IF(J1907&lt;&gt;"","?FAMILIAR",IF(F1907="NEW",IF(ISNA(VLOOKUP(E1907,#REF!,1,FALSE())),"?TYPE_IDENTIFIABLE","?REFERENTIAL"),"_")))))</f>
        <v/>
      </c>
      <c r="H1907" s="27" t="str">
        <f aca="false">IF(J1907&lt;&gt;1,"",IF(I1907="SBJ","CB","?"))</f>
        <v/>
      </c>
      <c r="I1907" s="24" t="str">
        <f aca="false">IF(OR(E1907="",E1907="!!!",F1907="NEW"),"",INDEX(B18:B$1890,-1+SUMPRODUCT(MAX(ROW(E18:E$1890)*(E1907=E18:E$1890)))))</f>
        <v/>
      </c>
      <c r="J1907" s="24" t="str">
        <f aca="true">IF(OR(E1907="",E1907="!!!",F1907="NEW"),"",COUNTBLANK(OFFSET(A$1,,,SUMPRODUCT(MAX(ROW(E$2:E1907)*(E1907=E$2:E1907)))))-COUNTBLANK(OFFSET(A$1,,,SUMPRODUCT(MAX(ROW(E$1:E1906)*(E2=E$1:E1906))))))</f>
        <v/>
      </c>
      <c r="K1907" s="24" t="str">
        <f aca="false">IF(OR(E1907="",E1907="!!!",F1907="NEW"),"",INDEX(J$1:J1906,SUMPRODUCT(MAX(ROW(E$1:E1906)*(E1907=E$1:E1906)))))</f>
        <v/>
      </c>
      <c r="L1907" s="31"/>
    </row>
    <row r="1908" customFormat="false" ht="15" hidden="false" customHeight="false" outlineLevel="0" collapsed="false">
      <c r="A1908" s="20" t="s">
        <v>1224</v>
      </c>
      <c r="E1908" s="23" t="str">
        <f aca="false">IF(D1908="?OLD","!!!","")</f>
        <v/>
      </c>
      <c r="F1908" s="25" t="str">
        <f aca="false">IF(OR(E1908="",E1908="!!!"),"",IF(NOT(ISNA(VLOOKUP(E1908,E$1:E1907,1,FALSE()))),"OLD",IF(AND(E1908&lt;&gt;"",E1908&lt;&gt;"!!!"),"NEW","")))</f>
        <v/>
      </c>
      <c r="G1908" s="26" t="str">
        <f aca="false">IF(OR(E1908="",E1908="!!!"),"",IF(OR(J1908=0,AND(J1908=1,K1908=1),AND(J1908=1,I1908="SBJ"),AND(J1908=1,I1908=0)),"?IN_FOCUS",IF(J1908&lt;=2,"?ACTIVATED",IF(J1908&lt;&gt;"","?FAMILIAR",IF(F1908="NEW",IF(ISNA(VLOOKUP(E1908,#REF!,1,FALSE())),"?TYPE_IDENTIFIABLE","?REFERENTIAL"),"_")))))</f>
        <v/>
      </c>
      <c r="H1908" s="27" t="str">
        <f aca="false">IF(J1908&lt;&gt;1,"",IF(I1908="SBJ","CB","?"))</f>
        <v/>
      </c>
      <c r="I1908" s="24" t="str">
        <f aca="false">IF(OR(E1908="",E1908="!!!",F1908="NEW"),"",INDEX(B19:B$1890,-1+SUMPRODUCT(MAX(ROW(E19:E$1890)*(E1908=E19:E$1890)))))</f>
        <v/>
      </c>
      <c r="J1908" s="24" t="str">
        <f aca="true">IF(OR(E1908="",E1908="!!!",F1908="NEW"),"",COUNTBLANK(OFFSET(A$1,,,SUMPRODUCT(MAX(ROW(E$2:E1908)*(E1908=E$2:E1908)))))-COUNTBLANK(OFFSET(A$1,,,SUMPRODUCT(MAX(ROW(E$1:E1907)*(E2=E$1:E1907))))))</f>
        <v/>
      </c>
      <c r="K1908" s="24" t="str">
        <f aca="false">IF(OR(E1908="",E1908="!!!",F1908="NEW"),"",INDEX(J$1:J1907,SUMPRODUCT(MAX(ROW(E$1:E1907)*(E1908=E$1:E1907)))))</f>
        <v/>
      </c>
      <c r="L1908" s="31"/>
    </row>
    <row r="1909" customFormat="false" ht="15" hidden="false" customHeight="false" outlineLevel="0" collapsed="false">
      <c r="A1909" s="20" t="s">
        <v>1280</v>
      </c>
      <c r="E1909" s="23" t="str">
        <f aca="false">IF(D1909="?OLD","!!!","")</f>
        <v/>
      </c>
      <c r="F1909" s="25" t="str">
        <f aca="false">IF(OR(E1909="",E1909="!!!"),"",IF(NOT(ISNA(VLOOKUP(E1909,E$1:E1908,1,FALSE()))),"OLD",IF(AND(E1909&lt;&gt;"",E1909&lt;&gt;"!!!"),"NEW","")))</f>
        <v/>
      </c>
      <c r="G1909" s="26" t="str">
        <f aca="false">IF(OR(E1909="",E1909="!!!"),"",IF(OR(J1909=0,AND(J1909=1,K1909=1),AND(J1909=1,I1909="SBJ"),AND(J1909=1,I1909=0)),"?IN_FOCUS",IF(J1909&lt;=2,"?ACTIVATED",IF(J1909&lt;&gt;"","?FAMILIAR",IF(F1909="NEW",IF(ISNA(VLOOKUP(E1909,#REF!,1,FALSE())),"?TYPE_IDENTIFIABLE","?REFERENTIAL"),"_")))))</f>
        <v/>
      </c>
      <c r="H1909" s="27" t="str">
        <f aca="false">IF(J1909&lt;&gt;1,"",IF(I1909="SBJ","CB","?"))</f>
        <v/>
      </c>
      <c r="I1909" s="24" t="str">
        <f aca="false">IF(OR(E1909="",E1909="!!!",F1909="NEW"),"",INDEX(B20:B$1890,-1+SUMPRODUCT(MAX(ROW(E20:E$1890)*(E1909=E20:E$1890)))))</f>
        <v/>
      </c>
      <c r="J1909" s="24" t="str">
        <f aca="true">IF(OR(E1909="",E1909="!!!",F1909="NEW"),"",COUNTBLANK(OFFSET(A$1,,,SUMPRODUCT(MAX(ROW(E$2:E1909)*(E1909=E$2:E1909)))))-COUNTBLANK(OFFSET(A$1,,,SUMPRODUCT(MAX(ROW(E$1:E1908)*(E2=E$1:E1908))))))</f>
        <v/>
      </c>
      <c r="K1909" s="24" t="str">
        <f aca="false">IF(OR(E1909="",E1909="!!!",F1909="NEW"),"",INDEX(J$1:J1908,SUMPRODUCT(MAX(ROW(E$1:E1908)*(E1909=E$1:E1908)))))</f>
        <v/>
      </c>
      <c r="L1909" s="31"/>
    </row>
    <row r="1910" customFormat="false" ht="15" hidden="false" customHeight="false" outlineLevel="0" collapsed="false">
      <c r="A1910" s="20" t="s">
        <v>1109</v>
      </c>
      <c r="E1910" s="23" t="str">
        <f aca="false">IF(D1910="?OLD","!!!","")</f>
        <v/>
      </c>
      <c r="F1910" s="25" t="str">
        <f aca="false">IF(OR(E1910="",E1910="!!!"),"",IF(NOT(ISNA(VLOOKUP(E1910,E$1:E1909,1,FALSE()))),"OLD",IF(AND(E1910&lt;&gt;"",E1910&lt;&gt;"!!!"),"NEW","")))</f>
        <v/>
      </c>
      <c r="G1910" s="26" t="str">
        <f aca="false">IF(OR(E1910="",E1910="!!!"),"",IF(OR(J1910=0,AND(J1910=1,K1910=1),AND(J1910=1,I1910="SBJ"),AND(J1910=1,I1910=0)),"?IN_FOCUS",IF(J1910&lt;=2,"?ACTIVATED",IF(J1910&lt;&gt;"","?FAMILIAR",IF(F1910="NEW",IF(ISNA(VLOOKUP(E1910,#REF!,1,FALSE())),"?TYPE_IDENTIFIABLE","?REFERENTIAL"),"_")))))</f>
        <v/>
      </c>
      <c r="H1910" s="27" t="str">
        <f aca="false">IF(J1910&lt;&gt;1,"",IF(I1910="SBJ","CB","?"))</f>
        <v/>
      </c>
      <c r="I1910" s="24" t="str">
        <f aca="false">IF(OR(E1910="",E1910="!!!",F1910="NEW"),"",INDEX(B21:B$1890,-1+SUMPRODUCT(MAX(ROW(E21:E$1890)*(E1910=E21:E$1890)))))</f>
        <v/>
      </c>
      <c r="J1910" s="24" t="str">
        <f aca="true">IF(OR(E1910="",E1910="!!!",F1910="NEW"),"",COUNTBLANK(OFFSET(A$1,,,SUMPRODUCT(MAX(ROW(E$2:E1910)*(E1910=E$2:E1910)))))-COUNTBLANK(OFFSET(A$1,,,SUMPRODUCT(MAX(ROW(E$1:E1909)*(E2=E$1:E1909))))))</f>
        <v/>
      </c>
      <c r="K1910" s="24" t="str">
        <f aca="false">IF(OR(E1910="",E1910="!!!",F1910="NEW"),"",INDEX(J$1:J1909,SUMPRODUCT(MAX(ROW(E$1:E1909)*(E1910=E$1:E1909)))))</f>
        <v/>
      </c>
      <c r="L1910" s="31"/>
    </row>
    <row r="1911" customFormat="false" ht="15" hidden="false" customHeight="false" outlineLevel="0" collapsed="false">
      <c r="A1911" s="20" t="s">
        <v>78</v>
      </c>
      <c r="E1911" s="23" t="str">
        <f aca="false">IF(D1911="?OLD","!!!","")</f>
        <v/>
      </c>
      <c r="F1911" s="25" t="str">
        <f aca="false">IF(OR(E1911="",E1911="!!!"),"",IF(NOT(ISNA(VLOOKUP(E1911,E$1:E1910,1,FALSE()))),"OLD",IF(AND(E1911&lt;&gt;"",E1911&lt;&gt;"!!!"),"NEW","")))</f>
        <v/>
      </c>
      <c r="G1911" s="26" t="str">
        <f aca="false">IF(OR(E1911="",E1911="!!!"),"",IF(OR(J1911=0,AND(J1911=1,K1911=1),AND(J1911=1,I1911="SBJ"),AND(J1911=1,I1911=0)),"?IN_FOCUS",IF(J1911&lt;=2,"?ACTIVATED",IF(J1911&lt;&gt;"","?FAMILIAR",IF(F1911="NEW",IF(ISNA(VLOOKUP(E1911,#REF!,1,FALSE())),"?TYPE_IDENTIFIABLE","?REFERENTIAL"),"_")))))</f>
        <v/>
      </c>
      <c r="H1911" s="27" t="str">
        <f aca="false">IF(J1911&lt;&gt;1,"",IF(I1911="SBJ","CB","?"))</f>
        <v/>
      </c>
      <c r="I1911" s="24" t="str">
        <f aca="false">IF(OR(E1911="",E1911="!!!",F1911="NEW"),"",INDEX(B22:B$1890,-1+SUMPRODUCT(MAX(ROW(E22:E$1890)*(E1911=E22:E$1890)))))</f>
        <v/>
      </c>
      <c r="J1911" s="24" t="str">
        <f aca="true">IF(OR(E1911="",E1911="!!!",F1911="NEW"),"",COUNTBLANK(OFFSET(A$1,,,SUMPRODUCT(MAX(ROW(E$2:E1911)*(E1911=E$2:E1911)))))-COUNTBLANK(OFFSET(A$1,,,SUMPRODUCT(MAX(ROW(E$1:E1910)*(E2=E$1:E1910))))))</f>
        <v/>
      </c>
      <c r="K1911" s="24" t="str">
        <f aca="false">IF(OR(E1911="",E1911="!!!",F1911="NEW"),"",INDEX(J$1:J1910,SUMPRODUCT(MAX(ROW(E$1:E1910)*(E1911=E$1:E1910)))))</f>
        <v/>
      </c>
      <c r="L1911" s="31"/>
    </row>
    <row r="1912" customFormat="false" ht="15" hidden="false" customHeight="false" outlineLevel="0" collapsed="false">
      <c r="A1912" s="20" t="s">
        <v>1796</v>
      </c>
      <c r="B1912" s="22" t="s">
        <v>1142</v>
      </c>
      <c r="C1912" s="22" t="s">
        <v>1150</v>
      </c>
      <c r="D1912" s="22" t="s">
        <v>1060</v>
      </c>
      <c r="E1912" s="23" t="str">
        <f aca="false">IF(D1912="?OLD","!!!","")</f>
        <v>!!!</v>
      </c>
      <c r="F1912" s="25" t="str">
        <f aca="false">IF(OR(E1912="",E1912="!!!"),"",IF(NOT(ISNA(VLOOKUP(E1912,E$1:E1911,1,FALSE()))),"OLD",IF(AND(E1912&lt;&gt;"",E1912&lt;&gt;"!!!"),"NEW","")))</f>
        <v/>
      </c>
      <c r="G1912" s="26" t="str">
        <f aca="false">IF(OR(E1912="",E1912="!!!"),"",IF(OR(J1912=0,AND(J1912=1,K1912=1),AND(J1912=1,I1912="SBJ"),AND(J1912=1,I1912=0)),"?IN_FOCUS",IF(J1912&lt;=2,"?ACTIVATED",IF(J1912&lt;&gt;"","?FAMILIAR",IF(F1912="NEW",IF(ISNA(VLOOKUP(E1912,#REF!,1,FALSE())),"?TYPE_IDENTIFIABLE","?REFERENTIAL"),"_")))))</f>
        <v/>
      </c>
      <c r="H1912" s="27" t="str">
        <f aca="false">IF(J1912&lt;&gt;1,"",IF(I1912="SBJ","CB","?"))</f>
        <v/>
      </c>
      <c r="I1912" s="24" t="str">
        <f aca="false">IF(OR(E1912="",E1912="!!!",F1912="NEW"),"",INDEX(B23:B$1890,-1+SUMPRODUCT(MAX(ROW(E23:E$1890)*(E1912=E23:E$1890)))))</f>
        <v/>
      </c>
      <c r="J1912" s="24" t="str">
        <f aca="true">IF(OR(E1912="",E1912="!!!",F1912="NEW"),"",COUNTBLANK(OFFSET(A$1,,,SUMPRODUCT(MAX(ROW(E$2:E1912)*(E1912=E$2:E1912)))))-COUNTBLANK(OFFSET(A$1,,,SUMPRODUCT(MAX(ROW(E$1:E1911)*(E2=E$1:E1911))))))</f>
        <v/>
      </c>
      <c r="K1912" s="24" t="str">
        <f aca="false">IF(OR(E1912="",E1912="!!!",F1912="NEW"),"",INDEX(J$1:J1911,SUMPRODUCT(MAX(ROW(E$1:E1911)*(E1912=E$1:E1911)))))</f>
        <v/>
      </c>
      <c r="L1912" s="31"/>
    </row>
    <row r="1913" customFormat="false" ht="15" hidden="false" customHeight="false" outlineLevel="0" collapsed="false">
      <c r="A1913" s="20" t="s">
        <v>1460</v>
      </c>
      <c r="E1913" s="23" t="str">
        <f aca="false">IF(D1913="?OLD","!!!","")</f>
        <v/>
      </c>
      <c r="F1913" s="25" t="str">
        <f aca="false">IF(OR(E1913="",E1913="!!!"),"",IF(NOT(ISNA(VLOOKUP(E1913,E$1:E1912,1,FALSE()))),"OLD",IF(AND(E1913&lt;&gt;"",E1913&lt;&gt;"!!!"),"NEW","")))</f>
        <v/>
      </c>
      <c r="G1913" s="26" t="str">
        <f aca="false">IF(OR(E1913="",E1913="!!!"),"",IF(OR(J1913=0,AND(J1913=1,K1913=1),AND(J1913=1,I1913="SBJ"),AND(J1913=1,I1913=0)),"?IN_FOCUS",IF(J1913&lt;=2,"?ACTIVATED",IF(J1913&lt;&gt;"","?FAMILIAR",IF(F1913="NEW",IF(ISNA(VLOOKUP(E1913,#REF!,1,FALSE())),"?TYPE_IDENTIFIABLE","?REFERENTIAL"),"_")))))</f>
        <v/>
      </c>
      <c r="H1913" s="27" t="str">
        <f aca="false">IF(J1913&lt;&gt;1,"",IF(I1913="SBJ","CB","?"))</f>
        <v/>
      </c>
      <c r="I1913" s="24" t="str">
        <f aca="false">IF(OR(E1913="",E1913="!!!",F1913="NEW"),"",INDEX(B24:B$1890,-1+SUMPRODUCT(MAX(ROW(E24:E$1890)*(E1913=E24:E$1890)))))</f>
        <v/>
      </c>
      <c r="J1913" s="24" t="str">
        <f aca="true">IF(OR(E1913="",E1913="!!!",F1913="NEW"),"",COUNTBLANK(OFFSET(A$1,,,SUMPRODUCT(MAX(ROW(E$2:E1913)*(E1913=E$2:E1913)))))-COUNTBLANK(OFFSET(A$1,,,SUMPRODUCT(MAX(ROW(E$1:E1912)*(E2=E$1:E1912))))))</f>
        <v/>
      </c>
      <c r="K1913" s="24" t="str">
        <f aca="false">IF(OR(E1913="",E1913="!!!",F1913="NEW"),"",INDEX(J$1:J1912,SUMPRODUCT(MAX(ROW(E$1:E1912)*(E1913=E$1:E1912)))))</f>
        <v/>
      </c>
      <c r="L1913" s="31"/>
    </row>
    <row r="1914" customFormat="false" ht="15" hidden="false" customHeight="false" outlineLevel="0" collapsed="false">
      <c r="A1914" s="20" t="s">
        <v>1179</v>
      </c>
      <c r="B1914" s="22" t="s">
        <v>1067</v>
      </c>
      <c r="C1914" s="22" t="s">
        <v>1082</v>
      </c>
      <c r="D1914" s="22" t="s">
        <v>1060</v>
      </c>
      <c r="E1914" s="23" t="str">
        <f aca="false">IF(D1914="?OLD","!!!","")</f>
        <v>!!!</v>
      </c>
      <c r="F1914" s="25" t="str">
        <f aca="false">IF(OR(E1914="",E1914="!!!"),"",IF(NOT(ISNA(VLOOKUP(E1914,E$1:E1913,1,FALSE()))),"OLD",IF(AND(E1914&lt;&gt;"",E1914&lt;&gt;"!!!"),"NEW","")))</f>
        <v/>
      </c>
      <c r="G1914" s="26" t="str">
        <f aca="false">IF(OR(E1914="",E1914="!!!"),"",IF(OR(J1914=0,AND(J1914=1,K1914=1),AND(J1914=1,I1914="SBJ"),AND(J1914=1,I1914=0)),"?IN_FOCUS",IF(J1914&lt;=2,"?ACTIVATED",IF(J1914&lt;&gt;"","?FAMILIAR",IF(F1914="NEW",IF(ISNA(VLOOKUP(E1914,#REF!,1,FALSE())),"?TYPE_IDENTIFIABLE","?REFERENTIAL"),"_")))))</f>
        <v/>
      </c>
      <c r="H1914" s="27" t="str">
        <f aca="false">IF(J1914&lt;&gt;1,"",IF(I1914="SBJ","CB","?"))</f>
        <v/>
      </c>
      <c r="I1914" s="24" t="str">
        <f aca="false">IF(OR(E1914="",E1914="!!!",F1914="NEW"),"",INDEX(B25:B$1890,-1+SUMPRODUCT(MAX(ROW(E25:E$1890)*(E1914=E25:E$1890)))))</f>
        <v/>
      </c>
      <c r="J1914" s="24" t="str">
        <f aca="true">IF(OR(E1914="",E1914="!!!",F1914="NEW"),"",COUNTBLANK(OFFSET(A$1,,,SUMPRODUCT(MAX(ROW(E$2:E1914)*(E1914=E$2:E1914)))))-COUNTBLANK(OFFSET(A$1,,,SUMPRODUCT(MAX(ROW(E$1:E1913)*(E2=E$1:E1913))))))</f>
        <v/>
      </c>
      <c r="K1914" s="24" t="str">
        <f aca="false">IF(OR(E1914="",E1914="!!!",F1914="NEW"),"",INDEX(J$1:J1913,SUMPRODUCT(MAX(ROW(E$1:E1913)*(E1914=E$1:E1913)))))</f>
        <v/>
      </c>
      <c r="L1914" s="31"/>
    </row>
    <row r="1915" customFormat="false" ht="15" hidden="false" customHeight="false" outlineLevel="0" collapsed="false">
      <c r="A1915" s="20" t="s">
        <v>923</v>
      </c>
      <c r="E1915" s="23" t="str">
        <f aca="false">IF(D1915="?OLD","!!!","")</f>
        <v/>
      </c>
      <c r="F1915" s="25" t="str">
        <f aca="false">IF(OR(E1915="",E1915="!!!"),"",IF(NOT(ISNA(VLOOKUP(E1915,E$1:E1914,1,FALSE()))),"OLD",IF(AND(E1915&lt;&gt;"",E1915&lt;&gt;"!!!"),"NEW","")))</f>
        <v/>
      </c>
      <c r="G1915" s="26" t="str">
        <f aca="false">IF(OR(E1915="",E1915="!!!"),"",IF(OR(J1915=0,AND(J1915=1,K1915=1),AND(J1915=1,I1915="SBJ"),AND(J1915=1,I1915=0)),"?IN_FOCUS",IF(J1915&lt;=2,"?ACTIVATED",IF(J1915&lt;&gt;"","?FAMILIAR",IF(F1915="NEW",IF(ISNA(VLOOKUP(E1915,#REF!,1,FALSE())),"?TYPE_IDENTIFIABLE","?REFERENTIAL"),"_")))))</f>
        <v/>
      </c>
      <c r="H1915" s="27" t="str">
        <f aca="false">IF(J1915&lt;&gt;1,"",IF(I1915="SBJ","CB","?"))</f>
        <v/>
      </c>
      <c r="I1915" s="24" t="str">
        <f aca="false">IF(OR(E1915="",E1915="!!!",F1915="NEW"),"",INDEX(B26:B$1890,-1+SUMPRODUCT(MAX(ROW(E26:E$1890)*(E1915=E26:E$1890)))))</f>
        <v/>
      </c>
      <c r="J1915" s="24" t="str">
        <f aca="true">IF(OR(E1915="",E1915="!!!",F1915="NEW"),"",COUNTBLANK(OFFSET(A$1,,,SUMPRODUCT(MAX(ROW(E$2:E1915)*(E1915=E$2:E1915)))))-COUNTBLANK(OFFSET(A$1,,,SUMPRODUCT(MAX(ROW(E$1:E1914)*(E2=E$1:E1914))))))</f>
        <v/>
      </c>
      <c r="K1915" s="24" t="str">
        <f aca="false">IF(OR(E1915="",E1915="!!!",F1915="NEW"),"",INDEX(J$1:J1914,SUMPRODUCT(MAX(ROW(E$1:E1914)*(E1915=E$1:E1914)))))</f>
        <v/>
      </c>
      <c r="L1915" s="31"/>
    </row>
    <row r="1916" customFormat="false" ht="15" hidden="false" customHeight="false" outlineLevel="0" collapsed="false">
      <c r="A1916" s="20"/>
    </row>
    <row r="1917" customFormat="false" ht="15" hidden="false" customHeight="false" outlineLevel="0" collapsed="false">
      <c r="A1917" s="20" t="s">
        <v>1797</v>
      </c>
    </row>
    <row r="1918" customFormat="false" ht="15" hidden="false" customHeight="false" outlineLevel="0" collapsed="false">
      <c r="A1918" s="20" t="s">
        <v>1312</v>
      </c>
      <c r="E1918" s="23" t="str">
        <f aca="false">IF(D1918="?OLD","!!!","")</f>
        <v/>
      </c>
      <c r="F1918" s="25" t="str">
        <f aca="false">IF(OR(E1918="",E1918="!!!"),"",IF(NOT(ISNA(VLOOKUP(E1918,E$1:E1917,1,FALSE()))),"OLD",IF(AND(E1918&lt;&gt;"",E1918&lt;&gt;"!!!"),"NEW","")))</f>
        <v/>
      </c>
      <c r="G1918" s="26" t="str">
        <f aca="false">IF(OR(E1918="",E1918="!!!"),"",IF(OR(J1918=0,AND(J1918=1,K1918=1),AND(J1918=1,I1918="SBJ"),AND(J1918=1,I1918=0)),"?IN_FOCUS",IF(J1918&lt;=2,"?ACTIVATED",IF(J1918&lt;&gt;"","?FAMILIAR",IF(F1918="NEW",IF(ISNA(VLOOKUP(E1918,#REF!,1,FALSE())),"?TYPE_IDENTIFIABLE","?REFERENTIAL"),"_")))))</f>
        <v/>
      </c>
      <c r="H1918" s="27" t="str">
        <f aca="false">IF(J1918&lt;&gt;1,"",IF(I1918="SBJ","CB","?"))</f>
        <v/>
      </c>
      <c r="I1918" s="24" t="str">
        <f aca="false">IF(OR(E1918="",E1918="!!!",F1918="NEW"),"",INDEX(B2:B$1917,-1+SUMPRODUCT(MAX(ROW(E2:E$1917)*(E1918=E2:E$1917)))))</f>
        <v/>
      </c>
      <c r="J1918" s="24" t="str">
        <f aca="true">IF(OR(E1918="",E1918="!!!",F1918="NEW"),"",COUNTBLANK(OFFSET(A$1,,,SUMPRODUCT(MAX(ROW(E$2:E1918)*(E1918=E$2:E1918)))))-COUNTBLANK(OFFSET(A$1,,,SUMPRODUCT(MAX(ROW(E$1:E1917)*(E2=E$1:E1917))))))</f>
        <v/>
      </c>
      <c r="K1918" s="24" t="str">
        <f aca="false">IF(OR(E1918="",E1918="!!!",F1918="NEW"),"",INDEX(J$1:J1917,SUMPRODUCT(MAX(ROW(E$1:E1917)*(E1918=E$1:E1917)))))</f>
        <v/>
      </c>
      <c r="L1918" s="31"/>
    </row>
    <row r="1919" customFormat="false" ht="15" hidden="false" customHeight="false" outlineLevel="0" collapsed="false">
      <c r="A1919" s="20" t="s">
        <v>1090</v>
      </c>
      <c r="B1919" s="22" t="s">
        <v>1086</v>
      </c>
      <c r="C1919" s="22" t="s">
        <v>1082</v>
      </c>
      <c r="D1919" s="22" t="s">
        <v>1060</v>
      </c>
      <c r="E1919" s="23" t="str">
        <f aca="false">IF(D1919="?OLD","!!!","")</f>
        <v>!!!</v>
      </c>
      <c r="F1919" s="25" t="str">
        <f aca="false">IF(OR(E1919="",E1919="!!!"),"",IF(NOT(ISNA(VLOOKUP(E1919,E$1:E1918,1,FALSE()))),"OLD",IF(AND(E1919&lt;&gt;"",E1919&lt;&gt;"!!!"),"NEW","")))</f>
        <v/>
      </c>
      <c r="G1919" s="26" t="str">
        <f aca="false">IF(OR(E1919="",E1919="!!!"),"",IF(OR(J1919=0,AND(J1919=1,K1919=1),AND(J1919=1,I1919="SBJ"),AND(J1919=1,I1919=0)),"?IN_FOCUS",IF(J1919&lt;=2,"?ACTIVATED",IF(J1919&lt;&gt;"","?FAMILIAR",IF(F1919="NEW",IF(ISNA(VLOOKUP(E1919,#REF!,1,FALSE())),"?TYPE_IDENTIFIABLE","?REFERENTIAL"),"_")))))</f>
        <v/>
      </c>
      <c r="H1919" s="27" t="str">
        <f aca="false">IF(J1919&lt;&gt;1,"",IF(I1919="SBJ","CB","?"))</f>
        <v/>
      </c>
      <c r="I1919" s="24" t="str">
        <f aca="false">IF(OR(E1919="",E1919="!!!",F1919="NEW"),"",INDEX(B3:B$1917,-1+SUMPRODUCT(MAX(ROW(E3:E$1917)*(E1919=E3:E$1917)))))</f>
        <v/>
      </c>
      <c r="J1919" s="24" t="str">
        <f aca="true">IF(OR(E1919="",E1919="!!!",F1919="NEW"),"",COUNTBLANK(OFFSET(A$1,,,SUMPRODUCT(MAX(ROW(E$2:E1919)*(E1919=E$2:E1919)))))-COUNTBLANK(OFFSET(A$1,,,SUMPRODUCT(MAX(ROW(E$1:E1918)*(E2=E$1:E1918))))))</f>
        <v/>
      </c>
      <c r="K1919" s="24" t="str">
        <f aca="false">IF(OR(E1919="",E1919="!!!",F1919="NEW"),"",INDEX(J$1:J1918,SUMPRODUCT(MAX(ROW(E$1:E1918)*(E1919=E$1:E1918)))))</f>
        <v/>
      </c>
      <c r="L1919" s="31"/>
    </row>
    <row r="1920" customFormat="false" ht="15" hidden="false" customHeight="false" outlineLevel="0" collapsed="false">
      <c r="A1920" s="20" t="s">
        <v>1798</v>
      </c>
      <c r="E1920" s="23" t="str">
        <f aca="false">IF(D1920="?OLD","!!!","")</f>
        <v/>
      </c>
      <c r="F1920" s="25" t="str">
        <f aca="false">IF(OR(E1920="",E1920="!!!"),"",IF(NOT(ISNA(VLOOKUP(E1920,E$1:E1919,1,FALSE()))),"OLD",IF(AND(E1920&lt;&gt;"",E1920&lt;&gt;"!!!"),"NEW","")))</f>
        <v/>
      </c>
      <c r="G1920" s="26" t="str">
        <f aca="false">IF(OR(E1920="",E1920="!!!"),"",IF(OR(J1920=0,AND(J1920=1,K1920=1),AND(J1920=1,I1920="SBJ"),AND(J1920=1,I1920=0)),"?IN_FOCUS",IF(J1920&lt;=2,"?ACTIVATED",IF(J1920&lt;&gt;"","?FAMILIAR",IF(F1920="NEW",IF(ISNA(VLOOKUP(E1920,#REF!,1,FALSE())),"?TYPE_IDENTIFIABLE","?REFERENTIAL"),"_")))))</f>
        <v/>
      </c>
      <c r="H1920" s="27" t="str">
        <f aca="false">IF(J1920&lt;&gt;1,"",IF(I1920="SBJ","CB","?"))</f>
        <v/>
      </c>
      <c r="I1920" s="24" t="str">
        <f aca="false">IF(OR(E1920="",E1920="!!!",F1920="NEW"),"",INDEX(B4:B$1917,-1+SUMPRODUCT(MAX(ROW(E4:E$1917)*(E1920=E4:E$1917)))))</f>
        <v/>
      </c>
      <c r="J1920" s="24" t="str">
        <f aca="true">IF(OR(E1920="",E1920="!!!",F1920="NEW"),"",COUNTBLANK(OFFSET(A$1,,,SUMPRODUCT(MAX(ROW(E$2:E1920)*(E1920=E$2:E1920)))))-COUNTBLANK(OFFSET(A$1,,,SUMPRODUCT(MAX(ROW(E$1:E1919)*(E2=E$1:E1919))))))</f>
        <v/>
      </c>
      <c r="K1920" s="24" t="str">
        <f aca="false">IF(OR(E1920="",E1920="!!!",F1920="NEW"),"",INDEX(J$1:J1919,SUMPRODUCT(MAX(ROW(E$1:E1919)*(E1920=E$1:E1919)))))</f>
        <v/>
      </c>
      <c r="L1920" s="31"/>
    </row>
    <row r="1921" customFormat="false" ht="15" hidden="false" customHeight="false" outlineLevel="0" collapsed="false">
      <c r="A1921" s="20" t="s">
        <v>1090</v>
      </c>
      <c r="B1921" s="22" t="s">
        <v>1058</v>
      </c>
      <c r="C1921" s="22" t="s">
        <v>1082</v>
      </c>
      <c r="D1921" s="22" t="s">
        <v>1060</v>
      </c>
      <c r="E1921" s="23" t="str">
        <f aca="false">IF(D1921="?OLD","!!!","")</f>
        <v>!!!</v>
      </c>
      <c r="F1921" s="25" t="str">
        <f aca="false">IF(OR(E1921="",E1921="!!!"),"",IF(NOT(ISNA(VLOOKUP(E1921,E$1:E1920,1,FALSE()))),"OLD",IF(AND(E1921&lt;&gt;"",E1921&lt;&gt;"!!!"),"NEW","")))</f>
        <v/>
      </c>
      <c r="G1921" s="26" t="str">
        <f aca="false">IF(OR(E1921="",E1921="!!!"),"",IF(OR(J1921=0,AND(J1921=1,K1921=1),AND(J1921=1,I1921="SBJ"),AND(J1921=1,I1921=0)),"?IN_FOCUS",IF(J1921&lt;=2,"?ACTIVATED",IF(J1921&lt;&gt;"","?FAMILIAR",IF(F1921="NEW",IF(ISNA(VLOOKUP(E1921,#REF!,1,FALSE())),"?TYPE_IDENTIFIABLE","?REFERENTIAL"),"_")))))</f>
        <v/>
      </c>
      <c r="H1921" s="27" t="str">
        <f aca="false">IF(J1921&lt;&gt;1,"",IF(I1921="SBJ","CB","?"))</f>
        <v/>
      </c>
      <c r="I1921" s="24" t="str">
        <f aca="false">IF(OR(E1921="",E1921="!!!",F1921="NEW"),"",INDEX(B5:B$1917,-1+SUMPRODUCT(MAX(ROW(E5:E$1917)*(E1921=E5:E$1917)))))</f>
        <v/>
      </c>
      <c r="J1921" s="24" t="str">
        <f aca="true">IF(OR(E1921="",E1921="!!!",F1921="NEW"),"",COUNTBLANK(OFFSET(A$1,,,SUMPRODUCT(MAX(ROW(E$2:E1921)*(E1921=E$2:E1921)))))-COUNTBLANK(OFFSET(A$1,,,SUMPRODUCT(MAX(ROW(E$1:E1920)*(E2=E$1:E1920))))))</f>
        <v/>
      </c>
      <c r="K1921" s="24" t="str">
        <f aca="false">IF(OR(E1921="",E1921="!!!",F1921="NEW"),"",INDEX(J$1:J1920,SUMPRODUCT(MAX(ROW(E$1:E1920)*(E1921=E$1:E1920)))))</f>
        <v/>
      </c>
      <c r="L1921" s="31"/>
    </row>
    <row r="1922" customFormat="false" ht="15" hidden="false" customHeight="false" outlineLevel="0" collapsed="false">
      <c r="A1922" s="20" t="s">
        <v>1799</v>
      </c>
      <c r="E1922" s="23" t="str">
        <f aca="false">IF(D1922="?OLD","!!!","")</f>
        <v/>
      </c>
      <c r="F1922" s="25" t="str">
        <f aca="false">IF(OR(E1922="",E1922="!!!"),"",IF(NOT(ISNA(VLOOKUP(E1922,E$1:E1921,1,FALSE()))),"OLD",IF(AND(E1922&lt;&gt;"",E1922&lt;&gt;"!!!"),"NEW","")))</f>
        <v/>
      </c>
      <c r="G1922" s="26" t="str">
        <f aca="false">IF(OR(E1922="",E1922="!!!"),"",IF(OR(J1922=0,AND(J1922=1,K1922=1),AND(J1922=1,I1922="SBJ"),AND(J1922=1,I1922=0)),"?IN_FOCUS",IF(J1922&lt;=2,"?ACTIVATED",IF(J1922&lt;&gt;"","?FAMILIAR",IF(F1922="NEW",IF(ISNA(VLOOKUP(E1922,#REF!,1,FALSE())),"?TYPE_IDENTIFIABLE","?REFERENTIAL"),"_")))))</f>
        <v/>
      </c>
      <c r="H1922" s="27" t="str">
        <f aca="false">IF(J1922&lt;&gt;1,"",IF(I1922="SBJ","CB","?"))</f>
        <v/>
      </c>
      <c r="I1922" s="24" t="str">
        <f aca="false">IF(OR(E1922="",E1922="!!!",F1922="NEW"),"",INDEX(B6:B$1917,-1+SUMPRODUCT(MAX(ROW(E6:E$1917)*(E1922=E6:E$1917)))))</f>
        <v/>
      </c>
      <c r="J1922" s="24" t="str">
        <f aca="true">IF(OR(E1922="",E1922="!!!",F1922="NEW"),"",COUNTBLANK(OFFSET(A$1,,,SUMPRODUCT(MAX(ROW(E$2:E1922)*(E1922=E$2:E1922)))))-COUNTBLANK(OFFSET(A$1,,,SUMPRODUCT(MAX(ROW(E$1:E1921)*(E2=E$1:E1921))))))</f>
        <v/>
      </c>
      <c r="K1922" s="24" t="str">
        <f aca="false">IF(OR(E1922="",E1922="!!!",F1922="NEW"),"",INDEX(J$1:J1921,SUMPRODUCT(MAX(ROW(E$1:E1921)*(E1922=E$1:E1921)))))</f>
        <v/>
      </c>
      <c r="L1922" s="31"/>
    </row>
    <row r="1923" customFormat="false" ht="15" hidden="false" customHeight="false" outlineLevel="0" collapsed="false">
      <c r="A1923" s="20" t="s">
        <v>1800</v>
      </c>
      <c r="E1923" s="23" t="str">
        <f aca="false">IF(D1923="?OLD","!!!","")</f>
        <v/>
      </c>
      <c r="F1923" s="25" t="str">
        <f aca="false">IF(OR(E1923="",E1923="!!!"),"",IF(NOT(ISNA(VLOOKUP(E1923,E$1:E1922,1,FALSE()))),"OLD",IF(AND(E1923&lt;&gt;"",E1923&lt;&gt;"!!!"),"NEW","")))</f>
        <v/>
      </c>
      <c r="G1923" s="26" t="str">
        <f aca="false">IF(OR(E1923="",E1923="!!!"),"",IF(OR(J1923=0,AND(J1923=1,K1923=1),AND(J1923=1,I1923="SBJ"),AND(J1923=1,I1923=0)),"?IN_FOCUS",IF(J1923&lt;=2,"?ACTIVATED",IF(J1923&lt;&gt;"","?FAMILIAR",IF(F1923="NEW",IF(ISNA(VLOOKUP(E1923,#REF!,1,FALSE())),"?TYPE_IDENTIFIABLE","?REFERENTIAL"),"_")))))</f>
        <v/>
      </c>
      <c r="H1923" s="27" t="str">
        <f aca="false">IF(J1923&lt;&gt;1,"",IF(I1923="SBJ","CB","?"))</f>
        <v/>
      </c>
      <c r="I1923" s="24" t="str">
        <f aca="false">IF(OR(E1923="",E1923="!!!",F1923="NEW"),"",INDEX(B7:B$1917,-1+SUMPRODUCT(MAX(ROW(E7:E$1917)*(E1923=E7:E$1917)))))</f>
        <v/>
      </c>
      <c r="J1923" s="24" t="str">
        <f aca="true">IF(OR(E1923="",E1923="!!!",F1923="NEW"),"",COUNTBLANK(OFFSET(A$1,,,SUMPRODUCT(MAX(ROW(E$2:E1923)*(E1923=E$2:E1923)))))-COUNTBLANK(OFFSET(A$1,,,SUMPRODUCT(MAX(ROW(E$1:E1922)*(E2=E$1:E1922))))))</f>
        <v/>
      </c>
      <c r="K1923" s="24" t="str">
        <f aca="false">IF(OR(E1923="",E1923="!!!",F1923="NEW"),"",INDEX(J$1:J1922,SUMPRODUCT(MAX(ROW(E$1:E1922)*(E1923=E$1:E1922)))))</f>
        <v/>
      </c>
      <c r="L1923" s="31"/>
    </row>
    <row r="1924" customFormat="false" ht="15" hidden="false" customHeight="false" outlineLevel="0" collapsed="false">
      <c r="A1924" s="20" t="s">
        <v>1360</v>
      </c>
      <c r="E1924" s="23" t="str">
        <f aca="false">IF(D1924="?OLD","!!!","")</f>
        <v/>
      </c>
      <c r="F1924" s="25" t="str">
        <f aca="false">IF(OR(E1924="",E1924="!!!"),"",IF(NOT(ISNA(VLOOKUP(E1924,E$1:E1923,1,FALSE()))),"OLD",IF(AND(E1924&lt;&gt;"",E1924&lt;&gt;"!!!"),"NEW","")))</f>
        <v/>
      </c>
      <c r="G1924" s="26" t="str">
        <f aca="false">IF(OR(E1924="",E1924="!!!"),"",IF(OR(J1924=0,AND(J1924=1,K1924=1),AND(J1924=1,I1924="SBJ"),AND(J1924=1,I1924=0)),"?IN_FOCUS",IF(J1924&lt;=2,"?ACTIVATED",IF(J1924&lt;&gt;"","?FAMILIAR",IF(F1924="NEW",IF(ISNA(VLOOKUP(E1924,#REF!,1,FALSE())),"?TYPE_IDENTIFIABLE","?REFERENTIAL"),"_")))))</f>
        <v/>
      </c>
      <c r="H1924" s="27" t="str">
        <f aca="false">IF(J1924&lt;&gt;1,"",IF(I1924="SBJ","CB","?"))</f>
        <v/>
      </c>
      <c r="I1924" s="24" t="str">
        <f aca="false">IF(OR(E1924="",E1924="!!!",F1924="NEW"),"",INDEX(B8:B$1917,-1+SUMPRODUCT(MAX(ROW(E8:E$1917)*(E1924=E8:E$1917)))))</f>
        <v/>
      </c>
      <c r="J1924" s="24" t="str">
        <f aca="true">IF(OR(E1924="",E1924="!!!",F1924="NEW"),"",COUNTBLANK(OFFSET(A$1,,,SUMPRODUCT(MAX(ROW(E$2:E1924)*(E1924=E$2:E1924)))))-COUNTBLANK(OFFSET(A$1,,,SUMPRODUCT(MAX(ROW(E$1:E1923)*(E2=E$1:E1923))))))</f>
        <v/>
      </c>
      <c r="K1924" s="24" t="str">
        <f aca="false">IF(OR(E1924="",E1924="!!!",F1924="NEW"),"",INDEX(J$1:J1923,SUMPRODUCT(MAX(ROW(E$1:E1923)*(E1924=E$1:E1923)))))</f>
        <v/>
      </c>
      <c r="L1924" s="31"/>
    </row>
    <row r="1925" customFormat="false" ht="15" hidden="false" customHeight="false" outlineLevel="0" collapsed="false">
      <c r="A1925" s="20" t="s">
        <v>1225</v>
      </c>
      <c r="E1925" s="23" t="str">
        <f aca="false">IF(D1925="?OLD","!!!","")</f>
        <v/>
      </c>
      <c r="F1925" s="25" t="str">
        <f aca="false">IF(OR(E1925="",E1925="!!!"),"",IF(NOT(ISNA(VLOOKUP(E1925,E$1:E1924,1,FALSE()))),"OLD",IF(AND(E1925&lt;&gt;"",E1925&lt;&gt;"!!!"),"NEW","")))</f>
        <v/>
      </c>
      <c r="G1925" s="26" t="str">
        <f aca="false">IF(OR(E1925="",E1925="!!!"),"",IF(OR(J1925=0,AND(J1925=1,K1925=1),AND(J1925=1,I1925="SBJ"),AND(J1925=1,I1925=0)),"?IN_FOCUS",IF(J1925&lt;=2,"?ACTIVATED",IF(J1925&lt;&gt;"","?FAMILIAR",IF(F1925="NEW",IF(ISNA(VLOOKUP(E1925,#REF!,1,FALSE())),"?TYPE_IDENTIFIABLE","?REFERENTIAL"),"_")))))</f>
        <v/>
      </c>
      <c r="H1925" s="27" t="str">
        <f aca="false">IF(J1925&lt;&gt;1,"",IF(I1925="SBJ","CB","?"))</f>
        <v/>
      </c>
      <c r="I1925" s="24" t="str">
        <f aca="false">IF(OR(E1925="",E1925="!!!",F1925="NEW"),"",INDEX(B9:B$1917,-1+SUMPRODUCT(MAX(ROW(E9:E$1917)*(E1925=E9:E$1917)))))</f>
        <v/>
      </c>
      <c r="J1925" s="24" t="str">
        <f aca="true">IF(OR(E1925="",E1925="!!!",F1925="NEW"),"",COUNTBLANK(OFFSET(A$1,,,SUMPRODUCT(MAX(ROW(E$2:E1925)*(E1925=E$2:E1925)))))-COUNTBLANK(OFFSET(A$1,,,SUMPRODUCT(MAX(ROW(E$1:E1924)*(E2=E$1:E1924))))))</f>
        <v/>
      </c>
      <c r="K1925" s="24" t="str">
        <f aca="false">IF(OR(E1925="",E1925="!!!",F1925="NEW"),"",INDEX(J$1:J1924,SUMPRODUCT(MAX(ROW(E$1:E1924)*(E1925=E$1:E1924)))))</f>
        <v/>
      </c>
      <c r="L1925" s="31"/>
    </row>
    <row r="1926" customFormat="false" ht="15" hidden="false" customHeight="false" outlineLevel="0" collapsed="false">
      <c r="A1926" s="20" t="s">
        <v>1801</v>
      </c>
      <c r="B1926" s="22" t="s">
        <v>1105</v>
      </c>
      <c r="C1926" s="22" t="s">
        <v>1227</v>
      </c>
      <c r="E1926" s="23" t="str">
        <f aca="false">IF(D1926="?OLD","!!!","")</f>
        <v/>
      </c>
      <c r="F1926" s="25" t="str">
        <f aca="false">IF(OR(E1926="",E1926="!!!"),"",IF(NOT(ISNA(VLOOKUP(E1926,E$1:E1925,1,FALSE()))),"OLD",IF(AND(E1926&lt;&gt;"",E1926&lt;&gt;"!!!"),"NEW","")))</f>
        <v/>
      </c>
      <c r="G1926" s="26" t="str">
        <f aca="false">IF(OR(E1926="",E1926="!!!"),"",IF(OR(J1926=0,AND(J1926=1,K1926=1),AND(J1926=1,I1926="SBJ"),AND(J1926=1,I1926=0)),"?IN_FOCUS",IF(J1926&lt;=2,"?ACTIVATED",IF(J1926&lt;&gt;"","?FAMILIAR",IF(F1926="NEW",IF(ISNA(VLOOKUP(E1926,#REF!,1,FALSE())),"?TYPE_IDENTIFIABLE","?REFERENTIAL"),"_")))))</f>
        <v/>
      </c>
      <c r="H1926" s="27" t="str">
        <f aca="false">IF(J1926&lt;&gt;1,"",IF(I1926="SBJ","CB","?"))</f>
        <v/>
      </c>
      <c r="I1926" s="24" t="str">
        <f aca="false">IF(OR(E1926="",E1926="!!!",F1926="NEW"),"",INDEX(B10:B$1917,-1+SUMPRODUCT(MAX(ROW(E10:E$1917)*(E1926=E10:E$1917)))))</f>
        <v/>
      </c>
      <c r="J1926" s="24" t="str">
        <f aca="true">IF(OR(E1926="",E1926="!!!",F1926="NEW"),"",COUNTBLANK(OFFSET(A$1,,,SUMPRODUCT(MAX(ROW(E$2:E1926)*(E1926=E$2:E1926)))))-COUNTBLANK(OFFSET(A$1,,,SUMPRODUCT(MAX(ROW(E$1:E1925)*(E2=E$1:E1925))))))</f>
        <v/>
      </c>
      <c r="K1926" s="24" t="str">
        <f aca="false">IF(OR(E1926="",E1926="!!!",F1926="NEW"),"",INDEX(J$1:J1925,SUMPRODUCT(MAX(ROW(E$1:E1925)*(E1926=E$1:E1925)))))</f>
        <v/>
      </c>
      <c r="L1926" s="31"/>
    </row>
    <row r="1927" customFormat="false" ht="15" hidden="false" customHeight="false" outlineLevel="0" collapsed="false">
      <c r="A1927" s="20" t="s">
        <v>1076</v>
      </c>
      <c r="E1927" s="23" t="str">
        <f aca="false">IF(D1927="?OLD","!!!","")</f>
        <v/>
      </c>
      <c r="F1927" s="25" t="str">
        <f aca="false">IF(OR(E1927="",E1927="!!!"),"",IF(NOT(ISNA(VLOOKUP(E1927,E$1:E1926,1,FALSE()))),"OLD",IF(AND(E1927&lt;&gt;"",E1927&lt;&gt;"!!!"),"NEW","")))</f>
        <v/>
      </c>
      <c r="G1927" s="26" t="str">
        <f aca="false">IF(OR(E1927="",E1927="!!!"),"",IF(OR(J1927=0,AND(J1927=1,K1927=1),AND(J1927=1,I1927="SBJ"),AND(J1927=1,I1927=0)),"?IN_FOCUS",IF(J1927&lt;=2,"?ACTIVATED",IF(J1927&lt;&gt;"","?FAMILIAR",IF(F1927="NEW",IF(ISNA(VLOOKUP(E1927,#REF!,1,FALSE())),"?TYPE_IDENTIFIABLE","?REFERENTIAL"),"_")))))</f>
        <v/>
      </c>
      <c r="H1927" s="27" t="str">
        <f aca="false">IF(J1927&lt;&gt;1,"",IF(I1927="SBJ","CB","?"))</f>
        <v/>
      </c>
      <c r="I1927" s="24" t="str">
        <f aca="false">IF(OR(E1927="",E1927="!!!",F1927="NEW"),"",INDEX(B11:B$1917,-1+SUMPRODUCT(MAX(ROW(E11:E$1917)*(E1927=E11:E$1917)))))</f>
        <v/>
      </c>
      <c r="J1927" s="24" t="str">
        <f aca="true">IF(OR(E1927="",E1927="!!!",F1927="NEW"),"",COUNTBLANK(OFFSET(A$1,,,SUMPRODUCT(MAX(ROW(E$2:E1927)*(E1927=E$2:E1927)))))-COUNTBLANK(OFFSET(A$1,,,SUMPRODUCT(MAX(ROW(E$1:E1926)*(E2=E$1:E1926))))))</f>
        <v/>
      </c>
      <c r="K1927" s="24" t="str">
        <f aca="false">IF(OR(E1927="",E1927="!!!",F1927="NEW"),"",INDEX(J$1:J1926,SUMPRODUCT(MAX(ROW(E$1:E1926)*(E1927=E$1:E1926)))))</f>
        <v/>
      </c>
      <c r="L1927" s="31"/>
    </row>
    <row r="1928" customFormat="false" ht="15" hidden="false" customHeight="false" outlineLevel="0" collapsed="false">
      <c r="A1928" s="20" t="s">
        <v>1599</v>
      </c>
      <c r="E1928" s="23" t="str">
        <f aca="false">IF(D1928="?OLD","!!!","")</f>
        <v/>
      </c>
      <c r="F1928" s="25" t="str">
        <f aca="false">IF(OR(E1928="",E1928="!!!"),"",IF(NOT(ISNA(VLOOKUP(E1928,E$1:E1927,1,FALSE()))),"OLD",IF(AND(E1928&lt;&gt;"",E1928&lt;&gt;"!!!"),"NEW","")))</f>
        <v/>
      </c>
      <c r="G1928" s="26" t="str">
        <f aca="false">IF(OR(E1928="",E1928="!!!"),"",IF(OR(J1928=0,AND(J1928=1,K1928=1),AND(J1928=1,I1928="SBJ"),AND(J1928=1,I1928=0)),"?IN_FOCUS",IF(J1928&lt;=2,"?ACTIVATED",IF(J1928&lt;&gt;"","?FAMILIAR",IF(F1928="NEW",IF(ISNA(VLOOKUP(E1928,#REF!,1,FALSE())),"?TYPE_IDENTIFIABLE","?REFERENTIAL"),"_")))))</f>
        <v/>
      </c>
      <c r="H1928" s="27" t="str">
        <f aca="false">IF(J1928&lt;&gt;1,"",IF(I1928="SBJ","CB","?"))</f>
        <v/>
      </c>
      <c r="I1928" s="24" t="str">
        <f aca="false">IF(OR(E1928="",E1928="!!!",F1928="NEW"),"",INDEX(B12:B$1917,-1+SUMPRODUCT(MAX(ROW(E12:E$1917)*(E1928=E12:E$1917)))))</f>
        <v/>
      </c>
      <c r="J1928" s="24" t="str">
        <f aca="true">IF(OR(E1928="",E1928="!!!",F1928="NEW"),"",COUNTBLANK(OFFSET(A$1,,,SUMPRODUCT(MAX(ROW(E$2:E1928)*(E1928=E$2:E1928)))))-COUNTBLANK(OFFSET(A$1,,,SUMPRODUCT(MAX(ROW(E$1:E1927)*(E2=E$1:E1927))))))</f>
        <v/>
      </c>
      <c r="K1928" s="24" t="str">
        <f aca="false">IF(OR(E1928="",E1928="!!!",F1928="NEW"),"",INDEX(J$1:J1927,SUMPRODUCT(MAX(ROW(E$1:E1927)*(E1928=E$1:E1927)))))</f>
        <v/>
      </c>
      <c r="L1928" s="31"/>
    </row>
    <row r="1929" customFormat="false" ht="15" hidden="false" customHeight="false" outlineLevel="0" collapsed="false">
      <c r="A1929" s="20" t="s">
        <v>1085</v>
      </c>
      <c r="E1929" s="23" t="str">
        <f aca="false">IF(D1929="?OLD","!!!","")</f>
        <v/>
      </c>
      <c r="F1929" s="25" t="str">
        <f aca="false">IF(OR(E1929="",E1929="!!!"),"",IF(NOT(ISNA(VLOOKUP(E1929,E$1:E1928,1,FALSE()))),"OLD",IF(AND(E1929&lt;&gt;"",E1929&lt;&gt;"!!!"),"NEW","")))</f>
        <v/>
      </c>
      <c r="G1929" s="26" t="str">
        <f aca="false">IF(OR(E1929="",E1929="!!!"),"",IF(OR(J1929=0,AND(J1929=1,K1929=1),AND(J1929=1,I1929="SBJ"),AND(J1929=1,I1929=0)),"?IN_FOCUS",IF(J1929&lt;=2,"?ACTIVATED",IF(J1929&lt;&gt;"","?FAMILIAR",IF(F1929="NEW",IF(ISNA(VLOOKUP(E1929,#REF!,1,FALSE())),"?TYPE_IDENTIFIABLE","?REFERENTIAL"),"_")))))</f>
        <v/>
      </c>
      <c r="H1929" s="27" t="str">
        <f aca="false">IF(J1929&lt;&gt;1,"",IF(I1929="SBJ","CB","?"))</f>
        <v/>
      </c>
      <c r="I1929" s="24" t="str">
        <f aca="false">IF(OR(E1929="",E1929="!!!",F1929="NEW"),"",INDEX(B13:B$1917,-1+SUMPRODUCT(MAX(ROW(E13:E$1917)*(E1929=E13:E$1917)))))</f>
        <v/>
      </c>
      <c r="J1929" s="24" t="str">
        <f aca="true">IF(OR(E1929="",E1929="!!!",F1929="NEW"),"",COUNTBLANK(OFFSET(A$1,,,SUMPRODUCT(MAX(ROW(E$2:E1929)*(E1929=E$2:E1929)))))-COUNTBLANK(OFFSET(A$1,,,SUMPRODUCT(MAX(ROW(E$1:E1928)*(E2=E$1:E1928))))))</f>
        <v/>
      </c>
      <c r="K1929" s="24" t="str">
        <f aca="false">IF(OR(E1929="",E1929="!!!",F1929="NEW"),"",INDEX(J$1:J1928,SUMPRODUCT(MAX(ROW(E$1:E1928)*(E1929=E$1:E1928)))))</f>
        <v/>
      </c>
      <c r="L1929" s="31"/>
    </row>
    <row r="1930" customFormat="false" ht="15" hidden="false" customHeight="false" outlineLevel="0" collapsed="false">
      <c r="A1930" s="20" t="s">
        <v>1786</v>
      </c>
      <c r="B1930" s="22" t="s">
        <v>1073</v>
      </c>
      <c r="C1930" s="22" t="s">
        <v>1087</v>
      </c>
      <c r="E1930" s="23" t="str">
        <f aca="false">IF(D1930="?OLD","!!!","")</f>
        <v/>
      </c>
      <c r="F1930" s="25" t="str">
        <f aca="false">IF(OR(E1930="",E1930="!!!"),"",IF(NOT(ISNA(VLOOKUP(E1930,E$1:E1929,1,FALSE()))),"OLD",IF(AND(E1930&lt;&gt;"",E1930&lt;&gt;"!!!"),"NEW","")))</f>
        <v/>
      </c>
      <c r="G1930" s="26" t="str">
        <f aca="false">IF(OR(E1930="",E1930="!!!"),"",IF(OR(J1930=0,AND(J1930=1,K1930=1),AND(J1930=1,I1930="SBJ"),AND(J1930=1,I1930=0)),"?IN_FOCUS",IF(J1930&lt;=2,"?ACTIVATED",IF(J1930&lt;&gt;"","?FAMILIAR",IF(F1930="NEW",IF(ISNA(VLOOKUP(E1930,#REF!,1,FALSE())),"?TYPE_IDENTIFIABLE","?REFERENTIAL"),"_")))))</f>
        <v/>
      </c>
      <c r="H1930" s="27" t="str">
        <f aca="false">IF(J1930&lt;&gt;1,"",IF(I1930="SBJ","CB","?"))</f>
        <v/>
      </c>
      <c r="I1930" s="24" t="str">
        <f aca="false">IF(OR(E1930="",E1930="!!!",F1930="NEW"),"",INDEX(B14:B$1917,-1+SUMPRODUCT(MAX(ROW(E14:E$1917)*(E1930=E14:E$1917)))))</f>
        <v/>
      </c>
      <c r="J1930" s="24" t="str">
        <f aca="true">IF(OR(E1930="",E1930="!!!",F1930="NEW"),"",COUNTBLANK(OFFSET(A$1,,,SUMPRODUCT(MAX(ROW(E$2:E1930)*(E1930=E$2:E1930)))))-COUNTBLANK(OFFSET(A$1,,,SUMPRODUCT(MAX(ROW(E$1:E1929)*(E2=E$1:E1929))))))</f>
        <v/>
      </c>
      <c r="K1930" s="24" t="str">
        <f aca="false">IF(OR(E1930="",E1930="!!!",F1930="NEW"),"",INDEX(J$1:J1929,SUMPRODUCT(MAX(ROW(E$1:E1929)*(E1930=E$1:E1929)))))</f>
        <v/>
      </c>
      <c r="L1930" s="31"/>
    </row>
    <row r="1931" customFormat="false" ht="15" hidden="false" customHeight="false" outlineLevel="0" collapsed="false">
      <c r="A1931" s="20" t="s">
        <v>1133</v>
      </c>
      <c r="B1931" s="22" t="s">
        <v>1197</v>
      </c>
      <c r="E1931" s="23" t="str">
        <f aca="false">IF(D1931="?OLD","!!!","")</f>
        <v/>
      </c>
      <c r="F1931" s="25" t="str">
        <f aca="false">IF(OR(E1931="",E1931="!!!"),"",IF(NOT(ISNA(VLOOKUP(E1931,E$1:E1930,1,FALSE()))),"OLD",IF(AND(E1931&lt;&gt;"",E1931&lt;&gt;"!!!"),"NEW","")))</f>
        <v/>
      </c>
      <c r="G1931" s="26" t="str">
        <f aca="false">IF(OR(E1931="",E1931="!!!"),"",IF(OR(J1931=0,AND(J1931=1,K1931=1),AND(J1931=1,I1931="SBJ"),AND(J1931=1,I1931=0)),"?IN_FOCUS",IF(J1931&lt;=2,"?ACTIVATED",IF(J1931&lt;&gt;"","?FAMILIAR",IF(F1931="NEW",IF(ISNA(VLOOKUP(E1931,#REF!,1,FALSE())),"?TYPE_IDENTIFIABLE","?REFERENTIAL"),"_")))))</f>
        <v/>
      </c>
      <c r="H1931" s="27" t="str">
        <f aca="false">IF(J1931&lt;&gt;1,"",IF(I1931="SBJ","CB","?"))</f>
        <v/>
      </c>
      <c r="I1931" s="24" t="str">
        <f aca="false">IF(OR(E1931="",E1931="!!!",F1931="NEW"),"",INDEX(B15:B$1917,-1+SUMPRODUCT(MAX(ROW(E15:E$1917)*(E1931=E15:E$1917)))))</f>
        <v/>
      </c>
      <c r="J1931" s="24" t="str">
        <f aca="true">IF(OR(E1931="",E1931="!!!",F1931="NEW"),"",COUNTBLANK(OFFSET(A$1,,,SUMPRODUCT(MAX(ROW(E$2:E1931)*(E1931=E$2:E1931)))))-COUNTBLANK(OFFSET(A$1,,,SUMPRODUCT(MAX(ROW(E$1:E1930)*(E2=E$1:E1930))))))</f>
        <v/>
      </c>
      <c r="K1931" s="24" t="str">
        <f aca="false">IF(OR(E1931="",E1931="!!!",F1931="NEW"),"",INDEX(J$1:J1930,SUMPRODUCT(MAX(ROW(E$1:E1930)*(E1931=E$1:E1930)))))</f>
        <v/>
      </c>
      <c r="L1931" s="31"/>
    </row>
    <row r="1932" customFormat="false" ht="15" hidden="false" customHeight="false" outlineLevel="0" collapsed="false">
      <c r="A1932" s="20" t="s">
        <v>1369</v>
      </c>
      <c r="E1932" s="23" t="str">
        <f aca="false">IF(D1932="?OLD","!!!","")</f>
        <v/>
      </c>
      <c r="F1932" s="25" t="str">
        <f aca="false">IF(OR(E1932="",E1932="!!!"),"",IF(NOT(ISNA(VLOOKUP(E1932,E$1:E1931,1,FALSE()))),"OLD",IF(AND(E1932&lt;&gt;"",E1932&lt;&gt;"!!!"),"NEW","")))</f>
        <v/>
      </c>
      <c r="G1932" s="26" t="str">
        <f aca="false">IF(OR(E1932="",E1932="!!!"),"",IF(OR(J1932=0,AND(J1932=1,K1932=1),AND(J1932=1,I1932="SBJ"),AND(J1932=1,I1932=0)),"?IN_FOCUS",IF(J1932&lt;=2,"?ACTIVATED",IF(J1932&lt;&gt;"","?FAMILIAR",IF(F1932="NEW",IF(ISNA(VLOOKUP(E1932,#REF!,1,FALSE())),"?TYPE_IDENTIFIABLE","?REFERENTIAL"),"_")))))</f>
        <v/>
      </c>
      <c r="H1932" s="27" t="str">
        <f aca="false">IF(J1932&lt;&gt;1,"",IF(I1932="SBJ","CB","?"))</f>
        <v/>
      </c>
      <c r="I1932" s="24" t="str">
        <f aca="false">IF(OR(E1932="",E1932="!!!",F1932="NEW"),"",INDEX(B16:B$1917,-1+SUMPRODUCT(MAX(ROW(E16:E$1917)*(E1932=E16:E$1917)))))</f>
        <v/>
      </c>
      <c r="J1932" s="24" t="str">
        <f aca="true">IF(OR(E1932="",E1932="!!!",F1932="NEW"),"",COUNTBLANK(OFFSET(A$1,,,SUMPRODUCT(MAX(ROW(E$2:E1932)*(E1932=E$2:E1932)))))-COUNTBLANK(OFFSET(A$1,,,SUMPRODUCT(MAX(ROW(E$1:E1931)*(E2=E$1:E1931))))))</f>
        <v/>
      </c>
      <c r="K1932" s="24" t="str">
        <f aca="false">IF(OR(E1932="",E1932="!!!",F1932="NEW"),"",INDEX(J$1:J1931,SUMPRODUCT(MAX(ROW(E$1:E1931)*(E1932=E$1:E1931)))))</f>
        <v/>
      </c>
      <c r="L1932" s="31"/>
    </row>
    <row r="1933" customFormat="false" ht="15" hidden="false" customHeight="false" outlineLevel="0" collapsed="false">
      <c r="A1933" s="20" t="s">
        <v>1511</v>
      </c>
      <c r="E1933" s="23" t="str">
        <f aca="false">IF(D1933="?OLD","!!!","")</f>
        <v/>
      </c>
      <c r="F1933" s="25" t="str">
        <f aca="false">IF(OR(E1933="",E1933="!!!"),"",IF(NOT(ISNA(VLOOKUP(E1933,E$1:E1932,1,FALSE()))),"OLD",IF(AND(E1933&lt;&gt;"",E1933&lt;&gt;"!!!"),"NEW","")))</f>
        <v/>
      </c>
      <c r="G1933" s="26" t="str">
        <f aca="false">IF(OR(E1933="",E1933="!!!"),"",IF(OR(J1933=0,AND(J1933=1,K1933=1),AND(J1933=1,I1933="SBJ"),AND(J1933=1,I1933=0)),"?IN_FOCUS",IF(J1933&lt;=2,"?ACTIVATED",IF(J1933&lt;&gt;"","?FAMILIAR",IF(F1933="NEW",IF(ISNA(VLOOKUP(E1933,#REF!,1,FALSE())),"?TYPE_IDENTIFIABLE","?REFERENTIAL"),"_")))))</f>
        <v/>
      </c>
      <c r="H1933" s="27" t="str">
        <f aca="false">IF(J1933&lt;&gt;1,"",IF(I1933="SBJ","CB","?"))</f>
        <v/>
      </c>
      <c r="I1933" s="24" t="str">
        <f aca="false">IF(OR(E1933="",E1933="!!!",F1933="NEW"),"",INDEX(B17:B$1917,-1+SUMPRODUCT(MAX(ROW(E17:E$1917)*(E1933=E17:E$1917)))))</f>
        <v/>
      </c>
      <c r="J1933" s="24" t="str">
        <f aca="true">IF(OR(E1933="",E1933="!!!",F1933="NEW"),"",COUNTBLANK(OFFSET(A$1,,,SUMPRODUCT(MAX(ROW(E$2:E1933)*(E1933=E$2:E1933)))))-COUNTBLANK(OFFSET(A$1,,,SUMPRODUCT(MAX(ROW(E$1:E1932)*(E2=E$1:E1932))))))</f>
        <v/>
      </c>
      <c r="K1933" s="24" t="str">
        <f aca="false">IF(OR(E1933="",E1933="!!!",F1933="NEW"),"",INDEX(J$1:J1932,SUMPRODUCT(MAX(ROW(E$1:E1932)*(E1933=E$1:E1932)))))</f>
        <v/>
      </c>
      <c r="L1933" s="31"/>
    </row>
    <row r="1934" customFormat="false" ht="15" hidden="false" customHeight="false" outlineLevel="0" collapsed="false">
      <c r="A1934" s="20" t="s">
        <v>1184</v>
      </c>
      <c r="E1934" s="23" t="str">
        <f aca="false">IF(D1934="?OLD","!!!","")</f>
        <v/>
      </c>
      <c r="F1934" s="25" t="str">
        <f aca="false">IF(OR(E1934="",E1934="!!!"),"",IF(NOT(ISNA(VLOOKUP(E1934,E$1:E1933,1,FALSE()))),"OLD",IF(AND(E1934&lt;&gt;"",E1934&lt;&gt;"!!!"),"NEW","")))</f>
        <v/>
      </c>
      <c r="G1934" s="26" t="str">
        <f aca="false">IF(OR(E1934="",E1934="!!!"),"",IF(OR(J1934=0,AND(J1934=1,K1934=1),AND(J1934=1,I1934="SBJ"),AND(J1934=1,I1934=0)),"?IN_FOCUS",IF(J1934&lt;=2,"?ACTIVATED",IF(J1934&lt;&gt;"","?FAMILIAR",IF(F1934="NEW",IF(ISNA(VLOOKUP(E1934,#REF!,1,FALSE())),"?TYPE_IDENTIFIABLE","?REFERENTIAL"),"_")))))</f>
        <v/>
      </c>
      <c r="H1934" s="27" t="str">
        <f aca="false">IF(J1934&lt;&gt;1,"",IF(I1934="SBJ","CB","?"))</f>
        <v/>
      </c>
      <c r="I1934" s="24" t="str">
        <f aca="false">IF(OR(E1934="",E1934="!!!",F1934="NEW"),"",INDEX(B18:B$1917,-1+SUMPRODUCT(MAX(ROW(E18:E$1917)*(E1934=E18:E$1917)))))</f>
        <v/>
      </c>
      <c r="J1934" s="24" t="str">
        <f aca="true">IF(OR(E1934="",E1934="!!!",F1934="NEW"),"",COUNTBLANK(OFFSET(A$1,,,SUMPRODUCT(MAX(ROW(E$2:E1934)*(E1934=E$2:E1934)))))-COUNTBLANK(OFFSET(A$1,,,SUMPRODUCT(MAX(ROW(E$1:E1933)*(E2=E$1:E1933))))))</f>
        <v/>
      </c>
      <c r="K1934" s="24" t="str">
        <f aca="false">IF(OR(E1934="",E1934="!!!",F1934="NEW"),"",INDEX(J$1:J1933,SUMPRODUCT(MAX(ROW(E$1:E1933)*(E1934=E$1:E1933)))))</f>
        <v/>
      </c>
      <c r="L1934" s="31"/>
    </row>
    <row r="1935" customFormat="false" ht="15" hidden="false" customHeight="false" outlineLevel="0" collapsed="false">
      <c r="A1935" s="20" t="s">
        <v>1802</v>
      </c>
      <c r="B1935" s="22" t="s">
        <v>1107</v>
      </c>
      <c r="C1935" s="22" t="s">
        <v>1160</v>
      </c>
      <c r="E1935" s="23" t="str">
        <f aca="false">IF(D1935="?OLD","!!!","")</f>
        <v/>
      </c>
      <c r="F1935" s="25" t="str">
        <f aca="false">IF(OR(E1935="",E1935="!!!"),"",IF(NOT(ISNA(VLOOKUP(E1935,E$1:E1934,1,FALSE()))),"OLD",IF(AND(E1935&lt;&gt;"",E1935&lt;&gt;"!!!"),"NEW","")))</f>
        <v/>
      </c>
      <c r="G1935" s="26" t="str">
        <f aca="false">IF(OR(E1935="",E1935="!!!"),"",IF(OR(J1935=0,AND(J1935=1,K1935=1),AND(J1935=1,I1935="SBJ"),AND(J1935=1,I1935=0)),"?IN_FOCUS",IF(J1935&lt;=2,"?ACTIVATED",IF(J1935&lt;&gt;"","?FAMILIAR",IF(F1935="NEW",IF(ISNA(VLOOKUP(E1935,#REF!,1,FALSE())),"?TYPE_IDENTIFIABLE","?REFERENTIAL"),"_")))))</f>
        <v/>
      </c>
      <c r="H1935" s="27" t="str">
        <f aca="false">IF(J1935&lt;&gt;1,"",IF(I1935="SBJ","CB","?"))</f>
        <v/>
      </c>
      <c r="I1935" s="24" t="str">
        <f aca="false">IF(OR(E1935="",E1935="!!!",F1935="NEW"),"",INDEX(B19:B$1917,-1+SUMPRODUCT(MAX(ROW(E19:E$1917)*(E1935=E19:E$1917)))))</f>
        <v/>
      </c>
      <c r="J1935" s="24" t="str">
        <f aca="true">IF(OR(E1935="",E1935="!!!",F1935="NEW"),"",COUNTBLANK(OFFSET(A$1,,,SUMPRODUCT(MAX(ROW(E$2:E1935)*(E1935=E$2:E1935)))))-COUNTBLANK(OFFSET(A$1,,,SUMPRODUCT(MAX(ROW(E$1:E1934)*(E2=E$1:E1934))))))</f>
        <v/>
      </c>
      <c r="K1935" s="24" t="str">
        <f aca="false">IF(OR(E1935="",E1935="!!!",F1935="NEW"),"",INDEX(J$1:J1934,SUMPRODUCT(MAX(ROW(E$1:E1934)*(E1935=E$1:E1934)))))</f>
        <v/>
      </c>
      <c r="L1935" s="31"/>
    </row>
    <row r="1936" customFormat="false" ht="15" hidden="false" customHeight="false" outlineLevel="0" collapsed="false">
      <c r="A1936" s="20" t="s">
        <v>923</v>
      </c>
      <c r="E1936" s="23" t="str">
        <f aca="false">IF(D1936="?OLD","!!!","")</f>
        <v/>
      </c>
      <c r="F1936" s="25" t="str">
        <f aca="false">IF(OR(E1936="",E1936="!!!"),"",IF(NOT(ISNA(VLOOKUP(E1936,E$1:E1935,1,FALSE()))),"OLD",IF(AND(E1936&lt;&gt;"",E1936&lt;&gt;"!!!"),"NEW","")))</f>
        <v/>
      </c>
      <c r="G1936" s="26" t="str">
        <f aca="false">IF(OR(E1936="",E1936="!!!"),"",IF(OR(J1936=0,AND(J1936=1,K1936=1),AND(J1936=1,I1936="SBJ"),AND(J1936=1,I1936=0)),"?IN_FOCUS",IF(J1936&lt;=2,"?ACTIVATED",IF(J1936&lt;&gt;"","?FAMILIAR",IF(F1936="NEW",IF(ISNA(VLOOKUP(E1936,#REF!,1,FALSE())),"?TYPE_IDENTIFIABLE","?REFERENTIAL"),"_")))))</f>
        <v/>
      </c>
      <c r="H1936" s="27" t="str">
        <f aca="false">IF(J1936&lt;&gt;1,"",IF(I1936="SBJ","CB","?"))</f>
        <v/>
      </c>
      <c r="I1936" s="24" t="str">
        <f aca="false">IF(OR(E1936="",E1936="!!!",F1936="NEW"),"",INDEX(B20:B$1917,-1+SUMPRODUCT(MAX(ROW(E20:E$1917)*(E1936=E20:E$1917)))))</f>
        <v/>
      </c>
      <c r="J1936" s="24" t="str">
        <f aca="true">IF(OR(E1936="",E1936="!!!",F1936="NEW"),"",COUNTBLANK(OFFSET(A$1,,,SUMPRODUCT(MAX(ROW(E$2:E1936)*(E1936=E$2:E1936)))))-COUNTBLANK(OFFSET(A$1,,,SUMPRODUCT(MAX(ROW(E$1:E1935)*(E2=E$1:E1935))))))</f>
        <v/>
      </c>
      <c r="K1936" s="24" t="str">
        <f aca="false">IF(OR(E1936="",E1936="!!!",F1936="NEW"),"",INDEX(J$1:J1935,SUMPRODUCT(MAX(ROW(E$1:E1935)*(E1936=E$1:E1935)))))</f>
        <v/>
      </c>
      <c r="L1936" s="31"/>
    </row>
    <row r="1937" customFormat="false" ht="15" hidden="false" customHeight="false" outlineLevel="0" collapsed="false">
      <c r="A1937" s="20"/>
    </row>
    <row r="1938" customFormat="false" ht="15" hidden="false" customHeight="false" outlineLevel="0" collapsed="false">
      <c r="A1938" s="20" t="s">
        <v>1301</v>
      </c>
      <c r="E1938" s="23" t="str">
        <f aca="false">IF(D1938="?OLD","!!!","")</f>
        <v/>
      </c>
      <c r="F1938" s="25" t="str">
        <f aca="false">IF(OR(E1938="",E1938="!!!"),"",IF(NOT(ISNA(VLOOKUP(E1938,E$1:E1937,1,FALSE()))),"OLD",IF(AND(E1938&lt;&gt;"",E1938&lt;&gt;"!!!"),"NEW","")))</f>
        <v/>
      </c>
      <c r="G1938" s="26" t="str">
        <f aca="false">IF(OR(E1938="",E1938="!!!"),"",IF(OR(J1938=0,AND(J1938=1,K1938=1),AND(J1938=1,I1938="SBJ"),AND(J1938=1,I1938=0)),"?IN_FOCUS",IF(J1938&lt;=2,"?ACTIVATED",IF(J1938&lt;&gt;"","?FAMILIAR",IF(F1938="NEW",IF(ISNA(VLOOKUP(E1938,#REF!,1,FALSE())),"?TYPE_IDENTIFIABLE","?REFERENTIAL"),"_")))))</f>
        <v/>
      </c>
      <c r="H1938" s="27" t="str">
        <f aca="false">IF(J1938&lt;&gt;1,"",IF(I1938="SBJ","CB","?"))</f>
        <v/>
      </c>
      <c r="I1938" s="24" t="str">
        <f aca="false">IF(OR(E1938="",E1938="!!!",F1938="NEW"),"",INDEX(B2:B$1937,-1+SUMPRODUCT(MAX(ROW(E2:E$1937)*(E1938=E2:E$1937)))))</f>
        <v/>
      </c>
      <c r="J1938" s="24" t="str">
        <f aca="true">IF(OR(E1938="",E1938="!!!",F1938="NEW"),"",COUNTBLANK(OFFSET(A$1,,,SUMPRODUCT(MAX(ROW(E$2:E1938)*(E1938=E$2:E1938)))))-COUNTBLANK(OFFSET(A$1,,,SUMPRODUCT(MAX(ROW(E$1:E1937)*(E2=E$1:E1937))))))</f>
        <v/>
      </c>
      <c r="K1938" s="24" t="str">
        <f aca="false">IF(OR(E1938="",E1938="!!!",F1938="NEW"),"",INDEX(J$1:J1937,SUMPRODUCT(MAX(ROW(E$1:E1937)*(E1938=E$1:E1937)))))</f>
        <v/>
      </c>
      <c r="L1938" s="31"/>
    </row>
    <row r="1939" customFormat="false" ht="15" hidden="false" customHeight="false" outlineLevel="0" collapsed="false">
      <c r="A1939" s="20" t="s">
        <v>1803</v>
      </c>
    </row>
    <row r="1940" customFormat="false" ht="15" hidden="false" customHeight="false" outlineLevel="0" collapsed="false">
      <c r="A1940" s="20" t="s">
        <v>607</v>
      </c>
      <c r="E1940" s="23" t="str">
        <f aca="false">IF(D1940="?OLD","!!!","")</f>
        <v/>
      </c>
      <c r="F1940" s="25" t="str">
        <f aca="false">IF(OR(E1940="",E1940="!!!"),"",IF(NOT(ISNA(VLOOKUP(E1940,E$1:E1939,1,FALSE()))),"OLD",IF(AND(E1940&lt;&gt;"",E1940&lt;&gt;"!!!"),"NEW","")))</f>
        <v/>
      </c>
      <c r="G1940" s="26" t="str">
        <f aca="false">IF(OR(E1940="",E1940="!!!"),"",IF(OR(J1940=0,AND(J1940=1,K1940=1),AND(J1940=1,I1940="SBJ"),AND(J1940=1,I1940=0)),"?IN_FOCUS",IF(J1940&lt;=2,"?ACTIVATED",IF(J1940&lt;&gt;"","?FAMILIAR",IF(F1940="NEW",IF(ISNA(VLOOKUP(E1940,#REF!,1,FALSE())),"?TYPE_IDENTIFIABLE","?REFERENTIAL"),"_")))))</f>
        <v/>
      </c>
      <c r="H1940" s="27" t="str">
        <f aca="false">IF(J1940&lt;&gt;1,"",IF(I1940="SBJ","CB","?"))</f>
        <v/>
      </c>
      <c r="I1940" s="24" t="str">
        <f aca="false">IF(OR(E1940="",E1940="!!!",F1940="NEW"),"",INDEX(B2:B$1939,-1+SUMPRODUCT(MAX(ROW(E2:E$1939)*(E1940=E2:E$1939)))))</f>
        <v/>
      </c>
      <c r="J1940" s="24" t="str">
        <f aca="true">IF(OR(E1940="",E1940="!!!",F1940="NEW"),"",COUNTBLANK(OFFSET(A$1,,,SUMPRODUCT(MAX(ROW(E$2:E1940)*(E1940=E$2:E1940)))))-COUNTBLANK(OFFSET(A$1,,,SUMPRODUCT(MAX(ROW(E$1:E1939)*(E2=E$1:E1939))))))</f>
        <v/>
      </c>
      <c r="K1940" s="24" t="str">
        <f aca="false">IF(OR(E1940="",E1940="!!!",F1940="NEW"),"",INDEX(J$1:J1939,SUMPRODUCT(MAX(ROW(E$1:E1939)*(E1940=E$1:E1939)))))</f>
        <v/>
      </c>
      <c r="L1940" s="31"/>
    </row>
    <row r="1941" customFormat="false" ht="15" hidden="false" customHeight="false" outlineLevel="0" collapsed="false">
      <c r="A1941" s="20" t="s">
        <v>1804</v>
      </c>
      <c r="E1941" s="23" t="str">
        <f aca="false">IF(D1941="?OLD","!!!","")</f>
        <v/>
      </c>
      <c r="F1941" s="25" t="str">
        <f aca="false">IF(OR(E1941="",E1941="!!!"),"",IF(NOT(ISNA(VLOOKUP(E1941,E$1:E1940,1,FALSE()))),"OLD",IF(AND(E1941&lt;&gt;"",E1941&lt;&gt;"!!!"),"NEW","")))</f>
        <v/>
      </c>
      <c r="G1941" s="26" t="str">
        <f aca="false">IF(OR(E1941="",E1941="!!!"),"",IF(OR(J1941=0,AND(J1941=1,K1941=1),AND(J1941=1,I1941="SBJ"),AND(J1941=1,I1941=0)),"?IN_FOCUS",IF(J1941&lt;=2,"?ACTIVATED",IF(J1941&lt;&gt;"","?FAMILIAR",IF(F1941="NEW",IF(ISNA(VLOOKUP(E1941,#REF!,1,FALSE())),"?TYPE_IDENTIFIABLE","?REFERENTIAL"),"_")))))</f>
        <v/>
      </c>
      <c r="H1941" s="27" t="str">
        <f aca="false">IF(J1941&lt;&gt;1,"",IF(I1941="SBJ","CB","?"))</f>
        <v/>
      </c>
      <c r="I1941" s="24" t="str">
        <f aca="false">IF(OR(E1941="",E1941="!!!",F1941="NEW"),"",INDEX(B3:B$1939,-1+SUMPRODUCT(MAX(ROW(E3:E$1939)*(E1941=E3:E$1939)))))</f>
        <v/>
      </c>
      <c r="J1941" s="24" t="str">
        <f aca="true">IF(OR(E1941="",E1941="!!!",F1941="NEW"),"",COUNTBLANK(OFFSET(A$1,,,SUMPRODUCT(MAX(ROW(E$2:E1941)*(E1941=E$2:E1941)))))-COUNTBLANK(OFFSET(A$1,,,SUMPRODUCT(MAX(ROW(E$1:E1940)*(E2=E$1:E1940))))))</f>
        <v/>
      </c>
      <c r="K1941" s="24" t="str">
        <f aca="false">IF(OR(E1941="",E1941="!!!",F1941="NEW"),"",INDEX(J$1:J1940,SUMPRODUCT(MAX(ROW(E$1:E1940)*(E1941=E$1:E1940)))))</f>
        <v/>
      </c>
      <c r="L1941" s="31"/>
    </row>
    <row r="1942" customFormat="false" ht="15" hidden="false" customHeight="false" outlineLevel="0" collapsed="false">
      <c r="A1942" s="20" t="s">
        <v>1328</v>
      </c>
      <c r="E1942" s="23" t="str">
        <f aca="false">IF(D1942="?OLD","!!!","")</f>
        <v/>
      </c>
      <c r="F1942" s="25" t="str">
        <f aca="false">IF(OR(E1942="",E1942="!!!"),"",IF(NOT(ISNA(VLOOKUP(E1942,E$1:E1941,1,FALSE()))),"OLD",IF(AND(E1942&lt;&gt;"",E1942&lt;&gt;"!!!"),"NEW","")))</f>
        <v/>
      </c>
      <c r="G1942" s="26" t="str">
        <f aca="false">IF(OR(E1942="",E1942="!!!"),"",IF(OR(J1942=0,AND(J1942=1,K1942=1),AND(J1942=1,I1942="SBJ"),AND(J1942=1,I1942=0)),"?IN_FOCUS",IF(J1942&lt;=2,"?ACTIVATED",IF(J1942&lt;&gt;"","?FAMILIAR",IF(F1942="NEW",IF(ISNA(VLOOKUP(E1942,#REF!,1,FALSE())),"?TYPE_IDENTIFIABLE","?REFERENTIAL"),"_")))))</f>
        <v/>
      </c>
      <c r="H1942" s="27" t="str">
        <f aca="false">IF(J1942&lt;&gt;1,"",IF(I1942="SBJ","CB","?"))</f>
        <v/>
      </c>
      <c r="I1942" s="24" t="str">
        <f aca="false">IF(OR(E1942="",E1942="!!!",F1942="NEW"),"",INDEX(B4:B$1939,-1+SUMPRODUCT(MAX(ROW(E4:E$1939)*(E1942=E4:E$1939)))))</f>
        <v/>
      </c>
      <c r="J1942" s="24" t="str">
        <f aca="true">IF(OR(E1942="",E1942="!!!",F1942="NEW"),"",COUNTBLANK(OFFSET(A$1,,,SUMPRODUCT(MAX(ROW(E$2:E1942)*(E1942=E$2:E1942)))))-COUNTBLANK(OFFSET(A$1,,,SUMPRODUCT(MAX(ROW(E$1:E1941)*(E2=E$1:E1941))))))</f>
        <v/>
      </c>
      <c r="K1942" s="24" t="str">
        <f aca="false">IF(OR(E1942="",E1942="!!!",F1942="NEW"),"",INDEX(J$1:J1941,SUMPRODUCT(MAX(ROW(E$1:E1941)*(E1942=E$1:E1941)))))</f>
        <v/>
      </c>
      <c r="L1942" s="31"/>
    </row>
    <row r="1943" customFormat="false" ht="15" hidden="false" customHeight="false" outlineLevel="0" collapsed="false">
      <c r="A1943" s="20" t="s">
        <v>607</v>
      </c>
      <c r="E1943" s="23" t="str">
        <f aca="false">IF(D1943="?OLD","!!!","")</f>
        <v/>
      </c>
      <c r="F1943" s="25" t="str">
        <f aca="false">IF(OR(E1943="",E1943="!!!"),"",IF(NOT(ISNA(VLOOKUP(E1943,E$1:E1942,1,FALSE()))),"OLD",IF(AND(E1943&lt;&gt;"",E1943&lt;&gt;"!!!"),"NEW","")))</f>
        <v/>
      </c>
      <c r="G1943" s="26" t="str">
        <f aca="false">IF(OR(E1943="",E1943="!!!"),"",IF(OR(J1943=0,AND(J1943=1,K1943=1),AND(J1943=1,I1943="SBJ"),AND(J1943=1,I1943=0)),"?IN_FOCUS",IF(J1943&lt;=2,"?ACTIVATED",IF(J1943&lt;&gt;"","?FAMILIAR",IF(F1943="NEW",IF(ISNA(VLOOKUP(E1943,#REF!,1,FALSE())),"?TYPE_IDENTIFIABLE","?REFERENTIAL"),"_")))))</f>
        <v/>
      </c>
      <c r="H1943" s="27" t="str">
        <f aca="false">IF(J1943&lt;&gt;1,"",IF(I1943="SBJ","CB","?"))</f>
        <v/>
      </c>
      <c r="I1943" s="24" t="str">
        <f aca="false">IF(OR(E1943="",E1943="!!!",F1943="NEW"),"",INDEX(B5:B$1939,-1+SUMPRODUCT(MAX(ROW(E5:E$1939)*(E1943=E5:E$1939)))))</f>
        <v/>
      </c>
      <c r="J1943" s="24" t="str">
        <f aca="true">IF(OR(E1943="",E1943="!!!",F1943="NEW"),"",COUNTBLANK(OFFSET(A$1,,,SUMPRODUCT(MAX(ROW(E$2:E1943)*(E1943=E$2:E1943)))))-COUNTBLANK(OFFSET(A$1,,,SUMPRODUCT(MAX(ROW(E$1:E1942)*(E2=E$1:E1942))))))</f>
        <v/>
      </c>
      <c r="K1943" s="24" t="str">
        <f aca="false">IF(OR(E1943="",E1943="!!!",F1943="NEW"),"",INDEX(J$1:J1942,SUMPRODUCT(MAX(ROW(E$1:E1942)*(E1943=E$1:E1942)))))</f>
        <v/>
      </c>
      <c r="L1943" s="31"/>
    </row>
    <row r="1944" customFormat="false" ht="15" hidden="false" customHeight="false" outlineLevel="0" collapsed="false">
      <c r="A1944" s="20" t="s">
        <v>1805</v>
      </c>
      <c r="E1944" s="23" t="str">
        <f aca="false">IF(D1944="?OLD","!!!","")</f>
        <v/>
      </c>
      <c r="F1944" s="25" t="str">
        <f aca="false">IF(OR(E1944="",E1944="!!!"),"",IF(NOT(ISNA(VLOOKUP(E1944,E$1:E1943,1,FALSE()))),"OLD",IF(AND(E1944&lt;&gt;"",E1944&lt;&gt;"!!!"),"NEW","")))</f>
        <v/>
      </c>
      <c r="G1944" s="26" t="str">
        <f aca="false">IF(OR(E1944="",E1944="!!!"),"",IF(OR(J1944=0,AND(J1944=1,K1944=1),AND(J1944=1,I1944="SBJ"),AND(J1944=1,I1944=0)),"?IN_FOCUS",IF(J1944&lt;=2,"?ACTIVATED",IF(J1944&lt;&gt;"","?FAMILIAR",IF(F1944="NEW",IF(ISNA(VLOOKUP(E1944,#REF!,1,FALSE())),"?TYPE_IDENTIFIABLE","?REFERENTIAL"),"_")))))</f>
        <v/>
      </c>
      <c r="H1944" s="27" t="str">
        <f aca="false">IF(J1944&lt;&gt;1,"",IF(I1944="SBJ","CB","?"))</f>
        <v/>
      </c>
      <c r="I1944" s="24" t="str">
        <f aca="false">IF(OR(E1944="",E1944="!!!",F1944="NEW"),"",INDEX(B6:B$1939,-1+SUMPRODUCT(MAX(ROW(E6:E$1939)*(E1944=E6:E$1939)))))</f>
        <v/>
      </c>
      <c r="J1944" s="24" t="str">
        <f aca="true">IF(OR(E1944="",E1944="!!!",F1944="NEW"),"",COUNTBLANK(OFFSET(A$1,,,SUMPRODUCT(MAX(ROW(E$2:E1944)*(E1944=E$2:E1944)))))-COUNTBLANK(OFFSET(A$1,,,SUMPRODUCT(MAX(ROW(E$1:E1943)*(E2=E$1:E1943))))))</f>
        <v/>
      </c>
      <c r="K1944" s="24" t="str">
        <f aca="false">IF(OR(E1944="",E1944="!!!",F1944="NEW"),"",INDEX(J$1:J1943,SUMPRODUCT(MAX(ROW(E$1:E1943)*(E1944=E$1:E1943)))))</f>
        <v/>
      </c>
      <c r="L1944" s="31"/>
    </row>
    <row r="1945" customFormat="false" ht="15" hidden="false" customHeight="false" outlineLevel="0" collapsed="false">
      <c r="A1945" s="20" t="s">
        <v>1066</v>
      </c>
      <c r="B1945" s="22" t="s">
        <v>1081</v>
      </c>
      <c r="C1945" s="22" t="s">
        <v>1068</v>
      </c>
      <c r="D1945" s="22" t="s">
        <v>1060</v>
      </c>
      <c r="E1945" s="23" t="str">
        <f aca="false">IF(D1945="?OLD","!!!","")</f>
        <v>!!!</v>
      </c>
      <c r="F1945" s="25" t="str">
        <f aca="false">IF(OR(E1945="",E1945="!!!"),"",IF(NOT(ISNA(VLOOKUP(E1945,E$1:E1944,1,FALSE()))),"OLD",IF(AND(E1945&lt;&gt;"",E1945&lt;&gt;"!!!"),"NEW","")))</f>
        <v/>
      </c>
      <c r="G1945" s="26" t="str">
        <f aca="false">IF(OR(E1945="",E1945="!!!"),"",IF(OR(J1945=0,AND(J1945=1,K1945=1),AND(J1945=1,I1945="SBJ"),AND(J1945=1,I1945=0)),"?IN_FOCUS",IF(J1945&lt;=2,"?ACTIVATED",IF(J1945&lt;&gt;"","?FAMILIAR",IF(F1945="NEW",IF(ISNA(VLOOKUP(E1945,#REF!,1,FALSE())),"?TYPE_IDENTIFIABLE","?REFERENTIAL"),"_")))))</f>
        <v/>
      </c>
      <c r="H1945" s="27" t="str">
        <f aca="false">IF(J1945&lt;&gt;1,"",IF(I1945="SBJ","CB","?"))</f>
        <v/>
      </c>
      <c r="I1945" s="24" t="str">
        <f aca="false">IF(OR(E1945="",E1945="!!!",F1945="NEW"),"",INDEX(B7:B$1939,-1+SUMPRODUCT(MAX(ROW(E7:E$1939)*(E1945=E7:E$1939)))))</f>
        <v/>
      </c>
      <c r="J1945" s="24" t="str">
        <f aca="true">IF(OR(E1945="",E1945="!!!",F1945="NEW"),"",COUNTBLANK(OFFSET(A$1,,,SUMPRODUCT(MAX(ROW(E$2:E1945)*(E1945=E$2:E1945)))))-COUNTBLANK(OFFSET(A$1,,,SUMPRODUCT(MAX(ROW(E$1:E1944)*(E2=E$1:E1944))))))</f>
        <v/>
      </c>
      <c r="K1945" s="24" t="str">
        <f aca="false">IF(OR(E1945="",E1945="!!!",F1945="NEW"),"",INDEX(J$1:J1944,SUMPRODUCT(MAX(ROW(E$1:E1944)*(E1945=E$1:E1944)))))</f>
        <v/>
      </c>
      <c r="L1945" s="31"/>
    </row>
    <row r="1946" customFormat="false" ht="15" hidden="false" customHeight="false" outlineLevel="0" collapsed="false">
      <c r="A1946" s="20" t="s">
        <v>1076</v>
      </c>
      <c r="E1946" s="23" t="str">
        <f aca="false">IF(D1946="?OLD","!!!","")</f>
        <v/>
      </c>
      <c r="F1946" s="25" t="str">
        <f aca="false">IF(OR(E1946="",E1946="!!!"),"",IF(NOT(ISNA(VLOOKUP(E1946,E$1:E1945,1,FALSE()))),"OLD",IF(AND(E1946&lt;&gt;"",E1946&lt;&gt;"!!!"),"NEW","")))</f>
        <v/>
      </c>
      <c r="G1946" s="26" t="str">
        <f aca="false">IF(OR(E1946="",E1946="!!!"),"",IF(OR(J1946=0,AND(J1946=1,K1946=1),AND(J1946=1,I1946="SBJ"),AND(J1946=1,I1946=0)),"?IN_FOCUS",IF(J1946&lt;=2,"?ACTIVATED",IF(J1946&lt;&gt;"","?FAMILIAR",IF(F1946="NEW",IF(ISNA(VLOOKUP(E1946,#REF!,1,FALSE())),"?TYPE_IDENTIFIABLE","?REFERENTIAL"),"_")))))</f>
        <v/>
      </c>
      <c r="H1946" s="27" t="str">
        <f aca="false">IF(J1946&lt;&gt;1,"",IF(I1946="SBJ","CB","?"))</f>
        <v/>
      </c>
      <c r="I1946" s="24" t="str">
        <f aca="false">IF(OR(E1946="",E1946="!!!",F1946="NEW"),"",INDEX(B8:B$1939,-1+SUMPRODUCT(MAX(ROW(E8:E$1939)*(E1946=E8:E$1939)))))</f>
        <v/>
      </c>
      <c r="J1946" s="24" t="str">
        <f aca="true">IF(OR(E1946="",E1946="!!!",F1946="NEW"),"",COUNTBLANK(OFFSET(A$1,,,SUMPRODUCT(MAX(ROW(E$2:E1946)*(E1946=E$2:E1946)))))-COUNTBLANK(OFFSET(A$1,,,SUMPRODUCT(MAX(ROW(E$1:E1945)*(E2=E$1:E1945))))))</f>
        <v/>
      </c>
      <c r="K1946" s="24" t="str">
        <f aca="false">IF(OR(E1946="",E1946="!!!",F1946="NEW"),"",INDEX(J$1:J1945,SUMPRODUCT(MAX(ROW(E$1:E1945)*(E1946=E$1:E1945)))))</f>
        <v/>
      </c>
      <c r="L1946" s="31"/>
    </row>
    <row r="1947" customFormat="false" ht="15" hidden="false" customHeight="false" outlineLevel="0" collapsed="false">
      <c r="A1947" s="20" t="s">
        <v>1128</v>
      </c>
      <c r="E1947" s="23" t="str">
        <f aca="false">IF(D1947="?OLD","!!!","")</f>
        <v/>
      </c>
      <c r="F1947" s="25" t="str">
        <f aca="false">IF(OR(E1947="",E1947="!!!"),"",IF(NOT(ISNA(VLOOKUP(E1947,E$1:E1946,1,FALSE()))),"OLD",IF(AND(E1947&lt;&gt;"",E1947&lt;&gt;"!!!"),"NEW","")))</f>
        <v/>
      </c>
      <c r="G1947" s="26" t="str">
        <f aca="false">IF(OR(E1947="",E1947="!!!"),"",IF(OR(J1947=0,AND(J1947=1,K1947=1),AND(J1947=1,I1947="SBJ"),AND(J1947=1,I1947=0)),"?IN_FOCUS",IF(J1947&lt;=2,"?ACTIVATED",IF(J1947&lt;&gt;"","?FAMILIAR",IF(F1947="NEW",IF(ISNA(VLOOKUP(E1947,#REF!,1,FALSE())),"?TYPE_IDENTIFIABLE","?REFERENTIAL"),"_")))))</f>
        <v/>
      </c>
      <c r="H1947" s="27" t="str">
        <f aca="false">IF(J1947&lt;&gt;1,"",IF(I1947="SBJ","CB","?"))</f>
        <v/>
      </c>
      <c r="I1947" s="24" t="str">
        <f aca="false">IF(OR(E1947="",E1947="!!!",F1947="NEW"),"",INDEX(B9:B$1939,-1+SUMPRODUCT(MAX(ROW(E9:E$1939)*(E1947=E9:E$1939)))))</f>
        <v/>
      </c>
      <c r="J1947" s="24" t="str">
        <f aca="true">IF(OR(E1947="",E1947="!!!",F1947="NEW"),"",COUNTBLANK(OFFSET(A$1,,,SUMPRODUCT(MAX(ROW(E$2:E1947)*(E1947=E$2:E1947)))))-COUNTBLANK(OFFSET(A$1,,,SUMPRODUCT(MAX(ROW(E$1:E1946)*(E2=E$1:E1946))))))</f>
        <v/>
      </c>
      <c r="K1947" s="24" t="str">
        <f aca="false">IF(OR(E1947="",E1947="!!!",F1947="NEW"),"",INDEX(J$1:J1946,SUMPRODUCT(MAX(ROW(E$1:E1946)*(E1947=E$1:E1946)))))</f>
        <v/>
      </c>
      <c r="L1947" s="31"/>
    </row>
    <row r="1948" customFormat="false" ht="15" hidden="false" customHeight="false" outlineLevel="0" collapsed="false">
      <c r="A1948" s="20" t="s">
        <v>1162</v>
      </c>
      <c r="B1948" s="22" t="s">
        <v>1086</v>
      </c>
      <c r="C1948" s="22" t="s">
        <v>1082</v>
      </c>
      <c r="D1948" s="22" t="s">
        <v>1060</v>
      </c>
      <c r="E1948" s="23" t="str">
        <f aca="false">IF(D1948="?OLD","!!!","")</f>
        <v>!!!</v>
      </c>
      <c r="F1948" s="25" t="str">
        <f aca="false">IF(OR(E1948="",E1948="!!!"),"",IF(NOT(ISNA(VLOOKUP(E1948,E$1:E1947,1,FALSE()))),"OLD",IF(AND(E1948&lt;&gt;"",E1948&lt;&gt;"!!!"),"NEW","")))</f>
        <v/>
      </c>
      <c r="G1948" s="26" t="str">
        <f aca="false">IF(OR(E1948="",E1948="!!!"),"",IF(OR(J1948=0,AND(J1948=1,K1948=1),AND(J1948=1,I1948="SBJ"),AND(J1948=1,I1948=0)),"?IN_FOCUS",IF(J1948&lt;=2,"?ACTIVATED",IF(J1948&lt;&gt;"","?FAMILIAR",IF(F1948="NEW",IF(ISNA(VLOOKUP(E1948,#REF!,1,FALSE())),"?TYPE_IDENTIFIABLE","?REFERENTIAL"),"_")))))</f>
        <v/>
      </c>
      <c r="H1948" s="27" t="str">
        <f aca="false">IF(J1948&lt;&gt;1,"",IF(I1948="SBJ","CB","?"))</f>
        <v/>
      </c>
      <c r="I1948" s="24" t="str">
        <f aca="false">IF(OR(E1948="",E1948="!!!",F1948="NEW"),"",INDEX(B10:B$1939,-1+SUMPRODUCT(MAX(ROW(E10:E$1939)*(E1948=E10:E$1939)))))</f>
        <v/>
      </c>
      <c r="J1948" s="24" t="str">
        <f aca="true">IF(OR(E1948="",E1948="!!!",F1948="NEW"),"",COUNTBLANK(OFFSET(A$1,,,SUMPRODUCT(MAX(ROW(E$2:E1948)*(E1948=E$2:E1948)))))-COUNTBLANK(OFFSET(A$1,,,SUMPRODUCT(MAX(ROW(E$1:E1947)*(E2=E$1:E1947))))))</f>
        <v/>
      </c>
      <c r="K1948" s="24" t="str">
        <f aca="false">IF(OR(E1948="",E1948="!!!",F1948="NEW"),"",INDEX(J$1:J1947,SUMPRODUCT(MAX(ROW(E$1:E1947)*(E1948=E$1:E1947)))))</f>
        <v/>
      </c>
      <c r="L1948" s="31"/>
    </row>
    <row r="1949" customFormat="false" ht="15" hidden="false" customHeight="false" outlineLevel="0" collapsed="false">
      <c r="A1949" s="20" t="s">
        <v>1529</v>
      </c>
      <c r="E1949" s="23" t="str">
        <f aca="false">IF(D1949="?OLD","!!!","")</f>
        <v/>
      </c>
      <c r="F1949" s="25" t="str">
        <f aca="false">IF(OR(E1949="",E1949="!!!"),"",IF(NOT(ISNA(VLOOKUP(E1949,E$1:E1948,1,FALSE()))),"OLD",IF(AND(E1949&lt;&gt;"",E1949&lt;&gt;"!!!"),"NEW","")))</f>
        <v/>
      </c>
      <c r="G1949" s="26" t="str">
        <f aca="false">IF(OR(E1949="",E1949="!!!"),"",IF(OR(J1949=0,AND(J1949=1,K1949=1),AND(J1949=1,I1949="SBJ"),AND(J1949=1,I1949=0)),"?IN_FOCUS",IF(J1949&lt;=2,"?ACTIVATED",IF(J1949&lt;&gt;"","?FAMILIAR",IF(F1949="NEW",IF(ISNA(VLOOKUP(E1949,#REF!,1,FALSE())),"?TYPE_IDENTIFIABLE","?REFERENTIAL"),"_")))))</f>
        <v/>
      </c>
      <c r="H1949" s="27" t="str">
        <f aca="false">IF(J1949&lt;&gt;1,"",IF(I1949="SBJ","CB","?"))</f>
        <v/>
      </c>
      <c r="I1949" s="24" t="str">
        <f aca="false">IF(OR(E1949="",E1949="!!!",F1949="NEW"),"",INDEX(B11:B$1939,-1+SUMPRODUCT(MAX(ROW(E11:E$1939)*(E1949=E11:E$1939)))))</f>
        <v/>
      </c>
      <c r="J1949" s="24" t="str">
        <f aca="true">IF(OR(E1949="",E1949="!!!",F1949="NEW"),"",COUNTBLANK(OFFSET(A$1,,,SUMPRODUCT(MAX(ROW(E$2:E1949)*(E1949=E$2:E1949)))))-COUNTBLANK(OFFSET(A$1,,,SUMPRODUCT(MAX(ROW(E$1:E1948)*(E2=E$1:E1948))))))</f>
        <v/>
      </c>
      <c r="K1949" s="24" t="str">
        <f aca="false">IF(OR(E1949="",E1949="!!!",F1949="NEW"),"",INDEX(J$1:J1948,SUMPRODUCT(MAX(ROW(E$1:E1948)*(E1949=E$1:E1948)))))</f>
        <v/>
      </c>
      <c r="L1949" s="31"/>
    </row>
    <row r="1950" customFormat="false" ht="15" hidden="false" customHeight="false" outlineLevel="0" collapsed="false">
      <c r="A1950" s="20" t="s">
        <v>1109</v>
      </c>
      <c r="E1950" s="23" t="str">
        <f aca="false">IF(D1950="?OLD","!!!","")</f>
        <v/>
      </c>
      <c r="F1950" s="25" t="str">
        <f aca="false">IF(OR(E1950="",E1950="!!!"),"",IF(NOT(ISNA(VLOOKUP(E1950,E$1:E1949,1,FALSE()))),"OLD",IF(AND(E1950&lt;&gt;"",E1950&lt;&gt;"!!!"),"NEW","")))</f>
        <v/>
      </c>
      <c r="G1950" s="26" t="str">
        <f aca="false">IF(OR(E1950="",E1950="!!!"),"",IF(OR(J1950=0,AND(J1950=1,K1950=1),AND(J1950=1,I1950="SBJ"),AND(J1950=1,I1950=0)),"?IN_FOCUS",IF(J1950&lt;=2,"?ACTIVATED",IF(J1950&lt;&gt;"","?FAMILIAR",IF(F1950="NEW",IF(ISNA(VLOOKUP(E1950,#REF!,1,FALSE())),"?TYPE_IDENTIFIABLE","?REFERENTIAL"),"_")))))</f>
        <v/>
      </c>
      <c r="H1950" s="27" t="str">
        <f aca="false">IF(J1950&lt;&gt;1,"",IF(I1950="SBJ","CB","?"))</f>
        <v/>
      </c>
      <c r="I1950" s="24" t="str">
        <f aca="false">IF(OR(E1950="",E1950="!!!",F1950="NEW"),"",INDEX(B12:B$1939,-1+SUMPRODUCT(MAX(ROW(E12:E$1939)*(E1950=E12:E$1939)))))</f>
        <v/>
      </c>
      <c r="J1950" s="24" t="str">
        <f aca="true">IF(OR(E1950="",E1950="!!!",F1950="NEW"),"",COUNTBLANK(OFFSET(A$1,,,SUMPRODUCT(MAX(ROW(E$2:E1950)*(E1950=E$2:E1950)))))-COUNTBLANK(OFFSET(A$1,,,SUMPRODUCT(MAX(ROW(E$1:E1949)*(E2=E$1:E1949))))))</f>
        <v/>
      </c>
      <c r="K1950" s="24" t="str">
        <f aca="false">IF(OR(E1950="",E1950="!!!",F1950="NEW"),"",INDEX(J$1:J1949,SUMPRODUCT(MAX(ROW(E$1:E1949)*(E1950=E$1:E1949)))))</f>
        <v/>
      </c>
      <c r="L1950" s="31"/>
    </row>
    <row r="1951" customFormat="false" ht="15" hidden="false" customHeight="false" outlineLevel="0" collapsed="false">
      <c r="A1951" s="20" t="s">
        <v>1806</v>
      </c>
      <c r="E1951" s="23" t="str">
        <f aca="false">IF(D1951="?OLD","!!!","")</f>
        <v/>
      </c>
      <c r="F1951" s="25" t="str">
        <f aca="false">IF(OR(E1951="",E1951="!!!"),"",IF(NOT(ISNA(VLOOKUP(E1951,E$1:E1950,1,FALSE()))),"OLD",IF(AND(E1951&lt;&gt;"",E1951&lt;&gt;"!!!"),"NEW","")))</f>
        <v/>
      </c>
      <c r="G1951" s="26" t="str">
        <f aca="false">IF(OR(E1951="",E1951="!!!"),"",IF(OR(J1951=0,AND(J1951=1,K1951=1),AND(J1951=1,I1951="SBJ"),AND(J1951=1,I1951=0)),"?IN_FOCUS",IF(J1951&lt;=2,"?ACTIVATED",IF(J1951&lt;&gt;"","?FAMILIAR",IF(F1951="NEW",IF(ISNA(VLOOKUP(E1951,#REF!,1,FALSE())),"?TYPE_IDENTIFIABLE","?REFERENTIAL"),"_")))))</f>
        <v/>
      </c>
      <c r="H1951" s="27" t="str">
        <f aca="false">IF(J1951&lt;&gt;1,"",IF(I1951="SBJ","CB","?"))</f>
        <v/>
      </c>
      <c r="I1951" s="24" t="str">
        <f aca="false">IF(OR(E1951="",E1951="!!!",F1951="NEW"),"",INDEX(B13:B$1939,-1+SUMPRODUCT(MAX(ROW(E13:E$1939)*(E1951=E13:E$1939)))))</f>
        <v/>
      </c>
      <c r="J1951" s="24" t="str">
        <f aca="true">IF(OR(E1951="",E1951="!!!",F1951="NEW"),"",COUNTBLANK(OFFSET(A$1,,,SUMPRODUCT(MAX(ROW(E$2:E1951)*(E1951=E$2:E1951)))))-COUNTBLANK(OFFSET(A$1,,,SUMPRODUCT(MAX(ROW(E$1:E1950)*(E2=E$1:E1950))))))</f>
        <v/>
      </c>
      <c r="K1951" s="24" t="str">
        <f aca="false">IF(OR(E1951="",E1951="!!!",F1951="NEW"),"",INDEX(J$1:J1950,SUMPRODUCT(MAX(ROW(E$1:E1950)*(E1951=E$1:E1950)))))</f>
        <v/>
      </c>
      <c r="L1951" s="31"/>
    </row>
    <row r="1952" customFormat="false" ht="15" hidden="false" customHeight="false" outlineLevel="0" collapsed="false">
      <c r="A1952" s="20" t="s">
        <v>1807</v>
      </c>
      <c r="B1952" s="22" t="s">
        <v>1142</v>
      </c>
      <c r="C1952" s="22" t="s">
        <v>1150</v>
      </c>
      <c r="D1952" s="22" t="s">
        <v>1060</v>
      </c>
      <c r="E1952" s="23" t="str">
        <f aca="false">IF(D1952="?OLD","!!!","")</f>
        <v>!!!</v>
      </c>
      <c r="F1952" s="25" t="str">
        <f aca="false">IF(OR(E1952="",E1952="!!!"),"",IF(NOT(ISNA(VLOOKUP(E1952,E$1:E1951,1,FALSE()))),"OLD",IF(AND(E1952&lt;&gt;"",E1952&lt;&gt;"!!!"),"NEW","")))</f>
        <v/>
      </c>
      <c r="G1952" s="26" t="str">
        <f aca="false">IF(OR(E1952="",E1952="!!!"),"",IF(OR(J1952=0,AND(J1952=1,K1952=1),AND(J1952=1,I1952="SBJ"),AND(J1952=1,I1952=0)),"?IN_FOCUS",IF(J1952&lt;=2,"?ACTIVATED",IF(J1952&lt;&gt;"","?FAMILIAR",IF(F1952="NEW",IF(ISNA(VLOOKUP(E1952,#REF!,1,FALSE())),"?TYPE_IDENTIFIABLE","?REFERENTIAL"),"_")))))</f>
        <v/>
      </c>
      <c r="H1952" s="27" t="str">
        <f aca="false">IF(J1952&lt;&gt;1,"",IF(I1952="SBJ","CB","?"))</f>
        <v/>
      </c>
      <c r="I1952" s="24" t="str">
        <f aca="false">IF(OR(E1952="",E1952="!!!",F1952="NEW"),"",INDEX(B14:B$1939,-1+SUMPRODUCT(MAX(ROW(E14:E$1939)*(E1952=E14:E$1939)))))</f>
        <v/>
      </c>
      <c r="J1952" s="24" t="str">
        <f aca="true">IF(OR(E1952="",E1952="!!!",F1952="NEW"),"",COUNTBLANK(OFFSET(A$1,,,SUMPRODUCT(MAX(ROW(E$2:E1952)*(E1952=E$2:E1952)))))-COUNTBLANK(OFFSET(A$1,,,SUMPRODUCT(MAX(ROW(E$1:E1951)*(E2=E$1:E1951))))))</f>
        <v/>
      </c>
      <c r="K1952" s="24" t="str">
        <f aca="false">IF(OR(E1952="",E1952="!!!",F1952="NEW"),"",INDEX(J$1:J1951,SUMPRODUCT(MAX(ROW(E$1:E1951)*(E1952=E$1:E1951)))))</f>
        <v/>
      </c>
      <c r="L1952" s="31"/>
    </row>
    <row r="1953" customFormat="false" ht="15" hidden="false" customHeight="false" outlineLevel="0" collapsed="false">
      <c r="A1953" s="20" t="s">
        <v>1064</v>
      </c>
      <c r="E1953" s="23" t="str">
        <f aca="false">IF(D1953="?OLD","!!!","")</f>
        <v/>
      </c>
      <c r="F1953" s="25" t="str">
        <f aca="false">IF(OR(E1953="",E1953="!!!"),"",IF(NOT(ISNA(VLOOKUP(E1953,E$1:E1952,1,FALSE()))),"OLD",IF(AND(E1953&lt;&gt;"",E1953&lt;&gt;"!!!"),"NEW","")))</f>
        <v/>
      </c>
      <c r="G1953" s="26" t="str">
        <f aca="false">IF(OR(E1953="",E1953="!!!"),"",IF(OR(J1953=0,AND(J1953=1,K1953=1),AND(J1953=1,I1953="SBJ"),AND(J1953=1,I1953=0)),"?IN_FOCUS",IF(J1953&lt;=2,"?ACTIVATED",IF(J1953&lt;&gt;"","?FAMILIAR",IF(F1953="NEW",IF(ISNA(VLOOKUP(E1953,#REF!,1,FALSE())),"?TYPE_IDENTIFIABLE","?REFERENTIAL"),"_")))))</f>
        <v/>
      </c>
      <c r="H1953" s="27" t="str">
        <f aca="false">IF(J1953&lt;&gt;1,"",IF(I1953="SBJ","CB","?"))</f>
        <v/>
      </c>
      <c r="I1953" s="24" t="str">
        <f aca="false">IF(OR(E1953="",E1953="!!!",F1953="NEW"),"",INDEX(B15:B$1939,-1+SUMPRODUCT(MAX(ROW(E15:E$1939)*(E1953=E15:E$1939)))))</f>
        <v/>
      </c>
      <c r="J1953" s="24" t="str">
        <f aca="true">IF(OR(E1953="",E1953="!!!",F1953="NEW"),"",COUNTBLANK(OFFSET(A$1,,,SUMPRODUCT(MAX(ROW(E$2:E1953)*(E1953=E$2:E1953)))))-COUNTBLANK(OFFSET(A$1,,,SUMPRODUCT(MAX(ROW(E$1:E1952)*(E2=E$1:E1952))))))</f>
        <v/>
      </c>
      <c r="K1953" s="24" t="str">
        <f aca="false">IF(OR(E1953="",E1953="!!!",F1953="NEW"),"",INDEX(J$1:J1952,SUMPRODUCT(MAX(ROW(E$1:E1952)*(E1953=E$1:E1952)))))</f>
        <v/>
      </c>
      <c r="L1953" s="31"/>
    </row>
    <row r="1954" customFormat="false" ht="15" hidden="false" customHeight="false" outlineLevel="0" collapsed="false">
      <c r="A1954" s="20" t="s">
        <v>1085</v>
      </c>
      <c r="E1954" s="23" t="str">
        <f aca="false">IF(D1954="?OLD","!!!","")</f>
        <v/>
      </c>
      <c r="F1954" s="25" t="str">
        <f aca="false">IF(OR(E1954="",E1954="!!!"),"",IF(NOT(ISNA(VLOOKUP(E1954,E$1:E1953,1,FALSE()))),"OLD",IF(AND(E1954&lt;&gt;"",E1954&lt;&gt;"!!!"),"NEW","")))</f>
        <v/>
      </c>
      <c r="G1954" s="26" t="str">
        <f aca="false">IF(OR(E1954="",E1954="!!!"),"",IF(OR(J1954=0,AND(J1954=1,K1954=1),AND(J1954=1,I1954="SBJ"),AND(J1954=1,I1954=0)),"?IN_FOCUS",IF(J1954&lt;=2,"?ACTIVATED",IF(J1954&lt;&gt;"","?FAMILIAR",IF(F1954="NEW",IF(ISNA(VLOOKUP(E1954,#REF!,1,FALSE())),"?TYPE_IDENTIFIABLE","?REFERENTIAL"),"_")))))</f>
        <v/>
      </c>
      <c r="H1954" s="27" t="str">
        <f aca="false">IF(J1954&lt;&gt;1,"",IF(I1954="SBJ","CB","?"))</f>
        <v/>
      </c>
      <c r="I1954" s="24" t="str">
        <f aca="false">IF(OR(E1954="",E1954="!!!",F1954="NEW"),"",INDEX(B16:B$1939,-1+SUMPRODUCT(MAX(ROW(E16:E$1939)*(E1954=E16:E$1939)))))</f>
        <v/>
      </c>
      <c r="J1954" s="24" t="str">
        <f aca="true">IF(OR(E1954="",E1954="!!!",F1954="NEW"),"",COUNTBLANK(OFFSET(A$1,,,SUMPRODUCT(MAX(ROW(E$2:E1954)*(E1954=E$2:E1954)))))-COUNTBLANK(OFFSET(A$1,,,SUMPRODUCT(MAX(ROW(E$1:E1953)*(E2=E$1:E1953))))))</f>
        <v/>
      </c>
      <c r="K1954" s="24" t="str">
        <f aca="false">IF(OR(E1954="",E1954="!!!",F1954="NEW"),"",INDEX(J$1:J1953,SUMPRODUCT(MAX(ROW(E$1:E1953)*(E1954=E$1:E1953)))))</f>
        <v/>
      </c>
      <c r="L1954" s="31"/>
    </row>
    <row r="1955" customFormat="false" ht="15" hidden="false" customHeight="false" outlineLevel="0" collapsed="false">
      <c r="A1955" s="20" t="s">
        <v>1808</v>
      </c>
      <c r="E1955" s="23" t="str">
        <f aca="false">IF(D1955="?OLD","!!!","")</f>
        <v/>
      </c>
      <c r="F1955" s="25" t="str">
        <f aca="false">IF(OR(E1955="",E1955="!!!"),"",IF(NOT(ISNA(VLOOKUP(E1955,E$1:E1954,1,FALSE()))),"OLD",IF(AND(E1955&lt;&gt;"",E1955&lt;&gt;"!!!"),"NEW","")))</f>
        <v/>
      </c>
      <c r="G1955" s="26" t="str">
        <f aca="false">IF(OR(E1955="",E1955="!!!"),"",IF(OR(J1955=0,AND(J1955=1,K1955=1),AND(J1955=1,I1955="SBJ"),AND(J1955=1,I1955=0)),"?IN_FOCUS",IF(J1955&lt;=2,"?ACTIVATED",IF(J1955&lt;&gt;"","?FAMILIAR",IF(F1955="NEW",IF(ISNA(VLOOKUP(E1955,#REF!,1,FALSE())),"?TYPE_IDENTIFIABLE","?REFERENTIAL"),"_")))))</f>
        <v/>
      </c>
      <c r="H1955" s="27" t="str">
        <f aca="false">IF(J1955&lt;&gt;1,"",IF(I1955="SBJ","CB","?"))</f>
        <v/>
      </c>
      <c r="I1955" s="24" t="str">
        <f aca="false">IF(OR(E1955="",E1955="!!!",F1955="NEW"),"",INDEX(B17:B$1939,-1+SUMPRODUCT(MAX(ROW(E17:E$1939)*(E1955=E17:E$1939)))))</f>
        <v/>
      </c>
      <c r="J1955" s="24" t="str">
        <f aca="true">IF(OR(E1955="",E1955="!!!",F1955="NEW"),"",COUNTBLANK(OFFSET(A$1,,,SUMPRODUCT(MAX(ROW(E$2:E1955)*(E1955=E$2:E1955)))))-COUNTBLANK(OFFSET(A$1,,,SUMPRODUCT(MAX(ROW(E$1:E1954)*(E2=E$1:E1954))))))</f>
        <v/>
      </c>
      <c r="K1955" s="24" t="str">
        <f aca="false">IF(OR(E1955="",E1955="!!!",F1955="NEW"),"",INDEX(J$1:J1954,SUMPRODUCT(MAX(ROW(E$1:E1954)*(E1955=E$1:E1954)))))</f>
        <v/>
      </c>
      <c r="L1955" s="31"/>
    </row>
    <row r="1956" customFormat="false" ht="15" hidden="false" customHeight="false" outlineLevel="0" collapsed="false">
      <c r="A1956" s="20" t="s">
        <v>1809</v>
      </c>
      <c r="B1956" s="22" t="s">
        <v>1067</v>
      </c>
      <c r="C1956" s="22" t="s">
        <v>1087</v>
      </c>
      <c r="E1956" s="23" t="str">
        <f aca="false">IF(D1956="?OLD","!!!","")</f>
        <v/>
      </c>
      <c r="F1956" s="25" t="str">
        <f aca="false">IF(OR(E1956="",E1956="!!!"),"",IF(NOT(ISNA(VLOOKUP(E1956,E$1:E1955,1,FALSE()))),"OLD",IF(AND(E1956&lt;&gt;"",E1956&lt;&gt;"!!!"),"NEW","")))</f>
        <v/>
      </c>
      <c r="G1956" s="26" t="str">
        <f aca="false">IF(OR(E1956="",E1956="!!!"),"",IF(OR(J1956=0,AND(J1956=1,K1956=1),AND(J1956=1,I1956="SBJ"),AND(J1956=1,I1956=0)),"?IN_FOCUS",IF(J1956&lt;=2,"?ACTIVATED",IF(J1956&lt;&gt;"","?FAMILIAR",IF(F1956="NEW",IF(ISNA(VLOOKUP(E1956,#REF!,1,FALSE())),"?TYPE_IDENTIFIABLE","?REFERENTIAL"),"_")))))</f>
        <v/>
      </c>
      <c r="H1956" s="27" t="str">
        <f aca="false">IF(J1956&lt;&gt;1,"",IF(I1956="SBJ","CB","?"))</f>
        <v/>
      </c>
      <c r="I1956" s="24" t="str">
        <f aca="false">IF(OR(E1956="",E1956="!!!",F1956="NEW"),"",INDEX(B18:B$1939,-1+SUMPRODUCT(MAX(ROW(E18:E$1939)*(E1956=E18:E$1939)))))</f>
        <v/>
      </c>
      <c r="J1956" s="24" t="str">
        <f aca="true">IF(OR(E1956="",E1956="!!!",F1956="NEW"),"",COUNTBLANK(OFFSET(A$1,,,SUMPRODUCT(MAX(ROW(E$2:E1956)*(E1956=E$2:E1956)))))-COUNTBLANK(OFFSET(A$1,,,SUMPRODUCT(MAX(ROW(E$1:E1955)*(E2=E$1:E1955))))))</f>
        <v/>
      </c>
      <c r="K1956" s="24" t="str">
        <f aca="false">IF(OR(E1956="",E1956="!!!",F1956="NEW"),"",INDEX(J$1:J1955,SUMPRODUCT(MAX(ROW(E$1:E1955)*(E1956=E$1:E1955)))))</f>
        <v/>
      </c>
      <c r="L1956" s="31"/>
    </row>
    <row r="1957" customFormat="false" ht="15" hidden="false" customHeight="false" outlineLevel="0" collapsed="false">
      <c r="A1957" s="20" t="s">
        <v>923</v>
      </c>
      <c r="E1957" s="23" t="str">
        <f aca="false">IF(D1957="?OLD","!!!","")</f>
        <v/>
      </c>
      <c r="F1957" s="25" t="str">
        <f aca="false">IF(OR(E1957="",E1957="!!!"),"",IF(NOT(ISNA(VLOOKUP(E1957,E$1:E1956,1,FALSE()))),"OLD",IF(AND(E1957&lt;&gt;"",E1957&lt;&gt;"!!!"),"NEW","")))</f>
        <v/>
      </c>
      <c r="G1957" s="26" t="str">
        <f aca="false">IF(OR(E1957="",E1957="!!!"),"",IF(OR(J1957=0,AND(J1957=1,K1957=1),AND(J1957=1,I1957="SBJ"),AND(J1957=1,I1957=0)),"?IN_FOCUS",IF(J1957&lt;=2,"?ACTIVATED",IF(J1957&lt;&gt;"","?FAMILIAR",IF(F1957="NEW",IF(ISNA(VLOOKUP(E1957,#REF!,1,FALSE())),"?TYPE_IDENTIFIABLE","?REFERENTIAL"),"_")))))</f>
        <v/>
      </c>
      <c r="H1957" s="27" t="str">
        <f aca="false">IF(J1957&lt;&gt;1,"",IF(I1957="SBJ","CB","?"))</f>
        <v/>
      </c>
      <c r="I1957" s="24" t="str">
        <f aca="false">IF(OR(E1957="",E1957="!!!",F1957="NEW"),"",INDEX(B19:B$1939,-1+SUMPRODUCT(MAX(ROW(E19:E$1939)*(E1957=E19:E$1939)))))</f>
        <v/>
      </c>
      <c r="J1957" s="24" t="str">
        <f aca="true">IF(OR(E1957="",E1957="!!!",F1957="NEW"),"",COUNTBLANK(OFFSET(A$1,,,SUMPRODUCT(MAX(ROW(E$2:E1957)*(E1957=E$2:E1957)))))-COUNTBLANK(OFFSET(A$1,,,SUMPRODUCT(MAX(ROW(E$1:E1956)*(E2=E$1:E1956))))))</f>
        <v/>
      </c>
      <c r="K1957" s="24" t="str">
        <f aca="false">IF(OR(E1957="",E1957="!!!",F1957="NEW"),"",INDEX(J$1:J1956,SUMPRODUCT(MAX(ROW(E$1:E1956)*(E1957=E$1:E1956)))))</f>
        <v/>
      </c>
      <c r="L1957" s="31"/>
    </row>
    <row r="1958" customFormat="false" ht="15" hidden="false" customHeight="false" outlineLevel="0" collapsed="false">
      <c r="A1958" s="20"/>
    </row>
    <row r="1959" customFormat="false" ht="15" hidden="false" customHeight="false" outlineLevel="0" collapsed="false">
      <c r="A1959" s="20" t="s">
        <v>1301</v>
      </c>
      <c r="E1959" s="23" t="str">
        <f aca="false">IF(D1959="?OLD","!!!","")</f>
        <v/>
      </c>
      <c r="F1959" s="25" t="str">
        <f aca="false">IF(OR(E1959="",E1959="!!!"),"",IF(NOT(ISNA(VLOOKUP(E1959,E$1:E1958,1,FALSE()))),"OLD",IF(AND(E1959&lt;&gt;"",E1959&lt;&gt;"!!!"),"NEW","")))</f>
        <v/>
      </c>
      <c r="G1959" s="26" t="str">
        <f aca="false">IF(OR(E1959="",E1959="!!!"),"",IF(OR(J1959=0,AND(J1959=1,K1959=1),AND(J1959=1,I1959="SBJ"),AND(J1959=1,I1959=0)),"?IN_FOCUS",IF(J1959&lt;=2,"?ACTIVATED",IF(J1959&lt;&gt;"","?FAMILIAR",IF(F1959="NEW",IF(ISNA(VLOOKUP(E1959,#REF!,1,FALSE())),"?TYPE_IDENTIFIABLE","?REFERENTIAL"),"_")))))</f>
        <v/>
      </c>
      <c r="H1959" s="27" t="str">
        <f aca="false">IF(J1959&lt;&gt;1,"",IF(I1959="SBJ","CB","?"))</f>
        <v/>
      </c>
      <c r="I1959" s="24" t="str">
        <f aca="false">IF(OR(E1959="",E1959="!!!",F1959="NEW"),"",INDEX(B2:B$1958,-1+SUMPRODUCT(MAX(ROW(E2:E$1958)*(E1959=E2:E$1958)))))</f>
        <v/>
      </c>
      <c r="J1959" s="24" t="str">
        <f aca="true">IF(OR(E1959="",E1959="!!!",F1959="NEW"),"",COUNTBLANK(OFFSET(A$1,,,SUMPRODUCT(MAX(ROW(E$2:E1959)*(E1959=E$2:E1959)))))-COUNTBLANK(OFFSET(A$1,,,SUMPRODUCT(MAX(ROW(E$1:E1958)*(E2=E$1:E1958))))))</f>
        <v/>
      </c>
      <c r="K1959" s="24" t="str">
        <f aca="false">IF(OR(E1959="",E1959="!!!",F1959="NEW"),"",INDEX(J$1:J1958,SUMPRODUCT(MAX(ROW(E$1:E1958)*(E1959=E$1:E1958)))))</f>
        <v/>
      </c>
      <c r="L1959" s="31"/>
    </row>
    <row r="1960" customFormat="false" ht="15" hidden="false" customHeight="false" outlineLevel="0" collapsed="false">
      <c r="A1960" s="20" t="s">
        <v>1810</v>
      </c>
    </row>
    <row r="1961" customFormat="false" ht="15" hidden="false" customHeight="false" outlineLevel="0" collapsed="false">
      <c r="A1961" s="20" t="s">
        <v>607</v>
      </c>
      <c r="E1961" s="23" t="str">
        <f aca="false">IF(D1961="?OLD","!!!","")</f>
        <v/>
      </c>
      <c r="F1961" s="25" t="str">
        <f aca="false">IF(OR(E1961="",E1961="!!!"),"",IF(NOT(ISNA(VLOOKUP(E1961,E$1:E1960,1,FALSE()))),"OLD",IF(AND(E1961&lt;&gt;"",E1961&lt;&gt;"!!!"),"NEW","")))</f>
        <v/>
      </c>
      <c r="G1961" s="26" t="str">
        <f aca="false">IF(OR(E1961="",E1961="!!!"),"",IF(OR(J1961=0,AND(J1961=1,K1961=1),AND(J1961=1,I1961="SBJ"),AND(J1961=1,I1961=0)),"?IN_FOCUS",IF(J1961&lt;=2,"?ACTIVATED",IF(J1961&lt;&gt;"","?FAMILIAR",IF(F1961="NEW",IF(ISNA(VLOOKUP(E1961,#REF!,1,FALSE())),"?TYPE_IDENTIFIABLE","?REFERENTIAL"),"_")))))</f>
        <v/>
      </c>
      <c r="H1961" s="27" t="str">
        <f aca="false">IF(J1961&lt;&gt;1,"",IF(I1961="SBJ","CB","?"))</f>
        <v/>
      </c>
      <c r="I1961" s="24" t="str">
        <f aca="false">IF(OR(E1961="",E1961="!!!",F1961="NEW"),"",INDEX(B2:B$1960,-1+SUMPRODUCT(MAX(ROW(E2:E$1960)*(E1961=E2:E$1960)))))</f>
        <v/>
      </c>
      <c r="J1961" s="24" t="str">
        <f aca="true">IF(OR(E1961="",E1961="!!!",F1961="NEW"),"",COUNTBLANK(OFFSET(A$1,,,SUMPRODUCT(MAX(ROW(E$2:E1961)*(E1961=E$2:E1961)))))-COUNTBLANK(OFFSET(A$1,,,SUMPRODUCT(MAX(ROW(E$1:E1960)*(E2=E$1:E1960))))))</f>
        <v/>
      </c>
      <c r="K1961" s="24" t="str">
        <f aca="false">IF(OR(E1961="",E1961="!!!",F1961="NEW"),"",INDEX(J$1:J1960,SUMPRODUCT(MAX(ROW(E$1:E1960)*(E1961=E$1:E1960)))))</f>
        <v/>
      </c>
      <c r="L1961" s="31"/>
    </row>
    <row r="1962" customFormat="false" ht="15" hidden="false" customHeight="false" outlineLevel="0" collapsed="false">
      <c r="A1962" s="20" t="s">
        <v>1811</v>
      </c>
      <c r="E1962" s="23" t="str">
        <f aca="false">IF(D1962="?OLD","!!!","")</f>
        <v/>
      </c>
      <c r="F1962" s="25" t="str">
        <f aca="false">IF(OR(E1962="",E1962="!!!"),"",IF(NOT(ISNA(VLOOKUP(E1962,E$1:E1961,1,FALSE()))),"OLD",IF(AND(E1962&lt;&gt;"",E1962&lt;&gt;"!!!"),"NEW","")))</f>
        <v/>
      </c>
      <c r="G1962" s="26" t="str">
        <f aca="false">IF(OR(E1962="",E1962="!!!"),"",IF(OR(J1962=0,AND(J1962=1,K1962=1),AND(J1962=1,I1962="SBJ"),AND(J1962=1,I1962=0)),"?IN_FOCUS",IF(J1962&lt;=2,"?ACTIVATED",IF(J1962&lt;&gt;"","?FAMILIAR",IF(F1962="NEW",IF(ISNA(VLOOKUP(E1962,#REF!,1,FALSE())),"?TYPE_IDENTIFIABLE","?REFERENTIAL"),"_")))))</f>
        <v/>
      </c>
      <c r="H1962" s="27" t="str">
        <f aca="false">IF(J1962&lt;&gt;1,"",IF(I1962="SBJ","CB","?"))</f>
        <v/>
      </c>
      <c r="I1962" s="24" t="str">
        <f aca="false">IF(OR(E1962="",E1962="!!!",F1962="NEW"),"",INDEX(B3:B$1960,-1+SUMPRODUCT(MAX(ROW(E3:E$1960)*(E1962=E3:E$1960)))))</f>
        <v/>
      </c>
      <c r="J1962" s="24" t="str">
        <f aca="true">IF(OR(E1962="",E1962="!!!",F1962="NEW"),"",COUNTBLANK(OFFSET(A$1,,,SUMPRODUCT(MAX(ROW(E$2:E1962)*(E1962=E$2:E1962)))))-COUNTBLANK(OFFSET(A$1,,,SUMPRODUCT(MAX(ROW(E$1:E1961)*(E2=E$1:E1961))))))</f>
        <v/>
      </c>
      <c r="K1962" s="24" t="str">
        <f aca="false">IF(OR(E1962="",E1962="!!!",F1962="NEW"),"",INDEX(J$1:J1961,SUMPRODUCT(MAX(ROW(E$1:E1961)*(E1962=E$1:E1961)))))</f>
        <v/>
      </c>
      <c r="L1962" s="31"/>
    </row>
    <row r="1963" customFormat="false" ht="15" hidden="false" customHeight="false" outlineLevel="0" collapsed="false">
      <c r="A1963" s="20" t="s">
        <v>1547</v>
      </c>
      <c r="E1963" s="23" t="str">
        <f aca="false">IF(D1963="?OLD","!!!","")</f>
        <v/>
      </c>
      <c r="F1963" s="25" t="str">
        <f aca="false">IF(OR(E1963="",E1963="!!!"),"",IF(NOT(ISNA(VLOOKUP(E1963,E$1:E1962,1,FALSE()))),"OLD",IF(AND(E1963&lt;&gt;"",E1963&lt;&gt;"!!!"),"NEW","")))</f>
        <v/>
      </c>
      <c r="G1963" s="26" t="str">
        <f aca="false">IF(OR(E1963="",E1963="!!!"),"",IF(OR(J1963=0,AND(J1963=1,K1963=1),AND(J1963=1,I1963="SBJ"),AND(J1963=1,I1963=0)),"?IN_FOCUS",IF(J1963&lt;=2,"?ACTIVATED",IF(J1963&lt;&gt;"","?FAMILIAR",IF(F1963="NEW",IF(ISNA(VLOOKUP(E1963,#REF!,1,FALSE())),"?TYPE_IDENTIFIABLE","?REFERENTIAL"),"_")))))</f>
        <v/>
      </c>
      <c r="H1963" s="27" t="str">
        <f aca="false">IF(J1963&lt;&gt;1,"",IF(I1963="SBJ","CB","?"))</f>
        <v/>
      </c>
      <c r="I1963" s="24" t="str">
        <f aca="false">IF(OR(E1963="",E1963="!!!",F1963="NEW"),"",INDEX(B4:B$1960,-1+SUMPRODUCT(MAX(ROW(E4:E$1960)*(E1963=E4:E$1960)))))</f>
        <v/>
      </c>
      <c r="J1963" s="24" t="str">
        <f aca="true">IF(OR(E1963="",E1963="!!!",F1963="NEW"),"",COUNTBLANK(OFFSET(A$1,,,SUMPRODUCT(MAX(ROW(E$2:E1963)*(E1963=E$2:E1963)))))-COUNTBLANK(OFFSET(A$1,,,SUMPRODUCT(MAX(ROW(E$1:E1962)*(E2=E$1:E1962))))))</f>
        <v/>
      </c>
      <c r="K1963" s="24" t="str">
        <f aca="false">IF(OR(E1963="",E1963="!!!",F1963="NEW"),"",INDEX(J$1:J1962,SUMPRODUCT(MAX(ROW(E$1:E1962)*(E1963=E$1:E1962)))))</f>
        <v/>
      </c>
      <c r="L1963" s="31"/>
    </row>
    <row r="1964" customFormat="false" ht="15" hidden="false" customHeight="false" outlineLevel="0" collapsed="false">
      <c r="A1964" s="20" t="s">
        <v>1328</v>
      </c>
      <c r="E1964" s="23" t="str">
        <f aca="false">IF(D1964="?OLD","!!!","")</f>
        <v/>
      </c>
      <c r="F1964" s="25" t="str">
        <f aca="false">IF(OR(E1964="",E1964="!!!"),"",IF(NOT(ISNA(VLOOKUP(E1964,E$1:E1963,1,FALSE()))),"OLD",IF(AND(E1964&lt;&gt;"",E1964&lt;&gt;"!!!"),"NEW","")))</f>
        <v/>
      </c>
      <c r="G1964" s="26" t="str">
        <f aca="false">IF(OR(E1964="",E1964="!!!"),"",IF(OR(J1964=0,AND(J1964=1,K1964=1),AND(J1964=1,I1964="SBJ"),AND(J1964=1,I1964=0)),"?IN_FOCUS",IF(J1964&lt;=2,"?ACTIVATED",IF(J1964&lt;&gt;"","?FAMILIAR",IF(F1964="NEW",IF(ISNA(VLOOKUP(E1964,#REF!,1,FALSE())),"?TYPE_IDENTIFIABLE","?REFERENTIAL"),"_")))))</f>
        <v/>
      </c>
      <c r="H1964" s="27" t="str">
        <f aca="false">IF(J1964&lt;&gt;1,"",IF(I1964="SBJ","CB","?"))</f>
        <v/>
      </c>
      <c r="I1964" s="24" t="str">
        <f aca="false">IF(OR(E1964="",E1964="!!!",F1964="NEW"),"",INDEX(B5:B$1960,-1+SUMPRODUCT(MAX(ROW(E5:E$1960)*(E1964=E5:E$1960)))))</f>
        <v/>
      </c>
      <c r="J1964" s="24" t="str">
        <f aca="true">IF(OR(E1964="",E1964="!!!",F1964="NEW"),"",COUNTBLANK(OFFSET(A$1,,,SUMPRODUCT(MAX(ROW(E$2:E1964)*(E1964=E$2:E1964)))))-COUNTBLANK(OFFSET(A$1,,,SUMPRODUCT(MAX(ROW(E$1:E1963)*(E2=E$1:E1963))))))</f>
        <v/>
      </c>
      <c r="K1964" s="24" t="str">
        <f aca="false">IF(OR(E1964="",E1964="!!!",F1964="NEW"),"",INDEX(J$1:J1963,SUMPRODUCT(MAX(ROW(E$1:E1963)*(E1964=E$1:E1963)))))</f>
        <v/>
      </c>
      <c r="L1964" s="31"/>
    </row>
    <row r="1965" customFormat="false" ht="15" hidden="false" customHeight="false" outlineLevel="0" collapsed="false">
      <c r="A1965" s="20"/>
    </row>
    <row r="1966" customFormat="false" ht="15" hidden="false" customHeight="false" outlineLevel="0" collapsed="false">
      <c r="A1966" s="20" t="s">
        <v>1301</v>
      </c>
      <c r="E1966" s="23" t="str">
        <f aca="false">IF(D1966="?OLD","!!!","")</f>
        <v/>
      </c>
      <c r="F1966" s="25" t="str">
        <f aca="false">IF(OR(E1966="",E1966="!!!"),"",IF(NOT(ISNA(VLOOKUP(E1966,E$1:E1965,1,FALSE()))),"OLD",IF(AND(E1966&lt;&gt;"",E1966&lt;&gt;"!!!"),"NEW","")))</f>
        <v/>
      </c>
      <c r="G1966" s="26" t="str">
        <f aca="false">IF(OR(E1966="",E1966="!!!"),"",IF(OR(J1966=0,AND(J1966=1,K1966=1),AND(J1966=1,I1966="SBJ"),AND(J1966=1,I1966=0)),"?IN_FOCUS",IF(J1966&lt;=2,"?ACTIVATED",IF(J1966&lt;&gt;"","?FAMILIAR",IF(F1966="NEW",IF(ISNA(VLOOKUP(E1966,#REF!,1,FALSE())),"?TYPE_IDENTIFIABLE","?REFERENTIAL"),"_")))))</f>
        <v/>
      </c>
      <c r="H1966" s="27" t="str">
        <f aca="false">IF(J1966&lt;&gt;1,"",IF(I1966="SBJ","CB","?"))</f>
        <v/>
      </c>
      <c r="I1966" s="24" t="str">
        <f aca="false">IF(OR(E1966="",E1966="!!!",F1966="NEW"),"",INDEX(B2:B$1965,-1+SUMPRODUCT(MAX(ROW(E2:E$1965)*(E1966=E2:E$1965)))))</f>
        <v/>
      </c>
      <c r="J1966" s="24" t="str">
        <f aca="true">IF(OR(E1966="",E1966="!!!",F1966="NEW"),"",COUNTBLANK(OFFSET(A$1,,,SUMPRODUCT(MAX(ROW(E$2:E1966)*(E1966=E$2:E1966)))))-COUNTBLANK(OFFSET(A$1,,,SUMPRODUCT(MAX(ROW(E$1:E1965)*(E2=E$1:E1965))))))</f>
        <v/>
      </c>
      <c r="K1966" s="24" t="str">
        <f aca="false">IF(OR(E1966="",E1966="!!!",F1966="NEW"),"",INDEX(J$1:J1965,SUMPRODUCT(MAX(ROW(E$1:E1965)*(E1966=E$1:E1965)))))</f>
        <v/>
      </c>
      <c r="L1966" s="31"/>
    </row>
    <row r="1967" customFormat="false" ht="15" hidden="false" customHeight="false" outlineLevel="0" collapsed="false">
      <c r="A1967" s="20" t="s">
        <v>1812</v>
      </c>
    </row>
    <row r="1968" customFormat="false" ht="15" hidden="false" customHeight="false" outlineLevel="0" collapsed="false">
      <c r="A1968" s="20" t="s">
        <v>1261</v>
      </c>
      <c r="B1968" s="22" t="s">
        <v>1058</v>
      </c>
      <c r="C1968" s="22" t="s">
        <v>1082</v>
      </c>
      <c r="D1968" s="22" t="s">
        <v>1060</v>
      </c>
      <c r="E1968" s="23" t="str">
        <f aca="false">IF(D1968="?OLD","!!!","")</f>
        <v>!!!</v>
      </c>
      <c r="F1968" s="25" t="str">
        <f aca="false">IF(OR(E1968="",E1968="!!!"),"",IF(NOT(ISNA(VLOOKUP(E1968,E$1:E1967,1,FALSE()))),"OLD",IF(AND(E1968&lt;&gt;"",E1968&lt;&gt;"!!!"),"NEW","")))</f>
        <v/>
      </c>
      <c r="G1968" s="26" t="str">
        <f aca="false">IF(OR(E1968="",E1968="!!!"),"",IF(OR(J1968=0,AND(J1968=1,K1968=1),AND(J1968=1,I1968="SBJ"),AND(J1968=1,I1968=0)),"?IN_FOCUS",IF(J1968&lt;=2,"?ACTIVATED",IF(J1968&lt;&gt;"","?FAMILIAR",IF(F1968="NEW",IF(ISNA(VLOOKUP(E1968,#REF!,1,FALSE())),"?TYPE_IDENTIFIABLE","?REFERENTIAL"),"_")))))</f>
        <v/>
      </c>
      <c r="H1968" s="27" t="str">
        <f aca="false">IF(J1968&lt;&gt;1,"",IF(I1968="SBJ","CB","?"))</f>
        <v/>
      </c>
      <c r="I1968" s="24" t="str">
        <f aca="false">IF(OR(E1968="",E1968="!!!",F1968="NEW"),"",INDEX(B2:B$1967,-1+SUMPRODUCT(MAX(ROW(E2:E$1967)*(E1968=E2:E$1967)))))</f>
        <v/>
      </c>
      <c r="J1968" s="24" t="str">
        <f aca="true">IF(OR(E1968="",E1968="!!!",F1968="NEW"),"",COUNTBLANK(OFFSET(A$1,,,SUMPRODUCT(MAX(ROW(E$2:E1968)*(E1968=E$2:E1968)))))-COUNTBLANK(OFFSET(A$1,,,SUMPRODUCT(MAX(ROW(E$1:E1967)*(E2=E$1:E1967))))))</f>
        <v/>
      </c>
      <c r="K1968" s="24" t="str">
        <f aca="false">IF(OR(E1968="",E1968="!!!",F1968="NEW"),"",INDEX(J$1:J1967,SUMPRODUCT(MAX(ROW(E$1:E1967)*(E1968=E$1:E1967)))))</f>
        <v/>
      </c>
      <c r="L1968" s="31"/>
    </row>
    <row r="1969" customFormat="false" ht="15" hidden="false" customHeight="false" outlineLevel="0" collapsed="false">
      <c r="A1969" s="20" t="s">
        <v>1071</v>
      </c>
      <c r="E1969" s="23" t="str">
        <f aca="false">IF(D1969="?OLD","!!!","")</f>
        <v/>
      </c>
      <c r="F1969" s="25" t="str">
        <f aca="false">IF(OR(E1969="",E1969="!!!"),"",IF(NOT(ISNA(VLOOKUP(E1969,E$1:E1968,1,FALSE()))),"OLD",IF(AND(E1969&lt;&gt;"",E1969&lt;&gt;"!!!"),"NEW","")))</f>
        <v/>
      </c>
      <c r="G1969" s="26" t="str">
        <f aca="false">IF(OR(E1969="",E1969="!!!"),"",IF(OR(J1969=0,AND(J1969=1,K1969=1),AND(J1969=1,I1969="SBJ"),AND(J1969=1,I1969=0)),"?IN_FOCUS",IF(J1969&lt;=2,"?ACTIVATED",IF(J1969&lt;&gt;"","?FAMILIAR",IF(F1969="NEW",IF(ISNA(VLOOKUP(E1969,#REF!,1,FALSE())),"?TYPE_IDENTIFIABLE","?REFERENTIAL"),"_")))))</f>
        <v/>
      </c>
      <c r="H1969" s="27" t="str">
        <f aca="false">IF(J1969&lt;&gt;1,"",IF(I1969="SBJ","CB","?"))</f>
        <v/>
      </c>
      <c r="I1969" s="24" t="str">
        <f aca="false">IF(OR(E1969="",E1969="!!!",F1969="NEW"),"",INDEX(B3:B$1967,-1+SUMPRODUCT(MAX(ROW(E3:E$1967)*(E1969=E3:E$1967)))))</f>
        <v/>
      </c>
      <c r="J1969" s="24" t="str">
        <f aca="true">IF(OR(E1969="",E1969="!!!",F1969="NEW"),"",COUNTBLANK(OFFSET(A$1,,,SUMPRODUCT(MAX(ROW(E$2:E1969)*(E1969=E$2:E1969)))))-COUNTBLANK(OFFSET(A$1,,,SUMPRODUCT(MAX(ROW(E$1:E1968)*(E2=E$1:E1968))))))</f>
        <v/>
      </c>
      <c r="K1969" s="24" t="str">
        <f aca="false">IF(OR(E1969="",E1969="!!!",F1969="NEW"),"",INDEX(J$1:J1968,SUMPRODUCT(MAX(ROW(E$1:E1968)*(E1969=E$1:E1968)))))</f>
        <v/>
      </c>
      <c r="L1969" s="31"/>
    </row>
    <row r="1970" customFormat="false" ht="15" hidden="false" customHeight="false" outlineLevel="0" collapsed="false">
      <c r="A1970" s="20" t="s">
        <v>1640</v>
      </c>
      <c r="E1970" s="23" t="str">
        <f aca="false">IF(D1970="?OLD","!!!","")</f>
        <v/>
      </c>
      <c r="F1970" s="25" t="str">
        <f aca="false">IF(OR(E1970="",E1970="!!!"),"",IF(NOT(ISNA(VLOOKUP(E1970,E$1:E1969,1,FALSE()))),"OLD",IF(AND(E1970&lt;&gt;"",E1970&lt;&gt;"!!!"),"NEW","")))</f>
        <v/>
      </c>
      <c r="G1970" s="26" t="str">
        <f aca="false">IF(OR(E1970="",E1970="!!!"),"",IF(OR(J1970=0,AND(J1970=1,K1970=1),AND(J1970=1,I1970="SBJ"),AND(J1970=1,I1970=0)),"?IN_FOCUS",IF(J1970&lt;=2,"?ACTIVATED",IF(J1970&lt;&gt;"","?FAMILIAR",IF(F1970="NEW",IF(ISNA(VLOOKUP(E1970,#REF!,1,FALSE())),"?TYPE_IDENTIFIABLE","?REFERENTIAL"),"_")))))</f>
        <v/>
      </c>
      <c r="H1970" s="27" t="str">
        <f aca="false">IF(J1970&lt;&gt;1,"",IF(I1970="SBJ","CB","?"))</f>
        <v/>
      </c>
      <c r="I1970" s="24" t="str">
        <f aca="false">IF(OR(E1970="",E1970="!!!",F1970="NEW"),"",INDEX(B4:B$1967,-1+SUMPRODUCT(MAX(ROW(E4:E$1967)*(E1970=E4:E$1967)))))</f>
        <v/>
      </c>
      <c r="J1970" s="24" t="str">
        <f aca="true">IF(OR(E1970="",E1970="!!!",F1970="NEW"),"",COUNTBLANK(OFFSET(A$1,,,SUMPRODUCT(MAX(ROW(E$2:E1970)*(E1970=E$2:E1970)))))-COUNTBLANK(OFFSET(A$1,,,SUMPRODUCT(MAX(ROW(E$1:E1969)*(E2=E$1:E1969))))))</f>
        <v/>
      </c>
      <c r="K1970" s="24" t="str">
        <f aca="false">IF(OR(E1970="",E1970="!!!",F1970="NEW"),"",INDEX(J$1:J1969,SUMPRODUCT(MAX(ROW(E$1:E1969)*(E1970=E$1:E1969)))))</f>
        <v/>
      </c>
      <c r="L1970" s="31"/>
    </row>
    <row r="1971" customFormat="false" ht="15" hidden="false" customHeight="false" outlineLevel="0" collapsed="false">
      <c r="A1971" s="20" t="s">
        <v>1328</v>
      </c>
      <c r="E1971" s="23" t="str">
        <f aca="false">IF(D1971="?OLD","!!!","")</f>
        <v/>
      </c>
      <c r="F1971" s="25" t="str">
        <f aca="false">IF(OR(E1971="",E1971="!!!"),"",IF(NOT(ISNA(VLOOKUP(E1971,E$1:E1970,1,FALSE()))),"OLD",IF(AND(E1971&lt;&gt;"",E1971&lt;&gt;"!!!"),"NEW","")))</f>
        <v/>
      </c>
      <c r="G1971" s="26" t="str">
        <f aca="false">IF(OR(E1971="",E1971="!!!"),"",IF(OR(J1971=0,AND(J1971=1,K1971=1),AND(J1971=1,I1971="SBJ"),AND(J1971=1,I1971=0)),"?IN_FOCUS",IF(J1971&lt;=2,"?ACTIVATED",IF(J1971&lt;&gt;"","?FAMILIAR",IF(F1971="NEW",IF(ISNA(VLOOKUP(E1971,#REF!,1,FALSE())),"?TYPE_IDENTIFIABLE","?REFERENTIAL"),"_")))))</f>
        <v/>
      </c>
      <c r="H1971" s="27" t="str">
        <f aca="false">IF(J1971&lt;&gt;1,"",IF(I1971="SBJ","CB","?"))</f>
        <v/>
      </c>
      <c r="I1971" s="24" t="str">
        <f aca="false">IF(OR(E1971="",E1971="!!!",F1971="NEW"),"",INDEX(B5:B$1967,-1+SUMPRODUCT(MAX(ROW(E5:E$1967)*(E1971=E5:E$1967)))))</f>
        <v/>
      </c>
      <c r="J1971" s="24" t="str">
        <f aca="true">IF(OR(E1971="",E1971="!!!",F1971="NEW"),"",COUNTBLANK(OFFSET(A$1,,,SUMPRODUCT(MAX(ROW(E$2:E1971)*(E1971=E$2:E1971)))))-COUNTBLANK(OFFSET(A$1,,,SUMPRODUCT(MAX(ROW(E$1:E1970)*(E2=E$1:E1970))))))</f>
        <v/>
      </c>
      <c r="K1971" s="24" t="str">
        <f aca="false">IF(OR(E1971="",E1971="!!!",F1971="NEW"),"",INDEX(J$1:J1970,SUMPRODUCT(MAX(ROW(E$1:E1970)*(E1971=E$1:E1970)))))</f>
        <v/>
      </c>
      <c r="L1971" s="31"/>
    </row>
    <row r="1972" customFormat="false" ht="15" hidden="false" customHeight="false" outlineLevel="0" collapsed="false">
      <c r="A1972" s="20" t="s">
        <v>607</v>
      </c>
      <c r="E1972" s="23" t="str">
        <f aca="false">IF(D1972="?OLD","!!!","")</f>
        <v/>
      </c>
      <c r="F1972" s="25" t="str">
        <f aca="false">IF(OR(E1972="",E1972="!!!"),"",IF(NOT(ISNA(VLOOKUP(E1972,E$1:E1971,1,FALSE()))),"OLD",IF(AND(E1972&lt;&gt;"",E1972&lt;&gt;"!!!"),"NEW","")))</f>
        <v/>
      </c>
      <c r="G1972" s="26" t="str">
        <f aca="false">IF(OR(E1972="",E1972="!!!"),"",IF(OR(J1972=0,AND(J1972=1,K1972=1),AND(J1972=1,I1972="SBJ"),AND(J1972=1,I1972=0)),"?IN_FOCUS",IF(J1972&lt;=2,"?ACTIVATED",IF(J1972&lt;&gt;"","?FAMILIAR",IF(F1972="NEW",IF(ISNA(VLOOKUP(E1972,#REF!,1,FALSE())),"?TYPE_IDENTIFIABLE","?REFERENTIAL"),"_")))))</f>
        <v/>
      </c>
      <c r="H1972" s="27" t="str">
        <f aca="false">IF(J1972&lt;&gt;1,"",IF(I1972="SBJ","CB","?"))</f>
        <v/>
      </c>
      <c r="I1972" s="24" t="str">
        <f aca="false">IF(OR(E1972="",E1972="!!!",F1972="NEW"),"",INDEX(B6:B$1967,-1+SUMPRODUCT(MAX(ROW(E6:E$1967)*(E1972=E6:E$1967)))))</f>
        <v/>
      </c>
      <c r="J1972" s="24" t="str">
        <f aca="true">IF(OR(E1972="",E1972="!!!",F1972="NEW"),"",COUNTBLANK(OFFSET(A$1,,,SUMPRODUCT(MAX(ROW(E$2:E1972)*(E1972=E$2:E1972)))))-COUNTBLANK(OFFSET(A$1,,,SUMPRODUCT(MAX(ROW(E$1:E1971)*(E2=E$1:E1971))))))</f>
        <v/>
      </c>
      <c r="K1972" s="24" t="str">
        <f aca="false">IF(OR(E1972="",E1972="!!!",F1972="NEW"),"",INDEX(J$1:J1971,SUMPRODUCT(MAX(ROW(E$1:E1971)*(E1972=E$1:E1971)))))</f>
        <v/>
      </c>
      <c r="L1972" s="31"/>
    </row>
    <row r="1973" customFormat="false" ht="15" hidden="false" customHeight="false" outlineLevel="0" collapsed="false">
      <c r="A1973" s="20"/>
    </row>
    <row r="1974" customFormat="false" ht="15" hidden="false" customHeight="false" outlineLevel="0" collapsed="false">
      <c r="A1974" s="20" t="s">
        <v>1813</v>
      </c>
    </row>
    <row r="1975" customFormat="false" ht="15" hidden="false" customHeight="false" outlineLevel="0" collapsed="false">
      <c r="A1975" s="20" t="s">
        <v>1478</v>
      </c>
      <c r="E1975" s="23" t="str">
        <f aca="false">IF(D1975="?OLD","!!!","")</f>
        <v/>
      </c>
      <c r="F1975" s="25" t="str">
        <f aca="false">IF(OR(E1975="",E1975="!!!"),"",IF(NOT(ISNA(VLOOKUP(E1975,E$1:E1974,1,FALSE()))),"OLD",IF(AND(E1975&lt;&gt;"",E1975&lt;&gt;"!!!"),"NEW","")))</f>
        <v/>
      </c>
      <c r="G1975" s="26" t="str">
        <f aca="false">IF(OR(E1975="",E1975="!!!"),"",IF(OR(J1975=0,AND(J1975=1,K1975=1),AND(J1975=1,I1975="SBJ"),AND(J1975=1,I1975=0)),"?IN_FOCUS",IF(J1975&lt;=2,"?ACTIVATED",IF(J1975&lt;&gt;"","?FAMILIAR",IF(F1975="NEW",IF(ISNA(VLOOKUP(E1975,#REF!,1,FALSE())),"?TYPE_IDENTIFIABLE","?REFERENTIAL"),"_")))))</f>
        <v/>
      </c>
      <c r="H1975" s="27" t="str">
        <f aca="false">IF(J1975&lt;&gt;1,"",IF(I1975="SBJ","CB","?"))</f>
        <v/>
      </c>
      <c r="I1975" s="24" t="str">
        <f aca="false">IF(OR(E1975="",E1975="!!!",F1975="NEW"),"",INDEX(B2:B$1974,-1+SUMPRODUCT(MAX(ROW(E2:E$1974)*(E1975=E2:E$1974)))))</f>
        <v/>
      </c>
      <c r="J1975" s="24" t="str">
        <f aca="true">IF(OR(E1975="",E1975="!!!",F1975="NEW"),"",COUNTBLANK(OFFSET(A$1,,,SUMPRODUCT(MAX(ROW(E$2:E1975)*(E1975=E$2:E1975)))))-COUNTBLANK(OFFSET(A$1,,,SUMPRODUCT(MAX(ROW(E$1:E1974)*(E2=E$1:E1974))))))</f>
        <v/>
      </c>
      <c r="K1975" s="24" t="str">
        <f aca="false">IF(OR(E1975="",E1975="!!!",F1975="NEW"),"",INDEX(J$1:J1974,SUMPRODUCT(MAX(ROW(E$1:E1974)*(E1975=E$1:E1974)))))</f>
        <v/>
      </c>
      <c r="L1975" s="31"/>
    </row>
    <row r="1976" customFormat="false" ht="15" hidden="false" customHeight="false" outlineLevel="0" collapsed="false">
      <c r="A1976" s="20" t="s">
        <v>1092</v>
      </c>
      <c r="E1976" s="23" t="str">
        <f aca="false">IF(D1976="?OLD","!!!","")</f>
        <v/>
      </c>
      <c r="F1976" s="25" t="str">
        <f aca="false">IF(OR(E1976="",E1976="!!!"),"",IF(NOT(ISNA(VLOOKUP(E1976,E$1:E1975,1,FALSE()))),"OLD",IF(AND(E1976&lt;&gt;"",E1976&lt;&gt;"!!!"),"NEW","")))</f>
        <v/>
      </c>
      <c r="G1976" s="26" t="str">
        <f aca="false">IF(OR(E1976="",E1976="!!!"),"",IF(OR(J1976=0,AND(J1976=1,K1976=1),AND(J1976=1,I1976="SBJ"),AND(J1976=1,I1976=0)),"?IN_FOCUS",IF(J1976&lt;=2,"?ACTIVATED",IF(J1976&lt;&gt;"","?FAMILIAR",IF(F1976="NEW",IF(ISNA(VLOOKUP(E1976,#REF!,1,FALSE())),"?TYPE_IDENTIFIABLE","?REFERENTIAL"),"_")))))</f>
        <v/>
      </c>
      <c r="H1976" s="27" t="str">
        <f aca="false">IF(J1976&lt;&gt;1,"",IF(I1976="SBJ","CB","?"))</f>
        <v/>
      </c>
      <c r="I1976" s="24" t="str">
        <f aca="false">IF(OR(E1976="",E1976="!!!",F1976="NEW"),"",INDEX(B3:B$1974,-1+SUMPRODUCT(MAX(ROW(E3:E$1974)*(E1976=E3:E$1974)))))</f>
        <v/>
      </c>
      <c r="J1976" s="24" t="str">
        <f aca="true">IF(OR(E1976="",E1976="!!!",F1976="NEW"),"",COUNTBLANK(OFFSET(A$1,,,SUMPRODUCT(MAX(ROW(E$2:E1976)*(E1976=E$2:E1976)))))-COUNTBLANK(OFFSET(A$1,,,SUMPRODUCT(MAX(ROW(E$1:E1975)*(E2=E$1:E1975))))))</f>
        <v/>
      </c>
      <c r="K1976" s="24" t="str">
        <f aca="false">IF(OR(E1976="",E1976="!!!",F1976="NEW"),"",INDEX(J$1:J1975,SUMPRODUCT(MAX(ROW(E$1:E1975)*(E1976=E$1:E1975)))))</f>
        <v/>
      </c>
      <c r="L1976" s="31"/>
    </row>
    <row r="1977" customFormat="false" ht="15" hidden="false" customHeight="false" outlineLevel="0" collapsed="false">
      <c r="A1977" s="20" t="s">
        <v>1085</v>
      </c>
      <c r="E1977" s="23" t="str">
        <f aca="false">IF(D1977="?OLD","!!!","")</f>
        <v/>
      </c>
      <c r="F1977" s="25" t="str">
        <f aca="false">IF(OR(E1977="",E1977="!!!"),"",IF(NOT(ISNA(VLOOKUP(E1977,E$1:E1976,1,FALSE()))),"OLD",IF(AND(E1977&lt;&gt;"",E1977&lt;&gt;"!!!"),"NEW","")))</f>
        <v/>
      </c>
      <c r="G1977" s="26" t="str">
        <f aca="false">IF(OR(E1977="",E1977="!!!"),"",IF(OR(J1977=0,AND(J1977=1,K1977=1),AND(J1977=1,I1977="SBJ"),AND(J1977=1,I1977=0)),"?IN_FOCUS",IF(J1977&lt;=2,"?ACTIVATED",IF(J1977&lt;&gt;"","?FAMILIAR",IF(F1977="NEW",IF(ISNA(VLOOKUP(E1977,#REF!,1,FALSE())),"?TYPE_IDENTIFIABLE","?REFERENTIAL"),"_")))))</f>
        <v/>
      </c>
      <c r="H1977" s="27" t="str">
        <f aca="false">IF(J1977&lt;&gt;1,"",IF(I1977="SBJ","CB","?"))</f>
        <v/>
      </c>
      <c r="I1977" s="24" t="str">
        <f aca="false">IF(OR(E1977="",E1977="!!!",F1977="NEW"),"",INDEX(B4:B$1974,-1+SUMPRODUCT(MAX(ROW(E4:E$1974)*(E1977=E4:E$1974)))))</f>
        <v/>
      </c>
      <c r="J1977" s="24" t="str">
        <f aca="true">IF(OR(E1977="",E1977="!!!",F1977="NEW"),"",COUNTBLANK(OFFSET(A$1,,,SUMPRODUCT(MAX(ROW(E$2:E1977)*(E1977=E$2:E1977)))))-COUNTBLANK(OFFSET(A$1,,,SUMPRODUCT(MAX(ROW(E$1:E1976)*(E2=E$1:E1976))))))</f>
        <v/>
      </c>
      <c r="K1977" s="24" t="str">
        <f aca="false">IF(OR(E1977="",E1977="!!!",F1977="NEW"),"",INDEX(J$1:J1976,SUMPRODUCT(MAX(ROW(E$1:E1976)*(E1977=E$1:E1976)))))</f>
        <v/>
      </c>
      <c r="L1977" s="31"/>
    </row>
    <row r="1978" customFormat="false" ht="15" hidden="false" customHeight="false" outlineLevel="0" collapsed="false">
      <c r="A1978" s="20" t="s">
        <v>1693</v>
      </c>
      <c r="E1978" s="23" t="str">
        <f aca="false">IF(D1978="?OLD","!!!","")</f>
        <v/>
      </c>
      <c r="F1978" s="25" t="str">
        <f aca="false">IF(OR(E1978="",E1978="!!!"),"",IF(NOT(ISNA(VLOOKUP(E1978,E$1:E1977,1,FALSE()))),"OLD",IF(AND(E1978&lt;&gt;"",E1978&lt;&gt;"!!!"),"NEW","")))</f>
        <v/>
      </c>
      <c r="G1978" s="26" t="str">
        <f aca="false">IF(OR(E1978="",E1978="!!!"),"",IF(OR(J1978=0,AND(J1978=1,K1978=1),AND(J1978=1,I1978="SBJ"),AND(J1978=1,I1978=0)),"?IN_FOCUS",IF(J1978&lt;=2,"?ACTIVATED",IF(J1978&lt;&gt;"","?FAMILIAR",IF(F1978="NEW",IF(ISNA(VLOOKUP(E1978,#REF!,1,FALSE())),"?TYPE_IDENTIFIABLE","?REFERENTIAL"),"_")))))</f>
        <v/>
      </c>
      <c r="H1978" s="27" t="str">
        <f aca="false">IF(J1978&lt;&gt;1,"",IF(I1978="SBJ","CB","?"))</f>
        <v/>
      </c>
      <c r="I1978" s="24" t="str">
        <f aca="false">IF(OR(E1978="",E1978="!!!",F1978="NEW"),"",INDEX(B5:B$1974,-1+SUMPRODUCT(MAX(ROW(E5:E$1974)*(E1978=E5:E$1974)))))</f>
        <v/>
      </c>
      <c r="J1978" s="24" t="str">
        <f aca="true">IF(OR(E1978="",E1978="!!!",F1978="NEW"),"",COUNTBLANK(OFFSET(A$1,,,SUMPRODUCT(MAX(ROW(E$2:E1978)*(E1978=E$2:E1978)))))-COUNTBLANK(OFFSET(A$1,,,SUMPRODUCT(MAX(ROW(E$1:E1977)*(E2=E$1:E1977))))))</f>
        <v/>
      </c>
      <c r="K1978" s="24" t="str">
        <f aca="false">IF(OR(E1978="",E1978="!!!",F1978="NEW"),"",INDEX(J$1:J1977,SUMPRODUCT(MAX(ROW(E$1:E1977)*(E1978=E$1:E1977)))))</f>
        <v/>
      </c>
      <c r="L1978" s="31"/>
    </row>
    <row r="1979" customFormat="false" ht="15" hidden="false" customHeight="false" outlineLevel="0" collapsed="false">
      <c r="A1979" s="20" t="s">
        <v>1076</v>
      </c>
      <c r="E1979" s="23" t="str">
        <f aca="false">IF(D1979="?OLD","!!!","")</f>
        <v/>
      </c>
      <c r="F1979" s="25" t="str">
        <f aca="false">IF(OR(E1979="",E1979="!!!"),"",IF(NOT(ISNA(VLOOKUP(E1979,E$1:E1978,1,FALSE()))),"OLD",IF(AND(E1979&lt;&gt;"",E1979&lt;&gt;"!!!"),"NEW","")))</f>
        <v/>
      </c>
      <c r="G1979" s="26" t="str">
        <f aca="false">IF(OR(E1979="",E1979="!!!"),"",IF(OR(J1979=0,AND(J1979=1,K1979=1),AND(J1979=1,I1979="SBJ"),AND(J1979=1,I1979=0)),"?IN_FOCUS",IF(J1979&lt;=2,"?ACTIVATED",IF(J1979&lt;&gt;"","?FAMILIAR",IF(F1979="NEW",IF(ISNA(VLOOKUP(E1979,#REF!,1,FALSE())),"?TYPE_IDENTIFIABLE","?REFERENTIAL"),"_")))))</f>
        <v/>
      </c>
      <c r="H1979" s="27" t="str">
        <f aca="false">IF(J1979&lt;&gt;1,"",IF(I1979="SBJ","CB","?"))</f>
        <v/>
      </c>
      <c r="I1979" s="24" t="str">
        <f aca="false">IF(OR(E1979="",E1979="!!!",F1979="NEW"),"",INDEX(B6:B$1974,-1+SUMPRODUCT(MAX(ROW(E6:E$1974)*(E1979=E6:E$1974)))))</f>
        <v/>
      </c>
      <c r="J1979" s="24" t="str">
        <f aca="true">IF(OR(E1979="",E1979="!!!",F1979="NEW"),"",COUNTBLANK(OFFSET(A$1,,,SUMPRODUCT(MAX(ROW(E$2:E1979)*(E1979=E$2:E1979)))))-COUNTBLANK(OFFSET(A$1,,,SUMPRODUCT(MAX(ROW(E$1:E1978)*(E2=E$1:E1978))))))</f>
        <v/>
      </c>
      <c r="K1979" s="24" t="str">
        <f aca="false">IF(OR(E1979="",E1979="!!!",F1979="NEW"),"",INDEX(J$1:J1978,SUMPRODUCT(MAX(ROW(E$1:E1978)*(E1979=E$1:E1978)))))</f>
        <v/>
      </c>
      <c r="L1979" s="31"/>
    </row>
    <row r="1980" customFormat="false" ht="15" hidden="false" customHeight="false" outlineLevel="0" collapsed="false">
      <c r="A1980" s="20" t="s">
        <v>1531</v>
      </c>
      <c r="E1980" s="23" t="str">
        <f aca="false">IF(D1980="?OLD","!!!","")</f>
        <v/>
      </c>
      <c r="F1980" s="25" t="str">
        <f aca="false">IF(OR(E1980="",E1980="!!!"),"",IF(NOT(ISNA(VLOOKUP(E1980,E$1:E1979,1,FALSE()))),"OLD",IF(AND(E1980&lt;&gt;"",E1980&lt;&gt;"!!!"),"NEW","")))</f>
        <v/>
      </c>
      <c r="G1980" s="26" t="str">
        <f aca="false">IF(OR(E1980="",E1980="!!!"),"",IF(OR(J1980=0,AND(J1980=1,K1980=1),AND(J1980=1,I1980="SBJ"),AND(J1980=1,I1980=0)),"?IN_FOCUS",IF(J1980&lt;=2,"?ACTIVATED",IF(J1980&lt;&gt;"","?FAMILIAR",IF(F1980="NEW",IF(ISNA(VLOOKUP(E1980,#REF!,1,FALSE())),"?TYPE_IDENTIFIABLE","?REFERENTIAL"),"_")))))</f>
        <v/>
      </c>
      <c r="H1980" s="27" t="str">
        <f aca="false">IF(J1980&lt;&gt;1,"",IF(I1980="SBJ","CB","?"))</f>
        <v/>
      </c>
      <c r="I1980" s="24" t="str">
        <f aca="false">IF(OR(E1980="",E1980="!!!",F1980="NEW"),"",INDEX(B7:B$1974,-1+SUMPRODUCT(MAX(ROW(E7:E$1974)*(E1980=E7:E$1974)))))</f>
        <v/>
      </c>
      <c r="J1980" s="24" t="str">
        <f aca="true">IF(OR(E1980="",E1980="!!!",F1980="NEW"),"",COUNTBLANK(OFFSET(A$1,,,SUMPRODUCT(MAX(ROW(E$2:E1980)*(E1980=E$2:E1980)))))-COUNTBLANK(OFFSET(A$1,,,SUMPRODUCT(MAX(ROW(E$1:E1979)*(E2=E$1:E1979))))))</f>
        <v/>
      </c>
      <c r="K1980" s="24" t="str">
        <f aca="false">IF(OR(E1980="",E1980="!!!",F1980="NEW"),"",INDEX(J$1:J1979,SUMPRODUCT(MAX(ROW(E$1:E1979)*(E1980=E$1:E1979)))))</f>
        <v/>
      </c>
      <c r="L1980" s="31"/>
    </row>
    <row r="1981" customFormat="false" ht="15" hidden="false" customHeight="false" outlineLevel="0" collapsed="false">
      <c r="A1981" s="20" t="s">
        <v>1076</v>
      </c>
      <c r="E1981" s="23" t="str">
        <f aca="false">IF(D1981="?OLD","!!!","")</f>
        <v/>
      </c>
      <c r="F1981" s="25" t="str">
        <f aca="false">IF(OR(E1981="",E1981="!!!"),"",IF(NOT(ISNA(VLOOKUP(E1981,E$1:E1980,1,FALSE()))),"OLD",IF(AND(E1981&lt;&gt;"",E1981&lt;&gt;"!!!"),"NEW","")))</f>
        <v/>
      </c>
      <c r="G1981" s="26" t="str">
        <f aca="false">IF(OR(E1981="",E1981="!!!"),"",IF(OR(J1981=0,AND(J1981=1,K1981=1),AND(J1981=1,I1981="SBJ"),AND(J1981=1,I1981=0)),"?IN_FOCUS",IF(J1981&lt;=2,"?ACTIVATED",IF(J1981&lt;&gt;"","?FAMILIAR",IF(F1981="NEW",IF(ISNA(VLOOKUP(E1981,#REF!,1,FALSE())),"?TYPE_IDENTIFIABLE","?REFERENTIAL"),"_")))))</f>
        <v/>
      </c>
      <c r="H1981" s="27" t="str">
        <f aca="false">IF(J1981&lt;&gt;1,"",IF(I1981="SBJ","CB","?"))</f>
        <v/>
      </c>
      <c r="I1981" s="24" t="str">
        <f aca="false">IF(OR(E1981="",E1981="!!!",F1981="NEW"),"",INDEX(B8:B$1974,-1+SUMPRODUCT(MAX(ROW(E8:E$1974)*(E1981=E8:E$1974)))))</f>
        <v/>
      </c>
      <c r="J1981" s="24" t="str">
        <f aca="true">IF(OR(E1981="",E1981="!!!",F1981="NEW"),"",COUNTBLANK(OFFSET(A$1,,,SUMPRODUCT(MAX(ROW(E$2:E1981)*(E1981=E$2:E1981)))))-COUNTBLANK(OFFSET(A$1,,,SUMPRODUCT(MAX(ROW(E$1:E1980)*(E2=E$1:E1980))))))</f>
        <v/>
      </c>
      <c r="K1981" s="24" t="str">
        <f aca="false">IF(OR(E1981="",E1981="!!!",F1981="NEW"),"",INDEX(J$1:J1980,SUMPRODUCT(MAX(ROW(E$1:E1980)*(E1981=E$1:E1980)))))</f>
        <v/>
      </c>
      <c r="L1981" s="31"/>
    </row>
    <row r="1982" customFormat="false" ht="15" hidden="false" customHeight="false" outlineLevel="0" collapsed="false">
      <c r="A1982" s="20" t="s">
        <v>1814</v>
      </c>
      <c r="E1982" s="23" t="str">
        <f aca="false">IF(D1982="?OLD","!!!","")</f>
        <v/>
      </c>
      <c r="F1982" s="25" t="str">
        <f aca="false">IF(OR(E1982="",E1982="!!!"),"",IF(NOT(ISNA(VLOOKUP(E1982,E$1:E1981,1,FALSE()))),"OLD",IF(AND(E1982&lt;&gt;"",E1982&lt;&gt;"!!!"),"NEW","")))</f>
        <v/>
      </c>
      <c r="G1982" s="26" t="str">
        <f aca="false">IF(OR(E1982="",E1982="!!!"),"",IF(OR(J1982=0,AND(J1982=1,K1982=1),AND(J1982=1,I1982="SBJ"),AND(J1982=1,I1982=0)),"?IN_FOCUS",IF(J1982&lt;=2,"?ACTIVATED",IF(J1982&lt;&gt;"","?FAMILIAR",IF(F1982="NEW",IF(ISNA(VLOOKUP(E1982,#REF!,1,FALSE())),"?TYPE_IDENTIFIABLE","?REFERENTIAL"),"_")))))</f>
        <v/>
      </c>
      <c r="H1982" s="27" t="str">
        <f aca="false">IF(J1982&lt;&gt;1,"",IF(I1982="SBJ","CB","?"))</f>
        <v/>
      </c>
      <c r="I1982" s="24" t="str">
        <f aca="false">IF(OR(E1982="",E1982="!!!",F1982="NEW"),"",INDEX(B9:B$1974,-1+SUMPRODUCT(MAX(ROW(E9:E$1974)*(E1982=E9:E$1974)))))</f>
        <v/>
      </c>
      <c r="J1982" s="24" t="str">
        <f aca="true">IF(OR(E1982="",E1982="!!!",F1982="NEW"),"",COUNTBLANK(OFFSET(A$1,,,SUMPRODUCT(MAX(ROW(E$2:E1982)*(E1982=E$2:E1982)))))-COUNTBLANK(OFFSET(A$1,,,SUMPRODUCT(MAX(ROW(E$1:E1981)*(E2=E$1:E1981))))))</f>
        <v/>
      </c>
      <c r="K1982" s="24" t="str">
        <f aca="false">IF(OR(E1982="",E1982="!!!",F1982="NEW"),"",INDEX(J$1:J1981,SUMPRODUCT(MAX(ROW(E$1:E1981)*(E1982=E$1:E1981)))))</f>
        <v/>
      </c>
      <c r="L1982" s="31"/>
    </row>
    <row r="1983" customFormat="false" ht="15" hidden="false" customHeight="false" outlineLevel="0" collapsed="false">
      <c r="A1983" s="20" t="s">
        <v>1815</v>
      </c>
      <c r="B1983" s="22" t="s">
        <v>1058</v>
      </c>
      <c r="C1983" s="22" t="s">
        <v>1087</v>
      </c>
      <c r="E1983" s="23" t="str">
        <f aca="false">IF(D1983="?OLD","!!!","")</f>
        <v/>
      </c>
      <c r="F1983" s="25" t="str">
        <f aca="false">IF(OR(E1983="",E1983="!!!"),"",IF(NOT(ISNA(VLOOKUP(E1983,E$1:E1982,1,FALSE()))),"OLD",IF(AND(E1983&lt;&gt;"",E1983&lt;&gt;"!!!"),"NEW","")))</f>
        <v/>
      </c>
      <c r="G1983" s="26" t="str">
        <f aca="false">IF(OR(E1983="",E1983="!!!"),"",IF(OR(J1983=0,AND(J1983=1,K1983=1),AND(J1983=1,I1983="SBJ"),AND(J1983=1,I1983=0)),"?IN_FOCUS",IF(J1983&lt;=2,"?ACTIVATED",IF(J1983&lt;&gt;"","?FAMILIAR",IF(F1983="NEW",IF(ISNA(VLOOKUP(E1983,#REF!,1,FALSE())),"?TYPE_IDENTIFIABLE","?REFERENTIAL"),"_")))))</f>
        <v/>
      </c>
      <c r="H1983" s="27" t="str">
        <f aca="false">IF(J1983&lt;&gt;1,"",IF(I1983="SBJ","CB","?"))</f>
        <v/>
      </c>
      <c r="I1983" s="24" t="str">
        <f aca="false">IF(OR(E1983="",E1983="!!!",F1983="NEW"),"",INDEX(B10:B$1974,-1+SUMPRODUCT(MAX(ROW(E10:E$1974)*(E1983=E10:E$1974)))))</f>
        <v/>
      </c>
      <c r="J1983" s="24" t="str">
        <f aca="true">IF(OR(E1983="",E1983="!!!",F1983="NEW"),"",COUNTBLANK(OFFSET(A$1,,,SUMPRODUCT(MAX(ROW(E$2:E1983)*(E1983=E$2:E1983)))))-COUNTBLANK(OFFSET(A$1,,,SUMPRODUCT(MAX(ROW(E$1:E1982)*(E2=E$1:E1982))))))</f>
        <v/>
      </c>
      <c r="K1983" s="24" t="str">
        <f aca="false">IF(OR(E1983="",E1983="!!!",F1983="NEW"),"",INDEX(J$1:J1982,SUMPRODUCT(MAX(ROW(E$1:E1982)*(E1983=E$1:E1982)))))</f>
        <v/>
      </c>
      <c r="L1983" s="31"/>
    </row>
    <row r="1984" customFormat="false" ht="15" hidden="false" customHeight="false" outlineLevel="0" collapsed="false">
      <c r="A1984" s="20" t="s">
        <v>1119</v>
      </c>
      <c r="E1984" s="23" t="str">
        <f aca="false">IF(D1984="?OLD","!!!","")</f>
        <v/>
      </c>
      <c r="F1984" s="25" t="str">
        <f aca="false">IF(OR(E1984="",E1984="!!!"),"",IF(NOT(ISNA(VLOOKUP(E1984,E$1:E1983,1,FALSE()))),"OLD",IF(AND(E1984&lt;&gt;"",E1984&lt;&gt;"!!!"),"NEW","")))</f>
        <v/>
      </c>
      <c r="G1984" s="26" t="str">
        <f aca="false">IF(OR(E1984="",E1984="!!!"),"",IF(OR(J1984=0,AND(J1984=1,K1984=1),AND(J1984=1,I1984="SBJ"),AND(J1984=1,I1984=0)),"?IN_FOCUS",IF(J1984&lt;=2,"?ACTIVATED",IF(J1984&lt;&gt;"","?FAMILIAR",IF(F1984="NEW",IF(ISNA(VLOOKUP(E1984,#REF!,1,FALSE())),"?TYPE_IDENTIFIABLE","?REFERENTIAL"),"_")))))</f>
        <v/>
      </c>
      <c r="H1984" s="27" t="str">
        <f aca="false">IF(J1984&lt;&gt;1,"",IF(I1984="SBJ","CB","?"))</f>
        <v/>
      </c>
      <c r="I1984" s="24" t="str">
        <f aca="false">IF(OR(E1984="",E1984="!!!",F1984="NEW"),"",INDEX(B11:B$1974,-1+SUMPRODUCT(MAX(ROW(E11:E$1974)*(E1984=E11:E$1974)))))</f>
        <v/>
      </c>
      <c r="J1984" s="24" t="str">
        <f aca="true">IF(OR(E1984="",E1984="!!!",F1984="NEW"),"",COUNTBLANK(OFFSET(A$1,,,SUMPRODUCT(MAX(ROW(E$2:E1984)*(E1984=E$2:E1984)))))-COUNTBLANK(OFFSET(A$1,,,SUMPRODUCT(MAX(ROW(E$1:E1983)*(E2=E$1:E1983))))))</f>
        <v/>
      </c>
      <c r="K1984" s="24" t="str">
        <f aca="false">IF(OR(E1984="",E1984="!!!",F1984="NEW"),"",INDEX(J$1:J1983,SUMPRODUCT(MAX(ROW(E$1:E1983)*(E1984=E$1:E1983)))))</f>
        <v/>
      </c>
      <c r="L1984" s="31"/>
    </row>
    <row r="1985" customFormat="false" ht="15" hidden="false" customHeight="false" outlineLevel="0" collapsed="false">
      <c r="A1985" s="20" t="s">
        <v>1816</v>
      </c>
      <c r="E1985" s="23" t="str">
        <f aca="false">IF(D1985="?OLD","!!!","")</f>
        <v/>
      </c>
      <c r="F1985" s="25" t="str">
        <f aca="false">IF(OR(E1985="",E1985="!!!"),"",IF(NOT(ISNA(VLOOKUP(E1985,E$1:E1984,1,FALSE()))),"OLD",IF(AND(E1985&lt;&gt;"",E1985&lt;&gt;"!!!"),"NEW","")))</f>
        <v/>
      </c>
      <c r="G1985" s="26" t="str">
        <f aca="false">IF(OR(E1985="",E1985="!!!"),"",IF(OR(J1985=0,AND(J1985=1,K1985=1),AND(J1985=1,I1985="SBJ"),AND(J1985=1,I1985=0)),"?IN_FOCUS",IF(J1985&lt;=2,"?ACTIVATED",IF(J1985&lt;&gt;"","?FAMILIAR",IF(F1985="NEW",IF(ISNA(VLOOKUP(E1985,#REF!,1,FALSE())),"?TYPE_IDENTIFIABLE","?REFERENTIAL"),"_")))))</f>
        <v/>
      </c>
      <c r="H1985" s="27" t="str">
        <f aca="false">IF(J1985&lt;&gt;1,"",IF(I1985="SBJ","CB","?"))</f>
        <v/>
      </c>
      <c r="I1985" s="24" t="str">
        <f aca="false">IF(OR(E1985="",E1985="!!!",F1985="NEW"),"",INDEX(B12:B$1974,-1+SUMPRODUCT(MAX(ROW(E12:E$1974)*(E1985=E12:E$1974)))))</f>
        <v/>
      </c>
      <c r="J1985" s="24" t="str">
        <f aca="true">IF(OR(E1985="",E1985="!!!",F1985="NEW"),"",COUNTBLANK(OFFSET(A$1,,,SUMPRODUCT(MAX(ROW(E$2:E1985)*(E1985=E$2:E1985)))))-COUNTBLANK(OFFSET(A$1,,,SUMPRODUCT(MAX(ROW(E$1:E1984)*(E2=E$1:E1984))))))</f>
        <v/>
      </c>
      <c r="K1985" s="24" t="str">
        <f aca="false">IF(OR(E1985="",E1985="!!!",F1985="NEW"),"",INDEX(J$1:J1984,SUMPRODUCT(MAX(ROW(E$1:E1984)*(E1985=E$1:E1984)))))</f>
        <v/>
      </c>
      <c r="L1985" s="31"/>
    </row>
    <row r="1986" customFormat="false" ht="15" hidden="false" customHeight="false" outlineLevel="0" collapsed="false">
      <c r="A1986" s="20" t="s">
        <v>1173</v>
      </c>
      <c r="E1986" s="23" t="str">
        <f aca="false">IF(D1986="?OLD","!!!","")</f>
        <v/>
      </c>
      <c r="F1986" s="25" t="str">
        <f aca="false">IF(OR(E1986="",E1986="!!!"),"",IF(NOT(ISNA(VLOOKUP(E1986,E$1:E1985,1,FALSE()))),"OLD",IF(AND(E1986&lt;&gt;"",E1986&lt;&gt;"!!!"),"NEW","")))</f>
        <v/>
      </c>
      <c r="G1986" s="26" t="str">
        <f aca="false">IF(OR(E1986="",E1986="!!!"),"",IF(OR(J1986=0,AND(J1986=1,K1986=1),AND(J1986=1,I1986="SBJ"),AND(J1986=1,I1986=0)),"?IN_FOCUS",IF(J1986&lt;=2,"?ACTIVATED",IF(J1986&lt;&gt;"","?FAMILIAR",IF(F1986="NEW",IF(ISNA(VLOOKUP(E1986,#REF!,1,FALSE())),"?TYPE_IDENTIFIABLE","?REFERENTIAL"),"_")))))</f>
        <v/>
      </c>
      <c r="H1986" s="27" t="str">
        <f aca="false">IF(J1986&lt;&gt;1,"",IF(I1986="SBJ","CB","?"))</f>
        <v/>
      </c>
      <c r="I1986" s="24" t="str">
        <f aca="false">IF(OR(E1986="",E1986="!!!",F1986="NEW"),"",INDEX(B13:B$1974,-1+SUMPRODUCT(MAX(ROW(E13:E$1974)*(E1986=E13:E$1974)))))</f>
        <v/>
      </c>
      <c r="J1986" s="24" t="str">
        <f aca="true">IF(OR(E1986="",E1986="!!!",F1986="NEW"),"",COUNTBLANK(OFFSET(A$1,,,SUMPRODUCT(MAX(ROW(E$2:E1986)*(E1986=E$2:E1986)))))-COUNTBLANK(OFFSET(A$1,,,SUMPRODUCT(MAX(ROW(E$1:E1985)*(E2=E$1:E1985))))))</f>
        <v/>
      </c>
      <c r="K1986" s="24" t="str">
        <f aca="false">IF(OR(E1986="",E1986="!!!",F1986="NEW"),"",INDEX(J$1:J1985,SUMPRODUCT(MAX(ROW(E$1:E1985)*(E1986=E$1:E1985)))))</f>
        <v/>
      </c>
      <c r="L1986" s="31"/>
    </row>
    <row r="1987" customFormat="false" ht="15" hidden="false" customHeight="false" outlineLevel="0" collapsed="false">
      <c r="A1987" s="20" t="s">
        <v>1109</v>
      </c>
      <c r="E1987" s="23" t="str">
        <f aca="false">IF(D1987="?OLD","!!!","")</f>
        <v/>
      </c>
      <c r="F1987" s="25" t="str">
        <f aca="false">IF(OR(E1987="",E1987="!!!"),"",IF(NOT(ISNA(VLOOKUP(E1987,E$1:E1986,1,FALSE()))),"OLD",IF(AND(E1987&lt;&gt;"",E1987&lt;&gt;"!!!"),"NEW","")))</f>
        <v/>
      </c>
      <c r="G1987" s="26" t="str">
        <f aca="false">IF(OR(E1987="",E1987="!!!"),"",IF(OR(J1987=0,AND(J1987=1,K1987=1),AND(J1987=1,I1987="SBJ"),AND(J1987=1,I1987=0)),"?IN_FOCUS",IF(J1987&lt;=2,"?ACTIVATED",IF(J1987&lt;&gt;"","?FAMILIAR",IF(F1987="NEW",IF(ISNA(VLOOKUP(E1987,#REF!,1,FALSE())),"?TYPE_IDENTIFIABLE","?REFERENTIAL"),"_")))))</f>
        <v/>
      </c>
      <c r="H1987" s="27" t="str">
        <f aca="false">IF(J1987&lt;&gt;1,"",IF(I1987="SBJ","CB","?"))</f>
        <v/>
      </c>
      <c r="I1987" s="24" t="str">
        <f aca="false">IF(OR(E1987="",E1987="!!!",F1987="NEW"),"",INDEX(B14:B$1974,-1+SUMPRODUCT(MAX(ROW(E14:E$1974)*(E1987=E14:E$1974)))))</f>
        <v/>
      </c>
      <c r="J1987" s="24" t="str">
        <f aca="true">IF(OR(E1987="",E1987="!!!",F1987="NEW"),"",COUNTBLANK(OFFSET(A$1,,,SUMPRODUCT(MAX(ROW(E$2:E1987)*(E1987=E$2:E1987)))))-COUNTBLANK(OFFSET(A$1,,,SUMPRODUCT(MAX(ROW(E$1:E1986)*(E2=E$1:E1986))))))</f>
        <v/>
      </c>
      <c r="K1987" s="24" t="str">
        <f aca="false">IF(OR(E1987="",E1987="!!!",F1987="NEW"),"",INDEX(J$1:J1986,SUMPRODUCT(MAX(ROW(E$1:E1986)*(E1987=E$1:E1986)))))</f>
        <v/>
      </c>
      <c r="L1987" s="31"/>
    </row>
    <row r="1988" customFormat="false" ht="15" hidden="false" customHeight="false" outlineLevel="0" collapsed="false">
      <c r="A1988" s="20" t="s">
        <v>1817</v>
      </c>
      <c r="B1988" s="22" t="s">
        <v>1073</v>
      </c>
      <c r="C1988" s="22" t="s">
        <v>1150</v>
      </c>
      <c r="D1988" s="22" t="s">
        <v>1060</v>
      </c>
      <c r="E1988" s="23" t="str">
        <f aca="false">IF(D1988="?OLD","!!!","")</f>
        <v>!!!</v>
      </c>
      <c r="F1988" s="25" t="str">
        <f aca="false">IF(OR(E1988="",E1988="!!!"),"",IF(NOT(ISNA(VLOOKUP(E1988,E$1:E1987,1,FALSE()))),"OLD",IF(AND(E1988&lt;&gt;"",E1988&lt;&gt;"!!!"),"NEW","")))</f>
        <v/>
      </c>
      <c r="G1988" s="26" t="str">
        <f aca="false">IF(OR(E1988="",E1988="!!!"),"",IF(OR(J1988=0,AND(J1988=1,K1988=1),AND(J1988=1,I1988="SBJ"),AND(J1988=1,I1988=0)),"?IN_FOCUS",IF(J1988&lt;=2,"?ACTIVATED",IF(J1988&lt;&gt;"","?FAMILIAR",IF(F1988="NEW",IF(ISNA(VLOOKUP(E1988,#REF!,1,FALSE())),"?TYPE_IDENTIFIABLE","?REFERENTIAL"),"_")))))</f>
        <v/>
      </c>
      <c r="H1988" s="27" t="str">
        <f aca="false">IF(J1988&lt;&gt;1,"",IF(I1988="SBJ","CB","?"))</f>
        <v/>
      </c>
      <c r="I1988" s="24" t="str">
        <f aca="false">IF(OR(E1988="",E1988="!!!",F1988="NEW"),"",INDEX(B15:B$1974,-1+SUMPRODUCT(MAX(ROW(E15:E$1974)*(E1988=E15:E$1974)))))</f>
        <v/>
      </c>
      <c r="J1988" s="24" t="str">
        <f aca="true">IF(OR(E1988="",E1988="!!!",F1988="NEW"),"",COUNTBLANK(OFFSET(A$1,,,SUMPRODUCT(MAX(ROW(E$2:E1988)*(E1988=E$2:E1988)))))-COUNTBLANK(OFFSET(A$1,,,SUMPRODUCT(MAX(ROW(E$1:E1987)*(E2=E$1:E1987))))))</f>
        <v/>
      </c>
      <c r="K1988" s="24" t="str">
        <f aca="false">IF(OR(E1988="",E1988="!!!",F1988="NEW"),"",INDEX(J$1:J1987,SUMPRODUCT(MAX(ROW(E$1:E1987)*(E1988=E$1:E1987)))))</f>
        <v/>
      </c>
      <c r="L1988" s="31"/>
    </row>
    <row r="1989" customFormat="false" ht="15" hidden="false" customHeight="false" outlineLevel="0" collapsed="false">
      <c r="A1989" s="20" t="s">
        <v>1064</v>
      </c>
      <c r="E1989" s="23" t="str">
        <f aca="false">IF(D1989="?OLD","!!!","")</f>
        <v/>
      </c>
      <c r="F1989" s="25" t="str">
        <f aca="false">IF(OR(E1989="",E1989="!!!"),"",IF(NOT(ISNA(VLOOKUP(E1989,E$1:E1988,1,FALSE()))),"OLD",IF(AND(E1989&lt;&gt;"",E1989&lt;&gt;"!!!"),"NEW","")))</f>
        <v/>
      </c>
      <c r="G1989" s="26" t="str">
        <f aca="false">IF(OR(E1989="",E1989="!!!"),"",IF(OR(J1989=0,AND(J1989=1,K1989=1),AND(J1989=1,I1989="SBJ"),AND(J1989=1,I1989=0)),"?IN_FOCUS",IF(J1989&lt;=2,"?ACTIVATED",IF(J1989&lt;&gt;"","?FAMILIAR",IF(F1989="NEW",IF(ISNA(VLOOKUP(E1989,#REF!,1,FALSE())),"?TYPE_IDENTIFIABLE","?REFERENTIAL"),"_")))))</f>
        <v/>
      </c>
      <c r="H1989" s="27" t="str">
        <f aca="false">IF(J1989&lt;&gt;1,"",IF(I1989="SBJ","CB","?"))</f>
        <v/>
      </c>
      <c r="I1989" s="24" t="str">
        <f aca="false">IF(OR(E1989="",E1989="!!!",F1989="NEW"),"",INDEX(B16:B$1974,-1+SUMPRODUCT(MAX(ROW(E16:E$1974)*(E1989=E16:E$1974)))))</f>
        <v/>
      </c>
      <c r="J1989" s="24" t="str">
        <f aca="true">IF(OR(E1989="",E1989="!!!",F1989="NEW"),"",COUNTBLANK(OFFSET(A$1,,,SUMPRODUCT(MAX(ROW(E$2:E1989)*(E1989=E$2:E1989)))))-COUNTBLANK(OFFSET(A$1,,,SUMPRODUCT(MAX(ROW(E$1:E1988)*(E2=E$1:E1988))))))</f>
        <v/>
      </c>
      <c r="K1989" s="24" t="str">
        <f aca="false">IF(OR(E1989="",E1989="!!!",F1989="NEW"),"",INDEX(J$1:J1988,SUMPRODUCT(MAX(ROW(E$1:E1988)*(E1989=E$1:E1988)))))</f>
        <v/>
      </c>
      <c r="L1989" s="31"/>
    </row>
    <row r="1990" customFormat="false" ht="15" hidden="false" customHeight="false" outlineLevel="0" collapsed="false">
      <c r="A1990" s="20" t="s">
        <v>1089</v>
      </c>
      <c r="E1990" s="23" t="str">
        <f aca="false">IF(D1990="?OLD","!!!","")</f>
        <v/>
      </c>
      <c r="F1990" s="25" t="str">
        <f aca="false">IF(OR(E1990="",E1990="!!!"),"",IF(NOT(ISNA(VLOOKUP(E1990,E$1:E1989,1,FALSE()))),"OLD",IF(AND(E1990&lt;&gt;"",E1990&lt;&gt;"!!!"),"NEW","")))</f>
        <v/>
      </c>
      <c r="G1990" s="26" t="str">
        <f aca="false">IF(OR(E1990="",E1990="!!!"),"",IF(OR(J1990=0,AND(J1990=1,K1990=1),AND(J1990=1,I1990="SBJ"),AND(J1990=1,I1990=0)),"?IN_FOCUS",IF(J1990&lt;=2,"?ACTIVATED",IF(J1990&lt;&gt;"","?FAMILIAR",IF(F1990="NEW",IF(ISNA(VLOOKUP(E1990,#REF!,1,FALSE())),"?TYPE_IDENTIFIABLE","?REFERENTIAL"),"_")))))</f>
        <v/>
      </c>
      <c r="H1990" s="27" t="str">
        <f aca="false">IF(J1990&lt;&gt;1,"",IF(I1990="SBJ","CB","?"))</f>
        <v/>
      </c>
      <c r="I1990" s="24" t="str">
        <f aca="false">IF(OR(E1990="",E1990="!!!",F1990="NEW"),"",INDEX(B17:B$1974,-1+SUMPRODUCT(MAX(ROW(E17:E$1974)*(E1990=E17:E$1974)))))</f>
        <v/>
      </c>
      <c r="J1990" s="24" t="str">
        <f aca="true">IF(OR(E1990="",E1990="!!!",F1990="NEW"),"",COUNTBLANK(OFFSET(A$1,,,SUMPRODUCT(MAX(ROW(E$2:E1990)*(E1990=E$2:E1990)))))-COUNTBLANK(OFFSET(A$1,,,SUMPRODUCT(MAX(ROW(E$1:E1989)*(E2=E$1:E1989))))))</f>
        <v/>
      </c>
      <c r="K1990" s="24" t="str">
        <f aca="false">IF(OR(E1990="",E1990="!!!",F1990="NEW"),"",INDEX(J$1:J1989,SUMPRODUCT(MAX(ROW(E$1:E1989)*(E1990=E$1:E1989)))))</f>
        <v/>
      </c>
      <c r="L1990" s="31"/>
    </row>
    <row r="1991" customFormat="false" ht="15" hidden="false" customHeight="false" outlineLevel="0" collapsed="false">
      <c r="A1991" s="20" t="s">
        <v>1707</v>
      </c>
      <c r="E1991" s="23" t="str">
        <f aca="false">IF(D1991="?OLD","!!!","")</f>
        <v/>
      </c>
      <c r="F1991" s="25" t="str">
        <f aca="false">IF(OR(E1991="",E1991="!!!"),"",IF(NOT(ISNA(VLOOKUP(E1991,E$1:E1990,1,FALSE()))),"OLD",IF(AND(E1991&lt;&gt;"",E1991&lt;&gt;"!!!"),"NEW","")))</f>
        <v/>
      </c>
      <c r="G1991" s="26" t="str">
        <f aca="false">IF(OR(E1991="",E1991="!!!"),"",IF(OR(J1991=0,AND(J1991=1,K1991=1),AND(J1991=1,I1991="SBJ"),AND(J1991=1,I1991=0)),"?IN_FOCUS",IF(J1991&lt;=2,"?ACTIVATED",IF(J1991&lt;&gt;"","?FAMILIAR",IF(F1991="NEW",IF(ISNA(VLOOKUP(E1991,#REF!,1,FALSE())),"?TYPE_IDENTIFIABLE","?REFERENTIAL"),"_")))))</f>
        <v/>
      </c>
      <c r="H1991" s="27" t="str">
        <f aca="false">IF(J1991&lt;&gt;1,"",IF(I1991="SBJ","CB","?"))</f>
        <v/>
      </c>
      <c r="I1991" s="24" t="str">
        <f aca="false">IF(OR(E1991="",E1991="!!!",F1991="NEW"),"",INDEX(B18:B$1974,-1+SUMPRODUCT(MAX(ROW(E18:E$1974)*(E1991=E18:E$1974)))))</f>
        <v/>
      </c>
      <c r="J1991" s="24" t="str">
        <f aca="true">IF(OR(E1991="",E1991="!!!",F1991="NEW"),"",COUNTBLANK(OFFSET(A$1,,,SUMPRODUCT(MAX(ROW(E$2:E1991)*(E1991=E$2:E1991)))))-COUNTBLANK(OFFSET(A$1,,,SUMPRODUCT(MAX(ROW(E$1:E1990)*(E2=E$1:E1990))))))</f>
        <v/>
      </c>
      <c r="K1991" s="24" t="str">
        <f aca="false">IF(OR(E1991="",E1991="!!!",F1991="NEW"),"",INDEX(J$1:J1990,SUMPRODUCT(MAX(ROW(E$1:E1990)*(E1991=E$1:E1990)))))</f>
        <v/>
      </c>
      <c r="L1991" s="31"/>
    </row>
    <row r="1992" customFormat="false" ht="15" hidden="false" customHeight="false" outlineLevel="0" collapsed="false">
      <c r="A1992" s="20" t="s">
        <v>1711</v>
      </c>
      <c r="B1992" s="22" t="s">
        <v>1067</v>
      </c>
      <c r="C1992" s="22" t="s">
        <v>1160</v>
      </c>
      <c r="E1992" s="23" t="str">
        <f aca="false">IF(D1992="?OLD","!!!","")</f>
        <v/>
      </c>
      <c r="F1992" s="25" t="str">
        <f aca="false">IF(OR(E1992="",E1992="!!!"),"",IF(NOT(ISNA(VLOOKUP(E1992,E$1:E1991,1,FALSE()))),"OLD",IF(AND(E1992&lt;&gt;"",E1992&lt;&gt;"!!!"),"NEW","")))</f>
        <v/>
      </c>
      <c r="G1992" s="26" t="str">
        <f aca="false">IF(OR(E1992="",E1992="!!!"),"",IF(OR(J1992=0,AND(J1992=1,K1992=1),AND(J1992=1,I1992="SBJ"),AND(J1992=1,I1992=0)),"?IN_FOCUS",IF(J1992&lt;=2,"?ACTIVATED",IF(J1992&lt;&gt;"","?FAMILIAR",IF(F1992="NEW",IF(ISNA(VLOOKUP(E1992,#REF!,1,FALSE())),"?TYPE_IDENTIFIABLE","?REFERENTIAL"),"_")))))</f>
        <v/>
      </c>
      <c r="H1992" s="27" t="str">
        <f aca="false">IF(J1992&lt;&gt;1,"",IF(I1992="SBJ","CB","?"))</f>
        <v/>
      </c>
      <c r="I1992" s="24" t="str">
        <f aca="false">IF(OR(E1992="",E1992="!!!",F1992="NEW"),"",INDEX(B19:B$1974,-1+SUMPRODUCT(MAX(ROW(E19:E$1974)*(E1992=E19:E$1974)))))</f>
        <v/>
      </c>
      <c r="J1992" s="24" t="str">
        <f aca="true">IF(OR(E1992="",E1992="!!!",F1992="NEW"),"",COUNTBLANK(OFFSET(A$1,,,SUMPRODUCT(MAX(ROW(E$2:E1992)*(E1992=E$2:E1992)))))-COUNTBLANK(OFFSET(A$1,,,SUMPRODUCT(MAX(ROW(E$1:E1991)*(E2=E$1:E1991))))))</f>
        <v/>
      </c>
      <c r="K1992" s="24" t="str">
        <f aca="false">IF(OR(E1992="",E1992="!!!",F1992="NEW"),"",INDEX(J$1:J1991,SUMPRODUCT(MAX(ROW(E$1:E1991)*(E1992=E$1:E1991)))))</f>
        <v/>
      </c>
      <c r="L1992" s="31"/>
    </row>
    <row r="1993" customFormat="false" ht="15" hidden="false" customHeight="false" outlineLevel="0" collapsed="false">
      <c r="A1993" s="20" t="s">
        <v>923</v>
      </c>
      <c r="E1993" s="23" t="str">
        <f aca="false">IF(D1993="?OLD","!!!","")</f>
        <v/>
      </c>
      <c r="F1993" s="25" t="str">
        <f aca="false">IF(OR(E1993="",E1993="!!!"),"",IF(NOT(ISNA(VLOOKUP(E1993,E$1:E1992,1,FALSE()))),"OLD",IF(AND(E1993&lt;&gt;"",E1993&lt;&gt;"!!!"),"NEW","")))</f>
        <v/>
      </c>
      <c r="G1993" s="26" t="str">
        <f aca="false">IF(OR(E1993="",E1993="!!!"),"",IF(OR(J1993=0,AND(J1993=1,K1993=1),AND(J1993=1,I1993="SBJ"),AND(J1993=1,I1993=0)),"?IN_FOCUS",IF(J1993&lt;=2,"?ACTIVATED",IF(J1993&lt;&gt;"","?FAMILIAR",IF(F1993="NEW",IF(ISNA(VLOOKUP(E1993,#REF!,1,FALSE())),"?TYPE_IDENTIFIABLE","?REFERENTIAL"),"_")))))</f>
        <v/>
      </c>
      <c r="H1993" s="27" t="str">
        <f aca="false">IF(J1993&lt;&gt;1,"",IF(I1993="SBJ","CB","?"))</f>
        <v/>
      </c>
      <c r="I1993" s="24" t="str">
        <f aca="false">IF(OR(E1993="",E1993="!!!",F1993="NEW"),"",INDEX(B20:B$1974,-1+SUMPRODUCT(MAX(ROW(E20:E$1974)*(E1993=E20:E$1974)))))</f>
        <v/>
      </c>
      <c r="J1993" s="24" t="str">
        <f aca="true">IF(OR(E1993="",E1993="!!!",F1993="NEW"),"",COUNTBLANK(OFFSET(A$1,,,SUMPRODUCT(MAX(ROW(E$2:E1993)*(E1993=E$2:E1993)))))-COUNTBLANK(OFFSET(A$1,,,SUMPRODUCT(MAX(ROW(E$1:E1992)*(E2=E$1:E1992))))))</f>
        <v/>
      </c>
      <c r="K1993" s="24" t="str">
        <f aca="false">IF(OR(E1993="",E1993="!!!",F1993="NEW"),"",INDEX(J$1:J1992,SUMPRODUCT(MAX(ROW(E$1:E1992)*(E1993=E$1:E1992)))))</f>
        <v/>
      </c>
      <c r="L1993" s="31"/>
    </row>
    <row r="1994" customFormat="false" ht="15" hidden="false" customHeight="false" outlineLevel="0" collapsed="false">
      <c r="A1994" s="20"/>
    </row>
    <row r="1995" customFormat="false" ht="15" hidden="false" customHeight="false" outlineLevel="0" collapsed="false">
      <c r="A1995" s="20" t="s">
        <v>1818</v>
      </c>
    </row>
    <row r="1996" customFormat="false" ht="15" hidden="false" customHeight="false" outlineLevel="0" collapsed="false">
      <c r="A1996" s="20" t="s">
        <v>1148</v>
      </c>
      <c r="E1996" s="23" t="str">
        <f aca="false">IF(D1996="?OLD","!!!","")</f>
        <v/>
      </c>
      <c r="F1996" s="25" t="str">
        <f aca="false">IF(OR(E1996="",E1996="!!!"),"",IF(NOT(ISNA(VLOOKUP(E1996,E$1:E1995,1,FALSE()))),"OLD",IF(AND(E1996&lt;&gt;"",E1996&lt;&gt;"!!!"),"NEW","")))</f>
        <v/>
      </c>
      <c r="G1996" s="26" t="str">
        <f aca="false">IF(OR(E1996="",E1996="!!!"),"",IF(OR(J1996=0,AND(J1996=1,K1996=1),AND(J1996=1,I1996="SBJ"),AND(J1996=1,I1996=0)),"?IN_FOCUS",IF(J1996&lt;=2,"?ACTIVATED",IF(J1996&lt;&gt;"","?FAMILIAR",IF(F1996="NEW",IF(ISNA(VLOOKUP(E1996,#REF!,1,FALSE())),"?TYPE_IDENTIFIABLE","?REFERENTIAL"),"_")))))</f>
        <v/>
      </c>
      <c r="H1996" s="27" t="str">
        <f aca="false">IF(J1996&lt;&gt;1,"",IF(I1996="SBJ","CB","?"))</f>
        <v/>
      </c>
      <c r="I1996" s="24" t="str">
        <f aca="false">IF(OR(E1996="",E1996="!!!",F1996="NEW"),"",INDEX(B2:B$1995,-1+SUMPRODUCT(MAX(ROW(E2:E$1995)*(E1996=E2:E$1995)))))</f>
        <v/>
      </c>
      <c r="J1996" s="24" t="str">
        <f aca="true">IF(OR(E1996="",E1996="!!!",F1996="NEW"),"",COUNTBLANK(OFFSET(A$1,,,SUMPRODUCT(MAX(ROW(E$2:E1996)*(E1996=E$2:E1996)))))-COUNTBLANK(OFFSET(A$1,,,SUMPRODUCT(MAX(ROW(E$1:E1995)*(E2=E$1:E1995))))))</f>
        <v/>
      </c>
      <c r="K1996" s="24" t="str">
        <f aca="false">IF(OR(E1996="",E1996="!!!",F1996="NEW"),"",INDEX(J$1:J1995,SUMPRODUCT(MAX(ROW(E$1:E1995)*(E1996=E$1:E1995)))))</f>
        <v/>
      </c>
      <c r="L1996" s="31"/>
    </row>
    <row r="1997" customFormat="false" ht="15" hidden="false" customHeight="false" outlineLevel="0" collapsed="false">
      <c r="A1997" s="20" t="s">
        <v>1819</v>
      </c>
      <c r="B1997" s="22" t="s">
        <v>1058</v>
      </c>
      <c r="C1997" s="22" t="s">
        <v>1150</v>
      </c>
      <c r="D1997" s="22" t="s">
        <v>1060</v>
      </c>
      <c r="E1997" s="23" t="str">
        <f aca="false">IF(D1997="?OLD","!!!","")</f>
        <v>!!!</v>
      </c>
      <c r="F1997" s="25" t="str">
        <f aca="false">IF(OR(E1997="",E1997="!!!"),"",IF(NOT(ISNA(VLOOKUP(E1997,E$1:E1996,1,FALSE()))),"OLD",IF(AND(E1997&lt;&gt;"",E1997&lt;&gt;"!!!"),"NEW","")))</f>
        <v/>
      </c>
      <c r="G1997" s="26" t="str">
        <f aca="false">IF(OR(E1997="",E1997="!!!"),"",IF(OR(J1997=0,AND(J1997=1,K1997=1),AND(J1997=1,I1997="SBJ"),AND(J1997=1,I1997=0)),"?IN_FOCUS",IF(J1997&lt;=2,"?ACTIVATED",IF(J1997&lt;&gt;"","?FAMILIAR",IF(F1997="NEW",IF(ISNA(VLOOKUP(E1997,#REF!,1,FALSE())),"?TYPE_IDENTIFIABLE","?REFERENTIAL"),"_")))))</f>
        <v/>
      </c>
      <c r="H1997" s="27" t="str">
        <f aca="false">IF(J1997&lt;&gt;1,"",IF(I1997="SBJ","CB","?"))</f>
        <v/>
      </c>
      <c r="I1997" s="24" t="str">
        <f aca="false">IF(OR(E1997="",E1997="!!!",F1997="NEW"),"",INDEX(B3:B$1995,-1+SUMPRODUCT(MAX(ROW(E3:E$1995)*(E1997=E3:E$1995)))))</f>
        <v/>
      </c>
      <c r="J1997" s="24" t="str">
        <f aca="true">IF(OR(E1997="",E1997="!!!",F1997="NEW"),"",COUNTBLANK(OFFSET(A$1,,,SUMPRODUCT(MAX(ROW(E$2:E1997)*(E1997=E$2:E1997)))))-COUNTBLANK(OFFSET(A$1,,,SUMPRODUCT(MAX(ROW(E$1:E1996)*(E2=E$1:E1996))))))</f>
        <v/>
      </c>
      <c r="K1997" s="24" t="str">
        <f aca="false">IF(OR(E1997="",E1997="!!!",F1997="NEW"),"",INDEX(J$1:J1996,SUMPRODUCT(MAX(ROW(E$1:E1996)*(E1997=E$1:E1996)))))</f>
        <v/>
      </c>
      <c r="L1997" s="31"/>
    </row>
    <row r="1998" customFormat="false" ht="15" hidden="false" customHeight="false" outlineLevel="0" collapsed="false">
      <c r="A1998" s="20" t="s">
        <v>1092</v>
      </c>
      <c r="E1998" s="23" t="str">
        <f aca="false">IF(D1998="?OLD","!!!","")</f>
        <v/>
      </c>
      <c r="F1998" s="25" t="str">
        <f aca="false">IF(OR(E1998="",E1998="!!!"),"",IF(NOT(ISNA(VLOOKUP(E1998,E$1:E1997,1,FALSE()))),"OLD",IF(AND(E1998&lt;&gt;"",E1998&lt;&gt;"!!!"),"NEW","")))</f>
        <v/>
      </c>
      <c r="G1998" s="26" t="str">
        <f aca="false">IF(OR(E1998="",E1998="!!!"),"",IF(OR(J1998=0,AND(J1998=1,K1998=1),AND(J1998=1,I1998="SBJ"),AND(J1998=1,I1998=0)),"?IN_FOCUS",IF(J1998&lt;=2,"?ACTIVATED",IF(J1998&lt;&gt;"","?FAMILIAR",IF(F1998="NEW",IF(ISNA(VLOOKUP(E1998,#REF!,1,FALSE())),"?TYPE_IDENTIFIABLE","?REFERENTIAL"),"_")))))</f>
        <v/>
      </c>
      <c r="H1998" s="27" t="str">
        <f aca="false">IF(J1998&lt;&gt;1,"",IF(I1998="SBJ","CB","?"))</f>
        <v/>
      </c>
      <c r="I1998" s="24" t="str">
        <f aca="false">IF(OR(E1998="",E1998="!!!",F1998="NEW"),"",INDEX(B4:B$1995,-1+SUMPRODUCT(MAX(ROW(E4:E$1995)*(E1998=E4:E$1995)))))</f>
        <v/>
      </c>
      <c r="J1998" s="24" t="str">
        <f aca="true">IF(OR(E1998="",E1998="!!!",F1998="NEW"),"",COUNTBLANK(OFFSET(A$1,,,SUMPRODUCT(MAX(ROW(E$2:E1998)*(E1998=E$2:E1998)))))-COUNTBLANK(OFFSET(A$1,,,SUMPRODUCT(MAX(ROW(E$1:E1997)*(E2=E$1:E1997))))))</f>
        <v/>
      </c>
      <c r="K1998" s="24" t="str">
        <f aca="false">IF(OR(E1998="",E1998="!!!",F1998="NEW"),"",INDEX(J$1:J1997,SUMPRODUCT(MAX(ROW(E$1:E1997)*(E1998=E$1:E1997)))))</f>
        <v/>
      </c>
      <c r="L1998" s="31"/>
    </row>
    <row r="1999" customFormat="false" ht="15" hidden="false" customHeight="false" outlineLevel="0" collapsed="false">
      <c r="A1999" s="20" t="s">
        <v>1559</v>
      </c>
      <c r="E1999" s="23" t="str">
        <f aca="false">IF(D1999="?OLD","!!!","")</f>
        <v/>
      </c>
      <c r="F1999" s="25" t="str">
        <f aca="false">IF(OR(E1999="",E1999="!!!"),"",IF(NOT(ISNA(VLOOKUP(E1999,E$1:E1998,1,FALSE()))),"OLD",IF(AND(E1999&lt;&gt;"",E1999&lt;&gt;"!!!"),"NEW","")))</f>
        <v/>
      </c>
      <c r="G1999" s="26" t="str">
        <f aca="false">IF(OR(E1999="",E1999="!!!"),"",IF(OR(J1999=0,AND(J1999=1,K1999=1),AND(J1999=1,I1999="SBJ"),AND(J1999=1,I1999=0)),"?IN_FOCUS",IF(J1999&lt;=2,"?ACTIVATED",IF(J1999&lt;&gt;"","?FAMILIAR",IF(F1999="NEW",IF(ISNA(VLOOKUP(E1999,#REF!,1,FALSE())),"?TYPE_IDENTIFIABLE","?REFERENTIAL"),"_")))))</f>
        <v/>
      </c>
      <c r="H1999" s="27" t="str">
        <f aca="false">IF(J1999&lt;&gt;1,"",IF(I1999="SBJ","CB","?"))</f>
        <v/>
      </c>
      <c r="I1999" s="24" t="str">
        <f aca="false">IF(OR(E1999="",E1999="!!!",F1999="NEW"),"",INDEX(B5:B$1995,-1+SUMPRODUCT(MAX(ROW(E5:E$1995)*(E1999=E5:E$1995)))))</f>
        <v/>
      </c>
      <c r="J1999" s="24" t="str">
        <f aca="true">IF(OR(E1999="",E1999="!!!",F1999="NEW"),"",COUNTBLANK(OFFSET(A$1,,,SUMPRODUCT(MAX(ROW(E$2:E1999)*(E1999=E$2:E1999)))))-COUNTBLANK(OFFSET(A$1,,,SUMPRODUCT(MAX(ROW(E$1:E1998)*(E2=E$1:E1998))))))</f>
        <v/>
      </c>
      <c r="K1999" s="24" t="str">
        <f aca="false">IF(OR(E1999="",E1999="!!!",F1999="NEW"),"",INDEX(J$1:J1998,SUMPRODUCT(MAX(ROW(E$1:E1998)*(E1999=E$1:E1998)))))</f>
        <v/>
      </c>
      <c r="L1999" s="31"/>
    </row>
    <row r="2000" customFormat="false" ht="15" hidden="false" customHeight="false" outlineLevel="0" collapsed="false">
      <c r="A2000" s="20" t="s">
        <v>1820</v>
      </c>
      <c r="E2000" s="23" t="str">
        <f aca="false">IF(D2000="?OLD","!!!","")</f>
        <v/>
      </c>
      <c r="F2000" s="25" t="str">
        <f aca="false">IF(OR(E2000="",E2000="!!!"),"",IF(NOT(ISNA(VLOOKUP(E2000,E$1:E1999,1,FALSE()))),"OLD",IF(AND(E2000&lt;&gt;"",E2000&lt;&gt;"!!!"),"NEW","")))</f>
        <v/>
      </c>
      <c r="G2000" s="26" t="str">
        <f aca="false">IF(OR(E2000="",E2000="!!!"),"",IF(OR(J2000=0,AND(J2000=1,K2000=1),AND(J2000=1,I2000="SBJ"),AND(J2000=1,I2000=0)),"?IN_FOCUS",IF(J2000&lt;=2,"?ACTIVATED",IF(J2000&lt;&gt;"","?FAMILIAR",IF(F2000="NEW",IF(ISNA(VLOOKUP(E2000,#REF!,1,FALSE())),"?TYPE_IDENTIFIABLE","?REFERENTIAL"),"_")))))</f>
        <v/>
      </c>
      <c r="H2000" s="27" t="str">
        <f aca="false">IF(J2000&lt;&gt;1,"",IF(I2000="SBJ","CB","?"))</f>
        <v/>
      </c>
      <c r="I2000" s="24" t="str">
        <f aca="false">IF(OR(E2000="",E2000="!!!",F2000="NEW"),"",INDEX(B6:B$1995,-1+SUMPRODUCT(MAX(ROW(E6:E$1995)*(E2000=E6:E$1995)))))</f>
        <v/>
      </c>
      <c r="J2000" s="24" t="str">
        <f aca="true">IF(OR(E2000="",E2000="!!!",F2000="NEW"),"",COUNTBLANK(OFFSET(A$1,,,SUMPRODUCT(MAX(ROW(E$2:E2000)*(E2000=E$2:E2000)))))-COUNTBLANK(OFFSET(A$1,,,SUMPRODUCT(MAX(ROW(E$1:E1999)*(E2=E$1:E1999))))))</f>
        <v/>
      </c>
      <c r="K2000" s="24" t="str">
        <f aca="false">IF(OR(E2000="",E2000="!!!",F2000="NEW"),"",INDEX(J$1:J1999,SUMPRODUCT(MAX(ROW(E$1:E1999)*(E2000=E$1:E1999)))))</f>
        <v/>
      </c>
      <c r="L2000" s="31"/>
    </row>
    <row r="2001" customFormat="false" ht="15" hidden="false" customHeight="false" outlineLevel="0" collapsed="false">
      <c r="A2001" s="20" t="s">
        <v>1388</v>
      </c>
      <c r="B2001" s="22" t="s">
        <v>1105</v>
      </c>
      <c r="C2001" s="22" t="s">
        <v>1389</v>
      </c>
      <c r="E2001" s="23" t="str">
        <f aca="false">IF(D2001="?OLD","!!!","")</f>
        <v/>
      </c>
      <c r="F2001" s="25" t="str">
        <f aca="false">IF(OR(E2001="",E2001="!!!"),"",IF(NOT(ISNA(VLOOKUP(E2001,E$1:E2000,1,FALSE()))),"OLD",IF(AND(E2001&lt;&gt;"",E2001&lt;&gt;"!!!"),"NEW","")))</f>
        <v/>
      </c>
      <c r="G2001" s="26" t="str">
        <f aca="false">IF(OR(E2001="",E2001="!!!"),"",IF(OR(J2001=0,AND(J2001=1,K2001=1),AND(J2001=1,I2001="SBJ"),AND(J2001=1,I2001=0)),"?IN_FOCUS",IF(J2001&lt;=2,"?ACTIVATED",IF(J2001&lt;&gt;"","?FAMILIAR",IF(F2001="NEW",IF(ISNA(VLOOKUP(E2001,#REF!,1,FALSE())),"?TYPE_IDENTIFIABLE","?REFERENTIAL"),"_")))))</f>
        <v/>
      </c>
      <c r="H2001" s="27" t="str">
        <f aca="false">IF(J2001&lt;&gt;1,"",IF(I2001="SBJ","CB","?"))</f>
        <v/>
      </c>
      <c r="I2001" s="24" t="str">
        <f aca="false">IF(OR(E2001="",E2001="!!!",F2001="NEW"),"",INDEX(B7:B$1995,-1+SUMPRODUCT(MAX(ROW(E7:E$1995)*(E2001=E7:E$1995)))))</f>
        <v/>
      </c>
      <c r="J2001" s="24" t="str">
        <f aca="true">IF(OR(E2001="",E2001="!!!",F2001="NEW"),"",COUNTBLANK(OFFSET(A$1,,,SUMPRODUCT(MAX(ROW(E$2:E2001)*(E2001=E$2:E2001)))))-COUNTBLANK(OFFSET(A$1,,,SUMPRODUCT(MAX(ROW(E$1:E2000)*(E2=E$1:E2000))))))</f>
        <v/>
      </c>
      <c r="K2001" s="24" t="str">
        <f aca="false">IF(OR(E2001="",E2001="!!!",F2001="NEW"),"",INDEX(J$1:J2000,SUMPRODUCT(MAX(ROW(E$1:E2000)*(E2001=E$1:E2000)))))</f>
        <v/>
      </c>
      <c r="L2001" s="31"/>
    </row>
    <row r="2002" customFormat="false" ht="15" hidden="false" customHeight="false" outlineLevel="0" collapsed="false">
      <c r="A2002" s="20" t="s">
        <v>1064</v>
      </c>
      <c r="E2002" s="23" t="str">
        <f aca="false">IF(D2002="?OLD","!!!","")</f>
        <v/>
      </c>
      <c r="F2002" s="25" t="str">
        <f aca="false">IF(OR(E2002="",E2002="!!!"),"",IF(NOT(ISNA(VLOOKUP(E2002,E$1:E2001,1,FALSE()))),"OLD",IF(AND(E2002&lt;&gt;"",E2002&lt;&gt;"!!!"),"NEW","")))</f>
        <v/>
      </c>
      <c r="G2002" s="26" t="str">
        <f aca="false">IF(OR(E2002="",E2002="!!!"),"",IF(OR(J2002=0,AND(J2002=1,K2002=1),AND(J2002=1,I2002="SBJ"),AND(J2002=1,I2002=0)),"?IN_FOCUS",IF(J2002&lt;=2,"?ACTIVATED",IF(J2002&lt;&gt;"","?FAMILIAR",IF(F2002="NEW",IF(ISNA(VLOOKUP(E2002,#REF!,1,FALSE())),"?TYPE_IDENTIFIABLE","?REFERENTIAL"),"_")))))</f>
        <v/>
      </c>
      <c r="H2002" s="27" t="str">
        <f aca="false">IF(J2002&lt;&gt;1,"",IF(I2002="SBJ","CB","?"))</f>
        <v/>
      </c>
      <c r="I2002" s="24" t="str">
        <f aca="false">IF(OR(E2002="",E2002="!!!",F2002="NEW"),"",INDEX(B8:B$1995,-1+SUMPRODUCT(MAX(ROW(E8:E$1995)*(E2002=E8:E$1995)))))</f>
        <v/>
      </c>
      <c r="J2002" s="24" t="str">
        <f aca="true">IF(OR(E2002="",E2002="!!!",F2002="NEW"),"",COUNTBLANK(OFFSET(A$1,,,SUMPRODUCT(MAX(ROW(E$2:E2002)*(E2002=E$2:E2002)))))-COUNTBLANK(OFFSET(A$1,,,SUMPRODUCT(MAX(ROW(E$1:E2001)*(E2=E$1:E2001))))))</f>
        <v/>
      </c>
      <c r="K2002" s="24" t="str">
        <f aca="false">IF(OR(E2002="",E2002="!!!",F2002="NEW"),"",INDEX(J$1:J2001,SUMPRODUCT(MAX(ROW(E$1:E2001)*(E2002=E$1:E2001)))))</f>
        <v/>
      </c>
      <c r="L2002" s="31"/>
    </row>
    <row r="2003" customFormat="false" ht="15" hidden="false" customHeight="false" outlineLevel="0" collapsed="false">
      <c r="A2003" s="20" t="s">
        <v>1569</v>
      </c>
      <c r="B2003" s="22" t="s">
        <v>1105</v>
      </c>
      <c r="C2003" s="22" t="s">
        <v>1202</v>
      </c>
      <c r="E2003" s="23" t="str">
        <f aca="false">IF(D2003="?OLD","!!!","")</f>
        <v/>
      </c>
      <c r="F2003" s="25" t="str">
        <f aca="false">IF(OR(E2003="",E2003="!!!"),"",IF(NOT(ISNA(VLOOKUP(E2003,E$1:E2002,1,FALSE()))),"OLD",IF(AND(E2003&lt;&gt;"",E2003&lt;&gt;"!!!"),"NEW","")))</f>
        <v/>
      </c>
      <c r="G2003" s="26" t="str">
        <f aca="false">IF(OR(E2003="",E2003="!!!"),"",IF(OR(J2003=0,AND(J2003=1,K2003=1),AND(J2003=1,I2003="SBJ"),AND(J2003=1,I2003=0)),"?IN_FOCUS",IF(J2003&lt;=2,"?ACTIVATED",IF(J2003&lt;&gt;"","?FAMILIAR",IF(F2003="NEW",IF(ISNA(VLOOKUP(E2003,#REF!,1,FALSE())),"?TYPE_IDENTIFIABLE","?REFERENTIAL"),"_")))))</f>
        <v/>
      </c>
      <c r="H2003" s="27" t="str">
        <f aca="false">IF(J2003&lt;&gt;1,"",IF(I2003="SBJ","CB","?"))</f>
        <v/>
      </c>
      <c r="I2003" s="24" t="str">
        <f aca="false">IF(OR(E2003="",E2003="!!!",F2003="NEW"),"",INDEX(B9:B$1995,-1+SUMPRODUCT(MAX(ROW(E9:E$1995)*(E2003=E9:E$1995)))))</f>
        <v/>
      </c>
      <c r="J2003" s="24" t="str">
        <f aca="true">IF(OR(E2003="",E2003="!!!",F2003="NEW"),"",COUNTBLANK(OFFSET(A$1,,,SUMPRODUCT(MAX(ROW(E$2:E2003)*(E2003=E$2:E2003)))))-COUNTBLANK(OFFSET(A$1,,,SUMPRODUCT(MAX(ROW(E$1:E2002)*(E2=E$1:E2002))))))</f>
        <v/>
      </c>
      <c r="K2003" s="24" t="str">
        <f aca="false">IF(OR(E2003="",E2003="!!!",F2003="NEW"),"",INDEX(J$1:J2002,SUMPRODUCT(MAX(ROW(E$1:E2002)*(E2003=E$1:E2002)))))</f>
        <v/>
      </c>
      <c r="L2003" s="31"/>
    </row>
    <row r="2004" customFormat="false" ht="15" hidden="false" customHeight="false" outlineLevel="0" collapsed="false">
      <c r="A2004" s="20" t="s">
        <v>1186</v>
      </c>
      <c r="B2004" s="22" t="s">
        <v>1091</v>
      </c>
      <c r="C2004" s="22" t="s">
        <v>1082</v>
      </c>
      <c r="D2004" s="22" t="s">
        <v>1060</v>
      </c>
      <c r="E2004" s="23" t="str">
        <f aca="false">IF(D2004="?OLD","!!!","")</f>
        <v>!!!</v>
      </c>
      <c r="F2004" s="25" t="str">
        <f aca="false">IF(OR(E2004="",E2004="!!!"),"",IF(NOT(ISNA(VLOOKUP(E2004,E$1:E2003,1,FALSE()))),"OLD",IF(AND(E2004&lt;&gt;"",E2004&lt;&gt;"!!!"),"NEW","")))</f>
        <v/>
      </c>
      <c r="G2004" s="26" t="str">
        <f aca="false">IF(OR(E2004="",E2004="!!!"),"",IF(OR(J2004=0,AND(J2004=1,K2004=1),AND(J2004=1,I2004="SBJ"),AND(J2004=1,I2004=0)),"?IN_FOCUS",IF(J2004&lt;=2,"?ACTIVATED",IF(J2004&lt;&gt;"","?FAMILIAR",IF(F2004="NEW",IF(ISNA(VLOOKUP(E2004,#REF!,1,FALSE())),"?TYPE_IDENTIFIABLE","?REFERENTIAL"),"_")))))</f>
        <v/>
      </c>
      <c r="H2004" s="27" t="str">
        <f aca="false">IF(J2004&lt;&gt;1,"",IF(I2004="SBJ","CB","?"))</f>
        <v/>
      </c>
      <c r="I2004" s="24" t="str">
        <f aca="false">IF(OR(E2004="",E2004="!!!",F2004="NEW"),"",INDEX(B10:B$1995,-1+SUMPRODUCT(MAX(ROW(E10:E$1995)*(E2004=E10:E$1995)))))</f>
        <v/>
      </c>
      <c r="J2004" s="24" t="str">
        <f aca="true">IF(OR(E2004="",E2004="!!!",F2004="NEW"),"",COUNTBLANK(OFFSET(A$1,,,SUMPRODUCT(MAX(ROW(E$2:E2004)*(E2004=E$2:E2004)))))-COUNTBLANK(OFFSET(A$1,,,SUMPRODUCT(MAX(ROW(E$1:E2003)*(E2=E$1:E2003))))))</f>
        <v/>
      </c>
      <c r="K2004" s="24" t="str">
        <f aca="false">IF(OR(E2004="",E2004="!!!",F2004="NEW"),"",INDEX(J$1:J2003,SUMPRODUCT(MAX(ROW(E$1:E2003)*(E2004=E$1:E2003)))))</f>
        <v/>
      </c>
      <c r="L2004" s="31"/>
    </row>
    <row r="2005" customFormat="false" ht="15" hidden="false" customHeight="false" outlineLevel="0" collapsed="false">
      <c r="A2005" s="20" t="s">
        <v>502</v>
      </c>
      <c r="E2005" s="23" t="str">
        <f aca="false">IF(D2005="?OLD","!!!","")</f>
        <v/>
      </c>
      <c r="F2005" s="25" t="str">
        <f aca="false">IF(OR(E2005="",E2005="!!!"),"",IF(NOT(ISNA(VLOOKUP(E2005,E$1:E2004,1,FALSE()))),"OLD",IF(AND(E2005&lt;&gt;"",E2005&lt;&gt;"!!!"),"NEW","")))</f>
        <v/>
      </c>
      <c r="G2005" s="26" t="str">
        <f aca="false">IF(OR(E2005="",E2005="!!!"),"",IF(OR(J2005=0,AND(J2005=1,K2005=1),AND(J2005=1,I2005="SBJ"),AND(J2005=1,I2005=0)),"?IN_FOCUS",IF(J2005&lt;=2,"?ACTIVATED",IF(J2005&lt;&gt;"","?FAMILIAR",IF(F2005="NEW",IF(ISNA(VLOOKUP(E2005,#REF!,1,FALSE())),"?TYPE_IDENTIFIABLE","?REFERENTIAL"),"_")))))</f>
        <v/>
      </c>
      <c r="H2005" s="27" t="str">
        <f aca="false">IF(J2005&lt;&gt;1,"",IF(I2005="SBJ","CB","?"))</f>
        <v/>
      </c>
      <c r="I2005" s="24" t="str">
        <f aca="false">IF(OR(E2005="",E2005="!!!",F2005="NEW"),"",INDEX(B11:B$1995,-1+SUMPRODUCT(MAX(ROW(E11:E$1995)*(E2005=E11:E$1995)))))</f>
        <v/>
      </c>
      <c r="J2005" s="24" t="str">
        <f aca="true">IF(OR(E2005="",E2005="!!!",F2005="NEW"),"",COUNTBLANK(OFFSET(A$1,,,SUMPRODUCT(MAX(ROW(E$2:E2005)*(E2005=E$2:E2005)))))-COUNTBLANK(OFFSET(A$1,,,SUMPRODUCT(MAX(ROW(E$1:E2004)*(E2=E$1:E2004))))))</f>
        <v/>
      </c>
      <c r="K2005" s="24" t="str">
        <f aca="false">IF(OR(E2005="",E2005="!!!",F2005="NEW"),"",INDEX(J$1:J2004,SUMPRODUCT(MAX(ROW(E$1:E2004)*(E2005=E$1:E2004)))))</f>
        <v/>
      </c>
      <c r="L2005" s="31"/>
    </row>
    <row r="2006" customFormat="false" ht="15" hidden="false" customHeight="false" outlineLevel="0" collapsed="false">
      <c r="A2006" s="20" t="s">
        <v>1076</v>
      </c>
      <c r="E2006" s="23" t="str">
        <f aca="false">IF(D2006="?OLD","!!!","")</f>
        <v/>
      </c>
      <c r="F2006" s="25" t="str">
        <f aca="false">IF(OR(E2006="",E2006="!!!"),"",IF(NOT(ISNA(VLOOKUP(E2006,E$1:E2005,1,FALSE()))),"OLD",IF(AND(E2006&lt;&gt;"",E2006&lt;&gt;"!!!"),"NEW","")))</f>
        <v/>
      </c>
      <c r="G2006" s="26" t="str">
        <f aca="false">IF(OR(E2006="",E2006="!!!"),"",IF(OR(J2006=0,AND(J2006=1,K2006=1),AND(J2006=1,I2006="SBJ"),AND(J2006=1,I2006=0)),"?IN_FOCUS",IF(J2006&lt;=2,"?ACTIVATED",IF(J2006&lt;&gt;"","?FAMILIAR",IF(F2006="NEW",IF(ISNA(VLOOKUP(E2006,#REF!,1,FALSE())),"?TYPE_IDENTIFIABLE","?REFERENTIAL"),"_")))))</f>
        <v/>
      </c>
      <c r="H2006" s="27" t="str">
        <f aca="false">IF(J2006&lt;&gt;1,"",IF(I2006="SBJ","CB","?"))</f>
        <v/>
      </c>
      <c r="I2006" s="24" t="str">
        <f aca="false">IF(OR(E2006="",E2006="!!!",F2006="NEW"),"",INDEX(B12:B$1995,-1+SUMPRODUCT(MAX(ROW(E12:E$1995)*(E2006=E12:E$1995)))))</f>
        <v/>
      </c>
      <c r="J2006" s="24" t="str">
        <f aca="true">IF(OR(E2006="",E2006="!!!",F2006="NEW"),"",COUNTBLANK(OFFSET(A$1,,,SUMPRODUCT(MAX(ROW(E$2:E2006)*(E2006=E$2:E2006)))))-COUNTBLANK(OFFSET(A$1,,,SUMPRODUCT(MAX(ROW(E$1:E2005)*(E2=E$1:E2005))))))</f>
        <v/>
      </c>
      <c r="K2006" s="24" t="str">
        <f aca="false">IF(OR(E2006="",E2006="!!!",F2006="NEW"),"",INDEX(J$1:J2005,SUMPRODUCT(MAX(ROW(E$1:E2005)*(E2006=E$1:E2005)))))</f>
        <v/>
      </c>
      <c r="L2006" s="31"/>
    </row>
    <row r="2007" customFormat="false" ht="15" hidden="false" customHeight="false" outlineLevel="0" collapsed="false">
      <c r="A2007" s="20" t="s">
        <v>1128</v>
      </c>
      <c r="E2007" s="23" t="str">
        <f aca="false">IF(D2007="?OLD","!!!","")</f>
        <v/>
      </c>
      <c r="F2007" s="25" t="str">
        <f aca="false">IF(OR(E2007="",E2007="!!!"),"",IF(NOT(ISNA(VLOOKUP(E2007,E$1:E2006,1,FALSE()))),"OLD",IF(AND(E2007&lt;&gt;"",E2007&lt;&gt;"!!!"),"NEW","")))</f>
        <v/>
      </c>
      <c r="G2007" s="26" t="str">
        <f aca="false">IF(OR(E2007="",E2007="!!!"),"",IF(OR(J2007=0,AND(J2007=1,K2007=1),AND(J2007=1,I2007="SBJ"),AND(J2007=1,I2007=0)),"?IN_FOCUS",IF(J2007&lt;=2,"?ACTIVATED",IF(J2007&lt;&gt;"","?FAMILIAR",IF(F2007="NEW",IF(ISNA(VLOOKUP(E2007,#REF!,1,FALSE())),"?TYPE_IDENTIFIABLE","?REFERENTIAL"),"_")))))</f>
        <v/>
      </c>
      <c r="H2007" s="27" t="str">
        <f aca="false">IF(J2007&lt;&gt;1,"",IF(I2007="SBJ","CB","?"))</f>
        <v/>
      </c>
      <c r="I2007" s="24" t="str">
        <f aca="false">IF(OR(E2007="",E2007="!!!",F2007="NEW"),"",INDEX(B13:B$1995,-1+SUMPRODUCT(MAX(ROW(E13:E$1995)*(E2007=E13:E$1995)))))</f>
        <v/>
      </c>
      <c r="J2007" s="24" t="str">
        <f aca="true">IF(OR(E2007="",E2007="!!!",F2007="NEW"),"",COUNTBLANK(OFFSET(A$1,,,SUMPRODUCT(MAX(ROW(E$2:E2007)*(E2007=E$2:E2007)))))-COUNTBLANK(OFFSET(A$1,,,SUMPRODUCT(MAX(ROW(E$1:E2006)*(E2=E$1:E2006))))))</f>
        <v/>
      </c>
      <c r="K2007" s="24" t="str">
        <f aca="false">IF(OR(E2007="",E2007="!!!",F2007="NEW"),"",INDEX(J$1:J2006,SUMPRODUCT(MAX(ROW(E$1:E2006)*(E2007=E$1:E2006)))))</f>
        <v/>
      </c>
      <c r="L2007" s="31"/>
    </row>
    <row r="2008" customFormat="false" ht="15" hidden="false" customHeight="false" outlineLevel="0" collapsed="false">
      <c r="A2008" s="20" t="s">
        <v>1186</v>
      </c>
      <c r="B2008" s="22" t="s">
        <v>1086</v>
      </c>
      <c r="C2008" s="22" t="s">
        <v>1082</v>
      </c>
      <c r="D2008" s="22" t="s">
        <v>1060</v>
      </c>
      <c r="E2008" s="23" t="str">
        <f aca="false">IF(D2008="?OLD","!!!","")</f>
        <v>!!!</v>
      </c>
      <c r="F2008" s="25" t="str">
        <f aca="false">IF(OR(E2008="",E2008="!!!"),"",IF(NOT(ISNA(VLOOKUP(E2008,E$1:E2007,1,FALSE()))),"OLD",IF(AND(E2008&lt;&gt;"",E2008&lt;&gt;"!!!"),"NEW","")))</f>
        <v/>
      </c>
      <c r="G2008" s="26" t="str">
        <f aca="false">IF(OR(E2008="",E2008="!!!"),"",IF(OR(J2008=0,AND(J2008=1,K2008=1),AND(J2008=1,I2008="SBJ"),AND(J2008=1,I2008=0)),"?IN_FOCUS",IF(J2008&lt;=2,"?ACTIVATED",IF(J2008&lt;&gt;"","?FAMILIAR",IF(F2008="NEW",IF(ISNA(VLOOKUP(E2008,#REF!,1,FALSE())),"?TYPE_IDENTIFIABLE","?REFERENTIAL"),"_")))))</f>
        <v/>
      </c>
      <c r="H2008" s="27" t="str">
        <f aca="false">IF(J2008&lt;&gt;1,"",IF(I2008="SBJ","CB","?"))</f>
        <v/>
      </c>
      <c r="I2008" s="24" t="str">
        <f aca="false">IF(OR(E2008="",E2008="!!!",F2008="NEW"),"",INDEX(B14:B$1995,-1+SUMPRODUCT(MAX(ROW(E14:E$1995)*(E2008=E14:E$1995)))))</f>
        <v/>
      </c>
      <c r="J2008" s="24" t="str">
        <f aca="true">IF(OR(E2008="",E2008="!!!",F2008="NEW"),"",COUNTBLANK(OFFSET(A$1,,,SUMPRODUCT(MAX(ROW(E$2:E2008)*(E2008=E$2:E2008)))))-COUNTBLANK(OFFSET(A$1,,,SUMPRODUCT(MAX(ROW(E$1:E2007)*(E2=E$1:E2007))))))</f>
        <v/>
      </c>
      <c r="K2008" s="24" t="str">
        <f aca="false">IF(OR(E2008="",E2008="!!!",F2008="NEW"),"",INDEX(J$1:J2007,SUMPRODUCT(MAX(ROW(E$1:E2007)*(E2008=E$1:E2007)))))</f>
        <v/>
      </c>
      <c r="L2008" s="31"/>
    </row>
    <row r="2009" customFormat="false" ht="15" hidden="false" customHeight="false" outlineLevel="0" collapsed="false">
      <c r="A2009" s="20" t="s">
        <v>1821</v>
      </c>
      <c r="E2009" s="23" t="str">
        <f aca="false">IF(D2009="?OLD","!!!","")</f>
        <v/>
      </c>
      <c r="F2009" s="25" t="str">
        <f aca="false">IF(OR(E2009="",E2009="!!!"),"",IF(NOT(ISNA(VLOOKUP(E2009,E$1:E2008,1,FALSE()))),"OLD",IF(AND(E2009&lt;&gt;"",E2009&lt;&gt;"!!!"),"NEW","")))</f>
        <v/>
      </c>
      <c r="G2009" s="26" t="str">
        <f aca="false">IF(OR(E2009="",E2009="!!!"),"",IF(OR(J2009=0,AND(J2009=1,K2009=1),AND(J2009=1,I2009="SBJ"),AND(J2009=1,I2009=0)),"?IN_FOCUS",IF(J2009&lt;=2,"?ACTIVATED",IF(J2009&lt;&gt;"","?FAMILIAR",IF(F2009="NEW",IF(ISNA(VLOOKUP(E2009,#REF!,1,FALSE())),"?TYPE_IDENTIFIABLE","?REFERENTIAL"),"_")))))</f>
        <v/>
      </c>
      <c r="H2009" s="27" t="str">
        <f aca="false">IF(J2009&lt;&gt;1,"",IF(I2009="SBJ","CB","?"))</f>
        <v/>
      </c>
      <c r="I2009" s="24" t="str">
        <f aca="false">IF(OR(E2009="",E2009="!!!",F2009="NEW"),"",INDEX(B15:B$1995,-1+SUMPRODUCT(MAX(ROW(E15:E$1995)*(E2009=E15:E$1995)))))</f>
        <v/>
      </c>
      <c r="J2009" s="24" t="str">
        <f aca="true">IF(OR(E2009="",E2009="!!!",F2009="NEW"),"",COUNTBLANK(OFFSET(A$1,,,SUMPRODUCT(MAX(ROW(E$2:E2009)*(E2009=E$2:E2009)))))-COUNTBLANK(OFFSET(A$1,,,SUMPRODUCT(MAX(ROW(E$1:E2008)*(E2=E$1:E2008))))))</f>
        <v/>
      </c>
      <c r="K2009" s="24" t="str">
        <f aca="false">IF(OR(E2009="",E2009="!!!",F2009="NEW"),"",INDEX(J$1:J2008,SUMPRODUCT(MAX(ROW(E$1:E2008)*(E2009=E$1:E2008)))))</f>
        <v/>
      </c>
      <c r="L2009" s="31"/>
    </row>
    <row r="2010" customFormat="false" ht="15" hidden="false" customHeight="false" outlineLevel="0" collapsed="false">
      <c r="A2010" s="20" t="s">
        <v>1184</v>
      </c>
      <c r="E2010" s="23" t="str">
        <f aca="false">IF(D2010="?OLD","!!!","")</f>
        <v/>
      </c>
      <c r="F2010" s="25" t="str">
        <f aca="false">IF(OR(E2010="",E2010="!!!"),"",IF(NOT(ISNA(VLOOKUP(E2010,E$1:E2009,1,FALSE()))),"OLD",IF(AND(E2010&lt;&gt;"",E2010&lt;&gt;"!!!"),"NEW","")))</f>
        <v/>
      </c>
      <c r="G2010" s="26" t="str">
        <f aca="false">IF(OR(E2010="",E2010="!!!"),"",IF(OR(J2010=0,AND(J2010=1,K2010=1),AND(J2010=1,I2010="SBJ"),AND(J2010=1,I2010=0)),"?IN_FOCUS",IF(J2010&lt;=2,"?ACTIVATED",IF(J2010&lt;&gt;"","?FAMILIAR",IF(F2010="NEW",IF(ISNA(VLOOKUP(E2010,#REF!,1,FALSE())),"?TYPE_IDENTIFIABLE","?REFERENTIAL"),"_")))))</f>
        <v/>
      </c>
      <c r="H2010" s="27" t="str">
        <f aca="false">IF(J2010&lt;&gt;1,"",IF(I2010="SBJ","CB","?"))</f>
        <v/>
      </c>
      <c r="I2010" s="24" t="str">
        <f aca="false">IF(OR(E2010="",E2010="!!!",F2010="NEW"),"",INDEX(B16:B$1995,-1+SUMPRODUCT(MAX(ROW(E16:E$1995)*(E2010=E16:E$1995)))))</f>
        <v/>
      </c>
      <c r="J2010" s="24" t="str">
        <f aca="true">IF(OR(E2010="",E2010="!!!",F2010="NEW"),"",COUNTBLANK(OFFSET(A$1,,,SUMPRODUCT(MAX(ROW(E$2:E2010)*(E2010=E$2:E2010)))))-COUNTBLANK(OFFSET(A$1,,,SUMPRODUCT(MAX(ROW(E$1:E2009)*(E2=E$1:E2009))))))</f>
        <v/>
      </c>
      <c r="K2010" s="24" t="str">
        <f aca="false">IF(OR(E2010="",E2010="!!!",F2010="NEW"),"",INDEX(J$1:J2009,SUMPRODUCT(MAX(ROW(E$1:E2009)*(E2010=E$1:E2009)))))</f>
        <v/>
      </c>
      <c r="L2010" s="31"/>
    </row>
    <row r="2011" customFormat="false" ht="15" hidden="false" customHeight="false" outlineLevel="0" collapsed="false">
      <c r="A2011" s="20" t="s">
        <v>1080</v>
      </c>
      <c r="B2011" s="22" t="s">
        <v>1073</v>
      </c>
      <c r="C2011" s="22" t="s">
        <v>1082</v>
      </c>
      <c r="D2011" s="22" t="s">
        <v>1060</v>
      </c>
      <c r="E2011" s="23" t="str">
        <f aca="false">IF(D2011="?OLD","!!!","")</f>
        <v>!!!</v>
      </c>
      <c r="F2011" s="25" t="str">
        <f aca="false">IF(OR(E2011="",E2011="!!!"),"",IF(NOT(ISNA(VLOOKUP(E2011,E$1:E2010,1,FALSE()))),"OLD",IF(AND(E2011&lt;&gt;"",E2011&lt;&gt;"!!!"),"NEW","")))</f>
        <v/>
      </c>
      <c r="G2011" s="26" t="str">
        <f aca="false">IF(OR(E2011="",E2011="!!!"),"",IF(OR(J2011=0,AND(J2011=1,K2011=1),AND(J2011=1,I2011="SBJ"),AND(J2011=1,I2011=0)),"?IN_FOCUS",IF(J2011&lt;=2,"?ACTIVATED",IF(J2011&lt;&gt;"","?FAMILIAR",IF(F2011="NEW",IF(ISNA(VLOOKUP(E2011,#REF!,1,FALSE())),"?TYPE_IDENTIFIABLE","?REFERENTIAL"),"_")))))</f>
        <v/>
      </c>
      <c r="H2011" s="27" t="str">
        <f aca="false">IF(J2011&lt;&gt;1,"",IF(I2011="SBJ","CB","?"))</f>
        <v/>
      </c>
      <c r="I2011" s="24" t="str">
        <f aca="false">IF(OR(E2011="",E2011="!!!",F2011="NEW"),"",INDEX(B17:B$1995,-1+SUMPRODUCT(MAX(ROW(E17:E$1995)*(E2011=E17:E$1995)))))</f>
        <v/>
      </c>
      <c r="J2011" s="24" t="str">
        <f aca="true">IF(OR(E2011="",E2011="!!!",F2011="NEW"),"",COUNTBLANK(OFFSET(A$1,,,SUMPRODUCT(MAX(ROW(E$2:E2011)*(E2011=E$2:E2011)))))-COUNTBLANK(OFFSET(A$1,,,SUMPRODUCT(MAX(ROW(E$1:E2010)*(E2=E$1:E2010))))))</f>
        <v/>
      </c>
      <c r="K2011" s="24" t="str">
        <f aca="false">IF(OR(E2011="",E2011="!!!",F2011="NEW"),"",INDEX(J$1:J2010,SUMPRODUCT(MAX(ROW(E$1:E2010)*(E2011=E$1:E2010)))))</f>
        <v/>
      </c>
      <c r="L2011" s="31"/>
    </row>
    <row r="2012" customFormat="false" ht="15" hidden="false" customHeight="false" outlineLevel="0" collapsed="false">
      <c r="A2012" s="20" t="s">
        <v>1076</v>
      </c>
      <c r="E2012" s="23" t="str">
        <f aca="false">IF(D2012="?OLD","!!!","")</f>
        <v/>
      </c>
      <c r="F2012" s="25" t="str">
        <f aca="false">IF(OR(E2012="",E2012="!!!"),"",IF(NOT(ISNA(VLOOKUP(E2012,E$1:E2011,1,FALSE()))),"OLD",IF(AND(E2012&lt;&gt;"",E2012&lt;&gt;"!!!"),"NEW","")))</f>
        <v/>
      </c>
      <c r="G2012" s="26" t="str">
        <f aca="false">IF(OR(E2012="",E2012="!!!"),"",IF(OR(J2012=0,AND(J2012=1,K2012=1),AND(J2012=1,I2012="SBJ"),AND(J2012=1,I2012=0)),"?IN_FOCUS",IF(J2012&lt;=2,"?ACTIVATED",IF(J2012&lt;&gt;"","?FAMILIAR",IF(F2012="NEW",IF(ISNA(VLOOKUP(E2012,#REF!,1,FALSE())),"?TYPE_IDENTIFIABLE","?REFERENTIAL"),"_")))))</f>
        <v/>
      </c>
      <c r="H2012" s="27" t="str">
        <f aca="false">IF(J2012&lt;&gt;1,"",IF(I2012="SBJ","CB","?"))</f>
        <v/>
      </c>
      <c r="I2012" s="24" t="str">
        <f aca="false">IF(OR(E2012="",E2012="!!!",F2012="NEW"),"",INDEX(B18:B$1995,-1+SUMPRODUCT(MAX(ROW(E18:E$1995)*(E2012=E18:E$1995)))))</f>
        <v/>
      </c>
      <c r="J2012" s="24" t="str">
        <f aca="true">IF(OR(E2012="",E2012="!!!",F2012="NEW"),"",COUNTBLANK(OFFSET(A$1,,,SUMPRODUCT(MAX(ROW(E$2:E2012)*(E2012=E$2:E2012)))))-COUNTBLANK(OFFSET(A$1,,,SUMPRODUCT(MAX(ROW(E$1:E2011)*(E2=E$1:E2011))))))</f>
        <v/>
      </c>
      <c r="K2012" s="24" t="str">
        <f aca="false">IF(OR(E2012="",E2012="!!!",F2012="NEW"),"",INDEX(J$1:J2011,SUMPRODUCT(MAX(ROW(E$1:E2011)*(E2012=E$1:E2011)))))</f>
        <v/>
      </c>
      <c r="L2012" s="31"/>
    </row>
    <row r="2013" customFormat="false" ht="15" hidden="false" customHeight="false" outlineLevel="0" collapsed="false">
      <c r="A2013" s="20" t="s">
        <v>1760</v>
      </c>
      <c r="E2013" s="23" t="str">
        <f aca="false">IF(D2013="?OLD","!!!","")</f>
        <v/>
      </c>
      <c r="F2013" s="25" t="str">
        <f aca="false">IF(OR(E2013="",E2013="!!!"),"",IF(NOT(ISNA(VLOOKUP(E2013,E$1:E2012,1,FALSE()))),"OLD",IF(AND(E2013&lt;&gt;"",E2013&lt;&gt;"!!!"),"NEW","")))</f>
        <v/>
      </c>
      <c r="G2013" s="26" t="str">
        <f aca="false">IF(OR(E2013="",E2013="!!!"),"",IF(OR(J2013=0,AND(J2013=1,K2013=1),AND(J2013=1,I2013="SBJ"),AND(J2013=1,I2013=0)),"?IN_FOCUS",IF(J2013&lt;=2,"?ACTIVATED",IF(J2013&lt;&gt;"","?FAMILIAR",IF(F2013="NEW",IF(ISNA(VLOOKUP(E2013,#REF!,1,FALSE())),"?TYPE_IDENTIFIABLE","?REFERENTIAL"),"_")))))</f>
        <v/>
      </c>
      <c r="H2013" s="27" t="str">
        <f aca="false">IF(J2013&lt;&gt;1,"",IF(I2013="SBJ","CB","?"))</f>
        <v/>
      </c>
      <c r="I2013" s="24" t="str">
        <f aca="false">IF(OR(E2013="",E2013="!!!",F2013="NEW"),"",INDEX(B19:B$1995,-1+SUMPRODUCT(MAX(ROW(E19:E$1995)*(E2013=E19:E$1995)))))</f>
        <v/>
      </c>
      <c r="J2013" s="24" t="str">
        <f aca="true">IF(OR(E2013="",E2013="!!!",F2013="NEW"),"",COUNTBLANK(OFFSET(A$1,,,SUMPRODUCT(MAX(ROW(E$2:E2013)*(E2013=E$2:E2013)))))-COUNTBLANK(OFFSET(A$1,,,SUMPRODUCT(MAX(ROW(E$1:E2012)*(E2=E$1:E2012))))))</f>
        <v/>
      </c>
      <c r="K2013" s="24" t="str">
        <f aca="false">IF(OR(E2013="",E2013="!!!",F2013="NEW"),"",INDEX(J$1:J2012,SUMPRODUCT(MAX(ROW(E$1:E2012)*(E2013=E$1:E2012)))))</f>
        <v/>
      </c>
      <c r="L2013" s="31"/>
    </row>
    <row r="2014" customFormat="false" ht="15" hidden="false" customHeight="false" outlineLevel="0" collapsed="false">
      <c r="A2014" s="20" t="s">
        <v>1822</v>
      </c>
      <c r="E2014" s="23" t="str">
        <f aca="false">IF(D2014="?OLD","!!!","")</f>
        <v/>
      </c>
      <c r="F2014" s="25" t="str">
        <f aca="false">IF(OR(E2014="",E2014="!!!"),"",IF(NOT(ISNA(VLOOKUP(E2014,E$1:E2013,1,FALSE()))),"OLD",IF(AND(E2014&lt;&gt;"",E2014&lt;&gt;"!!!"),"NEW","")))</f>
        <v/>
      </c>
      <c r="G2014" s="26" t="str">
        <f aca="false">IF(OR(E2014="",E2014="!!!"),"",IF(OR(J2014=0,AND(J2014=1,K2014=1),AND(J2014=1,I2014="SBJ"),AND(J2014=1,I2014=0)),"?IN_FOCUS",IF(J2014&lt;=2,"?ACTIVATED",IF(J2014&lt;&gt;"","?FAMILIAR",IF(F2014="NEW",IF(ISNA(VLOOKUP(E2014,#REF!,1,FALSE())),"?TYPE_IDENTIFIABLE","?REFERENTIAL"),"_")))))</f>
        <v/>
      </c>
      <c r="H2014" s="27" t="str">
        <f aca="false">IF(J2014&lt;&gt;1,"",IF(I2014="SBJ","CB","?"))</f>
        <v/>
      </c>
      <c r="I2014" s="24" t="str">
        <f aca="false">IF(OR(E2014="",E2014="!!!",F2014="NEW"),"",INDEX(B20:B$1995,-1+SUMPRODUCT(MAX(ROW(E20:E$1995)*(E2014=E20:E$1995)))))</f>
        <v/>
      </c>
      <c r="J2014" s="24" t="str">
        <f aca="true">IF(OR(E2014="",E2014="!!!",F2014="NEW"),"",COUNTBLANK(OFFSET(A$1,,,SUMPRODUCT(MAX(ROW(E$2:E2014)*(E2014=E$2:E2014)))))-COUNTBLANK(OFFSET(A$1,,,SUMPRODUCT(MAX(ROW(E$1:E2013)*(E2=E$1:E2013))))))</f>
        <v/>
      </c>
      <c r="K2014" s="24" t="str">
        <f aca="false">IF(OR(E2014="",E2014="!!!",F2014="NEW"),"",INDEX(J$1:J2013,SUMPRODUCT(MAX(ROW(E$1:E2013)*(E2014=E$1:E2013)))))</f>
        <v/>
      </c>
      <c r="L2014" s="31"/>
    </row>
    <row r="2015" customFormat="false" ht="15" hidden="false" customHeight="false" outlineLevel="0" collapsed="false">
      <c r="A2015" s="20" t="s">
        <v>1076</v>
      </c>
      <c r="E2015" s="23" t="str">
        <f aca="false">IF(D2015="?OLD","!!!","")</f>
        <v/>
      </c>
      <c r="F2015" s="25" t="str">
        <f aca="false">IF(OR(E2015="",E2015="!!!"),"",IF(NOT(ISNA(VLOOKUP(E2015,E$1:E2014,1,FALSE()))),"OLD",IF(AND(E2015&lt;&gt;"",E2015&lt;&gt;"!!!"),"NEW","")))</f>
        <v/>
      </c>
      <c r="G2015" s="26" t="str">
        <f aca="false">IF(OR(E2015="",E2015="!!!"),"",IF(OR(J2015=0,AND(J2015=1,K2015=1),AND(J2015=1,I2015="SBJ"),AND(J2015=1,I2015=0)),"?IN_FOCUS",IF(J2015&lt;=2,"?ACTIVATED",IF(J2015&lt;&gt;"","?FAMILIAR",IF(F2015="NEW",IF(ISNA(VLOOKUP(E2015,#REF!,1,FALSE())),"?TYPE_IDENTIFIABLE","?REFERENTIAL"),"_")))))</f>
        <v/>
      </c>
      <c r="H2015" s="27" t="str">
        <f aca="false">IF(J2015&lt;&gt;1,"",IF(I2015="SBJ","CB","?"))</f>
        <v/>
      </c>
      <c r="I2015" s="24" t="str">
        <f aca="false">IF(OR(E2015="",E2015="!!!",F2015="NEW"),"",INDEX(B21:B$1995,-1+SUMPRODUCT(MAX(ROW(E21:E$1995)*(E2015=E21:E$1995)))))</f>
        <v/>
      </c>
      <c r="J2015" s="24" t="str">
        <f aca="true">IF(OR(E2015="",E2015="!!!",F2015="NEW"),"",COUNTBLANK(OFFSET(A$1,,,SUMPRODUCT(MAX(ROW(E$2:E2015)*(E2015=E$2:E2015)))))-COUNTBLANK(OFFSET(A$1,,,SUMPRODUCT(MAX(ROW(E$1:E2014)*(E2=E$1:E2014))))))</f>
        <v/>
      </c>
      <c r="K2015" s="24" t="str">
        <f aca="false">IF(OR(E2015="",E2015="!!!",F2015="NEW"),"",INDEX(J$1:J2014,SUMPRODUCT(MAX(ROW(E$1:E2014)*(E2015=E$1:E2014)))))</f>
        <v/>
      </c>
      <c r="L2015" s="31"/>
    </row>
    <row r="2016" customFormat="false" ht="15" hidden="false" customHeight="false" outlineLevel="0" collapsed="false">
      <c r="A2016" s="20" t="s">
        <v>1653</v>
      </c>
      <c r="E2016" s="23" t="str">
        <f aca="false">IF(D2016="?OLD","!!!","")</f>
        <v/>
      </c>
      <c r="F2016" s="25" t="str">
        <f aca="false">IF(OR(E2016="",E2016="!!!"),"",IF(NOT(ISNA(VLOOKUP(E2016,E$1:E2015,1,FALSE()))),"OLD",IF(AND(E2016&lt;&gt;"",E2016&lt;&gt;"!!!"),"NEW","")))</f>
        <v/>
      </c>
      <c r="G2016" s="26" t="str">
        <f aca="false">IF(OR(E2016="",E2016="!!!"),"",IF(OR(J2016=0,AND(J2016=1,K2016=1),AND(J2016=1,I2016="SBJ"),AND(J2016=1,I2016=0)),"?IN_FOCUS",IF(J2016&lt;=2,"?ACTIVATED",IF(J2016&lt;&gt;"","?FAMILIAR",IF(F2016="NEW",IF(ISNA(VLOOKUP(E2016,#REF!,1,FALSE())),"?TYPE_IDENTIFIABLE","?REFERENTIAL"),"_")))))</f>
        <v/>
      </c>
      <c r="H2016" s="27" t="str">
        <f aca="false">IF(J2016&lt;&gt;1,"",IF(I2016="SBJ","CB","?"))</f>
        <v/>
      </c>
      <c r="I2016" s="24" t="str">
        <f aca="false">IF(OR(E2016="",E2016="!!!",F2016="NEW"),"",INDEX(B22:B$1995,-1+SUMPRODUCT(MAX(ROW(E22:E$1995)*(E2016=E22:E$1995)))))</f>
        <v/>
      </c>
      <c r="J2016" s="24" t="str">
        <f aca="true">IF(OR(E2016="",E2016="!!!",F2016="NEW"),"",COUNTBLANK(OFFSET(A$1,,,SUMPRODUCT(MAX(ROW(E$2:E2016)*(E2016=E$2:E2016)))))-COUNTBLANK(OFFSET(A$1,,,SUMPRODUCT(MAX(ROW(E$1:E2015)*(E2=E$1:E2015))))))</f>
        <v/>
      </c>
      <c r="K2016" s="24" t="str">
        <f aca="false">IF(OR(E2016="",E2016="!!!",F2016="NEW"),"",INDEX(J$1:J2015,SUMPRODUCT(MAX(ROW(E$1:E2015)*(E2016=E$1:E2015)))))</f>
        <v/>
      </c>
      <c r="L2016" s="31"/>
    </row>
    <row r="2017" customFormat="false" ht="15" hidden="false" customHeight="false" outlineLevel="0" collapsed="false">
      <c r="A2017" s="20" t="s">
        <v>1201</v>
      </c>
      <c r="B2017" s="22" t="s">
        <v>1107</v>
      </c>
      <c r="C2017" s="22" t="s">
        <v>1202</v>
      </c>
      <c r="E2017" s="23" t="str">
        <f aca="false">IF(D2017="?OLD","!!!","")</f>
        <v/>
      </c>
      <c r="F2017" s="25" t="str">
        <f aca="false">IF(OR(E2017="",E2017="!!!"),"",IF(NOT(ISNA(VLOOKUP(E2017,E$1:E2016,1,FALSE()))),"OLD",IF(AND(E2017&lt;&gt;"",E2017&lt;&gt;"!!!"),"NEW","")))</f>
        <v/>
      </c>
      <c r="G2017" s="26" t="str">
        <f aca="false">IF(OR(E2017="",E2017="!!!"),"",IF(OR(J2017=0,AND(J2017=1,K2017=1),AND(J2017=1,I2017="SBJ"),AND(J2017=1,I2017=0)),"?IN_FOCUS",IF(J2017&lt;=2,"?ACTIVATED",IF(J2017&lt;&gt;"","?FAMILIAR",IF(F2017="NEW",IF(ISNA(VLOOKUP(E2017,#REF!,1,FALSE())),"?TYPE_IDENTIFIABLE","?REFERENTIAL"),"_")))))</f>
        <v/>
      </c>
      <c r="H2017" s="27" t="str">
        <f aca="false">IF(J2017&lt;&gt;1,"",IF(I2017="SBJ","CB","?"))</f>
        <v/>
      </c>
      <c r="I2017" s="24" t="str">
        <f aca="false">IF(OR(E2017="",E2017="!!!",F2017="NEW"),"",INDEX(B23:B$1995,-1+SUMPRODUCT(MAX(ROW(E23:E$1995)*(E2017=E23:E$1995)))))</f>
        <v/>
      </c>
      <c r="J2017" s="24" t="str">
        <f aca="true">IF(OR(E2017="",E2017="!!!",F2017="NEW"),"",COUNTBLANK(OFFSET(A$1,,,SUMPRODUCT(MAX(ROW(E$2:E2017)*(E2017=E$2:E2017)))))-COUNTBLANK(OFFSET(A$1,,,SUMPRODUCT(MAX(ROW(E$1:E2016)*(E2=E$1:E2016))))))</f>
        <v/>
      </c>
      <c r="K2017" s="24" t="str">
        <f aca="false">IF(OR(E2017="",E2017="!!!",F2017="NEW"),"",INDEX(J$1:J2016,SUMPRODUCT(MAX(ROW(E$1:E2016)*(E2017=E$1:E2016)))))</f>
        <v/>
      </c>
      <c r="L2017" s="31"/>
    </row>
    <row r="2018" customFormat="false" ht="15" hidden="false" customHeight="false" outlineLevel="0" collapsed="false">
      <c r="A2018" s="20" t="s">
        <v>1823</v>
      </c>
      <c r="B2018" s="22" t="s">
        <v>1091</v>
      </c>
      <c r="C2018" s="22" t="s">
        <v>1227</v>
      </c>
      <c r="E2018" s="23" t="str">
        <f aca="false">IF(D2018="?OLD","!!!","")</f>
        <v/>
      </c>
      <c r="F2018" s="25" t="str">
        <f aca="false">IF(OR(E2018="",E2018="!!!"),"",IF(NOT(ISNA(VLOOKUP(E2018,E$1:E2017,1,FALSE()))),"OLD",IF(AND(E2018&lt;&gt;"",E2018&lt;&gt;"!!!"),"NEW","")))</f>
        <v/>
      </c>
      <c r="G2018" s="26" t="str">
        <f aca="false">IF(OR(E2018="",E2018="!!!"),"",IF(OR(J2018=0,AND(J2018=1,K2018=1),AND(J2018=1,I2018="SBJ"),AND(J2018=1,I2018=0)),"?IN_FOCUS",IF(J2018&lt;=2,"?ACTIVATED",IF(J2018&lt;&gt;"","?FAMILIAR",IF(F2018="NEW",IF(ISNA(VLOOKUP(E2018,#REF!,1,FALSE())),"?TYPE_IDENTIFIABLE","?REFERENTIAL"),"_")))))</f>
        <v/>
      </c>
      <c r="H2018" s="27" t="str">
        <f aca="false">IF(J2018&lt;&gt;1,"",IF(I2018="SBJ","CB","?"))</f>
        <v/>
      </c>
      <c r="I2018" s="24" t="str">
        <f aca="false">IF(OR(E2018="",E2018="!!!",F2018="NEW"),"",INDEX(B24:B$1995,-1+SUMPRODUCT(MAX(ROW(E24:E$1995)*(E2018=E24:E$1995)))))</f>
        <v/>
      </c>
      <c r="J2018" s="24" t="str">
        <f aca="true">IF(OR(E2018="",E2018="!!!",F2018="NEW"),"",COUNTBLANK(OFFSET(A$1,,,SUMPRODUCT(MAX(ROW(E$2:E2018)*(E2018=E$2:E2018)))))-COUNTBLANK(OFFSET(A$1,,,SUMPRODUCT(MAX(ROW(E$1:E2017)*(E2=E$1:E2017))))))</f>
        <v/>
      </c>
      <c r="K2018" s="24" t="str">
        <f aca="false">IF(OR(E2018="",E2018="!!!",F2018="NEW"),"",INDEX(J$1:J2017,SUMPRODUCT(MAX(ROW(E$1:E2017)*(E2018=E$1:E2017)))))</f>
        <v/>
      </c>
      <c r="L2018" s="31"/>
    </row>
    <row r="2019" customFormat="false" ht="15" hidden="false" customHeight="false" outlineLevel="0" collapsed="false">
      <c r="A2019" s="20" t="s">
        <v>1092</v>
      </c>
      <c r="E2019" s="23" t="str">
        <f aca="false">IF(D2019="?OLD","!!!","")</f>
        <v/>
      </c>
      <c r="F2019" s="25" t="str">
        <f aca="false">IF(OR(E2019="",E2019="!!!"),"",IF(NOT(ISNA(VLOOKUP(E2019,E$1:E2018,1,FALSE()))),"OLD",IF(AND(E2019&lt;&gt;"",E2019&lt;&gt;"!!!"),"NEW","")))</f>
        <v/>
      </c>
      <c r="G2019" s="26" t="str">
        <f aca="false">IF(OR(E2019="",E2019="!!!"),"",IF(OR(J2019=0,AND(J2019=1,K2019=1),AND(J2019=1,I2019="SBJ"),AND(J2019=1,I2019=0)),"?IN_FOCUS",IF(J2019&lt;=2,"?ACTIVATED",IF(J2019&lt;&gt;"","?FAMILIAR",IF(F2019="NEW",IF(ISNA(VLOOKUP(E2019,#REF!,1,FALSE())),"?TYPE_IDENTIFIABLE","?REFERENTIAL"),"_")))))</f>
        <v/>
      </c>
      <c r="H2019" s="27" t="str">
        <f aca="false">IF(J2019&lt;&gt;1,"",IF(I2019="SBJ","CB","?"))</f>
        <v/>
      </c>
      <c r="I2019" s="24" t="str">
        <f aca="false">IF(OR(E2019="",E2019="!!!",F2019="NEW"),"",INDEX(B25:B$1995,-1+SUMPRODUCT(MAX(ROW(E25:E$1995)*(E2019=E25:E$1995)))))</f>
        <v/>
      </c>
      <c r="J2019" s="24" t="str">
        <f aca="true">IF(OR(E2019="",E2019="!!!",F2019="NEW"),"",COUNTBLANK(OFFSET(A$1,,,SUMPRODUCT(MAX(ROW(E$2:E2019)*(E2019=E$2:E2019)))))-COUNTBLANK(OFFSET(A$1,,,SUMPRODUCT(MAX(ROW(E$1:E2018)*(E2=E$1:E2018))))))</f>
        <v/>
      </c>
      <c r="K2019" s="24" t="str">
        <f aca="false">IF(OR(E2019="",E2019="!!!",F2019="NEW"),"",INDEX(J$1:J2018,SUMPRODUCT(MAX(ROW(E$1:E2018)*(E2019=E$1:E2018)))))</f>
        <v/>
      </c>
      <c r="L2019" s="31"/>
    </row>
    <row r="2020" customFormat="false" ht="15" hidden="false" customHeight="false" outlineLevel="0" collapsed="false">
      <c r="A2020" s="20" t="s">
        <v>1188</v>
      </c>
      <c r="E2020" s="23" t="str">
        <f aca="false">IF(D2020="?OLD","!!!","")</f>
        <v/>
      </c>
      <c r="F2020" s="25" t="str">
        <f aca="false">IF(OR(E2020="",E2020="!!!"),"",IF(NOT(ISNA(VLOOKUP(E2020,E$1:E2019,1,FALSE()))),"OLD",IF(AND(E2020&lt;&gt;"",E2020&lt;&gt;"!!!"),"NEW","")))</f>
        <v/>
      </c>
      <c r="G2020" s="26" t="str">
        <f aca="false">IF(OR(E2020="",E2020="!!!"),"",IF(OR(J2020=0,AND(J2020=1,K2020=1),AND(J2020=1,I2020="SBJ"),AND(J2020=1,I2020=0)),"?IN_FOCUS",IF(J2020&lt;=2,"?ACTIVATED",IF(J2020&lt;&gt;"","?FAMILIAR",IF(F2020="NEW",IF(ISNA(VLOOKUP(E2020,#REF!,1,FALSE())),"?TYPE_IDENTIFIABLE","?REFERENTIAL"),"_")))))</f>
        <v/>
      </c>
      <c r="H2020" s="27" t="str">
        <f aca="false">IF(J2020&lt;&gt;1,"",IF(I2020="SBJ","CB","?"))</f>
        <v/>
      </c>
      <c r="I2020" s="24" t="str">
        <f aca="false">IF(OR(E2020="",E2020="!!!",F2020="NEW"),"",INDEX(B26:B$1995,-1+SUMPRODUCT(MAX(ROW(E26:E$1995)*(E2020=E26:E$1995)))))</f>
        <v/>
      </c>
      <c r="J2020" s="24" t="str">
        <f aca="true">IF(OR(E2020="",E2020="!!!",F2020="NEW"),"",COUNTBLANK(OFFSET(A$1,,,SUMPRODUCT(MAX(ROW(E$2:E2020)*(E2020=E$2:E2020)))))-COUNTBLANK(OFFSET(A$1,,,SUMPRODUCT(MAX(ROW(E$1:E2019)*(E2=E$1:E2019))))))</f>
        <v/>
      </c>
      <c r="K2020" s="24" t="str">
        <f aca="false">IF(OR(E2020="",E2020="!!!",F2020="NEW"),"",INDEX(J$1:J2019,SUMPRODUCT(MAX(ROW(E$1:E2019)*(E2020=E$1:E2019)))))</f>
        <v/>
      </c>
      <c r="L2020" s="31"/>
    </row>
    <row r="2021" customFormat="false" ht="15" hidden="false" customHeight="false" outlineLevel="0" collapsed="false">
      <c r="A2021" s="20" t="s">
        <v>1095</v>
      </c>
      <c r="E2021" s="23" t="str">
        <f aca="false">IF(D2021="?OLD","!!!","")</f>
        <v/>
      </c>
      <c r="F2021" s="25" t="str">
        <f aca="false">IF(OR(E2021="",E2021="!!!"),"",IF(NOT(ISNA(VLOOKUP(E2021,E$1:E2020,1,FALSE()))),"OLD",IF(AND(E2021&lt;&gt;"",E2021&lt;&gt;"!!!"),"NEW","")))</f>
        <v/>
      </c>
      <c r="G2021" s="26" t="str">
        <f aca="false">IF(OR(E2021="",E2021="!!!"),"",IF(OR(J2021=0,AND(J2021=1,K2021=1),AND(J2021=1,I2021="SBJ"),AND(J2021=1,I2021=0)),"?IN_FOCUS",IF(J2021&lt;=2,"?ACTIVATED",IF(J2021&lt;&gt;"","?FAMILIAR",IF(F2021="NEW",IF(ISNA(VLOOKUP(E2021,#REF!,1,FALSE())),"?TYPE_IDENTIFIABLE","?REFERENTIAL"),"_")))))</f>
        <v/>
      </c>
      <c r="H2021" s="27" t="str">
        <f aca="false">IF(J2021&lt;&gt;1,"",IF(I2021="SBJ","CB","?"))</f>
        <v/>
      </c>
      <c r="I2021" s="24" t="str">
        <f aca="false">IF(OR(E2021="",E2021="!!!",F2021="NEW"),"",INDEX(B27:B$1995,-1+SUMPRODUCT(MAX(ROW(E27:E$1995)*(E2021=E27:E$1995)))))</f>
        <v/>
      </c>
      <c r="J2021" s="24" t="str">
        <f aca="true">IF(OR(E2021="",E2021="!!!",F2021="NEW"),"",COUNTBLANK(OFFSET(A$1,,,SUMPRODUCT(MAX(ROW(E$2:E2021)*(E2021=E$2:E2021)))))-COUNTBLANK(OFFSET(A$1,,,SUMPRODUCT(MAX(ROW(E$1:E2020)*(E2=E$1:E2020))))))</f>
        <v/>
      </c>
      <c r="K2021" s="24" t="str">
        <f aca="false">IF(OR(E2021="",E2021="!!!",F2021="NEW"),"",INDEX(J$1:J2020,SUMPRODUCT(MAX(ROW(E$1:E2020)*(E2021=E$1:E2020)))))</f>
        <v/>
      </c>
      <c r="L2021" s="31"/>
    </row>
    <row r="2022" customFormat="false" ht="15" hidden="false" customHeight="false" outlineLevel="0" collapsed="false">
      <c r="A2022" s="20" t="s">
        <v>370</v>
      </c>
      <c r="E2022" s="23" t="str">
        <f aca="false">IF(D2022="?OLD","!!!","")</f>
        <v/>
      </c>
      <c r="F2022" s="25" t="str">
        <f aca="false">IF(OR(E2022="",E2022="!!!"),"",IF(NOT(ISNA(VLOOKUP(E2022,E$1:E2021,1,FALSE()))),"OLD",IF(AND(E2022&lt;&gt;"",E2022&lt;&gt;"!!!"),"NEW","")))</f>
        <v/>
      </c>
      <c r="G2022" s="26" t="str">
        <f aca="false">IF(OR(E2022="",E2022="!!!"),"",IF(OR(J2022=0,AND(J2022=1,K2022=1),AND(J2022=1,I2022="SBJ"),AND(J2022=1,I2022=0)),"?IN_FOCUS",IF(J2022&lt;=2,"?ACTIVATED",IF(J2022&lt;&gt;"","?FAMILIAR",IF(F2022="NEW",IF(ISNA(VLOOKUP(E2022,#REF!,1,FALSE())),"?TYPE_IDENTIFIABLE","?REFERENTIAL"),"_")))))</f>
        <v/>
      </c>
      <c r="H2022" s="27" t="str">
        <f aca="false">IF(J2022&lt;&gt;1,"",IF(I2022="SBJ","CB","?"))</f>
        <v/>
      </c>
      <c r="I2022" s="24" t="str">
        <f aca="false">IF(OR(E2022="",E2022="!!!",F2022="NEW"),"",INDEX(B28:B$1995,-1+SUMPRODUCT(MAX(ROW(E28:E$1995)*(E2022=E28:E$1995)))))</f>
        <v/>
      </c>
      <c r="J2022" s="24" t="str">
        <f aca="true">IF(OR(E2022="",E2022="!!!",F2022="NEW"),"",COUNTBLANK(OFFSET(A$1,,,SUMPRODUCT(MAX(ROW(E$2:E2022)*(E2022=E$2:E2022)))))-COUNTBLANK(OFFSET(A$1,,,SUMPRODUCT(MAX(ROW(E$1:E2021)*(E2=E$1:E2021))))))</f>
        <v/>
      </c>
      <c r="K2022" s="24" t="str">
        <f aca="false">IF(OR(E2022="",E2022="!!!",F2022="NEW"),"",INDEX(J$1:J2021,SUMPRODUCT(MAX(ROW(E$1:E2021)*(E2022=E$1:E2021)))))</f>
        <v/>
      </c>
      <c r="L2022" s="31"/>
    </row>
    <row r="2023" customFormat="false" ht="15" hidden="false" customHeight="false" outlineLevel="0" collapsed="false">
      <c r="A2023" s="20" t="s">
        <v>1119</v>
      </c>
      <c r="E2023" s="23" t="str">
        <f aca="false">IF(D2023="?OLD","!!!","")</f>
        <v/>
      </c>
      <c r="F2023" s="25" t="str">
        <f aca="false">IF(OR(E2023="",E2023="!!!"),"",IF(NOT(ISNA(VLOOKUP(E2023,E$1:E2022,1,FALSE()))),"OLD",IF(AND(E2023&lt;&gt;"",E2023&lt;&gt;"!!!"),"NEW","")))</f>
        <v/>
      </c>
      <c r="G2023" s="26" t="str">
        <f aca="false">IF(OR(E2023="",E2023="!!!"),"",IF(OR(J2023=0,AND(J2023=1,K2023=1),AND(J2023=1,I2023="SBJ"),AND(J2023=1,I2023=0)),"?IN_FOCUS",IF(J2023&lt;=2,"?ACTIVATED",IF(J2023&lt;&gt;"","?FAMILIAR",IF(F2023="NEW",IF(ISNA(VLOOKUP(E2023,#REF!,1,FALSE())),"?TYPE_IDENTIFIABLE","?REFERENTIAL"),"_")))))</f>
        <v/>
      </c>
      <c r="H2023" s="27" t="str">
        <f aca="false">IF(J2023&lt;&gt;1,"",IF(I2023="SBJ","CB","?"))</f>
        <v/>
      </c>
      <c r="I2023" s="24" t="str">
        <f aca="false">IF(OR(E2023="",E2023="!!!",F2023="NEW"),"",INDEX(B29:B$1995,-1+SUMPRODUCT(MAX(ROW(E29:E$1995)*(E2023=E29:E$1995)))))</f>
        <v/>
      </c>
      <c r="J2023" s="24" t="str">
        <f aca="true">IF(OR(E2023="",E2023="!!!",F2023="NEW"),"",COUNTBLANK(OFFSET(A$1,,,SUMPRODUCT(MAX(ROW(E$2:E2023)*(E2023=E$2:E2023)))))-COUNTBLANK(OFFSET(A$1,,,SUMPRODUCT(MAX(ROW(E$1:E2022)*(E2=E$1:E2022))))))</f>
        <v/>
      </c>
      <c r="K2023" s="24" t="str">
        <f aca="false">IF(OR(E2023="",E2023="!!!",F2023="NEW"),"",INDEX(J$1:J2022,SUMPRODUCT(MAX(ROW(E$1:E2022)*(E2023=E$1:E2022)))))</f>
        <v/>
      </c>
      <c r="L2023" s="31"/>
    </row>
    <row r="2024" customFormat="false" ht="15" hidden="false" customHeight="false" outlineLevel="0" collapsed="false">
      <c r="A2024" s="20" t="s">
        <v>1109</v>
      </c>
      <c r="E2024" s="23" t="str">
        <f aca="false">IF(D2024="?OLD","!!!","")</f>
        <v/>
      </c>
      <c r="F2024" s="25" t="str">
        <f aca="false">IF(OR(E2024="",E2024="!!!"),"",IF(NOT(ISNA(VLOOKUP(E2024,E$1:E2023,1,FALSE()))),"OLD",IF(AND(E2024&lt;&gt;"",E2024&lt;&gt;"!!!"),"NEW","")))</f>
        <v/>
      </c>
      <c r="G2024" s="26" t="str">
        <f aca="false">IF(OR(E2024="",E2024="!!!"),"",IF(OR(J2024=0,AND(J2024=1,K2024=1),AND(J2024=1,I2024="SBJ"),AND(J2024=1,I2024=0)),"?IN_FOCUS",IF(J2024&lt;=2,"?ACTIVATED",IF(J2024&lt;&gt;"","?FAMILIAR",IF(F2024="NEW",IF(ISNA(VLOOKUP(E2024,#REF!,1,FALSE())),"?TYPE_IDENTIFIABLE","?REFERENTIAL"),"_")))))</f>
        <v/>
      </c>
      <c r="H2024" s="27" t="str">
        <f aca="false">IF(J2024&lt;&gt;1,"",IF(I2024="SBJ","CB","?"))</f>
        <v/>
      </c>
      <c r="I2024" s="24" t="str">
        <f aca="false">IF(OR(E2024="",E2024="!!!",F2024="NEW"),"",INDEX(B30:B$1995,-1+SUMPRODUCT(MAX(ROW(E30:E$1995)*(E2024=E30:E$1995)))))</f>
        <v/>
      </c>
      <c r="J2024" s="24" t="str">
        <f aca="true">IF(OR(E2024="",E2024="!!!",F2024="NEW"),"",COUNTBLANK(OFFSET(A$1,,,SUMPRODUCT(MAX(ROW(E$2:E2024)*(E2024=E$2:E2024)))))-COUNTBLANK(OFFSET(A$1,,,SUMPRODUCT(MAX(ROW(E$1:E2023)*(E2=E$1:E2023))))))</f>
        <v/>
      </c>
      <c r="K2024" s="24" t="str">
        <f aca="false">IF(OR(E2024="",E2024="!!!",F2024="NEW"),"",INDEX(J$1:J2023,SUMPRODUCT(MAX(ROW(E$1:E2023)*(E2024=E$1:E2023)))))</f>
        <v/>
      </c>
      <c r="L2024" s="31"/>
    </row>
    <row r="2025" customFormat="false" ht="15" hidden="false" customHeight="false" outlineLevel="0" collapsed="false">
      <c r="A2025" s="20" t="s">
        <v>1817</v>
      </c>
      <c r="B2025" s="22" t="s">
        <v>1107</v>
      </c>
      <c r="C2025" s="22" t="s">
        <v>1059</v>
      </c>
      <c r="D2025" s="22" t="s">
        <v>1060</v>
      </c>
      <c r="E2025" s="23" t="str">
        <f aca="false">IF(D2025="?OLD","!!!","")</f>
        <v>!!!</v>
      </c>
      <c r="F2025" s="25" t="str">
        <f aca="false">IF(OR(E2025="",E2025="!!!"),"",IF(NOT(ISNA(VLOOKUP(E2025,E$1:E2024,1,FALSE()))),"OLD",IF(AND(E2025&lt;&gt;"",E2025&lt;&gt;"!!!"),"NEW","")))</f>
        <v/>
      </c>
      <c r="G2025" s="26" t="str">
        <f aca="false">IF(OR(E2025="",E2025="!!!"),"",IF(OR(J2025=0,AND(J2025=1,K2025=1),AND(J2025=1,I2025="SBJ"),AND(J2025=1,I2025=0)),"?IN_FOCUS",IF(J2025&lt;=2,"?ACTIVATED",IF(J2025&lt;&gt;"","?FAMILIAR",IF(F2025="NEW",IF(ISNA(VLOOKUP(E2025,#REF!,1,FALSE())),"?TYPE_IDENTIFIABLE","?REFERENTIAL"),"_")))))</f>
        <v/>
      </c>
      <c r="H2025" s="27" t="str">
        <f aca="false">IF(J2025&lt;&gt;1,"",IF(I2025="SBJ","CB","?"))</f>
        <v/>
      </c>
      <c r="I2025" s="24" t="str">
        <f aca="false">IF(OR(E2025="",E2025="!!!",F2025="NEW"),"",INDEX(B31:B$1995,-1+SUMPRODUCT(MAX(ROW(E31:E$1995)*(E2025=E31:E$1995)))))</f>
        <v/>
      </c>
      <c r="J2025" s="24" t="str">
        <f aca="true">IF(OR(E2025="",E2025="!!!",F2025="NEW"),"",COUNTBLANK(OFFSET(A$1,,,SUMPRODUCT(MAX(ROW(E$2:E2025)*(E2025=E$2:E2025)))))-COUNTBLANK(OFFSET(A$1,,,SUMPRODUCT(MAX(ROW(E$1:E2024)*(E2=E$1:E2024))))))</f>
        <v/>
      </c>
      <c r="K2025" s="24" t="str">
        <f aca="false">IF(OR(E2025="",E2025="!!!",F2025="NEW"),"",INDEX(J$1:J2024,SUMPRODUCT(MAX(ROW(E$1:E2024)*(E2025=E$1:E2024)))))</f>
        <v/>
      </c>
      <c r="L2025" s="31"/>
    </row>
    <row r="2026" customFormat="false" ht="15" hidden="false" customHeight="false" outlineLevel="0" collapsed="false">
      <c r="A2026" s="20" t="s">
        <v>1064</v>
      </c>
      <c r="E2026" s="23" t="str">
        <f aca="false">IF(D2026="?OLD","!!!","")</f>
        <v/>
      </c>
      <c r="F2026" s="25" t="str">
        <f aca="false">IF(OR(E2026="",E2026="!!!"),"",IF(NOT(ISNA(VLOOKUP(E2026,E$1:E2025,1,FALSE()))),"OLD",IF(AND(E2026&lt;&gt;"",E2026&lt;&gt;"!!!"),"NEW","")))</f>
        <v/>
      </c>
      <c r="G2026" s="26" t="str">
        <f aca="false">IF(OR(E2026="",E2026="!!!"),"",IF(OR(J2026=0,AND(J2026=1,K2026=1),AND(J2026=1,I2026="SBJ"),AND(J2026=1,I2026=0)),"?IN_FOCUS",IF(J2026&lt;=2,"?ACTIVATED",IF(J2026&lt;&gt;"","?FAMILIAR",IF(F2026="NEW",IF(ISNA(VLOOKUP(E2026,#REF!,1,FALSE())),"?TYPE_IDENTIFIABLE","?REFERENTIAL"),"_")))))</f>
        <v/>
      </c>
      <c r="H2026" s="27" t="str">
        <f aca="false">IF(J2026&lt;&gt;1,"",IF(I2026="SBJ","CB","?"))</f>
        <v/>
      </c>
      <c r="I2026" s="24" t="str">
        <f aca="false">IF(OR(E2026="",E2026="!!!",F2026="NEW"),"",INDEX(B32:B$1995,-1+SUMPRODUCT(MAX(ROW(E32:E$1995)*(E2026=E32:E$1995)))))</f>
        <v/>
      </c>
      <c r="J2026" s="24" t="str">
        <f aca="true">IF(OR(E2026="",E2026="!!!",F2026="NEW"),"",COUNTBLANK(OFFSET(A$1,,,SUMPRODUCT(MAX(ROW(E$2:E2026)*(E2026=E$2:E2026)))))-COUNTBLANK(OFFSET(A$1,,,SUMPRODUCT(MAX(ROW(E$1:E2025)*(E2=E$1:E2025))))))</f>
        <v/>
      </c>
      <c r="K2026" s="24" t="str">
        <f aca="false">IF(OR(E2026="",E2026="!!!",F2026="NEW"),"",INDEX(J$1:J2025,SUMPRODUCT(MAX(ROW(E$1:E2025)*(E2026=E$1:E2025)))))</f>
        <v/>
      </c>
      <c r="L2026" s="31"/>
    </row>
    <row r="2027" customFormat="false" ht="15" hidden="false" customHeight="false" outlineLevel="0" collapsed="false">
      <c r="A2027" s="20" t="s">
        <v>1080</v>
      </c>
      <c r="B2027" s="22" t="s">
        <v>1098</v>
      </c>
      <c r="C2027" s="22" t="s">
        <v>1082</v>
      </c>
      <c r="D2027" s="22" t="s">
        <v>1060</v>
      </c>
      <c r="E2027" s="23" t="str">
        <f aca="false">IF(D2027="?OLD","!!!","")</f>
        <v>!!!</v>
      </c>
      <c r="F2027" s="25" t="str">
        <f aca="false">IF(OR(E2027="",E2027="!!!"),"",IF(NOT(ISNA(VLOOKUP(E2027,E$1:E2026,1,FALSE()))),"OLD",IF(AND(E2027&lt;&gt;"",E2027&lt;&gt;"!!!"),"NEW","")))</f>
        <v/>
      </c>
      <c r="G2027" s="26" t="str">
        <f aca="false">IF(OR(E2027="",E2027="!!!"),"",IF(OR(J2027=0,AND(J2027=1,K2027=1),AND(J2027=1,I2027="SBJ"),AND(J2027=1,I2027=0)),"?IN_FOCUS",IF(J2027&lt;=2,"?ACTIVATED",IF(J2027&lt;&gt;"","?FAMILIAR",IF(F2027="NEW",IF(ISNA(VLOOKUP(E2027,#REF!,1,FALSE())),"?TYPE_IDENTIFIABLE","?REFERENTIAL"),"_")))))</f>
        <v/>
      </c>
      <c r="H2027" s="27" t="str">
        <f aca="false">IF(J2027&lt;&gt;1,"",IF(I2027="SBJ","CB","?"))</f>
        <v/>
      </c>
      <c r="I2027" s="24" t="str">
        <f aca="false">IF(OR(E2027="",E2027="!!!",F2027="NEW"),"",INDEX(B33:B$1995,-1+SUMPRODUCT(MAX(ROW(E33:E$1995)*(E2027=E33:E$1995)))))</f>
        <v/>
      </c>
      <c r="J2027" s="24" t="str">
        <f aca="true">IF(OR(E2027="",E2027="!!!",F2027="NEW"),"",COUNTBLANK(OFFSET(A$1,,,SUMPRODUCT(MAX(ROW(E$2:E2027)*(E2027=E$2:E2027)))))-COUNTBLANK(OFFSET(A$1,,,SUMPRODUCT(MAX(ROW(E$1:E2026)*(E2=E$1:E2026))))))</f>
        <v/>
      </c>
      <c r="K2027" s="24" t="str">
        <f aca="false">IF(OR(E2027="",E2027="!!!",F2027="NEW"),"",INDEX(J$1:J2026,SUMPRODUCT(MAX(ROW(E$1:E2026)*(E2027=E$1:E2026)))))</f>
        <v/>
      </c>
      <c r="L2027" s="31"/>
    </row>
    <row r="2028" customFormat="false" ht="15" hidden="false" customHeight="false" outlineLevel="0" collapsed="false">
      <c r="A2028" s="20" t="s">
        <v>923</v>
      </c>
      <c r="E2028" s="23" t="str">
        <f aca="false">IF(D2028="?OLD","!!!","")</f>
        <v/>
      </c>
      <c r="F2028" s="25" t="str">
        <f aca="false">IF(OR(E2028="",E2028="!!!"),"",IF(NOT(ISNA(VLOOKUP(E2028,E$1:E2027,1,FALSE()))),"OLD",IF(AND(E2028&lt;&gt;"",E2028&lt;&gt;"!!!"),"NEW","")))</f>
        <v/>
      </c>
      <c r="G2028" s="26" t="str">
        <f aca="false">IF(OR(E2028="",E2028="!!!"),"",IF(OR(J2028=0,AND(J2028=1,K2028=1),AND(J2028=1,I2028="SBJ"),AND(J2028=1,I2028=0)),"?IN_FOCUS",IF(J2028&lt;=2,"?ACTIVATED",IF(J2028&lt;&gt;"","?FAMILIAR",IF(F2028="NEW",IF(ISNA(VLOOKUP(E2028,#REF!,1,FALSE())),"?TYPE_IDENTIFIABLE","?REFERENTIAL"),"_")))))</f>
        <v/>
      </c>
      <c r="H2028" s="27" t="str">
        <f aca="false">IF(J2028&lt;&gt;1,"",IF(I2028="SBJ","CB","?"))</f>
        <v/>
      </c>
      <c r="I2028" s="24" t="str">
        <f aca="false">IF(OR(E2028="",E2028="!!!",F2028="NEW"),"",INDEX(B34:B$1995,-1+SUMPRODUCT(MAX(ROW(E34:E$1995)*(E2028=E34:E$1995)))))</f>
        <v/>
      </c>
      <c r="J2028" s="24" t="str">
        <f aca="true">IF(OR(E2028="",E2028="!!!",F2028="NEW"),"",COUNTBLANK(OFFSET(A$1,,,SUMPRODUCT(MAX(ROW(E$2:E2028)*(E2028=E$2:E2028)))))-COUNTBLANK(OFFSET(A$1,,,SUMPRODUCT(MAX(ROW(E$1:E2027)*(E2=E$1:E2027))))))</f>
        <v/>
      </c>
      <c r="K2028" s="24" t="str">
        <f aca="false">IF(OR(E2028="",E2028="!!!",F2028="NEW"),"",INDEX(J$1:J2027,SUMPRODUCT(MAX(ROW(E$1:E2027)*(E2028=E$1:E2027)))))</f>
        <v/>
      </c>
      <c r="L2028" s="31"/>
    </row>
    <row r="2029" customFormat="false" ht="15" hidden="false" customHeight="false" outlineLevel="0" collapsed="false">
      <c r="A2029" s="20"/>
    </row>
    <row r="2030" customFormat="false" ht="15" hidden="false" customHeight="false" outlineLevel="0" collapsed="false">
      <c r="A2030" s="20" t="s">
        <v>1824</v>
      </c>
    </row>
    <row r="2031" customFormat="false" ht="15" hidden="false" customHeight="false" outlineLevel="0" collapsed="false">
      <c r="A2031" s="20" t="s">
        <v>1162</v>
      </c>
      <c r="B2031" s="22" t="s">
        <v>1058</v>
      </c>
      <c r="C2031" s="22" t="s">
        <v>1082</v>
      </c>
      <c r="D2031" s="22" t="s">
        <v>1060</v>
      </c>
      <c r="E2031" s="23" t="str">
        <f aca="false">IF(D2031="?OLD","!!!","")</f>
        <v>!!!</v>
      </c>
      <c r="F2031" s="25" t="str">
        <f aca="false">IF(OR(E2031="",E2031="!!!"),"",IF(NOT(ISNA(VLOOKUP(E2031,E$1:E2030,1,FALSE()))),"OLD",IF(AND(E2031&lt;&gt;"",E2031&lt;&gt;"!!!"),"NEW","")))</f>
        <v/>
      </c>
      <c r="G2031" s="26" t="str">
        <f aca="false">IF(OR(E2031="",E2031="!!!"),"",IF(OR(J2031=0,AND(J2031=1,K2031=1),AND(J2031=1,I2031="SBJ"),AND(J2031=1,I2031=0)),"?IN_FOCUS",IF(J2031&lt;=2,"?ACTIVATED",IF(J2031&lt;&gt;"","?FAMILIAR",IF(F2031="NEW",IF(ISNA(VLOOKUP(E2031,#REF!,1,FALSE())),"?TYPE_IDENTIFIABLE","?REFERENTIAL"),"_")))))</f>
        <v/>
      </c>
      <c r="H2031" s="27" t="str">
        <f aca="false">IF(J2031&lt;&gt;1,"",IF(I2031="SBJ","CB","?"))</f>
        <v/>
      </c>
      <c r="I2031" s="24" t="str">
        <f aca="false">IF(OR(E2031="",E2031="!!!",F2031="NEW"),"",INDEX(B2:B$2030,-1+SUMPRODUCT(MAX(ROW(E2:E$2030)*(E2031=E2:E$2030)))))</f>
        <v/>
      </c>
      <c r="J2031" s="24" t="str">
        <f aca="true">IF(OR(E2031="",E2031="!!!",F2031="NEW"),"",COUNTBLANK(OFFSET(A$1,,,SUMPRODUCT(MAX(ROW(E$2:E2031)*(E2031=E$2:E2031)))))-COUNTBLANK(OFFSET(A$1,,,SUMPRODUCT(MAX(ROW(E$1:E2030)*(E2=E$1:E2030))))))</f>
        <v/>
      </c>
      <c r="K2031" s="24" t="str">
        <f aca="false">IF(OR(E2031="",E2031="!!!",F2031="NEW"),"",INDEX(J$1:J2030,SUMPRODUCT(MAX(ROW(E$1:E2030)*(E2031=E$1:E2030)))))</f>
        <v/>
      </c>
      <c r="L2031" s="31"/>
    </row>
    <row r="2032" customFormat="false" ht="15" hidden="false" customHeight="false" outlineLevel="0" collapsed="false">
      <c r="A2032" s="20" t="s">
        <v>1092</v>
      </c>
      <c r="E2032" s="23" t="str">
        <f aca="false">IF(D2032="?OLD","!!!","")</f>
        <v/>
      </c>
      <c r="F2032" s="25" t="str">
        <f aca="false">IF(OR(E2032="",E2032="!!!"),"",IF(NOT(ISNA(VLOOKUP(E2032,E$1:E2031,1,FALSE()))),"OLD",IF(AND(E2032&lt;&gt;"",E2032&lt;&gt;"!!!"),"NEW","")))</f>
        <v/>
      </c>
      <c r="G2032" s="26" t="str">
        <f aca="false">IF(OR(E2032="",E2032="!!!"),"",IF(OR(J2032=0,AND(J2032=1,K2032=1),AND(J2032=1,I2032="SBJ"),AND(J2032=1,I2032=0)),"?IN_FOCUS",IF(J2032&lt;=2,"?ACTIVATED",IF(J2032&lt;&gt;"","?FAMILIAR",IF(F2032="NEW",IF(ISNA(VLOOKUP(E2032,#REF!,1,FALSE())),"?TYPE_IDENTIFIABLE","?REFERENTIAL"),"_")))))</f>
        <v/>
      </c>
      <c r="H2032" s="27" t="str">
        <f aca="false">IF(J2032&lt;&gt;1,"",IF(I2032="SBJ","CB","?"))</f>
        <v/>
      </c>
      <c r="I2032" s="24" t="str">
        <f aca="false">IF(OR(E2032="",E2032="!!!",F2032="NEW"),"",INDEX(B3:B$2030,-1+SUMPRODUCT(MAX(ROW(E3:E$2030)*(E2032=E3:E$2030)))))</f>
        <v/>
      </c>
      <c r="J2032" s="24" t="str">
        <f aca="true">IF(OR(E2032="",E2032="!!!",F2032="NEW"),"",COUNTBLANK(OFFSET(A$1,,,SUMPRODUCT(MAX(ROW(E$2:E2032)*(E2032=E$2:E2032)))))-COUNTBLANK(OFFSET(A$1,,,SUMPRODUCT(MAX(ROW(E$1:E2031)*(E2=E$1:E2031))))))</f>
        <v/>
      </c>
      <c r="K2032" s="24" t="str">
        <f aca="false">IF(OR(E2032="",E2032="!!!",F2032="NEW"),"",INDEX(J$1:J2031,SUMPRODUCT(MAX(ROW(E$1:E2031)*(E2032=E$1:E2031)))))</f>
        <v/>
      </c>
      <c r="L2032" s="31"/>
    </row>
    <row r="2033" customFormat="false" ht="15" hidden="false" customHeight="false" outlineLevel="0" collapsed="false">
      <c r="A2033" s="20" t="s">
        <v>1184</v>
      </c>
      <c r="E2033" s="23" t="str">
        <f aca="false">IF(D2033="?OLD","!!!","")</f>
        <v/>
      </c>
      <c r="F2033" s="25" t="str">
        <f aca="false">IF(OR(E2033="",E2033="!!!"),"",IF(NOT(ISNA(VLOOKUP(E2033,E$1:E2032,1,FALSE()))),"OLD",IF(AND(E2033&lt;&gt;"",E2033&lt;&gt;"!!!"),"NEW","")))</f>
        <v/>
      </c>
      <c r="G2033" s="26" t="str">
        <f aca="false">IF(OR(E2033="",E2033="!!!"),"",IF(OR(J2033=0,AND(J2033=1,K2033=1),AND(J2033=1,I2033="SBJ"),AND(J2033=1,I2033=0)),"?IN_FOCUS",IF(J2033&lt;=2,"?ACTIVATED",IF(J2033&lt;&gt;"","?FAMILIAR",IF(F2033="NEW",IF(ISNA(VLOOKUP(E2033,#REF!,1,FALSE())),"?TYPE_IDENTIFIABLE","?REFERENTIAL"),"_")))))</f>
        <v/>
      </c>
      <c r="H2033" s="27" t="str">
        <f aca="false">IF(J2033&lt;&gt;1,"",IF(I2033="SBJ","CB","?"))</f>
        <v/>
      </c>
      <c r="I2033" s="24" t="str">
        <f aca="false">IF(OR(E2033="",E2033="!!!",F2033="NEW"),"",INDEX(B4:B$2030,-1+SUMPRODUCT(MAX(ROW(E4:E$2030)*(E2033=E4:E$2030)))))</f>
        <v/>
      </c>
      <c r="J2033" s="24" t="str">
        <f aca="true">IF(OR(E2033="",E2033="!!!",F2033="NEW"),"",COUNTBLANK(OFFSET(A$1,,,SUMPRODUCT(MAX(ROW(E$2:E2033)*(E2033=E$2:E2033)))))-COUNTBLANK(OFFSET(A$1,,,SUMPRODUCT(MAX(ROW(E$1:E2032)*(E2=E$1:E2032))))))</f>
        <v/>
      </c>
      <c r="K2033" s="24" t="str">
        <f aca="false">IF(OR(E2033="",E2033="!!!",F2033="NEW"),"",INDEX(J$1:J2032,SUMPRODUCT(MAX(ROW(E$1:E2032)*(E2033=E$1:E2032)))))</f>
        <v/>
      </c>
      <c r="L2033" s="31"/>
    </row>
    <row r="2034" customFormat="false" ht="15" hidden="false" customHeight="false" outlineLevel="0" collapsed="false">
      <c r="A2034" s="20" t="s">
        <v>1066</v>
      </c>
      <c r="B2034" s="22" t="s">
        <v>1105</v>
      </c>
      <c r="C2034" s="22" t="s">
        <v>1068</v>
      </c>
      <c r="D2034" s="22" t="s">
        <v>1060</v>
      </c>
      <c r="E2034" s="23" t="str">
        <f aca="false">IF(D2034="?OLD","!!!","")</f>
        <v>!!!</v>
      </c>
      <c r="F2034" s="25" t="str">
        <f aca="false">IF(OR(E2034="",E2034="!!!"),"",IF(NOT(ISNA(VLOOKUP(E2034,E$1:E2033,1,FALSE()))),"OLD",IF(AND(E2034&lt;&gt;"",E2034&lt;&gt;"!!!"),"NEW","")))</f>
        <v/>
      </c>
      <c r="G2034" s="26" t="str">
        <f aca="false">IF(OR(E2034="",E2034="!!!"),"",IF(OR(J2034=0,AND(J2034=1,K2034=1),AND(J2034=1,I2034="SBJ"),AND(J2034=1,I2034=0)),"?IN_FOCUS",IF(J2034&lt;=2,"?ACTIVATED",IF(J2034&lt;&gt;"","?FAMILIAR",IF(F2034="NEW",IF(ISNA(VLOOKUP(E2034,#REF!,1,FALSE())),"?TYPE_IDENTIFIABLE","?REFERENTIAL"),"_")))))</f>
        <v/>
      </c>
      <c r="H2034" s="27" t="str">
        <f aca="false">IF(J2034&lt;&gt;1,"",IF(I2034="SBJ","CB","?"))</f>
        <v/>
      </c>
      <c r="I2034" s="24" t="str">
        <f aca="false">IF(OR(E2034="",E2034="!!!",F2034="NEW"),"",INDEX(B5:B$2030,-1+SUMPRODUCT(MAX(ROW(E5:E$2030)*(E2034=E5:E$2030)))))</f>
        <v/>
      </c>
      <c r="J2034" s="24" t="str">
        <f aca="true">IF(OR(E2034="",E2034="!!!",F2034="NEW"),"",COUNTBLANK(OFFSET(A$1,,,SUMPRODUCT(MAX(ROW(E$2:E2034)*(E2034=E$2:E2034)))))-COUNTBLANK(OFFSET(A$1,,,SUMPRODUCT(MAX(ROW(E$1:E2033)*(E2=E$1:E2033))))))</f>
        <v/>
      </c>
      <c r="K2034" s="24" t="str">
        <f aca="false">IF(OR(E2034="",E2034="!!!",F2034="NEW"),"",INDEX(J$1:J2033,SUMPRODUCT(MAX(ROW(E$1:E2033)*(E2034=E$1:E2033)))))</f>
        <v/>
      </c>
      <c r="L2034" s="31"/>
    </row>
    <row r="2035" customFormat="false" ht="15" hidden="false" customHeight="false" outlineLevel="0" collapsed="false">
      <c r="A2035" s="20" t="s">
        <v>1071</v>
      </c>
      <c r="E2035" s="23" t="str">
        <f aca="false">IF(D2035="?OLD","!!!","")</f>
        <v/>
      </c>
      <c r="F2035" s="25" t="str">
        <f aca="false">IF(OR(E2035="",E2035="!!!"),"",IF(NOT(ISNA(VLOOKUP(E2035,E$1:E2034,1,FALSE()))),"OLD",IF(AND(E2035&lt;&gt;"",E2035&lt;&gt;"!!!"),"NEW","")))</f>
        <v/>
      </c>
      <c r="G2035" s="26" t="str">
        <f aca="false">IF(OR(E2035="",E2035="!!!"),"",IF(OR(J2035=0,AND(J2035=1,K2035=1),AND(J2035=1,I2035="SBJ"),AND(J2035=1,I2035=0)),"?IN_FOCUS",IF(J2035&lt;=2,"?ACTIVATED",IF(J2035&lt;&gt;"","?FAMILIAR",IF(F2035="NEW",IF(ISNA(VLOOKUP(E2035,#REF!,1,FALSE())),"?TYPE_IDENTIFIABLE","?REFERENTIAL"),"_")))))</f>
        <v/>
      </c>
      <c r="H2035" s="27" t="str">
        <f aca="false">IF(J2035&lt;&gt;1,"",IF(I2035="SBJ","CB","?"))</f>
        <v/>
      </c>
      <c r="I2035" s="24" t="str">
        <f aca="false">IF(OR(E2035="",E2035="!!!",F2035="NEW"),"",INDEX(B6:B$2030,-1+SUMPRODUCT(MAX(ROW(E6:E$2030)*(E2035=E6:E$2030)))))</f>
        <v/>
      </c>
      <c r="J2035" s="24" t="str">
        <f aca="true">IF(OR(E2035="",E2035="!!!",F2035="NEW"),"",COUNTBLANK(OFFSET(A$1,,,SUMPRODUCT(MAX(ROW(E$2:E2035)*(E2035=E$2:E2035)))))-COUNTBLANK(OFFSET(A$1,,,SUMPRODUCT(MAX(ROW(E$1:E2034)*(E2=E$1:E2034))))))</f>
        <v/>
      </c>
      <c r="K2035" s="24" t="str">
        <f aca="false">IF(OR(E2035="",E2035="!!!",F2035="NEW"),"",INDEX(J$1:J2034,SUMPRODUCT(MAX(ROW(E$1:E2034)*(E2035=E$1:E2034)))))</f>
        <v/>
      </c>
      <c r="L2035" s="31"/>
    </row>
    <row r="2036" customFormat="false" ht="15" hidden="false" customHeight="false" outlineLevel="0" collapsed="false">
      <c r="A2036" s="20" t="s">
        <v>1825</v>
      </c>
      <c r="B2036" s="22" t="s">
        <v>1105</v>
      </c>
      <c r="C2036" s="22" t="s">
        <v>1059</v>
      </c>
      <c r="D2036" s="22" t="s">
        <v>1060</v>
      </c>
      <c r="E2036" s="23" t="str">
        <f aca="false">IF(D2036="?OLD","!!!","")</f>
        <v>!!!</v>
      </c>
      <c r="F2036" s="25" t="str">
        <f aca="false">IF(OR(E2036="",E2036="!!!"),"",IF(NOT(ISNA(VLOOKUP(E2036,E$1:E2035,1,FALSE()))),"OLD",IF(AND(E2036&lt;&gt;"",E2036&lt;&gt;"!!!"),"NEW","")))</f>
        <v/>
      </c>
      <c r="G2036" s="26" t="str">
        <f aca="false">IF(OR(E2036="",E2036="!!!"),"",IF(OR(J2036=0,AND(J2036=1,K2036=1),AND(J2036=1,I2036="SBJ"),AND(J2036=1,I2036=0)),"?IN_FOCUS",IF(J2036&lt;=2,"?ACTIVATED",IF(J2036&lt;&gt;"","?FAMILIAR",IF(F2036="NEW",IF(ISNA(VLOOKUP(E2036,#REF!,1,FALSE())),"?TYPE_IDENTIFIABLE","?REFERENTIAL"),"_")))))</f>
        <v/>
      </c>
      <c r="H2036" s="27" t="str">
        <f aca="false">IF(J2036&lt;&gt;1,"",IF(I2036="SBJ","CB","?"))</f>
        <v/>
      </c>
      <c r="I2036" s="24" t="str">
        <f aca="false">IF(OR(E2036="",E2036="!!!",F2036="NEW"),"",INDEX(B7:B$2030,-1+SUMPRODUCT(MAX(ROW(E7:E$2030)*(E2036=E7:E$2030)))))</f>
        <v/>
      </c>
      <c r="J2036" s="24" t="str">
        <f aca="true">IF(OR(E2036="",E2036="!!!",F2036="NEW"),"",COUNTBLANK(OFFSET(A$1,,,SUMPRODUCT(MAX(ROW(E$2:E2036)*(E2036=E$2:E2036)))))-COUNTBLANK(OFFSET(A$1,,,SUMPRODUCT(MAX(ROW(E$1:E2035)*(E2=E$1:E2035))))))</f>
        <v/>
      </c>
      <c r="K2036" s="24" t="str">
        <f aca="false">IF(OR(E2036="",E2036="!!!",F2036="NEW"),"",INDEX(J$1:J2035,SUMPRODUCT(MAX(ROW(E$1:E2035)*(E2036=E$1:E2035)))))</f>
        <v/>
      </c>
      <c r="L2036" s="31"/>
    </row>
    <row r="2037" customFormat="false" ht="15" hidden="false" customHeight="false" outlineLevel="0" collapsed="false">
      <c r="A2037" s="20" t="s">
        <v>1076</v>
      </c>
      <c r="E2037" s="23" t="str">
        <f aca="false">IF(D2037="?OLD","!!!","")</f>
        <v/>
      </c>
      <c r="F2037" s="25" t="str">
        <f aca="false">IF(OR(E2037="",E2037="!!!"),"",IF(NOT(ISNA(VLOOKUP(E2037,E$1:E2036,1,FALSE()))),"OLD",IF(AND(E2037&lt;&gt;"",E2037&lt;&gt;"!!!"),"NEW","")))</f>
        <v/>
      </c>
      <c r="G2037" s="26" t="str">
        <f aca="false">IF(OR(E2037="",E2037="!!!"),"",IF(OR(J2037=0,AND(J2037=1,K2037=1),AND(J2037=1,I2037="SBJ"),AND(J2037=1,I2037=0)),"?IN_FOCUS",IF(J2037&lt;=2,"?ACTIVATED",IF(J2037&lt;&gt;"","?FAMILIAR",IF(F2037="NEW",IF(ISNA(VLOOKUP(E2037,#REF!,1,FALSE())),"?TYPE_IDENTIFIABLE","?REFERENTIAL"),"_")))))</f>
        <v/>
      </c>
      <c r="H2037" s="27" t="str">
        <f aca="false">IF(J2037&lt;&gt;1,"",IF(I2037="SBJ","CB","?"))</f>
        <v/>
      </c>
      <c r="I2037" s="24" t="str">
        <f aca="false">IF(OR(E2037="",E2037="!!!",F2037="NEW"),"",INDEX(B8:B$2030,-1+SUMPRODUCT(MAX(ROW(E8:E$2030)*(E2037=E8:E$2030)))))</f>
        <v/>
      </c>
      <c r="J2037" s="24" t="str">
        <f aca="true">IF(OR(E2037="",E2037="!!!",F2037="NEW"),"",COUNTBLANK(OFFSET(A$1,,,SUMPRODUCT(MAX(ROW(E$2:E2037)*(E2037=E$2:E2037)))))-COUNTBLANK(OFFSET(A$1,,,SUMPRODUCT(MAX(ROW(E$1:E2036)*(E2=E$1:E2036))))))</f>
        <v/>
      </c>
      <c r="K2037" s="24" t="str">
        <f aca="false">IF(OR(E2037="",E2037="!!!",F2037="NEW"),"",INDEX(J$1:J2036,SUMPRODUCT(MAX(ROW(E$1:E2036)*(E2037=E$1:E2036)))))</f>
        <v/>
      </c>
      <c r="L2037" s="31"/>
    </row>
    <row r="2038" customFormat="false" ht="15" hidden="false" customHeight="false" outlineLevel="0" collapsed="false">
      <c r="A2038" s="20" t="s">
        <v>1128</v>
      </c>
      <c r="E2038" s="23" t="str">
        <f aca="false">IF(D2038="?OLD","!!!","")</f>
        <v/>
      </c>
      <c r="F2038" s="25" t="str">
        <f aca="false">IF(OR(E2038="",E2038="!!!"),"",IF(NOT(ISNA(VLOOKUP(E2038,E$1:E2037,1,FALSE()))),"OLD",IF(AND(E2038&lt;&gt;"",E2038&lt;&gt;"!!!"),"NEW","")))</f>
        <v/>
      </c>
      <c r="G2038" s="26" t="str">
        <f aca="false">IF(OR(E2038="",E2038="!!!"),"",IF(OR(J2038=0,AND(J2038=1,K2038=1),AND(J2038=1,I2038="SBJ"),AND(J2038=1,I2038=0)),"?IN_FOCUS",IF(J2038&lt;=2,"?ACTIVATED",IF(J2038&lt;&gt;"","?FAMILIAR",IF(F2038="NEW",IF(ISNA(VLOOKUP(E2038,#REF!,1,FALSE())),"?TYPE_IDENTIFIABLE","?REFERENTIAL"),"_")))))</f>
        <v/>
      </c>
      <c r="H2038" s="27" t="str">
        <f aca="false">IF(J2038&lt;&gt;1,"",IF(I2038="SBJ","CB","?"))</f>
        <v/>
      </c>
      <c r="I2038" s="24" t="str">
        <f aca="false">IF(OR(E2038="",E2038="!!!",F2038="NEW"),"",INDEX(B9:B$2030,-1+SUMPRODUCT(MAX(ROW(E9:E$2030)*(E2038=E9:E$2030)))))</f>
        <v/>
      </c>
      <c r="J2038" s="24" t="str">
        <f aca="true">IF(OR(E2038="",E2038="!!!",F2038="NEW"),"",COUNTBLANK(OFFSET(A$1,,,SUMPRODUCT(MAX(ROW(E$2:E2038)*(E2038=E$2:E2038)))))-COUNTBLANK(OFFSET(A$1,,,SUMPRODUCT(MAX(ROW(E$1:E2037)*(E2=E$1:E2037))))))</f>
        <v/>
      </c>
      <c r="K2038" s="24" t="str">
        <f aca="false">IF(OR(E2038="",E2038="!!!",F2038="NEW"),"",INDEX(J$1:J2037,SUMPRODUCT(MAX(ROW(E$1:E2037)*(E2038=E$1:E2037)))))</f>
        <v/>
      </c>
      <c r="L2038" s="31"/>
    </row>
    <row r="2039" customFormat="false" ht="15" hidden="false" customHeight="false" outlineLevel="0" collapsed="false">
      <c r="A2039" s="20" t="s">
        <v>1162</v>
      </c>
      <c r="B2039" s="22" t="s">
        <v>1086</v>
      </c>
      <c r="C2039" s="22" t="s">
        <v>1082</v>
      </c>
      <c r="D2039" s="22" t="s">
        <v>1060</v>
      </c>
      <c r="E2039" s="23" t="str">
        <f aca="false">IF(D2039="?OLD","!!!","")</f>
        <v>!!!</v>
      </c>
      <c r="F2039" s="25" t="str">
        <f aca="false">IF(OR(E2039="",E2039="!!!"),"",IF(NOT(ISNA(VLOOKUP(E2039,E$1:E2038,1,FALSE()))),"OLD",IF(AND(E2039&lt;&gt;"",E2039&lt;&gt;"!!!"),"NEW","")))</f>
        <v/>
      </c>
      <c r="G2039" s="26" t="str">
        <f aca="false">IF(OR(E2039="",E2039="!!!"),"",IF(OR(J2039=0,AND(J2039=1,K2039=1),AND(J2039=1,I2039="SBJ"),AND(J2039=1,I2039=0)),"?IN_FOCUS",IF(J2039&lt;=2,"?ACTIVATED",IF(J2039&lt;&gt;"","?FAMILIAR",IF(F2039="NEW",IF(ISNA(VLOOKUP(E2039,#REF!,1,FALSE())),"?TYPE_IDENTIFIABLE","?REFERENTIAL"),"_")))))</f>
        <v/>
      </c>
      <c r="H2039" s="27" t="str">
        <f aca="false">IF(J2039&lt;&gt;1,"",IF(I2039="SBJ","CB","?"))</f>
        <v/>
      </c>
      <c r="I2039" s="24" t="str">
        <f aca="false">IF(OR(E2039="",E2039="!!!",F2039="NEW"),"",INDEX(B10:B$2030,-1+SUMPRODUCT(MAX(ROW(E10:E$2030)*(E2039=E10:E$2030)))))</f>
        <v/>
      </c>
      <c r="J2039" s="24" t="str">
        <f aca="true">IF(OR(E2039="",E2039="!!!",F2039="NEW"),"",COUNTBLANK(OFFSET(A$1,,,SUMPRODUCT(MAX(ROW(E$2:E2039)*(E2039=E$2:E2039)))))-COUNTBLANK(OFFSET(A$1,,,SUMPRODUCT(MAX(ROW(E$1:E2038)*(E2=E$1:E2038))))))</f>
        <v/>
      </c>
      <c r="K2039" s="24" t="str">
        <f aca="false">IF(OR(E2039="",E2039="!!!",F2039="NEW"),"",INDEX(J$1:J2038,SUMPRODUCT(MAX(ROW(E$1:E2038)*(E2039=E$1:E2038)))))</f>
        <v/>
      </c>
      <c r="L2039" s="31"/>
    </row>
    <row r="2040" customFormat="false" ht="15" hidden="false" customHeight="false" outlineLevel="0" collapsed="false">
      <c r="A2040" s="20" t="s">
        <v>1799</v>
      </c>
      <c r="E2040" s="23" t="str">
        <f aca="false">IF(D2040="?OLD","!!!","")</f>
        <v/>
      </c>
      <c r="F2040" s="25" t="str">
        <f aca="false">IF(OR(E2040="",E2040="!!!"),"",IF(NOT(ISNA(VLOOKUP(E2040,E$1:E2039,1,FALSE()))),"OLD",IF(AND(E2040&lt;&gt;"",E2040&lt;&gt;"!!!"),"NEW","")))</f>
        <v/>
      </c>
      <c r="G2040" s="26" t="str">
        <f aca="false">IF(OR(E2040="",E2040="!!!"),"",IF(OR(J2040=0,AND(J2040=1,K2040=1),AND(J2040=1,I2040="SBJ"),AND(J2040=1,I2040=0)),"?IN_FOCUS",IF(J2040&lt;=2,"?ACTIVATED",IF(J2040&lt;&gt;"","?FAMILIAR",IF(F2040="NEW",IF(ISNA(VLOOKUP(E2040,#REF!,1,FALSE())),"?TYPE_IDENTIFIABLE","?REFERENTIAL"),"_")))))</f>
        <v/>
      </c>
      <c r="H2040" s="27" t="str">
        <f aca="false">IF(J2040&lt;&gt;1,"",IF(I2040="SBJ","CB","?"))</f>
        <v/>
      </c>
      <c r="I2040" s="24" t="str">
        <f aca="false">IF(OR(E2040="",E2040="!!!",F2040="NEW"),"",INDEX(B11:B$2030,-1+SUMPRODUCT(MAX(ROW(E11:E$2030)*(E2040=E11:E$2030)))))</f>
        <v/>
      </c>
      <c r="J2040" s="24" t="str">
        <f aca="true">IF(OR(E2040="",E2040="!!!",F2040="NEW"),"",COUNTBLANK(OFFSET(A$1,,,SUMPRODUCT(MAX(ROW(E$2:E2040)*(E2040=E$2:E2040)))))-COUNTBLANK(OFFSET(A$1,,,SUMPRODUCT(MAX(ROW(E$1:E2039)*(E2=E$1:E2039))))))</f>
        <v/>
      </c>
      <c r="K2040" s="24" t="str">
        <f aca="false">IF(OR(E2040="",E2040="!!!",F2040="NEW"),"",INDEX(J$1:J2039,SUMPRODUCT(MAX(ROW(E$1:E2039)*(E2040=E$1:E2039)))))</f>
        <v/>
      </c>
      <c r="L2040" s="31"/>
    </row>
    <row r="2041" customFormat="false" ht="15" hidden="false" customHeight="false" outlineLevel="0" collapsed="false">
      <c r="A2041" s="20" t="s">
        <v>1154</v>
      </c>
      <c r="E2041" s="23" t="str">
        <f aca="false">IF(D2041="?OLD","!!!","")</f>
        <v/>
      </c>
      <c r="F2041" s="25" t="str">
        <f aca="false">IF(OR(E2041="",E2041="!!!"),"",IF(NOT(ISNA(VLOOKUP(E2041,E$1:E2040,1,FALSE()))),"OLD",IF(AND(E2041&lt;&gt;"",E2041&lt;&gt;"!!!"),"NEW","")))</f>
        <v/>
      </c>
      <c r="G2041" s="26" t="str">
        <f aca="false">IF(OR(E2041="",E2041="!!!"),"",IF(OR(J2041=0,AND(J2041=1,K2041=1),AND(J2041=1,I2041="SBJ"),AND(J2041=1,I2041=0)),"?IN_FOCUS",IF(J2041&lt;=2,"?ACTIVATED",IF(J2041&lt;&gt;"","?FAMILIAR",IF(F2041="NEW",IF(ISNA(VLOOKUP(E2041,#REF!,1,FALSE())),"?TYPE_IDENTIFIABLE","?REFERENTIAL"),"_")))))</f>
        <v/>
      </c>
      <c r="H2041" s="27" t="str">
        <f aca="false">IF(J2041&lt;&gt;1,"",IF(I2041="SBJ","CB","?"))</f>
        <v/>
      </c>
      <c r="I2041" s="24" t="str">
        <f aca="false">IF(OR(E2041="",E2041="!!!",F2041="NEW"),"",INDEX(B12:B$2030,-1+SUMPRODUCT(MAX(ROW(E12:E$2030)*(E2041=E12:E$2030)))))</f>
        <v/>
      </c>
      <c r="J2041" s="24" t="str">
        <f aca="true">IF(OR(E2041="",E2041="!!!",F2041="NEW"),"",COUNTBLANK(OFFSET(A$1,,,SUMPRODUCT(MAX(ROW(E$2:E2041)*(E2041=E$2:E2041)))))-COUNTBLANK(OFFSET(A$1,,,SUMPRODUCT(MAX(ROW(E$1:E2040)*(E2=E$1:E2040))))))</f>
        <v/>
      </c>
      <c r="K2041" s="24" t="str">
        <f aca="false">IF(OR(E2041="",E2041="!!!",F2041="NEW"),"",INDEX(J$1:J2040,SUMPRODUCT(MAX(ROW(E$1:E2040)*(E2041=E$1:E2040)))))</f>
        <v/>
      </c>
      <c r="L2041" s="31"/>
    </row>
    <row r="2042" customFormat="false" ht="15" hidden="false" customHeight="false" outlineLevel="0" collapsed="false">
      <c r="A2042" s="20" t="s">
        <v>1399</v>
      </c>
      <c r="E2042" s="23" t="str">
        <f aca="false">IF(D2042="?OLD","!!!","")</f>
        <v/>
      </c>
      <c r="F2042" s="25" t="str">
        <f aca="false">IF(OR(E2042="",E2042="!!!"),"",IF(NOT(ISNA(VLOOKUP(E2042,E$1:E2041,1,FALSE()))),"OLD",IF(AND(E2042&lt;&gt;"",E2042&lt;&gt;"!!!"),"NEW","")))</f>
        <v/>
      </c>
      <c r="G2042" s="26" t="str">
        <f aca="false">IF(OR(E2042="",E2042="!!!"),"",IF(OR(J2042=0,AND(J2042=1,K2042=1),AND(J2042=1,I2042="SBJ"),AND(J2042=1,I2042=0)),"?IN_FOCUS",IF(J2042&lt;=2,"?ACTIVATED",IF(J2042&lt;&gt;"","?FAMILIAR",IF(F2042="NEW",IF(ISNA(VLOOKUP(E2042,#REF!,1,FALSE())),"?TYPE_IDENTIFIABLE","?REFERENTIAL"),"_")))))</f>
        <v/>
      </c>
      <c r="H2042" s="27" t="str">
        <f aca="false">IF(J2042&lt;&gt;1,"",IF(I2042="SBJ","CB","?"))</f>
        <v/>
      </c>
      <c r="I2042" s="24" t="str">
        <f aca="false">IF(OR(E2042="",E2042="!!!",F2042="NEW"),"",INDEX(B13:B$2030,-1+SUMPRODUCT(MAX(ROW(E13:E$2030)*(E2042=E13:E$2030)))))</f>
        <v/>
      </c>
      <c r="J2042" s="24" t="str">
        <f aca="true">IF(OR(E2042="",E2042="!!!",F2042="NEW"),"",COUNTBLANK(OFFSET(A$1,,,SUMPRODUCT(MAX(ROW(E$2:E2042)*(E2042=E$2:E2042)))))-COUNTBLANK(OFFSET(A$1,,,SUMPRODUCT(MAX(ROW(E$1:E2041)*(E2=E$1:E2041))))))</f>
        <v/>
      </c>
      <c r="K2042" s="24" t="str">
        <f aca="false">IF(OR(E2042="",E2042="!!!",F2042="NEW"),"",INDEX(J$1:J2041,SUMPRODUCT(MAX(ROW(E$1:E2041)*(E2042=E$1:E2041)))))</f>
        <v/>
      </c>
      <c r="L2042" s="31"/>
    </row>
    <row r="2043" customFormat="false" ht="15" hidden="false" customHeight="false" outlineLevel="0" collapsed="false">
      <c r="A2043" s="20" t="s">
        <v>1110</v>
      </c>
      <c r="B2043" s="22" t="s">
        <v>1073</v>
      </c>
      <c r="C2043" s="22" t="s">
        <v>1087</v>
      </c>
      <c r="E2043" s="23" t="str">
        <f aca="false">IF(D2043="?OLD","!!!","")</f>
        <v/>
      </c>
      <c r="F2043" s="25" t="str">
        <f aca="false">IF(OR(E2043="",E2043="!!!"),"",IF(NOT(ISNA(VLOOKUP(E2043,E$1:E2042,1,FALSE()))),"OLD",IF(AND(E2043&lt;&gt;"",E2043&lt;&gt;"!!!"),"NEW","")))</f>
        <v/>
      </c>
      <c r="G2043" s="26" t="str">
        <f aca="false">IF(OR(E2043="",E2043="!!!"),"",IF(OR(J2043=0,AND(J2043=1,K2043=1),AND(J2043=1,I2043="SBJ"),AND(J2043=1,I2043=0)),"?IN_FOCUS",IF(J2043&lt;=2,"?ACTIVATED",IF(J2043&lt;&gt;"","?FAMILIAR",IF(F2043="NEW",IF(ISNA(VLOOKUP(E2043,#REF!,1,FALSE())),"?TYPE_IDENTIFIABLE","?REFERENTIAL"),"_")))))</f>
        <v/>
      </c>
      <c r="H2043" s="27" t="str">
        <f aca="false">IF(J2043&lt;&gt;1,"",IF(I2043="SBJ","CB","?"))</f>
        <v/>
      </c>
      <c r="I2043" s="24" t="str">
        <f aca="false">IF(OR(E2043="",E2043="!!!",F2043="NEW"),"",INDEX(B14:B$2030,-1+SUMPRODUCT(MAX(ROW(E14:E$2030)*(E2043=E14:E$2030)))))</f>
        <v/>
      </c>
      <c r="J2043" s="24" t="str">
        <f aca="true">IF(OR(E2043="",E2043="!!!",F2043="NEW"),"",COUNTBLANK(OFFSET(A$1,,,SUMPRODUCT(MAX(ROW(E$2:E2043)*(E2043=E$2:E2043)))))-COUNTBLANK(OFFSET(A$1,,,SUMPRODUCT(MAX(ROW(E$1:E2042)*(E2=E$1:E2042))))))</f>
        <v/>
      </c>
      <c r="K2043" s="24" t="str">
        <f aca="false">IF(OR(E2043="",E2043="!!!",F2043="NEW"),"",INDEX(J$1:J2042,SUMPRODUCT(MAX(ROW(E$1:E2042)*(E2043=E$1:E2042)))))</f>
        <v/>
      </c>
      <c r="L2043" s="31"/>
    </row>
    <row r="2044" customFormat="false" ht="15" hidden="false" customHeight="false" outlineLevel="0" collapsed="false">
      <c r="A2044" s="20" t="s">
        <v>1184</v>
      </c>
      <c r="E2044" s="23" t="str">
        <f aca="false">IF(D2044="?OLD","!!!","")</f>
        <v/>
      </c>
      <c r="F2044" s="25" t="str">
        <f aca="false">IF(OR(E2044="",E2044="!!!"),"",IF(NOT(ISNA(VLOOKUP(E2044,E$1:E2043,1,FALSE()))),"OLD",IF(AND(E2044&lt;&gt;"",E2044&lt;&gt;"!!!"),"NEW","")))</f>
        <v/>
      </c>
      <c r="G2044" s="26" t="str">
        <f aca="false">IF(OR(E2044="",E2044="!!!"),"",IF(OR(J2044=0,AND(J2044=1,K2044=1),AND(J2044=1,I2044="SBJ"),AND(J2044=1,I2044=0)),"?IN_FOCUS",IF(J2044&lt;=2,"?ACTIVATED",IF(J2044&lt;&gt;"","?FAMILIAR",IF(F2044="NEW",IF(ISNA(VLOOKUP(E2044,#REF!,1,FALSE())),"?TYPE_IDENTIFIABLE","?REFERENTIAL"),"_")))))</f>
        <v/>
      </c>
      <c r="H2044" s="27" t="str">
        <f aca="false">IF(J2044&lt;&gt;1,"",IF(I2044="SBJ","CB","?"))</f>
        <v/>
      </c>
      <c r="I2044" s="24" t="str">
        <f aca="false">IF(OR(E2044="",E2044="!!!",F2044="NEW"),"",INDEX(B15:B$2030,-1+SUMPRODUCT(MAX(ROW(E15:E$2030)*(E2044=E15:E$2030)))))</f>
        <v/>
      </c>
      <c r="J2044" s="24" t="str">
        <f aca="true">IF(OR(E2044="",E2044="!!!",F2044="NEW"),"",COUNTBLANK(OFFSET(A$1,,,SUMPRODUCT(MAX(ROW(E$2:E2044)*(E2044=E$2:E2044)))))-COUNTBLANK(OFFSET(A$1,,,SUMPRODUCT(MAX(ROW(E$1:E2043)*(E2=E$1:E2043))))))</f>
        <v/>
      </c>
      <c r="K2044" s="24" t="str">
        <f aca="false">IF(OR(E2044="",E2044="!!!",F2044="NEW"),"",INDEX(J$1:J2043,SUMPRODUCT(MAX(ROW(E$1:E2043)*(E2044=E$1:E2043)))))</f>
        <v/>
      </c>
      <c r="L2044" s="31"/>
    </row>
    <row r="2045" customFormat="false" ht="15" hidden="false" customHeight="false" outlineLevel="0" collapsed="false">
      <c r="A2045" s="20" t="s">
        <v>1097</v>
      </c>
      <c r="B2045" s="22" t="s">
        <v>1107</v>
      </c>
      <c r="C2045" s="22" t="s">
        <v>1099</v>
      </c>
      <c r="D2045" s="22" t="s">
        <v>1060</v>
      </c>
      <c r="E2045" s="23" t="str">
        <f aca="false">IF(D2045="?OLD","!!!","")</f>
        <v>!!!</v>
      </c>
      <c r="F2045" s="25" t="str">
        <f aca="false">IF(OR(E2045="",E2045="!!!"),"",IF(NOT(ISNA(VLOOKUP(E2045,E$1:E2044,1,FALSE()))),"OLD",IF(AND(E2045&lt;&gt;"",E2045&lt;&gt;"!!!"),"NEW","")))</f>
        <v/>
      </c>
      <c r="G2045" s="26" t="str">
        <f aca="false">IF(OR(E2045="",E2045="!!!"),"",IF(OR(J2045=0,AND(J2045=1,K2045=1),AND(J2045=1,I2045="SBJ"),AND(J2045=1,I2045=0)),"?IN_FOCUS",IF(J2045&lt;=2,"?ACTIVATED",IF(J2045&lt;&gt;"","?FAMILIAR",IF(F2045="NEW",IF(ISNA(VLOOKUP(E2045,#REF!,1,FALSE())),"?TYPE_IDENTIFIABLE","?REFERENTIAL"),"_")))))</f>
        <v/>
      </c>
      <c r="H2045" s="27" t="str">
        <f aca="false">IF(J2045&lt;&gt;1,"",IF(I2045="SBJ","CB","?"))</f>
        <v/>
      </c>
      <c r="I2045" s="24" t="str">
        <f aca="false">IF(OR(E2045="",E2045="!!!",F2045="NEW"),"",INDEX(B16:B$2030,-1+SUMPRODUCT(MAX(ROW(E16:E$2030)*(E2045=E16:E$2030)))))</f>
        <v/>
      </c>
      <c r="J2045" s="24" t="str">
        <f aca="true">IF(OR(E2045="",E2045="!!!",F2045="NEW"),"",COUNTBLANK(OFFSET(A$1,,,SUMPRODUCT(MAX(ROW(E$2:E2045)*(E2045=E$2:E2045)))))-COUNTBLANK(OFFSET(A$1,,,SUMPRODUCT(MAX(ROW(E$1:E2044)*(E2=E$1:E2044))))))</f>
        <v/>
      </c>
      <c r="K2045" s="24" t="str">
        <f aca="false">IF(OR(E2045="",E2045="!!!",F2045="NEW"),"",INDEX(J$1:J2044,SUMPRODUCT(MAX(ROW(E$1:E2044)*(E2045=E$1:E2044)))))</f>
        <v/>
      </c>
      <c r="L2045" s="31"/>
    </row>
    <row r="2046" customFormat="false" ht="15" hidden="false" customHeight="false" outlineLevel="0" collapsed="false">
      <c r="A2046" s="20" t="s">
        <v>690</v>
      </c>
      <c r="B2046" s="22" t="s">
        <v>1067</v>
      </c>
      <c r="C2046" s="22" t="s">
        <v>1059</v>
      </c>
      <c r="D2046" s="22" t="s">
        <v>1060</v>
      </c>
      <c r="E2046" s="23" t="str">
        <f aca="false">IF(D2046="?OLD","!!!","")</f>
        <v>!!!</v>
      </c>
      <c r="F2046" s="25" t="str">
        <f aca="false">IF(OR(E2046="",E2046="!!!"),"",IF(NOT(ISNA(VLOOKUP(E2046,E$1:E2045,1,FALSE()))),"OLD",IF(AND(E2046&lt;&gt;"",E2046&lt;&gt;"!!!"),"NEW","")))</f>
        <v/>
      </c>
      <c r="G2046" s="26" t="str">
        <f aca="false">IF(OR(E2046="",E2046="!!!"),"",IF(OR(J2046=0,AND(J2046=1,K2046=1),AND(J2046=1,I2046="SBJ"),AND(J2046=1,I2046=0)),"?IN_FOCUS",IF(J2046&lt;=2,"?ACTIVATED",IF(J2046&lt;&gt;"","?FAMILIAR",IF(F2046="NEW",IF(ISNA(VLOOKUP(E2046,#REF!,1,FALSE())),"?TYPE_IDENTIFIABLE","?REFERENTIAL"),"_")))))</f>
        <v/>
      </c>
      <c r="H2046" s="27" t="str">
        <f aca="false">IF(J2046&lt;&gt;1,"",IF(I2046="SBJ","CB","?"))</f>
        <v/>
      </c>
      <c r="I2046" s="24" t="str">
        <f aca="false">IF(OR(E2046="",E2046="!!!",F2046="NEW"),"",INDEX(B17:B$2030,-1+SUMPRODUCT(MAX(ROW(E17:E$2030)*(E2046=E17:E$2030)))))</f>
        <v/>
      </c>
      <c r="J2046" s="24" t="str">
        <f aca="true">IF(OR(E2046="",E2046="!!!",F2046="NEW"),"",COUNTBLANK(OFFSET(A$1,,,SUMPRODUCT(MAX(ROW(E$2:E2046)*(E2046=E$2:E2046)))))-COUNTBLANK(OFFSET(A$1,,,SUMPRODUCT(MAX(ROW(E$1:E2045)*(E2=E$1:E2045))))))</f>
        <v/>
      </c>
      <c r="K2046" s="24" t="str">
        <f aca="false">IF(OR(E2046="",E2046="!!!",F2046="NEW"),"",INDEX(J$1:J2045,SUMPRODUCT(MAX(ROW(E$1:E2045)*(E2046=E$1:E2045)))))</f>
        <v/>
      </c>
      <c r="L2046" s="31"/>
    </row>
    <row r="2047" customFormat="false" ht="15" hidden="false" customHeight="false" outlineLevel="0" collapsed="false">
      <c r="A2047" s="20" t="s">
        <v>923</v>
      </c>
      <c r="E2047" s="23" t="str">
        <f aca="false">IF(D2047="?OLD","!!!","")</f>
        <v/>
      </c>
      <c r="F2047" s="25" t="str">
        <f aca="false">IF(OR(E2047="",E2047="!!!"),"",IF(NOT(ISNA(VLOOKUP(E2047,E$1:E2046,1,FALSE()))),"OLD",IF(AND(E2047&lt;&gt;"",E2047&lt;&gt;"!!!"),"NEW","")))</f>
        <v/>
      </c>
      <c r="G2047" s="26" t="str">
        <f aca="false">IF(OR(E2047="",E2047="!!!"),"",IF(OR(J2047=0,AND(J2047=1,K2047=1),AND(J2047=1,I2047="SBJ"),AND(J2047=1,I2047=0)),"?IN_FOCUS",IF(J2047&lt;=2,"?ACTIVATED",IF(J2047&lt;&gt;"","?FAMILIAR",IF(F2047="NEW",IF(ISNA(VLOOKUP(E2047,#REF!,1,FALSE())),"?TYPE_IDENTIFIABLE","?REFERENTIAL"),"_")))))</f>
        <v/>
      </c>
      <c r="H2047" s="27" t="str">
        <f aca="false">IF(J2047&lt;&gt;1,"",IF(I2047="SBJ","CB","?"))</f>
        <v/>
      </c>
      <c r="I2047" s="24" t="str">
        <f aca="false">IF(OR(E2047="",E2047="!!!",F2047="NEW"),"",INDEX(B18:B$2030,-1+SUMPRODUCT(MAX(ROW(E18:E$2030)*(E2047=E18:E$2030)))))</f>
        <v/>
      </c>
      <c r="J2047" s="24" t="str">
        <f aca="true">IF(OR(E2047="",E2047="!!!",F2047="NEW"),"",COUNTBLANK(OFFSET(A$1,,,SUMPRODUCT(MAX(ROW(E$2:E2047)*(E2047=E$2:E2047)))))-COUNTBLANK(OFFSET(A$1,,,SUMPRODUCT(MAX(ROW(E$1:E2046)*(E2=E$1:E2046))))))</f>
        <v/>
      </c>
      <c r="K2047" s="24" t="str">
        <f aca="false">IF(OR(E2047="",E2047="!!!",F2047="NEW"),"",INDEX(J$1:J2046,SUMPRODUCT(MAX(ROW(E$1:E2046)*(E2047=E$1:E2046)))))</f>
        <v/>
      </c>
      <c r="L2047" s="31"/>
    </row>
    <row r="2048" customFormat="false" ht="15" hidden="false" customHeight="false" outlineLevel="0" collapsed="false">
      <c r="A2048" s="20"/>
    </row>
    <row r="2049" customFormat="false" ht="15" hidden="false" customHeight="false" outlineLevel="0" collapsed="false">
      <c r="A2049" s="20" t="s">
        <v>1826</v>
      </c>
    </row>
    <row r="2050" customFormat="false" ht="15" hidden="false" customHeight="false" outlineLevel="0" collapsed="false">
      <c r="A2050" s="20" t="s">
        <v>1261</v>
      </c>
      <c r="B2050" s="22" t="s">
        <v>1058</v>
      </c>
      <c r="C2050" s="22" t="s">
        <v>1082</v>
      </c>
      <c r="D2050" s="22" t="s">
        <v>1060</v>
      </c>
      <c r="E2050" s="23" t="str">
        <f aca="false">IF(D2050="?OLD","!!!","")</f>
        <v>!!!</v>
      </c>
      <c r="F2050" s="25" t="str">
        <f aca="false">IF(OR(E2050="",E2050="!!!"),"",IF(NOT(ISNA(VLOOKUP(E2050,E$1:E2049,1,FALSE()))),"OLD",IF(AND(E2050&lt;&gt;"",E2050&lt;&gt;"!!!"),"NEW","")))</f>
        <v/>
      </c>
      <c r="G2050" s="26" t="str">
        <f aca="false">IF(OR(E2050="",E2050="!!!"),"",IF(OR(J2050=0,AND(J2050=1,K2050=1),AND(J2050=1,I2050="SBJ"),AND(J2050=1,I2050=0)),"?IN_FOCUS",IF(J2050&lt;=2,"?ACTIVATED",IF(J2050&lt;&gt;"","?FAMILIAR",IF(F2050="NEW",IF(ISNA(VLOOKUP(E2050,#REF!,1,FALSE())),"?TYPE_IDENTIFIABLE","?REFERENTIAL"),"_")))))</f>
        <v/>
      </c>
      <c r="H2050" s="27" t="str">
        <f aca="false">IF(J2050&lt;&gt;1,"",IF(I2050="SBJ","CB","?"))</f>
        <v/>
      </c>
      <c r="I2050" s="24" t="str">
        <f aca="false">IF(OR(E2050="",E2050="!!!",F2050="NEW"),"",INDEX(B2:B$2049,-1+SUMPRODUCT(MAX(ROW(E2:E$2049)*(E2050=E2:E$2049)))))</f>
        <v/>
      </c>
      <c r="J2050" s="24" t="str">
        <f aca="true">IF(OR(E2050="",E2050="!!!",F2050="NEW"),"",COUNTBLANK(OFFSET(A$1,,,SUMPRODUCT(MAX(ROW(E$2:E2050)*(E2050=E$2:E2050)))))-COUNTBLANK(OFFSET(A$1,,,SUMPRODUCT(MAX(ROW(E$1:E2049)*(E2=E$1:E2049))))))</f>
        <v/>
      </c>
      <c r="K2050" s="24" t="str">
        <f aca="false">IF(OR(E2050="",E2050="!!!",F2050="NEW"),"",INDEX(J$1:J2049,SUMPRODUCT(MAX(ROW(E$1:E2049)*(E2050=E$1:E2049)))))</f>
        <v/>
      </c>
      <c r="L2050" s="31"/>
    </row>
    <row r="2051" customFormat="false" ht="15" hidden="false" customHeight="false" outlineLevel="0" collapsed="false">
      <c r="A2051" s="20" t="s">
        <v>1092</v>
      </c>
      <c r="E2051" s="23" t="str">
        <f aca="false">IF(D2051="?OLD","!!!","")</f>
        <v/>
      </c>
      <c r="F2051" s="25" t="str">
        <f aca="false">IF(OR(E2051="",E2051="!!!"),"",IF(NOT(ISNA(VLOOKUP(E2051,E$1:E2050,1,FALSE()))),"OLD",IF(AND(E2051&lt;&gt;"",E2051&lt;&gt;"!!!"),"NEW","")))</f>
        <v/>
      </c>
      <c r="G2051" s="26" t="str">
        <f aca="false">IF(OR(E2051="",E2051="!!!"),"",IF(OR(J2051=0,AND(J2051=1,K2051=1),AND(J2051=1,I2051="SBJ"),AND(J2051=1,I2051=0)),"?IN_FOCUS",IF(J2051&lt;=2,"?ACTIVATED",IF(J2051&lt;&gt;"","?FAMILIAR",IF(F2051="NEW",IF(ISNA(VLOOKUP(E2051,#REF!,1,FALSE())),"?TYPE_IDENTIFIABLE","?REFERENTIAL"),"_")))))</f>
        <v/>
      </c>
      <c r="H2051" s="27" t="str">
        <f aca="false">IF(J2051&lt;&gt;1,"",IF(I2051="SBJ","CB","?"))</f>
        <v/>
      </c>
      <c r="I2051" s="24" t="str">
        <f aca="false">IF(OR(E2051="",E2051="!!!",F2051="NEW"),"",INDEX(B3:B$2049,-1+SUMPRODUCT(MAX(ROW(E3:E$2049)*(E2051=E3:E$2049)))))</f>
        <v/>
      </c>
      <c r="J2051" s="24" t="str">
        <f aca="true">IF(OR(E2051="",E2051="!!!",F2051="NEW"),"",COUNTBLANK(OFFSET(A$1,,,SUMPRODUCT(MAX(ROW(E$2:E2051)*(E2051=E$2:E2051)))))-COUNTBLANK(OFFSET(A$1,,,SUMPRODUCT(MAX(ROW(E$1:E2050)*(E2=E$1:E2050))))))</f>
        <v/>
      </c>
      <c r="K2051" s="24" t="str">
        <f aca="false">IF(OR(E2051="",E2051="!!!",F2051="NEW"),"",INDEX(J$1:J2050,SUMPRODUCT(MAX(ROW(E$1:E2050)*(E2051=E$1:E2050)))))</f>
        <v/>
      </c>
      <c r="L2051" s="31"/>
    </row>
    <row r="2052" customFormat="false" ht="15" hidden="false" customHeight="false" outlineLevel="0" collapsed="false">
      <c r="A2052" s="20" t="s">
        <v>1504</v>
      </c>
      <c r="E2052" s="23" t="str">
        <f aca="false">IF(D2052="?OLD","!!!","")</f>
        <v/>
      </c>
      <c r="F2052" s="25" t="str">
        <f aca="false">IF(OR(E2052="",E2052="!!!"),"",IF(NOT(ISNA(VLOOKUP(E2052,E$1:E2051,1,FALSE()))),"OLD",IF(AND(E2052&lt;&gt;"",E2052&lt;&gt;"!!!"),"NEW","")))</f>
        <v/>
      </c>
      <c r="G2052" s="26" t="str">
        <f aca="false">IF(OR(E2052="",E2052="!!!"),"",IF(OR(J2052=0,AND(J2052=1,K2052=1),AND(J2052=1,I2052="SBJ"),AND(J2052=1,I2052=0)),"?IN_FOCUS",IF(J2052&lt;=2,"?ACTIVATED",IF(J2052&lt;&gt;"","?FAMILIAR",IF(F2052="NEW",IF(ISNA(VLOOKUP(E2052,#REF!,1,FALSE())),"?TYPE_IDENTIFIABLE","?REFERENTIAL"),"_")))))</f>
        <v/>
      </c>
      <c r="H2052" s="27" t="str">
        <f aca="false">IF(J2052&lt;&gt;1,"",IF(I2052="SBJ","CB","?"))</f>
        <v/>
      </c>
      <c r="I2052" s="24" t="str">
        <f aca="false">IF(OR(E2052="",E2052="!!!",F2052="NEW"),"",INDEX(B4:B$2049,-1+SUMPRODUCT(MAX(ROW(E4:E$2049)*(E2052=E4:E$2049)))))</f>
        <v/>
      </c>
      <c r="J2052" s="24" t="str">
        <f aca="true">IF(OR(E2052="",E2052="!!!",F2052="NEW"),"",COUNTBLANK(OFFSET(A$1,,,SUMPRODUCT(MAX(ROW(E$2:E2052)*(E2052=E$2:E2052)))))-COUNTBLANK(OFFSET(A$1,,,SUMPRODUCT(MAX(ROW(E$1:E2051)*(E2=E$1:E2051))))))</f>
        <v/>
      </c>
      <c r="K2052" s="24" t="str">
        <f aca="false">IF(OR(E2052="",E2052="!!!",F2052="NEW"),"",INDEX(J$1:J2051,SUMPRODUCT(MAX(ROW(E$1:E2051)*(E2052=E$1:E2051)))))</f>
        <v/>
      </c>
      <c r="L2052" s="31"/>
    </row>
    <row r="2053" customFormat="false" ht="15" hidden="false" customHeight="false" outlineLevel="0" collapsed="false">
      <c r="A2053" s="20" t="s">
        <v>1128</v>
      </c>
      <c r="E2053" s="23" t="str">
        <f aca="false">IF(D2053="?OLD","!!!","")</f>
        <v/>
      </c>
      <c r="F2053" s="25" t="str">
        <f aca="false">IF(OR(E2053="",E2053="!!!"),"",IF(NOT(ISNA(VLOOKUP(E2053,E$1:E2052,1,FALSE()))),"OLD",IF(AND(E2053&lt;&gt;"",E2053&lt;&gt;"!!!"),"NEW","")))</f>
        <v/>
      </c>
      <c r="G2053" s="26" t="str">
        <f aca="false">IF(OR(E2053="",E2053="!!!"),"",IF(OR(J2053=0,AND(J2053=1,K2053=1),AND(J2053=1,I2053="SBJ"),AND(J2053=1,I2053=0)),"?IN_FOCUS",IF(J2053&lt;=2,"?ACTIVATED",IF(J2053&lt;&gt;"","?FAMILIAR",IF(F2053="NEW",IF(ISNA(VLOOKUP(E2053,#REF!,1,FALSE())),"?TYPE_IDENTIFIABLE","?REFERENTIAL"),"_")))))</f>
        <v/>
      </c>
      <c r="H2053" s="27" t="str">
        <f aca="false">IF(J2053&lt;&gt;1,"",IF(I2053="SBJ","CB","?"))</f>
        <v/>
      </c>
      <c r="I2053" s="24" t="str">
        <f aca="false">IF(OR(E2053="",E2053="!!!",F2053="NEW"),"",INDEX(B5:B$2049,-1+SUMPRODUCT(MAX(ROW(E5:E$2049)*(E2053=E5:E$2049)))))</f>
        <v/>
      </c>
      <c r="J2053" s="24" t="str">
        <f aca="true">IF(OR(E2053="",E2053="!!!",F2053="NEW"),"",COUNTBLANK(OFFSET(A$1,,,SUMPRODUCT(MAX(ROW(E$2:E2053)*(E2053=E$2:E2053)))))-COUNTBLANK(OFFSET(A$1,,,SUMPRODUCT(MAX(ROW(E$1:E2052)*(E2=E$1:E2052))))))</f>
        <v/>
      </c>
      <c r="K2053" s="24" t="str">
        <f aca="false">IF(OR(E2053="",E2053="!!!",F2053="NEW"),"",INDEX(J$1:J2052,SUMPRODUCT(MAX(ROW(E$1:E2052)*(E2053=E$1:E2052)))))</f>
        <v/>
      </c>
      <c r="L2053" s="31"/>
    </row>
    <row r="2054" customFormat="false" ht="15" hidden="false" customHeight="false" outlineLevel="0" collapsed="false">
      <c r="A2054" s="20" t="s">
        <v>1827</v>
      </c>
      <c r="E2054" s="23" t="str">
        <f aca="false">IF(D2054="?OLD","!!!","")</f>
        <v/>
      </c>
      <c r="F2054" s="25" t="str">
        <f aca="false">IF(OR(E2054="",E2054="!!!"),"",IF(NOT(ISNA(VLOOKUP(E2054,E$1:E2053,1,FALSE()))),"OLD",IF(AND(E2054&lt;&gt;"",E2054&lt;&gt;"!!!"),"NEW","")))</f>
        <v/>
      </c>
      <c r="G2054" s="26" t="str">
        <f aca="false">IF(OR(E2054="",E2054="!!!"),"",IF(OR(J2054=0,AND(J2054=1,K2054=1),AND(J2054=1,I2054="SBJ"),AND(J2054=1,I2054=0)),"?IN_FOCUS",IF(J2054&lt;=2,"?ACTIVATED",IF(J2054&lt;&gt;"","?FAMILIAR",IF(F2054="NEW",IF(ISNA(VLOOKUP(E2054,#REF!,1,FALSE())),"?TYPE_IDENTIFIABLE","?REFERENTIAL"),"_")))))</f>
        <v/>
      </c>
      <c r="H2054" s="27" t="str">
        <f aca="false">IF(J2054&lt;&gt;1,"",IF(I2054="SBJ","CB","?"))</f>
        <v/>
      </c>
      <c r="I2054" s="24" t="str">
        <f aca="false">IF(OR(E2054="",E2054="!!!",F2054="NEW"),"",INDEX(B6:B$2049,-1+SUMPRODUCT(MAX(ROW(E6:E$2049)*(E2054=E6:E$2049)))))</f>
        <v/>
      </c>
      <c r="J2054" s="24" t="str">
        <f aca="true">IF(OR(E2054="",E2054="!!!",F2054="NEW"),"",COUNTBLANK(OFFSET(A$1,,,SUMPRODUCT(MAX(ROW(E$2:E2054)*(E2054=E$2:E2054)))))-COUNTBLANK(OFFSET(A$1,,,SUMPRODUCT(MAX(ROW(E$1:E2053)*(E2=E$1:E2053))))))</f>
        <v/>
      </c>
      <c r="K2054" s="24" t="str">
        <f aca="false">IF(OR(E2054="",E2054="!!!",F2054="NEW"),"",INDEX(J$1:J2053,SUMPRODUCT(MAX(ROW(E$1:E2053)*(E2054=E$1:E2053)))))</f>
        <v/>
      </c>
      <c r="L2054" s="31"/>
    </row>
    <row r="2055" customFormat="false" ht="15" hidden="false" customHeight="false" outlineLevel="0" collapsed="false">
      <c r="A2055" s="20" t="s">
        <v>1076</v>
      </c>
      <c r="E2055" s="23" t="str">
        <f aca="false">IF(D2055="?OLD","!!!","")</f>
        <v/>
      </c>
      <c r="F2055" s="25" t="str">
        <f aca="false">IF(OR(E2055="",E2055="!!!"),"",IF(NOT(ISNA(VLOOKUP(E2055,E$1:E2054,1,FALSE()))),"OLD",IF(AND(E2055&lt;&gt;"",E2055&lt;&gt;"!!!"),"NEW","")))</f>
        <v/>
      </c>
      <c r="G2055" s="26" t="str">
        <f aca="false">IF(OR(E2055="",E2055="!!!"),"",IF(OR(J2055=0,AND(J2055=1,K2055=1),AND(J2055=1,I2055="SBJ"),AND(J2055=1,I2055=0)),"?IN_FOCUS",IF(J2055&lt;=2,"?ACTIVATED",IF(J2055&lt;&gt;"","?FAMILIAR",IF(F2055="NEW",IF(ISNA(VLOOKUP(E2055,#REF!,1,FALSE())),"?TYPE_IDENTIFIABLE","?REFERENTIAL"),"_")))))</f>
        <v/>
      </c>
      <c r="H2055" s="27" t="str">
        <f aca="false">IF(J2055&lt;&gt;1,"",IF(I2055="SBJ","CB","?"))</f>
        <v/>
      </c>
      <c r="I2055" s="24" t="str">
        <f aca="false">IF(OR(E2055="",E2055="!!!",F2055="NEW"),"",INDEX(B7:B$2049,-1+SUMPRODUCT(MAX(ROW(E7:E$2049)*(E2055=E7:E$2049)))))</f>
        <v/>
      </c>
      <c r="J2055" s="24" t="str">
        <f aca="true">IF(OR(E2055="",E2055="!!!",F2055="NEW"),"",COUNTBLANK(OFFSET(A$1,,,SUMPRODUCT(MAX(ROW(E$2:E2055)*(E2055=E$2:E2055)))))-COUNTBLANK(OFFSET(A$1,,,SUMPRODUCT(MAX(ROW(E$1:E2054)*(E2=E$1:E2054))))))</f>
        <v/>
      </c>
      <c r="K2055" s="24" t="str">
        <f aca="false">IF(OR(E2055="",E2055="!!!",F2055="NEW"),"",INDEX(J$1:J2054,SUMPRODUCT(MAX(ROW(E$1:E2054)*(E2055=E$1:E2054)))))</f>
        <v/>
      </c>
      <c r="L2055" s="31"/>
    </row>
    <row r="2056" customFormat="false" ht="15" hidden="false" customHeight="false" outlineLevel="0" collapsed="false">
      <c r="A2056" s="20" t="s">
        <v>1097</v>
      </c>
      <c r="B2056" s="22" t="s">
        <v>1073</v>
      </c>
      <c r="C2056" s="22" t="s">
        <v>1099</v>
      </c>
      <c r="D2056" s="22" t="s">
        <v>1060</v>
      </c>
      <c r="E2056" s="23" t="str">
        <f aca="false">IF(D2056="?OLD","!!!","")</f>
        <v>!!!</v>
      </c>
      <c r="F2056" s="25" t="str">
        <f aca="false">IF(OR(E2056="",E2056="!!!"),"",IF(NOT(ISNA(VLOOKUP(E2056,E$1:E2055,1,FALSE()))),"OLD",IF(AND(E2056&lt;&gt;"",E2056&lt;&gt;"!!!"),"NEW","")))</f>
        <v/>
      </c>
      <c r="G2056" s="26" t="str">
        <f aca="false">IF(OR(E2056="",E2056="!!!"),"",IF(OR(J2056=0,AND(J2056=1,K2056=1),AND(J2056=1,I2056="SBJ"),AND(J2056=1,I2056=0)),"?IN_FOCUS",IF(J2056&lt;=2,"?ACTIVATED",IF(J2056&lt;&gt;"","?FAMILIAR",IF(F2056="NEW",IF(ISNA(VLOOKUP(E2056,#REF!,1,FALSE())),"?TYPE_IDENTIFIABLE","?REFERENTIAL"),"_")))))</f>
        <v/>
      </c>
      <c r="H2056" s="27" t="str">
        <f aca="false">IF(J2056&lt;&gt;1,"",IF(I2056="SBJ","CB","?"))</f>
        <v/>
      </c>
      <c r="I2056" s="24" t="str">
        <f aca="false">IF(OR(E2056="",E2056="!!!",F2056="NEW"),"",INDEX(B8:B$2049,-1+SUMPRODUCT(MAX(ROW(E8:E$2049)*(E2056=E8:E$2049)))))</f>
        <v/>
      </c>
      <c r="J2056" s="24" t="str">
        <f aca="true">IF(OR(E2056="",E2056="!!!",F2056="NEW"),"",COUNTBLANK(OFFSET(A$1,,,SUMPRODUCT(MAX(ROW(E$2:E2056)*(E2056=E$2:E2056)))))-COUNTBLANK(OFFSET(A$1,,,SUMPRODUCT(MAX(ROW(E$1:E2055)*(E2=E$1:E2055))))))</f>
        <v/>
      </c>
      <c r="K2056" s="24" t="str">
        <f aca="false">IF(OR(E2056="",E2056="!!!",F2056="NEW"),"",INDEX(J$1:J2055,SUMPRODUCT(MAX(ROW(E$1:E2055)*(E2056=E$1:E2055)))))</f>
        <v/>
      </c>
      <c r="L2056" s="31"/>
    </row>
    <row r="2057" customFormat="false" ht="15" hidden="false" customHeight="false" outlineLevel="0" collapsed="false">
      <c r="A2057" s="20" t="s">
        <v>1828</v>
      </c>
      <c r="B2057" s="22" t="s">
        <v>1105</v>
      </c>
      <c r="C2057" s="22" t="s">
        <v>1059</v>
      </c>
      <c r="D2057" s="22" t="s">
        <v>1060</v>
      </c>
      <c r="E2057" s="23" t="str">
        <f aca="false">IF(D2057="?OLD","!!!","")</f>
        <v>!!!</v>
      </c>
      <c r="F2057" s="25" t="str">
        <f aca="false">IF(OR(E2057="",E2057="!!!"),"",IF(NOT(ISNA(VLOOKUP(E2057,E$1:E2056,1,FALSE()))),"OLD",IF(AND(E2057&lt;&gt;"",E2057&lt;&gt;"!!!"),"NEW","")))</f>
        <v/>
      </c>
      <c r="G2057" s="26" t="str">
        <f aca="false">IF(OR(E2057="",E2057="!!!"),"",IF(OR(J2057=0,AND(J2057=1,K2057=1),AND(J2057=1,I2057="SBJ"),AND(J2057=1,I2057=0)),"?IN_FOCUS",IF(J2057&lt;=2,"?ACTIVATED",IF(J2057&lt;&gt;"","?FAMILIAR",IF(F2057="NEW",IF(ISNA(VLOOKUP(E2057,#REF!,1,FALSE())),"?TYPE_IDENTIFIABLE","?REFERENTIAL"),"_")))))</f>
        <v/>
      </c>
      <c r="H2057" s="27" t="str">
        <f aca="false">IF(J2057&lt;&gt;1,"",IF(I2057="SBJ","CB","?"))</f>
        <v/>
      </c>
      <c r="I2057" s="24" t="str">
        <f aca="false">IF(OR(E2057="",E2057="!!!",F2057="NEW"),"",INDEX(B9:B$2049,-1+SUMPRODUCT(MAX(ROW(E9:E$2049)*(E2057=E9:E$2049)))))</f>
        <v/>
      </c>
      <c r="J2057" s="24" t="str">
        <f aca="true">IF(OR(E2057="",E2057="!!!",F2057="NEW"),"",COUNTBLANK(OFFSET(A$1,,,SUMPRODUCT(MAX(ROW(E$2:E2057)*(E2057=E$2:E2057)))))-COUNTBLANK(OFFSET(A$1,,,SUMPRODUCT(MAX(ROW(E$1:E2056)*(E2=E$1:E2056))))))</f>
        <v/>
      </c>
      <c r="K2057" s="24" t="str">
        <f aca="false">IF(OR(E2057="",E2057="!!!",F2057="NEW"),"",INDEX(J$1:J2056,SUMPRODUCT(MAX(ROW(E$1:E2056)*(E2057=E$1:E2056)))))</f>
        <v/>
      </c>
      <c r="L2057" s="31"/>
    </row>
    <row r="2058" customFormat="false" ht="15" hidden="false" customHeight="false" outlineLevel="0" collapsed="false">
      <c r="A2058" s="20" t="s">
        <v>1829</v>
      </c>
      <c r="E2058" s="23" t="str">
        <f aca="false">IF(D2058="?OLD","!!!","")</f>
        <v/>
      </c>
      <c r="F2058" s="25" t="str">
        <f aca="false">IF(OR(E2058="",E2058="!!!"),"",IF(NOT(ISNA(VLOOKUP(E2058,E$1:E2057,1,FALSE()))),"OLD",IF(AND(E2058&lt;&gt;"",E2058&lt;&gt;"!!!"),"NEW","")))</f>
        <v/>
      </c>
      <c r="G2058" s="26" t="str">
        <f aca="false">IF(OR(E2058="",E2058="!!!"),"",IF(OR(J2058=0,AND(J2058=1,K2058=1),AND(J2058=1,I2058="SBJ"),AND(J2058=1,I2058=0)),"?IN_FOCUS",IF(J2058&lt;=2,"?ACTIVATED",IF(J2058&lt;&gt;"","?FAMILIAR",IF(F2058="NEW",IF(ISNA(VLOOKUP(E2058,#REF!,1,FALSE())),"?TYPE_IDENTIFIABLE","?REFERENTIAL"),"_")))))</f>
        <v/>
      </c>
      <c r="H2058" s="27" t="str">
        <f aca="false">IF(J2058&lt;&gt;1,"",IF(I2058="SBJ","CB","?"))</f>
        <v/>
      </c>
      <c r="I2058" s="24" t="str">
        <f aca="false">IF(OR(E2058="",E2058="!!!",F2058="NEW"),"",INDEX(B10:B$2049,-1+SUMPRODUCT(MAX(ROW(E10:E$2049)*(E2058=E10:E$2049)))))</f>
        <v/>
      </c>
      <c r="J2058" s="24" t="str">
        <f aca="true">IF(OR(E2058="",E2058="!!!",F2058="NEW"),"",COUNTBLANK(OFFSET(A$1,,,SUMPRODUCT(MAX(ROW(E$2:E2058)*(E2058=E$2:E2058)))))-COUNTBLANK(OFFSET(A$1,,,SUMPRODUCT(MAX(ROW(E$1:E2057)*(E2=E$1:E2057))))))</f>
        <v/>
      </c>
      <c r="K2058" s="24" t="str">
        <f aca="false">IF(OR(E2058="",E2058="!!!",F2058="NEW"),"",INDEX(J$1:J2057,SUMPRODUCT(MAX(ROW(E$1:E2057)*(E2058=E$1:E2057)))))</f>
        <v/>
      </c>
      <c r="L2058" s="31"/>
    </row>
    <row r="2059" customFormat="false" ht="15" hidden="false" customHeight="false" outlineLevel="0" collapsed="false">
      <c r="A2059" s="20" t="s">
        <v>1431</v>
      </c>
      <c r="E2059" s="23" t="str">
        <f aca="false">IF(D2059="?OLD","!!!","")</f>
        <v/>
      </c>
      <c r="F2059" s="25" t="str">
        <f aca="false">IF(OR(E2059="",E2059="!!!"),"",IF(NOT(ISNA(VLOOKUP(E2059,E$1:E2058,1,FALSE()))),"OLD",IF(AND(E2059&lt;&gt;"",E2059&lt;&gt;"!!!"),"NEW","")))</f>
        <v/>
      </c>
      <c r="G2059" s="26" t="str">
        <f aca="false">IF(OR(E2059="",E2059="!!!"),"",IF(OR(J2059=0,AND(J2059=1,K2059=1),AND(J2059=1,I2059="SBJ"),AND(J2059=1,I2059=0)),"?IN_FOCUS",IF(J2059&lt;=2,"?ACTIVATED",IF(J2059&lt;&gt;"","?FAMILIAR",IF(F2059="NEW",IF(ISNA(VLOOKUP(E2059,#REF!,1,FALSE())),"?TYPE_IDENTIFIABLE","?REFERENTIAL"),"_")))))</f>
        <v/>
      </c>
      <c r="H2059" s="27" t="str">
        <f aca="false">IF(J2059&lt;&gt;1,"",IF(I2059="SBJ","CB","?"))</f>
        <v/>
      </c>
      <c r="I2059" s="24" t="str">
        <f aca="false">IF(OR(E2059="",E2059="!!!",F2059="NEW"),"",INDEX(B11:B$2049,-1+SUMPRODUCT(MAX(ROW(E11:E$2049)*(E2059=E11:E$2049)))))</f>
        <v/>
      </c>
      <c r="J2059" s="24" t="str">
        <f aca="true">IF(OR(E2059="",E2059="!!!",F2059="NEW"),"",COUNTBLANK(OFFSET(A$1,,,SUMPRODUCT(MAX(ROW(E$2:E2059)*(E2059=E$2:E2059)))))-COUNTBLANK(OFFSET(A$1,,,SUMPRODUCT(MAX(ROW(E$1:E2058)*(E2=E$1:E2058))))))</f>
        <v/>
      </c>
      <c r="K2059" s="24" t="str">
        <f aca="false">IF(OR(E2059="",E2059="!!!",F2059="NEW"),"",INDEX(J$1:J2058,SUMPRODUCT(MAX(ROW(E$1:E2058)*(E2059=E$1:E2058)))))</f>
        <v/>
      </c>
      <c r="L2059" s="31"/>
    </row>
    <row r="2060" customFormat="false" ht="15" hidden="false" customHeight="false" outlineLevel="0" collapsed="false">
      <c r="A2060" s="20" t="s">
        <v>1173</v>
      </c>
      <c r="E2060" s="23" t="str">
        <f aca="false">IF(D2060="?OLD","!!!","")</f>
        <v/>
      </c>
      <c r="F2060" s="25" t="str">
        <f aca="false">IF(OR(E2060="",E2060="!!!"),"",IF(NOT(ISNA(VLOOKUP(E2060,E$1:E2059,1,FALSE()))),"OLD",IF(AND(E2060&lt;&gt;"",E2060&lt;&gt;"!!!"),"NEW","")))</f>
        <v/>
      </c>
      <c r="G2060" s="26" t="str">
        <f aca="false">IF(OR(E2060="",E2060="!!!"),"",IF(OR(J2060=0,AND(J2060=1,K2060=1),AND(J2060=1,I2060="SBJ"),AND(J2060=1,I2060=0)),"?IN_FOCUS",IF(J2060&lt;=2,"?ACTIVATED",IF(J2060&lt;&gt;"","?FAMILIAR",IF(F2060="NEW",IF(ISNA(VLOOKUP(E2060,#REF!,1,FALSE())),"?TYPE_IDENTIFIABLE","?REFERENTIAL"),"_")))))</f>
        <v/>
      </c>
      <c r="H2060" s="27" t="str">
        <f aca="false">IF(J2060&lt;&gt;1,"",IF(I2060="SBJ","CB","?"))</f>
        <v/>
      </c>
      <c r="I2060" s="24" t="str">
        <f aca="false">IF(OR(E2060="",E2060="!!!",F2060="NEW"),"",INDEX(B12:B$2049,-1+SUMPRODUCT(MAX(ROW(E12:E$2049)*(E2060=E12:E$2049)))))</f>
        <v/>
      </c>
      <c r="J2060" s="24" t="str">
        <f aca="true">IF(OR(E2060="",E2060="!!!",F2060="NEW"),"",COUNTBLANK(OFFSET(A$1,,,SUMPRODUCT(MAX(ROW(E$2:E2060)*(E2060=E$2:E2060)))))-COUNTBLANK(OFFSET(A$1,,,SUMPRODUCT(MAX(ROW(E$1:E2059)*(E2=E$1:E2059))))))</f>
        <v/>
      </c>
      <c r="K2060" s="24" t="str">
        <f aca="false">IF(OR(E2060="",E2060="!!!",F2060="NEW"),"",INDEX(J$1:J2059,SUMPRODUCT(MAX(ROW(E$1:E2059)*(E2060=E$1:E2059)))))</f>
        <v/>
      </c>
      <c r="L2060" s="31"/>
    </row>
    <row r="2061" customFormat="false" ht="15" hidden="false" customHeight="false" outlineLevel="0" collapsed="false">
      <c r="A2061" s="20" t="s">
        <v>1109</v>
      </c>
      <c r="E2061" s="23" t="str">
        <f aca="false">IF(D2061="?OLD","!!!","")</f>
        <v/>
      </c>
      <c r="F2061" s="25" t="str">
        <f aca="false">IF(OR(E2061="",E2061="!!!"),"",IF(NOT(ISNA(VLOOKUP(E2061,E$1:E2060,1,FALSE()))),"OLD",IF(AND(E2061&lt;&gt;"",E2061&lt;&gt;"!!!"),"NEW","")))</f>
        <v/>
      </c>
      <c r="G2061" s="26" t="str">
        <f aca="false">IF(OR(E2061="",E2061="!!!"),"",IF(OR(J2061=0,AND(J2061=1,K2061=1),AND(J2061=1,I2061="SBJ"),AND(J2061=1,I2061=0)),"?IN_FOCUS",IF(J2061&lt;=2,"?ACTIVATED",IF(J2061&lt;&gt;"","?FAMILIAR",IF(F2061="NEW",IF(ISNA(VLOOKUP(E2061,#REF!,1,FALSE())),"?TYPE_IDENTIFIABLE","?REFERENTIAL"),"_")))))</f>
        <v/>
      </c>
      <c r="H2061" s="27" t="str">
        <f aca="false">IF(J2061&lt;&gt;1,"",IF(I2061="SBJ","CB","?"))</f>
        <v/>
      </c>
      <c r="I2061" s="24" t="str">
        <f aca="false">IF(OR(E2061="",E2061="!!!",F2061="NEW"),"",INDEX(B13:B$2049,-1+SUMPRODUCT(MAX(ROW(E13:E$2049)*(E2061=E13:E$2049)))))</f>
        <v/>
      </c>
      <c r="J2061" s="24" t="str">
        <f aca="true">IF(OR(E2061="",E2061="!!!",F2061="NEW"),"",COUNTBLANK(OFFSET(A$1,,,SUMPRODUCT(MAX(ROW(E$2:E2061)*(E2061=E$2:E2061)))))-COUNTBLANK(OFFSET(A$1,,,SUMPRODUCT(MAX(ROW(E$1:E2060)*(E2=E$1:E2060))))))</f>
        <v/>
      </c>
      <c r="K2061" s="24" t="str">
        <f aca="false">IF(OR(E2061="",E2061="!!!",F2061="NEW"),"",INDEX(J$1:J2060,SUMPRODUCT(MAX(ROW(E$1:E2060)*(E2061=E$1:E2060)))))</f>
        <v/>
      </c>
      <c r="L2061" s="31"/>
    </row>
    <row r="2062" customFormat="false" ht="15" hidden="false" customHeight="false" outlineLevel="0" collapsed="false">
      <c r="A2062" s="20" t="s">
        <v>1830</v>
      </c>
      <c r="B2062" s="22" t="s">
        <v>1067</v>
      </c>
      <c r="C2062" s="22" t="s">
        <v>1150</v>
      </c>
      <c r="D2062" s="22" t="s">
        <v>1060</v>
      </c>
      <c r="E2062" s="23" t="str">
        <f aca="false">IF(D2062="?OLD","!!!","")</f>
        <v>!!!</v>
      </c>
      <c r="F2062" s="25" t="str">
        <f aca="false">IF(OR(E2062="",E2062="!!!"),"",IF(NOT(ISNA(VLOOKUP(E2062,E$1:E2061,1,FALSE()))),"OLD",IF(AND(E2062&lt;&gt;"",E2062&lt;&gt;"!!!"),"NEW","")))</f>
        <v/>
      </c>
      <c r="G2062" s="26" t="str">
        <f aca="false">IF(OR(E2062="",E2062="!!!"),"",IF(OR(J2062=0,AND(J2062=1,K2062=1),AND(J2062=1,I2062="SBJ"),AND(J2062=1,I2062=0)),"?IN_FOCUS",IF(J2062&lt;=2,"?ACTIVATED",IF(J2062&lt;&gt;"","?FAMILIAR",IF(F2062="NEW",IF(ISNA(VLOOKUP(E2062,#REF!,1,FALSE())),"?TYPE_IDENTIFIABLE","?REFERENTIAL"),"_")))))</f>
        <v/>
      </c>
      <c r="H2062" s="27" t="str">
        <f aca="false">IF(J2062&lt;&gt;1,"",IF(I2062="SBJ","CB","?"))</f>
        <v/>
      </c>
      <c r="I2062" s="24" t="str">
        <f aca="false">IF(OR(E2062="",E2062="!!!",F2062="NEW"),"",INDEX(B14:B$2049,-1+SUMPRODUCT(MAX(ROW(E14:E$2049)*(E2062=E14:E$2049)))))</f>
        <v/>
      </c>
      <c r="J2062" s="24" t="str">
        <f aca="true">IF(OR(E2062="",E2062="!!!",F2062="NEW"),"",COUNTBLANK(OFFSET(A$1,,,SUMPRODUCT(MAX(ROW(E$2:E2062)*(E2062=E$2:E2062)))))-COUNTBLANK(OFFSET(A$1,,,SUMPRODUCT(MAX(ROW(E$1:E2061)*(E2=E$1:E2061))))))</f>
        <v/>
      </c>
      <c r="K2062" s="24" t="str">
        <f aca="false">IF(OR(E2062="",E2062="!!!",F2062="NEW"),"",INDEX(J$1:J2061,SUMPRODUCT(MAX(ROW(E$1:E2061)*(E2062=E$1:E2061)))))</f>
        <v/>
      </c>
      <c r="L2062" s="31"/>
    </row>
    <row r="2063" customFormat="false" ht="15" hidden="false" customHeight="false" outlineLevel="0" collapsed="false">
      <c r="A2063" s="20" t="s">
        <v>923</v>
      </c>
      <c r="E2063" s="23" t="str">
        <f aca="false">IF(D2063="?OLD","!!!","")</f>
        <v/>
      </c>
      <c r="F2063" s="25" t="str">
        <f aca="false">IF(OR(E2063="",E2063="!!!"),"",IF(NOT(ISNA(VLOOKUP(E2063,E$1:E2062,1,FALSE()))),"OLD",IF(AND(E2063&lt;&gt;"",E2063&lt;&gt;"!!!"),"NEW","")))</f>
        <v/>
      </c>
      <c r="G2063" s="26" t="str">
        <f aca="false">IF(OR(E2063="",E2063="!!!"),"",IF(OR(J2063=0,AND(J2063=1,K2063=1),AND(J2063=1,I2063="SBJ"),AND(J2063=1,I2063=0)),"?IN_FOCUS",IF(J2063&lt;=2,"?ACTIVATED",IF(J2063&lt;&gt;"","?FAMILIAR",IF(F2063="NEW",IF(ISNA(VLOOKUP(E2063,#REF!,1,FALSE())),"?TYPE_IDENTIFIABLE","?REFERENTIAL"),"_")))))</f>
        <v/>
      </c>
      <c r="H2063" s="27" t="str">
        <f aca="false">IF(J2063&lt;&gt;1,"",IF(I2063="SBJ","CB","?"))</f>
        <v/>
      </c>
      <c r="I2063" s="24" t="str">
        <f aca="false">IF(OR(E2063="",E2063="!!!",F2063="NEW"),"",INDEX(B15:B$2049,-1+SUMPRODUCT(MAX(ROW(E15:E$2049)*(E2063=E15:E$2049)))))</f>
        <v/>
      </c>
      <c r="J2063" s="24" t="str">
        <f aca="true">IF(OR(E2063="",E2063="!!!",F2063="NEW"),"",COUNTBLANK(OFFSET(A$1,,,SUMPRODUCT(MAX(ROW(E$2:E2063)*(E2063=E$2:E2063)))))-COUNTBLANK(OFFSET(A$1,,,SUMPRODUCT(MAX(ROW(E$1:E2062)*(E2=E$1:E2062))))))</f>
        <v/>
      </c>
      <c r="K2063" s="24" t="str">
        <f aca="false">IF(OR(E2063="",E2063="!!!",F2063="NEW"),"",INDEX(J$1:J2062,SUMPRODUCT(MAX(ROW(E$1:E2062)*(E2063=E$1:E2062)))))</f>
        <v/>
      </c>
      <c r="L2063" s="31"/>
    </row>
    <row r="2064" customFormat="false" ht="15" hidden="false" customHeight="false" outlineLevel="0" collapsed="false">
      <c r="A2064" s="20"/>
    </row>
    <row r="2065" customFormat="false" ht="15" hidden="false" customHeight="false" outlineLevel="0" collapsed="false">
      <c r="A2065" s="20" t="s">
        <v>1831</v>
      </c>
    </row>
    <row r="2066" customFormat="false" ht="15" hidden="false" customHeight="false" outlineLevel="0" collapsed="false">
      <c r="A2066" s="20" t="s">
        <v>1832</v>
      </c>
      <c r="E2066" s="23" t="str">
        <f aca="false">IF(D2066="?OLD","!!!","")</f>
        <v/>
      </c>
      <c r="F2066" s="25" t="str">
        <f aca="false">IF(OR(E2066="",E2066="!!!"),"",IF(NOT(ISNA(VLOOKUP(E2066,E$1:E2065,1,FALSE()))),"OLD",IF(AND(E2066&lt;&gt;"",E2066&lt;&gt;"!!!"),"NEW","")))</f>
        <v/>
      </c>
      <c r="G2066" s="26" t="str">
        <f aca="false">IF(OR(E2066="",E2066="!!!"),"",IF(OR(J2066=0,AND(J2066=1,K2066=1),AND(J2066=1,I2066="SBJ"),AND(J2066=1,I2066=0)),"?IN_FOCUS",IF(J2066&lt;=2,"?ACTIVATED",IF(J2066&lt;&gt;"","?FAMILIAR",IF(F2066="NEW",IF(ISNA(VLOOKUP(E2066,#REF!,1,FALSE())),"?TYPE_IDENTIFIABLE","?REFERENTIAL"),"_")))))</f>
        <v/>
      </c>
      <c r="H2066" s="27" t="str">
        <f aca="false">IF(J2066&lt;&gt;1,"",IF(I2066="SBJ","CB","?"))</f>
        <v/>
      </c>
      <c r="I2066" s="24" t="str">
        <f aca="false">IF(OR(E2066="",E2066="!!!",F2066="NEW"),"",INDEX(B2:B$2065,-1+SUMPRODUCT(MAX(ROW(E2:E$2065)*(E2066=E2:E$2065)))))</f>
        <v/>
      </c>
      <c r="J2066" s="24" t="str">
        <f aca="true">IF(OR(E2066="",E2066="!!!",F2066="NEW"),"",COUNTBLANK(OFFSET(A$1,,,SUMPRODUCT(MAX(ROW(E$2:E2066)*(E2066=E$2:E2066)))))-COUNTBLANK(OFFSET(A$1,,,SUMPRODUCT(MAX(ROW(E$1:E2065)*(E2=E$1:E2065))))))</f>
        <v/>
      </c>
      <c r="K2066" s="24" t="str">
        <f aca="false">IF(OR(E2066="",E2066="!!!",F2066="NEW"),"",INDEX(J$1:J2065,SUMPRODUCT(MAX(ROW(E$1:E2065)*(E2066=E$1:E2065)))))</f>
        <v/>
      </c>
      <c r="L2066" s="31"/>
    </row>
    <row r="2067" customFormat="false" ht="15" hidden="false" customHeight="false" outlineLevel="0" collapsed="false">
      <c r="A2067" s="20" t="s">
        <v>1674</v>
      </c>
      <c r="E2067" s="23" t="str">
        <f aca="false">IF(D2067="?OLD","!!!","")</f>
        <v/>
      </c>
      <c r="F2067" s="25" t="str">
        <f aca="false">IF(OR(E2067="",E2067="!!!"),"",IF(NOT(ISNA(VLOOKUP(E2067,E$1:E2066,1,FALSE()))),"OLD",IF(AND(E2067&lt;&gt;"",E2067&lt;&gt;"!!!"),"NEW","")))</f>
        <v/>
      </c>
      <c r="G2067" s="26" t="str">
        <f aca="false">IF(OR(E2067="",E2067="!!!"),"",IF(OR(J2067=0,AND(J2067=1,K2067=1),AND(J2067=1,I2067="SBJ"),AND(J2067=1,I2067=0)),"?IN_FOCUS",IF(J2067&lt;=2,"?ACTIVATED",IF(J2067&lt;&gt;"","?FAMILIAR",IF(F2067="NEW",IF(ISNA(VLOOKUP(E2067,#REF!,1,FALSE())),"?TYPE_IDENTIFIABLE","?REFERENTIAL"),"_")))))</f>
        <v/>
      </c>
      <c r="H2067" s="27" t="str">
        <f aca="false">IF(J2067&lt;&gt;1,"",IF(I2067="SBJ","CB","?"))</f>
        <v/>
      </c>
      <c r="I2067" s="24" t="str">
        <f aca="false">IF(OR(E2067="",E2067="!!!",F2067="NEW"),"",INDEX(B3:B$2065,-1+SUMPRODUCT(MAX(ROW(E3:E$2065)*(E2067=E3:E$2065)))))</f>
        <v/>
      </c>
      <c r="J2067" s="24" t="str">
        <f aca="true">IF(OR(E2067="",E2067="!!!",F2067="NEW"),"",COUNTBLANK(OFFSET(A$1,,,SUMPRODUCT(MAX(ROW(E$2:E2067)*(E2067=E$2:E2067)))))-COUNTBLANK(OFFSET(A$1,,,SUMPRODUCT(MAX(ROW(E$1:E2066)*(E2=E$1:E2066))))))</f>
        <v/>
      </c>
      <c r="K2067" s="24" t="str">
        <f aca="false">IF(OR(E2067="",E2067="!!!",F2067="NEW"),"",INDEX(J$1:J2066,SUMPRODUCT(MAX(ROW(E$1:E2066)*(E2067=E$1:E2066)))))</f>
        <v/>
      </c>
      <c r="L2067" s="31"/>
    </row>
    <row r="2068" customFormat="false" ht="15" hidden="false" customHeight="false" outlineLevel="0" collapsed="false">
      <c r="A2068" s="20" t="s">
        <v>1424</v>
      </c>
      <c r="B2068" s="22" t="s">
        <v>1058</v>
      </c>
      <c r="C2068" s="22" t="s">
        <v>1082</v>
      </c>
      <c r="D2068" s="22" t="s">
        <v>1060</v>
      </c>
      <c r="E2068" s="23" t="str">
        <f aca="false">IF(D2068="?OLD","!!!","")</f>
        <v>!!!</v>
      </c>
      <c r="F2068" s="25" t="str">
        <f aca="false">IF(OR(E2068="",E2068="!!!"),"",IF(NOT(ISNA(VLOOKUP(E2068,E$1:E2067,1,FALSE()))),"OLD",IF(AND(E2068&lt;&gt;"",E2068&lt;&gt;"!!!"),"NEW","")))</f>
        <v/>
      </c>
      <c r="G2068" s="26" t="str">
        <f aca="false">IF(OR(E2068="",E2068="!!!"),"",IF(OR(J2068=0,AND(J2068=1,K2068=1),AND(J2068=1,I2068="SBJ"),AND(J2068=1,I2068=0)),"?IN_FOCUS",IF(J2068&lt;=2,"?ACTIVATED",IF(J2068&lt;&gt;"","?FAMILIAR",IF(F2068="NEW",IF(ISNA(VLOOKUP(E2068,#REF!,1,FALSE())),"?TYPE_IDENTIFIABLE","?REFERENTIAL"),"_")))))</f>
        <v/>
      </c>
      <c r="H2068" s="27" t="str">
        <f aca="false">IF(J2068&lt;&gt;1,"",IF(I2068="SBJ","CB","?"))</f>
        <v/>
      </c>
      <c r="I2068" s="24" t="str">
        <f aca="false">IF(OR(E2068="",E2068="!!!",F2068="NEW"),"",INDEX(B4:B$2065,-1+SUMPRODUCT(MAX(ROW(E4:E$2065)*(E2068=E4:E$2065)))))</f>
        <v/>
      </c>
      <c r="J2068" s="24" t="str">
        <f aca="true">IF(OR(E2068="",E2068="!!!",F2068="NEW"),"",COUNTBLANK(OFFSET(A$1,,,SUMPRODUCT(MAX(ROW(E$2:E2068)*(E2068=E$2:E2068)))))-COUNTBLANK(OFFSET(A$1,,,SUMPRODUCT(MAX(ROW(E$1:E2067)*(E2=E$1:E2067))))))</f>
        <v/>
      </c>
      <c r="K2068" s="24" t="str">
        <f aca="false">IF(OR(E2068="",E2068="!!!",F2068="NEW"),"",INDEX(J$1:J2067,SUMPRODUCT(MAX(ROW(E$1:E2067)*(E2068=E$1:E2067)))))</f>
        <v/>
      </c>
      <c r="L2068" s="31"/>
    </row>
    <row r="2069" customFormat="false" ht="15" hidden="false" customHeight="false" outlineLevel="0" collapsed="false">
      <c r="A2069" s="20" t="s">
        <v>1296</v>
      </c>
      <c r="E2069" s="23" t="str">
        <f aca="false">IF(D2069="?OLD","!!!","")</f>
        <v/>
      </c>
      <c r="F2069" s="25" t="str">
        <f aca="false">IF(OR(E2069="",E2069="!!!"),"",IF(NOT(ISNA(VLOOKUP(E2069,E$1:E2068,1,FALSE()))),"OLD",IF(AND(E2069&lt;&gt;"",E2069&lt;&gt;"!!!"),"NEW","")))</f>
        <v/>
      </c>
      <c r="G2069" s="26" t="str">
        <f aca="false">IF(OR(E2069="",E2069="!!!"),"",IF(OR(J2069=0,AND(J2069=1,K2069=1),AND(J2069=1,I2069="SBJ"),AND(J2069=1,I2069=0)),"?IN_FOCUS",IF(J2069&lt;=2,"?ACTIVATED",IF(J2069&lt;&gt;"","?FAMILIAR",IF(F2069="NEW",IF(ISNA(VLOOKUP(E2069,#REF!,1,FALSE())),"?TYPE_IDENTIFIABLE","?REFERENTIAL"),"_")))))</f>
        <v/>
      </c>
      <c r="H2069" s="27" t="str">
        <f aca="false">IF(J2069&lt;&gt;1,"",IF(I2069="SBJ","CB","?"))</f>
        <v/>
      </c>
      <c r="I2069" s="24" t="str">
        <f aca="false">IF(OR(E2069="",E2069="!!!",F2069="NEW"),"",INDEX(B5:B$2065,-1+SUMPRODUCT(MAX(ROW(E5:E$2065)*(E2069=E5:E$2065)))))</f>
        <v/>
      </c>
      <c r="J2069" s="24" t="str">
        <f aca="true">IF(OR(E2069="",E2069="!!!",F2069="NEW"),"",COUNTBLANK(OFFSET(A$1,,,SUMPRODUCT(MAX(ROW(E$2:E2069)*(E2069=E$2:E2069)))))-COUNTBLANK(OFFSET(A$1,,,SUMPRODUCT(MAX(ROW(E$1:E2068)*(E2=E$1:E2068))))))</f>
        <v/>
      </c>
      <c r="K2069" s="24" t="str">
        <f aca="false">IF(OR(E2069="",E2069="!!!",F2069="NEW"),"",INDEX(J$1:J2068,SUMPRODUCT(MAX(ROW(E$1:E2068)*(E2069=E$1:E2068)))))</f>
        <v/>
      </c>
      <c r="L2069" s="31"/>
    </row>
    <row r="2070" customFormat="false" ht="15" hidden="false" customHeight="false" outlineLevel="0" collapsed="false">
      <c r="A2070" s="20" t="s">
        <v>1445</v>
      </c>
      <c r="E2070" s="23" t="str">
        <f aca="false">IF(D2070="?OLD","!!!","")</f>
        <v/>
      </c>
      <c r="F2070" s="25" t="str">
        <f aca="false">IF(OR(E2070="",E2070="!!!"),"",IF(NOT(ISNA(VLOOKUP(E2070,E$1:E2069,1,FALSE()))),"OLD",IF(AND(E2070&lt;&gt;"",E2070&lt;&gt;"!!!"),"NEW","")))</f>
        <v/>
      </c>
      <c r="G2070" s="26" t="str">
        <f aca="false">IF(OR(E2070="",E2070="!!!"),"",IF(OR(J2070=0,AND(J2070=1,K2070=1),AND(J2070=1,I2070="SBJ"),AND(J2070=1,I2070=0)),"?IN_FOCUS",IF(J2070&lt;=2,"?ACTIVATED",IF(J2070&lt;&gt;"","?FAMILIAR",IF(F2070="NEW",IF(ISNA(VLOOKUP(E2070,#REF!,1,FALSE())),"?TYPE_IDENTIFIABLE","?REFERENTIAL"),"_")))))</f>
        <v/>
      </c>
      <c r="H2070" s="27" t="str">
        <f aca="false">IF(J2070&lt;&gt;1,"",IF(I2070="SBJ","CB","?"))</f>
        <v/>
      </c>
      <c r="I2070" s="24" t="str">
        <f aca="false">IF(OR(E2070="",E2070="!!!",F2070="NEW"),"",INDEX(B6:B$2065,-1+SUMPRODUCT(MAX(ROW(E6:E$2065)*(E2070=E6:E$2065)))))</f>
        <v/>
      </c>
      <c r="J2070" s="24" t="str">
        <f aca="true">IF(OR(E2070="",E2070="!!!",F2070="NEW"),"",COUNTBLANK(OFFSET(A$1,,,SUMPRODUCT(MAX(ROW(E$2:E2070)*(E2070=E$2:E2070)))))-COUNTBLANK(OFFSET(A$1,,,SUMPRODUCT(MAX(ROW(E$1:E2069)*(E2=E$1:E2069))))))</f>
        <v/>
      </c>
      <c r="K2070" s="24" t="str">
        <f aca="false">IF(OR(E2070="",E2070="!!!",F2070="NEW"),"",INDEX(J$1:J2069,SUMPRODUCT(MAX(ROW(E$1:E2069)*(E2070=E$1:E2069)))))</f>
        <v/>
      </c>
      <c r="L2070" s="31"/>
    </row>
    <row r="2071" customFormat="false" ht="15" hidden="false" customHeight="false" outlineLevel="0" collapsed="false">
      <c r="A2071" s="20" t="s">
        <v>1173</v>
      </c>
      <c r="E2071" s="23" t="str">
        <f aca="false">IF(D2071="?OLD","!!!","")</f>
        <v/>
      </c>
      <c r="F2071" s="25" t="str">
        <f aca="false">IF(OR(E2071="",E2071="!!!"),"",IF(NOT(ISNA(VLOOKUP(E2071,E$1:E2070,1,FALSE()))),"OLD",IF(AND(E2071&lt;&gt;"",E2071&lt;&gt;"!!!"),"NEW","")))</f>
        <v/>
      </c>
      <c r="G2071" s="26" t="str">
        <f aca="false">IF(OR(E2071="",E2071="!!!"),"",IF(OR(J2071=0,AND(J2071=1,K2071=1),AND(J2071=1,I2071="SBJ"),AND(J2071=1,I2071=0)),"?IN_FOCUS",IF(J2071&lt;=2,"?ACTIVATED",IF(J2071&lt;&gt;"","?FAMILIAR",IF(F2071="NEW",IF(ISNA(VLOOKUP(E2071,#REF!,1,FALSE())),"?TYPE_IDENTIFIABLE","?REFERENTIAL"),"_")))))</f>
        <v/>
      </c>
      <c r="H2071" s="27" t="str">
        <f aca="false">IF(J2071&lt;&gt;1,"",IF(I2071="SBJ","CB","?"))</f>
        <v/>
      </c>
      <c r="I2071" s="24" t="str">
        <f aca="false">IF(OR(E2071="",E2071="!!!",F2071="NEW"),"",INDEX(B7:B$2065,-1+SUMPRODUCT(MAX(ROW(E7:E$2065)*(E2071=E7:E$2065)))))</f>
        <v/>
      </c>
      <c r="J2071" s="24" t="str">
        <f aca="true">IF(OR(E2071="",E2071="!!!",F2071="NEW"),"",COUNTBLANK(OFFSET(A$1,,,SUMPRODUCT(MAX(ROW(E$2:E2071)*(E2071=E$2:E2071)))))-COUNTBLANK(OFFSET(A$1,,,SUMPRODUCT(MAX(ROW(E$1:E2070)*(E2=E$1:E2070))))))</f>
        <v/>
      </c>
      <c r="K2071" s="24" t="str">
        <f aca="false">IF(OR(E2071="",E2071="!!!",F2071="NEW"),"",INDEX(J$1:J2070,SUMPRODUCT(MAX(ROW(E$1:E2070)*(E2071=E$1:E2070)))))</f>
        <v/>
      </c>
      <c r="L2071" s="31"/>
    </row>
    <row r="2072" customFormat="false" ht="15" hidden="false" customHeight="false" outlineLevel="0" collapsed="false">
      <c r="A2072" s="20" t="s">
        <v>1085</v>
      </c>
      <c r="E2072" s="23" t="str">
        <f aca="false">IF(D2072="?OLD","!!!","")</f>
        <v/>
      </c>
      <c r="F2072" s="25" t="str">
        <f aca="false">IF(OR(E2072="",E2072="!!!"),"",IF(NOT(ISNA(VLOOKUP(E2072,E$1:E2071,1,FALSE()))),"OLD",IF(AND(E2072&lt;&gt;"",E2072&lt;&gt;"!!!"),"NEW","")))</f>
        <v/>
      </c>
      <c r="G2072" s="26" t="str">
        <f aca="false">IF(OR(E2072="",E2072="!!!"),"",IF(OR(J2072=0,AND(J2072=1,K2072=1),AND(J2072=1,I2072="SBJ"),AND(J2072=1,I2072=0)),"?IN_FOCUS",IF(J2072&lt;=2,"?ACTIVATED",IF(J2072&lt;&gt;"","?FAMILIAR",IF(F2072="NEW",IF(ISNA(VLOOKUP(E2072,#REF!,1,FALSE())),"?TYPE_IDENTIFIABLE","?REFERENTIAL"),"_")))))</f>
        <v/>
      </c>
      <c r="H2072" s="27" t="str">
        <f aca="false">IF(J2072&lt;&gt;1,"",IF(I2072="SBJ","CB","?"))</f>
        <v/>
      </c>
      <c r="I2072" s="24" t="str">
        <f aca="false">IF(OR(E2072="",E2072="!!!",F2072="NEW"),"",INDEX(B8:B$2065,-1+SUMPRODUCT(MAX(ROW(E8:E$2065)*(E2072=E8:E$2065)))))</f>
        <v/>
      </c>
      <c r="J2072" s="24" t="str">
        <f aca="true">IF(OR(E2072="",E2072="!!!",F2072="NEW"),"",COUNTBLANK(OFFSET(A$1,,,SUMPRODUCT(MAX(ROW(E$2:E2072)*(E2072=E$2:E2072)))))-COUNTBLANK(OFFSET(A$1,,,SUMPRODUCT(MAX(ROW(E$1:E2071)*(E2=E$1:E2071))))))</f>
        <v/>
      </c>
      <c r="K2072" s="24" t="str">
        <f aca="false">IF(OR(E2072="",E2072="!!!",F2072="NEW"),"",INDEX(J$1:J2071,SUMPRODUCT(MAX(ROW(E$1:E2071)*(E2072=E$1:E2071)))))</f>
        <v/>
      </c>
      <c r="L2072" s="31"/>
    </row>
    <row r="2073" customFormat="false" ht="15" hidden="false" customHeight="false" outlineLevel="0" collapsed="false">
      <c r="A2073" s="20" t="s">
        <v>1833</v>
      </c>
      <c r="B2073" s="22" t="s">
        <v>1105</v>
      </c>
      <c r="C2073" s="22" t="s">
        <v>1087</v>
      </c>
      <c r="E2073" s="23" t="str">
        <f aca="false">IF(D2073="?OLD","!!!","")</f>
        <v/>
      </c>
      <c r="F2073" s="25" t="str">
        <f aca="false">IF(OR(E2073="",E2073="!!!"),"",IF(NOT(ISNA(VLOOKUP(E2073,E$1:E2072,1,FALSE()))),"OLD",IF(AND(E2073&lt;&gt;"",E2073&lt;&gt;"!!!"),"NEW","")))</f>
        <v/>
      </c>
      <c r="G2073" s="26" t="str">
        <f aca="false">IF(OR(E2073="",E2073="!!!"),"",IF(OR(J2073=0,AND(J2073=1,K2073=1),AND(J2073=1,I2073="SBJ"),AND(J2073=1,I2073=0)),"?IN_FOCUS",IF(J2073&lt;=2,"?ACTIVATED",IF(J2073&lt;&gt;"","?FAMILIAR",IF(F2073="NEW",IF(ISNA(VLOOKUP(E2073,#REF!,1,FALSE())),"?TYPE_IDENTIFIABLE","?REFERENTIAL"),"_")))))</f>
        <v/>
      </c>
      <c r="H2073" s="27" t="str">
        <f aca="false">IF(J2073&lt;&gt;1,"",IF(I2073="SBJ","CB","?"))</f>
        <v/>
      </c>
      <c r="I2073" s="24" t="str">
        <f aca="false">IF(OR(E2073="",E2073="!!!",F2073="NEW"),"",INDEX(B9:B$2065,-1+SUMPRODUCT(MAX(ROW(E9:E$2065)*(E2073=E9:E$2065)))))</f>
        <v/>
      </c>
      <c r="J2073" s="24" t="str">
        <f aca="true">IF(OR(E2073="",E2073="!!!",F2073="NEW"),"",COUNTBLANK(OFFSET(A$1,,,SUMPRODUCT(MAX(ROW(E$2:E2073)*(E2073=E$2:E2073)))))-COUNTBLANK(OFFSET(A$1,,,SUMPRODUCT(MAX(ROW(E$1:E2072)*(E2=E$1:E2072))))))</f>
        <v/>
      </c>
      <c r="K2073" s="24" t="str">
        <f aca="false">IF(OR(E2073="",E2073="!!!",F2073="NEW"),"",INDEX(J$1:J2072,SUMPRODUCT(MAX(ROW(E$1:E2072)*(E2073=E$1:E2072)))))</f>
        <v/>
      </c>
      <c r="L2073" s="31"/>
    </row>
    <row r="2074" customFormat="false" ht="15" hidden="false" customHeight="false" outlineLevel="0" collapsed="false">
      <c r="A2074" s="20" t="s">
        <v>1076</v>
      </c>
      <c r="E2074" s="23" t="str">
        <f aca="false">IF(D2074="?OLD","!!!","")</f>
        <v/>
      </c>
      <c r="F2074" s="25" t="str">
        <f aca="false">IF(OR(E2074="",E2074="!!!"),"",IF(NOT(ISNA(VLOOKUP(E2074,E$1:E2073,1,FALSE()))),"OLD",IF(AND(E2074&lt;&gt;"",E2074&lt;&gt;"!!!"),"NEW","")))</f>
        <v/>
      </c>
      <c r="G2074" s="26" t="str">
        <f aca="false">IF(OR(E2074="",E2074="!!!"),"",IF(OR(J2074=0,AND(J2074=1,K2074=1),AND(J2074=1,I2074="SBJ"),AND(J2074=1,I2074=0)),"?IN_FOCUS",IF(J2074&lt;=2,"?ACTIVATED",IF(J2074&lt;&gt;"","?FAMILIAR",IF(F2074="NEW",IF(ISNA(VLOOKUP(E2074,#REF!,1,FALSE())),"?TYPE_IDENTIFIABLE","?REFERENTIAL"),"_")))))</f>
        <v/>
      </c>
      <c r="H2074" s="27" t="str">
        <f aca="false">IF(J2074&lt;&gt;1,"",IF(I2074="SBJ","CB","?"))</f>
        <v/>
      </c>
      <c r="I2074" s="24" t="str">
        <f aca="false">IF(OR(E2074="",E2074="!!!",F2074="NEW"),"",INDEX(B10:B$2065,-1+SUMPRODUCT(MAX(ROW(E10:E$2065)*(E2074=E10:E$2065)))))</f>
        <v/>
      </c>
      <c r="J2074" s="24" t="str">
        <f aca="true">IF(OR(E2074="",E2074="!!!",F2074="NEW"),"",COUNTBLANK(OFFSET(A$1,,,SUMPRODUCT(MAX(ROW(E$2:E2074)*(E2074=E$2:E2074)))))-COUNTBLANK(OFFSET(A$1,,,SUMPRODUCT(MAX(ROW(E$1:E2073)*(E2=E$1:E2073))))))</f>
        <v/>
      </c>
      <c r="K2074" s="24" t="str">
        <f aca="false">IF(OR(E2074="",E2074="!!!",F2074="NEW"),"",INDEX(J$1:J2073,SUMPRODUCT(MAX(ROW(E$1:E2073)*(E2074=E$1:E2073)))))</f>
        <v/>
      </c>
      <c r="L2074" s="31"/>
    </row>
    <row r="2075" customFormat="false" ht="15" hidden="false" customHeight="false" outlineLevel="0" collapsed="false">
      <c r="A2075" s="20" t="s">
        <v>1834</v>
      </c>
      <c r="E2075" s="23" t="str">
        <f aca="false">IF(D2075="?OLD","!!!","")</f>
        <v/>
      </c>
      <c r="F2075" s="25" t="str">
        <f aca="false">IF(OR(E2075="",E2075="!!!"),"",IF(NOT(ISNA(VLOOKUP(E2075,E$1:E2074,1,FALSE()))),"OLD",IF(AND(E2075&lt;&gt;"",E2075&lt;&gt;"!!!"),"NEW","")))</f>
        <v/>
      </c>
      <c r="G2075" s="26" t="str">
        <f aca="false">IF(OR(E2075="",E2075="!!!"),"",IF(OR(J2075=0,AND(J2075=1,K2075=1),AND(J2075=1,I2075="SBJ"),AND(J2075=1,I2075=0)),"?IN_FOCUS",IF(J2075&lt;=2,"?ACTIVATED",IF(J2075&lt;&gt;"","?FAMILIAR",IF(F2075="NEW",IF(ISNA(VLOOKUP(E2075,#REF!,1,FALSE())),"?TYPE_IDENTIFIABLE","?REFERENTIAL"),"_")))))</f>
        <v/>
      </c>
      <c r="H2075" s="27" t="str">
        <f aca="false">IF(J2075&lt;&gt;1,"",IF(I2075="SBJ","CB","?"))</f>
        <v/>
      </c>
      <c r="I2075" s="24" t="str">
        <f aca="false">IF(OR(E2075="",E2075="!!!",F2075="NEW"),"",INDEX(B11:B$2065,-1+SUMPRODUCT(MAX(ROW(E11:E$2065)*(E2075=E11:E$2065)))))</f>
        <v/>
      </c>
      <c r="J2075" s="24" t="str">
        <f aca="true">IF(OR(E2075="",E2075="!!!",F2075="NEW"),"",COUNTBLANK(OFFSET(A$1,,,SUMPRODUCT(MAX(ROW(E$2:E2075)*(E2075=E$2:E2075)))))-COUNTBLANK(OFFSET(A$1,,,SUMPRODUCT(MAX(ROW(E$1:E2074)*(E2=E$1:E2074))))))</f>
        <v/>
      </c>
      <c r="K2075" s="24" t="str">
        <f aca="false">IF(OR(E2075="",E2075="!!!",F2075="NEW"),"",INDEX(J$1:J2074,SUMPRODUCT(MAX(ROW(E$1:E2074)*(E2075=E$1:E2074)))))</f>
        <v/>
      </c>
      <c r="L2075" s="31"/>
    </row>
    <row r="2076" customFormat="false" ht="15" hidden="false" customHeight="false" outlineLevel="0" collapsed="false">
      <c r="A2076" s="20" t="s">
        <v>374</v>
      </c>
      <c r="B2076" s="22" t="s">
        <v>1142</v>
      </c>
      <c r="C2076" s="22" t="s">
        <v>1160</v>
      </c>
      <c r="E2076" s="23" t="str">
        <f aca="false">IF(D2076="?OLD","!!!","")</f>
        <v/>
      </c>
      <c r="F2076" s="25" t="str">
        <f aca="false">IF(OR(E2076="",E2076="!!!"),"",IF(NOT(ISNA(VLOOKUP(E2076,E$1:E2075,1,FALSE()))),"OLD",IF(AND(E2076&lt;&gt;"",E2076&lt;&gt;"!!!"),"NEW","")))</f>
        <v/>
      </c>
      <c r="G2076" s="26" t="str">
        <f aca="false">IF(OR(E2076="",E2076="!!!"),"",IF(OR(J2076=0,AND(J2076=1,K2076=1),AND(J2076=1,I2076="SBJ"),AND(J2076=1,I2076=0)),"?IN_FOCUS",IF(J2076&lt;=2,"?ACTIVATED",IF(J2076&lt;&gt;"","?FAMILIAR",IF(F2076="NEW",IF(ISNA(VLOOKUP(E2076,#REF!,1,FALSE())),"?TYPE_IDENTIFIABLE","?REFERENTIAL"),"_")))))</f>
        <v/>
      </c>
      <c r="H2076" s="27" t="str">
        <f aca="false">IF(J2076&lt;&gt;1,"",IF(I2076="SBJ","CB","?"))</f>
        <v/>
      </c>
      <c r="I2076" s="24" t="str">
        <f aca="false">IF(OR(E2076="",E2076="!!!",F2076="NEW"),"",INDEX(B12:B$2065,-1+SUMPRODUCT(MAX(ROW(E12:E$2065)*(E2076=E12:E$2065)))))</f>
        <v/>
      </c>
      <c r="J2076" s="24" t="str">
        <f aca="true">IF(OR(E2076="",E2076="!!!",F2076="NEW"),"",COUNTBLANK(OFFSET(A$1,,,SUMPRODUCT(MAX(ROW(E$2:E2076)*(E2076=E$2:E2076)))))-COUNTBLANK(OFFSET(A$1,,,SUMPRODUCT(MAX(ROW(E$1:E2075)*(E2=E$1:E2075))))))</f>
        <v/>
      </c>
      <c r="K2076" s="24" t="str">
        <f aca="false">IF(OR(E2076="",E2076="!!!",F2076="NEW"),"",INDEX(J$1:J2075,SUMPRODUCT(MAX(ROW(E$1:E2075)*(E2076=E$1:E2075)))))</f>
        <v/>
      </c>
      <c r="L2076" s="31"/>
    </row>
    <row r="2077" customFormat="false" ht="15" hidden="false" customHeight="false" outlineLevel="0" collapsed="false">
      <c r="A2077" s="20" t="s">
        <v>1076</v>
      </c>
      <c r="E2077" s="23" t="str">
        <f aca="false">IF(D2077="?OLD","!!!","")</f>
        <v/>
      </c>
      <c r="F2077" s="25" t="str">
        <f aca="false">IF(OR(E2077="",E2077="!!!"),"",IF(NOT(ISNA(VLOOKUP(E2077,E$1:E2076,1,FALSE()))),"OLD",IF(AND(E2077&lt;&gt;"",E2077&lt;&gt;"!!!"),"NEW","")))</f>
        <v/>
      </c>
      <c r="G2077" s="26" t="str">
        <f aca="false">IF(OR(E2077="",E2077="!!!"),"",IF(OR(J2077=0,AND(J2077=1,K2077=1),AND(J2077=1,I2077="SBJ"),AND(J2077=1,I2077=0)),"?IN_FOCUS",IF(J2077&lt;=2,"?ACTIVATED",IF(J2077&lt;&gt;"","?FAMILIAR",IF(F2077="NEW",IF(ISNA(VLOOKUP(E2077,#REF!,1,FALSE())),"?TYPE_IDENTIFIABLE","?REFERENTIAL"),"_")))))</f>
        <v/>
      </c>
      <c r="H2077" s="27" t="str">
        <f aca="false">IF(J2077&lt;&gt;1,"",IF(I2077="SBJ","CB","?"))</f>
        <v/>
      </c>
      <c r="I2077" s="24" t="str">
        <f aca="false">IF(OR(E2077="",E2077="!!!",F2077="NEW"),"",INDEX(B13:B$2065,-1+SUMPRODUCT(MAX(ROW(E13:E$2065)*(E2077=E13:E$2065)))))</f>
        <v/>
      </c>
      <c r="J2077" s="24" t="str">
        <f aca="true">IF(OR(E2077="",E2077="!!!",F2077="NEW"),"",COUNTBLANK(OFFSET(A$1,,,SUMPRODUCT(MAX(ROW(E$2:E2077)*(E2077=E$2:E2077)))))-COUNTBLANK(OFFSET(A$1,,,SUMPRODUCT(MAX(ROW(E$1:E2076)*(E2=E$1:E2076))))))</f>
        <v/>
      </c>
      <c r="K2077" s="24" t="str">
        <f aca="false">IF(OR(E2077="",E2077="!!!",F2077="NEW"),"",INDEX(J$1:J2076,SUMPRODUCT(MAX(ROW(E$1:E2076)*(E2077=E$1:E2076)))))</f>
        <v/>
      </c>
      <c r="L2077" s="31"/>
    </row>
    <row r="2078" customFormat="false" ht="15" hidden="false" customHeight="false" outlineLevel="0" collapsed="false">
      <c r="A2078" s="20" t="s">
        <v>1128</v>
      </c>
      <c r="E2078" s="23" t="str">
        <f aca="false">IF(D2078="?OLD","!!!","")</f>
        <v/>
      </c>
      <c r="F2078" s="25" t="str">
        <f aca="false">IF(OR(E2078="",E2078="!!!"),"",IF(NOT(ISNA(VLOOKUP(E2078,E$1:E2077,1,FALSE()))),"OLD",IF(AND(E2078&lt;&gt;"",E2078&lt;&gt;"!!!"),"NEW","")))</f>
        <v/>
      </c>
      <c r="G2078" s="26" t="str">
        <f aca="false">IF(OR(E2078="",E2078="!!!"),"",IF(OR(J2078=0,AND(J2078=1,K2078=1),AND(J2078=1,I2078="SBJ"),AND(J2078=1,I2078=0)),"?IN_FOCUS",IF(J2078&lt;=2,"?ACTIVATED",IF(J2078&lt;&gt;"","?FAMILIAR",IF(F2078="NEW",IF(ISNA(VLOOKUP(E2078,#REF!,1,FALSE())),"?TYPE_IDENTIFIABLE","?REFERENTIAL"),"_")))))</f>
        <v/>
      </c>
      <c r="H2078" s="27" t="str">
        <f aca="false">IF(J2078&lt;&gt;1,"",IF(I2078="SBJ","CB","?"))</f>
        <v/>
      </c>
      <c r="I2078" s="24" t="str">
        <f aca="false">IF(OR(E2078="",E2078="!!!",F2078="NEW"),"",INDEX(B14:B$2065,-1+SUMPRODUCT(MAX(ROW(E14:E$2065)*(E2078=E14:E$2065)))))</f>
        <v/>
      </c>
      <c r="J2078" s="24" t="str">
        <f aca="true">IF(OR(E2078="",E2078="!!!",F2078="NEW"),"",COUNTBLANK(OFFSET(A$1,,,SUMPRODUCT(MAX(ROW(E$2:E2078)*(E2078=E$2:E2078)))))-COUNTBLANK(OFFSET(A$1,,,SUMPRODUCT(MAX(ROW(E$1:E2077)*(E2=E$1:E2077))))))</f>
        <v/>
      </c>
      <c r="K2078" s="24" t="str">
        <f aca="false">IF(OR(E2078="",E2078="!!!",F2078="NEW"),"",INDEX(J$1:J2077,SUMPRODUCT(MAX(ROW(E$1:E2077)*(E2078=E$1:E2077)))))</f>
        <v/>
      </c>
      <c r="L2078" s="31"/>
    </row>
    <row r="2079" customFormat="false" ht="15" hidden="false" customHeight="false" outlineLevel="0" collapsed="false">
      <c r="A2079" s="20" t="s">
        <v>1097</v>
      </c>
      <c r="B2079" s="22" t="s">
        <v>1073</v>
      </c>
      <c r="C2079" s="22" t="s">
        <v>1099</v>
      </c>
      <c r="D2079" s="22" t="s">
        <v>1060</v>
      </c>
      <c r="E2079" s="23" t="str">
        <f aca="false">IF(D2079="?OLD","!!!","")</f>
        <v>!!!</v>
      </c>
      <c r="F2079" s="25" t="str">
        <f aca="false">IF(OR(E2079="",E2079="!!!"),"",IF(NOT(ISNA(VLOOKUP(E2079,E$1:E2078,1,FALSE()))),"OLD",IF(AND(E2079&lt;&gt;"",E2079&lt;&gt;"!!!"),"NEW","")))</f>
        <v/>
      </c>
      <c r="G2079" s="26" t="str">
        <f aca="false">IF(OR(E2079="",E2079="!!!"),"",IF(OR(J2079=0,AND(J2079=1,K2079=1),AND(J2079=1,I2079="SBJ"),AND(J2079=1,I2079=0)),"?IN_FOCUS",IF(J2079&lt;=2,"?ACTIVATED",IF(J2079&lt;&gt;"","?FAMILIAR",IF(F2079="NEW",IF(ISNA(VLOOKUP(E2079,#REF!,1,FALSE())),"?TYPE_IDENTIFIABLE","?REFERENTIAL"),"_")))))</f>
        <v/>
      </c>
      <c r="H2079" s="27" t="str">
        <f aca="false">IF(J2079&lt;&gt;1,"",IF(I2079="SBJ","CB","?"))</f>
        <v/>
      </c>
      <c r="I2079" s="24" t="str">
        <f aca="false">IF(OR(E2079="",E2079="!!!",F2079="NEW"),"",INDEX(B15:B$2065,-1+SUMPRODUCT(MAX(ROW(E15:E$2065)*(E2079=E15:E$2065)))))</f>
        <v/>
      </c>
      <c r="J2079" s="24" t="str">
        <f aca="true">IF(OR(E2079="",E2079="!!!",F2079="NEW"),"",COUNTBLANK(OFFSET(A$1,,,SUMPRODUCT(MAX(ROW(E$2:E2079)*(E2079=E$2:E2079)))))-COUNTBLANK(OFFSET(A$1,,,SUMPRODUCT(MAX(ROW(E$1:E2078)*(E2=E$1:E2078))))))</f>
        <v/>
      </c>
      <c r="K2079" s="24" t="str">
        <f aca="false">IF(OR(E2079="",E2079="!!!",F2079="NEW"),"",INDEX(J$1:J2078,SUMPRODUCT(MAX(ROW(E$1:E2078)*(E2079=E$1:E2078)))))</f>
        <v/>
      </c>
      <c r="L2079" s="31"/>
    </row>
    <row r="2080" customFormat="false" ht="15" hidden="false" customHeight="false" outlineLevel="0" collapsed="false">
      <c r="A2080" s="20" t="s">
        <v>1835</v>
      </c>
      <c r="B2080" s="22" t="s">
        <v>1105</v>
      </c>
      <c r="C2080" s="22" t="s">
        <v>1059</v>
      </c>
      <c r="D2080" s="22" t="s">
        <v>1060</v>
      </c>
      <c r="E2080" s="23" t="str">
        <f aca="false">IF(D2080="?OLD","!!!","")</f>
        <v>!!!</v>
      </c>
      <c r="F2080" s="25" t="str">
        <f aca="false">IF(OR(E2080="",E2080="!!!"),"",IF(NOT(ISNA(VLOOKUP(E2080,E$1:E2079,1,FALSE()))),"OLD",IF(AND(E2080&lt;&gt;"",E2080&lt;&gt;"!!!"),"NEW","")))</f>
        <v/>
      </c>
      <c r="G2080" s="26" t="str">
        <f aca="false">IF(OR(E2080="",E2080="!!!"),"",IF(OR(J2080=0,AND(J2080=1,K2080=1),AND(J2080=1,I2080="SBJ"),AND(J2080=1,I2080=0)),"?IN_FOCUS",IF(J2080&lt;=2,"?ACTIVATED",IF(J2080&lt;&gt;"","?FAMILIAR",IF(F2080="NEW",IF(ISNA(VLOOKUP(E2080,#REF!,1,FALSE())),"?TYPE_IDENTIFIABLE","?REFERENTIAL"),"_")))))</f>
        <v/>
      </c>
      <c r="H2080" s="27" t="str">
        <f aca="false">IF(J2080&lt;&gt;1,"",IF(I2080="SBJ","CB","?"))</f>
        <v/>
      </c>
      <c r="I2080" s="24" t="str">
        <f aca="false">IF(OR(E2080="",E2080="!!!",F2080="NEW"),"",INDEX(B16:B$2065,-1+SUMPRODUCT(MAX(ROW(E16:E$2065)*(E2080=E16:E$2065)))))</f>
        <v/>
      </c>
      <c r="J2080" s="24" t="str">
        <f aca="true">IF(OR(E2080="",E2080="!!!",F2080="NEW"),"",COUNTBLANK(OFFSET(A$1,,,SUMPRODUCT(MAX(ROW(E$2:E2080)*(E2080=E$2:E2080)))))-COUNTBLANK(OFFSET(A$1,,,SUMPRODUCT(MAX(ROW(E$1:E2079)*(E2=E$1:E2079))))))</f>
        <v/>
      </c>
      <c r="K2080" s="24" t="str">
        <f aca="false">IF(OR(E2080="",E2080="!!!",F2080="NEW"),"",INDEX(J$1:J2079,SUMPRODUCT(MAX(ROW(E$1:E2079)*(E2080=E$1:E2079)))))</f>
        <v/>
      </c>
      <c r="L2080" s="31"/>
    </row>
    <row r="2081" customFormat="false" ht="15" hidden="false" customHeight="false" outlineLevel="0" collapsed="false">
      <c r="A2081" s="20" t="s">
        <v>1836</v>
      </c>
      <c r="E2081" s="23" t="str">
        <f aca="false">IF(D2081="?OLD","!!!","")</f>
        <v/>
      </c>
      <c r="F2081" s="25" t="str">
        <f aca="false">IF(OR(E2081="",E2081="!!!"),"",IF(NOT(ISNA(VLOOKUP(E2081,E$1:E2080,1,FALSE()))),"OLD",IF(AND(E2081&lt;&gt;"",E2081&lt;&gt;"!!!"),"NEW","")))</f>
        <v/>
      </c>
      <c r="G2081" s="26" t="str">
        <f aca="false">IF(OR(E2081="",E2081="!!!"),"",IF(OR(J2081=0,AND(J2081=1,K2081=1),AND(J2081=1,I2081="SBJ"),AND(J2081=1,I2081=0)),"?IN_FOCUS",IF(J2081&lt;=2,"?ACTIVATED",IF(J2081&lt;&gt;"","?FAMILIAR",IF(F2081="NEW",IF(ISNA(VLOOKUP(E2081,#REF!,1,FALSE())),"?TYPE_IDENTIFIABLE","?REFERENTIAL"),"_")))))</f>
        <v/>
      </c>
      <c r="H2081" s="27" t="str">
        <f aca="false">IF(J2081&lt;&gt;1,"",IF(I2081="SBJ","CB","?"))</f>
        <v/>
      </c>
      <c r="I2081" s="24" t="str">
        <f aca="false">IF(OR(E2081="",E2081="!!!",F2081="NEW"),"",INDEX(B17:B$2065,-1+SUMPRODUCT(MAX(ROW(E17:E$2065)*(E2081=E17:E$2065)))))</f>
        <v/>
      </c>
      <c r="J2081" s="24" t="str">
        <f aca="true">IF(OR(E2081="",E2081="!!!",F2081="NEW"),"",COUNTBLANK(OFFSET(A$1,,,SUMPRODUCT(MAX(ROW(E$2:E2081)*(E2081=E$2:E2081)))))-COUNTBLANK(OFFSET(A$1,,,SUMPRODUCT(MAX(ROW(E$1:E2080)*(E2=E$1:E2080))))))</f>
        <v/>
      </c>
      <c r="K2081" s="24" t="str">
        <f aca="false">IF(OR(E2081="",E2081="!!!",F2081="NEW"),"",INDEX(J$1:J2080,SUMPRODUCT(MAX(ROW(E$1:E2080)*(E2081=E$1:E2080)))))</f>
        <v/>
      </c>
      <c r="L2081" s="31"/>
    </row>
    <row r="2082" customFormat="false" ht="15" hidden="false" customHeight="false" outlineLevel="0" collapsed="false">
      <c r="A2082" s="20" t="s">
        <v>1173</v>
      </c>
      <c r="E2082" s="23" t="str">
        <f aca="false">IF(D2082="?OLD","!!!","")</f>
        <v/>
      </c>
      <c r="F2082" s="25" t="str">
        <f aca="false">IF(OR(E2082="",E2082="!!!"),"",IF(NOT(ISNA(VLOOKUP(E2082,E$1:E2081,1,FALSE()))),"OLD",IF(AND(E2082&lt;&gt;"",E2082&lt;&gt;"!!!"),"NEW","")))</f>
        <v/>
      </c>
      <c r="G2082" s="26" t="str">
        <f aca="false">IF(OR(E2082="",E2082="!!!"),"",IF(OR(J2082=0,AND(J2082=1,K2082=1),AND(J2082=1,I2082="SBJ"),AND(J2082=1,I2082=0)),"?IN_FOCUS",IF(J2082&lt;=2,"?ACTIVATED",IF(J2082&lt;&gt;"","?FAMILIAR",IF(F2082="NEW",IF(ISNA(VLOOKUP(E2082,#REF!,1,FALSE())),"?TYPE_IDENTIFIABLE","?REFERENTIAL"),"_")))))</f>
        <v/>
      </c>
      <c r="H2082" s="27" t="str">
        <f aca="false">IF(J2082&lt;&gt;1,"",IF(I2082="SBJ","CB","?"))</f>
        <v/>
      </c>
      <c r="I2082" s="24" t="str">
        <f aca="false">IF(OR(E2082="",E2082="!!!",F2082="NEW"),"",INDEX(B18:B$2065,-1+SUMPRODUCT(MAX(ROW(E18:E$2065)*(E2082=E18:E$2065)))))</f>
        <v/>
      </c>
      <c r="J2082" s="24" t="str">
        <f aca="true">IF(OR(E2082="",E2082="!!!",F2082="NEW"),"",COUNTBLANK(OFFSET(A$1,,,SUMPRODUCT(MAX(ROW(E$2:E2082)*(E2082=E$2:E2082)))))-COUNTBLANK(OFFSET(A$1,,,SUMPRODUCT(MAX(ROW(E$1:E2081)*(E2=E$1:E2081))))))</f>
        <v/>
      </c>
      <c r="K2082" s="24" t="str">
        <f aca="false">IF(OR(E2082="",E2082="!!!",F2082="NEW"),"",INDEX(J$1:J2081,SUMPRODUCT(MAX(ROW(E$1:E2081)*(E2082=E$1:E2081)))))</f>
        <v/>
      </c>
      <c r="L2082" s="31"/>
    </row>
    <row r="2083" customFormat="false" ht="15" hidden="false" customHeight="false" outlineLevel="0" collapsed="false">
      <c r="A2083" s="20" t="s">
        <v>1837</v>
      </c>
      <c r="B2083" s="22" t="s">
        <v>1067</v>
      </c>
      <c r="C2083" s="22" t="s">
        <v>1160</v>
      </c>
      <c r="E2083" s="23" t="str">
        <f aca="false">IF(D2083="?OLD","!!!","")</f>
        <v/>
      </c>
      <c r="F2083" s="25" t="str">
        <f aca="false">IF(OR(E2083="",E2083="!!!"),"",IF(NOT(ISNA(VLOOKUP(E2083,E$1:E2082,1,FALSE()))),"OLD",IF(AND(E2083&lt;&gt;"",E2083&lt;&gt;"!!!"),"NEW","")))</f>
        <v/>
      </c>
      <c r="G2083" s="26" t="str">
        <f aca="false">IF(OR(E2083="",E2083="!!!"),"",IF(OR(J2083=0,AND(J2083=1,K2083=1),AND(J2083=1,I2083="SBJ"),AND(J2083=1,I2083=0)),"?IN_FOCUS",IF(J2083&lt;=2,"?ACTIVATED",IF(J2083&lt;&gt;"","?FAMILIAR",IF(F2083="NEW",IF(ISNA(VLOOKUP(E2083,#REF!,1,FALSE())),"?TYPE_IDENTIFIABLE","?REFERENTIAL"),"_")))))</f>
        <v/>
      </c>
      <c r="H2083" s="27" t="str">
        <f aca="false">IF(J2083&lt;&gt;1,"",IF(I2083="SBJ","CB","?"))</f>
        <v/>
      </c>
      <c r="I2083" s="24" t="str">
        <f aca="false">IF(OR(E2083="",E2083="!!!",F2083="NEW"),"",INDEX(B19:B$2065,-1+SUMPRODUCT(MAX(ROW(E19:E$2065)*(E2083=E19:E$2065)))))</f>
        <v/>
      </c>
      <c r="J2083" s="24" t="str">
        <f aca="true">IF(OR(E2083="",E2083="!!!",F2083="NEW"),"",COUNTBLANK(OFFSET(A$1,,,SUMPRODUCT(MAX(ROW(E$2:E2083)*(E2083=E$2:E2083)))))-COUNTBLANK(OFFSET(A$1,,,SUMPRODUCT(MAX(ROW(E$1:E2082)*(E2=E$1:E2082))))))</f>
        <v/>
      </c>
      <c r="K2083" s="24" t="str">
        <f aca="false">IF(OR(E2083="",E2083="!!!",F2083="NEW"),"",INDEX(J$1:J2082,SUMPRODUCT(MAX(ROW(E$1:E2082)*(E2083=E$1:E2082)))))</f>
        <v/>
      </c>
      <c r="L2083" s="31"/>
    </row>
    <row r="2084" customFormat="false" ht="15" hidden="false" customHeight="false" outlineLevel="0" collapsed="false">
      <c r="A2084" s="20" t="s">
        <v>923</v>
      </c>
      <c r="E2084" s="23" t="str">
        <f aca="false">IF(D2084="?OLD","!!!","")</f>
        <v/>
      </c>
      <c r="F2084" s="25" t="str">
        <f aca="false">IF(OR(E2084="",E2084="!!!"),"",IF(NOT(ISNA(VLOOKUP(E2084,E$1:E2083,1,FALSE()))),"OLD",IF(AND(E2084&lt;&gt;"",E2084&lt;&gt;"!!!"),"NEW","")))</f>
        <v/>
      </c>
      <c r="G2084" s="26" t="str">
        <f aca="false">IF(OR(E2084="",E2084="!!!"),"",IF(OR(J2084=0,AND(J2084=1,K2084=1),AND(J2084=1,I2084="SBJ"),AND(J2084=1,I2084=0)),"?IN_FOCUS",IF(J2084&lt;=2,"?ACTIVATED",IF(J2084&lt;&gt;"","?FAMILIAR",IF(F2084="NEW",IF(ISNA(VLOOKUP(E2084,#REF!,1,FALSE())),"?TYPE_IDENTIFIABLE","?REFERENTIAL"),"_")))))</f>
        <v/>
      </c>
      <c r="H2084" s="27" t="str">
        <f aca="false">IF(J2084&lt;&gt;1,"",IF(I2084="SBJ","CB","?"))</f>
        <v/>
      </c>
      <c r="I2084" s="24" t="str">
        <f aca="false">IF(OR(E2084="",E2084="!!!",F2084="NEW"),"",INDEX(B20:B$2065,-1+SUMPRODUCT(MAX(ROW(E20:E$2065)*(E2084=E20:E$2065)))))</f>
        <v/>
      </c>
      <c r="J2084" s="24" t="str">
        <f aca="true">IF(OR(E2084="",E2084="!!!",F2084="NEW"),"",COUNTBLANK(OFFSET(A$1,,,SUMPRODUCT(MAX(ROW(E$2:E2084)*(E2084=E$2:E2084)))))-COUNTBLANK(OFFSET(A$1,,,SUMPRODUCT(MAX(ROW(E$1:E2083)*(E2=E$1:E2083))))))</f>
        <v/>
      </c>
      <c r="K2084" s="24" t="str">
        <f aca="false">IF(OR(E2084="",E2084="!!!",F2084="NEW"),"",INDEX(J$1:J2083,SUMPRODUCT(MAX(ROW(E$1:E2083)*(E2084=E$1:E2083)))))</f>
        <v/>
      </c>
      <c r="L2084" s="31"/>
    </row>
    <row r="2085" customFormat="false" ht="15" hidden="false" customHeight="false" outlineLevel="0" collapsed="false">
      <c r="A2085" s="20"/>
    </row>
    <row r="2086" customFormat="false" ht="15" hidden="false" customHeight="false" outlineLevel="0" collapsed="false">
      <c r="A2086" s="20" t="s">
        <v>1838</v>
      </c>
    </row>
    <row r="2087" customFormat="false" ht="15" hidden="false" customHeight="false" outlineLevel="0" collapsed="false">
      <c r="A2087" s="20" t="s">
        <v>1759</v>
      </c>
      <c r="E2087" s="23" t="str">
        <f aca="false">IF(D2087="?OLD","!!!","")</f>
        <v/>
      </c>
      <c r="F2087" s="25" t="str">
        <f aca="false">IF(OR(E2087="",E2087="!!!"),"",IF(NOT(ISNA(VLOOKUP(E2087,E$1:E2086,1,FALSE()))),"OLD",IF(AND(E2087&lt;&gt;"",E2087&lt;&gt;"!!!"),"NEW","")))</f>
        <v/>
      </c>
      <c r="G2087" s="26" t="str">
        <f aca="false">IF(OR(E2087="",E2087="!!!"),"",IF(OR(J2087=0,AND(J2087=1,K2087=1),AND(J2087=1,I2087="SBJ"),AND(J2087=1,I2087=0)),"?IN_FOCUS",IF(J2087&lt;=2,"?ACTIVATED",IF(J2087&lt;&gt;"","?FAMILIAR",IF(F2087="NEW",IF(ISNA(VLOOKUP(E2087,#REF!,1,FALSE())),"?TYPE_IDENTIFIABLE","?REFERENTIAL"),"_")))))</f>
        <v/>
      </c>
      <c r="H2087" s="27" t="str">
        <f aca="false">IF(J2087&lt;&gt;1,"",IF(I2087="SBJ","CB","?"))</f>
        <v/>
      </c>
      <c r="I2087" s="24" t="str">
        <f aca="false">IF(OR(E2087="",E2087="!!!",F2087="NEW"),"",INDEX(B2:B$2086,-1+SUMPRODUCT(MAX(ROW(E2:E$2086)*(E2087=E2:E$2086)))))</f>
        <v/>
      </c>
      <c r="J2087" s="24" t="str">
        <f aca="true">IF(OR(E2087="",E2087="!!!",F2087="NEW"),"",COUNTBLANK(OFFSET(A$1,,,SUMPRODUCT(MAX(ROW(E$2:E2087)*(E2087=E$2:E2087)))))-COUNTBLANK(OFFSET(A$1,,,SUMPRODUCT(MAX(ROW(E$1:E2086)*(E2=E$1:E2086))))))</f>
        <v/>
      </c>
      <c r="K2087" s="24" t="str">
        <f aca="false">IF(OR(E2087="",E2087="!!!",F2087="NEW"),"",INDEX(J$1:J2086,SUMPRODUCT(MAX(ROW(E$1:E2086)*(E2087=E$1:E2086)))))</f>
        <v/>
      </c>
      <c r="L2087" s="31"/>
    </row>
    <row r="2088" customFormat="false" ht="15" hidden="false" customHeight="false" outlineLevel="0" collapsed="false">
      <c r="A2088" s="20" t="s">
        <v>1109</v>
      </c>
      <c r="E2088" s="23" t="str">
        <f aca="false">IF(D2088="?OLD","!!!","")</f>
        <v/>
      </c>
      <c r="F2088" s="25" t="str">
        <f aca="false">IF(OR(E2088="",E2088="!!!"),"",IF(NOT(ISNA(VLOOKUP(E2088,E$1:E2087,1,FALSE()))),"OLD",IF(AND(E2088&lt;&gt;"",E2088&lt;&gt;"!!!"),"NEW","")))</f>
        <v/>
      </c>
      <c r="G2088" s="26" t="str">
        <f aca="false">IF(OR(E2088="",E2088="!!!"),"",IF(OR(J2088=0,AND(J2088=1,K2088=1),AND(J2088=1,I2088="SBJ"),AND(J2088=1,I2088=0)),"?IN_FOCUS",IF(J2088&lt;=2,"?ACTIVATED",IF(J2088&lt;&gt;"","?FAMILIAR",IF(F2088="NEW",IF(ISNA(VLOOKUP(E2088,#REF!,1,FALSE())),"?TYPE_IDENTIFIABLE","?REFERENTIAL"),"_")))))</f>
        <v/>
      </c>
      <c r="H2088" s="27" t="str">
        <f aca="false">IF(J2088&lt;&gt;1,"",IF(I2088="SBJ","CB","?"))</f>
        <v/>
      </c>
      <c r="I2088" s="24" t="str">
        <f aca="false">IF(OR(E2088="",E2088="!!!",F2088="NEW"),"",INDEX(B3:B$2086,-1+SUMPRODUCT(MAX(ROW(E3:E$2086)*(E2088=E3:E$2086)))))</f>
        <v/>
      </c>
      <c r="J2088" s="24" t="str">
        <f aca="true">IF(OR(E2088="",E2088="!!!",F2088="NEW"),"",COUNTBLANK(OFFSET(A$1,,,SUMPRODUCT(MAX(ROW(E$2:E2088)*(E2088=E$2:E2088)))))-COUNTBLANK(OFFSET(A$1,,,SUMPRODUCT(MAX(ROW(E$1:E2087)*(E2=E$1:E2087))))))</f>
        <v/>
      </c>
      <c r="K2088" s="24" t="str">
        <f aca="false">IF(OR(E2088="",E2088="!!!",F2088="NEW"),"",INDEX(J$1:J2087,SUMPRODUCT(MAX(ROW(E$1:E2087)*(E2088=E$1:E2087)))))</f>
        <v/>
      </c>
      <c r="L2088" s="31"/>
    </row>
    <row r="2089" customFormat="false" ht="15" hidden="false" customHeight="false" outlineLevel="0" collapsed="false">
      <c r="A2089" s="20" t="s">
        <v>1839</v>
      </c>
      <c r="E2089" s="23" t="str">
        <f aca="false">IF(D2089="?OLD","!!!","")</f>
        <v/>
      </c>
      <c r="F2089" s="25" t="str">
        <f aca="false">IF(OR(E2089="",E2089="!!!"),"",IF(NOT(ISNA(VLOOKUP(E2089,E$1:E2088,1,FALSE()))),"OLD",IF(AND(E2089&lt;&gt;"",E2089&lt;&gt;"!!!"),"NEW","")))</f>
        <v/>
      </c>
      <c r="G2089" s="26" t="str">
        <f aca="false">IF(OR(E2089="",E2089="!!!"),"",IF(OR(J2089=0,AND(J2089=1,K2089=1),AND(J2089=1,I2089="SBJ"),AND(J2089=1,I2089=0)),"?IN_FOCUS",IF(J2089&lt;=2,"?ACTIVATED",IF(J2089&lt;&gt;"","?FAMILIAR",IF(F2089="NEW",IF(ISNA(VLOOKUP(E2089,#REF!,1,FALSE())),"?TYPE_IDENTIFIABLE","?REFERENTIAL"),"_")))))</f>
        <v/>
      </c>
      <c r="H2089" s="27" t="str">
        <f aca="false">IF(J2089&lt;&gt;1,"",IF(I2089="SBJ","CB","?"))</f>
        <v/>
      </c>
      <c r="I2089" s="24" t="str">
        <f aca="false">IF(OR(E2089="",E2089="!!!",F2089="NEW"),"",INDEX(B4:B$2086,-1+SUMPRODUCT(MAX(ROW(E4:E$2086)*(E2089=E4:E$2086)))))</f>
        <v/>
      </c>
      <c r="J2089" s="24" t="str">
        <f aca="true">IF(OR(E2089="",E2089="!!!",F2089="NEW"),"",COUNTBLANK(OFFSET(A$1,,,SUMPRODUCT(MAX(ROW(E$2:E2089)*(E2089=E$2:E2089)))))-COUNTBLANK(OFFSET(A$1,,,SUMPRODUCT(MAX(ROW(E$1:E2088)*(E2=E$1:E2088))))))</f>
        <v/>
      </c>
      <c r="K2089" s="24" t="str">
        <f aca="false">IF(OR(E2089="",E2089="!!!",F2089="NEW"),"",INDEX(J$1:J2088,SUMPRODUCT(MAX(ROW(E$1:E2088)*(E2089=E$1:E2088)))))</f>
        <v/>
      </c>
      <c r="L2089" s="31"/>
    </row>
    <row r="2090" customFormat="false" ht="15" hidden="false" customHeight="false" outlineLevel="0" collapsed="false">
      <c r="A2090" s="20" t="s">
        <v>1110</v>
      </c>
      <c r="E2090" s="23" t="str">
        <f aca="false">IF(D2090="?OLD","!!!","")</f>
        <v/>
      </c>
      <c r="F2090" s="25" t="str">
        <f aca="false">IF(OR(E2090="",E2090="!!!"),"",IF(NOT(ISNA(VLOOKUP(E2090,E$1:E2089,1,FALSE()))),"OLD",IF(AND(E2090&lt;&gt;"",E2090&lt;&gt;"!!!"),"NEW","")))</f>
        <v/>
      </c>
      <c r="G2090" s="26" t="str">
        <f aca="false">IF(OR(E2090="",E2090="!!!"),"",IF(OR(J2090=0,AND(J2090=1,K2090=1),AND(J2090=1,I2090="SBJ"),AND(J2090=1,I2090=0)),"?IN_FOCUS",IF(J2090&lt;=2,"?ACTIVATED",IF(J2090&lt;&gt;"","?FAMILIAR",IF(F2090="NEW",IF(ISNA(VLOOKUP(E2090,#REF!,1,FALSE())),"?TYPE_IDENTIFIABLE","?REFERENTIAL"),"_")))))</f>
        <v/>
      </c>
      <c r="H2090" s="27" t="str">
        <f aca="false">IF(J2090&lt;&gt;1,"",IF(I2090="SBJ","CB","?"))</f>
        <v/>
      </c>
      <c r="I2090" s="24" t="str">
        <f aca="false">IF(OR(E2090="",E2090="!!!",F2090="NEW"),"",INDEX(B5:B$2086,-1+SUMPRODUCT(MAX(ROW(E5:E$2086)*(E2090=E5:E$2086)))))</f>
        <v/>
      </c>
      <c r="J2090" s="24" t="str">
        <f aca="true">IF(OR(E2090="",E2090="!!!",F2090="NEW"),"",COUNTBLANK(OFFSET(A$1,,,SUMPRODUCT(MAX(ROW(E$2:E2090)*(E2090=E$2:E2090)))))-COUNTBLANK(OFFSET(A$1,,,SUMPRODUCT(MAX(ROW(E$1:E2089)*(E2=E$1:E2089))))))</f>
        <v/>
      </c>
      <c r="K2090" s="24" t="str">
        <f aca="false">IF(OR(E2090="",E2090="!!!",F2090="NEW"),"",INDEX(J$1:J2089,SUMPRODUCT(MAX(ROW(E$1:E2089)*(E2090=E$1:E2089)))))</f>
        <v/>
      </c>
      <c r="L2090" s="31"/>
    </row>
    <row r="2091" customFormat="false" ht="15" hidden="false" customHeight="false" outlineLevel="0" collapsed="false">
      <c r="A2091" s="20" t="s">
        <v>1305</v>
      </c>
      <c r="B2091" s="22" t="s">
        <v>1105</v>
      </c>
      <c r="C2091" s="22" t="s">
        <v>1068</v>
      </c>
      <c r="D2091" s="22" t="s">
        <v>1060</v>
      </c>
      <c r="E2091" s="23" t="str">
        <f aca="false">IF(D2091="?OLD","!!!","")</f>
        <v>!!!</v>
      </c>
      <c r="F2091" s="25" t="str">
        <f aca="false">IF(OR(E2091="",E2091="!!!"),"",IF(NOT(ISNA(VLOOKUP(E2091,E$1:E2090,1,FALSE()))),"OLD",IF(AND(E2091&lt;&gt;"",E2091&lt;&gt;"!!!"),"NEW","")))</f>
        <v/>
      </c>
      <c r="G2091" s="26" t="str">
        <f aca="false">IF(OR(E2091="",E2091="!!!"),"",IF(OR(J2091=0,AND(J2091=1,K2091=1),AND(J2091=1,I2091="SBJ"),AND(J2091=1,I2091=0)),"?IN_FOCUS",IF(J2091&lt;=2,"?ACTIVATED",IF(J2091&lt;&gt;"","?FAMILIAR",IF(F2091="NEW",IF(ISNA(VLOOKUP(E2091,#REF!,1,FALSE())),"?TYPE_IDENTIFIABLE","?REFERENTIAL"),"_")))))</f>
        <v/>
      </c>
      <c r="H2091" s="27" t="str">
        <f aca="false">IF(J2091&lt;&gt;1,"",IF(I2091="SBJ","CB","?"))</f>
        <v/>
      </c>
      <c r="I2091" s="24" t="str">
        <f aca="false">IF(OR(E2091="",E2091="!!!",F2091="NEW"),"",INDEX(B6:B$2086,-1+SUMPRODUCT(MAX(ROW(E6:E$2086)*(E2091=E6:E$2086)))))</f>
        <v/>
      </c>
      <c r="J2091" s="24" t="str">
        <f aca="true">IF(OR(E2091="",E2091="!!!",F2091="NEW"),"",COUNTBLANK(OFFSET(A$1,,,SUMPRODUCT(MAX(ROW(E$2:E2091)*(E2091=E$2:E2091)))))-COUNTBLANK(OFFSET(A$1,,,SUMPRODUCT(MAX(ROW(E$1:E2090)*(E2=E$1:E2090))))))</f>
        <v/>
      </c>
      <c r="K2091" s="24" t="str">
        <f aca="false">IF(OR(E2091="",E2091="!!!",F2091="NEW"),"",INDEX(J$1:J2090,SUMPRODUCT(MAX(ROW(E$1:E2090)*(E2091=E$1:E2090)))))</f>
        <v/>
      </c>
      <c r="L2091" s="31"/>
    </row>
    <row r="2092" customFormat="false" ht="15" hidden="false" customHeight="false" outlineLevel="0" collapsed="false">
      <c r="A2092" s="20" t="s">
        <v>1840</v>
      </c>
      <c r="E2092" s="23" t="str">
        <f aca="false">IF(D2092="?OLD","!!!","")</f>
        <v/>
      </c>
      <c r="F2092" s="25" t="str">
        <f aca="false">IF(OR(E2092="",E2092="!!!"),"",IF(NOT(ISNA(VLOOKUP(E2092,E$1:E2091,1,FALSE()))),"OLD",IF(AND(E2092&lt;&gt;"",E2092&lt;&gt;"!!!"),"NEW","")))</f>
        <v/>
      </c>
      <c r="G2092" s="26" t="str">
        <f aca="false">IF(OR(E2092="",E2092="!!!"),"",IF(OR(J2092=0,AND(J2092=1,K2092=1),AND(J2092=1,I2092="SBJ"),AND(J2092=1,I2092=0)),"?IN_FOCUS",IF(J2092&lt;=2,"?ACTIVATED",IF(J2092&lt;&gt;"","?FAMILIAR",IF(F2092="NEW",IF(ISNA(VLOOKUP(E2092,#REF!,1,FALSE())),"?TYPE_IDENTIFIABLE","?REFERENTIAL"),"_")))))</f>
        <v/>
      </c>
      <c r="H2092" s="27" t="str">
        <f aca="false">IF(J2092&lt;&gt;1,"",IF(I2092="SBJ","CB","?"))</f>
        <v/>
      </c>
      <c r="I2092" s="24" t="str">
        <f aca="false">IF(OR(E2092="",E2092="!!!",F2092="NEW"),"",INDEX(B7:B$2086,-1+SUMPRODUCT(MAX(ROW(E7:E$2086)*(E2092=E7:E$2086)))))</f>
        <v/>
      </c>
      <c r="J2092" s="24" t="str">
        <f aca="true">IF(OR(E2092="",E2092="!!!",F2092="NEW"),"",COUNTBLANK(OFFSET(A$1,,,SUMPRODUCT(MAX(ROW(E$2:E2092)*(E2092=E$2:E2092)))))-COUNTBLANK(OFFSET(A$1,,,SUMPRODUCT(MAX(ROW(E$1:E2091)*(E2=E$1:E2091))))))</f>
        <v/>
      </c>
      <c r="K2092" s="24" t="str">
        <f aca="false">IF(OR(E2092="",E2092="!!!",F2092="NEW"),"",INDEX(J$1:J2091,SUMPRODUCT(MAX(ROW(E$1:E2091)*(E2092=E$1:E2091)))))</f>
        <v/>
      </c>
      <c r="L2092" s="31"/>
    </row>
    <row r="2093" customFormat="false" ht="15" hidden="false" customHeight="false" outlineLevel="0" collapsed="false">
      <c r="A2093" s="20" t="s">
        <v>1085</v>
      </c>
      <c r="E2093" s="23" t="str">
        <f aca="false">IF(D2093="?OLD","!!!","")</f>
        <v/>
      </c>
      <c r="F2093" s="25" t="str">
        <f aca="false">IF(OR(E2093="",E2093="!!!"),"",IF(NOT(ISNA(VLOOKUP(E2093,E$1:E2092,1,FALSE()))),"OLD",IF(AND(E2093&lt;&gt;"",E2093&lt;&gt;"!!!"),"NEW","")))</f>
        <v/>
      </c>
      <c r="G2093" s="26" t="str">
        <f aca="false">IF(OR(E2093="",E2093="!!!"),"",IF(OR(J2093=0,AND(J2093=1,K2093=1),AND(J2093=1,I2093="SBJ"),AND(J2093=1,I2093=0)),"?IN_FOCUS",IF(J2093&lt;=2,"?ACTIVATED",IF(J2093&lt;&gt;"","?FAMILIAR",IF(F2093="NEW",IF(ISNA(VLOOKUP(E2093,#REF!,1,FALSE())),"?TYPE_IDENTIFIABLE","?REFERENTIAL"),"_")))))</f>
        <v/>
      </c>
      <c r="H2093" s="27" t="str">
        <f aca="false">IF(J2093&lt;&gt;1,"",IF(I2093="SBJ","CB","?"))</f>
        <v/>
      </c>
      <c r="I2093" s="24" t="str">
        <f aca="false">IF(OR(E2093="",E2093="!!!",F2093="NEW"),"",INDEX(B8:B$2086,-1+SUMPRODUCT(MAX(ROW(E8:E$2086)*(E2093=E8:E$2086)))))</f>
        <v/>
      </c>
      <c r="J2093" s="24" t="str">
        <f aca="true">IF(OR(E2093="",E2093="!!!",F2093="NEW"),"",COUNTBLANK(OFFSET(A$1,,,SUMPRODUCT(MAX(ROW(E$2:E2093)*(E2093=E$2:E2093)))))-COUNTBLANK(OFFSET(A$1,,,SUMPRODUCT(MAX(ROW(E$1:E2092)*(E2=E$1:E2092))))))</f>
        <v/>
      </c>
      <c r="K2093" s="24" t="str">
        <f aca="false">IF(OR(E2093="",E2093="!!!",F2093="NEW"),"",INDEX(J$1:J2092,SUMPRODUCT(MAX(ROW(E$1:E2092)*(E2093=E$1:E2092)))))</f>
        <v/>
      </c>
      <c r="L2093" s="31"/>
    </row>
    <row r="2094" customFormat="false" ht="15" hidden="false" customHeight="false" outlineLevel="0" collapsed="false">
      <c r="A2094" s="20" t="s">
        <v>1841</v>
      </c>
      <c r="B2094" s="22" t="s">
        <v>1081</v>
      </c>
      <c r="C2094" s="22" t="s">
        <v>1087</v>
      </c>
      <c r="E2094" s="23" t="str">
        <f aca="false">IF(D2094="?OLD","!!!","")</f>
        <v/>
      </c>
      <c r="F2094" s="25" t="str">
        <f aca="false">IF(OR(E2094="",E2094="!!!"),"",IF(NOT(ISNA(VLOOKUP(E2094,E$1:E2093,1,FALSE()))),"OLD",IF(AND(E2094&lt;&gt;"",E2094&lt;&gt;"!!!"),"NEW","")))</f>
        <v/>
      </c>
      <c r="G2094" s="26" t="str">
        <f aca="false">IF(OR(E2094="",E2094="!!!"),"",IF(OR(J2094=0,AND(J2094=1,K2094=1),AND(J2094=1,I2094="SBJ"),AND(J2094=1,I2094=0)),"?IN_FOCUS",IF(J2094&lt;=2,"?ACTIVATED",IF(J2094&lt;&gt;"","?FAMILIAR",IF(F2094="NEW",IF(ISNA(VLOOKUP(E2094,#REF!,1,FALSE())),"?TYPE_IDENTIFIABLE","?REFERENTIAL"),"_")))))</f>
        <v/>
      </c>
      <c r="H2094" s="27" t="str">
        <f aca="false">IF(J2094&lt;&gt;1,"",IF(I2094="SBJ","CB","?"))</f>
        <v/>
      </c>
      <c r="I2094" s="24" t="str">
        <f aca="false">IF(OR(E2094="",E2094="!!!",F2094="NEW"),"",INDEX(B9:B$2086,-1+SUMPRODUCT(MAX(ROW(E9:E$2086)*(E2094=E9:E$2086)))))</f>
        <v/>
      </c>
      <c r="J2094" s="24" t="str">
        <f aca="true">IF(OR(E2094="",E2094="!!!",F2094="NEW"),"",COUNTBLANK(OFFSET(A$1,,,SUMPRODUCT(MAX(ROW(E$2:E2094)*(E2094=E$2:E2094)))))-COUNTBLANK(OFFSET(A$1,,,SUMPRODUCT(MAX(ROW(E$1:E2093)*(E2=E$1:E2093))))))</f>
        <v/>
      </c>
      <c r="K2094" s="24" t="str">
        <f aca="false">IF(OR(E2094="",E2094="!!!",F2094="NEW"),"",INDEX(J$1:J2093,SUMPRODUCT(MAX(ROW(E$1:E2093)*(E2094=E$1:E2093)))))</f>
        <v/>
      </c>
      <c r="L2094" s="31"/>
    </row>
    <row r="2095" customFormat="false" ht="15" hidden="false" customHeight="false" outlineLevel="0" collapsed="false">
      <c r="A2095" s="20" t="s">
        <v>1064</v>
      </c>
      <c r="E2095" s="23" t="str">
        <f aca="false">IF(D2095="?OLD","!!!","")</f>
        <v/>
      </c>
      <c r="F2095" s="25" t="str">
        <f aca="false">IF(OR(E2095="",E2095="!!!"),"",IF(NOT(ISNA(VLOOKUP(E2095,E$1:E2094,1,FALSE()))),"OLD",IF(AND(E2095&lt;&gt;"",E2095&lt;&gt;"!!!"),"NEW","")))</f>
        <v/>
      </c>
      <c r="G2095" s="26" t="str">
        <f aca="false">IF(OR(E2095="",E2095="!!!"),"",IF(OR(J2095=0,AND(J2095=1,K2095=1),AND(J2095=1,I2095="SBJ"),AND(J2095=1,I2095=0)),"?IN_FOCUS",IF(J2095&lt;=2,"?ACTIVATED",IF(J2095&lt;&gt;"","?FAMILIAR",IF(F2095="NEW",IF(ISNA(VLOOKUP(E2095,#REF!,1,FALSE())),"?TYPE_IDENTIFIABLE","?REFERENTIAL"),"_")))))</f>
        <v/>
      </c>
      <c r="H2095" s="27" t="str">
        <f aca="false">IF(J2095&lt;&gt;1,"",IF(I2095="SBJ","CB","?"))</f>
        <v/>
      </c>
      <c r="I2095" s="24" t="str">
        <f aca="false">IF(OR(E2095="",E2095="!!!",F2095="NEW"),"",INDEX(B10:B$2086,-1+SUMPRODUCT(MAX(ROW(E10:E$2086)*(E2095=E10:E$2086)))))</f>
        <v/>
      </c>
      <c r="J2095" s="24" t="str">
        <f aca="true">IF(OR(E2095="",E2095="!!!",F2095="NEW"),"",COUNTBLANK(OFFSET(A$1,,,SUMPRODUCT(MAX(ROW(E$2:E2095)*(E2095=E$2:E2095)))))-COUNTBLANK(OFFSET(A$1,,,SUMPRODUCT(MAX(ROW(E$1:E2094)*(E2=E$1:E2094))))))</f>
        <v/>
      </c>
      <c r="K2095" s="24" t="str">
        <f aca="false">IF(OR(E2095="",E2095="!!!",F2095="NEW"),"",INDEX(J$1:J2094,SUMPRODUCT(MAX(ROW(E$1:E2094)*(E2095=E$1:E2094)))))</f>
        <v/>
      </c>
      <c r="L2095" s="31"/>
    </row>
    <row r="2096" customFormat="false" ht="15" hidden="false" customHeight="false" outlineLevel="0" collapsed="false">
      <c r="A2096" s="20" t="s">
        <v>1842</v>
      </c>
      <c r="B2096" s="22" t="s">
        <v>1073</v>
      </c>
      <c r="C2096" s="22" t="s">
        <v>1160</v>
      </c>
      <c r="E2096" s="23" t="str">
        <f aca="false">IF(D2096="?OLD","!!!","")</f>
        <v/>
      </c>
      <c r="F2096" s="25" t="str">
        <f aca="false">IF(OR(E2096="",E2096="!!!"),"",IF(NOT(ISNA(VLOOKUP(E2096,E$1:E2095,1,FALSE()))),"OLD",IF(AND(E2096&lt;&gt;"",E2096&lt;&gt;"!!!"),"NEW","")))</f>
        <v/>
      </c>
      <c r="G2096" s="26" t="str">
        <f aca="false">IF(OR(E2096="",E2096="!!!"),"",IF(OR(J2096=0,AND(J2096=1,K2096=1),AND(J2096=1,I2096="SBJ"),AND(J2096=1,I2096=0)),"?IN_FOCUS",IF(J2096&lt;=2,"?ACTIVATED",IF(J2096&lt;&gt;"","?FAMILIAR",IF(F2096="NEW",IF(ISNA(VLOOKUP(E2096,#REF!,1,FALSE())),"?TYPE_IDENTIFIABLE","?REFERENTIAL"),"_")))))</f>
        <v/>
      </c>
      <c r="H2096" s="27" t="str">
        <f aca="false">IF(J2096&lt;&gt;1,"",IF(I2096="SBJ","CB","?"))</f>
        <v/>
      </c>
      <c r="I2096" s="24" t="str">
        <f aca="false">IF(OR(E2096="",E2096="!!!",F2096="NEW"),"",INDEX(B11:B$2086,-1+SUMPRODUCT(MAX(ROW(E11:E$2086)*(E2096=E11:E$2086)))))</f>
        <v/>
      </c>
      <c r="J2096" s="24" t="str">
        <f aca="true">IF(OR(E2096="",E2096="!!!",F2096="NEW"),"",COUNTBLANK(OFFSET(A$1,,,SUMPRODUCT(MAX(ROW(E$2:E2096)*(E2096=E$2:E2096)))))-COUNTBLANK(OFFSET(A$1,,,SUMPRODUCT(MAX(ROW(E$1:E2095)*(E2=E$1:E2095))))))</f>
        <v/>
      </c>
      <c r="K2096" s="24" t="str">
        <f aca="false">IF(OR(E2096="",E2096="!!!",F2096="NEW"),"",INDEX(J$1:J2095,SUMPRODUCT(MAX(ROW(E$1:E2095)*(E2096=E$1:E2095)))))</f>
        <v/>
      </c>
      <c r="L2096" s="31"/>
    </row>
    <row r="2097" customFormat="false" ht="15" hidden="false" customHeight="false" outlineLevel="0" collapsed="false">
      <c r="A2097" s="20" t="s">
        <v>1128</v>
      </c>
      <c r="E2097" s="23" t="str">
        <f aca="false">IF(D2097="?OLD","!!!","")</f>
        <v/>
      </c>
      <c r="F2097" s="25" t="str">
        <f aca="false">IF(OR(E2097="",E2097="!!!"),"",IF(NOT(ISNA(VLOOKUP(E2097,E$1:E2096,1,FALSE()))),"OLD",IF(AND(E2097&lt;&gt;"",E2097&lt;&gt;"!!!"),"NEW","")))</f>
        <v/>
      </c>
      <c r="G2097" s="26" t="str">
        <f aca="false">IF(OR(E2097="",E2097="!!!"),"",IF(OR(J2097=0,AND(J2097=1,K2097=1),AND(J2097=1,I2097="SBJ"),AND(J2097=1,I2097=0)),"?IN_FOCUS",IF(J2097&lt;=2,"?ACTIVATED",IF(J2097&lt;&gt;"","?FAMILIAR",IF(F2097="NEW",IF(ISNA(VLOOKUP(E2097,#REF!,1,FALSE())),"?TYPE_IDENTIFIABLE","?REFERENTIAL"),"_")))))</f>
        <v/>
      </c>
      <c r="H2097" s="27" t="str">
        <f aca="false">IF(J2097&lt;&gt;1,"",IF(I2097="SBJ","CB","?"))</f>
        <v/>
      </c>
      <c r="I2097" s="24" t="str">
        <f aca="false">IF(OR(E2097="",E2097="!!!",F2097="NEW"),"",INDEX(B12:B$2086,-1+SUMPRODUCT(MAX(ROW(E12:E$2086)*(E2097=E12:E$2086)))))</f>
        <v/>
      </c>
      <c r="J2097" s="24" t="str">
        <f aca="true">IF(OR(E2097="",E2097="!!!",F2097="NEW"),"",COUNTBLANK(OFFSET(A$1,,,SUMPRODUCT(MAX(ROW(E$2:E2097)*(E2097=E$2:E2097)))))-COUNTBLANK(OFFSET(A$1,,,SUMPRODUCT(MAX(ROW(E$1:E2096)*(E2=E$1:E2096))))))</f>
        <v/>
      </c>
      <c r="K2097" s="24" t="str">
        <f aca="false">IF(OR(E2097="",E2097="!!!",F2097="NEW"),"",INDEX(J$1:J2096,SUMPRODUCT(MAX(ROW(E$1:E2096)*(E2097=E$1:E2096)))))</f>
        <v/>
      </c>
      <c r="L2097" s="31"/>
    </row>
    <row r="2098" customFormat="false" ht="15" hidden="false" customHeight="false" outlineLevel="0" collapsed="false">
      <c r="A2098" s="20" t="s">
        <v>1843</v>
      </c>
      <c r="E2098" s="23" t="str">
        <f aca="false">IF(D2098="?OLD","!!!","")</f>
        <v/>
      </c>
      <c r="F2098" s="25" t="str">
        <f aca="false">IF(OR(E2098="",E2098="!!!"),"",IF(NOT(ISNA(VLOOKUP(E2098,E$1:E2097,1,FALSE()))),"OLD",IF(AND(E2098&lt;&gt;"",E2098&lt;&gt;"!!!"),"NEW","")))</f>
        <v/>
      </c>
      <c r="G2098" s="26" t="str">
        <f aca="false">IF(OR(E2098="",E2098="!!!"),"",IF(OR(J2098=0,AND(J2098=1,K2098=1),AND(J2098=1,I2098="SBJ"),AND(J2098=1,I2098=0)),"?IN_FOCUS",IF(J2098&lt;=2,"?ACTIVATED",IF(J2098&lt;&gt;"","?FAMILIAR",IF(F2098="NEW",IF(ISNA(VLOOKUP(E2098,#REF!,1,FALSE())),"?TYPE_IDENTIFIABLE","?REFERENTIAL"),"_")))))</f>
        <v/>
      </c>
      <c r="H2098" s="27" t="str">
        <f aca="false">IF(J2098&lt;&gt;1,"",IF(I2098="SBJ","CB","?"))</f>
        <v/>
      </c>
      <c r="I2098" s="24" t="str">
        <f aca="false">IF(OR(E2098="",E2098="!!!",F2098="NEW"),"",INDEX(B13:B$2086,-1+SUMPRODUCT(MAX(ROW(E13:E$2086)*(E2098=E13:E$2086)))))</f>
        <v/>
      </c>
      <c r="J2098" s="24" t="str">
        <f aca="true">IF(OR(E2098="",E2098="!!!",F2098="NEW"),"",COUNTBLANK(OFFSET(A$1,,,SUMPRODUCT(MAX(ROW(E$2:E2098)*(E2098=E$2:E2098)))))-COUNTBLANK(OFFSET(A$1,,,SUMPRODUCT(MAX(ROW(E$1:E2097)*(E2=E$1:E2097))))))</f>
        <v/>
      </c>
      <c r="K2098" s="24" t="str">
        <f aca="false">IF(OR(E2098="",E2098="!!!",F2098="NEW"),"",INDEX(J$1:J2097,SUMPRODUCT(MAX(ROW(E$1:E2097)*(E2098=E$1:E2097)))))</f>
        <v/>
      </c>
      <c r="L2098" s="31"/>
    </row>
    <row r="2099" customFormat="false" ht="15" hidden="false" customHeight="false" outlineLevel="0" collapsed="false">
      <c r="A2099" s="20" t="s">
        <v>1844</v>
      </c>
      <c r="E2099" s="23" t="str">
        <f aca="false">IF(D2099="?OLD","!!!","")</f>
        <v/>
      </c>
      <c r="F2099" s="25" t="str">
        <f aca="false">IF(OR(E2099="",E2099="!!!"),"",IF(NOT(ISNA(VLOOKUP(E2099,E$1:E2098,1,FALSE()))),"OLD",IF(AND(E2099&lt;&gt;"",E2099&lt;&gt;"!!!"),"NEW","")))</f>
        <v/>
      </c>
      <c r="G2099" s="26" t="str">
        <f aca="false">IF(OR(E2099="",E2099="!!!"),"",IF(OR(J2099=0,AND(J2099=1,K2099=1),AND(J2099=1,I2099="SBJ"),AND(J2099=1,I2099=0)),"?IN_FOCUS",IF(J2099&lt;=2,"?ACTIVATED",IF(J2099&lt;&gt;"","?FAMILIAR",IF(F2099="NEW",IF(ISNA(VLOOKUP(E2099,#REF!,1,FALSE())),"?TYPE_IDENTIFIABLE","?REFERENTIAL"),"_")))))</f>
        <v/>
      </c>
      <c r="H2099" s="27" t="str">
        <f aca="false">IF(J2099&lt;&gt;1,"",IF(I2099="SBJ","CB","?"))</f>
        <v/>
      </c>
      <c r="I2099" s="24" t="str">
        <f aca="false">IF(OR(E2099="",E2099="!!!",F2099="NEW"),"",INDEX(B14:B$2086,-1+SUMPRODUCT(MAX(ROW(E14:E$2086)*(E2099=E14:E$2086)))))</f>
        <v/>
      </c>
      <c r="J2099" s="24" t="str">
        <f aca="true">IF(OR(E2099="",E2099="!!!",F2099="NEW"),"",COUNTBLANK(OFFSET(A$1,,,SUMPRODUCT(MAX(ROW(E$2:E2099)*(E2099=E$2:E2099)))))-COUNTBLANK(OFFSET(A$1,,,SUMPRODUCT(MAX(ROW(E$1:E2098)*(E2=E$1:E2098))))))</f>
        <v/>
      </c>
      <c r="K2099" s="24" t="str">
        <f aca="false">IF(OR(E2099="",E2099="!!!",F2099="NEW"),"",INDEX(J$1:J2098,SUMPRODUCT(MAX(ROW(E$1:E2098)*(E2099=E$1:E2098)))))</f>
        <v/>
      </c>
      <c r="L2099" s="31"/>
    </row>
    <row r="2100" customFormat="false" ht="15" hidden="false" customHeight="false" outlineLevel="0" collapsed="false">
      <c r="A2100" s="20" t="s">
        <v>690</v>
      </c>
      <c r="B2100" s="22" t="s">
        <v>1142</v>
      </c>
      <c r="C2100" s="22" t="s">
        <v>1059</v>
      </c>
      <c r="D2100" s="22" t="s">
        <v>1060</v>
      </c>
      <c r="E2100" s="23" t="str">
        <f aca="false">IF(D2100="?OLD","!!!","")</f>
        <v>!!!</v>
      </c>
      <c r="F2100" s="25" t="str">
        <f aca="false">IF(OR(E2100="",E2100="!!!"),"",IF(NOT(ISNA(VLOOKUP(E2100,E$1:E2099,1,FALSE()))),"OLD",IF(AND(E2100&lt;&gt;"",E2100&lt;&gt;"!!!"),"NEW","")))</f>
        <v/>
      </c>
      <c r="G2100" s="26" t="str">
        <f aca="false">IF(OR(E2100="",E2100="!!!"),"",IF(OR(J2100=0,AND(J2100=1,K2100=1),AND(J2100=1,I2100="SBJ"),AND(J2100=1,I2100=0)),"?IN_FOCUS",IF(J2100&lt;=2,"?ACTIVATED",IF(J2100&lt;&gt;"","?FAMILIAR",IF(F2100="NEW",IF(ISNA(VLOOKUP(E2100,#REF!,1,FALSE())),"?TYPE_IDENTIFIABLE","?REFERENTIAL"),"_")))))</f>
        <v/>
      </c>
      <c r="H2100" s="27" t="str">
        <f aca="false">IF(J2100&lt;&gt;1,"",IF(I2100="SBJ","CB","?"))</f>
        <v/>
      </c>
      <c r="I2100" s="24" t="str">
        <f aca="false">IF(OR(E2100="",E2100="!!!",F2100="NEW"),"",INDEX(B15:B$2086,-1+SUMPRODUCT(MAX(ROW(E15:E$2086)*(E2100=E15:E$2086)))))</f>
        <v/>
      </c>
      <c r="J2100" s="24" t="str">
        <f aca="true">IF(OR(E2100="",E2100="!!!",F2100="NEW"),"",COUNTBLANK(OFFSET(A$1,,,SUMPRODUCT(MAX(ROW(E$2:E2100)*(E2100=E$2:E2100)))))-COUNTBLANK(OFFSET(A$1,,,SUMPRODUCT(MAX(ROW(E$1:E2099)*(E2=E$1:E2099))))))</f>
        <v/>
      </c>
      <c r="K2100" s="24" t="str">
        <f aca="false">IF(OR(E2100="",E2100="!!!",F2100="NEW"),"",INDEX(J$1:J2099,SUMPRODUCT(MAX(ROW(E$1:E2099)*(E2100=E$1:E2099)))))</f>
        <v/>
      </c>
      <c r="L2100" s="31"/>
    </row>
    <row r="2101" customFormat="false" ht="15" hidden="false" customHeight="false" outlineLevel="0" collapsed="false">
      <c r="A2101" s="20" t="s">
        <v>1845</v>
      </c>
      <c r="E2101" s="23" t="str">
        <f aca="false">IF(D2101="?OLD","!!!","")</f>
        <v/>
      </c>
      <c r="F2101" s="25" t="str">
        <f aca="false">IF(OR(E2101="",E2101="!!!"),"",IF(NOT(ISNA(VLOOKUP(E2101,E$1:E2100,1,FALSE()))),"OLD",IF(AND(E2101&lt;&gt;"",E2101&lt;&gt;"!!!"),"NEW","")))</f>
        <v/>
      </c>
      <c r="G2101" s="26" t="str">
        <f aca="false">IF(OR(E2101="",E2101="!!!"),"",IF(OR(J2101=0,AND(J2101=1,K2101=1),AND(J2101=1,I2101="SBJ"),AND(J2101=1,I2101=0)),"?IN_FOCUS",IF(J2101&lt;=2,"?ACTIVATED",IF(J2101&lt;&gt;"","?FAMILIAR",IF(F2101="NEW",IF(ISNA(VLOOKUP(E2101,#REF!,1,FALSE())),"?TYPE_IDENTIFIABLE","?REFERENTIAL"),"_")))))</f>
        <v/>
      </c>
      <c r="H2101" s="27" t="str">
        <f aca="false">IF(J2101&lt;&gt;1,"",IF(I2101="SBJ","CB","?"))</f>
        <v/>
      </c>
      <c r="I2101" s="24" t="str">
        <f aca="false">IF(OR(E2101="",E2101="!!!",F2101="NEW"),"",INDEX(B16:B$2086,-1+SUMPRODUCT(MAX(ROW(E16:E$2086)*(E2101=E16:E$2086)))))</f>
        <v/>
      </c>
      <c r="J2101" s="24" t="str">
        <f aca="true">IF(OR(E2101="",E2101="!!!",F2101="NEW"),"",COUNTBLANK(OFFSET(A$1,,,SUMPRODUCT(MAX(ROW(E$2:E2101)*(E2101=E$2:E2101)))))-COUNTBLANK(OFFSET(A$1,,,SUMPRODUCT(MAX(ROW(E$1:E2100)*(E2=E$1:E2100))))))</f>
        <v/>
      </c>
      <c r="K2101" s="24" t="str">
        <f aca="false">IF(OR(E2101="",E2101="!!!",F2101="NEW"),"",INDEX(J$1:J2100,SUMPRODUCT(MAX(ROW(E$1:E2100)*(E2101=E$1:E2100)))))</f>
        <v/>
      </c>
      <c r="L2101" s="31"/>
    </row>
    <row r="2102" customFormat="false" ht="15" hidden="false" customHeight="false" outlineLevel="0" collapsed="false">
      <c r="A2102" s="20" t="s">
        <v>1218</v>
      </c>
      <c r="E2102" s="23" t="str">
        <f aca="false">IF(D2102="?OLD","!!!","")</f>
        <v/>
      </c>
      <c r="F2102" s="25" t="str">
        <f aca="false">IF(OR(E2102="",E2102="!!!"),"",IF(NOT(ISNA(VLOOKUP(E2102,E$1:E2101,1,FALSE()))),"OLD",IF(AND(E2102&lt;&gt;"",E2102&lt;&gt;"!!!"),"NEW","")))</f>
        <v/>
      </c>
      <c r="G2102" s="26" t="str">
        <f aca="false">IF(OR(E2102="",E2102="!!!"),"",IF(OR(J2102=0,AND(J2102=1,K2102=1),AND(J2102=1,I2102="SBJ"),AND(J2102=1,I2102=0)),"?IN_FOCUS",IF(J2102&lt;=2,"?ACTIVATED",IF(J2102&lt;&gt;"","?FAMILIAR",IF(F2102="NEW",IF(ISNA(VLOOKUP(E2102,#REF!,1,FALSE())),"?TYPE_IDENTIFIABLE","?REFERENTIAL"),"_")))))</f>
        <v/>
      </c>
      <c r="H2102" s="27" t="str">
        <f aca="false">IF(J2102&lt;&gt;1,"",IF(I2102="SBJ","CB","?"))</f>
        <v/>
      </c>
      <c r="I2102" s="24" t="str">
        <f aca="false">IF(OR(E2102="",E2102="!!!",F2102="NEW"),"",INDEX(B17:B$2086,-1+SUMPRODUCT(MAX(ROW(E17:E$2086)*(E2102=E17:E$2086)))))</f>
        <v/>
      </c>
      <c r="J2102" s="24" t="str">
        <f aca="true">IF(OR(E2102="",E2102="!!!",F2102="NEW"),"",COUNTBLANK(OFFSET(A$1,,,SUMPRODUCT(MAX(ROW(E$2:E2102)*(E2102=E$2:E2102)))))-COUNTBLANK(OFFSET(A$1,,,SUMPRODUCT(MAX(ROW(E$1:E2101)*(E2=E$1:E2101))))))</f>
        <v/>
      </c>
      <c r="K2102" s="24" t="str">
        <f aca="false">IF(OR(E2102="",E2102="!!!",F2102="NEW"),"",INDEX(J$1:J2101,SUMPRODUCT(MAX(ROW(E$1:E2101)*(E2102=E$1:E2101)))))</f>
        <v/>
      </c>
      <c r="L2102" s="31"/>
    </row>
    <row r="2103" customFormat="false" ht="15" hidden="false" customHeight="false" outlineLevel="0" collapsed="false">
      <c r="A2103" s="20" t="s">
        <v>1109</v>
      </c>
      <c r="E2103" s="23" t="str">
        <f aca="false">IF(D2103="?OLD","!!!","")</f>
        <v/>
      </c>
      <c r="F2103" s="25" t="str">
        <f aca="false">IF(OR(E2103="",E2103="!!!"),"",IF(NOT(ISNA(VLOOKUP(E2103,E$1:E2102,1,FALSE()))),"OLD",IF(AND(E2103&lt;&gt;"",E2103&lt;&gt;"!!!"),"NEW","")))</f>
        <v/>
      </c>
      <c r="G2103" s="26" t="str">
        <f aca="false">IF(OR(E2103="",E2103="!!!"),"",IF(OR(J2103=0,AND(J2103=1,K2103=1),AND(J2103=1,I2103="SBJ"),AND(J2103=1,I2103=0)),"?IN_FOCUS",IF(J2103&lt;=2,"?ACTIVATED",IF(J2103&lt;&gt;"","?FAMILIAR",IF(F2103="NEW",IF(ISNA(VLOOKUP(E2103,#REF!,1,FALSE())),"?TYPE_IDENTIFIABLE","?REFERENTIAL"),"_")))))</f>
        <v/>
      </c>
      <c r="H2103" s="27" t="str">
        <f aca="false">IF(J2103&lt;&gt;1,"",IF(I2103="SBJ","CB","?"))</f>
        <v/>
      </c>
      <c r="I2103" s="24" t="str">
        <f aca="false">IF(OR(E2103="",E2103="!!!",F2103="NEW"),"",INDEX(B18:B$2086,-1+SUMPRODUCT(MAX(ROW(E18:E$2086)*(E2103=E18:E$2086)))))</f>
        <v/>
      </c>
      <c r="J2103" s="24" t="str">
        <f aca="true">IF(OR(E2103="",E2103="!!!",F2103="NEW"),"",COUNTBLANK(OFFSET(A$1,,,SUMPRODUCT(MAX(ROW(E$2:E2103)*(E2103=E$2:E2103)))))-COUNTBLANK(OFFSET(A$1,,,SUMPRODUCT(MAX(ROW(E$1:E2102)*(E2=E$1:E2102))))))</f>
        <v/>
      </c>
      <c r="K2103" s="24" t="str">
        <f aca="false">IF(OR(E2103="",E2103="!!!",F2103="NEW"),"",INDEX(J$1:J2102,SUMPRODUCT(MAX(ROW(E$1:E2102)*(E2103=E$1:E2102)))))</f>
        <v/>
      </c>
      <c r="L2103" s="31"/>
    </row>
    <row r="2104" customFormat="false" ht="15" hidden="false" customHeight="false" outlineLevel="0" collapsed="false">
      <c r="A2104" s="20" t="s">
        <v>1738</v>
      </c>
      <c r="B2104" s="22" t="s">
        <v>1073</v>
      </c>
      <c r="C2104" s="22" t="s">
        <v>1150</v>
      </c>
      <c r="D2104" s="22" t="s">
        <v>1060</v>
      </c>
      <c r="E2104" s="23" t="str">
        <f aca="false">IF(D2104="?OLD","!!!","")</f>
        <v>!!!</v>
      </c>
      <c r="F2104" s="25" t="str">
        <f aca="false">IF(OR(E2104="",E2104="!!!"),"",IF(NOT(ISNA(VLOOKUP(E2104,E$1:E2103,1,FALSE()))),"OLD",IF(AND(E2104&lt;&gt;"",E2104&lt;&gt;"!!!"),"NEW","")))</f>
        <v/>
      </c>
      <c r="G2104" s="26" t="str">
        <f aca="false">IF(OR(E2104="",E2104="!!!"),"",IF(OR(J2104=0,AND(J2104=1,K2104=1),AND(J2104=1,I2104="SBJ"),AND(J2104=1,I2104=0)),"?IN_FOCUS",IF(J2104&lt;=2,"?ACTIVATED",IF(J2104&lt;&gt;"","?FAMILIAR",IF(F2104="NEW",IF(ISNA(VLOOKUP(E2104,#REF!,1,FALSE())),"?TYPE_IDENTIFIABLE","?REFERENTIAL"),"_")))))</f>
        <v/>
      </c>
      <c r="H2104" s="27" t="str">
        <f aca="false">IF(J2104&lt;&gt;1,"",IF(I2104="SBJ","CB","?"))</f>
        <v/>
      </c>
      <c r="I2104" s="24" t="str">
        <f aca="false">IF(OR(E2104="",E2104="!!!",F2104="NEW"),"",INDEX(B19:B$2086,-1+SUMPRODUCT(MAX(ROW(E19:E$2086)*(E2104=E19:E$2086)))))</f>
        <v/>
      </c>
      <c r="J2104" s="24" t="str">
        <f aca="true">IF(OR(E2104="",E2104="!!!",F2104="NEW"),"",COUNTBLANK(OFFSET(A$1,,,SUMPRODUCT(MAX(ROW(E$2:E2104)*(E2104=E$2:E2104)))))-COUNTBLANK(OFFSET(A$1,,,SUMPRODUCT(MAX(ROW(E$1:E2103)*(E2=E$1:E2103))))))</f>
        <v/>
      </c>
      <c r="K2104" s="24" t="str">
        <f aca="false">IF(OR(E2104="",E2104="!!!",F2104="NEW"),"",INDEX(J$1:J2103,SUMPRODUCT(MAX(ROW(E$1:E2103)*(E2104=E$1:E2103)))))</f>
        <v/>
      </c>
      <c r="L2104" s="31"/>
    </row>
    <row r="2105" customFormat="false" ht="15" hidden="false" customHeight="false" outlineLevel="0" collapsed="false">
      <c r="A2105" s="20" t="s">
        <v>923</v>
      </c>
      <c r="E2105" s="23" t="str">
        <f aca="false">IF(D2105="?OLD","!!!","")</f>
        <v/>
      </c>
      <c r="F2105" s="25" t="str">
        <f aca="false">IF(OR(E2105="",E2105="!!!"),"",IF(NOT(ISNA(VLOOKUP(E2105,E$1:E2104,1,FALSE()))),"OLD",IF(AND(E2105&lt;&gt;"",E2105&lt;&gt;"!!!"),"NEW","")))</f>
        <v/>
      </c>
      <c r="G2105" s="26" t="str">
        <f aca="false">IF(OR(E2105="",E2105="!!!"),"",IF(OR(J2105=0,AND(J2105=1,K2105=1),AND(J2105=1,I2105="SBJ"),AND(J2105=1,I2105=0)),"?IN_FOCUS",IF(J2105&lt;=2,"?ACTIVATED",IF(J2105&lt;&gt;"","?FAMILIAR",IF(F2105="NEW",IF(ISNA(VLOOKUP(E2105,#REF!,1,FALSE())),"?TYPE_IDENTIFIABLE","?REFERENTIAL"),"_")))))</f>
        <v/>
      </c>
      <c r="H2105" s="27" t="str">
        <f aca="false">IF(J2105&lt;&gt;1,"",IF(I2105="SBJ","CB","?"))</f>
        <v/>
      </c>
      <c r="I2105" s="24" t="str">
        <f aca="false">IF(OR(E2105="",E2105="!!!",F2105="NEW"),"",INDEX(B20:B$2086,-1+SUMPRODUCT(MAX(ROW(E20:E$2086)*(E2105=E20:E$2086)))))</f>
        <v/>
      </c>
      <c r="J2105" s="24" t="str">
        <f aca="true">IF(OR(E2105="",E2105="!!!",F2105="NEW"),"",COUNTBLANK(OFFSET(A$1,,,SUMPRODUCT(MAX(ROW(E$2:E2105)*(E2105=E$2:E2105)))))-COUNTBLANK(OFFSET(A$1,,,SUMPRODUCT(MAX(ROW(E$1:E2104)*(E2=E$1:E2104))))))</f>
        <v/>
      </c>
      <c r="K2105" s="24" t="str">
        <f aca="false">IF(OR(E2105="",E2105="!!!",F2105="NEW"),"",INDEX(J$1:J2104,SUMPRODUCT(MAX(ROW(E$1:E2104)*(E2105=E$1:E2104)))))</f>
        <v/>
      </c>
      <c r="L2105" s="31"/>
    </row>
    <row r="2106" customFormat="false" ht="15" hidden="false" customHeight="false" outlineLevel="0" collapsed="false">
      <c r="A2106" s="20"/>
    </row>
    <row r="2107" customFormat="false" ht="15" hidden="false" customHeight="false" outlineLevel="0" collapsed="false">
      <c r="A2107" s="20" t="s">
        <v>1846</v>
      </c>
    </row>
    <row r="2108" customFormat="false" ht="15" hidden="false" customHeight="false" outlineLevel="0" collapsed="false">
      <c r="A2108" s="20" t="s">
        <v>1162</v>
      </c>
      <c r="B2108" s="22" t="s">
        <v>1058</v>
      </c>
      <c r="C2108" s="22" t="s">
        <v>1082</v>
      </c>
      <c r="D2108" s="22" t="s">
        <v>1060</v>
      </c>
      <c r="E2108" s="23" t="str">
        <f aca="false">IF(D2108="?OLD","!!!","")</f>
        <v>!!!</v>
      </c>
      <c r="F2108" s="25" t="str">
        <f aca="false">IF(OR(E2108="",E2108="!!!"),"",IF(NOT(ISNA(VLOOKUP(E2108,E$1:E2107,1,FALSE()))),"OLD",IF(AND(E2108&lt;&gt;"",E2108&lt;&gt;"!!!"),"NEW","")))</f>
        <v/>
      </c>
      <c r="G2108" s="26" t="str">
        <f aca="false">IF(OR(E2108="",E2108="!!!"),"",IF(OR(J2108=0,AND(J2108=1,K2108=1),AND(J2108=1,I2108="SBJ"),AND(J2108=1,I2108=0)),"?IN_FOCUS",IF(J2108&lt;=2,"?ACTIVATED",IF(J2108&lt;&gt;"","?FAMILIAR",IF(F2108="NEW",IF(ISNA(VLOOKUP(E2108,#REF!,1,FALSE())),"?TYPE_IDENTIFIABLE","?REFERENTIAL"),"_")))))</f>
        <v/>
      </c>
      <c r="H2108" s="27" t="str">
        <f aca="false">IF(J2108&lt;&gt;1,"",IF(I2108="SBJ","CB","?"))</f>
        <v/>
      </c>
      <c r="I2108" s="24" t="str">
        <f aca="false">IF(OR(E2108="",E2108="!!!",F2108="NEW"),"",INDEX(B2:B$2107,-1+SUMPRODUCT(MAX(ROW(E2:E$2107)*(E2108=E2:E$2107)))))</f>
        <v/>
      </c>
      <c r="J2108" s="24" t="str">
        <f aca="true">IF(OR(E2108="",E2108="!!!",F2108="NEW"),"",COUNTBLANK(OFFSET(A$1,,,SUMPRODUCT(MAX(ROW(E$2:E2108)*(E2108=E$2:E2108)))))-COUNTBLANK(OFFSET(A$1,,,SUMPRODUCT(MAX(ROW(E$1:E2107)*(E2=E$1:E2107))))))</f>
        <v/>
      </c>
      <c r="K2108" s="24" t="str">
        <f aca="false">IF(OR(E2108="",E2108="!!!",F2108="NEW"),"",INDEX(J$1:J2107,SUMPRODUCT(MAX(ROW(E$1:E2107)*(E2108=E$1:E2107)))))</f>
        <v/>
      </c>
      <c r="L2108" s="31"/>
    </row>
    <row r="2109" customFormat="false" ht="15" hidden="false" customHeight="false" outlineLevel="0" collapsed="false">
      <c r="A2109" s="20" t="s">
        <v>1847</v>
      </c>
      <c r="E2109" s="23" t="str">
        <f aca="false">IF(D2109="?OLD","!!!","")</f>
        <v/>
      </c>
      <c r="F2109" s="25" t="str">
        <f aca="false">IF(OR(E2109="",E2109="!!!"),"",IF(NOT(ISNA(VLOOKUP(E2109,E$1:E2108,1,FALSE()))),"OLD",IF(AND(E2109&lt;&gt;"",E2109&lt;&gt;"!!!"),"NEW","")))</f>
        <v/>
      </c>
      <c r="G2109" s="26" t="str">
        <f aca="false">IF(OR(E2109="",E2109="!!!"),"",IF(OR(J2109=0,AND(J2109=1,K2109=1),AND(J2109=1,I2109="SBJ"),AND(J2109=1,I2109=0)),"?IN_FOCUS",IF(J2109&lt;=2,"?ACTIVATED",IF(J2109&lt;&gt;"","?FAMILIAR",IF(F2109="NEW",IF(ISNA(VLOOKUP(E2109,#REF!,1,FALSE())),"?TYPE_IDENTIFIABLE","?REFERENTIAL"),"_")))))</f>
        <v/>
      </c>
      <c r="H2109" s="27" t="str">
        <f aca="false">IF(J2109&lt;&gt;1,"",IF(I2109="SBJ","CB","?"))</f>
        <v/>
      </c>
      <c r="I2109" s="24" t="str">
        <f aca="false">IF(OR(E2109="",E2109="!!!",F2109="NEW"),"",INDEX(B3:B$2107,-1+SUMPRODUCT(MAX(ROW(E3:E$2107)*(E2109=E3:E$2107)))))</f>
        <v/>
      </c>
      <c r="J2109" s="24" t="str">
        <f aca="true">IF(OR(E2109="",E2109="!!!",F2109="NEW"),"",COUNTBLANK(OFFSET(A$1,,,SUMPRODUCT(MAX(ROW(E$2:E2109)*(E2109=E$2:E2109)))))-COUNTBLANK(OFFSET(A$1,,,SUMPRODUCT(MAX(ROW(E$1:E2108)*(E2=E$1:E2108))))))</f>
        <v/>
      </c>
      <c r="K2109" s="24" t="str">
        <f aca="false">IF(OR(E2109="",E2109="!!!",F2109="NEW"),"",INDEX(J$1:J2108,SUMPRODUCT(MAX(ROW(E$1:E2108)*(E2109=E$1:E2108)))))</f>
        <v/>
      </c>
      <c r="L2109" s="31"/>
    </row>
    <row r="2110" customFormat="false" ht="15" hidden="false" customHeight="false" outlineLevel="0" collapsed="false">
      <c r="A2110" s="20" t="s">
        <v>1095</v>
      </c>
      <c r="E2110" s="23" t="str">
        <f aca="false">IF(D2110="?OLD","!!!","")</f>
        <v/>
      </c>
      <c r="F2110" s="25" t="str">
        <f aca="false">IF(OR(E2110="",E2110="!!!"),"",IF(NOT(ISNA(VLOOKUP(E2110,E$1:E2109,1,FALSE()))),"OLD",IF(AND(E2110&lt;&gt;"",E2110&lt;&gt;"!!!"),"NEW","")))</f>
        <v/>
      </c>
      <c r="G2110" s="26" t="str">
        <f aca="false">IF(OR(E2110="",E2110="!!!"),"",IF(OR(J2110=0,AND(J2110=1,K2110=1),AND(J2110=1,I2110="SBJ"),AND(J2110=1,I2110=0)),"?IN_FOCUS",IF(J2110&lt;=2,"?ACTIVATED",IF(J2110&lt;&gt;"","?FAMILIAR",IF(F2110="NEW",IF(ISNA(VLOOKUP(E2110,#REF!,1,FALSE())),"?TYPE_IDENTIFIABLE","?REFERENTIAL"),"_")))))</f>
        <v/>
      </c>
      <c r="H2110" s="27" t="str">
        <f aca="false">IF(J2110&lt;&gt;1,"",IF(I2110="SBJ","CB","?"))</f>
        <v/>
      </c>
      <c r="I2110" s="24" t="str">
        <f aca="false">IF(OR(E2110="",E2110="!!!",F2110="NEW"),"",INDEX(B4:B$2107,-1+SUMPRODUCT(MAX(ROW(E4:E$2107)*(E2110=E4:E$2107)))))</f>
        <v/>
      </c>
      <c r="J2110" s="24" t="str">
        <f aca="true">IF(OR(E2110="",E2110="!!!",F2110="NEW"),"",COUNTBLANK(OFFSET(A$1,,,SUMPRODUCT(MAX(ROW(E$2:E2110)*(E2110=E$2:E2110)))))-COUNTBLANK(OFFSET(A$1,,,SUMPRODUCT(MAX(ROW(E$1:E2109)*(E2=E$1:E2109))))))</f>
        <v/>
      </c>
      <c r="K2110" s="24" t="str">
        <f aca="false">IF(OR(E2110="",E2110="!!!",F2110="NEW"),"",INDEX(J$1:J2109,SUMPRODUCT(MAX(ROW(E$1:E2109)*(E2110=E$1:E2109)))))</f>
        <v/>
      </c>
      <c r="L2110" s="31"/>
    </row>
    <row r="2111" customFormat="false" ht="15" hidden="false" customHeight="false" outlineLevel="0" collapsed="false">
      <c r="A2111" s="20" t="s">
        <v>1313</v>
      </c>
      <c r="B2111" s="22" t="s">
        <v>1073</v>
      </c>
      <c r="C2111" s="22" t="s">
        <v>1099</v>
      </c>
      <c r="D2111" s="22" t="s">
        <v>1060</v>
      </c>
      <c r="E2111" s="23" t="str">
        <f aca="false">IF(D2111="?OLD","!!!","")</f>
        <v>!!!</v>
      </c>
      <c r="F2111" s="25" t="str">
        <f aca="false">IF(OR(E2111="",E2111="!!!"),"",IF(NOT(ISNA(VLOOKUP(E2111,E$1:E2110,1,FALSE()))),"OLD",IF(AND(E2111&lt;&gt;"",E2111&lt;&gt;"!!!"),"NEW","")))</f>
        <v/>
      </c>
      <c r="G2111" s="26" t="str">
        <f aca="false">IF(OR(E2111="",E2111="!!!"),"",IF(OR(J2111=0,AND(J2111=1,K2111=1),AND(J2111=1,I2111="SBJ"),AND(J2111=1,I2111=0)),"?IN_FOCUS",IF(J2111&lt;=2,"?ACTIVATED",IF(J2111&lt;&gt;"","?FAMILIAR",IF(F2111="NEW",IF(ISNA(VLOOKUP(E2111,#REF!,1,FALSE())),"?TYPE_IDENTIFIABLE","?REFERENTIAL"),"_")))))</f>
        <v/>
      </c>
      <c r="H2111" s="27" t="str">
        <f aca="false">IF(J2111&lt;&gt;1,"",IF(I2111="SBJ","CB","?"))</f>
        <v/>
      </c>
      <c r="I2111" s="24" t="str">
        <f aca="false">IF(OR(E2111="",E2111="!!!",F2111="NEW"),"",INDEX(B5:B$2107,-1+SUMPRODUCT(MAX(ROW(E5:E$2107)*(E2111=E5:E$2107)))))</f>
        <v/>
      </c>
      <c r="J2111" s="24" t="str">
        <f aca="true">IF(OR(E2111="",E2111="!!!",F2111="NEW"),"",COUNTBLANK(OFFSET(A$1,,,SUMPRODUCT(MAX(ROW(E$2:E2111)*(E2111=E$2:E2111)))))-COUNTBLANK(OFFSET(A$1,,,SUMPRODUCT(MAX(ROW(E$1:E2110)*(E2=E$1:E2110))))))</f>
        <v/>
      </c>
      <c r="K2111" s="24" t="str">
        <f aca="false">IF(OR(E2111="",E2111="!!!",F2111="NEW"),"",INDEX(J$1:J2110,SUMPRODUCT(MAX(ROW(E$1:E2110)*(E2111=E$1:E2110)))))</f>
        <v/>
      </c>
      <c r="L2111" s="31"/>
    </row>
    <row r="2112" customFormat="false" ht="15" hidden="false" customHeight="false" outlineLevel="0" collapsed="false">
      <c r="A2112" s="20" t="s">
        <v>1724</v>
      </c>
      <c r="B2112" s="22" t="s">
        <v>1105</v>
      </c>
      <c r="C2112" s="22" t="s">
        <v>1059</v>
      </c>
      <c r="D2112" s="22" t="s">
        <v>1060</v>
      </c>
      <c r="E2112" s="23" t="str">
        <f aca="false">IF(D2112="?OLD","!!!","")</f>
        <v>!!!</v>
      </c>
      <c r="F2112" s="25" t="str">
        <f aca="false">IF(OR(E2112="",E2112="!!!"),"",IF(NOT(ISNA(VLOOKUP(E2112,E$1:E2111,1,FALSE()))),"OLD",IF(AND(E2112&lt;&gt;"",E2112&lt;&gt;"!!!"),"NEW","")))</f>
        <v/>
      </c>
      <c r="G2112" s="26" t="str">
        <f aca="false">IF(OR(E2112="",E2112="!!!"),"",IF(OR(J2112=0,AND(J2112=1,K2112=1),AND(J2112=1,I2112="SBJ"),AND(J2112=1,I2112=0)),"?IN_FOCUS",IF(J2112&lt;=2,"?ACTIVATED",IF(J2112&lt;&gt;"","?FAMILIAR",IF(F2112="NEW",IF(ISNA(VLOOKUP(E2112,#REF!,1,FALSE())),"?TYPE_IDENTIFIABLE","?REFERENTIAL"),"_")))))</f>
        <v/>
      </c>
      <c r="H2112" s="27" t="str">
        <f aca="false">IF(J2112&lt;&gt;1,"",IF(I2112="SBJ","CB","?"))</f>
        <v/>
      </c>
      <c r="I2112" s="24" t="str">
        <f aca="false">IF(OR(E2112="",E2112="!!!",F2112="NEW"),"",INDEX(B6:B$2107,-1+SUMPRODUCT(MAX(ROW(E6:E$2107)*(E2112=E6:E$2107)))))</f>
        <v/>
      </c>
      <c r="J2112" s="24" t="str">
        <f aca="true">IF(OR(E2112="",E2112="!!!",F2112="NEW"),"",COUNTBLANK(OFFSET(A$1,,,SUMPRODUCT(MAX(ROW(E$2:E2112)*(E2112=E$2:E2112)))))-COUNTBLANK(OFFSET(A$1,,,SUMPRODUCT(MAX(ROW(E$1:E2111)*(E2=E$1:E2111))))))</f>
        <v/>
      </c>
      <c r="K2112" s="24" t="str">
        <f aca="false">IF(OR(E2112="",E2112="!!!",F2112="NEW"),"",INDEX(J$1:J2111,SUMPRODUCT(MAX(ROW(E$1:E2111)*(E2112=E$1:E2111)))))</f>
        <v/>
      </c>
      <c r="L2112" s="31"/>
    </row>
    <row r="2113" customFormat="false" ht="15" hidden="false" customHeight="false" outlineLevel="0" collapsed="false">
      <c r="A2113" s="20" t="s">
        <v>1076</v>
      </c>
      <c r="E2113" s="23" t="str">
        <f aca="false">IF(D2113="?OLD","!!!","")</f>
        <v/>
      </c>
      <c r="F2113" s="25" t="str">
        <f aca="false">IF(OR(E2113="",E2113="!!!"),"",IF(NOT(ISNA(VLOOKUP(E2113,E$1:E2112,1,FALSE()))),"OLD",IF(AND(E2113&lt;&gt;"",E2113&lt;&gt;"!!!"),"NEW","")))</f>
        <v/>
      </c>
      <c r="G2113" s="26" t="str">
        <f aca="false">IF(OR(E2113="",E2113="!!!"),"",IF(OR(J2113=0,AND(J2113=1,K2113=1),AND(J2113=1,I2113="SBJ"),AND(J2113=1,I2113=0)),"?IN_FOCUS",IF(J2113&lt;=2,"?ACTIVATED",IF(J2113&lt;&gt;"","?FAMILIAR",IF(F2113="NEW",IF(ISNA(VLOOKUP(E2113,#REF!,1,FALSE())),"?TYPE_IDENTIFIABLE","?REFERENTIAL"),"_")))))</f>
        <v/>
      </c>
      <c r="H2113" s="27" t="str">
        <f aca="false">IF(J2113&lt;&gt;1,"",IF(I2113="SBJ","CB","?"))</f>
        <v/>
      </c>
      <c r="I2113" s="24" t="str">
        <f aca="false">IF(OR(E2113="",E2113="!!!",F2113="NEW"),"",INDEX(B7:B$2107,-1+SUMPRODUCT(MAX(ROW(E7:E$2107)*(E2113=E7:E$2107)))))</f>
        <v/>
      </c>
      <c r="J2113" s="24" t="str">
        <f aca="true">IF(OR(E2113="",E2113="!!!",F2113="NEW"),"",COUNTBLANK(OFFSET(A$1,,,SUMPRODUCT(MAX(ROW(E$2:E2113)*(E2113=E$2:E2113)))))-COUNTBLANK(OFFSET(A$1,,,SUMPRODUCT(MAX(ROW(E$1:E2112)*(E2=E$1:E2112))))))</f>
        <v/>
      </c>
      <c r="K2113" s="24" t="str">
        <f aca="false">IF(OR(E2113="",E2113="!!!",F2113="NEW"),"",INDEX(J$1:J2112,SUMPRODUCT(MAX(ROW(E$1:E2112)*(E2113=E$1:E2112)))))</f>
        <v/>
      </c>
      <c r="L2113" s="31"/>
    </row>
    <row r="2114" customFormat="false" ht="15" hidden="false" customHeight="false" outlineLevel="0" collapsed="false">
      <c r="A2114" s="20" t="s">
        <v>1313</v>
      </c>
      <c r="B2114" s="22" t="s">
        <v>1073</v>
      </c>
      <c r="C2114" s="22" t="s">
        <v>1099</v>
      </c>
      <c r="D2114" s="22" t="s">
        <v>1060</v>
      </c>
      <c r="E2114" s="23" t="str">
        <f aca="false">IF(D2114="?OLD","!!!","")</f>
        <v>!!!</v>
      </c>
      <c r="F2114" s="25" t="str">
        <f aca="false">IF(OR(E2114="",E2114="!!!"),"",IF(NOT(ISNA(VLOOKUP(E2114,E$1:E2113,1,FALSE()))),"OLD",IF(AND(E2114&lt;&gt;"",E2114&lt;&gt;"!!!"),"NEW","")))</f>
        <v/>
      </c>
      <c r="G2114" s="26" t="str">
        <f aca="false">IF(OR(E2114="",E2114="!!!"),"",IF(OR(J2114=0,AND(J2114=1,K2114=1),AND(J2114=1,I2114="SBJ"),AND(J2114=1,I2114=0)),"?IN_FOCUS",IF(J2114&lt;=2,"?ACTIVATED",IF(J2114&lt;&gt;"","?FAMILIAR",IF(F2114="NEW",IF(ISNA(VLOOKUP(E2114,#REF!,1,FALSE())),"?TYPE_IDENTIFIABLE","?REFERENTIAL"),"_")))))</f>
        <v/>
      </c>
      <c r="H2114" s="27" t="str">
        <f aca="false">IF(J2114&lt;&gt;1,"",IF(I2114="SBJ","CB","?"))</f>
        <v/>
      </c>
      <c r="I2114" s="24" t="str">
        <f aca="false">IF(OR(E2114="",E2114="!!!",F2114="NEW"),"",INDEX(B8:B$2107,-1+SUMPRODUCT(MAX(ROW(E8:E$2107)*(E2114=E8:E$2107)))))</f>
        <v/>
      </c>
      <c r="J2114" s="24" t="str">
        <f aca="true">IF(OR(E2114="",E2114="!!!",F2114="NEW"),"",COUNTBLANK(OFFSET(A$1,,,SUMPRODUCT(MAX(ROW(E$2:E2114)*(E2114=E$2:E2114)))))-COUNTBLANK(OFFSET(A$1,,,SUMPRODUCT(MAX(ROW(E$1:E2113)*(E2=E$1:E2113))))))</f>
        <v/>
      </c>
      <c r="K2114" s="24" t="str">
        <f aca="false">IF(OR(E2114="",E2114="!!!",F2114="NEW"),"",INDEX(J$1:J2113,SUMPRODUCT(MAX(ROW(E$1:E2113)*(E2114=E$1:E2113)))))</f>
        <v/>
      </c>
      <c r="L2114" s="31"/>
    </row>
    <row r="2115" customFormat="false" ht="15" hidden="false" customHeight="false" outlineLevel="0" collapsed="false">
      <c r="A2115" s="20" t="s">
        <v>1848</v>
      </c>
      <c r="E2115" s="23" t="str">
        <f aca="false">IF(D2115="?OLD","!!!","")</f>
        <v/>
      </c>
      <c r="F2115" s="25" t="str">
        <f aca="false">IF(OR(E2115="",E2115="!!!"),"",IF(NOT(ISNA(VLOOKUP(E2115,E$1:E2114,1,FALSE()))),"OLD",IF(AND(E2115&lt;&gt;"",E2115&lt;&gt;"!!!"),"NEW","")))</f>
        <v/>
      </c>
      <c r="G2115" s="26" t="str">
        <f aca="false">IF(OR(E2115="",E2115="!!!"),"",IF(OR(J2115=0,AND(J2115=1,K2115=1),AND(J2115=1,I2115="SBJ"),AND(J2115=1,I2115=0)),"?IN_FOCUS",IF(J2115&lt;=2,"?ACTIVATED",IF(J2115&lt;&gt;"","?FAMILIAR",IF(F2115="NEW",IF(ISNA(VLOOKUP(E2115,#REF!,1,FALSE())),"?TYPE_IDENTIFIABLE","?REFERENTIAL"),"_")))))</f>
        <v/>
      </c>
      <c r="H2115" s="27" t="str">
        <f aca="false">IF(J2115&lt;&gt;1,"",IF(I2115="SBJ","CB","?"))</f>
        <v/>
      </c>
      <c r="I2115" s="24" t="str">
        <f aca="false">IF(OR(E2115="",E2115="!!!",F2115="NEW"),"",INDEX(B9:B$2107,-1+SUMPRODUCT(MAX(ROW(E9:E$2107)*(E2115=E9:E$2107)))))</f>
        <v/>
      </c>
      <c r="J2115" s="24" t="str">
        <f aca="true">IF(OR(E2115="",E2115="!!!",F2115="NEW"),"",COUNTBLANK(OFFSET(A$1,,,SUMPRODUCT(MAX(ROW(E$2:E2115)*(E2115=E$2:E2115)))))-COUNTBLANK(OFFSET(A$1,,,SUMPRODUCT(MAX(ROW(E$1:E2114)*(E2=E$1:E2114))))))</f>
        <v/>
      </c>
      <c r="K2115" s="24" t="str">
        <f aca="false">IF(OR(E2115="",E2115="!!!",F2115="NEW"),"",INDEX(J$1:J2114,SUMPRODUCT(MAX(ROW(E$1:E2114)*(E2115=E$1:E2114)))))</f>
        <v/>
      </c>
      <c r="L2115" s="31"/>
    </row>
    <row r="2116" customFormat="false" ht="15" hidden="false" customHeight="false" outlineLevel="0" collapsed="false">
      <c r="A2116" s="20" t="s">
        <v>1720</v>
      </c>
      <c r="B2116" s="22" t="s">
        <v>1081</v>
      </c>
      <c r="C2116" s="22" t="s">
        <v>1059</v>
      </c>
      <c r="D2116" s="22" t="s">
        <v>1060</v>
      </c>
      <c r="E2116" s="23" t="str">
        <f aca="false">IF(D2116="?OLD","!!!","")</f>
        <v>!!!</v>
      </c>
      <c r="F2116" s="25" t="str">
        <f aca="false">IF(OR(E2116="",E2116="!!!"),"",IF(NOT(ISNA(VLOOKUP(E2116,E$1:E2115,1,FALSE()))),"OLD",IF(AND(E2116&lt;&gt;"",E2116&lt;&gt;"!!!"),"NEW","")))</f>
        <v/>
      </c>
      <c r="G2116" s="26" t="str">
        <f aca="false">IF(OR(E2116="",E2116="!!!"),"",IF(OR(J2116=0,AND(J2116=1,K2116=1),AND(J2116=1,I2116="SBJ"),AND(J2116=1,I2116=0)),"?IN_FOCUS",IF(J2116&lt;=2,"?ACTIVATED",IF(J2116&lt;&gt;"","?FAMILIAR",IF(F2116="NEW",IF(ISNA(VLOOKUP(E2116,#REF!,1,FALSE())),"?TYPE_IDENTIFIABLE","?REFERENTIAL"),"_")))))</f>
        <v/>
      </c>
      <c r="H2116" s="27" t="str">
        <f aca="false">IF(J2116&lt;&gt;1,"",IF(I2116="SBJ","CB","?"))</f>
        <v/>
      </c>
      <c r="I2116" s="24" t="str">
        <f aca="false">IF(OR(E2116="",E2116="!!!",F2116="NEW"),"",INDEX(B10:B$2107,-1+SUMPRODUCT(MAX(ROW(E10:E$2107)*(E2116=E10:E$2107)))))</f>
        <v/>
      </c>
      <c r="J2116" s="24" t="str">
        <f aca="true">IF(OR(E2116="",E2116="!!!",F2116="NEW"),"",COUNTBLANK(OFFSET(A$1,,,SUMPRODUCT(MAX(ROW(E$2:E2116)*(E2116=E$2:E2116)))))-COUNTBLANK(OFFSET(A$1,,,SUMPRODUCT(MAX(ROW(E$1:E2115)*(E2=E$1:E2115))))))</f>
        <v/>
      </c>
      <c r="K2116" s="24" t="str">
        <f aca="false">IF(OR(E2116="",E2116="!!!",F2116="NEW"),"",INDEX(J$1:J2115,SUMPRODUCT(MAX(ROW(E$1:E2115)*(E2116=E$1:E2115)))))</f>
        <v/>
      </c>
      <c r="L2116" s="31"/>
    </row>
    <row r="2117" customFormat="false" ht="15" hidden="false" customHeight="false" outlineLevel="0" collapsed="false">
      <c r="A2117" s="20" t="s">
        <v>1849</v>
      </c>
      <c r="E2117" s="23" t="str">
        <f aca="false">IF(D2117="?OLD","!!!","")</f>
        <v/>
      </c>
      <c r="F2117" s="25" t="str">
        <f aca="false">IF(OR(E2117="",E2117="!!!"),"",IF(NOT(ISNA(VLOOKUP(E2117,E$1:E2116,1,FALSE()))),"OLD",IF(AND(E2117&lt;&gt;"",E2117&lt;&gt;"!!!"),"NEW","")))</f>
        <v/>
      </c>
      <c r="G2117" s="26" t="str">
        <f aca="false">IF(OR(E2117="",E2117="!!!"),"",IF(OR(J2117=0,AND(J2117=1,K2117=1),AND(J2117=1,I2117="SBJ"),AND(J2117=1,I2117=0)),"?IN_FOCUS",IF(J2117&lt;=2,"?ACTIVATED",IF(J2117&lt;&gt;"","?FAMILIAR",IF(F2117="NEW",IF(ISNA(VLOOKUP(E2117,#REF!,1,FALSE())),"?TYPE_IDENTIFIABLE","?REFERENTIAL"),"_")))))</f>
        <v/>
      </c>
      <c r="H2117" s="27" t="str">
        <f aca="false">IF(J2117&lt;&gt;1,"",IF(I2117="SBJ","CB","?"))</f>
        <v/>
      </c>
      <c r="I2117" s="24" t="str">
        <f aca="false">IF(OR(E2117="",E2117="!!!",F2117="NEW"),"",INDEX(B11:B$2107,-1+SUMPRODUCT(MAX(ROW(E11:E$2107)*(E2117=E11:E$2107)))))</f>
        <v/>
      </c>
      <c r="J2117" s="24" t="str">
        <f aca="true">IF(OR(E2117="",E2117="!!!",F2117="NEW"),"",COUNTBLANK(OFFSET(A$1,,,SUMPRODUCT(MAX(ROW(E$2:E2117)*(E2117=E$2:E2117)))))-COUNTBLANK(OFFSET(A$1,,,SUMPRODUCT(MAX(ROW(E$1:E2116)*(E2=E$1:E2116))))))</f>
        <v/>
      </c>
      <c r="K2117" s="24" t="str">
        <f aca="false">IF(OR(E2117="",E2117="!!!",F2117="NEW"),"",INDEX(J$1:J2116,SUMPRODUCT(MAX(ROW(E$1:E2116)*(E2117=E$1:E2116)))))</f>
        <v/>
      </c>
      <c r="L2117" s="31"/>
    </row>
    <row r="2118" customFormat="false" ht="15" hidden="false" customHeight="false" outlineLevel="0" collapsed="false">
      <c r="A2118" s="20" t="s">
        <v>1313</v>
      </c>
      <c r="B2118" s="22" t="s">
        <v>1107</v>
      </c>
      <c r="C2118" s="22" t="s">
        <v>1099</v>
      </c>
      <c r="D2118" s="22" t="s">
        <v>1060</v>
      </c>
      <c r="E2118" s="23" t="str">
        <f aca="false">IF(D2118="?OLD","!!!","")</f>
        <v>!!!</v>
      </c>
      <c r="F2118" s="25" t="str">
        <f aca="false">IF(OR(E2118="",E2118="!!!"),"",IF(NOT(ISNA(VLOOKUP(E2118,E$1:E2117,1,FALSE()))),"OLD",IF(AND(E2118&lt;&gt;"",E2118&lt;&gt;"!!!"),"NEW","")))</f>
        <v/>
      </c>
      <c r="G2118" s="26" t="str">
        <f aca="false">IF(OR(E2118="",E2118="!!!"),"",IF(OR(J2118=0,AND(J2118=1,K2118=1),AND(J2118=1,I2118="SBJ"),AND(J2118=1,I2118=0)),"?IN_FOCUS",IF(J2118&lt;=2,"?ACTIVATED",IF(J2118&lt;&gt;"","?FAMILIAR",IF(F2118="NEW",IF(ISNA(VLOOKUP(E2118,#REF!,1,FALSE())),"?TYPE_IDENTIFIABLE","?REFERENTIAL"),"_")))))</f>
        <v/>
      </c>
      <c r="H2118" s="27" t="str">
        <f aca="false">IF(J2118&lt;&gt;1,"",IF(I2118="SBJ","CB","?"))</f>
        <v/>
      </c>
      <c r="I2118" s="24" t="str">
        <f aca="false">IF(OR(E2118="",E2118="!!!",F2118="NEW"),"",INDEX(B12:B$2107,-1+SUMPRODUCT(MAX(ROW(E12:E$2107)*(E2118=E12:E$2107)))))</f>
        <v/>
      </c>
      <c r="J2118" s="24" t="str">
        <f aca="true">IF(OR(E2118="",E2118="!!!",F2118="NEW"),"",COUNTBLANK(OFFSET(A$1,,,SUMPRODUCT(MAX(ROW(E$2:E2118)*(E2118=E$2:E2118)))))-COUNTBLANK(OFFSET(A$1,,,SUMPRODUCT(MAX(ROW(E$1:E2117)*(E2=E$1:E2117))))))</f>
        <v/>
      </c>
      <c r="K2118" s="24" t="str">
        <f aca="false">IF(OR(E2118="",E2118="!!!",F2118="NEW"),"",INDEX(J$1:J2117,SUMPRODUCT(MAX(ROW(E$1:E2117)*(E2118=E$1:E2117)))))</f>
        <v/>
      </c>
      <c r="L2118" s="31"/>
    </row>
    <row r="2119" customFormat="false" ht="15" hidden="false" customHeight="false" outlineLevel="0" collapsed="false">
      <c r="A2119" s="20" t="s">
        <v>1809</v>
      </c>
      <c r="B2119" s="22" t="s">
        <v>1146</v>
      </c>
      <c r="C2119" s="22" t="s">
        <v>1059</v>
      </c>
      <c r="D2119" s="22" t="s">
        <v>1060</v>
      </c>
      <c r="E2119" s="23" t="str">
        <f aca="false">IF(D2119="?OLD","!!!","")</f>
        <v>!!!</v>
      </c>
      <c r="F2119" s="25" t="str">
        <f aca="false">IF(OR(E2119="",E2119="!!!"),"",IF(NOT(ISNA(VLOOKUP(E2119,E$1:E2118,1,FALSE()))),"OLD",IF(AND(E2119&lt;&gt;"",E2119&lt;&gt;"!!!"),"NEW","")))</f>
        <v/>
      </c>
      <c r="G2119" s="26" t="str">
        <f aca="false">IF(OR(E2119="",E2119="!!!"),"",IF(OR(J2119=0,AND(J2119=1,K2119=1),AND(J2119=1,I2119="SBJ"),AND(J2119=1,I2119=0)),"?IN_FOCUS",IF(J2119&lt;=2,"?ACTIVATED",IF(J2119&lt;&gt;"","?FAMILIAR",IF(F2119="NEW",IF(ISNA(VLOOKUP(E2119,#REF!,1,FALSE())),"?TYPE_IDENTIFIABLE","?REFERENTIAL"),"_")))))</f>
        <v/>
      </c>
      <c r="H2119" s="27" t="str">
        <f aca="false">IF(J2119&lt;&gt;1,"",IF(I2119="SBJ","CB","?"))</f>
        <v/>
      </c>
      <c r="I2119" s="24" t="str">
        <f aca="false">IF(OR(E2119="",E2119="!!!",F2119="NEW"),"",INDEX(B13:B$2107,-1+SUMPRODUCT(MAX(ROW(E13:E$2107)*(E2119=E13:E$2107)))))</f>
        <v/>
      </c>
      <c r="J2119" s="24" t="str">
        <f aca="true">IF(OR(E2119="",E2119="!!!",F2119="NEW"),"",COUNTBLANK(OFFSET(A$1,,,SUMPRODUCT(MAX(ROW(E$2:E2119)*(E2119=E$2:E2119)))))-COUNTBLANK(OFFSET(A$1,,,SUMPRODUCT(MAX(ROW(E$1:E2118)*(E2=E$1:E2118))))))</f>
        <v/>
      </c>
      <c r="K2119" s="24" t="str">
        <f aca="false">IF(OR(E2119="",E2119="!!!",F2119="NEW"),"",INDEX(J$1:J2118,SUMPRODUCT(MAX(ROW(E$1:E2118)*(E2119=E$1:E2118)))))</f>
        <v/>
      </c>
      <c r="L2119" s="31"/>
    </row>
    <row r="2120" customFormat="false" ht="15" hidden="false" customHeight="false" outlineLevel="0" collapsed="false">
      <c r="A2120" s="20" t="s">
        <v>1076</v>
      </c>
      <c r="E2120" s="23" t="str">
        <f aca="false">IF(D2120="?OLD","!!!","")</f>
        <v/>
      </c>
      <c r="F2120" s="25" t="str">
        <f aca="false">IF(OR(E2120="",E2120="!!!"),"",IF(NOT(ISNA(VLOOKUP(E2120,E$1:E2119,1,FALSE()))),"OLD",IF(AND(E2120&lt;&gt;"",E2120&lt;&gt;"!!!"),"NEW","")))</f>
        <v/>
      </c>
      <c r="G2120" s="26" t="str">
        <f aca="false">IF(OR(E2120="",E2120="!!!"),"",IF(OR(J2120=0,AND(J2120=1,K2120=1),AND(J2120=1,I2120="SBJ"),AND(J2120=1,I2120=0)),"?IN_FOCUS",IF(J2120&lt;=2,"?ACTIVATED",IF(J2120&lt;&gt;"","?FAMILIAR",IF(F2120="NEW",IF(ISNA(VLOOKUP(E2120,#REF!,1,FALSE())),"?TYPE_IDENTIFIABLE","?REFERENTIAL"),"_")))))</f>
        <v/>
      </c>
      <c r="H2120" s="27" t="str">
        <f aca="false">IF(J2120&lt;&gt;1,"",IF(I2120="SBJ","CB","?"))</f>
        <v/>
      </c>
      <c r="I2120" s="24" t="str">
        <f aca="false">IF(OR(E2120="",E2120="!!!",F2120="NEW"),"",INDEX(B14:B$2107,-1+SUMPRODUCT(MAX(ROW(E14:E$2107)*(E2120=E14:E$2107)))))</f>
        <v/>
      </c>
      <c r="J2120" s="24" t="str">
        <f aca="true">IF(OR(E2120="",E2120="!!!",F2120="NEW"),"",COUNTBLANK(OFFSET(A$1,,,SUMPRODUCT(MAX(ROW(E$2:E2120)*(E2120=E$2:E2120)))))-COUNTBLANK(OFFSET(A$1,,,SUMPRODUCT(MAX(ROW(E$1:E2119)*(E2=E$1:E2119))))))</f>
        <v/>
      </c>
      <c r="K2120" s="24" t="str">
        <f aca="false">IF(OR(E2120="",E2120="!!!",F2120="NEW"),"",INDEX(J$1:J2119,SUMPRODUCT(MAX(ROW(E$1:E2119)*(E2120=E$1:E2119)))))</f>
        <v/>
      </c>
      <c r="L2120" s="31"/>
    </row>
    <row r="2121" customFormat="false" ht="15" hidden="false" customHeight="false" outlineLevel="0" collapsed="false">
      <c r="A2121" s="20" t="s">
        <v>1313</v>
      </c>
      <c r="B2121" s="22" t="s">
        <v>1107</v>
      </c>
      <c r="C2121" s="22" t="s">
        <v>1099</v>
      </c>
      <c r="D2121" s="22" t="s">
        <v>1060</v>
      </c>
      <c r="E2121" s="23" t="str">
        <f aca="false">IF(D2121="?OLD","!!!","")</f>
        <v>!!!</v>
      </c>
      <c r="F2121" s="25" t="str">
        <f aca="false">IF(OR(E2121="",E2121="!!!"),"",IF(NOT(ISNA(VLOOKUP(E2121,E$1:E2120,1,FALSE()))),"OLD",IF(AND(E2121&lt;&gt;"",E2121&lt;&gt;"!!!"),"NEW","")))</f>
        <v/>
      </c>
      <c r="G2121" s="26" t="str">
        <f aca="false">IF(OR(E2121="",E2121="!!!"),"",IF(OR(J2121=0,AND(J2121=1,K2121=1),AND(J2121=1,I2121="SBJ"),AND(J2121=1,I2121=0)),"?IN_FOCUS",IF(J2121&lt;=2,"?ACTIVATED",IF(J2121&lt;&gt;"","?FAMILIAR",IF(F2121="NEW",IF(ISNA(VLOOKUP(E2121,#REF!,1,FALSE())),"?TYPE_IDENTIFIABLE","?REFERENTIAL"),"_")))))</f>
        <v/>
      </c>
      <c r="H2121" s="27" t="str">
        <f aca="false">IF(J2121&lt;&gt;1,"",IF(I2121="SBJ","CB","?"))</f>
        <v/>
      </c>
      <c r="I2121" s="24" t="str">
        <f aca="false">IF(OR(E2121="",E2121="!!!",F2121="NEW"),"",INDEX(B15:B$2107,-1+SUMPRODUCT(MAX(ROW(E15:E$2107)*(E2121=E15:E$2107)))))</f>
        <v/>
      </c>
      <c r="J2121" s="24" t="str">
        <f aca="true">IF(OR(E2121="",E2121="!!!",F2121="NEW"),"",COUNTBLANK(OFFSET(A$1,,,SUMPRODUCT(MAX(ROW(E$2:E2121)*(E2121=E$2:E2121)))))-COUNTBLANK(OFFSET(A$1,,,SUMPRODUCT(MAX(ROW(E$1:E2120)*(E2=E$1:E2120))))))</f>
        <v/>
      </c>
      <c r="K2121" s="24" t="str">
        <f aca="false">IF(OR(E2121="",E2121="!!!",F2121="NEW"),"",INDEX(J$1:J2120,SUMPRODUCT(MAX(ROW(E$1:E2120)*(E2121=E$1:E2120)))))</f>
        <v/>
      </c>
      <c r="L2121" s="31"/>
    </row>
    <row r="2122" customFormat="false" ht="15" hidden="false" customHeight="false" outlineLevel="0" collapsed="false">
      <c r="A2122" s="20" t="s">
        <v>1515</v>
      </c>
      <c r="B2122" s="22" t="s">
        <v>1146</v>
      </c>
      <c r="C2122" s="22" t="s">
        <v>1059</v>
      </c>
      <c r="D2122" s="22" t="s">
        <v>1060</v>
      </c>
      <c r="E2122" s="23" t="str">
        <f aca="false">IF(D2122="?OLD","!!!","")</f>
        <v>!!!</v>
      </c>
      <c r="F2122" s="25" t="str">
        <f aca="false">IF(OR(E2122="",E2122="!!!"),"",IF(NOT(ISNA(VLOOKUP(E2122,E$1:E2121,1,FALSE()))),"OLD",IF(AND(E2122&lt;&gt;"",E2122&lt;&gt;"!!!"),"NEW","")))</f>
        <v/>
      </c>
      <c r="G2122" s="26" t="str">
        <f aca="false">IF(OR(E2122="",E2122="!!!"),"",IF(OR(J2122=0,AND(J2122=1,K2122=1),AND(J2122=1,I2122="SBJ"),AND(J2122=1,I2122=0)),"?IN_FOCUS",IF(J2122&lt;=2,"?ACTIVATED",IF(J2122&lt;&gt;"","?FAMILIAR",IF(F2122="NEW",IF(ISNA(VLOOKUP(E2122,#REF!,1,FALSE())),"?TYPE_IDENTIFIABLE","?REFERENTIAL"),"_")))))</f>
        <v/>
      </c>
      <c r="H2122" s="27" t="str">
        <f aca="false">IF(J2122&lt;&gt;1,"",IF(I2122="SBJ","CB","?"))</f>
        <v/>
      </c>
      <c r="I2122" s="24" t="str">
        <f aca="false">IF(OR(E2122="",E2122="!!!",F2122="NEW"),"",INDEX(B16:B$2107,-1+SUMPRODUCT(MAX(ROW(E16:E$2107)*(E2122=E16:E$2107)))))</f>
        <v/>
      </c>
      <c r="J2122" s="24" t="str">
        <f aca="true">IF(OR(E2122="",E2122="!!!",F2122="NEW"),"",COUNTBLANK(OFFSET(A$1,,,SUMPRODUCT(MAX(ROW(E$2:E2122)*(E2122=E$2:E2122)))))-COUNTBLANK(OFFSET(A$1,,,SUMPRODUCT(MAX(ROW(E$1:E2121)*(E2=E$1:E2121))))))</f>
        <v/>
      </c>
      <c r="K2122" s="24" t="str">
        <f aca="false">IF(OR(E2122="",E2122="!!!",F2122="NEW"),"",INDEX(J$1:J2121,SUMPRODUCT(MAX(ROW(E$1:E2121)*(E2122=E$1:E2121)))))</f>
        <v/>
      </c>
      <c r="L2122" s="31"/>
    </row>
    <row r="2123" customFormat="false" ht="15" hidden="false" customHeight="false" outlineLevel="0" collapsed="false">
      <c r="A2123" s="20" t="s">
        <v>1850</v>
      </c>
      <c r="E2123" s="23" t="str">
        <f aca="false">IF(D2123="?OLD","!!!","")</f>
        <v/>
      </c>
      <c r="F2123" s="25" t="str">
        <f aca="false">IF(OR(E2123="",E2123="!!!"),"",IF(NOT(ISNA(VLOOKUP(E2123,E$1:E2122,1,FALSE()))),"OLD",IF(AND(E2123&lt;&gt;"",E2123&lt;&gt;"!!!"),"NEW","")))</f>
        <v/>
      </c>
      <c r="G2123" s="26" t="str">
        <f aca="false">IF(OR(E2123="",E2123="!!!"),"",IF(OR(J2123=0,AND(J2123=1,K2123=1),AND(J2123=1,I2123="SBJ"),AND(J2123=1,I2123=0)),"?IN_FOCUS",IF(J2123&lt;=2,"?ACTIVATED",IF(J2123&lt;&gt;"","?FAMILIAR",IF(F2123="NEW",IF(ISNA(VLOOKUP(E2123,#REF!,1,FALSE())),"?TYPE_IDENTIFIABLE","?REFERENTIAL"),"_")))))</f>
        <v/>
      </c>
      <c r="H2123" s="27" t="str">
        <f aca="false">IF(J2123&lt;&gt;1,"",IF(I2123="SBJ","CB","?"))</f>
        <v/>
      </c>
      <c r="I2123" s="24" t="str">
        <f aca="false">IF(OR(E2123="",E2123="!!!",F2123="NEW"),"",INDEX(B17:B$2107,-1+SUMPRODUCT(MAX(ROW(E17:E$2107)*(E2123=E17:E$2107)))))</f>
        <v/>
      </c>
      <c r="J2123" s="24" t="str">
        <f aca="true">IF(OR(E2123="",E2123="!!!",F2123="NEW"),"",COUNTBLANK(OFFSET(A$1,,,SUMPRODUCT(MAX(ROW(E$2:E2123)*(E2123=E$2:E2123)))))-COUNTBLANK(OFFSET(A$1,,,SUMPRODUCT(MAX(ROW(E$1:E2122)*(E2=E$1:E2122))))))</f>
        <v/>
      </c>
      <c r="K2123" s="24" t="str">
        <f aca="false">IF(OR(E2123="",E2123="!!!",F2123="NEW"),"",INDEX(J$1:J2122,SUMPRODUCT(MAX(ROW(E$1:E2122)*(E2123=E$1:E2122)))))</f>
        <v/>
      </c>
      <c r="L2123" s="31"/>
    </row>
    <row r="2124" customFormat="false" ht="15" hidden="false" customHeight="false" outlineLevel="0" collapsed="false">
      <c r="A2124" s="20" t="s">
        <v>1248</v>
      </c>
      <c r="E2124" s="23" t="str">
        <f aca="false">IF(D2124="?OLD","!!!","")</f>
        <v/>
      </c>
      <c r="F2124" s="25" t="str">
        <f aca="false">IF(OR(E2124="",E2124="!!!"),"",IF(NOT(ISNA(VLOOKUP(E2124,E$1:E2123,1,FALSE()))),"OLD",IF(AND(E2124&lt;&gt;"",E2124&lt;&gt;"!!!"),"NEW","")))</f>
        <v/>
      </c>
      <c r="G2124" s="26" t="str">
        <f aca="false">IF(OR(E2124="",E2124="!!!"),"",IF(OR(J2124=0,AND(J2124=1,K2124=1),AND(J2124=1,I2124="SBJ"),AND(J2124=1,I2124=0)),"?IN_FOCUS",IF(J2124&lt;=2,"?ACTIVATED",IF(J2124&lt;&gt;"","?FAMILIAR",IF(F2124="NEW",IF(ISNA(VLOOKUP(E2124,#REF!,1,FALSE())),"?TYPE_IDENTIFIABLE","?REFERENTIAL"),"_")))))</f>
        <v/>
      </c>
      <c r="H2124" s="27" t="str">
        <f aca="false">IF(J2124&lt;&gt;1,"",IF(I2124="SBJ","CB","?"))</f>
        <v/>
      </c>
      <c r="I2124" s="24" t="str">
        <f aca="false">IF(OR(E2124="",E2124="!!!",F2124="NEW"),"",INDEX(B18:B$2107,-1+SUMPRODUCT(MAX(ROW(E18:E$2107)*(E2124=E18:E$2107)))))</f>
        <v/>
      </c>
      <c r="J2124" s="24" t="str">
        <f aca="true">IF(OR(E2124="",E2124="!!!",F2124="NEW"),"",COUNTBLANK(OFFSET(A$1,,,SUMPRODUCT(MAX(ROW(E$2:E2124)*(E2124=E$2:E2124)))))-COUNTBLANK(OFFSET(A$1,,,SUMPRODUCT(MAX(ROW(E$1:E2123)*(E2=E$1:E2123))))))</f>
        <v/>
      </c>
      <c r="K2124" s="24" t="str">
        <f aca="false">IF(OR(E2124="",E2124="!!!",F2124="NEW"),"",INDEX(J$1:J2123,SUMPRODUCT(MAX(ROW(E$1:E2123)*(E2124=E$1:E2123)))))</f>
        <v/>
      </c>
      <c r="L2124" s="31"/>
    </row>
    <row r="2125" customFormat="false" ht="15" hidden="false" customHeight="false" outlineLevel="0" collapsed="false">
      <c r="A2125" s="20" t="s">
        <v>1109</v>
      </c>
      <c r="E2125" s="23" t="str">
        <f aca="false">IF(D2125="?OLD","!!!","")</f>
        <v/>
      </c>
      <c r="F2125" s="25" t="str">
        <f aca="false">IF(OR(E2125="",E2125="!!!"),"",IF(NOT(ISNA(VLOOKUP(E2125,E$1:E2124,1,FALSE()))),"OLD",IF(AND(E2125&lt;&gt;"",E2125&lt;&gt;"!!!"),"NEW","")))</f>
        <v/>
      </c>
      <c r="G2125" s="26" t="str">
        <f aca="false">IF(OR(E2125="",E2125="!!!"),"",IF(OR(J2125=0,AND(J2125=1,K2125=1),AND(J2125=1,I2125="SBJ"),AND(J2125=1,I2125=0)),"?IN_FOCUS",IF(J2125&lt;=2,"?ACTIVATED",IF(J2125&lt;&gt;"","?FAMILIAR",IF(F2125="NEW",IF(ISNA(VLOOKUP(E2125,#REF!,1,FALSE())),"?TYPE_IDENTIFIABLE","?REFERENTIAL"),"_")))))</f>
        <v/>
      </c>
      <c r="H2125" s="27" t="str">
        <f aca="false">IF(J2125&lt;&gt;1,"",IF(I2125="SBJ","CB","?"))</f>
        <v/>
      </c>
      <c r="I2125" s="24" t="str">
        <f aca="false">IF(OR(E2125="",E2125="!!!",F2125="NEW"),"",INDEX(B19:B$2107,-1+SUMPRODUCT(MAX(ROW(E19:E$2107)*(E2125=E19:E$2107)))))</f>
        <v/>
      </c>
      <c r="J2125" s="24" t="str">
        <f aca="true">IF(OR(E2125="",E2125="!!!",F2125="NEW"),"",COUNTBLANK(OFFSET(A$1,,,SUMPRODUCT(MAX(ROW(E$2:E2125)*(E2125=E$2:E2125)))))-COUNTBLANK(OFFSET(A$1,,,SUMPRODUCT(MAX(ROW(E$1:E2124)*(E2=E$1:E2124))))))</f>
        <v/>
      </c>
      <c r="K2125" s="24" t="str">
        <f aca="false">IF(OR(E2125="",E2125="!!!",F2125="NEW"),"",INDEX(J$1:J2124,SUMPRODUCT(MAX(ROW(E$1:E2124)*(E2125=E$1:E2124)))))</f>
        <v/>
      </c>
      <c r="L2125" s="31"/>
    </row>
    <row r="2126" customFormat="false" ht="15" hidden="false" customHeight="false" outlineLevel="0" collapsed="false">
      <c r="A2126" s="20" t="s">
        <v>1851</v>
      </c>
      <c r="E2126" s="23" t="str">
        <f aca="false">IF(D2126="?OLD","!!!","")</f>
        <v/>
      </c>
      <c r="F2126" s="25" t="str">
        <f aca="false">IF(OR(E2126="",E2126="!!!"),"",IF(NOT(ISNA(VLOOKUP(E2126,E$1:E2125,1,FALSE()))),"OLD",IF(AND(E2126&lt;&gt;"",E2126&lt;&gt;"!!!"),"NEW","")))</f>
        <v/>
      </c>
      <c r="G2126" s="26" t="str">
        <f aca="false">IF(OR(E2126="",E2126="!!!"),"",IF(OR(J2126=0,AND(J2126=1,K2126=1),AND(J2126=1,I2126="SBJ"),AND(J2126=1,I2126=0)),"?IN_FOCUS",IF(J2126&lt;=2,"?ACTIVATED",IF(J2126&lt;&gt;"","?FAMILIAR",IF(F2126="NEW",IF(ISNA(VLOOKUP(E2126,#REF!,1,FALSE())),"?TYPE_IDENTIFIABLE","?REFERENTIAL"),"_")))))</f>
        <v/>
      </c>
      <c r="H2126" s="27" t="str">
        <f aca="false">IF(J2126&lt;&gt;1,"",IF(I2126="SBJ","CB","?"))</f>
        <v/>
      </c>
      <c r="I2126" s="24" t="str">
        <f aca="false">IF(OR(E2126="",E2126="!!!",F2126="NEW"),"",INDEX(B20:B$2107,-1+SUMPRODUCT(MAX(ROW(E20:E$2107)*(E2126=E20:E$2107)))))</f>
        <v/>
      </c>
      <c r="J2126" s="24" t="str">
        <f aca="true">IF(OR(E2126="",E2126="!!!",F2126="NEW"),"",COUNTBLANK(OFFSET(A$1,,,SUMPRODUCT(MAX(ROW(E$2:E2126)*(E2126=E$2:E2126)))))-COUNTBLANK(OFFSET(A$1,,,SUMPRODUCT(MAX(ROW(E$1:E2125)*(E2=E$1:E2125))))))</f>
        <v/>
      </c>
      <c r="K2126" s="24" t="str">
        <f aca="false">IF(OR(E2126="",E2126="!!!",F2126="NEW"),"",INDEX(J$1:J2125,SUMPRODUCT(MAX(ROW(E$1:E2125)*(E2126=E$1:E2125)))))</f>
        <v/>
      </c>
      <c r="L2126" s="31"/>
    </row>
    <row r="2127" customFormat="false" ht="15" hidden="false" customHeight="false" outlineLevel="0" collapsed="false">
      <c r="A2127" s="20" t="s">
        <v>1852</v>
      </c>
      <c r="B2127" s="22" t="s">
        <v>1098</v>
      </c>
      <c r="C2127" s="22" t="s">
        <v>1150</v>
      </c>
      <c r="D2127" s="22" t="s">
        <v>1060</v>
      </c>
      <c r="E2127" s="23" t="str">
        <f aca="false">IF(D2127="?OLD","!!!","")</f>
        <v>!!!</v>
      </c>
      <c r="F2127" s="25" t="str">
        <f aca="false">IF(OR(E2127="",E2127="!!!"),"",IF(NOT(ISNA(VLOOKUP(E2127,E$1:E2126,1,FALSE()))),"OLD",IF(AND(E2127&lt;&gt;"",E2127&lt;&gt;"!!!"),"NEW","")))</f>
        <v/>
      </c>
      <c r="G2127" s="26" t="str">
        <f aca="false">IF(OR(E2127="",E2127="!!!"),"",IF(OR(J2127=0,AND(J2127=1,K2127=1),AND(J2127=1,I2127="SBJ"),AND(J2127=1,I2127=0)),"?IN_FOCUS",IF(J2127&lt;=2,"?ACTIVATED",IF(J2127&lt;&gt;"","?FAMILIAR",IF(F2127="NEW",IF(ISNA(VLOOKUP(E2127,#REF!,1,FALSE())),"?TYPE_IDENTIFIABLE","?REFERENTIAL"),"_")))))</f>
        <v/>
      </c>
      <c r="H2127" s="27" t="str">
        <f aca="false">IF(J2127&lt;&gt;1,"",IF(I2127="SBJ","CB","?"))</f>
        <v/>
      </c>
      <c r="I2127" s="24" t="str">
        <f aca="false">IF(OR(E2127="",E2127="!!!",F2127="NEW"),"",INDEX(B21:B$2107,-1+SUMPRODUCT(MAX(ROW(E21:E$2107)*(E2127=E21:E$2107)))))</f>
        <v/>
      </c>
      <c r="J2127" s="24" t="str">
        <f aca="true">IF(OR(E2127="",E2127="!!!",F2127="NEW"),"",COUNTBLANK(OFFSET(A$1,,,SUMPRODUCT(MAX(ROW(E$2:E2127)*(E2127=E$2:E2127)))))-COUNTBLANK(OFFSET(A$1,,,SUMPRODUCT(MAX(ROW(E$1:E2126)*(E2=E$1:E2126))))))</f>
        <v/>
      </c>
      <c r="K2127" s="24" t="str">
        <f aca="false">IF(OR(E2127="",E2127="!!!",F2127="NEW"),"",INDEX(J$1:J2126,SUMPRODUCT(MAX(ROW(E$1:E2126)*(E2127=E$1:E2126)))))</f>
        <v/>
      </c>
      <c r="L2127" s="31"/>
    </row>
    <row r="2128" customFormat="false" ht="15" hidden="false" customHeight="false" outlineLevel="0" collapsed="false">
      <c r="A2128" s="20" t="s">
        <v>1125</v>
      </c>
      <c r="B2128" s="22" t="s">
        <v>1134</v>
      </c>
      <c r="E2128" s="23" t="str">
        <f aca="false">IF(D2128="?OLD","!!!","")</f>
        <v/>
      </c>
      <c r="F2128" s="25" t="str">
        <f aca="false">IF(OR(E2128="",E2128="!!!"),"",IF(NOT(ISNA(VLOOKUP(E2128,E$1:E2127,1,FALSE()))),"OLD",IF(AND(E2128&lt;&gt;"",E2128&lt;&gt;"!!!"),"NEW","")))</f>
        <v/>
      </c>
      <c r="G2128" s="26" t="str">
        <f aca="false">IF(OR(E2128="",E2128="!!!"),"",IF(OR(J2128=0,AND(J2128=1,K2128=1),AND(J2128=1,I2128="SBJ"),AND(J2128=1,I2128=0)),"?IN_FOCUS",IF(J2128&lt;=2,"?ACTIVATED",IF(J2128&lt;&gt;"","?FAMILIAR",IF(F2128="NEW",IF(ISNA(VLOOKUP(E2128,#REF!,1,FALSE())),"?TYPE_IDENTIFIABLE","?REFERENTIAL"),"_")))))</f>
        <v/>
      </c>
      <c r="H2128" s="27" t="str">
        <f aca="false">IF(J2128&lt;&gt;1,"",IF(I2128="SBJ","CB","?"))</f>
        <v/>
      </c>
      <c r="I2128" s="24" t="str">
        <f aca="false">IF(OR(E2128="",E2128="!!!",F2128="NEW"),"",INDEX(B22:B$2107,-1+SUMPRODUCT(MAX(ROW(E22:E$2107)*(E2128=E22:E$2107)))))</f>
        <v/>
      </c>
      <c r="J2128" s="24" t="str">
        <f aca="true">IF(OR(E2128="",E2128="!!!",F2128="NEW"),"",COUNTBLANK(OFFSET(A$1,,,SUMPRODUCT(MAX(ROW(E$2:E2128)*(E2128=E$2:E2128)))))-COUNTBLANK(OFFSET(A$1,,,SUMPRODUCT(MAX(ROW(E$1:E2127)*(E2=E$1:E2127))))))</f>
        <v/>
      </c>
      <c r="K2128" s="24" t="str">
        <f aca="false">IF(OR(E2128="",E2128="!!!",F2128="NEW"),"",INDEX(J$1:J2127,SUMPRODUCT(MAX(ROW(E$1:E2127)*(E2128=E$1:E2127)))))</f>
        <v/>
      </c>
      <c r="L2128" s="31"/>
    </row>
    <row r="2129" customFormat="false" ht="15" hidden="false" customHeight="false" outlineLevel="0" collapsed="false">
      <c r="A2129" s="20" t="s">
        <v>1164</v>
      </c>
      <c r="E2129" s="23" t="str">
        <f aca="false">IF(D2129="?OLD","!!!","")</f>
        <v/>
      </c>
      <c r="F2129" s="25" t="str">
        <f aca="false">IF(OR(E2129="",E2129="!!!"),"",IF(NOT(ISNA(VLOOKUP(E2129,E$1:E2128,1,FALSE()))),"OLD",IF(AND(E2129&lt;&gt;"",E2129&lt;&gt;"!!!"),"NEW","")))</f>
        <v/>
      </c>
      <c r="G2129" s="26" t="str">
        <f aca="false">IF(OR(E2129="",E2129="!!!"),"",IF(OR(J2129=0,AND(J2129=1,K2129=1),AND(J2129=1,I2129="SBJ"),AND(J2129=1,I2129=0)),"?IN_FOCUS",IF(J2129&lt;=2,"?ACTIVATED",IF(J2129&lt;&gt;"","?FAMILIAR",IF(F2129="NEW",IF(ISNA(VLOOKUP(E2129,#REF!,1,FALSE())),"?TYPE_IDENTIFIABLE","?REFERENTIAL"),"_")))))</f>
        <v/>
      </c>
      <c r="H2129" s="27" t="str">
        <f aca="false">IF(J2129&lt;&gt;1,"",IF(I2129="SBJ","CB","?"))</f>
        <v/>
      </c>
      <c r="I2129" s="24" t="str">
        <f aca="false">IF(OR(E2129="",E2129="!!!",F2129="NEW"),"",INDEX(B23:B$2107,-1+SUMPRODUCT(MAX(ROW(E23:E$2107)*(E2129=E23:E$2107)))))</f>
        <v/>
      </c>
      <c r="J2129" s="24" t="str">
        <f aca="true">IF(OR(E2129="",E2129="!!!",F2129="NEW"),"",COUNTBLANK(OFFSET(A$1,,,SUMPRODUCT(MAX(ROW(E$2:E2129)*(E2129=E$2:E2129)))))-COUNTBLANK(OFFSET(A$1,,,SUMPRODUCT(MAX(ROW(E$1:E2128)*(E2=E$1:E2128))))))</f>
        <v/>
      </c>
      <c r="K2129" s="24" t="str">
        <f aca="false">IF(OR(E2129="",E2129="!!!",F2129="NEW"),"",INDEX(J$1:J2128,SUMPRODUCT(MAX(ROW(E$1:E2128)*(E2129=E$1:E2128)))))</f>
        <v/>
      </c>
      <c r="L2129" s="31"/>
    </row>
    <row r="2130" customFormat="false" ht="15" hidden="false" customHeight="false" outlineLevel="0" collapsed="false">
      <c r="A2130" s="20" t="s">
        <v>1853</v>
      </c>
      <c r="E2130" s="23" t="str">
        <f aca="false">IF(D2130="?OLD","!!!","")</f>
        <v/>
      </c>
      <c r="F2130" s="25" t="str">
        <f aca="false">IF(OR(E2130="",E2130="!!!"),"",IF(NOT(ISNA(VLOOKUP(E2130,E$1:E2129,1,FALSE()))),"OLD",IF(AND(E2130&lt;&gt;"",E2130&lt;&gt;"!!!"),"NEW","")))</f>
        <v/>
      </c>
      <c r="G2130" s="26" t="str">
        <f aca="false">IF(OR(E2130="",E2130="!!!"),"",IF(OR(J2130=0,AND(J2130=1,K2130=1),AND(J2130=1,I2130="SBJ"),AND(J2130=1,I2130=0)),"?IN_FOCUS",IF(J2130&lt;=2,"?ACTIVATED",IF(J2130&lt;&gt;"","?FAMILIAR",IF(F2130="NEW",IF(ISNA(VLOOKUP(E2130,#REF!,1,FALSE())),"?TYPE_IDENTIFIABLE","?REFERENTIAL"),"_")))))</f>
        <v/>
      </c>
      <c r="H2130" s="27" t="str">
        <f aca="false">IF(J2130&lt;&gt;1,"",IF(I2130="SBJ","CB","?"))</f>
        <v/>
      </c>
      <c r="I2130" s="24" t="str">
        <f aca="false">IF(OR(E2130="",E2130="!!!",F2130="NEW"),"",INDEX(B24:B$2107,-1+SUMPRODUCT(MAX(ROW(E24:E$2107)*(E2130=E24:E$2107)))))</f>
        <v/>
      </c>
      <c r="J2130" s="24" t="str">
        <f aca="true">IF(OR(E2130="",E2130="!!!",F2130="NEW"),"",COUNTBLANK(OFFSET(A$1,,,SUMPRODUCT(MAX(ROW(E$2:E2130)*(E2130=E$2:E2130)))))-COUNTBLANK(OFFSET(A$1,,,SUMPRODUCT(MAX(ROW(E$1:E2129)*(E2=E$1:E2129))))))</f>
        <v/>
      </c>
      <c r="K2130" s="24" t="str">
        <f aca="false">IF(OR(E2130="",E2130="!!!",F2130="NEW"),"",INDEX(J$1:J2129,SUMPRODUCT(MAX(ROW(E$1:E2129)*(E2130=E$1:E2129)))))</f>
        <v/>
      </c>
      <c r="L2130" s="31"/>
    </row>
    <row r="2131" customFormat="false" ht="15" hidden="false" customHeight="false" outlineLevel="0" collapsed="false">
      <c r="A2131" s="20" t="s">
        <v>1547</v>
      </c>
      <c r="E2131" s="23" t="str">
        <f aca="false">IF(D2131="?OLD","!!!","")</f>
        <v/>
      </c>
      <c r="F2131" s="25" t="str">
        <f aca="false">IF(OR(E2131="",E2131="!!!"),"",IF(NOT(ISNA(VLOOKUP(E2131,E$1:E2130,1,FALSE()))),"OLD",IF(AND(E2131&lt;&gt;"",E2131&lt;&gt;"!!!"),"NEW","")))</f>
        <v/>
      </c>
      <c r="G2131" s="26" t="str">
        <f aca="false">IF(OR(E2131="",E2131="!!!"),"",IF(OR(J2131=0,AND(J2131=1,K2131=1),AND(J2131=1,I2131="SBJ"),AND(J2131=1,I2131=0)),"?IN_FOCUS",IF(J2131&lt;=2,"?ACTIVATED",IF(J2131&lt;&gt;"","?FAMILIAR",IF(F2131="NEW",IF(ISNA(VLOOKUP(E2131,#REF!,1,FALSE())),"?TYPE_IDENTIFIABLE","?REFERENTIAL"),"_")))))</f>
        <v/>
      </c>
      <c r="H2131" s="27" t="str">
        <f aca="false">IF(J2131&lt;&gt;1,"",IF(I2131="SBJ","CB","?"))</f>
        <v/>
      </c>
      <c r="I2131" s="24" t="str">
        <f aca="false">IF(OR(E2131="",E2131="!!!",F2131="NEW"),"",INDEX(B25:B$2107,-1+SUMPRODUCT(MAX(ROW(E25:E$2107)*(E2131=E25:E$2107)))))</f>
        <v/>
      </c>
      <c r="J2131" s="24" t="str">
        <f aca="true">IF(OR(E2131="",E2131="!!!",F2131="NEW"),"",COUNTBLANK(OFFSET(A$1,,,SUMPRODUCT(MAX(ROW(E$2:E2131)*(E2131=E$2:E2131)))))-COUNTBLANK(OFFSET(A$1,,,SUMPRODUCT(MAX(ROW(E$1:E2130)*(E2=E$1:E2130))))))</f>
        <v/>
      </c>
      <c r="K2131" s="24" t="str">
        <f aca="false">IF(OR(E2131="",E2131="!!!",F2131="NEW"),"",INDEX(J$1:J2130,SUMPRODUCT(MAX(ROW(E$1:E2130)*(E2131=E$1:E2130)))))</f>
        <v/>
      </c>
      <c r="L2131" s="31"/>
    </row>
    <row r="2132" customFormat="false" ht="15" hidden="false" customHeight="false" outlineLevel="0" collapsed="false">
      <c r="A2132" s="20" t="s">
        <v>1218</v>
      </c>
      <c r="E2132" s="23" t="str">
        <f aca="false">IF(D2132="?OLD","!!!","")</f>
        <v/>
      </c>
      <c r="F2132" s="25" t="str">
        <f aca="false">IF(OR(E2132="",E2132="!!!"),"",IF(NOT(ISNA(VLOOKUP(E2132,E$1:E2131,1,FALSE()))),"OLD",IF(AND(E2132&lt;&gt;"",E2132&lt;&gt;"!!!"),"NEW","")))</f>
        <v/>
      </c>
      <c r="G2132" s="26" t="str">
        <f aca="false">IF(OR(E2132="",E2132="!!!"),"",IF(OR(J2132=0,AND(J2132=1,K2132=1),AND(J2132=1,I2132="SBJ"),AND(J2132=1,I2132=0)),"?IN_FOCUS",IF(J2132&lt;=2,"?ACTIVATED",IF(J2132&lt;&gt;"","?FAMILIAR",IF(F2132="NEW",IF(ISNA(VLOOKUP(E2132,#REF!,1,FALSE())),"?TYPE_IDENTIFIABLE","?REFERENTIAL"),"_")))))</f>
        <v/>
      </c>
      <c r="H2132" s="27" t="str">
        <f aca="false">IF(J2132&lt;&gt;1,"",IF(I2132="SBJ","CB","?"))</f>
        <v/>
      </c>
      <c r="I2132" s="24" t="str">
        <f aca="false">IF(OR(E2132="",E2132="!!!",F2132="NEW"),"",INDEX(B26:B$2107,-1+SUMPRODUCT(MAX(ROW(E26:E$2107)*(E2132=E26:E$2107)))))</f>
        <v/>
      </c>
      <c r="J2132" s="24" t="str">
        <f aca="true">IF(OR(E2132="",E2132="!!!",F2132="NEW"),"",COUNTBLANK(OFFSET(A$1,,,SUMPRODUCT(MAX(ROW(E$2:E2132)*(E2132=E$2:E2132)))))-COUNTBLANK(OFFSET(A$1,,,SUMPRODUCT(MAX(ROW(E$1:E2131)*(E2=E$1:E2131))))))</f>
        <v/>
      </c>
      <c r="K2132" s="24" t="str">
        <f aca="false">IF(OR(E2132="",E2132="!!!",F2132="NEW"),"",INDEX(J$1:J2131,SUMPRODUCT(MAX(ROW(E$1:E2131)*(E2132=E$1:E2131)))))</f>
        <v/>
      </c>
      <c r="L2132" s="31"/>
    </row>
    <row r="2133" customFormat="false" ht="15" hidden="false" customHeight="false" outlineLevel="0" collapsed="false">
      <c r="A2133" s="20" t="s">
        <v>1179</v>
      </c>
      <c r="B2133" s="22" t="s">
        <v>1203</v>
      </c>
      <c r="C2133" s="22" t="s">
        <v>1082</v>
      </c>
      <c r="D2133" s="22" t="s">
        <v>1060</v>
      </c>
      <c r="E2133" s="23" t="str">
        <f aca="false">IF(D2133="?OLD","!!!","")</f>
        <v>!!!</v>
      </c>
      <c r="F2133" s="25" t="str">
        <f aca="false">IF(OR(E2133="",E2133="!!!"),"",IF(NOT(ISNA(VLOOKUP(E2133,E$1:E2132,1,FALSE()))),"OLD",IF(AND(E2133&lt;&gt;"",E2133&lt;&gt;"!!!"),"NEW","")))</f>
        <v/>
      </c>
      <c r="G2133" s="26" t="str">
        <f aca="false">IF(OR(E2133="",E2133="!!!"),"",IF(OR(J2133=0,AND(J2133=1,K2133=1),AND(J2133=1,I2133="SBJ"),AND(J2133=1,I2133=0)),"?IN_FOCUS",IF(J2133&lt;=2,"?ACTIVATED",IF(J2133&lt;&gt;"","?FAMILIAR",IF(F2133="NEW",IF(ISNA(VLOOKUP(E2133,#REF!,1,FALSE())),"?TYPE_IDENTIFIABLE","?REFERENTIAL"),"_")))))</f>
        <v/>
      </c>
      <c r="H2133" s="27" t="str">
        <f aca="false">IF(J2133&lt;&gt;1,"",IF(I2133="SBJ","CB","?"))</f>
        <v/>
      </c>
      <c r="I2133" s="24" t="str">
        <f aca="false">IF(OR(E2133="",E2133="!!!",F2133="NEW"),"",INDEX(B27:B$2107,-1+SUMPRODUCT(MAX(ROW(E27:E$2107)*(E2133=E27:E$2107)))))</f>
        <v/>
      </c>
      <c r="J2133" s="24" t="str">
        <f aca="true">IF(OR(E2133="",E2133="!!!",F2133="NEW"),"",COUNTBLANK(OFFSET(A$1,,,SUMPRODUCT(MAX(ROW(E$2:E2133)*(E2133=E$2:E2133)))))-COUNTBLANK(OFFSET(A$1,,,SUMPRODUCT(MAX(ROW(E$1:E2132)*(E2=E$1:E2132))))))</f>
        <v/>
      </c>
      <c r="K2133" s="24" t="str">
        <f aca="false">IF(OR(E2133="",E2133="!!!",F2133="NEW"),"",INDEX(J$1:J2132,SUMPRODUCT(MAX(ROW(E$1:E2132)*(E2133=E$1:E2132)))))</f>
        <v/>
      </c>
      <c r="L2133" s="31"/>
    </row>
    <row r="2134" customFormat="false" ht="15" hidden="false" customHeight="false" outlineLevel="0" collapsed="false">
      <c r="A2134" s="20" t="s">
        <v>1119</v>
      </c>
      <c r="E2134" s="23" t="str">
        <f aca="false">IF(D2134="?OLD","!!!","")</f>
        <v/>
      </c>
      <c r="F2134" s="25" t="str">
        <f aca="false">IF(OR(E2134="",E2134="!!!"),"",IF(NOT(ISNA(VLOOKUP(E2134,E$1:E2133,1,FALSE()))),"OLD",IF(AND(E2134&lt;&gt;"",E2134&lt;&gt;"!!!"),"NEW","")))</f>
        <v/>
      </c>
      <c r="G2134" s="26" t="str">
        <f aca="false">IF(OR(E2134="",E2134="!!!"),"",IF(OR(J2134=0,AND(J2134=1,K2134=1),AND(J2134=1,I2134="SBJ"),AND(J2134=1,I2134=0)),"?IN_FOCUS",IF(J2134&lt;=2,"?ACTIVATED",IF(J2134&lt;&gt;"","?FAMILIAR",IF(F2134="NEW",IF(ISNA(VLOOKUP(E2134,#REF!,1,FALSE())),"?TYPE_IDENTIFIABLE","?REFERENTIAL"),"_")))))</f>
        <v/>
      </c>
      <c r="H2134" s="27" t="str">
        <f aca="false">IF(J2134&lt;&gt;1,"",IF(I2134="SBJ","CB","?"))</f>
        <v/>
      </c>
      <c r="I2134" s="24" t="str">
        <f aca="false">IF(OR(E2134="",E2134="!!!",F2134="NEW"),"",INDEX(B28:B$2107,-1+SUMPRODUCT(MAX(ROW(E28:E$2107)*(E2134=E28:E$2107)))))</f>
        <v/>
      </c>
      <c r="J2134" s="24" t="str">
        <f aca="true">IF(OR(E2134="",E2134="!!!",F2134="NEW"),"",COUNTBLANK(OFFSET(A$1,,,SUMPRODUCT(MAX(ROW(E$2:E2134)*(E2134=E$2:E2134)))))-COUNTBLANK(OFFSET(A$1,,,SUMPRODUCT(MAX(ROW(E$1:E2133)*(E2=E$1:E2133))))))</f>
        <v/>
      </c>
      <c r="K2134" s="24" t="str">
        <f aca="false">IF(OR(E2134="",E2134="!!!",F2134="NEW"),"",INDEX(J$1:J2133,SUMPRODUCT(MAX(ROW(E$1:E2133)*(E2134=E$1:E2133)))))</f>
        <v/>
      </c>
      <c r="L2134" s="31"/>
    </row>
    <row r="2135" customFormat="false" ht="15" hidden="false" customHeight="false" outlineLevel="0" collapsed="false">
      <c r="A2135" s="20" t="s">
        <v>1109</v>
      </c>
      <c r="E2135" s="23" t="str">
        <f aca="false">IF(D2135="?OLD","!!!","")</f>
        <v/>
      </c>
      <c r="F2135" s="25" t="str">
        <f aca="false">IF(OR(E2135="",E2135="!!!"),"",IF(NOT(ISNA(VLOOKUP(E2135,E$1:E2134,1,FALSE()))),"OLD",IF(AND(E2135&lt;&gt;"",E2135&lt;&gt;"!!!"),"NEW","")))</f>
        <v/>
      </c>
      <c r="G2135" s="26" t="str">
        <f aca="false">IF(OR(E2135="",E2135="!!!"),"",IF(OR(J2135=0,AND(J2135=1,K2135=1),AND(J2135=1,I2135="SBJ"),AND(J2135=1,I2135=0)),"?IN_FOCUS",IF(J2135&lt;=2,"?ACTIVATED",IF(J2135&lt;&gt;"","?FAMILIAR",IF(F2135="NEW",IF(ISNA(VLOOKUP(E2135,#REF!,1,FALSE())),"?TYPE_IDENTIFIABLE","?REFERENTIAL"),"_")))))</f>
        <v/>
      </c>
      <c r="H2135" s="27" t="str">
        <f aca="false">IF(J2135&lt;&gt;1,"",IF(I2135="SBJ","CB","?"))</f>
        <v/>
      </c>
      <c r="I2135" s="24" t="str">
        <f aca="false">IF(OR(E2135="",E2135="!!!",F2135="NEW"),"",INDEX(B29:B$2107,-1+SUMPRODUCT(MAX(ROW(E29:E$2107)*(E2135=E29:E$2107)))))</f>
        <v/>
      </c>
      <c r="J2135" s="24" t="str">
        <f aca="true">IF(OR(E2135="",E2135="!!!",F2135="NEW"),"",COUNTBLANK(OFFSET(A$1,,,SUMPRODUCT(MAX(ROW(E$2:E2135)*(E2135=E$2:E2135)))))-COUNTBLANK(OFFSET(A$1,,,SUMPRODUCT(MAX(ROW(E$1:E2134)*(E2=E$1:E2134))))))</f>
        <v/>
      </c>
      <c r="K2135" s="24" t="str">
        <f aca="false">IF(OR(E2135="",E2135="!!!",F2135="NEW"),"",INDEX(J$1:J2134,SUMPRODUCT(MAX(ROW(E$1:E2134)*(E2135=E$1:E2134)))))</f>
        <v/>
      </c>
      <c r="L2135" s="31"/>
    </row>
    <row r="2136" customFormat="false" ht="15" hidden="false" customHeight="false" outlineLevel="0" collapsed="false">
      <c r="A2136" s="20" t="s">
        <v>1854</v>
      </c>
      <c r="B2136" s="22" t="s">
        <v>1203</v>
      </c>
      <c r="C2136" s="22" t="s">
        <v>1150</v>
      </c>
      <c r="D2136" s="22" t="s">
        <v>1060</v>
      </c>
      <c r="E2136" s="23" t="str">
        <f aca="false">IF(D2136="?OLD","!!!","")</f>
        <v>!!!</v>
      </c>
      <c r="F2136" s="25" t="str">
        <f aca="false">IF(OR(E2136="",E2136="!!!"),"",IF(NOT(ISNA(VLOOKUP(E2136,E$1:E2135,1,FALSE()))),"OLD",IF(AND(E2136&lt;&gt;"",E2136&lt;&gt;"!!!"),"NEW","")))</f>
        <v/>
      </c>
      <c r="G2136" s="26" t="str">
        <f aca="false">IF(OR(E2136="",E2136="!!!"),"",IF(OR(J2136=0,AND(J2136=1,K2136=1),AND(J2136=1,I2136="SBJ"),AND(J2136=1,I2136=0)),"?IN_FOCUS",IF(J2136&lt;=2,"?ACTIVATED",IF(J2136&lt;&gt;"","?FAMILIAR",IF(F2136="NEW",IF(ISNA(VLOOKUP(E2136,#REF!,1,FALSE())),"?TYPE_IDENTIFIABLE","?REFERENTIAL"),"_")))))</f>
        <v/>
      </c>
      <c r="H2136" s="27" t="str">
        <f aca="false">IF(J2136&lt;&gt;1,"",IF(I2136="SBJ","CB","?"))</f>
        <v/>
      </c>
      <c r="I2136" s="24" t="str">
        <f aca="false">IF(OR(E2136="",E2136="!!!",F2136="NEW"),"",INDEX(B30:B$2107,-1+SUMPRODUCT(MAX(ROW(E30:E$2107)*(E2136=E30:E$2107)))))</f>
        <v/>
      </c>
      <c r="J2136" s="24" t="str">
        <f aca="true">IF(OR(E2136="",E2136="!!!",F2136="NEW"),"",COUNTBLANK(OFFSET(A$1,,,SUMPRODUCT(MAX(ROW(E$2:E2136)*(E2136=E$2:E2136)))))-COUNTBLANK(OFFSET(A$1,,,SUMPRODUCT(MAX(ROW(E$1:E2135)*(E2=E$1:E2135))))))</f>
        <v/>
      </c>
      <c r="K2136" s="24" t="str">
        <f aca="false">IF(OR(E2136="",E2136="!!!",F2136="NEW"),"",INDEX(J$1:J2135,SUMPRODUCT(MAX(ROW(E$1:E2135)*(E2136=E$1:E2135)))))</f>
        <v/>
      </c>
      <c r="L2136" s="31"/>
    </row>
    <row r="2137" customFormat="false" ht="15" hidden="false" customHeight="false" outlineLevel="0" collapsed="false">
      <c r="A2137" s="20" t="s">
        <v>1064</v>
      </c>
      <c r="E2137" s="23" t="str">
        <f aca="false">IF(D2137="?OLD","!!!","")</f>
        <v/>
      </c>
      <c r="F2137" s="25" t="str">
        <f aca="false">IF(OR(E2137="",E2137="!!!"),"",IF(NOT(ISNA(VLOOKUP(E2137,E$1:E2136,1,FALSE()))),"OLD",IF(AND(E2137&lt;&gt;"",E2137&lt;&gt;"!!!"),"NEW","")))</f>
        <v/>
      </c>
      <c r="G2137" s="26" t="str">
        <f aca="false">IF(OR(E2137="",E2137="!!!"),"",IF(OR(J2137=0,AND(J2137=1,K2137=1),AND(J2137=1,I2137="SBJ"),AND(J2137=1,I2137=0)),"?IN_FOCUS",IF(J2137&lt;=2,"?ACTIVATED",IF(J2137&lt;&gt;"","?FAMILIAR",IF(F2137="NEW",IF(ISNA(VLOOKUP(E2137,#REF!,1,FALSE())),"?TYPE_IDENTIFIABLE","?REFERENTIAL"),"_")))))</f>
        <v/>
      </c>
      <c r="H2137" s="27" t="str">
        <f aca="false">IF(J2137&lt;&gt;1,"",IF(I2137="SBJ","CB","?"))</f>
        <v/>
      </c>
      <c r="I2137" s="24" t="str">
        <f aca="false">IF(OR(E2137="",E2137="!!!",F2137="NEW"),"",INDEX(B31:B$2107,-1+SUMPRODUCT(MAX(ROW(E31:E$2107)*(E2137=E31:E$2107)))))</f>
        <v/>
      </c>
      <c r="J2137" s="24" t="str">
        <f aca="true">IF(OR(E2137="",E2137="!!!",F2137="NEW"),"",COUNTBLANK(OFFSET(A$1,,,SUMPRODUCT(MAX(ROW(E$2:E2137)*(E2137=E$2:E2137)))))-COUNTBLANK(OFFSET(A$1,,,SUMPRODUCT(MAX(ROW(E$1:E2136)*(E2=E$1:E2136))))))</f>
        <v/>
      </c>
      <c r="K2137" s="24" t="str">
        <f aca="false">IF(OR(E2137="",E2137="!!!",F2137="NEW"),"",INDEX(J$1:J2136,SUMPRODUCT(MAX(ROW(E$1:E2136)*(E2137=E$1:E2136)))))</f>
        <v/>
      </c>
      <c r="L2137" s="31"/>
    </row>
    <row r="2138" customFormat="false" ht="15" hidden="false" customHeight="false" outlineLevel="0" collapsed="false">
      <c r="A2138" s="20" t="s">
        <v>1109</v>
      </c>
      <c r="E2138" s="23" t="str">
        <f aca="false">IF(D2138="?OLD","!!!","")</f>
        <v/>
      </c>
      <c r="F2138" s="25" t="str">
        <f aca="false">IF(OR(E2138="",E2138="!!!"),"",IF(NOT(ISNA(VLOOKUP(E2138,E$1:E2137,1,FALSE()))),"OLD",IF(AND(E2138&lt;&gt;"",E2138&lt;&gt;"!!!"),"NEW","")))</f>
        <v/>
      </c>
      <c r="G2138" s="26" t="str">
        <f aca="false">IF(OR(E2138="",E2138="!!!"),"",IF(OR(J2138=0,AND(J2138=1,K2138=1),AND(J2138=1,I2138="SBJ"),AND(J2138=1,I2138=0)),"?IN_FOCUS",IF(J2138&lt;=2,"?ACTIVATED",IF(J2138&lt;&gt;"","?FAMILIAR",IF(F2138="NEW",IF(ISNA(VLOOKUP(E2138,#REF!,1,FALSE())),"?TYPE_IDENTIFIABLE","?REFERENTIAL"),"_")))))</f>
        <v/>
      </c>
      <c r="H2138" s="27" t="str">
        <f aca="false">IF(J2138&lt;&gt;1,"",IF(I2138="SBJ","CB","?"))</f>
        <v/>
      </c>
      <c r="I2138" s="24" t="str">
        <f aca="false">IF(OR(E2138="",E2138="!!!",F2138="NEW"),"",INDEX(B32:B$2107,-1+SUMPRODUCT(MAX(ROW(E32:E$2107)*(E2138=E32:E$2107)))))</f>
        <v/>
      </c>
      <c r="J2138" s="24" t="str">
        <f aca="true">IF(OR(E2138="",E2138="!!!",F2138="NEW"),"",COUNTBLANK(OFFSET(A$1,,,SUMPRODUCT(MAX(ROW(E$2:E2138)*(E2138=E$2:E2138)))))-COUNTBLANK(OFFSET(A$1,,,SUMPRODUCT(MAX(ROW(E$1:E2137)*(E2=E$1:E2137))))))</f>
        <v/>
      </c>
      <c r="K2138" s="24" t="str">
        <f aca="false">IF(OR(E2138="",E2138="!!!",F2138="NEW"),"",INDEX(J$1:J2137,SUMPRODUCT(MAX(ROW(E$1:E2137)*(E2138=E$1:E2137)))))</f>
        <v/>
      </c>
      <c r="L2138" s="31"/>
    </row>
    <row r="2139" customFormat="false" ht="15" hidden="false" customHeight="false" outlineLevel="0" collapsed="false">
      <c r="A2139" s="20" t="s">
        <v>1358</v>
      </c>
      <c r="B2139" s="22" t="s">
        <v>1855</v>
      </c>
      <c r="C2139" s="22" t="s">
        <v>1150</v>
      </c>
      <c r="D2139" s="22" t="s">
        <v>1060</v>
      </c>
      <c r="E2139" s="23" t="str">
        <f aca="false">IF(D2139="?OLD","!!!","")</f>
        <v>!!!</v>
      </c>
      <c r="F2139" s="25" t="str">
        <f aca="false">IF(OR(E2139="",E2139="!!!"),"",IF(NOT(ISNA(VLOOKUP(E2139,E$1:E2138,1,FALSE()))),"OLD",IF(AND(E2139&lt;&gt;"",E2139&lt;&gt;"!!!"),"NEW","")))</f>
        <v/>
      </c>
      <c r="G2139" s="26" t="str">
        <f aca="false">IF(OR(E2139="",E2139="!!!"),"",IF(OR(J2139=0,AND(J2139=1,K2139=1),AND(J2139=1,I2139="SBJ"),AND(J2139=1,I2139=0)),"?IN_FOCUS",IF(J2139&lt;=2,"?ACTIVATED",IF(J2139&lt;&gt;"","?FAMILIAR",IF(F2139="NEW",IF(ISNA(VLOOKUP(E2139,#REF!,1,FALSE())),"?TYPE_IDENTIFIABLE","?REFERENTIAL"),"_")))))</f>
        <v/>
      </c>
      <c r="H2139" s="27" t="str">
        <f aca="false">IF(J2139&lt;&gt;1,"",IF(I2139="SBJ","CB","?"))</f>
        <v/>
      </c>
      <c r="I2139" s="24" t="str">
        <f aca="false">IF(OR(E2139="",E2139="!!!",F2139="NEW"),"",INDEX(B33:B$2107,-1+SUMPRODUCT(MAX(ROW(E33:E$2107)*(E2139=E33:E$2107)))))</f>
        <v/>
      </c>
      <c r="J2139" s="24" t="str">
        <f aca="true">IF(OR(E2139="",E2139="!!!",F2139="NEW"),"",COUNTBLANK(OFFSET(A$1,,,SUMPRODUCT(MAX(ROW(E$2:E2139)*(E2139=E$2:E2139)))))-COUNTBLANK(OFFSET(A$1,,,SUMPRODUCT(MAX(ROW(E$1:E2138)*(E2=E$1:E2138))))))</f>
        <v/>
      </c>
      <c r="K2139" s="24" t="str">
        <f aca="false">IF(OR(E2139="",E2139="!!!",F2139="NEW"),"",INDEX(J$1:J2138,SUMPRODUCT(MAX(ROW(E$1:E2138)*(E2139=E$1:E2138)))))</f>
        <v/>
      </c>
      <c r="L2139" s="31"/>
    </row>
    <row r="2140" customFormat="false" ht="15" hidden="false" customHeight="false" outlineLevel="0" collapsed="false">
      <c r="A2140" s="20" t="s">
        <v>923</v>
      </c>
      <c r="E2140" s="23" t="str">
        <f aca="false">IF(D2140="?OLD","!!!","")</f>
        <v/>
      </c>
      <c r="F2140" s="25" t="str">
        <f aca="false">IF(OR(E2140="",E2140="!!!"),"",IF(NOT(ISNA(VLOOKUP(E2140,E$1:E2139,1,FALSE()))),"OLD",IF(AND(E2140&lt;&gt;"",E2140&lt;&gt;"!!!"),"NEW","")))</f>
        <v/>
      </c>
      <c r="G2140" s="26" t="str">
        <f aca="false">IF(OR(E2140="",E2140="!!!"),"",IF(OR(J2140=0,AND(J2140=1,K2140=1),AND(J2140=1,I2140="SBJ"),AND(J2140=1,I2140=0)),"?IN_FOCUS",IF(J2140&lt;=2,"?ACTIVATED",IF(J2140&lt;&gt;"","?FAMILIAR",IF(F2140="NEW",IF(ISNA(VLOOKUP(E2140,#REF!,1,FALSE())),"?TYPE_IDENTIFIABLE","?REFERENTIAL"),"_")))))</f>
        <v/>
      </c>
      <c r="H2140" s="27" t="str">
        <f aca="false">IF(J2140&lt;&gt;1,"",IF(I2140="SBJ","CB","?"))</f>
        <v/>
      </c>
      <c r="I2140" s="24" t="str">
        <f aca="false">IF(OR(E2140="",E2140="!!!",F2140="NEW"),"",INDEX(B34:B$2107,-1+SUMPRODUCT(MAX(ROW(E34:E$2107)*(E2140=E34:E$2107)))))</f>
        <v/>
      </c>
      <c r="J2140" s="24" t="str">
        <f aca="true">IF(OR(E2140="",E2140="!!!",F2140="NEW"),"",COUNTBLANK(OFFSET(A$1,,,SUMPRODUCT(MAX(ROW(E$2:E2140)*(E2140=E$2:E2140)))))-COUNTBLANK(OFFSET(A$1,,,SUMPRODUCT(MAX(ROW(E$1:E2139)*(E2=E$1:E2139))))))</f>
        <v/>
      </c>
      <c r="K2140" s="24" t="str">
        <f aca="false">IF(OR(E2140="",E2140="!!!",F2140="NEW"),"",INDEX(J$1:J2139,SUMPRODUCT(MAX(ROW(E$1:E2139)*(E2140=E$1:E2139)))))</f>
        <v/>
      </c>
      <c r="L2140" s="31"/>
    </row>
    <row r="2141" customFormat="false" ht="15" hidden="false" customHeight="false" outlineLevel="0" collapsed="false">
      <c r="A2141" s="20"/>
    </row>
    <row r="2142" customFormat="false" ht="15" hidden="false" customHeight="false" outlineLevel="0" collapsed="false">
      <c r="A2142" s="20" t="s">
        <v>1856</v>
      </c>
    </row>
    <row r="2143" customFormat="false" ht="15" hidden="false" customHeight="false" outlineLevel="0" collapsed="false">
      <c r="A2143" s="20" t="s">
        <v>1345</v>
      </c>
      <c r="E2143" s="23" t="str">
        <f aca="false">IF(D2143="?OLD","!!!","")</f>
        <v/>
      </c>
      <c r="F2143" s="25" t="str">
        <f aca="false">IF(OR(E2143="",E2143="!!!"),"",IF(NOT(ISNA(VLOOKUP(E2143,E$1:E2142,1,FALSE()))),"OLD",IF(AND(E2143&lt;&gt;"",E2143&lt;&gt;"!!!"),"NEW","")))</f>
        <v/>
      </c>
      <c r="G2143" s="26" t="str">
        <f aca="false">IF(OR(E2143="",E2143="!!!"),"",IF(OR(J2143=0,AND(J2143=1,K2143=1),AND(J2143=1,I2143="SBJ"),AND(J2143=1,I2143=0)),"?IN_FOCUS",IF(J2143&lt;=2,"?ACTIVATED",IF(J2143&lt;&gt;"","?FAMILIAR",IF(F2143="NEW",IF(ISNA(VLOOKUP(E2143,#REF!,1,FALSE())),"?TYPE_IDENTIFIABLE","?REFERENTIAL"),"_")))))</f>
        <v/>
      </c>
      <c r="H2143" s="27" t="str">
        <f aca="false">IF(J2143&lt;&gt;1,"",IF(I2143="SBJ","CB","?"))</f>
        <v/>
      </c>
      <c r="I2143" s="24" t="str">
        <f aca="false">IF(OR(E2143="",E2143="!!!",F2143="NEW"),"",INDEX(B2:B$2142,-1+SUMPRODUCT(MAX(ROW(E2:E$2142)*(E2143=E2:E$2142)))))</f>
        <v/>
      </c>
      <c r="J2143" s="24" t="str">
        <f aca="true">IF(OR(E2143="",E2143="!!!",F2143="NEW"),"",COUNTBLANK(OFFSET(A$1,,,SUMPRODUCT(MAX(ROW(E$2:E2143)*(E2143=E$2:E2143)))))-COUNTBLANK(OFFSET(A$1,,,SUMPRODUCT(MAX(ROW(E$1:E2142)*(E2=E$1:E2142))))))</f>
        <v/>
      </c>
      <c r="K2143" s="24" t="str">
        <f aca="false">IF(OR(E2143="",E2143="!!!",F2143="NEW"),"",INDEX(J$1:J2142,SUMPRODUCT(MAX(ROW(E$1:E2142)*(E2143=E$1:E2142)))))</f>
        <v/>
      </c>
      <c r="L2143" s="31"/>
    </row>
    <row r="2144" customFormat="false" ht="15" hidden="false" customHeight="false" outlineLevel="0" collapsed="false">
      <c r="A2144" s="20" t="s">
        <v>768</v>
      </c>
      <c r="B2144" s="22" t="s">
        <v>1058</v>
      </c>
      <c r="C2144" s="22" t="s">
        <v>1087</v>
      </c>
      <c r="E2144" s="23" t="str">
        <f aca="false">IF(D2144="?OLD","!!!","")</f>
        <v/>
      </c>
      <c r="F2144" s="25" t="str">
        <f aca="false">IF(OR(E2144="",E2144="!!!"),"",IF(NOT(ISNA(VLOOKUP(E2144,E$1:E2143,1,FALSE()))),"OLD",IF(AND(E2144&lt;&gt;"",E2144&lt;&gt;"!!!"),"NEW","")))</f>
        <v/>
      </c>
      <c r="G2144" s="26" t="str">
        <f aca="false">IF(OR(E2144="",E2144="!!!"),"",IF(OR(J2144=0,AND(J2144=1,K2144=1),AND(J2144=1,I2144="SBJ"),AND(J2144=1,I2144=0)),"?IN_FOCUS",IF(J2144&lt;=2,"?ACTIVATED",IF(J2144&lt;&gt;"","?FAMILIAR",IF(F2144="NEW",IF(ISNA(VLOOKUP(E2144,#REF!,1,FALSE())),"?TYPE_IDENTIFIABLE","?REFERENTIAL"),"_")))))</f>
        <v/>
      </c>
      <c r="H2144" s="27" t="str">
        <f aca="false">IF(J2144&lt;&gt;1,"",IF(I2144="SBJ","CB","?"))</f>
        <v/>
      </c>
      <c r="I2144" s="24" t="str">
        <f aca="false">IF(OR(E2144="",E2144="!!!",F2144="NEW"),"",INDEX(B3:B$2142,-1+SUMPRODUCT(MAX(ROW(E3:E$2142)*(E2144=E3:E$2142)))))</f>
        <v/>
      </c>
      <c r="J2144" s="24" t="str">
        <f aca="true">IF(OR(E2144="",E2144="!!!",F2144="NEW"),"",COUNTBLANK(OFFSET(A$1,,,SUMPRODUCT(MAX(ROW(E$2:E2144)*(E2144=E$2:E2144)))))-COUNTBLANK(OFFSET(A$1,,,SUMPRODUCT(MAX(ROW(E$1:E2143)*(E2=E$1:E2143))))))</f>
        <v/>
      </c>
      <c r="K2144" s="24" t="str">
        <f aca="false">IF(OR(E2144="",E2144="!!!",F2144="NEW"),"",INDEX(J$1:J2143,SUMPRODUCT(MAX(ROW(E$1:E2143)*(E2144=E$1:E2143)))))</f>
        <v/>
      </c>
      <c r="L2144" s="31"/>
    </row>
    <row r="2145" customFormat="false" ht="15" hidden="false" customHeight="false" outlineLevel="0" collapsed="false">
      <c r="A2145" s="20" t="s">
        <v>1080</v>
      </c>
      <c r="B2145" s="22" t="s">
        <v>1091</v>
      </c>
      <c r="C2145" s="22" t="s">
        <v>1082</v>
      </c>
      <c r="D2145" s="22" t="s">
        <v>1060</v>
      </c>
      <c r="E2145" s="23" t="str">
        <f aca="false">IF(D2145="?OLD","!!!","")</f>
        <v>!!!</v>
      </c>
      <c r="F2145" s="25" t="str">
        <f aca="false">IF(OR(E2145="",E2145="!!!"),"",IF(NOT(ISNA(VLOOKUP(E2145,E$1:E2144,1,FALSE()))),"OLD",IF(AND(E2145&lt;&gt;"",E2145&lt;&gt;"!!!"),"NEW","")))</f>
        <v/>
      </c>
      <c r="G2145" s="26" t="str">
        <f aca="false">IF(OR(E2145="",E2145="!!!"),"",IF(OR(J2145=0,AND(J2145=1,K2145=1),AND(J2145=1,I2145="SBJ"),AND(J2145=1,I2145=0)),"?IN_FOCUS",IF(J2145&lt;=2,"?ACTIVATED",IF(J2145&lt;&gt;"","?FAMILIAR",IF(F2145="NEW",IF(ISNA(VLOOKUP(E2145,#REF!,1,FALSE())),"?TYPE_IDENTIFIABLE","?REFERENTIAL"),"_")))))</f>
        <v/>
      </c>
      <c r="H2145" s="27" t="str">
        <f aca="false">IF(J2145&lt;&gt;1,"",IF(I2145="SBJ","CB","?"))</f>
        <v/>
      </c>
      <c r="I2145" s="24" t="str">
        <f aca="false">IF(OR(E2145="",E2145="!!!",F2145="NEW"),"",INDEX(B4:B$2142,-1+SUMPRODUCT(MAX(ROW(E4:E$2142)*(E2145=E4:E$2142)))))</f>
        <v/>
      </c>
      <c r="J2145" s="24" t="str">
        <f aca="true">IF(OR(E2145="",E2145="!!!",F2145="NEW"),"",COUNTBLANK(OFFSET(A$1,,,SUMPRODUCT(MAX(ROW(E$2:E2145)*(E2145=E$2:E2145)))))-COUNTBLANK(OFFSET(A$1,,,SUMPRODUCT(MAX(ROW(E$1:E2144)*(E2=E$1:E2144))))))</f>
        <v/>
      </c>
      <c r="K2145" s="24" t="str">
        <f aca="false">IF(OR(E2145="",E2145="!!!",F2145="NEW"),"",INDEX(J$1:J2144,SUMPRODUCT(MAX(ROW(E$1:E2144)*(E2145=E$1:E2144)))))</f>
        <v/>
      </c>
      <c r="L2145" s="31"/>
    </row>
    <row r="2146" customFormat="false" ht="15" hidden="false" customHeight="false" outlineLevel="0" collapsed="false">
      <c r="A2146" s="20" t="s">
        <v>1092</v>
      </c>
      <c r="E2146" s="23" t="str">
        <f aca="false">IF(D2146="?OLD","!!!","")</f>
        <v/>
      </c>
      <c r="F2146" s="25" t="str">
        <f aca="false">IF(OR(E2146="",E2146="!!!"),"",IF(NOT(ISNA(VLOOKUP(E2146,E$1:E2145,1,FALSE()))),"OLD",IF(AND(E2146&lt;&gt;"",E2146&lt;&gt;"!!!"),"NEW","")))</f>
        <v/>
      </c>
      <c r="G2146" s="26" t="str">
        <f aca="false">IF(OR(E2146="",E2146="!!!"),"",IF(OR(J2146=0,AND(J2146=1,K2146=1),AND(J2146=1,I2146="SBJ"),AND(J2146=1,I2146=0)),"?IN_FOCUS",IF(J2146&lt;=2,"?ACTIVATED",IF(J2146&lt;&gt;"","?FAMILIAR",IF(F2146="NEW",IF(ISNA(VLOOKUP(E2146,#REF!,1,FALSE())),"?TYPE_IDENTIFIABLE","?REFERENTIAL"),"_")))))</f>
        <v/>
      </c>
      <c r="H2146" s="27" t="str">
        <f aca="false">IF(J2146&lt;&gt;1,"",IF(I2146="SBJ","CB","?"))</f>
        <v/>
      </c>
      <c r="I2146" s="24" t="str">
        <f aca="false">IF(OR(E2146="",E2146="!!!",F2146="NEW"),"",INDEX(B5:B$2142,-1+SUMPRODUCT(MAX(ROW(E5:E$2142)*(E2146=E5:E$2142)))))</f>
        <v/>
      </c>
      <c r="J2146" s="24" t="str">
        <f aca="true">IF(OR(E2146="",E2146="!!!",F2146="NEW"),"",COUNTBLANK(OFFSET(A$1,,,SUMPRODUCT(MAX(ROW(E$2:E2146)*(E2146=E$2:E2146)))))-COUNTBLANK(OFFSET(A$1,,,SUMPRODUCT(MAX(ROW(E$1:E2145)*(E2=E$1:E2145))))))</f>
        <v/>
      </c>
      <c r="K2146" s="24" t="str">
        <f aca="false">IF(OR(E2146="",E2146="!!!",F2146="NEW"),"",INDEX(J$1:J2145,SUMPRODUCT(MAX(ROW(E$1:E2145)*(E2146=E$1:E2145)))))</f>
        <v/>
      </c>
      <c r="L2146" s="31"/>
    </row>
    <row r="2147" customFormat="false" ht="15" hidden="false" customHeight="false" outlineLevel="0" collapsed="false">
      <c r="A2147" s="20" t="s">
        <v>1076</v>
      </c>
      <c r="E2147" s="23" t="str">
        <f aca="false">IF(D2147="?OLD","!!!","")</f>
        <v/>
      </c>
      <c r="F2147" s="25" t="str">
        <f aca="false">IF(OR(E2147="",E2147="!!!"),"",IF(NOT(ISNA(VLOOKUP(E2147,E$1:E2146,1,FALSE()))),"OLD",IF(AND(E2147&lt;&gt;"",E2147&lt;&gt;"!!!"),"NEW","")))</f>
        <v/>
      </c>
      <c r="G2147" s="26" t="str">
        <f aca="false">IF(OR(E2147="",E2147="!!!"),"",IF(OR(J2147=0,AND(J2147=1,K2147=1),AND(J2147=1,I2147="SBJ"),AND(J2147=1,I2147=0)),"?IN_FOCUS",IF(J2147&lt;=2,"?ACTIVATED",IF(J2147&lt;&gt;"","?FAMILIAR",IF(F2147="NEW",IF(ISNA(VLOOKUP(E2147,#REF!,1,FALSE())),"?TYPE_IDENTIFIABLE","?REFERENTIAL"),"_")))))</f>
        <v/>
      </c>
      <c r="H2147" s="27" t="str">
        <f aca="false">IF(J2147&lt;&gt;1,"",IF(I2147="SBJ","CB","?"))</f>
        <v/>
      </c>
      <c r="I2147" s="24" t="str">
        <f aca="false">IF(OR(E2147="",E2147="!!!",F2147="NEW"),"",INDEX(B6:B$2142,-1+SUMPRODUCT(MAX(ROW(E6:E$2142)*(E2147=E6:E$2142)))))</f>
        <v/>
      </c>
      <c r="J2147" s="24" t="str">
        <f aca="true">IF(OR(E2147="",E2147="!!!",F2147="NEW"),"",COUNTBLANK(OFFSET(A$1,,,SUMPRODUCT(MAX(ROW(E$2:E2147)*(E2147=E$2:E2147)))))-COUNTBLANK(OFFSET(A$1,,,SUMPRODUCT(MAX(ROW(E$1:E2146)*(E2=E$1:E2146))))))</f>
        <v/>
      </c>
      <c r="K2147" s="24" t="str">
        <f aca="false">IF(OR(E2147="",E2147="!!!",F2147="NEW"),"",INDEX(J$1:J2146,SUMPRODUCT(MAX(ROW(E$1:E2146)*(E2147=E$1:E2146)))))</f>
        <v/>
      </c>
      <c r="L2147" s="31"/>
    </row>
    <row r="2148" customFormat="false" ht="15" hidden="false" customHeight="false" outlineLevel="0" collapsed="false">
      <c r="A2148" s="20" t="s">
        <v>1399</v>
      </c>
      <c r="E2148" s="23" t="str">
        <f aca="false">IF(D2148="?OLD","!!!","")</f>
        <v/>
      </c>
      <c r="F2148" s="25" t="str">
        <f aca="false">IF(OR(E2148="",E2148="!!!"),"",IF(NOT(ISNA(VLOOKUP(E2148,E$1:E2147,1,FALSE()))),"OLD",IF(AND(E2148&lt;&gt;"",E2148&lt;&gt;"!!!"),"NEW","")))</f>
        <v/>
      </c>
      <c r="G2148" s="26" t="str">
        <f aca="false">IF(OR(E2148="",E2148="!!!"),"",IF(OR(J2148=0,AND(J2148=1,K2148=1),AND(J2148=1,I2148="SBJ"),AND(J2148=1,I2148=0)),"?IN_FOCUS",IF(J2148&lt;=2,"?ACTIVATED",IF(J2148&lt;&gt;"","?FAMILIAR",IF(F2148="NEW",IF(ISNA(VLOOKUP(E2148,#REF!,1,FALSE())),"?TYPE_IDENTIFIABLE","?REFERENTIAL"),"_")))))</f>
        <v/>
      </c>
      <c r="H2148" s="27" t="str">
        <f aca="false">IF(J2148&lt;&gt;1,"",IF(I2148="SBJ","CB","?"))</f>
        <v/>
      </c>
      <c r="I2148" s="24" t="str">
        <f aca="false">IF(OR(E2148="",E2148="!!!",F2148="NEW"),"",INDEX(B7:B$2142,-1+SUMPRODUCT(MAX(ROW(E7:E$2142)*(E2148=E7:E$2142)))))</f>
        <v/>
      </c>
      <c r="J2148" s="24" t="str">
        <f aca="true">IF(OR(E2148="",E2148="!!!",F2148="NEW"),"",COUNTBLANK(OFFSET(A$1,,,SUMPRODUCT(MAX(ROW(E$2:E2148)*(E2148=E$2:E2148)))))-COUNTBLANK(OFFSET(A$1,,,SUMPRODUCT(MAX(ROW(E$1:E2147)*(E2=E$1:E2147))))))</f>
        <v/>
      </c>
      <c r="K2148" s="24" t="str">
        <f aca="false">IF(OR(E2148="",E2148="!!!",F2148="NEW"),"",INDEX(J$1:J2147,SUMPRODUCT(MAX(ROW(E$1:E2147)*(E2148=E$1:E2147)))))</f>
        <v/>
      </c>
      <c r="L2148" s="31"/>
    </row>
    <row r="2149" customFormat="false" ht="15" hidden="false" customHeight="false" outlineLevel="0" collapsed="false">
      <c r="A2149" s="20" t="s">
        <v>1857</v>
      </c>
      <c r="E2149" s="23" t="str">
        <f aca="false">IF(D2149="?OLD","!!!","")</f>
        <v/>
      </c>
      <c r="F2149" s="25" t="str">
        <f aca="false">IF(OR(E2149="",E2149="!!!"),"",IF(NOT(ISNA(VLOOKUP(E2149,E$1:E2148,1,FALSE()))),"OLD",IF(AND(E2149&lt;&gt;"",E2149&lt;&gt;"!!!"),"NEW","")))</f>
        <v/>
      </c>
      <c r="G2149" s="26" t="str">
        <f aca="false">IF(OR(E2149="",E2149="!!!"),"",IF(OR(J2149=0,AND(J2149=1,K2149=1),AND(J2149=1,I2149="SBJ"),AND(J2149=1,I2149=0)),"?IN_FOCUS",IF(J2149&lt;=2,"?ACTIVATED",IF(J2149&lt;&gt;"","?FAMILIAR",IF(F2149="NEW",IF(ISNA(VLOOKUP(E2149,#REF!,1,FALSE())),"?TYPE_IDENTIFIABLE","?REFERENTIAL"),"_")))))</f>
        <v/>
      </c>
      <c r="H2149" s="27" t="str">
        <f aca="false">IF(J2149&lt;&gt;1,"",IF(I2149="SBJ","CB","?"))</f>
        <v/>
      </c>
      <c r="I2149" s="24" t="str">
        <f aca="false">IF(OR(E2149="",E2149="!!!",F2149="NEW"),"",INDEX(B8:B$2142,-1+SUMPRODUCT(MAX(ROW(E8:E$2142)*(E2149=E8:E$2142)))))</f>
        <v/>
      </c>
      <c r="J2149" s="24" t="str">
        <f aca="true">IF(OR(E2149="",E2149="!!!",F2149="NEW"),"",COUNTBLANK(OFFSET(A$1,,,SUMPRODUCT(MAX(ROW(E$2:E2149)*(E2149=E$2:E2149)))))-COUNTBLANK(OFFSET(A$1,,,SUMPRODUCT(MAX(ROW(E$1:E2148)*(E2=E$1:E2148))))))</f>
        <v/>
      </c>
      <c r="K2149" s="24" t="str">
        <f aca="false">IF(OR(E2149="",E2149="!!!",F2149="NEW"),"",INDEX(J$1:J2148,SUMPRODUCT(MAX(ROW(E$1:E2148)*(E2149=E$1:E2148)))))</f>
        <v/>
      </c>
      <c r="L2149" s="31"/>
    </row>
    <row r="2150" customFormat="false" ht="15" hidden="false" customHeight="false" outlineLevel="0" collapsed="false">
      <c r="A2150" s="20" t="s">
        <v>1858</v>
      </c>
      <c r="B2150" s="22" t="s">
        <v>1107</v>
      </c>
      <c r="C2150" s="22" t="s">
        <v>1160</v>
      </c>
      <c r="E2150" s="23" t="str">
        <f aca="false">IF(D2150="?OLD","!!!","")</f>
        <v/>
      </c>
      <c r="F2150" s="25" t="str">
        <f aca="false">IF(OR(E2150="",E2150="!!!"),"",IF(NOT(ISNA(VLOOKUP(E2150,E$1:E2149,1,FALSE()))),"OLD",IF(AND(E2150&lt;&gt;"",E2150&lt;&gt;"!!!"),"NEW","")))</f>
        <v/>
      </c>
      <c r="G2150" s="26" t="str">
        <f aca="false">IF(OR(E2150="",E2150="!!!"),"",IF(OR(J2150=0,AND(J2150=1,K2150=1),AND(J2150=1,I2150="SBJ"),AND(J2150=1,I2150=0)),"?IN_FOCUS",IF(J2150&lt;=2,"?ACTIVATED",IF(J2150&lt;&gt;"","?FAMILIAR",IF(F2150="NEW",IF(ISNA(VLOOKUP(E2150,#REF!,1,FALSE())),"?TYPE_IDENTIFIABLE","?REFERENTIAL"),"_")))))</f>
        <v/>
      </c>
      <c r="H2150" s="27" t="str">
        <f aca="false">IF(J2150&lt;&gt;1,"",IF(I2150="SBJ","CB","?"))</f>
        <v/>
      </c>
      <c r="I2150" s="24" t="str">
        <f aca="false">IF(OR(E2150="",E2150="!!!",F2150="NEW"),"",INDEX(B9:B$2142,-1+SUMPRODUCT(MAX(ROW(E9:E$2142)*(E2150=E9:E$2142)))))</f>
        <v/>
      </c>
      <c r="J2150" s="24" t="str">
        <f aca="true">IF(OR(E2150="",E2150="!!!",F2150="NEW"),"",COUNTBLANK(OFFSET(A$1,,,SUMPRODUCT(MAX(ROW(E$2:E2150)*(E2150=E$2:E2150)))))-COUNTBLANK(OFFSET(A$1,,,SUMPRODUCT(MAX(ROW(E$1:E2149)*(E2=E$1:E2149))))))</f>
        <v/>
      </c>
      <c r="K2150" s="24" t="str">
        <f aca="false">IF(OR(E2150="",E2150="!!!",F2150="NEW"),"",INDEX(J$1:J2149,SUMPRODUCT(MAX(ROW(E$1:E2149)*(E2150=E$1:E2149)))))</f>
        <v/>
      </c>
      <c r="L2150" s="31"/>
    </row>
    <row r="2151" customFormat="false" ht="15" hidden="false" customHeight="false" outlineLevel="0" collapsed="false">
      <c r="A2151" s="20" t="s">
        <v>16</v>
      </c>
      <c r="E2151" s="23" t="str">
        <f aca="false">IF(D2151="?OLD","!!!","")</f>
        <v/>
      </c>
      <c r="F2151" s="25" t="str">
        <f aca="false">IF(OR(E2151="",E2151="!!!"),"",IF(NOT(ISNA(VLOOKUP(E2151,E$1:E2150,1,FALSE()))),"OLD",IF(AND(E2151&lt;&gt;"",E2151&lt;&gt;"!!!"),"NEW","")))</f>
        <v/>
      </c>
      <c r="G2151" s="26" t="str">
        <f aca="false">IF(OR(E2151="",E2151="!!!"),"",IF(OR(J2151=0,AND(J2151=1,K2151=1),AND(J2151=1,I2151="SBJ"),AND(J2151=1,I2151=0)),"?IN_FOCUS",IF(J2151&lt;=2,"?ACTIVATED",IF(J2151&lt;&gt;"","?FAMILIAR",IF(F2151="NEW",IF(ISNA(VLOOKUP(E2151,#REF!,1,FALSE())),"?TYPE_IDENTIFIABLE","?REFERENTIAL"),"_")))))</f>
        <v/>
      </c>
      <c r="H2151" s="27" t="str">
        <f aca="false">IF(J2151&lt;&gt;1,"",IF(I2151="SBJ","CB","?"))</f>
        <v/>
      </c>
      <c r="I2151" s="24" t="str">
        <f aca="false">IF(OR(E2151="",E2151="!!!",F2151="NEW"),"",INDEX(B10:B$2142,-1+SUMPRODUCT(MAX(ROW(E10:E$2142)*(E2151=E10:E$2142)))))</f>
        <v/>
      </c>
      <c r="J2151" s="24" t="str">
        <f aca="true">IF(OR(E2151="",E2151="!!!",F2151="NEW"),"",COUNTBLANK(OFFSET(A$1,,,SUMPRODUCT(MAX(ROW(E$2:E2151)*(E2151=E$2:E2151)))))-COUNTBLANK(OFFSET(A$1,,,SUMPRODUCT(MAX(ROW(E$1:E2150)*(E2=E$1:E2150))))))</f>
        <v/>
      </c>
      <c r="K2151" s="24" t="str">
        <f aca="false">IF(OR(E2151="",E2151="!!!",F2151="NEW"),"",INDEX(J$1:J2150,SUMPRODUCT(MAX(ROW(E$1:E2150)*(E2151=E$1:E2150)))))</f>
        <v/>
      </c>
      <c r="L2151" s="31"/>
    </row>
    <row r="2152" customFormat="false" ht="15" hidden="false" customHeight="false" outlineLevel="0" collapsed="false">
      <c r="A2152" s="20" t="s">
        <v>1859</v>
      </c>
      <c r="E2152" s="23" t="str">
        <f aca="false">IF(D2152="?OLD","!!!","")</f>
        <v/>
      </c>
      <c r="F2152" s="25" t="str">
        <f aca="false">IF(OR(E2152="",E2152="!!!"),"",IF(NOT(ISNA(VLOOKUP(E2152,E$1:E2151,1,FALSE()))),"OLD",IF(AND(E2152&lt;&gt;"",E2152&lt;&gt;"!!!"),"NEW","")))</f>
        <v/>
      </c>
      <c r="G2152" s="26" t="str">
        <f aca="false">IF(OR(E2152="",E2152="!!!"),"",IF(OR(J2152=0,AND(J2152=1,K2152=1),AND(J2152=1,I2152="SBJ"),AND(J2152=1,I2152=0)),"?IN_FOCUS",IF(J2152&lt;=2,"?ACTIVATED",IF(J2152&lt;&gt;"","?FAMILIAR",IF(F2152="NEW",IF(ISNA(VLOOKUP(E2152,#REF!,1,FALSE())),"?TYPE_IDENTIFIABLE","?REFERENTIAL"),"_")))))</f>
        <v/>
      </c>
      <c r="H2152" s="27" t="str">
        <f aca="false">IF(J2152&lt;&gt;1,"",IF(I2152="SBJ","CB","?"))</f>
        <v/>
      </c>
      <c r="I2152" s="24" t="str">
        <f aca="false">IF(OR(E2152="",E2152="!!!",F2152="NEW"),"",INDEX(B11:B$2142,-1+SUMPRODUCT(MAX(ROW(E11:E$2142)*(E2152=E11:E$2142)))))</f>
        <v/>
      </c>
      <c r="J2152" s="24" t="str">
        <f aca="true">IF(OR(E2152="",E2152="!!!",F2152="NEW"),"",COUNTBLANK(OFFSET(A$1,,,SUMPRODUCT(MAX(ROW(E$2:E2152)*(E2152=E$2:E2152)))))-COUNTBLANK(OFFSET(A$1,,,SUMPRODUCT(MAX(ROW(E$1:E2151)*(E2=E$1:E2151))))))</f>
        <v/>
      </c>
      <c r="K2152" s="24" t="str">
        <f aca="false">IF(OR(E2152="",E2152="!!!",F2152="NEW"),"",INDEX(J$1:J2151,SUMPRODUCT(MAX(ROW(E$1:E2151)*(E2152=E$1:E2151)))))</f>
        <v/>
      </c>
      <c r="L2152" s="31"/>
    </row>
    <row r="2153" customFormat="false" ht="15" hidden="false" customHeight="false" outlineLevel="0" collapsed="false">
      <c r="A2153" s="20" t="s">
        <v>768</v>
      </c>
      <c r="B2153" s="22" t="s">
        <v>1073</v>
      </c>
      <c r="C2153" s="22" t="s">
        <v>1087</v>
      </c>
      <c r="E2153" s="23" t="str">
        <f aca="false">IF(D2153="?OLD","!!!","")</f>
        <v/>
      </c>
      <c r="F2153" s="25" t="str">
        <f aca="false">IF(OR(E2153="",E2153="!!!"),"",IF(NOT(ISNA(VLOOKUP(E2153,E$1:E2152,1,FALSE()))),"OLD",IF(AND(E2153&lt;&gt;"",E2153&lt;&gt;"!!!"),"NEW","")))</f>
        <v/>
      </c>
      <c r="G2153" s="26" t="str">
        <f aca="false">IF(OR(E2153="",E2153="!!!"),"",IF(OR(J2153=0,AND(J2153=1,K2153=1),AND(J2153=1,I2153="SBJ"),AND(J2153=1,I2153=0)),"?IN_FOCUS",IF(J2153&lt;=2,"?ACTIVATED",IF(J2153&lt;&gt;"","?FAMILIAR",IF(F2153="NEW",IF(ISNA(VLOOKUP(E2153,#REF!,1,FALSE())),"?TYPE_IDENTIFIABLE","?REFERENTIAL"),"_")))))</f>
        <v/>
      </c>
      <c r="H2153" s="27" t="str">
        <f aca="false">IF(J2153&lt;&gt;1,"",IF(I2153="SBJ","CB","?"))</f>
        <v/>
      </c>
      <c r="I2153" s="24" t="str">
        <f aca="false">IF(OR(E2153="",E2153="!!!",F2153="NEW"),"",INDEX(B12:B$2142,-1+SUMPRODUCT(MAX(ROW(E12:E$2142)*(E2153=E12:E$2142)))))</f>
        <v/>
      </c>
      <c r="J2153" s="24" t="str">
        <f aca="true">IF(OR(E2153="",E2153="!!!",F2153="NEW"),"",COUNTBLANK(OFFSET(A$1,,,SUMPRODUCT(MAX(ROW(E$2:E2153)*(E2153=E$2:E2153)))))-COUNTBLANK(OFFSET(A$1,,,SUMPRODUCT(MAX(ROW(E$1:E2152)*(E2=E$1:E2152))))))</f>
        <v/>
      </c>
      <c r="K2153" s="24" t="str">
        <f aca="false">IF(OR(E2153="",E2153="!!!",F2153="NEW"),"",INDEX(J$1:J2152,SUMPRODUCT(MAX(ROW(E$1:E2152)*(E2153=E$1:E2152)))))</f>
        <v/>
      </c>
      <c r="L2153" s="31"/>
    </row>
    <row r="2154" customFormat="false" ht="15" hidden="false" customHeight="false" outlineLevel="0" collapsed="false">
      <c r="A2154" s="20" t="s">
        <v>1076</v>
      </c>
      <c r="E2154" s="23" t="str">
        <f aca="false">IF(D2154="?OLD","!!!","")</f>
        <v/>
      </c>
      <c r="F2154" s="25" t="str">
        <f aca="false">IF(OR(E2154="",E2154="!!!"),"",IF(NOT(ISNA(VLOOKUP(E2154,E$1:E2153,1,FALSE()))),"OLD",IF(AND(E2154&lt;&gt;"",E2154&lt;&gt;"!!!"),"NEW","")))</f>
        <v/>
      </c>
      <c r="G2154" s="26" t="str">
        <f aca="false">IF(OR(E2154="",E2154="!!!"),"",IF(OR(J2154=0,AND(J2154=1,K2154=1),AND(J2154=1,I2154="SBJ"),AND(J2154=1,I2154=0)),"?IN_FOCUS",IF(J2154&lt;=2,"?ACTIVATED",IF(J2154&lt;&gt;"","?FAMILIAR",IF(F2154="NEW",IF(ISNA(VLOOKUP(E2154,#REF!,1,FALSE())),"?TYPE_IDENTIFIABLE","?REFERENTIAL"),"_")))))</f>
        <v/>
      </c>
      <c r="H2154" s="27" t="str">
        <f aca="false">IF(J2154&lt;&gt;1,"",IF(I2154="SBJ","CB","?"))</f>
        <v/>
      </c>
      <c r="I2154" s="24" t="str">
        <f aca="false">IF(OR(E2154="",E2154="!!!",F2154="NEW"),"",INDEX(B13:B$2142,-1+SUMPRODUCT(MAX(ROW(E13:E$2142)*(E2154=E13:E$2142)))))</f>
        <v/>
      </c>
      <c r="J2154" s="24" t="str">
        <f aca="true">IF(OR(E2154="",E2154="!!!",F2154="NEW"),"",COUNTBLANK(OFFSET(A$1,,,SUMPRODUCT(MAX(ROW(E$2:E2154)*(E2154=E$2:E2154)))))-COUNTBLANK(OFFSET(A$1,,,SUMPRODUCT(MAX(ROW(E$1:E2153)*(E2=E$1:E2153))))))</f>
        <v/>
      </c>
      <c r="K2154" s="24" t="str">
        <f aca="false">IF(OR(E2154="",E2154="!!!",F2154="NEW"),"",INDEX(J$1:J2153,SUMPRODUCT(MAX(ROW(E$1:E2153)*(E2154=E$1:E2153)))))</f>
        <v/>
      </c>
      <c r="L2154" s="31"/>
    </row>
    <row r="2155" customFormat="false" ht="15" hidden="false" customHeight="false" outlineLevel="0" collapsed="false">
      <c r="A2155" s="20" t="s">
        <v>1168</v>
      </c>
      <c r="E2155" s="23" t="str">
        <f aca="false">IF(D2155="?OLD","!!!","")</f>
        <v/>
      </c>
      <c r="F2155" s="25" t="str">
        <f aca="false">IF(OR(E2155="",E2155="!!!"),"",IF(NOT(ISNA(VLOOKUP(E2155,E$1:E2154,1,FALSE()))),"OLD",IF(AND(E2155&lt;&gt;"",E2155&lt;&gt;"!!!"),"NEW","")))</f>
        <v/>
      </c>
      <c r="G2155" s="26" t="str">
        <f aca="false">IF(OR(E2155="",E2155="!!!"),"",IF(OR(J2155=0,AND(J2155=1,K2155=1),AND(J2155=1,I2155="SBJ"),AND(J2155=1,I2155=0)),"?IN_FOCUS",IF(J2155&lt;=2,"?ACTIVATED",IF(J2155&lt;&gt;"","?FAMILIAR",IF(F2155="NEW",IF(ISNA(VLOOKUP(E2155,#REF!,1,FALSE())),"?TYPE_IDENTIFIABLE","?REFERENTIAL"),"_")))))</f>
        <v/>
      </c>
      <c r="H2155" s="27" t="str">
        <f aca="false">IF(J2155&lt;&gt;1,"",IF(I2155="SBJ","CB","?"))</f>
        <v/>
      </c>
      <c r="I2155" s="24" t="str">
        <f aca="false">IF(OR(E2155="",E2155="!!!",F2155="NEW"),"",INDEX(B14:B$2142,-1+SUMPRODUCT(MAX(ROW(E14:E$2142)*(E2155=E14:E$2142)))))</f>
        <v/>
      </c>
      <c r="J2155" s="24" t="str">
        <f aca="true">IF(OR(E2155="",E2155="!!!",F2155="NEW"),"",COUNTBLANK(OFFSET(A$1,,,SUMPRODUCT(MAX(ROW(E$2:E2155)*(E2155=E$2:E2155)))))-COUNTBLANK(OFFSET(A$1,,,SUMPRODUCT(MAX(ROW(E$1:E2154)*(E2=E$1:E2154))))))</f>
        <v/>
      </c>
      <c r="K2155" s="24" t="str">
        <f aca="false">IF(OR(E2155="",E2155="!!!",F2155="NEW"),"",INDEX(J$1:J2154,SUMPRODUCT(MAX(ROW(E$1:E2154)*(E2155=E$1:E2154)))))</f>
        <v/>
      </c>
      <c r="L2155" s="31"/>
    </row>
    <row r="2156" customFormat="false" ht="15" hidden="false" customHeight="false" outlineLevel="0" collapsed="false">
      <c r="A2156" s="20" t="s">
        <v>1279</v>
      </c>
      <c r="E2156" s="23" t="str">
        <f aca="false">IF(D2156="?OLD","!!!","")</f>
        <v/>
      </c>
      <c r="F2156" s="25" t="str">
        <f aca="false">IF(OR(E2156="",E2156="!!!"),"",IF(NOT(ISNA(VLOOKUP(E2156,E$1:E2155,1,FALSE()))),"OLD",IF(AND(E2156&lt;&gt;"",E2156&lt;&gt;"!!!"),"NEW","")))</f>
        <v/>
      </c>
      <c r="G2156" s="26" t="str">
        <f aca="false">IF(OR(E2156="",E2156="!!!"),"",IF(OR(J2156=0,AND(J2156=1,K2156=1),AND(J2156=1,I2156="SBJ"),AND(J2156=1,I2156=0)),"?IN_FOCUS",IF(J2156&lt;=2,"?ACTIVATED",IF(J2156&lt;&gt;"","?FAMILIAR",IF(F2156="NEW",IF(ISNA(VLOOKUP(E2156,#REF!,1,FALSE())),"?TYPE_IDENTIFIABLE","?REFERENTIAL"),"_")))))</f>
        <v/>
      </c>
      <c r="H2156" s="27" t="str">
        <f aca="false">IF(J2156&lt;&gt;1,"",IF(I2156="SBJ","CB","?"))</f>
        <v/>
      </c>
      <c r="I2156" s="24" t="str">
        <f aca="false">IF(OR(E2156="",E2156="!!!",F2156="NEW"),"",INDEX(B15:B$2142,-1+SUMPRODUCT(MAX(ROW(E15:E$2142)*(E2156=E15:E$2142)))))</f>
        <v/>
      </c>
      <c r="J2156" s="24" t="str">
        <f aca="true">IF(OR(E2156="",E2156="!!!",F2156="NEW"),"",COUNTBLANK(OFFSET(A$1,,,SUMPRODUCT(MAX(ROW(E$2:E2156)*(E2156=E$2:E2156)))))-COUNTBLANK(OFFSET(A$1,,,SUMPRODUCT(MAX(ROW(E$1:E2155)*(E2=E$1:E2155))))))</f>
        <v/>
      </c>
      <c r="K2156" s="24" t="str">
        <f aca="false">IF(OR(E2156="",E2156="!!!",F2156="NEW"),"",INDEX(J$1:J2155,SUMPRODUCT(MAX(ROW(E$1:E2155)*(E2156=E$1:E2155)))))</f>
        <v/>
      </c>
      <c r="L2156" s="31"/>
    </row>
    <row r="2157" customFormat="false" ht="15" hidden="false" customHeight="false" outlineLevel="0" collapsed="false">
      <c r="A2157" s="20" t="s">
        <v>1860</v>
      </c>
      <c r="E2157" s="23" t="str">
        <f aca="false">IF(D2157="?OLD","!!!","")</f>
        <v/>
      </c>
      <c r="F2157" s="25" t="str">
        <f aca="false">IF(OR(E2157="",E2157="!!!"),"",IF(NOT(ISNA(VLOOKUP(E2157,E$1:E2156,1,FALSE()))),"OLD",IF(AND(E2157&lt;&gt;"",E2157&lt;&gt;"!!!"),"NEW","")))</f>
        <v/>
      </c>
      <c r="G2157" s="26" t="str">
        <f aca="false">IF(OR(E2157="",E2157="!!!"),"",IF(OR(J2157=0,AND(J2157=1,K2157=1),AND(J2157=1,I2157="SBJ"),AND(J2157=1,I2157=0)),"?IN_FOCUS",IF(J2157&lt;=2,"?ACTIVATED",IF(J2157&lt;&gt;"","?FAMILIAR",IF(F2157="NEW",IF(ISNA(VLOOKUP(E2157,#REF!,1,FALSE())),"?TYPE_IDENTIFIABLE","?REFERENTIAL"),"_")))))</f>
        <v/>
      </c>
      <c r="H2157" s="27" t="str">
        <f aca="false">IF(J2157&lt;&gt;1,"",IF(I2157="SBJ","CB","?"))</f>
        <v/>
      </c>
      <c r="I2157" s="24" t="str">
        <f aca="false">IF(OR(E2157="",E2157="!!!",F2157="NEW"),"",INDEX(B16:B$2142,-1+SUMPRODUCT(MAX(ROW(E16:E$2142)*(E2157=E16:E$2142)))))</f>
        <v/>
      </c>
      <c r="J2157" s="24" t="str">
        <f aca="true">IF(OR(E2157="",E2157="!!!",F2157="NEW"),"",COUNTBLANK(OFFSET(A$1,,,SUMPRODUCT(MAX(ROW(E$2:E2157)*(E2157=E$2:E2157)))))-COUNTBLANK(OFFSET(A$1,,,SUMPRODUCT(MAX(ROW(E$1:E2156)*(E2=E$1:E2156))))))</f>
        <v/>
      </c>
      <c r="K2157" s="24" t="str">
        <f aca="false">IF(OR(E2157="",E2157="!!!",F2157="NEW"),"",INDEX(J$1:J2156,SUMPRODUCT(MAX(ROW(E$1:E2156)*(E2157=E$1:E2156)))))</f>
        <v/>
      </c>
      <c r="L2157" s="31"/>
    </row>
    <row r="2158" customFormat="false" ht="15" hidden="false" customHeight="false" outlineLevel="0" collapsed="false">
      <c r="A2158" s="20" t="s">
        <v>1085</v>
      </c>
      <c r="E2158" s="23" t="str">
        <f aca="false">IF(D2158="?OLD","!!!","")</f>
        <v/>
      </c>
      <c r="F2158" s="25" t="str">
        <f aca="false">IF(OR(E2158="",E2158="!!!"),"",IF(NOT(ISNA(VLOOKUP(E2158,E$1:E2157,1,FALSE()))),"OLD",IF(AND(E2158&lt;&gt;"",E2158&lt;&gt;"!!!"),"NEW","")))</f>
        <v/>
      </c>
      <c r="G2158" s="26" t="str">
        <f aca="false">IF(OR(E2158="",E2158="!!!"),"",IF(OR(J2158=0,AND(J2158=1,K2158=1),AND(J2158=1,I2158="SBJ"),AND(J2158=1,I2158=0)),"?IN_FOCUS",IF(J2158&lt;=2,"?ACTIVATED",IF(J2158&lt;&gt;"","?FAMILIAR",IF(F2158="NEW",IF(ISNA(VLOOKUP(E2158,#REF!,1,FALSE())),"?TYPE_IDENTIFIABLE","?REFERENTIAL"),"_")))))</f>
        <v/>
      </c>
      <c r="H2158" s="27" t="str">
        <f aca="false">IF(J2158&lt;&gt;1,"",IF(I2158="SBJ","CB","?"))</f>
        <v/>
      </c>
      <c r="I2158" s="24" t="str">
        <f aca="false">IF(OR(E2158="",E2158="!!!",F2158="NEW"),"",INDEX(B17:B$2142,-1+SUMPRODUCT(MAX(ROW(E17:E$2142)*(E2158=E17:E$2142)))))</f>
        <v/>
      </c>
      <c r="J2158" s="24" t="str">
        <f aca="true">IF(OR(E2158="",E2158="!!!",F2158="NEW"),"",COUNTBLANK(OFFSET(A$1,,,SUMPRODUCT(MAX(ROW(E$2:E2158)*(E2158=E$2:E2158)))))-COUNTBLANK(OFFSET(A$1,,,SUMPRODUCT(MAX(ROW(E$1:E2157)*(E2=E$1:E2157))))))</f>
        <v/>
      </c>
      <c r="K2158" s="24" t="str">
        <f aca="false">IF(OR(E2158="",E2158="!!!",F2158="NEW"),"",INDEX(J$1:J2157,SUMPRODUCT(MAX(ROW(E$1:E2157)*(E2158=E$1:E2157)))))</f>
        <v/>
      </c>
      <c r="L2158" s="31"/>
    </row>
    <row r="2159" customFormat="false" ht="15" hidden="false" customHeight="false" outlineLevel="0" collapsed="false">
      <c r="A2159" s="20" t="s">
        <v>768</v>
      </c>
      <c r="B2159" s="22" t="s">
        <v>1073</v>
      </c>
      <c r="C2159" s="22" t="s">
        <v>1132</v>
      </c>
      <c r="E2159" s="23" t="str">
        <f aca="false">IF(D2159="?OLD","!!!","")</f>
        <v/>
      </c>
      <c r="F2159" s="25" t="str">
        <f aca="false">IF(OR(E2159="",E2159="!!!"),"",IF(NOT(ISNA(VLOOKUP(E2159,E$1:E2158,1,FALSE()))),"OLD",IF(AND(E2159&lt;&gt;"",E2159&lt;&gt;"!!!"),"NEW","")))</f>
        <v/>
      </c>
      <c r="G2159" s="26" t="str">
        <f aca="false">IF(OR(E2159="",E2159="!!!"),"",IF(OR(J2159=0,AND(J2159=1,K2159=1),AND(J2159=1,I2159="SBJ"),AND(J2159=1,I2159=0)),"?IN_FOCUS",IF(J2159&lt;=2,"?ACTIVATED",IF(J2159&lt;&gt;"","?FAMILIAR",IF(F2159="NEW",IF(ISNA(VLOOKUP(E2159,#REF!,1,FALSE())),"?TYPE_IDENTIFIABLE","?REFERENTIAL"),"_")))))</f>
        <v/>
      </c>
      <c r="H2159" s="27" t="str">
        <f aca="false">IF(J2159&lt;&gt;1,"",IF(I2159="SBJ","CB","?"))</f>
        <v/>
      </c>
      <c r="I2159" s="24" t="str">
        <f aca="false">IF(OR(E2159="",E2159="!!!",F2159="NEW"),"",INDEX(B18:B$2142,-1+SUMPRODUCT(MAX(ROW(E18:E$2142)*(E2159=E18:E$2142)))))</f>
        <v/>
      </c>
      <c r="J2159" s="24" t="str">
        <f aca="true">IF(OR(E2159="",E2159="!!!",F2159="NEW"),"",COUNTBLANK(OFFSET(A$1,,,SUMPRODUCT(MAX(ROW(E$2:E2159)*(E2159=E$2:E2159)))))-COUNTBLANK(OFFSET(A$1,,,SUMPRODUCT(MAX(ROW(E$1:E2158)*(E2=E$1:E2158))))))</f>
        <v/>
      </c>
      <c r="K2159" s="24" t="str">
        <f aca="false">IF(OR(E2159="",E2159="!!!",F2159="NEW"),"",INDEX(J$1:J2158,SUMPRODUCT(MAX(ROW(E$1:E2158)*(E2159=E$1:E2158)))))</f>
        <v/>
      </c>
      <c r="L2159" s="31"/>
    </row>
    <row r="2160" customFormat="false" ht="15" hidden="false" customHeight="false" outlineLevel="0" collapsed="false">
      <c r="A2160" s="20" t="s">
        <v>1157</v>
      </c>
      <c r="E2160" s="23" t="str">
        <f aca="false">IF(D2160="?OLD","!!!","")</f>
        <v/>
      </c>
      <c r="F2160" s="25" t="str">
        <f aca="false">IF(OR(E2160="",E2160="!!!"),"",IF(NOT(ISNA(VLOOKUP(E2160,E$1:E2159,1,FALSE()))),"OLD",IF(AND(E2160&lt;&gt;"",E2160&lt;&gt;"!!!"),"NEW","")))</f>
        <v/>
      </c>
      <c r="G2160" s="26" t="str">
        <f aca="false">IF(OR(E2160="",E2160="!!!"),"",IF(OR(J2160=0,AND(J2160=1,K2160=1),AND(J2160=1,I2160="SBJ"),AND(J2160=1,I2160=0)),"?IN_FOCUS",IF(J2160&lt;=2,"?ACTIVATED",IF(J2160&lt;&gt;"","?FAMILIAR",IF(F2160="NEW",IF(ISNA(VLOOKUP(E2160,#REF!,1,FALSE())),"?TYPE_IDENTIFIABLE","?REFERENTIAL"),"_")))))</f>
        <v/>
      </c>
      <c r="H2160" s="27" t="str">
        <f aca="false">IF(J2160&lt;&gt;1,"",IF(I2160="SBJ","CB","?"))</f>
        <v/>
      </c>
      <c r="I2160" s="24" t="str">
        <f aca="false">IF(OR(E2160="",E2160="!!!",F2160="NEW"),"",INDEX(B19:B$2142,-1+SUMPRODUCT(MAX(ROW(E19:E$2142)*(E2160=E19:E$2142)))))</f>
        <v/>
      </c>
      <c r="J2160" s="24" t="str">
        <f aca="true">IF(OR(E2160="",E2160="!!!",F2160="NEW"),"",COUNTBLANK(OFFSET(A$1,,,SUMPRODUCT(MAX(ROW(E$2:E2160)*(E2160=E$2:E2160)))))-COUNTBLANK(OFFSET(A$1,,,SUMPRODUCT(MAX(ROW(E$1:E2159)*(E2=E$1:E2159))))))</f>
        <v/>
      </c>
      <c r="K2160" s="24" t="str">
        <f aca="false">IF(OR(E2160="",E2160="!!!",F2160="NEW"),"",INDEX(J$1:J2159,SUMPRODUCT(MAX(ROW(E$1:E2159)*(E2160=E$1:E2159)))))</f>
        <v/>
      </c>
      <c r="L2160" s="31"/>
    </row>
    <row r="2161" customFormat="false" ht="15" hidden="false" customHeight="false" outlineLevel="0" collapsed="false">
      <c r="A2161" s="20" t="s">
        <v>1861</v>
      </c>
      <c r="E2161" s="23" t="str">
        <f aca="false">IF(D2161="?OLD","!!!","")</f>
        <v/>
      </c>
      <c r="F2161" s="25" t="str">
        <f aca="false">IF(OR(E2161="",E2161="!!!"),"",IF(NOT(ISNA(VLOOKUP(E2161,E$1:E2160,1,FALSE()))),"OLD",IF(AND(E2161&lt;&gt;"",E2161&lt;&gt;"!!!"),"NEW","")))</f>
        <v/>
      </c>
      <c r="G2161" s="26" t="str">
        <f aca="false">IF(OR(E2161="",E2161="!!!"),"",IF(OR(J2161=0,AND(J2161=1,K2161=1),AND(J2161=1,I2161="SBJ"),AND(J2161=1,I2161=0)),"?IN_FOCUS",IF(J2161&lt;=2,"?ACTIVATED",IF(J2161&lt;&gt;"","?FAMILIAR",IF(F2161="NEW",IF(ISNA(VLOOKUP(E2161,#REF!,1,FALSE())),"?TYPE_IDENTIFIABLE","?REFERENTIAL"),"_")))))</f>
        <v/>
      </c>
      <c r="H2161" s="27" t="str">
        <f aca="false">IF(J2161&lt;&gt;1,"",IF(I2161="SBJ","CB","?"))</f>
        <v/>
      </c>
      <c r="I2161" s="24" t="str">
        <f aca="false">IF(OR(E2161="",E2161="!!!",F2161="NEW"),"",INDEX(B20:B$2142,-1+SUMPRODUCT(MAX(ROW(E20:E$2142)*(E2161=E20:E$2142)))))</f>
        <v/>
      </c>
      <c r="J2161" s="24" t="str">
        <f aca="true">IF(OR(E2161="",E2161="!!!",F2161="NEW"),"",COUNTBLANK(OFFSET(A$1,,,SUMPRODUCT(MAX(ROW(E$2:E2161)*(E2161=E$2:E2161)))))-COUNTBLANK(OFFSET(A$1,,,SUMPRODUCT(MAX(ROW(E$1:E2160)*(E2=E$1:E2160))))))</f>
        <v/>
      </c>
      <c r="K2161" s="24" t="str">
        <f aca="false">IF(OR(E2161="",E2161="!!!",F2161="NEW"),"",INDEX(J$1:J2160,SUMPRODUCT(MAX(ROW(E$1:E2160)*(E2161=E$1:E2160)))))</f>
        <v/>
      </c>
      <c r="L2161" s="31"/>
    </row>
    <row r="2162" customFormat="false" ht="15" hidden="false" customHeight="false" outlineLevel="0" collapsed="false">
      <c r="A2162" s="20" t="s">
        <v>1828</v>
      </c>
      <c r="B2162" s="22" t="s">
        <v>1067</v>
      </c>
      <c r="C2162" s="22" t="s">
        <v>1160</v>
      </c>
      <c r="E2162" s="23" t="str">
        <f aca="false">IF(D2162="?OLD","!!!","")</f>
        <v/>
      </c>
      <c r="F2162" s="25" t="str">
        <f aca="false">IF(OR(E2162="",E2162="!!!"),"",IF(NOT(ISNA(VLOOKUP(E2162,E$1:E2161,1,FALSE()))),"OLD",IF(AND(E2162&lt;&gt;"",E2162&lt;&gt;"!!!"),"NEW","")))</f>
        <v/>
      </c>
      <c r="G2162" s="26" t="str">
        <f aca="false">IF(OR(E2162="",E2162="!!!"),"",IF(OR(J2162=0,AND(J2162=1,K2162=1),AND(J2162=1,I2162="SBJ"),AND(J2162=1,I2162=0)),"?IN_FOCUS",IF(J2162&lt;=2,"?ACTIVATED",IF(J2162&lt;&gt;"","?FAMILIAR",IF(F2162="NEW",IF(ISNA(VLOOKUP(E2162,#REF!,1,FALSE())),"?TYPE_IDENTIFIABLE","?REFERENTIAL"),"_")))))</f>
        <v/>
      </c>
      <c r="H2162" s="27" t="str">
        <f aca="false">IF(J2162&lt;&gt;1,"",IF(I2162="SBJ","CB","?"))</f>
        <v/>
      </c>
      <c r="I2162" s="24" t="str">
        <f aca="false">IF(OR(E2162="",E2162="!!!",F2162="NEW"),"",INDEX(B21:B$2142,-1+SUMPRODUCT(MAX(ROW(E21:E$2142)*(E2162=E21:E$2142)))))</f>
        <v/>
      </c>
      <c r="J2162" s="24" t="str">
        <f aca="true">IF(OR(E2162="",E2162="!!!",F2162="NEW"),"",COUNTBLANK(OFFSET(A$1,,,SUMPRODUCT(MAX(ROW(E$2:E2162)*(E2162=E$2:E2162)))))-COUNTBLANK(OFFSET(A$1,,,SUMPRODUCT(MAX(ROW(E$1:E2161)*(E2=E$1:E2161))))))</f>
        <v/>
      </c>
      <c r="K2162" s="24" t="str">
        <f aca="false">IF(OR(E2162="",E2162="!!!",F2162="NEW"),"",INDEX(J$1:J2161,SUMPRODUCT(MAX(ROW(E$1:E2161)*(E2162=E$1:E2161)))))</f>
        <v/>
      </c>
      <c r="L2162" s="31"/>
    </row>
    <row r="2163" customFormat="false" ht="15" hidden="false" customHeight="false" outlineLevel="0" collapsed="false">
      <c r="A2163" s="20" t="s">
        <v>576</v>
      </c>
      <c r="E2163" s="23" t="str">
        <f aca="false">IF(D2163="?OLD","!!!","")</f>
        <v/>
      </c>
      <c r="F2163" s="25" t="str">
        <f aca="false">IF(OR(E2163="",E2163="!!!"),"",IF(NOT(ISNA(VLOOKUP(E2163,E$1:E2162,1,FALSE()))),"OLD",IF(AND(E2163&lt;&gt;"",E2163&lt;&gt;"!!!"),"NEW","")))</f>
        <v/>
      </c>
      <c r="G2163" s="26" t="str">
        <f aca="false">IF(OR(E2163="",E2163="!!!"),"",IF(OR(J2163=0,AND(J2163=1,K2163=1),AND(J2163=1,I2163="SBJ"),AND(J2163=1,I2163=0)),"?IN_FOCUS",IF(J2163&lt;=2,"?ACTIVATED",IF(J2163&lt;&gt;"","?FAMILIAR",IF(F2163="NEW",IF(ISNA(VLOOKUP(E2163,#REF!,1,FALSE())),"?TYPE_IDENTIFIABLE","?REFERENTIAL"),"_")))))</f>
        <v/>
      </c>
      <c r="H2163" s="27" t="str">
        <f aca="false">IF(J2163&lt;&gt;1,"",IF(I2163="SBJ","CB","?"))</f>
        <v/>
      </c>
      <c r="I2163" s="24" t="str">
        <f aca="false">IF(OR(E2163="",E2163="!!!",F2163="NEW"),"",INDEX(B22:B$2142,-1+SUMPRODUCT(MAX(ROW(E22:E$2142)*(E2163=E22:E$2142)))))</f>
        <v/>
      </c>
      <c r="J2163" s="24" t="str">
        <f aca="true">IF(OR(E2163="",E2163="!!!",F2163="NEW"),"",COUNTBLANK(OFFSET(A$1,,,SUMPRODUCT(MAX(ROW(E$2:E2163)*(E2163=E$2:E2163)))))-COUNTBLANK(OFFSET(A$1,,,SUMPRODUCT(MAX(ROW(E$1:E2162)*(E2=E$1:E2162))))))</f>
        <v/>
      </c>
      <c r="K2163" s="24" t="str">
        <f aca="false">IF(OR(E2163="",E2163="!!!",F2163="NEW"),"",INDEX(J$1:J2162,SUMPRODUCT(MAX(ROW(E$1:E2162)*(E2163=E$1:E2162)))))</f>
        <v/>
      </c>
      <c r="L2163" s="31"/>
    </row>
    <row r="2164" customFormat="false" ht="15" hidden="false" customHeight="false" outlineLevel="0" collapsed="false">
      <c r="A2164" s="20" t="s">
        <v>1862</v>
      </c>
      <c r="E2164" s="23" t="str">
        <f aca="false">IF(D2164="?OLD","!!!","")</f>
        <v/>
      </c>
      <c r="F2164" s="25" t="str">
        <f aca="false">IF(OR(E2164="",E2164="!!!"),"",IF(NOT(ISNA(VLOOKUP(E2164,E$1:E2163,1,FALSE()))),"OLD",IF(AND(E2164&lt;&gt;"",E2164&lt;&gt;"!!!"),"NEW","")))</f>
        <v/>
      </c>
      <c r="G2164" s="26" t="str">
        <f aca="false">IF(OR(E2164="",E2164="!!!"),"",IF(OR(J2164=0,AND(J2164=1,K2164=1),AND(J2164=1,I2164="SBJ"),AND(J2164=1,I2164=0)),"?IN_FOCUS",IF(J2164&lt;=2,"?ACTIVATED",IF(J2164&lt;&gt;"","?FAMILIAR",IF(F2164="NEW",IF(ISNA(VLOOKUP(E2164,#REF!,1,FALSE())),"?TYPE_IDENTIFIABLE","?REFERENTIAL"),"_")))))</f>
        <v/>
      </c>
      <c r="H2164" s="27" t="str">
        <f aca="false">IF(J2164&lt;&gt;1,"",IF(I2164="SBJ","CB","?"))</f>
        <v/>
      </c>
      <c r="I2164" s="24" t="str">
        <f aca="false">IF(OR(E2164="",E2164="!!!",F2164="NEW"),"",INDEX(B23:B$2142,-1+SUMPRODUCT(MAX(ROW(E23:E$2142)*(E2164=E23:E$2142)))))</f>
        <v/>
      </c>
      <c r="J2164" s="24" t="str">
        <f aca="true">IF(OR(E2164="",E2164="!!!",F2164="NEW"),"",COUNTBLANK(OFFSET(A$1,,,SUMPRODUCT(MAX(ROW(E$2:E2164)*(E2164=E$2:E2164)))))-COUNTBLANK(OFFSET(A$1,,,SUMPRODUCT(MAX(ROW(E$1:E2163)*(E2=E$1:E2163))))))</f>
        <v/>
      </c>
      <c r="K2164" s="24" t="str">
        <f aca="false">IF(OR(E2164="",E2164="!!!",F2164="NEW"),"",INDEX(J$1:J2163,SUMPRODUCT(MAX(ROW(E$1:E2163)*(E2164=E$1:E2163)))))</f>
        <v/>
      </c>
      <c r="L2164" s="31"/>
    </row>
    <row r="2165" customFormat="false" ht="15" hidden="false" customHeight="false" outlineLevel="0" collapsed="false">
      <c r="A2165" s="20" t="s">
        <v>1572</v>
      </c>
      <c r="E2165" s="23" t="str">
        <f aca="false">IF(D2165="?OLD","!!!","")</f>
        <v/>
      </c>
      <c r="F2165" s="25" t="str">
        <f aca="false">IF(OR(E2165="",E2165="!!!"),"",IF(NOT(ISNA(VLOOKUP(E2165,E$1:E2164,1,FALSE()))),"OLD",IF(AND(E2165&lt;&gt;"",E2165&lt;&gt;"!!!"),"NEW","")))</f>
        <v/>
      </c>
      <c r="G2165" s="26" t="str">
        <f aca="false">IF(OR(E2165="",E2165="!!!"),"",IF(OR(J2165=0,AND(J2165=1,K2165=1),AND(J2165=1,I2165="SBJ"),AND(J2165=1,I2165=0)),"?IN_FOCUS",IF(J2165&lt;=2,"?ACTIVATED",IF(J2165&lt;&gt;"","?FAMILIAR",IF(F2165="NEW",IF(ISNA(VLOOKUP(E2165,#REF!,1,FALSE())),"?TYPE_IDENTIFIABLE","?REFERENTIAL"),"_")))))</f>
        <v/>
      </c>
      <c r="H2165" s="27" t="str">
        <f aca="false">IF(J2165&lt;&gt;1,"",IF(I2165="SBJ","CB","?"))</f>
        <v/>
      </c>
      <c r="I2165" s="24" t="str">
        <f aca="false">IF(OR(E2165="",E2165="!!!",F2165="NEW"),"",INDEX(B24:B$2142,-1+SUMPRODUCT(MAX(ROW(E24:E$2142)*(E2165=E24:E$2142)))))</f>
        <v/>
      </c>
      <c r="J2165" s="24" t="str">
        <f aca="true">IF(OR(E2165="",E2165="!!!",F2165="NEW"),"",COUNTBLANK(OFFSET(A$1,,,SUMPRODUCT(MAX(ROW(E$2:E2165)*(E2165=E$2:E2165)))))-COUNTBLANK(OFFSET(A$1,,,SUMPRODUCT(MAX(ROW(E$1:E2164)*(E2=E$1:E2164))))))</f>
        <v/>
      </c>
      <c r="K2165" s="24" t="str">
        <f aca="false">IF(OR(E2165="",E2165="!!!",F2165="NEW"),"",INDEX(J$1:J2164,SUMPRODUCT(MAX(ROW(E$1:E2164)*(E2165=E$1:E2164)))))</f>
        <v/>
      </c>
      <c r="L2165" s="31"/>
    </row>
    <row r="2166" customFormat="false" ht="15" hidden="false" customHeight="false" outlineLevel="0" collapsed="false">
      <c r="A2166" s="20" t="s">
        <v>923</v>
      </c>
      <c r="E2166" s="23" t="str">
        <f aca="false">IF(D2166="?OLD","!!!","")</f>
        <v/>
      </c>
      <c r="F2166" s="25" t="str">
        <f aca="false">IF(OR(E2166="",E2166="!!!"),"",IF(NOT(ISNA(VLOOKUP(E2166,E$1:E2165,1,FALSE()))),"OLD",IF(AND(E2166&lt;&gt;"",E2166&lt;&gt;"!!!"),"NEW","")))</f>
        <v/>
      </c>
      <c r="G2166" s="26" t="str">
        <f aca="false">IF(OR(E2166="",E2166="!!!"),"",IF(OR(J2166=0,AND(J2166=1,K2166=1),AND(J2166=1,I2166="SBJ"),AND(J2166=1,I2166=0)),"?IN_FOCUS",IF(J2166&lt;=2,"?ACTIVATED",IF(J2166&lt;&gt;"","?FAMILIAR",IF(F2166="NEW",IF(ISNA(VLOOKUP(E2166,#REF!,1,FALSE())),"?TYPE_IDENTIFIABLE","?REFERENTIAL"),"_")))))</f>
        <v/>
      </c>
      <c r="H2166" s="27" t="str">
        <f aca="false">IF(J2166&lt;&gt;1,"",IF(I2166="SBJ","CB","?"))</f>
        <v/>
      </c>
      <c r="I2166" s="24" t="str">
        <f aca="false">IF(OR(E2166="",E2166="!!!",F2166="NEW"),"",INDEX(B25:B$2142,-1+SUMPRODUCT(MAX(ROW(E25:E$2142)*(E2166=E25:E$2142)))))</f>
        <v/>
      </c>
      <c r="J2166" s="24" t="str">
        <f aca="true">IF(OR(E2166="",E2166="!!!",F2166="NEW"),"",COUNTBLANK(OFFSET(A$1,,,SUMPRODUCT(MAX(ROW(E$2:E2166)*(E2166=E$2:E2166)))))-COUNTBLANK(OFFSET(A$1,,,SUMPRODUCT(MAX(ROW(E$1:E2165)*(E2=E$1:E2165))))))</f>
        <v/>
      </c>
      <c r="K2166" s="24" t="str">
        <f aca="false">IF(OR(E2166="",E2166="!!!",F2166="NEW"),"",INDEX(J$1:J2165,SUMPRODUCT(MAX(ROW(E$1:E2165)*(E2166=E$1:E2165)))))</f>
        <v/>
      </c>
      <c r="L2166" s="31"/>
    </row>
    <row r="2167" customFormat="false" ht="15" hidden="false" customHeight="false" outlineLevel="0" collapsed="false">
      <c r="A2167" s="20"/>
    </row>
    <row r="2168" customFormat="false" ht="15" hidden="false" customHeight="false" outlineLevel="0" collapsed="false">
      <c r="A2168" s="20" t="s">
        <v>1863</v>
      </c>
    </row>
    <row r="2169" customFormat="false" ht="15" hidden="false" customHeight="false" outlineLevel="0" collapsed="false">
      <c r="A2169" s="20" t="s">
        <v>1864</v>
      </c>
      <c r="E2169" s="23" t="str">
        <f aca="false">IF(D2169="?OLD","!!!","")</f>
        <v/>
      </c>
      <c r="F2169" s="25" t="str">
        <f aca="false">IF(OR(E2169="",E2169="!!!"),"",IF(NOT(ISNA(VLOOKUP(E2169,E$1:E2168,1,FALSE()))),"OLD",IF(AND(E2169&lt;&gt;"",E2169&lt;&gt;"!!!"),"NEW","")))</f>
        <v/>
      </c>
      <c r="G2169" s="26" t="str">
        <f aca="false">IF(OR(E2169="",E2169="!!!"),"",IF(OR(J2169=0,AND(J2169=1,K2169=1),AND(J2169=1,I2169="SBJ"),AND(J2169=1,I2169=0)),"?IN_FOCUS",IF(J2169&lt;=2,"?ACTIVATED",IF(J2169&lt;&gt;"","?FAMILIAR",IF(F2169="NEW",IF(ISNA(VLOOKUP(E2169,#REF!,1,FALSE())),"?TYPE_IDENTIFIABLE","?REFERENTIAL"),"_")))))</f>
        <v/>
      </c>
      <c r="H2169" s="27" t="str">
        <f aca="false">IF(J2169&lt;&gt;1,"",IF(I2169="SBJ","CB","?"))</f>
        <v/>
      </c>
      <c r="I2169" s="24" t="str">
        <f aca="false">IF(OR(E2169="",E2169="!!!",F2169="NEW"),"",INDEX(B2:B$2168,-1+SUMPRODUCT(MAX(ROW(E2:E$2168)*(E2169=E2:E$2168)))))</f>
        <v/>
      </c>
      <c r="J2169" s="24" t="str">
        <f aca="true">IF(OR(E2169="",E2169="!!!",F2169="NEW"),"",COUNTBLANK(OFFSET(A$1,,,SUMPRODUCT(MAX(ROW(E$2:E2169)*(E2169=E$2:E2169)))))-COUNTBLANK(OFFSET(A$1,,,SUMPRODUCT(MAX(ROW(E$1:E2168)*(E2=E$1:E2168))))))</f>
        <v/>
      </c>
      <c r="K2169" s="24" t="str">
        <f aca="false">IF(OR(E2169="",E2169="!!!",F2169="NEW"),"",INDEX(J$1:J2168,SUMPRODUCT(MAX(ROW(E$1:E2168)*(E2169=E$1:E2168)))))</f>
        <v/>
      </c>
      <c r="L2169" s="31"/>
    </row>
    <row r="2170" customFormat="false" ht="15" hidden="false" customHeight="false" outlineLevel="0" collapsed="false">
      <c r="A2170" s="20" t="s">
        <v>1865</v>
      </c>
      <c r="B2170" s="22" t="s">
        <v>1081</v>
      </c>
      <c r="C2170" s="22" t="s">
        <v>1160</v>
      </c>
      <c r="E2170" s="23" t="str">
        <f aca="false">IF(D2170="?OLD","!!!","")</f>
        <v/>
      </c>
      <c r="F2170" s="25" t="str">
        <f aca="false">IF(OR(E2170="",E2170="!!!"),"",IF(NOT(ISNA(VLOOKUP(E2170,E$1:E2169,1,FALSE()))),"OLD",IF(AND(E2170&lt;&gt;"",E2170&lt;&gt;"!!!"),"NEW","")))</f>
        <v/>
      </c>
      <c r="G2170" s="26" t="str">
        <f aca="false">IF(OR(E2170="",E2170="!!!"),"",IF(OR(J2170=0,AND(J2170=1,K2170=1),AND(J2170=1,I2170="SBJ"),AND(J2170=1,I2170=0)),"?IN_FOCUS",IF(J2170&lt;=2,"?ACTIVATED",IF(J2170&lt;&gt;"","?FAMILIAR",IF(F2170="NEW",IF(ISNA(VLOOKUP(E2170,#REF!,1,FALSE())),"?TYPE_IDENTIFIABLE","?REFERENTIAL"),"_")))))</f>
        <v/>
      </c>
      <c r="H2170" s="27" t="str">
        <f aca="false">IF(J2170&lt;&gt;1,"",IF(I2170="SBJ","CB","?"))</f>
        <v/>
      </c>
      <c r="I2170" s="24" t="str">
        <f aca="false">IF(OR(E2170="",E2170="!!!",F2170="NEW"),"",INDEX(B3:B$2168,-1+SUMPRODUCT(MAX(ROW(E3:E$2168)*(E2170=E3:E$2168)))))</f>
        <v/>
      </c>
      <c r="J2170" s="24" t="str">
        <f aca="true">IF(OR(E2170="",E2170="!!!",F2170="NEW"),"",COUNTBLANK(OFFSET(A$1,,,SUMPRODUCT(MAX(ROW(E$2:E2170)*(E2170=E$2:E2170)))))-COUNTBLANK(OFFSET(A$1,,,SUMPRODUCT(MAX(ROW(E$1:E2169)*(E2=E$1:E2169))))))</f>
        <v/>
      </c>
      <c r="K2170" s="24" t="str">
        <f aca="false">IF(OR(E2170="",E2170="!!!",F2170="NEW"),"",INDEX(J$1:J2169,SUMPRODUCT(MAX(ROW(E$1:E2169)*(E2170=E$1:E2169)))))</f>
        <v/>
      </c>
      <c r="L2170" s="31"/>
    </row>
    <row r="2171" customFormat="false" ht="15" hidden="false" customHeight="false" outlineLevel="0" collapsed="false">
      <c r="A2171" s="20" t="s">
        <v>1119</v>
      </c>
      <c r="E2171" s="23" t="str">
        <f aca="false">IF(D2171="?OLD","!!!","")</f>
        <v/>
      </c>
      <c r="F2171" s="25" t="str">
        <f aca="false">IF(OR(E2171="",E2171="!!!"),"",IF(NOT(ISNA(VLOOKUP(E2171,E$1:E2170,1,FALSE()))),"OLD",IF(AND(E2171&lt;&gt;"",E2171&lt;&gt;"!!!"),"NEW","")))</f>
        <v/>
      </c>
      <c r="G2171" s="26" t="str">
        <f aca="false">IF(OR(E2171="",E2171="!!!"),"",IF(OR(J2171=0,AND(J2171=1,K2171=1),AND(J2171=1,I2171="SBJ"),AND(J2171=1,I2171=0)),"?IN_FOCUS",IF(J2171&lt;=2,"?ACTIVATED",IF(J2171&lt;&gt;"","?FAMILIAR",IF(F2171="NEW",IF(ISNA(VLOOKUP(E2171,#REF!,1,FALSE())),"?TYPE_IDENTIFIABLE","?REFERENTIAL"),"_")))))</f>
        <v/>
      </c>
      <c r="H2171" s="27" t="str">
        <f aca="false">IF(J2171&lt;&gt;1,"",IF(I2171="SBJ","CB","?"))</f>
        <v/>
      </c>
      <c r="I2171" s="24" t="str">
        <f aca="false">IF(OR(E2171="",E2171="!!!",F2171="NEW"),"",INDEX(B4:B$2168,-1+SUMPRODUCT(MAX(ROW(E4:E$2168)*(E2171=E4:E$2168)))))</f>
        <v/>
      </c>
      <c r="J2171" s="24" t="str">
        <f aca="true">IF(OR(E2171="",E2171="!!!",F2171="NEW"),"",COUNTBLANK(OFFSET(A$1,,,SUMPRODUCT(MAX(ROW(E$2:E2171)*(E2171=E$2:E2171)))))-COUNTBLANK(OFFSET(A$1,,,SUMPRODUCT(MAX(ROW(E$1:E2170)*(E2=E$1:E2170))))))</f>
        <v/>
      </c>
      <c r="K2171" s="24" t="str">
        <f aca="false">IF(OR(E2171="",E2171="!!!",F2171="NEW"),"",INDEX(J$1:J2170,SUMPRODUCT(MAX(ROW(E$1:E2170)*(E2171=E$1:E2170)))))</f>
        <v/>
      </c>
      <c r="L2171" s="31"/>
    </row>
    <row r="2172" customFormat="false" ht="15" hidden="false" customHeight="false" outlineLevel="0" collapsed="false">
      <c r="A2172" s="20" t="s">
        <v>1612</v>
      </c>
      <c r="B2172" s="22" t="s">
        <v>1073</v>
      </c>
      <c r="C2172" s="22" t="s">
        <v>1099</v>
      </c>
      <c r="D2172" s="22" t="s">
        <v>1060</v>
      </c>
      <c r="E2172" s="23" t="str">
        <f aca="false">IF(D2172="?OLD","!!!","")</f>
        <v>!!!</v>
      </c>
      <c r="F2172" s="25" t="str">
        <f aca="false">IF(OR(E2172="",E2172="!!!"),"",IF(NOT(ISNA(VLOOKUP(E2172,E$1:E2171,1,FALSE()))),"OLD",IF(AND(E2172&lt;&gt;"",E2172&lt;&gt;"!!!"),"NEW","")))</f>
        <v/>
      </c>
      <c r="G2172" s="26" t="str">
        <f aca="false">IF(OR(E2172="",E2172="!!!"),"",IF(OR(J2172=0,AND(J2172=1,K2172=1),AND(J2172=1,I2172="SBJ"),AND(J2172=1,I2172=0)),"?IN_FOCUS",IF(J2172&lt;=2,"?ACTIVATED",IF(J2172&lt;&gt;"","?FAMILIAR",IF(F2172="NEW",IF(ISNA(VLOOKUP(E2172,#REF!,1,FALSE())),"?TYPE_IDENTIFIABLE","?REFERENTIAL"),"_")))))</f>
        <v/>
      </c>
      <c r="H2172" s="27" t="str">
        <f aca="false">IF(J2172&lt;&gt;1,"",IF(I2172="SBJ","CB","?"))</f>
        <v/>
      </c>
      <c r="I2172" s="24" t="str">
        <f aca="false">IF(OR(E2172="",E2172="!!!",F2172="NEW"),"",INDEX(B5:B$2168,-1+SUMPRODUCT(MAX(ROW(E5:E$2168)*(E2172=E5:E$2168)))))</f>
        <v/>
      </c>
      <c r="J2172" s="24" t="str">
        <f aca="true">IF(OR(E2172="",E2172="!!!",F2172="NEW"),"",COUNTBLANK(OFFSET(A$1,,,SUMPRODUCT(MAX(ROW(E$2:E2172)*(E2172=E$2:E2172)))))-COUNTBLANK(OFFSET(A$1,,,SUMPRODUCT(MAX(ROW(E$1:E2171)*(E2=E$1:E2171))))))</f>
        <v/>
      </c>
      <c r="K2172" s="24" t="str">
        <f aca="false">IF(OR(E2172="",E2172="!!!",F2172="NEW"),"",INDEX(J$1:J2171,SUMPRODUCT(MAX(ROW(E$1:E2171)*(E2172=E$1:E2171)))))</f>
        <v/>
      </c>
      <c r="L2172" s="31"/>
    </row>
    <row r="2173" customFormat="false" ht="15" hidden="false" customHeight="false" outlineLevel="0" collapsed="false">
      <c r="A2173" s="20" t="s">
        <v>671</v>
      </c>
      <c r="E2173" s="23" t="str">
        <f aca="false">IF(D2173="?OLD","!!!","")</f>
        <v/>
      </c>
      <c r="F2173" s="25" t="str">
        <f aca="false">IF(OR(E2173="",E2173="!!!"),"",IF(NOT(ISNA(VLOOKUP(E2173,E$1:E2172,1,FALSE()))),"OLD",IF(AND(E2173&lt;&gt;"",E2173&lt;&gt;"!!!"),"NEW","")))</f>
        <v/>
      </c>
      <c r="G2173" s="26" t="str">
        <f aca="false">IF(OR(E2173="",E2173="!!!"),"",IF(OR(J2173=0,AND(J2173=1,K2173=1),AND(J2173=1,I2173="SBJ"),AND(J2173=1,I2173=0)),"?IN_FOCUS",IF(J2173&lt;=2,"?ACTIVATED",IF(J2173&lt;&gt;"","?FAMILIAR",IF(F2173="NEW",IF(ISNA(VLOOKUP(E2173,#REF!,1,FALSE())),"?TYPE_IDENTIFIABLE","?REFERENTIAL"),"_")))))</f>
        <v/>
      </c>
      <c r="H2173" s="27" t="str">
        <f aca="false">IF(J2173&lt;&gt;1,"",IF(I2173="SBJ","CB","?"))</f>
        <v/>
      </c>
      <c r="I2173" s="24" t="str">
        <f aca="false">IF(OR(E2173="",E2173="!!!",F2173="NEW"),"",INDEX(B6:B$2168,-1+SUMPRODUCT(MAX(ROW(E6:E$2168)*(E2173=E6:E$2168)))))</f>
        <v/>
      </c>
      <c r="J2173" s="24" t="str">
        <f aca="true">IF(OR(E2173="",E2173="!!!",F2173="NEW"),"",COUNTBLANK(OFFSET(A$1,,,SUMPRODUCT(MAX(ROW(E$2:E2173)*(E2173=E$2:E2173)))))-COUNTBLANK(OFFSET(A$1,,,SUMPRODUCT(MAX(ROW(E$1:E2172)*(E2=E$1:E2172))))))</f>
        <v/>
      </c>
      <c r="K2173" s="24" t="str">
        <f aca="false">IF(OR(E2173="",E2173="!!!",F2173="NEW"),"",INDEX(J$1:J2172,SUMPRODUCT(MAX(ROW(E$1:E2172)*(E2173=E$1:E2172)))))</f>
        <v/>
      </c>
      <c r="L2173" s="31"/>
    </row>
    <row r="2174" customFormat="false" ht="15" hidden="false" customHeight="false" outlineLevel="0" collapsed="false">
      <c r="A2174" s="20" t="s">
        <v>1866</v>
      </c>
      <c r="B2174" s="22" t="s">
        <v>1105</v>
      </c>
      <c r="C2174" s="22" t="s">
        <v>1059</v>
      </c>
      <c r="D2174" s="22" t="s">
        <v>1060</v>
      </c>
      <c r="E2174" s="23" t="str">
        <f aca="false">IF(D2174="?OLD","!!!","")</f>
        <v>!!!</v>
      </c>
      <c r="F2174" s="25" t="str">
        <f aca="false">IF(OR(E2174="",E2174="!!!"),"",IF(NOT(ISNA(VLOOKUP(E2174,E$1:E2173,1,FALSE()))),"OLD",IF(AND(E2174&lt;&gt;"",E2174&lt;&gt;"!!!"),"NEW","")))</f>
        <v/>
      </c>
      <c r="G2174" s="26" t="str">
        <f aca="false">IF(OR(E2174="",E2174="!!!"),"",IF(OR(J2174=0,AND(J2174=1,K2174=1),AND(J2174=1,I2174="SBJ"),AND(J2174=1,I2174=0)),"?IN_FOCUS",IF(J2174&lt;=2,"?ACTIVATED",IF(J2174&lt;&gt;"","?FAMILIAR",IF(F2174="NEW",IF(ISNA(VLOOKUP(E2174,#REF!,1,FALSE())),"?TYPE_IDENTIFIABLE","?REFERENTIAL"),"_")))))</f>
        <v/>
      </c>
      <c r="H2174" s="27" t="str">
        <f aca="false">IF(J2174&lt;&gt;1,"",IF(I2174="SBJ","CB","?"))</f>
        <v/>
      </c>
      <c r="I2174" s="24" t="str">
        <f aca="false">IF(OR(E2174="",E2174="!!!",F2174="NEW"),"",INDEX(B7:B$2168,-1+SUMPRODUCT(MAX(ROW(E7:E$2168)*(E2174=E7:E$2168)))))</f>
        <v/>
      </c>
      <c r="J2174" s="24" t="str">
        <f aca="true">IF(OR(E2174="",E2174="!!!",F2174="NEW"),"",COUNTBLANK(OFFSET(A$1,,,SUMPRODUCT(MAX(ROW(E$2:E2174)*(E2174=E$2:E2174)))))-COUNTBLANK(OFFSET(A$1,,,SUMPRODUCT(MAX(ROW(E$1:E2173)*(E2=E$1:E2173))))))</f>
        <v/>
      </c>
      <c r="K2174" s="24" t="str">
        <f aca="false">IF(OR(E2174="",E2174="!!!",F2174="NEW"),"",INDEX(J$1:J2173,SUMPRODUCT(MAX(ROW(E$1:E2173)*(E2174=E$1:E2173)))))</f>
        <v/>
      </c>
      <c r="L2174" s="31"/>
    </row>
    <row r="2175" customFormat="false" ht="15" hidden="false" customHeight="false" outlineLevel="0" collapsed="false">
      <c r="A2175" s="20" t="s">
        <v>1076</v>
      </c>
      <c r="E2175" s="23" t="str">
        <f aca="false">IF(D2175="?OLD","!!!","")</f>
        <v/>
      </c>
      <c r="F2175" s="25" t="str">
        <f aca="false">IF(OR(E2175="",E2175="!!!"),"",IF(NOT(ISNA(VLOOKUP(E2175,E$1:E2174,1,FALSE()))),"OLD",IF(AND(E2175&lt;&gt;"",E2175&lt;&gt;"!!!"),"NEW","")))</f>
        <v/>
      </c>
      <c r="G2175" s="26" t="str">
        <f aca="false">IF(OR(E2175="",E2175="!!!"),"",IF(OR(J2175=0,AND(J2175=1,K2175=1),AND(J2175=1,I2175="SBJ"),AND(J2175=1,I2175=0)),"?IN_FOCUS",IF(J2175&lt;=2,"?ACTIVATED",IF(J2175&lt;&gt;"","?FAMILIAR",IF(F2175="NEW",IF(ISNA(VLOOKUP(E2175,#REF!,1,FALSE())),"?TYPE_IDENTIFIABLE","?REFERENTIAL"),"_")))))</f>
        <v/>
      </c>
      <c r="H2175" s="27" t="str">
        <f aca="false">IF(J2175&lt;&gt;1,"",IF(I2175="SBJ","CB","?"))</f>
        <v/>
      </c>
      <c r="I2175" s="24" t="str">
        <f aca="false">IF(OR(E2175="",E2175="!!!",F2175="NEW"),"",INDEX(B8:B$2168,-1+SUMPRODUCT(MAX(ROW(E8:E$2168)*(E2175=E8:E$2168)))))</f>
        <v/>
      </c>
      <c r="J2175" s="24" t="str">
        <f aca="true">IF(OR(E2175="",E2175="!!!",F2175="NEW"),"",COUNTBLANK(OFFSET(A$1,,,SUMPRODUCT(MAX(ROW(E$2:E2175)*(E2175=E$2:E2175)))))-COUNTBLANK(OFFSET(A$1,,,SUMPRODUCT(MAX(ROW(E$1:E2174)*(E2=E$1:E2174))))))</f>
        <v/>
      </c>
      <c r="K2175" s="24" t="str">
        <f aca="false">IF(OR(E2175="",E2175="!!!",F2175="NEW"),"",INDEX(J$1:J2174,SUMPRODUCT(MAX(ROW(E$1:E2174)*(E2175=E$1:E2174)))))</f>
        <v/>
      </c>
      <c r="L2175" s="31"/>
    </row>
    <row r="2176" customFormat="false" ht="15" hidden="false" customHeight="false" outlineLevel="0" collapsed="false">
      <c r="A2176" s="20" t="s">
        <v>1080</v>
      </c>
      <c r="B2176" s="22" t="s">
        <v>1086</v>
      </c>
      <c r="C2176" s="22" t="s">
        <v>1082</v>
      </c>
      <c r="D2176" s="22" t="s">
        <v>1060</v>
      </c>
      <c r="E2176" s="23" t="str">
        <f aca="false">IF(D2176="?OLD","!!!","")</f>
        <v>!!!</v>
      </c>
      <c r="F2176" s="25" t="str">
        <f aca="false">IF(OR(E2176="",E2176="!!!"),"",IF(NOT(ISNA(VLOOKUP(E2176,E$1:E2175,1,FALSE()))),"OLD",IF(AND(E2176&lt;&gt;"",E2176&lt;&gt;"!!!"),"NEW","")))</f>
        <v/>
      </c>
      <c r="G2176" s="26" t="str">
        <f aca="false">IF(OR(E2176="",E2176="!!!"),"",IF(OR(J2176=0,AND(J2176=1,K2176=1),AND(J2176=1,I2176="SBJ"),AND(J2176=1,I2176=0)),"?IN_FOCUS",IF(J2176&lt;=2,"?ACTIVATED",IF(J2176&lt;&gt;"","?FAMILIAR",IF(F2176="NEW",IF(ISNA(VLOOKUP(E2176,#REF!,1,FALSE())),"?TYPE_IDENTIFIABLE","?REFERENTIAL"),"_")))))</f>
        <v/>
      </c>
      <c r="H2176" s="27" t="str">
        <f aca="false">IF(J2176&lt;&gt;1,"",IF(I2176="SBJ","CB","?"))</f>
        <v/>
      </c>
      <c r="I2176" s="24" t="str">
        <f aca="false">IF(OR(E2176="",E2176="!!!",F2176="NEW"),"",INDEX(B9:B$2168,-1+SUMPRODUCT(MAX(ROW(E9:E$2168)*(E2176=E9:E$2168)))))</f>
        <v/>
      </c>
      <c r="J2176" s="24" t="str">
        <f aca="true">IF(OR(E2176="",E2176="!!!",F2176="NEW"),"",COUNTBLANK(OFFSET(A$1,,,SUMPRODUCT(MAX(ROW(E$2:E2176)*(E2176=E$2:E2176)))))-COUNTBLANK(OFFSET(A$1,,,SUMPRODUCT(MAX(ROW(E$1:E2175)*(E2=E$1:E2175))))))</f>
        <v/>
      </c>
      <c r="K2176" s="24" t="str">
        <f aca="false">IF(OR(E2176="",E2176="!!!",F2176="NEW"),"",INDEX(J$1:J2175,SUMPRODUCT(MAX(ROW(E$1:E2175)*(E2176=E$1:E2175)))))</f>
        <v/>
      </c>
      <c r="L2176" s="31"/>
    </row>
    <row r="2177" customFormat="false" ht="15" hidden="false" customHeight="false" outlineLevel="0" collapsed="false">
      <c r="A2177" s="20" t="s">
        <v>1469</v>
      </c>
      <c r="E2177" s="23" t="str">
        <f aca="false">IF(D2177="?OLD","!!!","")</f>
        <v/>
      </c>
      <c r="F2177" s="25" t="str">
        <f aca="false">IF(OR(E2177="",E2177="!!!"),"",IF(NOT(ISNA(VLOOKUP(E2177,E$1:E2176,1,FALSE()))),"OLD",IF(AND(E2177&lt;&gt;"",E2177&lt;&gt;"!!!"),"NEW","")))</f>
        <v/>
      </c>
      <c r="G2177" s="26" t="str">
        <f aca="false">IF(OR(E2177="",E2177="!!!"),"",IF(OR(J2177=0,AND(J2177=1,K2177=1),AND(J2177=1,I2177="SBJ"),AND(J2177=1,I2177=0)),"?IN_FOCUS",IF(J2177&lt;=2,"?ACTIVATED",IF(J2177&lt;&gt;"","?FAMILIAR",IF(F2177="NEW",IF(ISNA(VLOOKUP(E2177,#REF!,1,FALSE())),"?TYPE_IDENTIFIABLE","?REFERENTIAL"),"_")))))</f>
        <v/>
      </c>
      <c r="H2177" s="27" t="str">
        <f aca="false">IF(J2177&lt;&gt;1,"",IF(I2177="SBJ","CB","?"))</f>
        <v/>
      </c>
      <c r="I2177" s="24" t="str">
        <f aca="false">IF(OR(E2177="",E2177="!!!",F2177="NEW"),"",INDEX(B10:B$2168,-1+SUMPRODUCT(MAX(ROW(E10:E$2168)*(E2177=E10:E$2168)))))</f>
        <v/>
      </c>
      <c r="J2177" s="24" t="str">
        <f aca="true">IF(OR(E2177="",E2177="!!!",F2177="NEW"),"",COUNTBLANK(OFFSET(A$1,,,SUMPRODUCT(MAX(ROW(E$2:E2177)*(E2177=E$2:E2177)))))-COUNTBLANK(OFFSET(A$1,,,SUMPRODUCT(MAX(ROW(E$1:E2176)*(E2=E$1:E2176))))))</f>
        <v/>
      </c>
      <c r="K2177" s="24" t="str">
        <f aca="false">IF(OR(E2177="",E2177="!!!",F2177="NEW"),"",INDEX(J$1:J2176,SUMPRODUCT(MAX(ROW(E$1:E2176)*(E2177=E$1:E2176)))))</f>
        <v/>
      </c>
      <c r="L2177" s="31"/>
    </row>
    <row r="2178" customFormat="false" ht="15" hidden="false" customHeight="false" outlineLevel="0" collapsed="false">
      <c r="A2178" s="20" t="s">
        <v>1828</v>
      </c>
      <c r="B2178" s="22" t="s">
        <v>1086</v>
      </c>
      <c r="C2178" s="22" t="s">
        <v>1160</v>
      </c>
      <c r="E2178" s="23" t="str">
        <f aca="false">IF(D2178="?OLD","!!!","")</f>
        <v/>
      </c>
      <c r="F2178" s="25" t="str">
        <f aca="false">IF(OR(E2178="",E2178="!!!"),"",IF(NOT(ISNA(VLOOKUP(E2178,E$1:E2177,1,FALSE()))),"OLD",IF(AND(E2178&lt;&gt;"",E2178&lt;&gt;"!!!"),"NEW","")))</f>
        <v/>
      </c>
      <c r="G2178" s="26" t="str">
        <f aca="false">IF(OR(E2178="",E2178="!!!"),"",IF(OR(J2178=0,AND(J2178=1,K2178=1),AND(J2178=1,I2178="SBJ"),AND(J2178=1,I2178=0)),"?IN_FOCUS",IF(J2178&lt;=2,"?ACTIVATED",IF(J2178&lt;&gt;"","?FAMILIAR",IF(F2178="NEW",IF(ISNA(VLOOKUP(E2178,#REF!,1,FALSE())),"?TYPE_IDENTIFIABLE","?REFERENTIAL"),"_")))))</f>
        <v/>
      </c>
      <c r="H2178" s="27" t="str">
        <f aca="false">IF(J2178&lt;&gt;1,"",IF(I2178="SBJ","CB","?"))</f>
        <v/>
      </c>
      <c r="I2178" s="24" t="str">
        <f aca="false">IF(OR(E2178="",E2178="!!!",F2178="NEW"),"",INDEX(B11:B$2168,-1+SUMPRODUCT(MAX(ROW(E11:E$2168)*(E2178=E11:E$2168)))))</f>
        <v/>
      </c>
      <c r="J2178" s="24" t="str">
        <f aca="true">IF(OR(E2178="",E2178="!!!",F2178="NEW"),"",COUNTBLANK(OFFSET(A$1,,,SUMPRODUCT(MAX(ROW(E$2:E2178)*(E2178=E$2:E2178)))))-COUNTBLANK(OFFSET(A$1,,,SUMPRODUCT(MAX(ROW(E$1:E2177)*(E2=E$1:E2177))))))</f>
        <v/>
      </c>
      <c r="K2178" s="24" t="str">
        <f aca="false">IF(OR(E2178="",E2178="!!!",F2178="NEW"),"",INDEX(J$1:J2177,SUMPRODUCT(MAX(ROW(E$1:E2177)*(E2178=E$1:E2177)))))</f>
        <v/>
      </c>
      <c r="L2178" s="31"/>
    </row>
    <row r="2179" customFormat="false" ht="15" hidden="false" customHeight="false" outlineLevel="0" collapsed="false">
      <c r="A2179" s="20" t="s">
        <v>1867</v>
      </c>
      <c r="E2179" s="23" t="str">
        <f aca="false">IF(D2179="?OLD","!!!","")</f>
        <v/>
      </c>
      <c r="F2179" s="25" t="str">
        <f aca="false">IF(OR(E2179="",E2179="!!!"),"",IF(NOT(ISNA(VLOOKUP(E2179,E$1:E2178,1,FALSE()))),"OLD",IF(AND(E2179&lt;&gt;"",E2179&lt;&gt;"!!!"),"NEW","")))</f>
        <v/>
      </c>
      <c r="G2179" s="26" t="str">
        <f aca="false">IF(OR(E2179="",E2179="!!!"),"",IF(OR(J2179=0,AND(J2179=1,K2179=1),AND(J2179=1,I2179="SBJ"),AND(J2179=1,I2179=0)),"?IN_FOCUS",IF(J2179&lt;=2,"?ACTIVATED",IF(J2179&lt;&gt;"","?FAMILIAR",IF(F2179="NEW",IF(ISNA(VLOOKUP(E2179,#REF!,1,FALSE())),"?TYPE_IDENTIFIABLE","?REFERENTIAL"),"_")))))</f>
        <v/>
      </c>
      <c r="H2179" s="27" t="str">
        <f aca="false">IF(J2179&lt;&gt;1,"",IF(I2179="SBJ","CB","?"))</f>
        <v/>
      </c>
      <c r="I2179" s="24" t="str">
        <f aca="false">IF(OR(E2179="",E2179="!!!",F2179="NEW"),"",INDEX(B12:B$2168,-1+SUMPRODUCT(MAX(ROW(E12:E$2168)*(E2179=E12:E$2168)))))</f>
        <v/>
      </c>
      <c r="J2179" s="24" t="str">
        <f aca="true">IF(OR(E2179="",E2179="!!!",F2179="NEW"),"",COUNTBLANK(OFFSET(A$1,,,SUMPRODUCT(MAX(ROW(E$2:E2179)*(E2179=E$2:E2179)))))-COUNTBLANK(OFFSET(A$1,,,SUMPRODUCT(MAX(ROW(E$1:E2178)*(E2=E$1:E2178))))))</f>
        <v/>
      </c>
      <c r="K2179" s="24" t="str">
        <f aca="false">IF(OR(E2179="",E2179="!!!",F2179="NEW"),"",INDEX(J$1:J2178,SUMPRODUCT(MAX(ROW(E$1:E2178)*(E2179=E$1:E2178)))))</f>
        <v/>
      </c>
      <c r="L2179" s="31"/>
    </row>
    <row r="2180" customFormat="false" ht="15" hidden="false" customHeight="false" outlineLevel="0" collapsed="false">
      <c r="A2180" s="20" t="s">
        <v>1213</v>
      </c>
      <c r="E2180" s="23" t="str">
        <f aca="false">IF(D2180="?OLD","!!!","")</f>
        <v/>
      </c>
      <c r="F2180" s="25" t="str">
        <f aca="false">IF(OR(E2180="",E2180="!!!"),"",IF(NOT(ISNA(VLOOKUP(E2180,E$1:E2179,1,FALSE()))),"OLD",IF(AND(E2180&lt;&gt;"",E2180&lt;&gt;"!!!"),"NEW","")))</f>
        <v/>
      </c>
      <c r="G2180" s="26" t="str">
        <f aca="false">IF(OR(E2180="",E2180="!!!"),"",IF(OR(J2180=0,AND(J2180=1,K2180=1),AND(J2180=1,I2180="SBJ"),AND(J2180=1,I2180=0)),"?IN_FOCUS",IF(J2180&lt;=2,"?ACTIVATED",IF(J2180&lt;&gt;"","?FAMILIAR",IF(F2180="NEW",IF(ISNA(VLOOKUP(E2180,#REF!,1,FALSE())),"?TYPE_IDENTIFIABLE","?REFERENTIAL"),"_")))))</f>
        <v/>
      </c>
      <c r="H2180" s="27" t="str">
        <f aca="false">IF(J2180&lt;&gt;1,"",IF(I2180="SBJ","CB","?"))</f>
        <v/>
      </c>
      <c r="I2180" s="24" t="str">
        <f aca="false">IF(OR(E2180="",E2180="!!!",F2180="NEW"),"",INDEX(B13:B$2168,-1+SUMPRODUCT(MAX(ROW(E13:E$2168)*(E2180=E13:E$2168)))))</f>
        <v/>
      </c>
      <c r="J2180" s="24" t="str">
        <f aca="true">IF(OR(E2180="",E2180="!!!",F2180="NEW"),"",COUNTBLANK(OFFSET(A$1,,,SUMPRODUCT(MAX(ROW(E$2:E2180)*(E2180=E$2:E2180)))))-COUNTBLANK(OFFSET(A$1,,,SUMPRODUCT(MAX(ROW(E$1:E2179)*(E2=E$1:E2179))))))</f>
        <v/>
      </c>
      <c r="K2180" s="24" t="str">
        <f aca="false">IF(OR(E2180="",E2180="!!!",F2180="NEW"),"",INDEX(J$1:J2179,SUMPRODUCT(MAX(ROW(E$1:E2179)*(E2180=E$1:E2179)))))</f>
        <v/>
      </c>
      <c r="L2180" s="31"/>
    </row>
    <row r="2181" customFormat="false" ht="15" hidden="false" customHeight="false" outlineLevel="0" collapsed="false">
      <c r="A2181" s="20" t="s">
        <v>1085</v>
      </c>
      <c r="E2181" s="23" t="str">
        <f aca="false">IF(D2181="?OLD","!!!","")</f>
        <v/>
      </c>
      <c r="F2181" s="25" t="str">
        <f aca="false">IF(OR(E2181="",E2181="!!!"),"",IF(NOT(ISNA(VLOOKUP(E2181,E$1:E2180,1,FALSE()))),"OLD",IF(AND(E2181&lt;&gt;"",E2181&lt;&gt;"!!!"),"NEW","")))</f>
        <v/>
      </c>
      <c r="G2181" s="26" t="str">
        <f aca="false">IF(OR(E2181="",E2181="!!!"),"",IF(OR(J2181=0,AND(J2181=1,K2181=1),AND(J2181=1,I2181="SBJ"),AND(J2181=1,I2181=0)),"?IN_FOCUS",IF(J2181&lt;=2,"?ACTIVATED",IF(J2181&lt;&gt;"","?FAMILIAR",IF(F2181="NEW",IF(ISNA(VLOOKUP(E2181,#REF!,1,FALSE())),"?TYPE_IDENTIFIABLE","?REFERENTIAL"),"_")))))</f>
        <v/>
      </c>
      <c r="H2181" s="27" t="str">
        <f aca="false">IF(J2181&lt;&gt;1,"",IF(I2181="SBJ","CB","?"))</f>
        <v/>
      </c>
      <c r="I2181" s="24" t="str">
        <f aca="false">IF(OR(E2181="",E2181="!!!",F2181="NEW"),"",INDEX(B14:B$2168,-1+SUMPRODUCT(MAX(ROW(E14:E$2168)*(E2181=E14:E$2168)))))</f>
        <v/>
      </c>
      <c r="J2181" s="24" t="str">
        <f aca="true">IF(OR(E2181="",E2181="!!!",F2181="NEW"),"",COUNTBLANK(OFFSET(A$1,,,SUMPRODUCT(MAX(ROW(E$2:E2181)*(E2181=E$2:E2181)))))-COUNTBLANK(OFFSET(A$1,,,SUMPRODUCT(MAX(ROW(E$1:E2180)*(E2=E$1:E2180))))))</f>
        <v/>
      </c>
      <c r="K2181" s="24" t="str">
        <f aca="false">IF(OR(E2181="",E2181="!!!",F2181="NEW"),"",INDEX(J$1:J2180,SUMPRODUCT(MAX(ROW(E$1:E2180)*(E2181=E$1:E2180)))))</f>
        <v/>
      </c>
      <c r="L2181" s="31"/>
    </row>
    <row r="2182" customFormat="false" ht="15" hidden="false" customHeight="false" outlineLevel="0" collapsed="false">
      <c r="A2182" s="20" t="s">
        <v>1868</v>
      </c>
      <c r="E2182" s="23" t="str">
        <f aca="false">IF(D2182="?OLD","!!!","")</f>
        <v/>
      </c>
      <c r="F2182" s="25" t="str">
        <f aca="false">IF(OR(E2182="",E2182="!!!"),"",IF(NOT(ISNA(VLOOKUP(E2182,E$1:E2181,1,FALSE()))),"OLD",IF(AND(E2182&lt;&gt;"",E2182&lt;&gt;"!!!"),"NEW","")))</f>
        <v/>
      </c>
      <c r="G2182" s="26" t="str">
        <f aca="false">IF(OR(E2182="",E2182="!!!"),"",IF(OR(J2182=0,AND(J2182=1,K2182=1),AND(J2182=1,I2182="SBJ"),AND(J2182=1,I2182=0)),"?IN_FOCUS",IF(J2182&lt;=2,"?ACTIVATED",IF(J2182&lt;&gt;"","?FAMILIAR",IF(F2182="NEW",IF(ISNA(VLOOKUP(E2182,#REF!,1,FALSE())),"?TYPE_IDENTIFIABLE","?REFERENTIAL"),"_")))))</f>
        <v/>
      </c>
      <c r="H2182" s="27" t="str">
        <f aca="false">IF(J2182&lt;&gt;1,"",IF(I2182="SBJ","CB","?"))</f>
        <v/>
      </c>
      <c r="I2182" s="24" t="str">
        <f aca="false">IF(OR(E2182="",E2182="!!!",F2182="NEW"),"",INDEX(B15:B$2168,-1+SUMPRODUCT(MAX(ROW(E15:E$2168)*(E2182=E15:E$2168)))))</f>
        <v/>
      </c>
      <c r="J2182" s="24" t="str">
        <f aca="true">IF(OR(E2182="",E2182="!!!",F2182="NEW"),"",COUNTBLANK(OFFSET(A$1,,,SUMPRODUCT(MAX(ROW(E$2:E2182)*(E2182=E$2:E2182)))))-COUNTBLANK(OFFSET(A$1,,,SUMPRODUCT(MAX(ROW(E$1:E2181)*(E2=E$1:E2181))))))</f>
        <v/>
      </c>
      <c r="K2182" s="24" t="str">
        <f aca="false">IF(OR(E2182="",E2182="!!!",F2182="NEW"),"",INDEX(J$1:J2181,SUMPRODUCT(MAX(ROW(E$1:E2181)*(E2182=E$1:E2181)))))</f>
        <v/>
      </c>
      <c r="L2182" s="31"/>
    </row>
    <row r="2183" customFormat="false" ht="15" hidden="false" customHeight="false" outlineLevel="0" collapsed="false">
      <c r="A2183" s="20" t="s">
        <v>1869</v>
      </c>
      <c r="B2183" s="22" t="s">
        <v>1073</v>
      </c>
      <c r="C2183" s="22" t="s">
        <v>1087</v>
      </c>
      <c r="E2183" s="23" t="str">
        <f aca="false">IF(D2183="?OLD","!!!","")</f>
        <v/>
      </c>
      <c r="F2183" s="25" t="str">
        <f aca="false">IF(OR(E2183="",E2183="!!!"),"",IF(NOT(ISNA(VLOOKUP(E2183,E$1:E2182,1,FALSE()))),"OLD",IF(AND(E2183&lt;&gt;"",E2183&lt;&gt;"!!!"),"NEW","")))</f>
        <v/>
      </c>
      <c r="G2183" s="26" t="str">
        <f aca="false">IF(OR(E2183="",E2183="!!!"),"",IF(OR(J2183=0,AND(J2183=1,K2183=1),AND(J2183=1,I2183="SBJ"),AND(J2183=1,I2183=0)),"?IN_FOCUS",IF(J2183&lt;=2,"?ACTIVATED",IF(J2183&lt;&gt;"","?FAMILIAR",IF(F2183="NEW",IF(ISNA(VLOOKUP(E2183,#REF!,1,FALSE())),"?TYPE_IDENTIFIABLE","?REFERENTIAL"),"_")))))</f>
        <v/>
      </c>
      <c r="H2183" s="27" t="str">
        <f aca="false">IF(J2183&lt;&gt;1,"",IF(I2183="SBJ","CB","?"))</f>
        <v/>
      </c>
      <c r="I2183" s="24" t="str">
        <f aca="false">IF(OR(E2183="",E2183="!!!",F2183="NEW"),"",INDEX(B16:B$2168,-1+SUMPRODUCT(MAX(ROW(E16:E$2168)*(E2183=E16:E$2168)))))</f>
        <v/>
      </c>
      <c r="J2183" s="24" t="str">
        <f aca="true">IF(OR(E2183="",E2183="!!!",F2183="NEW"),"",COUNTBLANK(OFFSET(A$1,,,SUMPRODUCT(MAX(ROW(E$2:E2183)*(E2183=E$2:E2183)))))-COUNTBLANK(OFFSET(A$1,,,SUMPRODUCT(MAX(ROW(E$1:E2182)*(E2=E$1:E2182))))))</f>
        <v/>
      </c>
      <c r="K2183" s="24" t="str">
        <f aca="false">IF(OR(E2183="",E2183="!!!",F2183="NEW"),"",INDEX(J$1:J2182,SUMPRODUCT(MAX(ROW(E$1:E2182)*(E2183=E$1:E2182)))))</f>
        <v/>
      </c>
      <c r="L2183" s="31"/>
    </row>
    <row r="2184" customFormat="false" ht="15" hidden="false" customHeight="false" outlineLevel="0" collapsed="false">
      <c r="A2184" s="20" t="s">
        <v>1076</v>
      </c>
      <c r="E2184" s="23" t="str">
        <f aca="false">IF(D2184="?OLD","!!!","")</f>
        <v/>
      </c>
      <c r="F2184" s="25" t="str">
        <f aca="false">IF(OR(E2184="",E2184="!!!"),"",IF(NOT(ISNA(VLOOKUP(E2184,E$1:E2183,1,FALSE()))),"OLD",IF(AND(E2184&lt;&gt;"",E2184&lt;&gt;"!!!"),"NEW","")))</f>
        <v/>
      </c>
      <c r="G2184" s="26" t="str">
        <f aca="false">IF(OR(E2184="",E2184="!!!"),"",IF(OR(J2184=0,AND(J2184=1,K2184=1),AND(J2184=1,I2184="SBJ"),AND(J2184=1,I2184=0)),"?IN_FOCUS",IF(J2184&lt;=2,"?ACTIVATED",IF(J2184&lt;&gt;"","?FAMILIAR",IF(F2184="NEW",IF(ISNA(VLOOKUP(E2184,#REF!,1,FALSE())),"?TYPE_IDENTIFIABLE","?REFERENTIAL"),"_")))))</f>
        <v/>
      </c>
      <c r="H2184" s="27" t="str">
        <f aca="false">IF(J2184&lt;&gt;1,"",IF(I2184="SBJ","CB","?"))</f>
        <v/>
      </c>
      <c r="I2184" s="24" t="str">
        <f aca="false">IF(OR(E2184="",E2184="!!!",F2184="NEW"),"",INDEX(B17:B$2168,-1+SUMPRODUCT(MAX(ROW(E17:E$2168)*(E2184=E17:E$2168)))))</f>
        <v/>
      </c>
      <c r="J2184" s="24" t="str">
        <f aca="true">IF(OR(E2184="",E2184="!!!",F2184="NEW"),"",COUNTBLANK(OFFSET(A$1,,,SUMPRODUCT(MAX(ROW(E$2:E2184)*(E2184=E$2:E2184)))))-COUNTBLANK(OFFSET(A$1,,,SUMPRODUCT(MAX(ROW(E$1:E2183)*(E2=E$1:E2183))))))</f>
        <v/>
      </c>
      <c r="K2184" s="24" t="str">
        <f aca="false">IF(OR(E2184="",E2184="!!!",F2184="NEW"),"",INDEX(J$1:J2183,SUMPRODUCT(MAX(ROW(E$1:E2183)*(E2184=E$1:E2183)))))</f>
        <v/>
      </c>
      <c r="L2184" s="31"/>
    </row>
    <row r="2185" customFormat="false" ht="15" hidden="false" customHeight="false" outlineLevel="0" collapsed="false">
      <c r="A2185" s="20" t="s">
        <v>1612</v>
      </c>
      <c r="B2185" s="22" t="s">
        <v>1067</v>
      </c>
      <c r="C2185" s="22" t="s">
        <v>1099</v>
      </c>
      <c r="D2185" s="22" t="s">
        <v>1060</v>
      </c>
      <c r="E2185" s="23" t="str">
        <f aca="false">IF(D2185="?OLD","!!!","")</f>
        <v>!!!</v>
      </c>
      <c r="F2185" s="25" t="str">
        <f aca="false">IF(OR(E2185="",E2185="!!!"),"",IF(NOT(ISNA(VLOOKUP(E2185,E$1:E2184,1,FALSE()))),"OLD",IF(AND(E2185&lt;&gt;"",E2185&lt;&gt;"!!!"),"NEW","")))</f>
        <v/>
      </c>
      <c r="G2185" s="26" t="str">
        <f aca="false">IF(OR(E2185="",E2185="!!!"),"",IF(OR(J2185=0,AND(J2185=1,K2185=1),AND(J2185=1,I2185="SBJ"),AND(J2185=1,I2185=0)),"?IN_FOCUS",IF(J2185&lt;=2,"?ACTIVATED",IF(J2185&lt;&gt;"","?FAMILIAR",IF(F2185="NEW",IF(ISNA(VLOOKUP(E2185,#REF!,1,FALSE())),"?TYPE_IDENTIFIABLE","?REFERENTIAL"),"_")))))</f>
        <v/>
      </c>
      <c r="H2185" s="27" t="str">
        <f aca="false">IF(J2185&lt;&gt;1,"",IF(I2185="SBJ","CB","?"))</f>
        <v/>
      </c>
      <c r="I2185" s="24" t="str">
        <f aca="false">IF(OR(E2185="",E2185="!!!",F2185="NEW"),"",INDEX(B18:B$2168,-1+SUMPRODUCT(MAX(ROW(E18:E$2168)*(E2185=E18:E$2168)))))</f>
        <v/>
      </c>
      <c r="J2185" s="24" t="str">
        <f aca="true">IF(OR(E2185="",E2185="!!!",F2185="NEW"),"",COUNTBLANK(OFFSET(A$1,,,SUMPRODUCT(MAX(ROW(E$2:E2185)*(E2185=E$2:E2185)))))-COUNTBLANK(OFFSET(A$1,,,SUMPRODUCT(MAX(ROW(E$1:E2184)*(E2=E$1:E2184))))))</f>
        <v/>
      </c>
      <c r="K2185" s="24" t="str">
        <f aca="false">IF(OR(E2185="",E2185="!!!",F2185="NEW"),"",INDEX(J$1:J2184,SUMPRODUCT(MAX(ROW(E$1:E2184)*(E2185=E$1:E2184)))))</f>
        <v/>
      </c>
      <c r="L2185" s="31"/>
    </row>
    <row r="2186" customFormat="false" ht="15" hidden="false" customHeight="false" outlineLevel="0" collapsed="false">
      <c r="A2186" s="20" t="s">
        <v>1870</v>
      </c>
      <c r="B2186" s="22" t="s">
        <v>1086</v>
      </c>
      <c r="C2186" s="22" t="s">
        <v>1059</v>
      </c>
      <c r="D2186" s="22" t="s">
        <v>1060</v>
      </c>
      <c r="E2186" s="23" t="str">
        <f aca="false">IF(D2186="?OLD","!!!","")</f>
        <v>!!!</v>
      </c>
      <c r="F2186" s="25" t="str">
        <f aca="false">IF(OR(E2186="",E2186="!!!"),"",IF(NOT(ISNA(VLOOKUP(E2186,E$1:E2185,1,FALSE()))),"OLD",IF(AND(E2186&lt;&gt;"",E2186&lt;&gt;"!!!"),"NEW","")))</f>
        <v/>
      </c>
      <c r="G2186" s="26" t="str">
        <f aca="false">IF(OR(E2186="",E2186="!!!"),"",IF(OR(J2186=0,AND(J2186=1,K2186=1),AND(J2186=1,I2186="SBJ"),AND(J2186=1,I2186=0)),"?IN_FOCUS",IF(J2186&lt;=2,"?ACTIVATED",IF(J2186&lt;&gt;"","?FAMILIAR",IF(F2186="NEW",IF(ISNA(VLOOKUP(E2186,#REF!,1,FALSE())),"?TYPE_IDENTIFIABLE","?REFERENTIAL"),"_")))))</f>
        <v/>
      </c>
      <c r="H2186" s="27" t="str">
        <f aca="false">IF(J2186&lt;&gt;1,"",IF(I2186="SBJ","CB","?"))</f>
        <v/>
      </c>
      <c r="I2186" s="24" t="str">
        <f aca="false">IF(OR(E2186="",E2186="!!!",F2186="NEW"),"",INDEX(B19:B$2168,-1+SUMPRODUCT(MAX(ROW(E19:E$2168)*(E2186=E19:E$2168)))))</f>
        <v/>
      </c>
      <c r="J2186" s="24" t="str">
        <f aca="true">IF(OR(E2186="",E2186="!!!",F2186="NEW"),"",COUNTBLANK(OFFSET(A$1,,,SUMPRODUCT(MAX(ROW(E$2:E2186)*(E2186=E$2:E2186)))))-COUNTBLANK(OFFSET(A$1,,,SUMPRODUCT(MAX(ROW(E$1:E2185)*(E2=E$1:E2185))))))</f>
        <v/>
      </c>
      <c r="K2186" s="24" t="str">
        <f aca="false">IF(OR(E2186="",E2186="!!!",F2186="NEW"),"",INDEX(J$1:J2185,SUMPRODUCT(MAX(ROW(E$1:E2185)*(E2186=E$1:E2185)))))</f>
        <v/>
      </c>
      <c r="L2186" s="31"/>
    </row>
    <row r="2187" customFormat="false" ht="15" hidden="false" customHeight="false" outlineLevel="0" collapsed="false">
      <c r="A2187" s="20" t="s">
        <v>1128</v>
      </c>
      <c r="E2187" s="23" t="str">
        <f aca="false">IF(D2187="?OLD","!!!","")</f>
        <v/>
      </c>
      <c r="F2187" s="25" t="str">
        <f aca="false">IF(OR(E2187="",E2187="!!!"),"",IF(NOT(ISNA(VLOOKUP(E2187,E$1:E2186,1,FALSE()))),"OLD",IF(AND(E2187&lt;&gt;"",E2187&lt;&gt;"!!!"),"NEW","")))</f>
        <v/>
      </c>
      <c r="G2187" s="26" t="str">
        <f aca="false">IF(OR(E2187="",E2187="!!!"),"",IF(OR(J2187=0,AND(J2187=1,K2187=1),AND(J2187=1,I2187="SBJ"),AND(J2187=1,I2187=0)),"?IN_FOCUS",IF(J2187&lt;=2,"?ACTIVATED",IF(J2187&lt;&gt;"","?FAMILIAR",IF(F2187="NEW",IF(ISNA(VLOOKUP(E2187,#REF!,1,FALSE())),"?TYPE_IDENTIFIABLE","?REFERENTIAL"),"_")))))</f>
        <v/>
      </c>
      <c r="H2187" s="27" t="str">
        <f aca="false">IF(J2187&lt;&gt;1,"",IF(I2187="SBJ","CB","?"))</f>
        <v/>
      </c>
      <c r="I2187" s="24" t="str">
        <f aca="false">IF(OR(E2187="",E2187="!!!",F2187="NEW"),"",INDEX(B20:B$2168,-1+SUMPRODUCT(MAX(ROW(E20:E$2168)*(E2187=E20:E$2168)))))</f>
        <v/>
      </c>
      <c r="J2187" s="24" t="str">
        <f aca="true">IF(OR(E2187="",E2187="!!!",F2187="NEW"),"",COUNTBLANK(OFFSET(A$1,,,SUMPRODUCT(MAX(ROW(E$2:E2187)*(E2187=E$2:E2187)))))-COUNTBLANK(OFFSET(A$1,,,SUMPRODUCT(MAX(ROW(E$1:E2186)*(E2=E$1:E2186))))))</f>
        <v/>
      </c>
      <c r="K2187" s="24" t="str">
        <f aca="false">IF(OR(E2187="",E2187="!!!",F2187="NEW"),"",INDEX(J$1:J2186,SUMPRODUCT(MAX(ROW(E$1:E2186)*(E2187=E$1:E2186)))))</f>
        <v/>
      </c>
      <c r="L2187" s="31"/>
    </row>
    <row r="2188" customFormat="false" ht="15" hidden="false" customHeight="false" outlineLevel="0" collapsed="false">
      <c r="A2188" s="20" t="s">
        <v>1871</v>
      </c>
      <c r="B2188" s="22" t="s">
        <v>1067</v>
      </c>
      <c r="C2188" s="22" t="s">
        <v>1160</v>
      </c>
      <c r="E2188" s="23" t="str">
        <f aca="false">IF(D2188="?OLD","!!!","")</f>
        <v/>
      </c>
      <c r="F2188" s="25" t="str">
        <f aca="false">IF(OR(E2188="",E2188="!!!"),"",IF(NOT(ISNA(VLOOKUP(E2188,E$1:E2187,1,FALSE()))),"OLD",IF(AND(E2188&lt;&gt;"",E2188&lt;&gt;"!!!"),"NEW","")))</f>
        <v/>
      </c>
      <c r="G2188" s="26" t="str">
        <f aca="false">IF(OR(E2188="",E2188="!!!"),"",IF(OR(J2188=0,AND(J2188=1,K2188=1),AND(J2188=1,I2188="SBJ"),AND(J2188=1,I2188=0)),"?IN_FOCUS",IF(J2188&lt;=2,"?ACTIVATED",IF(J2188&lt;&gt;"","?FAMILIAR",IF(F2188="NEW",IF(ISNA(VLOOKUP(E2188,#REF!,1,FALSE())),"?TYPE_IDENTIFIABLE","?REFERENTIAL"),"_")))))</f>
        <v/>
      </c>
      <c r="H2188" s="27" t="str">
        <f aca="false">IF(J2188&lt;&gt;1,"",IF(I2188="SBJ","CB","?"))</f>
        <v/>
      </c>
      <c r="I2188" s="24" t="str">
        <f aca="false">IF(OR(E2188="",E2188="!!!",F2188="NEW"),"",INDEX(B21:B$2168,-1+SUMPRODUCT(MAX(ROW(E21:E$2168)*(E2188=E21:E$2168)))))</f>
        <v/>
      </c>
      <c r="J2188" s="24" t="str">
        <f aca="true">IF(OR(E2188="",E2188="!!!",F2188="NEW"),"",COUNTBLANK(OFFSET(A$1,,,SUMPRODUCT(MAX(ROW(E$2:E2188)*(E2188=E$2:E2188)))))-COUNTBLANK(OFFSET(A$1,,,SUMPRODUCT(MAX(ROW(E$1:E2187)*(E2=E$1:E2187))))))</f>
        <v/>
      </c>
      <c r="K2188" s="24" t="str">
        <f aca="false">IF(OR(E2188="",E2188="!!!",F2188="NEW"),"",INDEX(J$1:J2187,SUMPRODUCT(MAX(ROW(E$1:E2187)*(E2188=E$1:E2187)))))</f>
        <v/>
      </c>
      <c r="L2188" s="31"/>
    </row>
    <row r="2189" customFormat="false" ht="15" hidden="false" customHeight="false" outlineLevel="0" collapsed="false">
      <c r="A2189" s="20" t="s">
        <v>1128</v>
      </c>
      <c r="E2189" s="23" t="str">
        <f aca="false">IF(D2189="?OLD","!!!","")</f>
        <v/>
      </c>
      <c r="F2189" s="25" t="str">
        <f aca="false">IF(OR(E2189="",E2189="!!!"),"",IF(NOT(ISNA(VLOOKUP(E2189,E$1:E2188,1,FALSE()))),"OLD",IF(AND(E2189&lt;&gt;"",E2189&lt;&gt;"!!!"),"NEW","")))</f>
        <v/>
      </c>
      <c r="G2189" s="26" t="str">
        <f aca="false">IF(OR(E2189="",E2189="!!!"),"",IF(OR(J2189=0,AND(J2189=1,K2189=1),AND(J2189=1,I2189="SBJ"),AND(J2189=1,I2189=0)),"?IN_FOCUS",IF(J2189&lt;=2,"?ACTIVATED",IF(J2189&lt;&gt;"","?FAMILIAR",IF(F2189="NEW",IF(ISNA(VLOOKUP(E2189,#REF!,1,FALSE())),"?TYPE_IDENTIFIABLE","?REFERENTIAL"),"_")))))</f>
        <v/>
      </c>
      <c r="H2189" s="27" t="str">
        <f aca="false">IF(J2189&lt;&gt;1,"",IF(I2189="SBJ","CB","?"))</f>
        <v/>
      </c>
      <c r="I2189" s="24" t="str">
        <f aca="false">IF(OR(E2189="",E2189="!!!",F2189="NEW"),"",INDEX(B22:B$2168,-1+SUMPRODUCT(MAX(ROW(E22:E$2168)*(E2189=E22:E$2168)))))</f>
        <v/>
      </c>
      <c r="J2189" s="24" t="str">
        <f aca="true">IF(OR(E2189="",E2189="!!!",F2189="NEW"),"",COUNTBLANK(OFFSET(A$1,,,SUMPRODUCT(MAX(ROW(E$2:E2189)*(E2189=E$2:E2189)))))-COUNTBLANK(OFFSET(A$1,,,SUMPRODUCT(MAX(ROW(E$1:E2188)*(E2=E$1:E2188))))))</f>
        <v/>
      </c>
      <c r="K2189" s="24" t="str">
        <f aca="false">IF(OR(E2189="",E2189="!!!",F2189="NEW"),"",INDEX(J$1:J2188,SUMPRODUCT(MAX(ROW(E$1:E2188)*(E2189=E$1:E2188)))))</f>
        <v/>
      </c>
      <c r="L2189" s="31"/>
    </row>
    <row r="2190" customFormat="false" ht="15" hidden="false" customHeight="false" outlineLevel="0" collapsed="false">
      <c r="A2190" s="20" t="s">
        <v>1872</v>
      </c>
      <c r="B2190" s="22" t="s">
        <v>1067</v>
      </c>
      <c r="C2190" s="22" t="s">
        <v>1160</v>
      </c>
      <c r="E2190" s="23" t="str">
        <f aca="false">IF(D2190="?OLD","!!!","")</f>
        <v/>
      </c>
      <c r="F2190" s="25" t="str">
        <f aca="false">IF(OR(E2190="",E2190="!!!"),"",IF(NOT(ISNA(VLOOKUP(E2190,E$1:E2189,1,FALSE()))),"OLD",IF(AND(E2190&lt;&gt;"",E2190&lt;&gt;"!!!"),"NEW","")))</f>
        <v/>
      </c>
      <c r="G2190" s="26" t="str">
        <f aca="false">IF(OR(E2190="",E2190="!!!"),"",IF(OR(J2190=0,AND(J2190=1,K2190=1),AND(J2190=1,I2190="SBJ"),AND(J2190=1,I2190=0)),"?IN_FOCUS",IF(J2190&lt;=2,"?ACTIVATED",IF(J2190&lt;&gt;"","?FAMILIAR",IF(F2190="NEW",IF(ISNA(VLOOKUP(E2190,#REF!,1,FALSE())),"?TYPE_IDENTIFIABLE","?REFERENTIAL"),"_")))))</f>
        <v/>
      </c>
      <c r="H2190" s="27" t="str">
        <f aca="false">IF(J2190&lt;&gt;1,"",IF(I2190="SBJ","CB","?"))</f>
        <v/>
      </c>
      <c r="I2190" s="24" t="str">
        <f aca="false">IF(OR(E2190="",E2190="!!!",F2190="NEW"),"",INDEX(B23:B$2168,-1+SUMPRODUCT(MAX(ROW(E23:E$2168)*(E2190=E23:E$2168)))))</f>
        <v/>
      </c>
      <c r="J2190" s="24" t="str">
        <f aca="true">IF(OR(E2190="",E2190="!!!",F2190="NEW"),"",COUNTBLANK(OFFSET(A$1,,,SUMPRODUCT(MAX(ROW(E$2:E2190)*(E2190=E$2:E2190)))))-COUNTBLANK(OFFSET(A$1,,,SUMPRODUCT(MAX(ROW(E$1:E2189)*(E2=E$1:E2189))))))</f>
        <v/>
      </c>
      <c r="K2190" s="24" t="str">
        <f aca="false">IF(OR(E2190="",E2190="!!!",F2190="NEW"),"",INDEX(J$1:J2189,SUMPRODUCT(MAX(ROW(E$1:E2189)*(E2190=E$1:E2189)))))</f>
        <v/>
      </c>
      <c r="L2190" s="31"/>
    </row>
    <row r="2191" customFormat="false" ht="15" hidden="false" customHeight="false" outlineLevel="0" collapsed="false">
      <c r="A2191" s="20" t="s">
        <v>1135</v>
      </c>
      <c r="E2191" s="23" t="str">
        <f aca="false">IF(D2191="?OLD","!!!","")</f>
        <v/>
      </c>
      <c r="F2191" s="25" t="str">
        <f aca="false">IF(OR(E2191="",E2191="!!!"),"",IF(NOT(ISNA(VLOOKUP(E2191,E$1:E2190,1,FALSE()))),"OLD",IF(AND(E2191&lt;&gt;"",E2191&lt;&gt;"!!!"),"NEW","")))</f>
        <v/>
      </c>
      <c r="G2191" s="26" t="str">
        <f aca="false">IF(OR(E2191="",E2191="!!!"),"",IF(OR(J2191=0,AND(J2191=1,K2191=1),AND(J2191=1,I2191="SBJ"),AND(J2191=1,I2191=0)),"?IN_FOCUS",IF(J2191&lt;=2,"?ACTIVATED",IF(J2191&lt;&gt;"","?FAMILIAR",IF(F2191="NEW",IF(ISNA(VLOOKUP(E2191,#REF!,1,FALSE())),"?TYPE_IDENTIFIABLE","?REFERENTIAL"),"_")))))</f>
        <v/>
      </c>
      <c r="H2191" s="27" t="str">
        <f aca="false">IF(J2191&lt;&gt;1,"",IF(I2191="SBJ","CB","?"))</f>
        <v/>
      </c>
      <c r="I2191" s="24" t="str">
        <f aca="false">IF(OR(E2191="",E2191="!!!",F2191="NEW"),"",INDEX(B24:B$2168,-1+SUMPRODUCT(MAX(ROW(E24:E$2168)*(E2191=E24:E$2168)))))</f>
        <v/>
      </c>
      <c r="J2191" s="24" t="str">
        <f aca="true">IF(OR(E2191="",E2191="!!!",F2191="NEW"),"",COUNTBLANK(OFFSET(A$1,,,SUMPRODUCT(MAX(ROW(E$2:E2191)*(E2191=E$2:E2191)))))-COUNTBLANK(OFFSET(A$1,,,SUMPRODUCT(MAX(ROW(E$1:E2190)*(E2=E$1:E2190))))))</f>
        <v/>
      </c>
      <c r="K2191" s="24" t="str">
        <f aca="false">IF(OR(E2191="",E2191="!!!",F2191="NEW"),"",INDEX(J$1:J2190,SUMPRODUCT(MAX(ROW(E$1:E2190)*(E2191=E$1:E2190)))))</f>
        <v/>
      </c>
      <c r="L2191" s="31"/>
    </row>
    <row r="2192" customFormat="false" ht="15" hidden="false" customHeight="false" outlineLevel="0" collapsed="false">
      <c r="A2192" s="20" t="s">
        <v>1662</v>
      </c>
      <c r="E2192" s="23" t="str">
        <f aca="false">IF(D2192="?OLD","!!!","")</f>
        <v/>
      </c>
      <c r="F2192" s="25" t="str">
        <f aca="false">IF(OR(E2192="",E2192="!!!"),"",IF(NOT(ISNA(VLOOKUP(E2192,E$1:E2191,1,FALSE()))),"OLD",IF(AND(E2192&lt;&gt;"",E2192&lt;&gt;"!!!"),"NEW","")))</f>
        <v/>
      </c>
      <c r="G2192" s="26" t="str">
        <f aca="false">IF(OR(E2192="",E2192="!!!"),"",IF(OR(J2192=0,AND(J2192=1,K2192=1),AND(J2192=1,I2192="SBJ"),AND(J2192=1,I2192=0)),"?IN_FOCUS",IF(J2192&lt;=2,"?ACTIVATED",IF(J2192&lt;&gt;"","?FAMILIAR",IF(F2192="NEW",IF(ISNA(VLOOKUP(E2192,#REF!,1,FALSE())),"?TYPE_IDENTIFIABLE","?REFERENTIAL"),"_")))))</f>
        <v/>
      </c>
      <c r="H2192" s="27" t="str">
        <f aca="false">IF(J2192&lt;&gt;1,"",IF(I2192="SBJ","CB","?"))</f>
        <v/>
      </c>
      <c r="I2192" s="24" t="str">
        <f aca="false">IF(OR(E2192="",E2192="!!!",F2192="NEW"),"",INDEX(B25:B$2168,-1+SUMPRODUCT(MAX(ROW(E25:E$2168)*(E2192=E25:E$2168)))))</f>
        <v/>
      </c>
      <c r="J2192" s="24" t="str">
        <f aca="true">IF(OR(E2192="",E2192="!!!",F2192="NEW"),"",COUNTBLANK(OFFSET(A$1,,,SUMPRODUCT(MAX(ROW(E$2:E2192)*(E2192=E$2:E2192)))))-COUNTBLANK(OFFSET(A$1,,,SUMPRODUCT(MAX(ROW(E$1:E2191)*(E2=E$1:E2191))))))</f>
        <v/>
      </c>
      <c r="K2192" s="24" t="str">
        <f aca="false">IF(OR(E2192="",E2192="!!!",F2192="NEW"),"",INDEX(J$1:J2191,SUMPRODUCT(MAX(ROW(E$1:E2191)*(E2192=E$1:E2191)))))</f>
        <v/>
      </c>
      <c r="L2192" s="31"/>
    </row>
    <row r="2193" customFormat="false" ht="15" hidden="false" customHeight="false" outlineLevel="0" collapsed="false">
      <c r="A2193" s="20" t="s">
        <v>1173</v>
      </c>
      <c r="E2193" s="23" t="str">
        <f aca="false">IF(D2193="?OLD","!!!","")</f>
        <v/>
      </c>
      <c r="F2193" s="25" t="str">
        <f aca="false">IF(OR(E2193="",E2193="!!!"),"",IF(NOT(ISNA(VLOOKUP(E2193,E$1:E2192,1,FALSE()))),"OLD",IF(AND(E2193&lt;&gt;"",E2193&lt;&gt;"!!!"),"NEW","")))</f>
        <v/>
      </c>
      <c r="G2193" s="26" t="str">
        <f aca="false">IF(OR(E2193="",E2193="!!!"),"",IF(OR(J2193=0,AND(J2193=1,K2193=1),AND(J2193=1,I2193="SBJ"),AND(J2193=1,I2193=0)),"?IN_FOCUS",IF(J2193&lt;=2,"?ACTIVATED",IF(J2193&lt;&gt;"","?FAMILIAR",IF(F2193="NEW",IF(ISNA(VLOOKUP(E2193,#REF!,1,FALSE())),"?TYPE_IDENTIFIABLE","?REFERENTIAL"),"_")))))</f>
        <v/>
      </c>
      <c r="H2193" s="27" t="str">
        <f aca="false">IF(J2193&lt;&gt;1,"",IF(I2193="SBJ","CB","?"))</f>
        <v/>
      </c>
      <c r="I2193" s="24" t="str">
        <f aca="false">IF(OR(E2193="",E2193="!!!",F2193="NEW"),"",INDEX(B26:B$2168,-1+SUMPRODUCT(MAX(ROW(E26:E$2168)*(E2193=E26:E$2168)))))</f>
        <v/>
      </c>
      <c r="J2193" s="24" t="str">
        <f aca="true">IF(OR(E2193="",E2193="!!!",F2193="NEW"),"",COUNTBLANK(OFFSET(A$1,,,SUMPRODUCT(MAX(ROW(E$2:E2193)*(E2193=E$2:E2193)))))-COUNTBLANK(OFFSET(A$1,,,SUMPRODUCT(MAX(ROW(E$1:E2192)*(E2=E$1:E2192))))))</f>
        <v/>
      </c>
      <c r="K2193" s="24" t="str">
        <f aca="false">IF(OR(E2193="",E2193="!!!",F2193="NEW"),"",INDEX(J$1:J2192,SUMPRODUCT(MAX(ROW(E$1:E2192)*(E2193=E$1:E2192)))))</f>
        <v/>
      </c>
      <c r="L2193" s="31"/>
    </row>
    <row r="2194" customFormat="false" ht="15" hidden="false" customHeight="false" outlineLevel="0" collapsed="false">
      <c r="A2194" s="20" t="s">
        <v>1873</v>
      </c>
      <c r="E2194" s="23" t="str">
        <f aca="false">IF(D2194="?OLD","!!!","")</f>
        <v/>
      </c>
      <c r="F2194" s="25" t="str">
        <f aca="false">IF(OR(E2194="",E2194="!!!"),"",IF(NOT(ISNA(VLOOKUP(E2194,E$1:E2193,1,FALSE()))),"OLD",IF(AND(E2194&lt;&gt;"",E2194&lt;&gt;"!!!"),"NEW","")))</f>
        <v/>
      </c>
      <c r="G2194" s="26" t="str">
        <f aca="false">IF(OR(E2194="",E2194="!!!"),"",IF(OR(J2194=0,AND(J2194=1,K2194=1),AND(J2194=1,I2194="SBJ"),AND(J2194=1,I2194=0)),"?IN_FOCUS",IF(J2194&lt;=2,"?ACTIVATED",IF(J2194&lt;&gt;"","?FAMILIAR",IF(F2194="NEW",IF(ISNA(VLOOKUP(E2194,#REF!,1,FALSE())),"?TYPE_IDENTIFIABLE","?REFERENTIAL"),"_")))))</f>
        <v/>
      </c>
      <c r="H2194" s="27" t="str">
        <f aca="false">IF(J2194&lt;&gt;1,"",IF(I2194="SBJ","CB","?"))</f>
        <v/>
      </c>
      <c r="I2194" s="24" t="str">
        <f aca="false">IF(OR(E2194="",E2194="!!!",F2194="NEW"),"",INDEX(B27:B$2168,-1+SUMPRODUCT(MAX(ROW(E27:E$2168)*(E2194=E27:E$2168)))))</f>
        <v/>
      </c>
      <c r="J2194" s="24" t="str">
        <f aca="true">IF(OR(E2194="",E2194="!!!",F2194="NEW"),"",COUNTBLANK(OFFSET(A$1,,,SUMPRODUCT(MAX(ROW(E$2:E2194)*(E2194=E$2:E2194)))))-COUNTBLANK(OFFSET(A$1,,,SUMPRODUCT(MAX(ROW(E$1:E2193)*(E2=E$1:E2193))))))</f>
        <v/>
      </c>
      <c r="K2194" s="24" t="str">
        <f aca="false">IF(OR(E2194="",E2194="!!!",F2194="NEW"),"",INDEX(J$1:J2193,SUMPRODUCT(MAX(ROW(E$1:E2193)*(E2194=E$1:E2193)))))</f>
        <v/>
      </c>
      <c r="L2194" s="31"/>
    </row>
    <row r="2195" customFormat="false" ht="15" hidden="false" customHeight="false" outlineLevel="0" collapsed="false">
      <c r="A2195" s="20" t="s">
        <v>1874</v>
      </c>
      <c r="B2195" s="22" t="s">
        <v>1073</v>
      </c>
      <c r="C2195" s="22" t="s">
        <v>1160</v>
      </c>
      <c r="E2195" s="23" t="str">
        <f aca="false">IF(D2195="?OLD","!!!","")</f>
        <v/>
      </c>
      <c r="F2195" s="25" t="str">
        <f aca="false">IF(OR(E2195="",E2195="!!!"),"",IF(NOT(ISNA(VLOOKUP(E2195,E$1:E2194,1,FALSE()))),"OLD",IF(AND(E2195&lt;&gt;"",E2195&lt;&gt;"!!!"),"NEW","")))</f>
        <v/>
      </c>
      <c r="G2195" s="26" t="str">
        <f aca="false">IF(OR(E2195="",E2195="!!!"),"",IF(OR(J2195=0,AND(J2195=1,K2195=1),AND(J2195=1,I2195="SBJ"),AND(J2195=1,I2195=0)),"?IN_FOCUS",IF(J2195&lt;=2,"?ACTIVATED",IF(J2195&lt;&gt;"","?FAMILIAR",IF(F2195="NEW",IF(ISNA(VLOOKUP(E2195,#REF!,1,FALSE())),"?TYPE_IDENTIFIABLE","?REFERENTIAL"),"_")))))</f>
        <v/>
      </c>
      <c r="H2195" s="27" t="str">
        <f aca="false">IF(J2195&lt;&gt;1,"",IF(I2195="SBJ","CB","?"))</f>
        <v/>
      </c>
      <c r="I2195" s="24" t="str">
        <f aca="false">IF(OR(E2195="",E2195="!!!",F2195="NEW"),"",INDEX(B28:B$2168,-1+SUMPRODUCT(MAX(ROW(E28:E$2168)*(E2195=E28:E$2168)))))</f>
        <v/>
      </c>
      <c r="J2195" s="24" t="str">
        <f aca="true">IF(OR(E2195="",E2195="!!!",F2195="NEW"),"",COUNTBLANK(OFFSET(A$1,,,SUMPRODUCT(MAX(ROW(E$2:E2195)*(E2195=E$2:E2195)))))-COUNTBLANK(OFFSET(A$1,,,SUMPRODUCT(MAX(ROW(E$1:E2194)*(E2=E$1:E2194))))))</f>
        <v/>
      </c>
      <c r="K2195" s="24" t="str">
        <f aca="false">IF(OR(E2195="",E2195="!!!",F2195="NEW"),"",INDEX(J$1:J2194,SUMPRODUCT(MAX(ROW(E$1:E2194)*(E2195=E$1:E2194)))))</f>
        <v/>
      </c>
      <c r="L2195" s="31"/>
    </row>
    <row r="2196" customFormat="false" ht="15" hidden="false" customHeight="false" outlineLevel="0" collapsed="false">
      <c r="A2196" s="20" t="s">
        <v>923</v>
      </c>
      <c r="E2196" s="23" t="str">
        <f aca="false">IF(D2196="?OLD","!!!","")</f>
        <v/>
      </c>
      <c r="F2196" s="25" t="str">
        <f aca="false">IF(OR(E2196="",E2196="!!!"),"",IF(NOT(ISNA(VLOOKUP(E2196,E$1:E2195,1,FALSE()))),"OLD",IF(AND(E2196&lt;&gt;"",E2196&lt;&gt;"!!!"),"NEW","")))</f>
        <v/>
      </c>
      <c r="G2196" s="26" t="str">
        <f aca="false">IF(OR(E2196="",E2196="!!!"),"",IF(OR(J2196=0,AND(J2196=1,K2196=1),AND(J2196=1,I2196="SBJ"),AND(J2196=1,I2196=0)),"?IN_FOCUS",IF(J2196&lt;=2,"?ACTIVATED",IF(J2196&lt;&gt;"","?FAMILIAR",IF(F2196="NEW",IF(ISNA(VLOOKUP(E2196,#REF!,1,FALSE())),"?TYPE_IDENTIFIABLE","?REFERENTIAL"),"_")))))</f>
        <v/>
      </c>
      <c r="H2196" s="27" t="str">
        <f aca="false">IF(J2196&lt;&gt;1,"",IF(I2196="SBJ","CB","?"))</f>
        <v/>
      </c>
      <c r="I2196" s="24" t="str">
        <f aca="false">IF(OR(E2196="",E2196="!!!",F2196="NEW"),"",INDEX(B29:B$2168,-1+SUMPRODUCT(MAX(ROW(E29:E$2168)*(E2196=E29:E$2168)))))</f>
        <v/>
      </c>
      <c r="J2196" s="24" t="str">
        <f aca="true">IF(OR(E2196="",E2196="!!!",F2196="NEW"),"",COUNTBLANK(OFFSET(A$1,,,SUMPRODUCT(MAX(ROW(E$2:E2196)*(E2196=E$2:E2196)))))-COUNTBLANK(OFFSET(A$1,,,SUMPRODUCT(MAX(ROW(E$1:E2195)*(E2=E$1:E2195))))))</f>
        <v/>
      </c>
      <c r="K2196" s="24" t="str">
        <f aca="false">IF(OR(E2196="",E2196="!!!",F2196="NEW"),"",INDEX(J$1:J2195,SUMPRODUCT(MAX(ROW(E$1:E2195)*(E2196=E$1:E2195)))))</f>
        <v/>
      </c>
      <c r="L2196" s="31"/>
    </row>
    <row r="2197" customFormat="false" ht="15" hidden="false" customHeight="false" outlineLevel="0" collapsed="false">
      <c r="A2197" s="20"/>
    </row>
    <row r="2198" customFormat="false" ht="15" hidden="false" customHeight="false" outlineLevel="0" collapsed="false">
      <c r="A2198" s="20" t="s">
        <v>1875</v>
      </c>
    </row>
    <row r="2199" customFormat="false" ht="15" hidden="false" customHeight="false" outlineLevel="0" collapsed="false">
      <c r="A2199" s="20" t="s">
        <v>1876</v>
      </c>
      <c r="E2199" s="23" t="str">
        <f aca="false">IF(D2199="?OLD","!!!","")</f>
        <v/>
      </c>
      <c r="F2199" s="25" t="str">
        <f aca="false">IF(OR(E2199="",E2199="!!!"),"",IF(NOT(ISNA(VLOOKUP(E2199,E$1:E2198,1,FALSE()))),"OLD",IF(AND(E2199&lt;&gt;"",E2199&lt;&gt;"!!!"),"NEW","")))</f>
        <v/>
      </c>
      <c r="G2199" s="26" t="str">
        <f aca="false">IF(OR(E2199="",E2199="!!!"),"",IF(OR(J2199=0,AND(J2199=1,K2199=1),AND(J2199=1,I2199="SBJ"),AND(J2199=1,I2199=0)),"?IN_FOCUS",IF(J2199&lt;=2,"?ACTIVATED",IF(J2199&lt;&gt;"","?FAMILIAR",IF(F2199="NEW",IF(ISNA(VLOOKUP(E2199,#REF!,1,FALSE())),"?TYPE_IDENTIFIABLE","?REFERENTIAL"),"_")))))</f>
        <v/>
      </c>
      <c r="H2199" s="27" t="str">
        <f aca="false">IF(J2199&lt;&gt;1,"",IF(I2199="SBJ","CB","?"))</f>
        <v/>
      </c>
      <c r="I2199" s="24" t="str">
        <f aca="false">IF(OR(E2199="",E2199="!!!",F2199="NEW"),"",INDEX(B2:B$2198,-1+SUMPRODUCT(MAX(ROW(E2:E$2198)*(E2199=E2:E$2198)))))</f>
        <v/>
      </c>
      <c r="J2199" s="24" t="str">
        <f aca="true">IF(OR(E2199="",E2199="!!!",F2199="NEW"),"",COUNTBLANK(OFFSET(A$1,,,SUMPRODUCT(MAX(ROW(E$2:E2199)*(E2199=E$2:E2199)))))-COUNTBLANK(OFFSET(A$1,,,SUMPRODUCT(MAX(ROW(E$1:E2198)*(E2=E$1:E2198))))))</f>
        <v/>
      </c>
      <c r="K2199" s="24" t="str">
        <f aca="false">IF(OR(E2199="",E2199="!!!",F2199="NEW"),"",INDEX(J$1:J2198,SUMPRODUCT(MAX(ROW(E$1:E2198)*(E2199=E$1:E2198)))))</f>
        <v/>
      </c>
      <c r="L2199" s="31"/>
    </row>
    <row r="2200" customFormat="false" ht="15" hidden="false" customHeight="false" outlineLevel="0" collapsed="false">
      <c r="A2200" s="20" t="s">
        <v>1173</v>
      </c>
      <c r="E2200" s="23" t="str">
        <f aca="false">IF(D2200="?OLD","!!!","")</f>
        <v/>
      </c>
      <c r="F2200" s="25" t="str">
        <f aca="false">IF(OR(E2200="",E2200="!!!"),"",IF(NOT(ISNA(VLOOKUP(E2200,E$1:E2199,1,FALSE()))),"OLD",IF(AND(E2200&lt;&gt;"",E2200&lt;&gt;"!!!"),"NEW","")))</f>
        <v/>
      </c>
      <c r="G2200" s="26" t="str">
        <f aca="false">IF(OR(E2200="",E2200="!!!"),"",IF(OR(J2200=0,AND(J2200=1,K2200=1),AND(J2200=1,I2200="SBJ"),AND(J2200=1,I2200=0)),"?IN_FOCUS",IF(J2200&lt;=2,"?ACTIVATED",IF(J2200&lt;&gt;"","?FAMILIAR",IF(F2200="NEW",IF(ISNA(VLOOKUP(E2200,#REF!,1,FALSE())),"?TYPE_IDENTIFIABLE","?REFERENTIAL"),"_")))))</f>
        <v/>
      </c>
      <c r="H2200" s="27" t="str">
        <f aca="false">IF(J2200&lt;&gt;1,"",IF(I2200="SBJ","CB","?"))</f>
        <v/>
      </c>
      <c r="I2200" s="24" t="str">
        <f aca="false">IF(OR(E2200="",E2200="!!!",F2200="NEW"),"",INDEX(B3:B$2198,-1+SUMPRODUCT(MAX(ROW(E3:E$2198)*(E2200=E3:E$2198)))))</f>
        <v/>
      </c>
      <c r="J2200" s="24" t="str">
        <f aca="true">IF(OR(E2200="",E2200="!!!",F2200="NEW"),"",COUNTBLANK(OFFSET(A$1,,,SUMPRODUCT(MAX(ROW(E$2:E2200)*(E2200=E$2:E2200)))))-COUNTBLANK(OFFSET(A$1,,,SUMPRODUCT(MAX(ROW(E$1:E2199)*(E2=E$1:E2199))))))</f>
        <v/>
      </c>
      <c r="K2200" s="24" t="str">
        <f aca="false">IF(OR(E2200="",E2200="!!!",F2200="NEW"),"",INDEX(J$1:J2199,SUMPRODUCT(MAX(ROW(E$1:E2199)*(E2200=E$1:E2199)))))</f>
        <v/>
      </c>
      <c r="L2200" s="31"/>
    </row>
    <row r="2201" customFormat="false" ht="15" hidden="false" customHeight="false" outlineLevel="0" collapsed="false">
      <c r="A2201" s="20" t="s">
        <v>1109</v>
      </c>
      <c r="E2201" s="23" t="str">
        <f aca="false">IF(D2201="?OLD","!!!","")</f>
        <v/>
      </c>
      <c r="F2201" s="25" t="str">
        <f aca="false">IF(OR(E2201="",E2201="!!!"),"",IF(NOT(ISNA(VLOOKUP(E2201,E$1:E2200,1,FALSE()))),"OLD",IF(AND(E2201&lt;&gt;"",E2201&lt;&gt;"!!!"),"NEW","")))</f>
        <v/>
      </c>
      <c r="G2201" s="26" t="str">
        <f aca="false">IF(OR(E2201="",E2201="!!!"),"",IF(OR(J2201=0,AND(J2201=1,K2201=1),AND(J2201=1,I2201="SBJ"),AND(J2201=1,I2201=0)),"?IN_FOCUS",IF(J2201&lt;=2,"?ACTIVATED",IF(J2201&lt;&gt;"","?FAMILIAR",IF(F2201="NEW",IF(ISNA(VLOOKUP(E2201,#REF!,1,FALSE())),"?TYPE_IDENTIFIABLE","?REFERENTIAL"),"_")))))</f>
        <v/>
      </c>
      <c r="H2201" s="27" t="str">
        <f aca="false">IF(J2201&lt;&gt;1,"",IF(I2201="SBJ","CB","?"))</f>
        <v/>
      </c>
      <c r="I2201" s="24" t="str">
        <f aca="false">IF(OR(E2201="",E2201="!!!",F2201="NEW"),"",INDEX(B4:B$2198,-1+SUMPRODUCT(MAX(ROW(E4:E$2198)*(E2201=E4:E$2198)))))</f>
        <v/>
      </c>
      <c r="J2201" s="24" t="str">
        <f aca="true">IF(OR(E2201="",E2201="!!!",F2201="NEW"),"",COUNTBLANK(OFFSET(A$1,,,SUMPRODUCT(MAX(ROW(E$2:E2201)*(E2201=E$2:E2201)))))-COUNTBLANK(OFFSET(A$1,,,SUMPRODUCT(MAX(ROW(E$1:E2200)*(E2=E$1:E2200))))))</f>
        <v/>
      </c>
      <c r="K2201" s="24" t="str">
        <f aca="false">IF(OR(E2201="",E2201="!!!",F2201="NEW"),"",INDEX(J$1:J2200,SUMPRODUCT(MAX(ROW(E$1:E2200)*(E2201=E$1:E2200)))))</f>
        <v/>
      </c>
      <c r="L2201" s="31"/>
    </row>
    <row r="2202" customFormat="false" ht="15" hidden="false" customHeight="false" outlineLevel="0" collapsed="false">
      <c r="A2202" s="20" t="s">
        <v>1877</v>
      </c>
      <c r="E2202" s="23" t="str">
        <f aca="false">IF(D2202="?OLD","!!!","")</f>
        <v/>
      </c>
      <c r="F2202" s="25" t="str">
        <f aca="false">IF(OR(E2202="",E2202="!!!"),"",IF(NOT(ISNA(VLOOKUP(E2202,E$1:E2201,1,FALSE()))),"OLD",IF(AND(E2202&lt;&gt;"",E2202&lt;&gt;"!!!"),"NEW","")))</f>
        <v/>
      </c>
      <c r="G2202" s="26" t="str">
        <f aca="false">IF(OR(E2202="",E2202="!!!"),"",IF(OR(J2202=0,AND(J2202=1,K2202=1),AND(J2202=1,I2202="SBJ"),AND(J2202=1,I2202=0)),"?IN_FOCUS",IF(J2202&lt;=2,"?ACTIVATED",IF(J2202&lt;&gt;"","?FAMILIAR",IF(F2202="NEW",IF(ISNA(VLOOKUP(E2202,#REF!,1,FALSE())),"?TYPE_IDENTIFIABLE","?REFERENTIAL"),"_")))))</f>
        <v/>
      </c>
      <c r="H2202" s="27" t="str">
        <f aca="false">IF(J2202&lt;&gt;1,"",IF(I2202="SBJ","CB","?"))</f>
        <v/>
      </c>
      <c r="I2202" s="24" t="str">
        <f aca="false">IF(OR(E2202="",E2202="!!!",F2202="NEW"),"",INDEX(B5:B$2198,-1+SUMPRODUCT(MAX(ROW(E5:E$2198)*(E2202=E5:E$2198)))))</f>
        <v/>
      </c>
      <c r="J2202" s="24" t="str">
        <f aca="true">IF(OR(E2202="",E2202="!!!",F2202="NEW"),"",COUNTBLANK(OFFSET(A$1,,,SUMPRODUCT(MAX(ROW(E$2:E2202)*(E2202=E$2:E2202)))))-COUNTBLANK(OFFSET(A$1,,,SUMPRODUCT(MAX(ROW(E$1:E2201)*(E2=E$1:E2201))))))</f>
        <v/>
      </c>
      <c r="K2202" s="24" t="str">
        <f aca="false">IF(OR(E2202="",E2202="!!!",F2202="NEW"),"",INDEX(J$1:J2201,SUMPRODUCT(MAX(ROW(E$1:E2201)*(E2202=E$1:E2201)))))</f>
        <v/>
      </c>
      <c r="L2202" s="31"/>
    </row>
    <row r="2203" customFormat="false" ht="15" hidden="false" customHeight="false" outlineLevel="0" collapsed="false">
      <c r="A2203" s="20" t="s">
        <v>1878</v>
      </c>
      <c r="B2203" s="22" t="s">
        <v>1058</v>
      </c>
      <c r="C2203" s="22" t="s">
        <v>1150</v>
      </c>
      <c r="D2203" s="22" t="s">
        <v>1060</v>
      </c>
      <c r="E2203" s="23" t="str">
        <f aca="false">IF(D2203="?OLD","!!!","")</f>
        <v>!!!</v>
      </c>
      <c r="F2203" s="25" t="str">
        <f aca="false">IF(OR(E2203="",E2203="!!!"),"",IF(NOT(ISNA(VLOOKUP(E2203,E$1:E2202,1,FALSE()))),"OLD",IF(AND(E2203&lt;&gt;"",E2203&lt;&gt;"!!!"),"NEW","")))</f>
        <v/>
      </c>
      <c r="G2203" s="26" t="str">
        <f aca="false">IF(OR(E2203="",E2203="!!!"),"",IF(OR(J2203=0,AND(J2203=1,K2203=1),AND(J2203=1,I2203="SBJ"),AND(J2203=1,I2203=0)),"?IN_FOCUS",IF(J2203&lt;=2,"?ACTIVATED",IF(J2203&lt;&gt;"","?FAMILIAR",IF(F2203="NEW",IF(ISNA(VLOOKUP(E2203,#REF!,1,FALSE())),"?TYPE_IDENTIFIABLE","?REFERENTIAL"),"_")))))</f>
        <v/>
      </c>
      <c r="H2203" s="27" t="str">
        <f aca="false">IF(J2203&lt;&gt;1,"",IF(I2203="SBJ","CB","?"))</f>
        <v/>
      </c>
      <c r="I2203" s="24" t="str">
        <f aca="false">IF(OR(E2203="",E2203="!!!",F2203="NEW"),"",INDEX(B6:B$2198,-1+SUMPRODUCT(MAX(ROW(E6:E$2198)*(E2203=E6:E$2198)))))</f>
        <v/>
      </c>
      <c r="J2203" s="24" t="str">
        <f aca="true">IF(OR(E2203="",E2203="!!!",F2203="NEW"),"",COUNTBLANK(OFFSET(A$1,,,SUMPRODUCT(MAX(ROW(E$2:E2203)*(E2203=E$2:E2203)))))-COUNTBLANK(OFFSET(A$1,,,SUMPRODUCT(MAX(ROW(E$1:E2202)*(E2=E$1:E2202))))))</f>
        <v/>
      </c>
      <c r="K2203" s="24" t="str">
        <f aca="false">IF(OR(E2203="",E2203="!!!",F2203="NEW"),"",INDEX(J$1:J2202,SUMPRODUCT(MAX(ROW(E$1:E2202)*(E2203=E$1:E2202)))))</f>
        <v/>
      </c>
      <c r="L2203" s="31"/>
    </row>
    <row r="2204" customFormat="false" ht="15" hidden="false" customHeight="false" outlineLevel="0" collapsed="false">
      <c r="A2204" s="20" t="s">
        <v>1064</v>
      </c>
      <c r="E2204" s="23" t="str">
        <f aca="false">IF(D2204="?OLD","!!!","")</f>
        <v/>
      </c>
      <c r="F2204" s="25" t="str">
        <f aca="false">IF(OR(E2204="",E2204="!!!"),"",IF(NOT(ISNA(VLOOKUP(E2204,E$1:E2203,1,FALSE()))),"OLD",IF(AND(E2204&lt;&gt;"",E2204&lt;&gt;"!!!"),"NEW","")))</f>
        <v/>
      </c>
      <c r="G2204" s="26" t="str">
        <f aca="false">IF(OR(E2204="",E2204="!!!"),"",IF(OR(J2204=0,AND(J2204=1,K2204=1),AND(J2204=1,I2204="SBJ"),AND(J2204=1,I2204=0)),"?IN_FOCUS",IF(J2204&lt;=2,"?ACTIVATED",IF(J2204&lt;&gt;"","?FAMILIAR",IF(F2204="NEW",IF(ISNA(VLOOKUP(E2204,#REF!,1,FALSE())),"?TYPE_IDENTIFIABLE","?REFERENTIAL"),"_")))))</f>
        <v/>
      </c>
      <c r="H2204" s="27" t="str">
        <f aca="false">IF(J2204&lt;&gt;1,"",IF(I2204="SBJ","CB","?"))</f>
        <v/>
      </c>
      <c r="I2204" s="24" t="str">
        <f aca="false">IF(OR(E2204="",E2204="!!!",F2204="NEW"),"",INDEX(B7:B$2198,-1+SUMPRODUCT(MAX(ROW(E7:E$2198)*(E2204=E7:E$2198)))))</f>
        <v/>
      </c>
      <c r="J2204" s="24" t="str">
        <f aca="true">IF(OR(E2204="",E2204="!!!",F2204="NEW"),"",COUNTBLANK(OFFSET(A$1,,,SUMPRODUCT(MAX(ROW(E$2:E2204)*(E2204=E$2:E2204)))))-COUNTBLANK(OFFSET(A$1,,,SUMPRODUCT(MAX(ROW(E$1:E2203)*(E2=E$1:E2203))))))</f>
        <v/>
      </c>
      <c r="K2204" s="24" t="str">
        <f aca="false">IF(OR(E2204="",E2204="!!!",F2204="NEW"),"",INDEX(J$1:J2203,SUMPRODUCT(MAX(ROW(E$1:E2203)*(E2204=E$1:E2203)))))</f>
        <v/>
      </c>
      <c r="L2204" s="31"/>
    </row>
    <row r="2205" customFormat="false" ht="15" hidden="false" customHeight="false" outlineLevel="0" collapsed="false">
      <c r="A2205" s="20" t="s">
        <v>1085</v>
      </c>
      <c r="E2205" s="23" t="str">
        <f aca="false">IF(D2205="?OLD","!!!","")</f>
        <v/>
      </c>
      <c r="F2205" s="25" t="str">
        <f aca="false">IF(OR(E2205="",E2205="!!!"),"",IF(NOT(ISNA(VLOOKUP(E2205,E$1:E2204,1,FALSE()))),"OLD",IF(AND(E2205&lt;&gt;"",E2205&lt;&gt;"!!!"),"NEW","")))</f>
        <v/>
      </c>
      <c r="G2205" s="26" t="str">
        <f aca="false">IF(OR(E2205="",E2205="!!!"),"",IF(OR(J2205=0,AND(J2205=1,K2205=1),AND(J2205=1,I2205="SBJ"),AND(J2205=1,I2205=0)),"?IN_FOCUS",IF(J2205&lt;=2,"?ACTIVATED",IF(J2205&lt;&gt;"","?FAMILIAR",IF(F2205="NEW",IF(ISNA(VLOOKUP(E2205,#REF!,1,FALSE())),"?TYPE_IDENTIFIABLE","?REFERENTIAL"),"_")))))</f>
        <v/>
      </c>
      <c r="H2205" s="27" t="str">
        <f aca="false">IF(J2205&lt;&gt;1,"",IF(I2205="SBJ","CB","?"))</f>
        <v/>
      </c>
      <c r="I2205" s="24" t="str">
        <f aca="false">IF(OR(E2205="",E2205="!!!",F2205="NEW"),"",INDEX(B8:B$2198,-1+SUMPRODUCT(MAX(ROW(E8:E$2198)*(E2205=E8:E$2198)))))</f>
        <v/>
      </c>
      <c r="J2205" s="24" t="str">
        <f aca="true">IF(OR(E2205="",E2205="!!!",F2205="NEW"),"",COUNTBLANK(OFFSET(A$1,,,SUMPRODUCT(MAX(ROW(E$2:E2205)*(E2205=E$2:E2205)))))-COUNTBLANK(OFFSET(A$1,,,SUMPRODUCT(MAX(ROW(E$1:E2204)*(E2=E$1:E2204))))))</f>
        <v/>
      </c>
      <c r="K2205" s="24" t="str">
        <f aca="false">IF(OR(E2205="",E2205="!!!",F2205="NEW"),"",INDEX(J$1:J2204,SUMPRODUCT(MAX(ROW(E$1:E2204)*(E2205=E$1:E2204)))))</f>
        <v/>
      </c>
      <c r="L2205" s="31"/>
    </row>
    <row r="2206" customFormat="false" ht="15" hidden="false" customHeight="false" outlineLevel="0" collapsed="false">
      <c r="A2206" s="20" t="s">
        <v>1879</v>
      </c>
      <c r="E2206" s="23" t="str">
        <f aca="false">IF(D2206="?OLD","!!!","")</f>
        <v/>
      </c>
      <c r="F2206" s="25" t="str">
        <f aca="false">IF(OR(E2206="",E2206="!!!"),"",IF(NOT(ISNA(VLOOKUP(E2206,E$1:E2205,1,FALSE()))),"OLD",IF(AND(E2206&lt;&gt;"",E2206&lt;&gt;"!!!"),"NEW","")))</f>
        <v/>
      </c>
      <c r="G2206" s="26" t="str">
        <f aca="false">IF(OR(E2206="",E2206="!!!"),"",IF(OR(J2206=0,AND(J2206=1,K2206=1),AND(J2206=1,I2206="SBJ"),AND(J2206=1,I2206=0)),"?IN_FOCUS",IF(J2206&lt;=2,"?ACTIVATED",IF(J2206&lt;&gt;"","?FAMILIAR",IF(F2206="NEW",IF(ISNA(VLOOKUP(E2206,#REF!,1,FALSE())),"?TYPE_IDENTIFIABLE","?REFERENTIAL"),"_")))))</f>
        <v/>
      </c>
      <c r="H2206" s="27" t="str">
        <f aca="false">IF(J2206&lt;&gt;1,"",IF(I2206="SBJ","CB","?"))</f>
        <v/>
      </c>
      <c r="I2206" s="24" t="str">
        <f aca="false">IF(OR(E2206="",E2206="!!!",F2206="NEW"),"",INDEX(B9:B$2198,-1+SUMPRODUCT(MAX(ROW(E9:E$2198)*(E2206=E9:E$2198)))))</f>
        <v/>
      </c>
      <c r="J2206" s="24" t="str">
        <f aca="true">IF(OR(E2206="",E2206="!!!",F2206="NEW"),"",COUNTBLANK(OFFSET(A$1,,,SUMPRODUCT(MAX(ROW(E$2:E2206)*(E2206=E$2:E2206)))))-COUNTBLANK(OFFSET(A$1,,,SUMPRODUCT(MAX(ROW(E$1:E2205)*(E2=E$1:E2205))))))</f>
        <v/>
      </c>
      <c r="K2206" s="24" t="str">
        <f aca="false">IF(OR(E2206="",E2206="!!!",F2206="NEW"),"",INDEX(J$1:J2205,SUMPRODUCT(MAX(ROW(E$1:E2205)*(E2206=E$1:E2205)))))</f>
        <v/>
      </c>
      <c r="L2206" s="31"/>
    </row>
    <row r="2207" customFormat="false" ht="15" hidden="false" customHeight="false" outlineLevel="0" collapsed="false">
      <c r="A2207" s="20" t="s">
        <v>1880</v>
      </c>
      <c r="B2207" s="22" t="s">
        <v>1073</v>
      </c>
      <c r="C2207" s="22" t="s">
        <v>1087</v>
      </c>
      <c r="E2207" s="23" t="str">
        <f aca="false">IF(D2207="?OLD","!!!","")</f>
        <v/>
      </c>
      <c r="F2207" s="25" t="str">
        <f aca="false">IF(OR(E2207="",E2207="!!!"),"",IF(NOT(ISNA(VLOOKUP(E2207,E$1:E2206,1,FALSE()))),"OLD",IF(AND(E2207&lt;&gt;"",E2207&lt;&gt;"!!!"),"NEW","")))</f>
        <v/>
      </c>
      <c r="G2207" s="26" t="str">
        <f aca="false">IF(OR(E2207="",E2207="!!!"),"",IF(OR(J2207=0,AND(J2207=1,K2207=1),AND(J2207=1,I2207="SBJ"),AND(J2207=1,I2207=0)),"?IN_FOCUS",IF(J2207&lt;=2,"?ACTIVATED",IF(J2207&lt;&gt;"","?FAMILIAR",IF(F2207="NEW",IF(ISNA(VLOOKUP(E2207,#REF!,1,FALSE())),"?TYPE_IDENTIFIABLE","?REFERENTIAL"),"_")))))</f>
        <v/>
      </c>
      <c r="H2207" s="27" t="str">
        <f aca="false">IF(J2207&lt;&gt;1,"",IF(I2207="SBJ","CB","?"))</f>
        <v/>
      </c>
      <c r="I2207" s="24" t="str">
        <f aca="false">IF(OR(E2207="",E2207="!!!",F2207="NEW"),"",INDEX(B10:B$2198,-1+SUMPRODUCT(MAX(ROW(E10:E$2198)*(E2207=E10:E$2198)))))</f>
        <v/>
      </c>
      <c r="J2207" s="24" t="str">
        <f aca="true">IF(OR(E2207="",E2207="!!!",F2207="NEW"),"",COUNTBLANK(OFFSET(A$1,,,SUMPRODUCT(MAX(ROW(E$2:E2207)*(E2207=E$2:E2207)))))-COUNTBLANK(OFFSET(A$1,,,SUMPRODUCT(MAX(ROW(E$1:E2206)*(E2=E$1:E2206))))))</f>
        <v/>
      </c>
      <c r="K2207" s="24" t="str">
        <f aca="false">IF(OR(E2207="",E2207="!!!",F2207="NEW"),"",INDEX(J$1:J2206,SUMPRODUCT(MAX(ROW(E$1:E2206)*(E2207=E$1:E2206)))))</f>
        <v/>
      </c>
      <c r="L2207" s="31"/>
    </row>
    <row r="2208" customFormat="false" ht="15" hidden="false" customHeight="false" outlineLevel="0" collapsed="false">
      <c r="A2208" s="20" t="s">
        <v>1198</v>
      </c>
      <c r="E2208" s="23" t="str">
        <f aca="false">IF(D2208="?OLD","!!!","")</f>
        <v/>
      </c>
      <c r="F2208" s="25" t="str">
        <f aca="false">IF(OR(E2208="",E2208="!!!"),"",IF(NOT(ISNA(VLOOKUP(E2208,E$1:E2207,1,FALSE()))),"OLD",IF(AND(E2208&lt;&gt;"",E2208&lt;&gt;"!!!"),"NEW","")))</f>
        <v/>
      </c>
      <c r="G2208" s="26" t="str">
        <f aca="false">IF(OR(E2208="",E2208="!!!"),"",IF(OR(J2208=0,AND(J2208=1,K2208=1),AND(J2208=1,I2208="SBJ"),AND(J2208=1,I2208=0)),"?IN_FOCUS",IF(J2208&lt;=2,"?ACTIVATED",IF(J2208&lt;&gt;"","?FAMILIAR",IF(F2208="NEW",IF(ISNA(VLOOKUP(E2208,#REF!,1,FALSE())),"?TYPE_IDENTIFIABLE","?REFERENTIAL"),"_")))))</f>
        <v/>
      </c>
      <c r="H2208" s="27" t="str">
        <f aca="false">IF(J2208&lt;&gt;1,"",IF(I2208="SBJ","CB","?"))</f>
        <v/>
      </c>
      <c r="I2208" s="24" t="str">
        <f aca="false">IF(OR(E2208="",E2208="!!!",F2208="NEW"),"",INDEX(B11:B$2198,-1+SUMPRODUCT(MAX(ROW(E11:E$2198)*(E2208=E11:E$2198)))))</f>
        <v/>
      </c>
      <c r="J2208" s="24" t="str">
        <f aca="true">IF(OR(E2208="",E2208="!!!",F2208="NEW"),"",COUNTBLANK(OFFSET(A$1,,,SUMPRODUCT(MAX(ROW(E$2:E2208)*(E2208=E$2:E2208)))))-COUNTBLANK(OFFSET(A$1,,,SUMPRODUCT(MAX(ROW(E$1:E2207)*(E2=E$1:E2207))))))</f>
        <v/>
      </c>
      <c r="K2208" s="24" t="str">
        <f aca="false">IF(OR(E2208="",E2208="!!!",F2208="NEW"),"",INDEX(J$1:J2207,SUMPRODUCT(MAX(ROW(E$1:E2207)*(E2208=E$1:E2207)))))</f>
        <v/>
      </c>
      <c r="L2208" s="31"/>
    </row>
    <row r="2209" customFormat="false" ht="15" hidden="false" customHeight="false" outlineLevel="0" collapsed="false">
      <c r="A2209" s="20" t="s">
        <v>1881</v>
      </c>
      <c r="B2209" s="22" t="s">
        <v>1058</v>
      </c>
      <c r="C2209" s="22" t="s">
        <v>1196</v>
      </c>
      <c r="D2209" s="22" t="s">
        <v>1060</v>
      </c>
      <c r="E2209" s="23" t="str">
        <f aca="false">IF(D2209="?OLD","!!!","")</f>
        <v>!!!</v>
      </c>
      <c r="F2209" s="25" t="str">
        <f aca="false">IF(OR(E2209="",E2209="!!!"),"",IF(NOT(ISNA(VLOOKUP(E2209,E$1:E2208,1,FALSE()))),"OLD",IF(AND(E2209&lt;&gt;"",E2209&lt;&gt;"!!!"),"NEW","")))</f>
        <v/>
      </c>
      <c r="G2209" s="26" t="str">
        <f aca="false">IF(OR(E2209="",E2209="!!!"),"",IF(OR(J2209=0,AND(J2209=1,K2209=1),AND(J2209=1,I2209="SBJ"),AND(J2209=1,I2209=0)),"?IN_FOCUS",IF(J2209&lt;=2,"?ACTIVATED",IF(J2209&lt;&gt;"","?FAMILIAR",IF(F2209="NEW",IF(ISNA(VLOOKUP(E2209,#REF!,1,FALSE())),"?TYPE_IDENTIFIABLE","?REFERENTIAL"),"_")))))</f>
        <v/>
      </c>
      <c r="H2209" s="27" t="str">
        <f aca="false">IF(J2209&lt;&gt;1,"",IF(I2209="SBJ","CB","?"))</f>
        <v/>
      </c>
      <c r="I2209" s="24" t="str">
        <f aca="false">IF(OR(E2209="",E2209="!!!",F2209="NEW"),"",INDEX(B12:B$2198,-1+SUMPRODUCT(MAX(ROW(E12:E$2198)*(E2209=E12:E$2198)))))</f>
        <v/>
      </c>
      <c r="J2209" s="24" t="str">
        <f aca="true">IF(OR(E2209="",E2209="!!!",F2209="NEW"),"",COUNTBLANK(OFFSET(A$1,,,SUMPRODUCT(MAX(ROW(E$2:E2209)*(E2209=E$2:E2209)))))-COUNTBLANK(OFFSET(A$1,,,SUMPRODUCT(MAX(ROW(E$1:E2208)*(E2=E$1:E2208))))))</f>
        <v/>
      </c>
      <c r="K2209" s="24" t="str">
        <f aca="false">IF(OR(E2209="",E2209="!!!",F2209="NEW"),"",INDEX(J$1:J2208,SUMPRODUCT(MAX(ROW(E$1:E2208)*(E2209=E$1:E2208)))))</f>
        <v/>
      </c>
      <c r="L2209" s="31"/>
    </row>
    <row r="2210" customFormat="false" ht="15" hidden="false" customHeight="false" outlineLevel="0" collapsed="false">
      <c r="A2210" s="20" t="s">
        <v>967</v>
      </c>
      <c r="E2210" s="23" t="str">
        <f aca="false">IF(D2210="?OLD","!!!","")</f>
        <v/>
      </c>
      <c r="F2210" s="25" t="str">
        <f aca="false">IF(OR(E2210="",E2210="!!!"),"",IF(NOT(ISNA(VLOOKUP(E2210,E$1:E2209,1,FALSE()))),"OLD",IF(AND(E2210&lt;&gt;"",E2210&lt;&gt;"!!!"),"NEW","")))</f>
        <v/>
      </c>
      <c r="G2210" s="26" t="str">
        <f aca="false">IF(OR(E2210="",E2210="!!!"),"",IF(OR(J2210=0,AND(J2210=1,K2210=1),AND(J2210=1,I2210="SBJ"),AND(J2210=1,I2210=0)),"?IN_FOCUS",IF(J2210&lt;=2,"?ACTIVATED",IF(J2210&lt;&gt;"","?FAMILIAR",IF(F2210="NEW",IF(ISNA(VLOOKUP(E2210,#REF!,1,FALSE())),"?TYPE_IDENTIFIABLE","?REFERENTIAL"),"_")))))</f>
        <v/>
      </c>
      <c r="H2210" s="27" t="str">
        <f aca="false">IF(J2210&lt;&gt;1,"",IF(I2210="SBJ","CB","?"))</f>
        <v/>
      </c>
      <c r="I2210" s="24" t="str">
        <f aca="false">IF(OR(E2210="",E2210="!!!",F2210="NEW"),"",INDEX(B13:B$2198,-1+SUMPRODUCT(MAX(ROW(E13:E$2198)*(E2210=E13:E$2198)))))</f>
        <v/>
      </c>
      <c r="J2210" s="24" t="str">
        <f aca="true">IF(OR(E2210="",E2210="!!!",F2210="NEW"),"",COUNTBLANK(OFFSET(A$1,,,SUMPRODUCT(MAX(ROW(E$2:E2210)*(E2210=E$2:E2210)))))-COUNTBLANK(OFFSET(A$1,,,SUMPRODUCT(MAX(ROW(E$1:E2209)*(E2=E$1:E2209))))))</f>
        <v/>
      </c>
      <c r="K2210" s="24" t="str">
        <f aca="false">IF(OR(E2210="",E2210="!!!",F2210="NEW"),"",INDEX(J$1:J2209,SUMPRODUCT(MAX(ROW(E$1:E2209)*(E2210=E$1:E2209)))))</f>
        <v/>
      </c>
      <c r="L2210" s="31"/>
    </row>
    <row r="2211" customFormat="false" ht="15" hidden="false" customHeight="false" outlineLevel="0" collapsed="false">
      <c r="A2211" s="20" t="s">
        <v>1882</v>
      </c>
      <c r="B2211" s="22" t="s">
        <v>1142</v>
      </c>
      <c r="C2211" s="22" t="s">
        <v>1160</v>
      </c>
      <c r="E2211" s="23" t="str">
        <f aca="false">IF(D2211="?OLD","!!!","")</f>
        <v/>
      </c>
      <c r="F2211" s="25" t="str">
        <f aca="false">IF(OR(E2211="",E2211="!!!"),"",IF(NOT(ISNA(VLOOKUP(E2211,E$1:E2210,1,FALSE()))),"OLD",IF(AND(E2211&lt;&gt;"",E2211&lt;&gt;"!!!"),"NEW","")))</f>
        <v/>
      </c>
      <c r="G2211" s="26" t="str">
        <f aca="false">IF(OR(E2211="",E2211="!!!"),"",IF(OR(J2211=0,AND(J2211=1,K2211=1),AND(J2211=1,I2211="SBJ"),AND(J2211=1,I2211=0)),"?IN_FOCUS",IF(J2211&lt;=2,"?ACTIVATED",IF(J2211&lt;&gt;"","?FAMILIAR",IF(F2211="NEW",IF(ISNA(VLOOKUP(E2211,#REF!,1,FALSE())),"?TYPE_IDENTIFIABLE","?REFERENTIAL"),"_")))))</f>
        <v/>
      </c>
      <c r="H2211" s="27" t="str">
        <f aca="false">IF(J2211&lt;&gt;1,"",IF(I2211="SBJ","CB","?"))</f>
        <v/>
      </c>
      <c r="I2211" s="24" t="str">
        <f aca="false">IF(OR(E2211="",E2211="!!!",F2211="NEW"),"",INDEX(B14:B$2198,-1+SUMPRODUCT(MAX(ROW(E14:E$2198)*(E2211=E14:E$2198)))))</f>
        <v/>
      </c>
      <c r="J2211" s="24" t="str">
        <f aca="true">IF(OR(E2211="",E2211="!!!",F2211="NEW"),"",COUNTBLANK(OFFSET(A$1,,,SUMPRODUCT(MAX(ROW(E$2:E2211)*(E2211=E$2:E2211)))))-COUNTBLANK(OFFSET(A$1,,,SUMPRODUCT(MAX(ROW(E$1:E2210)*(E2=E$1:E2210))))))</f>
        <v/>
      </c>
      <c r="K2211" s="24" t="str">
        <f aca="false">IF(OR(E2211="",E2211="!!!",F2211="NEW"),"",INDEX(J$1:J2210,SUMPRODUCT(MAX(ROW(E$1:E2210)*(E2211=E$1:E2210)))))</f>
        <v/>
      </c>
      <c r="L2211" s="31"/>
    </row>
    <row r="2212" customFormat="false" ht="15" hidden="false" customHeight="false" outlineLevel="0" collapsed="false">
      <c r="A2212" s="20" t="s">
        <v>1076</v>
      </c>
      <c r="E2212" s="23" t="str">
        <f aca="false">IF(D2212="?OLD","!!!","")</f>
        <v/>
      </c>
      <c r="F2212" s="25" t="str">
        <f aca="false">IF(OR(E2212="",E2212="!!!"),"",IF(NOT(ISNA(VLOOKUP(E2212,E$1:E2211,1,FALSE()))),"OLD",IF(AND(E2212&lt;&gt;"",E2212&lt;&gt;"!!!"),"NEW","")))</f>
        <v/>
      </c>
      <c r="G2212" s="26" t="str">
        <f aca="false">IF(OR(E2212="",E2212="!!!"),"",IF(OR(J2212=0,AND(J2212=1,K2212=1),AND(J2212=1,I2212="SBJ"),AND(J2212=1,I2212=0)),"?IN_FOCUS",IF(J2212&lt;=2,"?ACTIVATED",IF(J2212&lt;&gt;"","?FAMILIAR",IF(F2212="NEW",IF(ISNA(VLOOKUP(E2212,#REF!,1,FALSE())),"?TYPE_IDENTIFIABLE","?REFERENTIAL"),"_")))))</f>
        <v/>
      </c>
      <c r="H2212" s="27" t="str">
        <f aca="false">IF(J2212&lt;&gt;1,"",IF(I2212="SBJ","CB","?"))</f>
        <v/>
      </c>
      <c r="I2212" s="24" t="str">
        <f aca="false">IF(OR(E2212="",E2212="!!!",F2212="NEW"),"",INDEX(B15:B$2198,-1+SUMPRODUCT(MAX(ROW(E15:E$2198)*(E2212=E15:E$2198)))))</f>
        <v/>
      </c>
      <c r="J2212" s="24" t="str">
        <f aca="true">IF(OR(E2212="",E2212="!!!",F2212="NEW"),"",COUNTBLANK(OFFSET(A$1,,,SUMPRODUCT(MAX(ROW(E$2:E2212)*(E2212=E$2:E2212)))))-COUNTBLANK(OFFSET(A$1,,,SUMPRODUCT(MAX(ROW(E$1:E2211)*(E2=E$1:E2211))))))</f>
        <v/>
      </c>
      <c r="K2212" s="24" t="str">
        <f aca="false">IF(OR(E2212="",E2212="!!!",F2212="NEW"),"",INDEX(J$1:J2211,SUMPRODUCT(MAX(ROW(E$1:E2211)*(E2212=E$1:E2211)))))</f>
        <v/>
      </c>
      <c r="L2212" s="31"/>
    </row>
    <row r="2213" customFormat="false" ht="15" hidden="false" customHeight="false" outlineLevel="0" collapsed="false">
      <c r="A2213" s="20" t="s">
        <v>967</v>
      </c>
      <c r="E2213" s="23" t="str">
        <f aca="false">IF(D2213="?OLD","!!!","")</f>
        <v/>
      </c>
      <c r="F2213" s="25" t="str">
        <f aca="false">IF(OR(E2213="",E2213="!!!"),"",IF(NOT(ISNA(VLOOKUP(E2213,E$1:E2212,1,FALSE()))),"OLD",IF(AND(E2213&lt;&gt;"",E2213&lt;&gt;"!!!"),"NEW","")))</f>
        <v/>
      </c>
      <c r="G2213" s="26" t="str">
        <f aca="false">IF(OR(E2213="",E2213="!!!"),"",IF(OR(J2213=0,AND(J2213=1,K2213=1),AND(J2213=1,I2213="SBJ"),AND(J2213=1,I2213=0)),"?IN_FOCUS",IF(J2213&lt;=2,"?ACTIVATED",IF(J2213&lt;&gt;"","?FAMILIAR",IF(F2213="NEW",IF(ISNA(VLOOKUP(E2213,#REF!,1,FALSE())),"?TYPE_IDENTIFIABLE","?REFERENTIAL"),"_")))))</f>
        <v/>
      </c>
      <c r="H2213" s="27" t="str">
        <f aca="false">IF(J2213&lt;&gt;1,"",IF(I2213="SBJ","CB","?"))</f>
        <v/>
      </c>
      <c r="I2213" s="24" t="str">
        <f aca="false">IF(OR(E2213="",E2213="!!!",F2213="NEW"),"",INDEX(B16:B$2198,-1+SUMPRODUCT(MAX(ROW(E16:E$2198)*(E2213=E16:E$2198)))))</f>
        <v/>
      </c>
      <c r="J2213" s="24" t="str">
        <f aca="true">IF(OR(E2213="",E2213="!!!",F2213="NEW"),"",COUNTBLANK(OFFSET(A$1,,,SUMPRODUCT(MAX(ROW(E$2:E2213)*(E2213=E$2:E2213)))))-COUNTBLANK(OFFSET(A$1,,,SUMPRODUCT(MAX(ROW(E$1:E2212)*(E2=E$1:E2212))))))</f>
        <v/>
      </c>
      <c r="K2213" s="24" t="str">
        <f aca="false">IF(OR(E2213="",E2213="!!!",F2213="NEW"),"",INDEX(J$1:J2212,SUMPRODUCT(MAX(ROW(E$1:E2212)*(E2213=E$1:E2212)))))</f>
        <v/>
      </c>
      <c r="L2213" s="31"/>
    </row>
    <row r="2214" customFormat="false" ht="15" hidden="false" customHeight="false" outlineLevel="0" collapsed="false">
      <c r="A2214" s="20" t="s">
        <v>1883</v>
      </c>
      <c r="E2214" s="23" t="str">
        <f aca="false">IF(D2214="?OLD","!!!","")</f>
        <v/>
      </c>
      <c r="F2214" s="25" t="str">
        <f aca="false">IF(OR(E2214="",E2214="!!!"),"",IF(NOT(ISNA(VLOOKUP(E2214,E$1:E2213,1,FALSE()))),"OLD",IF(AND(E2214&lt;&gt;"",E2214&lt;&gt;"!!!"),"NEW","")))</f>
        <v/>
      </c>
      <c r="G2214" s="26" t="str">
        <f aca="false">IF(OR(E2214="",E2214="!!!"),"",IF(OR(J2214=0,AND(J2214=1,K2214=1),AND(J2214=1,I2214="SBJ"),AND(J2214=1,I2214=0)),"?IN_FOCUS",IF(J2214&lt;=2,"?ACTIVATED",IF(J2214&lt;&gt;"","?FAMILIAR",IF(F2214="NEW",IF(ISNA(VLOOKUP(E2214,#REF!,1,FALSE())),"?TYPE_IDENTIFIABLE","?REFERENTIAL"),"_")))))</f>
        <v/>
      </c>
      <c r="H2214" s="27" t="str">
        <f aca="false">IF(J2214&lt;&gt;1,"",IF(I2214="SBJ","CB","?"))</f>
        <v/>
      </c>
      <c r="I2214" s="24" t="str">
        <f aca="false">IF(OR(E2214="",E2214="!!!",F2214="NEW"),"",INDEX(B17:B$2198,-1+SUMPRODUCT(MAX(ROW(E17:E$2198)*(E2214=E17:E$2198)))))</f>
        <v/>
      </c>
      <c r="J2214" s="24" t="str">
        <f aca="true">IF(OR(E2214="",E2214="!!!",F2214="NEW"),"",COUNTBLANK(OFFSET(A$1,,,SUMPRODUCT(MAX(ROW(E$2:E2214)*(E2214=E$2:E2214)))))-COUNTBLANK(OFFSET(A$1,,,SUMPRODUCT(MAX(ROW(E$1:E2213)*(E2=E$1:E2213))))))</f>
        <v/>
      </c>
      <c r="K2214" s="24" t="str">
        <f aca="false">IF(OR(E2214="",E2214="!!!",F2214="NEW"),"",INDEX(J$1:J2213,SUMPRODUCT(MAX(ROW(E$1:E2213)*(E2214=E$1:E2213)))))</f>
        <v/>
      </c>
      <c r="L2214" s="31"/>
    </row>
    <row r="2215" customFormat="false" ht="15" hidden="false" customHeight="false" outlineLevel="0" collapsed="false">
      <c r="A2215" s="20" t="s">
        <v>1076</v>
      </c>
      <c r="E2215" s="23" t="str">
        <f aca="false">IF(D2215="?OLD","!!!","")</f>
        <v/>
      </c>
      <c r="F2215" s="25" t="str">
        <f aca="false">IF(OR(E2215="",E2215="!!!"),"",IF(NOT(ISNA(VLOOKUP(E2215,E$1:E2214,1,FALSE()))),"OLD",IF(AND(E2215&lt;&gt;"",E2215&lt;&gt;"!!!"),"NEW","")))</f>
        <v/>
      </c>
      <c r="G2215" s="26" t="str">
        <f aca="false">IF(OR(E2215="",E2215="!!!"),"",IF(OR(J2215=0,AND(J2215=1,K2215=1),AND(J2215=1,I2215="SBJ"),AND(J2215=1,I2215=0)),"?IN_FOCUS",IF(J2215&lt;=2,"?ACTIVATED",IF(J2215&lt;&gt;"","?FAMILIAR",IF(F2215="NEW",IF(ISNA(VLOOKUP(E2215,#REF!,1,FALSE())),"?TYPE_IDENTIFIABLE","?REFERENTIAL"),"_")))))</f>
        <v/>
      </c>
      <c r="H2215" s="27" t="str">
        <f aca="false">IF(J2215&lt;&gt;1,"",IF(I2215="SBJ","CB","?"))</f>
        <v/>
      </c>
      <c r="I2215" s="24" t="str">
        <f aca="false">IF(OR(E2215="",E2215="!!!",F2215="NEW"),"",INDEX(B18:B$2198,-1+SUMPRODUCT(MAX(ROW(E18:E$2198)*(E2215=E18:E$2198)))))</f>
        <v/>
      </c>
      <c r="J2215" s="24" t="str">
        <f aca="true">IF(OR(E2215="",E2215="!!!",F2215="NEW"),"",COUNTBLANK(OFFSET(A$1,,,SUMPRODUCT(MAX(ROW(E$2:E2215)*(E2215=E$2:E2215)))))-COUNTBLANK(OFFSET(A$1,,,SUMPRODUCT(MAX(ROW(E$1:E2214)*(E2=E$1:E2214))))))</f>
        <v/>
      </c>
      <c r="K2215" s="24" t="str">
        <f aca="false">IF(OR(E2215="",E2215="!!!",F2215="NEW"),"",INDEX(J$1:J2214,SUMPRODUCT(MAX(ROW(E$1:E2214)*(E2215=E$1:E2214)))))</f>
        <v/>
      </c>
      <c r="L2215" s="31"/>
    </row>
    <row r="2216" customFormat="false" ht="15" hidden="false" customHeight="false" outlineLevel="0" collapsed="false">
      <c r="A2216" s="20" t="s">
        <v>967</v>
      </c>
      <c r="E2216" s="23" t="str">
        <f aca="false">IF(D2216="?OLD","!!!","")</f>
        <v/>
      </c>
      <c r="F2216" s="25" t="str">
        <f aca="false">IF(OR(E2216="",E2216="!!!"),"",IF(NOT(ISNA(VLOOKUP(E2216,E$1:E2215,1,FALSE()))),"OLD",IF(AND(E2216&lt;&gt;"",E2216&lt;&gt;"!!!"),"NEW","")))</f>
        <v/>
      </c>
      <c r="G2216" s="26" t="str">
        <f aca="false">IF(OR(E2216="",E2216="!!!"),"",IF(OR(J2216=0,AND(J2216=1,K2216=1),AND(J2216=1,I2216="SBJ"),AND(J2216=1,I2216=0)),"?IN_FOCUS",IF(J2216&lt;=2,"?ACTIVATED",IF(J2216&lt;&gt;"","?FAMILIAR",IF(F2216="NEW",IF(ISNA(VLOOKUP(E2216,#REF!,1,FALSE())),"?TYPE_IDENTIFIABLE","?REFERENTIAL"),"_")))))</f>
        <v/>
      </c>
      <c r="H2216" s="27" t="str">
        <f aca="false">IF(J2216&lt;&gt;1,"",IF(I2216="SBJ","CB","?"))</f>
        <v/>
      </c>
      <c r="I2216" s="24" t="str">
        <f aca="false">IF(OR(E2216="",E2216="!!!",F2216="NEW"),"",INDEX(B19:B$2198,-1+SUMPRODUCT(MAX(ROW(E19:E$2198)*(E2216=E19:E$2198)))))</f>
        <v/>
      </c>
      <c r="J2216" s="24" t="str">
        <f aca="true">IF(OR(E2216="",E2216="!!!",F2216="NEW"),"",COUNTBLANK(OFFSET(A$1,,,SUMPRODUCT(MAX(ROW(E$2:E2216)*(E2216=E$2:E2216)))))-COUNTBLANK(OFFSET(A$1,,,SUMPRODUCT(MAX(ROW(E$1:E2215)*(E2=E$1:E2215))))))</f>
        <v/>
      </c>
      <c r="K2216" s="24" t="str">
        <f aca="false">IF(OR(E2216="",E2216="!!!",F2216="NEW"),"",INDEX(J$1:J2215,SUMPRODUCT(MAX(ROW(E$1:E2215)*(E2216=E$1:E2215)))))</f>
        <v/>
      </c>
      <c r="L2216" s="31"/>
    </row>
    <row r="2217" customFormat="false" ht="15" hidden="false" customHeight="false" outlineLevel="0" collapsed="false">
      <c r="A2217" s="20" t="s">
        <v>1884</v>
      </c>
      <c r="E2217" s="23" t="str">
        <f aca="false">IF(D2217="?OLD","!!!","")</f>
        <v/>
      </c>
      <c r="F2217" s="25" t="str">
        <f aca="false">IF(OR(E2217="",E2217="!!!"),"",IF(NOT(ISNA(VLOOKUP(E2217,E$1:E2216,1,FALSE()))),"OLD",IF(AND(E2217&lt;&gt;"",E2217&lt;&gt;"!!!"),"NEW","")))</f>
        <v/>
      </c>
      <c r="G2217" s="26" t="str">
        <f aca="false">IF(OR(E2217="",E2217="!!!"),"",IF(OR(J2217=0,AND(J2217=1,K2217=1),AND(J2217=1,I2217="SBJ"),AND(J2217=1,I2217=0)),"?IN_FOCUS",IF(J2217&lt;=2,"?ACTIVATED",IF(J2217&lt;&gt;"","?FAMILIAR",IF(F2217="NEW",IF(ISNA(VLOOKUP(E2217,#REF!,1,FALSE())),"?TYPE_IDENTIFIABLE","?REFERENTIAL"),"_")))))</f>
        <v/>
      </c>
      <c r="H2217" s="27" t="str">
        <f aca="false">IF(J2217&lt;&gt;1,"",IF(I2217="SBJ","CB","?"))</f>
        <v/>
      </c>
      <c r="I2217" s="24" t="str">
        <f aca="false">IF(OR(E2217="",E2217="!!!",F2217="NEW"),"",INDEX(B20:B$2198,-1+SUMPRODUCT(MAX(ROW(E20:E$2198)*(E2217=E20:E$2198)))))</f>
        <v/>
      </c>
      <c r="J2217" s="24" t="str">
        <f aca="true">IF(OR(E2217="",E2217="!!!",F2217="NEW"),"",COUNTBLANK(OFFSET(A$1,,,SUMPRODUCT(MAX(ROW(E$2:E2217)*(E2217=E$2:E2217)))))-COUNTBLANK(OFFSET(A$1,,,SUMPRODUCT(MAX(ROW(E$1:E2216)*(E2=E$1:E2216))))))</f>
        <v/>
      </c>
      <c r="K2217" s="24" t="str">
        <f aca="false">IF(OR(E2217="",E2217="!!!",F2217="NEW"),"",INDEX(J$1:J2216,SUMPRODUCT(MAX(ROW(E$1:E2216)*(E2217=E$1:E2216)))))</f>
        <v/>
      </c>
      <c r="L2217" s="31"/>
    </row>
    <row r="2218" customFormat="false" ht="15" hidden="false" customHeight="false" outlineLevel="0" collapsed="false">
      <c r="A2218" s="20" t="s">
        <v>185</v>
      </c>
      <c r="E2218" s="23" t="str">
        <f aca="false">IF(D2218="?OLD","!!!","")</f>
        <v/>
      </c>
      <c r="F2218" s="25" t="str">
        <f aca="false">IF(OR(E2218="",E2218="!!!"),"",IF(NOT(ISNA(VLOOKUP(E2218,E$1:E2217,1,FALSE()))),"OLD",IF(AND(E2218&lt;&gt;"",E2218&lt;&gt;"!!!"),"NEW","")))</f>
        <v/>
      </c>
      <c r="G2218" s="26" t="str">
        <f aca="false">IF(OR(E2218="",E2218="!!!"),"",IF(OR(J2218=0,AND(J2218=1,K2218=1),AND(J2218=1,I2218="SBJ"),AND(J2218=1,I2218=0)),"?IN_FOCUS",IF(J2218&lt;=2,"?ACTIVATED",IF(J2218&lt;&gt;"","?FAMILIAR",IF(F2218="NEW",IF(ISNA(VLOOKUP(E2218,#REF!,1,FALSE())),"?TYPE_IDENTIFIABLE","?REFERENTIAL"),"_")))))</f>
        <v/>
      </c>
      <c r="H2218" s="27" t="str">
        <f aca="false">IF(J2218&lt;&gt;1,"",IF(I2218="SBJ","CB","?"))</f>
        <v/>
      </c>
      <c r="I2218" s="24" t="str">
        <f aca="false">IF(OR(E2218="",E2218="!!!",F2218="NEW"),"",INDEX(B21:B$2198,-1+SUMPRODUCT(MAX(ROW(E21:E$2198)*(E2218=E21:E$2198)))))</f>
        <v/>
      </c>
      <c r="J2218" s="24" t="str">
        <f aca="true">IF(OR(E2218="",E2218="!!!",F2218="NEW"),"",COUNTBLANK(OFFSET(A$1,,,SUMPRODUCT(MAX(ROW(E$2:E2218)*(E2218=E$2:E2218)))))-COUNTBLANK(OFFSET(A$1,,,SUMPRODUCT(MAX(ROW(E$1:E2217)*(E2=E$1:E2217))))))</f>
        <v/>
      </c>
      <c r="K2218" s="24" t="str">
        <f aca="false">IF(OR(E2218="",E2218="!!!",F2218="NEW"),"",INDEX(J$1:J2217,SUMPRODUCT(MAX(ROW(E$1:E2217)*(E2218=E$1:E2217)))))</f>
        <v/>
      </c>
      <c r="L2218" s="31"/>
    </row>
    <row r="2219" customFormat="false" ht="15" hidden="false" customHeight="false" outlineLevel="0" collapsed="false">
      <c r="A2219" s="20" t="s">
        <v>1885</v>
      </c>
      <c r="E2219" s="23" t="str">
        <f aca="false">IF(D2219="?OLD","!!!","")</f>
        <v/>
      </c>
      <c r="F2219" s="25" t="str">
        <f aca="false">IF(OR(E2219="",E2219="!!!"),"",IF(NOT(ISNA(VLOOKUP(E2219,E$1:E2218,1,FALSE()))),"OLD",IF(AND(E2219&lt;&gt;"",E2219&lt;&gt;"!!!"),"NEW","")))</f>
        <v/>
      </c>
      <c r="G2219" s="26" t="str">
        <f aca="false">IF(OR(E2219="",E2219="!!!"),"",IF(OR(J2219=0,AND(J2219=1,K2219=1),AND(J2219=1,I2219="SBJ"),AND(J2219=1,I2219=0)),"?IN_FOCUS",IF(J2219&lt;=2,"?ACTIVATED",IF(J2219&lt;&gt;"","?FAMILIAR",IF(F2219="NEW",IF(ISNA(VLOOKUP(E2219,#REF!,1,FALSE())),"?TYPE_IDENTIFIABLE","?REFERENTIAL"),"_")))))</f>
        <v/>
      </c>
      <c r="H2219" s="27" t="str">
        <f aca="false">IF(J2219&lt;&gt;1,"",IF(I2219="SBJ","CB","?"))</f>
        <v/>
      </c>
      <c r="I2219" s="24" t="str">
        <f aca="false">IF(OR(E2219="",E2219="!!!",F2219="NEW"),"",INDEX(B22:B$2198,-1+SUMPRODUCT(MAX(ROW(E22:E$2198)*(E2219=E22:E$2198)))))</f>
        <v/>
      </c>
      <c r="J2219" s="24" t="str">
        <f aca="true">IF(OR(E2219="",E2219="!!!",F2219="NEW"),"",COUNTBLANK(OFFSET(A$1,,,SUMPRODUCT(MAX(ROW(E$2:E2219)*(E2219=E$2:E2219)))))-COUNTBLANK(OFFSET(A$1,,,SUMPRODUCT(MAX(ROW(E$1:E2218)*(E2=E$1:E2218))))))</f>
        <v/>
      </c>
      <c r="K2219" s="24" t="str">
        <f aca="false">IF(OR(E2219="",E2219="!!!",F2219="NEW"),"",INDEX(J$1:J2218,SUMPRODUCT(MAX(ROW(E$1:E2218)*(E2219=E$1:E2218)))))</f>
        <v/>
      </c>
      <c r="L2219" s="31"/>
    </row>
    <row r="2220" customFormat="false" ht="15" hidden="false" customHeight="false" outlineLevel="0" collapsed="false">
      <c r="A2220" s="20" t="s">
        <v>1169</v>
      </c>
      <c r="E2220" s="23" t="str">
        <f aca="false">IF(D2220="?OLD","!!!","")</f>
        <v/>
      </c>
      <c r="F2220" s="25" t="str">
        <f aca="false">IF(OR(E2220="",E2220="!!!"),"",IF(NOT(ISNA(VLOOKUP(E2220,E$1:E2219,1,FALSE()))),"OLD",IF(AND(E2220&lt;&gt;"",E2220&lt;&gt;"!!!"),"NEW","")))</f>
        <v/>
      </c>
      <c r="G2220" s="26" t="str">
        <f aca="false">IF(OR(E2220="",E2220="!!!"),"",IF(OR(J2220=0,AND(J2220=1,K2220=1),AND(J2220=1,I2220="SBJ"),AND(J2220=1,I2220=0)),"?IN_FOCUS",IF(J2220&lt;=2,"?ACTIVATED",IF(J2220&lt;&gt;"","?FAMILIAR",IF(F2220="NEW",IF(ISNA(VLOOKUP(E2220,#REF!,1,FALSE())),"?TYPE_IDENTIFIABLE","?REFERENTIAL"),"_")))))</f>
        <v/>
      </c>
      <c r="H2220" s="27" t="str">
        <f aca="false">IF(J2220&lt;&gt;1,"",IF(I2220="SBJ","CB","?"))</f>
        <v/>
      </c>
      <c r="I2220" s="24" t="str">
        <f aca="false">IF(OR(E2220="",E2220="!!!",F2220="NEW"),"",INDEX(B23:B$2198,-1+SUMPRODUCT(MAX(ROW(E23:E$2198)*(E2220=E23:E$2198)))))</f>
        <v/>
      </c>
      <c r="J2220" s="24" t="str">
        <f aca="true">IF(OR(E2220="",E2220="!!!",F2220="NEW"),"",COUNTBLANK(OFFSET(A$1,,,SUMPRODUCT(MAX(ROW(E$2:E2220)*(E2220=E$2:E2220)))))-COUNTBLANK(OFFSET(A$1,,,SUMPRODUCT(MAX(ROW(E$1:E2219)*(E2=E$1:E2219))))))</f>
        <v/>
      </c>
      <c r="K2220" s="24" t="str">
        <f aca="false">IF(OR(E2220="",E2220="!!!",F2220="NEW"),"",INDEX(J$1:J2219,SUMPRODUCT(MAX(ROW(E$1:E2219)*(E2220=E$1:E2219)))))</f>
        <v/>
      </c>
      <c r="L2220" s="31"/>
    </row>
    <row r="2221" customFormat="false" ht="15" hidden="false" customHeight="false" outlineLevel="0" collapsed="false">
      <c r="A2221" s="20" t="s">
        <v>1089</v>
      </c>
      <c r="E2221" s="23" t="str">
        <f aca="false">IF(D2221="?OLD","!!!","")</f>
        <v/>
      </c>
      <c r="F2221" s="25" t="str">
        <f aca="false">IF(OR(E2221="",E2221="!!!"),"",IF(NOT(ISNA(VLOOKUP(E2221,E$1:E2220,1,FALSE()))),"OLD",IF(AND(E2221&lt;&gt;"",E2221&lt;&gt;"!!!"),"NEW","")))</f>
        <v/>
      </c>
      <c r="G2221" s="26" t="str">
        <f aca="false">IF(OR(E2221="",E2221="!!!"),"",IF(OR(J2221=0,AND(J2221=1,K2221=1),AND(J2221=1,I2221="SBJ"),AND(J2221=1,I2221=0)),"?IN_FOCUS",IF(J2221&lt;=2,"?ACTIVATED",IF(J2221&lt;&gt;"","?FAMILIAR",IF(F2221="NEW",IF(ISNA(VLOOKUP(E2221,#REF!,1,FALSE())),"?TYPE_IDENTIFIABLE","?REFERENTIAL"),"_")))))</f>
        <v/>
      </c>
      <c r="H2221" s="27" t="str">
        <f aca="false">IF(J2221&lt;&gt;1,"",IF(I2221="SBJ","CB","?"))</f>
        <v/>
      </c>
      <c r="I2221" s="24" t="str">
        <f aca="false">IF(OR(E2221="",E2221="!!!",F2221="NEW"),"",INDEX(B24:B$2198,-1+SUMPRODUCT(MAX(ROW(E24:E$2198)*(E2221=E24:E$2198)))))</f>
        <v/>
      </c>
      <c r="J2221" s="24" t="str">
        <f aca="true">IF(OR(E2221="",E2221="!!!",F2221="NEW"),"",COUNTBLANK(OFFSET(A$1,,,SUMPRODUCT(MAX(ROW(E$2:E2221)*(E2221=E$2:E2221)))))-COUNTBLANK(OFFSET(A$1,,,SUMPRODUCT(MAX(ROW(E$1:E2220)*(E2=E$1:E2220))))))</f>
        <v/>
      </c>
      <c r="K2221" s="24" t="str">
        <f aca="false">IF(OR(E2221="",E2221="!!!",F2221="NEW"),"",INDEX(J$1:J2220,SUMPRODUCT(MAX(ROW(E$1:E2220)*(E2221=E$1:E2220)))))</f>
        <v/>
      </c>
      <c r="L2221" s="31"/>
    </row>
    <row r="2222" customFormat="false" ht="15" hidden="false" customHeight="false" outlineLevel="0" collapsed="false">
      <c r="A2222" s="20" t="s">
        <v>1220</v>
      </c>
      <c r="E2222" s="23" t="str">
        <f aca="false">IF(D2222="?OLD","!!!","")</f>
        <v/>
      </c>
      <c r="F2222" s="25" t="str">
        <f aca="false">IF(OR(E2222="",E2222="!!!"),"",IF(NOT(ISNA(VLOOKUP(E2222,E$1:E2221,1,FALSE()))),"OLD",IF(AND(E2222&lt;&gt;"",E2222&lt;&gt;"!!!"),"NEW","")))</f>
        <v/>
      </c>
      <c r="G2222" s="26" t="str">
        <f aca="false">IF(OR(E2222="",E2222="!!!"),"",IF(OR(J2222=0,AND(J2222=1,K2222=1),AND(J2222=1,I2222="SBJ"),AND(J2222=1,I2222=0)),"?IN_FOCUS",IF(J2222&lt;=2,"?ACTIVATED",IF(J2222&lt;&gt;"","?FAMILIAR",IF(F2222="NEW",IF(ISNA(VLOOKUP(E2222,#REF!,1,FALSE())),"?TYPE_IDENTIFIABLE","?REFERENTIAL"),"_")))))</f>
        <v/>
      </c>
      <c r="H2222" s="27" t="str">
        <f aca="false">IF(J2222&lt;&gt;1,"",IF(I2222="SBJ","CB","?"))</f>
        <v/>
      </c>
      <c r="I2222" s="24" t="str">
        <f aca="false">IF(OR(E2222="",E2222="!!!",F2222="NEW"),"",INDEX(B25:B$2198,-1+SUMPRODUCT(MAX(ROW(E25:E$2198)*(E2222=E25:E$2198)))))</f>
        <v/>
      </c>
      <c r="J2222" s="24" t="str">
        <f aca="true">IF(OR(E2222="",E2222="!!!",F2222="NEW"),"",COUNTBLANK(OFFSET(A$1,,,SUMPRODUCT(MAX(ROW(E$2:E2222)*(E2222=E$2:E2222)))))-COUNTBLANK(OFFSET(A$1,,,SUMPRODUCT(MAX(ROW(E$1:E2221)*(E2=E$1:E2221))))))</f>
        <v/>
      </c>
      <c r="K2222" s="24" t="str">
        <f aca="false">IF(OR(E2222="",E2222="!!!",F2222="NEW"),"",INDEX(J$1:J2221,SUMPRODUCT(MAX(ROW(E$1:E2221)*(E2222=E$1:E2221)))))</f>
        <v/>
      </c>
      <c r="L2222" s="31"/>
    </row>
    <row r="2223" customFormat="false" ht="15" hidden="false" customHeight="false" outlineLevel="0" collapsed="false">
      <c r="A2223" s="20" t="s">
        <v>1886</v>
      </c>
      <c r="B2223" s="22" t="s">
        <v>1105</v>
      </c>
      <c r="C2223" s="22" t="s">
        <v>1171</v>
      </c>
      <c r="D2223" s="22" t="s">
        <v>1060</v>
      </c>
      <c r="E2223" s="23" t="str">
        <f aca="false">IF(D2223="?OLD","!!!","")</f>
        <v>!!!</v>
      </c>
      <c r="F2223" s="25" t="str">
        <f aca="false">IF(OR(E2223="",E2223="!!!"),"",IF(NOT(ISNA(VLOOKUP(E2223,E$1:E2222,1,FALSE()))),"OLD",IF(AND(E2223&lt;&gt;"",E2223&lt;&gt;"!!!"),"NEW","")))</f>
        <v/>
      </c>
      <c r="G2223" s="26" t="str">
        <f aca="false">IF(OR(E2223="",E2223="!!!"),"",IF(OR(J2223=0,AND(J2223=1,K2223=1),AND(J2223=1,I2223="SBJ"),AND(J2223=1,I2223=0)),"?IN_FOCUS",IF(J2223&lt;=2,"?ACTIVATED",IF(J2223&lt;&gt;"","?FAMILIAR",IF(F2223="NEW",IF(ISNA(VLOOKUP(E2223,#REF!,1,FALSE())),"?TYPE_IDENTIFIABLE","?REFERENTIAL"),"_")))))</f>
        <v/>
      </c>
      <c r="H2223" s="27" t="str">
        <f aca="false">IF(J2223&lt;&gt;1,"",IF(I2223="SBJ","CB","?"))</f>
        <v/>
      </c>
      <c r="I2223" s="24" t="str">
        <f aca="false">IF(OR(E2223="",E2223="!!!",F2223="NEW"),"",INDEX(B26:B$2198,-1+SUMPRODUCT(MAX(ROW(E26:E$2198)*(E2223=E26:E$2198)))))</f>
        <v/>
      </c>
      <c r="J2223" s="24" t="str">
        <f aca="true">IF(OR(E2223="",E2223="!!!",F2223="NEW"),"",COUNTBLANK(OFFSET(A$1,,,SUMPRODUCT(MAX(ROW(E$2:E2223)*(E2223=E$2:E2223)))))-COUNTBLANK(OFFSET(A$1,,,SUMPRODUCT(MAX(ROW(E$1:E2222)*(E2=E$1:E2222))))))</f>
        <v/>
      </c>
      <c r="K2223" s="24" t="str">
        <f aca="false">IF(OR(E2223="",E2223="!!!",F2223="NEW"),"",INDEX(J$1:J2222,SUMPRODUCT(MAX(ROW(E$1:E2222)*(E2223=E$1:E2222)))))</f>
        <v/>
      </c>
      <c r="L2223" s="31"/>
    </row>
    <row r="2224" customFormat="false" ht="15" hidden="false" customHeight="false" outlineLevel="0" collapsed="false">
      <c r="A2224" s="20" t="s">
        <v>1128</v>
      </c>
      <c r="E2224" s="23" t="str">
        <f aca="false">IF(D2224="?OLD","!!!","")</f>
        <v/>
      </c>
      <c r="F2224" s="25" t="str">
        <f aca="false">IF(OR(E2224="",E2224="!!!"),"",IF(NOT(ISNA(VLOOKUP(E2224,E$1:E2223,1,FALSE()))),"OLD",IF(AND(E2224&lt;&gt;"",E2224&lt;&gt;"!!!"),"NEW","")))</f>
        <v/>
      </c>
      <c r="G2224" s="26" t="str">
        <f aca="false">IF(OR(E2224="",E2224="!!!"),"",IF(OR(J2224=0,AND(J2224=1,K2224=1),AND(J2224=1,I2224="SBJ"),AND(J2224=1,I2224=0)),"?IN_FOCUS",IF(J2224&lt;=2,"?ACTIVATED",IF(J2224&lt;&gt;"","?FAMILIAR",IF(F2224="NEW",IF(ISNA(VLOOKUP(E2224,#REF!,1,FALSE())),"?TYPE_IDENTIFIABLE","?REFERENTIAL"),"_")))))</f>
        <v/>
      </c>
      <c r="H2224" s="27" t="str">
        <f aca="false">IF(J2224&lt;&gt;1,"",IF(I2224="SBJ","CB","?"))</f>
        <v/>
      </c>
      <c r="I2224" s="24" t="str">
        <f aca="false">IF(OR(E2224="",E2224="!!!",F2224="NEW"),"",INDEX(B27:B$2198,-1+SUMPRODUCT(MAX(ROW(E27:E$2198)*(E2224=E27:E$2198)))))</f>
        <v/>
      </c>
      <c r="J2224" s="24" t="str">
        <f aca="true">IF(OR(E2224="",E2224="!!!",F2224="NEW"),"",COUNTBLANK(OFFSET(A$1,,,SUMPRODUCT(MAX(ROW(E$2:E2224)*(E2224=E$2:E2224)))))-COUNTBLANK(OFFSET(A$1,,,SUMPRODUCT(MAX(ROW(E$1:E2223)*(E2=E$1:E2223))))))</f>
        <v/>
      </c>
      <c r="K2224" s="24" t="str">
        <f aca="false">IF(OR(E2224="",E2224="!!!",F2224="NEW"),"",INDEX(J$1:J2223,SUMPRODUCT(MAX(ROW(E$1:E2223)*(E2224=E$1:E2223)))))</f>
        <v/>
      </c>
      <c r="L2224" s="31"/>
    </row>
    <row r="2225" customFormat="false" ht="15" hidden="false" customHeight="false" outlineLevel="0" collapsed="false">
      <c r="A2225" s="20" t="s">
        <v>1882</v>
      </c>
      <c r="E2225" s="23" t="str">
        <f aca="false">IF(D2225="?OLD","!!!","")</f>
        <v/>
      </c>
      <c r="F2225" s="25" t="str">
        <f aca="false">IF(OR(E2225="",E2225="!!!"),"",IF(NOT(ISNA(VLOOKUP(E2225,E$1:E2224,1,FALSE()))),"OLD",IF(AND(E2225&lt;&gt;"",E2225&lt;&gt;"!!!"),"NEW","")))</f>
        <v/>
      </c>
      <c r="G2225" s="26" t="str">
        <f aca="false">IF(OR(E2225="",E2225="!!!"),"",IF(OR(J2225=0,AND(J2225=1,K2225=1),AND(J2225=1,I2225="SBJ"),AND(J2225=1,I2225=0)),"?IN_FOCUS",IF(J2225&lt;=2,"?ACTIVATED",IF(J2225&lt;&gt;"","?FAMILIAR",IF(F2225="NEW",IF(ISNA(VLOOKUP(E2225,#REF!,1,FALSE())),"?TYPE_IDENTIFIABLE","?REFERENTIAL"),"_")))))</f>
        <v/>
      </c>
      <c r="H2225" s="27" t="str">
        <f aca="false">IF(J2225&lt;&gt;1,"",IF(I2225="SBJ","CB","?"))</f>
        <v/>
      </c>
      <c r="I2225" s="24" t="str">
        <f aca="false">IF(OR(E2225="",E2225="!!!",F2225="NEW"),"",INDEX(B28:B$2198,-1+SUMPRODUCT(MAX(ROW(E28:E$2198)*(E2225=E28:E$2198)))))</f>
        <v/>
      </c>
      <c r="J2225" s="24" t="str">
        <f aca="true">IF(OR(E2225="",E2225="!!!",F2225="NEW"),"",COUNTBLANK(OFFSET(A$1,,,SUMPRODUCT(MAX(ROW(E$2:E2225)*(E2225=E$2:E2225)))))-COUNTBLANK(OFFSET(A$1,,,SUMPRODUCT(MAX(ROW(E$1:E2224)*(E2=E$1:E2224))))))</f>
        <v/>
      </c>
      <c r="K2225" s="24" t="str">
        <f aca="false">IF(OR(E2225="",E2225="!!!",F2225="NEW"),"",INDEX(J$1:J2224,SUMPRODUCT(MAX(ROW(E$1:E2224)*(E2225=E$1:E2224)))))</f>
        <v/>
      </c>
      <c r="L2225" s="31"/>
    </row>
    <row r="2226" customFormat="false" ht="15" hidden="false" customHeight="false" outlineLevel="0" collapsed="false">
      <c r="A2226" s="20" t="s">
        <v>690</v>
      </c>
      <c r="B2226" s="22" t="s">
        <v>1073</v>
      </c>
      <c r="C2226" s="22" t="s">
        <v>1160</v>
      </c>
      <c r="E2226" s="23" t="str">
        <f aca="false">IF(D2226="?OLD","!!!","")</f>
        <v/>
      </c>
      <c r="F2226" s="25" t="str">
        <f aca="false">IF(OR(E2226="",E2226="!!!"),"",IF(NOT(ISNA(VLOOKUP(E2226,E$1:E2225,1,FALSE()))),"OLD",IF(AND(E2226&lt;&gt;"",E2226&lt;&gt;"!!!"),"NEW","")))</f>
        <v/>
      </c>
      <c r="G2226" s="26" t="str">
        <f aca="false">IF(OR(E2226="",E2226="!!!"),"",IF(OR(J2226=0,AND(J2226=1,K2226=1),AND(J2226=1,I2226="SBJ"),AND(J2226=1,I2226=0)),"?IN_FOCUS",IF(J2226&lt;=2,"?ACTIVATED",IF(J2226&lt;&gt;"","?FAMILIAR",IF(F2226="NEW",IF(ISNA(VLOOKUP(E2226,#REF!,1,FALSE())),"?TYPE_IDENTIFIABLE","?REFERENTIAL"),"_")))))</f>
        <v/>
      </c>
      <c r="H2226" s="27" t="str">
        <f aca="false">IF(J2226&lt;&gt;1,"",IF(I2226="SBJ","CB","?"))</f>
        <v/>
      </c>
      <c r="I2226" s="24" t="str">
        <f aca="false">IF(OR(E2226="",E2226="!!!",F2226="NEW"),"",INDEX(B29:B$2198,-1+SUMPRODUCT(MAX(ROW(E29:E$2198)*(E2226=E29:E$2198)))))</f>
        <v/>
      </c>
      <c r="J2226" s="24" t="str">
        <f aca="true">IF(OR(E2226="",E2226="!!!",F2226="NEW"),"",COUNTBLANK(OFFSET(A$1,,,SUMPRODUCT(MAX(ROW(E$2:E2226)*(E2226=E$2:E2226)))))-COUNTBLANK(OFFSET(A$1,,,SUMPRODUCT(MAX(ROW(E$1:E2225)*(E2=E$1:E2225))))))</f>
        <v/>
      </c>
      <c r="K2226" s="24" t="str">
        <f aca="false">IF(OR(E2226="",E2226="!!!",F2226="NEW"),"",INDEX(J$1:J2225,SUMPRODUCT(MAX(ROW(E$1:E2225)*(E2226=E$1:E2225)))))</f>
        <v/>
      </c>
      <c r="L2226" s="31"/>
    </row>
    <row r="2227" customFormat="false" ht="15" hidden="false" customHeight="false" outlineLevel="0" collapsed="false">
      <c r="A2227" s="20" t="s">
        <v>1125</v>
      </c>
      <c r="B2227" s="22" t="s">
        <v>1197</v>
      </c>
      <c r="E2227" s="23" t="str">
        <f aca="false">IF(D2227="?OLD","!!!","")</f>
        <v/>
      </c>
      <c r="F2227" s="25" t="str">
        <f aca="false">IF(OR(E2227="",E2227="!!!"),"",IF(NOT(ISNA(VLOOKUP(E2227,E$1:E2226,1,FALSE()))),"OLD",IF(AND(E2227&lt;&gt;"",E2227&lt;&gt;"!!!"),"NEW","")))</f>
        <v/>
      </c>
      <c r="G2227" s="26" t="str">
        <f aca="false">IF(OR(E2227="",E2227="!!!"),"",IF(OR(J2227=0,AND(J2227=1,K2227=1),AND(J2227=1,I2227="SBJ"),AND(J2227=1,I2227=0)),"?IN_FOCUS",IF(J2227&lt;=2,"?ACTIVATED",IF(J2227&lt;&gt;"","?FAMILIAR",IF(F2227="NEW",IF(ISNA(VLOOKUP(E2227,#REF!,1,FALSE())),"?TYPE_IDENTIFIABLE","?REFERENTIAL"),"_")))))</f>
        <v/>
      </c>
      <c r="H2227" s="27" t="str">
        <f aca="false">IF(J2227&lt;&gt;1,"",IF(I2227="SBJ","CB","?"))</f>
        <v/>
      </c>
      <c r="I2227" s="24" t="str">
        <f aca="false">IF(OR(E2227="",E2227="!!!",F2227="NEW"),"",INDEX(B30:B$2198,-1+SUMPRODUCT(MAX(ROW(E30:E$2198)*(E2227=E30:E$2198)))))</f>
        <v/>
      </c>
      <c r="J2227" s="24" t="str">
        <f aca="true">IF(OR(E2227="",E2227="!!!",F2227="NEW"),"",COUNTBLANK(OFFSET(A$1,,,SUMPRODUCT(MAX(ROW(E$2:E2227)*(E2227=E$2:E2227)))))-COUNTBLANK(OFFSET(A$1,,,SUMPRODUCT(MAX(ROW(E$1:E2226)*(E2=E$1:E2226))))))</f>
        <v/>
      </c>
      <c r="K2227" s="24" t="str">
        <f aca="false">IF(OR(E2227="",E2227="!!!",F2227="NEW"),"",INDEX(J$1:J2226,SUMPRODUCT(MAX(ROW(E$1:E2226)*(E2227=E$1:E2226)))))</f>
        <v/>
      </c>
      <c r="L2227" s="31"/>
    </row>
    <row r="2228" customFormat="false" ht="15" hidden="false" customHeight="false" outlineLevel="0" collapsed="false">
      <c r="A2228" s="20" t="s">
        <v>1772</v>
      </c>
      <c r="E2228" s="23" t="str">
        <f aca="false">IF(D2228="?OLD","!!!","")</f>
        <v/>
      </c>
      <c r="F2228" s="25" t="str">
        <f aca="false">IF(OR(E2228="",E2228="!!!"),"",IF(NOT(ISNA(VLOOKUP(E2228,E$1:E2227,1,FALSE()))),"OLD",IF(AND(E2228&lt;&gt;"",E2228&lt;&gt;"!!!"),"NEW","")))</f>
        <v/>
      </c>
      <c r="G2228" s="26" t="str">
        <f aca="false">IF(OR(E2228="",E2228="!!!"),"",IF(OR(J2228=0,AND(J2228=1,K2228=1),AND(J2228=1,I2228="SBJ"),AND(J2228=1,I2228=0)),"?IN_FOCUS",IF(J2228&lt;=2,"?ACTIVATED",IF(J2228&lt;&gt;"","?FAMILIAR",IF(F2228="NEW",IF(ISNA(VLOOKUP(E2228,#REF!,1,FALSE())),"?TYPE_IDENTIFIABLE","?REFERENTIAL"),"_")))))</f>
        <v/>
      </c>
      <c r="H2228" s="27" t="str">
        <f aca="false">IF(J2228&lt;&gt;1,"",IF(I2228="SBJ","CB","?"))</f>
        <v/>
      </c>
      <c r="I2228" s="24" t="str">
        <f aca="false">IF(OR(E2228="",E2228="!!!",F2228="NEW"),"",INDEX(B31:B$2198,-1+SUMPRODUCT(MAX(ROW(E31:E$2198)*(E2228=E31:E$2198)))))</f>
        <v/>
      </c>
      <c r="J2228" s="24" t="str">
        <f aca="true">IF(OR(E2228="",E2228="!!!",F2228="NEW"),"",COUNTBLANK(OFFSET(A$1,,,SUMPRODUCT(MAX(ROW(E$2:E2228)*(E2228=E$2:E2228)))))-COUNTBLANK(OFFSET(A$1,,,SUMPRODUCT(MAX(ROW(E$1:E2227)*(E2=E$1:E2227))))))</f>
        <v/>
      </c>
      <c r="K2228" s="24" t="str">
        <f aca="false">IF(OR(E2228="",E2228="!!!",F2228="NEW"),"",INDEX(J$1:J2227,SUMPRODUCT(MAX(ROW(E$1:E2227)*(E2228=E$1:E2227)))))</f>
        <v/>
      </c>
      <c r="L2228" s="31"/>
    </row>
    <row r="2229" customFormat="false" ht="15" hidden="false" customHeight="false" outlineLevel="0" collapsed="false">
      <c r="A2229" s="20" t="s">
        <v>1218</v>
      </c>
      <c r="E2229" s="23" t="str">
        <f aca="false">IF(D2229="?OLD","!!!","")</f>
        <v/>
      </c>
      <c r="F2229" s="25" t="str">
        <f aca="false">IF(OR(E2229="",E2229="!!!"),"",IF(NOT(ISNA(VLOOKUP(E2229,E$1:E2228,1,FALSE()))),"OLD",IF(AND(E2229&lt;&gt;"",E2229&lt;&gt;"!!!"),"NEW","")))</f>
        <v/>
      </c>
      <c r="G2229" s="26" t="str">
        <f aca="false">IF(OR(E2229="",E2229="!!!"),"",IF(OR(J2229=0,AND(J2229=1,K2229=1),AND(J2229=1,I2229="SBJ"),AND(J2229=1,I2229=0)),"?IN_FOCUS",IF(J2229&lt;=2,"?ACTIVATED",IF(J2229&lt;&gt;"","?FAMILIAR",IF(F2229="NEW",IF(ISNA(VLOOKUP(E2229,#REF!,1,FALSE())),"?TYPE_IDENTIFIABLE","?REFERENTIAL"),"_")))))</f>
        <v/>
      </c>
      <c r="H2229" s="27" t="str">
        <f aca="false">IF(J2229&lt;&gt;1,"",IF(I2229="SBJ","CB","?"))</f>
        <v/>
      </c>
      <c r="I2229" s="24" t="str">
        <f aca="false">IF(OR(E2229="",E2229="!!!",F2229="NEW"),"",INDEX(B32:B$2198,-1+SUMPRODUCT(MAX(ROW(E32:E$2198)*(E2229=E32:E$2198)))))</f>
        <v/>
      </c>
      <c r="J2229" s="24" t="str">
        <f aca="true">IF(OR(E2229="",E2229="!!!",F2229="NEW"),"",COUNTBLANK(OFFSET(A$1,,,SUMPRODUCT(MAX(ROW(E$2:E2229)*(E2229=E$2:E2229)))))-COUNTBLANK(OFFSET(A$1,,,SUMPRODUCT(MAX(ROW(E$1:E2228)*(E2=E$1:E2228))))))</f>
        <v/>
      </c>
      <c r="K2229" s="24" t="str">
        <f aca="false">IF(OR(E2229="",E2229="!!!",F2229="NEW"),"",INDEX(J$1:J2228,SUMPRODUCT(MAX(ROW(E$1:E2228)*(E2229=E$1:E2228)))))</f>
        <v/>
      </c>
      <c r="L2229" s="31"/>
    </row>
    <row r="2230" customFormat="false" ht="15" hidden="false" customHeight="false" outlineLevel="0" collapsed="false">
      <c r="A2230" s="20" t="s">
        <v>1179</v>
      </c>
      <c r="B2230" s="22" t="s">
        <v>1107</v>
      </c>
      <c r="C2230" s="22" t="s">
        <v>1082</v>
      </c>
      <c r="D2230" s="22" t="s">
        <v>1060</v>
      </c>
      <c r="E2230" s="23" t="str">
        <f aca="false">IF(D2230="?OLD","!!!","")</f>
        <v>!!!</v>
      </c>
      <c r="F2230" s="25" t="str">
        <f aca="false">IF(OR(E2230="",E2230="!!!"),"",IF(NOT(ISNA(VLOOKUP(E2230,E$1:E2229,1,FALSE()))),"OLD",IF(AND(E2230&lt;&gt;"",E2230&lt;&gt;"!!!"),"NEW","")))</f>
        <v/>
      </c>
      <c r="G2230" s="26" t="str">
        <f aca="false">IF(OR(E2230="",E2230="!!!"),"",IF(OR(J2230=0,AND(J2230=1,K2230=1),AND(J2230=1,I2230="SBJ"),AND(J2230=1,I2230=0)),"?IN_FOCUS",IF(J2230&lt;=2,"?ACTIVATED",IF(J2230&lt;&gt;"","?FAMILIAR",IF(F2230="NEW",IF(ISNA(VLOOKUP(E2230,#REF!,1,FALSE())),"?TYPE_IDENTIFIABLE","?REFERENTIAL"),"_")))))</f>
        <v/>
      </c>
      <c r="H2230" s="27" t="str">
        <f aca="false">IF(J2230&lt;&gt;1,"",IF(I2230="SBJ","CB","?"))</f>
        <v/>
      </c>
      <c r="I2230" s="24" t="str">
        <f aca="false">IF(OR(E2230="",E2230="!!!",F2230="NEW"),"",INDEX(B33:B$2198,-1+SUMPRODUCT(MAX(ROW(E33:E$2198)*(E2230=E33:E$2198)))))</f>
        <v/>
      </c>
      <c r="J2230" s="24" t="str">
        <f aca="true">IF(OR(E2230="",E2230="!!!",F2230="NEW"),"",COUNTBLANK(OFFSET(A$1,,,SUMPRODUCT(MAX(ROW(E$2:E2230)*(E2230=E$2:E2230)))))-COUNTBLANK(OFFSET(A$1,,,SUMPRODUCT(MAX(ROW(E$1:E2229)*(E2=E$1:E2229))))))</f>
        <v/>
      </c>
      <c r="K2230" s="24" t="str">
        <f aca="false">IF(OR(E2230="",E2230="!!!",F2230="NEW"),"",INDEX(J$1:J2229,SUMPRODUCT(MAX(ROW(E$1:E2229)*(E2230=E$1:E2229)))))</f>
        <v/>
      </c>
      <c r="L2230" s="31"/>
    </row>
    <row r="2231" customFormat="false" ht="15" hidden="false" customHeight="false" outlineLevel="0" collapsed="false">
      <c r="A2231" s="20" t="s">
        <v>1547</v>
      </c>
      <c r="E2231" s="23" t="str">
        <f aca="false">IF(D2231="?OLD","!!!","")</f>
        <v/>
      </c>
      <c r="F2231" s="25" t="str">
        <f aca="false">IF(OR(E2231="",E2231="!!!"),"",IF(NOT(ISNA(VLOOKUP(E2231,E$1:E2230,1,FALSE()))),"OLD",IF(AND(E2231&lt;&gt;"",E2231&lt;&gt;"!!!"),"NEW","")))</f>
        <v/>
      </c>
      <c r="G2231" s="26" t="str">
        <f aca="false">IF(OR(E2231="",E2231="!!!"),"",IF(OR(J2231=0,AND(J2231=1,K2231=1),AND(J2231=1,I2231="SBJ"),AND(J2231=1,I2231=0)),"?IN_FOCUS",IF(J2231&lt;=2,"?ACTIVATED",IF(J2231&lt;&gt;"","?FAMILIAR",IF(F2231="NEW",IF(ISNA(VLOOKUP(E2231,#REF!,1,FALSE())),"?TYPE_IDENTIFIABLE","?REFERENTIAL"),"_")))))</f>
        <v/>
      </c>
      <c r="H2231" s="27" t="str">
        <f aca="false">IF(J2231&lt;&gt;1,"",IF(I2231="SBJ","CB","?"))</f>
        <v/>
      </c>
      <c r="I2231" s="24" t="str">
        <f aca="false">IF(OR(E2231="",E2231="!!!",F2231="NEW"),"",INDEX(B34:B$2198,-1+SUMPRODUCT(MAX(ROW(E34:E$2198)*(E2231=E34:E$2198)))))</f>
        <v/>
      </c>
      <c r="J2231" s="24" t="str">
        <f aca="true">IF(OR(E2231="",E2231="!!!",F2231="NEW"),"",COUNTBLANK(OFFSET(A$1,,,SUMPRODUCT(MAX(ROW(E$2:E2231)*(E2231=E$2:E2231)))))-COUNTBLANK(OFFSET(A$1,,,SUMPRODUCT(MAX(ROW(E$1:E2230)*(E2=E$1:E2230))))))</f>
        <v/>
      </c>
      <c r="K2231" s="24" t="str">
        <f aca="false">IF(OR(E2231="",E2231="!!!",F2231="NEW"),"",INDEX(J$1:J2230,SUMPRODUCT(MAX(ROW(E$1:E2230)*(E2231=E$1:E2230)))))</f>
        <v/>
      </c>
      <c r="L2231" s="31"/>
    </row>
    <row r="2232" customFormat="false" ht="15" hidden="false" customHeight="false" outlineLevel="0" collapsed="false">
      <c r="A2232" s="20" t="s">
        <v>1064</v>
      </c>
      <c r="E2232" s="23" t="str">
        <f aca="false">IF(D2232="?OLD","!!!","")</f>
        <v/>
      </c>
      <c r="F2232" s="25" t="str">
        <f aca="false">IF(OR(E2232="",E2232="!!!"),"",IF(NOT(ISNA(VLOOKUP(E2232,E$1:E2231,1,FALSE()))),"OLD",IF(AND(E2232&lt;&gt;"",E2232&lt;&gt;"!!!"),"NEW","")))</f>
        <v/>
      </c>
      <c r="G2232" s="26" t="str">
        <f aca="false">IF(OR(E2232="",E2232="!!!"),"",IF(OR(J2232=0,AND(J2232=1,K2232=1),AND(J2232=1,I2232="SBJ"),AND(J2232=1,I2232=0)),"?IN_FOCUS",IF(J2232&lt;=2,"?ACTIVATED",IF(J2232&lt;&gt;"","?FAMILIAR",IF(F2232="NEW",IF(ISNA(VLOOKUP(E2232,#REF!,1,FALSE())),"?TYPE_IDENTIFIABLE","?REFERENTIAL"),"_")))))</f>
        <v/>
      </c>
      <c r="H2232" s="27" t="str">
        <f aca="false">IF(J2232&lt;&gt;1,"",IF(I2232="SBJ","CB","?"))</f>
        <v/>
      </c>
      <c r="I2232" s="24" t="str">
        <f aca="false">IF(OR(E2232="",E2232="!!!",F2232="NEW"),"",INDEX(B35:B$2198,-1+SUMPRODUCT(MAX(ROW(E35:E$2198)*(E2232=E35:E$2198)))))</f>
        <v/>
      </c>
      <c r="J2232" s="24" t="str">
        <f aca="true">IF(OR(E2232="",E2232="!!!",F2232="NEW"),"",COUNTBLANK(OFFSET(A$1,,,SUMPRODUCT(MAX(ROW(E$2:E2232)*(E2232=E$2:E2232)))))-COUNTBLANK(OFFSET(A$1,,,SUMPRODUCT(MAX(ROW(E$1:E2231)*(E2=E$1:E2231))))))</f>
        <v/>
      </c>
      <c r="K2232" s="24" t="str">
        <f aca="false">IF(OR(E2232="",E2232="!!!",F2232="NEW"),"",INDEX(J$1:J2231,SUMPRODUCT(MAX(ROW(E$1:E2231)*(E2232=E$1:E2231)))))</f>
        <v/>
      </c>
      <c r="L2232" s="31"/>
    </row>
    <row r="2233" customFormat="false" ht="15" hidden="false" customHeight="false" outlineLevel="0" collapsed="false">
      <c r="A2233" s="20" t="s">
        <v>1109</v>
      </c>
      <c r="E2233" s="23" t="str">
        <f aca="false">IF(D2233="?OLD","!!!","")</f>
        <v/>
      </c>
      <c r="F2233" s="25" t="str">
        <f aca="false">IF(OR(E2233="",E2233="!!!"),"",IF(NOT(ISNA(VLOOKUP(E2233,E$1:E2232,1,FALSE()))),"OLD",IF(AND(E2233&lt;&gt;"",E2233&lt;&gt;"!!!"),"NEW","")))</f>
        <v/>
      </c>
      <c r="G2233" s="26" t="str">
        <f aca="false">IF(OR(E2233="",E2233="!!!"),"",IF(OR(J2233=0,AND(J2233=1,K2233=1),AND(J2233=1,I2233="SBJ"),AND(J2233=1,I2233=0)),"?IN_FOCUS",IF(J2233&lt;=2,"?ACTIVATED",IF(J2233&lt;&gt;"","?FAMILIAR",IF(F2233="NEW",IF(ISNA(VLOOKUP(E2233,#REF!,1,FALSE())),"?TYPE_IDENTIFIABLE","?REFERENTIAL"),"_")))))</f>
        <v/>
      </c>
      <c r="H2233" s="27" t="str">
        <f aca="false">IF(J2233&lt;&gt;1,"",IF(I2233="SBJ","CB","?"))</f>
        <v/>
      </c>
      <c r="I2233" s="24" t="str">
        <f aca="false">IF(OR(E2233="",E2233="!!!",F2233="NEW"),"",INDEX(B36:B$2198,-1+SUMPRODUCT(MAX(ROW(E36:E$2198)*(E2233=E36:E$2198)))))</f>
        <v/>
      </c>
      <c r="J2233" s="24" t="str">
        <f aca="true">IF(OR(E2233="",E2233="!!!",F2233="NEW"),"",COUNTBLANK(OFFSET(A$1,,,SUMPRODUCT(MAX(ROW(E$2:E2233)*(E2233=E$2:E2233)))))-COUNTBLANK(OFFSET(A$1,,,SUMPRODUCT(MAX(ROW(E$1:E2232)*(E2=E$1:E2232))))))</f>
        <v/>
      </c>
      <c r="K2233" s="24" t="str">
        <f aca="false">IF(OR(E2233="",E2233="!!!",F2233="NEW"),"",INDEX(J$1:J2232,SUMPRODUCT(MAX(ROW(E$1:E2232)*(E2233=E$1:E2232)))))</f>
        <v/>
      </c>
      <c r="L2233" s="31"/>
    </row>
    <row r="2234" customFormat="false" ht="15" hidden="false" customHeight="false" outlineLevel="0" collapsed="false">
      <c r="A2234" s="20" t="s">
        <v>1462</v>
      </c>
      <c r="B2234" s="22" t="s">
        <v>1107</v>
      </c>
      <c r="C2234" s="22" t="s">
        <v>1150</v>
      </c>
      <c r="D2234" s="22" t="s">
        <v>1060</v>
      </c>
      <c r="E2234" s="23" t="str">
        <f aca="false">IF(D2234="?OLD","!!!","")</f>
        <v>!!!</v>
      </c>
      <c r="F2234" s="25" t="str">
        <f aca="false">IF(OR(E2234="",E2234="!!!"),"",IF(NOT(ISNA(VLOOKUP(E2234,E$1:E2233,1,FALSE()))),"OLD",IF(AND(E2234&lt;&gt;"",E2234&lt;&gt;"!!!"),"NEW","")))</f>
        <v/>
      </c>
      <c r="G2234" s="26" t="str">
        <f aca="false">IF(OR(E2234="",E2234="!!!"),"",IF(OR(J2234=0,AND(J2234=1,K2234=1),AND(J2234=1,I2234="SBJ"),AND(J2234=1,I2234=0)),"?IN_FOCUS",IF(J2234&lt;=2,"?ACTIVATED",IF(J2234&lt;&gt;"","?FAMILIAR",IF(F2234="NEW",IF(ISNA(VLOOKUP(E2234,#REF!,1,FALSE())),"?TYPE_IDENTIFIABLE","?REFERENTIAL"),"_")))))</f>
        <v/>
      </c>
      <c r="H2234" s="27" t="str">
        <f aca="false">IF(J2234&lt;&gt;1,"",IF(I2234="SBJ","CB","?"))</f>
        <v/>
      </c>
      <c r="I2234" s="24" t="str">
        <f aca="false">IF(OR(E2234="",E2234="!!!",F2234="NEW"),"",INDEX(B37:B$2198,-1+SUMPRODUCT(MAX(ROW(E37:E$2198)*(E2234=E37:E$2198)))))</f>
        <v/>
      </c>
      <c r="J2234" s="24" t="str">
        <f aca="true">IF(OR(E2234="",E2234="!!!",F2234="NEW"),"",COUNTBLANK(OFFSET(A$1,,,SUMPRODUCT(MAX(ROW(E$2:E2234)*(E2234=E$2:E2234)))))-COUNTBLANK(OFFSET(A$1,,,SUMPRODUCT(MAX(ROW(E$1:E2233)*(E2=E$1:E2233))))))</f>
        <v/>
      </c>
      <c r="K2234" s="24" t="str">
        <f aca="false">IF(OR(E2234="",E2234="!!!",F2234="NEW"),"",INDEX(J$1:J2233,SUMPRODUCT(MAX(ROW(E$1:E2233)*(E2234=E$1:E2233)))))</f>
        <v/>
      </c>
      <c r="L2234" s="31"/>
    </row>
    <row r="2235" customFormat="false" ht="15" hidden="false" customHeight="false" outlineLevel="0" collapsed="false">
      <c r="A2235" s="20" t="s">
        <v>1064</v>
      </c>
      <c r="E2235" s="23" t="str">
        <f aca="false">IF(D2235="?OLD","!!!","")</f>
        <v/>
      </c>
      <c r="F2235" s="25" t="str">
        <f aca="false">IF(OR(E2235="",E2235="!!!"),"",IF(NOT(ISNA(VLOOKUP(E2235,E$1:E2234,1,FALSE()))),"OLD",IF(AND(E2235&lt;&gt;"",E2235&lt;&gt;"!!!"),"NEW","")))</f>
        <v/>
      </c>
      <c r="G2235" s="26" t="str">
        <f aca="false">IF(OR(E2235="",E2235="!!!"),"",IF(OR(J2235=0,AND(J2235=1,K2235=1),AND(J2235=1,I2235="SBJ"),AND(J2235=1,I2235=0)),"?IN_FOCUS",IF(J2235&lt;=2,"?ACTIVATED",IF(J2235&lt;&gt;"","?FAMILIAR",IF(F2235="NEW",IF(ISNA(VLOOKUP(E2235,#REF!,1,FALSE())),"?TYPE_IDENTIFIABLE","?REFERENTIAL"),"_")))))</f>
        <v/>
      </c>
      <c r="H2235" s="27" t="str">
        <f aca="false">IF(J2235&lt;&gt;1,"",IF(I2235="SBJ","CB","?"))</f>
        <v/>
      </c>
      <c r="I2235" s="24" t="str">
        <f aca="false">IF(OR(E2235="",E2235="!!!",F2235="NEW"),"",INDEX(B38:B$2198,-1+SUMPRODUCT(MAX(ROW(E38:E$2198)*(E2235=E38:E$2198)))))</f>
        <v/>
      </c>
      <c r="J2235" s="24" t="str">
        <f aca="true">IF(OR(E2235="",E2235="!!!",F2235="NEW"),"",COUNTBLANK(OFFSET(A$1,,,SUMPRODUCT(MAX(ROW(E$2:E2235)*(E2235=E$2:E2235)))))-COUNTBLANK(OFFSET(A$1,,,SUMPRODUCT(MAX(ROW(E$1:E2234)*(E2=E$1:E2234))))))</f>
        <v/>
      </c>
      <c r="K2235" s="24" t="str">
        <f aca="false">IF(OR(E2235="",E2235="!!!",F2235="NEW"),"",INDEX(J$1:J2234,SUMPRODUCT(MAX(ROW(E$1:E2234)*(E2235=E$1:E2234)))))</f>
        <v/>
      </c>
      <c r="L2235" s="31"/>
    </row>
    <row r="2236" customFormat="false" ht="15" hidden="false" customHeight="false" outlineLevel="0" collapsed="false">
      <c r="A2236" s="20" t="s">
        <v>1358</v>
      </c>
      <c r="B2236" s="22" t="s">
        <v>1098</v>
      </c>
      <c r="C2236" s="22" t="s">
        <v>1160</v>
      </c>
      <c r="E2236" s="23" t="str">
        <f aca="false">IF(D2236="?OLD","!!!","")</f>
        <v/>
      </c>
      <c r="F2236" s="25" t="str">
        <f aca="false">IF(OR(E2236="",E2236="!!!"),"",IF(NOT(ISNA(VLOOKUP(E2236,E$1:E2235,1,FALSE()))),"OLD",IF(AND(E2236&lt;&gt;"",E2236&lt;&gt;"!!!"),"NEW","")))</f>
        <v/>
      </c>
      <c r="G2236" s="26" t="str">
        <f aca="false">IF(OR(E2236="",E2236="!!!"),"",IF(OR(J2236=0,AND(J2236=1,K2236=1),AND(J2236=1,I2236="SBJ"),AND(J2236=1,I2236=0)),"?IN_FOCUS",IF(J2236&lt;=2,"?ACTIVATED",IF(J2236&lt;&gt;"","?FAMILIAR",IF(F2236="NEW",IF(ISNA(VLOOKUP(E2236,#REF!,1,FALSE())),"?TYPE_IDENTIFIABLE","?REFERENTIAL"),"_")))))</f>
        <v/>
      </c>
      <c r="H2236" s="27" t="str">
        <f aca="false">IF(J2236&lt;&gt;1,"",IF(I2236="SBJ","CB","?"))</f>
        <v/>
      </c>
      <c r="I2236" s="24" t="str">
        <f aca="false">IF(OR(E2236="",E2236="!!!",F2236="NEW"),"",INDEX(B39:B$2198,-1+SUMPRODUCT(MAX(ROW(E39:E$2198)*(E2236=E39:E$2198)))))</f>
        <v/>
      </c>
      <c r="J2236" s="24" t="str">
        <f aca="true">IF(OR(E2236="",E2236="!!!",F2236="NEW"),"",COUNTBLANK(OFFSET(A$1,,,SUMPRODUCT(MAX(ROW(E$2:E2236)*(E2236=E$2:E2236)))))-COUNTBLANK(OFFSET(A$1,,,SUMPRODUCT(MAX(ROW(E$1:E2235)*(E2=E$1:E2235))))))</f>
        <v/>
      </c>
      <c r="K2236" s="24" t="str">
        <f aca="false">IF(OR(E2236="",E2236="!!!",F2236="NEW"),"",INDEX(J$1:J2235,SUMPRODUCT(MAX(ROW(E$1:E2235)*(E2236=E$1:E2235)))))</f>
        <v/>
      </c>
      <c r="L2236" s="31"/>
    </row>
    <row r="2237" customFormat="false" ht="15" hidden="false" customHeight="false" outlineLevel="0" collapsed="false">
      <c r="A2237" s="20" t="s">
        <v>923</v>
      </c>
      <c r="E2237" s="23" t="str">
        <f aca="false">IF(D2237="?OLD","!!!","")</f>
        <v/>
      </c>
      <c r="F2237" s="25" t="str">
        <f aca="false">IF(OR(E2237="",E2237="!!!"),"",IF(NOT(ISNA(VLOOKUP(E2237,E$1:E2236,1,FALSE()))),"OLD",IF(AND(E2237&lt;&gt;"",E2237&lt;&gt;"!!!"),"NEW","")))</f>
        <v/>
      </c>
      <c r="G2237" s="26" t="str">
        <f aca="false">IF(OR(E2237="",E2237="!!!"),"",IF(OR(J2237=0,AND(J2237=1,K2237=1),AND(J2237=1,I2237="SBJ"),AND(J2237=1,I2237=0)),"?IN_FOCUS",IF(J2237&lt;=2,"?ACTIVATED",IF(J2237&lt;&gt;"","?FAMILIAR",IF(F2237="NEW",IF(ISNA(VLOOKUP(E2237,#REF!,1,FALSE())),"?TYPE_IDENTIFIABLE","?REFERENTIAL"),"_")))))</f>
        <v/>
      </c>
      <c r="H2237" s="27" t="str">
        <f aca="false">IF(J2237&lt;&gt;1,"",IF(I2237="SBJ","CB","?"))</f>
        <v/>
      </c>
      <c r="I2237" s="24" t="str">
        <f aca="false">IF(OR(E2237="",E2237="!!!",F2237="NEW"),"",INDEX(B40:B$2198,-1+SUMPRODUCT(MAX(ROW(E40:E$2198)*(E2237=E40:E$2198)))))</f>
        <v/>
      </c>
      <c r="J2237" s="24" t="str">
        <f aca="true">IF(OR(E2237="",E2237="!!!",F2237="NEW"),"",COUNTBLANK(OFFSET(A$1,,,SUMPRODUCT(MAX(ROW(E$2:E2237)*(E2237=E$2:E2237)))))-COUNTBLANK(OFFSET(A$1,,,SUMPRODUCT(MAX(ROW(E$1:E2236)*(E2=E$1:E2236))))))</f>
        <v/>
      </c>
      <c r="K2237" s="24" t="str">
        <f aca="false">IF(OR(E2237="",E2237="!!!",F2237="NEW"),"",INDEX(J$1:J2236,SUMPRODUCT(MAX(ROW(E$1:E2236)*(E2237=E$1:E2236)))))</f>
        <v/>
      </c>
      <c r="L2237" s="31"/>
    </row>
    <row r="2238" customFormat="false" ht="15" hidden="false" customHeight="false" outlineLevel="0" collapsed="false">
      <c r="A2238" s="20"/>
    </row>
    <row r="2239" customFormat="false" ht="15" hidden="false" customHeight="false" outlineLevel="0" collapsed="false">
      <c r="A2239" s="20" t="s">
        <v>1887</v>
      </c>
    </row>
    <row r="2240" customFormat="false" ht="15" hidden="false" customHeight="false" outlineLevel="0" collapsed="false">
      <c r="A2240" s="20" t="s">
        <v>1888</v>
      </c>
      <c r="E2240" s="23" t="str">
        <f aca="false">IF(D2240="?OLD","!!!","")</f>
        <v/>
      </c>
      <c r="F2240" s="25" t="str">
        <f aca="false">IF(OR(E2240="",E2240="!!!"),"",IF(NOT(ISNA(VLOOKUP(E2240,E$1:E2239,1,FALSE()))),"OLD",IF(AND(E2240&lt;&gt;"",E2240&lt;&gt;"!!!"),"NEW","")))</f>
        <v/>
      </c>
      <c r="G2240" s="26" t="str">
        <f aca="false">IF(OR(E2240="",E2240="!!!"),"",IF(OR(J2240=0,AND(J2240=1,K2240=1),AND(J2240=1,I2240="SBJ"),AND(J2240=1,I2240=0)),"?IN_FOCUS",IF(J2240&lt;=2,"?ACTIVATED",IF(J2240&lt;&gt;"","?FAMILIAR",IF(F2240="NEW",IF(ISNA(VLOOKUP(E2240,#REF!,1,FALSE())),"?TYPE_IDENTIFIABLE","?REFERENTIAL"),"_")))))</f>
        <v/>
      </c>
      <c r="H2240" s="27" t="str">
        <f aca="false">IF(J2240&lt;&gt;1,"",IF(I2240="SBJ","CB","?"))</f>
        <v/>
      </c>
      <c r="I2240" s="24" t="str">
        <f aca="false">IF(OR(E2240="",E2240="!!!",F2240="NEW"),"",INDEX(B2:B$2239,-1+SUMPRODUCT(MAX(ROW(E2:E$2239)*(E2240=E2:E$2239)))))</f>
        <v/>
      </c>
      <c r="J2240" s="24" t="str">
        <f aca="true">IF(OR(E2240="",E2240="!!!",F2240="NEW"),"",COUNTBLANK(OFFSET(A$1,,,SUMPRODUCT(MAX(ROW(E$2:E2240)*(E2240=E$2:E2240)))))-COUNTBLANK(OFFSET(A$1,,,SUMPRODUCT(MAX(ROW(E$1:E2239)*(E2=E$1:E2239))))))</f>
        <v/>
      </c>
      <c r="K2240" s="24" t="str">
        <f aca="false">IF(OR(E2240="",E2240="!!!",F2240="NEW"),"",INDEX(J$1:J2239,SUMPRODUCT(MAX(ROW(E$1:E2239)*(E2240=E$1:E2239)))))</f>
        <v/>
      </c>
      <c r="L2240" s="31"/>
    </row>
    <row r="2241" customFormat="false" ht="15" hidden="false" customHeight="false" outlineLevel="0" collapsed="false">
      <c r="A2241" s="20" t="s">
        <v>78</v>
      </c>
      <c r="E2241" s="23" t="str">
        <f aca="false">IF(D2241="?OLD","!!!","")</f>
        <v/>
      </c>
      <c r="F2241" s="25" t="str">
        <f aca="false">IF(OR(E2241="",E2241="!!!"),"",IF(NOT(ISNA(VLOOKUP(E2241,E$1:E2240,1,FALSE()))),"OLD",IF(AND(E2241&lt;&gt;"",E2241&lt;&gt;"!!!"),"NEW","")))</f>
        <v/>
      </c>
      <c r="G2241" s="26" t="str">
        <f aca="false">IF(OR(E2241="",E2241="!!!"),"",IF(OR(J2241=0,AND(J2241=1,K2241=1),AND(J2241=1,I2241="SBJ"),AND(J2241=1,I2241=0)),"?IN_FOCUS",IF(J2241&lt;=2,"?ACTIVATED",IF(J2241&lt;&gt;"","?FAMILIAR",IF(F2241="NEW",IF(ISNA(VLOOKUP(E2241,#REF!,1,FALSE())),"?TYPE_IDENTIFIABLE","?REFERENTIAL"),"_")))))</f>
        <v/>
      </c>
      <c r="H2241" s="27" t="str">
        <f aca="false">IF(J2241&lt;&gt;1,"",IF(I2241="SBJ","CB","?"))</f>
        <v/>
      </c>
      <c r="I2241" s="24" t="str">
        <f aca="false">IF(OR(E2241="",E2241="!!!",F2241="NEW"),"",INDEX(B3:B$2239,-1+SUMPRODUCT(MAX(ROW(E3:E$2239)*(E2241=E3:E$2239)))))</f>
        <v/>
      </c>
      <c r="J2241" s="24" t="str">
        <f aca="true">IF(OR(E2241="",E2241="!!!",F2241="NEW"),"",COUNTBLANK(OFFSET(A$1,,,SUMPRODUCT(MAX(ROW(E$2:E2241)*(E2241=E$2:E2241)))))-COUNTBLANK(OFFSET(A$1,,,SUMPRODUCT(MAX(ROW(E$1:E2240)*(E2=E$1:E2240))))))</f>
        <v/>
      </c>
      <c r="K2241" s="24" t="str">
        <f aca="false">IF(OR(E2241="",E2241="!!!",F2241="NEW"),"",INDEX(J$1:J2240,SUMPRODUCT(MAX(ROW(E$1:E2240)*(E2241=E$1:E2240)))))</f>
        <v/>
      </c>
      <c r="L2241" s="31"/>
    </row>
    <row r="2242" customFormat="false" ht="15" hidden="false" customHeight="false" outlineLevel="0" collapsed="false">
      <c r="A2242" s="20" t="s">
        <v>1889</v>
      </c>
      <c r="B2242" s="22" t="s">
        <v>1105</v>
      </c>
      <c r="C2242" s="22" t="s">
        <v>1160</v>
      </c>
      <c r="E2242" s="23" t="str">
        <f aca="false">IF(D2242="?OLD","!!!","")</f>
        <v/>
      </c>
      <c r="F2242" s="25" t="str">
        <f aca="false">IF(OR(E2242="",E2242="!!!"),"",IF(NOT(ISNA(VLOOKUP(E2242,E$1:E2241,1,FALSE()))),"OLD",IF(AND(E2242&lt;&gt;"",E2242&lt;&gt;"!!!"),"NEW","")))</f>
        <v/>
      </c>
      <c r="G2242" s="26" t="str">
        <f aca="false">IF(OR(E2242="",E2242="!!!"),"",IF(OR(J2242=0,AND(J2242=1,K2242=1),AND(J2242=1,I2242="SBJ"),AND(J2242=1,I2242=0)),"?IN_FOCUS",IF(J2242&lt;=2,"?ACTIVATED",IF(J2242&lt;&gt;"","?FAMILIAR",IF(F2242="NEW",IF(ISNA(VLOOKUP(E2242,#REF!,1,FALSE())),"?TYPE_IDENTIFIABLE","?REFERENTIAL"),"_")))))</f>
        <v/>
      </c>
      <c r="H2242" s="27" t="str">
        <f aca="false">IF(J2242&lt;&gt;1,"",IF(I2242="SBJ","CB","?"))</f>
        <v/>
      </c>
      <c r="I2242" s="24" t="str">
        <f aca="false">IF(OR(E2242="",E2242="!!!",F2242="NEW"),"",INDEX(B4:B$2239,-1+SUMPRODUCT(MAX(ROW(E4:E$2239)*(E2242=E4:E$2239)))))</f>
        <v/>
      </c>
      <c r="J2242" s="24" t="str">
        <f aca="true">IF(OR(E2242="",E2242="!!!",F2242="NEW"),"",COUNTBLANK(OFFSET(A$1,,,SUMPRODUCT(MAX(ROW(E$2:E2242)*(E2242=E$2:E2242)))))-COUNTBLANK(OFFSET(A$1,,,SUMPRODUCT(MAX(ROW(E$1:E2241)*(E2=E$1:E2241))))))</f>
        <v/>
      </c>
      <c r="K2242" s="24" t="str">
        <f aca="false">IF(OR(E2242="",E2242="!!!",F2242="NEW"),"",INDEX(J$1:J2241,SUMPRODUCT(MAX(ROW(E$1:E2241)*(E2242=E$1:E2241)))))</f>
        <v/>
      </c>
      <c r="L2242" s="31"/>
    </row>
    <row r="2243" customFormat="false" ht="15" hidden="false" customHeight="false" outlineLevel="0" collapsed="false">
      <c r="A2243" s="20" t="s">
        <v>1109</v>
      </c>
      <c r="E2243" s="23" t="str">
        <f aca="false">IF(D2243="?OLD","!!!","")</f>
        <v/>
      </c>
      <c r="F2243" s="25" t="str">
        <f aca="false">IF(OR(E2243="",E2243="!!!"),"",IF(NOT(ISNA(VLOOKUP(E2243,E$1:E2242,1,FALSE()))),"OLD",IF(AND(E2243&lt;&gt;"",E2243&lt;&gt;"!!!"),"NEW","")))</f>
        <v/>
      </c>
      <c r="G2243" s="26" t="str">
        <f aca="false">IF(OR(E2243="",E2243="!!!"),"",IF(OR(J2243=0,AND(J2243=1,K2243=1),AND(J2243=1,I2243="SBJ"),AND(J2243=1,I2243=0)),"?IN_FOCUS",IF(J2243&lt;=2,"?ACTIVATED",IF(J2243&lt;&gt;"","?FAMILIAR",IF(F2243="NEW",IF(ISNA(VLOOKUP(E2243,#REF!,1,FALSE())),"?TYPE_IDENTIFIABLE","?REFERENTIAL"),"_")))))</f>
        <v/>
      </c>
      <c r="H2243" s="27" t="str">
        <f aca="false">IF(J2243&lt;&gt;1,"",IF(I2243="SBJ","CB","?"))</f>
        <v/>
      </c>
      <c r="I2243" s="24" t="str">
        <f aca="false">IF(OR(E2243="",E2243="!!!",F2243="NEW"),"",INDEX(B5:B$2239,-1+SUMPRODUCT(MAX(ROW(E5:E$2239)*(E2243=E5:E$2239)))))</f>
        <v/>
      </c>
      <c r="J2243" s="24" t="str">
        <f aca="true">IF(OR(E2243="",E2243="!!!",F2243="NEW"),"",COUNTBLANK(OFFSET(A$1,,,SUMPRODUCT(MAX(ROW(E$2:E2243)*(E2243=E$2:E2243)))))-COUNTBLANK(OFFSET(A$1,,,SUMPRODUCT(MAX(ROW(E$1:E2242)*(E2=E$1:E2242))))))</f>
        <v/>
      </c>
      <c r="K2243" s="24" t="str">
        <f aca="false">IF(OR(E2243="",E2243="!!!",F2243="NEW"),"",INDEX(J$1:J2242,SUMPRODUCT(MAX(ROW(E$1:E2242)*(E2243=E$1:E2242)))))</f>
        <v/>
      </c>
      <c r="L2243" s="31"/>
    </row>
    <row r="2244" customFormat="false" ht="15" hidden="false" customHeight="false" outlineLevel="0" collapsed="false">
      <c r="A2244" s="20" t="s">
        <v>1356</v>
      </c>
      <c r="E2244" s="23" t="str">
        <f aca="false">IF(D2244="?OLD","!!!","")</f>
        <v/>
      </c>
      <c r="F2244" s="25" t="str">
        <f aca="false">IF(OR(E2244="",E2244="!!!"),"",IF(NOT(ISNA(VLOOKUP(E2244,E$1:E2243,1,FALSE()))),"OLD",IF(AND(E2244&lt;&gt;"",E2244&lt;&gt;"!!!"),"NEW","")))</f>
        <v/>
      </c>
      <c r="G2244" s="26" t="str">
        <f aca="false">IF(OR(E2244="",E2244="!!!"),"",IF(OR(J2244=0,AND(J2244=1,K2244=1),AND(J2244=1,I2244="SBJ"),AND(J2244=1,I2244=0)),"?IN_FOCUS",IF(J2244&lt;=2,"?ACTIVATED",IF(J2244&lt;&gt;"","?FAMILIAR",IF(F2244="NEW",IF(ISNA(VLOOKUP(E2244,#REF!,1,FALSE())),"?TYPE_IDENTIFIABLE","?REFERENTIAL"),"_")))))</f>
        <v/>
      </c>
      <c r="H2244" s="27" t="str">
        <f aca="false">IF(J2244&lt;&gt;1,"",IF(I2244="SBJ","CB","?"))</f>
        <v/>
      </c>
      <c r="I2244" s="24" t="str">
        <f aca="false">IF(OR(E2244="",E2244="!!!",F2244="NEW"),"",INDEX(B6:B$2239,-1+SUMPRODUCT(MAX(ROW(E6:E$2239)*(E2244=E6:E$2239)))))</f>
        <v/>
      </c>
      <c r="J2244" s="24" t="str">
        <f aca="true">IF(OR(E2244="",E2244="!!!",F2244="NEW"),"",COUNTBLANK(OFFSET(A$1,,,SUMPRODUCT(MAX(ROW(E$2:E2244)*(E2244=E$2:E2244)))))-COUNTBLANK(OFFSET(A$1,,,SUMPRODUCT(MAX(ROW(E$1:E2243)*(E2=E$1:E2243))))))</f>
        <v/>
      </c>
      <c r="K2244" s="24" t="str">
        <f aca="false">IF(OR(E2244="",E2244="!!!",F2244="NEW"),"",INDEX(J$1:J2243,SUMPRODUCT(MAX(ROW(E$1:E2243)*(E2244=E$1:E2243)))))</f>
        <v/>
      </c>
      <c r="L2244" s="31"/>
    </row>
    <row r="2245" customFormat="false" ht="15" hidden="false" customHeight="false" outlineLevel="0" collapsed="false">
      <c r="A2245" s="20" t="s">
        <v>1859</v>
      </c>
      <c r="E2245" s="23" t="str">
        <f aca="false">IF(D2245="?OLD","!!!","")</f>
        <v/>
      </c>
      <c r="F2245" s="25" t="str">
        <f aca="false">IF(OR(E2245="",E2245="!!!"),"",IF(NOT(ISNA(VLOOKUP(E2245,E$1:E2244,1,FALSE()))),"OLD",IF(AND(E2245&lt;&gt;"",E2245&lt;&gt;"!!!"),"NEW","")))</f>
        <v/>
      </c>
      <c r="G2245" s="26" t="str">
        <f aca="false">IF(OR(E2245="",E2245="!!!"),"",IF(OR(J2245=0,AND(J2245=1,K2245=1),AND(J2245=1,I2245="SBJ"),AND(J2245=1,I2245=0)),"?IN_FOCUS",IF(J2245&lt;=2,"?ACTIVATED",IF(J2245&lt;&gt;"","?FAMILIAR",IF(F2245="NEW",IF(ISNA(VLOOKUP(E2245,#REF!,1,FALSE())),"?TYPE_IDENTIFIABLE","?REFERENTIAL"),"_")))))</f>
        <v/>
      </c>
      <c r="H2245" s="27" t="str">
        <f aca="false">IF(J2245&lt;&gt;1,"",IF(I2245="SBJ","CB","?"))</f>
        <v/>
      </c>
      <c r="I2245" s="24" t="str">
        <f aca="false">IF(OR(E2245="",E2245="!!!",F2245="NEW"),"",INDEX(B7:B$2239,-1+SUMPRODUCT(MAX(ROW(E7:E$2239)*(E2245=E7:E$2239)))))</f>
        <v/>
      </c>
      <c r="J2245" s="24" t="str">
        <f aca="true">IF(OR(E2245="",E2245="!!!",F2245="NEW"),"",COUNTBLANK(OFFSET(A$1,,,SUMPRODUCT(MAX(ROW(E$2:E2245)*(E2245=E$2:E2245)))))-COUNTBLANK(OFFSET(A$1,,,SUMPRODUCT(MAX(ROW(E$1:E2244)*(E2=E$1:E2244))))))</f>
        <v/>
      </c>
      <c r="K2245" s="24" t="str">
        <f aca="false">IF(OR(E2245="",E2245="!!!",F2245="NEW"),"",INDEX(J$1:J2244,SUMPRODUCT(MAX(ROW(E$1:E2244)*(E2245=E$1:E2244)))))</f>
        <v/>
      </c>
      <c r="L2245" s="31"/>
    </row>
    <row r="2246" customFormat="false" ht="15" hidden="false" customHeight="false" outlineLevel="0" collapsed="false">
      <c r="A2246" s="20" t="s">
        <v>1890</v>
      </c>
      <c r="B2246" s="22" t="s">
        <v>1058</v>
      </c>
      <c r="C2246" s="22" t="s">
        <v>1150</v>
      </c>
      <c r="D2246" s="22" t="s">
        <v>1060</v>
      </c>
      <c r="E2246" s="23" t="str">
        <f aca="false">IF(D2246="?OLD","!!!","")</f>
        <v>!!!</v>
      </c>
      <c r="F2246" s="25" t="str">
        <f aca="false">IF(OR(E2246="",E2246="!!!"),"",IF(NOT(ISNA(VLOOKUP(E2246,E$1:E2245,1,FALSE()))),"OLD",IF(AND(E2246&lt;&gt;"",E2246&lt;&gt;"!!!"),"NEW","")))</f>
        <v/>
      </c>
      <c r="G2246" s="26" t="str">
        <f aca="false">IF(OR(E2246="",E2246="!!!"),"",IF(OR(J2246=0,AND(J2246=1,K2246=1),AND(J2246=1,I2246="SBJ"),AND(J2246=1,I2246=0)),"?IN_FOCUS",IF(J2246&lt;=2,"?ACTIVATED",IF(J2246&lt;&gt;"","?FAMILIAR",IF(F2246="NEW",IF(ISNA(VLOOKUP(E2246,#REF!,1,FALSE())),"?TYPE_IDENTIFIABLE","?REFERENTIAL"),"_")))))</f>
        <v/>
      </c>
      <c r="H2246" s="27" t="str">
        <f aca="false">IF(J2246&lt;&gt;1,"",IF(I2246="SBJ","CB","?"))</f>
        <v/>
      </c>
      <c r="I2246" s="24" t="str">
        <f aca="false">IF(OR(E2246="",E2246="!!!",F2246="NEW"),"",INDEX(B8:B$2239,-1+SUMPRODUCT(MAX(ROW(E8:E$2239)*(E2246=E8:E$2239)))))</f>
        <v/>
      </c>
      <c r="J2246" s="24" t="str">
        <f aca="true">IF(OR(E2246="",E2246="!!!",F2246="NEW"),"",COUNTBLANK(OFFSET(A$1,,,SUMPRODUCT(MAX(ROW(E$2:E2246)*(E2246=E$2:E2246)))))-COUNTBLANK(OFFSET(A$1,,,SUMPRODUCT(MAX(ROW(E$1:E2245)*(E2=E$1:E2245))))))</f>
        <v/>
      </c>
      <c r="K2246" s="24" t="str">
        <f aca="false">IF(OR(E2246="",E2246="!!!",F2246="NEW"),"",INDEX(J$1:J2245,SUMPRODUCT(MAX(ROW(E$1:E2245)*(E2246=E$1:E2245)))))</f>
        <v/>
      </c>
      <c r="L2246" s="31"/>
    </row>
    <row r="2247" customFormat="false" ht="15" hidden="false" customHeight="false" outlineLevel="0" collapsed="false">
      <c r="A2247" s="20" t="s">
        <v>1092</v>
      </c>
      <c r="E2247" s="23" t="str">
        <f aca="false">IF(D2247="?OLD","!!!","")</f>
        <v/>
      </c>
      <c r="F2247" s="25" t="str">
        <f aca="false">IF(OR(E2247="",E2247="!!!"),"",IF(NOT(ISNA(VLOOKUP(E2247,E$1:E2246,1,FALSE()))),"OLD",IF(AND(E2247&lt;&gt;"",E2247&lt;&gt;"!!!"),"NEW","")))</f>
        <v/>
      </c>
      <c r="G2247" s="26" t="str">
        <f aca="false">IF(OR(E2247="",E2247="!!!"),"",IF(OR(J2247=0,AND(J2247=1,K2247=1),AND(J2247=1,I2247="SBJ"),AND(J2247=1,I2247=0)),"?IN_FOCUS",IF(J2247&lt;=2,"?ACTIVATED",IF(J2247&lt;&gt;"","?FAMILIAR",IF(F2247="NEW",IF(ISNA(VLOOKUP(E2247,#REF!,1,FALSE())),"?TYPE_IDENTIFIABLE","?REFERENTIAL"),"_")))))</f>
        <v/>
      </c>
      <c r="H2247" s="27" t="str">
        <f aca="false">IF(J2247&lt;&gt;1,"",IF(I2247="SBJ","CB","?"))</f>
        <v/>
      </c>
      <c r="I2247" s="24" t="str">
        <f aca="false">IF(OR(E2247="",E2247="!!!",F2247="NEW"),"",INDEX(B9:B$2239,-1+SUMPRODUCT(MAX(ROW(E9:E$2239)*(E2247=E9:E$2239)))))</f>
        <v/>
      </c>
      <c r="J2247" s="24" t="str">
        <f aca="true">IF(OR(E2247="",E2247="!!!",F2247="NEW"),"",COUNTBLANK(OFFSET(A$1,,,SUMPRODUCT(MAX(ROW(E$2:E2247)*(E2247=E$2:E2247)))))-COUNTBLANK(OFFSET(A$1,,,SUMPRODUCT(MAX(ROW(E$1:E2246)*(E2=E$1:E2246))))))</f>
        <v/>
      </c>
      <c r="K2247" s="24" t="str">
        <f aca="false">IF(OR(E2247="",E2247="!!!",F2247="NEW"),"",INDEX(J$1:J2246,SUMPRODUCT(MAX(ROW(E$1:E2246)*(E2247=E$1:E2246)))))</f>
        <v/>
      </c>
      <c r="L2247" s="31"/>
    </row>
    <row r="2248" customFormat="false" ht="15" hidden="false" customHeight="false" outlineLevel="0" collapsed="false">
      <c r="A2248" s="20" t="s">
        <v>1891</v>
      </c>
      <c r="E2248" s="23" t="str">
        <f aca="false">IF(D2248="?OLD","!!!","")</f>
        <v/>
      </c>
      <c r="F2248" s="25" t="str">
        <f aca="false">IF(OR(E2248="",E2248="!!!"),"",IF(NOT(ISNA(VLOOKUP(E2248,E$1:E2247,1,FALSE()))),"OLD",IF(AND(E2248&lt;&gt;"",E2248&lt;&gt;"!!!"),"NEW","")))</f>
        <v/>
      </c>
      <c r="G2248" s="26" t="str">
        <f aca="false">IF(OR(E2248="",E2248="!!!"),"",IF(OR(J2248=0,AND(J2248=1,K2248=1),AND(J2248=1,I2248="SBJ"),AND(J2248=1,I2248=0)),"?IN_FOCUS",IF(J2248&lt;=2,"?ACTIVATED",IF(J2248&lt;&gt;"","?FAMILIAR",IF(F2248="NEW",IF(ISNA(VLOOKUP(E2248,#REF!,1,FALSE())),"?TYPE_IDENTIFIABLE","?REFERENTIAL"),"_")))))</f>
        <v/>
      </c>
      <c r="H2248" s="27" t="str">
        <f aca="false">IF(J2248&lt;&gt;1,"",IF(I2248="SBJ","CB","?"))</f>
        <v/>
      </c>
      <c r="I2248" s="24" t="str">
        <f aca="false">IF(OR(E2248="",E2248="!!!",F2248="NEW"),"",INDEX(B10:B$2239,-1+SUMPRODUCT(MAX(ROW(E10:E$2239)*(E2248=E10:E$2239)))))</f>
        <v/>
      </c>
      <c r="J2248" s="24" t="str">
        <f aca="true">IF(OR(E2248="",E2248="!!!",F2248="NEW"),"",COUNTBLANK(OFFSET(A$1,,,SUMPRODUCT(MAX(ROW(E$2:E2248)*(E2248=E$2:E2248)))))-COUNTBLANK(OFFSET(A$1,,,SUMPRODUCT(MAX(ROW(E$1:E2247)*(E2=E$1:E2247))))))</f>
        <v/>
      </c>
      <c r="K2248" s="24" t="str">
        <f aca="false">IF(OR(E2248="",E2248="!!!",F2248="NEW"),"",INDEX(J$1:J2247,SUMPRODUCT(MAX(ROW(E$1:E2247)*(E2248=E$1:E2247)))))</f>
        <v/>
      </c>
      <c r="L2248" s="31"/>
    </row>
    <row r="2249" customFormat="false" ht="15" hidden="false" customHeight="false" outlineLevel="0" collapsed="false">
      <c r="A2249" s="20" t="s">
        <v>1283</v>
      </c>
      <c r="E2249" s="23" t="str">
        <f aca="false">IF(D2249="?OLD","!!!","")</f>
        <v/>
      </c>
      <c r="F2249" s="25" t="str">
        <f aca="false">IF(OR(E2249="",E2249="!!!"),"",IF(NOT(ISNA(VLOOKUP(E2249,E$1:E2248,1,FALSE()))),"OLD",IF(AND(E2249&lt;&gt;"",E2249&lt;&gt;"!!!"),"NEW","")))</f>
        <v/>
      </c>
      <c r="G2249" s="26" t="str">
        <f aca="false">IF(OR(E2249="",E2249="!!!"),"",IF(OR(J2249=0,AND(J2249=1,K2249=1),AND(J2249=1,I2249="SBJ"),AND(J2249=1,I2249=0)),"?IN_FOCUS",IF(J2249&lt;=2,"?ACTIVATED",IF(J2249&lt;&gt;"","?FAMILIAR",IF(F2249="NEW",IF(ISNA(VLOOKUP(E2249,#REF!,1,FALSE())),"?TYPE_IDENTIFIABLE","?REFERENTIAL"),"_")))))</f>
        <v/>
      </c>
      <c r="H2249" s="27" t="str">
        <f aca="false">IF(J2249&lt;&gt;1,"",IF(I2249="SBJ","CB","?"))</f>
        <v/>
      </c>
      <c r="I2249" s="24" t="str">
        <f aca="false">IF(OR(E2249="",E2249="!!!",F2249="NEW"),"",INDEX(B11:B$2239,-1+SUMPRODUCT(MAX(ROW(E11:E$2239)*(E2249=E11:E$2239)))))</f>
        <v/>
      </c>
      <c r="J2249" s="24" t="str">
        <f aca="true">IF(OR(E2249="",E2249="!!!",F2249="NEW"),"",COUNTBLANK(OFFSET(A$1,,,SUMPRODUCT(MAX(ROW(E$2:E2249)*(E2249=E$2:E2249)))))-COUNTBLANK(OFFSET(A$1,,,SUMPRODUCT(MAX(ROW(E$1:E2248)*(E2=E$1:E2248))))))</f>
        <v/>
      </c>
      <c r="K2249" s="24" t="str">
        <f aca="false">IF(OR(E2249="",E2249="!!!",F2249="NEW"),"",INDEX(J$1:J2248,SUMPRODUCT(MAX(ROW(E$1:E2248)*(E2249=E$1:E2248)))))</f>
        <v/>
      </c>
      <c r="L2249" s="31"/>
    </row>
    <row r="2250" customFormat="false" ht="15" hidden="false" customHeight="false" outlineLevel="0" collapsed="false">
      <c r="A2250" s="20" t="s">
        <v>1109</v>
      </c>
      <c r="E2250" s="23" t="str">
        <f aca="false">IF(D2250="?OLD","!!!","")</f>
        <v/>
      </c>
      <c r="F2250" s="25" t="str">
        <f aca="false">IF(OR(E2250="",E2250="!!!"),"",IF(NOT(ISNA(VLOOKUP(E2250,E$1:E2249,1,FALSE()))),"OLD",IF(AND(E2250&lt;&gt;"",E2250&lt;&gt;"!!!"),"NEW","")))</f>
        <v/>
      </c>
      <c r="G2250" s="26" t="str">
        <f aca="false">IF(OR(E2250="",E2250="!!!"),"",IF(OR(J2250=0,AND(J2250=1,K2250=1),AND(J2250=1,I2250="SBJ"),AND(J2250=1,I2250=0)),"?IN_FOCUS",IF(J2250&lt;=2,"?ACTIVATED",IF(J2250&lt;&gt;"","?FAMILIAR",IF(F2250="NEW",IF(ISNA(VLOOKUP(E2250,#REF!,1,FALSE())),"?TYPE_IDENTIFIABLE","?REFERENTIAL"),"_")))))</f>
        <v/>
      </c>
      <c r="H2250" s="27" t="str">
        <f aca="false">IF(J2250&lt;&gt;1,"",IF(I2250="SBJ","CB","?"))</f>
        <v/>
      </c>
      <c r="I2250" s="24" t="str">
        <f aca="false">IF(OR(E2250="",E2250="!!!",F2250="NEW"),"",INDEX(B12:B$2239,-1+SUMPRODUCT(MAX(ROW(E12:E$2239)*(E2250=E12:E$2239)))))</f>
        <v/>
      </c>
      <c r="J2250" s="24" t="str">
        <f aca="true">IF(OR(E2250="",E2250="!!!",F2250="NEW"),"",COUNTBLANK(OFFSET(A$1,,,SUMPRODUCT(MAX(ROW(E$2:E2250)*(E2250=E$2:E2250)))))-COUNTBLANK(OFFSET(A$1,,,SUMPRODUCT(MAX(ROW(E$1:E2249)*(E2=E$1:E2249))))))</f>
        <v/>
      </c>
      <c r="K2250" s="24" t="str">
        <f aca="false">IF(OR(E2250="",E2250="!!!",F2250="NEW"),"",INDEX(J$1:J2249,SUMPRODUCT(MAX(ROW(E$1:E2249)*(E2250=E$1:E2249)))))</f>
        <v/>
      </c>
      <c r="L2250" s="31"/>
    </row>
    <row r="2251" customFormat="false" ht="15" hidden="false" customHeight="false" outlineLevel="0" collapsed="false">
      <c r="A2251" s="20" t="s">
        <v>1382</v>
      </c>
      <c r="B2251" s="22" t="s">
        <v>1081</v>
      </c>
      <c r="C2251" s="22" t="s">
        <v>1150</v>
      </c>
      <c r="D2251" s="22" t="s">
        <v>1060</v>
      </c>
      <c r="E2251" s="23" t="str">
        <f aca="false">IF(D2251="?OLD","!!!","")</f>
        <v>!!!</v>
      </c>
      <c r="F2251" s="25" t="str">
        <f aca="false">IF(OR(E2251="",E2251="!!!"),"",IF(NOT(ISNA(VLOOKUP(E2251,E$1:E2250,1,FALSE()))),"OLD",IF(AND(E2251&lt;&gt;"",E2251&lt;&gt;"!!!"),"NEW","")))</f>
        <v/>
      </c>
      <c r="G2251" s="26" t="str">
        <f aca="false">IF(OR(E2251="",E2251="!!!"),"",IF(OR(J2251=0,AND(J2251=1,K2251=1),AND(J2251=1,I2251="SBJ"),AND(J2251=1,I2251=0)),"?IN_FOCUS",IF(J2251&lt;=2,"?ACTIVATED",IF(J2251&lt;&gt;"","?FAMILIAR",IF(F2251="NEW",IF(ISNA(VLOOKUP(E2251,#REF!,1,FALSE())),"?TYPE_IDENTIFIABLE","?REFERENTIAL"),"_")))))</f>
        <v/>
      </c>
      <c r="H2251" s="27" t="str">
        <f aca="false">IF(J2251&lt;&gt;1,"",IF(I2251="SBJ","CB","?"))</f>
        <v/>
      </c>
      <c r="I2251" s="24" t="str">
        <f aca="false">IF(OR(E2251="",E2251="!!!",F2251="NEW"),"",INDEX(B13:B$2239,-1+SUMPRODUCT(MAX(ROW(E13:E$2239)*(E2251=E13:E$2239)))))</f>
        <v/>
      </c>
      <c r="J2251" s="24" t="str">
        <f aca="true">IF(OR(E2251="",E2251="!!!",F2251="NEW"),"",COUNTBLANK(OFFSET(A$1,,,SUMPRODUCT(MAX(ROW(E$2:E2251)*(E2251=E$2:E2251)))))-COUNTBLANK(OFFSET(A$1,,,SUMPRODUCT(MAX(ROW(E$1:E2250)*(E2=E$1:E2250))))))</f>
        <v/>
      </c>
      <c r="K2251" s="24" t="str">
        <f aca="false">IF(OR(E2251="",E2251="!!!",F2251="NEW"),"",INDEX(J$1:J2250,SUMPRODUCT(MAX(ROW(E$1:E2250)*(E2251=E$1:E2250)))))</f>
        <v/>
      </c>
      <c r="L2251" s="31"/>
    </row>
    <row r="2252" customFormat="false" ht="15" hidden="false" customHeight="false" outlineLevel="0" collapsed="false">
      <c r="A2252" s="20" t="s">
        <v>1076</v>
      </c>
      <c r="E2252" s="23" t="str">
        <f aca="false">IF(D2252="?OLD","!!!","")</f>
        <v/>
      </c>
      <c r="F2252" s="25" t="str">
        <f aca="false">IF(OR(E2252="",E2252="!!!"),"",IF(NOT(ISNA(VLOOKUP(E2252,E$1:E2251,1,FALSE()))),"OLD",IF(AND(E2252&lt;&gt;"",E2252&lt;&gt;"!!!"),"NEW","")))</f>
        <v/>
      </c>
      <c r="G2252" s="26" t="str">
        <f aca="false">IF(OR(E2252="",E2252="!!!"),"",IF(OR(J2252=0,AND(J2252=1,K2252=1),AND(J2252=1,I2252="SBJ"),AND(J2252=1,I2252=0)),"?IN_FOCUS",IF(J2252&lt;=2,"?ACTIVATED",IF(J2252&lt;&gt;"","?FAMILIAR",IF(F2252="NEW",IF(ISNA(VLOOKUP(E2252,#REF!,1,FALSE())),"?TYPE_IDENTIFIABLE","?REFERENTIAL"),"_")))))</f>
        <v/>
      </c>
      <c r="H2252" s="27" t="str">
        <f aca="false">IF(J2252&lt;&gt;1,"",IF(I2252="SBJ","CB","?"))</f>
        <v/>
      </c>
      <c r="I2252" s="24" t="str">
        <f aca="false">IF(OR(E2252="",E2252="!!!",F2252="NEW"),"",INDEX(B14:B$2239,-1+SUMPRODUCT(MAX(ROW(E14:E$2239)*(E2252=E14:E$2239)))))</f>
        <v/>
      </c>
      <c r="J2252" s="24" t="str">
        <f aca="true">IF(OR(E2252="",E2252="!!!",F2252="NEW"),"",COUNTBLANK(OFFSET(A$1,,,SUMPRODUCT(MAX(ROW(E$2:E2252)*(E2252=E$2:E2252)))))-COUNTBLANK(OFFSET(A$1,,,SUMPRODUCT(MAX(ROW(E$1:E2251)*(E2=E$1:E2251))))))</f>
        <v/>
      </c>
      <c r="K2252" s="24" t="str">
        <f aca="false">IF(OR(E2252="",E2252="!!!",F2252="NEW"),"",INDEX(J$1:J2251,SUMPRODUCT(MAX(ROW(E$1:E2251)*(E2252=E$1:E2251)))))</f>
        <v/>
      </c>
      <c r="L2252" s="31"/>
    </row>
    <row r="2253" customFormat="false" ht="15" hidden="false" customHeight="false" outlineLevel="0" collapsed="false">
      <c r="A2253" s="20" t="s">
        <v>1892</v>
      </c>
      <c r="E2253" s="23" t="str">
        <f aca="false">IF(D2253="?OLD","!!!","")</f>
        <v/>
      </c>
      <c r="F2253" s="25" t="str">
        <f aca="false">IF(OR(E2253="",E2253="!!!"),"",IF(NOT(ISNA(VLOOKUP(E2253,E$1:E2252,1,FALSE()))),"OLD",IF(AND(E2253&lt;&gt;"",E2253&lt;&gt;"!!!"),"NEW","")))</f>
        <v/>
      </c>
      <c r="G2253" s="26" t="str">
        <f aca="false">IF(OR(E2253="",E2253="!!!"),"",IF(OR(J2253=0,AND(J2253=1,K2253=1),AND(J2253=1,I2253="SBJ"),AND(J2253=1,I2253=0)),"?IN_FOCUS",IF(J2253&lt;=2,"?ACTIVATED",IF(J2253&lt;&gt;"","?FAMILIAR",IF(F2253="NEW",IF(ISNA(VLOOKUP(E2253,#REF!,1,FALSE())),"?TYPE_IDENTIFIABLE","?REFERENTIAL"),"_")))))</f>
        <v/>
      </c>
      <c r="H2253" s="27" t="str">
        <f aca="false">IF(J2253&lt;&gt;1,"",IF(I2253="SBJ","CB","?"))</f>
        <v/>
      </c>
      <c r="I2253" s="24" t="str">
        <f aca="false">IF(OR(E2253="",E2253="!!!",F2253="NEW"),"",INDEX(B15:B$2239,-1+SUMPRODUCT(MAX(ROW(E15:E$2239)*(E2253=E15:E$2239)))))</f>
        <v/>
      </c>
      <c r="J2253" s="24" t="str">
        <f aca="true">IF(OR(E2253="",E2253="!!!",F2253="NEW"),"",COUNTBLANK(OFFSET(A$1,,,SUMPRODUCT(MAX(ROW(E$2:E2253)*(E2253=E$2:E2253)))))-COUNTBLANK(OFFSET(A$1,,,SUMPRODUCT(MAX(ROW(E$1:E2252)*(E2=E$1:E2252))))))</f>
        <v/>
      </c>
      <c r="K2253" s="24" t="str">
        <f aca="false">IF(OR(E2253="",E2253="!!!",F2253="NEW"),"",INDEX(J$1:J2252,SUMPRODUCT(MAX(ROW(E$1:E2252)*(E2253=E$1:E2252)))))</f>
        <v/>
      </c>
      <c r="L2253" s="31"/>
    </row>
    <row r="2254" customFormat="false" ht="15" hidden="false" customHeight="false" outlineLevel="0" collapsed="false">
      <c r="A2254" s="20" t="s">
        <v>1661</v>
      </c>
      <c r="E2254" s="23" t="str">
        <f aca="false">IF(D2254="?OLD","!!!","")</f>
        <v/>
      </c>
      <c r="F2254" s="25" t="str">
        <f aca="false">IF(OR(E2254="",E2254="!!!"),"",IF(NOT(ISNA(VLOOKUP(E2254,E$1:E2253,1,FALSE()))),"OLD",IF(AND(E2254&lt;&gt;"",E2254&lt;&gt;"!!!"),"NEW","")))</f>
        <v/>
      </c>
      <c r="G2254" s="26" t="str">
        <f aca="false">IF(OR(E2254="",E2254="!!!"),"",IF(OR(J2254=0,AND(J2254=1,K2254=1),AND(J2254=1,I2254="SBJ"),AND(J2254=1,I2254=0)),"?IN_FOCUS",IF(J2254&lt;=2,"?ACTIVATED",IF(J2254&lt;&gt;"","?FAMILIAR",IF(F2254="NEW",IF(ISNA(VLOOKUP(E2254,#REF!,1,FALSE())),"?TYPE_IDENTIFIABLE","?REFERENTIAL"),"_")))))</f>
        <v/>
      </c>
      <c r="H2254" s="27" t="str">
        <f aca="false">IF(J2254&lt;&gt;1,"",IF(I2254="SBJ","CB","?"))</f>
        <v/>
      </c>
      <c r="I2254" s="24" t="str">
        <f aca="false">IF(OR(E2254="",E2254="!!!",F2254="NEW"),"",INDEX(B16:B$2239,-1+SUMPRODUCT(MAX(ROW(E16:E$2239)*(E2254=E16:E$2239)))))</f>
        <v/>
      </c>
      <c r="J2254" s="24" t="str">
        <f aca="true">IF(OR(E2254="",E2254="!!!",F2254="NEW"),"",COUNTBLANK(OFFSET(A$1,,,SUMPRODUCT(MAX(ROW(E$2:E2254)*(E2254=E$2:E2254)))))-COUNTBLANK(OFFSET(A$1,,,SUMPRODUCT(MAX(ROW(E$1:E2253)*(E2=E$1:E2253))))))</f>
        <v/>
      </c>
      <c r="K2254" s="24" t="str">
        <f aca="false">IF(OR(E2254="",E2254="!!!",F2254="NEW"),"",INDEX(J$1:J2253,SUMPRODUCT(MAX(ROW(E$1:E2253)*(E2254=E$1:E2253)))))</f>
        <v/>
      </c>
      <c r="L2254" s="31"/>
    </row>
    <row r="2255" customFormat="false" ht="15" hidden="false" customHeight="false" outlineLevel="0" collapsed="false">
      <c r="A2255" s="20" t="s">
        <v>1218</v>
      </c>
      <c r="E2255" s="23" t="str">
        <f aca="false">IF(D2255="?OLD","!!!","")</f>
        <v/>
      </c>
      <c r="F2255" s="25" t="str">
        <f aca="false">IF(OR(E2255="",E2255="!!!"),"",IF(NOT(ISNA(VLOOKUP(E2255,E$1:E2254,1,FALSE()))),"OLD",IF(AND(E2255&lt;&gt;"",E2255&lt;&gt;"!!!"),"NEW","")))</f>
        <v/>
      </c>
      <c r="G2255" s="26" t="str">
        <f aca="false">IF(OR(E2255="",E2255="!!!"),"",IF(OR(J2255=0,AND(J2255=1,K2255=1),AND(J2255=1,I2255="SBJ"),AND(J2255=1,I2255=0)),"?IN_FOCUS",IF(J2255&lt;=2,"?ACTIVATED",IF(J2255&lt;&gt;"","?FAMILIAR",IF(F2255="NEW",IF(ISNA(VLOOKUP(E2255,#REF!,1,FALSE())),"?TYPE_IDENTIFIABLE","?REFERENTIAL"),"_")))))</f>
        <v/>
      </c>
      <c r="H2255" s="27" t="str">
        <f aca="false">IF(J2255&lt;&gt;1,"",IF(I2255="SBJ","CB","?"))</f>
        <v/>
      </c>
      <c r="I2255" s="24" t="str">
        <f aca="false">IF(OR(E2255="",E2255="!!!",F2255="NEW"),"",INDEX(B17:B$2239,-1+SUMPRODUCT(MAX(ROW(E17:E$2239)*(E2255=E17:E$2239)))))</f>
        <v/>
      </c>
      <c r="J2255" s="24" t="str">
        <f aca="true">IF(OR(E2255="",E2255="!!!",F2255="NEW"),"",COUNTBLANK(OFFSET(A$1,,,SUMPRODUCT(MAX(ROW(E$2:E2255)*(E2255=E$2:E2255)))))-COUNTBLANK(OFFSET(A$1,,,SUMPRODUCT(MAX(ROW(E$1:E2254)*(E2=E$1:E2254))))))</f>
        <v/>
      </c>
      <c r="K2255" s="24" t="str">
        <f aca="false">IF(OR(E2255="",E2255="!!!",F2255="NEW"),"",INDEX(J$1:J2254,SUMPRODUCT(MAX(ROW(E$1:E2254)*(E2255=E$1:E2254)))))</f>
        <v/>
      </c>
      <c r="L2255" s="31"/>
    </row>
    <row r="2256" customFormat="false" ht="15" hidden="false" customHeight="false" outlineLevel="0" collapsed="false">
      <c r="A2256" s="20" t="s">
        <v>1109</v>
      </c>
      <c r="E2256" s="23" t="str">
        <f aca="false">IF(D2256="?OLD","!!!","")</f>
        <v/>
      </c>
      <c r="F2256" s="25" t="str">
        <f aca="false">IF(OR(E2256="",E2256="!!!"),"",IF(NOT(ISNA(VLOOKUP(E2256,E$1:E2255,1,FALSE()))),"OLD",IF(AND(E2256&lt;&gt;"",E2256&lt;&gt;"!!!"),"NEW","")))</f>
        <v/>
      </c>
      <c r="G2256" s="26" t="str">
        <f aca="false">IF(OR(E2256="",E2256="!!!"),"",IF(OR(J2256=0,AND(J2256=1,K2256=1),AND(J2256=1,I2256="SBJ"),AND(J2256=1,I2256=0)),"?IN_FOCUS",IF(J2256&lt;=2,"?ACTIVATED",IF(J2256&lt;&gt;"","?FAMILIAR",IF(F2256="NEW",IF(ISNA(VLOOKUP(E2256,#REF!,1,FALSE())),"?TYPE_IDENTIFIABLE","?REFERENTIAL"),"_")))))</f>
        <v/>
      </c>
      <c r="H2256" s="27" t="str">
        <f aca="false">IF(J2256&lt;&gt;1,"",IF(I2256="SBJ","CB","?"))</f>
        <v/>
      </c>
      <c r="I2256" s="24" t="str">
        <f aca="false">IF(OR(E2256="",E2256="!!!",F2256="NEW"),"",INDEX(B18:B$2239,-1+SUMPRODUCT(MAX(ROW(E18:E$2239)*(E2256=E18:E$2239)))))</f>
        <v/>
      </c>
      <c r="J2256" s="24" t="str">
        <f aca="true">IF(OR(E2256="",E2256="!!!",F2256="NEW"),"",COUNTBLANK(OFFSET(A$1,,,SUMPRODUCT(MAX(ROW(E$2:E2256)*(E2256=E$2:E2256)))))-COUNTBLANK(OFFSET(A$1,,,SUMPRODUCT(MAX(ROW(E$1:E2255)*(E2=E$1:E2255))))))</f>
        <v/>
      </c>
      <c r="K2256" s="24" t="str">
        <f aca="false">IF(OR(E2256="",E2256="!!!",F2256="NEW"),"",INDEX(J$1:J2255,SUMPRODUCT(MAX(ROW(E$1:E2255)*(E2256=E$1:E2255)))))</f>
        <v/>
      </c>
      <c r="L2256" s="31"/>
    </row>
    <row r="2257" customFormat="false" ht="15" hidden="false" customHeight="false" outlineLevel="0" collapsed="false">
      <c r="A2257" s="20" t="s">
        <v>1893</v>
      </c>
      <c r="B2257" s="22" t="s">
        <v>1073</v>
      </c>
      <c r="C2257" s="22" t="s">
        <v>1059</v>
      </c>
      <c r="D2257" s="22" t="s">
        <v>1060</v>
      </c>
      <c r="E2257" s="23" t="str">
        <f aca="false">IF(D2257="?OLD","!!!","")</f>
        <v>!!!</v>
      </c>
      <c r="F2257" s="25" t="str">
        <f aca="false">IF(OR(E2257="",E2257="!!!"),"",IF(NOT(ISNA(VLOOKUP(E2257,E$1:E2256,1,FALSE()))),"OLD",IF(AND(E2257&lt;&gt;"",E2257&lt;&gt;"!!!"),"NEW","")))</f>
        <v/>
      </c>
      <c r="G2257" s="26" t="str">
        <f aca="false">IF(OR(E2257="",E2257="!!!"),"",IF(OR(J2257=0,AND(J2257=1,K2257=1),AND(J2257=1,I2257="SBJ"),AND(J2257=1,I2257=0)),"?IN_FOCUS",IF(J2257&lt;=2,"?ACTIVATED",IF(J2257&lt;&gt;"","?FAMILIAR",IF(F2257="NEW",IF(ISNA(VLOOKUP(E2257,#REF!,1,FALSE())),"?TYPE_IDENTIFIABLE","?REFERENTIAL"),"_")))))</f>
        <v/>
      </c>
      <c r="H2257" s="27" t="str">
        <f aca="false">IF(J2257&lt;&gt;1,"",IF(I2257="SBJ","CB","?"))</f>
        <v/>
      </c>
      <c r="I2257" s="24" t="str">
        <f aca="false">IF(OR(E2257="",E2257="!!!",F2257="NEW"),"",INDEX(B19:B$2239,-1+SUMPRODUCT(MAX(ROW(E19:E$2239)*(E2257=E19:E$2239)))))</f>
        <v/>
      </c>
      <c r="J2257" s="24" t="str">
        <f aca="true">IF(OR(E2257="",E2257="!!!",F2257="NEW"),"",COUNTBLANK(OFFSET(A$1,,,SUMPRODUCT(MAX(ROW(E$2:E2257)*(E2257=E$2:E2257)))))-COUNTBLANK(OFFSET(A$1,,,SUMPRODUCT(MAX(ROW(E$1:E2256)*(E2=E$1:E2256))))))</f>
        <v/>
      </c>
      <c r="K2257" s="24" t="str">
        <f aca="false">IF(OR(E2257="",E2257="!!!",F2257="NEW"),"",INDEX(J$1:J2256,SUMPRODUCT(MAX(ROW(E$1:E2256)*(E2257=E$1:E2256)))))</f>
        <v/>
      </c>
      <c r="L2257" s="31"/>
    </row>
    <row r="2258" customFormat="false" ht="15" hidden="false" customHeight="false" outlineLevel="0" collapsed="false">
      <c r="A2258" s="20" t="s">
        <v>1064</v>
      </c>
      <c r="E2258" s="23" t="str">
        <f aca="false">IF(D2258="?OLD","!!!","")</f>
        <v/>
      </c>
      <c r="F2258" s="25" t="str">
        <f aca="false">IF(OR(E2258="",E2258="!!!"),"",IF(NOT(ISNA(VLOOKUP(E2258,E$1:E2257,1,FALSE()))),"OLD",IF(AND(E2258&lt;&gt;"",E2258&lt;&gt;"!!!"),"NEW","")))</f>
        <v/>
      </c>
      <c r="G2258" s="26" t="str">
        <f aca="false">IF(OR(E2258="",E2258="!!!"),"",IF(OR(J2258=0,AND(J2258=1,K2258=1),AND(J2258=1,I2258="SBJ"),AND(J2258=1,I2258=0)),"?IN_FOCUS",IF(J2258&lt;=2,"?ACTIVATED",IF(J2258&lt;&gt;"","?FAMILIAR",IF(F2258="NEW",IF(ISNA(VLOOKUP(E2258,#REF!,1,FALSE())),"?TYPE_IDENTIFIABLE","?REFERENTIAL"),"_")))))</f>
        <v/>
      </c>
      <c r="H2258" s="27" t="str">
        <f aca="false">IF(J2258&lt;&gt;1,"",IF(I2258="SBJ","CB","?"))</f>
        <v/>
      </c>
      <c r="I2258" s="24" t="str">
        <f aca="false">IF(OR(E2258="",E2258="!!!",F2258="NEW"),"",INDEX(B20:B$2239,-1+SUMPRODUCT(MAX(ROW(E20:E$2239)*(E2258=E20:E$2239)))))</f>
        <v/>
      </c>
      <c r="J2258" s="24" t="str">
        <f aca="true">IF(OR(E2258="",E2258="!!!",F2258="NEW"),"",COUNTBLANK(OFFSET(A$1,,,SUMPRODUCT(MAX(ROW(E$2:E2258)*(E2258=E$2:E2258)))))-COUNTBLANK(OFFSET(A$1,,,SUMPRODUCT(MAX(ROW(E$1:E2257)*(E2=E$1:E2257))))))</f>
        <v/>
      </c>
      <c r="K2258" s="24" t="str">
        <f aca="false">IF(OR(E2258="",E2258="!!!",F2258="NEW"),"",INDEX(J$1:J2257,SUMPRODUCT(MAX(ROW(E$1:E2257)*(E2258=E$1:E2257)))))</f>
        <v/>
      </c>
      <c r="L2258" s="31"/>
    </row>
    <row r="2259" customFormat="false" ht="15" hidden="false" customHeight="false" outlineLevel="0" collapsed="false">
      <c r="A2259" s="20" t="s">
        <v>1189</v>
      </c>
      <c r="B2259" s="22" t="s">
        <v>1107</v>
      </c>
      <c r="C2259" s="22" t="s">
        <v>1099</v>
      </c>
      <c r="D2259" s="22" t="s">
        <v>1060</v>
      </c>
      <c r="E2259" s="23" t="str">
        <f aca="false">IF(D2259="?OLD","!!!","")</f>
        <v>!!!</v>
      </c>
      <c r="F2259" s="25" t="str">
        <f aca="false">IF(OR(E2259="",E2259="!!!"),"",IF(NOT(ISNA(VLOOKUP(E2259,E$1:E2258,1,FALSE()))),"OLD",IF(AND(E2259&lt;&gt;"",E2259&lt;&gt;"!!!"),"NEW","")))</f>
        <v/>
      </c>
      <c r="G2259" s="26" t="str">
        <f aca="false">IF(OR(E2259="",E2259="!!!"),"",IF(OR(J2259=0,AND(J2259=1,K2259=1),AND(J2259=1,I2259="SBJ"),AND(J2259=1,I2259=0)),"?IN_FOCUS",IF(J2259&lt;=2,"?ACTIVATED",IF(J2259&lt;&gt;"","?FAMILIAR",IF(F2259="NEW",IF(ISNA(VLOOKUP(E2259,#REF!,1,FALSE())),"?TYPE_IDENTIFIABLE","?REFERENTIAL"),"_")))))</f>
        <v/>
      </c>
      <c r="H2259" s="27" t="str">
        <f aca="false">IF(J2259&lt;&gt;1,"",IF(I2259="SBJ","CB","?"))</f>
        <v/>
      </c>
      <c r="I2259" s="24" t="str">
        <f aca="false">IF(OR(E2259="",E2259="!!!",F2259="NEW"),"",INDEX(B21:B$2239,-1+SUMPRODUCT(MAX(ROW(E21:E$2239)*(E2259=E21:E$2239)))))</f>
        <v/>
      </c>
      <c r="J2259" s="24" t="str">
        <f aca="true">IF(OR(E2259="",E2259="!!!",F2259="NEW"),"",COUNTBLANK(OFFSET(A$1,,,SUMPRODUCT(MAX(ROW(E$2:E2259)*(E2259=E$2:E2259)))))-COUNTBLANK(OFFSET(A$1,,,SUMPRODUCT(MAX(ROW(E$1:E2258)*(E2=E$1:E2258))))))</f>
        <v/>
      </c>
      <c r="K2259" s="24" t="str">
        <f aca="false">IF(OR(E2259="",E2259="!!!",F2259="NEW"),"",INDEX(J$1:J2258,SUMPRODUCT(MAX(ROW(E$1:E2258)*(E2259=E$1:E2258)))))</f>
        <v/>
      </c>
      <c r="L2259" s="31"/>
    </row>
    <row r="2260" customFormat="false" ht="15" hidden="false" customHeight="false" outlineLevel="0" collapsed="false">
      <c r="A2260" s="20" t="s">
        <v>1330</v>
      </c>
      <c r="B2260" s="22" t="s">
        <v>1067</v>
      </c>
      <c r="C2260" s="22" t="s">
        <v>1059</v>
      </c>
      <c r="D2260" s="22" t="s">
        <v>1060</v>
      </c>
      <c r="E2260" s="23" t="str">
        <f aca="false">IF(D2260="?OLD","!!!","")</f>
        <v>!!!</v>
      </c>
      <c r="F2260" s="25" t="str">
        <f aca="false">IF(OR(E2260="",E2260="!!!"),"",IF(NOT(ISNA(VLOOKUP(E2260,E$1:E2259,1,FALSE()))),"OLD",IF(AND(E2260&lt;&gt;"",E2260&lt;&gt;"!!!"),"NEW","")))</f>
        <v/>
      </c>
      <c r="G2260" s="26" t="str">
        <f aca="false">IF(OR(E2260="",E2260="!!!"),"",IF(OR(J2260=0,AND(J2260=1,K2260=1),AND(J2260=1,I2260="SBJ"),AND(J2260=1,I2260=0)),"?IN_FOCUS",IF(J2260&lt;=2,"?ACTIVATED",IF(J2260&lt;&gt;"","?FAMILIAR",IF(F2260="NEW",IF(ISNA(VLOOKUP(E2260,#REF!,1,FALSE())),"?TYPE_IDENTIFIABLE","?REFERENTIAL"),"_")))))</f>
        <v/>
      </c>
      <c r="H2260" s="27" t="str">
        <f aca="false">IF(J2260&lt;&gt;1,"",IF(I2260="SBJ","CB","?"))</f>
        <v/>
      </c>
      <c r="I2260" s="24" t="str">
        <f aca="false">IF(OR(E2260="",E2260="!!!",F2260="NEW"),"",INDEX(B22:B$2239,-1+SUMPRODUCT(MAX(ROW(E22:E$2239)*(E2260=E22:E$2239)))))</f>
        <v/>
      </c>
      <c r="J2260" s="24" t="str">
        <f aca="true">IF(OR(E2260="",E2260="!!!",F2260="NEW"),"",COUNTBLANK(OFFSET(A$1,,,SUMPRODUCT(MAX(ROW(E$2:E2260)*(E2260=E$2:E2260)))))-COUNTBLANK(OFFSET(A$1,,,SUMPRODUCT(MAX(ROW(E$1:E2259)*(E2=E$1:E2259))))))</f>
        <v/>
      </c>
      <c r="K2260" s="24" t="str">
        <f aca="false">IF(OR(E2260="",E2260="!!!",F2260="NEW"),"",INDEX(J$1:J2259,SUMPRODUCT(MAX(ROW(E$1:E2259)*(E2260=E$1:E2259)))))</f>
        <v/>
      </c>
      <c r="L2260" s="31"/>
    </row>
    <row r="2261" customFormat="false" ht="15" hidden="false" customHeight="false" outlineLevel="0" collapsed="false">
      <c r="A2261" s="20" t="s">
        <v>923</v>
      </c>
      <c r="E2261" s="23" t="str">
        <f aca="false">IF(D2261="?OLD","!!!","")</f>
        <v/>
      </c>
      <c r="F2261" s="25" t="str">
        <f aca="false">IF(OR(E2261="",E2261="!!!"),"",IF(NOT(ISNA(VLOOKUP(E2261,E$1:E2260,1,FALSE()))),"OLD",IF(AND(E2261&lt;&gt;"",E2261&lt;&gt;"!!!"),"NEW","")))</f>
        <v/>
      </c>
      <c r="G2261" s="26" t="str">
        <f aca="false">IF(OR(E2261="",E2261="!!!"),"",IF(OR(J2261=0,AND(J2261=1,K2261=1),AND(J2261=1,I2261="SBJ"),AND(J2261=1,I2261=0)),"?IN_FOCUS",IF(J2261&lt;=2,"?ACTIVATED",IF(J2261&lt;&gt;"","?FAMILIAR",IF(F2261="NEW",IF(ISNA(VLOOKUP(E2261,#REF!,1,FALSE())),"?TYPE_IDENTIFIABLE","?REFERENTIAL"),"_")))))</f>
        <v/>
      </c>
      <c r="H2261" s="27" t="str">
        <f aca="false">IF(J2261&lt;&gt;1,"",IF(I2261="SBJ","CB","?"))</f>
        <v/>
      </c>
      <c r="I2261" s="24" t="str">
        <f aca="false">IF(OR(E2261="",E2261="!!!",F2261="NEW"),"",INDEX(B23:B$2239,-1+SUMPRODUCT(MAX(ROW(E23:E$2239)*(E2261=E23:E$2239)))))</f>
        <v/>
      </c>
      <c r="J2261" s="24" t="str">
        <f aca="true">IF(OR(E2261="",E2261="!!!",F2261="NEW"),"",COUNTBLANK(OFFSET(A$1,,,SUMPRODUCT(MAX(ROW(E$2:E2261)*(E2261=E$2:E2261)))))-COUNTBLANK(OFFSET(A$1,,,SUMPRODUCT(MAX(ROW(E$1:E2260)*(E2=E$1:E2260))))))</f>
        <v/>
      </c>
      <c r="K2261" s="24" t="str">
        <f aca="false">IF(OR(E2261="",E2261="!!!",F2261="NEW"),"",INDEX(J$1:J2260,SUMPRODUCT(MAX(ROW(E$1:E2260)*(E2261=E$1:E2260)))))</f>
        <v/>
      </c>
      <c r="L2261" s="31"/>
    </row>
    <row r="2262" customFormat="false" ht="15" hidden="false" customHeight="false" outlineLevel="0" collapsed="false">
      <c r="A2262" s="20"/>
    </row>
    <row r="2263" customFormat="false" ht="15" hidden="false" customHeight="false" outlineLevel="0" collapsed="false">
      <c r="A2263" s="20" t="s">
        <v>1894</v>
      </c>
    </row>
    <row r="2264" customFormat="false" ht="15" hidden="false" customHeight="false" outlineLevel="0" collapsed="false">
      <c r="A2264" s="20" t="s">
        <v>1741</v>
      </c>
      <c r="E2264" s="23" t="str">
        <f aca="false">IF(D2264="?OLD","!!!","")</f>
        <v/>
      </c>
      <c r="F2264" s="25" t="str">
        <f aca="false">IF(OR(E2264="",E2264="!!!"),"",IF(NOT(ISNA(VLOOKUP(E2264,E$1:E2263,1,FALSE()))),"OLD",IF(AND(E2264&lt;&gt;"",E2264&lt;&gt;"!!!"),"NEW","")))</f>
        <v/>
      </c>
      <c r="G2264" s="26" t="str">
        <f aca="false">IF(OR(E2264="",E2264="!!!"),"",IF(OR(J2264=0,AND(J2264=1,K2264=1),AND(J2264=1,I2264="SBJ"),AND(J2264=1,I2264=0)),"?IN_FOCUS",IF(J2264&lt;=2,"?ACTIVATED",IF(J2264&lt;&gt;"","?FAMILIAR",IF(F2264="NEW",IF(ISNA(VLOOKUP(E2264,#REF!,1,FALSE())),"?TYPE_IDENTIFIABLE","?REFERENTIAL"),"_")))))</f>
        <v/>
      </c>
      <c r="H2264" s="27" t="str">
        <f aca="false">IF(J2264&lt;&gt;1,"",IF(I2264="SBJ","CB","?"))</f>
        <v/>
      </c>
      <c r="I2264" s="24" t="str">
        <f aca="false">IF(OR(E2264="",E2264="!!!",F2264="NEW"),"",INDEX(B2:B$2263,-1+SUMPRODUCT(MAX(ROW(E2:E$2263)*(E2264=E2:E$2263)))))</f>
        <v/>
      </c>
      <c r="J2264" s="24" t="str">
        <f aca="true">IF(OR(E2264="",E2264="!!!",F2264="NEW"),"",COUNTBLANK(OFFSET(A$1,,,SUMPRODUCT(MAX(ROW(E$2:E2264)*(E2264=E$2:E2264)))))-COUNTBLANK(OFFSET(A$1,,,SUMPRODUCT(MAX(ROW(E$1:E2263)*(E2=E$1:E2263))))))</f>
        <v/>
      </c>
      <c r="K2264" s="24" t="str">
        <f aca="false">IF(OR(E2264="",E2264="!!!",F2264="NEW"),"",INDEX(J$1:J2263,SUMPRODUCT(MAX(ROW(E$1:E2263)*(E2264=E$1:E2263)))))</f>
        <v/>
      </c>
      <c r="L2264" s="31"/>
    </row>
    <row r="2265" customFormat="false" ht="15" hidden="false" customHeight="false" outlineLevel="0" collapsed="false">
      <c r="A2265" s="20" t="s">
        <v>1850</v>
      </c>
      <c r="E2265" s="23" t="str">
        <f aca="false">IF(D2265="?OLD","!!!","")</f>
        <v/>
      </c>
      <c r="F2265" s="25" t="str">
        <f aca="false">IF(OR(E2265="",E2265="!!!"),"",IF(NOT(ISNA(VLOOKUP(E2265,E$1:E2264,1,FALSE()))),"OLD",IF(AND(E2265&lt;&gt;"",E2265&lt;&gt;"!!!"),"NEW","")))</f>
        <v/>
      </c>
      <c r="G2265" s="26" t="str">
        <f aca="false">IF(OR(E2265="",E2265="!!!"),"",IF(OR(J2265=0,AND(J2265=1,K2265=1),AND(J2265=1,I2265="SBJ"),AND(J2265=1,I2265=0)),"?IN_FOCUS",IF(J2265&lt;=2,"?ACTIVATED",IF(J2265&lt;&gt;"","?FAMILIAR",IF(F2265="NEW",IF(ISNA(VLOOKUP(E2265,#REF!,1,FALSE())),"?TYPE_IDENTIFIABLE","?REFERENTIAL"),"_")))))</f>
        <v/>
      </c>
      <c r="H2265" s="27" t="str">
        <f aca="false">IF(J2265&lt;&gt;1,"",IF(I2265="SBJ","CB","?"))</f>
        <v/>
      </c>
      <c r="I2265" s="24" t="str">
        <f aca="false">IF(OR(E2265="",E2265="!!!",F2265="NEW"),"",INDEX(B3:B$2263,-1+SUMPRODUCT(MAX(ROW(E3:E$2263)*(E2265=E3:E$2263)))))</f>
        <v/>
      </c>
      <c r="J2265" s="24" t="str">
        <f aca="true">IF(OR(E2265="",E2265="!!!",F2265="NEW"),"",COUNTBLANK(OFFSET(A$1,,,SUMPRODUCT(MAX(ROW(E$2:E2265)*(E2265=E$2:E2265)))))-COUNTBLANK(OFFSET(A$1,,,SUMPRODUCT(MAX(ROW(E$1:E2264)*(E2=E$1:E2264))))))</f>
        <v/>
      </c>
      <c r="K2265" s="24" t="str">
        <f aca="false">IF(OR(E2265="",E2265="!!!",F2265="NEW"),"",INDEX(J$1:J2264,SUMPRODUCT(MAX(ROW(E$1:E2264)*(E2265=E$1:E2264)))))</f>
        <v/>
      </c>
      <c r="L2265" s="31"/>
    </row>
    <row r="2266" customFormat="false" ht="15" hidden="false" customHeight="false" outlineLevel="0" collapsed="false">
      <c r="A2266" s="20" t="s">
        <v>1135</v>
      </c>
      <c r="E2266" s="23" t="str">
        <f aca="false">IF(D2266="?OLD","!!!","")</f>
        <v/>
      </c>
      <c r="F2266" s="25" t="str">
        <f aca="false">IF(OR(E2266="",E2266="!!!"),"",IF(NOT(ISNA(VLOOKUP(E2266,E$1:E2265,1,FALSE()))),"OLD",IF(AND(E2266&lt;&gt;"",E2266&lt;&gt;"!!!"),"NEW","")))</f>
        <v/>
      </c>
      <c r="G2266" s="26" t="str">
        <f aca="false">IF(OR(E2266="",E2266="!!!"),"",IF(OR(J2266=0,AND(J2266=1,K2266=1),AND(J2266=1,I2266="SBJ"),AND(J2266=1,I2266=0)),"?IN_FOCUS",IF(J2266&lt;=2,"?ACTIVATED",IF(J2266&lt;&gt;"","?FAMILIAR",IF(F2266="NEW",IF(ISNA(VLOOKUP(E2266,#REF!,1,FALSE())),"?TYPE_IDENTIFIABLE","?REFERENTIAL"),"_")))))</f>
        <v/>
      </c>
      <c r="H2266" s="27" t="str">
        <f aca="false">IF(J2266&lt;&gt;1,"",IF(I2266="SBJ","CB","?"))</f>
        <v/>
      </c>
      <c r="I2266" s="24" t="str">
        <f aca="false">IF(OR(E2266="",E2266="!!!",F2266="NEW"),"",INDEX(B4:B$2263,-1+SUMPRODUCT(MAX(ROW(E4:E$2263)*(E2266=E4:E$2263)))))</f>
        <v/>
      </c>
      <c r="J2266" s="24" t="str">
        <f aca="true">IF(OR(E2266="",E2266="!!!",F2266="NEW"),"",COUNTBLANK(OFFSET(A$1,,,SUMPRODUCT(MAX(ROW(E$2:E2266)*(E2266=E$2:E2266)))))-COUNTBLANK(OFFSET(A$1,,,SUMPRODUCT(MAX(ROW(E$1:E2265)*(E2=E$1:E2265))))))</f>
        <v/>
      </c>
      <c r="K2266" s="24" t="str">
        <f aca="false">IF(OR(E2266="",E2266="!!!",F2266="NEW"),"",INDEX(J$1:J2265,SUMPRODUCT(MAX(ROW(E$1:E2265)*(E2266=E$1:E2265)))))</f>
        <v/>
      </c>
      <c r="L2266" s="31"/>
    </row>
    <row r="2267" customFormat="false" ht="15" hidden="false" customHeight="false" outlineLevel="0" collapsed="false">
      <c r="A2267" s="20" t="s">
        <v>1186</v>
      </c>
      <c r="B2267" s="22" t="s">
        <v>1058</v>
      </c>
      <c r="C2267" s="22" t="s">
        <v>1082</v>
      </c>
      <c r="D2267" s="22" t="s">
        <v>1060</v>
      </c>
      <c r="E2267" s="23" t="str">
        <f aca="false">IF(D2267="?OLD","!!!","")</f>
        <v>!!!</v>
      </c>
      <c r="F2267" s="25" t="str">
        <f aca="false">IF(OR(E2267="",E2267="!!!"),"",IF(NOT(ISNA(VLOOKUP(E2267,E$1:E2266,1,FALSE()))),"OLD",IF(AND(E2267&lt;&gt;"",E2267&lt;&gt;"!!!"),"NEW","")))</f>
        <v/>
      </c>
      <c r="G2267" s="26" t="str">
        <f aca="false">IF(OR(E2267="",E2267="!!!"),"",IF(OR(J2267=0,AND(J2267=1,K2267=1),AND(J2267=1,I2267="SBJ"),AND(J2267=1,I2267=0)),"?IN_FOCUS",IF(J2267&lt;=2,"?ACTIVATED",IF(J2267&lt;&gt;"","?FAMILIAR",IF(F2267="NEW",IF(ISNA(VLOOKUP(E2267,#REF!,1,FALSE())),"?TYPE_IDENTIFIABLE","?REFERENTIAL"),"_")))))</f>
        <v/>
      </c>
      <c r="H2267" s="27" t="str">
        <f aca="false">IF(J2267&lt;&gt;1,"",IF(I2267="SBJ","CB","?"))</f>
        <v/>
      </c>
      <c r="I2267" s="24" t="str">
        <f aca="false">IF(OR(E2267="",E2267="!!!",F2267="NEW"),"",INDEX(B5:B$2263,-1+SUMPRODUCT(MAX(ROW(E5:E$2263)*(E2267=E5:E$2263)))))</f>
        <v/>
      </c>
      <c r="J2267" s="24" t="str">
        <f aca="true">IF(OR(E2267="",E2267="!!!",F2267="NEW"),"",COUNTBLANK(OFFSET(A$1,,,SUMPRODUCT(MAX(ROW(E$2:E2267)*(E2267=E$2:E2267)))))-COUNTBLANK(OFFSET(A$1,,,SUMPRODUCT(MAX(ROW(E$1:E2266)*(E2=E$1:E2266))))))</f>
        <v/>
      </c>
      <c r="K2267" s="24" t="str">
        <f aca="false">IF(OR(E2267="",E2267="!!!",F2267="NEW"),"",INDEX(J$1:J2266,SUMPRODUCT(MAX(ROW(E$1:E2266)*(E2267=E$1:E2266)))))</f>
        <v/>
      </c>
      <c r="L2267" s="31"/>
    </row>
    <row r="2268" customFormat="false" ht="15" hidden="false" customHeight="false" outlineLevel="0" collapsed="false">
      <c r="A2268" s="20" t="s">
        <v>1248</v>
      </c>
      <c r="E2268" s="23" t="str">
        <f aca="false">IF(D2268="?OLD","!!!","")</f>
        <v/>
      </c>
      <c r="F2268" s="25" t="str">
        <f aca="false">IF(OR(E2268="",E2268="!!!"),"",IF(NOT(ISNA(VLOOKUP(E2268,E$1:E2267,1,FALSE()))),"OLD",IF(AND(E2268&lt;&gt;"",E2268&lt;&gt;"!!!"),"NEW","")))</f>
        <v/>
      </c>
      <c r="G2268" s="26" t="str">
        <f aca="false">IF(OR(E2268="",E2268="!!!"),"",IF(OR(J2268=0,AND(J2268=1,K2268=1),AND(J2268=1,I2268="SBJ"),AND(J2268=1,I2268=0)),"?IN_FOCUS",IF(J2268&lt;=2,"?ACTIVATED",IF(J2268&lt;&gt;"","?FAMILIAR",IF(F2268="NEW",IF(ISNA(VLOOKUP(E2268,#REF!,1,FALSE())),"?TYPE_IDENTIFIABLE","?REFERENTIAL"),"_")))))</f>
        <v/>
      </c>
      <c r="H2268" s="27" t="str">
        <f aca="false">IF(J2268&lt;&gt;1,"",IF(I2268="SBJ","CB","?"))</f>
        <v/>
      </c>
      <c r="I2268" s="24" t="str">
        <f aca="false">IF(OR(E2268="",E2268="!!!",F2268="NEW"),"",INDEX(B6:B$2263,-1+SUMPRODUCT(MAX(ROW(E6:E$2263)*(E2268=E6:E$2263)))))</f>
        <v/>
      </c>
      <c r="J2268" s="24" t="str">
        <f aca="true">IF(OR(E2268="",E2268="!!!",F2268="NEW"),"",COUNTBLANK(OFFSET(A$1,,,SUMPRODUCT(MAX(ROW(E$2:E2268)*(E2268=E$2:E2268)))))-COUNTBLANK(OFFSET(A$1,,,SUMPRODUCT(MAX(ROW(E$1:E2267)*(E2=E$1:E2267))))))</f>
        <v/>
      </c>
      <c r="K2268" s="24" t="str">
        <f aca="false">IF(OR(E2268="",E2268="!!!",F2268="NEW"),"",INDEX(J$1:J2267,SUMPRODUCT(MAX(ROW(E$1:E2267)*(E2268=E$1:E2267)))))</f>
        <v/>
      </c>
      <c r="L2268" s="31"/>
    </row>
    <row r="2269" customFormat="false" ht="15" hidden="false" customHeight="false" outlineLevel="0" collapsed="false">
      <c r="A2269" s="20" t="s">
        <v>1109</v>
      </c>
      <c r="E2269" s="23" t="str">
        <f aca="false">IF(D2269="?OLD","!!!","")</f>
        <v/>
      </c>
      <c r="F2269" s="25" t="str">
        <f aca="false">IF(OR(E2269="",E2269="!!!"),"",IF(NOT(ISNA(VLOOKUP(E2269,E$1:E2268,1,FALSE()))),"OLD",IF(AND(E2269&lt;&gt;"",E2269&lt;&gt;"!!!"),"NEW","")))</f>
        <v/>
      </c>
      <c r="G2269" s="26" t="str">
        <f aca="false">IF(OR(E2269="",E2269="!!!"),"",IF(OR(J2269=0,AND(J2269=1,K2269=1),AND(J2269=1,I2269="SBJ"),AND(J2269=1,I2269=0)),"?IN_FOCUS",IF(J2269&lt;=2,"?ACTIVATED",IF(J2269&lt;&gt;"","?FAMILIAR",IF(F2269="NEW",IF(ISNA(VLOOKUP(E2269,#REF!,1,FALSE())),"?TYPE_IDENTIFIABLE","?REFERENTIAL"),"_")))))</f>
        <v/>
      </c>
      <c r="H2269" s="27" t="str">
        <f aca="false">IF(J2269&lt;&gt;1,"",IF(I2269="SBJ","CB","?"))</f>
        <v/>
      </c>
      <c r="I2269" s="24" t="str">
        <f aca="false">IF(OR(E2269="",E2269="!!!",F2269="NEW"),"",INDEX(B7:B$2263,-1+SUMPRODUCT(MAX(ROW(E7:E$2263)*(E2269=E7:E$2263)))))</f>
        <v/>
      </c>
      <c r="J2269" s="24" t="str">
        <f aca="true">IF(OR(E2269="",E2269="!!!",F2269="NEW"),"",COUNTBLANK(OFFSET(A$1,,,SUMPRODUCT(MAX(ROW(E$2:E2269)*(E2269=E$2:E2269)))))-COUNTBLANK(OFFSET(A$1,,,SUMPRODUCT(MAX(ROW(E$1:E2268)*(E2=E$1:E2268))))))</f>
        <v/>
      </c>
      <c r="K2269" s="24" t="str">
        <f aca="false">IF(OR(E2269="",E2269="!!!",F2269="NEW"),"",INDEX(J$1:J2268,SUMPRODUCT(MAX(ROW(E$1:E2268)*(E2269=E$1:E2268)))))</f>
        <v/>
      </c>
      <c r="L2269" s="31"/>
    </row>
    <row r="2270" customFormat="false" ht="15" hidden="false" customHeight="false" outlineLevel="0" collapsed="false">
      <c r="A2270" s="20" t="s">
        <v>1895</v>
      </c>
      <c r="B2270" s="22" t="s">
        <v>1073</v>
      </c>
      <c r="C2270" s="22" t="s">
        <v>1150</v>
      </c>
      <c r="D2270" s="22" t="s">
        <v>1060</v>
      </c>
      <c r="E2270" s="23" t="str">
        <f aca="false">IF(D2270="?OLD","!!!","")</f>
        <v>!!!</v>
      </c>
      <c r="F2270" s="25" t="str">
        <f aca="false">IF(OR(E2270="",E2270="!!!"),"",IF(NOT(ISNA(VLOOKUP(E2270,E$1:E2269,1,FALSE()))),"OLD",IF(AND(E2270&lt;&gt;"",E2270&lt;&gt;"!!!"),"NEW","")))</f>
        <v/>
      </c>
      <c r="G2270" s="26" t="str">
        <f aca="false">IF(OR(E2270="",E2270="!!!"),"",IF(OR(J2270=0,AND(J2270=1,K2270=1),AND(J2270=1,I2270="SBJ"),AND(J2270=1,I2270=0)),"?IN_FOCUS",IF(J2270&lt;=2,"?ACTIVATED",IF(J2270&lt;&gt;"","?FAMILIAR",IF(F2270="NEW",IF(ISNA(VLOOKUP(E2270,#REF!,1,FALSE())),"?TYPE_IDENTIFIABLE","?REFERENTIAL"),"_")))))</f>
        <v/>
      </c>
      <c r="H2270" s="27" t="str">
        <f aca="false">IF(J2270&lt;&gt;1,"",IF(I2270="SBJ","CB","?"))</f>
        <v/>
      </c>
      <c r="I2270" s="24" t="str">
        <f aca="false">IF(OR(E2270="",E2270="!!!",F2270="NEW"),"",INDEX(B8:B$2263,-1+SUMPRODUCT(MAX(ROW(E8:E$2263)*(E2270=E8:E$2263)))))</f>
        <v/>
      </c>
      <c r="J2270" s="24" t="str">
        <f aca="true">IF(OR(E2270="",E2270="!!!",F2270="NEW"),"",COUNTBLANK(OFFSET(A$1,,,SUMPRODUCT(MAX(ROW(E$2:E2270)*(E2270=E$2:E2270)))))-COUNTBLANK(OFFSET(A$1,,,SUMPRODUCT(MAX(ROW(E$1:E2269)*(E2=E$1:E2269))))))</f>
        <v/>
      </c>
      <c r="K2270" s="24" t="str">
        <f aca="false">IF(OR(E2270="",E2270="!!!",F2270="NEW"),"",INDEX(J$1:J2269,SUMPRODUCT(MAX(ROW(E$1:E2269)*(E2270=E$1:E2269)))))</f>
        <v/>
      </c>
      <c r="L2270" s="31"/>
    </row>
    <row r="2271" customFormat="false" ht="15" hidden="false" customHeight="false" outlineLevel="0" collapsed="false">
      <c r="A2271" s="20" t="s">
        <v>1089</v>
      </c>
      <c r="B2271" s="22" t="s">
        <v>1102</v>
      </c>
      <c r="E2271" s="23" t="str">
        <f aca="false">IF(D2271="?OLD","!!!","")</f>
        <v/>
      </c>
      <c r="F2271" s="25" t="str">
        <f aca="false">IF(OR(E2271="",E2271="!!!"),"",IF(NOT(ISNA(VLOOKUP(E2271,E$1:E2270,1,FALSE()))),"OLD",IF(AND(E2271&lt;&gt;"",E2271&lt;&gt;"!!!"),"NEW","")))</f>
        <v/>
      </c>
      <c r="G2271" s="26" t="str">
        <f aca="false">IF(OR(E2271="",E2271="!!!"),"",IF(OR(J2271=0,AND(J2271=1,K2271=1),AND(J2271=1,I2271="SBJ"),AND(J2271=1,I2271=0)),"?IN_FOCUS",IF(J2271&lt;=2,"?ACTIVATED",IF(J2271&lt;&gt;"","?FAMILIAR",IF(F2271="NEW",IF(ISNA(VLOOKUP(E2271,#REF!,1,FALSE())),"?TYPE_IDENTIFIABLE","?REFERENTIAL"),"_")))))</f>
        <v/>
      </c>
      <c r="H2271" s="27" t="str">
        <f aca="false">IF(J2271&lt;&gt;1,"",IF(I2271="SBJ","CB","?"))</f>
        <v/>
      </c>
      <c r="I2271" s="24" t="str">
        <f aca="false">IF(OR(E2271="",E2271="!!!",F2271="NEW"),"",INDEX(B9:B$2263,-1+SUMPRODUCT(MAX(ROW(E9:E$2263)*(E2271=E9:E$2263)))))</f>
        <v/>
      </c>
      <c r="J2271" s="24" t="str">
        <f aca="true">IF(OR(E2271="",E2271="!!!",F2271="NEW"),"",COUNTBLANK(OFFSET(A$1,,,SUMPRODUCT(MAX(ROW(E$2:E2271)*(E2271=E$2:E2271)))))-COUNTBLANK(OFFSET(A$1,,,SUMPRODUCT(MAX(ROW(E$1:E2270)*(E2=E$1:E2270))))))</f>
        <v/>
      </c>
      <c r="K2271" s="24" t="str">
        <f aca="false">IF(OR(E2271="",E2271="!!!",F2271="NEW"),"",INDEX(J$1:J2270,SUMPRODUCT(MAX(ROW(E$1:E2270)*(E2271=E$1:E2270)))))</f>
        <v/>
      </c>
      <c r="L2271" s="31"/>
    </row>
    <row r="2272" customFormat="false" ht="15" hidden="false" customHeight="false" outlineLevel="0" collapsed="false">
      <c r="A2272" s="20" t="s">
        <v>1186</v>
      </c>
      <c r="B2272" s="22" t="s">
        <v>1197</v>
      </c>
      <c r="C2272" s="22" t="s">
        <v>1082</v>
      </c>
      <c r="D2272" s="22" t="s">
        <v>1060</v>
      </c>
      <c r="E2272" s="23" t="str">
        <f aca="false">IF(D2272="?OLD","!!!","")</f>
        <v>!!!</v>
      </c>
      <c r="F2272" s="25" t="str">
        <f aca="false">IF(OR(E2272="",E2272="!!!"),"",IF(NOT(ISNA(VLOOKUP(E2272,E$1:E2271,1,FALSE()))),"OLD",IF(AND(E2272&lt;&gt;"",E2272&lt;&gt;"!!!"),"NEW","")))</f>
        <v/>
      </c>
      <c r="G2272" s="26" t="str">
        <f aca="false">IF(OR(E2272="",E2272="!!!"),"",IF(OR(J2272=0,AND(J2272=1,K2272=1),AND(J2272=1,I2272="SBJ"),AND(J2272=1,I2272=0)),"?IN_FOCUS",IF(J2272&lt;=2,"?ACTIVATED",IF(J2272&lt;&gt;"","?FAMILIAR",IF(F2272="NEW",IF(ISNA(VLOOKUP(E2272,#REF!,1,FALSE())),"?TYPE_IDENTIFIABLE","?REFERENTIAL"),"_")))))</f>
        <v/>
      </c>
      <c r="H2272" s="27" t="str">
        <f aca="false">IF(J2272&lt;&gt;1,"",IF(I2272="SBJ","CB","?"))</f>
        <v/>
      </c>
      <c r="I2272" s="24" t="str">
        <f aca="false">IF(OR(E2272="",E2272="!!!",F2272="NEW"),"",INDEX(B10:B$2263,-1+SUMPRODUCT(MAX(ROW(E10:E$2263)*(E2272=E10:E$2263)))))</f>
        <v/>
      </c>
      <c r="J2272" s="24" t="str">
        <f aca="true">IF(OR(E2272="",E2272="!!!",F2272="NEW"),"",COUNTBLANK(OFFSET(A$1,,,SUMPRODUCT(MAX(ROW(E$2:E2272)*(E2272=E$2:E2272)))))-COUNTBLANK(OFFSET(A$1,,,SUMPRODUCT(MAX(ROW(E$1:E2271)*(E2=E$1:E2271))))))</f>
        <v/>
      </c>
      <c r="K2272" s="24" t="str">
        <f aca="false">IF(OR(E2272="",E2272="!!!",F2272="NEW"),"",INDEX(J$1:J2271,SUMPRODUCT(MAX(ROW(E$1:E2271)*(E2272=E$1:E2271)))))</f>
        <v/>
      </c>
      <c r="L2272" s="31"/>
    </row>
    <row r="2273" customFormat="false" ht="15" hidden="false" customHeight="false" outlineLevel="0" collapsed="false">
      <c r="A2273" s="20" t="s">
        <v>1896</v>
      </c>
      <c r="E2273" s="23" t="str">
        <f aca="false">IF(D2273="?OLD","!!!","")</f>
        <v/>
      </c>
      <c r="F2273" s="25" t="str">
        <f aca="false">IF(OR(E2273="",E2273="!!!"),"",IF(NOT(ISNA(VLOOKUP(E2273,E$1:E2272,1,FALSE()))),"OLD",IF(AND(E2273&lt;&gt;"",E2273&lt;&gt;"!!!"),"NEW","")))</f>
        <v/>
      </c>
      <c r="G2273" s="26" t="str">
        <f aca="false">IF(OR(E2273="",E2273="!!!"),"",IF(OR(J2273=0,AND(J2273=1,K2273=1),AND(J2273=1,I2273="SBJ"),AND(J2273=1,I2273=0)),"?IN_FOCUS",IF(J2273&lt;=2,"?ACTIVATED",IF(J2273&lt;&gt;"","?FAMILIAR",IF(F2273="NEW",IF(ISNA(VLOOKUP(E2273,#REF!,1,FALSE())),"?TYPE_IDENTIFIABLE","?REFERENTIAL"),"_")))))</f>
        <v/>
      </c>
      <c r="H2273" s="27" t="str">
        <f aca="false">IF(J2273&lt;&gt;1,"",IF(I2273="SBJ","CB","?"))</f>
        <v/>
      </c>
      <c r="I2273" s="24" t="str">
        <f aca="false">IF(OR(E2273="",E2273="!!!",F2273="NEW"),"",INDEX(B11:B$2263,-1+SUMPRODUCT(MAX(ROW(E11:E$2263)*(E2273=E11:E$2263)))))</f>
        <v/>
      </c>
      <c r="J2273" s="24" t="str">
        <f aca="true">IF(OR(E2273="",E2273="!!!",F2273="NEW"),"",COUNTBLANK(OFFSET(A$1,,,SUMPRODUCT(MAX(ROW(E$2:E2273)*(E2273=E$2:E2273)))))-COUNTBLANK(OFFSET(A$1,,,SUMPRODUCT(MAX(ROW(E$1:E2272)*(E2=E$1:E2272))))))</f>
        <v/>
      </c>
      <c r="K2273" s="24" t="str">
        <f aca="false">IF(OR(E2273="",E2273="!!!",F2273="NEW"),"",INDEX(J$1:J2272,SUMPRODUCT(MAX(ROW(E$1:E2272)*(E2273=E$1:E2272)))))</f>
        <v/>
      </c>
      <c r="L2273" s="31"/>
    </row>
    <row r="2274" customFormat="false" ht="15" hidden="false" customHeight="false" outlineLevel="0" collapsed="false">
      <c r="A2274" s="20" t="s">
        <v>1137</v>
      </c>
      <c r="B2274" s="22" t="s">
        <v>1102</v>
      </c>
      <c r="C2274" s="22" t="s">
        <v>1082</v>
      </c>
      <c r="D2274" s="22" t="s">
        <v>1060</v>
      </c>
      <c r="E2274" s="23" t="str">
        <f aca="false">IF(D2274="?OLD","!!!","")</f>
        <v>!!!</v>
      </c>
      <c r="F2274" s="25" t="str">
        <f aca="false">IF(OR(E2274="",E2274="!!!"),"",IF(NOT(ISNA(VLOOKUP(E2274,E$1:E2273,1,FALSE()))),"OLD",IF(AND(E2274&lt;&gt;"",E2274&lt;&gt;"!!!"),"NEW","")))</f>
        <v/>
      </c>
      <c r="G2274" s="26" t="str">
        <f aca="false">IF(OR(E2274="",E2274="!!!"),"",IF(OR(J2274=0,AND(J2274=1,K2274=1),AND(J2274=1,I2274="SBJ"),AND(J2274=1,I2274=0)),"?IN_FOCUS",IF(J2274&lt;=2,"?ACTIVATED",IF(J2274&lt;&gt;"","?FAMILIAR",IF(F2274="NEW",IF(ISNA(VLOOKUP(E2274,#REF!,1,FALSE())),"?TYPE_IDENTIFIABLE","?REFERENTIAL"),"_")))))</f>
        <v/>
      </c>
      <c r="H2274" s="27" t="str">
        <f aca="false">IF(J2274&lt;&gt;1,"",IF(I2274="SBJ","CB","?"))</f>
        <v/>
      </c>
      <c r="I2274" s="24" t="str">
        <f aca="false">IF(OR(E2274="",E2274="!!!",F2274="NEW"),"",INDEX(B12:B$2263,-1+SUMPRODUCT(MAX(ROW(E12:E$2263)*(E2274=E12:E$2263)))))</f>
        <v/>
      </c>
      <c r="J2274" s="24" t="str">
        <f aca="true">IF(OR(E2274="",E2274="!!!",F2274="NEW"),"",COUNTBLANK(OFFSET(A$1,,,SUMPRODUCT(MAX(ROW(E$2:E2274)*(E2274=E$2:E2274)))))-COUNTBLANK(OFFSET(A$1,,,SUMPRODUCT(MAX(ROW(E$1:E2273)*(E2=E$1:E2273))))))</f>
        <v/>
      </c>
      <c r="K2274" s="24" t="str">
        <f aca="false">IF(OR(E2274="",E2274="!!!",F2274="NEW"),"",INDEX(J$1:J2273,SUMPRODUCT(MAX(ROW(E$1:E2273)*(E2274=E$1:E2273)))))</f>
        <v/>
      </c>
      <c r="L2274" s="31"/>
    </row>
    <row r="2275" customFormat="false" ht="15" hidden="false" customHeight="false" outlineLevel="0" collapsed="false">
      <c r="A2275" s="20" t="s">
        <v>1095</v>
      </c>
      <c r="E2275" s="23" t="str">
        <f aca="false">IF(D2275="?OLD","!!!","")</f>
        <v/>
      </c>
      <c r="F2275" s="25" t="str">
        <f aca="false">IF(OR(E2275="",E2275="!!!"),"",IF(NOT(ISNA(VLOOKUP(E2275,E$1:E2274,1,FALSE()))),"OLD",IF(AND(E2275&lt;&gt;"",E2275&lt;&gt;"!!!"),"NEW","")))</f>
        <v/>
      </c>
      <c r="G2275" s="26" t="str">
        <f aca="false">IF(OR(E2275="",E2275="!!!"),"",IF(OR(J2275=0,AND(J2275=1,K2275=1),AND(J2275=1,I2275="SBJ"),AND(J2275=1,I2275=0)),"?IN_FOCUS",IF(J2275&lt;=2,"?ACTIVATED",IF(J2275&lt;&gt;"","?FAMILIAR",IF(F2275="NEW",IF(ISNA(VLOOKUP(E2275,#REF!,1,FALSE())),"?TYPE_IDENTIFIABLE","?REFERENTIAL"),"_")))))</f>
        <v/>
      </c>
      <c r="H2275" s="27" t="str">
        <f aca="false">IF(J2275&lt;&gt;1,"",IF(I2275="SBJ","CB","?"))</f>
        <v/>
      </c>
      <c r="I2275" s="24" t="str">
        <f aca="false">IF(OR(E2275="",E2275="!!!",F2275="NEW"),"",INDEX(B13:B$2263,-1+SUMPRODUCT(MAX(ROW(E13:E$2263)*(E2275=E13:E$2263)))))</f>
        <v/>
      </c>
      <c r="J2275" s="24" t="str">
        <f aca="true">IF(OR(E2275="",E2275="!!!",F2275="NEW"),"",COUNTBLANK(OFFSET(A$1,,,SUMPRODUCT(MAX(ROW(E$2:E2275)*(E2275=E$2:E2275)))))-COUNTBLANK(OFFSET(A$1,,,SUMPRODUCT(MAX(ROW(E$1:E2274)*(E2=E$1:E2274))))))</f>
        <v/>
      </c>
      <c r="K2275" s="24" t="str">
        <f aca="false">IF(OR(E2275="",E2275="!!!",F2275="NEW"),"",INDEX(J$1:J2274,SUMPRODUCT(MAX(ROW(E$1:E2274)*(E2275=E$1:E2274)))))</f>
        <v/>
      </c>
      <c r="L2275" s="31"/>
    </row>
    <row r="2276" customFormat="false" ht="15" hidden="false" customHeight="false" outlineLevel="0" collapsed="false">
      <c r="A2276" s="20" t="s">
        <v>213</v>
      </c>
      <c r="E2276" s="23" t="str">
        <f aca="false">IF(D2276="?OLD","!!!","")</f>
        <v/>
      </c>
      <c r="F2276" s="25" t="str">
        <f aca="false">IF(OR(E2276="",E2276="!!!"),"",IF(NOT(ISNA(VLOOKUP(E2276,E$1:E2275,1,FALSE()))),"OLD",IF(AND(E2276&lt;&gt;"",E2276&lt;&gt;"!!!"),"NEW","")))</f>
        <v/>
      </c>
      <c r="G2276" s="26" t="str">
        <f aca="false">IF(OR(E2276="",E2276="!!!"),"",IF(OR(J2276=0,AND(J2276=1,K2276=1),AND(J2276=1,I2276="SBJ"),AND(J2276=1,I2276=0)),"?IN_FOCUS",IF(J2276&lt;=2,"?ACTIVATED",IF(J2276&lt;&gt;"","?FAMILIAR",IF(F2276="NEW",IF(ISNA(VLOOKUP(E2276,#REF!,1,FALSE())),"?TYPE_IDENTIFIABLE","?REFERENTIAL"),"_")))))</f>
        <v/>
      </c>
      <c r="H2276" s="27" t="str">
        <f aca="false">IF(J2276&lt;&gt;1,"",IF(I2276="SBJ","CB","?"))</f>
        <v/>
      </c>
      <c r="I2276" s="24" t="str">
        <f aca="false">IF(OR(E2276="",E2276="!!!",F2276="NEW"),"",INDEX(B14:B$2263,-1+SUMPRODUCT(MAX(ROW(E14:E$2263)*(E2276=E14:E$2263)))))</f>
        <v/>
      </c>
      <c r="J2276" s="24" t="str">
        <f aca="true">IF(OR(E2276="",E2276="!!!",F2276="NEW"),"",COUNTBLANK(OFFSET(A$1,,,SUMPRODUCT(MAX(ROW(E$2:E2276)*(E2276=E$2:E2276)))))-COUNTBLANK(OFFSET(A$1,,,SUMPRODUCT(MAX(ROW(E$1:E2275)*(E2=E$1:E2275))))))</f>
        <v/>
      </c>
      <c r="K2276" s="24" t="str">
        <f aca="false">IF(OR(E2276="",E2276="!!!",F2276="NEW"),"",INDEX(J$1:J2275,SUMPRODUCT(MAX(ROW(E$1:E2275)*(E2276=E$1:E2275)))))</f>
        <v/>
      </c>
      <c r="L2276" s="31"/>
    </row>
    <row r="2277" customFormat="false" ht="15" hidden="false" customHeight="false" outlineLevel="0" collapsed="false">
      <c r="A2277" s="20" t="s">
        <v>1641</v>
      </c>
      <c r="E2277" s="23" t="str">
        <f aca="false">IF(D2277="?OLD","!!!","")</f>
        <v/>
      </c>
      <c r="F2277" s="25" t="str">
        <f aca="false">IF(OR(E2277="",E2277="!!!"),"",IF(NOT(ISNA(VLOOKUP(E2277,E$1:E2276,1,FALSE()))),"OLD",IF(AND(E2277&lt;&gt;"",E2277&lt;&gt;"!!!"),"NEW","")))</f>
        <v/>
      </c>
      <c r="G2277" s="26" t="str">
        <f aca="false">IF(OR(E2277="",E2277="!!!"),"",IF(OR(J2277=0,AND(J2277=1,K2277=1),AND(J2277=1,I2277="SBJ"),AND(J2277=1,I2277=0)),"?IN_FOCUS",IF(J2277&lt;=2,"?ACTIVATED",IF(J2277&lt;&gt;"","?FAMILIAR",IF(F2277="NEW",IF(ISNA(VLOOKUP(E2277,#REF!,1,FALSE())),"?TYPE_IDENTIFIABLE","?REFERENTIAL"),"_")))))</f>
        <v/>
      </c>
      <c r="H2277" s="27" t="str">
        <f aca="false">IF(J2277&lt;&gt;1,"",IF(I2277="SBJ","CB","?"))</f>
        <v/>
      </c>
      <c r="I2277" s="24" t="str">
        <f aca="false">IF(OR(E2277="",E2277="!!!",F2277="NEW"),"",INDEX(B15:B$2263,-1+SUMPRODUCT(MAX(ROW(E15:E$2263)*(E2277=E15:E$2263)))))</f>
        <v/>
      </c>
      <c r="J2277" s="24" t="str">
        <f aca="true">IF(OR(E2277="",E2277="!!!",F2277="NEW"),"",COUNTBLANK(OFFSET(A$1,,,SUMPRODUCT(MAX(ROW(E$2:E2277)*(E2277=E$2:E2277)))))-COUNTBLANK(OFFSET(A$1,,,SUMPRODUCT(MAX(ROW(E$1:E2276)*(E2=E$1:E2276))))))</f>
        <v/>
      </c>
      <c r="K2277" s="24" t="str">
        <f aca="false">IF(OR(E2277="",E2277="!!!",F2277="NEW"),"",INDEX(J$1:J2276,SUMPRODUCT(MAX(ROW(E$1:E2276)*(E2277=E$1:E2276)))))</f>
        <v/>
      </c>
      <c r="L2277" s="31"/>
    </row>
    <row r="2278" customFormat="false" ht="15" hidden="false" customHeight="false" outlineLevel="0" collapsed="false">
      <c r="A2278" s="20" t="s">
        <v>1186</v>
      </c>
      <c r="B2278" s="22" t="s">
        <v>1205</v>
      </c>
      <c r="C2278" s="22" t="s">
        <v>1082</v>
      </c>
      <c r="D2278" s="22" t="s">
        <v>1060</v>
      </c>
      <c r="E2278" s="23" t="str">
        <f aca="false">IF(D2278="?OLD","!!!","")</f>
        <v>!!!</v>
      </c>
      <c r="F2278" s="25" t="str">
        <f aca="false">IF(OR(E2278="",E2278="!!!"),"",IF(NOT(ISNA(VLOOKUP(E2278,E$1:E2277,1,FALSE()))),"OLD",IF(AND(E2278&lt;&gt;"",E2278&lt;&gt;"!!!"),"NEW","")))</f>
        <v/>
      </c>
      <c r="G2278" s="26" t="str">
        <f aca="false">IF(OR(E2278="",E2278="!!!"),"",IF(OR(J2278=0,AND(J2278=1,K2278=1),AND(J2278=1,I2278="SBJ"),AND(J2278=1,I2278=0)),"?IN_FOCUS",IF(J2278&lt;=2,"?ACTIVATED",IF(J2278&lt;&gt;"","?FAMILIAR",IF(F2278="NEW",IF(ISNA(VLOOKUP(E2278,#REF!,1,FALSE())),"?TYPE_IDENTIFIABLE","?REFERENTIAL"),"_")))))</f>
        <v/>
      </c>
      <c r="H2278" s="27" t="str">
        <f aca="false">IF(J2278&lt;&gt;1,"",IF(I2278="SBJ","CB","?"))</f>
        <v/>
      </c>
      <c r="I2278" s="24" t="str">
        <f aca="false">IF(OR(E2278="",E2278="!!!",F2278="NEW"),"",INDEX(B16:B$2263,-1+SUMPRODUCT(MAX(ROW(E16:E$2263)*(E2278=E16:E$2263)))))</f>
        <v/>
      </c>
      <c r="J2278" s="24" t="str">
        <f aca="true">IF(OR(E2278="",E2278="!!!",F2278="NEW"),"",COUNTBLANK(OFFSET(A$1,,,SUMPRODUCT(MAX(ROW(E$2:E2278)*(E2278=E$2:E2278)))))-COUNTBLANK(OFFSET(A$1,,,SUMPRODUCT(MAX(ROW(E$1:E2277)*(E2=E$1:E2277))))))</f>
        <v/>
      </c>
      <c r="K2278" s="24" t="str">
        <f aca="false">IF(OR(E2278="",E2278="!!!",F2278="NEW"),"",INDEX(J$1:J2277,SUMPRODUCT(MAX(ROW(E$1:E2277)*(E2278=E$1:E2277)))))</f>
        <v/>
      </c>
      <c r="L2278" s="31"/>
    </row>
    <row r="2279" customFormat="false" ht="15" hidden="false" customHeight="false" outlineLevel="0" collapsed="false">
      <c r="A2279" s="20" t="s">
        <v>1164</v>
      </c>
      <c r="E2279" s="23" t="str">
        <f aca="false">IF(D2279="?OLD","!!!","")</f>
        <v/>
      </c>
      <c r="F2279" s="25" t="str">
        <f aca="false">IF(OR(E2279="",E2279="!!!"),"",IF(NOT(ISNA(VLOOKUP(E2279,E$1:E2278,1,FALSE()))),"OLD",IF(AND(E2279&lt;&gt;"",E2279&lt;&gt;"!!!"),"NEW","")))</f>
        <v/>
      </c>
      <c r="G2279" s="26" t="str">
        <f aca="false">IF(OR(E2279="",E2279="!!!"),"",IF(OR(J2279=0,AND(J2279=1,K2279=1),AND(J2279=1,I2279="SBJ"),AND(J2279=1,I2279=0)),"?IN_FOCUS",IF(J2279&lt;=2,"?ACTIVATED",IF(J2279&lt;&gt;"","?FAMILIAR",IF(F2279="NEW",IF(ISNA(VLOOKUP(E2279,#REF!,1,FALSE())),"?TYPE_IDENTIFIABLE","?REFERENTIAL"),"_")))))</f>
        <v/>
      </c>
      <c r="H2279" s="27" t="str">
        <f aca="false">IF(J2279&lt;&gt;1,"",IF(I2279="SBJ","CB","?"))</f>
        <v/>
      </c>
      <c r="I2279" s="24" t="str">
        <f aca="false">IF(OR(E2279="",E2279="!!!",F2279="NEW"),"",INDEX(B17:B$2263,-1+SUMPRODUCT(MAX(ROW(E17:E$2263)*(E2279=E17:E$2263)))))</f>
        <v/>
      </c>
      <c r="J2279" s="24" t="str">
        <f aca="true">IF(OR(E2279="",E2279="!!!",F2279="NEW"),"",COUNTBLANK(OFFSET(A$1,,,SUMPRODUCT(MAX(ROW(E$2:E2279)*(E2279=E$2:E2279)))))-COUNTBLANK(OFFSET(A$1,,,SUMPRODUCT(MAX(ROW(E$1:E2278)*(E2=E$1:E2278))))))</f>
        <v/>
      </c>
      <c r="K2279" s="24" t="str">
        <f aca="false">IF(OR(E2279="",E2279="!!!",F2279="NEW"),"",INDEX(J$1:J2278,SUMPRODUCT(MAX(ROW(E$1:E2278)*(E2279=E$1:E2278)))))</f>
        <v/>
      </c>
      <c r="L2279" s="31"/>
    </row>
    <row r="2280" customFormat="false" ht="15" hidden="false" customHeight="false" outlineLevel="0" collapsed="false">
      <c r="A2280" s="20" t="s">
        <v>1897</v>
      </c>
      <c r="E2280" s="23" t="str">
        <f aca="false">IF(D2280="?OLD","!!!","")</f>
        <v/>
      </c>
      <c r="F2280" s="25" t="str">
        <f aca="false">IF(OR(E2280="",E2280="!!!"),"",IF(NOT(ISNA(VLOOKUP(E2280,E$1:E2279,1,FALSE()))),"OLD",IF(AND(E2280&lt;&gt;"",E2280&lt;&gt;"!!!"),"NEW","")))</f>
        <v/>
      </c>
      <c r="G2280" s="26" t="str">
        <f aca="false">IF(OR(E2280="",E2280="!!!"),"",IF(OR(J2280=0,AND(J2280=1,K2280=1),AND(J2280=1,I2280="SBJ"),AND(J2280=1,I2280=0)),"?IN_FOCUS",IF(J2280&lt;=2,"?ACTIVATED",IF(J2280&lt;&gt;"","?FAMILIAR",IF(F2280="NEW",IF(ISNA(VLOOKUP(E2280,#REF!,1,FALSE())),"?TYPE_IDENTIFIABLE","?REFERENTIAL"),"_")))))</f>
        <v/>
      </c>
      <c r="H2280" s="27" t="str">
        <f aca="false">IF(J2280&lt;&gt;1,"",IF(I2280="SBJ","CB","?"))</f>
        <v/>
      </c>
      <c r="I2280" s="24" t="str">
        <f aca="false">IF(OR(E2280="",E2280="!!!",F2280="NEW"),"",INDEX(B18:B$2263,-1+SUMPRODUCT(MAX(ROW(E18:E$2263)*(E2280=E18:E$2263)))))</f>
        <v/>
      </c>
      <c r="J2280" s="24" t="str">
        <f aca="true">IF(OR(E2280="",E2280="!!!",F2280="NEW"),"",COUNTBLANK(OFFSET(A$1,,,SUMPRODUCT(MAX(ROW(E$2:E2280)*(E2280=E$2:E2280)))))-COUNTBLANK(OFFSET(A$1,,,SUMPRODUCT(MAX(ROW(E$1:E2279)*(E2=E$1:E2279))))))</f>
        <v/>
      </c>
      <c r="K2280" s="24" t="str">
        <f aca="false">IF(OR(E2280="",E2280="!!!",F2280="NEW"),"",INDEX(J$1:J2279,SUMPRODUCT(MAX(ROW(E$1:E2279)*(E2280=E$1:E2279)))))</f>
        <v/>
      </c>
      <c r="L2280" s="31"/>
    </row>
    <row r="2281" customFormat="false" ht="15" hidden="false" customHeight="false" outlineLevel="0" collapsed="false">
      <c r="A2281" s="20" t="s">
        <v>1189</v>
      </c>
      <c r="B2281" s="22" t="s">
        <v>1203</v>
      </c>
      <c r="C2281" s="22" t="s">
        <v>1099</v>
      </c>
      <c r="D2281" s="22" t="s">
        <v>1060</v>
      </c>
      <c r="E2281" s="23" t="str">
        <f aca="false">IF(D2281="?OLD","!!!","")</f>
        <v>!!!</v>
      </c>
      <c r="F2281" s="25" t="str">
        <f aca="false">IF(OR(E2281="",E2281="!!!"),"",IF(NOT(ISNA(VLOOKUP(E2281,E$1:E2280,1,FALSE()))),"OLD",IF(AND(E2281&lt;&gt;"",E2281&lt;&gt;"!!!"),"NEW","")))</f>
        <v/>
      </c>
      <c r="G2281" s="26" t="str">
        <f aca="false">IF(OR(E2281="",E2281="!!!"),"",IF(OR(J2281=0,AND(J2281=1,K2281=1),AND(J2281=1,I2281="SBJ"),AND(J2281=1,I2281=0)),"?IN_FOCUS",IF(J2281&lt;=2,"?ACTIVATED",IF(J2281&lt;&gt;"","?FAMILIAR",IF(F2281="NEW",IF(ISNA(VLOOKUP(E2281,#REF!,1,FALSE())),"?TYPE_IDENTIFIABLE","?REFERENTIAL"),"_")))))</f>
        <v/>
      </c>
      <c r="H2281" s="27" t="str">
        <f aca="false">IF(J2281&lt;&gt;1,"",IF(I2281="SBJ","CB","?"))</f>
        <v/>
      </c>
      <c r="I2281" s="24" t="str">
        <f aca="false">IF(OR(E2281="",E2281="!!!",F2281="NEW"),"",INDEX(B19:B$2263,-1+SUMPRODUCT(MAX(ROW(E19:E$2263)*(E2281=E19:E$2263)))))</f>
        <v/>
      </c>
      <c r="J2281" s="24" t="str">
        <f aca="true">IF(OR(E2281="",E2281="!!!",F2281="NEW"),"",COUNTBLANK(OFFSET(A$1,,,SUMPRODUCT(MAX(ROW(E$2:E2281)*(E2281=E$2:E2281)))))-COUNTBLANK(OFFSET(A$1,,,SUMPRODUCT(MAX(ROW(E$1:E2280)*(E2=E$1:E2280))))))</f>
        <v/>
      </c>
      <c r="K2281" s="24" t="str">
        <f aca="false">IF(OR(E2281="",E2281="!!!",F2281="NEW"),"",INDEX(J$1:J2280,SUMPRODUCT(MAX(ROW(E$1:E2280)*(E2281=E$1:E2280)))))</f>
        <v/>
      </c>
      <c r="L2281" s="31"/>
    </row>
    <row r="2282" customFormat="false" ht="15" hidden="false" customHeight="false" outlineLevel="0" collapsed="false">
      <c r="A2282" s="20" t="s">
        <v>1898</v>
      </c>
      <c r="B2282" s="22" t="s">
        <v>1571</v>
      </c>
      <c r="C2282" s="22" t="s">
        <v>1059</v>
      </c>
      <c r="D2282" s="22" t="s">
        <v>1060</v>
      </c>
      <c r="E2282" s="23" t="str">
        <f aca="false">IF(D2282="?OLD","!!!","")</f>
        <v>!!!</v>
      </c>
      <c r="F2282" s="25" t="str">
        <f aca="false">IF(OR(E2282="",E2282="!!!"),"",IF(NOT(ISNA(VLOOKUP(E2282,E$1:E2281,1,FALSE()))),"OLD",IF(AND(E2282&lt;&gt;"",E2282&lt;&gt;"!!!"),"NEW","")))</f>
        <v/>
      </c>
      <c r="G2282" s="26" t="str">
        <f aca="false">IF(OR(E2282="",E2282="!!!"),"",IF(OR(J2282=0,AND(J2282=1,K2282=1),AND(J2282=1,I2282="SBJ"),AND(J2282=1,I2282=0)),"?IN_FOCUS",IF(J2282&lt;=2,"?ACTIVATED",IF(J2282&lt;&gt;"","?FAMILIAR",IF(F2282="NEW",IF(ISNA(VLOOKUP(E2282,#REF!,1,FALSE())),"?TYPE_IDENTIFIABLE","?REFERENTIAL"),"_")))))</f>
        <v/>
      </c>
      <c r="H2282" s="27" t="str">
        <f aca="false">IF(J2282&lt;&gt;1,"",IF(I2282="SBJ","CB","?"))</f>
        <v/>
      </c>
      <c r="I2282" s="24" t="str">
        <f aca="false">IF(OR(E2282="",E2282="!!!",F2282="NEW"),"",INDEX(B20:B$2263,-1+SUMPRODUCT(MAX(ROW(E20:E$2263)*(E2282=E20:E$2263)))))</f>
        <v/>
      </c>
      <c r="J2282" s="24" t="str">
        <f aca="true">IF(OR(E2282="",E2282="!!!",F2282="NEW"),"",COUNTBLANK(OFFSET(A$1,,,SUMPRODUCT(MAX(ROW(E$2:E2282)*(E2282=E$2:E2282)))))-COUNTBLANK(OFFSET(A$1,,,SUMPRODUCT(MAX(ROW(E$1:E2281)*(E2=E$1:E2281))))))</f>
        <v/>
      </c>
      <c r="K2282" s="24" t="str">
        <f aca="false">IF(OR(E2282="",E2282="!!!",F2282="NEW"),"",INDEX(J$1:J2281,SUMPRODUCT(MAX(ROW(E$1:E2281)*(E2282=E$1:E2281)))))</f>
        <v/>
      </c>
      <c r="L2282" s="31"/>
    </row>
    <row r="2283" customFormat="false" ht="15" hidden="false" customHeight="false" outlineLevel="0" collapsed="false">
      <c r="A2283" s="20" t="s">
        <v>923</v>
      </c>
      <c r="E2283" s="23" t="str">
        <f aca="false">IF(D2283="?OLD","!!!","")</f>
        <v/>
      </c>
      <c r="F2283" s="25" t="str">
        <f aca="false">IF(OR(E2283="",E2283="!!!"),"",IF(NOT(ISNA(VLOOKUP(E2283,E$1:E2282,1,FALSE()))),"OLD",IF(AND(E2283&lt;&gt;"",E2283&lt;&gt;"!!!"),"NEW","")))</f>
        <v/>
      </c>
      <c r="G2283" s="26" t="str">
        <f aca="false">IF(OR(E2283="",E2283="!!!"),"",IF(OR(J2283=0,AND(J2283=1,K2283=1),AND(J2283=1,I2283="SBJ"),AND(J2283=1,I2283=0)),"?IN_FOCUS",IF(J2283&lt;=2,"?ACTIVATED",IF(J2283&lt;&gt;"","?FAMILIAR",IF(F2283="NEW",IF(ISNA(VLOOKUP(E2283,#REF!,1,FALSE())),"?TYPE_IDENTIFIABLE","?REFERENTIAL"),"_")))))</f>
        <v/>
      </c>
      <c r="H2283" s="27" t="str">
        <f aca="false">IF(J2283&lt;&gt;1,"",IF(I2283="SBJ","CB","?"))</f>
        <v/>
      </c>
      <c r="I2283" s="24" t="str">
        <f aca="false">IF(OR(E2283="",E2283="!!!",F2283="NEW"),"",INDEX(B21:B$2263,-1+SUMPRODUCT(MAX(ROW(E21:E$2263)*(E2283=E21:E$2263)))))</f>
        <v/>
      </c>
      <c r="J2283" s="24" t="str">
        <f aca="true">IF(OR(E2283="",E2283="!!!",F2283="NEW"),"",COUNTBLANK(OFFSET(A$1,,,SUMPRODUCT(MAX(ROW(E$2:E2283)*(E2283=E$2:E2283)))))-COUNTBLANK(OFFSET(A$1,,,SUMPRODUCT(MAX(ROW(E$1:E2282)*(E2=E$1:E2282))))))</f>
        <v/>
      </c>
      <c r="K2283" s="24" t="str">
        <f aca="false">IF(OR(E2283="",E2283="!!!",F2283="NEW"),"",INDEX(J$1:J2282,SUMPRODUCT(MAX(ROW(E$1:E2282)*(E2283=E$1:E2282)))))</f>
        <v/>
      </c>
      <c r="L2283" s="31"/>
    </row>
    <row r="2284" customFormat="false" ht="15" hidden="false" customHeight="false" outlineLevel="0" collapsed="false">
      <c r="A2284" s="20"/>
    </row>
    <row r="2285" customFormat="false" ht="15" hidden="false" customHeight="false" outlineLevel="0" collapsed="false">
      <c r="A2285" s="20" t="s">
        <v>1899</v>
      </c>
    </row>
    <row r="2286" customFormat="false" ht="15" hidden="false" customHeight="false" outlineLevel="0" collapsed="false">
      <c r="A2286" s="20" t="s">
        <v>1793</v>
      </c>
      <c r="E2286" s="23" t="str">
        <f aca="false">IF(D2286="?OLD","!!!","")</f>
        <v/>
      </c>
      <c r="F2286" s="25" t="str">
        <f aca="false">IF(OR(E2286="",E2286="!!!"),"",IF(NOT(ISNA(VLOOKUP(E2286,E$1:E2285,1,FALSE()))),"OLD",IF(AND(E2286&lt;&gt;"",E2286&lt;&gt;"!!!"),"NEW","")))</f>
        <v/>
      </c>
      <c r="G2286" s="26" t="str">
        <f aca="false">IF(OR(E2286="",E2286="!!!"),"",IF(OR(J2286=0,AND(J2286=1,K2286=1),AND(J2286=1,I2286="SBJ"),AND(J2286=1,I2286=0)),"?IN_FOCUS",IF(J2286&lt;=2,"?ACTIVATED",IF(J2286&lt;&gt;"","?FAMILIAR",IF(F2286="NEW",IF(ISNA(VLOOKUP(E2286,#REF!,1,FALSE())),"?TYPE_IDENTIFIABLE","?REFERENTIAL"),"_")))))</f>
        <v/>
      </c>
      <c r="H2286" s="27" t="str">
        <f aca="false">IF(J2286&lt;&gt;1,"",IF(I2286="SBJ","CB","?"))</f>
        <v/>
      </c>
      <c r="I2286" s="24" t="str">
        <f aca="false">IF(OR(E2286="",E2286="!!!",F2286="NEW"),"",INDEX(B2:B$2285,-1+SUMPRODUCT(MAX(ROW(E2:E$2285)*(E2286=E2:E$2285)))))</f>
        <v/>
      </c>
      <c r="J2286" s="24" t="str">
        <f aca="true">IF(OR(E2286="",E2286="!!!",F2286="NEW"),"",COUNTBLANK(OFFSET(A$1,,,SUMPRODUCT(MAX(ROW(E$2:E2286)*(E2286=E$2:E2286)))))-COUNTBLANK(OFFSET(A$1,,,SUMPRODUCT(MAX(ROW(E$1:E2285)*(E2=E$1:E2285))))))</f>
        <v/>
      </c>
      <c r="K2286" s="24" t="str">
        <f aca="false">IF(OR(E2286="",E2286="!!!",F2286="NEW"),"",INDEX(J$1:J2285,SUMPRODUCT(MAX(ROW(E$1:E2285)*(E2286=E$1:E2285)))))</f>
        <v/>
      </c>
      <c r="L2286" s="31"/>
    </row>
    <row r="2287" customFormat="false" ht="15" hidden="false" customHeight="false" outlineLevel="0" collapsed="false">
      <c r="A2287" s="20" t="s">
        <v>1066</v>
      </c>
      <c r="B2287" s="22" t="s">
        <v>1058</v>
      </c>
      <c r="C2287" s="22" t="s">
        <v>1068</v>
      </c>
      <c r="D2287" s="22" t="s">
        <v>1060</v>
      </c>
      <c r="E2287" s="23" t="str">
        <f aca="false">IF(D2287="?OLD","!!!","")</f>
        <v>!!!</v>
      </c>
      <c r="F2287" s="25" t="str">
        <f aca="false">IF(OR(E2287="",E2287="!!!"),"",IF(NOT(ISNA(VLOOKUP(E2287,E$1:E2286,1,FALSE()))),"OLD",IF(AND(E2287&lt;&gt;"",E2287&lt;&gt;"!!!"),"NEW","")))</f>
        <v/>
      </c>
      <c r="G2287" s="26" t="str">
        <f aca="false">IF(OR(E2287="",E2287="!!!"),"",IF(OR(J2287=0,AND(J2287=1,K2287=1),AND(J2287=1,I2287="SBJ"),AND(J2287=1,I2287=0)),"?IN_FOCUS",IF(J2287&lt;=2,"?ACTIVATED",IF(J2287&lt;&gt;"","?FAMILIAR",IF(F2287="NEW",IF(ISNA(VLOOKUP(E2287,#REF!,1,FALSE())),"?TYPE_IDENTIFIABLE","?REFERENTIAL"),"_")))))</f>
        <v/>
      </c>
      <c r="H2287" s="27" t="str">
        <f aca="false">IF(J2287&lt;&gt;1,"",IF(I2287="SBJ","CB","?"))</f>
        <v/>
      </c>
      <c r="I2287" s="24" t="str">
        <f aca="false">IF(OR(E2287="",E2287="!!!",F2287="NEW"),"",INDEX(B3:B$2285,-1+SUMPRODUCT(MAX(ROW(E3:E$2285)*(E2287=E3:E$2285)))))</f>
        <v/>
      </c>
      <c r="J2287" s="24" t="str">
        <f aca="true">IF(OR(E2287="",E2287="!!!",F2287="NEW"),"",COUNTBLANK(OFFSET(A$1,,,SUMPRODUCT(MAX(ROW(E$2:E2287)*(E2287=E$2:E2287)))))-COUNTBLANK(OFFSET(A$1,,,SUMPRODUCT(MAX(ROW(E$1:E2286)*(E2=E$1:E2286))))))</f>
        <v/>
      </c>
      <c r="K2287" s="24" t="str">
        <f aca="false">IF(OR(E2287="",E2287="!!!",F2287="NEW"),"",INDEX(J$1:J2286,SUMPRODUCT(MAX(ROW(E$1:E2286)*(E2287=E$1:E2286)))))</f>
        <v/>
      </c>
      <c r="L2287" s="31"/>
    </row>
    <row r="2288" customFormat="false" ht="15" hidden="false" customHeight="false" outlineLevel="0" collapsed="false">
      <c r="A2288" s="20" t="s">
        <v>1128</v>
      </c>
      <c r="E2288" s="23" t="str">
        <f aca="false">IF(D2288="?OLD","!!!","")</f>
        <v/>
      </c>
      <c r="F2288" s="25" t="str">
        <f aca="false">IF(OR(E2288="",E2288="!!!"),"",IF(NOT(ISNA(VLOOKUP(E2288,E$1:E2287,1,FALSE()))),"OLD",IF(AND(E2288&lt;&gt;"",E2288&lt;&gt;"!!!"),"NEW","")))</f>
        <v/>
      </c>
      <c r="G2288" s="26" t="str">
        <f aca="false">IF(OR(E2288="",E2288="!!!"),"",IF(OR(J2288=0,AND(J2288=1,K2288=1),AND(J2288=1,I2288="SBJ"),AND(J2288=1,I2288=0)),"?IN_FOCUS",IF(J2288&lt;=2,"?ACTIVATED",IF(J2288&lt;&gt;"","?FAMILIAR",IF(F2288="NEW",IF(ISNA(VLOOKUP(E2288,#REF!,1,FALSE())),"?TYPE_IDENTIFIABLE","?REFERENTIAL"),"_")))))</f>
        <v/>
      </c>
      <c r="H2288" s="27" t="str">
        <f aca="false">IF(J2288&lt;&gt;1,"",IF(I2288="SBJ","CB","?"))</f>
        <v/>
      </c>
      <c r="I2288" s="24" t="str">
        <f aca="false">IF(OR(E2288="",E2288="!!!",F2288="NEW"),"",INDEX(B4:B$2285,-1+SUMPRODUCT(MAX(ROW(E4:E$2285)*(E2288=E4:E$2285)))))</f>
        <v/>
      </c>
      <c r="J2288" s="24" t="str">
        <f aca="true">IF(OR(E2288="",E2288="!!!",F2288="NEW"),"",COUNTBLANK(OFFSET(A$1,,,SUMPRODUCT(MAX(ROW(E$2:E2288)*(E2288=E$2:E2288)))))-COUNTBLANK(OFFSET(A$1,,,SUMPRODUCT(MAX(ROW(E$1:E2287)*(E2=E$1:E2287))))))</f>
        <v/>
      </c>
      <c r="K2288" s="24" t="str">
        <f aca="false">IF(OR(E2288="",E2288="!!!",F2288="NEW"),"",INDEX(J$1:J2287,SUMPRODUCT(MAX(ROW(E$1:E2287)*(E2288=E$1:E2287)))))</f>
        <v/>
      </c>
      <c r="L2288" s="31"/>
    </row>
    <row r="2289" customFormat="false" ht="15" hidden="false" customHeight="false" outlineLevel="0" collapsed="false">
      <c r="A2289" s="20" t="s">
        <v>1162</v>
      </c>
      <c r="B2289" s="22" t="s">
        <v>1073</v>
      </c>
      <c r="C2289" s="22" t="s">
        <v>1082</v>
      </c>
      <c r="D2289" s="22" t="s">
        <v>1060</v>
      </c>
      <c r="E2289" s="23" t="str">
        <f aca="false">IF(D2289="?OLD","!!!","")</f>
        <v>!!!</v>
      </c>
      <c r="F2289" s="25" t="str">
        <f aca="false">IF(OR(E2289="",E2289="!!!"),"",IF(NOT(ISNA(VLOOKUP(E2289,E$1:E2288,1,FALSE()))),"OLD",IF(AND(E2289&lt;&gt;"",E2289&lt;&gt;"!!!"),"NEW","")))</f>
        <v/>
      </c>
      <c r="G2289" s="26" t="str">
        <f aca="false">IF(OR(E2289="",E2289="!!!"),"",IF(OR(J2289=0,AND(J2289=1,K2289=1),AND(J2289=1,I2289="SBJ"),AND(J2289=1,I2289=0)),"?IN_FOCUS",IF(J2289&lt;=2,"?ACTIVATED",IF(J2289&lt;&gt;"","?FAMILIAR",IF(F2289="NEW",IF(ISNA(VLOOKUP(E2289,#REF!,1,FALSE())),"?TYPE_IDENTIFIABLE","?REFERENTIAL"),"_")))))</f>
        <v/>
      </c>
      <c r="H2289" s="27" t="str">
        <f aca="false">IF(J2289&lt;&gt;1,"",IF(I2289="SBJ","CB","?"))</f>
        <v/>
      </c>
      <c r="I2289" s="24" t="str">
        <f aca="false">IF(OR(E2289="",E2289="!!!",F2289="NEW"),"",INDEX(B5:B$2285,-1+SUMPRODUCT(MAX(ROW(E5:E$2285)*(E2289=E5:E$2285)))))</f>
        <v/>
      </c>
      <c r="J2289" s="24" t="str">
        <f aca="true">IF(OR(E2289="",E2289="!!!",F2289="NEW"),"",COUNTBLANK(OFFSET(A$1,,,SUMPRODUCT(MAX(ROW(E$2:E2289)*(E2289=E$2:E2289)))))-COUNTBLANK(OFFSET(A$1,,,SUMPRODUCT(MAX(ROW(E$1:E2288)*(E2=E$1:E2288))))))</f>
        <v/>
      </c>
      <c r="K2289" s="24" t="str">
        <f aca="false">IF(OR(E2289="",E2289="!!!",F2289="NEW"),"",INDEX(J$1:J2288,SUMPRODUCT(MAX(ROW(E$1:E2288)*(E2289=E$1:E2288)))))</f>
        <v/>
      </c>
      <c r="L2289" s="31"/>
    </row>
    <row r="2290" customFormat="false" ht="15" hidden="false" customHeight="false" outlineLevel="0" collapsed="false">
      <c r="A2290" s="20" t="s">
        <v>1708</v>
      </c>
      <c r="E2290" s="23" t="str">
        <f aca="false">IF(D2290="?OLD","!!!","")</f>
        <v/>
      </c>
      <c r="F2290" s="25" t="str">
        <f aca="false">IF(OR(E2290="",E2290="!!!"),"",IF(NOT(ISNA(VLOOKUP(E2290,E$1:E2289,1,FALSE()))),"OLD",IF(AND(E2290&lt;&gt;"",E2290&lt;&gt;"!!!"),"NEW","")))</f>
        <v/>
      </c>
      <c r="G2290" s="26" t="str">
        <f aca="false">IF(OR(E2290="",E2290="!!!"),"",IF(OR(J2290=0,AND(J2290=1,K2290=1),AND(J2290=1,I2290="SBJ"),AND(J2290=1,I2290=0)),"?IN_FOCUS",IF(J2290&lt;=2,"?ACTIVATED",IF(J2290&lt;&gt;"","?FAMILIAR",IF(F2290="NEW",IF(ISNA(VLOOKUP(E2290,#REF!,1,FALSE())),"?TYPE_IDENTIFIABLE","?REFERENTIAL"),"_")))))</f>
        <v/>
      </c>
      <c r="H2290" s="27" t="str">
        <f aca="false">IF(J2290&lt;&gt;1,"",IF(I2290="SBJ","CB","?"))</f>
        <v/>
      </c>
      <c r="I2290" s="24" t="str">
        <f aca="false">IF(OR(E2290="",E2290="!!!",F2290="NEW"),"",INDEX(B6:B$2285,-1+SUMPRODUCT(MAX(ROW(E6:E$2285)*(E2290=E6:E$2285)))))</f>
        <v/>
      </c>
      <c r="J2290" s="24" t="str">
        <f aca="true">IF(OR(E2290="",E2290="!!!",F2290="NEW"),"",COUNTBLANK(OFFSET(A$1,,,SUMPRODUCT(MAX(ROW(E$2:E2290)*(E2290=E$2:E2290)))))-COUNTBLANK(OFFSET(A$1,,,SUMPRODUCT(MAX(ROW(E$1:E2289)*(E2=E$1:E2289))))))</f>
        <v/>
      </c>
      <c r="K2290" s="24" t="str">
        <f aca="false">IF(OR(E2290="",E2290="!!!",F2290="NEW"),"",INDEX(J$1:J2289,SUMPRODUCT(MAX(ROW(E$1:E2289)*(E2290=E$1:E2289)))))</f>
        <v/>
      </c>
      <c r="L2290" s="31"/>
    </row>
    <row r="2291" customFormat="false" ht="15" hidden="false" customHeight="false" outlineLevel="0" collapsed="false">
      <c r="A2291" s="20" t="s">
        <v>1900</v>
      </c>
      <c r="E2291" s="23" t="str">
        <f aca="false">IF(D2291="?OLD","!!!","")</f>
        <v/>
      </c>
      <c r="F2291" s="25" t="str">
        <f aca="false">IF(OR(E2291="",E2291="!!!"),"",IF(NOT(ISNA(VLOOKUP(E2291,E$1:E2290,1,FALSE()))),"OLD",IF(AND(E2291&lt;&gt;"",E2291&lt;&gt;"!!!"),"NEW","")))</f>
        <v/>
      </c>
      <c r="G2291" s="26" t="str">
        <f aca="false">IF(OR(E2291="",E2291="!!!"),"",IF(OR(J2291=0,AND(J2291=1,K2291=1),AND(J2291=1,I2291="SBJ"),AND(J2291=1,I2291=0)),"?IN_FOCUS",IF(J2291&lt;=2,"?ACTIVATED",IF(J2291&lt;&gt;"","?FAMILIAR",IF(F2291="NEW",IF(ISNA(VLOOKUP(E2291,#REF!,1,FALSE())),"?TYPE_IDENTIFIABLE","?REFERENTIAL"),"_")))))</f>
        <v/>
      </c>
      <c r="H2291" s="27" t="str">
        <f aca="false">IF(J2291&lt;&gt;1,"",IF(I2291="SBJ","CB","?"))</f>
        <v/>
      </c>
      <c r="I2291" s="24" t="str">
        <f aca="false">IF(OR(E2291="",E2291="!!!",F2291="NEW"),"",INDEX(B7:B$2285,-1+SUMPRODUCT(MAX(ROW(E7:E$2285)*(E2291=E7:E$2285)))))</f>
        <v/>
      </c>
      <c r="J2291" s="24" t="str">
        <f aca="true">IF(OR(E2291="",E2291="!!!",F2291="NEW"),"",COUNTBLANK(OFFSET(A$1,,,SUMPRODUCT(MAX(ROW(E$2:E2291)*(E2291=E$2:E2291)))))-COUNTBLANK(OFFSET(A$1,,,SUMPRODUCT(MAX(ROW(E$1:E2290)*(E2=E$1:E2290))))))</f>
        <v/>
      </c>
      <c r="K2291" s="24" t="str">
        <f aca="false">IF(OR(E2291="",E2291="!!!",F2291="NEW"),"",INDEX(J$1:J2290,SUMPRODUCT(MAX(ROW(E$1:E2290)*(E2291=E$1:E2290)))))</f>
        <v/>
      </c>
      <c r="L2291" s="31"/>
    </row>
    <row r="2292" customFormat="false" ht="15" hidden="false" customHeight="false" outlineLevel="0" collapsed="false">
      <c r="A2292" s="20" t="s">
        <v>1901</v>
      </c>
      <c r="E2292" s="23" t="str">
        <f aca="false">IF(D2292="?OLD","!!!","")</f>
        <v/>
      </c>
      <c r="F2292" s="25" t="str">
        <f aca="false">IF(OR(E2292="",E2292="!!!"),"",IF(NOT(ISNA(VLOOKUP(E2292,E$1:E2291,1,FALSE()))),"OLD",IF(AND(E2292&lt;&gt;"",E2292&lt;&gt;"!!!"),"NEW","")))</f>
        <v/>
      </c>
      <c r="G2292" s="26" t="str">
        <f aca="false">IF(OR(E2292="",E2292="!!!"),"",IF(OR(J2292=0,AND(J2292=1,K2292=1),AND(J2292=1,I2292="SBJ"),AND(J2292=1,I2292=0)),"?IN_FOCUS",IF(J2292&lt;=2,"?ACTIVATED",IF(J2292&lt;&gt;"","?FAMILIAR",IF(F2292="NEW",IF(ISNA(VLOOKUP(E2292,#REF!,1,FALSE())),"?TYPE_IDENTIFIABLE","?REFERENTIAL"),"_")))))</f>
        <v/>
      </c>
      <c r="H2292" s="27" t="str">
        <f aca="false">IF(J2292&lt;&gt;1,"",IF(I2292="SBJ","CB","?"))</f>
        <v/>
      </c>
      <c r="I2292" s="24" t="str">
        <f aca="false">IF(OR(E2292="",E2292="!!!",F2292="NEW"),"",INDEX(B8:B$2285,-1+SUMPRODUCT(MAX(ROW(E8:E$2285)*(E2292=E8:E$2285)))))</f>
        <v/>
      </c>
      <c r="J2292" s="24" t="str">
        <f aca="true">IF(OR(E2292="",E2292="!!!",F2292="NEW"),"",COUNTBLANK(OFFSET(A$1,,,SUMPRODUCT(MAX(ROW(E$2:E2292)*(E2292=E$2:E2292)))))-COUNTBLANK(OFFSET(A$1,,,SUMPRODUCT(MAX(ROW(E$1:E2291)*(E2=E$1:E2291))))))</f>
        <v/>
      </c>
      <c r="K2292" s="24" t="str">
        <f aca="false">IF(OR(E2292="",E2292="!!!",F2292="NEW"),"",INDEX(J$1:J2291,SUMPRODUCT(MAX(ROW(E$1:E2291)*(E2292=E$1:E2291)))))</f>
        <v/>
      </c>
      <c r="L2292" s="31"/>
    </row>
    <row r="2293" customFormat="false" ht="15" hidden="false" customHeight="false" outlineLevel="0" collapsed="false">
      <c r="A2293" s="20" t="s">
        <v>1076</v>
      </c>
      <c r="E2293" s="23" t="str">
        <f aca="false">IF(D2293="?OLD","!!!","")</f>
        <v/>
      </c>
      <c r="F2293" s="25" t="str">
        <f aca="false">IF(OR(E2293="",E2293="!!!"),"",IF(NOT(ISNA(VLOOKUP(E2293,E$1:E2292,1,FALSE()))),"OLD",IF(AND(E2293&lt;&gt;"",E2293&lt;&gt;"!!!"),"NEW","")))</f>
        <v/>
      </c>
      <c r="G2293" s="26" t="str">
        <f aca="false">IF(OR(E2293="",E2293="!!!"),"",IF(OR(J2293=0,AND(J2293=1,K2293=1),AND(J2293=1,I2293="SBJ"),AND(J2293=1,I2293=0)),"?IN_FOCUS",IF(J2293&lt;=2,"?ACTIVATED",IF(J2293&lt;&gt;"","?FAMILIAR",IF(F2293="NEW",IF(ISNA(VLOOKUP(E2293,#REF!,1,FALSE())),"?TYPE_IDENTIFIABLE","?REFERENTIAL"),"_")))))</f>
        <v/>
      </c>
      <c r="H2293" s="27" t="str">
        <f aca="false">IF(J2293&lt;&gt;1,"",IF(I2293="SBJ","CB","?"))</f>
        <v/>
      </c>
      <c r="I2293" s="24" t="str">
        <f aca="false">IF(OR(E2293="",E2293="!!!",F2293="NEW"),"",INDEX(B9:B$2285,-1+SUMPRODUCT(MAX(ROW(E9:E$2285)*(E2293=E9:E$2285)))))</f>
        <v/>
      </c>
      <c r="J2293" s="24" t="str">
        <f aca="true">IF(OR(E2293="",E2293="!!!",F2293="NEW"),"",COUNTBLANK(OFFSET(A$1,,,SUMPRODUCT(MAX(ROW(E$2:E2293)*(E2293=E$2:E2293)))))-COUNTBLANK(OFFSET(A$1,,,SUMPRODUCT(MAX(ROW(E$1:E2292)*(E2=E$1:E2292))))))</f>
        <v/>
      </c>
      <c r="K2293" s="24" t="str">
        <f aca="false">IF(OR(E2293="",E2293="!!!",F2293="NEW"),"",INDEX(J$1:J2292,SUMPRODUCT(MAX(ROW(E$1:E2292)*(E2293=E$1:E2292)))))</f>
        <v/>
      </c>
      <c r="L2293" s="31"/>
    </row>
    <row r="2294" customFormat="false" ht="15" hidden="false" customHeight="false" outlineLevel="0" collapsed="false">
      <c r="A2294" s="20" t="s">
        <v>1128</v>
      </c>
      <c r="E2294" s="23" t="str">
        <f aca="false">IF(D2294="?OLD","!!!","")</f>
        <v/>
      </c>
      <c r="F2294" s="25" t="str">
        <f aca="false">IF(OR(E2294="",E2294="!!!"),"",IF(NOT(ISNA(VLOOKUP(E2294,E$1:E2293,1,FALSE()))),"OLD",IF(AND(E2294&lt;&gt;"",E2294&lt;&gt;"!!!"),"NEW","")))</f>
        <v/>
      </c>
      <c r="G2294" s="26" t="str">
        <f aca="false">IF(OR(E2294="",E2294="!!!"),"",IF(OR(J2294=0,AND(J2294=1,K2294=1),AND(J2294=1,I2294="SBJ"),AND(J2294=1,I2294=0)),"?IN_FOCUS",IF(J2294&lt;=2,"?ACTIVATED",IF(J2294&lt;&gt;"","?FAMILIAR",IF(F2294="NEW",IF(ISNA(VLOOKUP(E2294,#REF!,1,FALSE())),"?TYPE_IDENTIFIABLE","?REFERENTIAL"),"_")))))</f>
        <v/>
      </c>
      <c r="H2294" s="27" t="str">
        <f aca="false">IF(J2294&lt;&gt;1,"",IF(I2294="SBJ","CB","?"))</f>
        <v/>
      </c>
      <c r="I2294" s="24" t="str">
        <f aca="false">IF(OR(E2294="",E2294="!!!",F2294="NEW"),"",INDEX(B10:B$2285,-1+SUMPRODUCT(MAX(ROW(E10:E$2285)*(E2294=E10:E$2285)))))</f>
        <v/>
      </c>
      <c r="J2294" s="24" t="str">
        <f aca="true">IF(OR(E2294="",E2294="!!!",F2294="NEW"),"",COUNTBLANK(OFFSET(A$1,,,SUMPRODUCT(MAX(ROW(E$2:E2294)*(E2294=E$2:E2294)))))-COUNTBLANK(OFFSET(A$1,,,SUMPRODUCT(MAX(ROW(E$1:E2293)*(E2=E$1:E2293))))))</f>
        <v/>
      </c>
      <c r="K2294" s="24" t="str">
        <f aca="false">IF(OR(E2294="",E2294="!!!",F2294="NEW"),"",INDEX(J$1:J2293,SUMPRODUCT(MAX(ROW(E$1:E2293)*(E2294=E$1:E2293)))))</f>
        <v/>
      </c>
      <c r="L2294" s="31"/>
    </row>
    <row r="2295" customFormat="false" ht="15" hidden="false" customHeight="false" outlineLevel="0" collapsed="false">
      <c r="A2295" s="20" t="s">
        <v>1109</v>
      </c>
      <c r="E2295" s="23" t="str">
        <f aca="false">IF(D2295="?OLD","!!!","")</f>
        <v/>
      </c>
      <c r="F2295" s="25" t="str">
        <f aca="false">IF(OR(E2295="",E2295="!!!"),"",IF(NOT(ISNA(VLOOKUP(E2295,E$1:E2294,1,FALSE()))),"OLD",IF(AND(E2295&lt;&gt;"",E2295&lt;&gt;"!!!"),"NEW","")))</f>
        <v/>
      </c>
      <c r="G2295" s="26" t="str">
        <f aca="false">IF(OR(E2295="",E2295="!!!"),"",IF(OR(J2295=0,AND(J2295=1,K2295=1),AND(J2295=1,I2295="SBJ"),AND(J2295=1,I2295=0)),"?IN_FOCUS",IF(J2295&lt;=2,"?ACTIVATED",IF(J2295&lt;&gt;"","?FAMILIAR",IF(F2295="NEW",IF(ISNA(VLOOKUP(E2295,#REF!,1,FALSE())),"?TYPE_IDENTIFIABLE","?REFERENTIAL"),"_")))))</f>
        <v/>
      </c>
      <c r="H2295" s="27" t="str">
        <f aca="false">IF(J2295&lt;&gt;1,"",IF(I2295="SBJ","CB","?"))</f>
        <v/>
      </c>
      <c r="I2295" s="24" t="str">
        <f aca="false">IF(OR(E2295="",E2295="!!!",F2295="NEW"),"",INDEX(B11:B$2285,-1+SUMPRODUCT(MAX(ROW(E11:E$2285)*(E2295=E11:E$2285)))))</f>
        <v/>
      </c>
      <c r="J2295" s="24" t="str">
        <f aca="true">IF(OR(E2295="",E2295="!!!",F2295="NEW"),"",COUNTBLANK(OFFSET(A$1,,,SUMPRODUCT(MAX(ROW(E$2:E2295)*(E2295=E$2:E2295)))))-COUNTBLANK(OFFSET(A$1,,,SUMPRODUCT(MAX(ROW(E$1:E2294)*(E2=E$1:E2294))))))</f>
        <v/>
      </c>
      <c r="K2295" s="24" t="str">
        <f aca="false">IF(OR(E2295="",E2295="!!!",F2295="NEW"),"",INDEX(J$1:J2294,SUMPRODUCT(MAX(ROW(E$1:E2294)*(E2295=E$1:E2294)))))</f>
        <v/>
      </c>
      <c r="L2295" s="31"/>
    </row>
    <row r="2296" customFormat="false" ht="15" hidden="false" customHeight="false" outlineLevel="0" collapsed="false">
      <c r="A2296" s="20" t="s">
        <v>1890</v>
      </c>
      <c r="B2296" s="22" t="s">
        <v>1086</v>
      </c>
      <c r="C2296" s="22" t="s">
        <v>1150</v>
      </c>
      <c r="D2296" s="22" t="s">
        <v>1060</v>
      </c>
      <c r="E2296" s="23" t="str">
        <f aca="false">IF(D2296="?OLD","!!!","")</f>
        <v>!!!</v>
      </c>
      <c r="F2296" s="25" t="str">
        <f aca="false">IF(OR(E2296="",E2296="!!!"),"",IF(NOT(ISNA(VLOOKUP(E2296,E$1:E2295,1,FALSE()))),"OLD",IF(AND(E2296&lt;&gt;"",E2296&lt;&gt;"!!!"),"NEW","")))</f>
        <v/>
      </c>
      <c r="G2296" s="26" t="str">
        <f aca="false">IF(OR(E2296="",E2296="!!!"),"",IF(OR(J2296=0,AND(J2296=1,K2296=1),AND(J2296=1,I2296="SBJ"),AND(J2296=1,I2296=0)),"?IN_FOCUS",IF(J2296&lt;=2,"?ACTIVATED",IF(J2296&lt;&gt;"","?FAMILIAR",IF(F2296="NEW",IF(ISNA(VLOOKUP(E2296,#REF!,1,FALSE())),"?TYPE_IDENTIFIABLE","?REFERENTIAL"),"_")))))</f>
        <v/>
      </c>
      <c r="H2296" s="27" t="str">
        <f aca="false">IF(J2296&lt;&gt;1,"",IF(I2296="SBJ","CB","?"))</f>
        <v/>
      </c>
      <c r="I2296" s="24" t="str">
        <f aca="false">IF(OR(E2296="",E2296="!!!",F2296="NEW"),"",INDEX(B12:B$2285,-1+SUMPRODUCT(MAX(ROW(E12:E$2285)*(E2296=E12:E$2285)))))</f>
        <v/>
      </c>
      <c r="J2296" s="24" t="str">
        <f aca="true">IF(OR(E2296="",E2296="!!!",F2296="NEW"),"",COUNTBLANK(OFFSET(A$1,,,SUMPRODUCT(MAX(ROW(E$2:E2296)*(E2296=E$2:E2296)))))-COUNTBLANK(OFFSET(A$1,,,SUMPRODUCT(MAX(ROW(E$1:E2295)*(E2=E$1:E2295))))))</f>
        <v/>
      </c>
      <c r="K2296" s="24" t="str">
        <f aca="false">IF(OR(E2296="",E2296="!!!",F2296="NEW"),"",INDEX(J$1:J2295,SUMPRODUCT(MAX(ROW(E$1:E2295)*(E2296=E$1:E2295)))))</f>
        <v/>
      </c>
      <c r="L2296" s="31"/>
    </row>
    <row r="2297" customFormat="false" ht="15" hidden="false" customHeight="false" outlineLevel="0" collapsed="false">
      <c r="A2297" s="20" t="s">
        <v>1840</v>
      </c>
      <c r="E2297" s="23" t="str">
        <f aca="false">IF(D2297="?OLD","!!!","")</f>
        <v/>
      </c>
      <c r="F2297" s="25" t="str">
        <f aca="false">IF(OR(E2297="",E2297="!!!"),"",IF(NOT(ISNA(VLOOKUP(E2297,E$1:E2296,1,FALSE()))),"OLD",IF(AND(E2297&lt;&gt;"",E2297&lt;&gt;"!!!"),"NEW","")))</f>
        <v/>
      </c>
      <c r="G2297" s="26" t="str">
        <f aca="false">IF(OR(E2297="",E2297="!!!"),"",IF(OR(J2297=0,AND(J2297=1,K2297=1),AND(J2297=1,I2297="SBJ"),AND(J2297=1,I2297=0)),"?IN_FOCUS",IF(J2297&lt;=2,"?ACTIVATED",IF(J2297&lt;&gt;"","?FAMILIAR",IF(F2297="NEW",IF(ISNA(VLOOKUP(E2297,#REF!,1,FALSE())),"?TYPE_IDENTIFIABLE","?REFERENTIAL"),"_")))))</f>
        <v/>
      </c>
      <c r="H2297" s="27" t="str">
        <f aca="false">IF(J2297&lt;&gt;1,"",IF(I2297="SBJ","CB","?"))</f>
        <v/>
      </c>
      <c r="I2297" s="24" t="str">
        <f aca="false">IF(OR(E2297="",E2297="!!!",F2297="NEW"),"",INDEX(B13:B$2285,-1+SUMPRODUCT(MAX(ROW(E13:E$2285)*(E2297=E13:E$2285)))))</f>
        <v/>
      </c>
      <c r="J2297" s="24" t="str">
        <f aca="true">IF(OR(E2297="",E2297="!!!",F2297="NEW"),"",COUNTBLANK(OFFSET(A$1,,,SUMPRODUCT(MAX(ROW(E$2:E2297)*(E2297=E$2:E2297)))))-COUNTBLANK(OFFSET(A$1,,,SUMPRODUCT(MAX(ROW(E$1:E2296)*(E2=E$1:E2296))))))</f>
        <v/>
      </c>
      <c r="K2297" s="24" t="str">
        <f aca="false">IF(OR(E2297="",E2297="!!!",F2297="NEW"),"",INDEX(J$1:J2296,SUMPRODUCT(MAX(ROW(E$1:E2296)*(E2297=E$1:E2296)))))</f>
        <v/>
      </c>
      <c r="L2297" s="31"/>
    </row>
    <row r="2298" customFormat="false" ht="15" hidden="false" customHeight="false" outlineLevel="0" collapsed="false">
      <c r="A2298" s="20" t="s">
        <v>1085</v>
      </c>
      <c r="E2298" s="23" t="str">
        <f aca="false">IF(D2298="?OLD","!!!","")</f>
        <v/>
      </c>
      <c r="F2298" s="25" t="str">
        <f aca="false">IF(OR(E2298="",E2298="!!!"),"",IF(NOT(ISNA(VLOOKUP(E2298,E$1:E2297,1,FALSE()))),"OLD",IF(AND(E2298&lt;&gt;"",E2298&lt;&gt;"!!!"),"NEW","")))</f>
        <v/>
      </c>
      <c r="G2298" s="26" t="str">
        <f aca="false">IF(OR(E2298="",E2298="!!!"),"",IF(OR(J2298=0,AND(J2298=1,K2298=1),AND(J2298=1,I2298="SBJ"),AND(J2298=1,I2298=0)),"?IN_FOCUS",IF(J2298&lt;=2,"?ACTIVATED",IF(J2298&lt;&gt;"","?FAMILIAR",IF(F2298="NEW",IF(ISNA(VLOOKUP(E2298,#REF!,1,FALSE())),"?TYPE_IDENTIFIABLE","?REFERENTIAL"),"_")))))</f>
        <v/>
      </c>
      <c r="H2298" s="27" t="str">
        <f aca="false">IF(J2298&lt;&gt;1,"",IF(I2298="SBJ","CB","?"))</f>
        <v/>
      </c>
      <c r="I2298" s="24" t="str">
        <f aca="false">IF(OR(E2298="",E2298="!!!",F2298="NEW"),"",INDEX(B14:B$2285,-1+SUMPRODUCT(MAX(ROW(E14:E$2285)*(E2298=E14:E$2285)))))</f>
        <v/>
      </c>
      <c r="J2298" s="24" t="str">
        <f aca="true">IF(OR(E2298="",E2298="!!!",F2298="NEW"),"",COUNTBLANK(OFFSET(A$1,,,SUMPRODUCT(MAX(ROW(E$2:E2298)*(E2298=E$2:E2298)))))-COUNTBLANK(OFFSET(A$1,,,SUMPRODUCT(MAX(ROW(E$1:E2297)*(E2=E$1:E2297))))))</f>
        <v/>
      </c>
      <c r="K2298" s="24" t="str">
        <f aca="false">IF(OR(E2298="",E2298="!!!",F2298="NEW"),"",INDEX(J$1:J2297,SUMPRODUCT(MAX(ROW(E$1:E2297)*(E2298=E$1:E2297)))))</f>
        <v/>
      </c>
      <c r="L2298" s="31"/>
    </row>
    <row r="2299" customFormat="false" ht="15" hidden="false" customHeight="false" outlineLevel="0" collapsed="false">
      <c r="A2299" s="20" t="s">
        <v>1902</v>
      </c>
      <c r="E2299" s="23" t="str">
        <f aca="false">IF(D2299="?OLD","!!!","")</f>
        <v/>
      </c>
      <c r="F2299" s="25" t="str">
        <f aca="false">IF(OR(E2299="",E2299="!!!"),"",IF(NOT(ISNA(VLOOKUP(E2299,E$1:E2298,1,FALSE()))),"OLD",IF(AND(E2299&lt;&gt;"",E2299&lt;&gt;"!!!"),"NEW","")))</f>
        <v/>
      </c>
      <c r="G2299" s="26" t="str">
        <f aca="false">IF(OR(E2299="",E2299="!!!"),"",IF(OR(J2299=0,AND(J2299=1,K2299=1),AND(J2299=1,I2299="SBJ"),AND(J2299=1,I2299=0)),"?IN_FOCUS",IF(J2299&lt;=2,"?ACTIVATED",IF(J2299&lt;&gt;"","?FAMILIAR",IF(F2299="NEW",IF(ISNA(VLOOKUP(E2299,#REF!,1,FALSE())),"?TYPE_IDENTIFIABLE","?REFERENTIAL"),"_")))))</f>
        <v/>
      </c>
      <c r="H2299" s="27" t="str">
        <f aca="false">IF(J2299&lt;&gt;1,"",IF(I2299="SBJ","CB","?"))</f>
        <v/>
      </c>
      <c r="I2299" s="24" t="str">
        <f aca="false">IF(OR(E2299="",E2299="!!!",F2299="NEW"),"",INDEX(B15:B$2285,-1+SUMPRODUCT(MAX(ROW(E15:E$2285)*(E2299=E15:E$2285)))))</f>
        <v/>
      </c>
      <c r="J2299" s="24" t="str">
        <f aca="true">IF(OR(E2299="",E2299="!!!",F2299="NEW"),"",COUNTBLANK(OFFSET(A$1,,,SUMPRODUCT(MAX(ROW(E$2:E2299)*(E2299=E$2:E2299)))))-COUNTBLANK(OFFSET(A$1,,,SUMPRODUCT(MAX(ROW(E$1:E2298)*(E2=E$1:E2298))))))</f>
        <v/>
      </c>
      <c r="K2299" s="24" t="str">
        <f aca="false">IF(OR(E2299="",E2299="!!!",F2299="NEW"),"",INDEX(J$1:J2298,SUMPRODUCT(MAX(ROW(E$1:E2298)*(E2299=E$1:E2298)))))</f>
        <v/>
      </c>
      <c r="L2299" s="31"/>
    </row>
    <row r="2300" customFormat="false" ht="15" hidden="false" customHeight="false" outlineLevel="0" collapsed="false">
      <c r="A2300" s="20" t="s">
        <v>1903</v>
      </c>
      <c r="B2300" s="22" t="s">
        <v>1142</v>
      </c>
      <c r="C2300" s="22" t="s">
        <v>1087</v>
      </c>
      <c r="E2300" s="23" t="str">
        <f aca="false">IF(D2300="?OLD","!!!","")</f>
        <v/>
      </c>
      <c r="F2300" s="25" t="str">
        <f aca="false">IF(OR(E2300="",E2300="!!!"),"",IF(NOT(ISNA(VLOOKUP(E2300,E$1:E2299,1,FALSE()))),"OLD",IF(AND(E2300&lt;&gt;"",E2300&lt;&gt;"!!!"),"NEW","")))</f>
        <v/>
      </c>
      <c r="G2300" s="26" t="str">
        <f aca="false">IF(OR(E2300="",E2300="!!!"),"",IF(OR(J2300=0,AND(J2300=1,K2300=1),AND(J2300=1,I2300="SBJ"),AND(J2300=1,I2300=0)),"?IN_FOCUS",IF(J2300&lt;=2,"?ACTIVATED",IF(J2300&lt;&gt;"","?FAMILIAR",IF(F2300="NEW",IF(ISNA(VLOOKUP(E2300,#REF!,1,FALSE())),"?TYPE_IDENTIFIABLE","?REFERENTIAL"),"_")))))</f>
        <v/>
      </c>
      <c r="H2300" s="27" t="str">
        <f aca="false">IF(J2300&lt;&gt;1,"",IF(I2300="SBJ","CB","?"))</f>
        <v/>
      </c>
      <c r="I2300" s="24" t="str">
        <f aca="false">IF(OR(E2300="",E2300="!!!",F2300="NEW"),"",INDEX(B16:B$2285,-1+SUMPRODUCT(MAX(ROW(E16:E$2285)*(E2300=E16:E$2285)))))</f>
        <v/>
      </c>
      <c r="J2300" s="24" t="str">
        <f aca="true">IF(OR(E2300="",E2300="!!!",F2300="NEW"),"",COUNTBLANK(OFFSET(A$1,,,SUMPRODUCT(MAX(ROW(E$2:E2300)*(E2300=E$2:E2300)))))-COUNTBLANK(OFFSET(A$1,,,SUMPRODUCT(MAX(ROW(E$1:E2299)*(E2=E$1:E2299))))))</f>
        <v/>
      </c>
      <c r="K2300" s="24" t="str">
        <f aca="false">IF(OR(E2300="",E2300="!!!",F2300="NEW"),"",INDEX(J$1:J2299,SUMPRODUCT(MAX(ROW(E$1:E2299)*(E2300=E$1:E2299)))))</f>
        <v/>
      </c>
      <c r="L2300" s="31"/>
    </row>
    <row r="2301" customFormat="false" ht="15" hidden="false" customHeight="false" outlineLevel="0" collapsed="false">
      <c r="A2301" s="20" t="s">
        <v>1076</v>
      </c>
      <c r="E2301" s="23" t="str">
        <f aca="false">IF(D2301="?OLD","!!!","")</f>
        <v/>
      </c>
      <c r="F2301" s="25" t="str">
        <f aca="false">IF(OR(E2301="",E2301="!!!"),"",IF(NOT(ISNA(VLOOKUP(E2301,E$1:E2300,1,FALSE()))),"OLD",IF(AND(E2301&lt;&gt;"",E2301&lt;&gt;"!!!"),"NEW","")))</f>
        <v/>
      </c>
      <c r="G2301" s="26" t="str">
        <f aca="false">IF(OR(E2301="",E2301="!!!"),"",IF(OR(J2301=0,AND(J2301=1,K2301=1),AND(J2301=1,I2301="SBJ"),AND(J2301=1,I2301=0)),"?IN_FOCUS",IF(J2301&lt;=2,"?ACTIVATED",IF(J2301&lt;&gt;"","?FAMILIAR",IF(F2301="NEW",IF(ISNA(VLOOKUP(E2301,#REF!,1,FALSE())),"?TYPE_IDENTIFIABLE","?REFERENTIAL"),"_")))))</f>
        <v/>
      </c>
      <c r="H2301" s="27" t="str">
        <f aca="false">IF(J2301&lt;&gt;1,"",IF(I2301="SBJ","CB","?"))</f>
        <v/>
      </c>
      <c r="I2301" s="24" t="str">
        <f aca="false">IF(OR(E2301="",E2301="!!!",F2301="NEW"),"",INDEX(B17:B$2285,-1+SUMPRODUCT(MAX(ROW(E17:E$2285)*(E2301=E17:E$2285)))))</f>
        <v/>
      </c>
      <c r="J2301" s="24" t="str">
        <f aca="true">IF(OR(E2301="",E2301="!!!",F2301="NEW"),"",COUNTBLANK(OFFSET(A$1,,,SUMPRODUCT(MAX(ROW(E$2:E2301)*(E2301=E$2:E2301)))))-COUNTBLANK(OFFSET(A$1,,,SUMPRODUCT(MAX(ROW(E$1:E2300)*(E2=E$1:E2300))))))</f>
        <v/>
      </c>
      <c r="K2301" s="24" t="str">
        <f aca="false">IF(OR(E2301="",E2301="!!!",F2301="NEW"),"",INDEX(J$1:J2300,SUMPRODUCT(MAX(ROW(E$1:E2300)*(E2301=E$1:E2300)))))</f>
        <v/>
      </c>
      <c r="L2301" s="31"/>
    </row>
    <row r="2302" customFormat="false" ht="15" hidden="false" customHeight="false" outlineLevel="0" collapsed="false">
      <c r="A2302" s="20" t="s">
        <v>1125</v>
      </c>
      <c r="B2302" s="22" t="s">
        <v>1197</v>
      </c>
      <c r="E2302" s="23" t="str">
        <f aca="false">IF(D2302="?OLD","!!!","")</f>
        <v/>
      </c>
      <c r="F2302" s="25" t="str">
        <f aca="false">IF(OR(E2302="",E2302="!!!"),"",IF(NOT(ISNA(VLOOKUP(E2302,E$1:E2301,1,FALSE()))),"OLD",IF(AND(E2302&lt;&gt;"",E2302&lt;&gt;"!!!"),"NEW","")))</f>
        <v/>
      </c>
      <c r="G2302" s="26" t="str">
        <f aca="false">IF(OR(E2302="",E2302="!!!"),"",IF(OR(J2302=0,AND(J2302=1,K2302=1),AND(J2302=1,I2302="SBJ"),AND(J2302=1,I2302=0)),"?IN_FOCUS",IF(J2302&lt;=2,"?ACTIVATED",IF(J2302&lt;&gt;"","?FAMILIAR",IF(F2302="NEW",IF(ISNA(VLOOKUP(E2302,#REF!,1,FALSE())),"?TYPE_IDENTIFIABLE","?REFERENTIAL"),"_")))))</f>
        <v/>
      </c>
      <c r="H2302" s="27" t="str">
        <f aca="false">IF(J2302&lt;&gt;1,"",IF(I2302="SBJ","CB","?"))</f>
        <v/>
      </c>
      <c r="I2302" s="24" t="str">
        <f aca="false">IF(OR(E2302="",E2302="!!!",F2302="NEW"),"",INDEX(B18:B$2285,-1+SUMPRODUCT(MAX(ROW(E18:E$2285)*(E2302=E18:E$2285)))))</f>
        <v/>
      </c>
      <c r="J2302" s="24" t="str">
        <f aca="true">IF(OR(E2302="",E2302="!!!",F2302="NEW"),"",COUNTBLANK(OFFSET(A$1,,,SUMPRODUCT(MAX(ROW(E$2:E2302)*(E2302=E$2:E2302)))))-COUNTBLANK(OFFSET(A$1,,,SUMPRODUCT(MAX(ROW(E$1:E2301)*(E2=E$1:E2301))))))</f>
        <v/>
      </c>
      <c r="K2302" s="24" t="str">
        <f aca="false">IF(OR(E2302="",E2302="!!!",F2302="NEW"),"",INDEX(J$1:J2301,SUMPRODUCT(MAX(ROW(E$1:E2301)*(E2302=E$1:E2301)))))</f>
        <v/>
      </c>
      <c r="L2302" s="31"/>
    </row>
    <row r="2303" customFormat="false" ht="15" hidden="false" customHeight="false" outlineLevel="0" collapsed="false">
      <c r="A2303" s="20" t="s">
        <v>1904</v>
      </c>
      <c r="E2303" s="23" t="str">
        <f aca="false">IF(D2303="?OLD","!!!","")</f>
        <v/>
      </c>
      <c r="F2303" s="25" t="str">
        <f aca="false">IF(OR(E2303="",E2303="!!!"),"",IF(NOT(ISNA(VLOOKUP(E2303,E$1:E2302,1,FALSE()))),"OLD",IF(AND(E2303&lt;&gt;"",E2303&lt;&gt;"!!!"),"NEW","")))</f>
        <v/>
      </c>
      <c r="G2303" s="26" t="str">
        <f aca="false">IF(OR(E2303="",E2303="!!!"),"",IF(OR(J2303=0,AND(J2303=1,K2303=1),AND(J2303=1,I2303="SBJ"),AND(J2303=1,I2303=0)),"?IN_FOCUS",IF(J2303&lt;=2,"?ACTIVATED",IF(J2303&lt;&gt;"","?FAMILIAR",IF(F2303="NEW",IF(ISNA(VLOOKUP(E2303,#REF!,1,FALSE())),"?TYPE_IDENTIFIABLE","?REFERENTIAL"),"_")))))</f>
        <v/>
      </c>
      <c r="H2303" s="27" t="str">
        <f aca="false">IF(J2303&lt;&gt;1,"",IF(I2303="SBJ","CB","?"))</f>
        <v/>
      </c>
      <c r="I2303" s="24" t="str">
        <f aca="false">IF(OR(E2303="",E2303="!!!",F2303="NEW"),"",INDEX(B19:B$2285,-1+SUMPRODUCT(MAX(ROW(E19:E$2285)*(E2303=E19:E$2285)))))</f>
        <v/>
      </c>
      <c r="J2303" s="24" t="str">
        <f aca="true">IF(OR(E2303="",E2303="!!!",F2303="NEW"),"",COUNTBLANK(OFFSET(A$1,,,SUMPRODUCT(MAX(ROW(E$2:E2303)*(E2303=E$2:E2303)))))-COUNTBLANK(OFFSET(A$1,,,SUMPRODUCT(MAX(ROW(E$1:E2302)*(E2=E$1:E2302))))))</f>
        <v/>
      </c>
      <c r="K2303" s="24" t="str">
        <f aca="false">IF(OR(E2303="",E2303="!!!",F2303="NEW"),"",INDEX(J$1:J2302,SUMPRODUCT(MAX(ROW(E$1:E2302)*(E2303=E$1:E2302)))))</f>
        <v/>
      </c>
      <c r="L2303" s="31"/>
    </row>
    <row r="2304" customFormat="false" ht="15" hidden="false" customHeight="false" outlineLevel="0" collapsed="false">
      <c r="A2304" s="20" t="s">
        <v>1089</v>
      </c>
      <c r="E2304" s="23" t="str">
        <f aca="false">IF(D2304="?OLD","!!!","")</f>
        <v/>
      </c>
      <c r="F2304" s="25" t="str">
        <f aca="false">IF(OR(E2304="",E2304="!!!"),"",IF(NOT(ISNA(VLOOKUP(E2304,E$1:E2303,1,FALSE()))),"OLD",IF(AND(E2304&lt;&gt;"",E2304&lt;&gt;"!!!"),"NEW","")))</f>
        <v/>
      </c>
      <c r="G2304" s="26" t="str">
        <f aca="false">IF(OR(E2304="",E2304="!!!"),"",IF(OR(J2304=0,AND(J2304=1,K2304=1),AND(J2304=1,I2304="SBJ"),AND(J2304=1,I2304=0)),"?IN_FOCUS",IF(J2304&lt;=2,"?ACTIVATED",IF(J2304&lt;&gt;"","?FAMILIAR",IF(F2304="NEW",IF(ISNA(VLOOKUP(E2304,#REF!,1,FALSE())),"?TYPE_IDENTIFIABLE","?REFERENTIAL"),"_")))))</f>
        <v/>
      </c>
      <c r="H2304" s="27" t="str">
        <f aca="false">IF(J2304&lt;&gt;1,"",IF(I2304="SBJ","CB","?"))</f>
        <v/>
      </c>
      <c r="I2304" s="24" t="str">
        <f aca="false">IF(OR(E2304="",E2304="!!!",F2304="NEW"),"",INDEX(B20:B$2285,-1+SUMPRODUCT(MAX(ROW(E20:E$2285)*(E2304=E20:E$2285)))))</f>
        <v/>
      </c>
      <c r="J2304" s="24" t="str">
        <f aca="true">IF(OR(E2304="",E2304="!!!",F2304="NEW"),"",COUNTBLANK(OFFSET(A$1,,,SUMPRODUCT(MAX(ROW(E$2:E2304)*(E2304=E$2:E2304)))))-COUNTBLANK(OFFSET(A$1,,,SUMPRODUCT(MAX(ROW(E$1:E2303)*(E2=E$1:E2303))))))</f>
        <v/>
      </c>
      <c r="K2304" s="24" t="str">
        <f aca="false">IF(OR(E2304="",E2304="!!!",F2304="NEW"),"",INDEX(J$1:J2303,SUMPRODUCT(MAX(ROW(E$1:E2303)*(E2304=E$1:E2303)))))</f>
        <v/>
      </c>
      <c r="L2304" s="31"/>
    </row>
    <row r="2305" customFormat="false" ht="15" hidden="false" customHeight="false" outlineLevel="0" collapsed="false">
      <c r="A2305" s="20" t="s">
        <v>1078</v>
      </c>
      <c r="B2305" s="22" t="s">
        <v>1102</v>
      </c>
      <c r="C2305" s="22" t="s">
        <v>1171</v>
      </c>
      <c r="D2305" s="22" t="s">
        <v>1060</v>
      </c>
      <c r="E2305" s="23" t="str">
        <f aca="false">IF(D2305="?OLD","!!!","")</f>
        <v>!!!</v>
      </c>
      <c r="F2305" s="25" t="str">
        <f aca="false">IF(OR(E2305="",E2305="!!!"),"",IF(NOT(ISNA(VLOOKUP(E2305,E$1:E2304,1,FALSE()))),"OLD",IF(AND(E2305&lt;&gt;"",E2305&lt;&gt;"!!!"),"NEW","")))</f>
        <v/>
      </c>
      <c r="G2305" s="26" t="str">
        <f aca="false">IF(OR(E2305="",E2305="!!!"),"",IF(OR(J2305=0,AND(J2305=1,K2305=1),AND(J2305=1,I2305="SBJ"),AND(J2305=1,I2305=0)),"?IN_FOCUS",IF(J2305&lt;=2,"?ACTIVATED",IF(J2305&lt;&gt;"","?FAMILIAR",IF(F2305="NEW",IF(ISNA(VLOOKUP(E2305,#REF!,1,FALSE())),"?TYPE_IDENTIFIABLE","?REFERENTIAL"),"_")))))</f>
        <v/>
      </c>
      <c r="H2305" s="27" t="str">
        <f aca="false">IF(J2305&lt;&gt;1,"",IF(I2305="SBJ","CB","?"))</f>
        <v/>
      </c>
      <c r="I2305" s="24" t="str">
        <f aca="false">IF(OR(E2305="",E2305="!!!",F2305="NEW"),"",INDEX(B21:B$2285,-1+SUMPRODUCT(MAX(ROW(E21:E$2285)*(E2305=E21:E$2285)))))</f>
        <v/>
      </c>
      <c r="J2305" s="24" t="str">
        <f aca="true">IF(OR(E2305="",E2305="!!!",F2305="NEW"),"",COUNTBLANK(OFFSET(A$1,,,SUMPRODUCT(MAX(ROW(E$2:E2305)*(E2305=E$2:E2305)))))-COUNTBLANK(OFFSET(A$1,,,SUMPRODUCT(MAX(ROW(E$1:E2304)*(E2=E$1:E2304))))))</f>
        <v/>
      </c>
      <c r="K2305" s="24" t="str">
        <f aca="false">IF(OR(E2305="",E2305="!!!",F2305="NEW"),"",INDEX(J$1:J2304,SUMPRODUCT(MAX(ROW(E$1:E2304)*(E2305=E$1:E2304)))))</f>
        <v/>
      </c>
      <c r="L2305" s="31"/>
    </row>
    <row r="2306" customFormat="false" ht="15" hidden="false" customHeight="false" outlineLevel="0" collapsed="false">
      <c r="A2306" s="20" t="s">
        <v>1184</v>
      </c>
      <c r="E2306" s="23" t="str">
        <f aca="false">IF(D2306="?OLD","!!!","")</f>
        <v/>
      </c>
      <c r="F2306" s="25" t="str">
        <f aca="false">IF(OR(E2306="",E2306="!!!"),"",IF(NOT(ISNA(VLOOKUP(E2306,E$1:E2305,1,FALSE()))),"OLD",IF(AND(E2306&lt;&gt;"",E2306&lt;&gt;"!!!"),"NEW","")))</f>
        <v/>
      </c>
      <c r="G2306" s="26" t="str">
        <f aca="false">IF(OR(E2306="",E2306="!!!"),"",IF(OR(J2306=0,AND(J2306=1,K2306=1),AND(J2306=1,I2306="SBJ"),AND(J2306=1,I2306=0)),"?IN_FOCUS",IF(J2306&lt;=2,"?ACTIVATED",IF(J2306&lt;&gt;"","?FAMILIAR",IF(F2306="NEW",IF(ISNA(VLOOKUP(E2306,#REF!,1,FALSE())),"?TYPE_IDENTIFIABLE","?REFERENTIAL"),"_")))))</f>
        <v/>
      </c>
      <c r="H2306" s="27" t="str">
        <f aca="false">IF(J2306&lt;&gt;1,"",IF(I2306="SBJ","CB","?"))</f>
        <v/>
      </c>
      <c r="I2306" s="24" t="str">
        <f aca="false">IF(OR(E2306="",E2306="!!!",F2306="NEW"),"",INDEX(B22:B$2285,-1+SUMPRODUCT(MAX(ROW(E22:E$2285)*(E2306=E22:E$2285)))))</f>
        <v/>
      </c>
      <c r="J2306" s="24" t="str">
        <f aca="true">IF(OR(E2306="",E2306="!!!",F2306="NEW"),"",COUNTBLANK(OFFSET(A$1,,,SUMPRODUCT(MAX(ROW(E$2:E2306)*(E2306=E$2:E2306)))))-COUNTBLANK(OFFSET(A$1,,,SUMPRODUCT(MAX(ROW(E$1:E2305)*(E2=E$1:E2305))))))</f>
        <v/>
      </c>
      <c r="K2306" s="24" t="str">
        <f aca="false">IF(OR(E2306="",E2306="!!!",F2306="NEW"),"",INDEX(J$1:J2305,SUMPRODUCT(MAX(ROW(E$1:E2305)*(E2306=E$1:E2305)))))</f>
        <v/>
      </c>
      <c r="L2306" s="31"/>
    </row>
    <row r="2307" customFormat="false" ht="15" hidden="false" customHeight="false" outlineLevel="0" collapsed="false">
      <c r="A2307" s="20" t="s">
        <v>1905</v>
      </c>
      <c r="E2307" s="23" t="str">
        <f aca="false">IF(D2307="?OLD","!!!","")</f>
        <v/>
      </c>
      <c r="F2307" s="25" t="str">
        <f aca="false">IF(OR(E2307="",E2307="!!!"),"",IF(NOT(ISNA(VLOOKUP(E2307,E$1:E2306,1,FALSE()))),"OLD",IF(AND(E2307&lt;&gt;"",E2307&lt;&gt;"!!!"),"NEW","")))</f>
        <v/>
      </c>
      <c r="G2307" s="26" t="str">
        <f aca="false">IF(OR(E2307="",E2307="!!!"),"",IF(OR(J2307=0,AND(J2307=1,K2307=1),AND(J2307=1,I2307="SBJ"),AND(J2307=1,I2307=0)),"?IN_FOCUS",IF(J2307&lt;=2,"?ACTIVATED",IF(J2307&lt;&gt;"","?FAMILIAR",IF(F2307="NEW",IF(ISNA(VLOOKUP(E2307,#REF!,1,FALSE())),"?TYPE_IDENTIFIABLE","?REFERENTIAL"),"_")))))</f>
        <v/>
      </c>
      <c r="H2307" s="27" t="str">
        <f aca="false">IF(J2307&lt;&gt;1,"",IF(I2307="SBJ","CB","?"))</f>
        <v/>
      </c>
      <c r="I2307" s="24" t="str">
        <f aca="false">IF(OR(E2307="",E2307="!!!",F2307="NEW"),"",INDEX(B23:B$2285,-1+SUMPRODUCT(MAX(ROW(E23:E$2285)*(E2307=E23:E$2285)))))</f>
        <v/>
      </c>
      <c r="J2307" s="24" t="str">
        <f aca="true">IF(OR(E2307="",E2307="!!!",F2307="NEW"),"",COUNTBLANK(OFFSET(A$1,,,SUMPRODUCT(MAX(ROW(E$2:E2307)*(E2307=E$2:E2307)))))-COUNTBLANK(OFFSET(A$1,,,SUMPRODUCT(MAX(ROW(E$1:E2306)*(E2=E$1:E2306))))))</f>
        <v/>
      </c>
      <c r="K2307" s="24" t="str">
        <f aca="false">IF(OR(E2307="",E2307="!!!",F2307="NEW"),"",INDEX(J$1:J2306,SUMPRODUCT(MAX(ROW(E$1:E2306)*(E2307=E$1:E2306)))))</f>
        <v/>
      </c>
      <c r="L2307" s="31"/>
    </row>
    <row r="2308" customFormat="false" ht="15" hidden="false" customHeight="false" outlineLevel="0" collapsed="false">
      <c r="A2308" s="20" t="s">
        <v>1164</v>
      </c>
      <c r="E2308" s="23" t="str">
        <f aca="false">IF(D2308="?OLD","!!!","")</f>
        <v/>
      </c>
      <c r="F2308" s="25" t="str">
        <f aca="false">IF(OR(E2308="",E2308="!!!"),"",IF(NOT(ISNA(VLOOKUP(E2308,E$1:E2307,1,FALSE()))),"OLD",IF(AND(E2308&lt;&gt;"",E2308&lt;&gt;"!!!"),"NEW","")))</f>
        <v/>
      </c>
      <c r="G2308" s="26" t="str">
        <f aca="false">IF(OR(E2308="",E2308="!!!"),"",IF(OR(J2308=0,AND(J2308=1,K2308=1),AND(J2308=1,I2308="SBJ"),AND(J2308=1,I2308=0)),"?IN_FOCUS",IF(J2308&lt;=2,"?ACTIVATED",IF(J2308&lt;&gt;"","?FAMILIAR",IF(F2308="NEW",IF(ISNA(VLOOKUP(E2308,#REF!,1,FALSE())),"?TYPE_IDENTIFIABLE","?REFERENTIAL"),"_")))))</f>
        <v/>
      </c>
      <c r="H2308" s="27" t="str">
        <f aca="false">IF(J2308&lt;&gt;1,"",IF(I2308="SBJ","CB","?"))</f>
        <v/>
      </c>
      <c r="I2308" s="24" t="str">
        <f aca="false">IF(OR(E2308="",E2308="!!!",F2308="NEW"),"",INDEX(B24:B$2285,-1+SUMPRODUCT(MAX(ROW(E24:E$2285)*(E2308=E24:E$2285)))))</f>
        <v/>
      </c>
      <c r="J2308" s="24" t="str">
        <f aca="true">IF(OR(E2308="",E2308="!!!",F2308="NEW"),"",COUNTBLANK(OFFSET(A$1,,,SUMPRODUCT(MAX(ROW(E$2:E2308)*(E2308=E$2:E2308)))))-COUNTBLANK(OFFSET(A$1,,,SUMPRODUCT(MAX(ROW(E$1:E2307)*(E2=E$1:E2307))))))</f>
        <v/>
      </c>
      <c r="K2308" s="24" t="str">
        <f aca="false">IF(OR(E2308="",E2308="!!!",F2308="NEW"),"",INDEX(J$1:J2307,SUMPRODUCT(MAX(ROW(E$1:E2307)*(E2308=E$1:E2307)))))</f>
        <v/>
      </c>
      <c r="L2308" s="31"/>
    </row>
    <row r="2309" customFormat="false" ht="15" hidden="false" customHeight="false" outlineLevel="0" collapsed="false">
      <c r="A2309" s="20" t="s">
        <v>1906</v>
      </c>
      <c r="E2309" s="23" t="str">
        <f aca="false">IF(D2309="?OLD","!!!","")</f>
        <v/>
      </c>
      <c r="F2309" s="25" t="str">
        <f aca="false">IF(OR(E2309="",E2309="!!!"),"",IF(NOT(ISNA(VLOOKUP(E2309,E$1:E2308,1,FALSE()))),"OLD",IF(AND(E2309&lt;&gt;"",E2309&lt;&gt;"!!!"),"NEW","")))</f>
        <v/>
      </c>
      <c r="G2309" s="26" t="str">
        <f aca="false">IF(OR(E2309="",E2309="!!!"),"",IF(OR(J2309=0,AND(J2309=1,K2309=1),AND(J2309=1,I2309="SBJ"),AND(J2309=1,I2309=0)),"?IN_FOCUS",IF(J2309&lt;=2,"?ACTIVATED",IF(J2309&lt;&gt;"","?FAMILIAR",IF(F2309="NEW",IF(ISNA(VLOOKUP(E2309,#REF!,1,FALSE())),"?TYPE_IDENTIFIABLE","?REFERENTIAL"),"_")))))</f>
        <v/>
      </c>
      <c r="H2309" s="27" t="str">
        <f aca="false">IF(J2309&lt;&gt;1,"",IF(I2309="SBJ","CB","?"))</f>
        <v/>
      </c>
      <c r="I2309" s="24" t="str">
        <f aca="false">IF(OR(E2309="",E2309="!!!",F2309="NEW"),"",INDEX(B25:B$2285,-1+SUMPRODUCT(MAX(ROW(E25:E$2285)*(E2309=E25:E$2285)))))</f>
        <v/>
      </c>
      <c r="J2309" s="24" t="str">
        <f aca="true">IF(OR(E2309="",E2309="!!!",F2309="NEW"),"",COUNTBLANK(OFFSET(A$1,,,SUMPRODUCT(MAX(ROW(E$2:E2309)*(E2309=E$2:E2309)))))-COUNTBLANK(OFFSET(A$1,,,SUMPRODUCT(MAX(ROW(E$1:E2308)*(E2=E$1:E2308))))))</f>
        <v/>
      </c>
      <c r="K2309" s="24" t="str">
        <f aca="false">IF(OR(E2309="",E2309="!!!",F2309="NEW"),"",INDEX(J$1:J2308,SUMPRODUCT(MAX(ROW(E$1:E2308)*(E2309=E$1:E2308)))))</f>
        <v/>
      </c>
      <c r="L2309" s="31"/>
    </row>
    <row r="2310" customFormat="false" ht="15" hidden="false" customHeight="false" outlineLevel="0" collapsed="false">
      <c r="A2310" s="20" t="s">
        <v>1137</v>
      </c>
      <c r="B2310" s="22" t="s">
        <v>1131</v>
      </c>
      <c r="C2310" s="22" t="s">
        <v>1082</v>
      </c>
      <c r="D2310" s="22" t="s">
        <v>1060</v>
      </c>
      <c r="E2310" s="23" t="str">
        <f aca="false">IF(D2310="?OLD","!!!","")</f>
        <v>!!!</v>
      </c>
      <c r="F2310" s="25" t="str">
        <f aca="false">IF(OR(E2310="",E2310="!!!"),"",IF(NOT(ISNA(VLOOKUP(E2310,E$1:E2309,1,FALSE()))),"OLD",IF(AND(E2310&lt;&gt;"",E2310&lt;&gt;"!!!"),"NEW","")))</f>
        <v/>
      </c>
      <c r="G2310" s="26" t="str">
        <f aca="false">IF(OR(E2310="",E2310="!!!"),"",IF(OR(J2310=0,AND(J2310=1,K2310=1),AND(J2310=1,I2310="SBJ"),AND(J2310=1,I2310=0)),"?IN_FOCUS",IF(J2310&lt;=2,"?ACTIVATED",IF(J2310&lt;&gt;"","?FAMILIAR",IF(F2310="NEW",IF(ISNA(VLOOKUP(E2310,#REF!,1,FALSE())),"?TYPE_IDENTIFIABLE","?REFERENTIAL"),"_")))))</f>
        <v/>
      </c>
      <c r="H2310" s="27" t="str">
        <f aca="false">IF(J2310&lt;&gt;1,"",IF(I2310="SBJ","CB","?"))</f>
        <v/>
      </c>
      <c r="I2310" s="24" t="str">
        <f aca="false">IF(OR(E2310="",E2310="!!!",F2310="NEW"),"",INDEX(B26:B$2285,-1+SUMPRODUCT(MAX(ROW(E26:E$2285)*(E2310=E26:E$2285)))))</f>
        <v/>
      </c>
      <c r="J2310" s="24" t="str">
        <f aca="true">IF(OR(E2310="",E2310="!!!",F2310="NEW"),"",COUNTBLANK(OFFSET(A$1,,,SUMPRODUCT(MAX(ROW(E$2:E2310)*(E2310=E$2:E2310)))))-COUNTBLANK(OFFSET(A$1,,,SUMPRODUCT(MAX(ROW(E$1:E2309)*(E2=E$1:E2309))))))</f>
        <v/>
      </c>
      <c r="K2310" s="24" t="str">
        <f aca="false">IF(OR(E2310="",E2310="!!!",F2310="NEW"),"",INDEX(J$1:J2309,SUMPRODUCT(MAX(ROW(E$1:E2309)*(E2310=E$1:E2309)))))</f>
        <v/>
      </c>
      <c r="L2310" s="31"/>
    </row>
    <row r="2311" customFormat="false" ht="15" hidden="false" customHeight="false" outlineLevel="0" collapsed="false">
      <c r="A2311" s="20" t="s">
        <v>923</v>
      </c>
      <c r="E2311" s="23" t="str">
        <f aca="false">IF(D2311="?OLD","!!!","")</f>
        <v/>
      </c>
      <c r="F2311" s="25" t="str">
        <f aca="false">IF(OR(E2311="",E2311="!!!"),"",IF(NOT(ISNA(VLOOKUP(E2311,E$1:E2310,1,FALSE()))),"OLD",IF(AND(E2311&lt;&gt;"",E2311&lt;&gt;"!!!"),"NEW","")))</f>
        <v/>
      </c>
      <c r="G2311" s="26" t="str">
        <f aca="false">IF(OR(E2311="",E2311="!!!"),"",IF(OR(J2311=0,AND(J2311=1,K2311=1),AND(J2311=1,I2311="SBJ"),AND(J2311=1,I2311=0)),"?IN_FOCUS",IF(J2311&lt;=2,"?ACTIVATED",IF(J2311&lt;&gt;"","?FAMILIAR",IF(F2311="NEW",IF(ISNA(VLOOKUP(E2311,#REF!,1,FALSE())),"?TYPE_IDENTIFIABLE","?REFERENTIAL"),"_")))))</f>
        <v/>
      </c>
      <c r="H2311" s="27" t="str">
        <f aca="false">IF(J2311&lt;&gt;1,"",IF(I2311="SBJ","CB","?"))</f>
        <v/>
      </c>
      <c r="I2311" s="24" t="str">
        <f aca="false">IF(OR(E2311="",E2311="!!!",F2311="NEW"),"",INDEX(B27:B$2285,-1+SUMPRODUCT(MAX(ROW(E27:E$2285)*(E2311=E27:E$2285)))))</f>
        <v/>
      </c>
      <c r="J2311" s="24" t="str">
        <f aca="true">IF(OR(E2311="",E2311="!!!",F2311="NEW"),"",COUNTBLANK(OFFSET(A$1,,,SUMPRODUCT(MAX(ROW(E$2:E2311)*(E2311=E$2:E2311)))))-COUNTBLANK(OFFSET(A$1,,,SUMPRODUCT(MAX(ROW(E$1:E2310)*(E2=E$1:E2310))))))</f>
        <v/>
      </c>
      <c r="K2311" s="24" t="str">
        <f aca="false">IF(OR(E2311="",E2311="!!!",F2311="NEW"),"",INDEX(J$1:J2310,SUMPRODUCT(MAX(ROW(E$1:E2310)*(E2311=E$1:E2310)))))</f>
        <v/>
      </c>
      <c r="L2311" s="31"/>
    </row>
    <row r="2312" customFormat="false" ht="15" hidden="false" customHeight="false" outlineLevel="0" collapsed="false">
      <c r="A2312" s="20"/>
    </row>
    <row r="2313" customFormat="false" ht="15" hidden="false" customHeight="false" outlineLevel="0" collapsed="false">
      <c r="A2313" s="20" t="s">
        <v>1907</v>
      </c>
    </row>
    <row r="2314" customFormat="false" ht="15" hidden="false" customHeight="false" outlineLevel="0" collapsed="false">
      <c r="A2314" s="20" t="s">
        <v>1561</v>
      </c>
      <c r="B2314" s="22" t="s">
        <v>1058</v>
      </c>
      <c r="C2314" s="22" t="s">
        <v>1082</v>
      </c>
      <c r="D2314" s="22" t="s">
        <v>1060</v>
      </c>
      <c r="E2314" s="23" t="str">
        <f aca="false">IF(D2314="?OLD","!!!","")</f>
        <v>!!!</v>
      </c>
      <c r="F2314" s="25" t="str">
        <f aca="false">IF(OR(E2314="",E2314="!!!"),"",IF(NOT(ISNA(VLOOKUP(E2314,E$1:E2313,1,FALSE()))),"OLD",IF(AND(E2314&lt;&gt;"",E2314&lt;&gt;"!!!"),"NEW","")))</f>
        <v/>
      </c>
      <c r="G2314" s="26" t="str">
        <f aca="false">IF(OR(E2314="",E2314="!!!"),"",IF(OR(J2314=0,AND(J2314=1,K2314=1),AND(J2314=1,I2314="SBJ"),AND(J2314=1,I2314=0)),"?IN_FOCUS",IF(J2314&lt;=2,"?ACTIVATED",IF(J2314&lt;&gt;"","?FAMILIAR",IF(F2314="NEW",IF(ISNA(VLOOKUP(E2314,#REF!,1,FALSE())),"?TYPE_IDENTIFIABLE","?REFERENTIAL"),"_")))))</f>
        <v/>
      </c>
      <c r="H2314" s="27" t="str">
        <f aca="false">IF(J2314&lt;&gt;1,"",IF(I2314="SBJ","CB","?"))</f>
        <v/>
      </c>
      <c r="I2314" s="24" t="str">
        <f aca="false">IF(OR(E2314="",E2314="!!!",F2314="NEW"),"",INDEX(B2:B$2313,-1+SUMPRODUCT(MAX(ROW(E2:E$2313)*(E2314=E2:E$2313)))))</f>
        <v/>
      </c>
      <c r="J2314" s="24" t="str">
        <f aca="true">IF(OR(E2314="",E2314="!!!",F2314="NEW"),"",COUNTBLANK(OFFSET(A$1,,,SUMPRODUCT(MAX(ROW(E$2:E2314)*(E2314=E$2:E2314)))))-COUNTBLANK(OFFSET(A$1,,,SUMPRODUCT(MAX(ROW(E$1:E2313)*(E2=E$1:E2313))))))</f>
        <v/>
      </c>
      <c r="K2314" s="24" t="str">
        <f aca="false">IF(OR(E2314="",E2314="!!!",F2314="NEW"),"",INDEX(J$1:J2313,SUMPRODUCT(MAX(ROW(E$1:E2313)*(E2314=E$1:E2313)))))</f>
        <v/>
      </c>
      <c r="L2314" s="31"/>
    </row>
    <row r="2315" customFormat="false" ht="15" hidden="false" customHeight="false" outlineLevel="0" collapsed="false">
      <c r="A2315" s="20" t="s">
        <v>1278</v>
      </c>
      <c r="E2315" s="23" t="str">
        <f aca="false">IF(D2315="?OLD","!!!","")</f>
        <v/>
      </c>
      <c r="F2315" s="25" t="str">
        <f aca="false">IF(OR(E2315="",E2315="!!!"),"",IF(NOT(ISNA(VLOOKUP(E2315,E$1:E2314,1,FALSE()))),"OLD",IF(AND(E2315&lt;&gt;"",E2315&lt;&gt;"!!!"),"NEW","")))</f>
        <v/>
      </c>
      <c r="G2315" s="26" t="str">
        <f aca="false">IF(OR(E2315="",E2315="!!!"),"",IF(OR(J2315=0,AND(J2315=1,K2315=1),AND(J2315=1,I2315="SBJ"),AND(J2315=1,I2315=0)),"?IN_FOCUS",IF(J2315&lt;=2,"?ACTIVATED",IF(J2315&lt;&gt;"","?FAMILIAR",IF(F2315="NEW",IF(ISNA(VLOOKUP(E2315,#REF!,1,FALSE())),"?TYPE_IDENTIFIABLE","?REFERENTIAL"),"_")))))</f>
        <v/>
      </c>
      <c r="H2315" s="27" t="str">
        <f aca="false">IF(J2315&lt;&gt;1,"",IF(I2315="SBJ","CB","?"))</f>
        <v/>
      </c>
      <c r="I2315" s="24" t="str">
        <f aca="false">IF(OR(E2315="",E2315="!!!",F2315="NEW"),"",INDEX(B3:B$2313,-1+SUMPRODUCT(MAX(ROW(E3:E$2313)*(E2315=E3:E$2313)))))</f>
        <v/>
      </c>
      <c r="J2315" s="24" t="str">
        <f aca="true">IF(OR(E2315="",E2315="!!!",F2315="NEW"),"",COUNTBLANK(OFFSET(A$1,,,SUMPRODUCT(MAX(ROW(E$2:E2315)*(E2315=E$2:E2315)))))-COUNTBLANK(OFFSET(A$1,,,SUMPRODUCT(MAX(ROW(E$1:E2314)*(E2=E$1:E2314))))))</f>
        <v/>
      </c>
      <c r="K2315" s="24" t="str">
        <f aca="false">IF(OR(E2315="",E2315="!!!",F2315="NEW"),"",INDEX(J$1:J2314,SUMPRODUCT(MAX(ROW(E$1:E2314)*(E2315=E$1:E2314)))))</f>
        <v/>
      </c>
      <c r="L2315" s="31"/>
    </row>
    <row r="2316" customFormat="false" ht="15" hidden="false" customHeight="false" outlineLevel="0" collapsed="false">
      <c r="A2316" s="20" t="s">
        <v>1279</v>
      </c>
      <c r="E2316" s="23" t="str">
        <f aca="false">IF(D2316="?OLD","!!!","")</f>
        <v/>
      </c>
      <c r="F2316" s="25" t="str">
        <f aca="false">IF(OR(E2316="",E2316="!!!"),"",IF(NOT(ISNA(VLOOKUP(E2316,E$1:E2315,1,FALSE()))),"OLD",IF(AND(E2316&lt;&gt;"",E2316&lt;&gt;"!!!"),"NEW","")))</f>
        <v/>
      </c>
      <c r="G2316" s="26" t="str">
        <f aca="false">IF(OR(E2316="",E2316="!!!"),"",IF(OR(J2316=0,AND(J2316=1,K2316=1),AND(J2316=1,I2316="SBJ"),AND(J2316=1,I2316=0)),"?IN_FOCUS",IF(J2316&lt;=2,"?ACTIVATED",IF(J2316&lt;&gt;"","?FAMILIAR",IF(F2316="NEW",IF(ISNA(VLOOKUP(E2316,#REF!,1,FALSE())),"?TYPE_IDENTIFIABLE","?REFERENTIAL"),"_")))))</f>
        <v/>
      </c>
      <c r="H2316" s="27" t="str">
        <f aca="false">IF(J2316&lt;&gt;1,"",IF(I2316="SBJ","CB","?"))</f>
        <v/>
      </c>
      <c r="I2316" s="24" t="str">
        <f aca="false">IF(OR(E2316="",E2316="!!!",F2316="NEW"),"",INDEX(B4:B$2313,-1+SUMPRODUCT(MAX(ROW(E4:E$2313)*(E2316=E4:E$2313)))))</f>
        <v/>
      </c>
      <c r="J2316" s="24" t="str">
        <f aca="true">IF(OR(E2316="",E2316="!!!",F2316="NEW"),"",COUNTBLANK(OFFSET(A$1,,,SUMPRODUCT(MAX(ROW(E$2:E2316)*(E2316=E$2:E2316)))))-COUNTBLANK(OFFSET(A$1,,,SUMPRODUCT(MAX(ROW(E$1:E2315)*(E2=E$1:E2315))))))</f>
        <v/>
      </c>
      <c r="K2316" s="24" t="str">
        <f aca="false">IF(OR(E2316="",E2316="!!!",F2316="NEW"),"",INDEX(J$1:J2315,SUMPRODUCT(MAX(ROW(E$1:E2315)*(E2316=E$1:E2315)))))</f>
        <v/>
      </c>
      <c r="L2316" s="31"/>
    </row>
    <row r="2317" customFormat="false" ht="15" hidden="false" customHeight="false" outlineLevel="0" collapsed="false">
      <c r="A2317" s="20" t="s">
        <v>452</v>
      </c>
      <c r="E2317" s="23" t="str">
        <f aca="false">IF(D2317="?OLD","!!!","")</f>
        <v/>
      </c>
      <c r="F2317" s="25" t="str">
        <f aca="false">IF(OR(E2317="",E2317="!!!"),"",IF(NOT(ISNA(VLOOKUP(E2317,E$1:E2316,1,FALSE()))),"OLD",IF(AND(E2317&lt;&gt;"",E2317&lt;&gt;"!!!"),"NEW","")))</f>
        <v/>
      </c>
      <c r="G2317" s="26" t="str">
        <f aca="false">IF(OR(E2317="",E2317="!!!"),"",IF(OR(J2317=0,AND(J2317=1,K2317=1),AND(J2317=1,I2317="SBJ"),AND(J2317=1,I2317=0)),"?IN_FOCUS",IF(J2317&lt;=2,"?ACTIVATED",IF(J2317&lt;&gt;"","?FAMILIAR",IF(F2317="NEW",IF(ISNA(VLOOKUP(E2317,#REF!,1,FALSE())),"?TYPE_IDENTIFIABLE","?REFERENTIAL"),"_")))))</f>
        <v/>
      </c>
      <c r="H2317" s="27" t="str">
        <f aca="false">IF(J2317&lt;&gt;1,"",IF(I2317="SBJ","CB","?"))</f>
        <v/>
      </c>
      <c r="I2317" s="24" t="str">
        <f aca="false">IF(OR(E2317="",E2317="!!!",F2317="NEW"),"",INDEX(B5:B$2313,-1+SUMPRODUCT(MAX(ROW(E5:E$2313)*(E2317=E5:E$2313)))))</f>
        <v/>
      </c>
      <c r="J2317" s="24" t="str">
        <f aca="true">IF(OR(E2317="",E2317="!!!",F2317="NEW"),"",COUNTBLANK(OFFSET(A$1,,,SUMPRODUCT(MAX(ROW(E$2:E2317)*(E2317=E$2:E2317)))))-COUNTBLANK(OFFSET(A$1,,,SUMPRODUCT(MAX(ROW(E$1:E2316)*(E2=E$1:E2316))))))</f>
        <v/>
      </c>
      <c r="K2317" s="24" t="str">
        <f aca="false">IF(OR(E2317="",E2317="!!!",F2317="NEW"),"",INDEX(J$1:J2316,SUMPRODUCT(MAX(ROW(E$1:E2316)*(E2317=E$1:E2316)))))</f>
        <v/>
      </c>
      <c r="L2317" s="31"/>
    </row>
    <row r="2318" customFormat="false" ht="15" hidden="false" customHeight="false" outlineLevel="0" collapsed="false">
      <c r="A2318" s="20" t="s">
        <v>1076</v>
      </c>
      <c r="E2318" s="23" t="str">
        <f aca="false">IF(D2318="?OLD","!!!","")</f>
        <v/>
      </c>
      <c r="F2318" s="25" t="str">
        <f aca="false">IF(OR(E2318="",E2318="!!!"),"",IF(NOT(ISNA(VLOOKUP(E2318,E$1:E2317,1,FALSE()))),"OLD",IF(AND(E2318&lt;&gt;"",E2318&lt;&gt;"!!!"),"NEW","")))</f>
        <v/>
      </c>
      <c r="G2318" s="26" t="str">
        <f aca="false">IF(OR(E2318="",E2318="!!!"),"",IF(OR(J2318=0,AND(J2318=1,K2318=1),AND(J2318=1,I2318="SBJ"),AND(J2318=1,I2318=0)),"?IN_FOCUS",IF(J2318&lt;=2,"?ACTIVATED",IF(J2318&lt;&gt;"","?FAMILIAR",IF(F2318="NEW",IF(ISNA(VLOOKUP(E2318,#REF!,1,FALSE())),"?TYPE_IDENTIFIABLE","?REFERENTIAL"),"_")))))</f>
        <v/>
      </c>
      <c r="H2318" s="27" t="str">
        <f aca="false">IF(J2318&lt;&gt;1,"",IF(I2318="SBJ","CB","?"))</f>
        <v/>
      </c>
      <c r="I2318" s="24" t="str">
        <f aca="false">IF(OR(E2318="",E2318="!!!",F2318="NEW"),"",INDEX(B6:B$2313,-1+SUMPRODUCT(MAX(ROW(E6:E$2313)*(E2318=E6:E$2313)))))</f>
        <v/>
      </c>
      <c r="J2318" s="24" t="str">
        <f aca="true">IF(OR(E2318="",E2318="!!!",F2318="NEW"),"",COUNTBLANK(OFFSET(A$1,,,SUMPRODUCT(MAX(ROW(E$2:E2318)*(E2318=E$2:E2318)))))-COUNTBLANK(OFFSET(A$1,,,SUMPRODUCT(MAX(ROW(E$1:E2317)*(E2=E$1:E2317))))))</f>
        <v/>
      </c>
      <c r="K2318" s="24" t="str">
        <f aca="false">IF(OR(E2318="",E2318="!!!",F2318="NEW"),"",INDEX(J$1:J2317,SUMPRODUCT(MAX(ROW(E$1:E2317)*(E2318=E$1:E2317)))))</f>
        <v/>
      </c>
      <c r="L2318" s="31"/>
    </row>
    <row r="2319" customFormat="false" ht="15" hidden="false" customHeight="false" outlineLevel="0" collapsed="false">
      <c r="A2319" s="20" t="s">
        <v>1151</v>
      </c>
      <c r="E2319" s="23" t="str">
        <f aca="false">IF(D2319="?OLD","!!!","")</f>
        <v/>
      </c>
      <c r="F2319" s="25" t="str">
        <f aca="false">IF(OR(E2319="",E2319="!!!"),"",IF(NOT(ISNA(VLOOKUP(E2319,E$1:E2318,1,FALSE()))),"OLD",IF(AND(E2319&lt;&gt;"",E2319&lt;&gt;"!!!"),"NEW","")))</f>
        <v/>
      </c>
      <c r="G2319" s="26" t="str">
        <f aca="false">IF(OR(E2319="",E2319="!!!"),"",IF(OR(J2319=0,AND(J2319=1,K2319=1),AND(J2319=1,I2319="SBJ"),AND(J2319=1,I2319=0)),"?IN_FOCUS",IF(J2319&lt;=2,"?ACTIVATED",IF(J2319&lt;&gt;"","?FAMILIAR",IF(F2319="NEW",IF(ISNA(VLOOKUP(E2319,#REF!,1,FALSE())),"?TYPE_IDENTIFIABLE","?REFERENTIAL"),"_")))))</f>
        <v/>
      </c>
      <c r="H2319" s="27" t="str">
        <f aca="false">IF(J2319&lt;&gt;1,"",IF(I2319="SBJ","CB","?"))</f>
        <v/>
      </c>
      <c r="I2319" s="24" t="str">
        <f aca="false">IF(OR(E2319="",E2319="!!!",F2319="NEW"),"",INDEX(B7:B$2313,-1+SUMPRODUCT(MAX(ROW(E7:E$2313)*(E2319=E7:E$2313)))))</f>
        <v/>
      </c>
      <c r="J2319" s="24" t="str">
        <f aca="true">IF(OR(E2319="",E2319="!!!",F2319="NEW"),"",COUNTBLANK(OFFSET(A$1,,,SUMPRODUCT(MAX(ROW(E$2:E2319)*(E2319=E$2:E2319)))))-COUNTBLANK(OFFSET(A$1,,,SUMPRODUCT(MAX(ROW(E$1:E2318)*(E2=E$1:E2318))))))</f>
        <v/>
      </c>
      <c r="K2319" s="24" t="str">
        <f aca="false">IF(OR(E2319="",E2319="!!!",F2319="NEW"),"",INDEX(J$1:J2318,SUMPRODUCT(MAX(ROW(E$1:E2318)*(E2319=E$1:E2318)))))</f>
        <v/>
      </c>
      <c r="L2319" s="31"/>
    </row>
    <row r="2320" customFormat="false" ht="15" hidden="false" customHeight="false" outlineLevel="0" collapsed="false">
      <c r="A2320" s="20" t="s">
        <v>1076</v>
      </c>
      <c r="E2320" s="23" t="str">
        <f aca="false">IF(D2320="?OLD","!!!","")</f>
        <v/>
      </c>
      <c r="F2320" s="25" t="str">
        <f aca="false">IF(OR(E2320="",E2320="!!!"),"",IF(NOT(ISNA(VLOOKUP(E2320,E$1:E2319,1,FALSE()))),"OLD",IF(AND(E2320&lt;&gt;"",E2320&lt;&gt;"!!!"),"NEW","")))</f>
        <v/>
      </c>
      <c r="G2320" s="26" t="str">
        <f aca="false">IF(OR(E2320="",E2320="!!!"),"",IF(OR(J2320=0,AND(J2320=1,K2320=1),AND(J2320=1,I2320="SBJ"),AND(J2320=1,I2320=0)),"?IN_FOCUS",IF(J2320&lt;=2,"?ACTIVATED",IF(J2320&lt;&gt;"","?FAMILIAR",IF(F2320="NEW",IF(ISNA(VLOOKUP(E2320,#REF!,1,FALSE())),"?TYPE_IDENTIFIABLE","?REFERENTIAL"),"_")))))</f>
        <v/>
      </c>
      <c r="H2320" s="27" t="str">
        <f aca="false">IF(J2320&lt;&gt;1,"",IF(I2320="SBJ","CB","?"))</f>
        <v/>
      </c>
      <c r="I2320" s="24" t="str">
        <f aca="false">IF(OR(E2320="",E2320="!!!",F2320="NEW"),"",INDEX(B8:B$2313,-1+SUMPRODUCT(MAX(ROW(E8:E$2313)*(E2320=E8:E$2313)))))</f>
        <v/>
      </c>
      <c r="J2320" s="24" t="str">
        <f aca="true">IF(OR(E2320="",E2320="!!!",F2320="NEW"),"",COUNTBLANK(OFFSET(A$1,,,SUMPRODUCT(MAX(ROW(E$2:E2320)*(E2320=E$2:E2320)))))-COUNTBLANK(OFFSET(A$1,,,SUMPRODUCT(MAX(ROW(E$1:E2319)*(E2=E$1:E2319))))))</f>
        <v/>
      </c>
      <c r="K2320" s="24" t="str">
        <f aca="false">IF(OR(E2320="",E2320="!!!",F2320="NEW"),"",INDEX(J$1:J2319,SUMPRODUCT(MAX(ROW(E$1:E2319)*(E2320=E$1:E2319)))))</f>
        <v/>
      </c>
      <c r="L2320" s="31"/>
    </row>
    <row r="2321" customFormat="false" ht="15" hidden="false" customHeight="false" outlineLevel="0" collapsed="false">
      <c r="A2321" s="20" t="s">
        <v>1168</v>
      </c>
      <c r="E2321" s="23" t="str">
        <f aca="false">IF(D2321="?OLD","!!!","")</f>
        <v/>
      </c>
      <c r="F2321" s="25" t="str">
        <f aca="false">IF(OR(E2321="",E2321="!!!"),"",IF(NOT(ISNA(VLOOKUP(E2321,E$1:E2320,1,FALSE()))),"OLD",IF(AND(E2321&lt;&gt;"",E2321&lt;&gt;"!!!"),"NEW","")))</f>
        <v/>
      </c>
      <c r="G2321" s="26" t="str">
        <f aca="false">IF(OR(E2321="",E2321="!!!"),"",IF(OR(J2321=0,AND(J2321=1,K2321=1),AND(J2321=1,I2321="SBJ"),AND(J2321=1,I2321=0)),"?IN_FOCUS",IF(J2321&lt;=2,"?ACTIVATED",IF(J2321&lt;&gt;"","?FAMILIAR",IF(F2321="NEW",IF(ISNA(VLOOKUP(E2321,#REF!,1,FALSE())),"?TYPE_IDENTIFIABLE","?REFERENTIAL"),"_")))))</f>
        <v/>
      </c>
      <c r="H2321" s="27" t="str">
        <f aca="false">IF(J2321&lt;&gt;1,"",IF(I2321="SBJ","CB","?"))</f>
        <v/>
      </c>
      <c r="I2321" s="24" t="str">
        <f aca="false">IF(OR(E2321="",E2321="!!!",F2321="NEW"),"",INDEX(B9:B$2313,-1+SUMPRODUCT(MAX(ROW(E9:E$2313)*(E2321=E9:E$2313)))))</f>
        <v/>
      </c>
      <c r="J2321" s="24" t="str">
        <f aca="true">IF(OR(E2321="",E2321="!!!",F2321="NEW"),"",COUNTBLANK(OFFSET(A$1,,,SUMPRODUCT(MAX(ROW(E$2:E2321)*(E2321=E$2:E2321)))))-COUNTBLANK(OFFSET(A$1,,,SUMPRODUCT(MAX(ROW(E$1:E2320)*(E2=E$1:E2320))))))</f>
        <v/>
      </c>
      <c r="K2321" s="24" t="str">
        <f aca="false">IF(OR(E2321="",E2321="!!!",F2321="NEW"),"",INDEX(J$1:J2320,SUMPRODUCT(MAX(ROW(E$1:E2320)*(E2321=E$1:E2320)))))</f>
        <v/>
      </c>
      <c r="L2321" s="31"/>
    </row>
    <row r="2322" customFormat="false" ht="15" hidden="false" customHeight="false" outlineLevel="0" collapsed="false">
      <c r="A2322" s="20" t="s">
        <v>1908</v>
      </c>
      <c r="E2322" s="23" t="str">
        <f aca="false">IF(D2322="?OLD","!!!","")</f>
        <v/>
      </c>
      <c r="F2322" s="25" t="str">
        <f aca="false">IF(OR(E2322="",E2322="!!!"),"",IF(NOT(ISNA(VLOOKUP(E2322,E$1:E2321,1,FALSE()))),"OLD",IF(AND(E2322&lt;&gt;"",E2322&lt;&gt;"!!!"),"NEW","")))</f>
        <v/>
      </c>
      <c r="G2322" s="26" t="str">
        <f aca="false">IF(OR(E2322="",E2322="!!!"),"",IF(OR(J2322=0,AND(J2322=1,K2322=1),AND(J2322=1,I2322="SBJ"),AND(J2322=1,I2322=0)),"?IN_FOCUS",IF(J2322&lt;=2,"?ACTIVATED",IF(J2322&lt;&gt;"","?FAMILIAR",IF(F2322="NEW",IF(ISNA(VLOOKUP(E2322,#REF!,1,FALSE())),"?TYPE_IDENTIFIABLE","?REFERENTIAL"),"_")))))</f>
        <v/>
      </c>
      <c r="H2322" s="27" t="str">
        <f aca="false">IF(J2322&lt;&gt;1,"",IF(I2322="SBJ","CB","?"))</f>
        <v/>
      </c>
      <c r="I2322" s="24" t="str">
        <f aca="false">IF(OR(E2322="",E2322="!!!",F2322="NEW"),"",INDEX(B10:B$2313,-1+SUMPRODUCT(MAX(ROW(E10:E$2313)*(E2322=E10:E$2313)))))</f>
        <v/>
      </c>
      <c r="J2322" s="24" t="str">
        <f aca="true">IF(OR(E2322="",E2322="!!!",F2322="NEW"),"",COUNTBLANK(OFFSET(A$1,,,SUMPRODUCT(MAX(ROW(E$2:E2322)*(E2322=E$2:E2322)))))-COUNTBLANK(OFFSET(A$1,,,SUMPRODUCT(MAX(ROW(E$1:E2321)*(E2=E$1:E2321))))))</f>
        <v/>
      </c>
      <c r="K2322" s="24" t="str">
        <f aca="false">IF(OR(E2322="",E2322="!!!",F2322="NEW"),"",INDEX(J$1:J2321,SUMPRODUCT(MAX(ROW(E$1:E2321)*(E2322=E$1:E2321)))))</f>
        <v/>
      </c>
      <c r="L2322" s="31"/>
    </row>
    <row r="2323" customFormat="false" ht="15" hidden="false" customHeight="false" outlineLevel="0" collapsed="false">
      <c r="A2323" s="20" t="s">
        <v>1743</v>
      </c>
      <c r="E2323" s="23" t="str">
        <f aca="false">IF(D2323="?OLD","!!!","")</f>
        <v/>
      </c>
      <c r="F2323" s="25" t="str">
        <f aca="false">IF(OR(E2323="",E2323="!!!"),"",IF(NOT(ISNA(VLOOKUP(E2323,E$1:E2322,1,FALSE()))),"OLD",IF(AND(E2323&lt;&gt;"",E2323&lt;&gt;"!!!"),"NEW","")))</f>
        <v/>
      </c>
      <c r="G2323" s="26" t="str">
        <f aca="false">IF(OR(E2323="",E2323="!!!"),"",IF(OR(J2323=0,AND(J2323=1,K2323=1),AND(J2323=1,I2323="SBJ"),AND(J2323=1,I2323=0)),"?IN_FOCUS",IF(J2323&lt;=2,"?ACTIVATED",IF(J2323&lt;&gt;"","?FAMILIAR",IF(F2323="NEW",IF(ISNA(VLOOKUP(E2323,#REF!,1,FALSE())),"?TYPE_IDENTIFIABLE","?REFERENTIAL"),"_")))))</f>
        <v/>
      </c>
      <c r="H2323" s="27" t="str">
        <f aca="false">IF(J2323&lt;&gt;1,"",IF(I2323="SBJ","CB","?"))</f>
        <v/>
      </c>
      <c r="I2323" s="24" t="str">
        <f aca="false">IF(OR(E2323="",E2323="!!!",F2323="NEW"),"",INDEX(B11:B$2313,-1+SUMPRODUCT(MAX(ROW(E11:E$2313)*(E2323=E11:E$2313)))))</f>
        <v/>
      </c>
      <c r="J2323" s="24" t="str">
        <f aca="true">IF(OR(E2323="",E2323="!!!",F2323="NEW"),"",COUNTBLANK(OFFSET(A$1,,,SUMPRODUCT(MAX(ROW(E$2:E2323)*(E2323=E$2:E2323)))))-COUNTBLANK(OFFSET(A$1,,,SUMPRODUCT(MAX(ROW(E$1:E2322)*(E2=E$1:E2322))))))</f>
        <v/>
      </c>
      <c r="K2323" s="24" t="str">
        <f aca="false">IF(OR(E2323="",E2323="!!!",F2323="NEW"),"",INDEX(J$1:J2322,SUMPRODUCT(MAX(ROW(E$1:E2322)*(E2323=E$1:E2322)))))</f>
        <v/>
      </c>
      <c r="L2323" s="31"/>
    </row>
    <row r="2324" customFormat="false" ht="15" hidden="false" customHeight="false" outlineLevel="0" collapsed="false">
      <c r="A2324" s="20" t="s">
        <v>923</v>
      </c>
      <c r="E2324" s="23" t="str">
        <f aca="false">IF(D2324="?OLD","!!!","")</f>
        <v/>
      </c>
      <c r="F2324" s="25" t="str">
        <f aca="false">IF(OR(E2324="",E2324="!!!"),"",IF(NOT(ISNA(VLOOKUP(E2324,E$1:E2323,1,FALSE()))),"OLD",IF(AND(E2324&lt;&gt;"",E2324&lt;&gt;"!!!"),"NEW","")))</f>
        <v/>
      </c>
      <c r="G2324" s="26" t="str">
        <f aca="false">IF(OR(E2324="",E2324="!!!"),"",IF(OR(J2324=0,AND(J2324=1,K2324=1),AND(J2324=1,I2324="SBJ"),AND(J2324=1,I2324=0)),"?IN_FOCUS",IF(J2324&lt;=2,"?ACTIVATED",IF(J2324&lt;&gt;"","?FAMILIAR",IF(F2324="NEW",IF(ISNA(VLOOKUP(E2324,#REF!,1,FALSE())),"?TYPE_IDENTIFIABLE","?REFERENTIAL"),"_")))))</f>
        <v/>
      </c>
      <c r="H2324" s="27" t="str">
        <f aca="false">IF(J2324&lt;&gt;1,"",IF(I2324="SBJ","CB","?"))</f>
        <v/>
      </c>
      <c r="I2324" s="24" t="str">
        <f aca="false">IF(OR(E2324="",E2324="!!!",F2324="NEW"),"",INDEX(B12:B$2313,-1+SUMPRODUCT(MAX(ROW(E12:E$2313)*(E2324=E12:E$2313)))))</f>
        <v/>
      </c>
      <c r="J2324" s="24" t="str">
        <f aca="true">IF(OR(E2324="",E2324="!!!",F2324="NEW"),"",COUNTBLANK(OFFSET(A$1,,,SUMPRODUCT(MAX(ROW(E$2:E2324)*(E2324=E$2:E2324)))))-COUNTBLANK(OFFSET(A$1,,,SUMPRODUCT(MAX(ROW(E$1:E2323)*(E2=E$1:E2323))))))</f>
        <v/>
      </c>
      <c r="K2324" s="24" t="str">
        <f aca="false">IF(OR(E2324="",E2324="!!!",F2324="NEW"),"",INDEX(J$1:J2323,SUMPRODUCT(MAX(ROW(E$1:E2323)*(E2324=E$1:E2323)))))</f>
        <v/>
      </c>
      <c r="L2324" s="31"/>
    </row>
    <row r="2325" customFormat="false" ht="15" hidden="false" customHeight="false" outlineLevel="0" collapsed="false">
      <c r="A2325" s="20"/>
    </row>
    <row r="2326" customFormat="false" ht="15" hidden="false" customHeight="false" outlineLevel="0" collapsed="false">
      <c r="A2326" s="20" t="s">
        <v>1909</v>
      </c>
    </row>
    <row r="2327" customFormat="false" ht="15" hidden="false" customHeight="false" outlineLevel="0" collapsed="false">
      <c r="A2327" s="20" t="s">
        <v>1910</v>
      </c>
      <c r="E2327" s="23" t="str">
        <f aca="false">IF(D2327="?OLD","!!!","")</f>
        <v/>
      </c>
      <c r="F2327" s="25" t="str">
        <f aca="false">IF(OR(E2327="",E2327="!!!"),"",IF(NOT(ISNA(VLOOKUP(E2327,E$1:E2326,1,FALSE()))),"OLD",IF(AND(E2327&lt;&gt;"",E2327&lt;&gt;"!!!"),"NEW","")))</f>
        <v/>
      </c>
      <c r="G2327" s="26" t="str">
        <f aca="false">IF(OR(E2327="",E2327="!!!"),"",IF(OR(J2327=0,AND(J2327=1,K2327=1),AND(J2327=1,I2327="SBJ"),AND(J2327=1,I2327=0)),"?IN_FOCUS",IF(J2327&lt;=2,"?ACTIVATED",IF(J2327&lt;&gt;"","?FAMILIAR",IF(F2327="NEW",IF(ISNA(VLOOKUP(E2327,#REF!,1,FALSE())),"?TYPE_IDENTIFIABLE","?REFERENTIAL"),"_")))))</f>
        <v/>
      </c>
      <c r="H2327" s="27" t="str">
        <f aca="false">IF(J2327&lt;&gt;1,"",IF(I2327="SBJ","CB","?"))</f>
        <v/>
      </c>
      <c r="I2327" s="24" t="str">
        <f aca="false">IF(OR(E2327="",E2327="!!!",F2327="NEW"),"",INDEX(B2:B$2326,-1+SUMPRODUCT(MAX(ROW(E2:E$2326)*(E2327=E2:E$2326)))))</f>
        <v/>
      </c>
      <c r="J2327" s="24" t="str">
        <f aca="true">IF(OR(E2327="",E2327="!!!",F2327="NEW"),"",COUNTBLANK(OFFSET(A$1,,,SUMPRODUCT(MAX(ROW(E$2:E2327)*(E2327=E$2:E2327)))))-COUNTBLANK(OFFSET(A$1,,,SUMPRODUCT(MAX(ROW(E$1:E2326)*(E2=E$1:E2326))))))</f>
        <v/>
      </c>
      <c r="K2327" s="24" t="str">
        <f aca="false">IF(OR(E2327="",E2327="!!!",F2327="NEW"),"",INDEX(J$1:J2326,SUMPRODUCT(MAX(ROW(E$1:E2326)*(E2327=E$1:E2326)))))</f>
        <v/>
      </c>
      <c r="L2327" s="31"/>
    </row>
    <row r="2328" customFormat="false" ht="15" hidden="false" customHeight="false" outlineLevel="0" collapsed="false">
      <c r="A2328" s="20" t="s">
        <v>1911</v>
      </c>
      <c r="E2328" s="23" t="str">
        <f aca="false">IF(D2328="?OLD","!!!","")</f>
        <v/>
      </c>
      <c r="F2328" s="25" t="str">
        <f aca="false">IF(OR(E2328="",E2328="!!!"),"",IF(NOT(ISNA(VLOOKUP(E2328,E$1:E2327,1,FALSE()))),"OLD",IF(AND(E2328&lt;&gt;"",E2328&lt;&gt;"!!!"),"NEW","")))</f>
        <v/>
      </c>
      <c r="G2328" s="26" t="str">
        <f aca="false">IF(OR(E2328="",E2328="!!!"),"",IF(OR(J2328=0,AND(J2328=1,K2328=1),AND(J2328=1,I2328="SBJ"),AND(J2328=1,I2328=0)),"?IN_FOCUS",IF(J2328&lt;=2,"?ACTIVATED",IF(J2328&lt;&gt;"","?FAMILIAR",IF(F2328="NEW",IF(ISNA(VLOOKUP(E2328,#REF!,1,FALSE())),"?TYPE_IDENTIFIABLE","?REFERENTIAL"),"_")))))</f>
        <v/>
      </c>
      <c r="H2328" s="27" t="str">
        <f aca="false">IF(J2328&lt;&gt;1,"",IF(I2328="SBJ","CB","?"))</f>
        <v/>
      </c>
      <c r="I2328" s="24" t="str">
        <f aca="false">IF(OR(E2328="",E2328="!!!",F2328="NEW"),"",INDEX(B3:B$2326,-1+SUMPRODUCT(MAX(ROW(E3:E$2326)*(E2328=E3:E$2326)))))</f>
        <v/>
      </c>
      <c r="J2328" s="24" t="str">
        <f aca="true">IF(OR(E2328="",E2328="!!!",F2328="NEW"),"",COUNTBLANK(OFFSET(A$1,,,SUMPRODUCT(MAX(ROW(E$2:E2328)*(E2328=E$2:E2328)))))-COUNTBLANK(OFFSET(A$1,,,SUMPRODUCT(MAX(ROW(E$1:E2327)*(E2=E$1:E2327))))))</f>
        <v/>
      </c>
      <c r="K2328" s="24" t="str">
        <f aca="false">IF(OR(E2328="",E2328="!!!",F2328="NEW"),"",INDEX(J$1:J2327,SUMPRODUCT(MAX(ROW(E$1:E2327)*(E2328=E$1:E2327)))))</f>
        <v/>
      </c>
      <c r="L2328" s="31"/>
    </row>
    <row r="2329" customFormat="false" ht="15" hidden="false" customHeight="false" outlineLevel="0" collapsed="false">
      <c r="A2329" s="20" t="s">
        <v>1224</v>
      </c>
      <c r="E2329" s="23" t="str">
        <f aca="false">IF(D2329="?OLD","!!!","")</f>
        <v/>
      </c>
      <c r="F2329" s="25" t="str">
        <f aca="false">IF(OR(E2329="",E2329="!!!"),"",IF(NOT(ISNA(VLOOKUP(E2329,E$1:E2328,1,FALSE()))),"OLD",IF(AND(E2329&lt;&gt;"",E2329&lt;&gt;"!!!"),"NEW","")))</f>
        <v/>
      </c>
      <c r="G2329" s="26" t="str">
        <f aca="false">IF(OR(E2329="",E2329="!!!"),"",IF(OR(J2329=0,AND(J2329=1,K2329=1),AND(J2329=1,I2329="SBJ"),AND(J2329=1,I2329=0)),"?IN_FOCUS",IF(J2329&lt;=2,"?ACTIVATED",IF(J2329&lt;&gt;"","?FAMILIAR",IF(F2329="NEW",IF(ISNA(VLOOKUP(E2329,#REF!,1,FALSE())),"?TYPE_IDENTIFIABLE","?REFERENTIAL"),"_")))))</f>
        <v/>
      </c>
      <c r="H2329" s="27" t="str">
        <f aca="false">IF(J2329&lt;&gt;1,"",IF(I2329="SBJ","CB","?"))</f>
        <v/>
      </c>
      <c r="I2329" s="24" t="str">
        <f aca="false">IF(OR(E2329="",E2329="!!!",F2329="NEW"),"",INDEX(B4:B$2326,-1+SUMPRODUCT(MAX(ROW(E4:E$2326)*(E2329=E4:E$2326)))))</f>
        <v/>
      </c>
      <c r="J2329" s="24" t="str">
        <f aca="true">IF(OR(E2329="",E2329="!!!",F2329="NEW"),"",COUNTBLANK(OFFSET(A$1,,,SUMPRODUCT(MAX(ROW(E$2:E2329)*(E2329=E$2:E2329)))))-COUNTBLANK(OFFSET(A$1,,,SUMPRODUCT(MAX(ROW(E$1:E2328)*(E2=E$1:E2328))))))</f>
        <v/>
      </c>
      <c r="K2329" s="24" t="str">
        <f aca="false">IF(OR(E2329="",E2329="!!!",F2329="NEW"),"",INDEX(J$1:J2328,SUMPRODUCT(MAX(ROW(E$1:E2328)*(E2329=E$1:E2328)))))</f>
        <v/>
      </c>
      <c r="L2329" s="31"/>
    </row>
    <row r="2330" customFormat="false" ht="15" hidden="false" customHeight="false" outlineLevel="0" collapsed="false">
      <c r="A2330" s="20" t="s">
        <v>1109</v>
      </c>
      <c r="E2330" s="23" t="str">
        <f aca="false">IF(D2330="?OLD","!!!","")</f>
        <v/>
      </c>
      <c r="F2330" s="25" t="str">
        <f aca="false">IF(OR(E2330="",E2330="!!!"),"",IF(NOT(ISNA(VLOOKUP(E2330,E$1:E2329,1,FALSE()))),"OLD",IF(AND(E2330&lt;&gt;"",E2330&lt;&gt;"!!!"),"NEW","")))</f>
        <v/>
      </c>
      <c r="G2330" s="26" t="str">
        <f aca="false">IF(OR(E2330="",E2330="!!!"),"",IF(OR(J2330=0,AND(J2330=1,K2330=1),AND(J2330=1,I2330="SBJ"),AND(J2330=1,I2330=0)),"?IN_FOCUS",IF(J2330&lt;=2,"?ACTIVATED",IF(J2330&lt;&gt;"","?FAMILIAR",IF(F2330="NEW",IF(ISNA(VLOOKUP(E2330,#REF!,1,FALSE())),"?TYPE_IDENTIFIABLE","?REFERENTIAL"),"_")))))</f>
        <v/>
      </c>
      <c r="H2330" s="27" t="str">
        <f aca="false">IF(J2330&lt;&gt;1,"",IF(I2330="SBJ","CB","?"))</f>
        <v/>
      </c>
      <c r="I2330" s="24" t="str">
        <f aca="false">IF(OR(E2330="",E2330="!!!",F2330="NEW"),"",INDEX(B5:B$2326,-1+SUMPRODUCT(MAX(ROW(E5:E$2326)*(E2330=E5:E$2326)))))</f>
        <v/>
      </c>
      <c r="J2330" s="24" t="str">
        <f aca="true">IF(OR(E2330="",E2330="!!!",F2330="NEW"),"",COUNTBLANK(OFFSET(A$1,,,SUMPRODUCT(MAX(ROW(E$2:E2330)*(E2330=E$2:E2330)))))-COUNTBLANK(OFFSET(A$1,,,SUMPRODUCT(MAX(ROW(E$1:E2329)*(E2=E$1:E2329))))))</f>
        <v/>
      </c>
      <c r="K2330" s="24" t="str">
        <f aca="false">IF(OR(E2330="",E2330="!!!",F2330="NEW"),"",INDEX(J$1:J2329,SUMPRODUCT(MAX(ROW(E$1:E2329)*(E2330=E$1:E2329)))))</f>
        <v/>
      </c>
      <c r="L2330" s="31"/>
    </row>
    <row r="2331" customFormat="false" ht="15" hidden="false" customHeight="false" outlineLevel="0" collapsed="false">
      <c r="A2331" s="20" t="s">
        <v>1458</v>
      </c>
      <c r="B2331" s="22" t="s">
        <v>1073</v>
      </c>
      <c r="C2331" s="22" t="s">
        <v>1150</v>
      </c>
      <c r="D2331" s="22" t="s">
        <v>1060</v>
      </c>
      <c r="E2331" s="23" t="str">
        <f aca="false">IF(D2331="?OLD","!!!","")</f>
        <v>!!!</v>
      </c>
      <c r="F2331" s="25" t="str">
        <f aca="false">IF(OR(E2331="",E2331="!!!"),"",IF(NOT(ISNA(VLOOKUP(E2331,E$1:E2330,1,FALSE()))),"OLD",IF(AND(E2331&lt;&gt;"",E2331&lt;&gt;"!!!"),"NEW","")))</f>
        <v/>
      </c>
      <c r="G2331" s="26" t="str">
        <f aca="false">IF(OR(E2331="",E2331="!!!"),"",IF(OR(J2331=0,AND(J2331=1,K2331=1),AND(J2331=1,I2331="SBJ"),AND(J2331=1,I2331=0)),"?IN_FOCUS",IF(J2331&lt;=2,"?ACTIVATED",IF(J2331&lt;&gt;"","?FAMILIAR",IF(F2331="NEW",IF(ISNA(VLOOKUP(E2331,#REF!,1,FALSE())),"?TYPE_IDENTIFIABLE","?REFERENTIAL"),"_")))))</f>
        <v/>
      </c>
      <c r="H2331" s="27" t="str">
        <f aca="false">IF(J2331&lt;&gt;1,"",IF(I2331="SBJ","CB","?"))</f>
        <v/>
      </c>
      <c r="I2331" s="24" t="str">
        <f aca="false">IF(OR(E2331="",E2331="!!!",F2331="NEW"),"",INDEX(B6:B$2326,-1+SUMPRODUCT(MAX(ROW(E6:E$2326)*(E2331=E6:E$2326)))))</f>
        <v/>
      </c>
      <c r="J2331" s="24" t="str">
        <f aca="true">IF(OR(E2331="",E2331="!!!",F2331="NEW"),"",COUNTBLANK(OFFSET(A$1,,,SUMPRODUCT(MAX(ROW(E$2:E2331)*(E2331=E$2:E2331)))))-COUNTBLANK(OFFSET(A$1,,,SUMPRODUCT(MAX(ROW(E$1:E2330)*(E2=E$1:E2330))))))</f>
        <v/>
      </c>
      <c r="K2331" s="24" t="str">
        <f aca="false">IF(OR(E2331="",E2331="!!!",F2331="NEW"),"",INDEX(J$1:J2330,SUMPRODUCT(MAX(ROW(E$1:E2330)*(E2331=E$1:E2330)))))</f>
        <v/>
      </c>
      <c r="L2331" s="31"/>
    </row>
    <row r="2332" customFormat="false" ht="15" hidden="false" customHeight="false" outlineLevel="0" collapsed="false">
      <c r="A2332" s="20" t="s">
        <v>1186</v>
      </c>
      <c r="B2332" s="22" t="s">
        <v>1058</v>
      </c>
      <c r="C2332" s="22" t="s">
        <v>1082</v>
      </c>
      <c r="D2332" s="22" t="s">
        <v>1060</v>
      </c>
      <c r="E2332" s="23" t="str">
        <f aca="false">IF(D2332="?OLD","!!!","")</f>
        <v>!!!</v>
      </c>
      <c r="F2332" s="25" t="str">
        <f aca="false">IF(OR(E2332="",E2332="!!!"),"",IF(NOT(ISNA(VLOOKUP(E2332,E$1:E2331,1,FALSE()))),"OLD",IF(AND(E2332&lt;&gt;"",E2332&lt;&gt;"!!!"),"NEW","")))</f>
        <v/>
      </c>
      <c r="G2332" s="26" t="str">
        <f aca="false">IF(OR(E2332="",E2332="!!!"),"",IF(OR(J2332=0,AND(J2332=1,K2332=1),AND(J2332=1,I2332="SBJ"),AND(J2332=1,I2332=0)),"?IN_FOCUS",IF(J2332&lt;=2,"?ACTIVATED",IF(J2332&lt;&gt;"","?FAMILIAR",IF(F2332="NEW",IF(ISNA(VLOOKUP(E2332,#REF!,1,FALSE())),"?TYPE_IDENTIFIABLE","?REFERENTIAL"),"_")))))</f>
        <v/>
      </c>
      <c r="H2332" s="27" t="str">
        <f aca="false">IF(J2332&lt;&gt;1,"",IF(I2332="SBJ","CB","?"))</f>
        <v/>
      </c>
      <c r="I2332" s="24" t="str">
        <f aca="false">IF(OR(E2332="",E2332="!!!",F2332="NEW"),"",INDEX(B7:B$2326,-1+SUMPRODUCT(MAX(ROW(E7:E$2326)*(E2332=E7:E$2326)))))</f>
        <v/>
      </c>
      <c r="J2332" s="24" t="str">
        <f aca="true">IF(OR(E2332="",E2332="!!!",F2332="NEW"),"",COUNTBLANK(OFFSET(A$1,,,SUMPRODUCT(MAX(ROW(E$2:E2332)*(E2332=E$2:E2332)))))-COUNTBLANK(OFFSET(A$1,,,SUMPRODUCT(MAX(ROW(E$1:E2331)*(E2=E$1:E2331))))))</f>
        <v/>
      </c>
      <c r="K2332" s="24" t="str">
        <f aca="false">IF(OR(E2332="",E2332="!!!",F2332="NEW"),"",INDEX(J$1:J2331,SUMPRODUCT(MAX(ROW(E$1:E2331)*(E2332=E$1:E2331)))))</f>
        <v/>
      </c>
      <c r="L2332" s="31"/>
    </row>
    <row r="2333" customFormat="false" ht="15" hidden="false" customHeight="false" outlineLevel="0" collapsed="false">
      <c r="A2333" s="20" t="s">
        <v>1544</v>
      </c>
      <c r="E2333" s="23" t="str">
        <f aca="false">IF(D2333="?OLD","!!!","")</f>
        <v/>
      </c>
      <c r="F2333" s="25" t="str">
        <f aca="false">IF(OR(E2333="",E2333="!!!"),"",IF(NOT(ISNA(VLOOKUP(E2333,E$1:E2332,1,FALSE()))),"OLD",IF(AND(E2333&lt;&gt;"",E2333&lt;&gt;"!!!"),"NEW","")))</f>
        <v/>
      </c>
      <c r="G2333" s="26" t="str">
        <f aca="false">IF(OR(E2333="",E2333="!!!"),"",IF(OR(J2333=0,AND(J2333=1,K2333=1),AND(J2333=1,I2333="SBJ"),AND(J2333=1,I2333=0)),"?IN_FOCUS",IF(J2333&lt;=2,"?ACTIVATED",IF(J2333&lt;&gt;"","?FAMILIAR",IF(F2333="NEW",IF(ISNA(VLOOKUP(E2333,#REF!,1,FALSE())),"?TYPE_IDENTIFIABLE","?REFERENTIAL"),"_")))))</f>
        <v/>
      </c>
      <c r="H2333" s="27" t="str">
        <f aca="false">IF(J2333&lt;&gt;1,"",IF(I2333="SBJ","CB","?"))</f>
        <v/>
      </c>
      <c r="I2333" s="24" t="str">
        <f aca="false">IF(OR(E2333="",E2333="!!!",F2333="NEW"),"",INDEX(B8:B$2326,-1+SUMPRODUCT(MAX(ROW(E8:E$2326)*(E2333=E8:E$2326)))))</f>
        <v/>
      </c>
      <c r="J2333" s="24" t="str">
        <f aca="true">IF(OR(E2333="",E2333="!!!",F2333="NEW"),"",COUNTBLANK(OFFSET(A$1,,,SUMPRODUCT(MAX(ROW(E$2:E2333)*(E2333=E$2:E2333)))))-COUNTBLANK(OFFSET(A$1,,,SUMPRODUCT(MAX(ROW(E$1:E2332)*(E2=E$1:E2332))))))</f>
        <v/>
      </c>
      <c r="K2333" s="24" t="str">
        <f aca="false">IF(OR(E2333="",E2333="!!!",F2333="NEW"),"",INDEX(J$1:J2332,SUMPRODUCT(MAX(ROW(E$1:E2332)*(E2333=E$1:E2332)))))</f>
        <v/>
      </c>
      <c r="L2333" s="31"/>
    </row>
    <row r="2334" customFormat="false" ht="15" hidden="false" customHeight="false" outlineLevel="0" collapsed="false">
      <c r="A2334" s="20" t="s">
        <v>499</v>
      </c>
      <c r="E2334" s="23" t="str">
        <f aca="false">IF(D2334="?OLD","!!!","")</f>
        <v/>
      </c>
      <c r="F2334" s="25" t="str">
        <f aca="false">IF(OR(E2334="",E2334="!!!"),"",IF(NOT(ISNA(VLOOKUP(E2334,E$1:E2333,1,FALSE()))),"OLD",IF(AND(E2334&lt;&gt;"",E2334&lt;&gt;"!!!"),"NEW","")))</f>
        <v/>
      </c>
      <c r="G2334" s="26" t="str">
        <f aca="false">IF(OR(E2334="",E2334="!!!"),"",IF(OR(J2334=0,AND(J2334=1,K2334=1),AND(J2334=1,I2334="SBJ"),AND(J2334=1,I2334=0)),"?IN_FOCUS",IF(J2334&lt;=2,"?ACTIVATED",IF(J2334&lt;&gt;"","?FAMILIAR",IF(F2334="NEW",IF(ISNA(VLOOKUP(E2334,#REF!,1,FALSE())),"?TYPE_IDENTIFIABLE","?REFERENTIAL"),"_")))))</f>
        <v/>
      </c>
      <c r="H2334" s="27" t="str">
        <f aca="false">IF(J2334&lt;&gt;1,"",IF(I2334="SBJ","CB","?"))</f>
        <v/>
      </c>
      <c r="I2334" s="24" t="str">
        <f aca="false">IF(OR(E2334="",E2334="!!!",F2334="NEW"),"",INDEX(B9:B$2326,-1+SUMPRODUCT(MAX(ROW(E9:E$2326)*(E2334=E9:E$2326)))))</f>
        <v/>
      </c>
      <c r="J2334" s="24" t="str">
        <f aca="true">IF(OR(E2334="",E2334="!!!",F2334="NEW"),"",COUNTBLANK(OFFSET(A$1,,,SUMPRODUCT(MAX(ROW(E$2:E2334)*(E2334=E$2:E2334)))))-COUNTBLANK(OFFSET(A$1,,,SUMPRODUCT(MAX(ROW(E$1:E2333)*(E2=E$1:E2333))))))</f>
        <v/>
      </c>
      <c r="K2334" s="24" t="str">
        <f aca="false">IF(OR(E2334="",E2334="!!!",F2334="NEW"),"",INDEX(J$1:J2333,SUMPRODUCT(MAX(ROW(E$1:E2333)*(E2334=E$1:E2333)))))</f>
        <v/>
      </c>
      <c r="L2334" s="31"/>
    </row>
    <row r="2335" customFormat="false" ht="15" hidden="false" customHeight="false" outlineLevel="0" collapsed="false">
      <c r="A2335" s="20" t="s">
        <v>1481</v>
      </c>
      <c r="B2335" s="22" t="s">
        <v>1081</v>
      </c>
      <c r="C2335" s="22" t="s">
        <v>1068</v>
      </c>
      <c r="D2335" s="22" t="s">
        <v>1060</v>
      </c>
      <c r="E2335" s="23" t="str">
        <f aca="false">IF(D2335="?OLD","!!!","")</f>
        <v>!!!</v>
      </c>
      <c r="F2335" s="25" t="str">
        <f aca="false">IF(OR(E2335="",E2335="!!!"),"",IF(NOT(ISNA(VLOOKUP(E2335,E$1:E2334,1,FALSE()))),"OLD",IF(AND(E2335&lt;&gt;"",E2335&lt;&gt;"!!!"),"NEW","")))</f>
        <v/>
      </c>
      <c r="G2335" s="26" t="str">
        <f aca="false">IF(OR(E2335="",E2335="!!!"),"",IF(OR(J2335=0,AND(J2335=1,K2335=1),AND(J2335=1,I2335="SBJ"),AND(J2335=1,I2335=0)),"?IN_FOCUS",IF(J2335&lt;=2,"?ACTIVATED",IF(J2335&lt;&gt;"","?FAMILIAR",IF(F2335="NEW",IF(ISNA(VLOOKUP(E2335,#REF!,1,FALSE())),"?TYPE_IDENTIFIABLE","?REFERENTIAL"),"_")))))</f>
        <v/>
      </c>
      <c r="H2335" s="27" t="str">
        <f aca="false">IF(J2335&lt;&gt;1,"",IF(I2335="SBJ","CB","?"))</f>
        <v/>
      </c>
      <c r="I2335" s="24" t="str">
        <f aca="false">IF(OR(E2335="",E2335="!!!",F2335="NEW"),"",INDEX(B10:B$2326,-1+SUMPRODUCT(MAX(ROW(E10:E$2326)*(E2335=E10:E$2326)))))</f>
        <v/>
      </c>
      <c r="J2335" s="24" t="str">
        <f aca="true">IF(OR(E2335="",E2335="!!!",F2335="NEW"),"",COUNTBLANK(OFFSET(A$1,,,SUMPRODUCT(MAX(ROW(E$2:E2335)*(E2335=E$2:E2335)))))-COUNTBLANK(OFFSET(A$1,,,SUMPRODUCT(MAX(ROW(E$1:E2334)*(E2=E$1:E2334))))))</f>
        <v/>
      </c>
      <c r="K2335" s="24" t="str">
        <f aca="false">IF(OR(E2335="",E2335="!!!",F2335="NEW"),"",INDEX(J$1:J2334,SUMPRODUCT(MAX(ROW(E$1:E2334)*(E2335=E$1:E2334)))))</f>
        <v/>
      </c>
      <c r="L2335" s="31"/>
    </row>
    <row r="2336" customFormat="false" ht="15" hidden="false" customHeight="false" outlineLevel="0" collapsed="false">
      <c r="A2336" s="20" t="s">
        <v>1912</v>
      </c>
      <c r="E2336" s="23" t="str">
        <f aca="false">IF(D2336="?OLD","!!!","")</f>
        <v/>
      </c>
      <c r="F2336" s="25" t="str">
        <f aca="false">IF(OR(E2336="",E2336="!!!"),"",IF(NOT(ISNA(VLOOKUP(E2336,E$1:E2335,1,FALSE()))),"OLD",IF(AND(E2336&lt;&gt;"",E2336&lt;&gt;"!!!"),"NEW","")))</f>
        <v/>
      </c>
      <c r="G2336" s="26" t="str">
        <f aca="false">IF(OR(E2336="",E2336="!!!"),"",IF(OR(J2336=0,AND(J2336=1,K2336=1),AND(J2336=1,I2336="SBJ"),AND(J2336=1,I2336=0)),"?IN_FOCUS",IF(J2336&lt;=2,"?ACTIVATED",IF(J2336&lt;&gt;"","?FAMILIAR",IF(F2336="NEW",IF(ISNA(VLOOKUP(E2336,#REF!,1,FALSE())),"?TYPE_IDENTIFIABLE","?REFERENTIAL"),"_")))))</f>
        <v/>
      </c>
      <c r="H2336" s="27" t="str">
        <f aca="false">IF(J2336&lt;&gt;1,"",IF(I2336="SBJ","CB","?"))</f>
        <v/>
      </c>
      <c r="I2336" s="24" t="str">
        <f aca="false">IF(OR(E2336="",E2336="!!!",F2336="NEW"),"",INDEX(B11:B$2326,-1+SUMPRODUCT(MAX(ROW(E11:E$2326)*(E2336=E11:E$2326)))))</f>
        <v/>
      </c>
      <c r="J2336" s="24" t="str">
        <f aca="true">IF(OR(E2336="",E2336="!!!",F2336="NEW"),"",COUNTBLANK(OFFSET(A$1,,,SUMPRODUCT(MAX(ROW(E$2:E2336)*(E2336=E$2:E2336)))))-COUNTBLANK(OFFSET(A$1,,,SUMPRODUCT(MAX(ROW(E$1:E2335)*(E2=E$1:E2335))))))</f>
        <v/>
      </c>
      <c r="K2336" s="24" t="str">
        <f aca="false">IF(OR(E2336="",E2336="!!!",F2336="NEW"),"",INDEX(J$1:J2335,SUMPRODUCT(MAX(ROW(E$1:E2335)*(E2336=E$1:E2335)))))</f>
        <v/>
      </c>
      <c r="L2336" s="31"/>
    </row>
    <row r="2337" customFormat="false" ht="15" hidden="false" customHeight="false" outlineLevel="0" collapsed="false">
      <c r="A2337" s="20" t="s">
        <v>1232</v>
      </c>
      <c r="E2337" s="23" t="str">
        <f aca="false">IF(D2337="?OLD","!!!","")</f>
        <v/>
      </c>
      <c r="F2337" s="25" t="str">
        <f aca="false">IF(OR(E2337="",E2337="!!!"),"",IF(NOT(ISNA(VLOOKUP(E2337,E$1:E2336,1,FALSE()))),"OLD",IF(AND(E2337&lt;&gt;"",E2337&lt;&gt;"!!!"),"NEW","")))</f>
        <v/>
      </c>
      <c r="G2337" s="26" t="str">
        <f aca="false">IF(OR(E2337="",E2337="!!!"),"",IF(OR(J2337=0,AND(J2337=1,K2337=1),AND(J2337=1,I2337="SBJ"),AND(J2337=1,I2337=0)),"?IN_FOCUS",IF(J2337&lt;=2,"?ACTIVATED",IF(J2337&lt;&gt;"","?FAMILIAR",IF(F2337="NEW",IF(ISNA(VLOOKUP(E2337,#REF!,1,FALSE())),"?TYPE_IDENTIFIABLE","?REFERENTIAL"),"_")))))</f>
        <v/>
      </c>
      <c r="H2337" s="27" t="str">
        <f aca="false">IF(J2337&lt;&gt;1,"",IF(I2337="SBJ","CB","?"))</f>
        <v/>
      </c>
      <c r="I2337" s="24" t="str">
        <f aca="false">IF(OR(E2337="",E2337="!!!",F2337="NEW"),"",INDEX(B12:B$2326,-1+SUMPRODUCT(MAX(ROW(E12:E$2326)*(E2337=E12:E$2326)))))</f>
        <v/>
      </c>
      <c r="J2337" s="24" t="str">
        <f aca="true">IF(OR(E2337="",E2337="!!!",F2337="NEW"),"",COUNTBLANK(OFFSET(A$1,,,SUMPRODUCT(MAX(ROW(E$2:E2337)*(E2337=E$2:E2337)))))-COUNTBLANK(OFFSET(A$1,,,SUMPRODUCT(MAX(ROW(E$1:E2336)*(E2=E$1:E2336))))))</f>
        <v/>
      </c>
      <c r="K2337" s="24" t="str">
        <f aca="false">IF(OR(E2337="",E2337="!!!",F2337="NEW"),"",INDEX(J$1:J2336,SUMPRODUCT(MAX(ROW(E$1:E2336)*(E2337=E$1:E2336)))))</f>
        <v/>
      </c>
      <c r="L2337" s="31"/>
    </row>
    <row r="2338" customFormat="false" ht="15" hidden="false" customHeight="false" outlineLevel="0" collapsed="false">
      <c r="A2338" s="20" t="s">
        <v>1076</v>
      </c>
      <c r="E2338" s="23" t="str">
        <f aca="false">IF(D2338="?OLD","!!!","")</f>
        <v/>
      </c>
      <c r="F2338" s="25" t="str">
        <f aca="false">IF(OR(E2338="",E2338="!!!"),"",IF(NOT(ISNA(VLOOKUP(E2338,E$1:E2337,1,FALSE()))),"OLD",IF(AND(E2338&lt;&gt;"",E2338&lt;&gt;"!!!"),"NEW","")))</f>
        <v/>
      </c>
      <c r="G2338" s="26" t="str">
        <f aca="false">IF(OR(E2338="",E2338="!!!"),"",IF(OR(J2338=0,AND(J2338=1,K2338=1),AND(J2338=1,I2338="SBJ"),AND(J2338=1,I2338=0)),"?IN_FOCUS",IF(J2338&lt;=2,"?ACTIVATED",IF(J2338&lt;&gt;"","?FAMILIAR",IF(F2338="NEW",IF(ISNA(VLOOKUP(E2338,#REF!,1,FALSE())),"?TYPE_IDENTIFIABLE","?REFERENTIAL"),"_")))))</f>
        <v/>
      </c>
      <c r="H2338" s="27" t="str">
        <f aca="false">IF(J2338&lt;&gt;1,"",IF(I2338="SBJ","CB","?"))</f>
        <v/>
      </c>
      <c r="I2338" s="24" t="str">
        <f aca="false">IF(OR(E2338="",E2338="!!!",F2338="NEW"),"",INDEX(B13:B$2326,-1+SUMPRODUCT(MAX(ROW(E13:E$2326)*(E2338=E13:E$2326)))))</f>
        <v/>
      </c>
      <c r="J2338" s="24" t="str">
        <f aca="true">IF(OR(E2338="",E2338="!!!",F2338="NEW"),"",COUNTBLANK(OFFSET(A$1,,,SUMPRODUCT(MAX(ROW(E$2:E2338)*(E2338=E$2:E2338)))))-COUNTBLANK(OFFSET(A$1,,,SUMPRODUCT(MAX(ROW(E$1:E2337)*(E2=E$1:E2337))))))</f>
        <v/>
      </c>
      <c r="K2338" s="24" t="str">
        <f aca="false">IF(OR(E2338="",E2338="!!!",F2338="NEW"),"",INDEX(J$1:J2337,SUMPRODUCT(MAX(ROW(E$1:E2337)*(E2338=E$1:E2337)))))</f>
        <v/>
      </c>
      <c r="L2338" s="31"/>
    </row>
    <row r="2339" customFormat="false" ht="15" hidden="false" customHeight="false" outlineLevel="0" collapsed="false">
      <c r="A2339" s="20" t="s">
        <v>1097</v>
      </c>
      <c r="B2339" s="22" t="s">
        <v>1073</v>
      </c>
      <c r="C2339" s="22" t="s">
        <v>1099</v>
      </c>
      <c r="D2339" s="22" t="s">
        <v>1060</v>
      </c>
      <c r="E2339" s="23" t="str">
        <f aca="false">IF(D2339="?OLD","!!!","")</f>
        <v>!!!</v>
      </c>
      <c r="F2339" s="25" t="str">
        <f aca="false">IF(OR(E2339="",E2339="!!!"),"",IF(NOT(ISNA(VLOOKUP(E2339,E$1:E2338,1,FALSE()))),"OLD",IF(AND(E2339&lt;&gt;"",E2339&lt;&gt;"!!!"),"NEW","")))</f>
        <v/>
      </c>
      <c r="G2339" s="26" t="str">
        <f aca="false">IF(OR(E2339="",E2339="!!!"),"",IF(OR(J2339=0,AND(J2339=1,K2339=1),AND(J2339=1,I2339="SBJ"),AND(J2339=1,I2339=0)),"?IN_FOCUS",IF(J2339&lt;=2,"?ACTIVATED",IF(J2339&lt;&gt;"","?FAMILIAR",IF(F2339="NEW",IF(ISNA(VLOOKUP(E2339,#REF!,1,FALSE())),"?TYPE_IDENTIFIABLE","?REFERENTIAL"),"_")))))</f>
        <v/>
      </c>
      <c r="H2339" s="27" t="str">
        <f aca="false">IF(J2339&lt;&gt;1,"",IF(I2339="SBJ","CB","?"))</f>
        <v/>
      </c>
      <c r="I2339" s="24" t="str">
        <f aca="false">IF(OR(E2339="",E2339="!!!",F2339="NEW"),"",INDEX(B14:B$2326,-1+SUMPRODUCT(MAX(ROW(E14:E$2326)*(E2339=E14:E$2326)))))</f>
        <v/>
      </c>
      <c r="J2339" s="24" t="str">
        <f aca="true">IF(OR(E2339="",E2339="!!!",F2339="NEW"),"",COUNTBLANK(OFFSET(A$1,,,SUMPRODUCT(MAX(ROW(E$2:E2339)*(E2339=E$2:E2339)))))-COUNTBLANK(OFFSET(A$1,,,SUMPRODUCT(MAX(ROW(E$1:E2338)*(E2=E$1:E2338))))))</f>
        <v/>
      </c>
      <c r="K2339" s="24" t="str">
        <f aca="false">IF(OR(E2339="",E2339="!!!",F2339="NEW"),"",INDEX(J$1:J2338,SUMPRODUCT(MAX(ROW(E$1:E2338)*(E2339=E$1:E2338)))))</f>
        <v/>
      </c>
      <c r="L2339" s="31"/>
    </row>
    <row r="2340" customFormat="false" ht="15" hidden="false" customHeight="false" outlineLevel="0" collapsed="false">
      <c r="A2340" s="20" t="s">
        <v>690</v>
      </c>
      <c r="B2340" s="22" t="s">
        <v>1081</v>
      </c>
      <c r="C2340" s="22" t="s">
        <v>1059</v>
      </c>
      <c r="D2340" s="22" t="s">
        <v>1060</v>
      </c>
      <c r="E2340" s="23" t="str">
        <f aca="false">IF(D2340="?OLD","!!!","")</f>
        <v>!!!</v>
      </c>
      <c r="F2340" s="25" t="str">
        <f aca="false">IF(OR(E2340="",E2340="!!!"),"",IF(NOT(ISNA(VLOOKUP(E2340,E$1:E2339,1,FALSE()))),"OLD",IF(AND(E2340&lt;&gt;"",E2340&lt;&gt;"!!!"),"NEW","")))</f>
        <v/>
      </c>
      <c r="G2340" s="26" t="str">
        <f aca="false">IF(OR(E2340="",E2340="!!!"),"",IF(OR(J2340=0,AND(J2340=1,K2340=1),AND(J2340=1,I2340="SBJ"),AND(J2340=1,I2340=0)),"?IN_FOCUS",IF(J2340&lt;=2,"?ACTIVATED",IF(J2340&lt;&gt;"","?FAMILIAR",IF(F2340="NEW",IF(ISNA(VLOOKUP(E2340,#REF!,1,FALSE())),"?TYPE_IDENTIFIABLE","?REFERENTIAL"),"_")))))</f>
        <v/>
      </c>
      <c r="H2340" s="27" t="str">
        <f aca="false">IF(J2340&lt;&gt;1,"",IF(I2340="SBJ","CB","?"))</f>
        <v/>
      </c>
      <c r="I2340" s="24" t="str">
        <f aca="false">IF(OR(E2340="",E2340="!!!",F2340="NEW"),"",INDEX(B15:B$2326,-1+SUMPRODUCT(MAX(ROW(E15:E$2326)*(E2340=E15:E$2326)))))</f>
        <v/>
      </c>
      <c r="J2340" s="24" t="str">
        <f aca="true">IF(OR(E2340="",E2340="!!!",F2340="NEW"),"",COUNTBLANK(OFFSET(A$1,,,SUMPRODUCT(MAX(ROW(E$2:E2340)*(E2340=E$2:E2340)))))-COUNTBLANK(OFFSET(A$1,,,SUMPRODUCT(MAX(ROW(E$1:E2339)*(E2=E$1:E2339))))))</f>
        <v/>
      </c>
      <c r="K2340" s="24" t="str">
        <f aca="false">IF(OR(E2340="",E2340="!!!",F2340="NEW"),"",INDEX(J$1:J2339,SUMPRODUCT(MAX(ROW(E$1:E2339)*(E2340=E$1:E2339)))))</f>
        <v/>
      </c>
      <c r="L2340" s="31"/>
    </row>
    <row r="2341" customFormat="false" ht="15" hidden="false" customHeight="false" outlineLevel="0" collapsed="false">
      <c r="A2341" s="20" t="s">
        <v>1592</v>
      </c>
      <c r="E2341" s="23" t="str">
        <f aca="false">IF(D2341="?OLD","!!!","")</f>
        <v/>
      </c>
      <c r="F2341" s="25" t="str">
        <f aca="false">IF(OR(E2341="",E2341="!!!"),"",IF(NOT(ISNA(VLOOKUP(E2341,E$1:E2340,1,FALSE()))),"OLD",IF(AND(E2341&lt;&gt;"",E2341&lt;&gt;"!!!"),"NEW","")))</f>
        <v/>
      </c>
      <c r="G2341" s="26" t="str">
        <f aca="false">IF(OR(E2341="",E2341="!!!"),"",IF(OR(J2341=0,AND(J2341=1,K2341=1),AND(J2341=1,I2341="SBJ"),AND(J2341=1,I2341=0)),"?IN_FOCUS",IF(J2341&lt;=2,"?ACTIVATED",IF(J2341&lt;&gt;"","?FAMILIAR",IF(F2341="NEW",IF(ISNA(VLOOKUP(E2341,#REF!,1,FALSE())),"?TYPE_IDENTIFIABLE","?REFERENTIAL"),"_")))))</f>
        <v/>
      </c>
      <c r="H2341" s="27" t="str">
        <f aca="false">IF(J2341&lt;&gt;1,"",IF(I2341="SBJ","CB","?"))</f>
        <v/>
      </c>
      <c r="I2341" s="24" t="str">
        <f aca="false">IF(OR(E2341="",E2341="!!!",F2341="NEW"),"",INDEX(B16:B$2326,-1+SUMPRODUCT(MAX(ROW(E16:E$2326)*(E2341=E16:E$2326)))))</f>
        <v/>
      </c>
      <c r="J2341" s="24" t="str">
        <f aca="true">IF(OR(E2341="",E2341="!!!",F2341="NEW"),"",COUNTBLANK(OFFSET(A$1,,,SUMPRODUCT(MAX(ROW(E$2:E2341)*(E2341=E$2:E2341)))))-COUNTBLANK(OFFSET(A$1,,,SUMPRODUCT(MAX(ROW(E$1:E2340)*(E2=E$1:E2340))))))</f>
        <v/>
      </c>
      <c r="K2341" s="24" t="str">
        <f aca="false">IF(OR(E2341="",E2341="!!!",F2341="NEW"),"",INDEX(J$1:J2340,SUMPRODUCT(MAX(ROW(E$1:E2340)*(E2341=E$1:E2340)))))</f>
        <v/>
      </c>
      <c r="L2341" s="31"/>
    </row>
    <row r="2342" customFormat="false" ht="15" hidden="false" customHeight="false" outlineLevel="0" collapsed="false">
      <c r="A2342" s="20" t="s">
        <v>1173</v>
      </c>
      <c r="E2342" s="23" t="str">
        <f aca="false">IF(D2342="?OLD","!!!","")</f>
        <v/>
      </c>
      <c r="F2342" s="25" t="str">
        <f aca="false">IF(OR(E2342="",E2342="!!!"),"",IF(NOT(ISNA(VLOOKUP(E2342,E$1:E2341,1,FALSE()))),"OLD",IF(AND(E2342&lt;&gt;"",E2342&lt;&gt;"!!!"),"NEW","")))</f>
        <v/>
      </c>
      <c r="G2342" s="26" t="str">
        <f aca="false">IF(OR(E2342="",E2342="!!!"),"",IF(OR(J2342=0,AND(J2342=1,K2342=1),AND(J2342=1,I2342="SBJ"),AND(J2342=1,I2342=0)),"?IN_FOCUS",IF(J2342&lt;=2,"?ACTIVATED",IF(J2342&lt;&gt;"","?FAMILIAR",IF(F2342="NEW",IF(ISNA(VLOOKUP(E2342,#REF!,1,FALSE())),"?TYPE_IDENTIFIABLE","?REFERENTIAL"),"_")))))</f>
        <v/>
      </c>
      <c r="H2342" s="27" t="str">
        <f aca="false">IF(J2342&lt;&gt;1,"",IF(I2342="SBJ","CB","?"))</f>
        <v/>
      </c>
      <c r="I2342" s="24" t="str">
        <f aca="false">IF(OR(E2342="",E2342="!!!",F2342="NEW"),"",INDEX(B17:B$2326,-1+SUMPRODUCT(MAX(ROW(E17:E$2326)*(E2342=E17:E$2326)))))</f>
        <v/>
      </c>
      <c r="J2342" s="24" t="str">
        <f aca="true">IF(OR(E2342="",E2342="!!!",F2342="NEW"),"",COUNTBLANK(OFFSET(A$1,,,SUMPRODUCT(MAX(ROW(E$2:E2342)*(E2342=E$2:E2342)))))-COUNTBLANK(OFFSET(A$1,,,SUMPRODUCT(MAX(ROW(E$1:E2341)*(E2=E$1:E2341))))))</f>
        <v/>
      </c>
      <c r="K2342" s="24" t="str">
        <f aca="false">IF(OR(E2342="",E2342="!!!",F2342="NEW"),"",INDEX(J$1:J2341,SUMPRODUCT(MAX(ROW(E$1:E2341)*(E2342=E$1:E2341)))))</f>
        <v/>
      </c>
      <c r="L2342" s="31"/>
    </row>
    <row r="2343" customFormat="false" ht="15" hidden="false" customHeight="false" outlineLevel="0" collapsed="false">
      <c r="A2343" s="20" t="s">
        <v>1109</v>
      </c>
      <c r="E2343" s="23" t="str">
        <f aca="false">IF(D2343="?OLD","!!!","")</f>
        <v/>
      </c>
      <c r="F2343" s="25" t="str">
        <f aca="false">IF(OR(E2343="",E2343="!!!"),"",IF(NOT(ISNA(VLOOKUP(E2343,E$1:E2342,1,FALSE()))),"OLD",IF(AND(E2343&lt;&gt;"",E2343&lt;&gt;"!!!"),"NEW","")))</f>
        <v/>
      </c>
      <c r="G2343" s="26" t="str">
        <f aca="false">IF(OR(E2343="",E2343="!!!"),"",IF(OR(J2343=0,AND(J2343=1,K2343=1),AND(J2343=1,I2343="SBJ"),AND(J2343=1,I2343=0)),"?IN_FOCUS",IF(J2343&lt;=2,"?ACTIVATED",IF(J2343&lt;&gt;"","?FAMILIAR",IF(F2343="NEW",IF(ISNA(VLOOKUP(E2343,#REF!,1,FALSE())),"?TYPE_IDENTIFIABLE","?REFERENTIAL"),"_")))))</f>
        <v/>
      </c>
      <c r="H2343" s="27" t="str">
        <f aca="false">IF(J2343&lt;&gt;1,"",IF(I2343="SBJ","CB","?"))</f>
        <v/>
      </c>
      <c r="I2343" s="24" t="str">
        <f aca="false">IF(OR(E2343="",E2343="!!!",F2343="NEW"),"",INDEX(B18:B$2326,-1+SUMPRODUCT(MAX(ROW(E18:E$2326)*(E2343=E18:E$2326)))))</f>
        <v/>
      </c>
      <c r="J2343" s="24" t="str">
        <f aca="true">IF(OR(E2343="",E2343="!!!",F2343="NEW"),"",COUNTBLANK(OFFSET(A$1,,,SUMPRODUCT(MAX(ROW(E$2:E2343)*(E2343=E$2:E2343)))))-COUNTBLANK(OFFSET(A$1,,,SUMPRODUCT(MAX(ROW(E$1:E2342)*(E2=E$1:E2342))))))</f>
        <v/>
      </c>
      <c r="K2343" s="24" t="str">
        <f aca="false">IF(OR(E2343="",E2343="!!!",F2343="NEW"),"",INDEX(J$1:J2342,SUMPRODUCT(MAX(ROW(E$1:E2342)*(E2343=E$1:E2342)))))</f>
        <v/>
      </c>
      <c r="L2343" s="31"/>
    </row>
    <row r="2344" customFormat="false" ht="15" hidden="false" customHeight="false" outlineLevel="0" collapsed="false">
      <c r="A2344" s="20" t="s">
        <v>1830</v>
      </c>
      <c r="B2344" s="22" t="s">
        <v>1073</v>
      </c>
      <c r="C2344" s="22" t="s">
        <v>1150</v>
      </c>
      <c r="D2344" s="22" t="s">
        <v>1060</v>
      </c>
      <c r="E2344" s="23" t="str">
        <f aca="false">IF(D2344="?OLD","!!!","")</f>
        <v>!!!</v>
      </c>
      <c r="F2344" s="25" t="str">
        <f aca="false">IF(OR(E2344="",E2344="!!!"),"",IF(NOT(ISNA(VLOOKUP(E2344,E$1:E2343,1,FALSE()))),"OLD",IF(AND(E2344&lt;&gt;"",E2344&lt;&gt;"!!!"),"NEW","")))</f>
        <v/>
      </c>
      <c r="G2344" s="26" t="str">
        <f aca="false">IF(OR(E2344="",E2344="!!!"),"",IF(OR(J2344=0,AND(J2344=1,K2344=1),AND(J2344=1,I2344="SBJ"),AND(J2344=1,I2344=0)),"?IN_FOCUS",IF(J2344&lt;=2,"?ACTIVATED",IF(J2344&lt;&gt;"","?FAMILIAR",IF(F2344="NEW",IF(ISNA(VLOOKUP(E2344,#REF!,1,FALSE())),"?TYPE_IDENTIFIABLE","?REFERENTIAL"),"_")))))</f>
        <v/>
      </c>
      <c r="H2344" s="27" t="str">
        <f aca="false">IF(J2344&lt;&gt;1,"",IF(I2344="SBJ","CB","?"))</f>
        <v/>
      </c>
      <c r="I2344" s="24" t="str">
        <f aca="false">IF(OR(E2344="",E2344="!!!",F2344="NEW"),"",INDEX(B19:B$2326,-1+SUMPRODUCT(MAX(ROW(E19:E$2326)*(E2344=E19:E$2326)))))</f>
        <v/>
      </c>
      <c r="J2344" s="24" t="str">
        <f aca="true">IF(OR(E2344="",E2344="!!!",F2344="NEW"),"",COUNTBLANK(OFFSET(A$1,,,SUMPRODUCT(MAX(ROW(E$2:E2344)*(E2344=E$2:E2344)))))-COUNTBLANK(OFFSET(A$1,,,SUMPRODUCT(MAX(ROW(E$1:E2343)*(E2=E$1:E2343))))))</f>
        <v/>
      </c>
      <c r="K2344" s="24" t="str">
        <f aca="false">IF(OR(E2344="",E2344="!!!",F2344="NEW"),"",INDEX(J$1:J2343,SUMPRODUCT(MAX(ROW(E$1:E2343)*(E2344=E$1:E2343)))))</f>
        <v/>
      </c>
      <c r="L2344" s="31"/>
    </row>
    <row r="2345" customFormat="false" ht="15" hidden="false" customHeight="false" outlineLevel="0" collapsed="false">
      <c r="A2345" s="20" t="s">
        <v>1076</v>
      </c>
      <c r="E2345" s="23" t="str">
        <f aca="false">IF(D2345="?OLD","!!!","")</f>
        <v/>
      </c>
      <c r="F2345" s="25" t="str">
        <f aca="false">IF(OR(E2345="",E2345="!!!"),"",IF(NOT(ISNA(VLOOKUP(E2345,E$1:E2344,1,FALSE()))),"OLD",IF(AND(E2345&lt;&gt;"",E2345&lt;&gt;"!!!"),"NEW","")))</f>
        <v/>
      </c>
      <c r="G2345" s="26" t="str">
        <f aca="false">IF(OR(E2345="",E2345="!!!"),"",IF(OR(J2345=0,AND(J2345=1,K2345=1),AND(J2345=1,I2345="SBJ"),AND(J2345=1,I2345=0)),"?IN_FOCUS",IF(J2345&lt;=2,"?ACTIVATED",IF(J2345&lt;&gt;"","?FAMILIAR",IF(F2345="NEW",IF(ISNA(VLOOKUP(E2345,#REF!,1,FALSE())),"?TYPE_IDENTIFIABLE","?REFERENTIAL"),"_")))))</f>
        <v/>
      </c>
      <c r="H2345" s="27" t="str">
        <f aca="false">IF(J2345&lt;&gt;1,"",IF(I2345="SBJ","CB","?"))</f>
        <v/>
      </c>
      <c r="I2345" s="24" t="str">
        <f aca="false">IF(OR(E2345="",E2345="!!!",F2345="NEW"),"",INDEX(B20:B$2326,-1+SUMPRODUCT(MAX(ROW(E20:E$2326)*(E2345=E20:E$2326)))))</f>
        <v/>
      </c>
      <c r="J2345" s="24" t="str">
        <f aca="true">IF(OR(E2345="",E2345="!!!",F2345="NEW"),"",COUNTBLANK(OFFSET(A$1,,,SUMPRODUCT(MAX(ROW(E$2:E2345)*(E2345=E$2:E2345)))))-COUNTBLANK(OFFSET(A$1,,,SUMPRODUCT(MAX(ROW(E$1:E2344)*(E2=E$1:E2344))))))</f>
        <v/>
      </c>
      <c r="K2345" s="24" t="str">
        <f aca="false">IF(OR(E2345="",E2345="!!!",F2345="NEW"),"",INDEX(J$1:J2344,SUMPRODUCT(MAX(ROW(E$1:E2344)*(E2345=E$1:E2344)))))</f>
        <v/>
      </c>
      <c r="L2345" s="31"/>
    </row>
    <row r="2346" customFormat="false" ht="15" hidden="false" customHeight="false" outlineLevel="0" collapsed="false">
      <c r="A2346" s="20" t="s">
        <v>1097</v>
      </c>
      <c r="B2346" s="22" t="s">
        <v>1067</v>
      </c>
      <c r="C2346" s="22" t="s">
        <v>1099</v>
      </c>
      <c r="D2346" s="22" t="s">
        <v>1060</v>
      </c>
      <c r="E2346" s="23" t="str">
        <f aca="false">IF(D2346="?OLD","!!!","")</f>
        <v>!!!</v>
      </c>
      <c r="F2346" s="25" t="str">
        <f aca="false">IF(OR(E2346="",E2346="!!!"),"",IF(NOT(ISNA(VLOOKUP(E2346,E$1:E2345,1,FALSE()))),"OLD",IF(AND(E2346&lt;&gt;"",E2346&lt;&gt;"!!!"),"NEW","")))</f>
        <v/>
      </c>
      <c r="G2346" s="26" t="str">
        <f aca="false">IF(OR(E2346="",E2346="!!!"),"",IF(OR(J2346=0,AND(J2346=1,K2346=1),AND(J2346=1,I2346="SBJ"),AND(J2346=1,I2346=0)),"?IN_FOCUS",IF(J2346&lt;=2,"?ACTIVATED",IF(J2346&lt;&gt;"","?FAMILIAR",IF(F2346="NEW",IF(ISNA(VLOOKUP(E2346,#REF!,1,FALSE())),"?TYPE_IDENTIFIABLE","?REFERENTIAL"),"_")))))</f>
        <v/>
      </c>
      <c r="H2346" s="27" t="str">
        <f aca="false">IF(J2346&lt;&gt;1,"",IF(I2346="SBJ","CB","?"))</f>
        <v/>
      </c>
      <c r="I2346" s="24" t="str">
        <f aca="false">IF(OR(E2346="",E2346="!!!",F2346="NEW"),"",INDEX(B21:B$2326,-1+SUMPRODUCT(MAX(ROW(E21:E$2326)*(E2346=E21:E$2326)))))</f>
        <v/>
      </c>
      <c r="J2346" s="24" t="str">
        <f aca="true">IF(OR(E2346="",E2346="!!!",F2346="NEW"),"",COUNTBLANK(OFFSET(A$1,,,SUMPRODUCT(MAX(ROW(E$2:E2346)*(E2346=E$2:E2346)))))-COUNTBLANK(OFFSET(A$1,,,SUMPRODUCT(MAX(ROW(E$1:E2345)*(E2=E$1:E2345))))))</f>
        <v/>
      </c>
      <c r="K2346" s="24" t="str">
        <f aca="false">IF(OR(E2346="",E2346="!!!",F2346="NEW"),"",INDEX(J$1:J2345,SUMPRODUCT(MAX(ROW(E$1:E2345)*(E2346=E$1:E2345)))))</f>
        <v/>
      </c>
      <c r="L2346" s="31"/>
    </row>
    <row r="2347" customFormat="false" ht="15" hidden="false" customHeight="false" outlineLevel="0" collapsed="false">
      <c r="A2347" s="20" t="s">
        <v>1734</v>
      </c>
      <c r="B2347" s="22" t="s">
        <v>1073</v>
      </c>
      <c r="C2347" s="22" t="s">
        <v>1059</v>
      </c>
      <c r="D2347" s="22" t="s">
        <v>1060</v>
      </c>
      <c r="E2347" s="23" t="str">
        <f aca="false">IF(D2347="?OLD","!!!","")</f>
        <v>!!!</v>
      </c>
      <c r="F2347" s="25" t="str">
        <f aca="false">IF(OR(E2347="",E2347="!!!"),"",IF(NOT(ISNA(VLOOKUP(E2347,E$1:E2346,1,FALSE()))),"OLD",IF(AND(E2347&lt;&gt;"",E2347&lt;&gt;"!!!"),"NEW","")))</f>
        <v/>
      </c>
      <c r="G2347" s="26" t="str">
        <f aca="false">IF(OR(E2347="",E2347="!!!"),"",IF(OR(J2347=0,AND(J2347=1,K2347=1),AND(J2347=1,I2347="SBJ"),AND(J2347=1,I2347=0)),"?IN_FOCUS",IF(J2347&lt;=2,"?ACTIVATED",IF(J2347&lt;&gt;"","?FAMILIAR",IF(F2347="NEW",IF(ISNA(VLOOKUP(E2347,#REF!,1,FALSE())),"?TYPE_IDENTIFIABLE","?REFERENTIAL"),"_")))))</f>
        <v/>
      </c>
      <c r="H2347" s="27" t="str">
        <f aca="false">IF(J2347&lt;&gt;1,"",IF(I2347="SBJ","CB","?"))</f>
        <v/>
      </c>
      <c r="I2347" s="24" t="str">
        <f aca="false">IF(OR(E2347="",E2347="!!!",F2347="NEW"),"",INDEX(B22:B$2326,-1+SUMPRODUCT(MAX(ROW(E22:E$2326)*(E2347=E22:E$2326)))))</f>
        <v/>
      </c>
      <c r="J2347" s="24" t="str">
        <f aca="true">IF(OR(E2347="",E2347="!!!",F2347="NEW"),"",COUNTBLANK(OFFSET(A$1,,,SUMPRODUCT(MAX(ROW(E$2:E2347)*(E2347=E$2:E2347)))))-COUNTBLANK(OFFSET(A$1,,,SUMPRODUCT(MAX(ROW(E$1:E2346)*(E2=E$1:E2346))))))</f>
        <v/>
      </c>
      <c r="K2347" s="24" t="str">
        <f aca="false">IF(OR(E2347="",E2347="!!!",F2347="NEW"),"",INDEX(J$1:J2346,SUMPRODUCT(MAX(ROW(E$1:E2346)*(E2347=E$1:E2346)))))</f>
        <v/>
      </c>
      <c r="L2347" s="31"/>
    </row>
    <row r="2348" customFormat="false" ht="15" hidden="false" customHeight="false" outlineLevel="0" collapsed="false">
      <c r="A2348" s="20" t="s">
        <v>1913</v>
      </c>
      <c r="E2348" s="23" t="str">
        <f aca="false">IF(D2348="?OLD","!!!","")</f>
        <v/>
      </c>
      <c r="F2348" s="25" t="str">
        <f aca="false">IF(OR(E2348="",E2348="!!!"),"",IF(NOT(ISNA(VLOOKUP(E2348,E$1:E2347,1,FALSE()))),"OLD",IF(AND(E2348&lt;&gt;"",E2348&lt;&gt;"!!!"),"NEW","")))</f>
        <v/>
      </c>
      <c r="G2348" s="26" t="str">
        <f aca="false">IF(OR(E2348="",E2348="!!!"),"",IF(OR(J2348=0,AND(J2348=1,K2348=1),AND(J2348=1,I2348="SBJ"),AND(J2348=1,I2348=0)),"?IN_FOCUS",IF(J2348&lt;=2,"?ACTIVATED",IF(J2348&lt;&gt;"","?FAMILIAR",IF(F2348="NEW",IF(ISNA(VLOOKUP(E2348,#REF!,1,FALSE())),"?TYPE_IDENTIFIABLE","?REFERENTIAL"),"_")))))</f>
        <v/>
      </c>
      <c r="H2348" s="27" t="str">
        <f aca="false">IF(J2348&lt;&gt;1,"",IF(I2348="SBJ","CB","?"))</f>
        <v/>
      </c>
      <c r="I2348" s="24" t="str">
        <f aca="false">IF(OR(E2348="",E2348="!!!",F2348="NEW"),"",INDEX(B23:B$2326,-1+SUMPRODUCT(MAX(ROW(E23:E$2326)*(E2348=E23:E$2326)))))</f>
        <v/>
      </c>
      <c r="J2348" s="24" t="str">
        <f aca="true">IF(OR(E2348="",E2348="!!!",F2348="NEW"),"",COUNTBLANK(OFFSET(A$1,,,SUMPRODUCT(MAX(ROW(E$2:E2348)*(E2348=E$2:E2348)))))-COUNTBLANK(OFFSET(A$1,,,SUMPRODUCT(MAX(ROW(E$1:E2347)*(E2=E$1:E2347))))))</f>
        <v/>
      </c>
      <c r="K2348" s="24" t="str">
        <f aca="false">IF(OR(E2348="",E2348="!!!",F2348="NEW"),"",INDEX(J$1:J2347,SUMPRODUCT(MAX(ROW(E$1:E2347)*(E2348=E$1:E2347)))))</f>
        <v/>
      </c>
      <c r="L2348" s="31"/>
    </row>
    <row r="2349" customFormat="false" ht="15" hidden="false" customHeight="false" outlineLevel="0" collapsed="false">
      <c r="A2349" s="20" t="s">
        <v>1173</v>
      </c>
      <c r="E2349" s="23" t="str">
        <f aca="false">IF(D2349="?OLD","!!!","")</f>
        <v/>
      </c>
      <c r="F2349" s="25" t="str">
        <f aca="false">IF(OR(E2349="",E2349="!!!"),"",IF(NOT(ISNA(VLOOKUP(E2349,E$1:E2348,1,FALSE()))),"OLD",IF(AND(E2349&lt;&gt;"",E2349&lt;&gt;"!!!"),"NEW","")))</f>
        <v/>
      </c>
      <c r="G2349" s="26" t="str">
        <f aca="false">IF(OR(E2349="",E2349="!!!"),"",IF(OR(J2349=0,AND(J2349=1,K2349=1),AND(J2349=1,I2349="SBJ"),AND(J2349=1,I2349=0)),"?IN_FOCUS",IF(J2349&lt;=2,"?ACTIVATED",IF(J2349&lt;&gt;"","?FAMILIAR",IF(F2349="NEW",IF(ISNA(VLOOKUP(E2349,#REF!,1,FALSE())),"?TYPE_IDENTIFIABLE","?REFERENTIAL"),"_")))))</f>
        <v/>
      </c>
      <c r="H2349" s="27" t="str">
        <f aca="false">IF(J2349&lt;&gt;1,"",IF(I2349="SBJ","CB","?"))</f>
        <v/>
      </c>
      <c r="I2349" s="24" t="str">
        <f aca="false">IF(OR(E2349="",E2349="!!!",F2349="NEW"),"",INDEX(B24:B$2326,-1+SUMPRODUCT(MAX(ROW(E24:E$2326)*(E2349=E24:E$2326)))))</f>
        <v/>
      </c>
      <c r="J2349" s="24" t="str">
        <f aca="true">IF(OR(E2349="",E2349="!!!",F2349="NEW"),"",COUNTBLANK(OFFSET(A$1,,,SUMPRODUCT(MAX(ROW(E$2:E2349)*(E2349=E$2:E2349)))))-COUNTBLANK(OFFSET(A$1,,,SUMPRODUCT(MAX(ROW(E$1:E2348)*(E2=E$1:E2348))))))</f>
        <v/>
      </c>
      <c r="K2349" s="24" t="str">
        <f aca="false">IF(OR(E2349="",E2349="!!!",F2349="NEW"),"",INDEX(J$1:J2348,SUMPRODUCT(MAX(ROW(E$1:E2348)*(E2349=E$1:E2348)))))</f>
        <v/>
      </c>
      <c r="L2349" s="31"/>
    </row>
    <row r="2350" customFormat="false" ht="15" hidden="false" customHeight="false" outlineLevel="0" collapsed="false">
      <c r="A2350" s="20" t="s">
        <v>1823</v>
      </c>
      <c r="B2350" s="22" t="s">
        <v>1107</v>
      </c>
      <c r="C2350" s="22" t="s">
        <v>1160</v>
      </c>
      <c r="E2350" s="23" t="str">
        <f aca="false">IF(D2350="?OLD","!!!","")</f>
        <v/>
      </c>
      <c r="F2350" s="25" t="str">
        <f aca="false">IF(OR(E2350="",E2350="!!!"),"",IF(NOT(ISNA(VLOOKUP(E2350,E$1:E2349,1,FALSE()))),"OLD",IF(AND(E2350&lt;&gt;"",E2350&lt;&gt;"!!!"),"NEW","")))</f>
        <v/>
      </c>
      <c r="G2350" s="26" t="str">
        <f aca="false">IF(OR(E2350="",E2350="!!!"),"",IF(OR(J2350=0,AND(J2350=1,K2350=1),AND(J2350=1,I2350="SBJ"),AND(J2350=1,I2350=0)),"?IN_FOCUS",IF(J2350&lt;=2,"?ACTIVATED",IF(J2350&lt;&gt;"","?FAMILIAR",IF(F2350="NEW",IF(ISNA(VLOOKUP(E2350,#REF!,1,FALSE())),"?TYPE_IDENTIFIABLE","?REFERENTIAL"),"_")))))</f>
        <v/>
      </c>
      <c r="H2350" s="27" t="str">
        <f aca="false">IF(J2350&lt;&gt;1,"",IF(I2350="SBJ","CB","?"))</f>
        <v/>
      </c>
      <c r="I2350" s="24" t="str">
        <f aca="false">IF(OR(E2350="",E2350="!!!",F2350="NEW"),"",INDEX(B25:B$2326,-1+SUMPRODUCT(MAX(ROW(E25:E$2326)*(E2350=E25:E$2326)))))</f>
        <v/>
      </c>
      <c r="J2350" s="24" t="str">
        <f aca="true">IF(OR(E2350="",E2350="!!!",F2350="NEW"),"",COUNTBLANK(OFFSET(A$1,,,SUMPRODUCT(MAX(ROW(E$2:E2350)*(E2350=E$2:E2350)))))-COUNTBLANK(OFFSET(A$1,,,SUMPRODUCT(MAX(ROW(E$1:E2349)*(E2=E$1:E2349))))))</f>
        <v/>
      </c>
      <c r="K2350" s="24" t="str">
        <f aca="false">IF(OR(E2350="",E2350="!!!",F2350="NEW"),"",INDEX(J$1:J2349,SUMPRODUCT(MAX(ROW(E$1:E2349)*(E2350=E$1:E2349)))))</f>
        <v/>
      </c>
      <c r="L2350" s="31"/>
    </row>
    <row r="2351" customFormat="false" ht="15" hidden="false" customHeight="false" outlineLevel="0" collapsed="false">
      <c r="A2351" s="20" t="s">
        <v>1076</v>
      </c>
      <c r="E2351" s="23" t="str">
        <f aca="false">IF(D2351="?OLD","!!!","")</f>
        <v/>
      </c>
      <c r="F2351" s="25" t="str">
        <f aca="false">IF(OR(E2351="",E2351="!!!"),"",IF(NOT(ISNA(VLOOKUP(E2351,E$1:E2350,1,FALSE()))),"OLD",IF(AND(E2351&lt;&gt;"",E2351&lt;&gt;"!!!"),"NEW","")))</f>
        <v/>
      </c>
      <c r="G2351" s="26" t="str">
        <f aca="false">IF(OR(E2351="",E2351="!!!"),"",IF(OR(J2351=0,AND(J2351=1,K2351=1),AND(J2351=1,I2351="SBJ"),AND(J2351=1,I2351=0)),"?IN_FOCUS",IF(J2351&lt;=2,"?ACTIVATED",IF(J2351&lt;&gt;"","?FAMILIAR",IF(F2351="NEW",IF(ISNA(VLOOKUP(E2351,#REF!,1,FALSE())),"?TYPE_IDENTIFIABLE","?REFERENTIAL"),"_")))))</f>
        <v/>
      </c>
      <c r="H2351" s="27" t="str">
        <f aca="false">IF(J2351&lt;&gt;1,"",IF(I2351="SBJ","CB","?"))</f>
        <v/>
      </c>
      <c r="I2351" s="24" t="str">
        <f aca="false">IF(OR(E2351="",E2351="!!!",F2351="NEW"),"",INDEX(B26:B$2326,-1+SUMPRODUCT(MAX(ROW(E26:E$2326)*(E2351=E26:E$2326)))))</f>
        <v/>
      </c>
      <c r="J2351" s="24" t="str">
        <f aca="true">IF(OR(E2351="",E2351="!!!",F2351="NEW"),"",COUNTBLANK(OFFSET(A$1,,,SUMPRODUCT(MAX(ROW(E$2:E2351)*(E2351=E$2:E2351)))))-COUNTBLANK(OFFSET(A$1,,,SUMPRODUCT(MAX(ROW(E$1:E2350)*(E2=E$1:E2350))))))</f>
        <v/>
      </c>
      <c r="K2351" s="24" t="str">
        <f aca="false">IF(OR(E2351="",E2351="!!!",F2351="NEW"),"",INDEX(J$1:J2350,SUMPRODUCT(MAX(ROW(E$1:E2350)*(E2351=E$1:E2350)))))</f>
        <v/>
      </c>
      <c r="L2351" s="31"/>
    </row>
    <row r="2352" customFormat="false" ht="15" hidden="false" customHeight="false" outlineLevel="0" collapsed="false">
      <c r="A2352" s="20" t="s">
        <v>1914</v>
      </c>
      <c r="E2352" s="23" t="str">
        <f aca="false">IF(D2352="?OLD","!!!","")</f>
        <v/>
      </c>
      <c r="F2352" s="25" t="str">
        <f aca="false">IF(OR(E2352="",E2352="!!!"),"",IF(NOT(ISNA(VLOOKUP(E2352,E$1:E2351,1,FALSE()))),"OLD",IF(AND(E2352&lt;&gt;"",E2352&lt;&gt;"!!!"),"NEW","")))</f>
        <v/>
      </c>
      <c r="G2352" s="26" t="str">
        <f aca="false">IF(OR(E2352="",E2352="!!!"),"",IF(OR(J2352=0,AND(J2352=1,K2352=1),AND(J2352=1,I2352="SBJ"),AND(J2352=1,I2352=0)),"?IN_FOCUS",IF(J2352&lt;=2,"?ACTIVATED",IF(J2352&lt;&gt;"","?FAMILIAR",IF(F2352="NEW",IF(ISNA(VLOOKUP(E2352,#REF!,1,FALSE())),"?TYPE_IDENTIFIABLE","?REFERENTIAL"),"_")))))</f>
        <v/>
      </c>
      <c r="H2352" s="27" t="str">
        <f aca="false">IF(J2352&lt;&gt;1,"",IF(I2352="SBJ","CB","?"))</f>
        <v/>
      </c>
      <c r="I2352" s="24" t="str">
        <f aca="false">IF(OR(E2352="",E2352="!!!",F2352="NEW"),"",INDEX(B27:B$2326,-1+SUMPRODUCT(MAX(ROW(E27:E$2326)*(E2352=E27:E$2326)))))</f>
        <v/>
      </c>
      <c r="J2352" s="24" t="str">
        <f aca="true">IF(OR(E2352="",E2352="!!!",F2352="NEW"),"",COUNTBLANK(OFFSET(A$1,,,SUMPRODUCT(MAX(ROW(E$2:E2352)*(E2352=E$2:E2352)))))-COUNTBLANK(OFFSET(A$1,,,SUMPRODUCT(MAX(ROW(E$1:E2351)*(E2=E$1:E2351))))))</f>
        <v/>
      </c>
      <c r="K2352" s="24" t="str">
        <f aca="false">IF(OR(E2352="",E2352="!!!",F2352="NEW"),"",INDEX(J$1:J2351,SUMPRODUCT(MAX(ROW(E$1:E2351)*(E2352=E$1:E2351)))))</f>
        <v/>
      </c>
      <c r="L2352" s="31"/>
    </row>
    <row r="2353" customFormat="false" ht="15" hidden="false" customHeight="false" outlineLevel="0" collapsed="false">
      <c r="A2353" s="20" t="s">
        <v>1915</v>
      </c>
      <c r="E2353" s="23" t="str">
        <f aca="false">IF(D2353="?OLD","!!!","")</f>
        <v/>
      </c>
      <c r="F2353" s="25" t="str">
        <f aca="false">IF(OR(E2353="",E2353="!!!"),"",IF(NOT(ISNA(VLOOKUP(E2353,E$1:E2352,1,FALSE()))),"OLD",IF(AND(E2353&lt;&gt;"",E2353&lt;&gt;"!!!"),"NEW","")))</f>
        <v/>
      </c>
      <c r="G2353" s="26" t="str">
        <f aca="false">IF(OR(E2353="",E2353="!!!"),"",IF(OR(J2353=0,AND(J2353=1,K2353=1),AND(J2353=1,I2353="SBJ"),AND(J2353=1,I2353=0)),"?IN_FOCUS",IF(J2353&lt;=2,"?ACTIVATED",IF(J2353&lt;&gt;"","?FAMILIAR",IF(F2353="NEW",IF(ISNA(VLOOKUP(E2353,#REF!,1,FALSE())),"?TYPE_IDENTIFIABLE","?REFERENTIAL"),"_")))))</f>
        <v/>
      </c>
      <c r="H2353" s="27" t="str">
        <f aca="false">IF(J2353&lt;&gt;1,"",IF(I2353="SBJ","CB","?"))</f>
        <v/>
      </c>
      <c r="I2353" s="24" t="str">
        <f aca="false">IF(OR(E2353="",E2353="!!!",F2353="NEW"),"",INDEX(B28:B$2326,-1+SUMPRODUCT(MAX(ROW(E28:E$2326)*(E2353=E28:E$2326)))))</f>
        <v/>
      </c>
      <c r="J2353" s="24" t="str">
        <f aca="true">IF(OR(E2353="",E2353="!!!",F2353="NEW"),"",COUNTBLANK(OFFSET(A$1,,,SUMPRODUCT(MAX(ROW(E$2:E2353)*(E2353=E$2:E2353)))))-COUNTBLANK(OFFSET(A$1,,,SUMPRODUCT(MAX(ROW(E$1:E2352)*(E2=E$1:E2352))))))</f>
        <v/>
      </c>
      <c r="K2353" s="24" t="str">
        <f aca="false">IF(OR(E2353="",E2353="!!!",F2353="NEW"),"",INDEX(J$1:J2352,SUMPRODUCT(MAX(ROW(E$1:E2352)*(E2353=E$1:E2352)))))</f>
        <v/>
      </c>
      <c r="L2353" s="31"/>
    </row>
    <row r="2354" customFormat="false" ht="15" hidden="false" customHeight="false" outlineLevel="0" collapsed="false">
      <c r="A2354" s="20" t="s">
        <v>1184</v>
      </c>
      <c r="E2354" s="23" t="str">
        <f aca="false">IF(D2354="?OLD","!!!","")</f>
        <v/>
      </c>
      <c r="F2354" s="25" t="str">
        <f aca="false">IF(OR(E2354="",E2354="!!!"),"",IF(NOT(ISNA(VLOOKUP(E2354,E$1:E2353,1,FALSE()))),"OLD",IF(AND(E2354&lt;&gt;"",E2354&lt;&gt;"!!!"),"NEW","")))</f>
        <v/>
      </c>
      <c r="G2354" s="26" t="str">
        <f aca="false">IF(OR(E2354="",E2354="!!!"),"",IF(OR(J2354=0,AND(J2354=1,K2354=1),AND(J2354=1,I2354="SBJ"),AND(J2354=1,I2354=0)),"?IN_FOCUS",IF(J2354&lt;=2,"?ACTIVATED",IF(J2354&lt;&gt;"","?FAMILIAR",IF(F2354="NEW",IF(ISNA(VLOOKUP(E2354,#REF!,1,FALSE())),"?TYPE_IDENTIFIABLE","?REFERENTIAL"),"_")))))</f>
        <v/>
      </c>
      <c r="H2354" s="27" t="str">
        <f aca="false">IF(J2354&lt;&gt;1,"",IF(I2354="SBJ","CB","?"))</f>
        <v/>
      </c>
      <c r="I2354" s="24" t="str">
        <f aca="false">IF(OR(E2354="",E2354="!!!",F2354="NEW"),"",INDEX(B29:B$2326,-1+SUMPRODUCT(MAX(ROW(E29:E$2326)*(E2354=E29:E$2326)))))</f>
        <v/>
      </c>
      <c r="J2354" s="24" t="str">
        <f aca="true">IF(OR(E2354="",E2354="!!!",F2354="NEW"),"",COUNTBLANK(OFFSET(A$1,,,SUMPRODUCT(MAX(ROW(E$2:E2354)*(E2354=E$2:E2354)))))-COUNTBLANK(OFFSET(A$1,,,SUMPRODUCT(MAX(ROW(E$1:E2353)*(E2=E$1:E2353))))))</f>
        <v/>
      </c>
      <c r="K2354" s="24" t="str">
        <f aca="false">IF(OR(E2354="",E2354="!!!",F2354="NEW"),"",INDEX(J$1:J2353,SUMPRODUCT(MAX(ROW(E$1:E2353)*(E2354=E$1:E2353)))))</f>
        <v/>
      </c>
      <c r="L2354" s="31"/>
    </row>
    <row r="2355" customFormat="false" ht="15" hidden="false" customHeight="false" outlineLevel="0" collapsed="false">
      <c r="A2355" s="20" t="s">
        <v>1109</v>
      </c>
      <c r="E2355" s="23" t="str">
        <f aca="false">IF(D2355="?OLD","!!!","")</f>
        <v/>
      </c>
      <c r="F2355" s="25" t="str">
        <f aca="false">IF(OR(E2355="",E2355="!!!"),"",IF(NOT(ISNA(VLOOKUP(E2355,E$1:E2354,1,FALSE()))),"OLD",IF(AND(E2355&lt;&gt;"",E2355&lt;&gt;"!!!"),"NEW","")))</f>
        <v/>
      </c>
      <c r="G2355" s="26" t="str">
        <f aca="false">IF(OR(E2355="",E2355="!!!"),"",IF(OR(J2355=0,AND(J2355=1,K2355=1),AND(J2355=1,I2355="SBJ"),AND(J2355=1,I2355=0)),"?IN_FOCUS",IF(J2355&lt;=2,"?ACTIVATED",IF(J2355&lt;&gt;"","?FAMILIAR",IF(F2355="NEW",IF(ISNA(VLOOKUP(E2355,#REF!,1,FALSE())),"?TYPE_IDENTIFIABLE","?REFERENTIAL"),"_")))))</f>
        <v/>
      </c>
      <c r="H2355" s="27" t="str">
        <f aca="false">IF(J2355&lt;&gt;1,"",IF(I2355="SBJ","CB","?"))</f>
        <v/>
      </c>
      <c r="I2355" s="24" t="str">
        <f aca="false">IF(OR(E2355="",E2355="!!!",F2355="NEW"),"",INDEX(B30:B$2326,-1+SUMPRODUCT(MAX(ROW(E30:E$2326)*(E2355=E30:E$2326)))))</f>
        <v/>
      </c>
      <c r="J2355" s="24" t="str">
        <f aca="true">IF(OR(E2355="",E2355="!!!",F2355="NEW"),"",COUNTBLANK(OFFSET(A$1,,,SUMPRODUCT(MAX(ROW(E$2:E2355)*(E2355=E$2:E2355)))))-COUNTBLANK(OFFSET(A$1,,,SUMPRODUCT(MAX(ROW(E$1:E2354)*(E2=E$1:E2354))))))</f>
        <v/>
      </c>
      <c r="K2355" s="24" t="str">
        <f aca="false">IF(OR(E2355="",E2355="!!!",F2355="NEW"),"",INDEX(J$1:J2354,SUMPRODUCT(MAX(ROW(E$1:E2354)*(E2355=E$1:E2354)))))</f>
        <v/>
      </c>
      <c r="L2355" s="31"/>
    </row>
    <row r="2356" customFormat="false" ht="15" hidden="false" customHeight="false" outlineLevel="0" collapsed="false">
      <c r="A2356" s="20" t="s">
        <v>1916</v>
      </c>
      <c r="E2356" s="23" t="str">
        <f aca="false">IF(D2356="?OLD","!!!","")</f>
        <v/>
      </c>
      <c r="F2356" s="25" t="str">
        <f aca="false">IF(OR(E2356="",E2356="!!!"),"",IF(NOT(ISNA(VLOOKUP(E2356,E$1:E2355,1,FALSE()))),"OLD",IF(AND(E2356&lt;&gt;"",E2356&lt;&gt;"!!!"),"NEW","")))</f>
        <v/>
      </c>
      <c r="G2356" s="26" t="str">
        <f aca="false">IF(OR(E2356="",E2356="!!!"),"",IF(OR(J2356=0,AND(J2356=1,K2356=1),AND(J2356=1,I2356="SBJ"),AND(J2356=1,I2356=0)),"?IN_FOCUS",IF(J2356&lt;=2,"?ACTIVATED",IF(J2356&lt;&gt;"","?FAMILIAR",IF(F2356="NEW",IF(ISNA(VLOOKUP(E2356,#REF!,1,FALSE())),"?TYPE_IDENTIFIABLE","?REFERENTIAL"),"_")))))</f>
        <v/>
      </c>
      <c r="H2356" s="27" t="str">
        <f aca="false">IF(J2356&lt;&gt;1,"",IF(I2356="SBJ","CB","?"))</f>
        <v/>
      </c>
      <c r="I2356" s="24" t="str">
        <f aca="false">IF(OR(E2356="",E2356="!!!",F2356="NEW"),"",INDEX(B31:B$2326,-1+SUMPRODUCT(MAX(ROW(E31:E$2326)*(E2356=E31:E$2326)))))</f>
        <v/>
      </c>
      <c r="J2356" s="24" t="str">
        <f aca="true">IF(OR(E2356="",E2356="!!!",F2356="NEW"),"",COUNTBLANK(OFFSET(A$1,,,SUMPRODUCT(MAX(ROW(E$2:E2356)*(E2356=E$2:E2356)))))-COUNTBLANK(OFFSET(A$1,,,SUMPRODUCT(MAX(ROW(E$1:E2355)*(E2=E$1:E2355))))))</f>
        <v/>
      </c>
      <c r="K2356" s="24" t="str">
        <f aca="false">IF(OR(E2356="",E2356="!!!",F2356="NEW"),"",INDEX(J$1:J2355,SUMPRODUCT(MAX(ROW(E$1:E2355)*(E2356=E$1:E2355)))))</f>
        <v/>
      </c>
      <c r="L2356" s="31"/>
    </row>
    <row r="2357" customFormat="false" ht="15" hidden="false" customHeight="false" outlineLevel="0" collapsed="false">
      <c r="A2357" s="20" t="s">
        <v>267</v>
      </c>
      <c r="B2357" s="22" t="s">
        <v>1098</v>
      </c>
      <c r="C2357" s="22" t="s">
        <v>1150</v>
      </c>
      <c r="D2357" s="22" t="s">
        <v>1060</v>
      </c>
      <c r="E2357" s="23" t="str">
        <f aca="false">IF(D2357="?OLD","!!!","")</f>
        <v>!!!</v>
      </c>
      <c r="F2357" s="25" t="str">
        <f aca="false">IF(OR(E2357="",E2357="!!!"),"",IF(NOT(ISNA(VLOOKUP(E2357,E$1:E2356,1,FALSE()))),"OLD",IF(AND(E2357&lt;&gt;"",E2357&lt;&gt;"!!!"),"NEW","")))</f>
        <v/>
      </c>
      <c r="G2357" s="26" t="str">
        <f aca="false">IF(OR(E2357="",E2357="!!!"),"",IF(OR(J2357=0,AND(J2357=1,K2357=1),AND(J2357=1,I2357="SBJ"),AND(J2357=1,I2357=0)),"?IN_FOCUS",IF(J2357&lt;=2,"?ACTIVATED",IF(J2357&lt;&gt;"","?FAMILIAR",IF(F2357="NEW",IF(ISNA(VLOOKUP(E2357,#REF!,1,FALSE())),"?TYPE_IDENTIFIABLE","?REFERENTIAL"),"_")))))</f>
        <v/>
      </c>
      <c r="H2357" s="27" t="str">
        <f aca="false">IF(J2357&lt;&gt;1,"",IF(I2357="SBJ","CB","?"))</f>
        <v/>
      </c>
      <c r="I2357" s="24" t="str">
        <f aca="false">IF(OR(E2357="",E2357="!!!",F2357="NEW"),"",INDEX(B32:B$2326,-1+SUMPRODUCT(MAX(ROW(E32:E$2326)*(E2357=E32:E$2326)))))</f>
        <v/>
      </c>
      <c r="J2357" s="24" t="str">
        <f aca="true">IF(OR(E2357="",E2357="!!!",F2357="NEW"),"",COUNTBLANK(OFFSET(A$1,,,SUMPRODUCT(MAX(ROW(E$2:E2357)*(E2357=E$2:E2357)))))-COUNTBLANK(OFFSET(A$1,,,SUMPRODUCT(MAX(ROW(E$1:E2356)*(E2=E$1:E2356))))))</f>
        <v/>
      </c>
      <c r="K2357" s="24" t="str">
        <f aca="false">IF(OR(E2357="",E2357="!!!",F2357="NEW"),"",INDEX(J$1:J2356,SUMPRODUCT(MAX(ROW(E$1:E2356)*(E2357=E$1:E2356)))))</f>
        <v/>
      </c>
      <c r="L2357" s="31"/>
    </row>
    <row r="2358" customFormat="false" ht="15" hidden="false" customHeight="false" outlineLevel="0" collapsed="false">
      <c r="A2358" s="20" t="s">
        <v>1125</v>
      </c>
      <c r="B2358" s="22" t="s">
        <v>1134</v>
      </c>
      <c r="E2358" s="23" t="str">
        <f aca="false">IF(D2358="?OLD","!!!","")</f>
        <v/>
      </c>
      <c r="F2358" s="25" t="str">
        <f aca="false">IF(OR(E2358="",E2358="!!!"),"",IF(NOT(ISNA(VLOOKUP(E2358,E$1:E2357,1,FALSE()))),"OLD",IF(AND(E2358&lt;&gt;"",E2358&lt;&gt;"!!!"),"NEW","")))</f>
        <v/>
      </c>
      <c r="G2358" s="26" t="str">
        <f aca="false">IF(OR(E2358="",E2358="!!!"),"",IF(OR(J2358=0,AND(J2358=1,K2358=1),AND(J2358=1,I2358="SBJ"),AND(J2358=1,I2358=0)),"?IN_FOCUS",IF(J2358&lt;=2,"?ACTIVATED",IF(J2358&lt;&gt;"","?FAMILIAR",IF(F2358="NEW",IF(ISNA(VLOOKUP(E2358,#REF!,1,FALSE())),"?TYPE_IDENTIFIABLE","?REFERENTIAL"),"_")))))</f>
        <v/>
      </c>
      <c r="H2358" s="27" t="str">
        <f aca="false">IF(J2358&lt;&gt;1,"",IF(I2358="SBJ","CB","?"))</f>
        <v/>
      </c>
      <c r="I2358" s="24" t="str">
        <f aca="false">IF(OR(E2358="",E2358="!!!",F2358="NEW"),"",INDEX(B33:B$2326,-1+SUMPRODUCT(MAX(ROW(E33:E$2326)*(E2358=E33:E$2326)))))</f>
        <v/>
      </c>
      <c r="J2358" s="24" t="str">
        <f aca="true">IF(OR(E2358="",E2358="!!!",F2358="NEW"),"",COUNTBLANK(OFFSET(A$1,,,SUMPRODUCT(MAX(ROW(E$2:E2358)*(E2358=E$2:E2358)))))-COUNTBLANK(OFFSET(A$1,,,SUMPRODUCT(MAX(ROW(E$1:E2357)*(E2=E$1:E2357))))))</f>
        <v/>
      </c>
      <c r="K2358" s="24" t="str">
        <f aca="false">IF(OR(E2358="",E2358="!!!",F2358="NEW"),"",INDEX(J$1:J2357,SUMPRODUCT(MAX(ROW(E$1:E2357)*(E2358=E$1:E2357)))))</f>
        <v/>
      </c>
      <c r="L2358" s="31"/>
    </row>
    <row r="2359" customFormat="false" ht="15" hidden="false" customHeight="false" outlineLevel="0" collapsed="false">
      <c r="A2359" s="20" t="s">
        <v>1092</v>
      </c>
      <c r="E2359" s="23" t="str">
        <f aca="false">IF(D2359="?OLD","!!!","")</f>
        <v/>
      </c>
      <c r="F2359" s="25" t="str">
        <f aca="false">IF(OR(E2359="",E2359="!!!"),"",IF(NOT(ISNA(VLOOKUP(E2359,E$1:E2358,1,FALSE()))),"OLD",IF(AND(E2359&lt;&gt;"",E2359&lt;&gt;"!!!"),"NEW","")))</f>
        <v/>
      </c>
      <c r="G2359" s="26" t="str">
        <f aca="false">IF(OR(E2359="",E2359="!!!"),"",IF(OR(J2359=0,AND(J2359=1,K2359=1),AND(J2359=1,I2359="SBJ"),AND(J2359=1,I2359=0)),"?IN_FOCUS",IF(J2359&lt;=2,"?ACTIVATED",IF(J2359&lt;&gt;"","?FAMILIAR",IF(F2359="NEW",IF(ISNA(VLOOKUP(E2359,#REF!,1,FALSE())),"?TYPE_IDENTIFIABLE","?REFERENTIAL"),"_")))))</f>
        <v/>
      </c>
      <c r="H2359" s="27" t="str">
        <f aca="false">IF(J2359&lt;&gt;1,"",IF(I2359="SBJ","CB","?"))</f>
        <v/>
      </c>
      <c r="I2359" s="24" t="str">
        <f aca="false">IF(OR(E2359="",E2359="!!!",F2359="NEW"),"",INDEX(B34:B$2326,-1+SUMPRODUCT(MAX(ROW(E34:E$2326)*(E2359=E34:E$2326)))))</f>
        <v/>
      </c>
      <c r="J2359" s="24" t="str">
        <f aca="true">IF(OR(E2359="",E2359="!!!",F2359="NEW"),"",COUNTBLANK(OFFSET(A$1,,,SUMPRODUCT(MAX(ROW(E$2:E2359)*(E2359=E$2:E2359)))))-COUNTBLANK(OFFSET(A$1,,,SUMPRODUCT(MAX(ROW(E$1:E2358)*(E2=E$1:E2358))))))</f>
        <v/>
      </c>
      <c r="K2359" s="24" t="str">
        <f aca="false">IF(OR(E2359="",E2359="!!!",F2359="NEW"),"",INDEX(J$1:J2358,SUMPRODUCT(MAX(ROW(E$1:E2358)*(E2359=E$1:E2358)))))</f>
        <v/>
      </c>
      <c r="L2359" s="31"/>
    </row>
    <row r="2360" customFormat="false" ht="15" hidden="false" customHeight="false" outlineLevel="0" collapsed="false">
      <c r="A2360" s="20" t="s">
        <v>1917</v>
      </c>
      <c r="E2360" s="23" t="str">
        <f aca="false">IF(D2360="?OLD","!!!","")</f>
        <v/>
      </c>
      <c r="F2360" s="25" t="str">
        <f aca="false">IF(OR(E2360="",E2360="!!!"),"",IF(NOT(ISNA(VLOOKUP(E2360,E$1:E2359,1,FALSE()))),"OLD",IF(AND(E2360&lt;&gt;"",E2360&lt;&gt;"!!!"),"NEW","")))</f>
        <v/>
      </c>
      <c r="G2360" s="26" t="str">
        <f aca="false">IF(OR(E2360="",E2360="!!!"),"",IF(OR(J2360=0,AND(J2360=1,K2360=1),AND(J2360=1,I2360="SBJ"),AND(J2360=1,I2360=0)),"?IN_FOCUS",IF(J2360&lt;=2,"?ACTIVATED",IF(J2360&lt;&gt;"","?FAMILIAR",IF(F2360="NEW",IF(ISNA(VLOOKUP(E2360,#REF!,1,FALSE())),"?TYPE_IDENTIFIABLE","?REFERENTIAL"),"_")))))</f>
        <v/>
      </c>
      <c r="H2360" s="27" t="str">
        <f aca="false">IF(J2360&lt;&gt;1,"",IF(I2360="SBJ","CB","?"))</f>
        <v/>
      </c>
      <c r="I2360" s="24" t="str">
        <f aca="false">IF(OR(E2360="",E2360="!!!",F2360="NEW"),"",INDEX(B35:B$2326,-1+SUMPRODUCT(MAX(ROW(E35:E$2326)*(E2360=E35:E$2326)))))</f>
        <v/>
      </c>
      <c r="J2360" s="24" t="str">
        <f aca="true">IF(OR(E2360="",E2360="!!!",F2360="NEW"),"",COUNTBLANK(OFFSET(A$1,,,SUMPRODUCT(MAX(ROW(E$2:E2360)*(E2360=E$2:E2360)))))-COUNTBLANK(OFFSET(A$1,,,SUMPRODUCT(MAX(ROW(E$1:E2359)*(E2=E$1:E2359))))))</f>
        <v/>
      </c>
      <c r="K2360" s="24" t="str">
        <f aca="false">IF(OR(E2360="",E2360="!!!",F2360="NEW"),"",INDEX(J$1:J2359,SUMPRODUCT(MAX(ROW(E$1:E2359)*(E2360=E$1:E2359)))))</f>
        <v/>
      </c>
      <c r="L2360" s="31"/>
    </row>
    <row r="2361" customFormat="false" ht="15" hidden="false" customHeight="false" outlineLevel="0" collapsed="false">
      <c r="A2361" s="20" t="s">
        <v>1137</v>
      </c>
      <c r="B2361" s="22" t="s">
        <v>1320</v>
      </c>
      <c r="C2361" s="22" t="s">
        <v>1082</v>
      </c>
      <c r="D2361" s="22" t="s">
        <v>1060</v>
      </c>
      <c r="E2361" s="23" t="str">
        <f aca="false">IF(D2361="?OLD","!!!","")</f>
        <v>!!!</v>
      </c>
      <c r="F2361" s="25" t="str">
        <f aca="false">IF(OR(E2361="",E2361="!!!"),"",IF(NOT(ISNA(VLOOKUP(E2361,E$1:E2360,1,FALSE()))),"OLD",IF(AND(E2361&lt;&gt;"",E2361&lt;&gt;"!!!"),"NEW","")))</f>
        <v/>
      </c>
      <c r="G2361" s="26" t="str">
        <f aca="false">IF(OR(E2361="",E2361="!!!"),"",IF(OR(J2361=0,AND(J2361=1,K2361=1),AND(J2361=1,I2361="SBJ"),AND(J2361=1,I2361=0)),"?IN_FOCUS",IF(J2361&lt;=2,"?ACTIVATED",IF(J2361&lt;&gt;"","?FAMILIAR",IF(F2361="NEW",IF(ISNA(VLOOKUP(E2361,#REF!,1,FALSE())),"?TYPE_IDENTIFIABLE","?REFERENTIAL"),"_")))))</f>
        <v/>
      </c>
      <c r="H2361" s="27" t="str">
        <f aca="false">IF(J2361&lt;&gt;1,"",IF(I2361="SBJ","CB","?"))</f>
        <v/>
      </c>
      <c r="I2361" s="24" t="str">
        <f aca="false">IF(OR(E2361="",E2361="!!!",F2361="NEW"),"",INDEX(B36:B$2326,-1+SUMPRODUCT(MAX(ROW(E36:E$2326)*(E2361=E36:E$2326)))))</f>
        <v/>
      </c>
      <c r="J2361" s="24" t="str">
        <f aca="true">IF(OR(E2361="",E2361="!!!",F2361="NEW"),"",COUNTBLANK(OFFSET(A$1,,,SUMPRODUCT(MAX(ROW(E$2:E2361)*(E2361=E$2:E2361)))))-COUNTBLANK(OFFSET(A$1,,,SUMPRODUCT(MAX(ROW(E$1:E2360)*(E2=E$1:E2360))))))</f>
        <v/>
      </c>
      <c r="K2361" s="24" t="str">
        <f aca="false">IF(OR(E2361="",E2361="!!!",F2361="NEW"),"",INDEX(J$1:J2360,SUMPRODUCT(MAX(ROW(E$1:E2360)*(E2361=E$1:E2360)))))</f>
        <v/>
      </c>
      <c r="L2361" s="31"/>
    </row>
    <row r="2362" customFormat="false" ht="15" hidden="false" customHeight="false" outlineLevel="0" collapsed="false">
      <c r="A2362" s="20" t="s">
        <v>1283</v>
      </c>
      <c r="E2362" s="23" t="str">
        <f aca="false">IF(D2362="?OLD","!!!","")</f>
        <v/>
      </c>
      <c r="F2362" s="25" t="str">
        <f aca="false">IF(OR(E2362="",E2362="!!!"),"",IF(NOT(ISNA(VLOOKUP(E2362,E$1:E2361,1,FALSE()))),"OLD",IF(AND(E2362&lt;&gt;"",E2362&lt;&gt;"!!!"),"NEW","")))</f>
        <v/>
      </c>
      <c r="G2362" s="26" t="str">
        <f aca="false">IF(OR(E2362="",E2362="!!!"),"",IF(OR(J2362=0,AND(J2362=1,K2362=1),AND(J2362=1,I2362="SBJ"),AND(J2362=1,I2362=0)),"?IN_FOCUS",IF(J2362&lt;=2,"?ACTIVATED",IF(J2362&lt;&gt;"","?FAMILIAR",IF(F2362="NEW",IF(ISNA(VLOOKUP(E2362,#REF!,1,FALSE())),"?TYPE_IDENTIFIABLE","?REFERENTIAL"),"_")))))</f>
        <v/>
      </c>
      <c r="H2362" s="27" t="str">
        <f aca="false">IF(J2362&lt;&gt;1,"",IF(I2362="SBJ","CB","?"))</f>
        <v/>
      </c>
      <c r="I2362" s="24" t="str">
        <f aca="false">IF(OR(E2362="",E2362="!!!",F2362="NEW"),"",INDEX(B37:B$2326,-1+SUMPRODUCT(MAX(ROW(E37:E$2326)*(E2362=E37:E$2326)))))</f>
        <v/>
      </c>
      <c r="J2362" s="24" t="str">
        <f aca="true">IF(OR(E2362="",E2362="!!!",F2362="NEW"),"",COUNTBLANK(OFFSET(A$1,,,SUMPRODUCT(MAX(ROW(E$2:E2362)*(E2362=E$2:E2362)))))-COUNTBLANK(OFFSET(A$1,,,SUMPRODUCT(MAX(ROW(E$1:E2361)*(E2=E$1:E2361))))))</f>
        <v/>
      </c>
      <c r="K2362" s="24" t="str">
        <f aca="false">IF(OR(E2362="",E2362="!!!",F2362="NEW"),"",INDEX(J$1:J2361,SUMPRODUCT(MAX(ROW(E$1:E2361)*(E2362=E$1:E2361)))))</f>
        <v/>
      </c>
      <c r="L2362" s="31"/>
    </row>
    <row r="2363" customFormat="false" ht="15" hidden="false" customHeight="false" outlineLevel="0" collapsed="false">
      <c r="A2363" s="20" t="s">
        <v>923</v>
      </c>
      <c r="E2363" s="23" t="str">
        <f aca="false">IF(D2363="?OLD","!!!","")</f>
        <v/>
      </c>
      <c r="F2363" s="25" t="str">
        <f aca="false">IF(OR(E2363="",E2363="!!!"),"",IF(NOT(ISNA(VLOOKUP(E2363,E$1:E2362,1,FALSE()))),"OLD",IF(AND(E2363&lt;&gt;"",E2363&lt;&gt;"!!!"),"NEW","")))</f>
        <v/>
      </c>
      <c r="G2363" s="26" t="str">
        <f aca="false">IF(OR(E2363="",E2363="!!!"),"",IF(OR(J2363=0,AND(J2363=1,K2363=1),AND(J2363=1,I2363="SBJ"),AND(J2363=1,I2363=0)),"?IN_FOCUS",IF(J2363&lt;=2,"?ACTIVATED",IF(J2363&lt;&gt;"","?FAMILIAR",IF(F2363="NEW",IF(ISNA(VLOOKUP(E2363,#REF!,1,FALSE())),"?TYPE_IDENTIFIABLE","?REFERENTIAL"),"_")))))</f>
        <v/>
      </c>
      <c r="H2363" s="27" t="str">
        <f aca="false">IF(J2363&lt;&gt;1,"",IF(I2363="SBJ","CB","?"))</f>
        <v/>
      </c>
      <c r="I2363" s="24" t="str">
        <f aca="false">IF(OR(E2363="",E2363="!!!",F2363="NEW"),"",INDEX(B38:B$2326,-1+SUMPRODUCT(MAX(ROW(E38:E$2326)*(E2363=E38:E$2326)))))</f>
        <v/>
      </c>
      <c r="J2363" s="24" t="str">
        <f aca="true">IF(OR(E2363="",E2363="!!!",F2363="NEW"),"",COUNTBLANK(OFFSET(A$1,,,SUMPRODUCT(MAX(ROW(E$2:E2363)*(E2363=E$2:E2363)))))-COUNTBLANK(OFFSET(A$1,,,SUMPRODUCT(MAX(ROW(E$1:E2362)*(E2=E$1:E2362))))))</f>
        <v/>
      </c>
      <c r="K2363" s="24" t="str">
        <f aca="false">IF(OR(E2363="",E2363="!!!",F2363="NEW"),"",INDEX(J$1:J2362,SUMPRODUCT(MAX(ROW(E$1:E2362)*(E2363=E$1:E2362)))))</f>
        <v/>
      </c>
      <c r="L2363" s="31"/>
    </row>
    <row r="2364" customFormat="false" ht="15" hidden="false" customHeight="false" outlineLevel="0" collapsed="false">
      <c r="A2364" s="20"/>
    </row>
    <row r="2365" customFormat="false" ht="15" hidden="false" customHeight="false" outlineLevel="0" collapsed="false">
      <c r="A2365" s="20" t="s">
        <v>1918</v>
      </c>
    </row>
    <row r="2366" customFormat="false" ht="15" hidden="false" customHeight="false" outlineLevel="0" collapsed="false">
      <c r="A2366" s="20" t="s">
        <v>1832</v>
      </c>
      <c r="E2366" s="23" t="str">
        <f aca="false">IF(D2366="?OLD","!!!","")</f>
        <v/>
      </c>
      <c r="F2366" s="25" t="str">
        <f aca="false">IF(OR(E2366="",E2366="!!!"),"",IF(NOT(ISNA(VLOOKUP(E2366,E$1:E2365,1,FALSE()))),"OLD",IF(AND(E2366&lt;&gt;"",E2366&lt;&gt;"!!!"),"NEW","")))</f>
        <v/>
      </c>
      <c r="G2366" s="26" t="str">
        <f aca="false">IF(OR(E2366="",E2366="!!!"),"",IF(OR(J2366=0,AND(J2366=1,K2366=1),AND(J2366=1,I2366="SBJ"),AND(J2366=1,I2366=0)),"?IN_FOCUS",IF(J2366&lt;=2,"?ACTIVATED",IF(J2366&lt;&gt;"","?FAMILIAR",IF(F2366="NEW",IF(ISNA(VLOOKUP(E2366,#REF!,1,FALSE())),"?TYPE_IDENTIFIABLE","?REFERENTIAL"),"_")))))</f>
        <v/>
      </c>
      <c r="H2366" s="27" t="str">
        <f aca="false">IF(J2366&lt;&gt;1,"",IF(I2366="SBJ","CB","?"))</f>
        <v/>
      </c>
      <c r="I2366" s="24" t="str">
        <f aca="false">IF(OR(E2366="",E2366="!!!",F2366="NEW"),"",INDEX(B2:B$2365,-1+SUMPRODUCT(MAX(ROW(E2:E$2365)*(E2366=E2:E$2365)))))</f>
        <v/>
      </c>
      <c r="J2366" s="24" t="str">
        <f aca="true">IF(OR(E2366="",E2366="!!!",F2366="NEW"),"",COUNTBLANK(OFFSET(A$1,,,SUMPRODUCT(MAX(ROW(E$2:E2366)*(E2366=E$2:E2366)))))-COUNTBLANK(OFFSET(A$1,,,SUMPRODUCT(MAX(ROW(E$1:E2365)*(E2=E$1:E2365))))))</f>
        <v/>
      </c>
      <c r="K2366" s="24" t="str">
        <f aca="false">IF(OR(E2366="",E2366="!!!",F2366="NEW"),"",INDEX(J$1:J2365,SUMPRODUCT(MAX(ROW(E$1:E2365)*(E2366=E$1:E2365)))))</f>
        <v/>
      </c>
      <c r="L2366" s="31"/>
    </row>
    <row r="2367" customFormat="false" ht="15" hidden="false" customHeight="false" outlineLevel="0" collapsed="false">
      <c r="A2367" s="20" t="s">
        <v>1089</v>
      </c>
      <c r="E2367" s="23" t="str">
        <f aca="false">IF(D2367="?OLD","!!!","")</f>
        <v/>
      </c>
      <c r="F2367" s="25" t="str">
        <f aca="false">IF(OR(E2367="",E2367="!!!"),"",IF(NOT(ISNA(VLOOKUP(E2367,E$1:E2366,1,FALSE()))),"OLD",IF(AND(E2367&lt;&gt;"",E2367&lt;&gt;"!!!"),"NEW","")))</f>
        <v/>
      </c>
      <c r="G2367" s="26" t="str">
        <f aca="false">IF(OR(E2367="",E2367="!!!"),"",IF(OR(J2367=0,AND(J2367=1,K2367=1),AND(J2367=1,I2367="SBJ"),AND(J2367=1,I2367=0)),"?IN_FOCUS",IF(J2367&lt;=2,"?ACTIVATED",IF(J2367&lt;&gt;"","?FAMILIAR",IF(F2367="NEW",IF(ISNA(VLOOKUP(E2367,#REF!,1,FALSE())),"?TYPE_IDENTIFIABLE","?REFERENTIAL"),"_")))))</f>
        <v/>
      </c>
      <c r="H2367" s="27" t="str">
        <f aca="false">IF(J2367&lt;&gt;1,"",IF(I2367="SBJ","CB","?"))</f>
        <v/>
      </c>
      <c r="I2367" s="24" t="str">
        <f aca="false">IF(OR(E2367="",E2367="!!!",F2367="NEW"),"",INDEX(B3:B$2365,-1+SUMPRODUCT(MAX(ROW(E3:E$2365)*(E2367=E3:E$2365)))))</f>
        <v/>
      </c>
      <c r="J2367" s="24" t="str">
        <f aca="true">IF(OR(E2367="",E2367="!!!",F2367="NEW"),"",COUNTBLANK(OFFSET(A$1,,,SUMPRODUCT(MAX(ROW(E$2:E2367)*(E2367=E$2:E2367)))))-COUNTBLANK(OFFSET(A$1,,,SUMPRODUCT(MAX(ROW(E$1:E2366)*(E2=E$1:E2366))))))</f>
        <v/>
      </c>
      <c r="K2367" s="24" t="str">
        <f aca="false">IF(OR(E2367="",E2367="!!!",F2367="NEW"),"",INDEX(J$1:J2366,SUMPRODUCT(MAX(ROW(E$1:E2366)*(E2367=E$1:E2366)))))</f>
        <v/>
      </c>
      <c r="L2367" s="31"/>
    </row>
    <row r="2368" customFormat="false" ht="15" hidden="false" customHeight="false" outlineLevel="0" collapsed="false">
      <c r="A2368" s="20" t="s">
        <v>724</v>
      </c>
      <c r="B2368" s="22" t="s">
        <v>1058</v>
      </c>
      <c r="C2368" s="22" t="s">
        <v>1171</v>
      </c>
      <c r="D2368" s="22" t="s">
        <v>1060</v>
      </c>
      <c r="E2368" s="23" t="str">
        <f aca="false">IF(D2368="?OLD","!!!","")</f>
        <v>!!!</v>
      </c>
      <c r="F2368" s="25" t="str">
        <f aca="false">IF(OR(E2368="",E2368="!!!"),"",IF(NOT(ISNA(VLOOKUP(E2368,E$1:E2367,1,FALSE()))),"OLD",IF(AND(E2368&lt;&gt;"",E2368&lt;&gt;"!!!"),"NEW","")))</f>
        <v/>
      </c>
      <c r="G2368" s="26" t="str">
        <f aca="false">IF(OR(E2368="",E2368="!!!"),"",IF(OR(J2368=0,AND(J2368=1,K2368=1),AND(J2368=1,I2368="SBJ"),AND(J2368=1,I2368=0)),"?IN_FOCUS",IF(J2368&lt;=2,"?ACTIVATED",IF(J2368&lt;&gt;"","?FAMILIAR",IF(F2368="NEW",IF(ISNA(VLOOKUP(E2368,#REF!,1,FALSE())),"?TYPE_IDENTIFIABLE","?REFERENTIAL"),"_")))))</f>
        <v/>
      </c>
      <c r="H2368" s="27" t="str">
        <f aca="false">IF(J2368&lt;&gt;1,"",IF(I2368="SBJ","CB","?"))</f>
        <v/>
      </c>
      <c r="I2368" s="24" t="str">
        <f aca="false">IF(OR(E2368="",E2368="!!!",F2368="NEW"),"",INDEX(B4:B$2365,-1+SUMPRODUCT(MAX(ROW(E4:E$2365)*(E2368=E4:E$2365)))))</f>
        <v/>
      </c>
      <c r="J2368" s="24" t="str">
        <f aca="true">IF(OR(E2368="",E2368="!!!",F2368="NEW"),"",COUNTBLANK(OFFSET(A$1,,,SUMPRODUCT(MAX(ROW(E$2:E2368)*(E2368=E$2:E2368)))))-COUNTBLANK(OFFSET(A$1,,,SUMPRODUCT(MAX(ROW(E$1:E2367)*(E2=E$1:E2367))))))</f>
        <v/>
      </c>
      <c r="K2368" s="24" t="str">
        <f aca="false">IF(OR(E2368="",E2368="!!!",F2368="NEW"),"",INDEX(J$1:J2367,SUMPRODUCT(MAX(ROW(E$1:E2367)*(E2368=E$1:E2367)))))</f>
        <v/>
      </c>
      <c r="L2368" s="31"/>
    </row>
    <row r="2369" customFormat="false" ht="15" hidden="false" customHeight="false" outlineLevel="0" collapsed="false">
      <c r="A2369" s="20" t="s">
        <v>1064</v>
      </c>
      <c r="E2369" s="23" t="str">
        <f aca="false">IF(D2369="?OLD","!!!","")</f>
        <v/>
      </c>
      <c r="F2369" s="25" t="str">
        <f aca="false">IF(OR(E2369="",E2369="!!!"),"",IF(NOT(ISNA(VLOOKUP(E2369,E$1:E2368,1,FALSE()))),"OLD",IF(AND(E2369&lt;&gt;"",E2369&lt;&gt;"!!!"),"NEW","")))</f>
        <v/>
      </c>
      <c r="G2369" s="26" t="str">
        <f aca="false">IF(OR(E2369="",E2369="!!!"),"",IF(OR(J2369=0,AND(J2369=1,K2369=1),AND(J2369=1,I2369="SBJ"),AND(J2369=1,I2369=0)),"?IN_FOCUS",IF(J2369&lt;=2,"?ACTIVATED",IF(J2369&lt;&gt;"","?FAMILIAR",IF(F2369="NEW",IF(ISNA(VLOOKUP(E2369,#REF!,1,FALSE())),"?TYPE_IDENTIFIABLE","?REFERENTIAL"),"_")))))</f>
        <v/>
      </c>
      <c r="H2369" s="27" t="str">
        <f aca="false">IF(J2369&lt;&gt;1,"",IF(I2369="SBJ","CB","?"))</f>
        <v/>
      </c>
      <c r="I2369" s="24" t="str">
        <f aca="false">IF(OR(E2369="",E2369="!!!",F2369="NEW"),"",INDEX(B5:B$2365,-1+SUMPRODUCT(MAX(ROW(E5:E$2365)*(E2369=E5:E$2365)))))</f>
        <v/>
      </c>
      <c r="J2369" s="24" t="str">
        <f aca="true">IF(OR(E2369="",E2369="!!!",F2369="NEW"),"",COUNTBLANK(OFFSET(A$1,,,SUMPRODUCT(MAX(ROW(E$2:E2369)*(E2369=E$2:E2369)))))-COUNTBLANK(OFFSET(A$1,,,SUMPRODUCT(MAX(ROW(E$1:E2368)*(E2=E$1:E2368))))))</f>
        <v/>
      </c>
      <c r="K2369" s="24" t="str">
        <f aca="false">IF(OR(E2369="",E2369="!!!",F2369="NEW"),"",INDEX(J$1:J2368,SUMPRODUCT(MAX(ROW(E$1:E2368)*(E2369=E$1:E2368)))))</f>
        <v/>
      </c>
      <c r="L2369" s="31"/>
    </row>
    <row r="2370" customFormat="false" ht="15" hidden="false" customHeight="false" outlineLevel="0" collapsed="false">
      <c r="A2370" s="20" t="s">
        <v>1919</v>
      </c>
      <c r="B2370" s="22" t="s">
        <v>1073</v>
      </c>
      <c r="C2370" s="22" t="s">
        <v>1160</v>
      </c>
      <c r="E2370" s="23" t="str">
        <f aca="false">IF(D2370="?OLD","!!!","")</f>
        <v/>
      </c>
      <c r="F2370" s="25" t="str">
        <f aca="false">IF(OR(E2370="",E2370="!!!"),"",IF(NOT(ISNA(VLOOKUP(E2370,E$1:E2369,1,FALSE()))),"OLD",IF(AND(E2370&lt;&gt;"",E2370&lt;&gt;"!!!"),"NEW","")))</f>
        <v/>
      </c>
      <c r="G2370" s="26" t="str">
        <f aca="false">IF(OR(E2370="",E2370="!!!"),"",IF(OR(J2370=0,AND(J2370=1,K2370=1),AND(J2370=1,I2370="SBJ"),AND(J2370=1,I2370=0)),"?IN_FOCUS",IF(J2370&lt;=2,"?ACTIVATED",IF(J2370&lt;&gt;"","?FAMILIAR",IF(F2370="NEW",IF(ISNA(VLOOKUP(E2370,#REF!,1,FALSE())),"?TYPE_IDENTIFIABLE","?REFERENTIAL"),"_")))))</f>
        <v/>
      </c>
      <c r="H2370" s="27" t="str">
        <f aca="false">IF(J2370&lt;&gt;1,"",IF(I2370="SBJ","CB","?"))</f>
        <v/>
      </c>
      <c r="I2370" s="24" t="str">
        <f aca="false">IF(OR(E2370="",E2370="!!!",F2370="NEW"),"",INDEX(B6:B$2365,-1+SUMPRODUCT(MAX(ROW(E6:E$2365)*(E2370=E6:E$2365)))))</f>
        <v/>
      </c>
      <c r="J2370" s="24" t="str">
        <f aca="true">IF(OR(E2370="",E2370="!!!",F2370="NEW"),"",COUNTBLANK(OFFSET(A$1,,,SUMPRODUCT(MAX(ROW(E$2:E2370)*(E2370=E$2:E2370)))))-COUNTBLANK(OFFSET(A$1,,,SUMPRODUCT(MAX(ROW(E$1:E2369)*(E2=E$1:E2369))))))</f>
        <v/>
      </c>
      <c r="K2370" s="24" t="str">
        <f aca="false">IF(OR(E2370="",E2370="!!!",F2370="NEW"),"",INDEX(J$1:J2369,SUMPRODUCT(MAX(ROW(E$1:E2369)*(E2370=E$1:E2369)))))</f>
        <v/>
      </c>
      <c r="L2370" s="31"/>
    </row>
    <row r="2371" customFormat="false" ht="15" hidden="false" customHeight="false" outlineLevel="0" collapsed="false">
      <c r="A2371" s="20" t="s">
        <v>1119</v>
      </c>
      <c r="E2371" s="23" t="str">
        <f aca="false">IF(D2371="?OLD","!!!","")</f>
        <v/>
      </c>
      <c r="F2371" s="25" t="str">
        <f aca="false">IF(OR(E2371="",E2371="!!!"),"",IF(NOT(ISNA(VLOOKUP(E2371,E$1:E2370,1,FALSE()))),"OLD",IF(AND(E2371&lt;&gt;"",E2371&lt;&gt;"!!!"),"NEW","")))</f>
        <v/>
      </c>
      <c r="G2371" s="26" t="str">
        <f aca="false">IF(OR(E2371="",E2371="!!!"),"",IF(OR(J2371=0,AND(J2371=1,K2371=1),AND(J2371=1,I2371="SBJ"),AND(J2371=1,I2371=0)),"?IN_FOCUS",IF(J2371&lt;=2,"?ACTIVATED",IF(J2371&lt;&gt;"","?FAMILIAR",IF(F2371="NEW",IF(ISNA(VLOOKUP(E2371,#REF!,1,FALSE())),"?TYPE_IDENTIFIABLE","?REFERENTIAL"),"_")))))</f>
        <v/>
      </c>
      <c r="H2371" s="27" t="str">
        <f aca="false">IF(J2371&lt;&gt;1,"",IF(I2371="SBJ","CB","?"))</f>
        <v/>
      </c>
      <c r="I2371" s="24" t="str">
        <f aca="false">IF(OR(E2371="",E2371="!!!",F2371="NEW"),"",INDEX(B7:B$2365,-1+SUMPRODUCT(MAX(ROW(E7:E$2365)*(E2371=E7:E$2365)))))</f>
        <v/>
      </c>
      <c r="J2371" s="24" t="str">
        <f aca="true">IF(OR(E2371="",E2371="!!!",F2371="NEW"),"",COUNTBLANK(OFFSET(A$1,,,SUMPRODUCT(MAX(ROW(E$2:E2371)*(E2371=E$2:E2371)))))-COUNTBLANK(OFFSET(A$1,,,SUMPRODUCT(MAX(ROW(E$1:E2370)*(E2=E$1:E2370))))))</f>
        <v/>
      </c>
      <c r="K2371" s="24" t="str">
        <f aca="false">IF(OR(E2371="",E2371="!!!",F2371="NEW"),"",INDEX(J$1:J2370,SUMPRODUCT(MAX(ROW(E$1:E2370)*(E2371=E$1:E2370)))))</f>
        <v/>
      </c>
      <c r="L2371" s="31"/>
    </row>
    <row r="2372" customFormat="false" ht="15" hidden="false" customHeight="false" outlineLevel="0" collapsed="false">
      <c r="A2372" s="20" t="s">
        <v>1109</v>
      </c>
      <c r="E2372" s="23" t="str">
        <f aca="false">IF(D2372="?OLD","!!!","")</f>
        <v/>
      </c>
      <c r="F2372" s="25" t="str">
        <f aca="false">IF(OR(E2372="",E2372="!!!"),"",IF(NOT(ISNA(VLOOKUP(E2372,E$1:E2371,1,FALSE()))),"OLD",IF(AND(E2372&lt;&gt;"",E2372&lt;&gt;"!!!"),"NEW","")))</f>
        <v/>
      </c>
      <c r="G2372" s="26" t="str">
        <f aca="false">IF(OR(E2372="",E2372="!!!"),"",IF(OR(J2372=0,AND(J2372=1,K2372=1),AND(J2372=1,I2372="SBJ"),AND(J2372=1,I2372=0)),"?IN_FOCUS",IF(J2372&lt;=2,"?ACTIVATED",IF(J2372&lt;&gt;"","?FAMILIAR",IF(F2372="NEW",IF(ISNA(VLOOKUP(E2372,#REF!,1,FALSE())),"?TYPE_IDENTIFIABLE","?REFERENTIAL"),"_")))))</f>
        <v/>
      </c>
      <c r="H2372" s="27" t="str">
        <f aca="false">IF(J2372&lt;&gt;1,"",IF(I2372="SBJ","CB","?"))</f>
        <v/>
      </c>
      <c r="I2372" s="24" t="str">
        <f aca="false">IF(OR(E2372="",E2372="!!!",F2372="NEW"),"",INDEX(B8:B$2365,-1+SUMPRODUCT(MAX(ROW(E8:E$2365)*(E2372=E8:E$2365)))))</f>
        <v/>
      </c>
      <c r="J2372" s="24" t="str">
        <f aca="true">IF(OR(E2372="",E2372="!!!",F2372="NEW"),"",COUNTBLANK(OFFSET(A$1,,,SUMPRODUCT(MAX(ROW(E$2:E2372)*(E2372=E$2:E2372)))))-COUNTBLANK(OFFSET(A$1,,,SUMPRODUCT(MAX(ROW(E$1:E2371)*(E2=E$1:E2371))))))</f>
        <v/>
      </c>
      <c r="K2372" s="24" t="str">
        <f aca="false">IF(OR(E2372="",E2372="!!!",F2372="NEW"),"",INDEX(J$1:J2371,SUMPRODUCT(MAX(ROW(E$1:E2371)*(E2372=E$1:E2371)))))</f>
        <v/>
      </c>
      <c r="L2372" s="31"/>
    </row>
    <row r="2373" customFormat="false" ht="15" hidden="false" customHeight="false" outlineLevel="0" collapsed="false">
      <c r="A2373" s="20" t="s">
        <v>768</v>
      </c>
      <c r="B2373" s="22" t="s">
        <v>1067</v>
      </c>
      <c r="C2373" s="22" t="s">
        <v>1150</v>
      </c>
      <c r="D2373" s="22" t="s">
        <v>1060</v>
      </c>
      <c r="E2373" s="23" t="str">
        <f aca="false">IF(D2373="?OLD","!!!","")</f>
        <v>!!!</v>
      </c>
      <c r="F2373" s="25" t="str">
        <f aca="false">IF(OR(E2373="",E2373="!!!"),"",IF(NOT(ISNA(VLOOKUP(E2373,E$1:E2372,1,FALSE()))),"OLD",IF(AND(E2373&lt;&gt;"",E2373&lt;&gt;"!!!"),"NEW","")))</f>
        <v/>
      </c>
      <c r="G2373" s="26" t="str">
        <f aca="false">IF(OR(E2373="",E2373="!!!"),"",IF(OR(J2373=0,AND(J2373=1,K2373=1),AND(J2373=1,I2373="SBJ"),AND(J2373=1,I2373=0)),"?IN_FOCUS",IF(J2373&lt;=2,"?ACTIVATED",IF(J2373&lt;&gt;"","?FAMILIAR",IF(F2373="NEW",IF(ISNA(VLOOKUP(E2373,#REF!,1,FALSE())),"?TYPE_IDENTIFIABLE","?REFERENTIAL"),"_")))))</f>
        <v/>
      </c>
      <c r="H2373" s="27" t="str">
        <f aca="false">IF(J2373&lt;&gt;1,"",IF(I2373="SBJ","CB","?"))</f>
        <v/>
      </c>
      <c r="I2373" s="24" t="str">
        <f aca="false">IF(OR(E2373="",E2373="!!!",F2373="NEW"),"",INDEX(B9:B$2365,-1+SUMPRODUCT(MAX(ROW(E9:E$2365)*(E2373=E9:E$2365)))))</f>
        <v/>
      </c>
      <c r="J2373" s="24" t="str">
        <f aca="true">IF(OR(E2373="",E2373="!!!",F2373="NEW"),"",COUNTBLANK(OFFSET(A$1,,,SUMPRODUCT(MAX(ROW(E$2:E2373)*(E2373=E$2:E2373)))))-COUNTBLANK(OFFSET(A$1,,,SUMPRODUCT(MAX(ROW(E$1:E2372)*(E2=E$1:E2372))))))</f>
        <v/>
      </c>
      <c r="K2373" s="24" t="str">
        <f aca="false">IF(OR(E2373="",E2373="!!!",F2373="NEW"),"",INDEX(J$1:J2372,SUMPRODUCT(MAX(ROW(E$1:E2372)*(E2373=E$1:E2372)))))</f>
        <v/>
      </c>
      <c r="L2373" s="31"/>
    </row>
    <row r="2374" customFormat="false" ht="15" hidden="false" customHeight="false" outlineLevel="0" collapsed="false">
      <c r="A2374" s="20" t="s">
        <v>1164</v>
      </c>
      <c r="E2374" s="23" t="str">
        <f aca="false">IF(D2374="?OLD","!!!","")</f>
        <v/>
      </c>
      <c r="F2374" s="25" t="str">
        <f aca="false">IF(OR(E2374="",E2374="!!!"),"",IF(NOT(ISNA(VLOOKUP(E2374,E$1:E2373,1,FALSE()))),"OLD",IF(AND(E2374&lt;&gt;"",E2374&lt;&gt;"!!!"),"NEW","")))</f>
        <v/>
      </c>
      <c r="G2374" s="26" t="str">
        <f aca="false">IF(OR(E2374="",E2374="!!!"),"",IF(OR(J2374=0,AND(J2374=1,K2374=1),AND(J2374=1,I2374="SBJ"),AND(J2374=1,I2374=0)),"?IN_FOCUS",IF(J2374&lt;=2,"?ACTIVATED",IF(J2374&lt;&gt;"","?FAMILIAR",IF(F2374="NEW",IF(ISNA(VLOOKUP(E2374,#REF!,1,FALSE())),"?TYPE_IDENTIFIABLE","?REFERENTIAL"),"_")))))</f>
        <v/>
      </c>
      <c r="H2374" s="27" t="str">
        <f aca="false">IF(J2374&lt;&gt;1,"",IF(I2374="SBJ","CB","?"))</f>
        <v/>
      </c>
      <c r="I2374" s="24" t="str">
        <f aca="false">IF(OR(E2374="",E2374="!!!",F2374="NEW"),"",INDEX(B10:B$2365,-1+SUMPRODUCT(MAX(ROW(E10:E$2365)*(E2374=E10:E$2365)))))</f>
        <v/>
      </c>
      <c r="J2374" s="24" t="str">
        <f aca="true">IF(OR(E2374="",E2374="!!!",F2374="NEW"),"",COUNTBLANK(OFFSET(A$1,,,SUMPRODUCT(MAX(ROW(E$2:E2374)*(E2374=E$2:E2374)))))-COUNTBLANK(OFFSET(A$1,,,SUMPRODUCT(MAX(ROW(E$1:E2373)*(E2=E$1:E2373))))))</f>
        <v/>
      </c>
      <c r="K2374" s="24" t="str">
        <f aca="false">IF(OR(E2374="",E2374="!!!",F2374="NEW"),"",INDEX(J$1:J2373,SUMPRODUCT(MAX(ROW(E$1:E2373)*(E2374=E$1:E2373)))))</f>
        <v/>
      </c>
      <c r="L2374" s="31"/>
    </row>
    <row r="2375" customFormat="false" ht="15" hidden="false" customHeight="false" outlineLevel="0" collapsed="false">
      <c r="A2375" s="20" t="s">
        <v>1920</v>
      </c>
      <c r="E2375" s="23" t="str">
        <f aca="false">IF(D2375="?OLD","!!!","")</f>
        <v/>
      </c>
      <c r="F2375" s="25" t="str">
        <f aca="false">IF(OR(E2375="",E2375="!!!"),"",IF(NOT(ISNA(VLOOKUP(E2375,E$1:E2374,1,FALSE()))),"OLD",IF(AND(E2375&lt;&gt;"",E2375&lt;&gt;"!!!"),"NEW","")))</f>
        <v/>
      </c>
      <c r="G2375" s="26" t="str">
        <f aca="false">IF(OR(E2375="",E2375="!!!"),"",IF(OR(J2375=0,AND(J2375=1,K2375=1),AND(J2375=1,I2375="SBJ"),AND(J2375=1,I2375=0)),"?IN_FOCUS",IF(J2375&lt;=2,"?ACTIVATED",IF(J2375&lt;&gt;"","?FAMILIAR",IF(F2375="NEW",IF(ISNA(VLOOKUP(E2375,#REF!,1,FALSE())),"?TYPE_IDENTIFIABLE","?REFERENTIAL"),"_")))))</f>
        <v/>
      </c>
      <c r="H2375" s="27" t="str">
        <f aca="false">IF(J2375&lt;&gt;1,"",IF(I2375="SBJ","CB","?"))</f>
        <v/>
      </c>
      <c r="I2375" s="24" t="str">
        <f aca="false">IF(OR(E2375="",E2375="!!!",F2375="NEW"),"",INDEX(B11:B$2365,-1+SUMPRODUCT(MAX(ROW(E11:E$2365)*(E2375=E11:E$2365)))))</f>
        <v/>
      </c>
      <c r="J2375" s="24" t="str">
        <f aca="true">IF(OR(E2375="",E2375="!!!",F2375="NEW"),"",COUNTBLANK(OFFSET(A$1,,,SUMPRODUCT(MAX(ROW(E$2:E2375)*(E2375=E$2:E2375)))))-COUNTBLANK(OFFSET(A$1,,,SUMPRODUCT(MAX(ROW(E$1:E2374)*(E2=E$1:E2374))))))</f>
        <v/>
      </c>
      <c r="K2375" s="24" t="str">
        <f aca="false">IF(OR(E2375="",E2375="!!!",F2375="NEW"),"",INDEX(J$1:J2374,SUMPRODUCT(MAX(ROW(E$1:E2374)*(E2375=E$1:E2374)))))</f>
        <v/>
      </c>
      <c r="L2375" s="31"/>
    </row>
    <row r="2376" customFormat="false" ht="15" hidden="false" customHeight="false" outlineLevel="0" collapsed="false">
      <c r="A2376" s="20" t="s">
        <v>1760</v>
      </c>
      <c r="E2376" s="23" t="str">
        <f aca="false">IF(D2376="?OLD","!!!","")</f>
        <v/>
      </c>
      <c r="F2376" s="25" t="str">
        <f aca="false">IF(OR(E2376="",E2376="!!!"),"",IF(NOT(ISNA(VLOOKUP(E2376,E$1:E2375,1,FALSE()))),"OLD",IF(AND(E2376&lt;&gt;"",E2376&lt;&gt;"!!!"),"NEW","")))</f>
        <v/>
      </c>
      <c r="G2376" s="26" t="str">
        <f aca="false">IF(OR(E2376="",E2376="!!!"),"",IF(OR(J2376=0,AND(J2376=1,K2376=1),AND(J2376=1,I2376="SBJ"),AND(J2376=1,I2376=0)),"?IN_FOCUS",IF(J2376&lt;=2,"?ACTIVATED",IF(J2376&lt;&gt;"","?FAMILIAR",IF(F2376="NEW",IF(ISNA(VLOOKUP(E2376,#REF!,1,FALSE())),"?TYPE_IDENTIFIABLE","?REFERENTIAL"),"_")))))</f>
        <v/>
      </c>
      <c r="H2376" s="27" t="str">
        <f aca="false">IF(J2376&lt;&gt;1,"",IF(I2376="SBJ","CB","?"))</f>
        <v/>
      </c>
      <c r="I2376" s="24" t="str">
        <f aca="false">IF(OR(E2376="",E2376="!!!",F2376="NEW"),"",INDEX(B12:B$2365,-1+SUMPRODUCT(MAX(ROW(E12:E$2365)*(E2376=E12:E$2365)))))</f>
        <v/>
      </c>
      <c r="J2376" s="24" t="str">
        <f aca="true">IF(OR(E2376="",E2376="!!!",F2376="NEW"),"",COUNTBLANK(OFFSET(A$1,,,SUMPRODUCT(MAX(ROW(E$2:E2376)*(E2376=E$2:E2376)))))-COUNTBLANK(OFFSET(A$1,,,SUMPRODUCT(MAX(ROW(E$1:E2375)*(E2=E$1:E2375))))))</f>
        <v/>
      </c>
      <c r="K2376" s="24" t="str">
        <f aca="false">IF(OR(E2376="",E2376="!!!",F2376="NEW"),"",INDEX(J$1:J2375,SUMPRODUCT(MAX(ROW(E$1:E2375)*(E2376=E$1:E2375)))))</f>
        <v/>
      </c>
      <c r="L2376" s="31"/>
    </row>
    <row r="2377" customFormat="false" ht="15" hidden="false" customHeight="false" outlineLevel="0" collapsed="false">
      <c r="A2377" s="20" t="s">
        <v>1189</v>
      </c>
      <c r="B2377" s="22" t="s">
        <v>1073</v>
      </c>
      <c r="C2377" s="22" t="s">
        <v>1099</v>
      </c>
      <c r="D2377" s="22" t="s">
        <v>1060</v>
      </c>
      <c r="E2377" s="23" t="str">
        <f aca="false">IF(D2377="?OLD","!!!","")</f>
        <v>!!!</v>
      </c>
      <c r="F2377" s="25" t="str">
        <f aca="false">IF(OR(E2377="",E2377="!!!"),"",IF(NOT(ISNA(VLOOKUP(E2377,E$1:E2376,1,FALSE()))),"OLD",IF(AND(E2377&lt;&gt;"",E2377&lt;&gt;"!!!"),"NEW","")))</f>
        <v/>
      </c>
      <c r="G2377" s="26" t="str">
        <f aca="false">IF(OR(E2377="",E2377="!!!"),"",IF(OR(J2377=0,AND(J2377=1,K2377=1),AND(J2377=1,I2377="SBJ"),AND(J2377=1,I2377=0)),"?IN_FOCUS",IF(J2377&lt;=2,"?ACTIVATED",IF(J2377&lt;&gt;"","?FAMILIAR",IF(F2377="NEW",IF(ISNA(VLOOKUP(E2377,#REF!,1,FALSE())),"?TYPE_IDENTIFIABLE","?REFERENTIAL"),"_")))))</f>
        <v/>
      </c>
      <c r="H2377" s="27" t="str">
        <f aca="false">IF(J2377&lt;&gt;1,"",IF(I2377="SBJ","CB","?"))</f>
        <v/>
      </c>
      <c r="I2377" s="24" t="str">
        <f aca="false">IF(OR(E2377="",E2377="!!!",F2377="NEW"),"",INDEX(B13:B$2365,-1+SUMPRODUCT(MAX(ROW(E13:E$2365)*(E2377=E13:E$2365)))))</f>
        <v/>
      </c>
      <c r="J2377" s="24" t="str">
        <f aca="true">IF(OR(E2377="",E2377="!!!",F2377="NEW"),"",COUNTBLANK(OFFSET(A$1,,,SUMPRODUCT(MAX(ROW(E$2:E2377)*(E2377=E$2:E2377)))))-COUNTBLANK(OFFSET(A$1,,,SUMPRODUCT(MAX(ROW(E$1:E2376)*(E2=E$1:E2376))))))</f>
        <v/>
      </c>
      <c r="K2377" s="24" t="str">
        <f aca="false">IF(OR(E2377="",E2377="!!!",F2377="NEW"),"",INDEX(J$1:J2376,SUMPRODUCT(MAX(ROW(E$1:E2376)*(E2377=E$1:E2376)))))</f>
        <v/>
      </c>
      <c r="L2377" s="31"/>
    </row>
    <row r="2378" customFormat="false" ht="15" hidden="false" customHeight="false" outlineLevel="0" collapsed="false">
      <c r="A2378" s="20" t="s">
        <v>1921</v>
      </c>
      <c r="B2378" s="22" t="s">
        <v>1081</v>
      </c>
      <c r="C2378" s="22" t="s">
        <v>1059</v>
      </c>
      <c r="D2378" s="22" t="s">
        <v>1060</v>
      </c>
      <c r="E2378" s="23" t="str">
        <f aca="false">IF(D2378="?OLD","!!!","")</f>
        <v>!!!</v>
      </c>
      <c r="F2378" s="25" t="str">
        <f aca="false">IF(OR(E2378="",E2378="!!!"),"",IF(NOT(ISNA(VLOOKUP(E2378,E$1:E2377,1,FALSE()))),"OLD",IF(AND(E2378&lt;&gt;"",E2378&lt;&gt;"!!!"),"NEW","")))</f>
        <v/>
      </c>
      <c r="G2378" s="26" t="str">
        <f aca="false">IF(OR(E2378="",E2378="!!!"),"",IF(OR(J2378=0,AND(J2378=1,K2378=1),AND(J2378=1,I2378="SBJ"),AND(J2378=1,I2378=0)),"?IN_FOCUS",IF(J2378&lt;=2,"?ACTIVATED",IF(J2378&lt;&gt;"","?FAMILIAR",IF(F2378="NEW",IF(ISNA(VLOOKUP(E2378,#REF!,1,FALSE())),"?TYPE_IDENTIFIABLE","?REFERENTIAL"),"_")))))</f>
        <v/>
      </c>
      <c r="H2378" s="27" t="str">
        <f aca="false">IF(J2378&lt;&gt;1,"",IF(I2378="SBJ","CB","?"))</f>
        <v/>
      </c>
      <c r="I2378" s="24" t="str">
        <f aca="false">IF(OR(E2378="",E2378="!!!",F2378="NEW"),"",INDEX(B14:B$2365,-1+SUMPRODUCT(MAX(ROW(E14:E$2365)*(E2378=E14:E$2365)))))</f>
        <v/>
      </c>
      <c r="J2378" s="24" t="str">
        <f aca="true">IF(OR(E2378="",E2378="!!!",F2378="NEW"),"",COUNTBLANK(OFFSET(A$1,,,SUMPRODUCT(MAX(ROW(E$2:E2378)*(E2378=E$2:E2378)))))-COUNTBLANK(OFFSET(A$1,,,SUMPRODUCT(MAX(ROW(E$1:E2377)*(E2=E$1:E2377))))))</f>
        <v/>
      </c>
      <c r="K2378" s="24" t="str">
        <f aca="false">IF(OR(E2378="",E2378="!!!",F2378="NEW"),"",INDEX(J$1:J2377,SUMPRODUCT(MAX(ROW(E$1:E2377)*(E2378=E$1:E2377)))))</f>
        <v/>
      </c>
      <c r="L2378" s="31"/>
    </row>
    <row r="2379" customFormat="false" ht="15" hidden="false" customHeight="false" outlineLevel="0" collapsed="false">
      <c r="A2379" s="20" t="s">
        <v>1095</v>
      </c>
      <c r="E2379" s="23" t="str">
        <f aca="false">IF(D2379="?OLD","!!!","")</f>
        <v/>
      </c>
      <c r="F2379" s="25" t="str">
        <f aca="false">IF(OR(E2379="",E2379="!!!"),"",IF(NOT(ISNA(VLOOKUP(E2379,E$1:E2378,1,FALSE()))),"OLD",IF(AND(E2379&lt;&gt;"",E2379&lt;&gt;"!!!"),"NEW","")))</f>
        <v/>
      </c>
      <c r="G2379" s="26" t="str">
        <f aca="false">IF(OR(E2379="",E2379="!!!"),"",IF(OR(J2379=0,AND(J2379=1,K2379=1),AND(J2379=1,I2379="SBJ"),AND(J2379=1,I2379=0)),"?IN_FOCUS",IF(J2379&lt;=2,"?ACTIVATED",IF(J2379&lt;&gt;"","?FAMILIAR",IF(F2379="NEW",IF(ISNA(VLOOKUP(E2379,#REF!,1,FALSE())),"?TYPE_IDENTIFIABLE","?REFERENTIAL"),"_")))))</f>
        <v/>
      </c>
      <c r="H2379" s="27" t="str">
        <f aca="false">IF(J2379&lt;&gt;1,"",IF(I2379="SBJ","CB","?"))</f>
        <v/>
      </c>
      <c r="I2379" s="24" t="str">
        <f aca="false">IF(OR(E2379="",E2379="!!!",F2379="NEW"),"",INDEX(B15:B$2365,-1+SUMPRODUCT(MAX(ROW(E15:E$2365)*(E2379=E15:E$2365)))))</f>
        <v/>
      </c>
      <c r="J2379" s="24" t="str">
        <f aca="true">IF(OR(E2379="",E2379="!!!",F2379="NEW"),"",COUNTBLANK(OFFSET(A$1,,,SUMPRODUCT(MAX(ROW(E$2:E2379)*(E2379=E$2:E2379)))))-COUNTBLANK(OFFSET(A$1,,,SUMPRODUCT(MAX(ROW(E$1:E2378)*(E2=E$1:E2378))))))</f>
        <v/>
      </c>
      <c r="K2379" s="24" t="str">
        <f aca="false">IF(OR(E2379="",E2379="!!!",F2379="NEW"),"",INDEX(J$1:J2378,SUMPRODUCT(MAX(ROW(E$1:E2378)*(E2379=E$1:E2378)))))</f>
        <v/>
      </c>
      <c r="L2379" s="31"/>
    </row>
    <row r="2380" customFormat="false" ht="15" hidden="false" customHeight="false" outlineLevel="0" collapsed="false">
      <c r="A2380" s="20" t="s">
        <v>1109</v>
      </c>
      <c r="E2380" s="23" t="str">
        <f aca="false">IF(D2380="?OLD","!!!","")</f>
        <v/>
      </c>
      <c r="F2380" s="25" t="str">
        <f aca="false">IF(OR(E2380="",E2380="!!!"),"",IF(NOT(ISNA(VLOOKUP(E2380,E$1:E2379,1,FALSE()))),"OLD",IF(AND(E2380&lt;&gt;"",E2380&lt;&gt;"!!!"),"NEW","")))</f>
        <v/>
      </c>
      <c r="G2380" s="26" t="str">
        <f aca="false">IF(OR(E2380="",E2380="!!!"),"",IF(OR(J2380=0,AND(J2380=1,K2380=1),AND(J2380=1,I2380="SBJ"),AND(J2380=1,I2380=0)),"?IN_FOCUS",IF(J2380&lt;=2,"?ACTIVATED",IF(J2380&lt;&gt;"","?FAMILIAR",IF(F2380="NEW",IF(ISNA(VLOOKUP(E2380,#REF!,1,FALSE())),"?TYPE_IDENTIFIABLE","?REFERENTIAL"),"_")))))</f>
        <v/>
      </c>
      <c r="H2380" s="27" t="str">
        <f aca="false">IF(J2380&lt;&gt;1,"",IF(I2380="SBJ","CB","?"))</f>
        <v/>
      </c>
      <c r="I2380" s="24" t="str">
        <f aca="false">IF(OR(E2380="",E2380="!!!",F2380="NEW"),"",INDEX(B16:B$2365,-1+SUMPRODUCT(MAX(ROW(E16:E$2365)*(E2380=E16:E$2365)))))</f>
        <v/>
      </c>
      <c r="J2380" s="24" t="str">
        <f aca="true">IF(OR(E2380="",E2380="!!!",F2380="NEW"),"",COUNTBLANK(OFFSET(A$1,,,SUMPRODUCT(MAX(ROW(E$2:E2380)*(E2380=E$2:E2380)))))-COUNTBLANK(OFFSET(A$1,,,SUMPRODUCT(MAX(ROW(E$1:E2379)*(E2=E$1:E2379))))))</f>
        <v/>
      </c>
      <c r="K2380" s="24" t="str">
        <f aca="false">IF(OR(E2380="",E2380="!!!",F2380="NEW"),"",INDEX(J$1:J2379,SUMPRODUCT(MAX(ROW(E$1:E2379)*(E2380=E$1:E2379)))))</f>
        <v/>
      </c>
      <c r="L2380" s="31"/>
    </row>
    <row r="2381" customFormat="false" ht="15" hidden="false" customHeight="false" outlineLevel="0" collapsed="false">
      <c r="A2381" s="20" t="s">
        <v>1922</v>
      </c>
      <c r="B2381" s="22" t="s">
        <v>1105</v>
      </c>
      <c r="C2381" s="22" t="s">
        <v>1150</v>
      </c>
      <c r="D2381" s="22" t="s">
        <v>1060</v>
      </c>
      <c r="E2381" s="23" t="str">
        <f aca="false">IF(D2381="?OLD","!!!","")</f>
        <v>!!!</v>
      </c>
      <c r="F2381" s="25" t="str">
        <f aca="false">IF(OR(E2381="",E2381="!!!"),"",IF(NOT(ISNA(VLOOKUP(E2381,E$1:E2380,1,FALSE()))),"OLD",IF(AND(E2381&lt;&gt;"",E2381&lt;&gt;"!!!"),"NEW","")))</f>
        <v/>
      </c>
      <c r="G2381" s="26" t="str">
        <f aca="false">IF(OR(E2381="",E2381="!!!"),"",IF(OR(J2381=0,AND(J2381=1,K2381=1),AND(J2381=1,I2381="SBJ"),AND(J2381=1,I2381=0)),"?IN_FOCUS",IF(J2381&lt;=2,"?ACTIVATED",IF(J2381&lt;&gt;"","?FAMILIAR",IF(F2381="NEW",IF(ISNA(VLOOKUP(E2381,#REF!,1,FALSE())),"?TYPE_IDENTIFIABLE","?REFERENTIAL"),"_")))))</f>
        <v/>
      </c>
      <c r="H2381" s="27" t="str">
        <f aca="false">IF(J2381&lt;&gt;1,"",IF(I2381="SBJ","CB","?"))</f>
        <v/>
      </c>
      <c r="I2381" s="24" t="str">
        <f aca="false">IF(OR(E2381="",E2381="!!!",F2381="NEW"),"",INDEX(B17:B$2365,-1+SUMPRODUCT(MAX(ROW(E17:E$2365)*(E2381=E17:E$2365)))))</f>
        <v/>
      </c>
      <c r="J2381" s="24" t="str">
        <f aca="true">IF(OR(E2381="",E2381="!!!",F2381="NEW"),"",COUNTBLANK(OFFSET(A$1,,,SUMPRODUCT(MAX(ROW(E$2:E2381)*(E2381=E$2:E2381)))))-COUNTBLANK(OFFSET(A$1,,,SUMPRODUCT(MAX(ROW(E$1:E2380)*(E2=E$1:E2380))))))</f>
        <v/>
      </c>
      <c r="K2381" s="24" t="str">
        <f aca="false">IF(OR(E2381="",E2381="!!!",F2381="NEW"),"",INDEX(J$1:J2380,SUMPRODUCT(MAX(ROW(E$1:E2380)*(E2381=E$1:E2380)))))</f>
        <v/>
      </c>
      <c r="L2381" s="31"/>
    </row>
    <row r="2382" customFormat="false" ht="15" hidden="false" customHeight="false" outlineLevel="0" collapsed="false">
      <c r="A2382" s="20" t="s">
        <v>923</v>
      </c>
      <c r="E2382" s="23" t="str">
        <f aca="false">IF(D2382="?OLD","!!!","")</f>
        <v/>
      </c>
      <c r="F2382" s="25" t="str">
        <f aca="false">IF(OR(E2382="",E2382="!!!"),"",IF(NOT(ISNA(VLOOKUP(E2382,E$1:E2381,1,FALSE()))),"OLD",IF(AND(E2382&lt;&gt;"",E2382&lt;&gt;"!!!"),"NEW","")))</f>
        <v/>
      </c>
      <c r="G2382" s="26" t="str">
        <f aca="false">IF(OR(E2382="",E2382="!!!"),"",IF(OR(J2382=0,AND(J2382=1,K2382=1),AND(J2382=1,I2382="SBJ"),AND(J2382=1,I2382=0)),"?IN_FOCUS",IF(J2382&lt;=2,"?ACTIVATED",IF(J2382&lt;&gt;"","?FAMILIAR",IF(F2382="NEW",IF(ISNA(VLOOKUP(E2382,#REF!,1,FALSE())),"?TYPE_IDENTIFIABLE","?REFERENTIAL"),"_")))))</f>
        <v/>
      </c>
      <c r="H2382" s="27" t="str">
        <f aca="false">IF(J2382&lt;&gt;1,"",IF(I2382="SBJ","CB","?"))</f>
        <v/>
      </c>
      <c r="I2382" s="24" t="str">
        <f aca="false">IF(OR(E2382="",E2382="!!!",F2382="NEW"),"",INDEX(B18:B$2365,-1+SUMPRODUCT(MAX(ROW(E18:E$2365)*(E2382=E18:E$2365)))))</f>
        <v/>
      </c>
      <c r="J2382" s="24" t="str">
        <f aca="true">IF(OR(E2382="",E2382="!!!",F2382="NEW"),"",COUNTBLANK(OFFSET(A$1,,,SUMPRODUCT(MAX(ROW(E$2:E2382)*(E2382=E$2:E2382)))))-COUNTBLANK(OFFSET(A$1,,,SUMPRODUCT(MAX(ROW(E$1:E2381)*(E2=E$1:E2381))))))</f>
        <v/>
      </c>
      <c r="K2382" s="24" t="str">
        <f aca="false">IF(OR(E2382="",E2382="!!!",F2382="NEW"),"",INDEX(J$1:J2381,SUMPRODUCT(MAX(ROW(E$1:E2381)*(E2382=E$1:E2381)))))</f>
        <v/>
      </c>
      <c r="L2382" s="31"/>
    </row>
    <row r="2383" customFormat="false" ht="15" hidden="false" customHeight="false" outlineLevel="0" collapsed="false">
      <c r="A2383" s="20"/>
    </row>
    <row r="2384" customFormat="false" ht="15" hidden="false" customHeight="false" outlineLevel="0" collapsed="false">
      <c r="A2384" s="20" t="s">
        <v>1923</v>
      </c>
    </row>
    <row r="2385" customFormat="false" ht="15" hidden="false" customHeight="false" outlineLevel="0" collapsed="false">
      <c r="A2385" s="20" t="s">
        <v>1727</v>
      </c>
      <c r="E2385" s="23" t="str">
        <f aca="false">IF(D2385="?OLD","!!!","")</f>
        <v/>
      </c>
      <c r="F2385" s="25" t="str">
        <f aca="false">IF(OR(E2385="",E2385="!!!"),"",IF(NOT(ISNA(VLOOKUP(E2385,E$1:E2384,1,FALSE()))),"OLD",IF(AND(E2385&lt;&gt;"",E2385&lt;&gt;"!!!"),"NEW","")))</f>
        <v/>
      </c>
      <c r="G2385" s="26" t="str">
        <f aca="false">IF(OR(E2385="",E2385="!!!"),"",IF(OR(J2385=0,AND(J2385=1,K2385=1),AND(J2385=1,I2385="SBJ"),AND(J2385=1,I2385=0)),"?IN_FOCUS",IF(J2385&lt;=2,"?ACTIVATED",IF(J2385&lt;&gt;"","?FAMILIAR",IF(F2385="NEW",IF(ISNA(VLOOKUP(E2385,#REF!,1,FALSE())),"?TYPE_IDENTIFIABLE","?REFERENTIAL"),"_")))))</f>
        <v/>
      </c>
      <c r="H2385" s="27" t="str">
        <f aca="false">IF(J2385&lt;&gt;1,"",IF(I2385="SBJ","CB","?"))</f>
        <v/>
      </c>
      <c r="I2385" s="24" t="str">
        <f aca="false">IF(OR(E2385="",E2385="!!!",F2385="NEW"),"",INDEX(B2:B$2384,-1+SUMPRODUCT(MAX(ROW(E2:E$2384)*(E2385=E2:E$2384)))))</f>
        <v/>
      </c>
      <c r="J2385" s="24" t="str">
        <f aca="true">IF(OR(E2385="",E2385="!!!",F2385="NEW"),"",COUNTBLANK(OFFSET(A$1,,,SUMPRODUCT(MAX(ROW(E$2:E2385)*(E2385=E$2:E2385)))))-COUNTBLANK(OFFSET(A$1,,,SUMPRODUCT(MAX(ROW(E$1:E2384)*(E2=E$1:E2384))))))</f>
        <v/>
      </c>
      <c r="K2385" s="24" t="str">
        <f aca="false">IF(OR(E2385="",E2385="!!!",F2385="NEW"),"",INDEX(J$1:J2384,SUMPRODUCT(MAX(ROW(E$1:E2384)*(E2385=E$1:E2384)))))</f>
        <v/>
      </c>
      <c r="L2385" s="31"/>
    </row>
    <row r="2386" customFormat="false" ht="15" hidden="false" customHeight="false" outlineLevel="0" collapsed="false">
      <c r="A2386" s="20" t="s">
        <v>1090</v>
      </c>
      <c r="B2386" s="22" t="s">
        <v>1086</v>
      </c>
      <c r="C2386" s="22" t="s">
        <v>1082</v>
      </c>
      <c r="D2386" s="22" t="s">
        <v>1060</v>
      </c>
      <c r="E2386" s="23" t="str">
        <f aca="false">IF(D2386="?OLD","!!!","")</f>
        <v>!!!</v>
      </c>
      <c r="F2386" s="25" t="str">
        <f aca="false">IF(OR(E2386="",E2386="!!!"),"",IF(NOT(ISNA(VLOOKUP(E2386,E$1:E2385,1,FALSE()))),"OLD",IF(AND(E2386&lt;&gt;"",E2386&lt;&gt;"!!!"),"NEW","")))</f>
        <v/>
      </c>
      <c r="G2386" s="26" t="str">
        <f aca="false">IF(OR(E2386="",E2386="!!!"),"",IF(OR(J2386=0,AND(J2386=1,K2386=1),AND(J2386=1,I2386="SBJ"),AND(J2386=1,I2386=0)),"?IN_FOCUS",IF(J2386&lt;=2,"?ACTIVATED",IF(J2386&lt;&gt;"","?FAMILIAR",IF(F2386="NEW",IF(ISNA(VLOOKUP(E2386,#REF!,1,FALSE())),"?TYPE_IDENTIFIABLE","?REFERENTIAL"),"_")))))</f>
        <v/>
      </c>
      <c r="H2386" s="27" t="str">
        <f aca="false">IF(J2386&lt;&gt;1,"",IF(I2386="SBJ","CB","?"))</f>
        <v/>
      </c>
      <c r="I2386" s="24" t="str">
        <f aca="false">IF(OR(E2386="",E2386="!!!",F2386="NEW"),"",INDEX(B3:B$2384,-1+SUMPRODUCT(MAX(ROW(E3:E$2384)*(E2386=E3:E$2384)))))</f>
        <v/>
      </c>
      <c r="J2386" s="24" t="str">
        <f aca="true">IF(OR(E2386="",E2386="!!!",F2386="NEW"),"",COUNTBLANK(OFFSET(A$1,,,SUMPRODUCT(MAX(ROW(E$2:E2386)*(E2386=E$2:E2386)))))-COUNTBLANK(OFFSET(A$1,,,SUMPRODUCT(MAX(ROW(E$1:E2385)*(E2=E$1:E2385))))))</f>
        <v/>
      </c>
      <c r="K2386" s="24" t="str">
        <f aca="false">IF(OR(E2386="",E2386="!!!",F2386="NEW"),"",INDEX(J$1:J2385,SUMPRODUCT(MAX(ROW(E$1:E2385)*(E2386=E$1:E2385)))))</f>
        <v/>
      </c>
      <c r="L2386" s="31"/>
    </row>
    <row r="2387" customFormat="false" ht="15" hidden="false" customHeight="false" outlineLevel="0" collapsed="false">
      <c r="A2387" s="20" t="s">
        <v>1092</v>
      </c>
      <c r="E2387" s="23" t="str">
        <f aca="false">IF(D2387="?OLD","!!!","")</f>
        <v/>
      </c>
      <c r="F2387" s="25" t="str">
        <f aca="false">IF(OR(E2387="",E2387="!!!"),"",IF(NOT(ISNA(VLOOKUP(E2387,E$1:E2386,1,FALSE()))),"OLD",IF(AND(E2387&lt;&gt;"",E2387&lt;&gt;"!!!"),"NEW","")))</f>
        <v/>
      </c>
      <c r="G2387" s="26" t="str">
        <f aca="false">IF(OR(E2387="",E2387="!!!"),"",IF(OR(J2387=0,AND(J2387=1,K2387=1),AND(J2387=1,I2387="SBJ"),AND(J2387=1,I2387=0)),"?IN_FOCUS",IF(J2387&lt;=2,"?ACTIVATED",IF(J2387&lt;&gt;"","?FAMILIAR",IF(F2387="NEW",IF(ISNA(VLOOKUP(E2387,#REF!,1,FALSE())),"?TYPE_IDENTIFIABLE","?REFERENTIAL"),"_")))))</f>
        <v/>
      </c>
      <c r="H2387" s="27" t="str">
        <f aca="false">IF(J2387&lt;&gt;1,"",IF(I2387="SBJ","CB","?"))</f>
        <v/>
      </c>
      <c r="I2387" s="24" t="str">
        <f aca="false">IF(OR(E2387="",E2387="!!!",F2387="NEW"),"",INDEX(B4:B$2384,-1+SUMPRODUCT(MAX(ROW(E4:E$2384)*(E2387=E4:E$2384)))))</f>
        <v/>
      </c>
      <c r="J2387" s="24" t="str">
        <f aca="true">IF(OR(E2387="",E2387="!!!",F2387="NEW"),"",COUNTBLANK(OFFSET(A$1,,,SUMPRODUCT(MAX(ROW(E$2:E2387)*(E2387=E$2:E2387)))))-COUNTBLANK(OFFSET(A$1,,,SUMPRODUCT(MAX(ROW(E$1:E2386)*(E2=E$1:E2386))))))</f>
        <v/>
      </c>
      <c r="K2387" s="24" t="str">
        <f aca="false">IF(OR(E2387="",E2387="!!!",F2387="NEW"),"",INDEX(J$1:J2386,SUMPRODUCT(MAX(ROW(E$1:E2386)*(E2387=E$1:E2386)))))</f>
        <v/>
      </c>
      <c r="L2387" s="31"/>
    </row>
    <row r="2388" customFormat="false" ht="15" hidden="false" customHeight="false" outlineLevel="0" collapsed="false">
      <c r="A2388" s="20" t="s">
        <v>1924</v>
      </c>
      <c r="E2388" s="23" t="str">
        <f aca="false">IF(D2388="?OLD","!!!","")</f>
        <v/>
      </c>
      <c r="F2388" s="25" t="str">
        <f aca="false">IF(OR(E2388="",E2388="!!!"),"",IF(NOT(ISNA(VLOOKUP(E2388,E$1:E2387,1,FALSE()))),"OLD",IF(AND(E2388&lt;&gt;"",E2388&lt;&gt;"!!!"),"NEW","")))</f>
        <v/>
      </c>
      <c r="G2388" s="26" t="str">
        <f aca="false">IF(OR(E2388="",E2388="!!!"),"",IF(OR(J2388=0,AND(J2388=1,K2388=1),AND(J2388=1,I2388="SBJ"),AND(J2388=1,I2388=0)),"?IN_FOCUS",IF(J2388&lt;=2,"?ACTIVATED",IF(J2388&lt;&gt;"","?FAMILIAR",IF(F2388="NEW",IF(ISNA(VLOOKUP(E2388,#REF!,1,FALSE())),"?TYPE_IDENTIFIABLE","?REFERENTIAL"),"_")))))</f>
        <v/>
      </c>
      <c r="H2388" s="27" t="str">
        <f aca="false">IF(J2388&lt;&gt;1,"",IF(I2388="SBJ","CB","?"))</f>
        <v/>
      </c>
      <c r="I2388" s="24" t="str">
        <f aca="false">IF(OR(E2388="",E2388="!!!",F2388="NEW"),"",INDEX(B5:B$2384,-1+SUMPRODUCT(MAX(ROW(E5:E$2384)*(E2388=E5:E$2384)))))</f>
        <v/>
      </c>
      <c r="J2388" s="24" t="str">
        <f aca="true">IF(OR(E2388="",E2388="!!!",F2388="NEW"),"",COUNTBLANK(OFFSET(A$1,,,SUMPRODUCT(MAX(ROW(E$2:E2388)*(E2388=E$2:E2388)))))-COUNTBLANK(OFFSET(A$1,,,SUMPRODUCT(MAX(ROW(E$1:E2387)*(E2=E$1:E2387))))))</f>
        <v/>
      </c>
      <c r="K2388" s="24" t="str">
        <f aca="false">IF(OR(E2388="",E2388="!!!",F2388="NEW"),"",INDEX(J$1:J2387,SUMPRODUCT(MAX(ROW(E$1:E2387)*(E2388=E$1:E2387)))))</f>
        <v/>
      </c>
      <c r="L2388" s="31"/>
    </row>
    <row r="2389" customFormat="false" ht="15" hidden="false" customHeight="false" outlineLevel="0" collapsed="false">
      <c r="A2389" s="20" t="s">
        <v>1090</v>
      </c>
      <c r="B2389" s="22" t="s">
        <v>1058</v>
      </c>
      <c r="C2389" s="22" t="s">
        <v>1082</v>
      </c>
      <c r="D2389" s="22" t="s">
        <v>1060</v>
      </c>
      <c r="E2389" s="23" t="str">
        <f aca="false">IF(D2389="?OLD","!!!","")</f>
        <v>!!!</v>
      </c>
      <c r="F2389" s="25" t="str">
        <f aca="false">IF(OR(E2389="",E2389="!!!"),"",IF(NOT(ISNA(VLOOKUP(E2389,E$1:E2388,1,FALSE()))),"OLD",IF(AND(E2389&lt;&gt;"",E2389&lt;&gt;"!!!"),"NEW","")))</f>
        <v/>
      </c>
      <c r="G2389" s="26" t="str">
        <f aca="false">IF(OR(E2389="",E2389="!!!"),"",IF(OR(J2389=0,AND(J2389=1,K2389=1),AND(J2389=1,I2389="SBJ"),AND(J2389=1,I2389=0)),"?IN_FOCUS",IF(J2389&lt;=2,"?ACTIVATED",IF(J2389&lt;&gt;"","?FAMILIAR",IF(F2389="NEW",IF(ISNA(VLOOKUP(E2389,#REF!,1,FALSE())),"?TYPE_IDENTIFIABLE","?REFERENTIAL"),"_")))))</f>
        <v/>
      </c>
      <c r="H2389" s="27" t="str">
        <f aca="false">IF(J2389&lt;&gt;1,"",IF(I2389="SBJ","CB","?"))</f>
        <v/>
      </c>
      <c r="I2389" s="24" t="str">
        <f aca="false">IF(OR(E2389="",E2389="!!!",F2389="NEW"),"",INDEX(B6:B$2384,-1+SUMPRODUCT(MAX(ROW(E6:E$2384)*(E2389=E6:E$2384)))))</f>
        <v/>
      </c>
      <c r="J2389" s="24" t="str">
        <f aca="true">IF(OR(E2389="",E2389="!!!",F2389="NEW"),"",COUNTBLANK(OFFSET(A$1,,,SUMPRODUCT(MAX(ROW(E$2:E2389)*(E2389=E$2:E2389)))))-COUNTBLANK(OFFSET(A$1,,,SUMPRODUCT(MAX(ROW(E$1:E2388)*(E2=E$1:E2388))))))</f>
        <v/>
      </c>
      <c r="K2389" s="24" t="str">
        <f aca="false">IF(OR(E2389="",E2389="!!!",F2389="NEW"),"",INDEX(J$1:J2388,SUMPRODUCT(MAX(ROW(E$1:E2388)*(E2389=E$1:E2388)))))</f>
        <v/>
      </c>
      <c r="L2389" s="31"/>
    </row>
    <row r="2390" customFormat="false" ht="15" hidden="false" customHeight="false" outlineLevel="0" collapsed="false">
      <c r="A2390" s="20" t="s">
        <v>1092</v>
      </c>
      <c r="E2390" s="23" t="str">
        <f aca="false">IF(D2390="?OLD","!!!","")</f>
        <v/>
      </c>
      <c r="F2390" s="25" t="str">
        <f aca="false">IF(OR(E2390="",E2390="!!!"),"",IF(NOT(ISNA(VLOOKUP(E2390,E$1:E2389,1,FALSE()))),"OLD",IF(AND(E2390&lt;&gt;"",E2390&lt;&gt;"!!!"),"NEW","")))</f>
        <v/>
      </c>
      <c r="G2390" s="26" t="str">
        <f aca="false">IF(OR(E2390="",E2390="!!!"),"",IF(OR(J2390=0,AND(J2390=1,K2390=1),AND(J2390=1,I2390="SBJ"),AND(J2390=1,I2390=0)),"?IN_FOCUS",IF(J2390&lt;=2,"?ACTIVATED",IF(J2390&lt;&gt;"","?FAMILIAR",IF(F2390="NEW",IF(ISNA(VLOOKUP(E2390,#REF!,1,FALSE())),"?TYPE_IDENTIFIABLE","?REFERENTIAL"),"_")))))</f>
        <v/>
      </c>
      <c r="H2390" s="27" t="str">
        <f aca="false">IF(J2390&lt;&gt;1,"",IF(I2390="SBJ","CB","?"))</f>
        <v/>
      </c>
      <c r="I2390" s="24" t="str">
        <f aca="false">IF(OR(E2390="",E2390="!!!",F2390="NEW"),"",INDEX(B7:B$2384,-1+SUMPRODUCT(MAX(ROW(E7:E$2384)*(E2390=E7:E$2384)))))</f>
        <v/>
      </c>
      <c r="J2390" s="24" t="str">
        <f aca="true">IF(OR(E2390="",E2390="!!!",F2390="NEW"),"",COUNTBLANK(OFFSET(A$1,,,SUMPRODUCT(MAX(ROW(E$2:E2390)*(E2390=E$2:E2390)))))-COUNTBLANK(OFFSET(A$1,,,SUMPRODUCT(MAX(ROW(E$1:E2389)*(E2=E$1:E2389))))))</f>
        <v/>
      </c>
      <c r="K2390" s="24" t="str">
        <f aca="false">IF(OR(E2390="",E2390="!!!",F2390="NEW"),"",INDEX(J$1:J2389,SUMPRODUCT(MAX(ROW(E$1:E2389)*(E2390=E$1:E2389)))))</f>
        <v/>
      </c>
      <c r="L2390" s="31"/>
    </row>
    <row r="2391" customFormat="false" ht="15" hidden="false" customHeight="false" outlineLevel="0" collapsed="false">
      <c r="A2391" s="20" t="s">
        <v>1861</v>
      </c>
      <c r="E2391" s="23" t="str">
        <f aca="false">IF(D2391="?OLD","!!!","")</f>
        <v/>
      </c>
      <c r="F2391" s="25" t="str">
        <f aca="false">IF(OR(E2391="",E2391="!!!"),"",IF(NOT(ISNA(VLOOKUP(E2391,E$1:E2390,1,FALSE()))),"OLD",IF(AND(E2391&lt;&gt;"",E2391&lt;&gt;"!!!"),"NEW","")))</f>
        <v/>
      </c>
      <c r="G2391" s="26" t="str">
        <f aca="false">IF(OR(E2391="",E2391="!!!"),"",IF(OR(J2391=0,AND(J2391=1,K2391=1),AND(J2391=1,I2391="SBJ"),AND(J2391=1,I2391=0)),"?IN_FOCUS",IF(J2391&lt;=2,"?ACTIVATED",IF(J2391&lt;&gt;"","?FAMILIAR",IF(F2391="NEW",IF(ISNA(VLOOKUP(E2391,#REF!,1,FALSE())),"?TYPE_IDENTIFIABLE","?REFERENTIAL"),"_")))))</f>
        <v/>
      </c>
      <c r="H2391" s="27" t="str">
        <f aca="false">IF(J2391&lt;&gt;1,"",IF(I2391="SBJ","CB","?"))</f>
        <v/>
      </c>
      <c r="I2391" s="24" t="str">
        <f aca="false">IF(OR(E2391="",E2391="!!!",F2391="NEW"),"",INDEX(B8:B$2384,-1+SUMPRODUCT(MAX(ROW(E8:E$2384)*(E2391=E8:E$2384)))))</f>
        <v/>
      </c>
      <c r="J2391" s="24" t="str">
        <f aca="true">IF(OR(E2391="",E2391="!!!",F2391="NEW"),"",COUNTBLANK(OFFSET(A$1,,,SUMPRODUCT(MAX(ROW(E$2:E2391)*(E2391=E$2:E2391)))))-COUNTBLANK(OFFSET(A$1,,,SUMPRODUCT(MAX(ROW(E$1:E2390)*(E2=E$1:E2390))))))</f>
        <v/>
      </c>
      <c r="K2391" s="24" t="str">
        <f aca="false">IF(OR(E2391="",E2391="!!!",F2391="NEW"),"",INDEX(J$1:J2390,SUMPRODUCT(MAX(ROW(E$1:E2390)*(E2391=E$1:E2390)))))</f>
        <v/>
      </c>
      <c r="L2391" s="31"/>
    </row>
    <row r="2392" customFormat="false" ht="15" hidden="false" customHeight="false" outlineLevel="0" collapsed="false">
      <c r="A2392" s="20" t="s">
        <v>1076</v>
      </c>
      <c r="E2392" s="23" t="str">
        <f aca="false">IF(D2392="?OLD","!!!","")</f>
        <v/>
      </c>
      <c r="F2392" s="25" t="str">
        <f aca="false">IF(OR(E2392="",E2392="!!!"),"",IF(NOT(ISNA(VLOOKUP(E2392,E$1:E2391,1,FALSE()))),"OLD",IF(AND(E2392&lt;&gt;"",E2392&lt;&gt;"!!!"),"NEW","")))</f>
        <v/>
      </c>
      <c r="G2392" s="26" t="str">
        <f aca="false">IF(OR(E2392="",E2392="!!!"),"",IF(OR(J2392=0,AND(J2392=1,K2392=1),AND(J2392=1,I2392="SBJ"),AND(J2392=1,I2392=0)),"?IN_FOCUS",IF(J2392&lt;=2,"?ACTIVATED",IF(J2392&lt;&gt;"","?FAMILIAR",IF(F2392="NEW",IF(ISNA(VLOOKUP(E2392,#REF!,1,FALSE())),"?TYPE_IDENTIFIABLE","?REFERENTIAL"),"_")))))</f>
        <v/>
      </c>
      <c r="H2392" s="27" t="str">
        <f aca="false">IF(J2392&lt;&gt;1,"",IF(I2392="SBJ","CB","?"))</f>
        <v/>
      </c>
      <c r="I2392" s="24" t="str">
        <f aca="false">IF(OR(E2392="",E2392="!!!",F2392="NEW"),"",INDEX(B9:B$2384,-1+SUMPRODUCT(MAX(ROW(E9:E$2384)*(E2392=E9:E$2384)))))</f>
        <v/>
      </c>
      <c r="J2392" s="24" t="str">
        <f aca="true">IF(OR(E2392="",E2392="!!!",F2392="NEW"),"",COUNTBLANK(OFFSET(A$1,,,SUMPRODUCT(MAX(ROW(E$2:E2392)*(E2392=E$2:E2392)))))-COUNTBLANK(OFFSET(A$1,,,SUMPRODUCT(MAX(ROW(E$1:E2391)*(E2=E$1:E2391))))))</f>
        <v/>
      </c>
      <c r="K2392" s="24" t="str">
        <f aca="false">IF(OR(E2392="",E2392="!!!",F2392="NEW"),"",INDEX(J$1:J2391,SUMPRODUCT(MAX(ROW(E$1:E2391)*(E2392=E$1:E2391)))))</f>
        <v/>
      </c>
      <c r="L2392" s="31"/>
    </row>
    <row r="2393" customFormat="false" ht="15" hidden="false" customHeight="false" outlineLevel="0" collapsed="false">
      <c r="A2393" s="20" t="s">
        <v>1128</v>
      </c>
      <c r="E2393" s="23" t="str">
        <f aca="false">IF(D2393="?OLD","!!!","")</f>
        <v/>
      </c>
      <c r="F2393" s="25" t="str">
        <f aca="false">IF(OR(E2393="",E2393="!!!"),"",IF(NOT(ISNA(VLOOKUP(E2393,E$1:E2392,1,FALSE()))),"OLD",IF(AND(E2393&lt;&gt;"",E2393&lt;&gt;"!!!"),"NEW","")))</f>
        <v/>
      </c>
      <c r="G2393" s="26" t="str">
        <f aca="false">IF(OR(E2393="",E2393="!!!"),"",IF(OR(J2393=0,AND(J2393=1,K2393=1),AND(J2393=1,I2393="SBJ"),AND(J2393=1,I2393=0)),"?IN_FOCUS",IF(J2393&lt;=2,"?ACTIVATED",IF(J2393&lt;&gt;"","?FAMILIAR",IF(F2393="NEW",IF(ISNA(VLOOKUP(E2393,#REF!,1,FALSE())),"?TYPE_IDENTIFIABLE","?REFERENTIAL"),"_")))))</f>
        <v/>
      </c>
      <c r="H2393" s="27" t="str">
        <f aca="false">IF(J2393&lt;&gt;1,"",IF(I2393="SBJ","CB","?"))</f>
        <v/>
      </c>
      <c r="I2393" s="24" t="str">
        <f aca="false">IF(OR(E2393="",E2393="!!!",F2393="NEW"),"",INDEX(B10:B$2384,-1+SUMPRODUCT(MAX(ROW(E10:E$2384)*(E2393=E10:E$2384)))))</f>
        <v/>
      </c>
      <c r="J2393" s="24" t="str">
        <f aca="true">IF(OR(E2393="",E2393="!!!",F2393="NEW"),"",COUNTBLANK(OFFSET(A$1,,,SUMPRODUCT(MAX(ROW(E$2:E2393)*(E2393=E$2:E2393)))))-COUNTBLANK(OFFSET(A$1,,,SUMPRODUCT(MAX(ROW(E$1:E2392)*(E2=E$1:E2392))))))</f>
        <v/>
      </c>
      <c r="K2393" s="24" t="str">
        <f aca="false">IF(OR(E2393="",E2393="!!!",F2393="NEW"),"",INDEX(J$1:J2392,SUMPRODUCT(MAX(ROW(E$1:E2392)*(E2393=E$1:E2392)))))</f>
        <v/>
      </c>
      <c r="L2393" s="31"/>
    </row>
    <row r="2394" customFormat="false" ht="15" hidden="false" customHeight="false" outlineLevel="0" collapsed="false">
      <c r="A2394" s="20" t="s">
        <v>1383</v>
      </c>
      <c r="E2394" s="23" t="str">
        <f aca="false">IF(D2394="?OLD","!!!","")</f>
        <v/>
      </c>
      <c r="F2394" s="25" t="str">
        <f aca="false">IF(OR(E2394="",E2394="!!!"),"",IF(NOT(ISNA(VLOOKUP(E2394,E$1:E2393,1,FALSE()))),"OLD",IF(AND(E2394&lt;&gt;"",E2394&lt;&gt;"!!!"),"NEW","")))</f>
        <v/>
      </c>
      <c r="G2394" s="26" t="str">
        <f aca="false">IF(OR(E2394="",E2394="!!!"),"",IF(OR(J2394=0,AND(J2394=1,K2394=1),AND(J2394=1,I2394="SBJ"),AND(J2394=1,I2394=0)),"?IN_FOCUS",IF(J2394&lt;=2,"?ACTIVATED",IF(J2394&lt;&gt;"","?FAMILIAR",IF(F2394="NEW",IF(ISNA(VLOOKUP(E2394,#REF!,1,FALSE())),"?TYPE_IDENTIFIABLE","?REFERENTIAL"),"_")))))</f>
        <v/>
      </c>
      <c r="H2394" s="27" t="str">
        <f aca="false">IF(J2394&lt;&gt;1,"",IF(I2394="SBJ","CB","?"))</f>
        <v/>
      </c>
      <c r="I2394" s="24" t="str">
        <f aca="false">IF(OR(E2394="",E2394="!!!",F2394="NEW"),"",INDEX(B11:B$2384,-1+SUMPRODUCT(MAX(ROW(E11:E$2384)*(E2394=E11:E$2384)))))</f>
        <v/>
      </c>
      <c r="J2394" s="24" t="str">
        <f aca="true">IF(OR(E2394="",E2394="!!!",F2394="NEW"),"",COUNTBLANK(OFFSET(A$1,,,SUMPRODUCT(MAX(ROW(E$2:E2394)*(E2394=E$2:E2394)))))-COUNTBLANK(OFFSET(A$1,,,SUMPRODUCT(MAX(ROW(E$1:E2393)*(E2=E$1:E2393))))))</f>
        <v/>
      </c>
      <c r="K2394" s="24" t="str">
        <f aca="false">IF(OR(E2394="",E2394="!!!",F2394="NEW"),"",INDEX(J$1:J2393,SUMPRODUCT(MAX(ROW(E$1:E2393)*(E2394=E$1:E2393)))))</f>
        <v/>
      </c>
      <c r="L2394" s="31"/>
    </row>
    <row r="2395" customFormat="false" ht="15" hidden="false" customHeight="false" outlineLevel="0" collapsed="false">
      <c r="A2395" s="20" t="s">
        <v>1186</v>
      </c>
      <c r="B2395" s="22" t="s">
        <v>1091</v>
      </c>
      <c r="C2395" s="22" t="s">
        <v>1082</v>
      </c>
      <c r="D2395" s="22" t="s">
        <v>1060</v>
      </c>
      <c r="E2395" s="23" t="str">
        <f aca="false">IF(D2395="?OLD","!!!","")</f>
        <v>!!!</v>
      </c>
      <c r="F2395" s="25" t="str">
        <f aca="false">IF(OR(E2395="",E2395="!!!"),"",IF(NOT(ISNA(VLOOKUP(E2395,E$1:E2394,1,FALSE()))),"OLD",IF(AND(E2395&lt;&gt;"",E2395&lt;&gt;"!!!"),"NEW","")))</f>
        <v/>
      </c>
      <c r="G2395" s="26" t="str">
        <f aca="false">IF(OR(E2395="",E2395="!!!"),"",IF(OR(J2395=0,AND(J2395=1,K2395=1),AND(J2395=1,I2395="SBJ"),AND(J2395=1,I2395=0)),"?IN_FOCUS",IF(J2395&lt;=2,"?ACTIVATED",IF(J2395&lt;&gt;"","?FAMILIAR",IF(F2395="NEW",IF(ISNA(VLOOKUP(E2395,#REF!,1,FALSE())),"?TYPE_IDENTIFIABLE","?REFERENTIAL"),"_")))))</f>
        <v/>
      </c>
      <c r="H2395" s="27" t="str">
        <f aca="false">IF(J2395&lt;&gt;1,"",IF(I2395="SBJ","CB","?"))</f>
        <v/>
      </c>
      <c r="I2395" s="24" t="str">
        <f aca="false">IF(OR(E2395="",E2395="!!!",F2395="NEW"),"",INDEX(B12:B$2384,-1+SUMPRODUCT(MAX(ROW(E12:E$2384)*(E2395=E12:E$2384)))))</f>
        <v/>
      </c>
      <c r="J2395" s="24" t="str">
        <f aca="true">IF(OR(E2395="",E2395="!!!",F2395="NEW"),"",COUNTBLANK(OFFSET(A$1,,,SUMPRODUCT(MAX(ROW(E$2:E2395)*(E2395=E$2:E2395)))))-COUNTBLANK(OFFSET(A$1,,,SUMPRODUCT(MAX(ROW(E$1:E2394)*(E2=E$1:E2394))))))</f>
        <v/>
      </c>
      <c r="K2395" s="24" t="str">
        <f aca="false">IF(OR(E2395="",E2395="!!!",F2395="NEW"),"",INDEX(J$1:J2394,SUMPRODUCT(MAX(ROW(E$1:E2394)*(E2395=E$1:E2394)))))</f>
        <v/>
      </c>
      <c r="L2395" s="31"/>
    </row>
    <row r="2396" customFormat="false" ht="15" hidden="false" customHeight="false" outlineLevel="0" collapsed="false">
      <c r="A2396" s="20" t="s">
        <v>1198</v>
      </c>
      <c r="E2396" s="23" t="str">
        <f aca="false">IF(D2396="?OLD","!!!","")</f>
        <v/>
      </c>
      <c r="F2396" s="25" t="str">
        <f aca="false">IF(OR(E2396="",E2396="!!!"),"",IF(NOT(ISNA(VLOOKUP(E2396,E$1:E2395,1,FALSE()))),"OLD",IF(AND(E2396&lt;&gt;"",E2396&lt;&gt;"!!!"),"NEW","")))</f>
        <v/>
      </c>
      <c r="G2396" s="26" t="str">
        <f aca="false">IF(OR(E2396="",E2396="!!!"),"",IF(OR(J2396=0,AND(J2396=1,K2396=1),AND(J2396=1,I2396="SBJ"),AND(J2396=1,I2396=0)),"?IN_FOCUS",IF(J2396&lt;=2,"?ACTIVATED",IF(J2396&lt;&gt;"","?FAMILIAR",IF(F2396="NEW",IF(ISNA(VLOOKUP(E2396,#REF!,1,FALSE())),"?TYPE_IDENTIFIABLE","?REFERENTIAL"),"_")))))</f>
        <v/>
      </c>
      <c r="H2396" s="27" t="str">
        <f aca="false">IF(J2396&lt;&gt;1,"",IF(I2396="SBJ","CB","?"))</f>
        <v/>
      </c>
      <c r="I2396" s="24" t="str">
        <f aca="false">IF(OR(E2396="",E2396="!!!",F2396="NEW"),"",INDEX(B13:B$2384,-1+SUMPRODUCT(MAX(ROW(E13:E$2384)*(E2396=E13:E$2384)))))</f>
        <v/>
      </c>
      <c r="J2396" s="24" t="str">
        <f aca="true">IF(OR(E2396="",E2396="!!!",F2396="NEW"),"",COUNTBLANK(OFFSET(A$1,,,SUMPRODUCT(MAX(ROW(E$2:E2396)*(E2396=E$2:E2396)))))-COUNTBLANK(OFFSET(A$1,,,SUMPRODUCT(MAX(ROW(E$1:E2395)*(E2=E$1:E2395))))))</f>
        <v/>
      </c>
      <c r="K2396" s="24" t="str">
        <f aca="false">IF(OR(E2396="",E2396="!!!",F2396="NEW"),"",INDEX(J$1:J2395,SUMPRODUCT(MAX(ROW(E$1:E2395)*(E2396=E$1:E2395)))))</f>
        <v/>
      </c>
      <c r="L2396" s="31"/>
    </row>
    <row r="2397" customFormat="false" ht="15" hidden="false" customHeight="false" outlineLevel="0" collapsed="false">
      <c r="A2397" s="20" t="s">
        <v>1925</v>
      </c>
      <c r="E2397" s="23" t="str">
        <f aca="false">IF(D2397="?OLD","!!!","")</f>
        <v/>
      </c>
      <c r="F2397" s="25" t="str">
        <f aca="false">IF(OR(E2397="",E2397="!!!"),"",IF(NOT(ISNA(VLOOKUP(E2397,E$1:E2396,1,FALSE()))),"OLD",IF(AND(E2397&lt;&gt;"",E2397&lt;&gt;"!!!"),"NEW","")))</f>
        <v/>
      </c>
      <c r="G2397" s="26" t="str">
        <f aca="false">IF(OR(E2397="",E2397="!!!"),"",IF(OR(J2397=0,AND(J2397=1,K2397=1),AND(J2397=1,I2397="SBJ"),AND(J2397=1,I2397=0)),"?IN_FOCUS",IF(J2397&lt;=2,"?ACTIVATED",IF(J2397&lt;&gt;"","?FAMILIAR",IF(F2397="NEW",IF(ISNA(VLOOKUP(E2397,#REF!,1,FALSE())),"?TYPE_IDENTIFIABLE","?REFERENTIAL"),"_")))))</f>
        <v/>
      </c>
      <c r="H2397" s="27" t="str">
        <f aca="false">IF(J2397&lt;&gt;1,"",IF(I2397="SBJ","CB","?"))</f>
        <v/>
      </c>
      <c r="I2397" s="24" t="str">
        <f aca="false">IF(OR(E2397="",E2397="!!!",F2397="NEW"),"",INDEX(B14:B$2384,-1+SUMPRODUCT(MAX(ROW(E14:E$2384)*(E2397=E14:E$2384)))))</f>
        <v/>
      </c>
      <c r="J2397" s="24" t="str">
        <f aca="true">IF(OR(E2397="",E2397="!!!",F2397="NEW"),"",COUNTBLANK(OFFSET(A$1,,,SUMPRODUCT(MAX(ROW(E$2:E2397)*(E2397=E$2:E2397)))))-COUNTBLANK(OFFSET(A$1,,,SUMPRODUCT(MAX(ROW(E$1:E2396)*(E2=E$1:E2396))))))</f>
        <v/>
      </c>
      <c r="K2397" s="24" t="str">
        <f aca="false">IF(OR(E2397="",E2397="!!!",F2397="NEW"),"",INDEX(J$1:J2396,SUMPRODUCT(MAX(ROW(E$1:E2396)*(E2397=E$1:E2396)))))</f>
        <v/>
      </c>
      <c r="L2397" s="31"/>
    </row>
    <row r="2398" customFormat="false" ht="15" hidden="false" customHeight="false" outlineLevel="0" collapsed="false">
      <c r="A2398" s="20" t="s">
        <v>1137</v>
      </c>
      <c r="B2398" s="22" t="s">
        <v>1146</v>
      </c>
      <c r="C2398" s="22" t="s">
        <v>1082</v>
      </c>
      <c r="D2398" s="22" t="s">
        <v>1060</v>
      </c>
      <c r="E2398" s="23" t="str">
        <f aca="false">IF(D2398="?OLD","!!!","")</f>
        <v>!!!</v>
      </c>
      <c r="F2398" s="25" t="str">
        <f aca="false">IF(OR(E2398="",E2398="!!!"),"",IF(NOT(ISNA(VLOOKUP(E2398,E$1:E2397,1,FALSE()))),"OLD",IF(AND(E2398&lt;&gt;"",E2398&lt;&gt;"!!!"),"NEW","")))</f>
        <v/>
      </c>
      <c r="G2398" s="26" t="str">
        <f aca="false">IF(OR(E2398="",E2398="!!!"),"",IF(OR(J2398=0,AND(J2398=1,K2398=1),AND(J2398=1,I2398="SBJ"),AND(J2398=1,I2398=0)),"?IN_FOCUS",IF(J2398&lt;=2,"?ACTIVATED",IF(J2398&lt;&gt;"","?FAMILIAR",IF(F2398="NEW",IF(ISNA(VLOOKUP(E2398,#REF!,1,FALSE())),"?TYPE_IDENTIFIABLE","?REFERENTIAL"),"_")))))</f>
        <v/>
      </c>
      <c r="H2398" s="27" t="str">
        <f aca="false">IF(J2398&lt;&gt;1,"",IF(I2398="SBJ","CB","?"))</f>
        <v/>
      </c>
      <c r="I2398" s="24" t="str">
        <f aca="false">IF(OR(E2398="",E2398="!!!",F2398="NEW"),"",INDEX(B15:B$2384,-1+SUMPRODUCT(MAX(ROW(E15:E$2384)*(E2398=E15:E$2384)))))</f>
        <v/>
      </c>
      <c r="J2398" s="24" t="str">
        <f aca="true">IF(OR(E2398="",E2398="!!!",F2398="NEW"),"",COUNTBLANK(OFFSET(A$1,,,SUMPRODUCT(MAX(ROW(E$2:E2398)*(E2398=E$2:E2398)))))-COUNTBLANK(OFFSET(A$1,,,SUMPRODUCT(MAX(ROW(E$1:E2397)*(E2=E$1:E2397))))))</f>
        <v/>
      </c>
      <c r="K2398" s="24" t="str">
        <f aca="false">IF(OR(E2398="",E2398="!!!",F2398="NEW"),"",INDEX(J$1:J2397,SUMPRODUCT(MAX(ROW(E$1:E2397)*(E2398=E$1:E2397)))))</f>
        <v/>
      </c>
      <c r="L2398" s="31"/>
    </row>
    <row r="2399" customFormat="false" ht="15" hidden="false" customHeight="false" outlineLevel="0" collapsed="false">
      <c r="A2399" s="20" t="s">
        <v>1186</v>
      </c>
      <c r="B2399" s="22" t="s">
        <v>1086</v>
      </c>
      <c r="C2399" s="22" t="s">
        <v>1082</v>
      </c>
      <c r="D2399" s="22" t="s">
        <v>1060</v>
      </c>
      <c r="E2399" s="23" t="str">
        <f aca="false">IF(D2399="?OLD","!!!","")</f>
        <v>!!!</v>
      </c>
      <c r="F2399" s="25" t="str">
        <f aca="false">IF(OR(E2399="",E2399="!!!"),"",IF(NOT(ISNA(VLOOKUP(E2399,E$1:E2398,1,FALSE()))),"OLD",IF(AND(E2399&lt;&gt;"",E2399&lt;&gt;"!!!"),"NEW","")))</f>
        <v/>
      </c>
      <c r="G2399" s="26" t="str">
        <f aca="false">IF(OR(E2399="",E2399="!!!"),"",IF(OR(J2399=0,AND(J2399=1,K2399=1),AND(J2399=1,I2399="SBJ"),AND(J2399=1,I2399=0)),"?IN_FOCUS",IF(J2399&lt;=2,"?ACTIVATED",IF(J2399&lt;&gt;"","?FAMILIAR",IF(F2399="NEW",IF(ISNA(VLOOKUP(E2399,#REF!,1,FALSE())),"?TYPE_IDENTIFIABLE","?REFERENTIAL"),"_")))))</f>
        <v/>
      </c>
      <c r="H2399" s="27" t="str">
        <f aca="false">IF(J2399&lt;&gt;1,"",IF(I2399="SBJ","CB","?"))</f>
        <v/>
      </c>
      <c r="I2399" s="24" t="str">
        <f aca="false">IF(OR(E2399="",E2399="!!!",F2399="NEW"),"",INDEX(B16:B$2384,-1+SUMPRODUCT(MAX(ROW(E16:E$2384)*(E2399=E16:E$2384)))))</f>
        <v/>
      </c>
      <c r="J2399" s="24" t="str">
        <f aca="true">IF(OR(E2399="",E2399="!!!",F2399="NEW"),"",COUNTBLANK(OFFSET(A$1,,,SUMPRODUCT(MAX(ROW(E$2:E2399)*(E2399=E$2:E2399)))))-COUNTBLANK(OFFSET(A$1,,,SUMPRODUCT(MAX(ROW(E$1:E2398)*(E2=E$1:E2398))))))</f>
        <v/>
      </c>
      <c r="K2399" s="24" t="str">
        <f aca="false">IF(OR(E2399="",E2399="!!!",F2399="NEW"),"",INDEX(J$1:J2398,SUMPRODUCT(MAX(ROW(E$1:E2398)*(E2399=E$1:E2398)))))</f>
        <v/>
      </c>
      <c r="L2399" s="31"/>
    </row>
    <row r="2400" customFormat="false" ht="15" hidden="false" customHeight="false" outlineLevel="0" collapsed="false">
      <c r="A2400" s="20" t="s">
        <v>1198</v>
      </c>
      <c r="E2400" s="23" t="str">
        <f aca="false">IF(D2400="?OLD","!!!","")</f>
        <v/>
      </c>
      <c r="F2400" s="25" t="str">
        <f aca="false">IF(OR(E2400="",E2400="!!!"),"",IF(NOT(ISNA(VLOOKUP(E2400,E$1:E2399,1,FALSE()))),"OLD",IF(AND(E2400&lt;&gt;"",E2400&lt;&gt;"!!!"),"NEW","")))</f>
        <v/>
      </c>
      <c r="G2400" s="26" t="str">
        <f aca="false">IF(OR(E2400="",E2400="!!!"),"",IF(OR(J2400=0,AND(J2400=1,K2400=1),AND(J2400=1,I2400="SBJ"),AND(J2400=1,I2400=0)),"?IN_FOCUS",IF(J2400&lt;=2,"?ACTIVATED",IF(J2400&lt;&gt;"","?FAMILIAR",IF(F2400="NEW",IF(ISNA(VLOOKUP(E2400,#REF!,1,FALSE())),"?TYPE_IDENTIFIABLE","?REFERENTIAL"),"_")))))</f>
        <v/>
      </c>
      <c r="H2400" s="27" t="str">
        <f aca="false">IF(J2400&lt;&gt;1,"",IF(I2400="SBJ","CB","?"))</f>
        <v/>
      </c>
      <c r="I2400" s="24" t="str">
        <f aca="false">IF(OR(E2400="",E2400="!!!",F2400="NEW"),"",INDEX(B17:B$2384,-1+SUMPRODUCT(MAX(ROW(E17:E$2384)*(E2400=E17:E$2384)))))</f>
        <v/>
      </c>
      <c r="J2400" s="24" t="str">
        <f aca="true">IF(OR(E2400="",E2400="!!!",F2400="NEW"),"",COUNTBLANK(OFFSET(A$1,,,SUMPRODUCT(MAX(ROW(E$2:E2400)*(E2400=E$2:E2400)))))-COUNTBLANK(OFFSET(A$1,,,SUMPRODUCT(MAX(ROW(E$1:E2399)*(E2=E$1:E2399))))))</f>
        <v/>
      </c>
      <c r="K2400" s="24" t="str">
        <f aca="false">IF(OR(E2400="",E2400="!!!",F2400="NEW"),"",INDEX(J$1:J2399,SUMPRODUCT(MAX(ROW(E$1:E2399)*(E2400=E$1:E2399)))))</f>
        <v/>
      </c>
      <c r="L2400" s="31"/>
    </row>
    <row r="2401" customFormat="false" ht="15" hidden="false" customHeight="false" outlineLevel="0" collapsed="false">
      <c r="A2401" s="20" t="s">
        <v>1926</v>
      </c>
      <c r="E2401" s="23" t="str">
        <f aca="false">IF(D2401="?OLD","!!!","")</f>
        <v/>
      </c>
      <c r="F2401" s="25" t="str">
        <f aca="false">IF(OR(E2401="",E2401="!!!"),"",IF(NOT(ISNA(VLOOKUP(E2401,E$1:E2400,1,FALSE()))),"OLD",IF(AND(E2401&lt;&gt;"",E2401&lt;&gt;"!!!"),"NEW","")))</f>
        <v/>
      </c>
      <c r="G2401" s="26" t="str">
        <f aca="false">IF(OR(E2401="",E2401="!!!"),"",IF(OR(J2401=0,AND(J2401=1,K2401=1),AND(J2401=1,I2401="SBJ"),AND(J2401=1,I2401=0)),"?IN_FOCUS",IF(J2401&lt;=2,"?ACTIVATED",IF(J2401&lt;&gt;"","?FAMILIAR",IF(F2401="NEW",IF(ISNA(VLOOKUP(E2401,#REF!,1,FALSE())),"?TYPE_IDENTIFIABLE","?REFERENTIAL"),"_")))))</f>
        <v/>
      </c>
      <c r="H2401" s="27" t="str">
        <f aca="false">IF(J2401&lt;&gt;1,"",IF(I2401="SBJ","CB","?"))</f>
        <v/>
      </c>
      <c r="I2401" s="24" t="str">
        <f aca="false">IF(OR(E2401="",E2401="!!!",F2401="NEW"),"",INDEX(B18:B$2384,-1+SUMPRODUCT(MAX(ROW(E18:E$2384)*(E2401=E18:E$2384)))))</f>
        <v/>
      </c>
      <c r="J2401" s="24" t="str">
        <f aca="true">IF(OR(E2401="",E2401="!!!",F2401="NEW"),"",COUNTBLANK(OFFSET(A$1,,,SUMPRODUCT(MAX(ROW(E$2:E2401)*(E2401=E$2:E2401)))))-COUNTBLANK(OFFSET(A$1,,,SUMPRODUCT(MAX(ROW(E$1:E2400)*(E2=E$1:E2400))))))</f>
        <v/>
      </c>
      <c r="K2401" s="24" t="str">
        <f aca="false">IF(OR(E2401="",E2401="!!!",F2401="NEW"),"",INDEX(J$1:J2400,SUMPRODUCT(MAX(ROW(E$1:E2400)*(E2401=E$1:E2400)))))</f>
        <v/>
      </c>
      <c r="L2401" s="31"/>
    </row>
    <row r="2402" customFormat="false" ht="15" hidden="false" customHeight="false" outlineLevel="0" collapsed="false">
      <c r="A2402" s="20" t="s">
        <v>1137</v>
      </c>
      <c r="B2402" s="22" t="s">
        <v>1142</v>
      </c>
      <c r="C2402" s="22" t="s">
        <v>1082</v>
      </c>
      <c r="D2402" s="22" t="s">
        <v>1060</v>
      </c>
      <c r="E2402" s="23" t="str">
        <f aca="false">IF(D2402="?OLD","!!!","")</f>
        <v>!!!</v>
      </c>
      <c r="F2402" s="25" t="str">
        <f aca="false">IF(OR(E2402="",E2402="!!!"),"",IF(NOT(ISNA(VLOOKUP(E2402,E$1:E2401,1,FALSE()))),"OLD",IF(AND(E2402&lt;&gt;"",E2402&lt;&gt;"!!!"),"NEW","")))</f>
        <v/>
      </c>
      <c r="G2402" s="26" t="str">
        <f aca="false">IF(OR(E2402="",E2402="!!!"),"",IF(OR(J2402=0,AND(J2402=1,K2402=1),AND(J2402=1,I2402="SBJ"),AND(J2402=1,I2402=0)),"?IN_FOCUS",IF(J2402&lt;=2,"?ACTIVATED",IF(J2402&lt;&gt;"","?FAMILIAR",IF(F2402="NEW",IF(ISNA(VLOOKUP(E2402,#REF!,1,FALSE())),"?TYPE_IDENTIFIABLE","?REFERENTIAL"),"_")))))</f>
        <v/>
      </c>
      <c r="H2402" s="27" t="str">
        <f aca="false">IF(J2402&lt;&gt;1,"",IF(I2402="SBJ","CB","?"))</f>
        <v/>
      </c>
      <c r="I2402" s="24" t="str">
        <f aca="false">IF(OR(E2402="",E2402="!!!",F2402="NEW"),"",INDEX(B19:B$2384,-1+SUMPRODUCT(MAX(ROW(E19:E$2384)*(E2402=E19:E$2384)))))</f>
        <v/>
      </c>
      <c r="J2402" s="24" t="str">
        <f aca="true">IF(OR(E2402="",E2402="!!!",F2402="NEW"),"",COUNTBLANK(OFFSET(A$1,,,SUMPRODUCT(MAX(ROW(E$2:E2402)*(E2402=E$2:E2402)))))-COUNTBLANK(OFFSET(A$1,,,SUMPRODUCT(MAX(ROW(E$1:E2401)*(E2=E$1:E2401))))))</f>
        <v/>
      </c>
      <c r="K2402" s="24" t="str">
        <f aca="false">IF(OR(E2402="",E2402="!!!",F2402="NEW"),"",INDEX(J$1:J2401,SUMPRODUCT(MAX(ROW(E$1:E2401)*(E2402=E$1:E2401)))))</f>
        <v/>
      </c>
      <c r="L2402" s="31"/>
    </row>
    <row r="2403" customFormat="false" ht="15" hidden="false" customHeight="false" outlineLevel="0" collapsed="false">
      <c r="A2403" s="20" t="s">
        <v>923</v>
      </c>
      <c r="E2403" s="23" t="str">
        <f aca="false">IF(D2403="?OLD","!!!","")</f>
        <v/>
      </c>
      <c r="F2403" s="25" t="str">
        <f aca="false">IF(OR(E2403="",E2403="!!!"),"",IF(NOT(ISNA(VLOOKUP(E2403,E$1:E2402,1,FALSE()))),"OLD",IF(AND(E2403&lt;&gt;"",E2403&lt;&gt;"!!!"),"NEW","")))</f>
        <v/>
      </c>
      <c r="G2403" s="26" t="str">
        <f aca="false">IF(OR(E2403="",E2403="!!!"),"",IF(OR(J2403=0,AND(J2403=1,K2403=1),AND(J2403=1,I2403="SBJ"),AND(J2403=1,I2403=0)),"?IN_FOCUS",IF(J2403&lt;=2,"?ACTIVATED",IF(J2403&lt;&gt;"","?FAMILIAR",IF(F2403="NEW",IF(ISNA(VLOOKUP(E2403,#REF!,1,FALSE())),"?TYPE_IDENTIFIABLE","?REFERENTIAL"),"_")))))</f>
        <v/>
      </c>
      <c r="H2403" s="27" t="str">
        <f aca="false">IF(J2403&lt;&gt;1,"",IF(I2403="SBJ","CB","?"))</f>
        <v/>
      </c>
      <c r="I2403" s="24" t="str">
        <f aca="false">IF(OR(E2403="",E2403="!!!",F2403="NEW"),"",INDEX(B20:B$2384,-1+SUMPRODUCT(MAX(ROW(E20:E$2384)*(E2403=E20:E$2384)))))</f>
        <v/>
      </c>
      <c r="J2403" s="24" t="str">
        <f aca="true">IF(OR(E2403="",E2403="!!!",F2403="NEW"),"",COUNTBLANK(OFFSET(A$1,,,SUMPRODUCT(MAX(ROW(E$2:E2403)*(E2403=E$2:E2403)))))-COUNTBLANK(OFFSET(A$1,,,SUMPRODUCT(MAX(ROW(E$1:E2402)*(E2=E$1:E2402))))))</f>
        <v/>
      </c>
      <c r="K2403" s="24" t="str">
        <f aca="false">IF(OR(E2403="",E2403="!!!",F2403="NEW"),"",INDEX(J$1:J2402,SUMPRODUCT(MAX(ROW(E$1:E2402)*(E2403=E$1:E2402)))))</f>
        <v/>
      </c>
      <c r="L2403" s="31"/>
    </row>
    <row r="2404" customFormat="false" ht="15" hidden="false" customHeight="false" outlineLevel="0" collapsed="false">
      <c r="A2404" s="20"/>
    </row>
    <row r="2405" customFormat="false" ht="15" hidden="false" customHeight="false" outlineLevel="0" collapsed="false">
      <c r="A2405" s="20" t="s">
        <v>1927</v>
      </c>
    </row>
    <row r="2406" customFormat="false" ht="15" hidden="false" customHeight="false" outlineLevel="0" collapsed="false">
      <c r="A2406" s="20" t="s">
        <v>1876</v>
      </c>
      <c r="E2406" s="23" t="str">
        <f aca="false">IF(D2406="?OLD","!!!","")</f>
        <v/>
      </c>
      <c r="F2406" s="25" t="str">
        <f aca="false">IF(OR(E2406="",E2406="!!!"),"",IF(NOT(ISNA(VLOOKUP(E2406,E$1:E2405,1,FALSE()))),"OLD",IF(AND(E2406&lt;&gt;"",E2406&lt;&gt;"!!!"),"NEW","")))</f>
        <v/>
      </c>
      <c r="G2406" s="26" t="str">
        <f aca="false">IF(OR(E2406="",E2406="!!!"),"",IF(OR(J2406=0,AND(J2406=1,K2406=1),AND(J2406=1,I2406="SBJ"),AND(J2406=1,I2406=0)),"?IN_FOCUS",IF(J2406&lt;=2,"?ACTIVATED",IF(J2406&lt;&gt;"","?FAMILIAR",IF(F2406="NEW",IF(ISNA(VLOOKUP(E2406,#REF!,1,FALSE())),"?TYPE_IDENTIFIABLE","?REFERENTIAL"),"_")))))</f>
        <v/>
      </c>
      <c r="H2406" s="27" t="str">
        <f aca="false">IF(J2406&lt;&gt;1,"",IF(I2406="SBJ","CB","?"))</f>
        <v/>
      </c>
      <c r="I2406" s="24" t="str">
        <f aca="false">IF(OR(E2406="",E2406="!!!",F2406="NEW"),"",INDEX(B2:B$2405,-1+SUMPRODUCT(MAX(ROW(E2:E$2405)*(E2406=E2:E$2405)))))</f>
        <v/>
      </c>
      <c r="J2406" s="24" t="str">
        <f aca="true">IF(OR(E2406="",E2406="!!!",F2406="NEW"),"",COUNTBLANK(OFFSET(A$1,,,SUMPRODUCT(MAX(ROW(E$2:E2406)*(E2406=E$2:E2406)))))-COUNTBLANK(OFFSET(A$1,,,SUMPRODUCT(MAX(ROW(E$1:E2405)*(E2=E$1:E2405))))))</f>
        <v/>
      </c>
      <c r="K2406" s="24" t="str">
        <f aca="false">IF(OR(E2406="",E2406="!!!",F2406="NEW"),"",INDEX(J$1:J2405,SUMPRODUCT(MAX(ROW(E$1:E2405)*(E2406=E$1:E2405)))))</f>
        <v/>
      </c>
      <c r="L2406" s="31"/>
    </row>
    <row r="2407" customFormat="false" ht="15" hidden="false" customHeight="false" outlineLevel="0" collapsed="false">
      <c r="A2407" s="20" t="s">
        <v>576</v>
      </c>
      <c r="E2407" s="23" t="str">
        <f aca="false">IF(D2407="?OLD","!!!","")</f>
        <v/>
      </c>
      <c r="F2407" s="25" t="str">
        <f aca="false">IF(OR(E2407="",E2407="!!!"),"",IF(NOT(ISNA(VLOOKUP(E2407,E$1:E2406,1,FALSE()))),"OLD",IF(AND(E2407&lt;&gt;"",E2407&lt;&gt;"!!!"),"NEW","")))</f>
        <v/>
      </c>
      <c r="G2407" s="26" t="str">
        <f aca="false">IF(OR(E2407="",E2407="!!!"),"",IF(OR(J2407=0,AND(J2407=1,K2407=1),AND(J2407=1,I2407="SBJ"),AND(J2407=1,I2407=0)),"?IN_FOCUS",IF(J2407&lt;=2,"?ACTIVATED",IF(J2407&lt;&gt;"","?FAMILIAR",IF(F2407="NEW",IF(ISNA(VLOOKUP(E2407,#REF!,1,FALSE())),"?TYPE_IDENTIFIABLE","?REFERENTIAL"),"_")))))</f>
        <v/>
      </c>
      <c r="H2407" s="27" t="str">
        <f aca="false">IF(J2407&lt;&gt;1,"",IF(I2407="SBJ","CB","?"))</f>
        <v/>
      </c>
      <c r="I2407" s="24" t="str">
        <f aca="false">IF(OR(E2407="",E2407="!!!",F2407="NEW"),"",INDEX(B3:B$2405,-1+SUMPRODUCT(MAX(ROW(E3:E$2405)*(E2407=E3:E$2405)))))</f>
        <v/>
      </c>
      <c r="J2407" s="24" t="str">
        <f aca="true">IF(OR(E2407="",E2407="!!!",F2407="NEW"),"",COUNTBLANK(OFFSET(A$1,,,SUMPRODUCT(MAX(ROW(E$2:E2407)*(E2407=E$2:E2407)))))-COUNTBLANK(OFFSET(A$1,,,SUMPRODUCT(MAX(ROW(E$1:E2406)*(E2=E$1:E2406))))))</f>
        <v/>
      </c>
      <c r="K2407" s="24" t="str">
        <f aca="false">IF(OR(E2407="",E2407="!!!",F2407="NEW"),"",INDEX(J$1:J2406,SUMPRODUCT(MAX(ROW(E$1:E2406)*(E2407=E$1:E2406)))))</f>
        <v/>
      </c>
      <c r="L2407" s="31"/>
    </row>
    <row r="2408" customFormat="false" ht="15" hidden="false" customHeight="false" outlineLevel="0" collapsed="false">
      <c r="A2408" s="20" t="s">
        <v>1162</v>
      </c>
      <c r="B2408" s="22" t="s">
        <v>1058</v>
      </c>
      <c r="C2408" s="22" t="s">
        <v>1082</v>
      </c>
      <c r="D2408" s="22" t="s">
        <v>1060</v>
      </c>
      <c r="E2408" s="23" t="str">
        <f aca="false">IF(D2408="?OLD","!!!","")</f>
        <v>!!!</v>
      </c>
      <c r="F2408" s="25" t="str">
        <f aca="false">IF(OR(E2408="",E2408="!!!"),"",IF(NOT(ISNA(VLOOKUP(E2408,E$1:E2407,1,FALSE()))),"OLD",IF(AND(E2408&lt;&gt;"",E2408&lt;&gt;"!!!"),"NEW","")))</f>
        <v/>
      </c>
      <c r="G2408" s="26" t="str">
        <f aca="false">IF(OR(E2408="",E2408="!!!"),"",IF(OR(J2408=0,AND(J2408=1,K2408=1),AND(J2408=1,I2408="SBJ"),AND(J2408=1,I2408=0)),"?IN_FOCUS",IF(J2408&lt;=2,"?ACTIVATED",IF(J2408&lt;&gt;"","?FAMILIAR",IF(F2408="NEW",IF(ISNA(VLOOKUP(E2408,#REF!,1,FALSE())),"?TYPE_IDENTIFIABLE","?REFERENTIAL"),"_")))))</f>
        <v/>
      </c>
      <c r="H2408" s="27" t="str">
        <f aca="false">IF(J2408&lt;&gt;1,"",IF(I2408="SBJ","CB","?"))</f>
        <v/>
      </c>
      <c r="I2408" s="24" t="str">
        <f aca="false">IF(OR(E2408="",E2408="!!!",F2408="NEW"),"",INDEX(B4:B$2405,-1+SUMPRODUCT(MAX(ROW(E4:E$2405)*(E2408=E4:E$2405)))))</f>
        <v/>
      </c>
      <c r="J2408" s="24" t="str">
        <f aca="true">IF(OR(E2408="",E2408="!!!",F2408="NEW"),"",COUNTBLANK(OFFSET(A$1,,,SUMPRODUCT(MAX(ROW(E$2:E2408)*(E2408=E$2:E2408)))))-COUNTBLANK(OFFSET(A$1,,,SUMPRODUCT(MAX(ROW(E$1:E2407)*(E2=E$1:E2407))))))</f>
        <v/>
      </c>
      <c r="K2408" s="24" t="str">
        <f aca="false">IF(OR(E2408="",E2408="!!!",F2408="NEW"),"",INDEX(J$1:J2407,SUMPRODUCT(MAX(ROW(E$1:E2407)*(E2408=E$1:E2407)))))</f>
        <v/>
      </c>
      <c r="L2408" s="31"/>
    </row>
    <row r="2409" customFormat="false" ht="15" hidden="false" customHeight="false" outlineLevel="0" collapsed="false">
      <c r="A2409" s="20" t="s">
        <v>1572</v>
      </c>
      <c r="E2409" s="23" t="str">
        <f aca="false">IF(D2409="?OLD","!!!","")</f>
        <v/>
      </c>
      <c r="F2409" s="25" t="str">
        <f aca="false">IF(OR(E2409="",E2409="!!!"),"",IF(NOT(ISNA(VLOOKUP(E2409,E$1:E2408,1,FALSE()))),"OLD",IF(AND(E2409&lt;&gt;"",E2409&lt;&gt;"!!!"),"NEW","")))</f>
        <v/>
      </c>
      <c r="G2409" s="26" t="str">
        <f aca="false">IF(OR(E2409="",E2409="!!!"),"",IF(OR(J2409=0,AND(J2409=1,K2409=1),AND(J2409=1,I2409="SBJ"),AND(J2409=1,I2409=0)),"?IN_FOCUS",IF(J2409&lt;=2,"?ACTIVATED",IF(J2409&lt;&gt;"","?FAMILIAR",IF(F2409="NEW",IF(ISNA(VLOOKUP(E2409,#REF!,1,FALSE())),"?TYPE_IDENTIFIABLE","?REFERENTIAL"),"_")))))</f>
        <v/>
      </c>
      <c r="H2409" s="27" t="str">
        <f aca="false">IF(J2409&lt;&gt;1,"",IF(I2409="SBJ","CB","?"))</f>
        <v/>
      </c>
      <c r="I2409" s="24" t="str">
        <f aca="false">IF(OR(E2409="",E2409="!!!",F2409="NEW"),"",INDEX(B5:B$2405,-1+SUMPRODUCT(MAX(ROW(E5:E$2405)*(E2409=E5:E$2405)))))</f>
        <v/>
      </c>
      <c r="J2409" s="24" t="str">
        <f aca="true">IF(OR(E2409="",E2409="!!!",F2409="NEW"),"",COUNTBLANK(OFFSET(A$1,,,SUMPRODUCT(MAX(ROW(E$2:E2409)*(E2409=E$2:E2409)))))-COUNTBLANK(OFFSET(A$1,,,SUMPRODUCT(MAX(ROW(E$1:E2408)*(E2=E$1:E2408))))))</f>
        <v/>
      </c>
      <c r="K2409" s="24" t="str">
        <f aca="false">IF(OR(E2409="",E2409="!!!",F2409="NEW"),"",INDEX(J$1:J2408,SUMPRODUCT(MAX(ROW(E$1:E2408)*(E2409=E$1:E2408)))))</f>
        <v/>
      </c>
      <c r="L2409" s="31"/>
    </row>
    <row r="2410" customFormat="false" ht="15" hidden="false" customHeight="false" outlineLevel="0" collapsed="false">
      <c r="A2410" s="20" t="s">
        <v>1085</v>
      </c>
      <c r="E2410" s="23" t="str">
        <f aca="false">IF(D2410="?OLD","!!!","")</f>
        <v/>
      </c>
      <c r="F2410" s="25" t="str">
        <f aca="false">IF(OR(E2410="",E2410="!!!"),"",IF(NOT(ISNA(VLOOKUP(E2410,E$1:E2409,1,FALSE()))),"OLD",IF(AND(E2410&lt;&gt;"",E2410&lt;&gt;"!!!"),"NEW","")))</f>
        <v/>
      </c>
      <c r="G2410" s="26" t="str">
        <f aca="false">IF(OR(E2410="",E2410="!!!"),"",IF(OR(J2410=0,AND(J2410=1,K2410=1),AND(J2410=1,I2410="SBJ"),AND(J2410=1,I2410=0)),"?IN_FOCUS",IF(J2410&lt;=2,"?ACTIVATED",IF(J2410&lt;&gt;"","?FAMILIAR",IF(F2410="NEW",IF(ISNA(VLOOKUP(E2410,#REF!,1,FALSE())),"?TYPE_IDENTIFIABLE","?REFERENTIAL"),"_")))))</f>
        <v/>
      </c>
      <c r="H2410" s="27" t="str">
        <f aca="false">IF(J2410&lt;&gt;1,"",IF(I2410="SBJ","CB","?"))</f>
        <v/>
      </c>
      <c r="I2410" s="24" t="str">
        <f aca="false">IF(OR(E2410="",E2410="!!!",F2410="NEW"),"",INDEX(B6:B$2405,-1+SUMPRODUCT(MAX(ROW(E6:E$2405)*(E2410=E6:E$2405)))))</f>
        <v/>
      </c>
      <c r="J2410" s="24" t="str">
        <f aca="true">IF(OR(E2410="",E2410="!!!",F2410="NEW"),"",COUNTBLANK(OFFSET(A$1,,,SUMPRODUCT(MAX(ROW(E$2:E2410)*(E2410=E$2:E2410)))))-COUNTBLANK(OFFSET(A$1,,,SUMPRODUCT(MAX(ROW(E$1:E2409)*(E2=E$1:E2409))))))</f>
        <v/>
      </c>
      <c r="K2410" s="24" t="str">
        <f aca="false">IF(OR(E2410="",E2410="!!!",F2410="NEW"),"",INDEX(J$1:J2409,SUMPRODUCT(MAX(ROW(E$1:E2409)*(E2410=E$1:E2409)))))</f>
        <v/>
      </c>
      <c r="L2410" s="31"/>
    </row>
    <row r="2411" customFormat="false" ht="15" hidden="false" customHeight="false" outlineLevel="0" collapsed="false">
      <c r="A2411" s="20" t="s">
        <v>1786</v>
      </c>
      <c r="B2411" s="22" t="s">
        <v>1081</v>
      </c>
      <c r="C2411" s="22" t="s">
        <v>1087</v>
      </c>
      <c r="E2411" s="23" t="str">
        <f aca="false">IF(D2411="?OLD","!!!","")</f>
        <v/>
      </c>
      <c r="F2411" s="25" t="str">
        <f aca="false">IF(OR(E2411="",E2411="!!!"),"",IF(NOT(ISNA(VLOOKUP(E2411,E$1:E2410,1,FALSE()))),"OLD",IF(AND(E2411&lt;&gt;"",E2411&lt;&gt;"!!!"),"NEW","")))</f>
        <v/>
      </c>
      <c r="G2411" s="26" t="str">
        <f aca="false">IF(OR(E2411="",E2411="!!!"),"",IF(OR(J2411=0,AND(J2411=1,K2411=1),AND(J2411=1,I2411="SBJ"),AND(J2411=1,I2411=0)),"?IN_FOCUS",IF(J2411&lt;=2,"?ACTIVATED",IF(J2411&lt;&gt;"","?FAMILIAR",IF(F2411="NEW",IF(ISNA(VLOOKUP(E2411,#REF!,1,FALSE())),"?TYPE_IDENTIFIABLE","?REFERENTIAL"),"_")))))</f>
        <v/>
      </c>
      <c r="H2411" s="27" t="str">
        <f aca="false">IF(J2411&lt;&gt;1,"",IF(I2411="SBJ","CB","?"))</f>
        <v/>
      </c>
      <c r="I2411" s="24" t="str">
        <f aca="false">IF(OR(E2411="",E2411="!!!",F2411="NEW"),"",INDEX(B7:B$2405,-1+SUMPRODUCT(MAX(ROW(E7:E$2405)*(E2411=E7:E$2405)))))</f>
        <v/>
      </c>
      <c r="J2411" s="24" t="str">
        <f aca="true">IF(OR(E2411="",E2411="!!!",F2411="NEW"),"",COUNTBLANK(OFFSET(A$1,,,SUMPRODUCT(MAX(ROW(E$2:E2411)*(E2411=E$2:E2411)))))-COUNTBLANK(OFFSET(A$1,,,SUMPRODUCT(MAX(ROW(E$1:E2410)*(E2=E$1:E2410))))))</f>
        <v/>
      </c>
      <c r="K2411" s="24" t="str">
        <f aca="false">IF(OR(E2411="",E2411="!!!",F2411="NEW"),"",INDEX(J$1:J2410,SUMPRODUCT(MAX(ROW(E$1:E2410)*(E2411=E$1:E2410)))))</f>
        <v/>
      </c>
      <c r="L2411" s="31"/>
    </row>
    <row r="2412" customFormat="false" ht="15" hidden="false" customHeight="false" outlineLevel="0" collapsed="false">
      <c r="A2412" s="20" t="s">
        <v>1928</v>
      </c>
      <c r="E2412" s="23" t="str">
        <f aca="false">IF(D2412="?OLD","!!!","")</f>
        <v/>
      </c>
      <c r="F2412" s="25" t="str">
        <f aca="false">IF(OR(E2412="",E2412="!!!"),"",IF(NOT(ISNA(VLOOKUP(E2412,E$1:E2411,1,FALSE()))),"OLD",IF(AND(E2412&lt;&gt;"",E2412&lt;&gt;"!!!"),"NEW","")))</f>
        <v/>
      </c>
      <c r="G2412" s="26" t="str">
        <f aca="false">IF(OR(E2412="",E2412="!!!"),"",IF(OR(J2412=0,AND(J2412=1,K2412=1),AND(J2412=1,I2412="SBJ"),AND(J2412=1,I2412=0)),"?IN_FOCUS",IF(J2412&lt;=2,"?ACTIVATED",IF(J2412&lt;&gt;"","?FAMILIAR",IF(F2412="NEW",IF(ISNA(VLOOKUP(E2412,#REF!,1,FALSE())),"?TYPE_IDENTIFIABLE","?REFERENTIAL"),"_")))))</f>
        <v/>
      </c>
      <c r="H2412" s="27" t="str">
        <f aca="false">IF(J2412&lt;&gt;1,"",IF(I2412="SBJ","CB","?"))</f>
        <v/>
      </c>
      <c r="I2412" s="24" t="str">
        <f aca="false">IF(OR(E2412="",E2412="!!!",F2412="NEW"),"",INDEX(B8:B$2405,-1+SUMPRODUCT(MAX(ROW(E8:E$2405)*(E2412=E8:E$2405)))))</f>
        <v/>
      </c>
      <c r="J2412" s="24" t="str">
        <f aca="true">IF(OR(E2412="",E2412="!!!",F2412="NEW"),"",COUNTBLANK(OFFSET(A$1,,,SUMPRODUCT(MAX(ROW(E$2:E2412)*(E2412=E$2:E2412)))))-COUNTBLANK(OFFSET(A$1,,,SUMPRODUCT(MAX(ROW(E$1:E2411)*(E2=E$1:E2411))))))</f>
        <v/>
      </c>
      <c r="K2412" s="24" t="str">
        <f aca="false">IF(OR(E2412="",E2412="!!!",F2412="NEW"),"",INDEX(J$1:J2411,SUMPRODUCT(MAX(ROW(E$1:E2411)*(E2412=E$1:E2411)))))</f>
        <v/>
      </c>
      <c r="L2412" s="31"/>
    </row>
    <row r="2413" customFormat="false" ht="15" hidden="false" customHeight="false" outlineLevel="0" collapsed="false">
      <c r="A2413" s="20" t="s">
        <v>1157</v>
      </c>
      <c r="E2413" s="23" t="str">
        <f aca="false">IF(D2413="?OLD","!!!","")</f>
        <v/>
      </c>
      <c r="F2413" s="25" t="str">
        <f aca="false">IF(OR(E2413="",E2413="!!!"),"",IF(NOT(ISNA(VLOOKUP(E2413,E$1:E2412,1,FALSE()))),"OLD",IF(AND(E2413&lt;&gt;"",E2413&lt;&gt;"!!!"),"NEW","")))</f>
        <v/>
      </c>
      <c r="G2413" s="26" t="str">
        <f aca="false">IF(OR(E2413="",E2413="!!!"),"",IF(OR(J2413=0,AND(J2413=1,K2413=1),AND(J2413=1,I2413="SBJ"),AND(J2413=1,I2413=0)),"?IN_FOCUS",IF(J2413&lt;=2,"?ACTIVATED",IF(J2413&lt;&gt;"","?FAMILIAR",IF(F2413="NEW",IF(ISNA(VLOOKUP(E2413,#REF!,1,FALSE())),"?TYPE_IDENTIFIABLE","?REFERENTIAL"),"_")))))</f>
        <v/>
      </c>
      <c r="H2413" s="27" t="str">
        <f aca="false">IF(J2413&lt;&gt;1,"",IF(I2413="SBJ","CB","?"))</f>
        <v/>
      </c>
      <c r="I2413" s="24" t="str">
        <f aca="false">IF(OR(E2413="",E2413="!!!",F2413="NEW"),"",INDEX(B9:B$2405,-1+SUMPRODUCT(MAX(ROW(E9:E$2405)*(E2413=E9:E$2405)))))</f>
        <v/>
      </c>
      <c r="J2413" s="24" t="str">
        <f aca="true">IF(OR(E2413="",E2413="!!!",F2413="NEW"),"",COUNTBLANK(OFFSET(A$1,,,SUMPRODUCT(MAX(ROW(E$2:E2413)*(E2413=E$2:E2413)))))-COUNTBLANK(OFFSET(A$1,,,SUMPRODUCT(MAX(ROW(E$1:E2412)*(E2=E$1:E2412))))))</f>
        <v/>
      </c>
      <c r="K2413" s="24" t="str">
        <f aca="false">IF(OR(E2413="",E2413="!!!",F2413="NEW"),"",INDEX(J$1:J2412,SUMPRODUCT(MAX(ROW(E$1:E2412)*(E2413=E$1:E2412)))))</f>
        <v/>
      </c>
      <c r="L2413" s="31"/>
    </row>
    <row r="2414" customFormat="false" ht="15" hidden="false" customHeight="false" outlineLevel="0" collapsed="false">
      <c r="A2414" s="20" t="s">
        <v>1066</v>
      </c>
      <c r="B2414" s="22" t="s">
        <v>1086</v>
      </c>
      <c r="C2414" s="22" t="s">
        <v>1068</v>
      </c>
      <c r="D2414" s="22" t="s">
        <v>1060</v>
      </c>
      <c r="E2414" s="23" t="str">
        <f aca="false">IF(D2414="?OLD","!!!","")</f>
        <v>!!!</v>
      </c>
      <c r="F2414" s="25" t="str">
        <f aca="false">IF(OR(E2414="",E2414="!!!"),"",IF(NOT(ISNA(VLOOKUP(E2414,E$1:E2413,1,FALSE()))),"OLD",IF(AND(E2414&lt;&gt;"",E2414&lt;&gt;"!!!"),"NEW","")))</f>
        <v/>
      </c>
      <c r="G2414" s="26" t="str">
        <f aca="false">IF(OR(E2414="",E2414="!!!"),"",IF(OR(J2414=0,AND(J2414=1,K2414=1),AND(J2414=1,I2414="SBJ"),AND(J2414=1,I2414=0)),"?IN_FOCUS",IF(J2414&lt;=2,"?ACTIVATED",IF(J2414&lt;&gt;"","?FAMILIAR",IF(F2414="NEW",IF(ISNA(VLOOKUP(E2414,#REF!,1,FALSE())),"?TYPE_IDENTIFIABLE","?REFERENTIAL"),"_")))))</f>
        <v/>
      </c>
      <c r="H2414" s="27" t="str">
        <f aca="false">IF(J2414&lt;&gt;1,"",IF(I2414="SBJ","CB","?"))</f>
        <v/>
      </c>
      <c r="I2414" s="24" t="str">
        <f aca="false">IF(OR(E2414="",E2414="!!!",F2414="NEW"),"",INDEX(B10:B$2405,-1+SUMPRODUCT(MAX(ROW(E10:E$2405)*(E2414=E10:E$2405)))))</f>
        <v/>
      </c>
      <c r="J2414" s="24" t="str">
        <f aca="true">IF(OR(E2414="",E2414="!!!",F2414="NEW"),"",COUNTBLANK(OFFSET(A$1,,,SUMPRODUCT(MAX(ROW(E$2:E2414)*(E2414=E$2:E2414)))))-COUNTBLANK(OFFSET(A$1,,,SUMPRODUCT(MAX(ROW(E$1:E2413)*(E2=E$1:E2413))))))</f>
        <v/>
      </c>
      <c r="K2414" s="24" t="str">
        <f aca="false">IF(OR(E2414="",E2414="!!!",F2414="NEW"),"",INDEX(J$1:J2413,SUMPRODUCT(MAX(ROW(E$1:E2413)*(E2414=E$1:E2413)))))</f>
        <v/>
      </c>
      <c r="L2414" s="31"/>
    </row>
    <row r="2415" customFormat="false" ht="15" hidden="false" customHeight="false" outlineLevel="0" collapsed="false">
      <c r="A2415" s="20" t="s">
        <v>1929</v>
      </c>
      <c r="E2415" s="23" t="str">
        <f aca="false">IF(D2415="?OLD","!!!","")</f>
        <v/>
      </c>
      <c r="F2415" s="25" t="str">
        <f aca="false">IF(OR(E2415="",E2415="!!!"),"",IF(NOT(ISNA(VLOOKUP(E2415,E$1:E2414,1,FALSE()))),"OLD",IF(AND(E2415&lt;&gt;"",E2415&lt;&gt;"!!!"),"NEW","")))</f>
        <v/>
      </c>
      <c r="G2415" s="26" t="str">
        <f aca="false">IF(OR(E2415="",E2415="!!!"),"",IF(OR(J2415=0,AND(J2415=1,K2415=1),AND(J2415=1,I2415="SBJ"),AND(J2415=1,I2415=0)),"?IN_FOCUS",IF(J2415&lt;=2,"?ACTIVATED",IF(J2415&lt;&gt;"","?FAMILIAR",IF(F2415="NEW",IF(ISNA(VLOOKUP(E2415,#REF!,1,FALSE())),"?TYPE_IDENTIFIABLE","?REFERENTIAL"),"_")))))</f>
        <v/>
      </c>
      <c r="H2415" s="27" t="str">
        <f aca="false">IF(J2415&lt;&gt;1,"",IF(I2415="SBJ","CB","?"))</f>
        <v/>
      </c>
      <c r="I2415" s="24" t="str">
        <f aca="false">IF(OR(E2415="",E2415="!!!",F2415="NEW"),"",INDEX(B11:B$2405,-1+SUMPRODUCT(MAX(ROW(E11:E$2405)*(E2415=E11:E$2405)))))</f>
        <v/>
      </c>
      <c r="J2415" s="24" t="str">
        <f aca="true">IF(OR(E2415="",E2415="!!!",F2415="NEW"),"",COUNTBLANK(OFFSET(A$1,,,SUMPRODUCT(MAX(ROW(E$2:E2415)*(E2415=E$2:E2415)))))-COUNTBLANK(OFFSET(A$1,,,SUMPRODUCT(MAX(ROW(E$1:E2414)*(E2=E$1:E2414))))))</f>
        <v/>
      </c>
      <c r="K2415" s="24" t="str">
        <f aca="false">IF(OR(E2415="",E2415="!!!",F2415="NEW"),"",INDEX(J$1:J2414,SUMPRODUCT(MAX(ROW(E$1:E2414)*(E2415=E$1:E2414)))))</f>
        <v/>
      </c>
      <c r="L2415" s="31"/>
    </row>
    <row r="2416" customFormat="false" ht="15" hidden="false" customHeight="false" outlineLevel="0" collapsed="false">
      <c r="A2416" s="20" t="s">
        <v>1089</v>
      </c>
      <c r="E2416" s="23" t="str">
        <f aca="false">IF(D2416="?OLD","!!!","")</f>
        <v/>
      </c>
      <c r="F2416" s="25" t="str">
        <f aca="false">IF(OR(E2416="",E2416="!!!"),"",IF(NOT(ISNA(VLOOKUP(E2416,E$1:E2415,1,FALSE()))),"OLD",IF(AND(E2416&lt;&gt;"",E2416&lt;&gt;"!!!"),"NEW","")))</f>
        <v/>
      </c>
      <c r="G2416" s="26" t="str">
        <f aca="false">IF(OR(E2416="",E2416="!!!"),"",IF(OR(J2416=0,AND(J2416=1,K2416=1),AND(J2416=1,I2416="SBJ"),AND(J2416=1,I2416=0)),"?IN_FOCUS",IF(J2416&lt;=2,"?ACTIVATED",IF(J2416&lt;&gt;"","?FAMILIAR",IF(F2416="NEW",IF(ISNA(VLOOKUP(E2416,#REF!,1,FALSE())),"?TYPE_IDENTIFIABLE","?REFERENTIAL"),"_")))))</f>
        <v/>
      </c>
      <c r="H2416" s="27" t="str">
        <f aca="false">IF(J2416&lt;&gt;1,"",IF(I2416="SBJ","CB","?"))</f>
        <v/>
      </c>
      <c r="I2416" s="24" t="str">
        <f aca="false">IF(OR(E2416="",E2416="!!!",F2416="NEW"),"",INDEX(B12:B$2405,-1+SUMPRODUCT(MAX(ROW(E12:E$2405)*(E2416=E12:E$2405)))))</f>
        <v/>
      </c>
      <c r="J2416" s="24" t="str">
        <f aca="true">IF(OR(E2416="",E2416="!!!",F2416="NEW"),"",COUNTBLANK(OFFSET(A$1,,,SUMPRODUCT(MAX(ROW(E$2:E2416)*(E2416=E$2:E2416)))))-COUNTBLANK(OFFSET(A$1,,,SUMPRODUCT(MAX(ROW(E$1:E2415)*(E2=E$1:E2415))))))</f>
        <v/>
      </c>
      <c r="K2416" s="24" t="str">
        <f aca="false">IF(OR(E2416="",E2416="!!!",F2416="NEW"),"",INDEX(J$1:J2415,SUMPRODUCT(MAX(ROW(E$1:E2415)*(E2416=E$1:E2415)))))</f>
        <v/>
      </c>
      <c r="L2416" s="31"/>
    </row>
    <row r="2417" customFormat="false" ht="15" hidden="false" customHeight="false" outlineLevel="0" collapsed="false">
      <c r="A2417" s="20" t="s">
        <v>1643</v>
      </c>
      <c r="B2417" s="22" t="s">
        <v>1073</v>
      </c>
      <c r="C2417" s="22" t="s">
        <v>1171</v>
      </c>
      <c r="D2417" s="22" t="s">
        <v>1060</v>
      </c>
      <c r="E2417" s="23" t="str">
        <f aca="false">IF(D2417="?OLD","!!!","")</f>
        <v>!!!</v>
      </c>
      <c r="F2417" s="25" t="str">
        <f aca="false">IF(OR(E2417="",E2417="!!!"),"",IF(NOT(ISNA(VLOOKUP(E2417,E$1:E2416,1,FALSE()))),"OLD",IF(AND(E2417&lt;&gt;"",E2417&lt;&gt;"!!!"),"NEW","")))</f>
        <v/>
      </c>
      <c r="G2417" s="26" t="str">
        <f aca="false">IF(OR(E2417="",E2417="!!!"),"",IF(OR(J2417=0,AND(J2417=1,K2417=1),AND(J2417=1,I2417="SBJ"),AND(J2417=1,I2417=0)),"?IN_FOCUS",IF(J2417&lt;=2,"?ACTIVATED",IF(J2417&lt;&gt;"","?FAMILIAR",IF(F2417="NEW",IF(ISNA(VLOOKUP(E2417,#REF!,1,FALSE())),"?TYPE_IDENTIFIABLE","?REFERENTIAL"),"_")))))</f>
        <v/>
      </c>
      <c r="H2417" s="27" t="str">
        <f aca="false">IF(J2417&lt;&gt;1,"",IF(I2417="SBJ","CB","?"))</f>
        <v/>
      </c>
      <c r="I2417" s="24" t="str">
        <f aca="false">IF(OR(E2417="",E2417="!!!",F2417="NEW"),"",INDEX(B13:B$2405,-1+SUMPRODUCT(MAX(ROW(E13:E$2405)*(E2417=E13:E$2405)))))</f>
        <v/>
      </c>
      <c r="J2417" s="24" t="str">
        <f aca="true">IF(OR(E2417="",E2417="!!!",F2417="NEW"),"",COUNTBLANK(OFFSET(A$1,,,SUMPRODUCT(MAX(ROW(E$2:E2417)*(E2417=E$2:E2417)))))-COUNTBLANK(OFFSET(A$1,,,SUMPRODUCT(MAX(ROW(E$1:E2416)*(E2=E$1:E2416))))))</f>
        <v/>
      </c>
      <c r="K2417" s="24" t="str">
        <f aca="false">IF(OR(E2417="",E2417="!!!",F2417="NEW"),"",INDEX(J$1:J2416,SUMPRODUCT(MAX(ROW(E$1:E2416)*(E2417=E$1:E2416)))))</f>
        <v/>
      </c>
      <c r="L2417" s="31"/>
    </row>
    <row r="2418" customFormat="false" ht="15" hidden="false" customHeight="false" outlineLevel="0" collapsed="false">
      <c r="A2418" s="20" t="s">
        <v>923</v>
      </c>
      <c r="E2418" s="23" t="str">
        <f aca="false">IF(D2418="?OLD","!!!","")</f>
        <v/>
      </c>
      <c r="F2418" s="25" t="str">
        <f aca="false">IF(OR(E2418="",E2418="!!!"),"",IF(NOT(ISNA(VLOOKUP(E2418,E$1:E2417,1,FALSE()))),"OLD",IF(AND(E2418&lt;&gt;"",E2418&lt;&gt;"!!!"),"NEW","")))</f>
        <v/>
      </c>
      <c r="G2418" s="26" t="str">
        <f aca="false">IF(OR(E2418="",E2418="!!!"),"",IF(OR(J2418=0,AND(J2418=1,K2418=1),AND(J2418=1,I2418="SBJ"),AND(J2418=1,I2418=0)),"?IN_FOCUS",IF(J2418&lt;=2,"?ACTIVATED",IF(J2418&lt;&gt;"","?FAMILIAR",IF(F2418="NEW",IF(ISNA(VLOOKUP(E2418,#REF!,1,FALSE())),"?TYPE_IDENTIFIABLE","?REFERENTIAL"),"_")))))</f>
        <v/>
      </c>
      <c r="H2418" s="27" t="str">
        <f aca="false">IF(J2418&lt;&gt;1,"",IF(I2418="SBJ","CB","?"))</f>
        <v/>
      </c>
      <c r="I2418" s="24" t="str">
        <f aca="false">IF(OR(E2418="",E2418="!!!",F2418="NEW"),"",INDEX(B14:B$2405,-1+SUMPRODUCT(MAX(ROW(E14:E$2405)*(E2418=E14:E$2405)))))</f>
        <v/>
      </c>
      <c r="J2418" s="24" t="str">
        <f aca="true">IF(OR(E2418="",E2418="!!!",F2418="NEW"),"",COUNTBLANK(OFFSET(A$1,,,SUMPRODUCT(MAX(ROW(E$2:E2418)*(E2418=E$2:E2418)))))-COUNTBLANK(OFFSET(A$1,,,SUMPRODUCT(MAX(ROW(E$1:E2417)*(E2=E$1:E2417))))))</f>
        <v/>
      </c>
      <c r="K2418" s="24" t="str">
        <f aca="false">IF(OR(E2418="",E2418="!!!",F2418="NEW"),"",INDEX(J$1:J2417,SUMPRODUCT(MAX(ROW(E$1:E2417)*(E2418=E$1:E2417)))))</f>
        <v/>
      </c>
      <c r="L2418" s="31"/>
    </row>
    <row r="2419" customFormat="false" ht="15" hidden="false" customHeight="false" outlineLevel="0" collapsed="false">
      <c r="A2419" s="20"/>
    </row>
    <row r="2420" customFormat="false" ht="15" hidden="false" customHeight="false" outlineLevel="0" collapsed="false">
      <c r="A2420" s="20" t="s">
        <v>1930</v>
      </c>
    </row>
    <row r="2421" customFormat="false" ht="15" hidden="false" customHeight="false" outlineLevel="0" collapsed="false">
      <c r="A2421" s="20" t="s">
        <v>1162</v>
      </c>
      <c r="B2421" s="22" t="s">
        <v>1058</v>
      </c>
      <c r="C2421" s="22" t="s">
        <v>1082</v>
      </c>
      <c r="D2421" s="22" t="s">
        <v>1060</v>
      </c>
      <c r="E2421" s="23" t="str">
        <f aca="false">IF(D2421="?OLD","!!!","")</f>
        <v>!!!</v>
      </c>
      <c r="F2421" s="25" t="str">
        <f aca="false">IF(OR(E2421="",E2421="!!!"),"",IF(NOT(ISNA(VLOOKUP(E2421,E$1:E2420,1,FALSE()))),"OLD",IF(AND(E2421&lt;&gt;"",E2421&lt;&gt;"!!!"),"NEW","")))</f>
        <v/>
      </c>
      <c r="G2421" s="26" t="str">
        <f aca="false">IF(OR(E2421="",E2421="!!!"),"",IF(OR(J2421=0,AND(J2421=1,K2421=1),AND(J2421=1,I2421="SBJ"),AND(J2421=1,I2421=0)),"?IN_FOCUS",IF(J2421&lt;=2,"?ACTIVATED",IF(J2421&lt;&gt;"","?FAMILIAR",IF(F2421="NEW",IF(ISNA(VLOOKUP(E2421,#REF!,1,FALSE())),"?TYPE_IDENTIFIABLE","?REFERENTIAL"),"_")))))</f>
        <v/>
      </c>
      <c r="H2421" s="27" t="str">
        <f aca="false">IF(J2421&lt;&gt;1,"",IF(I2421="SBJ","CB","?"))</f>
        <v/>
      </c>
      <c r="I2421" s="24" t="str">
        <f aca="false">IF(OR(E2421="",E2421="!!!",F2421="NEW"),"",INDEX(B2:B$2420,-1+SUMPRODUCT(MAX(ROW(E2:E$2420)*(E2421=E2:E$2420)))))</f>
        <v/>
      </c>
      <c r="J2421" s="24" t="str">
        <f aca="true">IF(OR(E2421="",E2421="!!!",F2421="NEW"),"",COUNTBLANK(OFFSET(A$1,,,SUMPRODUCT(MAX(ROW(E$2:E2421)*(E2421=E$2:E2421)))))-COUNTBLANK(OFFSET(A$1,,,SUMPRODUCT(MAX(ROW(E$1:E2420)*(E2=E$1:E2420))))))</f>
        <v/>
      </c>
      <c r="K2421" s="24" t="str">
        <f aca="false">IF(OR(E2421="",E2421="!!!",F2421="NEW"),"",INDEX(J$1:J2420,SUMPRODUCT(MAX(ROW(E$1:E2420)*(E2421=E$1:E2420)))))</f>
        <v/>
      </c>
      <c r="L2421" s="31"/>
    </row>
    <row r="2422" customFormat="false" ht="15" hidden="false" customHeight="false" outlineLevel="0" collapsed="false">
      <c r="A2422" s="20" t="s">
        <v>1931</v>
      </c>
      <c r="E2422" s="23" t="str">
        <f aca="false">IF(D2422="?OLD","!!!","")</f>
        <v/>
      </c>
      <c r="F2422" s="25" t="str">
        <f aca="false">IF(OR(E2422="",E2422="!!!"),"",IF(NOT(ISNA(VLOOKUP(E2422,E$1:E2421,1,FALSE()))),"OLD",IF(AND(E2422&lt;&gt;"",E2422&lt;&gt;"!!!"),"NEW","")))</f>
        <v/>
      </c>
      <c r="G2422" s="26" t="str">
        <f aca="false">IF(OR(E2422="",E2422="!!!"),"",IF(OR(J2422=0,AND(J2422=1,K2422=1),AND(J2422=1,I2422="SBJ"),AND(J2422=1,I2422=0)),"?IN_FOCUS",IF(J2422&lt;=2,"?ACTIVATED",IF(J2422&lt;&gt;"","?FAMILIAR",IF(F2422="NEW",IF(ISNA(VLOOKUP(E2422,#REF!,1,FALSE())),"?TYPE_IDENTIFIABLE","?REFERENTIAL"),"_")))))</f>
        <v/>
      </c>
      <c r="H2422" s="27" t="str">
        <f aca="false">IF(J2422&lt;&gt;1,"",IF(I2422="SBJ","CB","?"))</f>
        <v/>
      </c>
      <c r="I2422" s="24" t="str">
        <f aca="false">IF(OR(E2422="",E2422="!!!",F2422="NEW"),"",INDEX(B3:B$2420,-1+SUMPRODUCT(MAX(ROW(E3:E$2420)*(E2422=E3:E$2420)))))</f>
        <v/>
      </c>
      <c r="J2422" s="24" t="str">
        <f aca="true">IF(OR(E2422="",E2422="!!!",F2422="NEW"),"",COUNTBLANK(OFFSET(A$1,,,SUMPRODUCT(MAX(ROW(E$2:E2422)*(E2422=E$2:E2422)))))-COUNTBLANK(OFFSET(A$1,,,SUMPRODUCT(MAX(ROW(E$1:E2421)*(E2=E$1:E2421))))))</f>
        <v/>
      </c>
      <c r="K2422" s="24" t="str">
        <f aca="false">IF(OR(E2422="",E2422="!!!",F2422="NEW"),"",INDEX(J$1:J2421,SUMPRODUCT(MAX(ROW(E$1:E2421)*(E2422=E$1:E2421)))))</f>
        <v/>
      </c>
      <c r="L2422" s="31"/>
    </row>
    <row r="2423" customFormat="false" ht="15" hidden="false" customHeight="false" outlineLevel="0" collapsed="false">
      <c r="A2423" s="20" t="s">
        <v>1932</v>
      </c>
      <c r="E2423" s="23" t="str">
        <f aca="false">IF(D2423="?OLD","!!!","")</f>
        <v/>
      </c>
      <c r="F2423" s="25" t="str">
        <f aca="false">IF(OR(E2423="",E2423="!!!"),"",IF(NOT(ISNA(VLOOKUP(E2423,E$1:E2422,1,FALSE()))),"OLD",IF(AND(E2423&lt;&gt;"",E2423&lt;&gt;"!!!"),"NEW","")))</f>
        <v/>
      </c>
      <c r="G2423" s="26" t="str">
        <f aca="false">IF(OR(E2423="",E2423="!!!"),"",IF(OR(J2423=0,AND(J2423=1,K2423=1),AND(J2423=1,I2423="SBJ"),AND(J2423=1,I2423=0)),"?IN_FOCUS",IF(J2423&lt;=2,"?ACTIVATED",IF(J2423&lt;&gt;"","?FAMILIAR",IF(F2423="NEW",IF(ISNA(VLOOKUP(E2423,#REF!,1,FALSE())),"?TYPE_IDENTIFIABLE","?REFERENTIAL"),"_")))))</f>
        <v/>
      </c>
      <c r="H2423" s="27" t="str">
        <f aca="false">IF(J2423&lt;&gt;1,"",IF(I2423="SBJ","CB","?"))</f>
        <v/>
      </c>
      <c r="I2423" s="24" t="str">
        <f aca="false">IF(OR(E2423="",E2423="!!!",F2423="NEW"),"",INDEX(B4:B$2420,-1+SUMPRODUCT(MAX(ROW(E4:E$2420)*(E2423=E4:E$2420)))))</f>
        <v/>
      </c>
      <c r="J2423" s="24" t="str">
        <f aca="true">IF(OR(E2423="",E2423="!!!",F2423="NEW"),"",COUNTBLANK(OFFSET(A$1,,,SUMPRODUCT(MAX(ROW(E$2:E2423)*(E2423=E$2:E2423)))))-COUNTBLANK(OFFSET(A$1,,,SUMPRODUCT(MAX(ROW(E$1:E2422)*(E2=E$1:E2422))))))</f>
        <v/>
      </c>
      <c r="K2423" s="24" t="str">
        <f aca="false">IF(OR(E2423="",E2423="!!!",F2423="NEW"),"",INDEX(J$1:J2422,SUMPRODUCT(MAX(ROW(E$1:E2422)*(E2423=E$1:E2422)))))</f>
        <v/>
      </c>
      <c r="L2423" s="31"/>
    </row>
    <row r="2424" customFormat="false" ht="15" hidden="false" customHeight="false" outlineLevel="0" collapsed="false">
      <c r="A2424" s="20" t="s">
        <v>1933</v>
      </c>
      <c r="B2424" s="22" t="s">
        <v>1081</v>
      </c>
      <c r="C2424" s="22" t="s">
        <v>1160</v>
      </c>
      <c r="E2424" s="23" t="str">
        <f aca="false">IF(D2424="?OLD","!!!","")</f>
        <v/>
      </c>
      <c r="F2424" s="25" t="str">
        <f aca="false">IF(OR(E2424="",E2424="!!!"),"",IF(NOT(ISNA(VLOOKUP(E2424,E$1:E2423,1,FALSE()))),"OLD",IF(AND(E2424&lt;&gt;"",E2424&lt;&gt;"!!!"),"NEW","")))</f>
        <v/>
      </c>
      <c r="G2424" s="26" t="str">
        <f aca="false">IF(OR(E2424="",E2424="!!!"),"",IF(OR(J2424=0,AND(J2424=1,K2424=1),AND(J2424=1,I2424="SBJ"),AND(J2424=1,I2424=0)),"?IN_FOCUS",IF(J2424&lt;=2,"?ACTIVATED",IF(J2424&lt;&gt;"","?FAMILIAR",IF(F2424="NEW",IF(ISNA(VLOOKUP(E2424,#REF!,1,FALSE())),"?TYPE_IDENTIFIABLE","?REFERENTIAL"),"_")))))</f>
        <v/>
      </c>
      <c r="H2424" s="27" t="str">
        <f aca="false">IF(J2424&lt;&gt;1,"",IF(I2424="SBJ","CB","?"))</f>
        <v/>
      </c>
      <c r="I2424" s="24" t="str">
        <f aca="false">IF(OR(E2424="",E2424="!!!",F2424="NEW"),"",INDEX(B5:B$2420,-1+SUMPRODUCT(MAX(ROW(E5:E$2420)*(E2424=E5:E$2420)))))</f>
        <v/>
      </c>
      <c r="J2424" s="24" t="str">
        <f aca="true">IF(OR(E2424="",E2424="!!!",F2424="NEW"),"",COUNTBLANK(OFFSET(A$1,,,SUMPRODUCT(MAX(ROW(E$2:E2424)*(E2424=E$2:E2424)))))-COUNTBLANK(OFFSET(A$1,,,SUMPRODUCT(MAX(ROW(E$1:E2423)*(E2=E$1:E2423))))))</f>
        <v/>
      </c>
      <c r="K2424" s="24" t="str">
        <f aca="false">IF(OR(E2424="",E2424="!!!",F2424="NEW"),"",INDEX(J$1:J2423,SUMPRODUCT(MAX(ROW(E$1:E2423)*(E2424=E$1:E2423)))))</f>
        <v/>
      </c>
      <c r="L2424" s="31"/>
    </row>
    <row r="2425" customFormat="false" ht="15" hidden="false" customHeight="false" outlineLevel="0" collapsed="false">
      <c r="A2425" s="20" t="s">
        <v>1064</v>
      </c>
      <c r="E2425" s="23" t="str">
        <f aca="false">IF(D2425="?OLD","!!!","")</f>
        <v/>
      </c>
      <c r="F2425" s="25" t="str">
        <f aca="false">IF(OR(E2425="",E2425="!!!"),"",IF(NOT(ISNA(VLOOKUP(E2425,E$1:E2424,1,FALSE()))),"OLD",IF(AND(E2425&lt;&gt;"",E2425&lt;&gt;"!!!"),"NEW","")))</f>
        <v/>
      </c>
      <c r="G2425" s="26" t="str">
        <f aca="false">IF(OR(E2425="",E2425="!!!"),"",IF(OR(J2425=0,AND(J2425=1,K2425=1),AND(J2425=1,I2425="SBJ"),AND(J2425=1,I2425=0)),"?IN_FOCUS",IF(J2425&lt;=2,"?ACTIVATED",IF(J2425&lt;&gt;"","?FAMILIAR",IF(F2425="NEW",IF(ISNA(VLOOKUP(E2425,#REF!,1,FALSE())),"?TYPE_IDENTIFIABLE","?REFERENTIAL"),"_")))))</f>
        <v/>
      </c>
      <c r="H2425" s="27" t="str">
        <f aca="false">IF(J2425&lt;&gt;1,"",IF(I2425="SBJ","CB","?"))</f>
        <v/>
      </c>
      <c r="I2425" s="24" t="str">
        <f aca="false">IF(OR(E2425="",E2425="!!!",F2425="NEW"),"",INDEX(B6:B$2420,-1+SUMPRODUCT(MAX(ROW(E6:E$2420)*(E2425=E6:E$2420)))))</f>
        <v/>
      </c>
      <c r="J2425" s="24" t="str">
        <f aca="true">IF(OR(E2425="",E2425="!!!",F2425="NEW"),"",COUNTBLANK(OFFSET(A$1,,,SUMPRODUCT(MAX(ROW(E$2:E2425)*(E2425=E$2:E2425)))))-COUNTBLANK(OFFSET(A$1,,,SUMPRODUCT(MAX(ROW(E$1:E2424)*(E2=E$1:E2424))))))</f>
        <v/>
      </c>
      <c r="K2425" s="24" t="str">
        <f aca="false">IF(OR(E2425="",E2425="!!!",F2425="NEW"),"",INDEX(J$1:J2424,SUMPRODUCT(MAX(ROW(E$1:E2424)*(E2425=E$1:E2424)))))</f>
        <v/>
      </c>
      <c r="L2425" s="31"/>
    </row>
    <row r="2426" customFormat="false" ht="15" hidden="false" customHeight="false" outlineLevel="0" collapsed="false">
      <c r="A2426" s="20" t="s">
        <v>1934</v>
      </c>
      <c r="B2426" s="22" t="s">
        <v>1073</v>
      </c>
      <c r="C2426" s="22" t="s">
        <v>1160</v>
      </c>
      <c r="E2426" s="23" t="str">
        <f aca="false">IF(D2426="?OLD","!!!","")</f>
        <v/>
      </c>
      <c r="F2426" s="25" t="str">
        <f aca="false">IF(OR(E2426="",E2426="!!!"),"",IF(NOT(ISNA(VLOOKUP(E2426,E$1:E2425,1,FALSE()))),"OLD",IF(AND(E2426&lt;&gt;"",E2426&lt;&gt;"!!!"),"NEW","")))</f>
        <v/>
      </c>
      <c r="G2426" s="26" t="str">
        <f aca="false">IF(OR(E2426="",E2426="!!!"),"",IF(OR(J2426=0,AND(J2426=1,K2426=1),AND(J2426=1,I2426="SBJ"),AND(J2426=1,I2426=0)),"?IN_FOCUS",IF(J2426&lt;=2,"?ACTIVATED",IF(J2426&lt;&gt;"","?FAMILIAR",IF(F2426="NEW",IF(ISNA(VLOOKUP(E2426,#REF!,1,FALSE())),"?TYPE_IDENTIFIABLE","?REFERENTIAL"),"_")))))</f>
        <v/>
      </c>
      <c r="H2426" s="27" t="str">
        <f aca="false">IF(J2426&lt;&gt;1,"",IF(I2426="SBJ","CB","?"))</f>
        <v/>
      </c>
      <c r="I2426" s="24" t="str">
        <f aca="false">IF(OR(E2426="",E2426="!!!",F2426="NEW"),"",INDEX(B7:B$2420,-1+SUMPRODUCT(MAX(ROW(E7:E$2420)*(E2426=E7:E$2420)))))</f>
        <v/>
      </c>
      <c r="J2426" s="24" t="str">
        <f aca="true">IF(OR(E2426="",E2426="!!!",F2426="NEW"),"",COUNTBLANK(OFFSET(A$1,,,SUMPRODUCT(MAX(ROW(E$2:E2426)*(E2426=E$2:E2426)))))-COUNTBLANK(OFFSET(A$1,,,SUMPRODUCT(MAX(ROW(E$1:E2425)*(E2=E$1:E2425))))))</f>
        <v/>
      </c>
      <c r="K2426" s="24" t="str">
        <f aca="false">IF(OR(E2426="",E2426="!!!",F2426="NEW"),"",INDEX(J$1:J2425,SUMPRODUCT(MAX(ROW(E$1:E2425)*(E2426=E$1:E2425)))))</f>
        <v/>
      </c>
      <c r="L2426" s="31"/>
    </row>
    <row r="2427" customFormat="false" ht="15" hidden="false" customHeight="false" outlineLevel="0" collapsed="false">
      <c r="A2427" s="20" t="s">
        <v>1076</v>
      </c>
      <c r="E2427" s="23" t="str">
        <f aca="false">IF(D2427="?OLD","!!!","")</f>
        <v/>
      </c>
      <c r="F2427" s="25" t="str">
        <f aca="false">IF(OR(E2427="",E2427="!!!"),"",IF(NOT(ISNA(VLOOKUP(E2427,E$1:E2426,1,FALSE()))),"OLD",IF(AND(E2427&lt;&gt;"",E2427&lt;&gt;"!!!"),"NEW","")))</f>
        <v/>
      </c>
      <c r="G2427" s="26" t="str">
        <f aca="false">IF(OR(E2427="",E2427="!!!"),"",IF(OR(J2427=0,AND(J2427=1,K2427=1),AND(J2427=1,I2427="SBJ"),AND(J2427=1,I2427=0)),"?IN_FOCUS",IF(J2427&lt;=2,"?ACTIVATED",IF(J2427&lt;&gt;"","?FAMILIAR",IF(F2427="NEW",IF(ISNA(VLOOKUP(E2427,#REF!,1,FALSE())),"?TYPE_IDENTIFIABLE","?REFERENTIAL"),"_")))))</f>
        <v/>
      </c>
      <c r="H2427" s="27" t="str">
        <f aca="false">IF(J2427&lt;&gt;1,"",IF(I2427="SBJ","CB","?"))</f>
        <v/>
      </c>
      <c r="I2427" s="24" t="str">
        <f aca="false">IF(OR(E2427="",E2427="!!!",F2427="NEW"),"",INDEX(B8:B$2420,-1+SUMPRODUCT(MAX(ROW(E8:E$2420)*(E2427=E8:E$2420)))))</f>
        <v/>
      </c>
      <c r="J2427" s="24" t="str">
        <f aca="true">IF(OR(E2427="",E2427="!!!",F2427="NEW"),"",COUNTBLANK(OFFSET(A$1,,,SUMPRODUCT(MAX(ROW(E$2:E2427)*(E2427=E$2:E2427)))))-COUNTBLANK(OFFSET(A$1,,,SUMPRODUCT(MAX(ROW(E$1:E2426)*(E2=E$1:E2426))))))</f>
        <v/>
      </c>
      <c r="K2427" s="24" t="str">
        <f aca="false">IF(OR(E2427="",E2427="!!!",F2427="NEW"),"",INDEX(J$1:J2426,SUMPRODUCT(MAX(ROW(E$1:E2426)*(E2427=E$1:E2426)))))</f>
        <v/>
      </c>
      <c r="L2427" s="31"/>
    </row>
    <row r="2428" customFormat="false" ht="15" hidden="false" customHeight="false" outlineLevel="0" collapsed="false">
      <c r="A2428" s="20" t="s">
        <v>1168</v>
      </c>
      <c r="E2428" s="23" t="str">
        <f aca="false">IF(D2428="?OLD","!!!","")</f>
        <v/>
      </c>
      <c r="F2428" s="25" t="str">
        <f aca="false">IF(OR(E2428="",E2428="!!!"),"",IF(NOT(ISNA(VLOOKUP(E2428,E$1:E2427,1,FALSE()))),"OLD",IF(AND(E2428&lt;&gt;"",E2428&lt;&gt;"!!!"),"NEW","")))</f>
        <v/>
      </c>
      <c r="G2428" s="26" t="str">
        <f aca="false">IF(OR(E2428="",E2428="!!!"),"",IF(OR(J2428=0,AND(J2428=1,K2428=1),AND(J2428=1,I2428="SBJ"),AND(J2428=1,I2428=0)),"?IN_FOCUS",IF(J2428&lt;=2,"?ACTIVATED",IF(J2428&lt;&gt;"","?FAMILIAR",IF(F2428="NEW",IF(ISNA(VLOOKUP(E2428,#REF!,1,FALSE())),"?TYPE_IDENTIFIABLE","?REFERENTIAL"),"_")))))</f>
        <v/>
      </c>
      <c r="H2428" s="27" t="str">
        <f aca="false">IF(J2428&lt;&gt;1,"",IF(I2428="SBJ","CB","?"))</f>
        <v/>
      </c>
      <c r="I2428" s="24" t="str">
        <f aca="false">IF(OR(E2428="",E2428="!!!",F2428="NEW"),"",INDEX(B9:B$2420,-1+SUMPRODUCT(MAX(ROW(E9:E$2420)*(E2428=E9:E$2420)))))</f>
        <v/>
      </c>
      <c r="J2428" s="24" t="str">
        <f aca="true">IF(OR(E2428="",E2428="!!!",F2428="NEW"),"",COUNTBLANK(OFFSET(A$1,,,SUMPRODUCT(MAX(ROW(E$2:E2428)*(E2428=E$2:E2428)))))-COUNTBLANK(OFFSET(A$1,,,SUMPRODUCT(MAX(ROW(E$1:E2427)*(E2=E$1:E2427))))))</f>
        <v/>
      </c>
      <c r="K2428" s="24" t="str">
        <f aca="false">IF(OR(E2428="",E2428="!!!",F2428="NEW"),"",INDEX(J$1:J2427,SUMPRODUCT(MAX(ROW(E$1:E2427)*(E2428=E$1:E2427)))))</f>
        <v/>
      </c>
      <c r="L2428" s="31"/>
    </row>
    <row r="2429" customFormat="false" ht="15" hidden="false" customHeight="false" outlineLevel="0" collapsed="false">
      <c r="A2429" s="20" t="s">
        <v>1090</v>
      </c>
      <c r="B2429" s="22" t="s">
        <v>1086</v>
      </c>
      <c r="C2429" s="22" t="s">
        <v>1082</v>
      </c>
      <c r="D2429" s="22" t="s">
        <v>1060</v>
      </c>
      <c r="E2429" s="23" t="str">
        <f aca="false">IF(D2429="?OLD","!!!","")</f>
        <v>!!!</v>
      </c>
      <c r="F2429" s="25" t="str">
        <f aca="false">IF(OR(E2429="",E2429="!!!"),"",IF(NOT(ISNA(VLOOKUP(E2429,E$1:E2428,1,FALSE()))),"OLD",IF(AND(E2429&lt;&gt;"",E2429&lt;&gt;"!!!"),"NEW","")))</f>
        <v/>
      </c>
      <c r="G2429" s="26" t="str">
        <f aca="false">IF(OR(E2429="",E2429="!!!"),"",IF(OR(J2429=0,AND(J2429=1,K2429=1),AND(J2429=1,I2429="SBJ"),AND(J2429=1,I2429=0)),"?IN_FOCUS",IF(J2429&lt;=2,"?ACTIVATED",IF(J2429&lt;&gt;"","?FAMILIAR",IF(F2429="NEW",IF(ISNA(VLOOKUP(E2429,#REF!,1,FALSE())),"?TYPE_IDENTIFIABLE","?REFERENTIAL"),"_")))))</f>
        <v/>
      </c>
      <c r="H2429" s="27" t="str">
        <f aca="false">IF(J2429&lt;&gt;1,"",IF(I2429="SBJ","CB","?"))</f>
        <v/>
      </c>
      <c r="I2429" s="24" t="str">
        <f aca="false">IF(OR(E2429="",E2429="!!!",F2429="NEW"),"",INDEX(B10:B$2420,-1+SUMPRODUCT(MAX(ROW(E10:E$2420)*(E2429=E10:E$2420)))))</f>
        <v/>
      </c>
      <c r="J2429" s="24" t="str">
        <f aca="true">IF(OR(E2429="",E2429="!!!",F2429="NEW"),"",COUNTBLANK(OFFSET(A$1,,,SUMPRODUCT(MAX(ROW(E$2:E2429)*(E2429=E$2:E2429)))))-COUNTBLANK(OFFSET(A$1,,,SUMPRODUCT(MAX(ROW(E$1:E2428)*(E2=E$1:E2428))))))</f>
        <v/>
      </c>
      <c r="K2429" s="24" t="str">
        <f aca="false">IF(OR(E2429="",E2429="!!!",F2429="NEW"),"",INDEX(J$1:J2428,SUMPRODUCT(MAX(ROW(E$1:E2428)*(E2429=E$1:E2428)))))</f>
        <v/>
      </c>
      <c r="L2429" s="31"/>
    </row>
    <row r="2430" customFormat="false" ht="15" hidden="false" customHeight="false" outlineLevel="0" collapsed="false">
      <c r="A2430" s="20" t="s">
        <v>1935</v>
      </c>
      <c r="E2430" s="23" t="str">
        <f aca="false">IF(D2430="?OLD","!!!","")</f>
        <v/>
      </c>
      <c r="F2430" s="25" t="str">
        <f aca="false">IF(OR(E2430="",E2430="!!!"),"",IF(NOT(ISNA(VLOOKUP(E2430,E$1:E2429,1,FALSE()))),"OLD",IF(AND(E2430&lt;&gt;"",E2430&lt;&gt;"!!!"),"NEW","")))</f>
        <v/>
      </c>
      <c r="G2430" s="26" t="str">
        <f aca="false">IF(OR(E2430="",E2430="!!!"),"",IF(OR(J2430=0,AND(J2430=1,K2430=1),AND(J2430=1,I2430="SBJ"),AND(J2430=1,I2430=0)),"?IN_FOCUS",IF(J2430&lt;=2,"?ACTIVATED",IF(J2430&lt;&gt;"","?FAMILIAR",IF(F2430="NEW",IF(ISNA(VLOOKUP(E2430,#REF!,1,FALSE())),"?TYPE_IDENTIFIABLE","?REFERENTIAL"),"_")))))</f>
        <v/>
      </c>
      <c r="H2430" s="27" t="str">
        <f aca="false">IF(J2430&lt;&gt;1,"",IF(I2430="SBJ","CB","?"))</f>
        <v/>
      </c>
      <c r="I2430" s="24" t="str">
        <f aca="false">IF(OR(E2430="",E2430="!!!",F2430="NEW"),"",INDEX(B11:B$2420,-1+SUMPRODUCT(MAX(ROW(E11:E$2420)*(E2430=E11:E$2420)))))</f>
        <v/>
      </c>
      <c r="J2430" s="24" t="str">
        <f aca="true">IF(OR(E2430="",E2430="!!!",F2430="NEW"),"",COUNTBLANK(OFFSET(A$1,,,SUMPRODUCT(MAX(ROW(E$2:E2430)*(E2430=E$2:E2430)))))-COUNTBLANK(OFFSET(A$1,,,SUMPRODUCT(MAX(ROW(E$1:E2429)*(E2=E$1:E2429))))))</f>
        <v/>
      </c>
      <c r="K2430" s="24" t="str">
        <f aca="false">IF(OR(E2430="",E2430="!!!",F2430="NEW"),"",INDEX(J$1:J2429,SUMPRODUCT(MAX(ROW(E$1:E2429)*(E2430=E$1:E2429)))))</f>
        <v/>
      </c>
      <c r="L2430" s="31"/>
    </row>
    <row r="2431" customFormat="false" ht="15" hidden="false" customHeight="false" outlineLevel="0" collapsed="false">
      <c r="A2431" s="20" t="s">
        <v>1231</v>
      </c>
      <c r="B2431" s="22" t="s">
        <v>1142</v>
      </c>
      <c r="C2431" s="22" t="s">
        <v>1082</v>
      </c>
      <c r="D2431" s="22" t="s">
        <v>1060</v>
      </c>
      <c r="E2431" s="23" t="str">
        <f aca="false">IF(D2431="?OLD","!!!","")</f>
        <v>!!!</v>
      </c>
      <c r="F2431" s="25" t="str">
        <f aca="false">IF(OR(E2431="",E2431="!!!"),"",IF(NOT(ISNA(VLOOKUP(E2431,E$1:E2430,1,FALSE()))),"OLD",IF(AND(E2431&lt;&gt;"",E2431&lt;&gt;"!!!"),"NEW","")))</f>
        <v/>
      </c>
      <c r="G2431" s="26" t="str">
        <f aca="false">IF(OR(E2431="",E2431="!!!"),"",IF(OR(J2431=0,AND(J2431=1,K2431=1),AND(J2431=1,I2431="SBJ"),AND(J2431=1,I2431=0)),"?IN_FOCUS",IF(J2431&lt;=2,"?ACTIVATED",IF(J2431&lt;&gt;"","?FAMILIAR",IF(F2431="NEW",IF(ISNA(VLOOKUP(E2431,#REF!,1,FALSE())),"?TYPE_IDENTIFIABLE","?REFERENTIAL"),"_")))))</f>
        <v/>
      </c>
      <c r="H2431" s="27" t="str">
        <f aca="false">IF(J2431&lt;&gt;1,"",IF(I2431="SBJ","CB","?"))</f>
        <v/>
      </c>
      <c r="I2431" s="24" t="str">
        <f aca="false">IF(OR(E2431="",E2431="!!!",F2431="NEW"),"",INDEX(B12:B$2420,-1+SUMPRODUCT(MAX(ROW(E12:E$2420)*(E2431=E12:E$2420)))))</f>
        <v/>
      </c>
      <c r="J2431" s="24" t="str">
        <f aca="true">IF(OR(E2431="",E2431="!!!",F2431="NEW"),"",COUNTBLANK(OFFSET(A$1,,,SUMPRODUCT(MAX(ROW(E$2:E2431)*(E2431=E$2:E2431)))))-COUNTBLANK(OFFSET(A$1,,,SUMPRODUCT(MAX(ROW(E$1:E2430)*(E2=E$1:E2430))))))</f>
        <v/>
      </c>
      <c r="K2431" s="24" t="str">
        <f aca="false">IF(OR(E2431="",E2431="!!!",F2431="NEW"),"",INDEX(J$1:J2430,SUMPRODUCT(MAX(ROW(E$1:E2430)*(E2431=E$1:E2430)))))</f>
        <v/>
      </c>
      <c r="L2431" s="31"/>
    </row>
    <row r="2432" customFormat="false" ht="15" hidden="false" customHeight="false" outlineLevel="0" collapsed="false">
      <c r="A2432" s="20" t="s">
        <v>1157</v>
      </c>
      <c r="E2432" s="23" t="str">
        <f aca="false">IF(D2432="?OLD","!!!","")</f>
        <v/>
      </c>
      <c r="F2432" s="25" t="str">
        <f aca="false">IF(OR(E2432="",E2432="!!!"),"",IF(NOT(ISNA(VLOOKUP(E2432,E$1:E2431,1,FALSE()))),"OLD",IF(AND(E2432&lt;&gt;"",E2432&lt;&gt;"!!!"),"NEW","")))</f>
        <v/>
      </c>
      <c r="G2432" s="26" t="str">
        <f aca="false">IF(OR(E2432="",E2432="!!!"),"",IF(OR(J2432=0,AND(J2432=1,K2432=1),AND(J2432=1,I2432="SBJ"),AND(J2432=1,I2432=0)),"?IN_FOCUS",IF(J2432&lt;=2,"?ACTIVATED",IF(J2432&lt;&gt;"","?FAMILIAR",IF(F2432="NEW",IF(ISNA(VLOOKUP(E2432,#REF!,1,FALSE())),"?TYPE_IDENTIFIABLE","?REFERENTIAL"),"_")))))</f>
        <v/>
      </c>
      <c r="H2432" s="27" t="str">
        <f aca="false">IF(J2432&lt;&gt;1,"",IF(I2432="SBJ","CB","?"))</f>
        <v/>
      </c>
      <c r="I2432" s="24" t="str">
        <f aca="false">IF(OR(E2432="",E2432="!!!",F2432="NEW"),"",INDEX(B13:B$2420,-1+SUMPRODUCT(MAX(ROW(E13:E$2420)*(E2432=E13:E$2420)))))</f>
        <v/>
      </c>
      <c r="J2432" s="24" t="str">
        <f aca="true">IF(OR(E2432="",E2432="!!!",F2432="NEW"),"",COUNTBLANK(OFFSET(A$1,,,SUMPRODUCT(MAX(ROW(E$2:E2432)*(E2432=E$2:E2432)))))-COUNTBLANK(OFFSET(A$1,,,SUMPRODUCT(MAX(ROW(E$1:E2431)*(E2=E$1:E2431))))))</f>
        <v/>
      </c>
      <c r="K2432" s="24" t="str">
        <f aca="false">IF(OR(E2432="",E2432="!!!",F2432="NEW"),"",INDEX(J$1:J2431,SUMPRODUCT(MAX(ROW(E$1:E2431)*(E2432=E$1:E2431)))))</f>
        <v/>
      </c>
      <c r="L2432" s="31"/>
    </row>
    <row r="2433" customFormat="false" ht="15" hidden="false" customHeight="false" outlineLevel="0" collapsed="false">
      <c r="A2433" s="20" t="s">
        <v>1936</v>
      </c>
      <c r="E2433" s="23" t="str">
        <f aca="false">IF(D2433="?OLD","!!!","")</f>
        <v/>
      </c>
      <c r="F2433" s="25" t="str">
        <f aca="false">IF(OR(E2433="",E2433="!!!"),"",IF(NOT(ISNA(VLOOKUP(E2433,E$1:E2432,1,FALSE()))),"OLD",IF(AND(E2433&lt;&gt;"",E2433&lt;&gt;"!!!"),"NEW","")))</f>
        <v/>
      </c>
      <c r="G2433" s="26" t="str">
        <f aca="false">IF(OR(E2433="",E2433="!!!"),"",IF(OR(J2433=0,AND(J2433=1,K2433=1),AND(J2433=1,I2433="SBJ"),AND(J2433=1,I2433=0)),"?IN_FOCUS",IF(J2433&lt;=2,"?ACTIVATED",IF(J2433&lt;&gt;"","?FAMILIAR",IF(F2433="NEW",IF(ISNA(VLOOKUP(E2433,#REF!,1,FALSE())),"?TYPE_IDENTIFIABLE","?REFERENTIAL"),"_")))))</f>
        <v/>
      </c>
      <c r="H2433" s="27" t="str">
        <f aca="false">IF(J2433&lt;&gt;1,"",IF(I2433="SBJ","CB","?"))</f>
        <v/>
      </c>
      <c r="I2433" s="24" t="str">
        <f aca="false">IF(OR(E2433="",E2433="!!!",F2433="NEW"),"",INDEX(B14:B$2420,-1+SUMPRODUCT(MAX(ROW(E14:E$2420)*(E2433=E14:E$2420)))))</f>
        <v/>
      </c>
      <c r="J2433" s="24" t="str">
        <f aca="true">IF(OR(E2433="",E2433="!!!",F2433="NEW"),"",COUNTBLANK(OFFSET(A$1,,,SUMPRODUCT(MAX(ROW(E$2:E2433)*(E2433=E$2:E2433)))))-COUNTBLANK(OFFSET(A$1,,,SUMPRODUCT(MAX(ROW(E$1:E2432)*(E2=E$1:E2432))))))</f>
        <v/>
      </c>
      <c r="K2433" s="24" t="str">
        <f aca="false">IF(OR(E2433="",E2433="!!!",F2433="NEW"),"",INDEX(J$1:J2432,SUMPRODUCT(MAX(ROW(E$1:E2432)*(E2433=E$1:E2432)))))</f>
        <v/>
      </c>
      <c r="L2433" s="31"/>
    </row>
    <row r="2434" customFormat="false" ht="15" hidden="false" customHeight="false" outlineLevel="0" collapsed="false">
      <c r="A2434" s="20" t="s">
        <v>1157</v>
      </c>
      <c r="E2434" s="23" t="str">
        <f aca="false">IF(D2434="?OLD","!!!","")</f>
        <v/>
      </c>
      <c r="F2434" s="25" t="str">
        <f aca="false">IF(OR(E2434="",E2434="!!!"),"",IF(NOT(ISNA(VLOOKUP(E2434,E$1:E2433,1,FALSE()))),"OLD",IF(AND(E2434&lt;&gt;"",E2434&lt;&gt;"!!!"),"NEW","")))</f>
        <v/>
      </c>
      <c r="G2434" s="26" t="str">
        <f aca="false">IF(OR(E2434="",E2434="!!!"),"",IF(OR(J2434=0,AND(J2434=1,K2434=1),AND(J2434=1,I2434="SBJ"),AND(J2434=1,I2434=0)),"?IN_FOCUS",IF(J2434&lt;=2,"?ACTIVATED",IF(J2434&lt;&gt;"","?FAMILIAR",IF(F2434="NEW",IF(ISNA(VLOOKUP(E2434,#REF!,1,FALSE())),"?TYPE_IDENTIFIABLE","?REFERENTIAL"),"_")))))</f>
        <v/>
      </c>
      <c r="H2434" s="27" t="str">
        <f aca="false">IF(J2434&lt;&gt;1,"",IF(I2434="SBJ","CB","?"))</f>
        <v/>
      </c>
      <c r="I2434" s="24" t="str">
        <f aca="false">IF(OR(E2434="",E2434="!!!",F2434="NEW"),"",INDEX(B15:B$2420,-1+SUMPRODUCT(MAX(ROW(E15:E$2420)*(E2434=E15:E$2420)))))</f>
        <v/>
      </c>
      <c r="J2434" s="24" t="str">
        <f aca="true">IF(OR(E2434="",E2434="!!!",F2434="NEW"),"",COUNTBLANK(OFFSET(A$1,,,SUMPRODUCT(MAX(ROW(E$2:E2434)*(E2434=E$2:E2434)))))-COUNTBLANK(OFFSET(A$1,,,SUMPRODUCT(MAX(ROW(E$1:E2433)*(E2=E$1:E2433))))))</f>
        <v/>
      </c>
      <c r="K2434" s="24" t="str">
        <f aca="false">IF(OR(E2434="",E2434="!!!",F2434="NEW"),"",INDEX(J$1:J2433,SUMPRODUCT(MAX(ROW(E$1:E2433)*(E2434=E$1:E2433)))))</f>
        <v/>
      </c>
      <c r="L2434" s="31"/>
    </row>
    <row r="2435" customFormat="false" ht="15" hidden="false" customHeight="false" outlineLevel="0" collapsed="false">
      <c r="A2435" s="20" t="s">
        <v>1162</v>
      </c>
      <c r="B2435" s="22" t="s">
        <v>1197</v>
      </c>
      <c r="C2435" s="22" t="s">
        <v>1082</v>
      </c>
      <c r="D2435" s="22" t="s">
        <v>1060</v>
      </c>
      <c r="E2435" s="23" t="str">
        <f aca="false">IF(D2435="?OLD","!!!","")</f>
        <v>!!!</v>
      </c>
      <c r="F2435" s="25" t="str">
        <f aca="false">IF(OR(E2435="",E2435="!!!"),"",IF(NOT(ISNA(VLOOKUP(E2435,E$1:E2434,1,FALSE()))),"OLD",IF(AND(E2435&lt;&gt;"",E2435&lt;&gt;"!!!"),"NEW","")))</f>
        <v/>
      </c>
      <c r="G2435" s="26" t="str">
        <f aca="false">IF(OR(E2435="",E2435="!!!"),"",IF(OR(J2435=0,AND(J2435=1,K2435=1),AND(J2435=1,I2435="SBJ"),AND(J2435=1,I2435=0)),"?IN_FOCUS",IF(J2435&lt;=2,"?ACTIVATED",IF(J2435&lt;&gt;"","?FAMILIAR",IF(F2435="NEW",IF(ISNA(VLOOKUP(E2435,#REF!,1,FALSE())),"?TYPE_IDENTIFIABLE","?REFERENTIAL"),"_")))))</f>
        <v/>
      </c>
      <c r="H2435" s="27" t="str">
        <f aca="false">IF(J2435&lt;&gt;1,"",IF(I2435="SBJ","CB","?"))</f>
        <v/>
      </c>
      <c r="I2435" s="24" t="str">
        <f aca="false">IF(OR(E2435="",E2435="!!!",F2435="NEW"),"",INDEX(B16:B$2420,-1+SUMPRODUCT(MAX(ROW(E16:E$2420)*(E2435=E16:E$2420)))))</f>
        <v/>
      </c>
      <c r="J2435" s="24" t="str">
        <f aca="true">IF(OR(E2435="",E2435="!!!",F2435="NEW"),"",COUNTBLANK(OFFSET(A$1,,,SUMPRODUCT(MAX(ROW(E$2:E2435)*(E2435=E$2:E2435)))))-COUNTBLANK(OFFSET(A$1,,,SUMPRODUCT(MAX(ROW(E$1:E2434)*(E2=E$1:E2434))))))</f>
        <v/>
      </c>
      <c r="K2435" s="24" t="str">
        <f aca="false">IF(OR(E2435="",E2435="!!!",F2435="NEW"),"",INDEX(J$1:J2434,SUMPRODUCT(MAX(ROW(E$1:E2434)*(E2435=E$1:E2434)))))</f>
        <v/>
      </c>
      <c r="L2435" s="31"/>
    </row>
    <row r="2436" customFormat="false" ht="15" hidden="false" customHeight="false" outlineLevel="0" collapsed="false">
      <c r="A2436" s="20" t="s">
        <v>1935</v>
      </c>
      <c r="E2436" s="23" t="str">
        <f aca="false">IF(D2436="?OLD","!!!","")</f>
        <v/>
      </c>
      <c r="F2436" s="25" t="str">
        <f aca="false">IF(OR(E2436="",E2436="!!!"),"",IF(NOT(ISNA(VLOOKUP(E2436,E$1:E2435,1,FALSE()))),"OLD",IF(AND(E2436&lt;&gt;"",E2436&lt;&gt;"!!!"),"NEW","")))</f>
        <v/>
      </c>
      <c r="G2436" s="26" t="str">
        <f aca="false">IF(OR(E2436="",E2436="!!!"),"",IF(OR(J2436=0,AND(J2436=1,K2436=1),AND(J2436=1,I2436="SBJ"),AND(J2436=1,I2436=0)),"?IN_FOCUS",IF(J2436&lt;=2,"?ACTIVATED",IF(J2436&lt;&gt;"","?FAMILIAR",IF(F2436="NEW",IF(ISNA(VLOOKUP(E2436,#REF!,1,FALSE())),"?TYPE_IDENTIFIABLE","?REFERENTIAL"),"_")))))</f>
        <v/>
      </c>
      <c r="H2436" s="27" t="str">
        <f aca="false">IF(J2436&lt;&gt;1,"",IF(I2436="SBJ","CB","?"))</f>
        <v/>
      </c>
      <c r="I2436" s="24" t="str">
        <f aca="false">IF(OR(E2436="",E2436="!!!",F2436="NEW"),"",INDEX(B17:B$2420,-1+SUMPRODUCT(MAX(ROW(E17:E$2420)*(E2436=E17:E$2420)))))</f>
        <v/>
      </c>
      <c r="J2436" s="24" t="str">
        <f aca="true">IF(OR(E2436="",E2436="!!!",F2436="NEW"),"",COUNTBLANK(OFFSET(A$1,,,SUMPRODUCT(MAX(ROW(E$2:E2436)*(E2436=E$2:E2436)))))-COUNTBLANK(OFFSET(A$1,,,SUMPRODUCT(MAX(ROW(E$1:E2435)*(E2=E$1:E2435))))))</f>
        <v/>
      </c>
      <c r="K2436" s="24" t="str">
        <f aca="false">IF(OR(E2436="",E2436="!!!",F2436="NEW"),"",INDEX(J$1:J2435,SUMPRODUCT(MAX(ROW(E$1:E2435)*(E2436=E$1:E2435)))))</f>
        <v/>
      </c>
      <c r="L2436" s="31"/>
    </row>
    <row r="2437" customFormat="false" ht="15" hidden="false" customHeight="false" outlineLevel="0" collapsed="false">
      <c r="A2437" s="20" t="s">
        <v>1109</v>
      </c>
      <c r="E2437" s="23" t="str">
        <f aca="false">IF(D2437="?OLD","!!!","")</f>
        <v/>
      </c>
      <c r="F2437" s="25" t="str">
        <f aca="false">IF(OR(E2437="",E2437="!!!"),"",IF(NOT(ISNA(VLOOKUP(E2437,E$1:E2436,1,FALSE()))),"OLD",IF(AND(E2437&lt;&gt;"",E2437&lt;&gt;"!!!"),"NEW","")))</f>
        <v/>
      </c>
      <c r="G2437" s="26" t="str">
        <f aca="false">IF(OR(E2437="",E2437="!!!"),"",IF(OR(J2437=0,AND(J2437=1,K2437=1),AND(J2437=1,I2437="SBJ"),AND(J2437=1,I2437=0)),"?IN_FOCUS",IF(J2437&lt;=2,"?ACTIVATED",IF(J2437&lt;&gt;"","?FAMILIAR",IF(F2437="NEW",IF(ISNA(VLOOKUP(E2437,#REF!,1,FALSE())),"?TYPE_IDENTIFIABLE","?REFERENTIAL"),"_")))))</f>
        <v/>
      </c>
      <c r="H2437" s="27" t="str">
        <f aca="false">IF(J2437&lt;&gt;1,"",IF(I2437="SBJ","CB","?"))</f>
        <v/>
      </c>
      <c r="I2437" s="24" t="str">
        <f aca="false">IF(OR(E2437="",E2437="!!!",F2437="NEW"),"",INDEX(B18:B$2420,-1+SUMPRODUCT(MAX(ROW(E18:E$2420)*(E2437=E18:E$2420)))))</f>
        <v/>
      </c>
      <c r="J2437" s="24" t="str">
        <f aca="true">IF(OR(E2437="",E2437="!!!",F2437="NEW"),"",COUNTBLANK(OFFSET(A$1,,,SUMPRODUCT(MAX(ROW(E$2:E2437)*(E2437=E$2:E2437)))))-COUNTBLANK(OFFSET(A$1,,,SUMPRODUCT(MAX(ROW(E$1:E2436)*(E2=E$1:E2436))))))</f>
        <v/>
      </c>
      <c r="K2437" s="24" t="str">
        <f aca="false">IF(OR(E2437="",E2437="!!!",F2437="NEW"),"",INDEX(J$1:J2436,SUMPRODUCT(MAX(ROW(E$1:E2436)*(E2437=E$1:E2436)))))</f>
        <v/>
      </c>
      <c r="L2437" s="31"/>
    </row>
    <row r="2438" customFormat="false" ht="15" hidden="false" customHeight="false" outlineLevel="0" collapsed="false">
      <c r="A2438" s="20" t="s">
        <v>1309</v>
      </c>
      <c r="E2438" s="23" t="str">
        <f aca="false">IF(D2438="?OLD","!!!","")</f>
        <v/>
      </c>
      <c r="F2438" s="25" t="str">
        <f aca="false">IF(OR(E2438="",E2438="!!!"),"",IF(NOT(ISNA(VLOOKUP(E2438,E$1:E2437,1,FALSE()))),"OLD",IF(AND(E2438&lt;&gt;"",E2438&lt;&gt;"!!!"),"NEW","")))</f>
        <v/>
      </c>
      <c r="G2438" s="26" t="str">
        <f aca="false">IF(OR(E2438="",E2438="!!!"),"",IF(OR(J2438=0,AND(J2438=1,K2438=1),AND(J2438=1,I2438="SBJ"),AND(J2438=1,I2438=0)),"?IN_FOCUS",IF(J2438&lt;=2,"?ACTIVATED",IF(J2438&lt;&gt;"","?FAMILIAR",IF(F2438="NEW",IF(ISNA(VLOOKUP(E2438,#REF!,1,FALSE())),"?TYPE_IDENTIFIABLE","?REFERENTIAL"),"_")))))</f>
        <v/>
      </c>
      <c r="H2438" s="27" t="str">
        <f aca="false">IF(J2438&lt;&gt;1,"",IF(I2438="SBJ","CB","?"))</f>
        <v/>
      </c>
      <c r="I2438" s="24" t="str">
        <f aca="false">IF(OR(E2438="",E2438="!!!",F2438="NEW"),"",INDEX(B19:B$2420,-1+SUMPRODUCT(MAX(ROW(E19:E$2420)*(E2438=E19:E$2420)))))</f>
        <v/>
      </c>
      <c r="J2438" s="24" t="str">
        <f aca="true">IF(OR(E2438="",E2438="!!!",F2438="NEW"),"",COUNTBLANK(OFFSET(A$1,,,SUMPRODUCT(MAX(ROW(E$2:E2438)*(E2438=E$2:E2438)))))-COUNTBLANK(OFFSET(A$1,,,SUMPRODUCT(MAX(ROW(E$1:E2437)*(E2=E$1:E2437))))))</f>
        <v/>
      </c>
      <c r="K2438" s="24" t="str">
        <f aca="false">IF(OR(E2438="",E2438="!!!",F2438="NEW"),"",INDEX(J$1:J2437,SUMPRODUCT(MAX(ROW(E$1:E2437)*(E2438=E$1:E2437)))))</f>
        <v/>
      </c>
      <c r="L2438" s="31"/>
    </row>
    <row r="2439" customFormat="false" ht="15" hidden="false" customHeight="false" outlineLevel="0" collapsed="false">
      <c r="A2439" s="20" t="s">
        <v>1140</v>
      </c>
      <c r="B2439" s="22" t="s">
        <v>1102</v>
      </c>
      <c r="E2439" s="23" t="str">
        <f aca="false">IF(D2439="?OLD","!!!","")</f>
        <v/>
      </c>
      <c r="F2439" s="25" t="str">
        <f aca="false">IF(OR(E2439="",E2439="!!!"),"",IF(NOT(ISNA(VLOOKUP(E2439,E$1:E2438,1,FALSE()))),"OLD",IF(AND(E2439&lt;&gt;"",E2439&lt;&gt;"!!!"),"NEW","")))</f>
        <v/>
      </c>
      <c r="G2439" s="26" t="str">
        <f aca="false">IF(OR(E2439="",E2439="!!!"),"",IF(OR(J2439=0,AND(J2439=1,K2439=1),AND(J2439=1,I2439="SBJ"),AND(J2439=1,I2439=0)),"?IN_FOCUS",IF(J2439&lt;=2,"?ACTIVATED",IF(J2439&lt;&gt;"","?FAMILIAR",IF(F2439="NEW",IF(ISNA(VLOOKUP(E2439,#REF!,1,FALSE())),"?TYPE_IDENTIFIABLE","?REFERENTIAL"),"_")))))</f>
        <v/>
      </c>
      <c r="H2439" s="27" t="str">
        <f aca="false">IF(J2439&lt;&gt;1,"",IF(I2439="SBJ","CB","?"))</f>
        <v/>
      </c>
      <c r="I2439" s="24" t="str">
        <f aca="false">IF(OR(E2439="",E2439="!!!",F2439="NEW"),"",INDEX(B20:B$2420,-1+SUMPRODUCT(MAX(ROW(E20:E$2420)*(E2439=E20:E$2420)))))</f>
        <v/>
      </c>
      <c r="J2439" s="24" t="str">
        <f aca="true">IF(OR(E2439="",E2439="!!!",F2439="NEW"),"",COUNTBLANK(OFFSET(A$1,,,SUMPRODUCT(MAX(ROW(E$2:E2439)*(E2439=E$2:E2439)))))-COUNTBLANK(OFFSET(A$1,,,SUMPRODUCT(MAX(ROW(E$1:E2438)*(E2=E$1:E2438))))))</f>
        <v/>
      </c>
      <c r="K2439" s="24" t="str">
        <f aca="false">IF(OR(E2439="",E2439="!!!",F2439="NEW"),"",INDEX(J$1:J2438,SUMPRODUCT(MAX(ROW(E$1:E2438)*(E2439=E$1:E2438)))))</f>
        <v/>
      </c>
      <c r="L2439" s="31"/>
    </row>
    <row r="2440" customFormat="false" ht="15" hidden="false" customHeight="false" outlineLevel="0" collapsed="false">
      <c r="A2440" s="20" t="s">
        <v>923</v>
      </c>
      <c r="E2440" s="23" t="str">
        <f aca="false">IF(D2440="?OLD","!!!","")</f>
        <v/>
      </c>
      <c r="F2440" s="25" t="str">
        <f aca="false">IF(OR(E2440="",E2440="!!!"),"",IF(NOT(ISNA(VLOOKUP(E2440,E$1:E2439,1,FALSE()))),"OLD",IF(AND(E2440&lt;&gt;"",E2440&lt;&gt;"!!!"),"NEW","")))</f>
        <v/>
      </c>
      <c r="G2440" s="26" t="str">
        <f aca="false">IF(OR(E2440="",E2440="!!!"),"",IF(OR(J2440=0,AND(J2440=1,K2440=1),AND(J2440=1,I2440="SBJ"),AND(J2440=1,I2440=0)),"?IN_FOCUS",IF(J2440&lt;=2,"?ACTIVATED",IF(J2440&lt;&gt;"","?FAMILIAR",IF(F2440="NEW",IF(ISNA(VLOOKUP(E2440,#REF!,1,FALSE())),"?TYPE_IDENTIFIABLE","?REFERENTIAL"),"_")))))</f>
        <v/>
      </c>
      <c r="H2440" s="27" t="str">
        <f aca="false">IF(J2440&lt;&gt;1,"",IF(I2440="SBJ","CB","?"))</f>
        <v/>
      </c>
      <c r="I2440" s="24" t="str">
        <f aca="false">IF(OR(E2440="",E2440="!!!",F2440="NEW"),"",INDEX(B21:B$2420,-1+SUMPRODUCT(MAX(ROW(E21:E$2420)*(E2440=E21:E$2420)))))</f>
        <v/>
      </c>
      <c r="J2440" s="24" t="str">
        <f aca="true">IF(OR(E2440="",E2440="!!!",F2440="NEW"),"",COUNTBLANK(OFFSET(A$1,,,SUMPRODUCT(MAX(ROW(E$2:E2440)*(E2440=E$2:E2440)))))-COUNTBLANK(OFFSET(A$1,,,SUMPRODUCT(MAX(ROW(E$1:E2439)*(E2=E$1:E2439))))))</f>
        <v/>
      </c>
      <c r="K2440" s="24" t="str">
        <f aca="false">IF(OR(E2440="",E2440="!!!",F2440="NEW"),"",INDEX(J$1:J2439,SUMPRODUCT(MAX(ROW(E$1:E2439)*(E2440=E$1:E2439)))))</f>
        <v/>
      </c>
      <c r="L2440" s="31"/>
    </row>
    <row r="2441" customFormat="false" ht="15" hidden="false" customHeight="false" outlineLevel="0" collapsed="false">
      <c r="A2441" s="20"/>
    </row>
    <row r="2442" customFormat="false" ht="15" hidden="false" customHeight="false" outlineLevel="0" collapsed="false">
      <c r="A2442" s="20" t="s">
        <v>1937</v>
      </c>
    </row>
    <row r="2443" customFormat="false" ht="15" hidden="false" customHeight="false" outlineLevel="0" collapsed="false">
      <c r="A2443" s="20" t="s">
        <v>1731</v>
      </c>
      <c r="E2443" s="23" t="str">
        <f aca="false">IF(D2443="?OLD","!!!","")</f>
        <v/>
      </c>
      <c r="F2443" s="25" t="str">
        <f aca="false">IF(OR(E2443="",E2443="!!!"),"",IF(NOT(ISNA(VLOOKUP(E2443,E$1:E2442,1,FALSE()))),"OLD",IF(AND(E2443&lt;&gt;"",E2443&lt;&gt;"!!!"),"NEW","")))</f>
        <v/>
      </c>
      <c r="G2443" s="26" t="str">
        <f aca="false">IF(OR(E2443="",E2443="!!!"),"",IF(OR(J2443=0,AND(J2443=1,K2443=1),AND(J2443=1,I2443="SBJ"),AND(J2443=1,I2443=0)),"?IN_FOCUS",IF(J2443&lt;=2,"?ACTIVATED",IF(J2443&lt;&gt;"","?FAMILIAR",IF(F2443="NEW",IF(ISNA(VLOOKUP(E2443,#REF!,1,FALSE())),"?TYPE_IDENTIFIABLE","?REFERENTIAL"),"_")))))</f>
        <v/>
      </c>
      <c r="H2443" s="27" t="str">
        <f aca="false">IF(J2443&lt;&gt;1,"",IF(I2443="SBJ","CB","?"))</f>
        <v/>
      </c>
      <c r="I2443" s="24" t="str">
        <f aca="false">IF(OR(E2443="",E2443="!!!",F2443="NEW"),"",INDEX(B2:B$2442,-1+SUMPRODUCT(MAX(ROW(E2:E$2442)*(E2443=E2:E$2442)))))</f>
        <v/>
      </c>
      <c r="J2443" s="24" t="str">
        <f aca="true">IF(OR(E2443="",E2443="!!!",F2443="NEW"),"",COUNTBLANK(OFFSET(A$1,,,SUMPRODUCT(MAX(ROW(E$2:E2443)*(E2443=E$2:E2443)))))-COUNTBLANK(OFFSET(A$1,,,SUMPRODUCT(MAX(ROW(E$1:E2442)*(E2=E$1:E2442))))))</f>
        <v/>
      </c>
      <c r="K2443" s="24" t="str">
        <f aca="false">IF(OR(E2443="",E2443="!!!",F2443="NEW"),"",INDEX(J$1:J2442,SUMPRODUCT(MAX(ROW(E$1:E2442)*(E2443=E$1:E2442)))))</f>
        <v/>
      </c>
      <c r="L2443" s="31"/>
    </row>
    <row r="2444" customFormat="false" ht="15" hidden="false" customHeight="false" outlineLevel="0" collapsed="false">
      <c r="A2444" s="20" t="s">
        <v>1178</v>
      </c>
      <c r="B2444" s="22" t="s">
        <v>1105</v>
      </c>
      <c r="C2444" s="22" t="s">
        <v>1059</v>
      </c>
      <c r="D2444" s="22" t="s">
        <v>1060</v>
      </c>
      <c r="E2444" s="23" t="str">
        <f aca="false">IF(D2444="?OLD","!!!","")</f>
        <v>!!!</v>
      </c>
      <c r="F2444" s="25" t="str">
        <f aca="false">IF(OR(E2444="",E2444="!!!"),"",IF(NOT(ISNA(VLOOKUP(E2444,E$1:E2443,1,FALSE()))),"OLD",IF(AND(E2444&lt;&gt;"",E2444&lt;&gt;"!!!"),"NEW","")))</f>
        <v/>
      </c>
      <c r="G2444" s="26" t="str">
        <f aca="false">IF(OR(E2444="",E2444="!!!"),"",IF(OR(J2444=0,AND(J2444=1,K2444=1),AND(J2444=1,I2444="SBJ"),AND(J2444=1,I2444=0)),"?IN_FOCUS",IF(J2444&lt;=2,"?ACTIVATED",IF(J2444&lt;&gt;"","?FAMILIAR",IF(F2444="NEW",IF(ISNA(VLOOKUP(E2444,#REF!,1,FALSE())),"?TYPE_IDENTIFIABLE","?REFERENTIAL"),"_")))))</f>
        <v/>
      </c>
      <c r="H2444" s="27" t="str">
        <f aca="false">IF(J2444&lt;&gt;1,"",IF(I2444="SBJ","CB","?"))</f>
        <v/>
      </c>
      <c r="I2444" s="24" t="str">
        <f aca="false">IF(OR(E2444="",E2444="!!!",F2444="NEW"),"",INDEX(B3:B$2442,-1+SUMPRODUCT(MAX(ROW(E3:E$2442)*(E2444=E3:E$2442)))))</f>
        <v/>
      </c>
      <c r="J2444" s="24" t="str">
        <f aca="true">IF(OR(E2444="",E2444="!!!",F2444="NEW"),"",COUNTBLANK(OFFSET(A$1,,,SUMPRODUCT(MAX(ROW(E$2:E2444)*(E2444=E$2:E2444)))))-COUNTBLANK(OFFSET(A$1,,,SUMPRODUCT(MAX(ROW(E$1:E2443)*(E2=E$1:E2443))))))</f>
        <v/>
      </c>
      <c r="K2444" s="24" t="str">
        <f aca="false">IF(OR(E2444="",E2444="!!!",F2444="NEW"),"",INDEX(J$1:J2443,SUMPRODUCT(MAX(ROW(E$1:E2443)*(E2444=E$1:E2443)))))</f>
        <v/>
      </c>
      <c r="L2444" s="31"/>
    </row>
    <row r="2445" customFormat="false" ht="15" hidden="false" customHeight="false" outlineLevel="0" collapsed="false">
      <c r="A2445" s="20" t="s">
        <v>1064</v>
      </c>
      <c r="E2445" s="23" t="str">
        <f aca="false">IF(D2445="?OLD","!!!","")</f>
        <v/>
      </c>
      <c r="F2445" s="25" t="str">
        <f aca="false">IF(OR(E2445="",E2445="!!!"),"",IF(NOT(ISNA(VLOOKUP(E2445,E$1:E2444,1,FALSE()))),"OLD",IF(AND(E2445&lt;&gt;"",E2445&lt;&gt;"!!!"),"NEW","")))</f>
        <v/>
      </c>
      <c r="G2445" s="26" t="str">
        <f aca="false">IF(OR(E2445="",E2445="!!!"),"",IF(OR(J2445=0,AND(J2445=1,K2445=1),AND(J2445=1,I2445="SBJ"),AND(J2445=1,I2445=0)),"?IN_FOCUS",IF(J2445&lt;=2,"?ACTIVATED",IF(J2445&lt;&gt;"","?FAMILIAR",IF(F2445="NEW",IF(ISNA(VLOOKUP(E2445,#REF!,1,FALSE())),"?TYPE_IDENTIFIABLE","?REFERENTIAL"),"_")))))</f>
        <v/>
      </c>
      <c r="H2445" s="27" t="str">
        <f aca="false">IF(J2445&lt;&gt;1,"",IF(I2445="SBJ","CB","?"))</f>
        <v/>
      </c>
      <c r="I2445" s="24" t="str">
        <f aca="false">IF(OR(E2445="",E2445="!!!",F2445="NEW"),"",INDEX(B4:B$2442,-1+SUMPRODUCT(MAX(ROW(E4:E$2442)*(E2445=E4:E$2442)))))</f>
        <v/>
      </c>
      <c r="J2445" s="24" t="str">
        <f aca="true">IF(OR(E2445="",E2445="!!!",F2445="NEW"),"",COUNTBLANK(OFFSET(A$1,,,SUMPRODUCT(MAX(ROW(E$2:E2445)*(E2445=E$2:E2445)))))-COUNTBLANK(OFFSET(A$1,,,SUMPRODUCT(MAX(ROW(E$1:E2444)*(E2=E$1:E2444))))))</f>
        <v/>
      </c>
      <c r="K2445" s="24" t="str">
        <f aca="false">IF(OR(E2445="",E2445="!!!",F2445="NEW"),"",INDEX(J$1:J2444,SUMPRODUCT(MAX(ROW(E$1:E2444)*(E2445=E$1:E2444)))))</f>
        <v/>
      </c>
      <c r="L2445" s="31"/>
    </row>
    <row r="2446" customFormat="false" ht="15" hidden="false" customHeight="false" outlineLevel="0" collapsed="false">
      <c r="A2446" s="20" t="s">
        <v>1179</v>
      </c>
      <c r="B2446" s="22" t="s">
        <v>1073</v>
      </c>
      <c r="C2446" s="22" t="s">
        <v>1082</v>
      </c>
      <c r="D2446" s="22" t="s">
        <v>1060</v>
      </c>
      <c r="E2446" s="23" t="str">
        <f aca="false">IF(D2446="?OLD","!!!","")</f>
        <v>!!!</v>
      </c>
      <c r="F2446" s="25" t="str">
        <f aca="false">IF(OR(E2446="",E2446="!!!"),"",IF(NOT(ISNA(VLOOKUP(E2446,E$1:E2445,1,FALSE()))),"OLD",IF(AND(E2446&lt;&gt;"",E2446&lt;&gt;"!!!"),"NEW","")))</f>
        <v/>
      </c>
      <c r="G2446" s="26" t="str">
        <f aca="false">IF(OR(E2446="",E2446="!!!"),"",IF(OR(J2446=0,AND(J2446=1,K2446=1),AND(J2446=1,I2446="SBJ"),AND(J2446=1,I2446=0)),"?IN_FOCUS",IF(J2446&lt;=2,"?ACTIVATED",IF(J2446&lt;&gt;"","?FAMILIAR",IF(F2446="NEW",IF(ISNA(VLOOKUP(E2446,#REF!,1,FALSE())),"?TYPE_IDENTIFIABLE","?REFERENTIAL"),"_")))))</f>
        <v/>
      </c>
      <c r="H2446" s="27" t="str">
        <f aca="false">IF(J2446&lt;&gt;1,"",IF(I2446="SBJ","CB","?"))</f>
        <v/>
      </c>
      <c r="I2446" s="24" t="str">
        <f aca="false">IF(OR(E2446="",E2446="!!!",F2446="NEW"),"",INDEX(B5:B$2442,-1+SUMPRODUCT(MAX(ROW(E5:E$2442)*(E2446=E5:E$2442)))))</f>
        <v/>
      </c>
      <c r="J2446" s="24" t="str">
        <f aca="true">IF(OR(E2446="",E2446="!!!",F2446="NEW"),"",COUNTBLANK(OFFSET(A$1,,,SUMPRODUCT(MAX(ROW(E$2:E2446)*(E2446=E$2:E2446)))))-COUNTBLANK(OFFSET(A$1,,,SUMPRODUCT(MAX(ROW(E$1:E2445)*(E2=E$1:E2445))))))</f>
        <v/>
      </c>
      <c r="K2446" s="24" t="str">
        <f aca="false">IF(OR(E2446="",E2446="!!!",F2446="NEW"),"",INDEX(J$1:J2445,SUMPRODUCT(MAX(ROW(E$1:E2445)*(E2446=E$1:E2445)))))</f>
        <v/>
      </c>
      <c r="L2446" s="31"/>
    </row>
    <row r="2447" customFormat="false" ht="15" hidden="false" customHeight="false" outlineLevel="0" collapsed="false">
      <c r="A2447" s="20" t="s">
        <v>1157</v>
      </c>
      <c r="E2447" s="23" t="str">
        <f aca="false">IF(D2447="?OLD","!!!","")</f>
        <v/>
      </c>
      <c r="F2447" s="25" t="str">
        <f aca="false">IF(OR(E2447="",E2447="!!!"),"",IF(NOT(ISNA(VLOOKUP(E2447,E$1:E2446,1,FALSE()))),"OLD",IF(AND(E2447&lt;&gt;"",E2447&lt;&gt;"!!!"),"NEW","")))</f>
        <v/>
      </c>
      <c r="G2447" s="26" t="str">
        <f aca="false">IF(OR(E2447="",E2447="!!!"),"",IF(OR(J2447=0,AND(J2447=1,K2447=1),AND(J2447=1,I2447="SBJ"),AND(J2447=1,I2447=0)),"?IN_FOCUS",IF(J2447&lt;=2,"?ACTIVATED",IF(J2447&lt;&gt;"","?FAMILIAR",IF(F2447="NEW",IF(ISNA(VLOOKUP(E2447,#REF!,1,FALSE())),"?TYPE_IDENTIFIABLE","?REFERENTIAL"),"_")))))</f>
        <v/>
      </c>
      <c r="H2447" s="27" t="str">
        <f aca="false">IF(J2447&lt;&gt;1,"",IF(I2447="SBJ","CB","?"))</f>
        <v/>
      </c>
      <c r="I2447" s="24" t="str">
        <f aca="false">IF(OR(E2447="",E2447="!!!",F2447="NEW"),"",INDEX(B6:B$2442,-1+SUMPRODUCT(MAX(ROW(E6:E$2442)*(E2447=E6:E$2442)))))</f>
        <v/>
      </c>
      <c r="J2447" s="24" t="str">
        <f aca="true">IF(OR(E2447="",E2447="!!!",F2447="NEW"),"",COUNTBLANK(OFFSET(A$1,,,SUMPRODUCT(MAX(ROW(E$2:E2447)*(E2447=E$2:E2447)))))-COUNTBLANK(OFFSET(A$1,,,SUMPRODUCT(MAX(ROW(E$1:E2446)*(E2=E$1:E2446))))))</f>
        <v/>
      </c>
      <c r="K2447" s="24" t="str">
        <f aca="false">IF(OR(E2447="",E2447="!!!",F2447="NEW"),"",INDEX(J$1:J2446,SUMPRODUCT(MAX(ROW(E$1:E2446)*(E2447=E$1:E2446)))))</f>
        <v/>
      </c>
      <c r="L2447" s="31"/>
    </row>
    <row r="2448" customFormat="false" ht="15" hidden="false" customHeight="false" outlineLevel="0" collapsed="false">
      <c r="A2448" s="20" t="s">
        <v>1186</v>
      </c>
      <c r="B2448" s="22" t="s">
        <v>1058</v>
      </c>
      <c r="C2448" s="22" t="s">
        <v>1082</v>
      </c>
      <c r="D2448" s="22" t="s">
        <v>1060</v>
      </c>
      <c r="E2448" s="23" t="str">
        <f aca="false">IF(D2448="?OLD","!!!","")</f>
        <v>!!!</v>
      </c>
      <c r="F2448" s="25" t="str">
        <f aca="false">IF(OR(E2448="",E2448="!!!"),"",IF(NOT(ISNA(VLOOKUP(E2448,E$1:E2447,1,FALSE()))),"OLD",IF(AND(E2448&lt;&gt;"",E2448&lt;&gt;"!!!"),"NEW","")))</f>
        <v/>
      </c>
      <c r="G2448" s="26" t="str">
        <f aca="false">IF(OR(E2448="",E2448="!!!"),"",IF(OR(J2448=0,AND(J2448=1,K2448=1),AND(J2448=1,I2448="SBJ"),AND(J2448=1,I2448=0)),"?IN_FOCUS",IF(J2448&lt;=2,"?ACTIVATED",IF(J2448&lt;&gt;"","?FAMILIAR",IF(F2448="NEW",IF(ISNA(VLOOKUP(E2448,#REF!,1,FALSE())),"?TYPE_IDENTIFIABLE","?REFERENTIAL"),"_")))))</f>
        <v/>
      </c>
      <c r="H2448" s="27" t="str">
        <f aca="false">IF(J2448&lt;&gt;1,"",IF(I2448="SBJ","CB","?"))</f>
        <v/>
      </c>
      <c r="I2448" s="24" t="str">
        <f aca="false">IF(OR(E2448="",E2448="!!!",F2448="NEW"),"",INDEX(B7:B$2442,-1+SUMPRODUCT(MAX(ROW(E7:E$2442)*(E2448=E7:E$2442)))))</f>
        <v/>
      </c>
      <c r="J2448" s="24" t="str">
        <f aca="true">IF(OR(E2448="",E2448="!!!",F2448="NEW"),"",COUNTBLANK(OFFSET(A$1,,,SUMPRODUCT(MAX(ROW(E$2:E2448)*(E2448=E$2:E2448)))))-COUNTBLANK(OFFSET(A$1,,,SUMPRODUCT(MAX(ROW(E$1:E2447)*(E2=E$1:E2447))))))</f>
        <v/>
      </c>
      <c r="K2448" s="24" t="str">
        <f aca="false">IF(OR(E2448="",E2448="!!!",F2448="NEW"),"",INDEX(J$1:J2447,SUMPRODUCT(MAX(ROW(E$1:E2447)*(E2448=E$1:E2447)))))</f>
        <v/>
      </c>
      <c r="L2448" s="31"/>
    </row>
    <row r="2449" customFormat="false" ht="15" hidden="false" customHeight="false" outlineLevel="0" collapsed="false">
      <c r="A2449" s="20" t="s">
        <v>1938</v>
      </c>
      <c r="E2449" s="23" t="str">
        <f aca="false">IF(D2449="?OLD","!!!","")</f>
        <v/>
      </c>
      <c r="F2449" s="25" t="str">
        <f aca="false">IF(OR(E2449="",E2449="!!!"),"",IF(NOT(ISNA(VLOOKUP(E2449,E$1:E2448,1,FALSE()))),"OLD",IF(AND(E2449&lt;&gt;"",E2449&lt;&gt;"!!!"),"NEW","")))</f>
        <v/>
      </c>
      <c r="G2449" s="26" t="str">
        <f aca="false">IF(OR(E2449="",E2449="!!!"),"",IF(OR(J2449=0,AND(J2449=1,K2449=1),AND(J2449=1,I2449="SBJ"),AND(J2449=1,I2449=0)),"?IN_FOCUS",IF(J2449&lt;=2,"?ACTIVATED",IF(J2449&lt;&gt;"","?FAMILIAR",IF(F2449="NEW",IF(ISNA(VLOOKUP(E2449,#REF!,1,FALSE())),"?TYPE_IDENTIFIABLE","?REFERENTIAL"),"_")))))</f>
        <v/>
      </c>
      <c r="H2449" s="27" t="str">
        <f aca="false">IF(J2449&lt;&gt;1,"",IF(I2449="SBJ","CB","?"))</f>
        <v/>
      </c>
      <c r="I2449" s="24" t="str">
        <f aca="false">IF(OR(E2449="",E2449="!!!",F2449="NEW"),"",INDEX(B8:B$2442,-1+SUMPRODUCT(MAX(ROW(E8:E$2442)*(E2449=E8:E$2442)))))</f>
        <v/>
      </c>
      <c r="J2449" s="24" t="str">
        <f aca="true">IF(OR(E2449="",E2449="!!!",F2449="NEW"),"",COUNTBLANK(OFFSET(A$1,,,SUMPRODUCT(MAX(ROW(E$2:E2449)*(E2449=E$2:E2449)))))-COUNTBLANK(OFFSET(A$1,,,SUMPRODUCT(MAX(ROW(E$1:E2448)*(E2=E$1:E2448))))))</f>
        <v/>
      </c>
      <c r="K2449" s="24" t="str">
        <f aca="false">IF(OR(E2449="",E2449="!!!",F2449="NEW"),"",INDEX(J$1:J2448,SUMPRODUCT(MAX(ROW(E$1:E2448)*(E2449=E$1:E2448)))))</f>
        <v/>
      </c>
      <c r="L2449" s="31"/>
    </row>
    <row r="2450" customFormat="false" ht="15" hidden="false" customHeight="false" outlineLevel="0" collapsed="false">
      <c r="A2450" s="20" t="s">
        <v>1280</v>
      </c>
      <c r="E2450" s="23" t="str">
        <f aca="false">IF(D2450="?OLD","!!!","")</f>
        <v/>
      </c>
      <c r="F2450" s="25" t="str">
        <f aca="false">IF(OR(E2450="",E2450="!!!"),"",IF(NOT(ISNA(VLOOKUP(E2450,E$1:E2449,1,FALSE()))),"OLD",IF(AND(E2450&lt;&gt;"",E2450&lt;&gt;"!!!"),"NEW","")))</f>
        <v/>
      </c>
      <c r="G2450" s="26" t="str">
        <f aca="false">IF(OR(E2450="",E2450="!!!"),"",IF(OR(J2450=0,AND(J2450=1,K2450=1),AND(J2450=1,I2450="SBJ"),AND(J2450=1,I2450=0)),"?IN_FOCUS",IF(J2450&lt;=2,"?ACTIVATED",IF(J2450&lt;&gt;"","?FAMILIAR",IF(F2450="NEW",IF(ISNA(VLOOKUP(E2450,#REF!,1,FALSE())),"?TYPE_IDENTIFIABLE","?REFERENTIAL"),"_")))))</f>
        <v/>
      </c>
      <c r="H2450" s="27" t="str">
        <f aca="false">IF(J2450&lt;&gt;1,"",IF(I2450="SBJ","CB","?"))</f>
        <v/>
      </c>
      <c r="I2450" s="24" t="str">
        <f aca="false">IF(OR(E2450="",E2450="!!!",F2450="NEW"),"",INDEX(B9:B$2442,-1+SUMPRODUCT(MAX(ROW(E9:E$2442)*(E2450=E9:E$2442)))))</f>
        <v/>
      </c>
      <c r="J2450" s="24" t="str">
        <f aca="true">IF(OR(E2450="",E2450="!!!",F2450="NEW"),"",COUNTBLANK(OFFSET(A$1,,,SUMPRODUCT(MAX(ROW(E$2:E2450)*(E2450=E$2:E2450)))))-COUNTBLANK(OFFSET(A$1,,,SUMPRODUCT(MAX(ROW(E$1:E2449)*(E2=E$1:E2449))))))</f>
        <v/>
      </c>
      <c r="K2450" s="24" t="str">
        <f aca="false">IF(OR(E2450="",E2450="!!!",F2450="NEW"),"",INDEX(J$1:J2449,SUMPRODUCT(MAX(ROW(E$1:E2449)*(E2450=E$1:E2449)))))</f>
        <v/>
      </c>
      <c r="L2450" s="31"/>
    </row>
    <row r="2451" customFormat="false" ht="15" hidden="false" customHeight="false" outlineLevel="0" collapsed="false">
      <c r="A2451" s="20" t="s">
        <v>1109</v>
      </c>
      <c r="E2451" s="23" t="str">
        <f aca="false">IF(D2451="?OLD","!!!","")</f>
        <v/>
      </c>
      <c r="F2451" s="25" t="str">
        <f aca="false">IF(OR(E2451="",E2451="!!!"),"",IF(NOT(ISNA(VLOOKUP(E2451,E$1:E2450,1,FALSE()))),"OLD",IF(AND(E2451&lt;&gt;"",E2451&lt;&gt;"!!!"),"NEW","")))</f>
        <v/>
      </c>
      <c r="G2451" s="26" t="str">
        <f aca="false">IF(OR(E2451="",E2451="!!!"),"",IF(OR(J2451=0,AND(J2451=1,K2451=1),AND(J2451=1,I2451="SBJ"),AND(J2451=1,I2451=0)),"?IN_FOCUS",IF(J2451&lt;=2,"?ACTIVATED",IF(J2451&lt;&gt;"","?FAMILIAR",IF(F2451="NEW",IF(ISNA(VLOOKUP(E2451,#REF!,1,FALSE())),"?TYPE_IDENTIFIABLE","?REFERENTIAL"),"_")))))</f>
        <v/>
      </c>
      <c r="H2451" s="27" t="str">
        <f aca="false">IF(J2451&lt;&gt;1,"",IF(I2451="SBJ","CB","?"))</f>
        <v/>
      </c>
      <c r="I2451" s="24" t="str">
        <f aca="false">IF(OR(E2451="",E2451="!!!",F2451="NEW"),"",INDEX(B10:B$2442,-1+SUMPRODUCT(MAX(ROW(E10:E$2442)*(E2451=E10:E$2442)))))</f>
        <v/>
      </c>
      <c r="J2451" s="24" t="str">
        <f aca="true">IF(OR(E2451="",E2451="!!!",F2451="NEW"),"",COUNTBLANK(OFFSET(A$1,,,SUMPRODUCT(MAX(ROW(E$2:E2451)*(E2451=E$2:E2451)))))-COUNTBLANK(OFFSET(A$1,,,SUMPRODUCT(MAX(ROW(E$1:E2450)*(E2=E$1:E2450))))))</f>
        <v/>
      </c>
      <c r="K2451" s="24" t="str">
        <f aca="false">IF(OR(E2451="",E2451="!!!",F2451="NEW"),"",INDEX(J$1:J2450,SUMPRODUCT(MAX(ROW(E$1:E2450)*(E2451=E$1:E2450)))))</f>
        <v/>
      </c>
      <c r="L2451" s="31"/>
    </row>
    <row r="2452" customFormat="false" ht="15" hidden="false" customHeight="false" outlineLevel="0" collapsed="false">
      <c r="A2452" s="20" t="s">
        <v>1382</v>
      </c>
      <c r="B2452" s="22" t="s">
        <v>1081</v>
      </c>
      <c r="C2452" s="22" t="s">
        <v>1150</v>
      </c>
      <c r="D2452" s="22" t="s">
        <v>1060</v>
      </c>
      <c r="E2452" s="23" t="str">
        <f aca="false">IF(D2452="?OLD","!!!","")</f>
        <v>!!!</v>
      </c>
      <c r="F2452" s="25" t="str">
        <f aca="false">IF(OR(E2452="",E2452="!!!"),"",IF(NOT(ISNA(VLOOKUP(E2452,E$1:E2451,1,FALSE()))),"OLD",IF(AND(E2452&lt;&gt;"",E2452&lt;&gt;"!!!"),"NEW","")))</f>
        <v/>
      </c>
      <c r="G2452" s="26" t="str">
        <f aca="false">IF(OR(E2452="",E2452="!!!"),"",IF(OR(J2452=0,AND(J2452=1,K2452=1),AND(J2452=1,I2452="SBJ"),AND(J2452=1,I2452=0)),"?IN_FOCUS",IF(J2452&lt;=2,"?ACTIVATED",IF(J2452&lt;&gt;"","?FAMILIAR",IF(F2452="NEW",IF(ISNA(VLOOKUP(E2452,#REF!,1,FALSE())),"?TYPE_IDENTIFIABLE","?REFERENTIAL"),"_")))))</f>
        <v/>
      </c>
      <c r="H2452" s="27" t="str">
        <f aca="false">IF(J2452&lt;&gt;1,"",IF(I2452="SBJ","CB","?"))</f>
        <v/>
      </c>
      <c r="I2452" s="24" t="str">
        <f aca="false">IF(OR(E2452="",E2452="!!!",F2452="NEW"),"",INDEX(B11:B$2442,-1+SUMPRODUCT(MAX(ROW(E11:E$2442)*(E2452=E11:E$2442)))))</f>
        <v/>
      </c>
      <c r="J2452" s="24" t="str">
        <f aca="true">IF(OR(E2452="",E2452="!!!",F2452="NEW"),"",COUNTBLANK(OFFSET(A$1,,,SUMPRODUCT(MAX(ROW(E$2:E2452)*(E2452=E$2:E2452)))))-COUNTBLANK(OFFSET(A$1,,,SUMPRODUCT(MAX(ROW(E$1:E2451)*(E2=E$1:E2451))))))</f>
        <v/>
      </c>
      <c r="K2452" s="24" t="str">
        <f aca="false">IF(OR(E2452="",E2452="!!!",F2452="NEW"),"",INDEX(J$1:J2451,SUMPRODUCT(MAX(ROW(E$1:E2451)*(E2452=E$1:E2451)))))</f>
        <v/>
      </c>
      <c r="L2452" s="31"/>
    </row>
    <row r="2453" customFormat="false" ht="15" hidden="false" customHeight="false" outlineLevel="0" collapsed="false">
      <c r="A2453" s="20" t="s">
        <v>1186</v>
      </c>
      <c r="B2453" s="22" t="s">
        <v>1091</v>
      </c>
      <c r="C2453" s="22" t="s">
        <v>1082</v>
      </c>
      <c r="D2453" s="22" t="s">
        <v>1060</v>
      </c>
      <c r="E2453" s="23" t="str">
        <f aca="false">IF(D2453="?OLD","!!!","")</f>
        <v>!!!</v>
      </c>
      <c r="F2453" s="25" t="str">
        <f aca="false">IF(OR(E2453="",E2453="!!!"),"",IF(NOT(ISNA(VLOOKUP(E2453,E$1:E2452,1,FALSE()))),"OLD",IF(AND(E2453&lt;&gt;"",E2453&lt;&gt;"!!!"),"NEW","")))</f>
        <v/>
      </c>
      <c r="G2453" s="26" t="str">
        <f aca="false">IF(OR(E2453="",E2453="!!!"),"",IF(OR(J2453=0,AND(J2453=1,K2453=1),AND(J2453=1,I2453="SBJ"),AND(J2453=1,I2453=0)),"?IN_FOCUS",IF(J2453&lt;=2,"?ACTIVATED",IF(J2453&lt;&gt;"","?FAMILIAR",IF(F2453="NEW",IF(ISNA(VLOOKUP(E2453,#REF!,1,FALSE())),"?TYPE_IDENTIFIABLE","?REFERENTIAL"),"_")))))</f>
        <v/>
      </c>
      <c r="H2453" s="27" t="str">
        <f aca="false">IF(J2453&lt;&gt;1,"",IF(I2453="SBJ","CB","?"))</f>
        <v/>
      </c>
      <c r="I2453" s="24" t="str">
        <f aca="false">IF(OR(E2453="",E2453="!!!",F2453="NEW"),"",INDEX(B12:B$2442,-1+SUMPRODUCT(MAX(ROW(E12:E$2442)*(E2453=E12:E$2442)))))</f>
        <v/>
      </c>
      <c r="J2453" s="24" t="str">
        <f aca="true">IF(OR(E2453="",E2453="!!!",F2453="NEW"),"",COUNTBLANK(OFFSET(A$1,,,SUMPRODUCT(MAX(ROW(E$2:E2453)*(E2453=E$2:E2453)))))-COUNTBLANK(OFFSET(A$1,,,SUMPRODUCT(MAX(ROW(E$1:E2452)*(E2=E$1:E2452))))))</f>
        <v/>
      </c>
      <c r="K2453" s="24" t="str">
        <f aca="false">IF(OR(E2453="",E2453="!!!",F2453="NEW"),"",INDEX(J$1:J2452,SUMPRODUCT(MAX(ROW(E$1:E2452)*(E2453=E$1:E2452)))))</f>
        <v/>
      </c>
      <c r="L2453" s="31"/>
    </row>
    <row r="2454" customFormat="false" ht="15" hidden="false" customHeight="false" outlineLevel="0" collapsed="false">
      <c r="A2454" s="20" t="s">
        <v>1529</v>
      </c>
      <c r="E2454" s="23" t="str">
        <f aca="false">IF(D2454="?OLD","!!!","")</f>
        <v/>
      </c>
      <c r="F2454" s="25" t="str">
        <f aca="false">IF(OR(E2454="",E2454="!!!"),"",IF(NOT(ISNA(VLOOKUP(E2454,E$1:E2453,1,FALSE()))),"OLD",IF(AND(E2454&lt;&gt;"",E2454&lt;&gt;"!!!"),"NEW","")))</f>
        <v/>
      </c>
      <c r="G2454" s="26" t="str">
        <f aca="false">IF(OR(E2454="",E2454="!!!"),"",IF(OR(J2454=0,AND(J2454=1,K2454=1),AND(J2454=1,I2454="SBJ"),AND(J2454=1,I2454=0)),"?IN_FOCUS",IF(J2454&lt;=2,"?ACTIVATED",IF(J2454&lt;&gt;"","?FAMILIAR",IF(F2454="NEW",IF(ISNA(VLOOKUP(E2454,#REF!,1,FALSE())),"?TYPE_IDENTIFIABLE","?REFERENTIAL"),"_")))))</f>
        <v/>
      </c>
      <c r="H2454" s="27" t="str">
        <f aca="false">IF(J2454&lt;&gt;1,"",IF(I2454="SBJ","CB","?"))</f>
        <v/>
      </c>
      <c r="I2454" s="24" t="str">
        <f aca="false">IF(OR(E2454="",E2454="!!!",F2454="NEW"),"",INDEX(B13:B$2442,-1+SUMPRODUCT(MAX(ROW(E13:E$2442)*(E2454=E13:E$2442)))))</f>
        <v/>
      </c>
      <c r="J2454" s="24" t="str">
        <f aca="true">IF(OR(E2454="",E2454="!!!",F2454="NEW"),"",COUNTBLANK(OFFSET(A$1,,,SUMPRODUCT(MAX(ROW(E$2:E2454)*(E2454=E$2:E2454)))))-COUNTBLANK(OFFSET(A$1,,,SUMPRODUCT(MAX(ROW(E$1:E2453)*(E2=E$1:E2453))))))</f>
        <v/>
      </c>
      <c r="K2454" s="24" t="str">
        <f aca="false">IF(OR(E2454="",E2454="!!!",F2454="NEW"),"",INDEX(J$1:J2453,SUMPRODUCT(MAX(ROW(E$1:E2453)*(E2454=E$1:E2453)))))</f>
        <v/>
      </c>
      <c r="L2454" s="31"/>
    </row>
    <row r="2455" customFormat="false" ht="15" hidden="false" customHeight="false" outlineLevel="0" collapsed="false">
      <c r="A2455" s="20" t="s">
        <v>1939</v>
      </c>
      <c r="B2455" s="22" t="s">
        <v>1146</v>
      </c>
      <c r="C2455" s="22" t="s">
        <v>1160</v>
      </c>
      <c r="E2455" s="23" t="str">
        <f aca="false">IF(D2455="?OLD","!!!","")</f>
        <v/>
      </c>
      <c r="F2455" s="25" t="str">
        <f aca="false">IF(OR(E2455="",E2455="!!!"),"",IF(NOT(ISNA(VLOOKUP(E2455,E$1:E2454,1,FALSE()))),"OLD",IF(AND(E2455&lt;&gt;"",E2455&lt;&gt;"!!!"),"NEW","")))</f>
        <v/>
      </c>
      <c r="G2455" s="26" t="str">
        <f aca="false">IF(OR(E2455="",E2455="!!!"),"",IF(OR(J2455=0,AND(J2455=1,K2455=1),AND(J2455=1,I2455="SBJ"),AND(J2455=1,I2455=0)),"?IN_FOCUS",IF(J2455&lt;=2,"?ACTIVATED",IF(J2455&lt;&gt;"","?FAMILIAR",IF(F2455="NEW",IF(ISNA(VLOOKUP(E2455,#REF!,1,FALSE())),"?TYPE_IDENTIFIABLE","?REFERENTIAL"),"_")))))</f>
        <v/>
      </c>
      <c r="H2455" s="27" t="str">
        <f aca="false">IF(J2455&lt;&gt;1,"",IF(I2455="SBJ","CB","?"))</f>
        <v/>
      </c>
      <c r="I2455" s="24" t="str">
        <f aca="false">IF(OR(E2455="",E2455="!!!",F2455="NEW"),"",INDEX(B14:B$2442,-1+SUMPRODUCT(MAX(ROW(E14:E$2442)*(E2455=E14:E$2442)))))</f>
        <v/>
      </c>
      <c r="J2455" s="24" t="str">
        <f aca="true">IF(OR(E2455="",E2455="!!!",F2455="NEW"),"",COUNTBLANK(OFFSET(A$1,,,SUMPRODUCT(MAX(ROW(E$2:E2455)*(E2455=E$2:E2455)))))-COUNTBLANK(OFFSET(A$1,,,SUMPRODUCT(MAX(ROW(E$1:E2454)*(E2=E$1:E2454))))))</f>
        <v/>
      </c>
      <c r="K2455" s="24" t="str">
        <f aca="false">IF(OR(E2455="",E2455="!!!",F2455="NEW"),"",INDEX(J$1:J2454,SUMPRODUCT(MAX(ROW(E$1:E2454)*(E2455=E$1:E2454)))))</f>
        <v/>
      </c>
      <c r="L2455" s="31"/>
    </row>
    <row r="2456" customFormat="false" ht="15" hidden="false" customHeight="false" outlineLevel="0" collapsed="false">
      <c r="A2456" s="20" t="s">
        <v>1264</v>
      </c>
      <c r="E2456" s="23" t="str">
        <f aca="false">IF(D2456="?OLD","!!!","")</f>
        <v/>
      </c>
      <c r="F2456" s="25" t="str">
        <f aca="false">IF(OR(E2456="",E2456="!!!"),"",IF(NOT(ISNA(VLOOKUP(E2456,E$1:E2455,1,FALSE()))),"OLD",IF(AND(E2456&lt;&gt;"",E2456&lt;&gt;"!!!"),"NEW","")))</f>
        <v/>
      </c>
      <c r="G2456" s="26" t="str">
        <f aca="false">IF(OR(E2456="",E2456="!!!"),"",IF(OR(J2456=0,AND(J2456=1,K2456=1),AND(J2456=1,I2456="SBJ"),AND(J2456=1,I2456=0)),"?IN_FOCUS",IF(J2456&lt;=2,"?ACTIVATED",IF(J2456&lt;&gt;"","?FAMILIAR",IF(F2456="NEW",IF(ISNA(VLOOKUP(E2456,#REF!,1,FALSE())),"?TYPE_IDENTIFIABLE","?REFERENTIAL"),"_")))))</f>
        <v/>
      </c>
      <c r="H2456" s="27" t="str">
        <f aca="false">IF(J2456&lt;&gt;1,"",IF(I2456="SBJ","CB","?"))</f>
        <v/>
      </c>
      <c r="I2456" s="24" t="str">
        <f aca="false">IF(OR(E2456="",E2456="!!!",F2456="NEW"),"",INDEX(B15:B$2442,-1+SUMPRODUCT(MAX(ROW(E15:E$2442)*(E2456=E15:E$2442)))))</f>
        <v/>
      </c>
      <c r="J2456" s="24" t="str">
        <f aca="true">IF(OR(E2456="",E2456="!!!",F2456="NEW"),"",COUNTBLANK(OFFSET(A$1,,,SUMPRODUCT(MAX(ROW(E$2:E2456)*(E2456=E$2:E2456)))))-COUNTBLANK(OFFSET(A$1,,,SUMPRODUCT(MAX(ROW(E$1:E2455)*(E2=E$1:E2455))))))</f>
        <v/>
      </c>
      <c r="K2456" s="24" t="str">
        <f aca="false">IF(OR(E2456="",E2456="!!!",F2456="NEW"),"",INDEX(J$1:J2455,SUMPRODUCT(MAX(ROW(E$1:E2455)*(E2456=E$1:E2455)))))</f>
        <v/>
      </c>
      <c r="L2456" s="31"/>
    </row>
    <row r="2457" customFormat="false" ht="15" hidden="false" customHeight="false" outlineLevel="0" collapsed="false">
      <c r="A2457" s="20" t="s">
        <v>1939</v>
      </c>
      <c r="B2457" s="22" t="s">
        <v>1067</v>
      </c>
      <c r="C2457" s="22" t="s">
        <v>1160</v>
      </c>
      <c r="E2457" s="23" t="str">
        <f aca="false">IF(D2457="?OLD","!!!","")</f>
        <v/>
      </c>
      <c r="F2457" s="25" t="str">
        <f aca="false">IF(OR(E2457="",E2457="!!!"),"",IF(NOT(ISNA(VLOOKUP(E2457,E$1:E2456,1,FALSE()))),"OLD",IF(AND(E2457&lt;&gt;"",E2457&lt;&gt;"!!!"),"NEW","")))</f>
        <v/>
      </c>
      <c r="G2457" s="26" t="str">
        <f aca="false">IF(OR(E2457="",E2457="!!!"),"",IF(OR(J2457=0,AND(J2457=1,K2457=1),AND(J2457=1,I2457="SBJ"),AND(J2457=1,I2457=0)),"?IN_FOCUS",IF(J2457&lt;=2,"?ACTIVATED",IF(J2457&lt;&gt;"","?FAMILIAR",IF(F2457="NEW",IF(ISNA(VLOOKUP(E2457,#REF!,1,FALSE())),"?TYPE_IDENTIFIABLE","?REFERENTIAL"),"_")))))</f>
        <v/>
      </c>
      <c r="H2457" s="27" t="str">
        <f aca="false">IF(J2457&lt;&gt;1,"",IF(I2457="SBJ","CB","?"))</f>
        <v/>
      </c>
      <c r="I2457" s="24" t="str">
        <f aca="false">IF(OR(E2457="",E2457="!!!",F2457="NEW"),"",INDEX(B16:B$2442,-1+SUMPRODUCT(MAX(ROW(E16:E$2442)*(E2457=E16:E$2442)))))</f>
        <v/>
      </c>
      <c r="J2457" s="24" t="str">
        <f aca="true">IF(OR(E2457="",E2457="!!!",F2457="NEW"),"",COUNTBLANK(OFFSET(A$1,,,SUMPRODUCT(MAX(ROW(E$2:E2457)*(E2457=E$2:E2457)))))-COUNTBLANK(OFFSET(A$1,,,SUMPRODUCT(MAX(ROW(E$1:E2456)*(E2=E$1:E2456))))))</f>
        <v/>
      </c>
      <c r="K2457" s="24" t="str">
        <f aca="false">IF(OR(E2457="",E2457="!!!",F2457="NEW"),"",INDEX(J$1:J2456,SUMPRODUCT(MAX(ROW(E$1:E2456)*(E2457=E$1:E2456)))))</f>
        <v/>
      </c>
      <c r="L2457" s="31"/>
    </row>
    <row r="2458" customFormat="false" ht="15" hidden="false" customHeight="false" outlineLevel="0" collapsed="false">
      <c r="A2458" s="20" t="s">
        <v>1119</v>
      </c>
      <c r="E2458" s="23" t="str">
        <f aca="false">IF(D2458="?OLD","!!!","")</f>
        <v/>
      </c>
      <c r="F2458" s="25" t="str">
        <f aca="false">IF(OR(E2458="",E2458="!!!"),"",IF(NOT(ISNA(VLOOKUP(E2458,E$1:E2457,1,FALSE()))),"OLD",IF(AND(E2458&lt;&gt;"",E2458&lt;&gt;"!!!"),"NEW","")))</f>
        <v/>
      </c>
      <c r="G2458" s="26" t="str">
        <f aca="false">IF(OR(E2458="",E2458="!!!"),"",IF(OR(J2458=0,AND(J2458=1,K2458=1),AND(J2458=1,I2458="SBJ"),AND(J2458=1,I2458=0)),"?IN_FOCUS",IF(J2458&lt;=2,"?ACTIVATED",IF(J2458&lt;&gt;"","?FAMILIAR",IF(F2458="NEW",IF(ISNA(VLOOKUP(E2458,#REF!,1,FALSE())),"?TYPE_IDENTIFIABLE","?REFERENTIAL"),"_")))))</f>
        <v/>
      </c>
      <c r="H2458" s="27" t="str">
        <f aca="false">IF(J2458&lt;&gt;1,"",IF(I2458="SBJ","CB","?"))</f>
        <v/>
      </c>
      <c r="I2458" s="24" t="str">
        <f aca="false">IF(OR(E2458="",E2458="!!!",F2458="NEW"),"",INDEX(B17:B$2442,-1+SUMPRODUCT(MAX(ROW(E17:E$2442)*(E2458=E17:E$2442)))))</f>
        <v/>
      </c>
      <c r="J2458" s="24" t="str">
        <f aca="true">IF(OR(E2458="",E2458="!!!",F2458="NEW"),"",COUNTBLANK(OFFSET(A$1,,,SUMPRODUCT(MAX(ROW(E$2:E2458)*(E2458=E$2:E2458)))))-COUNTBLANK(OFFSET(A$1,,,SUMPRODUCT(MAX(ROW(E$1:E2457)*(E2=E$1:E2457))))))</f>
        <v/>
      </c>
      <c r="K2458" s="24" t="str">
        <f aca="false">IF(OR(E2458="",E2458="!!!",F2458="NEW"),"",INDEX(J$1:J2457,SUMPRODUCT(MAX(ROW(E$1:E2457)*(E2458=E$1:E2457)))))</f>
        <v/>
      </c>
      <c r="L2458" s="31"/>
    </row>
    <row r="2459" customFormat="false" ht="15" hidden="false" customHeight="false" outlineLevel="0" collapsed="false">
      <c r="A2459" s="20" t="s">
        <v>499</v>
      </c>
      <c r="B2459" s="22" t="s">
        <v>1107</v>
      </c>
      <c r="C2459" s="22" t="s">
        <v>1068</v>
      </c>
      <c r="D2459" s="22" t="s">
        <v>1060</v>
      </c>
      <c r="E2459" s="23" t="str">
        <f aca="false">IF(D2459="?OLD","!!!","")</f>
        <v>!!!</v>
      </c>
      <c r="F2459" s="25" t="str">
        <f aca="false">IF(OR(E2459="",E2459="!!!"),"",IF(NOT(ISNA(VLOOKUP(E2459,E$1:E2458,1,FALSE()))),"OLD",IF(AND(E2459&lt;&gt;"",E2459&lt;&gt;"!!!"),"NEW","")))</f>
        <v/>
      </c>
      <c r="G2459" s="26" t="str">
        <f aca="false">IF(OR(E2459="",E2459="!!!"),"",IF(OR(J2459=0,AND(J2459=1,K2459=1),AND(J2459=1,I2459="SBJ"),AND(J2459=1,I2459=0)),"?IN_FOCUS",IF(J2459&lt;=2,"?ACTIVATED",IF(J2459&lt;&gt;"","?FAMILIAR",IF(F2459="NEW",IF(ISNA(VLOOKUP(E2459,#REF!,1,FALSE())),"?TYPE_IDENTIFIABLE","?REFERENTIAL"),"_")))))</f>
        <v/>
      </c>
      <c r="H2459" s="27" t="str">
        <f aca="false">IF(J2459&lt;&gt;1,"",IF(I2459="SBJ","CB","?"))</f>
        <v/>
      </c>
      <c r="I2459" s="24" t="str">
        <f aca="false">IF(OR(E2459="",E2459="!!!",F2459="NEW"),"",INDEX(B18:B$2442,-1+SUMPRODUCT(MAX(ROW(E18:E$2442)*(E2459=E18:E$2442)))))</f>
        <v/>
      </c>
      <c r="J2459" s="24" t="str">
        <f aca="true">IF(OR(E2459="",E2459="!!!",F2459="NEW"),"",COUNTBLANK(OFFSET(A$1,,,SUMPRODUCT(MAX(ROW(E$2:E2459)*(E2459=E$2:E2459)))))-COUNTBLANK(OFFSET(A$1,,,SUMPRODUCT(MAX(ROW(E$1:E2458)*(E2=E$1:E2458))))))</f>
        <v/>
      </c>
      <c r="K2459" s="24" t="str">
        <f aca="false">IF(OR(E2459="",E2459="!!!",F2459="NEW"),"",INDEX(J$1:J2458,SUMPRODUCT(MAX(ROW(E$1:E2458)*(E2459=E$1:E2458)))))</f>
        <v/>
      </c>
      <c r="L2459" s="31"/>
    </row>
    <row r="2460" customFormat="false" ht="15" hidden="false" customHeight="false" outlineLevel="0" collapsed="false">
      <c r="A2460" s="20" t="s">
        <v>1481</v>
      </c>
      <c r="E2460" s="23" t="str">
        <f aca="false">IF(D2460="?OLD","!!!","")</f>
        <v/>
      </c>
      <c r="F2460" s="25" t="str">
        <f aca="false">IF(OR(E2460="",E2460="!!!"),"",IF(NOT(ISNA(VLOOKUP(E2460,E$1:E2459,1,FALSE()))),"OLD",IF(AND(E2460&lt;&gt;"",E2460&lt;&gt;"!!!"),"NEW","")))</f>
        <v/>
      </c>
      <c r="G2460" s="26" t="str">
        <f aca="false">IF(OR(E2460="",E2460="!!!"),"",IF(OR(J2460=0,AND(J2460=1,K2460=1),AND(J2460=1,I2460="SBJ"),AND(J2460=1,I2460=0)),"?IN_FOCUS",IF(J2460&lt;=2,"?ACTIVATED",IF(J2460&lt;&gt;"","?FAMILIAR",IF(F2460="NEW",IF(ISNA(VLOOKUP(E2460,#REF!,1,FALSE())),"?TYPE_IDENTIFIABLE","?REFERENTIAL"),"_")))))</f>
        <v/>
      </c>
      <c r="H2460" s="27" t="str">
        <f aca="false">IF(J2460&lt;&gt;1,"",IF(I2460="SBJ","CB","?"))</f>
        <v/>
      </c>
      <c r="I2460" s="24" t="str">
        <f aca="false">IF(OR(E2460="",E2460="!!!",F2460="NEW"),"",INDEX(B19:B$2442,-1+SUMPRODUCT(MAX(ROW(E19:E$2442)*(E2460=E19:E$2442)))))</f>
        <v/>
      </c>
      <c r="J2460" s="24" t="str">
        <f aca="true">IF(OR(E2460="",E2460="!!!",F2460="NEW"),"",COUNTBLANK(OFFSET(A$1,,,SUMPRODUCT(MAX(ROW(E$2:E2460)*(E2460=E$2:E2460)))))-COUNTBLANK(OFFSET(A$1,,,SUMPRODUCT(MAX(ROW(E$1:E2459)*(E2=E$1:E2459))))))</f>
        <v/>
      </c>
      <c r="K2460" s="24" t="str">
        <f aca="false">IF(OR(E2460="",E2460="!!!",F2460="NEW"),"",INDEX(J$1:J2459,SUMPRODUCT(MAX(ROW(E$1:E2459)*(E2460=E$1:E2459)))))</f>
        <v/>
      </c>
      <c r="L2460" s="31"/>
    </row>
    <row r="2461" customFormat="false" ht="15" hidden="false" customHeight="false" outlineLevel="0" collapsed="false">
      <c r="A2461" s="20" t="s">
        <v>1128</v>
      </c>
      <c r="E2461" s="23" t="str">
        <f aca="false">IF(D2461="?OLD","!!!","")</f>
        <v/>
      </c>
      <c r="F2461" s="25" t="str">
        <f aca="false">IF(OR(E2461="",E2461="!!!"),"",IF(NOT(ISNA(VLOOKUP(E2461,E$1:E2460,1,FALSE()))),"OLD",IF(AND(E2461&lt;&gt;"",E2461&lt;&gt;"!!!"),"NEW","")))</f>
        <v/>
      </c>
      <c r="G2461" s="26" t="str">
        <f aca="false">IF(OR(E2461="",E2461="!!!"),"",IF(OR(J2461=0,AND(J2461=1,K2461=1),AND(J2461=1,I2461="SBJ"),AND(J2461=1,I2461=0)),"?IN_FOCUS",IF(J2461&lt;=2,"?ACTIVATED",IF(J2461&lt;&gt;"","?FAMILIAR",IF(F2461="NEW",IF(ISNA(VLOOKUP(E2461,#REF!,1,FALSE())),"?TYPE_IDENTIFIABLE","?REFERENTIAL"),"_")))))</f>
        <v/>
      </c>
      <c r="H2461" s="27" t="str">
        <f aca="false">IF(J2461&lt;&gt;1,"",IF(I2461="SBJ","CB","?"))</f>
        <v/>
      </c>
      <c r="I2461" s="24" t="str">
        <f aca="false">IF(OR(E2461="",E2461="!!!",F2461="NEW"),"",INDEX(B20:B$2442,-1+SUMPRODUCT(MAX(ROW(E20:E$2442)*(E2461=E20:E$2442)))))</f>
        <v/>
      </c>
      <c r="J2461" s="24" t="str">
        <f aca="true">IF(OR(E2461="",E2461="!!!",F2461="NEW"),"",COUNTBLANK(OFFSET(A$1,,,SUMPRODUCT(MAX(ROW(E$2:E2461)*(E2461=E$2:E2461)))))-COUNTBLANK(OFFSET(A$1,,,SUMPRODUCT(MAX(ROW(E$1:E2460)*(E2=E$1:E2460))))))</f>
        <v/>
      </c>
      <c r="K2461" s="24" t="str">
        <f aca="false">IF(OR(E2461="",E2461="!!!",F2461="NEW"),"",INDEX(J$1:J2460,SUMPRODUCT(MAX(ROW(E$1:E2460)*(E2461=E$1:E2460)))))</f>
        <v/>
      </c>
      <c r="L2461" s="31"/>
    </row>
    <row r="2462" customFormat="false" ht="15" hidden="false" customHeight="false" outlineLevel="0" collapsed="false">
      <c r="A2462" s="20" t="s">
        <v>1109</v>
      </c>
      <c r="E2462" s="23" t="str">
        <f aca="false">IF(D2462="?OLD","!!!","")</f>
        <v/>
      </c>
      <c r="F2462" s="25" t="str">
        <f aca="false">IF(OR(E2462="",E2462="!!!"),"",IF(NOT(ISNA(VLOOKUP(E2462,E$1:E2461,1,FALSE()))),"OLD",IF(AND(E2462&lt;&gt;"",E2462&lt;&gt;"!!!"),"NEW","")))</f>
        <v/>
      </c>
      <c r="G2462" s="26" t="str">
        <f aca="false">IF(OR(E2462="",E2462="!!!"),"",IF(OR(J2462=0,AND(J2462=1,K2462=1),AND(J2462=1,I2462="SBJ"),AND(J2462=1,I2462=0)),"?IN_FOCUS",IF(J2462&lt;=2,"?ACTIVATED",IF(J2462&lt;&gt;"","?FAMILIAR",IF(F2462="NEW",IF(ISNA(VLOOKUP(E2462,#REF!,1,FALSE())),"?TYPE_IDENTIFIABLE","?REFERENTIAL"),"_")))))</f>
        <v/>
      </c>
      <c r="H2462" s="27" t="str">
        <f aca="false">IF(J2462&lt;&gt;1,"",IF(I2462="SBJ","CB","?"))</f>
        <v/>
      </c>
      <c r="I2462" s="24" t="str">
        <f aca="false">IF(OR(E2462="",E2462="!!!",F2462="NEW"),"",INDEX(B21:B$2442,-1+SUMPRODUCT(MAX(ROW(E21:E$2442)*(E2462=E21:E$2442)))))</f>
        <v/>
      </c>
      <c r="J2462" s="24" t="str">
        <f aca="true">IF(OR(E2462="",E2462="!!!",F2462="NEW"),"",COUNTBLANK(OFFSET(A$1,,,SUMPRODUCT(MAX(ROW(E$2:E2462)*(E2462=E$2:E2462)))))-COUNTBLANK(OFFSET(A$1,,,SUMPRODUCT(MAX(ROW(E$1:E2461)*(E2=E$1:E2461))))))</f>
        <v/>
      </c>
      <c r="K2462" s="24" t="str">
        <f aca="false">IF(OR(E2462="",E2462="!!!",F2462="NEW"),"",INDEX(J$1:J2461,SUMPRODUCT(MAX(ROW(E$1:E2461)*(E2462=E$1:E2461)))))</f>
        <v/>
      </c>
      <c r="L2462" s="31"/>
    </row>
    <row r="2463" customFormat="false" ht="15" hidden="false" customHeight="false" outlineLevel="0" collapsed="false">
      <c r="A2463" s="20" t="s">
        <v>1940</v>
      </c>
      <c r="E2463" s="23" t="str">
        <f aca="false">IF(D2463="?OLD","!!!","")</f>
        <v/>
      </c>
      <c r="F2463" s="25" t="str">
        <f aca="false">IF(OR(E2463="",E2463="!!!"),"",IF(NOT(ISNA(VLOOKUP(E2463,E$1:E2462,1,FALSE()))),"OLD",IF(AND(E2463&lt;&gt;"",E2463&lt;&gt;"!!!"),"NEW","")))</f>
        <v/>
      </c>
      <c r="G2463" s="26" t="str">
        <f aca="false">IF(OR(E2463="",E2463="!!!"),"",IF(OR(J2463=0,AND(J2463=1,K2463=1),AND(J2463=1,I2463="SBJ"),AND(J2463=1,I2463=0)),"?IN_FOCUS",IF(J2463&lt;=2,"?ACTIVATED",IF(J2463&lt;&gt;"","?FAMILIAR",IF(F2463="NEW",IF(ISNA(VLOOKUP(E2463,#REF!,1,FALSE())),"?TYPE_IDENTIFIABLE","?REFERENTIAL"),"_")))))</f>
        <v/>
      </c>
      <c r="H2463" s="27" t="str">
        <f aca="false">IF(J2463&lt;&gt;1,"",IF(I2463="SBJ","CB","?"))</f>
        <v/>
      </c>
      <c r="I2463" s="24" t="str">
        <f aca="false">IF(OR(E2463="",E2463="!!!",F2463="NEW"),"",INDEX(B22:B$2442,-1+SUMPRODUCT(MAX(ROW(E22:E$2442)*(E2463=E22:E$2442)))))</f>
        <v/>
      </c>
      <c r="J2463" s="24" t="str">
        <f aca="true">IF(OR(E2463="",E2463="!!!",F2463="NEW"),"",COUNTBLANK(OFFSET(A$1,,,SUMPRODUCT(MAX(ROW(E$2:E2463)*(E2463=E$2:E2463)))))-COUNTBLANK(OFFSET(A$1,,,SUMPRODUCT(MAX(ROW(E$1:E2462)*(E2=E$1:E2462))))))</f>
        <v/>
      </c>
      <c r="K2463" s="24" t="str">
        <f aca="false">IF(OR(E2463="",E2463="!!!",F2463="NEW"),"",INDEX(J$1:J2462,SUMPRODUCT(MAX(ROW(E$1:E2462)*(E2463=E$1:E2462)))))</f>
        <v/>
      </c>
      <c r="L2463" s="31"/>
    </row>
    <row r="2464" customFormat="false" ht="15" hidden="false" customHeight="false" outlineLevel="0" collapsed="false">
      <c r="A2464" s="20" t="s">
        <v>1941</v>
      </c>
      <c r="B2464" s="22" t="s">
        <v>1098</v>
      </c>
      <c r="C2464" s="22" t="s">
        <v>1150</v>
      </c>
      <c r="D2464" s="22" t="s">
        <v>1060</v>
      </c>
      <c r="E2464" s="23" t="str">
        <f aca="false">IF(D2464="?OLD","!!!","")</f>
        <v>!!!</v>
      </c>
      <c r="F2464" s="25" t="str">
        <f aca="false">IF(OR(E2464="",E2464="!!!"),"",IF(NOT(ISNA(VLOOKUP(E2464,E$1:E2463,1,FALSE()))),"OLD",IF(AND(E2464&lt;&gt;"",E2464&lt;&gt;"!!!"),"NEW","")))</f>
        <v/>
      </c>
      <c r="G2464" s="26" t="str">
        <f aca="false">IF(OR(E2464="",E2464="!!!"),"",IF(OR(J2464=0,AND(J2464=1,K2464=1),AND(J2464=1,I2464="SBJ"),AND(J2464=1,I2464=0)),"?IN_FOCUS",IF(J2464&lt;=2,"?ACTIVATED",IF(J2464&lt;&gt;"","?FAMILIAR",IF(F2464="NEW",IF(ISNA(VLOOKUP(E2464,#REF!,1,FALSE())),"?TYPE_IDENTIFIABLE","?REFERENTIAL"),"_")))))</f>
        <v/>
      </c>
      <c r="H2464" s="27" t="str">
        <f aca="false">IF(J2464&lt;&gt;1,"",IF(I2464="SBJ","CB","?"))</f>
        <v/>
      </c>
      <c r="I2464" s="24" t="str">
        <f aca="false">IF(OR(E2464="",E2464="!!!",F2464="NEW"),"",INDEX(B23:B$2442,-1+SUMPRODUCT(MAX(ROW(E23:E$2442)*(E2464=E23:E$2442)))))</f>
        <v/>
      </c>
      <c r="J2464" s="24" t="str">
        <f aca="true">IF(OR(E2464="",E2464="!!!",F2464="NEW"),"",COUNTBLANK(OFFSET(A$1,,,SUMPRODUCT(MAX(ROW(E$2:E2464)*(E2464=E$2:E2464)))))-COUNTBLANK(OFFSET(A$1,,,SUMPRODUCT(MAX(ROW(E$1:E2463)*(E2=E$1:E2463))))))</f>
        <v/>
      </c>
      <c r="K2464" s="24" t="str">
        <f aca="false">IF(OR(E2464="",E2464="!!!",F2464="NEW"),"",INDEX(J$1:J2463,SUMPRODUCT(MAX(ROW(E$1:E2463)*(E2464=E$1:E2463)))))</f>
        <v/>
      </c>
      <c r="L2464" s="31"/>
    </row>
    <row r="2465" customFormat="false" ht="15" hidden="false" customHeight="false" outlineLevel="0" collapsed="false">
      <c r="A2465" s="20" t="s">
        <v>1064</v>
      </c>
      <c r="E2465" s="23" t="str">
        <f aca="false">IF(D2465="?OLD","!!!","")</f>
        <v/>
      </c>
      <c r="F2465" s="25" t="str">
        <f aca="false">IF(OR(E2465="",E2465="!!!"),"",IF(NOT(ISNA(VLOOKUP(E2465,E$1:E2464,1,FALSE()))),"OLD",IF(AND(E2465&lt;&gt;"",E2465&lt;&gt;"!!!"),"NEW","")))</f>
        <v/>
      </c>
      <c r="G2465" s="26" t="str">
        <f aca="false">IF(OR(E2465="",E2465="!!!"),"",IF(OR(J2465=0,AND(J2465=1,K2465=1),AND(J2465=1,I2465="SBJ"),AND(J2465=1,I2465=0)),"?IN_FOCUS",IF(J2465&lt;=2,"?ACTIVATED",IF(J2465&lt;&gt;"","?FAMILIAR",IF(F2465="NEW",IF(ISNA(VLOOKUP(E2465,#REF!,1,FALSE())),"?TYPE_IDENTIFIABLE","?REFERENTIAL"),"_")))))</f>
        <v/>
      </c>
      <c r="H2465" s="27" t="str">
        <f aca="false">IF(J2465&lt;&gt;1,"",IF(I2465="SBJ","CB","?"))</f>
        <v/>
      </c>
      <c r="I2465" s="24" t="str">
        <f aca="false">IF(OR(E2465="",E2465="!!!",F2465="NEW"),"",INDEX(B24:B$2442,-1+SUMPRODUCT(MAX(ROW(E24:E$2442)*(E2465=E24:E$2442)))))</f>
        <v/>
      </c>
      <c r="J2465" s="24" t="str">
        <f aca="true">IF(OR(E2465="",E2465="!!!",F2465="NEW"),"",COUNTBLANK(OFFSET(A$1,,,SUMPRODUCT(MAX(ROW(E$2:E2465)*(E2465=E$2:E2465)))))-COUNTBLANK(OFFSET(A$1,,,SUMPRODUCT(MAX(ROW(E$1:E2464)*(E2=E$1:E2464))))))</f>
        <v/>
      </c>
      <c r="K2465" s="24" t="str">
        <f aca="false">IF(OR(E2465="",E2465="!!!",F2465="NEW"),"",INDEX(J$1:J2464,SUMPRODUCT(MAX(ROW(E$1:E2464)*(E2465=E$1:E2464)))))</f>
        <v/>
      </c>
      <c r="L2465" s="31"/>
    </row>
    <row r="2466" customFormat="false" ht="15" hidden="false" customHeight="false" outlineLevel="0" collapsed="false">
      <c r="A2466" s="20" t="s">
        <v>1109</v>
      </c>
      <c r="E2466" s="23" t="str">
        <f aca="false">IF(D2466="?OLD","!!!","")</f>
        <v/>
      </c>
      <c r="F2466" s="25" t="str">
        <f aca="false">IF(OR(E2466="",E2466="!!!"),"",IF(NOT(ISNA(VLOOKUP(E2466,E$1:E2465,1,FALSE()))),"OLD",IF(AND(E2466&lt;&gt;"",E2466&lt;&gt;"!!!"),"NEW","")))</f>
        <v/>
      </c>
      <c r="G2466" s="26" t="str">
        <f aca="false">IF(OR(E2466="",E2466="!!!"),"",IF(OR(J2466=0,AND(J2466=1,K2466=1),AND(J2466=1,I2466="SBJ"),AND(J2466=1,I2466=0)),"?IN_FOCUS",IF(J2466&lt;=2,"?ACTIVATED",IF(J2466&lt;&gt;"","?FAMILIAR",IF(F2466="NEW",IF(ISNA(VLOOKUP(E2466,#REF!,1,FALSE())),"?TYPE_IDENTIFIABLE","?REFERENTIAL"),"_")))))</f>
        <v/>
      </c>
      <c r="H2466" s="27" t="str">
        <f aca="false">IF(J2466&lt;&gt;1,"",IF(I2466="SBJ","CB","?"))</f>
        <v/>
      </c>
      <c r="I2466" s="24" t="str">
        <f aca="false">IF(OR(E2466="",E2466="!!!",F2466="NEW"),"",INDEX(B25:B$2442,-1+SUMPRODUCT(MAX(ROW(E25:E$2442)*(E2466=E25:E$2442)))))</f>
        <v/>
      </c>
      <c r="J2466" s="24" t="str">
        <f aca="true">IF(OR(E2466="",E2466="!!!",F2466="NEW"),"",COUNTBLANK(OFFSET(A$1,,,SUMPRODUCT(MAX(ROW(E$2:E2466)*(E2466=E$2:E2466)))))-COUNTBLANK(OFFSET(A$1,,,SUMPRODUCT(MAX(ROW(E$1:E2465)*(E2=E$1:E2465))))))</f>
        <v/>
      </c>
      <c r="K2466" s="24" t="str">
        <f aca="false">IF(OR(E2466="",E2466="!!!",F2466="NEW"),"",INDEX(J$1:J2465,SUMPRODUCT(MAX(ROW(E$1:E2465)*(E2466=E$1:E2465)))))</f>
        <v/>
      </c>
      <c r="L2466" s="31"/>
    </row>
    <row r="2467" customFormat="false" ht="15" hidden="false" customHeight="false" outlineLevel="0" collapsed="false">
      <c r="A2467" s="20" t="s">
        <v>768</v>
      </c>
      <c r="B2467" s="22" t="s">
        <v>1112</v>
      </c>
      <c r="C2467" s="22" t="s">
        <v>1150</v>
      </c>
      <c r="D2467" s="22" t="s">
        <v>1060</v>
      </c>
      <c r="E2467" s="23" t="str">
        <f aca="false">IF(D2467="?OLD","!!!","")</f>
        <v>!!!</v>
      </c>
      <c r="F2467" s="25" t="str">
        <f aca="false">IF(OR(E2467="",E2467="!!!"),"",IF(NOT(ISNA(VLOOKUP(E2467,E$1:E2466,1,FALSE()))),"OLD",IF(AND(E2467&lt;&gt;"",E2467&lt;&gt;"!!!"),"NEW","")))</f>
        <v/>
      </c>
      <c r="G2467" s="26" t="str">
        <f aca="false">IF(OR(E2467="",E2467="!!!"),"",IF(OR(J2467=0,AND(J2467=1,K2467=1),AND(J2467=1,I2467="SBJ"),AND(J2467=1,I2467=0)),"?IN_FOCUS",IF(J2467&lt;=2,"?ACTIVATED",IF(J2467&lt;&gt;"","?FAMILIAR",IF(F2467="NEW",IF(ISNA(VLOOKUP(E2467,#REF!,1,FALSE())),"?TYPE_IDENTIFIABLE","?REFERENTIAL"),"_")))))</f>
        <v/>
      </c>
      <c r="H2467" s="27" t="str">
        <f aca="false">IF(J2467&lt;&gt;1,"",IF(I2467="SBJ","CB","?"))</f>
        <v/>
      </c>
      <c r="I2467" s="24" t="str">
        <f aca="false">IF(OR(E2467="",E2467="!!!",F2467="NEW"),"",INDEX(B26:B$2442,-1+SUMPRODUCT(MAX(ROW(E26:E$2442)*(E2467=E26:E$2442)))))</f>
        <v/>
      </c>
      <c r="J2467" s="24" t="str">
        <f aca="true">IF(OR(E2467="",E2467="!!!",F2467="NEW"),"",COUNTBLANK(OFFSET(A$1,,,SUMPRODUCT(MAX(ROW(E$2:E2467)*(E2467=E$2:E2467)))))-COUNTBLANK(OFFSET(A$1,,,SUMPRODUCT(MAX(ROW(E$1:E2466)*(E2=E$1:E2466))))))</f>
        <v/>
      </c>
      <c r="K2467" s="24" t="str">
        <f aca="false">IF(OR(E2467="",E2467="!!!",F2467="NEW"),"",INDEX(J$1:J2466,SUMPRODUCT(MAX(ROW(E$1:E2466)*(E2467=E$1:E2466)))))</f>
        <v/>
      </c>
      <c r="L2467" s="31"/>
    </row>
    <row r="2468" customFormat="false" ht="15" hidden="false" customHeight="false" outlineLevel="0" collapsed="false">
      <c r="A2468" s="20" t="s">
        <v>923</v>
      </c>
      <c r="E2468" s="23" t="str">
        <f aca="false">IF(D2468="?OLD","!!!","")</f>
        <v/>
      </c>
      <c r="F2468" s="25" t="str">
        <f aca="false">IF(OR(E2468="",E2468="!!!"),"",IF(NOT(ISNA(VLOOKUP(E2468,E$1:E2467,1,FALSE()))),"OLD",IF(AND(E2468&lt;&gt;"",E2468&lt;&gt;"!!!"),"NEW","")))</f>
        <v/>
      </c>
      <c r="G2468" s="26" t="str">
        <f aca="false">IF(OR(E2468="",E2468="!!!"),"",IF(OR(J2468=0,AND(J2468=1,K2468=1),AND(J2468=1,I2468="SBJ"),AND(J2468=1,I2468=0)),"?IN_FOCUS",IF(J2468&lt;=2,"?ACTIVATED",IF(J2468&lt;&gt;"","?FAMILIAR",IF(F2468="NEW",IF(ISNA(VLOOKUP(E2468,#REF!,1,FALSE())),"?TYPE_IDENTIFIABLE","?REFERENTIAL"),"_")))))</f>
        <v/>
      </c>
      <c r="H2468" s="27" t="str">
        <f aca="false">IF(J2468&lt;&gt;1,"",IF(I2468="SBJ","CB","?"))</f>
        <v/>
      </c>
      <c r="I2468" s="24" t="str">
        <f aca="false">IF(OR(E2468="",E2468="!!!",F2468="NEW"),"",INDEX(B27:B$2442,-1+SUMPRODUCT(MAX(ROW(E27:E$2442)*(E2468=E27:E$2442)))))</f>
        <v/>
      </c>
      <c r="J2468" s="24" t="str">
        <f aca="true">IF(OR(E2468="",E2468="!!!",F2468="NEW"),"",COUNTBLANK(OFFSET(A$1,,,SUMPRODUCT(MAX(ROW(E$2:E2468)*(E2468=E$2:E2468)))))-COUNTBLANK(OFFSET(A$1,,,SUMPRODUCT(MAX(ROW(E$1:E2467)*(E2=E$1:E2467))))))</f>
        <v/>
      </c>
      <c r="K2468" s="24" t="str">
        <f aca="false">IF(OR(E2468="",E2468="!!!",F2468="NEW"),"",INDEX(J$1:J2467,SUMPRODUCT(MAX(ROW(E$1:E2467)*(E2468=E$1:E2467)))))</f>
        <v/>
      </c>
      <c r="L2468" s="31"/>
    </row>
    <row r="2469" customFormat="false" ht="15" hidden="false" customHeight="false" outlineLevel="0" collapsed="false">
      <c r="A2469" s="20"/>
    </row>
    <row r="2470" customFormat="false" ht="15" hidden="false" customHeight="false" outlineLevel="0" collapsed="false">
      <c r="A2470" s="20" t="s">
        <v>1942</v>
      </c>
    </row>
    <row r="2471" customFormat="false" ht="15" hidden="false" customHeight="false" outlineLevel="0" collapsed="false">
      <c r="A2471" s="20" t="s">
        <v>1162</v>
      </c>
      <c r="B2471" s="22" t="s">
        <v>1058</v>
      </c>
      <c r="C2471" s="22" t="s">
        <v>1082</v>
      </c>
      <c r="D2471" s="22" t="s">
        <v>1060</v>
      </c>
      <c r="E2471" s="23" t="str">
        <f aca="false">IF(D2471="?OLD","!!!","")</f>
        <v>!!!</v>
      </c>
      <c r="F2471" s="25" t="str">
        <f aca="false">IF(OR(E2471="",E2471="!!!"),"",IF(NOT(ISNA(VLOOKUP(E2471,E$1:E2470,1,FALSE()))),"OLD",IF(AND(E2471&lt;&gt;"",E2471&lt;&gt;"!!!"),"NEW","")))</f>
        <v/>
      </c>
      <c r="G2471" s="26" t="str">
        <f aca="false">IF(OR(E2471="",E2471="!!!"),"",IF(OR(J2471=0,AND(J2471=1,K2471=1),AND(J2471=1,I2471="SBJ"),AND(J2471=1,I2471=0)),"?IN_FOCUS",IF(J2471&lt;=2,"?ACTIVATED",IF(J2471&lt;&gt;"","?FAMILIAR",IF(F2471="NEW",IF(ISNA(VLOOKUP(E2471,#REF!,1,FALSE())),"?TYPE_IDENTIFIABLE","?REFERENTIAL"),"_")))))</f>
        <v/>
      </c>
      <c r="H2471" s="27" t="str">
        <f aca="false">IF(J2471&lt;&gt;1,"",IF(I2471="SBJ","CB","?"))</f>
        <v/>
      </c>
      <c r="I2471" s="24" t="str">
        <f aca="false">IF(OR(E2471="",E2471="!!!",F2471="NEW"),"",INDEX(B2:B$2470,-1+SUMPRODUCT(MAX(ROW(E2:E$2470)*(E2471=E2:E$2470)))))</f>
        <v/>
      </c>
      <c r="J2471" s="24" t="str">
        <f aca="true">IF(OR(E2471="",E2471="!!!",F2471="NEW"),"",COUNTBLANK(OFFSET(A$1,,,SUMPRODUCT(MAX(ROW(E$2:E2471)*(E2471=E$2:E2471)))))-COUNTBLANK(OFFSET(A$1,,,SUMPRODUCT(MAX(ROW(E$1:E2470)*(E2=E$1:E2470))))))</f>
        <v/>
      </c>
      <c r="K2471" s="24" t="str">
        <f aca="false">IF(OR(E2471="",E2471="!!!",F2471="NEW"),"",INDEX(J$1:J2470,SUMPRODUCT(MAX(ROW(E$1:E2470)*(E2471=E$1:E2470)))))</f>
        <v/>
      </c>
      <c r="L2471" s="31"/>
    </row>
    <row r="2472" customFormat="false" ht="15" hidden="false" customHeight="false" outlineLevel="0" collapsed="false">
      <c r="A2472" s="20" t="s">
        <v>1092</v>
      </c>
      <c r="E2472" s="23" t="str">
        <f aca="false">IF(D2472="?OLD","!!!","")</f>
        <v/>
      </c>
      <c r="F2472" s="25" t="str">
        <f aca="false">IF(OR(E2472="",E2472="!!!"),"",IF(NOT(ISNA(VLOOKUP(E2472,E$1:E2471,1,FALSE()))),"OLD",IF(AND(E2472&lt;&gt;"",E2472&lt;&gt;"!!!"),"NEW","")))</f>
        <v/>
      </c>
      <c r="G2472" s="26" t="str">
        <f aca="false">IF(OR(E2472="",E2472="!!!"),"",IF(OR(J2472=0,AND(J2472=1,K2472=1),AND(J2472=1,I2472="SBJ"),AND(J2472=1,I2472=0)),"?IN_FOCUS",IF(J2472&lt;=2,"?ACTIVATED",IF(J2472&lt;&gt;"","?FAMILIAR",IF(F2472="NEW",IF(ISNA(VLOOKUP(E2472,#REF!,1,FALSE())),"?TYPE_IDENTIFIABLE","?REFERENTIAL"),"_")))))</f>
        <v/>
      </c>
      <c r="H2472" s="27" t="str">
        <f aca="false">IF(J2472&lt;&gt;1,"",IF(I2472="SBJ","CB","?"))</f>
        <v/>
      </c>
      <c r="I2472" s="24" t="str">
        <f aca="false">IF(OR(E2472="",E2472="!!!",F2472="NEW"),"",INDEX(B3:B$2470,-1+SUMPRODUCT(MAX(ROW(E3:E$2470)*(E2472=E3:E$2470)))))</f>
        <v/>
      </c>
      <c r="J2472" s="24" t="str">
        <f aca="true">IF(OR(E2472="",E2472="!!!",F2472="NEW"),"",COUNTBLANK(OFFSET(A$1,,,SUMPRODUCT(MAX(ROW(E$2:E2472)*(E2472=E$2:E2472)))))-COUNTBLANK(OFFSET(A$1,,,SUMPRODUCT(MAX(ROW(E$1:E2471)*(E2=E$1:E2471))))))</f>
        <v/>
      </c>
      <c r="K2472" s="24" t="str">
        <f aca="false">IF(OR(E2472="",E2472="!!!",F2472="NEW"),"",INDEX(J$1:J2471,SUMPRODUCT(MAX(ROW(E$1:E2471)*(E2472=E$1:E2471)))))</f>
        <v/>
      </c>
      <c r="L2472" s="31"/>
    </row>
    <row r="2473" customFormat="false" ht="15" hidden="false" customHeight="false" outlineLevel="0" collapsed="false">
      <c r="A2473" s="20" t="s">
        <v>1173</v>
      </c>
      <c r="E2473" s="23" t="str">
        <f aca="false">IF(D2473="?OLD","!!!","")</f>
        <v/>
      </c>
      <c r="F2473" s="25" t="str">
        <f aca="false">IF(OR(E2473="",E2473="!!!"),"",IF(NOT(ISNA(VLOOKUP(E2473,E$1:E2472,1,FALSE()))),"OLD",IF(AND(E2473&lt;&gt;"",E2473&lt;&gt;"!!!"),"NEW","")))</f>
        <v/>
      </c>
      <c r="G2473" s="26" t="str">
        <f aca="false">IF(OR(E2473="",E2473="!!!"),"",IF(OR(J2473=0,AND(J2473=1,K2473=1),AND(J2473=1,I2473="SBJ"),AND(J2473=1,I2473=0)),"?IN_FOCUS",IF(J2473&lt;=2,"?ACTIVATED",IF(J2473&lt;&gt;"","?FAMILIAR",IF(F2473="NEW",IF(ISNA(VLOOKUP(E2473,#REF!,1,FALSE())),"?TYPE_IDENTIFIABLE","?REFERENTIAL"),"_")))))</f>
        <v/>
      </c>
      <c r="H2473" s="27" t="str">
        <f aca="false">IF(J2473&lt;&gt;1,"",IF(I2473="SBJ","CB","?"))</f>
        <v/>
      </c>
      <c r="I2473" s="24" t="str">
        <f aca="false">IF(OR(E2473="",E2473="!!!",F2473="NEW"),"",INDEX(B4:B$2470,-1+SUMPRODUCT(MAX(ROW(E4:E$2470)*(E2473=E4:E$2470)))))</f>
        <v/>
      </c>
      <c r="J2473" s="24" t="str">
        <f aca="true">IF(OR(E2473="",E2473="!!!",F2473="NEW"),"",COUNTBLANK(OFFSET(A$1,,,SUMPRODUCT(MAX(ROW(E$2:E2473)*(E2473=E$2:E2473)))))-COUNTBLANK(OFFSET(A$1,,,SUMPRODUCT(MAX(ROW(E$1:E2472)*(E2=E$1:E2472))))))</f>
        <v/>
      </c>
      <c r="K2473" s="24" t="str">
        <f aca="false">IF(OR(E2473="",E2473="!!!",F2473="NEW"),"",INDEX(J$1:J2472,SUMPRODUCT(MAX(ROW(E$1:E2472)*(E2473=E$1:E2472)))))</f>
        <v/>
      </c>
      <c r="L2473" s="31"/>
    </row>
    <row r="2474" customFormat="false" ht="15" hidden="false" customHeight="false" outlineLevel="0" collapsed="false">
      <c r="A2474" s="20" t="s">
        <v>1943</v>
      </c>
      <c r="B2474" s="22" t="s">
        <v>1105</v>
      </c>
      <c r="C2474" s="22" t="s">
        <v>1160</v>
      </c>
      <c r="E2474" s="23" t="str">
        <f aca="false">IF(D2474="?OLD","!!!","")</f>
        <v/>
      </c>
      <c r="F2474" s="25" t="str">
        <f aca="false">IF(OR(E2474="",E2474="!!!"),"",IF(NOT(ISNA(VLOOKUP(E2474,E$1:E2473,1,FALSE()))),"OLD",IF(AND(E2474&lt;&gt;"",E2474&lt;&gt;"!!!"),"NEW","")))</f>
        <v/>
      </c>
      <c r="G2474" s="26" t="str">
        <f aca="false">IF(OR(E2474="",E2474="!!!"),"",IF(OR(J2474=0,AND(J2474=1,K2474=1),AND(J2474=1,I2474="SBJ"),AND(J2474=1,I2474=0)),"?IN_FOCUS",IF(J2474&lt;=2,"?ACTIVATED",IF(J2474&lt;&gt;"","?FAMILIAR",IF(F2474="NEW",IF(ISNA(VLOOKUP(E2474,#REF!,1,FALSE())),"?TYPE_IDENTIFIABLE","?REFERENTIAL"),"_")))))</f>
        <v/>
      </c>
      <c r="H2474" s="27" t="str">
        <f aca="false">IF(J2474&lt;&gt;1,"",IF(I2474="SBJ","CB","?"))</f>
        <v/>
      </c>
      <c r="I2474" s="24" t="str">
        <f aca="false">IF(OR(E2474="",E2474="!!!",F2474="NEW"),"",INDEX(B5:B$2470,-1+SUMPRODUCT(MAX(ROW(E5:E$2470)*(E2474=E5:E$2470)))))</f>
        <v/>
      </c>
      <c r="J2474" s="24" t="str">
        <f aca="true">IF(OR(E2474="",E2474="!!!",F2474="NEW"),"",COUNTBLANK(OFFSET(A$1,,,SUMPRODUCT(MAX(ROW(E$2:E2474)*(E2474=E$2:E2474)))))-COUNTBLANK(OFFSET(A$1,,,SUMPRODUCT(MAX(ROW(E$1:E2473)*(E2=E$1:E2473))))))</f>
        <v/>
      </c>
      <c r="K2474" s="24" t="str">
        <f aca="false">IF(OR(E2474="",E2474="!!!",F2474="NEW"),"",INDEX(J$1:J2473,SUMPRODUCT(MAX(ROW(E$1:E2473)*(E2474=E$1:E2473)))))</f>
        <v/>
      </c>
      <c r="L2474" s="31"/>
    </row>
    <row r="2475" customFormat="false" ht="15" hidden="false" customHeight="false" outlineLevel="0" collapsed="false">
      <c r="A2475" s="20" t="s">
        <v>1095</v>
      </c>
      <c r="E2475" s="23" t="str">
        <f aca="false">IF(D2475="?OLD","!!!","")</f>
        <v/>
      </c>
      <c r="F2475" s="25" t="str">
        <f aca="false">IF(OR(E2475="",E2475="!!!"),"",IF(NOT(ISNA(VLOOKUP(E2475,E$1:E2474,1,FALSE()))),"OLD",IF(AND(E2475&lt;&gt;"",E2475&lt;&gt;"!!!"),"NEW","")))</f>
        <v/>
      </c>
      <c r="G2475" s="26" t="str">
        <f aca="false">IF(OR(E2475="",E2475="!!!"),"",IF(OR(J2475=0,AND(J2475=1,K2475=1),AND(J2475=1,I2475="SBJ"),AND(J2475=1,I2475=0)),"?IN_FOCUS",IF(J2475&lt;=2,"?ACTIVATED",IF(J2475&lt;&gt;"","?FAMILIAR",IF(F2475="NEW",IF(ISNA(VLOOKUP(E2475,#REF!,1,FALSE())),"?TYPE_IDENTIFIABLE","?REFERENTIAL"),"_")))))</f>
        <v/>
      </c>
      <c r="H2475" s="27" t="str">
        <f aca="false">IF(J2475&lt;&gt;1,"",IF(I2475="SBJ","CB","?"))</f>
        <v/>
      </c>
      <c r="I2475" s="24" t="str">
        <f aca="false">IF(OR(E2475="",E2475="!!!",F2475="NEW"),"",INDEX(B6:B$2470,-1+SUMPRODUCT(MAX(ROW(E6:E$2470)*(E2475=E6:E$2470)))))</f>
        <v/>
      </c>
      <c r="J2475" s="24" t="str">
        <f aca="true">IF(OR(E2475="",E2475="!!!",F2475="NEW"),"",COUNTBLANK(OFFSET(A$1,,,SUMPRODUCT(MAX(ROW(E$2:E2475)*(E2475=E$2:E2475)))))-COUNTBLANK(OFFSET(A$1,,,SUMPRODUCT(MAX(ROW(E$1:E2474)*(E2=E$1:E2474))))))</f>
        <v/>
      </c>
      <c r="K2475" s="24" t="str">
        <f aca="false">IF(OR(E2475="",E2475="!!!",F2475="NEW"),"",INDEX(J$1:J2474,SUMPRODUCT(MAX(ROW(E$1:E2474)*(E2475=E$1:E2474)))))</f>
        <v/>
      </c>
      <c r="L2475" s="31"/>
    </row>
    <row r="2476" customFormat="false" ht="15" hidden="false" customHeight="false" outlineLevel="0" collapsed="false">
      <c r="A2476" s="20" t="s">
        <v>106</v>
      </c>
      <c r="E2476" s="23" t="str">
        <f aca="false">IF(D2476="?OLD","!!!","")</f>
        <v/>
      </c>
      <c r="F2476" s="25" t="str">
        <f aca="false">IF(OR(E2476="",E2476="!!!"),"",IF(NOT(ISNA(VLOOKUP(E2476,E$1:E2475,1,FALSE()))),"OLD",IF(AND(E2476&lt;&gt;"",E2476&lt;&gt;"!!!"),"NEW","")))</f>
        <v/>
      </c>
      <c r="G2476" s="26" t="str">
        <f aca="false">IF(OR(E2476="",E2476="!!!"),"",IF(OR(J2476=0,AND(J2476=1,K2476=1),AND(J2476=1,I2476="SBJ"),AND(J2476=1,I2476=0)),"?IN_FOCUS",IF(J2476&lt;=2,"?ACTIVATED",IF(J2476&lt;&gt;"","?FAMILIAR",IF(F2476="NEW",IF(ISNA(VLOOKUP(E2476,#REF!,1,FALSE())),"?TYPE_IDENTIFIABLE","?REFERENTIAL"),"_")))))</f>
        <v/>
      </c>
      <c r="H2476" s="27" t="str">
        <f aca="false">IF(J2476&lt;&gt;1,"",IF(I2476="SBJ","CB","?"))</f>
        <v/>
      </c>
      <c r="I2476" s="24" t="str">
        <f aca="false">IF(OR(E2476="",E2476="!!!",F2476="NEW"),"",INDEX(B7:B$2470,-1+SUMPRODUCT(MAX(ROW(E7:E$2470)*(E2476=E7:E$2470)))))</f>
        <v/>
      </c>
      <c r="J2476" s="24" t="str">
        <f aca="true">IF(OR(E2476="",E2476="!!!",F2476="NEW"),"",COUNTBLANK(OFFSET(A$1,,,SUMPRODUCT(MAX(ROW(E$2:E2476)*(E2476=E$2:E2476)))))-COUNTBLANK(OFFSET(A$1,,,SUMPRODUCT(MAX(ROW(E$1:E2475)*(E2=E$1:E2475))))))</f>
        <v/>
      </c>
      <c r="K2476" s="24" t="str">
        <f aca="false">IF(OR(E2476="",E2476="!!!",F2476="NEW"),"",INDEX(J$1:J2475,SUMPRODUCT(MAX(ROW(E$1:E2475)*(E2476=E$1:E2475)))))</f>
        <v/>
      </c>
      <c r="L2476" s="31"/>
    </row>
    <row r="2477" customFormat="false" ht="15" hidden="false" customHeight="false" outlineLevel="0" collapsed="false">
      <c r="A2477" s="20" t="s">
        <v>1109</v>
      </c>
      <c r="E2477" s="23" t="str">
        <f aca="false">IF(D2477="?OLD","!!!","")</f>
        <v/>
      </c>
      <c r="F2477" s="25" t="str">
        <f aca="false">IF(OR(E2477="",E2477="!!!"),"",IF(NOT(ISNA(VLOOKUP(E2477,E$1:E2476,1,FALSE()))),"OLD",IF(AND(E2477&lt;&gt;"",E2477&lt;&gt;"!!!"),"NEW","")))</f>
        <v/>
      </c>
      <c r="G2477" s="26" t="str">
        <f aca="false">IF(OR(E2477="",E2477="!!!"),"",IF(OR(J2477=0,AND(J2477=1,K2477=1),AND(J2477=1,I2477="SBJ"),AND(J2477=1,I2477=0)),"?IN_FOCUS",IF(J2477&lt;=2,"?ACTIVATED",IF(J2477&lt;&gt;"","?FAMILIAR",IF(F2477="NEW",IF(ISNA(VLOOKUP(E2477,#REF!,1,FALSE())),"?TYPE_IDENTIFIABLE","?REFERENTIAL"),"_")))))</f>
        <v/>
      </c>
      <c r="H2477" s="27" t="str">
        <f aca="false">IF(J2477&lt;&gt;1,"",IF(I2477="SBJ","CB","?"))</f>
        <v/>
      </c>
      <c r="I2477" s="24" t="str">
        <f aca="false">IF(OR(E2477="",E2477="!!!",F2477="NEW"),"",INDEX(B8:B$2470,-1+SUMPRODUCT(MAX(ROW(E8:E$2470)*(E2477=E8:E$2470)))))</f>
        <v/>
      </c>
      <c r="J2477" s="24" t="str">
        <f aca="true">IF(OR(E2477="",E2477="!!!",F2477="NEW"),"",COUNTBLANK(OFFSET(A$1,,,SUMPRODUCT(MAX(ROW(E$2:E2477)*(E2477=E$2:E2477)))))-COUNTBLANK(OFFSET(A$1,,,SUMPRODUCT(MAX(ROW(E$1:E2476)*(E2=E$1:E2476))))))</f>
        <v/>
      </c>
      <c r="K2477" s="24" t="str">
        <f aca="false">IF(OR(E2477="",E2477="!!!",F2477="NEW"),"",INDEX(J$1:J2476,SUMPRODUCT(MAX(ROW(E$1:E2476)*(E2477=E$1:E2476)))))</f>
        <v/>
      </c>
      <c r="L2477" s="31"/>
    </row>
    <row r="2478" customFormat="false" ht="15" hidden="false" customHeight="false" outlineLevel="0" collapsed="false">
      <c r="A2478" s="20" t="s">
        <v>1944</v>
      </c>
      <c r="E2478" s="23" t="str">
        <f aca="false">IF(D2478="?OLD","!!!","")</f>
        <v/>
      </c>
      <c r="F2478" s="25" t="str">
        <f aca="false">IF(OR(E2478="",E2478="!!!"),"",IF(NOT(ISNA(VLOOKUP(E2478,E$1:E2477,1,FALSE()))),"OLD",IF(AND(E2478&lt;&gt;"",E2478&lt;&gt;"!!!"),"NEW","")))</f>
        <v/>
      </c>
      <c r="G2478" s="26" t="str">
        <f aca="false">IF(OR(E2478="",E2478="!!!"),"",IF(OR(J2478=0,AND(J2478=1,K2478=1),AND(J2478=1,I2478="SBJ"),AND(J2478=1,I2478=0)),"?IN_FOCUS",IF(J2478&lt;=2,"?ACTIVATED",IF(J2478&lt;&gt;"","?FAMILIAR",IF(F2478="NEW",IF(ISNA(VLOOKUP(E2478,#REF!,1,FALSE())),"?TYPE_IDENTIFIABLE","?REFERENTIAL"),"_")))))</f>
        <v/>
      </c>
      <c r="H2478" s="27" t="str">
        <f aca="false">IF(J2478&lt;&gt;1,"",IF(I2478="SBJ","CB","?"))</f>
        <v/>
      </c>
      <c r="I2478" s="24" t="str">
        <f aca="false">IF(OR(E2478="",E2478="!!!",F2478="NEW"),"",INDEX(B9:B$2470,-1+SUMPRODUCT(MAX(ROW(E9:E$2470)*(E2478=E9:E$2470)))))</f>
        <v/>
      </c>
      <c r="J2478" s="24" t="str">
        <f aca="true">IF(OR(E2478="",E2478="!!!",F2478="NEW"),"",COUNTBLANK(OFFSET(A$1,,,SUMPRODUCT(MAX(ROW(E$2:E2478)*(E2478=E$2:E2478)))))-COUNTBLANK(OFFSET(A$1,,,SUMPRODUCT(MAX(ROW(E$1:E2477)*(E2=E$1:E2477))))))</f>
        <v/>
      </c>
      <c r="K2478" s="24" t="str">
        <f aca="false">IF(OR(E2478="",E2478="!!!",F2478="NEW"),"",INDEX(J$1:J2477,SUMPRODUCT(MAX(ROW(E$1:E2477)*(E2478=E$1:E2477)))))</f>
        <v/>
      </c>
      <c r="L2478" s="31"/>
    </row>
    <row r="2479" customFormat="false" ht="15" hidden="false" customHeight="false" outlineLevel="0" collapsed="false">
      <c r="A2479" s="20" t="s">
        <v>426</v>
      </c>
      <c r="B2479" s="22" t="s">
        <v>1142</v>
      </c>
      <c r="C2479" s="22" t="s">
        <v>1150</v>
      </c>
      <c r="D2479" s="22" t="s">
        <v>1060</v>
      </c>
      <c r="E2479" s="23" t="str">
        <f aca="false">IF(D2479="?OLD","!!!","")</f>
        <v>!!!</v>
      </c>
      <c r="F2479" s="25" t="str">
        <f aca="false">IF(OR(E2479="",E2479="!!!"),"",IF(NOT(ISNA(VLOOKUP(E2479,E$1:E2478,1,FALSE()))),"OLD",IF(AND(E2479&lt;&gt;"",E2479&lt;&gt;"!!!"),"NEW","")))</f>
        <v/>
      </c>
      <c r="G2479" s="26" t="str">
        <f aca="false">IF(OR(E2479="",E2479="!!!"),"",IF(OR(J2479=0,AND(J2479=1,K2479=1),AND(J2479=1,I2479="SBJ"),AND(J2479=1,I2479=0)),"?IN_FOCUS",IF(J2479&lt;=2,"?ACTIVATED",IF(J2479&lt;&gt;"","?FAMILIAR",IF(F2479="NEW",IF(ISNA(VLOOKUP(E2479,#REF!,1,FALSE())),"?TYPE_IDENTIFIABLE","?REFERENTIAL"),"_")))))</f>
        <v/>
      </c>
      <c r="H2479" s="27" t="str">
        <f aca="false">IF(J2479&lt;&gt;1,"",IF(I2479="SBJ","CB","?"))</f>
        <v/>
      </c>
      <c r="I2479" s="24" t="str">
        <f aca="false">IF(OR(E2479="",E2479="!!!",F2479="NEW"),"",INDEX(B10:B$2470,-1+SUMPRODUCT(MAX(ROW(E10:E$2470)*(E2479=E10:E$2470)))))</f>
        <v/>
      </c>
      <c r="J2479" s="24" t="str">
        <f aca="true">IF(OR(E2479="",E2479="!!!",F2479="NEW"),"",COUNTBLANK(OFFSET(A$1,,,SUMPRODUCT(MAX(ROW(E$2:E2479)*(E2479=E$2:E2479)))))-COUNTBLANK(OFFSET(A$1,,,SUMPRODUCT(MAX(ROW(E$1:E2478)*(E2=E$1:E2478))))))</f>
        <v/>
      </c>
      <c r="K2479" s="24" t="str">
        <f aca="false">IF(OR(E2479="",E2479="!!!",F2479="NEW"),"",INDEX(J$1:J2478,SUMPRODUCT(MAX(ROW(E$1:E2478)*(E2479=E$1:E2478)))))</f>
        <v/>
      </c>
      <c r="L2479" s="31"/>
    </row>
    <row r="2480" customFormat="false" ht="15" hidden="false" customHeight="false" outlineLevel="0" collapsed="false">
      <c r="A2480" s="20" t="s">
        <v>1218</v>
      </c>
      <c r="E2480" s="23" t="str">
        <f aca="false">IF(D2480="?OLD","!!!","")</f>
        <v/>
      </c>
      <c r="F2480" s="25" t="str">
        <f aca="false">IF(OR(E2480="",E2480="!!!"),"",IF(NOT(ISNA(VLOOKUP(E2480,E$1:E2479,1,FALSE()))),"OLD",IF(AND(E2480&lt;&gt;"",E2480&lt;&gt;"!!!"),"NEW","")))</f>
        <v/>
      </c>
      <c r="G2480" s="26" t="str">
        <f aca="false">IF(OR(E2480="",E2480="!!!"),"",IF(OR(J2480=0,AND(J2480=1,K2480=1),AND(J2480=1,I2480="SBJ"),AND(J2480=1,I2480=0)),"?IN_FOCUS",IF(J2480&lt;=2,"?ACTIVATED",IF(J2480&lt;&gt;"","?FAMILIAR",IF(F2480="NEW",IF(ISNA(VLOOKUP(E2480,#REF!,1,FALSE())),"?TYPE_IDENTIFIABLE","?REFERENTIAL"),"_")))))</f>
        <v/>
      </c>
      <c r="H2480" s="27" t="str">
        <f aca="false">IF(J2480&lt;&gt;1,"",IF(I2480="SBJ","CB","?"))</f>
        <v/>
      </c>
      <c r="I2480" s="24" t="str">
        <f aca="false">IF(OR(E2480="",E2480="!!!",F2480="NEW"),"",INDEX(B11:B$2470,-1+SUMPRODUCT(MAX(ROW(E11:E$2470)*(E2480=E11:E$2470)))))</f>
        <v/>
      </c>
      <c r="J2480" s="24" t="str">
        <f aca="true">IF(OR(E2480="",E2480="!!!",F2480="NEW"),"",COUNTBLANK(OFFSET(A$1,,,SUMPRODUCT(MAX(ROW(E$2:E2480)*(E2480=E$2:E2480)))))-COUNTBLANK(OFFSET(A$1,,,SUMPRODUCT(MAX(ROW(E$1:E2479)*(E2=E$1:E2479))))))</f>
        <v/>
      </c>
      <c r="K2480" s="24" t="str">
        <f aca="false">IF(OR(E2480="",E2480="!!!",F2480="NEW"),"",INDEX(J$1:J2479,SUMPRODUCT(MAX(ROW(E$1:E2479)*(E2480=E$1:E2479)))))</f>
        <v/>
      </c>
      <c r="L2480" s="31"/>
    </row>
    <row r="2481" customFormat="false" ht="15" hidden="false" customHeight="false" outlineLevel="0" collapsed="false">
      <c r="A2481" s="20" t="s">
        <v>1080</v>
      </c>
      <c r="B2481" s="22" t="s">
        <v>1091</v>
      </c>
      <c r="C2481" s="22" t="s">
        <v>1082</v>
      </c>
      <c r="D2481" s="22" t="s">
        <v>1060</v>
      </c>
      <c r="E2481" s="23" t="str">
        <f aca="false">IF(D2481="?OLD","!!!","")</f>
        <v>!!!</v>
      </c>
      <c r="F2481" s="25" t="str">
        <f aca="false">IF(OR(E2481="",E2481="!!!"),"",IF(NOT(ISNA(VLOOKUP(E2481,E$1:E2480,1,FALSE()))),"OLD",IF(AND(E2481&lt;&gt;"",E2481&lt;&gt;"!!!"),"NEW","")))</f>
        <v/>
      </c>
      <c r="G2481" s="26" t="str">
        <f aca="false">IF(OR(E2481="",E2481="!!!"),"",IF(OR(J2481=0,AND(J2481=1,K2481=1),AND(J2481=1,I2481="SBJ"),AND(J2481=1,I2481=0)),"?IN_FOCUS",IF(J2481&lt;=2,"?ACTIVATED",IF(J2481&lt;&gt;"","?FAMILIAR",IF(F2481="NEW",IF(ISNA(VLOOKUP(E2481,#REF!,1,FALSE())),"?TYPE_IDENTIFIABLE","?REFERENTIAL"),"_")))))</f>
        <v/>
      </c>
      <c r="H2481" s="27" t="str">
        <f aca="false">IF(J2481&lt;&gt;1,"",IF(I2481="SBJ","CB","?"))</f>
        <v/>
      </c>
      <c r="I2481" s="24" t="str">
        <f aca="false">IF(OR(E2481="",E2481="!!!",F2481="NEW"),"",INDEX(B12:B$2470,-1+SUMPRODUCT(MAX(ROW(E12:E$2470)*(E2481=E12:E$2470)))))</f>
        <v/>
      </c>
      <c r="J2481" s="24" t="str">
        <f aca="true">IF(OR(E2481="",E2481="!!!",F2481="NEW"),"",COUNTBLANK(OFFSET(A$1,,,SUMPRODUCT(MAX(ROW(E$2:E2481)*(E2481=E$2:E2481)))))-COUNTBLANK(OFFSET(A$1,,,SUMPRODUCT(MAX(ROW(E$1:E2480)*(E2=E$1:E2480))))))</f>
        <v/>
      </c>
      <c r="K2481" s="24" t="str">
        <f aca="false">IF(OR(E2481="",E2481="!!!",F2481="NEW"),"",INDEX(J$1:J2480,SUMPRODUCT(MAX(ROW(E$1:E2480)*(E2481=E$1:E2480)))))</f>
        <v/>
      </c>
      <c r="L2481" s="31"/>
    </row>
    <row r="2482" customFormat="false" ht="15" hidden="false" customHeight="false" outlineLevel="0" collapsed="false">
      <c r="A2482" s="20" t="s">
        <v>1469</v>
      </c>
      <c r="E2482" s="23" t="str">
        <f aca="false">IF(D2482="?OLD","!!!","")</f>
        <v/>
      </c>
      <c r="F2482" s="25" t="str">
        <f aca="false">IF(OR(E2482="",E2482="!!!"),"",IF(NOT(ISNA(VLOOKUP(E2482,E$1:E2481,1,FALSE()))),"OLD",IF(AND(E2482&lt;&gt;"",E2482&lt;&gt;"!!!"),"NEW","")))</f>
        <v/>
      </c>
      <c r="G2482" s="26" t="str">
        <f aca="false">IF(OR(E2482="",E2482="!!!"),"",IF(OR(J2482=0,AND(J2482=1,K2482=1),AND(J2482=1,I2482="SBJ"),AND(J2482=1,I2482=0)),"?IN_FOCUS",IF(J2482&lt;=2,"?ACTIVATED",IF(J2482&lt;&gt;"","?FAMILIAR",IF(F2482="NEW",IF(ISNA(VLOOKUP(E2482,#REF!,1,FALSE())),"?TYPE_IDENTIFIABLE","?REFERENTIAL"),"_")))))</f>
        <v/>
      </c>
      <c r="H2482" s="27" t="str">
        <f aca="false">IF(J2482&lt;&gt;1,"",IF(I2482="SBJ","CB","?"))</f>
        <v/>
      </c>
      <c r="I2482" s="24" t="str">
        <f aca="false">IF(OR(E2482="",E2482="!!!",F2482="NEW"),"",INDEX(B13:B$2470,-1+SUMPRODUCT(MAX(ROW(E13:E$2470)*(E2482=E13:E$2470)))))</f>
        <v/>
      </c>
      <c r="J2482" s="24" t="str">
        <f aca="true">IF(OR(E2482="",E2482="!!!",F2482="NEW"),"",COUNTBLANK(OFFSET(A$1,,,SUMPRODUCT(MAX(ROW(E$2:E2482)*(E2482=E$2:E2482)))))-COUNTBLANK(OFFSET(A$1,,,SUMPRODUCT(MAX(ROW(E$1:E2481)*(E2=E$1:E2481))))))</f>
        <v/>
      </c>
      <c r="K2482" s="24" t="str">
        <f aca="false">IF(OR(E2482="",E2482="!!!",F2482="NEW"),"",INDEX(J$1:J2481,SUMPRODUCT(MAX(ROW(E$1:E2481)*(E2482=E$1:E2481)))))</f>
        <v/>
      </c>
      <c r="L2482" s="31"/>
    </row>
    <row r="2483" customFormat="false" ht="15" hidden="false" customHeight="false" outlineLevel="0" collapsed="false">
      <c r="A2483" s="20" t="s">
        <v>1945</v>
      </c>
      <c r="E2483" s="23" t="str">
        <f aca="false">IF(D2483="?OLD","!!!","")</f>
        <v/>
      </c>
      <c r="F2483" s="25" t="str">
        <f aca="false">IF(OR(E2483="",E2483="!!!"),"",IF(NOT(ISNA(VLOOKUP(E2483,E$1:E2482,1,FALSE()))),"OLD",IF(AND(E2483&lt;&gt;"",E2483&lt;&gt;"!!!"),"NEW","")))</f>
        <v/>
      </c>
      <c r="G2483" s="26" t="str">
        <f aca="false">IF(OR(E2483="",E2483="!!!"),"",IF(OR(J2483=0,AND(J2483=1,K2483=1),AND(J2483=1,I2483="SBJ"),AND(J2483=1,I2483=0)),"?IN_FOCUS",IF(J2483&lt;=2,"?ACTIVATED",IF(J2483&lt;&gt;"","?FAMILIAR",IF(F2483="NEW",IF(ISNA(VLOOKUP(E2483,#REF!,1,FALSE())),"?TYPE_IDENTIFIABLE","?REFERENTIAL"),"_")))))</f>
        <v/>
      </c>
      <c r="H2483" s="27" t="str">
        <f aca="false">IF(J2483&lt;&gt;1,"",IF(I2483="SBJ","CB","?"))</f>
        <v/>
      </c>
      <c r="I2483" s="24" t="str">
        <f aca="false">IF(OR(E2483="",E2483="!!!",F2483="NEW"),"",INDEX(B14:B$2470,-1+SUMPRODUCT(MAX(ROW(E14:E$2470)*(E2483=E14:E$2470)))))</f>
        <v/>
      </c>
      <c r="J2483" s="24" t="str">
        <f aca="true">IF(OR(E2483="",E2483="!!!",F2483="NEW"),"",COUNTBLANK(OFFSET(A$1,,,SUMPRODUCT(MAX(ROW(E$2:E2483)*(E2483=E$2:E2483)))))-COUNTBLANK(OFFSET(A$1,,,SUMPRODUCT(MAX(ROW(E$1:E2482)*(E2=E$1:E2482))))))</f>
        <v/>
      </c>
      <c r="K2483" s="24" t="str">
        <f aca="false">IF(OR(E2483="",E2483="!!!",F2483="NEW"),"",INDEX(J$1:J2482,SUMPRODUCT(MAX(ROW(E$1:E2482)*(E2483=E$1:E2482)))))</f>
        <v/>
      </c>
      <c r="L2483" s="31"/>
    </row>
    <row r="2484" customFormat="false" ht="15" hidden="false" customHeight="false" outlineLevel="0" collapsed="false">
      <c r="A2484" s="20" t="s">
        <v>1076</v>
      </c>
      <c r="E2484" s="23" t="str">
        <f aca="false">IF(D2484="?OLD","!!!","")</f>
        <v/>
      </c>
      <c r="F2484" s="25" t="str">
        <f aca="false">IF(OR(E2484="",E2484="!!!"),"",IF(NOT(ISNA(VLOOKUP(E2484,E$1:E2483,1,FALSE()))),"OLD",IF(AND(E2484&lt;&gt;"",E2484&lt;&gt;"!!!"),"NEW","")))</f>
        <v/>
      </c>
      <c r="G2484" s="26" t="str">
        <f aca="false">IF(OR(E2484="",E2484="!!!"),"",IF(OR(J2484=0,AND(J2484=1,K2484=1),AND(J2484=1,I2484="SBJ"),AND(J2484=1,I2484=0)),"?IN_FOCUS",IF(J2484&lt;=2,"?ACTIVATED",IF(J2484&lt;&gt;"","?FAMILIAR",IF(F2484="NEW",IF(ISNA(VLOOKUP(E2484,#REF!,1,FALSE())),"?TYPE_IDENTIFIABLE","?REFERENTIAL"),"_")))))</f>
        <v/>
      </c>
      <c r="H2484" s="27" t="str">
        <f aca="false">IF(J2484&lt;&gt;1,"",IF(I2484="SBJ","CB","?"))</f>
        <v/>
      </c>
      <c r="I2484" s="24" t="str">
        <f aca="false">IF(OR(E2484="",E2484="!!!",F2484="NEW"),"",INDEX(B15:B$2470,-1+SUMPRODUCT(MAX(ROW(E15:E$2470)*(E2484=E15:E$2470)))))</f>
        <v/>
      </c>
      <c r="J2484" s="24" t="str">
        <f aca="true">IF(OR(E2484="",E2484="!!!",F2484="NEW"),"",COUNTBLANK(OFFSET(A$1,,,SUMPRODUCT(MAX(ROW(E$2:E2484)*(E2484=E$2:E2484)))))-COUNTBLANK(OFFSET(A$1,,,SUMPRODUCT(MAX(ROW(E$1:E2483)*(E2=E$1:E2483))))))</f>
        <v/>
      </c>
      <c r="K2484" s="24" t="str">
        <f aca="false">IF(OR(E2484="",E2484="!!!",F2484="NEW"),"",INDEX(J$1:J2483,SUMPRODUCT(MAX(ROW(E$1:E2483)*(E2484=E$1:E2483)))))</f>
        <v/>
      </c>
      <c r="L2484" s="31"/>
    </row>
    <row r="2485" customFormat="false" ht="15" hidden="false" customHeight="false" outlineLevel="0" collapsed="false">
      <c r="A2485" s="20" t="s">
        <v>959</v>
      </c>
      <c r="E2485" s="23" t="str">
        <f aca="false">IF(D2485="?OLD","!!!","")</f>
        <v/>
      </c>
      <c r="F2485" s="25" t="str">
        <f aca="false">IF(OR(E2485="",E2485="!!!"),"",IF(NOT(ISNA(VLOOKUP(E2485,E$1:E2484,1,FALSE()))),"OLD",IF(AND(E2485&lt;&gt;"",E2485&lt;&gt;"!!!"),"NEW","")))</f>
        <v/>
      </c>
      <c r="G2485" s="26" t="str">
        <f aca="false">IF(OR(E2485="",E2485="!!!"),"",IF(OR(J2485=0,AND(J2485=1,K2485=1),AND(J2485=1,I2485="SBJ"),AND(J2485=1,I2485=0)),"?IN_FOCUS",IF(J2485&lt;=2,"?ACTIVATED",IF(J2485&lt;&gt;"","?FAMILIAR",IF(F2485="NEW",IF(ISNA(VLOOKUP(E2485,#REF!,1,FALSE())),"?TYPE_IDENTIFIABLE","?REFERENTIAL"),"_")))))</f>
        <v/>
      </c>
      <c r="H2485" s="27" t="str">
        <f aca="false">IF(J2485&lt;&gt;1,"",IF(I2485="SBJ","CB","?"))</f>
        <v/>
      </c>
      <c r="I2485" s="24" t="str">
        <f aca="false">IF(OR(E2485="",E2485="!!!",F2485="NEW"),"",INDEX(B16:B$2470,-1+SUMPRODUCT(MAX(ROW(E16:E$2470)*(E2485=E16:E$2470)))))</f>
        <v/>
      </c>
      <c r="J2485" s="24" t="str">
        <f aca="true">IF(OR(E2485="",E2485="!!!",F2485="NEW"),"",COUNTBLANK(OFFSET(A$1,,,SUMPRODUCT(MAX(ROW(E$2:E2485)*(E2485=E$2:E2485)))))-COUNTBLANK(OFFSET(A$1,,,SUMPRODUCT(MAX(ROW(E$1:E2484)*(E2=E$1:E2484))))))</f>
        <v/>
      </c>
      <c r="K2485" s="24" t="str">
        <f aca="false">IF(OR(E2485="",E2485="!!!",F2485="NEW"),"",INDEX(J$1:J2484,SUMPRODUCT(MAX(ROW(E$1:E2484)*(E2485=E$1:E2484)))))</f>
        <v/>
      </c>
      <c r="L2485" s="31"/>
    </row>
    <row r="2486" customFormat="false" ht="15" hidden="false" customHeight="false" outlineLevel="0" collapsed="false">
      <c r="A2486" s="20" t="s">
        <v>1137</v>
      </c>
      <c r="B2486" s="22" t="s">
        <v>1142</v>
      </c>
      <c r="C2486" s="22" t="s">
        <v>1082</v>
      </c>
      <c r="D2486" s="22" t="s">
        <v>1060</v>
      </c>
      <c r="E2486" s="23" t="str">
        <f aca="false">IF(D2486="?OLD","!!!","")</f>
        <v>!!!</v>
      </c>
      <c r="F2486" s="25" t="str">
        <f aca="false">IF(OR(E2486="",E2486="!!!"),"",IF(NOT(ISNA(VLOOKUP(E2486,E$1:E2485,1,FALSE()))),"OLD",IF(AND(E2486&lt;&gt;"",E2486&lt;&gt;"!!!"),"NEW","")))</f>
        <v/>
      </c>
      <c r="G2486" s="26" t="str">
        <f aca="false">IF(OR(E2486="",E2486="!!!"),"",IF(OR(J2486=0,AND(J2486=1,K2486=1),AND(J2486=1,I2486="SBJ"),AND(J2486=1,I2486=0)),"?IN_FOCUS",IF(J2486&lt;=2,"?ACTIVATED",IF(J2486&lt;&gt;"","?FAMILIAR",IF(F2486="NEW",IF(ISNA(VLOOKUP(E2486,#REF!,1,FALSE())),"?TYPE_IDENTIFIABLE","?REFERENTIAL"),"_")))))</f>
        <v/>
      </c>
      <c r="H2486" s="27" t="str">
        <f aca="false">IF(J2486&lt;&gt;1,"",IF(I2486="SBJ","CB","?"))</f>
        <v/>
      </c>
      <c r="I2486" s="24" t="str">
        <f aca="false">IF(OR(E2486="",E2486="!!!",F2486="NEW"),"",INDEX(B17:B$2470,-1+SUMPRODUCT(MAX(ROW(E17:E$2470)*(E2486=E17:E$2470)))))</f>
        <v/>
      </c>
      <c r="J2486" s="24" t="str">
        <f aca="true">IF(OR(E2486="",E2486="!!!",F2486="NEW"),"",COUNTBLANK(OFFSET(A$1,,,SUMPRODUCT(MAX(ROW(E$2:E2486)*(E2486=E$2:E2486)))))-COUNTBLANK(OFFSET(A$1,,,SUMPRODUCT(MAX(ROW(E$1:E2485)*(E2=E$1:E2485))))))</f>
        <v/>
      </c>
      <c r="K2486" s="24" t="str">
        <f aca="false">IF(OR(E2486="",E2486="!!!",F2486="NEW"),"",INDEX(J$1:J2485,SUMPRODUCT(MAX(ROW(E$1:E2485)*(E2486=E$1:E2485)))))</f>
        <v/>
      </c>
      <c r="L2486" s="31"/>
    </row>
    <row r="2487" customFormat="false" ht="15" hidden="false" customHeight="false" outlineLevel="0" collapsed="false">
      <c r="A2487" s="20" t="s">
        <v>1095</v>
      </c>
      <c r="E2487" s="23" t="str">
        <f aca="false">IF(D2487="?OLD","!!!","")</f>
        <v/>
      </c>
      <c r="F2487" s="25" t="str">
        <f aca="false">IF(OR(E2487="",E2487="!!!"),"",IF(NOT(ISNA(VLOOKUP(E2487,E$1:E2486,1,FALSE()))),"OLD",IF(AND(E2487&lt;&gt;"",E2487&lt;&gt;"!!!"),"NEW","")))</f>
        <v/>
      </c>
      <c r="G2487" s="26" t="str">
        <f aca="false">IF(OR(E2487="",E2487="!!!"),"",IF(OR(J2487=0,AND(J2487=1,K2487=1),AND(J2487=1,I2487="SBJ"),AND(J2487=1,I2487=0)),"?IN_FOCUS",IF(J2487&lt;=2,"?ACTIVATED",IF(J2487&lt;&gt;"","?FAMILIAR",IF(F2487="NEW",IF(ISNA(VLOOKUP(E2487,#REF!,1,FALSE())),"?TYPE_IDENTIFIABLE","?REFERENTIAL"),"_")))))</f>
        <v/>
      </c>
      <c r="H2487" s="27" t="str">
        <f aca="false">IF(J2487&lt;&gt;1,"",IF(I2487="SBJ","CB","?"))</f>
        <v/>
      </c>
      <c r="I2487" s="24" t="str">
        <f aca="false">IF(OR(E2487="",E2487="!!!",F2487="NEW"),"",INDEX(B18:B$2470,-1+SUMPRODUCT(MAX(ROW(E18:E$2470)*(E2487=E18:E$2470)))))</f>
        <v/>
      </c>
      <c r="J2487" s="24" t="str">
        <f aca="true">IF(OR(E2487="",E2487="!!!",F2487="NEW"),"",COUNTBLANK(OFFSET(A$1,,,SUMPRODUCT(MAX(ROW(E$2:E2487)*(E2487=E$2:E2487)))))-COUNTBLANK(OFFSET(A$1,,,SUMPRODUCT(MAX(ROW(E$1:E2486)*(E2=E$1:E2486))))))</f>
        <v/>
      </c>
      <c r="K2487" s="24" t="str">
        <f aca="false">IF(OR(E2487="",E2487="!!!",F2487="NEW"),"",INDEX(J$1:J2486,SUMPRODUCT(MAX(ROW(E$1:E2486)*(E2487=E$1:E2486)))))</f>
        <v/>
      </c>
      <c r="L2487" s="31"/>
    </row>
    <row r="2488" customFormat="false" ht="15" hidden="false" customHeight="false" outlineLevel="0" collapsed="false">
      <c r="A2488" s="20" t="s">
        <v>1109</v>
      </c>
      <c r="E2488" s="23" t="str">
        <f aca="false">IF(D2488="?OLD","!!!","")</f>
        <v/>
      </c>
      <c r="F2488" s="25" t="str">
        <f aca="false">IF(OR(E2488="",E2488="!!!"),"",IF(NOT(ISNA(VLOOKUP(E2488,E$1:E2487,1,FALSE()))),"OLD",IF(AND(E2488&lt;&gt;"",E2488&lt;&gt;"!!!"),"NEW","")))</f>
        <v/>
      </c>
      <c r="G2488" s="26" t="str">
        <f aca="false">IF(OR(E2488="",E2488="!!!"),"",IF(OR(J2488=0,AND(J2488=1,K2488=1),AND(J2488=1,I2488="SBJ"),AND(J2488=1,I2488=0)),"?IN_FOCUS",IF(J2488&lt;=2,"?ACTIVATED",IF(J2488&lt;&gt;"","?FAMILIAR",IF(F2488="NEW",IF(ISNA(VLOOKUP(E2488,#REF!,1,FALSE())),"?TYPE_IDENTIFIABLE","?REFERENTIAL"),"_")))))</f>
        <v/>
      </c>
      <c r="H2488" s="27" t="str">
        <f aca="false">IF(J2488&lt;&gt;1,"",IF(I2488="SBJ","CB","?"))</f>
        <v/>
      </c>
      <c r="I2488" s="24" t="str">
        <f aca="false">IF(OR(E2488="",E2488="!!!",F2488="NEW"),"",INDEX(B19:B$2470,-1+SUMPRODUCT(MAX(ROW(E19:E$2470)*(E2488=E19:E$2470)))))</f>
        <v/>
      </c>
      <c r="J2488" s="24" t="str">
        <f aca="true">IF(OR(E2488="",E2488="!!!",F2488="NEW"),"",COUNTBLANK(OFFSET(A$1,,,SUMPRODUCT(MAX(ROW(E$2:E2488)*(E2488=E$2:E2488)))))-COUNTBLANK(OFFSET(A$1,,,SUMPRODUCT(MAX(ROW(E$1:E2487)*(E2=E$1:E2487))))))</f>
        <v/>
      </c>
      <c r="K2488" s="24" t="str">
        <f aca="false">IF(OR(E2488="",E2488="!!!",F2488="NEW"),"",INDEX(J$1:J2487,SUMPRODUCT(MAX(ROW(E$1:E2487)*(E2488=E$1:E2487)))))</f>
        <v/>
      </c>
      <c r="L2488" s="31"/>
    </row>
    <row r="2489" customFormat="false" ht="15" hidden="false" customHeight="false" outlineLevel="0" collapsed="false">
      <c r="A2489" s="20" t="s">
        <v>1738</v>
      </c>
      <c r="B2489" s="22" t="s">
        <v>1073</v>
      </c>
      <c r="C2489" s="22" t="s">
        <v>1150</v>
      </c>
      <c r="D2489" s="22" t="s">
        <v>1060</v>
      </c>
      <c r="E2489" s="23" t="str">
        <f aca="false">IF(D2489="?OLD","!!!","")</f>
        <v>!!!</v>
      </c>
      <c r="F2489" s="25" t="str">
        <f aca="false">IF(OR(E2489="",E2489="!!!"),"",IF(NOT(ISNA(VLOOKUP(E2489,E$1:E2488,1,FALSE()))),"OLD",IF(AND(E2489&lt;&gt;"",E2489&lt;&gt;"!!!"),"NEW","")))</f>
        <v/>
      </c>
      <c r="G2489" s="26" t="str">
        <f aca="false">IF(OR(E2489="",E2489="!!!"),"",IF(OR(J2489=0,AND(J2489=1,K2489=1),AND(J2489=1,I2489="SBJ"),AND(J2489=1,I2489=0)),"?IN_FOCUS",IF(J2489&lt;=2,"?ACTIVATED",IF(J2489&lt;&gt;"","?FAMILIAR",IF(F2489="NEW",IF(ISNA(VLOOKUP(E2489,#REF!,1,FALSE())),"?TYPE_IDENTIFIABLE","?REFERENTIAL"),"_")))))</f>
        <v/>
      </c>
      <c r="H2489" s="27" t="str">
        <f aca="false">IF(J2489&lt;&gt;1,"",IF(I2489="SBJ","CB","?"))</f>
        <v/>
      </c>
      <c r="I2489" s="24" t="str">
        <f aca="false">IF(OR(E2489="",E2489="!!!",F2489="NEW"),"",INDEX(B20:B$2470,-1+SUMPRODUCT(MAX(ROW(E20:E$2470)*(E2489=E20:E$2470)))))</f>
        <v/>
      </c>
      <c r="J2489" s="24" t="str">
        <f aca="true">IF(OR(E2489="",E2489="!!!",F2489="NEW"),"",COUNTBLANK(OFFSET(A$1,,,SUMPRODUCT(MAX(ROW(E$2:E2489)*(E2489=E$2:E2489)))))-COUNTBLANK(OFFSET(A$1,,,SUMPRODUCT(MAX(ROW(E$1:E2488)*(E2=E$1:E2488))))))</f>
        <v/>
      </c>
      <c r="K2489" s="24" t="str">
        <f aca="false">IF(OR(E2489="",E2489="!!!",F2489="NEW"),"",INDEX(J$1:J2488,SUMPRODUCT(MAX(ROW(E$1:E2488)*(E2489=E$1:E2488)))))</f>
        <v/>
      </c>
      <c r="L2489" s="31"/>
    </row>
    <row r="2490" customFormat="false" ht="15" hidden="false" customHeight="false" outlineLevel="0" collapsed="false">
      <c r="A2490" s="20" t="s">
        <v>1076</v>
      </c>
      <c r="E2490" s="23" t="str">
        <f aca="false">IF(D2490="?OLD","!!!","")</f>
        <v/>
      </c>
      <c r="F2490" s="25" t="str">
        <f aca="false">IF(OR(E2490="",E2490="!!!"),"",IF(NOT(ISNA(VLOOKUP(E2490,E$1:E2489,1,FALSE()))),"OLD",IF(AND(E2490&lt;&gt;"",E2490&lt;&gt;"!!!"),"NEW","")))</f>
        <v/>
      </c>
      <c r="G2490" s="26" t="str">
        <f aca="false">IF(OR(E2490="",E2490="!!!"),"",IF(OR(J2490=0,AND(J2490=1,K2490=1),AND(J2490=1,I2490="SBJ"),AND(J2490=1,I2490=0)),"?IN_FOCUS",IF(J2490&lt;=2,"?ACTIVATED",IF(J2490&lt;&gt;"","?FAMILIAR",IF(F2490="NEW",IF(ISNA(VLOOKUP(E2490,#REF!,1,FALSE())),"?TYPE_IDENTIFIABLE","?REFERENTIAL"),"_")))))</f>
        <v/>
      </c>
      <c r="H2490" s="27" t="str">
        <f aca="false">IF(J2490&lt;&gt;1,"",IF(I2490="SBJ","CB","?"))</f>
        <v/>
      </c>
      <c r="I2490" s="24" t="str">
        <f aca="false">IF(OR(E2490="",E2490="!!!",F2490="NEW"),"",INDEX(B21:B$2470,-1+SUMPRODUCT(MAX(ROW(E21:E$2470)*(E2490=E21:E$2470)))))</f>
        <v/>
      </c>
      <c r="J2490" s="24" t="str">
        <f aca="true">IF(OR(E2490="",E2490="!!!",F2490="NEW"),"",COUNTBLANK(OFFSET(A$1,,,SUMPRODUCT(MAX(ROW(E$2:E2490)*(E2490=E$2:E2490)))))-COUNTBLANK(OFFSET(A$1,,,SUMPRODUCT(MAX(ROW(E$1:E2489)*(E2=E$1:E2489))))))</f>
        <v/>
      </c>
      <c r="K2490" s="24" t="str">
        <f aca="false">IF(OR(E2490="",E2490="!!!",F2490="NEW"),"",INDEX(J$1:J2489,SUMPRODUCT(MAX(ROW(E$1:E2489)*(E2490=E$1:E2489)))))</f>
        <v/>
      </c>
      <c r="L2490" s="31"/>
    </row>
    <row r="2491" customFormat="false" ht="15" hidden="false" customHeight="false" outlineLevel="0" collapsed="false">
      <c r="A2491" s="20" t="s">
        <v>1128</v>
      </c>
      <c r="E2491" s="23" t="str">
        <f aca="false">IF(D2491="?OLD","!!!","")</f>
        <v/>
      </c>
      <c r="F2491" s="25" t="str">
        <f aca="false">IF(OR(E2491="",E2491="!!!"),"",IF(NOT(ISNA(VLOOKUP(E2491,E$1:E2490,1,FALSE()))),"OLD",IF(AND(E2491&lt;&gt;"",E2491&lt;&gt;"!!!"),"NEW","")))</f>
        <v/>
      </c>
      <c r="G2491" s="26" t="str">
        <f aca="false">IF(OR(E2491="",E2491="!!!"),"",IF(OR(J2491=0,AND(J2491=1,K2491=1),AND(J2491=1,I2491="SBJ"),AND(J2491=1,I2491=0)),"?IN_FOCUS",IF(J2491&lt;=2,"?ACTIVATED",IF(J2491&lt;&gt;"","?FAMILIAR",IF(F2491="NEW",IF(ISNA(VLOOKUP(E2491,#REF!,1,FALSE())),"?TYPE_IDENTIFIABLE","?REFERENTIAL"),"_")))))</f>
        <v/>
      </c>
      <c r="H2491" s="27" t="str">
        <f aca="false">IF(J2491&lt;&gt;1,"",IF(I2491="SBJ","CB","?"))</f>
        <v/>
      </c>
      <c r="I2491" s="24" t="str">
        <f aca="false">IF(OR(E2491="",E2491="!!!",F2491="NEW"),"",INDEX(B22:B$2470,-1+SUMPRODUCT(MAX(ROW(E22:E$2470)*(E2491=E22:E$2470)))))</f>
        <v/>
      </c>
      <c r="J2491" s="24" t="str">
        <f aca="true">IF(OR(E2491="",E2491="!!!",F2491="NEW"),"",COUNTBLANK(OFFSET(A$1,,,SUMPRODUCT(MAX(ROW(E$2:E2491)*(E2491=E$2:E2491)))))-COUNTBLANK(OFFSET(A$1,,,SUMPRODUCT(MAX(ROW(E$1:E2490)*(E2=E$1:E2490))))))</f>
        <v/>
      </c>
      <c r="K2491" s="24" t="str">
        <f aca="false">IF(OR(E2491="",E2491="!!!",F2491="NEW"),"",INDEX(J$1:J2490,SUMPRODUCT(MAX(ROW(E$1:E2490)*(E2491=E$1:E2490)))))</f>
        <v/>
      </c>
      <c r="L2491" s="31"/>
    </row>
    <row r="2492" customFormat="false" ht="15" hidden="false" customHeight="false" outlineLevel="0" collapsed="false">
      <c r="A2492" s="20" t="s">
        <v>1946</v>
      </c>
      <c r="E2492" s="23" t="str">
        <f aca="false">IF(D2492="?OLD","!!!","")</f>
        <v/>
      </c>
      <c r="F2492" s="25" t="str">
        <f aca="false">IF(OR(E2492="",E2492="!!!"),"",IF(NOT(ISNA(VLOOKUP(E2492,E$1:E2491,1,FALSE()))),"OLD",IF(AND(E2492&lt;&gt;"",E2492&lt;&gt;"!!!"),"NEW","")))</f>
        <v/>
      </c>
      <c r="G2492" s="26" t="str">
        <f aca="false">IF(OR(E2492="",E2492="!!!"),"",IF(OR(J2492=0,AND(J2492=1,K2492=1),AND(J2492=1,I2492="SBJ"),AND(J2492=1,I2492=0)),"?IN_FOCUS",IF(J2492&lt;=2,"?ACTIVATED",IF(J2492&lt;&gt;"","?FAMILIAR",IF(F2492="NEW",IF(ISNA(VLOOKUP(E2492,#REF!,1,FALSE())),"?TYPE_IDENTIFIABLE","?REFERENTIAL"),"_")))))</f>
        <v/>
      </c>
      <c r="H2492" s="27" t="str">
        <f aca="false">IF(J2492&lt;&gt;1,"",IF(I2492="SBJ","CB","?"))</f>
        <v/>
      </c>
      <c r="I2492" s="24" t="str">
        <f aca="false">IF(OR(E2492="",E2492="!!!",F2492="NEW"),"",INDEX(B23:B$2470,-1+SUMPRODUCT(MAX(ROW(E23:E$2470)*(E2492=E23:E$2470)))))</f>
        <v/>
      </c>
      <c r="J2492" s="24" t="str">
        <f aca="true">IF(OR(E2492="",E2492="!!!",F2492="NEW"),"",COUNTBLANK(OFFSET(A$1,,,SUMPRODUCT(MAX(ROW(E$2:E2492)*(E2492=E$2:E2492)))))-COUNTBLANK(OFFSET(A$1,,,SUMPRODUCT(MAX(ROW(E$1:E2491)*(E2=E$1:E2491))))))</f>
        <v/>
      </c>
      <c r="K2492" s="24" t="str">
        <f aca="false">IF(OR(E2492="",E2492="!!!",F2492="NEW"),"",INDEX(J$1:J2491,SUMPRODUCT(MAX(ROW(E$1:E2491)*(E2492=E$1:E2491)))))</f>
        <v/>
      </c>
      <c r="L2492" s="31"/>
    </row>
    <row r="2493" customFormat="false" ht="15" hidden="false" customHeight="false" outlineLevel="0" collapsed="false">
      <c r="A2493" s="20" t="s">
        <v>1184</v>
      </c>
      <c r="E2493" s="23" t="str">
        <f aca="false">IF(D2493="?OLD","!!!","")</f>
        <v/>
      </c>
      <c r="F2493" s="25" t="str">
        <f aca="false">IF(OR(E2493="",E2493="!!!"),"",IF(NOT(ISNA(VLOOKUP(E2493,E$1:E2492,1,FALSE()))),"OLD",IF(AND(E2493&lt;&gt;"",E2493&lt;&gt;"!!!"),"NEW","")))</f>
        <v/>
      </c>
      <c r="G2493" s="26" t="str">
        <f aca="false">IF(OR(E2493="",E2493="!!!"),"",IF(OR(J2493=0,AND(J2493=1,K2493=1),AND(J2493=1,I2493="SBJ"),AND(J2493=1,I2493=0)),"?IN_FOCUS",IF(J2493&lt;=2,"?ACTIVATED",IF(J2493&lt;&gt;"","?FAMILIAR",IF(F2493="NEW",IF(ISNA(VLOOKUP(E2493,#REF!,1,FALSE())),"?TYPE_IDENTIFIABLE","?REFERENTIAL"),"_")))))</f>
        <v/>
      </c>
      <c r="H2493" s="27" t="str">
        <f aca="false">IF(J2493&lt;&gt;1,"",IF(I2493="SBJ","CB","?"))</f>
        <v/>
      </c>
      <c r="I2493" s="24" t="str">
        <f aca="false">IF(OR(E2493="",E2493="!!!",F2493="NEW"),"",INDEX(B24:B$2470,-1+SUMPRODUCT(MAX(ROW(E24:E$2470)*(E2493=E24:E$2470)))))</f>
        <v/>
      </c>
      <c r="J2493" s="24" t="str">
        <f aca="true">IF(OR(E2493="",E2493="!!!",F2493="NEW"),"",COUNTBLANK(OFFSET(A$1,,,SUMPRODUCT(MAX(ROW(E$2:E2493)*(E2493=E$2:E2493)))))-COUNTBLANK(OFFSET(A$1,,,SUMPRODUCT(MAX(ROW(E$1:E2492)*(E2=E$1:E2492))))))</f>
        <v/>
      </c>
      <c r="K2493" s="24" t="str">
        <f aca="false">IF(OR(E2493="",E2493="!!!",F2493="NEW"),"",INDEX(J$1:J2492,SUMPRODUCT(MAX(ROW(E$1:E2492)*(E2493=E$1:E2492)))))</f>
        <v/>
      </c>
      <c r="L2493" s="31"/>
    </row>
    <row r="2494" customFormat="false" ht="15" hidden="false" customHeight="false" outlineLevel="0" collapsed="false">
      <c r="A2494" s="20" t="s">
        <v>1097</v>
      </c>
      <c r="B2494" s="22" t="s">
        <v>1107</v>
      </c>
      <c r="C2494" s="22" t="s">
        <v>1099</v>
      </c>
      <c r="D2494" s="22" t="s">
        <v>1060</v>
      </c>
      <c r="E2494" s="23" t="str">
        <f aca="false">IF(D2494="?OLD","!!!","")</f>
        <v>!!!</v>
      </c>
      <c r="F2494" s="25" t="str">
        <f aca="false">IF(OR(E2494="",E2494="!!!"),"",IF(NOT(ISNA(VLOOKUP(E2494,E$1:E2493,1,FALSE()))),"OLD",IF(AND(E2494&lt;&gt;"",E2494&lt;&gt;"!!!"),"NEW","")))</f>
        <v/>
      </c>
      <c r="G2494" s="26" t="str">
        <f aca="false">IF(OR(E2494="",E2494="!!!"),"",IF(OR(J2494=0,AND(J2494=1,K2494=1),AND(J2494=1,I2494="SBJ"),AND(J2494=1,I2494=0)),"?IN_FOCUS",IF(J2494&lt;=2,"?ACTIVATED",IF(J2494&lt;&gt;"","?FAMILIAR",IF(F2494="NEW",IF(ISNA(VLOOKUP(E2494,#REF!,1,FALSE())),"?TYPE_IDENTIFIABLE","?REFERENTIAL"),"_")))))</f>
        <v/>
      </c>
      <c r="H2494" s="27" t="str">
        <f aca="false">IF(J2494&lt;&gt;1,"",IF(I2494="SBJ","CB","?"))</f>
        <v/>
      </c>
      <c r="I2494" s="24" t="str">
        <f aca="false">IF(OR(E2494="",E2494="!!!",F2494="NEW"),"",INDEX(B25:B$2470,-1+SUMPRODUCT(MAX(ROW(E25:E$2470)*(E2494=E25:E$2470)))))</f>
        <v/>
      </c>
      <c r="J2494" s="24" t="str">
        <f aca="true">IF(OR(E2494="",E2494="!!!",F2494="NEW"),"",COUNTBLANK(OFFSET(A$1,,,SUMPRODUCT(MAX(ROW(E$2:E2494)*(E2494=E$2:E2494)))))-COUNTBLANK(OFFSET(A$1,,,SUMPRODUCT(MAX(ROW(E$1:E2493)*(E2=E$1:E2493))))))</f>
        <v/>
      </c>
      <c r="K2494" s="24" t="str">
        <f aca="false">IF(OR(E2494="",E2494="!!!",F2494="NEW"),"",INDEX(J$1:J2493,SUMPRODUCT(MAX(ROW(E$1:E2493)*(E2494=E$1:E2493)))))</f>
        <v/>
      </c>
      <c r="L2494" s="31"/>
    </row>
    <row r="2495" customFormat="false" ht="15" hidden="false" customHeight="false" outlineLevel="0" collapsed="false">
      <c r="A2495" s="20" t="s">
        <v>1947</v>
      </c>
      <c r="B2495" s="22" t="s">
        <v>1067</v>
      </c>
      <c r="C2495" s="22" t="s">
        <v>1059</v>
      </c>
      <c r="D2495" s="22" t="s">
        <v>1060</v>
      </c>
      <c r="E2495" s="23" t="str">
        <f aca="false">IF(D2495="?OLD","!!!","")</f>
        <v>!!!</v>
      </c>
      <c r="F2495" s="25" t="str">
        <f aca="false">IF(OR(E2495="",E2495="!!!"),"",IF(NOT(ISNA(VLOOKUP(E2495,E$1:E2494,1,FALSE()))),"OLD",IF(AND(E2495&lt;&gt;"",E2495&lt;&gt;"!!!"),"NEW","")))</f>
        <v/>
      </c>
      <c r="G2495" s="26" t="str">
        <f aca="false">IF(OR(E2495="",E2495="!!!"),"",IF(OR(J2495=0,AND(J2495=1,K2495=1),AND(J2495=1,I2495="SBJ"),AND(J2495=1,I2495=0)),"?IN_FOCUS",IF(J2495&lt;=2,"?ACTIVATED",IF(J2495&lt;&gt;"","?FAMILIAR",IF(F2495="NEW",IF(ISNA(VLOOKUP(E2495,#REF!,1,FALSE())),"?TYPE_IDENTIFIABLE","?REFERENTIAL"),"_")))))</f>
        <v/>
      </c>
      <c r="H2495" s="27" t="str">
        <f aca="false">IF(J2495&lt;&gt;1,"",IF(I2495="SBJ","CB","?"))</f>
        <v/>
      </c>
      <c r="I2495" s="24" t="str">
        <f aca="false">IF(OR(E2495="",E2495="!!!",F2495="NEW"),"",INDEX(B26:B$2470,-1+SUMPRODUCT(MAX(ROW(E26:E$2470)*(E2495=E26:E$2470)))))</f>
        <v/>
      </c>
      <c r="J2495" s="24" t="str">
        <f aca="true">IF(OR(E2495="",E2495="!!!",F2495="NEW"),"",COUNTBLANK(OFFSET(A$1,,,SUMPRODUCT(MAX(ROW(E$2:E2495)*(E2495=E$2:E2495)))))-COUNTBLANK(OFFSET(A$1,,,SUMPRODUCT(MAX(ROW(E$1:E2494)*(E2=E$1:E2494))))))</f>
        <v/>
      </c>
      <c r="K2495" s="24" t="str">
        <f aca="false">IF(OR(E2495="",E2495="!!!",F2495="NEW"),"",INDEX(J$1:J2494,SUMPRODUCT(MAX(ROW(E$1:E2494)*(E2495=E$1:E2494)))))</f>
        <v/>
      </c>
      <c r="L2495" s="31"/>
    </row>
    <row r="2496" customFormat="false" ht="15" hidden="false" customHeight="false" outlineLevel="0" collapsed="false">
      <c r="A2496" s="20" t="s">
        <v>923</v>
      </c>
      <c r="E2496" s="23" t="str">
        <f aca="false">IF(D2496="?OLD","!!!","")</f>
        <v/>
      </c>
      <c r="F2496" s="25" t="str">
        <f aca="false">IF(OR(E2496="",E2496="!!!"),"",IF(NOT(ISNA(VLOOKUP(E2496,E$1:E2495,1,FALSE()))),"OLD",IF(AND(E2496&lt;&gt;"",E2496&lt;&gt;"!!!"),"NEW","")))</f>
        <v/>
      </c>
      <c r="G2496" s="26" t="str">
        <f aca="false">IF(OR(E2496="",E2496="!!!"),"",IF(OR(J2496=0,AND(J2496=1,K2496=1),AND(J2496=1,I2496="SBJ"),AND(J2496=1,I2496=0)),"?IN_FOCUS",IF(J2496&lt;=2,"?ACTIVATED",IF(J2496&lt;&gt;"","?FAMILIAR",IF(F2496="NEW",IF(ISNA(VLOOKUP(E2496,#REF!,1,FALSE())),"?TYPE_IDENTIFIABLE","?REFERENTIAL"),"_")))))</f>
        <v/>
      </c>
      <c r="H2496" s="27" t="str">
        <f aca="false">IF(J2496&lt;&gt;1,"",IF(I2496="SBJ","CB","?"))</f>
        <v/>
      </c>
      <c r="I2496" s="24" t="str">
        <f aca="false">IF(OR(E2496="",E2496="!!!",F2496="NEW"),"",INDEX(B27:B$2470,-1+SUMPRODUCT(MAX(ROW(E27:E$2470)*(E2496=E27:E$2470)))))</f>
        <v/>
      </c>
      <c r="J2496" s="24" t="str">
        <f aca="true">IF(OR(E2496="",E2496="!!!",F2496="NEW"),"",COUNTBLANK(OFFSET(A$1,,,SUMPRODUCT(MAX(ROW(E$2:E2496)*(E2496=E$2:E2496)))))-COUNTBLANK(OFFSET(A$1,,,SUMPRODUCT(MAX(ROW(E$1:E2495)*(E2=E$1:E2495))))))</f>
        <v/>
      </c>
      <c r="K2496" s="24" t="str">
        <f aca="false">IF(OR(E2496="",E2496="!!!",F2496="NEW"),"",INDEX(J$1:J2495,SUMPRODUCT(MAX(ROW(E$1:E2495)*(E2496=E$1:E2495)))))</f>
        <v/>
      </c>
      <c r="L2496" s="31"/>
    </row>
    <row r="2497" customFormat="false" ht="15" hidden="false" customHeight="false" outlineLevel="0" collapsed="false">
      <c r="A2497" s="20"/>
    </row>
    <row r="2498" customFormat="false" ht="15" hidden="false" customHeight="false" outlineLevel="0" collapsed="false">
      <c r="A2498" s="20" t="s">
        <v>1948</v>
      </c>
    </row>
    <row r="2499" customFormat="false" ht="15" hidden="false" customHeight="false" outlineLevel="0" collapsed="false">
      <c r="A2499" s="20" t="s">
        <v>1832</v>
      </c>
      <c r="E2499" s="23" t="str">
        <f aca="false">IF(D2499="?OLD","!!!","")</f>
        <v/>
      </c>
      <c r="F2499" s="25" t="str">
        <f aca="false">IF(OR(E2499="",E2499="!!!"),"",IF(NOT(ISNA(VLOOKUP(E2499,E$1:E2498,1,FALSE()))),"OLD",IF(AND(E2499&lt;&gt;"",E2499&lt;&gt;"!!!"),"NEW","")))</f>
        <v/>
      </c>
      <c r="G2499" s="26" t="str">
        <f aca="false">IF(OR(E2499="",E2499="!!!"),"",IF(OR(J2499=0,AND(J2499=1,K2499=1),AND(J2499=1,I2499="SBJ"),AND(J2499=1,I2499=0)),"?IN_FOCUS",IF(J2499&lt;=2,"?ACTIVATED",IF(J2499&lt;&gt;"","?FAMILIAR",IF(F2499="NEW",IF(ISNA(VLOOKUP(E2499,#REF!,1,FALSE())),"?TYPE_IDENTIFIABLE","?REFERENTIAL"),"_")))))</f>
        <v/>
      </c>
      <c r="H2499" s="27" t="str">
        <f aca="false">IF(J2499&lt;&gt;1,"",IF(I2499="SBJ","CB","?"))</f>
        <v/>
      </c>
      <c r="I2499" s="24" t="str">
        <f aca="false">IF(OR(E2499="",E2499="!!!",F2499="NEW"),"",INDEX(B2:B$2498,-1+SUMPRODUCT(MAX(ROW(E2:E$2498)*(E2499=E2:E$2498)))))</f>
        <v/>
      </c>
      <c r="J2499" s="24" t="str">
        <f aca="true">IF(OR(E2499="",E2499="!!!",F2499="NEW"),"",COUNTBLANK(OFFSET(A$1,,,SUMPRODUCT(MAX(ROW(E$2:E2499)*(E2499=E$2:E2499)))))-COUNTBLANK(OFFSET(A$1,,,SUMPRODUCT(MAX(ROW(E$1:E2498)*(E2=E$1:E2498))))))</f>
        <v/>
      </c>
      <c r="K2499" s="24" t="str">
        <f aca="false">IF(OR(E2499="",E2499="!!!",F2499="NEW"),"",INDEX(J$1:J2498,SUMPRODUCT(MAX(ROW(E$1:E2498)*(E2499=E$1:E2498)))))</f>
        <v/>
      </c>
      <c r="L2499" s="31"/>
    </row>
    <row r="2500" customFormat="false" ht="15" hidden="false" customHeight="false" outlineLevel="0" collapsed="false">
      <c r="A2500" s="20" t="s">
        <v>1109</v>
      </c>
      <c r="E2500" s="23" t="str">
        <f aca="false">IF(D2500="?OLD","!!!","")</f>
        <v/>
      </c>
      <c r="F2500" s="25" t="str">
        <f aca="false">IF(OR(E2500="",E2500="!!!"),"",IF(NOT(ISNA(VLOOKUP(E2500,E$1:E2499,1,FALSE()))),"OLD",IF(AND(E2500&lt;&gt;"",E2500&lt;&gt;"!!!"),"NEW","")))</f>
        <v/>
      </c>
      <c r="G2500" s="26" t="str">
        <f aca="false">IF(OR(E2500="",E2500="!!!"),"",IF(OR(J2500=0,AND(J2500=1,K2500=1),AND(J2500=1,I2500="SBJ"),AND(J2500=1,I2500=0)),"?IN_FOCUS",IF(J2500&lt;=2,"?ACTIVATED",IF(J2500&lt;&gt;"","?FAMILIAR",IF(F2500="NEW",IF(ISNA(VLOOKUP(E2500,#REF!,1,FALSE())),"?TYPE_IDENTIFIABLE","?REFERENTIAL"),"_")))))</f>
        <v/>
      </c>
      <c r="H2500" s="27" t="str">
        <f aca="false">IF(J2500&lt;&gt;1,"",IF(I2500="SBJ","CB","?"))</f>
        <v/>
      </c>
      <c r="I2500" s="24" t="str">
        <f aca="false">IF(OR(E2500="",E2500="!!!",F2500="NEW"),"",INDEX(B3:B$2498,-1+SUMPRODUCT(MAX(ROW(E3:E$2498)*(E2500=E3:E$2498)))))</f>
        <v/>
      </c>
      <c r="J2500" s="24" t="str">
        <f aca="true">IF(OR(E2500="",E2500="!!!",F2500="NEW"),"",COUNTBLANK(OFFSET(A$1,,,SUMPRODUCT(MAX(ROW(E$2:E2500)*(E2500=E$2:E2500)))))-COUNTBLANK(OFFSET(A$1,,,SUMPRODUCT(MAX(ROW(E$1:E2499)*(E2=E$1:E2499))))))</f>
        <v/>
      </c>
      <c r="K2500" s="24" t="str">
        <f aca="false">IF(OR(E2500="",E2500="!!!",F2500="NEW"),"",INDEX(J$1:J2499,SUMPRODUCT(MAX(ROW(E$1:E2499)*(E2500=E$1:E2499)))))</f>
        <v/>
      </c>
      <c r="L2500" s="31"/>
    </row>
    <row r="2501" customFormat="false" ht="15" hidden="false" customHeight="false" outlineLevel="0" collapsed="false">
      <c r="A2501" s="20" t="s">
        <v>1949</v>
      </c>
      <c r="E2501" s="23" t="str">
        <f aca="false">IF(D2501="?OLD","!!!","")</f>
        <v/>
      </c>
      <c r="F2501" s="25" t="str">
        <f aca="false">IF(OR(E2501="",E2501="!!!"),"",IF(NOT(ISNA(VLOOKUP(E2501,E$1:E2500,1,FALSE()))),"OLD",IF(AND(E2501&lt;&gt;"",E2501&lt;&gt;"!!!"),"NEW","")))</f>
        <v/>
      </c>
      <c r="G2501" s="26" t="str">
        <f aca="false">IF(OR(E2501="",E2501="!!!"),"",IF(OR(J2501=0,AND(J2501=1,K2501=1),AND(J2501=1,I2501="SBJ"),AND(J2501=1,I2501=0)),"?IN_FOCUS",IF(J2501&lt;=2,"?ACTIVATED",IF(J2501&lt;&gt;"","?FAMILIAR",IF(F2501="NEW",IF(ISNA(VLOOKUP(E2501,#REF!,1,FALSE())),"?TYPE_IDENTIFIABLE","?REFERENTIAL"),"_")))))</f>
        <v/>
      </c>
      <c r="H2501" s="27" t="str">
        <f aca="false">IF(J2501&lt;&gt;1,"",IF(I2501="SBJ","CB","?"))</f>
        <v/>
      </c>
      <c r="I2501" s="24" t="str">
        <f aca="false">IF(OR(E2501="",E2501="!!!",F2501="NEW"),"",INDEX(B4:B$2498,-1+SUMPRODUCT(MAX(ROW(E4:E$2498)*(E2501=E4:E$2498)))))</f>
        <v/>
      </c>
      <c r="J2501" s="24" t="str">
        <f aca="true">IF(OR(E2501="",E2501="!!!",F2501="NEW"),"",COUNTBLANK(OFFSET(A$1,,,SUMPRODUCT(MAX(ROW(E$2:E2501)*(E2501=E$2:E2501)))))-COUNTBLANK(OFFSET(A$1,,,SUMPRODUCT(MAX(ROW(E$1:E2500)*(E2=E$1:E2500))))))</f>
        <v/>
      </c>
      <c r="K2501" s="24" t="str">
        <f aca="false">IF(OR(E2501="",E2501="!!!",F2501="NEW"),"",INDEX(J$1:J2500,SUMPRODUCT(MAX(ROW(E$1:E2500)*(E2501=E$1:E2500)))))</f>
        <v/>
      </c>
      <c r="L2501" s="31"/>
    </row>
    <row r="2502" customFormat="false" ht="15" hidden="false" customHeight="false" outlineLevel="0" collapsed="false">
      <c r="A2502" s="20" t="s">
        <v>1110</v>
      </c>
      <c r="E2502" s="23" t="str">
        <f aca="false">IF(D2502="?OLD","!!!","")</f>
        <v/>
      </c>
      <c r="F2502" s="25" t="str">
        <f aca="false">IF(OR(E2502="",E2502="!!!"),"",IF(NOT(ISNA(VLOOKUP(E2502,E$1:E2501,1,FALSE()))),"OLD",IF(AND(E2502&lt;&gt;"",E2502&lt;&gt;"!!!"),"NEW","")))</f>
        <v/>
      </c>
      <c r="G2502" s="26" t="str">
        <f aca="false">IF(OR(E2502="",E2502="!!!"),"",IF(OR(J2502=0,AND(J2502=1,K2502=1),AND(J2502=1,I2502="SBJ"),AND(J2502=1,I2502=0)),"?IN_FOCUS",IF(J2502&lt;=2,"?ACTIVATED",IF(J2502&lt;&gt;"","?FAMILIAR",IF(F2502="NEW",IF(ISNA(VLOOKUP(E2502,#REF!,1,FALSE())),"?TYPE_IDENTIFIABLE","?REFERENTIAL"),"_")))))</f>
        <v/>
      </c>
      <c r="H2502" s="27" t="str">
        <f aca="false">IF(J2502&lt;&gt;1,"",IF(I2502="SBJ","CB","?"))</f>
        <v/>
      </c>
      <c r="I2502" s="24" t="str">
        <f aca="false">IF(OR(E2502="",E2502="!!!",F2502="NEW"),"",INDEX(B5:B$2498,-1+SUMPRODUCT(MAX(ROW(E5:E$2498)*(E2502=E5:E$2498)))))</f>
        <v/>
      </c>
      <c r="J2502" s="24" t="str">
        <f aca="true">IF(OR(E2502="",E2502="!!!",F2502="NEW"),"",COUNTBLANK(OFFSET(A$1,,,SUMPRODUCT(MAX(ROW(E$2:E2502)*(E2502=E$2:E2502)))))-COUNTBLANK(OFFSET(A$1,,,SUMPRODUCT(MAX(ROW(E$1:E2501)*(E2=E$1:E2501))))))</f>
        <v/>
      </c>
      <c r="K2502" s="24" t="str">
        <f aca="false">IF(OR(E2502="",E2502="!!!",F2502="NEW"),"",INDEX(J$1:J2501,SUMPRODUCT(MAX(ROW(E$1:E2501)*(E2502=E$1:E2501)))))</f>
        <v/>
      </c>
      <c r="L2502" s="31"/>
    </row>
    <row r="2503" customFormat="false" ht="15" hidden="false" customHeight="false" outlineLevel="0" collapsed="false">
      <c r="A2503" s="20" t="s">
        <v>1066</v>
      </c>
      <c r="B2503" s="22" t="s">
        <v>1058</v>
      </c>
      <c r="C2503" s="22" t="s">
        <v>1150</v>
      </c>
      <c r="D2503" s="22" t="s">
        <v>1060</v>
      </c>
      <c r="E2503" s="23" t="str">
        <f aca="false">IF(D2503="?OLD","!!!","")</f>
        <v>!!!</v>
      </c>
      <c r="F2503" s="25" t="str">
        <f aca="false">IF(OR(E2503="",E2503="!!!"),"",IF(NOT(ISNA(VLOOKUP(E2503,E$1:E2502,1,FALSE()))),"OLD",IF(AND(E2503&lt;&gt;"",E2503&lt;&gt;"!!!"),"NEW","")))</f>
        <v/>
      </c>
      <c r="G2503" s="26" t="str">
        <f aca="false">IF(OR(E2503="",E2503="!!!"),"",IF(OR(J2503=0,AND(J2503=1,K2503=1),AND(J2503=1,I2503="SBJ"),AND(J2503=1,I2503=0)),"?IN_FOCUS",IF(J2503&lt;=2,"?ACTIVATED",IF(J2503&lt;&gt;"","?FAMILIAR",IF(F2503="NEW",IF(ISNA(VLOOKUP(E2503,#REF!,1,FALSE())),"?TYPE_IDENTIFIABLE","?REFERENTIAL"),"_")))))</f>
        <v/>
      </c>
      <c r="H2503" s="27" t="str">
        <f aca="false">IF(J2503&lt;&gt;1,"",IF(I2503="SBJ","CB","?"))</f>
        <v/>
      </c>
      <c r="I2503" s="24" t="str">
        <f aca="false">IF(OR(E2503="",E2503="!!!",F2503="NEW"),"",INDEX(B6:B$2498,-1+SUMPRODUCT(MAX(ROW(E6:E$2498)*(E2503=E6:E$2498)))))</f>
        <v/>
      </c>
      <c r="J2503" s="24" t="str">
        <f aca="true">IF(OR(E2503="",E2503="!!!",F2503="NEW"),"",COUNTBLANK(OFFSET(A$1,,,SUMPRODUCT(MAX(ROW(E$2:E2503)*(E2503=E$2:E2503)))))-COUNTBLANK(OFFSET(A$1,,,SUMPRODUCT(MAX(ROW(E$1:E2502)*(E2=E$1:E2502))))))</f>
        <v/>
      </c>
      <c r="K2503" s="24" t="str">
        <f aca="false">IF(OR(E2503="",E2503="!!!",F2503="NEW"),"",INDEX(J$1:J2502,SUMPRODUCT(MAX(ROW(E$1:E2502)*(E2503=E$1:E2502)))))</f>
        <v/>
      </c>
      <c r="L2503" s="31"/>
    </row>
    <row r="2504" customFormat="false" ht="15" hidden="false" customHeight="false" outlineLevel="0" collapsed="false">
      <c r="A2504" s="20" t="s">
        <v>1164</v>
      </c>
      <c r="E2504" s="23" t="str">
        <f aca="false">IF(D2504="?OLD","!!!","")</f>
        <v/>
      </c>
      <c r="F2504" s="25" t="str">
        <f aca="false">IF(OR(E2504="",E2504="!!!"),"",IF(NOT(ISNA(VLOOKUP(E2504,E$1:E2503,1,FALSE()))),"OLD",IF(AND(E2504&lt;&gt;"",E2504&lt;&gt;"!!!"),"NEW","")))</f>
        <v/>
      </c>
      <c r="G2504" s="26" t="str">
        <f aca="false">IF(OR(E2504="",E2504="!!!"),"",IF(OR(J2504=0,AND(J2504=1,K2504=1),AND(J2504=1,I2504="SBJ"),AND(J2504=1,I2504=0)),"?IN_FOCUS",IF(J2504&lt;=2,"?ACTIVATED",IF(J2504&lt;&gt;"","?FAMILIAR",IF(F2504="NEW",IF(ISNA(VLOOKUP(E2504,#REF!,1,FALSE())),"?TYPE_IDENTIFIABLE","?REFERENTIAL"),"_")))))</f>
        <v/>
      </c>
      <c r="H2504" s="27" t="str">
        <f aca="false">IF(J2504&lt;&gt;1,"",IF(I2504="SBJ","CB","?"))</f>
        <v/>
      </c>
      <c r="I2504" s="24" t="str">
        <f aca="false">IF(OR(E2504="",E2504="!!!",F2504="NEW"),"",INDEX(B7:B$2498,-1+SUMPRODUCT(MAX(ROW(E7:E$2498)*(E2504=E7:E$2498)))))</f>
        <v/>
      </c>
      <c r="J2504" s="24" t="str">
        <f aca="true">IF(OR(E2504="",E2504="!!!",F2504="NEW"),"",COUNTBLANK(OFFSET(A$1,,,SUMPRODUCT(MAX(ROW(E$2:E2504)*(E2504=E$2:E2504)))))-COUNTBLANK(OFFSET(A$1,,,SUMPRODUCT(MAX(ROW(E$1:E2503)*(E2=E$1:E2503))))))</f>
        <v/>
      </c>
      <c r="K2504" s="24" t="str">
        <f aca="false">IF(OR(E2504="",E2504="!!!",F2504="NEW"),"",INDEX(J$1:J2503,SUMPRODUCT(MAX(ROW(E$1:E2503)*(E2504=E$1:E2503)))))</f>
        <v/>
      </c>
      <c r="L2504" s="31"/>
    </row>
    <row r="2505" customFormat="false" ht="15" hidden="false" customHeight="false" outlineLevel="0" collapsed="false">
      <c r="A2505" s="20" t="s">
        <v>1950</v>
      </c>
      <c r="E2505" s="23" t="str">
        <f aca="false">IF(D2505="?OLD","!!!","")</f>
        <v/>
      </c>
      <c r="F2505" s="25" t="str">
        <f aca="false">IF(OR(E2505="",E2505="!!!"),"",IF(NOT(ISNA(VLOOKUP(E2505,E$1:E2504,1,FALSE()))),"OLD",IF(AND(E2505&lt;&gt;"",E2505&lt;&gt;"!!!"),"NEW","")))</f>
        <v/>
      </c>
      <c r="G2505" s="26" t="str">
        <f aca="false">IF(OR(E2505="",E2505="!!!"),"",IF(OR(J2505=0,AND(J2505=1,K2505=1),AND(J2505=1,I2505="SBJ"),AND(J2505=1,I2505=0)),"?IN_FOCUS",IF(J2505&lt;=2,"?ACTIVATED",IF(J2505&lt;&gt;"","?FAMILIAR",IF(F2505="NEW",IF(ISNA(VLOOKUP(E2505,#REF!,1,FALSE())),"?TYPE_IDENTIFIABLE","?REFERENTIAL"),"_")))))</f>
        <v/>
      </c>
      <c r="H2505" s="27" t="str">
        <f aca="false">IF(J2505&lt;&gt;1,"",IF(I2505="SBJ","CB","?"))</f>
        <v/>
      </c>
      <c r="I2505" s="24" t="str">
        <f aca="false">IF(OR(E2505="",E2505="!!!",F2505="NEW"),"",INDEX(B8:B$2498,-1+SUMPRODUCT(MAX(ROW(E8:E$2498)*(E2505=E8:E$2498)))))</f>
        <v/>
      </c>
      <c r="J2505" s="24" t="str">
        <f aca="true">IF(OR(E2505="",E2505="!!!",F2505="NEW"),"",COUNTBLANK(OFFSET(A$1,,,SUMPRODUCT(MAX(ROW(E$2:E2505)*(E2505=E$2:E2505)))))-COUNTBLANK(OFFSET(A$1,,,SUMPRODUCT(MAX(ROW(E$1:E2504)*(E2=E$1:E2504))))))</f>
        <v/>
      </c>
      <c r="K2505" s="24" t="str">
        <f aca="false">IF(OR(E2505="",E2505="!!!",F2505="NEW"),"",INDEX(J$1:J2504,SUMPRODUCT(MAX(ROW(E$1:E2504)*(E2505=E$1:E2504)))))</f>
        <v/>
      </c>
      <c r="L2505" s="31"/>
    </row>
    <row r="2506" customFormat="false" ht="15" hidden="false" customHeight="false" outlineLevel="0" collapsed="false">
      <c r="A2506" s="20" t="s">
        <v>1951</v>
      </c>
      <c r="E2506" s="23" t="str">
        <f aca="false">IF(D2506="?OLD","!!!","")</f>
        <v/>
      </c>
      <c r="F2506" s="25" t="str">
        <f aca="false">IF(OR(E2506="",E2506="!!!"),"",IF(NOT(ISNA(VLOOKUP(E2506,E$1:E2505,1,FALSE()))),"OLD",IF(AND(E2506&lt;&gt;"",E2506&lt;&gt;"!!!"),"NEW","")))</f>
        <v/>
      </c>
      <c r="G2506" s="26" t="str">
        <f aca="false">IF(OR(E2506="",E2506="!!!"),"",IF(OR(J2506=0,AND(J2506=1,K2506=1),AND(J2506=1,I2506="SBJ"),AND(J2506=1,I2506=0)),"?IN_FOCUS",IF(J2506&lt;=2,"?ACTIVATED",IF(J2506&lt;&gt;"","?FAMILIAR",IF(F2506="NEW",IF(ISNA(VLOOKUP(E2506,#REF!,1,FALSE())),"?TYPE_IDENTIFIABLE","?REFERENTIAL"),"_")))))</f>
        <v/>
      </c>
      <c r="H2506" s="27" t="str">
        <f aca="false">IF(J2506&lt;&gt;1,"",IF(I2506="SBJ","CB","?"))</f>
        <v/>
      </c>
      <c r="I2506" s="24" t="str">
        <f aca="false">IF(OR(E2506="",E2506="!!!",F2506="NEW"),"",INDEX(B9:B$2498,-1+SUMPRODUCT(MAX(ROW(E9:E$2498)*(E2506=E9:E$2498)))))</f>
        <v/>
      </c>
      <c r="J2506" s="24" t="str">
        <f aca="true">IF(OR(E2506="",E2506="!!!",F2506="NEW"),"",COUNTBLANK(OFFSET(A$1,,,SUMPRODUCT(MAX(ROW(E$2:E2506)*(E2506=E$2:E2506)))))-COUNTBLANK(OFFSET(A$1,,,SUMPRODUCT(MAX(ROW(E$1:E2505)*(E2=E$1:E2505))))))</f>
        <v/>
      </c>
      <c r="K2506" s="24" t="str">
        <f aca="false">IF(OR(E2506="",E2506="!!!",F2506="NEW"),"",INDEX(J$1:J2505,SUMPRODUCT(MAX(ROW(E$1:E2505)*(E2506=E$1:E2505)))))</f>
        <v/>
      </c>
      <c r="L2506" s="31"/>
    </row>
    <row r="2507" customFormat="false" ht="15" hidden="false" customHeight="false" outlineLevel="0" collapsed="false">
      <c r="A2507" s="20" t="s">
        <v>1952</v>
      </c>
      <c r="B2507" s="22" t="s">
        <v>1081</v>
      </c>
      <c r="C2507" s="22" t="s">
        <v>1059</v>
      </c>
      <c r="D2507" s="22" t="s">
        <v>1060</v>
      </c>
      <c r="E2507" s="23" t="str">
        <f aca="false">IF(D2507="?OLD","!!!","")</f>
        <v>!!!</v>
      </c>
      <c r="F2507" s="25" t="str">
        <f aca="false">IF(OR(E2507="",E2507="!!!"),"",IF(NOT(ISNA(VLOOKUP(E2507,E$1:E2506,1,FALSE()))),"OLD",IF(AND(E2507&lt;&gt;"",E2507&lt;&gt;"!!!"),"NEW","")))</f>
        <v/>
      </c>
      <c r="G2507" s="26" t="str">
        <f aca="false">IF(OR(E2507="",E2507="!!!"),"",IF(OR(J2507=0,AND(J2507=1,K2507=1),AND(J2507=1,I2507="SBJ"),AND(J2507=1,I2507=0)),"?IN_FOCUS",IF(J2507&lt;=2,"?ACTIVATED",IF(J2507&lt;&gt;"","?FAMILIAR",IF(F2507="NEW",IF(ISNA(VLOOKUP(E2507,#REF!,1,FALSE())),"?TYPE_IDENTIFIABLE","?REFERENTIAL"),"_")))))</f>
        <v/>
      </c>
      <c r="H2507" s="27" t="str">
        <f aca="false">IF(J2507&lt;&gt;1,"",IF(I2507="SBJ","CB","?"))</f>
        <v/>
      </c>
      <c r="I2507" s="24" t="str">
        <f aca="false">IF(OR(E2507="",E2507="!!!",F2507="NEW"),"",INDEX(B10:B$2498,-1+SUMPRODUCT(MAX(ROW(E10:E$2498)*(E2507=E10:E$2498)))))</f>
        <v/>
      </c>
      <c r="J2507" s="24" t="str">
        <f aca="true">IF(OR(E2507="",E2507="!!!",F2507="NEW"),"",COUNTBLANK(OFFSET(A$1,,,SUMPRODUCT(MAX(ROW(E$2:E2507)*(E2507=E$2:E2507)))))-COUNTBLANK(OFFSET(A$1,,,SUMPRODUCT(MAX(ROW(E$1:E2506)*(E2=E$1:E2506))))))</f>
        <v/>
      </c>
      <c r="K2507" s="24" t="str">
        <f aca="false">IF(OR(E2507="",E2507="!!!",F2507="NEW"),"",INDEX(J$1:J2506,SUMPRODUCT(MAX(ROW(E$1:E2506)*(E2507=E$1:E2506)))))</f>
        <v/>
      </c>
      <c r="L2507" s="31"/>
    </row>
    <row r="2508" customFormat="false" ht="15" hidden="false" customHeight="false" outlineLevel="0" collapsed="false">
      <c r="A2508" s="20" t="s">
        <v>1064</v>
      </c>
      <c r="E2508" s="23" t="str">
        <f aca="false">IF(D2508="?OLD","!!!","")</f>
        <v/>
      </c>
      <c r="F2508" s="25" t="str">
        <f aca="false">IF(OR(E2508="",E2508="!!!"),"",IF(NOT(ISNA(VLOOKUP(E2508,E$1:E2507,1,FALSE()))),"OLD",IF(AND(E2508&lt;&gt;"",E2508&lt;&gt;"!!!"),"NEW","")))</f>
        <v/>
      </c>
      <c r="G2508" s="26" t="str">
        <f aca="false">IF(OR(E2508="",E2508="!!!"),"",IF(OR(J2508=0,AND(J2508=1,K2508=1),AND(J2508=1,I2508="SBJ"),AND(J2508=1,I2508=0)),"?IN_FOCUS",IF(J2508&lt;=2,"?ACTIVATED",IF(J2508&lt;&gt;"","?FAMILIAR",IF(F2508="NEW",IF(ISNA(VLOOKUP(E2508,#REF!,1,FALSE())),"?TYPE_IDENTIFIABLE","?REFERENTIAL"),"_")))))</f>
        <v/>
      </c>
      <c r="H2508" s="27" t="str">
        <f aca="false">IF(J2508&lt;&gt;1,"",IF(I2508="SBJ","CB","?"))</f>
        <v/>
      </c>
      <c r="I2508" s="24" t="str">
        <f aca="false">IF(OR(E2508="",E2508="!!!",F2508="NEW"),"",INDEX(B11:B$2498,-1+SUMPRODUCT(MAX(ROW(E11:E$2498)*(E2508=E11:E$2498)))))</f>
        <v/>
      </c>
      <c r="J2508" s="24" t="str">
        <f aca="true">IF(OR(E2508="",E2508="!!!",F2508="NEW"),"",COUNTBLANK(OFFSET(A$1,,,SUMPRODUCT(MAX(ROW(E$2:E2508)*(E2508=E$2:E2508)))))-COUNTBLANK(OFFSET(A$1,,,SUMPRODUCT(MAX(ROW(E$1:E2507)*(E2=E$1:E2507))))))</f>
        <v/>
      </c>
      <c r="K2508" s="24" t="str">
        <f aca="false">IF(OR(E2508="",E2508="!!!",F2508="NEW"),"",INDEX(J$1:J2507,SUMPRODUCT(MAX(ROW(E$1:E2507)*(E2508=E$1:E2507)))))</f>
        <v/>
      </c>
      <c r="L2508" s="31"/>
    </row>
    <row r="2509" customFormat="false" ht="15" hidden="false" customHeight="false" outlineLevel="0" collapsed="false">
      <c r="A2509" s="20" t="s">
        <v>1097</v>
      </c>
      <c r="B2509" s="22" t="s">
        <v>1067</v>
      </c>
      <c r="C2509" s="22" t="s">
        <v>1099</v>
      </c>
      <c r="D2509" s="22" t="s">
        <v>1060</v>
      </c>
      <c r="E2509" s="23" t="str">
        <f aca="false">IF(D2509="?OLD","!!!","")</f>
        <v>!!!</v>
      </c>
      <c r="F2509" s="25" t="str">
        <f aca="false">IF(OR(E2509="",E2509="!!!"),"",IF(NOT(ISNA(VLOOKUP(E2509,E$1:E2508,1,FALSE()))),"OLD",IF(AND(E2509&lt;&gt;"",E2509&lt;&gt;"!!!"),"NEW","")))</f>
        <v/>
      </c>
      <c r="G2509" s="26" t="str">
        <f aca="false">IF(OR(E2509="",E2509="!!!"),"",IF(OR(J2509=0,AND(J2509=1,K2509=1),AND(J2509=1,I2509="SBJ"),AND(J2509=1,I2509=0)),"?IN_FOCUS",IF(J2509&lt;=2,"?ACTIVATED",IF(J2509&lt;&gt;"","?FAMILIAR",IF(F2509="NEW",IF(ISNA(VLOOKUP(E2509,#REF!,1,FALSE())),"?TYPE_IDENTIFIABLE","?REFERENTIAL"),"_")))))</f>
        <v/>
      </c>
      <c r="H2509" s="27" t="str">
        <f aca="false">IF(J2509&lt;&gt;1,"",IF(I2509="SBJ","CB","?"))</f>
        <v/>
      </c>
      <c r="I2509" s="24" t="str">
        <f aca="false">IF(OR(E2509="",E2509="!!!",F2509="NEW"),"",INDEX(B12:B$2498,-1+SUMPRODUCT(MAX(ROW(E12:E$2498)*(E2509=E12:E$2498)))))</f>
        <v/>
      </c>
      <c r="J2509" s="24" t="str">
        <f aca="true">IF(OR(E2509="",E2509="!!!",F2509="NEW"),"",COUNTBLANK(OFFSET(A$1,,,SUMPRODUCT(MAX(ROW(E$2:E2509)*(E2509=E$2:E2509)))))-COUNTBLANK(OFFSET(A$1,,,SUMPRODUCT(MAX(ROW(E$1:E2508)*(E2=E$1:E2508))))))</f>
        <v/>
      </c>
      <c r="K2509" s="24" t="str">
        <f aca="false">IF(OR(E2509="",E2509="!!!",F2509="NEW"),"",INDEX(J$1:J2508,SUMPRODUCT(MAX(ROW(E$1:E2508)*(E2509=E$1:E2508)))))</f>
        <v/>
      </c>
      <c r="L2509" s="31"/>
    </row>
    <row r="2510" customFormat="false" ht="15" hidden="false" customHeight="false" outlineLevel="0" collapsed="false">
      <c r="A2510" s="20" t="s">
        <v>1953</v>
      </c>
      <c r="B2510" s="22" t="s">
        <v>1073</v>
      </c>
      <c r="C2510" s="22" t="s">
        <v>1059</v>
      </c>
      <c r="D2510" s="22" t="s">
        <v>1060</v>
      </c>
      <c r="E2510" s="23" t="str">
        <f aca="false">IF(D2510="?OLD","!!!","")</f>
        <v>!!!</v>
      </c>
      <c r="F2510" s="25" t="str">
        <f aca="false">IF(OR(E2510="",E2510="!!!"),"",IF(NOT(ISNA(VLOOKUP(E2510,E$1:E2509,1,FALSE()))),"OLD",IF(AND(E2510&lt;&gt;"",E2510&lt;&gt;"!!!"),"NEW","")))</f>
        <v/>
      </c>
      <c r="G2510" s="26" t="str">
        <f aca="false">IF(OR(E2510="",E2510="!!!"),"",IF(OR(J2510=0,AND(J2510=1,K2510=1),AND(J2510=1,I2510="SBJ"),AND(J2510=1,I2510=0)),"?IN_FOCUS",IF(J2510&lt;=2,"?ACTIVATED",IF(J2510&lt;&gt;"","?FAMILIAR",IF(F2510="NEW",IF(ISNA(VLOOKUP(E2510,#REF!,1,FALSE())),"?TYPE_IDENTIFIABLE","?REFERENTIAL"),"_")))))</f>
        <v/>
      </c>
      <c r="H2510" s="27" t="str">
        <f aca="false">IF(J2510&lt;&gt;1,"",IF(I2510="SBJ","CB","?"))</f>
        <v/>
      </c>
      <c r="I2510" s="24" t="str">
        <f aca="false">IF(OR(E2510="",E2510="!!!",F2510="NEW"),"",INDEX(B13:B$2498,-1+SUMPRODUCT(MAX(ROW(E13:E$2498)*(E2510=E13:E$2498)))))</f>
        <v/>
      </c>
      <c r="J2510" s="24" t="str">
        <f aca="true">IF(OR(E2510="",E2510="!!!",F2510="NEW"),"",COUNTBLANK(OFFSET(A$1,,,SUMPRODUCT(MAX(ROW(E$2:E2510)*(E2510=E$2:E2510)))))-COUNTBLANK(OFFSET(A$1,,,SUMPRODUCT(MAX(ROW(E$1:E2509)*(E2=E$1:E2509))))))</f>
        <v/>
      </c>
      <c r="K2510" s="24" t="str">
        <f aca="false">IF(OR(E2510="",E2510="!!!",F2510="NEW"),"",INDEX(J$1:J2509,SUMPRODUCT(MAX(ROW(E$1:E2509)*(E2510=E$1:E2509)))))</f>
        <v/>
      </c>
      <c r="L2510" s="31"/>
    </row>
    <row r="2511" customFormat="false" ht="15" hidden="false" customHeight="false" outlineLevel="0" collapsed="false">
      <c r="A2511" s="20" t="s">
        <v>1410</v>
      </c>
      <c r="E2511" s="23" t="str">
        <f aca="false">IF(D2511="?OLD","!!!","")</f>
        <v/>
      </c>
      <c r="F2511" s="25" t="str">
        <f aca="false">IF(OR(E2511="",E2511="!!!"),"",IF(NOT(ISNA(VLOOKUP(E2511,E$1:E2510,1,FALSE()))),"OLD",IF(AND(E2511&lt;&gt;"",E2511&lt;&gt;"!!!"),"NEW","")))</f>
        <v/>
      </c>
      <c r="G2511" s="26" t="str">
        <f aca="false">IF(OR(E2511="",E2511="!!!"),"",IF(OR(J2511=0,AND(J2511=1,K2511=1),AND(J2511=1,I2511="SBJ"),AND(J2511=1,I2511=0)),"?IN_FOCUS",IF(J2511&lt;=2,"?ACTIVATED",IF(J2511&lt;&gt;"","?FAMILIAR",IF(F2511="NEW",IF(ISNA(VLOOKUP(E2511,#REF!,1,FALSE())),"?TYPE_IDENTIFIABLE","?REFERENTIAL"),"_")))))</f>
        <v/>
      </c>
      <c r="H2511" s="27" t="str">
        <f aca="false">IF(J2511&lt;&gt;1,"",IF(I2511="SBJ","CB","?"))</f>
        <v/>
      </c>
      <c r="I2511" s="24" t="str">
        <f aca="false">IF(OR(E2511="",E2511="!!!",F2511="NEW"),"",INDEX(B14:B$2498,-1+SUMPRODUCT(MAX(ROW(E14:E$2498)*(E2511=E14:E$2498)))))</f>
        <v/>
      </c>
      <c r="J2511" s="24" t="str">
        <f aca="true">IF(OR(E2511="",E2511="!!!",F2511="NEW"),"",COUNTBLANK(OFFSET(A$1,,,SUMPRODUCT(MAX(ROW(E$2:E2511)*(E2511=E$2:E2511)))))-COUNTBLANK(OFFSET(A$1,,,SUMPRODUCT(MAX(ROW(E$1:E2510)*(E2=E$1:E2510))))))</f>
        <v/>
      </c>
      <c r="K2511" s="24" t="str">
        <f aca="false">IF(OR(E2511="",E2511="!!!",F2511="NEW"),"",INDEX(J$1:J2510,SUMPRODUCT(MAX(ROW(E$1:E2510)*(E2511=E$1:E2510)))))</f>
        <v/>
      </c>
      <c r="L2511" s="31"/>
    </row>
    <row r="2512" customFormat="false" ht="15" hidden="false" customHeight="false" outlineLevel="0" collapsed="false">
      <c r="A2512" s="20" t="s">
        <v>1109</v>
      </c>
      <c r="E2512" s="23" t="str">
        <f aca="false">IF(D2512="?OLD","!!!","")</f>
        <v/>
      </c>
      <c r="F2512" s="25" t="str">
        <f aca="false">IF(OR(E2512="",E2512="!!!"),"",IF(NOT(ISNA(VLOOKUP(E2512,E$1:E2511,1,FALSE()))),"OLD",IF(AND(E2512&lt;&gt;"",E2512&lt;&gt;"!!!"),"NEW","")))</f>
        <v/>
      </c>
      <c r="G2512" s="26" t="str">
        <f aca="false">IF(OR(E2512="",E2512="!!!"),"",IF(OR(J2512=0,AND(J2512=1,K2512=1),AND(J2512=1,I2512="SBJ"),AND(J2512=1,I2512=0)),"?IN_FOCUS",IF(J2512&lt;=2,"?ACTIVATED",IF(J2512&lt;&gt;"","?FAMILIAR",IF(F2512="NEW",IF(ISNA(VLOOKUP(E2512,#REF!,1,FALSE())),"?TYPE_IDENTIFIABLE","?REFERENTIAL"),"_")))))</f>
        <v/>
      </c>
      <c r="H2512" s="27" t="str">
        <f aca="false">IF(J2512&lt;&gt;1,"",IF(I2512="SBJ","CB","?"))</f>
        <v/>
      </c>
      <c r="I2512" s="24" t="str">
        <f aca="false">IF(OR(E2512="",E2512="!!!",F2512="NEW"),"",INDEX(B15:B$2498,-1+SUMPRODUCT(MAX(ROW(E15:E$2498)*(E2512=E15:E$2498)))))</f>
        <v/>
      </c>
      <c r="J2512" s="24" t="str">
        <f aca="true">IF(OR(E2512="",E2512="!!!",F2512="NEW"),"",COUNTBLANK(OFFSET(A$1,,,SUMPRODUCT(MAX(ROW(E$2:E2512)*(E2512=E$2:E2512)))))-COUNTBLANK(OFFSET(A$1,,,SUMPRODUCT(MAX(ROW(E$1:E2511)*(E2=E$1:E2511))))))</f>
        <v/>
      </c>
      <c r="K2512" s="24" t="str">
        <f aca="false">IF(OR(E2512="",E2512="!!!",F2512="NEW"),"",INDEX(J$1:J2511,SUMPRODUCT(MAX(ROW(E$1:E2511)*(E2512=E$1:E2511)))))</f>
        <v/>
      </c>
      <c r="L2512" s="31"/>
    </row>
    <row r="2513" customFormat="false" ht="15" hidden="false" customHeight="false" outlineLevel="0" collapsed="false">
      <c r="A2513" s="20" t="s">
        <v>1890</v>
      </c>
      <c r="B2513" s="22" t="s">
        <v>1073</v>
      </c>
      <c r="C2513" s="22" t="s">
        <v>1150</v>
      </c>
      <c r="D2513" s="22" t="s">
        <v>1060</v>
      </c>
      <c r="E2513" s="23" t="str">
        <f aca="false">IF(D2513="?OLD","!!!","")</f>
        <v>!!!</v>
      </c>
      <c r="F2513" s="25" t="str">
        <f aca="false">IF(OR(E2513="",E2513="!!!"),"",IF(NOT(ISNA(VLOOKUP(E2513,E$1:E2512,1,FALSE()))),"OLD",IF(AND(E2513&lt;&gt;"",E2513&lt;&gt;"!!!"),"NEW","")))</f>
        <v/>
      </c>
      <c r="G2513" s="26" t="str">
        <f aca="false">IF(OR(E2513="",E2513="!!!"),"",IF(OR(J2513=0,AND(J2513=1,K2513=1),AND(J2513=1,I2513="SBJ"),AND(J2513=1,I2513=0)),"?IN_FOCUS",IF(J2513&lt;=2,"?ACTIVATED",IF(J2513&lt;&gt;"","?FAMILIAR",IF(F2513="NEW",IF(ISNA(VLOOKUP(E2513,#REF!,1,FALSE())),"?TYPE_IDENTIFIABLE","?REFERENTIAL"),"_")))))</f>
        <v/>
      </c>
      <c r="H2513" s="27" t="str">
        <f aca="false">IF(J2513&lt;&gt;1,"",IF(I2513="SBJ","CB","?"))</f>
        <v/>
      </c>
      <c r="I2513" s="24" t="str">
        <f aca="false">IF(OR(E2513="",E2513="!!!",F2513="NEW"),"",INDEX(B16:B$2498,-1+SUMPRODUCT(MAX(ROW(E16:E$2498)*(E2513=E16:E$2498)))))</f>
        <v/>
      </c>
      <c r="J2513" s="24" t="str">
        <f aca="true">IF(OR(E2513="",E2513="!!!",F2513="NEW"),"",COUNTBLANK(OFFSET(A$1,,,SUMPRODUCT(MAX(ROW(E$2:E2513)*(E2513=E$2:E2513)))))-COUNTBLANK(OFFSET(A$1,,,SUMPRODUCT(MAX(ROW(E$1:E2512)*(E2=E$1:E2512))))))</f>
        <v/>
      </c>
      <c r="K2513" s="24" t="str">
        <f aca="false">IF(OR(E2513="",E2513="!!!",F2513="NEW"),"",INDEX(J$1:J2512,SUMPRODUCT(MAX(ROW(E$1:E2512)*(E2513=E$1:E2512)))))</f>
        <v/>
      </c>
      <c r="L2513" s="31"/>
    </row>
    <row r="2514" customFormat="false" ht="15" hidden="false" customHeight="false" outlineLevel="0" collapsed="false">
      <c r="A2514" s="20" t="s">
        <v>1071</v>
      </c>
      <c r="E2514" s="23" t="str">
        <f aca="false">IF(D2514="?OLD","!!!","")</f>
        <v/>
      </c>
      <c r="F2514" s="25" t="str">
        <f aca="false">IF(OR(E2514="",E2514="!!!"),"",IF(NOT(ISNA(VLOOKUP(E2514,E$1:E2513,1,FALSE()))),"OLD",IF(AND(E2514&lt;&gt;"",E2514&lt;&gt;"!!!"),"NEW","")))</f>
        <v/>
      </c>
      <c r="G2514" s="26" t="str">
        <f aca="false">IF(OR(E2514="",E2514="!!!"),"",IF(OR(J2514=0,AND(J2514=1,K2514=1),AND(J2514=1,I2514="SBJ"),AND(J2514=1,I2514=0)),"?IN_FOCUS",IF(J2514&lt;=2,"?ACTIVATED",IF(J2514&lt;&gt;"","?FAMILIAR",IF(F2514="NEW",IF(ISNA(VLOOKUP(E2514,#REF!,1,FALSE())),"?TYPE_IDENTIFIABLE","?REFERENTIAL"),"_")))))</f>
        <v/>
      </c>
      <c r="H2514" s="27" t="str">
        <f aca="false">IF(J2514&lt;&gt;1,"",IF(I2514="SBJ","CB","?"))</f>
        <v/>
      </c>
      <c r="I2514" s="24" t="str">
        <f aca="false">IF(OR(E2514="",E2514="!!!",F2514="NEW"),"",INDEX(B17:B$2498,-1+SUMPRODUCT(MAX(ROW(E17:E$2498)*(E2514=E17:E$2498)))))</f>
        <v/>
      </c>
      <c r="J2514" s="24" t="str">
        <f aca="true">IF(OR(E2514="",E2514="!!!",F2514="NEW"),"",COUNTBLANK(OFFSET(A$1,,,SUMPRODUCT(MAX(ROW(E$2:E2514)*(E2514=E$2:E2514)))))-COUNTBLANK(OFFSET(A$1,,,SUMPRODUCT(MAX(ROW(E$1:E2513)*(E2=E$1:E2513))))))</f>
        <v/>
      </c>
      <c r="K2514" s="24" t="str">
        <f aca="false">IF(OR(E2514="",E2514="!!!",F2514="NEW"),"",INDEX(J$1:J2513,SUMPRODUCT(MAX(ROW(E$1:E2513)*(E2514=E$1:E2513)))))</f>
        <v/>
      </c>
      <c r="L2514" s="31"/>
    </row>
    <row r="2515" customFormat="false" ht="15" hidden="false" customHeight="false" outlineLevel="0" collapsed="false">
      <c r="A2515" s="20" t="s">
        <v>1954</v>
      </c>
      <c r="B2515" s="22" t="s">
        <v>1105</v>
      </c>
      <c r="C2515" s="22" t="s">
        <v>1059</v>
      </c>
      <c r="D2515" s="22" t="s">
        <v>1060</v>
      </c>
      <c r="E2515" s="23" t="str">
        <f aca="false">IF(D2515="?OLD","!!!","")</f>
        <v>!!!</v>
      </c>
      <c r="F2515" s="25" t="str">
        <f aca="false">IF(OR(E2515="",E2515="!!!"),"",IF(NOT(ISNA(VLOOKUP(E2515,E$1:E2514,1,FALSE()))),"OLD",IF(AND(E2515&lt;&gt;"",E2515&lt;&gt;"!!!"),"NEW","")))</f>
        <v/>
      </c>
      <c r="G2515" s="26" t="str">
        <f aca="false">IF(OR(E2515="",E2515="!!!"),"",IF(OR(J2515=0,AND(J2515=1,K2515=1),AND(J2515=1,I2515="SBJ"),AND(J2515=1,I2515=0)),"?IN_FOCUS",IF(J2515&lt;=2,"?ACTIVATED",IF(J2515&lt;&gt;"","?FAMILIAR",IF(F2515="NEW",IF(ISNA(VLOOKUP(E2515,#REF!,1,FALSE())),"?TYPE_IDENTIFIABLE","?REFERENTIAL"),"_")))))</f>
        <v/>
      </c>
      <c r="H2515" s="27" t="str">
        <f aca="false">IF(J2515&lt;&gt;1,"",IF(I2515="SBJ","CB","?"))</f>
        <v/>
      </c>
      <c r="I2515" s="24" t="str">
        <f aca="false">IF(OR(E2515="",E2515="!!!",F2515="NEW"),"",INDEX(B18:B$2498,-1+SUMPRODUCT(MAX(ROW(E18:E$2498)*(E2515=E18:E$2498)))))</f>
        <v/>
      </c>
      <c r="J2515" s="24" t="str">
        <f aca="true">IF(OR(E2515="",E2515="!!!",F2515="NEW"),"",COUNTBLANK(OFFSET(A$1,,,SUMPRODUCT(MAX(ROW(E$2:E2515)*(E2515=E$2:E2515)))))-COUNTBLANK(OFFSET(A$1,,,SUMPRODUCT(MAX(ROW(E$1:E2514)*(E2=E$1:E2514))))))</f>
        <v/>
      </c>
      <c r="K2515" s="24" t="str">
        <f aca="false">IF(OR(E2515="",E2515="!!!",F2515="NEW"),"",INDEX(J$1:J2514,SUMPRODUCT(MAX(ROW(E$1:E2514)*(E2515=E$1:E2514)))))</f>
        <v/>
      </c>
      <c r="L2515" s="31"/>
    </row>
    <row r="2516" customFormat="false" ht="15" hidden="false" customHeight="false" outlineLevel="0" collapsed="false">
      <c r="A2516" s="20" t="s">
        <v>923</v>
      </c>
      <c r="E2516" s="23" t="str">
        <f aca="false">IF(D2516="?OLD","!!!","")</f>
        <v/>
      </c>
      <c r="F2516" s="25" t="str">
        <f aca="false">IF(OR(E2516="",E2516="!!!"),"",IF(NOT(ISNA(VLOOKUP(E2516,E$1:E2515,1,FALSE()))),"OLD",IF(AND(E2516&lt;&gt;"",E2516&lt;&gt;"!!!"),"NEW","")))</f>
        <v/>
      </c>
      <c r="G2516" s="26" t="str">
        <f aca="false">IF(OR(E2516="",E2516="!!!"),"",IF(OR(J2516=0,AND(J2516=1,K2516=1),AND(J2516=1,I2516="SBJ"),AND(J2516=1,I2516=0)),"?IN_FOCUS",IF(J2516&lt;=2,"?ACTIVATED",IF(J2516&lt;&gt;"","?FAMILIAR",IF(F2516="NEW",IF(ISNA(VLOOKUP(E2516,#REF!,1,FALSE())),"?TYPE_IDENTIFIABLE","?REFERENTIAL"),"_")))))</f>
        <v/>
      </c>
      <c r="H2516" s="27" t="str">
        <f aca="false">IF(J2516&lt;&gt;1,"",IF(I2516="SBJ","CB","?"))</f>
        <v/>
      </c>
      <c r="I2516" s="24" t="str">
        <f aca="false">IF(OR(E2516="",E2516="!!!",F2516="NEW"),"",INDEX(B19:B$2498,-1+SUMPRODUCT(MAX(ROW(E19:E$2498)*(E2516=E19:E$2498)))))</f>
        <v/>
      </c>
      <c r="J2516" s="24" t="str">
        <f aca="true">IF(OR(E2516="",E2516="!!!",F2516="NEW"),"",COUNTBLANK(OFFSET(A$1,,,SUMPRODUCT(MAX(ROW(E$2:E2516)*(E2516=E$2:E2516)))))-COUNTBLANK(OFFSET(A$1,,,SUMPRODUCT(MAX(ROW(E$1:E2515)*(E2=E$1:E2515))))))</f>
        <v/>
      </c>
      <c r="K2516" s="24" t="str">
        <f aca="false">IF(OR(E2516="",E2516="!!!",F2516="NEW"),"",INDEX(J$1:J2515,SUMPRODUCT(MAX(ROW(E$1:E2515)*(E2516=E$1:E2515)))))</f>
        <v/>
      </c>
      <c r="L2516" s="31"/>
    </row>
    <row r="2517" customFormat="false" ht="15" hidden="false" customHeight="false" outlineLevel="0" collapsed="false">
      <c r="A2517" s="20"/>
    </row>
    <row r="2518" customFormat="false" ht="15" hidden="false" customHeight="false" outlineLevel="0" collapsed="false">
      <c r="A2518" s="20" t="s">
        <v>1955</v>
      </c>
    </row>
    <row r="2519" customFormat="false" ht="15" hidden="false" customHeight="false" outlineLevel="0" collapsed="false">
      <c r="A2519" s="20" t="s">
        <v>1888</v>
      </c>
      <c r="E2519" s="23" t="str">
        <f aca="false">IF(D2519="?OLD","!!!","")</f>
        <v/>
      </c>
      <c r="F2519" s="25" t="str">
        <f aca="false">IF(OR(E2519="",E2519="!!!"),"",IF(NOT(ISNA(VLOOKUP(E2519,E$1:E2518,1,FALSE()))),"OLD",IF(AND(E2519&lt;&gt;"",E2519&lt;&gt;"!!!"),"NEW","")))</f>
        <v/>
      </c>
      <c r="G2519" s="26" t="str">
        <f aca="false">IF(OR(E2519="",E2519="!!!"),"",IF(OR(J2519=0,AND(J2519=1,K2519=1),AND(J2519=1,I2519="SBJ"),AND(J2519=1,I2519=0)),"?IN_FOCUS",IF(J2519&lt;=2,"?ACTIVATED",IF(J2519&lt;&gt;"","?FAMILIAR",IF(F2519="NEW",IF(ISNA(VLOOKUP(E2519,#REF!,1,FALSE())),"?TYPE_IDENTIFIABLE","?REFERENTIAL"),"_")))))</f>
        <v/>
      </c>
      <c r="H2519" s="27" t="str">
        <f aca="false">IF(J2519&lt;&gt;1,"",IF(I2519="SBJ","CB","?"))</f>
        <v/>
      </c>
      <c r="I2519" s="24" t="str">
        <f aca="false">IF(OR(E2519="",E2519="!!!",F2519="NEW"),"",INDEX(B2:B$2518,-1+SUMPRODUCT(MAX(ROW(E2:E$2518)*(E2519=E2:E$2518)))))</f>
        <v/>
      </c>
      <c r="J2519" s="24" t="str">
        <f aca="true">IF(OR(E2519="",E2519="!!!",F2519="NEW"),"",COUNTBLANK(OFFSET(A$1,,,SUMPRODUCT(MAX(ROW(E$2:E2519)*(E2519=E$2:E2519)))))-COUNTBLANK(OFFSET(A$1,,,SUMPRODUCT(MAX(ROW(E$1:E2518)*(E2=E$1:E2518))))))</f>
        <v/>
      </c>
      <c r="K2519" s="24" t="str">
        <f aca="false">IF(OR(E2519="",E2519="!!!",F2519="NEW"),"",INDEX(J$1:J2518,SUMPRODUCT(MAX(ROW(E$1:E2518)*(E2519=E$1:E2518)))))</f>
        <v/>
      </c>
      <c r="L2519" s="31"/>
    </row>
    <row r="2520" customFormat="false" ht="15" hidden="false" customHeight="false" outlineLevel="0" collapsed="false">
      <c r="A2520" s="20" t="s">
        <v>1085</v>
      </c>
      <c r="E2520" s="23" t="str">
        <f aca="false">IF(D2520="?OLD","!!!","")</f>
        <v/>
      </c>
      <c r="F2520" s="25" t="str">
        <f aca="false">IF(OR(E2520="",E2520="!!!"),"",IF(NOT(ISNA(VLOOKUP(E2520,E$1:E2519,1,FALSE()))),"OLD",IF(AND(E2520&lt;&gt;"",E2520&lt;&gt;"!!!"),"NEW","")))</f>
        <v/>
      </c>
      <c r="G2520" s="26" t="str">
        <f aca="false">IF(OR(E2520="",E2520="!!!"),"",IF(OR(J2520=0,AND(J2520=1,K2520=1),AND(J2520=1,I2520="SBJ"),AND(J2520=1,I2520=0)),"?IN_FOCUS",IF(J2520&lt;=2,"?ACTIVATED",IF(J2520&lt;&gt;"","?FAMILIAR",IF(F2520="NEW",IF(ISNA(VLOOKUP(E2520,#REF!,1,FALSE())),"?TYPE_IDENTIFIABLE","?REFERENTIAL"),"_")))))</f>
        <v/>
      </c>
      <c r="H2520" s="27" t="str">
        <f aca="false">IF(J2520&lt;&gt;1,"",IF(I2520="SBJ","CB","?"))</f>
        <v/>
      </c>
      <c r="I2520" s="24" t="str">
        <f aca="false">IF(OR(E2520="",E2520="!!!",F2520="NEW"),"",INDEX(B3:B$2518,-1+SUMPRODUCT(MAX(ROW(E3:E$2518)*(E2520=E3:E$2518)))))</f>
        <v/>
      </c>
      <c r="J2520" s="24" t="str">
        <f aca="true">IF(OR(E2520="",E2520="!!!",F2520="NEW"),"",COUNTBLANK(OFFSET(A$1,,,SUMPRODUCT(MAX(ROW(E$2:E2520)*(E2520=E$2:E2520)))))-COUNTBLANK(OFFSET(A$1,,,SUMPRODUCT(MAX(ROW(E$1:E2519)*(E2=E$1:E2519))))))</f>
        <v/>
      </c>
      <c r="K2520" s="24" t="str">
        <f aca="false">IF(OR(E2520="",E2520="!!!",F2520="NEW"),"",INDEX(J$1:J2519,SUMPRODUCT(MAX(ROW(E$1:E2519)*(E2520=E$1:E2519)))))</f>
        <v/>
      </c>
      <c r="L2520" s="31"/>
    </row>
    <row r="2521" customFormat="false" ht="15" hidden="false" customHeight="false" outlineLevel="0" collapsed="false">
      <c r="A2521" s="20" t="s">
        <v>1185</v>
      </c>
      <c r="E2521" s="23" t="str">
        <f aca="false">IF(D2521="?OLD","!!!","")</f>
        <v/>
      </c>
      <c r="F2521" s="25" t="str">
        <f aca="false">IF(OR(E2521="",E2521="!!!"),"",IF(NOT(ISNA(VLOOKUP(E2521,E$1:E2520,1,FALSE()))),"OLD",IF(AND(E2521&lt;&gt;"",E2521&lt;&gt;"!!!"),"NEW","")))</f>
        <v/>
      </c>
      <c r="G2521" s="26" t="str">
        <f aca="false">IF(OR(E2521="",E2521="!!!"),"",IF(OR(J2521=0,AND(J2521=1,K2521=1),AND(J2521=1,I2521="SBJ"),AND(J2521=1,I2521=0)),"?IN_FOCUS",IF(J2521&lt;=2,"?ACTIVATED",IF(J2521&lt;&gt;"","?FAMILIAR",IF(F2521="NEW",IF(ISNA(VLOOKUP(E2521,#REF!,1,FALSE())),"?TYPE_IDENTIFIABLE","?REFERENTIAL"),"_")))))</f>
        <v/>
      </c>
      <c r="H2521" s="27" t="str">
        <f aca="false">IF(J2521&lt;&gt;1,"",IF(I2521="SBJ","CB","?"))</f>
        <v/>
      </c>
      <c r="I2521" s="24" t="str">
        <f aca="false">IF(OR(E2521="",E2521="!!!",F2521="NEW"),"",INDEX(B4:B$2518,-1+SUMPRODUCT(MAX(ROW(E4:E$2518)*(E2521=E4:E$2518)))))</f>
        <v/>
      </c>
      <c r="J2521" s="24" t="str">
        <f aca="true">IF(OR(E2521="",E2521="!!!",F2521="NEW"),"",COUNTBLANK(OFFSET(A$1,,,SUMPRODUCT(MAX(ROW(E$2:E2521)*(E2521=E$2:E2521)))))-COUNTBLANK(OFFSET(A$1,,,SUMPRODUCT(MAX(ROW(E$1:E2520)*(E2=E$1:E2520))))))</f>
        <v/>
      </c>
      <c r="K2521" s="24" t="str">
        <f aca="false">IF(OR(E2521="",E2521="!!!",F2521="NEW"),"",INDEX(J$1:J2520,SUMPRODUCT(MAX(ROW(E$1:E2520)*(E2521=E$1:E2520)))))</f>
        <v/>
      </c>
      <c r="L2521" s="31"/>
    </row>
    <row r="2522" customFormat="false" ht="15" hidden="false" customHeight="false" outlineLevel="0" collapsed="false">
      <c r="A2522" s="20" t="s">
        <v>1903</v>
      </c>
      <c r="B2522" s="22" t="s">
        <v>1105</v>
      </c>
      <c r="C2522" s="22" t="s">
        <v>1087</v>
      </c>
      <c r="E2522" s="23" t="str">
        <f aca="false">IF(D2522="?OLD","!!!","")</f>
        <v/>
      </c>
      <c r="F2522" s="25" t="str">
        <f aca="false">IF(OR(E2522="",E2522="!!!"),"",IF(NOT(ISNA(VLOOKUP(E2522,E$1:E2521,1,FALSE()))),"OLD",IF(AND(E2522&lt;&gt;"",E2522&lt;&gt;"!!!"),"NEW","")))</f>
        <v/>
      </c>
      <c r="G2522" s="26" t="str">
        <f aca="false">IF(OR(E2522="",E2522="!!!"),"",IF(OR(J2522=0,AND(J2522=1,K2522=1),AND(J2522=1,I2522="SBJ"),AND(J2522=1,I2522=0)),"?IN_FOCUS",IF(J2522&lt;=2,"?ACTIVATED",IF(J2522&lt;&gt;"","?FAMILIAR",IF(F2522="NEW",IF(ISNA(VLOOKUP(E2522,#REF!,1,FALSE())),"?TYPE_IDENTIFIABLE","?REFERENTIAL"),"_")))))</f>
        <v/>
      </c>
      <c r="H2522" s="27" t="str">
        <f aca="false">IF(J2522&lt;&gt;1,"",IF(I2522="SBJ","CB","?"))</f>
        <v/>
      </c>
      <c r="I2522" s="24" t="str">
        <f aca="false">IF(OR(E2522="",E2522="!!!",F2522="NEW"),"",INDEX(B5:B$2518,-1+SUMPRODUCT(MAX(ROW(E5:E$2518)*(E2522=E5:E$2518)))))</f>
        <v/>
      </c>
      <c r="J2522" s="24" t="str">
        <f aca="true">IF(OR(E2522="",E2522="!!!",F2522="NEW"),"",COUNTBLANK(OFFSET(A$1,,,SUMPRODUCT(MAX(ROW(E$2:E2522)*(E2522=E$2:E2522)))))-COUNTBLANK(OFFSET(A$1,,,SUMPRODUCT(MAX(ROW(E$1:E2521)*(E2=E$1:E2521))))))</f>
        <v/>
      </c>
      <c r="K2522" s="24" t="str">
        <f aca="false">IF(OR(E2522="",E2522="!!!",F2522="NEW"),"",INDEX(J$1:J2521,SUMPRODUCT(MAX(ROW(E$1:E2521)*(E2522=E$1:E2521)))))</f>
        <v/>
      </c>
      <c r="L2522" s="31"/>
    </row>
    <row r="2523" customFormat="false" ht="15" hidden="false" customHeight="false" outlineLevel="0" collapsed="false">
      <c r="A2523" s="20" t="s">
        <v>1064</v>
      </c>
      <c r="E2523" s="23" t="str">
        <f aca="false">IF(D2523="?OLD","!!!","")</f>
        <v/>
      </c>
      <c r="F2523" s="25" t="str">
        <f aca="false">IF(OR(E2523="",E2523="!!!"),"",IF(NOT(ISNA(VLOOKUP(E2523,E$1:E2522,1,FALSE()))),"OLD",IF(AND(E2523&lt;&gt;"",E2523&lt;&gt;"!!!"),"NEW","")))</f>
        <v/>
      </c>
      <c r="G2523" s="26" t="str">
        <f aca="false">IF(OR(E2523="",E2523="!!!"),"",IF(OR(J2523=0,AND(J2523=1,K2523=1),AND(J2523=1,I2523="SBJ"),AND(J2523=1,I2523=0)),"?IN_FOCUS",IF(J2523&lt;=2,"?ACTIVATED",IF(J2523&lt;&gt;"","?FAMILIAR",IF(F2523="NEW",IF(ISNA(VLOOKUP(E2523,#REF!,1,FALSE())),"?TYPE_IDENTIFIABLE","?REFERENTIAL"),"_")))))</f>
        <v/>
      </c>
      <c r="H2523" s="27" t="str">
        <f aca="false">IF(J2523&lt;&gt;1,"",IF(I2523="SBJ","CB","?"))</f>
        <v/>
      </c>
      <c r="I2523" s="24" t="str">
        <f aca="false">IF(OR(E2523="",E2523="!!!",F2523="NEW"),"",INDEX(B6:B$2518,-1+SUMPRODUCT(MAX(ROW(E6:E$2518)*(E2523=E6:E$2518)))))</f>
        <v/>
      </c>
      <c r="J2523" s="24" t="str">
        <f aca="true">IF(OR(E2523="",E2523="!!!",F2523="NEW"),"",COUNTBLANK(OFFSET(A$1,,,SUMPRODUCT(MAX(ROW(E$2:E2523)*(E2523=E$2:E2523)))))-COUNTBLANK(OFFSET(A$1,,,SUMPRODUCT(MAX(ROW(E$1:E2522)*(E2=E$1:E2522))))))</f>
        <v/>
      </c>
      <c r="K2523" s="24" t="str">
        <f aca="false">IF(OR(E2523="",E2523="!!!",F2523="NEW"),"",INDEX(J$1:J2522,SUMPRODUCT(MAX(ROW(E$1:E2522)*(E2523=E$1:E2522)))))</f>
        <v/>
      </c>
      <c r="L2523" s="31"/>
    </row>
    <row r="2524" customFormat="false" ht="15" hidden="false" customHeight="false" outlineLevel="0" collapsed="false">
      <c r="A2524" s="20" t="s">
        <v>1956</v>
      </c>
      <c r="B2524" s="22" t="s">
        <v>1073</v>
      </c>
      <c r="C2524" s="22" t="s">
        <v>1160</v>
      </c>
      <c r="E2524" s="23" t="str">
        <f aca="false">IF(D2524="?OLD","!!!","")</f>
        <v/>
      </c>
      <c r="F2524" s="25" t="str">
        <f aca="false">IF(OR(E2524="",E2524="!!!"),"",IF(NOT(ISNA(VLOOKUP(E2524,E$1:E2523,1,FALSE()))),"OLD",IF(AND(E2524&lt;&gt;"",E2524&lt;&gt;"!!!"),"NEW","")))</f>
        <v/>
      </c>
      <c r="G2524" s="26" t="str">
        <f aca="false">IF(OR(E2524="",E2524="!!!"),"",IF(OR(J2524=0,AND(J2524=1,K2524=1),AND(J2524=1,I2524="SBJ"),AND(J2524=1,I2524=0)),"?IN_FOCUS",IF(J2524&lt;=2,"?ACTIVATED",IF(J2524&lt;&gt;"","?FAMILIAR",IF(F2524="NEW",IF(ISNA(VLOOKUP(E2524,#REF!,1,FALSE())),"?TYPE_IDENTIFIABLE","?REFERENTIAL"),"_")))))</f>
        <v/>
      </c>
      <c r="H2524" s="27" t="str">
        <f aca="false">IF(J2524&lt;&gt;1,"",IF(I2524="SBJ","CB","?"))</f>
        <v/>
      </c>
      <c r="I2524" s="24" t="str">
        <f aca="false">IF(OR(E2524="",E2524="!!!",F2524="NEW"),"",INDEX(B7:B$2518,-1+SUMPRODUCT(MAX(ROW(E7:E$2518)*(E2524=E7:E$2518)))))</f>
        <v/>
      </c>
      <c r="J2524" s="24" t="str">
        <f aca="true">IF(OR(E2524="",E2524="!!!",F2524="NEW"),"",COUNTBLANK(OFFSET(A$1,,,SUMPRODUCT(MAX(ROW(E$2:E2524)*(E2524=E$2:E2524)))))-COUNTBLANK(OFFSET(A$1,,,SUMPRODUCT(MAX(ROW(E$1:E2523)*(E2=E$1:E2523))))))</f>
        <v/>
      </c>
      <c r="K2524" s="24" t="str">
        <f aca="false">IF(OR(E2524="",E2524="!!!",F2524="NEW"),"",INDEX(J$1:J2523,SUMPRODUCT(MAX(ROW(E$1:E2523)*(E2524=E$1:E2523)))))</f>
        <v/>
      </c>
      <c r="L2524" s="31"/>
    </row>
    <row r="2525" customFormat="false" ht="15" hidden="false" customHeight="false" outlineLevel="0" collapsed="false">
      <c r="A2525" s="20" t="s">
        <v>1128</v>
      </c>
      <c r="E2525" s="23" t="str">
        <f aca="false">IF(D2525="?OLD","!!!","")</f>
        <v/>
      </c>
      <c r="F2525" s="25" t="str">
        <f aca="false">IF(OR(E2525="",E2525="!!!"),"",IF(NOT(ISNA(VLOOKUP(E2525,E$1:E2524,1,FALSE()))),"OLD",IF(AND(E2525&lt;&gt;"",E2525&lt;&gt;"!!!"),"NEW","")))</f>
        <v/>
      </c>
      <c r="G2525" s="26" t="str">
        <f aca="false">IF(OR(E2525="",E2525="!!!"),"",IF(OR(J2525=0,AND(J2525=1,K2525=1),AND(J2525=1,I2525="SBJ"),AND(J2525=1,I2525=0)),"?IN_FOCUS",IF(J2525&lt;=2,"?ACTIVATED",IF(J2525&lt;&gt;"","?FAMILIAR",IF(F2525="NEW",IF(ISNA(VLOOKUP(E2525,#REF!,1,FALSE())),"?TYPE_IDENTIFIABLE","?REFERENTIAL"),"_")))))</f>
        <v/>
      </c>
      <c r="H2525" s="27" t="str">
        <f aca="false">IF(J2525&lt;&gt;1,"",IF(I2525="SBJ","CB","?"))</f>
        <v/>
      </c>
      <c r="I2525" s="24" t="str">
        <f aca="false">IF(OR(E2525="",E2525="!!!",F2525="NEW"),"",INDEX(B8:B$2518,-1+SUMPRODUCT(MAX(ROW(E8:E$2518)*(E2525=E8:E$2518)))))</f>
        <v/>
      </c>
      <c r="J2525" s="24" t="str">
        <f aca="true">IF(OR(E2525="",E2525="!!!",F2525="NEW"),"",COUNTBLANK(OFFSET(A$1,,,SUMPRODUCT(MAX(ROW(E$2:E2525)*(E2525=E$2:E2525)))))-COUNTBLANK(OFFSET(A$1,,,SUMPRODUCT(MAX(ROW(E$1:E2524)*(E2=E$1:E2524))))))</f>
        <v/>
      </c>
      <c r="K2525" s="24" t="str">
        <f aca="false">IF(OR(E2525="",E2525="!!!",F2525="NEW"),"",INDEX(J$1:J2524,SUMPRODUCT(MAX(ROW(E$1:E2524)*(E2525=E$1:E2524)))))</f>
        <v/>
      </c>
      <c r="L2525" s="31"/>
    </row>
    <row r="2526" customFormat="false" ht="15" hidden="false" customHeight="false" outlineLevel="0" collapsed="false">
      <c r="A2526" s="20" t="s">
        <v>1085</v>
      </c>
      <c r="E2526" s="23" t="str">
        <f aca="false">IF(D2526="?OLD","!!!","")</f>
        <v/>
      </c>
      <c r="F2526" s="25" t="str">
        <f aca="false">IF(OR(E2526="",E2526="!!!"),"",IF(NOT(ISNA(VLOOKUP(E2526,E$1:E2525,1,FALSE()))),"OLD",IF(AND(E2526&lt;&gt;"",E2526&lt;&gt;"!!!"),"NEW","")))</f>
        <v/>
      </c>
      <c r="G2526" s="26" t="str">
        <f aca="false">IF(OR(E2526="",E2526="!!!"),"",IF(OR(J2526=0,AND(J2526=1,K2526=1),AND(J2526=1,I2526="SBJ"),AND(J2526=1,I2526=0)),"?IN_FOCUS",IF(J2526&lt;=2,"?ACTIVATED",IF(J2526&lt;&gt;"","?FAMILIAR",IF(F2526="NEW",IF(ISNA(VLOOKUP(E2526,#REF!,1,FALSE())),"?TYPE_IDENTIFIABLE","?REFERENTIAL"),"_")))))</f>
        <v/>
      </c>
      <c r="H2526" s="27" t="str">
        <f aca="false">IF(J2526&lt;&gt;1,"",IF(I2526="SBJ","CB","?"))</f>
        <v/>
      </c>
      <c r="I2526" s="24" t="str">
        <f aca="false">IF(OR(E2526="",E2526="!!!",F2526="NEW"),"",INDEX(B9:B$2518,-1+SUMPRODUCT(MAX(ROW(E9:E$2518)*(E2526=E9:E$2518)))))</f>
        <v/>
      </c>
      <c r="J2526" s="24" t="str">
        <f aca="true">IF(OR(E2526="",E2526="!!!",F2526="NEW"),"",COUNTBLANK(OFFSET(A$1,,,SUMPRODUCT(MAX(ROW(E$2:E2526)*(E2526=E$2:E2526)))))-COUNTBLANK(OFFSET(A$1,,,SUMPRODUCT(MAX(ROW(E$1:E2525)*(E2=E$1:E2525))))))</f>
        <v/>
      </c>
      <c r="K2526" s="24" t="str">
        <f aca="false">IF(OR(E2526="",E2526="!!!",F2526="NEW"),"",INDEX(J$1:J2525,SUMPRODUCT(MAX(ROW(E$1:E2525)*(E2526=E$1:E2525)))))</f>
        <v/>
      </c>
      <c r="L2526" s="31"/>
    </row>
    <row r="2527" customFormat="false" ht="15" hidden="false" customHeight="false" outlineLevel="0" collapsed="false">
      <c r="A2527" s="20" t="s">
        <v>1957</v>
      </c>
      <c r="E2527" s="23" t="str">
        <f aca="false">IF(D2527="?OLD","!!!","")</f>
        <v/>
      </c>
      <c r="F2527" s="25" t="str">
        <f aca="false">IF(OR(E2527="",E2527="!!!"),"",IF(NOT(ISNA(VLOOKUP(E2527,E$1:E2526,1,FALSE()))),"OLD",IF(AND(E2527&lt;&gt;"",E2527&lt;&gt;"!!!"),"NEW","")))</f>
        <v/>
      </c>
      <c r="G2527" s="26" t="str">
        <f aca="false">IF(OR(E2527="",E2527="!!!"),"",IF(OR(J2527=0,AND(J2527=1,K2527=1),AND(J2527=1,I2527="SBJ"),AND(J2527=1,I2527=0)),"?IN_FOCUS",IF(J2527&lt;=2,"?ACTIVATED",IF(J2527&lt;&gt;"","?FAMILIAR",IF(F2527="NEW",IF(ISNA(VLOOKUP(E2527,#REF!,1,FALSE())),"?TYPE_IDENTIFIABLE","?REFERENTIAL"),"_")))))</f>
        <v/>
      </c>
      <c r="H2527" s="27" t="str">
        <f aca="false">IF(J2527&lt;&gt;1,"",IF(I2527="SBJ","CB","?"))</f>
        <v/>
      </c>
      <c r="I2527" s="24" t="str">
        <f aca="false">IF(OR(E2527="",E2527="!!!",F2527="NEW"),"",INDEX(B10:B$2518,-1+SUMPRODUCT(MAX(ROW(E10:E$2518)*(E2527=E10:E$2518)))))</f>
        <v/>
      </c>
      <c r="J2527" s="24" t="str">
        <f aca="true">IF(OR(E2527="",E2527="!!!",F2527="NEW"),"",COUNTBLANK(OFFSET(A$1,,,SUMPRODUCT(MAX(ROW(E$2:E2527)*(E2527=E$2:E2527)))))-COUNTBLANK(OFFSET(A$1,,,SUMPRODUCT(MAX(ROW(E$1:E2526)*(E2=E$1:E2526))))))</f>
        <v/>
      </c>
      <c r="K2527" s="24" t="str">
        <f aca="false">IF(OR(E2527="",E2527="!!!",F2527="NEW"),"",INDEX(J$1:J2526,SUMPRODUCT(MAX(ROW(E$1:E2526)*(E2527=E$1:E2526)))))</f>
        <v/>
      </c>
      <c r="L2527" s="31"/>
    </row>
    <row r="2528" customFormat="false" ht="15" hidden="false" customHeight="false" outlineLevel="0" collapsed="false">
      <c r="A2528" s="20" t="s">
        <v>1958</v>
      </c>
      <c r="B2528" s="22" t="s">
        <v>1073</v>
      </c>
      <c r="C2528" s="22" t="s">
        <v>1087</v>
      </c>
      <c r="E2528" s="23" t="str">
        <f aca="false">IF(D2528="?OLD","!!!","")</f>
        <v/>
      </c>
      <c r="F2528" s="25" t="str">
        <f aca="false">IF(OR(E2528="",E2528="!!!"),"",IF(NOT(ISNA(VLOOKUP(E2528,E$1:E2527,1,FALSE()))),"OLD",IF(AND(E2528&lt;&gt;"",E2528&lt;&gt;"!!!"),"NEW","")))</f>
        <v/>
      </c>
      <c r="G2528" s="26" t="str">
        <f aca="false">IF(OR(E2528="",E2528="!!!"),"",IF(OR(J2528=0,AND(J2528=1,K2528=1),AND(J2528=1,I2528="SBJ"),AND(J2528=1,I2528=0)),"?IN_FOCUS",IF(J2528&lt;=2,"?ACTIVATED",IF(J2528&lt;&gt;"","?FAMILIAR",IF(F2528="NEW",IF(ISNA(VLOOKUP(E2528,#REF!,1,FALSE())),"?TYPE_IDENTIFIABLE","?REFERENTIAL"),"_")))))</f>
        <v/>
      </c>
      <c r="H2528" s="27" t="str">
        <f aca="false">IF(J2528&lt;&gt;1,"",IF(I2528="SBJ","CB","?"))</f>
        <v/>
      </c>
      <c r="I2528" s="24" t="str">
        <f aca="false">IF(OR(E2528="",E2528="!!!",F2528="NEW"),"",INDEX(B11:B$2518,-1+SUMPRODUCT(MAX(ROW(E11:E$2518)*(E2528=E11:E$2518)))))</f>
        <v/>
      </c>
      <c r="J2528" s="24" t="str">
        <f aca="true">IF(OR(E2528="",E2528="!!!",F2528="NEW"),"",COUNTBLANK(OFFSET(A$1,,,SUMPRODUCT(MAX(ROW(E$2:E2528)*(E2528=E$2:E2528)))))-COUNTBLANK(OFFSET(A$1,,,SUMPRODUCT(MAX(ROW(E$1:E2527)*(E2=E$1:E2527))))))</f>
        <v/>
      </c>
      <c r="K2528" s="24" t="str">
        <f aca="false">IF(OR(E2528="",E2528="!!!",F2528="NEW"),"",INDEX(J$1:J2527,SUMPRODUCT(MAX(ROW(E$1:E2527)*(E2528=E$1:E2527)))))</f>
        <v/>
      </c>
      <c r="L2528" s="31"/>
    </row>
    <row r="2529" customFormat="false" ht="15" hidden="false" customHeight="false" outlineLevel="0" collapsed="false">
      <c r="A2529" s="20" t="s">
        <v>1173</v>
      </c>
      <c r="E2529" s="23" t="str">
        <f aca="false">IF(D2529="?OLD","!!!","")</f>
        <v/>
      </c>
      <c r="F2529" s="25" t="str">
        <f aca="false">IF(OR(E2529="",E2529="!!!"),"",IF(NOT(ISNA(VLOOKUP(E2529,E$1:E2528,1,FALSE()))),"OLD",IF(AND(E2529&lt;&gt;"",E2529&lt;&gt;"!!!"),"NEW","")))</f>
        <v/>
      </c>
      <c r="G2529" s="26" t="str">
        <f aca="false">IF(OR(E2529="",E2529="!!!"),"",IF(OR(J2529=0,AND(J2529=1,K2529=1),AND(J2529=1,I2529="SBJ"),AND(J2529=1,I2529=0)),"?IN_FOCUS",IF(J2529&lt;=2,"?ACTIVATED",IF(J2529&lt;&gt;"","?FAMILIAR",IF(F2529="NEW",IF(ISNA(VLOOKUP(E2529,#REF!,1,FALSE())),"?TYPE_IDENTIFIABLE","?REFERENTIAL"),"_")))))</f>
        <v/>
      </c>
      <c r="H2529" s="27" t="str">
        <f aca="false">IF(J2529&lt;&gt;1,"",IF(I2529="SBJ","CB","?"))</f>
        <v/>
      </c>
      <c r="I2529" s="24" t="str">
        <f aca="false">IF(OR(E2529="",E2529="!!!",F2529="NEW"),"",INDEX(B12:B$2518,-1+SUMPRODUCT(MAX(ROW(E12:E$2518)*(E2529=E12:E$2518)))))</f>
        <v/>
      </c>
      <c r="J2529" s="24" t="str">
        <f aca="true">IF(OR(E2529="",E2529="!!!",F2529="NEW"),"",COUNTBLANK(OFFSET(A$1,,,SUMPRODUCT(MAX(ROW(E$2:E2529)*(E2529=E$2:E2529)))))-COUNTBLANK(OFFSET(A$1,,,SUMPRODUCT(MAX(ROW(E$1:E2528)*(E2=E$1:E2528))))))</f>
        <v/>
      </c>
      <c r="K2529" s="24" t="str">
        <f aca="false">IF(OR(E2529="",E2529="!!!",F2529="NEW"),"",INDEX(J$1:J2528,SUMPRODUCT(MAX(ROW(E$1:E2528)*(E2529=E$1:E2528)))))</f>
        <v/>
      </c>
      <c r="L2529" s="31"/>
    </row>
    <row r="2530" customFormat="false" ht="15" hidden="false" customHeight="false" outlineLevel="0" collapsed="false">
      <c r="A2530" s="20" t="s">
        <v>1109</v>
      </c>
      <c r="E2530" s="23" t="str">
        <f aca="false">IF(D2530="?OLD","!!!","")</f>
        <v/>
      </c>
      <c r="F2530" s="25" t="str">
        <f aca="false">IF(OR(E2530="",E2530="!!!"),"",IF(NOT(ISNA(VLOOKUP(E2530,E$1:E2529,1,FALSE()))),"OLD",IF(AND(E2530&lt;&gt;"",E2530&lt;&gt;"!!!"),"NEW","")))</f>
        <v/>
      </c>
      <c r="G2530" s="26" t="str">
        <f aca="false">IF(OR(E2530="",E2530="!!!"),"",IF(OR(J2530=0,AND(J2530=1,K2530=1),AND(J2530=1,I2530="SBJ"),AND(J2530=1,I2530=0)),"?IN_FOCUS",IF(J2530&lt;=2,"?ACTIVATED",IF(J2530&lt;&gt;"","?FAMILIAR",IF(F2530="NEW",IF(ISNA(VLOOKUP(E2530,#REF!,1,FALSE())),"?TYPE_IDENTIFIABLE","?REFERENTIAL"),"_")))))</f>
        <v/>
      </c>
      <c r="H2530" s="27" t="str">
        <f aca="false">IF(J2530&lt;&gt;1,"",IF(I2530="SBJ","CB","?"))</f>
        <v/>
      </c>
      <c r="I2530" s="24" t="str">
        <f aca="false">IF(OR(E2530="",E2530="!!!",F2530="NEW"),"",INDEX(B13:B$2518,-1+SUMPRODUCT(MAX(ROW(E13:E$2518)*(E2530=E13:E$2518)))))</f>
        <v/>
      </c>
      <c r="J2530" s="24" t="str">
        <f aca="true">IF(OR(E2530="",E2530="!!!",F2530="NEW"),"",COUNTBLANK(OFFSET(A$1,,,SUMPRODUCT(MAX(ROW(E$2:E2530)*(E2530=E$2:E2530)))))-COUNTBLANK(OFFSET(A$1,,,SUMPRODUCT(MAX(ROW(E$1:E2529)*(E2=E$1:E2529))))))</f>
        <v/>
      </c>
      <c r="K2530" s="24" t="str">
        <f aca="false">IF(OR(E2530="",E2530="!!!",F2530="NEW"),"",INDEX(J$1:J2529,SUMPRODUCT(MAX(ROW(E$1:E2529)*(E2530=E$1:E2529)))))</f>
        <v/>
      </c>
      <c r="L2530" s="31"/>
    </row>
    <row r="2531" customFormat="false" ht="15" hidden="false" customHeight="false" outlineLevel="0" collapsed="false">
      <c r="A2531" s="20" t="s">
        <v>1959</v>
      </c>
      <c r="B2531" s="22" t="s">
        <v>1067</v>
      </c>
      <c r="C2531" s="22" t="s">
        <v>1150</v>
      </c>
      <c r="D2531" s="22" t="s">
        <v>1060</v>
      </c>
      <c r="E2531" s="23" t="str">
        <f aca="false">IF(D2531="?OLD","!!!","")</f>
        <v>!!!</v>
      </c>
      <c r="F2531" s="25" t="str">
        <f aca="false">IF(OR(E2531="",E2531="!!!"),"",IF(NOT(ISNA(VLOOKUP(E2531,E$1:E2530,1,FALSE()))),"OLD",IF(AND(E2531&lt;&gt;"",E2531&lt;&gt;"!!!"),"NEW","")))</f>
        <v/>
      </c>
      <c r="G2531" s="26" t="str">
        <f aca="false">IF(OR(E2531="",E2531="!!!"),"",IF(OR(J2531=0,AND(J2531=1,K2531=1),AND(J2531=1,I2531="SBJ"),AND(J2531=1,I2531=0)),"?IN_FOCUS",IF(J2531&lt;=2,"?ACTIVATED",IF(J2531&lt;&gt;"","?FAMILIAR",IF(F2531="NEW",IF(ISNA(VLOOKUP(E2531,#REF!,1,FALSE())),"?TYPE_IDENTIFIABLE","?REFERENTIAL"),"_")))))</f>
        <v/>
      </c>
      <c r="H2531" s="27" t="str">
        <f aca="false">IF(J2531&lt;&gt;1,"",IF(I2531="SBJ","CB","?"))</f>
        <v/>
      </c>
      <c r="I2531" s="24" t="str">
        <f aca="false">IF(OR(E2531="",E2531="!!!",F2531="NEW"),"",INDEX(B14:B$2518,-1+SUMPRODUCT(MAX(ROW(E14:E$2518)*(E2531=E14:E$2518)))))</f>
        <v/>
      </c>
      <c r="J2531" s="24" t="str">
        <f aca="true">IF(OR(E2531="",E2531="!!!",F2531="NEW"),"",COUNTBLANK(OFFSET(A$1,,,SUMPRODUCT(MAX(ROW(E$2:E2531)*(E2531=E$2:E2531)))))-COUNTBLANK(OFFSET(A$1,,,SUMPRODUCT(MAX(ROW(E$1:E2530)*(E2=E$1:E2530))))))</f>
        <v/>
      </c>
      <c r="K2531" s="24" t="str">
        <f aca="false">IF(OR(E2531="",E2531="!!!",F2531="NEW"),"",INDEX(J$1:J2530,SUMPRODUCT(MAX(ROW(E$1:E2530)*(E2531=E$1:E2530)))))</f>
        <v/>
      </c>
      <c r="L2531" s="31"/>
    </row>
    <row r="2532" customFormat="false" ht="15" hidden="false" customHeight="false" outlineLevel="0" collapsed="false">
      <c r="A2532" s="20" t="s">
        <v>1076</v>
      </c>
      <c r="E2532" s="23" t="str">
        <f aca="false">IF(D2532="?OLD","!!!","")</f>
        <v/>
      </c>
      <c r="F2532" s="25" t="str">
        <f aca="false">IF(OR(E2532="",E2532="!!!"),"",IF(NOT(ISNA(VLOOKUP(E2532,E$1:E2531,1,FALSE()))),"OLD",IF(AND(E2532&lt;&gt;"",E2532&lt;&gt;"!!!"),"NEW","")))</f>
        <v/>
      </c>
      <c r="G2532" s="26" t="str">
        <f aca="false">IF(OR(E2532="",E2532="!!!"),"",IF(OR(J2532=0,AND(J2532=1,K2532=1),AND(J2532=1,I2532="SBJ"),AND(J2532=1,I2532=0)),"?IN_FOCUS",IF(J2532&lt;=2,"?ACTIVATED",IF(J2532&lt;&gt;"","?FAMILIAR",IF(F2532="NEW",IF(ISNA(VLOOKUP(E2532,#REF!,1,FALSE())),"?TYPE_IDENTIFIABLE","?REFERENTIAL"),"_")))))</f>
        <v/>
      </c>
      <c r="H2532" s="27" t="str">
        <f aca="false">IF(J2532&lt;&gt;1,"",IF(I2532="SBJ","CB","?"))</f>
        <v/>
      </c>
      <c r="I2532" s="24" t="str">
        <f aca="false">IF(OR(E2532="",E2532="!!!",F2532="NEW"),"",INDEX(B15:B$2518,-1+SUMPRODUCT(MAX(ROW(E15:E$2518)*(E2532=E15:E$2518)))))</f>
        <v/>
      </c>
      <c r="J2532" s="24" t="str">
        <f aca="true">IF(OR(E2532="",E2532="!!!",F2532="NEW"),"",COUNTBLANK(OFFSET(A$1,,,SUMPRODUCT(MAX(ROW(E$2:E2532)*(E2532=E$2:E2532)))))-COUNTBLANK(OFFSET(A$1,,,SUMPRODUCT(MAX(ROW(E$1:E2531)*(E2=E$1:E2531))))))</f>
        <v/>
      </c>
      <c r="K2532" s="24" t="str">
        <f aca="false">IF(OR(E2532="",E2532="!!!",F2532="NEW"),"",INDEX(J$1:J2531,SUMPRODUCT(MAX(ROW(E$1:E2531)*(E2532=E$1:E2531)))))</f>
        <v/>
      </c>
      <c r="L2532" s="31"/>
    </row>
    <row r="2533" customFormat="false" ht="15" hidden="false" customHeight="false" outlineLevel="0" collapsed="false">
      <c r="A2533" s="20" t="s">
        <v>1080</v>
      </c>
      <c r="B2533" s="22" t="s">
        <v>1058</v>
      </c>
      <c r="C2533" s="22" t="s">
        <v>1082</v>
      </c>
      <c r="D2533" s="22" t="s">
        <v>1060</v>
      </c>
      <c r="E2533" s="23" t="str">
        <f aca="false">IF(D2533="?OLD","!!!","")</f>
        <v>!!!</v>
      </c>
      <c r="F2533" s="25" t="str">
        <f aca="false">IF(OR(E2533="",E2533="!!!"),"",IF(NOT(ISNA(VLOOKUP(E2533,E$1:E2532,1,FALSE()))),"OLD",IF(AND(E2533&lt;&gt;"",E2533&lt;&gt;"!!!"),"NEW","")))</f>
        <v/>
      </c>
      <c r="G2533" s="26" t="str">
        <f aca="false">IF(OR(E2533="",E2533="!!!"),"",IF(OR(J2533=0,AND(J2533=1,K2533=1),AND(J2533=1,I2533="SBJ"),AND(J2533=1,I2533=0)),"?IN_FOCUS",IF(J2533&lt;=2,"?ACTIVATED",IF(J2533&lt;&gt;"","?FAMILIAR",IF(F2533="NEW",IF(ISNA(VLOOKUP(E2533,#REF!,1,FALSE())),"?TYPE_IDENTIFIABLE","?REFERENTIAL"),"_")))))</f>
        <v/>
      </c>
      <c r="H2533" s="27" t="str">
        <f aca="false">IF(J2533&lt;&gt;1,"",IF(I2533="SBJ","CB","?"))</f>
        <v/>
      </c>
      <c r="I2533" s="24" t="str">
        <f aca="false">IF(OR(E2533="",E2533="!!!",F2533="NEW"),"",INDEX(B16:B$2518,-1+SUMPRODUCT(MAX(ROW(E16:E$2518)*(E2533=E16:E$2518)))))</f>
        <v/>
      </c>
      <c r="J2533" s="24" t="str">
        <f aca="true">IF(OR(E2533="",E2533="!!!",F2533="NEW"),"",COUNTBLANK(OFFSET(A$1,,,SUMPRODUCT(MAX(ROW(E$2:E2533)*(E2533=E$2:E2533)))))-COUNTBLANK(OFFSET(A$1,,,SUMPRODUCT(MAX(ROW(E$1:E2532)*(E2=E$1:E2532))))))</f>
        <v/>
      </c>
      <c r="K2533" s="24" t="str">
        <f aca="false">IF(OR(E2533="",E2533="!!!",F2533="NEW"),"",INDEX(J$1:J2532,SUMPRODUCT(MAX(ROW(E$1:E2532)*(E2533=E$1:E2532)))))</f>
        <v/>
      </c>
      <c r="L2533" s="31"/>
    </row>
    <row r="2534" customFormat="false" ht="15" hidden="false" customHeight="false" outlineLevel="0" collapsed="false">
      <c r="A2534" s="20" t="s">
        <v>1710</v>
      </c>
      <c r="E2534" s="23" t="str">
        <f aca="false">IF(D2534="?OLD","!!!","")</f>
        <v/>
      </c>
      <c r="F2534" s="25" t="str">
        <f aca="false">IF(OR(E2534="",E2534="!!!"),"",IF(NOT(ISNA(VLOOKUP(E2534,E$1:E2533,1,FALSE()))),"OLD",IF(AND(E2534&lt;&gt;"",E2534&lt;&gt;"!!!"),"NEW","")))</f>
        <v/>
      </c>
      <c r="G2534" s="26" t="str">
        <f aca="false">IF(OR(E2534="",E2534="!!!"),"",IF(OR(J2534=0,AND(J2534=1,K2534=1),AND(J2534=1,I2534="SBJ"),AND(J2534=1,I2534=0)),"?IN_FOCUS",IF(J2534&lt;=2,"?ACTIVATED",IF(J2534&lt;&gt;"","?FAMILIAR",IF(F2534="NEW",IF(ISNA(VLOOKUP(E2534,#REF!,1,FALSE())),"?TYPE_IDENTIFIABLE","?REFERENTIAL"),"_")))))</f>
        <v/>
      </c>
      <c r="H2534" s="27" t="str">
        <f aca="false">IF(J2534&lt;&gt;1,"",IF(I2534="SBJ","CB","?"))</f>
        <v/>
      </c>
      <c r="I2534" s="24" t="str">
        <f aca="false">IF(OR(E2534="",E2534="!!!",F2534="NEW"),"",INDEX(B17:B$2518,-1+SUMPRODUCT(MAX(ROW(E17:E$2518)*(E2534=E17:E$2518)))))</f>
        <v/>
      </c>
      <c r="J2534" s="24" t="str">
        <f aca="true">IF(OR(E2534="",E2534="!!!",F2534="NEW"),"",COUNTBLANK(OFFSET(A$1,,,SUMPRODUCT(MAX(ROW(E$2:E2534)*(E2534=E$2:E2534)))))-COUNTBLANK(OFFSET(A$1,,,SUMPRODUCT(MAX(ROW(E$1:E2533)*(E2=E$1:E2533))))))</f>
        <v/>
      </c>
      <c r="K2534" s="24" t="str">
        <f aca="false">IF(OR(E2534="",E2534="!!!",F2534="NEW"),"",INDEX(J$1:J2533,SUMPRODUCT(MAX(ROW(E$1:E2533)*(E2534=E$1:E2533)))))</f>
        <v/>
      </c>
      <c r="L2534" s="31"/>
    </row>
    <row r="2535" customFormat="false" ht="15" hidden="false" customHeight="false" outlineLevel="0" collapsed="false">
      <c r="A2535" s="20" t="s">
        <v>1218</v>
      </c>
      <c r="E2535" s="23" t="str">
        <f aca="false">IF(D2535="?OLD","!!!","")</f>
        <v/>
      </c>
      <c r="F2535" s="25" t="str">
        <f aca="false">IF(OR(E2535="",E2535="!!!"),"",IF(NOT(ISNA(VLOOKUP(E2535,E$1:E2534,1,FALSE()))),"OLD",IF(AND(E2535&lt;&gt;"",E2535&lt;&gt;"!!!"),"NEW","")))</f>
        <v/>
      </c>
      <c r="G2535" s="26" t="str">
        <f aca="false">IF(OR(E2535="",E2535="!!!"),"",IF(OR(J2535=0,AND(J2535=1,K2535=1),AND(J2535=1,I2535="SBJ"),AND(J2535=1,I2535=0)),"?IN_FOCUS",IF(J2535&lt;=2,"?ACTIVATED",IF(J2535&lt;&gt;"","?FAMILIAR",IF(F2535="NEW",IF(ISNA(VLOOKUP(E2535,#REF!,1,FALSE())),"?TYPE_IDENTIFIABLE","?REFERENTIAL"),"_")))))</f>
        <v/>
      </c>
      <c r="H2535" s="27" t="str">
        <f aca="false">IF(J2535&lt;&gt;1,"",IF(I2535="SBJ","CB","?"))</f>
        <v/>
      </c>
      <c r="I2535" s="24" t="str">
        <f aca="false">IF(OR(E2535="",E2535="!!!",F2535="NEW"),"",INDEX(B18:B$2518,-1+SUMPRODUCT(MAX(ROW(E18:E$2518)*(E2535=E18:E$2518)))))</f>
        <v/>
      </c>
      <c r="J2535" s="24" t="str">
        <f aca="true">IF(OR(E2535="",E2535="!!!",F2535="NEW"),"",COUNTBLANK(OFFSET(A$1,,,SUMPRODUCT(MAX(ROW(E$2:E2535)*(E2535=E$2:E2535)))))-COUNTBLANK(OFFSET(A$1,,,SUMPRODUCT(MAX(ROW(E$1:E2534)*(E2=E$1:E2534))))))</f>
        <v/>
      </c>
      <c r="K2535" s="24" t="str">
        <f aca="false">IF(OR(E2535="",E2535="!!!",F2535="NEW"),"",INDEX(J$1:J2534,SUMPRODUCT(MAX(ROW(E$1:E2534)*(E2535=E$1:E2534)))))</f>
        <v/>
      </c>
      <c r="L2535" s="31"/>
    </row>
    <row r="2536" customFormat="false" ht="15" hidden="false" customHeight="false" outlineLevel="0" collapsed="false">
      <c r="A2536" s="20" t="s">
        <v>1612</v>
      </c>
      <c r="B2536" s="22" t="s">
        <v>1067</v>
      </c>
      <c r="C2536" s="22" t="s">
        <v>1099</v>
      </c>
      <c r="D2536" s="22" t="s">
        <v>1060</v>
      </c>
      <c r="E2536" s="23" t="str">
        <f aca="false">IF(D2536="?OLD","!!!","")</f>
        <v>!!!</v>
      </c>
      <c r="F2536" s="25" t="str">
        <f aca="false">IF(OR(E2536="",E2536="!!!"),"",IF(NOT(ISNA(VLOOKUP(E2536,E$1:E2535,1,FALSE()))),"OLD",IF(AND(E2536&lt;&gt;"",E2536&lt;&gt;"!!!"),"NEW","")))</f>
        <v/>
      </c>
      <c r="G2536" s="26" t="str">
        <f aca="false">IF(OR(E2536="",E2536="!!!"),"",IF(OR(J2536=0,AND(J2536=1,K2536=1),AND(J2536=1,I2536="SBJ"),AND(J2536=1,I2536=0)),"?IN_FOCUS",IF(J2536&lt;=2,"?ACTIVATED",IF(J2536&lt;&gt;"","?FAMILIAR",IF(F2536="NEW",IF(ISNA(VLOOKUP(E2536,#REF!,1,FALSE())),"?TYPE_IDENTIFIABLE","?REFERENTIAL"),"_")))))</f>
        <v/>
      </c>
      <c r="H2536" s="27" t="str">
        <f aca="false">IF(J2536&lt;&gt;1,"",IF(I2536="SBJ","CB","?"))</f>
        <v/>
      </c>
      <c r="I2536" s="24" t="str">
        <f aca="false">IF(OR(E2536="",E2536="!!!",F2536="NEW"),"",INDEX(B19:B$2518,-1+SUMPRODUCT(MAX(ROW(E19:E$2518)*(E2536=E19:E$2518)))))</f>
        <v/>
      </c>
      <c r="J2536" s="24" t="str">
        <f aca="true">IF(OR(E2536="",E2536="!!!",F2536="NEW"),"",COUNTBLANK(OFFSET(A$1,,,SUMPRODUCT(MAX(ROW(E$2:E2536)*(E2536=E$2:E2536)))))-COUNTBLANK(OFFSET(A$1,,,SUMPRODUCT(MAX(ROW(E$1:E2535)*(E2=E$1:E2535))))))</f>
        <v/>
      </c>
      <c r="K2536" s="24" t="str">
        <f aca="false">IF(OR(E2536="",E2536="!!!",F2536="NEW"),"",INDEX(J$1:J2535,SUMPRODUCT(MAX(ROW(E$1:E2535)*(E2536=E$1:E2535)))))</f>
        <v/>
      </c>
      <c r="L2536" s="31"/>
    </row>
    <row r="2537" customFormat="false" ht="15" hidden="false" customHeight="false" outlineLevel="0" collapsed="false">
      <c r="A2537" s="20" t="s">
        <v>1232</v>
      </c>
      <c r="E2537" s="23" t="str">
        <f aca="false">IF(D2537="?OLD","!!!","")</f>
        <v/>
      </c>
      <c r="F2537" s="25" t="str">
        <f aca="false">IF(OR(E2537="",E2537="!!!"),"",IF(NOT(ISNA(VLOOKUP(E2537,E$1:E2536,1,FALSE()))),"OLD",IF(AND(E2537&lt;&gt;"",E2537&lt;&gt;"!!!"),"NEW","")))</f>
        <v/>
      </c>
      <c r="G2537" s="26" t="str">
        <f aca="false">IF(OR(E2537="",E2537="!!!"),"",IF(OR(J2537=0,AND(J2537=1,K2537=1),AND(J2537=1,I2537="SBJ"),AND(J2537=1,I2537=0)),"?IN_FOCUS",IF(J2537&lt;=2,"?ACTIVATED",IF(J2537&lt;&gt;"","?FAMILIAR",IF(F2537="NEW",IF(ISNA(VLOOKUP(E2537,#REF!,1,FALSE())),"?TYPE_IDENTIFIABLE","?REFERENTIAL"),"_")))))</f>
        <v/>
      </c>
      <c r="H2537" s="27" t="str">
        <f aca="false">IF(J2537&lt;&gt;1,"",IF(I2537="SBJ","CB","?"))</f>
        <v/>
      </c>
      <c r="I2537" s="24" t="str">
        <f aca="false">IF(OR(E2537="",E2537="!!!",F2537="NEW"),"",INDEX(B20:B$2518,-1+SUMPRODUCT(MAX(ROW(E20:E$2518)*(E2537=E20:E$2518)))))</f>
        <v/>
      </c>
      <c r="J2537" s="24" t="str">
        <f aca="true">IF(OR(E2537="",E2537="!!!",F2537="NEW"),"",COUNTBLANK(OFFSET(A$1,,,SUMPRODUCT(MAX(ROW(E$2:E2537)*(E2537=E$2:E2537)))))-COUNTBLANK(OFFSET(A$1,,,SUMPRODUCT(MAX(ROW(E$1:E2536)*(E2=E$1:E2536))))))</f>
        <v/>
      </c>
      <c r="K2537" s="24" t="str">
        <f aca="false">IF(OR(E2537="",E2537="!!!",F2537="NEW"),"",INDEX(J$1:J2536,SUMPRODUCT(MAX(ROW(E$1:E2536)*(E2537=E$1:E2536)))))</f>
        <v/>
      </c>
      <c r="L2537" s="31"/>
    </row>
    <row r="2538" customFormat="false" ht="15" hidden="false" customHeight="false" outlineLevel="0" collapsed="false">
      <c r="A2538" s="20" t="s">
        <v>1076</v>
      </c>
      <c r="E2538" s="23" t="str">
        <f aca="false">IF(D2538="?OLD","!!!","")</f>
        <v/>
      </c>
      <c r="F2538" s="25" t="str">
        <f aca="false">IF(OR(E2538="",E2538="!!!"),"",IF(NOT(ISNA(VLOOKUP(E2538,E$1:E2537,1,FALSE()))),"OLD",IF(AND(E2538&lt;&gt;"",E2538&lt;&gt;"!!!"),"NEW","")))</f>
        <v/>
      </c>
      <c r="G2538" s="26" t="str">
        <f aca="false">IF(OR(E2538="",E2538="!!!"),"",IF(OR(J2538=0,AND(J2538=1,K2538=1),AND(J2538=1,I2538="SBJ"),AND(J2538=1,I2538=0)),"?IN_FOCUS",IF(J2538&lt;=2,"?ACTIVATED",IF(J2538&lt;&gt;"","?FAMILIAR",IF(F2538="NEW",IF(ISNA(VLOOKUP(E2538,#REF!,1,FALSE())),"?TYPE_IDENTIFIABLE","?REFERENTIAL"),"_")))))</f>
        <v/>
      </c>
      <c r="H2538" s="27" t="str">
        <f aca="false">IF(J2538&lt;&gt;1,"",IF(I2538="SBJ","CB","?"))</f>
        <v/>
      </c>
      <c r="I2538" s="24" t="str">
        <f aca="false">IF(OR(E2538="",E2538="!!!",F2538="NEW"),"",INDEX(B21:B$2518,-1+SUMPRODUCT(MAX(ROW(E21:E$2518)*(E2538=E21:E$2518)))))</f>
        <v/>
      </c>
      <c r="J2538" s="24" t="str">
        <f aca="true">IF(OR(E2538="",E2538="!!!",F2538="NEW"),"",COUNTBLANK(OFFSET(A$1,,,SUMPRODUCT(MAX(ROW(E$2:E2538)*(E2538=E$2:E2538)))))-COUNTBLANK(OFFSET(A$1,,,SUMPRODUCT(MAX(ROW(E$1:E2537)*(E2=E$1:E2537))))))</f>
        <v/>
      </c>
      <c r="K2538" s="24" t="str">
        <f aca="false">IF(OR(E2538="",E2538="!!!",F2538="NEW"),"",INDEX(J$1:J2537,SUMPRODUCT(MAX(ROW(E$1:E2537)*(E2538=E$1:E2537)))))</f>
        <v/>
      </c>
      <c r="L2538" s="31"/>
    </row>
    <row r="2539" customFormat="false" ht="15" hidden="false" customHeight="false" outlineLevel="0" collapsed="false">
      <c r="A2539" s="20" t="s">
        <v>1960</v>
      </c>
      <c r="E2539" s="23" t="str">
        <f aca="false">IF(D2539="?OLD","!!!","")</f>
        <v/>
      </c>
      <c r="F2539" s="25" t="str">
        <f aca="false">IF(OR(E2539="",E2539="!!!"),"",IF(NOT(ISNA(VLOOKUP(E2539,E$1:E2538,1,FALSE()))),"OLD",IF(AND(E2539&lt;&gt;"",E2539&lt;&gt;"!!!"),"NEW","")))</f>
        <v/>
      </c>
      <c r="G2539" s="26" t="str">
        <f aca="false">IF(OR(E2539="",E2539="!!!"),"",IF(OR(J2539=0,AND(J2539=1,K2539=1),AND(J2539=1,I2539="SBJ"),AND(J2539=1,I2539=0)),"?IN_FOCUS",IF(J2539&lt;=2,"?ACTIVATED",IF(J2539&lt;&gt;"","?FAMILIAR",IF(F2539="NEW",IF(ISNA(VLOOKUP(E2539,#REF!,1,FALSE())),"?TYPE_IDENTIFIABLE","?REFERENTIAL"),"_")))))</f>
        <v/>
      </c>
      <c r="H2539" s="27" t="str">
        <f aca="false">IF(J2539&lt;&gt;1,"",IF(I2539="SBJ","CB","?"))</f>
        <v/>
      </c>
      <c r="I2539" s="24" t="str">
        <f aca="false">IF(OR(E2539="",E2539="!!!",F2539="NEW"),"",INDEX(B22:B$2518,-1+SUMPRODUCT(MAX(ROW(E22:E$2518)*(E2539=E22:E$2518)))))</f>
        <v/>
      </c>
      <c r="J2539" s="24" t="str">
        <f aca="true">IF(OR(E2539="",E2539="!!!",F2539="NEW"),"",COUNTBLANK(OFFSET(A$1,,,SUMPRODUCT(MAX(ROW(E$2:E2539)*(E2539=E$2:E2539)))))-COUNTBLANK(OFFSET(A$1,,,SUMPRODUCT(MAX(ROW(E$1:E2538)*(E2=E$1:E2538))))))</f>
        <v/>
      </c>
      <c r="K2539" s="24" t="str">
        <f aca="false">IF(OR(E2539="",E2539="!!!",F2539="NEW"),"",INDEX(J$1:J2538,SUMPRODUCT(MAX(ROW(E$1:E2538)*(E2539=E$1:E2538)))))</f>
        <v/>
      </c>
      <c r="L2539" s="31"/>
    </row>
    <row r="2540" customFormat="false" ht="15" hidden="false" customHeight="false" outlineLevel="0" collapsed="false">
      <c r="A2540" s="20" t="s">
        <v>1724</v>
      </c>
      <c r="B2540" s="22" t="s">
        <v>1081</v>
      </c>
      <c r="C2540" s="22" t="s">
        <v>1160</v>
      </c>
      <c r="E2540" s="23" t="str">
        <f aca="false">IF(D2540="?OLD","!!!","")</f>
        <v/>
      </c>
      <c r="F2540" s="25" t="str">
        <f aca="false">IF(OR(E2540="",E2540="!!!"),"",IF(NOT(ISNA(VLOOKUP(E2540,E$1:E2539,1,FALSE()))),"OLD",IF(AND(E2540&lt;&gt;"",E2540&lt;&gt;"!!!"),"NEW","")))</f>
        <v/>
      </c>
      <c r="G2540" s="26" t="str">
        <f aca="false">IF(OR(E2540="",E2540="!!!"),"",IF(OR(J2540=0,AND(J2540=1,K2540=1),AND(J2540=1,I2540="SBJ"),AND(J2540=1,I2540=0)),"?IN_FOCUS",IF(J2540&lt;=2,"?ACTIVATED",IF(J2540&lt;&gt;"","?FAMILIAR",IF(F2540="NEW",IF(ISNA(VLOOKUP(E2540,#REF!,1,FALSE())),"?TYPE_IDENTIFIABLE","?REFERENTIAL"),"_")))))</f>
        <v/>
      </c>
      <c r="H2540" s="27" t="str">
        <f aca="false">IF(J2540&lt;&gt;1,"",IF(I2540="SBJ","CB","?"))</f>
        <v/>
      </c>
      <c r="I2540" s="24" t="str">
        <f aca="false">IF(OR(E2540="",E2540="!!!",F2540="NEW"),"",INDEX(B23:B$2518,-1+SUMPRODUCT(MAX(ROW(E23:E$2518)*(E2540=E23:E$2518)))))</f>
        <v/>
      </c>
      <c r="J2540" s="24" t="str">
        <f aca="true">IF(OR(E2540="",E2540="!!!",F2540="NEW"),"",COUNTBLANK(OFFSET(A$1,,,SUMPRODUCT(MAX(ROW(E$2:E2540)*(E2540=E$2:E2540)))))-COUNTBLANK(OFFSET(A$1,,,SUMPRODUCT(MAX(ROW(E$1:E2539)*(E2=E$1:E2539))))))</f>
        <v/>
      </c>
      <c r="K2540" s="24" t="str">
        <f aca="false">IF(OR(E2540="",E2540="!!!",F2540="NEW"),"",INDEX(J$1:J2539,SUMPRODUCT(MAX(ROW(E$1:E2539)*(E2540=E$1:E2539)))))</f>
        <v/>
      </c>
      <c r="L2540" s="31"/>
    </row>
    <row r="2541" customFormat="false" ht="15" hidden="false" customHeight="false" outlineLevel="0" collapsed="false">
      <c r="A2541" s="20" t="s">
        <v>1961</v>
      </c>
      <c r="E2541" s="23" t="str">
        <f aca="false">IF(D2541="?OLD","!!!","")</f>
        <v/>
      </c>
      <c r="F2541" s="25" t="str">
        <f aca="false">IF(OR(E2541="",E2541="!!!"),"",IF(NOT(ISNA(VLOOKUP(E2541,E$1:E2540,1,FALSE()))),"OLD",IF(AND(E2541&lt;&gt;"",E2541&lt;&gt;"!!!"),"NEW","")))</f>
        <v/>
      </c>
      <c r="G2541" s="26" t="str">
        <f aca="false">IF(OR(E2541="",E2541="!!!"),"",IF(OR(J2541=0,AND(J2541=1,K2541=1),AND(J2541=1,I2541="SBJ"),AND(J2541=1,I2541=0)),"?IN_FOCUS",IF(J2541&lt;=2,"?ACTIVATED",IF(J2541&lt;&gt;"","?FAMILIAR",IF(F2541="NEW",IF(ISNA(VLOOKUP(E2541,#REF!,1,FALSE())),"?TYPE_IDENTIFIABLE","?REFERENTIAL"),"_")))))</f>
        <v/>
      </c>
      <c r="H2541" s="27" t="str">
        <f aca="false">IF(J2541&lt;&gt;1,"",IF(I2541="SBJ","CB","?"))</f>
        <v/>
      </c>
      <c r="I2541" s="24" t="str">
        <f aca="false">IF(OR(E2541="",E2541="!!!",F2541="NEW"),"",INDEX(B24:B$2518,-1+SUMPRODUCT(MAX(ROW(E24:E$2518)*(E2541=E24:E$2518)))))</f>
        <v/>
      </c>
      <c r="J2541" s="24" t="str">
        <f aca="true">IF(OR(E2541="",E2541="!!!",F2541="NEW"),"",COUNTBLANK(OFFSET(A$1,,,SUMPRODUCT(MAX(ROW(E$2:E2541)*(E2541=E$2:E2541)))))-COUNTBLANK(OFFSET(A$1,,,SUMPRODUCT(MAX(ROW(E$1:E2540)*(E2=E$1:E2540))))))</f>
        <v/>
      </c>
      <c r="K2541" s="24" t="str">
        <f aca="false">IF(OR(E2541="",E2541="!!!",F2541="NEW"),"",INDEX(J$1:J2540,SUMPRODUCT(MAX(ROW(E$1:E2540)*(E2541=E$1:E2540)))))</f>
        <v/>
      </c>
      <c r="L2541" s="31"/>
    </row>
    <row r="2542" customFormat="false" ht="15" hidden="false" customHeight="false" outlineLevel="0" collapsed="false">
      <c r="A2542" s="20" t="s">
        <v>1962</v>
      </c>
      <c r="E2542" s="23" t="str">
        <f aca="false">IF(D2542="?OLD","!!!","")</f>
        <v/>
      </c>
      <c r="F2542" s="25" t="str">
        <f aca="false">IF(OR(E2542="",E2542="!!!"),"",IF(NOT(ISNA(VLOOKUP(E2542,E$1:E2541,1,FALSE()))),"OLD",IF(AND(E2542&lt;&gt;"",E2542&lt;&gt;"!!!"),"NEW","")))</f>
        <v/>
      </c>
      <c r="G2542" s="26" t="str">
        <f aca="false">IF(OR(E2542="",E2542="!!!"),"",IF(OR(J2542=0,AND(J2542=1,K2542=1),AND(J2542=1,I2542="SBJ"),AND(J2542=1,I2542=0)),"?IN_FOCUS",IF(J2542&lt;=2,"?ACTIVATED",IF(J2542&lt;&gt;"","?FAMILIAR",IF(F2542="NEW",IF(ISNA(VLOOKUP(E2542,#REF!,1,FALSE())),"?TYPE_IDENTIFIABLE","?REFERENTIAL"),"_")))))</f>
        <v/>
      </c>
      <c r="H2542" s="27" t="str">
        <f aca="false">IF(J2542&lt;&gt;1,"",IF(I2542="SBJ","CB","?"))</f>
        <v/>
      </c>
      <c r="I2542" s="24" t="str">
        <f aca="false">IF(OR(E2542="",E2542="!!!",F2542="NEW"),"",INDEX(B25:B$2518,-1+SUMPRODUCT(MAX(ROW(E25:E$2518)*(E2542=E25:E$2518)))))</f>
        <v/>
      </c>
      <c r="J2542" s="24" t="str">
        <f aca="true">IF(OR(E2542="",E2542="!!!",F2542="NEW"),"",COUNTBLANK(OFFSET(A$1,,,SUMPRODUCT(MAX(ROW(E$2:E2542)*(E2542=E$2:E2542)))))-COUNTBLANK(OFFSET(A$1,,,SUMPRODUCT(MAX(ROW(E$1:E2541)*(E2=E$1:E2541))))))</f>
        <v/>
      </c>
      <c r="K2542" s="24" t="str">
        <f aca="false">IF(OR(E2542="",E2542="!!!",F2542="NEW"),"",INDEX(J$1:J2541,SUMPRODUCT(MAX(ROW(E$1:E2541)*(E2542=E$1:E2541)))))</f>
        <v/>
      </c>
      <c r="L2542" s="31"/>
    </row>
    <row r="2543" customFormat="false" ht="15" hidden="false" customHeight="false" outlineLevel="0" collapsed="false">
      <c r="A2543" s="20" t="s">
        <v>1076</v>
      </c>
      <c r="E2543" s="23" t="str">
        <f aca="false">IF(D2543="?OLD","!!!","")</f>
        <v/>
      </c>
      <c r="F2543" s="25" t="str">
        <f aca="false">IF(OR(E2543="",E2543="!!!"),"",IF(NOT(ISNA(VLOOKUP(E2543,E$1:E2542,1,FALSE()))),"OLD",IF(AND(E2543&lt;&gt;"",E2543&lt;&gt;"!!!"),"NEW","")))</f>
        <v/>
      </c>
      <c r="G2543" s="26" t="str">
        <f aca="false">IF(OR(E2543="",E2543="!!!"),"",IF(OR(J2543=0,AND(J2543=1,K2543=1),AND(J2543=1,I2543="SBJ"),AND(J2543=1,I2543=0)),"?IN_FOCUS",IF(J2543&lt;=2,"?ACTIVATED",IF(J2543&lt;&gt;"","?FAMILIAR",IF(F2543="NEW",IF(ISNA(VLOOKUP(E2543,#REF!,1,FALSE())),"?TYPE_IDENTIFIABLE","?REFERENTIAL"),"_")))))</f>
        <v/>
      </c>
      <c r="H2543" s="27" t="str">
        <f aca="false">IF(J2543&lt;&gt;1,"",IF(I2543="SBJ","CB","?"))</f>
        <v/>
      </c>
      <c r="I2543" s="24" t="str">
        <f aca="false">IF(OR(E2543="",E2543="!!!",F2543="NEW"),"",INDEX(B26:B$2518,-1+SUMPRODUCT(MAX(ROW(E26:E$2518)*(E2543=E26:E$2518)))))</f>
        <v/>
      </c>
      <c r="J2543" s="24" t="str">
        <f aca="true">IF(OR(E2543="",E2543="!!!",F2543="NEW"),"",COUNTBLANK(OFFSET(A$1,,,SUMPRODUCT(MAX(ROW(E$2:E2543)*(E2543=E$2:E2543)))))-COUNTBLANK(OFFSET(A$1,,,SUMPRODUCT(MAX(ROW(E$1:E2542)*(E2=E$1:E2542))))))</f>
        <v/>
      </c>
      <c r="K2543" s="24" t="str">
        <f aca="false">IF(OR(E2543="",E2543="!!!",F2543="NEW"),"",INDEX(J$1:J2542,SUMPRODUCT(MAX(ROW(E$1:E2542)*(E2543=E$1:E2542)))))</f>
        <v/>
      </c>
      <c r="L2543" s="31"/>
    </row>
    <row r="2544" customFormat="false" ht="15" hidden="false" customHeight="false" outlineLevel="0" collapsed="false">
      <c r="A2544" s="20" t="s">
        <v>1128</v>
      </c>
      <c r="E2544" s="23" t="str">
        <f aca="false">IF(D2544="?OLD","!!!","")</f>
        <v/>
      </c>
      <c r="F2544" s="25" t="str">
        <f aca="false">IF(OR(E2544="",E2544="!!!"),"",IF(NOT(ISNA(VLOOKUP(E2544,E$1:E2543,1,FALSE()))),"OLD",IF(AND(E2544&lt;&gt;"",E2544&lt;&gt;"!!!"),"NEW","")))</f>
        <v/>
      </c>
      <c r="G2544" s="26" t="str">
        <f aca="false">IF(OR(E2544="",E2544="!!!"),"",IF(OR(J2544=0,AND(J2544=1,K2544=1),AND(J2544=1,I2544="SBJ"),AND(J2544=1,I2544=0)),"?IN_FOCUS",IF(J2544&lt;=2,"?ACTIVATED",IF(J2544&lt;&gt;"","?FAMILIAR",IF(F2544="NEW",IF(ISNA(VLOOKUP(E2544,#REF!,1,FALSE())),"?TYPE_IDENTIFIABLE","?REFERENTIAL"),"_")))))</f>
        <v/>
      </c>
      <c r="H2544" s="27" t="str">
        <f aca="false">IF(J2544&lt;&gt;1,"",IF(I2544="SBJ","CB","?"))</f>
        <v/>
      </c>
      <c r="I2544" s="24" t="str">
        <f aca="false">IF(OR(E2544="",E2544="!!!",F2544="NEW"),"",INDEX(B27:B$2518,-1+SUMPRODUCT(MAX(ROW(E27:E$2518)*(E2544=E27:E$2518)))))</f>
        <v/>
      </c>
      <c r="J2544" s="24" t="str">
        <f aca="true">IF(OR(E2544="",E2544="!!!",F2544="NEW"),"",COUNTBLANK(OFFSET(A$1,,,SUMPRODUCT(MAX(ROW(E$2:E2544)*(E2544=E$2:E2544)))))-COUNTBLANK(OFFSET(A$1,,,SUMPRODUCT(MAX(ROW(E$1:E2543)*(E2=E$1:E2543))))))</f>
        <v/>
      </c>
      <c r="K2544" s="24" t="str">
        <f aca="false">IF(OR(E2544="",E2544="!!!",F2544="NEW"),"",INDEX(J$1:J2543,SUMPRODUCT(MAX(ROW(E$1:E2543)*(E2544=E$1:E2543)))))</f>
        <v/>
      </c>
      <c r="L2544" s="31"/>
    </row>
    <row r="2545" customFormat="false" ht="15" hidden="false" customHeight="false" outlineLevel="0" collapsed="false">
      <c r="A2545" s="20" t="s">
        <v>1563</v>
      </c>
      <c r="E2545" s="23" t="str">
        <f aca="false">IF(D2545="?OLD","!!!","")</f>
        <v/>
      </c>
      <c r="F2545" s="25" t="str">
        <f aca="false">IF(OR(E2545="",E2545="!!!"),"",IF(NOT(ISNA(VLOOKUP(E2545,E$1:E2544,1,FALSE()))),"OLD",IF(AND(E2545&lt;&gt;"",E2545&lt;&gt;"!!!"),"NEW","")))</f>
        <v/>
      </c>
      <c r="G2545" s="26" t="str">
        <f aca="false">IF(OR(E2545="",E2545="!!!"),"",IF(OR(J2545=0,AND(J2545=1,K2545=1),AND(J2545=1,I2545="SBJ"),AND(J2545=1,I2545=0)),"?IN_FOCUS",IF(J2545&lt;=2,"?ACTIVATED",IF(J2545&lt;&gt;"","?FAMILIAR",IF(F2545="NEW",IF(ISNA(VLOOKUP(E2545,#REF!,1,FALSE())),"?TYPE_IDENTIFIABLE","?REFERENTIAL"),"_")))))</f>
        <v/>
      </c>
      <c r="H2545" s="27" t="str">
        <f aca="false">IF(J2545&lt;&gt;1,"",IF(I2545="SBJ","CB","?"))</f>
        <v/>
      </c>
      <c r="I2545" s="24" t="str">
        <f aca="false">IF(OR(E2545="",E2545="!!!",F2545="NEW"),"",INDEX(B28:B$2518,-1+SUMPRODUCT(MAX(ROW(E28:E$2518)*(E2545=E28:E$2518)))))</f>
        <v/>
      </c>
      <c r="J2545" s="24" t="str">
        <f aca="true">IF(OR(E2545="",E2545="!!!",F2545="NEW"),"",COUNTBLANK(OFFSET(A$1,,,SUMPRODUCT(MAX(ROW(E$2:E2545)*(E2545=E$2:E2545)))))-COUNTBLANK(OFFSET(A$1,,,SUMPRODUCT(MAX(ROW(E$1:E2544)*(E2=E$1:E2544))))))</f>
        <v/>
      </c>
      <c r="K2545" s="24" t="str">
        <f aca="false">IF(OR(E2545="",E2545="!!!",F2545="NEW"),"",INDEX(J$1:J2544,SUMPRODUCT(MAX(ROW(E$1:E2544)*(E2545=E$1:E2544)))))</f>
        <v/>
      </c>
      <c r="L2545" s="31"/>
    </row>
    <row r="2546" customFormat="false" ht="15" hidden="false" customHeight="false" outlineLevel="0" collapsed="false">
      <c r="A2546" s="20" t="s">
        <v>1744</v>
      </c>
      <c r="E2546" s="23" t="str">
        <f aca="false">IF(D2546="?OLD","!!!","")</f>
        <v/>
      </c>
      <c r="F2546" s="25" t="str">
        <f aca="false">IF(OR(E2546="",E2546="!!!"),"",IF(NOT(ISNA(VLOOKUP(E2546,E$1:E2545,1,FALSE()))),"OLD",IF(AND(E2546&lt;&gt;"",E2546&lt;&gt;"!!!"),"NEW","")))</f>
        <v/>
      </c>
      <c r="G2546" s="26" t="str">
        <f aca="false">IF(OR(E2546="",E2546="!!!"),"",IF(OR(J2546=0,AND(J2546=1,K2546=1),AND(J2546=1,I2546="SBJ"),AND(J2546=1,I2546=0)),"?IN_FOCUS",IF(J2546&lt;=2,"?ACTIVATED",IF(J2546&lt;&gt;"","?FAMILIAR",IF(F2546="NEW",IF(ISNA(VLOOKUP(E2546,#REF!,1,FALSE())),"?TYPE_IDENTIFIABLE","?REFERENTIAL"),"_")))))</f>
        <v/>
      </c>
      <c r="H2546" s="27" t="str">
        <f aca="false">IF(J2546&lt;&gt;1,"",IF(I2546="SBJ","CB","?"))</f>
        <v/>
      </c>
      <c r="I2546" s="24" t="str">
        <f aca="false">IF(OR(E2546="",E2546="!!!",F2546="NEW"),"",INDEX(B29:B$2518,-1+SUMPRODUCT(MAX(ROW(E29:E$2518)*(E2546=E29:E$2518)))))</f>
        <v/>
      </c>
      <c r="J2546" s="24" t="str">
        <f aca="true">IF(OR(E2546="",E2546="!!!",F2546="NEW"),"",COUNTBLANK(OFFSET(A$1,,,SUMPRODUCT(MAX(ROW(E$2:E2546)*(E2546=E$2:E2546)))))-COUNTBLANK(OFFSET(A$1,,,SUMPRODUCT(MAX(ROW(E$1:E2545)*(E2=E$1:E2545))))))</f>
        <v/>
      </c>
      <c r="K2546" s="24" t="str">
        <f aca="false">IF(OR(E2546="",E2546="!!!",F2546="NEW"),"",INDEX(J$1:J2545,SUMPRODUCT(MAX(ROW(E$1:E2545)*(E2546=E$1:E2545)))))</f>
        <v/>
      </c>
      <c r="L2546" s="31"/>
    </row>
    <row r="2547" customFormat="false" ht="15" hidden="false" customHeight="false" outlineLevel="0" collapsed="false">
      <c r="A2547" s="20" t="s">
        <v>1963</v>
      </c>
      <c r="E2547" s="23" t="str">
        <f aca="false">IF(D2547="?OLD","!!!","")</f>
        <v/>
      </c>
      <c r="F2547" s="25" t="str">
        <f aca="false">IF(OR(E2547="",E2547="!!!"),"",IF(NOT(ISNA(VLOOKUP(E2547,E$1:E2546,1,FALSE()))),"OLD",IF(AND(E2547&lt;&gt;"",E2547&lt;&gt;"!!!"),"NEW","")))</f>
        <v/>
      </c>
      <c r="G2547" s="26" t="str">
        <f aca="false">IF(OR(E2547="",E2547="!!!"),"",IF(OR(J2547=0,AND(J2547=1,K2547=1),AND(J2547=1,I2547="SBJ"),AND(J2547=1,I2547=0)),"?IN_FOCUS",IF(J2547&lt;=2,"?ACTIVATED",IF(J2547&lt;&gt;"","?FAMILIAR",IF(F2547="NEW",IF(ISNA(VLOOKUP(E2547,#REF!,1,FALSE())),"?TYPE_IDENTIFIABLE","?REFERENTIAL"),"_")))))</f>
        <v/>
      </c>
      <c r="H2547" s="27" t="str">
        <f aca="false">IF(J2547&lt;&gt;1,"",IF(I2547="SBJ","CB","?"))</f>
        <v/>
      </c>
      <c r="I2547" s="24" t="str">
        <f aca="false">IF(OR(E2547="",E2547="!!!",F2547="NEW"),"",INDEX(B30:B$2518,-1+SUMPRODUCT(MAX(ROW(E30:E$2518)*(E2547=E30:E$2518)))))</f>
        <v/>
      </c>
      <c r="J2547" s="24" t="str">
        <f aca="true">IF(OR(E2547="",E2547="!!!",F2547="NEW"),"",COUNTBLANK(OFFSET(A$1,,,SUMPRODUCT(MAX(ROW(E$2:E2547)*(E2547=E$2:E2547)))))-COUNTBLANK(OFFSET(A$1,,,SUMPRODUCT(MAX(ROW(E$1:E2546)*(E2=E$1:E2546))))))</f>
        <v/>
      </c>
      <c r="K2547" s="24" t="str">
        <f aca="false">IF(OR(E2547="",E2547="!!!",F2547="NEW"),"",INDEX(J$1:J2546,SUMPRODUCT(MAX(ROW(E$1:E2546)*(E2547=E$1:E2546)))))</f>
        <v/>
      </c>
      <c r="L2547" s="31"/>
    </row>
    <row r="2548" customFormat="false" ht="15" hidden="false" customHeight="false" outlineLevel="0" collapsed="false">
      <c r="A2548" s="20" t="s">
        <v>1218</v>
      </c>
      <c r="E2548" s="23" t="str">
        <f aca="false">IF(D2548="?OLD","!!!","")</f>
        <v/>
      </c>
      <c r="F2548" s="25" t="str">
        <f aca="false">IF(OR(E2548="",E2548="!!!"),"",IF(NOT(ISNA(VLOOKUP(E2548,E$1:E2547,1,FALSE()))),"OLD",IF(AND(E2548&lt;&gt;"",E2548&lt;&gt;"!!!"),"NEW","")))</f>
        <v/>
      </c>
      <c r="G2548" s="26" t="str">
        <f aca="false">IF(OR(E2548="",E2548="!!!"),"",IF(OR(J2548=0,AND(J2548=1,K2548=1),AND(J2548=1,I2548="SBJ"),AND(J2548=1,I2548=0)),"?IN_FOCUS",IF(J2548&lt;=2,"?ACTIVATED",IF(J2548&lt;&gt;"","?FAMILIAR",IF(F2548="NEW",IF(ISNA(VLOOKUP(E2548,#REF!,1,FALSE())),"?TYPE_IDENTIFIABLE","?REFERENTIAL"),"_")))))</f>
        <v/>
      </c>
      <c r="H2548" s="27" t="str">
        <f aca="false">IF(J2548&lt;&gt;1,"",IF(I2548="SBJ","CB","?"))</f>
        <v/>
      </c>
      <c r="I2548" s="24" t="str">
        <f aca="false">IF(OR(E2548="",E2548="!!!",F2548="NEW"),"",INDEX(B31:B$2518,-1+SUMPRODUCT(MAX(ROW(E31:E$2518)*(E2548=E31:E$2518)))))</f>
        <v/>
      </c>
      <c r="J2548" s="24" t="str">
        <f aca="true">IF(OR(E2548="",E2548="!!!",F2548="NEW"),"",COUNTBLANK(OFFSET(A$1,,,SUMPRODUCT(MAX(ROW(E$2:E2548)*(E2548=E$2:E2548)))))-COUNTBLANK(OFFSET(A$1,,,SUMPRODUCT(MAX(ROW(E$1:E2547)*(E2=E$1:E2547))))))</f>
        <v/>
      </c>
      <c r="K2548" s="24" t="str">
        <f aca="false">IF(OR(E2548="",E2548="!!!",F2548="NEW"),"",INDEX(J$1:J2547,SUMPRODUCT(MAX(ROW(E$1:E2547)*(E2548=E$1:E2547)))))</f>
        <v/>
      </c>
      <c r="L2548" s="31"/>
    </row>
    <row r="2549" customFormat="false" ht="15" hidden="false" customHeight="false" outlineLevel="0" collapsed="false">
      <c r="A2549" s="20" t="s">
        <v>1612</v>
      </c>
      <c r="B2549" s="22" t="s">
        <v>1107</v>
      </c>
      <c r="C2549" s="22" t="s">
        <v>1099</v>
      </c>
      <c r="D2549" s="22" t="s">
        <v>1060</v>
      </c>
      <c r="E2549" s="23" t="str">
        <f aca="false">IF(D2549="?OLD","!!!","")</f>
        <v>!!!</v>
      </c>
      <c r="F2549" s="25" t="str">
        <f aca="false">IF(OR(E2549="",E2549="!!!"),"",IF(NOT(ISNA(VLOOKUP(E2549,E$1:E2548,1,FALSE()))),"OLD",IF(AND(E2549&lt;&gt;"",E2549&lt;&gt;"!!!"),"NEW","")))</f>
        <v/>
      </c>
      <c r="G2549" s="26" t="str">
        <f aca="false">IF(OR(E2549="",E2549="!!!"),"",IF(OR(J2549=0,AND(J2549=1,K2549=1),AND(J2549=1,I2549="SBJ"),AND(J2549=1,I2549=0)),"?IN_FOCUS",IF(J2549&lt;=2,"?ACTIVATED",IF(J2549&lt;&gt;"","?FAMILIAR",IF(F2549="NEW",IF(ISNA(VLOOKUP(E2549,#REF!,1,FALSE())),"?TYPE_IDENTIFIABLE","?REFERENTIAL"),"_")))))</f>
        <v/>
      </c>
      <c r="H2549" s="27" t="str">
        <f aca="false">IF(J2549&lt;&gt;1,"",IF(I2549="SBJ","CB","?"))</f>
        <v/>
      </c>
      <c r="I2549" s="24" t="str">
        <f aca="false">IF(OR(E2549="",E2549="!!!",F2549="NEW"),"",INDEX(B32:B$2518,-1+SUMPRODUCT(MAX(ROW(E32:E$2518)*(E2549=E32:E$2518)))))</f>
        <v/>
      </c>
      <c r="J2549" s="24" t="str">
        <f aca="true">IF(OR(E2549="",E2549="!!!",F2549="NEW"),"",COUNTBLANK(OFFSET(A$1,,,SUMPRODUCT(MAX(ROW(E$2:E2549)*(E2549=E$2:E2549)))))-COUNTBLANK(OFFSET(A$1,,,SUMPRODUCT(MAX(ROW(E$1:E2548)*(E2=E$1:E2548))))))</f>
        <v/>
      </c>
      <c r="K2549" s="24" t="str">
        <f aca="false">IF(OR(E2549="",E2549="!!!",F2549="NEW"),"",INDEX(J$1:J2548,SUMPRODUCT(MAX(ROW(E$1:E2548)*(E2549=E$1:E2548)))))</f>
        <v/>
      </c>
      <c r="L2549" s="31"/>
    </row>
    <row r="2550" customFormat="false" ht="15" hidden="false" customHeight="false" outlineLevel="0" collapsed="false">
      <c r="A2550" s="20" t="s">
        <v>1226</v>
      </c>
      <c r="B2550" s="22" t="s">
        <v>1067</v>
      </c>
      <c r="C2550" s="22" t="s">
        <v>1059</v>
      </c>
      <c r="D2550" s="22" t="s">
        <v>1060</v>
      </c>
      <c r="E2550" s="23" t="str">
        <f aca="false">IF(D2550="?OLD","!!!","")</f>
        <v>!!!</v>
      </c>
      <c r="F2550" s="25" t="str">
        <f aca="false">IF(OR(E2550="",E2550="!!!"),"",IF(NOT(ISNA(VLOOKUP(E2550,E$1:E2549,1,FALSE()))),"OLD",IF(AND(E2550&lt;&gt;"",E2550&lt;&gt;"!!!"),"NEW","")))</f>
        <v/>
      </c>
      <c r="G2550" s="26" t="str">
        <f aca="false">IF(OR(E2550="",E2550="!!!"),"",IF(OR(J2550=0,AND(J2550=1,K2550=1),AND(J2550=1,I2550="SBJ"),AND(J2550=1,I2550=0)),"?IN_FOCUS",IF(J2550&lt;=2,"?ACTIVATED",IF(J2550&lt;&gt;"","?FAMILIAR",IF(F2550="NEW",IF(ISNA(VLOOKUP(E2550,#REF!,1,FALSE())),"?TYPE_IDENTIFIABLE","?REFERENTIAL"),"_")))))</f>
        <v/>
      </c>
      <c r="H2550" s="27" t="str">
        <f aca="false">IF(J2550&lt;&gt;1,"",IF(I2550="SBJ","CB","?"))</f>
        <v/>
      </c>
      <c r="I2550" s="24" t="str">
        <f aca="false">IF(OR(E2550="",E2550="!!!",F2550="NEW"),"",INDEX(B33:B$2518,-1+SUMPRODUCT(MAX(ROW(E33:E$2518)*(E2550=E33:E$2518)))))</f>
        <v/>
      </c>
      <c r="J2550" s="24" t="str">
        <f aca="true">IF(OR(E2550="",E2550="!!!",F2550="NEW"),"",COUNTBLANK(OFFSET(A$1,,,SUMPRODUCT(MAX(ROW(E$2:E2550)*(E2550=E$2:E2550)))))-COUNTBLANK(OFFSET(A$1,,,SUMPRODUCT(MAX(ROW(E$1:E2549)*(E2=E$1:E2549))))))</f>
        <v/>
      </c>
      <c r="K2550" s="24" t="str">
        <f aca="false">IF(OR(E2550="",E2550="!!!",F2550="NEW"),"",INDEX(J$1:J2549,SUMPRODUCT(MAX(ROW(E$1:E2549)*(E2550=E$1:E2549)))))</f>
        <v/>
      </c>
      <c r="L2550" s="31"/>
    </row>
    <row r="2551" customFormat="false" ht="15" hidden="false" customHeight="false" outlineLevel="0" collapsed="false">
      <c r="A2551" s="20" t="s">
        <v>923</v>
      </c>
      <c r="E2551" s="23" t="str">
        <f aca="false">IF(D2551="?OLD","!!!","")</f>
        <v/>
      </c>
      <c r="F2551" s="25" t="str">
        <f aca="false">IF(OR(E2551="",E2551="!!!"),"",IF(NOT(ISNA(VLOOKUP(E2551,E$1:E2550,1,FALSE()))),"OLD",IF(AND(E2551&lt;&gt;"",E2551&lt;&gt;"!!!"),"NEW","")))</f>
        <v/>
      </c>
      <c r="G2551" s="26" t="str">
        <f aca="false">IF(OR(E2551="",E2551="!!!"),"",IF(OR(J2551=0,AND(J2551=1,K2551=1),AND(J2551=1,I2551="SBJ"),AND(J2551=1,I2551=0)),"?IN_FOCUS",IF(J2551&lt;=2,"?ACTIVATED",IF(J2551&lt;&gt;"","?FAMILIAR",IF(F2551="NEW",IF(ISNA(VLOOKUP(E2551,#REF!,1,FALSE())),"?TYPE_IDENTIFIABLE","?REFERENTIAL"),"_")))))</f>
        <v/>
      </c>
      <c r="H2551" s="27" t="str">
        <f aca="false">IF(J2551&lt;&gt;1,"",IF(I2551="SBJ","CB","?"))</f>
        <v/>
      </c>
      <c r="I2551" s="24" t="str">
        <f aca="false">IF(OR(E2551="",E2551="!!!",F2551="NEW"),"",INDEX(B34:B$2518,-1+SUMPRODUCT(MAX(ROW(E34:E$2518)*(E2551=E34:E$2518)))))</f>
        <v/>
      </c>
      <c r="J2551" s="24" t="str">
        <f aca="true">IF(OR(E2551="",E2551="!!!",F2551="NEW"),"",COUNTBLANK(OFFSET(A$1,,,SUMPRODUCT(MAX(ROW(E$2:E2551)*(E2551=E$2:E2551)))))-COUNTBLANK(OFFSET(A$1,,,SUMPRODUCT(MAX(ROW(E$1:E2550)*(E2=E$1:E2550))))))</f>
        <v/>
      </c>
      <c r="K2551" s="24" t="str">
        <f aca="false">IF(OR(E2551="",E2551="!!!",F2551="NEW"),"",INDEX(J$1:J2550,SUMPRODUCT(MAX(ROW(E$1:E2550)*(E2551=E$1:E2550)))))</f>
        <v/>
      </c>
      <c r="L2551" s="31"/>
    </row>
    <row r="2552" customFormat="false" ht="15" hidden="false" customHeight="false" outlineLevel="0" collapsed="false">
      <c r="A2552" s="20"/>
    </row>
    <row r="2553" customFormat="false" ht="15" hidden="false" customHeight="false" outlineLevel="0" collapsed="false">
      <c r="A2553" s="20" t="s">
        <v>1964</v>
      </c>
    </row>
    <row r="2554" customFormat="false" ht="15" hidden="false" customHeight="false" outlineLevel="0" collapsed="false">
      <c r="A2554" s="20" t="s">
        <v>1162</v>
      </c>
      <c r="B2554" s="22" t="s">
        <v>1058</v>
      </c>
      <c r="C2554" s="22" t="s">
        <v>1082</v>
      </c>
      <c r="D2554" s="22" t="s">
        <v>1060</v>
      </c>
      <c r="E2554" s="23" t="str">
        <f aca="false">IF(D2554="?OLD","!!!","")</f>
        <v>!!!</v>
      </c>
      <c r="F2554" s="25" t="str">
        <f aca="false">IF(OR(E2554="",E2554="!!!"),"",IF(NOT(ISNA(VLOOKUP(E2554,E$1:E2553,1,FALSE()))),"OLD",IF(AND(E2554&lt;&gt;"",E2554&lt;&gt;"!!!"),"NEW","")))</f>
        <v/>
      </c>
      <c r="G2554" s="26" t="str">
        <f aca="false">IF(OR(E2554="",E2554="!!!"),"",IF(OR(J2554=0,AND(J2554=1,K2554=1),AND(J2554=1,I2554="SBJ"),AND(J2554=1,I2554=0)),"?IN_FOCUS",IF(J2554&lt;=2,"?ACTIVATED",IF(J2554&lt;&gt;"","?FAMILIAR",IF(F2554="NEW",IF(ISNA(VLOOKUP(E2554,#REF!,1,FALSE())),"?TYPE_IDENTIFIABLE","?REFERENTIAL"),"_")))))</f>
        <v/>
      </c>
      <c r="H2554" s="27" t="str">
        <f aca="false">IF(J2554&lt;&gt;1,"",IF(I2554="SBJ","CB","?"))</f>
        <v/>
      </c>
      <c r="I2554" s="24" t="str">
        <f aca="false">IF(OR(E2554="",E2554="!!!",F2554="NEW"),"",INDEX(B2:B$2553,-1+SUMPRODUCT(MAX(ROW(E2:E$2553)*(E2554=E2:E$2553)))))</f>
        <v/>
      </c>
      <c r="J2554" s="24" t="str">
        <f aca="true">IF(OR(E2554="",E2554="!!!",F2554="NEW"),"",COUNTBLANK(OFFSET(A$1,,,SUMPRODUCT(MAX(ROW(E$2:E2554)*(E2554=E$2:E2554)))))-COUNTBLANK(OFFSET(A$1,,,SUMPRODUCT(MAX(ROW(E$1:E2553)*(E2=E$1:E2553))))))</f>
        <v/>
      </c>
      <c r="K2554" s="24" t="str">
        <f aca="false">IF(OR(E2554="",E2554="!!!",F2554="NEW"),"",INDEX(J$1:J2553,SUMPRODUCT(MAX(ROW(E$1:E2553)*(E2554=E$1:E2553)))))</f>
        <v/>
      </c>
      <c r="L2554" s="31"/>
    </row>
    <row r="2555" customFormat="false" ht="15" hidden="false" customHeight="false" outlineLevel="0" collapsed="false">
      <c r="A2555" s="20" t="s">
        <v>1459</v>
      </c>
      <c r="E2555" s="23" t="str">
        <f aca="false">IF(D2555="?OLD","!!!","")</f>
        <v/>
      </c>
      <c r="F2555" s="25" t="str">
        <f aca="false">IF(OR(E2555="",E2555="!!!"),"",IF(NOT(ISNA(VLOOKUP(E2555,E$1:E2554,1,FALSE()))),"OLD",IF(AND(E2555&lt;&gt;"",E2555&lt;&gt;"!!!"),"NEW","")))</f>
        <v/>
      </c>
      <c r="G2555" s="26" t="str">
        <f aca="false">IF(OR(E2555="",E2555="!!!"),"",IF(OR(J2555=0,AND(J2555=1,K2555=1),AND(J2555=1,I2555="SBJ"),AND(J2555=1,I2555=0)),"?IN_FOCUS",IF(J2555&lt;=2,"?ACTIVATED",IF(J2555&lt;&gt;"","?FAMILIAR",IF(F2555="NEW",IF(ISNA(VLOOKUP(E2555,#REF!,1,FALSE())),"?TYPE_IDENTIFIABLE","?REFERENTIAL"),"_")))))</f>
        <v/>
      </c>
      <c r="H2555" s="27" t="str">
        <f aca="false">IF(J2555&lt;&gt;1,"",IF(I2555="SBJ","CB","?"))</f>
        <v/>
      </c>
      <c r="I2555" s="24" t="str">
        <f aca="false">IF(OR(E2555="",E2555="!!!",F2555="NEW"),"",INDEX(B3:B$2553,-1+SUMPRODUCT(MAX(ROW(E3:E$2553)*(E2555=E3:E$2553)))))</f>
        <v/>
      </c>
      <c r="J2555" s="24" t="str">
        <f aca="true">IF(OR(E2555="",E2555="!!!",F2555="NEW"),"",COUNTBLANK(OFFSET(A$1,,,SUMPRODUCT(MAX(ROW(E$2:E2555)*(E2555=E$2:E2555)))))-COUNTBLANK(OFFSET(A$1,,,SUMPRODUCT(MAX(ROW(E$1:E2554)*(E2=E$1:E2554))))))</f>
        <v/>
      </c>
      <c r="K2555" s="24" t="str">
        <f aca="false">IF(OR(E2555="",E2555="!!!",F2555="NEW"),"",INDEX(J$1:J2554,SUMPRODUCT(MAX(ROW(E$1:E2554)*(E2555=E$1:E2554)))))</f>
        <v/>
      </c>
      <c r="L2555" s="31"/>
    </row>
    <row r="2556" customFormat="false" ht="15" hidden="false" customHeight="false" outlineLevel="0" collapsed="false">
      <c r="A2556" s="20" t="s">
        <v>1076</v>
      </c>
      <c r="E2556" s="23" t="str">
        <f aca="false">IF(D2556="?OLD","!!!","")</f>
        <v/>
      </c>
      <c r="F2556" s="25" t="str">
        <f aca="false">IF(OR(E2556="",E2556="!!!"),"",IF(NOT(ISNA(VLOOKUP(E2556,E$1:E2555,1,FALSE()))),"OLD",IF(AND(E2556&lt;&gt;"",E2556&lt;&gt;"!!!"),"NEW","")))</f>
        <v/>
      </c>
      <c r="G2556" s="26" t="str">
        <f aca="false">IF(OR(E2556="",E2556="!!!"),"",IF(OR(J2556=0,AND(J2556=1,K2556=1),AND(J2556=1,I2556="SBJ"),AND(J2556=1,I2556=0)),"?IN_FOCUS",IF(J2556&lt;=2,"?ACTIVATED",IF(J2556&lt;&gt;"","?FAMILIAR",IF(F2556="NEW",IF(ISNA(VLOOKUP(E2556,#REF!,1,FALSE())),"?TYPE_IDENTIFIABLE","?REFERENTIAL"),"_")))))</f>
        <v/>
      </c>
      <c r="H2556" s="27" t="str">
        <f aca="false">IF(J2556&lt;&gt;1,"",IF(I2556="SBJ","CB","?"))</f>
        <v/>
      </c>
      <c r="I2556" s="24" t="str">
        <f aca="false">IF(OR(E2556="",E2556="!!!",F2556="NEW"),"",INDEX(B4:B$2553,-1+SUMPRODUCT(MAX(ROW(E4:E$2553)*(E2556=E4:E$2553)))))</f>
        <v/>
      </c>
      <c r="J2556" s="24" t="str">
        <f aca="true">IF(OR(E2556="",E2556="!!!",F2556="NEW"),"",COUNTBLANK(OFFSET(A$1,,,SUMPRODUCT(MAX(ROW(E$2:E2556)*(E2556=E$2:E2556)))))-COUNTBLANK(OFFSET(A$1,,,SUMPRODUCT(MAX(ROW(E$1:E2555)*(E2=E$1:E2555))))))</f>
        <v/>
      </c>
      <c r="K2556" s="24" t="str">
        <f aca="false">IF(OR(E2556="",E2556="!!!",F2556="NEW"),"",INDEX(J$1:J2555,SUMPRODUCT(MAX(ROW(E$1:E2555)*(E2556=E$1:E2555)))))</f>
        <v/>
      </c>
      <c r="L2556" s="31"/>
    </row>
    <row r="2557" customFormat="false" ht="15" hidden="false" customHeight="false" outlineLevel="0" collapsed="false">
      <c r="A2557" s="20" t="s">
        <v>1965</v>
      </c>
      <c r="E2557" s="23" t="str">
        <f aca="false">IF(D2557="?OLD","!!!","")</f>
        <v/>
      </c>
      <c r="F2557" s="25" t="str">
        <f aca="false">IF(OR(E2557="",E2557="!!!"),"",IF(NOT(ISNA(VLOOKUP(E2557,E$1:E2556,1,FALSE()))),"OLD",IF(AND(E2557&lt;&gt;"",E2557&lt;&gt;"!!!"),"NEW","")))</f>
        <v/>
      </c>
      <c r="G2557" s="26" t="str">
        <f aca="false">IF(OR(E2557="",E2557="!!!"),"",IF(OR(J2557=0,AND(J2557=1,K2557=1),AND(J2557=1,I2557="SBJ"),AND(J2557=1,I2557=0)),"?IN_FOCUS",IF(J2557&lt;=2,"?ACTIVATED",IF(J2557&lt;&gt;"","?FAMILIAR",IF(F2557="NEW",IF(ISNA(VLOOKUP(E2557,#REF!,1,FALSE())),"?TYPE_IDENTIFIABLE","?REFERENTIAL"),"_")))))</f>
        <v/>
      </c>
      <c r="H2557" s="27" t="str">
        <f aca="false">IF(J2557&lt;&gt;1,"",IF(I2557="SBJ","CB","?"))</f>
        <v/>
      </c>
      <c r="I2557" s="24" t="str">
        <f aca="false">IF(OR(E2557="",E2557="!!!",F2557="NEW"),"",INDEX(B5:B$2553,-1+SUMPRODUCT(MAX(ROW(E5:E$2553)*(E2557=E5:E$2553)))))</f>
        <v/>
      </c>
      <c r="J2557" s="24" t="str">
        <f aca="true">IF(OR(E2557="",E2557="!!!",F2557="NEW"),"",COUNTBLANK(OFFSET(A$1,,,SUMPRODUCT(MAX(ROW(E$2:E2557)*(E2557=E$2:E2557)))))-COUNTBLANK(OFFSET(A$1,,,SUMPRODUCT(MAX(ROW(E$1:E2556)*(E2=E$1:E2556))))))</f>
        <v/>
      </c>
      <c r="K2557" s="24" t="str">
        <f aca="false">IF(OR(E2557="",E2557="!!!",F2557="NEW"),"",INDEX(J$1:J2556,SUMPRODUCT(MAX(ROW(E$1:E2556)*(E2557=E$1:E2556)))))</f>
        <v/>
      </c>
      <c r="L2557" s="31"/>
    </row>
    <row r="2558" customFormat="false" ht="15" hidden="false" customHeight="false" outlineLevel="0" collapsed="false">
      <c r="A2558" s="20" t="s">
        <v>1076</v>
      </c>
      <c r="E2558" s="23" t="str">
        <f aca="false">IF(D2558="?OLD","!!!","")</f>
        <v/>
      </c>
      <c r="F2558" s="25" t="str">
        <f aca="false">IF(OR(E2558="",E2558="!!!"),"",IF(NOT(ISNA(VLOOKUP(E2558,E$1:E2557,1,FALSE()))),"OLD",IF(AND(E2558&lt;&gt;"",E2558&lt;&gt;"!!!"),"NEW","")))</f>
        <v/>
      </c>
      <c r="G2558" s="26" t="str">
        <f aca="false">IF(OR(E2558="",E2558="!!!"),"",IF(OR(J2558=0,AND(J2558=1,K2558=1),AND(J2558=1,I2558="SBJ"),AND(J2558=1,I2558=0)),"?IN_FOCUS",IF(J2558&lt;=2,"?ACTIVATED",IF(J2558&lt;&gt;"","?FAMILIAR",IF(F2558="NEW",IF(ISNA(VLOOKUP(E2558,#REF!,1,FALSE())),"?TYPE_IDENTIFIABLE","?REFERENTIAL"),"_")))))</f>
        <v/>
      </c>
      <c r="H2558" s="27" t="str">
        <f aca="false">IF(J2558&lt;&gt;1,"",IF(I2558="SBJ","CB","?"))</f>
        <v/>
      </c>
      <c r="I2558" s="24" t="str">
        <f aca="false">IF(OR(E2558="",E2558="!!!",F2558="NEW"),"",INDEX(B6:B$2553,-1+SUMPRODUCT(MAX(ROW(E6:E$2553)*(E2558=E6:E$2553)))))</f>
        <v/>
      </c>
      <c r="J2558" s="24" t="str">
        <f aca="true">IF(OR(E2558="",E2558="!!!",F2558="NEW"),"",COUNTBLANK(OFFSET(A$1,,,SUMPRODUCT(MAX(ROW(E$2:E2558)*(E2558=E$2:E2558)))))-COUNTBLANK(OFFSET(A$1,,,SUMPRODUCT(MAX(ROW(E$1:E2557)*(E2=E$1:E2557))))))</f>
        <v/>
      </c>
      <c r="K2558" s="24" t="str">
        <f aca="false">IF(OR(E2558="",E2558="!!!",F2558="NEW"),"",INDEX(J$1:J2557,SUMPRODUCT(MAX(ROW(E$1:E2557)*(E2558=E$1:E2557)))))</f>
        <v/>
      </c>
      <c r="L2558" s="31"/>
    </row>
    <row r="2559" customFormat="false" ht="15" hidden="false" customHeight="false" outlineLevel="0" collapsed="false">
      <c r="A2559" s="20" t="s">
        <v>1128</v>
      </c>
      <c r="E2559" s="23" t="str">
        <f aca="false">IF(D2559="?OLD","!!!","")</f>
        <v/>
      </c>
      <c r="F2559" s="25" t="str">
        <f aca="false">IF(OR(E2559="",E2559="!!!"),"",IF(NOT(ISNA(VLOOKUP(E2559,E$1:E2558,1,FALSE()))),"OLD",IF(AND(E2559&lt;&gt;"",E2559&lt;&gt;"!!!"),"NEW","")))</f>
        <v/>
      </c>
      <c r="G2559" s="26" t="str">
        <f aca="false">IF(OR(E2559="",E2559="!!!"),"",IF(OR(J2559=0,AND(J2559=1,K2559=1),AND(J2559=1,I2559="SBJ"),AND(J2559=1,I2559=0)),"?IN_FOCUS",IF(J2559&lt;=2,"?ACTIVATED",IF(J2559&lt;&gt;"","?FAMILIAR",IF(F2559="NEW",IF(ISNA(VLOOKUP(E2559,#REF!,1,FALSE())),"?TYPE_IDENTIFIABLE","?REFERENTIAL"),"_")))))</f>
        <v/>
      </c>
      <c r="H2559" s="27" t="str">
        <f aca="false">IF(J2559&lt;&gt;1,"",IF(I2559="SBJ","CB","?"))</f>
        <v/>
      </c>
      <c r="I2559" s="24" t="str">
        <f aca="false">IF(OR(E2559="",E2559="!!!",F2559="NEW"),"",INDEX(B7:B$2553,-1+SUMPRODUCT(MAX(ROW(E7:E$2553)*(E2559=E7:E$2553)))))</f>
        <v/>
      </c>
      <c r="J2559" s="24" t="str">
        <f aca="true">IF(OR(E2559="",E2559="!!!",F2559="NEW"),"",COUNTBLANK(OFFSET(A$1,,,SUMPRODUCT(MAX(ROW(E$2:E2559)*(E2559=E$2:E2559)))))-COUNTBLANK(OFFSET(A$1,,,SUMPRODUCT(MAX(ROW(E$1:E2558)*(E2=E$1:E2558))))))</f>
        <v/>
      </c>
      <c r="K2559" s="24" t="str">
        <f aca="false">IF(OR(E2559="",E2559="!!!",F2559="NEW"),"",INDEX(J$1:J2558,SUMPRODUCT(MAX(ROW(E$1:E2558)*(E2559=E$1:E2558)))))</f>
        <v/>
      </c>
      <c r="L2559" s="31"/>
    </row>
    <row r="2560" customFormat="false" ht="15" hidden="false" customHeight="false" outlineLevel="0" collapsed="false">
      <c r="A2560" s="20" t="s">
        <v>1966</v>
      </c>
      <c r="E2560" s="23" t="str">
        <f aca="false">IF(D2560="?OLD","!!!","")</f>
        <v/>
      </c>
      <c r="F2560" s="25" t="str">
        <f aca="false">IF(OR(E2560="",E2560="!!!"),"",IF(NOT(ISNA(VLOOKUP(E2560,E$1:E2559,1,FALSE()))),"OLD",IF(AND(E2560&lt;&gt;"",E2560&lt;&gt;"!!!"),"NEW","")))</f>
        <v/>
      </c>
      <c r="G2560" s="26" t="str">
        <f aca="false">IF(OR(E2560="",E2560="!!!"),"",IF(OR(J2560=0,AND(J2560=1,K2560=1),AND(J2560=1,I2560="SBJ"),AND(J2560=1,I2560=0)),"?IN_FOCUS",IF(J2560&lt;=2,"?ACTIVATED",IF(J2560&lt;&gt;"","?FAMILIAR",IF(F2560="NEW",IF(ISNA(VLOOKUP(E2560,#REF!,1,FALSE())),"?TYPE_IDENTIFIABLE","?REFERENTIAL"),"_")))))</f>
        <v/>
      </c>
      <c r="H2560" s="27" t="str">
        <f aca="false">IF(J2560&lt;&gt;1,"",IF(I2560="SBJ","CB","?"))</f>
        <v/>
      </c>
      <c r="I2560" s="24" t="str">
        <f aca="false">IF(OR(E2560="",E2560="!!!",F2560="NEW"),"",INDEX(B8:B$2553,-1+SUMPRODUCT(MAX(ROW(E8:E$2553)*(E2560=E8:E$2553)))))</f>
        <v/>
      </c>
      <c r="J2560" s="24" t="str">
        <f aca="true">IF(OR(E2560="",E2560="!!!",F2560="NEW"),"",COUNTBLANK(OFFSET(A$1,,,SUMPRODUCT(MAX(ROW(E$2:E2560)*(E2560=E$2:E2560)))))-COUNTBLANK(OFFSET(A$1,,,SUMPRODUCT(MAX(ROW(E$1:E2559)*(E2=E$1:E2559))))))</f>
        <v/>
      </c>
      <c r="K2560" s="24" t="str">
        <f aca="false">IF(OR(E2560="",E2560="!!!",F2560="NEW"),"",INDEX(J$1:J2559,SUMPRODUCT(MAX(ROW(E$1:E2559)*(E2560=E$1:E2559)))))</f>
        <v/>
      </c>
      <c r="L2560" s="31"/>
    </row>
    <row r="2561" customFormat="false" ht="15" hidden="false" customHeight="false" outlineLevel="0" collapsed="false">
      <c r="A2561" s="20" t="s">
        <v>1313</v>
      </c>
      <c r="B2561" s="22" t="s">
        <v>1107</v>
      </c>
      <c r="C2561" s="22" t="s">
        <v>1099</v>
      </c>
      <c r="D2561" s="22" t="s">
        <v>1060</v>
      </c>
      <c r="E2561" s="23" t="str">
        <f aca="false">IF(D2561="?OLD","!!!","")</f>
        <v>!!!</v>
      </c>
      <c r="F2561" s="25" t="str">
        <f aca="false">IF(OR(E2561="",E2561="!!!"),"",IF(NOT(ISNA(VLOOKUP(E2561,E$1:E2560,1,FALSE()))),"OLD",IF(AND(E2561&lt;&gt;"",E2561&lt;&gt;"!!!"),"NEW","")))</f>
        <v/>
      </c>
      <c r="G2561" s="26" t="str">
        <f aca="false">IF(OR(E2561="",E2561="!!!"),"",IF(OR(J2561=0,AND(J2561=1,K2561=1),AND(J2561=1,I2561="SBJ"),AND(J2561=1,I2561=0)),"?IN_FOCUS",IF(J2561&lt;=2,"?ACTIVATED",IF(J2561&lt;&gt;"","?FAMILIAR",IF(F2561="NEW",IF(ISNA(VLOOKUP(E2561,#REF!,1,FALSE())),"?TYPE_IDENTIFIABLE","?REFERENTIAL"),"_")))))</f>
        <v/>
      </c>
      <c r="H2561" s="27" t="str">
        <f aca="false">IF(J2561&lt;&gt;1,"",IF(I2561="SBJ","CB","?"))</f>
        <v/>
      </c>
      <c r="I2561" s="24" t="str">
        <f aca="false">IF(OR(E2561="",E2561="!!!",F2561="NEW"),"",INDEX(B9:B$2553,-1+SUMPRODUCT(MAX(ROW(E9:E$2553)*(E2561=E9:E$2553)))))</f>
        <v/>
      </c>
      <c r="J2561" s="24" t="str">
        <f aca="true">IF(OR(E2561="",E2561="!!!",F2561="NEW"),"",COUNTBLANK(OFFSET(A$1,,,SUMPRODUCT(MAX(ROW(E$2:E2561)*(E2561=E$2:E2561)))))-COUNTBLANK(OFFSET(A$1,,,SUMPRODUCT(MAX(ROW(E$1:E2560)*(E2=E$1:E2560))))))</f>
        <v/>
      </c>
      <c r="K2561" s="24" t="str">
        <f aca="false">IF(OR(E2561="",E2561="!!!",F2561="NEW"),"",INDEX(J$1:J2560,SUMPRODUCT(MAX(ROW(E$1:E2560)*(E2561=E$1:E2560)))))</f>
        <v/>
      </c>
      <c r="L2561" s="31"/>
    </row>
    <row r="2562" customFormat="false" ht="15" hidden="false" customHeight="false" outlineLevel="0" collapsed="false">
      <c r="A2562" s="20" t="s">
        <v>1809</v>
      </c>
      <c r="B2562" s="22" t="s">
        <v>1146</v>
      </c>
      <c r="C2562" s="22" t="s">
        <v>1059</v>
      </c>
      <c r="D2562" s="22" t="s">
        <v>1060</v>
      </c>
      <c r="E2562" s="23" t="str">
        <f aca="false">IF(D2562="?OLD","!!!","")</f>
        <v>!!!</v>
      </c>
      <c r="F2562" s="25" t="str">
        <f aca="false">IF(OR(E2562="",E2562="!!!"),"",IF(NOT(ISNA(VLOOKUP(E2562,E$1:E2561,1,FALSE()))),"OLD",IF(AND(E2562&lt;&gt;"",E2562&lt;&gt;"!!!"),"NEW","")))</f>
        <v/>
      </c>
      <c r="G2562" s="26" t="str">
        <f aca="false">IF(OR(E2562="",E2562="!!!"),"",IF(OR(J2562=0,AND(J2562=1,K2562=1),AND(J2562=1,I2562="SBJ"),AND(J2562=1,I2562=0)),"?IN_FOCUS",IF(J2562&lt;=2,"?ACTIVATED",IF(J2562&lt;&gt;"","?FAMILIAR",IF(F2562="NEW",IF(ISNA(VLOOKUP(E2562,#REF!,1,FALSE())),"?TYPE_IDENTIFIABLE","?REFERENTIAL"),"_")))))</f>
        <v/>
      </c>
      <c r="H2562" s="27" t="str">
        <f aca="false">IF(J2562&lt;&gt;1,"",IF(I2562="SBJ","CB","?"))</f>
        <v/>
      </c>
      <c r="I2562" s="24" t="str">
        <f aca="false">IF(OR(E2562="",E2562="!!!",F2562="NEW"),"",INDEX(B10:B$2553,-1+SUMPRODUCT(MAX(ROW(E10:E$2553)*(E2562=E10:E$2553)))))</f>
        <v/>
      </c>
      <c r="J2562" s="24" t="str">
        <f aca="true">IF(OR(E2562="",E2562="!!!",F2562="NEW"),"",COUNTBLANK(OFFSET(A$1,,,SUMPRODUCT(MAX(ROW(E$2:E2562)*(E2562=E$2:E2562)))))-COUNTBLANK(OFFSET(A$1,,,SUMPRODUCT(MAX(ROW(E$1:E2561)*(E2=E$1:E2561))))))</f>
        <v/>
      </c>
      <c r="K2562" s="24" t="str">
        <f aca="false">IF(OR(E2562="",E2562="!!!",F2562="NEW"),"",INDEX(J$1:J2561,SUMPRODUCT(MAX(ROW(E$1:E2561)*(E2562=E$1:E2561)))))</f>
        <v/>
      </c>
      <c r="L2562" s="31"/>
    </row>
    <row r="2563" customFormat="false" ht="15" hidden="false" customHeight="false" outlineLevel="0" collapsed="false">
      <c r="A2563" s="20" t="s">
        <v>1095</v>
      </c>
      <c r="E2563" s="23" t="str">
        <f aca="false">IF(D2563="?OLD","!!!","")</f>
        <v/>
      </c>
      <c r="F2563" s="25" t="str">
        <f aca="false">IF(OR(E2563="",E2563="!!!"),"",IF(NOT(ISNA(VLOOKUP(E2563,E$1:E2562,1,FALSE()))),"OLD",IF(AND(E2563&lt;&gt;"",E2563&lt;&gt;"!!!"),"NEW","")))</f>
        <v/>
      </c>
      <c r="G2563" s="26" t="str">
        <f aca="false">IF(OR(E2563="",E2563="!!!"),"",IF(OR(J2563=0,AND(J2563=1,K2563=1),AND(J2563=1,I2563="SBJ"),AND(J2563=1,I2563=0)),"?IN_FOCUS",IF(J2563&lt;=2,"?ACTIVATED",IF(J2563&lt;&gt;"","?FAMILIAR",IF(F2563="NEW",IF(ISNA(VLOOKUP(E2563,#REF!,1,FALSE())),"?TYPE_IDENTIFIABLE","?REFERENTIAL"),"_")))))</f>
        <v/>
      </c>
      <c r="H2563" s="27" t="str">
        <f aca="false">IF(J2563&lt;&gt;1,"",IF(I2563="SBJ","CB","?"))</f>
        <v/>
      </c>
      <c r="I2563" s="24" t="str">
        <f aca="false">IF(OR(E2563="",E2563="!!!",F2563="NEW"),"",INDEX(B11:B$2553,-1+SUMPRODUCT(MAX(ROW(E11:E$2553)*(E2563=E11:E$2553)))))</f>
        <v/>
      </c>
      <c r="J2563" s="24" t="str">
        <f aca="true">IF(OR(E2563="",E2563="!!!",F2563="NEW"),"",COUNTBLANK(OFFSET(A$1,,,SUMPRODUCT(MAX(ROW(E$2:E2563)*(E2563=E$2:E2563)))))-COUNTBLANK(OFFSET(A$1,,,SUMPRODUCT(MAX(ROW(E$1:E2562)*(E2=E$1:E2562))))))</f>
        <v/>
      </c>
      <c r="K2563" s="24" t="str">
        <f aca="false">IF(OR(E2563="",E2563="!!!",F2563="NEW"),"",INDEX(J$1:J2562,SUMPRODUCT(MAX(ROW(E$1:E2562)*(E2563=E$1:E2562)))))</f>
        <v/>
      </c>
      <c r="L2563" s="31"/>
    </row>
    <row r="2564" customFormat="false" ht="15" hidden="false" customHeight="false" outlineLevel="0" collapsed="false">
      <c r="A2564" s="20" t="s">
        <v>1109</v>
      </c>
      <c r="E2564" s="23" t="str">
        <f aca="false">IF(D2564="?OLD","!!!","")</f>
        <v/>
      </c>
      <c r="F2564" s="25" t="str">
        <f aca="false">IF(OR(E2564="",E2564="!!!"),"",IF(NOT(ISNA(VLOOKUP(E2564,E$1:E2563,1,FALSE()))),"OLD",IF(AND(E2564&lt;&gt;"",E2564&lt;&gt;"!!!"),"NEW","")))</f>
        <v/>
      </c>
      <c r="G2564" s="26" t="str">
        <f aca="false">IF(OR(E2564="",E2564="!!!"),"",IF(OR(J2564=0,AND(J2564=1,K2564=1),AND(J2564=1,I2564="SBJ"),AND(J2564=1,I2564=0)),"?IN_FOCUS",IF(J2564&lt;=2,"?ACTIVATED",IF(J2564&lt;&gt;"","?FAMILIAR",IF(F2564="NEW",IF(ISNA(VLOOKUP(E2564,#REF!,1,FALSE())),"?TYPE_IDENTIFIABLE","?REFERENTIAL"),"_")))))</f>
        <v/>
      </c>
      <c r="H2564" s="27" t="str">
        <f aca="false">IF(J2564&lt;&gt;1,"",IF(I2564="SBJ","CB","?"))</f>
        <v/>
      </c>
      <c r="I2564" s="24" t="str">
        <f aca="false">IF(OR(E2564="",E2564="!!!",F2564="NEW"),"",INDEX(B12:B$2553,-1+SUMPRODUCT(MAX(ROW(E12:E$2553)*(E2564=E12:E$2553)))))</f>
        <v/>
      </c>
      <c r="J2564" s="24" t="str">
        <f aca="true">IF(OR(E2564="",E2564="!!!",F2564="NEW"),"",COUNTBLANK(OFFSET(A$1,,,SUMPRODUCT(MAX(ROW(E$2:E2564)*(E2564=E$2:E2564)))))-COUNTBLANK(OFFSET(A$1,,,SUMPRODUCT(MAX(ROW(E$1:E2563)*(E2=E$1:E2563))))))</f>
        <v/>
      </c>
      <c r="K2564" s="24" t="str">
        <f aca="false">IF(OR(E2564="",E2564="!!!",F2564="NEW"),"",INDEX(J$1:J2563,SUMPRODUCT(MAX(ROW(E$1:E2563)*(E2564=E$1:E2563)))))</f>
        <v/>
      </c>
      <c r="L2564" s="31"/>
    </row>
    <row r="2565" customFormat="false" ht="15" hidden="false" customHeight="false" outlineLevel="0" collapsed="false">
      <c r="A2565" s="20" t="s">
        <v>1851</v>
      </c>
      <c r="B2565" s="22" t="s">
        <v>1107</v>
      </c>
      <c r="C2565" s="22" t="s">
        <v>1150</v>
      </c>
      <c r="D2565" s="22" t="s">
        <v>1060</v>
      </c>
      <c r="E2565" s="23" t="str">
        <f aca="false">IF(D2565="?OLD","!!!","")</f>
        <v>!!!</v>
      </c>
      <c r="F2565" s="25" t="str">
        <f aca="false">IF(OR(E2565="",E2565="!!!"),"",IF(NOT(ISNA(VLOOKUP(E2565,E$1:E2564,1,FALSE()))),"OLD",IF(AND(E2565&lt;&gt;"",E2565&lt;&gt;"!!!"),"NEW","")))</f>
        <v/>
      </c>
      <c r="G2565" s="26" t="str">
        <f aca="false">IF(OR(E2565="",E2565="!!!"),"",IF(OR(J2565=0,AND(J2565=1,K2565=1),AND(J2565=1,I2565="SBJ"),AND(J2565=1,I2565=0)),"?IN_FOCUS",IF(J2565&lt;=2,"?ACTIVATED",IF(J2565&lt;&gt;"","?FAMILIAR",IF(F2565="NEW",IF(ISNA(VLOOKUP(E2565,#REF!,1,FALSE())),"?TYPE_IDENTIFIABLE","?REFERENTIAL"),"_")))))</f>
        <v/>
      </c>
      <c r="H2565" s="27" t="str">
        <f aca="false">IF(J2565&lt;&gt;1,"",IF(I2565="SBJ","CB","?"))</f>
        <v/>
      </c>
      <c r="I2565" s="24" t="str">
        <f aca="false">IF(OR(E2565="",E2565="!!!",F2565="NEW"),"",INDEX(B13:B$2553,-1+SUMPRODUCT(MAX(ROW(E13:E$2553)*(E2565=E13:E$2553)))))</f>
        <v/>
      </c>
      <c r="J2565" s="24" t="str">
        <f aca="true">IF(OR(E2565="",E2565="!!!",F2565="NEW"),"",COUNTBLANK(OFFSET(A$1,,,SUMPRODUCT(MAX(ROW(E$2:E2565)*(E2565=E$2:E2565)))))-COUNTBLANK(OFFSET(A$1,,,SUMPRODUCT(MAX(ROW(E$1:E2564)*(E2=E$1:E2564))))))</f>
        <v/>
      </c>
      <c r="K2565" s="24" t="str">
        <f aca="false">IF(OR(E2565="",E2565="!!!",F2565="NEW"),"",INDEX(J$1:J2564,SUMPRODUCT(MAX(ROW(E$1:E2564)*(E2565=E$1:E2564)))))</f>
        <v/>
      </c>
      <c r="L2565" s="31"/>
    </row>
    <row r="2566" customFormat="false" ht="15" hidden="false" customHeight="false" outlineLevel="0" collapsed="false">
      <c r="A2566" s="20" t="s">
        <v>1076</v>
      </c>
      <c r="E2566" s="23" t="str">
        <f aca="false">IF(D2566="?OLD","!!!","")</f>
        <v/>
      </c>
      <c r="F2566" s="25" t="str">
        <f aca="false">IF(OR(E2566="",E2566="!!!"),"",IF(NOT(ISNA(VLOOKUP(E2566,E$1:E2565,1,FALSE()))),"OLD",IF(AND(E2566&lt;&gt;"",E2566&lt;&gt;"!!!"),"NEW","")))</f>
        <v/>
      </c>
      <c r="G2566" s="26" t="str">
        <f aca="false">IF(OR(E2566="",E2566="!!!"),"",IF(OR(J2566=0,AND(J2566=1,K2566=1),AND(J2566=1,I2566="SBJ"),AND(J2566=1,I2566=0)),"?IN_FOCUS",IF(J2566&lt;=2,"?ACTIVATED",IF(J2566&lt;&gt;"","?FAMILIAR",IF(F2566="NEW",IF(ISNA(VLOOKUP(E2566,#REF!,1,FALSE())),"?TYPE_IDENTIFIABLE","?REFERENTIAL"),"_")))))</f>
        <v/>
      </c>
      <c r="H2566" s="27" t="str">
        <f aca="false">IF(J2566&lt;&gt;1,"",IF(I2566="SBJ","CB","?"))</f>
        <v/>
      </c>
      <c r="I2566" s="24" t="str">
        <f aca="false">IF(OR(E2566="",E2566="!!!",F2566="NEW"),"",INDEX(B14:B$2553,-1+SUMPRODUCT(MAX(ROW(E14:E$2553)*(E2566=E14:E$2553)))))</f>
        <v/>
      </c>
      <c r="J2566" s="24" t="str">
        <f aca="true">IF(OR(E2566="",E2566="!!!",F2566="NEW"),"",COUNTBLANK(OFFSET(A$1,,,SUMPRODUCT(MAX(ROW(E$2:E2566)*(E2566=E$2:E2566)))))-COUNTBLANK(OFFSET(A$1,,,SUMPRODUCT(MAX(ROW(E$1:E2565)*(E2=E$1:E2565))))))</f>
        <v/>
      </c>
      <c r="K2566" s="24" t="str">
        <f aca="false">IF(OR(E2566="",E2566="!!!",F2566="NEW"),"",INDEX(J$1:J2565,SUMPRODUCT(MAX(ROW(E$1:E2565)*(E2566=E$1:E2565)))))</f>
        <v/>
      </c>
      <c r="L2566" s="31"/>
    </row>
    <row r="2567" customFormat="false" ht="15" hidden="false" customHeight="false" outlineLevel="0" collapsed="false">
      <c r="A2567" s="20" t="s">
        <v>1605</v>
      </c>
      <c r="E2567" s="23" t="str">
        <f aca="false">IF(D2567="?OLD","!!!","")</f>
        <v/>
      </c>
      <c r="F2567" s="25" t="str">
        <f aca="false">IF(OR(E2567="",E2567="!!!"),"",IF(NOT(ISNA(VLOOKUP(E2567,E$1:E2566,1,FALSE()))),"OLD",IF(AND(E2567&lt;&gt;"",E2567&lt;&gt;"!!!"),"NEW","")))</f>
        <v/>
      </c>
      <c r="G2567" s="26" t="str">
        <f aca="false">IF(OR(E2567="",E2567="!!!"),"",IF(OR(J2567=0,AND(J2567=1,K2567=1),AND(J2567=1,I2567="SBJ"),AND(J2567=1,I2567=0)),"?IN_FOCUS",IF(J2567&lt;=2,"?ACTIVATED",IF(J2567&lt;&gt;"","?FAMILIAR",IF(F2567="NEW",IF(ISNA(VLOOKUP(E2567,#REF!,1,FALSE())),"?TYPE_IDENTIFIABLE","?REFERENTIAL"),"_")))))</f>
        <v/>
      </c>
      <c r="H2567" s="27" t="str">
        <f aca="false">IF(J2567&lt;&gt;1,"",IF(I2567="SBJ","CB","?"))</f>
        <v/>
      </c>
      <c r="I2567" s="24" t="str">
        <f aca="false">IF(OR(E2567="",E2567="!!!",F2567="NEW"),"",INDEX(B15:B$2553,-1+SUMPRODUCT(MAX(ROW(E15:E$2553)*(E2567=E15:E$2553)))))</f>
        <v/>
      </c>
      <c r="J2567" s="24" t="str">
        <f aca="true">IF(OR(E2567="",E2567="!!!",F2567="NEW"),"",COUNTBLANK(OFFSET(A$1,,,SUMPRODUCT(MAX(ROW(E$2:E2567)*(E2567=E$2:E2567)))))-COUNTBLANK(OFFSET(A$1,,,SUMPRODUCT(MAX(ROW(E$1:E2566)*(E2=E$1:E2566))))))</f>
        <v/>
      </c>
      <c r="K2567" s="24" t="str">
        <f aca="false">IF(OR(E2567="",E2567="!!!",F2567="NEW"),"",INDEX(J$1:J2566,SUMPRODUCT(MAX(ROW(E$1:E2566)*(E2567=E$1:E2566)))))</f>
        <v/>
      </c>
      <c r="L2567" s="31"/>
    </row>
    <row r="2568" customFormat="false" ht="15" hidden="false" customHeight="false" outlineLevel="0" collapsed="false">
      <c r="A2568" s="20" t="s">
        <v>1967</v>
      </c>
      <c r="B2568" s="22" t="s">
        <v>1107</v>
      </c>
      <c r="C2568" s="22" t="s">
        <v>1160</v>
      </c>
      <c r="E2568" s="23" t="str">
        <f aca="false">IF(D2568="?OLD","!!!","")</f>
        <v/>
      </c>
      <c r="F2568" s="25" t="str">
        <f aca="false">IF(OR(E2568="",E2568="!!!"),"",IF(NOT(ISNA(VLOOKUP(E2568,E$1:E2567,1,FALSE()))),"OLD",IF(AND(E2568&lt;&gt;"",E2568&lt;&gt;"!!!"),"NEW","")))</f>
        <v/>
      </c>
      <c r="G2568" s="26" t="str">
        <f aca="false">IF(OR(E2568="",E2568="!!!"),"",IF(OR(J2568=0,AND(J2568=1,K2568=1),AND(J2568=1,I2568="SBJ"),AND(J2568=1,I2568=0)),"?IN_FOCUS",IF(J2568&lt;=2,"?ACTIVATED",IF(J2568&lt;&gt;"","?FAMILIAR",IF(F2568="NEW",IF(ISNA(VLOOKUP(E2568,#REF!,1,FALSE())),"?TYPE_IDENTIFIABLE","?REFERENTIAL"),"_")))))</f>
        <v/>
      </c>
      <c r="H2568" s="27" t="str">
        <f aca="false">IF(J2568&lt;&gt;1,"",IF(I2568="SBJ","CB","?"))</f>
        <v/>
      </c>
      <c r="I2568" s="24" t="str">
        <f aca="false">IF(OR(E2568="",E2568="!!!",F2568="NEW"),"",INDEX(B16:B$2553,-1+SUMPRODUCT(MAX(ROW(E16:E$2553)*(E2568=E16:E$2553)))))</f>
        <v/>
      </c>
      <c r="J2568" s="24" t="str">
        <f aca="true">IF(OR(E2568="",E2568="!!!",F2568="NEW"),"",COUNTBLANK(OFFSET(A$1,,,SUMPRODUCT(MAX(ROW(E$2:E2568)*(E2568=E$2:E2568)))))-COUNTBLANK(OFFSET(A$1,,,SUMPRODUCT(MAX(ROW(E$1:E2567)*(E2=E$1:E2567))))))</f>
        <v/>
      </c>
      <c r="K2568" s="24" t="str">
        <f aca="false">IF(OR(E2568="",E2568="!!!",F2568="NEW"),"",INDEX(J$1:J2567,SUMPRODUCT(MAX(ROW(E$1:E2567)*(E2568=E$1:E2567)))))</f>
        <v/>
      </c>
      <c r="L2568" s="31"/>
    </row>
    <row r="2569" customFormat="false" ht="15" hidden="false" customHeight="false" outlineLevel="0" collapsed="false">
      <c r="A2569" s="20" t="s">
        <v>1076</v>
      </c>
      <c r="E2569" s="23" t="str">
        <f aca="false">IF(D2569="?OLD","!!!","")</f>
        <v/>
      </c>
      <c r="F2569" s="25" t="str">
        <f aca="false">IF(OR(E2569="",E2569="!!!"),"",IF(NOT(ISNA(VLOOKUP(E2569,E$1:E2568,1,FALSE()))),"OLD",IF(AND(E2569&lt;&gt;"",E2569&lt;&gt;"!!!"),"NEW","")))</f>
        <v/>
      </c>
      <c r="G2569" s="26" t="str">
        <f aca="false">IF(OR(E2569="",E2569="!!!"),"",IF(OR(J2569=0,AND(J2569=1,K2569=1),AND(J2569=1,I2569="SBJ"),AND(J2569=1,I2569=0)),"?IN_FOCUS",IF(J2569&lt;=2,"?ACTIVATED",IF(J2569&lt;&gt;"","?FAMILIAR",IF(F2569="NEW",IF(ISNA(VLOOKUP(E2569,#REF!,1,FALSE())),"?TYPE_IDENTIFIABLE","?REFERENTIAL"),"_")))))</f>
        <v/>
      </c>
      <c r="H2569" s="27" t="str">
        <f aca="false">IF(J2569&lt;&gt;1,"",IF(I2569="SBJ","CB","?"))</f>
        <v/>
      </c>
      <c r="I2569" s="24" t="str">
        <f aca="false">IF(OR(E2569="",E2569="!!!",F2569="NEW"),"",INDEX(B17:B$2553,-1+SUMPRODUCT(MAX(ROW(E17:E$2553)*(E2569=E17:E$2553)))))</f>
        <v/>
      </c>
      <c r="J2569" s="24" t="str">
        <f aca="true">IF(OR(E2569="",E2569="!!!",F2569="NEW"),"",COUNTBLANK(OFFSET(A$1,,,SUMPRODUCT(MAX(ROW(E$2:E2569)*(E2569=E$2:E2569)))))-COUNTBLANK(OFFSET(A$1,,,SUMPRODUCT(MAX(ROW(E$1:E2568)*(E2=E$1:E2568))))))</f>
        <v/>
      </c>
      <c r="K2569" s="24" t="str">
        <f aca="false">IF(OR(E2569="",E2569="!!!",F2569="NEW"),"",INDEX(J$1:J2568,SUMPRODUCT(MAX(ROW(E$1:E2568)*(E2569=E$1:E2568)))))</f>
        <v/>
      </c>
      <c r="L2569" s="31"/>
    </row>
    <row r="2570" customFormat="false" ht="15" hidden="false" customHeight="false" outlineLevel="0" collapsed="false">
      <c r="A2570" s="20" t="s">
        <v>1168</v>
      </c>
      <c r="E2570" s="23" t="str">
        <f aca="false">IF(D2570="?OLD","!!!","")</f>
        <v/>
      </c>
      <c r="F2570" s="25" t="str">
        <f aca="false">IF(OR(E2570="",E2570="!!!"),"",IF(NOT(ISNA(VLOOKUP(E2570,E$1:E2569,1,FALSE()))),"OLD",IF(AND(E2570&lt;&gt;"",E2570&lt;&gt;"!!!"),"NEW","")))</f>
        <v/>
      </c>
      <c r="G2570" s="26" t="str">
        <f aca="false">IF(OR(E2570="",E2570="!!!"),"",IF(OR(J2570=0,AND(J2570=1,K2570=1),AND(J2570=1,I2570="SBJ"),AND(J2570=1,I2570=0)),"?IN_FOCUS",IF(J2570&lt;=2,"?ACTIVATED",IF(J2570&lt;&gt;"","?FAMILIAR",IF(F2570="NEW",IF(ISNA(VLOOKUP(E2570,#REF!,1,FALSE())),"?TYPE_IDENTIFIABLE","?REFERENTIAL"),"_")))))</f>
        <v/>
      </c>
      <c r="H2570" s="27" t="str">
        <f aca="false">IF(J2570&lt;&gt;1,"",IF(I2570="SBJ","CB","?"))</f>
        <v/>
      </c>
      <c r="I2570" s="24" t="str">
        <f aca="false">IF(OR(E2570="",E2570="!!!",F2570="NEW"),"",INDEX(B18:B$2553,-1+SUMPRODUCT(MAX(ROW(E18:E$2553)*(E2570=E18:E$2553)))))</f>
        <v/>
      </c>
      <c r="J2570" s="24" t="str">
        <f aca="true">IF(OR(E2570="",E2570="!!!",F2570="NEW"),"",COUNTBLANK(OFFSET(A$1,,,SUMPRODUCT(MAX(ROW(E$2:E2570)*(E2570=E$2:E2570)))))-COUNTBLANK(OFFSET(A$1,,,SUMPRODUCT(MAX(ROW(E$1:E2569)*(E2=E$1:E2569))))))</f>
        <v/>
      </c>
      <c r="K2570" s="24" t="str">
        <f aca="false">IF(OR(E2570="",E2570="!!!",F2570="NEW"),"",INDEX(J$1:J2569,SUMPRODUCT(MAX(ROW(E$1:E2569)*(E2570=E$1:E2569)))))</f>
        <v/>
      </c>
      <c r="L2570" s="31"/>
    </row>
    <row r="2571" customFormat="false" ht="15" hidden="false" customHeight="false" outlineLevel="0" collapsed="false">
      <c r="A2571" s="20" t="s">
        <v>1080</v>
      </c>
      <c r="E2571" s="23" t="str">
        <f aca="false">IF(D2571="?OLD","!!!","")</f>
        <v/>
      </c>
      <c r="F2571" s="25" t="str">
        <f aca="false">IF(OR(E2571="",E2571="!!!"),"",IF(NOT(ISNA(VLOOKUP(E2571,E$1:E2570,1,FALSE()))),"OLD",IF(AND(E2571&lt;&gt;"",E2571&lt;&gt;"!!!"),"NEW","")))</f>
        <v/>
      </c>
      <c r="G2571" s="26" t="str">
        <f aca="false">IF(OR(E2571="",E2571="!!!"),"",IF(OR(J2571=0,AND(J2571=1,K2571=1),AND(J2571=1,I2571="SBJ"),AND(J2571=1,I2571=0)),"?IN_FOCUS",IF(J2571&lt;=2,"?ACTIVATED",IF(J2571&lt;&gt;"","?FAMILIAR",IF(F2571="NEW",IF(ISNA(VLOOKUP(E2571,#REF!,1,FALSE())),"?TYPE_IDENTIFIABLE","?REFERENTIAL"),"_")))))</f>
        <v/>
      </c>
      <c r="H2571" s="27" t="str">
        <f aca="false">IF(J2571&lt;&gt;1,"",IF(I2571="SBJ","CB","?"))</f>
        <v/>
      </c>
      <c r="I2571" s="24" t="str">
        <f aca="false">IF(OR(E2571="",E2571="!!!",F2571="NEW"),"",INDEX(B19:B$2553,-1+SUMPRODUCT(MAX(ROW(E19:E$2553)*(E2571=E19:E$2553)))))</f>
        <v/>
      </c>
      <c r="J2571" s="24" t="str">
        <f aca="true">IF(OR(E2571="",E2571="!!!",F2571="NEW"),"",COUNTBLANK(OFFSET(A$1,,,SUMPRODUCT(MAX(ROW(E$2:E2571)*(E2571=E$2:E2571)))))-COUNTBLANK(OFFSET(A$1,,,SUMPRODUCT(MAX(ROW(E$1:E2570)*(E2=E$1:E2570))))))</f>
        <v/>
      </c>
      <c r="K2571" s="24" t="str">
        <f aca="false">IF(OR(E2571="",E2571="!!!",F2571="NEW"),"",INDEX(J$1:J2570,SUMPRODUCT(MAX(ROW(E$1:E2570)*(E2571=E$1:E2570)))))</f>
        <v/>
      </c>
      <c r="L2571" s="31"/>
    </row>
    <row r="2572" customFormat="false" ht="15" hidden="false" customHeight="false" outlineLevel="0" collapsed="false">
      <c r="A2572" s="20" t="s">
        <v>1092</v>
      </c>
      <c r="E2572" s="23" t="str">
        <f aca="false">IF(D2572="?OLD","!!!","")</f>
        <v/>
      </c>
      <c r="F2572" s="25" t="str">
        <f aca="false">IF(OR(E2572="",E2572="!!!"),"",IF(NOT(ISNA(VLOOKUP(E2572,E$1:E2571,1,FALSE()))),"OLD",IF(AND(E2572&lt;&gt;"",E2572&lt;&gt;"!!!"),"NEW","")))</f>
        <v/>
      </c>
      <c r="G2572" s="26" t="str">
        <f aca="false">IF(OR(E2572="",E2572="!!!"),"",IF(OR(J2572=0,AND(J2572=1,K2572=1),AND(J2572=1,I2572="SBJ"),AND(J2572=1,I2572=0)),"?IN_FOCUS",IF(J2572&lt;=2,"?ACTIVATED",IF(J2572&lt;&gt;"","?FAMILIAR",IF(F2572="NEW",IF(ISNA(VLOOKUP(E2572,#REF!,1,FALSE())),"?TYPE_IDENTIFIABLE","?REFERENTIAL"),"_")))))</f>
        <v/>
      </c>
      <c r="H2572" s="27" t="str">
        <f aca="false">IF(J2572&lt;&gt;1,"",IF(I2572="SBJ","CB","?"))</f>
        <v/>
      </c>
      <c r="I2572" s="24" t="str">
        <f aca="false">IF(OR(E2572="",E2572="!!!",F2572="NEW"),"",INDEX(B20:B$2553,-1+SUMPRODUCT(MAX(ROW(E20:E$2553)*(E2572=E20:E$2553)))))</f>
        <v/>
      </c>
      <c r="J2572" s="24" t="str">
        <f aca="true">IF(OR(E2572="",E2572="!!!",F2572="NEW"),"",COUNTBLANK(OFFSET(A$1,,,SUMPRODUCT(MAX(ROW(E$2:E2572)*(E2572=E$2:E2572)))))-COUNTBLANK(OFFSET(A$1,,,SUMPRODUCT(MAX(ROW(E$1:E2571)*(E2=E$1:E2571))))))</f>
        <v/>
      </c>
      <c r="K2572" s="24" t="str">
        <f aca="false">IF(OR(E2572="",E2572="!!!",F2572="NEW"),"",INDEX(J$1:J2571,SUMPRODUCT(MAX(ROW(E$1:E2571)*(E2572=E$1:E2571)))))</f>
        <v/>
      </c>
      <c r="L2572" s="31"/>
    </row>
    <row r="2573" customFormat="false" ht="15" hidden="false" customHeight="false" outlineLevel="0" collapsed="false">
      <c r="A2573" s="20" t="s">
        <v>1968</v>
      </c>
      <c r="E2573" s="23" t="str">
        <f aca="false">IF(D2573="?OLD","!!!","")</f>
        <v/>
      </c>
      <c r="F2573" s="25" t="str">
        <f aca="false">IF(OR(E2573="",E2573="!!!"),"",IF(NOT(ISNA(VLOOKUP(E2573,E$1:E2572,1,FALSE()))),"OLD",IF(AND(E2573&lt;&gt;"",E2573&lt;&gt;"!!!"),"NEW","")))</f>
        <v/>
      </c>
      <c r="G2573" s="26" t="str">
        <f aca="false">IF(OR(E2573="",E2573="!!!"),"",IF(OR(J2573=0,AND(J2573=1,K2573=1),AND(J2573=1,I2573="SBJ"),AND(J2573=1,I2573=0)),"?IN_FOCUS",IF(J2573&lt;=2,"?ACTIVATED",IF(J2573&lt;&gt;"","?FAMILIAR",IF(F2573="NEW",IF(ISNA(VLOOKUP(E2573,#REF!,1,FALSE())),"?TYPE_IDENTIFIABLE","?REFERENTIAL"),"_")))))</f>
        <v/>
      </c>
      <c r="H2573" s="27" t="str">
        <f aca="false">IF(J2573&lt;&gt;1,"",IF(I2573="SBJ","CB","?"))</f>
        <v/>
      </c>
      <c r="I2573" s="24" t="str">
        <f aca="false">IF(OR(E2573="",E2573="!!!",F2573="NEW"),"",INDEX(B21:B$2553,-1+SUMPRODUCT(MAX(ROW(E21:E$2553)*(E2573=E21:E$2553)))))</f>
        <v/>
      </c>
      <c r="J2573" s="24" t="str">
        <f aca="true">IF(OR(E2573="",E2573="!!!",F2573="NEW"),"",COUNTBLANK(OFFSET(A$1,,,SUMPRODUCT(MAX(ROW(E$2:E2573)*(E2573=E$2:E2573)))))-COUNTBLANK(OFFSET(A$1,,,SUMPRODUCT(MAX(ROW(E$1:E2572)*(E2=E$1:E2572))))))</f>
        <v/>
      </c>
      <c r="K2573" s="24" t="str">
        <f aca="false">IF(OR(E2573="",E2573="!!!",F2573="NEW"),"",INDEX(J$1:J2572,SUMPRODUCT(MAX(ROW(E$1:E2572)*(E2573=E$1:E2572)))))</f>
        <v/>
      </c>
      <c r="L2573" s="31"/>
    </row>
    <row r="2574" customFormat="false" ht="15" hidden="false" customHeight="false" outlineLevel="0" collapsed="false">
      <c r="A2574" s="20" t="s">
        <v>1095</v>
      </c>
      <c r="E2574" s="23" t="str">
        <f aca="false">IF(D2574="?OLD","!!!","")</f>
        <v/>
      </c>
      <c r="F2574" s="25" t="str">
        <f aca="false">IF(OR(E2574="",E2574="!!!"),"",IF(NOT(ISNA(VLOOKUP(E2574,E$1:E2573,1,FALSE()))),"OLD",IF(AND(E2574&lt;&gt;"",E2574&lt;&gt;"!!!"),"NEW","")))</f>
        <v/>
      </c>
      <c r="G2574" s="26" t="str">
        <f aca="false">IF(OR(E2574="",E2574="!!!"),"",IF(OR(J2574=0,AND(J2574=1,K2574=1),AND(J2574=1,I2574="SBJ"),AND(J2574=1,I2574=0)),"?IN_FOCUS",IF(J2574&lt;=2,"?ACTIVATED",IF(J2574&lt;&gt;"","?FAMILIAR",IF(F2574="NEW",IF(ISNA(VLOOKUP(E2574,#REF!,1,FALSE())),"?TYPE_IDENTIFIABLE","?REFERENTIAL"),"_")))))</f>
        <v/>
      </c>
      <c r="H2574" s="27" t="str">
        <f aca="false">IF(J2574&lt;&gt;1,"",IF(I2574="SBJ","CB","?"))</f>
        <v/>
      </c>
      <c r="I2574" s="24" t="str">
        <f aca="false">IF(OR(E2574="",E2574="!!!",F2574="NEW"),"",INDEX(B22:B$2553,-1+SUMPRODUCT(MAX(ROW(E22:E$2553)*(E2574=E22:E$2553)))))</f>
        <v/>
      </c>
      <c r="J2574" s="24" t="str">
        <f aca="true">IF(OR(E2574="",E2574="!!!",F2574="NEW"),"",COUNTBLANK(OFFSET(A$1,,,SUMPRODUCT(MAX(ROW(E$2:E2574)*(E2574=E$2:E2574)))))-COUNTBLANK(OFFSET(A$1,,,SUMPRODUCT(MAX(ROW(E$1:E2573)*(E2=E$1:E2573))))))</f>
        <v/>
      </c>
      <c r="K2574" s="24" t="str">
        <f aca="false">IF(OR(E2574="",E2574="!!!",F2574="NEW"),"",INDEX(J$1:J2573,SUMPRODUCT(MAX(ROW(E$1:E2573)*(E2574=E$1:E2573)))))</f>
        <v/>
      </c>
      <c r="L2574" s="31"/>
    </row>
    <row r="2575" customFormat="false" ht="15" hidden="false" customHeight="false" outlineLevel="0" collapsed="false">
      <c r="A2575" s="20" t="s">
        <v>1969</v>
      </c>
      <c r="E2575" s="23" t="str">
        <f aca="false">IF(D2575="?OLD","!!!","")</f>
        <v/>
      </c>
      <c r="F2575" s="25" t="str">
        <f aca="false">IF(OR(E2575="",E2575="!!!"),"",IF(NOT(ISNA(VLOOKUP(E2575,E$1:E2574,1,FALSE()))),"OLD",IF(AND(E2575&lt;&gt;"",E2575&lt;&gt;"!!!"),"NEW","")))</f>
        <v/>
      </c>
      <c r="G2575" s="26" t="str">
        <f aca="false">IF(OR(E2575="",E2575="!!!"),"",IF(OR(J2575=0,AND(J2575=1,K2575=1),AND(J2575=1,I2575="SBJ"),AND(J2575=1,I2575=0)),"?IN_FOCUS",IF(J2575&lt;=2,"?ACTIVATED",IF(J2575&lt;&gt;"","?FAMILIAR",IF(F2575="NEW",IF(ISNA(VLOOKUP(E2575,#REF!,1,FALSE())),"?TYPE_IDENTIFIABLE","?REFERENTIAL"),"_")))))</f>
        <v/>
      </c>
      <c r="H2575" s="27" t="str">
        <f aca="false">IF(J2575&lt;&gt;1,"",IF(I2575="SBJ","CB","?"))</f>
        <v/>
      </c>
      <c r="I2575" s="24" t="str">
        <f aca="false">IF(OR(E2575="",E2575="!!!",F2575="NEW"),"",INDEX(B23:B$2553,-1+SUMPRODUCT(MAX(ROW(E23:E$2553)*(E2575=E23:E$2553)))))</f>
        <v/>
      </c>
      <c r="J2575" s="24" t="str">
        <f aca="true">IF(OR(E2575="",E2575="!!!",F2575="NEW"),"",COUNTBLANK(OFFSET(A$1,,,SUMPRODUCT(MAX(ROW(E$2:E2575)*(E2575=E$2:E2575)))))-COUNTBLANK(OFFSET(A$1,,,SUMPRODUCT(MAX(ROW(E$1:E2574)*(E2=E$1:E2574))))))</f>
        <v/>
      </c>
      <c r="K2575" s="24" t="str">
        <f aca="false">IF(OR(E2575="",E2575="!!!",F2575="NEW"),"",INDEX(J$1:J2574,SUMPRODUCT(MAX(ROW(E$1:E2574)*(E2575=E$1:E2574)))))</f>
        <v/>
      </c>
      <c r="L2575" s="31"/>
    </row>
    <row r="2576" customFormat="false" ht="15" hidden="false" customHeight="false" outlineLevel="0" collapsed="false">
      <c r="A2576" s="20" t="s">
        <v>1109</v>
      </c>
      <c r="E2576" s="23" t="str">
        <f aca="false">IF(D2576="?OLD","!!!","")</f>
        <v/>
      </c>
      <c r="F2576" s="25" t="str">
        <f aca="false">IF(OR(E2576="",E2576="!!!"),"",IF(NOT(ISNA(VLOOKUP(E2576,E$1:E2575,1,FALSE()))),"OLD",IF(AND(E2576&lt;&gt;"",E2576&lt;&gt;"!!!"),"NEW","")))</f>
        <v/>
      </c>
      <c r="G2576" s="26" t="str">
        <f aca="false">IF(OR(E2576="",E2576="!!!"),"",IF(OR(J2576=0,AND(J2576=1,K2576=1),AND(J2576=1,I2576="SBJ"),AND(J2576=1,I2576=0)),"?IN_FOCUS",IF(J2576&lt;=2,"?ACTIVATED",IF(J2576&lt;&gt;"","?FAMILIAR",IF(F2576="NEW",IF(ISNA(VLOOKUP(E2576,#REF!,1,FALSE())),"?TYPE_IDENTIFIABLE","?REFERENTIAL"),"_")))))</f>
        <v/>
      </c>
      <c r="H2576" s="27" t="str">
        <f aca="false">IF(J2576&lt;&gt;1,"",IF(I2576="SBJ","CB","?"))</f>
        <v/>
      </c>
      <c r="I2576" s="24" t="str">
        <f aca="false">IF(OR(E2576="",E2576="!!!",F2576="NEW"),"",INDEX(B24:B$2553,-1+SUMPRODUCT(MAX(ROW(E24:E$2553)*(E2576=E24:E$2553)))))</f>
        <v/>
      </c>
      <c r="J2576" s="24" t="str">
        <f aca="true">IF(OR(E2576="",E2576="!!!",F2576="NEW"),"",COUNTBLANK(OFFSET(A$1,,,SUMPRODUCT(MAX(ROW(E$2:E2576)*(E2576=E$2:E2576)))))-COUNTBLANK(OFFSET(A$1,,,SUMPRODUCT(MAX(ROW(E$1:E2575)*(E2=E$1:E2575))))))</f>
        <v/>
      </c>
      <c r="K2576" s="24" t="str">
        <f aca="false">IF(OR(E2576="",E2576="!!!",F2576="NEW"),"",INDEX(J$1:J2575,SUMPRODUCT(MAX(ROW(E$1:E2575)*(E2576=E$1:E2575)))))</f>
        <v/>
      </c>
      <c r="L2576" s="31"/>
    </row>
    <row r="2577" customFormat="false" ht="15" hidden="false" customHeight="false" outlineLevel="0" collapsed="false">
      <c r="A2577" s="20" t="s">
        <v>1970</v>
      </c>
      <c r="B2577" s="22" t="s">
        <v>1146</v>
      </c>
      <c r="C2577" s="22" t="s">
        <v>1150</v>
      </c>
      <c r="D2577" s="22" t="s">
        <v>1060</v>
      </c>
      <c r="E2577" s="23" t="str">
        <f aca="false">IF(D2577="?OLD","!!!","")</f>
        <v>!!!</v>
      </c>
      <c r="F2577" s="25" t="str">
        <f aca="false">IF(OR(E2577="",E2577="!!!"),"",IF(NOT(ISNA(VLOOKUP(E2577,E$1:E2576,1,FALSE()))),"OLD",IF(AND(E2577&lt;&gt;"",E2577&lt;&gt;"!!!"),"NEW","")))</f>
        <v/>
      </c>
      <c r="G2577" s="26" t="str">
        <f aca="false">IF(OR(E2577="",E2577="!!!"),"",IF(OR(J2577=0,AND(J2577=1,K2577=1),AND(J2577=1,I2577="SBJ"),AND(J2577=1,I2577=0)),"?IN_FOCUS",IF(J2577&lt;=2,"?ACTIVATED",IF(J2577&lt;&gt;"","?FAMILIAR",IF(F2577="NEW",IF(ISNA(VLOOKUP(E2577,#REF!,1,FALSE())),"?TYPE_IDENTIFIABLE","?REFERENTIAL"),"_")))))</f>
        <v/>
      </c>
      <c r="H2577" s="27" t="str">
        <f aca="false">IF(J2577&lt;&gt;1,"",IF(I2577="SBJ","CB","?"))</f>
        <v/>
      </c>
      <c r="I2577" s="24" t="str">
        <f aca="false">IF(OR(E2577="",E2577="!!!",F2577="NEW"),"",INDEX(B25:B$2553,-1+SUMPRODUCT(MAX(ROW(E25:E$2553)*(E2577=E25:E$2553)))))</f>
        <v/>
      </c>
      <c r="J2577" s="24" t="str">
        <f aca="true">IF(OR(E2577="",E2577="!!!",F2577="NEW"),"",COUNTBLANK(OFFSET(A$1,,,SUMPRODUCT(MAX(ROW(E$2:E2577)*(E2577=E$2:E2577)))))-COUNTBLANK(OFFSET(A$1,,,SUMPRODUCT(MAX(ROW(E$1:E2576)*(E2=E$1:E2576))))))</f>
        <v/>
      </c>
      <c r="K2577" s="24" t="str">
        <f aca="false">IF(OR(E2577="",E2577="!!!",F2577="NEW"),"",INDEX(J$1:J2576,SUMPRODUCT(MAX(ROW(E$1:E2576)*(E2577=E$1:E2576)))))</f>
        <v/>
      </c>
      <c r="L2577" s="31"/>
    </row>
    <row r="2578" customFormat="false" ht="15" hidden="false" customHeight="false" outlineLevel="0" collapsed="false">
      <c r="A2578" s="20" t="s">
        <v>923</v>
      </c>
      <c r="E2578" s="23" t="str">
        <f aca="false">IF(D2578="?OLD","!!!","")</f>
        <v/>
      </c>
      <c r="F2578" s="25" t="str">
        <f aca="false">IF(OR(E2578="",E2578="!!!"),"",IF(NOT(ISNA(VLOOKUP(E2578,E$1:E2577,1,FALSE()))),"OLD",IF(AND(E2578&lt;&gt;"",E2578&lt;&gt;"!!!"),"NEW","")))</f>
        <v/>
      </c>
      <c r="G2578" s="26" t="str">
        <f aca="false">IF(OR(E2578="",E2578="!!!"),"",IF(OR(J2578=0,AND(J2578=1,K2578=1),AND(J2578=1,I2578="SBJ"),AND(J2578=1,I2578=0)),"?IN_FOCUS",IF(J2578&lt;=2,"?ACTIVATED",IF(J2578&lt;&gt;"","?FAMILIAR",IF(F2578="NEW",IF(ISNA(VLOOKUP(E2578,#REF!,1,FALSE())),"?TYPE_IDENTIFIABLE","?REFERENTIAL"),"_")))))</f>
        <v/>
      </c>
      <c r="H2578" s="27" t="str">
        <f aca="false">IF(J2578&lt;&gt;1,"",IF(I2578="SBJ","CB","?"))</f>
        <v/>
      </c>
      <c r="I2578" s="24" t="str">
        <f aca="false">IF(OR(E2578="",E2578="!!!",F2578="NEW"),"",INDEX(B26:B$2553,-1+SUMPRODUCT(MAX(ROW(E26:E$2553)*(E2578=E26:E$2553)))))</f>
        <v/>
      </c>
      <c r="J2578" s="24" t="str">
        <f aca="true">IF(OR(E2578="",E2578="!!!",F2578="NEW"),"",COUNTBLANK(OFFSET(A$1,,,SUMPRODUCT(MAX(ROW(E$2:E2578)*(E2578=E$2:E2578)))))-COUNTBLANK(OFFSET(A$1,,,SUMPRODUCT(MAX(ROW(E$1:E2577)*(E2=E$1:E2577))))))</f>
        <v/>
      </c>
      <c r="K2578" s="24" t="str">
        <f aca="false">IF(OR(E2578="",E2578="!!!",F2578="NEW"),"",INDEX(J$1:J2577,SUMPRODUCT(MAX(ROW(E$1:E2577)*(E2578=E$1:E2577)))))</f>
        <v/>
      </c>
      <c r="L2578" s="31"/>
    </row>
    <row r="2579" customFormat="false" ht="15" hidden="false" customHeight="false" outlineLevel="0" collapsed="false">
      <c r="A2579" s="20"/>
    </row>
    <row r="2580" customFormat="false" ht="15" hidden="false" customHeight="false" outlineLevel="0" collapsed="false">
      <c r="A2580" s="20" t="s">
        <v>1971</v>
      </c>
    </row>
    <row r="2581" customFormat="false" ht="15" hidden="false" customHeight="false" outlineLevel="0" collapsed="false">
      <c r="A2581" s="20" t="s">
        <v>1148</v>
      </c>
      <c r="E2581" s="23" t="str">
        <f aca="false">IF(D2581="?OLD","!!!","")</f>
        <v/>
      </c>
      <c r="F2581" s="25" t="str">
        <f aca="false">IF(OR(E2581="",E2581="!!!"),"",IF(NOT(ISNA(VLOOKUP(E2581,E$1:E2580,1,FALSE()))),"OLD",IF(AND(E2581&lt;&gt;"",E2581&lt;&gt;"!!!"),"NEW","")))</f>
        <v/>
      </c>
      <c r="G2581" s="26" t="str">
        <f aca="false">IF(OR(E2581="",E2581="!!!"),"",IF(OR(J2581=0,AND(J2581=1,K2581=1),AND(J2581=1,I2581="SBJ"),AND(J2581=1,I2581=0)),"?IN_FOCUS",IF(J2581&lt;=2,"?ACTIVATED",IF(J2581&lt;&gt;"","?FAMILIAR",IF(F2581="NEW",IF(ISNA(VLOOKUP(E2581,#REF!,1,FALSE())),"?TYPE_IDENTIFIABLE","?REFERENTIAL"),"_")))))</f>
        <v/>
      </c>
      <c r="H2581" s="27" t="str">
        <f aca="false">IF(J2581&lt;&gt;1,"",IF(I2581="SBJ","CB","?"))</f>
        <v/>
      </c>
      <c r="I2581" s="24" t="str">
        <f aca="false">IF(OR(E2581="",E2581="!!!",F2581="NEW"),"",INDEX(B2:B$2580,-1+SUMPRODUCT(MAX(ROW(E2:E$2580)*(E2581=E2:E$2580)))))</f>
        <v/>
      </c>
      <c r="J2581" s="24" t="str">
        <f aca="true">IF(OR(E2581="",E2581="!!!",F2581="NEW"),"",COUNTBLANK(OFFSET(A$1,,,SUMPRODUCT(MAX(ROW(E$2:E2581)*(E2581=E$2:E2581)))))-COUNTBLANK(OFFSET(A$1,,,SUMPRODUCT(MAX(ROW(E$1:E2580)*(E2=E$1:E2580))))))</f>
        <v/>
      </c>
      <c r="K2581" s="24" t="str">
        <f aca="false">IF(OR(E2581="",E2581="!!!",F2581="NEW"),"",INDEX(J$1:J2580,SUMPRODUCT(MAX(ROW(E$1:E2580)*(E2581=E$1:E2580)))))</f>
        <v/>
      </c>
      <c r="L2581" s="31"/>
    </row>
    <row r="2582" customFormat="false" ht="15" hidden="false" customHeight="false" outlineLevel="0" collapsed="false">
      <c r="A2582" s="20" t="s">
        <v>1972</v>
      </c>
      <c r="E2582" s="23" t="str">
        <f aca="false">IF(D2582="?OLD","!!!","")</f>
        <v/>
      </c>
      <c r="F2582" s="25" t="str">
        <f aca="false">IF(OR(E2582="",E2582="!!!"),"",IF(NOT(ISNA(VLOOKUP(E2582,E$1:E2581,1,FALSE()))),"OLD",IF(AND(E2582&lt;&gt;"",E2582&lt;&gt;"!!!"),"NEW","")))</f>
        <v/>
      </c>
      <c r="G2582" s="26" t="str">
        <f aca="false">IF(OR(E2582="",E2582="!!!"),"",IF(OR(J2582=0,AND(J2582=1,K2582=1),AND(J2582=1,I2582="SBJ"),AND(J2582=1,I2582=0)),"?IN_FOCUS",IF(J2582&lt;=2,"?ACTIVATED",IF(J2582&lt;&gt;"","?FAMILIAR",IF(F2582="NEW",IF(ISNA(VLOOKUP(E2582,#REF!,1,FALSE())),"?TYPE_IDENTIFIABLE","?REFERENTIAL"),"_")))))</f>
        <v/>
      </c>
      <c r="H2582" s="27" t="str">
        <f aca="false">IF(J2582&lt;&gt;1,"",IF(I2582="SBJ","CB","?"))</f>
        <v/>
      </c>
      <c r="I2582" s="24" t="str">
        <f aca="false">IF(OR(E2582="",E2582="!!!",F2582="NEW"),"",INDEX(B3:B$2580,-1+SUMPRODUCT(MAX(ROW(E3:E$2580)*(E2582=E3:E$2580)))))</f>
        <v/>
      </c>
      <c r="J2582" s="24" t="str">
        <f aca="true">IF(OR(E2582="",E2582="!!!",F2582="NEW"),"",COUNTBLANK(OFFSET(A$1,,,SUMPRODUCT(MAX(ROW(E$2:E2582)*(E2582=E$2:E2582)))))-COUNTBLANK(OFFSET(A$1,,,SUMPRODUCT(MAX(ROW(E$1:E2581)*(E2=E$1:E2581))))))</f>
        <v/>
      </c>
      <c r="K2582" s="24" t="str">
        <f aca="false">IF(OR(E2582="",E2582="!!!",F2582="NEW"),"",INDEX(J$1:J2581,SUMPRODUCT(MAX(ROW(E$1:E2581)*(E2582=E$1:E2581)))))</f>
        <v/>
      </c>
      <c r="L2582" s="31"/>
    </row>
    <row r="2583" customFormat="false" ht="15" hidden="false" customHeight="false" outlineLevel="0" collapsed="false">
      <c r="A2583" s="20" t="s">
        <v>768</v>
      </c>
      <c r="B2583" s="22" t="s">
        <v>1058</v>
      </c>
      <c r="C2583" s="22" t="s">
        <v>1150</v>
      </c>
      <c r="D2583" s="22" t="s">
        <v>1060</v>
      </c>
      <c r="E2583" s="23" t="str">
        <f aca="false">IF(D2583="?OLD","!!!","")</f>
        <v>!!!</v>
      </c>
      <c r="F2583" s="25" t="str">
        <f aca="false">IF(OR(E2583="",E2583="!!!"),"",IF(NOT(ISNA(VLOOKUP(E2583,E$1:E2582,1,FALSE()))),"OLD",IF(AND(E2583&lt;&gt;"",E2583&lt;&gt;"!!!"),"NEW","")))</f>
        <v/>
      </c>
      <c r="G2583" s="26" t="str">
        <f aca="false">IF(OR(E2583="",E2583="!!!"),"",IF(OR(J2583=0,AND(J2583=1,K2583=1),AND(J2583=1,I2583="SBJ"),AND(J2583=1,I2583=0)),"?IN_FOCUS",IF(J2583&lt;=2,"?ACTIVATED",IF(J2583&lt;&gt;"","?FAMILIAR",IF(F2583="NEW",IF(ISNA(VLOOKUP(E2583,#REF!,1,FALSE())),"?TYPE_IDENTIFIABLE","?REFERENTIAL"),"_")))))</f>
        <v/>
      </c>
      <c r="H2583" s="27" t="str">
        <f aca="false">IF(J2583&lt;&gt;1,"",IF(I2583="SBJ","CB","?"))</f>
        <v/>
      </c>
      <c r="I2583" s="24" t="str">
        <f aca="false">IF(OR(E2583="",E2583="!!!",F2583="NEW"),"",INDEX(B4:B$2580,-1+SUMPRODUCT(MAX(ROW(E4:E$2580)*(E2583=E4:E$2580)))))</f>
        <v/>
      </c>
      <c r="J2583" s="24" t="str">
        <f aca="true">IF(OR(E2583="",E2583="!!!",F2583="NEW"),"",COUNTBLANK(OFFSET(A$1,,,SUMPRODUCT(MAX(ROW(E$2:E2583)*(E2583=E$2:E2583)))))-COUNTBLANK(OFFSET(A$1,,,SUMPRODUCT(MAX(ROW(E$1:E2582)*(E2=E$1:E2582))))))</f>
        <v/>
      </c>
      <c r="K2583" s="24" t="str">
        <f aca="false">IF(OR(E2583="",E2583="!!!",F2583="NEW"),"",INDEX(J$1:J2582,SUMPRODUCT(MAX(ROW(E$1:E2582)*(E2583=E$1:E2582)))))</f>
        <v/>
      </c>
      <c r="L2583" s="31"/>
    </row>
    <row r="2584" customFormat="false" ht="15" hidden="false" customHeight="false" outlineLevel="0" collapsed="false">
      <c r="A2584" s="20" t="s">
        <v>1092</v>
      </c>
      <c r="E2584" s="23" t="str">
        <f aca="false">IF(D2584="?OLD","!!!","")</f>
        <v/>
      </c>
      <c r="F2584" s="25" t="str">
        <f aca="false">IF(OR(E2584="",E2584="!!!"),"",IF(NOT(ISNA(VLOOKUP(E2584,E$1:E2583,1,FALSE()))),"OLD",IF(AND(E2584&lt;&gt;"",E2584&lt;&gt;"!!!"),"NEW","")))</f>
        <v/>
      </c>
      <c r="G2584" s="26" t="str">
        <f aca="false">IF(OR(E2584="",E2584="!!!"),"",IF(OR(J2584=0,AND(J2584=1,K2584=1),AND(J2584=1,I2584="SBJ"),AND(J2584=1,I2584=0)),"?IN_FOCUS",IF(J2584&lt;=2,"?ACTIVATED",IF(J2584&lt;&gt;"","?FAMILIAR",IF(F2584="NEW",IF(ISNA(VLOOKUP(E2584,#REF!,1,FALSE())),"?TYPE_IDENTIFIABLE","?REFERENTIAL"),"_")))))</f>
        <v/>
      </c>
      <c r="H2584" s="27" t="str">
        <f aca="false">IF(J2584&lt;&gt;1,"",IF(I2584="SBJ","CB","?"))</f>
        <v/>
      </c>
      <c r="I2584" s="24" t="str">
        <f aca="false">IF(OR(E2584="",E2584="!!!",F2584="NEW"),"",INDEX(B5:B$2580,-1+SUMPRODUCT(MAX(ROW(E5:E$2580)*(E2584=E5:E$2580)))))</f>
        <v/>
      </c>
      <c r="J2584" s="24" t="str">
        <f aca="true">IF(OR(E2584="",E2584="!!!",F2584="NEW"),"",COUNTBLANK(OFFSET(A$1,,,SUMPRODUCT(MAX(ROW(E$2:E2584)*(E2584=E$2:E2584)))))-COUNTBLANK(OFFSET(A$1,,,SUMPRODUCT(MAX(ROW(E$1:E2583)*(E2=E$1:E2583))))))</f>
        <v/>
      </c>
      <c r="K2584" s="24" t="str">
        <f aca="false">IF(OR(E2584="",E2584="!!!",F2584="NEW"),"",INDEX(J$1:J2583,SUMPRODUCT(MAX(ROW(E$1:E2583)*(E2584=E$1:E2583)))))</f>
        <v/>
      </c>
      <c r="L2584" s="31"/>
    </row>
    <row r="2585" customFormat="false" ht="15" hidden="false" customHeight="false" outlineLevel="0" collapsed="false">
      <c r="A2585" s="20" t="s">
        <v>1973</v>
      </c>
      <c r="E2585" s="23" t="str">
        <f aca="false">IF(D2585="?OLD","!!!","")</f>
        <v/>
      </c>
      <c r="F2585" s="25" t="str">
        <f aca="false">IF(OR(E2585="",E2585="!!!"),"",IF(NOT(ISNA(VLOOKUP(E2585,E$1:E2584,1,FALSE()))),"OLD",IF(AND(E2585&lt;&gt;"",E2585&lt;&gt;"!!!"),"NEW","")))</f>
        <v/>
      </c>
      <c r="G2585" s="26" t="str">
        <f aca="false">IF(OR(E2585="",E2585="!!!"),"",IF(OR(J2585=0,AND(J2585=1,K2585=1),AND(J2585=1,I2585="SBJ"),AND(J2585=1,I2585=0)),"?IN_FOCUS",IF(J2585&lt;=2,"?ACTIVATED",IF(J2585&lt;&gt;"","?FAMILIAR",IF(F2585="NEW",IF(ISNA(VLOOKUP(E2585,#REF!,1,FALSE())),"?TYPE_IDENTIFIABLE","?REFERENTIAL"),"_")))))</f>
        <v/>
      </c>
      <c r="H2585" s="27" t="str">
        <f aca="false">IF(J2585&lt;&gt;1,"",IF(I2585="SBJ","CB","?"))</f>
        <v/>
      </c>
      <c r="I2585" s="24" t="str">
        <f aca="false">IF(OR(E2585="",E2585="!!!",F2585="NEW"),"",INDEX(B6:B$2580,-1+SUMPRODUCT(MAX(ROW(E6:E$2580)*(E2585=E6:E$2580)))))</f>
        <v/>
      </c>
      <c r="J2585" s="24" t="str">
        <f aca="true">IF(OR(E2585="",E2585="!!!",F2585="NEW"),"",COUNTBLANK(OFFSET(A$1,,,SUMPRODUCT(MAX(ROW(E$2:E2585)*(E2585=E$2:E2585)))))-COUNTBLANK(OFFSET(A$1,,,SUMPRODUCT(MAX(ROW(E$1:E2584)*(E2=E$1:E2584))))))</f>
        <v/>
      </c>
      <c r="K2585" s="24" t="str">
        <f aca="false">IF(OR(E2585="",E2585="!!!",F2585="NEW"),"",INDEX(J$1:J2584,SUMPRODUCT(MAX(ROW(E$1:E2584)*(E2585=E$1:E2584)))))</f>
        <v/>
      </c>
      <c r="L2585" s="31"/>
    </row>
    <row r="2586" customFormat="false" ht="15" hidden="false" customHeight="false" outlineLevel="0" collapsed="false">
      <c r="A2586" s="20" t="s">
        <v>923</v>
      </c>
      <c r="E2586" s="23" t="str">
        <f aca="false">IF(D2586="?OLD","!!!","")</f>
        <v/>
      </c>
      <c r="F2586" s="25" t="str">
        <f aca="false">IF(OR(E2586="",E2586="!!!"),"",IF(NOT(ISNA(VLOOKUP(E2586,E$1:E2585,1,FALSE()))),"OLD",IF(AND(E2586&lt;&gt;"",E2586&lt;&gt;"!!!"),"NEW","")))</f>
        <v/>
      </c>
      <c r="G2586" s="26" t="str">
        <f aca="false">IF(OR(E2586="",E2586="!!!"),"",IF(OR(J2586=0,AND(J2586=1,K2586=1),AND(J2586=1,I2586="SBJ"),AND(J2586=1,I2586=0)),"?IN_FOCUS",IF(J2586&lt;=2,"?ACTIVATED",IF(J2586&lt;&gt;"","?FAMILIAR",IF(F2586="NEW",IF(ISNA(VLOOKUP(E2586,#REF!,1,FALSE())),"?TYPE_IDENTIFIABLE","?REFERENTIAL"),"_")))))</f>
        <v/>
      </c>
      <c r="H2586" s="27" t="str">
        <f aca="false">IF(J2586&lt;&gt;1,"",IF(I2586="SBJ","CB","?"))</f>
        <v/>
      </c>
      <c r="I2586" s="24" t="str">
        <f aca="false">IF(OR(E2586="",E2586="!!!",F2586="NEW"),"",INDEX(B7:B$2580,-1+SUMPRODUCT(MAX(ROW(E7:E$2580)*(E2586=E7:E$2580)))))</f>
        <v/>
      </c>
      <c r="J2586" s="24" t="str">
        <f aca="true">IF(OR(E2586="",E2586="!!!",F2586="NEW"),"",COUNTBLANK(OFFSET(A$1,,,SUMPRODUCT(MAX(ROW(E$2:E2586)*(E2586=E$2:E2586)))))-COUNTBLANK(OFFSET(A$1,,,SUMPRODUCT(MAX(ROW(E$1:E2585)*(E2=E$1:E2585))))))</f>
        <v/>
      </c>
      <c r="K2586" s="24" t="str">
        <f aca="false">IF(OR(E2586="",E2586="!!!",F2586="NEW"),"",INDEX(J$1:J2585,SUMPRODUCT(MAX(ROW(E$1:E2585)*(E2586=E$1:E2585)))))</f>
        <v/>
      </c>
      <c r="L2586" s="31"/>
    </row>
    <row r="2587" customFormat="false" ht="15" hidden="false" customHeight="false" outlineLevel="0" collapsed="false">
      <c r="A2587" s="20"/>
    </row>
    <row r="2588" customFormat="false" ht="15" hidden="false" customHeight="false" outlineLevel="0" collapsed="false">
      <c r="A2588" s="20" t="s">
        <v>1974</v>
      </c>
    </row>
    <row r="2589" customFormat="false" ht="15" hidden="false" customHeight="false" outlineLevel="0" collapsed="false">
      <c r="A2589" s="20" t="s">
        <v>499</v>
      </c>
      <c r="B2589" s="22" t="s">
        <v>1105</v>
      </c>
      <c r="C2589" s="22" t="s">
        <v>1068</v>
      </c>
      <c r="D2589" s="22" t="s">
        <v>1060</v>
      </c>
      <c r="E2589" s="23" t="str">
        <f aca="false">IF(D2589="?OLD","!!!","")</f>
        <v>!!!</v>
      </c>
      <c r="F2589" s="25" t="str">
        <f aca="false">IF(OR(E2589="",E2589="!!!"),"",IF(NOT(ISNA(VLOOKUP(E2589,E$1:E2588,1,FALSE()))),"OLD",IF(AND(E2589&lt;&gt;"",E2589&lt;&gt;"!!!"),"NEW","")))</f>
        <v/>
      </c>
      <c r="G2589" s="26" t="str">
        <f aca="false">IF(OR(E2589="",E2589="!!!"),"",IF(OR(J2589=0,AND(J2589=1,K2589=1),AND(J2589=1,I2589="SBJ"),AND(J2589=1,I2589=0)),"?IN_FOCUS",IF(J2589&lt;=2,"?ACTIVATED",IF(J2589&lt;&gt;"","?FAMILIAR",IF(F2589="NEW",IF(ISNA(VLOOKUP(E2589,#REF!,1,FALSE())),"?TYPE_IDENTIFIABLE","?REFERENTIAL"),"_")))))</f>
        <v/>
      </c>
      <c r="H2589" s="27" t="str">
        <f aca="false">IF(J2589&lt;&gt;1,"",IF(I2589="SBJ","CB","?"))</f>
        <v/>
      </c>
      <c r="I2589" s="24" t="str">
        <f aca="false">IF(OR(E2589="",E2589="!!!",F2589="NEW"),"",INDEX(B2:B$2588,-1+SUMPRODUCT(MAX(ROW(E2:E$2588)*(E2589=E2:E$2588)))))</f>
        <v/>
      </c>
      <c r="J2589" s="24" t="str">
        <f aca="true">IF(OR(E2589="",E2589="!!!",F2589="NEW"),"",COUNTBLANK(OFFSET(A$1,,,SUMPRODUCT(MAX(ROW(E$2:E2589)*(E2589=E$2:E2589)))))-COUNTBLANK(OFFSET(A$1,,,SUMPRODUCT(MAX(ROW(E$1:E2588)*(E2=E$1:E2588))))))</f>
        <v/>
      </c>
      <c r="K2589" s="24" t="str">
        <f aca="false">IF(OR(E2589="",E2589="!!!",F2589="NEW"),"",INDEX(J$1:J2588,SUMPRODUCT(MAX(ROW(E$1:E2588)*(E2589=E$1:E2588)))))</f>
        <v/>
      </c>
      <c r="L2589" s="31"/>
    </row>
    <row r="2590" customFormat="false" ht="15" hidden="false" customHeight="false" outlineLevel="0" collapsed="false">
      <c r="A2590" s="20"/>
    </row>
    <row r="2591" customFormat="false" ht="15" hidden="false" customHeight="false" outlineLevel="0" collapsed="false">
      <c r="A2591" s="20" t="s">
        <v>1975</v>
      </c>
    </row>
    <row r="2592" customFormat="false" ht="15" hidden="false" customHeight="false" outlineLevel="0" collapsed="false">
      <c r="A2592" s="20" t="s">
        <v>1481</v>
      </c>
      <c r="B2592" s="22" t="s">
        <v>1058</v>
      </c>
      <c r="C2592" s="22" t="s">
        <v>1068</v>
      </c>
      <c r="D2592" s="22" t="s">
        <v>1060</v>
      </c>
      <c r="E2592" s="23" t="str">
        <f aca="false">IF(D2592="?OLD","!!!","")</f>
        <v>!!!</v>
      </c>
      <c r="F2592" s="25" t="str">
        <f aca="false">IF(OR(E2592="",E2592="!!!"),"",IF(NOT(ISNA(VLOOKUP(E2592,E$1:E2591,1,FALSE()))),"OLD",IF(AND(E2592&lt;&gt;"",E2592&lt;&gt;"!!!"),"NEW","")))</f>
        <v/>
      </c>
      <c r="G2592" s="26" t="str">
        <f aca="false">IF(OR(E2592="",E2592="!!!"),"",IF(OR(J2592=0,AND(J2592=1,K2592=1),AND(J2592=1,I2592="SBJ"),AND(J2592=1,I2592=0)),"?IN_FOCUS",IF(J2592&lt;=2,"?ACTIVATED",IF(J2592&lt;&gt;"","?FAMILIAR",IF(F2592="NEW",IF(ISNA(VLOOKUP(E2592,#REF!,1,FALSE())),"?TYPE_IDENTIFIABLE","?REFERENTIAL"),"_")))))</f>
        <v/>
      </c>
      <c r="H2592" s="27" t="str">
        <f aca="false">IF(J2592&lt;&gt;1,"",IF(I2592="SBJ","CB","?"))</f>
        <v/>
      </c>
      <c r="I2592" s="24" t="str">
        <f aca="false">IF(OR(E2592="",E2592="!!!",F2592="NEW"),"",INDEX(B2:B$2591,-1+SUMPRODUCT(MAX(ROW(E2:E$2591)*(E2592=E2:E$2591)))))</f>
        <v/>
      </c>
      <c r="J2592" s="24" t="str">
        <f aca="true">IF(OR(E2592="",E2592="!!!",F2592="NEW"),"",COUNTBLANK(OFFSET(A$1,,,SUMPRODUCT(MAX(ROW(E$2:E2592)*(E2592=E$2:E2592)))))-COUNTBLANK(OFFSET(A$1,,,SUMPRODUCT(MAX(ROW(E$1:E2591)*(E2=E$1:E2591))))))</f>
        <v/>
      </c>
      <c r="K2592" s="24" t="str">
        <f aca="false">IF(OR(E2592="",E2592="!!!",F2592="NEW"),"",INDEX(J$1:J2591,SUMPRODUCT(MAX(ROW(E$1:E2591)*(E2592=E$1:E2591)))))</f>
        <v/>
      </c>
      <c r="L2592" s="31"/>
    </row>
    <row r="2593" customFormat="false" ht="15" hidden="false" customHeight="false" outlineLevel="0" collapsed="false">
      <c r="A2593" s="20" t="s">
        <v>502</v>
      </c>
      <c r="E2593" s="23" t="str">
        <f aca="false">IF(D2593="?OLD","!!!","")</f>
        <v/>
      </c>
      <c r="F2593" s="25" t="str">
        <f aca="false">IF(OR(E2593="",E2593="!!!"),"",IF(NOT(ISNA(VLOOKUP(E2593,E$1:E2592,1,FALSE()))),"OLD",IF(AND(E2593&lt;&gt;"",E2593&lt;&gt;"!!!"),"NEW","")))</f>
        <v/>
      </c>
      <c r="G2593" s="26" t="str">
        <f aca="false">IF(OR(E2593="",E2593="!!!"),"",IF(OR(J2593=0,AND(J2593=1,K2593=1),AND(J2593=1,I2593="SBJ"),AND(J2593=1,I2593=0)),"?IN_FOCUS",IF(J2593&lt;=2,"?ACTIVATED",IF(J2593&lt;&gt;"","?FAMILIAR",IF(F2593="NEW",IF(ISNA(VLOOKUP(E2593,#REF!,1,FALSE())),"?TYPE_IDENTIFIABLE","?REFERENTIAL"),"_")))))</f>
        <v/>
      </c>
      <c r="H2593" s="27" t="str">
        <f aca="false">IF(J2593&lt;&gt;1,"",IF(I2593="SBJ","CB","?"))</f>
        <v/>
      </c>
      <c r="I2593" s="24" t="str">
        <f aca="false">IF(OR(E2593="",E2593="!!!",F2593="NEW"),"",INDEX(B3:B$2591,-1+SUMPRODUCT(MAX(ROW(E3:E$2591)*(E2593=E3:E$2591)))))</f>
        <v/>
      </c>
      <c r="J2593" s="24" t="str">
        <f aca="true">IF(OR(E2593="",E2593="!!!",F2593="NEW"),"",COUNTBLANK(OFFSET(A$1,,,SUMPRODUCT(MAX(ROW(E$2:E2593)*(E2593=E$2:E2593)))))-COUNTBLANK(OFFSET(A$1,,,SUMPRODUCT(MAX(ROW(E$1:E2592)*(E2=E$1:E2592))))))</f>
        <v/>
      </c>
      <c r="K2593" s="24" t="str">
        <f aca="false">IF(OR(E2593="",E2593="!!!",F2593="NEW"),"",INDEX(J$1:J2592,SUMPRODUCT(MAX(ROW(E$1:E2592)*(E2593=E$1:E2592)))))</f>
        <v/>
      </c>
      <c r="L2593" s="31"/>
    </row>
    <row r="2594" customFormat="false" ht="15" hidden="false" customHeight="false" outlineLevel="0" collapsed="false">
      <c r="A2594" s="20" t="s">
        <v>1976</v>
      </c>
      <c r="E2594" s="23" t="str">
        <f aca="false">IF(D2594="?OLD","!!!","")</f>
        <v/>
      </c>
      <c r="F2594" s="25" t="str">
        <f aca="false">IF(OR(E2594="",E2594="!!!"),"",IF(NOT(ISNA(VLOOKUP(E2594,E$1:E2593,1,FALSE()))),"OLD",IF(AND(E2594&lt;&gt;"",E2594&lt;&gt;"!!!"),"NEW","")))</f>
        <v/>
      </c>
      <c r="G2594" s="26" t="str">
        <f aca="false">IF(OR(E2594="",E2594="!!!"),"",IF(OR(J2594=0,AND(J2594=1,K2594=1),AND(J2594=1,I2594="SBJ"),AND(J2594=1,I2594=0)),"?IN_FOCUS",IF(J2594&lt;=2,"?ACTIVATED",IF(J2594&lt;&gt;"","?FAMILIAR",IF(F2594="NEW",IF(ISNA(VLOOKUP(E2594,#REF!,1,FALSE())),"?TYPE_IDENTIFIABLE","?REFERENTIAL"),"_")))))</f>
        <v/>
      </c>
      <c r="H2594" s="27" t="str">
        <f aca="false">IF(J2594&lt;&gt;1,"",IF(I2594="SBJ","CB","?"))</f>
        <v/>
      </c>
      <c r="I2594" s="24" t="str">
        <f aca="false">IF(OR(E2594="",E2594="!!!",F2594="NEW"),"",INDEX(B4:B$2591,-1+SUMPRODUCT(MAX(ROW(E4:E$2591)*(E2594=E4:E$2591)))))</f>
        <v/>
      </c>
      <c r="J2594" s="24" t="str">
        <f aca="true">IF(OR(E2594="",E2594="!!!",F2594="NEW"),"",COUNTBLANK(OFFSET(A$1,,,SUMPRODUCT(MAX(ROW(E$2:E2594)*(E2594=E$2:E2594)))))-COUNTBLANK(OFFSET(A$1,,,SUMPRODUCT(MAX(ROW(E$1:E2593)*(E2=E$1:E2593))))))</f>
        <v/>
      </c>
      <c r="K2594" s="24" t="str">
        <f aca="false">IF(OR(E2594="",E2594="!!!",F2594="NEW"),"",INDEX(J$1:J2593,SUMPRODUCT(MAX(ROW(E$1:E2593)*(E2594=E$1:E2593)))))</f>
        <v/>
      </c>
      <c r="L2594" s="31"/>
    </row>
    <row r="2595" customFormat="false" ht="15" hidden="false" customHeight="false" outlineLevel="0" collapsed="false">
      <c r="A2595" s="20" t="s">
        <v>1569</v>
      </c>
      <c r="E2595" s="23" t="str">
        <f aca="false">IF(D2595="?OLD","!!!","")</f>
        <v/>
      </c>
      <c r="F2595" s="25" t="str">
        <f aca="false">IF(OR(E2595="",E2595="!!!"),"",IF(NOT(ISNA(VLOOKUP(E2595,E$1:E2594,1,FALSE()))),"OLD",IF(AND(E2595&lt;&gt;"",E2595&lt;&gt;"!!!"),"NEW","")))</f>
        <v/>
      </c>
      <c r="G2595" s="26" t="str">
        <f aca="false">IF(OR(E2595="",E2595="!!!"),"",IF(OR(J2595=0,AND(J2595=1,K2595=1),AND(J2595=1,I2595="SBJ"),AND(J2595=1,I2595=0)),"?IN_FOCUS",IF(J2595&lt;=2,"?ACTIVATED",IF(J2595&lt;&gt;"","?FAMILIAR",IF(F2595="NEW",IF(ISNA(VLOOKUP(E2595,#REF!,1,FALSE())),"?TYPE_IDENTIFIABLE","?REFERENTIAL"),"_")))))</f>
        <v/>
      </c>
      <c r="H2595" s="27" t="str">
        <f aca="false">IF(J2595&lt;&gt;1,"",IF(I2595="SBJ","CB","?"))</f>
        <v/>
      </c>
      <c r="I2595" s="24" t="str">
        <f aca="false">IF(OR(E2595="",E2595="!!!",F2595="NEW"),"",INDEX(B5:B$2591,-1+SUMPRODUCT(MAX(ROW(E5:E$2591)*(E2595=E5:E$2591)))))</f>
        <v/>
      </c>
      <c r="J2595" s="24" t="str">
        <f aca="true">IF(OR(E2595="",E2595="!!!",F2595="NEW"),"",COUNTBLANK(OFFSET(A$1,,,SUMPRODUCT(MAX(ROW(E$2:E2595)*(E2595=E$2:E2595)))))-COUNTBLANK(OFFSET(A$1,,,SUMPRODUCT(MAX(ROW(E$1:E2594)*(E2=E$1:E2594))))))</f>
        <v/>
      </c>
      <c r="K2595" s="24" t="str">
        <f aca="false">IF(OR(E2595="",E2595="!!!",F2595="NEW"),"",INDEX(J$1:J2594,SUMPRODUCT(MAX(ROW(E$1:E2594)*(E2595=E$1:E2594)))))</f>
        <v/>
      </c>
      <c r="L2595" s="31"/>
    </row>
    <row r="2596" customFormat="false" ht="15" hidden="false" customHeight="false" outlineLevel="0" collapsed="false">
      <c r="A2596" s="20" t="s">
        <v>1090</v>
      </c>
      <c r="B2596" s="22" t="s">
        <v>1086</v>
      </c>
      <c r="C2596" s="22" t="s">
        <v>1082</v>
      </c>
      <c r="D2596" s="22" t="s">
        <v>1060</v>
      </c>
      <c r="E2596" s="23" t="str">
        <f aca="false">IF(D2596="?OLD","!!!","")</f>
        <v>!!!</v>
      </c>
      <c r="F2596" s="25" t="str">
        <f aca="false">IF(OR(E2596="",E2596="!!!"),"",IF(NOT(ISNA(VLOOKUP(E2596,E$1:E2595,1,FALSE()))),"OLD",IF(AND(E2596&lt;&gt;"",E2596&lt;&gt;"!!!"),"NEW","")))</f>
        <v/>
      </c>
      <c r="G2596" s="26" t="str">
        <f aca="false">IF(OR(E2596="",E2596="!!!"),"",IF(OR(J2596=0,AND(J2596=1,K2596=1),AND(J2596=1,I2596="SBJ"),AND(J2596=1,I2596=0)),"?IN_FOCUS",IF(J2596&lt;=2,"?ACTIVATED",IF(J2596&lt;&gt;"","?FAMILIAR",IF(F2596="NEW",IF(ISNA(VLOOKUP(E2596,#REF!,1,FALSE())),"?TYPE_IDENTIFIABLE","?REFERENTIAL"),"_")))))</f>
        <v/>
      </c>
      <c r="H2596" s="27" t="str">
        <f aca="false">IF(J2596&lt;&gt;1,"",IF(I2596="SBJ","CB","?"))</f>
        <v/>
      </c>
      <c r="I2596" s="24" t="str">
        <f aca="false">IF(OR(E2596="",E2596="!!!",F2596="NEW"),"",INDEX(B6:B$2591,-1+SUMPRODUCT(MAX(ROW(E6:E$2591)*(E2596=E6:E$2591)))))</f>
        <v/>
      </c>
      <c r="J2596" s="24" t="str">
        <f aca="true">IF(OR(E2596="",E2596="!!!",F2596="NEW"),"",COUNTBLANK(OFFSET(A$1,,,SUMPRODUCT(MAX(ROW(E$2:E2596)*(E2596=E$2:E2596)))))-COUNTBLANK(OFFSET(A$1,,,SUMPRODUCT(MAX(ROW(E$1:E2595)*(E2=E$1:E2595))))))</f>
        <v/>
      </c>
      <c r="K2596" s="24" t="str">
        <f aca="false">IF(OR(E2596="",E2596="!!!",F2596="NEW"),"",INDEX(J$1:J2595,SUMPRODUCT(MAX(ROW(E$1:E2595)*(E2596=E$1:E2595)))))</f>
        <v/>
      </c>
      <c r="L2596" s="31"/>
    </row>
    <row r="2597" customFormat="false" ht="15" hidden="false" customHeight="false" outlineLevel="0" collapsed="false">
      <c r="A2597" s="20" t="s">
        <v>1164</v>
      </c>
      <c r="E2597" s="23" t="str">
        <f aca="false">IF(D2597="?OLD","!!!","")</f>
        <v/>
      </c>
      <c r="F2597" s="25" t="str">
        <f aca="false">IF(OR(E2597="",E2597="!!!"),"",IF(NOT(ISNA(VLOOKUP(E2597,E$1:E2596,1,FALSE()))),"OLD",IF(AND(E2597&lt;&gt;"",E2597&lt;&gt;"!!!"),"NEW","")))</f>
        <v/>
      </c>
      <c r="G2597" s="26" t="str">
        <f aca="false">IF(OR(E2597="",E2597="!!!"),"",IF(OR(J2597=0,AND(J2597=1,K2597=1),AND(J2597=1,I2597="SBJ"),AND(J2597=1,I2597=0)),"?IN_FOCUS",IF(J2597&lt;=2,"?ACTIVATED",IF(J2597&lt;&gt;"","?FAMILIAR",IF(F2597="NEW",IF(ISNA(VLOOKUP(E2597,#REF!,1,FALSE())),"?TYPE_IDENTIFIABLE","?REFERENTIAL"),"_")))))</f>
        <v/>
      </c>
      <c r="H2597" s="27" t="str">
        <f aca="false">IF(J2597&lt;&gt;1,"",IF(I2597="SBJ","CB","?"))</f>
        <v/>
      </c>
      <c r="I2597" s="24" t="str">
        <f aca="false">IF(OR(E2597="",E2597="!!!",F2597="NEW"),"",INDEX(B7:B$2591,-1+SUMPRODUCT(MAX(ROW(E7:E$2591)*(E2597=E7:E$2591)))))</f>
        <v/>
      </c>
      <c r="J2597" s="24" t="str">
        <f aca="true">IF(OR(E2597="",E2597="!!!",F2597="NEW"),"",COUNTBLANK(OFFSET(A$1,,,SUMPRODUCT(MAX(ROW(E$2:E2597)*(E2597=E$2:E2597)))))-COUNTBLANK(OFFSET(A$1,,,SUMPRODUCT(MAX(ROW(E$1:E2596)*(E2=E$1:E2596))))))</f>
        <v/>
      </c>
      <c r="K2597" s="24" t="str">
        <f aca="false">IF(OR(E2597="",E2597="!!!",F2597="NEW"),"",INDEX(J$1:J2596,SUMPRODUCT(MAX(ROW(E$1:E2596)*(E2597=E$1:E2596)))))</f>
        <v/>
      </c>
      <c r="L2597" s="31"/>
    </row>
    <row r="2598" customFormat="false" ht="15" hidden="false" customHeight="false" outlineLevel="0" collapsed="false">
      <c r="A2598" s="20" t="s">
        <v>1977</v>
      </c>
      <c r="E2598" s="23" t="str">
        <f aca="false">IF(D2598="?OLD","!!!","")</f>
        <v/>
      </c>
      <c r="F2598" s="25" t="str">
        <f aca="false">IF(OR(E2598="",E2598="!!!"),"",IF(NOT(ISNA(VLOOKUP(E2598,E$1:E2597,1,FALSE()))),"OLD",IF(AND(E2598&lt;&gt;"",E2598&lt;&gt;"!!!"),"NEW","")))</f>
        <v/>
      </c>
      <c r="G2598" s="26" t="str">
        <f aca="false">IF(OR(E2598="",E2598="!!!"),"",IF(OR(J2598=0,AND(J2598=1,K2598=1),AND(J2598=1,I2598="SBJ"),AND(J2598=1,I2598=0)),"?IN_FOCUS",IF(J2598&lt;=2,"?ACTIVATED",IF(J2598&lt;&gt;"","?FAMILIAR",IF(F2598="NEW",IF(ISNA(VLOOKUP(E2598,#REF!,1,FALSE())),"?TYPE_IDENTIFIABLE","?REFERENTIAL"),"_")))))</f>
        <v/>
      </c>
      <c r="H2598" s="27" t="str">
        <f aca="false">IF(J2598&lt;&gt;1,"",IF(I2598="SBJ","CB","?"))</f>
        <v/>
      </c>
      <c r="I2598" s="24" t="str">
        <f aca="false">IF(OR(E2598="",E2598="!!!",F2598="NEW"),"",INDEX(B8:B$2591,-1+SUMPRODUCT(MAX(ROW(E8:E$2591)*(E2598=E8:E$2591)))))</f>
        <v/>
      </c>
      <c r="J2598" s="24" t="str">
        <f aca="true">IF(OR(E2598="",E2598="!!!",F2598="NEW"),"",COUNTBLANK(OFFSET(A$1,,,SUMPRODUCT(MAX(ROW(E$2:E2598)*(E2598=E$2:E2598)))))-COUNTBLANK(OFFSET(A$1,,,SUMPRODUCT(MAX(ROW(E$1:E2597)*(E2=E$1:E2597))))))</f>
        <v/>
      </c>
      <c r="K2598" s="24" t="str">
        <f aca="false">IF(OR(E2598="",E2598="!!!",F2598="NEW"),"",INDEX(J$1:J2597,SUMPRODUCT(MAX(ROW(E$1:E2597)*(E2598=E$1:E2597)))))</f>
        <v/>
      </c>
      <c r="L2598" s="31"/>
    </row>
    <row r="2599" customFormat="false" ht="15" hidden="false" customHeight="false" outlineLevel="0" collapsed="false">
      <c r="A2599" s="20" t="s">
        <v>923</v>
      </c>
      <c r="E2599" s="23" t="str">
        <f aca="false">IF(D2599="?OLD","!!!","")</f>
        <v/>
      </c>
      <c r="F2599" s="25" t="str">
        <f aca="false">IF(OR(E2599="",E2599="!!!"),"",IF(NOT(ISNA(VLOOKUP(E2599,E$1:E2598,1,FALSE()))),"OLD",IF(AND(E2599&lt;&gt;"",E2599&lt;&gt;"!!!"),"NEW","")))</f>
        <v/>
      </c>
      <c r="G2599" s="26" t="str">
        <f aca="false">IF(OR(E2599="",E2599="!!!"),"",IF(OR(J2599=0,AND(J2599=1,K2599=1),AND(J2599=1,I2599="SBJ"),AND(J2599=1,I2599=0)),"?IN_FOCUS",IF(J2599&lt;=2,"?ACTIVATED",IF(J2599&lt;&gt;"","?FAMILIAR",IF(F2599="NEW",IF(ISNA(VLOOKUP(E2599,#REF!,1,FALSE())),"?TYPE_IDENTIFIABLE","?REFERENTIAL"),"_")))))</f>
        <v/>
      </c>
      <c r="H2599" s="27" t="str">
        <f aca="false">IF(J2599&lt;&gt;1,"",IF(I2599="SBJ","CB","?"))</f>
        <v/>
      </c>
      <c r="I2599" s="24" t="str">
        <f aca="false">IF(OR(E2599="",E2599="!!!",F2599="NEW"),"",INDEX(B9:B$2591,-1+SUMPRODUCT(MAX(ROW(E9:E$2591)*(E2599=E9:E$2591)))))</f>
        <v/>
      </c>
      <c r="J2599" s="24" t="str">
        <f aca="true">IF(OR(E2599="",E2599="!!!",F2599="NEW"),"",COUNTBLANK(OFFSET(A$1,,,SUMPRODUCT(MAX(ROW(E$2:E2599)*(E2599=E$2:E2599)))))-COUNTBLANK(OFFSET(A$1,,,SUMPRODUCT(MAX(ROW(E$1:E2598)*(E2=E$1:E2598))))))</f>
        <v/>
      </c>
      <c r="K2599" s="24" t="str">
        <f aca="false">IF(OR(E2599="",E2599="!!!",F2599="NEW"),"",INDEX(J$1:J2598,SUMPRODUCT(MAX(ROW(E$1:E2598)*(E2599=E$1:E2598)))))</f>
        <v/>
      </c>
      <c r="L2599" s="31"/>
    </row>
    <row r="2600" customFormat="false" ht="15" hidden="false" customHeight="false" outlineLevel="0" collapsed="false">
      <c r="A2600" s="20"/>
    </row>
    <row r="2601" customFormat="false" ht="15" hidden="false" customHeight="false" outlineLevel="0" collapsed="false">
      <c r="A2601" s="20" t="s">
        <v>1978</v>
      </c>
    </row>
    <row r="2602" customFormat="false" ht="15" hidden="false" customHeight="false" outlineLevel="0" collapsed="false">
      <c r="A2602" s="20" t="s">
        <v>1277</v>
      </c>
      <c r="B2602" s="22" t="s">
        <v>1058</v>
      </c>
      <c r="C2602" s="22" t="s">
        <v>1082</v>
      </c>
      <c r="D2602" s="22" t="s">
        <v>1060</v>
      </c>
      <c r="E2602" s="23" t="str">
        <f aca="false">IF(D2602="?OLD","!!!","")</f>
        <v>!!!</v>
      </c>
      <c r="F2602" s="25" t="str">
        <f aca="false">IF(OR(E2602="",E2602="!!!"),"",IF(NOT(ISNA(VLOOKUP(E2602,E$1:E2601,1,FALSE()))),"OLD",IF(AND(E2602&lt;&gt;"",E2602&lt;&gt;"!!!"),"NEW","")))</f>
        <v/>
      </c>
      <c r="G2602" s="26" t="str">
        <f aca="false">IF(OR(E2602="",E2602="!!!"),"",IF(OR(J2602=0,AND(J2602=1,K2602=1),AND(J2602=1,I2602="SBJ"),AND(J2602=1,I2602=0)),"?IN_FOCUS",IF(J2602&lt;=2,"?ACTIVATED",IF(J2602&lt;&gt;"","?FAMILIAR",IF(F2602="NEW",IF(ISNA(VLOOKUP(E2602,#REF!,1,FALSE())),"?TYPE_IDENTIFIABLE","?REFERENTIAL"),"_")))))</f>
        <v/>
      </c>
      <c r="H2602" s="27" t="str">
        <f aca="false">IF(J2602&lt;&gt;1,"",IF(I2602="SBJ","CB","?"))</f>
        <v/>
      </c>
      <c r="I2602" s="24" t="str">
        <f aca="false">IF(OR(E2602="",E2602="!!!",F2602="NEW"),"",INDEX(B2:B$2601,-1+SUMPRODUCT(MAX(ROW(E2:E$2601)*(E2602=E2:E$2601)))))</f>
        <v/>
      </c>
      <c r="J2602" s="24" t="str">
        <f aca="true">IF(OR(E2602="",E2602="!!!",F2602="NEW"),"",COUNTBLANK(OFFSET(A$1,,,SUMPRODUCT(MAX(ROW(E$2:E2602)*(E2602=E$2:E2602)))))-COUNTBLANK(OFFSET(A$1,,,SUMPRODUCT(MAX(ROW(E$1:E2601)*(E2=E$1:E2601))))))</f>
        <v/>
      </c>
      <c r="K2602" s="24" t="str">
        <f aca="false">IF(OR(E2602="",E2602="!!!",F2602="NEW"),"",INDEX(J$1:J2601,SUMPRODUCT(MAX(ROW(E$1:E2601)*(E2602=E$1:E2601)))))</f>
        <v/>
      </c>
      <c r="L2602" s="31"/>
    </row>
    <row r="2603" customFormat="false" ht="15" hidden="false" customHeight="false" outlineLevel="0" collapsed="false">
      <c r="A2603" s="20" t="s">
        <v>506</v>
      </c>
      <c r="E2603" s="23" t="str">
        <f aca="false">IF(D2603="?OLD","!!!","")</f>
        <v/>
      </c>
      <c r="F2603" s="25" t="str">
        <f aca="false">IF(OR(E2603="",E2603="!!!"),"",IF(NOT(ISNA(VLOOKUP(E2603,E$1:E2602,1,FALSE()))),"OLD",IF(AND(E2603&lt;&gt;"",E2603&lt;&gt;"!!!"),"NEW","")))</f>
        <v/>
      </c>
      <c r="G2603" s="26" t="str">
        <f aca="false">IF(OR(E2603="",E2603="!!!"),"",IF(OR(J2603=0,AND(J2603=1,K2603=1),AND(J2603=1,I2603="SBJ"),AND(J2603=1,I2603=0)),"?IN_FOCUS",IF(J2603&lt;=2,"?ACTIVATED",IF(J2603&lt;&gt;"","?FAMILIAR",IF(F2603="NEW",IF(ISNA(VLOOKUP(E2603,#REF!,1,FALSE())),"?TYPE_IDENTIFIABLE","?REFERENTIAL"),"_")))))</f>
        <v/>
      </c>
      <c r="H2603" s="27" t="str">
        <f aca="false">IF(J2603&lt;&gt;1,"",IF(I2603="SBJ","CB","?"))</f>
        <v/>
      </c>
      <c r="I2603" s="24" t="str">
        <f aca="false">IF(OR(E2603="",E2603="!!!",F2603="NEW"),"",INDEX(B3:B$2601,-1+SUMPRODUCT(MAX(ROW(E3:E$2601)*(E2603=E3:E$2601)))))</f>
        <v/>
      </c>
      <c r="J2603" s="24" t="str">
        <f aca="true">IF(OR(E2603="",E2603="!!!",F2603="NEW"),"",COUNTBLANK(OFFSET(A$1,,,SUMPRODUCT(MAX(ROW(E$2:E2603)*(E2603=E$2:E2603)))))-COUNTBLANK(OFFSET(A$1,,,SUMPRODUCT(MAX(ROW(E$1:E2602)*(E2=E$1:E2602))))))</f>
        <v/>
      </c>
      <c r="K2603" s="24" t="str">
        <f aca="false">IF(OR(E2603="",E2603="!!!",F2603="NEW"),"",INDEX(J$1:J2602,SUMPRODUCT(MAX(ROW(E$1:E2602)*(E2603=E$1:E2602)))))</f>
        <v/>
      </c>
      <c r="L2603" s="31"/>
    </row>
    <row r="2604" customFormat="false" ht="15" hidden="false" customHeight="false" outlineLevel="0" collapsed="false">
      <c r="A2604" s="20" t="s">
        <v>1911</v>
      </c>
      <c r="E2604" s="23" t="str">
        <f aca="false">IF(D2604="?OLD","!!!","")</f>
        <v/>
      </c>
      <c r="F2604" s="25" t="str">
        <f aca="false">IF(OR(E2604="",E2604="!!!"),"",IF(NOT(ISNA(VLOOKUP(E2604,E$1:E2603,1,FALSE()))),"OLD",IF(AND(E2604&lt;&gt;"",E2604&lt;&gt;"!!!"),"NEW","")))</f>
        <v/>
      </c>
      <c r="G2604" s="26" t="str">
        <f aca="false">IF(OR(E2604="",E2604="!!!"),"",IF(OR(J2604=0,AND(J2604=1,K2604=1),AND(J2604=1,I2604="SBJ"),AND(J2604=1,I2604=0)),"?IN_FOCUS",IF(J2604&lt;=2,"?ACTIVATED",IF(J2604&lt;&gt;"","?FAMILIAR",IF(F2604="NEW",IF(ISNA(VLOOKUP(E2604,#REF!,1,FALSE())),"?TYPE_IDENTIFIABLE","?REFERENTIAL"),"_")))))</f>
        <v/>
      </c>
      <c r="H2604" s="27" t="str">
        <f aca="false">IF(J2604&lt;&gt;1,"",IF(I2604="SBJ","CB","?"))</f>
        <v/>
      </c>
      <c r="I2604" s="24" t="str">
        <f aca="false">IF(OR(E2604="",E2604="!!!",F2604="NEW"),"",INDEX(B4:B$2601,-1+SUMPRODUCT(MAX(ROW(E4:E$2601)*(E2604=E4:E$2601)))))</f>
        <v/>
      </c>
      <c r="J2604" s="24" t="str">
        <f aca="true">IF(OR(E2604="",E2604="!!!",F2604="NEW"),"",COUNTBLANK(OFFSET(A$1,,,SUMPRODUCT(MAX(ROW(E$2:E2604)*(E2604=E$2:E2604)))))-COUNTBLANK(OFFSET(A$1,,,SUMPRODUCT(MAX(ROW(E$1:E2603)*(E2=E$1:E2603))))))</f>
        <v/>
      </c>
      <c r="K2604" s="24" t="str">
        <f aca="false">IF(OR(E2604="",E2604="!!!",F2604="NEW"),"",INDEX(J$1:J2603,SUMPRODUCT(MAX(ROW(E$1:E2603)*(E2604=E$1:E2603)))))</f>
        <v/>
      </c>
      <c r="L2604" s="31"/>
    </row>
    <row r="2605" customFormat="false" ht="15" hidden="false" customHeight="false" outlineLevel="0" collapsed="false">
      <c r="A2605" s="20" t="s">
        <v>1097</v>
      </c>
      <c r="B2605" s="22" t="s">
        <v>1073</v>
      </c>
      <c r="C2605" s="22" t="s">
        <v>1099</v>
      </c>
      <c r="D2605" s="22" t="s">
        <v>1060</v>
      </c>
      <c r="E2605" s="23" t="str">
        <f aca="false">IF(D2605="?OLD","!!!","")</f>
        <v>!!!</v>
      </c>
      <c r="F2605" s="25" t="str">
        <f aca="false">IF(OR(E2605="",E2605="!!!"),"",IF(NOT(ISNA(VLOOKUP(E2605,E$1:E2604,1,FALSE()))),"OLD",IF(AND(E2605&lt;&gt;"",E2605&lt;&gt;"!!!"),"NEW","")))</f>
        <v/>
      </c>
      <c r="G2605" s="26" t="str">
        <f aca="false">IF(OR(E2605="",E2605="!!!"),"",IF(OR(J2605=0,AND(J2605=1,K2605=1),AND(J2605=1,I2605="SBJ"),AND(J2605=1,I2605=0)),"?IN_FOCUS",IF(J2605&lt;=2,"?ACTIVATED",IF(J2605&lt;&gt;"","?FAMILIAR",IF(F2605="NEW",IF(ISNA(VLOOKUP(E2605,#REF!,1,FALSE())),"?TYPE_IDENTIFIABLE","?REFERENTIAL"),"_")))))</f>
        <v/>
      </c>
      <c r="H2605" s="27" t="str">
        <f aca="false">IF(J2605&lt;&gt;1,"",IF(I2605="SBJ","CB","?"))</f>
        <v/>
      </c>
      <c r="I2605" s="24" t="str">
        <f aca="false">IF(OR(E2605="",E2605="!!!",F2605="NEW"),"",INDEX(B5:B$2601,-1+SUMPRODUCT(MAX(ROW(E5:E$2601)*(E2605=E5:E$2601)))))</f>
        <v/>
      </c>
      <c r="J2605" s="24" t="str">
        <f aca="true">IF(OR(E2605="",E2605="!!!",F2605="NEW"),"",COUNTBLANK(OFFSET(A$1,,,SUMPRODUCT(MAX(ROW(E$2:E2605)*(E2605=E$2:E2605)))))-COUNTBLANK(OFFSET(A$1,,,SUMPRODUCT(MAX(ROW(E$1:E2604)*(E2=E$1:E2604))))))</f>
        <v/>
      </c>
      <c r="K2605" s="24" t="str">
        <f aca="false">IF(OR(E2605="",E2605="!!!",F2605="NEW"),"",INDEX(J$1:J2604,SUMPRODUCT(MAX(ROW(E$1:E2604)*(E2605=E$1:E2604)))))</f>
        <v/>
      </c>
      <c r="L2605" s="31"/>
    </row>
    <row r="2606" customFormat="false" ht="15" hidden="false" customHeight="false" outlineLevel="0" collapsed="false">
      <c r="A2606" s="20" t="s">
        <v>1979</v>
      </c>
      <c r="B2606" s="22" t="s">
        <v>1081</v>
      </c>
      <c r="C2606" s="22" t="s">
        <v>1059</v>
      </c>
      <c r="D2606" s="22" t="s">
        <v>1060</v>
      </c>
      <c r="E2606" s="23" t="str">
        <f aca="false">IF(D2606="?OLD","!!!","")</f>
        <v>!!!</v>
      </c>
      <c r="F2606" s="25" t="str">
        <f aca="false">IF(OR(E2606="",E2606="!!!"),"",IF(NOT(ISNA(VLOOKUP(E2606,E$1:E2605,1,FALSE()))),"OLD",IF(AND(E2606&lt;&gt;"",E2606&lt;&gt;"!!!"),"NEW","")))</f>
        <v/>
      </c>
      <c r="G2606" s="26" t="str">
        <f aca="false">IF(OR(E2606="",E2606="!!!"),"",IF(OR(J2606=0,AND(J2606=1,K2606=1),AND(J2606=1,I2606="SBJ"),AND(J2606=1,I2606=0)),"?IN_FOCUS",IF(J2606&lt;=2,"?ACTIVATED",IF(J2606&lt;&gt;"","?FAMILIAR",IF(F2606="NEW",IF(ISNA(VLOOKUP(E2606,#REF!,1,FALSE())),"?TYPE_IDENTIFIABLE","?REFERENTIAL"),"_")))))</f>
        <v/>
      </c>
      <c r="H2606" s="27" t="str">
        <f aca="false">IF(J2606&lt;&gt;1,"",IF(I2606="SBJ","CB","?"))</f>
        <v/>
      </c>
      <c r="I2606" s="24" t="str">
        <f aca="false">IF(OR(E2606="",E2606="!!!",F2606="NEW"),"",INDEX(B6:B$2601,-1+SUMPRODUCT(MAX(ROW(E6:E$2601)*(E2606=E6:E$2601)))))</f>
        <v/>
      </c>
      <c r="J2606" s="24" t="str">
        <f aca="true">IF(OR(E2606="",E2606="!!!",F2606="NEW"),"",COUNTBLANK(OFFSET(A$1,,,SUMPRODUCT(MAX(ROW(E$2:E2606)*(E2606=E$2:E2606)))))-COUNTBLANK(OFFSET(A$1,,,SUMPRODUCT(MAX(ROW(E$1:E2605)*(E2=E$1:E2605))))))</f>
        <v/>
      </c>
      <c r="K2606" s="24" t="str">
        <f aca="false">IF(OR(E2606="",E2606="!!!",F2606="NEW"),"",INDEX(J$1:J2605,SUMPRODUCT(MAX(ROW(E$1:E2605)*(E2606=E$1:E2605)))))</f>
        <v/>
      </c>
      <c r="L2606" s="31"/>
    </row>
    <row r="2607" customFormat="false" ht="15" hidden="false" customHeight="false" outlineLevel="0" collapsed="false">
      <c r="A2607" s="20" t="s">
        <v>1076</v>
      </c>
      <c r="E2607" s="23" t="str">
        <f aca="false">IF(D2607="?OLD","!!!","")</f>
        <v/>
      </c>
      <c r="F2607" s="25" t="str">
        <f aca="false">IF(OR(E2607="",E2607="!!!"),"",IF(NOT(ISNA(VLOOKUP(E2607,E$1:E2606,1,FALSE()))),"OLD",IF(AND(E2607&lt;&gt;"",E2607&lt;&gt;"!!!"),"NEW","")))</f>
        <v/>
      </c>
      <c r="G2607" s="26" t="str">
        <f aca="false">IF(OR(E2607="",E2607="!!!"),"",IF(OR(J2607=0,AND(J2607=1,K2607=1),AND(J2607=1,I2607="SBJ"),AND(J2607=1,I2607=0)),"?IN_FOCUS",IF(J2607&lt;=2,"?ACTIVATED",IF(J2607&lt;&gt;"","?FAMILIAR",IF(F2607="NEW",IF(ISNA(VLOOKUP(E2607,#REF!,1,FALSE())),"?TYPE_IDENTIFIABLE","?REFERENTIAL"),"_")))))</f>
        <v/>
      </c>
      <c r="H2607" s="27" t="str">
        <f aca="false">IF(J2607&lt;&gt;1,"",IF(I2607="SBJ","CB","?"))</f>
        <v/>
      </c>
      <c r="I2607" s="24" t="str">
        <f aca="false">IF(OR(E2607="",E2607="!!!",F2607="NEW"),"",INDEX(B7:B$2601,-1+SUMPRODUCT(MAX(ROW(E7:E$2601)*(E2607=E7:E$2601)))))</f>
        <v/>
      </c>
      <c r="J2607" s="24" t="str">
        <f aca="true">IF(OR(E2607="",E2607="!!!",F2607="NEW"),"",COUNTBLANK(OFFSET(A$1,,,SUMPRODUCT(MAX(ROW(E$2:E2607)*(E2607=E$2:E2607)))))-COUNTBLANK(OFFSET(A$1,,,SUMPRODUCT(MAX(ROW(E$1:E2606)*(E2=E$1:E2606))))))</f>
        <v/>
      </c>
      <c r="K2607" s="24" t="str">
        <f aca="false">IF(OR(E2607="",E2607="!!!",F2607="NEW"),"",INDEX(J$1:J2606,SUMPRODUCT(MAX(ROW(E$1:E2606)*(E2607=E$1:E2606)))))</f>
        <v/>
      </c>
      <c r="L2607" s="31"/>
    </row>
    <row r="2608" customFormat="false" ht="15" hidden="false" customHeight="false" outlineLevel="0" collapsed="false">
      <c r="A2608" s="20" t="s">
        <v>1128</v>
      </c>
      <c r="E2608" s="23" t="str">
        <f aca="false">IF(D2608="?OLD","!!!","")</f>
        <v/>
      </c>
      <c r="F2608" s="25" t="str">
        <f aca="false">IF(OR(E2608="",E2608="!!!"),"",IF(NOT(ISNA(VLOOKUP(E2608,E$1:E2607,1,FALSE()))),"OLD",IF(AND(E2608&lt;&gt;"",E2608&lt;&gt;"!!!"),"NEW","")))</f>
        <v/>
      </c>
      <c r="G2608" s="26" t="str">
        <f aca="false">IF(OR(E2608="",E2608="!!!"),"",IF(OR(J2608=0,AND(J2608=1,K2608=1),AND(J2608=1,I2608="SBJ"),AND(J2608=1,I2608=0)),"?IN_FOCUS",IF(J2608&lt;=2,"?ACTIVATED",IF(J2608&lt;&gt;"","?FAMILIAR",IF(F2608="NEW",IF(ISNA(VLOOKUP(E2608,#REF!,1,FALSE())),"?TYPE_IDENTIFIABLE","?REFERENTIAL"),"_")))))</f>
        <v/>
      </c>
      <c r="H2608" s="27" t="str">
        <f aca="false">IF(J2608&lt;&gt;1,"",IF(I2608="SBJ","CB","?"))</f>
        <v/>
      </c>
      <c r="I2608" s="24" t="str">
        <f aca="false">IF(OR(E2608="",E2608="!!!",F2608="NEW"),"",INDEX(B8:B$2601,-1+SUMPRODUCT(MAX(ROW(E8:E$2601)*(E2608=E8:E$2601)))))</f>
        <v/>
      </c>
      <c r="J2608" s="24" t="str">
        <f aca="true">IF(OR(E2608="",E2608="!!!",F2608="NEW"),"",COUNTBLANK(OFFSET(A$1,,,SUMPRODUCT(MAX(ROW(E$2:E2608)*(E2608=E$2:E2608)))))-COUNTBLANK(OFFSET(A$1,,,SUMPRODUCT(MAX(ROW(E$1:E2607)*(E2=E$1:E2607))))))</f>
        <v/>
      </c>
      <c r="K2608" s="24" t="str">
        <f aca="false">IF(OR(E2608="",E2608="!!!",F2608="NEW"),"",INDEX(J$1:J2607,SUMPRODUCT(MAX(ROW(E$1:E2607)*(E2608=E$1:E2607)))))</f>
        <v/>
      </c>
      <c r="L2608" s="31"/>
    </row>
    <row r="2609" customFormat="false" ht="15" hidden="false" customHeight="false" outlineLevel="0" collapsed="false">
      <c r="A2609" s="20" t="s">
        <v>1066</v>
      </c>
      <c r="B2609" s="22" t="s">
        <v>1105</v>
      </c>
      <c r="C2609" s="22" t="s">
        <v>1068</v>
      </c>
      <c r="D2609" s="22" t="s">
        <v>1060</v>
      </c>
      <c r="E2609" s="23" t="str">
        <f aca="false">IF(D2609="?OLD","!!!","")</f>
        <v>!!!</v>
      </c>
      <c r="F2609" s="25" t="str">
        <f aca="false">IF(OR(E2609="",E2609="!!!"),"",IF(NOT(ISNA(VLOOKUP(E2609,E$1:E2608,1,FALSE()))),"OLD",IF(AND(E2609&lt;&gt;"",E2609&lt;&gt;"!!!"),"NEW","")))</f>
        <v/>
      </c>
      <c r="G2609" s="26" t="str">
        <f aca="false">IF(OR(E2609="",E2609="!!!"),"",IF(OR(J2609=0,AND(J2609=1,K2609=1),AND(J2609=1,I2609="SBJ"),AND(J2609=1,I2609=0)),"?IN_FOCUS",IF(J2609&lt;=2,"?ACTIVATED",IF(J2609&lt;&gt;"","?FAMILIAR",IF(F2609="NEW",IF(ISNA(VLOOKUP(E2609,#REF!,1,FALSE())),"?TYPE_IDENTIFIABLE","?REFERENTIAL"),"_")))))</f>
        <v/>
      </c>
      <c r="H2609" s="27" t="str">
        <f aca="false">IF(J2609&lt;&gt;1,"",IF(I2609="SBJ","CB","?"))</f>
        <v/>
      </c>
      <c r="I2609" s="24" t="str">
        <f aca="false">IF(OR(E2609="",E2609="!!!",F2609="NEW"),"",INDEX(B9:B$2601,-1+SUMPRODUCT(MAX(ROW(E9:E$2601)*(E2609=E9:E$2601)))))</f>
        <v/>
      </c>
      <c r="J2609" s="24" t="str">
        <f aca="true">IF(OR(E2609="",E2609="!!!",F2609="NEW"),"",COUNTBLANK(OFFSET(A$1,,,SUMPRODUCT(MAX(ROW(E$2:E2609)*(E2609=E$2:E2609)))))-COUNTBLANK(OFFSET(A$1,,,SUMPRODUCT(MAX(ROW(E$1:E2608)*(E2=E$1:E2608))))))</f>
        <v/>
      </c>
      <c r="K2609" s="24" t="str">
        <f aca="false">IF(OR(E2609="",E2609="!!!",F2609="NEW"),"",INDEX(J$1:J2608,SUMPRODUCT(MAX(ROW(E$1:E2608)*(E2609=E$1:E2608)))))</f>
        <v/>
      </c>
      <c r="L2609" s="31"/>
    </row>
    <row r="2610" customFormat="false" ht="15" hidden="false" customHeight="false" outlineLevel="0" collapsed="false">
      <c r="A2610" s="20" t="s">
        <v>1980</v>
      </c>
      <c r="E2610" s="23" t="str">
        <f aca="false">IF(D2610="?OLD","!!!","")</f>
        <v/>
      </c>
      <c r="F2610" s="25" t="str">
        <f aca="false">IF(OR(E2610="",E2610="!!!"),"",IF(NOT(ISNA(VLOOKUP(E2610,E$1:E2609,1,FALSE()))),"OLD",IF(AND(E2610&lt;&gt;"",E2610&lt;&gt;"!!!"),"NEW","")))</f>
        <v/>
      </c>
      <c r="G2610" s="26" t="str">
        <f aca="false">IF(OR(E2610="",E2610="!!!"),"",IF(OR(J2610=0,AND(J2610=1,K2610=1),AND(J2610=1,I2610="SBJ"),AND(J2610=1,I2610=0)),"?IN_FOCUS",IF(J2610&lt;=2,"?ACTIVATED",IF(J2610&lt;&gt;"","?FAMILIAR",IF(F2610="NEW",IF(ISNA(VLOOKUP(E2610,#REF!,1,FALSE())),"?TYPE_IDENTIFIABLE","?REFERENTIAL"),"_")))))</f>
        <v/>
      </c>
      <c r="H2610" s="27" t="str">
        <f aca="false">IF(J2610&lt;&gt;1,"",IF(I2610="SBJ","CB","?"))</f>
        <v/>
      </c>
      <c r="I2610" s="24" t="str">
        <f aca="false">IF(OR(E2610="",E2610="!!!",F2610="NEW"),"",INDEX(B10:B$2601,-1+SUMPRODUCT(MAX(ROW(E10:E$2601)*(E2610=E10:E$2601)))))</f>
        <v/>
      </c>
      <c r="J2610" s="24" t="str">
        <f aca="true">IF(OR(E2610="",E2610="!!!",F2610="NEW"),"",COUNTBLANK(OFFSET(A$1,,,SUMPRODUCT(MAX(ROW(E$2:E2610)*(E2610=E$2:E2610)))))-COUNTBLANK(OFFSET(A$1,,,SUMPRODUCT(MAX(ROW(E$1:E2609)*(E2=E$1:E2609))))))</f>
        <v/>
      </c>
      <c r="K2610" s="24" t="str">
        <f aca="false">IF(OR(E2610="",E2610="!!!",F2610="NEW"),"",INDEX(J$1:J2609,SUMPRODUCT(MAX(ROW(E$1:E2609)*(E2610=E$1:E2609)))))</f>
        <v/>
      </c>
      <c r="L2610" s="31"/>
    </row>
    <row r="2611" customFormat="false" ht="15" hidden="false" customHeight="false" outlineLevel="0" collapsed="false">
      <c r="A2611" s="20" t="s">
        <v>1085</v>
      </c>
      <c r="E2611" s="23" t="str">
        <f aca="false">IF(D2611="?OLD","!!!","")</f>
        <v/>
      </c>
      <c r="F2611" s="25" t="str">
        <f aca="false">IF(OR(E2611="",E2611="!!!"),"",IF(NOT(ISNA(VLOOKUP(E2611,E$1:E2610,1,FALSE()))),"OLD",IF(AND(E2611&lt;&gt;"",E2611&lt;&gt;"!!!"),"NEW","")))</f>
        <v/>
      </c>
      <c r="G2611" s="26" t="str">
        <f aca="false">IF(OR(E2611="",E2611="!!!"),"",IF(OR(J2611=0,AND(J2611=1,K2611=1),AND(J2611=1,I2611="SBJ"),AND(J2611=1,I2611=0)),"?IN_FOCUS",IF(J2611&lt;=2,"?ACTIVATED",IF(J2611&lt;&gt;"","?FAMILIAR",IF(F2611="NEW",IF(ISNA(VLOOKUP(E2611,#REF!,1,FALSE())),"?TYPE_IDENTIFIABLE","?REFERENTIAL"),"_")))))</f>
        <v/>
      </c>
      <c r="H2611" s="27" t="str">
        <f aca="false">IF(J2611&lt;&gt;1,"",IF(I2611="SBJ","CB","?"))</f>
        <v/>
      </c>
      <c r="I2611" s="24" t="str">
        <f aca="false">IF(OR(E2611="",E2611="!!!",F2611="NEW"),"",INDEX(B11:B$2601,-1+SUMPRODUCT(MAX(ROW(E11:E$2601)*(E2611=E11:E$2601)))))</f>
        <v/>
      </c>
      <c r="J2611" s="24" t="str">
        <f aca="true">IF(OR(E2611="",E2611="!!!",F2611="NEW"),"",COUNTBLANK(OFFSET(A$1,,,SUMPRODUCT(MAX(ROW(E$2:E2611)*(E2611=E$2:E2611)))))-COUNTBLANK(OFFSET(A$1,,,SUMPRODUCT(MAX(ROW(E$1:E2610)*(E2=E$1:E2610))))))</f>
        <v/>
      </c>
      <c r="K2611" s="24" t="str">
        <f aca="false">IF(OR(E2611="",E2611="!!!",F2611="NEW"),"",INDEX(J$1:J2610,SUMPRODUCT(MAX(ROW(E$1:E2610)*(E2611=E$1:E2610)))))</f>
        <v/>
      </c>
      <c r="L2611" s="31"/>
    </row>
    <row r="2612" customFormat="false" ht="15" hidden="false" customHeight="false" outlineLevel="0" collapsed="false">
      <c r="A2612" s="20" t="s">
        <v>1981</v>
      </c>
      <c r="B2612" s="22" t="s">
        <v>1142</v>
      </c>
      <c r="C2612" s="22" t="s">
        <v>1087</v>
      </c>
      <c r="E2612" s="23" t="str">
        <f aca="false">IF(D2612="?OLD","!!!","")</f>
        <v/>
      </c>
      <c r="F2612" s="25" t="str">
        <f aca="false">IF(OR(E2612="",E2612="!!!"),"",IF(NOT(ISNA(VLOOKUP(E2612,E$1:E2611,1,FALSE()))),"OLD",IF(AND(E2612&lt;&gt;"",E2612&lt;&gt;"!!!"),"NEW","")))</f>
        <v/>
      </c>
      <c r="G2612" s="26" t="str">
        <f aca="false">IF(OR(E2612="",E2612="!!!"),"",IF(OR(J2612=0,AND(J2612=1,K2612=1),AND(J2612=1,I2612="SBJ"),AND(J2612=1,I2612=0)),"?IN_FOCUS",IF(J2612&lt;=2,"?ACTIVATED",IF(J2612&lt;&gt;"","?FAMILIAR",IF(F2612="NEW",IF(ISNA(VLOOKUP(E2612,#REF!,1,FALSE())),"?TYPE_IDENTIFIABLE","?REFERENTIAL"),"_")))))</f>
        <v/>
      </c>
      <c r="H2612" s="27" t="str">
        <f aca="false">IF(J2612&lt;&gt;1,"",IF(I2612="SBJ","CB","?"))</f>
        <v/>
      </c>
      <c r="I2612" s="24" t="str">
        <f aca="false">IF(OR(E2612="",E2612="!!!",F2612="NEW"),"",INDEX(B12:B$2601,-1+SUMPRODUCT(MAX(ROW(E12:E$2601)*(E2612=E12:E$2601)))))</f>
        <v/>
      </c>
      <c r="J2612" s="24" t="str">
        <f aca="true">IF(OR(E2612="",E2612="!!!",F2612="NEW"),"",COUNTBLANK(OFFSET(A$1,,,SUMPRODUCT(MAX(ROW(E$2:E2612)*(E2612=E$2:E2612)))))-COUNTBLANK(OFFSET(A$1,,,SUMPRODUCT(MAX(ROW(E$1:E2611)*(E2=E$1:E2611))))))</f>
        <v/>
      </c>
      <c r="K2612" s="24" t="str">
        <f aca="false">IF(OR(E2612="",E2612="!!!",F2612="NEW"),"",INDEX(J$1:J2611,SUMPRODUCT(MAX(ROW(E$1:E2611)*(E2612=E$1:E2611)))))</f>
        <v/>
      </c>
      <c r="L2612" s="31"/>
    </row>
    <row r="2613" customFormat="false" ht="15" hidden="false" customHeight="false" outlineLevel="0" collapsed="false">
      <c r="A2613" s="20" t="s">
        <v>1064</v>
      </c>
      <c r="E2613" s="23" t="str">
        <f aca="false">IF(D2613="?OLD","!!!","")</f>
        <v/>
      </c>
      <c r="F2613" s="25" t="str">
        <f aca="false">IF(OR(E2613="",E2613="!!!"),"",IF(NOT(ISNA(VLOOKUP(E2613,E$1:E2612,1,FALSE()))),"OLD",IF(AND(E2613&lt;&gt;"",E2613&lt;&gt;"!!!"),"NEW","")))</f>
        <v/>
      </c>
      <c r="G2613" s="26" t="str">
        <f aca="false">IF(OR(E2613="",E2613="!!!"),"",IF(OR(J2613=0,AND(J2613=1,K2613=1),AND(J2613=1,I2613="SBJ"),AND(J2613=1,I2613=0)),"?IN_FOCUS",IF(J2613&lt;=2,"?ACTIVATED",IF(J2613&lt;&gt;"","?FAMILIAR",IF(F2613="NEW",IF(ISNA(VLOOKUP(E2613,#REF!,1,FALSE())),"?TYPE_IDENTIFIABLE","?REFERENTIAL"),"_")))))</f>
        <v/>
      </c>
      <c r="H2613" s="27" t="str">
        <f aca="false">IF(J2613&lt;&gt;1,"",IF(I2613="SBJ","CB","?"))</f>
        <v/>
      </c>
      <c r="I2613" s="24" t="str">
        <f aca="false">IF(OR(E2613="",E2613="!!!",F2613="NEW"),"",INDEX(B13:B$2601,-1+SUMPRODUCT(MAX(ROW(E13:E$2601)*(E2613=E13:E$2601)))))</f>
        <v/>
      </c>
      <c r="J2613" s="24" t="str">
        <f aca="true">IF(OR(E2613="",E2613="!!!",F2613="NEW"),"",COUNTBLANK(OFFSET(A$1,,,SUMPRODUCT(MAX(ROW(E$2:E2613)*(E2613=E$2:E2613)))))-COUNTBLANK(OFFSET(A$1,,,SUMPRODUCT(MAX(ROW(E$1:E2612)*(E2=E$1:E2612))))))</f>
        <v/>
      </c>
      <c r="K2613" s="24" t="str">
        <f aca="false">IF(OR(E2613="",E2613="!!!",F2613="NEW"),"",INDEX(J$1:J2612,SUMPRODUCT(MAX(ROW(E$1:E2612)*(E2613=E$1:E2612)))))</f>
        <v/>
      </c>
      <c r="L2613" s="31"/>
    </row>
    <row r="2614" customFormat="false" ht="15" hidden="false" customHeight="false" outlineLevel="0" collapsed="false">
      <c r="A2614" s="20" t="s">
        <v>1982</v>
      </c>
      <c r="B2614" s="22" t="s">
        <v>1067</v>
      </c>
      <c r="C2614" s="22" t="s">
        <v>1160</v>
      </c>
      <c r="E2614" s="23" t="str">
        <f aca="false">IF(D2614="?OLD","!!!","")</f>
        <v/>
      </c>
      <c r="F2614" s="25" t="str">
        <f aca="false">IF(OR(E2614="",E2614="!!!"),"",IF(NOT(ISNA(VLOOKUP(E2614,E$1:E2613,1,FALSE()))),"OLD",IF(AND(E2614&lt;&gt;"",E2614&lt;&gt;"!!!"),"NEW","")))</f>
        <v/>
      </c>
      <c r="G2614" s="26" t="str">
        <f aca="false">IF(OR(E2614="",E2614="!!!"),"",IF(OR(J2614=0,AND(J2614=1,K2614=1),AND(J2614=1,I2614="SBJ"),AND(J2614=1,I2614=0)),"?IN_FOCUS",IF(J2614&lt;=2,"?ACTIVATED",IF(J2614&lt;&gt;"","?FAMILIAR",IF(F2614="NEW",IF(ISNA(VLOOKUP(E2614,#REF!,1,FALSE())),"?TYPE_IDENTIFIABLE","?REFERENTIAL"),"_")))))</f>
        <v/>
      </c>
      <c r="H2614" s="27" t="str">
        <f aca="false">IF(J2614&lt;&gt;1,"",IF(I2614="SBJ","CB","?"))</f>
        <v/>
      </c>
      <c r="I2614" s="24" t="str">
        <f aca="false">IF(OR(E2614="",E2614="!!!",F2614="NEW"),"",INDEX(B14:B$2601,-1+SUMPRODUCT(MAX(ROW(E14:E$2601)*(E2614=E14:E$2601)))))</f>
        <v/>
      </c>
      <c r="J2614" s="24" t="str">
        <f aca="true">IF(OR(E2614="",E2614="!!!",F2614="NEW"),"",COUNTBLANK(OFFSET(A$1,,,SUMPRODUCT(MAX(ROW(E$2:E2614)*(E2614=E$2:E2614)))))-COUNTBLANK(OFFSET(A$1,,,SUMPRODUCT(MAX(ROW(E$1:E2613)*(E2=E$1:E2613))))))</f>
        <v/>
      </c>
      <c r="K2614" s="24" t="str">
        <f aca="false">IF(OR(E2614="",E2614="!!!",F2614="NEW"),"",INDEX(J$1:J2613,SUMPRODUCT(MAX(ROW(E$1:E2613)*(E2614=E$1:E2613)))))</f>
        <v/>
      </c>
      <c r="L2614" s="31"/>
    </row>
    <row r="2615" customFormat="false" ht="15" hidden="false" customHeight="false" outlineLevel="0" collapsed="false">
      <c r="A2615" s="20" t="s">
        <v>1215</v>
      </c>
      <c r="E2615" s="23" t="str">
        <f aca="false">IF(D2615="?OLD","!!!","")</f>
        <v/>
      </c>
      <c r="F2615" s="25" t="str">
        <f aca="false">IF(OR(E2615="",E2615="!!!"),"",IF(NOT(ISNA(VLOOKUP(E2615,E$1:E2614,1,FALSE()))),"OLD",IF(AND(E2615&lt;&gt;"",E2615&lt;&gt;"!!!"),"NEW","")))</f>
        <v/>
      </c>
      <c r="G2615" s="26" t="str">
        <f aca="false">IF(OR(E2615="",E2615="!!!"),"",IF(OR(J2615=0,AND(J2615=1,K2615=1),AND(J2615=1,I2615="SBJ"),AND(J2615=1,I2615=0)),"?IN_FOCUS",IF(J2615&lt;=2,"?ACTIVATED",IF(J2615&lt;&gt;"","?FAMILIAR",IF(F2615="NEW",IF(ISNA(VLOOKUP(E2615,#REF!,1,FALSE())),"?TYPE_IDENTIFIABLE","?REFERENTIAL"),"_")))))</f>
        <v/>
      </c>
      <c r="H2615" s="27" t="str">
        <f aca="false">IF(J2615&lt;&gt;1,"",IF(I2615="SBJ","CB","?"))</f>
        <v/>
      </c>
      <c r="I2615" s="24" t="str">
        <f aca="false">IF(OR(E2615="",E2615="!!!",F2615="NEW"),"",INDEX(B15:B$2601,-1+SUMPRODUCT(MAX(ROW(E15:E$2601)*(E2615=E15:E$2601)))))</f>
        <v/>
      </c>
      <c r="J2615" s="24" t="str">
        <f aca="true">IF(OR(E2615="",E2615="!!!",F2615="NEW"),"",COUNTBLANK(OFFSET(A$1,,,SUMPRODUCT(MAX(ROW(E$2:E2615)*(E2615=E$2:E2615)))))-COUNTBLANK(OFFSET(A$1,,,SUMPRODUCT(MAX(ROW(E$1:E2614)*(E2=E$1:E2614))))))</f>
        <v/>
      </c>
      <c r="K2615" s="24" t="str">
        <f aca="false">IF(OR(E2615="",E2615="!!!",F2615="NEW"),"",INDEX(J$1:J2614,SUMPRODUCT(MAX(ROW(E$1:E2614)*(E2615=E$1:E2614)))))</f>
        <v/>
      </c>
      <c r="L2615" s="31"/>
    </row>
    <row r="2616" customFormat="false" ht="15" hidden="false" customHeight="false" outlineLevel="0" collapsed="false">
      <c r="A2616" s="20" t="s">
        <v>1186</v>
      </c>
      <c r="B2616" s="22" t="s">
        <v>1091</v>
      </c>
      <c r="C2616" s="22" t="s">
        <v>1082</v>
      </c>
      <c r="D2616" s="22" t="s">
        <v>1060</v>
      </c>
      <c r="E2616" s="23" t="str">
        <f aca="false">IF(D2616="?OLD","!!!","")</f>
        <v>!!!</v>
      </c>
      <c r="F2616" s="25" t="str">
        <f aca="false">IF(OR(E2616="",E2616="!!!"),"",IF(NOT(ISNA(VLOOKUP(E2616,E$1:E2615,1,FALSE()))),"OLD",IF(AND(E2616&lt;&gt;"",E2616&lt;&gt;"!!!"),"NEW","")))</f>
        <v/>
      </c>
      <c r="G2616" s="26" t="str">
        <f aca="false">IF(OR(E2616="",E2616="!!!"),"",IF(OR(J2616=0,AND(J2616=1,K2616=1),AND(J2616=1,I2616="SBJ"),AND(J2616=1,I2616=0)),"?IN_FOCUS",IF(J2616&lt;=2,"?ACTIVATED",IF(J2616&lt;&gt;"","?FAMILIAR",IF(F2616="NEW",IF(ISNA(VLOOKUP(E2616,#REF!,1,FALSE())),"?TYPE_IDENTIFIABLE","?REFERENTIAL"),"_")))))</f>
        <v/>
      </c>
      <c r="H2616" s="27" t="str">
        <f aca="false">IF(J2616&lt;&gt;1,"",IF(I2616="SBJ","CB","?"))</f>
        <v/>
      </c>
      <c r="I2616" s="24" t="str">
        <f aca="false">IF(OR(E2616="",E2616="!!!",F2616="NEW"),"",INDEX(B16:B$2601,-1+SUMPRODUCT(MAX(ROW(E16:E$2601)*(E2616=E16:E$2601)))))</f>
        <v/>
      </c>
      <c r="J2616" s="24" t="str">
        <f aca="true">IF(OR(E2616="",E2616="!!!",F2616="NEW"),"",COUNTBLANK(OFFSET(A$1,,,SUMPRODUCT(MAX(ROW(E$2:E2616)*(E2616=E$2:E2616)))))-COUNTBLANK(OFFSET(A$1,,,SUMPRODUCT(MAX(ROW(E$1:E2615)*(E2=E$1:E2615))))))</f>
        <v/>
      </c>
      <c r="K2616" s="24" t="str">
        <f aca="false">IF(OR(E2616="",E2616="!!!",F2616="NEW"),"",INDEX(J$1:J2615,SUMPRODUCT(MAX(ROW(E$1:E2615)*(E2616=E$1:E2615)))))</f>
        <v/>
      </c>
      <c r="L2616" s="31"/>
    </row>
    <row r="2617" customFormat="false" ht="15" hidden="false" customHeight="false" outlineLevel="0" collapsed="false">
      <c r="A2617" s="20" t="s">
        <v>1544</v>
      </c>
      <c r="E2617" s="23" t="str">
        <f aca="false">IF(D2617="?OLD","!!!","")</f>
        <v/>
      </c>
      <c r="F2617" s="25" t="str">
        <f aca="false">IF(OR(E2617="",E2617="!!!"),"",IF(NOT(ISNA(VLOOKUP(E2617,E$1:E2616,1,FALSE()))),"OLD",IF(AND(E2617&lt;&gt;"",E2617&lt;&gt;"!!!"),"NEW","")))</f>
        <v/>
      </c>
      <c r="G2617" s="26" t="str">
        <f aca="false">IF(OR(E2617="",E2617="!!!"),"",IF(OR(J2617=0,AND(J2617=1,K2617=1),AND(J2617=1,I2617="SBJ"),AND(J2617=1,I2617=0)),"?IN_FOCUS",IF(J2617&lt;=2,"?ACTIVATED",IF(J2617&lt;&gt;"","?FAMILIAR",IF(F2617="NEW",IF(ISNA(VLOOKUP(E2617,#REF!,1,FALSE())),"?TYPE_IDENTIFIABLE","?REFERENTIAL"),"_")))))</f>
        <v/>
      </c>
      <c r="H2617" s="27" t="str">
        <f aca="false">IF(J2617&lt;&gt;1,"",IF(I2617="SBJ","CB","?"))</f>
        <v/>
      </c>
      <c r="I2617" s="24" t="str">
        <f aca="false">IF(OR(E2617="",E2617="!!!",F2617="NEW"),"",INDEX(B17:B$2601,-1+SUMPRODUCT(MAX(ROW(E17:E$2601)*(E2617=E17:E$2601)))))</f>
        <v/>
      </c>
      <c r="J2617" s="24" t="str">
        <f aca="true">IF(OR(E2617="",E2617="!!!",F2617="NEW"),"",COUNTBLANK(OFFSET(A$1,,,SUMPRODUCT(MAX(ROW(E$2:E2617)*(E2617=E$2:E2617)))))-COUNTBLANK(OFFSET(A$1,,,SUMPRODUCT(MAX(ROW(E$1:E2616)*(E2=E$1:E2616))))))</f>
        <v/>
      </c>
      <c r="K2617" s="24" t="str">
        <f aca="false">IF(OR(E2617="",E2617="!!!",F2617="NEW"),"",INDEX(J$1:J2616,SUMPRODUCT(MAX(ROW(E$1:E2616)*(E2617=E$1:E2616)))))</f>
        <v/>
      </c>
      <c r="L2617" s="31"/>
    </row>
    <row r="2618" customFormat="false" ht="15" hidden="false" customHeight="false" outlineLevel="0" collapsed="false">
      <c r="A2618" s="20" t="s">
        <v>1089</v>
      </c>
      <c r="E2618" s="23" t="str">
        <f aca="false">IF(D2618="?OLD","!!!","")</f>
        <v/>
      </c>
      <c r="F2618" s="25" t="str">
        <f aca="false">IF(OR(E2618="",E2618="!!!"),"",IF(NOT(ISNA(VLOOKUP(E2618,E$1:E2617,1,FALSE()))),"OLD",IF(AND(E2618&lt;&gt;"",E2618&lt;&gt;"!!!"),"NEW","")))</f>
        <v/>
      </c>
      <c r="G2618" s="26" t="str">
        <f aca="false">IF(OR(E2618="",E2618="!!!"),"",IF(OR(J2618=0,AND(J2618=1,K2618=1),AND(J2618=1,I2618="SBJ"),AND(J2618=1,I2618=0)),"?IN_FOCUS",IF(J2618&lt;=2,"?ACTIVATED",IF(J2618&lt;&gt;"","?FAMILIAR",IF(F2618="NEW",IF(ISNA(VLOOKUP(E2618,#REF!,1,FALSE())),"?TYPE_IDENTIFIABLE","?REFERENTIAL"),"_")))))</f>
        <v/>
      </c>
      <c r="H2618" s="27" t="str">
        <f aca="false">IF(J2618&lt;&gt;1,"",IF(I2618="SBJ","CB","?"))</f>
        <v/>
      </c>
      <c r="I2618" s="24" t="str">
        <f aca="false">IF(OR(E2618="",E2618="!!!",F2618="NEW"),"",INDEX(B18:B$2601,-1+SUMPRODUCT(MAX(ROW(E18:E$2601)*(E2618=E18:E$2601)))))</f>
        <v/>
      </c>
      <c r="J2618" s="24" t="str">
        <f aca="true">IF(OR(E2618="",E2618="!!!",F2618="NEW"),"",COUNTBLANK(OFFSET(A$1,,,SUMPRODUCT(MAX(ROW(E$2:E2618)*(E2618=E$2:E2618)))))-COUNTBLANK(OFFSET(A$1,,,SUMPRODUCT(MAX(ROW(E$1:E2617)*(E2=E$1:E2617))))))</f>
        <v/>
      </c>
      <c r="K2618" s="24" t="str">
        <f aca="false">IF(OR(E2618="",E2618="!!!",F2618="NEW"),"",INDEX(J$1:J2617,SUMPRODUCT(MAX(ROW(E$1:E2617)*(E2618=E$1:E2617)))))</f>
        <v/>
      </c>
      <c r="L2618" s="31"/>
    </row>
    <row r="2619" customFormat="false" ht="15" hidden="false" customHeight="false" outlineLevel="0" collapsed="false">
      <c r="A2619" s="20" t="s">
        <v>1555</v>
      </c>
      <c r="E2619" s="23" t="str">
        <f aca="false">IF(D2619="?OLD","!!!","")</f>
        <v/>
      </c>
      <c r="F2619" s="25" t="str">
        <f aca="false">IF(OR(E2619="",E2619="!!!"),"",IF(NOT(ISNA(VLOOKUP(E2619,E$1:E2618,1,FALSE()))),"OLD",IF(AND(E2619&lt;&gt;"",E2619&lt;&gt;"!!!"),"NEW","")))</f>
        <v/>
      </c>
      <c r="G2619" s="26" t="str">
        <f aca="false">IF(OR(E2619="",E2619="!!!"),"",IF(OR(J2619=0,AND(J2619=1,K2619=1),AND(J2619=1,I2619="SBJ"),AND(J2619=1,I2619=0)),"?IN_FOCUS",IF(J2619&lt;=2,"?ACTIVATED",IF(J2619&lt;&gt;"","?FAMILIAR",IF(F2619="NEW",IF(ISNA(VLOOKUP(E2619,#REF!,1,FALSE())),"?TYPE_IDENTIFIABLE","?REFERENTIAL"),"_")))))</f>
        <v/>
      </c>
      <c r="H2619" s="27" t="str">
        <f aca="false">IF(J2619&lt;&gt;1,"",IF(I2619="SBJ","CB","?"))</f>
        <v/>
      </c>
      <c r="I2619" s="24" t="str">
        <f aca="false">IF(OR(E2619="",E2619="!!!",F2619="NEW"),"",INDEX(B19:B$2601,-1+SUMPRODUCT(MAX(ROW(E19:E$2601)*(E2619=E19:E$2601)))))</f>
        <v/>
      </c>
      <c r="J2619" s="24" t="str">
        <f aca="true">IF(OR(E2619="",E2619="!!!",F2619="NEW"),"",COUNTBLANK(OFFSET(A$1,,,SUMPRODUCT(MAX(ROW(E$2:E2619)*(E2619=E$2:E2619)))))-COUNTBLANK(OFFSET(A$1,,,SUMPRODUCT(MAX(ROW(E$1:E2618)*(E2=E$1:E2618))))))</f>
        <v/>
      </c>
      <c r="K2619" s="24" t="str">
        <f aca="false">IF(OR(E2619="",E2619="!!!",F2619="NEW"),"",INDEX(J$1:J2618,SUMPRODUCT(MAX(ROW(E$1:E2618)*(E2619=E$1:E2618)))))</f>
        <v/>
      </c>
      <c r="L2619" s="31"/>
    </row>
    <row r="2620" customFormat="false" ht="15" hidden="false" customHeight="false" outlineLevel="0" collapsed="false">
      <c r="A2620" s="20" t="s">
        <v>1092</v>
      </c>
      <c r="E2620" s="23" t="str">
        <f aca="false">IF(D2620="?OLD","!!!","")</f>
        <v/>
      </c>
      <c r="F2620" s="25" t="str">
        <f aca="false">IF(OR(E2620="",E2620="!!!"),"",IF(NOT(ISNA(VLOOKUP(E2620,E$1:E2619,1,FALSE()))),"OLD",IF(AND(E2620&lt;&gt;"",E2620&lt;&gt;"!!!"),"NEW","")))</f>
        <v/>
      </c>
      <c r="G2620" s="26" t="str">
        <f aca="false">IF(OR(E2620="",E2620="!!!"),"",IF(OR(J2620=0,AND(J2620=1,K2620=1),AND(J2620=1,I2620="SBJ"),AND(J2620=1,I2620=0)),"?IN_FOCUS",IF(J2620&lt;=2,"?ACTIVATED",IF(J2620&lt;&gt;"","?FAMILIAR",IF(F2620="NEW",IF(ISNA(VLOOKUP(E2620,#REF!,1,FALSE())),"?TYPE_IDENTIFIABLE","?REFERENTIAL"),"_")))))</f>
        <v/>
      </c>
      <c r="H2620" s="27" t="str">
        <f aca="false">IF(J2620&lt;&gt;1,"",IF(I2620="SBJ","CB","?"))</f>
        <v/>
      </c>
      <c r="I2620" s="24" t="str">
        <f aca="false">IF(OR(E2620="",E2620="!!!",F2620="NEW"),"",INDEX(B20:B$2601,-1+SUMPRODUCT(MAX(ROW(E20:E$2601)*(E2620=E20:E$2601)))))</f>
        <v/>
      </c>
      <c r="J2620" s="24" t="str">
        <f aca="true">IF(OR(E2620="",E2620="!!!",F2620="NEW"),"",COUNTBLANK(OFFSET(A$1,,,SUMPRODUCT(MAX(ROW(E$2:E2620)*(E2620=E$2:E2620)))))-COUNTBLANK(OFFSET(A$1,,,SUMPRODUCT(MAX(ROW(E$1:E2619)*(E2=E$1:E2619))))))</f>
        <v/>
      </c>
      <c r="K2620" s="24" t="str">
        <f aca="false">IF(OR(E2620="",E2620="!!!",F2620="NEW"),"",INDEX(J$1:J2619,SUMPRODUCT(MAX(ROW(E$1:E2619)*(E2620=E$1:E2619)))))</f>
        <v/>
      </c>
      <c r="L2620" s="31"/>
    </row>
    <row r="2621" customFormat="false" ht="15" hidden="false" customHeight="false" outlineLevel="0" collapsed="false">
      <c r="A2621" s="20" t="s">
        <v>1117</v>
      </c>
      <c r="E2621" s="23" t="str">
        <f aca="false">IF(D2621="?OLD","!!!","")</f>
        <v/>
      </c>
      <c r="F2621" s="25" t="str">
        <f aca="false">IF(OR(E2621="",E2621="!!!"),"",IF(NOT(ISNA(VLOOKUP(E2621,E$1:E2620,1,FALSE()))),"OLD",IF(AND(E2621&lt;&gt;"",E2621&lt;&gt;"!!!"),"NEW","")))</f>
        <v/>
      </c>
      <c r="G2621" s="26" t="str">
        <f aca="false">IF(OR(E2621="",E2621="!!!"),"",IF(OR(J2621=0,AND(J2621=1,K2621=1),AND(J2621=1,I2621="SBJ"),AND(J2621=1,I2621=0)),"?IN_FOCUS",IF(J2621&lt;=2,"?ACTIVATED",IF(J2621&lt;&gt;"","?FAMILIAR",IF(F2621="NEW",IF(ISNA(VLOOKUP(E2621,#REF!,1,FALSE())),"?TYPE_IDENTIFIABLE","?REFERENTIAL"),"_")))))</f>
        <v/>
      </c>
      <c r="H2621" s="27" t="str">
        <f aca="false">IF(J2621&lt;&gt;1,"",IF(I2621="SBJ","CB","?"))</f>
        <v/>
      </c>
      <c r="I2621" s="24" t="str">
        <f aca="false">IF(OR(E2621="",E2621="!!!",F2621="NEW"),"",INDEX(B21:B$2601,-1+SUMPRODUCT(MAX(ROW(E21:E$2601)*(E2621=E21:E$2601)))))</f>
        <v/>
      </c>
      <c r="J2621" s="24" t="str">
        <f aca="true">IF(OR(E2621="",E2621="!!!",F2621="NEW"),"",COUNTBLANK(OFFSET(A$1,,,SUMPRODUCT(MAX(ROW(E$2:E2621)*(E2621=E$2:E2621)))))-COUNTBLANK(OFFSET(A$1,,,SUMPRODUCT(MAX(ROW(E$1:E2620)*(E2=E$1:E2620))))))</f>
        <v/>
      </c>
      <c r="K2621" s="24" t="str">
        <f aca="false">IF(OR(E2621="",E2621="!!!",F2621="NEW"),"",INDEX(J$1:J2620,SUMPRODUCT(MAX(ROW(E$1:E2620)*(E2621=E$1:E2620)))))</f>
        <v/>
      </c>
      <c r="L2621" s="31"/>
    </row>
    <row r="2622" customFormat="false" ht="15" hidden="false" customHeight="false" outlineLevel="0" collapsed="false">
      <c r="A2622" s="20" t="s">
        <v>1983</v>
      </c>
      <c r="B2622" s="22" t="s">
        <v>1197</v>
      </c>
      <c r="C2622" s="22" t="s">
        <v>1389</v>
      </c>
      <c r="E2622" s="23" t="str">
        <f aca="false">IF(D2622="?OLD","!!!","")</f>
        <v/>
      </c>
      <c r="F2622" s="25" t="str">
        <f aca="false">IF(OR(E2622="",E2622="!!!"),"",IF(NOT(ISNA(VLOOKUP(E2622,E$1:E2621,1,FALSE()))),"OLD",IF(AND(E2622&lt;&gt;"",E2622&lt;&gt;"!!!"),"NEW","")))</f>
        <v/>
      </c>
      <c r="G2622" s="26" t="str">
        <f aca="false">IF(OR(E2622="",E2622="!!!"),"",IF(OR(J2622=0,AND(J2622=1,K2622=1),AND(J2622=1,I2622="SBJ"),AND(J2622=1,I2622=0)),"?IN_FOCUS",IF(J2622&lt;=2,"?ACTIVATED",IF(J2622&lt;&gt;"","?FAMILIAR",IF(F2622="NEW",IF(ISNA(VLOOKUP(E2622,#REF!,1,FALSE())),"?TYPE_IDENTIFIABLE","?REFERENTIAL"),"_")))))</f>
        <v/>
      </c>
      <c r="H2622" s="27" t="str">
        <f aca="false">IF(J2622&lt;&gt;1,"",IF(I2622="SBJ","CB","?"))</f>
        <v/>
      </c>
      <c r="I2622" s="24" t="str">
        <f aca="false">IF(OR(E2622="",E2622="!!!",F2622="NEW"),"",INDEX(B22:B$2601,-1+SUMPRODUCT(MAX(ROW(E22:E$2601)*(E2622=E22:E$2601)))))</f>
        <v/>
      </c>
      <c r="J2622" s="24" t="str">
        <f aca="true">IF(OR(E2622="",E2622="!!!",F2622="NEW"),"",COUNTBLANK(OFFSET(A$1,,,SUMPRODUCT(MAX(ROW(E$2:E2622)*(E2622=E$2:E2622)))))-COUNTBLANK(OFFSET(A$1,,,SUMPRODUCT(MAX(ROW(E$1:E2621)*(E2=E$1:E2621))))))</f>
        <v/>
      </c>
      <c r="K2622" s="24" t="str">
        <f aca="false">IF(OR(E2622="",E2622="!!!",F2622="NEW"),"",INDEX(J$1:J2621,SUMPRODUCT(MAX(ROW(E$1:E2621)*(E2622=E$1:E2621)))))</f>
        <v/>
      </c>
      <c r="L2622" s="31"/>
    </row>
    <row r="2623" customFormat="false" ht="15" hidden="false" customHeight="false" outlineLevel="0" collapsed="false">
      <c r="A2623" s="20" t="s">
        <v>1064</v>
      </c>
      <c r="E2623" s="23" t="str">
        <f aca="false">IF(D2623="?OLD","!!!","")</f>
        <v/>
      </c>
      <c r="F2623" s="25" t="str">
        <f aca="false">IF(OR(E2623="",E2623="!!!"),"",IF(NOT(ISNA(VLOOKUP(E2623,E$1:E2622,1,FALSE()))),"OLD",IF(AND(E2623&lt;&gt;"",E2623&lt;&gt;"!!!"),"NEW","")))</f>
        <v/>
      </c>
      <c r="G2623" s="26" t="str">
        <f aca="false">IF(OR(E2623="",E2623="!!!"),"",IF(OR(J2623=0,AND(J2623=1,K2623=1),AND(J2623=1,I2623="SBJ"),AND(J2623=1,I2623=0)),"?IN_FOCUS",IF(J2623&lt;=2,"?ACTIVATED",IF(J2623&lt;&gt;"","?FAMILIAR",IF(F2623="NEW",IF(ISNA(VLOOKUP(E2623,#REF!,1,FALSE())),"?TYPE_IDENTIFIABLE","?REFERENTIAL"),"_")))))</f>
        <v/>
      </c>
      <c r="H2623" s="27" t="str">
        <f aca="false">IF(J2623&lt;&gt;1,"",IF(I2623="SBJ","CB","?"))</f>
        <v/>
      </c>
      <c r="I2623" s="24" t="str">
        <f aca="false">IF(OR(E2623="",E2623="!!!",F2623="NEW"),"",INDEX(B23:B$2601,-1+SUMPRODUCT(MAX(ROW(E23:E$2601)*(E2623=E23:E$2601)))))</f>
        <v/>
      </c>
      <c r="J2623" s="24" t="str">
        <f aca="true">IF(OR(E2623="",E2623="!!!",F2623="NEW"),"",COUNTBLANK(OFFSET(A$1,,,SUMPRODUCT(MAX(ROW(E$2:E2623)*(E2623=E$2:E2623)))))-COUNTBLANK(OFFSET(A$1,,,SUMPRODUCT(MAX(ROW(E$1:E2622)*(E2=E$1:E2622))))))</f>
        <v/>
      </c>
      <c r="K2623" s="24" t="str">
        <f aca="false">IF(OR(E2623="",E2623="!!!",F2623="NEW"),"",INDEX(J$1:J2622,SUMPRODUCT(MAX(ROW(E$1:E2622)*(E2623=E$1:E2622)))))</f>
        <v/>
      </c>
      <c r="L2623" s="31"/>
    </row>
    <row r="2624" customFormat="false" ht="15" hidden="false" customHeight="false" outlineLevel="0" collapsed="false">
      <c r="A2624" s="20" t="s">
        <v>1085</v>
      </c>
      <c r="E2624" s="23" t="str">
        <f aca="false">IF(D2624="?OLD","!!!","")</f>
        <v/>
      </c>
      <c r="F2624" s="25" t="str">
        <f aca="false">IF(OR(E2624="",E2624="!!!"),"",IF(NOT(ISNA(VLOOKUP(E2624,E$1:E2623,1,FALSE()))),"OLD",IF(AND(E2624&lt;&gt;"",E2624&lt;&gt;"!!!"),"NEW","")))</f>
        <v/>
      </c>
      <c r="G2624" s="26" t="str">
        <f aca="false">IF(OR(E2624="",E2624="!!!"),"",IF(OR(J2624=0,AND(J2624=1,K2624=1),AND(J2624=1,I2624="SBJ"),AND(J2624=1,I2624=0)),"?IN_FOCUS",IF(J2624&lt;=2,"?ACTIVATED",IF(J2624&lt;&gt;"","?FAMILIAR",IF(F2624="NEW",IF(ISNA(VLOOKUP(E2624,#REF!,1,FALSE())),"?TYPE_IDENTIFIABLE","?REFERENTIAL"),"_")))))</f>
        <v/>
      </c>
      <c r="H2624" s="27" t="str">
        <f aca="false">IF(J2624&lt;&gt;1,"",IF(I2624="SBJ","CB","?"))</f>
        <v/>
      </c>
      <c r="I2624" s="24" t="str">
        <f aca="false">IF(OR(E2624="",E2624="!!!",F2624="NEW"),"",INDEX(B24:B$2601,-1+SUMPRODUCT(MAX(ROW(E24:E$2601)*(E2624=E24:E$2601)))))</f>
        <v/>
      </c>
      <c r="J2624" s="24" t="str">
        <f aca="true">IF(OR(E2624="",E2624="!!!",F2624="NEW"),"",COUNTBLANK(OFFSET(A$1,,,SUMPRODUCT(MAX(ROW(E$2:E2624)*(E2624=E$2:E2624)))))-COUNTBLANK(OFFSET(A$1,,,SUMPRODUCT(MAX(ROW(E$1:E2623)*(E2=E$1:E2623))))))</f>
        <v/>
      </c>
      <c r="K2624" s="24" t="str">
        <f aca="false">IF(OR(E2624="",E2624="!!!",F2624="NEW"),"",INDEX(J$1:J2623,SUMPRODUCT(MAX(ROW(E$1:E2623)*(E2624=E$1:E2623)))))</f>
        <v/>
      </c>
      <c r="L2624" s="31"/>
    </row>
    <row r="2625" customFormat="false" ht="15" hidden="false" customHeight="false" outlineLevel="0" collapsed="false">
      <c r="A2625" s="20" t="s">
        <v>1925</v>
      </c>
      <c r="B2625" s="22" t="s">
        <v>1098</v>
      </c>
      <c r="C2625" s="22" t="s">
        <v>1087</v>
      </c>
      <c r="E2625" s="23" t="str">
        <f aca="false">IF(D2625="?OLD","!!!","")</f>
        <v/>
      </c>
      <c r="F2625" s="25" t="str">
        <f aca="false">IF(OR(E2625="",E2625="!!!"),"",IF(NOT(ISNA(VLOOKUP(E2625,E$1:E2624,1,FALSE()))),"OLD",IF(AND(E2625&lt;&gt;"",E2625&lt;&gt;"!!!"),"NEW","")))</f>
        <v/>
      </c>
      <c r="G2625" s="26" t="str">
        <f aca="false">IF(OR(E2625="",E2625="!!!"),"",IF(OR(J2625=0,AND(J2625=1,K2625=1),AND(J2625=1,I2625="SBJ"),AND(J2625=1,I2625=0)),"?IN_FOCUS",IF(J2625&lt;=2,"?ACTIVATED",IF(J2625&lt;&gt;"","?FAMILIAR",IF(F2625="NEW",IF(ISNA(VLOOKUP(E2625,#REF!,1,FALSE())),"?TYPE_IDENTIFIABLE","?REFERENTIAL"),"_")))))</f>
        <v/>
      </c>
      <c r="H2625" s="27" t="str">
        <f aca="false">IF(J2625&lt;&gt;1,"",IF(I2625="SBJ","CB","?"))</f>
        <v/>
      </c>
      <c r="I2625" s="24" t="str">
        <f aca="false">IF(OR(E2625="",E2625="!!!",F2625="NEW"),"",INDEX(B25:B$2601,-1+SUMPRODUCT(MAX(ROW(E25:E$2601)*(E2625=E25:E$2601)))))</f>
        <v/>
      </c>
      <c r="J2625" s="24" t="str">
        <f aca="true">IF(OR(E2625="",E2625="!!!",F2625="NEW"),"",COUNTBLANK(OFFSET(A$1,,,SUMPRODUCT(MAX(ROW(E$2:E2625)*(E2625=E$2:E2625)))))-COUNTBLANK(OFFSET(A$1,,,SUMPRODUCT(MAX(ROW(E$1:E2624)*(E2=E$1:E2624))))))</f>
        <v/>
      </c>
      <c r="K2625" s="24" t="str">
        <f aca="false">IF(OR(E2625="",E2625="!!!",F2625="NEW"),"",INDEX(J$1:J2624,SUMPRODUCT(MAX(ROW(E$1:E2624)*(E2625=E$1:E2624)))))</f>
        <v/>
      </c>
      <c r="L2625" s="31"/>
    </row>
    <row r="2626" customFormat="false" ht="15" hidden="false" customHeight="false" outlineLevel="0" collapsed="false">
      <c r="A2626" s="20" t="s">
        <v>1128</v>
      </c>
      <c r="E2626" s="23" t="str">
        <f aca="false">IF(D2626="?OLD","!!!","")</f>
        <v/>
      </c>
      <c r="F2626" s="25" t="str">
        <f aca="false">IF(OR(E2626="",E2626="!!!"),"",IF(NOT(ISNA(VLOOKUP(E2626,E$1:E2625,1,FALSE()))),"OLD",IF(AND(E2626&lt;&gt;"",E2626&lt;&gt;"!!!"),"NEW","")))</f>
        <v/>
      </c>
      <c r="G2626" s="26" t="str">
        <f aca="false">IF(OR(E2626="",E2626="!!!"),"",IF(OR(J2626=0,AND(J2626=1,K2626=1),AND(J2626=1,I2626="SBJ"),AND(J2626=1,I2626=0)),"?IN_FOCUS",IF(J2626&lt;=2,"?ACTIVATED",IF(J2626&lt;&gt;"","?FAMILIAR",IF(F2626="NEW",IF(ISNA(VLOOKUP(E2626,#REF!,1,FALSE())),"?TYPE_IDENTIFIABLE","?REFERENTIAL"),"_")))))</f>
        <v/>
      </c>
      <c r="H2626" s="27" t="str">
        <f aca="false">IF(J2626&lt;&gt;1,"",IF(I2626="SBJ","CB","?"))</f>
        <v/>
      </c>
      <c r="I2626" s="24" t="str">
        <f aca="false">IF(OR(E2626="",E2626="!!!",F2626="NEW"),"",INDEX(B26:B$2601,-1+SUMPRODUCT(MAX(ROW(E26:E$2601)*(E2626=E26:E$2601)))))</f>
        <v/>
      </c>
      <c r="J2626" s="24" t="str">
        <f aca="true">IF(OR(E2626="",E2626="!!!",F2626="NEW"),"",COUNTBLANK(OFFSET(A$1,,,SUMPRODUCT(MAX(ROW(E$2:E2626)*(E2626=E$2:E2626)))))-COUNTBLANK(OFFSET(A$1,,,SUMPRODUCT(MAX(ROW(E$1:E2625)*(E2=E$1:E2625))))))</f>
        <v/>
      </c>
      <c r="K2626" s="24" t="str">
        <f aca="false">IF(OR(E2626="",E2626="!!!",F2626="NEW"),"",INDEX(J$1:J2625,SUMPRODUCT(MAX(ROW(E$1:E2625)*(E2626=E$1:E2625)))))</f>
        <v/>
      </c>
      <c r="L2626" s="31"/>
    </row>
    <row r="2627" customFormat="false" ht="15" hidden="false" customHeight="false" outlineLevel="0" collapsed="false">
      <c r="A2627" s="20" t="s">
        <v>1089</v>
      </c>
      <c r="E2627" s="23" t="str">
        <f aca="false">IF(D2627="?OLD","!!!","")</f>
        <v/>
      </c>
      <c r="F2627" s="25" t="str">
        <f aca="false">IF(OR(E2627="",E2627="!!!"),"",IF(NOT(ISNA(VLOOKUP(E2627,E$1:E2626,1,FALSE()))),"OLD",IF(AND(E2627&lt;&gt;"",E2627&lt;&gt;"!!!"),"NEW","")))</f>
        <v/>
      </c>
      <c r="G2627" s="26" t="str">
        <f aca="false">IF(OR(E2627="",E2627="!!!"),"",IF(OR(J2627=0,AND(J2627=1,K2627=1),AND(J2627=1,I2627="SBJ"),AND(J2627=1,I2627=0)),"?IN_FOCUS",IF(J2627&lt;=2,"?ACTIVATED",IF(J2627&lt;&gt;"","?FAMILIAR",IF(F2627="NEW",IF(ISNA(VLOOKUP(E2627,#REF!,1,FALSE())),"?TYPE_IDENTIFIABLE","?REFERENTIAL"),"_")))))</f>
        <v/>
      </c>
      <c r="H2627" s="27" t="str">
        <f aca="false">IF(J2627&lt;&gt;1,"",IF(I2627="SBJ","CB","?"))</f>
        <v/>
      </c>
      <c r="I2627" s="24" t="str">
        <f aca="false">IF(OR(E2627="",E2627="!!!",F2627="NEW"),"",INDEX(B27:B$2601,-1+SUMPRODUCT(MAX(ROW(E27:E$2601)*(E2627=E27:E$2601)))))</f>
        <v/>
      </c>
      <c r="J2627" s="24" t="str">
        <f aca="true">IF(OR(E2627="",E2627="!!!",F2627="NEW"),"",COUNTBLANK(OFFSET(A$1,,,SUMPRODUCT(MAX(ROW(E$2:E2627)*(E2627=E$2:E2627)))))-COUNTBLANK(OFFSET(A$1,,,SUMPRODUCT(MAX(ROW(E$1:E2626)*(E2=E$1:E2626))))))</f>
        <v/>
      </c>
      <c r="K2627" s="24" t="str">
        <f aca="false">IF(OR(E2627="",E2627="!!!",F2627="NEW"),"",INDEX(J$1:J2626,SUMPRODUCT(MAX(ROW(E$1:E2626)*(E2627=E$1:E2626)))))</f>
        <v/>
      </c>
      <c r="L2627" s="31"/>
    </row>
    <row r="2628" customFormat="false" ht="15" hidden="false" customHeight="false" outlineLevel="0" collapsed="false">
      <c r="A2628" s="20" t="s">
        <v>1109</v>
      </c>
      <c r="E2628" s="23" t="str">
        <f aca="false">IF(D2628="?OLD","!!!","")</f>
        <v/>
      </c>
      <c r="F2628" s="25" t="str">
        <f aca="false">IF(OR(E2628="",E2628="!!!"),"",IF(NOT(ISNA(VLOOKUP(E2628,E$1:E2627,1,FALSE()))),"OLD",IF(AND(E2628&lt;&gt;"",E2628&lt;&gt;"!!!"),"NEW","")))</f>
        <v/>
      </c>
      <c r="G2628" s="26" t="str">
        <f aca="false">IF(OR(E2628="",E2628="!!!"),"",IF(OR(J2628=0,AND(J2628=1,K2628=1),AND(J2628=1,I2628="SBJ"),AND(J2628=1,I2628=0)),"?IN_FOCUS",IF(J2628&lt;=2,"?ACTIVATED",IF(J2628&lt;&gt;"","?FAMILIAR",IF(F2628="NEW",IF(ISNA(VLOOKUP(E2628,#REF!,1,FALSE())),"?TYPE_IDENTIFIABLE","?REFERENTIAL"),"_")))))</f>
        <v/>
      </c>
      <c r="H2628" s="27" t="str">
        <f aca="false">IF(J2628&lt;&gt;1,"",IF(I2628="SBJ","CB","?"))</f>
        <v/>
      </c>
      <c r="I2628" s="24" t="str">
        <f aca="false">IF(OR(E2628="",E2628="!!!",F2628="NEW"),"",INDEX(B28:B$2601,-1+SUMPRODUCT(MAX(ROW(E28:E$2601)*(E2628=E28:E$2601)))))</f>
        <v/>
      </c>
      <c r="J2628" s="24" t="str">
        <f aca="true">IF(OR(E2628="",E2628="!!!",F2628="NEW"),"",COUNTBLANK(OFFSET(A$1,,,SUMPRODUCT(MAX(ROW(E$2:E2628)*(E2628=E$2:E2628)))))-COUNTBLANK(OFFSET(A$1,,,SUMPRODUCT(MAX(ROW(E$1:E2627)*(E2=E$1:E2627))))))</f>
        <v/>
      </c>
      <c r="K2628" s="24" t="str">
        <f aca="false">IF(OR(E2628="",E2628="!!!",F2628="NEW"),"",INDEX(J$1:J2627,SUMPRODUCT(MAX(ROW(E$1:E2627)*(E2628=E$1:E2627)))))</f>
        <v/>
      </c>
      <c r="L2628" s="31"/>
    </row>
    <row r="2629" customFormat="false" ht="15" hidden="false" customHeight="false" outlineLevel="0" collapsed="false">
      <c r="A2629" s="20" t="s">
        <v>1984</v>
      </c>
      <c r="B2629" s="22" t="s">
        <v>1359</v>
      </c>
      <c r="C2629" s="22" t="s">
        <v>1150</v>
      </c>
      <c r="D2629" s="22" t="s">
        <v>1060</v>
      </c>
      <c r="E2629" s="23" t="str">
        <f aca="false">IF(D2629="?OLD","!!!","")</f>
        <v>!!!</v>
      </c>
      <c r="F2629" s="25" t="str">
        <f aca="false">IF(OR(E2629="",E2629="!!!"),"",IF(NOT(ISNA(VLOOKUP(E2629,E$1:E2628,1,FALSE()))),"OLD",IF(AND(E2629&lt;&gt;"",E2629&lt;&gt;"!!!"),"NEW","")))</f>
        <v/>
      </c>
      <c r="G2629" s="26" t="str">
        <f aca="false">IF(OR(E2629="",E2629="!!!"),"",IF(OR(J2629=0,AND(J2629=1,K2629=1),AND(J2629=1,I2629="SBJ"),AND(J2629=1,I2629=0)),"?IN_FOCUS",IF(J2629&lt;=2,"?ACTIVATED",IF(J2629&lt;&gt;"","?FAMILIAR",IF(F2629="NEW",IF(ISNA(VLOOKUP(E2629,#REF!,1,FALSE())),"?TYPE_IDENTIFIABLE","?REFERENTIAL"),"_")))))</f>
        <v/>
      </c>
      <c r="H2629" s="27" t="str">
        <f aca="false">IF(J2629&lt;&gt;1,"",IF(I2629="SBJ","CB","?"))</f>
        <v/>
      </c>
      <c r="I2629" s="24" t="str">
        <f aca="false">IF(OR(E2629="",E2629="!!!",F2629="NEW"),"",INDEX(B29:B$2601,-1+SUMPRODUCT(MAX(ROW(E29:E$2601)*(E2629=E29:E$2601)))))</f>
        <v/>
      </c>
      <c r="J2629" s="24" t="str">
        <f aca="true">IF(OR(E2629="",E2629="!!!",F2629="NEW"),"",COUNTBLANK(OFFSET(A$1,,,SUMPRODUCT(MAX(ROW(E$2:E2629)*(E2629=E$2:E2629)))))-COUNTBLANK(OFFSET(A$1,,,SUMPRODUCT(MAX(ROW(E$1:E2628)*(E2=E$1:E2628))))))</f>
        <v/>
      </c>
      <c r="K2629" s="24" t="str">
        <f aca="false">IF(OR(E2629="",E2629="!!!",F2629="NEW"),"",INDEX(J$1:J2628,SUMPRODUCT(MAX(ROW(E$1:E2628)*(E2629=E$1:E2628)))))</f>
        <v/>
      </c>
      <c r="L2629" s="31"/>
    </row>
    <row r="2630" customFormat="false" ht="15" hidden="false" customHeight="false" outlineLevel="0" collapsed="false">
      <c r="A2630" s="20" t="s">
        <v>1164</v>
      </c>
      <c r="E2630" s="23" t="str">
        <f aca="false">IF(D2630="?OLD","!!!","")</f>
        <v/>
      </c>
      <c r="F2630" s="25" t="str">
        <f aca="false">IF(OR(E2630="",E2630="!!!"),"",IF(NOT(ISNA(VLOOKUP(E2630,E$1:E2629,1,FALSE()))),"OLD",IF(AND(E2630&lt;&gt;"",E2630&lt;&gt;"!!!"),"NEW","")))</f>
        <v/>
      </c>
      <c r="G2630" s="26" t="str">
        <f aca="false">IF(OR(E2630="",E2630="!!!"),"",IF(OR(J2630=0,AND(J2630=1,K2630=1),AND(J2630=1,I2630="SBJ"),AND(J2630=1,I2630=0)),"?IN_FOCUS",IF(J2630&lt;=2,"?ACTIVATED",IF(J2630&lt;&gt;"","?FAMILIAR",IF(F2630="NEW",IF(ISNA(VLOOKUP(E2630,#REF!,1,FALSE())),"?TYPE_IDENTIFIABLE","?REFERENTIAL"),"_")))))</f>
        <v/>
      </c>
      <c r="H2630" s="27" t="str">
        <f aca="false">IF(J2630&lt;&gt;1,"",IF(I2630="SBJ","CB","?"))</f>
        <v/>
      </c>
      <c r="I2630" s="24" t="str">
        <f aca="false">IF(OR(E2630="",E2630="!!!",F2630="NEW"),"",INDEX(B30:B$2601,-1+SUMPRODUCT(MAX(ROW(E30:E$2601)*(E2630=E30:E$2601)))))</f>
        <v/>
      </c>
      <c r="J2630" s="24" t="str">
        <f aca="true">IF(OR(E2630="",E2630="!!!",F2630="NEW"),"",COUNTBLANK(OFFSET(A$1,,,SUMPRODUCT(MAX(ROW(E$2:E2630)*(E2630=E$2:E2630)))))-COUNTBLANK(OFFSET(A$1,,,SUMPRODUCT(MAX(ROW(E$1:E2629)*(E2=E$1:E2629))))))</f>
        <v/>
      </c>
      <c r="K2630" s="24" t="str">
        <f aca="false">IF(OR(E2630="",E2630="!!!",F2630="NEW"),"",INDEX(J$1:J2629,SUMPRODUCT(MAX(ROW(E$1:E2629)*(E2630=E$1:E2629)))))</f>
        <v/>
      </c>
      <c r="L2630" s="31"/>
    </row>
    <row r="2631" customFormat="false" ht="15" hidden="false" customHeight="false" outlineLevel="0" collapsed="false">
      <c r="A2631" s="20" t="s">
        <v>1414</v>
      </c>
      <c r="E2631" s="23" t="str">
        <f aca="false">IF(D2631="?OLD","!!!","")</f>
        <v/>
      </c>
      <c r="F2631" s="25" t="str">
        <f aca="false">IF(OR(E2631="",E2631="!!!"),"",IF(NOT(ISNA(VLOOKUP(E2631,E$1:E2630,1,FALSE()))),"OLD",IF(AND(E2631&lt;&gt;"",E2631&lt;&gt;"!!!"),"NEW","")))</f>
        <v/>
      </c>
      <c r="G2631" s="26" t="str">
        <f aca="false">IF(OR(E2631="",E2631="!!!"),"",IF(OR(J2631=0,AND(J2631=1,K2631=1),AND(J2631=1,I2631="SBJ"),AND(J2631=1,I2631=0)),"?IN_FOCUS",IF(J2631&lt;=2,"?ACTIVATED",IF(J2631&lt;&gt;"","?FAMILIAR",IF(F2631="NEW",IF(ISNA(VLOOKUP(E2631,#REF!,1,FALSE())),"?TYPE_IDENTIFIABLE","?REFERENTIAL"),"_")))))</f>
        <v/>
      </c>
      <c r="H2631" s="27" t="str">
        <f aca="false">IF(J2631&lt;&gt;1,"",IF(I2631="SBJ","CB","?"))</f>
        <v/>
      </c>
      <c r="I2631" s="24" t="str">
        <f aca="false">IF(OR(E2631="",E2631="!!!",F2631="NEW"),"",INDEX(B31:B$2601,-1+SUMPRODUCT(MAX(ROW(E31:E$2601)*(E2631=E31:E$2601)))))</f>
        <v/>
      </c>
      <c r="J2631" s="24" t="str">
        <f aca="true">IF(OR(E2631="",E2631="!!!",F2631="NEW"),"",COUNTBLANK(OFFSET(A$1,,,SUMPRODUCT(MAX(ROW(E$2:E2631)*(E2631=E$2:E2631)))))-COUNTBLANK(OFFSET(A$1,,,SUMPRODUCT(MAX(ROW(E$1:E2630)*(E2=E$1:E2630))))))</f>
        <v/>
      </c>
      <c r="K2631" s="24" t="str">
        <f aca="false">IF(OR(E2631="",E2631="!!!",F2631="NEW"),"",INDEX(J$1:J2630,SUMPRODUCT(MAX(ROW(E$1:E2630)*(E2631=E$1:E2630)))))</f>
        <v/>
      </c>
      <c r="L2631" s="31"/>
    </row>
    <row r="2632" customFormat="false" ht="15" hidden="false" customHeight="false" outlineLevel="0" collapsed="false">
      <c r="A2632" s="20" t="s">
        <v>1173</v>
      </c>
      <c r="E2632" s="23" t="str">
        <f aca="false">IF(D2632="?OLD","!!!","")</f>
        <v/>
      </c>
      <c r="F2632" s="25" t="str">
        <f aca="false">IF(OR(E2632="",E2632="!!!"),"",IF(NOT(ISNA(VLOOKUP(E2632,E$1:E2631,1,FALSE()))),"OLD",IF(AND(E2632&lt;&gt;"",E2632&lt;&gt;"!!!"),"NEW","")))</f>
        <v/>
      </c>
      <c r="G2632" s="26" t="str">
        <f aca="false">IF(OR(E2632="",E2632="!!!"),"",IF(OR(J2632=0,AND(J2632=1,K2632=1),AND(J2632=1,I2632="SBJ"),AND(J2632=1,I2632=0)),"?IN_FOCUS",IF(J2632&lt;=2,"?ACTIVATED",IF(J2632&lt;&gt;"","?FAMILIAR",IF(F2632="NEW",IF(ISNA(VLOOKUP(E2632,#REF!,1,FALSE())),"?TYPE_IDENTIFIABLE","?REFERENTIAL"),"_")))))</f>
        <v/>
      </c>
      <c r="H2632" s="27" t="str">
        <f aca="false">IF(J2632&lt;&gt;1,"",IF(I2632="SBJ","CB","?"))</f>
        <v/>
      </c>
      <c r="I2632" s="24" t="str">
        <f aca="false">IF(OR(E2632="",E2632="!!!",F2632="NEW"),"",INDEX(B32:B$2601,-1+SUMPRODUCT(MAX(ROW(E32:E$2601)*(E2632=E32:E$2601)))))</f>
        <v/>
      </c>
      <c r="J2632" s="24" t="str">
        <f aca="true">IF(OR(E2632="",E2632="!!!",F2632="NEW"),"",COUNTBLANK(OFFSET(A$1,,,SUMPRODUCT(MAX(ROW(E$2:E2632)*(E2632=E$2:E2632)))))-COUNTBLANK(OFFSET(A$1,,,SUMPRODUCT(MAX(ROW(E$1:E2631)*(E2=E$1:E2631))))))</f>
        <v/>
      </c>
      <c r="K2632" s="24" t="str">
        <f aca="false">IF(OR(E2632="",E2632="!!!",F2632="NEW"),"",INDEX(J$1:J2631,SUMPRODUCT(MAX(ROW(E$1:E2631)*(E2632=E$1:E2631)))))</f>
        <v/>
      </c>
      <c r="L2632" s="31"/>
    </row>
    <row r="2633" customFormat="false" ht="15" hidden="false" customHeight="false" outlineLevel="0" collapsed="false">
      <c r="A2633" s="20" t="s">
        <v>1943</v>
      </c>
      <c r="B2633" s="22" t="s">
        <v>1107</v>
      </c>
      <c r="C2633" s="22" t="s">
        <v>1160</v>
      </c>
      <c r="E2633" s="23" t="str">
        <f aca="false">IF(D2633="?OLD","!!!","")</f>
        <v/>
      </c>
      <c r="F2633" s="25" t="str">
        <f aca="false">IF(OR(E2633="",E2633="!!!"),"",IF(NOT(ISNA(VLOOKUP(E2633,E$1:E2632,1,FALSE()))),"OLD",IF(AND(E2633&lt;&gt;"",E2633&lt;&gt;"!!!"),"NEW","")))</f>
        <v/>
      </c>
      <c r="G2633" s="26" t="str">
        <f aca="false">IF(OR(E2633="",E2633="!!!"),"",IF(OR(J2633=0,AND(J2633=1,K2633=1),AND(J2633=1,I2633="SBJ"),AND(J2633=1,I2633=0)),"?IN_FOCUS",IF(J2633&lt;=2,"?ACTIVATED",IF(J2633&lt;&gt;"","?FAMILIAR",IF(F2633="NEW",IF(ISNA(VLOOKUP(E2633,#REF!,1,FALSE())),"?TYPE_IDENTIFIABLE","?REFERENTIAL"),"_")))))</f>
        <v/>
      </c>
      <c r="H2633" s="27" t="str">
        <f aca="false">IF(J2633&lt;&gt;1,"",IF(I2633="SBJ","CB","?"))</f>
        <v/>
      </c>
      <c r="I2633" s="24" t="str">
        <f aca="false">IF(OR(E2633="",E2633="!!!",F2633="NEW"),"",INDEX(B33:B$2601,-1+SUMPRODUCT(MAX(ROW(E33:E$2601)*(E2633=E33:E$2601)))))</f>
        <v/>
      </c>
      <c r="J2633" s="24" t="str">
        <f aca="true">IF(OR(E2633="",E2633="!!!",F2633="NEW"),"",COUNTBLANK(OFFSET(A$1,,,SUMPRODUCT(MAX(ROW(E$2:E2633)*(E2633=E$2:E2633)))))-COUNTBLANK(OFFSET(A$1,,,SUMPRODUCT(MAX(ROW(E$1:E2632)*(E2=E$1:E2632))))))</f>
        <v/>
      </c>
      <c r="K2633" s="24" t="str">
        <f aca="false">IF(OR(E2633="",E2633="!!!",F2633="NEW"),"",INDEX(J$1:J2632,SUMPRODUCT(MAX(ROW(E$1:E2632)*(E2633=E$1:E2632)))))</f>
        <v/>
      </c>
      <c r="L2633" s="31"/>
    </row>
    <row r="2634" customFormat="false" ht="15" hidden="false" customHeight="false" outlineLevel="0" collapsed="false">
      <c r="A2634" s="20" t="s">
        <v>923</v>
      </c>
      <c r="E2634" s="23" t="str">
        <f aca="false">IF(D2634="?OLD","!!!","")</f>
        <v/>
      </c>
      <c r="F2634" s="25" t="str">
        <f aca="false">IF(OR(E2634="",E2634="!!!"),"",IF(NOT(ISNA(VLOOKUP(E2634,E$1:E2633,1,FALSE()))),"OLD",IF(AND(E2634&lt;&gt;"",E2634&lt;&gt;"!!!"),"NEW","")))</f>
        <v/>
      </c>
      <c r="G2634" s="26" t="str">
        <f aca="false">IF(OR(E2634="",E2634="!!!"),"",IF(OR(J2634=0,AND(J2634=1,K2634=1),AND(J2634=1,I2634="SBJ"),AND(J2634=1,I2634=0)),"?IN_FOCUS",IF(J2634&lt;=2,"?ACTIVATED",IF(J2634&lt;&gt;"","?FAMILIAR",IF(F2634="NEW",IF(ISNA(VLOOKUP(E2634,#REF!,1,FALSE())),"?TYPE_IDENTIFIABLE","?REFERENTIAL"),"_")))))</f>
        <v/>
      </c>
      <c r="H2634" s="27" t="str">
        <f aca="false">IF(J2634&lt;&gt;1,"",IF(I2634="SBJ","CB","?"))</f>
        <v/>
      </c>
      <c r="I2634" s="24" t="str">
        <f aca="false">IF(OR(E2634="",E2634="!!!",F2634="NEW"),"",INDEX(B34:B$2601,-1+SUMPRODUCT(MAX(ROW(E34:E$2601)*(E2634=E34:E$2601)))))</f>
        <v/>
      </c>
      <c r="J2634" s="24" t="str">
        <f aca="true">IF(OR(E2634="",E2634="!!!",F2634="NEW"),"",COUNTBLANK(OFFSET(A$1,,,SUMPRODUCT(MAX(ROW(E$2:E2634)*(E2634=E$2:E2634)))))-COUNTBLANK(OFFSET(A$1,,,SUMPRODUCT(MAX(ROW(E$1:E2633)*(E2=E$1:E2633))))))</f>
        <v/>
      </c>
      <c r="K2634" s="24" t="str">
        <f aca="false">IF(OR(E2634="",E2634="!!!",F2634="NEW"),"",INDEX(J$1:J2633,SUMPRODUCT(MAX(ROW(E$1:E2633)*(E2634=E$1:E2633)))))</f>
        <v/>
      </c>
      <c r="L2634" s="31"/>
    </row>
    <row r="2635" customFormat="false" ht="15" hidden="false" customHeight="false" outlineLevel="0" collapsed="false">
      <c r="A2635" s="20"/>
    </row>
    <row r="2636" customFormat="false" ht="15" hidden="false" customHeight="false" outlineLevel="0" collapsed="false">
      <c r="A2636" s="20" t="s">
        <v>1985</v>
      </c>
    </row>
    <row r="2637" customFormat="false" ht="15" hidden="false" customHeight="false" outlineLevel="0" collapsed="false">
      <c r="A2637" s="20" t="s">
        <v>1691</v>
      </c>
      <c r="E2637" s="23" t="str">
        <f aca="false">IF(D2637="?OLD","!!!","")</f>
        <v/>
      </c>
      <c r="F2637" s="25" t="str">
        <f aca="false">IF(OR(E2637="",E2637="!!!"),"",IF(NOT(ISNA(VLOOKUP(E2637,E$1:E2636,1,FALSE()))),"OLD",IF(AND(E2637&lt;&gt;"",E2637&lt;&gt;"!!!"),"NEW","")))</f>
        <v/>
      </c>
      <c r="G2637" s="26" t="str">
        <f aca="false">IF(OR(E2637="",E2637="!!!"),"",IF(OR(J2637=0,AND(J2637=1,K2637=1),AND(J2637=1,I2637="SBJ"),AND(J2637=1,I2637=0)),"?IN_FOCUS",IF(J2637&lt;=2,"?ACTIVATED",IF(J2637&lt;&gt;"","?FAMILIAR",IF(F2637="NEW",IF(ISNA(VLOOKUP(E2637,#REF!,1,FALSE())),"?TYPE_IDENTIFIABLE","?REFERENTIAL"),"_")))))</f>
        <v/>
      </c>
      <c r="H2637" s="27" t="str">
        <f aca="false">IF(J2637&lt;&gt;1,"",IF(I2637="SBJ","CB","?"))</f>
        <v/>
      </c>
      <c r="I2637" s="24" t="str">
        <f aca="false">IF(OR(E2637="",E2637="!!!",F2637="NEW"),"",INDEX(B2:B$2636,-1+SUMPRODUCT(MAX(ROW(E2:E$2636)*(E2637=E2:E$2636)))))</f>
        <v/>
      </c>
      <c r="J2637" s="24" t="str">
        <f aca="true">IF(OR(E2637="",E2637="!!!",F2637="NEW"),"",COUNTBLANK(OFFSET(A$1,,,SUMPRODUCT(MAX(ROW(E$2:E2637)*(E2637=E$2:E2637)))))-COUNTBLANK(OFFSET(A$1,,,SUMPRODUCT(MAX(ROW(E$1:E2636)*(E2=E$1:E2636))))))</f>
        <v/>
      </c>
      <c r="K2637" s="24" t="str">
        <f aca="false">IF(OR(E2637="",E2637="!!!",F2637="NEW"),"",INDEX(J$1:J2636,SUMPRODUCT(MAX(ROW(E$1:E2636)*(E2637=E$1:E2636)))))</f>
        <v/>
      </c>
      <c r="L2637" s="31"/>
    </row>
    <row r="2638" customFormat="false" ht="15" hidden="false" customHeight="false" outlineLevel="0" collapsed="false">
      <c r="A2638" s="20" t="s">
        <v>1189</v>
      </c>
      <c r="B2638" s="22" t="s">
        <v>1067</v>
      </c>
      <c r="C2638" s="22" t="s">
        <v>1099</v>
      </c>
      <c r="D2638" s="22" t="s">
        <v>1060</v>
      </c>
      <c r="E2638" s="23" t="str">
        <f aca="false">IF(D2638="?OLD","!!!","")</f>
        <v>!!!</v>
      </c>
      <c r="F2638" s="25" t="str">
        <f aca="false">IF(OR(E2638="",E2638="!!!"),"",IF(NOT(ISNA(VLOOKUP(E2638,E$1:E2637,1,FALSE()))),"OLD",IF(AND(E2638&lt;&gt;"",E2638&lt;&gt;"!!!"),"NEW","")))</f>
        <v/>
      </c>
      <c r="G2638" s="26" t="str">
        <f aca="false">IF(OR(E2638="",E2638="!!!"),"",IF(OR(J2638=0,AND(J2638=1,K2638=1),AND(J2638=1,I2638="SBJ"),AND(J2638=1,I2638=0)),"?IN_FOCUS",IF(J2638&lt;=2,"?ACTIVATED",IF(J2638&lt;&gt;"","?FAMILIAR",IF(F2638="NEW",IF(ISNA(VLOOKUP(E2638,#REF!,1,FALSE())),"?TYPE_IDENTIFIABLE","?REFERENTIAL"),"_")))))</f>
        <v/>
      </c>
      <c r="H2638" s="27" t="str">
        <f aca="false">IF(J2638&lt;&gt;1,"",IF(I2638="SBJ","CB","?"))</f>
        <v/>
      </c>
      <c r="I2638" s="24" t="str">
        <f aca="false">IF(OR(E2638="",E2638="!!!",F2638="NEW"),"",INDEX(B3:B$2636,-1+SUMPRODUCT(MAX(ROW(E3:E$2636)*(E2638=E3:E$2636)))))</f>
        <v/>
      </c>
      <c r="J2638" s="24" t="str">
        <f aca="true">IF(OR(E2638="",E2638="!!!",F2638="NEW"),"",COUNTBLANK(OFFSET(A$1,,,SUMPRODUCT(MAX(ROW(E$2:E2638)*(E2638=E$2:E2638)))))-COUNTBLANK(OFFSET(A$1,,,SUMPRODUCT(MAX(ROW(E$1:E2637)*(E2=E$1:E2637))))))</f>
        <v/>
      </c>
      <c r="K2638" s="24" t="str">
        <f aca="false">IF(OR(E2638="",E2638="!!!",F2638="NEW"),"",INDEX(J$1:J2637,SUMPRODUCT(MAX(ROW(E$1:E2637)*(E2638=E$1:E2637)))))</f>
        <v/>
      </c>
      <c r="L2638" s="31"/>
    </row>
    <row r="2639" customFormat="false" ht="15" hidden="false" customHeight="false" outlineLevel="0" collapsed="false">
      <c r="A2639" s="20" t="s">
        <v>1330</v>
      </c>
      <c r="B2639" s="22" t="s">
        <v>1073</v>
      </c>
      <c r="C2639" s="22" t="s">
        <v>1059</v>
      </c>
      <c r="D2639" s="22" t="s">
        <v>1060</v>
      </c>
      <c r="E2639" s="23" t="str">
        <f aca="false">IF(D2639="?OLD","!!!","")</f>
        <v>!!!</v>
      </c>
      <c r="F2639" s="25" t="str">
        <f aca="false">IF(OR(E2639="",E2639="!!!"),"",IF(NOT(ISNA(VLOOKUP(E2639,E$1:E2638,1,FALSE()))),"OLD",IF(AND(E2639&lt;&gt;"",E2639&lt;&gt;"!!!"),"NEW","")))</f>
        <v/>
      </c>
      <c r="G2639" s="26" t="str">
        <f aca="false">IF(OR(E2639="",E2639="!!!"),"",IF(OR(J2639=0,AND(J2639=1,K2639=1),AND(J2639=1,I2639="SBJ"),AND(J2639=1,I2639=0)),"?IN_FOCUS",IF(J2639&lt;=2,"?ACTIVATED",IF(J2639&lt;&gt;"","?FAMILIAR",IF(F2639="NEW",IF(ISNA(VLOOKUP(E2639,#REF!,1,FALSE())),"?TYPE_IDENTIFIABLE","?REFERENTIAL"),"_")))))</f>
        <v/>
      </c>
      <c r="H2639" s="27" t="str">
        <f aca="false">IF(J2639&lt;&gt;1,"",IF(I2639="SBJ","CB","?"))</f>
        <v/>
      </c>
      <c r="I2639" s="24" t="str">
        <f aca="false">IF(OR(E2639="",E2639="!!!",F2639="NEW"),"",INDEX(B4:B$2636,-1+SUMPRODUCT(MAX(ROW(E4:E$2636)*(E2639=E4:E$2636)))))</f>
        <v/>
      </c>
      <c r="J2639" s="24" t="str">
        <f aca="true">IF(OR(E2639="",E2639="!!!",F2639="NEW"),"",COUNTBLANK(OFFSET(A$1,,,SUMPRODUCT(MAX(ROW(E$2:E2639)*(E2639=E$2:E2639)))))-COUNTBLANK(OFFSET(A$1,,,SUMPRODUCT(MAX(ROW(E$1:E2638)*(E2=E$1:E2638))))))</f>
        <v/>
      </c>
      <c r="K2639" s="24" t="str">
        <f aca="false">IF(OR(E2639="",E2639="!!!",F2639="NEW"),"",INDEX(J$1:J2638,SUMPRODUCT(MAX(ROW(E$1:E2638)*(E2639=E$1:E2638)))))</f>
        <v/>
      </c>
      <c r="L2639" s="31"/>
    </row>
    <row r="2640" customFormat="false" ht="15" hidden="false" customHeight="false" outlineLevel="0" collapsed="false">
      <c r="A2640" s="20" t="s">
        <v>1071</v>
      </c>
      <c r="E2640" s="23" t="str">
        <f aca="false">IF(D2640="?OLD","!!!","")</f>
        <v/>
      </c>
      <c r="F2640" s="25" t="str">
        <f aca="false">IF(OR(E2640="",E2640="!!!"),"",IF(NOT(ISNA(VLOOKUP(E2640,E$1:E2639,1,FALSE()))),"OLD",IF(AND(E2640&lt;&gt;"",E2640&lt;&gt;"!!!"),"NEW","")))</f>
        <v/>
      </c>
      <c r="G2640" s="26" t="str">
        <f aca="false">IF(OR(E2640="",E2640="!!!"),"",IF(OR(J2640=0,AND(J2640=1,K2640=1),AND(J2640=1,I2640="SBJ"),AND(J2640=1,I2640=0)),"?IN_FOCUS",IF(J2640&lt;=2,"?ACTIVATED",IF(J2640&lt;&gt;"","?FAMILIAR",IF(F2640="NEW",IF(ISNA(VLOOKUP(E2640,#REF!,1,FALSE())),"?TYPE_IDENTIFIABLE","?REFERENTIAL"),"_")))))</f>
        <v/>
      </c>
      <c r="H2640" s="27" t="str">
        <f aca="false">IF(J2640&lt;&gt;1,"",IF(I2640="SBJ","CB","?"))</f>
        <v/>
      </c>
      <c r="I2640" s="24" t="str">
        <f aca="false">IF(OR(E2640="",E2640="!!!",F2640="NEW"),"",INDEX(B5:B$2636,-1+SUMPRODUCT(MAX(ROW(E5:E$2636)*(E2640=E5:E$2636)))))</f>
        <v/>
      </c>
      <c r="J2640" s="24" t="str">
        <f aca="true">IF(OR(E2640="",E2640="!!!",F2640="NEW"),"",COUNTBLANK(OFFSET(A$1,,,SUMPRODUCT(MAX(ROW(E$2:E2640)*(E2640=E$2:E2640)))))-COUNTBLANK(OFFSET(A$1,,,SUMPRODUCT(MAX(ROW(E$1:E2639)*(E2=E$1:E2639))))))</f>
        <v/>
      </c>
      <c r="K2640" s="24" t="str">
        <f aca="false">IF(OR(E2640="",E2640="!!!",F2640="NEW"),"",INDEX(J$1:J2639,SUMPRODUCT(MAX(ROW(E$1:E2639)*(E2640=E$1:E2639)))))</f>
        <v/>
      </c>
      <c r="L2640" s="31"/>
    </row>
    <row r="2641" customFormat="false" ht="15" hidden="false" customHeight="false" outlineLevel="0" collapsed="false">
      <c r="A2641" s="20" t="s">
        <v>1986</v>
      </c>
      <c r="B2641" s="22" t="s">
        <v>1058</v>
      </c>
      <c r="C2641" s="22" t="s">
        <v>1059</v>
      </c>
      <c r="D2641" s="22" t="s">
        <v>1060</v>
      </c>
      <c r="E2641" s="23" t="str">
        <f aca="false">IF(D2641="?OLD","!!!","")</f>
        <v>!!!</v>
      </c>
      <c r="F2641" s="25" t="str">
        <f aca="false">IF(OR(E2641="",E2641="!!!"),"",IF(NOT(ISNA(VLOOKUP(E2641,E$1:E2640,1,FALSE()))),"OLD",IF(AND(E2641&lt;&gt;"",E2641&lt;&gt;"!!!"),"NEW","")))</f>
        <v/>
      </c>
      <c r="G2641" s="26" t="str">
        <f aca="false">IF(OR(E2641="",E2641="!!!"),"",IF(OR(J2641=0,AND(J2641=1,K2641=1),AND(J2641=1,I2641="SBJ"),AND(J2641=1,I2641=0)),"?IN_FOCUS",IF(J2641&lt;=2,"?ACTIVATED",IF(J2641&lt;&gt;"","?FAMILIAR",IF(F2641="NEW",IF(ISNA(VLOOKUP(E2641,#REF!,1,FALSE())),"?TYPE_IDENTIFIABLE","?REFERENTIAL"),"_")))))</f>
        <v/>
      </c>
      <c r="H2641" s="27" t="str">
        <f aca="false">IF(J2641&lt;&gt;1,"",IF(I2641="SBJ","CB","?"))</f>
        <v/>
      </c>
      <c r="I2641" s="24" t="str">
        <f aca="false">IF(OR(E2641="",E2641="!!!",F2641="NEW"),"",INDEX(B6:B$2636,-1+SUMPRODUCT(MAX(ROW(E6:E$2636)*(E2641=E6:E$2636)))))</f>
        <v/>
      </c>
      <c r="J2641" s="24" t="str">
        <f aca="true">IF(OR(E2641="",E2641="!!!",F2641="NEW"),"",COUNTBLANK(OFFSET(A$1,,,SUMPRODUCT(MAX(ROW(E$2:E2641)*(E2641=E$2:E2641)))))-COUNTBLANK(OFFSET(A$1,,,SUMPRODUCT(MAX(ROW(E$1:E2640)*(E2=E$1:E2640))))))</f>
        <v/>
      </c>
      <c r="K2641" s="24" t="str">
        <f aca="false">IF(OR(E2641="",E2641="!!!",F2641="NEW"),"",INDEX(J$1:J2640,SUMPRODUCT(MAX(ROW(E$1:E2640)*(E2641=E$1:E2640)))))</f>
        <v/>
      </c>
      <c r="L2641" s="31"/>
    </row>
    <row r="2642" customFormat="false" ht="15" hidden="false" customHeight="false" outlineLevel="0" collapsed="false">
      <c r="A2642" s="20" t="s">
        <v>1987</v>
      </c>
      <c r="E2642" s="23" t="str">
        <f aca="false">IF(D2642="?OLD","!!!","")</f>
        <v/>
      </c>
      <c r="F2642" s="25" t="str">
        <f aca="false">IF(OR(E2642="",E2642="!!!"),"",IF(NOT(ISNA(VLOOKUP(E2642,E$1:E2641,1,FALSE()))),"OLD",IF(AND(E2642&lt;&gt;"",E2642&lt;&gt;"!!!"),"NEW","")))</f>
        <v/>
      </c>
      <c r="G2642" s="26" t="str">
        <f aca="false">IF(OR(E2642="",E2642="!!!"),"",IF(OR(J2642=0,AND(J2642=1,K2642=1),AND(J2642=1,I2642="SBJ"),AND(J2642=1,I2642=0)),"?IN_FOCUS",IF(J2642&lt;=2,"?ACTIVATED",IF(J2642&lt;&gt;"","?FAMILIAR",IF(F2642="NEW",IF(ISNA(VLOOKUP(E2642,#REF!,1,FALSE())),"?TYPE_IDENTIFIABLE","?REFERENTIAL"),"_")))))</f>
        <v/>
      </c>
      <c r="H2642" s="27" t="str">
        <f aca="false">IF(J2642&lt;&gt;1,"",IF(I2642="SBJ","CB","?"))</f>
        <v/>
      </c>
      <c r="I2642" s="24" t="str">
        <f aca="false">IF(OR(E2642="",E2642="!!!",F2642="NEW"),"",INDEX(B7:B$2636,-1+SUMPRODUCT(MAX(ROW(E7:E$2636)*(E2642=E7:E$2636)))))</f>
        <v/>
      </c>
      <c r="J2642" s="24" t="str">
        <f aca="true">IF(OR(E2642="",E2642="!!!",F2642="NEW"),"",COUNTBLANK(OFFSET(A$1,,,SUMPRODUCT(MAX(ROW(E$2:E2642)*(E2642=E$2:E2642)))))-COUNTBLANK(OFFSET(A$1,,,SUMPRODUCT(MAX(ROW(E$1:E2641)*(E2=E$1:E2641))))))</f>
        <v/>
      </c>
      <c r="K2642" s="24" t="str">
        <f aca="false">IF(OR(E2642="",E2642="!!!",F2642="NEW"),"",INDEX(J$1:J2641,SUMPRODUCT(MAX(ROW(E$1:E2641)*(E2642=E$1:E2641)))))</f>
        <v/>
      </c>
      <c r="L2642" s="31"/>
    </row>
    <row r="2643" customFormat="false" ht="15" hidden="false" customHeight="false" outlineLevel="0" collapsed="false">
      <c r="A2643" s="20" t="s">
        <v>1128</v>
      </c>
      <c r="E2643" s="23" t="str">
        <f aca="false">IF(D2643="?OLD","!!!","")</f>
        <v/>
      </c>
      <c r="F2643" s="25" t="str">
        <f aca="false">IF(OR(E2643="",E2643="!!!"),"",IF(NOT(ISNA(VLOOKUP(E2643,E$1:E2642,1,FALSE()))),"OLD",IF(AND(E2643&lt;&gt;"",E2643&lt;&gt;"!!!"),"NEW","")))</f>
        <v/>
      </c>
      <c r="G2643" s="26" t="str">
        <f aca="false">IF(OR(E2643="",E2643="!!!"),"",IF(OR(J2643=0,AND(J2643=1,K2643=1),AND(J2643=1,I2643="SBJ"),AND(J2643=1,I2643=0)),"?IN_FOCUS",IF(J2643&lt;=2,"?ACTIVATED",IF(J2643&lt;&gt;"","?FAMILIAR",IF(F2643="NEW",IF(ISNA(VLOOKUP(E2643,#REF!,1,FALSE())),"?TYPE_IDENTIFIABLE","?REFERENTIAL"),"_")))))</f>
        <v/>
      </c>
      <c r="H2643" s="27" t="str">
        <f aca="false">IF(J2643&lt;&gt;1,"",IF(I2643="SBJ","CB","?"))</f>
        <v/>
      </c>
      <c r="I2643" s="24" t="str">
        <f aca="false">IF(OR(E2643="",E2643="!!!",F2643="NEW"),"",INDEX(B8:B$2636,-1+SUMPRODUCT(MAX(ROW(E8:E$2636)*(E2643=E8:E$2636)))))</f>
        <v/>
      </c>
      <c r="J2643" s="24" t="str">
        <f aca="true">IF(OR(E2643="",E2643="!!!",F2643="NEW"),"",COUNTBLANK(OFFSET(A$1,,,SUMPRODUCT(MAX(ROW(E$2:E2643)*(E2643=E$2:E2643)))))-COUNTBLANK(OFFSET(A$1,,,SUMPRODUCT(MAX(ROW(E$1:E2642)*(E2=E$1:E2642))))))</f>
        <v/>
      </c>
      <c r="K2643" s="24" t="str">
        <f aca="false">IF(OR(E2643="",E2643="!!!",F2643="NEW"),"",INDEX(J$1:J2642,SUMPRODUCT(MAX(ROW(E$1:E2642)*(E2643=E$1:E2642)))))</f>
        <v/>
      </c>
      <c r="L2643" s="31"/>
    </row>
    <row r="2644" customFormat="false" ht="15" hidden="false" customHeight="false" outlineLevel="0" collapsed="false">
      <c r="A2644" s="20" t="s">
        <v>1090</v>
      </c>
      <c r="B2644" s="22" t="s">
        <v>1086</v>
      </c>
      <c r="C2644" s="22" t="s">
        <v>1082</v>
      </c>
      <c r="D2644" s="22" t="s">
        <v>1060</v>
      </c>
      <c r="E2644" s="23" t="str">
        <f aca="false">IF(D2644="?OLD","!!!","")</f>
        <v>!!!</v>
      </c>
      <c r="F2644" s="25" t="str">
        <f aca="false">IF(OR(E2644="",E2644="!!!"),"",IF(NOT(ISNA(VLOOKUP(E2644,E$1:E2643,1,FALSE()))),"OLD",IF(AND(E2644&lt;&gt;"",E2644&lt;&gt;"!!!"),"NEW","")))</f>
        <v/>
      </c>
      <c r="G2644" s="26" t="str">
        <f aca="false">IF(OR(E2644="",E2644="!!!"),"",IF(OR(J2644=0,AND(J2644=1,K2644=1),AND(J2644=1,I2644="SBJ"),AND(J2644=1,I2644=0)),"?IN_FOCUS",IF(J2644&lt;=2,"?ACTIVATED",IF(J2644&lt;&gt;"","?FAMILIAR",IF(F2644="NEW",IF(ISNA(VLOOKUP(E2644,#REF!,1,FALSE())),"?TYPE_IDENTIFIABLE","?REFERENTIAL"),"_")))))</f>
        <v/>
      </c>
      <c r="H2644" s="27" t="str">
        <f aca="false">IF(J2644&lt;&gt;1,"",IF(I2644="SBJ","CB","?"))</f>
        <v/>
      </c>
      <c r="I2644" s="24" t="str">
        <f aca="false">IF(OR(E2644="",E2644="!!!",F2644="NEW"),"",INDEX(B9:B$2636,-1+SUMPRODUCT(MAX(ROW(E9:E$2636)*(E2644=E9:E$2636)))))</f>
        <v/>
      </c>
      <c r="J2644" s="24" t="str">
        <f aca="true">IF(OR(E2644="",E2644="!!!",F2644="NEW"),"",COUNTBLANK(OFFSET(A$1,,,SUMPRODUCT(MAX(ROW(E$2:E2644)*(E2644=E$2:E2644)))))-COUNTBLANK(OFFSET(A$1,,,SUMPRODUCT(MAX(ROW(E$1:E2643)*(E2=E$1:E2643))))))</f>
        <v/>
      </c>
      <c r="K2644" s="24" t="str">
        <f aca="false">IF(OR(E2644="",E2644="!!!",F2644="NEW"),"",INDEX(J$1:J2643,SUMPRODUCT(MAX(ROW(E$1:E2643)*(E2644=E$1:E2643)))))</f>
        <v/>
      </c>
      <c r="L2644" s="31"/>
    </row>
    <row r="2645" customFormat="false" ht="15" hidden="false" customHeight="false" outlineLevel="0" collapsed="false">
      <c r="A2645" s="20" t="s">
        <v>1988</v>
      </c>
      <c r="E2645" s="23" t="str">
        <f aca="false">IF(D2645="?OLD","!!!","")</f>
        <v/>
      </c>
      <c r="F2645" s="25" t="str">
        <f aca="false">IF(OR(E2645="",E2645="!!!"),"",IF(NOT(ISNA(VLOOKUP(E2645,E$1:E2644,1,FALSE()))),"OLD",IF(AND(E2645&lt;&gt;"",E2645&lt;&gt;"!!!"),"NEW","")))</f>
        <v/>
      </c>
      <c r="G2645" s="26" t="str">
        <f aca="false">IF(OR(E2645="",E2645="!!!"),"",IF(OR(J2645=0,AND(J2645=1,K2645=1),AND(J2645=1,I2645="SBJ"),AND(J2645=1,I2645=0)),"?IN_FOCUS",IF(J2645&lt;=2,"?ACTIVATED",IF(J2645&lt;&gt;"","?FAMILIAR",IF(F2645="NEW",IF(ISNA(VLOOKUP(E2645,#REF!,1,FALSE())),"?TYPE_IDENTIFIABLE","?REFERENTIAL"),"_")))))</f>
        <v/>
      </c>
      <c r="H2645" s="27" t="str">
        <f aca="false">IF(J2645&lt;&gt;1,"",IF(I2645="SBJ","CB","?"))</f>
        <v/>
      </c>
      <c r="I2645" s="24" t="str">
        <f aca="false">IF(OR(E2645="",E2645="!!!",F2645="NEW"),"",INDEX(B10:B$2636,-1+SUMPRODUCT(MAX(ROW(E10:E$2636)*(E2645=E10:E$2636)))))</f>
        <v/>
      </c>
      <c r="J2645" s="24" t="str">
        <f aca="true">IF(OR(E2645="",E2645="!!!",F2645="NEW"),"",COUNTBLANK(OFFSET(A$1,,,SUMPRODUCT(MAX(ROW(E$2:E2645)*(E2645=E$2:E2645)))))-COUNTBLANK(OFFSET(A$1,,,SUMPRODUCT(MAX(ROW(E$1:E2644)*(E2=E$1:E2644))))))</f>
        <v/>
      </c>
      <c r="K2645" s="24" t="str">
        <f aca="false">IF(OR(E2645="",E2645="!!!",F2645="NEW"),"",INDEX(J$1:J2644,SUMPRODUCT(MAX(ROW(E$1:E2644)*(E2645=E$1:E2644)))))</f>
        <v/>
      </c>
      <c r="L2645" s="31"/>
    </row>
    <row r="2646" customFormat="false" ht="15" hidden="false" customHeight="false" outlineLevel="0" collapsed="false">
      <c r="A2646" s="20" t="s">
        <v>1085</v>
      </c>
      <c r="E2646" s="23" t="str">
        <f aca="false">IF(D2646="?OLD","!!!","")</f>
        <v/>
      </c>
      <c r="F2646" s="25" t="str">
        <f aca="false">IF(OR(E2646="",E2646="!!!"),"",IF(NOT(ISNA(VLOOKUP(E2646,E$1:E2645,1,FALSE()))),"OLD",IF(AND(E2646&lt;&gt;"",E2646&lt;&gt;"!!!"),"NEW","")))</f>
        <v/>
      </c>
      <c r="G2646" s="26" t="str">
        <f aca="false">IF(OR(E2646="",E2646="!!!"),"",IF(OR(J2646=0,AND(J2646=1,K2646=1),AND(J2646=1,I2646="SBJ"),AND(J2646=1,I2646=0)),"?IN_FOCUS",IF(J2646&lt;=2,"?ACTIVATED",IF(J2646&lt;&gt;"","?FAMILIAR",IF(F2646="NEW",IF(ISNA(VLOOKUP(E2646,#REF!,1,FALSE())),"?TYPE_IDENTIFIABLE","?REFERENTIAL"),"_")))))</f>
        <v/>
      </c>
      <c r="H2646" s="27" t="str">
        <f aca="false">IF(J2646&lt;&gt;1,"",IF(I2646="SBJ","CB","?"))</f>
        <v/>
      </c>
      <c r="I2646" s="24" t="str">
        <f aca="false">IF(OR(E2646="",E2646="!!!",F2646="NEW"),"",INDEX(B11:B$2636,-1+SUMPRODUCT(MAX(ROW(E11:E$2636)*(E2646=E11:E$2636)))))</f>
        <v/>
      </c>
      <c r="J2646" s="24" t="str">
        <f aca="true">IF(OR(E2646="",E2646="!!!",F2646="NEW"),"",COUNTBLANK(OFFSET(A$1,,,SUMPRODUCT(MAX(ROW(E$2:E2646)*(E2646=E$2:E2646)))))-COUNTBLANK(OFFSET(A$1,,,SUMPRODUCT(MAX(ROW(E$1:E2645)*(E2=E$1:E2645))))))</f>
        <v/>
      </c>
      <c r="K2646" s="24" t="str">
        <f aca="false">IF(OR(E2646="",E2646="!!!",F2646="NEW"),"",INDEX(J$1:J2645,SUMPRODUCT(MAX(ROW(E$1:E2645)*(E2646=E$1:E2645)))))</f>
        <v/>
      </c>
      <c r="L2646" s="31"/>
    </row>
    <row r="2647" customFormat="false" ht="15" hidden="false" customHeight="false" outlineLevel="0" collapsed="false">
      <c r="A2647" s="20" t="s">
        <v>1989</v>
      </c>
      <c r="E2647" s="23" t="str">
        <f aca="false">IF(D2647="?OLD","!!!","")</f>
        <v/>
      </c>
      <c r="F2647" s="25" t="str">
        <f aca="false">IF(OR(E2647="",E2647="!!!"),"",IF(NOT(ISNA(VLOOKUP(E2647,E$1:E2646,1,FALSE()))),"OLD",IF(AND(E2647&lt;&gt;"",E2647&lt;&gt;"!!!"),"NEW","")))</f>
        <v/>
      </c>
      <c r="G2647" s="26" t="str">
        <f aca="false">IF(OR(E2647="",E2647="!!!"),"",IF(OR(J2647=0,AND(J2647=1,K2647=1),AND(J2647=1,I2647="SBJ"),AND(J2647=1,I2647=0)),"?IN_FOCUS",IF(J2647&lt;=2,"?ACTIVATED",IF(J2647&lt;&gt;"","?FAMILIAR",IF(F2647="NEW",IF(ISNA(VLOOKUP(E2647,#REF!,1,FALSE())),"?TYPE_IDENTIFIABLE","?REFERENTIAL"),"_")))))</f>
        <v/>
      </c>
      <c r="H2647" s="27" t="str">
        <f aca="false">IF(J2647&lt;&gt;1,"",IF(I2647="SBJ","CB","?"))</f>
        <v/>
      </c>
      <c r="I2647" s="24" t="str">
        <f aca="false">IF(OR(E2647="",E2647="!!!",F2647="NEW"),"",INDEX(B12:B$2636,-1+SUMPRODUCT(MAX(ROW(E12:E$2636)*(E2647=E12:E$2636)))))</f>
        <v/>
      </c>
      <c r="J2647" s="24" t="str">
        <f aca="true">IF(OR(E2647="",E2647="!!!",F2647="NEW"),"",COUNTBLANK(OFFSET(A$1,,,SUMPRODUCT(MAX(ROW(E$2:E2647)*(E2647=E$2:E2647)))))-COUNTBLANK(OFFSET(A$1,,,SUMPRODUCT(MAX(ROW(E$1:E2646)*(E2=E$1:E2646))))))</f>
        <v/>
      </c>
      <c r="K2647" s="24" t="str">
        <f aca="false">IF(OR(E2647="",E2647="!!!",F2647="NEW"),"",INDEX(J$1:J2646,SUMPRODUCT(MAX(ROW(E$1:E2646)*(E2647=E$1:E2646)))))</f>
        <v/>
      </c>
      <c r="L2647" s="31"/>
    </row>
    <row r="2648" customFormat="false" ht="15" hidden="false" customHeight="false" outlineLevel="0" collapsed="false">
      <c r="A2648" s="20" t="s">
        <v>1191</v>
      </c>
      <c r="B2648" s="22" t="s">
        <v>1142</v>
      </c>
      <c r="C2648" s="22" t="s">
        <v>1087</v>
      </c>
      <c r="E2648" s="23" t="str">
        <f aca="false">IF(D2648="?OLD","!!!","")</f>
        <v/>
      </c>
      <c r="F2648" s="25" t="str">
        <f aca="false">IF(OR(E2648="",E2648="!!!"),"",IF(NOT(ISNA(VLOOKUP(E2648,E$1:E2647,1,FALSE()))),"OLD",IF(AND(E2648&lt;&gt;"",E2648&lt;&gt;"!!!"),"NEW","")))</f>
        <v/>
      </c>
      <c r="G2648" s="26" t="str">
        <f aca="false">IF(OR(E2648="",E2648="!!!"),"",IF(OR(J2648=0,AND(J2648=1,K2648=1),AND(J2648=1,I2648="SBJ"),AND(J2648=1,I2648=0)),"?IN_FOCUS",IF(J2648&lt;=2,"?ACTIVATED",IF(J2648&lt;&gt;"","?FAMILIAR",IF(F2648="NEW",IF(ISNA(VLOOKUP(E2648,#REF!,1,FALSE())),"?TYPE_IDENTIFIABLE","?REFERENTIAL"),"_")))))</f>
        <v/>
      </c>
      <c r="H2648" s="27" t="str">
        <f aca="false">IF(J2648&lt;&gt;1,"",IF(I2648="SBJ","CB","?"))</f>
        <v/>
      </c>
      <c r="I2648" s="24" t="str">
        <f aca="false">IF(OR(E2648="",E2648="!!!",F2648="NEW"),"",INDEX(B13:B$2636,-1+SUMPRODUCT(MAX(ROW(E13:E$2636)*(E2648=E13:E$2636)))))</f>
        <v/>
      </c>
      <c r="J2648" s="24" t="str">
        <f aca="true">IF(OR(E2648="",E2648="!!!",F2648="NEW"),"",COUNTBLANK(OFFSET(A$1,,,SUMPRODUCT(MAX(ROW(E$2:E2648)*(E2648=E$2:E2648)))))-COUNTBLANK(OFFSET(A$1,,,SUMPRODUCT(MAX(ROW(E$1:E2647)*(E2=E$1:E2647))))))</f>
        <v/>
      </c>
      <c r="K2648" s="24" t="str">
        <f aca="false">IF(OR(E2648="",E2648="!!!",F2648="NEW"),"",INDEX(J$1:J2647,SUMPRODUCT(MAX(ROW(E$1:E2647)*(E2648=E$1:E2647)))))</f>
        <v/>
      </c>
      <c r="L2648" s="31"/>
    </row>
    <row r="2649" customFormat="false" ht="15" hidden="false" customHeight="false" outlineLevel="0" collapsed="false">
      <c r="A2649" s="20" t="s">
        <v>1095</v>
      </c>
      <c r="E2649" s="23" t="str">
        <f aca="false">IF(D2649="?OLD","!!!","")</f>
        <v/>
      </c>
      <c r="F2649" s="25" t="str">
        <f aca="false">IF(OR(E2649="",E2649="!!!"),"",IF(NOT(ISNA(VLOOKUP(E2649,E$1:E2648,1,FALSE()))),"OLD",IF(AND(E2649&lt;&gt;"",E2649&lt;&gt;"!!!"),"NEW","")))</f>
        <v/>
      </c>
      <c r="G2649" s="26" t="str">
        <f aca="false">IF(OR(E2649="",E2649="!!!"),"",IF(OR(J2649=0,AND(J2649=1,K2649=1),AND(J2649=1,I2649="SBJ"),AND(J2649=1,I2649=0)),"?IN_FOCUS",IF(J2649&lt;=2,"?ACTIVATED",IF(J2649&lt;&gt;"","?FAMILIAR",IF(F2649="NEW",IF(ISNA(VLOOKUP(E2649,#REF!,1,FALSE())),"?TYPE_IDENTIFIABLE","?REFERENTIAL"),"_")))))</f>
        <v/>
      </c>
      <c r="H2649" s="27" t="str">
        <f aca="false">IF(J2649&lt;&gt;1,"",IF(I2649="SBJ","CB","?"))</f>
        <v/>
      </c>
      <c r="I2649" s="24" t="str">
        <f aca="false">IF(OR(E2649="",E2649="!!!",F2649="NEW"),"",INDEX(B14:B$2636,-1+SUMPRODUCT(MAX(ROW(E14:E$2636)*(E2649=E14:E$2636)))))</f>
        <v/>
      </c>
      <c r="J2649" s="24" t="str">
        <f aca="true">IF(OR(E2649="",E2649="!!!",F2649="NEW"),"",COUNTBLANK(OFFSET(A$1,,,SUMPRODUCT(MAX(ROW(E$2:E2649)*(E2649=E$2:E2649)))))-COUNTBLANK(OFFSET(A$1,,,SUMPRODUCT(MAX(ROW(E$1:E2648)*(E2=E$1:E2648))))))</f>
        <v/>
      </c>
      <c r="K2649" s="24" t="str">
        <f aca="false">IF(OR(E2649="",E2649="!!!",F2649="NEW"),"",INDEX(J$1:J2648,SUMPRODUCT(MAX(ROW(E$1:E2648)*(E2649=E$1:E2648)))))</f>
        <v/>
      </c>
      <c r="L2649" s="31"/>
    </row>
    <row r="2650" customFormat="false" ht="15" hidden="false" customHeight="false" outlineLevel="0" collapsed="false">
      <c r="A2650" s="20" t="s">
        <v>119</v>
      </c>
      <c r="E2650" s="23" t="str">
        <f aca="false">IF(D2650="?OLD","!!!","")</f>
        <v/>
      </c>
      <c r="F2650" s="25" t="str">
        <f aca="false">IF(OR(E2650="",E2650="!!!"),"",IF(NOT(ISNA(VLOOKUP(E2650,E$1:E2649,1,FALSE()))),"OLD",IF(AND(E2650&lt;&gt;"",E2650&lt;&gt;"!!!"),"NEW","")))</f>
        <v/>
      </c>
      <c r="G2650" s="26" t="str">
        <f aca="false">IF(OR(E2650="",E2650="!!!"),"",IF(OR(J2650=0,AND(J2650=1,K2650=1),AND(J2650=1,I2650="SBJ"),AND(J2650=1,I2650=0)),"?IN_FOCUS",IF(J2650&lt;=2,"?ACTIVATED",IF(J2650&lt;&gt;"","?FAMILIAR",IF(F2650="NEW",IF(ISNA(VLOOKUP(E2650,#REF!,1,FALSE())),"?TYPE_IDENTIFIABLE","?REFERENTIAL"),"_")))))</f>
        <v/>
      </c>
      <c r="H2650" s="27" t="str">
        <f aca="false">IF(J2650&lt;&gt;1,"",IF(I2650="SBJ","CB","?"))</f>
        <v/>
      </c>
      <c r="I2650" s="24" t="str">
        <f aca="false">IF(OR(E2650="",E2650="!!!",F2650="NEW"),"",INDEX(B15:B$2636,-1+SUMPRODUCT(MAX(ROW(E15:E$2636)*(E2650=E15:E$2636)))))</f>
        <v/>
      </c>
      <c r="J2650" s="24" t="str">
        <f aca="true">IF(OR(E2650="",E2650="!!!",F2650="NEW"),"",COUNTBLANK(OFFSET(A$1,,,SUMPRODUCT(MAX(ROW(E$2:E2650)*(E2650=E$2:E2650)))))-COUNTBLANK(OFFSET(A$1,,,SUMPRODUCT(MAX(ROW(E$1:E2649)*(E2=E$1:E2649))))))</f>
        <v/>
      </c>
      <c r="K2650" s="24" t="str">
        <f aca="false">IF(OR(E2650="",E2650="!!!",F2650="NEW"),"",INDEX(J$1:J2649,SUMPRODUCT(MAX(ROW(E$1:E2649)*(E2650=E$1:E2649)))))</f>
        <v/>
      </c>
      <c r="L2650" s="31"/>
    </row>
    <row r="2651" customFormat="false" ht="15" hidden="false" customHeight="false" outlineLevel="0" collapsed="false">
      <c r="A2651" s="20" t="s">
        <v>923</v>
      </c>
      <c r="E2651" s="23" t="str">
        <f aca="false">IF(D2651="?OLD","!!!","")</f>
        <v/>
      </c>
      <c r="F2651" s="25" t="str">
        <f aca="false">IF(OR(E2651="",E2651="!!!"),"",IF(NOT(ISNA(VLOOKUP(E2651,E$1:E2650,1,FALSE()))),"OLD",IF(AND(E2651&lt;&gt;"",E2651&lt;&gt;"!!!"),"NEW","")))</f>
        <v/>
      </c>
      <c r="G2651" s="26" t="str">
        <f aca="false">IF(OR(E2651="",E2651="!!!"),"",IF(OR(J2651=0,AND(J2651=1,K2651=1),AND(J2651=1,I2651="SBJ"),AND(J2651=1,I2651=0)),"?IN_FOCUS",IF(J2651&lt;=2,"?ACTIVATED",IF(J2651&lt;&gt;"","?FAMILIAR",IF(F2651="NEW",IF(ISNA(VLOOKUP(E2651,#REF!,1,FALSE())),"?TYPE_IDENTIFIABLE","?REFERENTIAL"),"_")))))</f>
        <v/>
      </c>
      <c r="H2651" s="27" t="str">
        <f aca="false">IF(J2651&lt;&gt;1,"",IF(I2651="SBJ","CB","?"))</f>
        <v/>
      </c>
      <c r="I2651" s="24" t="str">
        <f aca="false">IF(OR(E2651="",E2651="!!!",F2651="NEW"),"",INDEX(B16:B$2636,-1+SUMPRODUCT(MAX(ROW(E16:E$2636)*(E2651=E16:E$2636)))))</f>
        <v/>
      </c>
      <c r="J2651" s="24" t="str">
        <f aca="true">IF(OR(E2651="",E2651="!!!",F2651="NEW"),"",COUNTBLANK(OFFSET(A$1,,,SUMPRODUCT(MAX(ROW(E$2:E2651)*(E2651=E$2:E2651)))))-COUNTBLANK(OFFSET(A$1,,,SUMPRODUCT(MAX(ROW(E$1:E2650)*(E2=E$1:E2650))))))</f>
        <v/>
      </c>
      <c r="K2651" s="24" t="str">
        <f aca="false">IF(OR(E2651="",E2651="!!!",F2651="NEW"),"",INDEX(J$1:J2650,SUMPRODUCT(MAX(ROW(E$1:E2650)*(E2651=E$1:E2650)))))</f>
        <v/>
      </c>
      <c r="L2651" s="31"/>
    </row>
    <row r="2652" customFormat="false" ht="15" hidden="false" customHeight="false" outlineLevel="0" collapsed="false">
      <c r="A2652" s="20"/>
    </row>
    <row r="2653" customFormat="false" ht="15" hidden="false" customHeight="false" outlineLevel="0" collapsed="false">
      <c r="A2653" s="20" t="s">
        <v>1990</v>
      </c>
    </row>
    <row r="2654" customFormat="false" ht="15" hidden="false" customHeight="false" outlineLevel="0" collapsed="false">
      <c r="A2654" s="20" t="s">
        <v>1305</v>
      </c>
      <c r="B2654" s="22" t="s">
        <v>1058</v>
      </c>
      <c r="C2654" s="22" t="s">
        <v>1068</v>
      </c>
      <c r="D2654" s="22" t="s">
        <v>1060</v>
      </c>
      <c r="E2654" s="23" t="str">
        <f aca="false">IF(D2654="?OLD","!!!","")</f>
        <v>!!!</v>
      </c>
      <c r="F2654" s="25" t="str">
        <f aca="false">IF(OR(E2654="",E2654="!!!"),"",IF(NOT(ISNA(VLOOKUP(E2654,E$1:E2653,1,FALSE()))),"OLD",IF(AND(E2654&lt;&gt;"",E2654&lt;&gt;"!!!"),"NEW","")))</f>
        <v/>
      </c>
      <c r="G2654" s="26" t="str">
        <f aca="false">IF(OR(E2654="",E2654="!!!"),"",IF(OR(J2654=0,AND(J2654=1,K2654=1),AND(J2654=1,I2654="SBJ"),AND(J2654=1,I2654=0)),"?IN_FOCUS",IF(J2654&lt;=2,"?ACTIVATED",IF(J2654&lt;&gt;"","?FAMILIAR",IF(F2654="NEW",IF(ISNA(VLOOKUP(E2654,#REF!,1,FALSE())),"?TYPE_IDENTIFIABLE","?REFERENTIAL"),"_")))))</f>
        <v/>
      </c>
      <c r="H2654" s="27" t="str">
        <f aca="false">IF(J2654&lt;&gt;1,"",IF(I2654="SBJ","CB","?"))</f>
        <v/>
      </c>
      <c r="I2654" s="24" t="str">
        <f aca="false">IF(OR(E2654="",E2654="!!!",F2654="NEW"),"",INDEX(B2:B$2653,-1+SUMPRODUCT(MAX(ROW(E2:E$2653)*(E2654=E2:E$2653)))))</f>
        <v/>
      </c>
      <c r="J2654" s="24" t="str">
        <f aca="true">IF(OR(E2654="",E2654="!!!",F2654="NEW"),"",COUNTBLANK(OFFSET(A$1,,,SUMPRODUCT(MAX(ROW(E$2:E2654)*(E2654=E$2:E2654)))))-COUNTBLANK(OFFSET(A$1,,,SUMPRODUCT(MAX(ROW(E$1:E2653)*(E2=E$1:E2653))))))</f>
        <v/>
      </c>
      <c r="K2654" s="24" t="str">
        <f aca="false">IF(OR(E2654="",E2654="!!!",F2654="NEW"),"",INDEX(J$1:J2653,SUMPRODUCT(MAX(ROW(E$1:E2653)*(E2654=E$1:E2653)))))</f>
        <v/>
      </c>
      <c r="L2654" s="31"/>
    </row>
    <row r="2655" customFormat="false" ht="15" hidden="false" customHeight="false" outlineLevel="0" collapsed="false">
      <c r="A2655" s="20" t="s">
        <v>514</v>
      </c>
      <c r="E2655" s="23" t="str">
        <f aca="false">IF(D2655="?OLD","!!!","")</f>
        <v/>
      </c>
      <c r="F2655" s="25" t="str">
        <f aca="false">IF(OR(E2655="",E2655="!!!"),"",IF(NOT(ISNA(VLOOKUP(E2655,E$1:E2654,1,FALSE()))),"OLD",IF(AND(E2655&lt;&gt;"",E2655&lt;&gt;"!!!"),"NEW","")))</f>
        <v/>
      </c>
      <c r="G2655" s="26" t="str">
        <f aca="false">IF(OR(E2655="",E2655="!!!"),"",IF(OR(J2655=0,AND(J2655=1,K2655=1),AND(J2655=1,I2655="SBJ"),AND(J2655=1,I2655=0)),"?IN_FOCUS",IF(J2655&lt;=2,"?ACTIVATED",IF(J2655&lt;&gt;"","?FAMILIAR",IF(F2655="NEW",IF(ISNA(VLOOKUP(E2655,#REF!,1,FALSE())),"?TYPE_IDENTIFIABLE","?REFERENTIAL"),"_")))))</f>
        <v/>
      </c>
      <c r="H2655" s="27" t="str">
        <f aca="false">IF(J2655&lt;&gt;1,"",IF(I2655="SBJ","CB","?"))</f>
        <v/>
      </c>
      <c r="I2655" s="24" t="str">
        <f aca="false">IF(OR(E2655="",E2655="!!!",F2655="NEW"),"",INDEX(B3:B$2653,-1+SUMPRODUCT(MAX(ROW(E3:E$2653)*(E2655=E3:E$2653)))))</f>
        <v/>
      </c>
      <c r="J2655" s="24" t="str">
        <f aca="true">IF(OR(E2655="",E2655="!!!",F2655="NEW"),"",COUNTBLANK(OFFSET(A$1,,,SUMPRODUCT(MAX(ROW(E$2:E2655)*(E2655=E$2:E2655)))))-COUNTBLANK(OFFSET(A$1,,,SUMPRODUCT(MAX(ROW(E$1:E2654)*(E2=E$1:E2654))))))</f>
        <v/>
      </c>
      <c r="K2655" s="24" t="str">
        <f aca="false">IF(OR(E2655="",E2655="!!!",F2655="NEW"),"",INDEX(J$1:J2654,SUMPRODUCT(MAX(ROW(E$1:E2654)*(E2655=E$1:E2654)))))</f>
        <v/>
      </c>
      <c r="L2655" s="31"/>
    </row>
    <row r="2656" customFormat="false" ht="15" hidden="false" customHeight="false" outlineLevel="0" collapsed="false">
      <c r="A2656" s="20" t="s">
        <v>1097</v>
      </c>
      <c r="B2656" s="22" t="s">
        <v>1073</v>
      </c>
      <c r="C2656" s="22" t="s">
        <v>1099</v>
      </c>
      <c r="D2656" s="22" t="s">
        <v>1060</v>
      </c>
      <c r="E2656" s="23" t="str">
        <f aca="false">IF(D2656="?OLD","!!!","")</f>
        <v>!!!</v>
      </c>
      <c r="F2656" s="25" t="str">
        <f aca="false">IF(OR(E2656="",E2656="!!!"),"",IF(NOT(ISNA(VLOOKUP(E2656,E$1:E2655,1,FALSE()))),"OLD",IF(AND(E2656&lt;&gt;"",E2656&lt;&gt;"!!!"),"NEW","")))</f>
        <v/>
      </c>
      <c r="G2656" s="26" t="str">
        <f aca="false">IF(OR(E2656="",E2656="!!!"),"",IF(OR(J2656=0,AND(J2656=1,K2656=1),AND(J2656=1,I2656="SBJ"),AND(J2656=1,I2656=0)),"?IN_FOCUS",IF(J2656&lt;=2,"?ACTIVATED",IF(J2656&lt;&gt;"","?FAMILIAR",IF(F2656="NEW",IF(ISNA(VLOOKUP(E2656,#REF!,1,FALSE())),"?TYPE_IDENTIFIABLE","?REFERENTIAL"),"_")))))</f>
        <v/>
      </c>
      <c r="H2656" s="27" t="str">
        <f aca="false">IF(J2656&lt;&gt;1,"",IF(I2656="SBJ","CB","?"))</f>
        <v/>
      </c>
      <c r="I2656" s="24" t="str">
        <f aca="false">IF(OR(E2656="",E2656="!!!",F2656="NEW"),"",INDEX(B4:B$2653,-1+SUMPRODUCT(MAX(ROW(E4:E$2653)*(E2656=E4:E$2653)))))</f>
        <v/>
      </c>
      <c r="J2656" s="24" t="str">
        <f aca="true">IF(OR(E2656="",E2656="!!!",F2656="NEW"),"",COUNTBLANK(OFFSET(A$1,,,SUMPRODUCT(MAX(ROW(E$2:E2656)*(E2656=E$2:E2656)))))-COUNTBLANK(OFFSET(A$1,,,SUMPRODUCT(MAX(ROW(E$1:E2655)*(E2=E$1:E2655))))))</f>
        <v/>
      </c>
      <c r="K2656" s="24" t="str">
        <f aca="false">IF(OR(E2656="",E2656="!!!",F2656="NEW"),"",INDEX(J$1:J2655,SUMPRODUCT(MAX(ROW(E$1:E2655)*(E2656=E$1:E2655)))))</f>
        <v/>
      </c>
      <c r="L2656" s="31"/>
    </row>
    <row r="2657" customFormat="false" ht="15" hidden="false" customHeight="false" outlineLevel="0" collapsed="false">
      <c r="A2657" s="20" t="s">
        <v>1991</v>
      </c>
      <c r="E2657" s="23" t="str">
        <f aca="false">IF(D2657="?OLD","!!!","")</f>
        <v/>
      </c>
      <c r="F2657" s="25" t="str">
        <f aca="false">IF(OR(E2657="",E2657="!!!"),"",IF(NOT(ISNA(VLOOKUP(E2657,E$1:E2656,1,FALSE()))),"OLD",IF(AND(E2657&lt;&gt;"",E2657&lt;&gt;"!!!"),"NEW","")))</f>
        <v/>
      </c>
      <c r="G2657" s="26" t="str">
        <f aca="false">IF(OR(E2657="",E2657="!!!"),"",IF(OR(J2657=0,AND(J2657=1,K2657=1),AND(J2657=1,I2657="SBJ"),AND(J2657=1,I2657=0)),"?IN_FOCUS",IF(J2657&lt;=2,"?ACTIVATED",IF(J2657&lt;&gt;"","?FAMILIAR",IF(F2657="NEW",IF(ISNA(VLOOKUP(E2657,#REF!,1,FALSE())),"?TYPE_IDENTIFIABLE","?REFERENTIAL"),"_")))))</f>
        <v/>
      </c>
      <c r="H2657" s="27" t="str">
        <f aca="false">IF(J2657&lt;&gt;1,"",IF(I2657="SBJ","CB","?"))</f>
        <v/>
      </c>
      <c r="I2657" s="24" t="str">
        <f aca="false">IF(OR(E2657="",E2657="!!!",F2657="NEW"),"",INDEX(B5:B$2653,-1+SUMPRODUCT(MAX(ROW(E5:E$2653)*(E2657=E5:E$2653)))))</f>
        <v/>
      </c>
      <c r="J2657" s="24" t="str">
        <f aca="true">IF(OR(E2657="",E2657="!!!",F2657="NEW"),"",COUNTBLANK(OFFSET(A$1,,,SUMPRODUCT(MAX(ROW(E$2:E2657)*(E2657=E$2:E2657)))))-COUNTBLANK(OFFSET(A$1,,,SUMPRODUCT(MAX(ROW(E$1:E2656)*(E2=E$1:E2656))))))</f>
        <v/>
      </c>
      <c r="K2657" s="24" t="str">
        <f aca="false">IF(OR(E2657="",E2657="!!!",F2657="NEW"),"",INDEX(J$1:J2656,SUMPRODUCT(MAX(ROW(E$1:E2656)*(E2657=E$1:E2656)))))</f>
        <v/>
      </c>
      <c r="L2657" s="31"/>
    </row>
    <row r="2658" customFormat="false" ht="15" hidden="false" customHeight="false" outlineLevel="0" collapsed="false">
      <c r="A2658" s="20" t="s">
        <v>16</v>
      </c>
      <c r="E2658" s="23" t="str">
        <f aca="false">IF(D2658="?OLD","!!!","")</f>
        <v/>
      </c>
      <c r="F2658" s="25" t="str">
        <f aca="false">IF(OR(E2658="",E2658="!!!"),"",IF(NOT(ISNA(VLOOKUP(E2658,E$1:E2657,1,FALSE()))),"OLD",IF(AND(E2658&lt;&gt;"",E2658&lt;&gt;"!!!"),"NEW","")))</f>
        <v/>
      </c>
      <c r="G2658" s="26" t="str">
        <f aca="false">IF(OR(E2658="",E2658="!!!"),"",IF(OR(J2658=0,AND(J2658=1,K2658=1),AND(J2658=1,I2658="SBJ"),AND(J2658=1,I2658=0)),"?IN_FOCUS",IF(J2658&lt;=2,"?ACTIVATED",IF(J2658&lt;&gt;"","?FAMILIAR",IF(F2658="NEW",IF(ISNA(VLOOKUP(E2658,#REF!,1,FALSE())),"?TYPE_IDENTIFIABLE","?REFERENTIAL"),"_")))))</f>
        <v/>
      </c>
      <c r="H2658" s="27" t="str">
        <f aca="false">IF(J2658&lt;&gt;1,"",IF(I2658="SBJ","CB","?"))</f>
        <v/>
      </c>
      <c r="I2658" s="24" t="str">
        <f aca="false">IF(OR(E2658="",E2658="!!!",F2658="NEW"),"",INDEX(B6:B$2653,-1+SUMPRODUCT(MAX(ROW(E6:E$2653)*(E2658=E6:E$2653)))))</f>
        <v/>
      </c>
      <c r="J2658" s="24" t="str">
        <f aca="true">IF(OR(E2658="",E2658="!!!",F2658="NEW"),"",COUNTBLANK(OFFSET(A$1,,,SUMPRODUCT(MAX(ROW(E$2:E2658)*(E2658=E$2:E2658)))))-COUNTBLANK(OFFSET(A$1,,,SUMPRODUCT(MAX(ROW(E$1:E2657)*(E2=E$1:E2657))))))</f>
        <v/>
      </c>
      <c r="K2658" s="24" t="str">
        <f aca="false">IF(OR(E2658="",E2658="!!!",F2658="NEW"),"",INDEX(J$1:J2657,SUMPRODUCT(MAX(ROW(E$1:E2657)*(E2658=E$1:E2657)))))</f>
        <v/>
      </c>
      <c r="L2658" s="31"/>
    </row>
    <row r="2659" customFormat="false" ht="15" hidden="false" customHeight="false" outlineLevel="0" collapsed="false">
      <c r="A2659" s="20" t="s">
        <v>1992</v>
      </c>
      <c r="B2659" s="22" t="s">
        <v>1081</v>
      </c>
      <c r="C2659" s="22" t="s">
        <v>1059</v>
      </c>
      <c r="D2659" s="22" t="s">
        <v>1060</v>
      </c>
      <c r="E2659" s="23" t="str">
        <f aca="false">IF(D2659="?OLD","!!!","")</f>
        <v>!!!</v>
      </c>
      <c r="F2659" s="25" t="str">
        <f aca="false">IF(OR(E2659="",E2659="!!!"),"",IF(NOT(ISNA(VLOOKUP(E2659,E$1:E2658,1,FALSE()))),"OLD",IF(AND(E2659&lt;&gt;"",E2659&lt;&gt;"!!!"),"NEW","")))</f>
        <v/>
      </c>
      <c r="G2659" s="26" t="str">
        <f aca="false">IF(OR(E2659="",E2659="!!!"),"",IF(OR(J2659=0,AND(J2659=1,K2659=1),AND(J2659=1,I2659="SBJ"),AND(J2659=1,I2659=0)),"?IN_FOCUS",IF(J2659&lt;=2,"?ACTIVATED",IF(J2659&lt;&gt;"","?FAMILIAR",IF(F2659="NEW",IF(ISNA(VLOOKUP(E2659,#REF!,1,FALSE())),"?TYPE_IDENTIFIABLE","?REFERENTIAL"),"_")))))</f>
        <v/>
      </c>
      <c r="H2659" s="27" t="str">
        <f aca="false">IF(J2659&lt;&gt;1,"",IF(I2659="SBJ","CB","?"))</f>
        <v/>
      </c>
      <c r="I2659" s="24" t="str">
        <f aca="false">IF(OR(E2659="",E2659="!!!",F2659="NEW"),"",INDEX(B7:B$2653,-1+SUMPRODUCT(MAX(ROW(E7:E$2653)*(E2659=E7:E$2653)))))</f>
        <v/>
      </c>
      <c r="J2659" s="24" t="str">
        <f aca="true">IF(OR(E2659="",E2659="!!!",F2659="NEW"),"",COUNTBLANK(OFFSET(A$1,,,SUMPRODUCT(MAX(ROW(E$2:E2659)*(E2659=E$2:E2659)))))-COUNTBLANK(OFFSET(A$1,,,SUMPRODUCT(MAX(ROW(E$1:E2658)*(E2=E$1:E2658))))))</f>
        <v/>
      </c>
      <c r="K2659" s="24" t="str">
        <f aca="false">IF(OR(E2659="",E2659="!!!",F2659="NEW"),"",INDEX(J$1:J2658,SUMPRODUCT(MAX(ROW(E$1:E2658)*(E2659=E$1:E2658)))))</f>
        <v/>
      </c>
      <c r="L2659" s="31"/>
    </row>
    <row r="2660" customFormat="false" ht="15" hidden="false" customHeight="false" outlineLevel="0" collapsed="false">
      <c r="A2660" s="20" t="s">
        <v>1993</v>
      </c>
      <c r="E2660" s="23" t="str">
        <f aca="false">IF(D2660="?OLD","!!!","")</f>
        <v/>
      </c>
      <c r="F2660" s="25" t="str">
        <f aca="false">IF(OR(E2660="",E2660="!!!"),"",IF(NOT(ISNA(VLOOKUP(E2660,E$1:E2659,1,FALSE()))),"OLD",IF(AND(E2660&lt;&gt;"",E2660&lt;&gt;"!!!"),"NEW","")))</f>
        <v/>
      </c>
      <c r="G2660" s="26" t="str">
        <f aca="false">IF(OR(E2660="",E2660="!!!"),"",IF(OR(J2660=0,AND(J2660=1,K2660=1),AND(J2660=1,I2660="SBJ"),AND(J2660=1,I2660=0)),"?IN_FOCUS",IF(J2660&lt;=2,"?ACTIVATED",IF(J2660&lt;&gt;"","?FAMILIAR",IF(F2660="NEW",IF(ISNA(VLOOKUP(E2660,#REF!,1,FALSE())),"?TYPE_IDENTIFIABLE","?REFERENTIAL"),"_")))))</f>
        <v/>
      </c>
      <c r="H2660" s="27" t="str">
        <f aca="false">IF(J2660&lt;&gt;1,"",IF(I2660="SBJ","CB","?"))</f>
        <v/>
      </c>
      <c r="I2660" s="24" t="str">
        <f aca="false">IF(OR(E2660="",E2660="!!!",F2660="NEW"),"",INDEX(B8:B$2653,-1+SUMPRODUCT(MAX(ROW(E8:E$2653)*(E2660=E8:E$2653)))))</f>
        <v/>
      </c>
      <c r="J2660" s="24" t="str">
        <f aca="true">IF(OR(E2660="",E2660="!!!",F2660="NEW"),"",COUNTBLANK(OFFSET(A$1,,,SUMPRODUCT(MAX(ROW(E$2:E2660)*(E2660=E$2:E2660)))))-COUNTBLANK(OFFSET(A$1,,,SUMPRODUCT(MAX(ROW(E$1:E2659)*(E2=E$1:E2659))))))</f>
        <v/>
      </c>
      <c r="K2660" s="24" t="str">
        <f aca="false">IF(OR(E2660="",E2660="!!!",F2660="NEW"),"",INDEX(J$1:J2659,SUMPRODUCT(MAX(ROW(E$1:E2659)*(E2660=E$1:E2659)))))</f>
        <v/>
      </c>
      <c r="L2660" s="31"/>
    </row>
    <row r="2661" customFormat="false" ht="15" hidden="false" customHeight="false" outlineLevel="0" collapsed="false">
      <c r="A2661" s="20" t="s">
        <v>1109</v>
      </c>
      <c r="E2661" s="23" t="str">
        <f aca="false">IF(D2661="?OLD","!!!","")</f>
        <v/>
      </c>
      <c r="F2661" s="25" t="str">
        <f aca="false">IF(OR(E2661="",E2661="!!!"),"",IF(NOT(ISNA(VLOOKUP(E2661,E$1:E2660,1,FALSE()))),"OLD",IF(AND(E2661&lt;&gt;"",E2661&lt;&gt;"!!!"),"NEW","")))</f>
        <v/>
      </c>
      <c r="G2661" s="26" t="str">
        <f aca="false">IF(OR(E2661="",E2661="!!!"),"",IF(OR(J2661=0,AND(J2661=1,K2661=1),AND(J2661=1,I2661="SBJ"),AND(J2661=1,I2661=0)),"?IN_FOCUS",IF(J2661&lt;=2,"?ACTIVATED",IF(J2661&lt;&gt;"","?FAMILIAR",IF(F2661="NEW",IF(ISNA(VLOOKUP(E2661,#REF!,1,FALSE())),"?TYPE_IDENTIFIABLE","?REFERENTIAL"),"_")))))</f>
        <v/>
      </c>
      <c r="H2661" s="27" t="str">
        <f aca="false">IF(J2661&lt;&gt;1,"",IF(I2661="SBJ","CB","?"))</f>
        <v/>
      </c>
      <c r="I2661" s="24" t="str">
        <f aca="false">IF(OR(E2661="",E2661="!!!",F2661="NEW"),"",INDEX(B9:B$2653,-1+SUMPRODUCT(MAX(ROW(E9:E$2653)*(E2661=E9:E$2653)))))</f>
        <v/>
      </c>
      <c r="J2661" s="24" t="str">
        <f aca="true">IF(OR(E2661="",E2661="!!!",F2661="NEW"),"",COUNTBLANK(OFFSET(A$1,,,SUMPRODUCT(MAX(ROW(E$2:E2661)*(E2661=E$2:E2661)))))-COUNTBLANK(OFFSET(A$1,,,SUMPRODUCT(MAX(ROW(E$1:E2660)*(E2=E$1:E2660))))))</f>
        <v/>
      </c>
      <c r="K2661" s="24" t="str">
        <f aca="false">IF(OR(E2661="",E2661="!!!",F2661="NEW"),"",INDEX(J$1:J2660,SUMPRODUCT(MAX(ROW(E$1:E2660)*(E2661=E$1:E2660)))))</f>
        <v/>
      </c>
      <c r="L2661" s="31"/>
    </row>
    <row r="2662" customFormat="false" ht="15" hidden="false" customHeight="false" outlineLevel="0" collapsed="false">
      <c r="A2662" s="20" t="s">
        <v>1502</v>
      </c>
      <c r="B2662" s="22" t="s">
        <v>1073</v>
      </c>
      <c r="C2662" s="22" t="s">
        <v>1150</v>
      </c>
      <c r="D2662" s="22" t="s">
        <v>1060</v>
      </c>
      <c r="E2662" s="23" t="str">
        <f aca="false">IF(D2662="?OLD","!!!","")</f>
        <v>!!!</v>
      </c>
      <c r="F2662" s="25" t="str">
        <f aca="false">IF(OR(E2662="",E2662="!!!"),"",IF(NOT(ISNA(VLOOKUP(E2662,E$1:E2661,1,FALSE()))),"OLD",IF(AND(E2662&lt;&gt;"",E2662&lt;&gt;"!!!"),"NEW","")))</f>
        <v/>
      </c>
      <c r="G2662" s="26" t="str">
        <f aca="false">IF(OR(E2662="",E2662="!!!"),"",IF(OR(J2662=0,AND(J2662=1,K2662=1),AND(J2662=1,I2662="SBJ"),AND(J2662=1,I2662=0)),"?IN_FOCUS",IF(J2662&lt;=2,"?ACTIVATED",IF(J2662&lt;&gt;"","?FAMILIAR",IF(F2662="NEW",IF(ISNA(VLOOKUP(E2662,#REF!,1,FALSE())),"?TYPE_IDENTIFIABLE","?REFERENTIAL"),"_")))))</f>
        <v/>
      </c>
      <c r="H2662" s="27" t="str">
        <f aca="false">IF(J2662&lt;&gt;1,"",IF(I2662="SBJ","CB","?"))</f>
        <v/>
      </c>
      <c r="I2662" s="24" t="str">
        <f aca="false">IF(OR(E2662="",E2662="!!!",F2662="NEW"),"",INDEX(B10:B$2653,-1+SUMPRODUCT(MAX(ROW(E10:E$2653)*(E2662=E10:E$2653)))))</f>
        <v/>
      </c>
      <c r="J2662" s="24" t="str">
        <f aca="true">IF(OR(E2662="",E2662="!!!",F2662="NEW"),"",COUNTBLANK(OFFSET(A$1,,,SUMPRODUCT(MAX(ROW(E$2:E2662)*(E2662=E$2:E2662)))))-COUNTBLANK(OFFSET(A$1,,,SUMPRODUCT(MAX(ROW(E$1:E2661)*(E2=E$1:E2661))))))</f>
        <v/>
      </c>
      <c r="K2662" s="24" t="str">
        <f aca="false">IF(OR(E2662="",E2662="!!!",F2662="NEW"),"",INDEX(J$1:J2661,SUMPRODUCT(MAX(ROW(E$1:E2661)*(E2662=E$1:E2661)))))</f>
        <v/>
      </c>
      <c r="L2662" s="31"/>
    </row>
    <row r="2663" customFormat="false" ht="15" hidden="false" customHeight="false" outlineLevel="0" collapsed="false">
      <c r="A2663" s="20" t="s">
        <v>1071</v>
      </c>
      <c r="E2663" s="23" t="str">
        <f aca="false">IF(D2663="?OLD","!!!","")</f>
        <v/>
      </c>
      <c r="F2663" s="25" t="str">
        <f aca="false">IF(OR(E2663="",E2663="!!!"),"",IF(NOT(ISNA(VLOOKUP(E2663,E$1:E2662,1,FALSE()))),"OLD",IF(AND(E2663&lt;&gt;"",E2663&lt;&gt;"!!!"),"NEW","")))</f>
        <v/>
      </c>
      <c r="G2663" s="26" t="str">
        <f aca="false">IF(OR(E2663="",E2663="!!!"),"",IF(OR(J2663=0,AND(J2663=1,K2663=1),AND(J2663=1,I2663="SBJ"),AND(J2663=1,I2663=0)),"?IN_FOCUS",IF(J2663&lt;=2,"?ACTIVATED",IF(J2663&lt;&gt;"","?FAMILIAR",IF(F2663="NEW",IF(ISNA(VLOOKUP(E2663,#REF!,1,FALSE())),"?TYPE_IDENTIFIABLE","?REFERENTIAL"),"_")))))</f>
        <v/>
      </c>
      <c r="H2663" s="27" t="str">
        <f aca="false">IF(J2663&lt;&gt;1,"",IF(I2663="SBJ","CB","?"))</f>
        <v/>
      </c>
      <c r="I2663" s="24" t="str">
        <f aca="false">IF(OR(E2663="",E2663="!!!",F2663="NEW"),"",INDEX(B11:B$2653,-1+SUMPRODUCT(MAX(ROW(E11:E$2653)*(E2663=E11:E$2653)))))</f>
        <v/>
      </c>
      <c r="J2663" s="24" t="str">
        <f aca="true">IF(OR(E2663="",E2663="!!!",F2663="NEW"),"",COUNTBLANK(OFFSET(A$1,,,SUMPRODUCT(MAX(ROW(E$2:E2663)*(E2663=E$2:E2663)))))-COUNTBLANK(OFFSET(A$1,,,SUMPRODUCT(MAX(ROW(E$1:E2662)*(E2=E$1:E2662))))))</f>
        <v/>
      </c>
      <c r="K2663" s="24" t="str">
        <f aca="false">IF(OR(E2663="",E2663="!!!",F2663="NEW"),"",INDEX(J$1:J2662,SUMPRODUCT(MAX(ROW(E$1:E2662)*(E2663=E$1:E2662)))))</f>
        <v/>
      </c>
      <c r="L2663" s="31"/>
    </row>
    <row r="2664" customFormat="false" ht="15" hidden="false" customHeight="false" outlineLevel="0" collapsed="false">
      <c r="A2664" s="20" t="s">
        <v>1994</v>
      </c>
      <c r="B2664" s="22" t="s">
        <v>1105</v>
      </c>
      <c r="C2664" s="22" t="s">
        <v>1059</v>
      </c>
      <c r="D2664" s="22" t="s">
        <v>1060</v>
      </c>
      <c r="E2664" s="23" t="str">
        <f aca="false">IF(D2664="?OLD","!!!","")</f>
        <v>!!!</v>
      </c>
      <c r="F2664" s="25" t="str">
        <f aca="false">IF(OR(E2664="",E2664="!!!"),"",IF(NOT(ISNA(VLOOKUP(E2664,E$1:E2663,1,FALSE()))),"OLD",IF(AND(E2664&lt;&gt;"",E2664&lt;&gt;"!!!"),"NEW","")))</f>
        <v/>
      </c>
      <c r="G2664" s="26" t="str">
        <f aca="false">IF(OR(E2664="",E2664="!!!"),"",IF(OR(J2664=0,AND(J2664=1,K2664=1),AND(J2664=1,I2664="SBJ"),AND(J2664=1,I2664=0)),"?IN_FOCUS",IF(J2664&lt;=2,"?ACTIVATED",IF(J2664&lt;&gt;"","?FAMILIAR",IF(F2664="NEW",IF(ISNA(VLOOKUP(E2664,#REF!,1,FALSE())),"?TYPE_IDENTIFIABLE","?REFERENTIAL"),"_")))))</f>
        <v/>
      </c>
      <c r="H2664" s="27" t="str">
        <f aca="false">IF(J2664&lt;&gt;1,"",IF(I2664="SBJ","CB","?"))</f>
        <v/>
      </c>
      <c r="I2664" s="24" t="str">
        <f aca="false">IF(OR(E2664="",E2664="!!!",F2664="NEW"),"",INDEX(B12:B$2653,-1+SUMPRODUCT(MAX(ROW(E12:E$2653)*(E2664=E12:E$2653)))))</f>
        <v/>
      </c>
      <c r="J2664" s="24" t="str">
        <f aca="true">IF(OR(E2664="",E2664="!!!",F2664="NEW"),"",COUNTBLANK(OFFSET(A$1,,,SUMPRODUCT(MAX(ROW(E$2:E2664)*(E2664=E$2:E2664)))))-COUNTBLANK(OFFSET(A$1,,,SUMPRODUCT(MAX(ROW(E$1:E2663)*(E2=E$1:E2663))))))</f>
        <v/>
      </c>
      <c r="K2664" s="24" t="str">
        <f aca="false">IF(OR(E2664="",E2664="!!!",F2664="NEW"),"",INDEX(J$1:J2663,SUMPRODUCT(MAX(ROW(E$1:E2663)*(E2664=E$1:E2663)))))</f>
        <v/>
      </c>
      <c r="L2664" s="31"/>
    </row>
    <row r="2665" customFormat="false" ht="15" hidden="false" customHeight="false" outlineLevel="0" collapsed="false">
      <c r="A2665" s="20" t="s">
        <v>1076</v>
      </c>
      <c r="E2665" s="23" t="str">
        <f aca="false">IF(D2665="?OLD","!!!","")</f>
        <v/>
      </c>
      <c r="F2665" s="25" t="str">
        <f aca="false">IF(OR(E2665="",E2665="!!!"),"",IF(NOT(ISNA(VLOOKUP(E2665,E$1:E2664,1,FALSE()))),"OLD",IF(AND(E2665&lt;&gt;"",E2665&lt;&gt;"!!!"),"NEW","")))</f>
        <v/>
      </c>
      <c r="G2665" s="26" t="str">
        <f aca="false">IF(OR(E2665="",E2665="!!!"),"",IF(OR(J2665=0,AND(J2665=1,K2665=1),AND(J2665=1,I2665="SBJ"),AND(J2665=1,I2665=0)),"?IN_FOCUS",IF(J2665&lt;=2,"?ACTIVATED",IF(J2665&lt;&gt;"","?FAMILIAR",IF(F2665="NEW",IF(ISNA(VLOOKUP(E2665,#REF!,1,FALSE())),"?TYPE_IDENTIFIABLE","?REFERENTIAL"),"_")))))</f>
        <v/>
      </c>
      <c r="H2665" s="27" t="str">
        <f aca="false">IF(J2665&lt;&gt;1,"",IF(I2665="SBJ","CB","?"))</f>
        <v/>
      </c>
      <c r="I2665" s="24" t="str">
        <f aca="false">IF(OR(E2665="",E2665="!!!",F2665="NEW"),"",INDEX(B13:B$2653,-1+SUMPRODUCT(MAX(ROW(E13:E$2653)*(E2665=E13:E$2653)))))</f>
        <v/>
      </c>
      <c r="J2665" s="24" t="str">
        <f aca="true">IF(OR(E2665="",E2665="!!!",F2665="NEW"),"",COUNTBLANK(OFFSET(A$1,,,SUMPRODUCT(MAX(ROW(E$2:E2665)*(E2665=E$2:E2665)))))-COUNTBLANK(OFFSET(A$1,,,SUMPRODUCT(MAX(ROW(E$1:E2664)*(E2=E$1:E2664))))))</f>
        <v/>
      </c>
      <c r="K2665" s="24" t="str">
        <f aca="false">IF(OR(E2665="",E2665="!!!",F2665="NEW"),"",INDEX(J$1:J2664,SUMPRODUCT(MAX(ROW(E$1:E2664)*(E2665=E$1:E2664)))))</f>
        <v/>
      </c>
      <c r="L2665" s="31"/>
    </row>
    <row r="2666" customFormat="false" ht="15" hidden="false" customHeight="false" outlineLevel="0" collapsed="false">
      <c r="A2666" s="20" t="s">
        <v>1128</v>
      </c>
      <c r="E2666" s="23" t="str">
        <f aca="false">IF(D2666="?OLD","!!!","")</f>
        <v/>
      </c>
      <c r="F2666" s="25" t="str">
        <f aca="false">IF(OR(E2666="",E2666="!!!"),"",IF(NOT(ISNA(VLOOKUP(E2666,E$1:E2665,1,FALSE()))),"OLD",IF(AND(E2666&lt;&gt;"",E2666&lt;&gt;"!!!"),"NEW","")))</f>
        <v/>
      </c>
      <c r="G2666" s="26" t="str">
        <f aca="false">IF(OR(E2666="",E2666="!!!"),"",IF(OR(J2666=0,AND(J2666=1,K2666=1),AND(J2666=1,I2666="SBJ"),AND(J2666=1,I2666=0)),"?IN_FOCUS",IF(J2666&lt;=2,"?ACTIVATED",IF(J2666&lt;&gt;"","?FAMILIAR",IF(F2666="NEW",IF(ISNA(VLOOKUP(E2666,#REF!,1,FALSE())),"?TYPE_IDENTIFIABLE","?REFERENTIAL"),"_")))))</f>
        <v/>
      </c>
      <c r="H2666" s="27" t="str">
        <f aca="false">IF(J2666&lt;&gt;1,"",IF(I2666="SBJ","CB","?"))</f>
        <v/>
      </c>
      <c r="I2666" s="24" t="str">
        <f aca="false">IF(OR(E2666="",E2666="!!!",F2666="NEW"),"",INDEX(B14:B$2653,-1+SUMPRODUCT(MAX(ROW(E14:E$2653)*(E2666=E14:E$2653)))))</f>
        <v/>
      </c>
      <c r="J2666" s="24" t="str">
        <f aca="true">IF(OR(E2666="",E2666="!!!",F2666="NEW"),"",COUNTBLANK(OFFSET(A$1,,,SUMPRODUCT(MAX(ROW(E$2:E2666)*(E2666=E$2:E2666)))))-COUNTBLANK(OFFSET(A$1,,,SUMPRODUCT(MAX(ROW(E$1:E2665)*(E2=E$1:E2665))))))</f>
        <v/>
      </c>
      <c r="K2666" s="24" t="str">
        <f aca="false">IF(OR(E2666="",E2666="!!!",F2666="NEW"),"",INDEX(J$1:J2665,SUMPRODUCT(MAX(ROW(E$1:E2665)*(E2666=E$1:E2665)))))</f>
        <v/>
      </c>
      <c r="L2666" s="31"/>
    </row>
    <row r="2667" customFormat="false" ht="15" hidden="false" customHeight="false" outlineLevel="0" collapsed="false">
      <c r="A2667" s="20" t="s">
        <v>1386</v>
      </c>
      <c r="E2667" s="23" t="str">
        <f aca="false">IF(D2667="?OLD","!!!","")</f>
        <v/>
      </c>
      <c r="F2667" s="25" t="str">
        <f aca="false">IF(OR(E2667="",E2667="!!!"),"",IF(NOT(ISNA(VLOOKUP(E2667,E$1:E2666,1,FALSE()))),"OLD",IF(AND(E2667&lt;&gt;"",E2667&lt;&gt;"!!!"),"NEW","")))</f>
        <v/>
      </c>
      <c r="G2667" s="26" t="str">
        <f aca="false">IF(OR(E2667="",E2667="!!!"),"",IF(OR(J2667=0,AND(J2667=1,K2667=1),AND(J2667=1,I2667="SBJ"),AND(J2667=1,I2667=0)),"?IN_FOCUS",IF(J2667&lt;=2,"?ACTIVATED",IF(J2667&lt;&gt;"","?FAMILIAR",IF(F2667="NEW",IF(ISNA(VLOOKUP(E2667,#REF!,1,FALSE())),"?TYPE_IDENTIFIABLE","?REFERENTIAL"),"_")))))</f>
        <v/>
      </c>
      <c r="H2667" s="27" t="str">
        <f aca="false">IF(J2667&lt;&gt;1,"",IF(I2667="SBJ","CB","?"))</f>
        <v/>
      </c>
      <c r="I2667" s="24" t="str">
        <f aca="false">IF(OR(E2667="",E2667="!!!",F2667="NEW"),"",INDEX(B15:B$2653,-1+SUMPRODUCT(MAX(ROW(E15:E$2653)*(E2667=E15:E$2653)))))</f>
        <v/>
      </c>
      <c r="J2667" s="24" t="str">
        <f aca="true">IF(OR(E2667="",E2667="!!!",F2667="NEW"),"",COUNTBLANK(OFFSET(A$1,,,SUMPRODUCT(MAX(ROW(E$2:E2667)*(E2667=E$2:E2667)))))-COUNTBLANK(OFFSET(A$1,,,SUMPRODUCT(MAX(ROW(E$1:E2666)*(E2=E$1:E2666))))))</f>
        <v/>
      </c>
      <c r="K2667" s="24" t="str">
        <f aca="false">IF(OR(E2667="",E2667="!!!",F2667="NEW"),"",INDEX(J$1:J2666,SUMPRODUCT(MAX(ROW(E$1:E2666)*(E2667=E$1:E2666)))))</f>
        <v/>
      </c>
      <c r="L2667" s="31"/>
    </row>
    <row r="2668" customFormat="false" ht="15" hidden="false" customHeight="false" outlineLevel="0" collapsed="false">
      <c r="A2668" s="20" t="s">
        <v>1995</v>
      </c>
      <c r="E2668" s="23" t="str">
        <f aca="false">IF(D2668="?OLD","!!!","")</f>
        <v/>
      </c>
      <c r="F2668" s="25" t="str">
        <f aca="false">IF(OR(E2668="",E2668="!!!"),"",IF(NOT(ISNA(VLOOKUP(E2668,E$1:E2667,1,FALSE()))),"OLD",IF(AND(E2668&lt;&gt;"",E2668&lt;&gt;"!!!"),"NEW","")))</f>
        <v/>
      </c>
      <c r="G2668" s="26" t="str">
        <f aca="false">IF(OR(E2668="",E2668="!!!"),"",IF(OR(J2668=0,AND(J2668=1,K2668=1),AND(J2668=1,I2668="SBJ"),AND(J2668=1,I2668=0)),"?IN_FOCUS",IF(J2668&lt;=2,"?ACTIVATED",IF(J2668&lt;&gt;"","?FAMILIAR",IF(F2668="NEW",IF(ISNA(VLOOKUP(E2668,#REF!,1,FALSE())),"?TYPE_IDENTIFIABLE","?REFERENTIAL"),"_")))))</f>
        <v/>
      </c>
      <c r="H2668" s="27" t="str">
        <f aca="false">IF(J2668&lt;&gt;1,"",IF(I2668="SBJ","CB","?"))</f>
        <v/>
      </c>
      <c r="I2668" s="24" t="str">
        <f aca="false">IF(OR(E2668="",E2668="!!!",F2668="NEW"),"",INDEX(B16:B$2653,-1+SUMPRODUCT(MAX(ROW(E16:E$2653)*(E2668=E16:E$2653)))))</f>
        <v/>
      </c>
      <c r="J2668" s="24" t="str">
        <f aca="true">IF(OR(E2668="",E2668="!!!",F2668="NEW"),"",COUNTBLANK(OFFSET(A$1,,,SUMPRODUCT(MAX(ROW(E$2:E2668)*(E2668=E$2:E2668)))))-COUNTBLANK(OFFSET(A$1,,,SUMPRODUCT(MAX(ROW(E$1:E2667)*(E2=E$1:E2667))))))</f>
        <v/>
      </c>
      <c r="K2668" s="24" t="str">
        <f aca="false">IF(OR(E2668="",E2668="!!!",F2668="NEW"),"",INDEX(J$1:J2667,SUMPRODUCT(MAX(ROW(E$1:E2667)*(E2668=E$1:E2667)))))</f>
        <v/>
      </c>
      <c r="L2668" s="31"/>
    </row>
    <row r="2669" customFormat="false" ht="15" hidden="false" customHeight="false" outlineLevel="0" collapsed="false">
      <c r="A2669" s="20" t="s">
        <v>1828</v>
      </c>
      <c r="B2669" s="22" t="s">
        <v>1086</v>
      </c>
      <c r="C2669" s="22" t="s">
        <v>1389</v>
      </c>
      <c r="E2669" s="23" t="str">
        <f aca="false">IF(D2669="?OLD","!!!","")</f>
        <v/>
      </c>
      <c r="F2669" s="25" t="str">
        <f aca="false">IF(OR(E2669="",E2669="!!!"),"",IF(NOT(ISNA(VLOOKUP(E2669,E$1:E2668,1,FALSE()))),"OLD",IF(AND(E2669&lt;&gt;"",E2669&lt;&gt;"!!!"),"NEW","")))</f>
        <v/>
      </c>
      <c r="G2669" s="26" t="str">
        <f aca="false">IF(OR(E2669="",E2669="!!!"),"",IF(OR(J2669=0,AND(J2669=1,K2669=1),AND(J2669=1,I2669="SBJ"),AND(J2669=1,I2669=0)),"?IN_FOCUS",IF(J2669&lt;=2,"?ACTIVATED",IF(J2669&lt;&gt;"","?FAMILIAR",IF(F2669="NEW",IF(ISNA(VLOOKUP(E2669,#REF!,1,FALSE())),"?TYPE_IDENTIFIABLE","?REFERENTIAL"),"_")))))</f>
        <v/>
      </c>
      <c r="H2669" s="27" t="str">
        <f aca="false">IF(J2669&lt;&gt;1,"",IF(I2669="SBJ","CB","?"))</f>
        <v/>
      </c>
      <c r="I2669" s="24" t="str">
        <f aca="false">IF(OR(E2669="",E2669="!!!",F2669="NEW"),"",INDEX(B17:B$2653,-1+SUMPRODUCT(MAX(ROW(E17:E$2653)*(E2669=E17:E$2653)))))</f>
        <v/>
      </c>
      <c r="J2669" s="24" t="str">
        <f aca="true">IF(OR(E2669="",E2669="!!!",F2669="NEW"),"",COUNTBLANK(OFFSET(A$1,,,SUMPRODUCT(MAX(ROW(E$2:E2669)*(E2669=E$2:E2669)))))-COUNTBLANK(OFFSET(A$1,,,SUMPRODUCT(MAX(ROW(E$1:E2668)*(E2=E$1:E2668))))))</f>
        <v/>
      </c>
      <c r="K2669" s="24" t="str">
        <f aca="false">IF(OR(E2669="",E2669="!!!",F2669="NEW"),"",INDEX(J$1:J2668,SUMPRODUCT(MAX(ROW(E$1:E2668)*(E2669=E$1:E2668)))))</f>
        <v/>
      </c>
      <c r="L2669" s="31"/>
    </row>
    <row r="2670" customFormat="false" ht="15" hidden="false" customHeight="false" outlineLevel="0" collapsed="false">
      <c r="A2670" s="20" t="s">
        <v>1135</v>
      </c>
      <c r="E2670" s="23" t="str">
        <f aca="false">IF(D2670="?OLD","!!!","")</f>
        <v/>
      </c>
      <c r="F2670" s="25" t="str">
        <f aca="false">IF(OR(E2670="",E2670="!!!"),"",IF(NOT(ISNA(VLOOKUP(E2670,E$1:E2669,1,FALSE()))),"OLD",IF(AND(E2670&lt;&gt;"",E2670&lt;&gt;"!!!"),"NEW","")))</f>
        <v/>
      </c>
      <c r="G2670" s="26" t="str">
        <f aca="false">IF(OR(E2670="",E2670="!!!"),"",IF(OR(J2670=0,AND(J2670=1,K2670=1),AND(J2670=1,I2670="SBJ"),AND(J2670=1,I2670=0)),"?IN_FOCUS",IF(J2670&lt;=2,"?ACTIVATED",IF(J2670&lt;&gt;"","?FAMILIAR",IF(F2670="NEW",IF(ISNA(VLOOKUP(E2670,#REF!,1,FALSE())),"?TYPE_IDENTIFIABLE","?REFERENTIAL"),"_")))))</f>
        <v/>
      </c>
      <c r="H2670" s="27" t="str">
        <f aca="false">IF(J2670&lt;&gt;1,"",IF(I2670="SBJ","CB","?"))</f>
        <v/>
      </c>
      <c r="I2670" s="24" t="str">
        <f aca="false">IF(OR(E2670="",E2670="!!!",F2670="NEW"),"",INDEX(B18:B$2653,-1+SUMPRODUCT(MAX(ROW(E18:E$2653)*(E2670=E18:E$2653)))))</f>
        <v/>
      </c>
      <c r="J2670" s="24" t="str">
        <f aca="true">IF(OR(E2670="",E2670="!!!",F2670="NEW"),"",COUNTBLANK(OFFSET(A$1,,,SUMPRODUCT(MAX(ROW(E$2:E2670)*(E2670=E$2:E2670)))))-COUNTBLANK(OFFSET(A$1,,,SUMPRODUCT(MAX(ROW(E$1:E2669)*(E2=E$1:E2669))))))</f>
        <v/>
      </c>
      <c r="K2670" s="24" t="str">
        <f aca="false">IF(OR(E2670="",E2670="!!!",F2670="NEW"),"",INDEX(J$1:J2669,SUMPRODUCT(MAX(ROW(E$1:E2669)*(E2670=E$1:E2669)))))</f>
        <v/>
      </c>
      <c r="L2670" s="31"/>
    </row>
    <row r="2671" customFormat="false" ht="15" hidden="false" customHeight="false" outlineLevel="0" collapsed="false">
      <c r="A2671" s="20" t="s">
        <v>1912</v>
      </c>
      <c r="E2671" s="23" t="str">
        <f aca="false">IF(D2671="?OLD","!!!","")</f>
        <v/>
      </c>
      <c r="F2671" s="25" t="str">
        <f aca="false">IF(OR(E2671="",E2671="!!!"),"",IF(NOT(ISNA(VLOOKUP(E2671,E$1:E2670,1,FALSE()))),"OLD",IF(AND(E2671&lt;&gt;"",E2671&lt;&gt;"!!!"),"NEW","")))</f>
        <v/>
      </c>
      <c r="G2671" s="26" t="str">
        <f aca="false">IF(OR(E2671="",E2671="!!!"),"",IF(OR(J2671=0,AND(J2671=1,K2671=1),AND(J2671=1,I2671="SBJ"),AND(J2671=1,I2671=0)),"?IN_FOCUS",IF(J2671&lt;=2,"?ACTIVATED",IF(J2671&lt;&gt;"","?FAMILIAR",IF(F2671="NEW",IF(ISNA(VLOOKUP(E2671,#REF!,1,FALSE())),"?TYPE_IDENTIFIABLE","?REFERENTIAL"),"_")))))</f>
        <v/>
      </c>
      <c r="H2671" s="27" t="str">
        <f aca="false">IF(J2671&lt;&gt;1,"",IF(I2671="SBJ","CB","?"))</f>
        <v/>
      </c>
      <c r="I2671" s="24" t="str">
        <f aca="false">IF(OR(E2671="",E2671="!!!",F2671="NEW"),"",INDEX(B19:B$2653,-1+SUMPRODUCT(MAX(ROW(E19:E$2653)*(E2671=E19:E$2653)))))</f>
        <v/>
      </c>
      <c r="J2671" s="24" t="str">
        <f aca="true">IF(OR(E2671="",E2671="!!!",F2671="NEW"),"",COUNTBLANK(OFFSET(A$1,,,SUMPRODUCT(MAX(ROW(E$2:E2671)*(E2671=E$2:E2671)))))-COUNTBLANK(OFFSET(A$1,,,SUMPRODUCT(MAX(ROW(E$1:E2670)*(E2=E$1:E2670))))))</f>
        <v/>
      </c>
      <c r="K2671" s="24" t="str">
        <f aca="false">IF(OR(E2671="",E2671="!!!",F2671="NEW"),"",INDEX(J$1:J2670,SUMPRODUCT(MAX(ROW(E$1:E2670)*(E2671=E$1:E2670)))))</f>
        <v/>
      </c>
      <c r="L2671" s="31"/>
    </row>
    <row r="2672" customFormat="false" ht="15" hidden="false" customHeight="false" outlineLevel="0" collapsed="false">
      <c r="A2672" s="20" t="s">
        <v>1280</v>
      </c>
      <c r="E2672" s="23" t="str">
        <f aca="false">IF(D2672="?OLD","!!!","")</f>
        <v/>
      </c>
      <c r="F2672" s="25" t="str">
        <f aca="false">IF(OR(E2672="",E2672="!!!"),"",IF(NOT(ISNA(VLOOKUP(E2672,E$1:E2671,1,FALSE()))),"OLD",IF(AND(E2672&lt;&gt;"",E2672&lt;&gt;"!!!"),"NEW","")))</f>
        <v/>
      </c>
      <c r="G2672" s="26" t="str">
        <f aca="false">IF(OR(E2672="",E2672="!!!"),"",IF(OR(J2672=0,AND(J2672=1,K2672=1),AND(J2672=1,I2672="SBJ"),AND(J2672=1,I2672=0)),"?IN_FOCUS",IF(J2672&lt;=2,"?ACTIVATED",IF(J2672&lt;&gt;"","?FAMILIAR",IF(F2672="NEW",IF(ISNA(VLOOKUP(E2672,#REF!,1,FALSE())),"?TYPE_IDENTIFIABLE","?REFERENTIAL"),"_")))))</f>
        <v/>
      </c>
      <c r="H2672" s="27" t="str">
        <f aca="false">IF(J2672&lt;&gt;1,"",IF(I2672="SBJ","CB","?"))</f>
        <v/>
      </c>
      <c r="I2672" s="24" t="str">
        <f aca="false">IF(OR(E2672="",E2672="!!!",F2672="NEW"),"",INDEX(B20:B$2653,-1+SUMPRODUCT(MAX(ROW(E20:E$2653)*(E2672=E20:E$2653)))))</f>
        <v/>
      </c>
      <c r="J2672" s="24" t="str">
        <f aca="true">IF(OR(E2672="",E2672="!!!",F2672="NEW"),"",COUNTBLANK(OFFSET(A$1,,,SUMPRODUCT(MAX(ROW(E$2:E2672)*(E2672=E$2:E2672)))))-COUNTBLANK(OFFSET(A$1,,,SUMPRODUCT(MAX(ROW(E$1:E2671)*(E2=E$1:E2671))))))</f>
        <v/>
      </c>
      <c r="K2672" s="24" t="str">
        <f aca="false">IF(OR(E2672="",E2672="!!!",F2672="NEW"),"",INDEX(J$1:J2671,SUMPRODUCT(MAX(ROW(E$1:E2671)*(E2672=E$1:E2671)))))</f>
        <v/>
      </c>
      <c r="L2672" s="31"/>
    </row>
    <row r="2673" customFormat="false" ht="15" hidden="false" customHeight="false" outlineLevel="0" collapsed="false">
      <c r="A2673" s="20" t="s">
        <v>1184</v>
      </c>
      <c r="E2673" s="23" t="str">
        <f aca="false">IF(D2673="?OLD","!!!","")</f>
        <v/>
      </c>
      <c r="F2673" s="25" t="str">
        <f aca="false">IF(OR(E2673="",E2673="!!!"),"",IF(NOT(ISNA(VLOOKUP(E2673,E$1:E2672,1,FALSE()))),"OLD",IF(AND(E2673&lt;&gt;"",E2673&lt;&gt;"!!!"),"NEW","")))</f>
        <v/>
      </c>
      <c r="G2673" s="26" t="str">
        <f aca="false">IF(OR(E2673="",E2673="!!!"),"",IF(OR(J2673=0,AND(J2673=1,K2673=1),AND(J2673=1,I2673="SBJ"),AND(J2673=1,I2673=0)),"?IN_FOCUS",IF(J2673&lt;=2,"?ACTIVATED",IF(J2673&lt;&gt;"","?FAMILIAR",IF(F2673="NEW",IF(ISNA(VLOOKUP(E2673,#REF!,1,FALSE())),"?TYPE_IDENTIFIABLE","?REFERENTIAL"),"_")))))</f>
        <v/>
      </c>
      <c r="H2673" s="27" t="str">
        <f aca="false">IF(J2673&lt;&gt;1,"",IF(I2673="SBJ","CB","?"))</f>
        <v/>
      </c>
      <c r="I2673" s="24" t="str">
        <f aca="false">IF(OR(E2673="",E2673="!!!",F2673="NEW"),"",INDEX(B21:B$2653,-1+SUMPRODUCT(MAX(ROW(E21:E$2653)*(E2673=E21:E$2653)))))</f>
        <v/>
      </c>
      <c r="J2673" s="24" t="str">
        <f aca="true">IF(OR(E2673="",E2673="!!!",F2673="NEW"),"",COUNTBLANK(OFFSET(A$1,,,SUMPRODUCT(MAX(ROW(E$2:E2673)*(E2673=E$2:E2673)))))-COUNTBLANK(OFFSET(A$1,,,SUMPRODUCT(MAX(ROW(E$1:E2672)*(E2=E$1:E2672))))))</f>
        <v/>
      </c>
      <c r="K2673" s="24" t="str">
        <f aca="false">IF(OR(E2673="",E2673="!!!",F2673="NEW"),"",INDEX(J$1:J2672,SUMPRODUCT(MAX(ROW(E$1:E2672)*(E2673=E$1:E2672)))))</f>
        <v/>
      </c>
      <c r="L2673" s="31"/>
    </row>
    <row r="2674" customFormat="false" ht="15" hidden="false" customHeight="false" outlineLevel="0" collapsed="false">
      <c r="A2674" s="20" t="s">
        <v>1179</v>
      </c>
      <c r="B2674" s="22" t="s">
        <v>1073</v>
      </c>
      <c r="C2674" s="22" t="s">
        <v>1082</v>
      </c>
      <c r="D2674" s="22" t="s">
        <v>1060</v>
      </c>
      <c r="E2674" s="23" t="str">
        <f aca="false">IF(D2674="?OLD","!!!","")</f>
        <v>!!!</v>
      </c>
      <c r="F2674" s="25" t="str">
        <f aca="false">IF(OR(E2674="",E2674="!!!"),"",IF(NOT(ISNA(VLOOKUP(E2674,E$1:E2673,1,FALSE()))),"OLD",IF(AND(E2674&lt;&gt;"",E2674&lt;&gt;"!!!"),"NEW","")))</f>
        <v/>
      </c>
      <c r="G2674" s="26" t="str">
        <f aca="false">IF(OR(E2674="",E2674="!!!"),"",IF(OR(J2674=0,AND(J2674=1,K2674=1),AND(J2674=1,I2674="SBJ"),AND(J2674=1,I2674=0)),"?IN_FOCUS",IF(J2674&lt;=2,"?ACTIVATED",IF(J2674&lt;&gt;"","?FAMILIAR",IF(F2674="NEW",IF(ISNA(VLOOKUP(E2674,#REF!,1,FALSE())),"?TYPE_IDENTIFIABLE","?REFERENTIAL"),"_")))))</f>
        <v/>
      </c>
      <c r="H2674" s="27" t="str">
        <f aca="false">IF(J2674&lt;&gt;1,"",IF(I2674="SBJ","CB","?"))</f>
        <v/>
      </c>
      <c r="I2674" s="24" t="str">
        <f aca="false">IF(OR(E2674="",E2674="!!!",F2674="NEW"),"",INDEX(B22:B$2653,-1+SUMPRODUCT(MAX(ROW(E22:E$2653)*(E2674=E22:E$2653)))))</f>
        <v/>
      </c>
      <c r="J2674" s="24" t="str">
        <f aca="true">IF(OR(E2674="",E2674="!!!",F2674="NEW"),"",COUNTBLANK(OFFSET(A$1,,,SUMPRODUCT(MAX(ROW(E$2:E2674)*(E2674=E$2:E2674)))))-COUNTBLANK(OFFSET(A$1,,,SUMPRODUCT(MAX(ROW(E$1:E2673)*(E2=E$1:E2673))))))</f>
        <v/>
      </c>
      <c r="K2674" s="24" t="str">
        <f aca="false">IF(OR(E2674="",E2674="!!!",F2674="NEW"),"",INDEX(J$1:J2673,SUMPRODUCT(MAX(ROW(E$1:E2673)*(E2674=E$1:E2673)))))</f>
        <v/>
      </c>
      <c r="L2674" s="31"/>
    </row>
    <row r="2675" customFormat="false" ht="15" hidden="false" customHeight="false" outlineLevel="0" collapsed="false">
      <c r="A2675" s="20" t="s">
        <v>923</v>
      </c>
      <c r="E2675" s="23" t="str">
        <f aca="false">IF(D2675="?OLD","!!!","")</f>
        <v/>
      </c>
      <c r="F2675" s="25" t="str">
        <f aca="false">IF(OR(E2675="",E2675="!!!"),"",IF(NOT(ISNA(VLOOKUP(E2675,E$1:E2674,1,FALSE()))),"OLD",IF(AND(E2675&lt;&gt;"",E2675&lt;&gt;"!!!"),"NEW","")))</f>
        <v/>
      </c>
      <c r="G2675" s="26" t="str">
        <f aca="false">IF(OR(E2675="",E2675="!!!"),"",IF(OR(J2675=0,AND(J2675=1,K2675=1),AND(J2675=1,I2675="SBJ"),AND(J2675=1,I2675=0)),"?IN_FOCUS",IF(J2675&lt;=2,"?ACTIVATED",IF(J2675&lt;&gt;"","?FAMILIAR",IF(F2675="NEW",IF(ISNA(VLOOKUP(E2675,#REF!,1,FALSE())),"?TYPE_IDENTIFIABLE","?REFERENTIAL"),"_")))))</f>
        <v/>
      </c>
      <c r="H2675" s="27" t="str">
        <f aca="false">IF(J2675&lt;&gt;1,"",IF(I2675="SBJ","CB","?"))</f>
        <v/>
      </c>
      <c r="I2675" s="24" t="str">
        <f aca="false">IF(OR(E2675="",E2675="!!!",F2675="NEW"),"",INDEX(B23:B$2653,-1+SUMPRODUCT(MAX(ROW(E23:E$2653)*(E2675=E23:E$2653)))))</f>
        <v/>
      </c>
      <c r="J2675" s="24" t="str">
        <f aca="true">IF(OR(E2675="",E2675="!!!",F2675="NEW"),"",COUNTBLANK(OFFSET(A$1,,,SUMPRODUCT(MAX(ROW(E$2:E2675)*(E2675=E$2:E2675)))))-COUNTBLANK(OFFSET(A$1,,,SUMPRODUCT(MAX(ROW(E$1:E2674)*(E2=E$1:E2674))))))</f>
        <v/>
      </c>
      <c r="K2675" s="24" t="str">
        <f aca="false">IF(OR(E2675="",E2675="!!!",F2675="NEW"),"",INDEX(J$1:J2674,SUMPRODUCT(MAX(ROW(E$1:E2674)*(E2675=E$1:E2674)))))</f>
        <v/>
      </c>
      <c r="L2675" s="31"/>
    </row>
    <row r="2676" customFormat="false" ht="15" hidden="false" customHeight="false" outlineLevel="0" collapsed="false">
      <c r="A2676" s="20"/>
    </row>
    <row r="2677" customFormat="false" ht="15" hidden="false" customHeight="false" outlineLevel="0" collapsed="false">
      <c r="A2677" s="20" t="s">
        <v>1301</v>
      </c>
      <c r="E2677" s="23" t="str">
        <f aca="false">IF(D2677="?OLD","!!!","")</f>
        <v/>
      </c>
      <c r="F2677" s="25" t="str">
        <f aca="false">IF(OR(E2677="",E2677="!!!"),"",IF(NOT(ISNA(VLOOKUP(E2677,E$1:E2676,1,FALSE()))),"OLD",IF(AND(E2677&lt;&gt;"",E2677&lt;&gt;"!!!"),"NEW","")))</f>
        <v/>
      </c>
      <c r="G2677" s="26" t="str">
        <f aca="false">IF(OR(E2677="",E2677="!!!"),"",IF(OR(J2677=0,AND(J2677=1,K2677=1),AND(J2677=1,I2677="SBJ"),AND(J2677=1,I2677=0)),"?IN_FOCUS",IF(J2677&lt;=2,"?ACTIVATED",IF(J2677&lt;&gt;"","?FAMILIAR",IF(F2677="NEW",IF(ISNA(VLOOKUP(E2677,#REF!,1,FALSE())),"?TYPE_IDENTIFIABLE","?REFERENTIAL"),"_")))))</f>
        <v/>
      </c>
      <c r="H2677" s="27" t="str">
        <f aca="false">IF(J2677&lt;&gt;1,"",IF(I2677="SBJ","CB","?"))</f>
        <v/>
      </c>
      <c r="I2677" s="24" t="str">
        <f aca="false">IF(OR(E2677="",E2677="!!!",F2677="NEW"),"",INDEX(B2:B$2676,-1+SUMPRODUCT(MAX(ROW(E2:E$2676)*(E2677=E2:E$2676)))))</f>
        <v/>
      </c>
      <c r="J2677" s="24" t="str">
        <f aca="true">IF(OR(E2677="",E2677="!!!",F2677="NEW"),"",COUNTBLANK(OFFSET(A$1,,,SUMPRODUCT(MAX(ROW(E$2:E2677)*(E2677=E$2:E2677)))))-COUNTBLANK(OFFSET(A$1,,,SUMPRODUCT(MAX(ROW(E$1:E2676)*(E2=E$1:E2676))))))</f>
        <v/>
      </c>
      <c r="K2677" s="24" t="str">
        <f aca="false">IF(OR(E2677="",E2677="!!!",F2677="NEW"),"",INDEX(J$1:J2676,SUMPRODUCT(MAX(ROW(E$1:E2676)*(E2677=E$1:E2676)))))</f>
        <v/>
      </c>
      <c r="L2677" s="31"/>
    </row>
    <row r="2678" customFormat="false" ht="15" hidden="false" customHeight="false" outlineLevel="0" collapsed="false">
      <c r="A2678" s="20" t="s">
        <v>1996</v>
      </c>
    </row>
    <row r="2679" customFormat="false" ht="15" hidden="false" customHeight="false" outlineLevel="0" collapsed="false">
      <c r="A2679" s="20" t="s">
        <v>607</v>
      </c>
      <c r="E2679" s="23" t="str">
        <f aca="false">IF(D2679="?OLD","!!!","")</f>
        <v/>
      </c>
      <c r="F2679" s="25" t="str">
        <f aca="false">IF(OR(E2679="",E2679="!!!"),"",IF(NOT(ISNA(VLOOKUP(E2679,E$1:E2678,1,FALSE()))),"OLD",IF(AND(E2679&lt;&gt;"",E2679&lt;&gt;"!!!"),"NEW","")))</f>
        <v/>
      </c>
      <c r="G2679" s="26" t="str">
        <f aca="false">IF(OR(E2679="",E2679="!!!"),"",IF(OR(J2679=0,AND(J2679=1,K2679=1),AND(J2679=1,I2679="SBJ"),AND(J2679=1,I2679=0)),"?IN_FOCUS",IF(J2679&lt;=2,"?ACTIVATED",IF(J2679&lt;&gt;"","?FAMILIAR",IF(F2679="NEW",IF(ISNA(VLOOKUP(E2679,#REF!,1,FALSE())),"?TYPE_IDENTIFIABLE","?REFERENTIAL"),"_")))))</f>
        <v/>
      </c>
      <c r="H2679" s="27" t="str">
        <f aca="false">IF(J2679&lt;&gt;1,"",IF(I2679="SBJ","CB","?"))</f>
        <v/>
      </c>
      <c r="I2679" s="24" t="str">
        <f aca="false">IF(OR(E2679="",E2679="!!!",F2679="NEW"),"",INDEX(B2:B$2678,-1+SUMPRODUCT(MAX(ROW(E2:E$2678)*(E2679=E2:E$2678)))))</f>
        <v/>
      </c>
      <c r="J2679" s="24" t="str">
        <f aca="true">IF(OR(E2679="",E2679="!!!",F2679="NEW"),"",COUNTBLANK(OFFSET(A$1,,,SUMPRODUCT(MAX(ROW(E$2:E2679)*(E2679=E$2:E2679)))))-COUNTBLANK(OFFSET(A$1,,,SUMPRODUCT(MAX(ROW(E$1:E2678)*(E2=E$1:E2678))))))</f>
        <v/>
      </c>
      <c r="K2679" s="24" t="str">
        <f aca="false">IF(OR(E2679="",E2679="!!!",F2679="NEW"),"",INDEX(J$1:J2678,SUMPRODUCT(MAX(ROW(E$1:E2678)*(E2679=E$1:E2678)))))</f>
        <v/>
      </c>
      <c r="L2679" s="31"/>
    </row>
    <row r="2680" customFormat="false" ht="15" hidden="false" customHeight="false" outlineLevel="0" collapsed="false">
      <c r="A2680" s="20" t="s">
        <v>1209</v>
      </c>
      <c r="B2680" s="22" t="s">
        <v>1073</v>
      </c>
      <c r="C2680" s="22" t="s">
        <v>1099</v>
      </c>
      <c r="D2680" s="22" t="s">
        <v>1060</v>
      </c>
      <c r="E2680" s="23" t="str">
        <f aca="false">IF(D2680="?OLD","!!!","")</f>
        <v>!!!</v>
      </c>
      <c r="F2680" s="25" t="str">
        <f aca="false">IF(OR(E2680="",E2680="!!!"),"",IF(NOT(ISNA(VLOOKUP(E2680,E$1:E2679,1,FALSE()))),"OLD",IF(AND(E2680&lt;&gt;"",E2680&lt;&gt;"!!!"),"NEW","")))</f>
        <v/>
      </c>
      <c r="G2680" s="26" t="str">
        <f aca="false">IF(OR(E2680="",E2680="!!!"),"",IF(OR(J2680=0,AND(J2680=1,K2680=1),AND(J2680=1,I2680="SBJ"),AND(J2680=1,I2680=0)),"?IN_FOCUS",IF(J2680&lt;=2,"?ACTIVATED",IF(J2680&lt;&gt;"","?FAMILIAR",IF(F2680="NEW",IF(ISNA(VLOOKUP(E2680,#REF!,1,FALSE())),"?TYPE_IDENTIFIABLE","?REFERENTIAL"),"_")))))</f>
        <v/>
      </c>
      <c r="H2680" s="27" t="str">
        <f aca="false">IF(J2680&lt;&gt;1,"",IF(I2680="SBJ","CB","?"))</f>
        <v/>
      </c>
      <c r="I2680" s="24" t="str">
        <f aca="false">IF(OR(E2680="",E2680="!!!",F2680="NEW"),"",INDEX(B3:B$2678,-1+SUMPRODUCT(MAX(ROW(E3:E$2678)*(E2680=E3:E$2678)))))</f>
        <v/>
      </c>
      <c r="J2680" s="24" t="str">
        <f aca="true">IF(OR(E2680="",E2680="!!!",F2680="NEW"),"",COUNTBLANK(OFFSET(A$1,,,SUMPRODUCT(MAX(ROW(E$2:E2680)*(E2680=E$2:E2680)))))-COUNTBLANK(OFFSET(A$1,,,SUMPRODUCT(MAX(ROW(E$1:E2679)*(E2=E$1:E2679))))))</f>
        <v/>
      </c>
      <c r="K2680" s="24" t="str">
        <f aca="false">IF(OR(E2680="",E2680="!!!",F2680="NEW"),"",INDEX(J$1:J2679,SUMPRODUCT(MAX(ROW(E$1:E2679)*(E2680=E$1:E2679)))))</f>
        <v/>
      </c>
      <c r="L2680" s="31"/>
    </row>
    <row r="2681" customFormat="false" ht="15" hidden="false" customHeight="false" outlineLevel="0" collapsed="false">
      <c r="A2681" s="20" t="s">
        <v>1769</v>
      </c>
      <c r="B2681" s="22" t="s">
        <v>1058</v>
      </c>
      <c r="C2681" s="22" t="s">
        <v>1068</v>
      </c>
      <c r="D2681" s="22" t="s">
        <v>1060</v>
      </c>
      <c r="E2681" s="23" t="str">
        <f aca="false">IF(D2681="?OLD","!!!","")</f>
        <v>!!!</v>
      </c>
      <c r="F2681" s="25" t="str">
        <f aca="false">IF(OR(E2681="",E2681="!!!"),"",IF(NOT(ISNA(VLOOKUP(E2681,E$1:E2680,1,FALSE()))),"OLD",IF(AND(E2681&lt;&gt;"",E2681&lt;&gt;"!!!"),"NEW","")))</f>
        <v/>
      </c>
      <c r="G2681" s="26" t="str">
        <f aca="false">IF(OR(E2681="",E2681="!!!"),"",IF(OR(J2681=0,AND(J2681=1,K2681=1),AND(J2681=1,I2681="SBJ"),AND(J2681=1,I2681=0)),"?IN_FOCUS",IF(J2681&lt;=2,"?ACTIVATED",IF(J2681&lt;&gt;"","?FAMILIAR",IF(F2681="NEW",IF(ISNA(VLOOKUP(E2681,#REF!,1,FALSE())),"?TYPE_IDENTIFIABLE","?REFERENTIAL"),"_")))))</f>
        <v/>
      </c>
      <c r="H2681" s="27" t="str">
        <f aca="false">IF(J2681&lt;&gt;1,"",IF(I2681="SBJ","CB","?"))</f>
        <v/>
      </c>
      <c r="I2681" s="24" t="str">
        <f aca="false">IF(OR(E2681="",E2681="!!!",F2681="NEW"),"",INDEX(B4:B$2678,-1+SUMPRODUCT(MAX(ROW(E4:E$2678)*(E2681=E4:E$2678)))))</f>
        <v/>
      </c>
      <c r="J2681" s="24" t="str">
        <f aca="true">IF(OR(E2681="",E2681="!!!",F2681="NEW"),"",COUNTBLANK(OFFSET(A$1,,,SUMPRODUCT(MAX(ROW(E$2:E2681)*(E2681=E$2:E2681)))))-COUNTBLANK(OFFSET(A$1,,,SUMPRODUCT(MAX(ROW(E$1:E2680)*(E2=E$1:E2680))))))</f>
        <v/>
      </c>
      <c r="K2681" s="24" t="str">
        <f aca="false">IF(OR(E2681="",E2681="!!!",F2681="NEW"),"",INDEX(J$1:J2680,SUMPRODUCT(MAX(ROW(E$1:E2680)*(E2681=E$1:E2680)))))</f>
        <v/>
      </c>
      <c r="L2681" s="31"/>
    </row>
    <row r="2682" customFormat="false" ht="15" hidden="false" customHeight="false" outlineLevel="0" collapsed="false">
      <c r="A2682" s="20" t="s">
        <v>1328</v>
      </c>
      <c r="E2682" s="23" t="str">
        <f aca="false">IF(D2682="?OLD","!!!","")</f>
        <v/>
      </c>
      <c r="F2682" s="25" t="str">
        <f aca="false">IF(OR(E2682="",E2682="!!!"),"",IF(NOT(ISNA(VLOOKUP(E2682,E$1:E2681,1,FALSE()))),"OLD",IF(AND(E2682&lt;&gt;"",E2682&lt;&gt;"!!!"),"NEW","")))</f>
        <v/>
      </c>
      <c r="G2682" s="26" t="str">
        <f aca="false">IF(OR(E2682="",E2682="!!!"),"",IF(OR(J2682=0,AND(J2682=1,K2682=1),AND(J2682=1,I2682="SBJ"),AND(J2682=1,I2682=0)),"?IN_FOCUS",IF(J2682&lt;=2,"?ACTIVATED",IF(J2682&lt;&gt;"","?FAMILIAR",IF(F2682="NEW",IF(ISNA(VLOOKUP(E2682,#REF!,1,FALSE())),"?TYPE_IDENTIFIABLE","?REFERENTIAL"),"_")))))</f>
        <v/>
      </c>
      <c r="H2682" s="27" t="str">
        <f aca="false">IF(J2682&lt;&gt;1,"",IF(I2682="SBJ","CB","?"))</f>
        <v/>
      </c>
      <c r="I2682" s="24" t="str">
        <f aca="false">IF(OR(E2682="",E2682="!!!",F2682="NEW"),"",INDEX(B5:B$2678,-1+SUMPRODUCT(MAX(ROW(E5:E$2678)*(E2682=E5:E$2678)))))</f>
        <v/>
      </c>
      <c r="J2682" s="24" t="str">
        <f aca="true">IF(OR(E2682="",E2682="!!!",F2682="NEW"),"",COUNTBLANK(OFFSET(A$1,,,SUMPRODUCT(MAX(ROW(E$2:E2682)*(E2682=E$2:E2682)))))-COUNTBLANK(OFFSET(A$1,,,SUMPRODUCT(MAX(ROW(E$1:E2681)*(E2=E$1:E2681))))))</f>
        <v/>
      </c>
      <c r="K2682" s="24" t="str">
        <f aca="false">IF(OR(E2682="",E2682="!!!",F2682="NEW"),"",INDEX(J$1:J2681,SUMPRODUCT(MAX(ROW(E$1:E2681)*(E2682=E$1:E2681)))))</f>
        <v/>
      </c>
      <c r="L2682" s="31"/>
    </row>
    <row r="2683" customFormat="false" ht="15" hidden="false" customHeight="false" outlineLevel="0" collapsed="false">
      <c r="A2683" s="20" t="s">
        <v>607</v>
      </c>
      <c r="E2683" s="23" t="str">
        <f aca="false">IF(D2683="?OLD","!!!","")</f>
        <v/>
      </c>
      <c r="F2683" s="25" t="str">
        <f aca="false">IF(OR(E2683="",E2683="!!!"),"",IF(NOT(ISNA(VLOOKUP(E2683,E$1:E2682,1,FALSE()))),"OLD",IF(AND(E2683&lt;&gt;"",E2683&lt;&gt;"!!!"),"NEW","")))</f>
        <v/>
      </c>
      <c r="G2683" s="26" t="str">
        <f aca="false">IF(OR(E2683="",E2683="!!!"),"",IF(OR(J2683=0,AND(J2683=1,K2683=1),AND(J2683=1,I2683="SBJ"),AND(J2683=1,I2683=0)),"?IN_FOCUS",IF(J2683&lt;=2,"?ACTIVATED",IF(J2683&lt;&gt;"","?FAMILIAR",IF(F2683="NEW",IF(ISNA(VLOOKUP(E2683,#REF!,1,FALSE())),"?TYPE_IDENTIFIABLE","?REFERENTIAL"),"_")))))</f>
        <v/>
      </c>
      <c r="H2683" s="27" t="str">
        <f aca="false">IF(J2683&lt;&gt;1,"",IF(I2683="SBJ","CB","?"))</f>
        <v/>
      </c>
      <c r="I2683" s="24" t="str">
        <f aca="false">IF(OR(E2683="",E2683="!!!",F2683="NEW"),"",INDEX(B6:B$2678,-1+SUMPRODUCT(MAX(ROW(E6:E$2678)*(E2683=E6:E$2678)))))</f>
        <v/>
      </c>
      <c r="J2683" s="24" t="str">
        <f aca="true">IF(OR(E2683="",E2683="!!!",F2683="NEW"),"",COUNTBLANK(OFFSET(A$1,,,SUMPRODUCT(MAX(ROW(E$2:E2683)*(E2683=E$2:E2683)))))-COUNTBLANK(OFFSET(A$1,,,SUMPRODUCT(MAX(ROW(E$1:E2682)*(E2=E$1:E2682))))))</f>
        <v/>
      </c>
      <c r="K2683" s="24" t="str">
        <f aca="false">IF(OR(E2683="",E2683="!!!",F2683="NEW"),"",INDEX(J$1:J2682,SUMPRODUCT(MAX(ROW(E$1:E2682)*(E2683=E$1:E2682)))))</f>
        <v/>
      </c>
      <c r="L2683" s="31"/>
    </row>
    <row r="2684" customFormat="false" ht="15" hidden="false" customHeight="false" outlineLevel="0" collapsed="false">
      <c r="A2684" s="20" t="s">
        <v>1090</v>
      </c>
      <c r="B2684" s="22" t="s">
        <v>1058</v>
      </c>
      <c r="C2684" s="22" t="s">
        <v>1082</v>
      </c>
      <c r="D2684" s="22" t="s">
        <v>1060</v>
      </c>
      <c r="E2684" s="23" t="str">
        <f aca="false">IF(D2684="?OLD","!!!","")</f>
        <v>!!!</v>
      </c>
      <c r="F2684" s="25" t="str">
        <f aca="false">IF(OR(E2684="",E2684="!!!"),"",IF(NOT(ISNA(VLOOKUP(E2684,E$1:E2683,1,FALSE()))),"OLD",IF(AND(E2684&lt;&gt;"",E2684&lt;&gt;"!!!"),"NEW","")))</f>
        <v/>
      </c>
      <c r="G2684" s="26" t="str">
        <f aca="false">IF(OR(E2684="",E2684="!!!"),"",IF(OR(J2684=0,AND(J2684=1,K2684=1),AND(J2684=1,I2684="SBJ"),AND(J2684=1,I2684=0)),"?IN_FOCUS",IF(J2684&lt;=2,"?ACTIVATED",IF(J2684&lt;&gt;"","?FAMILIAR",IF(F2684="NEW",IF(ISNA(VLOOKUP(E2684,#REF!,1,FALSE())),"?TYPE_IDENTIFIABLE","?REFERENTIAL"),"_")))))</f>
        <v/>
      </c>
      <c r="H2684" s="27" t="str">
        <f aca="false">IF(J2684&lt;&gt;1,"",IF(I2684="SBJ","CB","?"))</f>
        <v/>
      </c>
      <c r="I2684" s="24" t="str">
        <f aca="false">IF(OR(E2684="",E2684="!!!",F2684="NEW"),"",INDEX(B7:B$2678,-1+SUMPRODUCT(MAX(ROW(E7:E$2678)*(E2684=E7:E$2678)))))</f>
        <v/>
      </c>
      <c r="J2684" s="24" t="str">
        <f aca="true">IF(OR(E2684="",E2684="!!!",F2684="NEW"),"",COUNTBLANK(OFFSET(A$1,,,SUMPRODUCT(MAX(ROW(E$2:E2684)*(E2684=E$2:E2684)))))-COUNTBLANK(OFFSET(A$1,,,SUMPRODUCT(MAX(ROW(E$1:E2683)*(E2=E$1:E2683))))))</f>
        <v/>
      </c>
      <c r="K2684" s="24" t="str">
        <f aca="false">IF(OR(E2684="",E2684="!!!",F2684="NEW"),"",INDEX(J$1:J2683,SUMPRODUCT(MAX(ROW(E$1:E2683)*(E2684=E$1:E2683)))))</f>
        <v/>
      </c>
      <c r="L2684" s="31"/>
    </row>
    <row r="2685" customFormat="false" ht="15" hidden="false" customHeight="false" outlineLevel="0" collapsed="false">
      <c r="A2685" s="20" t="s">
        <v>1997</v>
      </c>
      <c r="E2685" s="23" t="str">
        <f aca="false">IF(D2685="?OLD","!!!","")</f>
        <v/>
      </c>
      <c r="F2685" s="25" t="str">
        <f aca="false">IF(OR(E2685="",E2685="!!!"),"",IF(NOT(ISNA(VLOOKUP(E2685,E$1:E2684,1,FALSE()))),"OLD",IF(AND(E2685&lt;&gt;"",E2685&lt;&gt;"!!!"),"NEW","")))</f>
        <v/>
      </c>
      <c r="G2685" s="26" t="str">
        <f aca="false">IF(OR(E2685="",E2685="!!!"),"",IF(OR(J2685=0,AND(J2685=1,K2685=1),AND(J2685=1,I2685="SBJ"),AND(J2685=1,I2685=0)),"?IN_FOCUS",IF(J2685&lt;=2,"?ACTIVATED",IF(J2685&lt;&gt;"","?FAMILIAR",IF(F2685="NEW",IF(ISNA(VLOOKUP(E2685,#REF!,1,FALSE())),"?TYPE_IDENTIFIABLE","?REFERENTIAL"),"_")))))</f>
        <v/>
      </c>
      <c r="H2685" s="27" t="str">
        <f aca="false">IF(J2685&lt;&gt;1,"",IF(I2685="SBJ","CB","?"))</f>
        <v/>
      </c>
      <c r="I2685" s="24" t="str">
        <f aca="false">IF(OR(E2685="",E2685="!!!",F2685="NEW"),"",INDEX(B8:B$2678,-1+SUMPRODUCT(MAX(ROW(E8:E$2678)*(E2685=E8:E$2678)))))</f>
        <v/>
      </c>
      <c r="J2685" s="24" t="str">
        <f aca="true">IF(OR(E2685="",E2685="!!!",F2685="NEW"),"",COUNTBLANK(OFFSET(A$1,,,SUMPRODUCT(MAX(ROW(E$2:E2685)*(E2685=E$2:E2685)))))-COUNTBLANK(OFFSET(A$1,,,SUMPRODUCT(MAX(ROW(E$1:E2684)*(E2=E$1:E2684))))))</f>
        <v/>
      </c>
      <c r="K2685" s="24" t="str">
        <f aca="false">IF(OR(E2685="",E2685="!!!",F2685="NEW"),"",INDEX(J$1:J2684,SUMPRODUCT(MAX(ROW(E$1:E2684)*(E2685=E$1:E2684)))))</f>
        <v/>
      </c>
      <c r="L2685" s="31"/>
    </row>
    <row r="2686" customFormat="false" ht="15" hidden="false" customHeight="false" outlineLevel="0" collapsed="false">
      <c r="A2686" s="20" t="s">
        <v>923</v>
      </c>
      <c r="E2686" s="23" t="str">
        <f aca="false">IF(D2686="?OLD","!!!","")</f>
        <v/>
      </c>
      <c r="F2686" s="25" t="str">
        <f aca="false">IF(OR(E2686="",E2686="!!!"),"",IF(NOT(ISNA(VLOOKUP(E2686,E$1:E2685,1,FALSE()))),"OLD",IF(AND(E2686&lt;&gt;"",E2686&lt;&gt;"!!!"),"NEW","")))</f>
        <v/>
      </c>
      <c r="G2686" s="26" t="str">
        <f aca="false">IF(OR(E2686="",E2686="!!!"),"",IF(OR(J2686=0,AND(J2686=1,K2686=1),AND(J2686=1,I2686="SBJ"),AND(J2686=1,I2686=0)),"?IN_FOCUS",IF(J2686&lt;=2,"?ACTIVATED",IF(J2686&lt;&gt;"","?FAMILIAR",IF(F2686="NEW",IF(ISNA(VLOOKUP(E2686,#REF!,1,FALSE())),"?TYPE_IDENTIFIABLE","?REFERENTIAL"),"_")))))</f>
        <v/>
      </c>
      <c r="H2686" s="27" t="str">
        <f aca="false">IF(J2686&lt;&gt;1,"",IF(I2686="SBJ","CB","?"))</f>
        <v/>
      </c>
      <c r="I2686" s="24" t="str">
        <f aca="false">IF(OR(E2686="",E2686="!!!",F2686="NEW"),"",INDEX(B9:B$2678,-1+SUMPRODUCT(MAX(ROW(E9:E$2678)*(E2686=E9:E$2678)))))</f>
        <v/>
      </c>
      <c r="J2686" s="24" t="str">
        <f aca="true">IF(OR(E2686="",E2686="!!!",F2686="NEW"),"",COUNTBLANK(OFFSET(A$1,,,SUMPRODUCT(MAX(ROW(E$2:E2686)*(E2686=E$2:E2686)))))-COUNTBLANK(OFFSET(A$1,,,SUMPRODUCT(MAX(ROW(E$1:E2685)*(E2=E$1:E2685))))))</f>
        <v/>
      </c>
      <c r="K2686" s="24" t="str">
        <f aca="false">IF(OR(E2686="",E2686="!!!",F2686="NEW"),"",INDEX(J$1:J2685,SUMPRODUCT(MAX(ROW(E$1:E2685)*(E2686=E$1:E2685)))))</f>
        <v/>
      </c>
      <c r="L2686" s="31"/>
    </row>
    <row r="2687" customFormat="false" ht="15" hidden="false" customHeight="false" outlineLevel="0" collapsed="false">
      <c r="A2687" s="20"/>
    </row>
    <row r="2688" customFormat="false" ht="15" hidden="false" customHeight="false" outlineLevel="0" collapsed="false">
      <c r="A2688" s="20" t="s">
        <v>1301</v>
      </c>
      <c r="E2688" s="23" t="str">
        <f aca="false">IF(D2688="?OLD","!!!","")</f>
        <v/>
      </c>
      <c r="F2688" s="25" t="str">
        <f aca="false">IF(OR(E2688="",E2688="!!!"),"",IF(NOT(ISNA(VLOOKUP(E2688,E$1:E2687,1,FALSE()))),"OLD",IF(AND(E2688&lt;&gt;"",E2688&lt;&gt;"!!!"),"NEW","")))</f>
        <v/>
      </c>
      <c r="G2688" s="26" t="str">
        <f aca="false">IF(OR(E2688="",E2688="!!!"),"",IF(OR(J2688=0,AND(J2688=1,K2688=1),AND(J2688=1,I2688="SBJ"),AND(J2688=1,I2688=0)),"?IN_FOCUS",IF(J2688&lt;=2,"?ACTIVATED",IF(J2688&lt;&gt;"","?FAMILIAR",IF(F2688="NEW",IF(ISNA(VLOOKUP(E2688,#REF!,1,FALSE())),"?TYPE_IDENTIFIABLE","?REFERENTIAL"),"_")))))</f>
        <v/>
      </c>
      <c r="H2688" s="27" t="str">
        <f aca="false">IF(J2688&lt;&gt;1,"",IF(I2688="SBJ","CB","?"))</f>
        <v/>
      </c>
      <c r="I2688" s="24" t="str">
        <f aca="false">IF(OR(E2688="",E2688="!!!",F2688="NEW"),"",INDEX(B2:B$2687,-1+SUMPRODUCT(MAX(ROW(E2:E$2687)*(E2688=E2:E$2687)))))</f>
        <v/>
      </c>
      <c r="J2688" s="24" t="str">
        <f aca="true">IF(OR(E2688="",E2688="!!!",F2688="NEW"),"",COUNTBLANK(OFFSET(A$1,,,SUMPRODUCT(MAX(ROW(E$2:E2688)*(E2688=E$2:E2688)))))-COUNTBLANK(OFFSET(A$1,,,SUMPRODUCT(MAX(ROW(E$1:E2687)*(E2=E$1:E2687))))))</f>
        <v/>
      </c>
      <c r="K2688" s="24" t="str">
        <f aca="false">IF(OR(E2688="",E2688="!!!",F2688="NEW"),"",INDEX(J$1:J2687,SUMPRODUCT(MAX(ROW(E$1:E2687)*(E2688=E$1:E2687)))))</f>
        <v/>
      </c>
      <c r="L2688" s="31"/>
    </row>
    <row r="2689" customFormat="false" ht="15" hidden="false" customHeight="false" outlineLevel="0" collapsed="false">
      <c r="A2689" s="20" t="s">
        <v>1998</v>
      </c>
    </row>
    <row r="2690" customFormat="false" ht="15" hidden="false" customHeight="false" outlineLevel="0" collapsed="false">
      <c r="A2690" s="20" t="s">
        <v>607</v>
      </c>
      <c r="E2690" s="23" t="str">
        <f aca="false">IF(D2690="?OLD","!!!","")</f>
        <v/>
      </c>
      <c r="F2690" s="25" t="str">
        <f aca="false">IF(OR(E2690="",E2690="!!!"),"",IF(NOT(ISNA(VLOOKUP(E2690,E$1:E2689,1,FALSE()))),"OLD",IF(AND(E2690&lt;&gt;"",E2690&lt;&gt;"!!!"),"NEW","")))</f>
        <v/>
      </c>
      <c r="G2690" s="26" t="str">
        <f aca="false">IF(OR(E2690="",E2690="!!!"),"",IF(OR(J2690=0,AND(J2690=1,K2690=1),AND(J2690=1,I2690="SBJ"),AND(J2690=1,I2690=0)),"?IN_FOCUS",IF(J2690&lt;=2,"?ACTIVATED",IF(J2690&lt;&gt;"","?FAMILIAR",IF(F2690="NEW",IF(ISNA(VLOOKUP(E2690,#REF!,1,FALSE())),"?TYPE_IDENTIFIABLE","?REFERENTIAL"),"_")))))</f>
        <v/>
      </c>
      <c r="H2690" s="27" t="str">
        <f aca="false">IF(J2690&lt;&gt;1,"",IF(I2690="SBJ","CB","?"))</f>
        <v/>
      </c>
      <c r="I2690" s="24" t="str">
        <f aca="false">IF(OR(E2690="",E2690="!!!",F2690="NEW"),"",INDEX(B2:B$2689,-1+SUMPRODUCT(MAX(ROW(E2:E$2689)*(E2690=E2:E$2689)))))</f>
        <v/>
      </c>
      <c r="J2690" s="24" t="str">
        <f aca="true">IF(OR(E2690="",E2690="!!!",F2690="NEW"),"",COUNTBLANK(OFFSET(A$1,,,SUMPRODUCT(MAX(ROW(E$2:E2690)*(E2690=E$2:E2690)))))-COUNTBLANK(OFFSET(A$1,,,SUMPRODUCT(MAX(ROW(E$1:E2689)*(E2=E$1:E2689))))))</f>
        <v/>
      </c>
      <c r="K2690" s="24" t="str">
        <f aca="false">IF(OR(E2690="",E2690="!!!",F2690="NEW"),"",INDEX(J$1:J2689,SUMPRODUCT(MAX(ROW(E$1:E2689)*(E2690=E$1:E2689)))))</f>
        <v/>
      </c>
      <c r="L2690" s="31"/>
    </row>
    <row r="2691" customFormat="false" ht="15" hidden="false" customHeight="false" outlineLevel="0" collapsed="false">
      <c r="A2691" s="20" t="s">
        <v>1342</v>
      </c>
      <c r="B2691" s="22" t="s">
        <v>1058</v>
      </c>
      <c r="C2691" s="22" t="s">
        <v>1202</v>
      </c>
      <c r="E2691" s="23" t="str">
        <f aca="false">IF(D2691="?OLD","!!!","")</f>
        <v/>
      </c>
      <c r="F2691" s="25" t="str">
        <f aca="false">IF(OR(E2691="",E2691="!!!"),"",IF(NOT(ISNA(VLOOKUP(E2691,E$1:E2690,1,FALSE()))),"OLD",IF(AND(E2691&lt;&gt;"",E2691&lt;&gt;"!!!"),"NEW","")))</f>
        <v/>
      </c>
      <c r="G2691" s="26" t="str">
        <f aca="false">IF(OR(E2691="",E2691="!!!"),"",IF(OR(J2691=0,AND(J2691=1,K2691=1),AND(J2691=1,I2691="SBJ"),AND(J2691=1,I2691=0)),"?IN_FOCUS",IF(J2691&lt;=2,"?ACTIVATED",IF(J2691&lt;&gt;"","?FAMILIAR",IF(F2691="NEW",IF(ISNA(VLOOKUP(E2691,#REF!,1,FALSE())),"?TYPE_IDENTIFIABLE","?REFERENTIAL"),"_")))))</f>
        <v/>
      </c>
      <c r="H2691" s="27" t="str">
        <f aca="false">IF(J2691&lt;&gt;1,"",IF(I2691="SBJ","CB","?"))</f>
        <v/>
      </c>
      <c r="I2691" s="24" t="str">
        <f aca="false">IF(OR(E2691="",E2691="!!!",F2691="NEW"),"",INDEX(B3:B$2689,-1+SUMPRODUCT(MAX(ROW(E3:E$2689)*(E2691=E3:E$2689)))))</f>
        <v/>
      </c>
      <c r="J2691" s="24" t="str">
        <f aca="true">IF(OR(E2691="",E2691="!!!",F2691="NEW"),"",COUNTBLANK(OFFSET(A$1,,,SUMPRODUCT(MAX(ROW(E$2:E2691)*(E2691=E$2:E2691)))))-COUNTBLANK(OFFSET(A$1,,,SUMPRODUCT(MAX(ROW(E$1:E2690)*(E2=E$1:E2690))))))</f>
        <v/>
      </c>
      <c r="K2691" s="24" t="str">
        <f aca="false">IF(OR(E2691="",E2691="!!!",F2691="NEW"),"",INDEX(J$1:J2690,SUMPRODUCT(MAX(ROW(E$1:E2690)*(E2691=E$1:E2690)))))</f>
        <v/>
      </c>
      <c r="L2691" s="31"/>
    </row>
    <row r="2692" customFormat="false" ht="15" hidden="false" customHeight="false" outlineLevel="0" collapsed="false">
      <c r="A2692" s="20" t="s">
        <v>1092</v>
      </c>
      <c r="E2692" s="23" t="str">
        <f aca="false">IF(D2692="?OLD","!!!","")</f>
        <v/>
      </c>
      <c r="F2692" s="25" t="str">
        <f aca="false">IF(OR(E2692="",E2692="!!!"),"",IF(NOT(ISNA(VLOOKUP(E2692,E$1:E2691,1,FALSE()))),"OLD",IF(AND(E2692&lt;&gt;"",E2692&lt;&gt;"!!!"),"NEW","")))</f>
        <v/>
      </c>
      <c r="G2692" s="26" t="str">
        <f aca="false">IF(OR(E2692="",E2692="!!!"),"",IF(OR(J2692=0,AND(J2692=1,K2692=1),AND(J2692=1,I2692="SBJ"),AND(J2692=1,I2692=0)),"?IN_FOCUS",IF(J2692&lt;=2,"?ACTIVATED",IF(J2692&lt;&gt;"","?FAMILIAR",IF(F2692="NEW",IF(ISNA(VLOOKUP(E2692,#REF!,1,FALSE())),"?TYPE_IDENTIFIABLE","?REFERENTIAL"),"_")))))</f>
        <v/>
      </c>
      <c r="H2692" s="27" t="str">
        <f aca="false">IF(J2692&lt;&gt;1,"",IF(I2692="SBJ","CB","?"))</f>
        <v/>
      </c>
      <c r="I2692" s="24" t="str">
        <f aca="false">IF(OR(E2692="",E2692="!!!",F2692="NEW"),"",INDEX(B4:B$2689,-1+SUMPRODUCT(MAX(ROW(E4:E$2689)*(E2692=E4:E$2689)))))</f>
        <v/>
      </c>
      <c r="J2692" s="24" t="str">
        <f aca="true">IF(OR(E2692="",E2692="!!!",F2692="NEW"),"",COUNTBLANK(OFFSET(A$1,,,SUMPRODUCT(MAX(ROW(E$2:E2692)*(E2692=E$2:E2692)))))-COUNTBLANK(OFFSET(A$1,,,SUMPRODUCT(MAX(ROW(E$1:E2691)*(E2=E$1:E2691))))))</f>
        <v/>
      </c>
      <c r="K2692" s="24" t="str">
        <f aca="false">IF(OR(E2692="",E2692="!!!",F2692="NEW"),"",INDEX(J$1:J2691,SUMPRODUCT(MAX(ROW(E$1:E2691)*(E2692=E$1:E2691)))))</f>
        <v/>
      </c>
      <c r="L2692" s="31"/>
    </row>
    <row r="2693" customFormat="false" ht="15" hidden="false" customHeight="false" outlineLevel="0" collapsed="false">
      <c r="A2693" s="20" t="s">
        <v>1080</v>
      </c>
      <c r="B2693" s="22" t="s">
        <v>1058</v>
      </c>
      <c r="C2693" s="22" t="s">
        <v>1082</v>
      </c>
      <c r="D2693" s="22" t="s">
        <v>1060</v>
      </c>
      <c r="E2693" s="23" t="str">
        <f aca="false">IF(D2693="?OLD","!!!","")</f>
        <v>!!!</v>
      </c>
      <c r="F2693" s="25" t="str">
        <f aca="false">IF(OR(E2693="",E2693="!!!"),"",IF(NOT(ISNA(VLOOKUP(E2693,E$1:E2692,1,FALSE()))),"OLD",IF(AND(E2693&lt;&gt;"",E2693&lt;&gt;"!!!"),"NEW","")))</f>
        <v/>
      </c>
      <c r="G2693" s="26" t="str">
        <f aca="false">IF(OR(E2693="",E2693="!!!"),"",IF(OR(J2693=0,AND(J2693=1,K2693=1),AND(J2693=1,I2693="SBJ"),AND(J2693=1,I2693=0)),"?IN_FOCUS",IF(J2693&lt;=2,"?ACTIVATED",IF(J2693&lt;&gt;"","?FAMILIAR",IF(F2693="NEW",IF(ISNA(VLOOKUP(E2693,#REF!,1,FALSE())),"?TYPE_IDENTIFIABLE","?REFERENTIAL"),"_")))))</f>
        <v/>
      </c>
      <c r="H2693" s="27" t="str">
        <f aca="false">IF(J2693&lt;&gt;1,"",IF(I2693="SBJ","CB","?"))</f>
        <v/>
      </c>
      <c r="I2693" s="24" t="str">
        <f aca="false">IF(OR(E2693="",E2693="!!!",F2693="NEW"),"",INDEX(B5:B$2689,-1+SUMPRODUCT(MAX(ROW(E5:E$2689)*(E2693=E5:E$2689)))))</f>
        <v/>
      </c>
      <c r="J2693" s="24" t="str">
        <f aca="true">IF(OR(E2693="",E2693="!!!",F2693="NEW"),"",COUNTBLANK(OFFSET(A$1,,,SUMPRODUCT(MAX(ROW(E$2:E2693)*(E2693=E$2:E2693)))))-COUNTBLANK(OFFSET(A$1,,,SUMPRODUCT(MAX(ROW(E$1:E2692)*(E2=E$1:E2692))))))</f>
        <v/>
      </c>
      <c r="K2693" s="24" t="str">
        <f aca="false">IF(OR(E2693="",E2693="!!!",F2693="NEW"),"",INDEX(J$1:J2692,SUMPRODUCT(MAX(ROW(E$1:E2692)*(E2693=E$1:E2692)))))</f>
        <v/>
      </c>
      <c r="L2693" s="31"/>
    </row>
    <row r="2694" customFormat="false" ht="15" hidden="false" customHeight="false" outlineLevel="0" collapsed="false">
      <c r="A2694" s="20" t="s">
        <v>1307</v>
      </c>
      <c r="E2694" s="23" t="str">
        <f aca="false">IF(D2694="?OLD","!!!","")</f>
        <v/>
      </c>
      <c r="F2694" s="25" t="str">
        <f aca="false">IF(OR(E2694="",E2694="!!!"),"",IF(NOT(ISNA(VLOOKUP(E2694,E$1:E2693,1,FALSE()))),"OLD",IF(AND(E2694&lt;&gt;"",E2694&lt;&gt;"!!!"),"NEW","")))</f>
        <v/>
      </c>
      <c r="G2694" s="26" t="str">
        <f aca="false">IF(OR(E2694="",E2694="!!!"),"",IF(OR(J2694=0,AND(J2694=1,K2694=1),AND(J2694=1,I2694="SBJ"),AND(J2694=1,I2694=0)),"?IN_FOCUS",IF(J2694&lt;=2,"?ACTIVATED",IF(J2694&lt;&gt;"","?FAMILIAR",IF(F2694="NEW",IF(ISNA(VLOOKUP(E2694,#REF!,1,FALSE())),"?TYPE_IDENTIFIABLE","?REFERENTIAL"),"_")))))</f>
        <v/>
      </c>
      <c r="H2694" s="27" t="str">
        <f aca="false">IF(J2694&lt;&gt;1,"",IF(I2694="SBJ","CB","?"))</f>
        <v/>
      </c>
      <c r="I2694" s="24" t="str">
        <f aca="false">IF(OR(E2694="",E2694="!!!",F2694="NEW"),"",INDEX(B6:B$2689,-1+SUMPRODUCT(MAX(ROW(E6:E$2689)*(E2694=E6:E$2689)))))</f>
        <v/>
      </c>
      <c r="J2694" s="24" t="str">
        <f aca="true">IF(OR(E2694="",E2694="!!!",F2694="NEW"),"",COUNTBLANK(OFFSET(A$1,,,SUMPRODUCT(MAX(ROW(E$2:E2694)*(E2694=E$2:E2694)))))-COUNTBLANK(OFFSET(A$1,,,SUMPRODUCT(MAX(ROW(E$1:E2693)*(E2=E$1:E2693))))))</f>
        <v/>
      </c>
      <c r="K2694" s="24" t="str">
        <f aca="false">IF(OR(E2694="",E2694="!!!",F2694="NEW"),"",INDEX(J$1:J2693,SUMPRODUCT(MAX(ROW(E$1:E2693)*(E2694=E$1:E2693)))))</f>
        <v/>
      </c>
      <c r="L2694" s="31"/>
    </row>
    <row r="2695" customFormat="false" ht="15" hidden="false" customHeight="false" outlineLevel="0" collapsed="false">
      <c r="A2695" s="20"/>
    </row>
    <row r="2696" customFormat="false" ht="15" hidden="false" customHeight="false" outlineLevel="0" collapsed="false">
      <c r="A2696" s="20" t="s">
        <v>1301</v>
      </c>
      <c r="E2696" s="23" t="str">
        <f aca="false">IF(D2696="?OLD","!!!","")</f>
        <v/>
      </c>
      <c r="F2696" s="25" t="str">
        <f aca="false">IF(OR(E2696="",E2696="!!!"),"",IF(NOT(ISNA(VLOOKUP(E2696,E$1:E2695,1,FALSE()))),"OLD",IF(AND(E2696&lt;&gt;"",E2696&lt;&gt;"!!!"),"NEW","")))</f>
        <v/>
      </c>
      <c r="G2696" s="26" t="str">
        <f aca="false">IF(OR(E2696="",E2696="!!!"),"",IF(OR(J2696=0,AND(J2696=1,K2696=1),AND(J2696=1,I2696="SBJ"),AND(J2696=1,I2696=0)),"?IN_FOCUS",IF(J2696&lt;=2,"?ACTIVATED",IF(J2696&lt;&gt;"","?FAMILIAR",IF(F2696="NEW",IF(ISNA(VLOOKUP(E2696,#REF!,1,FALSE())),"?TYPE_IDENTIFIABLE","?REFERENTIAL"),"_")))))</f>
        <v/>
      </c>
      <c r="H2696" s="27" t="str">
        <f aca="false">IF(J2696&lt;&gt;1,"",IF(I2696="SBJ","CB","?"))</f>
        <v/>
      </c>
      <c r="I2696" s="24" t="str">
        <f aca="false">IF(OR(E2696="",E2696="!!!",F2696="NEW"),"",INDEX(B2:B$2695,-1+SUMPRODUCT(MAX(ROW(E2:E$2695)*(E2696=E2:E$2695)))))</f>
        <v/>
      </c>
      <c r="J2696" s="24" t="str">
        <f aca="true">IF(OR(E2696="",E2696="!!!",F2696="NEW"),"",COUNTBLANK(OFFSET(A$1,,,SUMPRODUCT(MAX(ROW(E$2:E2696)*(E2696=E$2:E2696)))))-COUNTBLANK(OFFSET(A$1,,,SUMPRODUCT(MAX(ROW(E$1:E2695)*(E2=E$1:E2695))))))</f>
        <v/>
      </c>
      <c r="K2696" s="24" t="str">
        <f aca="false">IF(OR(E2696="",E2696="!!!",F2696="NEW"),"",INDEX(J$1:J2695,SUMPRODUCT(MAX(ROW(E$1:E2695)*(E2696=E$1:E2695)))))</f>
        <v/>
      </c>
      <c r="L2696" s="31"/>
    </row>
    <row r="2697" customFormat="false" ht="15" hidden="false" customHeight="false" outlineLevel="0" collapsed="false">
      <c r="A2697" s="20" t="s">
        <v>1999</v>
      </c>
    </row>
    <row r="2698" customFormat="false" ht="15" hidden="false" customHeight="false" outlineLevel="0" collapsed="false">
      <c r="A2698" s="20" t="s">
        <v>1342</v>
      </c>
      <c r="B2698" s="22" t="s">
        <v>1058</v>
      </c>
      <c r="C2698" s="22" t="s">
        <v>1202</v>
      </c>
      <c r="E2698" s="23" t="str">
        <f aca="false">IF(D2698="?OLD","!!!","")</f>
        <v/>
      </c>
      <c r="F2698" s="25" t="str">
        <f aca="false">IF(OR(E2698="",E2698="!!!"),"",IF(NOT(ISNA(VLOOKUP(E2698,E$1:E2697,1,FALSE()))),"OLD",IF(AND(E2698&lt;&gt;"",E2698&lt;&gt;"!!!"),"NEW","")))</f>
        <v/>
      </c>
      <c r="G2698" s="26" t="str">
        <f aca="false">IF(OR(E2698="",E2698="!!!"),"",IF(OR(J2698=0,AND(J2698=1,K2698=1),AND(J2698=1,I2698="SBJ"),AND(J2698=1,I2698=0)),"?IN_FOCUS",IF(J2698&lt;=2,"?ACTIVATED",IF(J2698&lt;&gt;"","?FAMILIAR",IF(F2698="NEW",IF(ISNA(VLOOKUP(E2698,#REF!,1,FALSE())),"?TYPE_IDENTIFIABLE","?REFERENTIAL"),"_")))))</f>
        <v/>
      </c>
      <c r="H2698" s="27" t="str">
        <f aca="false">IF(J2698&lt;&gt;1,"",IF(I2698="SBJ","CB","?"))</f>
        <v/>
      </c>
      <c r="I2698" s="24" t="str">
        <f aca="false">IF(OR(E2698="",E2698="!!!",F2698="NEW"),"",INDEX(B2:B$2697,-1+SUMPRODUCT(MAX(ROW(E2:E$2697)*(E2698=E2:E$2697)))))</f>
        <v/>
      </c>
      <c r="J2698" s="24" t="str">
        <f aca="true">IF(OR(E2698="",E2698="!!!",F2698="NEW"),"",COUNTBLANK(OFFSET(A$1,,,SUMPRODUCT(MAX(ROW(E$2:E2698)*(E2698=E$2:E2698)))))-COUNTBLANK(OFFSET(A$1,,,SUMPRODUCT(MAX(ROW(E$1:E2697)*(E2=E$1:E2697))))))</f>
        <v/>
      </c>
      <c r="K2698" s="24" t="str">
        <f aca="false">IF(OR(E2698="",E2698="!!!",F2698="NEW"),"",INDEX(J$1:J2697,SUMPRODUCT(MAX(ROW(E$1:E2697)*(E2698=E$1:E2697)))))</f>
        <v/>
      </c>
      <c r="L2698" s="31"/>
    </row>
    <row r="2699" customFormat="false" ht="15" hidden="false" customHeight="false" outlineLevel="0" collapsed="false">
      <c r="A2699" s="20" t="s">
        <v>1076</v>
      </c>
      <c r="E2699" s="23" t="str">
        <f aca="false">IF(D2699="?OLD","!!!","")</f>
        <v/>
      </c>
      <c r="F2699" s="25" t="str">
        <f aca="false">IF(OR(E2699="",E2699="!!!"),"",IF(NOT(ISNA(VLOOKUP(E2699,E$1:E2698,1,FALSE()))),"OLD",IF(AND(E2699&lt;&gt;"",E2699&lt;&gt;"!!!"),"NEW","")))</f>
        <v/>
      </c>
      <c r="G2699" s="26" t="str">
        <f aca="false">IF(OR(E2699="",E2699="!!!"),"",IF(OR(J2699=0,AND(J2699=1,K2699=1),AND(J2699=1,I2699="SBJ"),AND(J2699=1,I2699=0)),"?IN_FOCUS",IF(J2699&lt;=2,"?ACTIVATED",IF(J2699&lt;&gt;"","?FAMILIAR",IF(F2699="NEW",IF(ISNA(VLOOKUP(E2699,#REF!,1,FALSE())),"?TYPE_IDENTIFIABLE","?REFERENTIAL"),"_")))))</f>
        <v/>
      </c>
      <c r="H2699" s="27" t="str">
        <f aca="false">IF(J2699&lt;&gt;1,"",IF(I2699="SBJ","CB","?"))</f>
        <v/>
      </c>
      <c r="I2699" s="24" t="str">
        <f aca="false">IF(OR(E2699="",E2699="!!!",F2699="NEW"),"",INDEX(B3:B$2697,-1+SUMPRODUCT(MAX(ROW(E3:E$2697)*(E2699=E3:E$2697)))))</f>
        <v/>
      </c>
      <c r="J2699" s="24" t="str">
        <f aca="true">IF(OR(E2699="",E2699="!!!",F2699="NEW"),"",COUNTBLANK(OFFSET(A$1,,,SUMPRODUCT(MAX(ROW(E$2:E2699)*(E2699=E$2:E2699)))))-COUNTBLANK(OFFSET(A$1,,,SUMPRODUCT(MAX(ROW(E$1:E2698)*(E2=E$1:E2698))))))</f>
        <v/>
      </c>
      <c r="K2699" s="24" t="str">
        <f aca="false">IF(OR(E2699="",E2699="!!!",F2699="NEW"),"",INDEX(J$1:J2698,SUMPRODUCT(MAX(ROW(E$1:E2698)*(E2699=E$1:E2698)))))</f>
        <v/>
      </c>
      <c r="L2699" s="31"/>
    </row>
    <row r="2700" customFormat="false" ht="15" hidden="false" customHeight="false" outlineLevel="0" collapsed="false">
      <c r="A2700" s="20" t="s">
        <v>1173</v>
      </c>
      <c r="E2700" s="23" t="str">
        <f aca="false">IF(D2700="?OLD","!!!","")</f>
        <v/>
      </c>
      <c r="F2700" s="25" t="str">
        <f aca="false">IF(OR(E2700="",E2700="!!!"),"",IF(NOT(ISNA(VLOOKUP(E2700,E$1:E2699,1,FALSE()))),"OLD",IF(AND(E2700&lt;&gt;"",E2700&lt;&gt;"!!!"),"NEW","")))</f>
        <v/>
      </c>
      <c r="G2700" s="26" t="str">
        <f aca="false">IF(OR(E2700="",E2700="!!!"),"",IF(OR(J2700=0,AND(J2700=1,K2700=1),AND(J2700=1,I2700="SBJ"),AND(J2700=1,I2700=0)),"?IN_FOCUS",IF(J2700&lt;=2,"?ACTIVATED",IF(J2700&lt;&gt;"","?FAMILIAR",IF(F2700="NEW",IF(ISNA(VLOOKUP(E2700,#REF!,1,FALSE())),"?TYPE_IDENTIFIABLE","?REFERENTIAL"),"_")))))</f>
        <v/>
      </c>
      <c r="H2700" s="27" t="str">
        <f aca="false">IF(J2700&lt;&gt;1,"",IF(I2700="SBJ","CB","?"))</f>
        <v/>
      </c>
      <c r="I2700" s="24" t="str">
        <f aca="false">IF(OR(E2700="",E2700="!!!",F2700="NEW"),"",INDEX(B4:B$2697,-1+SUMPRODUCT(MAX(ROW(E4:E$2697)*(E2700=E4:E$2697)))))</f>
        <v/>
      </c>
      <c r="J2700" s="24" t="str">
        <f aca="true">IF(OR(E2700="",E2700="!!!",F2700="NEW"),"",COUNTBLANK(OFFSET(A$1,,,SUMPRODUCT(MAX(ROW(E$2:E2700)*(E2700=E$2:E2700)))))-COUNTBLANK(OFFSET(A$1,,,SUMPRODUCT(MAX(ROW(E$1:E2699)*(E2=E$1:E2699))))))</f>
        <v/>
      </c>
      <c r="K2700" s="24" t="str">
        <f aca="false">IF(OR(E2700="",E2700="!!!",F2700="NEW"),"",INDEX(J$1:J2699,SUMPRODUCT(MAX(ROW(E$1:E2699)*(E2700=E$1:E2699)))))</f>
        <v/>
      </c>
      <c r="L2700" s="31"/>
    </row>
    <row r="2701" customFormat="false" ht="15" hidden="false" customHeight="false" outlineLevel="0" collapsed="false">
      <c r="A2701" s="20" t="s">
        <v>1450</v>
      </c>
      <c r="B2701" s="22" t="s">
        <v>1067</v>
      </c>
      <c r="C2701" s="22" t="s">
        <v>1160</v>
      </c>
      <c r="E2701" s="23" t="str">
        <f aca="false">IF(D2701="?OLD","!!!","")</f>
        <v/>
      </c>
      <c r="F2701" s="25" t="str">
        <f aca="false">IF(OR(E2701="",E2701="!!!"),"",IF(NOT(ISNA(VLOOKUP(E2701,E$1:E2700,1,FALSE()))),"OLD",IF(AND(E2701&lt;&gt;"",E2701&lt;&gt;"!!!"),"NEW","")))</f>
        <v/>
      </c>
      <c r="G2701" s="26" t="str">
        <f aca="false">IF(OR(E2701="",E2701="!!!"),"",IF(OR(J2701=0,AND(J2701=1,K2701=1),AND(J2701=1,I2701="SBJ"),AND(J2701=1,I2701=0)),"?IN_FOCUS",IF(J2701&lt;=2,"?ACTIVATED",IF(J2701&lt;&gt;"","?FAMILIAR",IF(F2701="NEW",IF(ISNA(VLOOKUP(E2701,#REF!,1,FALSE())),"?TYPE_IDENTIFIABLE","?REFERENTIAL"),"_")))))</f>
        <v/>
      </c>
      <c r="H2701" s="27" t="str">
        <f aca="false">IF(J2701&lt;&gt;1,"",IF(I2701="SBJ","CB","?"))</f>
        <v/>
      </c>
      <c r="I2701" s="24" t="str">
        <f aca="false">IF(OR(E2701="",E2701="!!!",F2701="NEW"),"",INDEX(B5:B$2697,-1+SUMPRODUCT(MAX(ROW(E5:E$2697)*(E2701=E5:E$2697)))))</f>
        <v/>
      </c>
      <c r="J2701" s="24" t="str">
        <f aca="true">IF(OR(E2701="",E2701="!!!",F2701="NEW"),"",COUNTBLANK(OFFSET(A$1,,,SUMPRODUCT(MAX(ROW(E$2:E2701)*(E2701=E$2:E2701)))))-COUNTBLANK(OFFSET(A$1,,,SUMPRODUCT(MAX(ROW(E$1:E2700)*(E2=E$1:E2700))))))</f>
        <v/>
      </c>
      <c r="K2701" s="24" t="str">
        <f aca="false">IF(OR(E2701="",E2701="!!!",F2701="NEW"),"",INDEX(J$1:J2700,SUMPRODUCT(MAX(ROW(E$1:E2700)*(E2701=E$1:E2700)))))</f>
        <v/>
      </c>
      <c r="L2701" s="31"/>
    </row>
    <row r="2702" customFormat="false" ht="15" hidden="false" customHeight="false" outlineLevel="0" collapsed="false">
      <c r="A2702" s="20" t="s">
        <v>1071</v>
      </c>
      <c r="E2702" s="23" t="str">
        <f aca="false">IF(D2702="?OLD","!!!","")</f>
        <v/>
      </c>
      <c r="F2702" s="25" t="str">
        <f aca="false">IF(OR(E2702="",E2702="!!!"),"",IF(NOT(ISNA(VLOOKUP(E2702,E$1:E2701,1,FALSE()))),"OLD",IF(AND(E2702&lt;&gt;"",E2702&lt;&gt;"!!!"),"NEW","")))</f>
        <v/>
      </c>
      <c r="G2702" s="26" t="str">
        <f aca="false">IF(OR(E2702="",E2702="!!!"),"",IF(OR(J2702=0,AND(J2702=1,K2702=1),AND(J2702=1,I2702="SBJ"),AND(J2702=1,I2702=0)),"?IN_FOCUS",IF(J2702&lt;=2,"?ACTIVATED",IF(J2702&lt;&gt;"","?FAMILIAR",IF(F2702="NEW",IF(ISNA(VLOOKUP(E2702,#REF!,1,FALSE())),"?TYPE_IDENTIFIABLE","?REFERENTIAL"),"_")))))</f>
        <v/>
      </c>
      <c r="H2702" s="27" t="str">
        <f aca="false">IF(J2702&lt;&gt;1,"",IF(I2702="SBJ","CB","?"))</f>
        <v/>
      </c>
      <c r="I2702" s="24" t="str">
        <f aca="false">IF(OR(E2702="",E2702="!!!",F2702="NEW"),"",INDEX(B6:B$2697,-1+SUMPRODUCT(MAX(ROW(E6:E$2697)*(E2702=E6:E$2697)))))</f>
        <v/>
      </c>
      <c r="J2702" s="24" t="str">
        <f aca="true">IF(OR(E2702="",E2702="!!!",F2702="NEW"),"",COUNTBLANK(OFFSET(A$1,,,SUMPRODUCT(MAX(ROW(E$2:E2702)*(E2702=E$2:E2702)))))-COUNTBLANK(OFFSET(A$1,,,SUMPRODUCT(MAX(ROW(E$1:E2701)*(E2=E$1:E2701))))))</f>
        <v/>
      </c>
      <c r="K2702" s="24" t="str">
        <f aca="false">IF(OR(E2702="",E2702="!!!",F2702="NEW"),"",INDEX(J$1:J2701,SUMPRODUCT(MAX(ROW(E$1:E2701)*(E2702=E$1:E2701)))))</f>
        <v/>
      </c>
      <c r="L2702" s="31"/>
    </row>
    <row r="2703" customFormat="false" ht="15" hidden="false" customHeight="false" outlineLevel="0" collapsed="false">
      <c r="A2703" s="20" t="s">
        <v>2000</v>
      </c>
      <c r="B2703" s="22" t="s">
        <v>1073</v>
      </c>
      <c r="C2703" s="22" t="s">
        <v>1059</v>
      </c>
      <c r="D2703" s="22" t="s">
        <v>1060</v>
      </c>
      <c r="E2703" s="23" t="str">
        <f aca="false">IF(D2703="?OLD","!!!","")</f>
        <v>!!!</v>
      </c>
      <c r="F2703" s="25" t="str">
        <f aca="false">IF(OR(E2703="",E2703="!!!"),"",IF(NOT(ISNA(VLOOKUP(E2703,E$1:E2702,1,FALSE()))),"OLD",IF(AND(E2703&lt;&gt;"",E2703&lt;&gt;"!!!"),"NEW","")))</f>
        <v/>
      </c>
      <c r="G2703" s="26" t="str">
        <f aca="false">IF(OR(E2703="",E2703="!!!"),"",IF(OR(J2703=0,AND(J2703=1,K2703=1),AND(J2703=1,I2703="SBJ"),AND(J2703=1,I2703=0)),"?IN_FOCUS",IF(J2703&lt;=2,"?ACTIVATED",IF(J2703&lt;&gt;"","?FAMILIAR",IF(F2703="NEW",IF(ISNA(VLOOKUP(E2703,#REF!,1,FALSE())),"?TYPE_IDENTIFIABLE","?REFERENTIAL"),"_")))))</f>
        <v/>
      </c>
      <c r="H2703" s="27" t="str">
        <f aca="false">IF(J2703&lt;&gt;1,"",IF(I2703="SBJ","CB","?"))</f>
        <v/>
      </c>
      <c r="I2703" s="24" t="str">
        <f aca="false">IF(OR(E2703="",E2703="!!!",F2703="NEW"),"",INDEX(B7:B$2697,-1+SUMPRODUCT(MAX(ROW(E7:E$2697)*(E2703=E7:E$2697)))))</f>
        <v/>
      </c>
      <c r="J2703" s="24" t="str">
        <f aca="true">IF(OR(E2703="",E2703="!!!",F2703="NEW"),"",COUNTBLANK(OFFSET(A$1,,,SUMPRODUCT(MAX(ROW(E$2:E2703)*(E2703=E$2:E2703)))))-COUNTBLANK(OFFSET(A$1,,,SUMPRODUCT(MAX(ROW(E$1:E2702)*(E2=E$1:E2702))))))</f>
        <v/>
      </c>
      <c r="K2703" s="24" t="str">
        <f aca="false">IF(OR(E2703="",E2703="!!!",F2703="NEW"),"",INDEX(J$1:J2702,SUMPRODUCT(MAX(ROW(E$1:E2702)*(E2703=E$1:E2702)))))</f>
        <v/>
      </c>
      <c r="L2703" s="31"/>
    </row>
    <row r="2704" customFormat="false" ht="15" hidden="false" customHeight="false" outlineLevel="0" collapsed="false">
      <c r="A2704" s="20" t="s">
        <v>1076</v>
      </c>
      <c r="E2704" s="23" t="str">
        <f aca="false">IF(D2704="?OLD","!!!","")</f>
        <v/>
      </c>
      <c r="F2704" s="25" t="str">
        <f aca="false">IF(OR(E2704="",E2704="!!!"),"",IF(NOT(ISNA(VLOOKUP(E2704,E$1:E2703,1,FALSE()))),"OLD",IF(AND(E2704&lt;&gt;"",E2704&lt;&gt;"!!!"),"NEW","")))</f>
        <v/>
      </c>
      <c r="G2704" s="26" t="str">
        <f aca="false">IF(OR(E2704="",E2704="!!!"),"",IF(OR(J2704=0,AND(J2704=1,K2704=1),AND(J2704=1,I2704="SBJ"),AND(J2704=1,I2704=0)),"?IN_FOCUS",IF(J2704&lt;=2,"?ACTIVATED",IF(J2704&lt;&gt;"","?FAMILIAR",IF(F2704="NEW",IF(ISNA(VLOOKUP(E2704,#REF!,1,FALSE())),"?TYPE_IDENTIFIABLE","?REFERENTIAL"),"_")))))</f>
        <v/>
      </c>
      <c r="H2704" s="27" t="str">
        <f aca="false">IF(J2704&lt;&gt;1,"",IF(I2704="SBJ","CB","?"))</f>
        <v/>
      </c>
      <c r="I2704" s="24" t="str">
        <f aca="false">IF(OR(E2704="",E2704="!!!",F2704="NEW"),"",INDEX(B8:B$2697,-1+SUMPRODUCT(MAX(ROW(E8:E$2697)*(E2704=E8:E$2697)))))</f>
        <v/>
      </c>
      <c r="J2704" s="24" t="str">
        <f aca="true">IF(OR(E2704="",E2704="!!!",F2704="NEW"),"",COUNTBLANK(OFFSET(A$1,,,SUMPRODUCT(MAX(ROW(E$2:E2704)*(E2704=E$2:E2704)))))-COUNTBLANK(OFFSET(A$1,,,SUMPRODUCT(MAX(ROW(E$1:E2703)*(E2=E$1:E2703))))))</f>
        <v/>
      </c>
      <c r="K2704" s="24" t="str">
        <f aca="false">IF(OR(E2704="",E2704="!!!",F2704="NEW"),"",INDEX(J$1:J2703,SUMPRODUCT(MAX(ROW(E$1:E2703)*(E2704=E$1:E2703)))))</f>
        <v/>
      </c>
      <c r="L2704" s="31"/>
    </row>
    <row r="2705" customFormat="false" ht="15" hidden="false" customHeight="false" outlineLevel="0" collapsed="false">
      <c r="A2705" s="20" t="s">
        <v>1092</v>
      </c>
      <c r="E2705" s="23" t="str">
        <f aca="false">IF(D2705="?OLD","!!!","")</f>
        <v/>
      </c>
      <c r="F2705" s="25" t="str">
        <f aca="false">IF(OR(E2705="",E2705="!!!"),"",IF(NOT(ISNA(VLOOKUP(E2705,E$1:E2704,1,FALSE()))),"OLD",IF(AND(E2705&lt;&gt;"",E2705&lt;&gt;"!!!"),"NEW","")))</f>
        <v/>
      </c>
      <c r="G2705" s="26" t="str">
        <f aca="false">IF(OR(E2705="",E2705="!!!"),"",IF(OR(J2705=0,AND(J2705=1,K2705=1),AND(J2705=1,I2705="SBJ"),AND(J2705=1,I2705=0)),"?IN_FOCUS",IF(J2705&lt;=2,"?ACTIVATED",IF(J2705&lt;&gt;"","?FAMILIAR",IF(F2705="NEW",IF(ISNA(VLOOKUP(E2705,#REF!,1,FALSE())),"?TYPE_IDENTIFIABLE","?REFERENTIAL"),"_")))))</f>
        <v/>
      </c>
      <c r="H2705" s="27" t="str">
        <f aca="false">IF(J2705&lt;&gt;1,"",IF(I2705="SBJ","CB","?"))</f>
        <v/>
      </c>
      <c r="I2705" s="24" t="str">
        <f aca="false">IF(OR(E2705="",E2705="!!!",F2705="NEW"),"",INDEX(B9:B$2697,-1+SUMPRODUCT(MAX(ROW(E9:E$2697)*(E2705=E9:E$2697)))))</f>
        <v/>
      </c>
      <c r="J2705" s="24" t="str">
        <f aca="true">IF(OR(E2705="",E2705="!!!",F2705="NEW"),"",COUNTBLANK(OFFSET(A$1,,,SUMPRODUCT(MAX(ROW(E$2:E2705)*(E2705=E$2:E2705)))))-COUNTBLANK(OFFSET(A$1,,,SUMPRODUCT(MAX(ROW(E$1:E2704)*(E2=E$1:E2704))))))</f>
        <v/>
      </c>
      <c r="K2705" s="24" t="str">
        <f aca="false">IF(OR(E2705="",E2705="!!!",F2705="NEW"),"",INDEX(J$1:J2704,SUMPRODUCT(MAX(ROW(E$1:E2704)*(E2705=E$1:E2704)))))</f>
        <v/>
      </c>
      <c r="L2705" s="31"/>
    </row>
    <row r="2706" customFormat="false" ht="15" hidden="false" customHeight="false" outlineLevel="0" collapsed="false">
      <c r="A2706" s="20" t="s">
        <v>1080</v>
      </c>
      <c r="B2706" s="22" t="s">
        <v>1058</v>
      </c>
      <c r="C2706" s="22" t="s">
        <v>1082</v>
      </c>
      <c r="D2706" s="22" t="s">
        <v>1060</v>
      </c>
      <c r="E2706" s="23" t="str">
        <f aca="false">IF(D2706="?OLD","!!!","")</f>
        <v>!!!</v>
      </c>
      <c r="F2706" s="25" t="str">
        <f aca="false">IF(OR(E2706="",E2706="!!!"),"",IF(NOT(ISNA(VLOOKUP(E2706,E$1:E2705,1,FALSE()))),"OLD",IF(AND(E2706&lt;&gt;"",E2706&lt;&gt;"!!!"),"NEW","")))</f>
        <v/>
      </c>
      <c r="G2706" s="26" t="str">
        <f aca="false">IF(OR(E2706="",E2706="!!!"),"",IF(OR(J2706=0,AND(J2706=1,K2706=1),AND(J2706=1,I2706="SBJ"),AND(J2706=1,I2706=0)),"?IN_FOCUS",IF(J2706&lt;=2,"?ACTIVATED",IF(J2706&lt;&gt;"","?FAMILIAR",IF(F2706="NEW",IF(ISNA(VLOOKUP(E2706,#REF!,1,FALSE())),"?TYPE_IDENTIFIABLE","?REFERENTIAL"),"_")))))</f>
        <v/>
      </c>
      <c r="H2706" s="27" t="str">
        <f aca="false">IF(J2706&lt;&gt;1,"",IF(I2706="SBJ","CB","?"))</f>
        <v/>
      </c>
      <c r="I2706" s="24" t="str">
        <f aca="false">IF(OR(E2706="",E2706="!!!",F2706="NEW"),"",INDEX(B10:B$2697,-1+SUMPRODUCT(MAX(ROW(E10:E$2697)*(E2706=E10:E$2697)))))</f>
        <v/>
      </c>
      <c r="J2706" s="24" t="str">
        <f aca="true">IF(OR(E2706="",E2706="!!!",F2706="NEW"),"",COUNTBLANK(OFFSET(A$1,,,SUMPRODUCT(MAX(ROW(E$2:E2706)*(E2706=E$2:E2706)))))-COUNTBLANK(OFFSET(A$1,,,SUMPRODUCT(MAX(ROW(E$1:E2705)*(E2=E$1:E2705))))))</f>
        <v/>
      </c>
      <c r="K2706" s="24" t="str">
        <f aca="false">IF(OR(E2706="",E2706="!!!",F2706="NEW"),"",INDEX(J$1:J2705,SUMPRODUCT(MAX(ROW(E$1:E2705)*(E2706=E$1:E2705)))))</f>
        <v/>
      </c>
      <c r="L2706" s="31"/>
    </row>
    <row r="2707" customFormat="false" ht="15" hidden="false" customHeight="false" outlineLevel="0" collapsed="false">
      <c r="A2707" s="20" t="s">
        <v>1307</v>
      </c>
      <c r="E2707" s="23" t="str">
        <f aca="false">IF(D2707="?OLD","!!!","")</f>
        <v/>
      </c>
      <c r="F2707" s="25" t="str">
        <f aca="false">IF(OR(E2707="",E2707="!!!"),"",IF(NOT(ISNA(VLOOKUP(E2707,E$1:E2706,1,FALSE()))),"OLD",IF(AND(E2707&lt;&gt;"",E2707&lt;&gt;"!!!"),"NEW","")))</f>
        <v/>
      </c>
      <c r="G2707" s="26" t="str">
        <f aca="false">IF(OR(E2707="",E2707="!!!"),"",IF(OR(J2707=0,AND(J2707=1,K2707=1),AND(J2707=1,I2707="SBJ"),AND(J2707=1,I2707=0)),"?IN_FOCUS",IF(J2707&lt;=2,"?ACTIVATED",IF(J2707&lt;&gt;"","?FAMILIAR",IF(F2707="NEW",IF(ISNA(VLOOKUP(E2707,#REF!,1,FALSE())),"?TYPE_IDENTIFIABLE","?REFERENTIAL"),"_")))))</f>
        <v/>
      </c>
      <c r="H2707" s="27" t="str">
        <f aca="false">IF(J2707&lt;&gt;1,"",IF(I2707="SBJ","CB","?"))</f>
        <v/>
      </c>
      <c r="I2707" s="24" t="str">
        <f aca="false">IF(OR(E2707="",E2707="!!!",F2707="NEW"),"",INDEX(B11:B$2697,-1+SUMPRODUCT(MAX(ROW(E11:E$2697)*(E2707=E11:E$2697)))))</f>
        <v/>
      </c>
      <c r="J2707" s="24" t="str">
        <f aca="true">IF(OR(E2707="",E2707="!!!",F2707="NEW"),"",COUNTBLANK(OFFSET(A$1,,,SUMPRODUCT(MAX(ROW(E$2:E2707)*(E2707=E$2:E2707)))))-COUNTBLANK(OFFSET(A$1,,,SUMPRODUCT(MAX(ROW(E$1:E2706)*(E2=E$1:E2706))))))</f>
        <v/>
      </c>
      <c r="K2707" s="24" t="str">
        <f aca="false">IF(OR(E2707="",E2707="!!!",F2707="NEW"),"",INDEX(J$1:J2706,SUMPRODUCT(MAX(ROW(E$1:E2706)*(E2707=E$1:E2706)))))</f>
        <v/>
      </c>
      <c r="L2707" s="31"/>
    </row>
    <row r="2708" customFormat="false" ht="15" hidden="false" customHeight="false" outlineLevel="0" collapsed="false">
      <c r="A2708" s="20" t="s">
        <v>607</v>
      </c>
      <c r="E2708" s="23" t="str">
        <f aca="false">IF(D2708="?OLD","!!!","")</f>
        <v/>
      </c>
      <c r="F2708" s="25" t="str">
        <f aca="false">IF(OR(E2708="",E2708="!!!"),"",IF(NOT(ISNA(VLOOKUP(E2708,E$1:E2707,1,FALSE()))),"OLD",IF(AND(E2708&lt;&gt;"",E2708&lt;&gt;"!!!"),"NEW","")))</f>
        <v/>
      </c>
      <c r="G2708" s="26" t="str">
        <f aca="false">IF(OR(E2708="",E2708="!!!"),"",IF(OR(J2708=0,AND(J2708=1,K2708=1),AND(J2708=1,I2708="SBJ"),AND(J2708=1,I2708=0)),"?IN_FOCUS",IF(J2708&lt;=2,"?ACTIVATED",IF(J2708&lt;&gt;"","?FAMILIAR",IF(F2708="NEW",IF(ISNA(VLOOKUP(E2708,#REF!,1,FALSE())),"?TYPE_IDENTIFIABLE","?REFERENTIAL"),"_")))))</f>
        <v/>
      </c>
      <c r="H2708" s="27" t="str">
        <f aca="false">IF(J2708&lt;&gt;1,"",IF(I2708="SBJ","CB","?"))</f>
        <v/>
      </c>
      <c r="I2708" s="24" t="str">
        <f aca="false">IF(OR(E2708="",E2708="!!!",F2708="NEW"),"",INDEX(B12:B$2697,-1+SUMPRODUCT(MAX(ROW(E12:E$2697)*(E2708=E12:E$2697)))))</f>
        <v/>
      </c>
      <c r="J2708" s="24" t="str">
        <f aca="true">IF(OR(E2708="",E2708="!!!",F2708="NEW"),"",COUNTBLANK(OFFSET(A$1,,,SUMPRODUCT(MAX(ROW(E$2:E2708)*(E2708=E$2:E2708)))))-COUNTBLANK(OFFSET(A$1,,,SUMPRODUCT(MAX(ROW(E$1:E2707)*(E2=E$1:E2707))))))</f>
        <v/>
      </c>
      <c r="K2708" s="24" t="str">
        <f aca="false">IF(OR(E2708="",E2708="!!!",F2708="NEW"),"",INDEX(J$1:J2707,SUMPRODUCT(MAX(ROW(E$1:E2707)*(E2708=E$1:E2707)))))</f>
        <v/>
      </c>
      <c r="L2708" s="31"/>
    </row>
    <row r="2709" customFormat="false" ht="15" hidden="false" customHeight="false" outlineLevel="0" collapsed="false">
      <c r="A2709" s="20"/>
    </row>
    <row r="2710" customFormat="false" ht="15" hidden="false" customHeight="false" outlineLevel="0" collapsed="false">
      <c r="A2710" s="20" t="s">
        <v>1301</v>
      </c>
      <c r="E2710" s="23" t="str">
        <f aca="false">IF(D2710="?OLD","!!!","")</f>
        <v/>
      </c>
      <c r="F2710" s="25" t="str">
        <f aca="false">IF(OR(E2710="",E2710="!!!"),"",IF(NOT(ISNA(VLOOKUP(E2710,E$1:E2709,1,FALSE()))),"OLD",IF(AND(E2710&lt;&gt;"",E2710&lt;&gt;"!!!"),"NEW","")))</f>
        <v/>
      </c>
      <c r="G2710" s="26" t="str">
        <f aca="false">IF(OR(E2710="",E2710="!!!"),"",IF(OR(J2710=0,AND(J2710=1,K2710=1),AND(J2710=1,I2710="SBJ"),AND(J2710=1,I2710=0)),"?IN_FOCUS",IF(J2710&lt;=2,"?ACTIVATED",IF(J2710&lt;&gt;"","?FAMILIAR",IF(F2710="NEW",IF(ISNA(VLOOKUP(E2710,#REF!,1,FALSE())),"?TYPE_IDENTIFIABLE","?REFERENTIAL"),"_")))))</f>
        <v/>
      </c>
      <c r="H2710" s="27" t="str">
        <f aca="false">IF(J2710&lt;&gt;1,"",IF(I2710="SBJ","CB","?"))</f>
        <v/>
      </c>
      <c r="I2710" s="24" t="str">
        <f aca="false">IF(OR(E2710="",E2710="!!!",F2710="NEW"),"",INDEX(B2:B$2709,-1+SUMPRODUCT(MAX(ROW(E2:E$2709)*(E2710=E2:E$2709)))))</f>
        <v/>
      </c>
      <c r="J2710" s="24" t="str">
        <f aca="true">IF(OR(E2710="",E2710="!!!",F2710="NEW"),"",COUNTBLANK(OFFSET(A$1,,,SUMPRODUCT(MAX(ROW(E$2:E2710)*(E2710=E$2:E2710)))))-COUNTBLANK(OFFSET(A$1,,,SUMPRODUCT(MAX(ROW(E$1:E2709)*(E2=E$1:E2709))))))</f>
        <v/>
      </c>
      <c r="K2710" s="24" t="str">
        <f aca="false">IF(OR(E2710="",E2710="!!!",F2710="NEW"),"",INDEX(J$1:J2709,SUMPRODUCT(MAX(ROW(E$1:E2709)*(E2710=E$1:E2709)))))</f>
        <v/>
      </c>
      <c r="L2710" s="31"/>
    </row>
    <row r="2711" customFormat="false" ht="15" hidden="false" customHeight="false" outlineLevel="0" collapsed="false">
      <c r="A2711" s="20" t="s">
        <v>2001</v>
      </c>
    </row>
    <row r="2712" customFormat="false" ht="15" hidden="false" customHeight="false" outlineLevel="0" collapsed="false">
      <c r="A2712" s="20" t="s">
        <v>607</v>
      </c>
      <c r="E2712" s="23" t="str">
        <f aca="false">IF(D2712="?OLD","!!!","")</f>
        <v/>
      </c>
      <c r="F2712" s="25" t="str">
        <f aca="false">IF(OR(E2712="",E2712="!!!"),"",IF(NOT(ISNA(VLOOKUP(E2712,E$1:E2711,1,FALSE()))),"OLD",IF(AND(E2712&lt;&gt;"",E2712&lt;&gt;"!!!"),"NEW","")))</f>
        <v/>
      </c>
      <c r="G2712" s="26" t="str">
        <f aca="false">IF(OR(E2712="",E2712="!!!"),"",IF(OR(J2712=0,AND(J2712=1,K2712=1),AND(J2712=1,I2712="SBJ"),AND(J2712=1,I2712=0)),"?IN_FOCUS",IF(J2712&lt;=2,"?ACTIVATED",IF(J2712&lt;&gt;"","?FAMILIAR",IF(F2712="NEW",IF(ISNA(VLOOKUP(E2712,#REF!,1,FALSE())),"?TYPE_IDENTIFIABLE","?REFERENTIAL"),"_")))))</f>
        <v/>
      </c>
      <c r="H2712" s="27" t="str">
        <f aca="false">IF(J2712&lt;&gt;1,"",IF(I2712="SBJ","CB","?"))</f>
        <v/>
      </c>
      <c r="I2712" s="24" t="str">
        <f aca="false">IF(OR(E2712="",E2712="!!!",F2712="NEW"),"",INDEX(B2:B$2711,-1+SUMPRODUCT(MAX(ROW(E2:E$2711)*(E2712=E2:E$2711)))))</f>
        <v/>
      </c>
      <c r="J2712" s="24" t="str">
        <f aca="true">IF(OR(E2712="",E2712="!!!",F2712="NEW"),"",COUNTBLANK(OFFSET(A$1,,,SUMPRODUCT(MAX(ROW(E$2:E2712)*(E2712=E$2:E2712)))))-COUNTBLANK(OFFSET(A$1,,,SUMPRODUCT(MAX(ROW(E$1:E2711)*(E2=E$1:E2711))))))</f>
        <v/>
      </c>
      <c r="K2712" s="24" t="str">
        <f aca="false">IF(OR(E2712="",E2712="!!!",F2712="NEW"),"",INDEX(J$1:J2711,SUMPRODUCT(MAX(ROW(E$1:E2711)*(E2712=E$1:E2711)))))</f>
        <v/>
      </c>
      <c r="L2712" s="31"/>
    </row>
    <row r="2713" customFormat="false" ht="15" hidden="false" customHeight="false" outlineLevel="0" collapsed="false">
      <c r="A2713" s="20" t="s">
        <v>1261</v>
      </c>
      <c r="B2713" s="22" t="s">
        <v>1086</v>
      </c>
      <c r="C2713" s="22" t="s">
        <v>1082</v>
      </c>
      <c r="D2713" s="22" t="s">
        <v>1060</v>
      </c>
      <c r="E2713" s="23" t="str">
        <f aca="false">IF(D2713="?OLD","!!!","")</f>
        <v>!!!</v>
      </c>
      <c r="F2713" s="25" t="str">
        <f aca="false">IF(OR(E2713="",E2713="!!!"),"",IF(NOT(ISNA(VLOOKUP(E2713,E$1:E2712,1,FALSE()))),"OLD",IF(AND(E2713&lt;&gt;"",E2713&lt;&gt;"!!!"),"NEW","")))</f>
        <v/>
      </c>
      <c r="G2713" s="26" t="str">
        <f aca="false">IF(OR(E2713="",E2713="!!!"),"",IF(OR(J2713=0,AND(J2713=1,K2713=1),AND(J2713=1,I2713="SBJ"),AND(J2713=1,I2713=0)),"?IN_FOCUS",IF(J2713&lt;=2,"?ACTIVATED",IF(J2713&lt;&gt;"","?FAMILIAR",IF(F2713="NEW",IF(ISNA(VLOOKUP(E2713,#REF!,1,FALSE())),"?TYPE_IDENTIFIABLE","?REFERENTIAL"),"_")))))</f>
        <v/>
      </c>
      <c r="H2713" s="27" t="str">
        <f aca="false">IF(J2713&lt;&gt;1,"",IF(I2713="SBJ","CB","?"))</f>
        <v/>
      </c>
      <c r="I2713" s="24" t="str">
        <f aca="false">IF(OR(E2713="",E2713="!!!",F2713="NEW"),"",INDEX(B3:B$2711,-1+SUMPRODUCT(MAX(ROW(E3:E$2711)*(E2713=E3:E$2711)))))</f>
        <v/>
      </c>
      <c r="J2713" s="24" t="str">
        <f aca="true">IF(OR(E2713="",E2713="!!!",F2713="NEW"),"",COUNTBLANK(OFFSET(A$1,,,SUMPRODUCT(MAX(ROW(E$2:E2713)*(E2713=E$2:E2713)))))-COUNTBLANK(OFFSET(A$1,,,SUMPRODUCT(MAX(ROW(E$1:E2712)*(E2=E$1:E2712))))))</f>
        <v/>
      </c>
      <c r="K2713" s="24" t="str">
        <f aca="false">IF(OR(E2713="",E2713="!!!",F2713="NEW"),"",INDEX(J$1:J2712,SUMPRODUCT(MAX(ROW(E$1:E2712)*(E2713=E$1:E2712)))))</f>
        <v/>
      </c>
      <c r="L2713" s="31"/>
    </row>
    <row r="2714" customFormat="false" ht="15" hidden="false" customHeight="false" outlineLevel="0" collapsed="false">
      <c r="A2714" s="20" t="s">
        <v>1071</v>
      </c>
      <c r="E2714" s="23" t="str">
        <f aca="false">IF(D2714="?OLD","!!!","")</f>
        <v/>
      </c>
      <c r="F2714" s="25" t="str">
        <f aca="false">IF(OR(E2714="",E2714="!!!"),"",IF(NOT(ISNA(VLOOKUP(E2714,E$1:E2713,1,FALSE()))),"OLD",IF(AND(E2714&lt;&gt;"",E2714&lt;&gt;"!!!"),"NEW","")))</f>
        <v/>
      </c>
      <c r="G2714" s="26" t="str">
        <f aca="false">IF(OR(E2714="",E2714="!!!"),"",IF(OR(J2714=0,AND(J2714=1,K2714=1),AND(J2714=1,I2714="SBJ"),AND(J2714=1,I2714=0)),"?IN_FOCUS",IF(J2714&lt;=2,"?ACTIVATED",IF(J2714&lt;&gt;"","?FAMILIAR",IF(F2714="NEW",IF(ISNA(VLOOKUP(E2714,#REF!,1,FALSE())),"?TYPE_IDENTIFIABLE","?REFERENTIAL"),"_")))))</f>
        <v/>
      </c>
      <c r="H2714" s="27" t="str">
        <f aca="false">IF(J2714&lt;&gt;1,"",IF(I2714="SBJ","CB","?"))</f>
        <v/>
      </c>
      <c r="I2714" s="24" t="str">
        <f aca="false">IF(OR(E2714="",E2714="!!!",F2714="NEW"),"",INDEX(B4:B$2711,-1+SUMPRODUCT(MAX(ROW(E4:E$2711)*(E2714=E4:E$2711)))))</f>
        <v/>
      </c>
      <c r="J2714" s="24" t="str">
        <f aca="true">IF(OR(E2714="",E2714="!!!",F2714="NEW"),"",COUNTBLANK(OFFSET(A$1,,,SUMPRODUCT(MAX(ROW(E$2:E2714)*(E2714=E$2:E2714)))))-COUNTBLANK(OFFSET(A$1,,,SUMPRODUCT(MAX(ROW(E$1:E2713)*(E2=E$1:E2713))))))</f>
        <v/>
      </c>
      <c r="K2714" s="24" t="str">
        <f aca="false">IF(OR(E2714="",E2714="!!!",F2714="NEW"),"",INDEX(J$1:J2713,SUMPRODUCT(MAX(ROW(E$1:E2713)*(E2714=E$1:E2713)))))</f>
        <v/>
      </c>
      <c r="L2714" s="31"/>
    </row>
    <row r="2715" customFormat="false" ht="15" hidden="false" customHeight="false" outlineLevel="0" collapsed="false">
      <c r="A2715" s="20" t="s">
        <v>1973</v>
      </c>
      <c r="E2715" s="23" t="str">
        <f aca="false">IF(D2715="?OLD","!!!","")</f>
        <v/>
      </c>
      <c r="F2715" s="25" t="str">
        <f aca="false">IF(OR(E2715="",E2715="!!!"),"",IF(NOT(ISNA(VLOOKUP(E2715,E$1:E2714,1,FALSE()))),"OLD",IF(AND(E2715&lt;&gt;"",E2715&lt;&gt;"!!!"),"NEW","")))</f>
        <v/>
      </c>
      <c r="G2715" s="26" t="str">
        <f aca="false">IF(OR(E2715="",E2715="!!!"),"",IF(OR(J2715=0,AND(J2715=1,K2715=1),AND(J2715=1,I2715="SBJ"),AND(J2715=1,I2715=0)),"?IN_FOCUS",IF(J2715&lt;=2,"?ACTIVATED",IF(J2715&lt;&gt;"","?FAMILIAR",IF(F2715="NEW",IF(ISNA(VLOOKUP(E2715,#REF!,1,FALSE())),"?TYPE_IDENTIFIABLE","?REFERENTIAL"),"_")))))</f>
        <v/>
      </c>
      <c r="H2715" s="27" t="str">
        <f aca="false">IF(J2715&lt;&gt;1,"",IF(I2715="SBJ","CB","?"))</f>
        <v/>
      </c>
      <c r="I2715" s="24" t="str">
        <f aca="false">IF(OR(E2715="",E2715="!!!",F2715="NEW"),"",INDEX(B5:B$2711,-1+SUMPRODUCT(MAX(ROW(E5:E$2711)*(E2715=E5:E$2711)))))</f>
        <v/>
      </c>
      <c r="J2715" s="24" t="str">
        <f aca="true">IF(OR(E2715="",E2715="!!!",F2715="NEW"),"",COUNTBLANK(OFFSET(A$1,,,SUMPRODUCT(MAX(ROW(E$2:E2715)*(E2715=E$2:E2715)))))-COUNTBLANK(OFFSET(A$1,,,SUMPRODUCT(MAX(ROW(E$1:E2714)*(E2=E$1:E2714))))))</f>
        <v/>
      </c>
      <c r="K2715" s="24" t="str">
        <f aca="false">IF(OR(E2715="",E2715="!!!",F2715="NEW"),"",INDEX(J$1:J2714,SUMPRODUCT(MAX(ROW(E$1:E2714)*(E2715=E$1:E2714)))))</f>
        <v/>
      </c>
      <c r="L2715" s="31"/>
    </row>
    <row r="2716" customFormat="false" ht="15" hidden="false" customHeight="false" outlineLevel="0" collapsed="false">
      <c r="A2716" s="20" t="s">
        <v>1076</v>
      </c>
      <c r="E2716" s="23" t="str">
        <f aca="false">IF(D2716="?OLD","!!!","")</f>
        <v/>
      </c>
      <c r="F2716" s="25" t="str">
        <f aca="false">IF(OR(E2716="",E2716="!!!"),"",IF(NOT(ISNA(VLOOKUP(E2716,E$1:E2715,1,FALSE()))),"OLD",IF(AND(E2716&lt;&gt;"",E2716&lt;&gt;"!!!"),"NEW","")))</f>
        <v/>
      </c>
      <c r="G2716" s="26" t="str">
        <f aca="false">IF(OR(E2716="",E2716="!!!"),"",IF(OR(J2716=0,AND(J2716=1,K2716=1),AND(J2716=1,I2716="SBJ"),AND(J2716=1,I2716=0)),"?IN_FOCUS",IF(J2716&lt;=2,"?ACTIVATED",IF(J2716&lt;&gt;"","?FAMILIAR",IF(F2716="NEW",IF(ISNA(VLOOKUP(E2716,#REF!,1,FALSE())),"?TYPE_IDENTIFIABLE","?REFERENTIAL"),"_")))))</f>
        <v/>
      </c>
      <c r="H2716" s="27" t="str">
        <f aca="false">IF(J2716&lt;&gt;1,"",IF(I2716="SBJ","CB","?"))</f>
        <v/>
      </c>
      <c r="I2716" s="24" t="str">
        <f aca="false">IF(OR(E2716="",E2716="!!!",F2716="NEW"),"",INDEX(B6:B$2711,-1+SUMPRODUCT(MAX(ROW(E6:E$2711)*(E2716=E6:E$2711)))))</f>
        <v/>
      </c>
      <c r="J2716" s="24" t="str">
        <f aca="true">IF(OR(E2716="",E2716="!!!",F2716="NEW"),"",COUNTBLANK(OFFSET(A$1,,,SUMPRODUCT(MAX(ROW(E$2:E2716)*(E2716=E$2:E2716)))))-COUNTBLANK(OFFSET(A$1,,,SUMPRODUCT(MAX(ROW(E$1:E2715)*(E2=E$1:E2715))))))</f>
        <v/>
      </c>
      <c r="K2716" s="24" t="str">
        <f aca="false">IF(OR(E2716="",E2716="!!!",F2716="NEW"),"",INDEX(J$1:J2715,SUMPRODUCT(MAX(ROW(E$1:E2715)*(E2716=E$1:E2715)))))</f>
        <v/>
      </c>
      <c r="L2716" s="31"/>
    </row>
    <row r="2717" customFormat="false" ht="15" hidden="false" customHeight="false" outlineLevel="0" collapsed="false">
      <c r="A2717" s="20" t="s">
        <v>2002</v>
      </c>
      <c r="B2717" s="22" t="s">
        <v>1073</v>
      </c>
      <c r="C2717" s="22" t="s">
        <v>1202</v>
      </c>
      <c r="E2717" s="23" t="str">
        <f aca="false">IF(D2717="?OLD","!!!","")</f>
        <v/>
      </c>
      <c r="F2717" s="25" t="str">
        <f aca="false">IF(OR(E2717="",E2717="!!!"),"",IF(NOT(ISNA(VLOOKUP(E2717,E$1:E2716,1,FALSE()))),"OLD",IF(AND(E2717&lt;&gt;"",E2717&lt;&gt;"!!!"),"NEW","")))</f>
        <v/>
      </c>
      <c r="G2717" s="26" t="str">
        <f aca="false">IF(OR(E2717="",E2717="!!!"),"",IF(OR(J2717=0,AND(J2717=1,K2717=1),AND(J2717=1,I2717="SBJ"),AND(J2717=1,I2717=0)),"?IN_FOCUS",IF(J2717&lt;=2,"?ACTIVATED",IF(J2717&lt;&gt;"","?FAMILIAR",IF(F2717="NEW",IF(ISNA(VLOOKUP(E2717,#REF!,1,FALSE())),"?TYPE_IDENTIFIABLE","?REFERENTIAL"),"_")))))</f>
        <v/>
      </c>
      <c r="H2717" s="27" t="str">
        <f aca="false">IF(J2717&lt;&gt;1,"",IF(I2717="SBJ","CB","?"))</f>
        <v/>
      </c>
      <c r="I2717" s="24" t="str">
        <f aca="false">IF(OR(E2717="",E2717="!!!",F2717="NEW"),"",INDEX(B7:B$2711,-1+SUMPRODUCT(MAX(ROW(E7:E$2711)*(E2717=E7:E$2711)))))</f>
        <v/>
      </c>
      <c r="J2717" s="24" t="str">
        <f aca="true">IF(OR(E2717="",E2717="!!!",F2717="NEW"),"",COUNTBLANK(OFFSET(A$1,,,SUMPRODUCT(MAX(ROW(E$2:E2717)*(E2717=E$2:E2717)))))-COUNTBLANK(OFFSET(A$1,,,SUMPRODUCT(MAX(ROW(E$1:E2716)*(E2=E$1:E2716))))))</f>
        <v/>
      </c>
      <c r="K2717" s="24" t="str">
        <f aca="false">IF(OR(E2717="",E2717="!!!",F2717="NEW"),"",INDEX(J$1:J2716,SUMPRODUCT(MAX(ROW(E$1:E2716)*(E2717=E$1:E2716)))))</f>
        <v/>
      </c>
      <c r="L2717" s="31"/>
    </row>
    <row r="2718" customFormat="false" ht="15" hidden="false" customHeight="false" outlineLevel="0" collapsed="false">
      <c r="A2718" s="20" t="s">
        <v>1080</v>
      </c>
      <c r="B2718" s="22" t="s">
        <v>1197</v>
      </c>
      <c r="C2718" s="22" t="s">
        <v>1082</v>
      </c>
      <c r="D2718" s="22" t="s">
        <v>1060</v>
      </c>
      <c r="E2718" s="23" t="str">
        <f aca="false">IF(D2718="?OLD","!!!","")</f>
        <v>!!!</v>
      </c>
      <c r="F2718" s="25" t="str">
        <f aca="false">IF(OR(E2718="",E2718="!!!"),"",IF(NOT(ISNA(VLOOKUP(E2718,E$1:E2717,1,FALSE()))),"OLD",IF(AND(E2718&lt;&gt;"",E2718&lt;&gt;"!!!"),"NEW","")))</f>
        <v/>
      </c>
      <c r="G2718" s="26" t="str">
        <f aca="false">IF(OR(E2718="",E2718="!!!"),"",IF(OR(J2718=0,AND(J2718=1,K2718=1),AND(J2718=1,I2718="SBJ"),AND(J2718=1,I2718=0)),"?IN_FOCUS",IF(J2718&lt;=2,"?ACTIVATED",IF(J2718&lt;&gt;"","?FAMILIAR",IF(F2718="NEW",IF(ISNA(VLOOKUP(E2718,#REF!,1,FALSE())),"?TYPE_IDENTIFIABLE","?REFERENTIAL"),"_")))))</f>
        <v/>
      </c>
      <c r="H2718" s="27" t="str">
        <f aca="false">IF(J2718&lt;&gt;1,"",IF(I2718="SBJ","CB","?"))</f>
        <v/>
      </c>
      <c r="I2718" s="24" t="str">
        <f aca="false">IF(OR(E2718="",E2718="!!!",F2718="NEW"),"",INDEX(B8:B$2711,-1+SUMPRODUCT(MAX(ROW(E8:E$2711)*(E2718=E8:E$2711)))))</f>
        <v/>
      </c>
      <c r="J2718" s="24" t="str">
        <f aca="true">IF(OR(E2718="",E2718="!!!",F2718="NEW"),"",COUNTBLANK(OFFSET(A$1,,,SUMPRODUCT(MAX(ROW(E$2:E2718)*(E2718=E$2:E2718)))))-COUNTBLANK(OFFSET(A$1,,,SUMPRODUCT(MAX(ROW(E$1:E2717)*(E2=E$1:E2717))))))</f>
        <v/>
      </c>
      <c r="K2718" s="24" t="str">
        <f aca="false">IF(OR(E2718="",E2718="!!!",F2718="NEW"),"",INDEX(J$1:J2717,SUMPRODUCT(MAX(ROW(E$1:E2717)*(E2718=E$1:E2717)))))</f>
        <v/>
      </c>
      <c r="L2718" s="31"/>
    </row>
    <row r="2719" customFormat="false" ht="15" hidden="false" customHeight="false" outlineLevel="0" collapsed="false">
      <c r="A2719" s="20" t="s">
        <v>1369</v>
      </c>
      <c r="E2719" s="23" t="str">
        <f aca="false">IF(D2719="?OLD","!!!","")</f>
        <v/>
      </c>
      <c r="F2719" s="25" t="str">
        <f aca="false">IF(OR(E2719="",E2719="!!!"),"",IF(NOT(ISNA(VLOOKUP(E2719,E$1:E2718,1,FALSE()))),"OLD",IF(AND(E2719&lt;&gt;"",E2719&lt;&gt;"!!!"),"NEW","")))</f>
        <v/>
      </c>
      <c r="G2719" s="26" t="str">
        <f aca="false">IF(OR(E2719="",E2719="!!!"),"",IF(OR(J2719=0,AND(J2719=1,K2719=1),AND(J2719=1,I2719="SBJ"),AND(J2719=1,I2719=0)),"?IN_FOCUS",IF(J2719&lt;=2,"?ACTIVATED",IF(J2719&lt;&gt;"","?FAMILIAR",IF(F2719="NEW",IF(ISNA(VLOOKUP(E2719,#REF!,1,FALSE())),"?TYPE_IDENTIFIABLE","?REFERENTIAL"),"_")))))</f>
        <v/>
      </c>
      <c r="H2719" s="27" t="str">
        <f aca="false">IF(J2719&lt;&gt;1,"",IF(I2719="SBJ","CB","?"))</f>
        <v/>
      </c>
      <c r="I2719" s="24" t="str">
        <f aca="false">IF(OR(E2719="",E2719="!!!",F2719="NEW"),"",INDEX(B9:B$2711,-1+SUMPRODUCT(MAX(ROW(E9:E$2711)*(E2719=E9:E$2711)))))</f>
        <v/>
      </c>
      <c r="J2719" s="24" t="str">
        <f aca="true">IF(OR(E2719="",E2719="!!!",F2719="NEW"),"",COUNTBLANK(OFFSET(A$1,,,SUMPRODUCT(MAX(ROW(E$2:E2719)*(E2719=E$2:E2719)))))-COUNTBLANK(OFFSET(A$1,,,SUMPRODUCT(MAX(ROW(E$1:E2718)*(E2=E$1:E2718))))))</f>
        <v/>
      </c>
      <c r="K2719" s="24" t="str">
        <f aca="false">IF(OR(E2719="",E2719="!!!",F2719="NEW"),"",INDEX(J$1:J2718,SUMPRODUCT(MAX(ROW(E$1:E2718)*(E2719=E$1:E2718)))))</f>
        <v/>
      </c>
      <c r="L2719" s="31"/>
    </row>
    <row r="2720" customFormat="false" ht="15" hidden="false" customHeight="false" outlineLevel="0" collapsed="false">
      <c r="A2720" s="20" t="s">
        <v>1076</v>
      </c>
      <c r="E2720" s="23" t="str">
        <f aca="false">IF(D2720="?OLD","!!!","")</f>
        <v/>
      </c>
      <c r="F2720" s="25" t="str">
        <f aca="false">IF(OR(E2720="",E2720="!!!"),"",IF(NOT(ISNA(VLOOKUP(E2720,E$1:E2719,1,FALSE()))),"OLD",IF(AND(E2720&lt;&gt;"",E2720&lt;&gt;"!!!"),"NEW","")))</f>
        <v/>
      </c>
      <c r="G2720" s="26" t="str">
        <f aca="false">IF(OR(E2720="",E2720="!!!"),"",IF(OR(J2720=0,AND(J2720=1,K2720=1),AND(J2720=1,I2720="SBJ"),AND(J2720=1,I2720=0)),"?IN_FOCUS",IF(J2720&lt;=2,"?ACTIVATED",IF(J2720&lt;&gt;"","?FAMILIAR",IF(F2720="NEW",IF(ISNA(VLOOKUP(E2720,#REF!,1,FALSE())),"?TYPE_IDENTIFIABLE","?REFERENTIAL"),"_")))))</f>
        <v/>
      </c>
      <c r="H2720" s="27" t="str">
        <f aca="false">IF(J2720&lt;&gt;1,"",IF(I2720="SBJ","CB","?"))</f>
        <v/>
      </c>
      <c r="I2720" s="24" t="str">
        <f aca="false">IF(OR(E2720="",E2720="!!!",F2720="NEW"),"",INDEX(B10:B$2711,-1+SUMPRODUCT(MAX(ROW(E10:E$2711)*(E2720=E10:E$2711)))))</f>
        <v/>
      </c>
      <c r="J2720" s="24" t="str">
        <f aca="true">IF(OR(E2720="",E2720="!!!",F2720="NEW"),"",COUNTBLANK(OFFSET(A$1,,,SUMPRODUCT(MAX(ROW(E$2:E2720)*(E2720=E$2:E2720)))))-COUNTBLANK(OFFSET(A$1,,,SUMPRODUCT(MAX(ROW(E$1:E2719)*(E2=E$1:E2719))))))</f>
        <v/>
      </c>
      <c r="K2720" s="24" t="str">
        <f aca="false">IF(OR(E2720="",E2720="!!!",F2720="NEW"),"",INDEX(J$1:J2719,SUMPRODUCT(MAX(ROW(E$1:E2719)*(E2720=E$1:E2719)))))</f>
        <v/>
      </c>
      <c r="L2720" s="31"/>
    </row>
    <row r="2721" customFormat="false" ht="15" hidden="false" customHeight="false" outlineLevel="0" collapsed="false">
      <c r="A2721" s="20" t="s">
        <v>607</v>
      </c>
      <c r="E2721" s="23" t="str">
        <f aca="false">IF(D2721="?OLD","!!!","")</f>
        <v/>
      </c>
      <c r="F2721" s="25" t="str">
        <f aca="false">IF(OR(E2721="",E2721="!!!"),"",IF(NOT(ISNA(VLOOKUP(E2721,E$1:E2720,1,FALSE()))),"OLD",IF(AND(E2721&lt;&gt;"",E2721&lt;&gt;"!!!"),"NEW","")))</f>
        <v/>
      </c>
      <c r="G2721" s="26" t="str">
        <f aca="false">IF(OR(E2721="",E2721="!!!"),"",IF(OR(J2721=0,AND(J2721=1,K2721=1),AND(J2721=1,I2721="SBJ"),AND(J2721=1,I2721=0)),"?IN_FOCUS",IF(J2721&lt;=2,"?ACTIVATED",IF(J2721&lt;&gt;"","?FAMILIAR",IF(F2721="NEW",IF(ISNA(VLOOKUP(E2721,#REF!,1,FALSE())),"?TYPE_IDENTIFIABLE","?REFERENTIAL"),"_")))))</f>
        <v/>
      </c>
      <c r="H2721" s="27" t="str">
        <f aca="false">IF(J2721&lt;&gt;1,"",IF(I2721="SBJ","CB","?"))</f>
        <v/>
      </c>
      <c r="I2721" s="24" t="str">
        <f aca="false">IF(OR(E2721="",E2721="!!!",F2721="NEW"),"",INDEX(B11:B$2711,-1+SUMPRODUCT(MAX(ROW(E11:E$2711)*(E2721=E11:E$2711)))))</f>
        <v/>
      </c>
      <c r="J2721" s="24" t="str">
        <f aca="true">IF(OR(E2721="",E2721="!!!",F2721="NEW"),"",COUNTBLANK(OFFSET(A$1,,,SUMPRODUCT(MAX(ROW(E$2:E2721)*(E2721=E$2:E2721)))))-COUNTBLANK(OFFSET(A$1,,,SUMPRODUCT(MAX(ROW(E$1:E2720)*(E2=E$1:E2720))))))</f>
        <v/>
      </c>
      <c r="K2721" s="24" t="str">
        <f aca="false">IF(OR(E2721="",E2721="!!!",F2721="NEW"),"",INDEX(J$1:J2720,SUMPRODUCT(MAX(ROW(E$1:E2720)*(E2721=E$1:E2720)))))</f>
        <v/>
      </c>
      <c r="L2721" s="31"/>
    </row>
    <row r="2722" customFormat="false" ht="15" hidden="false" customHeight="false" outlineLevel="0" collapsed="false">
      <c r="A2722" s="20" t="s">
        <v>1194</v>
      </c>
      <c r="E2722" s="23" t="str">
        <f aca="false">IF(D2722="?OLD","!!!","")</f>
        <v/>
      </c>
      <c r="F2722" s="25" t="str">
        <f aca="false">IF(OR(E2722="",E2722="!!!"),"",IF(NOT(ISNA(VLOOKUP(E2722,E$1:E2721,1,FALSE()))),"OLD",IF(AND(E2722&lt;&gt;"",E2722&lt;&gt;"!!!"),"NEW","")))</f>
        <v/>
      </c>
      <c r="G2722" s="26" t="str">
        <f aca="false">IF(OR(E2722="",E2722="!!!"),"",IF(OR(J2722=0,AND(J2722=1,K2722=1),AND(J2722=1,I2722="SBJ"),AND(J2722=1,I2722=0)),"?IN_FOCUS",IF(J2722&lt;=2,"?ACTIVATED",IF(J2722&lt;&gt;"","?FAMILIAR",IF(F2722="NEW",IF(ISNA(VLOOKUP(E2722,#REF!,1,FALSE())),"?TYPE_IDENTIFIABLE","?REFERENTIAL"),"_")))))</f>
        <v/>
      </c>
      <c r="H2722" s="27" t="str">
        <f aca="false">IF(J2722&lt;&gt;1,"",IF(I2722="SBJ","CB","?"))</f>
        <v/>
      </c>
      <c r="I2722" s="24" t="str">
        <f aca="false">IF(OR(E2722="",E2722="!!!",F2722="NEW"),"",INDEX(B12:B$2711,-1+SUMPRODUCT(MAX(ROW(E12:E$2711)*(E2722=E12:E$2711)))))</f>
        <v/>
      </c>
      <c r="J2722" s="24" t="str">
        <f aca="true">IF(OR(E2722="",E2722="!!!",F2722="NEW"),"",COUNTBLANK(OFFSET(A$1,,,SUMPRODUCT(MAX(ROW(E$2:E2722)*(E2722=E$2:E2722)))))-COUNTBLANK(OFFSET(A$1,,,SUMPRODUCT(MAX(ROW(E$1:E2721)*(E2=E$1:E2721))))))</f>
        <v/>
      </c>
      <c r="K2722" s="24" t="str">
        <f aca="false">IF(OR(E2722="",E2722="!!!",F2722="NEW"),"",INDEX(J$1:J2721,SUMPRODUCT(MAX(ROW(E$1:E2721)*(E2722=E$1:E2721)))))</f>
        <v/>
      </c>
      <c r="L2722" s="31"/>
    </row>
    <row r="2723" customFormat="false" ht="15" hidden="false" customHeight="false" outlineLevel="0" collapsed="false">
      <c r="A2723" s="20" t="s">
        <v>1066</v>
      </c>
      <c r="B2723" s="22" t="s">
        <v>1058</v>
      </c>
      <c r="C2723" s="22" t="s">
        <v>1068</v>
      </c>
      <c r="D2723" s="22" t="s">
        <v>1060</v>
      </c>
      <c r="E2723" s="23" t="str">
        <f aca="false">IF(D2723="?OLD","!!!","")</f>
        <v>!!!</v>
      </c>
      <c r="F2723" s="25" t="str">
        <f aca="false">IF(OR(E2723="",E2723="!!!"),"",IF(NOT(ISNA(VLOOKUP(E2723,E$1:E2722,1,FALSE()))),"OLD",IF(AND(E2723&lt;&gt;"",E2723&lt;&gt;"!!!"),"NEW","")))</f>
        <v/>
      </c>
      <c r="G2723" s="26" t="str">
        <f aca="false">IF(OR(E2723="",E2723="!!!"),"",IF(OR(J2723=0,AND(J2723=1,K2723=1),AND(J2723=1,I2723="SBJ"),AND(J2723=1,I2723=0)),"?IN_FOCUS",IF(J2723&lt;=2,"?ACTIVATED",IF(J2723&lt;&gt;"","?FAMILIAR",IF(F2723="NEW",IF(ISNA(VLOOKUP(E2723,#REF!,1,FALSE())),"?TYPE_IDENTIFIABLE","?REFERENTIAL"),"_")))))</f>
        <v/>
      </c>
      <c r="H2723" s="27" t="str">
        <f aca="false">IF(J2723&lt;&gt;1,"",IF(I2723="SBJ","CB","?"))</f>
        <v/>
      </c>
      <c r="I2723" s="24" t="str">
        <f aca="false">IF(OR(E2723="",E2723="!!!",F2723="NEW"),"",INDEX(B13:B$2711,-1+SUMPRODUCT(MAX(ROW(E13:E$2711)*(E2723=E13:E$2711)))))</f>
        <v/>
      </c>
      <c r="J2723" s="24" t="str">
        <f aca="true">IF(OR(E2723="",E2723="!!!",F2723="NEW"),"",COUNTBLANK(OFFSET(A$1,,,SUMPRODUCT(MAX(ROW(E$2:E2723)*(E2723=E$2:E2723)))))-COUNTBLANK(OFFSET(A$1,,,SUMPRODUCT(MAX(ROW(E$1:E2722)*(E2=E$1:E2722))))))</f>
        <v/>
      </c>
      <c r="K2723" s="24" t="str">
        <f aca="false">IF(OR(E2723="",E2723="!!!",F2723="NEW"),"",INDEX(J$1:J2722,SUMPRODUCT(MAX(ROW(E$1:E2722)*(E2723=E$1:E2722)))))</f>
        <v/>
      </c>
      <c r="L2723" s="31"/>
    </row>
    <row r="2724" customFormat="false" ht="15" hidden="false" customHeight="false" outlineLevel="0" collapsed="false">
      <c r="A2724" s="20" t="s">
        <v>923</v>
      </c>
      <c r="E2724" s="23" t="str">
        <f aca="false">IF(D2724="?OLD","!!!","")</f>
        <v/>
      </c>
      <c r="F2724" s="25" t="str">
        <f aca="false">IF(OR(E2724="",E2724="!!!"),"",IF(NOT(ISNA(VLOOKUP(E2724,E$1:E2723,1,FALSE()))),"OLD",IF(AND(E2724&lt;&gt;"",E2724&lt;&gt;"!!!"),"NEW","")))</f>
        <v/>
      </c>
      <c r="G2724" s="26" t="str">
        <f aca="false">IF(OR(E2724="",E2724="!!!"),"",IF(OR(J2724=0,AND(J2724=1,K2724=1),AND(J2724=1,I2724="SBJ"),AND(J2724=1,I2724=0)),"?IN_FOCUS",IF(J2724&lt;=2,"?ACTIVATED",IF(J2724&lt;&gt;"","?FAMILIAR",IF(F2724="NEW",IF(ISNA(VLOOKUP(E2724,#REF!,1,FALSE())),"?TYPE_IDENTIFIABLE","?REFERENTIAL"),"_")))))</f>
        <v/>
      </c>
      <c r="H2724" s="27" t="str">
        <f aca="false">IF(J2724&lt;&gt;1,"",IF(I2724="SBJ","CB","?"))</f>
        <v/>
      </c>
      <c r="I2724" s="24" t="str">
        <f aca="false">IF(OR(E2724="",E2724="!!!",F2724="NEW"),"",INDEX(B14:B$2711,-1+SUMPRODUCT(MAX(ROW(E14:E$2711)*(E2724=E14:E$2711)))))</f>
        <v/>
      </c>
      <c r="J2724" s="24" t="str">
        <f aca="true">IF(OR(E2724="",E2724="!!!",F2724="NEW"),"",COUNTBLANK(OFFSET(A$1,,,SUMPRODUCT(MAX(ROW(E$2:E2724)*(E2724=E$2:E2724)))))-COUNTBLANK(OFFSET(A$1,,,SUMPRODUCT(MAX(ROW(E$1:E2723)*(E2=E$1:E2723))))))</f>
        <v/>
      </c>
      <c r="K2724" s="24" t="str">
        <f aca="false">IF(OR(E2724="",E2724="!!!",F2724="NEW"),"",INDEX(J$1:J2723,SUMPRODUCT(MAX(ROW(E$1:E2723)*(E2724=E$1:E2723)))))</f>
        <v/>
      </c>
      <c r="L2724" s="31"/>
    </row>
    <row r="2725" customFormat="false" ht="15" hidden="false" customHeight="false" outlineLevel="0" collapsed="false">
      <c r="A2725" s="20"/>
    </row>
    <row r="2726" customFormat="false" ht="15" hidden="false" customHeight="false" outlineLevel="0" collapsed="false">
      <c r="A2726" s="20" t="s">
        <v>1301</v>
      </c>
      <c r="E2726" s="23" t="str">
        <f aca="false">IF(D2726="?OLD","!!!","")</f>
        <v/>
      </c>
      <c r="F2726" s="25" t="str">
        <f aca="false">IF(OR(E2726="",E2726="!!!"),"",IF(NOT(ISNA(VLOOKUP(E2726,E$1:E2725,1,FALSE()))),"OLD",IF(AND(E2726&lt;&gt;"",E2726&lt;&gt;"!!!"),"NEW","")))</f>
        <v/>
      </c>
      <c r="G2726" s="26" t="str">
        <f aca="false">IF(OR(E2726="",E2726="!!!"),"",IF(OR(J2726=0,AND(J2726=1,K2726=1),AND(J2726=1,I2726="SBJ"),AND(J2726=1,I2726=0)),"?IN_FOCUS",IF(J2726&lt;=2,"?ACTIVATED",IF(J2726&lt;&gt;"","?FAMILIAR",IF(F2726="NEW",IF(ISNA(VLOOKUP(E2726,#REF!,1,FALSE())),"?TYPE_IDENTIFIABLE","?REFERENTIAL"),"_")))))</f>
        <v/>
      </c>
      <c r="H2726" s="27" t="str">
        <f aca="false">IF(J2726&lt;&gt;1,"",IF(I2726="SBJ","CB","?"))</f>
        <v/>
      </c>
      <c r="I2726" s="24" t="str">
        <f aca="false">IF(OR(E2726="",E2726="!!!",F2726="NEW"),"",INDEX(B2:B$2725,-1+SUMPRODUCT(MAX(ROW(E2:E$2725)*(E2726=E2:E$2725)))))</f>
        <v/>
      </c>
      <c r="J2726" s="24" t="str">
        <f aca="true">IF(OR(E2726="",E2726="!!!",F2726="NEW"),"",COUNTBLANK(OFFSET(A$1,,,SUMPRODUCT(MAX(ROW(E$2:E2726)*(E2726=E$2:E2726)))))-COUNTBLANK(OFFSET(A$1,,,SUMPRODUCT(MAX(ROW(E$1:E2725)*(E2=E$1:E2725))))))</f>
        <v/>
      </c>
      <c r="K2726" s="24" t="str">
        <f aca="false">IF(OR(E2726="",E2726="!!!",F2726="NEW"),"",INDEX(J$1:J2725,SUMPRODUCT(MAX(ROW(E$1:E2725)*(E2726=E$1:E2725)))))</f>
        <v/>
      </c>
      <c r="L2726" s="31"/>
    </row>
    <row r="2727" customFormat="false" ht="15" hidden="false" customHeight="false" outlineLevel="0" collapsed="false">
      <c r="A2727" s="20" t="s">
        <v>2003</v>
      </c>
    </row>
    <row r="2728" customFormat="false" ht="15" hidden="false" customHeight="false" outlineLevel="0" collapsed="false">
      <c r="A2728" s="20" t="s">
        <v>607</v>
      </c>
      <c r="E2728" s="23" t="str">
        <f aca="false">IF(D2728="?OLD","!!!","")</f>
        <v/>
      </c>
      <c r="F2728" s="25" t="str">
        <f aca="false">IF(OR(E2728="",E2728="!!!"),"",IF(NOT(ISNA(VLOOKUP(E2728,E$1:E2727,1,FALSE()))),"OLD",IF(AND(E2728&lt;&gt;"",E2728&lt;&gt;"!!!"),"NEW","")))</f>
        <v/>
      </c>
      <c r="G2728" s="26" t="str">
        <f aca="false">IF(OR(E2728="",E2728="!!!"),"",IF(OR(J2728=0,AND(J2728=1,K2728=1),AND(J2728=1,I2728="SBJ"),AND(J2728=1,I2728=0)),"?IN_FOCUS",IF(J2728&lt;=2,"?ACTIVATED",IF(J2728&lt;&gt;"","?FAMILIAR",IF(F2728="NEW",IF(ISNA(VLOOKUP(E2728,#REF!,1,FALSE())),"?TYPE_IDENTIFIABLE","?REFERENTIAL"),"_")))))</f>
        <v/>
      </c>
      <c r="H2728" s="27" t="str">
        <f aca="false">IF(J2728&lt;&gt;1,"",IF(I2728="SBJ","CB","?"))</f>
        <v/>
      </c>
      <c r="I2728" s="24" t="str">
        <f aca="false">IF(OR(E2728="",E2728="!!!",F2728="NEW"),"",INDEX(B2:B$2727,-1+SUMPRODUCT(MAX(ROW(E2:E$2727)*(E2728=E2:E$2727)))))</f>
        <v/>
      </c>
      <c r="J2728" s="24" t="str">
        <f aca="true">IF(OR(E2728="",E2728="!!!",F2728="NEW"),"",COUNTBLANK(OFFSET(A$1,,,SUMPRODUCT(MAX(ROW(E$2:E2728)*(E2728=E$2:E2728)))))-COUNTBLANK(OFFSET(A$1,,,SUMPRODUCT(MAX(ROW(E$1:E2727)*(E2=E$1:E2727))))))</f>
        <v/>
      </c>
      <c r="K2728" s="24" t="str">
        <f aca="false">IF(OR(E2728="",E2728="!!!",F2728="NEW"),"",INDEX(J$1:J2727,SUMPRODUCT(MAX(ROW(E$1:E2727)*(E2728=E$1:E2727)))))</f>
        <v/>
      </c>
      <c r="L2728" s="31"/>
    </row>
    <row r="2729" customFormat="false" ht="15" hidden="false" customHeight="false" outlineLevel="0" collapsed="false">
      <c r="A2729" s="20" t="s">
        <v>1277</v>
      </c>
      <c r="B2729" s="22" t="s">
        <v>1058</v>
      </c>
      <c r="C2729" s="22" t="s">
        <v>1082</v>
      </c>
      <c r="D2729" s="22" t="s">
        <v>1060</v>
      </c>
      <c r="E2729" s="23" t="str">
        <f aca="false">IF(D2729="?OLD","!!!","")</f>
        <v>!!!</v>
      </c>
      <c r="F2729" s="25" t="str">
        <f aca="false">IF(OR(E2729="",E2729="!!!"),"",IF(NOT(ISNA(VLOOKUP(E2729,E$1:E2728,1,FALSE()))),"OLD",IF(AND(E2729&lt;&gt;"",E2729&lt;&gt;"!!!"),"NEW","")))</f>
        <v/>
      </c>
      <c r="G2729" s="26" t="str">
        <f aca="false">IF(OR(E2729="",E2729="!!!"),"",IF(OR(J2729=0,AND(J2729=1,K2729=1),AND(J2729=1,I2729="SBJ"),AND(J2729=1,I2729=0)),"?IN_FOCUS",IF(J2729&lt;=2,"?ACTIVATED",IF(J2729&lt;&gt;"","?FAMILIAR",IF(F2729="NEW",IF(ISNA(VLOOKUP(E2729,#REF!,1,FALSE())),"?TYPE_IDENTIFIABLE","?REFERENTIAL"),"_")))))</f>
        <v/>
      </c>
      <c r="H2729" s="27" t="str">
        <f aca="false">IF(J2729&lt;&gt;1,"",IF(I2729="SBJ","CB","?"))</f>
        <v/>
      </c>
      <c r="I2729" s="24" t="str">
        <f aca="false">IF(OR(E2729="",E2729="!!!",F2729="NEW"),"",INDEX(B3:B$2727,-1+SUMPRODUCT(MAX(ROW(E3:E$2727)*(E2729=E3:E$2727)))))</f>
        <v/>
      </c>
      <c r="J2729" s="24" t="str">
        <f aca="true">IF(OR(E2729="",E2729="!!!",F2729="NEW"),"",COUNTBLANK(OFFSET(A$1,,,SUMPRODUCT(MAX(ROW(E$2:E2729)*(E2729=E$2:E2729)))))-COUNTBLANK(OFFSET(A$1,,,SUMPRODUCT(MAX(ROW(E$1:E2728)*(E2=E$1:E2728))))))</f>
        <v/>
      </c>
      <c r="K2729" s="24" t="str">
        <f aca="false">IF(OR(E2729="",E2729="!!!",F2729="NEW"),"",INDEX(J$1:J2728,SUMPRODUCT(MAX(ROW(E$1:E2728)*(E2729=E$1:E2728)))))</f>
        <v/>
      </c>
      <c r="L2729" s="31"/>
    </row>
    <row r="2730" customFormat="false" ht="15" hidden="false" customHeight="false" outlineLevel="0" collapsed="false">
      <c r="A2730" s="20" t="s">
        <v>2004</v>
      </c>
      <c r="E2730" s="23" t="str">
        <f aca="false">IF(D2730="?OLD","!!!","")</f>
        <v/>
      </c>
      <c r="F2730" s="25" t="str">
        <f aca="false">IF(OR(E2730="",E2730="!!!"),"",IF(NOT(ISNA(VLOOKUP(E2730,E$1:E2729,1,FALSE()))),"OLD",IF(AND(E2730&lt;&gt;"",E2730&lt;&gt;"!!!"),"NEW","")))</f>
        <v/>
      </c>
      <c r="G2730" s="26" t="str">
        <f aca="false">IF(OR(E2730="",E2730="!!!"),"",IF(OR(J2730=0,AND(J2730=1,K2730=1),AND(J2730=1,I2730="SBJ"),AND(J2730=1,I2730=0)),"?IN_FOCUS",IF(J2730&lt;=2,"?ACTIVATED",IF(J2730&lt;&gt;"","?FAMILIAR",IF(F2730="NEW",IF(ISNA(VLOOKUP(E2730,#REF!,1,FALSE())),"?TYPE_IDENTIFIABLE","?REFERENTIAL"),"_")))))</f>
        <v/>
      </c>
      <c r="H2730" s="27" t="str">
        <f aca="false">IF(J2730&lt;&gt;1,"",IF(I2730="SBJ","CB","?"))</f>
        <v/>
      </c>
      <c r="I2730" s="24" t="str">
        <f aca="false">IF(OR(E2730="",E2730="!!!",F2730="NEW"),"",INDEX(B4:B$2727,-1+SUMPRODUCT(MAX(ROW(E4:E$2727)*(E2730=E4:E$2727)))))</f>
        <v/>
      </c>
      <c r="J2730" s="24" t="str">
        <f aca="true">IF(OR(E2730="",E2730="!!!",F2730="NEW"),"",COUNTBLANK(OFFSET(A$1,,,SUMPRODUCT(MAX(ROW(E$2:E2730)*(E2730=E$2:E2730)))))-COUNTBLANK(OFFSET(A$1,,,SUMPRODUCT(MAX(ROW(E$1:E2729)*(E2=E$1:E2729))))))</f>
        <v/>
      </c>
      <c r="K2730" s="24" t="str">
        <f aca="false">IF(OR(E2730="",E2730="!!!",F2730="NEW"),"",INDEX(J$1:J2729,SUMPRODUCT(MAX(ROW(E$1:E2729)*(E2730=E$1:E2729)))))</f>
        <v/>
      </c>
      <c r="L2730" s="31"/>
    </row>
    <row r="2731" customFormat="false" ht="15" hidden="false" customHeight="false" outlineLevel="0" collapsed="false">
      <c r="A2731" s="20" t="s">
        <v>2005</v>
      </c>
      <c r="E2731" s="23" t="str">
        <f aca="false">IF(D2731="?OLD","!!!","")</f>
        <v/>
      </c>
      <c r="F2731" s="25" t="str">
        <f aca="false">IF(OR(E2731="",E2731="!!!"),"",IF(NOT(ISNA(VLOOKUP(E2731,E$1:E2730,1,FALSE()))),"OLD",IF(AND(E2731&lt;&gt;"",E2731&lt;&gt;"!!!"),"NEW","")))</f>
        <v/>
      </c>
      <c r="G2731" s="26" t="str">
        <f aca="false">IF(OR(E2731="",E2731="!!!"),"",IF(OR(J2731=0,AND(J2731=1,K2731=1),AND(J2731=1,I2731="SBJ"),AND(J2731=1,I2731=0)),"?IN_FOCUS",IF(J2731&lt;=2,"?ACTIVATED",IF(J2731&lt;&gt;"","?FAMILIAR",IF(F2731="NEW",IF(ISNA(VLOOKUP(E2731,#REF!,1,FALSE())),"?TYPE_IDENTIFIABLE","?REFERENTIAL"),"_")))))</f>
        <v/>
      </c>
      <c r="H2731" s="27" t="str">
        <f aca="false">IF(J2731&lt;&gt;1,"",IF(I2731="SBJ","CB","?"))</f>
        <v/>
      </c>
      <c r="I2731" s="24" t="str">
        <f aca="false">IF(OR(E2731="",E2731="!!!",F2731="NEW"),"",INDEX(B5:B$2727,-1+SUMPRODUCT(MAX(ROW(E5:E$2727)*(E2731=E5:E$2727)))))</f>
        <v/>
      </c>
      <c r="J2731" s="24" t="str">
        <f aca="true">IF(OR(E2731="",E2731="!!!",F2731="NEW"),"",COUNTBLANK(OFFSET(A$1,,,SUMPRODUCT(MAX(ROW(E$2:E2731)*(E2731=E$2:E2731)))))-COUNTBLANK(OFFSET(A$1,,,SUMPRODUCT(MAX(ROW(E$1:E2730)*(E2=E$1:E2730))))))</f>
        <v/>
      </c>
      <c r="K2731" s="24" t="str">
        <f aca="false">IF(OR(E2731="",E2731="!!!",F2731="NEW"),"",INDEX(J$1:J2730,SUMPRODUCT(MAX(ROW(E$1:E2730)*(E2731=E$1:E2730)))))</f>
        <v/>
      </c>
      <c r="L2731" s="31"/>
    </row>
    <row r="2732" customFormat="false" ht="15" hidden="false" customHeight="false" outlineLevel="0" collapsed="false">
      <c r="A2732" s="20" t="s">
        <v>1109</v>
      </c>
      <c r="E2732" s="23" t="str">
        <f aca="false">IF(D2732="?OLD","!!!","")</f>
        <v/>
      </c>
      <c r="F2732" s="25" t="str">
        <f aca="false">IF(OR(E2732="",E2732="!!!"),"",IF(NOT(ISNA(VLOOKUP(E2732,E$1:E2731,1,FALSE()))),"OLD",IF(AND(E2732&lt;&gt;"",E2732&lt;&gt;"!!!"),"NEW","")))</f>
        <v/>
      </c>
      <c r="G2732" s="26" t="str">
        <f aca="false">IF(OR(E2732="",E2732="!!!"),"",IF(OR(J2732=0,AND(J2732=1,K2732=1),AND(J2732=1,I2732="SBJ"),AND(J2732=1,I2732=0)),"?IN_FOCUS",IF(J2732&lt;=2,"?ACTIVATED",IF(J2732&lt;&gt;"","?FAMILIAR",IF(F2732="NEW",IF(ISNA(VLOOKUP(E2732,#REF!,1,FALSE())),"?TYPE_IDENTIFIABLE","?REFERENTIAL"),"_")))))</f>
        <v/>
      </c>
      <c r="H2732" s="27" t="str">
        <f aca="false">IF(J2732&lt;&gt;1,"",IF(I2732="SBJ","CB","?"))</f>
        <v/>
      </c>
      <c r="I2732" s="24" t="str">
        <f aca="false">IF(OR(E2732="",E2732="!!!",F2732="NEW"),"",INDEX(B6:B$2727,-1+SUMPRODUCT(MAX(ROW(E6:E$2727)*(E2732=E6:E$2727)))))</f>
        <v/>
      </c>
      <c r="J2732" s="24" t="str">
        <f aca="true">IF(OR(E2732="",E2732="!!!",F2732="NEW"),"",COUNTBLANK(OFFSET(A$1,,,SUMPRODUCT(MAX(ROW(E$2:E2732)*(E2732=E$2:E2732)))))-COUNTBLANK(OFFSET(A$1,,,SUMPRODUCT(MAX(ROW(E$1:E2731)*(E2=E$1:E2731))))))</f>
        <v/>
      </c>
      <c r="K2732" s="24" t="str">
        <f aca="false">IF(OR(E2732="",E2732="!!!",F2732="NEW"),"",INDEX(J$1:J2731,SUMPRODUCT(MAX(ROW(E$1:E2731)*(E2732=E$1:E2731)))))</f>
        <v/>
      </c>
      <c r="L2732" s="31"/>
    </row>
    <row r="2733" customFormat="false" ht="15" hidden="false" customHeight="false" outlineLevel="0" collapsed="false">
      <c r="A2733" s="20" t="s">
        <v>2006</v>
      </c>
      <c r="E2733" s="23" t="str">
        <f aca="false">IF(D2733="?OLD","!!!","")</f>
        <v/>
      </c>
      <c r="F2733" s="25" t="str">
        <f aca="false">IF(OR(E2733="",E2733="!!!"),"",IF(NOT(ISNA(VLOOKUP(E2733,E$1:E2732,1,FALSE()))),"OLD",IF(AND(E2733&lt;&gt;"",E2733&lt;&gt;"!!!"),"NEW","")))</f>
        <v/>
      </c>
      <c r="G2733" s="26" t="str">
        <f aca="false">IF(OR(E2733="",E2733="!!!"),"",IF(OR(J2733=0,AND(J2733=1,K2733=1),AND(J2733=1,I2733="SBJ"),AND(J2733=1,I2733=0)),"?IN_FOCUS",IF(J2733&lt;=2,"?ACTIVATED",IF(J2733&lt;&gt;"","?FAMILIAR",IF(F2733="NEW",IF(ISNA(VLOOKUP(E2733,#REF!,1,FALSE())),"?TYPE_IDENTIFIABLE","?REFERENTIAL"),"_")))))</f>
        <v/>
      </c>
      <c r="H2733" s="27" t="str">
        <f aca="false">IF(J2733&lt;&gt;1,"",IF(I2733="SBJ","CB","?"))</f>
        <v/>
      </c>
      <c r="I2733" s="24" t="str">
        <f aca="false">IF(OR(E2733="",E2733="!!!",F2733="NEW"),"",INDEX(B7:B$2727,-1+SUMPRODUCT(MAX(ROW(E7:E$2727)*(E2733=E7:E$2727)))))</f>
        <v/>
      </c>
      <c r="J2733" s="24" t="str">
        <f aca="true">IF(OR(E2733="",E2733="!!!",F2733="NEW"),"",COUNTBLANK(OFFSET(A$1,,,SUMPRODUCT(MAX(ROW(E$2:E2733)*(E2733=E$2:E2733)))))-COUNTBLANK(OFFSET(A$1,,,SUMPRODUCT(MAX(ROW(E$1:E2732)*(E2=E$1:E2732))))))</f>
        <v/>
      </c>
      <c r="K2733" s="24" t="str">
        <f aca="false">IF(OR(E2733="",E2733="!!!",F2733="NEW"),"",INDEX(J$1:J2732,SUMPRODUCT(MAX(ROW(E$1:E2732)*(E2733=E$1:E2732)))))</f>
        <v/>
      </c>
      <c r="L2733" s="31"/>
    </row>
    <row r="2734" customFormat="false" ht="15" hidden="false" customHeight="false" outlineLevel="0" collapsed="false">
      <c r="A2734" s="20" t="s">
        <v>2007</v>
      </c>
      <c r="B2734" s="22" t="s">
        <v>1081</v>
      </c>
      <c r="C2734" s="22" t="s">
        <v>1150</v>
      </c>
      <c r="D2734" s="22" t="s">
        <v>1060</v>
      </c>
      <c r="E2734" s="23" t="str">
        <f aca="false">IF(D2734="?OLD","!!!","")</f>
        <v>!!!</v>
      </c>
      <c r="F2734" s="25" t="str">
        <f aca="false">IF(OR(E2734="",E2734="!!!"),"",IF(NOT(ISNA(VLOOKUP(E2734,E$1:E2733,1,FALSE()))),"OLD",IF(AND(E2734&lt;&gt;"",E2734&lt;&gt;"!!!"),"NEW","")))</f>
        <v/>
      </c>
      <c r="G2734" s="26" t="str">
        <f aca="false">IF(OR(E2734="",E2734="!!!"),"",IF(OR(J2734=0,AND(J2734=1,K2734=1),AND(J2734=1,I2734="SBJ"),AND(J2734=1,I2734=0)),"?IN_FOCUS",IF(J2734&lt;=2,"?ACTIVATED",IF(J2734&lt;&gt;"","?FAMILIAR",IF(F2734="NEW",IF(ISNA(VLOOKUP(E2734,#REF!,1,FALSE())),"?TYPE_IDENTIFIABLE","?REFERENTIAL"),"_")))))</f>
        <v/>
      </c>
      <c r="H2734" s="27" t="str">
        <f aca="false">IF(J2734&lt;&gt;1,"",IF(I2734="SBJ","CB","?"))</f>
        <v/>
      </c>
      <c r="I2734" s="24" t="str">
        <f aca="false">IF(OR(E2734="",E2734="!!!",F2734="NEW"),"",INDEX(B8:B$2727,-1+SUMPRODUCT(MAX(ROW(E8:E$2727)*(E2734=E8:E$2727)))))</f>
        <v/>
      </c>
      <c r="J2734" s="24" t="str">
        <f aca="true">IF(OR(E2734="",E2734="!!!",F2734="NEW"),"",COUNTBLANK(OFFSET(A$1,,,SUMPRODUCT(MAX(ROW(E$2:E2734)*(E2734=E$2:E2734)))))-COUNTBLANK(OFFSET(A$1,,,SUMPRODUCT(MAX(ROW(E$1:E2733)*(E2=E$1:E2733))))))</f>
        <v/>
      </c>
      <c r="K2734" s="24" t="str">
        <f aca="false">IF(OR(E2734="",E2734="!!!",F2734="NEW"),"",INDEX(J$1:J2733,SUMPRODUCT(MAX(ROW(E$1:E2733)*(E2734=E$1:E2733)))))</f>
        <v/>
      </c>
      <c r="L2734" s="31"/>
    </row>
    <row r="2735" customFormat="false" ht="15" hidden="false" customHeight="false" outlineLevel="0" collapsed="false">
      <c r="A2735" s="20" t="s">
        <v>1233</v>
      </c>
      <c r="E2735" s="23" t="str">
        <f aca="false">IF(D2735="?OLD","!!!","")</f>
        <v/>
      </c>
      <c r="F2735" s="25" t="str">
        <f aca="false">IF(OR(E2735="",E2735="!!!"),"",IF(NOT(ISNA(VLOOKUP(E2735,E$1:E2734,1,FALSE()))),"OLD",IF(AND(E2735&lt;&gt;"",E2735&lt;&gt;"!!!"),"NEW","")))</f>
        <v/>
      </c>
      <c r="G2735" s="26" t="str">
        <f aca="false">IF(OR(E2735="",E2735="!!!"),"",IF(OR(J2735=0,AND(J2735=1,K2735=1),AND(J2735=1,I2735="SBJ"),AND(J2735=1,I2735=0)),"?IN_FOCUS",IF(J2735&lt;=2,"?ACTIVATED",IF(J2735&lt;&gt;"","?FAMILIAR",IF(F2735="NEW",IF(ISNA(VLOOKUP(E2735,#REF!,1,FALSE())),"?TYPE_IDENTIFIABLE","?REFERENTIAL"),"_")))))</f>
        <v/>
      </c>
      <c r="H2735" s="27" t="str">
        <f aca="false">IF(J2735&lt;&gt;1,"",IF(I2735="SBJ","CB","?"))</f>
        <v/>
      </c>
      <c r="I2735" s="24" t="str">
        <f aca="false">IF(OR(E2735="",E2735="!!!",F2735="NEW"),"",INDEX(B9:B$2727,-1+SUMPRODUCT(MAX(ROW(E9:E$2727)*(E2735=E9:E$2727)))))</f>
        <v/>
      </c>
      <c r="J2735" s="24" t="str">
        <f aca="true">IF(OR(E2735="",E2735="!!!",F2735="NEW"),"",COUNTBLANK(OFFSET(A$1,,,SUMPRODUCT(MAX(ROW(E$2:E2735)*(E2735=E$2:E2735)))))-COUNTBLANK(OFFSET(A$1,,,SUMPRODUCT(MAX(ROW(E$1:E2734)*(E2=E$1:E2734))))))</f>
        <v/>
      </c>
      <c r="K2735" s="24" t="str">
        <f aca="false">IF(OR(E2735="",E2735="!!!",F2735="NEW"),"",INDEX(J$1:J2734,SUMPRODUCT(MAX(ROW(E$1:E2734)*(E2735=E$1:E2734)))))</f>
        <v/>
      </c>
      <c r="L2735" s="31"/>
    </row>
    <row r="2736" customFormat="false" ht="15" hidden="false" customHeight="false" outlineLevel="0" collapsed="false">
      <c r="A2736" s="20" t="s">
        <v>1128</v>
      </c>
      <c r="E2736" s="23" t="str">
        <f aca="false">IF(D2736="?OLD","!!!","")</f>
        <v/>
      </c>
      <c r="F2736" s="25" t="str">
        <f aca="false">IF(OR(E2736="",E2736="!!!"),"",IF(NOT(ISNA(VLOOKUP(E2736,E$1:E2735,1,FALSE()))),"OLD",IF(AND(E2736&lt;&gt;"",E2736&lt;&gt;"!!!"),"NEW","")))</f>
        <v/>
      </c>
      <c r="G2736" s="26" t="str">
        <f aca="false">IF(OR(E2736="",E2736="!!!"),"",IF(OR(J2736=0,AND(J2736=1,K2736=1),AND(J2736=1,I2736="SBJ"),AND(J2736=1,I2736=0)),"?IN_FOCUS",IF(J2736&lt;=2,"?ACTIVATED",IF(J2736&lt;&gt;"","?FAMILIAR",IF(F2736="NEW",IF(ISNA(VLOOKUP(E2736,#REF!,1,FALSE())),"?TYPE_IDENTIFIABLE","?REFERENTIAL"),"_")))))</f>
        <v/>
      </c>
      <c r="H2736" s="27" t="str">
        <f aca="false">IF(J2736&lt;&gt;1,"",IF(I2736="SBJ","CB","?"))</f>
        <v/>
      </c>
      <c r="I2736" s="24" t="str">
        <f aca="false">IF(OR(E2736="",E2736="!!!",F2736="NEW"),"",INDEX(B10:B$2727,-1+SUMPRODUCT(MAX(ROW(E10:E$2727)*(E2736=E10:E$2727)))))</f>
        <v/>
      </c>
      <c r="J2736" s="24" t="str">
        <f aca="true">IF(OR(E2736="",E2736="!!!",F2736="NEW"),"",COUNTBLANK(OFFSET(A$1,,,SUMPRODUCT(MAX(ROW(E$2:E2736)*(E2736=E$2:E2736)))))-COUNTBLANK(OFFSET(A$1,,,SUMPRODUCT(MAX(ROW(E$1:E2735)*(E2=E$1:E2735))))))</f>
        <v/>
      </c>
      <c r="K2736" s="24" t="str">
        <f aca="false">IF(OR(E2736="",E2736="!!!",F2736="NEW"),"",INDEX(J$1:J2735,SUMPRODUCT(MAX(ROW(E$1:E2735)*(E2736=E$1:E2735)))))</f>
        <v/>
      </c>
      <c r="L2736" s="31"/>
    </row>
    <row r="2737" customFormat="false" ht="15" hidden="false" customHeight="false" outlineLevel="0" collapsed="false">
      <c r="A2737" s="20" t="s">
        <v>2008</v>
      </c>
      <c r="E2737" s="23" t="str">
        <f aca="false">IF(D2737="?OLD","!!!","")</f>
        <v/>
      </c>
      <c r="F2737" s="25" t="str">
        <f aca="false">IF(OR(E2737="",E2737="!!!"),"",IF(NOT(ISNA(VLOOKUP(E2737,E$1:E2736,1,FALSE()))),"OLD",IF(AND(E2737&lt;&gt;"",E2737&lt;&gt;"!!!"),"NEW","")))</f>
        <v/>
      </c>
      <c r="G2737" s="26" t="str">
        <f aca="false">IF(OR(E2737="",E2737="!!!"),"",IF(OR(J2737=0,AND(J2737=1,K2737=1),AND(J2737=1,I2737="SBJ"),AND(J2737=1,I2737=0)),"?IN_FOCUS",IF(J2737&lt;=2,"?ACTIVATED",IF(J2737&lt;&gt;"","?FAMILIAR",IF(F2737="NEW",IF(ISNA(VLOOKUP(E2737,#REF!,1,FALSE())),"?TYPE_IDENTIFIABLE","?REFERENTIAL"),"_")))))</f>
        <v/>
      </c>
      <c r="H2737" s="27" t="str">
        <f aca="false">IF(J2737&lt;&gt;1,"",IF(I2737="SBJ","CB","?"))</f>
        <v/>
      </c>
      <c r="I2737" s="24" t="str">
        <f aca="false">IF(OR(E2737="",E2737="!!!",F2737="NEW"),"",INDEX(B11:B$2727,-1+SUMPRODUCT(MAX(ROW(E11:E$2727)*(E2737=E11:E$2727)))))</f>
        <v/>
      </c>
      <c r="J2737" s="24" t="str">
        <f aca="true">IF(OR(E2737="",E2737="!!!",F2737="NEW"),"",COUNTBLANK(OFFSET(A$1,,,SUMPRODUCT(MAX(ROW(E$2:E2737)*(E2737=E$2:E2737)))))-COUNTBLANK(OFFSET(A$1,,,SUMPRODUCT(MAX(ROW(E$1:E2736)*(E2=E$1:E2736))))))</f>
        <v/>
      </c>
      <c r="K2737" s="24" t="str">
        <f aca="false">IF(OR(E2737="",E2737="!!!",F2737="NEW"),"",INDEX(J$1:J2736,SUMPRODUCT(MAX(ROW(E$1:E2736)*(E2737=E$1:E2736)))))</f>
        <v/>
      </c>
      <c r="L2737" s="31"/>
    </row>
    <row r="2738" customFormat="false" ht="15" hidden="false" customHeight="false" outlineLevel="0" collapsed="false">
      <c r="A2738" s="20" t="s">
        <v>923</v>
      </c>
      <c r="E2738" s="23" t="str">
        <f aca="false">IF(D2738="?OLD","!!!","")</f>
        <v/>
      </c>
      <c r="F2738" s="25" t="str">
        <f aca="false">IF(OR(E2738="",E2738="!!!"),"",IF(NOT(ISNA(VLOOKUP(E2738,E$1:E2737,1,FALSE()))),"OLD",IF(AND(E2738&lt;&gt;"",E2738&lt;&gt;"!!!"),"NEW","")))</f>
        <v/>
      </c>
      <c r="G2738" s="26" t="str">
        <f aca="false">IF(OR(E2738="",E2738="!!!"),"",IF(OR(J2738=0,AND(J2738=1,K2738=1),AND(J2738=1,I2738="SBJ"),AND(J2738=1,I2738=0)),"?IN_FOCUS",IF(J2738&lt;=2,"?ACTIVATED",IF(J2738&lt;&gt;"","?FAMILIAR",IF(F2738="NEW",IF(ISNA(VLOOKUP(E2738,#REF!,1,FALSE())),"?TYPE_IDENTIFIABLE","?REFERENTIAL"),"_")))))</f>
        <v/>
      </c>
      <c r="H2738" s="27" t="str">
        <f aca="false">IF(J2738&lt;&gt;1,"",IF(I2738="SBJ","CB","?"))</f>
        <v/>
      </c>
      <c r="I2738" s="24" t="str">
        <f aca="false">IF(OR(E2738="",E2738="!!!",F2738="NEW"),"",INDEX(B12:B$2727,-1+SUMPRODUCT(MAX(ROW(E12:E$2727)*(E2738=E12:E$2727)))))</f>
        <v/>
      </c>
      <c r="J2738" s="24" t="str">
        <f aca="true">IF(OR(E2738="",E2738="!!!",F2738="NEW"),"",COUNTBLANK(OFFSET(A$1,,,SUMPRODUCT(MAX(ROW(E$2:E2738)*(E2738=E$2:E2738)))))-COUNTBLANK(OFFSET(A$1,,,SUMPRODUCT(MAX(ROW(E$1:E2737)*(E2=E$1:E2737))))))</f>
        <v/>
      </c>
      <c r="K2738" s="24" t="str">
        <f aca="false">IF(OR(E2738="",E2738="!!!",F2738="NEW"),"",INDEX(J$1:J2737,SUMPRODUCT(MAX(ROW(E$1:E2737)*(E2738=E$1:E2737)))))</f>
        <v/>
      </c>
      <c r="L2738" s="31"/>
    </row>
    <row r="2739" customFormat="false" ht="15" hidden="false" customHeight="false" outlineLevel="0" collapsed="false">
      <c r="A2739" s="20" t="s">
        <v>607</v>
      </c>
      <c r="E2739" s="23" t="str">
        <f aca="false">IF(D2739="?OLD","!!!","")</f>
        <v/>
      </c>
      <c r="F2739" s="25" t="str">
        <f aca="false">IF(OR(E2739="",E2739="!!!"),"",IF(NOT(ISNA(VLOOKUP(E2739,E$1:E2738,1,FALSE()))),"OLD",IF(AND(E2739&lt;&gt;"",E2739&lt;&gt;"!!!"),"NEW","")))</f>
        <v/>
      </c>
      <c r="G2739" s="26" t="str">
        <f aca="false">IF(OR(E2739="",E2739="!!!"),"",IF(OR(J2739=0,AND(J2739=1,K2739=1),AND(J2739=1,I2739="SBJ"),AND(J2739=1,I2739=0)),"?IN_FOCUS",IF(J2739&lt;=2,"?ACTIVATED",IF(J2739&lt;&gt;"","?FAMILIAR",IF(F2739="NEW",IF(ISNA(VLOOKUP(E2739,#REF!,1,FALSE())),"?TYPE_IDENTIFIABLE","?REFERENTIAL"),"_")))))</f>
        <v/>
      </c>
      <c r="H2739" s="27" t="str">
        <f aca="false">IF(J2739&lt;&gt;1,"",IF(I2739="SBJ","CB","?"))</f>
        <v/>
      </c>
      <c r="I2739" s="24" t="str">
        <f aca="false">IF(OR(E2739="",E2739="!!!",F2739="NEW"),"",INDEX(B13:B$2727,-1+SUMPRODUCT(MAX(ROW(E13:E$2727)*(E2739=E13:E$2727)))))</f>
        <v/>
      </c>
      <c r="J2739" s="24" t="str">
        <f aca="true">IF(OR(E2739="",E2739="!!!",F2739="NEW"),"",COUNTBLANK(OFFSET(A$1,,,SUMPRODUCT(MAX(ROW(E$2:E2739)*(E2739=E$2:E2739)))))-COUNTBLANK(OFFSET(A$1,,,SUMPRODUCT(MAX(ROW(E$1:E2738)*(E2=E$1:E2738))))))</f>
        <v/>
      </c>
      <c r="K2739" s="24" t="str">
        <f aca="false">IF(OR(E2739="",E2739="!!!",F2739="NEW"),"",INDEX(J$1:J2738,SUMPRODUCT(MAX(ROW(E$1:E2738)*(E2739=E$1:E2738)))))</f>
        <v/>
      </c>
      <c r="L2739" s="31"/>
    </row>
    <row r="2740" customFormat="false" ht="15" hidden="false" customHeight="false" outlineLevel="0" collapsed="false">
      <c r="A2740" s="20"/>
    </row>
    <row r="2741" customFormat="false" ht="15" hidden="false" customHeight="false" outlineLevel="0" collapsed="false">
      <c r="A2741" s="20" t="s">
        <v>2009</v>
      </c>
    </row>
    <row r="2742" customFormat="false" ht="15" hidden="false" customHeight="false" outlineLevel="0" collapsed="false">
      <c r="A2742" s="20" t="s">
        <v>1731</v>
      </c>
      <c r="E2742" s="23" t="str">
        <f aca="false">IF(D2742="?OLD","!!!","")</f>
        <v/>
      </c>
      <c r="F2742" s="25" t="str">
        <f aca="false">IF(OR(E2742="",E2742="!!!"),"",IF(NOT(ISNA(VLOOKUP(E2742,E$1:E2741,1,FALSE()))),"OLD",IF(AND(E2742&lt;&gt;"",E2742&lt;&gt;"!!!"),"NEW","")))</f>
        <v/>
      </c>
      <c r="G2742" s="26" t="str">
        <f aca="false">IF(OR(E2742="",E2742="!!!"),"",IF(OR(J2742=0,AND(J2742=1,K2742=1),AND(J2742=1,I2742="SBJ"),AND(J2742=1,I2742=0)),"?IN_FOCUS",IF(J2742&lt;=2,"?ACTIVATED",IF(J2742&lt;&gt;"","?FAMILIAR",IF(F2742="NEW",IF(ISNA(VLOOKUP(E2742,#REF!,1,FALSE())),"?TYPE_IDENTIFIABLE","?REFERENTIAL"),"_")))))</f>
        <v/>
      </c>
      <c r="H2742" s="27" t="str">
        <f aca="false">IF(J2742&lt;&gt;1,"",IF(I2742="SBJ","CB","?"))</f>
        <v/>
      </c>
      <c r="I2742" s="24" t="str">
        <f aca="false">IF(OR(E2742="",E2742="!!!",F2742="NEW"),"",INDEX(B2:B$2741,-1+SUMPRODUCT(MAX(ROW(E2:E$2741)*(E2742=E2:E$2741)))))</f>
        <v/>
      </c>
      <c r="J2742" s="24" t="str">
        <f aca="true">IF(OR(E2742="",E2742="!!!",F2742="NEW"),"",COUNTBLANK(OFFSET(A$1,,,SUMPRODUCT(MAX(ROW(E$2:E2742)*(E2742=E$2:E2742)))))-COUNTBLANK(OFFSET(A$1,,,SUMPRODUCT(MAX(ROW(E$1:E2741)*(E2=E$1:E2741))))))</f>
        <v/>
      </c>
      <c r="K2742" s="24" t="str">
        <f aca="false">IF(OR(E2742="",E2742="!!!",F2742="NEW"),"",INDEX(J$1:J2741,SUMPRODUCT(MAX(ROW(E$1:E2741)*(E2742=E$1:E2741)))))</f>
        <v/>
      </c>
      <c r="L2742" s="31"/>
    </row>
    <row r="2743" customFormat="false" ht="15" hidden="false" customHeight="false" outlineLevel="0" collapsed="false">
      <c r="A2743" s="20" t="s">
        <v>2010</v>
      </c>
      <c r="E2743" s="23" t="str">
        <f aca="false">IF(D2743="?OLD","!!!","")</f>
        <v/>
      </c>
      <c r="F2743" s="25" t="str">
        <f aca="false">IF(OR(E2743="",E2743="!!!"),"",IF(NOT(ISNA(VLOOKUP(E2743,E$1:E2742,1,FALSE()))),"OLD",IF(AND(E2743&lt;&gt;"",E2743&lt;&gt;"!!!"),"NEW","")))</f>
        <v/>
      </c>
      <c r="G2743" s="26" t="str">
        <f aca="false">IF(OR(E2743="",E2743="!!!"),"",IF(OR(J2743=0,AND(J2743=1,K2743=1),AND(J2743=1,I2743="SBJ"),AND(J2743=1,I2743=0)),"?IN_FOCUS",IF(J2743&lt;=2,"?ACTIVATED",IF(J2743&lt;&gt;"","?FAMILIAR",IF(F2743="NEW",IF(ISNA(VLOOKUP(E2743,#REF!,1,FALSE())),"?TYPE_IDENTIFIABLE","?REFERENTIAL"),"_")))))</f>
        <v/>
      </c>
      <c r="H2743" s="27" t="str">
        <f aca="false">IF(J2743&lt;&gt;1,"",IF(I2743="SBJ","CB","?"))</f>
        <v/>
      </c>
      <c r="I2743" s="24" t="str">
        <f aca="false">IF(OR(E2743="",E2743="!!!",F2743="NEW"),"",INDEX(B3:B$2741,-1+SUMPRODUCT(MAX(ROW(E3:E$2741)*(E2743=E3:E$2741)))))</f>
        <v/>
      </c>
      <c r="J2743" s="24" t="str">
        <f aca="true">IF(OR(E2743="",E2743="!!!",F2743="NEW"),"",COUNTBLANK(OFFSET(A$1,,,SUMPRODUCT(MAX(ROW(E$2:E2743)*(E2743=E$2:E2743)))))-COUNTBLANK(OFFSET(A$1,,,SUMPRODUCT(MAX(ROW(E$1:E2742)*(E2=E$1:E2742))))))</f>
        <v/>
      </c>
      <c r="K2743" s="24" t="str">
        <f aca="false">IF(OR(E2743="",E2743="!!!",F2743="NEW"),"",INDEX(J$1:J2742,SUMPRODUCT(MAX(ROW(E$1:E2742)*(E2743=E$1:E2742)))))</f>
        <v/>
      </c>
      <c r="L2743" s="31"/>
    </row>
    <row r="2744" customFormat="false" ht="15" hidden="false" customHeight="false" outlineLevel="0" collapsed="false">
      <c r="A2744" s="20" t="s">
        <v>2011</v>
      </c>
      <c r="B2744" s="22" t="s">
        <v>1105</v>
      </c>
      <c r="C2744" s="22" t="s">
        <v>1160</v>
      </c>
      <c r="E2744" s="23" t="str">
        <f aca="false">IF(D2744="?OLD","!!!","")</f>
        <v/>
      </c>
      <c r="F2744" s="25" t="str">
        <f aca="false">IF(OR(E2744="",E2744="!!!"),"",IF(NOT(ISNA(VLOOKUP(E2744,E$1:E2743,1,FALSE()))),"OLD",IF(AND(E2744&lt;&gt;"",E2744&lt;&gt;"!!!"),"NEW","")))</f>
        <v/>
      </c>
      <c r="G2744" s="26" t="str">
        <f aca="false">IF(OR(E2744="",E2744="!!!"),"",IF(OR(J2744=0,AND(J2744=1,K2744=1),AND(J2744=1,I2744="SBJ"),AND(J2744=1,I2744=0)),"?IN_FOCUS",IF(J2744&lt;=2,"?ACTIVATED",IF(J2744&lt;&gt;"","?FAMILIAR",IF(F2744="NEW",IF(ISNA(VLOOKUP(E2744,#REF!,1,FALSE())),"?TYPE_IDENTIFIABLE","?REFERENTIAL"),"_")))))</f>
        <v/>
      </c>
      <c r="H2744" s="27" t="str">
        <f aca="false">IF(J2744&lt;&gt;1,"",IF(I2744="SBJ","CB","?"))</f>
        <v/>
      </c>
      <c r="I2744" s="24" t="str">
        <f aca="false">IF(OR(E2744="",E2744="!!!",F2744="NEW"),"",INDEX(B4:B$2741,-1+SUMPRODUCT(MAX(ROW(E4:E$2741)*(E2744=E4:E$2741)))))</f>
        <v/>
      </c>
      <c r="J2744" s="24" t="str">
        <f aca="true">IF(OR(E2744="",E2744="!!!",F2744="NEW"),"",COUNTBLANK(OFFSET(A$1,,,SUMPRODUCT(MAX(ROW(E$2:E2744)*(E2744=E$2:E2744)))))-COUNTBLANK(OFFSET(A$1,,,SUMPRODUCT(MAX(ROW(E$1:E2743)*(E2=E$1:E2743))))))</f>
        <v/>
      </c>
      <c r="K2744" s="24" t="str">
        <f aca="false">IF(OR(E2744="",E2744="!!!",F2744="NEW"),"",INDEX(J$1:J2743,SUMPRODUCT(MAX(ROW(E$1:E2743)*(E2744=E$1:E2743)))))</f>
        <v/>
      </c>
      <c r="L2744" s="31"/>
    </row>
    <row r="2745" customFormat="false" ht="15" hidden="false" customHeight="false" outlineLevel="0" collapsed="false">
      <c r="A2745" s="20" t="s">
        <v>1128</v>
      </c>
      <c r="E2745" s="23" t="str">
        <f aca="false">IF(D2745="?OLD","!!!","")</f>
        <v/>
      </c>
      <c r="F2745" s="25" t="str">
        <f aca="false">IF(OR(E2745="",E2745="!!!"),"",IF(NOT(ISNA(VLOOKUP(E2745,E$1:E2744,1,FALSE()))),"OLD",IF(AND(E2745&lt;&gt;"",E2745&lt;&gt;"!!!"),"NEW","")))</f>
        <v/>
      </c>
      <c r="G2745" s="26" t="str">
        <f aca="false">IF(OR(E2745="",E2745="!!!"),"",IF(OR(J2745=0,AND(J2745=1,K2745=1),AND(J2745=1,I2745="SBJ"),AND(J2745=1,I2745=0)),"?IN_FOCUS",IF(J2745&lt;=2,"?ACTIVATED",IF(J2745&lt;&gt;"","?FAMILIAR",IF(F2745="NEW",IF(ISNA(VLOOKUP(E2745,#REF!,1,FALSE())),"?TYPE_IDENTIFIABLE","?REFERENTIAL"),"_")))))</f>
        <v/>
      </c>
      <c r="H2745" s="27" t="str">
        <f aca="false">IF(J2745&lt;&gt;1,"",IF(I2745="SBJ","CB","?"))</f>
        <v/>
      </c>
      <c r="I2745" s="24" t="str">
        <f aca="false">IF(OR(E2745="",E2745="!!!",F2745="NEW"),"",INDEX(B5:B$2741,-1+SUMPRODUCT(MAX(ROW(E5:E$2741)*(E2745=E5:E$2741)))))</f>
        <v/>
      </c>
      <c r="J2745" s="24" t="str">
        <f aca="true">IF(OR(E2745="",E2745="!!!",F2745="NEW"),"",COUNTBLANK(OFFSET(A$1,,,SUMPRODUCT(MAX(ROW(E$2:E2745)*(E2745=E$2:E2745)))))-COUNTBLANK(OFFSET(A$1,,,SUMPRODUCT(MAX(ROW(E$1:E2744)*(E2=E$1:E2744))))))</f>
        <v/>
      </c>
      <c r="K2745" s="24" t="str">
        <f aca="false">IF(OR(E2745="",E2745="!!!",F2745="NEW"),"",INDEX(J$1:J2744,SUMPRODUCT(MAX(ROW(E$1:E2744)*(E2745=E$1:E2744)))))</f>
        <v/>
      </c>
      <c r="L2745" s="31"/>
    </row>
    <row r="2746" customFormat="false" ht="15" hidden="false" customHeight="false" outlineLevel="0" collapsed="false">
      <c r="A2746" s="20" t="s">
        <v>2012</v>
      </c>
      <c r="B2746" s="22" t="s">
        <v>1073</v>
      </c>
      <c r="C2746" s="22" t="s">
        <v>1160</v>
      </c>
      <c r="E2746" s="23" t="str">
        <f aca="false">IF(D2746="?OLD","!!!","")</f>
        <v/>
      </c>
      <c r="F2746" s="25" t="str">
        <f aca="false">IF(OR(E2746="",E2746="!!!"),"",IF(NOT(ISNA(VLOOKUP(E2746,E$1:E2745,1,FALSE()))),"OLD",IF(AND(E2746&lt;&gt;"",E2746&lt;&gt;"!!!"),"NEW","")))</f>
        <v/>
      </c>
      <c r="G2746" s="26" t="str">
        <f aca="false">IF(OR(E2746="",E2746="!!!"),"",IF(OR(J2746=0,AND(J2746=1,K2746=1),AND(J2746=1,I2746="SBJ"),AND(J2746=1,I2746=0)),"?IN_FOCUS",IF(J2746&lt;=2,"?ACTIVATED",IF(J2746&lt;&gt;"","?FAMILIAR",IF(F2746="NEW",IF(ISNA(VLOOKUP(E2746,#REF!,1,FALSE())),"?TYPE_IDENTIFIABLE","?REFERENTIAL"),"_")))))</f>
        <v/>
      </c>
      <c r="H2746" s="27" t="str">
        <f aca="false">IF(J2746&lt;&gt;1,"",IF(I2746="SBJ","CB","?"))</f>
        <v/>
      </c>
      <c r="I2746" s="24" t="str">
        <f aca="false">IF(OR(E2746="",E2746="!!!",F2746="NEW"),"",INDEX(B6:B$2741,-1+SUMPRODUCT(MAX(ROW(E6:E$2741)*(E2746=E6:E$2741)))))</f>
        <v/>
      </c>
      <c r="J2746" s="24" t="str">
        <f aca="true">IF(OR(E2746="",E2746="!!!",F2746="NEW"),"",COUNTBLANK(OFFSET(A$1,,,SUMPRODUCT(MAX(ROW(E$2:E2746)*(E2746=E$2:E2746)))))-COUNTBLANK(OFFSET(A$1,,,SUMPRODUCT(MAX(ROW(E$1:E2745)*(E2=E$1:E2745))))))</f>
        <v/>
      </c>
      <c r="K2746" s="24" t="str">
        <f aca="false">IF(OR(E2746="",E2746="!!!",F2746="NEW"),"",INDEX(J$1:J2745,SUMPRODUCT(MAX(ROW(E$1:E2745)*(E2746=E$1:E2745)))))</f>
        <v/>
      </c>
      <c r="L2746" s="31"/>
    </row>
    <row r="2747" customFormat="false" ht="15" hidden="false" customHeight="false" outlineLevel="0" collapsed="false">
      <c r="A2747" s="20" t="s">
        <v>1080</v>
      </c>
      <c r="B2747" s="22" t="s">
        <v>1058</v>
      </c>
      <c r="C2747" s="22" t="s">
        <v>1082</v>
      </c>
      <c r="D2747" s="22" t="s">
        <v>1060</v>
      </c>
      <c r="E2747" s="23" t="str">
        <f aca="false">IF(D2747="?OLD","!!!","")</f>
        <v>!!!</v>
      </c>
      <c r="F2747" s="25" t="str">
        <f aca="false">IF(OR(E2747="",E2747="!!!"),"",IF(NOT(ISNA(VLOOKUP(E2747,E$1:E2746,1,FALSE()))),"OLD",IF(AND(E2747&lt;&gt;"",E2747&lt;&gt;"!!!"),"NEW","")))</f>
        <v/>
      </c>
      <c r="G2747" s="26" t="str">
        <f aca="false">IF(OR(E2747="",E2747="!!!"),"",IF(OR(J2747=0,AND(J2747=1,K2747=1),AND(J2747=1,I2747="SBJ"),AND(J2747=1,I2747=0)),"?IN_FOCUS",IF(J2747&lt;=2,"?ACTIVATED",IF(J2747&lt;&gt;"","?FAMILIAR",IF(F2747="NEW",IF(ISNA(VLOOKUP(E2747,#REF!,1,FALSE())),"?TYPE_IDENTIFIABLE","?REFERENTIAL"),"_")))))</f>
        <v/>
      </c>
      <c r="H2747" s="27" t="str">
        <f aca="false">IF(J2747&lt;&gt;1,"",IF(I2747="SBJ","CB","?"))</f>
        <v/>
      </c>
      <c r="I2747" s="24" t="str">
        <f aca="false">IF(OR(E2747="",E2747="!!!",F2747="NEW"),"",INDEX(B7:B$2741,-1+SUMPRODUCT(MAX(ROW(E7:E$2741)*(E2747=E7:E$2741)))))</f>
        <v/>
      </c>
      <c r="J2747" s="24" t="str">
        <f aca="true">IF(OR(E2747="",E2747="!!!",F2747="NEW"),"",COUNTBLANK(OFFSET(A$1,,,SUMPRODUCT(MAX(ROW(E$2:E2747)*(E2747=E$2:E2747)))))-COUNTBLANK(OFFSET(A$1,,,SUMPRODUCT(MAX(ROW(E$1:E2746)*(E2=E$1:E2746))))))</f>
        <v/>
      </c>
      <c r="K2747" s="24" t="str">
        <f aca="false">IF(OR(E2747="",E2747="!!!",F2747="NEW"),"",INDEX(J$1:J2746,SUMPRODUCT(MAX(ROW(E$1:E2746)*(E2747=E$1:E2746)))))</f>
        <v/>
      </c>
      <c r="L2747" s="31"/>
    </row>
    <row r="2748" customFormat="false" ht="15" hidden="false" customHeight="false" outlineLevel="0" collapsed="false">
      <c r="A2748" s="20" t="s">
        <v>1092</v>
      </c>
      <c r="E2748" s="23" t="str">
        <f aca="false">IF(D2748="?OLD","!!!","")</f>
        <v/>
      </c>
      <c r="F2748" s="25" t="str">
        <f aca="false">IF(OR(E2748="",E2748="!!!"),"",IF(NOT(ISNA(VLOOKUP(E2748,E$1:E2747,1,FALSE()))),"OLD",IF(AND(E2748&lt;&gt;"",E2748&lt;&gt;"!!!"),"NEW","")))</f>
        <v/>
      </c>
      <c r="G2748" s="26" t="str">
        <f aca="false">IF(OR(E2748="",E2748="!!!"),"",IF(OR(J2748=0,AND(J2748=1,K2748=1),AND(J2748=1,I2748="SBJ"),AND(J2748=1,I2748=0)),"?IN_FOCUS",IF(J2748&lt;=2,"?ACTIVATED",IF(J2748&lt;&gt;"","?FAMILIAR",IF(F2748="NEW",IF(ISNA(VLOOKUP(E2748,#REF!,1,FALSE())),"?TYPE_IDENTIFIABLE","?REFERENTIAL"),"_")))))</f>
        <v/>
      </c>
      <c r="H2748" s="27" t="str">
        <f aca="false">IF(J2748&lt;&gt;1,"",IF(I2748="SBJ","CB","?"))</f>
        <v/>
      </c>
      <c r="I2748" s="24" t="str">
        <f aca="false">IF(OR(E2748="",E2748="!!!",F2748="NEW"),"",INDEX(B8:B$2741,-1+SUMPRODUCT(MAX(ROW(E8:E$2741)*(E2748=E8:E$2741)))))</f>
        <v/>
      </c>
      <c r="J2748" s="24" t="str">
        <f aca="true">IF(OR(E2748="",E2748="!!!",F2748="NEW"),"",COUNTBLANK(OFFSET(A$1,,,SUMPRODUCT(MAX(ROW(E$2:E2748)*(E2748=E$2:E2748)))))-COUNTBLANK(OFFSET(A$1,,,SUMPRODUCT(MAX(ROW(E$1:E2747)*(E2=E$1:E2747))))))</f>
        <v/>
      </c>
      <c r="K2748" s="24" t="str">
        <f aca="false">IF(OR(E2748="",E2748="!!!",F2748="NEW"),"",INDEX(J$1:J2747,SUMPRODUCT(MAX(ROW(E$1:E2747)*(E2748=E$1:E2747)))))</f>
        <v/>
      </c>
      <c r="L2748" s="31"/>
    </row>
    <row r="2749" customFormat="false" ht="15" hidden="false" customHeight="false" outlineLevel="0" collapsed="false">
      <c r="A2749" s="20" t="s">
        <v>1085</v>
      </c>
      <c r="E2749" s="23" t="str">
        <f aca="false">IF(D2749="?OLD","!!!","")</f>
        <v/>
      </c>
      <c r="F2749" s="25" t="str">
        <f aca="false">IF(OR(E2749="",E2749="!!!"),"",IF(NOT(ISNA(VLOOKUP(E2749,E$1:E2748,1,FALSE()))),"OLD",IF(AND(E2749&lt;&gt;"",E2749&lt;&gt;"!!!"),"NEW","")))</f>
        <v/>
      </c>
      <c r="G2749" s="26" t="str">
        <f aca="false">IF(OR(E2749="",E2749="!!!"),"",IF(OR(J2749=0,AND(J2749=1,K2749=1),AND(J2749=1,I2749="SBJ"),AND(J2749=1,I2749=0)),"?IN_FOCUS",IF(J2749&lt;=2,"?ACTIVATED",IF(J2749&lt;&gt;"","?FAMILIAR",IF(F2749="NEW",IF(ISNA(VLOOKUP(E2749,#REF!,1,FALSE())),"?TYPE_IDENTIFIABLE","?REFERENTIAL"),"_")))))</f>
        <v/>
      </c>
      <c r="H2749" s="27" t="str">
        <f aca="false">IF(J2749&lt;&gt;1,"",IF(I2749="SBJ","CB","?"))</f>
        <v/>
      </c>
      <c r="I2749" s="24" t="str">
        <f aca="false">IF(OR(E2749="",E2749="!!!",F2749="NEW"),"",INDEX(B9:B$2741,-1+SUMPRODUCT(MAX(ROW(E9:E$2741)*(E2749=E9:E$2741)))))</f>
        <v/>
      </c>
      <c r="J2749" s="24" t="str">
        <f aca="true">IF(OR(E2749="",E2749="!!!",F2749="NEW"),"",COUNTBLANK(OFFSET(A$1,,,SUMPRODUCT(MAX(ROW(E$2:E2749)*(E2749=E$2:E2749)))))-COUNTBLANK(OFFSET(A$1,,,SUMPRODUCT(MAX(ROW(E$1:E2748)*(E2=E$1:E2748))))))</f>
        <v/>
      </c>
      <c r="K2749" s="24" t="str">
        <f aca="false">IF(OR(E2749="",E2749="!!!",F2749="NEW"),"",INDEX(J$1:J2748,SUMPRODUCT(MAX(ROW(E$1:E2748)*(E2749=E$1:E2748)))))</f>
        <v/>
      </c>
      <c r="L2749" s="31"/>
    </row>
    <row r="2750" customFormat="false" ht="15" hidden="false" customHeight="false" outlineLevel="0" collapsed="false">
      <c r="A2750" s="20" t="s">
        <v>2013</v>
      </c>
      <c r="E2750" s="23" t="str">
        <f aca="false">IF(D2750="?OLD","!!!","")</f>
        <v/>
      </c>
      <c r="F2750" s="25" t="str">
        <f aca="false">IF(OR(E2750="",E2750="!!!"),"",IF(NOT(ISNA(VLOOKUP(E2750,E$1:E2749,1,FALSE()))),"OLD",IF(AND(E2750&lt;&gt;"",E2750&lt;&gt;"!!!"),"NEW","")))</f>
        <v/>
      </c>
      <c r="G2750" s="26" t="str">
        <f aca="false">IF(OR(E2750="",E2750="!!!"),"",IF(OR(J2750=0,AND(J2750=1,K2750=1),AND(J2750=1,I2750="SBJ"),AND(J2750=1,I2750=0)),"?IN_FOCUS",IF(J2750&lt;=2,"?ACTIVATED",IF(J2750&lt;&gt;"","?FAMILIAR",IF(F2750="NEW",IF(ISNA(VLOOKUP(E2750,#REF!,1,FALSE())),"?TYPE_IDENTIFIABLE","?REFERENTIAL"),"_")))))</f>
        <v/>
      </c>
      <c r="H2750" s="27" t="str">
        <f aca="false">IF(J2750&lt;&gt;1,"",IF(I2750="SBJ","CB","?"))</f>
        <v/>
      </c>
      <c r="I2750" s="24" t="str">
        <f aca="false">IF(OR(E2750="",E2750="!!!",F2750="NEW"),"",INDEX(B10:B$2741,-1+SUMPRODUCT(MAX(ROW(E10:E$2741)*(E2750=E10:E$2741)))))</f>
        <v/>
      </c>
      <c r="J2750" s="24" t="str">
        <f aca="true">IF(OR(E2750="",E2750="!!!",F2750="NEW"),"",COUNTBLANK(OFFSET(A$1,,,SUMPRODUCT(MAX(ROW(E$2:E2750)*(E2750=E$2:E2750)))))-COUNTBLANK(OFFSET(A$1,,,SUMPRODUCT(MAX(ROW(E$1:E2749)*(E2=E$1:E2749))))))</f>
        <v/>
      </c>
      <c r="K2750" s="24" t="str">
        <f aca="false">IF(OR(E2750="",E2750="!!!",F2750="NEW"),"",INDEX(J$1:J2749,SUMPRODUCT(MAX(ROW(E$1:E2749)*(E2750=E$1:E2749)))))</f>
        <v/>
      </c>
      <c r="L2750" s="31"/>
    </row>
    <row r="2751" customFormat="false" ht="15" hidden="false" customHeight="false" outlineLevel="0" collapsed="false">
      <c r="A2751" s="20" t="s">
        <v>1890</v>
      </c>
      <c r="B2751" s="22" t="s">
        <v>1105</v>
      </c>
      <c r="C2751" s="22" t="s">
        <v>1087</v>
      </c>
      <c r="E2751" s="23" t="str">
        <f aca="false">IF(D2751="?OLD","!!!","")</f>
        <v/>
      </c>
      <c r="F2751" s="25" t="str">
        <f aca="false">IF(OR(E2751="",E2751="!!!"),"",IF(NOT(ISNA(VLOOKUP(E2751,E$1:E2750,1,FALSE()))),"OLD",IF(AND(E2751&lt;&gt;"",E2751&lt;&gt;"!!!"),"NEW","")))</f>
        <v/>
      </c>
      <c r="G2751" s="26" t="str">
        <f aca="false">IF(OR(E2751="",E2751="!!!"),"",IF(OR(J2751=0,AND(J2751=1,K2751=1),AND(J2751=1,I2751="SBJ"),AND(J2751=1,I2751=0)),"?IN_FOCUS",IF(J2751&lt;=2,"?ACTIVATED",IF(J2751&lt;&gt;"","?FAMILIAR",IF(F2751="NEW",IF(ISNA(VLOOKUP(E2751,#REF!,1,FALSE())),"?TYPE_IDENTIFIABLE","?REFERENTIAL"),"_")))))</f>
        <v/>
      </c>
      <c r="H2751" s="27" t="str">
        <f aca="false">IF(J2751&lt;&gt;1,"",IF(I2751="SBJ","CB","?"))</f>
        <v/>
      </c>
      <c r="I2751" s="24" t="str">
        <f aca="false">IF(OR(E2751="",E2751="!!!",F2751="NEW"),"",INDEX(B11:B$2741,-1+SUMPRODUCT(MAX(ROW(E11:E$2741)*(E2751=E11:E$2741)))))</f>
        <v/>
      </c>
      <c r="J2751" s="24" t="str">
        <f aca="true">IF(OR(E2751="",E2751="!!!",F2751="NEW"),"",COUNTBLANK(OFFSET(A$1,,,SUMPRODUCT(MAX(ROW(E$2:E2751)*(E2751=E$2:E2751)))))-COUNTBLANK(OFFSET(A$1,,,SUMPRODUCT(MAX(ROW(E$1:E2750)*(E2=E$1:E2750))))))</f>
        <v/>
      </c>
      <c r="K2751" s="24" t="str">
        <f aca="false">IF(OR(E2751="",E2751="!!!",F2751="NEW"),"",INDEX(J$1:J2750,SUMPRODUCT(MAX(ROW(E$1:E2750)*(E2751=E$1:E2750)))))</f>
        <v/>
      </c>
      <c r="L2751" s="31"/>
    </row>
    <row r="2752" customFormat="false" ht="15" hidden="false" customHeight="false" outlineLevel="0" collapsed="false">
      <c r="A2752" s="20" t="s">
        <v>1125</v>
      </c>
      <c r="B2752" s="22" t="s">
        <v>1086</v>
      </c>
      <c r="E2752" s="23" t="str">
        <f aca="false">IF(D2752="?OLD","!!!","")</f>
        <v/>
      </c>
      <c r="F2752" s="25" t="str">
        <f aca="false">IF(OR(E2752="",E2752="!!!"),"",IF(NOT(ISNA(VLOOKUP(E2752,E$1:E2751,1,FALSE()))),"OLD",IF(AND(E2752&lt;&gt;"",E2752&lt;&gt;"!!!"),"NEW","")))</f>
        <v/>
      </c>
      <c r="G2752" s="26" t="str">
        <f aca="false">IF(OR(E2752="",E2752="!!!"),"",IF(OR(J2752=0,AND(J2752=1,K2752=1),AND(J2752=1,I2752="SBJ"),AND(J2752=1,I2752=0)),"?IN_FOCUS",IF(J2752&lt;=2,"?ACTIVATED",IF(J2752&lt;&gt;"","?FAMILIAR",IF(F2752="NEW",IF(ISNA(VLOOKUP(E2752,#REF!,1,FALSE())),"?TYPE_IDENTIFIABLE","?REFERENTIAL"),"_")))))</f>
        <v/>
      </c>
      <c r="H2752" s="27" t="str">
        <f aca="false">IF(J2752&lt;&gt;1,"",IF(I2752="SBJ","CB","?"))</f>
        <v/>
      </c>
      <c r="I2752" s="24" t="str">
        <f aca="false">IF(OR(E2752="",E2752="!!!",F2752="NEW"),"",INDEX(B12:B$2741,-1+SUMPRODUCT(MAX(ROW(E12:E$2741)*(E2752=E12:E$2741)))))</f>
        <v/>
      </c>
      <c r="J2752" s="24" t="str">
        <f aca="true">IF(OR(E2752="",E2752="!!!",F2752="NEW"),"",COUNTBLANK(OFFSET(A$1,,,SUMPRODUCT(MAX(ROW(E$2:E2752)*(E2752=E$2:E2752)))))-COUNTBLANK(OFFSET(A$1,,,SUMPRODUCT(MAX(ROW(E$1:E2751)*(E2=E$1:E2751))))))</f>
        <v/>
      </c>
      <c r="K2752" s="24" t="str">
        <f aca="false">IF(OR(E2752="",E2752="!!!",F2752="NEW"),"",INDEX(J$1:J2751,SUMPRODUCT(MAX(ROW(E$1:E2751)*(E2752=E$1:E2751)))))</f>
        <v/>
      </c>
      <c r="L2752" s="31"/>
    </row>
    <row r="2753" customFormat="false" ht="15" hidden="false" customHeight="false" outlineLevel="0" collapsed="false">
      <c r="A2753" s="20" t="s">
        <v>1092</v>
      </c>
      <c r="E2753" s="23" t="str">
        <f aca="false">IF(D2753="?OLD","!!!","")</f>
        <v/>
      </c>
      <c r="F2753" s="25" t="str">
        <f aca="false">IF(OR(E2753="",E2753="!!!"),"",IF(NOT(ISNA(VLOOKUP(E2753,E$1:E2752,1,FALSE()))),"OLD",IF(AND(E2753&lt;&gt;"",E2753&lt;&gt;"!!!"),"NEW","")))</f>
        <v/>
      </c>
      <c r="G2753" s="26" t="str">
        <f aca="false">IF(OR(E2753="",E2753="!!!"),"",IF(OR(J2753=0,AND(J2753=1,K2753=1),AND(J2753=1,I2753="SBJ"),AND(J2753=1,I2753=0)),"?IN_FOCUS",IF(J2753&lt;=2,"?ACTIVATED",IF(J2753&lt;&gt;"","?FAMILIAR",IF(F2753="NEW",IF(ISNA(VLOOKUP(E2753,#REF!,1,FALSE())),"?TYPE_IDENTIFIABLE","?REFERENTIAL"),"_")))))</f>
        <v/>
      </c>
      <c r="H2753" s="27" t="str">
        <f aca="false">IF(J2753&lt;&gt;1,"",IF(I2753="SBJ","CB","?"))</f>
        <v/>
      </c>
      <c r="I2753" s="24" t="str">
        <f aca="false">IF(OR(E2753="",E2753="!!!",F2753="NEW"),"",INDEX(B13:B$2741,-1+SUMPRODUCT(MAX(ROW(E13:E$2741)*(E2753=E13:E$2741)))))</f>
        <v/>
      </c>
      <c r="J2753" s="24" t="str">
        <f aca="true">IF(OR(E2753="",E2753="!!!",F2753="NEW"),"",COUNTBLANK(OFFSET(A$1,,,SUMPRODUCT(MAX(ROW(E$2:E2753)*(E2753=E$2:E2753)))))-COUNTBLANK(OFFSET(A$1,,,SUMPRODUCT(MAX(ROW(E$1:E2752)*(E2=E$1:E2752))))))</f>
        <v/>
      </c>
      <c r="K2753" s="24" t="str">
        <f aca="false">IF(OR(E2753="",E2753="!!!",F2753="NEW"),"",INDEX(J$1:J2752,SUMPRODUCT(MAX(ROW(E$1:E2752)*(E2753=E$1:E2752)))))</f>
        <v/>
      </c>
      <c r="L2753" s="31"/>
    </row>
    <row r="2754" customFormat="false" ht="15" hidden="false" customHeight="false" outlineLevel="0" collapsed="false">
      <c r="A2754" s="20" t="s">
        <v>2014</v>
      </c>
      <c r="E2754" s="23" t="str">
        <f aca="false">IF(D2754="?OLD","!!!","")</f>
        <v/>
      </c>
      <c r="F2754" s="25" t="str">
        <f aca="false">IF(OR(E2754="",E2754="!!!"),"",IF(NOT(ISNA(VLOOKUP(E2754,E$1:E2753,1,FALSE()))),"OLD",IF(AND(E2754&lt;&gt;"",E2754&lt;&gt;"!!!"),"NEW","")))</f>
        <v/>
      </c>
      <c r="G2754" s="26" t="str">
        <f aca="false">IF(OR(E2754="",E2754="!!!"),"",IF(OR(J2754=0,AND(J2754=1,K2754=1),AND(J2754=1,I2754="SBJ"),AND(J2754=1,I2754=0)),"?IN_FOCUS",IF(J2754&lt;=2,"?ACTIVATED",IF(J2754&lt;&gt;"","?FAMILIAR",IF(F2754="NEW",IF(ISNA(VLOOKUP(E2754,#REF!,1,FALSE())),"?TYPE_IDENTIFIABLE","?REFERENTIAL"),"_")))))</f>
        <v/>
      </c>
      <c r="H2754" s="27" t="str">
        <f aca="false">IF(J2754&lt;&gt;1,"",IF(I2754="SBJ","CB","?"))</f>
        <v/>
      </c>
      <c r="I2754" s="24" t="str">
        <f aca="false">IF(OR(E2754="",E2754="!!!",F2754="NEW"),"",INDEX(B14:B$2741,-1+SUMPRODUCT(MAX(ROW(E14:E$2741)*(E2754=E14:E$2741)))))</f>
        <v/>
      </c>
      <c r="J2754" s="24" t="str">
        <f aca="true">IF(OR(E2754="",E2754="!!!",F2754="NEW"),"",COUNTBLANK(OFFSET(A$1,,,SUMPRODUCT(MAX(ROW(E$2:E2754)*(E2754=E$2:E2754)))))-COUNTBLANK(OFFSET(A$1,,,SUMPRODUCT(MAX(ROW(E$1:E2753)*(E2=E$1:E2753))))))</f>
        <v/>
      </c>
      <c r="K2754" s="24" t="str">
        <f aca="false">IF(OR(E2754="",E2754="!!!",F2754="NEW"),"",INDEX(J$1:J2753,SUMPRODUCT(MAX(ROW(E$1:E2753)*(E2754=E$1:E2753)))))</f>
        <v/>
      </c>
      <c r="L2754" s="31"/>
    </row>
    <row r="2755" customFormat="false" ht="15" hidden="false" customHeight="false" outlineLevel="0" collapsed="false">
      <c r="A2755" s="20" t="s">
        <v>1672</v>
      </c>
      <c r="E2755" s="23" t="str">
        <f aca="false">IF(D2755="?OLD","!!!","")</f>
        <v/>
      </c>
      <c r="F2755" s="25" t="str">
        <f aca="false">IF(OR(E2755="",E2755="!!!"),"",IF(NOT(ISNA(VLOOKUP(E2755,E$1:E2754,1,FALSE()))),"OLD",IF(AND(E2755&lt;&gt;"",E2755&lt;&gt;"!!!"),"NEW","")))</f>
        <v/>
      </c>
      <c r="G2755" s="26" t="str">
        <f aca="false">IF(OR(E2755="",E2755="!!!"),"",IF(OR(J2755=0,AND(J2755=1,K2755=1),AND(J2755=1,I2755="SBJ"),AND(J2755=1,I2755=0)),"?IN_FOCUS",IF(J2755&lt;=2,"?ACTIVATED",IF(J2755&lt;&gt;"","?FAMILIAR",IF(F2755="NEW",IF(ISNA(VLOOKUP(E2755,#REF!,1,FALSE())),"?TYPE_IDENTIFIABLE","?REFERENTIAL"),"_")))))</f>
        <v/>
      </c>
      <c r="H2755" s="27" t="str">
        <f aca="false">IF(J2755&lt;&gt;1,"",IF(I2755="SBJ","CB","?"))</f>
        <v/>
      </c>
      <c r="I2755" s="24" t="str">
        <f aca="false">IF(OR(E2755="",E2755="!!!",F2755="NEW"),"",INDEX(B15:B$2741,-1+SUMPRODUCT(MAX(ROW(E15:E$2741)*(E2755=E15:E$2741)))))</f>
        <v/>
      </c>
      <c r="J2755" s="24" t="str">
        <f aca="true">IF(OR(E2755="",E2755="!!!",F2755="NEW"),"",COUNTBLANK(OFFSET(A$1,,,SUMPRODUCT(MAX(ROW(E$2:E2755)*(E2755=E$2:E2755)))))-COUNTBLANK(OFFSET(A$1,,,SUMPRODUCT(MAX(ROW(E$1:E2754)*(E2=E$1:E2754))))))</f>
        <v/>
      </c>
      <c r="K2755" s="24" t="str">
        <f aca="false">IF(OR(E2755="",E2755="!!!",F2755="NEW"),"",INDEX(J$1:J2754,SUMPRODUCT(MAX(ROW(E$1:E2754)*(E2755=E$1:E2754)))))</f>
        <v/>
      </c>
      <c r="L2755" s="31"/>
    </row>
    <row r="2756" customFormat="false" ht="15" hidden="false" customHeight="false" outlineLevel="0" collapsed="false">
      <c r="A2756" s="20" t="s">
        <v>1641</v>
      </c>
      <c r="E2756" s="23" t="str">
        <f aca="false">IF(D2756="?OLD","!!!","")</f>
        <v/>
      </c>
      <c r="F2756" s="25" t="str">
        <f aca="false">IF(OR(E2756="",E2756="!!!"),"",IF(NOT(ISNA(VLOOKUP(E2756,E$1:E2755,1,FALSE()))),"OLD",IF(AND(E2756&lt;&gt;"",E2756&lt;&gt;"!!!"),"NEW","")))</f>
        <v/>
      </c>
      <c r="G2756" s="26" t="str">
        <f aca="false">IF(OR(E2756="",E2756="!!!"),"",IF(OR(J2756=0,AND(J2756=1,K2756=1),AND(J2756=1,I2756="SBJ"),AND(J2756=1,I2756=0)),"?IN_FOCUS",IF(J2756&lt;=2,"?ACTIVATED",IF(J2756&lt;&gt;"","?FAMILIAR",IF(F2756="NEW",IF(ISNA(VLOOKUP(E2756,#REF!,1,FALSE())),"?TYPE_IDENTIFIABLE","?REFERENTIAL"),"_")))))</f>
        <v/>
      </c>
      <c r="H2756" s="27" t="str">
        <f aca="false">IF(J2756&lt;&gt;1,"",IF(I2756="SBJ","CB","?"))</f>
        <v/>
      </c>
      <c r="I2756" s="24" t="str">
        <f aca="false">IF(OR(E2756="",E2756="!!!",F2756="NEW"),"",INDEX(B16:B$2741,-1+SUMPRODUCT(MAX(ROW(E16:E$2741)*(E2756=E16:E$2741)))))</f>
        <v/>
      </c>
      <c r="J2756" s="24" t="str">
        <f aca="true">IF(OR(E2756="",E2756="!!!",F2756="NEW"),"",COUNTBLANK(OFFSET(A$1,,,SUMPRODUCT(MAX(ROW(E$2:E2756)*(E2756=E$2:E2756)))))-COUNTBLANK(OFFSET(A$1,,,SUMPRODUCT(MAX(ROW(E$1:E2755)*(E2=E$1:E2755))))))</f>
        <v/>
      </c>
      <c r="K2756" s="24" t="str">
        <f aca="false">IF(OR(E2756="",E2756="!!!",F2756="NEW"),"",INDEX(J$1:J2755,SUMPRODUCT(MAX(ROW(E$1:E2755)*(E2756=E$1:E2755)))))</f>
        <v/>
      </c>
      <c r="L2756" s="31"/>
    </row>
    <row r="2757" customFormat="false" ht="15" hidden="false" customHeight="false" outlineLevel="0" collapsed="false">
      <c r="A2757" s="20" t="s">
        <v>1179</v>
      </c>
      <c r="B2757" s="22" t="s">
        <v>1067</v>
      </c>
      <c r="C2757" s="22" t="s">
        <v>1082</v>
      </c>
      <c r="D2757" s="22" t="s">
        <v>1060</v>
      </c>
      <c r="E2757" s="23" t="str">
        <f aca="false">IF(D2757="?OLD","!!!","")</f>
        <v>!!!</v>
      </c>
      <c r="F2757" s="25" t="str">
        <f aca="false">IF(OR(E2757="",E2757="!!!"),"",IF(NOT(ISNA(VLOOKUP(E2757,E$1:E2756,1,FALSE()))),"OLD",IF(AND(E2757&lt;&gt;"",E2757&lt;&gt;"!!!"),"NEW","")))</f>
        <v/>
      </c>
      <c r="G2757" s="26" t="str">
        <f aca="false">IF(OR(E2757="",E2757="!!!"),"",IF(OR(J2757=0,AND(J2757=1,K2757=1),AND(J2757=1,I2757="SBJ"),AND(J2757=1,I2757=0)),"?IN_FOCUS",IF(J2757&lt;=2,"?ACTIVATED",IF(J2757&lt;&gt;"","?FAMILIAR",IF(F2757="NEW",IF(ISNA(VLOOKUP(E2757,#REF!,1,FALSE())),"?TYPE_IDENTIFIABLE","?REFERENTIAL"),"_")))))</f>
        <v/>
      </c>
      <c r="H2757" s="27" t="str">
        <f aca="false">IF(J2757&lt;&gt;1,"",IF(I2757="SBJ","CB","?"))</f>
        <v/>
      </c>
      <c r="I2757" s="24" t="str">
        <f aca="false">IF(OR(E2757="",E2757="!!!",F2757="NEW"),"",INDEX(B17:B$2741,-1+SUMPRODUCT(MAX(ROW(E17:E$2741)*(E2757=E17:E$2741)))))</f>
        <v/>
      </c>
      <c r="J2757" s="24" t="str">
        <f aca="true">IF(OR(E2757="",E2757="!!!",F2757="NEW"),"",COUNTBLANK(OFFSET(A$1,,,SUMPRODUCT(MAX(ROW(E$2:E2757)*(E2757=E$2:E2757)))))-COUNTBLANK(OFFSET(A$1,,,SUMPRODUCT(MAX(ROW(E$1:E2756)*(E2=E$1:E2756))))))</f>
        <v/>
      </c>
      <c r="K2757" s="24" t="str">
        <f aca="false">IF(OR(E2757="",E2757="!!!",F2757="NEW"),"",INDEX(J$1:J2756,SUMPRODUCT(MAX(ROW(E$1:E2756)*(E2757=E$1:E2756)))))</f>
        <v/>
      </c>
      <c r="L2757" s="31"/>
    </row>
    <row r="2758" customFormat="false" ht="15" hidden="false" customHeight="false" outlineLevel="0" collapsed="false">
      <c r="A2758" s="20" t="s">
        <v>923</v>
      </c>
      <c r="E2758" s="23" t="str">
        <f aca="false">IF(D2758="?OLD","!!!","")</f>
        <v/>
      </c>
      <c r="F2758" s="25" t="str">
        <f aca="false">IF(OR(E2758="",E2758="!!!"),"",IF(NOT(ISNA(VLOOKUP(E2758,E$1:E2757,1,FALSE()))),"OLD",IF(AND(E2758&lt;&gt;"",E2758&lt;&gt;"!!!"),"NEW","")))</f>
        <v/>
      </c>
      <c r="G2758" s="26" t="str">
        <f aca="false">IF(OR(E2758="",E2758="!!!"),"",IF(OR(J2758=0,AND(J2758=1,K2758=1),AND(J2758=1,I2758="SBJ"),AND(J2758=1,I2758=0)),"?IN_FOCUS",IF(J2758&lt;=2,"?ACTIVATED",IF(J2758&lt;&gt;"","?FAMILIAR",IF(F2758="NEW",IF(ISNA(VLOOKUP(E2758,#REF!,1,FALSE())),"?TYPE_IDENTIFIABLE","?REFERENTIAL"),"_")))))</f>
        <v/>
      </c>
      <c r="H2758" s="27" t="str">
        <f aca="false">IF(J2758&lt;&gt;1,"",IF(I2758="SBJ","CB","?"))</f>
        <v/>
      </c>
      <c r="I2758" s="24" t="str">
        <f aca="false">IF(OR(E2758="",E2758="!!!",F2758="NEW"),"",INDEX(B18:B$2741,-1+SUMPRODUCT(MAX(ROW(E18:E$2741)*(E2758=E18:E$2741)))))</f>
        <v/>
      </c>
      <c r="J2758" s="24" t="str">
        <f aca="true">IF(OR(E2758="",E2758="!!!",F2758="NEW"),"",COUNTBLANK(OFFSET(A$1,,,SUMPRODUCT(MAX(ROW(E$2:E2758)*(E2758=E$2:E2758)))))-COUNTBLANK(OFFSET(A$1,,,SUMPRODUCT(MAX(ROW(E$1:E2757)*(E2=E$1:E2757))))))</f>
        <v/>
      </c>
      <c r="K2758" s="24" t="str">
        <f aca="false">IF(OR(E2758="",E2758="!!!",F2758="NEW"),"",INDEX(J$1:J2757,SUMPRODUCT(MAX(ROW(E$1:E2757)*(E2758=E$1:E2757)))))</f>
        <v/>
      </c>
      <c r="L2758" s="31"/>
    </row>
    <row r="2759" customFormat="false" ht="15" hidden="false" customHeight="false" outlineLevel="0" collapsed="false">
      <c r="A2759" s="20"/>
    </row>
    <row r="2760" customFormat="false" ht="15" hidden="false" customHeight="false" outlineLevel="0" collapsed="false">
      <c r="A2760" s="20" t="s">
        <v>2015</v>
      </c>
    </row>
    <row r="2761" customFormat="false" ht="15" hidden="false" customHeight="false" outlineLevel="0" collapsed="false">
      <c r="A2761" s="20" t="s">
        <v>1261</v>
      </c>
      <c r="B2761" s="22" t="s">
        <v>1058</v>
      </c>
      <c r="C2761" s="22" t="s">
        <v>1082</v>
      </c>
      <c r="D2761" s="22" t="s">
        <v>1060</v>
      </c>
      <c r="E2761" s="23" t="str">
        <f aca="false">IF(D2761="?OLD","!!!","")</f>
        <v>!!!</v>
      </c>
      <c r="F2761" s="25" t="str">
        <f aca="false">IF(OR(E2761="",E2761="!!!"),"",IF(NOT(ISNA(VLOOKUP(E2761,E$1:E2760,1,FALSE()))),"OLD",IF(AND(E2761&lt;&gt;"",E2761&lt;&gt;"!!!"),"NEW","")))</f>
        <v/>
      </c>
      <c r="G2761" s="26" t="str">
        <f aca="false">IF(OR(E2761="",E2761="!!!"),"",IF(OR(J2761=0,AND(J2761=1,K2761=1),AND(J2761=1,I2761="SBJ"),AND(J2761=1,I2761=0)),"?IN_FOCUS",IF(J2761&lt;=2,"?ACTIVATED",IF(J2761&lt;&gt;"","?FAMILIAR",IF(F2761="NEW",IF(ISNA(VLOOKUP(E2761,#REF!,1,FALSE())),"?TYPE_IDENTIFIABLE","?REFERENTIAL"),"_")))))</f>
        <v/>
      </c>
      <c r="H2761" s="27" t="str">
        <f aca="false">IF(J2761&lt;&gt;1,"",IF(I2761="SBJ","CB","?"))</f>
        <v/>
      </c>
      <c r="I2761" s="24" t="str">
        <f aca="false">IF(OR(E2761="",E2761="!!!",F2761="NEW"),"",INDEX(B2:B$2760,-1+SUMPRODUCT(MAX(ROW(E2:E$2760)*(E2761=E2:E$2760)))))</f>
        <v/>
      </c>
      <c r="J2761" s="24" t="str">
        <f aca="true">IF(OR(E2761="",E2761="!!!",F2761="NEW"),"",COUNTBLANK(OFFSET(A$1,,,SUMPRODUCT(MAX(ROW(E$2:E2761)*(E2761=E$2:E2761)))))-COUNTBLANK(OFFSET(A$1,,,SUMPRODUCT(MAX(ROW(E$1:E2760)*(E2=E$1:E2760))))))</f>
        <v/>
      </c>
      <c r="K2761" s="24" t="str">
        <f aca="false">IF(OR(E2761="",E2761="!!!",F2761="NEW"),"",INDEX(J$1:J2760,SUMPRODUCT(MAX(ROW(E$1:E2760)*(E2761=E$1:E2760)))))</f>
        <v/>
      </c>
      <c r="L2761" s="31"/>
    </row>
    <row r="2762" customFormat="false" ht="15" hidden="false" customHeight="false" outlineLevel="0" collapsed="false">
      <c r="A2762" s="20" t="s">
        <v>1092</v>
      </c>
      <c r="E2762" s="23" t="str">
        <f aca="false">IF(D2762="?OLD","!!!","")</f>
        <v/>
      </c>
      <c r="F2762" s="25" t="str">
        <f aca="false">IF(OR(E2762="",E2762="!!!"),"",IF(NOT(ISNA(VLOOKUP(E2762,E$1:E2761,1,FALSE()))),"OLD",IF(AND(E2762&lt;&gt;"",E2762&lt;&gt;"!!!"),"NEW","")))</f>
        <v/>
      </c>
      <c r="G2762" s="26" t="str">
        <f aca="false">IF(OR(E2762="",E2762="!!!"),"",IF(OR(J2762=0,AND(J2762=1,K2762=1),AND(J2762=1,I2762="SBJ"),AND(J2762=1,I2762=0)),"?IN_FOCUS",IF(J2762&lt;=2,"?ACTIVATED",IF(J2762&lt;&gt;"","?FAMILIAR",IF(F2762="NEW",IF(ISNA(VLOOKUP(E2762,#REF!,1,FALSE())),"?TYPE_IDENTIFIABLE","?REFERENTIAL"),"_")))))</f>
        <v/>
      </c>
      <c r="H2762" s="27" t="str">
        <f aca="false">IF(J2762&lt;&gt;1,"",IF(I2762="SBJ","CB","?"))</f>
        <v/>
      </c>
      <c r="I2762" s="24" t="str">
        <f aca="false">IF(OR(E2762="",E2762="!!!",F2762="NEW"),"",INDEX(B3:B$2760,-1+SUMPRODUCT(MAX(ROW(E3:E$2760)*(E2762=E3:E$2760)))))</f>
        <v/>
      </c>
      <c r="J2762" s="24" t="str">
        <f aca="true">IF(OR(E2762="",E2762="!!!",F2762="NEW"),"",COUNTBLANK(OFFSET(A$1,,,SUMPRODUCT(MAX(ROW(E$2:E2762)*(E2762=E$2:E2762)))))-COUNTBLANK(OFFSET(A$1,,,SUMPRODUCT(MAX(ROW(E$1:E2761)*(E2=E$1:E2761))))))</f>
        <v/>
      </c>
      <c r="K2762" s="24" t="str">
        <f aca="false">IF(OR(E2762="",E2762="!!!",F2762="NEW"),"",INDEX(J$1:J2761,SUMPRODUCT(MAX(ROW(E$1:E2761)*(E2762=E$1:E2761)))))</f>
        <v/>
      </c>
      <c r="L2762" s="31"/>
    </row>
    <row r="2763" customFormat="false" ht="15" hidden="false" customHeight="false" outlineLevel="0" collapsed="false">
      <c r="A2763" s="20" t="s">
        <v>1279</v>
      </c>
      <c r="E2763" s="23" t="str">
        <f aca="false">IF(D2763="?OLD","!!!","")</f>
        <v/>
      </c>
      <c r="F2763" s="25" t="str">
        <f aca="false">IF(OR(E2763="",E2763="!!!"),"",IF(NOT(ISNA(VLOOKUP(E2763,E$1:E2762,1,FALSE()))),"OLD",IF(AND(E2763&lt;&gt;"",E2763&lt;&gt;"!!!"),"NEW","")))</f>
        <v/>
      </c>
      <c r="G2763" s="26" t="str">
        <f aca="false">IF(OR(E2763="",E2763="!!!"),"",IF(OR(J2763=0,AND(J2763=1,K2763=1),AND(J2763=1,I2763="SBJ"),AND(J2763=1,I2763=0)),"?IN_FOCUS",IF(J2763&lt;=2,"?ACTIVATED",IF(J2763&lt;&gt;"","?FAMILIAR",IF(F2763="NEW",IF(ISNA(VLOOKUP(E2763,#REF!,1,FALSE())),"?TYPE_IDENTIFIABLE","?REFERENTIAL"),"_")))))</f>
        <v/>
      </c>
      <c r="H2763" s="27" t="str">
        <f aca="false">IF(J2763&lt;&gt;1,"",IF(I2763="SBJ","CB","?"))</f>
        <v/>
      </c>
      <c r="I2763" s="24" t="str">
        <f aca="false">IF(OR(E2763="",E2763="!!!",F2763="NEW"),"",INDEX(B4:B$2760,-1+SUMPRODUCT(MAX(ROW(E4:E$2760)*(E2763=E4:E$2760)))))</f>
        <v/>
      </c>
      <c r="J2763" s="24" t="str">
        <f aca="true">IF(OR(E2763="",E2763="!!!",F2763="NEW"),"",COUNTBLANK(OFFSET(A$1,,,SUMPRODUCT(MAX(ROW(E$2:E2763)*(E2763=E$2:E2763)))))-COUNTBLANK(OFFSET(A$1,,,SUMPRODUCT(MAX(ROW(E$1:E2762)*(E2=E$1:E2762))))))</f>
        <v/>
      </c>
      <c r="K2763" s="24" t="str">
        <f aca="false">IF(OR(E2763="",E2763="!!!",F2763="NEW"),"",INDEX(J$1:J2762,SUMPRODUCT(MAX(ROW(E$1:E2762)*(E2763=E$1:E2762)))))</f>
        <v/>
      </c>
      <c r="L2763" s="31"/>
    </row>
    <row r="2764" customFormat="false" ht="15" hidden="false" customHeight="false" outlineLevel="0" collapsed="false">
      <c r="A2764" s="20" t="s">
        <v>1085</v>
      </c>
      <c r="E2764" s="23" t="str">
        <f aca="false">IF(D2764="?OLD","!!!","")</f>
        <v/>
      </c>
      <c r="F2764" s="25" t="str">
        <f aca="false">IF(OR(E2764="",E2764="!!!"),"",IF(NOT(ISNA(VLOOKUP(E2764,E$1:E2763,1,FALSE()))),"OLD",IF(AND(E2764&lt;&gt;"",E2764&lt;&gt;"!!!"),"NEW","")))</f>
        <v/>
      </c>
      <c r="G2764" s="26" t="str">
        <f aca="false">IF(OR(E2764="",E2764="!!!"),"",IF(OR(J2764=0,AND(J2764=1,K2764=1),AND(J2764=1,I2764="SBJ"),AND(J2764=1,I2764=0)),"?IN_FOCUS",IF(J2764&lt;=2,"?ACTIVATED",IF(J2764&lt;&gt;"","?FAMILIAR",IF(F2764="NEW",IF(ISNA(VLOOKUP(E2764,#REF!,1,FALSE())),"?TYPE_IDENTIFIABLE","?REFERENTIAL"),"_")))))</f>
        <v/>
      </c>
      <c r="H2764" s="27" t="str">
        <f aca="false">IF(J2764&lt;&gt;1,"",IF(I2764="SBJ","CB","?"))</f>
        <v/>
      </c>
      <c r="I2764" s="24" t="str">
        <f aca="false">IF(OR(E2764="",E2764="!!!",F2764="NEW"),"",INDEX(B5:B$2760,-1+SUMPRODUCT(MAX(ROW(E5:E$2760)*(E2764=E5:E$2760)))))</f>
        <v/>
      </c>
      <c r="J2764" s="24" t="str">
        <f aca="true">IF(OR(E2764="",E2764="!!!",F2764="NEW"),"",COUNTBLANK(OFFSET(A$1,,,SUMPRODUCT(MAX(ROW(E$2:E2764)*(E2764=E$2:E2764)))))-COUNTBLANK(OFFSET(A$1,,,SUMPRODUCT(MAX(ROW(E$1:E2763)*(E2=E$1:E2763))))))</f>
        <v/>
      </c>
      <c r="K2764" s="24" t="str">
        <f aca="false">IF(OR(E2764="",E2764="!!!",F2764="NEW"),"",INDEX(J$1:J2763,SUMPRODUCT(MAX(ROW(E$1:E2763)*(E2764=E$1:E2763)))))</f>
        <v/>
      </c>
      <c r="L2764" s="31"/>
    </row>
    <row r="2765" customFormat="false" ht="15" hidden="false" customHeight="false" outlineLevel="0" collapsed="false">
      <c r="A2765" s="20" t="s">
        <v>2016</v>
      </c>
      <c r="E2765" s="23" t="str">
        <f aca="false">IF(D2765="?OLD","!!!","")</f>
        <v/>
      </c>
      <c r="F2765" s="25" t="str">
        <f aca="false">IF(OR(E2765="",E2765="!!!"),"",IF(NOT(ISNA(VLOOKUP(E2765,E$1:E2764,1,FALSE()))),"OLD",IF(AND(E2765&lt;&gt;"",E2765&lt;&gt;"!!!"),"NEW","")))</f>
        <v/>
      </c>
      <c r="G2765" s="26" t="str">
        <f aca="false">IF(OR(E2765="",E2765="!!!"),"",IF(OR(J2765=0,AND(J2765=1,K2765=1),AND(J2765=1,I2765="SBJ"),AND(J2765=1,I2765=0)),"?IN_FOCUS",IF(J2765&lt;=2,"?ACTIVATED",IF(J2765&lt;&gt;"","?FAMILIAR",IF(F2765="NEW",IF(ISNA(VLOOKUP(E2765,#REF!,1,FALSE())),"?TYPE_IDENTIFIABLE","?REFERENTIAL"),"_")))))</f>
        <v/>
      </c>
      <c r="H2765" s="27" t="str">
        <f aca="false">IF(J2765&lt;&gt;1,"",IF(I2765="SBJ","CB","?"))</f>
        <v/>
      </c>
      <c r="I2765" s="24" t="str">
        <f aca="false">IF(OR(E2765="",E2765="!!!",F2765="NEW"),"",INDEX(B6:B$2760,-1+SUMPRODUCT(MAX(ROW(E6:E$2760)*(E2765=E6:E$2760)))))</f>
        <v/>
      </c>
      <c r="J2765" s="24" t="str">
        <f aca="true">IF(OR(E2765="",E2765="!!!",F2765="NEW"),"",COUNTBLANK(OFFSET(A$1,,,SUMPRODUCT(MAX(ROW(E$2:E2765)*(E2765=E$2:E2765)))))-COUNTBLANK(OFFSET(A$1,,,SUMPRODUCT(MAX(ROW(E$1:E2764)*(E2=E$1:E2764))))))</f>
        <v/>
      </c>
      <c r="K2765" s="24" t="str">
        <f aca="false">IF(OR(E2765="",E2765="!!!",F2765="NEW"),"",INDEX(J$1:J2764,SUMPRODUCT(MAX(ROW(E$1:E2764)*(E2765=E$1:E2764)))))</f>
        <v/>
      </c>
      <c r="L2765" s="31"/>
    </row>
    <row r="2766" customFormat="false" ht="15" hidden="false" customHeight="false" outlineLevel="0" collapsed="false">
      <c r="A2766" s="20" t="s">
        <v>2017</v>
      </c>
      <c r="B2766" s="22" t="s">
        <v>1105</v>
      </c>
      <c r="C2766" s="22" t="s">
        <v>1087</v>
      </c>
      <c r="E2766" s="23" t="str">
        <f aca="false">IF(D2766="?OLD","!!!","")</f>
        <v/>
      </c>
      <c r="F2766" s="25" t="str">
        <f aca="false">IF(OR(E2766="",E2766="!!!"),"",IF(NOT(ISNA(VLOOKUP(E2766,E$1:E2765,1,FALSE()))),"OLD",IF(AND(E2766&lt;&gt;"",E2766&lt;&gt;"!!!"),"NEW","")))</f>
        <v/>
      </c>
      <c r="G2766" s="26" t="str">
        <f aca="false">IF(OR(E2766="",E2766="!!!"),"",IF(OR(J2766=0,AND(J2766=1,K2766=1),AND(J2766=1,I2766="SBJ"),AND(J2766=1,I2766=0)),"?IN_FOCUS",IF(J2766&lt;=2,"?ACTIVATED",IF(J2766&lt;&gt;"","?FAMILIAR",IF(F2766="NEW",IF(ISNA(VLOOKUP(E2766,#REF!,1,FALSE())),"?TYPE_IDENTIFIABLE","?REFERENTIAL"),"_")))))</f>
        <v/>
      </c>
      <c r="H2766" s="27" t="str">
        <f aca="false">IF(J2766&lt;&gt;1,"",IF(I2766="SBJ","CB","?"))</f>
        <v/>
      </c>
      <c r="I2766" s="24" t="str">
        <f aca="false">IF(OR(E2766="",E2766="!!!",F2766="NEW"),"",INDEX(B7:B$2760,-1+SUMPRODUCT(MAX(ROW(E7:E$2760)*(E2766=E7:E$2760)))))</f>
        <v/>
      </c>
      <c r="J2766" s="24" t="str">
        <f aca="true">IF(OR(E2766="",E2766="!!!",F2766="NEW"),"",COUNTBLANK(OFFSET(A$1,,,SUMPRODUCT(MAX(ROW(E$2:E2766)*(E2766=E$2:E2766)))))-COUNTBLANK(OFFSET(A$1,,,SUMPRODUCT(MAX(ROW(E$1:E2765)*(E2=E$1:E2765))))))</f>
        <v/>
      </c>
      <c r="K2766" s="24" t="str">
        <f aca="false">IF(OR(E2766="",E2766="!!!",F2766="NEW"),"",INDEX(J$1:J2765,SUMPRODUCT(MAX(ROW(E$1:E2765)*(E2766=E$1:E2765)))))</f>
        <v/>
      </c>
      <c r="L2766" s="31"/>
    </row>
    <row r="2767" customFormat="false" ht="15" hidden="false" customHeight="false" outlineLevel="0" collapsed="false">
      <c r="A2767" s="20" t="s">
        <v>1128</v>
      </c>
      <c r="E2767" s="23" t="str">
        <f aca="false">IF(D2767="?OLD","!!!","")</f>
        <v/>
      </c>
      <c r="F2767" s="25" t="str">
        <f aca="false">IF(OR(E2767="",E2767="!!!"),"",IF(NOT(ISNA(VLOOKUP(E2767,E$1:E2766,1,FALSE()))),"OLD",IF(AND(E2767&lt;&gt;"",E2767&lt;&gt;"!!!"),"NEW","")))</f>
        <v/>
      </c>
      <c r="G2767" s="26" t="str">
        <f aca="false">IF(OR(E2767="",E2767="!!!"),"",IF(OR(J2767=0,AND(J2767=1,K2767=1),AND(J2767=1,I2767="SBJ"),AND(J2767=1,I2767=0)),"?IN_FOCUS",IF(J2767&lt;=2,"?ACTIVATED",IF(J2767&lt;&gt;"","?FAMILIAR",IF(F2767="NEW",IF(ISNA(VLOOKUP(E2767,#REF!,1,FALSE())),"?TYPE_IDENTIFIABLE","?REFERENTIAL"),"_")))))</f>
        <v/>
      </c>
      <c r="H2767" s="27" t="str">
        <f aca="false">IF(J2767&lt;&gt;1,"",IF(I2767="SBJ","CB","?"))</f>
        <v/>
      </c>
      <c r="I2767" s="24" t="str">
        <f aca="false">IF(OR(E2767="",E2767="!!!",F2767="NEW"),"",INDEX(B8:B$2760,-1+SUMPRODUCT(MAX(ROW(E8:E$2760)*(E2767=E8:E$2760)))))</f>
        <v/>
      </c>
      <c r="J2767" s="24" t="str">
        <f aca="true">IF(OR(E2767="",E2767="!!!",F2767="NEW"),"",COUNTBLANK(OFFSET(A$1,,,SUMPRODUCT(MAX(ROW(E$2:E2767)*(E2767=E$2:E2767)))))-COUNTBLANK(OFFSET(A$1,,,SUMPRODUCT(MAX(ROW(E$1:E2766)*(E2=E$1:E2766))))))</f>
        <v/>
      </c>
      <c r="K2767" s="24" t="str">
        <f aca="false">IF(OR(E2767="",E2767="!!!",F2767="NEW"),"",INDEX(J$1:J2766,SUMPRODUCT(MAX(ROW(E$1:E2766)*(E2767=E$1:E2766)))))</f>
        <v/>
      </c>
      <c r="L2767" s="31"/>
    </row>
    <row r="2768" customFormat="false" ht="15" hidden="false" customHeight="false" outlineLevel="0" collapsed="false">
      <c r="A2768" s="20" t="s">
        <v>1080</v>
      </c>
      <c r="B2768" s="22" t="s">
        <v>1086</v>
      </c>
      <c r="C2768" s="22" t="s">
        <v>1082</v>
      </c>
      <c r="D2768" s="22" t="s">
        <v>1060</v>
      </c>
      <c r="E2768" s="23" t="str">
        <f aca="false">IF(D2768="?OLD","!!!","")</f>
        <v>!!!</v>
      </c>
      <c r="F2768" s="25" t="str">
        <f aca="false">IF(OR(E2768="",E2768="!!!"),"",IF(NOT(ISNA(VLOOKUP(E2768,E$1:E2767,1,FALSE()))),"OLD",IF(AND(E2768&lt;&gt;"",E2768&lt;&gt;"!!!"),"NEW","")))</f>
        <v/>
      </c>
      <c r="G2768" s="26" t="str">
        <f aca="false">IF(OR(E2768="",E2768="!!!"),"",IF(OR(J2768=0,AND(J2768=1,K2768=1),AND(J2768=1,I2768="SBJ"),AND(J2768=1,I2768=0)),"?IN_FOCUS",IF(J2768&lt;=2,"?ACTIVATED",IF(J2768&lt;&gt;"","?FAMILIAR",IF(F2768="NEW",IF(ISNA(VLOOKUP(E2768,#REF!,1,FALSE())),"?TYPE_IDENTIFIABLE","?REFERENTIAL"),"_")))))</f>
        <v/>
      </c>
      <c r="H2768" s="27" t="str">
        <f aca="false">IF(J2768&lt;&gt;1,"",IF(I2768="SBJ","CB","?"))</f>
        <v/>
      </c>
      <c r="I2768" s="24" t="str">
        <f aca="false">IF(OR(E2768="",E2768="!!!",F2768="NEW"),"",INDEX(B9:B$2760,-1+SUMPRODUCT(MAX(ROW(E9:E$2760)*(E2768=E9:E$2760)))))</f>
        <v/>
      </c>
      <c r="J2768" s="24" t="str">
        <f aca="true">IF(OR(E2768="",E2768="!!!",F2768="NEW"),"",COUNTBLANK(OFFSET(A$1,,,SUMPRODUCT(MAX(ROW(E$2:E2768)*(E2768=E$2:E2768)))))-COUNTBLANK(OFFSET(A$1,,,SUMPRODUCT(MAX(ROW(E$1:E2767)*(E2=E$1:E2767))))))</f>
        <v/>
      </c>
      <c r="K2768" s="24" t="str">
        <f aca="false">IF(OR(E2768="",E2768="!!!",F2768="NEW"),"",INDEX(J$1:J2767,SUMPRODUCT(MAX(ROW(E$1:E2767)*(E2768=E$1:E2767)))))</f>
        <v/>
      </c>
      <c r="L2768" s="31"/>
    </row>
    <row r="2769" customFormat="false" ht="15" hidden="false" customHeight="false" outlineLevel="0" collapsed="false">
      <c r="A2769" s="20" t="s">
        <v>1092</v>
      </c>
      <c r="E2769" s="23" t="str">
        <f aca="false">IF(D2769="?OLD","!!!","")</f>
        <v/>
      </c>
      <c r="F2769" s="25" t="str">
        <f aca="false">IF(OR(E2769="",E2769="!!!"),"",IF(NOT(ISNA(VLOOKUP(E2769,E$1:E2768,1,FALSE()))),"OLD",IF(AND(E2769&lt;&gt;"",E2769&lt;&gt;"!!!"),"NEW","")))</f>
        <v/>
      </c>
      <c r="G2769" s="26" t="str">
        <f aca="false">IF(OR(E2769="",E2769="!!!"),"",IF(OR(J2769=0,AND(J2769=1,K2769=1),AND(J2769=1,I2769="SBJ"),AND(J2769=1,I2769=0)),"?IN_FOCUS",IF(J2769&lt;=2,"?ACTIVATED",IF(J2769&lt;&gt;"","?FAMILIAR",IF(F2769="NEW",IF(ISNA(VLOOKUP(E2769,#REF!,1,FALSE())),"?TYPE_IDENTIFIABLE","?REFERENTIAL"),"_")))))</f>
        <v/>
      </c>
      <c r="H2769" s="27" t="str">
        <f aca="false">IF(J2769&lt;&gt;1,"",IF(I2769="SBJ","CB","?"))</f>
        <v/>
      </c>
      <c r="I2769" s="24" t="str">
        <f aca="false">IF(OR(E2769="",E2769="!!!",F2769="NEW"),"",INDEX(B10:B$2760,-1+SUMPRODUCT(MAX(ROW(E10:E$2760)*(E2769=E10:E$2760)))))</f>
        <v/>
      </c>
      <c r="J2769" s="24" t="str">
        <f aca="true">IF(OR(E2769="",E2769="!!!",F2769="NEW"),"",COUNTBLANK(OFFSET(A$1,,,SUMPRODUCT(MAX(ROW(E$2:E2769)*(E2769=E$2:E2769)))))-COUNTBLANK(OFFSET(A$1,,,SUMPRODUCT(MAX(ROW(E$1:E2768)*(E2=E$1:E2768))))))</f>
        <v/>
      </c>
      <c r="K2769" s="24" t="str">
        <f aca="false">IF(OR(E2769="",E2769="!!!",F2769="NEW"),"",INDEX(J$1:J2768,SUMPRODUCT(MAX(ROW(E$1:E2768)*(E2769=E$1:E2768)))))</f>
        <v/>
      </c>
      <c r="L2769" s="31"/>
    </row>
    <row r="2770" customFormat="false" ht="15" hidden="false" customHeight="false" outlineLevel="0" collapsed="false">
      <c r="A2770" s="20" t="s">
        <v>1279</v>
      </c>
      <c r="E2770" s="23" t="str">
        <f aca="false">IF(D2770="?OLD","!!!","")</f>
        <v/>
      </c>
      <c r="F2770" s="25" t="str">
        <f aca="false">IF(OR(E2770="",E2770="!!!"),"",IF(NOT(ISNA(VLOOKUP(E2770,E$1:E2769,1,FALSE()))),"OLD",IF(AND(E2770&lt;&gt;"",E2770&lt;&gt;"!!!"),"NEW","")))</f>
        <v/>
      </c>
      <c r="G2770" s="26" t="str">
        <f aca="false">IF(OR(E2770="",E2770="!!!"),"",IF(OR(J2770=0,AND(J2770=1,K2770=1),AND(J2770=1,I2770="SBJ"),AND(J2770=1,I2770=0)),"?IN_FOCUS",IF(J2770&lt;=2,"?ACTIVATED",IF(J2770&lt;&gt;"","?FAMILIAR",IF(F2770="NEW",IF(ISNA(VLOOKUP(E2770,#REF!,1,FALSE())),"?TYPE_IDENTIFIABLE","?REFERENTIAL"),"_")))))</f>
        <v/>
      </c>
      <c r="H2770" s="27" t="str">
        <f aca="false">IF(J2770&lt;&gt;1,"",IF(I2770="SBJ","CB","?"))</f>
        <v/>
      </c>
      <c r="I2770" s="24" t="str">
        <f aca="false">IF(OR(E2770="",E2770="!!!",F2770="NEW"),"",INDEX(B11:B$2760,-1+SUMPRODUCT(MAX(ROW(E11:E$2760)*(E2770=E11:E$2760)))))</f>
        <v/>
      </c>
      <c r="J2770" s="24" t="str">
        <f aca="true">IF(OR(E2770="",E2770="!!!",F2770="NEW"),"",COUNTBLANK(OFFSET(A$1,,,SUMPRODUCT(MAX(ROW(E$2:E2770)*(E2770=E$2:E2770)))))-COUNTBLANK(OFFSET(A$1,,,SUMPRODUCT(MAX(ROW(E$1:E2769)*(E2=E$1:E2769))))))</f>
        <v/>
      </c>
      <c r="K2770" s="24" t="str">
        <f aca="false">IF(OR(E2770="",E2770="!!!",F2770="NEW"),"",INDEX(J$1:J2769,SUMPRODUCT(MAX(ROW(E$1:E2769)*(E2770=E$1:E2769)))))</f>
        <v/>
      </c>
      <c r="L2770" s="31"/>
    </row>
    <row r="2771" customFormat="false" ht="15" hidden="false" customHeight="false" outlineLevel="0" collapsed="false">
      <c r="A2771" s="20" t="s">
        <v>1085</v>
      </c>
      <c r="E2771" s="23" t="str">
        <f aca="false">IF(D2771="?OLD","!!!","")</f>
        <v/>
      </c>
      <c r="F2771" s="25" t="str">
        <f aca="false">IF(OR(E2771="",E2771="!!!"),"",IF(NOT(ISNA(VLOOKUP(E2771,E$1:E2770,1,FALSE()))),"OLD",IF(AND(E2771&lt;&gt;"",E2771&lt;&gt;"!!!"),"NEW","")))</f>
        <v/>
      </c>
      <c r="G2771" s="26" t="str">
        <f aca="false">IF(OR(E2771="",E2771="!!!"),"",IF(OR(J2771=0,AND(J2771=1,K2771=1),AND(J2771=1,I2771="SBJ"),AND(J2771=1,I2771=0)),"?IN_FOCUS",IF(J2771&lt;=2,"?ACTIVATED",IF(J2771&lt;&gt;"","?FAMILIAR",IF(F2771="NEW",IF(ISNA(VLOOKUP(E2771,#REF!,1,FALSE())),"?TYPE_IDENTIFIABLE","?REFERENTIAL"),"_")))))</f>
        <v/>
      </c>
      <c r="H2771" s="27" t="str">
        <f aca="false">IF(J2771&lt;&gt;1,"",IF(I2771="SBJ","CB","?"))</f>
        <v/>
      </c>
      <c r="I2771" s="24" t="str">
        <f aca="false">IF(OR(E2771="",E2771="!!!",F2771="NEW"),"",INDEX(B12:B$2760,-1+SUMPRODUCT(MAX(ROW(E12:E$2760)*(E2771=E12:E$2760)))))</f>
        <v/>
      </c>
      <c r="J2771" s="24" t="str">
        <f aca="true">IF(OR(E2771="",E2771="!!!",F2771="NEW"),"",COUNTBLANK(OFFSET(A$1,,,SUMPRODUCT(MAX(ROW(E$2:E2771)*(E2771=E$2:E2771)))))-COUNTBLANK(OFFSET(A$1,,,SUMPRODUCT(MAX(ROW(E$1:E2770)*(E2=E$1:E2770))))))</f>
        <v/>
      </c>
      <c r="K2771" s="24" t="str">
        <f aca="false">IF(OR(E2771="",E2771="!!!",F2771="NEW"),"",INDEX(J$1:J2770,SUMPRODUCT(MAX(ROW(E$1:E2770)*(E2771=E$1:E2770)))))</f>
        <v/>
      </c>
      <c r="L2771" s="31"/>
    </row>
    <row r="2772" customFormat="false" ht="15" hidden="false" customHeight="false" outlineLevel="0" collapsed="false">
      <c r="A2772" s="20" t="s">
        <v>2016</v>
      </c>
      <c r="E2772" s="23" t="str">
        <f aca="false">IF(D2772="?OLD","!!!","")</f>
        <v/>
      </c>
      <c r="F2772" s="25" t="str">
        <f aca="false">IF(OR(E2772="",E2772="!!!"),"",IF(NOT(ISNA(VLOOKUP(E2772,E$1:E2771,1,FALSE()))),"OLD",IF(AND(E2772&lt;&gt;"",E2772&lt;&gt;"!!!"),"NEW","")))</f>
        <v/>
      </c>
      <c r="G2772" s="26" t="str">
        <f aca="false">IF(OR(E2772="",E2772="!!!"),"",IF(OR(J2772=0,AND(J2772=1,K2772=1),AND(J2772=1,I2772="SBJ"),AND(J2772=1,I2772=0)),"?IN_FOCUS",IF(J2772&lt;=2,"?ACTIVATED",IF(J2772&lt;&gt;"","?FAMILIAR",IF(F2772="NEW",IF(ISNA(VLOOKUP(E2772,#REF!,1,FALSE())),"?TYPE_IDENTIFIABLE","?REFERENTIAL"),"_")))))</f>
        <v/>
      </c>
      <c r="H2772" s="27" t="str">
        <f aca="false">IF(J2772&lt;&gt;1,"",IF(I2772="SBJ","CB","?"))</f>
        <v/>
      </c>
      <c r="I2772" s="24" t="str">
        <f aca="false">IF(OR(E2772="",E2772="!!!",F2772="NEW"),"",INDEX(B13:B$2760,-1+SUMPRODUCT(MAX(ROW(E13:E$2760)*(E2772=E13:E$2760)))))</f>
        <v/>
      </c>
      <c r="J2772" s="24" t="str">
        <f aca="true">IF(OR(E2772="",E2772="!!!",F2772="NEW"),"",COUNTBLANK(OFFSET(A$1,,,SUMPRODUCT(MAX(ROW(E$2:E2772)*(E2772=E$2:E2772)))))-COUNTBLANK(OFFSET(A$1,,,SUMPRODUCT(MAX(ROW(E$1:E2771)*(E2=E$1:E2771))))))</f>
        <v/>
      </c>
      <c r="K2772" s="24" t="str">
        <f aca="false">IF(OR(E2772="",E2772="!!!",F2772="NEW"),"",INDEX(J$1:J2771,SUMPRODUCT(MAX(ROW(E$1:E2771)*(E2772=E$1:E2771)))))</f>
        <v/>
      </c>
      <c r="L2772" s="31"/>
    </row>
    <row r="2773" customFormat="false" ht="15" hidden="false" customHeight="false" outlineLevel="0" collapsed="false">
      <c r="A2773" s="20" t="s">
        <v>2018</v>
      </c>
      <c r="B2773" s="22" t="s">
        <v>1105</v>
      </c>
      <c r="C2773" s="22" t="s">
        <v>1087</v>
      </c>
      <c r="E2773" s="23" t="str">
        <f aca="false">IF(D2773="?OLD","!!!","")</f>
        <v/>
      </c>
      <c r="F2773" s="25" t="str">
        <f aca="false">IF(OR(E2773="",E2773="!!!"),"",IF(NOT(ISNA(VLOOKUP(E2773,E$1:E2772,1,FALSE()))),"OLD",IF(AND(E2773&lt;&gt;"",E2773&lt;&gt;"!!!"),"NEW","")))</f>
        <v/>
      </c>
      <c r="G2773" s="26" t="str">
        <f aca="false">IF(OR(E2773="",E2773="!!!"),"",IF(OR(J2773=0,AND(J2773=1,K2773=1),AND(J2773=1,I2773="SBJ"),AND(J2773=1,I2773=0)),"?IN_FOCUS",IF(J2773&lt;=2,"?ACTIVATED",IF(J2773&lt;&gt;"","?FAMILIAR",IF(F2773="NEW",IF(ISNA(VLOOKUP(E2773,#REF!,1,FALSE())),"?TYPE_IDENTIFIABLE","?REFERENTIAL"),"_")))))</f>
        <v/>
      </c>
      <c r="H2773" s="27" t="str">
        <f aca="false">IF(J2773&lt;&gt;1,"",IF(I2773="SBJ","CB","?"))</f>
        <v/>
      </c>
      <c r="I2773" s="24" t="str">
        <f aca="false">IF(OR(E2773="",E2773="!!!",F2773="NEW"),"",INDEX(B14:B$2760,-1+SUMPRODUCT(MAX(ROW(E14:E$2760)*(E2773=E14:E$2760)))))</f>
        <v/>
      </c>
      <c r="J2773" s="24" t="str">
        <f aca="true">IF(OR(E2773="",E2773="!!!",F2773="NEW"),"",COUNTBLANK(OFFSET(A$1,,,SUMPRODUCT(MAX(ROW(E$2:E2773)*(E2773=E$2:E2773)))))-COUNTBLANK(OFFSET(A$1,,,SUMPRODUCT(MAX(ROW(E$1:E2772)*(E2=E$1:E2772))))))</f>
        <v/>
      </c>
      <c r="K2773" s="24" t="str">
        <f aca="false">IF(OR(E2773="",E2773="!!!",F2773="NEW"),"",INDEX(J$1:J2772,SUMPRODUCT(MAX(ROW(E$1:E2772)*(E2773=E$1:E2772)))))</f>
        <v/>
      </c>
      <c r="L2773" s="31"/>
    </row>
    <row r="2774" customFormat="false" ht="15" hidden="false" customHeight="false" outlineLevel="0" collapsed="false">
      <c r="A2774" s="20" t="s">
        <v>1183</v>
      </c>
      <c r="E2774" s="23" t="str">
        <f aca="false">IF(D2774="?OLD","!!!","")</f>
        <v/>
      </c>
      <c r="F2774" s="25" t="str">
        <f aca="false">IF(OR(E2774="",E2774="!!!"),"",IF(NOT(ISNA(VLOOKUP(E2774,E$1:E2773,1,FALSE()))),"OLD",IF(AND(E2774&lt;&gt;"",E2774&lt;&gt;"!!!"),"NEW","")))</f>
        <v/>
      </c>
      <c r="G2774" s="26" t="str">
        <f aca="false">IF(OR(E2774="",E2774="!!!"),"",IF(OR(J2774=0,AND(J2774=1,K2774=1),AND(J2774=1,I2774="SBJ"),AND(J2774=1,I2774=0)),"?IN_FOCUS",IF(J2774&lt;=2,"?ACTIVATED",IF(J2774&lt;&gt;"","?FAMILIAR",IF(F2774="NEW",IF(ISNA(VLOOKUP(E2774,#REF!,1,FALSE())),"?TYPE_IDENTIFIABLE","?REFERENTIAL"),"_")))))</f>
        <v/>
      </c>
      <c r="H2774" s="27" t="str">
        <f aca="false">IF(J2774&lt;&gt;1,"",IF(I2774="SBJ","CB","?"))</f>
        <v/>
      </c>
      <c r="I2774" s="24" t="str">
        <f aca="false">IF(OR(E2774="",E2774="!!!",F2774="NEW"),"",INDEX(B15:B$2760,-1+SUMPRODUCT(MAX(ROW(E15:E$2760)*(E2774=E15:E$2760)))))</f>
        <v/>
      </c>
      <c r="J2774" s="24" t="str">
        <f aca="true">IF(OR(E2774="",E2774="!!!",F2774="NEW"),"",COUNTBLANK(OFFSET(A$1,,,SUMPRODUCT(MAX(ROW(E$2:E2774)*(E2774=E$2:E2774)))))-COUNTBLANK(OFFSET(A$1,,,SUMPRODUCT(MAX(ROW(E$1:E2773)*(E2=E$1:E2773))))))</f>
        <v/>
      </c>
      <c r="K2774" s="24" t="str">
        <f aca="false">IF(OR(E2774="",E2774="!!!",F2774="NEW"),"",INDEX(J$1:J2773,SUMPRODUCT(MAX(ROW(E$1:E2773)*(E2774=E$1:E2773)))))</f>
        <v/>
      </c>
      <c r="L2774" s="31"/>
    </row>
    <row r="2775" customFormat="false" ht="15" hidden="false" customHeight="false" outlineLevel="0" collapsed="false">
      <c r="A2775" s="20" t="s">
        <v>1168</v>
      </c>
      <c r="E2775" s="23" t="str">
        <f aca="false">IF(D2775="?OLD","!!!","")</f>
        <v/>
      </c>
      <c r="F2775" s="25" t="str">
        <f aca="false">IF(OR(E2775="",E2775="!!!"),"",IF(NOT(ISNA(VLOOKUP(E2775,E$1:E2774,1,FALSE()))),"OLD",IF(AND(E2775&lt;&gt;"",E2775&lt;&gt;"!!!"),"NEW","")))</f>
        <v/>
      </c>
      <c r="G2775" s="26" t="str">
        <f aca="false">IF(OR(E2775="",E2775="!!!"),"",IF(OR(J2775=0,AND(J2775=1,K2775=1),AND(J2775=1,I2775="SBJ"),AND(J2775=1,I2775=0)),"?IN_FOCUS",IF(J2775&lt;=2,"?ACTIVATED",IF(J2775&lt;&gt;"","?FAMILIAR",IF(F2775="NEW",IF(ISNA(VLOOKUP(E2775,#REF!,1,FALSE())),"?TYPE_IDENTIFIABLE","?REFERENTIAL"),"_")))))</f>
        <v/>
      </c>
      <c r="H2775" s="27" t="str">
        <f aca="false">IF(J2775&lt;&gt;1,"",IF(I2775="SBJ","CB","?"))</f>
        <v/>
      </c>
      <c r="I2775" s="24" t="str">
        <f aca="false">IF(OR(E2775="",E2775="!!!",F2775="NEW"),"",INDEX(B16:B$2760,-1+SUMPRODUCT(MAX(ROW(E16:E$2760)*(E2775=E16:E$2760)))))</f>
        <v/>
      </c>
      <c r="J2775" s="24" t="str">
        <f aca="true">IF(OR(E2775="",E2775="!!!",F2775="NEW"),"",COUNTBLANK(OFFSET(A$1,,,SUMPRODUCT(MAX(ROW(E$2:E2775)*(E2775=E$2:E2775)))))-COUNTBLANK(OFFSET(A$1,,,SUMPRODUCT(MAX(ROW(E$1:E2774)*(E2=E$1:E2774))))))</f>
        <v/>
      </c>
      <c r="K2775" s="24" t="str">
        <f aca="false">IF(OR(E2775="",E2775="!!!",F2775="NEW"),"",INDEX(J$1:J2774,SUMPRODUCT(MAX(ROW(E$1:E2774)*(E2775=E$1:E2774)))))</f>
        <v/>
      </c>
      <c r="L2775" s="31"/>
    </row>
    <row r="2776" customFormat="false" ht="15" hidden="false" customHeight="false" outlineLevel="0" collapsed="false">
      <c r="A2776" s="20" t="s">
        <v>1080</v>
      </c>
      <c r="B2776" s="22" t="s">
        <v>1086</v>
      </c>
      <c r="C2776" s="22" t="s">
        <v>1082</v>
      </c>
      <c r="D2776" s="22" t="s">
        <v>1060</v>
      </c>
      <c r="E2776" s="23" t="str">
        <f aca="false">IF(D2776="?OLD","!!!","")</f>
        <v>!!!</v>
      </c>
      <c r="F2776" s="25" t="str">
        <f aca="false">IF(OR(E2776="",E2776="!!!"),"",IF(NOT(ISNA(VLOOKUP(E2776,E$1:E2775,1,FALSE()))),"OLD",IF(AND(E2776&lt;&gt;"",E2776&lt;&gt;"!!!"),"NEW","")))</f>
        <v/>
      </c>
      <c r="G2776" s="26" t="str">
        <f aca="false">IF(OR(E2776="",E2776="!!!"),"",IF(OR(J2776=0,AND(J2776=1,K2776=1),AND(J2776=1,I2776="SBJ"),AND(J2776=1,I2776=0)),"?IN_FOCUS",IF(J2776&lt;=2,"?ACTIVATED",IF(J2776&lt;&gt;"","?FAMILIAR",IF(F2776="NEW",IF(ISNA(VLOOKUP(E2776,#REF!,1,FALSE())),"?TYPE_IDENTIFIABLE","?REFERENTIAL"),"_")))))</f>
        <v/>
      </c>
      <c r="H2776" s="27" t="str">
        <f aca="false">IF(J2776&lt;&gt;1,"",IF(I2776="SBJ","CB","?"))</f>
        <v/>
      </c>
      <c r="I2776" s="24" t="str">
        <f aca="false">IF(OR(E2776="",E2776="!!!",F2776="NEW"),"",INDEX(B17:B$2760,-1+SUMPRODUCT(MAX(ROW(E17:E$2760)*(E2776=E17:E$2760)))))</f>
        <v/>
      </c>
      <c r="J2776" s="24" t="str">
        <f aca="true">IF(OR(E2776="",E2776="!!!",F2776="NEW"),"",COUNTBLANK(OFFSET(A$1,,,SUMPRODUCT(MAX(ROW(E$2:E2776)*(E2776=E$2:E2776)))))-COUNTBLANK(OFFSET(A$1,,,SUMPRODUCT(MAX(ROW(E$1:E2775)*(E2=E$1:E2775))))))</f>
        <v/>
      </c>
      <c r="K2776" s="24" t="str">
        <f aca="false">IF(OR(E2776="",E2776="!!!",F2776="NEW"),"",INDEX(J$1:J2775,SUMPRODUCT(MAX(ROW(E$1:E2775)*(E2776=E$1:E2775)))))</f>
        <v/>
      </c>
      <c r="L2776" s="31"/>
    </row>
    <row r="2777" customFormat="false" ht="15" hidden="false" customHeight="false" outlineLevel="0" collapsed="false">
      <c r="A2777" s="20" t="s">
        <v>2019</v>
      </c>
      <c r="E2777" s="23" t="str">
        <f aca="false">IF(D2777="?OLD","!!!","")</f>
        <v/>
      </c>
      <c r="F2777" s="25" t="str">
        <f aca="false">IF(OR(E2777="",E2777="!!!"),"",IF(NOT(ISNA(VLOOKUP(E2777,E$1:E2776,1,FALSE()))),"OLD",IF(AND(E2777&lt;&gt;"",E2777&lt;&gt;"!!!"),"NEW","")))</f>
        <v/>
      </c>
      <c r="G2777" s="26" t="str">
        <f aca="false">IF(OR(E2777="",E2777="!!!"),"",IF(OR(J2777=0,AND(J2777=1,K2777=1),AND(J2777=1,I2777="SBJ"),AND(J2777=1,I2777=0)),"?IN_FOCUS",IF(J2777&lt;=2,"?ACTIVATED",IF(J2777&lt;&gt;"","?FAMILIAR",IF(F2777="NEW",IF(ISNA(VLOOKUP(E2777,#REF!,1,FALSE())),"?TYPE_IDENTIFIABLE","?REFERENTIAL"),"_")))))</f>
        <v/>
      </c>
      <c r="H2777" s="27" t="str">
        <f aca="false">IF(J2777&lt;&gt;1,"",IF(I2777="SBJ","CB","?"))</f>
        <v/>
      </c>
      <c r="I2777" s="24" t="str">
        <f aca="false">IF(OR(E2777="",E2777="!!!",F2777="NEW"),"",INDEX(B18:B$2760,-1+SUMPRODUCT(MAX(ROW(E18:E$2760)*(E2777=E18:E$2760)))))</f>
        <v/>
      </c>
      <c r="J2777" s="24" t="str">
        <f aca="true">IF(OR(E2777="",E2777="!!!",F2777="NEW"),"",COUNTBLANK(OFFSET(A$1,,,SUMPRODUCT(MAX(ROW(E$2:E2777)*(E2777=E$2:E2777)))))-COUNTBLANK(OFFSET(A$1,,,SUMPRODUCT(MAX(ROW(E$1:E2776)*(E2=E$1:E2776))))))</f>
        <v/>
      </c>
      <c r="K2777" s="24" t="str">
        <f aca="false">IF(OR(E2777="",E2777="!!!",F2777="NEW"),"",INDEX(J$1:J2776,SUMPRODUCT(MAX(ROW(E$1:E2776)*(E2777=E$1:E2776)))))</f>
        <v/>
      </c>
      <c r="L2777" s="31"/>
    </row>
    <row r="2778" customFormat="false" ht="15" hidden="false" customHeight="false" outlineLevel="0" collapsed="false">
      <c r="A2778" s="20" t="s">
        <v>1095</v>
      </c>
      <c r="E2778" s="23" t="str">
        <f aca="false">IF(D2778="?OLD","!!!","")</f>
        <v/>
      </c>
      <c r="F2778" s="25" t="str">
        <f aca="false">IF(OR(E2778="",E2778="!!!"),"",IF(NOT(ISNA(VLOOKUP(E2778,E$1:E2777,1,FALSE()))),"OLD",IF(AND(E2778&lt;&gt;"",E2778&lt;&gt;"!!!"),"NEW","")))</f>
        <v/>
      </c>
      <c r="G2778" s="26" t="str">
        <f aca="false">IF(OR(E2778="",E2778="!!!"),"",IF(OR(J2778=0,AND(J2778=1,K2778=1),AND(J2778=1,I2778="SBJ"),AND(J2778=1,I2778=0)),"?IN_FOCUS",IF(J2778&lt;=2,"?ACTIVATED",IF(J2778&lt;&gt;"","?FAMILIAR",IF(F2778="NEW",IF(ISNA(VLOOKUP(E2778,#REF!,1,FALSE())),"?TYPE_IDENTIFIABLE","?REFERENTIAL"),"_")))))</f>
        <v/>
      </c>
      <c r="H2778" s="27" t="str">
        <f aca="false">IF(J2778&lt;&gt;1,"",IF(I2778="SBJ","CB","?"))</f>
        <v/>
      </c>
      <c r="I2778" s="24" t="str">
        <f aca="false">IF(OR(E2778="",E2778="!!!",F2778="NEW"),"",INDEX(B19:B$2760,-1+SUMPRODUCT(MAX(ROW(E19:E$2760)*(E2778=E19:E$2760)))))</f>
        <v/>
      </c>
      <c r="J2778" s="24" t="str">
        <f aca="true">IF(OR(E2778="",E2778="!!!",F2778="NEW"),"",COUNTBLANK(OFFSET(A$1,,,SUMPRODUCT(MAX(ROW(E$2:E2778)*(E2778=E$2:E2778)))))-COUNTBLANK(OFFSET(A$1,,,SUMPRODUCT(MAX(ROW(E$1:E2777)*(E2=E$1:E2777))))))</f>
        <v/>
      </c>
      <c r="K2778" s="24" t="str">
        <f aca="false">IF(OR(E2778="",E2778="!!!",F2778="NEW"),"",INDEX(J$1:J2777,SUMPRODUCT(MAX(ROW(E$1:E2777)*(E2778=E$1:E2777)))))</f>
        <v/>
      </c>
      <c r="L2778" s="31"/>
    </row>
    <row r="2779" customFormat="false" ht="15" hidden="false" customHeight="false" outlineLevel="0" collapsed="false">
      <c r="A2779" s="20" t="s">
        <v>185</v>
      </c>
      <c r="E2779" s="23" t="str">
        <f aca="false">IF(D2779="?OLD","!!!","")</f>
        <v/>
      </c>
      <c r="F2779" s="25" t="str">
        <f aca="false">IF(OR(E2779="",E2779="!!!"),"",IF(NOT(ISNA(VLOOKUP(E2779,E$1:E2778,1,FALSE()))),"OLD",IF(AND(E2779&lt;&gt;"",E2779&lt;&gt;"!!!"),"NEW","")))</f>
        <v/>
      </c>
      <c r="G2779" s="26" t="str">
        <f aca="false">IF(OR(E2779="",E2779="!!!"),"",IF(OR(J2779=0,AND(J2779=1,K2779=1),AND(J2779=1,I2779="SBJ"),AND(J2779=1,I2779=0)),"?IN_FOCUS",IF(J2779&lt;=2,"?ACTIVATED",IF(J2779&lt;&gt;"","?FAMILIAR",IF(F2779="NEW",IF(ISNA(VLOOKUP(E2779,#REF!,1,FALSE())),"?TYPE_IDENTIFIABLE","?REFERENTIAL"),"_")))))</f>
        <v/>
      </c>
      <c r="H2779" s="27" t="str">
        <f aca="false">IF(J2779&lt;&gt;1,"",IF(I2779="SBJ","CB","?"))</f>
        <v/>
      </c>
      <c r="I2779" s="24" t="str">
        <f aca="false">IF(OR(E2779="",E2779="!!!",F2779="NEW"),"",INDEX(B20:B$2760,-1+SUMPRODUCT(MAX(ROW(E20:E$2760)*(E2779=E20:E$2760)))))</f>
        <v/>
      </c>
      <c r="J2779" s="24" t="str">
        <f aca="true">IF(OR(E2779="",E2779="!!!",F2779="NEW"),"",COUNTBLANK(OFFSET(A$1,,,SUMPRODUCT(MAX(ROW(E$2:E2779)*(E2779=E$2:E2779)))))-COUNTBLANK(OFFSET(A$1,,,SUMPRODUCT(MAX(ROW(E$1:E2778)*(E2=E$1:E2778))))))</f>
        <v/>
      </c>
      <c r="K2779" s="24" t="str">
        <f aca="false">IF(OR(E2779="",E2779="!!!",F2779="NEW"),"",INDEX(J$1:J2778,SUMPRODUCT(MAX(ROW(E$1:E2778)*(E2779=E$1:E2778)))))</f>
        <v/>
      </c>
      <c r="L2779" s="31"/>
    </row>
    <row r="2780" customFormat="false" ht="15" hidden="false" customHeight="false" outlineLevel="0" collapsed="false">
      <c r="A2780" s="20" t="s">
        <v>1085</v>
      </c>
      <c r="E2780" s="23" t="str">
        <f aca="false">IF(D2780="?OLD","!!!","")</f>
        <v/>
      </c>
      <c r="F2780" s="25" t="str">
        <f aca="false">IF(OR(E2780="",E2780="!!!"),"",IF(NOT(ISNA(VLOOKUP(E2780,E$1:E2779,1,FALSE()))),"OLD",IF(AND(E2780&lt;&gt;"",E2780&lt;&gt;"!!!"),"NEW","")))</f>
        <v/>
      </c>
      <c r="G2780" s="26" t="str">
        <f aca="false">IF(OR(E2780="",E2780="!!!"),"",IF(OR(J2780=0,AND(J2780=1,K2780=1),AND(J2780=1,I2780="SBJ"),AND(J2780=1,I2780=0)),"?IN_FOCUS",IF(J2780&lt;=2,"?ACTIVATED",IF(J2780&lt;&gt;"","?FAMILIAR",IF(F2780="NEW",IF(ISNA(VLOOKUP(E2780,#REF!,1,FALSE())),"?TYPE_IDENTIFIABLE","?REFERENTIAL"),"_")))))</f>
        <v/>
      </c>
      <c r="H2780" s="27" t="str">
        <f aca="false">IF(J2780&lt;&gt;1,"",IF(I2780="SBJ","CB","?"))</f>
        <v/>
      </c>
      <c r="I2780" s="24" t="str">
        <f aca="false">IF(OR(E2780="",E2780="!!!",F2780="NEW"),"",INDEX(B21:B$2760,-1+SUMPRODUCT(MAX(ROW(E21:E$2760)*(E2780=E21:E$2760)))))</f>
        <v/>
      </c>
      <c r="J2780" s="24" t="str">
        <f aca="true">IF(OR(E2780="",E2780="!!!",F2780="NEW"),"",COUNTBLANK(OFFSET(A$1,,,SUMPRODUCT(MAX(ROW(E$2:E2780)*(E2780=E$2:E2780)))))-COUNTBLANK(OFFSET(A$1,,,SUMPRODUCT(MAX(ROW(E$1:E2779)*(E2=E$1:E2779))))))</f>
        <v/>
      </c>
      <c r="K2780" s="24" t="str">
        <f aca="false">IF(OR(E2780="",E2780="!!!",F2780="NEW"),"",INDEX(J$1:J2779,SUMPRODUCT(MAX(ROW(E$1:E2779)*(E2780=E$1:E2779)))))</f>
        <v/>
      </c>
      <c r="L2780" s="31"/>
    </row>
    <row r="2781" customFormat="false" ht="15" hidden="false" customHeight="false" outlineLevel="0" collapsed="false">
      <c r="A2781" s="20" t="s">
        <v>2020</v>
      </c>
      <c r="B2781" s="22" t="s">
        <v>1073</v>
      </c>
      <c r="C2781" s="22" t="s">
        <v>1087</v>
      </c>
      <c r="E2781" s="23" t="str">
        <f aca="false">IF(D2781="?OLD","!!!","")</f>
        <v/>
      </c>
      <c r="F2781" s="25" t="str">
        <f aca="false">IF(OR(E2781="",E2781="!!!"),"",IF(NOT(ISNA(VLOOKUP(E2781,E$1:E2780,1,FALSE()))),"OLD",IF(AND(E2781&lt;&gt;"",E2781&lt;&gt;"!!!"),"NEW","")))</f>
        <v/>
      </c>
      <c r="G2781" s="26" t="str">
        <f aca="false">IF(OR(E2781="",E2781="!!!"),"",IF(OR(J2781=0,AND(J2781=1,K2781=1),AND(J2781=1,I2781="SBJ"),AND(J2781=1,I2781=0)),"?IN_FOCUS",IF(J2781&lt;=2,"?ACTIVATED",IF(J2781&lt;&gt;"","?FAMILIAR",IF(F2781="NEW",IF(ISNA(VLOOKUP(E2781,#REF!,1,FALSE())),"?TYPE_IDENTIFIABLE","?REFERENTIAL"),"_")))))</f>
        <v/>
      </c>
      <c r="H2781" s="27" t="str">
        <f aca="false">IF(J2781&lt;&gt;1,"",IF(I2781="SBJ","CB","?"))</f>
        <v/>
      </c>
      <c r="I2781" s="24" t="str">
        <f aca="false">IF(OR(E2781="",E2781="!!!",F2781="NEW"),"",INDEX(B22:B$2760,-1+SUMPRODUCT(MAX(ROW(E22:E$2760)*(E2781=E22:E$2760)))))</f>
        <v/>
      </c>
      <c r="J2781" s="24" t="str">
        <f aca="true">IF(OR(E2781="",E2781="!!!",F2781="NEW"),"",COUNTBLANK(OFFSET(A$1,,,SUMPRODUCT(MAX(ROW(E$2:E2781)*(E2781=E$2:E2781)))))-COUNTBLANK(OFFSET(A$1,,,SUMPRODUCT(MAX(ROW(E$1:E2780)*(E2=E$1:E2780))))))</f>
        <v/>
      </c>
      <c r="K2781" s="24" t="str">
        <f aca="false">IF(OR(E2781="",E2781="!!!",F2781="NEW"),"",INDEX(J$1:J2780,SUMPRODUCT(MAX(ROW(E$1:E2780)*(E2781=E$1:E2780)))))</f>
        <v/>
      </c>
      <c r="L2781" s="31"/>
    </row>
    <row r="2782" customFormat="false" ht="15" hidden="false" customHeight="false" outlineLevel="0" collapsed="false">
      <c r="A2782" s="20" t="s">
        <v>1064</v>
      </c>
      <c r="E2782" s="23" t="str">
        <f aca="false">IF(D2782="?OLD","!!!","")</f>
        <v/>
      </c>
      <c r="F2782" s="25" t="str">
        <f aca="false">IF(OR(E2782="",E2782="!!!"),"",IF(NOT(ISNA(VLOOKUP(E2782,E$1:E2781,1,FALSE()))),"OLD",IF(AND(E2782&lt;&gt;"",E2782&lt;&gt;"!!!"),"NEW","")))</f>
        <v/>
      </c>
      <c r="G2782" s="26" t="str">
        <f aca="false">IF(OR(E2782="",E2782="!!!"),"",IF(OR(J2782=0,AND(J2782=1,K2782=1),AND(J2782=1,I2782="SBJ"),AND(J2782=1,I2782=0)),"?IN_FOCUS",IF(J2782&lt;=2,"?ACTIVATED",IF(J2782&lt;&gt;"","?FAMILIAR",IF(F2782="NEW",IF(ISNA(VLOOKUP(E2782,#REF!,1,FALSE())),"?TYPE_IDENTIFIABLE","?REFERENTIAL"),"_")))))</f>
        <v/>
      </c>
      <c r="H2782" s="27" t="str">
        <f aca="false">IF(J2782&lt;&gt;1,"",IF(I2782="SBJ","CB","?"))</f>
        <v/>
      </c>
      <c r="I2782" s="24" t="str">
        <f aca="false">IF(OR(E2782="",E2782="!!!",F2782="NEW"),"",INDEX(B23:B$2760,-1+SUMPRODUCT(MAX(ROW(E23:E$2760)*(E2782=E23:E$2760)))))</f>
        <v/>
      </c>
      <c r="J2782" s="24" t="str">
        <f aca="true">IF(OR(E2782="",E2782="!!!",F2782="NEW"),"",COUNTBLANK(OFFSET(A$1,,,SUMPRODUCT(MAX(ROW(E$2:E2782)*(E2782=E$2:E2782)))))-COUNTBLANK(OFFSET(A$1,,,SUMPRODUCT(MAX(ROW(E$1:E2781)*(E2=E$1:E2781))))))</f>
        <v/>
      </c>
      <c r="K2782" s="24" t="str">
        <f aca="false">IF(OR(E2782="",E2782="!!!",F2782="NEW"),"",INDEX(J$1:J2781,SUMPRODUCT(MAX(ROW(E$1:E2781)*(E2782=E$1:E2781)))))</f>
        <v/>
      </c>
      <c r="L2782" s="31"/>
    </row>
    <row r="2783" customFormat="false" ht="15" hidden="false" customHeight="false" outlineLevel="0" collapsed="false">
      <c r="A2783" s="20" t="s">
        <v>1109</v>
      </c>
      <c r="E2783" s="23" t="str">
        <f aca="false">IF(D2783="?OLD","!!!","")</f>
        <v/>
      </c>
      <c r="F2783" s="25" t="str">
        <f aca="false">IF(OR(E2783="",E2783="!!!"),"",IF(NOT(ISNA(VLOOKUP(E2783,E$1:E2782,1,FALSE()))),"OLD",IF(AND(E2783&lt;&gt;"",E2783&lt;&gt;"!!!"),"NEW","")))</f>
        <v/>
      </c>
      <c r="G2783" s="26" t="str">
        <f aca="false">IF(OR(E2783="",E2783="!!!"),"",IF(OR(J2783=0,AND(J2783=1,K2783=1),AND(J2783=1,I2783="SBJ"),AND(J2783=1,I2783=0)),"?IN_FOCUS",IF(J2783&lt;=2,"?ACTIVATED",IF(J2783&lt;&gt;"","?FAMILIAR",IF(F2783="NEW",IF(ISNA(VLOOKUP(E2783,#REF!,1,FALSE())),"?TYPE_IDENTIFIABLE","?REFERENTIAL"),"_")))))</f>
        <v/>
      </c>
      <c r="H2783" s="27" t="str">
        <f aca="false">IF(J2783&lt;&gt;1,"",IF(I2783="SBJ","CB","?"))</f>
        <v/>
      </c>
      <c r="I2783" s="24" t="str">
        <f aca="false">IF(OR(E2783="",E2783="!!!",F2783="NEW"),"",INDEX(B24:B$2760,-1+SUMPRODUCT(MAX(ROW(E24:E$2760)*(E2783=E24:E$2760)))))</f>
        <v/>
      </c>
      <c r="J2783" s="24" t="str">
        <f aca="true">IF(OR(E2783="",E2783="!!!",F2783="NEW"),"",COUNTBLANK(OFFSET(A$1,,,SUMPRODUCT(MAX(ROW(E$2:E2783)*(E2783=E$2:E2783)))))-COUNTBLANK(OFFSET(A$1,,,SUMPRODUCT(MAX(ROW(E$1:E2782)*(E2=E$1:E2782))))))</f>
        <v/>
      </c>
      <c r="K2783" s="24" t="str">
        <f aca="false">IF(OR(E2783="",E2783="!!!",F2783="NEW"),"",INDEX(J$1:J2782,SUMPRODUCT(MAX(ROW(E$1:E2782)*(E2783=E$1:E2782)))))</f>
        <v/>
      </c>
      <c r="L2783" s="31"/>
    </row>
    <row r="2784" customFormat="false" ht="15" hidden="false" customHeight="false" outlineLevel="0" collapsed="false">
      <c r="A2784" s="20" t="s">
        <v>1386</v>
      </c>
      <c r="E2784" s="23" t="str">
        <f aca="false">IF(D2784="?OLD","!!!","")</f>
        <v/>
      </c>
      <c r="F2784" s="25" t="str">
        <f aca="false">IF(OR(E2784="",E2784="!!!"),"",IF(NOT(ISNA(VLOOKUP(E2784,E$1:E2783,1,FALSE()))),"OLD",IF(AND(E2784&lt;&gt;"",E2784&lt;&gt;"!!!"),"NEW","")))</f>
        <v/>
      </c>
      <c r="G2784" s="26" t="str">
        <f aca="false">IF(OR(E2784="",E2784="!!!"),"",IF(OR(J2784=0,AND(J2784=1,K2784=1),AND(J2784=1,I2784="SBJ"),AND(J2784=1,I2784=0)),"?IN_FOCUS",IF(J2784&lt;=2,"?ACTIVATED",IF(J2784&lt;&gt;"","?FAMILIAR",IF(F2784="NEW",IF(ISNA(VLOOKUP(E2784,#REF!,1,FALSE())),"?TYPE_IDENTIFIABLE","?REFERENTIAL"),"_")))))</f>
        <v/>
      </c>
      <c r="H2784" s="27" t="str">
        <f aca="false">IF(J2784&lt;&gt;1,"",IF(I2784="SBJ","CB","?"))</f>
        <v/>
      </c>
      <c r="I2784" s="24" t="str">
        <f aca="false">IF(OR(E2784="",E2784="!!!",F2784="NEW"),"",INDEX(B25:B$2760,-1+SUMPRODUCT(MAX(ROW(E25:E$2760)*(E2784=E25:E$2760)))))</f>
        <v/>
      </c>
      <c r="J2784" s="24" t="str">
        <f aca="true">IF(OR(E2784="",E2784="!!!",F2784="NEW"),"",COUNTBLANK(OFFSET(A$1,,,SUMPRODUCT(MAX(ROW(E$2:E2784)*(E2784=E$2:E2784)))))-COUNTBLANK(OFFSET(A$1,,,SUMPRODUCT(MAX(ROW(E$1:E2783)*(E2=E$1:E2783))))))</f>
        <v/>
      </c>
      <c r="K2784" s="24" t="str">
        <f aca="false">IF(OR(E2784="",E2784="!!!",F2784="NEW"),"",INDEX(J$1:J2783,SUMPRODUCT(MAX(ROW(E$1:E2783)*(E2784=E$1:E2783)))))</f>
        <v/>
      </c>
      <c r="L2784" s="31"/>
    </row>
    <row r="2785" customFormat="false" ht="15" hidden="false" customHeight="false" outlineLevel="0" collapsed="false">
      <c r="A2785" s="20" t="s">
        <v>2021</v>
      </c>
      <c r="B2785" s="22" t="s">
        <v>1067</v>
      </c>
      <c r="C2785" s="22" t="s">
        <v>1428</v>
      </c>
      <c r="D2785" s="22" t="s">
        <v>1060</v>
      </c>
      <c r="E2785" s="23" t="str">
        <f aca="false">IF(D2785="?OLD","!!!","")</f>
        <v>!!!</v>
      </c>
      <c r="F2785" s="25" t="str">
        <f aca="false">IF(OR(E2785="",E2785="!!!"),"",IF(NOT(ISNA(VLOOKUP(E2785,E$1:E2784,1,FALSE()))),"OLD",IF(AND(E2785&lt;&gt;"",E2785&lt;&gt;"!!!"),"NEW","")))</f>
        <v/>
      </c>
      <c r="G2785" s="26" t="str">
        <f aca="false">IF(OR(E2785="",E2785="!!!"),"",IF(OR(J2785=0,AND(J2785=1,K2785=1),AND(J2785=1,I2785="SBJ"),AND(J2785=1,I2785=0)),"?IN_FOCUS",IF(J2785&lt;=2,"?ACTIVATED",IF(J2785&lt;&gt;"","?FAMILIAR",IF(F2785="NEW",IF(ISNA(VLOOKUP(E2785,#REF!,1,FALSE())),"?TYPE_IDENTIFIABLE","?REFERENTIAL"),"_")))))</f>
        <v/>
      </c>
      <c r="H2785" s="27" t="str">
        <f aca="false">IF(J2785&lt;&gt;1,"",IF(I2785="SBJ","CB","?"))</f>
        <v/>
      </c>
      <c r="I2785" s="24" t="str">
        <f aca="false">IF(OR(E2785="",E2785="!!!",F2785="NEW"),"",INDEX(B26:B$2760,-1+SUMPRODUCT(MAX(ROW(E26:E$2760)*(E2785=E26:E$2760)))))</f>
        <v/>
      </c>
      <c r="J2785" s="24" t="str">
        <f aca="true">IF(OR(E2785="",E2785="!!!",F2785="NEW"),"",COUNTBLANK(OFFSET(A$1,,,SUMPRODUCT(MAX(ROW(E$2:E2785)*(E2785=E$2:E2785)))))-COUNTBLANK(OFFSET(A$1,,,SUMPRODUCT(MAX(ROW(E$1:E2784)*(E2=E$1:E2784))))))</f>
        <v/>
      </c>
      <c r="K2785" s="24" t="str">
        <f aca="false">IF(OR(E2785="",E2785="!!!",F2785="NEW"),"",INDEX(J$1:J2784,SUMPRODUCT(MAX(ROW(E$1:E2784)*(E2785=E$1:E2784)))))</f>
        <v/>
      </c>
      <c r="L2785" s="31"/>
    </row>
    <row r="2786" customFormat="false" ht="15" hidden="false" customHeight="false" outlineLevel="0" collapsed="false">
      <c r="A2786" s="20" t="s">
        <v>1076</v>
      </c>
      <c r="E2786" s="23" t="str">
        <f aca="false">IF(D2786="?OLD","!!!","")</f>
        <v/>
      </c>
      <c r="F2786" s="25" t="str">
        <f aca="false">IF(OR(E2786="",E2786="!!!"),"",IF(NOT(ISNA(VLOOKUP(E2786,E$1:E2785,1,FALSE()))),"OLD",IF(AND(E2786&lt;&gt;"",E2786&lt;&gt;"!!!"),"NEW","")))</f>
        <v/>
      </c>
      <c r="G2786" s="26" t="str">
        <f aca="false">IF(OR(E2786="",E2786="!!!"),"",IF(OR(J2786=0,AND(J2786=1,K2786=1),AND(J2786=1,I2786="SBJ"),AND(J2786=1,I2786=0)),"?IN_FOCUS",IF(J2786&lt;=2,"?ACTIVATED",IF(J2786&lt;&gt;"","?FAMILIAR",IF(F2786="NEW",IF(ISNA(VLOOKUP(E2786,#REF!,1,FALSE())),"?TYPE_IDENTIFIABLE","?REFERENTIAL"),"_")))))</f>
        <v/>
      </c>
      <c r="H2786" s="27" t="str">
        <f aca="false">IF(J2786&lt;&gt;1,"",IF(I2786="SBJ","CB","?"))</f>
        <v/>
      </c>
      <c r="I2786" s="24" t="str">
        <f aca="false">IF(OR(E2786="",E2786="!!!",F2786="NEW"),"",INDEX(B27:B$2760,-1+SUMPRODUCT(MAX(ROW(E27:E$2760)*(E2786=E27:E$2760)))))</f>
        <v/>
      </c>
      <c r="J2786" s="24" t="str">
        <f aca="true">IF(OR(E2786="",E2786="!!!",F2786="NEW"),"",COUNTBLANK(OFFSET(A$1,,,SUMPRODUCT(MAX(ROW(E$2:E2786)*(E2786=E$2:E2786)))))-COUNTBLANK(OFFSET(A$1,,,SUMPRODUCT(MAX(ROW(E$1:E2785)*(E2=E$1:E2785))))))</f>
        <v/>
      </c>
      <c r="K2786" s="24" t="str">
        <f aca="false">IF(OR(E2786="",E2786="!!!",F2786="NEW"),"",INDEX(J$1:J2785,SUMPRODUCT(MAX(ROW(E$1:E2785)*(E2786=E$1:E2785)))))</f>
        <v/>
      </c>
      <c r="L2786" s="31"/>
    </row>
    <row r="2787" customFormat="false" ht="15" hidden="false" customHeight="false" outlineLevel="0" collapsed="false">
      <c r="A2787" s="20" t="s">
        <v>1882</v>
      </c>
      <c r="B2787" s="22" t="s">
        <v>1107</v>
      </c>
      <c r="C2787" s="22" t="s">
        <v>1160</v>
      </c>
      <c r="E2787" s="23" t="str">
        <f aca="false">IF(D2787="?OLD","!!!","")</f>
        <v/>
      </c>
      <c r="F2787" s="25" t="str">
        <f aca="false">IF(OR(E2787="",E2787="!!!"),"",IF(NOT(ISNA(VLOOKUP(E2787,E$1:E2786,1,FALSE()))),"OLD",IF(AND(E2787&lt;&gt;"",E2787&lt;&gt;"!!!"),"NEW","")))</f>
        <v/>
      </c>
      <c r="G2787" s="26" t="str">
        <f aca="false">IF(OR(E2787="",E2787="!!!"),"",IF(OR(J2787=0,AND(J2787=1,K2787=1),AND(J2787=1,I2787="SBJ"),AND(J2787=1,I2787=0)),"?IN_FOCUS",IF(J2787&lt;=2,"?ACTIVATED",IF(J2787&lt;&gt;"","?FAMILIAR",IF(F2787="NEW",IF(ISNA(VLOOKUP(E2787,#REF!,1,FALSE())),"?TYPE_IDENTIFIABLE","?REFERENTIAL"),"_")))))</f>
        <v/>
      </c>
      <c r="H2787" s="27" t="str">
        <f aca="false">IF(J2787&lt;&gt;1,"",IF(I2787="SBJ","CB","?"))</f>
        <v/>
      </c>
      <c r="I2787" s="24" t="str">
        <f aca="false">IF(OR(E2787="",E2787="!!!",F2787="NEW"),"",INDEX(B28:B$2760,-1+SUMPRODUCT(MAX(ROW(E28:E$2760)*(E2787=E28:E$2760)))))</f>
        <v/>
      </c>
      <c r="J2787" s="24" t="str">
        <f aca="true">IF(OR(E2787="",E2787="!!!",F2787="NEW"),"",COUNTBLANK(OFFSET(A$1,,,SUMPRODUCT(MAX(ROW(E$2:E2787)*(E2787=E$2:E2787)))))-COUNTBLANK(OFFSET(A$1,,,SUMPRODUCT(MAX(ROW(E$1:E2786)*(E2=E$1:E2786))))))</f>
        <v/>
      </c>
      <c r="K2787" s="24" t="str">
        <f aca="false">IF(OR(E2787="",E2787="!!!",F2787="NEW"),"",INDEX(J$1:J2786,SUMPRODUCT(MAX(ROW(E$1:E2786)*(E2787=E$1:E2786)))))</f>
        <v/>
      </c>
      <c r="L2787" s="31"/>
    </row>
    <row r="2788" customFormat="false" ht="15" hidden="false" customHeight="false" outlineLevel="0" collapsed="false">
      <c r="A2788" s="20" t="s">
        <v>1076</v>
      </c>
      <c r="E2788" s="23" t="str">
        <f aca="false">IF(D2788="?OLD","!!!","")</f>
        <v/>
      </c>
      <c r="F2788" s="25" t="str">
        <f aca="false">IF(OR(E2788="",E2788="!!!"),"",IF(NOT(ISNA(VLOOKUP(E2788,E$1:E2787,1,FALSE()))),"OLD",IF(AND(E2788&lt;&gt;"",E2788&lt;&gt;"!!!"),"NEW","")))</f>
        <v/>
      </c>
      <c r="G2788" s="26" t="str">
        <f aca="false">IF(OR(E2788="",E2788="!!!"),"",IF(OR(J2788=0,AND(J2788=1,K2788=1),AND(J2788=1,I2788="SBJ"),AND(J2788=1,I2788=0)),"?IN_FOCUS",IF(J2788&lt;=2,"?ACTIVATED",IF(J2788&lt;&gt;"","?FAMILIAR",IF(F2788="NEW",IF(ISNA(VLOOKUP(E2788,#REF!,1,FALSE())),"?TYPE_IDENTIFIABLE","?REFERENTIAL"),"_")))))</f>
        <v/>
      </c>
      <c r="H2788" s="27" t="str">
        <f aca="false">IF(J2788&lt;&gt;1,"",IF(I2788="SBJ","CB","?"))</f>
        <v/>
      </c>
      <c r="I2788" s="24" t="str">
        <f aca="false">IF(OR(E2788="",E2788="!!!",F2788="NEW"),"",INDEX(B29:B$2760,-1+SUMPRODUCT(MAX(ROW(E29:E$2760)*(E2788=E29:E$2760)))))</f>
        <v/>
      </c>
      <c r="J2788" s="24" t="str">
        <f aca="true">IF(OR(E2788="",E2788="!!!",F2788="NEW"),"",COUNTBLANK(OFFSET(A$1,,,SUMPRODUCT(MAX(ROW(E$2:E2788)*(E2788=E$2:E2788)))))-COUNTBLANK(OFFSET(A$1,,,SUMPRODUCT(MAX(ROW(E$1:E2787)*(E2=E$1:E2787))))))</f>
        <v/>
      </c>
      <c r="K2788" s="24" t="str">
        <f aca="false">IF(OR(E2788="",E2788="!!!",F2788="NEW"),"",INDEX(J$1:J2787,SUMPRODUCT(MAX(ROW(E$1:E2787)*(E2788=E$1:E2787)))))</f>
        <v/>
      </c>
      <c r="L2788" s="31"/>
    </row>
    <row r="2789" customFormat="false" ht="15" hidden="false" customHeight="false" outlineLevel="0" collapsed="false">
      <c r="A2789" s="20" t="s">
        <v>1128</v>
      </c>
      <c r="E2789" s="23" t="str">
        <f aca="false">IF(D2789="?OLD","!!!","")</f>
        <v/>
      </c>
      <c r="F2789" s="25" t="str">
        <f aca="false">IF(OR(E2789="",E2789="!!!"),"",IF(NOT(ISNA(VLOOKUP(E2789,E$1:E2788,1,FALSE()))),"OLD",IF(AND(E2789&lt;&gt;"",E2789&lt;&gt;"!!!"),"NEW","")))</f>
        <v/>
      </c>
      <c r="G2789" s="26" t="str">
        <f aca="false">IF(OR(E2789="",E2789="!!!"),"",IF(OR(J2789=0,AND(J2789=1,K2789=1),AND(J2789=1,I2789="SBJ"),AND(J2789=1,I2789=0)),"?IN_FOCUS",IF(J2789&lt;=2,"?ACTIVATED",IF(J2789&lt;&gt;"","?FAMILIAR",IF(F2789="NEW",IF(ISNA(VLOOKUP(E2789,#REF!,1,FALSE())),"?TYPE_IDENTIFIABLE","?REFERENTIAL"),"_")))))</f>
        <v/>
      </c>
      <c r="H2789" s="27" t="str">
        <f aca="false">IF(J2789&lt;&gt;1,"",IF(I2789="SBJ","CB","?"))</f>
        <v/>
      </c>
      <c r="I2789" s="24" t="str">
        <f aca="false">IF(OR(E2789="",E2789="!!!",F2789="NEW"),"",INDEX(B30:B$2760,-1+SUMPRODUCT(MAX(ROW(E30:E$2760)*(E2789=E30:E$2760)))))</f>
        <v/>
      </c>
      <c r="J2789" s="24" t="str">
        <f aca="true">IF(OR(E2789="",E2789="!!!",F2789="NEW"),"",COUNTBLANK(OFFSET(A$1,,,SUMPRODUCT(MAX(ROW(E$2:E2789)*(E2789=E$2:E2789)))))-COUNTBLANK(OFFSET(A$1,,,SUMPRODUCT(MAX(ROW(E$1:E2788)*(E2=E$1:E2788))))))</f>
        <v/>
      </c>
      <c r="K2789" s="24" t="str">
        <f aca="false">IF(OR(E2789="",E2789="!!!",F2789="NEW"),"",INDEX(J$1:J2788,SUMPRODUCT(MAX(ROW(E$1:E2788)*(E2789=E$1:E2788)))))</f>
        <v/>
      </c>
      <c r="L2789" s="31"/>
    </row>
    <row r="2790" customFormat="false" ht="15" hidden="false" customHeight="false" outlineLevel="0" collapsed="false">
      <c r="A2790" s="20" t="s">
        <v>1157</v>
      </c>
      <c r="E2790" s="23" t="str">
        <f aca="false">IF(D2790="?OLD","!!!","")</f>
        <v/>
      </c>
      <c r="F2790" s="25" t="str">
        <f aca="false">IF(OR(E2790="",E2790="!!!"),"",IF(NOT(ISNA(VLOOKUP(E2790,E$1:E2789,1,FALSE()))),"OLD",IF(AND(E2790&lt;&gt;"",E2790&lt;&gt;"!!!"),"NEW","")))</f>
        <v/>
      </c>
      <c r="G2790" s="26" t="str">
        <f aca="false">IF(OR(E2790="",E2790="!!!"),"",IF(OR(J2790=0,AND(J2790=1,K2790=1),AND(J2790=1,I2790="SBJ"),AND(J2790=1,I2790=0)),"?IN_FOCUS",IF(J2790&lt;=2,"?ACTIVATED",IF(J2790&lt;&gt;"","?FAMILIAR",IF(F2790="NEW",IF(ISNA(VLOOKUP(E2790,#REF!,1,FALSE())),"?TYPE_IDENTIFIABLE","?REFERENTIAL"),"_")))))</f>
        <v/>
      </c>
      <c r="H2790" s="27" t="str">
        <f aca="false">IF(J2790&lt;&gt;1,"",IF(I2790="SBJ","CB","?"))</f>
        <v/>
      </c>
      <c r="I2790" s="24" t="str">
        <f aca="false">IF(OR(E2790="",E2790="!!!",F2790="NEW"),"",INDEX(B31:B$2760,-1+SUMPRODUCT(MAX(ROW(E31:E$2760)*(E2790=E31:E$2760)))))</f>
        <v/>
      </c>
      <c r="J2790" s="24" t="str">
        <f aca="true">IF(OR(E2790="",E2790="!!!",F2790="NEW"),"",COUNTBLANK(OFFSET(A$1,,,SUMPRODUCT(MAX(ROW(E$2:E2790)*(E2790=E$2:E2790)))))-COUNTBLANK(OFFSET(A$1,,,SUMPRODUCT(MAX(ROW(E$1:E2789)*(E2=E$1:E2789))))))</f>
        <v/>
      </c>
      <c r="K2790" s="24" t="str">
        <f aca="false">IF(OR(E2790="",E2790="!!!",F2790="NEW"),"",INDEX(J$1:J2789,SUMPRODUCT(MAX(ROW(E$1:E2789)*(E2790=E$1:E2789)))))</f>
        <v/>
      </c>
      <c r="L2790" s="31"/>
    </row>
    <row r="2791" customFormat="false" ht="15" hidden="false" customHeight="false" outlineLevel="0" collapsed="false">
      <c r="A2791" s="20" t="s">
        <v>2022</v>
      </c>
      <c r="E2791" s="23" t="str">
        <f aca="false">IF(D2791="?OLD","!!!","")</f>
        <v/>
      </c>
      <c r="F2791" s="25" t="str">
        <f aca="false">IF(OR(E2791="",E2791="!!!"),"",IF(NOT(ISNA(VLOOKUP(E2791,E$1:E2790,1,FALSE()))),"OLD",IF(AND(E2791&lt;&gt;"",E2791&lt;&gt;"!!!"),"NEW","")))</f>
        <v/>
      </c>
      <c r="G2791" s="26" t="str">
        <f aca="false">IF(OR(E2791="",E2791="!!!"),"",IF(OR(J2791=0,AND(J2791=1,K2791=1),AND(J2791=1,I2791="SBJ"),AND(J2791=1,I2791=0)),"?IN_FOCUS",IF(J2791&lt;=2,"?ACTIVATED",IF(J2791&lt;&gt;"","?FAMILIAR",IF(F2791="NEW",IF(ISNA(VLOOKUP(E2791,#REF!,1,FALSE())),"?TYPE_IDENTIFIABLE","?REFERENTIAL"),"_")))))</f>
        <v/>
      </c>
      <c r="H2791" s="27" t="str">
        <f aca="false">IF(J2791&lt;&gt;1,"",IF(I2791="SBJ","CB","?"))</f>
        <v/>
      </c>
      <c r="I2791" s="24" t="str">
        <f aca="false">IF(OR(E2791="",E2791="!!!",F2791="NEW"),"",INDEX(B32:B$2760,-1+SUMPRODUCT(MAX(ROW(E32:E$2760)*(E2791=E32:E$2760)))))</f>
        <v/>
      </c>
      <c r="J2791" s="24" t="str">
        <f aca="true">IF(OR(E2791="",E2791="!!!",F2791="NEW"),"",COUNTBLANK(OFFSET(A$1,,,SUMPRODUCT(MAX(ROW(E$2:E2791)*(E2791=E$2:E2791)))))-COUNTBLANK(OFFSET(A$1,,,SUMPRODUCT(MAX(ROW(E$1:E2790)*(E2=E$1:E2790))))))</f>
        <v/>
      </c>
      <c r="K2791" s="24" t="str">
        <f aca="false">IF(OR(E2791="",E2791="!!!",F2791="NEW"),"",INDEX(J$1:J2790,SUMPRODUCT(MAX(ROW(E$1:E2790)*(E2791=E$1:E2790)))))</f>
        <v/>
      </c>
      <c r="L2791" s="31"/>
    </row>
    <row r="2792" customFormat="false" ht="15" hidden="false" customHeight="false" outlineLevel="0" collapsed="false">
      <c r="A2792" s="20" t="s">
        <v>1157</v>
      </c>
      <c r="E2792" s="23" t="str">
        <f aca="false">IF(D2792="?OLD","!!!","")</f>
        <v/>
      </c>
      <c r="F2792" s="25" t="str">
        <f aca="false">IF(OR(E2792="",E2792="!!!"),"",IF(NOT(ISNA(VLOOKUP(E2792,E$1:E2791,1,FALSE()))),"OLD",IF(AND(E2792&lt;&gt;"",E2792&lt;&gt;"!!!"),"NEW","")))</f>
        <v/>
      </c>
      <c r="G2792" s="26" t="str">
        <f aca="false">IF(OR(E2792="",E2792="!!!"),"",IF(OR(J2792=0,AND(J2792=1,K2792=1),AND(J2792=1,I2792="SBJ"),AND(J2792=1,I2792=0)),"?IN_FOCUS",IF(J2792&lt;=2,"?ACTIVATED",IF(J2792&lt;&gt;"","?FAMILIAR",IF(F2792="NEW",IF(ISNA(VLOOKUP(E2792,#REF!,1,FALSE())),"?TYPE_IDENTIFIABLE","?REFERENTIAL"),"_")))))</f>
        <v/>
      </c>
      <c r="H2792" s="27" t="str">
        <f aca="false">IF(J2792&lt;&gt;1,"",IF(I2792="SBJ","CB","?"))</f>
        <v/>
      </c>
      <c r="I2792" s="24" t="str">
        <f aca="false">IF(OR(E2792="",E2792="!!!",F2792="NEW"),"",INDEX(B33:B$2760,-1+SUMPRODUCT(MAX(ROW(E33:E$2760)*(E2792=E33:E$2760)))))</f>
        <v/>
      </c>
      <c r="J2792" s="24" t="str">
        <f aca="true">IF(OR(E2792="",E2792="!!!",F2792="NEW"),"",COUNTBLANK(OFFSET(A$1,,,SUMPRODUCT(MAX(ROW(E$2:E2792)*(E2792=E$2:E2792)))))-COUNTBLANK(OFFSET(A$1,,,SUMPRODUCT(MAX(ROW(E$1:E2791)*(E2=E$1:E2791))))))</f>
        <v/>
      </c>
      <c r="K2792" s="24" t="str">
        <f aca="false">IF(OR(E2792="",E2792="!!!",F2792="NEW"),"",INDEX(J$1:J2791,SUMPRODUCT(MAX(ROW(E$1:E2791)*(E2792=E$1:E2791)))))</f>
        <v/>
      </c>
      <c r="L2792" s="31"/>
    </row>
    <row r="2793" customFormat="false" ht="15" hidden="false" customHeight="false" outlineLevel="0" collapsed="false">
      <c r="A2793" s="20" t="s">
        <v>1085</v>
      </c>
      <c r="E2793" s="23" t="str">
        <f aca="false">IF(D2793="?OLD","!!!","")</f>
        <v/>
      </c>
      <c r="F2793" s="25" t="str">
        <f aca="false">IF(OR(E2793="",E2793="!!!"),"",IF(NOT(ISNA(VLOOKUP(E2793,E$1:E2792,1,FALSE()))),"OLD",IF(AND(E2793&lt;&gt;"",E2793&lt;&gt;"!!!"),"NEW","")))</f>
        <v/>
      </c>
      <c r="G2793" s="26" t="str">
        <f aca="false">IF(OR(E2793="",E2793="!!!"),"",IF(OR(J2793=0,AND(J2793=1,K2793=1),AND(J2793=1,I2793="SBJ"),AND(J2793=1,I2793=0)),"?IN_FOCUS",IF(J2793&lt;=2,"?ACTIVATED",IF(J2793&lt;&gt;"","?FAMILIAR",IF(F2793="NEW",IF(ISNA(VLOOKUP(E2793,#REF!,1,FALSE())),"?TYPE_IDENTIFIABLE","?REFERENTIAL"),"_")))))</f>
        <v/>
      </c>
      <c r="H2793" s="27" t="str">
        <f aca="false">IF(J2793&lt;&gt;1,"",IF(I2793="SBJ","CB","?"))</f>
        <v/>
      </c>
      <c r="I2793" s="24" t="str">
        <f aca="false">IF(OR(E2793="",E2793="!!!",F2793="NEW"),"",INDEX(B34:B$2760,-1+SUMPRODUCT(MAX(ROW(E34:E$2760)*(E2793=E34:E$2760)))))</f>
        <v/>
      </c>
      <c r="J2793" s="24" t="str">
        <f aca="true">IF(OR(E2793="",E2793="!!!",F2793="NEW"),"",COUNTBLANK(OFFSET(A$1,,,SUMPRODUCT(MAX(ROW(E$2:E2793)*(E2793=E$2:E2793)))))-COUNTBLANK(OFFSET(A$1,,,SUMPRODUCT(MAX(ROW(E$1:E2792)*(E2=E$1:E2792))))))</f>
        <v/>
      </c>
      <c r="K2793" s="24" t="str">
        <f aca="false">IF(OR(E2793="",E2793="!!!",F2793="NEW"),"",INDEX(J$1:J2792,SUMPRODUCT(MAX(ROW(E$1:E2792)*(E2793=E$1:E2792)))))</f>
        <v/>
      </c>
      <c r="L2793" s="31"/>
    </row>
    <row r="2794" customFormat="false" ht="15" hidden="false" customHeight="false" outlineLevel="0" collapsed="false">
      <c r="A2794" s="20" t="s">
        <v>2023</v>
      </c>
      <c r="E2794" s="23" t="str">
        <f aca="false">IF(D2794="?OLD","!!!","")</f>
        <v/>
      </c>
      <c r="F2794" s="25" t="str">
        <f aca="false">IF(OR(E2794="",E2794="!!!"),"",IF(NOT(ISNA(VLOOKUP(E2794,E$1:E2793,1,FALSE()))),"OLD",IF(AND(E2794&lt;&gt;"",E2794&lt;&gt;"!!!"),"NEW","")))</f>
        <v/>
      </c>
      <c r="G2794" s="26" t="str">
        <f aca="false">IF(OR(E2794="",E2794="!!!"),"",IF(OR(J2794=0,AND(J2794=1,K2794=1),AND(J2794=1,I2794="SBJ"),AND(J2794=1,I2794=0)),"?IN_FOCUS",IF(J2794&lt;=2,"?ACTIVATED",IF(J2794&lt;&gt;"","?FAMILIAR",IF(F2794="NEW",IF(ISNA(VLOOKUP(E2794,#REF!,1,FALSE())),"?TYPE_IDENTIFIABLE","?REFERENTIAL"),"_")))))</f>
        <v/>
      </c>
      <c r="H2794" s="27" t="str">
        <f aca="false">IF(J2794&lt;&gt;1,"",IF(I2794="SBJ","CB","?"))</f>
        <v/>
      </c>
      <c r="I2794" s="24" t="str">
        <f aca="false">IF(OR(E2794="",E2794="!!!",F2794="NEW"),"",INDEX(B35:B$2760,-1+SUMPRODUCT(MAX(ROW(E35:E$2760)*(E2794=E35:E$2760)))))</f>
        <v/>
      </c>
      <c r="J2794" s="24" t="str">
        <f aca="true">IF(OR(E2794="",E2794="!!!",F2794="NEW"),"",COUNTBLANK(OFFSET(A$1,,,SUMPRODUCT(MAX(ROW(E$2:E2794)*(E2794=E$2:E2794)))))-COUNTBLANK(OFFSET(A$1,,,SUMPRODUCT(MAX(ROW(E$1:E2793)*(E2=E$1:E2793))))))</f>
        <v/>
      </c>
      <c r="K2794" s="24" t="str">
        <f aca="false">IF(OR(E2794="",E2794="!!!",F2794="NEW"),"",INDEX(J$1:J2793,SUMPRODUCT(MAX(ROW(E$1:E2793)*(E2794=E$1:E2793)))))</f>
        <v/>
      </c>
      <c r="L2794" s="31"/>
    </row>
    <row r="2795" customFormat="false" ht="15" hidden="false" customHeight="false" outlineLevel="0" collapsed="false">
      <c r="A2795" s="20" t="s">
        <v>2024</v>
      </c>
      <c r="B2795" s="22" t="s">
        <v>1098</v>
      </c>
      <c r="C2795" s="22" t="s">
        <v>1087</v>
      </c>
      <c r="E2795" s="23" t="str">
        <f aca="false">IF(D2795="?OLD","!!!","")</f>
        <v/>
      </c>
      <c r="F2795" s="25" t="str">
        <f aca="false">IF(OR(E2795="",E2795="!!!"),"",IF(NOT(ISNA(VLOOKUP(E2795,E$1:E2794,1,FALSE()))),"OLD",IF(AND(E2795&lt;&gt;"",E2795&lt;&gt;"!!!"),"NEW","")))</f>
        <v/>
      </c>
      <c r="G2795" s="26" t="str">
        <f aca="false">IF(OR(E2795="",E2795="!!!"),"",IF(OR(J2795=0,AND(J2795=1,K2795=1),AND(J2795=1,I2795="SBJ"),AND(J2795=1,I2795=0)),"?IN_FOCUS",IF(J2795&lt;=2,"?ACTIVATED",IF(J2795&lt;&gt;"","?FAMILIAR",IF(F2795="NEW",IF(ISNA(VLOOKUP(E2795,#REF!,1,FALSE())),"?TYPE_IDENTIFIABLE","?REFERENTIAL"),"_")))))</f>
        <v/>
      </c>
      <c r="H2795" s="27" t="str">
        <f aca="false">IF(J2795&lt;&gt;1,"",IF(I2795="SBJ","CB","?"))</f>
        <v/>
      </c>
      <c r="I2795" s="24" t="str">
        <f aca="false">IF(OR(E2795="",E2795="!!!",F2795="NEW"),"",INDEX(B36:B$2760,-1+SUMPRODUCT(MAX(ROW(E36:E$2760)*(E2795=E36:E$2760)))))</f>
        <v/>
      </c>
      <c r="J2795" s="24" t="str">
        <f aca="true">IF(OR(E2795="",E2795="!!!",F2795="NEW"),"",COUNTBLANK(OFFSET(A$1,,,SUMPRODUCT(MAX(ROW(E$2:E2795)*(E2795=E$2:E2795)))))-COUNTBLANK(OFFSET(A$1,,,SUMPRODUCT(MAX(ROW(E$1:E2794)*(E2=E$1:E2794))))))</f>
        <v/>
      </c>
      <c r="K2795" s="24" t="str">
        <f aca="false">IF(OR(E2795="",E2795="!!!",F2795="NEW"),"",INDEX(J$1:J2794,SUMPRODUCT(MAX(ROW(E$1:E2794)*(E2795=E$1:E2794)))))</f>
        <v/>
      </c>
      <c r="L2795" s="31"/>
    </row>
    <row r="2796" customFormat="false" ht="15" hidden="false" customHeight="false" outlineLevel="0" collapsed="false">
      <c r="A2796" s="20" t="s">
        <v>923</v>
      </c>
      <c r="E2796" s="23" t="str">
        <f aca="false">IF(D2796="?OLD","!!!","")</f>
        <v/>
      </c>
      <c r="F2796" s="25" t="str">
        <f aca="false">IF(OR(E2796="",E2796="!!!"),"",IF(NOT(ISNA(VLOOKUP(E2796,E$1:E2795,1,FALSE()))),"OLD",IF(AND(E2796&lt;&gt;"",E2796&lt;&gt;"!!!"),"NEW","")))</f>
        <v/>
      </c>
      <c r="G2796" s="26" t="str">
        <f aca="false">IF(OR(E2796="",E2796="!!!"),"",IF(OR(J2796=0,AND(J2796=1,K2796=1),AND(J2796=1,I2796="SBJ"),AND(J2796=1,I2796=0)),"?IN_FOCUS",IF(J2796&lt;=2,"?ACTIVATED",IF(J2796&lt;&gt;"","?FAMILIAR",IF(F2796="NEW",IF(ISNA(VLOOKUP(E2796,#REF!,1,FALSE())),"?TYPE_IDENTIFIABLE","?REFERENTIAL"),"_")))))</f>
        <v/>
      </c>
      <c r="H2796" s="27" t="str">
        <f aca="false">IF(J2796&lt;&gt;1,"",IF(I2796="SBJ","CB","?"))</f>
        <v/>
      </c>
      <c r="I2796" s="24" t="str">
        <f aca="false">IF(OR(E2796="",E2796="!!!",F2796="NEW"),"",INDEX(B37:B$2760,-1+SUMPRODUCT(MAX(ROW(E37:E$2760)*(E2796=E37:E$2760)))))</f>
        <v/>
      </c>
      <c r="J2796" s="24" t="str">
        <f aca="true">IF(OR(E2796="",E2796="!!!",F2796="NEW"),"",COUNTBLANK(OFFSET(A$1,,,SUMPRODUCT(MAX(ROW(E$2:E2796)*(E2796=E$2:E2796)))))-COUNTBLANK(OFFSET(A$1,,,SUMPRODUCT(MAX(ROW(E$1:E2795)*(E2=E$1:E2795))))))</f>
        <v/>
      </c>
      <c r="K2796" s="24" t="str">
        <f aca="false">IF(OR(E2796="",E2796="!!!",F2796="NEW"),"",INDEX(J$1:J2795,SUMPRODUCT(MAX(ROW(E$1:E2795)*(E2796=E$1:E2795)))))</f>
        <v/>
      </c>
      <c r="L2796" s="31"/>
    </row>
    <row r="2797" customFormat="false" ht="15" hidden="false" customHeight="false" outlineLevel="0" collapsed="false">
      <c r="A2797" s="20"/>
    </row>
    <row r="2798" customFormat="false" ht="15" hidden="false" customHeight="false" outlineLevel="0" collapsed="false">
      <c r="A2798" s="20" t="s">
        <v>2025</v>
      </c>
    </row>
    <row r="2799" customFormat="false" ht="15" hidden="false" customHeight="false" outlineLevel="0" collapsed="false">
      <c r="A2799" s="20" t="s">
        <v>2026</v>
      </c>
      <c r="E2799" s="23" t="str">
        <f aca="false">IF(D2799="?OLD","!!!","")</f>
        <v/>
      </c>
      <c r="F2799" s="25" t="str">
        <f aca="false">IF(OR(E2799="",E2799="!!!"),"",IF(NOT(ISNA(VLOOKUP(E2799,E$1:E2798,1,FALSE()))),"OLD",IF(AND(E2799&lt;&gt;"",E2799&lt;&gt;"!!!"),"NEW","")))</f>
        <v/>
      </c>
      <c r="G2799" s="26" t="str">
        <f aca="false">IF(OR(E2799="",E2799="!!!"),"",IF(OR(J2799=0,AND(J2799=1,K2799=1),AND(J2799=1,I2799="SBJ"),AND(J2799=1,I2799=0)),"?IN_FOCUS",IF(J2799&lt;=2,"?ACTIVATED",IF(J2799&lt;&gt;"","?FAMILIAR",IF(F2799="NEW",IF(ISNA(VLOOKUP(E2799,#REF!,1,FALSE())),"?TYPE_IDENTIFIABLE","?REFERENTIAL"),"_")))))</f>
        <v/>
      </c>
      <c r="H2799" s="27" t="str">
        <f aca="false">IF(J2799&lt;&gt;1,"",IF(I2799="SBJ","CB","?"))</f>
        <v/>
      </c>
      <c r="I2799" s="24" t="str">
        <f aca="false">IF(OR(E2799="",E2799="!!!",F2799="NEW"),"",INDEX(B2:B$2798,-1+SUMPRODUCT(MAX(ROW(E2:E$2798)*(E2799=E2:E$2798)))))</f>
        <v/>
      </c>
      <c r="J2799" s="24" t="str">
        <f aca="true">IF(OR(E2799="",E2799="!!!",F2799="NEW"),"",COUNTBLANK(OFFSET(A$1,,,SUMPRODUCT(MAX(ROW(E$2:E2799)*(E2799=E$2:E2799)))))-COUNTBLANK(OFFSET(A$1,,,SUMPRODUCT(MAX(ROW(E$1:E2798)*(E2=E$1:E2798))))))</f>
        <v/>
      </c>
      <c r="K2799" s="24" t="str">
        <f aca="false">IF(OR(E2799="",E2799="!!!",F2799="NEW"),"",INDEX(J$1:J2798,SUMPRODUCT(MAX(ROW(E$1:E2798)*(E2799=E$1:E2798)))))</f>
        <v/>
      </c>
      <c r="L2799" s="31"/>
    </row>
    <row r="2800" customFormat="false" ht="15" hidden="false" customHeight="false" outlineLevel="0" collapsed="false">
      <c r="A2800" s="20" t="s">
        <v>1343</v>
      </c>
      <c r="E2800" s="23" t="str">
        <f aca="false">IF(D2800="?OLD","!!!","")</f>
        <v/>
      </c>
      <c r="F2800" s="25" t="str">
        <f aca="false">IF(OR(E2800="",E2800="!!!"),"",IF(NOT(ISNA(VLOOKUP(E2800,E$1:E2799,1,FALSE()))),"OLD",IF(AND(E2800&lt;&gt;"",E2800&lt;&gt;"!!!"),"NEW","")))</f>
        <v/>
      </c>
      <c r="G2800" s="26" t="str">
        <f aca="false">IF(OR(E2800="",E2800="!!!"),"",IF(OR(J2800=0,AND(J2800=1,K2800=1),AND(J2800=1,I2800="SBJ"),AND(J2800=1,I2800=0)),"?IN_FOCUS",IF(J2800&lt;=2,"?ACTIVATED",IF(J2800&lt;&gt;"","?FAMILIAR",IF(F2800="NEW",IF(ISNA(VLOOKUP(E2800,#REF!,1,FALSE())),"?TYPE_IDENTIFIABLE","?REFERENTIAL"),"_")))))</f>
        <v/>
      </c>
      <c r="H2800" s="27" t="str">
        <f aca="false">IF(J2800&lt;&gt;1,"",IF(I2800="SBJ","CB","?"))</f>
        <v/>
      </c>
      <c r="I2800" s="24" t="str">
        <f aca="false">IF(OR(E2800="",E2800="!!!",F2800="NEW"),"",INDEX(B3:B$2798,-1+SUMPRODUCT(MAX(ROW(E3:E$2798)*(E2800=E3:E$2798)))))</f>
        <v/>
      </c>
      <c r="J2800" s="24" t="str">
        <f aca="true">IF(OR(E2800="",E2800="!!!",F2800="NEW"),"",COUNTBLANK(OFFSET(A$1,,,SUMPRODUCT(MAX(ROW(E$2:E2800)*(E2800=E$2:E2800)))))-COUNTBLANK(OFFSET(A$1,,,SUMPRODUCT(MAX(ROW(E$1:E2799)*(E2=E$1:E2799))))))</f>
        <v/>
      </c>
      <c r="K2800" s="24" t="str">
        <f aca="false">IF(OR(E2800="",E2800="!!!",F2800="NEW"),"",INDEX(J$1:J2799,SUMPRODUCT(MAX(ROW(E$1:E2799)*(E2800=E$1:E2799)))))</f>
        <v/>
      </c>
      <c r="L2800" s="31"/>
    </row>
    <row r="2801" customFormat="false" ht="15" hidden="false" customHeight="false" outlineLevel="0" collapsed="false">
      <c r="A2801" s="20" t="s">
        <v>1076</v>
      </c>
      <c r="E2801" s="23" t="str">
        <f aca="false">IF(D2801="?OLD","!!!","")</f>
        <v/>
      </c>
      <c r="F2801" s="25" t="str">
        <f aca="false">IF(OR(E2801="",E2801="!!!"),"",IF(NOT(ISNA(VLOOKUP(E2801,E$1:E2800,1,FALSE()))),"OLD",IF(AND(E2801&lt;&gt;"",E2801&lt;&gt;"!!!"),"NEW","")))</f>
        <v/>
      </c>
      <c r="G2801" s="26" t="str">
        <f aca="false">IF(OR(E2801="",E2801="!!!"),"",IF(OR(J2801=0,AND(J2801=1,K2801=1),AND(J2801=1,I2801="SBJ"),AND(J2801=1,I2801=0)),"?IN_FOCUS",IF(J2801&lt;=2,"?ACTIVATED",IF(J2801&lt;&gt;"","?FAMILIAR",IF(F2801="NEW",IF(ISNA(VLOOKUP(E2801,#REF!,1,FALSE())),"?TYPE_IDENTIFIABLE","?REFERENTIAL"),"_")))))</f>
        <v/>
      </c>
      <c r="H2801" s="27" t="str">
        <f aca="false">IF(J2801&lt;&gt;1,"",IF(I2801="SBJ","CB","?"))</f>
        <v/>
      </c>
      <c r="I2801" s="24" t="str">
        <f aca="false">IF(OR(E2801="",E2801="!!!",F2801="NEW"),"",INDEX(B4:B$2798,-1+SUMPRODUCT(MAX(ROW(E4:E$2798)*(E2801=E4:E$2798)))))</f>
        <v/>
      </c>
      <c r="J2801" s="24" t="str">
        <f aca="true">IF(OR(E2801="",E2801="!!!",F2801="NEW"),"",COUNTBLANK(OFFSET(A$1,,,SUMPRODUCT(MAX(ROW(E$2:E2801)*(E2801=E$2:E2801)))))-COUNTBLANK(OFFSET(A$1,,,SUMPRODUCT(MAX(ROW(E$1:E2800)*(E2=E$1:E2800))))))</f>
        <v/>
      </c>
      <c r="K2801" s="24" t="str">
        <f aca="false">IF(OR(E2801="",E2801="!!!",F2801="NEW"),"",INDEX(J$1:J2800,SUMPRODUCT(MAX(ROW(E$1:E2800)*(E2801=E$1:E2800)))))</f>
        <v/>
      </c>
      <c r="L2801" s="31"/>
    </row>
    <row r="2802" customFormat="false" ht="15" hidden="false" customHeight="false" outlineLevel="0" collapsed="false">
      <c r="A2802" s="20" t="s">
        <v>1173</v>
      </c>
      <c r="E2802" s="23" t="str">
        <f aca="false">IF(D2802="?OLD","!!!","")</f>
        <v/>
      </c>
      <c r="F2802" s="25" t="str">
        <f aca="false">IF(OR(E2802="",E2802="!!!"),"",IF(NOT(ISNA(VLOOKUP(E2802,E$1:E2801,1,FALSE()))),"OLD",IF(AND(E2802&lt;&gt;"",E2802&lt;&gt;"!!!"),"NEW","")))</f>
        <v/>
      </c>
      <c r="G2802" s="26" t="str">
        <f aca="false">IF(OR(E2802="",E2802="!!!"),"",IF(OR(J2802=0,AND(J2802=1,K2802=1),AND(J2802=1,I2802="SBJ"),AND(J2802=1,I2802=0)),"?IN_FOCUS",IF(J2802&lt;=2,"?ACTIVATED",IF(J2802&lt;&gt;"","?FAMILIAR",IF(F2802="NEW",IF(ISNA(VLOOKUP(E2802,#REF!,1,FALSE())),"?TYPE_IDENTIFIABLE","?REFERENTIAL"),"_")))))</f>
        <v/>
      </c>
      <c r="H2802" s="27" t="str">
        <f aca="false">IF(J2802&lt;&gt;1,"",IF(I2802="SBJ","CB","?"))</f>
        <v/>
      </c>
      <c r="I2802" s="24" t="str">
        <f aca="false">IF(OR(E2802="",E2802="!!!",F2802="NEW"),"",INDEX(B5:B$2798,-1+SUMPRODUCT(MAX(ROW(E5:E$2798)*(E2802=E5:E$2798)))))</f>
        <v/>
      </c>
      <c r="J2802" s="24" t="str">
        <f aca="true">IF(OR(E2802="",E2802="!!!",F2802="NEW"),"",COUNTBLANK(OFFSET(A$1,,,SUMPRODUCT(MAX(ROW(E$2:E2802)*(E2802=E$2:E2802)))))-COUNTBLANK(OFFSET(A$1,,,SUMPRODUCT(MAX(ROW(E$1:E2801)*(E2=E$1:E2801))))))</f>
        <v/>
      </c>
      <c r="K2802" s="24" t="str">
        <f aca="false">IF(OR(E2802="",E2802="!!!",F2802="NEW"),"",INDEX(J$1:J2801,SUMPRODUCT(MAX(ROW(E$1:E2801)*(E2802=E$1:E2801)))))</f>
        <v/>
      </c>
      <c r="L2802" s="31"/>
    </row>
    <row r="2803" customFormat="false" ht="15" hidden="false" customHeight="false" outlineLevel="0" collapsed="false">
      <c r="A2803" s="20" t="s">
        <v>1109</v>
      </c>
      <c r="E2803" s="23" t="str">
        <f aca="false">IF(D2803="?OLD","!!!","")</f>
        <v/>
      </c>
      <c r="F2803" s="25" t="str">
        <f aca="false">IF(OR(E2803="",E2803="!!!"),"",IF(NOT(ISNA(VLOOKUP(E2803,E$1:E2802,1,FALSE()))),"OLD",IF(AND(E2803&lt;&gt;"",E2803&lt;&gt;"!!!"),"NEW","")))</f>
        <v/>
      </c>
      <c r="G2803" s="26" t="str">
        <f aca="false">IF(OR(E2803="",E2803="!!!"),"",IF(OR(J2803=0,AND(J2803=1,K2803=1),AND(J2803=1,I2803="SBJ"),AND(J2803=1,I2803=0)),"?IN_FOCUS",IF(J2803&lt;=2,"?ACTIVATED",IF(J2803&lt;&gt;"","?FAMILIAR",IF(F2803="NEW",IF(ISNA(VLOOKUP(E2803,#REF!,1,FALSE())),"?TYPE_IDENTIFIABLE","?REFERENTIAL"),"_")))))</f>
        <v/>
      </c>
      <c r="H2803" s="27" t="str">
        <f aca="false">IF(J2803&lt;&gt;1,"",IF(I2803="SBJ","CB","?"))</f>
        <v/>
      </c>
      <c r="I2803" s="24" t="str">
        <f aca="false">IF(OR(E2803="",E2803="!!!",F2803="NEW"),"",INDEX(B6:B$2798,-1+SUMPRODUCT(MAX(ROW(E6:E$2798)*(E2803=E6:E$2798)))))</f>
        <v/>
      </c>
      <c r="J2803" s="24" t="str">
        <f aca="true">IF(OR(E2803="",E2803="!!!",F2803="NEW"),"",COUNTBLANK(OFFSET(A$1,,,SUMPRODUCT(MAX(ROW(E$2:E2803)*(E2803=E$2:E2803)))))-COUNTBLANK(OFFSET(A$1,,,SUMPRODUCT(MAX(ROW(E$1:E2802)*(E2=E$1:E2802))))))</f>
        <v/>
      </c>
      <c r="K2803" s="24" t="str">
        <f aca="false">IF(OR(E2803="",E2803="!!!",F2803="NEW"),"",INDEX(J$1:J2802,SUMPRODUCT(MAX(ROW(E$1:E2802)*(E2803=E$1:E2802)))))</f>
        <v/>
      </c>
      <c r="L2803" s="31"/>
    </row>
    <row r="2804" customFormat="false" ht="15" hidden="false" customHeight="false" outlineLevel="0" collapsed="false">
      <c r="A2804" s="20" t="s">
        <v>2027</v>
      </c>
      <c r="B2804" s="22" t="s">
        <v>1105</v>
      </c>
      <c r="C2804" s="22" t="s">
        <v>1150</v>
      </c>
      <c r="D2804" s="22" t="s">
        <v>1060</v>
      </c>
      <c r="E2804" s="23" t="str">
        <f aca="false">IF(D2804="?OLD","!!!","")</f>
        <v>!!!</v>
      </c>
      <c r="F2804" s="25" t="str">
        <f aca="false">IF(OR(E2804="",E2804="!!!"),"",IF(NOT(ISNA(VLOOKUP(E2804,E$1:E2803,1,FALSE()))),"OLD",IF(AND(E2804&lt;&gt;"",E2804&lt;&gt;"!!!"),"NEW","")))</f>
        <v/>
      </c>
      <c r="G2804" s="26" t="str">
        <f aca="false">IF(OR(E2804="",E2804="!!!"),"",IF(OR(J2804=0,AND(J2804=1,K2804=1),AND(J2804=1,I2804="SBJ"),AND(J2804=1,I2804=0)),"?IN_FOCUS",IF(J2804&lt;=2,"?ACTIVATED",IF(J2804&lt;&gt;"","?FAMILIAR",IF(F2804="NEW",IF(ISNA(VLOOKUP(E2804,#REF!,1,FALSE())),"?TYPE_IDENTIFIABLE","?REFERENTIAL"),"_")))))</f>
        <v/>
      </c>
      <c r="H2804" s="27" t="str">
        <f aca="false">IF(J2804&lt;&gt;1,"",IF(I2804="SBJ","CB","?"))</f>
        <v/>
      </c>
      <c r="I2804" s="24" t="str">
        <f aca="false">IF(OR(E2804="",E2804="!!!",F2804="NEW"),"",INDEX(B7:B$2798,-1+SUMPRODUCT(MAX(ROW(E7:E$2798)*(E2804=E7:E$2798)))))</f>
        <v/>
      </c>
      <c r="J2804" s="24" t="str">
        <f aca="true">IF(OR(E2804="",E2804="!!!",F2804="NEW"),"",COUNTBLANK(OFFSET(A$1,,,SUMPRODUCT(MAX(ROW(E$2:E2804)*(E2804=E$2:E2804)))))-COUNTBLANK(OFFSET(A$1,,,SUMPRODUCT(MAX(ROW(E$1:E2803)*(E2=E$1:E2803))))))</f>
        <v/>
      </c>
      <c r="K2804" s="24" t="str">
        <f aca="false">IF(OR(E2804="",E2804="!!!",F2804="NEW"),"",INDEX(J$1:J2803,SUMPRODUCT(MAX(ROW(E$1:E2803)*(E2804=E$1:E2803)))))</f>
        <v/>
      </c>
      <c r="L2804" s="31"/>
    </row>
    <row r="2805" customFormat="false" ht="15" hidden="false" customHeight="false" outlineLevel="0" collapsed="false">
      <c r="A2805" s="20" t="s">
        <v>1064</v>
      </c>
      <c r="E2805" s="23" t="str">
        <f aca="false">IF(D2805="?OLD","!!!","")</f>
        <v/>
      </c>
      <c r="F2805" s="25" t="str">
        <f aca="false">IF(OR(E2805="",E2805="!!!"),"",IF(NOT(ISNA(VLOOKUP(E2805,E$1:E2804,1,FALSE()))),"OLD",IF(AND(E2805&lt;&gt;"",E2805&lt;&gt;"!!!"),"NEW","")))</f>
        <v/>
      </c>
      <c r="G2805" s="26" t="str">
        <f aca="false">IF(OR(E2805="",E2805="!!!"),"",IF(OR(J2805=0,AND(J2805=1,K2805=1),AND(J2805=1,I2805="SBJ"),AND(J2805=1,I2805=0)),"?IN_FOCUS",IF(J2805&lt;=2,"?ACTIVATED",IF(J2805&lt;&gt;"","?FAMILIAR",IF(F2805="NEW",IF(ISNA(VLOOKUP(E2805,#REF!,1,FALSE())),"?TYPE_IDENTIFIABLE","?REFERENTIAL"),"_")))))</f>
        <v/>
      </c>
      <c r="H2805" s="27" t="str">
        <f aca="false">IF(J2805&lt;&gt;1,"",IF(I2805="SBJ","CB","?"))</f>
        <v/>
      </c>
      <c r="I2805" s="24" t="str">
        <f aca="false">IF(OR(E2805="",E2805="!!!",F2805="NEW"),"",INDEX(B8:B$2798,-1+SUMPRODUCT(MAX(ROW(E8:E$2798)*(E2805=E8:E$2798)))))</f>
        <v/>
      </c>
      <c r="J2805" s="24" t="str">
        <f aca="true">IF(OR(E2805="",E2805="!!!",F2805="NEW"),"",COUNTBLANK(OFFSET(A$1,,,SUMPRODUCT(MAX(ROW(E$2:E2805)*(E2805=E$2:E2805)))))-COUNTBLANK(OFFSET(A$1,,,SUMPRODUCT(MAX(ROW(E$1:E2804)*(E2=E$1:E2804))))))</f>
        <v/>
      </c>
      <c r="K2805" s="24" t="str">
        <f aca="false">IF(OR(E2805="",E2805="!!!",F2805="NEW"),"",INDEX(J$1:J2804,SUMPRODUCT(MAX(ROW(E$1:E2804)*(E2805=E$1:E2804)))))</f>
        <v/>
      </c>
      <c r="L2805" s="31"/>
    </row>
    <row r="2806" customFormat="false" ht="15" hidden="false" customHeight="false" outlineLevel="0" collapsed="false">
      <c r="A2806" s="20" t="s">
        <v>2028</v>
      </c>
      <c r="B2806" s="22" t="s">
        <v>1073</v>
      </c>
      <c r="C2806" s="22" t="s">
        <v>1160</v>
      </c>
      <c r="E2806" s="23" t="str">
        <f aca="false">IF(D2806="?OLD","!!!","")</f>
        <v/>
      </c>
      <c r="F2806" s="25" t="str">
        <f aca="false">IF(OR(E2806="",E2806="!!!"),"",IF(NOT(ISNA(VLOOKUP(E2806,E$1:E2805,1,FALSE()))),"OLD",IF(AND(E2806&lt;&gt;"",E2806&lt;&gt;"!!!"),"NEW","")))</f>
        <v/>
      </c>
      <c r="G2806" s="26" t="str">
        <f aca="false">IF(OR(E2806="",E2806="!!!"),"",IF(OR(J2806=0,AND(J2806=1,K2806=1),AND(J2806=1,I2806="SBJ"),AND(J2806=1,I2806=0)),"?IN_FOCUS",IF(J2806&lt;=2,"?ACTIVATED",IF(J2806&lt;&gt;"","?FAMILIAR",IF(F2806="NEW",IF(ISNA(VLOOKUP(E2806,#REF!,1,FALSE())),"?TYPE_IDENTIFIABLE","?REFERENTIAL"),"_")))))</f>
        <v/>
      </c>
      <c r="H2806" s="27" t="str">
        <f aca="false">IF(J2806&lt;&gt;1,"",IF(I2806="SBJ","CB","?"))</f>
        <v/>
      </c>
      <c r="I2806" s="24" t="str">
        <f aca="false">IF(OR(E2806="",E2806="!!!",F2806="NEW"),"",INDEX(B9:B$2798,-1+SUMPRODUCT(MAX(ROW(E9:E$2798)*(E2806=E9:E$2798)))))</f>
        <v/>
      </c>
      <c r="J2806" s="24" t="str">
        <f aca="true">IF(OR(E2806="",E2806="!!!",F2806="NEW"),"",COUNTBLANK(OFFSET(A$1,,,SUMPRODUCT(MAX(ROW(E$2:E2806)*(E2806=E$2:E2806)))))-COUNTBLANK(OFFSET(A$1,,,SUMPRODUCT(MAX(ROW(E$1:E2805)*(E2=E$1:E2805))))))</f>
        <v/>
      </c>
      <c r="K2806" s="24" t="str">
        <f aca="false">IF(OR(E2806="",E2806="!!!",F2806="NEW"),"",INDEX(J$1:J2805,SUMPRODUCT(MAX(ROW(E$1:E2805)*(E2806=E$1:E2805)))))</f>
        <v/>
      </c>
      <c r="L2806" s="31"/>
    </row>
    <row r="2807" customFormat="false" ht="15" hidden="false" customHeight="false" outlineLevel="0" collapsed="false">
      <c r="A2807" s="20" t="s">
        <v>1076</v>
      </c>
      <c r="E2807" s="23" t="str">
        <f aca="false">IF(D2807="?OLD","!!!","")</f>
        <v/>
      </c>
      <c r="F2807" s="25" t="str">
        <f aca="false">IF(OR(E2807="",E2807="!!!"),"",IF(NOT(ISNA(VLOOKUP(E2807,E$1:E2806,1,FALSE()))),"OLD",IF(AND(E2807&lt;&gt;"",E2807&lt;&gt;"!!!"),"NEW","")))</f>
        <v/>
      </c>
      <c r="G2807" s="26" t="str">
        <f aca="false">IF(OR(E2807="",E2807="!!!"),"",IF(OR(J2807=0,AND(J2807=1,K2807=1),AND(J2807=1,I2807="SBJ"),AND(J2807=1,I2807=0)),"?IN_FOCUS",IF(J2807&lt;=2,"?ACTIVATED",IF(J2807&lt;&gt;"","?FAMILIAR",IF(F2807="NEW",IF(ISNA(VLOOKUP(E2807,#REF!,1,FALSE())),"?TYPE_IDENTIFIABLE","?REFERENTIAL"),"_")))))</f>
        <v/>
      </c>
      <c r="H2807" s="27" t="str">
        <f aca="false">IF(J2807&lt;&gt;1,"",IF(I2807="SBJ","CB","?"))</f>
        <v/>
      </c>
      <c r="I2807" s="24" t="str">
        <f aca="false">IF(OR(E2807="",E2807="!!!",F2807="NEW"),"",INDEX(B10:B$2798,-1+SUMPRODUCT(MAX(ROW(E10:E$2798)*(E2807=E10:E$2798)))))</f>
        <v/>
      </c>
      <c r="J2807" s="24" t="str">
        <f aca="true">IF(OR(E2807="",E2807="!!!",F2807="NEW"),"",COUNTBLANK(OFFSET(A$1,,,SUMPRODUCT(MAX(ROW(E$2:E2807)*(E2807=E$2:E2807)))))-COUNTBLANK(OFFSET(A$1,,,SUMPRODUCT(MAX(ROW(E$1:E2806)*(E2=E$1:E2806))))))</f>
        <v/>
      </c>
      <c r="K2807" s="24" t="str">
        <f aca="false">IF(OR(E2807="",E2807="!!!",F2807="NEW"),"",INDEX(J$1:J2806,SUMPRODUCT(MAX(ROW(E$1:E2806)*(E2807=E$1:E2806)))))</f>
        <v/>
      </c>
      <c r="L2807" s="31"/>
    </row>
    <row r="2808" customFormat="false" ht="15" hidden="false" customHeight="false" outlineLevel="0" collapsed="false">
      <c r="A2808" s="20" t="s">
        <v>1109</v>
      </c>
      <c r="E2808" s="23" t="str">
        <f aca="false">IF(D2808="?OLD","!!!","")</f>
        <v/>
      </c>
      <c r="F2808" s="25" t="str">
        <f aca="false">IF(OR(E2808="",E2808="!!!"),"",IF(NOT(ISNA(VLOOKUP(E2808,E$1:E2807,1,FALSE()))),"OLD",IF(AND(E2808&lt;&gt;"",E2808&lt;&gt;"!!!"),"NEW","")))</f>
        <v/>
      </c>
      <c r="G2808" s="26" t="str">
        <f aca="false">IF(OR(E2808="",E2808="!!!"),"",IF(OR(J2808=0,AND(J2808=1,K2808=1),AND(J2808=1,I2808="SBJ"),AND(J2808=1,I2808=0)),"?IN_FOCUS",IF(J2808&lt;=2,"?ACTIVATED",IF(J2808&lt;&gt;"","?FAMILIAR",IF(F2808="NEW",IF(ISNA(VLOOKUP(E2808,#REF!,1,FALSE())),"?TYPE_IDENTIFIABLE","?REFERENTIAL"),"_")))))</f>
        <v/>
      </c>
      <c r="H2808" s="27" t="str">
        <f aca="false">IF(J2808&lt;&gt;1,"",IF(I2808="SBJ","CB","?"))</f>
        <v/>
      </c>
      <c r="I2808" s="24" t="str">
        <f aca="false">IF(OR(E2808="",E2808="!!!",F2808="NEW"),"",INDEX(B11:B$2798,-1+SUMPRODUCT(MAX(ROW(E11:E$2798)*(E2808=E11:E$2798)))))</f>
        <v/>
      </c>
      <c r="J2808" s="24" t="str">
        <f aca="true">IF(OR(E2808="",E2808="!!!",F2808="NEW"),"",COUNTBLANK(OFFSET(A$1,,,SUMPRODUCT(MAX(ROW(E$2:E2808)*(E2808=E$2:E2808)))))-COUNTBLANK(OFFSET(A$1,,,SUMPRODUCT(MAX(ROW(E$1:E2807)*(E2=E$1:E2807))))))</f>
        <v/>
      </c>
      <c r="K2808" s="24" t="str">
        <f aca="false">IF(OR(E2808="",E2808="!!!",F2808="NEW"),"",INDEX(J$1:J2807,SUMPRODUCT(MAX(ROW(E$1:E2807)*(E2808=E$1:E2807)))))</f>
        <v/>
      </c>
      <c r="L2808" s="31"/>
    </row>
    <row r="2809" customFormat="false" ht="15" hidden="false" customHeight="false" outlineLevel="0" collapsed="false">
      <c r="A2809" s="20" t="s">
        <v>1356</v>
      </c>
      <c r="E2809" s="23" t="str">
        <f aca="false">IF(D2809="?OLD","!!!","")</f>
        <v/>
      </c>
      <c r="F2809" s="25" t="str">
        <f aca="false">IF(OR(E2809="",E2809="!!!"),"",IF(NOT(ISNA(VLOOKUP(E2809,E$1:E2808,1,FALSE()))),"OLD",IF(AND(E2809&lt;&gt;"",E2809&lt;&gt;"!!!"),"NEW","")))</f>
        <v/>
      </c>
      <c r="G2809" s="26" t="str">
        <f aca="false">IF(OR(E2809="",E2809="!!!"),"",IF(OR(J2809=0,AND(J2809=1,K2809=1),AND(J2809=1,I2809="SBJ"),AND(J2809=1,I2809=0)),"?IN_FOCUS",IF(J2809&lt;=2,"?ACTIVATED",IF(J2809&lt;&gt;"","?FAMILIAR",IF(F2809="NEW",IF(ISNA(VLOOKUP(E2809,#REF!,1,FALSE())),"?TYPE_IDENTIFIABLE","?REFERENTIAL"),"_")))))</f>
        <v/>
      </c>
      <c r="H2809" s="27" t="str">
        <f aca="false">IF(J2809&lt;&gt;1,"",IF(I2809="SBJ","CB","?"))</f>
        <v/>
      </c>
      <c r="I2809" s="24" t="str">
        <f aca="false">IF(OR(E2809="",E2809="!!!",F2809="NEW"),"",INDEX(B12:B$2798,-1+SUMPRODUCT(MAX(ROW(E12:E$2798)*(E2809=E12:E$2798)))))</f>
        <v/>
      </c>
      <c r="J2809" s="24" t="str">
        <f aca="true">IF(OR(E2809="",E2809="!!!",F2809="NEW"),"",COUNTBLANK(OFFSET(A$1,,,SUMPRODUCT(MAX(ROW(E$2:E2809)*(E2809=E$2:E2809)))))-COUNTBLANK(OFFSET(A$1,,,SUMPRODUCT(MAX(ROW(E$1:E2808)*(E2=E$1:E2808))))))</f>
        <v/>
      </c>
      <c r="K2809" s="24" t="str">
        <f aca="false">IF(OR(E2809="",E2809="!!!",F2809="NEW"),"",INDEX(J$1:J2808,SUMPRODUCT(MAX(ROW(E$1:E2808)*(E2809=E$1:E2808)))))</f>
        <v/>
      </c>
      <c r="L2809" s="31"/>
    </row>
    <row r="2810" customFormat="false" ht="15" hidden="false" customHeight="false" outlineLevel="0" collapsed="false">
      <c r="A2810" s="20" t="s">
        <v>2029</v>
      </c>
      <c r="B2810" s="22" t="s">
        <v>1058</v>
      </c>
      <c r="C2810" s="22" t="s">
        <v>1150</v>
      </c>
      <c r="D2810" s="22" t="s">
        <v>1060</v>
      </c>
      <c r="E2810" s="23" t="str">
        <f aca="false">IF(D2810="?OLD","!!!","")</f>
        <v>!!!</v>
      </c>
      <c r="F2810" s="25" t="str">
        <f aca="false">IF(OR(E2810="",E2810="!!!"),"",IF(NOT(ISNA(VLOOKUP(E2810,E$1:E2809,1,FALSE()))),"OLD",IF(AND(E2810&lt;&gt;"",E2810&lt;&gt;"!!!"),"NEW","")))</f>
        <v/>
      </c>
      <c r="G2810" s="26" t="str">
        <f aca="false">IF(OR(E2810="",E2810="!!!"),"",IF(OR(J2810=0,AND(J2810=1,K2810=1),AND(J2810=1,I2810="SBJ"),AND(J2810=1,I2810=0)),"?IN_FOCUS",IF(J2810&lt;=2,"?ACTIVATED",IF(J2810&lt;&gt;"","?FAMILIAR",IF(F2810="NEW",IF(ISNA(VLOOKUP(E2810,#REF!,1,FALSE())),"?TYPE_IDENTIFIABLE","?REFERENTIAL"),"_")))))</f>
        <v/>
      </c>
      <c r="H2810" s="27" t="str">
        <f aca="false">IF(J2810&lt;&gt;1,"",IF(I2810="SBJ","CB","?"))</f>
        <v/>
      </c>
      <c r="I2810" s="24" t="str">
        <f aca="false">IF(OR(E2810="",E2810="!!!",F2810="NEW"),"",INDEX(B13:B$2798,-1+SUMPRODUCT(MAX(ROW(E13:E$2798)*(E2810=E13:E$2798)))))</f>
        <v/>
      </c>
      <c r="J2810" s="24" t="str">
        <f aca="true">IF(OR(E2810="",E2810="!!!",F2810="NEW"),"",COUNTBLANK(OFFSET(A$1,,,SUMPRODUCT(MAX(ROW(E$2:E2810)*(E2810=E$2:E2810)))))-COUNTBLANK(OFFSET(A$1,,,SUMPRODUCT(MAX(ROW(E$1:E2809)*(E2=E$1:E2809))))))</f>
        <v/>
      </c>
      <c r="K2810" s="24" t="str">
        <f aca="false">IF(OR(E2810="",E2810="!!!",F2810="NEW"),"",INDEX(J$1:J2809,SUMPRODUCT(MAX(ROW(E$1:E2809)*(E2810=E$1:E2809)))))</f>
        <v/>
      </c>
      <c r="L2810" s="31"/>
    </row>
    <row r="2811" customFormat="false" ht="15" hidden="false" customHeight="false" outlineLevel="0" collapsed="false">
      <c r="A2811" s="20" t="s">
        <v>2030</v>
      </c>
      <c r="E2811" s="23" t="str">
        <f aca="false">IF(D2811="?OLD","!!!","")</f>
        <v/>
      </c>
      <c r="F2811" s="25" t="str">
        <f aca="false">IF(OR(E2811="",E2811="!!!"),"",IF(NOT(ISNA(VLOOKUP(E2811,E$1:E2810,1,FALSE()))),"OLD",IF(AND(E2811&lt;&gt;"",E2811&lt;&gt;"!!!"),"NEW","")))</f>
        <v/>
      </c>
      <c r="G2811" s="26" t="str">
        <f aca="false">IF(OR(E2811="",E2811="!!!"),"",IF(OR(J2811=0,AND(J2811=1,K2811=1),AND(J2811=1,I2811="SBJ"),AND(J2811=1,I2811=0)),"?IN_FOCUS",IF(J2811&lt;=2,"?ACTIVATED",IF(J2811&lt;&gt;"","?FAMILIAR",IF(F2811="NEW",IF(ISNA(VLOOKUP(E2811,#REF!,1,FALSE())),"?TYPE_IDENTIFIABLE","?REFERENTIAL"),"_")))))</f>
        <v/>
      </c>
      <c r="H2811" s="27" t="str">
        <f aca="false">IF(J2811&lt;&gt;1,"",IF(I2811="SBJ","CB","?"))</f>
        <v/>
      </c>
      <c r="I2811" s="24" t="str">
        <f aca="false">IF(OR(E2811="",E2811="!!!",F2811="NEW"),"",INDEX(B14:B$2798,-1+SUMPRODUCT(MAX(ROW(E14:E$2798)*(E2811=E14:E$2798)))))</f>
        <v/>
      </c>
      <c r="J2811" s="24" t="str">
        <f aca="true">IF(OR(E2811="",E2811="!!!",F2811="NEW"),"",COUNTBLANK(OFFSET(A$1,,,SUMPRODUCT(MAX(ROW(E$2:E2811)*(E2811=E$2:E2811)))))-COUNTBLANK(OFFSET(A$1,,,SUMPRODUCT(MAX(ROW(E$1:E2810)*(E2=E$1:E2810))))))</f>
        <v/>
      </c>
      <c r="K2811" s="24" t="str">
        <f aca="false">IF(OR(E2811="",E2811="!!!",F2811="NEW"),"",INDEX(J$1:J2810,SUMPRODUCT(MAX(ROW(E$1:E2810)*(E2811=E$1:E2810)))))</f>
        <v/>
      </c>
      <c r="L2811" s="31"/>
    </row>
    <row r="2812" customFormat="false" ht="15" hidden="false" customHeight="false" outlineLevel="0" collapsed="false">
      <c r="A2812" s="20" t="s">
        <v>1095</v>
      </c>
      <c r="E2812" s="23" t="str">
        <f aca="false">IF(D2812="?OLD","!!!","")</f>
        <v/>
      </c>
      <c r="F2812" s="25" t="str">
        <f aca="false">IF(OR(E2812="",E2812="!!!"),"",IF(NOT(ISNA(VLOOKUP(E2812,E$1:E2811,1,FALSE()))),"OLD",IF(AND(E2812&lt;&gt;"",E2812&lt;&gt;"!!!"),"NEW","")))</f>
        <v/>
      </c>
      <c r="G2812" s="26" t="str">
        <f aca="false">IF(OR(E2812="",E2812="!!!"),"",IF(OR(J2812=0,AND(J2812=1,K2812=1),AND(J2812=1,I2812="SBJ"),AND(J2812=1,I2812=0)),"?IN_FOCUS",IF(J2812&lt;=2,"?ACTIVATED",IF(J2812&lt;&gt;"","?FAMILIAR",IF(F2812="NEW",IF(ISNA(VLOOKUP(E2812,#REF!,1,FALSE())),"?TYPE_IDENTIFIABLE","?REFERENTIAL"),"_")))))</f>
        <v/>
      </c>
      <c r="H2812" s="27" t="str">
        <f aca="false">IF(J2812&lt;&gt;1,"",IF(I2812="SBJ","CB","?"))</f>
        <v/>
      </c>
      <c r="I2812" s="24" t="str">
        <f aca="false">IF(OR(E2812="",E2812="!!!",F2812="NEW"),"",INDEX(B15:B$2798,-1+SUMPRODUCT(MAX(ROW(E15:E$2798)*(E2812=E15:E$2798)))))</f>
        <v/>
      </c>
      <c r="J2812" s="24" t="str">
        <f aca="true">IF(OR(E2812="",E2812="!!!",F2812="NEW"),"",COUNTBLANK(OFFSET(A$1,,,SUMPRODUCT(MAX(ROW(E$2:E2812)*(E2812=E$2:E2812)))))-COUNTBLANK(OFFSET(A$1,,,SUMPRODUCT(MAX(ROW(E$1:E2811)*(E2=E$1:E2811))))))</f>
        <v/>
      </c>
      <c r="K2812" s="24" t="str">
        <f aca="false">IF(OR(E2812="",E2812="!!!",F2812="NEW"),"",INDEX(J$1:J2811,SUMPRODUCT(MAX(ROW(E$1:E2811)*(E2812=E$1:E2811)))))</f>
        <v/>
      </c>
      <c r="L2812" s="31"/>
    </row>
    <row r="2813" customFormat="false" ht="15" hidden="false" customHeight="false" outlineLevel="0" collapsed="false">
      <c r="A2813" s="20" t="s">
        <v>185</v>
      </c>
      <c r="E2813" s="23" t="str">
        <f aca="false">IF(D2813="?OLD","!!!","")</f>
        <v/>
      </c>
      <c r="F2813" s="25" t="str">
        <f aca="false">IF(OR(E2813="",E2813="!!!"),"",IF(NOT(ISNA(VLOOKUP(E2813,E$1:E2812,1,FALSE()))),"OLD",IF(AND(E2813&lt;&gt;"",E2813&lt;&gt;"!!!"),"NEW","")))</f>
        <v/>
      </c>
      <c r="G2813" s="26" t="str">
        <f aca="false">IF(OR(E2813="",E2813="!!!"),"",IF(OR(J2813=0,AND(J2813=1,K2813=1),AND(J2813=1,I2813="SBJ"),AND(J2813=1,I2813=0)),"?IN_FOCUS",IF(J2813&lt;=2,"?ACTIVATED",IF(J2813&lt;&gt;"","?FAMILIAR",IF(F2813="NEW",IF(ISNA(VLOOKUP(E2813,#REF!,1,FALSE())),"?TYPE_IDENTIFIABLE","?REFERENTIAL"),"_")))))</f>
        <v/>
      </c>
      <c r="H2813" s="27" t="str">
        <f aca="false">IF(J2813&lt;&gt;1,"",IF(I2813="SBJ","CB","?"))</f>
        <v/>
      </c>
      <c r="I2813" s="24" t="str">
        <f aca="false">IF(OR(E2813="",E2813="!!!",F2813="NEW"),"",INDEX(B16:B$2798,-1+SUMPRODUCT(MAX(ROW(E16:E$2798)*(E2813=E16:E$2798)))))</f>
        <v/>
      </c>
      <c r="J2813" s="24" t="str">
        <f aca="true">IF(OR(E2813="",E2813="!!!",F2813="NEW"),"",COUNTBLANK(OFFSET(A$1,,,SUMPRODUCT(MAX(ROW(E$2:E2813)*(E2813=E$2:E2813)))))-COUNTBLANK(OFFSET(A$1,,,SUMPRODUCT(MAX(ROW(E$1:E2812)*(E2=E$1:E2812))))))</f>
        <v/>
      </c>
      <c r="K2813" s="24" t="str">
        <f aca="false">IF(OR(E2813="",E2813="!!!",F2813="NEW"),"",INDEX(J$1:J2812,SUMPRODUCT(MAX(ROW(E$1:E2812)*(E2813=E$1:E2812)))))</f>
        <v/>
      </c>
      <c r="L2813" s="31"/>
    </row>
    <row r="2814" customFormat="false" ht="15" hidden="false" customHeight="false" outlineLevel="0" collapsed="false">
      <c r="A2814" s="20" t="s">
        <v>2031</v>
      </c>
      <c r="E2814" s="23" t="str">
        <f aca="false">IF(D2814="?OLD","!!!","")</f>
        <v/>
      </c>
      <c r="F2814" s="25" t="str">
        <f aca="false">IF(OR(E2814="",E2814="!!!"),"",IF(NOT(ISNA(VLOOKUP(E2814,E$1:E2813,1,FALSE()))),"OLD",IF(AND(E2814&lt;&gt;"",E2814&lt;&gt;"!!!"),"NEW","")))</f>
        <v/>
      </c>
      <c r="G2814" s="26" t="str">
        <f aca="false">IF(OR(E2814="",E2814="!!!"),"",IF(OR(J2814=0,AND(J2814=1,K2814=1),AND(J2814=1,I2814="SBJ"),AND(J2814=1,I2814=0)),"?IN_FOCUS",IF(J2814&lt;=2,"?ACTIVATED",IF(J2814&lt;&gt;"","?FAMILIAR",IF(F2814="NEW",IF(ISNA(VLOOKUP(E2814,#REF!,1,FALSE())),"?TYPE_IDENTIFIABLE","?REFERENTIAL"),"_")))))</f>
        <v/>
      </c>
      <c r="H2814" s="27" t="str">
        <f aca="false">IF(J2814&lt;&gt;1,"",IF(I2814="SBJ","CB","?"))</f>
        <v/>
      </c>
      <c r="I2814" s="24" t="str">
        <f aca="false">IF(OR(E2814="",E2814="!!!",F2814="NEW"),"",INDEX(B17:B$2798,-1+SUMPRODUCT(MAX(ROW(E17:E$2798)*(E2814=E17:E$2798)))))</f>
        <v/>
      </c>
      <c r="J2814" s="24" t="str">
        <f aca="true">IF(OR(E2814="",E2814="!!!",F2814="NEW"),"",COUNTBLANK(OFFSET(A$1,,,SUMPRODUCT(MAX(ROW(E$2:E2814)*(E2814=E$2:E2814)))))-COUNTBLANK(OFFSET(A$1,,,SUMPRODUCT(MAX(ROW(E$1:E2813)*(E2=E$1:E2813))))))</f>
        <v/>
      </c>
      <c r="K2814" s="24" t="str">
        <f aca="false">IF(OR(E2814="",E2814="!!!",F2814="NEW"),"",INDEX(J$1:J2813,SUMPRODUCT(MAX(ROW(E$1:E2813)*(E2814=E$1:E2813)))))</f>
        <v/>
      </c>
      <c r="L2814" s="31"/>
    </row>
    <row r="2815" customFormat="false" ht="15" hidden="false" customHeight="false" outlineLevel="0" collapsed="false">
      <c r="A2815" s="20" t="s">
        <v>1213</v>
      </c>
      <c r="E2815" s="23" t="str">
        <f aca="false">IF(D2815="?OLD","!!!","")</f>
        <v/>
      </c>
      <c r="F2815" s="25" t="str">
        <f aca="false">IF(OR(E2815="",E2815="!!!"),"",IF(NOT(ISNA(VLOOKUP(E2815,E$1:E2814,1,FALSE()))),"OLD",IF(AND(E2815&lt;&gt;"",E2815&lt;&gt;"!!!"),"NEW","")))</f>
        <v/>
      </c>
      <c r="G2815" s="26" t="str">
        <f aca="false">IF(OR(E2815="",E2815="!!!"),"",IF(OR(J2815=0,AND(J2815=1,K2815=1),AND(J2815=1,I2815="SBJ"),AND(J2815=1,I2815=0)),"?IN_FOCUS",IF(J2815&lt;=2,"?ACTIVATED",IF(J2815&lt;&gt;"","?FAMILIAR",IF(F2815="NEW",IF(ISNA(VLOOKUP(E2815,#REF!,1,FALSE())),"?TYPE_IDENTIFIABLE","?REFERENTIAL"),"_")))))</f>
        <v/>
      </c>
      <c r="H2815" s="27" t="str">
        <f aca="false">IF(J2815&lt;&gt;1,"",IF(I2815="SBJ","CB","?"))</f>
        <v/>
      </c>
      <c r="I2815" s="24" t="str">
        <f aca="false">IF(OR(E2815="",E2815="!!!",F2815="NEW"),"",INDEX(B18:B$2798,-1+SUMPRODUCT(MAX(ROW(E18:E$2798)*(E2815=E18:E$2798)))))</f>
        <v/>
      </c>
      <c r="J2815" s="24" t="str">
        <f aca="true">IF(OR(E2815="",E2815="!!!",F2815="NEW"),"",COUNTBLANK(OFFSET(A$1,,,SUMPRODUCT(MAX(ROW(E$2:E2815)*(E2815=E$2:E2815)))))-COUNTBLANK(OFFSET(A$1,,,SUMPRODUCT(MAX(ROW(E$1:E2814)*(E2=E$1:E2814))))))</f>
        <v/>
      </c>
      <c r="K2815" s="24" t="str">
        <f aca="false">IF(OR(E2815="",E2815="!!!",F2815="NEW"),"",INDEX(J$1:J2814,SUMPRODUCT(MAX(ROW(E$1:E2814)*(E2815=E$1:E2814)))))</f>
        <v/>
      </c>
      <c r="L2815" s="31"/>
    </row>
    <row r="2816" customFormat="false" ht="15" hidden="false" customHeight="false" outlineLevel="0" collapsed="false">
      <c r="A2816" s="20" t="s">
        <v>1085</v>
      </c>
      <c r="E2816" s="23" t="str">
        <f aca="false">IF(D2816="?OLD","!!!","")</f>
        <v/>
      </c>
      <c r="F2816" s="25" t="str">
        <f aca="false">IF(OR(E2816="",E2816="!!!"),"",IF(NOT(ISNA(VLOOKUP(E2816,E$1:E2815,1,FALSE()))),"OLD",IF(AND(E2816&lt;&gt;"",E2816&lt;&gt;"!!!"),"NEW","")))</f>
        <v/>
      </c>
      <c r="G2816" s="26" t="str">
        <f aca="false">IF(OR(E2816="",E2816="!!!"),"",IF(OR(J2816=0,AND(J2816=1,K2816=1),AND(J2816=1,I2816="SBJ"),AND(J2816=1,I2816=0)),"?IN_FOCUS",IF(J2816&lt;=2,"?ACTIVATED",IF(J2816&lt;&gt;"","?FAMILIAR",IF(F2816="NEW",IF(ISNA(VLOOKUP(E2816,#REF!,1,FALSE())),"?TYPE_IDENTIFIABLE","?REFERENTIAL"),"_")))))</f>
        <v/>
      </c>
      <c r="H2816" s="27" t="str">
        <f aca="false">IF(J2816&lt;&gt;1,"",IF(I2816="SBJ","CB","?"))</f>
        <v/>
      </c>
      <c r="I2816" s="24" t="str">
        <f aca="false">IF(OR(E2816="",E2816="!!!",F2816="NEW"),"",INDEX(B19:B$2798,-1+SUMPRODUCT(MAX(ROW(E19:E$2798)*(E2816=E19:E$2798)))))</f>
        <v/>
      </c>
      <c r="J2816" s="24" t="str">
        <f aca="true">IF(OR(E2816="",E2816="!!!",F2816="NEW"),"",COUNTBLANK(OFFSET(A$1,,,SUMPRODUCT(MAX(ROW(E$2:E2816)*(E2816=E$2:E2816)))))-COUNTBLANK(OFFSET(A$1,,,SUMPRODUCT(MAX(ROW(E$1:E2815)*(E2=E$1:E2815))))))</f>
        <v/>
      </c>
      <c r="K2816" s="24" t="str">
        <f aca="false">IF(OR(E2816="",E2816="!!!",F2816="NEW"),"",INDEX(J$1:J2815,SUMPRODUCT(MAX(ROW(E$1:E2815)*(E2816=E$1:E2815)))))</f>
        <v/>
      </c>
      <c r="L2816" s="31"/>
    </row>
    <row r="2817" customFormat="false" ht="15" hidden="false" customHeight="false" outlineLevel="0" collapsed="false">
      <c r="A2817" s="20" t="s">
        <v>2032</v>
      </c>
      <c r="E2817" s="23" t="str">
        <f aca="false">IF(D2817="?OLD","!!!","")</f>
        <v/>
      </c>
      <c r="F2817" s="25" t="str">
        <f aca="false">IF(OR(E2817="",E2817="!!!"),"",IF(NOT(ISNA(VLOOKUP(E2817,E$1:E2816,1,FALSE()))),"OLD",IF(AND(E2817&lt;&gt;"",E2817&lt;&gt;"!!!"),"NEW","")))</f>
        <v/>
      </c>
      <c r="G2817" s="26" t="str">
        <f aca="false">IF(OR(E2817="",E2817="!!!"),"",IF(OR(J2817=0,AND(J2817=1,K2817=1),AND(J2817=1,I2817="SBJ"),AND(J2817=1,I2817=0)),"?IN_FOCUS",IF(J2817&lt;=2,"?ACTIVATED",IF(J2817&lt;&gt;"","?FAMILIAR",IF(F2817="NEW",IF(ISNA(VLOOKUP(E2817,#REF!,1,FALSE())),"?TYPE_IDENTIFIABLE","?REFERENTIAL"),"_")))))</f>
        <v/>
      </c>
      <c r="H2817" s="27" t="str">
        <f aca="false">IF(J2817&lt;&gt;1,"",IF(I2817="SBJ","CB","?"))</f>
        <v/>
      </c>
      <c r="I2817" s="24" t="str">
        <f aca="false">IF(OR(E2817="",E2817="!!!",F2817="NEW"),"",INDEX(B20:B$2798,-1+SUMPRODUCT(MAX(ROW(E20:E$2798)*(E2817=E20:E$2798)))))</f>
        <v/>
      </c>
      <c r="J2817" s="24" t="str">
        <f aca="true">IF(OR(E2817="",E2817="!!!",F2817="NEW"),"",COUNTBLANK(OFFSET(A$1,,,SUMPRODUCT(MAX(ROW(E$2:E2817)*(E2817=E$2:E2817)))))-COUNTBLANK(OFFSET(A$1,,,SUMPRODUCT(MAX(ROW(E$1:E2816)*(E2=E$1:E2816))))))</f>
        <v/>
      </c>
      <c r="K2817" s="24" t="str">
        <f aca="false">IF(OR(E2817="",E2817="!!!",F2817="NEW"),"",INDEX(J$1:J2816,SUMPRODUCT(MAX(ROW(E$1:E2816)*(E2817=E$1:E2816)))))</f>
        <v/>
      </c>
      <c r="L2817" s="31"/>
    </row>
    <row r="2818" customFormat="false" ht="15" hidden="false" customHeight="false" outlineLevel="0" collapsed="false">
      <c r="A2818" s="20" t="s">
        <v>1874</v>
      </c>
      <c r="B2818" s="22" t="s">
        <v>1073</v>
      </c>
      <c r="C2818" s="22" t="s">
        <v>1087</v>
      </c>
      <c r="E2818" s="23" t="str">
        <f aca="false">IF(D2818="?OLD","!!!","")</f>
        <v/>
      </c>
      <c r="F2818" s="25" t="str">
        <f aca="false">IF(OR(E2818="",E2818="!!!"),"",IF(NOT(ISNA(VLOOKUP(E2818,E$1:E2817,1,FALSE()))),"OLD",IF(AND(E2818&lt;&gt;"",E2818&lt;&gt;"!!!"),"NEW","")))</f>
        <v/>
      </c>
      <c r="G2818" s="26" t="str">
        <f aca="false">IF(OR(E2818="",E2818="!!!"),"",IF(OR(J2818=0,AND(J2818=1,K2818=1),AND(J2818=1,I2818="SBJ"),AND(J2818=1,I2818=0)),"?IN_FOCUS",IF(J2818&lt;=2,"?ACTIVATED",IF(J2818&lt;&gt;"","?FAMILIAR",IF(F2818="NEW",IF(ISNA(VLOOKUP(E2818,#REF!,1,FALSE())),"?TYPE_IDENTIFIABLE","?REFERENTIAL"),"_")))))</f>
        <v/>
      </c>
      <c r="H2818" s="27" t="str">
        <f aca="false">IF(J2818&lt;&gt;1,"",IF(I2818="SBJ","CB","?"))</f>
        <v/>
      </c>
      <c r="I2818" s="24" t="str">
        <f aca="false">IF(OR(E2818="",E2818="!!!",F2818="NEW"),"",INDEX(B21:B$2798,-1+SUMPRODUCT(MAX(ROW(E21:E$2798)*(E2818=E21:E$2798)))))</f>
        <v/>
      </c>
      <c r="J2818" s="24" t="str">
        <f aca="true">IF(OR(E2818="",E2818="!!!",F2818="NEW"),"",COUNTBLANK(OFFSET(A$1,,,SUMPRODUCT(MAX(ROW(E$2:E2818)*(E2818=E$2:E2818)))))-COUNTBLANK(OFFSET(A$1,,,SUMPRODUCT(MAX(ROW(E$1:E2817)*(E2=E$1:E2817))))))</f>
        <v/>
      </c>
      <c r="K2818" s="24" t="str">
        <f aca="false">IF(OR(E2818="",E2818="!!!",F2818="NEW"),"",INDEX(J$1:J2817,SUMPRODUCT(MAX(ROW(E$1:E2817)*(E2818=E$1:E2817)))))</f>
        <v/>
      </c>
      <c r="L2818" s="31"/>
    </row>
    <row r="2819" customFormat="false" ht="15" hidden="false" customHeight="false" outlineLevel="0" collapsed="false">
      <c r="A2819" s="20" t="s">
        <v>1128</v>
      </c>
      <c r="E2819" s="23" t="str">
        <f aca="false">IF(D2819="?OLD","!!!","")</f>
        <v/>
      </c>
      <c r="F2819" s="25" t="str">
        <f aca="false">IF(OR(E2819="",E2819="!!!"),"",IF(NOT(ISNA(VLOOKUP(E2819,E$1:E2818,1,FALSE()))),"OLD",IF(AND(E2819&lt;&gt;"",E2819&lt;&gt;"!!!"),"NEW","")))</f>
        <v/>
      </c>
      <c r="G2819" s="26" t="str">
        <f aca="false">IF(OR(E2819="",E2819="!!!"),"",IF(OR(J2819=0,AND(J2819=1,K2819=1),AND(J2819=1,I2819="SBJ"),AND(J2819=1,I2819=0)),"?IN_FOCUS",IF(J2819&lt;=2,"?ACTIVATED",IF(J2819&lt;&gt;"","?FAMILIAR",IF(F2819="NEW",IF(ISNA(VLOOKUP(E2819,#REF!,1,FALSE())),"?TYPE_IDENTIFIABLE","?REFERENTIAL"),"_")))))</f>
        <v/>
      </c>
      <c r="H2819" s="27" t="str">
        <f aca="false">IF(J2819&lt;&gt;1,"",IF(I2819="SBJ","CB","?"))</f>
        <v/>
      </c>
      <c r="I2819" s="24" t="str">
        <f aca="false">IF(OR(E2819="",E2819="!!!",F2819="NEW"),"",INDEX(B22:B$2798,-1+SUMPRODUCT(MAX(ROW(E22:E$2798)*(E2819=E22:E$2798)))))</f>
        <v/>
      </c>
      <c r="J2819" s="24" t="str">
        <f aca="true">IF(OR(E2819="",E2819="!!!",F2819="NEW"),"",COUNTBLANK(OFFSET(A$1,,,SUMPRODUCT(MAX(ROW(E$2:E2819)*(E2819=E$2:E2819)))))-COUNTBLANK(OFFSET(A$1,,,SUMPRODUCT(MAX(ROW(E$1:E2818)*(E2=E$1:E2818))))))</f>
        <v/>
      </c>
      <c r="K2819" s="24" t="str">
        <f aca="false">IF(OR(E2819="",E2819="!!!",F2819="NEW"),"",INDEX(J$1:J2818,SUMPRODUCT(MAX(ROW(E$1:E2818)*(E2819=E$1:E2818)))))</f>
        <v/>
      </c>
      <c r="L2819" s="31"/>
    </row>
    <row r="2820" customFormat="false" ht="15" hidden="false" customHeight="false" outlineLevel="0" collapsed="false">
      <c r="A2820" s="20" t="s">
        <v>1109</v>
      </c>
      <c r="E2820" s="23" t="str">
        <f aca="false">IF(D2820="?OLD","!!!","")</f>
        <v/>
      </c>
      <c r="F2820" s="25" t="str">
        <f aca="false">IF(OR(E2820="",E2820="!!!"),"",IF(NOT(ISNA(VLOOKUP(E2820,E$1:E2819,1,FALSE()))),"OLD",IF(AND(E2820&lt;&gt;"",E2820&lt;&gt;"!!!"),"NEW","")))</f>
        <v/>
      </c>
      <c r="G2820" s="26" t="str">
        <f aca="false">IF(OR(E2820="",E2820="!!!"),"",IF(OR(J2820=0,AND(J2820=1,K2820=1),AND(J2820=1,I2820="SBJ"),AND(J2820=1,I2820=0)),"?IN_FOCUS",IF(J2820&lt;=2,"?ACTIVATED",IF(J2820&lt;&gt;"","?FAMILIAR",IF(F2820="NEW",IF(ISNA(VLOOKUP(E2820,#REF!,1,FALSE())),"?TYPE_IDENTIFIABLE","?REFERENTIAL"),"_")))))</f>
        <v/>
      </c>
      <c r="H2820" s="27" t="str">
        <f aca="false">IF(J2820&lt;&gt;1,"",IF(I2820="SBJ","CB","?"))</f>
        <v/>
      </c>
      <c r="I2820" s="24" t="str">
        <f aca="false">IF(OR(E2820="",E2820="!!!",F2820="NEW"),"",INDEX(B23:B$2798,-1+SUMPRODUCT(MAX(ROW(E23:E$2798)*(E2820=E23:E$2798)))))</f>
        <v/>
      </c>
      <c r="J2820" s="24" t="str">
        <f aca="true">IF(OR(E2820="",E2820="!!!",F2820="NEW"),"",COUNTBLANK(OFFSET(A$1,,,SUMPRODUCT(MAX(ROW(E$2:E2820)*(E2820=E$2:E2820)))))-COUNTBLANK(OFFSET(A$1,,,SUMPRODUCT(MAX(ROW(E$1:E2819)*(E2=E$1:E2819))))))</f>
        <v/>
      </c>
      <c r="K2820" s="24" t="str">
        <f aca="false">IF(OR(E2820="",E2820="!!!",F2820="NEW"),"",INDEX(J$1:J2819,SUMPRODUCT(MAX(ROW(E$1:E2819)*(E2820=E$1:E2819)))))</f>
        <v/>
      </c>
      <c r="L2820" s="31"/>
    </row>
    <row r="2821" customFormat="false" ht="15" hidden="false" customHeight="false" outlineLevel="0" collapsed="false">
      <c r="A2821" s="20" t="s">
        <v>2023</v>
      </c>
      <c r="E2821" s="23" t="str">
        <f aca="false">IF(D2821="?OLD","!!!","")</f>
        <v/>
      </c>
      <c r="F2821" s="25" t="str">
        <f aca="false">IF(OR(E2821="",E2821="!!!"),"",IF(NOT(ISNA(VLOOKUP(E2821,E$1:E2820,1,FALSE()))),"OLD",IF(AND(E2821&lt;&gt;"",E2821&lt;&gt;"!!!"),"NEW","")))</f>
        <v/>
      </c>
      <c r="G2821" s="26" t="str">
        <f aca="false">IF(OR(E2821="",E2821="!!!"),"",IF(OR(J2821=0,AND(J2821=1,K2821=1),AND(J2821=1,I2821="SBJ"),AND(J2821=1,I2821=0)),"?IN_FOCUS",IF(J2821&lt;=2,"?ACTIVATED",IF(J2821&lt;&gt;"","?FAMILIAR",IF(F2821="NEW",IF(ISNA(VLOOKUP(E2821,#REF!,1,FALSE())),"?TYPE_IDENTIFIABLE","?REFERENTIAL"),"_")))))</f>
        <v/>
      </c>
      <c r="H2821" s="27" t="str">
        <f aca="false">IF(J2821&lt;&gt;1,"",IF(I2821="SBJ","CB","?"))</f>
        <v/>
      </c>
      <c r="I2821" s="24" t="str">
        <f aca="false">IF(OR(E2821="",E2821="!!!",F2821="NEW"),"",INDEX(B24:B$2798,-1+SUMPRODUCT(MAX(ROW(E24:E$2798)*(E2821=E24:E$2798)))))</f>
        <v/>
      </c>
      <c r="J2821" s="24" t="str">
        <f aca="true">IF(OR(E2821="",E2821="!!!",F2821="NEW"),"",COUNTBLANK(OFFSET(A$1,,,SUMPRODUCT(MAX(ROW(E$2:E2821)*(E2821=E$2:E2821)))))-COUNTBLANK(OFFSET(A$1,,,SUMPRODUCT(MAX(ROW(E$1:E2820)*(E2=E$1:E2820))))))</f>
        <v/>
      </c>
      <c r="K2821" s="24" t="str">
        <f aca="false">IF(OR(E2821="",E2821="!!!",F2821="NEW"),"",INDEX(J$1:J2820,SUMPRODUCT(MAX(ROW(E$1:E2820)*(E2821=E$1:E2820)))))</f>
        <v/>
      </c>
      <c r="L2821" s="31"/>
    </row>
    <row r="2822" customFormat="false" ht="15" hidden="false" customHeight="false" outlineLevel="0" collapsed="false">
      <c r="A2822" s="20" t="s">
        <v>1076</v>
      </c>
      <c r="E2822" s="23" t="str">
        <f aca="false">IF(D2822="?OLD","!!!","")</f>
        <v/>
      </c>
      <c r="F2822" s="25" t="str">
        <f aca="false">IF(OR(E2822="",E2822="!!!"),"",IF(NOT(ISNA(VLOOKUP(E2822,E$1:E2821,1,FALSE()))),"OLD",IF(AND(E2822&lt;&gt;"",E2822&lt;&gt;"!!!"),"NEW","")))</f>
        <v/>
      </c>
      <c r="G2822" s="26" t="str">
        <f aca="false">IF(OR(E2822="",E2822="!!!"),"",IF(OR(J2822=0,AND(J2822=1,K2822=1),AND(J2822=1,I2822="SBJ"),AND(J2822=1,I2822=0)),"?IN_FOCUS",IF(J2822&lt;=2,"?ACTIVATED",IF(J2822&lt;&gt;"","?FAMILIAR",IF(F2822="NEW",IF(ISNA(VLOOKUP(E2822,#REF!,1,FALSE())),"?TYPE_IDENTIFIABLE","?REFERENTIAL"),"_")))))</f>
        <v/>
      </c>
      <c r="H2822" s="27" t="str">
        <f aca="false">IF(J2822&lt;&gt;1,"",IF(I2822="SBJ","CB","?"))</f>
        <v/>
      </c>
      <c r="I2822" s="24" t="str">
        <f aca="false">IF(OR(E2822="",E2822="!!!",F2822="NEW"),"",INDEX(B25:B$2798,-1+SUMPRODUCT(MAX(ROW(E25:E$2798)*(E2822=E25:E$2798)))))</f>
        <v/>
      </c>
      <c r="J2822" s="24" t="str">
        <f aca="true">IF(OR(E2822="",E2822="!!!",F2822="NEW"),"",COUNTBLANK(OFFSET(A$1,,,SUMPRODUCT(MAX(ROW(E$2:E2822)*(E2822=E$2:E2822)))))-COUNTBLANK(OFFSET(A$1,,,SUMPRODUCT(MAX(ROW(E$1:E2821)*(E2=E$1:E2821))))))</f>
        <v/>
      </c>
      <c r="K2822" s="24" t="str">
        <f aca="false">IF(OR(E2822="",E2822="!!!",F2822="NEW"),"",INDEX(J$1:J2821,SUMPRODUCT(MAX(ROW(E$1:E2821)*(E2822=E$1:E2821)))))</f>
        <v/>
      </c>
      <c r="L2822" s="31"/>
    </row>
    <row r="2823" customFormat="false" ht="15" hidden="false" customHeight="false" outlineLevel="0" collapsed="false">
      <c r="A2823" s="20" t="s">
        <v>1940</v>
      </c>
      <c r="E2823" s="23" t="str">
        <f aca="false">IF(D2823="?OLD","!!!","")</f>
        <v/>
      </c>
      <c r="F2823" s="25" t="str">
        <f aca="false">IF(OR(E2823="",E2823="!!!"),"",IF(NOT(ISNA(VLOOKUP(E2823,E$1:E2822,1,FALSE()))),"OLD",IF(AND(E2823&lt;&gt;"",E2823&lt;&gt;"!!!"),"NEW","")))</f>
        <v/>
      </c>
      <c r="G2823" s="26" t="str">
        <f aca="false">IF(OR(E2823="",E2823="!!!"),"",IF(OR(J2823=0,AND(J2823=1,K2823=1),AND(J2823=1,I2823="SBJ"),AND(J2823=1,I2823=0)),"?IN_FOCUS",IF(J2823&lt;=2,"?ACTIVATED",IF(J2823&lt;&gt;"","?FAMILIAR",IF(F2823="NEW",IF(ISNA(VLOOKUP(E2823,#REF!,1,FALSE())),"?TYPE_IDENTIFIABLE","?REFERENTIAL"),"_")))))</f>
        <v/>
      </c>
      <c r="H2823" s="27" t="str">
        <f aca="false">IF(J2823&lt;&gt;1,"",IF(I2823="SBJ","CB","?"))</f>
        <v/>
      </c>
      <c r="I2823" s="24" t="str">
        <f aca="false">IF(OR(E2823="",E2823="!!!",F2823="NEW"),"",INDEX(B26:B$2798,-1+SUMPRODUCT(MAX(ROW(E26:E$2798)*(E2823=E26:E$2798)))))</f>
        <v/>
      </c>
      <c r="J2823" s="24" t="str">
        <f aca="true">IF(OR(E2823="",E2823="!!!",F2823="NEW"),"",COUNTBLANK(OFFSET(A$1,,,SUMPRODUCT(MAX(ROW(E$2:E2823)*(E2823=E$2:E2823)))))-COUNTBLANK(OFFSET(A$1,,,SUMPRODUCT(MAX(ROW(E$1:E2822)*(E2=E$1:E2822))))))</f>
        <v/>
      </c>
      <c r="K2823" s="24" t="str">
        <f aca="false">IF(OR(E2823="",E2823="!!!",F2823="NEW"),"",INDEX(J$1:J2822,SUMPRODUCT(MAX(ROW(E$1:E2822)*(E2823=E$1:E2822)))))</f>
        <v/>
      </c>
      <c r="L2823" s="31"/>
    </row>
    <row r="2824" customFormat="false" ht="15" hidden="false" customHeight="false" outlineLevel="0" collapsed="false">
      <c r="A2824" s="20" t="s">
        <v>16</v>
      </c>
      <c r="E2824" s="23" t="str">
        <f aca="false">IF(D2824="?OLD","!!!","")</f>
        <v/>
      </c>
      <c r="F2824" s="25" t="str">
        <f aca="false">IF(OR(E2824="",E2824="!!!"),"",IF(NOT(ISNA(VLOOKUP(E2824,E$1:E2823,1,FALSE()))),"OLD",IF(AND(E2824&lt;&gt;"",E2824&lt;&gt;"!!!"),"NEW","")))</f>
        <v/>
      </c>
      <c r="G2824" s="26" t="str">
        <f aca="false">IF(OR(E2824="",E2824="!!!"),"",IF(OR(J2824=0,AND(J2824=1,K2824=1),AND(J2824=1,I2824="SBJ"),AND(J2824=1,I2824=0)),"?IN_FOCUS",IF(J2824&lt;=2,"?ACTIVATED",IF(J2824&lt;&gt;"","?FAMILIAR",IF(F2824="NEW",IF(ISNA(VLOOKUP(E2824,#REF!,1,FALSE())),"?TYPE_IDENTIFIABLE","?REFERENTIAL"),"_")))))</f>
        <v/>
      </c>
      <c r="H2824" s="27" t="str">
        <f aca="false">IF(J2824&lt;&gt;1,"",IF(I2824="SBJ","CB","?"))</f>
        <v/>
      </c>
      <c r="I2824" s="24" t="str">
        <f aca="false">IF(OR(E2824="",E2824="!!!",F2824="NEW"),"",INDEX(B27:B$2798,-1+SUMPRODUCT(MAX(ROW(E27:E$2798)*(E2824=E27:E$2798)))))</f>
        <v/>
      </c>
      <c r="J2824" s="24" t="str">
        <f aca="true">IF(OR(E2824="",E2824="!!!",F2824="NEW"),"",COUNTBLANK(OFFSET(A$1,,,SUMPRODUCT(MAX(ROW(E$2:E2824)*(E2824=E$2:E2824)))))-COUNTBLANK(OFFSET(A$1,,,SUMPRODUCT(MAX(ROW(E$1:E2823)*(E2=E$1:E2823))))))</f>
        <v/>
      </c>
      <c r="K2824" s="24" t="str">
        <f aca="false">IF(OR(E2824="",E2824="!!!",F2824="NEW"),"",INDEX(J$1:J2823,SUMPRODUCT(MAX(ROW(E$1:E2823)*(E2824=E$1:E2823)))))</f>
        <v/>
      </c>
      <c r="L2824" s="31"/>
    </row>
    <row r="2825" customFormat="false" ht="15" hidden="false" customHeight="false" outlineLevel="0" collapsed="false">
      <c r="A2825" s="20" t="s">
        <v>2033</v>
      </c>
      <c r="E2825" s="23" t="str">
        <f aca="false">IF(D2825="?OLD","!!!","")</f>
        <v/>
      </c>
      <c r="F2825" s="25" t="str">
        <f aca="false">IF(OR(E2825="",E2825="!!!"),"",IF(NOT(ISNA(VLOOKUP(E2825,E$1:E2824,1,FALSE()))),"OLD",IF(AND(E2825&lt;&gt;"",E2825&lt;&gt;"!!!"),"NEW","")))</f>
        <v/>
      </c>
      <c r="G2825" s="26" t="str">
        <f aca="false">IF(OR(E2825="",E2825="!!!"),"",IF(OR(J2825=0,AND(J2825=1,K2825=1),AND(J2825=1,I2825="SBJ"),AND(J2825=1,I2825=0)),"?IN_FOCUS",IF(J2825&lt;=2,"?ACTIVATED",IF(J2825&lt;&gt;"","?FAMILIAR",IF(F2825="NEW",IF(ISNA(VLOOKUP(E2825,#REF!,1,FALSE())),"?TYPE_IDENTIFIABLE","?REFERENTIAL"),"_")))))</f>
        <v/>
      </c>
      <c r="H2825" s="27" t="str">
        <f aca="false">IF(J2825&lt;&gt;1,"",IF(I2825="SBJ","CB","?"))</f>
        <v/>
      </c>
      <c r="I2825" s="24" t="str">
        <f aca="false">IF(OR(E2825="",E2825="!!!",F2825="NEW"),"",INDEX(B28:B$2798,-1+SUMPRODUCT(MAX(ROW(E28:E$2798)*(E2825=E28:E$2798)))))</f>
        <v/>
      </c>
      <c r="J2825" s="24" t="str">
        <f aca="true">IF(OR(E2825="",E2825="!!!",F2825="NEW"),"",COUNTBLANK(OFFSET(A$1,,,SUMPRODUCT(MAX(ROW(E$2:E2825)*(E2825=E$2:E2825)))))-COUNTBLANK(OFFSET(A$1,,,SUMPRODUCT(MAX(ROW(E$1:E2824)*(E2=E$1:E2824))))))</f>
        <v/>
      </c>
      <c r="K2825" s="24" t="str">
        <f aca="false">IF(OR(E2825="",E2825="!!!",F2825="NEW"),"",INDEX(J$1:J2824,SUMPRODUCT(MAX(ROW(E$1:E2824)*(E2825=E$1:E2824)))))</f>
        <v/>
      </c>
      <c r="L2825" s="31"/>
    </row>
    <row r="2826" customFormat="false" ht="15" hidden="false" customHeight="false" outlineLevel="0" collapsed="false">
      <c r="A2826" s="20" t="s">
        <v>1076</v>
      </c>
      <c r="E2826" s="23" t="str">
        <f aca="false">IF(D2826="?OLD","!!!","")</f>
        <v/>
      </c>
      <c r="F2826" s="25" t="str">
        <f aca="false">IF(OR(E2826="",E2826="!!!"),"",IF(NOT(ISNA(VLOOKUP(E2826,E$1:E2825,1,FALSE()))),"OLD",IF(AND(E2826&lt;&gt;"",E2826&lt;&gt;"!!!"),"NEW","")))</f>
        <v/>
      </c>
      <c r="G2826" s="26" t="str">
        <f aca="false">IF(OR(E2826="",E2826="!!!"),"",IF(OR(J2826=0,AND(J2826=1,K2826=1),AND(J2826=1,I2826="SBJ"),AND(J2826=1,I2826=0)),"?IN_FOCUS",IF(J2826&lt;=2,"?ACTIVATED",IF(J2826&lt;&gt;"","?FAMILIAR",IF(F2826="NEW",IF(ISNA(VLOOKUP(E2826,#REF!,1,FALSE())),"?TYPE_IDENTIFIABLE","?REFERENTIAL"),"_")))))</f>
        <v/>
      </c>
      <c r="H2826" s="27" t="str">
        <f aca="false">IF(J2826&lt;&gt;1,"",IF(I2826="SBJ","CB","?"))</f>
        <v/>
      </c>
      <c r="I2826" s="24" t="str">
        <f aca="false">IF(OR(E2826="",E2826="!!!",F2826="NEW"),"",INDEX(B29:B$2798,-1+SUMPRODUCT(MAX(ROW(E29:E$2798)*(E2826=E29:E$2798)))))</f>
        <v/>
      </c>
      <c r="J2826" s="24" t="str">
        <f aca="true">IF(OR(E2826="",E2826="!!!",F2826="NEW"),"",COUNTBLANK(OFFSET(A$1,,,SUMPRODUCT(MAX(ROW(E$2:E2826)*(E2826=E$2:E2826)))))-COUNTBLANK(OFFSET(A$1,,,SUMPRODUCT(MAX(ROW(E$1:E2825)*(E2=E$1:E2825))))))</f>
        <v/>
      </c>
      <c r="K2826" s="24" t="str">
        <f aca="false">IF(OR(E2826="",E2826="!!!",F2826="NEW"),"",INDEX(J$1:J2825,SUMPRODUCT(MAX(ROW(E$1:E2825)*(E2826=E$1:E2825)))))</f>
        <v/>
      </c>
      <c r="L2826" s="31"/>
    </row>
    <row r="2827" customFormat="false" ht="15" hidden="false" customHeight="false" outlineLevel="0" collapsed="false">
      <c r="A2827" s="20" t="s">
        <v>2034</v>
      </c>
      <c r="E2827" s="23" t="str">
        <f aca="false">IF(D2827="?OLD","!!!","")</f>
        <v/>
      </c>
      <c r="F2827" s="25" t="str">
        <f aca="false">IF(OR(E2827="",E2827="!!!"),"",IF(NOT(ISNA(VLOOKUP(E2827,E$1:E2826,1,FALSE()))),"OLD",IF(AND(E2827&lt;&gt;"",E2827&lt;&gt;"!!!"),"NEW","")))</f>
        <v/>
      </c>
      <c r="G2827" s="26" t="str">
        <f aca="false">IF(OR(E2827="",E2827="!!!"),"",IF(OR(J2827=0,AND(J2827=1,K2827=1),AND(J2827=1,I2827="SBJ"),AND(J2827=1,I2827=0)),"?IN_FOCUS",IF(J2827&lt;=2,"?ACTIVATED",IF(J2827&lt;&gt;"","?FAMILIAR",IF(F2827="NEW",IF(ISNA(VLOOKUP(E2827,#REF!,1,FALSE())),"?TYPE_IDENTIFIABLE","?REFERENTIAL"),"_")))))</f>
        <v/>
      </c>
      <c r="H2827" s="27" t="str">
        <f aca="false">IF(J2827&lt;&gt;1,"",IF(I2827="SBJ","CB","?"))</f>
        <v/>
      </c>
      <c r="I2827" s="24" t="str">
        <f aca="false">IF(OR(E2827="",E2827="!!!",F2827="NEW"),"",INDEX(B30:B$2798,-1+SUMPRODUCT(MAX(ROW(E30:E$2798)*(E2827=E30:E$2798)))))</f>
        <v/>
      </c>
      <c r="J2827" s="24" t="str">
        <f aca="true">IF(OR(E2827="",E2827="!!!",F2827="NEW"),"",COUNTBLANK(OFFSET(A$1,,,SUMPRODUCT(MAX(ROW(E$2:E2827)*(E2827=E$2:E2827)))))-COUNTBLANK(OFFSET(A$1,,,SUMPRODUCT(MAX(ROW(E$1:E2826)*(E2=E$1:E2826))))))</f>
        <v/>
      </c>
      <c r="K2827" s="24" t="str">
        <f aca="false">IF(OR(E2827="",E2827="!!!",F2827="NEW"),"",INDEX(J$1:J2826,SUMPRODUCT(MAX(ROW(E$1:E2826)*(E2827=E$1:E2826)))))</f>
        <v/>
      </c>
      <c r="L2827" s="31"/>
    </row>
    <row r="2828" customFormat="false" ht="15" hidden="false" customHeight="false" outlineLevel="0" collapsed="false">
      <c r="A2828" s="20" t="s">
        <v>1828</v>
      </c>
      <c r="B2828" s="22" t="s">
        <v>1197</v>
      </c>
      <c r="C2828" s="22" t="s">
        <v>1160</v>
      </c>
      <c r="E2828" s="23" t="str">
        <f aca="false">IF(D2828="?OLD","!!!","")</f>
        <v/>
      </c>
      <c r="F2828" s="25" t="str">
        <f aca="false">IF(OR(E2828="",E2828="!!!"),"",IF(NOT(ISNA(VLOOKUP(E2828,E$1:E2827,1,FALSE()))),"OLD",IF(AND(E2828&lt;&gt;"",E2828&lt;&gt;"!!!"),"NEW","")))</f>
        <v/>
      </c>
      <c r="G2828" s="26" t="str">
        <f aca="false">IF(OR(E2828="",E2828="!!!"),"",IF(OR(J2828=0,AND(J2828=1,K2828=1),AND(J2828=1,I2828="SBJ"),AND(J2828=1,I2828=0)),"?IN_FOCUS",IF(J2828&lt;=2,"?ACTIVATED",IF(J2828&lt;&gt;"","?FAMILIAR",IF(F2828="NEW",IF(ISNA(VLOOKUP(E2828,#REF!,1,FALSE())),"?TYPE_IDENTIFIABLE","?REFERENTIAL"),"_")))))</f>
        <v/>
      </c>
      <c r="H2828" s="27" t="str">
        <f aca="false">IF(J2828&lt;&gt;1,"",IF(I2828="SBJ","CB","?"))</f>
        <v/>
      </c>
      <c r="I2828" s="24" t="str">
        <f aca="false">IF(OR(E2828="",E2828="!!!",F2828="NEW"),"",INDEX(B31:B$2798,-1+SUMPRODUCT(MAX(ROW(E31:E$2798)*(E2828=E31:E$2798)))))</f>
        <v/>
      </c>
      <c r="J2828" s="24" t="str">
        <f aca="true">IF(OR(E2828="",E2828="!!!",F2828="NEW"),"",COUNTBLANK(OFFSET(A$1,,,SUMPRODUCT(MAX(ROW(E$2:E2828)*(E2828=E$2:E2828)))))-COUNTBLANK(OFFSET(A$1,,,SUMPRODUCT(MAX(ROW(E$1:E2827)*(E2=E$1:E2827))))))</f>
        <v/>
      </c>
      <c r="K2828" s="24" t="str">
        <f aca="false">IF(OR(E2828="",E2828="!!!",F2828="NEW"),"",INDEX(J$1:J2827,SUMPRODUCT(MAX(ROW(E$1:E2827)*(E2828=E$1:E2827)))))</f>
        <v/>
      </c>
      <c r="L2828" s="31"/>
    </row>
    <row r="2829" customFormat="false" ht="15" hidden="false" customHeight="false" outlineLevel="0" collapsed="false">
      <c r="A2829" s="20" t="s">
        <v>1135</v>
      </c>
      <c r="E2829" s="23" t="str">
        <f aca="false">IF(D2829="?OLD","!!!","")</f>
        <v/>
      </c>
      <c r="F2829" s="25" t="str">
        <f aca="false">IF(OR(E2829="",E2829="!!!"),"",IF(NOT(ISNA(VLOOKUP(E2829,E$1:E2828,1,FALSE()))),"OLD",IF(AND(E2829&lt;&gt;"",E2829&lt;&gt;"!!!"),"NEW","")))</f>
        <v/>
      </c>
      <c r="G2829" s="26" t="str">
        <f aca="false">IF(OR(E2829="",E2829="!!!"),"",IF(OR(J2829=0,AND(J2829=1,K2829=1),AND(J2829=1,I2829="SBJ"),AND(J2829=1,I2829=0)),"?IN_FOCUS",IF(J2829&lt;=2,"?ACTIVATED",IF(J2829&lt;&gt;"","?FAMILIAR",IF(F2829="NEW",IF(ISNA(VLOOKUP(E2829,#REF!,1,FALSE())),"?TYPE_IDENTIFIABLE","?REFERENTIAL"),"_")))))</f>
        <v/>
      </c>
      <c r="H2829" s="27" t="str">
        <f aca="false">IF(J2829&lt;&gt;1,"",IF(I2829="SBJ","CB","?"))</f>
        <v/>
      </c>
      <c r="I2829" s="24" t="str">
        <f aca="false">IF(OR(E2829="",E2829="!!!",F2829="NEW"),"",INDEX(B32:B$2798,-1+SUMPRODUCT(MAX(ROW(E32:E$2798)*(E2829=E32:E$2798)))))</f>
        <v/>
      </c>
      <c r="J2829" s="24" t="str">
        <f aca="true">IF(OR(E2829="",E2829="!!!",F2829="NEW"),"",COUNTBLANK(OFFSET(A$1,,,SUMPRODUCT(MAX(ROW(E$2:E2829)*(E2829=E$2:E2829)))))-COUNTBLANK(OFFSET(A$1,,,SUMPRODUCT(MAX(ROW(E$1:E2828)*(E2=E$1:E2828))))))</f>
        <v/>
      </c>
      <c r="K2829" s="24" t="str">
        <f aca="false">IF(OR(E2829="",E2829="!!!",F2829="NEW"),"",INDEX(J$1:J2828,SUMPRODUCT(MAX(ROW(E$1:E2828)*(E2829=E$1:E2828)))))</f>
        <v/>
      </c>
      <c r="L2829" s="31"/>
    </row>
    <row r="2830" customFormat="false" ht="15" hidden="false" customHeight="false" outlineLevel="0" collapsed="false">
      <c r="A2830" s="20" t="s">
        <v>2035</v>
      </c>
      <c r="E2830" s="23" t="str">
        <f aca="false">IF(D2830="?OLD","!!!","")</f>
        <v/>
      </c>
      <c r="F2830" s="25" t="str">
        <f aca="false">IF(OR(E2830="",E2830="!!!"),"",IF(NOT(ISNA(VLOOKUP(E2830,E$1:E2829,1,FALSE()))),"OLD",IF(AND(E2830&lt;&gt;"",E2830&lt;&gt;"!!!"),"NEW","")))</f>
        <v/>
      </c>
      <c r="G2830" s="26" t="str">
        <f aca="false">IF(OR(E2830="",E2830="!!!"),"",IF(OR(J2830=0,AND(J2830=1,K2830=1),AND(J2830=1,I2830="SBJ"),AND(J2830=1,I2830=0)),"?IN_FOCUS",IF(J2830&lt;=2,"?ACTIVATED",IF(J2830&lt;&gt;"","?FAMILIAR",IF(F2830="NEW",IF(ISNA(VLOOKUP(E2830,#REF!,1,FALSE())),"?TYPE_IDENTIFIABLE","?REFERENTIAL"),"_")))))</f>
        <v/>
      </c>
      <c r="H2830" s="27" t="str">
        <f aca="false">IF(J2830&lt;&gt;1,"",IF(I2830="SBJ","CB","?"))</f>
        <v/>
      </c>
      <c r="I2830" s="24" t="str">
        <f aca="false">IF(OR(E2830="",E2830="!!!",F2830="NEW"),"",INDEX(B33:B$2798,-1+SUMPRODUCT(MAX(ROW(E33:E$2798)*(E2830=E33:E$2798)))))</f>
        <v/>
      </c>
      <c r="J2830" s="24" t="str">
        <f aca="true">IF(OR(E2830="",E2830="!!!",F2830="NEW"),"",COUNTBLANK(OFFSET(A$1,,,SUMPRODUCT(MAX(ROW(E$2:E2830)*(E2830=E$2:E2830)))))-COUNTBLANK(OFFSET(A$1,,,SUMPRODUCT(MAX(ROW(E$1:E2829)*(E2=E$1:E2829))))))</f>
        <v/>
      </c>
      <c r="K2830" s="24" t="str">
        <f aca="false">IF(OR(E2830="",E2830="!!!",F2830="NEW"),"",INDEX(J$1:J2829,SUMPRODUCT(MAX(ROW(E$1:E2829)*(E2830=E$1:E2829)))))</f>
        <v/>
      </c>
      <c r="L2830" s="31"/>
    </row>
    <row r="2831" customFormat="false" ht="15" hidden="false" customHeight="false" outlineLevel="0" collapsed="false">
      <c r="A2831" s="20" t="s">
        <v>1213</v>
      </c>
      <c r="E2831" s="23" t="str">
        <f aca="false">IF(D2831="?OLD","!!!","")</f>
        <v/>
      </c>
      <c r="F2831" s="25" t="str">
        <f aca="false">IF(OR(E2831="",E2831="!!!"),"",IF(NOT(ISNA(VLOOKUP(E2831,E$1:E2830,1,FALSE()))),"OLD",IF(AND(E2831&lt;&gt;"",E2831&lt;&gt;"!!!"),"NEW","")))</f>
        <v/>
      </c>
      <c r="G2831" s="26" t="str">
        <f aca="false">IF(OR(E2831="",E2831="!!!"),"",IF(OR(J2831=0,AND(J2831=1,K2831=1),AND(J2831=1,I2831="SBJ"),AND(J2831=1,I2831=0)),"?IN_FOCUS",IF(J2831&lt;=2,"?ACTIVATED",IF(J2831&lt;&gt;"","?FAMILIAR",IF(F2831="NEW",IF(ISNA(VLOOKUP(E2831,#REF!,1,FALSE())),"?TYPE_IDENTIFIABLE","?REFERENTIAL"),"_")))))</f>
        <v/>
      </c>
      <c r="H2831" s="27" t="str">
        <f aca="false">IF(J2831&lt;&gt;1,"",IF(I2831="SBJ","CB","?"))</f>
        <v/>
      </c>
      <c r="I2831" s="24" t="str">
        <f aca="false">IF(OR(E2831="",E2831="!!!",F2831="NEW"),"",INDEX(B34:B$2798,-1+SUMPRODUCT(MAX(ROW(E34:E$2798)*(E2831=E34:E$2798)))))</f>
        <v/>
      </c>
      <c r="J2831" s="24" t="str">
        <f aca="true">IF(OR(E2831="",E2831="!!!",F2831="NEW"),"",COUNTBLANK(OFFSET(A$1,,,SUMPRODUCT(MAX(ROW(E$2:E2831)*(E2831=E$2:E2831)))))-COUNTBLANK(OFFSET(A$1,,,SUMPRODUCT(MAX(ROW(E$1:E2830)*(E2=E$1:E2830))))))</f>
        <v/>
      </c>
      <c r="K2831" s="24" t="str">
        <f aca="false">IF(OR(E2831="",E2831="!!!",F2831="NEW"),"",INDEX(J$1:J2830,SUMPRODUCT(MAX(ROW(E$1:E2830)*(E2831=E$1:E2830)))))</f>
        <v/>
      </c>
      <c r="L2831" s="31"/>
    </row>
    <row r="2832" customFormat="false" ht="15" hidden="false" customHeight="false" outlineLevel="0" collapsed="false">
      <c r="A2832" s="20" t="s">
        <v>433</v>
      </c>
      <c r="B2832" s="22" t="s">
        <v>1107</v>
      </c>
      <c r="C2832" s="22" t="s">
        <v>1160</v>
      </c>
      <c r="E2832" s="23" t="str">
        <f aca="false">IF(D2832="?OLD","!!!","")</f>
        <v/>
      </c>
      <c r="F2832" s="25" t="str">
        <f aca="false">IF(OR(E2832="",E2832="!!!"),"",IF(NOT(ISNA(VLOOKUP(E2832,E$1:E2831,1,FALSE()))),"OLD",IF(AND(E2832&lt;&gt;"",E2832&lt;&gt;"!!!"),"NEW","")))</f>
        <v/>
      </c>
      <c r="G2832" s="26" t="str">
        <f aca="false">IF(OR(E2832="",E2832="!!!"),"",IF(OR(J2832=0,AND(J2832=1,K2832=1),AND(J2832=1,I2832="SBJ"),AND(J2832=1,I2832=0)),"?IN_FOCUS",IF(J2832&lt;=2,"?ACTIVATED",IF(J2832&lt;&gt;"","?FAMILIAR",IF(F2832="NEW",IF(ISNA(VLOOKUP(E2832,#REF!,1,FALSE())),"?TYPE_IDENTIFIABLE","?REFERENTIAL"),"_")))))</f>
        <v/>
      </c>
      <c r="H2832" s="27" t="str">
        <f aca="false">IF(J2832&lt;&gt;1,"",IF(I2832="SBJ","CB","?"))</f>
        <v/>
      </c>
      <c r="I2832" s="24" t="str">
        <f aca="false">IF(OR(E2832="",E2832="!!!",F2832="NEW"),"",INDEX(B35:B$2798,-1+SUMPRODUCT(MAX(ROW(E35:E$2798)*(E2832=E35:E$2798)))))</f>
        <v/>
      </c>
      <c r="J2832" s="24" t="str">
        <f aca="true">IF(OR(E2832="",E2832="!!!",F2832="NEW"),"",COUNTBLANK(OFFSET(A$1,,,SUMPRODUCT(MAX(ROW(E$2:E2832)*(E2832=E$2:E2832)))))-COUNTBLANK(OFFSET(A$1,,,SUMPRODUCT(MAX(ROW(E$1:E2831)*(E2=E$1:E2831))))))</f>
        <v/>
      </c>
      <c r="K2832" s="24" t="str">
        <f aca="false">IF(OR(E2832="",E2832="!!!",F2832="NEW"),"",INDEX(J$1:J2831,SUMPRODUCT(MAX(ROW(E$1:E2831)*(E2832=E$1:E2831)))))</f>
        <v/>
      </c>
      <c r="L2832" s="31"/>
    </row>
    <row r="2833" customFormat="false" ht="15" hidden="false" customHeight="false" outlineLevel="0" collapsed="false">
      <c r="A2833" s="20" t="s">
        <v>923</v>
      </c>
      <c r="E2833" s="23" t="str">
        <f aca="false">IF(D2833="?OLD","!!!","")</f>
        <v/>
      </c>
      <c r="F2833" s="25" t="str">
        <f aca="false">IF(OR(E2833="",E2833="!!!"),"",IF(NOT(ISNA(VLOOKUP(E2833,E$1:E2832,1,FALSE()))),"OLD",IF(AND(E2833&lt;&gt;"",E2833&lt;&gt;"!!!"),"NEW","")))</f>
        <v/>
      </c>
      <c r="G2833" s="26" t="str">
        <f aca="false">IF(OR(E2833="",E2833="!!!"),"",IF(OR(J2833=0,AND(J2833=1,K2833=1),AND(J2833=1,I2833="SBJ"),AND(J2833=1,I2833=0)),"?IN_FOCUS",IF(J2833&lt;=2,"?ACTIVATED",IF(J2833&lt;&gt;"","?FAMILIAR",IF(F2833="NEW",IF(ISNA(VLOOKUP(E2833,#REF!,1,FALSE())),"?TYPE_IDENTIFIABLE","?REFERENTIAL"),"_")))))</f>
        <v/>
      </c>
      <c r="H2833" s="27" t="str">
        <f aca="false">IF(J2833&lt;&gt;1,"",IF(I2833="SBJ","CB","?"))</f>
        <v/>
      </c>
      <c r="I2833" s="24" t="str">
        <f aca="false">IF(OR(E2833="",E2833="!!!",F2833="NEW"),"",INDEX(B36:B$2798,-1+SUMPRODUCT(MAX(ROW(E36:E$2798)*(E2833=E36:E$2798)))))</f>
        <v/>
      </c>
      <c r="J2833" s="24" t="str">
        <f aca="true">IF(OR(E2833="",E2833="!!!",F2833="NEW"),"",COUNTBLANK(OFFSET(A$1,,,SUMPRODUCT(MAX(ROW(E$2:E2833)*(E2833=E$2:E2833)))))-COUNTBLANK(OFFSET(A$1,,,SUMPRODUCT(MAX(ROW(E$1:E2832)*(E2=E$1:E2832))))))</f>
        <v/>
      </c>
      <c r="K2833" s="24" t="str">
        <f aca="false">IF(OR(E2833="",E2833="!!!",F2833="NEW"),"",INDEX(J$1:J2832,SUMPRODUCT(MAX(ROW(E$1:E2832)*(E2833=E$1:E2832)))))</f>
        <v/>
      </c>
      <c r="L2833" s="31"/>
    </row>
    <row r="2834" customFormat="false" ht="15" hidden="false" customHeight="false" outlineLevel="0" collapsed="false">
      <c r="A2834" s="20"/>
    </row>
    <row r="2835" customFormat="false" ht="15" hidden="false" customHeight="false" outlineLevel="0" collapsed="false">
      <c r="A2835" s="20" t="s">
        <v>2036</v>
      </c>
    </row>
    <row r="2836" customFormat="false" ht="15" hidden="false" customHeight="false" outlineLevel="0" collapsed="false">
      <c r="A2836" s="20" t="s">
        <v>1162</v>
      </c>
      <c r="B2836" s="22" t="s">
        <v>1058</v>
      </c>
      <c r="C2836" s="22" t="s">
        <v>1082</v>
      </c>
      <c r="D2836" s="22" t="s">
        <v>1060</v>
      </c>
      <c r="E2836" s="23" t="str">
        <f aca="false">IF(D2836="?OLD","!!!","")</f>
        <v>!!!</v>
      </c>
      <c r="F2836" s="25" t="str">
        <f aca="false">IF(OR(E2836="",E2836="!!!"),"",IF(NOT(ISNA(VLOOKUP(E2836,E$1:E2835,1,FALSE()))),"OLD",IF(AND(E2836&lt;&gt;"",E2836&lt;&gt;"!!!"),"NEW","")))</f>
        <v/>
      </c>
      <c r="G2836" s="26" t="str">
        <f aca="false">IF(OR(E2836="",E2836="!!!"),"",IF(OR(J2836=0,AND(J2836=1,K2836=1),AND(J2836=1,I2836="SBJ"),AND(J2836=1,I2836=0)),"?IN_FOCUS",IF(J2836&lt;=2,"?ACTIVATED",IF(J2836&lt;&gt;"","?FAMILIAR",IF(F2836="NEW",IF(ISNA(VLOOKUP(E2836,#REF!,1,FALSE())),"?TYPE_IDENTIFIABLE","?REFERENTIAL"),"_")))))</f>
        <v/>
      </c>
      <c r="H2836" s="27" t="str">
        <f aca="false">IF(J2836&lt;&gt;1,"",IF(I2836="SBJ","CB","?"))</f>
        <v/>
      </c>
      <c r="I2836" s="24" t="str">
        <f aca="false">IF(OR(E2836="",E2836="!!!",F2836="NEW"),"",INDEX(B2:B$2835,-1+SUMPRODUCT(MAX(ROW(E2:E$2835)*(E2836=E2:E$2835)))))</f>
        <v/>
      </c>
      <c r="J2836" s="24" t="str">
        <f aca="true">IF(OR(E2836="",E2836="!!!",F2836="NEW"),"",COUNTBLANK(OFFSET(A$1,,,SUMPRODUCT(MAX(ROW(E$2:E2836)*(E2836=E$2:E2836)))))-COUNTBLANK(OFFSET(A$1,,,SUMPRODUCT(MAX(ROW(E$1:E2835)*(E2=E$1:E2835))))))</f>
        <v/>
      </c>
      <c r="K2836" s="24" t="str">
        <f aca="false">IF(OR(E2836="",E2836="!!!",F2836="NEW"),"",INDEX(J$1:J2835,SUMPRODUCT(MAX(ROW(E$1:E2835)*(E2836=E$1:E2835)))))</f>
        <v/>
      </c>
      <c r="L2836" s="31"/>
    </row>
    <row r="2837" customFormat="false" ht="15" hidden="false" customHeight="false" outlineLevel="0" collapsed="false">
      <c r="A2837" s="20" t="s">
        <v>2037</v>
      </c>
      <c r="E2837" s="23" t="str">
        <f aca="false">IF(D2837="?OLD","!!!","")</f>
        <v/>
      </c>
      <c r="F2837" s="25" t="str">
        <f aca="false">IF(OR(E2837="",E2837="!!!"),"",IF(NOT(ISNA(VLOOKUP(E2837,E$1:E2836,1,FALSE()))),"OLD",IF(AND(E2837&lt;&gt;"",E2837&lt;&gt;"!!!"),"NEW","")))</f>
        <v/>
      </c>
      <c r="G2837" s="26" t="str">
        <f aca="false">IF(OR(E2837="",E2837="!!!"),"",IF(OR(J2837=0,AND(J2837=1,K2837=1),AND(J2837=1,I2837="SBJ"),AND(J2837=1,I2837=0)),"?IN_FOCUS",IF(J2837&lt;=2,"?ACTIVATED",IF(J2837&lt;&gt;"","?FAMILIAR",IF(F2837="NEW",IF(ISNA(VLOOKUP(E2837,#REF!,1,FALSE())),"?TYPE_IDENTIFIABLE","?REFERENTIAL"),"_")))))</f>
        <v/>
      </c>
      <c r="H2837" s="27" t="str">
        <f aca="false">IF(J2837&lt;&gt;1,"",IF(I2837="SBJ","CB","?"))</f>
        <v/>
      </c>
      <c r="I2837" s="24" t="str">
        <f aca="false">IF(OR(E2837="",E2837="!!!",F2837="NEW"),"",INDEX(B3:B$2835,-1+SUMPRODUCT(MAX(ROW(E3:E$2835)*(E2837=E3:E$2835)))))</f>
        <v/>
      </c>
      <c r="J2837" s="24" t="str">
        <f aca="true">IF(OR(E2837="",E2837="!!!",F2837="NEW"),"",COUNTBLANK(OFFSET(A$1,,,SUMPRODUCT(MAX(ROW(E$2:E2837)*(E2837=E$2:E2837)))))-COUNTBLANK(OFFSET(A$1,,,SUMPRODUCT(MAX(ROW(E$1:E2836)*(E2=E$1:E2836))))))</f>
        <v/>
      </c>
      <c r="K2837" s="24" t="str">
        <f aca="false">IF(OR(E2837="",E2837="!!!",F2837="NEW"),"",INDEX(J$1:J2836,SUMPRODUCT(MAX(ROW(E$1:E2836)*(E2837=E$1:E2836)))))</f>
        <v/>
      </c>
      <c r="L2837" s="31"/>
    </row>
    <row r="2838" customFormat="false" ht="15" hidden="false" customHeight="false" outlineLevel="0" collapsed="false">
      <c r="A2838" s="20" t="s">
        <v>1313</v>
      </c>
      <c r="B2838" s="22" t="s">
        <v>1073</v>
      </c>
      <c r="C2838" s="22" t="s">
        <v>1099</v>
      </c>
      <c r="D2838" s="22" t="s">
        <v>1060</v>
      </c>
      <c r="E2838" s="23" t="str">
        <f aca="false">IF(D2838="?OLD","!!!","")</f>
        <v>!!!</v>
      </c>
      <c r="F2838" s="25" t="str">
        <f aca="false">IF(OR(E2838="",E2838="!!!"),"",IF(NOT(ISNA(VLOOKUP(E2838,E$1:E2837,1,FALSE()))),"OLD",IF(AND(E2838&lt;&gt;"",E2838&lt;&gt;"!!!"),"NEW","")))</f>
        <v/>
      </c>
      <c r="G2838" s="26" t="str">
        <f aca="false">IF(OR(E2838="",E2838="!!!"),"",IF(OR(J2838=0,AND(J2838=1,K2838=1),AND(J2838=1,I2838="SBJ"),AND(J2838=1,I2838=0)),"?IN_FOCUS",IF(J2838&lt;=2,"?ACTIVATED",IF(J2838&lt;&gt;"","?FAMILIAR",IF(F2838="NEW",IF(ISNA(VLOOKUP(E2838,#REF!,1,FALSE())),"?TYPE_IDENTIFIABLE","?REFERENTIAL"),"_")))))</f>
        <v/>
      </c>
      <c r="H2838" s="27" t="str">
        <f aca="false">IF(J2838&lt;&gt;1,"",IF(I2838="SBJ","CB","?"))</f>
        <v/>
      </c>
      <c r="I2838" s="24" t="str">
        <f aca="false">IF(OR(E2838="",E2838="!!!",F2838="NEW"),"",INDEX(B4:B$2835,-1+SUMPRODUCT(MAX(ROW(E4:E$2835)*(E2838=E4:E$2835)))))</f>
        <v/>
      </c>
      <c r="J2838" s="24" t="str">
        <f aca="true">IF(OR(E2838="",E2838="!!!",F2838="NEW"),"",COUNTBLANK(OFFSET(A$1,,,SUMPRODUCT(MAX(ROW(E$2:E2838)*(E2838=E$2:E2838)))))-COUNTBLANK(OFFSET(A$1,,,SUMPRODUCT(MAX(ROW(E$1:E2837)*(E2=E$1:E2837))))))</f>
        <v/>
      </c>
      <c r="K2838" s="24" t="str">
        <f aca="false">IF(OR(E2838="",E2838="!!!",F2838="NEW"),"",INDEX(J$1:J2837,SUMPRODUCT(MAX(ROW(E$1:E2837)*(E2838=E$1:E2837)))))</f>
        <v/>
      </c>
      <c r="L2838" s="31"/>
    </row>
    <row r="2839" customFormat="false" ht="15" hidden="false" customHeight="false" outlineLevel="0" collapsed="false">
      <c r="A2839" s="20" t="s">
        <v>1720</v>
      </c>
      <c r="B2839" s="22" t="s">
        <v>1081</v>
      </c>
      <c r="C2839" s="22" t="s">
        <v>1059</v>
      </c>
      <c r="D2839" s="22" t="s">
        <v>1060</v>
      </c>
      <c r="E2839" s="23" t="str">
        <f aca="false">IF(D2839="?OLD","!!!","")</f>
        <v>!!!</v>
      </c>
      <c r="F2839" s="25" t="str">
        <f aca="false">IF(OR(E2839="",E2839="!!!"),"",IF(NOT(ISNA(VLOOKUP(E2839,E$1:E2838,1,FALSE()))),"OLD",IF(AND(E2839&lt;&gt;"",E2839&lt;&gt;"!!!"),"NEW","")))</f>
        <v/>
      </c>
      <c r="G2839" s="26" t="str">
        <f aca="false">IF(OR(E2839="",E2839="!!!"),"",IF(OR(J2839=0,AND(J2839=1,K2839=1),AND(J2839=1,I2839="SBJ"),AND(J2839=1,I2839=0)),"?IN_FOCUS",IF(J2839&lt;=2,"?ACTIVATED",IF(J2839&lt;&gt;"","?FAMILIAR",IF(F2839="NEW",IF(ISNA(VLOOKUP(E2839,#REF!,1,FALSE())),"?TYPE_IDENTIFIABLE","?REFERENTIAL"),"_")))))</f>
        <v/>
      </c>
      <c r="H2839" s="27" t="str">
        <f aca="false">IF(J2839&lt;&gt;1,"",IF(I2839="SBJ","CB","?"))</f>
        <v/>
      </c>
      <c r="I2839" s="24" t="str">
        <f aca="false">IF(OR(E2839="",E2839="!!!",F2839="NEW"),"",INDEX(B5:B$2835,-1+SUMPRODUCT(MAX(ROW(E5:E$2835)*(E2839=E5:E$2835)))))</f>
        <v/>
      </c>
      <c r="J2839" s="24" t="str">
        <f aca="true">IF(OR(E2839="",E2839="!!!",F2839="NEW"),"",COUNTBLANK(OFFSET(A$1,,,SUMPRODUCT(MAX(ROW(E$2:E2839)*(E2839=E$2:E2839)))))-COUNTBLANK(OFFSET(A$1,,,SUMPRODUCT(MAX(ROW(E$1:E2838)*(E2=E$1:E2838))))))</f>
        <v/>
      </c>
      <c r="K2839" s="24" t="str">
        <f aca="false">IF(OR(E2839="",E2839="!!!",F2839="NEW"),"",INDEX(J$1:J2838,SUMPRODUCT(MAX(ROW(E$1:E2838)*(E2839=E$1:E2838)))))</f>
        <v/>
      </c>
      <c r="L2839" s="31"/>
    </row>
    <row r="2840" customFormat="false" ht="15" hidden="false" customHeight="false" outlineLevel="0" collapsed="false">
      <c r="A2840" s="20" t="s">
        <v>1218</v>
      </c>
      <c r="E2840" s="23" t="str">
        <f aca="false">IF(D2840="?OLD","!!!","")</f>
        <v/>
      </c>
      <c r="F2840" s="25" t="str">
        <f aca="false">IF(OR(E2840="",E2840="!!!"),"",IF(NOT(ISNA(VLOOKUP(E2840,E$1:E2839,1,FALSE()))),"OLD",IF(AND(E2840&lt;&gt;"",E2840&lt;&gt;"!!!"),"NEW","")))</f>
        <v/>
      </c>
      <c r="G2840" s="26" t="str">
        <f aca="false">IF(OR(E2840="",E2840="!!!"),"",IF(OR(J2840=0,AND(J2840=1,K2840=1),AND(J2840=1,I2840="SBJ"),AND(J2840=1,I2840=0)),"?IN_FOCUS",IF(J2840&lt;=2,"?ACTIVATED",IF(J2840&lt;&gt;"","?FAMILIAR",IF(F2840="NEW",IF(ISNA(VLOOKUP(E2840,#REF!,1,FALSE())),"?TYPE_IDENTIFIABLE","?REFERENTIAL"),"_")))))</f>
        <v/>
      </c>
      <c r="H2840" s="27" t="str">
        <f aca="false">IF(J2840&lt;&gt;1,"",IF(I2840="SBJ","CB","?"))</f>
        <v/>
      </c>
      <c r="I2840" s="24" t="str">
        <f aca="false">IF(OR(E2840="",E2840="!!!",F2840="NEW"),"",INDEX(B6:B$2835,-1+SUMPRODUCT(MAX(ROW(E6:E$2835)*(E2840=E6:E$2835)))))</f>
        <v/>
      </c>
      <c r="J2840" s="24" t="str">
        <f aca="true">IF(OR(E2840="",E2840="!!!",F2840="NEW"),"",COUNTBLANK(OFFSET(A$1,,,SUMPRODUCT(MAX(ROW(E$2:E2840)*(E2840=E$2:E2840)))))-COUNTBLANK(OFFSET(A$1,,,SUMPRODUCT(MAX(ROW(E$1:E2839)*(E2=E$1:E2839))))))</f>
        <v/>
      </c>
      <c r="K2840" s="24" t="str">
        <f aca="false">IF(OR(E2840="",E2840="!!!",F2840="NEW"),"",INDEX(J$1:J2839,SUMPRODUCT(MAX(ROW(E$1:E2839)*(E2840=E$1:E2839)))))</f>
        <v/>
      </c>
      <c r="L2840" s="31"/>
    </row>
    <row r="2841" customFormat="false" ht="15" hidden="false" customHeight="false" outlineLevel="0" collapsed="false">
      <c r="A2841" s="20" t="s">
        <v>1109</v>
      </c>
      <c r="E2841" s="23" t="str">
        <f aca="false">IF(D2841="?OLD","!!!","")</f>
        <v/>
      </c>
      <c r="F2841" s="25" t="str">
        <f aca="false">IF(OR(E2841="",E2841="!!!"),"",IF(NOT(ISNA(VLOOKUP(E2841,E$1:E2840,1,FALSE()))),"OLD",IF(AND(E2841&lt;&gt;"",E2841&lt;&gt;"!!!"),"NEW","")))</f>
        <v/>
      </c>
      <c r="G2841" s="26" t="str">
        <f aca="false">IF(OR(E2841="",E2841="!!!"),"",IF(OR(J2841=0,AND(J2841=1,K2841=1),AND(J2841=1,I2841="SBJ"),AND(J2841=1,I2841=0)),"?IN_FOCUS",IF(J2841&lt;=2,"?ACTIVATED",IF(J2841&lt;&gt;"","?FAMILIAR",IF(F2841="NEW",IF(ISNA(VLOOKUP(E2841,#REF!,1,FALSE())),"?TYPE_IDENTIFIABLE","?REFERENTIAL"),"_")))))</f>
        <v/>
      </c>
      <c r="H2841" s="27" t="str">
        <f aca="false">IF(J2841&lt;&gt;1,"",IF(I2841="SBJ","CB","?"))</f>
        <v/>
      </c>
      <c r="I2841" s="24" t="str">
        <f aca="false">IF(OR(E2841="",E2841="!!!",F2841="NEW"),"",INDEX(B7:B$2835,-1+SUMPRODUCT(MAX(ROW(E7:E$2835)*(E2841=E7:E$2835)))))</f>
        <v/>
      </c>
      <c r="J2841" s="24" t="str">
        <f aca="true">IF(OR(E2841="",E2841="!!!",F2841="NEW"),"",COUNTBLANK(OFFSET(A$1,,,SUMPRODUCT(MAX(ROW(E$2:E2841)*(E2841=E$2:E2841)))))-COUNTBLANK(OFFSET(A$1,,,SUMPRODUCT(MAX(ROW(E$1:E2840)*(E2=E$1:E2840))))))</f>
        <v/>
      </c>
      <c r="K2841" s="24" t="str">
        <f aca="false">IF(OR(E2841="",E2841="!!!",F2841="NEW"),"",INDEX(J$1:J2840,SUMPRODUCT(MAX(ROW(E$1:E2840)*(E2841=E$1:E2840)))))</f>
        <v/>
      </c>
      <c r="L2841" s="31"/>
    </row>
    <row r="2842" customFormat="false" ht="15" hidden="false" customHeight="false" outlineLevel="0" collapsed="false">
      <c r="A2842" s="20" t="s">
        <v>2038</v>
      </c>
      <c r="E2842" s="23" t="str">
        <f aca="false">IF(D2842="?OLD","!!!","")</f>
        <v/>
      </c>
      <c r="F2842" s="25" t="str">
        <f aca="false">IF(OR(E2842="",E2842="!!!"),"",IF(NOT(ISNA(VLOOKUP(E2842,E$1:E2841,1,FALSE()))),"OLD",IF(AND(E2842&lt;&gt;"",E2842&lt;&gt;"!!!"),"NEW","")))</f>
        <v/>
      </c>
      <c r="G2842" s="26" t="str">
        <f aca="false">IF(OR(E2842="",E2842="!!!"),"",IF(OR(J2842=0,AND(J2842=1,K2842=1),AND(J2842=1,I2842="SBJ"),AND(J2842=1,I2842=0)),"?IN_FOCUS",IF(J2842&lt;=2,"?ACTIVATED",IF(J2842&lt;&gt;"","?FAMILIAR",IF(F2842="NEW",IF(ISNA(VLOOKUP(E2842,#REF!,1,FALSE())),"?TYPE_IDENTIFIABLE","?REFERENTIAL"),"_")))))</f>
        <v/>
      </c>
      <c r="H2842" s="27" t="str">
        <f aca="false">IF(J2842&lt;&gt;1,"",IF(I2842="SBJ","CB","?"))</f>
        <v/>
      </c>
      <c r="I2842" s="24" t="str">
        <f aca="false">IF(OR(E2842="",E2842="!!!",F2842="NEW"),"",INDEX(B8:B$2835,-1+SUMPRODUCT(MAX(ROW(E8:E$2835)*(E2842=E8:E$2835)))))</f>
        <v/>
      </c>
      <c r="J2842" s="24" t="str">
        <f aca="true">IF(OR(E2842="",E2842="!!!",F2842="NEW"),"",COUNTBLANK(OFFSET(A$1,,,SUMPRODUCT(MAX(ROW(E$2:E2842)*(E2842=E$2:E2842)))))-COUNTBLANK(OFFSET(A$1,,,SUMPRODUCT(MAX(ROW(E$1:E2841)*(E2=E$1:E2841))))))</f>
        <v/>
      </c>
      <c r="K2842" s="24" t="str">
        <f aca="false">IF(OR(E2842="",E2842="!!!",F2842="NEW"),"",INDEX(J$1:J2841,SUMPRODUCT(MAX(ROW(E$1:E2841)*(E2842=E$1:E2841)))))</f>
        <v/>
      </c>
      <c r="L2842" s="31"/>
    </row>
    <row r="2843" customFormat="false" ht="15" hidden="false" customHeight="false" outlineLevel="0" collapsed="false">
      <c r="A2843" s="20" t="s">
        <v>1870</v>
      </c>
      <c r="B2843" s="22" t="s">
        <v>1105</v>
      </c>
      <c r="C2843" s="22" t="s">
        <v>1150</v>
      </c>
      <c r="D2843" s="22" t="s">
        <v>1060</v>
      </c>
      <c r="E2843" s="23" t="str">
        <f aca="false">IF(D2843="?OLD","!!!","")</f>
        <v>!!!</v>
      </c>
      <c r="F2843" s="25" t="str">
        <f aca="false">IF(OR(E2843="",E2843="!!!"),"",IF(NOT(ISNA(VLOOKUP(E2843,E$1:E2842,1,FALSE()))),"OLD",IF(AND(E2843&lt;&gt;"",E2843&lt;&gt;"!!!"),"NEW","")))</f>
        <v/>
      </c>
      <c r="G2843" s="26" t="str">
        <f aca="false">IF(OR(E2843="",E2843="!!!"),"",IF(OR(J2843=0,AND(J2843=1,K2843=1),AND(J2843=1,I2843="SBJ"),AND(J2843=1,I2843=0)),"?IN_FOCUS",IF(J2843&lt;=2,"?ACTIVATED",IF(J2843&lt;&gt;"","?FAMILIAR",IF(F2843="NEW",IF(ISNA(VLOOKUP(E2843,#REF!,1,FALSE())),"?TYPE_IDENTIFIABLE","?REFERENTIAL"),"_")))))</f>
        <v/>
      </c>
      <c r="H2843" s="27" t="str">
        <f aca="false">IF(J2843&lt;&gt;1,"",IF(I2843="SBJ","CB","?"))</f>
        <v/>
      </c>
      <c r="I2843" s="24" t="str">
        <f aca="false">IF(OR(E2843="",E2843="!!!",F2843="NEW"),"",INDEX(B9:B$2835,-1+SUMPRODUCT(MAX(ROW(E9:E$2835)*(E2843=E9:E$2835)))))</f>
        <v/>
      </c>
      <c r="J2843" s="24" t="str">
        <f aca="true">IF(OR(E2843="",E2843="!!!",F2843="NEW"),"",COUNTBLANK(OFFSET(A$1,,,SUMPRODUCT(MAX(ROW(E$2:E2843)*(E2843=E$2:E2843)))))-COUNTBLANK(OFFSET(A$1,,,SUMPRODUCT(MAX(ROW(E$1:E2842)*(E2=E$1:E2842))))))</f>
        <v/>
      </c>
      <c r="K2843" s="24" t="str">
        <f aca="false">IF(OR(E2843="",E2843="!!!",F2843="NEW"),"",INDEX(J$1:J2842,SUMPRODUCT(MAX(ROW(E$1:E2842)*(E2843=E$1:E2842)))))</f>
        <v/>
      </c>
      <c r="L2843" s="31"/>
    </row>
    <row r="2844" customFormat="false" ht="15" hidden="false" customHeight="false" outlineLevel="0" collapsed="false">
      <c r="A2844" s="20" t="s">
        <v>1076</v>
      </c>
      <c r="E2844" s="23" t="str">
        <f aca="false">IF(D2844="?OLD","!!!","")</f>
        <v/>
      </c>
      <c r="F2844" s="25" t="str">
        <f aca="false">IF(OR(E2844="",E2844="!!!"),"",IF(NOT(ISNA(VLOOKUP(E2844,E$1:E2843,1,FALSE()))),"OLD",IF(AND(E2844&lt;&gt;"",E2844&lt;&gt;"!!!"),"NEW","")))</f>
        <v/>
      </c>
      <c r="G2844" s="26" t="str">
        <f aca="false">IF(OR(E2844="",E2844="!!!"),"",IF(OR(J2844=0,AND(J2844=1,K2844=1),AND(J2844=1,I2844="SBJ"),AND(J2844=1,I2844=0)),"?IN_FOCUS",IF(J2844&lt;=2,"?ACTIVATED",IF(J2844&lt;&gt;"","?FAMILIAR",IF(F2844="NEW",IF(ISNA(VLOOKUP(E2844,#REF!,1,FALSE())),"?TYPE_IDENTIFIABLE","?REFERENTIAL"),"_")))))</f>
        <v/>
      </c>
      <c r="H2844" s="27" t="str">
        <f aca="false">IF(J2844&lt;&gt;1,"",IF(I2844="SBJ","CB","?"))</f>
        <v/>
      </c>
      <c r="I2844" s="24" t="str">
        <f aca="false">IF(OR(E2844="",E2844="!!!",F2844="NEW"),"",INDEX(B10:B$2835,-1+SUMPRODUCT(MAX(ROW(E10:E$2835)*(E2844=E10:E$2835)))))</f>
        <v/>
      </c>
      <c r="J2844" s="24" t="str">
        <f aca="true">IF(OR(E2844="",E2844="!!!",F2844="NEW"),"",COUNTBLANK(OFFSET(A$1,,,SUMPRODUCT(MAX(ROW(E$2:E2844)*(E2844=E$2:E2844)))))-COUNTBLANK(OFFSET(A$1,,,SUMPRODUCT(MAX(ROW(E$1:E2843)*(E2=E$1:E2843))))))</f>
        <v/>
      </c>
      <c r="K2844" s="24" t="str">
        <f aca="false">IF(OR(E2844="",E2844="!!!",F2844="NEW"),"",INDEX(J$1:J2843,SUMPRODUCT(MAX(ROW(E$1:E2843)*(E2844=E$1:E2843)))))</f>
        <v/>
      </c>
      <c r="L2844" s="31"/>
    </row>
    <row r="2845" customFormat="false" ht="15" hidden="false" customHeight="false" outlineLevel="0" collapsed="false">
      <c r="A2845" s="20" t="s">
        <v>1128</v>
      </c>
      <c r="E2845" s="23" t="str">
        <f aca="false">IF(D2845="?OLD","!!!","")</f>
        <v/>
      </c>
      <c r="F2845" s="25" t="str">
        <f aca="false">IF(OR(E2845="",E2845="!!!"),"",IF(NOT(ISNA(VLOOKUP(E2845,E$1:E2844,1,FALSE()))),"OLD",IF(AND(E2845&lt;&gt;"",E2845&lt;&gt;"!!!"),"NEW","")))</f>
        <v/>
      </c>
      <c r="G2845" s="26" t="str">
        <f aca="false">IF(OR(E2845="",E2845="!!!"),"",IF(OR(J2845=0,AND(J2845=1,K2845=1),AND(J2845=1,I2845="SBJ"),AND(J2845=1,I2845=0)),"?IN_FOCUS",IF(J2845&lt;=2,"?ACTIVATED",IF(J2845&lt;&gt;"","?FAMILIAR",IF(F2845="NEW",IF(ISNA(VLOOKUP(E2845,#REF!,1,FALSE())),"?TYPE_IDENTIFIABLE","?REFERENTIAL"),"_")))))</f>
        <v/>
      </c>
      <c r="H2845" s="27" t="str">
        <f aca="false">IF(J2845&lt;&gt;1,"",IF(I2845="SBJ","CB","?"))</f>
        <v/>
      </c>
      <c r="I2845" s="24" t="str">
        <f aca="false">IF(OR(E2845="",E2845="!!!",F2845="NEW"),"",INDEX(B11:B$2835,-1+SUMPRODUCT(MAX(ROW(E11:E$2835)*(E2845=E11:E$2835)))))</f>
        <v/>
      </c>
      <c r="J2845" s="24" t="str">
        <f aca="true">IF(OR(E2845="",E2845="!!!",F2845="NEW"),"",COUNTBLANK(OFFSET(A$1,,,SUMPRODUCT(MAX(ROW(E$2:E2845)*(E2845=E$2:E2845)))))-COUNTBLANK(OFFSET(A$1,,,SUMPRODUCT(MAX(ROW(E$1:E2844)*(E2=E$1:E2844))))))</f>
        <v/>
      </c>
      <c r="K2845" s="24" t="str">
        <f aca="false">IF(OR(E2845="",E2845="!!!",F2845="NEW"),"",INDEX(J$1:J2844,SUMPRODUCT(MAX(ROW(E$1:E2844)*(E2845=E$1:E2844)))))</f>
        <v/>
      </c>
      <c r="L2845" s="31"/>
    </row>
    <row r="2846" customFormat="false" ht="15" hidden="false" customHeight="false" outlineLevel="0" collapsed="false">
      <c r="A2846" s="20" t="s">
        <v>1157</v>
      </c>
      <c r="E2846" s="23" t="str">
        <f aca="false">IF(D2846="?OLD","!!!","")</f>
        <v/>
      </c>
      <c r="F2846" s="25" t="str">
        <f aca="false">IF(OR(E2846="",E2846="!!!"),"",IF(NOT(ISNA(VLOOKUP(E2846,E$1:E2845,1,FALSE()))),"OLD",IF(AND(E2846&lt;&gt;"",E2846&lt;&gt;"!!!"),"NEW","")))</f>
        <v/>
      </c>
      <c r="G2846" s="26" t="str">
        <f aca="false">IF(OR(E2846="",E2846="!!!"),"",IF(OR(J2846=0,AND(J2846=1,K2846=1),AND(J2846=1,I2846="SBJ"),AND(J2846=1,I2846=0)),"?IN_FOCUS",IF(J2846&lt;=2,"?ACTIVATED",IF(J2846&lt;&gt;"","?FAMILIAR",IF(F2846="NEW",IF(ISNA(VLOOKUP(E2846,#REF!,1,FALSE())),"?TYPE_IDENTIFIABLE","?REFERENTIAL"),"_")))))</f>
        <v/>
      </c>
      <c r="H2846" s="27" t="str">
        <f aca="false">IF(J2846&lt;&gt;1,"",IF(I2846="SBJ","CB","?"))</f>
        <v/>
      </c>
      <c r="I2846" s="24" t="str">
        <f aca="false">IF(OR(E2846="",E2846="!!!",F2846="NEW"),"",INDEX(B12:B$2835,-1+SUMPRODUCT(MAX(ROW(E12:E$2835)*(E2846=E12:E$2835)))))</f>
        <v/>
      </c>
      <c r="J2846" s="24" t="str">
        <f aca="true">IF(OR(E2846="",E2846="!!!",F2846="NEW"),"",COUNTBLANK(OFFSET(A$1,,,SUMPRODUCT(MAX(ROW(E$2:E2846)*(E2846=E$2:E2846)))))-COUNTBLANK(OFFSET(A$1,,,SUMPRODUCT(MAX(ROW(E$1:E2845)*(E2=E$1:E2845))))))</f>
        <v/>
      </c>
      <c r="K2846" s="24" t="str">
        <f aca="false">IF(OR(E2846="",E2846="!!!",F2846="NEW"),"",INDEX(J$1:J2845,SUMPRODUCT(MAX(ROW(E$1:E2845)*(E2846=E$1:E2845)))))</f>
        <v/>
      </c>
      <c r="L2846" s="31"/>
    </row>
    <row r="2847" customFormat="false" ht="15" hidden="false" customHeight="false" outlineLevel="0" collapsed="false">
      <c r="A2847" s="20" t="s">
        <v>1162</v>
      </c>
      <c r="B2847" s="22" t="s">
        <v>1086</v>
      </c>
      <c r="C2847" s="22" t="s">
        <v>1082</v>
      </c>
      <c r="D2847" s="22" t="s">
        <v>1060</v>
      </c>
      <c r="E2847" s="23" t="str">
        <f aca="false">IF(D2847="?OLD","!!!","")</f>
        <v>!!!</v>
      </c>
      <c r="F2847" s="25" t="str">
        <f aca="false">IF(OR(E2847="",E2847="!!!"),"",IF(NOT(ISNA(VLOOKUP(E2847,E$1:E2846,1,FALSE()))),"OLD",IF(AND(E2847&lt;&gt;"",E2847&lt;&gt;"!!!"),"NEW","")))</f>
        <v/>
      </c>
      <c r="G2847" s="26" t="str">
        <f aca="false">IF(OR(E2847="",E2847="!!!"),"",IF(OR(J2847=0,AND(J2847=1,K2847=1),AND(J2847=1,I2847="SBJ"),AND(J2847=1,I2847=0)),"?IN_FOCUS",IF(J2847&lt;=2,"?ACTIVATED",IF(J2847&lt;&gt;"","?FAMILIAR",IF(F2847="NEW",IF(ISNA(VLOOKUP(E2847,#REF!,1,FALSE())),"?TYPE_IDENTIFIABLE","?REFERENTIAL"),"_")))))</f>
        <v/>
      </c>
      <c r="H2847" s="27" t="str">
        <f aca="false">IF(J2847&lt;&gt;1,"",IF(I2847="SBJ","CB","?"))</f>
        <v/>
      </c>
      <c r="I2847" s="24" t="str">
        <f aca="false">IF(OR(E2847="",E2847="!!!",F2847="NEW"),"",INDEX(B13:B$2835,-1+SUMPRODUCT(MAX(ROW(E13:E$2835)*(E2847=E13:E$2835)))))</f>
        <v/>
      </c>
      <c r="J2847" s="24" t="str">
        <f aca="true">IF(OR(E2847="",E2847="!!!",F2847="NEW"),"",COUNTBLANK(OFFSET(A$1,,,SUMPRODUCT(MAX(ROW(E$2:E2847)*(E2847=E$2:E2847)))))-COUNTBLANK(OFFSET(A$1,,,SUMPRODUCT(MAX(ROW(E$1:E2846)*(E2=E$1:E2846))))))</f>
        <v/>
      </c>
      <c r="K2847" s="24" t="str">
        <f aca="false">IF(OR(E2847="",E2847="!!!",F2847="NEW"),"",INDEX(J$1:J2846,SUMPRODUCT(MAX(ROW(E$1:E2846)*(E2847=E$1:E2846)))))</f>
        <v/>
      </c>
      <c r="L2847" s="31"/>
    </row>
    <row r="2848" customFormat="false" ht="15" hidden="false" customHeight="false" outlineLevel="0" collapsed="false">
      <c r="A2848" s="20" t="s">
        <v>2039</v>
      </c>
      <c r="E2848" s="23" t="str">
        <f aca="false">IF(D2848="?OLD","!!!","")</f>
        <v/>
      </c>
      <c r="F2848" s="25" t="str">
        <f aca="false">IF(OR(E2848="",E2848="!!!"),"",IF(NOT(ISNA(VLOOKUP(E2848,E$1:E2847,1,FALSE()))),"OLD",IF(AND(E2848&lt;&gt;"",E2848&lt;&gt;"!!!"),"NEW","")))</f>
        <v/>
      </c>
      <c r="G2848" s="26" t="str">
        <f aca="false">IF(OR(E2848="",E2848="!!!"),"",IF(OR(J2848=0,AND(J2848=1,K2848=1),AND(J2848=1,I2848="SBJ"),AND(J2848=1,I2848=0)),"?IN_FOCUS",IF(J2848&lt;=2,"?ACTIVATED",IF(J2848&lt;&gt;"","?FAMILIAR",IF(F2848="NEW",IF(ISNA(VLOOKUP(E2848,#REF!,1,FALSE())),"?TYPE_IDENTIFIABLE","?REFERENTIAL"),"_")))))</f>
        <v/>
      </c>
      <c r="H2848" s="27" t="str">
        <f aca="false">IF(J2848&lt;&gt;1,"",IF(I2848="SBJ","CB","?"))</f>
        <v/>
      </c>
      <c r="I2848" s="24" t="str">
        <f aca="false">IF(OR(E2848="",E2848="!!!",F2848="NEW"),"",INDEX(B14:B$2835,-1+SUMPRODUCT(MAX(ROW(E14:E$2835)*(E2848=E14:E$2835)))))</f>
        <v/>
      </c>
      <c r="J2848" s="24" t="str">
        <f aca="true">IF(OR(E2848="",E2848="!!!",F2848="NEW"),"",COUNTBLANK(OFFSET(A$1,,,SUMPRODUCT(MAX(ROW(E$2:E2848)*(E2848=E$2:E2848)))))-COUNTBLANK(OFFSET(A$1,,,SUMPRODUCT(MAX(ROW(E$1:E2847)*(E2=E$1:E2847))))))</f>
        <v/>
      </c>
      <c r="K2848" s="24" t="str">
        <f aca="false">IF(OR(E2848="",E2848="!!!",F2848="NEW"),"",INDEX(J$1:J2847,SUMPRODUCT(MAX(ROW(E$1:E2847)*(E2848=E$1:E2847)))))</f>
        <v/>
      </c>
      <c r="L2848" s="31"/>
    </row>
    <row r="2849" customFormat="false" ht="15" hidden="false" customHeight="false" outlineLevel="0" collapsed="false">
      <c r="A2849" s="20" t="s">
        <v>1454</v>
      </c>
      <c r="B2849" s="22" t="s">
        <v>1142</v>
      </c>
      <c r="C2849" s="22" t="s">
        <v>1082</v>
      </c>
      <c r="D2849" s="22" t="s">
        <v>1060</v>
      </c>
      <c r="E2849" s="23" t="str">
        <f aca="false">IF(D2849="?OLD","!!!","")</f>
        <v>!!!</v>
      </c>
      <c r="F2849" s="25" t="str">
        <f aca="false">IF(OR(E2849="",E2849="!!!"),"",IF(NOT(ISNA(VLOOKUP(E2849,E$1:E2848,1,FALSE()))),"OLD",IF(AND(E2849&lt;&gt;"",E2849&lt;&gt;"!!!"),"NEW","")))</f>
        <v/>
      </c>
      <c r="G2849" s="26" t="str">
        <f aca="false">IF(OR(E2849="",E2849="!!!"),"",IF(OR(J2849=0,AND(J2849=1,K2849=1),AND(J2849=1,I2849="SBJ"),AND(J2849=1,I2849=0)),"?IN_FOCUS",IF(J2849&lt;=2,"?ACTIVATED",IF(J2849&lt;&gt;"","?FAMILIAR",IF(F2849="NEW",IF(ISNA(VLOOKUP(E2849,#REF!,1,FALSE())),"?TYPE_IDENTIFIABLE","?REFERENTIAL"),"_")))))</f>
        <v/>
      </c>
      <c r="H2849" s="27" t="str">
        <f aca="false">IF(J2849&lt;&gt;1,"",IF(I2849="SBJ","CB","?"))</f>
        <v/>
      </c>
      <c r="I2849" s="24" t="str">
        <f aca="false">IF(OR(E2849="",E2849="!!!",F2849="NEW"),"",INDEX(B15:B$2835,-1+SUMPRODUCT(MAX(ROW(E15:E$2835)*(E2849=E15:E$2835)))))</f>
        <v/>
      </c>
      <c r="J2849" s="24" t="str">
        <f aca="true">IF(OR(E2849="",E2849="!!!",F2849="NEW"),"",COUNTBLANK(OFFSET(A$1,,,SUMPRODUCT(MAX(ROW(E$2:E2849)*(E2849=E$2:E2849)))))-COUNTBLANK(OFFSET(A$1,,,SUMPRODUCT(MAX(ROW(E$1:E2848)*(E2=E$1:E2848))))))</f>
        <v/>
      </c>
      <c r="K2849" s="24" t="str">
        <f aca="false">IF(OR(E2849="",E2849="!!!",F2849="NEW"),"",INDEX(J$1:J2848,SUMPRODUCT(MAX(ROW(E$1:E2848)*(E2849=E$1:E2848)))))</f>
        <v/>
      </c>
      <c r="L2849" s="31"/>
    </row>
    <row r="2850" customFormat="false" ht="15" hidden="false" customHeight="false" outlineLevel="0" collapsed="false">
      <c r="A2850" s="20" t="s">
        <v>1280</v>
      </c>
      <c r="E2850" s="23" t="str">
        <f aca="false">IF(D2850="?OLD","!!!","")</f>
        <v/>
      </c>
      <c r="F2850" s="25" t="str">
        <f aca="false">IF(OR(E2850="",E2850="!!!"),"",IF(NOT(ISNA(VLOOKUP(E2850,E$1:E2849,1,FALSE()))),"OLD",IF(AND(E2850&lt;&gt;"",E2850&lt;&gt;"!!!"),"NEW","")))</f>
        <v/>
      </c>
      <c r="G2850" s="26" t="str">
        <f aca="false">IF(OR(E2850="",E2850="!!!"),"",IF(OR(J2850=0,AND(J2850=1,K2850=1),AND(J2850=1,I2850="SBJ"),AND(J2850=1,I2850=0)),"?IN_FOCUS",IF(J2850&lt;=2,"?ACTIVATED",IF(J2850&lt;&gt;"","?FAMILIAR",IF(F2850="NEW",IF(ISNA(VLOOKUP(E2850,#REF!,1,FALSE())),"?TYPE_IDENTIFIABLE","?REFERENTIAL"),"_")))))</f>
        <v/>
      </c>
      <c r="H2850" s="27" t="str">
        <f aca="false">IF(J2850&lt;&gt;1,"",IF(I2850="SBJ","CB","?"))</f>
        <v/>
      </c>
      <c r="I2850" s="24" t="str">
        <f aca="false">IF(OR(E2850="",E2850="!!!",F2850="NEW"),"",INDEX(B16:B$2835,-1+SUMPRODUCT(MAX(ROW(E16:E$2835)*(E2850=E16:E$2835)))))</f>
        <v/>
      </c>
      <c r="J2850" s="24" t="str">
        <f aca="true">IF(OR(E2850="",E2850="!!!",F2850="NEW"),"",COUNTBLANK(OFFSET(A$1,,,SUMPRODUCT(MAX(ROW(E$2:E2850)*(E2850=E$2:E2850)))))-COUNTBLANK(OFFSET(A$1,,,SUMPRODUCT(MAX(ROW(E$1:E2849)*(E2=E$1:E2849))))))</f>
        <v/>
      </c>
      <c r="K2850" s="24" t="str">
        <f aca="false">IF(OR(E2850="",E2850="!!!",F2850="NEW"),"",INDEX(J$1:J2849,SUMPRODUCT(MAX(ROW(E$1:E2849)*(E2850=E$1:E2849)))))</f>
        <v/>
      </c>
      <c r="L2850" s="31"/>
    </row>
    <row r="2851" customFormat="false" ht="15" hidden="false" customHeight="false" outlineLevel="0" collapsed="false">
      <c r="A2851" s="20" t="s">
        <v>1313</v>
      </c>
      <c r="B2851" s="22" t="s">
        <v>1067</v>
      </c>
      <c r="C2851" s="22" t="s">
        <v>1099</v>
      </c>
      <c r="D2851" s="22" t="s">
        <v>1060</v>
      </c>
      <c r="E2851" s="23" t="str">
        <f aca="false">IF(D2851="?OLD","!!!","")</f>
        <v>!!!</v>
      </c>
      <c r="F2851" s="25" t="str">
        <f aca="false">IF(OR(E2851="",E2851="!!!"),"",IF(NOT(ISNA(VLOOKUP(E2851,E$1:E2850,1,FALSE()))),"OLD",IF(AND(E2851&lt;&gt;"",E2851&lt;&gt;"!!!"),"NEW","")))</f>
        <v/>
      </c>
      <c r="G2851" s="26" t="str">
        <f aca="false">IF(OR(E2851="",E2851="!!!"),"",IF(OR(J2851=0,AND(J2851=1,K2851=1),AND(J2851=1,I2851="SBJ"),AND(J2851=1,I2851=0)),"?IN_FOCUS",IF(J2851&lt;=2,"?ACTIVATED",IF(J2851&lt;&gt;"","?FAMILIAR",IF(F2851="NEW",IF(ISNA(VLOOKUP(E2851,#REF!,1,FALSE())),"?TYPE_IDENTIFIABLE","?REFERENTIAL"),"_")))))</f>
        <v/>
      </c>
      <c r="H2851" s="27" t="str">
        <f aca="false">IF(J2851&lt;&gt;1,"",IF(I2851="SBJ","CB","?"))</f>
        <v/>
      </c>
      <c r="I2851" s="24" t="str">
        <f aca="false">IF(OR(E2851="",E2851="!!!",F2851="NEW"),"",INDEX(B17:B$2835,-1+SUMPRODUCT(MAX(ROW(E17:E$2835)*(E2851=E17:E$2835)))))</f>
        <v/>
      </c>
      <c r="J2851" s="24" t="str">
        <f aca="true">IF(OR(E2851="",E2851="!!!",F2851="NEW"),"",COUNTBLANK(OFFSET(A$1,,,SUMPRODUCT(MAX(ROW(E$2:E2851)*(E2851=E$2:E2851)))))-COUNTBLANK(OFFSET(A$1,,,SUMPRODUCT(MAX(ROW(E$1:E2850)*(E2=E$1:E2850))))))</f>
        <v/>
      </c>
      <c r="K2851" s="24" t="str">
        <f aca="false">IF(OR(E2851="",E2851="!!!",F2851="NEW"),"",INDEX(J$1:J2850,SUMPRODUCT(MAX(ROW(E$1:E2850)*(E2851=E$1:E2850)))))</f>
        <v/>
      </c>
      <c r="L2851" s="31"/>
    </row>
    <row r="2852" customFormat="false" ht="15" hidden="false" customHeight="false" outlineLevel="0" collapsed="false">
      <c r="A2852" s="20" t="s">
        <v>1121</v>
      </c>
      <c r="E2852" s="23" t="str">
        <f aca="false">IF(D2852="?OLD","!!!","")</f>
        <v/>
      </c>
      <c r="F2852" s="25" t="str">
        <f aca="false">IF(OR(E2852="",E2852="!!!"),"",IF(NOT(ISNA(VLOOKUP(E2852,E$1:E2851,1,FALSE()))),"OLD",IF(AND(E2852&lt;&gt;"",E2852&lt;&gt;"!!!"),"NEW","")))</f>
        <v/>
      </c>
      <c r="G2852" s="26" t="str">
        <f aca="false">IF(OR(E2852="",E2852="!!!"),"",IF(OR(J2852=0,AND(J2852=1,K2852=1),AND(J2852=1,I2852="SBJ"),AND(J2852=1,I2852=0)),"?IN_FOCUS",IF(J2852&lt;=2,"?ACTIVATED",IF(J2852&lt;&gt;"","?FAMILIAR",IF(F2852="NEW",IF(ISNA(VLOOKUP(E2852,#REF!,1,FALSE())),"?TYPE_IDENTIFIABLE","?REFERENTIAL"),"_")))))</f>
        <v/>
      </c>
      <c r="H2852" s="27" t="str">
        <f aca="false">IF(J2852&lt;&gt;1,"",IF(I2852="SBJ","CB","?"))</f>
        <v/>
      </c>
      <c r="I2852" s="24" t="str">
        <f aca="false">IF(OR(E2852="",E2852="!!!",F2852="NEW"),"",INDEX(B18:B$2835,-1+SUMPRODUCT(MAX(ROW(E18:E$2835)*(E2852=E18:E$2835)))))</f>
        <v/>
      </c>
      <c r="J2852" s="24" t="str">
        <f aca="true">IF(OR(E2852="",E2852="!!!",F2852="NEW"),"",COUNTBLANK(OFFSET(A$1,,,SUMPRODUCT(MAX(ROW(E$2:E2852)*(E2852=E$2:E2852)))))-COUNTBLANK(OFFSET(A$1,,,SUMPRODUCT(MAX(ROW(E$1:E2851)*(E2=E$1:E2851))))))</f>
        <v/>
      </c>
      <c r="K2852" s="24" t="str">
        <f aca="false">IF(OR(E2852="",E2852="!!!",F2852="NEW"),"",INDEX(J$1:J2851,SUMPRODUCT(MAX(ROW(E$1:E2851)*(E2852=E$1:E2851)))))</f>
        <v/>
      </c>
      <c r="L2852" s="31"/>
    </row>
    <row r="2853" customFormat="false" ht="15" hidden="false" customHeight="false" outlineLevel="0" collapsed="false">
      <c r="A2853" s="20" t="s">
        <v>2040</v>
      </c>
      <c r="B2853" s="22" t="s">
        <v>1142</v>
      </c>
      <c r="C2853" s="22" t="s">
        <v>1059</v>
      </c>
      <c r="D2853" s="22" t="s">
        <v>1060</v>
      </c>
      <c r="E2853" s="23" t="str">
        <f aca="false">IF(D2853="?OLD","!!!","")</f>
        <v>!!!</v>
      </c>
      <c r="F2853" s="25" t="str">
        <f aca="false">IF(OR(E2853="",E2853="!!!"),"",IF(NOT(ISNA(VLOOKUP(E2853,E$1:E2852,1,FALSE()))),"OLD",IF(AND(E2853&lt;&gt;"",E2853&lt;&gt;"!!!"),"NEW","")))</f>
        <v/>
      </c>
      <c r="G2853" s="26" t="str">
        <f aca="false">IF(OR(E2853="",E2853="!!!"),"",IF(OR(J2853=0,AND(J2853=1,K2853=1),AND(J2853=1,I2853="SBJ"),AND(J2853=1,I2853=0)),"?IN_FOCUS",IF(J2853&lt;=2,"?ACTIVATED",IF(J2853&lt;&gt;"","?FAMILIAR",IF(F2853="NEW",IF(ISNA(VLOOKUP(E2853,#REF!,1,FALSE())),"?TYPE_IDENTIFIABLE","?REFERENTIAL"),"_")))))</f>
        <v/>
      </c>
      <c r="H2853" s="27" t="str">
        <f aca="false">IF(J2853&lt;&gt;1,"",IF(I2853="SBJ","CB","?"))</f>
        <v/>
      </c>
      <c r="I2853" s="24" t="str">
        <f aca="false">IF(OR(E2853="",E2853="!!!",F2853="NEW"),"",INDEX(B19:B$2835,-1+SUMPRODUCT(MAX(ROW(E19:E$2835)*(E2853=E19:E$2835)))))</f>
        <v/>
      </c>
      <c r="J2853" s="24" t="str">
        <f aca="true">IF(OR(E2853="",E2853="!!!",F2853="NEW"),"",COUNTBLANK(OFFSET(A$1,,,SUMPRODUCT(MAX(ROW(E$2:E2853)*(E2853=E$2:E2853)))))-COUNTBLANK(OFFSET(A$1,,,SUMPRODUCT(MAX(ROW(E$1:E2852)*(E2=E$1:E2852))))))</f>
        <v/>
      </c>
      <c r="K2853" s="24" t="str">
        <f aca="false">IF(OR(E2853="",E2853="!!!",F2853="NEW"),"",INDEX(J$1:J2852,SUMPRODUCT(MAX(ROW(E$1:E2852)*(E2853=E$1:E2852)))))</f>
        <v/>
      </c>
      <c r="L2853" s="31"/>
    </row>
    <row r="2854" customFormat="false" ht="15" hidden="false" customHeight="false" outlineLevel="0" collapsed="false">
      <c r="A2854" s="20" t="s">
        <v>2041</v>
      </c>
      <c r="E2854" s="23" t="str">
        <f aca="false">IF(D2854="?OLD","!!!","")</f>
        <v/>
      </c>
      <c r="F2854" s="25" t="str">
        <f aca="false">IF(OR(E2854="",E2854="!!!"),"",IF(NOT(ISNA(VLOOKUP(E2854,E$1:E2853,1,FALSE()))),"OLD",IF(AND(E2854&lt;&gt;"",E2854&lt;&gt;"!!!"),"NEW","")))</f>
        <v/>
      </c>
      <c r="G2854" s="26" t="str">
        <f aca="false">IF(OR(E2854="",E2854="!!!"),"",IF(OR(J2854=0,AND(J2854=1,K2854=1),AND(J2854=1,I2854="SBJ"),AND(J2854=1,I2854=0)),"?IN_FOCUS",IF(J2854&lt;=2,"?ACTIVATED",IF(J2854&lt;&gt;"","?FAMILIAR",IF(F2854="NEW",IF(ISNA(VLOOKUP(E2854,#REF!,1,FALSE())),"?TYPE_IDENTIFIABLE","?REFERENTIAL"),"_")))))</f>
        <v/>
      </c>
      <c r="H2854" s="27" t="str">
        <f aca="false">IF(J2854&lt;&gt;1,"",IF(I2854="SBJ","CB","?"))</f>
        <v/>
      </c>
      <c r="I2854" s="24" t="str">
        <f aca="false">IF(OR(E2854="",E2854="!!!",F2854="NEW"),"",INDEX(B20:B$2835,-1+SUMPRODUCT(MAX(ROW(E20:E$2835)*(E2854=E20:E$2835)))))</f>
        <v/>
      </c>
      <c r="J2854" s="24" t="str">
        <f aca="true">IF(OR(E2854="",E2854="!!!",F2854="NEW"),"",COUNTBLANK(OFFSET(A$1,,,SUMPRODUCT(MAX(ROW(E$2:E2854)*(E2854=E$2:E2854)))))-COUNTBLANK(OFFSET(A$1,,,SUMPRODUCT(MAX(ROW(E$1:E2853)*(E2=E$1:E2853))))))</f>
        <v/>
      </c>
      <c r="K2854" s="24" t="str">
        <f aca="false">IF(OR(E2854="",E2854="!!!",F2854="NEW"),"",INDEX(J$1:J2853,SUMPRODUCT(MAX(ROW(E$1:E2853)*(E2854=E$1:E2853)))))</f>
        <v/>
      </c>
      <c r="L2854" s="31"/>
    </row>
    <row r="2855" customFormat="false" ht="15" hidden="false" customHeight="false" outlineLevel="0" collapsed="false">
      <c r="A2855" s="20" t="s">
        <v>1128</v>
      </c>
      <c r="E2855" s="23" t="str">
        <f aca="false">IF(D2855="?OLD","!!!","")</f>
        <v/>
      </c>
      <c r="F2855" s="25" t="str">
        <f aca="false">IF(OR(E2855="",E2855="!!!"),"",IF(NOT(ISNA(VLOOKUP(E2855,E$1:E2854,1,FALSE()))),"OLD",IF(AND(E2855&lt;&gt;"",E2855&lt;&gt;"!!!"),"NEW","")))</f>
        <v/>
      </c>
      <c r="G2855" s="26" t="str">
        <f aca="false">IF(OR(E2855="",E2855="!!!"),"",IF(OR(J2855=0,AND(J2855=1,K2855=1),AND(J2855=1,I2855="SBJ"),AND(J2855=1,I2855=0)),"?IN_FOCUS",IF(J2855&lt;=2,"?ACTIVATED",IF(J2855&lt;&gt;"","?FAMILIAR",IF(F2855="NEW",IF(ISNA(VLOOKUP(E2855,#REF!,1,FALSE())),"?TYPE_IDENTIFIABLE","?REFERENTIAL"),"_")))))</f>
        <v/>
      </c>
      <c r="H2855" s="27" t="str">
        <f aca="false">IF(J2855&lt;&gt;1,"",IF(I2855="SBJ","CB","?"))</f>
        <v/>
      </c>
      <c r="I2855" s="24" t="str">
        <f aca="false">IF(OR(E2855="",E2855="!!!",F2855="NEW"),"",INDEX(B21:B$2835,-1+SUMPRODUCT(MAX(ROW(E21:E$2835)*(E2855=E21:E$2835)))))</f>
        <v/>
      </c>
      <c r="J2855" s="24" t="str">
        <f aca="true">IF(OR(E2855="",E2855="!!!",F2855="NEW"),"",COUNTBLANK(OFFSET(A$1,,,SUMPRODUCT(MAX(ROW(E$2:E2855)*(E2855=E$2:E2855)))))-COUNTBLANK(OFFSET(A$1,,,SUMPRODUCT(MAX(ROW(E$1:E2854)*(E2=E$1:E2854))))))</f>
        <v/>
      </c>
      <c r="K2855" s="24" t="str">
        <f aca="false">IF(OR(E2855="",E2855="!!!",F2855="NEW"),"",INDEX(J$1:J2854,SUMPRODUCT(MAX(ROW(E$1:E2854)*(E2855=E$1:E2854)))))</f>
        <v/>
      </c>
      <c r="L2855" s="31"/>
    </row>
    <row r="2856" customFormat="false" ht="15" hidden="false" customHeight="false" outlineLevel="0" collapsed="false">
      <c r="A2856" s="20" t="s">
        <v>2042</v>
      </c>
      <c r="E2856" s="23" t="str">
        <f aca="false">IF(D2856="?OLD","!!!","")</f>
        <v/>
      </c>
      <c r="F2856" s="25" t="str">
        <f aca="false">IF(OR(E2856="",E2856="!!!"),"",IF(NOT(ISNA(VLOOKUP(E2856,E$1:E2855,1,FALSE()))),"OLD",IF(AND(E2856&lt;&gt;"",E2856&lt;&gt;"!!!"),"NEW","")))</f>
        <v/>
      </c>
      <c r="G2856" s="26" t="str">
        <f aca="false">IF(OR(E2856="",E2856="!!!"),"",IF(OR(J2856=0,AND(J2856=1,K2856=1),AND(J2856=1,I2856="SBJ"),AND(J2856=1,I2856=0)),"?IN_FOCUS",IF(J2856&lt;=2,"?ACTIVATED",IF(J2856&lt;&gt;"","?FAMILIAR",IF(F2856="NEW",IF(ISNA(VLOOKUP(E2856,#REF!,1,FALSE())),"?TYPE_IDENTIFIABLE","?REFERENTIAL"),"_")))))</f>
        <v/>
      </c>
      <c r="H2856" s="27" t="str">
        <f aca="false">IF(J2856&lt;&gt;1,"",IF(I2856="SBJ","CB","?"))</f>
        <v/>
      </c>
      <c r="I2856" s="24" t="str">
        <f aca="false">IF(OR(E2856="",E2856="!!!",F2856="NEW"),"",INDEX(B22:B$2835,-1+SUMPRODUCT(MAX(ROW(E22:E$2835)*(E2856=E22:E$2835)))))</f>
        <v/>
      </c>
      <c r="J2856" s="24" t="str">
        <f aca="true">IF(OR(E2856="",E2856="!!!",F2856="NEW"),"",COUNTBLANK(OFFSET(A$1,,,SUMPRODUCT(MAX(ROW(E$2:E2856)*(E2856=E$2:E2856)))))-COUNTBLANK(OFFSET(A$1,,,SUMPRODUCT(MAX(ROW(E$1:E2855)*(E2=E$1:E2855))))))</f>
        <v/>
      </c>
      <c r="K2856" s="24" t="str">
        <f aca="false">IF(OR(E2856="",E2856="!!!",F2856="NEW"),"",INDEX(J$1:J2855,SUMPRODUCT(MAX(ROW(E$1:E2855)*(E2856=E$1:E2855)))))</f>
        <v/>
      </c>
      <c r="L2856" s="31"/>
    </row>
    <row r="2857" customFormat="false" ht="15" hidden="false" customHeight="false" outlineLevel="0" collapsed="false">
      <c r="A2857" s="20" t="s">
        <v>1173</v>
      </c>
      <c r="E2857" s="23" t="str">
        <f aca="false">IF(D2857="?OLD","!!!","")</f>
        <v/>
      </c>
      <c r="F2857" s="25" t="str">
        <f aca="false">IF(OR(E2857="",E2857="!!!"),"",IF(NOT(ISNA(VLOOKUP(E2857,E$1:E2856,1,FALSE()))),"OLD",IF(AND(E2857&lt;&gt;"",E2857&lt;&gt;"!!!"),"NEW","")))</f>
        <v/>
      </c>
      <c r="G2857" s="26" t="str">
        <f aca="false">IF(OR(E2857="",E2857="!!!"),"",IF(OR(J2857=0,AND(J2857=1,K2857=1),AND(J2857=1,I2857="SBJ"),AND(J2857=1,I2857=0)),"?IN_FOCUS",IF(J2857&lt;=2,"?ACTIVATED",IF(J2857&lt;&gt;"","?FAMILIAR",IF(F2857="NEW",IF(ISNA(VLOOKUP(E2857,#REF!,1,FALSE())),"?TYPE_IDENTIFIABLE","?REFERENTIAL"),"_")))))</f>
        <v/>
      </c>
      <c r="H2857" s="27" t="str">
        <f aca="false">IF(J2857&lt;&gt;1,"",IF(I2857="SBJ","CB","?"))</f>
        <v/>
      </c>
      <c r="I2857" s="24" t="str">
        <f aca="false">IF(OR(E2857="",E2857="!!!",F2857="NEW"),"",INDEX(B23:B$2835,-1+SUMPRODUCT(MAX(ROW(E23:E$2835)*(E2857=E23:E$2835)))))</f>
        <v/>
      </c>
      <c r="J2857" s="24" t="str">
        <f aca="true">IF(OR(E2857="",E2857="!!!",F2857="NEW"),"",COUNTBLANK(OFFSET(A$1,,,SUMPRODUCT(MAX(ROW(E$2:E2857)*(E2857=E$2:E2857)))))-COUNTBLANK(OFFSET(A$1,,,SUMPRODUCT(MAX(ROW(E$1:E2856)*(E2=E$1:E2856))))))</f>
        <v/>
      </c>
      <c r="K2857" s="24" t="str">
        <f aca="false">IF(OR(E2857="",E2857="!!!",F2857="NEW"),"",INDEX(J$1:J2856,SUMPRODUCT(MAX(ROW(E$1:E2856)*(E2857=E$1:E2856)))))</f>
        <v/>
      </c>
      <c r="L2857" s="31"/>
    </row>
    <row r="2858" customFormat="false" ht="15" hidden="false" customHeight="false" outlineLevel="0" collapsed="false">
      <c r="A2858" s="20" t="s">
        <v>1109</v>
      </c>
      <c r="E2858" s="23" t="str">
        <f aca="false">IF(D2858="?OLD","!!!","")</f>
        <v/>
      </c>
      <c r="F2858" s="25" t="str">
        <f aca="false">IF(OR(E2858="",E2858="!!!"),"",IF(NOT(ISNA(VLOOKUP(E2858,E$1:E2857,1,FALSE()))),"OLD",IF(AND(E2858&lt;&gt;"",E2858&lt;&gt;"!!!"),"NEW","")))</f>
        <v/>
      </c>
      <c r="G2858" s="26" t="str">
        <f aca="false">IF(OR(E2858="",E2858="!!!"),"",IF(OR(J2858=0,AND(J2858=1,K2858=1),AND(J2858=1,I2858="SBJ"),AND(J2858=1,I2858=0)),"?IN_FOCUS",IF(J2858&lt;=2,"?ACTIVATED",IF(J2858&lt;&gt;"","?FAMILIAR",IF(F2858="NEW",IF(ISNA(VLOOKUP(E2858,#REF!,1,FALSE())),"?TYPE_IDENTIFIABLE","?REFERENTIAL"),"_")))))</f>
        <v/>
      </c>
      <c r="H2858" s="27" t="str">
        <f aca="false">IF(J2858&lt;&gt;1,"",IF(I2858="SBJ","CB","?"))</f>
        <v/>
      </c>
      <c r="I2858" s="24" t="str">
        <f aca="false">IF(OR(E2858="",E2858="!!!",F2858="NEW"),"",INDEX(B24:B$2835,-1+SUMPRODUCT(MAX(ROW(E24:E$2835)*(E2858=E24:E$2835)))))</f>
        <v/>
      </c>
      <c r="J2858" s="24" t="str">
        <f aca="true">IF(OR(E2858="",E2858="!!!",F2858="NEW"),"",COUNTBLANK(OFFSET(A$1,,,SUMPRODUCT(MAX(ROW(E$2:E2858)*(E2858=E$2:E2858)))))-COUNTBLANK(OFFSET(A$1,,,SUMPRODUCT(MAX(ROW(E$1:E2857)*(E2=E$1:E2857))))))</f>
        <v/>
      </c>
      <c r="K2858" s="24" t="str">
        <f aca="false">IF(OR(E2858="",E2858="!!!",F2858="NEW"),"",INDEX(J$1:J2857,SUMPRODUCT(MAX(ROW(E$1:E2857)*(E2858=E$1:E2857)))))</f>
        <v/>
      </c>
      <c r="L2858" s="31"/>
    </row>
    <row r="2859" customFormat="false" ht="15" hidden="false" customHeight="false" outlineLevel="0" collapsed="false">
      <c r="A2859" s="20" t="s">
        <v>1174</v>
      </c>
      <c r="B2859" s="22" t="s">
        <v>1067</v>
      </c>
      <c r="C2859" s="22" t="s">
        <v>1150</v>
      </c>
      <c r="D2859" s="22" t="s">
        <v>1060</v>
      </c>
      <c r="E2859" s="23" t="str">
        <f aca="false">IF(D2859="?OLD","!!!","")</f>
        <v>!!!</v>
      </c>
      <c r="F2859" s="25" t="str">
        <f aca="false">IF(OR(E2859="",E2859="!!!"),"",IF(NOT(ISNA(VLOOKUP(E2859,E$1:E2858,1,FALSE()))),"OLD",IF(AND(E2859&lt;&gt;"",E2859&lt;&gt;"!!!"),"NEW","")))</f>
        <v/>
      </c>
      <c r="G2859" s="26" t="str">
        <f aca="false">IF(OR(E2859="",E2859="!!!"),"",IF(OR(J2859=0,AND(J2859=1,K2859=1),AND(J2859=1,I2859="SBJ"),AND(J2859=1,I2859=0)),"?IN_FOCUS",IF(J2859&lt;=2,"?ACTIVATED",IF(J2859&lt;&gt;"","?FAMILIAR",IF(F2859="NEW",IF(ISNA(VLOOKUP(E2859,#REF!,1,FALSE())),"?TYPE_IDENTIFIABLE","?REFERENTIAL"),"_")))))</f>
        <v/>
      </c>
      <c r="H2859" s="27" t="str">
        <f aca="false">IF(J2859&lt;&gt;1,"",IF(I2859="SBJ","CB","?"))</f>
        <v/>
      </c>
      <c r="I2859" s="24" t="str">
        <f aca="false">IF(OR(E2859="",E2859="!!!",F2859="NEW"),"",INDEX(B25:B$2835,-1+SUMPRODUCT(MAX(ROW(E25:E$2835)*(E2859=E25:E$2835)))))</f>
        <v/>
      </c>
      <c r="J2859" s="24" t="str">
        <f aca="true">IF(OR(E2859="",E2859="!!!",F2859="NEW"),"",COUNTBLANK(OFFSET(A$1,,,SUMPRODUCT(MAX(ROW(E$2:E2859)*(E2859=E$2:E2859)))))-COUNTBLANK(OFFSET(A$1,,,SUMPRODUCT(MAX(ROW(E$1:E2858)*(E2=E$1:E2858))))))</f>
        <v/>
      </c>
      <c r="K2859" s="24" t="str">
        <f aca="false">IF(OR(E2859="",E2859="!!!",F2859="NEW"),"",INDEX(J$1:J2858,SUMPRODUCT(MAX(ROW(E$1:E2858)*(E2859=E$1:E2858)))))</f>
        <v/>
      </c>
      <c r="L2859" s="31"/>
    </row>
    <row r="2860" customFormat="false" ht="15" hidden="false" customHeight="false" outlineLevel="0" collapsed="false">
      <c r="A2860" s="20" t="s">
        <v>923</v>
      </c>
      <c r="E2860" s="23" t="str">
        <f aca="false">IF(D2860="?OLD","!!!","")</f>
        <v/>
      </c>
      <c r="F2860" s="25" t="str">
        <f aca="false">IF(OR(E2860="",E2860="!!!"),"",IF(NOT(ISNA(VLOOKUP(E2860,E$1:E2859,1,FALSE()))),"OLD",IF(AND(E2860&lt;&gt;"",E2860&lt;&gt;"!!!"),"NEW","")))</f>
        <v/>
      </c>
      <c r="G2860" s="26" t="str">
        <f aca="false">IF(OR(E2860="",E2860="!!!"),"",IF(OR(J2860=0,AND(J2860=1,K2860=1),AND(J2860=1,I2860="SBJ"),AND(J2860=1,I2860=0)),"?IN_FOCUS",IF(J2860&lt;=2,"?ACTIVATED",IF(J2860&lt;&gt;"","?FAMILIAR",IF(F2860="NEW",IF(ISNA(VLOOKUP(E2860,#REF!,1,FALSE())),"?TYPE_IDENTIFIABLE","?REFERENTIAL"),"_")))))</f>
        <v/>
      </c>
      <c r="H2860" s="27" t="str">
        <f aca="false">IF(J2860&lt;&gt;1,"",IF(I2860="SBJ","CB","?"))</f>
        <v/>
      </c>
      <c r="I2860" s="24" t="str">
        <f aca="false">IF(OR(E2860="",E2860="!!!",F2860="NEW"),"",INDEX(B26:B$2835,-1+SUMPRODUCT(MAX(ROW(E26:E$2835)*(E2860=E26:E$2835)))))</f>
        <v/>
      </c>
      <c r="J2860" s="24" t="str">
        <f aca="true">IF(OR(E2860="",E2860="!!!",F2860="NEW"),"",COUNTBLANK(OFFSET(A$1,,,SUMPRODUCT(MAX(ROW(E$2:E2860)*(E2860=E$2:E2860)))))-COUNTBLANK(OFFSET(A$1,,,SUMPRODUCT(MAX(ROW(E$1:E2859)*(E2=E$1:E2859))))))</f>
        <v/>
      </c>
      <c r="K2860" s="24" t="str">
        <f aca="false">IF(OR(E2860="",E2860="!!!",F2860="NEW"),"",INDEX(J$1:J2859,SUMPRODUCT(MAX(ROW(E$1:E2859)*(E2860=E$1:E2859)))))</f>
        <v/>
      </c>
      <c r="L2860" s="31"/>
    </row>
    <row r="2861" customFormat="false" ht="15" hidden="false" customHeight="false" outlineLevel="0" collapsed="false">
      <c r="A2861" s="20"/>
    </row>
    <row r="2862" customFormat="false" ht="15" hidden="false" customHeight="false" outlineLevel="0" collapsed="false">
      <c r="A2862" s="20" t="s">
        <v>1301</v>
      </c>
      <c r="E2862" s="23" t="str">
        <f aca="false">IF(D2862="?OLD","!!!","")</f>
        <v/>
      </c>
      <c r="F2862" s="25" t="str">
        <f aca="false">IF(OR(E2862="",E2862="!!!"),"",IF(NOT(ISNA(VLOOKUP(E2862,E$1:E2861,1,FALSE()))),"OLD",IF(AND(E2862&lt;&gt;"",E2862&lt;&gt;"!!!"),"NEW","")))</f>
        <v/>
      </c>
      <c r="G2862" s="26" t="str">
        <f aca="false">IF(OR(E2862="",E2862="!!!"),"",IF(OR(J2862=0,AND(J2862=1,K2862=1),AND(J2862=1,I2862="SBJ"),AND(J2862=1,I2862=0)),"?IN_FOCUS",IF(J2862&lt;=2,"?ACTIVATED",IF(J2862&lt;&gt;"","?FAMILIAR",IF(F2862="NEW",IF(ISNA(VLOOKUP(E2862,#REF!,1,FALSE())),"?TYPE_IDENTIFIABLE","?REFERENTIAL"),"_")))))</f>
        <v/>
      </c>
      <c r="H2862" s="27" t="str">
        <f aca="false">IF(J2862&lt;&gt;1,"",IF(I2862="SBJ","CB","?"))</f>
        <v/>
      </c>
      <c r="I2862" s="24" t="str">
        <f aca="false">IF(OR(E2862="",E2862="!!!",F2862="NEW"),"",INDEX(B2:B$2861,-1+SUMPRODUCT(MAX(ROW(E2:E$2861)*(E2862=E2:E$2861)))))</f>
        <v/>
      </c>
      <c r="J2862" s="24" t="str">
        <f aca="true">IF(OR(E2862="",E2862="!!!",F2862="NEW"),"",COUNTBLANK(OFFSET(A$1,,,SUMPRODUCT(MAX(ROW(E$2:E2862)*(E2862=E$2:E2862)))))-COUNTBLANK(OFFSET(A$1,,,SUMPRODUCT(MAX(ROW(E$1:E2861)*(E2=E$1:E2861))))))</f>
        <v/>
      </c>
      <c r="K2862" s="24" t="str">
        <f aca="false">IF(OR(E2862="",E2862="!!!",F2862="NEW"),"",INDEX(J$1:J2861,SUMPRODUCT(MAX(ROW(E$1:E2861)*(E2862=E$1:E2861)))))</f>
        <v/>
      </c>
      <c r="L2862" s="31"/>
    </row>
    <row r="2863" customFormat="false" ht="15" hidden="false" customHeight="false" outlineLevel="0" collapsed="false">
      <c r="A2863" s="20" t="s">
        <v>2043</v>
      </c>
    </row>
    <row r="2864" customFormat="false" ht="15" hidden="false" customHeight="false" outlineLevel="0" collapsed="false">
      <c r="A2864" s="20" t="s">
        <v>607</v>
      </c>
      <c r="E2864" s="23" t="str">
        <f aca="false">IF(D2864="?OLD","!!!","")</f>
        <v/>
      </c>
      <c r="F2864" s="25" t="str">
        <f aca="false">IF(OR(E2864="",E2864="!!!"),"",IF(NOT(ISNA(VLOOKUP(E2864,E$1:E2863,1,FALSE()))),"OLD",IF(AND(E2864&lt;&gt;"",E2864&lt;&gt;"!!!"),"NEW","")))</f>
        <v/>
      </c>
      <c r="G2864" s="26" t="str">
        <f aca="false">IF(OR(E2864="",E2864="!!!"),"",IF(OR(J2864=0,AND(J2864=1,K2864=1),AND(J2864=1,I2864="SBJ"),AND(J2864=1,I2864=0)),"?IN_FOCUS",IF(J2864&lt;=2,"?ACTIVATED",IF(J2864&lt;&gt;"","?FAMILIAR",IF(F2864="NEW",IF(ISNA(VLOOKUP(E2864,#REF!,1,FALSE())),"?TYPE_IDENTIFIABLE","?REFERENTIAL"),"_")))))</f>
        <v/>
      </c>
      <c r="H2864" s="27" t="str">
        <f aca="false">IF(J2864&lt;&gt;1,"",IF(I2864="SBJ","CB","?"))</f>
        <v/>
      </c>
      <c r="I2864" s="24" t="str">
        <f aca="false">IF(OR(E2864="",E2864="!!!",F2864="NEW"),"",INDEX(B2:B$2863,-1+SUMPRODUCT(MAX(ROW(E2:E$2863)*(E2864=E2:E$2863)))))</f>
        <v/>
      </c>
      <c r="J2864" s="24" t="str">
        <f aca="true">IF(OR(E2864="",E2864="!!!",F2864="NEW"),"",COUNTBLANK(OFFSET(A$1,,,SUMPRODUCT(MAX(ROW(E$2:E2864)*(E2864=E$2:E2864)))))-COUNTBLANK(OFFSET(A$1,,,SUMPRODUCT(MAX(ROW(E$1:E2863)*(E2=E$1:E2863))))))</f>
        <v/>
      </c>
      <c r="K2864" s="24" t="str">
        <f aca="false">IF(OR(E2864="",E2864="!!!",F2864="NEW"),"",INDEX(J$1:J2863,SUMPRODUCT(MAX(ROW(E$1:E2863)*(E2864=E$1:E2863)))))</f>
        <v/>
      </c>
      <c r="L2864" s="31"/>
    </row>
    <row r="2865" customFormat="false" ht="15" hidden="false" customHeight="false" outlineLevel="0" collapsed="false">
      <c r="A2865" s="20" t="s">
        <v>2044</v>
      </c>
      <c r="B2865" s="22" t="s">
        <v>1105</v>
      </c>
      <c r="C2865" s="22" t="s">
        <v>1160</v>
      </c>
      <c r="E2865" s="23" t="str">
        <f aca="false">IF(D2865="?OLD","!!!","")</f>
        <v/>
      </c>
      <c r="F2865" s="25" t="str">
        <f aca="false">IF(OR(E2865="",E2865="!!!"),"",IF(NOT(ISNA(VLOOKUP(E2865,E$1:E2864,1,FALSE()))),"OLD",IF(AND(E2865&lt;&gt;"",E2865&lt;&gt;"!!!"),"NEW","")))</f>
        <v/>
      </c>
      <c r="G2865" s="26" t="str">
        <f aca="false">IF(OR(E2865="",E2865="!!!"),"",IF(OR(J2865=0,AND(J2865=1,K2865=1),AND(J2865=1,I2865="SBJ"),AND(J2865=1,I2865=0)),"?IN_FOCUS",IF(J2865&lt;=2,"?ACTIVATED",IF(J2865&lt;&gt;"","?FAMILIAR",IF(F2865="NEW",IF(ISNA(VLOOKUP(E2865,#REF!,1,FALSE())),"?TYPE_IDENTIFIABLE","?REFERENTIAL"),"_")))))</f>
        <v/>
      </c>
      <c r="H2865" s="27" t="str">
        <f aca="false">IF(J2865&lt;&gt;1,"",IF(I2865="SBJ","CB","?"))</f>
        <v/>
      </c>
      <c r="I2865" s="24" t="str">
        <f aca="false">IF(OR(E2865="",E2865="!!!",F2865="NEW"),"",INDEX(B3:B$2863,-1+SUMPRODUCT(MAX(ROW(E3:E$2863)*(E2865=E3:E$2863)))))</f>
        <v/>
      </c>
      <c r="J2865" s="24" t="str">
        <f aca="true">IF(OR(E2865="",E2865="!!!",F2865="NEW"),"",COUNTBLANK(OFFSET(A$1,,,SUMPRODUCT(MAX(ROW(E$2:E2865)*(E2865=E$2:E2865)))))-COUNTBLANK(OFFSET(A$1,,,SUMPRODUCT(MAX(ROW(E$1:E2864)*(E2=E$1:E2864))))))</f>
        <v/>
      </c>
      <c r="K2865" s="24" t="str">
        <f aca="false">IF(OR(E2865="",E2865="!!!",F2865="NEW"),"",INDEX(J$1:J2864,SUMPRODUCT(MAX(ROW(E$1:E2864)*(E2865=E$1:E2864)))))</f>
        <v/>
      </c>
      <c r="L2865" s="31"/>
    </row>
    <row r="2866" customFormat="false" ht="15" hidden="false" customHeight="false" outlineLevel="0" collapsed="false">
      <c r="A2866" s="20" t="s">
        <v>1076</v>
      </c>
      <c r="E2866" s="23" t="str">
        <f aca="false">IF(D2866="?OLD","!!!","")</f>
        <v/>
      </c>
      <c r="F2866" s="25" t="str">
        <f aca="false">IF(OR(E2866="",E2866="!!!"),"",IF(NOT(ISNA(VLOOKUP(E2866,E$1:E2865,1,FALSE()))),"OLD",IF(AND(E2866&lt;&gt;"",E2866&lt;&gt;"!!!"),"NEW","")))</f>
        <v/>
      </c>
      <c r="G2866" s="26" t="str">
        <f aca="false">IF(OR(E2866="",E2866="!!!"),"",IF(OR(J2866=0,AND(J2866=1,K2866=1),AND(J2866=1,I2866="SBJ"),AND(J2866=1,I2866=0)),"?IN_FOCUS",IF(J2866&lt;=2,"?ACTIVATED",IF(J2866&lt;&gt;"","?FAMILIAR",IF(F2866="NEW",IF(ISNA(VLOOKUP(E2866,#REF!,1,FALSE())),"?TYPE_IDENTIFIABLE","?REFERENTIAL"),"_")))))</f>
        <v/>
      </c>
      <c r="H2866" s="27" t="str">
        <f aca="false">IF(J2866&lt;&gt;1,"",IF(I2866="SBJ","CB","?"))</f>
        <v/>
      </c>
      <c r="I2866" s="24" t="str">
        <f aca="false">IF(OR(E2866="",E2866="!!!",F2866="NEW"),"",INDEX(B4:B$2863,-1+SUMPRODUCT(MAX(ROW(E4:E$2863)*(E2866=E4:E$2863)))))</f>
        <v/>
      </c>
      <c r="J2866" s="24" t="str">
        <f aca="true">IF(OR(E2866="",E2866="!!!",F2866="NEW"),"",COUNTBLANK(OFFSET(A$1,,,SUMPRODUCT(MAX(ROW(E$2:E2866)*(E2866=E$2:E2866)))))-COUNTBLANK(OFFSET(A$1,,,SUMPRODUCT(MAX(ROW(E$1:E2865)*(E2=E$1:E2865))))))</f>
        <v/>
      </c>
      <c r="K2866" s="24" t="str">
        <f aca="false">IF(OR(E2866="",E2866="!!!",F2866="NEW"),"",INDEX(J$1:J2865,SUMPRODUCT(MAX(ROW(E$1:E2865)*(E2866=E$1:E2865)))))</f>
        <v/>
      </c>
      <c r="L2866" s="31"/>
    </row>
    <row r="2867" customFormat="false" ht="15" hidden="false" customHeight="false" outlineLevel="0" collapsed="false">
      <c r="A2867" s="20" t="s">
        <v>607</v>
      </c>
      <c r="E2867" s="23" t="str">
        <f aca="false">IF(D2867="?OLD","!!!","")</f>
        <v/>
      </c>
      <c r="F2867" s="25" t="str">
        <f aca="false">IF(OR(E2867="",E2867="!!!"),"",IF(NOT(ISNA(VLOOKUP(E2867,E$1:E2866,1,FALSE()))),"OLD",IF(AND(E2867&lt;&gt;"",E2867&lt;&gt;"!!!"),"NEW","")))</f>
        <v/>
      </c>
      <c r="G2867" s="26" t="str">
        <f aca="false">IF(OR(E2867="",E2867="!!!"),"",IF(OR(J2867=0,AND(J2867=1,K2867=1),AND(J2867=1,I2867="SBJ"),AND(J2867=1,I2867=0)),"?IN_FOCUS",IF(J2867&lt;=2,"?ACTIVATED",IF(J2867&lt;&gt;"","?FAMILIAR",IF(F2867="NEW",IF(ISNA(VLOOKUP(E2867,#REF!,1,FALSE())),"?TYPE_IDENTIFIABLE","?REFERENTIAL"),"_")))))</f>
        <v/>
      </c>
      <c r="H2867" s="27" t="str">
        <f aca="false">IF(J2867&lt;&gt;1,"",IF(I2867="SBJ","CB","?"))</f>
        <v/>
      </c>
      <c r="I2867" s="24" t="str">
        <f aca="false">IF(OR(E2867="",E2867="!!!",F2867="NEW"),"",INDEX(B5:B$2863,-1+SUMPRODUCT(MAX(ROW(E5:E$2863)*(E2867=E5:E$2863)))))</f>
        <v/>
      </c>
      <c r="J2867" s="24" t="str">
        <f aca="true">IF(OR(E2867="",E2867="!!!",F2867="NEW"),"",COUNTBLANK(OFFSET(A$1,,,SUMPRODUCT(MAX(ROW(E$2:E2867)*(E2867=E$2:E2867)))))-COUNTBLANK(OFFSET(A$1,,,SUMPRODUCT(MAX(ROW(E$1:E2866)*(E2=E$1:E2866))))))</f>
        <v/>
      </c>
      <c r="K2867" s="24" t="str">
        <f aca="false">IF(OR(E2867="",E2867="!!!",F2867="NEW"),"",INDEX(J$1:J2866,SUMPRODUCT(MAX(ROW(E$1:E2866)*(E2867=E$1:E2866)))))</f>
        <v/>
      </c>
      <c r="L2867" s="31"/>
    </row>
    <row r="2868" customFormat="false" ht="15" hidden="false" customHeight="false" outlineLevel="0" collapsed="false">
      <c r="A2868" s="20" t="s">
        <v>1162</v>
      </c>
      <c r="B2868" s="22" t="s">
        <v>1058</v>
      </c>
      <c r="C2868" s="22" t="s">
        <v>1082</v>
      </c>
      <c r="D2868" s="22" t="s">
        <v>1060</v>
      </c>
      <c r="E2868" s="23" t="str">
        <f aca="false">IF(D2868="?OLD","!!!","")</f>
        <v>!!!</v>
      </c>
      <c r="F2868" s="25" t="str">
        <f aca="false">IF(OR(E2868="",E2868="!!!"),"",IF(NOT(ISNA(VLOOKUP(E2868,E$1:E2867,1,FALSE()))),"OLD",IF(AND(E2868&lt;&gt;"",E2868&lt;&gt;"!!!"),"NEW","")))</f>
        <v/>
      </c>
      <c r="G2868" s="26" t="str">
        <f aca="false">IF(OR(E2868="",E2868="!!!"),"",IF(OR(J2868=0,AND(J2868=1,K2868=1),AND(J2868=1,I2868="SBJ"),AND(J2868=1,I2868=0)),"?IN_FOCUS",IF(J2868&lt;=2,"?ACTIVATED",IF(J2868&lt;&gt;"","?FAMILIAR",IF(F2868="NEW",IF(ISNA(VLOOKUP(E2868,#REF!,1,FALSE())),"?TYPE_IDENTIFIABLE","?REFERENTIAL"),"_")))))</f>
        <v/>
      </c>
      <c r="H2868" s="27" t="str">
        <f aca="false">IF(J2868&lt;&gt;1,"",IF(I2868="SBJ","CB","?"))</f>
        <v/>
      </c>
      <c r="I2868" s="24" t="str">
        <f aca="false">IF(OR(E2868="",E2868="!!!",F2868="NEW"),"",INDEX(B6:B$2863,-1+SUMPRODUCT(MAX(ROW(E6:E$2863)*(E2868=E6:E$2863)))))</f>
        <v/>
      </c>
      <c r="J2868" s="24" t="str">
        <f aca="true">IF(OR(E2868="",E2868="!!!",F2868="NEW"),"",COUNTBLANK(OFFSET(A$1,,,SUMPRODUCT(MAX(ROW(E$2:E2868)*(E2868=E$2:E2868)))))-COUNTBLANK(OFFSET(A$1,,,SUMPRODUCT(MAX(ROW(E$1:E2867)*(E2=E$1:E2867))))))</f>
        <v/>
      </c>
      <c r="K2868" s="24" t="str">
        <f aca="false">IF(OR(E2868="",E2868="!!!",F2868="NEW"),"",INDEX(J$1:J2867,SUMPRODUCT(MAX(ROW(E$1:E2867)*(E2868=E$1:E2867)))))</f>
        <v/>
      </c>
      <c r="L2868" s="31"/>
    </row>
    <row r="2869" customFormat="false" ht="15" hidden="false" customHeight="false" outlineLevel="0" collapsed="false">
      <c r="A2869" s="20" t="s">
        <v>1194</v>
      </c>
      <c r="E2869" s="23" t="str">
        <f aca="false">IF(D2869="?OLD","!!!","")</f>
        <v/>
      </c>
      <c r="F2869" s="25" t="str">
        <f aca="false">IF(OR(E2869="",E2869="!!!"),"",IF(NOT(ISNA(VLOOKUP(E2869,E$1:E2868,1,FALSE()))),"OLD",IF(AND(E2869&lt;&gt;"",E2869&lt;&gt;"!!!"),"NEW","")))</f>
        <v/>
      </c>
      <c r="G2869" s="26" t="str">
        <f aca="false">IF(OR(E2869="",E2869="!!!"),"",IF(OR(J2869=0,AND(J2869=1,K2869=1),AND(J2869=1,I2869="SBJ"),AND(J2869=1,I2869=0)),"?IN_FOCUS",IF(J2869&lt;=2,"?ACTIVATED",IF(J2869&lt;&gt;"","?FAMILIAR",IF(F2869="NEW",IF(ISNA(VLOOKUP(E2869,#REF!,1,FALSE())),"?TYPE_IDENTIFIABLE","?REFERENTIAL"),"_")))))</f>
        <v/>
      </c>
      <c r="H2869" s="27" t="str">
        <f aca="false">IF(J2869&lt;&gt;1,"",IF(I2869="SBJ","CB","?"))</f>
        <v/>
      </c>
      <c r="I2869" s="24" t="str">
        <f aca="false">IF(OR(E2869="",E2869="!!!",F2869="NEW"),"",INDEX(B7:B$2863,-1+SUMPRODUCT(MAX(ROW(E7:E$2863)*(E2869=E7:E$2863)))))</f>
        <v/>
      </c>
      <c r="J2869" s="24" t="str">
        <f aca="true">IF(OR(E2869="",E2869="!!!",F2869="NEW"),"",COUNTBLANK(OFFSET(A$1,,,SUMPRODUCT(MAX(ROW(E$2:E2869)*(E2869=E$2:E2869)))))-COUNTBLANK(OFFSET(A$1,,,SUMPRODUCT(MAX(ROW(E$1:E2868)*(E2=E$1:E2868))))))</f>
        <v/>
      </c>
      <c r="K2869" s="24" t="str">
        <f aca="false">IF(OR(E2869="",E2869="!!!",F2869="NEW"),"",INDEX(J$1:J2868,SUMPRODUCT(MAX(ROW(E$1:E2868)*(E2869=E$1:E2868)))))</f>
        <v/>
      </c>
      <c r="L2869" s="31"/>
    </row>
    <row r="2870" customFormat="false" ht="15" hidden="false" customHeight="false" outlineLevel="0" collapsed="false">
      <c r="A2870" s="20" t="s">
        <v>923</v>
      </c>
      <c r="E2870" s="23" t="str">
        <f aca="false">IF(D2870="?OLD","!!!","")</f>
        <v/>
      </c>
      <c r="F2870" s="25" t="str">
        <f aca="false">IF(OR(E2870="",E2870="!!!"),"",IF(NOT(ISNA(VLOOKUP(E2870,E$1:E2869,1,FALSE()))),"OLD",IF(AND(E2870&lt;&gt;"",E2870&lt;&gt;"!!!"),"NEW","")))</f>
        <v/>
      </c>
      <c r="G2870" s="26" t="str">
        <f aca="false">IF(OR(E2870="",E2870="!!!"),"",IF(OR(J2870=0,AND(J2870=1,K2870=1),AND(J2870=1,I2870="SBJ"),AND(J2870=1,I2870=0)),"?IN_FOCUS",IF(J2870&lt;=2,"?ACTIVATED",IF(J2870&lt;&gt;"","?FAMILIAR",IF(F2870="NEW",IF(ISNA(VLOOKUP(E2870,#REF!,1,FALSE())),"?TYPE_IDENTIFIABLE","?REFERENTIAL"),"_")))))</f>
        <v/>
      </c>
      <c r="H2870" s="27" t="str">
        <f aca="false">IF(J2870&lt;&gt;1,"",IF(I2870="SBJ","CB","?"))</f>
        <v/>
      </c>
      <c r="I2870" s="24" t="str">
        <f aca="false">IF(OR(E2870="",E2870="!!!",F2870="NEW"),"",INDEX(B8:B$2863,-1+SUMPRODUCT(MAX(ROW(E8:E$2863)*(E2870=E8:E$2863)))))</f>
        <v/>
      </c>
      <c r="J2870" s="24" t="str">
        <f aca="true">IF(OR(E2870="",E2870="!!!",F2870="NEW"),"",COUNTBLANK(OFFSET(A$1,,,SUMPRODUCT(MAX(ROW(E$2:E2870)*(E2870=E$2:E2870)))))-COUNTBLANK(OFFSET(A$1,,,SUMPRODUCT(MAX(ROW(E$1:E2869)*(E2=E$1:E2869))))))</f>
        <v/>
      </c>
      <c r="K2870" s="24" t="str">
        <f aca="false">IF(OR(E2870="",E2870="!!!",F2870="NEW"),"",INDEX(J$1:J2869,SUMPRODUCT(MAX(ROW(E$1:E2869)*(E2870=E$1:E2869)))))</f>
        <v/>
      </c>
      <c r="L2870" s="31"/>
    </row>
    <row r="2871" customFormat="false" ht="15" hidden="false" customHeight="false" outlineLevel="0" collapsed="false">
      <c r="A2871" s="20"/>
    </row>
    <row r="2872" customFormat="false" ht="15" hidden="false" customHeight="false" outlineLevel="0" collapsed="false">
      <c r="A2872" s="20" t="s">
        <v>1301</v>
      </c>
      <c r="E2872" s="23" t="str">
        <f aca="false">IF(D2872="?OLD","!!!","")</f>
        <v/>
      </c>
      <c r="F2872" s="25" t="str">
        <f aca="false">IF(OR(E2872="",E2872="!!!"),"",IF(NOT(ISNA(VLOOKUP(E2872,E$1:E2871,1,FALSE()))),"OLD",IF(AND(E2872&lt;&gt;"",E2872&lt;&gt;"!!!"),"NEW","")))</f>
        <v/>
      </c>
      <c r="G2872" s="26" t="str">
        <f aca="false">IF(OR(E2872="",E2872="!!!"),"",IF(OR(J2872=0,AND(J2872=1,K2872=1),AND(J2872=1,I2872="SBJ"),AND(J2872=1,I2872=0)),"?IN_FOCUS",IF(J2872&lt;=2,"?ACTIVATED",IF(J2872&lt;&gt;"","?FAMILIAR",IF(F2872="NEW",IF(ISNA(VLOOKUP(E2872,#REF!,1,FALSE())),"?TYPE_IDENTIFIABLE","?REFERENTIAL"),"_")))))</f>
        <v/>
      </c>
      <c r="H2872" s="27" t="str">
        <f aca="false">IF(J2872&lt;&gt;1,"",IF(I2872="SBJ","CB","?"))</f>
        <v/>
      </c>
      <c r="I2872" s="24" t="str">
        <f aca="false">IF(OR(E2872="",E2872="!!!",F2872="NEW"),"",INDEX(B2:B$2871,-1+SUMPRODUCT(MAX(ROW(E2:E$2871)*(E2872=E2:E$2871)))))</f>
        <v/>
      </c>
      <c r="J2872" s="24" t="str">
        <f aca="true">IF(OR(E2872="",E2872="!!!",F2872="NEW"),"",COUNTBLANK(OFFSET(A$1,,,SUMPRODUCT(MAX(ROW(E$2:E2872)*(E2872=E$2:E2872)))))-COUNTBLANK(OFFSET(A$1,,,SUMPRODUCT(MAX(ROW(E$1:E2871)*(E2=E$1:E2871))))))</f>
        <v/>
      </c>
      <c r="K2872" s="24" t="str">
        <f aca="false">IF(OR(E2872="",E2872="!!!",F2872="NEW"),"",INDEX(J$1:J2871,SUMPRODUCT(MAX(ROW(E$1:E2871)*(E2872=E$1:E2871)))))</f>
        <v/>
      </c>
      <c r="L2872" s="31"/>
    </row>
    <row r="2873" customFormat="false" ht="15" hidden="false" customHeight="false" outlineLevel="0" collapsed="false">
      <c r="A2873" s="20" t="s">
        <v>2045</v>
      </c>
    </row>
    <row r="2874" customFormat="false" ht="15" hidden="false" customHeight="false" outlineLevel="0" collapsed="false">
      <c r="A2874" s="20" t="s">
        <v>607</v>
      </c>
      <c r="E2874" s="23" t="str">
        <f aca="false">IF(D2874="?OLD","!!!","")</f>
        <v/>
      </c>
      <c r="F2874" s="25" t="str">
        <f aca="false">IF(OR(E2874="",E2874="!!!"),"",IF(NOT(ISNA(VLOOKUP(E2874,E$1:E2873,1,FALSE()))),"OLD",IF(AND(E2874&lt;&gt;"",E2874&lt;&gt;"!!!"),"NEW","")))</f>
        <v/>
      </c>
      <c r="G2874" s="26" t="str">
        <f aca="false">IF(OR(E2874="",E2874="!!!"),"",IF(OR(J2874=0,AND(J2874=1,K2874=1),AND(J2874=1,I2874="SBJ"),AND(J2874=1,I2874=0)),"?IN_FOCUS",IF(J2874&lt;=2,"?ACTIVATED",IF(J2874&lt;&gt;"","?FAMILIAR",IF(F2874="NEW",IF(ISNA(VLOOKUP(E2874,#REF!,1,FALSE())),"?TYPE_IDENTIFIABLE","?REFERENTIAL"),"_")))))</f>
        <v/>
      </c>
      <c r="H2874" s="27" t="str">
        <f aca="false">IF(J2874&lt;&gt;1,"",IF(I2874="SBJ","CB","?"))</f>
        <v/>
      </c>
      <c r="I2874" s="24" t="str">
        <f aca="false">IF(OR(E2874="",E2874="!!!",F2874="NEW"),"",INDEX(B2:B$2873,-1+SUMPRODUCT(MAX(ROW(E2:E$2873)*(E2874=E2:E$2873)))))</f>
        <v/>
      </c>
      <c r="J2874" s="24" t="str">
        <f aca="true">IF(OR(E2874="",E2874="!!!",F2874="NEW"),"",COUNTBLANK(OFFSET(A$1,,,SUMPRODUCT(MAX(ROW(E$2:E2874)*(E2874=E$2:E2874)))))-COUNTBLANK(OFFSET(A$1,,,SUMPRODUCT(MAX(ROW(E$1:E2873)*(E2=E$1:E2873))))))</f>
        <v/>
      </c>
      <c r="K2874" s="24" t="str">
        <f aca="false">IF(OR(E2874="",E2874="!!!",F2874="NEW"),"",INDEX(J$1:J2873,SUMPRODUCT(MAX(ROW(E$1:E2873)*(E2874=E$1:E2873)))))</f>
        <v/>
      </c>
      <c r="L2874" s="31"/>
    </row>
    <row r="2875" customFormat="false" ht="15" hidden="false" customHeight="false" outlineLevel="0" collapsed="false">
      <c r="A2875" s="20" t="s">
        <v>1345</v>
      </c>
      <c r="E2875" s="23" t="str">
        <f aca="false">IF(D2875="?OLD","!!!","")</f>
        <v/>
      </c>
      <c r="F2875" s="25" t="str">
        <f aca="false">IF(OR(E2875="",E2875="!!!"),"",IF(NOT(ISNA(VLOOKUP(E2875,E$1:E2874,1,FALSE()))),"OLD",IF(AND(E2875&lt;&gt;"",E2875&lt;&gt;"!!!"),"NEW","")))</f>
        <v/>
      </c>
      <c r="G2875" s="26" t="str">
        <f aca="false">IF(OR(E2875="",E2875="!!!"),"",IF(OR(J2875=0,AND(J2875=1,K2875=1),AND(J2875=1,I2875="SBJ"),AND(J2875=1,I2875=0)),"?IN_FOCUS",IF(J2875&lt;=2,"?ACTIVATED",IF(J2875&lt;&gt;"","?FAMILIAR",IF(F2875="NEW",IF(ISNA(VLOOKUP(E2875,#REF!,1,FALSE())),"?TYPE_IDENTIFIABLE","?REFERENTIAL"),"_")))))</f>
        <v/>
      </c>
      <c r="H2875" s="27" t="str">
        <f aca="false">IF(J2875&lt;&gt;1,"",IF(I2875="SBJ","CB","?"))</f>
        <v/>
      </c>
      <c r="I2875" s="24" t="str">
        <f aca="false">IF(OR(E2875="",E2875="!!!",F2875="NEW"),"",INDEX(B3:B$2873,-1+SUMPRODUCT(MAX(ROW(E3:E$2873)*(E2875=E3:E$2873)))))</f>
        <v/>
      </c>
      <c r="J2875" s="24" t="str">
        <f aca="true">IF(OR(E2875="",E2875="!!!",F2875="NEW"),"",COUNTBLANK(OFFSET(A$1,,,SUMPRODUCT(MAX(ROW(E$2:E2875)*(E2875=E$2:E2875)))))-COUNTBLANK(OFFSET(A$1,,,SUMPRODUCT(MAX(ROW(E$1:E2874)*(E2=E$1:E2874))))))</f>
        <v/>
      </c>
      <c r="K2875" s="24" t="str">
        <f aca="false">IF(OR(E2875="",E2875="!!!",F2875="NEW"),"",INDEX(J$1:J2874,SUMPRODUCT(MAX(ROW(E$1:E2874)*(E2875=E$1:E2874)))))</f>
        <v/>
      </c>
      <c r="L2875" s="31"/>
    </row>
    <row r="2876" customFormat="false" ht="15" hidden="false" customHeight="false" outlineLevel="0" collapsed="false">
      <c r="A2876" s="20" t="s">
        <v>2046</v>
      </c>
      <c r="E2876" s="23" t="str">
        <f aca="false">IF(D2876="?OLD","!!!","")</f>
        <v/>
      </c>
      <c r="F2876" s="25" t="str">
        <f aca="false">IF(OR(E2876="",E2876="!!!"),"",IF(NOT(ISNA(VLOOKUP(E2876,E$1:E2875,1,FALSE()))),"OLD",IF(AND(E2876&lt;&gt;"",E2876&lt;&gt;"!!!"),"NEW","")))</f>
        <v/>
      </c>
      <c r="G2876" s="26" t="str">
        <f aca="false">IF(OR(E2876="",E2876="!!!"),"",IF(OR(J2876=0,AND(J2876=1,K2876=1),AND(J2876=1,I2876="SBJ"),AND(J2876=1,I2876=0)),"?IN_FOCUS",IF(J2876&lt;=2,"?ACTIVATED",IF(J2876&lt;&gt;"","?FAMILIAR",IF(F2876="NEW",IF(ISNA(VLOOKUP(E2876,#REF!,1,FALSE())),"?TYPE_IDENTIFIABLE","?REFERENTIAL"),"_")))))</f>
        <v/>
      </c>
      <c r="H2876" s="27" t="str">
        <f aca="false">IF(J2876&lt;&gt;1,"",IF(I2876="SBJ","CB","?"))</f>
        <v/>
      </c>
      <c r="I2876" s="24" t="str">
        <f aca="false">IF(OR(E2876="",E2876="!!!",F2876="NEW"),"",INDEX(B4:B$2873,-1+SUMPRODUCT(MAX(ROW(E4:E$2873)*(E2876=E4:E$2873)))))</f>
        <v/>
      </c>
      <c r="J2876" s="24" t="str">
        <f aca="true">IF(OR(E2876="",E2876="!!!",F2876="NEW"),"",COUNTBLANK(OFFSET(A$1,,,SUMPRODUCT(MAX(ROW(E$2:E2876)*(E2876=E$2:E2876)))))-COUNTBLANK(OFFSET(A$1,,,SUMPRODUCT(MAX(ROW(E$1:E2875)*(E2=E$1:E2875))))))</f>
        <v/>
      </c>
      <c r="K2876" s="24" t="str">
        <f aca="false">IF(OR(E2876="",E2876="!!!",F2876="NEW"),"",INDEX(J$1:J2875,SUMPRODUCT(MAX(ROW(E$1:E2875)*(E2876=E$1:E2875)))))</f>
        <v/>
      </c>
      <c r="L2876" s="31"/>
    </row>
    <row r="2877" customFormat="false" ht="15" hidden="false" customHeight="false" outlineLevel="0" collapsed="false">
      <c r="A2877" s="20" t="s">
        <v>2047</v>
      </c>
      <c r="B2877" s="22" t="s">
        <v>1058</v>
      </c>
      <c r="C2877" s="22" t="s">
        <v>1059</v>
      </c>
      <c r="D2877" s="22" t="s">
        <v>1060</v>
      </c>
      <c r="E2877" s="23" t="str">
        <f aca="false">IF(D2877="?OLD","!!!","")</f>
        <v>!!!</v>
      </c>
      <c r="F2877" s="25" t="str">
        <f aca="false">IF(OR(E2877="",E2877="!!!"),"",IF(NOT(ISNA(VLOOKUP(E2877,E$1:E2876,1,FALSE()))),"OLD",IF(AND(E2877&lt;&gt;"",E2877&lt;&gt;"!!!"),"NEW","")))</f>
        <v/>
      </c>
      <c r="G2877" s="26" t="str">
        <f aca="false">IF(OR(E2877="",E2877="!!!"),"",IF(OR(J2877=0,AND(J2877=1,K2877=1),AND(J2877=1,I2877="SBJ"),AND(J2877=1,I2877=0)),"?IN_FOCUS",IF(J2877&lt;=2,"?ACTIVATED",IF(J2877&lt;&gt;"","?FAMILIAR",IF(F2877="NEW",IF(ISNA(VLOOKUP(E2877,#REF!,1,FALSE())),"?TYPE_IDENTIFIABLE","?REFERENTIAL"),"_")))))</f>
        <v/>
      </c>
      <c r="H2877" s="27" t="str">
        <f aca="false">IF(J2877&lt;&gt;1,"",IF(I2877="SBJ","CB","?"))</f>
        <v/>
      </c>
      <c r="I2877" s="24" t="str">
        <f aca="false">IF(OR(E2877="",E2877="!!!",F2877="NEW"),"",INDEX(B5:B$2873,-1+SUMPRODUCT(MAX(ROW(E5:E$2873)*(E2877=E5:E$2873)))))</f>
        <v/>
      </c>
      <c r="J2877" s="24" t="str">
        <f aca="true">IF(OR(E2877="",E2877="!!!",F2877="NEW"),"",COUNTBLANK(OFFSET(A$1,,,SUMPRODUCT(MAX(ROW(E$2:E2877)*(E2877=E$2:E2877)))))-COUNTBLANK(OFFSET(A$1,,,SUMPRODUCT(MAX(ROW(E$1:E2876)*(E2=E$1:E2876))))))</f>
        <v/>
      </c>
      <c r="K2877" s="24" t="str">
        <f aca="false">IF(OR(E2877="",E2877="!!!",F2877="NEW"),"",INDEX(J$1:J2876,SUMPRODUCT(MAX(ROW(E$1:E2876)*(E2877=E$1:E2876)))))</f>
        <v/>
      </c>
      <c r="L2877" s="31"/>
    </row>
    <row r="2878" customFormat="false" ht="15" hidden="false" customHeight="false" outlineLevel="0" collapsed="false">
      <c r="A2878" s="20" t="s">
        <v>1064</v>
      </c>
      <c r="E2878" s="23" t="str">
        <f aca="false">IF(D2878="?OLD","!!!","")</f>
        <v/>
      </c>
      <c r="F2878" s="25" t="str">
        <f aca="false">IF(OR(E2878="",E2878="!!!"),"",IF(NOT(ISNA(VLOOKUP(E2878,E$1:E2877,1,FALSE()))),"OLD",IF(AND(E2878&lt;&gt;"",E2878&lt;&gt;"!!!"),"NEW","")))</f>
        <v/>
      </c>
      <c r="G2878" s="26" t="str">
        <f aca="false">IF(OR(E2878="",E2878="!!!"),"",IF(OR(J2878=0,AND(J2878=1,K2878=1),AND(J2878=1,I2878="SBJ"),AND(J2878=1,I2878=0)),"?IN_FOCUS",IF(J2878&lt;=2,"?ACTIVATED",IF(J2878&lt;&gt;"","?FAMILIAR",IF(F2878="NEW",IF(ISNA(VLOOKUP(E2878,#REF!,1,FALSE())),"?TYPE_IDENTIFIABLE","?REFERENTIAL"),"_")))))</f>
        <v/>
      </c>
      <c r="H2878" s="27" t="str">
        <f aca="false">IF(J2878&lt;&gt;1,"",IF(I2878="SBJ","CB","?"))</f>
        <v/>
      </c>
      <c r="I2878" s="24" t="str">
        <f aca="false">IF(OR(E2878="",E2878="!!!",F2878="NEW"),"",INDEX(B6:B$2873,-1+SUMPRODUCT(MAX(ROW(E6:E$2873)*(E2878=E6:E$2873)))))</f>
        <v/>
      </c>
      <c r="J2878" s="24" t="str">
        <f aca="true">IF(OR(E2878="",E2878="!!!",F2878="NEW"),"",COUNTBLANK(OFFSET(A$1,,,SUMPRODUCT(MAX(ROW(E$2:E2878)*(E2878=E$2:E2878)))))-COUNTBLANK(OFFSET(A$1,,,SUMPRODUCT(MAX(ROW(E$1:E2877)*(E2=E$1:E2877))))))</f>
        <v/>
      </c>
      <c r="K2878" s="24" t="str">
        <f aca="false">IF(OR(E2878="",E2878="!!!",F2878="NEW"),"",INDEX(J$1:J2877,SUMPRODUCT(MAX(ROW(E$1:E2877)*(E2878=E$1:E2877)))))</f>
        <v/>
      </c>
      <c r="L2878" s="31"/>
    </row>
    <row r="2879" customFormat="false" ht="15" hidden="false" customHeight="false" outlineLevel="0" collapsed="false">
      <c r="A2879" s="20" t="s">
        <v>1080</v>
      </c>
      <c r="B2879" s="22" t="s">
        <v>1073</v>
      </c>
      <c r="C2879" s="22" t="s">
        <v>1082</v>
      </c>
      <c r="D2879" s="22" t="s">
        <v>1060</v>
      </c>
      <c r="E2879" s="23" t="str">
        <f aca="false">IF(D2879="?OLD","!!!","")</f>
        <v>!!!</v>
      </c>
      <c r="F2879" s="25" t="str">
        <f aca="false">IF(OR(E2879="",E2879="!!!"),"",IF(NOT(ISNA(VLOOKUP(E2879,E$1:E2878,1,FALSE()))),"OLD",IF(AND(E2879&lt;&gt;"",E2879&lt;&gt;"!!!"),"NEW","")))</f>
        <v/>
      </c>
      <c r="G2879" s="26" t="str">
        <f aca="false">IF(OR(E2879="",E2879="!!!"),"",IF(OR(J2879=0,AND(J2879=1,K2879=1),AND(J2879=1,I2879="SBJ"),AND(J2879=1,I2879=0)),"?IN_FOCUS",IF(J2879&lt;=2,"?ACTIVATED",IF(J2879&lt;&gt;"","?FAMILIAR",IF(F2879="NEW",IF(ISNA(VLOOKUP(E2879,#REF!,1,FALSE())),"?TYPE_IDENTIFIABLE","?REFERENTIAL"),"_")))))</f>
        <v/>
      </c>
      <c r="H2879" s="27" t="str">
        <f aca="false">IF(J2879&lt;&gt;1,"",IF(I2879="SBJ","CB","?"))</f>
        <v/>
      </c>
      <c r="I2879" s="24" t="str">
        <f aca="false">IF(OR(E2879="",E2879="!!!",F2879="NEW"),"",INDEX(B7:B$2873,-1+SUMPRODUCT(MAX(ROW(E7:E$2873)*(E2879=E7:E$2873)))))</f>
        <v/>
      </c>
      <c r="J2879" s="24" t="str">
        <f aca="true">IF(OR(E2879="",E2879="!!!",F2879="NEW"),"",COUNTBLANK(OFFSET(A$1,,,SUMPRODUCT(MAX(ROW(E$2:E2879)*(E2879=E$2:E2879)))))-COUNTBLANK(OFFSET(A$1,,,SUMPRODUCT(MAX(ROW(E$1:E2878)*(E2=E$1:E2878))))))</f>
        <v/>
      </c>
      <c r="K2879" s="24" t="str">
        <f aca="false">IF(OR(E2879="",E2879="!!!",F2879="NEW"),"",INDEX(J$1:J2878,SUMPRODUCT(MAX(ROW(E$1:E2878)*(E2879=E$1:E2878)))))</f>
        <v/>
      </c>
      <c r="L2879" s="31"/>
    </row>
    <row r="2880" customFormat="false" ht="15" hidden="false" customHeight="false" outlineLevel="0" collapsed="false">
      <c r="A2880" s="20" t="s">
        <v>1076</v>
      </c>
      <c r="E2880" s="23" t="str">
        <f aca="false">IF(D2880="?OLD","!!!","")</f>
        <v/>
      </c>
      <c r="F2880" s="25" t="str">
        <f aca="false">IF(OR(E2880="",E2880="!!!"),"",IF(NOT(ISNA(VLOOKUP(E2880,E$1:E2879,1,FALSE()))),"OLD",IF(AND(E2880&lt;&gt;"",E2880&lt;&gt;"!!!"),"NEW","")))</f>
        <v/>
      </c>
      <c r="G2880" s="26" t="str">
        <f aca="false">IF(OR(E2880="",E2880="!!!"),"",IF(OR(J2880=0,AND(J2880=1,K2880=1),AND(J2880=1,I2880="SBJ"),AND(J2880=1,I2880=0)),"?IN_FOCUS",IF(J2880&lt;=2,"?ACTIVATED",IF(J2880&lt;&gt;"","?FAMILIAR",IF(F2880="NEW",IF(ISNA(VLOOKUP(E2880,#REF!,1,FALSE())),"?TYPE_IDENTIFIABLE","?REFERENTIAL"),"_")))))</f>
        <v/>
      </c>
      <c r="H2880" s="27" t="str">
        <f aca="false">IF(J2880&lt;&gt;1,"",IF(I2880="SBJ","CB","?"))</f>
        <v/>
      </c>
      <c r="I2880" s="24" t="str">
        <f aca="false">IF(OR(E2880="",E2880="!!!",F2880="NEW"),"",INDEX(B8:B$2873,-1+SUMPRODUCT(MAX(ROW(E8:E$2873)*(E2880=E8:E$2873)))))</f>
        <v/>
      </c>
      <c r="J2880" s="24" t="str">
        <f aca="true">IF(OR(E2880="",E2880="!!!",F2880="NEW"),"",COUNTBLANK(OFFSET(A$1,,,SUMPRODUCT(MAX(ROW(E$2:E2880)*(E2880=E$2:E2880)))))-COUNTBLANK(OFFSET(A$1,,,SUMPRODUCT(MAX(ROW(E$1:E2879)*(E2=E$1:E2879))))))</f>
        <v/>
      </c>
      <c r="K2880" s="24" t="str">
        <f aca="false">IF(OR(E2880="",E2880="!!!",F2880="NEW"),"",INDEX(J$1:J2879,SUMPRODUCT(MAX(ROW(E$1:E2879)*(E2880=E$1:E2879)))))</f>
        <v/>
      </c>
      <c r="L2880" s="31"/>
    </row>
    <row r="2881" customFormat="false" ht="15" hidden="false" customHeight="false" outlineLevel="0" collapsed="false">
      <c r="A2881" s="20" t="s">
        <v>607</v>
      </c>
      <c r="E2881" s="23" t="str">
        <f aca="false">IF(D2881="?OLD","!!!","")</f>
        <v/>
      </c>
      <c r="F2881" s="25" t="str">
        <f aca="false">IF(OR(E2881="",E2881="!!!"),"",IF(NOT(ISNA(VLOOKUP(E2881,E$1:E2880,1,FALSE()))),"OLD",IF(AND(E2881&lt;&gt;"",E2881&lt;&gt;"!!!"),"NEW","")))</f>
        <v/>
      </c>
      <c r="G2881" s="26" t="str">
        <f aca="false">IF(OR(E2881="",E2881="!!!"),"",IF(OR(J2881=0,AND(J2881=1,K2881=1),AND(J2881=1,I2881="SBJ"),AND(J2881=1,I2881=0)),"?IN_FOCUS",IF(J2881&lt;=2,"?ACTIVATED",IF(J2881&lt;&gt;"","?FAMILIAR",IF(F2881="NEW",IF(ISNA(VLOOKUP(E2881,#REF!,1,FALSE())),"?TYPE_IDENTIFIABLE","?REFERENTIAL"),"_")))))</f>
        <v/>
      </c>
      <c r="H2881" s="27" t="str">
        <f aca="false">IF(J2881&lt;&gt;1,"",IF(I2881="SBJ","CB","?"))</f>
        <v/>
      </c>
      <c r="I2881" s="24" t="str">
        <f aca="false">IF(OR(E2881="",E2881="!!!",F2881="NEW"),"",INDEX(B9:B$2873,-1+SUMPRODUCT(MAX(ROW(E9:E$2873)*(E2881=E9:E$2873)))))</f>
        <v/>
      </c>
      <c r="J2881" s="24" t="str">
        <f aca="true">IF(OR(E2881="",E2881="!!!",F2881="NEW"),"",COUNTBLANK(OFFSET(A$1,,,SUMPRODUCT(MAX(ROW(E$2:E2881)*(E2881=E$2:E2881)))))-COUNTBLANK(OFFSET(A$1,,,SUMPRODUCT(MAX(ROW(E$1:E2880)*(E2=E$1:E2880))))))</f>
        <v/>
      </c>
      <c r="K2881" s="24" t="str">
        <f aca="false">IF(OR(E2881="",E2881="!!!",F2881="NEW"),"",INDEX(J$1:J2880,SUMPRODUCT(MAX(ROW(E$1:E2880)*(E2881=E$1:E2880)))))</f>
        <v/>
      </c>
      <c r="L2881" s="31"/>
    </row>
    <row r="2882" customFormat="false" ht="15" hidden="false" customHeight="false" outlineLevel="0" collapsed="false">
      <c r="A2882" s="20" t="s">
        <v>1194</v>
      </c>
      <c r="E2882" s="23" t="str">
        <f aca="false">IF(D2882="?OLD","!!!","")</f>
        <v/>
      </c>
      <c r="F2882" s="25" t="str">
        <f aca="false">IF(OR(E2882="",E2882="!!!"),"",IF(NOT(ISNA(VLOOKUP(E2882,E$1:E2881,1,FALSE()))),"OLD",IF(AND(E2882&lt;&gt;"",E2882&lt;&gt;"!!!"),"NEW","")))</f>
        <v/>
      </c>
      <c r="G2882" s="26" t="str">
        <f aca="false">IF(OR(E2882="",E2882="!!!"),"",IF(OR(J2882=0,AND(J2882=1,K2882=1),AND(J2882=1,I2882="SBJ"),AND(J2882=1,I2882=0)),"?IN_FOCUS",IF(J2882&lt;=2,"?ACTIVATED",IF(J2882&lt;&gt;"","?FAMILIAR",IF(F2882="NEW",IF(ISNA(VLOOKUP(E2882,#REF!,1,FALSE())),"?TYPE_IDENTIFIABLE","?REFERENTIAL"),"_")))))</f>
        <v/>
      </c>
      <c r="H2882" s="27" t="str">
        <f aca="false">IF(J2882&lt;&gt;1,"",IF(I2882="SBJ","CB","?"))</f>
        <v/>
      </c>
      <c r="I2882" s="24" t="str">
        <f aca="false">IF(OR(E2882="",E2882="!!!",F2882="NEW"),"",INDEX(B10:B$2873,-1+SUMPRODUCT(MAX(ROW(E10:E$2873)*(E2882=E10:E$2873)))))</f>
        <v/>
      </c>
      <c r="J2882" s="24" t="str">
        <f aca="true">IF(OR(E2882="",E2882="!!!",F2882="NEW"),"",COUNTBLANK(OFFSET(A$1,,,SUMPRODUCT(MAX(ROW(E$2:E2882)*(E2882=E$2:E2882)))))-COUNTBLANK(OFFSET(A$1,,,SUMPRODUCT(MAX(ROW(E$1:E2881)*(E2=E$1:E2881))))))</f>
        <v/>
      </c>
      <c r="K2882" s="24" t="str">
        <f aca="false">IF(OR(E2882="",E2882="!!!",F2882="NEW"),"",INDEX(J$1:J2881,SUMPRODUCT(MAX(ROW(E$1:E2881)*(E2882=E$1:E2881)))))</f>
        <v/>
      </c>
      <c r="L2882" s="31"/>
    </row>
    <row r="2883" customFormat="false" ht="15" hidden="false" customHeight="false" outlineLevel="0" collapsed="false">
      <c r="A2883" s="20" t="s">
        <v>1066</v>
      </c>
      <c r="B2883" s="22" t="s">
        <v>1058</v>
      </c>
      <c r="C2883" s="22" t="s">
        <v>1068</v>
      </c>
      <c r="D2883" s="22" t="s">
        <v>1060</v>
      </c>
      <c r="E2883" s="23" t="str">
        <f aca="false">IF(D2883="?OLD","!!!","")</f>
        <v>!!!</v>
      </c>
      <c r="F2883" s="25" t="str">
        <f aca="false">IF(OR(E2883="",E2883="!!!"),"",IF(NOT(ISNA(VLOOKUP(E2883,E$1:E2882,1,FALSE()))),"OLD",IF(AND(E2883&lt;&gt;"",E2883&lt;&gt;"!!!"),"NEW","")))</f>
        <v/>
      </c>
      <c r="G2883" s="26" t="str">
        <f aca="false">IF(OR(E2883="",E2883="!!!"),"",IF(OR(J2883=0,AND(J2883=1,K2883=1),AND(J2883=1,I2883="SBJ"),AND(J2883=1,I2883=0)),"?IN_FOCUS",IF(J2883&lt;=2,"?ACTIVATED",IF(J2883&lt;&gt;"","?FAMILIAR",IF(F2883="NEW",IF(ISNA(VLOOKUP(E2883,#REF!,1,FALSE())),"?TYPE_IDENTIFIABLE","?REFERENTIAL"),"_")))))</f>
        <v/>
      </c>
      <c r="H2883" s="27" t="str">
        <f aca="false">IF(J2883&lt;&gt;1,"",IF(I2883="SBJ","CB","?"))</f>
        <v/>
      </c>
      <c r="I2883" s="24" t="str">
        <f aca="false">IF(OR(E2883="",E2883="!!!",F2883="NEW"),"",INDEX(B11:B$2873,-1+SUMPRODUCT(MAX(ROW(E11:E$2873)*(E2883=E11:E$2873)))))</f>
        <v/>
      </c>
      <c r="J2883" s="24" t="str">
        <f aca="true">IF(OR(E2883="",E2883="!!!",F2883="NEW"),"",COUNTBLANK(OFFSET(A$1,,,SUMPRODUCT(MAX(ROW(E$2:E2883)*(E2883=E$2:E2883)))))-COUNTBLANK(OFFSET(A$1,,,SUMPRODUCT(MAX(ROW(E$1:E2882)*(E2=E$1:E2882))))))</f>
        <v/>
      </c>
      <c r="K2883" s="24" t="str">
        <f aca="false">IF(OR(E2883="",E2883="!!!",F2883="NEW"),"",INDEX(J$1:J2882,SUMPRODUCT(MAX(ROW(E$1:E2882)*(E2883=E$1:E2882)))))</f>
        <v/>
      </c>
      <c r="L2883" s="31"/>
    </row>
    <row r="2884" customFormat="false" ht="15" hidden="false" customHeight="false" outlineLevel="0" collapsed="false">
      <c r="A2884" s="20" t="s">
        <v>1076</v>
      </c>
      <c r="E2884" s="23" t="str">
        <f aca="false">IF(D2884="?OLD","!!!","")</f>
        <v/>
      </c>
      <c r="F2884" s="25" t="str">
        <f aca="false">IF(OR(E2884="",E2884="!!!"),"",IF(NOT(ISNA(VLOOKUP(E2884,E$1:E2883,1,FALSE()))),"OLD",IF(AND(E2884&lt;&gt;"",E2884&lt;&gt;"!!!"),"NEW","")))</f>
        <v/>
      </c>
      <c r="G2884" s="26" t="str">
        <f aca="false">IF(OR(E2884="",E2884="!!!"),"",IF(OR(J2884=0,AND(J2884=1,K2884=1),AND(J2884=1,I2884="SBJ"),AND(J2884=1,I2884=0)),"?IN_FOCUS",IF(J2884&lt;=2,"?ACTIVATED",IF(J2884&lt;&gt;"","?FAMILIAR",IF(F2884="NEW",IF(ISNA(VLOOKUP(E2884,#REF!,1,FALSE())),"?TYPE_IDENTIFIABLE","?REFERENTIAL"),"_")))))</f>
        <v/>
      </c>
      <c r="H2884" s="27" t="str">
        <f aca="false">IF(J2884&lt;&gt;1,"",IF(I2884="SBJ","CB","?"))</f>
        <v/>
      </c>
      <c r="I2884" s="24" t="str">
        <f aca="false">IF(OR(E2884="",E2884="!!!",F2884="NEW"),"",INDEX(B12:B$2873,-1+SUMPRODUCT(MAX(ROW(E12:E$2873)*(E2884=E12:E$2873)))))</f>
        <v/>
      </c>
      <c r="J2884" s="24" t="str">
        <f aca="true">IF(OR(E2884="",E2884="!!!",F2884="NEW"),"",COUNTBLANK(OFFSET(A$1,,,SUMPRODUCT(MAX(ROW(E$2:E2884)*(E2884=E$2:E2884)))))-COUNTBLANK(OFFSET(A$1,,,SUMPRODUCT(MAX(ROW(E$1:E2883)*(E2=E$1:E2883))))))</f>
        <v/>
      </c>
      <c r="K2884" s="24" t="str">
        <f aca="false">IF(OR(E2884="",E2884="!!!",F2884="NEW"),"",INDEX(J$1:J2883,SUMPRODUCT(MAX(ROW(E$1:E2883)*(E2884=E$1:E2883)))))</f>
        <v/>
      </c>
      <c r="L2884" s="31"/>
    </row>
    <row r="2885" customFormat="false" ht="15" hidden="false" customHeight="false" outlineLevel="0" collapsed="false">
      <c r="A2885" s="20" t="s">
        <v>2048</v>
      </c>
      <c r="E2885" s="23" t="str">
        <f aca="false">IF(D2885="?OLD","!!!","")</f>
        <v/>
      </c>
      <c r="F2885" s="25" t="str">
        <f aca="false">IF(OR(E2885="",E2885="!!!"),"",IF(NOT(ISNA(VLOOKUP(E2885,E$1:E2884,1,FALSE()))),"OLD",IF(AND(E2885&lt;&gt;"",E2885&lt;&gt;"!!!"),"NEW","")))</f>
        <v/>
      </c>
      <c r="G2885" s="26" t="str">
        <f aca="false">IF(OR(E2885="",E2885="!!!"),"",IF(OR(J2885=0,AND(J2885=1,K2885=1),AND(J2885=1,I2885="SBJ"),AND(J2885=1,I2885=0)),"?IN_FOCUS",IF(J2885&lt;=2,"?ACTIVATED",IF(J2885&lt;&gt;"","?FAMILIAR",IF(F2885="NEW",IF(ISNA(VLOOKUP(E2885,#REF!,1,FALSE())),"?TYPE_IDENTIFIABLE","?REFERENTIAL"),"_")))))</f>
        <v/>
      </c>
      <c r="H2885" s="27" t="str">
        <f aca="false">IF(J2885&lt;&gt;1,"",IF(I2885="SBJ","CB","?"))</f>
        <v/>
      </c>
      <c r="I2885" s="24" t="str">
        <f aca="false">IF(OR(E2885="",E2885="!!!",F2885="NEW"),"",INDEX(B13:B$2873,-1+SUMPRODUCT(MAX(ROW(E13:E$2873)*(E2885=E13:E$2873)))))</f>
        <v/>
      </c>
      <c r="J2885" s="24" t="str">
        <f aca="true">IF(OR(E2885="",E2885="!!!",F2885="NEW"),"",COUNTBLANK(OFFSET(A$1,,,SUMPRODUCT(MAX(ROW(E$2:E2885)*(E2885=E$2:E2885)))))-COUNTBLANK(OFFSET(A$1,,,SUMPRODUCT(MAX(ROW(E$1:E2884)*(E2=E$1:E2884))))))</f>
        <v/>
      </c>
      <c r="K2885" s="24" t="str">
        <f aca="false">IF(OR(E2885="",E2885="!!!",F2885="NEW"),"",INDEX(J$1:J2884,SUMPRODUCT(MAX(ROW(E$1:E2884)*(E2885=E$1:E2884)))))</f>
        <v/>
      </c>
      <c r="L2885" s="31"/>
    </row>
    <row r="2886" customFormat="false" ht="15" hidden="false" customHeight="false" outlineLevel="0" collapsed="false">
      <c r="A2886" s="20" t="s">
        <v>1184</v>
      </c>
      <c r="E2886" s="23" t="str">
        <f aca="false">IF(D2886="?OLD","!!!","")</f>
        <v/>
      </c>
      <c r="F2886" s="25" t="str">
        <f aca="false">IF(OR(E2886="",E2886="!!!"),"",IF(NOT(ISNA(VLOOKUP(E2886,E$1:E2885,1,FALSE()))),"OLD",IF(AND(E2886&lt;&gt;"",E2886&lt;&gt;"!!!"),"NEW","")))</f>
        <v/>
      </c>
      <c r="G2886" s="26" t="str">
        <f aca="false">IF(OR(E2886="",E2886="!!!"),"",IF(OR(J2886=0,AND(J2886=1,K2886=1),AND(J2886=1,I2886="SBJ"),AND(J2886=1,I2886=0)),"?IN_FOCUS",IF(J2886&lt;=2,"?ACTIVATED",IF(J2886&lt;&gt;"","?FAMILIAR",IF(F2886="NEW",IF(ISNA(VLOOKUP(E2886,#REF!,1,FALSE())),"?TYPE_IDENTIFIABLE","?REFERENTIAL"),"_")))))</f>
        <v/>
      </c>
      <c r="H2886" s="27" t="str">
        <f aca="false">IF(J2886&lt;&gt;1,"",IF(I2886="SBJ","CB","?"))</f>
        <v/>
      </c>
      <c r="I2886" s="24" t="str">
        <f aca="false">IF(OR(E2886="",E2886="!!!",F2886="NEW"),"",INDEX(B14:B$2873,-1+SUMPRODUCT(MAX(ROW(E14:E$2873)*(E2886=E14:E$2873)))))</f>
        <v/>
      </c>
      <c r="J2886" s="24" t="str">
        <f aca="true">IF(OR(E2886="",E2886="!!!",F2886="NEW"),"",COUNTBLANK(OFFSET(A$1,,,SUMPRODUCT(MAX(ROW(E$2:E2886)*(E2886=E$2:E2886)))))-COUNTBLANK(OFFSET(A$1,,,SUMPRODUCT(MAX(ROW(E$1:E2885)*(E2=E$1:E2885))))))</f>
        <v/>
      </c>
      <c r="K2886" s="24" t="str">
        <f aca="false">IF(OR(E2886="",E2886="!!!",F2886="NEW"),"",INDEX(J$1:J2885,SUMPRODUCT(MAX(ROW(E$1:E2885)*(E2886=E$1:E2885)))))</f>
        <v/>
      </c>
      <c r="L2886" s="31"/>
    </row>
    <row r="2887" customFormat="false" ht="15" hidden="false" customHeight="false" outlineLevel="0" collapsed="false">
      <c r="A2887" s="20" t="s">
        <v>1109</v>
      </c>
      <c r="E2887" s="23" t="str">
        <f aca="false">IF(D2887="?OLD","!!!","")</f>
        <v/>
      </c>
      <c r="F2887" s="25" t="str">
        <f aca="false">IF(OR(E2887="",E2887="!!!"),"",IF(NOT(ISNA(VLOOKUP(E2887,E$1:E2886,1,FALSE()))),"OLD",IF(AND(E2887&lt;&gt;"",E2887&lt;&gt;"!!!"),"NEW","")))</f>
        <v/>
      </c>
      <c r="G2887" s="26" t="str">
        <f aca="false">IF(OR(E2887="",E2887="!!!"),"",IF(OR(J2887=0,AND(J2887=1,K2887=1),AND(J2887=1,I2887="SBJ"),AND(J2887=1,I2887=0)),"?IN_FOCUS",IF(J2887&lt;=2,"?ACTIVATED",IF(J2887&lt;&gt;"","?FAMILIAR",IF(F2887="NEW",IF(ISNA(VLOOKUP(E2887,#REF!,1,FALSE())),"?TYPE_IDENTIFIABLE","?REFERENTIAL"),"_")))))</f>
        <v/>
      </c>
      <c r="H2887" s="27" t="str">
        <f aca="false">IF(J2887&lt;&gt;1,"",IF(I2887="SBJ","CB","?"))</f>
        <v/>
      </c>
      <c r="I2887" s="24" t="str">
        <f aca="false">IF(OR(E2887="",E2887="!!!",F2887="NEW"),"",INDEX(B15:B$2873,-1+SUMPRODUCT(MAX(ROW(E15:E$2873)*(E2887=E15:E$2873)))))</f>
        <v/>
      </c>
      <c r="J2887" s="24" t="str">
        <f aca="true">IF(OR(E2887="",E2887="!!!",F2887="NEW"),"",COUNTBLANK(OFFSET(A$1,,,SUMPRODUCT(MAX(ROW(E$2:E2887)*(E2887=E$2:E2887)))))-COUNTBLANK(OFFSET(A$1,,,SUMPRODUCT(MAX(ROW(E$1:E2886)*(E2=E$1:E2886))))))</f>
        <v/>
      </c>
      <c r="K2887" s="24" t="str">
        <f aca="false">IF(OR(E2887="",E2887="!!!",F2887="NEW"),"",INDEX(J$1:J2886,SUMPRODUCT(MAX(ROW(E$1:E2886)*(E2887=E$1:E2886)))))</f>
        <v/>
      </c>
      <c r="L2887" s="31"/>
    </row>
    <row r="2888" customFormat="false" ht="15" hidden="false" customHeight="false" outlineLevel="0" collapsed="false">
      <c r="A2888" s="20" t="s">
        <v>1973</v>
      </c>
      <c r="E2888" s="23" t="str">
        <f aca="false">IF(D2888="?OLD","!!!","")</f>
        <v/>
      </c>
      <c r="F2888" s="25" t="str">
        <f aca="false">IF(OR(E2888="",E2888="!!!"),"",IF(NOT(ISNA(VLOOKUP(E2888,E$1:E2887,1,FALSE()))),"OLD",IF(AND(E2888&lt;&gt;"",E2888&lt;&gt;"!!!"),"NEW","")))</f>
        <v/>
      </c>
      <c r="G2888" s="26" t="str">
        <f aca="false">IF(OR(E2888="",E2888="!!!"),"",IF(OR(J2888=0,AND(J2888=1,K2888=1),AND(J2888=1,I2888="SBJ"),AND(J2888=1,I2888=0)),"?IN_FOCUS",IF(J2888&lt;=2,"?ACTIVATED",IF(J2888&lt;&gt;"","?FAMILIAR",IF(F2888="NEW",IF(ISNA(VLOOKUP(E2888,#REF!,1,FALSE())),"?TYPE_IDENTIFIABLE","?REFERENTIAL"),"_")))))</f>
        <v/>
      </c>
      <c r="H2888" s="27" t="str">
        <f aca="false">IF(J2888&lt;&gt;1,"",IF(I2888="SBJ","CB","?"))</f>
        <v/>
      </c>
      <c r="I2888" s="24" t="str">
        <f aca="false">IF(OR(E2888="",E2888="!!!",F2888="NEW"),"",INDEX(B16:B$2873,-1+SUMPRODUCT(MAX(ROW(E16:E$2873)*(E2888=E16:E$2873)))))</f>
        <v/>
      </c>
      <c r="J2888" s="24" t="str">
        <f aca="true">IF(OR(E2888="",E2888="!!!",F2888="NEW"),"",COUNTBLANK(OFFSET(A$1,,,SUMPRODUCT(MAX(ROW(E$2:E2888)*(E2888=E$2:E2888)))))-COUNTBLANK(OFFSET(A$1,,,SUMPRODUCT(MAX(ROW(E$1:E2887)*(E2=E$1:E2887))))))</f>
        <v/>
      </c>
      <c r="K2888" s="24" t="str">
        <f aca="false">IF(OR(E2888="",E2888="!!!",F2888="NEW"),"",INDEX(J$1:J2887,SUMPRODUCT(MAX(ROW(E$1:E2887)*(E2888=E$1:E2887)))))</f>
        <v/>
      </c>
      <c r="L2888" s="31"/>
    </row>
    <row r="2889" customFormat="false" ht="15" hidden="false" customHeight="false" outlineLevel="0" collapsed="false">
      <c r="A2889" s="20" t="s">
        <v>2049</v>
      </c>
      <c r="B2889" s="22" t="s">
        <v>1067</v>
      </c>
      <c r="C2889" s="22" t="s">
        <v>1150</v>
      </c>
      <c r="D2889" s="22" t="s">
        <v>1060</v>
      </c>
      <c r="E2889" s="23" t="str">
        <f aca="false">IF(D2889="?OLD","!!!","")</f>
        <v>!!!</v>
      </c>
      <c r="F2889" s="25" t="str">
        <f aca="false">IF(OR(E2889="",E2889="!!!"),"",IF(NOT(ISNA(VLOOKUP(E2889,E$1:E2888,1,FALSE()))),"OLD",IF(AND(E2889&lt;&gt;"",E2889&lt;&gt;"!!!"),"NEW","")))</f>
        <v/>
      </c>
      <c r="G2889" s="26" t="str">
        <f aca="false">IF(OR(E2889="",E2889="!!!"),"",IF(OR(J2889=0,AND(J2889=1,K2889=1),AND(J2889=1,I2889="SBJ"),AND(J2889=1,I2889=0)),"?IN_FOCUS",IF(J2889&lt;=2,"?ACTIVATED",IF(J2889&lt;&gt;"","?FAMILIAR",IF(F2889="NEW",IF(ISNA(VLOOKUP(E2889,#REF!,1,FALSE())),"?TYPE_IDENTIFIABLE","?REFERENTIAL"),"_")))))</f>
        <v/>
      </c>
      <c r="H2889" s="27" t="str">
        <f aca="false">IF(J2889&lt;&gt;1,"",IF(I2889="SBJ","CB","?"))</f>
        <v/>
      </c>
      <c r="I2889" s="24" t="str">
        <f aca="false">IF(OR(E2889="",E2889="!!!",F2889="NEW"),"",INDEX(B17:B$2873,-1+SUMPRODUCT(MAX(ROW(E17:E$2873)*(E2889=E17:E$2873)))))</f>
        <v/>
      </c>
      <c r="J2889" s="24" t="str">
        <f aca="true">IF(OR(E2889="",E2889="!!!",F2889="NEW"),"",COUNTBLANK(OFFSET(A$1,,,SUMPRODUCT(MAX(ROW(E$2:E2889)*(E2889=E$2:E2889)))))-COUNTBLANK(OFFSET(A$1,,,SUMPRODUCT(MAX(ROW(E$1:E2888)*(E2=E$1:E2888))))))</f>
        <v/>
      </c>
      <c r="K2889" s="24" t="str">
        <f aca="false">IF(OR(E2889="",E2889="!!!",F2889="NEW"),"",INDEX(J$1:J2888,SUMPRODUCT(MAX(ROW(E$1:E2888)*(E2889=E$1:E2888)))))</f>
        <v/>
      </c>
      <c r="L2889" s="31"/>
    </row>
    <row r="2890" customFormat="false" ht="15" hidden="false" customHeight="false" outlineLevel="0" collapsed="false">
      <c r="A2890" s="20" t="s">
        <v>923</v>
      </c>
      <c r="E2890" s="23" t="str">
        <f aca="false">IF(D2890="?OLD","!!!","")</f>
        <v/>
      </c>
      <c r="F2890" s="25" t="str">
        <f aca="false">IF(OR(E2890="",E2890="!!!"),"",IF(NOT(ISNA(VLOOKUP(E2890,E$1:E2889,1,FALSE()))),"OLD",IF(AND(E2890&lt;&gt;"",E2890&lt;&gt;"!!!"),"NEW","")))</f>
        <v/>
      </c>
      <c r="G2890" s="26" t="str">
        <f aca="false">IF(OR(E2890="",E2890="!!!"),"",IF(OR(J2890=0,AND(J2890=1,K2890=1),AND(J2890=1,I2890="SBJ"),AND(J2890=1,I2890=0)),"?IN_FOCUS",IF(J2890&lt;=2,"?ACTIVATED",IF(J2890&lt;&gt;"","?FAMILIAR",IF(F2890="NEW",IF(ISNA(VLOOKUP(E2890,#REF!,1,FALSE())),"?TYPE_IDENTIFIABLE","?REFERENTIAL"),"_")))))</f>
        <v/>
      </c>
      <c r="H2890" s="27" t="str">
        <f aca="false">IF(J2890&lt;&gt;1,"",IF(I2890="SBJ","CB","?"))</f>
        <v/>
      </c>
      <c r="I2890" s="24" t="str">
        <f aca="false">IF(OR(E2890="",E2890="!!!",F2890="NEW"),"",INDEX(B18:B$2873,-1+SUMPRODUCT(MAX(ROW(E18:E$2873)*(E2890=E18:E$2873)))))</f>
        <v/>
      </c>
      <c r="J2890" s="24" t="str">
        <f aca="true">IF(OR(E2890="",E2890="!!!",F2890="NEW"),"",COUNTBLANK(OFFSET(A$1,,,SUMPRODUCT(MAX(ROW(E$2:E2890)*(E2890=E$2:E2890)))))-COUNTBLANK(OFFSET(A$1,,,SUMPRODUCT(MAX(ROW(E$1:E2889)*(E2=E$1:E2889))))))</f>
        <v/>
      </c>
      <c r="K2890" s="24" t="str">
        <f aca="false">IF(OR(E2890="",E2890="!!!",F2890="NEW"),"",INDEX(J$1:J2889,SUMPRODUCT(MAX(ROW(E$1:E2889)*(E2890=E$1:E2889)))))</f>
        <v/>
      </c>
      <c r="L2890" s="31"/>
    </row>
    <row r="2891" customFormat="false" ht="15" hidden="false" customHeight="false" outlineLevel="0" collapsed="false">
      <c r="A2891" s="20"/>
    </row>
    <row r="2892" customFormat="false" ht="15" hidden="false" customHeight="false" outlineLevel="0" collapsed="false">
      <c r="A2892" s="20" t="s">
        <v>1301</v>
      </c>
      <c r="E2892" s="23" t="str">
        <f aca="false">IF(D2892="?OLD","!!!","")</f>
        <v/>
      </c>
      <c r="F2892" s="25" t="str">
        <f aca="false">IF(OR(E2892="",E2892="!!!"),"",IF(NOT(ISNA(VLOOKUP(E2892,E$1:E2891,1,FALSE()))),"OLD",IF(AND(E2892&lt;&gt;"",E2892&lt;&gt;"!!!"),"NEW","")))</f>
        <v/>
      </c>
      <c r="G2892" s="26" t="str">
        <f aca="false">IF(OR(E2892="",E2892="!!!"),"",IF(OR(J2892=0,AND(J2892=1,K2892=1),AND(J2892=1,I2892="SBJ"),AND(J2892=1,I2892=0)),"?IN_FOCUS",IF(J2892&lt;=2,"?ACTIVATED",IF(J2892&lt;&gt;"","?FAMILIAR",IF(F2892="NEW",IF(ISNA(VLOOKUP(E2892,#REF!,1,FALSE())),"?TYPE_IDENTIFIABLE","?REFERENTIAL"),"_")))))</f>
        <v/>
      </c>
      <c r="H2892" s="27" t="str">
        <f aca="false">IF(J2892&lt;&gt;1,"",IF(I2892="SBJ","CB","?"))</f>
        <v/>
      </c>
      <c r="I2892" s="24" t="str">
        <f aca="false">IF(OR(E2892="",E2892="!!!",F2892="NEW"),"",INDEX(B2:B$2891,-1+SUMPRODUCT(MAX(ROW(E2:E$2891)*(E2892=E2:E$2891)))))</f>
        <v/>
      </c>
      <c r="J2892" s="24" t="str">
        <f aca="true">IF(OR(E2892="",E2892="!!!",F2892="NEW"),"",COUNTBLANK(OFFSET(A$1,,,SUMPRODUCT(MAX(ROW(E$2:E2892)*(E2892=E$2:E2892)))))-COUNTBLANK(OFFSET(A$1,,,SUMPRODUCT(MAX(ROW(E$1:E2891)*(E2=E$1:E2891))))))</f>
        <v/>
      </c>
      <c r="K2892" s="24" t="str">
        <f aca="false">IF(OR(E2892="",E2892="!!!",F2892="NEW"),"",INDEX(J$1:J2891,SUMPRODUCT(MAX(ROW(E$1:E2891)*(E2892=E$1:E2891)))))</f>
        <v/>
      </c>
      <c r="L2892" s="31"/>
    </row>
    <row r="2893" customFormat="false" ht="15" hidden="false" customHeight="false" outlineLevel="0" collapsed="false">
      <c r="A2893" s="20" t="s">
        <v>2050</v>
      </c>
    </row>
    <row r="2894" customFormat="false" ht="15" hidden="false" customHeight="false" outlineLevel="0" collapsed="false">
      <c r="A2894" s="20" t="s">
        <v>607</v>
      </c>
      <c r="E2894" s="23" t="str">
        <f aca="false">IF(D2894="?OLD","!!!","")</f>
        <v/>
      </c>
      <c r="F2894" s="25" t="str">
        <f aca="false">IF(OR(E2894="",E2894="!!!"),"",IF(NOT(ISNA(VLOOKUP(E2894,E$1:E2893,1,FALSE()))),"OLD",IF(AND(E2894&lt;&gt;"",E2894&lt;&gt;"!!!"),"NEW","")))</f>
        <v/>
      </c>
      <c r="G2894" s="26" t="str">
        <f aca="false">IF(OR(E2894="",E2894="!!!"),"",IF(OR(J2894=0,AND(J2894=1,K2894=1),AND(J2894=1,I2894="SBJ"),AND(J2894=1,I2894=0)),"?IN_FOCUS",IF(J2894&lt;=2,"?ACTIVATED",IF(J2894&lt;&gt;"","?FAMILIAR",IF(F2894="NEW",IF(ISNA(VLOOKUP(E2894,#REF!,1,FALSE())),"?TYPE_IDENTIFIABLE","?REFERENTIAL"),"_")))))</f>
        <v/>
      </c>
      <c r="H2894" s="27" t="str">
        <f aca="false">IF(J2894&lt;&gt;1,"",IF(I2894="SBJ","CB","?"))</f>
        <v/>
      </c>
      <c r="I2894" s="24" t="str">
        <f aca="false">IF(OR(E2894="",E2894="!!!",F2894="NEW"),"",INDEX(B2:B$2893,-1+SUMPRODUCT(MAX(ROW(E2:E$2893)*(E2894=E2:E$2893)))))</f>
        <v/>
      </c>
      <c r="J2894" s="24" t="str">
        <f aca="true">IF(OR(E2894="",E2894="!!!",F2894="NEW"),"",COUNTBLANK(OFFSET(A$1,,,SUMPRODUCT(MAX(ROW(E$2:E2894)*(E2894=E$2:E2894)))))-COUNTBLANK(OFFSET(A$1,,,SUMPRODUCT(MAX(ROW(E$1:E2893)*(E2=E$1:E2893))))))</f>
        <v/>
      </c>
      <c r="K2894" s="24" t="str">
        <f aca="false">IF(OR(E2894="",E2894="!!!",F2894="NEW"),"",INDEX(J$1:J2893,SUMPRODUCT(MAX(ROW(E$1:E2893)*(E2894=E$1:E2893)))))</f>
        <v/>
      </c>
      <c r="L2894" s="31"/>
    </row>
    <row r="2895" customFormat="false" ht="15" hidden="false" customHeight="false" outlineLevel="0" collapsed="false">
      <c r="A2895" s="20" t="s">
        <v>1478</v>
      </c>
      <c r="E2895" s="23" t="str">
        <f aca="false">IF(D2895="?OLD","!!!","")</f>
        <v/>
      </c>
      <c r="F2895" s="25" t="str">
        <f aca="false">IF(OR(E2895="",E2895="!!!"),"",IF(NOT(ISNA(VLOOKUP(E2895,E$1:E2894,1,FALSE()))),"OLD",IF(AND(E2895&lt;&gt;"",E2895&lt;&gt;"!!!"),"NEW","")))</f>
        <v/>
      </c>
      <c r="G2895" s="26" t="str">
        <f aca="false">IF(OR(E2895="",E2895="!!!"),"",IF(OR(J2895=0,AND(J2895=1,K2895=1),AND(J2895=1,I2895="SBJ"),AND(J2895=1,I2895=0)),"?IN_FOCUS",IF(J2895&lt;=2,"?ACTIVATED",IF(J2895&lt;&gt;"","?FAMILIAR",IF(F2895="NEW",IF(ISNA(VLOOKUP(E2895,#REF!,1,FALSE())),"?TYPE_IDENTIFIABLE","?REFERENTIAL"),"_")))))</f>
        <v/>
      </c>
      <c r="H2895" s="27" t="str">
        <f aca="false">IF(J2895&lt;&gt;1,"",IF(I2895="SBJ","CB","?"))</f>
        <v/>
      </c>
      <c r="I2895" s="24" t="str">
        <f aca="false">IF(OR(E2895="",E2895="!!!",F2895="NEW"),"",INDEX(B3:B$2893,-1+SUMPRODUCT(MAX(ROW(E3:E$2893)*(E2895=E3:E$2893)))))</f>
        <v/>
      </c>
      <c r="J2895" s="24" t="str">
        <f aca="true">IF(OR(E2895="",E2895="!!!",F2895="NEW"),"",COUNTBLANK(OFFSET(A$1,,,SUMPRODUCT(MAX(ROW(E$2:E2895)*(E2895=E$2:E2895)))))-COUNTBLANK(OFFSET(A$1,,,SUMPRODUCT(MAX(ROW(E$1:E2894)*(E2=E$1:E2894))))))</f>
        <v/>
      </c>
      <c r="K2895" s="24" t="str">
        <f aca="false">IF(OR(E2895="",E2895="!!!",F2895="NEW"),"",INDEX(J$1:J2894,SUMPRODUCT(MAX(ROW(E$1:E2894)*(E2895=E$1:E2894)))))</f>
        <v/>
      </c>
      <c r="L2895" s="31"/>
    </row>
    <row r="2896" customFormat="false" ht="15" hidden="false" customHeight="false" outlineLevel="0" collapsed="false">
      <c r="A2896" s="20" t="s">
        <v>1369</v>
      </c>
      <c r="E2896" s="23" t="str">
        <f aca="false">IF(D2896="?OLD","!!!","")</f>
        <v/>
      </c>
      <c r="F2896" s="25" t="str">
        <f aca="false">IF(OR(E2896="",E2896="!!!"),"",IF(NOT(ISNA(VLOOKUP(E2896,E$1:E2895,1,FALSE()))),"OLD",IF(AND(E2896&lt;&gt;"",E2896&lt;&gt;"!!!"),"NEW","")))</f>
        <v/>
      </c>
      <c r="G2896" s="26" t="str">
        <f aca="false">IF(OR(E2896="",E2896="!!!"),"",IF(OR(J2896=0,AND(J2896=1,K2896=1),AND(J2896=1,I2896="SBJ"),AND(J2896=1,I2896=0)),"?IN_FOCUS",IF(J2896&lt;=2,"?ACTIVATED",IF(J2896&lt;&gt;"","?FAMILIAR",IF(F2896="NEW",IF(ISNA(VLOOKUP(E2896,#REF!,1,FALSE())),"?TYPE_IDENTIFIABLE","?REFERENTIAL"),"_")))))</f>
        <v/>
      </c>
      <c r="H2896" s="27" t="str">
        <f aca="false">IF(J2896&lt;&gt;1,"",IF(I2896="SBJ","CB","?"))</f>
        <v/>
      </c>
      <c r="I2896" s="24" t="str">
        <f aca="false">IF(OR(E2896="",E2896="!!!",F2896="NEW"),"",INDEX(B4:B$2893,-1+SUMPRODUCT(MAX(ROW(E4:E$2893)*(E2896=E4:E$2893)))))</f>
        <v/>
      </c>
      <c r="J2896" s="24" t="str">
        <f aca="true">IF(OR(E2896="",E2896="!!!",F2896="NEW"),"",COUNTBLANK(OFFSET(A$1,,,SUMPRODUCT(MAX(ROW(E$2:E2896)*(E2896=E$2:E2896)))))-COUNTBLANK(OFFSET(A$1,,,SUMPRODUCT(MAX(ROW(E$1:E2895)*(E2=E$1:E2895))))))</f>
        <v/>
      </c>
      <c r="K2896" s="24" t="str">
        <f aca="false">IF(OR(E2896="",E2896="!!!",F2896="NEW"),"",INDEX(J$1:J2895,SUMPRODUCT(MAX(ROW(E$1:E2895)*(E2896=E$1:E2895)))))</f>
        <v/>
      </c>
      <c r="L2896" s="31"/>
    </row>
    <row r="2897" customFormat="false" ht="15" hidden="false" customHeight="false" outlineLevel="0" collapsed="false">
      <c r="A2897" s="20" t="s">
        <v>1117</v>
      </c>
      <c r="E2897" s="23" t="str">
        <f aca="false">IF(D2897="?OLD","!!!","")</f>
        <v/>
      </c>
      <c r="F2897" s="25" t="str">
        <f aca="false">IF(OR(E2897="",E2897="!!!"),"",IF(NOT(ISNA(VLOOKUP(E2897,E$1:E2896,1,FALSE()))),"OLD",IF(AND(E2897&lt;&gt;"",E2897&lt;&gt;"!!!"),"NEW","")))</f>
        <v/>
      </c>
      <c r="G2897" s="26" t="str">
        <f aca="false">IF(OR(E2897="",E2897="!!!"),"",IF(OR(J2897=0,AND(J2897=1,K2897=1),AND(J2897=1,I2897="SBJ"),AND(J2897=1,I2897=0)),"?IN_FOCUS",IF(J2897&lt;=2,"?ACTIVATED",IF(J2897&lt;&gt;"","?FAMILIAR",IF(F2897="NEW",IF(ISNA(VLOOKUP(E2897,#REF!,1,FALSE())),"?TYPE_IDENTIFIABLE","?REFERENTIAL"),"_")))))</f>
        <v/>
      </c>
      <c r="H2897" s="27" t="str">
        <f aca="false">IF(J2897&lt;&gt;1,"",IF(I2897="SBJ","CB","?"))</f>
        <v/>
      </c>
      <c r="I2897" s="24" t="str">
        <f aca="false">IF(OR(E2897="",E2897="!!!",F2897="NEW"),"",INDEX(B5:B$2893,-1+SUMPRODUCT(MAX(ROW(E5:E$2893)*(E2897=E5:E$2893)))))</f>
        <v/>
      </c>
      <c r="J2897" s="24" t="str">
        <f aca="true">IF(OR(E2897="",E2897="!!!",F2897="NEW"),"",COUNTBLANK(OFFSET(A$1,,,SUMPRODUCT(MAX(ROW(E$2:E2897)*(E2897=E$2:E2897)))))-COUNTBLANK(OFFSET(A$1,,,SUMPRODUCT(MAX(ROW(E$1:E2896)*(E2=E$1:E2896))))))</f>
        <v/>
      </c>
      <c r="K2897" s="24" t="str">
        <f aca="false">IF(OR(E2897="",E2897="!!!",F2897="NEW"),"",INDEX(J$1:J2896,SUMPRODUCT(MAX(ROW(E$1:E2896)*(E2897=E$1:E2896)))))</f>
        <v/>
      </c>
      <c r="L2897" s="31"/>
    </row>
    <row r="2898" customFormat="false" ht="15" hidden="false" customHeight="false" outlineLevel="0" collapsed="false">
      <c r="A2898" s="20" t="s">
        <v>2051</v>
      </c>
      <c r="B2898" s="22" t="s">
        <v>1058</v>
      </c>
      <c r="C2898" s="22" t="s">
        <v>1389</v>
      </c>
      <c r="E2898" s="23" t="str">
        <f aca="false">IF(D2898="?OLD","!!!","")</f>
        <v/>
      </c>
      <c r="F2898" s="25" t="str">
        <f aca="false">IF(OR(E2898="",E2898="!!!"),"",IF(NOT(ISNA(VLOOKUP(E2898,E$1:E2897,1,FALSE()))),"OLD",IF(AND(E2898&lt;&gt;"",E2898&lt;&gt;"!!!"),"NEW","")))</f>
        <v/>
      </c>
      <c r="G2898" s="26" t="str">
        <f aca="false">IF(OR(E2898="",E2898="!!!"),"",IF(OR(J2898=0,AND(J2898=1,K2898=1),AND(J2898=1,I2898="SBJ"),AND(J2898=1,I2898=0)),"?IN_FOCUS",IF(J2898&lt;=2,"?ACTIVATED",IF(J2898&lt;&gt;"","?FAMILIAR",IF(F2898="NEW",IF(ISNA(VLOOKUP(E2898,#REF!,1,FALSE())),"?TYPE_IDENTIFIABLE","?REFERENTIAL"),"_")))))</f>
        <v/>
      </c>
      <c r="H2898" s="27" t="str">
        <f aca="false">IF(J2898&lt;&gt;1,"",IF(I2898="SBJ","CB","?"))</f>
        <v/>
      </c>
      <c r="I2898" s="24" t="str">
        <f aca="false">IF(OR(E2898="",E2898="!!!",F2898="NEW"),"",INDEX(B6:B$2893,-1+SUMPRODUCT(MAX(ROW(E6:E$2893)*(E2898=E6:E$2893)))))</f>
        <v/>
      </c>
      <c r="J2898" s="24" t="str">
        <f aca="true">IF(OR(E2898="",E2898="!!!",F2898="NEW"),"",COUNTBLANK(OFFSET(A$1,,,SUMPRODUCT(MAX(ROW(E$2:E2898)*(E2898=E$2:E2898)))))-COUNTBLANK(OFFSET(A$1,,,SUMPRODUCT(MAX(ROW(E$1:E2897)*(E2=E$1:E2897))))))</f>
        <v/>
      </c>
      <c r="K2898" s="24" t="str">
        <f aca="false">IF(OR(E2898="",E2898="!!!",F2898="NEW"),"",INDEX(J$1:J2897,SUMPRODUCT(MAX(ROW(E$1:E2897)*(E2898=E$1:E2897)))))</f>
        <v/>
      </c>
      <c r="L2898" s="31"/>
    </row>
    <row r="2899" customFormat="false" ht="15" hidden="false" customHeight="false" outlineLevel="0" collapsed="false">
      <c r="A2899" s="20" t="s">
        <v>1125</v>
      </c>
      <c r="B2899" s="22" t="s">
        <v>1091</v>
      </c>
      <c r="E2899" s="23" t="str">
        <f aca="false">IF(D2899="?OLD","!!!","")</f>
        <v/>
      </c>
      <c r="F2899" s="25" t="str">
        <f aca="false">IF(OR(E2899="",E2899="!!!"),"",IF(NOT(ISNA(VLOOKUP(E2899,E$1:E2898,1,FALSE()))),"OLD",IF(AND(E2899&lt;&gt;"",E2899&lt;&gt;"!!!"),"NEW","")))</f>
        <v/>
      </c>
      <c r="G2899" s="26" t="str">
        <f aca="false">IF(OR(E2899="",E2899="!!!"),"",IF(OR(J2899=0,AND(J2899=1,K2899=1),AND(J2899=1,I2899="SBJ"),AND(J2899=1,I2899=0)),"?IN_FOCUS",IF(J2899&lt;=2,"?ACTIVATED",IF(J2899&lt;&gt;"","?FAMILIAR",IF(F2899="NEW",IF(ISNA(VLOOKUP(E2899,#REF!,1,FALSE())),"?TYPE_IDENTIFIABLE","?REFERENTIAL"),"_")))))</f>
        <v/>
      </c>
      <c r="H2899" s="27" t="str">
        <f aca="false">IF(J2899&lt;&gt;1,"",IF(I2899="SBJ","CB","?"))</f>
        <v/>
      </c>
      <c r="I2899" s="24" t="str">
        <f aca="false">IF(OR(E2899="",E2899="!!!",F2899="NEW"),"",INDEX(B7:B$2893,-1+SUMPRODUCT(MAX(ROW(E7:E$2893)*(E2899=E7:E$2893)))))</f>
        <v/>
      </c>
      <c r="J2899" s="24" t="str">
        <f aca="true">IF(OR(E2899="",E2899="!!!",F2899="NEW"),"",COUNTBLANK(OFFSET(A$1,,,SUMPRODUCT(MAX(ROW(E$2:E2899)*(E2899=E$2:E2899)))))-COUNTBLANK(OFFSET(A$1,,,SUMPRODUCT(MAX(ROW(E$1:E2898)*(E2=E$1:E2898))))))</f>
        <v/>
      </c>
      <c r="K2899" s="24" t="str">
        <f aca="false">IF(OR(E2899="",E2899="!!!",F2899="NEW"),"",INDEX(J$1:J2898,SUMPRODUCT(MAX(ROW(E$1:E2898)*(E2899=E$1:E2898)))))</f>
        <v/>
      </c>
      <c r="L2899" s="31"/>
    </row>
    <row r="2900" customFormat="false" ht="15" hidden="false" customHeight="false" outlineLevel="0" collapsed="false">
      <c r="A2900" s="20" t="s">
        <v>2052</v>
      </c>
      <c r="E2900" s="23" t="str">
        <f aca="false">IF(D2900="?OLD","!!!","")</f>
        <v/>
      </c>
      <c r="F2900" s="25" t="str">
        <f aca="false">IF(OR(E2900="",E2900="!!!"),"",IF(NOT(ISNA(VLOOKUP(E2900,E$1:E2899,1,FALSE()))),"OLD",IF(AND(E2900&lt;&gt;"",E2900&lt;&gt;"!!!"),"NEW","")))</f>
        <v/>
      </c>
      <c r="G2900" s="26" t="str">
        <f aca="false">IF(OR(E2900="",E2900="!!!"),"",IF(OR(J2900=0,AND(J2900=1,K2900=1),AND(J2900=1,I2900="SBJ"),AND(J2900=1,I2900=0)),"?IN_FOCUS",IF(J2900&lt;=2,"?ACTIVATED",IF(J2900&lt;&gt;"","?FAMILIAR",IF(F2900="NEW",IF(ISNA(VLOOKUP(E2900,#REF!,1,FALSE())),"?TYPE_IDENTIFIABLE","?REFERENTIAL"),"_")))))</f>
        <v/>
      </c>
      <c r="H2900" s="27" t="str">
        <f aca="false">IF(J2900&lt;&gt;1,"",IF(I2900="SBJ","CB","?"))</f>
        <v/>
      </c>
      <c r="I2900" s="24" t="str">
        <f aca="false">IF(OR(E2900="",E2900="!!!",F2900="NEW"),"",INDEX(B8:B$2893,-1+SUMPRODUCT(MAX(ROW(E8:E$2893)*(E2900=E8:E$2893)))))</f>
        <v/>
      </c>
      <c r="J2900" s="24" t="str">
        <f aca="true">IF(OR(E2900="",E2900="!!!",F2900="NEW"),"",COUNTBLANK(OFFSET(A$1,,,SUMPRODUCT(MAX(ROW(E$2:E2900)*(E2900=E$2:E2900)))))-COUNTBLANK(OFFSET(A$1,,,SUMPRODUCT(MAX(ROW(E$1:E2899)*(E2=E$1:E2899))))))</f>
        <v/>
      </c>
      <c r="K2900" s="24" t="str">
        <f aca="false">IF(OR(E2900="",E2900="!!!",F2900="NEW"),"",INDEX(J$1:J2899,SUMPRODUCT(MAX(ROW(E$1:E2899)*(E2900=E$1:E2899)))))</f>
        <v/>
      </c>
      <c r="L2900" s="31"/>
    </row>
    <row r="2901" customFormat="false" ht="15" hidden="false" customHeight="false" outlineLevel="0" collapsed="false">
      <c r="A2901" s="20" t="s">
        <v>576</v>
      </c>
      <c r="E2901" s="23" t="str">
        <f aca="false">IF(D2901="?OLD","!!!","")</f>
        <v/>
      </c>
      <c r="F2901" s="25" t="str">
        <f aca="false">IF(OR(E2901="",E2901="!!!"),"",IF(NOT(ISNA(VLOOKUP(E2901,E$1:E2900,1,FALSE()))),"OLD",IF(AND(E2901&lt;&gt;"",E2901&lt;&gt;"!!!"),"NEW","")))</f>
        <v/>
      </c>
      <c r="G2901" s="26" t="str">
        <f aca="false">IF(OR(E2901="",E2901="!!!"),"",IF(OR(J2901=0,AND(J2901=1,K2901=1),AND(J2901=1,I2901="SBJ"),AND(J2901=1,I2901=0)),"?IN_FOCUS",IF(J2901&lt;=2,"?ACTIVATED",IF(J2901&lt;&gt;"","?FAMILIAR",IF(F2901="NEW",IF(ISNA(VLOOKUP(E2901,#REF!,1,FALSE())),"?TYPE_IDENTIFIABLE","?REFERENTIAL"),"_")))))</f>
        <v/>
      </c>
      <c r="H2901" s="27" t="str">
        <f aca="false">IF(J2901&lt;&gt;1,"",IF(I2901="SBJ","CB","?"))</f>
        <v/>
      </c>
      <c r="I2901" s="24" t="str">
        <f aca="false">IF(OR(E2901="",E2901="!!!",F2901="NEW"),"",INDEX(B9:B$2893,-1+SUMPRODUCT(MAX(ROW(E9:E$2893)*(E2901=E9:E$2893)))))</f>
        <v/>
      </c>
      <c r="J2901" s="24" t="str">
        <f aca="true">IF(OR(E2901="",E2901="!!!",F2901="NEW"),"",COUNTBLANK(OFFSET(A$1,,,SUMPRODUCT(MAX(ROW(E$2:E2901)*(E2901=E$2:E2901)))))-COUNTBLANK(OFFSET(A$1,,,SUMPRODUCT(MAX(ROW(E$1:E2900)*(E2=E$1:E2900))))))</f>
        <v/>
      </c>
      <c r="K2901" s="24" t="str">
        <f aca="false">IF(OR(E2901="",E2901="!!!",F2901="NEW"),"",INDEX(J$1:J2900,SUMPRODUCT(MAX(ROW(E$1:E2900)*(E2901=E$1:E2900)))))</f>
        <v/>
      </c>
      <c r="L2901" s="31"/>
    </row>
    <row r="2902" customFormat="false" ht="15" hidden="false" customHeight="false" outlineLevel="0" collapsed="false">
      <c r="A2902" s="20" t="s">
        <v>2053</v>
      </c>
      <c r="E2902" s="23" t="str">
        <f aca="false">IF(D2902="?OLD","!!!","")</f>
        <v/>
      </c>
      <c r="F2902" s="25" t="str">
        <f aca="false">IF(OR(E2902="",E2902="!!!"),"",IF(NOT(ISNA(VLOOKUP(E2902,E$1:E2901,1,FALSE()))),"OLD",IF(AND(E2902&lt;&gt;"",E2902&lt;&gt;"!!!"),"NEW","")))</f>
        <v/>
      </c>
      <c r="G2902" s="26" t="str">
        <f aca="false">IF(OR(E2902="",E2902="!!!"),"",IF(OR(J2902=0,AND(J2902=1,K2902=1),AND(J2902=1,I2902="SBJ"),AND(J2902=1,I2902=0)),"?IN_FOCUS",IF(J2902&lt;=2,"?ACTIVATED",IF(J2902&lt;&gt;"","?FAMILIAR",IF(F2902="NEW",IF(ISNA(VLOOKUP(E2902,#REF!,1,FALSE())),"?TYPE_IDENTIFIABLE","?REFERENTIAL"),"_")))))</f>
        <v/>
      </c>
      <c r="H2902" s="27" t="str">
        <f aca="false">IF(J2902&lt;&gt;1,"",IF(I2902="SBJ","CB","?"))</f>
        <v/>
      </c>
      <c r="I2902" s="24" t="str">
        <f aca="false">IF(OR(E2902="",E2902="!!!",F2902="NEW"),"",INDEX(B10:B$2893,-1+SUMPRODUCT(MAX(ROW(E10:E$2893)*(E2902=E10:E$2893)))))</f>
        <v/>
      </c>
      <c r="J2902" s="24" t="str">
        <f aca="true">IF(OR(E2902="",E2902="!!!",F2902="NEW"),"",COUNTBLANK(OFFSET(A$1,,,SUMPRODUCT(MAX(ROW(E$2:E2902)*(E2902=E$2:E2902)))))-COUNTBLANK(OFFSET(A$1,,,SUMPRODUCT(MAX(ROW(E$1:E2901)*(E2=E$1:E2901))))))</f>
        <v/>
      </c>
      <c r="K2902" s="24" t="str">
        <f aca="false">IF(OR(E2902="",E2902="!!!",F2902="NEW"),"",INDEX(J$1:J2901,SUMPRODUCT(MAX(ROW(E$1:E2901)*(E2902=E$1:E2901)))))</f>
        <v/>
      </c>
      <c r="L2902" s="31"/>
    </row>
    <row r="2903" customFormat="false" ht="15" hidden="false" customHeight="false" outlineLevel="0" collapsed="false">
      <c r="A2903" s="20" t="s">
        <v>1213</v>
      </c>
      <c r="E2903" s="23" t="str">
        <f aca="false">IF(D2903="?OLD","!!!","")</f>
        <v/>
      </c>
      <c r="F2903" s="25" t="str">
        <f aca="false">IF(OR(E2903="",E2903="!!!"),"",IF(NOT(ISNA(VLOOKUP(E2903,E$1:E2902,1,FALSE()))),"OLD",IF(AND(E2903&lt;&gt;"",E2903&lt;&gt;"!!!"),"NEW","")))</f>
        <v/>
      </c>
      <c r="G2903" s="26" t="str">
        <f aca="false">IF(OR(E2903="",E2903="!!!"),"",IF(OR(J2903=0,AND(J2903=1,K2903=1),AND(J2903=1,I2903="SBJ"),AND(J2903=1,I2903=0)),"?IN_FOCUS",IF(J2903&lt;=2,"?ACTIVATED",IF(J2903&lt;&gt;"","?FAMILIAR",IF(F2903="NEW",IF(ISNA(VLOOKUP(E2903,#REF!,1,FALSE())),"?TYPE_IDENTIFIABLE","?REFERENTIAL"),"_")))))</f>
        <v/>
      </c>
      <c r="H2903" s="27" t="str">
        <f aca="false">IF(J2903&lt;&gt;1,"",IF(I2903="SBJ","CB","?"))</f>
        <v/>
      </c>
      <c r="I2903" s="24" t="str">
        <f aca="false">IF(OR(E2903="",E2903="!!!",F2903="NEW"),"",INDEX(B11:B$2893,-1+SUMPRODUCT(MAX(ROW(E11:E$2893)*(E2903=E11:E$2893)))))</f>
        <v/>
      </c>
      <c r="J2903" s="24" t="str">
        <f aca="true">IF(OR(E2903="",E2903="!!!",F2903="NEW"),"",COUNTBLANK(OFFSET(A$1,,,SUMPRODUCT(MAX(ROW(E$2:E2903)*(E2903=E$2:E2903)))))-COUNTBLANK(OFFSET(A$1,,,SUMPRODUCT(MAX(ROW(E$1:E2902)*(E2=E$1:E2902))))))</f>
        <v/>
      </c>
      <c r="K2903" s="24" t="str">
        <f aca="false">IF(OR(E2903="",E2903="!!!",F2903="NEW"),"",INDEX(J$1:J2902,SUMPRODUCT(MAX(ROW(E$1:E2902)*(E2903=E$1:E2902)))))</f>
        <v/>
      </c>
      <c r="L2903" s="31"/>
    </row>
    <row r="2904" customFormat="false" ht="15" hidden="false" customHeight="false" outlineLevel="0" collapsed="false">
      <c r="A2904" s="20" t="s">
        <v>1097</v>
      </c>
      <c r="B2904" s="22" t="s">
        <v>1107</v>
      </c>
      <c r="C2904" s="22" t="s">
        <v>1099</v>
      </c>
      <c r="D2904" s="22" t="s">
        <v>1060</v>
      </c>
      <c r="E2904" s="23" t="str">
        <f aca="false">IF(D2904="?OLD","!!!","")</f>
        <v>!!!</v>
      </c>
      <c r="F2904" s="25" t="str">
        <f aca="false">IF(OR(E2904="",E2904="!!!"),"",IF(NOT(ISNA(VLOOKUP(E2904,E$1:E2903,1,FALSE()))),"OLD",IF(AND(E2904&lt;&gt;"",E2904&lt;&gt;"!!!"),"NEW","")))</f>
        <v/>
      </c>
      <c r="G2904" s="26" t="str">
        <f aca="false">IF(OR(E2904="",E2904="!!!"),"",IF(OR(J2904=0,AND(J2904=1,K2904=1),AND(J2904=1,I2904="SBJ"),AND(J2904=1,I2904=0)),"?IN_FOCUS",IF(J2904&lt;=2,"?ACTIVATED",IF(J2904&lt;&gt;"","?FAMILIAR",IF(F2904="NEW",IF(ISNA(VLOOKUP(E2904,#REF!,1,FALSE())),"?TYPE_IDENTIFIABLE","?REFERENTIAL"),"_")))))</f>
        <v/>
      </c>
      <c r="H2904" s="27" t="str">
        <f aca="false">IF(J2904&lt;&gt;1,"",IF(I2904="SBJ","CB","?"))</f>
        <v/>
      </c>
      <c r="I2904" s="24" t="str">
        <f aca="false">IF(OR(E2904="",E2904="!!!",F2904="NEW"),"",INDEX(B12:B$2893,-1+SUMPRODUCT(MAX(ROW(E12:E$2893)*(E2904=E12:E$2893)))))</f>
        <v/>
      </c>
      <c r="J2904" s="24" t="str">
        <f aca="true">IF(OR(E2904="",E2904="!!!",F2904="NEW"),"",COUNTBLANK(OFFSET(A$1,,,SUMPRODUCT(MAX(ROW(E$2:E2904)*(E2904=E$2:E2904)))))-COUNTBLANK(OFFSET(A$1,,,SUMPRODUCT(MAX(ROW(E$1:E2903)*(E2=E$1:E2903))))))</f>
        <v/>
      </c>
      <c r="K2904" s="24" t="str">
        <f aca="false">IF(OR(E2904="",E2904="!!!",F2904="NEW"),"",INDEX(J$1:J2903,SUMPRODUCT(MAX(ROW(E$1:E2903)*(E2904=E$1:E2903)))))</f>
        <v/>
      </c>
      <c r="L2904" s="31"/>
    </row>
    <row r="2905" customFormat="false" ht="15" hidden="false" customHeight="false" outlineLevel="0" collapsed="false">
      <c r="A2905" s="20" t="s">
        <v>2054</v>
      </c>
      <c r="B2905" s="22" t="s">
        <v>1067</v>
      </c>
      <c r="C2905" s="22" t="s">
        <v>1059</v>
      </c>
      <c r="D2905" s="22" t="s">
        <v>1060</v>
      </c>
      <c r="E2905" s="23" t="str">
        <f aca="false">IF(D2905="?OLD","!!!","")</f>
        <v>!!!</v>
      </c>
      <c r="F2905" s="25" t="str">
        <f aca="false">IF(OR(E2905="",E2905="!!!"),"",IF(NOT(ISNA(VLOOKUP(E2905,E$1:E2904,1,FALSE()))),"OLD",IF(AND(E2905&lt;&gt;"",E2905&lt;&gt;"!!!"),"NEW","")))</f>
        <v/>
      </c>
      <c r="G2905" s="26" t="str">
        <f aca="false">IF(OR(E2905="",E2905="!!!"),"",IF(OR(J2905=0,AND(J2905=1,K2905=1),AND(J2905=1,I2905="SBJ"),AND(J2905=1,I2905=0)),"?IN_FOCUS",IF(J2905&lt;=2,"?ACTIVATED",IF(J2905&lt;&gt;"","?FAMILIAR",IF(F2905="NEW",IF(ISNA(VLOOKUP(E2905,#REF!,1,FALSE())),"?TYPE_IDENTIFIABLE","?REFERENTIAL"),"_")))))</f>
        <v/>
      </c>
      <c r="H2905" s="27" t="str">
        <f aca="false">IF(J2905&lt;&gt;1,"",IF(I2905="SBJ","CB","?"))</f>
        <v/>
      </c>
      <c r="I2905" s="24" t="str">
        <f aca="false">IF(OR(E2905="",E2905="!!!",F2905="NEW"),"",INDEX(B13:B$2893,-1+SUMPRODUCT(MAX(ROW(E13:E$2893)*(E2905=E13:E$2893)))))</f>
        <v/>
      </c>
      <c r="J2905" s="24" t="str">
        <f aca="true">IF(OR(E2905="",E2905="!!!",F2905="NEW"),"",COUNTBLANK(OFFSET(A$1,,,SUMPRODUCT(MAX(ROW(E$2:E2905)*(E2905=E$2:E2905)))))-COUNTBLANK(OFFSET(A$1,,,SUMPRODUCT(MAX(ROW(E$1:E2904)*(E2=E$1:E2904))))))</f>
        <v/>
      </c>
      <c r="K2905" s="24" t="str">
        <f aca="false">IF(OR(E2905="",E2905="!!!",F2905="NEW"),"",INDEX(J$1:J2904,SUMPRODUCT(MAX(ROW(E$1:E2904)*(E2905=E$1:E2904)))))</f>
        <v/>
      </c>
      <c r="L2905" s="31"/>
    </row>
    <row r="2906" customFormat="false" ht="15" hidden="false" customHeight="false" outlineLevel="0" collapsed="false">
      <c r="A2906" s="20" t="s">
        <v>1064</v>
      </c>
      <c r="E2906" s="23" t="str">
        <f aca="false">IF(D2906="?OLD","!!!","")</f>
        <v/>
      </c>
      <c r="F2906" s="25" t="str">
        <f aca="false">IF(OR(E2906="",E2906="!!!"),"",IF(NOT(ISNA(VLOOKUP(E2906,E$1:E2905,1,FALSE()))),"OLD",IF(AND(E2906&lt;&gt;"",E2906&lt;&gt;"!!!"),"NEW","")))</f>
        <v/>
      </c>
      <c r="G2906" s="26" t="str">
        <f aca="false">IF(OR(E2906="",E2906="!!!"),"",IF(OR(J2906=0,AND(J2906=1,K2906=1),AND(J2906=1,I2906="SBJ"),AND(J2906=1,I2906=0)),"?IN_FOCUS",IF(J2906&lt;=2,"?ACTIVATED",IF(J2906&lt;&gt;"","?FAMILIAR",IF(F2906="NEW",IF(ISNA(VLOOKUP(E2906,#REF!,1,FALSE())),"?TYPE_IDENTIFIABLE","?REFERENTIAL"),"_")))))</f>
        <v/>
      </c>
      <c r="H2906" s="27" t="str">
        <f aca="false">IF(J2906&lt;&gt;1,"",IF(I2906="SBJ","CB","?"))</f>
        <v/>
      </c>
      <c r="I2906" s="24" t="str">
        <f aca="false">IF(OR(E2906="",E2906="!!!",F2906="NEW"),"",INDEX(B14:B$2893,-1+SUMPRODUCT(MAX(ROW(E14:E$2893)*(E2906=E14:E$2893)))))</f>
        <v/>
      </c>
      <c r="J2906" s="24" t="str">
        <f aca="true">IF(OR(E2906="",E2906="!!!",F2906="NEW"),"",COUNTBLANK(OFFSET(A$1,,,SUMPRODUCT(MAX(ROW(E$2:E2906)*(E2906=E$2:E2906)))))-COUNTBLANK(OFFSET(A$1,,,SUMPRODUCT(MAX(ROW(E$1:E2905)*(E2=E$1:E2905))))))</f>
        <v/>
      </c>
      <c r="K2906" s="24" t="str">
        <f aca="false">IF(OR(E2906="",E2906="!!!",F2906="NEW"),"",INDEX(J$1:J2905,SUMPRODUCT(MAX(ROW(E$1:E2905)*(E2906=E$1:E2905)))))</f>
        <v/>
      </c>
      <c r="L2906" s="31"/>
    </row>
    <row r="2907" customFormat="false" ht="15" hidden="false" customHeight="false" outlineLevel="0" collapsed="false">
      <c r="A2907" s="20" t="s">
        <v>2055</v>
      </c>
      <c r="B2907" s="22" t="s">
        <v>1107</v>
      </c>
      <c r="C2907" s="22" t="s">
        <v>1160</v>
      </c>
      <c r="E2907" s="23" t="str">
        <f aca="false">IF(D2907="?OLD","!!!","")</f>
        <v/>
      </c>
      <c r="F2907" s="25" t="str">
        <f aca="false">IF(OR(E2907="",E2907="!!!"),"",IF(NOT(ISNA(VLOOKUP(E2907,E$1:E2906,1,FALSE()))),"OLD",IF(AND(E2907&lt;&gt;"",E2907&lt;&gt;"!!!"),"NEW","")))</f>
        <v/>
      </c>
      <c r="G2907" s="26" t="str">
        <f aca="false">IF(OR(E2907="",E2907="!!!"),"",IF(OR(J2907=0,AND(J2907=1,K2907=1),AND(J2907=1,I2907="SBJ"),AND(J2907=1,I2907=0)),"?IN_FOCUS",IF(J2907&lt;=2,"?ACTIVATED",IF(J2907&lt;&gt;"","?FAMILIAR",IF(F2907="NEW",IF(ISNA(VLOOKUP(E2907,#REF!,1,FALSE())),"?TYPE_IDENTIFIABLE","?REFERENTIAL"),"_")))))</f>
        <v/>
      </c>
      <c r="H2907" s="27" t="str">
        <f aca="false">IF(J2907&lt;&gt;1,"",IF(I2907="SBJ","CB","?"))</f>
        <v/>
      </c>
      <c r="I2907" s="24" t="str">
        <f aca="false">IF(OR(E2907="",E2907="!!!",F2907="NEW"),"",INDEX(B15:B$2893,-1+SUMPRODUCT(MAX(ROW(E15:E$2893)*(E2907=E15:E$2893)))))</f>
        <v/>
      </c>
      <c r="J2907" s="24" t="str">
        <f aca="true">IF(OR(E2907="",E2907="!!!",F2907="NEW"),"",COUNTBLANK(OFFSET(A$1,,,SUMPRODUCT(MAX(ROW(E$2:E2907)*(E2907=E$2:E2907)))))-COUNTBLANK(OFFSET(A$1,,,SUMPRODUCT(MAX(ROW(E$1:E2906)*(E2=E$1:E2906))))))</f>
        <v/>
      </c>
      <c r="K2907" s="24" t="str">
        <f aca="false">IF(OR(E2907="",E2907="!!!",F2907="NEW"),"",INDEX(J$1:J2906,SUMPRODUCT(MAX(ROW(E$1:E2906)*(E2907=E$1:E2906)))))</f>
        <v/>
      </c>
      <c r="L2907" s="31"/>
    </row>
    <row r="2908" customFormat="false" ht="15" hidden="false" customHeight="false" outlineLevel="0" collapsed="false">
      <c r="A2908" s="20" t="s">
        <v>923</v>
      </c>
      <c r="E2908" s="23" t="str">
        <f aca="false">IF(D2908="?OLD","!!!","")</f>
        <v/>
      </c>
      <c r="F2908" s="25" t="str">
        <f aca="false">IF(OR(E2908="",E2908="!!!"),"",IF(NOT(ISNA(VLOOKUP(E2908,E$1:E2907,1,FALSE()))),"OLD",IF(AND(E2908&lt;&gt;"",E2908&lt;&gt;"!!!"),"NEW","")))</f>
        <v/>
      </c>
      <c r="G2908" s="26" t="str">
        <f aca="false">IF(OR(E2908="",E2908="!!!"),"",IF(OR(J2908=0,AND(J2908=1,K2908=1),AND(J2908=1,I2908="SBJ"),AND(J2908=1,I2908=0)),"?IN_FOCUS",IF(J2908&lt;=2,"?ACTIVATED",IF(J2908&lt;&gt;"","?FAMILIAR",IF(F2908="NEW",IF(ISNA(VLOOKUP(E2908,#REF!,1,FALSE())),"?TYPE_IDENTIFIABLE","?REFERENTIAL"),"_")))))</f>
        <v/>
      </c>
      <c r="H2908" s="27" t="str">
        <f aca="false">IF(J2908&lt;&gt;1,"",IF(I2908="SBJ","CB","?"))</f>
        <v/>
      </c>
      <c r="I2908" s="24" t="str">
        <f aca="false">IF(OR(E2908="",E2908="!!!",F2908="NEW"),"",INDEX(B16:B$2893,-1+SUMPRODUCT(MAX(ROW(E16:E$2893)*(E2908=E16:E$2893)))))</f>
        <v/>
      </c>
      <c r="J2908" s="24" t="str">
        <f aca="true">IF(OR(E2908="",E2908="!!!",F2908="NEW"),"",COUNTBLANK(OFFSET(A$1,,,SUMPRODUCT(MAX(ROW(E$2:E2908)*(E2908=E$2:E2908)))))-COUNTBLANK(OFFSET(A$1,,,SUMPRODUCT(MAX(ROW(E$1:E2907)*(E2=E$1:E2907))))))</f>
        <v/>
      </c>
      <c r="K2908" s="24" t="str">
        <f aca="false">IF(OR(E2908="",E2908="!!!",F2908="NEW"),"",INDEX(J$1:J2907,SUMPRODUCT(MAX(ROW(E$1:E2907)*(E2908=E$1:E2907)))))</f>
        <v/>
      </c>
      <c r="L2908" s="31"/>
    </row>
    <row r="2909" customFormat="false" ht="15" hidden="false" customHeight="false" outlineLevel="0" collapsed="false">
      <c r="A2909" s="20"/>
    </row>
    <row r="2910" customFormat="false" ht="15" hidden="false" customHeight="false" outlineLevel="0" collapsed="false">
      <c r="A2910" s="20" t="s">
        <v>2056</v>
      </c>
    </row>
    <row r="2911" customFormat="false" ht="15" hidden="false" customHeight="false" outlineLevel="0" collapsed="false">
      <c r="A2911" s="20" t="s">
        <v>1277</v>
      </c>
      <c r="B2911" s="22" t="s">
        <v>1058</v>
      </c>
      <c r="C2911" s="22" t="s">
        <v>1082</v>
      </c>
      <c r="D2911" s="22" t="s">
        <v>1060</v>
      </c>
      <c r="E2911" s="23" t="str">
        <f aca="false">IF(D2911="?OLD","!!!","")</f>
        <v>!!!</v>
      </c>
      <c r="F2911" s="25" t="str">
        <f aca="false">IF(OR(E2911="",E2911="!!!"),"",IF(NOT(ISNA(VLOOKUP(E2911,E$1:E2910,1,FALSE()))),"OLD",IF(AND(E2911&lt;&gt;"",E2911&lt;&gt;"!!!"),"NEW","")))</f>
        <v/>
      </c>
      <c r="G2911" s="26" t="str">
        <f aca="false">IF(OR(E2911="",E2911="!!!"),"",IF(OR(J2911=0,AND(J2911=1,K2911=1),AND(J2911=1,I2911="SBJ"),AND(J2911=1,I2911=0)),"?IN_FOCUS",IF(J2911&lt;=2,"?ACTIVATED",IF(J2911&lt;&gt;"","?FAMILIAR",IF(F2911="NEW",IF(ISNA(VLOOKUP(E2911,#REF!,1,FALSE())),"?TYPE_IDENTIFIABLE","?REFERENTIAL"),"_")))))</f>
        <v/>
      </c>
      <c r="H2911" s="27" t="str">
        <f aca="false">IF(J2911&lt;&gt;1,"",IF(I2911="SBJ","CB","?"))</f>
        <v/>
      </c>
      <c r="I2911" s="24" t="str">
        <f aca="false">IF(OR(E2911="",E2911="!!!",F2911="NEW"),"",INDEX(B2:B$2910,-1+SUMPRODUCT(MAX(ROW(E2:E$2910)*(E2911=E2:E$2910)))))</f>
        <v/>
      </c>
      <c r="J2911" s="24" t="str">
        <f aca="true">IF(OR(E2911="",E2911="!!!",F2911="NEW"),"",COUNTBLANK(OFFSET(A$1,,,SUMPRODUCT(MAX(ROW(E$2:E2911)*(E2911=E$2:E2911)))))-COUNTBLANK(OFFSET(A$1,,,SUMPRODUCT(MAX(ROW(E$1:E2910)*(E2=E$1:E2910))))))</f>
        <v/>
      </c>
      <c r="K2911" s="24" t="str">
        <f aca="false">IF(OR(E2911="",E2911="!!!",F2911="NEW"),"",INDEX(J$1:J2910,SUMPRODUCT(MAX(ROW(E$1:E2910)*(E2911=E$1:E2910)))))</f>
        <v/>
      </c>
      <c r="L2911" s="31"/>
    </row>
    <row r="2912" customFormat="false" ht="15" hidden="false" customHeight="false" outlineLevel="0" collapsed="false">
      <c r="A2912" s="20" t="s">
        <v>561</v>
      </c>
      <c r="E2912" s="23" t="str">
        <f aca="false">IF(D2912="?OLD","!!!","")</f>
        <v/>
      </c>
      <c r="F2912" s="25" t="str">
        <f aca="false">IF(OR(E2912="",E2912="!!!"),"",IF(NOT(ISNA(VLOOKUP(E2912,E$1:E2911,1,FALSE()))),"OLD",IF(AND(E2912&lt;&gt;"",E2912&lt;&gt;"!!!"),"NEW","")))</f>
        <v/>
      </c>
      <c r="G2912" s="26" t="str">
        <f aca="false">IF(OR(E2912="",E2912="!!!"),"",IF(OR(J2912=0,AND(J2912=1,K2912=1),AND(J2912=1,I2912="SBJ"),AND(J2912=1,I2912=0)),"?IN_FOCUS",IF(J2912&lt;=2,"?ACTIVATED",IF(J2912&lt;&gt;"","?FAMILIAR",IF(F2912="NEW",IF(ISNA(VLOOKUP(E2912,#REF!,1,FALSE())),"?TYPE_IDENTIFIABLE","?REFERENTIAL"),"_")))))</f>
        <v/>
      </c>
      <c r="H2912" s="27" t="str">
        <f aca="false">IF(J2912&lt;&gt;1,"",IF(I2912="SBJ","CB","?"))</f>
        <v/>
      </c>
      <c r="I2912" s="24" t="str">
        <f aca="false">IF(OR(E2912="",E2912="!!!",F2912="NEW"),"",INDEX(B3:B$2910,-1+SUMPRODUCT(MAX(ROW(E3:E$2910)*(E2912=E3:E$2910)))))</f>
        <v/>
      </c>
      <c r="J2912" s="24" t="str">
        <f aca="true">IF(OR(E2912="",E2912="!!!",F2912="NEW"),"",COUNTBLANK(OFFSET(A$1,,,SUMPRODUCT(MAX(ROW(E$2:E2912)*(E2912=E$2:E2912)))))-COUNTBLANK(OFFSET(A$1,,,SUMPRODUCT(MAX(ROW(E$1:E2911)*(E2=E$1:E2911))))))</f>
        <v/>
      </c>
      <c r="K2912" s="24" t="str">
        <f aca="false">IF(OR(E2912="",E2912="!!!",F2912="NEW"),"",INDEX(J$1:J2911,SUMPRODUCT(MAX(ROW(E$1:E2911)*(E2912=E$1:E2911)))))</f>
        <v/>
      </c>
      <c r="L2912" s="31"/>
    </row>
    <row r="2913" customFormat="false" ht="15" hidden="false" customHeight="false" outlineLevel="0" collapsed="false">
      <c r="A2913" s="20" t="s">
        <v>1304</v>
      </c>
      <c r="B2913" s="22" t="s">
        <v>1081</v>
      </c>
      <c r="C2913" s="22" t="s">
        <v>1082</v>
      </c>
      <c r="D2913" s="22" t="s">
        <v>1060</v>
      </c>
      <c r="E2913" s="23" t="str">
        <f aca="false">IF(D2913="?OLD","!!!","")</f>
        <v>!!!</v>
      </c>
      <c r="F2913" s="25" t="str">
        <f aca="false">IF(OR(E2913="",E2913="!!!"),"",IF(NOT(ISNA(VLOOKUP(E2913,E$1:E2912,1,FALSE()))),"OLD",IF(AND(E2913&lt;&gt;"",E2913&lt;&gt;"!!!"),"NEW","")))</f>
        <v/>
      </c>
      <c r="G2913" s="26" t="str">
        <f aca="false">IF(OR(E2913="",E2913="!!!"),"",IF(OR(J2913=0,AND(J2913=1,K2913=1),AND(J2913=1,I2913="SBJ"),AND(J2913=1,I2913=0)),"?IN_FOCUS",IF(J2913&lt;=2,"?ACTIVATED",IF(J2913&lt;&gt;"","?FAMILIAR",IF(F2913="NEW",IF(ISNA(VLOOKUP(E2913,#REF!,1,FALSE())),"?TYPE_IDENTIFIABLE","?REFERENTIAL"),"_")))))</f>
        <v/>
      </c>
      <c r="H2913" s="27" t="str">
        <f aca="false">IF(J2913&lt;&gt;1,"",IF(I2913="SBJ","CB","?"))</f>
        <v/>
      </c>
      <c r="I2913" s="24" t="str">
        <f aca="false">IF(OR(E2913="",E2913="!!!",F2913="NEW"),"",INDEX(B4:B$2910,-1+SUMPRODUCT(MAX(ROW(E4:E$2910)*(E2913=E4:E$2910)))))</f>
        <v/>
      </c>
      <c r="J2913" s="24" t="str">
        <f aca="true">IF(OR(E2913="",E2913="!!!",F2913="NEW"),"",COUNTBLANK(OFFSET(A$1,,,SUMPRODUCT(MAX(ROW(E$2:E2913)*(E2913=E$2:E2913)))))-COUNTBLANK(OFFSET(A$1,,,SUMPRODUCT(MAX(ROW(E$1:E2912)*(E2=E$1:E2912))))))</f>
        <v/>
      </c>
      <c r="K2913" s="24" t="str">
        <f aca="false">IF(OR(E2913="",E2913="!!!",F2913="NEW"),"",INDEX(J$1:J2912,SUMPRODUCT(MAX(ROW(E$1:E2912)*(E2913=E$1:E2912)))))</f>
        <v/>
      </c>
      <c r="L2913" s="31"/>
    </row>
    <row r="2914" customFormat="false" ht="15" hidden="false" customHeight="false" outlineLevel="0" collapsed="false">
      <c r="A2914" s="20" t="s">
        <v>1085</v>
      </c>
      <c r="E2914" s="23" t="str">
        <f aca="false">IF(D2914="?OLD","!!!","")</f>
        <v/>
      </c>
      <c r="F2914" s="25" t="str">
        <f aca="false">IF(OR(E2914="",E2914="!!!"),"",IF(NOT(ISNA(VLOOKUP(E2914,E$1:E2913,1,FALSE()))),"OLD",IF(AND(E2914&lt;&gt;"",E2914&lt;&gt;"!!!"),"NEW","")))</f>
        <v/>
      </c>
      <c r="G2914" s="26" t="str">
        <f aca="false">IF(OR(E2914="",E2914="!!!"),"",IF(OR(J2914=0,AND(J2914=1,K2914=1),AND(J2914=1,I2914="SBJ"),AND(J2914=1,I2914=0)),"?IN_FOCUS",IF(J2914&lt;=2,"?ACTIVATED",IF(J2914&lt;&gt;"","?FAMILIAR",IF(F2914="NEW",IF(ISNA(VLOOKUP(E2914,#REF!,1,FALSE())),"?TYPE_IDENTIFIABLE","?REFERENTIAL"),"_")))))</f>
        <v/>
      </c>
      <c r="H2914" s="27" t="str">
        <f aca="false">IF(J2914&lt;&gt;1,"",IF(I2914="SBJ","CB","?"))</f>
        <v/>
      </c>
      <c r="I2914" s="24" t="str">
        <f aca="false">IF(OR(E2914="",E2914="!!!",F2914="NEW"),"",INDEX(B5:B$2910,-1+SUMPRODUCT(MAX(ROW(E5:E$2910)*(E2914=E5:E$2910)))))</f>
        <v/>
      </c>
      <c r="J2914" s="24" t="str">
        <f aca="true">IF(OR(E2914="",E2914="!!!",F2914="NEW"),"",COUNTBLANK(OFFSET(A$1,,,SUMPRODUCT(MAX(ROW(E$2:E2914)*(E2914=E$2:E2914)))))-COUNTBLANK(OFFSET(A$1,,,SUMPRODUCT(MAX(ROW(E$1:E2913)*(E2=E$1:E2913))))))</f>
        <v/>
      </c>
      <c r="K2914" s="24" t="str">
        <f aca="false">IF(OR(E2914="",E2914="!!!",F2914="NEW"),"",INDEX(J$1:J2913,SUMPRODUCT(MAX(ROW(E$1:E2913)*(E2914=E$1:E2913)))))</f>
        <v/>
      </c>
      <c r="L2914" s="31"/>
    </row>
    <row r="2915" customFormat="false" ht="15" hidden="false" customHeight="false" outlineLevel="0" collapsed="false">
      <c r="A2915" s="20" t="s">
        <v>1940</v>
      </c>
      <c r="E2915" s="23" t="str">
        <f aca="false">IF(D2915="?OLD","!!!","")</f>
        <v/>
      </c>
      <c r="F2915" s="25" t="str">
        <f aca="false">IF(OR(E2915="",E2915="!!!"),"",IF(NOT(ISNA(VLOOKUP(E2915,E$1:E2914,1,FALSE()))),"OLD",IF(AND(E2915&lt;&gt;"",E2915&lt;&gt;"!!!"),"NEW","")))</f>
        <v/>
      </c>
      <c r="G2915" s="26" t="str">
        <f aca="false">IF(OR(E2915="",E2915="!!!"),"",IF(OR(J2915=0,AND(J2915=1,K2915=1),AND(J2915=1,I2915="SBJ"),AND(J2915=1,I2915=0)),"?IN_FOCUS",IF(J2915&lt;=2,"?ACTIVATED",IF(J2915&lt;&gt;"","?FAMILIAR",IF(F2915="NEW",IF(ISNA(VLOOKUP(E2915,#REF!,1,FALSE())),"?TYPE_IDENTIFIABLE","?REFERENTIAL"),"_")))))</f>
        <v/>
      </c>
      <c r="H2915" s="27" t="str">
        <f aca="false">IF(J2915&lt;&gt;1,"",IF(I2915="SBJ","CB","?"))</f>
        <v/>
      </c>
      <c r="I2915" s="24" t="str">
        <f aca="false">IF(OR(E2915="",E2915="!!!",F2915="NEW"),"",INDEX(B6:B$2910,-1+SUMPRODUCT(MAX(ROW(E6:E$2910)*(E2915=E6:E$2910)))))</f>
        <v/>
      </c>
      <c r="J2915" s="24" t="str">
        <f aca="true">IF(OR(E2915="",E2915="!!!",F2915="NEW"),"",COUNTBLANK(OFFSET(A$1,,,SUMPRODUCT(MAX(ROW(E$2:E2915)*(E2915=E$2:E2915)))))-COUNTBLANK(OFFSET(A$1,,,SUMPRODUCT(MAX(ROW(E$1:E2914)*(E2=E$1:E2914))))))</f>
        <v/>
      </c>
      <c r="K2915" s="24" t="str">
        <f aca="false">IF(OR(E2915="",E2915="!!!",F2915="NEW"),"",INDEX(J$1:J2914,SUMPRODUCT(MAX(ROW(E$1:E2914)*(E2915=E$1:E2914)))))</f>
        <v/>
      </c>
      <c r="L2915" s="31"/>
    </row>
    <row r="2916" customFormat="false" ht="15" hidden="false" customHeight="false" outlineLevel="0" collapsed="false">
      <c r="A2916" s="20" t="s">
        <v>2057</v>
      </c>
      <c r="B2916" s="22" t="s">
        <v>1081</v>
      </c>
      <c r="C2916" s="22" t="s">
        <v>1087</v>
      </c>
      <c r="E2916" s="23" t="str">
        <f aca="false">IF(D2916="?OLD","!!!","")</f>
        <v/>
      </c>
      <c r="F2916" s="25" t="str">
        <f aca="false">IF(OR(E2916="",E2916="!!!"),"",IF(NOT(ISNA(VLOOKUP(E2916,E$1:E2915,1,FALSE()))),"OLD",IF(AND(E2916&lt;&gt;"",E2916&lt;&gt;"!!!"),"NEW","")))</f>
        <v/>
      </c>
      <c r="G2916" s="26" t="str">
        <f aca="false">IF(OR(E2916="",E2916="!!!"),"",IF(OR(J2916=0,AND(J2916=1,K2916=1),AND(J2916=1,I2916="SBJ"),AND(J2916=1,I2916=0)),"?IN_FOCUS",IF(J2916&lt;=2,"?ACTIVATED",IF(J2916&lt;&gt;"","?FAMILIAR",IF(F2916="NEW",IF(ISNA(VLOOKUP(E2916,#REF!,1,FALSE())),"?TYPE_IDENTIFIABLE","?REFERENTIAL"),"_")))))</f>
        <v/>
      </c>
      <c r="H2916" s="27" t="str">
        <f aca="false">IF(J2916&lt;&gt;1,"",IF(I2916="SBJ","CB","?"))</f>
        <v/>
      </c>
      <c r="I2916" s="24" t="str">
        <f aca="false">IF(OR(E2916="",E2916="!!!",F2916="NEW"),"",INDEX(B7:B$2910,-1+SUMPRODUCT(MAX(ROW(E7:E$2910)*(E2916=E7:E$2910)))))</f>
        <v/>
      </c>
      <c r="J2916" s="24" t="str">
        <f aca="true">IF(OR(E2916="",E2916="!!!",F2916="NEW"),"",COUNTBLANK(OFFSET(A$1,,,SUMPRODUCT(MAX(ROW(E$2:E2916)*(E2916=E$2:E2916)))))-COUNTBLANK(OFFSET(A$1,,,SUMPRODUCT(MAX(ROW(E$1:E2915)*(E2=E$1:E2915))))))</f>
        <v/>
      </c>
      <c r="K2916" s="24" t="str">
        <f aca="false">IF(OR(E2916="",E2916="!!!",F2916="NEW"),"",INDEX(J$1:J2915,SUMPRODUCT(MAX(ROW(E$1:E2915)*(E2916=E$1:E2915)))))</f>
        <v/>
      </c>
      <c r="L2916" s="31"/>
    </row>
    <row r="2917" customFormat="false" ht="15" hidden="false" customHeight="false" outlineLevel="0" collapsed="false">
      <c r="A2917" s="20" t="s">
        <v>1076</v>
      </c>
      <c r="E2917" s="23" t="str">
        <f aca="false">IF(D2917="?OLD","!!!","")</f>
        <v/>
      </c>
      <c r="F2917" s="25" t="str">
        <f aca="false">IF(OR(E2917="",E2917="!!!"),"",IF(NOT(ISNA(VLOOKUP(E2917,E$1:E2916,1,FALSE()))),"OLD",IF(AND(E2917&lt;&gt;"",E2917&lt;&gt;"!!!"),"NEW","")))</f>
        <v/>
      </c>
      <c r="G2917" s="26" t="str">
        <f aca="false">IF(OR(E2917="",E2917="!!!"),"",IF(OR(J2917=0,AND(J2917=1,K2917=1),AND(J2917=1,I2917="SBJ"),AND(J2917=1,I2917=0)),"?IN_FOCUS",IF(J2917&lt;=2,"?ACTIVATED",IF(J2917&lt;&gt;"","?FAMILIAR",IF(F2917="NEW",IF(ISNA(VLOOKUP(E2917,#REF!,1,FALSE())),"?TYPE_IDENTIFIABLE","?REFERENTIAL"),"_")))))</f>
        <v/>
      </c>
      <c r="H2917" s="27" t="str">
        <f aca="false">IF(J2917&lt;&gt;1,"",IF(I2917="SBJ","CB","?"))</f>
        <v/>
      </c>
      <c r="I2917" s="24" t="str">
        <f aca="false">IF(OR(E2917="",E2917="!!!",F2917="NEW"),"",INDEX(B8:B$2910,-1+SUMPRODUCT(MAX(ROW(E8:E$2910)*(E2917=E8:E$2910)))))</f>
        <v/>
      </c>
      <c r="J2917" s="24" t="str">
        <f aca="true">IF(OR(E2917="",E2917="!!!",F2917="NEW"),"",COUNTBLANK(OFFSET(A$1,,,SUMPRODUCT(MAX(ROW(E$2:E2917)*(E2917=E$2:E2917)))))-COUNTBLANK(OFFSET(A$1,,,SUMPRODUCT(MAX(ROW(E$1:E2916)*(E2=E$1:E2916))))))</f>
        <v/>
      </c>
      <c r="K2917" s="24" t="str">
        <f aca="false">IF(OR(E2917="",E2917="!!!",F2917="NEW"),"",INDEX(J$1:J2916,SUMPRODUCT(MAX(ROW(E$1:E2916)*(E2917=E$1:E2916)))))</f>
        <v/>
      </c>
      <c r="L2917" s="31"/>
    </row>
    <row r="2918" customFormat="false" ht="15" hidden="false" customHeight="false" outlineLevel="0" collapsed="false">
      <c r="A2918" s="20" t="s">
        <v>499</v>
      </c>
      <c r="B2918" s="22" t="s">
        <v>1073</v>
      </c>
      <c r="C2918" s="22" t="s">
        <v>1068</v>
      </c>
      <c r="D2918" s="22" t="s">
        <v>1060</v>
      </c>
      <c r="E2918" s="23" t="str">
        <f aca="false">IF(D2918="?OLD","!!!","")</f>
        <v>!!!</v>
      </c>
      <c r="F2918" s="25" t="str">
        <f aca="false">IF(OR(E2918="",E2918="!!!"),"",IF(NOT(ISNA(VLOOKUP(E2918,E$1:E2917,1,FALSE()))),"OLD",IF(AND(E2918&lt;&gt;"",E2918&lt;&gt;"!!!"),"NEW","")))</f>
        <v/>
      </c>
      <c r="G2918" s="26" t="str">
        <f aca="false">IF(OR(E2918="",E2918="!!!"),"",IF(OR(J2918=0,AND(J2918=1,K2918=1),AND(J2918=1,I2918="SBJ"),AND(J2918=1,I2918=0)),"?IN_FOCUS",IF(J2918&lt;=2,"?ACTIVATED",IF(J2918&lt;&gt;"","?FAMILIAR",IF(F2918="NEW",IF(ISNA(VLOOKUP(E2918,#REF!,1,FALSE())),"?TYPE_IDENTIFIABLE","?REFERENTIAL"),"_")))))</f>
        <v/>
      </c>
      <c r="H2918" s="27" t="str">
        <f aca="false">IF(J2918&lt;&gt;1,"",IF(I2918="SBJ","CB","?"))</f>
        <v/>
      </c>
      <c r="I2918" s="24" t="str">
        <f aca="false">IF(OR(E2918="",E2918="!!!",F2918="NEW"),"",INDEX(B9:B$2910,-1+SUMPRODUCT(MAX(ROW(E9:E$2910)*(E2918=E9:E$2910)))))</f>
        <v/>
      </c>
      <c r="J2918" s="24" t="str">
        <f aca="true">IF(OR(E2918="",E2918="!!!",F2918="NEW"),"",COUNTBLANK(OFFSET(A$1,,,SUMPRODUCT(MAX(ROW(E$2:E2918)*(E2918=E$2:E2918)))))-COUNTBLANK(OFFSET(A$1,,,SUMPRODUCT(MAX(ROW(E$1:E2917)*(E2=E$1:E2917))))))</f>
        <v/>
      </c>
      <c r="K2918" s="24" t="str">
        <f aca="false">IF(OR(E2918="",E2918="!!!",F2918="NEW"),"",INDEX(J$1:J2917,SUMPRODUCT(MAX(ROW(E$1:E2917)*(E2918=E$1:E2917)))))</f>
        <v/>
      </c>
      <c r="L2918" s="31"/>
    </row>
    <row r="2919" customFormat="false" ht="15" hidden="false" customHeight="false" outlineLevel="0" collapsed="false">
      <c r="A2919" s="20" t="s">
        <v>1481</v>
      </c>
      <c r="E2919" s="23" t="str">
        <f aca="false">IF(D2919="?OLD","!!!","")</f>
        <v/>
      </c>
      <c r="F2919" s="25" t="str">
        <f aca="false">IF(OR(E2919="",E2919="!!!"),"",IF(NOT(ISNA(VLOOKUP(E2919,E$1:E2918,1,FALSE()))),"OLD",IF(AND(E2919&lt;&gt;"",E2919&lt;&gt;"!!!"),"NEW","")))</f>
        <v/>
      </c>
      <c r="G2919" s="26" t="str">
        <f aca="false">IF(OR(E2919="",E2919="!!!"),"",IF(OR(J2919=0,AND(J2919=1,K2919=1),AND(J2919=1,I2919="SBJ"),AND(J2919=1,I2919=0)),"?IN_FOCUS",IF(J2919&lt;=2,"?ACTIVATED",IF(J2919&lt;&gt;"","?FAMILIAR",IF(F2919="NEW",IF(ISNA(VLOOKUP(E2919,#REF!,1,FALSE())),"?TYPE_IDENTIFIABLE","?REFERENTIAL"),"_")))))</f>
        <v/>
      </c>
      <c r="H2919" s="27" t="str">
        <f aca="false">IF(J2919&lt;&gt;1,"",IF(I2919="SBJ","CB","?"))</f>
        <v/>
      </c>
      <c r="I2919" s="24" t="str">
        <f aca="false">IF(OR(E2919="",E2919="!!!",F2919="NEW"),"",INDEX(B10:B$2910,-1+SUMPRODUCT(MAX(ROW(E10:E$2910)*(E2919=E10:E$2910)))))</f>
        <v/>
      </c>
      <c r="J2919" s="24" t="str">
        <f aca="true">IF(OR(E2919="",E2919="!!!",F2919="NEW"),"",COUNTBLANK(OFFSET(A$1,,,SUMPRODUCT(MAX(ROW(E$2:E2919)*(E2919=E$2:E2919)))))-COUNTBLANK(OFFSET(A$1,,,SUMPRODUCT(MAX(ROW(E$1:E2918)*(E2=E$1:E2918))))))</f>
        <v/>
      </c>
      <c r="K2919" s="24" t="str">
        <f aca="false">IF(OR(E2919="",E2919="!!!",F2919="NEW"),"",INDEX(J$1:J2918,SUMPRODUCT(MAX(ROW(E$1:E2918)*(E2919=E$1:E2918)))))</f>
        <v/>
      </c>
      <c r="L2919" s="31"/>
    </row>
    <row r="2920" customFormat="false" ht="15" hidden="false" customHeight="false" outlineLevel="0" collapsed="false">
      <c r="A2920" s="20" t="s">
        <v>1076</v>
      </c>
      <c r="E2920" s="23" t="str">
        <f aca="false">IF(D2920="?OLD","!!!","")</f>
        <v/>
      </c>
      <c r="F2920" s="25" t="str">
        <f aca="false">IF(OR(E2920="",E2920="!!!"),"",IF(NOT(ISNA(VLOOKUP(E2920,E$1:E2919,1,FALSE()))),"OLD",IF(AND(E2920&lt;&gt;"",E2920&lt;&gt;"!!!"),"NEW","")))</f>
        <v/>
      </c>
      <c r="G2920" s="26" t="str">
        <f aca="false">IF(OR(E2920="",E2920="!!!"),"",IF(OR(J2920=0,AND(J2920=1,K2920=1),AND(J2920=1,I2920="SBJ"),AND(J2920=1,I2920=0)),"?IN_FOCUS",IF(J2920&lt;=2,"?ACTIVATED",IF(J2920&lt;&gt;"","?FAMILIAR",IF(F2920="NEW",IF(ISNA(VLOOKUP(E2920,#REF!,1,FALSE())),"?TYPE_IDENTIFIABLE","?REFERENTIAL"),"_")))))</f>
        <v/>
      </c>
      <c r="H2920" s="27" t="str">
        <f aca="false">IF(J2920&lt;&gt;1,"",IF(I2920="SBJ","CB","?"))</f>
        <v/>
      </c>
      <c r="I2920" s="24" t="str">
        <f aca="false">IF(OR(E2920="",E2920="!!!",F2920="NEW"),"",INDEX(B11:B$2910,-1+SUMPRODUCT(MAX(ROW(E11:E$2910)*(E2920=E11:E$2910)))))</f>
        <v/>
      </c>
      <c r="J2920" s="24" t="str">
        <f aca="true">IF(OR(E2920="",E2920="!!!",F2920="NEW"),"",COUNTBLANK(OFFSET(A$1,,,SUMPRODUCT(MAX(ROW(E$2:E2920)*(E2920=E$2:E2920)))))-COUNTBLANK(OFFSET(A$1,,,SUMPRODUCT(MAX(ROW(E$1:E2919)*(E2=E$1:E2919))))))</f>
        <v/>
      </c>
      <c r="K2920" s="24" t="str">
        <f aca="false">IF(OR(E2920="",E2920="!!!",F2920="NEW"),"",INDEX(J$1:J2919,SUMPRODUCT(MAX(ROW(E$1:E2919)*(E2920=E$1:E2919)))))</f>
        <v/>
      </c>
      <c r="L2920" s="31"/>
    </row>
    <row r="2921" customFormat="false" ht="15" hidden="false" customHeight="false" outlineLevel="0" collapsed="false">
      <c r="A2921" s="20" t="s">
        <v>1154</v>
      </c>
      <c r="E2921" s="23" t="str">
        <f aca="false">IF(D2921="?OLD","!!!","")</f>
        <v/>
      </c>
      <c r="F2921" s="25" t="str">
        <f aca="false">IF(OR(E2921="",E2921="!!!"),"",IF(NOT(ISNA(VLOOKUP(E2921,E$1:E2920,1,FALSE()))),"OLD",IF(AND(E2921&lt;&gt;"",E2921&lt;&gt;"!!!"),"NEW","")))</f>
        <v/>
      </c>
      <c r="G2921" s="26" t="str">
        <f aca="false">IF(OR(E2921="",E2921="!!!"),"",IF(OR(J2921=0,AND(J2921=1,K2921=1),AND(J2921=1,I2921="SBJ"),AND(J2921=1,I2921=0)),"?IN_FOCUS",IF(J2921&lt;=2,"?ACTIVATED",IF(J2921&lt;&gt;"","?FAMILIAR",IF(F2921="NEW",IF(ISNA(VLOOKUP(E2921,#REF!,1,FALSE())),"?TYPE_IDENTIFIABLE","?REFERENTIAL"),"_")))))</f>
        <v/>
      </c>
      <c r="H2921" s="27" t="str">
        <f aca="false">IF(J2921&lt;&gt;1,"",IF(I2921="SBJ","CB","?"))</f>
        <v/>
      </c>
      <c r="I2921" s="24" t="str">
        <f aca="false">IF(OR(E2921="",E2921="!!!",F2921="NEW"),"",INDEX(B12:B$2910,-1+SUMPRODUCT(MAX(ROW(E12:E$2910)*(E2921=E12:E$2910)))))</f>
        <v/>
      </c>
      <c r="J2921" s="24" t="str">
        <f aca="true">IF(OR(E2921="",E2921="!!!",F2921="NEW"),"",COUNTBLANK(OFFSET(A$1,,,SUMPRODUCT(MAX(ROW(E$2:E2921)*(E2921=E$2:E2921)))))-COUNTBLANK(OFFSET(A$1,,,SUMPRODUCT(MAX(ROW(E$1:E2920)*(E2=E$1:E2920))))))</f>
        <v/>
      </c>
      <c r="K2921" s="24" t="str">
        <f aca="false">IF(OR(E2921="",E2921="!!!",F2921="NEW"),"",INDEX(J$1:J2920,SUMPRODUCT(MAX(ROW(E$1:E2920)*(E2921=E$1:E2920)))))</f>
        <v/>
      </c>
      <c r="L2921" s="31"/>
    </row>
    <row r="2922" customFormat="false" ht="15" hidden="false" customHeight="false" outlineLevel="0" collapsed="false">
      <c r="A2922" s="20" t="s">
        <v>2058</v>
      </c>
      <c r="E2922" s="23" t="str">
        <f aca="false">IF(D2922="?OLD","!!!","")</f>
        <v/>
      </c>
      <c r="F2922" s="25" t="str">
        <f aca="false">IF(OR(E2922="",E2922="!!!"),"",IF(NOT(ISNA(VLOOKUP(E2922,E$1:E2921,1,FALSE()))),"OLD",IF(AND(E2922&lt;&gt;"",E2922&lt;&gt;"!!!"),"NEW","")))</f>
        <v/>
      </c>
      <c r="G2922" s="26" t="str">
        <f aca="false">IF(OR(E2922="",E2922="!!!"),"",IF(OR(J2922=0,AND(J2922=1,K2922=1),AND(J2922=1,I2922="SBJ"),AND(J2922=1,I2922=0)),"?IN_FOCUS",IF(J2922&lt;=2,"?ACTIVATED",IF(J2922&lt;&gt;"","?FAMILIAR",IF(F2922="NEW",IF(ISNA(VLOOKUP(E2922,#REF!,1,FALSE())),"?TYPE_IDENTIFIABLE","?REFERENTIAL"),"_")))))</f>
        <v/>
      </c>
      <c r="H2922" s="27" t="str">
        <f aca="false">IF(J2922&lt;&gt;1,"",IF(I2922="SBJ","CB","?"))</f>
        <v/>
      </c>
      <c r="I2922" s="24" t="str">
        <f aca="false">IF(OR(E2922="",E2922="!!!",F2922="NEW"),"",INDEX(B13:B$2910,-1+SUMPRODUCT(MAX(ROW(E13:E$2910)*(E2922=E13:E$2910)))))</f>
        <v/>
      </c>
      <c r="J2922" s="24" t="str">
        <f aca="true">IF(OR(E2922="",E2922="!!!",F2922="NEW"),"",COUNTBLANK(OFFSET(A$1,,,SUMPRODUCT(MAX(ROW(E$2:E2922)*(E2922=E$2:E2922)))))-COUNTBLANK(OFFSET(A$1,,,SUMPRODUCT(MAX(ROW(E$1:E2921)*(E2=E$1:E2921))))))</f>
        <v/>
      </c>
      <c r="K2922" s="24" t="str">
        <f aca="false">IF(OR(E2922="",E2922="!!!",F2922="NEW"),"",INDEX(J$1:J2921,SUMPRODUCT(MAX(ROW(E$1:E2921)*(E2922=E$1:E2921)))))</f>
        <v/>
      </c>
      <c r="L2922" s="31"/>
    </row>
    <row r="2923" customFormat="false" ht="15" hidden="false" customHeight="false" outlineLevel="0" collapsed="false">
      <c r="A2923" s="20" t="s">
        <v>2059</v>
      </c>
      <c r="E2923" s="23" t="str">
        <f aca="false">IF(D2923="?OLD","!!!","")</f>
        <v/>
      </c>
      <c r="F2923" s="25" t="str">
        <f aca="false">IF(OR(E2923="",E2923="!!!"),"",IF(NOT(ISNA(VLOOKUP(E2923,E$1:E2922,1,FALSE()))),"OLD",IF(AND(E2923&lt;&gt;"",E2923&lt;&gt;"!!!"),"NEW","")))</f>
        <v/>
      </c>
      <c r="G2923" s="26" t="str">
        <f aca="false">IF(OR(E2923="",E2923="!!!"),"",IF(OR(J2923=0,AND(J2923=1,K2923=1),AND(J2923=1,I2923="SBJ"),AND(J2923=1,I2923=0)),"?IN_FOCUS",IF(J2923&lt;=2,"?ACTIVATED",IF(J2923&lt;&gt;"","?FAMILIAR",IF(F2923="NEW",IF(ISNA(VLOOKUP(E2923,#REF!,1,FALSE())),"?TYPE_IDENTIFIABLE","?REFERENTIAL"),"_")))))</f>
        <v/>
      </c>
      <c r="H2923" s="27" t="str">
        <f aca="false">IF(J2923&lt;&gt;1,"",IF(I2923="SBJ","CB","?"))</f>
        <v/>
      </c>
      <c r="I2923" s="24" t="str">
        <f aca="false">IF(OR(E2923="",E2923="!!!",F2923="NEW"),"",INDEX(B14:B$2910,-1+SUMPRODUCT(MAX(ROW(E14:E$2910)*(E2923=E14:E$2910)))))</f>
        <v/>
      </c>
      <c r="J2923" s="24" t="str">
        <f aca="true">IF(OR(E2923="",E2923="!!!",F2923="NEW"),"",COUNTBLANK(OFFSET(A$1,,,SUMPRODUCT(MAX(ROW(E$2:E2923)*(E2923=E$2:E2923)))))-COUNTBLANK(OFFSET(A$1,,,SUMPRODUCT(MAX(ROW(E$1:E2922)*(E2=E$1:E2922))))))</f>
        <v/>
      </c>
      <c r="K2923" s="24" t="str">
        <f aca="false">IF(OR(E2923="",E2923="!!!",F2923="NEW"),"",INDEX(J$1:J2922,SUMPRODUCT(MAX(ROW(E$1:E2922)*(E2923=E$1:E2922)))))</f>
        <v/>
      </c>
      <c r="L2923" s="31"/>
    </row>
    <row r="2924" customFormat="false" ht="15" hidden="false" customHeight="false" outlineLevel="0" collapsed="false">
      <c r="A2924" s="20" t="s">
        <v>1304</v>
      </c>
      <c r="B2924" s="22" t="s">
        <v>1142</v>
      </c>
      <c r="C2924" s="22" t="s">
        <v>1082</v>
      </c>
      <c r="D2924" s="22" t="s">
        <v>1060</v>
      </c>
      <c r="E2924" s="23" t="str">
        <f aca="false">IF(D2924="?OLD","!!!","")</f>
        <v>!!!</v>
      </c>
      <c r="F2924" s="25" t="str">
        <f aca="false">IF(OR(E2924="",E2924="!!!"),"",IF(NOT(ISNA(VLOOKUP(E2924,E$1:E2923,1,FALSE()))),"OLD",IF(AND(E2924&lt;&gt;"",E2924&lt;&gt;"!!!"),"NEW","")))</f>
        <v/>
      </c>
      <c r="G2924" s="26" t="str">
        <f aca="false">IF(OR(E2924="",E2924="!!!"),"",IF(OR(J2924=0,AND(J2924=1,K2924=1),AND(J2924=1,I2924="SBJ"),AND(J2924=1,I2924=0)),"?IN_FOCUS",IF(J2924&lt;=2,"?ACTIVATED",IF(J2924&lt;&gt;"","?FAMILIAR",IF(F2924="NEW",IF(ISNA(VLOOKUP(E2924,#REF!,1,FALSE())),"?TYPE_IDENTIFIABLE","?REFERENTIAL"),"_")))))</f>
        <v/>
      </c>
      <c r="H2924" s="27" t="str">
        <f aca="false">IF(J2924&lt;&gt;1,"",IF(I2924="SBJ","CB","?"))</f>
        <v/>
      </c>
      <c r="I2924" s="24" t="str">
        <f aca="false">IF(OR(E2924="",E2924="!!!",F2924="NEW"),"",INDEX(B15:B$2910,-1+SUMPRODUCT(MAX(ROW(E15:E$2910)*(E2924=E15:E$2910)))))</f>
        <v/>
      </c>
      <c r="J2924" s="24" t="str">
        <f aca="true">IF(OR(E2924="",E2924="!!!",F2924="NEW"),"",COUNTBLANK(OFFSET(A$1,,,SUMPRODUCT(MAX(ROW(E$2:E2924)*(E2924=E$2:E2924)))))-COUNTBLANK(OFFSET(A$1,,,SUMPRODUCT(MAX(ROW(E$1:E2923)*(E2=E$1:E2923))))))</f>
        <v/>
      </c>
      <c r="K2924" s="24" t="str">
        <f aca="false">IF(OR(E2924="",E2924="!!!",F2924="NEW"),"",INDEX(J$1:J2923,SUMPRODUCT(MAX(ROW(E$1:E2923)*(E2924=E$1:E2923)))))</f>
        <v/>
      </c>
      <c r="L2924" s="31"/>
    </row>
    <row r="2925" customFormat="false" ht="15" hidden="false" customHeight="false" outlineLevel="0" collapsed="false">
      <c r="A2925" s="20" t="s">
        <v>1095</v>
      </c>
      <c r="E2925" s="23" t="str">
        <f aca="false">IF(D2925="?OLD","!!!","")</f>
        <v/>
      </c>
      <c r="F2925" s="25" t="str">
        <f aca="false">IF(OR(E2925="",E2925="!!!"),"",IF(NOT(ISNA(VLOOKUP(E2925,E$1:E2924,1,FALSE()))),"OLD",IF(AND(E2925&lt;&gt;"",E2925&lt;&gt;"!!!"),"NEW","")))</f>
        <v/>
      </c>
      <c r="G2925" s="26" t="str">
        <f aca="false">IF(OR(E2925="",E2925="!!!"),"",IF(OR(J2925=0,AND(J2925=1,K2925=1),AND(J2925=1,I2925="SBJ"),AND(J2925=1,I2925=0)),"?IN_FOCUS",IF(J2925&lt;=2,"?ACTIVATED",IF(J2925&lt;&gt;"","?FAMILIAR",IF(F2925="NEW",IF(ISNA(VLOOKUP(E2925,#REF!,1,FALSE())),"?TYPE_IDENTIFIABLE","?REFERENTIAL"),"_")))))</f>
        <v/>
      </c>
      <c r="H2925" s="27" t="str">
        <f aca="false">IF(J2925&lt;&gt;1,"",IF(I2925="SBJ","CB","?"))</f>
        <v/>
      </c>
      <c r="I2925" s="24" t="str">
        <f aca="false">IF(OR(E2925="",E2925="!!!",F2925="NEW"),"",INDEX(B16:B$2910,-1+SUMPRODUCT(MAX(ROW(E16:E$2910)*(E2925=E16:E$2910)))))</f>
        <v/>
      </c>
      <c r="J2925" s="24" t="str">
        <f aca="true">IF(OR(E2925="",E2925="!!!",F2925="NEW"),"",COUNTBLANK(OFFSET(A$1,,,SUMPRODUCT(MAX(ROW(E$2:E2925)*(E2925=E$2:E2925)))))-COUNTBLANK(OFFSET(A$1,,,SUMPRODUCT(MAX(ROW(E$1:E2924)*(E2=E$1:E2924))))))</f>
        <v/>
      </c>
      <c r="K2925" s="24" t="str">
        <f aca="false">IF(OR(E2925="",E2925="!!!",F2925="NEW"),"",INDEX(J$1:J2924,SUMPRODUCT(MAX(ROW(E$1:E2924)*(E2925=E$1:E2924)))))</f>
        <v/>
      </c>
      <c r="L2925" s="31"/>
    </row>
    <row r="2926" customFormat="false" ht="15" hidden="false" customHeight="false" outlineLevel="0" collapsed="false">
      <c r="A2926" s="20" t="s">
        <v>1339</v>
      </c>
      <c r="E2926" s="23" t="str">
        <f aca="false">IF(D2926="?OLD","!!!","")</f>
        <v/>
      </c>
      <c r="F2926" s="25" t="str">
        <f aca="false">IF(OR(E2926="",E2926="!!!"),"",IF(NOT(ISNA(VLOOKUP(E2926,E$1:E2925,1,FALSE()))),"OLD",IF(AND(E2926&lt;&gt;"",E2926&lt;&gt;"!!!"),"NEW","")))</f>
        <v/>
      </c>
      <c r="G2926" s="26" t="str">
        <f aca="false">IF(OR(E2926="",E2926="!!!"),"",IF(OR(J2926=0,AND(J2926=1,K2926=1),AND(J2926=1,I2926="SBJ"),AND(J2926=1,I2926=0)),"?IN_FOCUS",IF(J2926&lt;=2,"?ACTIVATED",IF(J2926&lt;&gt;"","?FAMILIAR",IF(F2926="NEW",IF(ISNA(VLOOKUP(E2926,#REF!,1,FALSE())),"?TYPE_IDENTIFIABLE","?REFERENTIAL"),"_")))))</f>
        <v/>
      </c>
      <c r="H2926" s="27" t="str">
        <f aca="false">IF(J2926&lt;&gt;1,"",IF(I2926="SBJ","CB","?"))</f>
        <v/>
      </c>
      <c r="I2926" s="24" t="str">
        <f aca="false">IF(OR(E2926="",E2926="!!!",F2926="NEW"),"",INDEX(B17:B$2910,-1+SUMPRODUCT(MAX(ROW(E17:E$2910)*(E2926=E17:E$2910)))))</f>
        <v/>
      </c>
      <c r="J2926" s="24" t="str">
        <f aca="true">IF(OR(E2926="",E2926="!!!",F2926="NEW"),"",COUNTBLANK(OFFSET(A$1,,,SUMPRODUCT(MAX(ROW(E$2:E2926)*(E2926=E$2:E2926)))))-COUNTBLANK(OFFSET(A$1,,,SUMPRODUCT(MAX(ROW(E$1:E2925)*(E2=E$1:E2925))))))</f>
        <v/>
      </c>
      <c r="K2926" s="24" t="str">
        <f aca="false">IF(OR(E2926="",E2926="!!!",F2926="NEW"),"",INDEX(J$1:J2925,SUMPRODUCT(MAX(ROW(E$1:E2925)*(E2926=E$1:E2925)))))</f>
        <v/>
      </c>
      <c r="L2926" s="31"/>
    </row>
    <row r="2927" customFormat="false" ht="15" hidden="false" customHeight="false" outlineLevel="0" collapsed="false">
      <c r="A2927" s="20" t="s">
        <v>2060</v>
      </c>
      <c r="B2927" s="22" t="s">
        <v>1073</v>
      </c>
      <c r="C2927" s="22" t="s">
        <v>1171</v>
      </c>
      <c r="D2927" s="22" t="s">
        <v>1060</v>
      </c>
      <c r="E2927" s="23" t="str">
        <f aca="false">IF(D2927="?OLD","!!!","")</f>
        <v>!!!</v>
      </c>
      <c r="F2927" s="25" t="str">
        <f aca="false">IF(OR(E2927="",E2927="!!!"),"",IF(NOT(ISNA(VLOOKUP(E2927,E$1:E2926,1,FALSE()))),"OLD",IF(AND(E2927&lt;&gt;"",E2927&lt;&gt;"!!!"),"NEW","")))</f>
        <v/>
      </c>
      <c r="G2927" s="26" t="str">
        <f aca="false">IF(OR(E2927="",E2927="!!!"),"",IF(OR(J2927=0,AND(J2927=1,K2927=1),AND(J2927=1,I2927="SBJ"),AND(J2927=1,I2927=0)),"?IN_FOCUS",IF(J2927&lt;=2,"?ACTIVATED",IF(J2927&lt;&gt;"","?FAMILIAR",IF(F2927="NEW",IF(ISNA(VLOOKUP(E2927,#REF!,1,FALSE())),"?TYPE_IDENTIFIABLE","?REFERENTIAL"),"_")))))</f>
        <v/>
      </c>
      <c r="H2927" s="27" t="str">
        <f aca="false">IF(J2927&lt;&gt;1,"",IF(I2927="SBJ","CB","?"))</f>
        <v/>
      </c>
      <c r="I2927" s="24" t="str">
        <f aca="false">IF(OR(E2927="",E2927="!!!",F2927="NEW"),"",INDEX(B18:B$2910,-1+SUMPRODUCT(MAX(ROW(E18:E$2910)*(E2927=E18:E$2910)))))</f>
        <v/>
      </c>
      <c r="J2927" s="24" t="str">
        <f aca="true">IF(OR(E2927="",E2927="!!!",F2927="NEW"),"",COUNTBLANK(OFFSET(A$1,,,SUMPRODUCT(MAX(ROW(E$2:E2927)*(E2927=E$2:E2927)))))-COUNTBLANK(OFFSET(A$1,,,SUMPRODUCT(MAX(ROW(E$1:E2926)*(E2=E$1:E2926))))))</f>
        <v/>
      </c>
      <c r="K2927" s="24" t="str">
        <f aca="false">IF(OR(E2927="",E2927="!!!",F2927="NEW"),"",INDEX(J$1:J2926,SUMPRODUCT(MAX(ROW(E$1:E2926)*(E2927=E$1:E2926)))))</f>
        <v/>
      </c>
      <c r="L2927" s="31"/>
    </row>
    <row r="2928" customFormat="false" ht="15" hidden="false" customHeight="false" outlineLevel="0" collapsed="false">
      <c r="A2928" s="20" t="s">
        <v>923</v>
      </c>
      <c r="E2928" s="23" t="str">
        <f aca="false">IF(D2928="?OLD","!!!","")</f>
        <v/>
      </c>
      <c r="F2928" s="25" t="str">
        <f aca="false">IF(OR(E2928="",E2928="!!!"),"",IF(NOT(ISNA(VLOOKUP(E2928,E$1:E2927,1,FALSE()))),"OLD",IF(AND(E2928&lt;&gt;"",E2928&lt;&gt;"!!!"),"NEW","")))</f>
        <v/>
      </c>
      <c r="G2928" s="26" t="str">
        <f aca="false">IF(OR(E2928="",E2928="!!!"),"",IF(OR(J2928=0,AND(J2928=1,K2928=1),AND(J2928=1,I2928="SBJ"),AND(J2928=1,I2928=0)),"?IN_FOCUS",IF(J2928&lt;=2,"?ACTIVATED",IF(J2928&lt;&gt;"","?FAMILIAR",IF(F2928="NEW",IF(ISNA(VLOOKUP(E2928,#REF!,1,FALSE())),"?TYPE_IDENTIFIABLE","?REFERENTIAL"),"_")))))</f>
        <v/>
      </c>
      <c r="H2928" s="27" t="str">
        <f aca="false">IF(J2928&lt;&gt;1,"",IF(I2928="SBJ","CB","?"))</f>
        <v/>
      </c>
      <c r="I2928" s="24" t="str">
        <f aca="false">IF(OR(E2928="",E2928="!!!",F2928="NEW"),"",INDEX(B19:B$2910,-1+SUMPRODUCT(MAX(ROW(E19:E$2910)*(E2928=E19:E$2910)))))</f>
        <v/>
      </c>
      <c r="J2928" s="24" t="str">
        <f aca="true">IF(OR(E2928="",E2928="!!!",F2928="NEW"),"",COUNTBLANK(OFFSET(A$1,,,SUMPRODUCT(MAX(ROW(E$2:E2928)*(E2928=E$2:E2928)))))-COUNTBLANK(OFFSET(A$1,,,SUMPRODUCT(MAX(ROW(E$1:E2927)*(E2=E$1:E2927))))))</f>
        <v/>
      </c>
      <c r="K2928" s="24" t="str">
        <f aca="false">IF(OR(E2928="",E2928="!!!",F2928="NEW"),"",INDEX(J$1:J2927,SUMPRODUCT(MAX(ROW(E$1:E2927)*(E2928=E$1:E2927)))))</f>
        <v/>
      </c>
      <c r="L2928" s="31"/>
    </row>
    <row r="2929" customFormat="false" ht="15" hidden="false" customHeight="false" outlineLevel="0" collapsed="false">
      <c r="A2929" s="20"/>
    </row>
    <row r="2930" customFormat="false" ht="15" hidden="false" customHeight="false" outlineLevel="0" collapsed="false">
      <c r="A2930" s="20" t="s">
        <v>2061</v>
      </c>
    </row>
    <row r="2931" customFormat="false" ht="15" hidden="false" customHeight="false" outlineLevel="0" collapsed="false">
      <c r="A2931" s="20" t="s">
        <v>1162</v>
      </c>
      <c r="B2931" s="22" t="s">
        <v>1058</v>
      </c>
      <c r="C2931" s="22" t="s">
        <v>1082</v>
      </c>
      <c r="D2931" s="22" t="s">
        <v>1060</v>
      </c>
      <c r="E2931" s="23" t="str">
        <f aca="false">IF(D2931="?OLD","!!!","")</f>
        <v>!!!</v>
      </c>
      <c r="F2931" s="25" t="str">
        <f aca="false">IF(OR(E2931="",E2931="!!!"),"",IF(NOT(ISNA(VLOOKUP(E2931,E$1:E2930,1,FALSE()))),"OLD",IF(AND(E2931&lt;&gt;"",E2931&lt;&gt;"!!!"),"NEW","")))</f>
        <v/>
      </c>
      <c r="G2931" s="26" t="str">
        <f aca="false">IF(OR(E2931="",E2931="!!!"),"",IF(OR(J2931=0,AND(J2931=1,K2931=1),AND(J2931=1,I2931="SBJ"),AND(J2931=1,I2931=0)),"?IN_FOCUS",IF(J2931&lt;=2,"?ACTIVATED",IF(J2931&lt;&gt;"","?FAMILIAR",IF(F2931="NEW",IF(ISNA(VLOOKUP(E2931,#REF!,1,FALSE())),"?TYPE_IDENTIFIABLE","?REFERENTIAL"),"_")))))</f>
        <v/>
      </c>
      <c r="H2931" s="27" t="str">
        <f aca="false">IF(J2931&lt;&gt;1,"",IF(I2931="SBJ","CB","?"))</f>
        <v/>
      </c>
      <c r="I2931" s="24" t="str">
        <f aca="false">IF(OR(E2931="",E2931="!!!",F2931="NEW"),"",INDEX(B2:B$2930,-1+SUMPRODUCT(MAX(ROW(E2:E$2930)*(E2931=E2:E$2930)))))</f>
        <v/>
      </c>
      <c r="J2931" s="24" t="str">
        <f aca="true">IF(OR(E2931="",E2931="!!!",F2931="NEW"),"",COUNTBLANK(OFFSET(A$1,,,SUMPRODUCT(MAX(ROW(E$2:E2931)*(E2931=E$2:E2931)))))-COUNTBLANK(OFFSET(A$1,,,SUMPRODUCT(MAX(ROW(E$1:E2930)*(E2=E$1:E2930))))))</f>
        <v/>
      </c>
      <c r="K2931" s="24" t="str">
        <f aca="false">IF(OR(E2931="",E2931="!!!",F2931="NEW"),"",INDEX(J$1:J2930,SUMPRODUCT(MAX(ROW(E$1:E2930)*(E2931=E$1:E2930)))))</f>
        <v/>
      </c>
      <c r="L2931" s="31"/>
    </row>
    <row r="2932" customFormat="false" ht="15" hidden="false" customHeight="false" outlineLevel="0" collapsed="false">
      <c r="A2932" s="20" t="s">
        <v>1092</v>
      </c>
      <c r="E2932" s="23" t="str">
        <f aca="false">IF(D2932="?OLD","!!!","")</f>
        <v/>
      </c>
      <c r="F2932" s="25" t="str">
        <f aca="false">IF(OR(E2932="",E2932="!!!"),"",IF(NOT(ISNA(VLOOKUP(E2932,E$1:E2931,1,FALSE()))),"OLD",IF(AND(E2932&lt;&gt;"",E2932&lt;&gt;"!!!"),"NEW","")))</f>
        <v/>
      </c>
      <c r="G2932" s="26" t="str">
        <f aca="false">IF(OR(E2932="",E2932="!!!"),"",IF(OR(J2932=0,AND(J2932=1,K2932=1),AND(J2932=1,I2932="SBJ"),AND(J2932=1,I2932=0)),"?IN_FOCUS",IF(J2932&lt;=2,"?ACTIVATED",IF(J2932&lt;&gt;"","?FAMILIAR",IF(F2932="NEW",IF(ISNA(VLOOKUP(E2932,#REF!,1,FALSE())),"?TYPE_IDENTIFIABLE","?REFERENTIAL"),"_")))))</f>
        <v/>
      </c>
      <c r="H2932" s="27" t="str">
        <f aca="false">IF(J2932&lt;&gt;1,"",IF(I2932="SBJ","CB","?"))</f>
        <v/>
      </c>
      <c r="I2932" s="24" t="str">
        <f aca="false">IF(OR(E2932="",E2932="!!!",F2932="NEW"),"",INDEX(B3:B$2930,-1+SUMPRODUCT(MAX(ROW(E3:E$2930)*(E2932=E3:E$2930)))))</f>
        <v/>
      </c>
      <c r="J2932" s="24" t="str">
        <f aca="true">IF(OR(E2932="",E2932="!!!",F2932="NEW"),"",COUNTBLANK(OFFSET(A$1,,,SUMPRODUCT(MAX(ROW(E$2:E2932)*(E2932=E$2:E2932)))))-COUNTBLANK(OFFSET(A$1,,,SUMPRODUCT(MAX(ROW(E$1:E2931)*(E2=E$1:E2931))))))</f>
        <v/>
      </c>
      <c r="K2932" s="24" t="str">
        <f aca="false">IF(OR(E2932="",E2932="!!!",F2932="NEW"),"",INDEX(J$1:J2931,SUMPRODUCT(MAX(ROW(E$1:E2931)*(E2932=E$1:E2931)))))</f>
        <v/>
      </c>
      <c r="L2932" s="31"/>
    </row>
    <row r="2933" customFormat="false" ht="15" hidden="false" customHeight="false" outlineLevel="0" collapsed="false">
      <c r="A2933" s="20" t="s">
        <v>2062</v>
      </c>
      <c r="E2933" s="23" t="str">
        <f aca="false">IF(D2933="?OLD","!!!","")</f>
        <v/>
      </c>
      <c r="F2933" s="25" t="str">
        <f aca="false">IF(OR(E2933="",E2933="!!!"),"",IF(NOT(ISNA(VLOOKUP(E2933,E$1:E2932,1,FALSE()))),"OLD",IF(AND(E2933&lt;&gt;"",E2933&lt;&gt;"!!!"),"NEW","")))</f>
        <v/>
      </c>
      <c r="G2933" s="26" t="str">
        <f aca="false">IF(OR(E2933="",E2933="!!!"),"",IF(OR(J2933=0,AND(J2933=1,K2933=1),AND(J2933=1,I2933="SBJ"),AND(J2933=1,I2933=0)),"?IN_FOCUS",IF(J2933&lt;=2,"?ACTIVATED",IF(J2933&lt;&gt;"","?FAMILIAR",IF(F2933="NEW",IF(ISNA(VLOOKUP(E2933,#REF!,1,FALSE())),"?TYPE_IDENTIFIABLE","?REFERENTIAL"),"_")))))</f>
        <v/>
      </c>
      <c r="H2933" s="27" t="str">
        <f aca="false">IF(J2933&lt;&gt;1,"",IF(I2933="SBJ","CB","?"))</f>
        <v/>
      </c>
      <c r="I2933" s="24" t="str">
        <f aca="false">IF(OR(E2933="",E2933="!!!",F2933="NEW"),"",INDEX(B4:B$2930,-1+SUMPRODUCT(MAX(ROW(E4:E$2930)*(E2933=E4:E$2930)))))</f>
        <v/>
      </c>
      <c r="J2933" s="24" t="str">
        <f aca="true">IF(OR(E2933="",E2933="!!!",F2933="NEW"),"",COUNTBLANK(OFFSET(A$1,,,SUMPRODUCT(MAX(ROW(E$2:E2933)*(E2933=E$2:E2933)))))-COUNTBLANK(OFFSET(A$1,,,SUMPRODUCT(MAX(ROW(E$1:E2932)*(E2=E$1:E2932))))))</f>
        <v/>
      </c>
      <c r="K2933" s="24" t="str">
        <f aca="false">IF(OR(E2933="",E2933="!!!",F2933="NEW"),"",INDEX(J$1:J2932,SUMPRODUCT(MAX(ROW(E$1:E2932)*(E2933=E$1:E2932)))))</f>
        <v/>
      </c>
      <c r="L2933" s="31"/>
    </row>
    <row r="2934" customFormat="false" ht="15" hidden="false" customHeight="false" outlineLevel="0" collapsed="false">
      <c r="A2934" s="20" t="s">
        <v>1154</v>
      </c>
      <c r="E2934" s="23" t="str">
        <f aca="false">IF(D2934="?OLD","!!!","")</f>
        <v/>
      </c>
      <c r="F2934" s="25" t="str">
        <f aca="false">IF(OR(E2934="",E2934="!!!"),"",IF(NOT(ISNA(VLOOKUP(E2934,E$1:E2933,1,FALSE()))),"OLD",IF(AND(E2934&lt;&gt;"",E2934&lt;&gt;"!!!"),"NEW","")))</f>
        <v/>
      </c>
      <c r="G2934" s="26" t="str">
        <f aca="false">IF(OR(E2934="",E2934="!!!"),"",IF(OR(J2934=0,AND(J2934=1,K2934=1),AND(J2934=1,I2934="SBJ"),AND(J2934=1,I2934=0)),"?IN_FOCUS",IF(J2934&lt;=2,"?ACTIVATED",IF(J2934&lt;&gt;"","?FAMILIAR",IF(F2934="NEW",IF(ISNA(VLOOKUP(E2934,#REF!,1,FALSE())),"?TYPE_IDENTIFIABLE","?REFERENTIAL"),"_")))))</f>
        <v/>
      </c>
      <c r="H2934" s="27" t="str">
        <f aca="false">IF(J2934&lt;&gt;1,"",IF(I2934="SBJ","CB","?"))</f>
        <v/>
      </c>
      <c r="I2934" s="24" t="str">
        <f aca="false">IF(OR(E2934="",E2934="!!!",F2934="NEW"),"",INDEX(B5:B$2930,-1+SUMPRODUCT(MAX(ROW(E5:E$2930)*(E2934=E5:E$2930)))))</f>
        <v/>
      </c>
      <c r="J2934" s="24" t="str">
        <f aca="true">IF(OR(E2934="",E2934="!!!",F2934="NEW"),"",COUNTBLANK(OFFSET(A$1,,,SUMPRODUCT(MAX(ROW(E$2:E2934)*(E2934=E$2:E2934)))))-COUNTBLANK(OFFSET(A$1,,,SUMPRODUCT(MAX(ROW(E$1:E2933)*(E2=E$1:E2933))))))</f>
        <v/>
      </c>
      <c r="K2934" s="24" t="str">
        <f aca="false">IF(OR(E2934="",E2934="!!!",F2934="NEW"),"",INDEX(J$1:J2933,SUMPRODUCT(MAX(ROW(E$1:E2933)*(E2934=E$1:E2933)))))</f>
        <v/>
      </c>
      <c r="L2934" s="31"/>
    </row>
    <row r="2935" customFormat="false" ht="15" hidden="false" customHeight="false" outlineLevel="0" collapsed="false">
      <c r="A2935" s="20" t="s">
        <v>1085</v>
      </c>
      <c r="E2935" s="23" t="str">
        <f aca="false">IF(D2935="?OLD","!!!","")</f>
        <v/>
      </c>
      <c r="F2935" s="25" t="str">
        <f aca="false">IF(OR(E2935="",E2935="!!!"),"",IF(NOT(ISNA(VLOOKUP(E2935,E$1:E2934,1,FALSE()))),"OLD",IF(AND(E2935&lt;&gt;"",E2935&lt;&gt;"!!!"),"NEW","")))</f>
        <v/>
      </c>
      <c r="G2935" s="26" t="str">
        <f aca="false">IF(OR(E2935="",E2935="!!!"),"",IF(OR(J2935=0,AND(J2935=1,K2935=1),AND(J2935=1,I2935="SBJ"),AND(J2935=1,I2935=0)),"?IN_FOCUS",IF(J2935&lt;=2,"?ACTIVATED",IF(J2935&lt;&gt;"","?FAMILIAR",IF(F2935="NEW",IF(ISNA(VLOOKUP(E2935,#REF!,1,FALSE())),"?TYPE_IDENTIFIABLE","?REFERENTIAL"),"_")))))</f>
        <v/>
      </c>
      <c r="H2935" s="27" t="str">
        <f aca="false">IF(J2935&lt;&gt;1,"",IF(I2935="SBJ","CB","?"))</f>
        <v/>
      </c>
      <c r="I2935" s="24" t="str">
        <f aca="false">IF(OR(E2935="",E2935="!!!",F2935="NEW"),"",INDEX(B6:B$2930,-1+SUMPRODUCT(MAX(ROW(E6:E$2930)*(E2935=E6:E$2930)))))</f>
        <v/>
      </c>
      <c r="J2935" s="24" t="str">
        <f aca="true">IF(OR(E2935="",E2935="!!!",F2935="NEW"),"",COUNTBLANK(OFFSET(A$1,,,SUMPRODUCT(MAX(ROW(E$2:E2935)*(E2935=E$2:E2935)))))-COUNTBLANK(OFFSET(A$1,,,SUMPRODUCT(MAX(ROW(E$1:E2934)*(E2=E$1:E2934))))))</f>
        <v/>
      </c>
      <c r="K2935" s="24" t="str">
        <f aca="false">IF(OR(E2935="",E2935="!!!",F2935="NEW"),"",INDEX(J$1:J2934,SUMPRODUCT(MAX(ROW(E$1:E2934)*(E2935=E$1:E2934)))))</f>
        <v/>
      </c>
      <c r="L2935" s="31"/>
    </row>
    <row r="2936" customFormat="false" ht="15" hidden="false" customHeight="false" outlineLevel="0" collapsed="false">
      <c r="A2936" s="20" t="s">
        <v>768</v>
      </c>
      <c r="B2936" s="22" t="s">
        <v>1105</v>
      </c>
      <c r="C2936" s="22" t="s">
        <v>1087</v>
      </c>
      <c r="E2936" s="23" t="str">
        <f aca="false">IF(D2936="?OLD","!!!","")</f>
        <v/>
      </c>
      <c r="F2936" s="25" t="str">
        <f aca="false">IF(OR(E2936="",E2936="!!!"),"",IF(NOT(ISNA(VLOOKUP(E2936,E$1:E2935,1,FALSE()))),"OLD",IF(AND(E2936&lt;&gt;"",E2936&lt;&gt;"!!!"),"NEW","")))</f>
        <v/>
      </c>
      <c r="G2936" s="26" t="str">
        <f aca="false">IF(OR(E2936="",E2936="!!!"),"",IF(OR(J2936=0,AND(J2936=1,K2936=1),AND(J2936=1,I2936="SBJ"),AND(J2936=1,I2936=0)),"?IN_FOCUS",IF(J2936&lt;=2,"?ACTIVATED",IF(J2936&lt;&gt;"","?FAMILIAR",IF(F2936="NEW",IF(ISNA(VLOOKUP(E2936,#REF!,1,FALSE())),"?TYPE_IDENTIFIABLE","?REFERENTIAL"),"_")))))</f>
        <v/>
      </c>
      <c r="H2936" s="27" t="str">
        <f aca="false">IF(J2936&lt;&gt;1,"",IF(I2936="SBJ","CB","?"))</f>
        <v/>
      </c>
      <c r="I2936" s="24" t="str">
        <f aca="false">IF(OR(E2936="",E2936="!!!",F2936="NEW"),"",INDEX(B7:B$2930,-1+SUMPRODUCT(MAX(ROW(E7:E$2930)*(E2936=E7:E$2930)))))</f>
        <v/>
      </c>
      <c r="J2936" s="24" t="str">
        <f aca="true">IF(OR(E2936="",E2936="!!!",F2936="NEW"),"",COUNTBLANK(OFFSET(A$1,,,SUMPRODUCT(MAX(ROW(E$2:E2936)*(E2936=E$2:E2936)))))-COUNTBLANK(OFFSET(A$1,,,SUMPRODUCT(MAX(ROW(E$1:E2935)*(E2=E$1:E2935))))))</f>
        <v/>
      </c>
      <c r="K2936" s="24" t="str">
        <f aca="false">IF(OR(E2936="",E2936="!!!",F2936="NEW"),"",INDEX(J$1:J2935,SUMPRODUCT(MAX(ROW(E$1:E2935)*(E2936=E$1:E2935)))))</f>
        <v/>
      </c>
      <c r="L2936" s="31"/>
    </row>
    <row r="2937" customFormat="false" ht="15" hidden="false" customHeight="false" outlineLevel="0" collapsed="false">
      <c r="A2937" s="20" t="s">
        <v>1076</v>
      </c>
      <c r="E2937" s="23" t="str">
        <f aca="false">IF(D2937="?OLD","!!!","")</f>
        <v/>
      </c>
      <c r="F2937" s="25" t="str">
        <f aca="false">IF(OR(E2937="",E2937="!!!"),"",IF(NOT(ISNA(VLOOKUP(E2937,E$1:E2936,1,FALSE()))),"OLD",IF(AND(E2937&lt;&gt;"",E2937&lt;&gt;"!!!"),"NEW","")))</f>
        <v/>
      </c>
      <c r="G2937" s="26" t="str">
        <f aca="false">IF(OR(E2937="",E2937="!!!"),"",IF(OR(J2937=0,AND(J2937=1,K2937=1),AND(J2937=1,I2937="SBJ"),AND(J2937=1,I2937=0)),"?IN_FOCUS",IF(J2937&lt;=2,"?ACTIVATED",IF(J2937&lt;&gt;"","?FAMILIAR",IF(F2937="NEW",IF(ISNA(VLOOKUP(E2937,#REF!,1,FALSE())),"?TYPE_IDENTIFIABLE","?REFERENTIAL"),"_")))))</f>
        <v/>
      </c>
      <c r="H2937" s="27" t="str">
        <f aca="false">IF(J2937&lt;&gt;1,"",IF(I2937="SBJ","CB","?"))</f>
        <v/>
      </c>
      <c r="I2937" s="24" t="str">
        <f aca="false">IF(OR(E2937="",E2937="!!!",F2937="NEW"),"",INDEX(B8:B$2930,-1+SUMPRODUCT(MAX(ROW(E8:E$2930)*(E2937=E8:E$2930)))))</f>
        <v/>
      </c>
      <c r="J2937" s="24" t="str">
        <f aca="true">IF(OR(E2937="",E2937="!!!",F2937="NEW"),"",COUNTBLANK(OFFSET(A$1,,,SUMPRODUCT(MAX(ROW(E$2:E2937)*(E2937=E$2:E2937)))))-COUNTBLANK(OFFSET(A$1,,,SUMPRODUCT(MAX(ROW(E$1:E2936)*(E2=E$1:E2936))))))</f>
        <v/>
      </c>
      <c r="K2937" s="24" t="str">
        <f aca="false">IF(OR(E2937="",E2937="!!!",F2937="NEW"),"",INDEX(J$1:J2936,SUMPRODUCT(MAX(ROW(E$1:E2936)*(E2937=E$1:E2936)))))</f>
        <v/>
      </c>
      <c r="L2937" s="31"/>
    </row>
    <row r="2938" customFormat="false" ht="15" hidden="false" customHeight="false" outlineLevel="0" collapsed="false">
      <c r="A2938" s="20" t="s">
        <v>1168</v>
      </c>
      <c r="E2938" s="23" t="str">
        <f aca="false">IF(D2938="?OLD","!!!","")</f>
        <v/>
      </c>
      <c r="F2938" s="25" t="str">
        <f aca="false">IF(OR(E2938="",E2938="!!!"),"",IF(NOT(ISNA(VLOOKUP(E2938,E$1:E2937,1,FALSE()))),"OLD",IF(AND(E2938&lt;&gt;"",E2938&lt;&gt;"!!!"),"NEW","")))</f>
        <v/>
      </c>
      <c r="G2938" s="26" t="str">
        <f aca="false">IF(OR(E2938="",E2938="!!!"),"",IF(OR(J2938=0,AND(J2938=1,K2938=1),AND(J2938=1,I2938="SBJ"),AND(J2938=1,I2938=0)),"?IN_FOCUS",IF(J2938&lt;=2,"?ACTIVATED",IF(J2938&lt;&gt;"","?FAMILIAR",IF(F2938="NEW",IF(ISNA(VLOOKUP(E2938,#REF!,1,FALSE())),"?TYPE_IDENTIFIABLE","?REFERENTIAL"),"_")))))</f>
        <v/>
      </c>
      <c r="H2938" s="27" t="str">
        <f aca="false">IF(J2938&lt;&gt;1,"",IF(I2938="SBJ","CB","?"))</f>
        <v/>
      </c>
      <c r="I2938" s="24" t="str">
        <f aca="false">IF(OR(E2938="",E2938="!!!",F2938="NEW"),"",INDEX(B9:B$2930,-1+SUMPRODUCT(MAX(ROW(E9:E$2930)*(E2938=E9:E$2930)))))</f>
        <v/>
      </c>
      <c r="J2938" s="24" t="str">
        <f aca="true">IF(OR(E2938="",E2938="!!!",F2938="NEW"),"",COUNTBLANK(OFFSET(A$1,,,SUMPRODUCT(MAX(ROW(E$2:E2938)*(E2938=E$2:E2938)))))-COUNTBLANK(OFFSET(A$1,,,SUMPRODUCT(MAX(ROW(E$1:E2937)*(E2=E$1:E2937))))))</f>
        <v/>
      </c>
      <c r="K2938" s="24" t="str">
        <f aca="false">IF(OR(E2938="",E2938="!!!",F2938="NEW"),"",INDEX(J$1:J2937,SUMPRODUCT(MAX(ROW(E$1:E2937)*(E2938=E$1:E2937)))))</f>
        <v/>
      </c>
      <c r="L2938" s="31"/>
    </row>
    <row r="2939" customFormat="false" ht="15" hidden="false" customHeight="false" outlineLevel="0" collapsed="false">
      <c r="A2939" s="20" t="s">
        <v>1279</v>
      </c>
      <c r="E2939" s="23" t="str">
        <f aca="false">IF(D2939="?OLD","!!!","")</f>
        <v/>
      </c>
      <c r="F2939" s="25" t="str">
        <f aca="false">IF(OR(E2939="",E2939="!!!"),"",IF(NOT(ISNA(VLOOKUP(E2939,E$1:E2938,1,FALSE()))),"OLD",IF(AND(E2939&lt;&gt;"",E2939&lt;&gt;"!!!"),"NEW","")))</f>
        <v/>
      </c>
      <c r="G2939" s="26" t="str">
        <f aca="false">IF(OR(E2939="",E2939="!!!"),"",IF(OR(J2939=0,AND(J2939=1,K2939=1),AND(J2939=1,I2939="SBJ"),AND(J2939=1,I2939=0)),"?IN_FOCUS",IF(J2939&lt;=2,"?ACTIVATED",IF(J2939&lt;&gt;"","?FAMILIAR",IF(F2939="NEW",IF(ISNA(VLOOKUP(E2939,#REF!,1,FALSE())),"?TYPE_IDENTIFIABLE","?REFERENTIAL"),"_")))))</f>
        <v/>
      </c>
      <c r="H2939" s="27" t="str">
        <f aca="false">IF(J2939&lt;&gt;1,"",IF(I2939="SBJ","CB","?"))</f>
        <v/>
      </c>
      <c r="I2939" s="24" t="str">
        <f aca="false">IF(OR(E2939="",E2939="!!!",F2939="NEW"),"",INDEX(B10:B$2930,-1+SUMPRODUCT(MAX(ROW(E10:E$2930)*(E2939=E10:E$2930)))))</f>
        <v/>
      </c>
      <c r="J2939" s="24" t="str">
        <f aca="true">IF(OR(E2939="",E2939="!!!",F2939="NEW"),"",COUNTBLANK(OFFSET(A$1,,,SUMPRODUCT(MAX(ROW(E$2:E2939)*(E2939=E$2:E2939)))))-COUNTBLANK(OFFSET(A$1,,,SUMPRODUCT(MAX(ROW(E$1:E2938)*(E2=E$1:E2938))))))</f>
        <v/>
      </c>
      <c r="K2939" s="24" t="str">
        <f aca="false">IF(OR(E2939="",E2939="!!!",F2939="NEW"),"",INDEX(J$1:J2938,SUMPRODUCT(MAX(ROW(E$1:E2938)*(E2939=E$1:E2938)))))</f>
        <v/>
      </c>
      <c r="L2939" s="31"/>
    </row>
    <row r="2940" customFormat="false" ht="15" hidden="false" customHeight="false" outlineLevel="0" collapsed="false">
      <c r="A2940" s="20" t="s">
        <v>1154</v>
      </c>
      <c r="E2940" s="23" t="str">
        <f aca="false">IF(D2940="?OLD","!!!","")</f>
        <v/>
      </c>
      <c r="F2940" s="25" t="str">
        <f aca="false">IF(OR(E2940="",E2940="!!!"),"",IF(NOT(ISNA(VLOOKUP(E2940,E$1:E2939,1,FALSE()))),"OLD",IF(AND(E2940&lt;&gt;"",E2940&lt;&gt;"!!!"),"NEW","")))</f>
        <v/>
      </c>
      <c r="G2940" s="26" t="str">
        <f aca="false">IF(OR(E2940="",E2940="!!!"),"",IF(OR(J2940=0,AND(J2940=1,K2940=1),AND(J2940=1,I2940="SBJ"),AND(J2940=1,I2940=0)),"?IN_FOCUS",IF(J2940&lt;=2,"?ACTIVATED",IF(J2940&lt;&gt;"","?FAMILIAR",IF(F2940="NEW",IF(ISNA(VLOOKUP(E2940,#REF!,1,FALSE())),"?TYPE_IDENTIFIABLE","?REFERENTIAL"),"_")))))</f>
        <v/>
      </c>
      <c r="H2940" s="27" t="str">
        <f aca="false">IF(J2940&lt;&gt;1,"",IF(I2940="SBJ","CB","?"))</f>
        <v/>
      </c>
      <c r="I2940" s="24" t="str">
        <f aca="false">IF(OR(E2940="",E2940="!!!",F2940="NEW"),"",INDEX(B11:B$2930,-1+SUMPRODUCT(MAX(ROW(E11:E$2930)*(E2940=E11:E$2930)))))</f>
        <v/>
      </c>
      <c r="J2940" s="24" t="str">
        <f aca="true">IF(OR(E2940="",E2940="!!!",F2940="NEW"),"",COUNTBLANK(OFFSET(A$1,,,SUMPRODUCT(MAX(ROW(E$2:E2940)*(E2940=E$2:E2940)))))-COUNTBLANK(OFFSET(A$1,,,SUMPRODUCT(MAX(ROW(E$1:E2939)*(E2=E$1:E2939))))))</f>
        <v/>
      </c>
      <c r="K2940" s="24" t="str">
        <f aca="false">IF(OR(E2940="",E2940="!!!",F2940="NEW"),"",INDEX(J$1:J2939,SUMPRODUCT(MAX(ROW(E$1:E2939)*(E2940=E$1:E2939)))))</f>
        <v/>
      </c>
      <c r="L2940" s="31"/>
    </row>
    <row r="2941" customFormat="false" ht="15" hidden="false" customHeight="false" outlineLevel="0" collapsed="false">
      <c r="A2941" s="20" t="s">
        <v>1860</v>
      </c>
      <c r="E2941" s="23" t="str">
        <f aca="false">IF(D2941="?OLD","!!!","")</f>
        <v/>
      </c>
      <c r="F2941" s="25" t="str">
        <f aca="false">IF(OR(E2941="",E2941="!!!"),"",IF(NOT(ISNA(VLOOKUP(E2941,E$1:E2940,1,FALSE()))),"OLD",IF(AND(E2941&lt;&gt;"",E2941&lt;&gt;"!!!"),"NEW","")))</f>
        <v/>
      </c>
      <c r="G2941" s="26" t="str">
        <f aca="false">IF(OR(E2941="",E2941="!!!"),"",IF(OR(J2941=0,AND(J2941=1,K2941=1),AND(J2941=1,I2941="SBJ"),AND(J2941=1,I2941=0)),"?IN_FOCUS",IF(J2941&lt;=2,"?ACTIVATED",IF(J2941&lt;&gt;"","?FAMILIAR",IF(F2941="NEW",IF(ISNA(VLOOKUP(E2941,#REF!,1,FALSE())),"?TYPE_IDENTIFIABLE","?REFERENTIAL"),"_")))))</f>
        <v/>
      </c>
      <c r="H2941" s="27" t="str">
        <f aca="false">IF(J2941&lt;&gt;1,"",IF(I2941="SBJ","CB","?"))</f>
        <v/>
      </c>
      <c r="I2941" s="24" t="str">
        <f aca="false">IF(OR(E2941="",E2941="!!!",F2941="NEW"),"",INDEX(B12:B$2930,-1+SUMPRODUCT(MAX(ROW(E12:E$2930)*(E2941=E12:E$2930)))))</f>
        <v/>
      </c>
      <c r="J2941" s="24" t="str">
        <f aca="true">IF(OR(E2941="",E2941="!!!",F2941="NEW"),"",COUNTBLANK(OFFSET(A$1,,,SUMPRODUCT(MAX(ROW(E$2:E2941)*(E2941=E$2:E2941)))))-COUNTBLANK(OFFSET(A$1,,,SUMPRODUCT(MAX(ROW(E$1:E2940)*(E2=E$1:E2940))))))</f>
        <v/>
      </c>
      <c r="K2941" s="24" t="str">
        <f aca="false">IF(OR(E2941="",E2941="!!!",F2941="NEW"),"",INDEX(J$1:J2940,SUMPRODUCT(MAX(ROW(E$1:E2940)*(E2941=E$1:E2940)))))</f>
        <v/>
      </c>
      <c r="L2941" s="31"/>
    </row>
    <row r="2942" customFormat="false" ht="15" hidden="false" customHeight="false" outlineLevel="0" collapsed="false">
      <c r="A2942" s="20" t="s">
        <v>1085</v>
      </c>
      <c r="E2942" s="23" t="str">
        <f aca="false">IF(D2942="?OLD","!!!","")</f>
        <v/>
      </c>
      <c r="F2942" s="25" t="str">
        <f aca="false">IF(OR(E2942="",E2942="!!!"),"",IF(NOT(ISNA(VLOOKUP(E2942,E$1:E2941,1,FALSE()))),"OLD",IF(AND(E2942&lt;&gt;"",E2942&lt;&gt;"!!!"),"NEW","")))</f>
        <v/>
      </c>
      <c r="G2942" s="26" t="str">
        <f aca="false">IF(OR(E2942="",E2942="!!!"),"",IF(OR(J2942=0,AND(J2942=1,K2942=1),AND(J2942=1,I2942="SBJ"),AND(J2942=1,I2942=0)),"?IN_FOCUS",IF(J2942&lt;=2,"?ACTIVATED",IF(J2942&lt;&gt;"","?FAMILIAR",IF(F2942="NEW",IF(ISNA(VLOOKUP(E2942,#REF!,1,FALSE())),"?TYPE_IDENTIFIABLE","?REFERENTIAL"),"_")))))</f>
        <v/>
      </c>
      <c r="H2942" s="27" t="str">
        <f aca="false">IF(J2942&lt;&gt;1,"",IF(I2942="SBJ","CB","?"))</f>
        <v/>
      </c>
      <c r="I2942" s="24" t="str">
        <f aca="false">IF(OR(E2942="",E2942="!!!",F2942="NEW"),"",INDEX(B13:B$2930,-1+SUMPRODUCT(MAX(ROW(E13:E$2930)*(E2942=E13:E$2930)))))</f>
        <v/>
      </c>
      <c r="J2942" s="24" t="str">
        <f aca="true">IF(OR(E2942="",E2942="!!!",F2942="NEW"),"",COUNTBLANK(OFFSET(A$1,,,SUMPRODUCT(MAX(ROW(E$2:E2942)*(E2942=E$2:E2942)))))-COUNTBLANK(OFFSET(A$1,,,SUMPRODUCT(MAX(ROW(E$1:E2941)*(E2=E$1:E2941))))))</f>
        <v/>
      </c>
      <c r="K2942" s="24" t="str">
        <f aca="false">IF(OR(E2942="",E2942="!!!",F2942="NEW"),"",INDEX(J$1:J2941,SUMPRODUCT(MAX(ROW(E$1:E2941)*(E2942=E$1:E2941)))))</f>
        <v/>
      </c>
      <c r="L2942" s="31"/>
    </row>
    <row r="2943" customFormat="false" ht="15" hidden="false" customHeight="false" outlineLevel="0" collapsed="false">
      <c r="A2943" s="20" t="s">
        <v>1890</v>
      </c>
      <c r="B2943" s="22" t="s">
        <v>1105</v>
      </c>
      <c r="C2943" s="22" t="s">
        <v>1132</v>
      </c>
      <c r="E2943" s="23" t="str">
        <f aca="false">IF(D2943="?OLD","!!!","")</f>
        <v/>
      </c>
      <c r="F2943" s="25" t="str">
        <f aca="false">IF(OR(E2943="",E2943="!!!"),"",IF(NOT(ISNA(VLOOKUP(E2943,E$1:E2942,1,FALSE()))),"OLD",IF(AND(E2943&lt;&gt;"",E2943&lt;&gt;"!!!"),"NEW","")))</f>
        <v/>
      </c>
      <c r="G2943" s="26" t="str">
        <f aca="false">IF(OR(E2943="",E2943="!!!"),"",IF(OR(J2943=0,AND(J2943=1,K2943=1),AND(J2943=1,I2943="SBJ"),AND(J2943=1,I2943=0)),"?IN_FOCUS",IF(J2943&lt;=2,"?ACTIVATED",IF(J2943&lt;&gt;"","?FAMILIAR",IF(F2943="NEW",IF(ISNA(VLOOKUP(E2943,#REF!,1,FALSE())),"?TYPE_IDENTIFIABLE","?REFERENTIAL"),"_")))))</f>
        <v/>
      </c>
      <c r="H2943" s="27" t="str">
        <f aca="false">IF(J2943&lt;&gt;1,"",IF(I2943="SBJ","CB","?"))</f>
        <v/>
      </c>
      <c r="I2943" s="24" t="str">
        <f aca="false">IF(OR(E2943="",E2943="!!!",F2943="NEW"),"",INDEX(B14:B$2930,-1+SUMPRODUCT(MAX(ROW(E14:E$2930)*(E2943=E14:E$2930)))))</f>
        <v/>
      </c>
      <c r="J2943" s="24" t="str">
        <f aca="true">IF(OR(E2943="",E2943="!!!",F2943="NEW"),"",COUNTBLANK(OFFSET(A$1,,,SUMPRODUCT(MAX(ROW(E$2:E2943)*(E2943=E$2:E2943)))))-COUNTBLANK(OFFSET(A$1,,,SUMPRODUCT(MAX(ROW(E$1:E2942)*(E2=E$1:E2942))))))</f>
        <v/>
      </c>
      <c r="K2943" s="24" t="str">
        <f aca="false">IF(OR(E2943="",E2943="!!!",F2943="NEW"),"",INDEX(J$1:J2942,SUMPRODUCT(MAX(ROW(E$1:E2942)*(E2943=E$1:E2942)))))</f>
        <v/>
      </c>
      <c r="L2943" s="31"/>
    </row>
    <row r="2944" customFormat="false" ht="15" hidden="false" customHeight="false" outlineLevel="0" collapsed="false">
      <c r="A2944" s="20" t="s">
        <v>1157</v>
      </c>
      <c r="E2944" s="23" t="str">
        <f aca="false">IF(D2944="?OLD","!!!","")</f>
        <v/>
      </c>
      <c r="F2944" s="25" t="str">
        <f aca="false">IF(OR(E2944="",E2944="!!!"),"",IF(NOT(ISNA(VLOOKUP(E2944,E$1:E2943,1,FALSE()))),"OLD",IF(AND(E2944&lt;&gt;"",E2944&lt;&gt;"!!!"),"NEW","")))</f>
        <v/>
      </c>
      <c r="G2944" s="26" t="str">
        <f aca="false">IF(OR(E2944="",E2944="!!!"),"",IF(OR(J2944=0,AND(J2944=1,K2944=1),AND(J2944=1,I2944="SBJ"),AND(J2944=1,I2944=0)),"?IN_FOCUS",IF(J2944&lt;=2,"?ACTIVATED",IF(J2944&lt;&gt;"","?FAMILIAR",IF(F2944="NEW",IF(ISNA(VLOOKUP(E2944,#REF!,1,FALSE())),"?TYPE_IDENTIFIABLE","?REFERENTIAL"),"_")))))</f>
        <v/>
      </c>
      <c r="H2944" s="27" t="str">
        <f aca="false">IF(J2944&lt;&gt;1,"",IF(I2944="SBJ","CB","?"))</f>
        <v/>
      </c>
      <c r="I2944" s="24" t="str">
        <f aca="false">IF(OR(E2944="",E2944="!!!",F2944="NEW"),"",INDEX(B15:B$2930,-1+SUMPRODUCT(MAX(ROW(E15:E$2930)*(E2944=E15:E$2930)))))</f>
        <v/>
      </c>
      <c r="J2944" s="24" t="str">
        <f aca="true">IF(OR(E2944="",E2944="!!!",F2944="NEW"),"",COUNTBLANK(OFFSET(A$1,,,SUMPRODUCT(MAX(ROW(E$2:E2944)*(E2944=E$2:E2944)))))-COUNTBLANK(OFFSET(A$1,,,SUMPRODUCT(MAX(ROW(E$1:E2943)*(E2=E$1:E2943))))))</f>
        <v/>
      </c>
      <c r="K2944" s="24" t="str">
        <f aca="false">IF(OR(E2944="",E2944="!!!",F2944="NEW"),"",INDEX(J$1:J2943,SUMPRODUCT(MAX(ROW(E$1:E2943)*(E2944=E$1:E2943)))))</f>
        <v/>
      </c>
      <c r="L2944" s="31"/>
    </row>
    <row r="2945" customFormat="false" ht="15" hidden="false" customHeight="false" outlineLevel="0" collapsed="false">
      <c r="A2945" s="20" t="s">
        <v>1339</v>
      </c>
      <c r="B2945" s="22" t="s">
        <v>1073</v>
      </c>
      <c r="C2945" s="22" t="s">
        <v>1132</v>
      </c>
      <c r="D2945" s="22" t="s">
        <v>1060</v>
      </c>
      <c r="E2945" s="23" t="str">
        <f aca="false">IF(D2945="?OLD","!!!","")</f>
        <v>!!!</v>
      </c>
      <c r="F2945" s="25" t="str">
        <f aca="false">IF(OR(E2945="",E2945="!!!"),"",IF(NOT(ISNA(VLOOKUP(E2945,E$1:E2944,1,FALSE()))),"OLD",IF(AND(E2945&lt;&gt;"",E2945&lt;&gt;"!!!"),"NEW","")))</f>
        <v/>
      </c>
      <c r="G2945" s="26" t="str">
        <f aca="false">IF(OR(E2945="",E2945="!!!"),"",IF(OR(J2945=0,AND(J2945=1,K2945=1),AND(J2945=1,I2945="SBJ"),AND(J2945=1,I2945=0)),"?IN_FOCUS",IF(J2945&lt;=2,"?ACTIVATED",IF(J2945&lt;&gt;"","?FAMILIAR",IF(F2945="NEW",IF(ISNA(VLOOKUP(E2945,#REF!,1,FALSE())),"?TYPE_IDENTIFIABLE","?REFERENTIAL"),"_")))))</f>
        <v/>
      </c>
      <c r="H2945" s="27" t="str">
        <f aca="false">IF(J2945&lt;&gt;1,"",IF(I2945="SBJ","CB","?"))</f>
        <v/>
      </c>
      <c r="I2945" s="24" t="str">
        <f aca="false">IF(OR(E2945="",E2945="!!!",F2945="NEW"),"",INDEX(B16:B$2930,-1+SUMPRODUCT(MAX(ROW(E16:E$2930)*(E2945=E16:E$2930)))))</f>
        <v/>
      </c>
      <c r="J2945" s="24" t="str">
        <f aca="true">IF(OR(E2945="",E2945="!!!",F2945="NEW"),"",COUNTBLANK(OFFSET(A$1,,,SUMPRODUCT(MAX(ROW(E$2:E2945)*(E2945=E$2:E2945)))))-COUNTBLANK(OFFSET(A$1,,,SUMPRODUCT(MAX(ROW(E$1:E2944)*(E2=E$1:E2944))))))</f>
        <v/>
      </c>
      <c r="K2945" s="24" t="str">
        <f aca="false">IF(OR(E2945="",E2945="!!!",F2945="NEW"),"",INDEX(J$1:J2944,SUMPRODUCT(MAX(ROW(E$1:E2944)*(E2945=E$1:E2944)))))</f>
        <v/>
      </c>
      <c r="L2945" s="31"/>
    </row>
    <row r="2946" customFormat="false" ht="15" hidden="false" customHeight="false" outlineLevel="0" collapsed="false">
      <c r="A2946" s="20" t="s">
        <v>923</v>
      </c>
      <c r="E2946" s="23" t="str">
        <f aca="false">IF(D2946="?OLD","!!!","")</f>
        <v/>
      </c>
      <c r="F2946" s="25" t="str">
        <f aca="false">IF(OR(E2946="",E2946="!!!"),"",IF(NOT(ISNA(VLOOKUP(E2946,E$1:E2945,1,FALSE()))),"OLD",IF(AND(E2946&lt;&gt;"",E2946&lt;&gt;"!!!"),"NEW","")))</f>
        <v/>
      </c>
      <c r="G2946" s="26" t="str">
        <f aca="false">IF(OR(E2946="",E2946="!!!"),"",IF(OR(J2946=0,AND(J2946=1,K2946=1),AND(J2946=1,I2946="SBJ"),AND(J2946=1,I2946=0)),"?IN_FOCUS",IF(J2946&lt;=2,"?ACTIVATED",IF(J2946&lt;&gt;"","?FAMILIAR",IF(F2946="NEW",IF(ISNA(VLOOKUP(E2946,#REF!,1,FALSE())),"?TYPE_IDENTIFIABLE","?REFERENTIAL"),"_")))))</f>
        <v/>
      </c>
      <c r="H2946" s="27" t="str">
        <f aca="false">IF(J2946&lt;&gt;1,"",IF(I2946="SBJ","CB","?"))</f>
        <v/>
      </c>
      <c r="I2946" s="24" t="str">
        <f aca="false">IF(OR(E2946="",E2946="!!!",F2946="NEW"),"",INDEX(B17:B$2930,-1+SUMPRODUCT(MAX(ROW(E17:E$2930)*(E2946=E17:E$2930)))))</f>
        <v/>
      </c>
      <c r="J2946" s="24" t="str">
        <f aca="true">IF(OR(E2946="",E2946="!!!",F2946="NEW"),"",COUNTBLANK(OFFSET(A$1,,,SUMPRODUCT(MAX(ROW(E$2:E2946)*(E2946=E$2:E2946)))))-COUNTBLANK(OFFSET(A$1,,,SUMPRODUCT(MAX(ROW(E$1:E2945)*(E2=E$1:E2945))))))</f>
        <v/>
      </c>
      <c r="K2946" s="24" t="str">
        <f aca="false">IF(OR(E2946="",E2946="!!!",F2946="NEW"),"",INDEX(J$1:J2945,SUMPRODUCT(MAX(ROW(E$1:E2945)*(E2946=E$1:E2945)))))</f>
        <v/>
      </c>
      <c r="L2946" s="31"/>
    </row>
    <row r="2947" customFormat="false" ht="15" hidden="false" customHeight="false" outlineLevel="0" collapsed="false">
      <c r="A2947" s="20"/>
    </row>
    <row r="2948" customFormat="false" ht="15" hidden="false" customHeight="false" outlineLevel="0" collapsed="false">
      <c r="A2948" s="20" t="s">
        <v>1301</v>
      </c>
      <c r="E2948" s="23" t="str">
        <f aca="false">IF(D2948="?OLD","!!!","")</f>
        <v/>
      </c>
      <c r="F2948" s="25" t="str">
        <f aca="false">IF(OR(E2948="",E2948="!!!"),"",IF(NOT(ISNA(VLOOKUP(E2948,E$1:E2947,1,FALSE()))),"OLD",IF(AND(E2948&lt;&gt;"",E2948&lt;&gt;"!!!"),"NEW","")))</f>
        <v/>
      </c>
      <c r="G2948" s="26" t="str">
        <f aca="false">IF(OR(E2948="",E2948="!!!"),"",IF(OR(J2948=0,AND(J2948=1,K2948=1),AND(J2948=1,I2948="SBJ"),AND(J2948=1,I2948=0)),"?IN_FOCUS",IF(J2948&lt;=2,"?ACTIVATED",IF(J2948&lt;&gt;"","?FAMILIAR",IF(F2948="NEW",IF(ISNA(VLOOKUP(E2948,#REF!,1,FALSE())),"?TYPE_IDENTIFIABLE","?REFERENTIAL"),"_")))))</f>
        <v/>
      </c>
      <c r="H2948" s="27" t="str">
        <f aca="false">IF(J2948&lt;&gt;1,"",IF(I2948="SBJ","CB","?"))</f>
        <v/>
      </c>
      <c r="I2948" s="24" t="str">
        <f aca="false">IF(OR(E2948="",E2948="!!!",F2948="NEW"),"",INDEX(B2:B$2947,-1+SUMPRODUCT(MAX(ROW(E2:E$2947)*(E2948=E2:E$2947)))))</f>
        <v/>
      </c>
      <c r="J2948" s="24" t="str">
        <f aca="true">IF(OR(E2948="",E2948="!!!",F2948="NEW"),"",COUNTBLANK(OFFSET(A$1,,,SUMPRODUCT(MAX(ROW(E$2:E2948)*(E2948=E$2:E2948)))))-COUNTBLANK(OFFSET(A$1,,,SUMPRODUCT(MAX(ROW(E$1:E2947)*(E2=E$1:E2947))))))</f>
        <v/>
      </c>
      <c r="K2948" s="24" t="str">
        <f aca="false">IF(OR(E2948="",E2948="!!!",F2948="NEW"),"",INDEX(J$1:J2947,SUMPRODUCT(MAX(ROW(E$1:E2947)*(E2948=E$1:E2947)))))</f>
        <v/>
      </c>
      <c r="L2948" s="31"/>
    </row>
    <row r="2949" customFormat="false" ht="15" hidden="false" customHeight="false" outlineLevel="0" collapsed="false">
      <c r="A2949" s="20" t="s">
        <v>2063</v>
      </c>
    </row>
    <row r="2950" customFormat="false" ht="15" hidden="false" customHeight="false" outlineLevel="0" collapsed="false">
      <c r="A2950" s="20" t="s">
        <v>1427</v>
      </c>
      <c r="E2950" s="23" t="str">
        <f aca="false">IF(D2950="?OLD","!!!","")</f>
        <v/>
      </c>
      <c r="F2950" s="25" t="str">
        <f aca="false">IF(OR(E2950="",E2950="!!!"),"",IF(NOT(ISNA(VLOOKUP(E2950,E$1:E2949,1,FALSE()))),"OLD",IF(AND(E2950&lt;&gt;"",E2950&lt;&gt;"!!!"),"NEW","")))</f>
        <v/>
      </c>
      <c r="G2950" s="26" t="str">
        <f aca="false">IF(OR(E2950="",E2950="!!!"),"",IF(OR(J2950=0,AND(J2950=1,K2950=1),AND(J2950=1,I2950="SBJ"),AND(J2950=1,I2950=0)),"?IN_FOCUS",IF(J2950&lt;=2,"?ACTIVATED",IF(J2950&lt;&gt;"","?FAMILIAR",IF(F2950="NEW",IF(ISNA(VLOOKUP(E2950,#REF!,1,FALSE())),"?TYPE_IDENTIFIABLE","?REFERENTIAL"),"_")))))</f>
        <v/>
      </c>
      <c r="H2950" s="27" t="str">
        <f aca="false">IF(J2950&lt;&gt;1,"",IF(I2950="SBJ","CB","?"))</f>
        <v/>
      </c>
      <c r="I2950" s="24" t="str">
        <f aca="false">IF(OR(E2950="",E2950="!!!",F2950="NEW"),"",INDEX(B2:B$2949,-1+SUMPRODUCT(MAX(ROW(E2:E$2949)*(E2950=E2:E$2949)))))</f>
        <v/>
      </c>
      <c r="J2950" s="24" t="str">
        <f aca="true">IF(OR(E2950="",E2950="!!!",F2950="NEW"),"",COUNTBLANK(OFFSET(A$1,,,SUMPRODUCT(MAX(ROW(E$2:E2950)*(E2950=E$2:E2950)))))-COUNTBLANK(OFFSET(A$1,,,SUMPRODUCT(MAX(ROW(E$1:E2949)*(E2=E$1:E2949))))))</f>
        <v/>
      </c>
      <c r="K2950" s="24" t="str">
        <f aca="false">IF(OR(E2950="",E2950="!!!",F2950="NEW"),"",INDEX(J$1:J2949,SUMPRODUCT(MAX(ROW(E$1:E2949)*(E2950=E$1:E2949)))))</f>
        <v/>
      </c>
      <c r="L2950" s="31"/>
    </row>
    <row r="2951" customFormat="false" ht="15" hidden="false" customHeight="false" outlineLevel="0" collapsed="false">
      <c r="A2951" s="20" t="s">
        <v>1109</v>
      </c>
      <c r="E2951" s="23" t="str">
        <f aca="false">IF(D2951="?OLD","!!!","")</f>
        <v/>
      </c>
      <c r="F2951" s="25" t="str">
        <f aca="false">IF(OR(E2951="",E2951="!!!"),"",IF(NOT(ISNA(VLOOKUP(E2951,E$1:E2950,1,FALSE()))),"OLD",IF(AND(E2951&lt;&gt;"",E2951&lt;&gt;"!!!"),"NEW","")))</f>
        <v/>
      </c>
      <c r="G2951" s="26" t="str">
        <f aca="false">IF(OR(E2951="",E2951="!!!"),"",IF(OR(J2951=0,AND(J2951=1,K2951=1),AND(J2951=1,I2951="SBJ"),AND(J2951=1,I2951=0)),"?IN_FOCUS",IF(J2951&lt;=2,"?ACTIVATED",IF(J2951&lt;&gt;"","?FAMILIAR",IF(F2951="NEW",IF(ISNA(VLOOKUP(E2951,#REF!,1,FALSE())),"?TYPE_IDENTIFIABLE","?REFERENTIAL"),"_")))))</f>
        <v/>
      </c>
      <c r="H2951" s="27" t="str">
        <f aca="false">IF(J2951&lt;&gt;1,"",IF(I2951="SBJ","CB","?"))</f>
        <v/>
      </c>
      <c r="I2951" s="24" t="str">
        <f aca="false">IF(OR(E2951="",E2951="!!!",F2951="NEW"),"",INDEX(B3:B$2949,-1+SUMPRODUCT(MAX(ROW(E3:E$2949)*(E2951=E3:E$2949)))))</f>
        <v/>
      </c>
      <c r="J2951" s="24" t="str">
        <f aca="true">IF(OR(E2951="",E2951="!!!",F2951="NEW"),"",COUNTBLANK(OFFSET(A$1,,,SUMPRODUCT(MAX(ROW(E$2:E2951)*(E2951=E$2:E2951)))))-COUNTBLANK(OFFSET(A$1,,,SUMPRODUCT(MAX(ROW(E$1:E2950)*(E2=E$1:E2950))))))</f>
        <v/>
      </c>
      <c r="K2951" s="24" t="str">
        <f aca="false">IF(OR(E2951="",E2951="!!!",F2951="NEW"),"",INDEX(J$1:J2950,SUMPRODUCT(MAX(ROW(E$1:E2950)*(E2951=E$1:E2950)))))</f>
        <v/>
      </c>
      <c r="L2951" s="31"/>
    </row>
    <row r="2952" customFormat="false" ht="15" hidden="false" customHeight="false" outlineLevel="0" collapsed="false">
      <c r="A2952" s="20" t="s">
        <v>1358</v>
      </c>
      <c r="B2952" s="22" t="s">
        <v>1058</v>
      </c>
      <c r="C2952" s="22" t="s">
        <v>1150</v>
      </c>
      <c r="D2952" s="22" t="s">
        <v>1060</v>
      </c>
      <c r="E2952" s="23" t="str">
        <f aca="false">IF(D2952="?OLD","!!!","")</f>
        <v>!!!</v>
      </c>
      <c r="F2952" s="25" t="str">
        <f aca="false">IF(OR(E2952="",E2952="!!!"),"",IF(NOT(ISNA(VLOOKUP(E2952,E$1:E2951,1,FALSE()))),"OLD",IF(AND(E2952&lt;&gt;"",E2952&lt;&gt;"!!!"),"NEW","")))</f>
        <v/>
      </c>
      <c r="G2952" s="26" t="str">
        <f aca="false">IF(OR(E2952="",E2952="!!!"),"",IF(OR(J2952=0,AND(J2952=1,K2952=1),AND(J2952=1,I2952="SBJ"),AND(J2952=1,I2952=0)),"?IN_FOCUS",IF(J2952&lt;=2,"?ACTIVATED",IF(J2952&lt;&gt;"","?FAMILIAR",IF(F2952="NEW",IF(ISNA(VLOOKUP(E2952,#REF!,1,FALSE())),"?TYPE_IDENTIFIABLE","?REFERENTIAL"),"_")))))</f>
        <v/>
      </c>
      <c r="H2952" s="27" t="str">
        <f aca="false">IF(J2952&lt;&gt;1,"",IF(I2952="SBJ","CB","?"))</f>
        <v/>
      </c>
      <c r="I2952" s="24" t="str">
        <f aca="false">IF(OR(E2952="",E2952="!!!",F2952="NEW"),"",INDEX(B4:B$2949,-1+SUMPRODUCT(MAX(ROW(E4:E$2949)*(E2952=E4:E$2949)))))</f>
        <v/>
      </c>
      <c r="J2952" s="24" t="str">
        <f aca="true">IF(OR(E2952="",E2952="!!!",F2952="NEW"),"",COUNTBLANK(OFFSET(A$1,,,SUMPRODUCT(MAX(ROW(E$2:E2952)*(E2952=E$2:E2952)))))-COUNTBLANK(OFFSET(A$1,,,SUMPRODUCT(MAX(ROW(E$1:E2951)*(E2=E$1:E2951))))))</f>
        <v/>
      </c>
      <c r="K2952" s="24" t="str">
        <f aca="false">IF(OR(E2952="",E2952="!!!",F2952="NEW"),"",INDEX(J$1:J2951,SUMPRODUCT(MAX(ROW(E$1:E2951)*(E2952=E$1:E2951)))))</f>
        <v/>
      </c>
      <c r="L2952" s="31"/>
    </row>
    <row r="2953" customFormat="false" ht="15" hidden="false" customHeight="false" outlineLevel="0" collapsed="false">
      <c r="A2953" s="20" t="s">
        <v>1840</v>
      </c>
      <c r="E2953" s="23" t="str">
        <f aca="false">IF(D2953="?OLD","!!!","")</f>
        <v/>
      </c>
      <c r="F2953" s="25" t="str">
        <f aca="false">IF(OR(E2953="",E2953="!!!"),"",IF(NOT(ISNA(VLOOKUP(E2953,E$1:E2952,1,FALSE()))),"OLD",IF(AND(E2953&lt;&gt;"",E2953&lt;&gt;"!!!"),"NEW","")))</f>
        <v/>
      </c>
      <c r="G2953" s="26" t="str">
        <f aca="false">IF(OR(E2953="",E2953="!!!"),"",IF(OR(J2953=0,AND(J2953=1,K2953=1),AND(J2953=1,I2953="SBJ"),AND(J2953=1,I2953=0)),"?IN_FOCUS",IF(J2953&lt;=2,"?ACTIVATED",IF(J2953&lt;&gt;"","?FAMILIAR",IF(F2953="NEW",IF(ISNA(VLOOKUP(E2953,#REF!,1,FALSE())),"?TYPE_IDENTIFIABLE","?REFERENTIAL"),"_")))))</f>
        <v/>
      </c>
      <c r="H2953" s="27" t="str">
        <f aca="false">IF(J2953&lt;&gt;1,"",IF(I2953="SBJ","CB","?"))</f>
        <v/>
      </c>
      <c r="I2953" s="24" t="str">
        <f aca="false">IF(OR(E2953="",E2953="!!!",F2953="NEW"),"",INDEX(B5:B$2949,-1+SUMPRODUCT(MAX(ROW(E5:E$2949)*(E2953=E5:E$2949)))))</f>
        <v/>
      </c>
      <c r="J2953" s="24" t="str">
        <f aca="true">IF(OR(E2953="",E2953="!!!",F2953="NEW"),"",COUNTBLANK(OFFSET(A$1,,,SUMPRODUCT(MAX(ROW(E$2:E2953)*(E2953=E$2:E2953)))))-COUNTBLANK(OFFSET(A$1,,,SUMPRODUCT(MAX(ROW(E$1:E2952)*(E2=E$1:E2952))))))</f>
        <v/>
      </c>
      <c r="K2953" s="24" t="str">
        <f aca="false">IF(OR(E2953="",E2953="!!!",F2953="NEW"),"",INDEX(J$1:J2952,SUMPRODUCT(MAX(ROW(E$1:E2952)*(E2953=E$1:E2952)))))</f>
        <v/>
      </c>
      <c r="L2953" s="31"/>
    </row>
    <row r="2954" customFormat="false" ht="15" hidden="false" customHeight="false" outlineLevel="0" collapsed="false">
      <c r="A2954" s="20" t="s">
        <v>1179</v>
      </c>
      <c r="B2954" s="22" t="s">
        <v>1081</v>
      </c>
      <c r="C2954" s="22" t="s">
        <v>1082</v>
      </c>
      <c r="D2954" s="22" t="s">
        <v>1060</v>
      </c>
      <c r="E2954" s="23" t="str">
        <f aca="false">IF(D2954="?OLD","!!!","")</f>
        <v>!!!</v>
      </c>
      <c r="F2954" s="25" t="str">
        <f aca="false">IF(OR(E2954="",E2954="!!!"),"",IF(NOT(ISNA(VLOOKUP(E2954,E$1:E2953,1,FALSE()))),"OLD",IF(AND(E2954&lt;&gt;"",E2954&lt;&gt;"!!!"),"NEW","")))</f>
        <v/>
      </c>
      <c r="G2954" s="26" t="str">
        <f aca="false">IF(OR(E2954="",E2954="!!!"),"",IF(OR(J2954=0,AND(J2954=1,K2954=1),AND(J2954=1,I2954="SBJ"),AND(J2954=1,I2954=0)),"?IN_FOCUS",IF(J2954&lt;=2,"?ACTIVATED",IF(J2954&lt;&gt;"","?FAMILIAR",IF(F2954="NEW",IF(ISNA(VLOOKUP(E2954,#REF!,1,FALSE())),"?TYPE_IDENTIFIABLE","?REFERENTIAL"),"_")))))</f>
        <v/>
      </c>
      <c r="H2954" s="27" t="str">
        <f aca="false">IF(J2954&lt;&gt;1,"",IF(I2954="SBJ","CB","?"))</f>
        <v/>
      </c>
      <c r="I2954" s="24" t="str">
        <f aca="false">IF(OR(E2954="",E2954="!!!",F2954="NEW"),"",INDEX(B6:B$2949,-1+SUMPRODUCT(MAX(ROW(E6:E$2949)*(E2954=E6:E$2949)))))</f>
        <v/>
      </c>
      <c r="J2954" s="24" t="str">
        <f aca="true">IF(OR(E2954="",E2954="!!!",F2954="NEW"),"",COUNTBLANK(OFFSET(A$1,,,SUMPRODUCT(MAX(ROW(E$2:E2954)*(E2954=E$2:E2954)))))-COUNTBLANK(OFFSET(A$1,,,SUMPRODUCT(MAX(ROW(E$1:E2953)*(E2=E$1:E2953))))))</f>
        <v/>
      </c>
      <c r="K2954" s="24" t="str">
        <f aca="false">IF(OR(E2954="",E2954="!!!",F2954="NEW"),"",INDEX(J$1:J2953,SUMPRODUCT(MAX(ROW(E$1:E2953)*(E2954=E$1:E2953)))))</f>
        <v/>
      </c>
      <c r="L2954" s="31"/>
    </row>
    <row r="2955" customFormat="false" ht="15" hidden="false" customHeight="false" outlineLevel="0" collapsed="false">
      <c r="A2955" s="20" t="s">
        <v>1309</v>
      </c>
      <c r="E2955" s="23" t="str">
        <f aca="false">IF(D2955="?OLD","!!!","")</f>
        <v/>
      </c>
      <c r="F2955" s="25" t="str">
        <f aca="false">IF(OR(E2955="",E2955="!!!"),"",IF(NOT(ISNA(VLOOKUP(E2955,E$1:E2954,1,FALSE()))),"OLD",IF(AND(E2955&lt;&gt;"",E2955&lt;&gt;"!!!"),"NEW","")))</f>
        <v/>
      </c>
      <c r="G2955" s="26" t="str">
        <f aca="false">IF(OR(E2955="",E2955="!!!"),"",IF(OR(J2955=0,AND(J2955=1,K2955=1),AND(J2955=1,I2955="SBJ"),AND(J2955=1,I2955=0)),"?IN_FOCUS",IF(J2955&lt;=2,"?ACTIVATED",IF(J2955&lt;&gt;"","?FAMILIAR",IF(F2955="NEW",IF(ISNA(VLOOKUP(E2955,#REF!,1,FALSE())),"?TYPE_IDENTIFIABLE","?REFERENTIAL"),"_")))))</f>
        <v/>
      </c>
      <c r="H2955" s="27" t="str">
        <f aca="false">IF(J2955&lt;&gt;1,"",IF(I2955="SBJ","CB","?"))</f>
        <v/>
      </c>
      <c r="I2955" s="24" t="str">
        <f aca="false">IF(OR(E2955="",E2955="!!!",F2955="NEW"),"",INDEX(B7:B$2949,-1+SUMPRODUCT(MAX(ROW(E7:E$2949)*(E2955=E7:E$2949)))))</f>
        <v/>
      </c>
      <c r="J2955" s="24" t="str">
        <f aca="true">IF(OR(E2955="",E2955="!!!",F2955="NEW"),"",COUNTBLANK(OFFSET(A$1,,,SUMPRODUCT(MAX(ROW(E$2:E2955)*(E2955=E$2:E2955)))))-COUNTBLANK(OFFSET(A$1,,,SUMPRODUCT(MAX(ROW(E$1:E2954)*(E2=E$1:E2954))))))</f>
        <v/>
      </c>
      <c r="K2955" s="24" t="str">
        <f aca="false">IF(OR(E2955="",E2955="!!!",F2955="NEW"),"",INDEX(J$1:J2954,SUMPRODUCT(MAX(ROW(E$1:E2954)*(E2955=E$1:E2954)))))</f>
        <v/>
      </c>
      <c r="L2955" s="31"/>
    </row>
    <row r="2956" customFormat="false" ht="15" hidden="false" customHeight="false" outlineLevel="0" collapsed="false">
      <c r="A2956" s="20" t="s">
        <v>1943</v>
      </c>
      <c r="B2956" s="22" t="s">
        <v>1081</v>
      </c>
      <c r="C2956" s="22" t="s">
        <v>1160</v>
      </c>
      <c r="E2956" s="23" t="str">
        <f aca="false">IF(D2956="?OLD","!!!","")</f>
        <v/>
      </c>
      <c r="F2956" s="25" t="str">
        <f aca="false">IF(OR(E2956="",E2956="!!!"),"",IF(NOT(ISNA(VLOOKUP(E2956,E$1:E2955,1,FALSE()))),"OLD",IF(AND(E2956&lt;&gt;"",E2956&lt;&gt;"!!!"),"NEW","")))</f>
        <v/>
      </c>
      <c r="G2956" s="26" t="str">
        <f aca="false">IF(OR(E2956="",E2956="!!!"),"",IF(OR(J2956=0,AND(J2956=1,K2956=1),AND(J2956=1,I2956="SBJ"),AND(J2956=1,I2956=0)),"?IN_FOCUS",IF(J2956&lt;=2,"?ACTIVATED",IF(J2956&lt;&gt;"","?FAMILIAR",IF(F2956="NEW",IF(ISNA(VLOOKUP(E2956,#REF!,1,FALSE())),"?TYPE_IDENTIFIABLE","?REFERENTIAL"),"_")))))</f>
        <v/>
      </c>
      <c r="H2956" s="27" t="str">
        <f aca="false">IF(J2956&lt;&gt;1,"",IF(I2956="SBJ","CB","?"))</f>
        <v/>
      </c>
      <c r="I2956" s="24" t="str">
        <f aca="false">IF(OR(E2956="",E2956="!!!",F2956="NEW"),"",INDEX(B8:B$2949,-1+SUMPRODUCT(MAX(ROW(E8:E$2949)*(E2956=E8:E$2949)))))</f>
        <v/>
      </c>
      <c r="J2956" s="24" t="str">
        <f aca="true">IF(OR(E2956="",E2956="!!!",F2956="NEW"),"",COUNTBLANK(OFFSET(A$1,,,SUMPRODUCT(MAX(ROW(E$2:E2956)*(E2956=E$2:E2956)))))-COUNTBLANK(OFFSET(A$1,,,SUMPRODUCT(MAX(ROW(E$1:E2955)*(E2=E$1:E2955))))))</f>
        <v/>
      </c>
      <c r="K2956" s="24" t="str">
        <f aca="false">IF(OR(E2956="",E2956="!!!",F2956="NEW"),"",INDEX(J$1:J2955,SUMPRODUCT(MAX(ROW(E$1:E2955)*(E2956=E$1:E2955)))))</f>
        <v/>
      </c>
      <c r="L2956" s="31"/>
    </row>
    <row r="2957" customFormat="false" ht="15" hidden="false" customHeight="false" outlineLevel="0" collapsed="false">
      <c r="A2957" s="20" t="s">
        <v>1095</v>
      </c>
      <c r="E2957" s="23" t="str">
        <f aca="false">IF(D2957="?OLD","!!!","")</f>
        <v/>
      </c>
      <c r="F2957" s="25" t="str">
        <f aca="false">IF(OR(E2957="",E2957="!!!"),"",IF(NOT(ISNA(VLOOKUP(E2957,E$1:E2956,1,FALSE()))),"OLD",IF(AND(E2957&lt;&gt;"",E2957&lt;&gt;"!!!"),"NEW","")))</f>
        <v/>
      </c>
      <c r="G2957" s="26" t="str">
        <f aca="false">IF(OR(E2957="",E2957="!!!"),"",IF(OR(J2957=0,AND(J2957=1,K2957=1),AND(J2957=1,I2957="SBJ"),AND(J2957=1,I2957=0)),"?IN_FOCUS",IF(J2957&lt;=2,"?ACTIVATED",IF(J2957&lt;&gt;"","?FAMILIAR",IF(F2957="NEW",IF(ISNA(VLOOKUP(E2957,#REF!,1,FALSE())),"?TYPE_IDENTIFIABLE","?REFERENTIAL"),"_")))))</f>
        <v/>
      </c>
      <c r="H2957" s="27" t="str">
        <f aca="false">IF(J2957&lt;&gt;1,"",IF(I2957="SBJ","CB","?"))</f>
        <v/>
      </c>
      <c r="I2957" s="24" t="str">
        <f aca="false">IF(OR(E2957="",E2957="!!!",F2957="NEW"),"",INDEX(B9:B$2949,-1+SUMPRODUCT(MAX(ROW(E9:E$2949)*(E2957=E9:E$2949)))))</f>
        <v/>
      </c>
      <c r="J2957" s="24" t="str">
        <f aca="true">IF(OR(E2957="",E2957="!!!",F2957="NEW"),"",COUNTBLANK(OFFSET(A$1,,,SUMPRODUCT(MAX(ROW(E$2:E2957)*(E2957=E$2:E2957)))))-COUNTBLANK(OFFSET(A$1,,,SUMPRODUCT(MAX(ROW(E$1:E2956)*(E2=E$1:E2956))))))</f>
        <v/>
      </c>
      <c r="K2957" s="24" t="str">
        <f aca="false">IF(OR(E2957="",E2957="!!!",F2957="NEW"),"",INDEX(J$1:J2956,SUMPRODUCT(MAX(ROW(E$1:E2956)*(E2957=E$1:E2956)))))</f>
        <v/>
      </c>
      <c r="L2957" s="31"/>
    </row>
    <row r="2958" customFormat="false" ht="15" hidden="false" customHeight="false" outlineLevel="0" collapsed="false">
      <c r="A2958" s="20" t="s">
        <v>2064</v>
      </c>
      <c r="E2958" s="23" t="str">
        <f aca="false">IF(D2958="?OLD","!!!","")</f>
        <v/>
      </c>
      <c r="F2958" s="25" t="str">
        <f aca="false">IF(OR(E2958="",E2958="!!!"),"",IF(NOT(ISNA(VLOOKUP(E2958,E$1:E2957,1,FALSE()))),"OLD",IF(AND(E2958&lt;&gt;"",E2958&lt;&gt;"!!!"),"NEW","")))</f>
        <v/>
      </c>
      <c r="G2958" s="26" t="str">
        <f aca="false">IF(OR(E2958="",E2958="!!!"),"",IF(OR(J2958=0,AND(J2958=1,K2958=1),AND(J2958=1,I2958="SBJ"),AND(J2958=1,I2958=0)),"?IN_FOCUS",IF(J2958&lt;=2,"?ACTIVATED",IF(J2958&lt;&gt;"","?FAMILIAR",IF(F2958="NEW",IF(ISNA(VLOOKUP(E2958,#REF!,1,FALSE())),"?TYPE_IDENTIFIABLE","?REFERENTIAL"),"_")))))</f>
        <v/>
      </c>
      <c r="H2958" s="27" t="str">
        <f aca="false">IF(J2958&lt;&gt;1,"",IF(I2958="SBJ","CB","?"))</f>
        <v/>
      </c>
      <c r="I2958" s="24" t="str">
        <f aca="false">IF(OR(E2958="",E2958="!!!",F2958="NEW"),"",INDEX(B10:B$2949,-1+SUMPRODUCT(MAX(ROW(E10:E$2949)*(E2958=E10:E$2949)))))</f>
        <v/>
      </c>
      <c r="J2958" s="24" t="str">
        <f aca="true">IF(OR(E2958="",E2958="!!!",F2958="NEW"),"",COUNTBLANK(OFFSET(A$1,,,SUMPRODUCT(MAX(ROW(E$2:E2958)*(E2958=E$2:E2958)))))-COUNTBLANK(OFFSET(A$1,,,SUMPRODUCT(MAX(ROW(E$1:E2957)*(E2=E$1:E2957))))))</f>
        <v/>
      </c>
      <c r="K2958" s="24" t="str">
        <f aca="false">IF(OR(E2958="",E2958="!!!",F2958="NEW"),"",INDEX(J$1:J2957,SUMPRODUCT(MAX(ROW(E$1:E2957)*(E2958=E$1:E2957)))))</f>
        <v/>
      </c>
      <c r="L2958" s="31"/>
    </row>
    <row r="2959" customFormat="false" ht="15" hidden="false" customHeight="false" outlineLevel="0" collapsed="false">
      <c r="A2959" s="20" t="s">
        <v>1137</v>
      </c>
      <c r="B2959" s="22" t="s">
        <v>1146</v>
      </c>
      <c r="C2959" s="22" t="s">
        <v>1082</v>
      </c>
      <c r="D2959" s="22" t="s">
        <v>1060</v>
      </c>
      <c r="E2959" s="23" t="str">
        <f aca="false">IF(D2959="?OLD","!!!","")</f>
        <v>!!!</v>
      </c>
      <c r="F2959" s="25" t="str">
        <f aca="false">IF(OR(E2959="",E2959="!!!"),"",IF(NOT(ISNA(VLOOKUP(E2959,E$1:E2958,1,FALSE()))),"OLD",IF(AND(E2959&lt;&gt;"",E2959&lt;&gt;"!!!"),"NEW","")))</f>
        <v/>
      </c>
      <c r="G2959" s="26" t="str">
        <f aca="false">IF(OR(E2959="",E2959="!!!"),"",IF(OR(J2959=0,AND(J2959=1,K2959=1),AND(J2959=1,I2959="SBJ"),AND(J2959=1,I2959=0)),"?IN_FOCUS",IF(J2959&lt;=2,"?ACTIVATED",IF(J2959&lt;&gt;"","?FAMILIAR",IF(F2959="NEW",IF(ISNA(VLOOKUP(E2959,#REF!,1,FALSE())),"?TYPE_IDENTIFIABLE","?REFERENTIAL"),"_")))))</f>
        <v/>
      </c>
      <c r="H2959" s="27" t="str">
        <f aca="false">IF(J2959&lt;&gt;1,"",IF(I2959="SBJ","CB","?"))</f>
        <v/>
      </c>
      <c r="I2959" s="24" t="str">
        <f aca="false">IF(OR(E2959="",E2959="!!!",F2959="NEW"),"",INDEX(B11:B$2949,-1+SUMPRODUCT(MAX(ROW(E11:E$2949)*(E2959=E11:E$2949)))))</f>
        <v/>
      </c>
      <c r="J2959" s="24" t="str">
        <f aca="true">IF(OR(E2959="",E2959="!!!",F2959="NEW"),"",COUNTBLANK(OFFSET(A$1,,,SUMPRODUCT(MAX(ROW(E$2:E2959)*(E2959=E$2:E2959)))))-COUNTBLANK(OFFSET(A$1,,,SUMPRODUCT(MAX(ROW(E$1:E2958)*(E2=E$1:E2958))))))</f>
        <v/>
      </c>
      <c r="K2959" s="24" t="str">
        <f aca="false">IF(OR(E2959="",E2959="!!!",F2959="NEW"),"",INDEX(J$1:J2958,SUMPRODUCT(MAX(ROW(E$1:E2958)*(E2959=E$1:E2958)))))</f>
        <v/>
      </c>
      <c r="L2959" s="31"/>
    </row>
    <row r="2960" customFormat="false" ht="15" hidden="false" customHeight="false" outlineLevel="0" collapsed="false">
      <c r="A2960" s="20" t="s">
        <v>923</v>
      </c>
      <c r="E2960" s="23" t="str">
        <f aca="false">IF(D2960="?OLD","!!!","")</f>
        <v/>
      </c>
      <c r="F2960" s="25" t="str">
        <f aca="false">IF(OR(E2960="",E2960="!!!"),"",IF(NOT(ISNA(VLOOKUP(E2960,E$1:E2959,1,FALSE()))),"OLD",IF(AND(E2960&lt;&gt;"",E2960&lt;&gt;"!!!"),"NEW","")))</f>
        <v/>
      </c>
      <c r="G2960" s="26" t="str">
        <f aca="false">IF(OR(E2960="",E2960="!!!"),"",IF(OR(J2960=0,AND(J2960=1,K2960=1),AND(J2960=1,I2960="SBJ"),AND(J2960=1,I2960=0)),"?IN_FOCUS",IF(J2960&lt;=2,"?ACTIVATED",IF(J2960&lt;&gt;"","?FAMILIAR",IF(F2960="NEW",IF(ISNA(VLOOKUP(E2960,#REF!,1,FALSE())),"?TYPE_IDENTIFIABLE","?REFERENTIAL"),"_")))))</f>
        <v/>
      </c>
      <c r="H2960" s="27" t="str">
        <f aca="false">IF(J2960&lt;&gt;1,"",IF(I2960="SBJ","CB","?"))</f>
        <v/>
      </c>
      <c r="I2960" s="24" t="str">
        <f aca="false">IF(OR(E2960="",E2960="!!!",F2960="NEW"),"",INDEX(B12:B$2949,-1+SUMPRODUCT(MAX(ROW(E12:E$2949)*(E2960=E12:E$2949)))))</f>
        <v/>
      </c>
      <c r="J2960" s="24" t="str">
        <f aca="true">IF(OR(E2960="",E2960="!!!",F2960="NEW"),"",COUNTBLANK(OFFSET(A$1,,,SUMPRODUCT(MAX(ROW(E$2:E2960)*(E2960=E$2:E2960)))))-COUNTBLANK(OFFSET(A$1,,,SUMPRODUCT(MAX(ROW(E$1:E2959)*(E2=E$1:E2959))))))</f>
        <v/>
      </c>
      <c r="K2960" s="24" t="str">
        <f aca="false">IF(OR(E2960="",E2960="!!!",F2960="NEW"),"",INDEX(J$1:J2959,SUMPRODUCT(MAX(ROW(E$1:E2959)*(E2960=E$1:E2959)))))</f>
        <v/>
      </c>
      <c r="L2960" s="31"/>
    </row>
    <row r="2961" customFormat="false" ht="15" hidden="false" customHeight="false" outlineLevel="0" collapsed="false">
      <c r="A2961" s="20" t="s">
        <v>607</v>
      </c>
      <c r="E2961" s="23" t="str">
        <f aca="false">IF(D2961="?OLD","!!!","")</f>
        <v/>
      </c>
      <c r="F2961" s="25" t="str">
        <f aca="false">IF(OR(E2961="",E2961="!!!"),"",IF(NOT(ISNA(VLOOKUP(E2961,E$1:E2960,1,FALSE()))),"OLD",IF(AND(E2961&lt;&gt;"",E2961&lt;&gt;"!!!"),"NEW","")))</f>
        <v/>
      </c>
      <c r="G2961" s="26" t="str">
        <f aca="false">IF(OR(E2961="",E2961="!!!"),"",IF(OR(J2961=0,AND(J2961=1,K2961=1),AND(J2961=1,I2961="SBJ"),AND(J2961=1,I2961=0)),"?IN_FOCUS",IF(J2961&lt;=2,"?ACTIVATED",IF(J2961&lt;&gt;"","?FAMILIAR",IF(F2961="NEW",IF(ISNA(VLOOKUP(E2961,#REF!,1,FALSE())),"?TYPE_IDENTIFIABLE","?REFERENTIAL"),"_")))))</f>
        <v/>
      </c>
      <c r="H2961" s="27" t="str">
        <f aca="false">IF(J2961&lt;&gt;1,"",IF(I2961="SBJ","CB","?"))</f>
        <v/>
      </c>
      <c r="I2961" s="24" t="str">
        <f aca="false">IF(OR(E2961="",E2961="!!!",F2961="NEW"),"",INDEX(B13:B$2949,-1+SUMPRODUCT(MAX(ROW(E13:E$2949)*(E2961=E13:E$2949)))))</f>
        <v/>
      </c>
      <c r="J2961" s="24" t="str">
        <f aca="true">IF(OR(E2961="",E2961="!!!",F2961="NEW"),"",COUNTBLANK(OFFSET(A$1,,,SUMPRODUCT(MAX(ROW(E$2:E2961)*(E2961=E$2:E2961)))))-COUNTBLANK(OFFSET(A$1,,,SUMPRODUCT(MAX(ROW(E$1:E2960)*(E2=E$1:E2960))))))</f>
        <v/>
      </c>
      <c r="K2961" s="24" t="str">
        <f aca="false">IF(OR(E2961="",E2961="!!!",F2961="NEW"),"",INDEX(J$1:J2960,SUMPRODUCT(MAX(ROW(E$1:E2960)*(E2961=E$1:E2960)))))</f>
        <v/>
      </c>
      <c r="L2961" s="31"/>
    </row>
    <row r="2962" customFormat="false" ht="15" hidden="false" customHeight="false" outlineLevel="0" collapsed="false">
      <c r="A2962" s="20"/>
    </row>
    <row r="2963" customFormat="false" ht="15" hidden="false" customHeight="false" outlineLevel="0" collapsed="false">
      <c r="A2963" s="20" t="s">
        <v>1301</v>
      </c>
      <c r="E2963" s="23" t="str">
        <f aca="false">IF(D2963="?OLD","!!!","")</f>
        <v/>
      </c>
      <c r="F2963" s="25" t="str">
        <f aca="false">IF(OR(E2963="",E2963="!!!"),"",IF(NOT(ISNA(VLOOKUP(E2963,E$1:E2962,1,FALSE()))),"OLD",IF(AND(E2963&lt;&gt;"",E2963&lt;&gt;"!!!"),"NEW","")))</f>
        <v/>
      </c>
      <c r="G2963" s="26" t="str">
        <f aca="false">IF(OR(E2963="",E2963="!!!"),"",IF(OR(J2963=0,AND(J2963=1,K2963=1),AND(J2963=1,I2963="SBJ"),AND(J2963=1,I2963=0)),"?IN_FOCUS",IF(J2963&lt;=2,"?ACTIVATED",IF(J2963&lt;&gt;"","?FAMILIAR",IF(F2963="NEW",IF(ISNA(VLOOKUP(E2963,#REF!,1,FALSE())),"?TYPE_IDENTIFIABLE","?REFERENTIAL"),"_")))))</f>
        <v/>
      </c>
      <c r="H2963" s="27" t="str">
        <f aca="false">IF(J2963&lt;&gt;1,"",IF(I2963="SBJ","CB","?"))</f>
        <v/>
      </c>
      <c r="I2963" s="24" t="str">
        <f aca="false">IF(OR(E2963="",E2963="!!!",F2963="NEW"),"",INDEX(B2:B$2962,-1+SUMPRODUCT(MAX(ROW(E2:E$2962)*(E2963=E2:E$2962)))))</f>
        <v/>
      </c>
      <c r="J2963" s="24" t="str">
        <f aca="true">IF(OR(E2963="",E2963="!!!",F2963="NEW"),"",COUNTBLANK(OFFSET(A$1,,,SUMPRODUCT(MAX(ROW(E$2:E2963)*(E2963=E$2:E2963)))))-COUNTBLANK(OFFSET(A$1,,,SUMPRODUCT(MAX(ROW(E$1:E2962)*(E2=E$1:E2962))))))</f>
        <v/>
      </c>
      <c r="K2963" s="24" t="str">
        <f aca="false">IF(OR(E2963="",E2963="!!!",F2963="NEW"),"",INDEX(J$1:J2962,SUMPRODUCT(MAX(ROW(E$1:E2962)*(E2963=E$1:E2962)))))</f>
        <v/>
      </c>
      <c r="L2963" s="31"/>
    </row>
    <row r="2964" customFormat="false" ht="15" hidden="false" customHeight="false" outlineLevel="0" collapsed="false">
      <c r="A2964" s="20" t="s">
        <v>2065</v>
      </c>
    </row>
    <row r="2965" customFormat="false" ht="15" hidden="false" customHeight="false" outlineLevel="0" collapsed="false">
      <c r="A2965" s="20" t="s">
        <v>607</v>
      </c>
      <c r="E2965" s="23" t="str">
        <f aca="false">IF(D2965="?OLD","!!!","")</f>
        <v/>
      </c>
      <c r="F2965" s="25" t="str">
        <f aca="false">IF(OR(E2965="",E2965="!!!"),"",IF(NOT(ISNA(VLOOKUP(E2965,E$1:E2964,1,FALSE()))),"OLD",IF(AND(E2965&lt;&gt;"",E2965&lt;&gt;"!!!"),"NEW","")))</f>
        <v/>
      </c>
      <c r="G2965" s="26" t="str">
        <f aca="false">IF(OR(E2965="",E2965="!!!"),"",IF(OR(J2965=0,AND(J2965=1,K2965=1),AND(J2965=1,I2965="SBJ"),AND(J2965=1,I2965=0)),"?IN_FOCUS",IF(J2965&lt;=2,"?ACTIVATED",IF(J2965&lt;&gt;"","?FAMILIAR",IF(F2965="NEW",IF(ISNA(VLOOKUP(E2965,#REF!,1,FALSE())),"?TYPE_IDENTIFIABLE","?REFERENTIAL"),"_")))))</f>
        <v/>
      </c>
      <c r="H2965" s="27" t="str">
        <f aca="false">IF(J2965&lt;&gt;1,"",IF(I2965="SBJ","CB","?"))</f>
        <v/>
      </c>
      <c r="I2965" s="24" t="str">
        <f aca="false">IF(OR(E2965="",E2965="!!!",F2965="NEW"),"",INDEX(B2:B$2964,-1+SUMPRODUCT(MAX(ROW(E2:E$2964)*(E2965=E2:E$2964)))))</f>
        <v/>
      </c>
      <c r="J2965" s="24" t="str">
        <f aca="true">IF(OR(E2965="",E2965="!!!",F2965="NEW"),"",COUNTBLANK(OFFSET(A$1,,,SUMPRODUCT(MAX(ROW(E$2:E2965)*(E2965=E$2:E2965)))))-COUNTBLANK(OFFSET(A$1,,,SUMPRODUCT(MAX(ROW(E$1:E2964)*(E2=E$1:E2964))))))</f>
        <v/>
      </c>
      <c r="K2965" s="24" t="str">
        <f aca="false">IF(OR(E2965="",E2965="!!!",F2965="NEW"),"",INDEX(J$1:J2964,SUMPRODUCT(MAX(ROW(E$1:E2964)*(E2965=E$1:E2964)))))</f>
        <v/>
      </c>
      <c r="L2965" s="31"/>
    </row>
    <row r="2966" customFormat="false" ht="15" hidden="false" customHeight="false" outlineLevel="0" collapsed="false">
      <c r="A2966" s="20" t="s">
        <v>1335</v>
      </c>
      <c r="B2966" s="22" t="s">
        <v>1058</v>
      </c>
      <c r="C2966" s="22" t="s">
        <v>1082</v>
      </c>
      <c r="D2966" s="22" t="s">
        <v>1060</v>
      </c>
      <c r="E2966" s="23" t="str">
        <f aca="false">IF(D2966="?OLD","!!!","")</f>
        <v>!!!</v>
      </c>
      <c r="F2966" s="25" t="str">
        <f aca="false">IF(OR(E2966="",E2966="!!!"),"",IF(NOT(ISNA(VLOOKUP(E2966,E$1:E2965,1,FALSE()))),"OLD",IF(AND(E2966&lt;&gt;"",E2966&lt;&gt;"!!!"),"NEW","")))</f>
        <v/>
      </c>
      <c r="G2966" s="26" t="str">
        <f aca="false">IF(OR(E2966="",E2966="!!!"),"",IF(OR(J2966=0,AND(J2966=1,K2966=1),AND(J2966=1,I2966="SBJ"),AND(J2966=1,I2966=0)),"?IN_FOCUS",IF(J2966&lt;=2,"?ACTIVATED",IF(J2966&lt;&gt;"","?FAMILIAR",IF(F2966="NEW",IF(ISNA(VLOOKUP(E2966,#REF!,1,FALSE())),"?TYPE_IDENTIFIABLE","?REFERENTIAL"),"_")))))</f>
        <v/>
      </c>
      <c r="H2966" s="27" t="str">
        <f aca="false">IF(J2966&lt;&gt;1,"",IF(I2966="SBJ","CB","?"))</f>
        <v/>
      </c>
      <c r="I2966" s="24" t="str">
        <f aca="false">IF(OR(E2966="",E2966="!!!",F2966="NEW"),"",INDEX(B3:B$2964,-1+SUMPRODUCT(MAX(ROW(E3:E$2964)*(E2966=E3:E$2964)))))</f>
        <v/>
      </c>
      <c r="J2966" s="24" t="str">
        <f aca="true">IF(OR(E2966="",E2966="!!!",F2966="NEW"),"",COUNTBLANK(OFFSET(A$1,,,SUMPRODUCT(MAX(ROW(E$2:E2966)*(E2966=E$2:E2966)))))-COUNTBLANK(OFFSET(A$1,,,SUMPRODUCT(MAX(ROW(E$1:E2965)*(E2=E$1:E2965))))))</f>
        <v/>
      </c>
      <c r="K2966" s="24" t="str">
        <f aca="false">IF(OR(E2966="",E2966="!!!",F2966="NEW"),"",INDEX(J$1:J2965,SUMPRODUCT(MAX(ROW(E$1:E2965)*(E2966=E$1:E2965)))))</f>
        <v/>
      </c>
      <c r="L2966" s="31"/>
    </row>
    <row r="2967" customFormat="false" ht="15" hidden="false" customHeight="false" outlineLevel="0" collapsed="false">
      <c r="A2967" s="20" t="s">
        <v>576</v>
      </c>
      <c r="E2967" s="23" t="str">
        <f aca="false">IF(D2967="?OLD","!!!","")</f>
        <v/>
      </c>
      <c r="F2967" s="25" t="str">
        <f aca="false">IF(OR(E2967="",E2967="!!!"),"",IF(NOT(ISNA(VLOOKUP(E2967,E$1:E2966,1,FALSE()))),"OLD",IF(AND(E2967&lt;&gt;"",E2967&lt;&gt;"!!!"),"NEW","")))</f>
        <v/>
      </c>
      <c r="G2967" s="26" t="str">
        <f aca="false">IF(OR(E2967="",E2967="!!!"),"",IF(OR(J2967=0,AND(J2967=1,K2967=1),AND(J2967=1,I2967="SBJ"),AND(J2967=1,I2967=0)),"?IN_FOCUS",IF(J2967&lt;=2,"?ACTIVATED",IF(J2967&lt;&gt;"","?FAMILIAR",IF(F2967="NEW",IF(ISNA(VLOOKUP(E2967,#REF!,1,FALSE())),"?TYPE_IDENTIFIABLE","?REFERENTIAL"),"_")))))</f>
        <v/>
      </c>
      <c r="H2967" s="27" t="str">
        <f aca="false">IF(J2967&lt;&gt;1,"",IF(I2967="SBJ","CB","?"))</f>
        <v/>
      </c>
      <c r="I2967" s="24" t="str">
        <f aca="false">IF(OR(E2967="",E2967="!!!",F2967="NEW"),"",INDEX(B4:B$2964,-1+SUMPRODUCT(MAX(ROW(E4:E$2964)*(E2967=E4:E$2964)))))</f>
        <v/>
      </c>
      <c r="J2967" s="24" t="str">
        <f aca="true">IF(OR(E2967="",E2967="!!!",F2967="NEW"),"",COUNTBLANK(OFFSET(A$1,,,SUMPRODUCT(MAX(ROW(E$2:E2967)*(E2967=E$2:E2967)))))-COUNTBLANK(OFFSET(A$1,,,SUMPRODUCT(MAX(ROW(E$1:E2966)*(E2=E$1:E2966))))))</f>
        <v/>
      </c>
      <c r="K2967" s="24" t="str">
        <f aca="false">IF(OR(E2967="",E2967="!!!",F2967="NEW"),"",INDEX(J$1:J2966,SUMPRODUCT(MAX(ROW(E$1:E2966)*(E2967=E$1:E2966)))))</f>
        <v/>
      </c>
      <c r="L2967" s="31"/>
    </row>
    <row r="2968" customFormat="false" ht="15" hidden="false" customHeight="false" outlineLevel="0" collapsed="false">
      <c r="A2968" s="20" t="s">
        <v>2066</v>
      </c>
      <c r="E2968" s="23" t="str">
        <f aca="false">IF(D2968="?OLD","!!!","")</f>
        <v/>
      </c>
      <c r="F2968" s="25" t="str">
        <f aca="false">IF(OR(E2968="",E2968="!!!"),"",IF(NOT(ISNA(VLOOKUP(E2968,E$1:E2967,1,FALSE()))),"OLD",IF(AND(E2968&lt;&gt;"",E2968&lt;&gt;"!!!"),"NEW","")))</f>
        <v/>
      </c>
      <c r="G2968" s="26" t="str">
        <f aca="false">IF(OR(E2968="",E2968="!!!"),"",IF(OR(J2968=0,AND(J2968=1,K2968=1),AND(J2968=1,I2968="SBJ"),AND(J2968=1,I2968=0)),"?IN_FOCUS",IF(J2968&lt;=2,"?ACTIVATED",IF(J2968&lt;&gt;"","?FAMILIAR",IF(F2968="NEW",IF(ISNA(VLOOKUP(E2968,#REF!,1,FALSE())),"?TYPE_IDENTIFIABLE","?REFERENTIAL"),"_")))))</f>
        <v/>
      </c>
      <c r="H2968" s="27" t="str">
        <f aca="false">IF(J2968&lt;&gt;1,"",IF(I2968="SBJ","CB","?"))</f>
        <v/>
      </c>
      <c r="I2968" s="24" t="str">
        <f aca="false">IF(OR(E2968="",E2968="!!!",F2968="NEW"),"",INDEX(B5:B$2964,-1+SUMPRODUCT(MAX(ROW(E5:E$2964)*(E2968=E5:E$2964)))))</f>
        <v/>
      </c>
      <c r="J2968" s="24" t="str">
        <f aca="true">IF(OR(E2968="",E2968="!!!",F2968="NEW"),"",COUNTBLANK(OFFSET(A$1,,,SUMPRODUCT(MAX(ROW(E$2:E2968)*(E2968=E$2:E2968)))))-COUNTBLANK(OFFSET(A$1,,,SUMPRODUCT(MAX(ROW(E$1:E2967)*(E2=E$1:E2967))))))</f>
        <v/>
      </c>
      <c r="K2968" s="24" t="str">
        <f aca="false">IF(OR(E2968="",E2968="!!!",F2968="NEW"),"",INDEX(J$1:J2967,SUMPRODUCT(MAX(ROW(E$1:E2967)*(E2968=E$1:E2967)))))</f>
        <v/>
      </c>
      <c r="L2968" s="31"/>
    </row>
    <row r="2969" customFormat="false" ht="15" hidden="false" customHeight="false" outlineLevel="0" collapsed="false">
      <c r="A2969" s="20" t="s">
        <v>1313</v>
      </c>
      <c r="B2969" s="22" t="s">
        <v>1073</v>
      </c>
      <c r="C2969" s="22" t="s">
        <v>1099</v>
      </c>
      <c r="D2969" s="22" t="s">
        <v>1060</v>
      </c>
      <c r="E2969" s="23" t="str">
        <f aca="false">IF(D2969="?OLD","!!!","")</f>
        <v>!!!</v>
      </c>
      <c r="F2969" s="25" t="str">
        <f aca="false">IF(OR(E2969="",E2969="!!!"),"",IF(NOT(ISNA(VLOOKUP(E2969,E$1:E2968,1,FALSE()))),"OLD",IF(AND(E2969&lt;&gt;"",E2969&lt;&gt;"!!!"),"NEW","")))</f>
        <v/>
      </c>
      <c r="G2969" s="26" t="str">
        <f aca="false">IF(OR(E2969="",E2969="!!!"),"",IF(OR(J2969=0,AND(J2969=1,K2969=1),AND(J2969=1,I2969="SBJ"),AND(J2969=1,I2969=0)),"?IN_FOCUS",IF(J2969&lt;=2,"?ACTIVATED",IF(J2969&lt;&gt;"","?FAMILIAR",IF(F2969="NEW",IF(ISNA(VLOOKUP(E2969,#REF!,1,FALSE())),"?TYPE_IDENTIFIABLE","?REFERENTIAL"),"_")))))</f>
        <v/>
      </c>
      <c r="H2969" s="27" t="str">
        <f aca="false">IF(J2969&lt;&gt;1,"",IF(I2969="SBJ","CB","?"))</f>
        <v/>
      </c>
      <c r="I2969" s="24" t="str">
        <f aca="false">IF(OR(E2969="",E2969="!!!",F2969="NEW"),"",INDEX(B6:B$2964,-1+SUMPRODUCT(MAX(ROW(E6:E$2964)*(E2969=E6:E$2964)))))</f>
        <v/>
      </c>
      <c r="J2969" s="24" t="str">
        <f aca="true">IF(OR(E2969="",E2969="!!!",F2969="NEW"),"",COUNTBLANK(OFFSET(A$1,,,SUMPRODUCT(MAX(ROW(E$2:E2969)*(E2969=E$2:E2969)))))-COUNTBLANK(OFFSET(A$1,,,SUMPRODUCT(MAX(ROW(E$1:E2968)*(E2=E$1:E2968))))))</f>
        <v/>
      </c>
      <c r="K2969" s="24" t="str">
        <f aca="false">IF(OR(E2969="",E2969="!!!",F2969="NEW"),"",INDEX(J$1:J2968,SUMPRODUCT(MAX(ROW(E$1:E2968)*(E2969=E$1:E2968)))))</f>
        <v/>
      </c>
      <c r="L2969" s="31"/>
    </row>
    <row r="2970" customFormat="false" ht="15" hidden="false" customHeight="false" outlineLevel="0" collapsed="false">
      <c r="A2970" s="20" t="s">
        <v>1638</v>
      </c>
      <c r="B2970" s="22" t="s">
        <v>1081</v>
      </c>
      <c r="C2970" s="22" t="s">
        <v>1059</v>
      </c>
      <c r="D2970" s="22" t="s">
        <v>1060</v>
      </c>
      <c r="E2970" s="23" t="str">
        <f aca="false">IF(D2970="?OLD","!!!","")</f>
        <v>!!!</v>
      </c>
      <c r="F2970" s="25" t="str">
        <f aca="false">IF(OR(E2970="",E2970="!!!"),"",IF(NOT(ISNA(VLOOKUP(E2970,E$1:E2969,1,FALSE()))),"OLD",IF(AND(E2970&lt;&gt;"",E2970&lt;&gt;"!!!"),"NEW","")))</f>
        <v/>
      </c>
      <c r="G2970" s="26" t="str">
        <f aca="false">IF(OR(E2970="",E2970="!!!"),"",IF(OR(J2970=0,AND(J2970=1,K2970=1),AND(J2970=1,I2970="SBJ"),AND(J2970=1,I2970=0)),"?IN_FOCUS",IF(J2970&lt;=2,"?ACTIVATED",IF(J2970&lt;&gt;"","?FAMILIAR",IF(F2970="NEW",IF(ISNA(VLOOKUP(E2970,#REF!,1,FALSE())),"?TYPE_IDENTIFIABLE","?REFERENTIAL"),"_")))))</f>
        <v/>
      </c>
      <c r="H2970" s="27" t="str">
        <f aca="false">IF(J2970&lt;&gt;1,"",IF(I2970="SBJ","CB","?"))</f>
        <v/>
      </c>
      <c r="I2970" s="24" t="str">
        <f aca="false">IF(OR(E2970="",E2970="!!!",F2970="NEW"),"",INDEX(B7:B$2964,-1+SUMPRODUCT(MAX(ROW(E7:E$2964)*(E2970=E7:E$2964)))))</f>
        <v/>
      </c>
      <c r="J2970" s="24" t="str">
        <f aca="true">IF(OR(E2970="",E2970="!!!",F2970="NEW"),"",COUNTBLANK(OFFSET(A$1,,,SUMPRODUCT(MAX(ROW(E$2:E2970)*(E2970=E$2:E2970)))))-COUNTBLANK(OFFSET(A$1,,,SUMPRODUCT(MAX(ROW(E$1:E2969)*(E2=E$1:E2969))))))</f>
        <v/>
      </c>
      <c r="K2970" s="24" t="str">
        <f aca="false">IF(OR(E2970="",E2970="!!!",F2970="NEW"),"",INDEX(J$1:J2969,SUMPRODUCT(MAX(ROW(E$1:E2969)*(E2970=E$1:E2969)))))</f>
        <v/>
      </c>
      <c r="L2970" s="31"/>
    </row>
    <row r="2971" customFormat="false" ht="15" hidden="false" customHeight="false" outlineLevel="0" collapsed="false">
      <c r="A2971" s="20" t="s">
        <v>923</v>
      </c>
      <c r="E2971" s="23" t="str">
        <f aca="false">IF(D2971="?OLD","!!!","")</f>
        <v/>
      </c>
      <c r="F2971" s="25" t="str">
        <f aca="false">IF(OR(E2971="",E2971="!!!"),"",IF(NOT(ISNA(VLOOKUP(E2971,E$1:E2970,1,FALSE()))),"OLD",IF(AND(E2971&lt;&gt;"",E2971&lt;&gt;"!!!"),"NEW","")))</f>
        <v/>
      </c>
      <c r="G2971" s="26" t="str">
        <f aca="false">IF(OR(E2971="",E2971="!!!"),"",IF(OR(J2971=0,AND(J2971=1,K2971=1),AND(J2971=1,I2971="SBJ"),AND(J2971=1,I2971=0)),"?IN_FOCUS",IF(J2971&lt;=2,"?ACTIVATED",IF(J2971&lt;&gt;"","?FAMILIAR",IF(F2971="NEW",IF(ISNA(VLOOKUP(E2971,#REF!,1,FALSE())),"?TYPE_IDENTIFIABLE","?REFERENTIAL"),"_")))))</f>
        <v/>
      </c>
      <c r="H2971" s="27" t="str">
        <f aca="false">IF(J2971&lt;&gt;1,"",IF(I2971="SBJ","CB","?"))</f>
        <v/>
      </c>
      <c r="I2971" s="24" t="str">
        <f aca="false">IF(OR(E2971="",E2971="!!!",F2971="NEW"),"",INDEX(B8:B$2964,-1+SUMPRODUCT(MAX(ROW(E8:E$2964)*(E2971=E8:E$2964)))))</f>
        <v/>
      </c>
      <c r="J2971" s="24" t="str">
        <f aca="true">IF(OR(E2971="",E2971="!!!",F2971="NEW"),"",COUNTBLANK(OFFSET(A$1,,,SUMPRODUCT(MAX(ROW(E$2:E2971)*(E2971=E$2:E2971)))))-COUNTBLANK(OFFSET(A$1,,,SUMPRODUCT(MAX(ROW(E$1:E2970)*(E2=E$1:E2970))))))</f>
        <v/>
      </c>
      <c r="K2971" s="24" t="str">
        <f aca="false">IF(OR(E2971="",E2971="!!!",F2971="NEW"),"",INDEX(J$1:J2970,SUMPRODUCT(MAX(ROW(E$1:E2970)*(E2971=E$1:E2970)))))</f>
        <v/>
      </c>
      <c r="L2971" s="31"/>
    </row>
    <row r="2972" customFormat="false" ht="15" hidden="false" customHeight="false" outlineLevel="0" collapsed="false">
      <c r="A2972" s="20" t="s">
        <v>607</v>
      </c>
      <c r="E2972" s="23" t="str">
        <f aca="false">IF(D2972="?OLD","!!!","")</f>
        <v/>
      </c>
      <c r="F2972" s="25" t="str">
        <f aca="false">IF(OR(E2972="",E2972="!!!"),"",IF(NOT(ISNA(VLOOKUP(E2972,E$1:E2971,1,FALSE()))),"OLD",IF(AND(E2972&lt;&gt;"",E2972&lt;&gt;"!!!"),"NEW","")))</f>
        <v/>
      </c>
      <c r="G2972" s="26" t="str">
        <f aca="false">IF(OR(E2972="",E2972="!!!"),"",IF(OR(J2972=0,AND(J2972=1,K2972=1),AND(J2972=1,I2972="SBJ"),AND(J2972=1,I2972=0)),"?IN_FOCUS",IF(J2972&lt;=2,"?ACTIVATED",IF(J2972&lt;&gt;"","?FAMILIAR",IF(F2972="NEW",IF(ISNA(VLOOKUP(E2972,#REF!,1,FALSE())),"?TYPE_IDENTIFIABLE","?REFERENTIAL"),"_")))))</f>
        <v/>
      </c>
      <c r="H2972" s="27" t="str">
        <f aca="false">IF(J2972&lt;&gt;1,"",IF(I2972="SBJ","CB","?"))</f>
        <v/>
      </c>
      <c r="I2972" s="24" t="str">
        <f aca="false">IF(OR(E2972="",E2972="!!!",F2972="NEW"),"",INDEX(B9:B$2964,-1+SUMPRODUCT(MAX(ROW(E9:E$2964)*(E2972=E9:E$2964)))))</f>
        <v/>
      </c>
      <c r="J2972" s="24" t="str">
        <f aca="true">IF(OR(E2972="",E2972="!!!",F2972="NEW"),"",COUNTBLANK(OFFSET(A$1,,,SUMPRODUCT(MAX(ROW(E$2:E2972)*(E2972=E$2:E2972)))))-COUNTBLANK(OFFSET(A$1,,,SUMPRODUCT(MAX(ROW(E$1:E2971)*(E2=E$1:E2971))))))</f>
        <v/>
      </c>
      <c r="K2972" s="24" t="str">
        <f aca="false">IF(OR(E2972="",E2972="!!!",F2972="NEW"),"",INDEX(J$1:J2971,SUMPRODUCT(MAX(ROW(E$1:E2971)*(E2972=E$1:E2971)))))</f>
        <v/>
      </c>
      <c r="L2972" s="31"/>
    </row>
    <row r="2973" customFormat="false" ht="15" hidden="false" customHeight="false" outlineLevel="0" collapsed="false">
      <c r="A2973" s="20"/>
    </row>
    <row r="2974" customFormat="false" ht="15" hidden="false" customHeight="false" outlineLevel="0" collapsed="false">
      <c r="A2974" s="20" t="s">
        <v>1301</v>
      </c>
      <c r="E2974" s="23" t="str">
        <f aca="false">IF(D2974="?OLD","!!!","")</f>
        <v/>
      </c>
      <c r="F2974" s="25" t="str">
        <f aca="false">IF(OR(E2974="",E2974="!!!"),"",IF(NOT(ISNA(VLOOKUP(E2974,E$1:E2973,1,FALSE()))),"OLD",IF(AND(E2974&lt;&gt;"",E2974&lt;&gt;"!!!"),"NEW","")))</f>
        <v/>
      </c>
      <c r="G2974" s="26" t="str">
        <f aca="false">IF(OR(E2974="",E2974="!!!"),"",IF(OR(J2974=0,AND(J2974=1,K2974=1),AND(J2974=1,I2974="SBJ"),AND(J2974=1,I2974=0)),"?IN_FOCUS",IF(J2974&lt;=2,"?ACTIVATED",IF(J2974&lt;&gt;"","?FAMILIAR",IF(F2974="NEW",IF(ISNA(VLOOKUP(E2974,#REF!,1,FALSE())),"?TYPE_IDENTIFIABLE","?REFERENTIAL"),"_")))))</f>
        <v/>
      </c>
      <c r="H2974" s="27" t="str">
        <f aca="false">IF(J2974&lt;&gt;1,"",IF(I2974="SBJ","CB","?"))</f>
        <v/>
      </c>
      <c r="I2974" s="24" t="str">
        <f aca="false">IF(OR(E2974="",E2974="!!!",F2974="NEW"),"",INDEX(B2:B$2973,-1+SUMPRODUCT(MAX(ROW(E2:E$2973)*(E2974=E2:E$2973)))))</f>
        <v/>
      </c>
      <c r="J2974" s="24" t="str">
        <f aca="true">IF(OR(E2974="",E2974="!!!",F2974="NEW"),"",COUNTBLANK(OFFSET(A$1,,,SUMPRODUCT(MAX(ROW(E$2:E2974)*(E2974=E$2:E2974)))))-COUNTBLANK(OFFSET(A$1,,,SUMPRODUCT(MAX(ROW(E$1:E2973)*(E2=E$1:E2973))))))</f>
        <v/>
      </c>
      <c r="K2974" s="24" t="str">
        <f aca="false">IF(OR(E2974="",E2974="!!!",F2974="NEW"),"",INDEX(J$1:J2973,SUMPRODUCT(MAX(ROW(E$1:E2973)*(E2974=E$1:E2973)))))</f>
        <v/>
      </c>
      <c r="L2974" s="31"/>
    </row>
    <row r="2975" customFormat="false" ht="15" hidden="false" customHeight="false" outlineLevel="0" collapsed="false">
      <c r="A2975" s="20" t="s">
        <v>2067</v>
      </c>
    </row>
    <row r="2976" customFormat="false" ht="15" hidden="false" customHeight="false" outlineLevel="0" collapsed="false">
      <c r="A2976" s="20" t="s">
        <v>607</v>
      </c>
      <c r="E2976" s="23" t="str">
        <f aca="false">IF(D2976="?OLD","!!!","")</f>
        <v/>
      </c>
      <c r="F2976" s="25" t="str">
        <f aca="false">IF(OR(E2976="",E2976="!!!"),"",IF(NOT(ISNA(VLOOKUP(E2976,E$1:E2975,1,FALSE()))),"OLD",IF(AND(E2976&lt;&gt;"",E2976&lt;&gt;"!!!"),"NEW","")))</f>
        <v/>
      </c>
      <c r="G2976" s="26" t="str">
        <f aca="false">IF(OR(E2976="",E2976="!!!"),"",IF(OR(J2976=0,AND(J2976=1,K2976=1),AND(J2976=1,I2976="SBJ"),AND(J2976=1,I2976=0)),"?IN_FOCUS",IF(J2976&lt;=2,"?ACTIVATED",IF(J2976&lt;&gt;"","?FAMILIAR",IF(F2976="NEW",IF(ISNA(VLOOKUP(E2976,#REF!,1,FALSE())),"?TYPE_IDENTIFIABLE","?REFERENTIAL"),"_")))))</f>
        <v/>
      </c>
      <c r="H2976" s="27" t="str">
        <f aca="false">IF(J2976&lt;&gt;1,"",IF(I2976="SBJ","CB","?"))</f>
        <v/>
      </c>
      <c r="I2976" s="24" t="str">
        <f aca="false">IF(OR(E2976="",E2976="!!!",F2976="NEW"),"",INDEX(B2:B$2975,-1+SUMPRODUCT(MAX(ROW(E2:E$2975)*(E2976=E2:E$2975)))))</f>
        <v/>
      </c>
      <c r="J2976" s="24" t="str">
        <f aca="true">IF(OR(E2976="",E2976="!!!",F2976="NEW"),"",COUNTBLANK(OFFSET(A$1,,,SUMPRODUCT(MAX(ROW(E$2:E2976)*(E2976=E$2:E2976)))))-COUNTBLANK(OFFSET(A$1,,,SUMPRODUCT(MAX(ROW(E$1:E2975)*(E2=E$1:E2975))))))</f>
        <v/>
      </c>
      <c r="K2976" s="24" t="str">
        <f aca="false">IF(OR(E2976="",E2976="!!!",F2976="NEW"),"",INDEX(J$1:J2975,SUMPRODUCT(MAX(ROW(E$1:E2975)*(E2976=E$1:E2975)))))</f>
        <v/>
      </c>
      <c r="L2976" s="31"/>
    </row>
    <row r="2977" customFormat="false" ht="15" hidden="false" customHeight="false" outlineLevel="0" collapsed="false">
      <c r="A2977" s="20" t="s">
        <v>2068</v>
      </c>
      <c r="E2977" s="23" t="str">
        <f aca="false">IF(D2977="?OLD","!!!","")</f>
        <v/>
      </c>
      <c r="F2977" s="25" t="str">
        <f aca="false">IF(OR(E2977="",E2977="!!!"),"",IF(NOT(ISNA(VLOOKUP(E2977,E$1:E2976,1,FALSE()))),"OLD",IF(AND(E2977&lt;&gt;"",E2977&lt;&gt;"!!!"),"NEW","")))</f>
        <v/>
      </c>
      <c r="G2977" s="26" t="str">
        <f aca="false">IF(OR(E2977="",E2977="!!!"),"",IF(OR(J2977=0,AND(J2977=1,K2977=1),AND(J2977=1,I2977="SBJ"),AND(J2977=1,I2977=0)),"?IN_FOCUS",IF(J2977&lt;=2,"?ACTIVATED",IF(J2977&lt;&gt;"","?FAMILIAR",IF(F2977="NEW",IF(ISNA(VLOOKUP(E2977,#REF!,1,FALSE())),"?TYPE_IDENTIFIABLE","?REFERENTIAL"),"_")))))</f>
        <v/>
      </c>
      <c r="H2977" s="27" t="str">
        <f aca="false">IF(J2977&lt;&gt;1,"",IF(I2977="SBJ","CB","?"))</f>
        <v/>
      </c>
      <c r="I2977" s="24" t="str">
        <f aca="false">IF(OR(E2977="",E2977="!!!",F2977="NEW"),"",INDEX(B3:B$2975,-1+SUMPRODUCT(MAX(ROW(E3:E$2975)*(E2977=E3:E$2975)))))</f>
        <v/>
      </c>
      <c r="J2977" s="24" t="str">
        <f aca="true">IF(OR(E2977="",E2977="!!!",F2977="NEW"),"",COUNTBLANK(OFFSET(A$1,,,SUMPRODUCT(MAX(ROW(E$2:E2977)*(E2977=E$2:E2977)))))-COUNTBLANK(OFFSET(A$1,,,SUMPRODUCT(MAX(ROW(E$1:E2976)*(E2=E$1:E2976))))))</f>
        <v/>
      </c>
      <c r="K2977" s="24" t="str">
        <f aca="false">IF(OR(E2977="",E2977="!!!",F2977="NEW"),"",INDEX(J$1:J2976,SUMPRODUCT(MAX(ROW(E$1:E2976)*(E2977=E$1:E2976)))))</f>
        <v/>
      </c>
      <c r="L2977" s="31"/>
    </row>
    <row r="2978" customFormat="false" ht="15" hidden="false" customHeight="false" outlineLevel="0" collapsed="false">
      <c r="A2978" s="20" t="s">
        <v>1692</v>
      </c>
      <c r="E2978" s="23" t="str">
        <f aca="false">IF(D2978="?OLD","!!!","")</f>
        <v/>
      </c>
      <c r="F2978" s="25" t="str">
        <f aca="false">IF(OR(E2978="",E2978="!!!"),"",IF(NOT(ISNA(VLOOKUP(E2978,E$1:E2977,1,FALSE()))),"OLD",IF(AND(E2978&lt;&gt;"",E2978&lt;&gt;"!!!"),"NEW","")))</f>
        <v/>
      </c>
      <c r="G2978" s="26" t="str">
        <f aca="false">IF(OR(E2978="",E2978="!!!"),"",IF(OR(J2978=0,AND(J2978=1,K2978=1),AND(J2978=1,I2978="SBJ"),AND(J2978=1,I2978=0)),"?IN_FOCUS",IF(J2978&lt;=2,"?ACTIVATED",IF(J2978&lt;&gt;"","?FAMILIAR",IF(F2978="NEW",IF(ISNA(VLOOKUP(E2978,#REF!,1,FALSE())),"?TYPE_IDENTIFIABLE","?REFERENTIAL"),"_")))))</f>
        <v/>
      </c>
      <c r="H2978" s="27" t="str">
        <f aca="false">IF(J2978&lt;&gt;1,"",IF(I2978="SBJ","CB","?"))</f>
        <v/>
      </c>
      <c r="I2978" s="24" t="str">
        <f aca="false">IF(OR(E2978="",E2978="!!!",F2978="NEW"),"",INDEX(B4:B$2975,-1+SUMPRODUCT(MAX(ROW(E4:E$2975)*(E2978=E4:E$2975)))))</f>
        <v/>
      </c>
      <c r="J2978" s="24" t="str">
        <f aca="true">IF(OR(E2978="",E2978="!!!",F2978="NEW"),"",COUNTBLANK(OFFSET(A$1,,,SUMPRODUCT(MAX(ROW(E$2:E2978)*(E2978=E$2:E2978)))))-COUNTBLANK(OFFSET(A$1,,,SUMPRODUCT(MAX(ROW(E$1:E2977)*(E2=E$1:E2977))))))</f>
        <v/>
      </c>
      <c r="K2978" s="24" t="str">
        <f aca="false">IF(OR(E2978="",E2978="!!!",F2978="NEW"),"",INDEX(J$1:J2977,SUMPRODUCT(MAX(ROW(E$1:E2977)*(E2978=E$1:E2977)))))</f>
        <v/>
      </c>
      <c r="L2978" s="31"/>
    </row>
    <row r="2979" customFormat="false" ht="15" hidden="false" customHeight="false" outlineLevel="0" collapsed="false">
      <c r="A2979" s="20" t="s">
        <v>2069</v>
      </c>
      <c r="E2979" s="23" t="str">
        <f aca="false">IF(D2979="?OLD","!!!","")</f>
        <v/>
      </c>
      <c r="F2979" s="25" t="str">
        <f aca="false">IF(OR(E2979="",E2979="!!!"),"",IF(NOT(ISNA(VLOOKUP(E2979,E$1:E2978,1,FALSE()))),"OLD",IF(AND(E2979&lt;&gt;"",E2979&lt;&gt;"!!!"),"NEW","")))</f>
        <v/>
      </c>
      <c r="G2979" s="26" t="str">
        <f aca="false">IF(OR(E2979="",E2979="!!!"),"",IF(OR(J2979=0,AND(J2979=1,K2979=1),AND(J2979=1,I2979="SBJ"),AND(J2979=1,I2979=0)),"?IN_FOCUS",IF(J2979&lt;=2,"?ACTIVATED",IF(J2979&lt;&gt;"","?FAMILIAR",IF(F2979="NEW",IF(ISNA(VLOOKUP(E2979,#REF!,1,FALSE())),"?TYPE_IDENTIFIABLE","?REFERENTIAL"),"_")))))</f>
        <v/>
      </c>
      <c r="H2979" s="27" t="str">
        <f aca="false">IF(J2979&lt;&gt;1,"",IF(I2979="SBJ","CB","?"))</f>
        <v/>
      </c>
      <c r="I2979" s="24" t="str">
        <f aca="false">IF(OR(E2979="",E2979="!!!",F2979="NEW"),"",INDEX(B5:B$2975,-1+SUMPRODUCT(MAX(ROW(E5:E$2975)*(E2979=E5:E$2975)))))</f>
        <v/>
      </c>
      <c r="J2979" s="24" t="str">
        <f aca="true">IF(OR(E2979="",E2979="!!!",F2979="NEW"),"",COUNTBLANK(OFFSET(A$1,,,SUMPRODUCT(MAX(ROW(E$2:E2979)*(E2979=E$2:E2979)))))-COUNTBLANK(OFFSET(A$1,,,SUMPRODUCT(MAX(ROW(E$1:E2978)*(E2=E$1:E2978))))))</f>
        <v/>
      </c>
      <c r="K2979" s="24" t="str">
        <f aca="false">IF(OR(E2979="",E2979="!!!",F2979="NEW"),"",INDEX(J$1:J2978,SUMPRODUCT(MAX(ROW(E$1:E2978)*(E2979=E$1:E2978)))))</f>
        <v/>
      </c>
      <c r="L2979" s="31"/>
    </row>
    <row r="2980" customFormat="false" ht="15" hidden="false" customHeight="false" outlineLevel="0" collapsed="false">
      <c r="A2980" s="20" t="s">
        <v>1080</v>
      </c>
      <c r="B2980" s="22" t="s">
        <v>1142</v>
      </c>
      <c r="C2980" s="22" t="s">
        <v>1082</v>
      </c>
      <c r="D2980" s="22" t="s">
        <v>1060</v>
      </c>
      <c r="E2980" s="23" t="str">
        <f aca="false">IF(D2980="?OLD","!!!","")</f>
        <v>!!!</v>
      </c>
      <c r="F2980" s="25" t="str">
        <f aca="false">IF(OR(E2980="",E2980="!!!"),"",IF(NOT(ISNA(VLOOKUP(E2980,E$1:E2979,1,FALSE()))),"OLD",IF(AND(E2980&lt;&gt;"",E2980&lt;&gt;"!!!"),"NEW","")))</f>
        <v/>
      </c>
      <c r="G2980" s="26" t="str">
        <f aca="false">IF(OR(E2980="",E2980="!!!"),"",IF(OR(J2980=0,AND(J2980=1,K2980=1),AND(J2980=1,I2980="SBJ"),AND(J2980=1,I2980=0)),"?IN_FOCUS",IF(J2980&lt;=2,"?ACTIVATED",IF(J2980&lt;&gt;"","?FAMILIAR",IF(F2980="NEW",IF(ISNA(VLOOKUP(E2980,#REF!,1,FALSE())),"?TYPE_IDENTIFIABLE","?REFERENTIAL"),"_")))))</f>
        <v/>
      </c>
      <c r="H2980" s="27" t="str">
        <f aca="false">IF(J2980&lt;&gt;1,"",IF(I2980="SBJ","CB","?"))</f>
        <v/>
      </c>
      <c r="I2980" s="24" t="str">
        <f aca="false">IF(OR(E2980="",E2980="!!!",F2980="NEW"),"",INDEX(B6:B$2975,-1+SUMPRODUCT(MAX(ROW(E6:E$2975)*(E2980=E6:E$2975)))))</f>
        <v/>
      </c>
      <c r="J2980" s="24" t="str">
        <f aca="true">IF(OR(E2980="",E2980="!!!",F2980="NEW"),"",COUNTBLANK(OFFSET(A$1,,,SUMPRODUCT(MAX(ROW(E$2:E2980)*(E2980=E$2:E2980)))))-COUNTBLANK(OFFSET(A$1,,,SUMPRODUCT(MAX(ROW(E$1:E2979)*(E2=E$1:E2979))))))</f>
        <v/>
      </c>
      <c r="K2980" s="24" t="str">
        <f aca="false">IF(OR(E2980="",E2980="!!!",F2980="NEW"),"",INDEX(J$1:J2979,SUMPRODUCT(MAX(ROW(E$1:E2979)*(E2980=E$1:E2979)))))</f>
        <v/>
      </c>
      <c r="L2980" s="31"/>
    </row>
    <row r="2981" customFormat="false" ht="15" hidden="false" customHeight="false" outlineLevel="0" collapsed="false">
      <c r="A2981" s="20" t="s">
        <v>923</v>
      </c>
      <c r="E2981" s="23" t="str">
        <f aca="false">IF(D2981="?OLD","!!!","")</f>
        <v/>
      </c>
      <c r="F2981" s="25" t="str">
        <f aca="false">IF(OR(E2981="",E2981="!!!"),"",IF(NOT(ISNA(VLOOKUP(E2981,E$1:E2980,1,FALSE()))),"OLD",IF(AND(E2981&lt;&gt;"",E2981&lt;&gt;"!!!"),"NEW","")))</f>
        <v/>
      </c>
      <c r="G2981" s="26" t="str">
        <f aca="false">IF(OR(E2981="",E2981="!!!"),"",IF(OR(J2981=0,AND(J2981=1,K2981=1),AND(J2981=1,I2981="SBJ"),AND(J2981=1,I2981=0)),"?IN_FOCUS",IF(J2981&lt;=2,"?ACTIVATED",IF(J2981&lt;&gt;"","?FAMILIAR",IF(F2981="NEW",IF(ISNA(VLOOKUP(E2981,#REF!,1,FALSE())),"?TYPE_IDENTIFIABLE","?REFERENTIAL"),"_")))))</f>
        <v/>
      </c>
      <c r="H2981" s="27" t="str">
        <f aca="false">IF(J2981&lt;&gt;1,"",IF(I2981="SBJ","CB","?"))</f>
        <v/>
      </c>
      <c r="I2981" s="24" t="str">
        <f aca="false">IF(OR(E2981="",E2981="!!!",F2981="NEW"),"",INDEX(B7:B$2975,-1+SUMPRODUCT(MAX(ROW(E7:E$2975)*(E2981=E7:E$2975)))))</f>
        <v/>
      </c>
      <c r="J2981" s="24" t="str">
        <f aca="true">IF(OR(E2981="",E2981="!!!",F2981="NEW"),"",COUNTBLANK(OFFSET(A$1,,,SUMPRODUCT(MAX(ROW(E$2:E2981)*(E2981=E$2:E2981)))))-COUNTBLANK(OFFSET(A$1,,,SUMPRODUCT(MAX(ROW(E$1:E2980)*(E2=E$1:E2980))))))</f>
        <v/>
      </c>
      <c r="K2981" s="24" t="str">
        <f aca="false">IF(OR(E2981="",E2981="!!!",F2981="NEW"),"",INDEX(J$1:J2980,SUMPRODUCT(MAX(ROW(E$1:E2980)*(E2981=E$1:E2980)))))</f>
        <v/>
      </c>
      <c r="L2981" s="31"/>
    </row>
    <row r="2982" customFormat="false" ht="15" hidden="false" customHeight="false" outlineLevel="0" collapsed="false">
      <c r="A2982" s="20"/>
    </row>
    <row r="2983" customFormat="false" ht="15" hidden="false" customHeight="false" outlineLevel="0" collapsed="false">
      <c r="A2983" s="20" t="s">
        <v>1301</v>
      </c>
      <c r="E2983" s="23" t="str">
        <f aca="false">IF(D2983="?OLD","!!!","")</f>
        <v/>
      </c>
      <c r="F2983" s="25" t="str">
        <f aca="false">IF(OR(E2983="",E2983="!!!"),"",IF(NOT(ISNA(VLOOKUP(E2983,E$1:E2982,1,FALSE()))),"OLD",IF(AND(E2983&lt;&gt;"",E2983&lt;&gt;"!!!"),"NEW","")))</f>
        <v/>
      </c>
      <c r="G2983" s="26" t="str">
        <f aca="false">IF(OR(E2983="",E2983="!!!"),"",IF(OR(J2983=0,AND(J2983=1,K2983=1),AND(J2983=1,I2983="SBJ"),AND(J2983=1,I2983=0)),"?IN_FOCUS",IF(J2983&lt;=2,"?ACTIVATED",IF(J2983&lt;&gt;"","?FAMILIAR",IF(F2983="NEW",IF(ISNA(VLOOKUP(E2983,#REF!,1,FALSE())),"?TYPE_IDENTIFIABLE","?REFERENTIAL"),"_")))))</f>
        <v/>
      </c>
      <c r="H2983" s="27" t="str">
        <f aca="false">IF(J2983&lt;&gt;1,"",IF(I2983="SBJ","CB","?"))</f>
        <v/>
      </c>
      <c r="I2983" s="24" t="str">
        <f aca="false">IF(OR(E2983="",E2983="!!!",F2983="NEW"),"",INDEX(B2:B$2982,-1+SUMPRODUCT(MAX(ROW(E2:E$2982)*(E2983=E2:E$2982)))))</f>
        <v/>
      </c>
      <c r="J2983" s="24" t="str">
        <f aca="true">IF(OR(E2983="",E2983="!!!",F2983="NEW"),"",COUNTBLANK(OFFSET(A$1,,,SUMPRODUCT(MAX(ROW(E$2:E2983)*(E2983=E$2:E2983)))))-COUNTBLANK(OFFSET(A$1,,,SUMPRODUCT(MAX(ROW(E$1:E2982)*(E2=E$1:E2982))))))</f>
        <v/>
      </c>
      <c r="K2983" s="24" t="str">
        <f aca="false">IF(OR(E2983="",E2983="!!!",F2983="NEW"),"",INDEX(J$1:J2982,SUMPRODUCT(MAX(ROW(E$1:E2982)*(E2983=E$1:E2982)))))</f>
        <v/>
      </c>
      <c r="L2983" s="31"/>
    </row>
    <row r="2984" customFormat="false" ht="15" hidden="false" customHeight="false" outlineLevel="0" collapsed="false">
      <c r="A2984" s="20" t="s">
        <v>2070</v>
      </c>
    </row>
    <row r="2985" customFormat="false" ht="15" hidden="false" customHeight="false" outlineLevel="0" collapsed="false">
      <c r="A2985" s="20" t="s">
        <v>1303</v>
      </c>
      <c r="E2985" s="23" t="str">
        <f aca="false">IF(D2985="?OLD","!!!","")</f>
        <v/>
      </c>
      <c r="F2985" s="25" t="str">
        <f aca="false">IF(OR(E2985="",E2985="!!!"),"",IF(NOT(ISNA(VLOOKUP(E2985,E$1:E2984,1,FALSE()))),"OLD",IF(AND(E2985&lt;&gt;"",E2985&lt;&gt;"!!!"),"NEW","")))</f>
        <v/>
      </c>
      <c r="G2985" s="26" t="str">
        <f aca="false">IF(OR(E2985="",E2985="!!!"),"",IF(OR(J2985=0,AND(J2985=1,K2985=1),AND(J2985=1,I2985="SBJ"),AND(J2985=1,I2985=0)),"?IN_FOCUS",IF(J2985&lt;=2,"?ACTIVATED",IF(J2985&lt;&gt;"","?FAMILIAR",IF(F2985="NEW",IF(ISNA(VLOOKUP(E2985,#REF!,1,FALSE())),"?TYPE_IDENTIFIABLE","?REFERENTIAL"),"_")))))</f>
        <v/>
      </c>
      <c r="H2985" s="27" t="str">
        <f aca="false">IF(J2985&lt;&gt;1,"",IF(I2985="SBJ","CB","?"))</f>
        <v/>
      </c>
      <c r="I2985" s="24" t="str">
        <f aca="false">IF(OR(E2985="",E2985="!!!",F2985="NEW"),"",INDEX(B2:B$2984,-1+SUMPRODUCT(MAX(ROW(E2:E$2984)*(E2985=E2:E$2984)))))</f>
        <v/>
      </c>
      <c r="J2985" s="24" t="str">
        <f aca="true">IF(OR(E2985="",E2985="!!!",F2985="NEW"),"",COUNTBLANK(OFFSET(A$1,,,SUMPRODUCT(MAX(ROW(E$2:E2985)*(E2985=E$2:E2985)))))-COUNTBLANK(OFFSET(A$1,,,SUMPRODUCT(MAX(ROW(E$1:E2984)*(E2=E$1:E2984))))))</f>
        <v/>
      </c>
      <c r="K2985" s="24" t="str">
        <f aca="false">IF(OR(E2985="",E2985="!!!",F2985="NEW"),"",INDEX(J$1:J2984,SUMPRODUCT(MAX(ROW(E$1:E2984)*(E2985=E$1:E2984)))))</f>
        <v/>
      </c>
      <c r="L2985" s="31"/>
    </row>
    <row r="2986" customFormat="false" ht="15" hidden="false" customHeight="false" outlineLevel="0" collapsed="false">
      <c r="A2986" s="20" t="s">
        <v>1304</v>
      </c>
      <c r="B2986" s="22" t="s">
        <v>1058</v>
      </c>
      <c r="C2986" s="22" t="s">
        <v>1082</v>
      </c>
      <c r="D2986" s="22" t="s">
        <v>1060</v>
      </c>
      <c r="E2986" s="23" t="str">
        <f aca="false">IF(D2986="?OLD","!!!","")</f>
        <v>!!!</v>
      </c>
      <c r="F2986" s="25" t="str">
        <f aca="false">IF(OR(E2986="",E2986="!!!"),"",IF(NOT(ISNA(VLOOKUP(E2986,E$1:E2985,1,FALSE()))),"OLD",IF(AND(E2986&lt;&gt;"",E2986&lt;&gt;"!!!"),"NEW","")))</f>
        <v/>
      </c>
      <c r="G2986" s="26" t="str">
        <f aca="false">IF(OR(E2986="",E2986="!!!"),"",IF(OR(J2986=0,AND(J2986=1,K2986=1),AND(J2986=1,I2986="SBJ"),AND(J2986=1,I2986=0)),"?IN_FOCUS",IF(J2986&lt;=2,"?ACTIVATED",IF(J2986&lt;&gt;"","?FAMILIAR",IF(F2986="NEW",IF(ISNA(VLOOKUP(E2986,#REF!,1,FALSE())),"?TYPE_IDENTIFIABLE","?REFERENTIAL"),"_")))))</f>
        <v/>
      </c>
      <c r="H2986" s="27" t="str">
        <f aca="false">IF(J2986&lt;&gt;1,"",IF(I2986="SBJ","CB","?"))</f>
        <v/>
      </c>
      <c r="I2986" s="24" t="str">
        <f aca="false">IF(OR(E2986="",E2986="!!!",F2986="NEW"),"",INDEX(B3:B$2984,-1+SUMPRODUCT(MAX(ROW(E3:E$2984)*(E2986=E3:E$2984)))))</f>
        <v/>
      </c>
      <c r="J2986" s="24" t="str">
        <f aca="true">IF(OR(E2986="",E2986="!!!",F2986="NEW"),"",COUNTBLANK(OFFSET(A$1,,,SUMPRODUCT(MAX(ROW(E$2:E2986)*(E2986=E$2:E2986)))))-COUNTBLANK(OFFSET(A$1,,,SUMPRODUCT(MAX(ROW(E$1:E2985)*(E2=E$1:E2985))))))</f>
        <v/>
      </c>
      <c r="K2986" s="24" t="str">
        <f aca="false">IF(OR(E2986="",E2986="!!!",F2986="NEW"),"",INDEX(J$1:J2985,SUMPRODUCT(MAX(ROW(E$1:E2985)*(E2986=E$1:E2985)))))</f>
        <v/>
      </c>
      <c r="L2986" s="31"/>
    </row>
    <row r="2987" customFormat="false" ht="15" hidden="false" customHeight="false" outlineLevel="0" collapsed="false">
      <c r="A2987" s="20" t="s">
        <v>2071</v>
      </c>
      <c r="E2987" s="23" t="str">
        <f aca="false">IF(D2987="?OLD","!!!","")</f>
        <v/>
      </c>
      <c r="F2987" s="25" t="str">
        <f aca="false">IF(OR(E2987="",E2987="!!!"),"",IF(NOT(ISNA(VLOOKUP(E2987,E$1:E2986,1,FALSE()))),"OLD",IF(AND(E2987&lt;&gt;"",E2987&lt;&gt;"!!!"),"NEW","")))</f>
        <v/>
      </c>
      <c r="G2987" s="26" t="str">
        <f aca="false">IF(OR(E2987="",E2987="!!!"),"",IF(OR(J2987=0,AND(J2987=1,K2987=1),AND(J2987=1,I2987="SBJ"),AND(J2987=1,I2987=0)),"?IN_FOCUS",IF(J2987&lt;=2,"?ACTIVATED",IF(J2987&lt;&gt;"","?FAMILIAR",IF(F2987="NEW",IF(ISNA(VLOOKUP(E2987,#REF!,1,FALSE())),"?TYPE_IDENTIFIABLE","?REFERENTIAL"),"_")))))</f>
        <v/>
      </c>
      <c r="H2987" s="27" t="str">
        <f aca="false">IF(J2987&lt;&gt;1,"",IF(I2987="SBJ","CB","?"))</f>
        <v/>
      </c>
      <c r="I2987" s="24" t="str">
        <f aca="false">IF(OR(E2987="",E2987="!!!",F2987="NEW"),"",INDEX(B4:B$2984,-1+SUMPRODUCT(MAX(ROW(E4:E$2984)*(E2987=E4:E$2984)))))</f>
        <v/>
      </c>
      <c r="J2987" s="24" t="str">
        <f aca="true">IF(OR(E2987="",E2987="!!!",F2987="NEW"),"",COUNTBLANK(OFFSET(A$1,,,SUMPRODUCT(MAX(ROW(E$2:E2987)*(E2987=E$2:E2987)))))-COUNTBLANK(OFFSET(A$1,,,SUMPRODUCT(MAX(ROW(E$1:E2986)*(E2=E$1:E2986))))))</f>
        <v/>
      </c>
      <c r="K2987" s="24" t="str">
        <f aca="false">IF(OR(E2987="",E2987="!!!",F2987="NEW"),"",INDEX(J$1:J2986,SUMPRODUCT(MAX(ROW(E$1:E2986)*(E2987=E$1:E2986)))))</f>
        <v/>
      </c>
      <c r="L2987" s="31"/>
    </row>
    <row r="2988" customFormat="false" ht="15" hidden="false" customHeight="false" outlineLevel="0" collapsed="false">
      <c r="A2988" s="20" t="s">
        <v>2072</v>
      </c>
      <c r="E2988" s="23" t="str">
        <f aca="false">IF(D2988="?OLD","!!!","")</f>
        <v/>
      </c>
      <c r="F2988" s="25" t="str">
        <f aca="false">IF(OR(E2988="",E2988="!!!"),"",IF(NOT(ISNA(VLOOKUP(E2988,E$1:E2987,1,FALSE()))),"OLD",IF(AND(E2988&lt;&gt;"",E2988&lt;&gt;"!!!"),"NEW","")))</f>
        <v/>
      </c>
      <c r="G2988" s="26" t="str">
        <f aca="false">IF(OR(E2988="",E2988="!!!"),"",IF(OR(J2988=0,AND(J2988=1,K2988=1),AND(J2988=1,I2988="SBJ"),AND(J2988=1,I2988=0)),"?IN_FOCUS",IF(J2988&lt;=2,"?ACTIVATED",IF(J2988&lt;&gt;"","?FAMILIAR",IF(F2988="NEW",IF(ISNA(VLOOKUP(E2988,#REF!,1,FALSE())),"?TYPE_IDENTIFIABLE","?REFERENTIAL"),"_")))))</f>
        <v/>
      </c>
      <c r="H2988" s="27" t="str">
        <f aca="false">IF(J2988&lt;&gt;1,"",IF(I2988="SBJ","CB","?"))</f>
        <v/>
      </c>
      <c r="I2988" s="24" t="str">
        <f aca="false">IF(OR(E2988="",E2988="!!!",F2988="NEW"),"",INDEX(B5:B$2984,-1+SUMPRODUCT(MAX(ROW(E5:E$2984)*(E2988=E5:E$2984)))))</f>
        <v/>
      </c>
      <c r="J2988" s="24" t="str">
        <f aca="true">IF(OR(E2988="",E2988="!!!",F2988="NEW"),"",COUNTBLANK(OFFSET(A$1,,,SUMPRODUCT(MAX(ROW(E$2:E2988)*(E2988=E$2:E2988)))))-COUNTBLANK(OFFSET(A$1,,,SUMPRODUCT(MAX(ROW(E$1:E2987)*(E2=E$1:E2987))))))</f>
        <v/>
      </c>
      <c r="K2988" s="24" t="str">
        <f aca="false">IF(OR(E2988="",E2988="!!!",F2988="NEW"),"",INDEX(J$1:J2987,SUMPRODUCT(MAX(ROW(E$1:E2987)*(E2988=E$1:E2987)))))</f>
        <v/>
      </c>
      <c r="L2988" s="31"/>
    </row>
    <row r="2989" customFormat="false" ht="15" hidden="false" customHeight="false" outlineLevel="0" collapsed="false">
      <c r="A2989" s="20" t="s">
        <v>1095</v>
      </c>
      <c r="E2989" s="23" t="str">
        <f aca="false">IF(D2989="?OLD","!!!","")</f>
        <v/>
      </c>
      <c r="F2989" s="25" t="str">
        <f aca="false">IF(OR(E2989="",E2989="!!!"),"",IF(NOT(ISNA(VLOOKUP(E2989,E$1:E2988,1,FALSE()))),"OLD",IF(AND(E2989&lt;&gt;"",E2989&lt;&gt;"!!!"),"NEW","")))</f>
        <v/>
      </c>
      <c r="G2989" s="26" t="str">
        <f aca="false">IF(OR(E2989="",E2989="!!!"),"",IF(OR(J2989=0,AND(J2989=1,K2989=1),AND(J2989=1,I2989="SBJ"),AND(J2989=1,I2989=0)),"?IN_FOCUS",IF(J2989&lt;=2,"?ACTIVATED",IF(J2989&lt;&gt;"","?FAMILIAR",IF(F2989="NEW",IF(ISNA(VLOOKUP(E2989,#REF!,1,FALSE())),"?TYPE_IDENTIFIABLE","?REFERENTIAL"),"_")))))</f>
        <v/>
      </c>
      <c r="H2989" s="27" t="str">
        <f aca="false">IF(J2989&lt;&gt;1,"",IF(I2989="SBJ","CB","?"))</f>
        <v/>
      </c>
      <c r="I2989" s="24" t="str">
        <f aca="false">IF(OR(E2989="",E2989="!!!",F2989="NEW"),"",INDEX(B6:B$2984,-1+SUMPRODUCT(MAX(ROW(E6:E$2984)*(E2989=E6:E$2984)))))</f>
        <v/>
      </c>
      <c r="J2989" s="24" t="str">
        <f aca="true">IF(OR(E2989="",E2989="!!!",F2989="NEW"),"",COUNTBLANK(OFFSET(A$1,,,SUMPRODUCT(MAX(ROW(E$2:E2989)*(E2989=E$2:E2989)))))-COUNTBLANK(OFFSET(A$1,,,SUMPRODUCT(MAX(ROW(E$1:E2988)*(E2=E$1:E2988))))))</f>
        <v/>
      </c>
      <c r="K2989" s="24" t="str">
        <f aca="false">IF(OR(E2989="",E2989="!!!",F2989="NEW"),"",INDEX(J$1:J2988,SUMPRODUCT(MAX(ROW(E$1:E2988)*(E2989=E$1:E2988)))))</f>
        <v/>
      </c>
      <c r="L2989" s="31"/>
    </row>
    <row r="2990" customFormat="false" ht="15" hidden="false" customHeight="false" outlineLevel="0" collapsed="false">
      <c r="A2990" s="20" t="s">
        <v>2073</v>
      </c>
      <c r="E2990" s="23" t="str">
        <f aca="false">IF(D2990="?OLD","!!!","")</f>
        <v/>
      </c>
      <c r="F2990" s="25" t="str">
        <f aca="false">IF(OR(E2990="",E2990="!!!"),"",IF(NOT(ISNA(VLOOKUP(E2990,E$1:E2989,1,FALSE()))),"OLD",IF(AND(E2990&lt;&gt;"",E2990&lt;&gt;"!!!"),"NEW","")))</f>
        <v/>
      </c>
      <c r="G2990" s="26" t="str">
        <f aca="false">IF(OR(E2990="",E2990="!!!"),"",IF(OR(J2990=0,AND(J2990=1,K2990=1),AND(J2990=1,I2990="SBJ"),AND(J2990=1,I2990=0)),"?IN_FOCUS",IF(J2990&lt;=2,"?ACTIVATED",IF(J2990&lt;&gt;"","?FAMILIAR",IF(F2990="NEW",IF(ISNA(VLOOKUP(E2990,#REF!,1,FALSE())),"?TYPE_IDENTIFIABLE","?REFERENTIAL"),"_")))))</f>
        <v/>
      </c>
      <c r="H2990" s="27" t="str">
        <f aca="false">IF(J2990&lt;&gt;1,"",IF(I2990="SBJ","CB","?"))</f>
        <v/>
      </c>
      <c r="I2990" s="24" t="str">
        <f aca="false">IF(OR(E2990="",E2990="!!!",F2990="NEW"),"",INDEX(B7:B$2984,-1+SUMPRODUCT(MAX(ROW(E7:E$2984)*(E2990=E7:E$2984)))))</f>
        <v/>
      </c>
      <c r="J2990" s="24" t="str">
        <f aca="true">IF(OR(E2990="",E2990="!!!",F2990="NEW"),"",COUNTBLANK(OFFSET(A$1,,,SUMPRODUCT(MAX(ROW(E$2:E2990)*(E2990=E$2:E2990)))))-COUNTBLANK(OFFSET(A$1,,,SUMPRODUCT(MAX(ROW(E$1:E2989)*(E2=E$1:E2989))))))</f>
        <v/>
      </c>
      <c r="K2990" s="24" t="str">
        <f aca="false">IF(OR(E2990="",E2990="!!!",F2990="NEW"),"",INDEX(J$1:J2989,SUMPRODUCT(MAX(ROW(E$1:E2989)*(E2990=E$1:E2989)))))</f>
        <v/>
      </c>
      <c r="L2990" s="31"/>
    </row>
    <row r="2991" customFormat="false" ht="15" hidden="false" customHeight="false" outlineLevel="0" collapsed="false">
      <c r="A2991" s="20" t="s">
        <v>1307</v>
      </c>
      <c r="E2991" s="23" t="str">
        <f aca="false">IF(D2991="?OLD","!!!","")</f>
        <v/>
      </c>
      <c r="F2991" s="25" t="str">
        <f aca="false">IF(OR(E2991="",E2991="!!!"),"",IF(NOT(ISNA(VLOOKUP(E2991,E$1:E2990,1,FALSE()))),"OLD",IF(AND(E2991&lt;&gt;"",E2991&lt;&gt;"!!!"),"NEW","")))</f>
        <v/>
      </c>
      <c r="G2991" s="26" t="str">
        <f aca="false">IF(OR(E2991="",E2991="!!!"),"",IF(OR(J2991=0,AND(J2991=1,K2991=1),AND(J2991=1,I2991="SBJ"),AND(J2991=1,I2991=0)),"?IN_FOCUS",IF(J2991&lt;=2,"?ACTIVATED",IF(J2991&lt;&gt;"","?FAMILIAR",IF(F2991="NEW",IF(ISNA(VLOOKUP(E2991,#REF!,1,FALSE())),"?TYPE_IDENTIFIABLE","?REFERENTIAL"),"_")))))</f>
        <v/>
      </c>
      <c r="H2991" s="27" t="str">
        <f aca="false">IF(J2991&lt;&gt;1,"",IF(I2991="SBJ","CB","?"))</f>
        <v/>
      </c>
      <c r="I2991" s="24" t="str">
        <f aca="false">IF(OR(E2991="",E2991="!!!",F2991="NEW"),"",INDEX(B8:B$2984,-1+SUMPRODUCT(MAX(ROW(E8:E$2984)*(E2991=E8:E$2984)))))</f>
        <v/>
      </c>
      <c r="J2991" s="24" t="str">
        <f aca="true">IF(OR(E2991="",E2991="!!!",F2991="NEW"),"",COUNTBLANK(OFFSET(A$1,,,SUMPRODUCT(MAX(ROW(E$2:E2991)*(E2991=E$2:E2991)))))-COUNTBLANK(OFFSET(A$1,,,SUMPRODUCT(MAX(ROW(E$1:E2990)*(E2=E$1:E2990))))))</f>
        <v/>
      </c>
      <c r="K2991" s="24" t="str">
        <f aca="false">IF(OR(E2991="",E2991="!!!",F2991="NEW"),"",INDEX(J$1:J2990,SUMPRODUCT(MAX(ROW(E$1:E2990)*(E2991=E$1:E2990)))))</f>
        <v/>
      </c>
      <c r="L2991" s="31"/>
    </row>
    <row r="2992" customFormat="false" ht="15" hidden="false" customHeight="false" outlineLevel="0" collapsed="false">
      <c r="A2992" s="20" t="s">
        <v>607</v>
      </c>
      <c r="E2992" s="23" t="str">
        <f aca="false">IF(D2992="?OLD","!!!","")</f>
        <v/>
      </c>
      <c r="F2992" s="25" t="str">
        <f aca="false">IF(OR(E2992="",E2992="!!!"),"",IF(NOT(ISNA(VLOOKUP(E2992,E$1:E2991,1,FALSE()))),"OLD",IF(AND(E2992&lt;&gt;"",E2992&lt;&gt;"!!!"),"NEW","")))</f>
        <v/>
      </c>
      <c r="G2992" s="26" t="str">
        <f aca="false">IF(OR(E2992="",E2992="!!!"),"",IF(OR(J2992=0,AND(J2992=1,K2992=1),AND(J2992=1,I2992="SBJ"),AND(J2992=1,I2992=0)),"?IN_FOCUS",IF(J2992&lt;=2,"?ACTIVATED",IF(J2992&lt;&gt;"","?FAMILIAR",IF(F2992="NEW",IF(ISNA(VLOOKUP(E2992,#REF!,1,FALSE())),"?TYPE_IDENTIFIABLE","?REFERENTIAL"),"_")))))</f>
        <v/>
      </c>
      <c r="H2992" s="27" t="str">
        <f aca="false">IF(J2992&lt;&gt;1,"",IF(I2992="SBJ","CB","?"))</f>
        <v/>
      </c>
      <c r="I2992" s="24" t="str">
        <f aca="false">IF(OR(E2992="",E2992="!!!",F2992="NEW"),"",INDEX(B9:B$2984,-1+SUMPRODUCT(MAX(ROW(E9:E$2984)*(E2992=E9:E$2984)))))</f>
        <v/>
      </c>
      <c r="J2992" s="24" t="str">
        <f aca="true">IF(OR(E2992="",E2992="!!!",F2992="NEW"),"",COUNTBLANK(OFFSET(A$1,,,SUMPRODUCT(MAX(ROW(E$2:E2992)*(E2992=E$2:E2992)))))-COUNTBLANK(OFFSET(A$1,,,SUMPRODUCT(MAX(ROW(E$1:E2991)*(E2=E$1:E2991))))))</f>
        <v/>
      </c>
      <c r="K2992" s="24" t="str">
        <f aca="false">IF(OR(E2992="",E2992="!!!",F2992="NEW"),"",INDEX(J$1:J2991,SUMPRODUCT(MAX(ROW(E$1:E2991)*(E2992=E$1:E2991)))))</f>
        <v/>
      </c>
      <c r="L2992" s="31"/>
    </row>
    <row r="2993" customFormat="false" ht="15" hidden="false" customHeight="false" outlineLevel="0" collapsed="false">
      <c r="A2993" s="20"/>
    </row>
    <row r="2994" customFormat="false" ht="15" hidden="false" customHeight="false" outlineLevel="0" collapsed="false">
      <c r="A2994" s="20" t="s">
        <v>1301</v>
      </c>
      <c r="E2994" s="23" t="str">
        <f aca="false">IF(D2994="?OLD","!!!","")</f>
        <v/>
      </c>
      <c r="F2994" s="25" t="str">
        <f aca="false">IF(OR(E2994="",E2994="!!!"),"",IF(NOT(ISNA(VLOOKUP(E2994,E$1:E2993,1,FALSE()))),"OLD",IF(AND(E2994&lt;&gt;"",E2994&lt;&gt;"!!!"),"NEW","")))</f>
        <v/>
      </c>
      <c r="G2994" s="26" t="str">
        <f aca="false">IF(OR(E2994="",E2994="!!!"),"",IF(OR(J2994=0,AND(J2994=1,K2994=1),AND(J2994=1,I2994="SBJ"),AND(J2994=1,I2994=0)),"?IN_FOCUS",IF(J2994&lt;=2,"?ACTIVATED",IF(J2994&lt;&gt;"","?FAMILIAR",IF(F2994="NEW",IF(ISNA(VLOOKUP(E2994,#REF!,1,FALSE())),"?TYPE_IDENTIFIABLE","?REFERENTIAL"),"_")))))</f>
        <v/>
      </c>
      <c r="H2994" s="27" t="str">
        <f aca="false">IF(J2994&lt;&gt;1,"",IF(I2994="SBJ","CB","?"))</f>
        <v/>
      </c>
      <c r="I2994" s="24" t="str">
        <f aca="false">IF(OR(E2994="",E2994="!!!",F2994="NEW"),"",INDEX(B2:B$2993,-1+SUMPRODUCT(MAX(ROW(E2:E$2993)*(E2994=E2:E$2993)))))</f>
        <v/>
      </c>
      <c r="J2994" s="24" t="str">
        <f aca="true">IF(OR(E2994="",E2994="!!!",F2994="NEW"),"",COUNTBLANK(OFFSET(A$1,,,SUMPRODUCT(MAX(ROW(E$2:E2994)*(E2994=E$2:E2994)))))-COUNTBLANK(OFFSET(A$1,,,SUMPRODUCT(MAX(ROW(E$1:E2993)*(E2=E$1:E2993))))))</f>
        <v/>
      </c>
      <c r="K2994" s="24" t="str">
        <f aca="false">IF(OR(E2994="",E2994="!!!",F2994="NEW"),"",INDEX(J$1:J2993,SUMPRODUCT(MAX(ROW(E$1:E2993)*(E2994=E$1:E2993)))))</f>
        <v/>
      </c>
      <c r="L2994" s="31"/>
    </row>
    <row r="2995" customFormat="false" ht="15" hidden="false" customHeight="false" outlineLevel="0" collapsed="false">
      <c r="A2995" s="20" t="s">
        <v>2074</v>
      </c>
    </row>
    <row r="2996" customFormat="false" ht="15" hidden="false" customHeight="false" outlineLevel="0" collapsed="false">
      <c r="A2996" s="20" t="s">
        <v>607</v>
      </c>
      <c r="E2996" s="23" t="str">
        <f aca="false">IF(D2996="?OLD","!!!","")</f>
        <v/>
      </c>
      <c r="F2996" s="25" t="str">
        <f aca="false">IF(OR(E2996="",E2996="!!!"),"",IF(NOT(ISNA(VLOOKUP(E2996,E$1:E2995,1,FALSE()))),"OLD",IF(AND(E2996&lt;&gt;"",E2996&lt;&gt;"!!!"),"NEW","")))</f>
        <v/>
      </c>
      <c r="G2996" s="26" t="str">
        <f aca="false">IF(OR(E2996="",E2996="!!!"),"",IF(OR(J2996=0,AND(J2996=1,K2996=1),AND(J2996=1,I2996="SBJ"),AND(J2996=1,I2996=0)),"?IN_FOCUS",IF(J2996&lt;=2,"?ACTIVATED",IF(J2996&lt;&gt;"","?FAMILIAR",IF(F2996="NEW",IF(ISNA(VLOOKUP(E2996,#REF!,1,FALSE())),"?TYPE_IDENTIFIABLE","?REFERENTIAL"),"_")))))</f>
        <v/>
      </c>
      <c r="H2996" s="27" t="str">
        <f aca="false">IF(J2996&lt;&gt;1,"",IF(I2996="SBJ","CB","?"))</f>
        <v/>
      </c>
      <c r="I2996" s="24" t="str">
        <f aca="false">IF(OR(E2996="",E2996="!!!",F2996="NEW"),"",INDEX(B2:B$2995,-1+SUMPRODUCT(MAX(ROW(E2:E$2995)*(E2996=E2:E$2995)))))</f>
        <v/>
      </c>
      <c r="J2996" s="24" t="str">
        <f aca="true">IF(OR(E2996="",E2996="!!!",F2996="NEW"),"",COUNTBLANK(OFFSET(A$1,,,SUMPRODUCT(MAX(ROW(E$2:E2996)*(E2996=E$2:E2996)))))-COUNTBLANK(OFFSET(A$1,,,SUMPRODUCT(MAX(ROW(E$1:E2995)*(E2=E$1:E2995))))))</f>
        <v/>
      </c>
      <c r="K2996" s="24" t="str">
        <f aca="false">IF(OR(E2996="",E2996="!!!",F2996="NEW"),"",INDEX(J$1:J2995,SUMPRODUCT(MAX(ROW(E$1:E2995)*(E2996=E$1:E2995)))))</f>
        <v/>
      </c>
      <c r="L2996" s="31"/>
    </row>
    <row r="2997" customFormat="false" ht="15" hidden="false" customHeight="false" outlineLevel="0" collapsed="false">
      <c r="A2997" s="20" t="s">
        <v>2075</v>
      </c>
      <c r="E2997" s="23" t="str">
        <f aca="false">IF(D2997="?OLD","!!!","")</f>
        <v/>
      </c>
      <c r="F2997" s="25" t="str">
        <f aca="false">IF(OR(E2997="",E2997="!!!"),"",IF(NOT(ISNA(VLOOKUP(E2997,E$1:E2996,1,FALSE()))),"OLD",IF(AND(E2997&lt;&gt;"",E2997&lt;&gt;"!!!"),"NEW","")))</f>
        <v/>
      </c>
      <c r="G2997" s="26" t="str">
        <f aca="false">IF(OR(E2997="",E2997="!!!"),"",IF(OR(J2997=0,AND(J2997=1,K2997=1),AND(J2997=1,I2997="SBJ"),AND(J2997=1,I2997=0)),"?IN_FOCUS",IF(J2997&lt;=2,"?ACTIVATED",IF(J2997&lt;&gt;"","?FAMILIAR",IF(F2997="NEW",IF(ISNA(VLOOKUP(E2997,#REF!,1,FALSE())),"?TYPE_IDENTIFIABLE","?REFERENTIAL"),"_")))))</f>
        <v/>
      </c>
      <c r="H2997" s="27" t="str">
        <f aca="false">IF(J2997&lt;&gt;1,"",IF(I2997="SBJ","CB","?"))</f>
        <v/>
      </c>
      <c r="I2997" s="24" t="str">
        <f aca="false">IF(OR(E2997="",E2997="!!!",F2997="NEW"),"",INDEX(B3:B$2995,-1+SUMPRODUCT(MAX(ROW(E3:E$2995)*(E2997=E3:E$2995)))))</f>
        <v/>
      </c>
      <c r="J2997" s="24" t="str">
        <f aca="true">IF(OR(E2997="",E2997="!!!",F2997="NEW"),"",COUNTBLANK(OFFSET(A$1,,,SUMPRODUCT(MAX(ROW(E$2:E2997)*(E2997=E$2:E2997)))))-COUNTBLANK(OFFSET(A$1,,,SUMPRODUCT(MAX(ROW(E$1:E2996)*(E2=E$1:E2996))))))</f>
        <v/>
      </c>
      <c r="K2997" s="24" t="str">
        <f aca="false">IF(OR(E2997="",E2997="!!!",F2997="NEW"),"",INDEX(J$1:J2996,SUMPRODUCT(MAX(ROW(E$1:E2996)*(E2997=E$1:E2996)))))</f>
        <v/>
      </c>
      <c r="L2997" s="31"/>
    </row>
    <row r="2998" customFormat="false" ht="15" hidden="false" customHeight="false" outlineLevel="0" collapsed="false">
      <c r="A2998" s="20" t="s">
        <v>1231</v>
      </c>
      <c r="B2998" s="22" t="s">
        <v>1081</v>
      </c>
      <c r="C2998" s="22" t="s">
        <v>1082</v>
      </c>
      <c r="D2998" s="22" t="s">
        <v>1060</v>
      </c>
      <c r="E2998" s="23" t="str">
        <f aca="false">IF(D2998="?OLD","!!!","")</f>
        <v>!!!</v>
      </c>
      <c r="F2998" s="25" t="str">
        <f aca="false">IF(OR(E2998="",E2998="!!!"),"",IF(NOT(ISNA(VLOOKUP(E2998,E$1:E2997,1,FALSE()))),"OLD",IF(AND(E2998&lt;&gt;"",E2998&lt;&gt;"!!!"),"NEW","")))</f>
        <v/>
      </c>
      <c r="G2998" s="26" t="str">
        <f aca="false">IF(OR(E2998="",E2998="!!!"),"",IF(OR(J2998=0,AND(J2998=1,K2998=1),AND(J2998=1,I2998="SBJ"),AND(J2998=1,I2998=0)),"?IN_FOCUS",IF(J2998&lt;=2,"?ACTIVATED",IF(J2998&lt;&gt;"","?FAMILIAR",IF(F2998="NEW",IF(ISNA(VLOOKUP(E2998,#REF!,1,FALSE())),"?TYPE_IDENTIFIABLE","?REFERENTIAL"),"_")))))</f>
        <v/>
      </c>
      <c r="H2998" s="27" t="str">
        <f aca="false">IF(J2998&lt;&gt;1,"",IF(I2998="SBJ","CB","?"))</f>
        <v/>
      </c>
      <c r="I2998" s="24" t="str">
        <f aca="false">IF(OR(E2998="",E2998="!!!",F2998="NEW"),"",INDEX(B4:B$2995,-1+SUMPRODUCT(MAX(ROW(E4:E$2995)*(E2998=E4:E$2995)))))</f>
        <v/>
      </c>
      <c r="J2998" s="24" t="str">
        <f aca="true">IF(OR(E2998="",E2998="!!!",F2998="NEW"),"",COUNTBLANK(OFFSET(A$1,,,SUMPRODUCT(MAX(ROW(E$2:E2998)*(E2998=E$2:E2998)))))-COUNTBLANK(OFFSET(A$1,,,SUMPRODUCT(MAX(ROW(E$1:E2997)*(E2=E$1:E2997))))))</f>
        <v/>
      </c>
      <c r="K2998" s="24" t="str">
        <f aca="false">IF(OR(E2998="",E2998="!!!",F2998="NEW"),"",INDEX(J$1:J2997,SUMPRODUCT(MAX(ROW(E$1:E2997)*(E2998=E$1:E2997)))))</f>
        <v/>
      </c>
      <c r="L2998" s="31"/>
    </row>
    <row r="2999" customFormat="false" ht="15" hidden="false" customHeight="false" outlineLevel="0" collapsed="false">
      <c r="A2999" s="20" t="s">
        <v>2076</v>
      </c>
      <c r="E2999" s="23" t="str">
        <f aca="false">IF(D2999="?OLD","!!!","")</f>
        <v/>
      </c>
      <c r="F2999" s="25" t="str">
        <f aca="false">IF(OR(E2999="",E2999="!!!"),"",IF(NOT(ISNA(VLOOKUP(E2999,E$1:E2998,1,FALSE()))),"OLD",IF(AND(E2999&lt;&gt;"",E2999&lt;&gt;"!!!"),"NEW","")))</f>
        <v/>
      </c>
      <c r="G2999" s="26" t="str">
        <f aca="false">IF(OR(E2999="",E2999="!!!"),"",IF(OR(J2999=0,AND(J2999=1,K2999=1),AND(J2999=1,I2999="SBJ"),AND(J2999=1,I2999=0)),"?IN_FOCUS",IF(J2999&lt;=2,"?ACTIVATED",IF(J2999&lt;&gt;"","?FAMILIAR",IF(F2999="NEW",IF(ISNA(VLOOKUP(E2999,#REF!,1,FALSE())),"?TYPE_IDENTIFIABLE","?REFERENTIAL"),"_")))))</f>
        <v/>
      </c>
      <c r="H2999" s="27" t="str">
        <f aca="false">IF(J2999&lt;&gt;1,"",IF(I2999="SBJ","CB","?"))</f>
        <v/>
      </c>
      <c r="I2999" s="24" t="str">
        <f aca="false">IF(OR(E2999="",E2999="!!!",F2999="NEW"),"",INDEX(B5:B$2995,-1+SUMPRODUCT(MAX(ROW(E5:E$2995)*(E2999=E5:E$2995)))))</f>
        <v/>
      </c>
      <c r="J2999" s="24" t="str">
        <f aca="true">IF(OR(E2999="",E2999="!!!",F2999="NEW"),"",COUNTBLANK(OFFSET(A$1,,,SUMPRODUCT(MAX(ROW(E$2:E2999)*(E2999=E$2:E2999)))))-COUNTBLANK(OFFSET(A$1,,,SUMPRODUCT(MAX(ROW(E$1:E2998)*(E2=E$1:E2998))))))</f>
        <v/>
      </c>
      <c r="K2999" s="24" t="str">
        <f aca="false">IF(OR(E2999="",E2999="!!!",F2999="NEW"),"",INDEX(J$1:J2998,SUMPRODUCT(MAX(ROW(E$1:E2998)*(E2999=E$1:E2998)))))</f>
        <v/>
      </c>
      <c r="L2999" s="31"/>
    </row>
    <row r="3000" customFormat="false" ht="15" hidden="false" customHeight="false" outlineLevel="0" collapsed="false">
      <c r="A3000" s="20" t="s">
        <v>2077</v>
      </c>
      <c r="B3000" s="22" t="s">
        <v>1081</v>
      </c>
      <c r="C3000" s="22" t="s">
        <v>1059</v>
      </c>
      <c r="D3000" s="22" t="s">
        <v>1060</v>
      </c>
      <c r="E3000" s="23" t="str">
        <f aca="false">IF(D3000="?OLD","!!!","")</f>
        <v>!!!</v>
      </c>
      <c r="F3000" s="25" t="str">
        <f aca="false">IF(OR(E3000="",E3000="!!!"),"",IF(NOT(ISNA(VLOOKUP(E3000,E$1:E2999,1,FALSE()))),"OLD",IF(AND(E3000&lt;&gt;"",E3000&lt;&gt;"!!!"),"NEW","")))</f>
        <v/>
      </c>
      <c r="G3000" s="26" t="str">
        <f aca="false">IF(OR(E3000="",E3000="!!!"),"",IF(OR(J3000=0,AND(J3000=1,K3000=1),AND(J3000=1,I3000="SBJ"),AND(J3000=1,I3000=0)),"?IN_FOCUS",IF(J3000&lt;=2,"?ACTIVATED",IF(J3000&lt;&gt;"","?FAMILIAR",IF(F3000="NEW",IF(ISNA(VLOOKUP(E3000,#REF!,1,FALSE())),"?TYPE_IDENTIFIABLE","?REFERENTIAL"),"_")))))</f>
        <v/>
      </c>
      <c r="H3000" s="27" t="str">
        <f aca="false">IF(J3000&lt;&gt;1,"",IF(I3000="SBJ","CB","?"))</f>
        <v/>
      </c>
      <c r="I3000" s="24" t="str">
        <f aca="false">IF(OR(E3000="",E3000="!!!",F3000="NEW"),"",INDEX(B6:B$2995,-1+SUMPRODUCT(MAX(ROW(E6:E$2995)*(E3000=E6:E$2995)))))</f>
        <v/>
      </c>
      <c r="J3000" s="24" t="str">
        <f aca="true">IF(OR(E3000="",E3000="!!!",F3000="NEW"),"",COUNTBLANK(OFFSET(A$1,,,SUMPRODUCT(MAX(ROW(E$2:E3000)*(E3000=E$2:E3000)))))-COUNTBLANK(OFFSET(A$1,,,SUMPRODUCT(MAX(ROW(E$1:E2999)*(E2=E$1:E2999))))))</f>
        <v/>
      </c>
      <c r="K3000" s="24" t="str">
        <f aca="false">IF(OR(E3000="",E3000="!!!",F3000="NEW"),"",INDEX(J$1:J2999,SUMPRODUCT(MAX(ROW(E$1:E2999)*(E3000=E$1:E2999)))))</f>
        <v/>
      </c>
      <c r="L3000" s="31"/>
    </row>
    <row r="3001" customFormat="false" ht="15" hidden="false" customHeight="false" outlineLevel="0" collapsed="false">
      <c r="A3001" s="20" t="s">
        <v>1064</v>
      </c>
      <c r="E3001" s="23" t="str">
        <f aca="false">IF(D3001="?OLD","!!!","")</f>
        <v/>
      </c>
      <c r="F3001" s="25" t="str">
        <f aca="false">IF(OR(E3001="",E3001="!!!"),"",IF(NOT(ISNA(VLOOKUP(E3001,E$1:E3000,1,FALSE()))),"OLD",IF(AND(E3001&lt;&gt;"",E3001&lt;&gt;"!!!"),"NEW","")))</f>
        <v/>
      </c>
      <c r="G3001" s="26" t="str">
        <f aca="false">IF(OR(E3001="",E3001="!!!"),"",IF(OR(J3001=0,AND(J3001=1,K3001=1),AND(J3001=1,I3001="SBJ"),AND(J3001=1,I3001=0)),"?IN_FOCUS",IF(J3001&lt;=2,"?ACTIVATED",IF(J3001&lt;&gt;"","?FAMILIAR",IF(F3001="NEW",IF(ISNA(VLOOKUP(E3001,#REF!,1,FALSE())),"?TYPE_IDENTIFIABLE","?REFERENTIAL"),"_")))))</f>
        <v/>
      </c>
      <c r="H3001" s="27" t="str">
        <f aca="false">IF(J3001&lt;&gt;1,"",IF(I3001="SBJ","CB","?"))</f>
        <v/>
      </c>
      <c r="I3001" s="24" t="str">
        <f aca="false">IF(OR(E3001="",E3001="!!!",F3001="NEW"),"",INDEX(B7:B$2995,-1+SUMPRODUCT(MAX(ROW(E7:E$2995)*(E3001=E7:E$2995)))))</f>
        <v/>
      </c>
      <c r="J3001" s="24" t="str">
        <f aca="true">IF(OR(E3001="",E3001="!!!",F3001="NEW"),"",COUNTBLANK(OFFSET(A$1,,,SUMPRODUCT(MAX(ROW(E$2:E3001)*(E3001=E$2:E3001)))))-COUNTBLANK(OFFSET(A$1,,,SUMPRODUCT(MAX(ROW(E$1:E3000)*(E2=E$1:E3000))))))</f>
        <v/>
      </c>
      <c r="K3001" s="24" t="str">
        <f aca="false">IF(OR(E3001="",E3001="!!!",F3001="NEW"),"",INDEX(J$1:J3000,SUMPRODUCT(MAX(ROW(E$1:E3000)*(E3001=E$1:E3000)))))</f>
        <v/>
      </c>
      <c r="L3001" s="31"/>
    </row>
    <row r="3002" customFormat="false" ht="15" hidden="false" customHeight="false" outlineLevel="0" collapsed="false">
      <c r="A3002" s="20" t="s">
        <v>1089</v>
      </c>
      <c r="E3002" s="23" t="str">
        <f aca="false">IF(D3002="?OLD","!!!","")</f>
        <v/>
      </c>
      <c r="F3002" s="25" t="str">
        <f aca="false">IF(OR(E3002="",E3002="!!!"),"",IF(NOT(ISNA(VLOOKUP(E3002,E$1:E3001,1,FALSE()))),"OLD",IF(AND(E3002&lt;&gt;"",E3002&lt;&gt;"!!!"),"NEW","")))</f>
        <v/>
      </c>
      <c r="G3002" s="26" t="str">
        <f aca="false">IF(OR(E3002="",E3002="!!!"),"",IF(OR(J3002=0,AND(J3002=1,K3002=1),AND(J3002=1,I3002="SBJ"),AND(J3002=1,I3002=0)),"?IN_FOCUS",IF(J3002&lt;=2,"?ACTIVATED",IF(J3002&lt;&gt;"","?FAMILIAR",IF(F3002="NEW",IF(ISNA(VLOOKUP(E3002,#REF!,1,FALSE())),"?TYPE_IDENTIFIABLE","?REFERENTIAL"),"_")))))</f>
        <v/>
      </c>
      <c r="H3002" s="27" t="str">
        <f aca="false">IF(J3002&lt;&gt;1,"",IF(I3002="SBJ","CB","?"))</f>
        <v/>
      </c>
      <c r="I3002" s="24" t="str">
        <f aca="false">IF(OR(E3002="",E3002="!!!",F3002="NEW"),"",INDEX(B8:B$2995,-1+SUMPRODUCT(MAX(ROW(E8:E$2995)*(E3002=E8:E$2995)))))</f>
        <v/>
      </c>
      <c r="J3002" s="24" t="str">
        <f aca="true">IF(OR(E3002="",E3002="!!!",F3002="NEW"),"",COUNTBLANK(OFFSET(A$1,,,SUMPRODUCT(MAX(ROW(E$2:E3002)*(E3002=E$2:E3002)))))-COUNTBLANK(OFFSET(A$1,,,SUMPRODUCT(MAX(ROW(E$1:E3001)*(E2=E$1:E3001))))))</f>
        <v/>
      </c>
      <c r="K3002" s="24" t="str">
        <f aca="false">IF(OR(E3002="",E3002="!!!",F3002="NEW"),"",INDEX(J$1:J3001,SUMPRODUCT(MAX(ROW(E$1:E3001)*(E3002=E$1:E3001)))))</f>
        <v/>
      </c>
      <c r="L3002" s="31"/>
    </row>
    <row r="3003" customFormat="false" ht="15" hidden="false" customHeight="false" outlineLevel="0" collapsed="false">
      <c r="A3003" s="20" t="s">
        <v>1991</v>
      </c>
      <c r="B3003" s="22" t="s">
        <v>1073</v>
      </c>
      <c r="C3003" s="22" t="s">
        <v>1171</v>
      </c>
      <c r="D3003" s="22" t="s">
        <v>1060</v>
      </c>
      <c r="E3003" s="23" t="str">
        <f aca="false">IF(D3003="?OLD","!!!","")</f>
        <v>!!!</v>
      </c>
      <c r="F3003" s="25" t="str">
        <f aca="false">IF(OR(E3003="",E3003="!!!"),"",IF(NOT(ISNA(VLOOKUP(E3003,E$1:E3002,1,FALSE()))),"OLD",IF(AND(E3003&lt;&gt;"",E3003&lt;&gt;"!!!"),"NEW","")))</f>
        <v/>
      </c>
      <c r="G3003" s="26" t="str">
        <f aca="false">IF(OR(E3003="",E3003="!!!"),"",IF(OR(J3003=0,AND(J3003=1,K3003=1),AND(J3003=1,I3003="SBJ"),AND(J3003=1,I3003=0)),"?IN_FOCUS",IF(J3003&lt;=2,"?ACTIVATED",IF(J3003&lt;&gt;"","?FAMILIAR",IF(F3003="NEW",IF(ISNA(VLOOKUP(E3003,#REF!,1,FALSE())),"?TYPE_IDENTIFIABLE","?REFERENTIAL"),"_")))))</f>
        <v/>
      </c>
      <c r="H3003" s="27" t="str">
        <f aca="false">IF(J3003&lt;&gt;1,"",IF(I3003="SBJ","CB","?"))</f>
        <v/>
      </c>
      <c r="I3003" s="24" t="str">
        <f aca="false">IF(OR(E3003="",E3003="!!!",F3003="NEW"),"",INDEX(B9:B$2995,-1+SUMPRODUCT(MAX(ROW(E9:E$2995)*(E3003=E9:E$2995)))))</f>
        <v/>
      </c>
      <c r="J3003" s="24" t="str">
        <f aca="true">IF(OR(E3003="",E3003="!!!",F3003="NEW"),"",COUNTBLANK(OFFSET(A$1,,,SUMPRODUCT(MAX(ROW(E$2:E3003)*(E3003=E$2:E3003)))))-COUNTBLANK(OFFSET(A$1,,,SUMPRODUCT(MAX(ROW(E$1:E3002)*(E2=E$1:E3002))))))</f>
        <v/>
      </c>
      <c r="K3003" s="24" t="str">
        <f aca="false">IF(OR(E3003="",E3003="!!!",F3003="NEW"),"",INDEX(J$1:J3002,SUMPRODUCT(MAX(ROW(E$1:E3002)*(E3003=E$1:E3002)))))</f>
        <v/>
      </c>
      <c r="L3003" s="31"/>
    </row>
    <row r="3004" customFormat="false" ht="15" hidden="false" customHeight="false" outlineLevel="0" collapsed="false">
      <c r="A3004" s="20" t="s">
        <v>1128</v>
      </c>
      <c r="E3004" s="23" t="str">
        <f aca="false">IF(D3004="?OLD","!!!","")</f>
        <v/>
      </c>
      <c r="F3004" s="25" t="str">
        <f aca="false">IF(OR(E3004="",E3004="!!!"),"",IF(NOT(ISNA(VLOOKUP(E3004,E$1:E3003,1,FALSE()))),"OLD",IF(AND(E3004&lt;&gt;"",E3004&lt;&gt;"!!!"),"NEW","")))</f>
        <v/>
      </c>
      <c r="G3004" s="26" t="str">
        <f aca="false">IF(OR(E3004="",E3004="!!!"),"",IF(OR(J3004=0,AND(J3004=1,K3004=1),AND(J3004=1,I3004="SBJ"),AND(J3004=1,I3004=0)),"?IN_FOCUS",IF(J3004&lt;=2,"?ACTIVATED",IF(J3004&lt;&gt;"","?FAMILIAR",IF(F3004="NEW",IF(ISNA(VLOOKUP(E3004,#REF!,1,FALSE())),"?TYPE_IDENTIFIABLE","?REFERENTIAL"),"_")))))</f>
        <v/>
      </c>
      <c r="H3004" s="27" t="str">
        <f aca="false">IF(J3004&lt;&gt;1,"",IF(I3004="SBJ","CB","?"))</f>
        <v/>
      </c>
      <c r="I3004" s="24" t="str">
        <f aca="false">IF(OR(E3004="",E3004="!!!",F3004="NEW"),"",INDEX(B10:B$2995,-1+SUMPRODUCT(MAX(ROW(E10:E$2995)*(E3004=E10:E$2995)))))</f>
        <v/>
      </c>
      <c r="J3004" s="24" t="str">
        <f aca="true">IF(OR(E3004="",E3004="!!!",F3004="NEW"),"",COUNTBLANK(OFFSET(A$1,,,SUMPRODUCT(MAX(ROW(E$2:E3004)*(E3004=E$2:E3004)))))-COUNTBLANK(OFFSET(A$1,,,SUMPRODUCT(MAX(ROW(E$1:E3003)*(E2=E$1:E3003))))))</f>
        <v/>
      </c>
      <c r="K3004" s="24" t="str">
        <f aca="false">IF(OR(E3004="",E3004="!!!",F3004="NEW"),"",INDEX(J$1:J3003,SUMPRODUCT(MAX(ROW(E$1:E3003)*(E3004=E$1:E3003)))))</f>
        <v/>
      </c>
      <c r="L3004" s="31"/>
    </row>
    <row r="3005" customFormat="false" ht="15" hidden="false" customHeight="false" outlineLevel="0" collapsed="false">
      <c r="A3005" s="20" t="s">
        <v>1162</v>
      </c>
      <c r="B3005" s="22" t="s">
        <v>1086</v>
      </c>
      <c r="C3005" s="22" t="s">
        <v>1082</v>
      </c>
      <c r="D3005" s="22" t="s">
        <v>1060</v>
      </c>
      <c r="E3005" s="23" t="str">
        <f aca="false">IF(D3005="?OLD","!!!","")</f>
        <v>!!!</v>
      </c>
      <c r="F3005" s="25" t="str">
        <f aca="false">IF(OR(E3005="",E3005="!!!"),"",IF(NOT(ISNA(VLOOKUP(E3005,E$1:E3004,1,FALSE()))),"OLD",IF(AND(E3005&lt;&gt;"",E3005&lt;&gt;"!!!"),"NEW","")))</f>
        <v/>
      </c>
      <c r="G3005" s="26" t="str">
        <f aca="false">IF(OR(E3005="",E3005="!!!"),"",IF(OR(J3005=0,AND(J3005=1,K3005=1),AND(J3005=1,I3005="SBJ"),AND(J3005=1,I3005=0)),"?IN_FOCUS",IF(J3005&lt;=2,"?ACTIVATED",IF(J3005&lt;&gt;"","?FAMILIAR",IF(F3005="NEW",IF(ISNA(VLOOKUP(E3005,#REF!,1,FALSE())),"?TYPE_IDENTIFIABLE","?REFERENTIAL"),"_")))))</f>
        <v/>
      </c>
      <c r="H3005" s="27" t="str">
        <f aca="false">IF(J3005&lt;&gt;1,"",IF(I3005="SBJ","CB","?"))</f>
        <v/>
      </c>
      <c r="I3005" s="24" t="str">
        <f aca="false">IF(OR(E3005="",E3005="!!!",F3005="NEW"),"",INDEX(B11:B$2995,-1+SUMPRODUCT(MAX(ROW(E11:E$2995)*(E3005=E11:E$2995)))))</f>
        <v/>
      </c>
      <c r="J3005" s="24" t="str">
        <f aca="true">IF(OR(E3005="",E3005="!!!",F3005="NEW"),"",COUNTBLANK(OFFSET(A$1,,,SUMPRODUCT(MAX(ROW(E$2:E3005)*(E3005=E$2:E3005)))))-COUNTBLANK(OFFSET(A$1,,,SUMPRODUCT(MAX(ROW(E$1:E3004)*(E2=E$1:E3004))))))</f>
        <v/>
      </c>
      <c r="K3005" s="24" t="str">
        <f aca="false">IF(OR(E3005="",E3005="!!!",F3005="NEW"),"",INDEX(J$1:J3004,SUMPRODUCT(MAX(ROW(E$1:E3004)*(E3005=E$1:E3004)))))</f>
        <v/>
      </c>
      <c r="L3005" s="31"/>
    </row>
    <row r="3006" customFormat="false" ht="15" hidden="false" customHeight="false" outlineLevel="0" collapsed="false">
      <c r="A3006" s="20" t="s">
        <v>1405</v>
      </c>
      <c r="E3006" s="23" t="str">
        <f aca="false">IF(D3006="?OLD","!!!","")</f>
        <v/>
      </c>
      <c r="F3006" s="25" t="str">
        <f aca="false">IF(OR(E3006="",E3006="!!!"),"",IF(NOT(ISNA(VLOOKUP(E3006,E$1:E3005,1,FALSE()))),"OLD",IF(AND(E3006&lt;&gt;"",E3006&lt;&gt;"!!!"),"NEW","")))</f>
        <v/>
      </c>
      <c r="G3006" s="26" t="str">
        <f aca="false">IF(OR(E3006="",E3006="!!!"),"",IF(OR(J3006=0,AND(J3006=1,K3006=1),AND(J3006=1,I3006="SBJ"),AND(J3006=1,I3006=0)),"?IN_FOCUS",IF(J3006&lt;=2,"?ACTIVATED",IF(J3006&lt;&gt;"","?FAMILIAR",IF(F3006="NEW",IF(ISNA(VLOOKUP(E3006,#REF!,1,FALSE())),"?TYPE_IDENTIFIABLE","?REFERENTIAL"),"_")))))</f>
        <v/>
      </c>
      <c r="H3006" s="27" t="str">
        <f aca="false">IF(J3006&lt;&gt;1,"",IF(I3006="SBJ","CB","?"))</f>
        <v/>
      </c>
      <c r="I3006" s="24" t="str">
        <f aca="false">IF(OR(E3006="",E3006="!!!",F3006="NEW"),"",INDEX(B12:B$2995,-1+SUMPRODUCT(MAX(ROW(E12:E$2995)*(E3006=E12:E$2995)))))</f>
        <v/>
      </c>
      <c r="J3006" s="24" t="str">
        <f aca="true">IF(OR(E3006="",E3006="!!!",F3006="NEW"),"",COUNTBLANK(OFFSET(A$1,,,SUMPRODUCT(MAX(ROW(E$2:E3006)*(E3006=E$2:E3006)))))-COUNTBLANK(OFFSET(A$1,,,SUMPRODUCT(MAX(ROW(E$1:E3005)*(E2=E$1:E3005))))))</f>
        <v/>
      </c>
      <c r="K3006" s="24" t="str">
        <f aca="false">IF(OR(E3006="",E3006="!!!",F3006="NEW"),"",INDEX(J$1:J3005,SUMPRODUCT(MAX(ROW(E$1:E3005)*(E3006=E$1:E3005)))))</f>
        <v/>
      </c>
      <c r="L3006" s="31"/>
    </row>
    <row r="3007" customFormat="false" ht="15" hidden="false" customHeight="false" outlineLevel="0" collapsed="false">
      <c r="A3007" s="20" t="s">
        <v>185</v>
      </c>
      <c r="E3007" s="23" t="str">
        <f aca="false">IF(D3007="?OLD","!!!","")</f>
        <v/>
      </c>
      <c r="F3007" s="25" t="str">
        <f aca="false">IF(OR(E3007="",E3007="!!!"),"",IF(NOT(ISNA(VLOOKUP(E3007,E$1:E3006,1,FALSE()))),"OLD",IF(AND(E3007&lt;&gt;"",E3007&lt;&gt;"!!!"),"NEW","")))</f>
        <v/>
      </c>
      <c r="G3007" s="26" t="str">
        <f aca="false">IF(OR(E3007="",E3007="!!!"),"",IF(OR(J3007=0,AND(J3007=1,K3007=1),AND(J3007=1,I3007="SBJ"),AND(J3007=1,I3007=0)),"?IN_FOCUS",IF(J3007&lt;=2,"?ACTIVATED",IF(J3007&lt;&gt;"","?FAMILIAR",IF(F3007="NEW",IF(ISNA(VLOOKUP(E3007,#REF!,1,FALSE())),"?TYPE_IDENTIFIABLE","?REFERENTIAL"),"_")))))</f>
        <v/>
      </c>
      <c r="H3007" s="27" t="str">
        <f aca="false">IF(J3007&lt;&gt;1,"",IF(I3007="SBJ","CB","?"))</f>
        <v/>
      </c>
      <c r="I3007" s="24" t="str">
        <f aca="false">IF(OR(E3007="",E3007="!!!",F3007="NEW"),"",INDEX(B13:B$2995,-1+SUMPRODUCT(MAX(ROW(E13:E$2995)*(E3007=E13:E$2995)))))</f>
        <v/>
      </c>
      <c r="J3007" s="24" t="str">
        <f aca="true">IF(OR(E3007="",E3007="!!!",F3007="NEW"),"",COUNTBLANK(OFFSET(A$1,,,SUMPRODUCT(MAX(ROW(E$2:E3007)*(E3007=E$2:E3007)))))-COUNTBLANK(OFFSET(A$1,,,SUMPRODUCT(MAX(ROW(E$1:E3006)*(E2=E$1:E3006))))))</f>
        <v/>
      </c>
      <c r="K3007" s="24" t="str">
        <f aca="false">IF(OR(E3007="",E3007="!!!",F3007="NEW"),"",INDEX(J$1:J3006,SUMPRODUCT(MAX(ROW(E$1:E3006)*(E3007=E$1:E3006)))))</f>
        <v/>
      </c>
      <c r="L3007" s="31"/>
    </row>
    <row r="3008" customFormat="false" ht="15" hidden="false" customHeight="false" outlineLevel="0" collapsed="false">
      <c r="A3008" s="20" t="s">
        <v>1332</v>
      </c>
      <c r="E3008" s="23" t="str">
        <f aca="false">IF(D3008="?OLD","!!!","")</f>
        <v/>
      </c>
      <c r="F3008" s="25" t="str">
        <f aca="false">IF(OR(E3008="",E3008="!!!"),"",IF(NOT(ISNA(VLOOKUP(E3008,E$1:E3007,1,FALSE()))),"OLD",IF(AND(E3008&lt;&gt;"",E3008&lt;&gt;"!!!"),"NEW","")))</f>
        <v/>
      </c>
      <c r="G3008" s="26" t="str">
        <f aca="false">IF(OR(E3008="",E3008="!!!"),"",IF(OR(J3008=0,AND(J3008=1,K3008=1),AND(J3008=1,I3008="SBJ"),AND(J3008=1,I3008=0)),"?IN_FOCUS",IF(J3008&lt;=2,"?ACTIVATED",IF(J3008&lt;&gt;"","?FAMILIAR",IF(F3008="NEW",IF(ISNA(VLOOKUP(E3008,#REF!,1,FALSE())),"?TYPE_IDENTIFIABLE","?REFERENTIAL"),"_")))))</f>
        <v/>
      </c>
      <c r="H3008" s="27" t="str">
        <f aca="false">IF(J3008&lt;&gt;1,"",IF(I3008="SBJ","CB","?"))</f>
        <v/>
      </c>
      <c r="I3008" s="24" t="str">
        <f aca="false">IF(OR(E3008="",E3008="!!!",F3008="NEW"),"",INDEX(B14:B$2995,-1+SUMPRODUCT(MAX(ROW(E14:E$2995)*(E3008=E14:E$2995)))))</f>
        <v/>
      </c>
      <c r="J3008" s="24" t="str">
        <f aca="true">IF(OR(E3008="",E3008="!!!",F3008="NEW"),"",COUNTBLANK(OFFSET(A$1,,,SUMPRODUCT(MAX(ROW(E$2:E3008)*(E3008=E$2:E3008)))))-COUNTBLANK(OFFSET(A$1,,,SUMPRODUCT(MAX(ROW(E$1:E3007)*(E2=E$1:E3007))))))</f>
        <v/>
      </c>
      <c r="K3008" s="24" t="str">
        <f aca="false">IF(OR(E3008="",E3008="!!!",F3008="NEW"),"",INDEX(J$1:J3007,SUMPRODUCT(MAX(ROW(E$1:E3007)*(E3008=E$1:E3007)))))</f>
        <v/>
      </c>
      <c r="L3008" s="31"/>
    </row>
    <row r="3009" customFormat="false" ht="15" hidden="false" customHeight="false" outlineLevel="0" collapsed="false">
      <c r="A3009" s="20" t="s">
        <v>1154</v>
      </c>
      <c r="E3009" s="23" t="str">
        <f aca="false">IF(D3009="?OLD","!!!","")</f>
        <v/>
      </c>
      <c r="F3009" s="25" t="str">
        <f aca="false">IF(OR(E3009="",E3009="!!!"),"",IF(NOT(ISNA(VLOOKUP(E3009,E$1:E3008,1,FALSE()))),"OLD",IF(AND(E3009&lt;&gt;"",E3009&lt;&gt;"!!!"),"NEW","")))</f>
        <v/>
      </c>
      <c r="G3009" s="26" t="str">
        <f aca="false">IF(OR(E3009="",E3009="!!!"),"",IF(OR(J3009=0,AND(J3009=1,K3009=1),AND(J3009=1,I3009="SBJ"),AND(J3009=1,I3009=0)),"?IN_FOCUS",IF(J3009&lt;=2,"?ACTIVATED",IF(J3009&lt;&gt;"","?FAMILIAR",IF(F3009="NEW",IF(ISNA(VLOOKUP(E3009,#REF!,1,FALSE())),"?TYPE_IDENTIFIABLE","?REFERENTIAL"),"_")))))</f>
        <v/>
      </c>
      <c r="H3009" s="27" t="str">
        <f aca="false">IF(J3009&lt;&gt;1,"",IF(I3009="SBJ","CB","?"))</f>
        <v/>
      </c>
      <c r="I3009" s="24" t="str">
        <f aca="false">IF(OR(E3009="",E3009="!!!",F3009="NEW"),"",INDEX(B15:B$2995,-1+SUMPRODUCT(MAX(ROW(E15:E$2995)*(E3009=E15:E$2995)))))</f>
        <v/>
      </c>
      <c r="J3009" s="24" t="str">
        <f aca="true">IF(OR(E3009="",E3009="!!!",F3009="NEW"),"",COUNTBLANK(OFFSET(A$1,,,SUMPRODUCT(MAX(ROW(E$2:E3009)*(E3009=E$2:E3009)))))-COUNTBLANK(OFFSET(A$1,,,SUMPRODUCT(MAX(ROW(E$1:E3008)*(E2=E$1:E3008))))))</f>
        <v/>
      </c>
      <c r="K3009" s="24" t="str">
        <f aca="false">IF(OR(E3009="",E3009="!!!",F3009="NEW"),"",INDEX(J$1:J3008,SUMPRODUCT(MAX(ROW(E$1:E3008)*(E3009=E$1:E3008)))))</f>
        <v/>
      </c>
      <c r="L3009" s="31"/>
    </row>
    <row r="3010" customFormat="false" ht="15" hidden="false" customHeight="false" outlineLevel="0" collapsed="false">
      <c r="A3010" s="20" t="s">
        <v>1881</v>
      </c>
      <c r="B3010" s="22" t="s">
        <v>1073</v>
      </c>
      <c r="C3010" s="22" t="s">
        <v>1196</v>
      </c>
      <c r="D3010" s="22" t="s">
        <v>1060</v>
      </c>
      <c r="E3010" s="23" t="str">
        <f aca="false">IF(D3010="?OLD","!!!","")</f>
        <v>!!!</v>
      </c>
      <c r="F3010" s="25" t="str">
        <f aca="false">IF(OR(E3010="",E3010="!!!"),"",IF(NOT(ISNA(VLOOKUP(E3010,E$1:E3009,1,FALSE()))),"OLD",IF(AND(E3010&lt;&gt;"",E3010&lt;&gt;"!!!"),"NEW","")))</f>
        <v/>
      </c>
      <c r="G3010" s="26" t="str">
        <f aca="false">IF(OR(E3010="",E3010="!!!"),"",IF(OR(J3010=0,AND(J3010=1,K3010=1),AND(J3010=1,I3010="SBJ"),AND(J3010=1,I3010=0)),"?IN_FOCUS",IF(J3010&lt;=2,"?ACTIVATED",IF(J3010&lt;&gt;"","?FAMILIAR",IF(F3010="NEW",IF(ISNA(VLOOKUP(E3010,#REF!,1,FALSE())),"?TYPE_IDENTIFIABLE","?REFERENTIAL"),"_")))))</f>
        <v/>
      </c>
      <c r="H3010" s="27" t="str">
        <f aca="false">IF(J3010&lt;&gt;1,"",IF(I3010="SBJ","CB","?"))</f>
        <v/>
      </c>
      <c r="I3010" s="24" t="str">
        <f aca="false">IF(OR(E3010="",E3010="!!!",F3010="NEW"),"",INDEX(B16:B$2995,-1+SUMPRODUCT(MAX(ROW(E16:E$2995)*(E3010=E16:E$2995)))))</f>
        <v/>
      </c>
      <c r="J3010" s="24" t="str">
        <f aca="true">IF(OR(E3010="",E3010="!!!",F3010="NEW"),"",COUNTBLANK(OFFSET(A$1,,,SUMPRODUCT(MAX(ROW(E$2:E3010)*(E3010=E$2:E3010)))))-COUNTBLANK(OFFSET(A$1,,,SUMPRODUCT(MAX(ROW(E$1:E3009)*(E2=E$1:E3009))))))</f>
        <v/>
      </c>
      <c r="K3010" s="24" t="str">
        <f aca="false">IF(OR(E3010="",E3010="!!!",F3010="NEW"),"",INDEX(J$1:J3009,SUMPRODUCT(MAX(ROW(E$1:E3009)*(E3010=E$1:E3009)))))</f>
        <v/>
      </c>
      <c r="L3010" s="31"/>
    </row>
    <row r="3011" customFormat="false" ht="15" hidden="false" customHeight="false" outlineLevel="0" collapsed="false">
      <c r="A3011" s="20" t="s">
        <v>923</v>
      </c>
      <c r="E3011" s="23" t="str">
        <f aca="false">IF(D3011="?OLD","!!!","")</f>
        <v/>
      </c>
      <c r="F3011" s="25" t="str">
        <f aca="false">IF(OR(E3011="",E3011="!!!"),"",IF(NOT(ISNA(VLOOKUP(E3011,E$1:E3010,1,FALSE()))),"OLD",IF(AND(E3011&lt;&gt;"",E3011&lt;&gt;"!!!"),"NEW","")))</f>
        <v/>
      </c>
      <c r="G3011" s="26" t="str">
        <f aca="false">IF(OR(E3011="",E3011="!!!"),"",IF(OR(J3011=0,AND(J3011=1,K3011=1),AND(J3011=1,I3011="SBJ"),AND(J3011=1,I3011=0)),"?IN_FOCUS",IF(J3011&lt;=2,"?ACTIVATED",IF(J3011&lt;&gt;"","?FAMILIAR",IF(F3011="NEW",IF(ISNA(VLOOKUP(E3011,#REF!,1,FALSE())),"?TYPE_IDENTIFIABLE","?REFERENTIAL"),"_")))))</f>
        <v/>
      </c>
      <c r="H3011" s="27" t="str">
        <f aca="false">IF(J3011&lt;&gt;1,"",IF(I3011="SBJ","CB","?"))</f>
        <v/>
      </c>
      <c r="I3011" s="24" t="str">
        <f aca="false">IF(OR(E3011="",E3011="!!!",F3011="NEW"),"",INDEX(B17:B$2995,-1+SUMPRODUCT(MAX(ROW(E17:E$2995)*(E3011=E17:E$2995)))))</f>
        <v/>
      </c>
      <c r="J3011" s="24" t="str">
        <f aca="true">IF(OR(E3011="",E3011="!!!",F3011="NEW"),"",COUNTBLANK(OFFSET(A$1,,,SUMPRODUCT(MAX(ROW(E$2:E3011)*(E3011=E$2:E3011)))))-COUNTBLANK(OFFSET(A$1,,,SUMPRODUCT(MAX(ROW(E$1:E3010)*(E2=E$1:E3010))))))</f>
        <v/>
      </c>
      <c r="K3011" s="24" t="str">
        <f aca="false">IF(OR(E3011="",E3011="!!!",F3011="NEW"),"",INDEX(J$1:J3010,SUMPRODUCT(MAX(ROW(E$1:E3010)*(E3011=E$1:E3010)))))</f>
        <v/>
      </c>
      <c r="L3011" s="31"/>
    </row>
    <row r="3012" customFormat="false" ht="15" hidden="false" customHeight="false" outlineLevel="0" collapsed="false">
      <c r="A3012" s="20"/>
    </row>
    <row r="3013" customFormat="false" ht="15" hidden="false" customHeight="false" outlineLevel="0" collapsed="false">
      <c r="A3013" s="20" t="s">
        <v>2078</v>
      </c>
    </row>
    <row r="3014" customFormat="false" ht="15" hidden="false" customHeight="false" outlineLevel="0" collapsed="false">
      <c r="A3014" s="20" t="s">
        <v>1741</v>
      </c>
      <c r="E3014" s="23" t="str">
        <f aca="false">IF(D3014="?OLD","!!!","")</f>
        <v/>
      </c>
      <c r="F3014" s="25" t="str">
        <f aca="false">IF(OR(E3014="",E3014="!!!"),"",IF(NOT(ISNA(VLOOKUP(E3014,E$1:E3013,1,FALSE()))),"OLD",IF(AND(E3014&lt;&gt;"",E3014&lt;&gt;"!!!"),"NEW","")))</f>
        <v/>
      </c>
      <c r="G3014" s="26" t="str">
        <f aca="false">IF(OR(E3014="",E3014="!!!"),"",IF(OR(J3014=0,AND(J3014=1,K3014=1),AND(J3014=1,I3014="SBJ"),AND(J3014=1,I3014=0)),"?IN_FOCUS",IF(J3014&lt;=2,"?ACTIVATED",IF(J3014&lt;&gt;"","?FAMILIAR",IF(F3014="NEW",IF(ISNA(VLOOKUP(E3014,#REF!,1,FALSE())),"?TYPE_IDENTIFIABLE","?REFERENTIAL"),"_")))))</f>
        <v/>
      </c>
      <c r="H3014" s="27" t="str">
        <f aca="false">IF(J3014&lt;&gt;1,"",IF(I3014="SBJ","CB","?"))</f>
        <v/>
      </c>
      <c r="I3014" s="24" t="str">
        <f aca="false">IF(OR(E3014="",E3014="!!!",F3014="NEW"),"",INDEX(B2:B$3013,-1+SUMPRODUCT(MAX(ROW(E2:E$3013)*(E3014=E2:E$3013)))))</f>
        <v/>
      </c>
      <c r="J3014" s="24" t="str">
        <f aca="true">IF(OR(E3014="",E3014="!!!",F3014="NEW"),"",COUNTBLANK(OFFSET(A$1,,,SUMPRODUCT(MAX(ROW(E$2:E3014)*(E3014=E$2:E3014)))))-COUNTBLANK(OFFSET(A$1,,,SUMPRODUCT(MAX(ROW(E$1:E3013)*(E2=E$1:E3013))))))</f>
        <v/>
      </c>
      <c r="K3014" s="24" t="str">
        <f aca="false">IF(OR(E3014="",E3014="!!!",F3014="NEW"),"",INDEX(J$1:J3013,SUMPRODUCT(MAX(ROW(E$1:E3013)*(E3014=E$1:E3013)))))</f>
        <v/>
      </c>
      <c r="L3014" s="31"/>
    </row>
    <row r="3015" customFormat="false" ht="15" hidden="false" customHeight="false" outlineLevel="0" collapsed="false">
      <c r="A3015" s="20" t="s">
        <v>1328</v>
      </c>
      <c r="E3015" s="23" t="str">
        <f aca="false">IF(D3015="?OLD","!!!","")</f>
        <v/>
      </c>
      <c r="F3015" s="25" t="str">
        <f aca="false">IF(OR(E3015="",E3015="!!!"),"",IF(NOT(ISNA(VLOOKUP(E3015,E$1:E3014,1,FALSE()))),"OLD",IF(AND(E3015&lt;&gt;"",E3015&lt;&gt;"!!!"),"NEW","")))</f>
        <v/>
      </c>
      <c r="G3015" s="26" t="str">
        <f aca="false">IF(OR(E3015="",E3015="!!!"),"",IF(OR(J3015=0,AND(J3015=1,K3015=1),AND(J3015=1,I3015="SBJ"),AND(J3015=1,I3015=0)),"?IN_FOCUS",IF(J3015&lt;=2,"?ACTIVATED",IF(J3015&lt;&gt;"","?FAMILIAR",IF(F3015="NEW",IF(ISNA(VLOOKUP(E3015,#REF!,1,FALSE())),"?TYPE_IDENTIFIABLE","?REFERENTIAL"),"_")))))</f>
        <v/>
      </c>
      <c r="H3015" s="27" t="str">
        <f aca="false">IF(J3015&lt;&gt;1,"",IF(I3015="SBJ","CB","?"))</f>
        <v/>
      </c>
      <c r="I3015" s="24" t="str">
        <f aca="false">IF(OR(E3015="",E3015="!!!",F3015="NEW"),"",INDEX(B3:B$3013,-1+SUMPRODUCT(MAX(ROW(E3:E$3013)*(E3015=E3:E$3013)))))</f>
        <v/>
      </c>
      <c r="J3015" s="24" t="str">
        <f aca="true">IF(OR(E3015="",E3015="!!!",F3015="NEW"),"",COUNTBLANK(OFFSET(A$1,,,SUMPRODUCT(MAX(ROW(E$2:E3015)*(E3015=E$2:E3015)))))-COUNTBLANK(OFFSET(A$1,,,SUMPRODUCT(MAX(ROW(E$1:E3014)*(E2=E$1:E3014))))))</f>
        <v/>
      </c>
      <c r="K3015" s="24" t="str">
        <f aca="false">IF(OR(E3015="",E3015="!!!",F3015="NEW"),"",INDEX(J$1:J3014,SUMPRODUCT(MAX(ROW(E$1:E3014)*(E3015=E$1:E3014)))))</f>
        <v/>
      </c>
      <c r="L3015" s="31"/>
    </row>
    <row r="3016" customFormat="false" ht="15" hidden="false" customHeight="false" outlineLevel="0" collapsed="false">
      <c r="A3016" s="20"/>
    </row>
    <row r="3017" customFormat="false" ht="15" hidden="false" customHeight="false" outlineLevel="0" collapsed="false">
      <c r="A3017" s="20" t="s">
        <v>2079</v>
      </c>
    </row>
    <row r="3018" customFormat="false" ht="15" hidden="false" customHeight="false" outlineLevel="0" collapsed="false">
      <c r="A3018" s="20" t="s">
        <v>2080</v>
      </c>
      <c r="E3018" s="23" t="str">
        <f aca="false">IF(D3018="?OLD","!!!","")</f>
        <v/>
      </c>
      <c r="F3018" s="25" t="str">
        <f aca="false">IF(OR(E3018="",E3018="!!!"),"",IF(NOT(ISNA(VLOOKUP(E3018,E$1:E3017,1,FALSE()))),"OLD",IF(AND(E3018&lt;&gt;"",E3018&lt;&gt;"!!!"),"NEW","")))</f>
        <v/>
      </c>
      <c r="G3018" s="26" t="str">
        <f aca="false">IF(OR(E3018="",E3018="!!!"),"",IF(OR(J3018=0,AND(J3018=1,K3018=1),AND(J3018=1,I3018="SBJ"),AND(J3018=1,I3018=0)),"?IN_FOCUS",IF(J3018&lt;=2,"?ACTIVATED",IF(J3018&lt;&gt;"","?FAMILIAR",IF(F3018="NEW",IF(ISNA(VLOOKUP(E3018,#REF!,1,FALSE())),"?TYPE_IDENTIFIABLE","?REFERENTIAL"),"_")))))</f>
        <v/>
      </c>
      <c r="H3018" s="27" t="str">
        <f aca="false">IF(J3018&lt;&gt;1,"",IF(I3018="SBJ","CB","?"))</f>
        <v/>
      </c>
      <c r="I3018" s="24" t="str">
        <f aca="false">IF(OR(E3018="",E3018="!!!",F3018="NEW"),"",INDEX(B2:B$3017,-1+SUMPRODUCT(MAX(ROW(E2:E$3017)*(E3018=E2:E$3017)))))</f>
        <v/>
      </c>
      <c r="J3018" s="24" t="str">
        <f aca="true">IF(OR(E3018="",E3018="!!!",F3018="NEW"),"",COUNTBLANK(OFFSET(A$1,,,SUMPRODUCT(MAX(ROW(E$2:E3018)*(E3018=E$2:E3018)))))-COUNTBLANK(OFFSET(A$1,,,SUMPRODUCT(MAX(ROW(E$1:E3017)*(E2=E$1:E3017))))))</f>
        <v/>
      </c>
      <c r="K3018" s="24" t="str">
        <f aca="false">IF(OR(E3018="",E3018="!!!",F3018="NEW"),"",INDEX(J$1:J3017,SUMPRODUCT(MAX(ROW(E$1:E3017)*(E3018=E$1:E3017)))))</f>
        <v/>
      </c>
      <c r="L3018" s="31"/>
    </row>
    <row r="3019" customFormat="false" ht="15" hidden="false" customHeight="false" outlineLevel="0" collapsed="false">
      <c r="A3019" s="20" t="s">
        <v>1076</v>
      </c>
      <c r="E3019" s="23" t="str">
        <f aca="false">IF(D3019="?OLD","!!!","")</f>
        <v/>
      </c>
      <c r="F3019" s="25" t="str">
        <f aca="false">IF(OR(E3019="",E3019="!!!"),"",IF(NOT(ISNA(VLOOKUP(E3019,E$1:E3018,1,FALSE()))),"OLD",IF(AND(E3019&lt;&gt;"",E3019&lt;&gt;"!!!"),"NEW","")))</f>
        <v/>
      </c>
      <c r="G3019" s="26" t="str">
        <f aca="false">IF(OR(E3019="",E3019="!!!"),"",IF(OR(J3019=0,AND(J3019=1,K3019=1),AND(J3019=1,I3019="SBJ"),AND(J3019=1,I3019=0)),"?IN_FOCUS",IF(J3019&lt;=2,"?ACTIVATED",IF(J3019&lt;&gt;"","?FAMILIAR",IF(F3019="NEW",IF(ISNA(VLOOKUP(E3019,#REF!,1,FALSE())),"?TYPE_IDENTIFIABLE","?REFERENTIAL"),"_")))))</f>
        <v/>
      </c>
      <c r="H3019" s="27" t="str">
        <f aca="false">IF(J3019&lt;&gt;1,"",IF(I3019="SBJ","CB","?"))</f>
        <v/>
      </c>
      <c r="I3019" s="24" t="str">
        <f aca="false">IF(OR(E3019="",E3019="!!!",F3019="NEW"),"",INDEX(B3:B$3017,-1+SUMPRODUCT(MAX(ROW(E3:E$3017)*(E3019=E3:E$3017)))))</f>
        <v/>
      </c>
      <c r="J3019" s="24" t="str">
        <f aca="true">IF(OR(E3019="",E3019="!!!",F3019="NEW"),"",COUNTBLANK(OFFSET(A$1,,,SUMPRODUCT(MAX(ROW(E$2:E3019)*(E3019=E$2:E3019)))))-COUNTBLANK(OFFSET(A$1,,,SUMPRODUCT(MAX(ROW(E$1:E3018)*(E2=E$1:E3018))))))</f>
        <v/>
      </c>
      <c r="K3019" s="24" t="str">
        <f aca="false">IF(OR(E3019="",E3019="!!!",F3019="NEW"),"",INDEX(J$1:J3018,SUMPRODUCT(MAX(ROW(E$1:E3018)*(E3019=E$1:E3018)))))</f>
        <v/>
      </c>
      <c r="L3019" s="31"/>
    </row>
    <row r="3020" customFormat="false" ht="15" hidden="false" customHeight="false" outlineLevel="0" collapsed="false">
      <c r="A3020" s="20" t="s">
        <v>1383</v>
      </c>
      <c r="E3020" s="23" t="str">
        <f aca="false">IF(D3020="?OLD","!!!","")</f>
        <v/>
      </c>
      <c r="F3020" s="25" t="str">
        <f aca="false">IF(OR(E3020="",E3020="!!!"),"",IF(NOT(ISNA(VLOOKUP(E3020,E$1:E3019,1,FALSE()))),"OLD",IF(AND(E3020&lt;&gt;"",E3020&lt;&gt;"!!!"),"NEW","")))</f>
        <v/>
      </c>
      <c r="G3020" s="26" t="str">
        <f aca="false">IF(OR(E3020="",E3020="!!!"),"",IF(OR(J3020=0,AND(J3020=1,K3020=1),AND(J3020=1,I3020="SBJ"),AND(J3020=1,I3020=0)),"?IN_FOCUS",IF(J3020&lt;=2,"?ACTIVATED",IF(J3020&lt;&gt;"","?FAMILIAR",IF(F3020="NEW",IF(ISNA(VLOOKUP(E3020,#REF!,1,FALSE())),"?TYPE_IDENTIFIABLE","?REFERENTIAL"),"_")))))</f>
        <v/>
      </c>
      <c r="H3020" s="27" t="str">
        <f aca="false">IF(J3020&lt;&gt;1,"",IF(I3020="SBJ","CB","?"))</f>
        <v/>
      </c>
      <c r="I3020" s="24" t="str">
        <f aca="false">IF(OR(E3020="",E3020="!!!",F3020="NEW"),"",INDEX(B4:B$3017,-1+SUMPRODUCT(MAX(ROW(E4:E$3017)*(E3020=E4:E$3017)))))</f>
        <v/>
      </c>
      <c r="J3020" s="24" t="str">
        <f aca="true">IF(OR(E3020="",E3020="!!!",F3020="NEW"),"",COUNTBLANK(OFFSET(A$1,,,SUMPRODUCT(MAX(ROW(E$2:E3020)*(E3020=E$2:E3020)))))-COUNTBLANK(OFFSET(A$1,,,SUMPRODUCT(MAX(ROW(E$1:E3019)*(E2=E$1:E3019))))))</f>
        <v/>
      </c>
      <c r="K3020" s="24" t="str">
        <f aca="false">IF(OR(E3020="",E3020="!!!",F3020="NEW"),"",INDEX(J$1:J3019,SUMPRODUCT(MAX(ROW(E$1:E3019)*(E3020=E$1:E3019)))))</f>
        <v/>
      </c>
      <c r="L3020" s="31"/>
    </row>
    <row r="3021" customFormat="false" ht="15" hidden="false" customHeight="false" outlineLevel="0" collapsed="false">
      <c r="A3021" s="20" t="s">
        <v>1304</v>
      </c>
      <c r="B3021" s="22" t="s">
        <v>1058</v>
      </c>
      <c r="C3021" s="22" t="s">
        <v>1082</v>
      </c>
      <c r="D3021" s="22" t="s">
        <v>1060</v>
      </c>
      <c r="E3021" s="23" t="str">
        <f aca="false">IF(D3021="?OLD","!!!","")</f>
        <v>!!!</v>
      </c>
      <c r="F3021" s="25" t="str">
        <f aca="false">IF(OR(E3021="",E3021="!!!"),"",IF(NOT(ISNA(VLOOKUP(E3021,E$1:E3020,1,FALSE()))),"OLD",IF(AND(E3021&lt;&gt;"",E3021&lt;&gt;"!!!"),"NEW","")))</f>
        <v/>
      </c>
      <c r="G3021" s="26" t="str">
        <f aca="false">IF(OR(E3021="",E3021="!!!"),"",IF(OR(J3021=0,AND(J3021=1,K3021=1),AND(J3021=1,I3021="SBJ"),AND(J3021=1,I3021=0)),"?IN_FOCUS",IF(J3021&lt;=2,"?ACTIVATED",IF(J3021&lt;&gt;"","?FAMILIAR",IF(F3021="NEW",IF(ISNA(VLOOKUP(E3021,#REF!,1,FALSE())),"?TYPE_IDENTIFIABLE","?REFERENTIAL"),"_")))))</f>
        <v/>
      </c>
      <c r="H3021" s="27" t="str">
        <f aca="false">IF(J3021&lt;&gt;1,"",IF(I3021="SBJ","CB","?"))</f>
        <v/>
      </c>
      <c r="I3021" s="24" t="str">
        <f aca="false">IF(OR(E3021="",E3021="!!!",F3021="NEW"),"",INDEX(B5:B$3017,-1+SUMPRODUCT(MAX(ROW(E5:E$3017)*(E3021=E5:E$3017)))))</f>
        <v/>
      </c>
      <c r="J3021" s="24" t="str">
        <f aca="true">IF(OR(E3021="",E3021="!!!",F3021="NEW"),"",COUNTBLANK(OFFSET(A$1,,,SUMPRODUCT(MAX(ROW(E$2:E3021)*(E3021=E$2:E3021)))))-COUNTBLANK(OFFSET(A$1,,,SUMPRODUCT(MAX(ROW(E$1:E3020)*(E2=E$1:E3020))))))</f>
        <v/>
      </c>
      <c r="K3021" s="24" t="str">
        <f aca="false">IF(OR(E3021="",E3021="!!!",F3021="NEW"),"",INDEX(J$1:J3020,SUMPRODUCT(MAX(ROW(E$1:E3020)*(E3021=E$1:E3020)))))</f>
        <v/>
      </c>
      <c r="L3021" s="31"/>
    </row>
    <row r="3022" customFormat="false" ht="15" hidden="false" customHeight="false" outlineLevel="0" collapsed="false">
      <c r="A3022" s="20" t="s">
        <v>1393</v>
      </c>
      <c r="E3022" s="23" t="str">
        <f aca="false">IF(D3022="?OLD","!!!","")</f>
        <v/>
      </c>
      <c r="F3022" s="25" t="str">
        <f aca="false">IF(OR(E3022="",E3022="!!!"),"",IF(NOT(ISNA(VLOOKUP(E3022,E$1:E3021,1,FALSE()))),"OLD",IF(AND(E3022&lt;&gt;"",E3022&lt;&gt;"!!!"),"NEW","")))</f>
        <v/>
      </c>
      <c r="G3022" s="26" t="str">
        <f aca="false">IF(OR(E3022="",E3022="!!!"),"",IF(OR(J3022=0,AND(J3022=1,K3022=1),AND(J3022=1,I3022="SBJ"),AND(J3022=1,I3022=0)),"?IN_FOCUS",IF(J3022&lt;=2,"?ACTIVATED",IF(J3022&lt;&gt;"","?FAMILIAR",IF(F3022="NEW",IF(ISNA(VLOOKUP(E3022,#REF!,1,FALSE())),"?TYPE_IDENTIFIABLE","?REFERENTIAL"),"_")))))</f>
        <v/>
      </c>
      <c r="H3022" s="27" t="str">
        <f aca="false">IF(J3022&lt;&gt;1,"",IF(I3022="SBJ","CB","?"))</f>
        <v/>
      </c>
      <c r="I3022" s="24" t="str">
        <f aca="false">IF(OR(E3022="",E3022="!!!",F3022="NEW"),"",INDEX(B6:B$3017,-1+SUMPRODUCT(MAX(ROW(E6:E$3017)*(E3022=E6:E$3017)))))</f>
        <v/>
      </c>
      <c r="J3022" s="24" t="str">
        <f aca="true">IF(OR(E3022="",E3022="!!!",F3022="NEW"),"",COUNTBLANK(OFFSET(A$1,,,SUMPRODUCT(MAX(ROW(E$2:E3022)*(E3022=E$2:E3022)))))-COUNTBLANK(OFFSET(A$1,,,SUMPRODUCT(MAX(ROW(E$1:E3021)*(E2=E$1:E3021))))))</f>
        <v/>
      </c>
      <c r="K3022" s="24" t="str">
        <f aca="false">IF(OR(E3022="",E3022="!!!",F3022="NEW"),"",INDEX(J$1:J3021,SUMPRODUCT(MAX(ROW(E$1:E3021)*(E3022=E$1:E3021)))))</f>
        <v/>
      </c>
      <c r="L3022" s="31"/>
    </row>
    <row r="3023" customFormat="false" ht="15" hidden="false" customHeight="false" outlineLevel="0" collapsed="false">
      <c r="A3023" s="20" t="s">
        <v>591</v>
      </c>
      <c r="E3023" s="23" t="str">
        <f aca="false">IF(D3023="?OLD","!!!","")</f>
        <v/>
      </c>
      <c r="F3023" s="25" t="str">
        <f aca="false">IF(OR(E3023="",E3023="!!!"),"",IF(NOT(ISNA(VLOOKUP(E3023,E$1:E3022,1,FALSE()))),"OLD",IF(AND(E3023&lt;&gt;"",E3023&lt;&gt;"!!!"),"NEW","")))</f>
        <v/>
      </c>
      <c r="G3023" s="26" t="str">
        <f aca="false">IF(OR(E3023="",E3023="!!!"),"",IF(OR(J3023=0,AND(J3023=1,K3023=1),AND(J3023=1,I3023="SBJ"),AND(J3023=1,I3023=0)),"?IN_FOCUS",IF(J3023&lt;=2,"?ACTIVATED",IF(J3023&lt;&gt;"","?FAMILIAR",IF(F3023="NEW",IF(ISNA(VLOOKUP(E3023,#REF!,1,FALSE())),"?TYPE_IDENTIFIABLE","?REFERENTIAL"),"_")))))</f>
        <v/>
      </c>
      <c r="H3023" s="27" t="str">
        <f aca="false">IF(J3023&lt;&gt;1,"",IF(I3023="SBJ","CB","?"))</f>
        <v/>
      </c>
      <c r="I3023" s="24" t="str">
        <f aca="false">IF(OR(E3023="",E3023="!!!",F3023="NEW"),"",INDEX(B7:B$3017,-1+SUMPRODUCT(MAX(ROW(E7:E$3017)*(E3023=E7:E$3017)))))</f>
        <v/>
      </c>
      <c r="J3023" s="24" t="str">
        <f aca="true">IF(OR(E3023="",E3023="!!!",F3023="NEW"),"",COUNTBLANK(OFFSET(A$1,,,SUMPRODUCT(MAX(ROW(E$2:E3023)*(E3023=E$2:E3023)))))-COUNTBLANK(OFFSET(A$1,,,SUMPRODUCT(MAX(ROW(E$1:E3022)*(E2=E$1:E3022))))))</f>
        <v/>
      </c>
      <c r="K3023" s="24" t="str">
        <f aca="false">IF(OR(E3023="",E3023="!!!",F3023="NEW"),"",INDEX(J$1:J3022,SUMPRODUCT(MAX(ROW(E$1:E3022)*(E3023=E$1:E3022)))))</f>
        <v/>
      </c>
      <c r="L3023" s="31"/>
    </row>
    <row r="3024" customFormat="false" ht="15" hidden="false" customHeight="false" outlineLevel="0" collapsed="false">
      <c r="A3024" s="20" t="s">
        <v>1231</v>
      </c>
      <c r="B3024" s="22" t="s">
        <v>1081</v>
      </c>
      <c r="C3024" s="22" t="s">
        <v>1082</v>
      </c>
      <c r="D3024" s="22" t="s">
        <v>1060</v>
      </c>
      <c r="E3024" s="23" t="str">
        <f aca="false">IF(D3024="?OLD","!!!","")</f>
        <v>!!!</v>
      </c>
      <c r="F3024" s="25" t="str">
        <f aca="false">IF(OR(E3024="",E3024="!!!"),"",IF(NOT(ISNA(VLOOKUP(E3024,E$1:E3023,1,FALSE()))),"OLD",IF(AND(E3024&lt;&gt;"",E3024&lt;&gt;"!!!"),"NEW","")))</f>
        <v/>
      </c>
      <c r="G3024" s="26" t="str">
        <f aca="false">IF(OR(E3024="",E3024="!!!"),"",IF(OR(J3024=0,AND(J3024=1,K3024=1),AND(J3024=1,I3024="SBJ"),AND(J3024=1,I3024=0)),"?IN_FOCUS",IF(J3024&lt;=2,"?ACTIVATED",IF(J3024&lt;&gt;"","?FAMILIAR",IF(F3024="NEW",IF(ISNA(VLOOKUP(E3024,#REF!,1,FALSE())),"?TYPE_IDENTIFIABLE","?REFERENTIAL"),"_")))))</f>
        <v/>
      </c>
      <c r="H3024" s="27" t="str">
        <f aca="false">IF(J3024&lt;&gt;1,"",IF(I3024="SBJ","CB","?"))</f>
        <v/>
      </c>
      <c r="I3024" s="24" t="str">
        <f aca="false">IF(OR(E3024="",E3024="!!!",F3024="NEW"),"",INDEX(B8:B$3017,-1+SUMPRODUCT(MAX(ROW(E8:E$3017)*(E3024=E8:E$3017)))))</f>
        <v/>
      </c>
      <c r="J3024" s="24" t="str">
        <f aca="true">IF(OR(E3024="",E3024="!!!",F3024="NEW"),"",COUNTBLANK(OFFSET(A$1,,,SUMPRODUCT(MAX(ROW(E$2:E3024)*(E3024=E$2:E3024)))))-COUNTBLANK(OFFSET(A$1,,,SUMPRODUCT(MAX(ROW(E$1:E3023)*(E2=E$1:E3023))))))</f>
        <v/>
      </c>
      <c r="K3024" s="24" t="str">
        <f aca="false">IF(OR(E3024="",E3024="!!!",F3024="NEW"),"",INDEX(J$1:J3023,SUMPRODUCT(MAX(ROW(E$1:E3023)*(E3024=E$1:E3023)))))</f>
        <v/>
      </c>
      <c r="L3024" s="31"/>
    </row>
    <row r="3025" customFormat="false" ht="15" hidden="false" customHeight="false" outlineLevel="0" collapsed="false">
      <c r="A3025" s="20" t="s">
        <v>1280</v>
      </c>
      <c r="E3025" s="23" t="str">
        <f aca="false">IF(D3025="?OLD","!!!","")</f>
        <v/>
      </c>
      <c r="F3025" s="25" t="str">
        <f aca="false">IF(OR(E3025="",E3025="!!!"),"",IF(NOT(ISNA(VLOOKUP(E3025,E$1:E3024,1,FALSE()))),"OLD",IF(AND(E3025&lt;&gt;"",E3025&lt;&gt;"!!!"),"NEW","")))</f>
        <v/>
      </c>
      <c r="G3025" s="26" t="str">
        <f aca="false">IF(OR(E3025="",E3025="!!!"),"",IF(OR(J3025=0,AND(J3025=1,K3025=1),AND(J3025=1,I3025="SBJ"),AND(J3025=1,I3025=0)),"?IN_FOCUS",IF(J3025&lt;=2,"?ACTIVATED",IF(J3025&lt;&gt;"","?FAMILIAR",IF(F3025="NEW",IF(ISNA(VLOOKUP(E3025,#REF!,1,FALSE())),"?TYPE_IDENTIFIABLE","?REFERENTIAL"),"_")))))</f>
        <v/>
      </c>
      <c r="H3025" s="27" t="str">
        <f aca="false">IF(J3025&lt;&gt;1,"",IF(I3025="SBJ","CB","?"))</f>
        <v/>
      </c>
      <c r="I3025" s="24" t="str">
        <f aca="false">IF(OR(E3025="",E3025="!!!",F3025="NEW"),"",INDEX(B9:B$3017,-1+SUMPRODUCT(MAX(ROW(E9:E$3017)*(E3025=E9:E$3017)))))</f>
        <v/>
      </c>
      <c r="J3025" s="24" t="str">
        <f aca="true">IF(OR(E3025="",E3025="!!!",F3025="NEW"),"",COUNTBLANK(OFFSET(A$1,,,SUMPRODUCT(MAX(ROW(E$2:E3025)*(E3025=E$2:E3025)))))-COUNTBLANK(OFFSET(A$1,,,SUMPRODUCT(MAX(ROW(E$1:E3024)*(E2=E$1:E3024))))))</f>
        <v/>
      </c>
      <c r="K3025" s="24" t="str">
        <f aca="false">IF(OR(E3025="",E3025="!!!",F3025="NEW"),"",INDEX(J$1:J3024,SUMPRODUCT(MAX(ROW(E$1:E3024)*(E3025=E$1:E3024)))))</f>
        <v/>
      </c>
      <c r="L3025" s="31"/>
    </row>
    <row r="3026" customFormat="false" ht="15" hidden="false" customHeight="false" outlineLevel="0" collapsed="false">
      <c r="A3026" s="20" t="s">
        <v>923</v>
      </c>
      <c r="E3026" s="23" t="str">
        <f aca="false">IF(D3026="?OLD","!!!","")</f>
        <v/>
      </c>
      <c r="F3026" s="25" t="str">
        <f aca="false">IF(OR(E3026="",E3026="!!!"),"",IF(NOT(ISNA(VLOOKUP(E3026,E$1:E3025,1,FALSE()))),"OLD",IF(AND(E3026&lt;&gt;"",E3026&lt;&gt;"!!!"),"NEW","")))</f>
        <v/>
      </c>
      <c r="G3026" s="26" t="str">
        <f aca="false">IF(OR(E3026="",E3026="!!!"),"",IF(OR(J3026=0,AND(J3026=1,K3026=1),AND(J3026=1,I3026="SBJ"),AND(J3026=1,I3026=0)),"?IN_FOCUS",IF(J3026&lt;=2,"?ACTIVATED",IF(J3026&lt;&gt;"","?FAMILIAR",IF(F3026="NEW",IF(ISNA(VLOOKUP(E3026,#REF!,1,FALSE())),"?TYPE_IDENTIFIABLE","?REFERENTIAL"),"_")))))</f>
        <v/>
      </c>
      <c r="H3026" s="27" t="str">
        <f aca="false">IF(J3026&lt;&gt;1,"",IF(I3026="SBJ","CB","?"))</f>
        <v/>
      </c>
      <c r="I3026" s="24" t="str">
        <f aca="false">IF(OR(E3026="",E3026="!!!",F3026="NEW"),"",INDEX(B10:B$3017,-1+SUMPRODUCT(MAX(ROW(E10:E$3017)*(E3026=E10:E$3017)))))</f>
        <v/>
      </c>
      <c r="J3026" s="24" t="str">
        <f aca="true">IF(OR(E3026="",E3026="!!!",F3026="NEW"),"",COUNTBLANK(OFFSET(A$1,,,SUMPRODUCT(MAX(ROW(E$2:E3026)*(E3026=E$2:E3026)))))-COUNTBLANK(OFFSET(A$1,,,SUMPRODUCT(MAX(ROW(E$1:E3025)*(E2=E$1:E3025))))))</f>
        <v/>
      </c>
      <c r="K3026" s="24" t="str">
        <f aca="false">IF(OR(E3026="",E3026="!!!",F3026="NEW"),"",INDEX(J$1:J3025,SUMPRODUCT(MAX(ROW(E$1:E3025)*(E3026=E$1:E3025)))))</f>
        <v/>
      </c>
      <c r="L3026" s="31"/>
    </row>
    <row r="3027" customFormat="false" ht="15" hidden="false" customHeight="false" outlineLevel="0" collapsed="false">
      <c r="A3027" s="20"/>
    </row>
    <row r="3028" customFormat="false" ht="15" hidden="false" customHeight="false" outlineLevel="0" collapsed="false">
      <c r="A3028" s="20" t="s">
        <v>1301</v>
      </c>
      <c r="E3028" s="23" t="str">
        <f aca="false">IF(D3028="?OLD","!!!","")</f>
        <v/>
      </c>
      <c r="F3028" s="25" t="str">
        <f aca="false">IF(OR(E3028="",E3028="!!!"),"",IF(NOT(ISNA(VLOOKUP(E3028,E$1:E3027,1,FALSE()))),"OLD",IF(AND(E3028&lt;&gt;"",E3028&lt;&gt;"!!!"),"NEW","")))</f>
        <v/>
      </c>
      <c r="G3028" s="26" t="str">
        <f aca="false">IF(OR(E3028="",E3028="!!!"),"",IF(OR(J3028=0,AND(J3028=1,K3028=1),AND(J3028=1,I3028="SBJ"),AND(J3028=1,I3028=0)),"?IN_FOCUS",IF(J3028&lt;=2,"?ACTIVATED",IF(J3028&lt;&gt;"","?FAMILIAR",IF(F3028="NEW",IF(ISNA(VLOOKUP(E3028,#REF!,1,FALSE())),"?TYPE_IDENTIFIABLE","?REFERENTIAL"),"_")))))</f>
        <v/>
      </c>
      <c r="H3028" s="27" t="str">
        <f aca="false">IF(J3028&lt;&gt;1,"",IF(I3028="SBJ","CB","?"))</f>
        <v/>
      </c>
      <c r="I3028" s="24" t="str">
        <f aca="false">IF(OR(E3028="",E3028="!!!",F3028="NEW"),"",INDEX(B2:B$3027,-1+SUMPRODUCT(MAX(ROW(E2:E$3027)*(E3028=E2:E$3027)))))</f>
        <v/>
      </c>
      <c r="J3028" s="24" t="str">
        <f aca="true">IF(OR(E3028="",E3028="!!!",F3028="NEW"),"",COUNTBLANK(OFFSET(A$1,,,SUMPRODUCT(MAX(ROW(E$2:E3028)*(E3028=E$2:E3028)))))-COUNTBLANK(OFFSET(A$1,,,SUMPRODUCT(MAX(ROW(E$1:E3027)*(E2=E$1:E3027))))))</f>
        <v/>
      </c>
      <c r="K3028" s="24" t="str">
        <f aca="false">IF(OR(E3028="",E3028="!!!",F3028="NEW"),"",INDEX(J$1:J3027,SUMPRODUCT(MAX(ROW(E$1:E3027)*(E3028=E$1:E3027)))))</f>
        <v/>
      </c>
      <c r="L3028" s="31"/>
    </row>
    <row r="3029" customFormat="false" ht="15" hidden="false" customHeight="false" outlineLevel="0" collapsed="false">
      <c r="A3029" s="20" t="s">
        <v>2081</v>
      </c>
    </row>
    <row r="3030" customFormat="false" ht="15" hidden="false" customHeight="false" outlineLevel="0" collapsed="false">
      <c r="A3030" s="20" t="s">
        <v>1342</v>
      </c>
      <c r="B3030" s="22" t="s">
        <v>1081</v>
      </c>
      <c r="C3030" s="22" t="s">
        <v>1202</v>
      </c>
      <c r="E3030" s="23" t="str">
        <f aca="false">IF(D3030="?OLD","!!!","")</f>
        <v/>
      </c>
      <c r="F3030" s="25" t="str">
        <f aca="false">IF(OR(E3030="",E3030="!!!"),"",IF(NOT(ISNA(VLOOKUP(E3030,E$1:E3029,1,FALSE()))),"OLD",IF(AND(E3030&lt;&gt;"",E3030&lt;&gt;"!!!"),"NEW","")))</f>
        <v/>
      </c>
      <c r="G3030" s="26" t="str">
        <f aca="false">IF(OR(E3030="",E3030="!!!"),"",IF(OR(J3030=0,AND(J3030=1,K3030=1),AND(J3030=1,I3030="SBJ"),AND(J3030=1,I3030=0)),"?IN_FOCUS",IF(J3030&lt;=2,"?ACTIVATED",IF(J3030&lt;&gt;"","?FAMILIAR",IF(F3030="NEW",IF(ISNA(VLOOKUP(E3030,#REF!,1,FALSE())),"?TYPE_IDENTIFIABLE","?REFERENTIAL"),"_")))))</f>
        <v/>
      </c>
      <c r="H3030" s="27" t="str">
        <f aca="false">IF(J3030&lt;&gt;1,"",IF(I3030="SBJ","CB","?"))</f>
        <v/>
      </c>
      <c r="I3030" s="24" t="str">
        <f aca="false">IF(OR(E3030="",E3030="!!!",F3030="NEW"),"",INDEX(B2:B$3029,-1+SUMPRODUCT(MAX(ROW(E2:E$3029)*(E3030=E2:E$3029)))))</f>
        <v/>
      </c>
      <c r="J3030" s="24" t="str">
        <f aca="true">IF(OR(E3030="",E3030="!!!",F3030="NEW"),"",COUNTBLANK(OFFSET(A$1,,,SUMPRODUCT(MAX(ROW(E$2:E3030)*(E3030=E$2:E3030)))))-COUNTBLANK(OFFSET(A$1,,,SUMPRODUCT(MAX(ROW(E$1:E3029)*(E2=E$1:E3029))))))</f>
        <v/>
      </c>
      <c r="K3030" s="24" t="str">
        <f aca="false">IF(OR(E3030="",E3030="!!!",F3030="NEW"),"",INDEX(J$1:J3029,SUMPRODUCT(MAX(ROW(E$1:E3029)*(E3030=E$1:E3029)))))</f>
        <v/>
      </c>
      <c r="L3030" s="31"/>
    </row>
    <row r="3031" customFormat="false" ht="15" hidden="false" customHeight="false" outlineLevel="0" collapsed="false">
      <c r="A3031" s="20" t="s">
        <v>621</v>
      </c>
      <c r="E3031" s="23" t="str">
        <f aca="false">IF(D3031="?OLD","!!!","")</f>
        <v/>
      </c>
      <c r="F3031" s="25" t="str">
        <f aca="false">IF(OR(E3031="",E3031="!!!"),"",IF(NOT(ISNA(VLOOKUP(E3031,E$1:E3030,1,FALSE()))),"OLD",IF(AND(E3031&lt;&gt;"",E3031&lt;&gt;"!!!"),"NEW","")))</f>
        <v/>
      </c>
      <c r="G3031" s="26" t="str">
        <f aca="false">IF(OR(E3031="",E3031="!!!"),"",IF(OR(J3031=0,AND(J3031=1,K3031=1),AND(J3031=1,I3031="SBJ"),AND(J3031=1,I3031=0)),"?IN_FOCUS",IF(J3031&lt;=2,"?ACTIVATED",IF(J3031&lt;&gt;"","?FAMILIAR",IF(F3031="NEW",IF(ISNA(VLOOKUP(E3031,#REF!,1,FALSE())),"?TYPE_IDENTIFIABLE","?REFERENTIAL"),"_")))))</f>
        <v/>
      </c>
      <c r="H3031" s="27" t="str">
        <f aca="false">IF(J3031&lt;&gt;1,"",IF(I3031="SBJ","CB","?"))</f>
        <v/>
      </c>
      <c r="I3031" s="24" t="str">
        <f aca="false">IF(OR(E3031="",E3031="!!!",F3031="NEW"),"",INDEX(B3:B$3029,-1+SUMPRODUCT(MAX(ROW(E3:E$3029)*(E3031=E3:E$3029)))))</f>
        <v/>
      </c>
      <c r="J3031" s="24" t="str">
        <f aca="true">IF(OR(E3031="",E3031="!!!",F3031="NEW"),"",COUNTBLANK(OFFSET(A$1,,,SUMPRODUCT(MAX(ROW(E$2:E3031)*(E3031=E$2:E3031)))))-COUNTBLANK(OFFSET(A$1,,,SUMPRODUCT(MAX(ROW(E$1:E3030)*(E2=E$1:E3030))))))</f>
        <v/>
      </c>
      <c r="K3031" s="24" t="str">
        <f aca="false">IF(OR(E3031="",E3031="!!!",F3031="NEW"),"",INDEX(J$1:J3030,SUMPRODUCT(MAX(ROW(E$1:E3030)*(E3031=E$1:E3030)))))</f>
        <v/>
      </c>
      <c r="L3031" s="31"/>
    </row>
    <row r="3032" customFormat="false" ht="15" hidden="false" customHeight="false" outlineLevel="0" collapsed="false">
      <c r="A3032" s="20" t="s">
        <v>1304</v>
      </c>
      <c r="B3032" s="22" t="s">
        <v>1058</v>
      </c>
      <c r="C3032" s="22" t="s">
        <v>1082</v>
      </c>
      <c r="D3032" s="22" t="s">
        <v>1060</v>
      </c>
      <c r="E3032" s="23" t="str">
        <f aca="false">IF(D3032="?OLD","!!!","")</f>
        <v>!!!</v>
      </c>
      <c r="F3032" s="25" t="str">
        <f aca="false">IF(OR(E3032="",E3032="!!!"),"",IF(NOT(ISNA(VLOOKUP(E3032,E$1:E3031,1,FALSE()))),"OLD",IF(AND(E3032&lt;&gt;"",E3032&lt;&gt;"!!!"),"NEW","")))</f>
        <v/>
      </c>
      <c r="G3032" s="26" t="str">
        <f aca="false">IF(OR(E3032="",E3032="!!!"),"",IF(OR(J3032=0,AND(J3032=1,K3032=1),AND(J3032=1,I3032="SBJ"),AND(J3032=1,I3032=0)),"?IN_FOCUS",IF(J3032&lt;=2,"?ACTIVATED",IF(J3032&lt;&gt;"","?FAMILIAR",IF(F3032="NEW",IF(ISNA(VLOOKUP(E3032,#REF!,1,FALSE())),"?TYPE_IDENTIFIABLE","?REFERENTIAL"),"_")))))</f>
        <v/>
      </c>
      <c r="H3032" s="27" t="str">
        <f aca="false">IF(J3032&lt;&gt;1,"",IF(I3032="SBJ","CB","?"))</f>
        <v/>
      </c>
      <c r="I3032" s="24" t="str">
        <f aca="false">IF(OR(E3032="",E3032="!!!",F3032="NEW"),"",INDEX(B4:B$3029,-1+SUMPRODUCT(MAX(ROW(E4:E$3029)*(E3032=E4:E$3029)))))</f>
        <v/>
      </c>
      <c r="J3032" s="24" t="str">
        <f aca="true">IF(OR(E3032="",E3032="!!!",F3032="NEW"),"",COUNTBLANK(OFFSET(A$1,,,SUMPRODUCT(MAX(ROW(E$2:E3032)*(E3032=E$2:E3032)))))-COUNTBLANK(OFFSET(A$1,,,SUMPRODUCT(MAX(ROW(E$1:E3031)*(E2=E$1:E3031))))))</f>
        <v/>
      </c>
      <c r="K3032" s="24" t="str">
        <f aca="false">IF(OR(E3032="",E3032="!!!",F3032="NEW"),"",INDEX(J$1:J3031,SUMPRODUCT(MAX(ROW(E$1:E3031)*(E3032=E$1:E3031)))))</f>
        <v/>
      </c>
      <c r="L3032" s="31"/>
    </row>
    <row r="3033" customFormat="false" ht="15" hidden="false" customHeight="false" outlineLevel="0" collapsed="false">
      <c r="A3033" s="20" t="s">
        <v>595</v>
      </c>
      <c r="E3033" s="23" t="str">
        <f aca="false">IF(D3033="?OLD","!!!","")</f>
        <v/>
      </c>
      <c r="F3033" s="25" t="str">
        <f aca="false">IF(OR(E3033="",E3033="!!!"),"",IF(NOT(ISNA(VLOOKUP(E3033,E$1:E3032,1,FALSE()))),"OLD",IF(AND(E3033&lt;&gt;"",E3033&lt;&gt;"!!!"),"NEW","")))</f>
        <v/>
      </c>
      <c r="G3033" s="26" t="str">
        <f aca="false">IF(OR(E3033="",E3033="!!!"),"",IF(OR(J3033=0,AND(J3033=1,K3033=1),AND(J3033=1,I3033="SBJ"),AND(J3033=1,I3033=0)),"?IN_FOCUS",IF(J3033&lt;=2,"?ACTIVATED",IF(J3033&lt;&gt;"","?FAMILIAR",IF(F3033="NEW",IF(ISNA(VLOOKUP(E3033,#REF!,1,FALSE())),"?TYPE_IDENTIFIABLE","?REFERENTIAL"),"_")))))</f>
        <v/>
      </c>
      <c r="H3033" s="27" t="str">
        <f aca="false">IF(J3033&lt;&gt;1,"",IF(I3033="SBJ","CB","?"))</f>
        <v/>
      </c>
      <c r="I3033" s="24" t="str">
        <f aca="false">IF(OR(E3033="",E3033="!!!",F3033="NEW"),"",INDEX(B5:B$3029,-1+SUMPRODUCT(MAX(ROW(E5:E$3029)*(E3033=E5:E$3029)))))</f>
        <v/>
      </c>
      <c r="J3033" s="24" t="str">
        <f aca="true">IF(OR(E3033="",E3033="!!!",F3033="NEW"),"",COUNTBLANK(OFFSET(A$1,,,SUMPRODUCT(MAX(ROW(E$2:E3033)*(E3033=E$2:E3033)))))-COUNTBLANK(OFFSET(A$1,,,SUMPRODUCT(MAX(ROW(E$1:E3032)*(E2=E$1:E3032))))))</f>
        <v/>
      </c>
      <c r="K3033" s="24" t="str">
        <f aca="false">IF(OR(E3033="",E3033="!!!",F3033="NEW"),"",INDEX(J$1:J3032,SUMPRODUCT(MAX(ROW(E$1:E3032)*(E3033=E$1:E3032)))))</f>
        <v/>
      </c>
      <c r="L3033" s="31"/>
    </row>
    <row r="3034" customFormat="false" ht="15" hidden="false" customHeight="false" outlineLevel="0" collapsed="false">
      <c r="A3034" s="20" t="s">
        <v>1095</v>
      </c>
      <c r="E3034" s="23" t="str">
        <f aca="false">IF(D3034="?OLD","!!!","")</f>
        <v/>
      </c>
      <c r="F3034" s="25" t="str">
        <f aca="false">IF(OR(E3034="",E3034="!!!"),"",IF(NOT(ISNA(VLOOKUP(E3034,E$1:E3033,1,FALSE()))),"OLD",IF(AND(E3034&lt;&gt;"",E3034&lt;&gt;"!!!"),"NEW","")))</f>
        <v/>
      </c>
      <c r="G3034" s="26" t="str">
        <f aca="false">IF(OR(E3034="",E3034="!!!"),"",IF(OR(J3034=0,AND(J3034=1,K3034=1),AND(J3034=1,I3034="SBJ"),AND(J3034=1,I3034=0)),"?IN_FOCUS",IF(J3034&lt;=2,"?ACTIVATED",IF(J3034&lt;&gt;"","?FAMILIAR",IF(F3034="NEW",IF(ISNA(VLOOKUP(E3034,#REF!,1,FALSE())),"?TYPE_IDENTIFIABLE","?REFERENTIAL"),"_")))))</f>
        <v/>
      </c>
      <c r="H3034" s="27" t="str">
        <f aca="false">IF(J3034&lt;&gt;1,"",IF(I3034="SBJ","CB","?"))</f>
        <v/>
      </c>
      <c r="I3034" s="24" t="str">
        <f aca="false">IF(OR(E3034="",E3034="!!!",F3034="NEW"),"",INDEX(B6:B$3029,-1+SUMPRODUCT(MAX(ROW(E6:E$3029)*(E3034=E6:E$3029)))))</f>
        <v/>
      </c>
      <c r="J3034" s="24" t="str">
        <f aca="true">IF(OR(E3034="",E3034="!!!",F3034="NEW"),"",COUNTBLANK(OFFSET(A$1,,,SUMPRODUCT(MAX(ROW(E$2:E3034)*(E3034=E$2:E3034)))))-COUNTBLANK(OFFSET(A$1,,,SUMPRODUCT(MAX(ROW(E$1:E3033)*(E2=E$1:E3033))))))</f>
        <v/>
      </c>
      <c r="K3034" s="24" t="str">
        <f aca="false">IF(OR(E3034="",E3034="!!!",F3034="NEW"),"",INDEX(J$1:J3033,SUMPRODUCT(MAX(ROW(E$1:E3033)*(E3034=E$1:E3033)))))</f>
        <v/>
      </c>
      <c r="L3034" s="31"/>
    </row>
    <row r="3035" customFormat="false" ht="15" hidden="false" customHeight="false" outlineLevel="0" collapsed="false">
      <c r="A3035" s="20" t="s">
        <v>621</v>
      </c>
      <c r="E3035" s="23" t="str">
        <f aca="false">IF(D3035="?OLD","!!!","")</f>
        <v/>
      </c>
      <c r="F3035" s="25" t="str">
        <f aca="false">IF(OR(E3035="",E3035="!!!"),"",IF(NOT(ISNA(VLOOKUP(E3035,E$1:E3034,1,FALSE()))),"OLD",IF(AND(E3035&lt;&gt;"",E3035&lt;&gt;"!!!"),"NEW","")))</f>
        <v/>
      </c>
      <c r="G3035" s="26" t="str">
        <f aca="false">IF(OR(E3035="",E3035="!!!"),"",IF(OR(J3035=0,AND(J3035=1,K3035=1),AND(J3035=1,I3035="SBJ"),AND(J3035=1,I3035=0)),"?IN_FOCUS",IF(J3035&lt;=2,"?ACTIVATED",IF(J3035&lt;&gt;"","?FAMILIAR",IF(F3035="NEW",IF(ISNA(VLOOKUP(E3035,#REF!,1,FALSE())),"?TYPE_IDENTIFIABLE","?REFERENTIAL"),"_")))))</f>
        <v/>
      </c>
      <c r="H3035" s="27" t="str">
        <f aca="false">IF(J3035&lt;&gt;1,"",IF(I3035="SBJ","CB","?"))</f>
        <v/>
      </c>
      <c r="I3035" s="24" t="str">
        <f aca="false">IF(OR(E3035="",E3035="!!!",F3035="NEW"),"",INDEX(B7:B$3029,-1+SUMPRODUCT(MAX(ROW(E7:E$3029)*(E3035=E7:E$3029)))))</f>
        <v/>
      </c>
      <c r="J3035" s="24" t="str">
        <f aca="true">IF(OR(E3035="",E3035="!!!",F3035="NEW"),"",COUNTBLANK(OFFSET(A$1,,,SUMPRODUCT(MAX(ROW(E$2:E3035)*(E3035=E$2:E3035)))))-COUNTBLANK(OFFSET(A$1,,,SUMPRODUCT(MAX(ROW(E$1:E3034)*(E2=E$1:E3034))))))</f>
        <v/>
      </c>
      <c r="K3035" s="24" t="str">
        <f aca="false">IF(OR(E3035="",E3035="!!!",F3035="NEW"),"",INDEX(J$1:J3034,SUMPRODUCT(MAX(ROW(E$1:E3034)*(E3035=E$1:E3034)))))</f>
        <v/>
      </c>
      <c r="L3035" s="31"/>
    </row>
    <row r="3036" customFormat="false" ht="15" hidden="false" customHeight="false" outlineLevel="0" collapsed="false">
      <c r="A3036" s="20" t="s">
        <v>1307</v>
      </c>
      <c r="E3036" s="23" t="str">
        <f aca="false">IF(D3036="?OLD","!!!","")</f>
        <v/>
      </c>
      <c r="F3036" s="25" t="str">
        <f aca="false">IF(OR(E3036="",E3036="!!!"),"",IF(NOT(ISNA(VLOOKUP(E3036,E$1:E3035,1,FALSE()))),"OLD",IF(AND(E3036&lt;&gt;"",E3036&lt;&gt;"!!!"),"NEW","")))</f>
        <v/>
      </c>
      <c r="G3036" s="26" t="str">
        <f aca="false">IF(OR(E3036="",E3036="!!!"),"",IF(OR(J3036=0,AND(J3036=1,K3036=1),AND(J3036=1,I3036="SBJ"),AND(J3036=1,I3036=0)),"?IN_FOCUS",IF(J3036&lt;=2,"?ACTIVATED",IF(J3036&lt;&gt;"","?FAMILIAR",IF(F3036="NEW",IF(ISNA(VLOOKUP(E3036,#REF!,1,FALSE())),"?TYPE_IDENTIFIABLE","?REFERENTIAL"),"_")))))</f>
        <v/>
      </c>
      <c r="H3036" s="27" t="str">
        <f aca="false">IF(J3036&lt;&gt;1,"",IF(I3036="SBJ","CB","?"))</f>
        <v/>
      </c>
      <c r="I3036" s="24" t="str">
        <f aca="false">IF(OR(E3036="",E3036="!!!",F3036="NEW"),"",INDEX(B8:B$3029,-1+SUMPRODUCT(MAX(ROW(E8:E$3029)*(E3036=E8:E$3029)))))</f>
        <v/>
      </c>
      <c r="J3036" s="24" t="str">
        <f aca="true">IF(OR(E3036="",E3036="!!!",F3036="NEW"),"",COUNTBLANK(OFFSET(A$1,,,SUMPRODUCT(MAX(ROW(E$2:E3036)*(E3036=E$2:E3036)))))-COUNTBLANK(OFFSET(A$1,,,SUMPRODUCT(MAX(ROW(E$1:E3035)*(E2=E$1:E3035))))))</f>
        <v/>
      </c>
      <c r="K3036" s="24" t="str">
        <f aca="false">IF(OR(E3036="",E3036="!!!",F3036="NEW"),"",INDEX(J$1:J3035,SUMPRODUCT(MAX(ROW(E$1:E3035)*(E3036=E$1:E3035)))))</f>
        <v/>
      </c>
      <c r="L3036" s="31"/>
    </row>
    <row r="3037" customFormat="false" ht="15" hidden="false" customHeight="false" outlineLevel="0" collapsed="false">
      <c r="A3037" s="20" t="s">
        <v>607</v>
      </c>
      <c r="E3037" s="23" t="str">
        <f aca="false">IF(D3037="?OLD","!!!","")</f>
        <v/>
      </c>
      <c r="F3037" s="25" t="str">
        <f aca="false">IF(OR(E3037="",E3037="!!!"),"",IF(NOT(ISNA(VLOOKUP(E3037,E$1:E3036,1,FALSE()))),"OLD",IF(AND(E3037&lt;&gt;"",E3037&lt;&gt;"!!!"),"NEW","")))</f>
        <v/>
      </c>
      <c r="G3037" s="26" t="str">
        <f aca="false">IF(OR(E3037="",E3037="!!!"),"",IF(OR(J3037=0,AND(J3037=1,K3037=1),AND(J3037=1,I3037="SBJ"),AND(J3037=1,I3037=0)),"?IN_FOCUS",IF(J3037&lt;=2,"?ACTIVATED",IF(J3037&lt;&gt;"","?FAMILIAR",IF(F3037="NEW",IF(ISNA(VLOOKUP(E3037,#REF!,1,FALSE())),"?TYPE_IDENTIFIABLE","?REFERENTIAL"),"_")))))</f>
        <v/>
      </c>
      <c r="H3037" s="27" t="str">
        <f aca="false">IF(J3037&lt;&gt;1,"",IF(I3037="SBJ","CB","?"))</f>
        <v/>
      </c>
      <c r="I3037" s="24" t="str">
        <f aca="false">IF(OR(E3037="",E3037="!!!",F3037="NEW"),"",INDEX(B9:B$3029,-1+SUMPRODUCT(MAX(ROW(E9:E$3029)*(E3037=E9:E$3029)))))</f>
        <v/>
      </c>
      <c r="J3037" s="24" t="str">
        <f aca="true">IF(OR(E3037="",E3037="!!!",F3037="NEW"),"",COUNTBLANK(OFFSET(A$1,,,SUMPRODUCT(MAX(ROW(E$2:E3037)*(E3037=E$2:E3037)))))-COUNTBLANK(OFFSET(A$1,,,SUMPRODUCT(MAX(ROW(E$1:E3036)*(E2=E$1:E3036))))))</f>
        <v/>
      </c>
      <c r="K3037" s="24" t="str">
        <f aca="false">IF(OR(E3037="",E3037="!!!",F3037="NEW"),"",INDEX(J$1:J3036,SUMPRODUCT(MAX(ROW(E$1:E3036)*(E3037=E$1:E3036)))))</f>
        <v/>
      </c>
      <c r="L3037" s="31"/>
    </row>
    <row r="3038" customFormat="false" ht="15" hidden="false" customHeight="false" outlineLevel="0" collapsed="false">
      <c r="A3038" s="20"/>
    </row>
    <row r="3039" customFormat="false" ht="15" hidden="false" customHeight="false" outlineLevel="0" collapsed="false">
      <c r="A3039" s="20" t="s">
        <v>1301</v>
      </c>
      <c r="E3039" s="23" t="str">
        <f aca="false">IF(D3039="?OLD","!!!","")</f>
        <v/>
      </c>
      <c r="F3039" s="25" t="str">
        <f aca="false">IF(OR(E3039="",E3039="!!!"),"",IF(NOT(ISNA(VLOOKUP(E3039,E$1:E3038,1,FALSE()))),"OLD",IF(AND(E3039&lt;&gt;"",E3039&lt;&gt;"!!!"),"NEW","")))</f>
        <v/>
      </c>
      <c r="G3039" s="26" t="str">
        <f aca="false">IF(OR(E3039="",E3039="!!!"),"",IF(OR(J3039=0,AND(J3039=1,K3039=1),AND(J3039=1,I3039="SBJ"),AND(J3039=1,I3039=0)),"?IN_FOCUS",IF(J3039&lt;=2,"?ACTIVATED",IF(J3039&lt;&gt;"","?FAMILIAR",IF(F3039="NEW",IF(ISNA(VLOOKUP(E3039,#REF!,1,FALSE())),"?TYPE_IDENTIFIABLE","?REFERENTIAL"),"_")))))</f>
        <v/>
      </c>
      <c r="H3039" s="27" t="str">
        <f aca="false">IF(J3039&lt;&gt;1,"",IF(I3039="SBJ","CB","?"))</f>
        <v/>
      </c>
      <c r="I3039" s="24" t="str">
        <f aca="false">IF(OR(E3039="",E3039="!!!",F3039="NEW"),"",INDEX(B2:B$3038,-1+SUMPRODUCT(MAX(ROW(E2:E$3038)*(E3039=E2:E$3038)))))</f>
        <v/>
      </c>
      <c r="J3039" s="24" t="str">
        <f aca="true">IF(OR(E3039="",E3039="!!!",F3039="NEW"),"",COUNTBLANK(OFFSET(A$1,,,SUMPRODUCT(MAX(ROW(E$2:E3039)*(E3039=E$2:E3039)))))-COUNTBLANK(OFFSET(A$1,,,SUMPRODUCT(MAX(ROW(E$1:E3038)*(E2=E$1:E3038))))))</f>
        <v/>
      </c>
      <c r="K3039" s="24" t="str">
        <f aca="false">IF(OR(E3039="",E3039="!!!",F3039="NEW"),"",INDEX(J$1:J3038,SUMPRODUCT(MAX(ROW(E$1:E3038)*(E3039=E$1:E3038)))))</f>
        <v/>
      </c>
      <c r="L3039" s="31"/>
    </row>
    <row r="3040" customFormat="false" ht="15" hidden="false" customHeight="false" outlineLevel="0" collapsed="false">
      <c r="A3040" s="20" t="s">
        <v>2082</v>
      </c>
    </row>
    <row r="3041" customFormat="false" ht="15" hidden="false" customHeight="false" outlineLevel="0" collapsed="false">
      <c r="A3041" s="20" t="s">
        <v>607</v>
      </c>
      <c r="E3041" s="23" t="str">
        <f aca="false">IF(D3041="?OLD","!!!","")</f>
        <v/>
      </c>
      <c r="F3041" s="25" t="str">
        <f aca="false">IF(OR(E3041="",E3041="!!!"),"",IF(NOT(ISNA(VLOOKUP(E3041,E$1:E3040,1,FALSE()))),"OLD",IF(AND(E3041&lt;&gt;"",E3041&lt;&gt;"!!!"),"NEW","")))</f>
        <v/>
      </c>
      <c r="G3041" s="26" t="str">
        <f aca="false">IF(OR(E3041="",E3041="!!!"),"",IF(OR(J3041=0,AND(J3041=1,K3041=1),AND(J3041=1,I3041="SBJ"),AND(J3041=1,I3041=0)),"?IN_FOCUS",IF(J3041&lt;=2,"?ACTIVATED",IF(J3041&lt;&gt;"","?FAMILIAR",IF(F3041="NEW",IF(ISNA(VLOOKUP(E3041,#REF!,1,FALSE())),"?TYPE_IDENTIFIABLE","?REFERENTIAL"),"_")))))</f>
        <v/>
      </c>
      <c r="H3041" s="27" t="str">
        <f aca="false">IF(J3041&lt;&gt;1,"",IF(I3041="SBJ","CB","?"))</f>
        <v/>
      </c>
      <c r="I3041" s="24" t="str">
        <f aca="false">IF(OR(E3041="",E3041="!!!",F3041="NEW"),"",INDEX(B2:B$3040,-1+SUMPRODUCT(MAX(ROW(E2:E$3040)*(E3041=E2:E$3040)))))</f>
        <v/>
      </c>
      <c r="J3041" s="24" t="str">
        <f aca="true">IF(OR(E3041="",E3041="!!!",F3041="NEW"),"",COUNTBLANK(OFFSET(A$1,,,SUMPRODUCT(MAX(ROW(E$2:E3041)*(E3041=E$2:E3041)))))-COUNTBLANK(OFFSET(A$1,,,SUMPRODUCT(MAX(ROW(E$1:E3040)*(E2=E$1:E3040))))))</f>
        <v/>
      </c>
      <c r="K3041" s="24" t="str">
        <f aca="false">IF(OR(E3041="",E3041="!!!",F3041="NEW"),"",INDEX(J$1:J3040,SUMPRODUCT(MAX(ROW(E$1:E3040)*(E3041=E$1:E3040)))))</f>
        <v/>
      </c>
      <c r="L3041" s="31"/>
    </row>
    <row r="3042" customFormat="false" ht="15" hidden="false" customHeight="false" outlineLevel="0" collapsed="false">
      <c r="A3042" s="20" t="s">
        <v>2083</v>
      </c>
      <c r="E3042" s="23" t="str">
        <f aca="false">IF(D3042="?OLD","!!!","")</f>
        <v/>
      </c>
      <c r="F3042" s="25" t="str">
        <f aca="false">IF(OR(E3042="",E3042="!!!"),"",IF(NOT(ISNA(VLOOKUP(E3042,E$1:E3041,1,FALSE()))),"OLD",IF(AND(E3042&lt;&gt;"",E3042&lt;&gt;"!!!"),"NEW","")))</f>
        <v/>
      </c>
      <c r="G3042" s="26" t="str">
        <f aca="false">IF(OR(E3042="",E3042="!!!"),"",IF(OR(J3042=0,AND(J3042=1,K3042=1),AND(J3042=1,I3042="SBJ"),AND(J3042=1,I3042=0)),"?IN_FOCUS",IF(J3042&lt;=2,"?ACTIVATED",IF(J3042&lt;&gt;"","?FAMILIAR",IF(F3042="NEW",IF(ISNA(VLOOKUP(E3042,#REF!,1,FALSE())),"?TYPE_IDENTIFIABLE","?REFERENTIAL"),"_")))))</f>
        <v/>
      </c>
      <c r="H3042" s="27" t="str">
        <f aca="false">IF(J3042&lt;&gt;1,"",IF(I3042="SBJ","CB","?"))</f>
        <v/>
      </c>
      <c r="I3042" s="24" t="str">
        <f aca="false">IF(OR(E3042="",E3042="!!!",F3042="NEW"),"",INDEX(B3:B$3040,-1+SUMPRODUCT(MAX(ROW(E3:E$3040)*(E3042=E3:E$3040)))))</f>
        <v/>
      </c>
      <c r="J3042" s="24" t="str">
        <f aca="true">IF(OR(E3042="",E3042="!!!",F3042="NEW"),"",COUNTBLANK(OFFSET(A$1,,,SUMPRODUCT(MAX(ROW(E$2:E3042)*(E3042=E$2:E3042)))))-COUNTBLANK(OFFSET(A$1,,,SUMPRODUCT(MAX(ROW(E$1:E3041)*(E2=E$1:E3041))))))</f>
        <v/>
      </c>
      <c r="K3042" s="24" t="str">
        <f aca="false">IF(OR(E3042="",E3042="!!!",F3042="NEW"),"",INDEX(J$1:J3041,SUMPRODUCT(MAX(ROW(E$1:E3041)*(E3042=E$1:E3041)))))</f>
        <v/>
      </c>
      <c r="L3042" s="31"/>
    </row>
    <row r="3043" customFormat="false" ht="15" hidden="false" customHeight="false" outlineLevel="0" collapsed="false">
      <c r="A3043" s="20" t="s">
        <v>303</v>
      </c>
      <c r="E3043" s="23" t="str">
        <f aca="false">IF(D3043="?OLD","!!!","")</f>
        <v/>
      </c>
      <c r="F3043" s="25" t="str">
        <f aca="false">IF(OR(E3043="",E3043="!!!"),"",IF(NOT(ISNA(VLOOKUP(E3043,E$1:E3042,1,FALSE()))),"OLD",IF(AND(E3043&lt;&gt;"",E3043&lt;&gt;"!!!"),"NEW","")))</f>
        <v/>
      </c>
      <c r="G3043" s="26" t="str">
        <f aca="false">IF(OR(E3043="",E3043="!!!"),"",IF(OR(J3043=0,AND(J3043=1,K3043=1),AND(J3043=1,I3043="SBJ"),AND(J3043=1,I3043=0)),"?IN_FOCUS",IF(J3043&lt;=2,"?ACTIVATED",IF(J3043&lt;&gt;"","?FAMILIAR",IF(F3043="NEW",IF(ISNA(VLOOKUP(E3043,#REF!,1,FALSE())),"?TYPE_IDENTIFIABLE","?REFERENTIAL"),"_")))))</f>
        <v/>
      </c>
      <c r="H3043" s="27" t="str">
        <f aca="false">IF(J3043&lt;&gt;1,"",IF(I3043="SBJ","CB","?"))</f>
        <v/>
      </c>
      <c r="I3043" s="24" t="str">
        <f aca="false">IF(OR(E3043="",E3043="!!!",F3043="NEW"),"",INDEX(B4:B$3040,-1+SUMPRODUCT(MAX(ROW(E4:E$3040)*(E3043=E4:E$3040)))))</f>
        <v/>
      </c>
      <c r="J3043" s="24" t="str">
        <f aca="true">IF(OR(E3043="",E3043="!!!",F3043="NEW"),"",COUNTBLANK(OFFSET(A$1,,,SUMPRODUCT(MAX(ROW(E$2:E3043)*(E3043=E$2:E3043)))))-COUNTBLANK(OFFSET(A$1,,,SUMPRODUCT(MAX(ROW(E$1:E3042)*(E2=E$1:E3042))))))</f>
        <v/>
      </c>
      <c r="K3043" s="24" t="str">
        <f aca="false">IF(OR(E3043="",E3043="!!!",F3043="NEW"),"",INDEX(J$1:J3042,SUMPRODUCT(MAX(ROW(E$1:E3042)*(E3043=E$1:E3042)))))</f>
        <v/>
      </c>
      <c r="L3043" s="31"/>
    </row>
    <row r="3044" customFormat="false" ht="15" hidden="false" customHeight="false" outlineLevel="0" collapsed="false">
      <c r="A3044" s="20" t="s">
        <v>1304</v>
      </c>
      <c r="B3044" s="22" t="s">
        <v>1081</v>
      </c>
      <c r="C3044" s="22" t="s">
        <v>1082</v>
      </c>
      <c r="D3044" s="22" t="s">
        <v>1060</v>
      </c>
      <c r="E3044" s="23" t="str">
        <f aca="false">IF(D3044="?OLD","!!!","")</f>
        <v>!!!</v>
      </c>
      <c r="F3044" s="25" t="str">
        <f aca="false">IF(OR(E3044="",E3044="!!!"),"",IF(NOT(ISNA(VLOOKUP(E3044,E$1:E3043,1,FALSE()))),"OLD",IF(AND(E3044&lt;&gt;"",E3044&lt;&gt;"!!!"),"NEW","")))</f>
        <v/>
      </c>
      <c r="G3044" s="26" t="str">
        <f aca="false">IF(OR(E3044="",E3044="!!!"),"",IF(OR(J3044=0,AND(J3044=1,K3044=1),AND(J3044=1,I3044="SBJ"),AND(J3044=1,I3044=0)),"?IN_FOCUS",IF(J3044&lt;=2,"?ACTIVATED",IF(J3044&lt;&gt;"","?FAMILIAR",IF(F3044="NEW",IF(ISNA(VLOOKUP(E3044,#REF!,1,FALSE())),"?TYPE_IDENTIFIABLE","?REFERENTIAL"),"_")))))</f>
        <v/>
      </c>
      <c r="H3044" s="27" t="str">
        <f aca="false">IF(J3044&lt;&gt;1,"",IF(I3044="SBJ","CB","?"))</f>
        <v/>
      </c>
      <c r="I3044" s="24" t="str">
        <f aca="false">IF(OR(E3044="",E3044="!!!",F3044="NEW"),"",INDEX(B5:B$3040,-1+SUMPRODUCT(MAX(ROW(E5:E$3040)*(E3044=E5:E$3040)))))</f>
        <v/>
      </c>
      <c r="J3044" s="24" t="str">
        <f aca="true">IF(OR(E3044="",E3044="!!!",F3044="NEW"),"",COUNTBLANK(OFFSET(A$1,,,SUMPRODUCT(MAX(ROW(E$2:E3044)*(E3044=E$2:E3044)))))-COUNTBLANK(OFFSET(A$1,,,SUMPRODUCT(MAX(ROW(E$1:E3043)*(E2=E$1:E3043))))))</f>
        <v/>
      </c>
      <c r="K3044" s="24" t="str">
        <f aca="false">IF(OR(E3044="",E3044="!!!",F3044="NEW"),"",INDEX(J$1:J3043,SUMPRODUCT(MAX(ROW(E$1:E3043)*(E3044=E$1:E3043)))))</f>
        <v/>
      </c>
      <c r="L3044" s="31"/>
    </row>
    <row r="3045" customFormat="false" ht="15" hidden="false" customHeight="false" outlineLevel="0" collapsed="false">
      <c r="A3045" s="20" t="s">
        <v>728</v>
      </c>
      <c r="E3045" s="23" t="str">
        <f aca="false">IF(D3045="?OLD","!!!","")</f>
        <v/>
      </c>
      <c r="F3045" s="25" t="str">
        <f aca="false">IF(OR(E3045="",E3045="!!!"),"",IF(NOT(ISNA(VLOOKUP(E3045,E$1:E3044,1,FALSE()))),"OLD",IF(AND(E3045&lt;&gt;"",E3045&lt;&gt;"!!!"),"NEW","")))</f>
        <v/>
      </c>
      <c r="G3045" s="26" t="str">
        <f aca="false">IF(OR(E3045="",E3045="!!!"),"",IF(OR(J3045=0,AND(J3045=1,K3045=1),AND(J3045=1,I3045="SBJ"),AND(J3045=1,I3045=0)),"?IN_FOCUS",IF(J3045&lt;=2,"?ACTIVATED",IF(J3045&lt;&gt;"","?FAMILIAR",IF(F3045="NEW",IF(ISNA(VLOOKUP(E3045,#REF!,1,FALSE())),"?TYPE_IDENTIFIABLE","?REFERENTIAL"),"_")))))</f>
        <v/>
      </c>
      <c r="H3045" s="27" t="str">
        <f aca="false">IF(J3045&lt;&gt;1,"",IF(I3045="SBJ","CB","?"))</f>
        <v/>
      </c>
      <c r="I3045" s="24" t="str">
        <f aca="false">IF(OR(E3045="",E3045="!!!",F3045="NEW"),"",INDEX(B6:B$3040,-1+SUMPRODUCT(MAX(ROW(E6:E$3040)*(E3045=E6:E$3040)))))</f>
        <v/>
      </c>
      <c r="J3045" s="24" t="str">
        <f aca="true">IF(OR(E3045="",E3045="!!!",F3045="NEW"),"",COUNTBLANK(OFFSET(A$1,,,SUMPRODUCT(MAX(ROW(E$2:E3045)*(E3045=E$2:E3045)))))-COUNTBLANK(OFFSET(A$1,,,SUMPRODUCT(MAX(ROW(E$1:E3044)*(E2=E$1:E3044))))))</f>
        <v/>
      </c>
      <c r="K3045" s="24" t="str">
        <f aca="false">IF(OR(E3045="",E3045="!!!",F3045="NEW"),"",INDEX(J$1:J3044,SUMPRODUCT(MAX(ROW(E$1:E3044)*(E3045=E$1:E3044)))))</f>
        <v/>
      </c>
      <c r="L3045" s="31"/>
    </row>
    <row r="3046" customFormat="false" ht="15" hidden="false" customHeight="false" outlineLevel="0" collapsed="false">
      <c r="A3046" s="20" t="s">
        <v>923</v>
      </c>
      <c r="E3046" s="23" t="str">
        <f aca="false">IF(D3046="?OLD","!!!","")</f>
        <v/>
      </c>
      <c r="F3046" s="25" t="str">
        <f aca="false">IF(OR(E3046="",E3046="!!!"),"",IF(NOT(ISNA(VLOOKUP(E3046,E$1:E3045,1,FALSE()))),"OLD",IF(AND(E3046&lt;&gt;"",E3046&lt;&gt;"!!!"),"NEW","")))</f>
        <v/>
      </c>
      <c r="G3046" s="26" t="str">
        <f aca="false">IF(OR(E3046="",E3046="!!!"),"",IF(OR(J3046=0,AND(J3046=1,K3046=1),AND(J3046=1,I3046="SBJ"),AND(J3046=1,I3046=0)),"?IN_FOCUS",IF(J3046&lt;=2,"?ACTIVATED",IF(J3046&lt;&gt;"","?FAMILIAR",IF(F3046="NEW",IF(ISNA(VLOOKUP(E3046,#REF!,1,FALSE())),"?TYPE_IDENTIFIABLE","?REFERENTIAL"),"_")))))</f>
        <v/>
      </c>
      <c r="H3046" s="27" t="str">
        <f aca="false">IF(J3046&lt;&gt;1,"",IF(I3046="SBJ","CB","?"))</f>
        <v/>
      </c>
      <c r="I3046" s="24" t="str">
        <f aca="false">IF(OR(E3046="",E3046="!!!",F3046="NEW"),"",INDEX(B7:B$3040,-1+SUMPRODUCT(MAX(ROW(E7:E$3040)*(E3046=E7:E$3040)))))</f>
        <v/>
      </c>
      <c r="J3046" s="24" t="str">
        <f aca="true">IF(OR(E3046="",E3046="!!!",F3046="NEW"),"",COUNTBLANK(OFFSET(A$1,,,SUMPRODUCT(MAX(ROW(E$2:E3046)*(E3046=E$2:E3046)))))-COUNTBLANK(OFFSET(A$1,,,SUMPRODUCT(MAX(ROW(E$1:E3045)*(E2=E$1:E3045))))))</f>
        <v/>
      </c>
      <c r="K3046" s="24" t="str">
        <f aca="false">IF(OR(E3046="",E3046="!!!",F3046="NEW"),"",INDEX(J$1:J3045,SUMPRODUCT(MAX(ROW(E$1:E3045)*(E3046=E$1:E3045)))))</f>
        <v/>
      </c>
      <c r="L3046" s="31"/>
    </row>
    <row r="3047" customFormat="false" ht="15" hidden="false" customHeight="false" outlineLevel="0" collapsed="false">
      <c r="A3047" s="20"/>
    </row>
    <row r="3048" customFormat="false" ht="15" hidden="false" customHeight="false" outlineLevel="0" collapsed="false">
      <c r="A3048" s="20" t="s">
        <v>2084</v>
      </c>
    </row>
    <row r="3049" customFormat="false" ht="15" hidden="false" customHeight="false" outlineLevel="0" collapsed="false">
      <c r="A3049" s="20" t="s">
        <v>1335</v>
      </c>
      <c r="B3049" s="22" t="s">
        <v>1058</v>
      </c>
      <c r="C3049" s="22" t="s">
        <v>1082</v>
      </c>
      <c r="D3049" s="22" t="s">
        <v>1060</v>
      </c>
      <c r="E3049" s="23" t="str">
        <f aca="false">IF(D3049="?OLD","!!!","")</f>
        <v>!!!</v>
      </c>
      <c r="F3049" s="25" t="str">
        <f aca="false">IF(OR(E3049="",E3049="!!!"),"",IF(NOT(ISNA(VLOOKUP(E3049,E$1:E3048,1,FALSE()))),"OLD",IF(AND(E3049&lt;&gt;"",E3049&lt;&gt;"!!!"),"NEW","")))</f>
        <v/>
      </c>
      <c r="G3049" s="26" t="str">
        <f aca="false">IF(OR(E3049="",E3049="!!!"),"",IF(OR(J3049=0,AND(J3049=1,K3049=1),AND(J3049=1,I3049="SBJ"),AND(J3049=1,I3049=0)),"?IN_FOCUS",IF(J3049&lt;=2,"?ACTIVATED",IF(J3049&lt;&gt;"","?FAMILIAR",IF(F3049="NEW",IF(ISNA(VLOOKUP(E3049,#REF!,1,FALSE())),"?TYPE_IDENTIFIABLE","?REFERENTIAL"),"_")))))</f>
        <v/>
      </c>
      <c r="H3049" s="27" t="str">
        <f aca="false">IF(J3049&lt;&gt;1,"",IF(I3049="SBJ","CB","?"))</f>
        <v/>
      </c>
      <c r="I3049" s="24" t="str">
        <f aca="false">IF(OR(E3049="",E3049="!!!",F3049="NEW"),"",INDEX(B2:B$3048,-1+SUMPRODUCT(MAX(ROW(E2:E$3048)*(E3049=E2:E$3048)))))</f>
        <v/>
      </c>
      <c r="J3049" s="24" t="str">
        <f aca="true">IF(OR(E3049="",E3049="!!!",F3049="NEW"),"",COUNTBLANK(OFFSET(A$1,,,SUMPRODUCT(MAX(ROW(E$2:E3049)*(E3049=E$2:E3049)))))-COUNTBLANK(OFFSET(A$1,,,SUMPRODUCT(MAX(ROW(E$1:E3048)*(E2=E$1:E3048))))))</f>
        <v/>
      </c>
      <c r="K3049" s="24" t="str">
        <f aca="false">IF(OR(E3049="",E3049="!!!",F3049="NEW"),"",INDEX(J$1:J3048,SUMPRODUCT(MAX(ROW(E$1:E3048)*(E3049=E$1:E3048)))))</f>
        <v/>
      </c>
      <c r="L3049" s="31"/>
    </row>
    <row r="3050" customFormat="false" ht="15" hidden="false" customHeight="false" outlineLevel="0" collapsed="false">
      <c r="A3050" s="20" t="s">
        <v>1331</v>
      </c>
      <c r="E3050" s="23" t="str">
        <f aca="false">IF(D3050="?OLD","!!!","")</f>
        <v/>
      </c>
      <c r="F3050" s="25" t="str">
        <f aca="false">IF(OR(E3050="",E3050="!!!"),"",IF(NOT(ISNA(VLOOKUP(E3050,E$1:E3049,1,FALSE()))),"OLD",IF(AND(E3050&lt;&gt;"",E3050&lt;&gt;"!!!"),"NEW","")))</f>
        <v/>
      </c>
      <c r="G3050" s="26" t="str">
        <f aca="false">IF(OR(E3050="",E3050="!!!"),"",IF(OR(J3050=0,AND(J3050=1,K3050=1),AND(J3050=1,I3050="SBJ"),AND(J3050=1,I3050=0)),"?IN_FOCUS",IF(J3050&lt;=2,"?ACTIVATED",IF(J3050&lt;&gt;"","?FAMILIAR",IF(F3050="NEW",IF(ISNA(VLOOKUP(E3050,#REF!,1,FALSE())),"?TYPE_IDENTIFIABLE","?REFERENTIAL"),"_")))))</f>
        <v/>
      </c>
      <c r="H3050" s="27" t="str">
        <f aca="false">IF(J3050&lt;&gt;1,"",IF(I3050="SBJ","CB","?"))</f>
        <v/>
      </c>
      <c r="I3050" s="24" t="str">
        <f aca="false">IF(OR(E3050="",E3050="!!!",F3050="NEW"),"",INDEX(B3:B$3048,-1+SUMPRODUCT(MAX(ROW(E3:E$3048)*(E3050=E3:E$3048)))))</f>
        <v/>
      </c>
      <c r="J3050" s="24" t="str">
        <f aca="true">IF(OR(E3050="",E3050="!!!",F3050="NEW"),"",COUNTBLANK(OFFSET(A$1,,,SUMPRODUCT(MAX(ROW(E$2:E3050)*(E3050=E$2:E3050)))))-COUNTBLANK(OFFSET(A$1,,,SUMPRODUCT(MAX(ROW(E$1:E3049)*(E2=E$1:E3049))))))</f>
        <v/>
      </c>
      <c r="K3050" s="24" t="str">
        <f aca="false">IF(OR(E3050="",E3050="!!!",F3050="NEW"),"",INDEX(J$1:J3049,SUMPRODUCT(MAX(ROW(E$1:E3049)*(E3050=E$1:E3049)))))</f>
        <v/>
      </c>
      <c r="L3050" s="31"/>
    </row>
    <row r="3051" customFormat="false" ht="15" hidden="false" customHeight="false" outlineLevel="0" collapsed="false">
      <c r="A3051" s="20" t="s">
        <v>1279</v>
      </c>
      <c r="E3051" s="23" t="str">
        <f aca="false">IF(D3051="?OLD","!!!","")</f>
        <v/>
      </c>
      <c r="F3051" s="25" t="str">
        <f aca="false">IF(OR(E3051="",E3051="!!!"),"",IF(NOT(ISNA(VLOOKUP(E3051,E$1:E3050,1,FALSE()))),"OLD",IF(AND(E3051&lt;&gt;"",E3051&lt;&gt;"!!!"),"NEW","")))</f>
        <v/>
      </c>
      <c r="G3051" s="26" t="str">
        <f aca="false">IF(OR(E3051="",E3051="!!!"),"",IF(OR(J3051=0,AND(J3051=1,K3051=1),AND(J3051=1,I3051="SBJ"),AND(J3051=1,I3051=0)),"?IN_FOCUS",IF(J3051&lt;=2,"?ACTIVATED",IF(J3051&lt;&gt;"","?FAMILIAR",IF(F3051="NEW",IF(ISNA(VLOOKUP(E3051,#REF!,1,FALSE())),"?TYPE_IDENTIFIABLE","?REFERENTIAL"),"_")))))</f>
        <v/>
      </c>
      <c r="H3051" s="27" t="str">
        <f aca="false">IF(J3051&lt;&gt;1,"",IF(I3051="SBJ","CB","?"))</f>
        <v/>
      </c>
      <c r="I3051" s="24" t="str">
        <f aca="false">IF(OR(E3051="",E3051="!!!",F3051="NEW"),"",INDEX(B4:B$3048,-1+SUMPRODUCT(MAX(ROW(E4:E$3048)*(E3051=E4:E$3048)))))</f>
        <v/>
      </c>
      <c r="J3051" s="24" t="str">
        <f aca="true">IF(OR(E3051="",E3051="!!!",F3051="NEW"),"",COUNTBLANK(OFFSET(A$1,,,SUMPRODUCT(MAX(ROW(E$2:E3051)*(E3051=E$2:E3051)))))-COUNTBLANK(OFFSET(A$1,,,SUMPRODUCT(MAX(ROW(E$1:E3050)*(E2=E$1:E3050))))))</f>
        <v/>
      </c>
      <c r="K3051" s="24" t="str">
        <f aca="false">IF(OR(E3051="",E3051="!!!",F3051="NEW"),"",INDEX(J$1:J3050,SUMPRODUCT(MAX(ROW(E$1:E3050)*(E3051=E$1:E3050)))))</f>
        <v/>
      </c>
      <c r="L3051" s="31"/>
    </row>
    <row r="3052" customFormat="false" ht="15" hidden="false" customHeight="false" outlineLevel="0" collapsed="false">
      <c r="A3052" s="20" t="s">
        <v>603</v>
      </c>
      <c r="E3052" s="23" t="str">
        <f aca="false">IF(D3052="?OLD","!!!","")</f>
        <v/>
      </c>
      <c r="F3052" s="25" t="str">
        <f aca="false">IF(OR(E3052="",E3052="!!!"),"",IF(NOT(ISNA(VLOOKUP(E3052,E$1:E3051,1,FALSE()))),"OLD",IF(AND(E3052&lt;&gt;"",E3052&lt;&gt;"!!!"),"NEW","")))</f>
        <v/>
      </c>
      <c r="G3052" s="26" t="str">
        <f aca="false">IF(OR(E3052="",E3052="!!!"),"",IF(OR(J3052=0,AND(J3052=1,K3052=1),AND(J3052=1,I3052="SBJ"),AND(J3052=1,I3052=0)),"?IN_FOCUS",IF(J3052&lt;=2,"?ACTIVATED",IF(J3052&lt;&gt;"","?FAMILIAR",IF(F3052="NEW",IF(ISNA(VLOOKUP(E3052,#REF!,1,FALSE())),"?TYPE_IDENTIFIABLE","?REFERENTIAL"),"_")))))</f>
        <v/>
      </c>
      <c r="H3052" s="27" t="str">
        <f aca="false">IF(J3052&lt;&gt;1,"",IF(I3052="SBJ","CB","?"))</f>
        <v/>
      </c>
      <c r="I3052" s="24" t="str">
        <f aca="false">IF(OR(E3052="",E3052="!!!",F3052="NEW"),"",INDEX(B5:B$3048,-1+SUMPRODUCT(MAX(ROW(E5:E$3048)*(E3052=E5:E$3048)))))</f>
        <v/>
      </c>
      <c r="J3052" s="24" t="str">
        <f aca="true">IF(OR(E3052="",E3052="!!!",F3052="NEW"),"",COUNTBLANK(OFFSET(A$1,,,SUMPRODUCT(MAX(ROW(E$2:E3052)*(E3052=E$2:E3052)))))-COUNTBLANK(OFFSET(A$1,,,SUMPRODUCT(MAX(ROW(E$1:E3051)*(E2=E$1:E3051))))))</f>
        <v/>
      </c>
      <c r="K3052" s="24" t="str">
        <f aca="false">IF(OR(E3052="",E3052="!!!",F3052="NEW"),"",INDEX(J$1:J3051,SUMPRODUCT(MAX(ROW(E$1:E3051)*(E3052=E$1:E3051)))))</f>
        <v/>
      </c>
      <c r="L3052" s="31"/>
    </row>
    <row r="3053" customFormat="false" ht="15" hidden="false" customHeight="false" outlineLevel="0" collapsed="false">
      <c r="A3053" s="20" t="s">
        <v>1154</v>
      </c>
      <c r="E3053" s="23" t="str">
        <f aca="false">IF(D3053="?OLD","!!!","")</f>
        <v/>
      </c>
      <c r="F3053" s="25" t="str">
        <f aca="false">IF(OR(E3053="",E3053="!!!"),"",IF(NOT(ISNA(VLOOKUP(E3053,E$1:E3052,1,FALSE()))),"OLD",IF(AND(E3053&lt;&gt;"",E3053&lt;&gt;"!!!"),"NEW","")))</f>
        <v/>
      </c>
      <c r="G3053" s="26" t="str">
        <f aca="false">IF(OR(E3053="",E3053="!!!"),"",IF(OR(J3053=0,AND(J3053=1,K3053=1),AND(J3053=1,I3053="SBJ"),AND(J3053=1,I3053=0)),"?IN_FOCUS",IF(J3053&lt;=2,"?ACTIVATED",IF(J3053&lt;&gt;"","?FAMILIAR",IF(F3053="NEW",IF(ISNA(VLOOKUP(E3053,#REF!,1,FALSE())),"?TYPE_IDENTIFIABLE","?REFERENTIAL"),"_")))))</f>
        <v/>
      </c>
      <c r="H3053" s="27" t="str">
        <f aca="false">IF(J3053&lt;&gt;1,"",IF(I3053="SBJ","CB","?"))</f>
        <v/>
      </c>
      <c r="I3053" s="24" t="str">
        <f aca="false">IF(OR(E3053="",E3053="!!!",F3053="NEW"),"",INDEX(B6:B$3048,-1+SUMPRODUCT(MAX(ROW(E6:E$3048)*(E3053=E6:E$3048)))))</f>
        <v/>
      </c>
      <c r="J3053" s="24" t="str">
        <f aca="true">IF(OR(E3053="",E3053="!!!",F3053="NEW"),"",COUNTBLANK(OFFSET(A$1,,,SUMPRODUCT(MAX(ROW(E$2:E3053)*(E3053=E$2:E3053)))))-COUNTBLANK(OFFSET(A$1,,,SUMPRODUCT(MAX(ROW(E$1:E3052)*(E2=E$1:E3052))))))</f>
        <v/>
      </c>
      <c r="K3053" s="24" t="str">
        <f aca="false">IF(OR(E3053="",E3053="!!!",F3053="NEW"),"",INDEX(J$1:J3052,SUMPRODUCT(MAX(ROW(E$1:E3052)*(E3053=E$1:E3052)))))</f>
        <v/>
      </c>
      <c r="L3053" s="31"/>
    </row>
    <row r="3054" customFormat="false" ht="15" hidden="false" customHeight="false" outlineLevel="0" collapsed="false">
      <c r="A3054" s="20" t="s">
        <v>2085</v>
      </c>
      <c r="E3054" s="23" t="str">
        <f aca="false">IF(D3054="?OLD","!!!","")</f>
        <v/>
      </c>
      <c r="F3054" s="25" t="str">
        <f aca="false">IF(OR(E3054="",E3054="!!!"),"",IF(NOT(ISNA(VLOOKUP(E3054,E$1:E3053,1,FALSE()))),"OLD",IF(AND(E3054&lt;&gt;"",E3054&lt;&gt;"!!!"),"NEW","")))</f>
        <v/>
      </c>
      <c r="G3054" s="26" t="str">
        <f aca="false">IF(OR(E3054="",E3054="!!!"),"",IF(OR(J3054=0,AND(J3054=1,K3054=1),AND(J3054=1,I3054="SBJ"),AND(J3054=1,I3054=0)),"?IN_FOCUS",IF(J3054&lt;=2,"?ACTIVATED",IF(J3054&lt;&gt;"","?FAMILIAR",IF(F3054="NEW",IF(ISNA(VLOOKUP(E3054,#REF!,1,FALSE())),"?TYPE_IDENTIFIABLE","?REFERENTIAL"),"_")))))</f>
        <v/>
      </c>
      <c r="H3054" s="27" t="str">
        <f aca="false">IF(J3054&lt;&gt;1,"",IF(I3054="SBJ","CB","?"))</f>
        <v/>
      </c>
      <c r="I3054" s="24" t="str">
        <f aca="false">IF(OR(E3054="",E3054="!!!",F3054="NEW"),"",INDEX(B7:B$3048,-1+SUMPRODUCT(MAX(ROW(E7:E$3048)*(E3054=E7:E$3048)))))</f>
        <v/>
      </c>
      <c r="J3054" s="24" t="str">
        <f aca="true">IF(OR(E3054="",E3054="!!!",F3054="NEW"),"",COUNTBLANK(OFFSET(A$1,,,SUMPRODUCT(MAX(ROW(E$2:E3054)*(E3054=E$2:E3054)))))-COUNTBLANK(OFFSET(A$1,,,SUMPRODUCT(MAX(ROW(E$1:E3053)*(E2=E$1:E3053))))))</f>
        <v/>
      </c>
      <c r="K3054" s="24" t="str">
        <f aca="false">IF(OR(E3054="",E3054="!!!",F3054="NEW"),"",INDEX(J$1:J3053,SUMPRODUCT(MAX(ROW(E$1:E3053)*(E3054=E$1:E3053)))))</f>
        <v/>
      </c>
      <c r="L3054" s="31"/>
    </row>
    <row r="3055" customFormat="false" ht="15" hidden="false" customHeight="false" outlineLevel="0" collapsed="false">
      <c r="A3055" s="20" t="s">
        <v>2086</v>
      </c>
      <c r="B3055" s="22" t="s">
        <v>1105</v>
      </c>
      <c r="C3055" s="22" t="s">
        <v>1160</v>
      </c>
      <c r="E3055" s="23" t="str">
        <f aca="false">IF(D3055="?OLD","!!!","")</f>
        <v/>
      </c>
      <c r="F3055" s="25" t="str">
        <f aca="false">IF(OR(E3055="",E3055="!!!"),"",IF(NOT(ISNA(VLOOKUP(E3055,E$1:E3054,1,FALSE()))),"OLD",IF(AND(E3055&lt;&gt;"",E3055&lt;&gt;"!!!"),"NEW","")))</f>
        <v/>
      </c>
      <c r="G3055" s="26" t="str">
        <f aca="false">IF(OR(E3055="",E3055="!!!"),"",IF(OR(J3055=0,AND(J3055=1,K3055=1),AND(J3055=1,I3055="SBJ"),AND(J3055=1,I3055=0)),"?IN_FOCUS",IF(J3055&lt;=2,"?ACTIVATED",IF(J3055&lt;&gt;"","?FAMILIAR",IF(F3055="NEW",IF(ISNA(VLOOKUP(E3055,#REF!,1,FALSE())),"?TYPE_IDENTIFIABLE","?REFERENTIAL"),"_")))))</f>
        <v/>
      </c>
      <c r="H3055" s="27" t="str">
        <f aca="false">IF(J3055&lt;&gt;1,"",IF(I3055="SBJ","CB","?"))</f>
        <v/>
      </c>
      <c r="I3055" s="24" t="str">
        <f aca="false">IF(OR(E3055="",E3055="!!!",F3055="NEW"),"",INDEX(B8:B$3048,-1+SUMPRODUCT(MAX(ROW(E8:E$3048)*(E3055=E8:E$3048)))))</f>
        <v/>
      </c>
      <c r="J3055" s="24" t="str">
        <f aca="true">IF(OR(E3055="",E3055="!!!",F3055="NEW"),"",COUNTBLANK(OFFSET(A$1,,,SUMPRODUCT(MAX(ROW(E$2:E3055)*(E3055=E$2:E3055)))))-COUNTBLANK(OFFSET(A$1,,,SUMPRODUCT(MAX(ROW(E$1:E3054)*(E2=E$1:E3054))))))</f>
        <v/>
      </c>
      <c r="K3055" s="24" t="str">
        <f aca="false">IF(OR(E3055="",E3055="!!!",F3055="NEW"),"",INDEX(J$1:J3054,SUMPRODUCT(MAX(ROW(E$1:E3054)*(E3055=E$1:E3054)))))</f>
        <v/>
      </c>
      <c r="L3055" s="31"/>
    </row>
    <row r="3056" customFormat="false" ht="15" hidden="false" customHeight="false" outlineLevel="0" collapsed="false">
      <c r="A3056" s="20" t="s">
        <v>1095</v>
      </c>
      <c r="E3056" s="23" t="str">
        <f aca="false">IF(D3056="?OLD","!!!","")</f>
        <v/>
      </c>
      <c r="F3056" s="25" t="str">
        <f aca="false">IF(OR(E3056="",E3056="!!!"),"",IF(NOT(ISNA(VLOOKUP(E3056,E$1:E3055,1,FALSE()))),"OLD",IF(AND(E3056&lt;&gt;"",E3056&lt;&gt;"!!!"),"NEW","")))</f>
        <v/>
      </c>
      <c r="G3056" s="26" t="str">
        <f aca="false">IF(OR(E3056="",E3056="!!!"),"",IF(OR(J3056=0,AND(J3056=1,K3056=1),AND(J3056=1,I3056="SBJ"),AND(J3056=1,I3056=0)),"?IN_FOCUS",IF(J3056&lt;=2,"?ACTIVATED",IF(J3056&lt;&gt;"","?FAMILIAR",IF(F3056="NEW",IF(ISNA(VLOOKUP(E3056,#REF!,1,FALSE())),"?TYPE_IDENTIFIABLE","?REFERENTIAL"),"_")))))</f>
        <v/>
      </c>
      <c r="H3056" s="27" t="str">
        <f aca="false">IF(J3056&lt;&gt;1,"",IF(I3056="SBJ","CB","?"))</f>
        <v/>
      </c>
      <c r="I3056" s="24" t="str">
        <f aca="false">IF(OR(E3056="",E3056="!!!",F3056="NEW"),"",INDEX(B9:B$3048,-1+SUMPRODUCT(MAX(ROW(E9:E$3048)*(E3056=E9:E$3048)))))</f>
        <v/>
      </c>
      <c r="J3056" s="24" t="str">
        <f aca="true">IF(OR(E3056="",E3056="!!!",F3056="NEW"),"",COUNTBLANK(OFFSET(A$1,,,SUMPRODUCT(MAX(ROW(E$2:E3056)*(E3056=E$2:E3056)))))-COUNTBLANK(OFFSET(A$1,,,SUMPRODUCT(MAX(ROW(E$1:E3055)*(E2=E$1:E3055))))))</f>
        <v/>
      </c>
      <c r="K3056" s="24" t="str">
        <f aca="false">IF(OR(E3056="",E3056="!!!",F3056="NEW"),"",INDEX(J$1:J3055,SUMPRODUCT(MAX(ROW(E$1:E3055)*(E3056=E$1:E3055)))))</f>
        <v/>
      </c>
      <c r="L3056" s="31"/>
    </row>
    <row r="3057" customFormat="false" ht="15" hidden="false" customHeight="false" outlineLevel="0" collapsed="false">
      <c r="A3057" s="20" t="s">
        <v>16</v>
      </c>
      <c r="E3057" s="23" t="str">
        <f aca="false">IF(D3057="?OLD","!!!","")</f>
        <v/>
      </c>
      <c r="F3057" s="25" t="str">
        <f aca="false">IF(OR(E3057="",E3057="!!!"),"",IF(NOT(ISNA(VLOOKUP(E3057,E$1:E3056,1,FALSE()))),"OLD",IF(AND(E3057&lt;&gt;"",E3057&lt;&gt;"!!!"),"NEW","")))</f>
        <v/>
      </c>
      <c r="G3057" s="26" t="str">
        <f aca="false">IF(OR(E3057="",E3057="!!!"),"",IF(OR(J3057=0,AND(J3057=1,K3057=1),AND(J3057=1,I3057="SBJ"),AND(J3057=1,I3057=0)),"?IN_FOCUS",IF(J3057&lt;=2,"?ACTIVATED",IF(J3057&lt;&gt;"","?FAMILIAR",IF(F3057="NEW",IF(ISNA(VLOOKUP(E3057,#REF!,1,FALSE())),"?TYPE_IDENTIFIABLE","?REFERENTIAL"),"_")))))</f>
        <v/>
      </c>
      <c r="H3057" s="27" t="str">
        <f aca="false">IF(J3057&lt;&gt;1,"",IF(I3057="SBJ","CB","?"))</f>
        <v/>
      </c>
      <c r="I3057" s="24" t="str">
        <f aca="false">IF(OR(E3057="",E3057="!!!",F3057="NEW"),"",INDEX(B10:B$3048,-1+SUMPRODUCT(MAX(ROW(E10:E$3048)*(E3057=E10:E$3048)))))</f>
        <v/>
      </c>
      <c r="J3057" s="24" t="str">
        <f aca="true">IF(OR(E3057="",E3057="!!!",F3057="NEW"),"",COUNTBLANK(OFFSET(A$1,,,SUMPRODUCT(MAX(ROW(E$2:E3057)*(E3057=E$2:E3057)))))-COUNTBLANK(OFFSET(A$1,,,SUMPRODUCT(MAX(ROW(E$1:E3056)*(E2=E$1:E3056))))))</f>
        <v/>
      </c>
      <c r="K3057" s="24" t="str">
        <f aca="false">IF(OR(E3057="",E3057="!!!",F3057="NEW"),"",INDEX(J$1:J3056,SUMPRODUCT(MAX(ROW(E$1:E3056)*(E3057=E$1:E3056)))))</f>
        <v/>
      </c>
      <c r="L3057" s="31"/>
    </row>
    <row r="3058" customFormat="false" ht="15" hidden="false" customHeight="false" outlineLevel="0" collapsed="false">
      <c r="A3058" s="20" t="s">
        <v>1643</v>
      </c>
      <c r="B3058" s="22" t="s">
        <v>1073</v>
      </c>
      <c r="C3058" s="22" t="s">
        <v>1160</v>
      </c>
      <c r="E3058" s="23" t="str">
        <f aca="false">IF(D3058="?OLD","!!!","")</f>
        <v/>
      </c>
      <c r="F3058" s="25" t="str">
        <f aca="false">IF(OR(E3058="",E3058="!!!"),"",IF(NOT(ISNA(VLOOKUP(E3058,E$1:E3057,1,FALSE()))),"OLD",IF(AND(E3058&lt;&gt;"",E3058&lt;&gt;"!!!"),"NEW","")))</f>
        <v/>
      </c>
      <c r="G3058" s="26" t="str">
        <f aca="false">IF(OR(E3058="",E3058="!!!"),"",IF(OR(J3058=0,AND(J3058=1,K3058=1),AND(J3058=1,I3058="SBJ"),AND(J3058=1,I3058=0)),"?IN_FOCUS",IF(J3058&lt;=2,"?ACTIVATED",IF(J3058&lt;&gt;"","?FAMILIAR",IF(F3058="NEW",IF(ISNA(VLOOKUP(E3058,#REF!,1,FALSE())),"?TYPE_IDENTIFIABLE","?REFERENTIAL"),"_")))))</f>
        <v/>
      </c>
      <c r="H3058" s="27" t="str">
        <f aca="false">IF(J3058&lt;&gt;1,"",IF(I3058="SBJ","CB","?"))</f>
        <v/>
      </c>
      <c r="I3058" s="24" t="str">
        <f aca="false">IF(OR(E3058="",E3058="!!!",F3058="NEW"),"",INDEX(B11:B$3048,-1+SUMPRODUCT(MAX(ROW(E11:E$3048)*(E3058=E11:E$3048)))))</f>
        <v/>
      </c>
      <c r="J3058" s="24" t="str">
        <f aca="true">IF(OR(E3058="",E3058="!!!",F3058="NEW"),"",COUNTBLANK(OFFSET(A$1,,,SUMPRODUCT(MAX(ROW(E$2:E3058)*(E3058=E$2:E3058)))))-COUNTBLANK(OFFSET(A$1,,,SUMPRODUCT(MAX(ROW(E$1:E3057)*(E2=E$1:E3057))))))</f>
        <v/>
      </c>
      <c r="K3058" s="24" t="str">
        <f aca="false">IF(OR(E3058="",E3058="!!!",F3058="NEW"),"",INDEX(J$1:J3057,SUMPRODUCT(MAX(ROW(E$1:E3057)*(E3058=E$1:E3057)))))</f>
        <v/>
      </c>
      <c r="L3058" s="31"/>
    </row>
    <row r="3059" customFormat="false" ht="15" hidden="false" customHeight="false" outlineLevel="0" collapsed="false">
      <c r="A3059" s="20" t="s">
        <v>923</v>
      </c>
      <c r="E3059" s="23" t="str">
        <f aca="false">IF(D3059="?OLD","!!!","")</f>
        <v/>
      </c>
      <c r="F3059" s="25" t="str">
        <f aca="false">IF(OR(E3059="",E3059="!!!"),"",IF(NOT(ISNA(VLOOKUP(E3059,E$1:E3058,1,FALSE()))),"OLD",IF(AND(E3059&lt;&gt;"",E3059&lt;&gt;"!!!"),"NEW","")))</f>
        <v/>
      </c>
      <c r="G3059" s="26" t="str">
        <f aca="false">IF(OR(E3059="",E3059="!!!"),"",IF(OR(J3059=0,AND(J3059=1,K3059=1),AND(J3059=1,I3059="SBJ"),AND(J3059=1,I3059=0)),"?IN_FOCUS",IF(J3059&lt;=2,"?ACTIVATED",IF(J3059&lt;&gt;"","?FAMILIAR",IF(F3059="NEW",IF(ISNA(VLOOKUP(E3059,#REF!,1,FALSE())),"?TYPE_IDENTIFIABLE","?REFERENTIAL"),"_")))))</f>
        <v/>
      </c>
      <c r="H3059" s="27" t="str">
        <f aca="false">IF(J3059&lt;&gt;1,"",IF(I3059="SBJ","CB","?"))</f>
        <v/>
      </c>
      <c r="I3059" s="24" t="str">
        <f aca="false">IF(OR(E3059="",E3059="!!!",F3059="NEW"),"",INDEX(B12:B$3048,-1+SUMPRODUCT(MAX(ROW(E12:E$3048)*(E3059=E12:E$3048)))))</f>
        <v/>
      </c>
      <c r="J3059" s="24" t="str">
        <f aca="true">IF(OR(E3059="",E3059="!!!",F3059="NEW"),"",COUNTBLANK(OFFSET(A$1,,,SUMPRODUCT(MAX(ROW(E$2:E3059)*(E3059=E$2:E3059)))))-COUNTBLANK(OFFSET(A$1,,,SUMPRODUCT(MAX(ROW(E$1:E3058)*(E2=E$1:E3058))))))</f>
        <v/>
      </c>
      <c r="K3059" s="24" t="str">
        <f aca="false">IF(OR(E3059="",E3059="!!!",F3059="NEW"),"",INDEX(J$1:J3058,SUMPRODUCT(MAX(ROW(E$1:E3058)*(E3059=E$1:E3058)))))</f>
        <v/>
      </c>
      <c r="L3059" s="31"/>
    </row>
    <row r="3060" customFormat="false" ht="15" hidden="false" customHeight="false" outlineLevel="0" collapsed="false">
      <c r="A3060" s="20"/>
    </row>
    <row r="3061" customFormat="false" ht="15" hidden="false" customHeight="false" outlineLevel="0" collapsed="false">
      <c r="A3061" s="20" t="s">
        <v>1301</v>
      </c>
      <c r="E3061" s="23" t="str">
        <f aca="false">IF(D3061="?OLD","!!!","")</f>
        <v/>
      </c>
      <c r="F3061" s="25" t="str">
        <f aca="false">IF(OR(E3061="",E3061="!!!"),"",IF(NOT(ISNA(VLOOKUP(E3061,E$1:E3060,1,FALSE()))),"OLD",IF(AND(E3061&lt;&gt;"",E3061&lt;&gt;"!!!"),"NEW","")))</f>
        <v/>
      </c>
      <c r="G3061" s="26" t="str">
        <f aca="false">IF(OR(E3061="",E3061="!!!"),"",IF(OR(J3061=0,AND(J3061=1,K3061=1),AND(J3061=1,I3061="SBJ"),AND(J3061=1,I3061=0)),"?IN_FOCUS",IF(J3061&lt;=2,"?ACTIVATED",IF(J3061&lt;&gt;"","?FAMILIAR",IF(F3061="NEW",IF(ISNA(VLOOKUP(E3061,#REF!,1,FALSE())),"?TYPE_IDENTIFIABLE","?REFERENTIAL"),"_")))))</f>
        <v/>
      </c>
      <c r="H3061" s="27" t="str">
        <f aca="false">IF(J3061&lt;&gt;1,"",IF(I3061="SBJ","CB","?"))</f>
        <v/>
      </c>
      <c r="I3061" s="24" t="str">
        <f aca="false">IF(OR(E3061="",E3061="!!!",F3061="NEW"),"",INDEX(B2:B$3060,-1+SUMPRODUCT(MAX(ROW(E2:E$3060)*(E3061=E2:E$3060)))))</f>
        <v/>
      </c>
      <c r="J3061" s="24" t="str">
        <f aca="true">IF(OR(E3061="",E3061="!!!",F3061="NEW"),"",COUNTBLANK(OFFSET(A$1,,,SUMPRODUCT(MAX(ROW(E$2:E3061)*(E3061=E$2:E3061)))))-COUNTBLANK(OFFSET(A$1,,,SUMPRODUCT(MAX(ROW(E$1:E3060)*(E2=E$1:E3060))))))</f>
        <v/>
      </c>
      <c r="K3061" s="24" t="str">
        <f aca="false">IF(OR(E3061="",E3061="!!!",F3061="NEW"),"",INDEX(J$1:J3060,SUMPRODUCT(MAX(ROW(E$1:E3060)*(E3061=E$1:E3060)))))</f>
        <v/>
      </c>
      <c r="L3061" s="31"/>
    </row>
    <row r="3062" customFormat="false" ht="15" hidden="false" customHeight="false" outlineLevel="0" collapsed="false">
      <c r="A3062" s="20" t="s">
        <v>2087</v>
      </c>
    </row>
    <row r="3063" customFormat="false" ht="15" hidden="false" customHeight="false" outlineLevel="0" collapsed="false">
      <c r="A3063" s="20" t="s">
        <v>1727</v>
      </c>
      <c r="E3063" s="23" t="str">
        <f aca="false">IF(D3063="?OLD","!!!","")</f>
        <v/>
      </c>
      <c r="F3063" s="25" t="str">
        <f aca="false">IF(OR(E3063="",E3063="!!!"),"",IF(NOT(ISNA(VLOOKUP(E3063,E$1:E3062,1,FALSE()))),"OLD",IF(AND(E3063&lt;&gt;"",E3063&lt;&gt;"!!!"),"NEW","")))</f>
        <v/>
      </c>
      <c r="G3063" s="26" t="str">
        <f aca="false">IF(OR(E3063="",E3063="!!!"),"",IF(OR(J3063=0,AND(J3063=1,K3063=1),AND(J3063=1,I3063="SBJ"),AND(J3063=1,I3063=0)),"?IN_FOCUS",IF(J3063&lt;=2,"?ACTIVATED",IF(J3063&lt;&gt;"","?FAMILIAR",IF(F3063="NEW",IF(ISNA(VLOOKUP(E3063,#REF!,1,FALSE())),"?TYPE_IDENTIFIABLE","?REFERENTIAL"),"_")))))</f>
        <v/>
      </c>
      <c r="H3063" s="27" t="str">
        <f aca="false">IF(J3063&lt;&gt;1,"",IF(I3063="SBJ","CB","?"))</f>
        <v/>
      </c>
      <c r="I3063" s="24" t="str">
        <f aca="false">IF(OR(E3063="",E3063="!!!",F3063="NEW"),"",INDEX(B2:B$3062,-1+SUMPRODUCT(MAX(ROW(E2:E$3062)*(E3063=E2:E$3062)))))</f>
        <v/>
      </c>
      <c r="J3063" s="24" t="str">
        <f aca="true">IF(OR(E3063="",E3063="!!!",F3063="NEW"),"",COUNTBLANK(OFFSET(A$1,,,SUMPRODUCT(MAX(ROW(E$2:E3063)*(E3063=E$2:E3063)))))-COUNTBLANK(OFFSET(A$1,,,SUMPRODUCT(MAX(ROW(E$1:E3062)*(E2=E$1:E3062))))))</f>
        <v/>
      </c>
      <c r="K3063" s="24" t="str">
        <f aca="false">IF(OR(E3063="",E3063="!!!",F3063="NEW"),"",INDEX(J$1:J3062,SUMPRODUCT(MAX(ROW(E$1:E3062)*(E3063=E$1:E3062)))))</f>
        <v/>
      </c>
      <c r="L3063" s="31"/>
    </row>
    <row r="3064" customFormat="false" ht="15" hidden="false" customHeight="false" outlineLevel="0" collapsed="false">
      <c r="A3064" s="20" t="s">
        <v>1304</v>
      </c>
      <c r="B3064" s="22" t="s">
        <v>1091</v>
      </c>
      <c r="C3064" s="22" t="s">
        <v>1082</v>
      </c>
      <c r="D3064" s="22" t="s">
        <v>1060</v>
      </c>
      <c r="E3064" s="23" t="str">
        <f aca="false">IF(D3064="?OLD","!!!","")</f>
        <v>!!!</v>
      </c>
      <c r="F3064" s="25" t="str">
        <f aca="false">IF(OR(E3064="",E3064="!!!"),"",IF(NOT(ISNA(VLOOKUP(E3064,E$1:E3063,1,FALSE()))),"OLD",IF(AND(E3064&lt;&gt;"",E3064&lt;&gt;"!!!"),"NEW","")))</f>
        <v/>
      </c>
      <c r="G3064" s="26" t="str">
        <f aca="false">IF(OR(E3064="",E3064="!!!"),"",IF(OR(J3064=0,AND(J3064=1,K3064=1),AND(J3064=1,I3064="SBJ"),AND(J3064=1,I3064=0)),"?IN_FOCUS",IF(J3064&lt;=2,"?ACTIVATED",IF(J3064&lt;&gt;"","?FAMILIAR",IF(F3064="NEW",IF(ISNA(VLOOKUP(E3064,#REF!,1,FALSE())),"?TYPE_IDENTIFIABLE","?REFERENTIAL"),"_")))))</f>
        <v/>
      </c>
      <c r="H3064" s="27" t="str">
        <f aca="false">IF(J3064&lt;&gt;1,"",IF(I3064="SBJ","CB","?"))</f>
        <v/>
      </c>
      <c r="I3064" s="24" t="str">
        <f aca="false">IF(OR(E3064="",E3064="!!!",F3064="NEW"),"",INDEX(B3:B$3062,-1+SUMPRODUCT(MAX(ROW(E3:E$3062)*(E3064=E3:E$3062)))))</f>
        <v/>
      </c>
      <c r="J3064" s="24" t="str">
        <f aca="true">IF(OR(E3064="",E3064="!!!",F3064="NEW"),"",COUNTBLANK(OFFSET(A$1,,,SUMPRODUCT(MAX(ROW(E$2:E3064)*(E3064=E$2:E3064)))))-COUNTBLANK(OFFSET(A$1,,,SUMPRODUCT(MAX(ROW(E$1:E3063)*(E2=E$1:E3063))))))</f>
        <v/>
      </c>
      <c r="K3064" s="24" t="str">
        <f aca="false">IF(OR(E3064="",E3064="!!!",F3064="NEW"),"",INDEX(J$1:J3063,SUMPRODUCT(MAX(ROW(E$1:E3063)*(E3064=E$1:E3063)))))</f>
        <v/>
      </c>
      <c r="L3064" s="31"/>
    </row>
    <row r="3065" customFormat="false" ht="15" hidden="false" customHeight="false" outlineLevel="0" collapsed="false">
      <c r="A3065" s="20" t="s">
        <v>1393</v>
      </c>
      <c r="E3065" s="23" t="str">
        <f aca="false">IF(D3065="?OLD","!!!","")</f>
        <v/>
      </c>
      <c r="F3065" s="25" t="str">
        <f aca="false">IF(OR(E3065="",E3065="!!!"),"",IF(NOT(ISNA(VLOOKUP(E3065,E$1:E3064,1,FALSE()))),"OLD",IF(AND(E3065&lt;&gt;"",E3065&lt;&gt;"!!!"),"NEW","")))</f>
        <v/>
      </c>
      <c r="G3065" s="26" t="str">
        <f aca="false">IF(OR(E3065="",E3065="!!!"),"",IF(OR(J3065=0,AND(J3065=1,K3065=1),AND(J3065=1,I3065="SBJ"),AND(J3065=1,I3065=0)),"?IN_FOCUS",IF(J3065&lt;=2,"?ACTIVATED",IF(J3065&lt;&gt;"","?FAMILIAR",IF(F3065="NEW",IF(ISNA(VLOOKUP(E3065,#REF!,1,FALSE())),"?TYPE_IDENTIFIABLE","?REFERENTIAL"),"_")))))</f>
        <v/>
      </c>
      <c r="H3065" s="27" t="str">
        <f aca="false">IF(J3065&lt;&gt;1,"",IF(I3065="SBJ","CB","?"))</f>
        <v/>
      </c>
      <c r="I3065" s="24" t="str">
        <f aca="false">IF(OR(E3065="",E3065="!!!",F3065="NEW"),"",INDEX(B4:B$3062,-1+SUMPRODUCT(MAX(ROW(E4:E$3062)*(E3065=E4:E$3062)))))</f>
        <v/>
      </c>
      <c r="J3065" s="24" t="str">
        <f aca="true">IF(OR(E3065="",E3065="!!!",F3065="NEW"),"",COUNTBLANK(OFFSET(A$1,,,SUMPRODUCT(MAX(ROW(E$2:E3065)*(E3065=E$2:E3065)))))-COUNTBLANK(OFFSET(A$1,,,SUMPRODUCT(MAX(ROW(E$1:E3064)*(E2=E$1:E3064))))))</f>
        <v/>
      </c>
      <c r="K3065" s="24" t="str">
        <f aca="false">IF(OR(E3065="",E3065="!!!",F3065="NEW"),"",INDEX(J$1:J3064,SUMPRODUCT(MAX(ROW(E$1:E3064)*(E3065=E$1:E3064)))))</f>
        <v/>
      </c>
      <c r="L3065" s="31"/>
    </row>
    <row r="3066" customFormat="false" ht="15" hidden="false" customHeight="false" outlineLevel="0" collapsed="false">
      <c r="A3066" s="20" t="s">
        <v>131</v>
      </c>
      <c r="E3066" s="23" t="str">
        <f aca="false">IF(D3066="?OLD","!!!","")</f>
        <v/>
      </c>
      <c r="F3066" s="25" t="str">
        <f aca="false">IF(OR(E3066="",E3066="!!!"),"",IF(NOT(ISNA(VLOOKUP(E3066,E$1:E3065,1,FALSE()))),"OLD",IF(AND(E3066&lt;&gt;"",E3066&lt;&gt;"!!!"),"NEW","")))</f>
        <v/>
      </c>
      <c r="G3066" s="26" t="str">
        <f aca="false">IF(OR(E3066="",E3066="!!!"),"",IF(OR(J3066=0,AND(J3066=1,K3066=1),AND(J3066=1,I3066="SBJ"),AND(J3066=1,I3066=0)),"?IN_FOCUS",IF(J3066&lt;=2,"?ACTIVATED",IF(J3066&lt;&gt;"","?FAMILIAR",IF(F3066="NEW",IF(ISNA(VLOOKUP(E3066,#REF!,1,FALSE())),"?TYPE_IDENTIFIABLE","?REFERENTIAL"),"_")))))</f>
        <v/>
      </c>
      <c r="H3066" s="27" t="str">
        <f aca="false">IF(J3066&lt;&gt;1,"",IF(I3066="SBJ","CB","?"))</f>
        <v/>
      </c>
      <c r="I3066" s="24" t="str">
        <f aca="false">IF(OR(E3066="",E3066="!!!",F3066="NEW"),"",INDEX(B5:B$3062,-1+SUMPRODUCT(MAX(ROW(E5:E$3062)*(E3066=E5:E$3062)))))</f>
        <v/>
      </c>
      <c r="J3066" s="24" t="str">
        <f aca="true">IF(OR(E3066="",E3066="!!!",F3066="NEW"),"",COUNTBLANK(OFFSET(A$1,,,SUMPRODUCT(MAX(ROW(E$2:E3066)*(E3066=E$2:E3066)))))-COUNTBLANK(OFFSET(A$1,,,SUMPRODUCT(MAX(ROW(E$1:E3065)*(E2=E$1:E3065))))))</f>
        <v/>
      </c>
      <c r="K3066" s="24" t="str">
        <f aca="false">IF(OR(E3066="",E3066="!!!",F3066="NEW"),"",INDEX(J$1:J3065,SUMPRODUCT(MAX(ROW(E$1:E3065)*(E3066=E$1:E3065)))))</f>
        <v/>
      </c>
      <c r="L3066" s="31"/>
    </row>
    <row r="3067" customFormat="false" ht="15" hidden="false" customHeight="false" outlineLevel="0" collapsed="false">
      <c r="A3067" s="20" t="s">
        <v>1076</v>
      </c>
      <c r="E3067" s="23" t="str">
        <f aca="false">IF(D3067="?OLD","!!!","")</f>
        <v/>
      </c>
      <c r="F3067" s="25" t="str">
        <f aca="false">IF(OR(E3067="",E3067="!!!"),"",IF(NOT(ISNA(VLOOKUP(E3067,E$1:E3066,1,FALSE()))),"OLD",IF(AND(E3067&lt;&gt;"",E3067&lt;&gt;"!!!"),"NEW","")))</f>
        <v/>
      </c>
      <c r="G3067" s="26" t="str">
        <f aca="false">IF(OR(E3067="",E3067="!!!"),"",IF(OR(J3067=0,AND(J3067=1,K3067=1),AND(J3067=1,I3067="SBJ"),AND(J3067=1,I3067=0)),"?IN_FOCUS",IF(J3067&lt;=2,"?ACTIVATED",IF(J3067&lt;&gt;"","?FAMILIAR",IF(F3067="NEW",IF(ISNA(VLOOKUP(E3067,#REF!,1,FALSE())),"?TYPE_IDENTIFIABLE","?REFERENTIAL"),"_")))))</f>
        <v/>
      </c>
      <c r="H3067" s="27" t="str">
        <f aca="false">IF(J3067&lt;&gt;1,"",IF(I3067="SBJ","CB","?"))</f>
        <v/>
      </c>
      <c r="I3067" s="24" t="str">
        <f aca="false">IF(OR(E3067="",E3067="!!!",F3067="NEW"),"",INDEX(B6:B$3062,-1+SUMPRODUCT(MAX(ROW(E6:E$3062)*(E3067=E6:E$3062)))))</f>
        <v/>
      </c>
      <c r="J3067" s="24" t="str">
        <f aca="true">IF(OR(E3067="",E3067="!!!",F3067="NEW"),"",COUNTBLANK(OFFSET(A$1,,,SUMPRODUCT(MAX(ROW(E$2:E3067)*(E3067=E$2:E3067)))))-COUNTBLANK(OFFSET(A$1,,,SUMPRODUCT(MAX(ROW(E$1:E3066)*(E2=E$1:E3066))))))</f>
        <v/>
      </c>
      <c r="K3067" s="24" t="str">
        <f aca="false">IF(OR(E3067="",E3067="!!!",F3067="NEW"),"",INDEX(J$1:J3066,SUMPRODUCT(MAX(ROW(E$1:E3066)*(E3067=E$1:E3066)))))</f>
        <v/>
      </c>
      <c r="L3067" s="31"/>
    </row>
    <row r="3068" customFormat="false" ht="15" hidden="false" customHeight="false" outlineLevel="0" collapsed="false">
      <c r="A3068" s="20" t="s">
        <v>1078</v>
      </c>
      <c r="E3068" s="23" t="str">
        <f aca="false">IF(D3068="?OLD","!!!","")</f>
        <v/>
      </c>
      <c r="F3068" s="25" t="str">
        <f aca="false">IF(OR(E3068="",E3068="!!!"),"",IF(NOT(ISNA(VLOOKUP(E3068,E$1:E3067,1,FALSE()))),"OLD",IF(AND(E3068&lt;&gt;"",E3068&lt;&gt;"!!!"),"NEW","")))</f>
        <v/>
      </c>
      <c r="G3068" s="26" t="str">
        <f aca="false">IF(OR(E3068="",E3068="!!!"),"",IF(OR(J3068=0,AND(J3068=1,K3068=1),AND(J3068=1,I3068="SBJ"),AND(J3068=1,I3068=0)),"?IN_FOCUS",IF(J3068&lt;=2,"?ACTIVATED",IF(J3068&lt;&gt;"","?FAMILIAR",IF(F3068="NEW",IF(ISNA(VLOOKUP(E3068,#REF!,1,FALSE())),"?TYPE_IDENTIFIABLE","?REFERENTIAL"),"_")))))</f>
        <v/>
      </c>
      <c r="H3068" s="27" t="str">
        <f aca="false">IF(J3068&lt;&gt;1,"",IF(I3068="SBJ","CB","?"))</f>
        <v/>
      </c>
      <c r="I3068" s="24" t="str">
        <f aca="false">IF(OR(E3068="",E3068="!!!",F3068="NEW"),"",INDEX(B7:B$3062,-1+SUMPRODUCT(MAX(ROW(E7:E$3062)*(E3068=E7:E$3062)))))</f>
        <v/>
      </c>
      <c r="J3068" s="24" t="str">
        <f aca="true">IF(OR(E3068="",E3068="!!!",F3068="NEW"),"",COUNTBLANK(OFFSET(A$1,,,SUMPRODUCT(MAX(ROW(E$2:E3068)*(E3068=E$2:E3068)))))-COUNTBLANK(OFFSET(A$1,,,SUMPRODUCT(MAX(ROW(E$1:E3067)*(E2=E$1:E3067))))))</f>
        <v/>
      </c>
      <c r="K3068" s="24" t="str">
        <f aca="false">IF(OR(E3068="",E3068="!!!",F3068="NEW"),"",INDEX(J$1:J3067,SUMPRODUCT(MAX(ROW(E$1:E3067)*(E3068=E$1:E3067)))))</f>
        <v/>
      </c>
      <c r="L3068" s="31"/>
    </row>
    <row r="3069" customFormat="false" ht="15" hidden="false" customHeight="false" outlineLevel="0" collapsed="false">
      <c r="A3069" s="20" t="s">
        <v>1562</v>
      </c>
      <c r="E3069" s="23" t="str">
        <f aca="false">IF(D3069="?OLD","!!!","")</f>
        <v/>
      </c>
      <c r="F3069" s="25" t="str">
        <f aca="false">IF(OR(E3069="",E3069="!!!"),"",IF(NOT(ISNA(VLOOKUP(E3069,E$1:E3068,1,FALSE()))),"OLD",IF(AND(E3069&lt;&gt;"",E3069&lt;&gt;"!!!"),"NEW","")))</f>
        <v/>
      </c>
      <c r="G3069" s="26" t="str">
        <f aca="false">IF(OR(E3069="",E3069="!!!"),"",IF(OR(J3069=0,AND(J3069=1,K3069=1),AND(J3069=1,I3069="SBJ"),AND(J3069=1,I3069=0)),"?IN_FOCUS",IF(J3069&lt;=2,"?ACTIVATED",IF(J3069&lt;&gt;"","?FAMILIAR",IF(F3069="NEW",IF(ISNA(VLOOKUP(E3069,#REF!,1,FALSE())),"?TYPE_IDENTIFIABLE","?REFERENTIAL"),"_")))))</f>
        <v/>
      </c>
      <c r="H3069" s="27" t="str">
        <f aca="false">IF(J3069&lt;&gt;1,"",IF(I3069="SBJ","CB","?"))</f>
        <v/>
      </c>
      <c r="I3069" s="24" t="str">
        <f aca="false">IF(OR(E3069="",E3069="!!!",F3069="NEW"),"",INDEX(B8:B$3062,-1+SUMPRODUCT(MAX(ROW(E8:E$3062)*(E3069=E8:E$3062)))))</f>
        <v/>
      </c>
      <c r="J3069" s="24" t="str">
        <f aca="true">IF(OR(E3069="",E3069="!!!",F3069="NEW"),"",COUNTBLANK(OFFSET(A$1,,,SUMPRODUCT(MAX(ROW(E$2:E3069)*(E3069=E$2:E3069)))))-COUNTBLANK(OFFSET(A$1,,,SUMPRODUCT(MAX(ROW(E$1:E3068)*(E2=E$1:E3068))))))</f>
        <v/>
      </c>
      <c r="K3069" s="24" t="str">
        <f aca="false">IF(OR(E3069="",E3069="!!!",F3069="NEW"),"",INDEX(J$1:J3068,SUMPRODUCT(MAX(ROW(E$1:E3068)*(E3069=E$1:E3068)))))</f>
        <v/>
      </c>
      <c r="L3069" s="31"/>
    </row>
    <row r="3070" customFormat="false" ht="15" hidden="false" customHeight="false" outlineLevel="0" collapsed="false">
      <c r="A3070" s="20" t="s">
        <v>1105</v>
      </c>
      <c r="B3070" s="22" t="s">
        <v>1197</v>
      </c>
      <c r="C3070" s="22" t="s">
        <v>1059</v>
      </c>
      <c r="D3070" s="22" t="s">
        <v>1060</v>
      </c>
      <c r="E3070" s="23" t="str">
        <f aca="false">IF(D3070="?OLD","!!!","")</f>
        <v>!!!</v>
      </c>
      <c r="F3070" s="25" t="str">
        <f aca="false">IF(OR(E3070="",E3070="!!!"),"",IF(NOT(ISNA(VLOOKUP(E3070,E$1:E3069,1,FALSE()))),"OLD",IF(AND(E3070&lt;&gt;"",E3070&lt;&gt;"!!!"),"NEW","")))</f>
        <v/>
      </c>
      <c r="G3070" s="26" t="str">
        <f aca="false">IF(OR(E3070="",E3070="!!!"),"",IF(OR(J3070=0,AND(J3070=1,K3070=1),AND(J3070=1,I3070="SBJ"),AND(J3070=1,I3070=0)),"?IN_FOCUS",IF(J3070&lt;=2,"?ACTIVATED",IF(J3070&lt;&gt;"","?FAMILIAR",IF(F3070="NEW",IF(ISNA(VLOOKUP(E3070,#REF!,1,FALSE())),"?TYPE_IDENTIFIABLE","?REFERENTIAL"),"_")))))</f>
        <v/>
      </c>
      <c r="H3070" s="27" t="str">
        <f aca="false">IF(J3070&lt;&gt;1,"",IF(I3070="SBJ","CB","?"))</f>
        <v/>
      </c>
      <c r="I3070" s="24" t="str">
        <f aca="false">IF(OR(E3070="",E3070="!!!",F3070="NEW"),"",INDEX(B9:B$3062,-1+SUMPRODUCT(MAX(ROW(E9:E$3062)*(E3070=E9:E$3062)))))</f>
        <v/>
      </c>
      <c r="J3070" s="24" t="str">
        <f aca="true">IF(OR(E3070="",E3070="!!!",F3070="NEW"),"",COUNTBLANK(OFFSET(A$1,,,SUMPRODUCT(MAX(ROW(E$2:E3070)*(E3070=E$2:E3070)))))-COUNTBLANK(OFFSET(A$1,,,SUMPRODUCT(MAX(ROW(E$1:E3069)*(E2=E$1:E3069))))))</f>
        <v/>
      </c>
      <c r="K3070" s="24" t="str">
        <f aca="false">IF(OR(E3070="",E3070="!!!",F3070="NEW"),"",INDEX(J$1:J3069,SUMPRODUCT(MAX(ROW(E$1:E3069)*(E3070=E$1:E3069)))))</f>
        <v/>
      </c>
      <c r="L3070" s="31"/>
    </row>
    <row r="3071" customFormat="false" ht="15" hidden="false" customHeight="false" outlineLevel="0" collapsed="false">
      <c r="A3071" s="20" t="s">
        <v>1064</v>
      </c>
      <c r="E3071" s="23" t="str">
        <f aca="false">IF(D3071="?OLD","!!!","")</f>
        <v/>
      </c>
      <c r="F3071" s="25" t="str">
        <f aca="false">IF(OR(E3071="",E3071="!!!"),"",IF(NOT(ISNA(VLOOKUP(E3071,E$1:E3070,1,FALSE()))),"OLD",IF(AND(E3071&lt;&gt;"",E3071&lt;&gt;"!!!"),"NEW","")))</f>
        <v/>
      </c>
      <c r="G3071" s="26" t="str">
        <f aca="false">IF(OR(E3071="",E3071="!!!"),"",IF(OR(J3071=0,AND(J3071=1,K3071=1),AND(J3071=1,I3071="SBJ"),AND(J3071=1,I3071=0)),"?IN_FOCUS",IF(J3071&lt;=2,"?ACTIVATED",IF(J3071&lt;&gt;"","?FAMILIAR",IF(F3071="NEW",IF(ISNA(VLOOKUP(E3071,#REF!,1,FALSE())),"?TYPE_IDENTIFIABLE","?REFERENTIAL"),"_")))))</f>
        <v/>
      </c>
      <c r="H3071" s="27" t="str">
        <f aca="false">IF(J3071&lt;&gt;1,"",IF(I3071="SBJ","CB","?"))</f>
        <v/>
      </c>
      <c r="I3071" s="24" t="str">
        <f aca="false">IF(OR(E3071="",E3071="!!!",F3071="NEW"),"",INDEX(B10:B$3062,-1+SUMPRODUCT(MAX(ROW(E10:E$3062)*(E3071=E10:E$3062)))))</f>
        <v/>
      </c>
      <c r="J3071" s="24" t="str">
        <f aca="true">IF(OR(E3071="",E3071="!!!",F3071="NEW"),"",COUNTBLANK(OFFSET(A$1,,,SUMPRODUCT(MAX(ROW(E$2:E3071)*(E3071=E$2:E3071)))))-COUNTBLANK(OFFSET(A$1,,,SUMPRODUCT(MAX(ROW(E$1:E3070)*(E2=E$1:E3070))))))</f>
        <v/>
      </c>
      <c r="K3071" s="24" t="str">
        <f aca="false">IF(OR(E3071="",E3071="!!!",F3071="NEW"),"",INDEX(J$1:J3070,SUMPRODUCT(MAX(ROW(E$1:E3070)*(E3071=E$1:E3070)))))</f>
        <v/>
      </c>
      <c r="L3071" s="31"/>
    </row>
    <row r="3072" customFormat="false" ht="15" hidden="false" customHeight="false" outlineLevel="0" collapsed="false">
      <c r="A3072" s="20" t="s">
        <v>1179</v>
      </c>
      <c r="B3072" s="22" t="s">
        <v>1098</v>
      </c>
      <c r="C3072" s="22" t="s">
        <v>1082</v>
      </c>
      <c r="D3072" s="22" t="s">
        <v>1060</v>
      </c>
      <c r="E3072" s="23" t="str">
        <f aca="false">IF(D3072="?OLD","!!!","")</f>
        <v>!!!</v>
      </c>
      <c r="F3072" s="25" t="str">
        <f aca="false">IF(OR(E3072="",E3072="!!!"),"",IF(NOT(ISNA(VLOOKUP(E3072,E$1:E3071,1,FALSE()))),"OLD",IF(AND(E3072&lt;&gt;"",E3072&lt;&gt;"!!!"),"NEW","")))</f>
        <v/>
      </c>
      <c r="G3072" s="26" t="str">
        <f aca="false">IF(OR(E3072="",E3072="!!!"),"",IF(OR(J3072=0,AND(J3072=1,K3072=1),AND(J3072=1,I3072="SBJ"),AND(J3072=1,I3072=0)),"?IN_FOCUS",IF(J3072&lt;=2,"?ACTIVATED",IF(J3072&lt;&gt;"","?FAMILIAR",IF(F3072="NEW",IF(ISNA(VLOOKUP(E3072,#REF!,1,FALSE())),"?TYPE_IDENTIFIABLE","?REFERENTIAL"),"_")))))</f>
        <v/>
      </c>
      <c r="H3072" s="27" t="str">
        <f aca="false">IF(J3072&lt;&gt;1,"",IF(I3072="SBJ","CB","?"))</f>
        <v/>
      </c>
      <c r="I3072" s="24" t="str">
        <f aca="false">IF(OR(E3072="",E3072="!!!",F3072="NEW"),"",INDEX(B11:B$3062,-1+SUMPRODUCT(MAX(ROW(E11:E$3062)*(E3072=E11:E$3062)))))</f>
        <v/>
      </c>
      <c r="J3072" s="24" t="str">
        <f aca="true">IF(OR(E3072="",E3072="!!!",F3072="NEW"),"",COUNTBLANK(OFFSET(A$1,,,SUMPRODUCT(MAX(ROW(E$2:E3072)*(E3072=E$2:E3072)))))-COUNTBLANK(OFFSET(A$1,,,SUMPRODUCT(MAX(ROW(E$1:E3071)*(E2=E$1:E3071))))))</f>
        <v/>
      </c>
      <c r="K3072" s="24" t="str">
        <f aca="false">IF(OR(E3072="",E3072="!!!",F3072="NEW"),"",INDEX(J$1:J3071,SUMPRODUCT(MAX(ROW(E$1:E3071)*(E3072=E$1:E3071)))))</f>
        <v/>
      </c>
      <c r="L3072" s="31"/>
    </row>
    <row r="3073" customFormat="false" ht="15" hidden="false" customHeight="false" outlineLevel="0" collapsed="false">
      <c r="A3073" s="20" t="s">
        <v>1393</v>
      </c>
      <c r="E3073" s="23" t="str">
        <f aca="false">IF(D3073="?OLD","!!!","")</f>
        <v/>
      </c>
      <c r="F3073" s="25" t="str">
        <f aca="false">IF(OR(E3073="",E3073="!!!"),"",IF(NOT(ISNA(VLOOKUP(E3073,E$1:E3072,1,FALSE()))),"OLD",IF(AND(E3073&lt;&gt;"",E3073&lt;&gt;"!!!"),"NEW","")))</f>
        <v/>
      </c>
      <c r="G3073" s="26" t="str">
        <f aca="false">IF(OR(E3073="",E3073="!!!"),"",IF(OR(J3073=0,AND(J3073=1,K3073=1),AND(J3073=1,I3073="SBJ"),AND(J3073=1,I3073=0)),"?IN_FOCUS",IF(J3073&lt;=2,"?ACTIVATED",IF(J3073&lt;&gt;"","?FAMILIAR",IF(F3073="NEW",IF(ISNA(VLOOKUP(E3073,#REF!,1,FALSE())),"?TYPE_IDENTIFIABLE","?REFERENTIAL"),"_")))))</f>
        <v/>
      </c>
      <c r="H3073" s="27" t="str">
        <f aca="false">IF(J3073&lt;&gt;1,"",IF(I3073="SBJ","CB","?"))</f>
        <v/>
      </c>
      <c r="I3073" s="24" t="str">
        <f aca="false">IF(OR(E3073="",E3073="!!!",F3073="NEW"),"",INDEX(B12:B$3062,-1+SUMPRODUCT(MAX(ROW(E12:E$3062)*(E3073=E12:E$3062)))))</f>
        <v/>
      </c>
      <c r="J3073" s="24" t="str">
        <f aca="true">IF(OR(E3073="",E3073="!!!",F3073="NEW"),"",COUNTBLANK(OFFSET(A$1,,,SUMPRODUCT(MAX(ROW(E$2:E3073)*(E3073=E$2:E3073)))))-COUNTBLANK(OFFSET(A$1,,,SUMPRODUCT(MAX(ROW(E$1:E3072)*(E2=E$1:E3072))))))</f>
        <v/>
      </c>
      <c r="K3073" s="24" t="str">
        <f aca="false">IF(OR(E3073="",E3073="!!!",F3073="NEW"),"",INDEX(J$1:J3072,SUMPRODUCT(MAX(ROW(E$1:E3072)*(E3073=E$1:E3072)))))</f>
        <v/>
      </c>
      <c r="L3073" s="31"/>
    </row>
    <row r="3074" customFormat="false" ht="15" hidden="false" customHeight="false" outlineLevel="0" collapsed="false">
      <c r="A3074" s="20" t="s">
        <v>643</v>
      </c>
      <c r="E3074" s="23" t="str">
        <f aca="false">IF(D3074="?OLD","!!!","")</f>
        <v/>
      </c>
      <c r="F3074" s="25" t="str">
        <f aca="false">IF(OR(E3074="",E3074="!!!"),"",IF(NOT(ISNA(VLOOKUP(E3074,E$1:E3073,1,FALSE()))),"OLD",IF(AND(E3074&lt;&gt;"",E3074&lt;&gt;"!!!"),"NEW","")))</f>
        <v/>
      </c>
      <c r="G3074" s="26" t="str">
        <f aca="false">IF(OR(E3074="",E3074="!!!"),"",IF(OR(J3074=0,AND(J3074=1,K3074=1),AND(J3074=1,I3074="SBJ"),AND(J3074=1,I3074=0)),"?IN_FOCUS",IF(J3074&lt;=2,"?ACTIVATED",IF(J3074&lt;&gt;"","?FAMILIAR",IF(F3074="NEW",IF(ISNA(VLOOKUP(E3074,#REF!,1,FALSE())),"?TYPE_IDENTIFIABLE","?REFERENTIAL"),"_")))))</f>
        <v/>
      </c>
      <c r="H3074" s="27" t="str">
        <f aca="false">IF(J3074&lt;&gt;1,"",IF(I3074="SBJ","CB","?"))</f>
        <v/>
      </c>
      <c r="I3074" s="24" t="str">
        <f aca="false">IF(OR(E3074="",E3074="!!!",F3074="NEW"),"",INDEX(B13:B$3062,-1+SUMPRODUCT(MAX(ROW(E13:E$3062)*(E3074=E13:E$3062)))))</f>
        <v/>
      </c>
      <c r="J3074" s="24" t="str">
        <f aca="true">IF(OR(E3074="",E3074="!!!",F3074="NEW"),"",COUNTBLANK(OFFSET(A$1,,,SUMPRODUCT(MAX(ROW(E$2:E3074)*(E3074=E$2:E3074)))))-COUNTBLANK(OFFSET(A$1,,,SUMPRODUCT(MAX(ROW(E$1:E3073)*(E2=E$1:E3073))))))</f>
        <v/>
      </c>
      <c r="K3074" s="24" t="str">
        <f aca="false">IF(OR(E3074="",E3074="!!!",F3074="NEW"),"",INDEX(J$1:J3073,SUMPRODUCT(MAX(ROW(E$1:E3073)*(E3074=E$1:E3073)))))</f>
        <v/>
      </c>
      <c r="L3074" s="31"/>
    </row>
    <row r="3075" customFormat="false" ht="15" hidden="false" customHeight="false" outlineLevel="0" collapsed="false">
      <c r="A3075" s="20" t="s">
        <v>1232</v>
      </c>
      <c r="E3075" s="23" t="str">
        <f aca="false">IF(D3075="?OLD","!!!","")</f>
        <v/>
      </c>
      <c r="F3075" s="25" t="str">
        <f aca="false">IF(OR(E3075="",E3075="!!!"),"",IF(NOT(ISNA(VLOOKUP(E3075,E$1:E3074,1,FALSE()))),"OLD",IF(AND(E3075&lt;&gt;"",E3075&lt;&gt;"!!!"),"NEW","")))</f>
        <v/>
      </c>
      <c r="G3075" s="26" t="str">
        <f aca="false">IF(OR(E3075="",E3075="!!!"),"",IF(OR(J3075=0,AND(J3075=1,K3075=1),AND(J3075=1,I3075="SBJ"),AND(J3075=1,I3075=0)),"?IN_FOCUS",IF(J3075&lt;=2,"?ACTIVATED",IF(J3075&lt;&gt;"","?FAMILIAR",IF(F3075="NEW",IF(ISNA(VLOOKUP(E3075,#REF!,1,FALSE())),"?TYPE_IDENTIFIABLE","?REFERENTIAL"),"_")))))</f>
        <v/>
      </c>
      <c r="H3075" s="27" t="str">
        <f aca="false">IF(J3075&lt;&gt;1,"",IF(I3075="SBJ","CB","?"))</f>
        <v/>
      </c>
      <c r="I3075" s="24" t="str">
        <f aca="false">IF(OR(E3075="",E3075="!!!",F3075="NEW"),"",INDEX(B14:B$3062,-1+SUMPRODUCT(MAX(ROW(E14:E$3062)*(E3075=E14:E$3062)))))</f>
        <v/>
      </c>
      <c r="J3075" s="24" t="str">
        <f aca="true">IF(OR(E3075="",E3075="!!!",F3075="NEW"),"",COUNTBLANK(OFFSET(A$1,,,SUMPRODUCT(MAX(ROW(E$2:E3075)*(E3075=E$2:E3075)))))-COUNTBLANK(OFFSET(A$1,,,SUMPRODUCT(MAX(ROW(E$1:E3074)*(E2=E$1:E3074))))))</f>
        <v/>
      </c>
      <c r="K3075" s="24" t="str">
        <f aca="false">IF(OR(E3075="",E3075="!!!",F3075="NEW"),"",INDEX(J$1:J3074,SUMPRODUCT(MAX(ROW(E$1:E3074)*(E3075=E$1:E3074)))))</f>
        <v/>
      </c>
      <c r="L3075" s="31"/>
    </row>
    <row r="3076" customFormat="false" ht="15" hidden="false" customHeight="false" outlineLevel="0" collapsed="false">
      <c r="A3076" s="20" t="s">
        <v>1213</v>
      </c>
      <c r="E3076" s="23" t="str">
        <f aca="false">IF(D3076="?OLD","!!!","")</f>
        <v/>
      </c>
      <c r="F3076" s="25" t="str">
        <f aca="false">IF(OR(E3076="",E3076="!!!"),"",IF(NOT(ISNA(VLOOKUP(E3076,E$1:E3075,1,FALSE()))),"OLD",IF(AND(E3076&lt;&gt;"",E3076&lt;&gt;"!!!"),"NEW","")))</f>
        <v/>
      </c>
      <c r="G3076" s="26" t="str">
        <f aca="false">IF(OR(E3076="",E3076="!!!"),"",IF(OR(J3076=0,AND(J3076=1,K3076=1),AND(J3076=1,I3076="SBJ"),AND(J3076=1,I3076=0)),"?IN_FOCUS",IF(J3076&lt;=2,"?ACTIVATED",IF(J3076&lt;&gt;"","?FAMILIAR",IF(F3076="NEW",IF(ISNA(VLOOKUP(E3076,#REF!,1,FALSE())),"?TYPE_IDENTIFIABLE","?REFERENTIAL"),"_")))))</f>
        <v/>
      </c>
      <c r="H3076" s="27" t="str">
        <f aca="false">IF(J3076&lt;&gt;1,"",IF(I3076="SBJ","CB","?"))</f>
        <v/>
      </c>
      <c r="I3076" s="24" t="str">
        <f aca="false">IF(OR(E3076="",E3076="!!!",F3076="NEW"),"",INDEX(B15:B$3062,-1+SUMPRODUCT(MAX(ROW(E15:E$3062)*(E3076=E15:E$3062)))))</f>
        <v/>
      </c>
      <c r="J3076" s="24" t="str">
        <f aca="true">IF(OR(E3076="",E3076="!!!",F3076="NEW"),"",COUNTBLANK(OFFSET(A$1,,,SUMPRODUCT(MAX(ROW(E$2:E3076)*(E3076=E$2:E3076)))))-COUNTBLANK(OFFSET(A$1,,,SUMPRODUCT(MAX(ROW(E$1:E3075)*(E2=E$1:E3075))))))</f>
        <v/>
      </c>
      <c r="K3076" s="24" t="str">
        <f aca="false">IF(OR(E3076="",E3076="!!!",F3076="NEW"),"",INDEX(J$1:J3075,SUMPRODUCT(MAX(ROW(E$1:E3075)*(E3076=E$1:E3075)))))</f>
        <v/>
      </c>
      <c r="L3076" s="31"/>
    </row>
    <row r="3077" customFormat="false" ht="15" hidden="false" customHeight="false" outlineLevel="0" collapsed="false">
      <c r="A3077" s="20" t="s">
        <v>1304</v>
      </c>
      <c r="B3077" s="22" t="s">
        <v>1067</v>
      </c>
      <c r="C3077" s="22" t="s">
        <v>1082</v>
      </c>
      <c r="D3077" s="22" t="s">
        <v>1060</v>
      </c>
      <c r="E3077" s="23" t="str">
        <f aca="false">IF(D3077="?OLD","!!!","")</f>
        <v>!!!</v>
      </c>
      <c r="F3077" s="25" t="str">
        <f aca="false">IF(OR(E3077="",E3077="!!!"),"",IF(NOT(ISNA(VLOOKUP(E3077,E$1:E3076,1,FALSE()))),"OLD",IF(AND(E3077&lt;&gt;"",E3077&lt;&gt;"!!!"),"NEW","")))</f>
        <v/>
      </c>
      <c r="G3077" s="26" t="str">
        <f aca="false">IF(OR(E3077="",E3077="!!!"),"",IF(OR(J3077=0,AND(J3077=1,K3077=1),AND(J3077=1,I3077="SBJ"),AND(J3077=1,I3077=0)),"?IN_FOCUS",IF(J3077&lt;=2,"?ACTIVATED",IF(J3077&lt;&gt;"","?FAMILIAR",IF(F3077="NEW",IF(ISNA(VLOOKUP(E3077,#REF!,1,FALSE())),"?TYPE_IDENTIFIABLE","?REFERENTIAL"),"_")))))</f>
        <v/>
      </c>
      <c r="H3077" s="27" t="str">
        <f aca="false">IF(J3077&lt;&gt;1,"",IF(I3077="SBJ","CB","?"))</f>
        <v/>
      </c>
      <c r="I3077" s="24" t="str">
        <f aca="false">IF(OR(E3077="",E3077="!!!",F3077="NEW"),"",INDEX(B16:B$3062,-1+SUMPRODUCT(MAX(ROW(E16:E$3062)*(E3077=E16:E$3062)))))</f>
        <v/>
      </c>
      <c r="J3077" s="24" t="str">
        <f aca="true">IF(OR(E3077="",E3077="!!!",F3077="NEW"),"",COUNTBLANK(OFFSET(A$1,,,SUMPRODUCT(MAX(ROW(E$2:E3077)*(E3077=E$2:E3077)))))-COUNTBLANK(OFFSET(A$1,,,SUMPRODUCT(MAX(ROW(E$1:E3076)*(E2=E$1:E3076))))))</f>
        <v/>
      </c>
      <c r="K3077" s="24" t="str">
        <f aca="false">IF(OR(E3077="",E3077="!!!",F3077="NEW"),"",INDEX(J$1:J3076,SUMPRODUCT(MAX(ROW(E$1:E3076)*(E3077=E$1:E3076)))))</f>
        <v/>
      </c>
      <c r="L3077" s="31"/>
    </row>
    <row r="3078" customFormat="false" ht="15" hidden="false" customHeight="false" outlineLevel="0" collapsed="false">
      <c r="A3078" s="20" t="s">
        <v>1095</v>
      </c>
      <c r="E3078" s="23" t="str">
        <f aca="false">IF(D3078="?OLD","!!!","")</f>
        <v/>
      </c>
      <c r="F3078" s="25" t="str">
        <f aca="false">IF(OR(E3078="",E3078="!!!"),"",IF(NOT(ISNA(VLOOKUP(E3078,E$1:E3077,1,FALSE()))),"OLD",IF(AND(E3078&lt;&gt;"",E3078&lt;&gt;"!!!"),"NEW","")))</f>
        <v/>
      </c>
      <c r="G3078" s="26" t="str">
        <f aca="false">IF(OR(E3078="",E3078="!!!"),"",IF(OR(J3078=0,AND(J3078=1,K3078=1),AND(J3078=1,I3078="SBJ"),AND(J3078=1,I3078=0)),"?IN_FOCUS",IF(J3078&lt;=2,"?ACTIVATED",IF(J3078&lt;&gt;"","?FAMILIAR",IF(F3078="NEW",IF(ISNA(VLOOKUP(E3078,#REF!,1,FALSE())),"?TYPE_IDENTIFIABLE","?REFERENTIAL"),"_")))))</f>
        <v/>
      </c>
      <c r="H3078" s="27" t="str">
        <f aca="false">IF(J3078&lt;&gt;1,"",IF(I3078="SBJ","CB","?"))</f>
        <v/>
      </c>
      <c r="I3078" s="24" t="str">
        <f aca="false">IF(OR(E3078="",E3078="!!!",F3078="NEW"),"",INDEX(B17:B$3062,-1+SUMPRODUCT(MAX(ROW(E17:E$3062)*(E3078=E17:E$3062)))))</f>
        <v/>
      </c>
      <c r="J3078" s="24" t="str">
        <f aca="true">IF(OR(E3078="",E3078="!!!",F3078="NEW"),"",COUNTBLANK(OFFSET(A$1,,,SUMPRODUCT(MAX(ROW(E$2:E3078)*(E3078=E$2:E3078)))))-COUNTBLANK(OFFSET(A$1,,,SUMPRODUCT(MAX(ROW(E$1:E3077)*(E2=E$1:E3077))))))</f>
        <v/>
      </c>
      <c r="K3078" s="24" t="str">
        <f aca="false">IF(OR(E3078="",E3078="!!!",F3078="NEW"),"",INDEX(J$1:J3077,SUMPRODUCT(MAX(ROW(E$1:E3077)*(E3078=E$1:E3077)))))</f>
        <v/>
      </c>
      <c r="L3078" s="31"/>
    </row>
    <row r="3079" customFormat="false" ht="15" hidden="false" customHeight="false" outlineLevel="0" collapsed="false">
      <c r="A3079" s="20" t="s">
        <v>1109</v>
      </c>
      <c r="E3079" s="23" t="str">
        <f aca="false">IF(D3079="?OLD","!!!","")</f>
        <v/>
      </c>
      <c r="F3079" s="25" t="str">
        <f aca="false">IF(OR(E3079="",E3079="!!!"),"",IF(NOT(ISNA(VLOOKUP(E3079,E$1:E3078,1,FALSE()))),"OLD",IF(AND(E3079&lt;&gt;"",E3079&lt;&gt;"!!!"),"NEW","")))</f>
        <v/>
      </c>
      <c r="G3079" s="26" t="str">
        <f aca="false">IF(OR(E3079="",E3079="!!!"),"",IF(OR(J3079=0,AND(J3079=1,K3079=1),AND(J3079=1,I3079="SBJ"),AND(J3079=1,I3079=0)),"?IN_FOCUS",IF(J3079&lt;=2,"?ACTIVATED",IF(J3079&lt;&gt;"","?FAMILIAR",IF(F3079="NEW",IF(ISNA(VLOOKUP(E3079,#REF!,1,FALSE())),"?TYPE_IDENTIFIABLE","?REFERENTIAL"),"_")))))</f>
        <v/>
      </c>
      <c r="H3079" s="27" t="str">
        <f aca="false">IF(J3079&lt;&gt;1,"",IF(I3079="SBJ","CB","?"))</f>
        <v/>
      </c>
      <c r="I3079" s="24" t="str">
        <f aca="false">IF(OR(E3079="",E3079="!!!",F3079="NEW"),"",INDEX(B18:B$3062,-1+SUMPRODUCT(MAX(ROW(E18:E$3062)*(E3079=E18:E$3062)))))</f>
        <v/>
      </c>
      <c r="J3079" s="24" t="str">
        <f aca="true">IF(OR(E3079="",E3079="!!!",F3079="NEW"),"",COUNTBLANK(OFFSET(A$1,,,SUMPRODUCT(MAX(ROW(E$2:E3079)*(E3079=E$2:E3079)))))-COUNTBLANK(OFFSET(A$1,,,SUMPRODUCT(MAX(ROW(E$1:E3078)*(E2=E$1:E3078))))))</f>
        <v/>
      </c>
      <c r="K3079" s="24" t="str">
        <f aca="false">IF(OR(E3079="",E3079="!!!",F3079="NEW"),"",INDEX(J$1:J3078,SUMPRODUCT(MAX(ROW(E$1:E3078)*(E3079=E$1:E3078)))))</f>
        <v/>
      </c>
      <c r="L3079" s="31"/>
    </row>
    <row r="3080" customFormat="false" ht="15" hidden="false" customHeight="false" outlineLevel="0" collapsed="false">
      <c r="A3080" s="20" t="s">
        <v>1273</v>
      </c>
      <c r="B3080" s="22" t="s">
        <v>1067</v>
      </c>
      <c r="C3080" s="22" t="s">
        <v>1150</v>
      </c>
      <c r="D3080" s="22" t="s">
        <v>1060</v>
      </c>
      <c r="E3080" s="23" t="str">
        <f aca="false">IF(D3080="?OLD","!!!","")</f>
        <v>!!!</v>
      </c>
      <c r="F3080" s="25" t="str">
        <f aca="false">IF(OR(E3080="",E3080="!!!"),"",IF(NOT(ISNA(VLOOKUP(E3080,E$1:E3079,1,FALSE()))),"OLD",IF(AND(E3080&lt;&gt;"",E3080&lt;&gt;"!!!"),"NEW","")))</f>
        <v/>
      </c>
      <c r="G3080" s="26" t="str">
        <f aca="false">IF(OR(E3080="",E3080="!!!"),"",IF(OR(J3080=0,AND(J3080=1,K3080=1),AND(J3080=1,I3080="SBJ"),AND(J3080=1,I3080=0)),"?IN_FOCUS",IF(J3080&lt;=2,"?ACTIVATED",IF(J3080&lt;&gt;"","?FAMILIAR",IF(F3080="NEW",IF(ISNA(VLOOKUP(E3080,#REF!,1,FALSE())),"?TYPE_IDENTIFIABLE","?REFERENTIAL"),"_")))))</f>
        <v/>
      </c>
      <c r="H3080" s="27" t="str">
        <f aca="false">IF(J3080&lt;&gt;1,"",IF(I3080="SBJ","CB","?"))</f>
        <v/>
      </c>
      <c r="I3080" s="24" t="str">
        <f aca="false">IF(OR(E3080="",E3080="!!!",F3080="NEW"),"",INDEX(B19:B$3062,-1+SUMPRODUCT(MAX(ROW(E19:E$3062)*(E3080=E19:E$3062)))))</f>
        <v/>
      </c>
      <c r="J3080" s="24" t="str">
        <f aca="true">IF(OR(E3080="",E3080="!!!",F3080="NEW"),"",COUNTBLANK(OFFSET(A$1,,,SUMPRODUCT(MAX(ROW(E$2:E3080)*(E3080=E$2:E3080)))))-COUNTBLANK(OFFSET(A$1,,,SUMPRODUCT(MAX(ROW(E$1:E3079)*(E2=E$1:E3079))))))</f>
        <v/>
      </c>
      <c r="K3080" s="24" t="str">
        <f aca="false">IF(OR(E3080="",E3080="!!!",F3080="NEW"),"",INDEX(J$1:J3079,SUMPRODUCT(MAX(ROW(E$1:E3079)*(E3080=E$1:E3079)))))</f>
        <v/>
      </c>
      <c r="L3080" s="31"/>
    </row>
    <row r="3081" customFormat="false" ht="15" hidden="false" customHeight="false" outlineLevel="0" collapsed="false">
      <c r="A3081" s="20" t="s">
        <v>923</v>
      </c>
      <c r="E3081" s="23" t="str">
        <f aca="false">IF(D3081="?OLD","!!!","")</f>
        <v/>
      </c>
      <c r="F3081" s="25" t="str">
        <f aca="false">IF(OR(E3081="",E3081="!!!"),"",IF(NOT(ISNA(VLOOKUP(E3081,E$1:E3080,1,FALSE()))),"OLD",IF(AND(E3081&lt;&gt;"",E3081&lt;&gt;"!!!"),"NEW","")))</f>
        <v/>
      </c>
      <c r="G3081" s="26" t="str">
        <f aca="false">IF(OR(E3081="",E3081="!!!"),"",IF(OR(J3081=0,AND(J3081=1,K3081=1),AND(J3081=1,I3081="SBJ"),AND(J3081=1,I3081=0)),"?IN_FOCUS",IF(J3081&lt;=2,"?ACTIVATED",IF(J3081&lt;&gt;"","?FAMILIAR",IF(F3081="NEW",IF(ISNA(VLOOKUP(E3081,#REF!,1,FALSE())),"?TYPE_IDENTIFIABLE","?REFERENTIAL"),"_")))))</f>
        <v/>
      </c>
      <c r="H3081" s="27" t="str">
        <f aca="false">IF(J3081&lt;&gt;1,"",IF(I3081="SBJ","CB","?"))</f>
        <v/>
      </c>
      <c r="I3081" s="24" t="str">
        <f aca="false">IF(OR(E3081="",E3081="!!!",F3081="NEW"),"",INDEX(B20:B$3062,-1+SUMPRODUCT(MAX(ROW(E20:E$3062)*(E3081=E20:E$3062)))))</f>
        <v/>
      </c>
      <c r="J3081" s="24" t="str">
        <f aca="true">IF(OR(E3081="",E3081="!!!",F3081="NEW"),"",COUNTBLANK(OFFSET(A$1,,,SUMPRODUCT(MAX(ROW(E$2:E3081)*(E3081=E$2:E3081)))))-COUNTBLANK(OFFSET(A$1,,,SUMPRODUCT(MAX(ROW(E$1:E3080)*(E2=E$1:E3080))))))</f>
        <v/>
      </c>
      <c r="K3081" s="24" t="str">
        <f aca="false">IF(OR(E3081="",E3081="!!!",F3081="NEW"),"",INDEX(J$1:J3080,SUMPRODUCT(MAX(ROW(E$1:E3080)*(E3081=E$1:E3080)))))</f>
        <v/>
      </c>
      <c r="L3081" s="31"/>
    </row>
    <row r="3082" customFormat="false" ht="15" hidden="false" customHeight="false" outlineLevel="0" collapsed="false">
      <c r="A3082" s="20" t="s">
        <v>607</v>
      </c>
      <c r="E3082" s="23" t="str">
        <f aca="false">IF(D3082="?OLD","!!!","")</f>
        <v/>
      </c>
      <c r="F3082" s="25" t="str">
        <f aca="false">IF(OR(E3082="",E3082="!!!"),"",IF(NOT(ISNA(VLOOKUP(E3082,E$1:E3081,1,FALSE()))),"OLD",IF(AND(E3082&lt;&gt;"",E3082&lt;&gt;"!!!"),"NEW","")))</f>
        <v/>
      </c>
      <c r="G3082" s="26" t="str">
        <f aca="false">IF(OR(E3082="",E3082="!!!"),"",IF(OR(J3082=0,AND(J3082=1,K3082=1),AND(J3082=1,I3082="SBJ"),AND(J3082=1,I3082=0)),"?IN_FOCUS",IF(J3082&lt;=2,"?ACTIVATED",IF(J3082&lt;&gt;"","?FAMILIAR",IF(F3082="NEW",IF(ISNA(VLOOKUP(E3082,#REF!,1,FALSE())),"?TYPE_IDENTIFIABLE","?REFERENTIAL"),"_")))))</f>
        <v/>
      </c>
      <c r="H3082" s="27" t="str">
        <f aca="false">IF(J3082&lt;&gt;1,"",IF(I3082="SBJ","CB","?"))</f>
        <v/>
      </c>
      <c r="I3082" s="24" t="str">
        <f aca="false">IF(OR(E3082="",E3082="!!!",F3082="NEW"),"",INDEX(B21:B$3062,-1+SUMPRODUCT(MAX(ROW(E21:E$3062)*(E3082=E21:E$3062)))))</f>
        <v/>
      </c>
      <c r="J3082" s="24" t="str">
        <f aca="true">IF(OR(E3082="",E3082="!!!",F3082="NEW"),"",COUNTBLANK(OFFSET(A$1,,,SUMPRODUCT(MAX(ROW(E$2:E3082)*(E3082=E$2:E3082)))))-COUNTBLANK(OFFSET(A$1,,,SUMPRODUCT(MAX(ROW(E$1:E3081)*(E2=E$1:E3081))))))</f>
        <v/>
      </c>
      <c r="K3082" s="24" t="str">
        <f aca="false">IF(OR(E3082="",E3082="!!!",F3082="NEW"),"",INDEX(J$1:J3081,SUMPRODUCT(MAX(ROW(E$1:E3081)*(E3082=E$1:E3081)))))</f>
        <v/>
      </c>
      <c r="L3082" s="31"/>
    </row>
    <row r="3083" customFormat="false" ht="15" hidden="false" customHeight="false" outlineLevel="0" collapsed="false">
      <c r="A3083" s="20"/>
    </row>
    <row r="3084" customFormat="false" ht="15" hidden="false" customHeight="false" outlineLevel="0" collapsed="false">
      <c r="A3084" s="20" t="s">
        <v>2088</v>
      </c>
    </row>
    <row r="3085" customFormat="false" ht="15" hidden="false" customHeight="false" outlineLevel="0" collapsed="false">
      <c r="A3085" s="20" t="s">
        <v>1561</v>
      </c>
      <c r="B3085" s="22" t="s">
        <v>1058</v>
      </c>
      <c r="C3085" s="22" t="s">
        <v>1082</v>
      </c>
      <c r="D3085" s="22" t="s">
        <v>1060</v>
      </c>
      <c r="E3085" s="23" t="str">
        <f aca="false">IF(D3085="?OLD","!!!","")</f>
        <v>!!!</v>
      </c>
      <c r="F3085" s="25" t="str">
        <f aca="false">IF(OR(E3085="",E3085="!!!"),"",IF(NOT(ISNA(VLOOKUP(E3085,E$1:E3084,1,FALSE()))),"OLD",IF(AND(E3085&lt;&gt;"",E3085&lt;&gt;"!!!"),"NEW","")))</f>
        <v/>
      </c>
      <c r="G3085" s="26" t="str">
        <f aca="false">IF(OR(E3085="",E3085="!!!"),"",IF(OR(J3085=0,AND(J3085=1,K3085=1),AND(J3085=1,I3085="SBJ"),AND(J3085=1,I3085=0)),"?IN_FOCUS",IF(J3085&lt;=2,"?ACTIVATED",IF(J3085&lt;&gt;"","?FAMILIAR",IF(F3085="NEW",IF(ISNA(VLOOKUP(E3085,#REF!,1,FALSE())),"?TYPE_IDENTIFIABLE","?REFERENTIAL"),"_")))))</f>
        <v/>
      </c>
      <c r="H3085" s="27" t="str">
        <f aca="false">IF(J3085&lt;&gt;1,"",IF(I3085="SBJ","CB","?"))</f>
        <v/>
      </c>
      <c r="I3085" s="24" t="str">
        <f aca="false">IF(OR(E3085="",E3085="!!!",F3085="NEW"),"",INDEX(B2:B$3084,-1+SUMPRODUCT(MAX(ROW(E2:E$3084)*(E3085=E2:E$3084)))))</f>
        <v/>
      </c>
      <c r="J3085" s="24" t="str">
        <f aca="true">IF(OR(E3085="",E3085="!!!",F3085="NEW"),"",COUNTBLANK(OFFSET(A$1,,,SUMPRODUCT(MAX(ROW(E$2:E3085)*(E3085=E$2:E3085)))))-COUNTBLANK(OFFSET(A$1,,,SUMPRODUCT(MAX(ROW(E$1:E3084)*(E2=E$1:E3084))))))</f>
        <v/>
      </c>
      <c r="K3085" s="24" t="str">
        <f aca="false">IF(OR(E3085="",E3085="!!!",F3085="NEW"),"",INDEX(J$1:J3084,SUMPRODUCT(MAX(ROW(E$1:E3084)*(E3085=E$1:E3084)))))</f>
        <v/>
      </c>
      <c r="L3085" s="31"/>
    </row>
    <row r="3086" customFormat="false" ht="15" hidden="false" customHeight="false" outlineLevel="0" collapsed="false">
      <c r="A3086" s="20" t="s">
        <v>2089</v>
      </c>
      <c r="E3086" s="23" t="str">
        <f aca="false">IF(D3086="?OLD","!!!","")</f>
        <v/>
      </c>
      <c r="F3086" s="25" t="str">
        <f aca="false">IF(OR(E3086="",E3086="!!!"),"",IF(NOT(ISNA(VLOOKUP(E3086,E$1:E3085,1,FALSE()))),"OLD",IF(AND(E3086&lt;&gt;"",E3086&lt;&gt;"!!!"),"NEW","")))</f>
        <v/>
      </c>
      <c r="G3086" s="26" t="str">
        <f aca="false">IF(OR(E3086="",E3086="!!!"),"",IF(OR(J3086=0,AND(J3086=1,K3086=1),AND(J3086=1,I3086="SBJ"),AND(J3086=1,I3086=0)),"?IN_FOCUS",IF(J3086&lt;=2,"?ACTIVATED",IF(J3086&lt;&gt;"","?FAMILIAR",IF(F3086="NEW",IF(ISNA(VLOOKUP(E3086,#REF!,1,FALSE())),"?TYPE_IDENTIFIABLE","?REFERENTIAL"),"_")))))</f>
        <v/>
      </c>
      <c r="H3086" s="27" t="str">
        <f aca="false">IF(J3086&lt;&gt;1,"",IF(I3086="SBJ","CB","?"))</f>
        <v/>
      </c>
      <c r="I3086" s="24" t="str">
        <f aca="false">IF(OR(E3086="",E3086="!!!",F3086="NEW"),"",INDEX(B3:B$3084,-1+SUMPRODUCT(MAX(ROW(E3:E$3084)*(E3086=E3:E$3084)))))</f>
        <v/>
      </c>
      <c r="J3086" s="24" t="str">
        <f aca="true">IF(OR(E3086="",E3086="!!!",F3086="NEW"),"",COUNTBLANK(OFFSET(A$1,,,SUMPRODUCT(MAX(ROW(E$2:E3086)*(E3086=E$2:E3086)))))-COUNTBLANK(OFFSET(A$1,,,SUMPRODUCT(MAX(ROW(E$1:E3085)*(E2=E$1:E3085))))))</f>
        <v/>
      </c>
      <c r="K3086" s="24" t="str">
        <f aca="false">IF(OR(E3086="",E3086="!!!",F3086="NEW"),"",INDEX(J$1:J3085,SUMPRODUCT(MAX(ROW(E$1:E3085)*(E3086=E$1:E3085)))))</f>
        <v/>
      </c>
      <c r="L3086" s="31"/>
    </row>
    <row r="3087" customFormat="false" ht="15" hidden="false" customHeight="false" outlineLevel="0" collapsed="false">
      <c r="A3087" s="20" t="s">
        <v>1095</v>
      </c>
      <c r="E3087" s="23" t="str">
        <f aca="false">IF(D3087="?OLD","!!!","")</f>
        <v/>
      </c>
      <c r="F3087" s="25" t="str">
        <f aca="false">IF(OR(E3087="",E3087="!!!"),"",IF(NOT(ISNA(VLOOKUP(E3087,E$1:E3086,1,FALSE()))),"OLD",IF(AND(E3087&lt;&gt;"",E3087&lt;&gt;"!!!"),"NEW","")))</f>
        <v/>
      </c>
      <c r="G3087" s="26" t="str">
        <f aca="false">IF(OR(E3087="",E3087="!!!"),"",IF(OR(J3087=0,AND(J3087=1,K3087=1),AND(J3087=1,I3087="SBJ"),AND(J3087=1,I3087=0)),"?IN_FOCUS",IF(J3087&lt;=2,"?ACTIVATED",IF(J3087&lt;&gt;"","?FAMILIAR",IF(F3087="NEW",IF(ISNA(VLOOKUP(E3087,#REF!,1,FALSE())),"?TYPE_IDENTIFIABLE","?REFERENTIAL"),"_")))))</f>
        <v/>
      </c>
      <c r="H3087" s="27" t="str">
        <f aca="false">IF(J3087&lt;&gt;1,"",IF(I3087="SBJ","CB","?"))</f>
        <v/>
      </c>
      <c r="I3087" s="24" t="str">
        <f aca="false">IF(OR(E3087="",E3087="!!!",F3087="NEW"),"",INDEX(B4:B$3084,-1+SUMPRODUCT(MAX(ROW(E4:E$3084)*(E3087=E4:E$3084)))))</f>
        <v/>
      </c>
      <c r="J3087" s="24" t="str">
        <f aca="true">IF(OR(E3087="",E3087="!!!",F3087="NEW"),"",COUNTBLANK(OFFSET(A$1,,,SUMPRODUCT(MAX(ROW(E$2:E3087)*(E3087=E$2:E3087)))))-COUNTBLANK(OFFSET(A$1,,,SUMPRODUCT(MAX(ROW(E$1:E3086)*(E2=E$1:E3086))))))</f>
        <v/>
      </c>
      <c r="K3087" s="24" t="str">
        <f aca="false">IF(OR(E3087="",E3087="!!!",F3087="NEW"),"",INDEX(J$1:J3086,SUMPRODUCT(MAX(ROW(E$1:E3086)*(E3087=E$1:E3086)))))</f>
        <v/>
      </c>
      <c r="L3087" s="31"/>
    </row>
    <row r="3088" customFormat="false" ht="15" hidden="false" customHeight="false" outlineLevel="0" collapsed="false">
      <c r="A3088" s="20" t="s">
        <v>2090</v>
      </c>
      <c r="E3088" s="23" t="str">
        <f aca="false">IF(D3088="?OLD","!!!","")</f>
        <v/>
      </c>
      <c r="F3088" s="25" t="str">
        <f aca="false">IF(OR(E3088="",E3088="!!!"),"",IF(NOT(ISNA(VLOOKUP(E3088,E$1:E3087,1,FALSE()))),"OLD",IF(AND(E3088&lt;&gt;"",E3088&lt;&gt;"!!!"),"NEW","")))</f>
        <v/>
      </c>
      <c r="G3088" s="26" t="str">
        <f aca="false">IF(OR(E3088="",E3088="!!!"),"",IF(OR(J3088=0,AND(J3088=1,K3088=1),AND(J3088=1,I3088="SBJ"),AND(J3088=1,I3088=0)),"?IN_FOCUS",IF(J3088&lt;=2,"?ACTIVATED",IF(J3088&lt;&gt;"","?FAMILIAR",IF(F3088="NEW",IF(ISNA(VLOOKUP(E3088,#REF!,1,FALSE())),"?TYPE_IDENTIFIABLE","?REFERENTIAL"),"_")))))</f>
        <v/>
      </c>
      <c r="H3088" s="27" t="str">
        <f aca="false">IF(J3088&lt;&gt;1,"",IF(I3088="SBJ","CB","?"))</f>
        <v/>
      </c>
      <c r="I3088" s="24" t="str">
        <f aca="false">IF(OR(E3088="",E3088="!!!",F3088="NEW"),"",INDEX(B5:B$3084,-1+SUMPRODUCT(MAX(ROW(E5:E$3084)*(E3088=E5:E$3084)))))</f>
        <v/>
      </c>
      <c r="J3088" s="24" t="str">
        <f aca="true">IF(OR(E3088="",E3088="!!!",F3088="NEW"),"",COUNTBLANK(OFFSET(A$1,,,SUMPRODUCT(MAX(ROW(E$2:E3088)*(E3088=E$2:E3088)))))-COUNTBLANK(OFFSET(A$1,,,SUMPRODUCT(MAX(ROW(E$1:E3087)*(E2=E$1:E3087))))))</f>
        <v/>
      </c>
      <c r="K3088" s="24" t="str">
        <f aca="false">IF(OR(E3088="",E3088="!!!",F3088="NEW"),"",INDEX(J$1:J3087,SUMPRODUCT(MAX(ROW(E$1:E3087)*(E3088=E$1:E3087)))))</f>
        <v/>
      </c>
      <c r="L3088" s="31"/>
    </row>
    <row r="3089" customFormat="false" ht="15" hidden="false" customHeight="false" outlineLevel="0" collapsed="false">
      <c r="A3089" s="20" t="s">
        <v>1095</v>
      </c>
      <c r="E3089" s="23" t="str">
        <f aca="false">IF(D3089="?OLD","!!!","")</f>
        <v/>
      </c>
      <c r="F3089" s="25" t="str">
        <f aca="false">IF(OR(E3089="",E3089="!!!"),"",IF(NOT(ISNA(VLOOKUP(E3089,E$1:E3088,1,FALSE()))),"OLD",IF(AND(E3089&lt;&gt;"",E3089&lt;&gt;"!!!"),"NEW","")))</f>
        <v/>
      </c>
      <c r="G3089" s="26" t="str">
        <f aca="false">IF(OR(E3089="",E3089="!!!"),"",IF(OR(J3089=0,AND(J3089=1,K3089=1),AND(J3089=1,I3089="SBJ"),AND(J3089=1,I3089=0)),"?IN_FOCUS",IF(J3089&lt;=2,"?ACTIVATED",IF(J3089&lt;&gt;"","?FAMILIAR",IF(F3089="NEW",IF(ISNA(VLOOKUP(E3089,#REF!,1,FALSE())),"?TYPE_IDENTIFIABLE","?REFERENTIAL"),"_")))))</f>
        <v/>
      </c>
      <c r="H3089" s="27" t="str">
        <f aca="false">IF(J3089&lt;&gt;1,"",IF(I3089="SBJ","CB","?"))</f>
        <v/>
      </c>
      <c r="I3089" s="24" t="str">
        <f aca="false">IF(OR(E3089="",E3089="!!!",F3089="NEW"),"",INDEX(B6:B$3084,-1+SUMPRODUCT(MAX(ROW(E6:E$3084)*(E3089=E6:E$3084)))))</f>
        <v/>
      </c>
      <c r="J3089" s="24" t="str">
        <f aca="true">IF(OR(E3089="",E3089="!!!",F3089="NEW"),"",COUNTBLANK(OFFSET(A$1,,,SUMPRODUCT(MAX(ROW(E$2:E3089)*(E3089=E$2:E3089)))))-COUNTBLANK(OFFSET(A$1,,,SUMPRODUCT(MAX(ROW(E$1:E3088)*(E2=E$1:E3088))))))</f>
        <v/>
      </c>
      <c r="K3089" s="24" t="str">
        <f aca="false">IF(OR(E3089="",E3089="!!!",F3089="NEW"),"",INDEX(J$1:J3088,SUMPRODUCT(MAX(ROW(E$1:E3088)*(E3089=E$1:E3088)))))</f>
        <v/>
      </c>
      <c r="L3089" s="31"/>
    </row>
    <row r="3090" customFormat="false" ht="15" hidden="false" customHeight="false" outlineLevel="0" collapsed="false">
      <c r="A3090" s="20" t="s">
        <v>1097</v>
      </c>
      <c r="B3090" s="22" t="s">
        <v>1067</v>
      </c>
      <c r="C3090" s="22" t="s">
        <v>1099</v>
      </c>
      <c r="D3090" s="22" t="s">
        <v>1060</v>
      </c>
      <c r="E3090" s="23" t="str">
        <f aca="false">IF(D3090="?OLD","!!!","")</f>
        <v>!!!</v>
      </c>
      <c r="F3090" s="25" t="str">
        <f aca="false">IF(OR(E3090="",E3090="!!!"),"",IF(NOT(ISNA(VLOOKUP(E3090,E$1:E3089,1,FALSE()))),"OLD",IF(AND(E3090&lt;&gt;"",E3090&lt;&gt;"!!!"),"NEW","")))</f>
        <v/>
      </c>
      <c r="G3090" s="26" t="str">
        <f aca="false">IF(OR(E3090="",E3090="!!!"),"",IF(OR(J3090=0,AND(J3090=1,K3090=1),AND(J3090=1,I3090="SBJ"),AND(J3090=1,I3090=0)),"?IN_FOCUS",IF(J3090&lt;=2,"?ACTIVATED",IF(J3090&lt;&gt;"","?FAMILIAR",IF(F3090="NEW",IF(ISNA(VLOOKUP(E3090,#REF!,1,FALSE())),"?TYPE_IDENTIFIABLE","?REFERENTIAL"),"_")))))</f>
        <v/>
      </c>
      <c r="H3090" s="27" t="str">
        <f aca="false">IF(J3090&lt;&gt;1,"",IF(I3090="SBJ","CB","?"))</f>
        <v/>
      </c>
      <c r="I3090" s="24" t="str">
        <f aca="false">IF(OR(E3090="",E3090="!!!",F3090="NEW"),"",INDEX(B7:B$3084,-1+SUMPRODUCT(MAX(ROW(E7:E$3084)*(E3090=E7:E$3084)))))</f>
        <v/>
      </c>
      <c r="J3090" s="24" t="str">
        <f aca="true">IF(OR(E3090="",E3090="!!!",F3090="NEW"),"",COUNTBLANK(OFFSET(A$1,,,SUMPRODUCT(MAX(ROW(E$2:E3090)*(E3090=E$2:E3090)))))-COUNTBLANK(OFFSET(A$1,,,SUMPRODUCT(MAX(ROW(E$1:E3089)*(E2=E$1:E3089))))))</f>
        <v/>
      </c>
      <c r="K3090" s="24" t="str">
        <f aca="false">IF(OR(E3090="",E3090="!!!",F3090="NEW"),"",INDEX(J$1:J3089,SUMPRODUCT(MAX(ROW(E$1:E3089)*(E3090=E$1:E3089)))))</f>
        <v/>
      </c>
      <c r="L3090" s="31"/>
    </row>
    <row r="3091" customFormat="false" ht="15" hidden="false" customHeight="false" outlineLevel="0" collapsed="false">
      <c r="A3091" s="20" t="s">
        <v>1724</v>
      </c>
      <c r="B3091" s="22" t="s">
        <v>1073</v>
      </c>
      <c r="C3091" s="22" t="s">
        <v>1059</v>
      </c>
      <c r="D3091" s="22" t="s">
        <v>1060</v>
      </c>
      <c r="E3091" s="23" t="str">
        <f aca="false">IF(D3091="?OLD","!!!","")</f>
        <v>!!!</v>
      </c>
      <c r="F3091" s="25" t="str">
        <f aca="false">IF(OR(E3091="",E3091="!!!"),"",IF(NOT(ISNA(VLOOKUP(E3091,E$1:E3090,1,FALSE()))),"OLD",IF(AND(E3091&lt;&gt;"",E3091&lt;&gt;"!!!"),"NEW","")))</f>
        <v/>
      </c>
      <c r="G3091" s="26" t="str">
        <f aca="false">IF(OR(E3091="",E3091="!!!"),"",IF(OR(J3091=0,AND(J3091=1,K3091=1),AND(J3091=1,I3091="SBJ"),AND(J3091=1,I3091=0)),"?IN_FOCUS",IF(J3091&lt;=2,"?ACTIVATED",IF(J3091&lt;&gt;"","?FAMILIAR",IF(F3091="NEW",IF(ISNA(VLOOKUP(E3091,#REF!,1,FALSE())),"?TYPE_IDENTIFIABLE","?REFERENTIAL"),"_")))))</f>
        <v/>
      </c>
      <c r="H3091" s="27" t="str">
        <f aca="false">IF(J3091&lt;&gt;1,"",IF(I3091="SBJ","CB","?"))</f>
        <v/>
      </c>
      <c r="I3091" s="24" t="str">
        <f aca="false">IF(OR(E3091="",E3091="!!!",F3091="NEW"),"",INDEX(B8:B$3084,-1+SUMPRODUCT(MAX(ROW(E8:E$3084)*(E3091=E8:E$3084)))))</f>
        <v/>
      </c>
      <c r="J3091" s="24" t="str">
        <f aca="true">IF(OR(E3091="",E3091="!!!",F3091="NEW"),"",COUNTBLANK(OFFSET(A$1,,,SUMPRODUCT(MAX(ROW(E$2:E3091)*(E3091=E$2:E3091)))))-COUNTBLANK(OFFSET(A$1,,,SUMPRODUCT(MAX(ROW(E$1:E3090)*(E2=E$1:E3090))))))</f>
        <v/>
      </c>
      <c r="K3091" s="24" t="str">
        <f aca="false">IF(OR(E3091="",E3091="!!!",F3091="NEW"),"",INDEX(J$1:J3090,SUMPRODUCT(MAX(ROW(E$1:E3090)*(E3091=E$1:E3090)))))</f>
        <v/>
      </c>
      <c r="L3091" s="31"/>
    </row>
    <row r="3092" customFormat="false" ht="15" hidden="false" customHeight="false" outlineLevel="0" collapsed="false">
      <c r="A3092" s="20" t="s">
        <v>1183</v>
      </c>
      <c r="E3092" s="23" t="str">
        <f aca="false">IF(D3092="?OLD","!!!","")</f>
        <v/>
      </c>
      <c r="F3092" s="25" t="str">
        <f aca="false">IF(OR(E3092="",E3092="!!!"),"",IF(NOT(ISNA(VLOOKUP(E3092,E$1:E3091,1,FALSE()))),"OLD",IF(AND(E3092&lt;&gt;"",E3092&lt;&gt;"!!!"),"NEW","")))</f>
        <v/>
      </c>
      <c r="G3092" s="26" t="str">
        <f aca="false">IF(OR(E3092="",E3092="!!!"),"",IF(OR(J3092=0,AND(J3092=1,K3092=1),AND(J3092=1,I3092="SBJ"),AND(J3092=1,I3092=0)),"?IN_FOCUS",IF(J3092&lt;=2,"?ACTIVATED",IF(J3092&lt;&gt;"","?FAMILIAR",IF(F3092="NEW",IF(ISNA(VLOOKUP(E3092,#REF!,1,FALSE())),"?TYPE_IDENTIFIABLE","?REFERENTIAL"),"_")))))</f>
        <v/>
      </c>
      <c r="H3092" s="27" t="str">
        <f aca="false">IF(J3092&lt;&gt;1,"",IF(I3092="SBJ","CB","?"))</f>
        <v/>
      </c>
      <c r="I3092" s="24" t="str">
        <f aca="false">IF(OR(E3092="",E3092="!!!",F3092="NEW"),"",INDEX(B9:B$3084,-1+SUMPRODUCT(MAX(ROW(E9:E$3084)*(E3092=E9:E$3084)))))</f>
        <v/>
      </c>
      <c r="J3092" s="24" t="str">
        <f aca="true">IF(OR(E3092="",E3092="!!!",F3092="NEW"),"",COUNTBLANK(OFFSET(A$1,,,SUMPRODUCT(MAX(ROW(E$2:E3092)*(E3092=E$2:E3092)))))-COUNTBLANK(OFFSET(A$1,,,SUMPRODUCT(MAX(ROW(E$1:E3091)*(E2=E$1:E3091))))))</f>
        <v/>
      </c>
      <c r="K3092" s="24" t="str">
        <f aca="false">IF(OR(E3092="",E3092="!!!",F3092="NEW"),"",INDEX(J$1:J3091,SUMPRODUCT(MAX(ROW(E$1:E3091)*(E3092=E$1:E3091)))))</f>
        <v/>
      </c>
      <c r="L3092" s="31"/>
    </row>
    <row r="3093" customFormat="false" ht="15" hidden="false" customHeight="false" outlineLevel="0" collapsed="false">
      <c r="A3093" s="20" t="s">
        <v>1168</v>
      </c>
      <c r="E3093" s="23" t="str">
        <f aca="false">IF(D3093="?OLD","!!!","")</f>
        <v/>
      </c>
      <c r="F3093" s="25" t="str">
        <f aca="false">IF(OR(E3093="",E3093="!!!"),"",IF(NOT(ISNA(VLOOKUP(E3093,E$1:E3092,1,FALSE()))),"OLD",IF(AND(E3093&lt;&gt;"",E3093&lt;&gt;"!!!"),"NEW","")))</f>
        <v/>
      </c>
      <c r="G3093" s="26" t="str">
        <f aca="false">IF(OR(E3093="",E3093="!!!"),"",IF(OR(J3093=0,AND(J3093=1,K3093=1),AND(J3093=1,I3093="SBJ"),AND(J3093=1,I3093=0)),"?IN_FOCUS",IF(J3093&lt;=2,"?ACTIVATED",IF(J3093&lt;&gt;"","?FAMILIAR",IF(F3093="NEW",IF(ISNA(VLOOKUP(E3093,#REF!,1,FALSE())),"?TYPE_IDENTIFIABLE","?REFERENTIAL"),"_")))))</f>
        <v/>
      </c>
      <c r="H3093" s="27" t="str">
        <f aca="false">IF(J3093&lt;&gt;1,"",IF(I3093="SBJ","CB","?"))</f>
        <v/>
      </c>
      <c r="I3093" s="24" t="str">
        <f aca="false">IF(OR(E3093="",E3093="!!!",F3093="NEW"),"",INDEX(B10:B$3084,-1+SUMPRODUCT(MAX(ROW(E10:E$3084)*(E3093=E10:E$3084)))))</f>
        <v/>
      </c>
      <c r="J3093" s="24" t="str">
        <f aca="true">IF(OR(E3093="",E3093="!!!",F3093="NEW"),"",COUNTBLANK(OFFSET(A$1,,,SUMPRODUCT(MAX(ROW(E$2:E3093)*(E3093=E$2:E3093)))))-COUNTBLANK(OFFSET(A$1,,,SUMPRODUCT(MAX(ROW(E$1:E3092)*(E2=E$1:E3092))))))</f>
        <v/>
      </c>
      <c r="K3093" s="24" t="str">
        <f aca="false">IF(OR(E3093="",E3093="!!!",F3093="NEW"),"",INDEX(J$1:J3092,SUMPRODUCT(MAX(ROW(E$1:E3092)*(E3093=E$1:E3092)))))</f>
        <v/>
      </c>
      <c r="L3093" s="31"/>
    </row>
    <row r="3094" customFormat="false" ht="15" hidden="false" customHeight="false" outlineLevel="0" collapsed="false">
      <c r="A3094" s="20" t="s">
        <v>1090</v>
      </c>
      <c r="B3094" s="22" t="s">
        <v>1086</v>
      </c>
      <c r="C3094" s="22" t="s">
        <v>1082</v>
      </c>
      <c r="D3094" s="22" t="s">
        <v>1060</v>
      </c>
      <c r="E3094" s="23" t="str">
        <f aca="false">IF(D3094="?OLD","!!!","")</f>
        <v>!!!</v>
      </c>
      <c r="F3094" s="25" t="str">
        <f aca="false">IF(OR(E3094="",E3094="!!!"),"",IF(NOT(ISNA(VLOOKUP(E3094,E$1:E3093,1,FALSE()))),"OLD",IF(AND(E3094&lt;&gt;"",E3094&lt;&gt;"!!!"),"NEW","")))</f>
        <v/>
      </c>
      <c r="G3094" s="26" t="str">
        <f aca="false">IF(OR(E3094="",E3094="!!!"),"",IF(OR(J3094=0,AND(J3094=1,K3094=1),AND(J3094=1,I3094="SBJ"),AND(J3094=1,I3094=0)),"?IN_FOCUS",IF(J3094&lt;=2,"?ACTIVATED",IF(J3094&lt;&gt;"","?FAMILIAR",IF(F3094="NEW",IF(ISNA(VLOOKUP(E3094,#REF!,1,FALSE())),"?TYPE_IDENTIFIABLE","?REFERENTIAL"),"_")))))</f>
        <v/>
      </c>
      <c r="H3094" s="27" t="str">
        <f aca="false">IF(J3094&lt;&gt;1,"",IF(I3094="SBJ","CB","?"))</f>
        <v/>
      </c>
      <c r="I3094" s="24" t="str">
        <f aca="false">IF(OR(E3094="",E3094="!!!",F3094="NEW"),"",INDEX(B11:B$3084,-1+SUMPRODUCT(MAX(ROW(E11:E$3084)*(E3094=E11:E$3084)))))</f>
        <v/>
      </c>
      <c r="J3094" s="24" t="str">
        <f aca="true">IF(OR(E3094="",E3094="!!!",F3094="NEW"),"",COUNTBLANK(OFFSET(A$1,,,SUMPRODUCT(MAX(ROW(E$2:E3094)*(E3094=E$2:E3094)))))-COUNTBLANK(OFFSET(A$1,,,SUMPRODUCT(MAX(ROW(E$1:E3093)*(E2=E$1:E3093))))))</f>
        <v/>
      </c>
      <c r="K3094" s="24" t="str">
        <f aca="false">IF(OR(E3094="",E3094="!!!",F3094="NEW"),"",INDEX(J$1:J3093,SUMPRODUCT(MAX(ROW(E$1:E3093)*(E3094=E$1:E3093)))))</f>
        <v/>
      </c>
      <c r="L3094" s="31"/>
    </row>
    <row r="3095" customFormat="false" ht="15" hidden="false" customHeight="false" outlineLevel="0" collapsed="false">
      <c r="A3095" s="20" t="s">
        <v>1092</v>
      </c>
      <c r="E3095" s="23" t="str">
        <f aca="false">IF(D3095="?OLD","!!!","")</f>
        <v/>
      </c>
      <c r="F3095" s="25" t="str">
        <f aca="false">IF(OR(E3095="",E3095="!!!"),"",IF(NOT(ISNA(VLOOKUP(E3095,E$1:E3094,1,FALSE()))),"OLD",IF(AND(E3095&lt;&gt;"",E3095&lt;&gt;"!!!"),"NEW","")))</f>
        <v/>
      </c>
      <c r="G3095" s="26" t="str">
        <f aca="false">IF(OR(E3095="",E3095="!!!"),"",IF(OR(J3095=0,AND(J3095=1,K3095=1),AND(J3095=1,I3095="SBJ"),AND(J3095=1,I3095=0)),"?IN_FOCUS",IF(J3095&lt;=2,"?ACTIVATED",IF(J3095&lt;&gt;"","?FAMILIAR",IF(F3095="NEW",IF(ISNA(VLOOKUP(E3095,#REF!,1,FALSE())),"?TYPE_IDENTIFIABLE","?REFERENTIAL"),"_")))))</f>
        <v/>
      </c>
      <c r="H3095" s="27" t="str">
        <f aca="false">IF(J3095&lt;&gt;1,"",IF(I3095="SBJ","CB","?"))</f>
        <v/>
      </c>
      <c r="I3095" s="24" t="str">
        <f aca="false">IF(OR(E3095="",E3095="!!!",F3095="NEW"),"",INDEX(B12:B$3084,-1+SUMPRODUCT(MAX(ROW(E12:E$3084)*(E3095=E12:E$3084)))))</f>
        <v/>
      </c>
      <c r="J3095" s="24" t="str">
        <f aca="true">IF(OR(E3095="",E3095="!!!",F3095="NEW"),"",COUNTBLANK(OFFSET(A$1,,,SUMPRODUCT(MAX(ROW(E$2:E3095)*(E3095=E$2:E3095)))))-COUNTBLANK(OFFSET(A$1,,,SUMPRODUCT(MAX(ROW(E$1:E3094)*(E2=E$1:E3094))))))</f>
        <v/>
      </c>
      <c r="K3095" s="24" t="str">
        <f aca="false">IF(OR(E3095="",E3095="!!!",F3095="NEW"),"",INDEX(J$1:J3094,SUMPRODUCT(MAX(ROW(E$1:E3094)*(E3095=E$1:E3094)))))</f>
        <v/>
      </c>
      <c r="L3095" s="31"/>
    </row>
    <row r="3096" customFormat="false" ht="15" hidden="false" customHeight="false" outlineLevel="0" collapsed="false">
      <c r="A3096" s="20" t="s">
        <v>1683</v>
      </c>
      <c r="E3096" s="23" t="str">
        <f aca="false">IF(D3096="?OLD","!!!","")</f>
        <v/>
      </c>
      <c r="F3096" s="25" t="str">
        <f aca="false">IF(OR(E3096="",E3096="!!!"),"",IF(NOT(ISNA(VLOOKUP(E3096,E$1:E3095,1,FALSE()))),"OLD",IF(AND(E3096&lt;&gt;"",E3096&lt;&gt;"!!!"),"NEW","")))</f>
        <v/>
      </c>
      <c r="G3096" s="26" t="str">
        <f aca="false">IF(OR(E3096="",E3096="!!!"),"",IF(OR(J3096=0,AND(J3096=1,K3096=1),AND(J3096=1,I3096="SBJ"),AND(J3096=1,I3096=0)),"?IN_FOCUS",IF(J3096&lt;=2,"?ACTIVATED",IF(J3096&lt;&gt;"","?FAMILIAR",IF(F3096="NEW",IF(ISNA(VLOOKUP(E3096,#REF!,1,FALSE())),"?TYPE_IDENTIFIABLE","?REFERENTIAL"),"_")))))</f>
        <v/>
      </c>
      <c r="H3096" s="27" t="str">
        <f aca="false">IF(J3096&lt;&gt;1,"",IF(I3096="SBJ","CB","?"))</f>
        <v/>
      </c>
      <c r="I3096" s="24" t="str">
        <f aca="false">IF(OR(E3096="",E3096="!!!",F3096="NEW"),"",INDEX(B13:B$3084,-1+SUMPRODUCT(MAX(ROW(E13:E$3084)*(E3096=E13:E$3084)))))</f>
        <v/>
      </c>
      <c r="J3096" s="24" t="str">
        <f aca="true">IF(OR(E3096="",E3096="!!!",F3096="NEW"),"",COUNTBLANK(OFFSET(A$1,,,SUMPRODUCT(MAX(ROW(E$2:E3096)*(E3096=E$2:E3096)))))-COUNTBLANK(OFFSET(A$1,,,SUMPRODUCT(MAX(ROW(E$1:E3095)*(E2=E$1:E3095))))))</f>
        <v/>
      </c>
      <c r="K3096" s="24" t="str">
        <f aca="false">IF(OR(E3096="",E3096="!!!",F3096="NEW"),"",INDEX(J$1:J3095,SUMPRODUCT(MAX(ROW(E$1:E3095)*(E3096=E$1:E3095)))))</f>
        <v/>
      </c>
      <c r="L3096" s="31"/>
    </row>
    <row r="3097" customFormat="false" ht="15" hidden="false" customHeight="false" outlineLevel="0" collapsed="false">
      <c r="A3097" s="20" t="s">
        <v>2091</v>
      </c>
      <c r="E3097" s="23" t="str">
        <f aca="false">IF(D3097="?OLD","!!!","")</f>
        <v/>
      </c>
      <c r="F3097" s="25" t="str">
        <f aca="false">IF(OR(E3097="",E3097="!!!"),"",IF(NOT(ISNA(VLOOKUP(E3097,E$1:E3096,1,FALSE()))),"OLD",IF(AND(E3097&lt;&gt;"",E3097&lt;&gt;"!!!"),"NEW","")))</f>
        <v/>
      </c>
      <c r="G3097" s="26" t="str">
        <f aca="false">IF(OR(E3097="",E3097="!!!"),"",IF(OR(J3097=0,AND(J3097=1,K3097=1),AND(J3097=1,I3097="SBJ"),AND(J3097=1,I3097=0)),"?IN_FOCUS",IF(J3097&lt;=2,"?ACTIVATED",IF(J3097&lt;&gt;"","?FAMILIAR",IF(F3097="NEW",IF(ISNA(VLOOKUP(E3097,#REF!,1,FALSE())),"?TYPE_IDENTIFIABLE","?REFERENTIAL"),"_")))))</f>
        <v/>
      </c>
      <c r="H3097" s="27" t="str">
        <f aca="false">IF(J3097&lt;&gt;1,"",IF(I3097="SBJ","CB","?"))</f>
        <v/>
      </c>
      <c r="I3097" s="24" t="str">
        <f aca="false">IF(OR(E3097="",E3097="!!!",F3097="NEW"),"",INDEX(B14:B$3084,-1+SUMPRODUCT(MAX(ROW(E14:E$3084)*(E3097=E14:E$3084)))))</f>
        <v/>
      </c>
      <c r="J3097" s="24" t="str">
        <f aca="true">IF(OR(E3097="",E3097="!!!",F3097="NEW"),"",COUNTBLANK(OFFSET(A$1,,,SUMPRODUCT(MAX(ROW(E$2:E3097)*(E3097=E$2:E3097)))))-COUNTBLANK(OFFSET(A$1,,,SUMPRODUCT(MAX(ROW(E$1:E3096)*(E2=E$1:E3096))))))</f>
        <v/>
      </c>
      <c r="K3097" s="24" t="str">
        <f aca="false">IF(OR(E3097="",E3097="!!!",F3097="NEW"),"",INDEX(J$1:J3096,SUMPRODUCT(MAX(ROW(E$1:E3096)*(E3097=E$1:E3096)))))</f>
        <v/>
      </c>
      <c r="L3097" s="31"/>
    </row>
    <row r="3098" customFormat="false" ht="15" hidden="false" customHeight="false" outlineLevel="0" collapsed="false">
      <c r="A3098" s="20" t="s">
        <v>1504</v>
      </c>
      <c r="E3098" s="23" t="str">
        <f aca="false">IF(D3098="?OLD","!!!","")</f>
        <v/>
      </c>
      <c r="F3098" s="25" t="str">
        <f aca="false">IF(OR(E3098="",E3098="!!!"),"",IF(NOT(ISNA(VLOOKUP(E3098,E$1:E3097,1,FALSE()))),"OLD",IF(AND(E3098&lt;&gt;"",E3098&lt;&gt;"!!!"),"NEW","")))</f>
        <v/>
      </c>
      <c r="G3098" s="26" t="str">
        <f aca="false">IF(OR(E3098="",E3098="!!!"),"",IF(OR(J3098=0,AND(J3098=1,K3098=1),AND(J3098=1,I3098="SBJ"),AND(J3098=1,I3098=0)),"?IN_FOCUS",IF(J3098&lt;=2,"?ACTIVATED",IF(J3098&lt;&gt;"","?FAMILIAR",IF(F3098="NEW",IF(ISNA(VLOOKUP(E3098,#REF!,1,FALSE())),"?TYPE_IDENTIFIABLE","?REFERENTIAL"),"_")))))</f>
        <v/>
      </c>
      <c r="H3098" s="27" t="str">
        <f aca="false">IF(J3098&lt;&gt;1,"",IF(I3098="SBJ","CB","?"))</f>
        <v/>
      </c>
      <c r="I3098" s="24" t="str">
        <f aca="false">IF(OR(E3098="",E3098="!!!",F3098="NEW"),"",INDEX(B15:B$3084,-1+SUMPRODUCT(MAX(ROW(E15:E$3084)*(E3098=E15:E$3084)))))</f>
        <v/>
      </c>
      <c r="J3098" s="24" t="str">
        <f aca="true">IF(OR(E3098="",E3098="!!!",F3098="NEW"),"",COUNTBLANK(OFFSET(A$1,,,SUMPRODUCT(MAX(ROW(E$2:E3098)*(E3098=E$2:E3098)))))-COUNTBLANK(OFFSET(A$1,,,SUMPRODUCT(MAX(ROW(E$1:E3097)*(E2=E$1:E3097))))))</f>
        <v/>
      </c>
      <c r="K3098" s="24" t="str">
        <f aca="false">IF(OR(E3098="",E3098="!!!",F3098="NEW"),"",INDEX(J$1:J3097,SUMPRODUCT(MAX(ROW(E$1:E3097)*(E3098=E$1:E3097)))))</f>
        <v/>
      </c>
      <c r="L3098" s="31"/>
    </row>
    <row r="3099" customFormat="false" ht="15" hidden="false" customHeight="false" outlineLevel="0" collapsed="false">
      <c r="A3099" s="20" t="s">
        <v>1128</v>
      </c>
      <c r="E3099" s="23" t="str">
        <f aca="false">IF(D3099="?OLD","!!!","")</f>
        <v/>
      </c>
      <c r="F3099" s="25" t="str">
        <f aca="false">IF(OR(E3099="",E3099="!!!"),"",IF(NOT(ISNA(VLOOKUP(E3099,E$1:E3098,1,FALSE()))),"OLD",IF(AND(E3099&lt;&gt;"",E3099&lt;&gt;"!!!"),"NEW","")))</f>
        <v/>
      </c>
      <c r="G3099" s="26" t="str">
        <f aca="false">IF(OR(E3099="",E3099="!!!"),"",IF(OR(J3099=0,AND(J3099=1,K3099=1),AND(J3099=1,I3099="SBJ"),AND(J3099=1,I3099=0)),"?IN_FOCUS",IF(J3099&lt;=2,"?ACTIVATED",IF(J3099&lt;&gt;"","?FAMILIAR",IF(F3099="NEW",IF(ISNA(VLOOKUP(E3099,#REF!,1,FALSE())),"?TYPE_IDENTIFIABLE","?REFERENTIAL"),"_")))))</f>
        <v/>
      </c>
      <c r="H3099" s="27" t="str">
        <f aca="false">IF(J3099&lt;&gt;1,"",IF(I3099="SBJ","CB","?"))</f>
        <v/>
      </c>
      <c r="I3099" s="24" t="str">
        <f aca="false">IF(OR(E3099="",E3099="!!!",F3099="NEW"),"",INDEX(B16:B$3084,-1+SUMPRODUCT(MAX(ROW(E16:E$3084)*(E3099=E16:E$3084)))))</f>
        <v/>
      </c>
      <c r="J3099" s="24" t="str">
        <f aca="true">IF(OR(E3099="",E3099="!!!",F3099="NEW"),"",COUNTBLANK(OFFSET(A$1,,,SUMPRODUCT(MAX(ROW(E$2:E3099)*(E3099=E$2:E3099)))))-COUNTBLANK(OFFSET(A$1,,,SUMPRODUCT(MAX(ROW(E$1:E3098)*(E2=E$1:E3098))))))</f>
        <v/>
      </c>
      <c r="K3099" s="24" t="str">
        <f aca="false">IF(OR(E3099="",E3099="!!!",F3099="NEW"),"",INDEX(J$1:J3098,SUMPRODUCT(MAX(ROW(E$1:E3098)*(E3099=E$1:E3098)))))</f>
        <v/>
      </c>
      <c r="L3099" s="31"/>
    </row>
    <row r="3100" customFormat="false" ht="15" hidden="false" customHeight="false" outlineLevel="0" collapsed="false">
      <c r="A3100" s="20" t="s">
        <v>2092</v>
      </c>
      <c r="E3100" s="23" t="str">
        <f aca="false">IF(D3100="?OLD","!!!","")</f>
        <v/>
      </c>
      <c r="F3100" s="25" t="str">
        <f aca="false">IF(OR(E3100="",E3100="!!!"),"",IF(NOT(ISNA(VLOOKUP(E3100,E$1:E3099,1,FALSE()))),"OLD",IF(AND(E3100&lt;&gt;"",E3100&lt;&gt;"!!!"),"NEW","")))</f>
        <v/>
      </c>
      <c r="G3100" s="26" t="str">
        <f aca="false">IF(OR(E3100="",E3100="!!!"),"",IF(OR(J3100=0,AND(J3100=1,K3100=1),AND(J3100=1,I3100="SBJ"),AND(J3100=1,I3100=0)),"?IN_FOCUS",IF(J3100&lt;=2,"?ACTIVATED",IF(J3100&lt;&gt;"","?FAMILIAR",IF(F3100="NEW",IF(ISNA(VLOOKUP(E3100,#REF!,1,FALSE())),"?TYPE_IDENTIFIABLE","?REFERENTIAL"),"_")))))</f>
        <v/>
      </c>
      <c r="H3100" s="27" t="str">
        <f aca="false">IF(J3100&lt;&gt;1,"",IF(I3100="SBJ","CB","?"))</f>
        <v/>
      </c>
      <c r="I3100" s="24" t="str">
        <f aca="false">IF(OR(E3100="",E3100="!!!",F3100="NEW"),"",INDEX(B17:B$3084,-1+SUMPRODUCT(MAX(ROW(E17:E$3084)*(E3100=E17:E$3084)))))</f>
        <v/>
      </c>
      <c r="J3100" s="24" t="str">
        <f aca="true">IF(OR(E3100="",E3100="!!!",F3100="NEW"),"",COUNTBLANK(OFFSET(A$1,,,SUMPRODUCT(MAX(ROW(E$2:E3100)*(E3100=E$2:E3100)))))-COUNTBLANK(OFFSET(A$1,,,SUMPRODUCT(MAX(ROW(E$1:E3099)*(E2=E$1:E3099))))))</f>
        <v/>
      </c>
      <c r="K3100" s="24" t="str">
        <f aca="false">IF(OR(E3100="",E3100="!!!",F3100="NEW"),"",INDEX(J$1:J3099,SUMPRODUCT(MAX(ROW(E$1:E3099)*(E3100=E$1:E3099)))))</f>
        <v/>
      </c>
      <c r="L3100" s="31"/>
    </row>
    <row r="3101" customFormat="false" ht="15" hidden="false" customHeight="false" outlineLevel="0" collapsed="false">
      <c r="A3101" s="20" t="s">
        <v>1173</v>
      </c>
      <c r="E3101" s="23" t="str">
        <f aca="false">IF(D3101="?OLD","!!!","")</f>
        <v/>
      </c>
      <c r="F3101" s="25" t="str">
        <f aca="false">IF(OR(E3101="",E3101="!!!"),"",IF(NOT(ISNA(VLOOKUP(E3101,E$1:E3100,1,FALSE()))),"OLD",IF(AND(E3101&lt;&gt;"",E3101&lt;&gt;"!!!"),"NEW","")))</f>
        <v/>
      </c>
      <c r="G3101" s="26" t="str">
        <f aca="false">IF(OR(E3101="",E3101="!!!"),"",IF(OR(J3101=0,AND(J3101=1,K3101=1),AND(J3101=1,I3101="SBJ"),AND(J3101=1,I3101=0)),"?IN_FOCUS",IF(J3101&lt;=2,"?ACTIVATED",IF(J3101&lt;&gt;"","?FAMILIAR",IF(F3101="NEW",IF(ISNA(VLOOKUP(E3101,#REF!,1,FALSE())),"?TYPE_IDENTIFIABLE","?REFERENTIAL"),"_")))))</f>
        <v/>
      </c>
      <c r="H3101" s="27" t="str">
        <f aca="false">IF(J3101&lt;&gt;1,"",IF(I3101="SBJ","CB","?"))</f>
        <v/>
      </c>
      <c r="I3101" s="24" t="str">
        <f aca="false">IF(OR(E3101="",E3101="!!!",F3101="NEW"),"",INDEX(B18:B$3084,-1+SUMPRODUCT(MAX(ROW(E18:E$3084)*(E3101=E18:E$3084)))))</f>
        <v/>
      </c>
      <c r="J3101" s="24" t="str">
        <f aca="true">IF(OR(E3101="",E3101="!!!",F3101="NEW"),"",COUNTBLANK(OFFSET(A$1,,,SUMPRODUCT(MAX(ROW(E$2:E3101)*(E3101=E$2:E3101)))))-COUNTBLANK(OFFSET(A$1,,,SUMPRODUCT(MAX(ROW(E$1:E3100)*(E2=E$1:E3100))))))</f>
        <v/>
      </c>
      <c r="K3101" s="24" t="str">
        <f aca="false">IF(OR(E3101="",E3101="!!!",F3101="NEW"),"",INDEX(J$1:J3100,SUMPRODUCT(MAX(ROW(E$1:E3100)*(E3101=E$1:E3100)))))</f>
        <v/>
      </c>
      <c r="L3101" s="31"/>
    </row>
    <row r="3102" customFormat="false" ht="15" hidden="false" customHeight="false" outlineLevel="0" collapsed="false">
      <c r="A3102" s="20" t="s">
        <v>1238</v>
      </c>
      <c r="E3102" s="23" t="str">
        <f aca="false">IF(D3102="?OLD","!!!","")</f>
        <v/>
      </c>
      <c r="F3102" s="25" t="str">
        <f aca="false">IF(OR(E3102="",E3102="!!!"),"",IF(NOT(ISNA(VLOOKUP(E3102,E$1:E3101,1,FALSE()))),"OLD",IF(AND(E3102&lt;&gt;"",E3102&lt;&gt;"!!!"),"NEW","")))</f>
        <v/>
      </c>
      <c r="G3102" s="26" t="str">
        <f aca="false">IF(OR(E3102="",E3102="!!!"),"",IF(OR(J3102=0,AND(J3102=1,K3102=1),AND(J3102=1,I3102="SBJ"),AND(J3102=1,I3102=0)),"?IN_FOCUS",IF(J3102&lt;=2,"?ACTIVATED",IF(J3102&lt;&gt;"","?FAMILIAR",IF(F3102="NEW",IF(ISNA(VLOOKUP(E3102,#REF!,1,FALSE())),"?TYPE_IDENTIFIABLE","?REFERENTIAL"),"_")))))</f>
        <v/>
      </c>
      <c r="H3102" s="27" t="str">
        <f aca="false">IF(J3102&lt;&gt;1,"",IF(I3102="SBJ","CB","?"))</f>
        <v/>
      </c>
      <c r="I3102" s="24" t="str">
        <f aca="false">IF(OR(E3102="",E3102="!!!",F3102="NEW"),"",INDEX(B19:B$3084,-1+SUMPRODUCT(MAX(ROW(E19:E$3084)*(E3102=E19:E$3084)))))</f>
        <v/>
      </c>
      <c r="J3102" s="24" t="str">
        <f aca="true">IF(OR(E3102="",E3102="!!!",F3102="NEW"),"",COUNTBLANK(OFFSET(A$1,,,SUMPRODUCT(MAX(ROW(E$2:E3102)*(E3102=E$2:E3102)))))-COUNTBLANK(OFFSET(A$1,,,SUMPRODUCT(MAX(ROW(E$1:E3101)*(E2=E$1:E3101))))))</f>
        <v/>
      </c>
      <c r="K3102" s="24" t="str">
        <f aca="false">IF(OR(E3102="",E3102="!!!",F3102="NEW"),"",INDEX(J$1:J3101,SUMPRODUCT(MAX(ROW(E$1:E3101)*(E3102=E$1:E3101)))))</f>
        <v/>
      </c>
      <c r="L3102" s="31"/>
    </row>
    <row r="3103" customFormat="false" ht="15" hidden="false" customHeight="false" outlineLevel="0" collapsed="false">
      <c r="A3103" s="20" t="s">
        <v>2093</v>
      </c>
      <c r="B3103" s="22" t="s">
        <v>1067</v>
      </c>
      <c r="C3103" s="22" t="s">
        <v>1227</v>
      </c>
      <c r="E3103" s="23" t="str">
        <f aca="false">IF(D3103="?OLD","!!!","")</f>
        <v/>
      </c>
      <c r="F3103" s="25" t="str">
        <f aca="false">IF(OR(E3103="",E3103="!!!"),"",IF(NOT(ISNA(VLOOKUP(E3103,E$1:E3102,1,FALSE()))),"OLD",IF(AND(E3103&lt;&gt;"",E3103&lt;&gt;"!!!"),"NEW","")))</f>
        <v/>
      </c>
      <c r="G3103" s="26" t="str">
        <f aca="false">IF(OR(E3103="",E3103="!!!"),"",IF(OR(J3103=0,AND(J3103=1,K3103=1),AND(J3103=1,I3103="SBJ"),AND(J3103=1,I3103=0)),"?IN_FOCUS",IF(J3103&lt;=2,"?ACTIVATED",IF(J3103&lt;&gt;"","?FAMILIAR",IF(F3103="NEW",IF(ISNA(VLOOKUP(E3103,#REF!,1,FALSE())),"?TYPE_IDENTIFIABLE","?REFERENTIAL"),"_")))))</f>
        <v/>
      </c>
      <c r="H3103" s="27" t="str">
        <f aca="false">IF(J3103&lt;&gt;1,"",IF(I3103="SBJ","CB","?"))</f>
        <v/>
      </c>
      <c r="I3103" s="24" t="str">
        <f aca="false">IF(OR(E3103="",E3103="!!!",F3103="NEW"),"",INDEX(B20:B$3084,-1+SUMPRODUCT(MAX(ROW(E20:E$3084)*(E3103=E20:E$3084)))))</f>
        <v/>
      </c>
      <c r="J3103" s="24" t="str">
        <f aca="true">IF(OR(E3103="",E3103="!!!",F3103="NEW"),"",COUNTBLANK(OFFSET(A$1,,,SUMPRODUCT(MAX(ROW(E$2:E3103)*(E3103=E$2:E3103)))))-COUNTBLANK(OFFSET(A$1,,,SUMPRODUCT(MAX(ROW(E$1:E3102)*(E2=E$1:E3102))))))</f>
        <v/>
      </c>
      <c r="K3103" s="24" t="str">
        <f aca="false">IF(OR(E3103="",E3103="!!!",F3103="NEW"),"",INDEX(J$1:J3102,SUMPRODUCT(MAX(ROW(E$1:E3102)*(E3103=E$1:E3102)))))</f>
        <v/>
      </c>
      <c r="L3103" s="31"/>
    </row>
    <row r="3104" customFormat="false" ht="15" hidden="false" customHeight="false" outlineLevel="0" collapsed="false">
      <c r="A3104" s="20" t="s">
        <v>923</v>
      </c>
      <c r="E3104" s="23" t="str">
        <f aca="false">IF(D3104="?OLD","!!!","")</f>
        <v/>
      </c>
      <c r="F3104" s="25" t="str">
        <f aca="false">IF(OR(E3104="",E3104="!!!"),"",IF(NOT(ISNA(VLOOKUP(E3104,E$1:E3103,1,FALSE()))),"OLD",IF(AND(E3104&lt;&gt;"",E3104&lt;&gt;"!!!"),"NEW","")))</f>
        <v/>
      </c>
      <c r="G3104" s="26" t="str">
        <f aca="false">IF(OR(E3104="",E3104="!!!"),"",IF(OR(J3104=0,AND(J3104=1,K3104=1),AND(J3104=1,I3104="SBJ"),AND(J3104=1,I3104=0)),"?IN_FOCUS",IF(J3104&lt;=2,"?ACTIVATED",IF(J3104&lt;&gt;"","?FAMILIAR",IF(F3104="NEW",IF(ISNA(VLOOKUP(E3104,#REF!,1,FALSE())),"?TYPE_IDENTIFIABLE","?REFERENTIAL"),"_")))))</f>
        <v/>
      </c>
      <c r="H3104" s="27" t="str">
        <f aca="false">IF(J3104&lt;&gt;1,"",IF(I3104="SBJ","CB","?"))</f>
        <v/>
      </c>
      <c r="I3104" s="24" t="str">
        <f aca="false">IF(OR(E3104="",E3104="!!!",F3104="NEW"),"",INDEX(B21:B$3084,-1+SUMPRODUCT(MAX(ROW(E21:E$3084)*(E3104=E21:E$3084)))))</f>
        <v/>
      </c>
      <c r="J3104" s="24" t="str">
        <f aca="true">IF(OR(E3104="",E3104="!!!",F3104="NEW"),"",COUNTBLANK(OFFSET(A$1,,,SUMPRODUCT(MAX(ROW(E$2:E3104)*(E3104=E$2:E3104)))))-COUNTBLANK(OFFSET(A$1,,,SUMPRODUCT(MAX(ROW(E$1:E3103)*(E2=E$1:E3103))))))</f>
        <v/>
      </c>
      <c r="K3104" s="24" t="str">
        <f aca="false">IF(OR(E3104="",E3104="!!!",F3104="NEW"),"",INDEX(J$1:J3103,SUMPRODUCT(MAX(ROW(E$1:E3103)*(E3104=E$1:E3103)))))</f>
        <v/>
      </c>
      <c r="L3104" s="31"/>
    </row>
    <row r="3105" customFormat="false" ht="15" hidden="false" customHeight="false" outlineLevel="0" collapsed="false">
      <c r="A3105" s="20"/>
    </row>
    <row r="3106" customFormat="false" ht="15" hidden="false" customHeight="false" outlineLevel="0" collapsed="false">
      <c r="A3106" s="20" t="s">
        <v>2094</v>
      </c>
    </row>
    <row r="3107" customFormat="false" ht="15" hidden="false" customHeight="false" outlineLevel="0" collapsed="false">
      <c r="A3107" s="20" t="s">
        <v>1277</v>
      </c>
      <c r="B3107" s="22" t="s">
        <v>1058</v>
      </c>
      <c r="C3107" s="22" t="s">
        <v>1082</v>
      </c>
      <c r="D3107" s="22" t="s">
        <v>1060</v>
      </c>
      <c r="E3107" s="23" t="str">
        <f aca="false">IF(D3107="?OLD","!!!","")</f>
        <v>!!!</v>
      </c>
      <c r="F3107" s="25" t="str">
        <f aca="false">IF(OR(E3107="",E3107="!!!"),"",IF(NOT(ISNA(VLOOKUP(E3107,E$1:E3106,1,FALSE()))),"OLD",IF(AND(E3107&lt;&gt;"",E3107&lt;&gt;"!!!"),"NEW","")))</f>
        <v/>
      </c>
      <c r="G3107" s="26" t="str">
        <f aca="false">IF(OR(E3107="",E3107="!!!"),"",IF(OR(J3107=0,AND(J3107=1,K3107=1),AND(J3107=1,I3107="SBJ"),AND(J3107=1,I3107=0)),"?IN_FOCUS",IF(J3107&lt;=2,"?ACTIVATED",IF(J3107&lt;&gt;"","?FAMILIAR",IF(F3107="NEW",IF(ISNA(VLOOKUP(E3107,#REF!,1,FALSE())),"?TYPE_IDENTIFIABLE","?REFERENTIAL"),"_")))))</f>
        <v/>
      </c>
      <c r="H3107" s="27" t="str">
        <f aca="false">IF(J3107&lt;&gt;1,"",IF(I3107="SBJ","CB","?"))</f>
        <v/>
      </c>
      <c r="I3107" s="24" t="str">
        <f aca="false">IF(OR(E3107="",E3107="!!!",F3107="NEW"),"",INDEX(B2:B$3106,-1+SUMPRODUCT(MAX(ROW(E2:E$3106)*(E3107=E2:E$3106)))))</f>
        <v/>
      </c>
      <c r="J3107" s="24" t="str">
        <f aca="true">IF(OR(E3107="",E3107="!!!",F3107="NEW"),"",COUNTBLANK(OFFSET(A$1,,,SUMPRODUCT(MAX(ROW(E$2:E3107)*(E3107=E$2:E3107)))))-COUNTBLANK(OFFSET(A$1,,,SUMPRODUCT(MAX(ROW(E$1:E3106)*(E2=E$1:E3106))))))</f>
        <v/>
      </c>
      <c r="K3107" s="24" t="str">
        <f aca="false">IF(OR(E3107="",E3107="!!!",F3107="NEW"),"",INDEX(J$1:J3106,SUMPRODUCT(MAX(ROW(E$1:E3106)*(E3107=E$1:E3106)))))</f>
        <v/>
      </c>
      <c r="L3107" s="31"/>
    </row>
    <row r="3108" customFormat="false" ht="15" hidden="false" customHeight="false" outlineLevel="0" collapsed="false">
      <c r="A3108" s="20" t="s">
        <v>2095</v>
      </c>
      <c r="E3108" s="23" t="str">
        <f aca="false">IF(D3108="?OLD","!!!","")</f>
        <v/>
      </c>
      <c r="F3108" s="25" t="str">
        <f aca="false">IF(OR(E3108="",E3108="!!!"),"",IF(NOT(ISNA(VLOOKUP(E3108,E$1:E3107,1,FALSE()))),"OLD",IF(AND(E3108&lt;&gt;"",E3108&lt;&gt;"!!!"),"NEW","")))</f>
        <v/>
      </c>
      <c r="G3108" s="26" t="str">
        <f aca="false">IF(OR(E3108="",E3108="!!!"),"",IF(OR(J3108=0,AND(J3108=1,K3108=1),AND(J3108=1,I3108="SBJ"),AND(J3108=1,I3108=0)),"?IN_FOCUS",IF(J3108&lt;=2,"?ACTIVATED",IF(J3108&lt;&gt;"","?FAMILIAR",IF(F3108="NEW",IF(ISNA(VLOOKUP(E3108,#REF!,1,FALSE())),"?TYPE_IDENTIFIABLE","?REFERENTIAL"),"_")))))</f>
        <v/>
      </c>
      <c r="H3108" s="27" t="str">
        <f aca="false">IF(J3108&lt;&gt;1,"",IF(I3108="SBJ","CB","?"))</f>
        <v/>
      </c>
      <c r="I3108" s="24" t="str">
        <f aca="false">IF(OR(E3108="",E3108="!!!",F3108="NEW"),"",INDEX(B3:B$3106,-1+SUMPRODUCT(MAX(ROW(E3:E$3106)*(E3108=E3:E$3106)))))</f>
        <v/>
      </c>
      <c r="J3108" s="24" t="str">
        <f aca="true">IF(OR(E3108="",E3108="!!!",F3108="NEW"),"",COUNTBLANK(OFFSET(A$1,,,SUMPRODUCT(MAX(ROW(E$2:E3108)*(E3108=E$2:E3108)))))-COUNTBLANK(OFFSET(A$1,,,SUMPRODUCT(MAX(ROW(E$1:E3107)*(E2=E$1:E3107))))))</f>
        <v/>
      </c>
      <c r="K3108" s="24" t="str">
        <f aca="false">IF(OR(E3108="",E3108="!!!",F3108="NEW"),"",INDEX(J$1:J3107,SUMPRODUCT(MAX(ROW(E$1:E3107)*(E3108=E$1:E3107)))))</f>
        <v/>
      </c>
      <c r="L3108" s="31"/>
    </row>
    <row r="3109" customFormat="false" ht="15" hidden="false" customHeight="false" outlineLevel="0" collapsed="false">
      <c r="A3109" s="20" t="s">
        <v>1137</v>
      </c>
      <c r="B3109" s="22" t="s">
        <v>1081</v>
      </c>
      <c r="C3109" s="22" t="s">
        <v>1082</v>
      </c>
      <c r="D3109" s="22" t="s">
        <v>1060</v>
      </c>
      <c r="E3109" s="23" t="str">
        <f aca="false">IF(D3109="?OLD","!!!","")</f>
        <v>!!!</v>
      </c>
      <c r="F3109" s="25" t="str">
        <f aca="false">IF(OR(E3109="",E3109="!!!"),"",IF(NOT(ISNA(VLOOKUP(E3109,E$1:E3108,1,FALSE()))),"OLD",IF(AND(E3109&lt;&gt;"",E3109&lt;&gt;"!!!"),"NEW","")))</f>
        <v/>
      </c>
      <c r="G3109" s="26" t="str">
        <f aca="false">IF(OR(E3109="",E3109="!!!"),"",IF(OR(J3109=0,AND(J3109=1,K3109=1),AND(J3109=1,I3109="SBJ"),AND(J3109=1,I3109=0)),"?IN_FOCUS",IF(J3109&lt;=2,"?ACTIVATED",IF(J3109&lt;&gt;"","?FAMILIAR",IF(F3109="NEW",IF(ISNA(VLOOKUP(E3109,#REF!,1,FALSE())),"?TYPE_IDENTIFIABLE","?REFERENTIAL"),"_")))))</f>
        <v/>
      </c>
      <c r="H3109" s="27" t="str">
        <f aca="false">IF(J3109&lt;&gt;1,"",IF(I3109="SBJ","CB","?"))</f>
        <v/>
      </c>
      <c r="I3109" s="24" t="str">
        <f aca="false">IF(OR(E3109="",E3109="!!!",F3109="NEW"),"",INDEX(B4:B$3106,-1+SUMPRODUCT(MAX(ROW(E4:E$3106)*(E3109=E4:E$3106)))))</f>
        <v/>
      </c>
      <c r="J3109" s="24" t="str">
        <f aca="true">IF(OR(E3109="",E3109="!!!",F3109="NEW"),"",COUNTBLANK(OFFSET(A$1,,,SUMPRODUCT(MAX(ROW(E$2:E3109)*(E3109=E$2:E3109)))))-COUNTBLANK(OFFSET(A$1,,,SUMPRODUCT(MAX(ROW(E$1:E3108)*(E2=E$1:E3108))))))</f>
        <v/>
      </c>
      <c r="K3109" s="24" t="str">
        <f aca="false">IF(OR(E3109="",E3109="!!!",F3109="NEW"),"",INDEX(J$1:J3108,SUMPRODUCT(MAX(ROW(E$1:E3108)*(E3109=E$1:E3108)))))</f>
        <v/>
      </c>
      <c r="L3109" s="31"/>
    </row>
    <row r="3110" customFormat="false" ht="15" hidden="false" customHeight="false" outlineLevel="0" collapsed="false">
      <c r="A3110" s="20" t="s">
        <v>1095</v>
      </c>
      <c r="E3110" s="23" t="str">
        <f aca="false">IF(D3110="?OLD","!!!","")</f>
        <v/>
      </c>
      <c r="F3110" s="25" t="str">
        <f aca="false">IF(OR(E3110="",E3110="!!!"),"",IF(NOT(ISNA(VLOOKUP(E3110,E$1:E3109,1,FALSE()))),"OLD",IF(AND(E3110&lt;&gt;"",E3110&lt;&gt;"!!!"),"NEW","")))</f>
        <v/>
      </c>
      <c r="G3110" s="26" t="str">
        <f aca="false">IF(OR(E3110="",E3110="!!!"),"",IF(OR(J3110=0,AND(J3110=1,K3110=1),AND(J3110=1,I3110="SBJ"),AND(J3110=1,I3110=0)),"?IN_FOCUS",IF(J3110&lt;=2,"?ACTIVATED",IF(J3110&lt;&gt;"","?FAMILIAR",IF(F3110="NEW",IF(ISNA(VLOOKUP(E3110,#REF!,1,FALSE())),"?TYPE_IDENTIFIABLE","?REFERENTIAL"),"_")))))</f>
        <v/>
      </c>
      <c r="H3110" s="27" t="str">
        <f aca="false">IF(J3110&lt;&gt;1,"",IF(I3110="SBJ","CB","?"))</f>
        <v/>
      </c>
      <c r="I3110" s="24" t="str">
        <f aca="false">IF(OR(E3110="",E3110="!!!",F3110="NEW"),"",INDEX(B5:B$3106,-1+SUMPRODUCT(MAX(ROW(E5:E$3106)*(E3110=E5:E$3106)))))</f>
        <v/>
      </c>
      <c r="J3110" s="24" t="str">
        <f aca="true">IF(OR(E3110="",E3110="!!!",F3110="NEW"),"",COUNTBLANK(OFFSET(A$1,,,SUMPRODUCT(MAX(ROW(E$2:E3110)*(E3110=E$2:E3110)))))-COUNTBLANK(OFFSET(A$1,,,SUMPRODUCT(MAX(ROW(E$1:E3109)*(E2=E$1:E3109))))))</f>
        <v/>
      </c>
      <c r="K3110" s="24" t="str">
        <f aca="false">IF(OR(E3110="",E3110="!!!",F3110="NEW"),"",INDEX(J$1:J3109,SUMPRODUCT(MAX(ROW(E$1:E3109)*(E3110=E$1:E3109)))))</f>
        <v/>
      </c>
      <c r="L3110" s="31"/>
    </row>
    <row r="3111" customFormat="false" ht="15" hidden="false" customHeight="false" outlineLevel="0" collapsed="false">
      <c r="A3111" s="20" t="s">
        <v>1085</v>
      </c>
      <c r="E3111" s="23" t="str">
        <f aca="false">IF(D3111="?OLD","!!!","")</f>
        <v/>
      </c>
      <c r="F3111" s="25" t="str">
        <f aca="false">IF(OR(E3111="",E3111="!!!"),"",IF(NOT(ISNA(VLOOKUP(E3111,E$1:E3110,1,FALSE()))),"OLD",IF(AND(E3111&lt;&gt;"",E3111&lt;&gt;"!!!"),"NEW","")))</f>
        <v/>
      </c>
      <c r="G3111" s="26" t="str">
        <f aca="false">IF(OR(E3111="",E3111="!!!"),"",IF(OR(J3111=0,AND(J3111=1,K3111=1),AND(J3111=1,I3111="SBJ"),AND(J3111=1,I3111=0)),"?IN_FOCUS",IF(J3111&lt;=2,"?ACTIVATED",IF(J3111&lt;&gt;"","?FAMILIAR",IF(F3111="NEW",IF(ISNA(VLOOKUP(E3111,#REF!,1,FALSE())),"?TYPE_IDENTIFIABLE","?REFERENTIAL"),"_")))))</f>
        <v/>
      </c>
      <c r="H3111" s="27" t="str">
        <f aca="false">IF(J3111&lt;&gt;1,"",IF(I3111="SBJ","CB","?"))</f>
        <v/>
      </c>
      <c r="I3111" s="24" t="str">
        <f aca="false">IF(OR(E3111="",E3111="!!!",F3111="NEW"),"",INDEX(B6:B$3106,-1+SUMPRODUCT(MAX(ROW(E6:E$3106)*(E3111=E6:E$3106)))))</f>
        <v/>
      </c>
      <c r="J3111" s="24" t="str">
        <f aca="true">IF(OR(E3111="",E3111="!!!",F3111="NEW"),"",COUNTBLANK(OFFSET(A$1,,,SUMPRODUCT(MAX(ROW(E$2:E3111)*(E3111=E$2:E3111)))))-COUNTBLANK(OFFSET(A$1,,,SUMPRODUCT(MAX(ROW(E$1:E3110)*(E2=E$1:E3110))))))</f>
        <v/>
      </c>
      <c r="K3111" s="24" t="str">
        <f aca="false">IF(OR(E3111="",E3111="!!!",F3111="NEW"),"",INDEX(J$1:J3110,SUMPRODUCT(MAX(ROW(E$1:E3110)*(E3111=E$1:E3110)))))</f>
        <v/>
      </c>
      <c r="L3111" s="31"/>
    </row>
    <row r="3112" customFormat="false" ht="15" hidden="false" customHeight="false" outlineLevel="0" collapsed="false">
      <c r="A3112" s="20" t="s">
        <v>1722</v>
      </c>
      <c r="B3112" s="22" t="s">
        <v>1105</v>
      </c>
      <c r="C3112" s="22" t="s">
        <v>1087</v>
      </c>
      <c r="E3112" s="23" t="str">
        <f aca="false">IF(D3112="?OLD","!!!","")</f>
        <v/>
      </c>
      <c r="F3112" s="25" t="str">
        <f aca="false">IF(OR(E3112="",E3112="!!!"),"",IF(NOT(ISNA(VLOOKUP(E3112,E$1:E3111,1,FALSE()))),"OLD",IF(AND(E3112&lt;&gt;"",E3112&lt;&gt;"!!!"),"NEW","")))</f>
        <v/>
      </c>
      <c r="G3112" s="26" t="str">
        <f aca="false">IF(OR(E3112="",E3112="!!!"),"",IF(OR(J3112=0,AND(J3112=1,K3112=1),AND(J3112=1,I3112="SBJ"),AND(J3112=1,I3112=0)),"?IN_FOCUS",IF(J3112&lt;=2,"?ACTIVATED",IF(J3112&lt;&gt;"","?FAMILIAR",IF(F3112="NEW",IF(ISNA(VLOOKUP(E3112,#REF!,1,FALSE())),"?TYPE_IDENTIFIABLE","?REFERENTIAL"),"_")))))</f>
        <v/>
      </c>
      <c r="H3112" s="27" t="str">
        <f aca="false">IF(J3112&lt;&gt;1,"",IF(I3112="SBJ","CB","?"))</f>
        <v/>
      </c>
      <c r="I3112" s="24" t="str">
        <f aca="false">IF(OR(E3112="",E3112="!!!",F3112="NEW"),"",INDEX(B7:B$3106,-1+SUMPRODUCT(MAX(ROW(E7:E$3106)*(E3112=E7:E$3106)))))</f>
        <v/>
      </c>
      <c r="J3112" s="24" t="str">
        <f aca="true">IF(OR(E3112="",E3112="!!!",F3112="NEW"),"",COUNTBLANK(OFFSET(A$1,,,SUMPRODUCT(MAX(ROW(E$2:E3112)*(E3112=E$2:E3112)))))-COUNTBLANK(OFFSET(A$1,,,SUMPRODUCT(MAX(ROW(E$1:E3111)*(E2=E$1:E3111))))))</f>
        <v/>
      </c>
      <c r="K3112" s="24" t="str">
        <f aca="false">IF(OR(E3112="",E3112="!!!",F3112="NEW"),"",INDEX(J$1:J3111,SUMPRODUCT(MAX(ROW(E$1:E3111)*(E3112=E$1:E3111)))))</f>
        <v/>
      </c>
      <c r="L3112" s="31"/>
    </row>
    <row r="3113" customFormat="false" ht="15" hidden="false" customHeight="false" outlineLevel="0" collapsed="false">
      <c r="A3113" s="20" t="s">
        <v>1076</v>
      </c>
      <c r="E3113" s="23" t="str">
        <f aca="false">IF(D3113="?OLD","!!!","")</f>
        <v/>
      </c>
      <c r="F3113" s="25" t="str">
        <f aca="false">IF(OR(E3113="",E3113="!!!"),"",IF(NOT(ISNA(VLOOKUP(E3113,E$1:E3112,1,FALSE()))),"OLD",IF(AND(E3113&lt;&gt;"",E3113&lt;&gt;"!!!"),"NEW","")))</f>
        <v/>
      </c>
      <c r="G3113" s="26" t="str">
        <f aca="false">IF(OR(E3113="",E3113="!!!"),"",IF(OR(J3113=0,AND(J3113=1,K3113=1),AND(J3113=1,I3113="SBJ"),AND(J3113=1,I3113=0)),"?IN_FOCUS",IF(J3113&lt;=2,"?ACTIVATED",IF(J3113&lt;&gt;"","?FAMILIAR",IF(F3113="NEW",IF(ISNA(VLOOKUP(E3113,#REF!,1,FALSE())),"?TYPE_IDENTIFIABLE","?REFERENTIAL"),"_")))))</f>
        <v/>
      </c>
      <c r="H3113" s="27" t="str">
        <f aca="false">IF(J3113&lt;&gt;1,"",IF(I3113="SBJ","CB","?"))</f>
        <v/>
      </c>
      <c r="I3113" s="24" t="str">
        <f aca="false">IF(OR(E3113="",E3113="!!!",F3113="NEW"),"",INDEX(B8:B$3106,-1+SUMPRODUCT(MAX(ROW(E8:E$3106)*(E3113=E8:E$3106)))))</f>
        <v/>
      </c>
      <c r="J3113" s="24" t="str">
        <f aca="true">IF(OR(E3113="",E3113="!!!",F3113="NEW"),"",COUNTBLANK(OFFSET(A$1,,,SUMPRODUCT(MAX(ROW(E$2:E3113)*(E3113=E$2:E3113)))))-COUNTBLANK(OFFSET(A$1,,,SUMPRODUCT(MAX(ROW(E$1:E3112)*(E2=E$1:E3112))))))</f>
        <v/>
      </c>
      <c r="K3113" s="24" t="str">
        <f aca="false">IF(OR(E3113="",E3113="!!!",F3113="NEW"),"",INDEX(J$1:J3112,SUMPRODUCT(MAX(ROW(E$1:E3112)*(E3113=E$1:E3112)))))</f>
        <v/>
      </c>
      <c r="L3113" s="31"/>
    </row>
    <row r="3114" customFormat="false" ht="15" hidden="false" customHeight="false" outlineLevel="0" collapsed="false">
      <c r="A3114" s="20" t="s">
        <v>1569</v>
      </c>
      <c r="E3114" s="23" t="str">
        <f aca="false">IF(D3114="?OLD","!!!","")</f>
        <v/>
      </c>
      <c r="F3114" s="25" t="str">
        <f aca="false">IF(OR(E3114="",E3114="!!!"),"",IF(NOT(ISNA(VLOOKUP(E3114,E$1:E3113,1,FALSE()))),"OLD",IF(AND(E3114&lt;&gt;"",E3114&lt;&gt;"!!!"),"NEW","")))</f>
        <v/>
      </c>
      <c r="G3114" s="26" t="str">
        <f aca="false">IF(OR(E3114="",E3114="!!!"),"",IF(OR(J3114=0,AND(J3114=1,K3114=1),AND(J3114=1,I3114="SBJ"),AND(J3114=1,I3114=0)),"?IN_FOCUS",IF(J3114&lt;=2,"?ACTIVATED",IF(J3114&lt;&gt;"","?FAMILIAR",IF(F3114="NEW",IF(ISNA(VLOOKUP(E3114,#REF!,1,FALSE())),"?TYPE_IDENTIFIABLE","?REFERENTIAL"),"_")))))</f>
        <v/>
      </c>
      <c r="H3114" s="27" t="str">
        <f aca="false">IF(J3114&lt;&gt;1,"",IF(I3114="SBJ","CB","?"))</f>
        <v/>
      </c>
      <c r="I3114" s="24" t="str">
        <f aca="false">IF(OR(E3114="",E3114="!!!",F3114="NEW"),"",INDEX(B9:B$3106,-1+SUMPRODUCT(MAX(ROW(E9:E$3106)*(E3114=E9:E$3106)))))</f>
        <v/>
      </c>
      <c r="J3114" s="24" t="str">
        <f aca="true">IF(OR(E3114="",E3114="!!!",F3114="NEW"),"",COUNTBLANK(OFFSET(A$1,,,SUMPRODUCT(MAX(ROW(E$2:E3114)*(E3114=E$2:E3114)))))-COUNTBLANK(OFFSET(A$1,,,SUMPRODUCT(MAX(ROW(E$1:E3113)*(E2=E$1:E3113))))))</f>
        <v/>
      </c>
      <c r="K3114" s="24" t="str">
        <f aca="false">IF(OR(E3114="",E3114="!!!",F3114="NEW"),"",INDEX(J$1:J3113,SUMPRODUCT(MAX(ROW(E$1:E3113)*(E3114=E$1:E3113)))))</f>
        <v/>
      </c>
      <c r="L3114" s="31"/>
    </row>
    <row r="3115" customFormat="false" ht="15" hidden="false" customHeight="false" outlineLevel="0" collapsed="false">
      <c r="A3115" s="20" t="s">
        <v>1090</v>
      </c>
      <c r="B3115" s="22" t="s">
        <v>1091</v>
      </c>
      <c r="C3115" s="22" t="s">
        <v>1082</v>
      </c>
      <c r="D3115" s="22" t="s">
        <v>1060</v>
      </c>
      <c r="E3115" s="23" t="str">
        <f aca="false">IF(D3115="?OLD","!!!","")</f>
        <v>!!!</v>
      </c>
      <c r="F3115" s="25" t="str">
        <f aca="false">IF(OR(E3115="",E3115="!!!"),"",IF(NOT(ISNA(VLOOKUP(E3115,E$1:E3114,1,FALSE()))),"OLD",IF(AND(E3115&lt;&gt;"",E3115&lt;&gt;"!!!"),"NEW","")))</f>
        <v/>
      </c>
      <c r="G3115" s="26" t="str">
        <f aca="false">IF(OR(E3115="",E3115="!!!"),"",IF(OR(J3115=0,AND(J3115=1,K3115=1),AND(J3115=1,I3115="SBJ"),AND(J3115=1,I3115=0)),"?IN_FOCUS",IF(J3115&lt;=2,"?ACTIVATED",IF(J3115&lt;&gt;"","?FAMILIAR",IF(F3115="NEW",IF(ISNA(VLOOKUP(E3115,#REF!,1,FALSE())),"?TYPE_IDENTIFIABLE","?REFERENTIAL"),"_")))))</f>
        <v/>
      </c>
      <c r="H3115" s="27" t="str">
        <f aca="false">IF(J3115&lt;&gt;1,"",IF(I3115="SBJ","CB","?"))</f>
        <v/>
      </c>
      <c r="I3115" s="24" t="str">
        <f aca="false">IF(OR(E3115="",E3115="!!!",F3115="NEW"),"",INDEX(B10:B$3106,-1+SUMPRODUCT(MAX(ROW(E10:E$3106)*(E3115=E10:E$3106)))))</f>
        <v/>
      </c>
      <c r="J3115" s="24" t="str">
        <f aca="true">IF(OR(E3115="",E3115="!!!",F3115="NEW"),"",COUNTBLANK(OFFSET(A$1,,,SUMPRODUCT(MAX(ROW(E$2:E3115)*(E3115=E$2:E3115)))))-COUNTBLANK(OFFSET(A$1,,,SUMPRODUCT(MAX(ROW(E$1:E3114)*(E2=E$1:E3114))))))</f>
        <v/>
      </c>
      <c r="K3115" s="24" t="str">
        <f aca="false">IF(OR(E3115="",E3115="!!!",F3115="NEW"),"",INDEX(J$1:J3114,SUMPRODUCT(MAX(ROW(E$1:E3114)*(E3115=E$1:E3114)))))</f>
        <v/>
      </c>
      <c r="L3115" s="31"/>
    </row>
    <row r="3116" customFormat="false" ht="15" hidden="false" customHeight="false" outlineLevel="0" collapsed="false">
      <c r="A3116" s="20" t="s">
        <v>1486</v>
      </c>
      <c r="E3116" s="23" t="str">
        <f aca="false">IF(D3116="?OLD","!!!","")</f>
        <v/>
      </c>
      <c r="F3116" s="25" t="str">
        <f aca="false">IF(OR(E3116="",E3116="!!!"),"",IF(NOT(ISNA(VLOOKUP(E3116,E$1:E3115,1,FALSE()))),"OLD",IF(AND(E3116&lt;&gt;"",E3116&lt;&gt;"!!!"),"NEW","")))</f>
        <v/>
      </c>
      <c r="G3116" s="26" t="str">
        <f aca="false">IF(OR(E3116="",E3116="!!!"),"",IF(OR(J3116=0,AND(J3116=1,K3116=1),AND(J3116=1,I3116="SBJ"),AND(J3116=1,I3116=0)),"?IN_FOCUS",IF(J3116&lt;=2,"?ACTIVATED",IF(J3116&lt;&gt;"","?FAMILIAR",IF(F3116="NEW",IF(ISNA(VLOOKUP(E3116,#REF!,1,FALSE())),"?TYPE_IDENTIFIABLE","?REFERENTIAL"),"_")))))</f>
        <v/>
      </c>
      <c r="H3116" s="27" t="str">
        <f aca="false">IF(J3116&lt;&gt;1,"",IF(I3116="SBJ","CB","?"))</f>
        <v/>
      </c>
      <c r="I3116" s="24" t="str">
        <f aca="false">IF(OR(E3116="",E3116="!!!",F3116="NEW"),"",INDEX(B11:B$3106,-1+SUMPRODUCT(MAX(ROW(E11:E$3106)*(E3116=E11:E$3106)))))</f>
        <v/>
      </c>
      <c r="J3116" s="24" t="str">
        <f aca="true">IF(OR(E3116="",E3116="!!!",F3116="NEW"),"",COUNTBLANK(OFFSET(A$1,,,SUMPRODUCT(MAX(ROW(E$2:E3116)*(E3116=E$2:E3116)))))-COUNTBLANK(OFFSET(A$1,,,SUMPRODUCT(MAX(ROW(E$1:E3115)*(E2=E$1:E3115))))))</f>
        <v/>
      </c>
      <c r="K3116" s="24" t="str">
        <f aca="false">IF(OR(E3116="",E3116="!!!",F3116="NEW"),"",INDEX(J$1:J3115,SUMPRODUCT(MAX(ROW(E$1:E3115)*(E3116=E$1:E3115)))))</f>
        <v/>
      </c>
      <c r="L3116" s="31"/>
    </row>
    <row r="3117" customFormat="false" ht="15" hidden="false" customHeight="false" outlineLevel="0" collapsed="false">
      <c r="A3117" s="20" t="s">
        <v>2096</v>
      </c>
      <c r="E3117" s="23" t="str">
        <f aca="false">IF(D3117="?OLD","!!!","")</f>
        <v/>
      </c>
      <c r="F3117" s="25" t="str">
        <f aca="false">IF(OR(E3117="",E3117="!!!"),"",IF(NOT(ISNA(VLOOKUP(E3117,E$1:E3116,1,FALSE()))),"OLD",IF(AND(E3117&lt;&gt;"",E3117&lt;&gt;"!!!"),"NEW","")))</f>
        <v/>
      </c>
      <c r="G3117" s="26" t="str">
        <f aca="false">IF(OR(E3117="",E3117="!!!"),"",IF(OR(J3117=0,AND(J3117=1,K3117=1),AND(J3117=1,I3117="SBJ"),AND(J3117=1,I3117=0)),"?IN_FOCUS",IF(J3117&lt;=2,"?ACTIVATED",IF(J3117&lt;&gt;"","?FAMILIAR",IF(F3117="NEW",IF(ISNA(VLOOKUP(E3117,#REF!,1,FALSE())),"?TYPE_IDENTIFIABLE","?REFERENTIAL"),"_")))))</f>
        <v/>
      </c>
      <c r="H3117" s="27" t="str">
        <f aca="false">IF(J3117&lt;&gt;1,"",IF(I3117="SBJ","CB","?"))</f>
        <v/>
      </c>
      <c r="I3117" s="24" t="str">
        <f aca="false">IF(OR(E3117="",E3117="!!!",F3117="NEW"),"",INDEX(B12:B$3106,-1+SUMPRODUCT(MAX(ROW(E12:E$3106)*(E3117=E12:E$3106)))))</f>
        <v/>
      </c>
      <c r="J3117" s="24" t="str">
        <f aca="true">IF(OR(E3117="",E3117="!!!",F3117="NEW"),"",COUNTBLANK(OFFSET(A$1,,,SUMPRODUCT(MAX(ROW(E$2:E3117)*(E3117=E$2:E3117)))))-COUNTBLANK(OFFSET(A$1,,,SUMPRODUCT(MAX(ROW(E$1:E3116)*(E2=E$1:E3116))))))</f>
        <v/>
      </c>
      <c r="K3117" s="24" t="str">
        <f aca="false">IF(OR(E3117="",E3117="!!!",F3117="NEW"),"",INDEX(J$1:J3116,SUMPRODUCT(MAX(ROW(E$1:E3116)*(E3117=E$1:E3116)))))</f>
        <v/>
      </c>
      <c r="L3117" s="31"/>
    </row>
    <row r="3118" customFormat="false" ht="15" hidden="false" customHeight="false" outlineLevel="0" collapsed="false">
      <c r="A3118" s="20" t="s">
        <v>1213</v>
      </c>
      <c r="E3118" s="23" t="str">
        <f aca="false">IF(D3118="?OLD","!!!","")</f>
        <v/>
      </c>
      <c r="F3118" s="25" t="str">
        <f aca="false">IF(OR(E3118="",E3118="!!!"),"",IF(NOT(ISNA(VLOOKUP(E3118,E$1:E3117,1,FALSE()))),"OLD",IF(AND(E3118&lt;&gt;"",E3118&lt;&gt;"!!!"),"NEW","")))</f>
        <v/>
      </c>
      <c r="G3118" s="26" t="str">
        <f aca="false">IF(OR(E3118="",E3118="!!!"),"",IF(OR(J3118=0,AND(J3118=1,K3118=1),AND(J3118=1,I3118="SBJ"),AND(J3118=1,I3118=0)),"?IN_FOCUS",IF(J3118&lt;=2,"?ACTIVATED",IF(J3118&lt;&gt;"","?FAMILIAR",IF(F3118="NEW",IF(ISNA(VLOOKUP(E3118,#REF!,1,FALSE())),"?TYPE_IDENTIFIABLE","?REFERENTIAL"),"_")))))</f>
        <v/>
      </c>
      <c r="H3118" s="27" t="str">
        <f aca="false">IF(J3118&lt;&gt;1,"",IF(I3118="SBJ","CB","?"))</f>
        <v/>
      </c>
      <c r="I3118" s="24" t="str">
        <f aca="false">IF(OR(E3118="",E3118="!!!",F3118="NEW"),"",INDEX(B13:B$3106,-1+SUMPRODUCT(MAX(ROW(E13:E$3106)*(E3118=E13:E$3106)))))</f>
        <v/>
      </c>
      <c r="J3118" s="24" t="str">
        <f aca="true">IF(OR(E3118="",E3118="!!!",F3118="NEW"),"",COUNTBLANK(OFFSET(A$1,,,SUMPRODUCT(MAX(ROW(E$2:E3118)*(E3118=E$2:E3118)))))-COUNTBLANK(OFFSET(A$1,,,SUMPRODUCT(MAX(ROW(E$1:E3117)*(E2=E$1:E3117))))))</f>
        <v/>
      </c>
      <c r="K3118" s="24" t="str">
        <f aca="false">IF(OR(E3118="",E3118="!!!",F3118="NEW"),"",INDEX(J$1:J3117,SUMPRODUCT(MAX(ROW(E$1:E3117)*(E3118=E$1:E3117)))))</f>
        <v/>
      </c>
      <c r="L3118" s="31"/>
    </row>
    <row r="3119" customFormat="false" ht="15" hidden="false" customHeight="false" outlineLevel="0" collapsed="false">
      <c r="A3119" s="20" t="s">
        <v>1097</v>
      </c>
      <c r="B3119" s="22" t="s">
        <v>1098</v>
      </c>
      <c r="C3119" s="22" t="s">
        <v>1099</v>
      </c>
      <c r="D3119" s="22" t="s">
        <v>1060</v>
      </c>
      <c r="E3119" s="23" t="str">
        <f aca="false">IF(D3119="?OLD","!!!","")</f>
        <v>!!!</v>
      </c>
      <c r="F3119" s="25" t="str">
        <f aca="false">IF(OR(E3119="",E3119="!!!"),"",IF(NOT(ISNA(VLOOKUP(E3119,E$1:E3118,1,FALSE()))),"OLD",IF(AND(E3119&lt;&gt;"",E3119&lt;&gt;"!!!"),"NEW","")))</f>
        <v/>
      </c>
      <c r="G3119" s="26" t="str">
        <f aca="false">IF(OR(E3119="",E3119="!!!"),"",IF(OR(J3119=0,AND(J3119=1,K3119=1),AND(J3119=1,I3119="SBJ"),AND(J3119=1,I3119=0)),"?IN_FOCUS",IF(J3119&lt;=2,"?ACTIVATED",IF(J3119&lt;&gt;"","?FAMILIAR",IF(F3119="NEW",IF(ISNA(VLOOKUP(E3119,#REF!,1,FALSE())),"?TYPE_IDENTIFIABLE","?REFERENTIAL"),"_")))))</f>
        <v/>
      </c>
      <c r="H3119" s="27" t="str">
        <f aca="false">IF(J3119&lt;&gt;1,"",IF(I3119="SBJ","CB","?"))</f>
        <v/>
      </c>
      <c r="I3119" s="24" t="str">
        <f aca="false">IF(OR(E3119="",E3119="!!!",F3119="NEW"),"",INDEX(B14:B$3106,-1+SUMPRODUCT(MAX(ROW(E14:E$3106)*(E3119=E14:E$3106)))))</f>
        <v/>
      </c>
      <c r="J3119" s="24" t="str">
        <f aca="true">IF(OR(E3119="",E3119="!!!",F3119="NEW"),"",COUNTBLANK(OFFSET(A$1,,,SUMPRODUCT(MAX(ROW(E$2:E3119)*(E3119=E$2:E3119)))))-COUNTBLANK(OFFSET(A$1,,,SUMPRODUCT(MAX(ROW(E$1:E3118)*(E2=E$1:E3118))))))</f>
        <v/>
      </c>
      <c r="K3119" s="24" t="str">
        <f aca="false">IF(OR(E3119="",E3119="!!!",F3119="NEW"),"",INDEX(J$1:J3118,SUMPRODUCT(MAX(ROW(E$1:E3118)*(E3119=E$1:E3118)))))</f>
        <v/>
      </c>
      <c r="L3119" s="31"/>
    </row>
    <row r="3120" customFormat="false" ht="15" hidden="false" customHeight="false" outlineLevel="0" collapsed="false">
      <c r="A3120" s="20" t="s">
        <v>690</v>
      </c>
      <c r="B3120" s="22" t="s">
        <v>1107</v>
      </c>
      <c r="C3120" s="22" t="s">
        <v>1059</v>
      </c>
      <c r="D3120" s="22" t="s">
        <v>1060</v>
      </c>
      <c r="E3120" s="23" t="str">
        <f aca="false">IF(D3120="?OLD","!!!","")</f>
        <v>!!!</v>
      </c>
      <c r="F3120" s="25" t="str">
        <f aca="false">IF(OR(E3120="",E3120="!!!"),"",IF(NOT(ISNA(VLOOKUP(E3120,E$1:E3119,1,FALSE()))),"OLD",IF(AND(E3120&lt;&gt;"",E3120&lt;&gt;"!!!"),"NEW","")))</f>
        <v/>
      </c>
      <c r="G3120" s="26" t="str">
        <f aca="false">IF(OR(E3120="",E3120="!!!"),"",IF(OR(J3120=0,AND(J3120=1,K3120=1),AND(J3120=1,I3120="SBJ"),AND(J3120=1,I3120=0)),"?IN_FOCUS",IF(J3120&lt;=2,"?ACTIVATED",IF(J3120&lt;&gt;"","?FAMILIAR",IF(F3120="NEW",IF(ISNA(VLOOKUP(E3120,#REF!,1,FALSE())),"?TYPE_IDENTIFIABLE","?REFERENTIAL"),"_")))))</f>
        <v/>
      </c>
      <c r="H3120" s="27" t="str">
        <f aca="false">IF(J3120&lt;&gt;1,"",IF(I3120="SBJ","CB","?"))</f>
        <v/>
      </c>
      <c r="I3120" s="24" t="str">
        <f aca="false">IF(OR(E3120="",E3120="!!!",F3120="NEW"),"",INDEX(B15:B$3106,-1+SUMPRODUCT(MAX(ROW(E15:E$3106)*(E3120=E15:E$3106)))))</f>
        <v/>
      </c>
      <c r="J3120" s="24" t="str">
        <f aca="true">IF(OR(E3120="",E3120="!!!",F3120="NEW"),"",COUNTBLANK(OFFSET(A$1,,,SUMPRODUCT(MAX(ROW(E$2:E3120)*(E3120=E$2:E3120)))))-COUNTBLANK(OFFSET(A$1,,,SUMPRODUCT(MAX(ROW(E$1:E3119)*(E2=E$1:E3119))))))</f>
        <v/>
      </c>
      <c r="K3120" s="24" t="str">
        <f aca="false">IF(OR(E3120="",E3120="!!!",F3120="NEW"),"",INDEX(J$1:J3119,SUMPRODUCT(MAX(ROW(E$1:E3119)*(E3120=E$1:E3119)))))</f>
        <v/>
      </c>
      <c r="L3120" s="31"/>
    </row>
    <row r="3121" customFormat="false" ht="15" hidden="false" customHeight="false" outlineLevel="0" collapsed="false">
      <c r="A3121" s="20" t="s">
        <v>2097</v>
      </c>
      <c r="E3121" s="23" t="str">
        <f aca="false">IF(D3121="?OLD","!!!","")</f>
        <v/>
      </c>
      <c r="F3121" s="25" t="str">
        <f aca="false">IF(OR(E3121="",E3121="!!!"),"",IF(NOT(ISNA(VLOOKUP(E3121,E$1:E3120,1,FALSE()))),"OLD",IF(AND(E3121&lt;&gt;"",E3121&lt;&gt;"!!!"),"NEW","")))</f>
        <v/>
      </c>
      <c r="G3121" s="26" t="str">
        <f aca="false">IF(OR(E3121="",E3121="!!!"),"",IF(OR(J3121=0,AND(J3121=1,K3121=1),AND(J3121=1,I3121="SBJ"),AND(J3121=1,I3121=0)),"?IN_FOCUS",IF(J3121&lt;=2,"?ACTIVATED",IF(J3121&lt;&gt;"","?FAMILIAR",IF(F3121="NEW",IF(ISNA(VLOOKUP(E3121,#REF!,1,FALSE())),"?TYPE_IDENTIFIABLE","?REFERENTIAL"),"_")))))</f>
        <v/>
      </c>
      <c r="H3121" s="27" t="str">
        <f aca="false">IF(J3121&lt;&gt;1,"",IF(I3121="SBJ","CB","?"))</f>
        <v/>
      </c>
      <c r="I3121" s="24" t="str">
        <f aca="false">IF(OR(E3121="",E3121="!!!",F3121="NEW"),"",INDEX(B16:B$3106,-1+SUMPRODUCT(MAX(ROW(E16:E$3106)*(E3121=E16:E$3106)))))</f>
        <v/>
      </c>
      <c r="J3121" s="24" t="str">
        <f aca="true">IF(OR(E3121="",E3121="!!!",F3121="NEW"),"",COUNTBLANK(OFFSET(A$1,,,SUMPRODUCT(MAX(ROW(E$2:E3121)*(E3121=E$2:E3121)))))-COUNTBLANK(OFFSET(A$1,,,SUMPRODUCT(MAX(ROW(E$1:E3120)*(E2=E$1:E3120))))))</f>
        <v/>
      </c>
      <c r="K3121" s="24" t="str">
        <f aca="false">IF(OR(E3121="",E3121="!!!",F3121="NEW"),"",INDEX(J$1:J3120,SUMPRODUCT(MAX(ROW(E$1:E3120)*(E3121=E$1:E3120)))))</f>
        <v/>
      </c>
      <c r="L3121" s="31"/>
    </row>
    <row r="3122" customFormat="false" ht="15" hidden="false" customHeight="false" outlineLevel="0" collapsed="false">
      <c r="A3122" s="20" t="s">
        <v>1173</v>
      </c>
      <c r="E3122" s="23" t="str">
        <f aca="false">IF(D3122="?OLD","!!!","")</f>
        <v/>
      </c>
      <c r="F3122" s="25" t="str">
        <f aca="false">IF(OR(E3122="",E3122="!!!"),"",IF(NOT(ISNA(VLOOKUP(E3122,E$1:E3121,1,FALSE()))),"OLD",IF(AND(E3122&lt;&gt;"",E3122&lt;&gt;"!!!"),"NEW","")))</f>
        <v/>
      </c>
      <c r="G3122" s="26" t="str">
        <f aca="false">IF(OR(E3122="",E3122="!!!"),"",IF(OR(J3122=0,AND(J3122=1,K3122=1),AND(J3122=1,I3122="SBJ"),AND(J3122=1,I3122=0)),"?IN_FOCUS",IF(J3122&lt;=2,"?ACTIVATED",IF(J3122&lt;&gt;"","?FAMILIAR",IF(F3122="NEW",IF(ISNA(VLOOKUP(E3122,#REF!,1,FALSE())),"?TYPE_IDENTIFIABLE","?REFERENTIAL"),"_")))))</f>
        <v/>
      </c>
      <c r="H3122" s="27" t="str">
        <f aca="false">IF(J3122&lt;&gt;1,"",IF(I3122="SBJ","CB","?"))</f>
        <v/>
      </c>
      <c r="I3122" s="24" t="str">
        <f aca="false">IF(OR(E3122="",E3122="!!!",F3122="NEW"),"",INDEX(B17:B$3106,-1+SUMPRODUCT(MAX(ROW(E17:E$3106)*(E3122=E17:E$3106)))))</f>
        <v/>
      </c>
      <c r="J3122" s="24" t="str">
        <f aca="true">IF(OR(E3122="",E3122="!!!",F3122="NEW"),"",COUNTBLANK(OFFSET(A$1,,,SUMPRODUCT(MAX(ROW(E$2:E3122)*(E3122=E$2:E3122)))))-COUNTBLANK(OFFSET(A$1,,,SUMPRODUCT(MAX(ROW(E$1:E3121)*(E2=E$1:E3121))))))</f>
        <v/>
      </c>
      <c r="K3122" s="24" t="str">
        <f aca="false">IF(OR(E3122="",E3122="!!!",F3122="NEW"),"",INDEX(J$1:J3121,SUMPRODUCT(MAX(ROW(E$1:E3121)*(E3122=E$1:E3121)))))</f>
        <v/>
      </c>
      <c r="L3122" s="31"/>
    </row>
    <row r="3123" customFormat="false" ht="15" hidden="false" customHeight="false" outlineLevel="0" collapsed="false">
      <c r="A3123" s="20" t="s">
        <v>1097</v>
      </c>
      <c r="B3123" s="22" t="s">
        <v>1112</v>
      </c>
      <c r="C3123" s="22" t="s">
        <v>1099</v>
      </c>
      <c r="D3123" s="22" t="s">
        <v>1060</v>
      </c>
      <c r="E3123" s="23" t="str">
        <f aca="false">IF(D3123="?OLD","!!!","")</f>
        <v>!!!</v>
      </c>
      <c r="F3123" s="25" t="str">
        <f aca="false">IF(OR(E3123="",E3123="!!!"),"",IF(NOT(ISNA(VLOOKUP(E3123,E$1:E3122,1,FALSE()))),"OLD",IF(AND(E3123&lt;&gt;"",E3123&lt;&gt;"!!!"),"NEW","")))</f>
        <v/>
      </c>
      <c r="G3123" s="26" t="str">
        <f aca="false">IF(OR(E3123="",E3123="!!!"),"",IF(OR(J3123=0,AND(J3123=1,K3123=1),AND(J3123=1,I3123="SBJ"),AND(J3123=1,I3123=0)),"?IN_FOCUS",IF(J3123&lt;=2,"?ACTIVATED",IF(J3123&lt;&gt;"","?FAMILIAR",IF(F3123="NEW",IF(ISNA(VLOOKUP(E3123,#REF!,1,FALSE())),"?TYPE_IDENTIFIABLE","?REFERENTIAL"),"_")))))</f>
        <v/>
      </c>
      <c r="H3123" s="27" t="str">
        <f aca="false">IF(J3123&lt;&gt;1,"",IF(I3123="SBJ","CB","?"))</f>
        <v/>
      </c>
      <c r="I3123" s="24" t="str">
        <f aca="false">IF(OR(E3123="",E3123="!!!",F3123="NEW"),"",INDEX(B18:B$3106,-1+SUMPRODUCT(MAX(ROW(E18:E$3106)*(E3123=E18:E$3106)))))</f>
        <v/>
      </c>
      <c r="J3123" s="24" t="str">
        <f aca="true">IF(OR(E3123="",E3123="!!!",F3123="NEW"),"",COUNTBLANK(OFFSET(A$1,,,SUMPRODUCT(MAX(ROW(E$2:E3123)*(E3123=E$2:E3123)))))-COUNTBLANK(OFFSET(A$1,,,SUMPRODUCT(MAX(ROW(E$1:E3122)*(E2=E$1:E3122))))))</f>
        <v/>
      </c>
      <c r="K3123" s="24" t="str">
        <f aca="false">IF(OR(E3123="",E3123="!!!",F3123="NEW"),"",INDEX(J$1:J3122,SUMPRODUCT(MAX(ROW(E$1:E3122)*(E3123=E$1:E3122)))))</f>
        <v/>
      </c>
      <c r="L3123" s="31"/>
    </row>
    <row r="3124" customFormat="false" ht="15" hidden="false" customHeight="false" outlineLevel="0" collapsed="false">
      <c r="A3124" s="20" t="s">
        <v>1734</v>
      </c>
      <c r="B3124" s="22" t="s">
        <v>1098</v>
      </c>
      <c r="C3124" s="22" t="s">
        <v>1059</v>
      </c>
      <c r="D3124" s="22" t="s">
        <v>1060</v>
      </c>
      <c r="E3124" s="23" t="str">
        <f aca="false">IF(D3124="?OLD","!!!","")</f>
        <v>!!!</v>
      </c>
      <c r="F3124" s="25" t="str">
        <f aca="false">IF(OR(E3124="",E3124="!!!"),"",IF(NOT(ISNA(VLOOKUP(E3124,E$1:E3123,1,FALSE()))),"OLD",IF(AND(E3124&lt;&gt;"",E3124&lt;&gt;"!!!"),"NEW","")))</f>
        <v/>
      </c>
      <c r="G3124" s="26" t="str">
        <f aca="false">IF(OR(E3124="",E3124="!!!"),"",IF(OR(J3124=0,AND(J3124=1,K3124=1),AND(J3124=1,I3124="SBJ"),AND(J3124=1,I3124=0)),"?IN_FOCUS",IF(J3124&lt;=2,"?ACTIVATED",IF(J3124&lt;&gt;"","?FAMILIAR",IF(F3124="NEW",IF(ISNA(VLOOKUP(E3124,#REF!,1,FALSE())),"?TYPE_IDENTIFIABLE","?REFERENTIAL"),"_")))))</f>
        <v/>
      </c>
      <c r="H3124" s="27" t="str">
        <f aca="false">IF(J3124&lt;&gt;1,"",IF(I3124="SBJ","CB","?"))</f>
        <v/>
      </c>
      <c r="I3124" s="24" t="str">
        <f aca="false">IF(OR(E3124="",E3124="!!!",F3124="NEW"),"",INDEX(B19:B$3106,-1+SUMPRODUCT(MAX(ROW(E19:E$3106)*(E3124=E19:E$3106)))))</f>
        <v/>
      </c>
      <c r="J3124" s="24" t="str">
        <f aca="true">IF(OR(E3124="",E3124="!!!",F3124="NEW"),"",COUNTBLANK(OFFSET(A$1,,,SUMPRODUCT(MAX(ROW(E$2:E3124)*(E3124=E$2:E3124)))))-COUNTBLANK(OFFSET(A$1,,,SUMPRODUCT(MAX(ROW(E$1:E3123)*(E2=E$1:E3123))))))</f>
        <v/>
      </c>
      <c r="K3124" s="24" t="str">
        <f aca="false">IF(OR(E3124="",E3124="!!!",F3124="NEW"),"",INDEX(J$1:J3123,SUMPRODUCT(MAX(ROW(E$1:E3123)*(E3124=E$1:E3123)))))</f>
        <v/>
      </c>
      <c r="L3124" s="31"/>
    </row>
    <row r="3125" customFormat="false" ht="15" hidden="false" customHeight="false" outlineLevel="0" collapsed="false">
      <c r="A3125" s="20" t="s">
        <v>923</v>
      </c>
      <c r="E3125" s="23" t="str">
        <f aca="false">IF(D3125="?OLD","!!!","")</f>
        <v/>
      </c>
      <c r="F3125" s="25" t="str">
        <f aca="false">IF(OR(E3125="",E3125="!!!"),"",IF(NOT(ISNA(VLOOKUP(E3125,E$1:E3124,1,FALSE()))),"OLD",IF(AND(E3125&lt;&gt;"",E3125&lt;&gt;"!!!"),"NEW","")))</f>
        <v/>
      </c>
      <c r="G3125" s="26" t="str">
        <f aca="false">IF(OR(E3125="",E3125="!!!"),"",IF(OR(J3125=0,AND(J3125=1,K3125=1),AND(J3125=1,I3125="SBJ"),AND(J3125=1,I3125=0)),"?IN_FOCUS",IF(J3125&lt;=2,"?ACTIVATED",IF(J3125&lt;&gt;"","?FAMILIAR",IF(F3125="NEW",IF(ISNA(VLOOKUP(E3125,#REF!,1,FALSE())),"?TYPE_IDENTIFIABLE","?REFERENTIAL"),"_")))))</f>
        <v/>
      </c>
      <c r="H3125" s="27" t="str">
        <f aca="false">IF(J3125&lt;&gt;1,"",IF(I3125="SBJ","CB","?"))</f>
        <v/>
      </c>
      <c r="I3125" s="24" t="str">
        <f aca="false">IF(OR(E3125="",E3125="!!!",F3125="NEW"),"",INDEX(B20:B$3106,-1+SUMPRODUCT(MAX(ROW(E20:E$3106)*(E3125=E20:E$3106)))))</f>
        <v/>
      </c>
      <c r="J3125" s="24" t="str">
        <f aca="true">IF(OR(E3125="",E3125="!!!",F3125="NEW"),"",COUNTBLANK(OFFSET(A$1,,,SUMPRODUCT(MAX(ROW(E$2:E3125)*(E3125=E$2:E3125)))))-COUNTBLANK(OFFSET(A$1,,,SUMPRODUCT(MAX(ROW(E$1:E3124)*(E2=E$1:E3124))))))</f>
        <v/>
      </c>
      <c r="K3125" s="24" t="str">
        <f aca="false">IF(OR(E3125="",E3125="!!!",F3125="NEW"),"",INDEX(J$1:J3124,SUMPRODUCT(MAX(ROW(E$1:E3124)*(E3125=E$1:E3124)))))</f>
        <v/>
      </c>
      <c r="L3125" s="31"/>
    </row>
    <row r="3126" customFormat="false" ht="15" hidden="false" customHeight="false" outlineLevel="0" collapsed="false">
      <c r="A3126" s="20"/>
    </row>
    <row r="3127" customFormat="false" ht="15" hidden="false" customHeight="false" outlineLevel="0" collapsed="false">
      <c r="A3127" s="20" t="s">
        <v>1301</v>
      </c>
      <c r="E3127" s="23" t="str">
        <f aca="false">IF(D3127="?OLD","!!!","")</f>
        <v/>
      </c>
      <c r="F3127" s="25" t="str">
        <f aca="false">IF(OR(E3127="",E3127="!!!"),"",IF(NOT(ISNA(VLOOKUP(E3127,E$1:E3126,1,FALSE()))),"OLD",IF(AND(E3127&lt;&gt;"",E3127&lt;&gt;"!!!"),"NEW","")))</f>
        <v/>
      </c>
      <c r="G3127" s="26" t="str">
        <f aca="false">IF(OR(E3127="",E3127="!!!"),"",IF(OR(J3127=0,AND(J3127=1,K3127=1),AND(J3127=1,I3127="SBJ"),AND(J3127=1,I3127=0)),"?IN_FOCUS",IF(J3127&lt;=2,"?ACTIVATED",IF(J3127&lt;&gt;"","?FAMILIAR",IF(F3127="NEW",IF(ISNA(VLOOKUP(E3127,#REF!,1,FALSE())),"?TYPE_IDENTIFIABLE","?REFERENTIAL"),"_")))))</f>
        <v/>
      </c>
      <c r="H3127" s="27" t="str">
        <f aca="false">IF(J3127&lt;&gt;1,"",IF(I3127="SBJ","CB","?"))</f>
        <v/>
      </c>
      <c r="I3127" s="24" t="str">
        <f aca="false">IF(OR(E3127="",E3127="!!!",F3127="NEW"),"",INDEX(B2:B$3126,-1+SUMPRODUCT(MAX(ROW(E2:E$3126)*(E3127=E2:E$3126)))))</f>
        <v/>
      </c>
      <c r="J3127" s="24" t="str">
        <f aca="true">IF(OR(E3127="",E3127="!!!",F3127="NEW"),"",COUNTBLANK(OFFSET(A$1,,,SUMPRODUCT(MAX(ROW(E$2:E3127)*(E3127=E$2:E3127)))))-COUNTBLANK(OFFSET(A$1,,,SUMPRODUCT(MAX(ROW(E$1:E3126)*(E2=E$1:E3126))))))</f>
        <v/>
      </c>
      <c r="K3127" s="24" t="str">
        <f aca="false">IF(OR(E3127="",E3127="!!!",F3127="NEW"),"",INDEX(J$1:J3126,SUMPRODUCT(MAX(ROW(E$1:E3126)*(E3127=E$1:E3126)))))</f>
        <v/>
      </c>
      <c r="L3127" s="31"/>
    </row>
    <row r="3128" customFormat="false" ht="15" hidden="false" customHeight="false" outlineLevel="0" collapsed="false">
      <c r="A3128" s="20" t="s">
        <v>2098</v>
      </c>
    </row>
    <row r="3129" customFormat="false" ht="15" hidden="false" customHeight="false" outlineLevel="0" collapsed="false">
      <c r="A3129" s="20" t="s">
        <v>607</v>
      </c>
      <c r="E3129" s="23" t="str">
        <f aca="false">IF(D3129="?OLD","!!!","")</f>
        <v/>
      </c>
      <c r="F3129" s="25" t="str">
        <f aca="false">IF(OR(E3129="",E3129="!!!"),"",IF(NOT(ISNA(VLOOKUP(E3129,E$1:E3128,1,FALSE()))),"OLD",IF(AND(E3129&lt;&gt;"",E3129&lt;&gt;"!!!"),"NEW","")))</f>
        <v/>
      </c>
      <c r="G3129" s="26" t="str">
        <f aca="false">IF(OR(E3129="",E3129="!!!"),"",IF(OR(J3129=0,AND(J3129=1,K3129=1),AND(J3129=1,I3129="SBJ"),AND(J3129=1,I3129=0)),"?IN_FOCUS",IF(J3129&lt;=2,"?ACTIVATED",IF(J3129&lt;&gt;"","?FAMILIAR",IF(F3129="NEW",IF(ISNA(VLOOKUP(E3129,#REF!,1,FALSE())),"?TYPE_IDENTIFIABLE","?REFERENTIAL"),"_")))))</f>
        <v/>
      </c>
      <c r="H3129" s="27" t="str">
        <f aca="false">IF(J3129&lt;&gt;1,"",IF(I3129="SBJ","CB","?"))</f>
        <v/>
      </c>
      <c r="I3129" s="24" t="str">
        <f aca="false">IF(OR(E3129="",E3129="!!!",F3129="NEW"),"",INDEX(B2:B$3128,-1+SUMPRODUCT(MAX(ROW(E2:E$3128)*(E3129=E2:E$3128)))))</f>
        <v/>
      </c>
      <c r="J3129" s="24" t="str">
        <f aca="true">IF(OR(E3129="",E3129="!!!",F3129="NEW"),"",COUNTBLANK(OFFSET(A$1,,,SUMPRODUCT(MAX(ROW(E$2:E3129)*(E3129=E$2:E3129)))))-COUNTBLANK(OFFSET(A$1,,,SUMPRODUCT(MAX(ROW(E$1:E3128)*(E2=E$1:E3128))))))</f>
        <v/>
      </c>
      <c r="K3129" s="24" t="str">
        <f aca="false">IF(OR(E3129="",E3129="!!!",F3129="NEW"),"",INDEX(J$1:J3128,SUMPRODUCT(MAX(ROW(E$1:E3128)*(E3129=E$1:E3128)))))</f>
        <v/>
      </c>
      <c r="L3129" s="31"/>
    </row>
    <row r="3130" customFormat="false" ht="15" hidden="false" customHeight="false" outlineLevel="0" collapsed="false">
      <c r="A3130" s="20" t="s">
        <v>1277</v>
      </c>
      <c r="B3130" s="22" t="s">
        <v>1086</v>
      </c>
      <c r="C3130" s="22" t="s">
        <v>1082</v>
      </c>
      <c r="D3130" s="22" t="s">
        <v>1060</v>
      </c>
      <c r="E3130" s="23" t="str">
        <f aca="false">IF(D3130="?OLD","!!!","")</f>
        <v>!!!</v>
      </c>
      <c r="F3130" s="25" t="str">
        <f aca="false">IF(OR(E3130="",E3130="!!!"),"",IF(NOT(ISNA(VLOOKUP(E3130,E$1:E3129,1,FALSE()))),"OLD",IF(AND(E3130&lt;&gt;"",E3130&lt;&gt;"!!!"),"NEW","")))</f>
        <v/>
      </c>
      <c r="G3130" s="26" t="str">
        <f aca="false">IF(OR(E3130="",E3130="!!!"),"",IF(OR(J3130=0,AND(J3130=1,K3130=1),AND(J3130=1,I3130="SBJ"),AND(J3130=1,I3130=0)),"?IN_FOCUS",IF(J3130&lt;=2,"?ACTIVATED",IF(J3130&lt;&gt;"","?FAMILIAR",IF(F3130="NEW",IF(ISNA(VLOOKUP(E3130,#REF!,1,FALSE())),"?TYPE_IDENTIFIABLE","?REFERENTIAL"),"_")))))</f>
        <v/>
      </c>
      <c r="H3130" s="27" t="str">
        <f aca="false">IF(J3130&lt;&gt;1,"",IF(I3130="SBJ","CB","?"))</f>
        <v/>
      </c>
      <c r="I3130" s="24" t="str">
        <f aca="false">IF(OR(E3130="",E3130="!!!",F3130="NEW"),"",INDEX(B3:B$3128,-1+SUMPRODUCT(MAX(ROW(E3:E$3128)*(E3130=E3:E$3128)))))</f>
        <v/>
      </c>
      <c r="J3130" s="24" t="str">
        <f aca="true">IF(OR(E3130="",E3130="!!!",F3130="NEW"),"",COUNTBLANK(OFFSET(A$1,,,SUMPRODUCT(MAX(ROW(E$2:E3130)*(E3130=E$2:E3130)))))-COUNTBLANK(OFFSET(A$1,,,SUMPRODUCT(MAX(ROW(E$1:E3129)*(E2=E$1:E3129))))))</f>
        <v/>
      </c>
      <c r="K3130" s="24" t="str">
        <f aca="false">IF(OR(E3130="",E3130="!!!",F3130="NEW"),"",INDEX(J$1:J3129,SUMPRODUCT(MAX(ROW(E$1:E3129)*(E3130=E$1:E3129)))))</f>
        <v/>
      </c>
      <c r="L3130" s="31"/>
    </row>
    <row r="3131" customFormat="false" ht="15" hidden="false" customHeight="false" outlineLevel="0" collapsed="false">
      <c r="A3131" s="20" t="s">
        <v>1375</v>
      </c>
      <c r="E3131" s="23" t="str">
        <f aca="false">IF(D3131="?OLD","!!!","")</f>
        <v/>
      </c>
      <c r="F3131" s="25" t="str">
        <f aca="false">IF(OR(E3131="",E3131="!!!"),"",IF(NOT(ISNA(VLOOKUP(E3131,E$1:E3130,1,FALSE()))),"OLD",IF(AND(E3131&lt;&gt;"",E3131&lt;&gt;"!!!"),"NEW","")))</f>
        <v/>
      </c>
      <c r="G3131" s="26" t="str">
        <f aca="false">IF(OR(E3131="",E3131="!!!"),"",IF(OR(J3131=0,AND(J3131=1,K3131=1),AND(J3131=1,I3131="SBJ"),AND(J3131=1,I3131=0)),"?IN_FOCUS",IF(J3131&lt;=2,"?ACTIVATED",IF(J3131&lt;&gt;"","?FAMILIAR",IF(F3131="NEW",IF(ISNA(VLOOKUP(E3131,#REF!,1,FALSE())),"?TYPE_IDENTIFIABLE","?REFERENTIAL"),"_")))))</f>
        <v/>
      </c>
      <c r="H3131" s="27" t="str">
        <f aca="false">IF(J3131&lt;&gt;1,"",IF(I3131="SBJ","CB","?"))</f>
        <v/>
      </c>
      <c r="I3131" s="24" t="str">
        <f aca="false">IF(OR(E3131="",E3131="!!!",F3131="NEW"),"",INDEX(B4:B$3128,-1+SUMPRODUCT(MAX(ROW(E4:E$3128)*(E3131=E4:E$3128)))))</f>
        <v/>
      </c>
      <c r="J3131" s="24" t="str">
        <f aca="true">IF(OR(E3131="",E3131="!!!",F3131="NEW"),"",COUNTBLANK(OFFSET(A$1,,,SUMPRODUCT(MAX(ROW(E$2:E3131)*(E3131=E$2:E3131)))))-COUNTBLANK(OFFSET(A$1,,,SUMPRODUCT(MAX(ROW(E$1:E3130)*(E2=E$1:E3130))))))</f>
        <v/>
      </c>
      <c r="K3131" s="24" t="str">
        <f aca="false">IF(OR(E3131="",E3131="!!!",F3131="NEW"),"",INDEX(J$1:J3130,SUMPRODUCT(MAX(ROW(E$1:E3130)*(E3131=E$1:E3130)))))</f>
        <v/>
      </c>
      <c r="L3131" s="31"/>
    </row>
    <row r="3132" customFormat="false" ht="15" hidden="false" customHeight="false" outlineLevel="0" collapsed="false">
      <c r="A3132" s="20" t="s">
        <v>303</v>
      </c>
      <c r="E3132" s="23" t="str">
        <f aca="false">IF(D3132="?OLD","!!!","")</f>
        <v/>
      </c>
      <c r="F3132" s="25" t="str">
        <f aca="false">IF(OR(E3132="",E3132="!!!"),"",IF(NOT(ISNA(VLOOKUP(E3132,E$1:E3131,1,FALSE()))),"OLD",IF(AND(E3132&lt;&gt;"",E3132&lt;&gt;"!!!"),"NEW","")))</f>
        <v/>
      </c>
      <c r="G3132" s="26" t="str">
        <f aca="false">IF(OR(E3132="",E3132="!!!"),"",IF(OR(J3132=0,AND(J3132=1,K3132=1),AND(J3132=1,I3132="SBJ"),AND(J3132=1,I3132=0)),"?IN_FOCUS",IF(J3132&lt;=2,"?ACTIVATED",IF(J3132&lt;&gt;"","?FAMILIAR",IF(F3132="NEW",IF(ISNA(VLOOKUP(E3132,#REF!,1,FALSE())),"?TYPE_IDENTIFIABLE","?REFERENTIAL"),"_")))))</f>
        <v/>
      </c>
      <c r="H3132" s="27" t="str">
        <f aca="false">IF(J3132&lt;&gt;1,"",IF(I3132="SBJ","CB","?"))</f>
        <v/>
      </c>
      <c r="I3132" s="24" t="str">
        <f aca="false">IF(OR(E3132="",E3132="!!!",F3132="NEW"),"",INDEX(B5:B$3128,-1+SUMPRODUCT(MAX(ROW(E5:E$3128)*(E3132=E5:E$3128)))))</f>
        <v/>
      </c>
      <c r="J3132" s="24" t="str">
        <f aca="true">IF(OR(E3132="",E3132="!!!",F3132="NEW"),"",COUNTBLANK(OFFSET(A$1,,,SUMPRODUCT(MAX(ROW(E$2:E3132)*(E3132=E$2:E3132)))))-COUNTBLANK(OFFSET(A$1,,,SUMPRODUCT(MAX(ROW(E$1:E3131)*(E2=E$1:E3131))))))</f>
        <v/>
      </c>
      <c r="K3132" s="24" t="str">
        <f aca="false">IF(OR(E3132="",E3132="!!!",F3132="NEW"),"",INDEX(J$1:J3131,SUMPRODUCT(MAX(ROW(E$1:E3131)*(E3132=E$1:E3131)))))</f>
        <v/>
      </c>
      <c r="L3132" s="31"/>
    </row>
    <row r="3133" customFormat="false" ht="15" hidden="false" customHeight="false" outlineLevel="0" collapsed="false">
      <c r="A3133" s="20" t="s">
        <v>1304</v>
      </c>
      <c r="B3133" s="22" t="s">
        <v>1142</v>
      </c>
      <c r="C3133" s="22" t="s">
        <v>1082</v>
      </c>
      <c r="D3133" s="22" t="s">
        <v>1060</v>
      </c>
      <c r="E3133" s="23" t="str">
        <f aca="false">IF(D3133="?OLD","!!!","")</f>
        <v>!!!</v>
      </c>
      <c r="F3133" s="25" t="str">
        <f aca="false">IF(OR(E3133="",E3133="!!!"),"",IF(NOT(ISNA(VLOOKUP(E3133,E$1:E3132,1,FALSE()))),"OLD",IF(AND(E3133&lt;&gt;"",E3133&lt;&gt;"!!!"),"NEW","")))</f>
        <v/>
      </c>
      <c r="G3133" s="26" t="str">
        <f aca="false">IF(OR(E3133="",E3133="!!!"),"",IF(OR(J3133=0,AND(J3133=1,K3133=1),AND(J3133=1,I3133="SBJ"),AND(J3133=1,I3133=0)),"?IN_FOCUS",IF(J3133&lt;=2,"?ACTIVATED",IF(J3133&lt;&gt;"","?FAMILIAR",IF(F3133="NEW",IF(ISNA(VLOOKUP(E3133,#REF!,1,FALSE())),"?TYPE_IDENTIFIABLE","?REFERENTIAL"),"_")))))</f>
        <v/>
      </c>
      <c r="H3133" s="27" t="str">
        <f aca="false">IF(J3133&lt;&gt;1,"",IF(I3133="SBJ","CB","?"))</f>
        <v/>
      </c>
      <c r="I3133" s="24" t="str">
        <f aca="false">IF(OR(E3133="",E3133="!!!",F3133="NEW"),"",INDEX(B6:B$3128,-1+SUMPRODUCT(MAX(ROW(E6:E$3128)*(E3133=E6:E$3128)))))</f>
        <v/>
      </c>
      <c r="J3133" s="24" t="str">
        <f aca="true">IF(OR(E3133="",E3133="!!!",F3133="NEW"),"",COUNTBLANK(OFFSET(A$1,,,SUMPRODUCT(MAX(ROW(E$2:E3133)*(E3133=E$2:E3133)))))-COUNTBLANK(OFFSET(A$1,,,SUMPRODUCT(MAX(ROW(E$1:E3132)*(E2=E$1:E3132))))))</f>
        <v/>
      </c>
      <c r="K3133" s="24" t="str">
        <f aca="false">IF(OR(E3133="",E3133="!!!",F3133="NEW"),"",INDEX(J$1:J3132,SUMPRODUCT(MAX(ROW(E$1:E3132)*(E3133=E$1:E3132)))))</f>
        <v/>
      </c>
      <c r="L3133" s="31"/>
    </row>
    <row r="3134" customFormat="false" ht="15" hidden="false" customHeight="false" outlineLevel="0" collapsed="false">
      <c r="A3134" s="20" t="s">
        <v>1343</v>
      </c>
      <c r="E3134" s="23" t="str">
        <f aca="false">IF(D3134="?OLD","!!!","")</f>
        <v/>
      </c>
      <c r="F3134" s="25" t="str">
        <f aca="false">IF(OR(E3134="",E3134="!!!"),"",IF(NOT(ISNA(VLOOKUP(E3134,E$1:E3133,1,FALSE()))),"OLD",IF(AND(E3134&lt;&gt;"",E3134&lt;&gt;"!!!"),"NEW","")))</f>
        <v/>
      </c>
      <c r="G3134" s="26" t="str">
        <f aca="false">IF(OR(E3134="",E3134="!!!"),"",IF(OR(J3134=0,AND(J3134=1,K3134=1),AND(J3134=1,I3134="SBJ"),AND(J3134=1,I3134=0)),"?IN_FOCUS",IF(J3134&lt;=2,"?ACTIVATED",IF(J3134&lt;&gt;"","?FAMILIAR",IF(F3134="NEW",IF(ISNA(VLOOKUP(E3134,#REF!,1,FALSE())),"?TYPE_IDENTIFIABLE","?REFERENTIAL"),"_")))))</f>
        <v/>
      </c>
      <c r="H3134" s="27" t="str">
        <f aca="false">IF(J3134&lt;&gt;1,"",IF(I3134="SBJ","CB","?"))</f>
        <v/>
      </c>
      <c r="I3134" s="24" t="str">
        <f aca="false">IF(OR(E3134="",E3134="!!!",F3134="NEW"),"",INDEX(B7:B$3128,-1+SUMPRODUCT(MAX(ROW(E7:E$3128)*(E3134=E7:E$3128)))))</f>
        <v/>
      </c>
      <c r="J3134" s="24" t="str">
        <f aca="true">IF(OR(E3134="",E3134="!!!",F3134="NEW"),"",COUNTBLANK(OFFSET(A$1,,,SUMPRODUCT(MAX(ROW(E$2:E3134)*(E3134=E$2:E3134)))))-COUNTBLANK(OFFSET(A$1,,,SUMPRODUCT(MAX(ROW(E$1:E3133)*(E2=E$1:E3133))))))</f>
        <v/>
      </c>
      <c r="K3134" s="24" t="str">
        <f aca="false">IF(OR(E3134="",E3134="!!!",F3134="NEW"),"",INDEX(J$1:J3133,SUMPRODUCT(MAX(ROW(E$1:E3133)*(E3134=E$1:E3133)))))</f>
        <v/>
      </c>
      <c r="L3134" s="31"/>
    </row>
    <row r="3135" customFormat="false" ht="15" hidden="false" customHeight="false" outlineLevel="0" collapsed="false">
      <c r="A3135" s="20" t="s">
        <v>1076</v>
      </c>
      <c r="E3135" s="23" t="str">
        <f aca="false">IF(D3135="?OLD","!!!","")</f>
        <v/>
      </c>
      <c r="F3135" s="25" t="str">
        <f aca="false">IF(OR(E3135="",E3135="!!!"),"",IF(NOT(ISNA(VLOOKUP(E3135,E$1:E3134,1,FALSE()))),"OLD",IF(AND(E3135&lt;&gt;"",E3135&lt;&gt;"!!!"),"NEW","")))</f>
        <v/>
      </c>
      <c r="G3135" s="26" t="str">
        <f aca="false">IF(OR(E3135="",E3135="!!!"),"",IF(OR(J3135=0,AND(J3135=1,K3135=1),AND(J3135=1,I3135="SBJ"),AND(J3135=1,I3135=0)),"?IN_FOCUS",IF(J3135&lt;=2,"?ACTIVATED",IF(J3135&lt;&gt;"","?FAMILIAR",IF(F3135="NEW",IF(ISNA(VLOOKUP(E3135,#REF!,1,FALSE())),"?TYPE_IDENTIFIABLE","?REFERENTIAL"),"_")))))</f>
        <v/>
      </c>
      <c r="H3135" s="27" t="str">
        <f aca="false">IF(J3135&lt;&gt;1,"",IF(I3135="SBJ","CB","?"))</f>
        <v/>
      </c>
      <c r="I3135" s="24" t="str">
        <f aca="false">IF(OR(E3135="",E3135="!!!",F3135="NEW"),"",INDEX(B8:B$3128,-1+SUMPRODUCT(MAX(ROW(E8:E$3128)*(E3135=E8:E$3128)))))</f>
        <v/>
      </c>
      <c r="J3135" s="24" t="str">
        <f aca="true">IF(OR(E3135="",E3135="!!!",F3135="NEW"),"",COUNTBLANK(OFFSET(A$1,,,SUMPRODUCT(MAX(ROW(E$2:E3135)*(E3135=E$2:E3135)))))-COUNTBLANK(OFFSET(A$1,,,SUMPRODUCT(MAX(ROW(E$1:E3134)*(E2=E$1:E3134))))))</f>
        <v/>
      </c>
      <c r="K3135" s="24" t="str">
        <f aca="false">IF(OR(E3135="",E3135="!!!",F3135="NEW"),"",INDEX(J$1:J3134,SUMPRODUCT(MAX(ROW(E$1:E3134)*(E3135=E$1:E3134)))))</f>
        <v/>
      </c>
      <c r="L3135" s="31"/>
    </row>
    <row r="3136" customFormat="false" ht="15" hidden="false" customHeight="false" outlineLevel="0" collapsed="false">
      <c r="A3136" s="20" t="s">
        <v>607</v>
      </c>
      <c r="E3136" s="23" t="str">
        <f aca="false">IF(D3136="?OLD","!!!","")</f>
        <v/>
      </c>
      <c r="F3136" s="25" t="str">
        <f aca="false">IF(OR(E3136="",E3136="!!!"),"",IF(NOT(ISNA(VLOOKUP(E3136,E$1:E3135,1,FALSE()))),"OLD",IF(AND(E3136&lt;&gt;"",E3136&lt;&gt;"!!!"),"NEW","")))</f>
        <v/>
      </c>
      <c r="G3136" s="26" t="str">
        <f aca="false">IF(OR(E3136="",E3136="!!!"),"",IF(OR(J3136=0,AND(J3136=1,K3136=1),AND(J3136=1,I3136="SBJ"),AND(J3136=1,I3136=0)),"?IN_FOCUS",IF(J3136&lt;=2,"?ACTIVATED",IF(J3136&lt;&gt;"","?FAMILIAR",IF(F3136="NEW",IF(ISNA(VLOOKUP(E3136,#REF!,1,FALSE())),"?TYPE_IDENTIFIABLE","?REFERENTIAL"),"_")))))</f>
        <v/>
      </c>
      <c r="H3136" s="27" t="str">
        <f aca="false">IF(J3136&lt;&gt;1,"",IF(I3136="SBJ","CB","?"))</f>
        <v/>
      </c>
      <c r="I3136" s="24" t="str">
        <f aca="false">IF(OR(E3136="",E3136="!!!",F3136="NEW"),"",INDEX(B9:B$3128,-1+SUMPRODUCT(MAX(ROW(E9:E$3128)*(E3136=E9:E$3128)))))</f>
        <v/>
      </c>
      <c r="J3136" s="24" t="str">
        <f aca="true">IF(OR(E3136="",E3136="!!!",F3136="NEW"),"",COUNTBLANK(OFFSET(A$1,,,SUMPRODUCT(MAX(ROW(E$2:E3136)*(E3136=E$2:E3136)))))-COUNTBLANK(OFFSET(A$1,,,SUMPRODUCT(MAX(ROW(E$1:E3135)*(E2=E$1:E3135))))))</f>
        <v/>
      </c>
      <c r="K3136" s="24" t="str">
        <f aca="false">IF(OR(E3136="",E3136="!!!",F3136="NEW"),"",INDEX(J$1:J3135,SUMPRODUCT(MAX(ROW(E$1:E3135)*(E3136=E$1:E3135)))))</f>
        <v/>
      </c>
      <c r="L3136" s="31"/>
    </row>
    <row r="3137" customFormat="false" ht="15" hidden="false" customHeight="false" outlineLevel="0" collapsed="false">
      <c r="A3137" s="20" t="s">
        <v>1194</v>
      </c>
      <c r="E3137" s="23" t="str">
        <f aca="false">IF(D3137="?OLD","!!!","")</f>
        <v/>
      </c>
      <c r="F3137" s="25" t="str">
        <f aca="false">IF(OR(E3137="",E3137="!!!"),"",IF(NOT(ISNA(VLOOKUP(E3137,E$1:E3136,1,FALSE()))),"OLD",IF(AND(E3137&lt;&gt;"",E3137&lt;&gt;"!!!"),"NEW","")))</f>
        <v/>
      </c>
      <c r="G3137" s="26" t="str">
        <f aca="false">IF(OR(E3137="",E3137="!!!"),"",IF(OR(J3137=0,AND(J3137=1,K3137=1),AND(J3137=1,I3137="SBJ"),AND(J3137=1,I3137=0)),"?IN_FOCUS",IF(J3137&lt;=2,"?ACTIVATED",IF(J3137&lt;&gt;"","?FAMILIAR",IF(F3137="NEW",IF(ISNA(VLOOKUP(E3137,#REF!,1,FALSE())),"?TYPE_IDENTIFIABLE","?REFERENTIAL"),"_")))))</f>
        <v/>
      </c>
      <c r="H3137" s="27" t="str">
        <f aca="false">IF(J3137&lt;&gt;1,"",IF(I3137="SBJ","CB","?"))</f>
        <v/>
      </c>
      <c r="I3137" s="24" t="str">
        <f aca="false">IF(OR(E3137="",E3137="!!!",F3137="NEW"),"",INDEX(B10:B$3128,-1+SUMPRODUCT(MAX(ROW(E10:E$3128)*(E3137=E10:E$3128)))))</f>
        <v/>
      </c>
      <c r="J3137" s="24" t="str">
        <f aca="true">IF(OR(E3137="",E3137="!!!",F3137="NEW"),"",COUNTBLANK(OFFSET(A$1,,,SUMPRODUCT(MAX(ROW(E$2:E3137)*(E3137=E$2:E3137)))))-COUNTBLANK(OFFSET(A$1,,,SUMPRODUCT(MAX(ROW(E$1:E3136)*(E2=E$1:E3136))))))</f>
        <v/>
      </c>
      <c r="K3137" s="24" t="str">
        <f aca="false">IF(OR(E3137="",E3137="!!!",F3137="NEW"),"",INDEX(J$1:J3136,SUMPRODUCT(MAX(ROW(E$1:E3136)*(E3137=E$1:E3136)))))</f>
        <v/>
      </c>
      <c r="L3137" s="31"/>
    </row>
    <row r="3138" customFormat="false" ht="15" hidden="false" customHeight="false" outlineLevel="0" collapsed="false">
      <c r="A3138" s="20" t="s">
        <v>1066</v>
      </c>
      <c r="B3138" s="22" t="s">
        <v>1058</v>
      </c>
      <c r="C3138" s="22" t="s">
        <v>1068</v>
      </c>
      <c r="D3138" s="22" t="s">
        <v>1060</v>
      </c>
      <c r="E3138" s="23" t="str">
        <f aca="false">IF(D3138="?OLD","!!!","")</f>
        <v>!!!</v>
      </c>
      <c r="F3138" s="25" t="str">
        <f aca="false">IF(OR(E3138="",E3138="!!!"),"",IF(NOT(ISNA(VLOOKUP(E3138,E$1:E3137,1,FALSE()))),"OLD",IF(AND(E3138&lt;&gt;"",E3138&lt;&gt;"!!!"),"NEW","")))</f>
        <v/>
      </c>
      <c r="G3138" s="26" t="str">
        <f aca="false">IF(OR(E3138="",E3138="!!!"),"",IF(OR(J3138=0,AND(J3138=1,K3138=1),AND(J3138=1,I3138="SBJ"),AND(J3138=1,I3138=0)),"?IN_FOCUS",IF(J3138&lt;=2,"?ACTIVATED",IF(J3138&lt;&gt;"","?FAMILIAR",IF(F3138="NEW",IF(ISNA(VLOOKUP(E3138,#REF!,1,FALSE())),"?TYPE_IDENTIFIABLE","?REFERENTIAL"),"_")))))</f>
        <v/>
      </c>
      <c r="H3138" s="27" t="str">
        <f aca="false">IF(J3138&lt;&gt;1,"",IF(I3138="SBJ","CB","?"))</f>
        <v/>
      </c>
      <c r="I3138" s="24" t="str">
        <f aca="false">IF(OR(E3138="",E3138="!!!",F3138="NEW"),"",INDEX(B11:B$3128,-1+SUMPRODUCT(MAX(ROW(E11:E$3128)*(E3138=E11:E$3128)))))</f>
        <v/>
      </c>
      <c r="J3138" s="24" t="str">
        <f aca="true">IF(OR(E3138="",E3138="!!!",F3138="NEW"),"",COUNTBLANK(OFFSET(A$1,,,SUMPRODUCT(MAX(ROW(E$2:E3138)*(E3138=E$2:E3138)))))-COUNTBLANK(OFFSET(A$1,,,SUMPRODUCT(MAX(ROW(E$1:E3137)*(E2=E$1:E3137))))))</f>
        <v/>
      </c>
      <c r="K3138" s="24" t="str">
        <f aca="false">IF(OR(E3138="",E3138="!!!",F3138="NEW"),"",INDEX(J$1:J3137,SUMPRODUCT(MAX(ROW(E$1:E3137)*(E3138=E$1:E3137)))))</f>
        <v/>
      </c>
      <c r="L3138" s="31"/>
    </row>
    <row r="3139" customFormat="false" ht="15" hidden="false" customHeight="false" outlineLevel="0" collapsed="false">
      <c r="A3139" s="20" t="s">
        <v>923</v>
      </c>
      <c r="E3139" s="23" t="str">
        <f aca="false">IF(D3139="?OLD","!!!","")</f>
        <v/>
      </c>
      <c r="F3139" s="25" t="str">
        <f aca="false">IF(OR(E3139="",E3139="!!!"),"",IF(NOT(ISNA(VLOOKUP(E3139,E$1:E3138,1,FALSE()))),"OLD",IF(AND(E3139&lt;&gt;"",E3139&lt;&gt;"!!!"),"NEW","")))</f>
        <v/>
      </c>
      <c r="G3139" s="26" t="str">
        <f aca="false">IF(OR(E3139="",E3139="!!!"),"",IF(OR(J3139=0,AND(J3139=1,K3139=1),AND(J3139=1,I3139="SBJ"),AND(J3139=1,I3139=0)),"?IN_FOCUS",IF(J3139&lt;=2,"?ACTIVATED",IF(J3139&lt;&gt;"","?FAMILIAR",IF(F3139="NEW",IF(ISNA(VLOOKUP(E3139,#REF!,1,FALSE())),"?TYPE_IDENTIFIABLE","?REFERENTIAL"),"_")))))</f>
        <v/>
      </c>
      <c r="H3139" s="27" t="str">
        <f aca="false">IF(J3139&lt;&gt;1,"",IF(I3139="SBJ","CB","?"))</f>
        <v/>
      </c>
      <c r="I3139" s="24" t="str">
        <f aca="false">IF(OR(E3139="",E3139="!!!",F3139="NEW"),"",INDEX(B12:B$3128,-1+SUMPRODUCT(MAX(ROW(E12:E$3128)*(E3139=E12:E$3128)))))</f>
        <v/>
      </c>
      <c r="J3139" s="24" t="str">
        <f aca="true">IF(OR(E3139="",E3139="!!!",F3139="NEW"),"",COUNTBLANK(OFFSET(A$1,,,SUMPRODUCT(MAX(ROW(E$2:E3139)*(E3139=E$2:E3139)))))-COUNTBLANK(OFFSET(A$1,,,SUMPRODUCT(MAX(ROW(E$1:E3138)*(E2=E$1:E3138))))))</f>
        <v/>
      </c>
      <c r="K3139" s="24" t="str">
        <f aca="false">IF(OR(E3139="",E3139="!!!",F3139="NEW"),"",INDEX(J$1:J3138,SUMPRODUCT(MAX(ROW(E$1:E3138)*(E3139=E$1:E3138)))))</f>
        <v/>
      </c>
      <c r="L3139" s="31"/>
    </row>
    <row r="3140" customFormat="false" ht="15" hidden="false" customHeight="false" outlineLevel="0" collapsed="false">
      <c r="A3140" s="20"/>
    </row>
    <row r="3141" customFormat="false" ht="15" hidden="false" customHeight="false" outlineLevel="0" collapsed="false">
      <c r="A3141" s="20" t="s">
        <v>1301</v>
      </c>
      <c r="E3141" s="23" t="str">
        <f aca="false">IF(D3141="?OLD","!!!","")</f>
        <v/>
      </c>
      <c r="F3141" s="25" t="str">
        <f aca="false">IF(OR(E3141="",E3141="!!!"),"",IF(NOT(ISNA(VLOOKUP(E3141,E$1:E3140,1,FALSE()))),"OLD",IF(AND(E3141&lt;&gt;"",E3141&lt;&gt;"!!!"),"NEW","")))</f>
        <v/>
      </c>
      <c r="G3141" s="26" t="str">
        <f aca="false">IF(OR(E3141="",E3141="!!!"),"",IF(OR(J3141=0,AND(J3141=1,K3141=1),AND(J3141=1,I3141="SBJ"),AND(J3141=1,I3141=0)),"?IN_FOCUS",IF(J3141&lt;=2,"?ACTIVATED",IF(J3141&lt;&gt;"","?FAMILIAR",IF(F3141="NEW",IF(ISNA(VLOOKUP(E3141,#REF!,1,FALSE())),"?TYPE_IDENTIFIABLE","?REFERENTIAL"),"_")))))</f>
        <v/>
      </c>
      <c r="H3141" s="27" t="str">
        <f aca="false">IF(J3141&lt;&gt;1,"",IF(I3141="SBJ","CB","?"))</f>
        <v/>
      </c>
      <c r="I3141" s="24" t="str">
        <f aca="false">IF(OR(E3141="",E3141="!!!",F3141="NEW"),"",INDEX(B2:B$3140,-1+SUMPRODUCT(MAX(ROW(E2:E$3140)*(E3141=E2:E$3140)))))</f>
        <v/>
      </c>
      <c r="J3141" s="24" t="str">
        <f aca="true">IF(OR(E3141="",E3141="!!!",F3141="NEW"),"",COUNTBLANK(OFFSET(A$1,,,SUMPRODUCT(MAX(ROW(E$2:E3141)*(E3141=E$2:E3141)))))-COUNTBLANK(OFFSET(A$1,,,SUMPRODUCT(MAX(ROW(E$1:E3140)*(E2=E$1:E3140))))))</f>
        <v/>
      </c>
      <c r="K3141" s="24" t="str">
        <f aca="false">IF(OR(E3141="",E3141="!!!",F3141="NEW"),"",INDEX(J$1:J3140,SUMPRODUCT(MAX(ROW(E$1:E3140)*(E3141=E$1:E3140)))))</f>
        <v/>
      </c>
      <c r="L3141" s="31"/>
    </row>
    <row r="3142" customFormat="false" ht="15" hidden="false" customHeight="false" outlineLevel="0" collapsed="false">
      <c r="A3142" s="20" t="s">
        <v>2099</v>
      </c>
    </row>
    <row r="3143" customFormat="false" ht="15" hidden="false" customHeight="false" outlineLevel="0" collapsed="false">
      <c r="A3143" s="20" t="s">
        <v>607</v>
      </c>
      <c r="E3143" s="23" t="str">
        <f aca="false">IF(D3143="?OLD","!!!","")</f>
        <v/>
      </c>
      <c r="F3143" s="25" t="str">
        <f aca="false">IF(OR(E3143="",E3143="!!!"),"",IF(NOT(ISNA(VLOOKUP(E3143,E$1:E3142,1,FALSE()))),"OLD",IF(AND(E3143&lt;&gt;"",E3143&lt;&gt;"!!!"),"NEW","")))</f>
        <v/>
      </c>
      <c r="G3143" s="26" t="str">
        <f aca="false">IF(OR(E3143="",E3143="!!!"),"",IF(OR(J3143=0,AND(J3143=1,K3143=1),AND(J3143=1,I3143="SBJ"),AND(J3143=1,I3143=0)),"?IN_FOCUS",IF(J3143&lt;=2,"?ACTIVATED",IF(J3143&lt;&gt;"","?FAMILIAR",IF(F3143="NEW",IF(ISNA(VLOOKUP(E3143,#REF!,1,FALSE())),"?TYPE_IDENTIFIABLE","?REFERENTIAL"),"_")))))</f>
        <v/>
      </c>
      <c r="H3143" s="27" t="str">
        <f aca="false">IF(J3143&lt;&gt;1,"",IF(I3143="SBJ","CB","?"))</f>
        <v/>
      </c>
      <c r="I3143" s="24" t="str">
        <f aca="false">IF(OR(E3143="",E3143="!!!",F3143="NEW"),"",INDEX(B2:B$3142,-1+SUMPRODUCT(MAX(ROW(E2:E$3142)*(E3143=E2:E$3142)))))</f>
        <v/>
      </c>
      <c r="J3143" s="24" t="str">
        <f aca="true">IF(OR(E3143="",E3143="!!!",F3143="NEW"),"",COUNTBLANK(OFFSET(A$1,,,SUMPRODUCT(MAX(ROW(E$2:E3143)*(E3143=E$2:E3143)))))-COUNTBLANK(OFFSET(A$1,,,SUMPRODUCT(MAX(ROW(E$1:E3142)*(E2=E$1:E3142))))))</f>
        <v/>
      </c>
      <c r="K3143" s="24" t="str">
        <f aca="false">IF(OR(E3143="",E3143="!!!",F3143="NEW"),"",INDEX(J$1:J3142,SUMPRODUCT(MAX(ROW(E$1:E3142)*(E3143=E$1:E3142)))))</f>
        <v/>
      </c>
      <c r="L3143" s="31"/>
    </row>
    <row r="3144" customFormat="false" ht="15" hidden="false" customHeight="false" outlineLevel="0" collapsed="false">
      <c r="A3144" s="20" t="s">
        <v>1148</v>
      </c>
      <c r="E3144" s="23" t="str">
        <f aca="false">IF(D3144="?OLD","!!!","")</f>
        <v/>
      </c>
      <c r="F3144" s="25" t="str">
        <f aca="false">IF(OR(E3144="",E3144="!!!"),"",IF(NOT(ISNA(VLOOKUP(E3144,E$1:E3143,1,FALSE()))),"OLD",IF(AND(E3144&lt;&gt;"",E3144&lt;&gt;"!!!"),"NEW","")))</f>
        <v/>
      </c>
      <c r="G3144" s="26" t="str">
        <f aca="false">IF(OR(E3144="",E3144="!!!"),"",IF(OR(J3144=0,AND(J3144=1,K3144=1),AND(J3144=1,I3144="SBJ"),AND(J3144=1,I3144=0)),"?IN_FOCUS",IF(J3144&lt;=2,"?ACTIVATED",IF(J3144&lt;&gt;"","?FAMILIAR",IF(F3144="NEW",IF(ISNA(VLOOKUP(E3144,#REF!,1,FALSE())),"?TYPE_IDENTIFIABLE","?REFERENTIAL"),"_")))))</f>
        <v/>
      </c>
      <c r="H3144" s="27" t="str">
        <f aca="false">IF(J3144&lt;&gt;1,"",IF(I3144="SBJ","CB","?"))</f>
        <v/>
      </c>
      <c r="I3144" s="24" t="str">
        <f aca="false">IF(OR(E3144="",E3144="!!!",F3144="NEW"),"",INDEX(B3:B$3142,-1+SUMPRODUCT(MAX(ROW(E3:E$3142)*(E3144=E3:E$3142)))))</f>
        <v/>
      </c>
      <c r="J3144" s="24" t="str">
        <f aca="true">IF(OR(E3144="",E3144="!!!",F3144="NEW"),"",COUNTBLANK(OFFSET(A$1,,,SUMPRODUCT(MAX(ROW(E$2:E3144)*(E3144=E$2:E3144)))))-COUNTBLANK(OFFSET(A$1,,,SUMPRODUCT(MAX(ROW(E$1:E3143)*(E2=E$1:E3143))))))</f>
        <v/>
      </c>
      <c r="K3144" s="24" t="str">
        <f aca="false">IF(OR(E3144="",E3144="!!!",F3144="NEW"),"",INDEX(J$1:J3143,SUMPRODUCT(MAX(ROW(E$1:E3143)*(E3144=E$1:E3143)))))</f>
        <v/>
      </c>
      <c r="L3144" s="31"/>
    </row>
    <row r="3145" customFormat="false" ht="15" hidden="false" customHeight="false" outlineLevel="0" collapsed="false">
      <c r="A3145" s="20" t="s">
        <v>2100</v>
      </c>
      <c r="B3145" s="22" t="s">
        <v>1058</v>
      </c>
      <c r="C3145" s="22" t="s">
        <v>1059</v>
      </c>
      <c r="D3145" s="22" t="s">
        <v>1060</v>
      </c>
      <c r="E3145" s="23" t="str">
        <f aca="false">IF(D3145="?OLD","!!!","")</f>
        <v>!!!</v>
      </c>
      <c r="F3145" s="25" t="str">
        <f aca="false">IF(OR(E3145="",E3145="!!!"),"",IF(NOT(ISNA(VLOOKUP(E3145,E$1:E3144,1,FALSE()))),"OLD",IF(AND(E3145&lt;&gt;"",E3145&lt;&gt;"!!!"),"NEW","")))</f>
        <v/>
      </c>
      <c r="G3145" s="26" t="str">
        <f aca="false">IF(OR(E3145="",E3145="!!!"),"",IF(OR(J3145=0,AND(J3145=1,K3145=1),AND(J3145=1,I3145="SBJ"),AND(J3145=1,I3145=0)),"?IN_FOCUS",IF(J3145&lt;=2,"?ACTIVATED",IF(J3145&lt;&gt;"","?FAMILIAR",IF(F3145="NEW",IF(ISNA(VLOOKUP(E3145,#REF!,1,FALSE())),"?TYPE_IDENTIFIABLE","?REFERENTIAL"),"_")))))</f>
        <v/>
      </c>
      <c r="H3145" s="27" t="str">
        <f aca="false">IF(J3145&lt;&gt;1,"",IF(I3145="SBJ","CB","?"))</f>
        <v/>
      </c>
      <c r="I3145" s="24" t="str">
        <f aca="false">IF(OR(E3145="",E3145="!!!",F3145="NEW"),"",INDEX(B4:B$3142,-1+SUMPRODUCT(MAX(ROW(E4:E$3142)*(E3145=E4:E$3142)))))</f>
        <v/>
      </c>
      <c r="J3145" s="24" t="str">
        <f aca="true">IF(OR(E3145="",E3145="!!!",F3145="NEW"),"",COUNTBLANK(OFFSET(A$1,,,SUMPRODUCT(MAX(ROW(E$2:E3145)*(E3145=E$2:E3145)))))-COUNTBLANK(OFFSET(A$1,,,SUMPRODUCT(MAX(ROW(E$1:E3144)*(E2=E$1:E3144))))))</f>
        <v/>
      </c>
      <c r="K3145" s="24" t="str">
        <f aca="false">IF(OR(E3145="",E3145="!!!",F3145="NEW"),"",INDEX(J$1:J3144,SUMPRODUCT(MAX(ROW(E$1:E3144)*(E3145=E$1:E3144)))))</f>
        <v/>
      </c>
      <c r="L3145" s="31"/>
    </row>
    <row r="3146" customFormat="false" ht="15" hidden="false" customHeight="false" outlineLevel="0" collapsed="false">
      <c r="A3146" s="20" t="s">
        <v>1064</v>
      </c>
      <c r="E3146" s="23" t="str">
        <f aca="false">IF(D3146="?OLD","!!!","")</f>
        <v/>
      </c>
      <c r="F3146" s="25" t="str">
        <f aca="false">IF(OR(E3146="",E3146="!!!"),"",IF(NOT(ISNA(VLOOKUP(E3146,E$1:E3145,1,FALSE()))),"OLD",IF(AND(E3146&lt;&gt;"",E3146&lt;&gt;"!!!"),"NEW","")))</f>
        <v/>
      </c>
      <c r="G3146" s="26" t="str">
        <f aca="false">IF(OR(E3146="",E3146="!!!"),"",IF(OR(J3146=0,AND(J3146=1,K3146=1),AND(J3146=1,I3146="SBJ"),AND(J3146=1,I3146=0)),"?IN_FOCUS",IF(J3146&lt;=2,"?ACTIVATED",IF(J3146&lt;&gt;"","?FAMILIAR",IF(F3146="NEW",IF(ISNA(VLOOKUP(E3146,#REF!,1,FALSE())),"?TYPE_IDENTIFIABLE","?REFERENTIAL"),"_")))))</f>
        <v/>
      </c>
      <c r="H3146" s="27" t="str">
        <f aca="false">IF(J3146&lt;&gt;1,"",IF(I3146="SBJ","CB","?"))</f>
        <v/>
      </c>
      <c r="I3146" s="24" t="str">
        <f aca="false">IF(OR(E3146="",E3146="!!!",F3146="NEW"),"",INDEX(B5:B$3142,-1+SUMPRODUCT(MAX(ROW(E5:E$3142)*(E3146=E5:E$3142)))))</f>
        <v/>
      </c>
      <c r="J3146" s="24" t="str">
        <f aca="true">IF(OR(E3146="",E3146="!!!",F3146="NEW"),"",COUNTBLANK(OFFSET(A$1,,,SUMPRODUCT(MAX(ROW(E$2:E3146)*(E3146=E$2:E3146)))))-COUNTBLANK(OFFSET(A$1,,,SUMPRODUCT(MAX(ROW(E$1:E3145)*(E2=E$1:E3145))))))</f>
        <v/>
      </c>
      <c r="K3146" s="24" t="str">
        <f aca="false">IF(OR(E3146="",E3146="!!!",F3146="NEW"),"",INDEX(J$1:J3145,SUMPRODUCT(MAX(ROW(E$1:E3145)*(E3146=E$1:E3145)))))</f>
        <v/>
      </c>
      <c r="L3146" s="31"/>
    </row>
    <row r="3147" customFormat="false" ht="15" hidden="false" customHeight="false" outlineLevel="0" collapsed="false">
      <c r="A3147" s="20" t="s">
        <v>1189</v>
      </c>
      <c r="B3147" s="22" t="s">
        <v>1067</v>
      </c>
      <c r="C3147" s="22" t="s">
        <v>1099</v>
      </c>
      <c r="D3147" s="22" t="s">
        <v>1060</v>
      </c>
      <c r="E3147" s="23" t="str">
        <f aca="false">IF(D3147="?OLD","!!!","")</f>
        <v>!!!</v>
      </c>
      <c r="F3147" s="25" t="str">
        <f aca="false">IF(OR(E3147="",E3147="!!!"),"",IF(NOT(ISNA(VLOOKUP(E3147,E$1:E3146,1,FALSE()))),"OLD",IF(AND(E3147&lt;&gt;"",E3147&lt;&gt;"!!!"),"NEW","")))</f>
        <v/>
      </c>
      <c r="G3147" s="26" t="str">
        <f aca="false">IF(OR(E3147="",E3147="!!!"),"",IF(OR(J3147=0,AND(J3147=1,K3147=1),AND(J3147=1,I3147="SBJ"),AND(J3147=1,I3147=0)),"?IN_FOCUS",IF(J3147&lt;=2,"?ACTIVATED",IF(J3147&lt;&gt;"","?FAMILIAR",IF(F3147="NEW",IF(ISNA(VLOOKUP(E3147,#REF!,1,FALSE())),"?TYPE_IDENTIFIABLE","?REFERENTIAL"),"_")))))</f>
        <v/>
      </c>
      <c r="H3147" s="27" t="str">
        <f aca="false">IF(J3147&lt;&gt;1,"",IF(I3147="SBJ","CB","?"))</f>
        <v/>
      </c>
      <c r="I3147" s="24" t="str">
        <f aca="false">IF(OR(E3147="",E3147="!!!",F3147="NEW"),"",INDEX(B6:B$3142,-1+SUMPRODUCT(MAX(ROW(E6:E$3142)*(E3147=E6:E$3142)))))</f>
        <v/>
      </c>
      <c r="J3147" s="24" t="str">
        <f aca="true">IF(OR(E3147="",E3147="!!!",F3147="NEW"),"",COUNTBLANK(OFFSET(A$1,,,SUMPRODUCT(MAX(ROW(E$2:E3147)*(E3147=E$2:E3147)))))-COUNTBLANK(OFFSET(A$1,,,SUMPRODUCT(MAX(ROW(E$1:E3146)*(E2=E$1:E3146))))))</f>
        <v/>
      </c>
      <c r="K3147" s="24" t="str">
        <f aca="false">IF(OR(E3147="",E3147="!!!",F3147="NEW"),"",INDEX(J$1:J3146,SUMPRODUCT(MAX(ROW(E$1:E3146)*(E3147=E$1:E3146)))))</f>
        <v/>
      </c>
      <c r="L3147" s="31"/>
    </row>
    <row r="3148" customFormat="false" ht="15" hidden="false" customHeight="false" outlineLevel="0" collapsed="false">
      <c r="A3148" s="20" t="s">
        <v>2101</v>
      </c>
      <c r="B3148" s="22" t="s">
        <v>1073</v>
      </c>
      <c r="C3148" s="22" t="s">
        <v>1059</v>
      </c>
      <c r="D3148" s="22" t="s">
        <v>1060</v>
      </c>
      <c r="E3148" s="23" t="str">
        <f aca="false">IF(D3148="?OLD","!!!","")</f>
        <v>!!!</v>
      </c>
      <c r="F3148" s="25" t="str">
        <f aca="false">IF(OR(E3148="",E3148="!!!"),"",IF(NOT(ISNA(VLOOKUP(E3148,E$1:E3147,1,FALSE()))),"OLD",IF(AND(E3148&lt;&gt;"",E3148&lt;&gt;"!!!"),"NEW","")))</f>
        <v/>
      </c>
      <c r="G3148" s="26" t="str">
        <f aca="false">IF(OR(E3148="",E3148="!!!"),"",IF(OR(J3148=0,AND(J3148=1,K3148=1),AND(J3148=1,I3148="SBJ"),AND(J3148=1,I3148=0)),"?IN_FOCUS",IF(J3148&lt;=2,"?ACTIVATED",IF(J3148&lt;&gt;"","?FAMILIAR",IF(F3148="NEW",IF(ISNA(VLOOKUP(E3148,#REF!,1,FALSE())),"?TYPE_IDENTIFIABLE","?REFERENTIAL"),"_")))))</f>
        <v/>
      </c>
      <c r="H3148" s="27" t="str">
        <f aca="false">IF(J3148&lt;&gt;1,"",IF(I3148="SBJ","CB","?"))</f>
        <v/>
      </c>
      <c r="I3148" s="24" t="str">
        <f aca="false">IF(OR(E3148="",E3148="!!!",F3148="NEW"),"",INDEX(B7:B$3142,-1+SUMPRODUCT(MAX(ROW(E7:E$3142)*(E3148=E7:E$3142)))))</f>
        <v/>
      </c>
      <c r="J3148" s="24" t="str">
        <f aca="true">IF(OR(E3148="",E3148="!!!",F3148="NEW"),"",COUNTBLANK(OFFSET(A$1,,,SUMPRODUCT(MAX(ROW(E$2:E3148)*(E3148=E$2:E3148)))))-COUNTBLANK(OFFSET(A$1,,,SUMPRODUCT(MAX(ROW(E$1:E3147)*(E2=E$1:E3147))))))</f>
        <v/>
      </c>
      <c r="K3148" s="24" t="str">
        <f aca="false">IF(OR(E3148="",E3148="!!!",F3148="NEW"),"",INDEX(J$1:J3147,SUMPRODUCT(MAX(ROW(E$1:E3147)*(E3148=E$1:E3147)))))</f>
        <v/>
      </c>
      <c r="L3148" s="31"/>
    </row>
    <row r="3149" customFormat="false" ht="15" hidden="false" customHeight="false" outlineLevel="0" collapsed="false">
      <c r="A3149" s="20" t="s">
        <v>1375</v>
      </c>
      <c r="E3149" s="23" t="str">
        <f aca="false">IF(D3149="?OLD","!!!","")</f>
        <v/>
      </c>
      <c r="F3149" s="25" t="str">
        <f aca="false">IF(OR(E3149="",E3149="!!!"),"",IF(NOT(ISNA(VLOOKUP(E3149,E$1:E3148,1,FALSE()))),"OLD",IF(AND(E3149&lt;&gt;"",E3149&lt;&gt;"!!!"),"NEW","")))</f>
        <v/>
      </c>
      <c r="G3149" s="26" t="str">
        <f aca="false">IF(OR(E3149="",E3149="!!!"),"",IF(OR(J3149=0,AND(J3149=1,K3149=1),AND(J3149=1,I3149="SBJ"),AND(J3149=1,I3149=0)),"?IN_FOCUS",IF(J3149&lt;=2,"?ACTIVATED",IF(J3149&lt;&gt;"","?FAMILIAR",IF(F3149="NEW",IF(ISNA(VLOOKUP(E3149,#REF!,1,FALSE())),"?TYPE_IDENTIFIABLE","?REFERENTIAL"),"_")))))</f>
        <v/>
      </c>
      <c r="H3149" s="27" t="str">
        <f aca="false">IF(J3149&lt;&gt;1,"",IF(I3149="SBJ","CB","?"))</f>
        <v/>
      </c>
      <c r="I3149" s="24" t="str">
        <f aca="false">IF(OR(E3149="",E3149="!!!",F3149="NEW"),"",INDEX(B8:B$3142,-1+SUMPRODUCT(MAX(ROW(E8:E$3142)*(E3149=E8:E$3142)))))</f>
        <v/>
      </c>
      <c r="J3149" s="24" t="str">
        <f aca="true">IF(OR(E3149="",E3149="!!!",F3149="NEW"),"",COUNTBLANK(OFFSET(A$1,,,SUMPRODUCT(MAX(ROW(E$2:E3149)*(E3149=E$2:E3149)))))-COUNTBLANK(OFFSET(A$1,,,SUMPRODUCT(MAX(ROW(E$1:E3148)*(E2=E$1:E3148))))))</f>
        <v/>
      </c>
      <c r="K3149" s="24" t="str">
        <f aca="false">IF(OR(E3149="",E3149="!!!",F3149="NEW"),"",INDEX(J$1:J3148,SUMPRODUCT(MAX(ROW(E$1:E3148)*(E3149=E$1:E3148)))))</f>
        <v/>
      </c>
      <c r="L3149" s="31"/>
    </row>
    <row r="3150" customFormat="false" ht="15" hidden="false" customHeight="false" outlineLevel="0" collapsed="false">
      <c r="A3150" s="20" t="s">
        <v>185</v>
      </c>
      <c r="E3150" s="23" t="str">
        <f aca="false">IF(D3150="?OLD","!!!","")</f>
        <v/>
      </c>
      <c r="F3150" s="25" t="str">
        <f aca="false">IF(OR(E3150="",E3150="!!!"),"",IF(NOT(ISNA(VLOOKUP(E3150,E$1:E3149,1,FALSE()))),"OLD",IF(AND(E3150&lt;&gt;"",E3150&lt;&gt;"!!!"),"NEW","")))</f>
        <v/>
      </c>
      <c r="G3150" s="26" t="str">
        <f aca="false">IF(OR(E3150="",E3150="!!!"),"",IF(OR(J3150=0,AND(J3150=1,K3150=1),AND(J3150=1,I3150="SBJ"),AND(J3150=1,I3150=0)),"?IN_FOCUS",IF(J3150&lt;=2,"?ACTIVATED",IF(J3150&lt;&gt;"","?FAMILIAR",IF(F3150="NEW",IF(ISNA(VLOOKUP(E3150,#REF!,1,FALSE())),"?TYPE_IDENTIFIABLE","?REFERENTIAL"),"_")))))</f>
        <v/>
      </c>
      <c r="H3150" s="27" t="str">
        <f aca="false">IF(J3150&lt;&gt;1,"",IF(I3150="SBJ","CB","?"))</f>
        <v/>
      </c>
      <c r="I3150" s="24" t="str">
        <f aca="false">IF(OR(E3150="",E3150="!!!",F3150="NEW"),"",INDEX(B9:B$3142,-1+SUMPRODUCT(MAX(ROW(E9:E$3142)*(E3150=E9:E$3142)))))</f>
        <v/>
      </c>
      <c r="J3150" s="24" t="str">
        <f aca="true">IF(OR(E3150="",E3150="!!!",F3150="NEW"),"",COUNTBLANK(OFFSET(A$1,,,SUMPRODUCT(MAX(ROW(E$2:E3150)*(E3150=E$2:E3150)))))-COUNTBLANK(OFFSET(A$1,,,SUMPRODUCT(MAX(ROW(E$1:E3149)*(E2=E$1:E3149))))))</f>
        <v/>
      </c>
      <c r="K3150" s="24" t="str">
        <f aca="false">IF(OR(E3150="",E3150="!!!",F3150="NEW"),"",INDEX(J$1:J3149,SUMPRODUCT(MAX(ROW(E$1:E3149)*(E3150=E$1:E3149)))))</f>
        <v/>
      </c>
      <c r="L3150" s="31"/>
    </row>
    <row r="3151" customFormat="false" ht="15" hidden="false" customHeight="false" outlineLevel="0" collapsed="false">
      <c r="A3151" s="20" t="s">
        <v>2102</v>
      </c>
      <c r="E3151" s="23" t="str">
        <f aca="false">IF(D3151="?OLD","!!!","")</f>
        <v/>
      </c>
      <c r="F3151" s="25" t="str">
        <f aca="false">IF(OR(E3151="",E3151="!!!"),"",IF(NOT(ISNA(VLOOKUP(E3151,E$1:E3150,1,FALSE()))),"OLD",IF(AND(E3151&lt;&gt;"",E3151&lt;&gt;"!!!"),"NEW","")))</f>
        <v/>
      </c>
      <c r="G3151" s="26" t="str">
        <f aca="false">IF(OR(E3151="",E3151="!!!"),"",IF(OR(J3151=0,AND(J3151=1,K3151=1),AND(J3151=1,I3151="SBJ"),AND(J3151=1,I3151=0)),"?IN_FOCUS",IF(J3151&lt;=2,"?ACTIVATED",IF(J3151&lt;&gt;"","?FAMILIAR",IF(F3151="NEW",IF(ISNA(VLOOKUP(E3151,#REF!,1,FALSE())),"?TYPE_IDENTIFIABLE","?REFERENTIAL"),"_")))))</f>
        <v/>
      </c>
      <c r="H3151" s="27" t="str">
        <f aca="false">IF(J3151&lt;&gt;1,"",IF(I3151="SBJ","CB","?"))</f>
        <v/>
      </c>
      <c r="I3151" s="24" t="str">
        <f aca="false">IF(OR(E3151="",E3151="!!!",F3151="NEW"),"",INDEX(B10:B$3142,-1+SUMPRODUCT(MAX(ROW(E10:E$3142)*(E3151=E10:E$3142)))))</f>
        <v/>
      </c>
      <c r="J3151" s="24" t="str">
        <f aca="true">IF(OR(E3151="",E3151="!!!",F3151="NEW"),"",COUNTBLANK(OFFSET(A$1,,,SUMPRODUCT(MAX(ROW(E$2:E3151)*(E3151=E$2:E3151)))))-COUNTBLANK(OFFSET(A$1,,,SUMPRODUCT(MAX(ROW(E$1:E3150)*(E2=E$1:E3150))))))</f>
        <v/>
      </c>
      <c r="K3151" s="24" t="str">
        <f aca="false">IF(OR(E3151="",E3151="!!!",F3151="NEW"),"",INDEX(J$1:J3150,SUMPRODUCT(MAX(ROW(E$1:E3150)*(E3151=E$1:E3150)))))</f>
        <v/>
      </c>
      <c r="L3151" s="31"/>
    </row>
    <row r="3152" customFormat="false" ht="15" hidden="false" customHeight="false" outlineLevel="0" collapsed="false">
      <c r="A3152" s="20" t="s">
        <v>1076</v>
      </c>
      <c r="E3152" s="23" t="str">
        <f aca="false">IF(D3152="?OLD","!!!","")</f>
        <v/>
      </c>
      <c r="F3152" s="25" t="str">
        <f aca="false">IF(OR(E3152="",E3152="!!!"),"",IF(NOT(ISNA(VLOOKUP(E3152,E$1:E3151,1,FALSE()))),"OLD",IF(AND(E3152&lt;&gt;"",E3152&lt;&gt;"!!!"),"NEW","")))</f>
        <v/>
      </c>
      <c r="G3152" s="26" t="str">
        <f aca="false">IF(OR(E3152="",E3152="!!!"),"",IF(OR(J3152=0,AND(J3152=1,K3152=1),AND(J3152=1,I3152="SBJ"),AND(J3152=1,I3152=0)),"?IN_FOCUS",IF(J3152&lt;=2,"?ACTIVATED",IF(J3152&lt;&gt;"","?FAMILIAR",IF(F3152="NEW",IF(ISNA(VLOOKUP(E3152,#REF!,1,FALSE())),"?TYPE_IDENTIFIABLE","?REFERENTIAL"),"_")))))</f>
        <v/>
      </c>
      <c r="H3152" s="27" t="str">
        <f aca="false">IF(J3152&lt;&gt;1,"",IF(I3152="SBJ","CB","?"))</f>
        <v/>
      </c>
      <c r="I3152" s="24" t="str">
        <f aca="false">IF(OR(E3152="",E3152="!!!",F3152="NEW"),"",INDEX(B11:B$3142,-1+SUMPRODUCT(MAX(ROW(E11:E$3142)*(E3152=E11:E$3142)))))</f>
        <v/>
      </c>
      <c r="J3152" s="24" t="str">
        <f aca="true">IF(OR(E3152="",E3152="!!!",F3152="NEW"),"",COUNTBLANK(OFFSET(A$1,,,SUMPRODUCT(MAX(ROW(E$2:E3152)*(E3152=E$2:E3152)))))-COUNTBLANK(OFFSET(A$1,,,SUMPRODUCT(MAX(ROW(E$1:E3151)*(E2=E$1:E3151))))))</f>
        <v/>
      </c>
      <c r="K3152" s="24" t="str">
        <f aca="false">IF(OR(E3152="",E3152="!!!",F3152="NEW"),"",INDEX(J$1:J3151,SUMPRODUCT(MAX(ROW(E$1:E3151)*(E3152=E$1:E3151)))))</f>
        <v/>
      </c>
      <c r="L3152" s="31"/>
    </row>
    <row r="3153" customFormat="false" ht="15" hidden="false" customHeight="false" outlineLevel="0" collapsed="false">
      <c r="A3153" s="20" t="s">
        <v>1128</v>
      </c>
      <c r="E3153" s="23" t="str">
        <f aca="false">IF(D3153="?OLD","!!!","")</f>
        <v/>
      </c>
      <c r="F3153" s="25" t="str">
        <f aca="false">IF(OR(E3153="",E3153="!!!"),"",IF(NOT(ISNA(VLOOKUP(E3153,E$1:E3152,1,FALSE()))),"OLD",IF(AND(E3153&lt;&gt;"",E3153&lt;&gt;"!!!"),"NEW","")))</f>
        <v/>
      </c>
      <c r="G3153" s="26" t="str">
        <f aca="false">IF(OR(E3153="",E3153="!!!"),"",IF(OR(J3153=0,AND(J3153=1,K3153=1),AND(J3153=1,I3153="SBJ"),AND(J3153=1,I3153=0)),"?IN_FOCUS",IF(J3153&lt;=2,"?ACTIVATED",IF(J3153&lt;&gt;"","?FAMILIAR",IF(F3153="NEW",IF(ISNA(VLOOKUP(E3153,#REF!,1,FALSE())),"?TYPE_IDENTIFIABLE","?REFERENTIAL"),"_")))))</f>
        <v/>
      </c>
      <c r="H3153" s="27" t="str">
        <f aca="false">IF(J3153&lt;&gt;1,"",IF(I3153="SBJ","CB","?"))</f>
        <v/>
      </c>
      <c r="I3153" s="24" t="str">
        <f aca="false">IF(OR(E3153="",E3153="!!!",F3153="NEW"),"",INDEX(B12:B$3142,-1+SUMPRODUCT(MAX(ROW(E12:E$3142)*(E3153=E12:E$3142)))))</f>
        <v/>
      </c>
      <c r="J3153" s="24" t="str">
        <f aca="true">IF(OR(E3153="",E3153="!!!",F3153="NEW"),"",COUNTBLANK(OFFSET(A$1,,,SUMPRODUCT(MAX(ROW(E$2:E3153)*(E3153=E$2:E3153)))))-COUNTBLANK(OFFSET(A$1,,,SUMPRODUCT(MAX(ROW(E$1:E3152)*(E2=E$1:E3152))))))</f>
        <v/>
      </c>
      <c r="K3153" s="24" t="str">
        <f aca="false">IF(OR(E3153="",E3153="!!!",F3153="NEW"),"",INDEX(J$1:J3152,SUMPRODUCT(MAX(ROW(E$1:E3152)*(E3153=E$1:E3152)))))</f>
        <v/>
      </c>
      <c r="L3153" s="31"/>
    </row>
    <row r="3154" customFormat="false" ht="15" hidden="false" customHeight="false" outlineLevel="0" collapsed="false">
      <c r="A3154" s="20" t="s">
        <v>1238</v>
      </c>
      <c r="E3154" s="23" t="str">
        <f aca="false">IF(D3154="?OLD","!!!","")</f>
        <v/>
      </c>
      <c r="F3154" s="25" t="str">
        <f aca="false">IF(OR(E3154="",E3154="!!!"),"",IF(NOT(ISNA(VLOOKUP(E3154,E$1:E3153,1,FALSE()))),"OLD",IF(AND(E3154&lt;&gt;"",E3154&lt;&gt;"!!!"),"NEW","")))</f>
        <v/>
      </c>
      <c r="G3154" s="26" t="str">
        <f aca="false">IF(OR(E3154="",E3154="!!!"),"",IF(OR(J3154=0,AND(J3154=1,K3154=1),AND(J3154=1,I3154="SBJ"),AND(J3154=1,I3154=0)),"?IN_FOCUS",IF(J3154&lt;=2,"?ACTIVATED",IF(J3154&lt;&gt;"","?FAMILIAR",IF(F3154="NEW",IF(ISNA(VLOOKUP(E3154,#REF!,1,FALSE())),"?TYPE_IDENTIFIABLE","?REFERENTIAL"),"_")))))</f>
        <v/>
      </c>
      <c r="H3154" s="27" t="str">
        <f aca="false">IF(J3154&lt;&gt;1,"",IF(I3154="SBJ","CB","?"))</f>
        <v/>
      </c>
      <c r="I3154" s="24" t="str">
        <f aca="false">IF(OR(E3154="",E3154="!!!",F3154="NEW"),"",INDEX(B13:B$3142,-1+SUMPRODUCT(MAX(ROW(E13:E$3142)*(E3154=E13:E$3142)))))</f>
        <v/>
      </c>
      <c r="J3154" s="24" t="str">
        <f aca="true">IF(OR(E3154="",E3154="!!!",F3154="NEW"),"",COUNTBLANK(OFFSET(A$1,,,SUMPRODUCT(MAX(ROW(E$2:E3154)*(E3154=E$2:E3154)))))-COUNTBLANK(OFFSET(A$1,,,SUMPRODUCT(MAX(ROW(E$1:E3153)*(E2=E$1:E3153))))))</f>
        <v/>
      </c>
      <c r="K3154" s="24" t="str">
        <f aca="false">IF(OR(E3154="",E3154="!!!",F3154="NEW"),"",INDEX(J$1:J3153,SUMPRODUCT(MAX(ROW(E$1:E3153)*(E3154=E$1:E3153)))))</f>
        <v/>
      </c>
      <c r="L3154" s="31"/>
    </row>
    <row r="3155" customFormat="false" ht="15" hidden="false" customHeight="false" outlineLevel="0" collapsed="false">
      <c r="A3155" s="20" t="s">
        <v>2103</v>
      </c>
      <c r="B3155" s="22" t="s">
        <v>1086</v>
      </c>
      <c r="C3155" s="22" t="s">
        <v>1227</v>
      </c>
      <c r="E3155" s="23" t="str">
        <f aca="false">IF(D3155="?OLD","!!!","")</f>
        <v/>
      </c>
      <c r="F3155" s="25" t="str">
        <f aca="false">IF(OR(E3155="",E3155="!!!"),"",IF(NOT(ISNA(VLOOKUP(E3155,E$1:E3154,1,FALSE()))),"OLD",IF(AND(E3155&lt;&gt;"",E3155&lt;&gt;"!!!"),"NEW","")))</f>
        <v/>
      </c>
      <c r="G3155" s="26" t="str">
        <f aca="false">IF(OR(E3155="",E3155="!!!"),"",IF(OR(J3155=0,AND(J3155=1,K3155=1),AND(J3155=1,I3155="SBJ"),AND(J3155=1,I3155=0)),"?IN_FOCUS",IF(J3155&lt;=2,"?ACTIVATED",IF(J3155&lt;&gt;"","?FAMILIAR",IF(F3155="NEW",IF(ISNA(VLOOKUP(E3155,#REF!,1,FALSE())),"?TYPE_IDENTIFIABLE","?REFERENTIAL"),"_")))))</f>
        <v/>
      </c>
      <c r="H3155" s="27" t="str">
        <f aca="false">IF(J3155&lt;&gt;1,"",IF(I3155="SBJ","CB","?"))</f>
        <v/>
      </c>
      <c r="I3155" s="24" t="str">
        <f aca="false">IF(OR(E3155="",E3155="!!!",F3155="NEW"),"",INDEX(B14:B$3142,-1+SUMPRODUCT(MAX(ROW(E14:E$3142)*(E3155=E14:E$3142)))))</f>
        <v/>
      </c>
      <c r="J3155" s="24" t="str">
        <f aca="true">IF(OR(E3155="",E3155="!!!",F3155="NEW"),"",COUNTBLANK(OFFSET(A$1,,,SUMPRODUCT(MAX(ROW(E$2:E3155)*(E3155=E$2:E3155)))))-COUNTBLANK(OFFSET(A$1,,,SUMPRODUCT(MAX(ROW(E$1:E3154)*(E2=E$1:E3154))))))</f>
        <v/>
      </c>
      <c r="K3155" s="24" t="str">
        <f aca="false">IF(OR(E3155="",E3155="!!!",F3155="NEW"),"",INDEX(J$1:J3154,SUMPRODUCT(MAX(ROW(E$1:E3154)*(E3155=E$1:E3154)))))</f>
        <v/>
      </c>
      <c r="L3155" s="31"/>
    </row>
    <row r="3156" customFormat="false" ht="15" hidden="false" customHeight="false" outlineLevel="0" collapsed="false">
      <c r="A3156" s="20" t="s">
        <v>1369</v>
      </c>
      <c r="E3156" s="23" t="str">
        <f aca="false">IF(D3156="?OLD","!!!","")</f>
        <v/>
      </c>
      <c r="F3156" s="25" t="str">
        <f aca="false">IF(OR(E3156="",E3156="!!!"),"",IF(NOT(ISNA(VLOOKUP(E3156,E$1:E3155,1,FALSE()))),"OLD",IF(AND(E3156&lt;&gt;"",E3156&lt;&gt;"!!!"),"NEW","")))</f>
        <v/>
      </c>
      <c r="G3156" s="26" t="str">
        <f aca="false">IF(OR(E3156="",E3156="!!!"),"",IF(OR(J3156=0,AND(J3156=1,K3156=1),AND(J3156=1,I3156="SBJ"),AND(J3156=1,I3156=0)),"?IN_FOCUS",IF(J3156&lt;=2,"?ACTIVATED",IF(J3156&lt;&gt;"","?FAMILIAR",IF(F3156="NEW",IF(ISNA(VLOOKUP(E3156,#REF!,1,FALSE())),"?TYPE_IDENTIFIABLE","?REFERENTIAL"),"_")))))</f>
        <v/>
      </c>
      <c r="H3156" s="27" t="str">
        <f aca="false">IF(J3156&lt;&gt;1,"",IF(I3156="SBJ","CB","?"))</f>
        <v/>
      </c>
      <c r="I3156" s="24" t="str">
        <f aca="false">IF(OR(E3156="",E3156="!!!",F3156="NEW"),"",INDEX(B15:B$3142,-1+SUMPRODUCT(MAX(ROW(E15:E$3142)*(E3156=E15:E$3142)))))</f>
        <v/>
      </c>
      <c r="J3156" s="24" t="str">
        <f aca="true">IF(OR(E3156="",E3156="!!!",F3156="NEW"),"",COUNTBLANK(OFFSET(A$1,,,SUMPRODUCT(MAX(ROW(E$2:E3156)*(E3156=E$2:E3156)))))-COUNTBLANK(OFFSET(A$1,,,SUMPRODUCT(MAX(ROW(E$1:E3155)*(E2=E$1:E3155))))))</f>
        <v/>
      </c>
      <c r="K3156" s="24" t="str">
        <f aca="false">IF(OR(E3156="",E3156="!!!",F3156="NEW"),"",INDEX(J$1:J3155,SUMPRODUCT(MAX(ROW(E$1:E3155)*(E3156=E$1:E3155)))))</f>
        <v/>
      </c>
      <c r="L3156" s="31"/>
    </row>
    <row r="3157" customFormat="false" ht="15" hidden="false" customHeight="false" outlineLevel="0" collapsed="false">
      <c r="A3157" s="20" t="s">
        <v>1064</v>
      </c>
      <c r="E3157" s="23" t="str">
        <f aca="false">IF(D3157="?OLD","!!!","")</f>
        <v/>
      </c>
      <c r="F3157" s="25" t="str">
        <f aca="false">IF(OR(E3157="",E3157="!!!"),"",IF(NOT(ISNA(VLOOKUP(E3157,E$1:E3156,1,FALSE()))),"OLD",IF(AND(E3157&lt;&gt;"",E3157&lt;&gt;"!!!"),"NEW","")))</f>
        <v/>
      </c>
      <c r="G3157" s="26" t="str">
        <f aca="false">IF(OR(E3157="",E3157="!!!"),"",IF(OR(J3157=0,AND(J3157=1,K3157=1),AND(J3157=1,I3157="SBJ"),AND(J3157=1,I3157=0)),"?IN_FOCUS",IF(J3157&lt;=2,"?ACTIVATED",IF(J3157&lt;&gt;"","?FAMILIAR",IF(F3157="NEW",IF(ISNA(VLOOKUP(E3157,#REF!,1,FALSE())),"?TYPE_IDENTIFIABLE","?REFERENTIAL"),"_")))))</f>
        <v/>
      </c>
      <c r="H3157" s="27" t="str">
        <f aca="false">IF(J3157&lt;&gt;1,"",IF(I3157="SBJ","CB","?"))</f>
        <v/>
      </c>
      <c r="I3157" s="24" t="str">
        <f aca="false">IF(OR(E3157="",E3157="!!!",F3157="NEW"),"",INDEX(B16:B$3142,-1+SUMPRODUCT(MAX(ROW(E16:E$3142)*(E3157=E16:E$3142)))))</f>
        <v/>
      </c>
      <c r="J3157" s="24" t="str">
        <f aca="true">IF(OR(E3157="",E3157="!!!",F3157="NEW"),"",COUNTBLANK(OFFSET(A$1,,,SUMPRODUCT(MAX(ROW(E$2:E3157)*(E3157=E$2:E3157)))))-COUNTBLANK(OFFSET(A$1,,,SUMPRODUCT(MAX(ROW(E$1:E3156)*(E2=E$1:E3156))))))</f>
        <v/>
      </c>
      <c r="K3157" s="24" t="str">
        <f aca="false">IF(OR(E3157="",E3157="!!!",F3157="NEW"),"",INDEX(J$1:J3156,SUMPRODUCT(MAX(ROW(E$1:E3156)*(E3157=E$1:E3156)))))</f>
        <v/>
      </c>
      <c r="L3157" s="31"/>
    </row>
    <row r="3158" customFormat="false" ht="15" hidden="false" customHeight="false" outlineLevel="0" collapsed="false">
      <c r="A3158" s="20" t="s">
        <v>2104</v>
      </c>
      <c r="B3158" s="22" t="s">
        <v>1105</v>
      </c>
      <c r="C3158" s="22" t="s">
        <v>1160</v>
      </c>
      <c r="E3158" s="23" t="str">
        <f aca="false">IF(D3158="?OLD","!!!","")</f>
        <v/>
      </c>
      <c r="F3158" s="25" t="str">
        <f aca="false">IF(OR(E3158="",E3158="!!!"),"",IF(NOT(ISNA(VLOOKUP(E3158,E$1:E3157,1,FALSE()))),"OLD",IF(AND(E3158&lt;&gt;"",E3158&lt;&gt;"!!!"),"NEW","")))</f>
        <v/>
      </c>
      <c r="G3158" s="26" t="str">
        <f aca="false">IF(OR(E3158="",E3158="!!!"),"",IF(OR(J3158=0,AND(J3158=1,K3158=1),AND(J3158=1,I3158="SBJ"),AND(J3158=1,I3158=0)),"?IN_FOCUS",IF(J3158&lt;=2,"?ACTIVATED",IF(J3158&lt;&gt;"","?FAMILIAR",IF(F3158="NEW",IF(ISNA(VLOOKUP(E3158,#REF!,1,FALSE())),"?TYPE_IDENTIFIABLE","?REFERENTIAL"),"_")))))</f>
        <v/>
      </c>
      <c r="H3158" s="27" t="str">
        <f aca="false">IF(J3158&lt;&gt;1,"",IF(I3158="SBJ","CB","?"))</f>
        <v/>
      </c>
      <c r="I3158" s="24" t="str">
        <f aca="false">IF(OR(E3158="",E3158="!!!",F3158="NEW"),"",INDEX(B17:B$3142,-1+SUMPRODUCT(MAX(ROW(E17:E$3142)*(E3158=E17:E$3142)))))</f>
        <v/>
      </c>
      <c r="J3158" s="24" t="str">
        <f aca="true">IF(OR(E3158="",E3158="!!!",F3158="NEW"),"",COUNTBLANK(OFFSET(A$1,,,SUMPRODUCT(MAX(ROW(E$2:E3158)*(E3158=E$2:E3158)))))-COUNTBLANK(OFFSET(A$1,,,SUMPRODUCT(MAX(ROW(E$1:E3157)*(E2=E$1:E3157))))))</f>
        <v/>
      </c>
      <c r="K3158" s="24" t="str">
        <f aca="false">IF(OR(E3158="",E3158="!!!",F3158="NEW"),"",INDEX(J$1:J3157,SUMPRODUCT(MAX(ROW(E$1:E3157)*(E3158=E$1:E3157)))))</f>
        <v/>
      </c>
      <c r="L3158" s="31"/>
    </row>
    <row r="3159" customFormat="false" ht="15" hidden="false" customHeight="false" outlineLevel="0" collapsed="false">
      <c r="A3159" s="20" t="s">
        <v>923</v>
      </c>
      <c r="E3159" s="23" t="str">
        <f aca="false">IF(D3159="?OLD","!!!","")</f>
        <v/>
      </c>
      <c r="F3159" s="25" t="str">
        <f aca="false">IF(OR(E3159="",E3159="!!!"),"",IF(NOT(ISNA(VLOOKUP(E3159,E$1:E3158,1,FALSE()))),"OLD",IF(AND(E3159&lt;&gt;"",E3159&lt;&gt;"!!!"),"NEW","")))</f>
        <v/>
      </c>
      <c r="G3159" s="26" t="str">
        <f aca="false">IF(OR(E3159="",E3159="!!!"),"",IF(OR(J3159=0,AND(J3159=1,K3159=1),AND(J3159=1,I3159="SBJ"),AND(J3159=1,I3159=0)),"?IN_FOCUS",IF(J3159&lt;=2,"?ACTIVATED",IF(J3159&lt;&gt;"","?FAMILIAR",IF(F3159="NEW",IF(ISNA(VLOOKUP(E3159,#REF!,1,FALSE())),"?TYPE_IDENTIFIABLE","?REFERENTIAL"),"_")))))</f>
        <v/>
      </c>
      <c r="H3159" s="27" t="str">
        <f aca="false">IF(J3159&lt;&gt;1,"",IF(I3159="SBJ","CB","?"))</f>
        <v/>
      </c>
      <c r="I3159" s="24" t="str">
        <f aca="false">IF(OR(E3159="",E3159="!!!",F3159="NEW"),"",INDEX(B18:B$3142,-1+SUMPRODUCT(MAX(ROW(E18:E$3142)*(E3159=E18:E$3142)))))</f>
        <v/>
      </c>
      <c r="J3159" s="24" t="str">
        <f aca="true">IF(OR(E3159="",E3159="!!!",F3159="NEW"),"",COUNTBLANK(OFFSET(A$1,,,SUMPRODUCT(MAX(ROW(E$2:E3159)*(E3159=E$2:E3159)))))-COUNTBLANK(OFFSET(A$1,,,SUMPRODUCT(MAX(ROW(E$1:E3158)*(E2=E$1:E3158))))))</f>
        <v/>
      </c>
      <c r="K3159" s="24" t="str">
        <f aca="false">IF(OR(E3159="",E3159="!!!",F3159="NEW"),"",INDEX(J$1:J3158,SUMPRODUCT(MAX(ROW(E$1:E3158)*(E3159=E$1:E3158)))))</f>
        <v/>
      </c>
      <c r="L3159" s="31"/>
    </row>
    <row r="3160" customFormat="false" ht="15" hidden="false" customHeight="false" outlineLevel="0" collapsed="false">
      <c r="A3160" s="20"/>
    </row>
    <row r="3161" customFormat="false" ht="15" hidden="false" customHeight="false" outlineLevel="0" collapsed="false">
      <c r="A3161" s="20" t="s">
        <v>2105</v>
      </c>
    </row>
    <row r="3162" customFormat="false" ht="15" hidden="false" customHeight="false" outlineLevel="0" collapsed="false">
      <c r="A3162" s="20" t="s">
        <v>1277</v>
      </c>
      <c r="B3162" s="22" t="s">
        <v>1058</v>
      </c>
      <c r="C3162" s="22" t="s">
        <v>1082</v>
      </c>
      <c r="D3162" s="22" t="s">
        <v>1060</v>
      </c>
      <c r="E3162" s="23" t="str">
        <f aca="false">IF(D3162="?OLD","!!!","")</f>
        <v>!!!</v>
      </c>
      <c r="F3162" s="25" t="str">
        <f aca="false">IF(OR(E3162="",E3162="!!!"),"",IF(NOT(ISNA(VLOOKUP(E3162,E$1:E3161,1,FALSE()))),"OLD",IF(AND(E3162&lt;&gt;"",E3162&lt;&gt;"!!!"),"NEW","")))</f>
        <v/>
      </c>
      <c r="G3162" s="26" t="str">
        <f aca="false">IF(OR(E3162="",E3162="!!!"),"",IF(OR(J3162=0,AND(J3162=1,K3162=1),AND(J3162=1,I3162="SBJ"),AND(J3162=1,I3162=0)),"?IN_FOCUS",IF(J3162&lt;=2,"?ACTIVATED",IF(J3162&lt;&gt;"","?FAMILIAR",IF(F3162="NEW",IF(ISNA(VLOOKUP(E3162,#REF!,1,FALSE())),"?TYPE_IDENTIFIABLE","?REFERENTIAL"),"_")))))</f>
        <v/>
      </c>
      <c r="H3162" s="27" t="str">
        <f aca="false">IF(J3162&lt;&gt;1,"",IF(I3162="SBJ","CB","?"))</f>
        <v/>
      </c>
      <c r="I3162" s="24" t="str">
        <f aca="false">IF(OR(E3162="",E3162="!!!",F3162="NEW"),"",INDEX(B2:B$3161,-1+SUMPRODUCT(MAX(ROW(E2:E$3161)*(E3162=E2:E$3161)))))</f>
        <v/>
      </c>
      <c r="J3162" s="24" t="str">
        <f aca="true">IF(OR(E3162="",E3162="!!!",F3162="NEW"),"",COUNTBLANK(OFFSET(A$1,,,SUMPRODUCT(MAX(ROW(E$2:E3162)*(E3162=E$2:E3162)))))-COUNTBLANK(OFFSET(A$1,,,SUMPRODUCT(MAX(ROW(E$1:E3161)*(E2=E$1:E3161))))))</f>
        <v/>
      </c>
      <c r="K3162" s="24" t="str">
        <f aca="false">IF(OR(E3162="",E3162="!!!",F3162="NEW"),"",INDEX(J$1:J3161,SUMPRODUCT(MAX(ROW(E$1:E3161)*(E3162=E$1:E3161)))))</f>
        <v/>
      </c>
      <c r="L3162" s="31"/>
    </row>
    <row r="3163" customFormat="false" ht="15" hidden="false" customHeight="false" outlineLevel="0" collapsed="false">
      <c r="A3163" s="20" t="s">
        <v>576</v>
      </c>
      <c r="E3163" s="23" t="str">
        <f aca="false">IF(D3163="?OLD","!!!","")</f>
        <v/>
      </c>
      <c r="F3163" s="25" t="str">
        <f aca="false">IF(OR(E3163="",E3163="!!!"),"",IF(NOT(ISNA(VLOOKUP(E3163,E$1:E3162,1,FALSE()))),"OLD",IF(AND(E3163&lt;&gt;"",E3163&lt;&gt;"!!!"),"NEW","")))</f>
        <v/>
      </c>
      <c r="G3163" s="26" t="str">
        <f aca="false">IF(OR(E3163="",E3163="!!!"),"",IF(OR(J3163=0,AND(J3163=1,K3163=1),AND(J3163=1,I3163="SBJ"),AND(J3163=1,I3163=0)),"?IN_FOCUS",IF(J3163&lt;=2,"?ACTIVATED",IF(J3163&lt;&gt;"","?FAMILIAR",IF(F3163="NEW",IF(ISNA(VLOOKUP(E3163,#REF!,1,FALSE())),"?TYPE_IDENTIFIABLE","?REFERENTIAL"),"_")))))</f>
        <v/>
      </c>
      <c r="H3163" s="27" t="str">
        <f aca="false">IF(J3163&lt;&gt;1,"",IF(I3163="SBJ","CB","?"))</f>
        <v/>
      </c>
      <c r="I3163" s="24" t="str">
        <f aca="false">IF(OR(E3163="",E3163="!!!",F3163="NEW"),"",INDEX(B3:B$3161,-1+SUMPRODUCT(MAX(ROW(E3:E$3161)*(E3163=E3:E$3161)))))</f>
        <v/>
      </c>
      <c r="J3163" s="24" t="str">
        <f aca="true">IF(OR(E3163="",E3163="!!!",F3163="NEW"),"",COUNTBLANK(OFFSET(A$1,,,SUMPRODUCT(MAX(ROW(E$2:E3163)*(E3163=E$2:E3163)))))-COUNTBLANK(OFFSET(A$1,,,SUMPRODUCT(MAX(ROW(E$1:E3162)*(E2=E$1:E3162))))))</f>
        <v/>
      </c>
      <c r="K3163" s="24" t="str">
        <f aca="false">IF(OR(E3163="",E3163="!!!",F3163="NEW"),"",INDEX(J$1:J3162,SUMPRODUCT(MAX(ROW(E$1:E3162)*(E3163=E$1:E3162)))))</f>
        <v/>
      </c>
      <c r="L3163" s="31"/>
    </row>
    <row r="3164" customFormat="false" ht="15" hidden="false" customHeight="false" outlineLevel="0" collapsed="false">
      <c r="A3164" s="20" t="s">
        <v>1189</v>
      </c>
      <c r="B3164" s="22" t="s">
        <v>1073</v>
      </c>
      <c r="C3164" s="22" t="s">
        <v>1099</v>
      </c>
      <c r="D3164" s="22" t="s">
        <v>1060</v>
      </c>
      <c r="E3164" s="23" t="str">
        <f aca="false">IF(D3164="?OLD","!!!","")</f>
        <v>!!!</v>
      </c>
      <c r="F3164" s="25" t="str">
        <f aca="false">IF(OR(E3164="",E3164="!!!"),"",IF(NOT(ISNA(VLOOKUP(E3164,E$1:E3163,1,FALSE()))),"OLD",IF(AND(E3164&lt;&gt;"",E3164&lt;&gt;"!!!"),"NEW","")))</f>
        <v/>
      </c>
      <c r="G3164" s="26" t="str">
        <f aca="false">IF(OR(E3164="",E3164="!!!"),"",IF(OR(J3164=0,AND(J3164=1,K3164=1),AND(J3164=1,I3164="SBJ"),AND(J3164=1,I3164=0)),"?IN_FOCUS",IF(J3164&lt;=2,"?ACTIVATED",IF(J3164&lt;&gt;"","?FAMILIAR",IF(F3164="NEW",IF(ISNA(VLOOKUP(E3164,#REF!,1,FALSE())),"?TYPE_IDENTIFIABLE","?REFERENTIAL"),"_")))))</f>
        <v/>
      </c>
      <c r="H3164" s="27" t="str">
        <f aca="false">IF(J3164&lt;&gt;1,"",IF(I3164="SBJ","CB","?"))</f>
        <v/>
      </c>
      <c r="I3164" s="24" t="str">
        <f aca="false">IF(OR(E3164="",E3164="!!!",F3164="NEW"),"",INDEX(B4:B$3161,-1+SUMPRODUCT(MAX(ROW(E4:E$3161)*(E3164=E4:E$3161)))))</f>
        <v/>
      </c>
      <c r="J3164" s="24" t="str">
        <f aca="true">IF(OR(E3164="",E3164="!!!",F3164="NEW"),"",COUNTBLANK(OFFSET(A$1,,,SUMPRODUCT(MAX(ROW(E$2:E3164)*(E3164=E$2:E3164)))))-COUNTBLANK(OFFSET(A$1,,,SUMPRODUCT(MAX(ROW(E$1:E3163)*(E2=E$1:E3163))))))</f>
        <v/>
      </c>
      <c r="K3164" s="24" t="str">
        <f aca="false">IF(OR(E3164="",E3164="!!!",F3164="NEW"),"",INDEX(J$1:J3163,SUMPRODUCT(MAX(ROW(E$1:E3163)*(E3164=E$1:E3163)))))</f>
        <v/>
      </c>
      <c r="L3164" s="31"/>
    </row>
    <row r="3165" customFormat="false" ht="15" hidden="false" customHeight="false" outlineLevel="0" collapsed="false">
      <c r="A3165" s="20" t="s">
        <v>2106</v>
      </c>
      <c r="B3165" s="22" t="s">
        <v>1081</v>
      </c>
      <c r="C3165" s="22" t="s">
        <v>1059</v>
      </c>
      <c r="D3165" s="22" t="s">
        <v>1060</v>
      </c>
      <c r="E3165" s="23" t="str">
        <f aca="false">IF(D3165="?OLD","!!!","")</f>
        <v>!!!</v>
      </c>
      <c r="F3165" s="25" t="str">
        <f aca="false">IF(OR(E3165="",E3165="!!!"),"",IF(NOT(ISNA(VLOOKUP(E3165,E$1:E3164,1,FALSE()))),"OLD",IF(AND(E3165&lt;&gt;"",E3165&lt;&gt;"!!!"),"NEW","")))</f>
        <v/>
      </c>
      <c r="G3165" s="26" t="str">
        <f aca="false">IF(OR(E3165="",E3165="!!!"),"",IF(OR(J3165=0,AND(J3165=1,K3165=1),AND(J3165=1,I3165="SBJ"),AND(J3165=1,I3165=0)),"?IN_FOCUS",IF(J3165&lt;=2,"?ACTIVATED",IF(J3165&lt;&gt;"","?FAMILIAR",IF(F3165="NEW",IF(ISNA(VLOOKUP(E3165,#REF!,1,FALSE())),"?TYPE_IDENTIFIABLE","?REFERENTIAL"),"_")))))</f>
        <v/>
      </c>
      <c r="H3165" s="27" t="str">
        <f aca="false">IF(J3165&lt;&gt;1,"",IF(I3165="SBJ","CB","?"))</f>
        <v/>
      </c>
      <c r="I3165" s="24" t="str">
        <f aca="false">IF(OR(E3165="",E3165="!!!",F3165="NEW"),"",INDEX(B5:B$3161,-1+SUMPRODUCT(MAX(ROW(E5:E$3161)*(E3165=E5:E$3161)))))</f>
        <v/>
      </c>
      <c r="J3165" s="24" t="str">
        <f aca="true">IF(OR(E3165="",E3165="!!!",F3165="NEW"),"",COUNTBLANK(OFFSET(A$1,,,SUMPRODUCT(MAX(ROW(E$2:E3165)*(E3165=E$2:E3165)))))-COUNTBLANK(OFFSET(A$1,,,SUMPRODUCT(MAX(ROW(E$1:E3164)*(E2=E$1:E3164))))))</f>
        <v/>
      </c>
      <c r="K3165" s="24" t="str">
        <f aca="false">IF(OR(E3165="",E3165="!!!",F3165="NEW"),"",INDEX(J$1:J3164,SUMPRODUCT(MAX(ROW(E$1:E3164)*(E3165=E$1:E3164)))))</f>
        <v/>
      </c>
      <c r="L3165" s="31"/>
    </row>
    <row r="3166" customFormat="false" ht="15" hidden="false" customHeight="false" outlineLevel="0" collapsed="false">
      <c r="A3166" s="20" t="s">
        <v>1076</v>
      </c>
      <c r="E3166" s="23" t="str">
        <f aca="false">IF(D3166="?OLD","!!!","")</f>
        <v/>
      </c>
      <c r="F3166" s="25" t="str">
        <f aca="false">IF(OR(E3166="",E3166="!!!"),"",IF(NOT(ISNA(VLOOKUP(E3166,E$1:E3165,1,FALSE()))),"OLD",IF(AND(E3166&lt;&gt;"",E3166&lt;&gt;"!!!"),"NEW","")))</f>
        <v/>
      </c>
      <c r="G3166" s="26" t="str">
        <f aca="false">IF(OR(E3166="",E3166="!!!"),"",IF(OR(J3166=0,AND(J3166=1,K3166=1),AND(J3166=1,I3166="SBJ"),AND(J3166=1,I3166=0)),"?IN_FOCUS",IF(J3166&lt;=2,"?ACTIVATED",IF(J3166&lt;&gt;"","?FAMILIAR",IF(F3166="NEW",IF(ISNA(VLOOKUP(E3166,#REF!,1,FALSE())),"?TYPE_IDENTIFIABLE","?REFERENTIAL"),"_")))))</f>
        <v/>
      </c>
      <c r="H3166" s="27" t="str">
        <f aca="false">IF(J3166&lt;&gt;1,"",IF(I3166="SBJ","CB","?"))</f>
        <v/>
      </c>
      <c r="I3166" s="24" t="str">
        <f aca="false">IF(OR(E3166="",E3166="!!!",F3166="NEW"),"",INDEX(B6:B$3161,-1+SUMPRODUCT(MAX(ROW(E6:E$3161)*(E3166=E6:E$3161)))))</f>
        <v/>
      </c>
      <c r="J3166" s="24" t="str">
        <f aca="true">IF(OR(E3166="",E3166="!!!",F3166="NEW"),"",COUNTBLANK(OFFSET(A$1,,,SUMPRODUCT(MAX(ROW(E$2:E3166)*(E3166=E$2:E3166)))))-COUNTBLANK(OFFSET(A$1,,,SUMPRODUCT(MAX(ROW(E$1:E3165)*(E2=E$1:E3165))))))</f>
        <v/>
      </c>
      <c r="K3166" s="24" t="str">
        <f aca="false">IF(OR(E3166="",E3166="!!!",F3166="NEW"),"",INDEX(J$1:J3165,SUMPRODUCT(MAX(ROW(E$1:E3165)*(E3166=E$1:E3165)))))</f>
        <v/>
      </c>
      <c r="L3166" s="31"/>
    </row>
    <row r="3167" customFormat="false" ht="15" hidden="false" customHeight="false" outlineLevel="0" collapsed="false">
      <c r="A3167" s="20" t="s">
        <v>1128</v>
      </c>
      <c r="E3167" s="23" t="str">
        <f aca="false">IF(D3167="?OLD","!!!","")</f>
        <v/>
      </c>
      <c r="F3167" s="25" t="str">
        <f aca="false">IF(OR(E3167="",E3167="!!!"),"",IF(NOT(ISNA(VLOOKUP(E3167,E$1:E3166,1,FALSE()))),"OLD",IF(AND(E3167&lt;&gt;"",E3167&lt;&gt;"!!!"),"NEW","")))</f>
        <v/>
      </c>
      <c r="G3167" s="26" t="str">
        <f aca="false">IF(OR(E3167="",E3167="!!!"),"",IF(OR(J3167=0,AND(J3167=1,K3167=1),AND(J3167=1,I3167="SBJ"),AND(J3167=1,I3167=0)),"?IN_FOCUS",IF(J3167&lt;=2,"?ACTIVATED",IF(J3167&lt;&gt;"","?FAMILIAR",IF(F3167="NEW",IF(ISNA(VLOOKUP(E3167,#REF!,1,FALSE())),"?TYPE_IDENTIFIABLE","?REFERENTIAL"),"_")))))</f>
        <v/>
      </c>
      <c r="H3167" s="27" t="str">
        <f aca="false">IF(J3167&lt;&gt;1,"",IF(I3167="SBJ","CB","?"))</f>
        <v/>
      </c>
      <c r="I3167" s="24" t="str">
        <f aca="false">IF(OR(E3167="",E3167="!!!",F3167="NEW"),"",INDEX(B7:B$3161,-1+SUMPRODUCT(MAX(ROW(E7:E$3161)*(E3167=E7:E$3161)))))</f>
        <v/>
      </c>
      <c r="J3167" s="24" t="str">
        <f aca="true">IF(OR(E3167="",E3167="!!!",F3167="NEW"),"",COUNTBLANK(OFFSET(A$1,,,SUMPRODUCT(MAX(ROW(E$2:E3167)*(E3167=E$2:E3167)))))-COUNTBLANK(OFFSET(A$1,,,SUMPRODUCT(MAX(ROW(E$1:E3166)*(E2=E$1:E3166))))))</f>
        <v/>
      </c>
      <c r="K3167" s="24" t="str">
        <f aca="false">IF(OR(E3167="",E3167="!!!",F3167="NEW"),"",INDEX(J$1:J3166,SUMPRODUCT(MAX(ROW(E$1:E3166)*(E3167=E$1:E3166)))))</f>
        <v/>
      </c>
      <c r="L3167" s="31"/>
    </row>
    <row r="3168" customFormat="false" ht="15" hidden="false" customHeight="false" outlineLevel="0" collapsed="false">
      <c r="A3168" s="20" t="s">
        <v>1343</v>
      </c>
      <c r="E3168" s="23" t="str">
        <f aca="false">IF(D3168="?OLD","!!!","")</f>
        <v/>
      </c>
      <c r="F3168" s="25" t="str">
        <f aca="false">IF(OR(E3168="",E3168="!!!"),"",IF(NOT(ISNA(VLOOKUP(E3168,E$1:E3167,1,FALSE()))),"OLD",IF(AND(E3168&lt;&gt;"",E3168&lt;&gt;"!!!"),"NEW","")))</f>
        <v/>
      </c>
      <c r="G3168" s="26" t="str">
        <f aca="false">IF(OR(E3168="",E3168="!!!"),"",IF(OR(J3168=0,AND(J3168=1,K3168=1),AND(J3168=1,I3168="SBJ"),AND(J3168=1,I3168=0)),"?IN_FOCUS",IF(J3168&lt;=2,"?ACTIVATED",IF(J3168&lt;&gt;"","?FAMILIAR",IF(F3168="NEW",IF(ISNA(VLOOKUP(E3168,#REF!,1,FALSE())),"?TYPE_IDENTIFIABLE","?REFERENTIAL"),"_")))))</f>
        <v/>
      </c>
      <c r="H3168" s="27" t="str">
        <f aca="false">IF(J3168&lt;&gt;1,"",IF(I3168="SBJ","CB","?"))</f>
        <v/>
      </c>
      <c r="I3168" s="24" t="str">
        <f aca="false">IF(OR(E3168="",E3168="!!!",F3168="NEW"),"",INDEX(B8:B$3161,-1+SUMPRODUCT(MAX(ROW(E8:E$3161)*(E3168=E8:E$3161)))))</f>
        <v/>
      </c>
      <c r="J3168" s="24" t="str">
        <f aca="true">IF(OR(E3168="",E3168="!!!",F3168="NEW"),"",COUNTBLANK(OFFSET(A$1,,,SUMPRODUCT(MAX(ROW(E$2:E3168)*(E3168=E$2:E3168)))))-COUNTBLANK(OFFSET(A$1,,,SUMPRODUCT(MAX(ROW(E$1:E3167)*(E2=E$1:E3167))))))</f>
        <v/>
      </c>
      <c r="K3168" s="24" t="str">
        <f aca="false">IF(OR(E3168="",E3168="!!!",F3168="NEW"),"",INDEX(J$1:J3167,SUMPRODUCT(MAX(ROW(E$1:E3167)*(E3168=E$1:E3167)))))</f>
        <v/>
      </c>
      <c r="L3168" s="31"/>
    </row>
    <row r="3169" customFormat="false" ht="15" hidden="false" customHeight="false" outlineLevel="0" collapsed="false">
      <c r="A3169" s="20" t="s">
        <v>1186</v>
      </c>
      <c r="B3169" s="22" t="s">
        <v>1086</v>
      </c>
      <c r="C3169" s="22" t="s">
        <v>1082</v>
      </c>
      <c r="D3169" s="22" t="s">
        <v>1060</v>
      </c>
      <c r="E3169" s="23" t="str">
        <f aca="false">IF(D3169="?OLD","!!!","")</f>
        <v>!!!</v>
      </c>
      <c r="F3169" s="25" t="str">
        <f aca="false">IF(OR(E3169="",E3169="!!!"),"",IF(NOT(ISNA(VLOOKUP(E3169,E$1:E3168,1,FALSE()))),"OLD",IF(AND(E3169&lt;&gt;"",E3169&lt;&gt;"!!!"),"NEW","")))</f>
        <v/>
      </c>
      <c r="G3169" s="26" t="str">
        <f aca="false">IF(OR(E3169="",E3169="!!!"),"",IF(OR(J3169=0,AND(J3169=1,K3169=1),AND(J3169=1,I3169="SBJ"),AND(J3169=1,I3169=0)),"?IN_FOCUS",IF(J3169&lt;=2,"?ACTIVATED",IF(J3169&lt;&gt;"","?FAMILIAR",IF(F3169="NEW",IF(ISNA(VLOOKUP(E3169,#REF!,1,FALSE())),"?TYPE_IDENTIFIABLE","?REFERENTIAL"),"_")))))</f>
        <v/>
      </c>
      <c r="H3169" s="27" t="str">
        <f aca="false">IF(J3169&lt;&gt;1,"",IF(I3169="SBJ","CB","?"))</f>
        <v/>
      </c>
      <c r="I3169" s="24" t="str">
        <f aca="false">IF(OR(E3169="",E3169="!!!",F3169="NEW"),"",INDEX(B9:B$3161,-1+SUMPRODUCT(MAX(ROW(E9:E$3161)*(E3169=E9:E$3161)))))</f>
        <v/>
      </c>
      <c r="J3169" s="24" t="str">
        <f aca="true">IF(OR(E3169="",E3169="!!!",F3169="NEW"),"",COUNTBLANK(OFFSET(A$1,,,SUMPRODUCT(MAX(ROW(E$2:E3169)*(E3169=E$2:E3169)))))-COUNTBLANK(OFFSET(A$1,,,SUMPRODUCT(MAX(ROW(E$1:E3168)*(E2=E$1:E3168))))))</f>
        <v/>
      </c>
      <c r="K3169" s="24" t="str">
        <f aca="false">IF(OR(E3169="",E3169="!!!",F3169="NEW"),"",INDEX(J$1:J3168,SUMPRODUCT(MAX(ROW(E$1:E3168)*(E3169=E$1:E3168)))))</f>
        <v/>
      </c>
      <c r="L3169" s="31"/>
    </row>
    <row r="3170" customFormat="false" ht="15" hidden="false" customHeight="false" outlineLevel="0" collapsed="false">
      <c r="A3170" s="20" t="s">
        <v>1199</v>
      </c>
      <c r="E3170" s="23" t="str">
        <f aca="false">IF(D3170="?OLD","!!!","")</f>
        <v/>
      </c>
      <c r="F3170" s="25" t="str">
        <f aca="false">IF(OR(E3170="",E3170="!!!"),"",IF(NOT(ISNA(VLOOKUP(E3170,E$1:E3169,1,FALSE()))),"OLD",IF(AND(E3170&lt;&gt;"",E3170&lt;&gt;"!!!"),"NEW","")))</f>
        <v/>
      </c>
      <c r="G3170" s="26" t="str">
        <f aca="false">IF(OR(E3170="",E3170="!!!"),"",IF(OR(J3170=0,AND(J3170=1,K3170=1),AND(J3170=1,I3170="SBJ"),AND(J3170=1,I3170=0)),"?IN_FOCUS",IF(J3170&lt;=2,"?ACTIVATED",IF(J3170&lt;&gt;"","?FAMILIAR",IF(F3170="NEW",IF(ISNA(VLOOKUP(E3170,#REF!,1,FALSE())),"?TYPE_IDENTIFIABLE","?REFERENTIAL"),"_")))))</f>
        <v/>
      </c>
      <c r="H3170" s="27" t="str">
        <f aca="false">IF(J3170&lt;&gt;1,"",IF(I3170="SBJ","CB","?"))</f>
        <v/>
      </c>
      <c r="I3170" s="24" t="str">
        <f aca="false">IF(OR(E3170="",E3170="!!!",F3170="NEW"),"",INDEX(B10:B$3161,-1+SUMPRODUCT(MAX(ROW(E10:E$3161)*(E3170=E10:E$3161)))))</f>
        <v/>
      </c>
      <c r="J3170" s="24" t="str">
        <f aca="true">IF(OR(E3170="",E3170="!!!",F3170="NEW"),"",COUNTBLANK(OFFSET(A$1,,,SUMPRODUCT(MAX(ROW(E$2:E3170)*(E3170=E$2:E3170)))))-COUNTBLANK(OFFSET(A$1,,,SUMPRODUCT(MAX(ROW(E$1:E3169)*(E2=E$1:E3169))))))</f>
        <v/>
      </c>
      <c r="K3170" s="24" t="str">
        <f aca="false">IF(OR(E3170="",E3170="!!!",F3170="NEW"),"",INDEX(J$1:J3169,SUMPRODUCT(MAX(ROW(E$1:E3169)*(E3170=E$1:E3169)))))</f>
        <v/>
      </c>
      <c r="L3170" s="31"/>
    </row>
    <row r="3171" customFormat="false" ht="15" hidden="false" customHeight="false" outlineLevel="0" collapsed="false">
      <c r="A3171" s="20" t="s">
        <v>2107</v>
      </c>
      <c r="E3171" s="23" t="str">
        <f aca="false">IF(D3171="?OLD","!!!","")</f>
        <v/>
      </c>
      <c r="F3171" s="25" t="str">
        <f aca="false">IF(OR(E3171="",E3171="!!!"),"",IF(NOT(ISNA(VLOOKUP(E3171,E$1:E3170,1,FALSE()))),"OLD",IF(AND(E3171&lt;&gt;"",E3171&lt;&gt;"!!!"),"NEW","")))</f>
        <v/>
      </c>
      <c r="G3171" s="26" t="str">
        <f aca="false">IF(OR(E3171="",E3171="!!!"),"",IF(OR(J3171=0,AND(J3171=1,K3171=1),AND(J3171=1,I3171="SBJ"),AND(J3171=1,I3171=0)),"?IN_FOCUS",IF(J3171&lt;=2,"?ACTIVATED",IF(J3171&lt;&gt;"","?FAMILIAR",IF(F3171="NEW",IF(ISNA(VLOOKUP(E3171,#REF!,1,FALSE())),"?TYPE_IDENTIFIABLE","?REFERENTIAL"),"_")))))</f>
        <v/>
      </c>
      <c r="H3171" s="27" t="str">
        <f aca="false">IF(J3171&lt;&gt;1,"",IF(I3171="SBJ","CB","?"))</f>
        <v/>
      </c>
      <c r="I3171" s="24" t="str">
        <f aca="false">IF(OR(E3171="",E3171="!!!",F3171="NEW"),"",INDEX(B11:B$3161,-1+SUMPRODUCT(MAX(ROW(E11:E$3161)*(E3171=E11:E$3161)))))</f>
        <v/>
      </c>
      <c r="J3171" s="24" t="str">
        <f aca="true">IF(OR(E3171="",E3171="!!!",F3171="NEW"),"",COUNTBLANK(OFFSET(A$1,,,SUMPRODUCT(MAX(ROW(E$2:E3171)*(E3171=E$2:E3171)))))-COUNTBLANK(OFFSET(A$1,,,SUMPRODUCT(MAX(ROW(E$1:E3170)*(E2=E$1:E3170))))))</f>
        <v/>
      </c>
      <c r="K3171" s="24" t="str">
        <f aca="false">IF(OR(E3171="",E3171="!!!",F3171="NEW"),"",INDEX(J$1:J3170,SUMPRODUCT(MAX(ROW(E$1:E3170)*(E3171=E$1:E3170)))))</f>
        <v/>
      </c>
      <c r="L3171" s="31"/>
    </row>
    <row r="3172" customFormat="false" ht="15" hidden="false" customHeight="false" outlineLevel="0" collapsed="false">
      <c r="A3172" s="20" t="s">
        <v>1189</v>
      </c>
      <c r="B3172" s="22" t="s">
        <v>1067</v>
      </c>
      <c r="C3172" s="22" t="s">
        <v>1099</v>
      </c>
      <c r="D3172" s="22" t="s">
        <v>1060</v>
      </c>
      <c r="E3172" s="23" t="str">
        <f aca="false">IF(D3172="?OLD","!!!","")</f>
        <v>!!!</v>
      </c>
      <c r="F3172" s="25" t="str">
        <f aca="false">IF(OR(E3172="",E3172="!!!"),"",IF(NOT(ISNA(VLOOKUP(E3172,E$1:E3171,1,FALSE()))),"OLD",IF(AND(E3172&lt;&gt;"",E3172&lt;&gt;"!!!"),"NEW","")))</f>
        <v/>
      </c>
      <c r="G3172" s="26" t="str">
        <f aca="false">IF(OR(E3172="",E3172="!!!"),"",IF(OR(J3172=0,AND(J3172=1,K3172=1),AND(J3172=1,I3172="SBJ"),AND(J3172=1,I3172=0)),"?IN_FOCUS",IF(J3172&lt;=2,"?ACTIVATED",IF(J3172&lt;&gt;"","?FAMILIAR",IF(F3172="NEW",IF(ISNA(VLOOKUP(E3172,#REF!,1,FALSE())),"?TYPE_IDENTIFIABLE","?REFERENTIAL"),"_")))))</f>
        <v/>
      </c>
      <c r="H3172" s="27" t="str">
        <f aca="false">IF(J3172&lt;&gt;1,"",IF(I3172="SBJ","CB","?"))</f>
        <v/>
      </c>
      <c r="I3172" s="24" t="str">
        <f aca="false">IF(OR(E3172="",E3172="!!!",F3172="NEW"),"",INDEX(B12:B$3161,-1+SUMPRODUCT(MAX(ROW(E12:E$3161)*(E3172=E12:E$3161)))))</f>
        <v/>
      </c>
      <c r="J3172" s="24" t="str">
        <f aca="true">IF(OR(E3172="",E3172="!!!",F3172="NEW"),"",COUNTBLANK(OFFSET(A$1,,,SUMPRODUCT(MAX(ROW(E$2:E3172)*(E3172=E$2:E3172)))))-COUNTBLANK(OFFSET(A$1,,,SUMPRODUCT(MAX(ROW(E$1:E3171)*(E2=E$1:E3171))))))</f>
        <v/>
      </c>
      <c r="K3172" s="24" t="str">
        <f aca="false">IF(OR(E3172="",E3172="!!!",F3172="NEW"),"",INDEX(J$1:J3171,SUMPRODUCT(MAX(ROW(E$1:E3171)*(E3172=E$1:E3171)))))</f>
        <v/>
      </c>
      <c r="L3172" s="31"/>
    </row>
    <row r="3173" customFormat="false" ht="15" hidden="false" customHeight="false" outlineLevel="0" collapsed="false">
      <c r="A3173" s="20" t="s">
        <v>1786</v>
      </c>
      <c r="B3173" s="22" t="s">
        <v>1142</v>
      </c>
      <c r="C3173" s="22" t="s">
        <v>1059</v>
      </c>
      <c r="D3173" s="22" t="s">
        <v>1060</v>
      </c>
      <c r="E3173" s="23" t="str">
        <f aca="false">IF(D3173="?OLD","!!!","")</f>
        <v>!!!</v>
      </c>
      <c r="F3173" s="25" t="str">
        <f aca="false">IF(OR(E3173="",E3173="!!!"),"",IF(NOT(ISNA(VLOOKUP(E3173,E$1:E3172,1,FALSE()))),"OLD",IF(AND(E3173&lt;&gt;"",E3173&lt;&gt;"!!!"),"NEW","")))</f>
        <v/>
      </c>
      <c r="G3173" s="26" t="str">
        <f aca="false">IF(OR(E3173="",E3173="!!!"),"",IF(OR(J3173=0,AND(J3173=1,K3173=1),AND(J3173=1,I3173="SBJ"),AND(J3173=1,I3173=0)),"?IN_FOCUS",IF(J3173&lt;=2,"?ACTIVATED",IF(J3173&lt;&gt;"","?FAMILIAR",IF(F3173="NEW",IF(ISNA(VLOOKUP(E3173,#REF!,1,FALSE())),"?TYPE_IDENTIFIABLE","?REFERENTIAL"),"_")))))</f>
        <v/>
      </c>
      <c r="H3173" s="27" t="str">
        <f aca="false">IF(J3173&lt;&gt;1,"",IF(I3173="SBJ","CB","?"))</f>
        <v/>
      </c>
      <c r="I3173" s="24" t="str">
        <f aca="false">IF(OR(E3173="",E3173="!!!",F3173="NEW"),"",INDEX(B13:B$3161,-1+SUMPRODUCT(MAX(ROW(E13:E$3161)*(E3173=E13:E$3161)))))</f>
        <v/>
      </c>
      <c r="J3173" s="24" t="str">
        <f aca="true">IF(OR(E3173="",E3173="!!!",F3173="NEW"),"",COUNTBLANK(OFFSET(A$1,,,SUMPRODUCT(MAX(ROW(E$2:E3173)*(E3173=E$2:E3173)))))-COUNTBLANK(OFFSET(A$1,,,SUMPRODUCT(MAX(ROW(E$1:E3172)*(E2=E$1:E3172))))))</f>
        <v/>
      </c>
      <c r="K3173" s="24" t="str">
        <f aca="false">IF(OR(E3173="",E3173="!!!",F3173="NEW"),"",INDEX(J$1:J3172,SUMPRODUCT(MAX(ROW(E$1:E3172)*(E3173=E$1:E3172)))))</f>
        <v/>
      </c>
      <c r="L3173" s="31"/>
    </row>
    <row r="3174" customFormat="false" ht="15" hidden="false" customHeight="false" outlineLevel="0" collapsed="false">
      <c r="A3174" s="20" t="s">
        <v>923</v>
      </c>
      <c r="E3174" s="23" t="str">
        <f aca="false">IF(D3174="?OLD","!!!","")</f>
        <v/>
      </c>
      <c r="F3174" s="25" t="str">
        <f aca="false">IF(OR(E3174="",E3174="!!!"),"",IF(NOT(ISNA(VLOOKUP(E3174,E$1:E3173,1,FALSE()))),"OLD",IF(AND(E3174&lt;&gt;"",E3174&lt;&gt;"!!!"),"NEW","")))</f>
        <v/>
      </c>
      <c r="G3174" s="26" t="str">
        <f aca="false">IF(OR(E3174="",E3174="!!!"),"",IF(OR(J3174=0,AND(J3174=1,K3174=1),AND(J3174=1,I3174="SBJ"),AND(J3174=1,I3174=0)),"?IN_FOCUS",IF(J3174&lt;=2,"?ACTIVATED",IF(J3174&lt;&gt;"","?FAMILIAR",IF(F3174="NEW",IF(ISNA(VLOOKUP(E3174,#REF!,1,FALSE())),"?TYPE_IDENTIFIABLE","?REFERENTIAL"),"_")))))</f>
        <v/>
      </c>
      <c r="H3174" s="27" t="str">
        <f aca="false">IF(J3174&lt;&gt;1,"",IF(I3174="SBJ","CB","?"))</f>
        <v/>
      </c>
      <c r="I3174" s="24" t="str">
        <f aca="false">IF(OR(E3174="",E3174="!!!",F3174="NEW"),"",INDEX(B14:B$3161,-1+SUMPRODUCT(MAX(ROW(E14:E$3161)*(E3174=E14:E$3161)))))</f>
        <v/>
      </c>
      <c r="J3174" s="24" t="str">
        <f aca="true">IF(OR(E3174="",E3174="!!!",F3174="NEW"),"",COUNTBLANK(OFFSET(A$1,,,SUMPRODUCT(MAX(ROW(E$2:E3174)*(E3174=E$2:E3174)))))-COUNTBLANK(OFFSET(A$1,,,SUMPRODUCT(MAX(ROW(E$1:E3173)*(E2=E$1:E3173))))))</f>
        <v/>
      </c>
      <c r="K3174" s="24" t="str">
        <f aca="false">IF(OR(E3174="",E3174="!!!",F3174="NEW"),"",INDEX(J$1:J3173,SUMPRODUCT(MAX(ROW(E$1:E3173)*(E3174=E$1:E3173)))))</f>
        <v/>
      </c>
      <c r="L3174" s="31"/>
    </row>
    <row r="3175" customFormat="false" ht="15" hidden="false" customHeight="false" outlineLevel="0" collapsed="false">
      <c r="A3175" s="20"/>
    </row>
    <row r="3176" customFormat="false" ht="15" hidden="false" customHeight="false" outlineLevel="0" collapsed="false">
      <c r="A3176" s="20" t="s">
        <v>1301</v>
      </c>
      <c r="E3176" s="23" t="str">
        <f aca="false">IF(D3176="?OLD","!!!","")</f>
        <v/>
      </c>
      <c r="F3176" s="25" t="str">
        <f aca="false">IF(OR(E3176="",E3176="!!!"),"",IF(NOT(ISNA(VLOOKUP(E3176,E$1:E3175,1,FALSE()))),"OLD",IF(AND(E3176&lt;&gt;"",E3176&lt;&gt;"!!!"),"NEW","")))</f>
        <v/>
      </c>
      <c r="G3176" s="26" t="str">
        <f aca="false">IF(OR(E3176="",E3176="!!!"),"",IF(OR(J3176=0,AND(J3176=1,K3176=1),AND(J3176=1,I3176="SBJ"),AND(J3176=1,I3176=0)),"?IN_FOCUS",IF(J3176&lt;=2,"?ACTIVATED",IF(J3176&lt;&gt;"","?FAMILIAR",IF(F3176="NEW",IF(ISNA(VLOOKUP(E3176,#REF!,1,FALSE())),"?TYPE_IDENTIFIABLE","?REFERENTIAL"),"_")))))</f>
        <v/>
      </c>
      <c r="H3176" s="27" t="str">
        <f aca="false">IF(J3176&lt;&gt;1,"",IF(I3176="SBJ","CB","?"))</f>
        <v/>
      </c>
      <c r="I3176" s="24" t="str">
        <f aca="false">IF(OR(E3176="",E3176="!!!",F3176="NEW"),"",INDEX(B2:B$3175,-1+SUMPRODUCT(MAX(ROW(E2:E$3175)*(E3176=E2:E$3175)))))</f>
        <v/>
      </c>
      <c r="J3176" s="24" t="str">
        <f aca="true">IF(OR(E3176="",E3176="!!!",F3176="NEW"),"",COUNTBLANK(OFFSET(A$1,,,SUMPRODUCT(MAX(ROW(E$2:E3176)*(E3176=E$2:E3176)))))-COUNTBLANK(OFFSET(A$1,,,SUMPRODUCT(MAX(ROW(E$1:E3175)*(E2=E$1:E3175))))))</f>
        <v/>
      </c>
      <c r="K3176" s="24" t="str">
        <f aca="false">IF(OR(E3176="",E3176="!!!",F3176="NEW"),"",INDEX(J$1:J3175,SUMPRODUCT(MAX(ROW(E$1:E3175)*(E3176=E$1:E3175)))))</f>
        <v/>
      </c>
      <c r="L3176" s="31"/>
    </row>
    <row r="3177" customFormat="false" ht="15" hidden="false" customHeight="false" outlineLevel="0" collapsed="false">
      <c r="A3177" s="20" t="s">
        <v>2108</v>
      </c>
    </row>
    <row r="3178" customFormat="false" ht="15" hidden="false" customHeight="false" outlineLevel="0" collapsed="false">
      <c r="A3178" s="20" t="s">
        <v>607</v>
      </c>
      <c r="E3178" s="23" t="str">
        <f aca="false">IF(D3178="?OLD","!!!","")</f>
        <v/>
      </c>
      <c r="F3178" s="25" t="str">
        <f aca="false">IF(OR(E3178="",E3178="!!!"),"",IF(NOT(ISNA(VLOOKUP(E3178,E$1:E3177,1,FALSE()))),"OLD",IF(AND(E3178&lt;&gt;"",E3178&lt;&gt;"!!!"),"NEW","")))</f>
        <v/>
      </c>
      <c r="G3178" s="26" t="str">
        <f aca="false">IF(OR(E3178="",E3178="!!!"),"",IF(OR(J3178=0,AND(J3178=1,K3178=1),AND(J3178=1,I3178="SBJ"),AND(J3178=1,I3178=0)),"?IN_FOCUS",IF(J3178&lt;=2,"?ACTIVATED",IF(J3178&lt;&gt;"","?FAMILIAR",IF(F3178="NEW",IF(ISNA(VLOOKUP(E3178,#REF!,1,FALSE())),"?TYPE_IDENTIFIABLE","?REFERENTIAL"),"_")))))</f>
        <v/>
      </c>
      <c r="H3178" s="27" t="str">
        <f aca="false">IF(J3178&lt;&gt;1,"",IF(I3178="SBJ","CB","?"))</f>
        <v/>
      </c>
      <c r="I3178" s="24" t="str">
        <f aca="false">IF(OR(E3178="",E3178="!!!",F3178="NEW"),"",INDEX(B2:B$3177,-1+SUMPRODUCT(MAX(ROW(E2:E$3177)*(E3178=E2:E$3177)))))</f>
        <v/>
      </c>
      <c r="J3178" s="24" t="str">
        <f aca="true">IF(OR(E3178="",E3178="!!!",F3178="NEW"),"",COUNTBLANK(OFFSET(A$1,,,SUMPRODUCT(MAX(ROW(E$2:E3178)*(E3178=E$2:E3178)))))-COUNTBLANK(OFFSET(A$1,,,SUMPRODUCT(MAX(ROW(E$1:E3177)*(E2=E$1:E3177))))))</f>
        <v/>
      </c>
      <c r="K3178" s="24" t="str">
        <f aca="false">IF(OR(E3178="",E3178="!!!",F3178="NEW"),"",INDEX(J$1:J3177,SUMPRODUCT(MAX(ROW(E$1:E3177)*(E3178=E$1:E3177)))))</f>
        <v/>
      </c>
      <c r="L3178" s="31"/>
    </row>
    <row r="3179" customFormat="false" ht="15" hidden="false" customHeight="false" outlineLevel="0" collapsed="false">
      <c r="A3179" s="20" t="s">
        <v>1261</v>
      </c>
      <c r="B3179" s="22" t="s">
        <v>1058</v>
      </c>
      <c r="C3179" s="22" t="s">
        <v>1082</v>
      </c>
      <c r="D3179" s="22" t="s">
        <v>1060</v>
      </c>
      <c r="E3179" s="23" t="str">
        <f aca="false">IF(D3179="?OLD","!!!","")</f>
        <v>!!!</v>
      </c>
      <c r="F3179" s="25" t="str">
        <f aca="false">IF(OR(E3179="",E3179="!!!"),"",IF(NOT(ISNA(VLOOKUP(E3179,E$1:E3178,1,FALSE()))),"OLD",IF(AND(E3179&lt;&gt;"",E3179&lt;&gt;"!!!"),"NEW","")))</f>
        <v/>
      </c>
      <c r="G3179" s="26" t="str">
        <f aca="false">IF(OR(E3179="",E3179="!!!"),"",IF(OR(J3179=0,AND(J3179=1,K3179=1),AND(J3179=1,I3179="SBJ"),AND(J3179=1,I3179=0)),"?IN_FOCUS",IF(J3179&lt;=2,"?ACTIVATED",IF(J3179&lt;&gt;"","?FAMILIAR",IF(F3179="NEW",IF(ISNA(VLOOKUP(E3179,#REF!,1,FALSE())),"?TYPE_IDENTIFIABLE","?REFERENTIAL"),"_")))))</f>
        <v/>
      </c>
      <c r="H3179" s="27" t="str">
        <f aca="false">IF(J3179&lt;&gt;1,"",IF(I3179="SBJ","CB","?"))</f>
        <v/>
      </c>
      <c r="I3179" s="24" t="str">
        <f aca="false">IF(OR(E3179="",E3179="!!!",F3179="NEW"),"",INDEX(B3:B$3177,-1+SUMPRODUCT(MAX(ROW(E3:E$3177)*(E3179=E3:E$3177)))))</f>
        <v/>
      </c>
      <c r="J3179" s="24" t="str">
        <f aca="true">IF(OR(E3179="",E3179="!!!",F3179="NEW"),"",COUNTBLANK(OFFSET(A$1,,,SUMPRODUCT(MAX(ROW(E$2:E3179)*(E3179=E$2:E3179)))))-COUNTBLANK(OFFSET(A$1,,,SUMPRODUCT(MAX(ROW(E$1:E3178)*(E2=E$1:E3178))))))</f>
        <v/>
      </c>
      <c r="K3179" s="24" t="str">
        <f aca="false">IF(OR(E3179="",E3179="!!!",F3179="NEW"),"",INDEX(J$1:J3178,SUMPRODUCT(MAX(ROW(E$1:E3178)*(E3179=E$1:E3178)))))</f>
        <v/>
      </c>
      <c r="L3179" s="31"/>
    </row>
    <row r="3180" customFormat="false" ht="15" hidden="false" customHeight="false" outlineLevel="0" collapsed="false">
      <c r="A3180" s="20" t="s">
        <v>1071</v>
      </c>
      <c r="E3180" s="23" t="str">
        <f aca="false">IF(D3180="?OLD","!!!","")</f>
        <v/>
      </c>
      <c r="F3180" s="25" t="str">
        <f aca="false">IF(OR(E3180="",E3180="!!!"),"",IF(NOT(ISNA(VLOOKUP(E3180,E$1:E3179,1,FALSE()))),"OLD",IF(AND(E3180&lt;&gt;"",E3180&lt;&gt;"!!!"),"NEW","")))</f>
        <v/>
      </c>
      <c r="G3180" s="26" t="str">
        <f aca="false">IF(OR(E3180="",E3180="!!!"),"",IF(OR(J3180=0,AND(J3180=1,K3180=1),AND(J3180=1,I3180="SBJ"),AND(J3180=1,I3180=0)),"?IN_FOCUS",IF(J3180&lt;=2,"?ACTIVATED",IF(J3180&lt;&gt;"","?FAMILIAR",IF(F3180="NEW",IF(ISNA(VLOOKUP(E3180,#REF!,1,FALSE())),"?TYPE_IDENTIFIABLE","?REFERENTIAL"),"_")))))</f>
        <v/>
      </c>
      <c r="H3180" s="27" t="str">
        <f aca="false">IF(J3180&lt;&gt;1,"",IF(I3180="SBJ","CB","?"))</f>
        <v/>
      </c>
      <c r="I3180" s="24" t="str">
        <f aca="false">IF(OR(E3180="",E3180="!!!",F3180="NEW"),"",INDEX(B4:B$3177,-1+SUMPRODUCT(MAX(ROW(E4:E$3177)*(E3180=E4:E$3177)))))</f>
        <v/>
      </c>
      <c r="J3180" s="24" t="str">
        <f aca="true">IF(OR(E3180="",E3180="!!!",F3180="NEW"),"",COUNTBLANK(OFFSET(A$1,,,SUMPRODUCT(MAX(ROW(E$2:E3180)*(E3180=E$2:E3180)))))-COUNTBLANK(OFFSET(A$1,,,SUMPRODUCT(MAX(ROW(E$1:E3179)*(E2=E$1:E3179))))))</f>
        <v/>
      </c>
      <c r="K3180" s="24" t="str">
        <f aca="false">IF(OR(E3180="",E3180="!!!",F3180="NEW"),"",INDEX(J$1:J3179,SUMPRODUCT(MAX(ROW(E$1:E3179)*(E3180=E$1:E3179)))))</f>
        <v/>
      </c>
      <c r="L3180" s="31"/>
    </row>
    <row r="3181" customFormat="false" ht="15" hidden="false" customHeight="false" outlineLevel="0" collapsed="false">
      <c r="A3181" s="20" t="s">
        <v>1085</v>
      </c>
      <c r="E3181" s="23" t="str">
        <f aca="false">IF(D3181="?OLD","!!!","")</f>
        <v/>
      </c>
      <c r="F3181" s="25" t="str">
        <f aca="false">IF(OR(E3181="",E3181="!!!"),"",IF(NOT(ISNA(VLOOKUP(E3181,E$1:E3180,1,FALSE()))),"OLD",IF(AND(E3181&lt;&gt;"",E3181&lt;&gt;"!!!"),"NEW","")))</f>
        <v/>
      </c>
      <c r="G3181" s="26" t="str">
        <f aca="false">IF(OR(E3181="",E3181="!!!"),"",IF(OR(J3181=0,AND(J3181=1,K3181=1),AND(J3181=1,I3181="SBJ"),AND(J3181=1,I3181=0)),"?IN_FOCUS",IF(J3181&lt;=2,"?ACTIVATED",IF(J3181&lt;&gt;"","?FAMILIAR",IF(F3181="NEW",IF(ISNA(VLOOKUP(E3181,#REF!,1,FALSE())),"?TYPE_IDENTIFIABLE","?REFERENTIAL"),"_")))))</f>
        <v/>
      </c>
      <c r="H3181" s="27" t="str">
        <f aca="false">IF(J3181&lt;&gt;1,"",IF(I3181="SBJ","CB","?"))</f>
        <v/>
      </c>
      <c r="I3181" s="24" t="str">
        <f aca="false">IF(OR(E3181="",E3181="!!!",F3181="NEW"),"",INDEX(B5:B$3177,-1+SUMPRODUCT(MAX(ROW(E5:E$3177)*(E3181=E5:E$3177)))))</f>
        <v/>
      </c>
      <c r="J3181" s="24" t="str">
        <f aca="true">IF(OR(E3181="",E3181="!!!",F3181="NEW"),"",COUNTBLANK(OFFSET(A$1,,,SUMPRODUCT(MAX(ROW(E$2:E3181)*(E3181=E$2:E3181)))))-COUNTBLANK(OFFSET(A$1,,,SUMPRODUCT(MAX(ROW(E$1:E3180)*(E2=E$1:E3180))))))</f>
        <v/>
      </c>
      <c r="K3181" s="24" t="str">
        <f aca="false">IF(OR(E3181="",E3181="!!!",F3181="NEW"),"",INDEX(J$1:J3180,SUMPRODUCT(MAX(ROW(E$1:E3180)*(E3181=E$1:E3180)))))</f>
        <v/>
      </c>
      <c r="L3181" s="31"/>
    </row>
    <row r="3182" customFormat="false" ht="15" hidden="false" customHeight="false" outlineLevel="0" collapsed="false">
      <c r="A3182" s="20" t="s">
        <v>2109</v>
      </c>
      <c r="E3182" s="23" t="str">
        <f aca="false">IF(D3182="?OLD","!!!","")</f>
        <v/>
      </c>
      <c r="F3182" s="25" t="str">
        <f aca="false">IF(OR(E3182="",E3182="!!!"),"",IF(NOT(ISNA(VLOOKUP(E3182,E$1:E3181,1,FALSE()))),"OLD",IF(AND(E3182&lt;&gt;"",E3182&lt;&gt;"!!!"),"NEW","")))</f>
        <v/>
      </c>
      <c r="G3182" s="26" t="str">
        <f aca="false">IF(OR(E3182="",E3182="!!!"),"",IF(OR(J3182=0,AND(J3182=1,K3182=1),AND(J3182=1,I3182="SBJ"),AND(J3182=1,I3182=0)),"?IN_FOCUS",IF(J3182&lt;=2,"?ACTIVATED",IF(J3182&lt;&gt;"","?FAMILIAR",IF(F3182="NEW",IF(ISNA(VLOOKUP(E3182,#REF!,1,FALSE())),"?TYPE_IDENTIFIABLE","?REFERENTIAL"),"_")))))</f>
        <v/>
      </c>
      <c r="H3182" s="27" t="str">
        <f aca="false">IF(J3182&lt;&gt;1,"",IF(I3182="SBJ","CB","?"))</f>
        <v/>
      </c>
      <c r="I3182" s="24" t="str">
        <f aca="false">IF(OR(E3182="",E3182="!!!",F3182="NEW"),"",INDEX(B6:B$3177,-1+SUMPRODUCT(MAX(ROW(E6:E$3177)*(E3182=E6:E$3177)))))</f>
        <v/>
      </c>
      <c r="J3182" s="24" t="str">
        <f aca="true">IF(OR(E3182="",E3182="!!!",F3182="NEW"),"",COUNTBLANK(OFFSET(A$1,,,SUMPRODUCT(MAX(ROW(E$2:E3182)*(E3182=E$2:E3182)))))-COUNTBLANK(OFFSET(A$1,,,SUMPRODUCT(MAX(ROW(E$1:E3181)*(E2=E$1:E3181))))))</f>
        <v/>
      </c>
      <c r="K3182" s="24" t="str">
        <f aca="false">IF(OR(E3182="",E3182="!!!",F3182="NEW"),"",INDEX(J$1:J3181,SUMPRODUCT(MAX(ROW(E$1:E3181)*(E3182=E$1:E3181)))))</f>
        <v/>
      </c>
      <c r="L3182" s="31"/>
    </row>
    <row r="3183" customFormat="false" ht="15" hidden="false" customHeight="false" outlineLevel="0" collapsed="false">
      <c r="A3183" s="20" t="s">
        <v>1095</v>
      </c>
      <c r="E3183" s="23" t="str">
        <f aca="false">IF(D3183="?OLD","!!!","")</f>
        <v/>
      </c>
      <c r="F3183" s="25" t="str">
        <f aca="false">IF(OR(E3183="",E3183="!!!"),"",IF(NOT(ISNA(VLOOKUP(E3183,E$1:E3182,1,FALSE()))),"OLD",IF(AND(E3183&lt;&gt;"",E3183&lt;&gt;"!!!"),"NEW","")))</f>
        <v/>
      </c>
      <c r="G3183" s="26" t="str">
        <f aca="false">IF(OR(E3183="",E3183="!!!"),"",IF(OR(J3183=0,AND(J3183=1,K3183=1),AND(J3183=1,I3183="SBJ"),AND(J3183=1,I3183=0)),"?IN_FOCUS",IF(J3183&lt;=2,"?ACTIVATED",IF(J3183&lt;&gt;"","?FAMILIAR",IF(F3183="NEW",IF(ISNA(VLOOKUP(E3183,#REF!,1,FALSE())),"?TYPE_IDENTIFIABLE","?REFERENTIAL"),"_")))))</f>
        <v/>
      </c>
      <c r="H3183" s="27" t="str">
        <f aca="false">IF(J3183&lt;&gt;1,"",IF(I3183="SBJ","CB","?"))</f>
        <v/>
      </c>
      <c r="I3183" s="24" t="str">
        <f aca="false">IF(OR(E3183="",E3183="!!!",F3183="NEW"),"",INDEX(B7:B$3177,-1+SUMPRODUCT(MAX(ROW(E7:E$3177)*(E3183=E7:E$3177)))))</f>
        <v/>
      </c>
      <c r="J3183" s="24" t="str">
        <f aca="true">IF(OR(E3183="",E3183="!!!",F3183="NEW"),"",COUNTBLANK(OFFSET(A$1,,,SUMPRODUCT(MAX(ROW(E$2:E3183)*(E3183=E$2:E3183)))))-COUNTBLANK(OFFSET(A$1,,,SUMPRODUCT(MAX(ROW(E$1:E3182)*(E2=E$1:E3182))))))</f>
        <v/>
      </c>
      <c r="K3183" s="24" t="str">
        <f aca="false">IF(OR(E3183="",E3183="!!!",F3183="NEW"),"",INDEX(J$1:J3182,SUMPRODUCT(MAX(ROW(E$1:E3182)*(E3183=E$1:E3182)))))</f>
        <v/>
      </c>
      <c r="L3183" s="31"/>
    </row>
    <row r="3184" customFormat="false" ht="15" hidden="false" customHeight="false" outlineLevel="0" collapsed="false">
      <c r="A3184" s="20" t="s">
        <v>1078</v>
      </c>
      <c r="E3184" s="23" t="str">
        <f aca="false">IF(D3184="?OLD","!!!","")</f>
        <v/>
      </c>
      <c r="F3184" s="25" t="str">
        <f aca="false">IF(OR(E3184="",E3184="!!!"),"",IF(NOT(ISNA(VLOOKUP(E3184,E$1:E3183,1,FALSE()))),"OLD",IF(AND(E3184&lt;&gt;"",E3184&lt;&gt;"!!!"),"NEW","")))</f>
        <v/>
      </c>
      <c r="G3184" s="26" t="str">
        <f aca="false">IF(OR(E3184="",E3184="!!!"),"",IF(OR(J3184=0,AND(J3184=1,K3184=1),AND(J3184=1,I3184="SBJ"),AND(J3184=1,I3184=0)),"?IN_FOCUS",IF(J3184&lt;=2,"?ACTIVATED",IF(J3184&lt;&gt;"","?FAMILIAR",IF(F3184="NEW",IF(ISNA(VLOOKUP(E3184,#REF!,1,FALSE())),"?TYPE_IDENTIFIABLE","?REFERENTIAL"),"_")))))</f>
        <v/>
      </c>
      <c r="H3184" s="27" t="str">
        <f aca="false">IF(J3184&lt;&gt;1,"",IF(I3184="SBJ","CB","?"))</f>
        <v/>
      </c>
      <c r="I3184" s="24" t="str">
        <f aca="false">IF(OR(E3184="",E3184="!!!",F3184="NEW"),"",INDEX(B8:B$3177,-1+SUMPRODUCT(MAX(ROW(E8:E$3177)*(E3184=E8:E$3177)))))</f>
        <v/>
      </c>
      <c r="J3184" s="24" t="str">
        <f aca="true">IF(OR(E3184="",E3184="!!!",F3184="NEW"),"",COUNTBLANK(OFFSET(A$1,,,SUMPRODUCT(MAX(ROW(E$2:E3184)*(E3184=E$2:E3184)))))-COUNTBLANK(OFFSET(A$1,,,SUMPRODUCT(MAX(ROW(E$1:E3183)*(E2=E$1:E3183))))))</f>
        <v/>
      </c>
      <c r="K3184" s="24" t="str">
        <f aca="false">IF(OR(E3184="",E3184="!!!",F3184="NEW"),"",INDEX(J$1:J3183,SUMPRODUCT(MAX(ROW(E$1:E3183)*(E3184=E$1:E3183)))))</f>
        <v/>
      </c>
      <c r="L3184" s="31"/>
    </row>
    <row r="3185" customFormat="false" ht="15" hidden="false" customHeight="false" outlineLevel="0" collapsed="false">
      <c r="A3185" s="20" t="s">
        <v>1663</v>
      </c>
      <c r="E3185" s="23" t="str">
        <f aca="false">IF(D3185="?OLD","!!!","")</f>
        <v/>
      </c>
      <c r="F3185" s="25" t="str">
        <f aca="false">IF(OR(E3185="",E3185="!!!"),"",IF(NOT(ISNA(VLOOKUP(E3185,E$1:E3184,1,FALSE()))),"OLD",IF(AND(E3185&lt;&gt;"",E3185&lt;&gt;"!!!"),"NEW","")))</f>
        <v/>
      </c>
      <c r="G3185" s="26" t="str">
        <f aca="false">IF(OR(E3185="",E3185="!!!"),"",IF(OR(J3185=0,AND(J3185=1,K3185=1),AND(J3185=1,I3185="SBJ"),AND(J3185=1,I3185=0)),"?IN_FOCUS",IF(J3185&lt;=2,"?ACTIVATED",IF(J3185&lt;&gt;"","?FAMILIAR",IF(F3185="NEW",IF(ISNA(VLOOKUP(E3185,#REF!,1,FALSE())),"?TYPE_IDENTIFIABLE","?REFERENTIAL"),"_")))))</f>
        <v/>
      </c>
      <c r="H3185" s="27" t="str">
        <f aca="false">IF(J3185&lt;&gt;1,"",IF(I3185="SBJ","CB","?"))</f>
        <v/>
      </c>
      <c r="I3185" s="24" t="str">
        <f aca="false">IF(OR(E3185="",E3185="!!!",F3185="NEW"),"",INDEX(B9:B$3177,-1+SUMPRODUCT(MAX(ROW(E9:E$3177)*(E3185=E9:E$3177)))))</f>
        <v/>
      </c>
      <c r="J3185" s="24" t="str">
        <f aca="true">IF(OR(E3185="",E3185="!!!",F3185="NEW"),"",COUNTBLANK(OFFSET(A$1,,,SUMPRODUCT(MAX(ROW(E$2:E3185)*(E3185=E$2:E3185)))))-COUNTBLANK(OFFSET(A$1,,,SUMPRODUCT(MAX(ROW(E$1:E3184)*(E2=E$1:E3184))))))</f>
        <v/>
      </c>
      <c r="K3185" s="24" t="str">
        <f aca="false">IF(OR(E3185="",E3185="!!!",F3185="NEW"),"",INDEX(J$1:J3184,SUMPRODUCT(MAX(ROW(E$1:E3184)*(E3185=E$1:E3184)))))</f>
        <v/>
      </c>
      <c r="L3185" s="31"/>
    </row>
    <row r="3186" customFormat="false" ht="15" hidden="false" customHeight="false" outlineLevel="0" collapsed="false">
      <c r="A3186" s="20" t="s">
        <v>1189</v>
      </c>
      <c r="B3186" s="22" t="s">
        <v>1073</v>
      </c>
      <c r="C3186" s="22" t="s">
        <v>1099</v>
      </c>
      <c r="D3186" s="22" t="s">
        <v>1060</v>
      </c>
      <c r="E3186" s="23" t="str">
        <f aca="false">IF(D3186="?OLD","!!!","")</f>
        <v>!!!</v>
      </c>
      <c r="F3186" s="25" t="str">
        <f aca="false">IF(OR(E3186="",E3186="!!!"),"",IF(NOT(ISNA(VLOOKUP(E3186,E$1:E3185,1,FALSE()))),"OLD",IF(AND(E3186&lt;&gt;"",E3186&lt;&gt;"!!!"),"NEW","")))</f>
        <v/>
      </c>
      <c r="G3186" s="26" t="str">
        <f aca="false">IF(OR(E3186="",E3186="!!!"),"",IF(OR(J3186=0,AND(J3186=1,K3186=1),AND(J3186=1,I3186="SBJ"),AND(J3186=1,I3186=0)),"?IN_FOCUS",IF(J3186&lt;=2,"?ACTIVATED",IF(J3186&lt;&gt;"","?FAMILIAR",IF(F3186="NEW",IF(ISNA(VLOOKUP(E3186,#REF!,1,FALSE())),"?TYPE_IDENTIFIABLE","?REFERENTIAL"),"_")))))</f>
        <v/>
      </c>
      <c r="H3186" s="27" t="str">
        <f aca="false">IF(J3186&lt;&gt;1,"",IF(I3186="SBJ","CB","?"))</f>
        <v/>
      </c>
      <c r="I3186" s="24" t="str">
        <f aca="false">IF(OR(E3186="",E3186="!!!",F3186="NEW"),"",INDEX(B10:B$3177,-1+SUMPRODUCT(MAX(ROW(E10:E$3177)*(E3186=E10:E$3177)))))</f>
        <v/>
      </c>
      <c r="J3186" s="24" t="str">
        <f aca="true">IF(OR(E3186="",E3186="!!!",F3186="NEW"),"",COUNTBLANK(OFFSET(A$1,,,SUMPRODUCT(MAX(ROW(E$2:E3186)*(E3186=E$2:E3186)))))-COUNTBLANK(OFFSET(A$1,,,SUMPRODUCT(MAX(ROW(E$1:E3185)*(E2=E$1:E3185))))))</f>
        <v/>
      </c>
      <c r="K3186" s="24" t="str">
        <f aca="false">IF(OR(E3186="",E3186="!!!",F3186="NEW"),"",INDEX(J$1:J3185,SUMPRODUCT(MAX(ROW(E$1:E3185)*(E3186=E$1:E3185)))))</f>
        <v/>
      </c>
      <c r="L3186" s="31"/>
    </row>
    <row r="3187" customFormat="false" ht="15" hidden="false" customHeight="false" outlineLevel="0" collapsed="false">
      <c r="A3187" s="20" t="s">
        <v>2110</v>
      </c>
      <c r="E3187" s="23" t="str">
        <f aca="false">IF(D3187="?OLD","!!!","")</f>
        <v/>
      </c>
      <c r="F3187" s="25" t="str">
        <f aca="false">IF(OR(E3187="",E3187="!!!"),"",IF(NOT(ISNA(VLOOKUP(E3187,E$1:E3186,1,FALSE()))),"OLD",IF(AND(E3187&lt;&gt;"",E3187&lt;&gt;"!!!"),"NEW","")))</f>
        <v/>
      </c>
      <c r="G3187" s="26" t="str">
        <f aca="false">IF(OR(E3187="",E3187="!!!"),"",IF(OR(J3187=0,AND(J3187=1,K3187=1),AND(J3187=1,I3187="SBJ"),AND(J3187=1,I3187=0)),"?IN_FOCUS",IF(J3187&lt;=2,"?ACTIVATED",IF(J3187&lt;&gt;"","?FAMILIAR",IF(F3187="NEW",IF(ISNA(VLOOKUP(E3187,#REF!,1,FALSE())),"?TYPE_IDENTIFIABLE","?REFERENTIAL"),"_")))))</f>
        <v/>
      </c>
      <c r="H3187" s="27" t="str">
        <f aca="false">IF(J3187&lt;&gt;1,"",IF(I3187="SBJ","CB","?"))</f>
        <v/>
      </c>
      <c r="I3187" s="24" t="str">
        <f aca="false">IF(OR(E3187="",E3187="!!!",F3187="NEW"),"",INDEX(B11:B$3177,-1+SUMPRODUCT(MAX(ROW(E11:E$3177)*(E3187=E11:E$3177)))))</f>
        <v/>
      </c>
      <c r="J3187" s="24" t="str">
        <f aca="true">IF(OR(E3187="",E3187="!!!",F3187="NEW"),"",COUNTBLANK(OFFSET(A$1,,,SUMPRODUCT(MAX(ROW(E$2:E3187)*(E3187=E$2:E3187)))))-COUNTBLANK(OFFSET(A$1,,,SUMPRODUCT(MAX(ROW(E$1:E3186)*(E2=E$1:E3186))))))</f>
        <v/>
      </c>
      <c r="K3187" s="24" t="str">
        <f aca="false">IF(OR(E3187="",E3187="!!!",F3187="NEW"),"",INDEX(J$1:J3186,SUMPRODUCT(MAX(ROW(E$1:E3186)*(E3187=E$1:E3186)))))</f>
        <v/>
      </c>
      <c r="L3187" s="31"/>
    </row>
    <row r="3188" customFormat="false" ht="15" hidden="false" customHeight="false" outlineLevel="0" collapsed="false">
      <c r="A3188" s="20" t="s">
        <v>1137</v>
      </c>
      <c r="B3188" s="22" t="s">
        <v>1142</v>
      </c>
      <c r="C3188" s="22" t="s">
        <v>1082</v>
      </c>
      <c r="D3188" s="22" t="s">
        <v>1060</v>
      </c>
      <c r="E3188" s="23" t="str">
        <f aca="false">IF(D3188="?OLD","!!!","")</f>
        <v>!!!</v>
      </c>
      <c r="F3188" s="25" t="str">
        <f aca="false">IF(OR(E3188="",E3188="!!!"),"",IF(NOT(ISNA(VLOOKUP(E3188,E$1:E3187,1,FALSE()))),"OLD",IF(AND(E3188&lt;&gt;"",E3188&lt;&gt;"!!!"),"NEW","")))</f>
        <v/>
      </c>
      <c r="G3188" s="26" t="str">
        <f aca="false">IF(OR(E3188="",E3188="!!!"),"",IF(OR(J3188=0,AND(J3188=1,K3188=1),AND(J3188=1,I3188="SBJ"),AND(J3188=1,I3188=0)),"?IN_FOCUS",IF(J3188&lt;=2,"?ACTIVATED",IF(J3188&lt;&gt;"","?FAMILIAR",IF(F3188="NEW",IF(ISNA(VLOOKUP(E3188,#REF!,1,FALSE())),"?TYPE_IDENTIFIABLE","?REFERENTIAL"),"_")))))</f>
        <v/>
      </c>
      <c r="H3188" s="27" t="str">
        <f aca="false">IF(J3188&lt;&gt;1,"",IF(I3188="SBJ","CB","?"))</f>
        <v/>
      </c>
      <c r="I3188" s="24" t="str">
        <f aca="false">IF(OR(E3188="",E3188="!!!",F3188="NEW"),"",INDEX(B12:B$3177,-1+SUMPRODUCT(MAX(ROW(E12:E$3177)*(E3188=E12:E$3177)))))</f>
        <v/>
      </c>
      <c r="J3188" s="24" t="str">
        <f aca="true">IF(OR(E3188="",E3188="!!!",F3188="NEW"),"",COUNTBLANK(OFFSET(A$1,,,SUMPRODUCT(MAX(ROW(E$2:E3188)*(E3188=E$2:E3188)))))-COUNTBLANK(OFFSET(A$1,,,SUMPRODUCT(MAX(ROW(E$1:E3187)*(E2=E$1:E3187))))))</f>
        <v/>
      </c>
      <c r="K3188" s="24" t="str">
        <f aca="false">IF(OR(E3188="",E3188="!!!",F3188="NEW"),"",INDEX(J$1:J3187,SUMPRODUCT(MAX(ROW(E$1:E3187)*(E3188=E$1:E3187)))))</f>
        <v/>
      </c>
      <c r="L3188" s="31"/>
    </row>
    <row r="3189" customFormat="false" ht="15" hidden="false" customHeight="false" outlineLevel="0" collapsed="false">
      <c r="A3189" s="20" t="s">
        <v>1184</v>
      </c>
      <c r="E3189" s="23" t="str">
        <f aca="false">IF(D3189="?OLD","!!!","")</f>
        <v/>
      </c>
      <c r="F3189" s="25" t="str">
        <f aca="false">IF(OR(E3189="",E3189="!!!"),"",IF(NOT(ISNA(VLOOKUP(E3189,E$1:E3188,1,FALSE()))),"OLD",IF(AND(E3189&lt;&gt;"",E3189&lt;&gt;"!!!"),"NEW","")))</f>
        <v/>
      </c>
      <c r="G3189" s="26" t="str">
        <f aca="false">IF(OR(E3189="",E3189="!!!"),"",IF(OR(J3189=0,AND(J3189=1,K3189=1),AND(J3189=1,I3189="SBJ"),AND(J3189=1,I3189=0)),"?IN_FOCUS",IF(J3189&lt;=2,"?ACTIVATED",IF(J3189&lt;&gt;"","?FAMILIAR",IF(F3189="NEW",IF(ISNA(VLOOKUP(E3189,#REF!,1,FALSE())),"?TYPE_IDENTIFIABLE","?REFERENTIAL"),"_")))))</f>
        <v/>
      </c>
      <c r="H3189" s="27" t="str">
        <f aca="false">IF(J3189&lt;&gt;1,"",IF(I3189="SBJ","CB","?"))</f>
        <v/>
      </c>
      <c r="I3189" s="24" t="str">
        <f aca="false">IF(OR(E3189="",E3189="!!!",F3189="NEW"),"",INDEX(B13:B$3177,-1+SUMPRODUCT(MAX(ROW(E13:E$3177)*(E3189=E13:E$3177)))))</f>
        <v/>
      </c>
      <c r="J3189" s="24" t="str">
        <f aca="true">IF(OR(E3189="",E3189="!!!",F3189="NEW"),"",COUNTBLANK(OFFSET(A$1,,,SUMPRODUCT(MAX(ROW(E$2:E3189)*(E3189=E$2:E3189)))))-COUNTBLANK(OFFSET(A$1,,,SUMPRODUCT(MAX(ROW(E$1:E3188)*(E2=E$1:E3188))))))</f>
        <v/>
      </c>
      <c r="K3189" s="24" t="str">
        <f aca="false">IF(OR(E3189="",E3189="!!!",F3189="NEW"),"",INDEX(J$1:J3188,SUMPRODUCT(MAX(ROW(E$1:E3188)*(E3189=E$1:E3188)))))</f>
        <v/>
      </c>
      <c r="L3189" s="31"/>
    </row>
    <row r="3190" customFormat="false" ht="15" hidden="false" customHeight="false" outlineLevel="0" collapsed="false">
      <c r="A3190" s="20" t="s">
        <v>1109</v>
      </c>
      <c r="E3190" s="23" t="str">
        <f aca="false">IF(D3190="?OLD","!!!","")</f>
        <v/>
      </c>
      <c r="F3190" s="25" t="str">
        <f aca="false">IF(OR(E3190="",E3190="!!!"),"",IF(NOT(ISNA(VLOOKUP(E3190,E$1:E3189,1,FALSE()))),"OLD",IF(AND(E3190&lt;&gt;"",E3190&lt;&gt;"!!!"),"NEW","")))</f>
        <v/>
      </c>
      <c r="G3190" s="26" t="str">
        <f aca="false">IF(OR(E3190="",E3190="!!!"),"",IF(OR(J3190=0,AND(J3190=1,K3190=1),AND(J3190=1,I3190="SBJ"),AND(J3190=1,I3190=0)),"?IN_FOCUS",IF(J3190&lt;=2,"?ACTIVATED",IF(J3190&lt;&gt;"","?FAMILIAR",IF(F3190="NEW",IF(ISNA(VLOOKUP(E3190,#REF!,1,FALSE())),"?TYPE_IDENTIFIABLE","?REFERENTIAL"),"_")))))</f>
        <v/>
      </c>
      <c r="H3190" s="27" t="str">
        <f aca="false">IF(J3190&lt;&gt;1,"",IF(I3190="SBJ","CB","?"))</f>
        <v/>
      </c>
      <c r="I3190" s="24" t="str">
        <f aca="false">IF(OR(E3190="",E3190="!!!",F3190="NEW"),"",INDEX(B14:B$3177,-1+SUMPRODUCT(MAX(ROW(E14:E$3177)*(E3190=E14:E$3177)))))</f>
        <v/>
      </c>
      <c r="J3190" s="24" t="str">
        <f aca="true">IF(OR(E3190="",E3190="!!!",F3190="NEW"),"",COUNTBLANK(OFFSET(A$1,,,SUMPRODUCT(MAX(ROW(E$2:E3190)*(E3190=E$2:E3190)))))-COUNTBLANK(OFFSET(A$1,,,SUMPRODUCT(MAX(ROW(E$1:E3189)*(E2=E$1:E3189))))))</f>
        <v/>
      </c>
      <c r="K3190" s="24" t="str">
        <f aca="false">IF(OR(E3190="",E3190="!!!",F3190="NEW"),"",INDEX(J$1:J3189,SUMPRODUCT(MAX(ROW(E$1:E3189)*(E3190=E$1:E3189)))))</f>
        <v/>
      </c>
      <c r="L3190" s="31"/>
    </row>
    <row r="3191" customFormat="false" ht="15" hidden="false" customHeight="false" outlineLevel="0" collapsed="false">
      <c r="A3191" s="20" t="s">
        <v>1269</v>
      </c>
      <c r="B3191" s="22" t="s">
        <v>1073</v>
      </c>
      <c r="C3191" s="22" t="s">
        <v>1150</v>
      </c>
      <c r="D3191" s="22" t="s">
        <v>1060</v>
      </c>
      <c r="E3191" s="23" t="str">
        <f aca="false">IF(D3191="?OLD","!!!","")</f>
        <v>!!!</v>
      </c>
      <c r="F3191" s="25" t="str">
        <f aca="false">IF(OR(E3191="",E3191="!!!"),"",IF(NOT(ISNA(VLOOKUP(E3191,E$1:E3190,1,FALSE()))),"OLD",IF(AND(E3191&lt;&gt;"",E3191&lt;&gt;"!!!"),"NEW","")))</f>
        <v/>
      </c>
      <c r="G3191" s="26" t="str">
        <f aca="false">IF(OR(E3191="",E3191="!!!"),"",IF(OR(J3191=0,AND(J3191=1,K3191=1),AND(J3191=1,I3191="SBJ"),AND(J3191=1,I3191=0)),"?IN_FOCUS",IF(J3191&lt;=2,"?ACTIVATED",IF(J3191&lt;&gt;"","?FAMILIAR",IF(F3191="NEW",IF(ISNA(VLOOKUP(E3191,#REF!,1,FALSE())),"?TYPE_IDENTIFIABLE","?REFERENTIAL"),"_")))))</f>
        <v/>
      </c>
      <c r="H3191" s="27" t="str">
        <f aca="false">IF(J3191&lt;&gt;1,"",IF(I3191="SBJ","CB","?"))</f>
        <v/>
      </c>
      <c r="I3191" s="24" t="str">
        <f aca="false">IF(OR(E3191="",E3191="!!!",F3191="NEW"),"",INDEX(B15:B$3177,-1+SUMPRODUCT(MAX(ROW(E15:E$3177)*(E3191=E15:E$3177)))))</f>
        <v/>
      </c>
      <c r="J3191" s="24" t="str">
        <f aca="true">IF(OR(E3191="",E3191="!!!",F3191="NEW"),"",COUNTBLANK(OFFSET(A$1,,,SUMPRODUCT(MAX(ROW(E$2:E3191)*(E3191=E$2:E3191)))))-COUNTBLANK(OFFSET(A$1,,,SUMPRODUCT(MAX(ROW(E$1:E3190)*(E2=E$1:E3190))))))</f>
        <v/>
      </c>
      <c r="K3191" s="24" t="str">
        <f aca="false">IF(OR(E3191="",E3191="!!!",F3191="NEW"),"",INDEX(J$1:J3190,SUMPRODUCT(MAX(ROW(E$1:E3190)*(E3191=E$1:E3190)))))</f>
        <v/>
      </c>
      <c r="L3191" s="31"/>
    </row>
    <row r="3192" customFormat="false" ht="15" hidden="false" customHeight="false" outlineLevel="0" collapsed="false">
      <c r="A3192" s="20" t="s">
        <v>1076</v>
      </c>
      <c r="E3192" s="23" t="str">
        <f aca="false">IF(D3192="?OLD","!!!","")</f>
        <v/>
      </c>
      <c r="F3192" s="25" t="str">
        <f aca="false">IF(OR(E3192="",E3192="!!!"),"",IF(NOT(ISNA(VLOOKUP(E3192,E$1:E3191,1,FALSE()))),"OLD",IF(AND(E3192&lt;&gt;"",E3192&lt;&gt;"!!!"),"NEW","")))</f>
        <v/>
      </c>
      <c r="G3192" s="26" t="str">
        <f aca="false">IF(OR(E3192="",E3192="!!!"),"",IF(OR(J3192=0,AND(J3192=1,K3192=1),AND(J3192=1,I3192="SBJ"),AND(J3192=1,I3192=0)),"?IN_FOCUS",IF(J3192&lt;=2,"?ACTIVATED",IF(J3192&lt;&gt;"","?FAMILIAR",IF(F3192="NEW",IF(ISNA(VLOOKUP(E3192,#REF!,1,FALSE())),"?TYPE_IDENTIFIABLE","?REFERENTIAL"),"_")))))</f>
        <v/>
      </c>
      <c r="H3192" s="27" t="str">
        <f aca="false">IF(J3192&lt;&gt;1,"",IF(I3192="SBJ","CB","?"))</f>
        <v/>
      </c>
      <c r="I3192" s="24" t="str">
        <f aca="false">IF(OR(E3192="",E3192="!!!",F3192="NEW"),"",INDEX(B16:B$3177,-1+SUMPRODUCT(MAX(ROW(E16:E$3177)*(E3192=E16:E$3177)))))</f>
        <v/>
      </c>
      <c r="J3192" s="24" t="str">
        <f aca="true">IF(OR(E3192="",E3192="!!!",F3192="NEW"),"",COUNTBLANK(OFFSET(A$1,,,SUMPRODUCT(MAX(ROW(E$2:E3192)*(E3192=E$2:E3192)))))-COUNTBLANK(OFFSET(A$1,,,SUMPRODUCT(MAX(ROW(E$1:E3191)*(E2=E$1:E3191))))))</f>
        <v/>
      </c>
      <c r="K3192" s="24" t="str">
        <f aca="false">IF(OR(E3192="",E3192="!!!",F3192="NEW"),"",INDEX(J$1:J3191,SUMPRODUCT(MAX(ROW(E$1:E3191)*(E3192=E$1:E3191)))))</f>
        <v/>
      </c>
      <c r="L3192" s="31"/>
    </row>
    <row r="3193" customFormat="false" ht="15" hidden="false" customHeight="false" outlineLevel="0" collapsed="false">
      <c r="A3193" s="20" t="s">
        <v>607</v>
      </c>
      <c r="E3193" s="23" t="str">
        <f aca="false">IF(D3193="?OLD","!!!","")</f>
        <v/>
      </c>
      <c r="F3193" s="25" t="str">
        <f aca="false">IF(OR(E3193="",E3193="!!!"),"",IF(NOT(ISNA(VLOOKUP(E3193,E$1:E3192,1,FALSE()))),"OLD",IF(AND(E3193&lt;&gt;"",E3193&lt;&gt;"!!!"),"NEW","")))</f>
        <v/>
      </c>
      <c r="G3193" s="26" t="str">
        <f aca="false">IF(OR(E3193="",E3193="!!!"),"",IF(OR(J3193=0,AND(J3193=1,K3193=1),AND(J3193=1,I3193="SBJ"),AND(J3193=1,I3193=0)),"?IN_FOCUS",IF(J3193&lt;=2,"?ACTIVATED",IF(J3193&lt;&gt;"","?FAMILIAR",IF(F3193="NEW",IF(ISNA(VLOOKUP(E3193,#REF!,1,FALSE())),"?TYPE_IDENTIFIABLE","?REFERENTIAL"),"_")))))</f>
        <v/>
      </c>
      <c r="H3193" s="27" t="str">
        <f aca="false">IF(J3193&lt;&gt;1,"",IF(I3193="SBJ","CB","?"))</f>
        <v/>
      </c>
      <c r="I3193" s="24" t="str">
        <f aca="false">IF(OR(E3193="",E3193="!!!",F3193="NEW"),"",INDEX(B17:B$3177,-1+SUMPRODUCT(MAX(ROW(E17:E$3177)*(E3193=E17:E$3177)))))</f>
        <v/>
      </c>
      <c r="J3193" s="24" t="str">
        <f aca="true">IF(OR(E3193="",E3193="!!!",F3193="NEW"),"",COUNTBLANK(OFFSET(A$1,,,SUMPRODUCT(MAX(ROW(E$2:E3193)*(E3193=E$2:E3193)))))-COUNTBLANK(OFFSET(A$1,,,SUMPRODUCT(MAX(ROW(E$1:E3192)*(E2=E$1:E3192))))))</f>
        <v/>
      </c>
      <c r="K3193" s="24" t="str">
        <f aca="false">IF(OR(E3193="",E3193="!!!",F3193="NEW"),"",INDEX(J$1:J3192,SUMPRODUCT(MAX(ROW(E$1:E3192)*(E3193=E$1:E3192)))))</f>
        <v/>
      </c>
      <c r="L3193" s="31"/>
    </row>
    <row r="3194" customFormat="false" ht="15" hidden="false" customHeight="false" outlineLevel="0" collapsed="false">
      <c r="A3194" s="20" t="s">
        <v>1090</v>
      </c>
      <c r="B3194" s="22" t="s">
        <v>1086</v>
      </c>
      <c r="C3194" s="22" t="s">
        <v>1082</v>
      </c>
      <c r="D3194" s="22" t="s">
        <v>1060</v>
      </c>
      <c r="E3194" s="23" t="str">
        <f aca="false">IF(D3194="?OLD","!!!","")</f>
        <v>!!!</v>
      </c>
      <c r="F3194" s="25" t="str">
        <f aca="false">IF(OR(E3194="",E3194="!!!"),"",IF(NOT(ISNA(VLOOKUP(E3194,E$1:E3193,1,FALSE()))),"OLD",IF(AND(E3194&lt;&gt;"",E3194&lt;&gt;"!!!"),"NEW","")))</f>
        <v/>
      </c>
      <c r="G3194" s="26" t="str">
        <f aca="false">IF(OR(E3194="",E3194="!!!"),"",IF(OR(J3194=0,AND(J3194=1,K3194=1),AND(J3194=1,I3194="SBJ"),AND(J3194=1,I3194=0)),"?IN_FOCUS",IF(J3194&lt;=2,"?ACTIVATED",IF(J3194&lt;&gt;"","?FAMILIAR",IF(F3194="NEW",IF(ISNA(VLOOKUP(E3194,#REF!,1,FALSE())),"?TYPE_IDENTIFIABLE","?REFERENTIAL"),"_")))))</f>
        <v/>
      </c>
      <c r="H3194" s="27" t="str">
        <f aca="false">IF(J3194&lt;&gt;1,"",IF(I3194="SBJ","CB","?"))</f>
        <v/>
      </c>
      <c r="I3194" s="24" t="str">
        <f aca="false">IF(OR(E3194="",E3194="!!!",F3194="NEW"),"",INDEX(B18:B$3177,-1+SUMPRODUCT(MAX(ROW(E18:E$3177)*(E3194=E18:E$3177)))))</f>
        <v/>
      </c>
      <c r="J3194" s="24" t="str">
        <f aca="true">IF(OR(E3194="",E3194="!!!",F3194="NEW"),"",COUNTBLANK(OFFSET(A$1,,,SUMPRODUCT(MAX(ROW(E$2:E3194)*(E3194=E$2:E3194)))))-COUNTBLANK(OFFSET(A$1,,,SUMPRODUCT(MAX(ROW(E$1:E3193)*(E2=E$1:E3193))))))</f>
        <v/>
      </c>
      <c r="K3194" s="24" t="str">
        <f aca="false">IF(OR(E3194="",E3194="!!!",F3194="NEW"),"",INDEX(J$1:J3193,SUMPRODUCT(MAX(ROW(E$1:E3193)*(E3194=E$1:E3193)))))</f>
        <v/>
      </c>
      <c r="L3194" s="31"/>
    </row>
    <row r="3195" customFormat="false" ht="15" hidden="false" customHeight="false" outlineLevel="0" collapsed="false">
      <c r="A3195" s="20" t="s">
        <v>2111</v>
      </c>
      <c r="E3195" s="23" t="str">
        <f aca="false">IF(D3195="?OLD","!!!","")</f>
        <v/>
      </c>
      <c r="F3195" s="25" t="str">
        <f aca="false">IF(OR(E3195="",E3195="!!!"),"",IF(NOT(ISNA(VLOOKUP(E3195,E$1:E3194,1,FALSE()))),"OLD",IF(AND(E3195&lt;&gt;"",E3195&lt;&gt;"!!!"),"NEW","")))</f>
        <v/>
      </c>
      <c r="G3195" s="26" t="str">
        <f aca="false">IF(OR(E3195="",E3195="!!!"),"",IF(OR(J3195=0,AND(J3195=1,K3195=1),AND(J3195=1,I3195="SBJ"),AND(J3195=1,I3195=0)),"?IN_FOCUS",IF(J3195&lt;=2,"?ACTIVATED",IF(J3195&lt;&gt;"","?FAMILIAR",IF(F3195="NEW",IF(ISNA(VLOOKUP(E3195,#REF!,1,FALSE())),"?TYPE_IDENTIFIABLE","?REFERENTIAL"),"_")))))</f>
        <v/>
      </c>
      <c r="H3195" s="27" t="str">
        <f aca="false">IF(J3195&lt;&gt;1,"",IF(I3195="SBJ","CB","?"))</f>
        <v/>
      </c>
      <c r="I3195" s="24" t="str">
        <f aca="false">IF(OR(E3195="",E3195="!!!",F3195="NEW"),"",INDEX(B19:B$3177,-1+SUMPRODUCT(MAX(ROW(E19:E$3177)*(E3195=E19:E$3177)))))</f>
        <v/>
      </c>
      <c r="J3195" s="24" t="str">
        <f aca="true">IF(OR(E3195="",E3195="!!!",F3195="NEW"),"",COUNTBLANK(OFFSET(A$1,,,SUMPRODUCT(MAX(ROW(E$2:E3195)*(E3195=E$2:E3195)))))-COUNTBLANK(OFFSET(A$1,,,SUMPRODUCT(MAX(ROW(E$1:E3194)*(E2=E$1:E3194))))))</f>
        <v/>
      </c>
      <c r="K3195" s="24" t="str">
        <f aca="false">IF(OR(E3195="",E3195="!!!",F3195="NEW"),"",INDEX(J$1:J3194,SUMPRODUCT(MAX(ROW(E$1:E3194)*(E3195=E$1:E3194)))))</f>
        <v/>
      </c>
      <c r="L3195" s="31"/>
    </row>
    <row r="3196" customFormat="false" ht="15" hidden="false" customHeight="false" outlineLevel="0" collapsed="false">
      <c r="A3196" s="20" t="s">
        <v>1157</v>
      </c>
      <c r="E3196" s="23" t="str">
        <f aca="false">IF(D3196="?OLD","!!!","")</f>
        <v/>
      </c>
      <c r="F3196" s="25" t="str">
        <f aca="false">IF(OR(E3196="",E3196="!!!"),"",IF(NOT(ISNA(VLOOKUP(E3196,E$1:E3195,1,FALSE()))),"OLD",IF(AND(E3196&lt;&gt;"",E3196&lt;&gt;"!!!"),"NEW","")))</f>
        <v/>
      </c>
      <c r="G3196" s="26" t="str">
        <f aca="false">IF(OR(E3196="",E3196="!!!"),"",IF(OR(J3196=0,AND(J3196=1,K3196=1),AND(J3196=1,I3196="SBJ"),AND(J3196=1,I3196=0)),"?IN_FOCUS",IF(J3196&lt;=2,"?ACTIVATED",IF(J3196&lt;&gt;"","?FAMILIAR",IF(F3196="NEW",IF(ISNA(VLOOKUP(E3196,#REF!,1,FALSE())),"?TYPE_IDENTIFIABLE","?REFERENTIAL"),"_")))))</f>
        <v/>
      </c>
      <c r="H3196" s="27" t="str">
        <f aca="false">IF(J3196&lt;&gt;1,"",IF(I3196="SBJ","CB","?"))</f>
        <v/>
      </c>
      <c r="I3196" s="24" t="str">
        <f aca="false">IF(OR(E3196="",E3196="!!!",F3196="NEW"),"",INDEX(B20:B$3177,-1+SUMPRODUCT(MAX(ROW(E20:E$3177)*(E3196=E20:E$3177)))))</f>
        <v/>
      </c>
      <c r="J3196" s="24" t="str">
        <f aca="true">IF(OR(E3196="",E3196="!!!",F3196="NEW"),"",COUNTBLANK(OFFSET(A$1,,,SUMPRODUCT(MAX(ROW(E$2:E3196)*(E3196=E$2:E3196)))))-COUNTBLANK(OFFSET(A$1,,,SUMPRODUCT(MAX(ROW(E$1:E3195)*(E2=E$1:E3195))))))</f>
        <v/>
      </c>
      <c r="K3196" s="24" t="str">
        <f aca="false">IF(OR(E3196="",E3196="!!!",F3196="NEW"),"",INDEX(J$1:J3195,SUMPRODUCT(MAX(ROW(E$1:E3195)*(E3196=E$1:E3195)))))</f>
        <v/>
      </c>
      <c r="L3196" s="31"/>
    </row>
    <row r="3197" customFormat="false" ht="15" hidden="false" customHeight="false" outlineLevel="0" collapsed="false">
      <c r="A3197" s="20" t="s">
        <v>1186</v>
      </c>
      <c r="B3197" s="22" t="s">
        <v>1091</v>
      </c>
      <c r="C3197" s="22" t="s">
        <v>1082</v>
      </c>
      <c r="D3197" s="22" t="s">
        <v>1060</v>
      </c>
      <c r="E3197" s="23" t="str">
        <f aca="false">IF(D3197="?OLD","!!!","")</f>
        <v>!!!</v>
      </c>
      <c r="F3197" s="25" t="str">
        <f aca="false">IF(OR(E3197="",E3197="!!!"),"",IF(NOT(ISNA(VLOOKUP(E3197,E$1:E3196,1,FALSE()))),"OLD",IF(AND(E3197&lt;&gt;"",E3197&lt;&gt;"!!!"),"NEW","")))</f>
        <v/>
      </c>
      <c r="G3197" s="26" t="str">
        <f aca="false">IF(OR(E3197="",E3197="!!!"),"",IF(OR(J3197=0,AND(J3197=1,K3197=1),AND(J3197=1,I3197="SBJ"),AND(J3197=1,I3197=0)),"?IN_FOCUS",IF(J3197&lt;=2,"?ACTIVATED",IF(J3197&lt;&gt;"","?FAMILIAR",IF(F3197="NEW",IF(ISNA(VLOOKUP(E3197,#REF!,1,FALSE())),"?TYPE_IDENTIFIABLE","?REFERENTIAL"),"_")))))</f>
        <v/>
      </c>
      <c r="H3197" s="27" t="str">
        <f aca="false">IF(J3197&lt;&gt;1,"",IF(I3197="SBJ","CB","?"))</f>
        <v/>
      </c>
      <c r="I3197" s="24" t="str">
        <f aca="false">IF(OR(E3197="",E3197="!!!",F3197="NEW"),"",INDEX(B21:B$3177,-1+SUMPRODUCT(MAX(ROW(E21:E$3177)*(E3197=E21:E$3177)))))</f>
        <v/>
      </c>
      <c r="J3197" s="24" t="str">
        <f aca="true">IF(OR(E3197="",E3197="!!!",F3197="NEW"),"",COUNTBLANK(OFFSET(A$1,,,SUMPRODUCT(MAX(ROW(E$2:E3197)*(E3197=E$2:E3197)))))-COUNTBLANK(OFFSET(A$1,,,SUMPRODUCT(MAX(ROW(E$1:E3196)*(E2=E$1:E3196))))))</f>
        <v/>
      </c>
      <c r="K3197" s="24" t="str">
        <f aca="false">IF(OR(E3197="",E3197="!!!",F3197="NEW"),"",INDEX(J$1:J3196,SUMPRODUCT(MAX(ROW(E$1:E3196)*(E3197=E$1:E3196)))))</f>
        <v/>
      </c>
      <c r="L3197" s="31"/>
    </row>
    <row r="3198" customFormat="false" ht="15" hidden="false" customHeight="false" outlineLevel="0" collapsed="false">
      <c r="A3198" s="20" t="s">
        <v>2112</v>
      </c>
      <c r="E3198" s="23" t="str">
        <f aca="false">IF(D3198="?OLD","!!!","")</f>
        <v/>
      </c>
      <c r="F3198" s="25" t="str">
        <f aca="false">IF(OR(E3198="",E3198="!!!"),"",IF(NOT(ISNA(VLOOKUP(E3198,E$1:E3197,1,FALSE()))),"OLD",IF(AND(E3198&lt;&gt;"",E3198&lt;&gt;"!!!"),"NEW","")))</f>
        <v/>
      </c>
      <c r="G3198" s="26" t="str">
        <f aca="false">IF(OR(E3198="",E3198="!!!"),"",IF(OR(J3198=0,AND(J3198=1,K3198=1),AND(J3198=1,I3198="SBJ"),AND(J3198=1,I3198=0)),"?IN_FOCUS",IF(J3198&lt;=2,"?ACTIVATED",IF(J3198&lt;&gt;"","?FAMILIAR",IF(F3198="NEW",IF(ISNA(VLOOKUP(E3198,#REF!,1,FALSE())),"?TYPE_IDENTIFIABLE","?REFERENTIAL"),"_")))))</f>
        <v/>
      </c>
      <c r="H3198" s="27" t="str">
        <f aca="false">IF(J3198&lt;&gt;1,"",IF(I3198="SBJ","CB","?"))</f>
        <v/>
      </c>
      <c r="I3198" s="24" t="str">
        <f aca="false">IF(OR(E3198="",E3198="!!!",F3198="NEW"),"",INDEX(B22:B$3177,-1+SUMPRODUCT(MAX(ROW(E22:E$3177)*(E3198=E22:E$3177)))))</f>
        <v/>
      </c>
      <c r="J3198" s="24" t="str">
        <f aca="true">IF(OR(E3198="",E3198="!!!",F3198="NEW"),"",COUNTBLANK(OFFSET(A$1,,,SUMPRODUCT(MAX(ROW(E$2:E3198)*(E3198=E$2:E3198)))))-COUNTBLANK(OFFSET(A$1,,,SUMPRODUCT(MAX(ROW(E$1:E3197)*(E2=E$1:E3197))))))</f>
        <v/>
      </c>
      <c r="K3198" s="24" t="str">
        <f aca="false">IF(OR(E3198="",E3198="!!!",F3198="NEW"),"",INDEX(J$1:J3197,SUMPRODUCT(MAX(ROW(E$1:E3197)*(E3198=E$1:E3197)))))</f>
        <v/>
      </c>
      <c r="L3198" s="31"/>
    </row>
    <row r="3199" customFormat="false" ht="15" hidden="false" customHeight="false" outlineLevel="0" collapsed="false">
      <c r="A3199" s="20" t="s">
        <v>1189</v>
      </c>
      <c r="B3199" s="22" t="s">
        <v>1107</v>
      </c>
      <c r="C3199" s="22" t="s">
        <v>1099</v>
      </c>
      <c r="D3199" s="22" t="s">
        <v>1060</v>
      </c>
      <c r="E3199" s="23" t="str">
        <f aca="false">IF(D3199="?OLD","!!!","")</f>
        <v>!!!</v>
      </c>
      <c r="F3199" s="25" t="str">
        <f aca="false">IF(OR(E3199="",E3199="!!!"),"",IF(NOT(ISNA(VLOOKUP(E3199,E$1:E3198,1,FALSE()))),"OLD",IF(AND(E3199&lt;&gt;"",E3199&lt;&gt;"!!!"),"NEW","")))</f>
        <v/>
      </c>
      <c r="G3199" s="26" t="str">
        <f aca="false">IF(OR(E3199="",E3199="!!!"),"",IF(OR(J3199=0,AND(J3199=1,K3199=1),AND(J3199=1,I3199="SBJ"),AND(J3199=1,I3199=0)),"?IN_FOCUS",IF(J3199&lt;=2,"?ACTIVATED",IF(J3199&lt;&gt;"","?FAMILIAR",IF(F3199="NEW",IF(ISNA(VLOOKUP(E3199,#REF!,1,FALSE())),"?TYPE_IDENTIFIABLE","?REFERENTIAL"),"_")))))</f>
        <v/>
      </c>
      <c r="H3199" s="27" t="str">
        <f aca="false">IF(J3199&lt;&gt;1,"",IF(I3199="SBJ","CB","?"))</f>
        <v/>
      </c>
      <c r="I3199" s="24" t="str">
        <f aca="false">IF(OR(E3199="",E3199="!!!",F3199="NEW"),"",INDEX(B23:B$3177,-1+SUMPRODUCT(MAX(ROW(E23:E$3177)*(E3199=E23:E$3177)))))</f>
        <v/>
      </c>
      <c r="J3199" s="24" t="str">
        <f aca="true">IF(OR(E3199="",E3199="!!!",F3199="NEW"),"",COUNTBLANK(OFFSET(A$1,,,SUMPRODUCT(MAX(ROW(E$2:E3199)*(E3199=E$2:E3199)))))-COUNTBLANK(OFFSET(A$1,,,SUMPRODUCT(MAX(ROW(E$1:E3198)*(E2=E$1:E3198))))))</f>
        <v/>
      </c>
      <c r="K3199" s="24" t="str">
        <f aca="false">IF(OR(E3199="",E3199="!!!",F3199="NEW"),"",INDEX(J$1:J3198,SUMPRODUCT(MAX(ROW(E$1:E3198)*(E3199=E$1:E3198)))))</f>
        <v/>
      </c>
      <c r="L3199" s="31"/>
    </row>
    <row r="3200" customFormat="false" ht="15" hidden="false" customHeight="false" outlineLevel="0" collapsed="false">
      <c r="A3200" s="20" t="s">
        <v>1537</v>
      </c>
      <c r="B3200" s="22" t="s">
        <v>1146</v>
      </c>
      <c r="C3200" s="22" t="s">
        <v>1059</v>
      </c>
      <c r="D3200" s="22" t="s">
        <v>1060</v>
      </c>
      <c r="E3200" s="23" t="str">
        <f aca="false">IF(D3200="?OLD","!!!","")</f>
        <v>!!!</v>
      </c>
      <c r="F3200" s="25" t="str">
        <f aca="false">IF(OR(E3200="",E3200="!!!"),"",IF(NOT(ISNA(VLOOKUP(E3200,E$1:E3199,1,FALSE()))),"OLD",IF(AND(E3200&lt;&gt;"",E3200&lt;&gt;"!!!"),"NEW","")))</f>
        <v/>
      </c>
      <c r="G3200" s="26" t="str">
        <f aca="false">IF(OR(E3200="",E3200="!!!"),"",IF(OR(J3200=0,AND(J3200=1,K3200=1),AND(J3200=1,I3200="SBJ"),AND(J3200=1,I3200=0)),"?IN_FOCUS",IF(J3200&lt;=2,"?ACTIVATED",IF(J3200&lt;&gt;"","?FAMILIAR",IF(F3200="NEW",IF(ISNA(VLOOKUP(E3200,#REF!,1,FALSE())),"?TYPE_IDENTIFIABLE","?REFERENTIAL"),"_")))))</f>
        <v/>
      </c>
      <c r="H3200" s="27" t="str">
        <f aca="false">IF(J3200&lt;&gt;1,"",IF(I3200="SBJ","CB","?"))</f>
        <v/>
      </c>
      <c r="I3200" s="24" t="str">
        <f aca="false">IF(OR(E3200="",E3200="!!!",F3200="NEW"),"",INDEX(B24:B$3177,-1+SUMPRODUCT(MAX(ROW(E24:E$3177)*(E3200=E24:E$3177)))))</f>
        <v/>
      </c>
      <c r="J3200" s="24" t="str">
        <f aca="true">IF(OR(E3200="",E3200="!!!",F3200="NEW"),"",COUNTBLANK(OFFSET(A$1,,,SUMPRODUCT(MAX(ROW(E$2:E3200)*(E3200=E$2:E3200)))))-COUNTBLANK(OFFSET(A$1,,,SUMPRODUCT(MAX(ROW(E$1:E3199)*(E2=E$1:E3199))))))</f>
        <v/>
      </c>
      <c r="K3200" s="24" t="str">
        <f aca="false">IF(OR(E3200="",E3200="!!!",F3200="NEW"),"",INDEX(J$1:J3199,SUMPRODUCT(MAX(ROW(E$1:E3199)*(E3200=E$1:E3199)))))</f>
        <v/>
      </c>
      <c r="L3200" s="31"/>
    </row>
    <row r="3201" customFormat="false" ht="15" hidden="false" customHeight="false" outlineLevel="0" collapsed="false">
      <c r="A3201" s="20" t="s">
        <v>1794</v>
      </c>
      <c r="E3201" s="23" t="str">
        <f aca="false">IF(D3201="?OLD","!!!","")</f>
        <v/>
      </c>
      <c r="F3201" s="25" t="str">
        <f aca="false">IF(OR(E3201="",E3201="!!!"),"",IF(NOT(ISNA(VLOOKUP(E3201,E$1:E3200,1,FALSE()))),"OLD",IF(AND(E3201&lt;&gt;"",E3201&lt;&gt;"!!!"),"NEW","")))</f>
        <v/>
      </c>
      <c r="G3201" s="26" t="str">
        <f aca="false">IF(OR(E3201="",E3201="!!!"),"",IF(OR(J3201=0,AND(J3201=1,K3201=1),AND(J3201=1,I3201="SBJ"),AND(J3201=1,I3201=0)),"?IN_FOCUS",IF(J3201&lt;=2,"?ACTIVATED",IF(J3201&lt;&gt;"","?FAMILIAR",IF(F3201="NEW",IF(ISNA(VLOOKUP(E3201,#REF!,1,FALSE())),"?TYPE_IDENTIFIABLE","?REFERENTIAL"),"_")))))</f>
        <v/>
      </c>
      <c r="H3201" s="27" t="str">
        <f aca="false">IF(J3201&lt;&gt;1,"",IF(I3201="SBJ","CB","?"))</f>
        <v/>
      </c>
      <c r="I3201" s="24" t="str">
        <f aca="false">IF(OR(E3201="",E3201="!!!",F3201="NEW"),"",INDEX(B25:B$3177,-1+SUMPRODUCT(MAX(ROW(E25:E$3177)*(E3201=E25:E$3177)))))</f>
        <v/>
      </c>
      <c r="J3201" s="24" t="str">
        <f aca="true">IF(OR(E3201="",E3201="!!!",F3201="NEW"),"",COUNTBLANK(OFFSET(A$1,,,SUMPRODUCT(MAX(ROW(E$2:E3201)*(E3201=E$2:E3201)))))-COUNTBLANK(OFFSET(A$1,,,SUMPRODUCT(MAX(ROW(E$1:E3200)*(E2=E$1:E3200))))))</f>
        <v/>
      </c>
      <c r="K3201" s="24" t="str">
        <f aca="false">IF(OR(E3201="",E3201="!!!",F3201="NEW"),"",INDEX(J$1:J3200,SUMPRODUCT(MAX(ROW(E$1:E3200)*(E3201=E$1:E3200)))))</f>
        <v/>
      </c>
      <c r="L3201" s="31"/>
    </row>
    <row r="3202" customFormat="false" ht="15" hidden="false" customHeight="false" outlineLevel="0" collapsed="false">
      <c r="A3202" s="20" t="s">
        <v>1283</v>
      </c>
      <c r="E3202" s="23" t="str">
        <f aca="false">IF(D3202="?OLD","!!!","")</f>
        <v/>
      </c>
      <c r="F3202" s="25" t="str">
        <f aca="false">IF(OR(E3202="",E3202="!!!"),"",IF(NOT(ISNA(VLOOKUP(E3202,E$1:E3201,1,FALSE()))),"OLD",IF(AND(E3202&lt;&gt;"",E3202&lt;&gt;"!!!"),"NEW","")))</f>
        <v/>
      </c>
      <c r="G3202" s="26" t="str">
        <f aca="false">IF(OR(E3202="",E3202="!!!"),"",IF(OR(J3202=0,AND(J3202=1,K3202=1),AND(J3202=1,I3202="SBJ"),AND(J3202=1,I3202=0)),"?IN_FOCUS",IF(J3202&lt;=2,"?ACTIVATED",IF(J3202&lt;&gt;"","?FAMILIAR",IF(F3202="NEW",IF(ISNA(VLOOKUP(E3202,#REF!,1,FALSE())),"?TYPE_IDENTIFIABLE","?REFERENTIAL"),"_")))))</f>
        <v/>
      </c>
      <c r="H3202" s="27" t="str">
        <f aca="false">IF(J3202&lt;&gt;1,"",IF(I3202="SBJ","CB","?"))</f>
        <v/>
      </c>
      <c r="I3202" s="24" t="str">
        <f aca="false">IF(OR(E3202="",E3202="!!!",F3202="NEW"),"",INDEX(B26:B$3177,-1+SUMPRODUCT(MAX(ROW(E26:E$3177)*(E3202=E26:E$3177)))))</f>
        <v/>
      </c>
      <c r="J3202" s="24" t="str">
        <f aca="true">IF(OR(E3202="",E3202="!!!",F3202="NEW"),"",COUNTBLANK(OFFSET(A$1,,,SUMPRODUCT(MAX(ROW(E$2:E3202)*(E3202=E$2:E3202)))))-COUNTBLANK(OFFSET(A$1,,,SUMPRODUCT(MAX(ROW(E$1:E3201)*(E2=E$1:E3201))))))</f>
        <v/>
      </c>
      <c r="K3202" s="24" t="str">
        <f aca="false">IF(OR(E3202="",E3202="!!!",F3202="NEW"),"",INDEX(J$1:J3201,SUMPRODUCT(MAX(ROW(E$1:E3201)*(E3202=E$1:E3201)))))</f>
        <v/>
      </c>
      <c r="L3202" s="31"/>
    </row>
    <row r="3203" customFormat="false" ht="15" hidden="false" customHeight="false" outlineLevel="0" collapsed="false">
      <c r="A3203" s="20" t="s">
        <v>1109</v>
      </c>
      <c r="E3203" s="23" t="str">
        <f aca="false">IF(D3203="?OLD","!!!","")</f>
        <v/>
      </c>
      <c r="F3203" s="25" t="str">
        <f aca="false">IF(OR(E3203="",E3203="!!!"),"",IF(NOT(ISNA(VLOOKUP(E3203,E$1:E3202,1,FALSE()))),"OLD",IF(AND(E3203&lt;&gt;"",E3203&lt;&gt;"!!!"),"NEW","")))</f>
        <v/>
      </c>
      <c r="G3203" s="26" t="str">
        <f aca="false">IF(OR(E3203="",E3203="!!!"),"",IF(OR(J3203=0,AND(J3203=1,K3203=1),AND(J3203=1,I3203="SBJ"),AND(J3203=1,I3203=0)),"?IN_FOCUS",IF(J3203&lt;=2,"?ACTIVATED",IF(J3203&lt;&gt;"","?FAMILIAR",IF(F3203="NEW",IF(ISNA(VLOOKUP(E3203,#REF!,1,FALSE())),"?TYPE_IDENTIFIABLE","?REFERENTIAL"),"_")))))</f>
        <v/>
      </c>
      <c r="H3203" s="27" t="str">
        <f aca="false">IF(J3203&lt;&gt;1,"",IF(I3203="SBJ","CB","?"))</f>
        <v/>
      </c>
      <c r="I3203" s="24" t="str">
        <f aca="false">IF(OR(E3203="",E3203="!!!",F3203="NEW"),"",INDEX(B27:B$3177,-1+SUMPRODUCT(MAX(ROW(E27:E$3177)*(E3203=E27:E$3177)))))</f>
        <v/>
      </c>
      <c r="J3203" s="24" t="str">
        <f aca="true">IF(OR(E3203="",E3203="!!!",F3203="NEW"),"",COUNTBLANK(OFFSET(A$1,,,SUMPRODUCT(MAX(ROW(E$2:E3203)*(E3203=E$2:E3203)))))-COUNTBLANK(OFFSET(A$1,,,SUMPRODUCT(MAX(ROW(E$1:E3202)*(E2=E$1:E3202))))))</f>
        <v/>
      </c>
      <c r="K3203" s="24" t="str">
        <f aca="false">IF(OR(E3203="",E3203="!!!",F3203="NEW"),"",INDEX(J$1:J3202,SUMPRODUCT(MAX(ROW(E$1:E3202)*(E3203=E$1:E3202)))))</f>
        <v/>
      </c>
      <c r="L3203" s="31"/>
    </row>
    <row r="3204" customFormat="false" ht="15" hidden="false" customHeight="false" outlineLevel="0" collapsed="false">
      <c r="A3204" s="20" t="s">
        <v>1458</v>
      </c>
      <c r="B3204" s="22" t="s">
        <v>1107</v>
      </c>
      <c r="C3204" s="22" t="s">
        <v>1150</v>
      </c>
      <c r="D3204" s="22" t="s">
        <v>1060</v>
      </c>
      <c r="E3204" s="23" t="str">
        <f aca="false">IF(D3204="?OLD","!!!","")</f>
        <v>!!!</v>
      </c>
      <c r="F3204" s="25" t="str">
        <f aca="false">IF(OR(E3204="",E3204="!!!"),"",IF(NOT(ISNA(VLOOKUP(E3204,E$1:E3203,1,FALSE()))),"OLD",IF(AND(E3204&lt;&gt;"",E3204&lt;&gt;"!!!"),"NEW","")))</f>
        <v/>
      </c>
      <c r="G3204" s="26" t="str">
        <f aca="false">IF(OR(E3204="",E3204="!!!"),"",IF(OR(J3204=0,AND(J3204=1,K3204=1),AND(J3204=1,I3204="SBJ"),AND(J3204=1,I3204=0)),"?IN_FOCUS",IF(J3204&lt;=2,"?ACTIVATED",IF(J3204&lt;&gt;"","?FAMILIAR",IF(F3204="NEW",IF(ISNA(VLOOKUP(E3204,#REF!,1,FALSE())),"?TYPE_IDENTIFIABLE","?REFERENTIAL"),"_")))))</f>
        <v/>
      </c>
      <c r="H3204" s="27" t="str">
        <f aca="false">IF(J3204&lt;&gt;1,"",IF(I3204="SBJ","CB","?"))</f>
        <v/>
      </c>
      <c r="I3204" s="24" t="str">
        <f aca="false">IF(OR(E3204="",E3204="!!!",F3204="NEW"),"",INDEX(B28:B$3177,-1+SUMPRODUCT(MAX(ROW(E28:E$3177)*(E3204=E28:E$3177)))))</f>
        <v/>
      </c>
      <c r="J3204" s="24" t="str">
        <f aca="true">IF(OR(E3204="",E3204="!!!",F3204="NEW"),"",COUNTBLANK(OFFSET(A$1,,,SUMPRODUCT(MAX(ROW(E$2:E3204)*(E3204=E$2:E3204)))))-COUNTBLANK(OFFSET(A$1,,,SUMPRODUCT(MAX(ROW(E$1:E3203)*(E2=E$1:E3203))))))</f>
        <v/>
      </c>
      <c r="K3204" s="24" t="str">
        <f aca="false">IF(OR(E3204="",E3204="!!!",F3204="NEW"),"",INDEX(J$1:J3203,SUMPRODUCT(MAX(ROW(E$1:E3203)*(E3204=E$1:E3203)))))</f>
        <v/>
      </c>
      <c r="L3204" s="31"/>
    </row>
    <row r="3205" customFormat="false" ht="15" hidden="false" customHeight="false" outlineLevel="0" collapsed="false">
      <c r="A3205" s="20" t="s">
        <v>923</v>
      </c>
      <c r="E3205" s="23" t="str">
        <f aca="false">IF(D3205="?OLD","!!!","")</f>
        <v/>
      </c>
      <c r="F3205" s="25" t="str">
        <f aca="false">IF(OR(E3205="",E3205="!!!"),"",IF(NOT(ISNA(VLOOKUP(E3205,E$1:E3204,1,FALSE()))),"OLD",IF(AND(E3205&lt;&gt;"",E3205&lt;&gt;"!!!"),"NEW","")))</f>
        <v/>
      </c>
      <c r="G3205" s="26" t="str">
        <f aca="false">IF(OR(E3205="",E3205="!!!"),"",IF(OR(J3205=0,AND(J3205=1,K3205=1),AND(J3205=1,I3205="SBJ"),AND(J3205=1,I3205=0)),"?IN_FOCUS",IF(J3205&lt;=2,"?ACTIVATED",IF(J3205&lt;&gt;"","?FAMILIAR",IF(F3205="NEW",IF(ISNA(VLOOKUP(E3205,#REF!,1,FALSE())),"?TYPE_IDENTIFIABLE","?REFERENTIAL"),"_")))))</f>
        <v/>
      </c>
      <c r="H3205" s="27" t="str">
        <f aca="false">IF(J3205&lt;&gt;1,"",IF(I3205="SBJ","CB","?"))</f>
        <v/>
      </c>
      <c r="I3205" s="24" t="str">
        <f aca="false">IF(OR(E3205="",E3205="!!!",F3205="NEW"),"",INDEX(B29:B$3177,-1+SUMPRODUCT(MAX(ROW(E29:E$3177)*(E3205=E29:E$3177)))))</f>
        <v/>
      </c>
      <c r="J3205" s="24" t="str">
        <f aca="true">IF(OR(E3205="",E3205="!!!",F3205="NEW"),"",COUNTBLANK(OFFSET(A$1,,,SUMPRODUCT(MAX(ROW(E$2:E3205)*(E3205=E$2:E3205)))))-COUNTBLANK(OFFSET(A$1,,,SUMPRODUCT(MAX(ROW(E$1:E3204)*(E2=E$1:E3204))))))</f>
        <v/>
      </c>
      <c r="K3205" s="24" t="str">
        <f aca="false">IF(OR(E3205="",E3205="!!!",F3205="NEW"),"",INDEX(J$1:J3204,SUMPRODUCT(MAX(ROW(E$1:E3204)*(E3205=E$1:E3204)))))</f>
        <v/>
      </c>
      <c r="L3205" s="31"/>
    </row>
    <row r="3206" customFormat="false" ht="15" hidden="false" customHeight="false" outlineLevel="0" collapsed="false">
      <c r="A3206" s="20"/>
    </row>
    <row r="3207" customFormat="false" ht="15" hidden="false" customHeight="false" outlineLevel="0" collapsed="false">
      <c r="A3207" s="20" t="s">
        <v>1301</v>
      </c>
      <c r="E3207" s="23" t="str">
        <f aca="false">IF(D3207="?OLD","!!!","")</f>
        <v/>
      </c>
      <c r="F3207" s="25" t="str">
        <f aca="false">IF(OR(E3207="",E3207="!!!"),"",IF(NOT(ISNA(VLOOKUP(E3207,E$1:E3206,1,FALSE()))),"OLD",IF(AND(E3207&lt;&gt;"",E3207&lt;&gt;"!!!"),"NEW","")))</f>
        <v/>
      </c>
      <c r="G3207" s="26" t="str">
        <f aca="false">IF(OR(E3207="",E3207="!!!"),"",IF(OR(J3207=0,AND(J3207=1,K3207=1),AND(J3207=1,I3207="SBJ"),AND(J3207=1,I3207=0)),"?IN_FOCUS",IF(J3207&lt;=2,"?ACTIVATED",IF(J3207&lt;&gt;"","?FAMILIAR",IF(F3207="NEW",IF(ISNA(VLOOKUP(E3207,#REF!,1,FALSE())),"?TYPE_IDENTIFIABLE","?REFERENTIAL"),"_")))))</f>
        <v/>
      </c>
      <c r="H3207" s="27" t="str">
        <f aca="false">IF(J3207&lt;&gt;1,"",IF(I3207="SBJ","CB","?"))</f>
        <v/>
      </c>
      <c r="I3207" s="24" t="str">
        <f aca="false">IF(OR(E3207="",E3207="!!!",F3207="NEW"),"",INDEX(B2:B$3206,-1+SUMPRODUCT(MAX(ROW(E2:E$3206)*(E3207=E2:E$3206)))))</f>
        <v/>
      </c>
      <c r="J3207" s="24" t="str">
        <f aca="true">IF(OR(E3207="",E3207="!!!",F3207="NEW"),"",COUNTBLANK(OFFSET(A$1,,,SUMPRODUCT(MAX(ROW(E$2:E3207)*(E3207=E$2:E3207)))))-COUNTBLANK(OFFSET(A$1,,,SUMPRODUCT(MAX(ROW(E$1:E3206)*(E2=E$1:E3206))))))</f>
        <v/>
      </c>
      <c r="K3207" s="24" t="str">
        <f aca="false">IF(OR(E3207="",E3207="!!!",F3207="NEW"),"",INDEX(J$1:J3206,SUMPRODUCT(MAX(ROW(E$1:E3206)*(E3207=E$1:E3206)))))</f>
        <v/>
      </c>
      <c r="L3207" s="31"/>
    </row>
    <row r="3208" customFormat="false" ht="15" hidden="false" customHeight="false" outlineLevel="0" collapsed="false">
      <c r="A3208" s="20" t="s">
        <v>2113</v>
      </c>
    </row>
    <row r="3209" customFormat="false" ht="15" hidden="false" customHeight="false" outlineLevel="0" collapsed="false">
      <c r="A3209" s="20" t="s">
        <v>607</v>
      </c>
      <c r="E3209" s="23" t="str">
        <f aca="false">IF(D3209="?OLD","!!!","")</f>
        <v/>
      </c>
      <c r="F3209" s="25" t="str">
        <f aca="false">IF(OR(E3209="",E3209="!!!"),"",IF(NOT(ISNA(VLOOKUP(E3209,E$1:E3208,1,FALSE()))),"OLD",IF(AND(E3209&lt;&gt;"",E3209&lt;&gt;"!!!"),"NEW","")))</f>
        <v/>
      </c>
      <c r="G3209" s="26" t="str">
        <f aca="false">IF(OR(E3209="",E3209="!!!"),"",IF(OR(J3209=0,AND(J3209=1,K3209=1),AND(J3209=1,I3209="SBJ"),AND(J3209=1,I3209=0)),"?IN_FOCUS",IF(J3209&lt;=2,"?ACTIVATED",IF(J3209&lt;&gt;"","?FAMILIAR",IF(F3209="NEW",IF(ISNA(VLOOKUP(E3209,#REF!,1,FALSE())),"?TYPE_IDENTIFIABLE","?REFERENTIAL"),"_")))))</f>
        <v/>
      </c>
      <c r="H3209" s="27" t="str">
        <f aca="false">IF(J3209&lt;&gt;1,"",IF(I3209="SBJ","CB","?"))</f>
        <v/>
      </c>
      <c r="I3209" s="24" t="str">
        <f aca="false">IF(OR(E3209="",E3209="!!!",F3209="NEW"),"",INDEX(B2:B$3208,-1+SUMPRODUCT(MAX(ROW(E2:E$3208)*(E3209=E2:E$3208)))))</f>
        <v/>
      </c>
      <c r="J3209" s="24" t="str">
        <f aca="true">IF(OR(E3209="",E3209="!!!",F3209="NEW"),"",COUNTBLANK(OFFSET(A$1,,,SUMPRODUCT(MAX(ROW(E$2:E3209)*(E3209=E$2:E3209)))))-COUNTBLANK(OFFSET(A$1,,,SUMPRODUCT(MAX(ROW(E$1:E3208)*(E2=E$1:E3208))))))</f>
        <v/>
      </c>
      <c r="K3209" s="24" t="str">
        <f aca="false">IF(OR(E3209="",E3209="!!!",F3209="NEW"),"",INDEX(J$1:J3208,SUMPRODUCT(MAX(ROW(E$1:E3208)*(E3209=E$1:E3208)))))</f>
        <v/>
      </c>
      <c r="L3209" s="31"/>
    </row>
    <row r="3210" customFormat="false" ht="15" hidden="false" customHeight="false" outlineLevel="0" collapsed="false">
      <c r="A3210" s="20" t="s">
        <v>2114</v>
      </c>
      <c r="E3210" s="23" t="str">
        <f aca="false">IF(D3210="?OLD","!!!","")</f>
        <v/>
      </c>
      <c r="F3210" s="25" t="str">
        <f aca="false">IF(OR(E3210="",E3210="!!!"),"",IF(NOT(ISNA(VLOOKUP(E3210,E$1:E3209,1,FALSE()))),"OLD",IF(AND(E3210&lt;&gt;"",E3210&lt;&gt;"!!!"),"NEW","")))</f>
        <v/>
      </c>
      <c r="G3210" s="26" t="str">
        <f aca="false">IF(OR(E3210="",E3210="!!!"),"",IF(OR(J3210=0,AND(J3210=1,K3210=1),AND(J3210=1,I3210="SBJ"),AND(J3210=1,I3210=0)),"?IN_FOCUS",IF(J3210&lt;=2,"?ACTIVATED",IF(J3210&lt;&gt;"","?FAMILIAR",IF(F3210="NEW",IF(ISNA(VLOOKUP(E3210,#REF!,1,FALSE())),"?TYPE_IDENTIFIABLE","?REFERENTIAL"),"_")))))</f>
        <v/>
      </c>
      <c r="H3210" s="27" t="str">
        <f aca="false">IF(J3210&lt;&gt;1,"",IF(I3210="SBJ","CB","?"))</f>
        <v/>
      </c>
      <c r="I3210" s="24" t="str">
        <f aca="false">IF(OR(E3210="",E3210="!!!",F3210="NEW"),"",INDEX(B3:B$3208,-1+SUMPRODUCT(MAX(ROW(E3:E$3208)*(E3210=E3:E$3208)))))</f>
        <v/>
      </c>
      <c r="J3210" s="24" t="str">
        <f aca="true">IF(OR(E3210="",E3210="!!!",F3210="NEW"),"",COUNTBLANK(OFFSET(A$1,,,SUMPRODUCT(MAX(ROW(E$2:E3210)*(E3210=E$2:E3210)))))-COUNTBLANK(OFFSET(A$1,,,SUMPRODUCT(MAX(ROW(E$1:E3209)*(E2=E$1:E3209))))))</f>
        <v/>
      </c>
      <c r="K3210" s="24" t="str">
        <f aca="false">IF(OR(E3210="",E3210="!!!",F3210="NEW"),"",INDEX(J$1:J3209,SUMPRODUCT(MAX(ROW(E$1:E3209)*(E3210=E$1:E3209)))))</f>
        <v/>
      </c>
      <c r="L3210" s="31"/>
    </row>
    <row r="3211" customFormat="false" ht="15" hidden="false" customHeight="false" outlineLevel="0" collapsed="false">
      <c r="A3211" s="20" t="s">
        <v>2115</v>
      </c>
      <c r="B3211" s="22" t="s">
        <v>1058</v>
      </c>
      <c r="C3211" s="22" t="s">
        <v>1171</v>
      </c>
      <c r="D3211" s="22" t="s">
        <v>1060</v>
      </c>
      <c r="E3211" s="23" t="str">
        <f aca="false">IF(D3211="?OLD","!!!","")</f>
        <v>!!!</v>
      </c>
      <c r="F3211" s="25" t="str">
        <f aca="false">IF(OR(E3211="",E3211="!!!"),"",IF(NOT(ISNA(VLOOKUP(E3211,E$1:E3210,1,FALSE()))),"OLD",IF(AND(E3211&lt;&gt;"",E3211&lt;&gt;"!!!"),"NEW","")))</f>
        <v/>
      </c>
      <c r="G3211" s="26" t="str">
        <f aca="false">IF(OR(E3211="",E3211="!!!"),"",IF(OR(J3211=0,AND(J3211=1,K3211=1),AND(J3211=1,I3211="SBJ"),AND(J3211=1,I3211=0)),"?IN_FOCUS",IF(J3211&lt;=2,"?ACTIVATED",IF(J3211&lt;&gt;"","?FAMILIAR",IF(F3211="NEW",IF(ISNA(VLOOKUP(E3211,#REF!,1,FALSE())),"?TYPE_IDENTIFIABLE","?REFERENTIAL"),"_")))))</f>
        <v/>
      </c>
      <c r="H3211" s="27" t="str">
        <f aca="false">IF(J3211&lt;&gt;1,"",IF(I3211="SBJ","CB","?"))</f>
        <v/>
      </c>
      <c r="I3211" s="24" t="str">
        <f aca="false">IF(OR(E3211="",E3211="!!!",F3211="NEW"),"",INDEX(B4:B$3208,-1+SUMPRODUCT(MAX(ROW(E4:E$3208)*(E3211=E4:E$3208)))))</f>
        <v/>
      </c>
      <c r="J3211" s="24" t="str">
        <f aca="true">IF(OR(E3211="",E3211="!!!",F3211="NEW"),"",COUNTBLANK(OFFSET(A$1,,,SUMPRODUCT(MAX(ROW(E$2:E3211)*(E3211=E$2:E3211)))))-COUNTBLANK(OFFSET(A$1,,,SUMPRODUCT(MAX(ROW(E$1:E3210)*(E2=E$1:E3210))))))</f>
        <v/>
      </c>
      <c r="K3211" s="24" t="str">
        <f aca="false">IF(OR(E3211="",E3211="!!!",F3211="NEW"),"",INDEX(J$1:J3210,SUMPRODUCT(MAX(ROW(E$1:E3210)*(E3211=E$1:E3210)))))</f>
        <v/>
      </c>
      <c r="L3211" s="31"/>
    </row>
    <row r="3212" customFormat="false" ht="15" hidden="false" customHeight="false" outlineLevel="0" collapsed="false">
      <c r="A3212" s="20" t="s">
        <v>1375</v>
      </c>
      <c r="E3212" s="23" t="str">
        <f aca="false">IF(D3212="?OLD","!!!","")</f>
        <v/>
      </c>
      <c r="F3212" s="25" t="str">
        <f aca="false">IF(OR(E3212="",E3212="!!!"),"",IF(NOT(ISNA(VLOOKUP(E3212,E$1:E3211,1,FALSE()))),"OLD",IF(AND(E3212&lt;&gt;"",E3212&lt;&gt;"!!!"),"NEW","")))</f>
        <v/>
      </c>
      <c r="G3212" s="26" t="str">
        <f aca="false">IF(OR(E3212="",E3212="!!!"),"",IF(OR(J3212=0,AND(J3212=1,K3212=1),AND(J3212=1,I3212="SBJ"),AND(J3212=1,I3212=0)),"?IN_FOCUS",IF(J3212&lt;=2,"?ACTIVATED",IF(J3212&lt;&gt;"","?FAMILIAR",IF(F3212="NEW",IF(ISNA(VLOOKUP(E3212,#REF!,1,FALSE())),"?TYPE_IDENTIFIABLE","?REFERENTIAL"),"_")))))</f>
        <v/>
      </c>
      <c r="H3212" s="27" t="str">
        <f aca="false">IF(J3212&lt;&gt;1,"",IF(I3212="SBJ","CB","?"))</f>
        <v/>
      </c>
      <c r="I3212" s="24" t="str">
        <f aca="false">IF(OR(E3212="",E3212="!!!",F3212="NEW"),"",INDEX(B5:B$3208,-1+SUMPRODUCT(MAX(ROW(E5:E$3208)*(E3212=E5:E$3208)))))</f>
        <v/>
      </c>
      <c r="J3212" s="24" t="str">
        <f aca="true">IF(OR(E3212="",E3212="!!!",F3212="NEW"),"",COUNTBLANK(OFFSET(A$1,,,SUMPRODUCT(MAX(ROW(E$2:E3212)*(E3212=E$2:E3212)))))-COUNTBLANK(OFFSET(A$1,,,SUMPRODUCT(MAX(ROW(E$1:E3211)*(E2=E$1:E3211))))))</f>
        <v/>
      </c>
      <c r="K3212" s="24" t="str">
        <f aca="false">IF(OR(E3212="",E3212="!!!",F3212="NEW"),"",INDEX(J$1:J3211,SUMPRODUCT(MAX(ROW(E$1:E3211)*(E3212=E$1:E3211)))))</f>
        <v/>
      </c>
      <c r="L3212" s="31"/>
    </row>
    <row r="3213" customFormat="false" ht="15" hidden="false" customHeight="false" outlineLevel="0" collapsed="false">
      <c r="A3213" s="20" t="s">
        <v>576</v>
      </c>
      <c r="E3213" s="23" t="str">
        <f aca="false">IF(D3213="?OLD","!!!","")</f>
        <v/>
      </c>
      <c r="F3213" s="25" t="str">
        <f aca="false">IF(OR(E3213="",E3213="!!!"),"",IF(NOT(ISNA(VLOOKUP(E3213,E$1:E3212,1,FALSE()))),"OLD",IF(AND(E3213&lt;&gt;"",E3213&lt;&gt;"!!!"),"NEW","")))</f>
        <v/>
      </c>
      <c r="G3213" s="26" t="str">
        <f aca="false">IF(OR(E3213="",E3213="!!!"),"",IF(OR(J3213=0,AND(J3213=1,K3213=1),AND(J3213=1,I3213="SBJ"),AND(J3213=1,I3213=0)),"?IN_FOCUS",IF(J3213&lt;=2,"?ACTIVATED",IF(J3213&lt;&gt;"","?FAMILIAR",IF(F3213="NEW",IF(ISNA(VLOOKUP(E3213,#REF!,1,FALSE())),"?TYPE_IDENTIFIABLE","?REFERENTIAL"),"_")))))</f>
        <v/>
      </c>
      <c r="H3213" s="27" t="str">
        <f aca="false">IF(J3213&lt;&gt;1,"",IF(I3213="SBJ","CB","?"))</f>
        <v/>
      </c>
      <c r="I3213" s="24" t="str">
        <f aca="false">IF(OR(E3213="",E3213="!!!",F3213="NEW"),"",INDEX(B6:B$3208,-1+SUMPRODUCT(MAX(ROW(E6:E$3208)*(E3213=E6:E$3208)))))</f>
        <v/>
      </c>
      <c r="J3213" s="24" t="str">
        <f aca="true">IF(OR(E3213="",E3213="!!!",F3213="NEW"),"",COUNTBLANK(OFFSET(A$1,,,SUMPRODUCT(MAX(ROW(E$2:E3213)*(E3213=E$2:E3213)))))-COUNTBLANK(OFFSET(A$1,,,SUMPRODUCT(MAX(ROW(E$1:E3212)*(E2=E$1:E3212))))))</f>
        <v/>
      </c>
      <c r="K3213" s="24" t="str">
        <f aca="false">IF(OR(E3213="",E3213="!!!",F3213="NEW"),"",INDEX(J$1:J3212,SUMPRODUCT(MAX(ROW(E$1:E3212)*(E3213=E$1:E3212)))))</f>
        <v/>
      </c>
      <c r="L3213" s="31"/>
    </row>
    <row r="3214" customFormat="false" ht="15" hidden="false" customHeight="false" outlineLevel="0" collapsed="false">
      <c r="A3214" s="20" t="s">
        <v>1230</v>
      </c>
      <c r="E3214" s="23" t="str">
        <f aca="false">IF(D3214="?OLD","!!!","")</f>
        <v/>
      </c>
      <c r="F3214" s="25" t="str">
        <f aca="false">IF(OR(E3214="",E3214="!!!"),"",IF(NOT(ISNA(VLOOKUP(E3214,E$1:E3213,1,FALSE()))),"OLD",IF(AND(E3214&lt;&gt;"",E3214&lt;&gt;"!!!"),"NEW","")))</f>
        <v/>
      </c>
      <c r="G3214" s="26" t="str">
        <f aca="false">IF(OR(E3214="",E3214="!!!"),"",IF(OR(J3214=0,AND(J3214=1,K3214=1),AND(J3214=1,I3214="SBJ"),AND(J3214=1,I3214=0)),"?IN_FOCUS",IF(J3214&lt;=2,"?ACTIVATED",IF(J3214&lt;&gt;"","?FAMILIAR",IF(F3214="NEW",IF(ISNA(VLOOKUP(E3214,#REF!,1,FALSE())),"?TYPE_IDENTIFIABLE","?REFERENTIAL"),"_")))))</f>
        <v/>
      </c>
      <c r="H3214" s="27" t="str">
        <f aca="false">IF(J3214&lt;&gt;1,"",IF(I3214="SBJ","CB","?"))</f>
        <v/>
      </c>
      <c r="I3214" s="24" t="str">
        <f aca="false">IF(OR(E3214="",E3214="!!!",F3214="NEW"),"",INDEX(B7:B$3208,-1+SUMPRODUCT(MAX(ROW(E7:E$3208)*(E3214=E7:E$3208)))))</f>
        <v/>
      </c>
      <c r="J3214" s="24" t="str">
        <f aca="true">IF(OR(E3214="",E3214="!!!",F3214="NEW"),"",COUNTBLANK(OFFSET(A$1,,,SUMPRODUCT(MAX(ROW(E$2:E3214)*(E3214=E$2:E3214)))))-COUNTBLANK(OFFSET(A$1,,,SUMPRODUCT(MAX(ROW(E$1:E3213)*(E2=E$1:E3213))))))</f>
        <v/>
      </c>
      <c r="K3214" s="24" t="str">
        <f aca="false">IF(OR(E3214="",E3214="!!!",F3214="NEW"),"",INDEX(J$1:J3213,SUMPRODUCT(MAX(ROW(E$1:E3213)*(E3214=E$1:E3213)))))</f>
        <v/>
      </c>
      <c r="L3214" s="31"/>
    </row>
    <row r="3215" customFormat="false" ht="15" hidden="false" customHeight="false" outlineLevel="0" collapsed="false">
      <c r="A3215" s="20" t="s">
        <v>1137</v>
      </c>
      <c r="B3215" s="22" t="s">
        <v>1081</v>
      </c>
      <c r="C3215" s="22" t="s">
        <v>1082</v>
      </c>
      <c r="D3215" s="22" t="s">
        <v>1060</v>
      </c>
      <c r="E3215" s="23" t="str">
        <f aca="false">IF(D3215="?OLD","!!!","")</f>
        <v>!!!</v>
      </c>
      <c r="F3215" s="25" t="str">
        <f aca="false">IF(OR(E3215="",E3215="!!!"),"",IF(NOT(ISNA(VLOOKUP(E3215,E$1:E3214,1,FALSE()))),"OLD",IF(AND(E3215&lt;&gt;"",E3215&lt;&gt;"!!!"),"NEW","")))</f>
        <v/>
      </c>
      <c r="G3215" s="26" t="str">
        <f aca="false">IF(OR(E3215="",E3215="!!!"),"",IF(OR(J3215=0,AND(J3215=1,K3215=1),AND(J3215=1,I3215="SBJ"),AND(J3215=1,I3215=0)),"?IN_FOCUS",IF(J3215&lt;=2,"?ACTIVATED",IF(J3215&lt;&gt;"","?FAMILIAR",IF(F3215="NEW",IF(ISNA(VLOOKUP(E3215,#REF!,1,FALSE())),"?TYPE_IDENTIFIABLE","?REFERENTIAL"),"_")))))</f>
        <v/>
      </c>
      <c r="H3215" s="27" t="str">
        <f aca="false">IF(J3215&lt;&gt;1,"",IF(I3215="SBJ","CB","?"))</f>
        <v/>
      </c>
      <c r="I3215" s="24" t="str">
        <f aca="false">IF(OR(E3215="",E3215="!!!",F3215="NEW"),"",INDEX(B8:B$3208,-1+SUMPRODUCT(MAX(ROW(E8:E$3208)*(E3215=E8:E$3208)))))</f>
        <v/>
      </c>
      <c r="J3215" s="24" t="str">
        <f aca="true">IF(OR(E3215="",E3215="!!!",F3215="NEW"),"",COUNTBLANK(OFFSET(A$1,,,SUMPRODUCT(MAX(ROW(E$2:E3215)*(E3215=E$2:E3215)))))-COUNTBLANK(OFFSET(A$1,,,SUMPRODUCT(MAX(ROW(E$1:E3214)*(E2=E$1:E3214))))))</f>
        <v/>
      </c>
      <c r="K3215" s="24" t="str">
        <f aca="false">IF(OR(E3215="",E3215="!!!",F3215="NEW"),"",INDEX(J$1:J3214,SUMPRODUCT(MAX(ROW(E$1:E3214)*(E3215=E$1:E3214)))))</f>
        <v/>
      </c>
      <c r="L3215" s="31"/>
    </row>
    <row r="3216" customFormat="false" ht="15" hidden="false" customHeight="false" outlineLevel="0" collapsed="false">
      <c r="A3216" s="20" t="s">
        <v>1089</v>
      </c>
      <c r="E3216" s="23" t="str">
        <f aca="false">IF(D3216="?OLD","!!!","")</f>
        <v/>
      </c>
      <c r="F3216" s="25" t="str">
        <f aca="false">IF(OR(E3216="",E3216="!!!"),"",IF(NOT(ISNA(VLOOKUP(E3216,E$1:E3215,1,FALSE()))),"OLD",IF(AND(E3216&lt;&gt;"",E3216&lt;&gt;"!!!"),"NEW","")))</f>
        <v/>
      </c>
      <c r="G3216" s="26" t="str">
        <f aca="false">IF(OR(E3216="",E3216="!!!"),"",IF(OR(J3216=0,AND(J3216=1,K3216=1),AND(J3216=1,I3216="SBJ"),AND(J3216=1,I3216=0)),"?IN_FOCUS",IF(J3216&lt;=2,"?ACTIVATED",IF(J3216&lt;&gt;"","?FAMILIAR",IF(F3216="NEW",IF(ISNA(VLOOKUP(E3216,#REF!,1,FALSE())),"?TYPE_IDENTIFIABLE","?REFERENTIAL"),"_")))))</f>
        <v/>
      </c>
      <c r="H3216" s="27" t="str">
        <f aca="false">IF(J3216&lt;&gt;1,"",IF(I3216="SBJ","CB","?"))</f>
        <v/>
      </c>
      <c r="I3216" s="24" t="str">
        <f aca="false">IF(OR(E3216="",E3216="!!!",F3216="NEW"),"",INDEX(B9:B$3208,-1+SUMPRODUCT(MAX(ROW(E9:E$3208)*(E3216=E9:E$3208)))))</f>
        <v/>
      </c>
      <c r="J3216" s="24" t="str">
        <f aca="true">IF(OR(E3216="",E3216="!!!",F3216="NEW"),"",COUNTBLANK(OFFSET(A$1,,,SUMPRODUCT(MAX(ROW(E$2:E3216)*(E3216=E$2:E3216)))))-COUNTBLANK(OFFSET(A$1,,,SUMPRODUCT(MAX(ROW(E$1:E3215)*(E2=E$1:E3215))))))</f>
        <v/>
      </c>
      <c r="K3216" s="24" t="str">
        <f aca="false">IF(OR(E3216="",E3216="!!!",F3216="NEW"),"",INDEX(J$1:J3215,SUMPRODUCT(MAX(ROW(E$1:E3215)*(E3216=E$1:E3215)))))</f>
        <v/>
      </c>
      <c r="L3216" s="31"/>
    </row>
    <row r="3217" customFormat="false" ht="15" hidden="false" customHeight="false" outlineLevel="0" collapsed="false">
      <c r="A3217" s="20" t="s">
        <v>1109</v>
      </c>
      <c r="E3217" s="23" t="str">
        <f aca="false">IF(D3217="?OLD","!!!","")</f>
        <v/>
      </c>
      <c r="F3217" s="25" t="str">
        <f aca="false">IF(OR(E3217="",E3217="!!!"),"",IF(NOT(ISNA(VLOOKUP(E3217,E$1:E3216,1,FALSE()))),"OLD",IF(AND(E3217&lt;&gt;"",E3217&lt;&gt;"!!!"),"NEW","")))</f>
        <v/>
      </c>
      <c r="G3217" s="26" t="str">
        <f aca="false">IF(OR(E3217="",E3217="!!!"),"",IF(OR(J3217=0,AND(J3217=1,K3217=1),AND(J3217=1,I3217="SBJ"),AND(J3217=1,I3217=0)),"?IN_FOCUS",IF(J3217&lt;=2,"?ACTIVATED",IF(J3217&lt;&gt;"","?FAMILIAR",IF(F3217="NEW",IF(ISNA(VLOOKUP(E3217,#REF!,1,FALSE())),"?TYPE_IDENTIFIABLE","?REFERENTIAL"),"_")))))</f>
        <v/>
      </c>
      <c r="H3217" s="27" t="str">
        <f aca="false">IF(J3217&lt;&gt;1,"",IF(I3217="SBJ","CB","?"))</f>
        <v/>
      </c>
      <c r="I3217" s="24" t="str">
        <f aca="false">IF(OR(E3217="",E3217="!!!",F3217="NEW"),"",INDEX(B10:B$3208,-1+SUMPRODUCT(MAX(ROW(E10:E$3208)*(E3217=E10:E$3208)))))</f>
        <v/>
      </c>
      <c r="J3217" s="24" t="str">
        <f aca="true">IF(OR(E3217="",E3217="!!!",F3217="NEW"),"",COUNTBLANK(OFFSET(A$1,,,SUMPRODUCT(MAX(ROW(E$2:E3217)*(E3217=E$2:E3217)))))-COUNTBLANK(OFFSET(A$1,,,SUMPRODUCT(MAX(ROW(E$1:E3216)*(E2=E$1:E3216))))))</f>
        <v/>
      </c>
      <c r="K3217" s="24" t="str">
        <f aca="false">IF(OR(E3217="",E3217="!!!",F3217="NEW"),"",INDEX(J$1:J3216,SUMPRODUCT(MAX(ROW(E$1:E3216)*(E3217=E$1:E3216)))))</f>
        <v/>
      </c>
      <c r="L3217" s="31"/>
    </row>
    <row r="3218" customFormat="false" ht="15" hidden="false" customHeight="false" outlineLevel="0" collapsed="false">
      <c r="A3218" s="20" t="s">
        <v>98</v>
      </c>
      <c r="B3218" s="22" t="s">
        <v>1086</v>
      </c>
      <c r="C3218" s="22" t="s">
        <v>1150</v>
      </c>
      <c r="D3218" s="22" t="s">
        <v>1060</v>
      </c>
      <c r="E3218" s="23" t="str">
        <f aca="false">IF(D3218="?OLD","!!!","")</f>
        <v>!!!</v>
      </c>
      <c r="F3218" s="25" t="str">
        <f aca="false">IF(OR(E3218="",E3218="!!!"),"",IF(NOT(ISNA(VLOOKUP(E3218,E$1:E3217,1,FALSE()))),"OLD",IF(AND(E3218&lt;&gt;"",E3218&lt;&gt;"!!!"),"NEW","")))</f>
        <v/>
      </c>
      <c r="G3218" s="26" t="str">
        <f aca="false">IF(OR(E3218="",E3218="!!!"),"",IF(OR(J3218=0,AND(J3218=1,K3218=1),AND(J3218=1,I3218="SBJ"),AND(J3218=1,I3218=0)),"?IN_FOCUS",IF(J3218&lt;=2,"?ACTIVATED",IF(J3218&lt;&gt;"","?FAMILIAR",IF(F3218="NEW",IF(ISNA(VLOOKUP(E3218,#REF!,1,FALSE())),"?TYPE_IDENTIFIABLE","?REFERENTIAL"),"_")))))</f>
        <v/>
      </c>
      <c r="H3218" s="27" t="str">
        <f aca="false">IF(J3218&lt;&gt;1,"",IF(I3218="SBJ","CB","?"))</f>
        <v/>
      </c>
      <c r="I3218" s="24" t="str">
        <f aca="false">IF(OR(E3218="",E3218="!!!",F3218="NEW"),"",INDEX(B11:B$3208,-1+SUMPRODUCT(MAX(ROW(E11:E$3208)*(E3218=E11:E$3208)))))</f>
        <v/>
      </c>
      <c r="J3218" s="24" t="str">
        <f aca="true">IF(OR(E3218="",E3218="!!!",F3218="NEW"),"",COUNTBLANK(OFFSET(A$1,,,SUMPRODUCT(MAX(ROW(E$2:E3218)*(E3218=E$2:E3218)))))-COUNTBLANK(OFFSET(A$1,,,SUMPRODUCT(MAX(ROW(E$1:E3217)*(E2=E$1:E3217))))))</f>
        <v/>
      </c>
      <c r="K3218" s="24" t="str">
        <f aca="false">IF(OR(E3218="",E3218="!!!",F3218="NEW"),"",INDEX(J$1:J3217,SUMPRODUCT(MAX(ROW(E$1:E3217)*(E3218=E$1:E3217)))))</f>
        <v/>
      </c>
      <c r="L3218" s="31"/>
    </row>
    <row r="3219" customFormat="false" ht="15" hidden="false" customHeight="false" outlineLevel="0" collapsed="false">
      <c r="A3219" s="20" t="s">
        <v>1092</v>
      </c>
      <c r="E3219" s="23" t="str">
        <f aca="false">IF(D3219="?OLD","!!!","")</f>
        <v/>
      </c>
      <c r="F3219" s="25" t="str">
        <f aca="false">IF(OR(E3219="",E3219="!!!"),"",IF(NOT(ISNA(VLOOKUP(E3219,E$1:E3218,1,FALSE()))),"OLD",IF(AND(E3219&lt;&gt;"",E3219&lt;&gt;"!!!"),"NEW","")))</f>
        <v/>
      </c>
      <c r="G3219" s="26" t="str">
        <f aca="false">IF(OR(E3219="",E3219="!!!"),"",IF(OR(J3219=0,AND(J3219=1,K3219=1),AND(J3219=1,I3219="SBJ"),AND(J3219=1,I3219=0)),"?IN_FOCUS",IF(J3219&lt;=2,"?ACTIVATED",IF(J3219&lt;&gt;"","?FAMILIAR",IF(F3219="NEW",IF(ISNA(VLOOKUP(E3219,#REF!,1,FALSE())),"?TYPE_IDENTIFIABLE","?REFERENTIAL"),"_")))))</f>
        <v/>
      </c>
      <c r="H3219" s="27" t="str">
        <f aca="false">IF(J3219&lt;&gt;1,"",IF(I3219="SBJ","CB","?"))</f>
        <v/>
      </c>
      <c r="I3219" s="24" t="str">
        <f aca="false">IF(OR(E3219="",E3219="!!!",F3219="NEW"),"",INDEX(B12:B$3208,-1+SUMPRODUCT(MAX(ROW(E12:E$3208)*(E3219=E12:E$3208)))))</f>
        <v/>
      </c>
      <c r="J3219" s="24" t="str">
        <f aca="true">IF(OR(E3219="",E3219="!!!",F3219="NEW"),"",COUNTBLANK(OFFSET(A$1,,,SUMPRODUCT(MAX(ROW(E$2:E3219)*(E3219=E$2:E3219)))))-COUNTBLANK(OFFSET(A$1,,,SUMPRODUCT(MAX(ROW(E$1:E3218)*(E2=E$1:E3218))))))</f>
        <v/>
      </c>
      <c r="K3219" s="24" t="str">
        <f aca="false">IF(OR(E3219="",E3219="!!!",F3219="NEW"),"",INDEX(J$1:J3218,SUMPRODUCT(MAX(ROW(E$1:E3218)*(E3219=E$1:E3218)))))</f>
        <v/>
      </c>
      <c r="L3219" s="31"/>
    </row>
    <row r="3220" customFormat="false" ht="15" hidden="false" customHeight="false" outlineLevel="0" collapsed="false">
      <c r="A3220" s="20" t="s">
        <v>1280</v>
      </c>
      <c r="E3220" s="23" t="str">
        <f aca="false">IF(D3220="?OLD","!!!","")</f>
        <v/>
      </c>
      <c r="F3220" s="25" t="str">
        <f aca="false">IF(OR(E3220="",E3220="!!!"),"",IF(NOT(ISNA(VLOOKUP(E3220,E$1:E3219,1,FALSE()))),"OLD",IF(AND(E3220&lt;&gt;"",E3220&lt;&gt;"!!!"),"NEW","")))</f>
        <v/>
      </c>
      <c r="G3220" s="26" t="str">
        <f aca="false">IF(OR(E3220="",E3220="!!!"),"",IF(OR(J3220=0,AND(J3220=1,K3220=1),AND(J3220=1,I3220="SBJ"),AND(J3220=1,I3220=0)),"?IN_FOCUS",IF(J3220&lt;=2,"?ACTIVATED",IF(J3220&lt;&gt;"","?FAMILIAR",IF(F3220="NEW",IF(ISNA(VLOOKUP(E3220,#REF!,1,FALSE())),"?TYPE_IDENTIFIABLE","?REFERENTIAL"),"_")))))</f>
        <v/>
      </c>
      <c r="H3220" s="27" t="str">
        <f aca="false">IF(J3220&lt;&gt;1,"",IF(I3220="SBJ","CB","?"))</f>
        <v/>
      </c>
      <c r="I3220" s="24" t="str">
        <f aca="false">IF(OR(E3220="",E3220="!!!",F3220="NEW"),"",INDEX(B13:B$3208,-1+SUMPRODUCT(MAX(ROW(E13:E$3208)*(E3220=E13:E$3208)))))</f>
        <v/>
      </c>
      <c r="J3220" s="24" t="str">
        <f aca="true">IF(OR(E3220="",E3220="!!!",F3220="NEW"),"",COUNTBLANK(OFFSET(A$1,,,SUMPRODUCT(MAX(ROW(E$2:E3220)*(E3220=E$2:E3220)))))-COUNTBLANK(OFFSET(A$1,,,SUMPRODUCT(MAX(ROW(E$1:E3219)*(E2=E$1:E3219))))))</f>
        <v/>
      </c>
      <c r="K3220" s="24" t="str">
        <f aca="false">IF(OR(E3220="",E3220="!!!",F3220="NEW"),"",INDEX(J$1:J3219,SUMPRODUCT(MAX(ROW(E$1:E3219)*(E3220=E$1:E3219)))))</f>
        <v/>
      </c>
      <c r="L3220" s="31"/>
    </row>
    <row r="3221" customFormat="false" ht="15" hidden="false" customHeight="false" outlineLevel="0" collapsed="false">
      <c r="A3221" s="20" t="s">
        <v>923</v>
      </c>
      <c r="E3221" s="23" t="str">
        <f aca="false">IF(D3221="?OLD","!!!","")</f>
        <v/>
      </c>
      <c r="F3221" s="25" t="str">
        <f aca="false">IF(OR(E3221="",E3221="!!!"),"",IF(NOT(ISNA(VLOOKUP(E3221,E$1:E3220,1,FALSE()))),"OLD",IF(AND(E3221&lt;&gt;"",E3221&lt;&gt;"!!!"),"NEW","")))</f>
        <v/>
      </c>
      <c r="G3221" s="26" t="str">
        <f aca="false">IF(OR(E3221="",E3221="!!!"),"",IF(OR(J3221=0,AND(J3221=1,K3221=1),AND(J3221=1,I3221="SBJ"),AND(J3221=1,I3221=0)),"?IN_FOCUS",IF(J3221&lt;=2,"?ACTIVATED",IF(J3221&lt;&gt;"","?FAMILIAR",IF(F3221="NEW",IF(ISNA(VLOOKUP(E3221,#REF!,1,FALSE())),"?TYPE_IDENTIFIABLE","?REFERENTIAL"),"_")))))</f>
        <v/>
      </c>
      <c r="H3221" s="27" t="str">
        <f aca="false">IF(J3221&lt;&gt;1,"",IF(I3221="SBJ","CB","?"))</f>
        <v/>
      </c>
      <c r="I3221" s="24" t="str">
        <f aca="false">IF(OR(E3221="",E3221="!!!",F3221="NEW"),"",INDEX(B14:B$3208,-1+SUMPRODUCT(MAX(ROW(E14:E$3208)*(E3221=E14:E$3208)))))</f>
        <v/>
      </c>
      <c r="J3221" s="24" t="str">
        <f aca="true">IF(OR(E3221="",E3221="!!!",F3221="NEW"),"",COUNTBLANK(OFFSET(A$1,,,SUMPRODUCT(MAX(ROW(E$2:E3221)*(E3221=E$2:E3221)))))-COUNTBLANK(OFFSET(A$1,,,SUMPRODUCT(MAX(ROW(E$1:E3220)*(E2=E$1:E3220))))))</f>
        <v/>
      </c>
      <c r="K3221" s="24" t="str">
        <f aca="false">IF(OR(E3221="",E3221="!!!",F3221="NEW"),"",INDEX(J$1:J3220,SUMPRODUCT(MAX(ROW(E$1:E3220)*(E3221=E$1:E3220)))))</f>
        <v/>
      </c>
      <c r="L3221" s="31"/>
    </row>
    <row r="3222" customFormat="false" ht="15" hidden="false" customHeight="false" outlineLevel="0" collapsed="false">
      <c r="A3222" s="20" t="s">
        <v>607</v>
      </c>
      <c r="E3222" s="23" t="str">
        <f aca="false">IF(D3222="?OLD","!!!","")</f>
        <v/>
      </c>
      <c r="F3222" s="25" t="str">
        <f aca="false">IF(OR(E3222="",E3222="!!!"),"",IF(NOT(ISNA(VLOOKUP(E3222,E$1:E3221,1,FALSE()))),"OLD",IF(AND(E3222&lt;&gt;"",E3222&lt;&gt;"!!!"),"NEW","")))</f>
        <v/>
      </c>
      <c r="G3222" s="26" t="str">
        <f aca="false">IF(OR(E3222="",E3222="!!!"),"",IF(OR(J3222=0,AND(J3222=1,K3222=1),AND(J3222=1,I3222="SBJ"),AND(J3222=1,I3222=0)),"?IN_FOCUS",IF(J3222&lt;=2,"?ACTIVATED",IF(J3222&lt;&gt;"","?FAMILIAR",IF(F3222="NEW",IF(ISNA(VLOOKUP(E3222,#REF!,1,FALSE())),"?TYPE_IDENTIFIABLE","?REFERENTIAL"),"_")))))</f>
        <v/>
      </c>
      <c r="H3222" s="27" t="str">
        <f aca="false">IF(J3222&lt;&gt;1,"",IF(I3222="SBJ","CB","?"))</f>
        <v/>
      </c>
      <c r="I3222" s="24" t="str">
        <f aca="false">IF(OR(E3222="",E3222="!!!",F3222="NEW"),"",INDEX(B15:B$3208,-1+SUMPRODUCT(MAX(ROW(E15:E$3208)*(E3222=E15:E$3208)))))</f>
        <v/>
      </c>
      <c r="J3222" s="24" t="str">
        <f aca="true">IF(OR(E3222="",E3222="!!!",F3222="NEW"),"",COUNTBLANK(OFFSET(A$1,,,SUMPRODUCT(MAX(ROW(E$2:E3222)*(E3222=E$2:E3222)))))-COUNTBLANK(OFFSET(A$1,,,SUMPRODUCT(MAX(ROW(E$1:E3221)*(E2=E$1:E3221))))))</f>
        <v/>
      </c>
      <c r="K3222" s="24" t="str">
        <f aca="false">IF(OR(E3222="",E3222="!!!",F3222="NEW"),"",INDEX(J$1:J3221,SUMPRODUCT(MAX(ROW(E$1:E3221)*(E3222=E$1:E3221)))))</f>
        <v/>
      </c>
      <c r="L3222" s="31"/>
    </row>
    <row r="3223" customFormat="false" ht="15" hidden="false" customHeight="false" outlineLevel="0" collapsed="false">
      <c r="A3223" s="20"/>
    </row>
    <row r="3224" customFormat="false" ht="15" hidden="false" customHeight="false" outlineLevel="0" collapsed="false">
      <c r="A3224" s="20" t="s">
        <v>1301</v>
      </c>
      <c r="E3224" s="23" t="str">
        <f aca="false">IF(D3224="?OLD","!!!","")</f>
        <v/>
      </c>
      <c r="F3224" s="25" t="str">
        <f aca="false">IF(OR(E3224="",E3224="!!!"),"",IF(NOT(ISNA(VLOOKUP(E3224,E$1:E3223,1,FALSE()))),"OLD",IF(AND(E3224&lt;&gt;"",E3224&lt;&gt;"!!!"),"NEW","")))</f>
        <v/>
      </c>
      <c r="G3224" s="26" t="str">
        <f aca="false">IF(OR(E3224="",E3224="!!!"),"",IF(OR(J3224=0,AND(J3224=1,K3224=1),AND(J3224=1,I3224="SBJ"),AND(J3224=1,I3224=0)),"?IN_FOCUS",IF(J3224&lt;=2,"?ACTIVATED",IF(J3224&lt;&gt;"","?FAMILIAR",IF(F3224="NEW",IF(ISNA(VLOOKUP(E3224,#REF!,1,FALSE())),"?TYPE_IDENTIFIABLE","?REFERENTIAL"),"_")))))</f>
        <v/>
      </c>
      <c r="H3224" s="27" t="str">
        <f aca="false">IF(J3224&lt;&gt;1,"",IF(I3224="SBJ","CB","?"))</f>
        <v/>
      </c>
      <c r="I3224" s="24" t="str">
        <f aca="false">IF(OR(E3224="",E3224="!!!",F3224="NEW"),"",INDEX(B2:B$3223,-1+SUMPRODUCT(MAX(ROW(E2:E$3223)*(E3224=E2:E$3223)))))</f>
        <v/>
      </c>
      <c r="J3224" s="24" t="str">
        <f aca="true">IF(OR(E3224="",E3224="!!!",F3224="NEW"),"",COUNTBLANK(OFFSET(A$1,,,SUMPRODUCT(MAX(ROW(E$2:E3224)*(E3224=E$2:E3224)))))-COUNTBLANK(OFFSET(A$1,,,SUMPRODUCT(MAX(ROW(E$1:E3223)*(E2=E$1:E3223))))))</f>
        <v/>
      </c>
      <c r="K3224" s="24" t="str">
        <f aca="false">IF(OR(E3224="",E3224="!!!",F3224="NEW"),"",INDEX(J$1:J3223,SUMPRODUCT(MAX(ROW(E$1:E3223)*(E3224=E$1:E3223)))))</f>
        <v/>
      </c>
      <c r="L3224" s="31"/>
    </row>
    <row r="3225" customFormat="false" ht="15" hidden="false" customHeight="false" outlineLevel="0" collapsed="false">
      <c r="A3225" s="20" t="s">
        <v>2116</v>
      </c>
    </row>
    <row r="3226" customFormat="false" ht="15" hidden="false" customHeight="false" outlineLevel="0" collapsed="false">
      <c r="A3226" s="20" t="s">
        <v>607</v>
      </c>
      <c r="E3226" s="23" t="str">
        <f aca="false">IF(D3226="?OLD","!!!","")</f>
        <v/>
      </c>
      <c r="F3226" s="25" t="str">
        <f aca="false">IF(OR(E3226="",E3226="!!!"),"",IF(NOT(ISNA(VLOOKUP(E3226,E$1:E3225,1,FALSE()))),"OLD",IF(AND(E3226&lt;&gt;"",E3226&lt;&gt;"!!!"),"NEW","")))</f>
        <v/>
      </c>
      <c r="G3226" s="26" t="str">
        <f aca="false">IF(OR(E3226="",E3226="!!!"),"",IF(OR(J3226=0,AND(J3226=1,K3226=1),AND(J3226=1,I3226="SBJ"),AND(J3226=1,I3226=0)),"?IN_FOCUS",IF(J3226&lt;=2,"?ACTIVATED",IF(J3226&lt;&gt;"","?FAMILIAR",IF(F3226="NEW",IF(ISNA(VLOOKUP(E3226,#REF!,1,FALSE())),"?TYPE_IDENTIFIABLE","?REFERENTIAL"),"_")))))</f>
        <v/>
      </c>
      <c r="H3226" s="27" t="str">
        <f aca="false">IF(J3226&lt;&gt;1,"",IF(I3226="SBJ","CB","?"))</f>
        <v/>
      </c>
      <c r="I3226" s="24" t="str">
        <f aca="false">IF(OR(E3226="",E3226="!!!",F3226="NEW"),"",INDEX(B2:B$3225,-1+SUMPRODUCT(MAX(ROW(E2:E$3225)*(E3226=E2:E$3225)))))</f>
        <v/>
      </c>
      <c r="J3226" s="24" t="str">
        <f aca="true">IF(OR(E3226="",E3226="!!!",F3226="NEW"),"",COUNTBLANK(OFFSET(A$1,,,SUMPRODUCT(MAX(ROW(E$2:E3226)*(E3226=E$2:E3226)))))-COUNTBLANK(OFFSET(A$1,,,SUMPRODUCT(MAX(ROW(E$1:E3225)*(E2=E$1:E3225))))))</f>
        <v/>
      </c>
      <c r="K3226" s="24" t="str">
        <f aca="false">IF(OR(E3226="",E3226="!!!",F3226="NEW"),"",INDEX(J$1:J3225,SUMPRODUCT(MAX(ROW(E$1:E3225)*(E3226=E$1:E3225)))))</f>
        <v/>
      </c>
      <c r="L3226" s="31"/>
    </row>
    <row r="3227" customFormat="false" ht="15" hidden="false" customHeight="false" outlineLevel="0" collapsed="false">
      <c r="A3227" s="20" t="s">
        <v>1277</v>
      </c>
      <c r="B3227" s="22" t="s">
        <v>1058</v>
      </c>
      <c r="C3227" s="22" t="s">
        <v>1082</v>
      </c>
      <c r="D3227" s="22" t="s">
        <v>1060</v>
      </c>
      <c r="E3227" s="23" t="str">
        <f aca="false">IF(D3227="?OLD","!!!","")</f>
        <v>!!!</v>
      </c>
      <c r="F3227" s="25" t="str">
        <f aca="false">IF(OR(E3227="",E3227="!!!"),"",IF(NOT(ISNA(VLOOKUP(E3227,E$1:E3226,1,FALSE()))),"OLD",IF(AND(E3227&lt;&gt;"",E3227&lt;&gt;"!!!"),"NEW","")))</f>
        <v/>
      </c>
      <c r="G3227" s="26" t="str">
        <f aca="false">IF(OR(E3227="",E3227="!!!"),"",IF(OR(J3227=0,AND(J3227=1,K3227=1),AND(J3227=1,I3227="SBJ"),AND(J3227=1,I3227=0)),"?IN_FOCUS",IF(J3227&lt;=2,"?ACTIVATED",IF(J3227&lt;&gt;"","?FAMILIAR",IF(F3227="NEW",IF(ISNA(VLOOKUP(E3227,#REF!,1,FALSE())),"?TYPE_IDENTIFIABLE","?REFERENTIAL"),"_")))))</f>
        <v/>
      </c>
      <c r="H3227" s="27" t="str">
        <f aca="false">IF(J3227&lt;&gt;1,"",IF(I3227="SBJ","CB","?"))</f>
        <v/>
      </c>
      <c r="I3227" s="24" t="str">
        <f aca="false">IF(OR(E3227="",E3227="!!!",F3227="NEW"),"",INDEX(B3:B$3225,-1+SUMPRODUCT(MAX(ROW(E3:E$3225)*(E3227=E3:E$3225)))))</f>
        <v/>
      </c>
      <c r="J3227" s="24" t="str">
        <f aca="true">IF(OR(E3227="",E3227="!!!",F3227="NEW"),"",COUNTBLANK(OFFSET(A$1,,,SUMPRODUCT(MAX(ROW(E$2:E3227)*(E3227=E$2:E3227)))))-COUNTBLANK(OFFSET(A$1,,,SUMPRODUCT(MAX(ROW(E$1:E3226)*(E2=E$1:E3226))))))</f>
        <v/>
      </c>
      <c r="K3227" s="24" t="str">
        <f aca="false">IF(OR(E3227="",E3227="!!!",F3227="NEW"),"",INDEX(J$1:J3226,SUMPRODUCT(MAX(ROW(E$1:E3226)*(E3227=E$1:E3226)))))</f>
        <v/>
      </c>
      <c r="L3227" s="31"/>
    </row>
    <row r="3228" customFormat="false" ht="15" hidden="false" customHeight="false" outlineLevel="0" collapsed="false">
      <c r="A3228" s="20" t="s">
        <v>1135</v>
      </c>
      <c r="E3228" s="23" t="str">
        <f aca="false">IF(D3228="?OLD","!!!","")</f>
        <v/>
      </c>
      <c r="F3228" s="25" t="str">
        <f aca="false">IF(OR(E3228="",E3228="!!!"),"",IF(NOT(ISNA(VLOOKUP(E3228,E$1:E3227,1,FALSE()))),"OLD",IF(AND(E3228&lt;&gt;"",E3228&lt;&gt;"!!!"),"NEW","")))</f>
        <v/>
      </c>
      <c r="G3228" s="26" t="str">
        <f aca="false">IF(OR(E3228="",E3228="!!!"),"",IF(OR(J3228=0,AND(J3228=1,K3228=1),AND(J3228=1,I3228="SBJ"),AND(J3228=1,I3228=0)),"?IN_FOCUS",IF(J3228&lt;=2,"?ACTIVATED",IF(J3228&lt;&gt;"","?FAMILIAR",IF(F3228="NEW",IF(ISNA(VLOOKUP(E3228,#REF!,1,FALSE())),"?TYPE_IDENTIFIABLE","?REFERENTIAL"),"_")))))</f>
        <v/>
      </c>
      <c r="H3228" s="27" t="str">
        <f aca="false">IF(J3228&lt;&gt;1,"",IF(I3228="SBJ","CB","?"))</f>
        <v/>
      </c>
      <c r="I3228" s="24" t="str">
        <f aca="false">IF(OR(E3228="",E3228="!!!",F3228="NEW"),"",INDEX(B4:B$3225,-1+SUMPRODUCT(MAX(ROW(E4:E$3225)*(E3228=E4:E$3225)))))</f>
        <v/>
      </c>
      <c r="J3228" s="24" t="str">
        <f aca="true">IF(OR(E3228="",E3228="!!!",F3228="NEW"),"",COUNTBLANK(OFFSET(A$1,,,SUMPRODUCT(MAX(ROW(E$2:E3228)*(E3228=E$2:E3228)))))-COUNTBLANK(OFFSET(A$1,,,SUMPRODUCT(MAX(ROW(E$1:E3227)*(E2=E$1:E3227))))))</f>
        <v/>
      </c>
      <c r="K3228" s="24" t="str">
        <f aca="false">IF(OR(E3228="",E3228="!!!",F3228="NEW"),"",INDEX(J$1:J3227,SUMPRODUCT(MAX(ROW(E$1:E3227)*(E3228=E$1:E3227)))))</f>
        <v/>
      </c>
      <c r="L3228" s="31"/>
    </row>
    <row r="3229" customFormat="false" ht="15" hidden="false" customHeight="false" outlineLevel="0" collapsed="false">
      <c r="A3229" s="20" t="s">
        <v>2117</v>
      </c>
      <c r="E3229" s="23" t="str">
        <f aca="false">IF(D3229="?OLD","!!!","")</f>
        <v/>
      </c>
      <c r="F3229" s="25" t="str">
        <f aca="false">IF(OR(E3229="",E3229="!!!"),"",IF(NOT(ISNA(VLOOKUP(E3229,E$1:E3228,1,FALSE()))),"OLD",IF(AND(E3229&lt;&gt;"",E3229&lt;&gt;"!!!"),"NEW","")))</f>
        <v/>
      </c>
      <c r="G3229" s="26" t="str">
        <f aca="false">IF(OR(E3229="",E3229="!!!"),"",IF(OR(J3229=0,AND(J3229=1,K3229=1),AND(J3229=1,I3229="SBJ"),AND(J3229=1,I3229=0)),"?IN_FOCUS",IF(J3229&lt;=2,"?ACTIVATED",IF(J3229&lt;&gt;"","?FAMILIAR",IF(F3229="NEW",IF(ISNA(VLOOKUP(E3229,#REF!,1,FALSE())),"?TYPE_IDENTIFIABLE","?REFERENTIAL"),"_")))))</f>
        <v/>
      </c>
      <c r="H3229" s="27" t="str">
        <f aca="false">IF(J3229&lt;&gt;1,"",IF(I3229="SBJ","CB","?"))</f>
        <v/>
      </c>
      <c r="I3229" s="24" t="str">
        <f aca="false">IF(OR(E3229="",E3229="!!!",F3229="NEW"),"",INDEX(B5:B$3225,-1+SUMPRODUCT(MAX(ROW(E5:E$3225)*(E3229=E5:E$3225)))))</f>
        <v/>
      </c>
      <c r="J3229" s="24" t="str">
        <f aca="true">IF(OR(E3229="",E3229="!!!",F3229="NEW"),"",COUNTBLANK(OFFSET(A$1,,,SUMPRODUCT(MAX(ROW(E$2:E3229)*(E3229=E$2:E3229)))))-COUNTBLANK(OFFSET(A$1,,,SUMPRODUCT(MAX(ROW(E$1:E3228)*(E2=E$1:E3228))))))</f>
        <v/>
      </c>
      <c r="K3229" s="24" t="str">
        <f aca="false">IF(OR(E3229="",E3229="!!!",F3229="NEW"),"",INDEX(J$1:J3228,SUMPRODUCT(MAX(ROW(E$1:E3228)*(E3229=E$1:E3228)))))</f>
        <v/>
      </c>
      <c r="L3229" s="31"/>
    </row>
    <row r="3230" customFormat="false" ht="15" hidden="false" customHeight="false" outlineLevel="0" collapsed="false">
      <c r="A3230" s="20" t="s">
        <v>2118</v>
      </c>
      <c r="E3230" s="23" t="str">
        <f aca="false">IF(D3230="?OLD","!!!","")</f>
        <v/>
      </c>
      <c r="F3230" s="25" t="str">
        <f aca="false">IF(OR(E3230="",E3230="!!!"),"",IF(NOT(ISNA(VLOOKUP(E3230,E$1:E3229,1,FALSE()))),"OLD",IF(AND(E3230&lt;&gt;"",E3230&lt;&gt;"!!!"),"NEW","")))</f>
        <v/>
      </c>
      <c r="G3230" s="26" t="str">
        <f aca="false">IF(OR(E3230="",E3230="!!!"),"",IF(OR(J3230=0,AND(J3230=1,K3230=1),AND(J3230=1,I3230="SBJ"),AND(J3230=1,I3230=0)),"?IN_FOCUS",IF(J3230&lt;=2,"?ACTIVATED",IF(J3230&lt;&gt;"","?FAMILIAR",IF(F3230="NEW",IF(ISNA(VLOOKUP(E3230,#REF!,1,FALSE())),"?TYPE_IDENTIFIABLE","?REFERENTIAL"),"_")))))</f>
        <v/>
      </c>
      <c r="H3230" s="27" t="str">
        <f aca="false">IF(J3230&lt;&gt;1,"",IF(I3230="SBJ","CB","?"))</f>
        <v/>
      </c>
      <c r="I3230" s="24" t="str">
        <f aca="false">IF(OR(E3230="",E3230="!!!",F3230="NEW"),"",INDEX(B6:B$3225,-1+SUMPRODUCT(MAX(ROW(E6:E$3225)*(E3230=E6:E$3225)))))</f>
        <v/>
      </c>
      <c r="J3230" s="24" t="str">
        <f aca="true">IF(OR(E3230="",E3230="!!!",F3230="NEW"),"",COUNTBLANK(OFFSET(A$1,,,SUMPRODUCT(MAX(ROW(E$2:E3230)*(E3230=E$2:E3230)))))-COUNTBLANK(OFFSET(A$1,,,SUMPRODUCT(MAX(ROW(E$1:E3229)*(E2=E$1:E3229))))))</f>
        <v/>
      </c>
      <c r="K3230" s="24" t="str">
        <f aca="false">IF(OR(E3230="",E3230="!!!",F3230="NEW"),"",INDEX(J$1:J3229,SUMPRODUCT(MAX(ROW(E$1:E3229)*(E3230=E$1:E3229)))))</f>
        <v/>
      </c>
      <c r="L3230" s="31"/>
    </row>
    <row r="3231" customFormat="false" ht="15" hidden="false" customHeight="false" outlineLevel="0" collapsed="false">
      <c r="A3231" s="20" t="s">
        <v>1288</v>
      </c>
      <c r="B3231" s="22" t="s">
        <v>1105</v>
      </c>
      <c r="C3231" s="22" t="s">
        <v>1389</v>
      </c>
      <c r="E3231" s="23" t="str">
        <f aca="false">IF(D3231="?OLD","!!!","")</f>
        <v/>
      </c>
      <c r="F3231" s="25" t="str">
        <f aca="false">IF(OR(E3231="",E3231="!!!"),"",IF(NOT(ISNA(VLOOKUP(E3231,E$1:E3230,1,FALSE()))),"OLD",IF(AND(E3231&lt;&gt;"",E3231&lt;&gt;"!!!"),"NEW","")))</f>
        <v/>
      </c>
      <c r="G3231" s="26" t="str">
        <f aca="false">IF(OR(E3231="",E3231="!!!"),"",IF(OR(J3231=0,AND(J3231=1,K3231=1),AND(J3231=1,I3231="SBJ"),AND(J3231=1,I3231=0)),"?IN_FOCUS",IF(J3231&lt;=2,"?ACTIVATED",IF(J3231&lt;&gt;"","?FAMILIAR",IF(F3231="NEW",IF(ISNA(VLOOKUP(E3231,#REF!,1,FALSE())),"?TYPE_IDENTIFIABLE","?REFERENTIAL"),"_")))))</f>
        <v/>
      </c>
      <c r="H3231" s="27" t="str">
        <f aca="false">IF(J3231&lt;&gt;1,"",IF(I3231="SBJ","CB","?"))</f>
        <v/>
      </c>
      <c r="I3231" s="24" t="str">
        <f aca="false">IF(OR(E3231="",E3231="!!!",F3231="NEW"),"",INDEX(B7:B$3225,-1+SUMPRODUCT(MAX(ROW(E7:E$3225)*(E3231=E7:E$3225)))))</f>
        <v/>
      </c>
      <c r="J3231" s="24" t="str">
        <f aca="true">IF(OR(E3231="",E3231="!!!",F3231="NEW"),"",COUNTBLANK(OFFSET(A$1,,,SUMPRODUCT(MAX(ROW(E$2:E3231)*(E3231=E$2:E3231)))))-COUNTBLANK(OFFSET(A$1,,,SUMPRODUCT(MAX(ROW(E$1:E3230)*(E2=E$1:E3230))))))</f>
        <v/>
      </c>
      <c r="K3231" s="24" t="str">
        <f aca="false">IF(OR(E3231="",E3231="!!!",F3231="NEW"),"",INDEX(J$1:J3230,SUMPRODUCT(MAX(ROW(E$1:E3230)*(E3231=E$1:E3230)))))</f>
        <v/>
      </c>
      <c r="L3231" s="31"/>
    </row>
    <row r="3232" customFormat="false" ht="15" hidden="false" customHeight="false" outlineLevel="0" collapsed="false">
      <c r="A3232" s="20" t="s">
        <v>1076</v>
      </c>
      <c r="E3232" s="23" t="str">
        <f aca="false">IF(D3232="?OLD","!!!","")</f>
        <v/>
      </c>
      <c r="F3232" s="25" t="str">
        <f aca="false">IF(OR(E3232="",E3232="!!!"),"",IF(NOT(ISNA(VLOOKUP(E3232,E$1:E3231,1,FALSE()))),"OLD",IF(AND(E3232&lt;&gt;"",E3232&lt;&gt;"!!!"),"NEW","")))</f>
        <v/>
      </c>
      <c r="G3232" s="26" t="str">
        <f aca="false">IF(OR(E3232="",E3232="!!!"),"",IF(OR(J3232=0,AND(J3232=1,K3232=1),AND(J3232=1,I3232="SBJ"),AND(J3232=1,I3232=0)),"?IN_FOCUS",IF(J3232&lt;=2,"?ACTIVATED",IF(J3232&lt;&gt;"","?FAMILIAR",IF(F3232="NEW",IF(ISNA(VLOOKUP(E3232,#REF!,1,FALSE())),"?TYPE_IDENTIFIABLE","?REFERENTIAL"),"_")))))</f>
        <v/>
      </c>
      <c r="H3232" s="27" t="str">
        <f aca="false">IF(J3232&lt;&gt;1,"",IF(I3232="SBJ","CB","?"))</f>
        <v/>
      </c>
      <c r="I3232" s="24" t="str">
        <f aca="false">IF(OR(E3232="",E3232="!!!",F3232="NEW"),"",INDEX(B8:B$3225,-1+SUMPRODUCT(MAX(ROW(E8:E$3225)*(E3232=E8:E$3225)))))</f>
        <v/>
      </c>
      <c r="J3232" s="24" t="str">
        <f aca="true">IF(OR(E3232="",E3232="!!!",F3232="NEW"),"",COUNTBLANK(OFFSET(A$1,,,SUMPRODUCT(MAX(ROW(E$2:E3232)*(E3232=E$2:E3232)))))-COUNTBLANK(OFFSET(A$1,,,SUMPRODUCT(MAX(ROW(E$1:E3231)*(E2=E$1:E3231))))))</f>
        <v/>
      </c>
      <c r="K3232" s="24" t="str">
        <f aca="false">IF(OR(E3232="",E3232="!!!",F3232="NEW"),"",INDEX(J$1:J3231,SUMPRODUCT(MAX(ROW(E$1:E3231)*(E3232=E$1:E3231)))))</f>
        <v/>
      </c>
      <c r="L3232" s="31"/>
    </row>
    <row r="3233" customFormat="false" ht="15" hidden="false" customHeight="false" outlineLevel="0" collapsed="false">
      <c r="A3233" s="20" t="s">
        <v>1128</v>
      </c>
      <c r="E3233" s="23" t="str">
        <f aca="false">IF(D3233="?OLD","!!!","")</f>
        <v/>
      </c>
      <c r="F3233" s="25" t="str">
        <f aca="false">IF(OR(E3233="",E3233="!!!"),"",IF(NOT(ISNA(VLOOKUP(E3233,E$1:E3232,1,FALSE()))),"OLD",IF(AND(E3233&lt;&gt;"",E3233&lt;&gt;"!!!"),"NEW","")))</f>
        <v/>
      </c>
      <c r="G3233" s="26" t="str">
        <f aca="false">IF(OR(E3233="",E3233="!!!"),"",IF(OR(J3233=0,AND(J3233=1,K3233=1),AND(J3233=1,I3233="SBJ"),AND(J3233=1,I3233=0)),"?IN_FOCUS",IF(J3233&lt;=2,"?ACTIVATED",IF(J3233&lt;&gt;"","?FAMILIAR",IF(F3233="NEW",IF(ISNA(VLOOKUP(E3233,#REF!,1,FALSE())),"?TYPE_IDENTIFIABLE","?REFERENTIAL"),"_")))))</f>
        <v/>
      </c>
      <c r="H3233" s="27" t="str">
        <f aca="false">IF(J3233&lt;&gt;1,"",IF(I3233="SBJ","CB","?"))</f>
        <v/>
      </c>
      <c r="I3233" s="24" t="str">
        <f aca="false">IF(OR(E3233="",E3233="!!!",F3233="NEW"),"",INDEX(B9:B$3225,-1+SUMPRODUCT(MAX(ROW(E9:E$3225)*(E3233=E9:E$3225)))))</f>
        <v/>
      </c>
      <c r="J3233" s="24" t="str">
        <f aca="true">IF(OR(E3233="",E3233="!!!",F3233="NEW"),"",COUNTBLANK(OFFSET(A$1,,,SUMPRODUCT(MAX(ROW(E$2:E3233)*(E3233=E$2:E3233)))))-COUNTBLANK(OFFSET(A$1,,,SUMPRODUCT(MAX(ROW(E$1:E3232)*(E2=E$1:E3232))))))</f>
        <v/>
      </c>
      <c r="K3233" s="24" t="str">
        <f aca="false">IF(OR(E3233="",E3233="!!!",F3233="NEW"),"",INDEX(J$1:J3232,SUMPRODUCT(MAX(ROW(E$1:E3232)*(E3233=E$1:E3232)))))</f>
        <v/>
      </c>
      <c r="L3233" s="31"/>
    </row>
    <row r="3234" customFormat="false" ht="15" hidden="false" customHeight="false" outlineLevel="0" collapsed="false">
      <c r="A3234" s="20" t="s">
        <v>1339</v>
      </c>
      <c r="E3234" s="23" t="str">
        <f aca="false">IF(D3234="?OLD","!!!","")</f>
        <v/>
      </c>
      <c r="F3234" s="25" t="str">
        <f aca="false">IF(OR(E3234="",E3234="!!!"),"",IF(NOT(ISNA(VLOOKUP(E3234,E$1:E3233,1,FALSE()))),"OLD",IF(AND(E3234&lt;&gt;"",E3234&lt;&gt;"!!!"),"NEW","")))</f>
        <v/>
      </c>
      <c r="G3234" s="26" t="str">
        <f aca="false">IF(OR(E3234="",E3234="!!!"),"",IF(OR(J3234=0,AND(J3234=1,K3234=1),AND(J3234=1,I3234="SBJ"),AND(J3234=1,I3234=0)),"?IN_FOCUS",IF(J3234&lt;=2,"?ACTIVATED",IF(J3234&lt;&gt;"","?FAMILIAR",IF(F3234="NEW",IF(ISNA(VLOOKUP(E3234,#REF!,1,FALSE())),"?TYPE_IDENTIFIABLE","?REFERENTIAL"),"_")))))</f>
        <v/>
      </c>
      <c r="H3234" s="27" t="str">
        <f aca="false">IF(J3234&lt;&gt;1,"",IF(I3234="SBJ","CB","?"))</f>
        <v/>
      </c>
      <c r="I3234" s="24" t="str">
        <f aca="false">IF(OR(E3234="",E3234="!!!",F3234="NEW"),"",INDEX(B10:B$3225,-1+SUMPRODUCT(MAX(ROW(E10:E$3225)*(E3234=E10:E$3225)))))</f>
        <v/>
      </c>
      <c r="J3234" s="24" t="str">
        <f aca="true">IF(OR(E3234="",E3234="!!!",F3234="NEW"),"",COUNTBLANK(OFFSET(A$1,,,SUMPRODUCT(MAX(ROW(E$2:E3234)*(E3234=E$2:E3234)))))-COUNTBLANK(OFFSET(A$1,,,SUMPRODUCT(MAX(ROW(E$1:E3233)*(E2=E$1:E3233))))))</f>
        <v/>
      </c>
      <c r="K3234" s="24" t="str">
        <f aca="false">IF(OR(E3234="",E3234="!!!",F3234="NEW"),"",INDEX(J$1:J3233,SUMPRODUCT(MAX(ROW(E$1:E3233)*(E3234=E$1:E3233)))))</f>
        <v/>
      </c>
      <c r="L3234" s="31"/>
    </row>
    <row r="3235" customFormat="false" ht="15" hidden="false" customHeight="false" outlineLevel="0" collapsed="false">
      <c r="A3235" s="20" t="s">
        <v>1358</v>
      </c>
      <c r="B3235" s="22" t="s">
        <v>1086</v>
      </c>
      <c r="C3235" s="22" t="s">
        <v>1171</v>
      </c>
      <c r="D3235" s="22" t="s">
        <v>1060</v>
      </c>
      <c r="E3235" s="23" t="str">
        <f aca="false">IF(D3235="?OLD","!!!","")</f>
        <v>!!!</v>
      </c>
      <c r="F3235" s="25" t="str">
        <f aca="false">IF(OR(E3235="",E3235="!!!"),"",IF(NOT(ISNA(VLOOKUP(E3235,E$1:E3234,1,FALSE()))),"OLD",IF(AND(E3235&lt;&gt;"",E3235&lt;&gt;"!!!"),"NEW","")))</f>
        <v/>
      </c>
      <c r="G3235" s="26" t="str">
        <f aca="false">IF(OR(E3235="",E3235="!!!"),"",IF(OR(J3235=0,AND(J3235=1,K3235=1),AND(J3235=1,I3235="SBJ"),AND(J3235=1,I3235=0)),"?IN_FOCUS",IF(J3235&lt;=2,"?ACTIVATED",IF(J3235&lt;&gt;"","?FAMILIAR",IF(F3235="NEW",IF(ISNA(VLOOKUP(E3235,#REF!,1,FALSE())),"?TYPE_IDENTIFIABLE","?REFERENTIAL"),"_")))))</f>
        <v/>
      </c>
      <c r="H3235" s="27" t="str">
        <f aca="false">IF(J3235&lt;&gt;1,"",IF(I3235="SBJ","CB","?"))</f>
        <v/>
      </c>
      <c r="I3235" s="24" t="str">
        <f aca="false">IF(OR(E3235="",E3235="!!!",F3235="NEW"),"",INDEX(B11:B$3225,-1+SUMPRODUCT(MAX(ROW(E11:E$3225)*(E3235=E11:E$3225)))))</f>
        <v/>
      </c>
      <c r="J3235" s="24" t="str">
        <f aca="true">IF(OR(E3235="",E3235="!!!",F3235="NEW"),"",COUNTBLANK(OFFSET(A$1,,,SUMPRODUCT(MAX(ROW(E$2:E3235)*(E3235=E$2:E3235)))))-COUNTBLANK(OFFSET(A$1,,,SUMPRODUCT(MAX(ROW(E$1:E3234)*(E2=E$1:E3234))))))</f>
        <v/>
      </c>
      <c r="K3235" s="24" t="str">
        <f aca="false">IF(OR(E3235="",E3235="!!!",F3235="NEW"),"",INDEX(J$1:J3234,SUMPRODUCT(MAX(ROW(E$1:E3234)*(E3235=E$1:E3234)))))</f>
        <v/>
      </c>
      <c r="L3235" s="31"/>
    </row>
    <row r="3236" customFormat="false" ht="15" hidden="false" customHeight="false" outlineLevel="0" collapsed="false">
      <c r="A3236" s="20" t="s">
        <v>1079</v>
      </c>
      <c r="E3236" s="23" t="str">
        <f aca="false">IF(D3236="?OLD","!!!","")</f>
        <v/>
      </c>
      <c r="F3236" s="25" t="str">
        <f aca="false">IF(OR(E3236="",E3236="!!!"),"",IF(NOT(ISNA(VLOOKUP(E3236,E$1:E3235,1,FALSE()))),"OLD",IF(AND(E3236&lt;&gt;"",E3236&lt;&gt;"!!!"),"NEW","")))</f>
        <v/>
      </c>
      <c r="G3236" s="26" t="str">
        <f aca="false">IF(OR(E3236="",E3236="!!!"),"",IF(OR(J3236=0,AND(J3236=1,K3236=1),AND(J3236=1,I3236="SBJ"),AND(J3236=1,I3236=0)),"?IN_FOCUS",IF(J3236&lt;=2,"?ACTIVATED",IF(J3236&lt;&gt;"","?FAMILIAR",IF(F3236="NEW",IF(ISNA(VLOOKUP(E3236,#REF!,1,FALSE())),"?TYPE_IDENTIFIABLE","?REFERENTIAL"),"_")))))</f>
        <v/>
      </c>
      <c r="H3236" s="27" t="str">
        <f aca="false">IF(J3236&lt;&gt;1,"",IF(I3236="SBJ","CB","?"))</f>
        <v/>
      </c>
      <c r="I3236" s="24" t="str">
        <f aca="false">IF(OR(E3236="",E3236="!!!",F3236="NEW"),"",INDEX(B12:B$3225,-1+SUMPRODUCT(MAX(ROW(E12:E$3225)*(E3236=E12:E$3225)))))</f>
        <v/>
      </c>
      <c r="J3236" s="24" t="str">
        <f aca="true">IF(OR(E3236="",E3236="!!!",F3236="NEW"),"",COUNTBLANK(OFFSET(A$1,,,SUMPRODUCT(MAX(ROW(E$2:E3236)*(E3236=E$2:E3236)))))-COUNTBLANK(OFFSET(A$1,,,SUMPRODUCT(MAX(ROW(E$1:E3235)*(E2=E$1:E3235))))))</f>
        <v/>
      </c>
      <c r="K3236" s="24" t="str">
        <f aca="false">IF(OR(E3236="",E3236="!!!",F3236="NEW"),"",INDEX(J$1:J3235,SUMPRODUCT(MAX(ROW(E$1:E3235)*(E3236=E$1:E3235)))))</f>
        <v/>
      </c>
      <c r="L3236" s="31"/>
    </row>
    <row r="3237" customFormat="false" ht="15" hidden="false" customHeight="false" outlineLevel="0" collapsed="false">
      <c r="A3237" s="20" t="s">
        <v>576</v>
      </c>
      <c r="E3237" s="23" t="str">
        <f aca="false">IF(D3237="?OLD","!!!","")</f>
        <v/>
      </c>
      <c r="F3237" s="25" t="str">
        <f aca="false">IF(OR(E3237="",E3237="!!!"),"",IF(NOT(ISNA(VLOOKUP(E3237,E$1:E3236,1,FALSE()))),"OLD",IF(AND(E3237&lt;&gt;"",E3237&lt;&gt;"!!!"),"NEW","")))</f>
        <v/>
      </c>
      <c r="G3237" s="26" t="str">
        <f aca="false">IF(OR(E3237="",E3237="!!!"),"",IF(OR(J3237=0,AND(J3237=1,K3237=1),AND(J3237=1,I3237="SBJ"),AND(J3237=1,I3237=0)),"?IN_FOCUS",IF(J3237&lt;=2,"?ACTIVATED",IF(J3237&lt;&gt;"","?FAMILIAR",IF(F3237="NEW",IF(ISNA(VLOOKUP(E3237,#REF!,1,FALSE())),"?TYPE_IDENTIFIABLE","?REFERENTIAL"),"_")))))</f>
        <v/>
      </c>
      <c r="H3237" s="27" t="str">
        <f aca="false">IF(J3237&lt;&gt;1,"",IF(I3237="SBJ","CB","?"))</f>
        <v/>
      </c>
      <c r="I3237" s="24" t="str">
        <f aca="false">IF(OR(E3237="",E3237="!!!",F3237="NEW"),"",INDEX(B13:B$3225,-1+SUMPRODUCT(MAX(ROW(E13:E$3225)*(E3237=E13:E$3225)))))</f>
        <v/>
      </c>
      <c r="J3237" s="24" t="str">
        <f aca="true">IF(OR(E3237="",E3237="!!!",F3237="NEW"),"",COUNTBLANK(OFFSET(A$1,,,SUMPRODUCT(MAX(ROW(E$2:E3237)*(E3237=E$2:E3237)))))-COUNTBLANK(OFFSET(A$1,,,SUMPRODUCT(MAX(ROW(E$1:E3236)*(E2=E$1:E3236))))))</f>
        <v/>
      </c>
      <c r="K3237" s="24" t="str">
        <f aca="false">IF(OR(E3237="",E3237="!!!",F3237="NEW"),"",INDEX(J$1:J3236,SUMPRODUCT(MAX(ROW(E$1:E3236)*(E3237=E$1:E3236)))))</f>
        <v/>
      </c>
      <c r="L3237" s="31"/>
    </row>
    <row r="3238" customFormat="false" ht="15" hidden="false" customHeight="false" outlineLevel="0" collapsed="false">
      <c r="A3238" s="20" t="s">
        <v>2119</v>
      </c>
      <c r="E3238" s="23" t="str">
        <f aca="false">IF(D3238="?OLD","!!!","")</f>
        <v/>
      </c>
      <c r="F3238" s="25" t="str">
        <f aca="false">IF(OR(E3238="",E3238="!!!"),"",IF(NOT(ISNA(VLOOKUP(E3238,E$1:E3237,1,FALSE()))),"OLD",IF(AND(E3238&lt;&gt;"",E3238&lt;&gt;"!!!"),"NEW","")))</f>
        <v/>
      </c>
      <c r="G3238" s="26" t="str">
        <f aca="false">IF(OR(E3238="",E3238="!!!"),"",IF(OR(J3238=0,AND(J3238=1,K3238=1),AND(J3238=1,I3238="SBJ"),AND(J3238=1,I3238=0)),"?IN_FOCUS",IF(J3238&lt;=2,"?ACTIVATED",IF(J3238&lt;&gt;"","?FAMILIAR",IF(F3238="NEW",IF(ISNA(VLOOKUP(E3238,#REF!,1,FALSE())),"?TYPE_IDENTIFIABLE","?REFERENTIAL"),"_")))))</f>
        <v/>
      </c>
      <c r="H3238" s="27" t="str">
        <f aca="false">IF(J3238&lt;&gt;1,"",IF(I3238="SBJ","CB","?"))</f>
        <v/>
      </c>
      <c r="I3238" s="24" t="str">
        <f aca="false">IF(OR(E3238="",E3238="!!!",F3238="NEW"),"",INDEX(B14:B$3225,-1+SUMPRODUCT(MAX(ROW(E14:E$3225)*(E3238=E14:E$3225)))))</f>
        <v/>
      </c>
      <c r="J3238" s="24" t="str">
        <f aca="true">IF(OR(E3238="",E3238="!!!",F3238="NEW"),"",COUNTBLANK(OFFSET(A$1,,,SUMPRODUCT(MAX(ROW(E$2:E3238)*(E3238=E$2:E3238)))))-COUNTBLANK(OFFSET(A$1,,,SUMPRODUCT(MAX(ROW(E$1:E3237)*(E2=E$1:E3237))))))</f>
        <v/>
      </c>
      <c r="K3238" s="24" t="str">
        <f aca="false">IF(OR(E3238="",E3238="!!!",F3238="NEW"),"",INDEX(J$1:J3237,SUMPRODUCT(MAX(ROW(E$1:E3237)*(E3238=E$1:E3237)))))</f>
        <v/>
      </c>
      <c r="L3238" s="31"/>
    </row>
    <row r="3239" customFormat="false" ht="15" hidden="false" customHeight="false" outlineLevel="0" collapsed="false">
      <c r="A3239" s="20" t="s">
        <v>1454</v>
      </c>
      <c r="B3239" s="22" t="s">
        <v>1142</v>
      </c>
      <c r="C3239" s="22" t="s">
        <v>1082</v>
      </c>
      <c r="D3239" s="22" t="s">
        <v>1060</v>
      </c>
      <c r="E3239" s="23" t="str">
        <f aca="false">IF(D3239="?OLD","!!!","")</f>
        <v>!!!</v>
      </c>
      <c r="F3239" s="25" t="str">
        <f aca="false">IF(OR(E3239="",E3239="!!!"),"",IF(NOT(ISNA(VLOOKUP(E3239,E$1:E3238,1,FALSE()))),"OLD",IF(AND(E3239&lt;&gt;"",E3239&lt;&gt;"!!!"),"NEW","")))</f>
        <v/>
      </c>
      <c r="G3239" s="26" t="str">
        <f aca="false">IF(OR(E3239="",E3239="!!!"),"",IF(OR(J3239=0,AND(J3239=1,K3239=1),AND(J3239=1,I3239="SBJ"),AND(J3239=1,I3239=0)),"?IN_FOCUS",IF(J3239&lt;=2,"?ACTIVATED",IF(J3239&lt;&gt;"","?FAMILIAR",IF(F3239="NEW",IF(ISNA(VLOOKUP(E3239,#REF!,1,FALSE())),"?TYPE_IDENTIFIABLE","?REFERENTIAL"),"_")))))</f>
        <v/>
      </c>
      <c r="H3239" s="27" t="str">
        <f aca="false">IF(J3239&lt;&gt;1,"",IF(I3239="SBJ","CB","?"))</f>
        <v/>
      </c>
      <c r="I3239" s="24" t="str">
        <f aca="false">IF(OR(E3239="",E3239="!!!",F3239="NEW"),"",INDEX(B15:B$3225,-1+SUMPRODUCT(MAX(ROW(E15:E$3225)*(E3239=E15:E$3225)))))</f>
        <v/>
      </c>
      <c r="J3239" s="24" t="str">
        <f aca="true">IF(OR(E3239="",E3239="!!!",F3239="NEW"),"",COUNTBLANK(OFFSET(A$1,,,SUMPRODUCT(MAX(ROW(E$2:E3239)*(E3239=E$2:E3239)))))-COUNTBLANK(OFFSET(A$1,,,SUMPRODUCT(MAX(ROW(E$1:E3238)*(E2=E$1:E3238))))))</f>
        <v/>
      </c>
      <c r="K3239" s="24" t="str">
        <f aca="false">IF(OR(E3239="",E3239="!!!",F3239="NEW"),"",INDEX(J$1:J3238,SUMPRODUCT(MAX(ROW(E$1:E3238)*(E3239=E$1:E3238)))))</f>
        <v/>
      </c>
      <c r="L3239" s="31"/>
    </row>
    <row r="3240" customFormat="false" ht="15" hidden="false" customHeight="false" outlineLevel="0" collapsed="false">
      <c r="A3240" s="20" t="s">
        <v>923</v>
      </c>
      <c r="E3240" s="23" t="str">
        <f aca="false">IF(D3240="?OLD","!!!","")</f>
        <v/>
      </c>
      <c r="F3240" s="25" t="str">
        <f aca="false">IF(OR(E3240="",E3240="!!!"),"",IF(NOT(ISNA(VLOOKUP(E3240,E$1:E3239,1,FALSE()))),"OLD",IF(AND(E3240&lt;&gt;"",E3240&lt;&gt;"!!!"),"NEW","")))</f>
        <v/>
      </c>
      <c r="G3240" s="26" t="str">
        <f aca="false">IF(OR(E3240="",E3240="!!!"),"",IF(OR(J3240=0,AND(J3240=1,K3240=1),AND(J3240=1,I3240="SBJ"),AND(J3240=1,I3240=0)),"?IN_FOCUS",IF(J3240&lt;=2,"?ACTIVATED",IF(J3240&lt;&gt;"","?FAMILIAR",IF(F3240="NEW",IF(ISNA(VLOOKUP(E3240,#REF!,1,FALSE())),"?TYPE_IDENTIFIABLE","?REFERENTIAL"),"_")))))</f>
        <v/>
      </c>
      <c r="H3240" s="27" t="str">
        <f aca="false">IF(J3240&lt;&gt;1,"",IF(I3240="SBJ","CB","?"))</f>
        <v/>
      </c>
      <c r="I3240" s="24" t="str">
        <f aca="false">IF(OR(E3240="",E3240="!!!",F3240="NEW"),"",INDEX(B16:B$3225,-1+SUMPRODUCT(MAX(ROW(E16:E$3225)*(E3240=E16:E$3225)))))</f>
        <v/>
      </c>
      <c r="J3240" s="24" t="str">
        <f aca="true">IF(OR(E3240="",E3240="!!!",F3240="NEW"),"",COUNTBLANK(OFFSET(A$1,,,SUMPRODUCT(MAX(ROW(E$2:E3240)*(E3240=E$2:E3240)))))-COUNTBLANK(OFFSET(A$1,,,SUMPRODUCT(MAX(ROW(E$1:E3239)*(E2=E$1:E3239))))))</f>
        <v/>
      </c>
      <c r="K3240" s="24" t="str">
        <f aca="false">IF(OR(E3240="",E3240="!!!",F3240="NEW"),"",INDEX(J$1:J3239,SUMPRODUCT(MAX(ROW(E$1:E3239)*(E3240=E$1:E3239)))))</f>
        <v/>
      </c>
      <c r="L3240" s="31"/>
    </row>
    <row r="3241" customFormat="false" ht="15" hidden="false" customHeight="false" outlineLevel="0" collapsed="false">
      <c r="A3241" s="20" t="s">
        <v>607</v>
      </c>
      <c r="E3241" s="23" t="str">
        <f aca="false">IF(D3241="?OLD","!!!","")</f>
        <v/>
      </c>
      <c r="F3241" s="25" t="str">
        <f aca="false">IF(OR(E3241="",E3241="!!!"),"",IF(NOT(ISNA(VLOOKUP(E3241,E$1:E3240,1,FALSE()))),"OLD",IF(AND(E3241&lt;&gt;"",E3241&lt;&gt;"!!!"),"NEW","")))</f>
        <v/>
      </c>
      <c r="G3241" s="26" t="str">
        <f aca="false">IF(OR(E3241="",E3241="!!!"),"",IF(OR(J3241=0,AND(J3241=1,K3241=1),AND(J3241=1,I3241="SBJ"),AND(J3241=1,I3241=0)),"?IN_FOCUS",IF(J3241&lt;=2,"?ACTIVATED",IF(J3241&lt;&gt;"","?FAMILIAR",IF(F3241="NEW",IF(ISNA(VLOOKUP(E3241,#REF!,1,FALSE())),"?TYPE_IDENTIFIABLE","?REFERENTIAL"),"_")))))</f>
        <v/>
      </c>
      <c r="H3241" s="27" t="str">
        <f aca="false">IF(J3241&lt;&gt;1,"",IF(I3241="SBJ","CB","?"))</f>
        <v/>
      </c>
      <c r="I3241" s="24" t="str">
        <f aca="false">IF(OR(E3241="",E3241="!!!",F3241="NEW"),"",INDEX(B17:B$3225,-1+SUMPRODUCT(MAX(ROW(E17:E$3225)*(E3241=E17:E$3225)))))</f>
        <v/>
      </c>
      <c r="J3241" s="24" t="str">
        <f aca="true">IF(OR(E3241="",E3241="!!!",F3241="NEW"),"",COUNTBLANK(OFFSET(A$1,,,SUMPRODUCT(MAX(ROW(E$2:E3241)*(E3241=E$2:E3241)))))-COUNTBLANK(OFFSET(A$1,,,SUMPRODUCT(MAX(ROW(E$1:E3240)*(E2=E$1:E3240))))))</f>
        <v/>
      </c>
      <c r="K3241" s="24" t="str">
        <f aca="false">IF(OR(E3241="",E3241="!!!",F3241="NEW"),"",INDEX(J$1:J3240,SUMPRODUCT(MAX(ROW(E$1:E3240)*(E3241=E$1:E3240)))))</f>
        <v/>
      </c>
      <c r="L3241" s="31"/>
    </row>
    <row r="3242" customFormat="false" ht="15" hidden="false" customHeight="false" outlineLevel="0" collapsed="false">
      <c r="A3242" s="20"/>
    </row>
    <row r="3243" customFormat="false" ht="15" hidden="false" customHeight="false" outlineLevel="0" collapsed="false">
      <c r="A3243" s="20" t="s">
        <v>1301</v>
      </c>
      <c r="E3243" s="23" t="str">
        <f aca="false">IF(D3243="?OLD","!!!","")</f>
        <v/>
      </c>
      <c r="F3243" s="25" t="str">
        <f aca="false">IF(OR(E3243="",E3243="!!!"),"",IF(NOT(ISNA(VLOOKUP(E3243,E$1:E3242,1,FALSE()))),"OLD",IF(AND(E3243&lt;&gt;"",E3243&lt;&gt;"!!!"),"NEW","")))</f>
        <v/>
      </c>
      <c r="G3243" s="26" t="str">
        <f aca="false">IF(OR(E3243="",E3243="!!!"),"",IF(OR(J3243=0,AND(J3243=1,K3243=1),AND(J3243=1,I3243="SBJ"),AND(J3243=1,I3243=0)),"?IN_FOCUS",IF(J3243&lt;=2,"?ACTIVATED",IF(J3243&lt;&gt;"","?FAMILIAR",IF(F3243="NEW",IF(ISNA(VLOOKUP(E3243,#REF!,1,FALSE())),"?TYPE_IDENTIFIABLE","?REFERENTIAL"),"_")))))</f>
        <v/>
      </c>
      <c r="H3243" s="27" t="str">
        <f aca="false">IF(J3243&lt;&gt;1,"",IF(I3243="SBJ","CB","?"))</f>
        <v/>
      </c>
      <c r="I3243" s="24" t="str">
        <f aca="false">IF(OR(E3243="",E3243="!!!",F3243="NEW"),"",INDEX(B2:B$3242,-1+SUMPRODUCT(MAX(ROW(E2:E$3242)*(E3243=E2:E$3242)))))</f>
        <v/>
      </c>
      <c r="J3243" s="24" t="str">
        <f aca="true">IF(OR(E3243="",E3243="!!!",F3243="NEW"),"",COUNTBLANK(OFFSET(A$1,,,SUMPRODUCT(MAX(ROW(E$2:E3243)*(E3243=E$2:E3243)))))-COUNTBLANK(OFFSET(A$1,,,SUMPRODUCT(MAX(ROW(E$1:E3242)*(E2=E$1:E3242))))))</f>
        <v/>
      </c>
      <c r="K3243" s="24" t="str">
        <f aca="false">IF(OR(E3243="",E3243="!!!",F3243="NEW"),"",INDEX(J$1:J3242,SUMPRODUCT(MAX(ROW(E$1:E3242)*(E3243=E$1:E3242)))))</f>
        <v/>
      </c>
      <c r="L3243" s="31"/>
    </row>
    <row r="3244" customFormat="false" ht="15" hidden="false" customHeight="false" outlineLevel="0" collapsed="false">
      <c r="A3244" s="20" t="s">
        <v>2120</v>
      </c>
    </row>
    <row r="3245" customFormat="false" ht="15" hidden="false" customHeight="false" outlineLevel="0" collapsed="false">
      <c r="A3245" s="20" t="s">
        <v>607</v>
      </c>
      <c r="E3245" s="23" t="str">
        <f aca="false">IF(D3245="?OLD","!!!","")</f>
        <v/>
      </c>
      <c r="F3245" s="25" t="str">
        <f aca="false">IF(OR(E3245="",E3245="!!!"),"",IF(NOT(ISNA(VLOOKUP(E3245,E$1:E3244,1,FALSE()))),"OLD",IF(AND(E3245&lt;&gt;"",E3245&lt;&gt;"!!!"),"NEW","")))</f>
        <v/>
      </c>
      <c r="G3245" s="26" t="str">
        <f aca="false">IF(OR(E3245="",E3245="!!!"),"",IF(OR(J3245=0,AND(J3245=1,K3245=1),AND(J3245=1,I3245="SBJ"),AND(J3245=1,I3245=0)),"?IN_FOCUS",IF(J3245&lt;=2,"?ACTIVATED",IF(J3245&lt;&gt;"","?FAMILIAR",IF(F3245="NEW",IF(ISNA(VLOOKUP(E3245,#REF!,1,FALSE())),"?TYPE_IDENTIFIABLE","?REFERENTIAL"),"_")))))</f>
        <v/>
      </c>
      <c r="H3245" s="27" t="str">
        <f aca="false">IF(J3245&lt;&gt;1,"",IF(I3245="SBJ","CB","?"))</f>
        <v/>
      </c>
      <c r="I3245" s="24" t="str">
        <f aca="false">IF(OR(E3245="",E3245="!!!",F3245="NEW"),"",INDEX(B2:B$3244,-1+SUMPRODUCT(MAX(ROW(E2:E$3244)*(E3245=E2:E$3244)))))</f>
        <v/>
      </c>
      <c r="J3245" s="24" t="str">
        <f aca="true">IF(OR(E3245="",E3245="!!!",F3245="NEW"),"",COUNTBLANK(OFFSET(A$1,,,SUMPRODUCT(MAX(ROW(E$2:E3245)*(E3245=E$2:E3245)))))-COUNTBLANK(OFFSET(A$1,,,SUMPRODUCT(MAX(ROW(E$1:E3244)*(E2=E$1:E3244))))))</f>
        <v/>
      </c>
      <c r="K3245" s="24" t="str">
        <f aca="false">IF(OR(E3245="",E3245="!!!",F3245="NEW"),"",INDEX(J$1:J3244,SUMPRODUCT(MAX(ROW(E$1:E3244)*(E3245=E$1:E3244)))))</f>
        <v/>
      </c>
      <c r="L3245" s="31"/>
    </row>
    <row r="3246" customFormat="false" ht="15" hidden="false" customHeight="false" outlineLevel="0" collapsed="false">
      <c r="A3246" s="20" t="s">
        <v>1561</v>
      </c>
      <c r="B3246" s="22" t="s">
        <v>1058</v>
      </c>
      <c r="C3246" s="22" t="s">
        <v>1082</v>
      </c>
      <c r="D3246" s="22" t="s">
        <v>1060</v>
      </c>
      <c r="E3246" s="23" t="str">
        <f aca="false">IF(D3246="?OLD","!!!","")</f>
        <v>!!!</v>
      </c>
      <c r="F3246" s="25" t="str">
        <f aca="false">IF(OR(E3246="",E3246="!!!"),"",IF(NOT(ISNA(VLOOKUP(E3246,E$1:E3245,1,FALSE()))),"OLD",IF(AND(E3246&lt;&gt;"",E3246&lt;&gt;"!!!"),"NEW","")))</f>
        <v/>
      </c>
      <c r="G3246" s="26" t="str">
        <f aca="false">IF(OR(E3246="",E3246="!!!"),"",IF(OR(J3246=0,AND(J3246=1,K3246=1),AND(J3246=1,I3246="SBJ"),AND(J3246=1,I3246=0)),"?IN_FOCUS",IF(J3246&lt;=2,"?ACTIVATED",IF(J3246&lt;&gt;"","?FAMILIAR",IF(F3246="NEW",IF(ISNA(VLOOKUP(E3246,#REF!,1,FALSE())),"?TYPE_IDENTIFIABLE","?REFERENTIAL"),"_")))))</f>
        <v/>
      </c>
      <c r="H3246" s="27" t="str">
        <f aca="false">IF(J3246&lt;&gt;1,"",IF(I3246="SBJ","CB","?"))</f>
        <v/>
      </c>
      <c r="I3246" s="24" t="str">
        <f aca="false">IF(OR(E3246="",E3246="!!!",F3246="NEW"),"",INDEX(B3:B$3244,-1+SUMPRODUCT(MAX(ROW(E3:E$3244)*(E3246=E3:E$3244)))))</f>
        <v/>
      </c>
      <c r="J3246" s="24" t="str">
        <f aca="true">IF(OR(E3246="",E3246="!!!",F3246="NEW"),"",COUNTBLANK(OFFSET(A$1,,,SUMPRODUCT(MAX(ROW(E$2:E3246)*(E3246=E$2:E3246)))))-COUNTBLANK(OFFSET(A$1,,,SUMPRODUCT(MAX(ROW(E$1:E3245)*(E2=E$1:E3245))))))</f>
        <v/>
      </c>
      <c r="K3246" s="24" t="str">
        <f aca="false">IF(OR(E3246="",E3246="!!!",F3246="NEW"),"",INDEX(J$1:J3245,SUMPRODUCT(MAX(ROW(E$1:E3245)*(E3246=E$1:E3245)))))</f>
        <v/>
      </c>
      <c r="L3246" s="31"/>
    </row>
    <row r="3247" customFormat="false" ht="15" hidden="false" customHeight="false" outlineLevel="0" collapsed="false">
      <c r="A3247" s="20" t="s">
        <v>2121</v>
      </c>
      <c r="E3247" s="23" t="str">
        <f aca="false">IF(D3247="?OLD","!!!","")</f>
        <v/>
      </c>
      <c r="F3247" s="25" t="str">
        <f aca="false">IF(OR(E3247="",E3247="!!!"),"",IF(NOT(ISNA(VLOOKUP(E3247,E$1:E3246,1,FALSE()))),"OLD",IF(AND(E3247&lt;&gt;"",E3247&lt;&gt;"!!!"),"NEW","")))</f>
        <v/>
      </c>
      <c r="G3247" s="26" t="str">
        <f aca="false">IF(OR(E3247="",E3247="!!!"),"",IF(OR(J3247=0,AND(J3247=1,K3247=1),AND(J3247=1,I3247="SBJ"),AND(J3247=1,I3247=0)),"?IN_FOCUS",IF(J3247&lt;=2,"?ACTIVATED",IF(J3247&lt;&gt;"","?FAMILIAR",IF(F3247="NEW",IF(ISNA(VLOOKUP(E3247,#REF!,1,FALSE())),"?TYPE_IDENTIFIABLE","?REFERENTIAL"),"_")))))</f>
        <v/>
      </c>
      <c r="H3247" s="27" t="str">
        <f aca="false">IF(J3247&lt;&gt;1,"",IF(I3247="SBJ","CB","?"))</f>
        <v/>
      </c>
      <c r="I3247" s="24" t="str">
        <f aca="false">IF(OR(E3247="",E3247="!!!",F3247="NEW"),"",INDEX(B4:B$3244,-1+SUMPRODUCT(MAX(ROW(E4:E$3244)*(E3247=E4:E$3244)))))</f>
        <v/>
      </c>
      <c r="J3247" s="24" t="str">
        <f aca="true">IF(OR(E3247="",E3247="!!!",F3247="NEW"),"",COUNTBLANK(OFFSET(A$1,,,SUMPRODUCT(MAX(ROW(E$2:E3247)*(E3247=E$2:E3247)))))-COUNTBLANK(OFFSET(A$1,,,SUMPRODUCT(MAX(ROW(E$1:E3246)*(E2=E$1:E3246))))))</f>
        <v/>
      </c>
      <c r="K3247" s="24" t="str">
        <f aca="false">IF(OR(E3247="",E3247="!!!",F3247="NEW"),"",INDEX(J$1:J3246,SUMPRODUCT(MAX(ROW(E$1:E3246)*(E3247=E$1:E3246)))))</f>
        <v/>
      </c>
      <c r="L3247" s="31"/>
    </row>
    <row r="3248" customFormat="false" ht="15" hidden="false" customHeight="false" outlineLevel="0" collapsed="false">
      <c r="A3248" s="20" t="s">
        <v>1109</v>
      </c>
      <c r="E3248" s="23" t="str">
        <f aca="false">IF(D3248="?OLD","!!!","")</f>
        <v/>
      </c>
      <c r="F3248" s="25" t="str">
        <f aca="false">IF(OR(E3248="",E3248="!!!"),"",IF(NOT(ISNA(VLOOKUP(E3248,E$1:E3247,1,FALSE()))),"OLD",IF(AND(E3248&lt;&gt;"",E3248&lt;&gt;"!!!"),"NEW","")))</f>
        <v/>
      </c>
      <c r="G3248" s="26" t="str">
        <f aca="false">IF(OR(E3248="",E3248="!!!"),"",IF(OR(J3248=0,AND(J3248=1,K3248=1),AND(J3248=1,I3248="SBJ"),AND(J3248=1,I3248=0)),"?IN_FOCUS",IF(J3248&lt;=2,"?ACTIVATED",IF(J3248&lt;&gt;"","?FAMILIAR",IF(F3248="NEW",IF(ISNA(VLOOKUP(E3248,#REF!,1,FALSE())),"?TYPE_IDENTIFIABLE","?REFERENTIAL"),"_")))))</f>
        <v/>
      </c>
      <c r="H3248" s="27" t="str">
        <f aca="false">IF(J3248&lt;&gt;1,"",IF(I3248="SBJ","CB","?"))</f>
        <v/>
      </c>
      <c r="I3248" s="24" t="str">
        <f aca="false">IF(OR(E3248="",E3248="!!!",F3248="NEW"),"",INDEX(B5:B$3244,-1+SUMPRODUCT(MAX(ROW(E5:E$3244)*(E3248=E5:E$3244)))))</f>
        <v/>
      </c>
      <c r="J3248" s="24" t="str">
        <f aca="true">IF(OR(E3248="",E3248="!!!",F3248="NEW"),"",COUNTBLANK(OFFSET(A$1,,,SUMPRODUCT(MAX(ROW(E$2:E3248)*(E3248=E$2:E3248)))))-COUNTBLANK(OFFSET(A$1,,,SUMPRODUCT(MAX(ROW(E$1:E3247)*(E2=E$1:E3247))))))</f>
        <v/>
      </c>
      <c r="K3248" s="24" t="str">
        <f aca="false">IF(OR(E3248="",E3248="!!!",F3248="NEW"),"",INDEX(J$1:J3247,SUMPRODUCT(MAX(ROW(E$1:E3247)*(E3248=E$1:E3247)))))</f>
        <v/>
      </c>
      <c r="L3248" s="31"/>
    </row>
    <row r="3249" customFormat="false" ht="15" hidden="false" customHeight="false" outlineLevel="0" collapsed="false">
      <c r="A3249" s="20" t="s">
        <v>768</v>
      </c>
      <c r="B3249" s="22" t="s">
        <v>1081</v>
      </c>
      <c r="C3249" s="22" t="s">
        <v>1150</v>
      </c>
      <c r="D3249" s="22" t="s">
        <v>1060</v>
      </c>
      <c r="E3249" s="23" t="str">
        <f aca="false">IF(D3249="?OLD","!!!","")</f>
        <v>!!!</v>
      </c>
      <c r="F3249" s="25" t="str">
        <f aca="false">IF(OR(E3249="",E3249="!!!"),"",IF(NOT(ISNA(VLOOKUP(E3249,E$1:E3248,1,FALSE()))),"OLD",IF(AND(E3249&lt;&gt;"",E3249&lt;&gt;"!!!"),"NEW","")))</f>
        <v/>
      </c>
      <c r="G3249" s="26" t="str">
        <f aca="false">IF(OR(E3249="",E3249="!!!"),"",IF(OR(J3249=0,AND(J3249=1,K3249=1),AND(J3249=1,I3249="SBJ"),AND(J3249=1,I3249=0)),"?IN_FOCUS",IF(J3249&lt;=2,"?ACTIVATED",IF(J3249&lt;&gt;"","?FAMILIAR",IF(F3249="NEW",IF(ISNA(VLOOKUP(E3249,#REF!,1,FALSE())),"?TYPE_IDENTIFIABLE","?REFERENTIAL"),"_")))))</f>
        <v/>
      </c>
      <c r="H3249" s="27" t="str">
        <f aca="false">IF(J3249&lt;&gt;1,"",IF(I3249="SBJ","CB","?"))</f>
        <v/>
      </c>
      <c r="I3249" s="24" t="str">
        <f aca="false">IF(OR(E3249="",E3249="!!!",F3249="NEW"),"",INDEX(B6:B$3244,-1+SUMPRODUCT(MAX(ROW(E6:E$3244)*(E3249=E6:E$3244)))))</f>
        <v/>
      </c>
      <c r="J3249" s="24" t="str">
        <f aca="true">IF(OR(E3249="",E3249="!!!",F3249="NEW"),"",COUNTBLANK(OFFSET(A$1,,,SUMPRODUCT(MAX(ROW(E$2:E3249)*(E3249=E$2:E3249)))))-COUNTBLANK(OFFSET(A$1,,,SUMPRODUCT(MAX(ROW(E$1:E3248)*(E2=E$1:E3248))))))</f>
        <v/>
      </c>
      <c r="K3249" s="24" t="str">
        <f aca="false">IF(OR(E3249="",E3249="!!!",F3249="NEW"),"",INDEX(J$1:J3248,SUMPRODUCT(MAX(ROW(E$1:E3248)*(E3249=E$1:E3248)))))</f>
        <v/>
      </c>
      <c r="L3249" s="31"/>
    </row>
    <row r="3250" customFormat="false" ht="15" hidden="false" customHeight="false" outlineLevel="0" collapsed="false">
      <c r="A3250" s="20" t="s">
        <v>1095</v>
      </c>
      <c r="E3250" s="23" t="str">
        <f aca="false">IF(D3250="?OLD","!!!","")</f>
        <v/>
      </c>
      <c r="F3250" s="25" t="str">
        <f aca="false">IF(OR(E3250="",E3250="!!!"),"",IF(NOT(ISNA(VLOOKUP(E3250,E$1:E3249,1,FALSE()))),"OLD",IF(AND(E3250&lt;&gt;"",E3250&lt;&gt;"!!!"),"NEW","")))</f>
        <v/>
      </c>
      <c r="G3250" s="26" t="str">
        <f aca="false">IF(OR(E3250="",E3250="!!!"),"",IF(OR(J3250=0,AND(J3250=1,K3250=1),AND(J3250=1,I3250="SBJ"),AND(J3250=1,I3250=0)),"?IN_FOCUS",IF(J3250&lt;=2,"?ACTIVATED",IF(J3250&lt;&gt;"","?FAMILIAR",IF(F3250="NEW",IF(ISNA(VLOOKUP(E3250,#REF!,1,FALSE())),"?TYPE_IDENTIFIABLE","?REFERENTIAL"),"_")))))</f>
        <v/>
      </c>
      <c r="H3250" s="27" t="str">
        <f aca="false">IF(J3250&lt;&gt;1,"",IF(I3250="SBJ","CB","?"))</f>
        <v/>
      </c>
      <c r="I3250" s="24" t="str">
        <f aca="false">IF(OR(E3250="",E3250="!!!",F3250="NEW"),"",INDEX(B7:B$3244,-1+SUMPRODUCT(MAX(ROW(E7:E$3244)*(E3250=E7:E$3244)))))</f>
        <v/>
      </c>
      <c r="J3250" s="24" t="str">
        <f aca="true">IF(OR(E3250="",E3250="!!!",F3250="NEW"),"",COUNTBLANK(OFFSET(A$1,,,SUMPRODUCT(MAX(ROW(E$2:E3250)*(E3250=E$2:E3250)))))-COUNTBLANK(OFFSET(A$1,,,SUMPRODUCT(MAX(ROW(E$1:E3249)*(E2=E$1:E3249))))))</f>
        <v/>
      </c>
      <c r="K3250" s="24" t="str">
        <f aca="false">IF(OR(E3250="",E3250="!!!",F3250="NEW"),"",INDEX(J$1:J3249,SUMPRODUCT(MAX(ROW(E$1:E3249)*(E3250=E$1:E3249)))))</f>
        <v/>
      </c>
      <c r="L3250" s="31"/>
    </row>
    <row r="3251" customFormat="false" ht="15" hidden="false" customHeight="false" outlineLevel="0" collapsed="false">
      <c r="A3251" s="20" t="s">
        <v>13</v>
      </c>
      <c r="E3251" s="23" t="str">
        <f aca="false">IF(D3251="?OLD","!!!","")</f>
        <v/>
      </c>
      <c r="F3251" s="25" t="str">
        <f aca="false">IF(OR(E3251="",E3251="!!!"),"",IF(NOT(ISNA(VLOOKUP(E3251,E$1:E3250,1,FALSE()))),"OLD",IF(AND(E3251&lt;&gt;"",E3251&lt;&gt;"!!!"),"NEW","")))</f>
        <v/>
      </c>
      <c r="G3251" s="26" t="str">
        <f aca="false">IF(OR(E3251="",E3251="!!!"),"",IF(OR(J3251=0,AND(J3251=1,K3251=1),AND(J3251=1,I3251="SBJ"),AND(J3251=1,I3251=0)),"?IN_FOCUS",IF(J3251&lt;=2,"?ACTIVATED",IF(J3251&lt;&gt;"","?FAMILIAR",IF(F3251="NEW",IF(ISNA(VLOOKUP(E3251,#REF!,1,FALSE())),"?TYPE_IDENTIFIABLE","?REFERENTIAL"),"_")))))</f>
        <v/>
      </c>
      <c r="H3251" s="27" t="str">
        <f aca="false">IF(J3251&lt;&gt;1,"",IF(I3251="SBJ","CB","?"))</f>
        <v/>
      </c>
      <c r="I3251" s="24" t="str">
        <f aca="false">IF(OR(E3251="",E3251="!!!",F3251="NEW"),"",INDEX(B8:B$3244,-1+SUMPRODUCT(MAX(ROW(E8:E$3244)*(E3251=E8:E$3244)))))</f>
        <v/>
      </c>
      <c r="J3251" s="24" t="str">
        <f aca="true">IF(OR(E3251="",E3251="!!!",F3251="NEW"),"",COUNTBLANK(OFFSET(A$1,,,SUMPRODUCT(MAX(ROW(E$2:E3251)*(E3251=E$2:E3251)))))-COUNTBLANK(OFFSET(A$1,,,SUMPRODUCT(MAX(ROW(E$1:E3250)*(E2=E$1:E3250))))))</f>
        <v/>
      </c>
      <c r="K3251" s="24" t="str">
        <f aca="false">IF(OR(E3251="",E3251="!!!",F3251="NEW"),"",INDEX(J$1:J3250,SUMPRODUCT(MAX(ROW(E$1:E3250)*(E3251=E$1:E3250)))))</f>
        <v/>
      </c>
      <c r="L3251" s="31"/>
    </row>
    <row r="3252" customFormat="false" ht="15" hidden="false" customHeight="false" outlineLevel="0" collapsed="false">
      <c r="A3252" s="20" t="s">
        <v>1137</v>
      </c>
      <c r="B3252" s="22" t="s">
        <v>1142</v>
      </c>
      <c r="C3252" s="22" t="s">
        <v>1082</v>
      </c>
      <c r="D3252" s="22" t="s">
        <v>1060</v>
      </c>
      <c r="E3252" s="23" t="str">
        <f aca="false">IF(D3252="?OLD","!!!","")</f>
        <v>!!!</v>
      </c>
      <c r="F3252" s="25" t="str">
        <f aca="false">IF(OR(E3252="",E3252="!!!"),"",IF(NOT(ISNA(VLOOKUP(E3252,E$1:E3251,1,FALSE()))),"OLD",IF(AND(E3252&lt;&gt;"",E3252&lt;&gt;"!!!"),"NEW","")))</f>
        <v/>
      </c>
      <c r="G3252" s="26" t="str">
        <f aca="false">IF(OR(E3252="",E3252="!!!"),"",IF(OR(J3252=0,AND(J3252=1,K3252=1),AND(J3252=1,I3252="SBJ"),AND(J3252=1,I3252=0)),"?IN_FOCUS",IF(J3252&lt;=2,"?ACTIVATED",IF(J3252&lt;&gt;"","?FAMILIAR",IF(F3252="NEW",IF(ISNA(VLOOKUP(E3252,#REF!,1,FALSE())),"?TYPE_IDENTIFIABLE","?REFERENTIAL"),"_")))))</f>
        <v/>
      </c>
      <c r="H3252" s="27" t="str">
        <f aca="false">IF(J3252&lt;&gt;1,"",IF(I3252="SBJ","CB","?"))</f>
        <v/>
      </c>
      <c r="I3252" s="24" t="str">
        <f aca="false">IF(OR(E3252="",E3252="!!!",F3252="NEW"),"",INDEX(B9:B$3244,-1+SUMPRODUCT(MAX(ROW(E9:E$3244)*(E3252=E9:E$3244)))))</f>
        <v/>
      </c>
      <c r="J3252" s="24" t="str">
        <f aca="true">IF(OR(E3252="",E3252="!!!",F3252="NEW"),"",COUNTBLANK(OFFSET(A$1,,,SUMPRODUCT(MAX(ROW(E$2:E3252)*(E3252=E$2:E3252)))))-COUNTBLANK(OFFSET(A$1,,,SUMPRODUCT(MAX(ROW(E$1:E3251)*(E2=E$1:E3251))))))</f>
        <v/>
      </c>
      <c r="K3252" s="24" t="str">
        <f aca="false">IF(OR(E3252="",E3252="!!!",F3252="NEW"),"",INDEX(J$1:J3251,SUMPRODUCT(MAX(ROW(E$1:E3251)*(E3252=E$1:E3251)))))</f>
        <v/>
      </c>
      <c r="L3252" s="31"/>
    </row>
    <row r="3253" customFormat="false" ht="15" hidden="false" customHeight="false" outlineLevel="0" collapsed="false">
      <c r="A3253" s="20" t="s">
        <v>1288</v>
      </c>
      <c r="E3253" s="23" t="str">
        <f aca="false">IF(D3253="?OLD","!!!","")</f>
        <v/>
      </c>
      <c r="F3253" s="25" t="str">
        <f aca="false">IF(OR(E3253="",E3253="!!!"),"",IF(NOT(ISNA(VLOOKUP(E3253,E$1:E3252,1,FALSE()))),"OLD",IF(AND(E3253&lt;&gt;"",E3253&lt;&gt;"!!!"),"NEW","")))</f>
        <v/>
      </c>
      <c r="G3253" s="26" t="str">
        <f aca="false">IF(OR(E3253="",E3253="!!!"),"",IF(OR(J3253=0,AND(J3253=1,K3253=1),AND(J3253=1,I3253="SBJ"),AND(J3253=1,I3253=0)),"?IN_FOCUS",IF(J3253&lt;=2,"?ACTIVATED",IF(J3253&lt;&gt;"","?FAMILIAR",IF(F3253="NEW",IF(ISNA(VLOOKUP(E3253,#REF!,1,FALSE())),"?TYPE_IDENTIFIABLE","?REFERENTIAL"),"_")))))</f>
        <v/>
      </c>
      <c r="H3253" s="27" t="str">
        <f aca="false">IF(J3253&lt;&gt;1,"",IF(I3253="SBJ","CB","?"))</f>
        <v/>
      </c>
      <c r="I3253" s="24" t="str">
        <f aca="false">IF(OR(E3253="",E3253="!!!",F3253="NEW"),"",INDEX(B10:B$3244,-1+SUMPRODUCT(MAX(ROW(E10:E$3244)*(E3253=E10:E$3244)))))</f>
        <v/>
      </c>
      <c r="J3253" s="24" t="str">
        <f aca="true">IF(OR(E3253="",E3253="!!!",F3253="NEW"),"",COUNTBLANK(OFFSET(A$1,,,SUMPRODUCT(MAX(ROW(E$2:E3253)*(E3253=E$2:E3253)))))-COUNTBLANK(OFFSET(A$1,,,SUMPRODUCT(MAX(ROW(E$1:E3252)*(E2=E$1:E3252))))))</f>
        <v/>
      </c>
      <c r="K3253" s="24" t="str">
        <f aca="false">IF(OR(E3253="",E3253="!!!",F3253="NEW"),"",INDEX(J$1:J3252,SUMPRODUCT(MAX(ROW(E$1:E3252)*(E3253=E$1:E3252)))))</f>
        <v/>
      </c>
      <c r="L3253" s="31"/>
    </row>
    <row r="3254" customFormat="false" ht="15" hidden="false" customHeight="false" outlineLevel="0" collapsed="false">
      <c r="A3254" s="20" t="s">
        <v>2122</v>
      </c>
      <c r="B3254" s="22" t="s">
        <v>1073</v>
      </c>
      <c r="C3254" s="22" t="s">
        <v>1160</v>
      </c>
      <c r="E3254" s="23" t="str">
        <f aca="false">IF(D3254="?OLD","!!!","")</f>
        <v/>
      </c>
      <c r="F3254" s="25" t="str">
        <f aca="false">IF(OR(E3254="",E3254="!!!"),"",IF(NOT(ISNA(VLOOKUP(E3254,E$1:E3253,1,FALSE()))),"OLD",IF(AND(E3254&lt;&gt;"",E3254&lt;&gt;"!!!"),"NEW","")))</f>
        <v/>
      </c>
      <c r="G3254" s="26" t="str">
        <f aca="false">IF(OR(E3254="",E3254="!!!"),"",IF(OR(J3254=0,AND(J3254=1,K3254=1),AND(J3254=1,I3254="SBJ"),AND(J3254=1,I3254=0)),"?IN_FOCUS",IF(J3254&lt;=2,"?ACTIVATED",IF(J3254&lt;&gt;"","?FAMILIAR",IF(F3254="NEW",IF(ISNA(VLOOKUP(E3254,#REF!,1,FALSE())),"?TYPE_IDENTIFIABLE","?REFERENTIAL"),"_")))))</f>
        <v/>
      </c>
      <c r="H3254" s="27" t="str">
        <f aca="false">IF(J3254&lt;&gt;1,"",IF(I3254="SBJ","CB","?"))</f>
        <v/>
      </c>
      <c r="I3254" s="24" t="str">
        <f aca="false">IF(OR(E3254="",E3254="!!!",F3254="NEW"),"",INDEX(B11:B$3244,-1+SUMPRODUCT(MAX(ROW(E11:E$3244)*(E3254=E11:E$3244)))))</f>
        <v/>
      </c>
      <c r="J3254" s="24" t="str">
        <f aca="true">IF(OR(E3254="",E3254="!!!",F3254="NEW"),"",COUNTBLANK(OFFSET(A$1,,,SUMPRODUCT(MAX(ROW(E$2:E3254)*(E3254=E$2:E3254)))))-COUNTBLANK(OFFSET(A$1,,,SUMPRODUCT(MAX(ROW(E$1:E3253)*(E2=E$1:E3253))))))</f>
        <v/>
      </c>
      <c r="K3254" s="24" t="str">
        <f aca="false">IF(OR(E3254="",E3254="!!!",F3254="NEW"),"",INDEX(J$1:J3253,SUMPRODUCT(MAX(ROW(E$1:E3253)*(E3254=E$1:E3253)))))</f>
        <v/>
      </c>
      <c r="L3254" s="31"/>
    </row>
    <row r="3255" customFormat="false" ht="15" hidden="false" customHeight="false" outlineLevel="0" collapsed="false">
      <c r="A3255" s="20" t="s">
        <v>1089</v>
      </c>
      <c r="B3255" s="22" t="s">
        <v>1102</v>
      </c>
      <c r="E3255" s="23" t="str">
        <f aca="false">IF(D3255="?OLD","!!!","")</f>
        <v/>
      </c>
      <c r="F3255" s="25" t="str">
        <f aca="false">IF(OR(E3255="",E3255="!!!"),"",IF(NOT(ISNA(VLOOKUP(E3255,E$1:E3254,1,FALSE()))),"OLD",IF(AND(E3255&lt;&gt;"",E3255&lt;&gt;"!!!"),"NEW","")))</f>
        <v/>
      </c>
      <c r="G3255" s="26" t="str">
        <f aca="false">IF(OR(E3255="",E3255="!!!"),"",IF(OR(J3255=0,AND(J3255=1,K3255=1),AND(J3255=1,I3255="SBJ"),AND(J3255=1,I3255=0)),"?IN_FOCUS",IF(J3255&lt;=2,"?ACTIVATED",IF(J3255&lt;&gt;"","?FAMILIAR",IF(F3255="NEW",IF(ISNA(VLOOKUP(E3255,#REF!,1,FALSE())),"?TYPE_IDENTIFIABLE","?REFERENTIAL"),"_")))))</f>
        <v/>
      </c>
      <c r="H3255" s="27" t="str">
        <f aca="false">IF(J3255&lt;&gt;1,"",IF(I3255="SBJ","CB","?"))</f>
        <v/>
      </c>
      <c r="I3255" s="24" t="str">
        <f aca="false">IF(OR(E3255="",E3255="!!!",F3255="NEW"),"",INDEX(B12:B$3244,-1+SUMPRODUCT(MAX(ROW(E12:E$3244)*(E3255=E12:E$3244)))))</f>
        <v/>
      </c>
      <c r="J3255" s="24" t="str">
        <f aca="true">IF(OR(E3255="",E3255="!!!",F3255="NEW"),"",COUNTBLANK(OFFSET(A$1,,,SUMPRODUCT(MAX(ROW(E$2:E3255)*(E3255=E$2:E3255)))))-COUNTBLANK(OFFSET(A$1,,,SUMPRODUCT(MAX(ROW(E$1:E3254)*(E2=E$1:E3254))))))</f>
        <v/>
      </c>
      <c r="K3255" s="24" t="str">
        <f aca="false">IF(OR(E3255="",E3255="!!!",F3255="NEW"),"",INDEX(J$1:J3254,SUMPRODUCT(MAX(ROW(E$1:E3254)*(E3255=E$1:E3254)))))</f>
        <v/>
      </c>
      <c r="L3255" s="31"/>
    </row>
    <row r="3256" customFormat="false" ht="15" hidden="false" customHeight="false" outlineLevel="0" collapsed="false">
      <c r="A3256" s="20" t="s">
        <v>1304</v>
      </c>
      <c r="B3256" s="22" t="s">
        <v>1197</v>
      </c>
      <c r="C3256" s="22" t="s">
        <v>1082</v>
      </c>
      <c r="D3256" s="22" t="s">
        <v>1060</v>
      </c>
      <c r="E3256" s="23" t="str">
        <f aca="false">IF(D3256="?OLD","!!!","")</f>
        <v>!!!</v>
      </c>
      <c r="F3256" s="25" t="str">
        <f aca="false">IF(OR(E3256="",E3256="!!!"),"",IF(NOT(ISNA(VLOOKUP(E3256,E$1:E3255,1,FALSE()))),"OLD",IF(AND(E3256&lt;&gt;"",E3256&lt;&gt;"!!!"),"NEW","")))</f>
        <v/>
      </c>
      <c r="G3256" s="26" t="str">
        <f aca="false">IF(OR(E3256="",E3256="!!!"),"",IF(OR(J3256=0,AND(J3256=1,K3256=1),AND(J3256=1,I3256="SBJ"),AND(J3256=1,I3256=0)),"?IN_FOCUS",IF(J3256&lt;=2,"?ACTIVATED",IF(J3256&lt;&gt;"","?FAMILIAR",IF(F3256="NEW",IF(ISNA(VLOOKUP(E3256,#REF!,1,FALSE())),"?TYPE_IDENTIFIABLE","?REFERENTIAL"),"_")))))</f>
        <v/>
      </c>
      <c r="H3256" s="27" t="str">
        <f aca="false">IF(J3256&lt;&gt;1,"",IF(I3256="SBJ","CB","?"))</f>
        <v/>
      </c>
      <c r="I3256" s="24" t="str">
        <f aca="false">IF(OR(E3256="",E3256="!!!",F3256="NEW"),"",INDEX(B13:B$3244,-1+SUMPRODUCT(MAX(ROW(E13:E$3244)*(E3256=E13:E$3244)))))</f>
        <v/>
      </c>
      <c r="J3256" s="24" t="str">
        <f aca="true">IF(OR(E3256="",E3256="!!!",F3256="NEW"),"",COUNTBLANK(OFFSET(A$1,,,SUMPRODUCT(MAX(ROW(E$2:E3256)*(E3256=E$2:E3256)))))-COUNTBLANK(OFFSET(A$1,,,SUMPRODUCT(MAX(ROW(E$1:E3255)*(E2=E$1:E3255))))))</f>
        <v/>
      </c>
      <c r="K3256" s="24" t="str">
        <f aca="false">IF(OR(E3256="",E3256="!!!",F3256="NEW"),"",INDEX(J$1:J3255,SUMPRODUCT(MAX(ROW(E$1:E3255)*(E3256=E$1:E3255)))))</f>
        <v/>
      </c>
      <c r="L3256" s="31"/>
    </row>
    <row r="3257" customFormat="false" ht="15" hidden="false" customHeight="false" outlineLevel="0" collapsed="false">
      <c r="A3257" s="20" t="s">
        <v>1079</v>
      </c>
      <c r="E3257" s="23" t="str">
        <f aca="false">IF(D3257="?OLD","!!!","")</f>
        <v/>
      </c>
      <c r="F3257" s="25" t="str">
        <f aca="false">IF(OR(E3257="",E3257="!!!"),"",IF(NOT(ISNA(VLOOKUP(E3257,E$1:E3256,1,FALSE()))),"OLD",IF(AND(E3257&lt;&gt;"",E3257&lt;&gt;"!!!"),"NEW","")))</f>
        <v/>
      </c>
      <c r="G3257" s="26" t="str">
        <f aca="false">IF(OR(E3257="",E3257="!!!"),"",IF(OR(J3257=0,AND(J3257=1,K3257=1),AND(J3257=1,I3257="SBJ"),AND(J3257=1,I3257=0)),"?IN_FOCUS",IF(J3257&lt;=2,"?ACTIVATED",IF(J3257&lt;&gt;"","?FAMILIAR",IF(F3257="NEW",IF(ISNA(VLOOKUP(E3257,#REF!,1,FALSE())),"?TYPE_IDENTIFIABLE","?REFERENTIAL"),"_")))))</f>
        <v/>
      </c>
      <c r="H3257" s="27" t="str">
        <f aca="false">IF(J3257&lt;&gt;1,"",IF(I3257="SBJ","CB","?"))</f>
        <v/>
      </c>
      <c r="I3257" s="24" t="str">
        <f aca="false">IF(OR(E3257="",E3257="!!!",F3257="NEW"),"",INDEX(B14:B$3244,-1+SUMPRODUCT(MAX(ROW(E14:E$3244)*(E3257=E14:E$3244)))))</f>
        <v/>
      </c>
      <c r="J3257" s="24" t="str">
        <f aca="true">IF(OR(E3257="",E3257="!!!",F3257="NEW"),"",COUNTBLANK(OFFSET(A$1,,,SUMPRODUCT(MAX(ROW(E$2:E3257)*(E3257=E$2:E3257)))))-COUNTBLANK(OFFSET(A$1,,,SUMPRODUCT(MAX(ROW(E$1:E3256)*(E2=E$1:E3256))))))</f>
        <v/>
      </c>
      <c r="K3257" s="24" t="str">
        <f aca="false">IF(OR(E3257="",E3257="!!!",F3257="NEW"),"",INDEX(J$1:J3256,SUMPRODUCT(MAX(ROW(E$1:E3256)*(E3257=E$1:E3256)))))</f>
        <v/>
      </c>
      <c r="L3257" s="31"/>
    </row>
    <row r="3258" customFormat="false" ht="15" hidden="false" customHeight="false" outlineLevel="0" collapsed="false">
      <c r="A3258" s="20" t="s">
        <v>185</v>
      </c>
      <c r="E3258" s="23" t="str">
        <f aca="false">IF(D3258="?OLD","!!!","")</f>
        <v/>
      </c>
      <c r="F3258" s="25" t="str">
        <f aca="false">IF(OR(E3258="",E3258="!!!"),"",IF(NOT(ISNA(VLOOKUP(E3258,E$1:E3257,1,FALSE()))),"OLD",IF(AND(E3258&lt;&gt;"",E3258&lt;&gt;"!!!"),"NEW","")))</f>
        <v/>
      </c>
      <c r="G3258" s="26" t="str">
        <f aca="false">IF(OR(E3258="",E3258="!!!"),"",IF(OR(J3258=0,AND(J3258=1,K3258=1),AND(J3258=1,I3258="SBJ"),AND(J3258=1,I3258=0)),"?IN_FOCUS",IF(J3258&lt;=2,"?ACTIVATED",IF(J3258&lt;&gt;"","?FAMILIAR",IF(F3258="NEW",IF(ISNA(VLOOKUP(E3258,#REF!,1,FALSE())),"?TYPE_IDENTIFIABLE","?REFERENTIAL"),"_")))))</f>
        <v/>
      </c>
      <c r="H3258" s="27" t="str">
        <f aca="false">IF(J3258&lt;&gt;1,"",IF(I3258="SBJ","CB","?"))</f>
        <v/>
      </c>
      <c r="I3258" s="24" t="str">
        <f aca="false">IF(OR(E3258="",E3258="!!!",F3258="NEW"),"",INDEX(B15:B$3244,-1+SUMPRODUCT(MAX(ROW(E15:E$3244)*(E3258=E15:E$3244)))))</f>
        <v/>
      </c>
      <c r="J3258" s="24" t="str">
        <f aca="true">IF(OR(E3258="",E3258="!!!",F3258="NEW"),"",COUNTBLANK(OFFSET(A$1,,,SUMPRODUCT(MAX(ROW(E$2:E3258)*(E3258=E$2:E3258)))))-COUNTBLANK(OFFSET(A$1,,,SUMPRODUCT(MAX(ROW(E$1:E3257)*(E2=E$1:E3257))))))</f>
        <v/>
      </c>
      <c r="K3258" s="24" t="str">
        <f aca="false">IF(OR(E3258="",E3258="!!!",F3258="NEW"),"",INDEX(J$1:J3257,SUMPRODUCT(MAX(ROW(E$1:E3257)*(E3258=E$1:E3257)))))</f>
        <v/>
      </c>
      <c r="L3258" s="31"/>
    </row>
    <row r="3259" customFormat="false" ht="15" hidden="false" customHeight="false" outlineLevel="0" collapsed="false">
      <c r="A3259" s="20" t="s">
        <v>2123</v>
      </c>
      <c r="E3259" s="23" t="str">
        <f aca="false">IF(D3259="?OLD","!!!","")</f>
        <v/>
      </c>
      <c r="F3259" s="25" t="str">
        <f aca="false">IF(OR(E3259="",E3259="!!!"),"",IF(NOT(ISNA(VLOOKUP(E3259,E$1:E3258,1,FALSE()))),"OLD",IF(AND(E3259&lt;&gt;"",E3259&lt;&gt;"!!!"),"NEW","")))</f>
        <v/>
      </c>
      <c r="G3259" s="26" t="str">
        <f aca="false">IF(OR(E3259="",E3259="!!!"),"",IF(OR(J3259=0,AND(J3259=1,K3259=1),AND(J3259=1,I3259="SBJ"),AND(J3259=1,I3259=0)),"?IN_FOCUS",IF(J3259&lt;=2,"?ACTIVATED",IF(J3259&lt;&gt;"","?FAMILIAR",IF(F3259="NEW",IF(ISNA(VLOOKUP(E3259,#REF!,1,FALSE())),"?TYPE_IDENTIFIABLE","?REFERENTIAL"),"_")))))</f>
        <v/>
      </c>
      <c r="H3259" s="27" t="str">
        <f aca="false">IF(J3259&lt;&gt;1,"",IF(I3259="SBJ","CB","?"))</f>
        <v/>
      </c>
      <c r="I3259" s="24" t="str">
        <f aca="false">IF(OR(E3259="",E3259="!!!",F3259="NEW"),"",INDEX(B16:B$3244,-1+SUMPRODUCT(MAX(ROW(E16:E$3244)*(E3259=E16:E$3244)))))</f>
        <v/>
      </c>
      <c r="J3259" s="24" t="str">
        <f aca="true">IF(OR(E3259="",E3259="!!!",F3259="NEW"),"",COUNTBLANK(OFFSET(A$1,,,SUMPRODUCT(MAX(ROW(E$2:E3259)*(E3259=E$2:E3259)))))-COUNTBLANK(OFFSET(A$1,,,SUMPRODUCT(MAX(ROW(E$1:E3258)*(E2=E$1:E3258))))))</f>
        <v/>
      </c>
      <c r="K3259" s="24" t="str">
        <f aca="false">IF(OR(E3259="",E3259="!!!",F3259="NEW"),"",INDEX(J$1:J3258,SUMPRODUCT(MAX(ROW(E$1:E3258)*(E3259=E$1:E3258)))))</f>
        <v/>
      </c>
      <c r="L3259" s="31"/>
    </row>
    <row r="3260" customFormat="false" ht="15" hidden="false" customHeight="false" outlineLevel="0" collapsed="false">
      <c r="A3260" s="20" t="s">
        <v>923</v>
      </c>
      <c r="E3260" s="23" t="str">
        <f aca="false">IF(D3260="?OLD","!!!","")</f>
        <v/>
      </c>
      <c r="F3260" s="25" t="str">
        <f aca="false">IF(OR(E3260="",E3260="!!!"),"",IF(NOT(ISNA(VLOOKUP(E3260,E$1:E3259,1,FALSE()))),"OLD",IF(AND(E3260&lt;&gt;"",E3260&lt;&gt;"!!!"),"NEW","")))</f>
        <v/>
      </c>
      <c r="G3260" s="26" t="str">
        <f aca="false">IF(OR(E3260="",E3260="!!!"),"",IF(OR(J3260=0,AND(J3260=1,K3260=1),AND(J3260=1,I3260="SBJ"),AND(J3260=1,I3260=0)),"?IN_FOCUS",IF(J3260&lt;=2,"?ACTIVATED",IF(J3260&lt;&gt;"","?FAMILIAR",IF(F3260="NEW",IF(ISNA(VLOOKUP(E3260,#REF!,1,FALSE())),"?TYPE_IDENTIFIABLE","?REFERENTIAL"),"_")))))</f>
        <v/>
      </c>
      <c r="H3260" s="27" t="str">
        <f aca="false">IF(J3260&lt;&gt;1,"",IF(I3260="SBJ","CB","?"))</f>
        <v/>
      </c>
      <c r="I3260" s="24" t="str">
        <f aca="false">IF(OR(E3260="",E3260="!!!",F3260="NEW"),"",INDEX(B17:B$3244,-1+SUMPRODUCT(MAX(ROW(E17:E$3244)*(E3260=E17:E$3244)))))</f>
        <v/>
      </c>
      <c r="J3260" s="24" t="str">
        <f aca="true">IF(OR(E3260="",E3260="!!!",F3260="NEW"),"",COUNTBLANK(OFFSET(A$1,,,SUMPRODUCT(MAX(ROW(E$2:E3260)*(E3260=E$2:E3260)))))-COUNTBLANK(OFFSET(A$1,,,SUMPRODUCT(MAX(ROW(E$1:E3259)*(E2=E$1:E3259))))))</f>
        <v/>
      </c>
      <c r="K3260" s="24" t="str">
        <f aca="false">IF(OR(E3260="",E3260="!!!",F3260="NEW"),"",INDEX(J$1:J3259,SUMPRODUCT(MAX(ROW(E$1:E3259)*(E3260=E$1:E3259)))))</f>
        <v/>
      </c>
      <c r="L3260" s="31"/>
    </row>
    <row r="3261" customFormat="false" ht="15" hidden="false" customHeight="false" outlineLevel="0" collapsed="false">
      <c r="A3261" s="20"/>
    </row>
    <row r="3262" customFormat="false" ht="15" hidden="false" customHeight="false" outlineLevel="0" collapsed="false">
      <c r="A3262" s="20" t="s">
        <v>2124</v>
      </c>
    </row>
    <row r="3263" customFormat="false" ht="15" hidden="false" customHeight="false" outlineLevel="0" collapsed="false">
      <c r="A3263" s="20" t="s">
        <v>1581</v>
      </c>
      <c r="E3263" s="23" t="str">
        <f aca="false">IF(D3263="?OLD","!!!","")</f>
        <v/>
      </c>
      <c r="F3263" s="25" t="str">
        <f aca="false">IF(OR(E3263="",E3263="!!!"),"",IF(NOT(ISNA(VLOOKUP(E3263,E$1:E3262,1,FALSE()))),"OLD",IF(AND(E3263&lt;&gt;"",E3263&lt;&gt;"!!!"),"NEW","")))</f>
        <v/>
      </c>
      <c r="G3263" s="26" t="str">
        <f aca="false">IF(OR(E3263="",E3263="!!!"),"",IF(OR(J3263=0,AND(J3263=1,K3263=1),AND(J3263=1,I3263="SBJ"),AND(J3263=1,I3263=0)),"?IN_FOCUS",IF(J3263&lt;=2,"?ACTIVATED",IF(J3263&lt;&gt;"","?FAMILIAR",IF(F3263="NEW",IF(ISNA(VLOOKUP(E3263,#REF!,1,FALSE())),"?TYPE_IDENTIFIABLE","?REFERENTIAL"),"_")))))</f>
        <v/>
      </c>
      <c r="H3263" s="27" t="str">
        <f aca="false">IF(J3263&lt;&gt;1,"",IF(I3263="SBJ","CB","?"))</f>
        <v/>
      </c>
      <c r="I3263" s="24" t="str">
        <f aca="false">IF(OR(E3263="",E3263="!!!",F3263="NEW"),"",INDEX(B2:B$3262,-1+SUMPRODUCT(MAX(ROW(E2:E$3262)*(E3263=E2:E$3262)))))</f>
        <v/>
      </c>
      <c r="J3263" s="24" t="str">
        <f aca="true">IF(OR(E3263="",E3263="!!!",F3263="NEW"),"",COUNTBLANK(OFFSET(A$1,,,SUMPRODUCT(MAX(ROW(E$2:E3263)*(E3263=E$2:E3263)))))-COUNTBLANK(OFFSET(A$1,,,SUMPRODUCT(MAX(ROW(E$1:E3262)*(E2=E$1:E3262))))))</f>
        <v/>
      </c>
      <c r="K3263" s="24" t="str">
        <f aca="false">IF(OR(E3263="",E3263="!!!",F3263="NEW"),"",INDEX(J$1:J3262,SUMPRODUCT(MAX(ROW(E$1:E3262)*(E3263=E$1:E3262)))))</f>
        <v/>
      </c>
      <c r="L3263" s="31"/>
    </row>
    <row r="3264" customFormat="false" ht="15" hidden="false" customHeight="false" outlineLevel="0" collapsed="false">
      <c r="A3264" s="20" t="s">
        <v>1076</v>
      </c>
      <c r="E3264" s="23" t="str">
        <f aca="false">IF(D3264="?OLD","!!!","")</f>
        <v/>
      </c>
      <c r="F3264" s="25" t="str">
        <f aca="false">IF(OR(E3264="",E3264="!!!"),"",IF(NOT(ISNA(VLOOKUP(E3264,E$1:E3263,1,FALSE()))),"OLD",IF(AND(E3264&lt;&gt;"",E3264&lt;&gt;"!!!"),"NEW","")))</f>
        <v/>
      </c>
      <c r="G3264" s="26" t="str">
        <f aca="false">IF(OR(E3264="",E3264="!!!"),"",IF(OR(J3264=0,AND(J3264=1,K3264=1),AND(J3264=1,I3264="SBJ"),AND(J3264=1,I3264=0)),"?IN_FOCUS",IF(J3264&lt;=2,"?ACTIVATED",IF(J3264&lt;&gt;"","?FAMILIAR",IF(F3264="NEW",IF(ISNA(VLOOKUP(E3264,#REF!,1,FALSE())),"?TYPE_IDENTIFIABLE","?REFERENTIAL"),"_")))))</f>
        <v/>
      </c>
      <c r="H3264" s="27" t="str">
        <f aca="false">IF(J3264&lt;&gt;1,"",IF(I3264="SBJ","CB","?"))</f>
        <v/>
      </c>
      <c r="I3264" s="24" t="str">
        <f aca="false">IF(OR(E3264="",E3264="!!!",F3264="NEW"),"",INDEX(B3:B$3262,-1+SUMPRODUCT(MAX(ROW(E3:E$3262)*(E3264=E3:E$3262)))))</f>
        <v/>
      </c>
      <c r="J3264" s="24" t="str">
        <f aca="true">IF(OR(E3264="",E3264="!!!",F3264="NEW"),"",COUNTBLANK(OFFSET(A$1,,,SUMPRODUCT(MAX(ROW(E$2:E3264)*(E3264=E$2:E3264)))))-COUNTBLANK(OFFSET(A$1,,,SUMPRODUCT(MAX(ROW(E$1:E3263)*(E2=E$1:E3263))))))</f>
        <v/>
      </c>
      <c r="K3264" s="24" t="str">
        <f aca="false">IF(OR(E3264="",E3264="!!!",F3264="NEW"),"",INDEX(J$1:J3263,SUMPRODUCT(MAX(ROW(E$1:E3263)*(E3264=E$1:E3263)))))</f>
        <v/>
      </c>
      <c r="L3264" s="31"/>
    </row>
    <row r="3265" customFormat="false" ht="15" hidden="false" customHeight="false" outlineLevel="0" collapsed="false">
      <c r="A3265" s="20" t="s">
        <v>1117</v>
      </c>
      <c r="E3265" s="23" t="str">
        <f aca="false">IF(D3265="?OLD","!!!","")</f>
        <v/>
      </c>
      <c r="F3265" s="25" t="str">
        <f aca="false">IF(OR(E3265="",E3265="!!!"),"",IF(NOT(ISNA(VLOOKUP(E3265,E$1:E3264,1,FALSE()))),"OLD",IF(AND(E3265&lt;&gt;"",E3265&lt;&gt;"!!!"),"NEW","")))</f>
        <v/>
      </c>
      <c r="G3265" s="26" t="str">
        <f aca="false">IF(OR(E3265="",E3265="!!!"),"",IF(OR(J3265=0,AND(J3265=1,K3265=1),AND(J3265=1,I3265="SBJ"),AND(J3265=1,I3265=0)),"?IN_FOCUS",IF(J3265&lt;=2,"?ACTIVATED",IF(J3265&lt;&gt;"","?FAMILIAR",IF(F3265="NEW",IF(ISNA(VLOOKUP(E3265,#REF!,1,FALSE())),"?TYPE_IDENTIFIABLE","?REFERENTIAL"),"_")))))</f>
        <v/>
      </c>
      <c r="H3265" s="27" t="str">
        <f aca="false">IF(J3265&lt;&gt;1,"",IF(I3265="SBJ","CB","?"))</f>
        <v/>
      </c>
      <c r="I3265" s="24" t="str">
        <f aca="false">IF(OR(E3265="",E3265="!!!",F3265="NEW"),"",INDEX(B4:B$3262,-1+SUMPRODUCT(MAX(ROW(E4:E$3262)*(E3265=E4:E$3262)))))</f>
        <v/>
      </c>
      <c r="J3265" s="24" t="str">
        <f aca="true">IF(OR(E3265="",E3265="!!!",F3265="NEW"),"",COUNTBLANK(OFFSET(A$1,,,SUMPRODUCT(MAX(ROW(E$2:E3265)*(E3265=E$2:E3265)))))-COUNTBLANK(OFFSET(A$1,,,SUMPRODUCT(MAX(ROW(E$1:E3264)*(E2=E$1:E3264))))))</f>
        <v/>
      </c>
      <c r="K3265" s="24" t="str">
        <f aca="false">IF(OR(E3265="",E3265="!!!",F3265="NEW"),"",INDEX(J$1:J3264,SUMPRODUCT(MAX(ROW(E$1:E3264)*(E3265=E$1:E3264)))))</f>
        <v/>
      </c>
      <c r="L3265" s="31"/>
    </row>
    <row r="3266" customFormat="false" ht="15" hidden="false" customHeight="false" outlineLevel="0" collapsed="false">
      <c r="A3266" s="20" t="s">
        <v>1076</v>
      </c>
      <c r="E3266" s="23" t="str">
        <f aca="false">IF(D3266="?OLD","!!!","")</f>
        <v/>
      </c>
      <c r="F3266" s="25" t="str">
        <f aca="false">IF(OR(E3266="",E3266="!!!"),"",IF(NOT(ISNA(VLOOKUP(E3266,E$1:E3265,1,FALSE()))),"OLD",IF(AND(E3266&lt;&gt;"",E3266&lt;&gt;"!!!"),"NEW","")))</f>
        <v/>
      </c>
      <c r="G3266" s="26" t="str">
        <f aca="false">IF(OR(E3266="",E3266="!!!"),"",IF(OR(J3266=0,AND(J3266=1,K3266=1),AND(J3266=1,I3266="SBJ"),AND(J3266=1,I3266=0)),"?IN_FOCUS",IF(J3266&lt;=2,"?ACTIVATED",IF(J3266&lt;&gt;"","?FAMILIAR",IF(F3266="NEW",IF(ISNA(VLOOKUP(E3266,#REF!,1,FALSE())),"?TYPE_IDENTIFIABLE","?REFERENTIAL"),"_")))))</f>
        <v/>
      </c>
      <c r="H3266" s="27" t="str">
        <f aca="false">IF(J3266&lt;&gt;1,"",IF(I3266="SBJ","CB","?"))</f>
        <v/>
      </c>
      <c r="I3266" s="24" t="str">
        <f aca="false">IF(OR(E3266="",E3266="!!!",F3266="NEW"),"",INDEX(B5:B$3262,-1+SUMPRODUCT(MAX(ROW(E5:E$3262)*(E3266=E5:E$3262)))))</f>
        <v/>
      </c>
      <c r="J3266" s="24" t="str">
        <f aca="true">IF(OR(E3266="",E3266="!!!",F3266="NEW"),"",COUNTBLANK(OFFSET(A$1,,,SUMPRODUCT(MAX(ROW(E$2:E3266)*(E3266=E$2:E3266)))))-COUNTBLANK(OFFSET(A$1,,,SUMPRODUCT(MAX(ROW(E$1:E3265)*(E2=E$1:E3265))))))</f>
        <v/>
      </c>
      <c r="K3266" s="24" t="str">
        <f aca="false">IF(OR(E3266="",E3266="!!!",F3266="NEW"),"",INDEX(J$1:J3265,SUMPRODUCT(MAX(ROW(E$1:E3265)*(E3266=E$1:E3265)))))</f>
        <v/>
      </c>
      <c r="L3266" s="31"/>
    </row>
    <row r="3267" customFormat="false" ht="15" hidden="false" customHeight="false" outlineLevel="0" collapsed="false">
      <c r="A3267" s="20" t="s">
        <v>1090</v>
      </c>
      <c r="B3267" s="22" t="s">
        <v>1058</v>
      </c>
      <c r="C3267" s="22" t="s">
        <v>1082</v>
      </c>
      <c r="D3267" s="22" t="s">
        <v>1060</v>
      </c>
      <c r="E3267" s="23" t="str">
        <f aca="false">IF(D3267="?OLD","!!!","")</f>
        <v>!!!</v>
      </c>
      <c r="F3267" s="25" t="str">
        <f aca="false">IF(OR(E3267="",E3267="!!!"),"",IF(NOT(ISNA(VLOOKUP(E3267,E$1:E3266,1,FALSE()))),"OLD",IF(AND(E3267&lt;&gt;"",E3267&lt;&gt;"!!!"),"NEW","")))</f>
        <v/>
      </c>
      <c r="G3267" s="26" t="str">
        <f aca="false">IF(OR(E3267="",E3267="!!!"),"",IF(OR(J3267=0,AND(J3267=1,K3267=1),AND(J3267=1,I3267="SBJ"),AND(J3267=1,I3267=0)),"?IN_FOCUS",IF(J3267&lt;=2,"?ACTIVATED",IF(J3267&lt;&gt;"","?FAMILIAR",IF(F3267="NEW",IF(ISNA(VLOOKUP(E3267,#REF!,1,FALSE())),"?TYPE_IDENTIFIABLE","?REFERENTIAL"),"_")))))</f>
        <v/>
      </c>
      <c r="H3267" s="27" t="str">
        <f aca="false">IF(J3267&lt;&gt;1,"",IF(I3267="SBJ","CB","?"))</f>
        <v/>
      </c>
      <c r="I3267" s="24" t="str">
        <f aca="false">IF(OR(E3267="",E3267="!!!",F3267="NEW"),"",INDEX(B6:B$3262,-1+SUMPRODUCT(MAX(ROW(E6:E$3262)*(E3267=E6:E$3262)))))</f>
        <v/>
      </c>
      <c r="J3267" s="24" t="str">
        <f aca="true">IF(OR(E3267="",E3267="!!!",F3267="NEW"),"",COUNTBLANK(OFFSET(A$1,,,SUMPRODUCT(MAX(ROW(E$2:E3267)*(E3267=E$2:E3267)))))-COUNTBLANK(OFFSET(A$1,,,SUMPRODUCT(MAX(ROW(E$1:E3266)*(E2=E$1:E3266))))))</f>
        <v/>
      </c>
      <c r="K3267" s="24" t="str">
        <f aca="false">IF(OR(E3267="",E3267="!!!",F3267="NEW"),"",INDEX(J$1:J3266,SUMPRODUCT(MAX(ROW(E$1:E3266)*(E3267=E$1:E3266)))))</f>
        <v/>
      </c>
      <c r="L3267" s="31"/>
    </row>
    <row r="3268" customFormat="false" ht="15" hidden="false" customHeight="false" outlineLevel="0" collapsed="false">
      <c r="A3268" s="20" t="s">
        <v>1071</v>
      </c>
      <c r="E3268" s="23" t="str">
        <f aca="false">IF(D3268="?OLD","!!!","")</f>
        <v/>
      </c>
      <c r="F3268" s="25" t="str">
        <f aca="false">IF(OR(E3268="",E3268="!!!"),"",IF(NOT(ISNA(VLOOKUP(E3268,E$1:E3267,1,FALSE()))),"OLD",IF(AND(E3268&lt;&gt;"",E3268&lt;&gt;"!!!"),"NEW","")))</f>
        <v/>
      </c>
      <c r="G3268" s="26" t="str">
        <f aca="false">IF(OR(E3268="",E3268="!!!"),"",IF(OR(J3268=0,AND(J3268=1,K3268=1),AND(J3268=1,I3268="SBJ"),AND(J3268=1,I3268=0)),"?IN_FOCUS",IF(J3268&lt;=2,"?ACTIVATED",IF(J3268&lt;&gt;"","?FAMILIAR",IF(F3268="NEW",IF(ISNA(VLOOKUP(E3268,#REF!,1,FALSE())),"?TYPE_IDENTIFIABLE","?REFERENTIAL"),"_")))))</f>
        <v/>
      </c>
      <c r="H3268" s="27" t="str">
        <f aca="false">IF(J3268&lt;&gt;1,"",IF(I3268="SBJ","CB","?"))</f>
        <v/>
      </c>
      <c r="I3268" s="24" t="str">
        <f aca="false">IF(OR(E3268="",E3268="!!!",F3268="NEW"),"",INDEX(B7:B$3262,-1+SUMPRODUCT(MAX(ROW(E7:E$3262)*(E3268=E7:E$3262)))))</f>
        <v/>
      </c>
      <c r="J3268" s="24" t="str">
        <f aca="true">IF(OR(E3268="",E3268="!!!",F3268="NEW"),"",COUNTBLANK(OFFSET(A$1,,,SUMPRODUCT(MAX(ROW(E$2:E3268)*(E3268=E$2:E3268)))))-COUNTBLANK(OFFSET(A$1,,,SUMPRODUCT(MAX(ROW(E$1:E3267)*(E2=E$1:E3267))))))</f>
        <v/>
      </c>
      <c r="K3268" s="24" t="str">
        <f aca="false">IF(OR(E3268="",E3268="!!!",F3268="NEW"),"",INDEX(J$1:J3267,SUMPRODUCT(MAX(ROW(E$1:E3267)*(E3268=E$1:E3267)))))</f>
        <v/>
      </c>
      <c r="L3268" s="31"/>
    </row>
    <row r="3269" customFormat="false" ht="15" hidden="false" customHeight="false" outlineLevel="0" collapsed="false">
      <c r="A3269" s="20" t="s">
        <v>2125</v>
      </c>
      <c r="E3269" s="23" t="str">
        <f aca="false">IF(D3269="?OLD","!!!","")</f>
        <v/>
      </c>
      <c r="F3269" s="25" t="str">
        <f aca="false">IF(OR(E3269="",E3269="!!!"),"",IF(NOT(ISNA(VLOOKUP(E3269,E$1:E3268,1,FALSE()))),"OLD",IF(AND(E3269&lt;&gt;"",E3269&lt;&gt;"!!!"),"NEW","")))</f>
        <v/>
      </c>
      <c r="G3269" s="26" t="str">
        <f aca="false">IF(OR(E3269="",E3269="!!!"),"",IF(OR(J3269=0,AND(J3269=1,K3269=1),AND(J3269=1,I3269="SBJ"),AND(J3269=1,I3269=0)),"?IN_FOCUS",IF(J3269&lt;=2,"?ACTIVATED",IF(J3269&lt;&gt;"","?FAMILIAR",IF(F3269="NEW",IF(ISNA(VLOOKUP(E3269,#REF!,1,FALSE())),"?TYPE_IDENTIFIABLE","?REFERENTIAL"),"_")))))</f>
        <v/>
      </c>
      <c r="H3269" s="27" t="str">
        <f aca="false">IF(J3269&lt;&gt;1,"",IF(I3269="SBJ","CB","?"))</f>
        <v/>
      </c>
      <c r="I3269" s="24" t="str">
        <f aca="false">IF(OR(E3269="",E3269="!!!",F3269="NEW"),"",INDEX(B8:B$3262,-1+SUMPRODUCT(MAX(ROW(E8:E$3262)*(E3269=E8:E$3262)))))</f>
        <v/>
      </c>
      <c r="J3269" s="24" t="str">
        <f aca="true">IF(OR(E3269="",E3269="!!!",F3269="NEW"),"",COUNTBLANK(OFFSET(A$1,,,SUMPRODUCT(MAX(ROW(E$2:E3269)*(E3269=E$2:E3269)))))-COUNTBLANK(OFFSET(A$1,,,SUMPRODUCT(MAX(ROW(E$1:E3268)*(E2=E$1:E3268))))))</f>
        <v/>
      </c>
      <c r="K3269" s="24" t="str">
        <f aca="false">IF(OR(E3269="",E3269="!!!",F3269="NEW"),"",INDEX(J$1:J3268,SUMPRODUCT(MAX(ROW(E$1:E3268)*(E3269=E$1:E3268)))))</f>
        <v/>
      </c>
      <c r="L3269" s="31"/>
    </row>
    <row r="3270" customFormat="false" ht="15" hidden="false" customHeight="false" outlineLevel="0" collapsed="false">
      <c r="A3270" s="20" t="s">
        <v>1248</v>
      </c>
      <c r="E3270" s="23" t="str">
        <f aca="false">IF(D3270="?OLD","!!!","")</f>
        <v/>
      </c>
      <c r="F3270" s="25" t="str">
        <f aca="false">IF(OR(E3270="",E3270="!!!"),"",IF(NOT(ISNA(VLOOKUP(E3270,E$1:E3269,1,FALSE()))),"OLD",IF(AND(E3270&lt;&gt;"",E3270&lt;&gt;"!!!"),"NEW","")))</f>
        <v/>
      </c>
      <c r="G3270" s="26" t="str">
        <f aca="false">IF(OR(E3270="",E3270="!!!"),"",IF(OR(J3270=0,AND(J3270=1,K3270=1),AND(J3270=1,I3270="SBJ"),AND(J3270=1,I3270=0)),"?IN_FOCUS",IF(J3270&lt;=2,"?ACTIVATED",IF(J3270&lt;&gt;"","?FAMILIAR",IF(F3270="NEW",IF(ISNA(VLOOKUP(E3270,#REF!,1,FALSE())),"?TYPE_IDENTIFIABLE","?REFERENTIAL"),"_")))))</f>
        <v/>
      </c>
      <c r="H3270" s="27" t="str">
        <f aca="false">IF(J3270&lt;&gt;1,"",IF(I3270="SBJ","CB","?"))</f>
        <v/>
      </c>
      <c r="I3270" s="24" t="str">
        <f aca="false">IF(OR(E3270="",E3270="!!!",F3270="NEW"),"",INDEX(B9:B$3262,-1+SUMPRODUCT(MAX(ROW(E9:E$3262)*(E3270=E9:E$3262)))))</f>
        <v/>
      </c>
      <c r="J3270" s="24" t="str">
        <f aca="true">IF(OR(E3270="",E3270="!!!",F3270="NEW"),"",COUNTBLANK(OFFSET(A$1,,,SUMPRODUCT(MAX(ROW(E$2:E3270)*(E3270=E$2:E3270)))))-COUNTBLANK(OFFSET(A$1,,,SUMPRODUCT(MAX(ROW(E$1:E3269)*(E2=E$1:E3269))))))</f>
        <v/>
      </c>
      <c r="K3270" s="24" t="str">
        <f aca="false">IF(OR(E3270="",E3270="!!!",F3270="NEW"),"",INDEX(J$1:J3269,SUMPRODUCT(MAX(ROW(E$1:E3269)*(E3270=E$1:E3269)))))</f>
        <v/>
      </c>
      <c r="L3270" s="31"/>
    </row>
    <row r="3271" customFormat="false" ht="15" hidden="false" customHeight="false" outlineLevel="0" collapsed="false">
      <c r="A3271" s="20" t="s">
        <v>1339</v>
      </c>
      <c r="E3271" s="23" t="str">
        <f aca="false">IF(D3271="?OLD","!!!","")</f>
        <v/>
      </c>
      <c r="F3271" s="25" t="str">
        <f aca="false">IF(OR(E3271="",E3271="!!!"),"",IF(NOT(ISNA(VLOOKUP(E3271,E$1:E3270,1,FALSE()))),"OLD",IF(AND(E3271&lt;&gt;"",E3271&lt;&gt;"!!!"),"NEW","")))</f>
        <v/>
      </c>
      <c r="G3271" s="26" t="str">
        <f aca="false">IF(OR(E3271="",E3271="!!!"),"",IF(OR(J3271=0,AND(J3271=1,K3271=1),AND(J3271=1,I3271="SBJ"),AND(J3271=1,I3271=0)),"?IN_FOCUS",IF(J3271&lt;=2,"?ACTIVATED",IF(J3271&lt;&gt;"","?FAMILIAR",IF(F3271="NEW",IF(ISNA(VLOOKUP(E3271,#REF!,1,FALSE())),"?TYPE_IDENTIFIABLE","?REFERENTIAL"),"_")))))</f>
        <v/>
      </c>
      <c r="H3271" s="27" t="str">
        <f aca="false">IF(J3271&lt;&gt;1,"",IF(I3271="SBJ","CB","?"))</f>
        <v/>
      </c>
      <c r="I3271" s="24" t="str">
        <f aca="false">IF(OR(E3271="",E3271="!!!",F3271="NEW"),"",INDEX(B10:B$3262,-1+SUMPRODUCT(MAX(ROW(E10:E$3262)*(E3271=E10:E$3262)))))</f>
        <v/>
      </c>
      <c r="J3271" s="24" t="str">
        <f aca="true">IF(OR(E3271="",E3271="!!!",F3271="NEW"),"",COUNTBLANK(OFFSET(A$1,,,SUMPRODUCT(MAX(ROW(E$2:E3271)*(E3271=E$2:E3271)))))-COUNTBLANK(OFFSET(A$1,,,SUMPRODUCT(MAX(ROW(E$1:E3270)*(E2=E$1:E3270))))))</f>
        <v/>
      </c>
      <c r="K3271" s="24" t="str">
        <f aca="false">IF(OR(E3271="",E3271="!!!",F3271="NEW"),"",INDEX(J$1:J3270,SUMPRODUCT(MAX(ROW(E$1:E3270)*(E3271=E$1:E3270)))))</f>
        <v/>
      </c>
      <c r="L3271" s="31"/>
    </row>
    <row r="3272" customFormat="false" ht="15" hidden="false" customHeight="false" outlineLevel="0" collapsed="false">
      <c r="A3272" s="20" t="s">
        <v>1943</v>
      </c>
      <c r="B3272" s="22" t="s">
        <v>1105</v>
      </c>
      <c r="C3272" s="22" t="s">
        <v>1171</v>
      </c>
      <c r="D3272" s="22" t="s">
        <v>1060</v>
      </c>
      <c r="E3272" s="23" t="str">
        <f aca="false">IF(D3272="?OLD","!!!","")</f>
        <v>!!!</v>
      </c>
      <c r="F3272" s="25" t="str">
        <f aca="false">IF(OR(E3272="",E3272="!!!"),"",IF(NOT(ISNA(VLOOKUP(E3272,E$1:E3271,1,FALSE()))),"OLD",IF(AND(E3272&lt;&gt;"",E3272&lt;&gt;"!!!"),"NEW","")))</f>
        <v/>
      </c>
      <c r="G3272" s="26" t="str">
        <f aca="false">IF(OR(E3272="",E3272="!!!"),"",IF(OR(J3272=0,AND(J3272=1,K3272=1),AND(J3272=1,I3272="SBJ"),AND(J3272=1,I3272=0)),"?IN_FOCUS",IF(J3272&lt;=2,"?ACTIVATED",IF(J3272&lt;&gt;"","?FAMILIAR",IF(F3272="NEW",IF(ISNA(VLOOKUP(E3272,#REF!,1,FALSE())),"?TYPE_IDENTIFIABLE","?REFERENTIAL"),"_")))))</f>
        <v/>
      </c>
      <c r="H3272" s="27" t="str">
        <f aca="false">IF(J3272&lt;&gt;1,"",IF(I3272="SBJ","CB","?"))</f>
        <v/>
      </c>
      <c r="I3272" s="24" t="str">
        <f aca="false">IF(OR(E3272="",E3272="!!!",F3272="NEW"),"",INDEX(B11:B$3262,-1+SUMPRODUCT(MAX(ROW(E11:E$3262)*(E3272=E11:E$3262)))))</f>
        <v/>
      </c>
      <c r="J3272" s="24" t="str">
        <f aca="true">IF(OR(E3272="",E3272="!!!",F3272="NEW"),"",COUNTBLANK(OFFSET(A$1,,,SUMPRODUCT(MAX(ROW(E$2:E3272)*(E3272=E$2:E3272)))))-COUNTBLANK(OFFSET(A$1,,,SUMPRODUCT(MAX(ROW(E$1:E3271)*(E2=E$1:E3271))))))</f>
        <v/>
      </c>
      <c r="K3272" s="24" t="str">
        <f aca="false">IF(OR(E3272="",E3272="!!!",F3272="NEW"),"",INDEX(J$1:J3271,SUMPRODUCT(MAX(ROW(E$1:E3271)*(E3272=E$1:E3271)))))</f>
        <v/>
      </c>
      <c r="L3272" s="31"/>
    </row>
    <row r="3273" customFormat="false" ht="15" hidden="false" customHeight="false" outlineLevel="0" collapsed="false">
      <c r="A3273" s="20" t="s">
        <v>1328</v>
      </c>
      <c r="E3273" s="23" t="str">
        <f aca="false">IF(D3273="?OLD","!!!","")</f>
        <v/>
      </c>
      <c r="F3273" s="25" t="str">
        <f aca="false">IF(OR(E3273="",E3273="!!!"),"",IF(NOT(ISNA(VLOOKUP(E3273,E$1:E3272,1,FALSE()))),"OLD",IF(AND(E3273&lt;&gt;"",E3273&lt;&gt;"!!!"),"NEW","")))</f>
        <v/>
      </c>
      <c r="G3273" s="26" t="str">
        <f aca="false">IF(OR(E3273="",E3273="!!!"),"",IF(OR(J3273=0,AND(J3273=1,K3273=1),AND(J3273=1,I3273="SBJ"),AND(J3273=1,I3273=0)),"?IN_FOCUS",IF(J3273&lt;=2,"?ACTIVATED",IF(J3273&lt;&gt;"","?FAMILIAR",IF(F3273="NEW",IF(ISNA(VLOOKUP(E3273,#REF!,1,FALSE())),"?TYPE_IDENTIFIABLE","?REFERENTIAL"),"_")))))</f>
        <v/>
      </c>
      <c r="H3273" s="27" t="str">
        <f aca="false">IF(J3273&lt;&gt;1,"",IF(I3273="SBJ","CB","?"))</f>
        <v/>
      </c>
      <c r="I3273" s="24" t="str">
        <f aca="false">IF(OR(E3273="",E3273="!!!",F3273="NEW"),"",INDEX(B12:B$3262,-1+SUMPRODUCT(MAX(ROW(E12:E$3262)*(E3273=E12:E$3262)))))</f>
        <v/>
      </c>
      <c r="J3273" s="24" t="str">
        <f aca="true">IF(OR(E3273="",E3273="!!!",F3273="NEW"),"",COUNTBLANK(OFFSET(A$1,,,SUMPRODUCT(MAX(ROW(E$2:E3273)*(E3273=E$2:E3273)))))-COUNTBLANK(OFFSET(A$1,,,SUMPRODUCT(MAX(ROW(E$1:E3272)*(E2=E$1:E3272))))))</f>
        <v/>
      </c>
      <c r="K3273" s="24" t="str">
        <f aca="false">IF(OR(E3273="",E3273="!!!",F3273="NEW"),"",INDEX(J$1:J3272,SUMPRODUCT(MAX(ROW(E$1:E3272)*(E3273=E$1:E3272)))))</f>
        <v/>
      </c>
      <c r="L3273" s="31"/>
    </row>
    <row r="3274" customFormat="false" ht="15" hidden="false" customHeight="false" outlineLevel="0" collapsed="false">
      <c r="A3274" s="20"/>
    </row>
    <row r="3275" customFormat="false" ht="15" hidden="false" customHeight="false" outlineLevel="0" collapsed="false">
      <c r="A3275" s="20" t="s">
        <v>1301</v>
      </c>
      <c r="E3275" s="23" t="str">
        <f aca="false">IF(D3275="?OLD","!!!","")</f>
        <v/>
      </c>
      <c r="F3275" s="25" t="str">
        <f aca="false">IF(OR(E3275="",E3275="!!!"),"",IF(NOT(ISNA(VLOOKUP(E3275,E$1:E3274,1,FALSE()))),"OLD",IF(AND(E3275&lt;&gt;"",E3275&lt;&gt;"!!!"),"NEW","")))</f>
        <v/>
      </c>
      <c r="G3275" s="26" t="str">
        <f aca="false">IF(OR(E3275="",E3275="!!!"),"",IF(OR(J3275=0,AND(J3275=1,K3275=1),AND(J3275=1,I3275="SBJ"),AND(J3275=1,I3275=0)),"?IN_FOCUS",IF(J3275&lt;=2,"?ACTIVATED",IF(J3275&lt;&gt;"","?FAMILIAR",IF(F3275="NEW",IF(ISNA(VLOOKUP(E3275,#REF!,1,FALSE())),"?TYPE_IDENTIFIABLE","?REFERENTIAL"),"_")))))</f>
        <v/>
      </c>
      <c r="H3275" s="27" t="str">
        <f aca="false">IF(J3275&lt;&gt;1,"",IF(I3275="SBJ","CB","?"))</f>
        <v/>
      </c>
      <c r="I3275" s="24" t="str">
        <f aca="false">IF(OR(E3275="",E3275="!!!",F3275="NEW"),"",INDEX(B2:B$3274,-1+SUMPRODUCT(MAX(ROW(E2:E$3274)*(E3275=E2:E$3274)))))</f>
        <v/>
      </c>
      <c r="J3275" s="24" t="str">
        <f aca="true">IF(OR(E3275="",E3275="!!!",F3275="NEW"),"",COUNTBLANK(OFFSET(A$1,,,SUMPRODUCT(MAX(ROW(E$2:E3275)*(E3275=E$2:E3275)))))-COUNTBLANK(OFFSET(A$1,,,SUMPRODUCT(MAX(ROW(E$1:E3274)*(E2=E$1:E3274))))))</f>
        <v/>
      </c>
      <c r="K3275" s="24" t="str">
        <f aca="false">IF(OR(E3275="",E3275="!!!",F3275="NEW"),"",INDEX(J$1:J3274,SUMPRODUCT(MAX(ROW(E$1:E3274)*(E3275=E$1:E3274)))))</f>
        <v/>
      </c>
      <c r="L3275" s="31"/>
    </row>
    <row r="3276" customFormat="false" ht="15" hidden="false" customHeight="false" outlineLevel="0" collapsed="false">
      <c r="A3276" s="20" t="s">
        <v>2126</v>
      </c>
    </row>
    <row r="3277" customFormat="false" ht="15" hidden="false" customHeight="false" outlineLevel="0" collapsed="false">
      <c r="A3277" s="20" t="s">
        <v>1832</v>
      </c>
      <c r="E3277" s="23" t="str">
        <f aca="false">IF(D3277="?OLD","!!!","")</f>
        <v/>
      </c>
      <c r="F3277" s="25" t="str">
        <f aca="false">IF(OR(E3277="",E3277="!!!"),"",IF(NOT(ISNA(VLOOKUP(E3277,E$1:E3276,1,FALSE()))),"OLD",IF(AND(E3277&lt;&gt;"",E3277&lt;&gt;"!!!"),"NEW","")))</f>
        <v/>
      </c>
      <c r="G3277" s="26" t="str">
        <f aca="false">IF(OR(E3277="",E3277="!!!"),"",IF(OR(J3277=0,AND(J3277=1,K3277=1),AND(J3277=1,I3277="SBJ"),AND(J3277=1,I3277=0)),"?IN_FOCUS",IF(J3277&lt;=2,"?ACTIVATED",IF(J3277&lt;&gt;"","?FAMILIAR",IF(F3277="NEW",IF(ISNA(VLOOKUP(E3277,#REF!,1,FALSE())),"?TYPE_IDENTIFIABLE","?REFERENTIAL"),"_")))))</f>
        <v/>
      </c>
      <c r="H3277" s="27" t="str">
        <f aca="false">IF(J3277&lt;&gt;1,"",IF(I3277="SBJ","CB","?"))</f>
        <v/>
      </c>
      <c r="I3277" s="24" t="str">
        <f aca="false">IF(OR(E3277="",E3277="!!!",F3277="NEW"),"",INDEX(B2:B$3276,-1+SUMPRODUCT(MAX(ROW(E2:E$3276)*(E3277=E2:E$3276)))))</f>
        <v/>
      </c>
      <c r="J3277" s="24" t="str">
        <f aca="true">IF(OR(E3277="",E3277="!!!",F3277="NEW"),"",COUNTBLANK(OFFSET(A$1,,,SUMPRODUCT(MAX(ROW(E$2:E3277)*(E3277=E$2:E3277)))))-COUNTBLANK(OFFSET(A$1,,,SUMPRODUCT(MAX(ROW(E$1:E3276)*(E2=E$1:E3276))))))</f>
        <v/>
      </c>
      <c r="K3277" s="24" t="str">
        <f aca="false">IF(OR(E3277="",E3277="!!!",F3277="NEW"),"",INDEX(J$1:J3276,SUMPRODUCT(MAX(ROW(E$1:E3276)*(E3277=E$1:E3276)))))</f>
        <v/>
      </c>
      <c r="L3277" s="31"/>
    </row>
    <row r="3278" customFormat="false" ht="15" hidden="false" customHeight="false" outlineLevel="0" collapsed="false">
      <c r="A3278" s="20" t="s">
        <v>1186</v>
      </c>
      <c r="B3278" s="22" t="s">
        <v>1058</v>
      </c>
      <c r="C3278" s="22" t="s">
        <v>1082</v>
      </c>
      <c r="D3278" s="22" t="s">
        <v>1060</v>
      </c>
      <c r="E3278" s="23" t="str">
        <f aca="false">IF(D3278="?OLD","!!!","")</f>
        <v>!!!</v>
      </c>
      <c r="F3278" s="25" t="str">
        <f aca="false">IF(OR(E3278="",E3278="!!!"),"",IF(NOT(ISNA(VLOOKUP(E3278,E$1:E3277,1,FALSE()))),"OLD",IF(AND(E3278&lt;&gt;"",E3278&lt;&gt;"!!!"),"NEW","")))</f>
        <v/>
      </c>
      <c r="G3278" s="26" t="str">
        <f aca="false">IF(OR(E3278="",E3278="!!!"),"",IF(OR(J3278=0,AND(J3278=1,K3278=1),AND(J3278=1,I3278="SBJ"),AND(J3278=1,I3278=0)),"?IN_FOCUS",IF(J3278&lt;=2,"?ACTIVATED",IF(J3278&lt;&gt;"","?FAMILIAR",IF(F3278="NEW",IF(ISNA(VLOOKUP(E3278,#REF!,1,FALSE())),"?TYPE_IDENTIFIABLE","?REFERENTIAL"),"_")))))</f>
        <v/>
      </c>
      <c r="H3278" s="27" t="str">
        <f aca="false">IF(J3278&lt;&gt;1,"",IF(I3278="SBJ","CB","?"))</f>
        <v/>
      </c>
      <c r="I3278" s="24" t="str">
        <f aca="false">IF(OR(E3278="",E3278="!!!",F3278="NEW"),"",INDEX(B3:B$3276,-1+SUMPRODUCT(MAX(ROW(E3:E$3276)*(E3278=E3:E$3276)))))</f>
        <v/>
      </c>
      <c r="J3278" s="24" t="str">
        <f aca="true">IF(OR(E3278="",E3278="!!!",F3278="NEW"),"",COUNTBLANK(OFFSET(A$1,,,SUMPRODUCT(MAX(ROW(E$2:E3278)*(E3278=E$2:E3278)))))-COUNTBLANK(OFFSET(A$1,,,SUMPRODUCT(MAX(ROW(E$1:E3277)*(E2=E$1:E3277))))))</f>
        <v/>
      </c>
      <c r="K3278" s="24" t="str">
        <f aca="false">IF(OR(E3278="",E3278="!!!",F3278="NEW"),"",INDEX(J$1:J3277,SUMPRODUCT(MAX(ROW(E$1:E3277)*(E3278=E$1:E3277)))))</f>
        <v/>
      </c>
      <c r="L3278" s="31"/>
    </row>
    <row r="3279" customFormat="false" ht="15" hidden="false" customHeight="false" outlineLevel="0" collapsed="false">
      <c r="A3279" s="20" t="s">
        <v>2127</v>
      </c>
      <c r="E3279" s="23" t="str">
        <f aca="false">IF(D3279="?OLD","!!!","")</f>
        <v/>
      </c>
      <c r="F3279" s="25" t="str">
        <f aca="false">IF(OR(E3279="",E3279="!!!"),"",IF(NOT(ISNA(VLOOKUP(E3279,E$1:E3278,1,FALSE()))),"OLD",IF(AND(E3279&lt;&gt;"",E3279&lt;&gt;"!!!"),"NEW","")))</f>
        <v/>
      </c>
      <c r="G3279" s="26" t="str">
        <f aca="false">IF(OR(E3279="",E3279="!!!"),"",IF(OR(J3279=0,AND(J3279=1,K3279=1),AND(J3279=1,I3279="SBJ"),AND(J3279=1,I3279=0)),"?IN_FOCUS",IF(J3279&lt;=2,"?ACTIVATED",IF(J3279&lt;&gt;"","?FAMILIAR",IF(F3279="NEW",IF(ISNA(VLOOKUP(E3279,#REF!,1,FALSE())),"?TYPE_IDENTIFIABLE","?REFERENTIAL"),"_")))))</f>
        <v/>
      </c>
      <c r="H3279" s="27" t="str">
        <f aca="false">IF(J3279&lt;&gt;1,"",IF(I3279="SBJ","CB","?"))</f>
        <v/>
      </c>
      <c r="I3279" s="24" t="str">
        <f aca="false">IF(OR(E3279="",E3279="!!!",F3279="NEW"),"",INDEX(B4:B$3276,-1+SUMPRODUCT(MAX(ROW(E4:E$3276)*(E3279=E4:E$3276)))))</f>
        <v/>
      </c>
      <c r="J3279" s="24" t="str">
        <f aca="true">IF(OR(E3279="",E3279="!!!",F3279="NEW"),"",COUNTBLANK(OFFSET(A$1,,,SUMPRODUCT(MAX(ROW(E$2:E3279)*(E3279=E$2:E3279)))))-COUNTBLANK(OFFSET(A$1,,,SUMPRODUCT(MAX(ROW(E$1:E3278)*(E2=E$1:E3278))))))</f>
        <v/>
      </c>
      <c r="K3279" s="24" t="str">
        <f aca="false">IF(OR(E3279="",E3279="!!!",F3279="NEW"),"",INDEX(J$1:J3278,SUMPRODUCT(MAX(ROW(E$1:E3278)*(E3279=E$1:E3278)))))</f>
        <v/>
      </c>
      <c r="L3279" s="31"/>
    </row>
    <row r="3280" customFormat="false" ht="15" hidden="false" customHeight="false" outlineLevel="0" collapsed="false">
      <c r="A3280" s="20" t="s">
        <v>647</v>
      </c>
      <c r="E3280" s="23" t="str">
        <f aca="false">IF(D3280="?OLD","!!!","")</f>
        <v/>
      </c>
      <c r="F3280" s="25" t="str">
        <f aca="false">IF(OR(E3280="",E3280="!!!"),"",IF(NOT(ISNA(VLOOKUP(E3280,E$1:E3279,1,FALSE()))),"OLD",IF(AND(E3280&lt;&gt;"",E3280&lt;&gt;"!!!"),"NEW","")))</f>
        <v/>
      </c>
      <c r="G3280" s="26" t="str">
        <f aca="false">IF(OR(E3280="",E3280="!!!"),"",IF(OR(J3280=0,AND(J3280=1,K3280=1),AND(J3280=1,I3280="SBJ"),AND(J3280=1,I3280=0)),"?IN_FOCUS",IF(J3280&lt;=2,"?ACTIVATED",IF(J3280&lt;&gt;"","?FAMILIAR",IF(F3280="NEW",IF(ISNA(VLOOKUP(E3280,#REF!,1,FALSE())),"?TYPE_IDENTIFIABLE","?REFERENTIAL"),"_")))))</f>
        <v/>
      </c>
      <c r="H3280" s="27" t="str">
        <f aca="false">IF(J3280&lt;&gt;1,"",IF(I3280="SBJ","CB","?"))</f>
        <v/>
      </c>
      <c r="I3280" s="24" t="str">
        <f aca="false">IF(OR(E3280="",E3280="!!!",F3280="NEW"),"",INDEX(B5:B$3276,-1+SUMPRODUCT(MAX(ROW(E5:E$3276)*(E3280=E5:E$3276)))))</f>
        <v/>
      </c>
      <c r="J3280" s="24" t="str">
        <f aca="true">IF(OR(E3280="",E3280="!!!",F3280="NEW"),"",COUNTBLANK(OFFSET(A$1,,,SUMPRODUCT(MAX(ROW(E$2:E3280)*(E3280=E$2:E3280)))))-COUNTBLANK(OFFSET(A$1,,,SUMPRODUCT(MAX(ROW(E$1:E3279)*(E2=E$1:E3279))))))</f>
        <v/>
      </c>
      <c r="K3280" s="24" t="str">
        <f aca="false">IF(OR(E3280="",E3280="!!!",F3280="NEW"),"",INDEX(J$1:J3279,SUMPRODUCT(MAX(ROW(E$1:E3279)*(E3280=E$1:E3279)))))</f>
        <v/>
      </c>
      <c r="L3280" s="31"/>
    </row>
    <row r="3281" customFormat="false" ht="15" hidden="false" customHeight="false" outlineLevel="0" collapsed="false">
      <c r="A3281" s="20" t="s">
        <v>1109</v>
      </c>
      <c r="E3281" s="23" t="str">
        <f aca="false">IF(D3281="?OLD","!!!","")</f>
        <v/>
      </c>
      <c r="F3281" s="25" t="str">
        <f aca="false">IF(OR(E3281="",E3281="!!!"),"",IF(NOT(ISNA(VLOOKUP(E3281,E$1:E3280,1,FALSE()))),"OLD",IF(AND(E3281&lt;&gt;"",E3281&lt;&gt;"!!!"),"NEW","")))</f>
        <v/>
      </c>
      <c r="G3281" s="26" t="str">
        <f aca="false">IF(OR(E3281="",E3281="!!!"),"",IF(OR(J3281=0,AND(J3281=1,K3281=1),AND(J3281=1,I3281="SBJ"),AND(J3281=1,I3281=0)),"?IN_FOCUS",IF(J3281&lt;=2,"?ACTIVATED",IF(J3281&lt;&gt;"","?FAMILIAR",IF(F3281="NEW",IF(ISNA(VLOOKUP(E3281,#REF!,1,FALSE())),"?TYPE_IDENTIFIABLE","?REFERENTIAL"),"_")))))</f>
        <v/>
      </c>
      <c r="H3281" s="27" t="str">
        <f aca="false">IF(J3281&lt;&gt;1,"",IF(I3281="SBJ","CB","?"))</f>
        <v/>
      </c>
      <c r="I3281" s="24" t="str">
        <f aca="false">IF(OR(E3281="",E3281="!!!",F3281="NEW"),"",INDEX(B6:B$3276,-1+SUMPRODUCT(MAX(ROW(E6:E$3276)*(E3281=E6:E$3276)))))</f>
        <v/>
      </c>
      <c r="J3281" s="24" t="str">
        <f aca="true">IF(OR(E3281="",E3281="!!!",F3281="NEW"),"",COUNTBLANK(OFFSET(A$1,,,SUMPRODUCT(MAX(ROW(E$2:E3281)*(E3281=E$2:E3281)))))-COUNTBLANK(OFFSET(A$1,,,SUMPRODUCT(MAX(ROW(E$1:E3280)*(E2=E$1:E3280))))))</f>
        <v/>
      </c>
      <c r="K3281" s="24" t="str">
        <f aca="false">IF(OR(E3281="",E3281="!!!",F3281="NEW"),"",INDEX(J$1:J3280,SUMPRODUCT(MAX(ROW(E$1:E3280)*(E3281=E$1:E3280)))))</f>
        <v/>
      </c>
      <c r="L3281" s="31"/>
    </row>
    <row r="3282" customFormat="false" ht="15" hidden="false" customHeight="false" outlineLevel="0" collapsed="false">
      <c r="A3282" s="20" t="s">
        <v>1269</v>
      </c>
      <c r="B3282" s="22" t="s">
        <v>1081</v>
      </c>
      <c r="C3282" s="22" t="s">
        <v>1150</v>
      </c>
      <c r="D3282" s="22" t="s">
        <v>1060</v>
      </c>
      <c r="E3282" s="23" t="str">
        <f aca="false">IF(D3282="?OLD","!!!","")</f>
        <v>!!!</v>
      </c>
      <c r="F3282" s="25" t="str">
        <f aca="false">IF(OR(E3282="",E3282="!!!"),"",IF(NOT(ISNA(VLOOKUP(E3282,E$1:E3281,1,FALSE()))),"OLD",IF(AND(E3282&lt;&gt;"",E3282&lt;&gt;"!!!"),"NEW","")))</f>
        <v/>
      </c>
      <c r="G3282" s="26" t="str">
        <f aca="false">IF(OR(E3282="",E3282="!!!"),"",IF(OR(J3282=0,AND(J3282=1,K3282=1),AND(J3282=1,I3282="SBJ"),AND(J3282=1,I3282=0)),"?IN_FOCUS",IF(J3282&lt;=2,"?ACTIVATED",IF(J3282&lt;&gt;"","?FAMILIAR",IF(F3282="NEW",IF(ISNA(VLOOKUP(E3282,#REF!,1,FALSE())),"?TYPE_IDENTIFIABLE","?REFERENTIAL"),"_")))))</f>
        <v/>
      </c>
      <c r="H3282" s="27" t="str">
        <f aca="false">IF(J3282&lt;&gt;1,"",IF(I3282="SBJ","CB","?"))</f>
        <v/>
      </c>
      <c r="I3282" s="24" t="str">
        <f aca="false">IF(OR(E3282="",E3282="!!!",F3282="NEW"),"",INDEX(B7:B$3276,-1+SUMPRODUCT(MAX(ROW(E7:E$3276)*(E3282=E7:E$3276)))))</f>
        <v/>
      </c>
      <c r="J3282" s="24" t="str">
        <f aca="true">IF(OR(E3282="",E3282="!!!",F3282="NEW"),"",COUNTBLANK(OFFSET(A$1,,,SUMPRODUCT(MAX(ROW(E$2:E3282)*(E3282=E$2:E3282)))))-COUNTBLANK(OFFSET(A$1,,,SUMPRODUCT(MAX(ROW(E$1:E3281)*(E2=E$1:E3281))))))</f>
        <v/>
      </c>
      <c r="K3282" s="24" t="str">
        <f aca="false">IF(OR(E3282="",E3282="!!!",F3282="NEW"),"",INDEX(J$1:J3281,SUMPRODUCT(MAX(ROW(E$1:E3281)*(E3282=E$1:E3281)))))</f>
        <v/>
      </c>
      <c r="L3282" s="31"/>
    </row>
    <row r="3283" customFormat="false" ht="15" hidden="false" customHeight="false" outlineLevel="0" collapsed="false">
      <c r="A3283" s="20" t="s">
        <v>1128</v>
      </c>
      <c r="E3283" s="23" t="str">
        <f aca="false">IF(D3283="?OLD","!!!","")</f>
        <v/>
      </c>
      <c r="F3283" s="25" t="str">
        <f aca="false">IF(OR(E3283="",E3283="!!!"),"",IF(NOT(ISNA(VLOOKUP(E3283,E$1:E3282,1,FALSE()))),"OLD",IF(AND(E3283&lt;&gt;"",E3283&lt;&gt;"!!!"),"NEW","")))</f>
        <v/>
      </c>
      <c r="G3283" s="26" t="str">
        <f aca="false">IF(OR(E3283="",E3283="!!!"),"",IF(OR(J3283=0,AND(J3283=1,K3283=1),AND(J3283=1,I3283="SBJ"),AND(J3283=1,I3283=0)),"?IN_FOCUS",IF(J3283&lt;=2,"?ACTIVATED",IF(J3283&lt;&gt;"","?FAMILIAR",IF(F3283="NEW",IF(ISNA(VLOOKUP(E3283,#REF!,1,FALSE())),"?TYPE_IDENTIFIABLE","?REFERENTIAL"),"_")))))</f>
        <v/>
      </c>
      <c r="H3283" s="27" t="str">
        <f aca="false">IF(J3283&lt;&gt;1,"",IF(I3283="SBJ","CB","?"))</f>
        <v/>
      </c>
      <c r="I3283" s="24" t="str">
        <f aca="false">IF(OR(E3283="",E3283="!!!",F3283="NEW"),"",INDEX(B8:B$3276,-1+SUMPRODUCT(MAX(ROW(E8:E$3276)*(E3283=E8:E$3276)))))</f>
        <v/>
      </c>
      <c r="J3283" s="24" t="str">
        <f aca="true">IF(OR(E3283="",E3283="!!!",F3283="NEW"),"",COUNTBLANK(OFFSET(A$1,,,SUMPRODUCT(MAX(ROW(E$2:E3283)*(E3283=E$2:E3283)))))-COUNTBLANK(OFFSET(A$1,,,SUMPRODUCT(MAX(ROW(E$1:E3282)*(E2=E$1:E3282))))))</f>
        <v/>
      </c>
      <c r="K3283" s="24" t="str">
        <f aca="false">IF(OR(E3283="",E3283="!!!",F3283="NEW"),"",INDEX(J$1:J3282,SUMPRODUCT(MAX(ROW(E$1:E3282)*(E3283=E$1:E3282)))))</f>
        <v/>
      </c>
      <c r="L3283" s="31"/>
    </row>
    <row r="3284" customFormat="false" ht="15" hidden="false" customHeight="false" outlineLevel="0" collapsed="false">
      <c r="A3284" s="20" t="s">
        <v>127</v>
      </c>
      <c r="E3284" s="23" t="str">
        <f aca="false">IF(D3284="?OLD","!!!","")</f>
        <v/>
      </c>
      <c r="F3284" s="25" t="str">
        <f aca="false">IF(OR(E3284="",E3284="!!!"),"",IF(NOT(ISNA(VLOOKUP(E3284,E$1:E3283,1,FALSE()))),"OLD",IF(AND(E3284&lt;&gt;"",E3284&lt;&gt;"!!!"),"NEW","")))</f>
        <v/>
      </c>
      <c r="G3284" s="26" t="str">
        <f aca="false">IF(OR(E3284="",E3284="!!!"),"",IF(OR(J3284=0,AND(J3284=1,K3284=1),AND(J3284=1,I3284="SBJ"),AND(J3284=1,I3284=0)),"?IN_FOCUS",IF(J3284&lt;=2,"?ACTIVATED",IF(J3284&lt;&gt;"","?FAMILIAR",IF(F3284="NEW",IF(ISNA(VLOOKUP(E3284,#REF!,1,FALSE())),"?TYPE_IDENTIFIABLE","?REFERENTIAL"),"_")))))</f>
        <v/>
      </c>
      <c r="H3284" s="27" t="str">
        <f aca="false">IF(J3284&lt;&gt;1,"",IF(I3284="SBJ","CB","?"))</f>
        <v/>
      </c>
      <c r="I3284" s="24" t="str">
        <f aca="false">IF(OR(E3284="",E3284="!!!",F3284="NEW"),"",INDEX(B9:B$3276,-1+SUMPRODUCT(MAX(ROW(E9:E$3276)*(E3284=E9:E$3276)))))</f>
        <v/>
      </c>
      <c r="J3284" s="24" t="str">
        <f aca="true">IF(OR(E3284="",E3284="!!!",F3284="NEW"),"",COUNTBLANK(OFFSET(A$1,,,SUMPRODUCT(MAX(ROW(E$2:E3284)*(E3284=E$2:E3284)))))-COUNTBLANK(OFFSET(A$1,,,SUMPRODUCT(MAX(ROW(E$1:E3283)*(E2=E$1:E3283))))))</f>
        <v/>
      </c>
      <c r="K3284" s="24" t="str">
        <f aca="false">IF(OR(E3284="",E3284="!!!",F3284="NEW"),"",INDEX(J$1:J3283,SUMPRODUCT(MAX(ROW(E$1:E3283)*(E3284=E$1:E3283)))))</f>
        <v/>
      </c>
      <c r="L3284" s="31"/>
    </row>
    <row r="3285" customFormat="false" ht="15" hidden="false" customHeight="false" outlineLevel="0" collapsed="false">
      <c r="A3285" s="20" t="s">
        <v>2128</v>
      </c>
      <c r="E3285" s="23" t="str">
        <f aca="false">IF(D3285="?OLD","!!!","")</f>
        <v/>
      </c>
      <c r="F3285" s="25" t="str">
        <f aca="false">IF(OR(E3285="",E3285="!!!"),"",IF(NOT(ISNA(VLOOKUP(E3285,E$1:E3284,1,FALSE()))),"OLD",IF(AND(E3285&lt;&gt;"",E3285&lt;&gt;"!!!"),"NEW","")))</f>
        <v/>
      </c>
      <c r="G3285" s="26" t="str">
        <f aca="false">IF(OR(E3285="",E3285="!!!"),"",IF(OR(J3285=0,AND(J3285=1,K3285=1),AND(J3285=1,I3285="SBJ"),AND(J3285=1,I3285=0)),"?IN_FOCUS",IF(J3285&lt;=2,"?ACTIVATED",IF(J3285&lt;&gt;"","?FAMILIAR",IF(F3285="NEW",IF(ISNA(VLOOKUP(E3285,#REF!,1,FALSE())),"?TYPE_IDENTIFIABLE","?REFERENTIAL"),"_")))))</f>
        <v/>
      </c>
      <c r="H3285" s="27" t="str">
        <f aca="false">IF(J3285&lt;&gt;1,"",IF(I3285="SBJ","CB","?"))</f>
        <v/>
      </c>
      <c r="I3285" s="24" t="str">
        <f aca="false">IF(OR(E3285="",E3285="!!!",F3285="NEW"),"",INDEX(B10:B$3276,-1+SUMPRODUCT(MAX(ROW(E10:E$3276)*(E3285=E10:E$3276)))))</f>
        <v/>
      </c>
      <c r="J3285" s="24" t="str">
        <f aca="true">IF(OR(E3285="",E3285="!!!",F3285="NEW"),"",COUNTBLANK(OFFSET(A$1,,,SUMPRODUCT(MAX(ROW(E$2:E3285)*(E3285=E$2:E3285)))))-COUNTBLANK(OFFSET(A$1,,,SUMPRODUCT(MAX(ROW(E$1:E3284)*(E2=E$1:E3284))))))</f>
        <v/>
      </c>
      <c r="K3285" s="24" t="str">
        <f aca="false">IF(OR(E3285="",E3285="!!!",F3285="NEW"),"",INDEX(J$1:J3284,SUMPRODUCT(MAX(ROW(E$1:E3284)*(E3285=E$1:E3284)))))</f>
        <v/>
      </c>
      <c r="L3285" s="31"/>
    </row>
    <row r="3286" customFormat="false" ht="15" hidden="false" customHeight="false" outlineLevel="0" collapsed="false">
      <c r="A3286" s="20" t="s">
        <v>923</v>
      </c>
      <c r="E3286" s="23" t="str">
        <f aca="false">IF(D3286="?OLD","!!!","")</f>
        <v/>
      </c>
      <c r="F3286" s="25" t="str">
        <f aca="false">IF(OR(E3286="",E3286="!!!"),"",IF(NOT(ISNA(VLOOKUP(E3286,E$1:E3285,1,FALSE()))),"OLD",IF(AND(E3286&lt;&gt;"",E3286&lt;&gt;"!!!"),"NEW","")))</f>
        <v/>
      </c>
      <c r="G3286" s="26" t="str">
        <f aca="false">IF(OR(E3286="",E3286="!!!"),"",IF(OR(J3286=0,AND(J3286=1,K3286=1),AND(J3286=1,I3286="SBJ"),AND(J3286=1,I3286=0)),"?IN_FOCUS",IF(J3286&lt;=2,"?ACTIVATED",IF(J3286&lt;&gt;"","?FAMILIAR",IF(F3286="NEW",IF(ISNA(VLOOKUP(E3286,#REF!,1,FALSE())),"?TYPE_IDENTIFIABLE","?REFERENTIAL"),"_")))))</f>
        <v/>
      </c>
      <c r="H3286" s="27" t="str">
        <f aca="false">IF(J3286&lt;&gt;1,"",IF(I3286="SBJ","CB","?"))</f>
        <v/>
      </c>
      <c r="I3286" s="24" t="str">
        <f aca="false">IF(OR(E3286="",E3286="!!!",F3286="NEW"),"",INDEX(B11:B$3276,-1+SUMPRODUCT(MAX(ROW(E11:E$3276)*(E3286=E11:E$3276)))))</f>
        <v/>
      </c>
      <c r="J3286" s="24" t="str">
        <f aca="true">IF(OR(E3286="",E3286="!!!",F3286="NEW"),"",COUNTBLANK(OFFSET(A$1,,,SUMPRODUCT(MAX(ROW(E$2:E3286)*(E3286=E$2:E3286)))))-COUNTBLANK(OFFSET(A$1,,,SUMPRODUCT(MAX(ROW(E$1:E3285)*(E2=E$1:E3285))))))</f>
        <v/>
      </c>
      <c r="K3286" s="24" t="str">
        <f aca="false">IF(OR(E3286="",E3286="!!!",F3286="NEW"),"",INDEX(J$1:J3285,SUMPRODUCT(MAX(ROW(E$1:E3285)*(E3286=E$1:E3285)))))</f>
        <v/>
      </c>
      <c r="L3286" s="31"/>
    </row>
    <row r="3287" customFormat="false" ht="15" hidden="false" customHeight="false" outlineLevel="0" collapsed="false">
      <c r="A3287" s="20" t="s">
        <v>607</v>
      </c>
      <c r="E3287" s="23" t="str">
        <f aca="false">IF(D3287="?OLD","!!!","")</f>
        <v/>
      </c>
      <c r="F3287" s="25" t="str">
        <f aca="false">IF(OR(E3287="",E3287="!!!"),"",IF(NOT(ISNA(VLOOKUP(E3287,E$1:E3286,1,FALSE()))),"OLD",IF(AND(E3287&lt;&gt;"",E3287&lt;&gt;"!!!"),"NEW","")))</f>
        <v/>
      </c>
      <c r="G3287" s="26" t="str">
        <f aca="false">IF(OR(E3287="",E3287="!!!"),"",IF(OR(J3287=0,AND(J3287=1,K3287=1),AND(J3287=1,I3287="SBJ"),AND(J3287=1,I3287=0)),"?IN_FOCUS",IF(J3287&lt;=2,"?ACTIVATED",IF(J3287&lt;&gt;"","?FAMILIAR",IF(F3287="NEW",IF(ISNA(VLOOKUP(E3287,#REF!,1,FALSE())),"?TYPE_IDENTIFIABLE","?REFERENTIAL"),"_")))))</f>
        <v/>
      </c>
      <c r="H3287" s="27" t="str">
        <f aca="false">IF(J3287&lt;&gt;1,"",IF(I3287="SBJ","CB","?"))</f>
        <v/>
      </c>
      <c r="I3287" s="24" t="str">
        <f aca="false">IF(OR(E3287="",E3287="!!!",F3287="NEW"),"",INDEX(B12:B$3276,-1+SUMPRODUCT(MAX(ROW(E12:E$3276)*(E3287=E12:E$3276)))))</f>
        <v/>
      </c>
      <c r="J3287" s="24" t="str">
        <f aca="true">IF(OR(E3287="",E3287="!!!",F3287="NEW"),"",COUNTBLANK(OFFSET(A$1,,,SUMPRODUCT(MAX(ROW(E$2:E3287)*(E3287=E$2:E3287)))))-COUNTBLANK(OFFSET(A$1,,,SUMPRODUCT(MAX(ROW(E$1:E3286)*(E2=E$1:E3286))))))</f>
        <v/>
      </c>
      <c r="K3287" s="24" t="str">
        <f aca="false">IF(OR(E3287="",E3287="!!!",F3287="NEW"),"",INDEX(J$1:J3286,SUMPRODUCT(MAX(ROW(E$1:E3286)*(E3287=E$1:E3286)))))</f>
        <v/>
      </c>
      <c r="L3287" s="31"/>
    </row>
    <row r="3288" customFormat="false" ht="15" hidden="false" customHeight="false" outlineLevel="0" collapsed="false">
      <c r="A3288" s="20"/>
    </row>
    <row r="3289" customFormat="false" ht="15" hidden="false" customHeight="false" outlineLevel="0" collapsed="false">
      <c r="A3289" s="20" t="s">
        <v>2129</v>
      </c>
    </row>
    <row r="3290" customFormat="false" ht="15" hidden="false" customHeight="false" outlineLevel="0" collapsed="false">
      <c r="A3290" s="20" t="s">
        <v>1148</v>
      </c>
      <c r="E3290" s="23" t="str">
        <f aca="false">IF(D3290="?OLD","!!!","")</f>
        <v/>
      </c>
      <c r="F3290" s="25" t="str">
        <f aca="false">IF(OR(E3290="",E3290="!!!"),"",IF(NOT(ISNA(VLOOKUP(E3290,E$1:E3289,1,FALSE()))),"OLD",IF(AND(E3290&lt;&gt;"",E3290&lt;&gt;"!!!"),"NEW","")))</f>
        <v/>
      </c>
      <c r="G3290" s="26" t="str">
        <f aca="false">IF(OR(E3290="",E3290="!!!"),"",IF(OR(J3290=0,AND(J3290=1,K3290=1),AND(J3290=1,I3290="SBJ"),AND(J3290=1,I3290=0)),"?IN_FOCUS",IF(J3290&lt;=2,"?ACTIVATED",IF(J3290&lt;&gt;"","?FAMILIAR",IF(F3290="NEW",IF(ISNA(VLOOKUP(E3290,#REF!,1,FALSE())),"?TYPE_IDENTIFIABLE","?REFERENTIAL"),"_")))))</f>
        <v/>
      </c>
      <c r="H3290" s="27" t="str">
        <f aca="false">IF(J3290&lt;&gt;1,"",IF(I3290="SBJ","CB","?"))</f>
        <v/>
      </c>
      <c r="I3290" s="24" t="str">
        <f aca="false">IF(OR(E3290="",E3290="!!!",F3290="NEW"),"",INDEX(B2:B$3289,-1+SUMPRODUCT(MAX(ROW(E2:E$3289)*(E3290=E2:E$3289)))))</f>
        <v/>
      </c>
      <c r="J3290" s="24" t="str">
        <f aca="true">IF(OR(E3290="",E3290="!!!",F3290="NEW"),"",COUNTBLANK(OFFSET(A$1,,,SUMPRODUCT(MAX(ROW(E$2:E3290)*(E3290=E$2:E3290)))))-COUNTBLANK(OFFSET(A$1,,,SUMPRODUCT(MAX(ROW(E$1:E3289)*(E2=E$1:E3289))))))</f>
        <v/>
      </c>
      <c r="K3290" s="24" t="str">
        <f aca="false">IF(OR(E3290="",E3290="!!!",F3290="NEW"),"",INDEX(J$1:J3289,SUMPRODUCT(MAX(ROW(E$1:E3289)*(E3290=E$1:E3289)))))</f>
        <v/>
      </c>
      <c r="L3290" s="31"/>
    </row>
    <row r="3291" customFormat="false" ht="15" hidden="false" customHeight="false" outlineLevel="0" collapsed="false">
      <c r="A3291" s="20" t="s">
        <v>1178</v>
      </c>
      <c r="E3291" s="23" t="str">
        <f aca="false">IF(D3291="?OLD","!!!","")</f>
        <v/>
      </c>
      <c r="F3291" s="25" t="str">
        <f aca="false">IF(OR(E3291="",E3291="!!!"),"",IF(NOT(ISNA(VLOOKUP(E3291,E$1:E3290,1,FALSE()))),"OLD",IF(AND(E3291&lt;&gt;"",E3291&lt;&gt;"!!!"),"NEW","")))</f>
        <v/>
      </c>
      <c r="G3291" s="26" t="str">
        <f aca="false">IF(OR(E3291="",E3291="!!!"),"",IF(OR(J3291=0,AND(J3291=1,K3291=1),AND(J3291=1,I3291="SBJ"),AND(J3291=1,I3291=0)),"?IN_FOCUS",IF(J3291&lt;=2,"?ACTIVATED",IF(J3291&lt;&gt;"","?FAMILIAR",IF(F3291="NEW",IF(ISNA(VLOOKUP(E3291,#REF!,1,FALSE())),"?TYPE_IDENTIFIABLE","?REFERENTIAL"),"_")))))</f>
        <v/>
      </c>
      <c r="H3291" s="27" t="str">
        <f aca="false">IF(J3291&lt;&gt;1,"",IF(I3291="SBJ","CB","?"))</f>
        <v/>
      </c>
      <c r="I3291" s="24" t="str">
        <f aca="false">IF(OR(E3291="",E3291="!!!",F3291="NEW"),"",INDEX(B3:B$3289,-1+SUMPRODUCT(MAX(ROW(E3:E$3289)*(E3291=E3:E$3289)))))</f>
        <v/>
      </c>
      <c r="J3291" s="24" t="str">
        <f aca="true">IF(OR(E3291="",E3291="!!!",F3291="NEW"),"",COUNTBLANK(OFFSET(A$1,,,SUMPRODUCT(MAX(ROW(E$2:E3291)*(E3291=E$2:E3291)))))-COUNTBLANK(OFFSET(A$1,,,SUMPRODUCT(MAX(ROW(E$1:E3290)*(E2=E$1:E3290))))))</f>
        <v/>
      </c>
      <c r="K3291" s="24" t="str">
        <f aca="false">IF(OR(E3291="",E3291="!!!",F3291="NEW"),"",INDEX(J$1:J3290,SUMPRODUCT(MAX(ROW(E$1:E3290)*(E3291=E$1:E3290)))))</f>
        <v/>
      </c>
      <c r="L3291" s="31"/>
    </row>
    <row r="3292" customFormat="false" ht="15" hidden="false" customHeight="false" outlineLevel="0" collapsed="false">
      <c r="A3292" s="20" t="s">
        <v>1281</v>
      </c>
      <c r="B3292" s="22" t="s">
        <v>1058</v>
      </c>
      <c r="C3292" s="22" t="s">
        <v>1150</v>
      </c>
      <c r="D3292" s="22" t="s">
        <v>1060</v>
      </c>
      <c r="E3292" s="23" t="str">
        <f aca="false">IF(D3292="?OLD","!!!","")</f>
        <v>!!!</v>
      </c>
      <c r="F3292" s="25" t="str">
        <f aca="false">IF(OR(E3292="",E3292="!!!"),"",IF(NOT(ISNA(VLOOKUP(E3292,E$1:E3291,1,FALSE()))),"OLD",IF(AND(E3292&lt;&gt;"",E3292&lt;&gt;"!!!"),"NEW","")))</f>
        <v/>
      </c>
      <c r="G3292" s="26" t="str">
        <f aca="false">IF(OR(E3292="",E3292="!!!"),"",IF(OR(J3292=0,AND(J3292=1,K3292=1),AND(J3292=1,I3292="SBJ"),AND(J3292=1,I3292=0)),"?IN_FOCUS",IF(J3292&lt;=2,"?ACTIVATED",IF(J3292&lt;&gt;"","?FAMILIAR",IF(F3292="NEW",IF(ISNA(VLOOKUP(E3292,#REF!,1,FALSE())),"?TYPE_IDENTIFIABLE","?REFERENTIAL"),"_")))))</f>
        <v/>
      </c>
      <c r="H3292" s="27" t="str">
        <f aca="false">IF(J3292&lt;&gt;1,"",IF(I3292="SBJ","CB","?"))</f>
        <v/>
      </c>
      <c r="I3292" s="24" t="str">
        <f aca="false">IF(OR(E3292="",E3292="!!!",F3292="NEW"),"",INDEX(B4:B$3289,-1+SUMPRODUCT(MAX(ROW(E4:E$3289)*(E3292=E4:E$3289)))))</f>
        <v/>
      </c>
      <c r="J3292" s="24" t="str">
        <f aca="true">IF(OR(E3292="",E3292="!!!",F3292="NEW"),"",COUNTBLANK(OFFSET(A$1,,,SUMPRODUCT(MAX(ROW(E$2:E3292)*(E3292=E$2:E3292)))))-COUNTBLANK(OFFSET(A$1,,,SUMPRODUCT(MAX(ROW(E$1:E3291)*(E2=E$1:E3291))))))</f>
        <v/>
      </c>
      <c r="K3292" s="24" t="str">
        <f aca="false">IF(OR(E3292="",E3292="!!!",F3292="NEW"),"",INDEX(J$1:J3291,SUMPRODUCT(MAX(ROW(E$1:E3291)*(E3292=E$1:E3291)))))</f>
        <v/>
      </c>
      <c r="L3292" s="31"/>
    </row>
    <row r="3293" customFormat="false" ht="15" hidden="false" customHeight="false" outlineLevel="0" collapsed="false">
      <c r="A3293" s="20" t="s">
        <v>1092</v>
      </c>
      <c r="E3293" s="23" t="str">
        <f aca="false">IF(D3293="?OLD","!!!","")</f>
        <v/>
      </c>
      <c r="F3293" s="25" t="str">
        <f aca="false">IF(OR(E3293="",E3293="!!!"),"",IF(NOT(ISNA(VLOOKUP(E3293,E$1:E3292,1,FALSE()))),"OLD",IF(AND(E3293&lt;&gt;"",E3293&lt;&gt;"!!!"),"NEW","")))</f>
        <v/>
      </c>
      <c r="G3293" s="26" t="str">
        <f aca="false">IF(OR(E3293="",E3293="!!!"),"",IF(OR(J3293=0,AND(J3293=1,K3293=1),AND(J3293=1,I3293="SBJ"),AND(J3293=1,I3293=0)),"?IN_FOCUS",IF(J3293&lt;=2,"?ACTIVATED",IF(J3293&lt;&gt;"","?FAMILIAR",IF(F3293="NEW",IF(ISNA(VLOOKUP(E3293,#REF!,1,FALSE())),"?TYPE_IDENTIFIABLE","?REFERENTIAL"),"_")))))</f>
        <v/>
      </c>
      <c r="H3293" s="27" t="str">
        <f aca="false">IF(J3293&lt;&gt;1,"",IF(I3293="SBJ","CB","?"))</f>
        <v/>
      </c>
      <c r="I3293" s="24" t="str">
        <f aca="false">IF(OR(E3293="",E3293="!!!",F3293="NEW"),"",INDEX(B5:B$3289,-1+SUMPRODUCT(MAX(ROW(E5:E$3289)*(E3293=E5:E$3289)))))</f>
        <v/>
      </c>
      <c r="J3293" s="24" t="str">
        <f aca="true">IF(OR(E3293="",E3293="!!!",F3293="NEW"),"",COUNTBLANK(OFFSET(A$1,,,SUMPRODUCT(MAX(ROW(E$2:E3293)*(E3293=E$2:E3293)))))-COUNTBLANK(OFFSET(A$1,,,SUMPRODUCT(MAX(ROW(E$1:E3292)*(E2=E$1:E3292))))))</f>
        <v/>
      </c>
      <c r="K3293" s="24" t="str">
        <f aca="false">IF(OR(E3293="",E3293="!!!",F3293="NEW"),"",INDEX(J$1:J3292,SUMPRODUCT(MAX(ROW(E$1:E3292)*(E3293=E$1:E3292)))))</f>
        <v/>
      </c>
      <c r="L3293" s="31"/>
    </row>
    <row r="3294" customFormat="false" ht="15" hidden="false" customHeight="false" outlineLevel="0" collapsed="false">
      <c r="A3294" s="20" t="s">
        <v>671</v>
      </c>
      <c r="E3294" s="23" t="str">
        <f aca="false">IF(D3294="?OLD","!!!","")</f>
        <v/>
      </c>
      <c r="F3294" s="25" t="str">
        <f aca="false">IF(OR(E3294="",E3294="!!!"),"",IF(NOT(ISNA(VLOOKUP(E3294,E$1:E3293,1,FALSE()))),"OLD",IF(AND(E3294&lt;&gt;"",E3294&lt;&gt;"!!!"),"NEW","")))</f>
        <v/>
      </c>
      <c r="G3294" s="26" t="str">
        <f aca="false">IF(OR(E3294="",E3294="!!!"),"",IF(OR(J3294=0,AND(J3294=1,K3294=1),AND(J3294=1,I3294="SBJ"),AND(J3294=1,I3294=0)),"?IN_FOCUS",IF(J3294&lt;=2,"?ACTIVATED",IF(J3294&lt;&gt;"","?FAMILIAR",IF(F3294="NEW",IF(ISNA(VLOOKUP(E3294,#REF!,1,FALSE())),"?TYPE_IDENTIFIABLE","?REFERENTIAL"),"_")))))</f>
        <v/>
      </c>
      <c r="H3294" s="27" t="str">
        <f aca="false">IF(J3294&lt;&gt;1,"",IF(I3294="SBJ","CB","?"))</f>
        <v/>
      </c>
      <c r="I3294" s="24" t="str">
        <f aca="false">IF(OR(E3294="",E3294="!!!",F3294="NEW"),"",INDEX(B6:B$3289,-1+SUMPRODUCT(MAX(ROW(E6:E$3289)*(E3294=E6:E$3289)))))</f>
        <v/>
      </c>
      <c r="J3294" s="24" t="str">
        <f aca="true">IF(OR(E3294="",E3294="!!!",F3294="NEW"),"",COUNTBLANK(OFFSET(A$1,,,SUMPRODUCT(MAX(ROW(E$2:E3294)*(E3294=E$2:E3294)))))-COUNTBLANK(OFFSET(A$1,,,SUMPRODUCT(MAX(ROW(E$1:E3293)*(E2=E$1:E3293))))))</f>
        <v/>
      </c>
      <c r="K3294" s="24" t="str">
        <f aca="false">IF(OR(E3294="",E3294="!!!",F3294="NEW"),"",INDEX(J$1:J3293,SUMPRODUCT(MAX(ROW(E$1:E3293)*(E3294=E$1:E3293)))))</f>
        <v/>
      </c>
      <c r="L3294" s="31"/>
    </row>
    <row r="3295" customFormat="false" ht="15" hidden="false" customHeight="false" outlineLevel="0" collapsed="false">
      <c r="A3295" s="20" t="s">
        <v>1076</v>
      </c>
      <c r="E3295" s="23" t="str">
        <f aca="false">IF(D3295="?OLD","!!!","")</f>
        <v/>
      </c>
      <c r="F3295" s="25" t="str">
        <f aca="false">IF(OR(E3295="",E3295="!!!"),"",IF(NOT(ISNA(VLOOKUP(E3295,E$1:E3294,1,FALSE()))),"OLD",IF(AND(E3295&lt;&gt;"",E3295&lt;&gt;"!!!"),"NEW","")))</f>
        <v/>
      </c>
      <c r="G3295" s="26" t="str">
        <f aca="false">IF(OR(E3295="",E3295="!!!"),"",IF(OR(J3295=0,AND(J3295=1,K3295=1),AND(J3295=1,I3295="SBJ"),AND(J3295=1,I3295=0)),"?IN_FOCUS",IF(J3295&lt;=2,"?ACTIVATED",IF(J3295&lt;&gt;"","?FAMILIAR",IF(F3295="NEW",IF(ISNA(VLOOKUP(E3295,#REF!,1,FALSE())),"?TYPE_IDENTIFIABLE","?REFERENTIAL"),"_")))))</f>
        <v/>
      </c>
      <c r="H3295" s="27" t="str">
        <f aca="false">IF(J3295&lt;&gt;1,"",IF(I3295="SBJ","CB","?"))</f>
        <v/>
      </c>
      <c r="I3295" s="24" t="str">
        <f aca="false">IF(OR(E3295="",E3295="!!!",F3295="NEW"),"",INDEX(B7:B$3289,-1+SUMPRODUCT(MAX(ROW(E7:E$3289)*(E3295=E7:E$3289)))))</f>
        <v/>
      </c>
      <c r="J3295" s="24" t="str">
        <f aca="true">IF(OR(E3295="",E3295="!!!",F3295="NEW"),"",COUNTBLANK(OFFSET(A$1,,,SUMPRODUCT(MAX(ROW(E$2:E3295)*(E3295=E$2:E3295)))))-COUNTBLANK(OFFSET(A$1,,,SUMPRODUCT(MAX(ROW(E$1:E3294)*(E2=E$1:E3294))))))</f>
        <v/>
      </c>
      <c r="K3295" s="24" t="str">
        <f aca="false">IF(OR(E3295="",E3295="!!!",F3295="NEW"),"",INDEX(J$1:J3294,SUMPRODUCT(MAX(ROW(E$1:E3294)*(E3295=E$1:E3294)))))</f>
        <v/>
      </c>
      <c r="L3295" s="31"/>
    </row>
    <row r="3296" customFormat="false" ht="15" hidden="false" customHeight="false" outlineLevel="0" collapsed="false">
      <c r="A3296" s="20" t="s">
        <v>587</v>
      </c>
      <c r="E3296" s="23" t="str">
        <f aca="false">IF(D3296="?OLD","!!!","")</f>
        <v/>
      </c>
      <c r="F3296" s="25" t="str">
        <f aca="false">IF(OR(E3296="",E3296="!!!"),"",IF(NOT(ISNA(VLOOKUP(E3296,E$1:E3295,1,FALSE()))),"OLD",IF(AND(E3296&lt;&gt;"",E3296&lt;&gt;"!!!"),"NEW","")))</f>
        <v/>
      </c>
      <c r="G3296" s="26" t="str">
        <f aca="false">IF(OR(E3296="",E3296="!!!"),"",IF(OR(J3296=0,AND(J3296=1,K3296=1),AND(J3296=1,I3296="SBJ"),AND(J3296=1,I3296=0)),"?IN_FOCUS",IF(J3296&lt;=2,"?ACTIVATED",IF(J3296&lt;&gt;"","?FAMILIAR",IF(F3296="NEW",IF(ISNA(VLOOKUP(E3296,#REF!,1,FALSE())),"?TYPE_IDENTIFIABLE","?REFERENTIAL"),"_")))))</f>
        <v/>
      </c>
      <c r="H3296" s="27" t="str">
        <f aca="false">IF(J3296&lt;&gt;1,"",IF(I3296="SBJ","CB","?"))</f>
        <v/>
      </c>
      <c r="I3296" s="24" t="str">
        <f aca="false">IF(OR(E3296="",E3296="!!!",F3296="NEW"),"",INDEX(B8:B$3289,-1+SUMPRODUCT(MAX(ROW(E8:E$3289)*(E3296=E8:E$3289)))))</f>
        <v/>
      </c>
      <c r="J3296" s="24" t="str">
        <f aca="true">IF(OR(E3296="",E3296="!!!",F3296="NEW"),"",COUNTBLANK(OFFSET(A$1,,,SUMPRODUCT(MAX(ROW(E$2:E3296)*(E3296=E$2:E3296)))))-COUNTBLANK(OFFSET(A$1,,,SUMPRODUCT(MAX(ROW(E$1:E3295)*(E2=E$1:E3295))))))</f>
        <v/>
      </c>
      <c r="K3296" s="24" t="str">
        <f aca="false">IF(OR(E3296="",E3296="!!!",F3296="NEW"),"",INDEX(J$1:J3295,SUMPRODUCT(MAX(ROW(E$1:E3295)*(E3296=E$1:E3295)))))</f>
        <v/>
      </c>
      <c r="L3296" s="31"/>
    </row>
    <row r="3297" customFormat="false" ht="15" hidden="false" customHeight="false" outlineLevel="0" collapsed="false">
      <c r="A3297" s="20" t="s">
        <v>1186</v>
      </c>
      <c r="B3297" s="22" t="s">
        <v>1086</v>
      </c>
      <c r="C3297" s="22" t="s">
        <v>1082</v>
      </c>
      <c r="D3297" s="22" t="s">
        <v>1060</v>
      </c>
      <c r="E3297" s="23" t="str">
        <f aca="false">IF(D3297="?OLD","!!!","")</f>
        <v>!!!</v>
      </c>
      <c r="F3297" s="25" t="str">
        <f aca="false">IF(OR(E3297="",E3297="!!!"),"",IF(NOT(ISNA(VLOOKUP(E3297,E$1:E3296,1,FALSE()))),"OLD",IF(AND(E3297&lt;&gt;"",E3297&lt;&gt;"!!!"),"NEW","")))</f>
        <v/>
      </c>
      <c r="G3297" s="26" t="str">
        <f aca="false">IF(OR(E3297="",E3297="!!!"),"",IF(OR(J3297=0,AND(J3297=1,K3297=1),AND(J3297=1,I3297="SBJ"),AND(J3297=1,I3297=0)),"?IN_FOCUS",IF(J3297&lt;=2,"?ACTIVATED",IF(J3297&lt;&gt;"","?FAMILIAR",IF(F3297="NEW",IF(ISNA(VLOOKUP(E3297,#REF!,1,FALSE())),"?TYPE_IDENTIFIABLE","?REFERENTIAL"),"_")))))</f>
        <v/>
      </c>
      <c r="H3297" s="27" t="str">
        <f aca="false">IF(J3297&lt;&gt;1,"",IF(I3297="SBJ","CB","?"))</f>
        <v/>
      </c>
      <c r="I3297" s="24" t="str">
        <f aca="false">IF(OR(E3297="",E3297="!!!",F3297="NEW"),"",INDEX(B9:B$3289,-1+SUMPRODUCT(MAX(ROW(E9:E$3289)*(E3297=E9:E$3289)))))</f>
        <v/>
      </c>
      <c r="J3297" s="24" t="str">
        <f aca="true">IF(OR(E3297="",E3297="!!!",F3297="NEW"),"",COUNTBLANK(OFFSET(A$1,,,SUMPRODUCT(MAX(ROW(E$2:E3297)*(E3297=E$2:E3297)))))-COUNTBLANK(OFFSET(A$1,,,SUMPRODUCT(MAX(ROW(E$1:E3296)*(E2=E$1:E3296))))))</f>
        <v/>
      </c>
      <c r="K3297" s="24" t="str">
        <f aca="false">IF(OR(E3297="",E3297="!!!",F3297="NEW"),"",INDEX(J$1:J3296,SUMPRODUCT(MAX(ROW(E$1:E3296)*(E3297=E$1:E3296)))))</f>
        <v/>
      </c>
      <c r="L3297" s="31"/>
    </row>
    <row r="3298" customFormat="false" ht="15" hidden="false" customHeight="false" outlineLevel="0" collapsed="false">
      <c r="A3298" s="20" t="s">
        <v>2130</v>
      </c>
      <c r="E3298" s="23" t="str">
        <f aca="false">IF(D3298="?OLD","!!!","")</f>
        <v/>
      </c>
      <c r="F3298" s="25" t="str">
        <f aca="false">IF(OR(E3298="",E3298="!!!"),"",IF(NOT(ISNA(VLOOKUP(E3298,E$1:E3297,1,FALSE()))),"OLD",IF(AND(E3298&lt;&gt;"",E3298&lt;&gt;"!!!"),"NEW","")))</f>
        <v/>
      </c>
      <c r="G3298" s="26" t="str">
        <f aca="false">IF(OR(E3298="",E3298="!!!"),"",IF(OR(J3298=0,AND(J3298=1,K3298=1),AND(J3298=1,I3298="SBJ"),AND(J3298=1,I3298=0)),"?IN_FOCUS",IF(J3298&lt;=2,"?ACTIVATED",IF(J3298&lt;&gt;"","?FAMILIAR",IF(F3298="NEW",IF(ISNA(VLOOKUP(E3298,#REF!,1,FALSE())),"?TYPE_IDENTIFIABLE","?REFERENTIAL"),"_")))))</f>
        <v/>
      </c>
      <c r="H3298" s="27" t="str">
        <f aca="false">IF(J3298&lt;&gt;1,"",IF(I3298="SBJ","CB","?"))</f>
        <v/>
      </c>
      <c r="I3298" s="24" t="str">
        <f aca="false">IF(OR(E3298="",E3298="!!!",F3298="NEW"),"",INDEX(B10:B$3289,-1+SUMPRODUCT(MAX(ROW(E10:E$3289)*(E3298=E10:E$3289)))))</f>
        <v/>
      </c>
      <c r="J3298" s="24" t="str">
        <f aca="true">IF(OR(E3298="",E3298="!!!",F3298="NEW"),"",COUNTBLANK(OFFSET(A$1,,,SUMPRODUCT(MAX(ROW(E$2:E3298)*(E3298=E$2:E3298)))))-COUNTBLANK(OFFSET(A$1,,,SUMPRODUCT(MAX(ROW(E$1:E3297)*(E2=E$1:E3297))))))</f>
        <v/>
      </c>
      <c r="K3298" s="24" t="str">
        <f aca="false">IF(OR(E3298="",E3298="!!!",F3298="NEW"),"",INDEX(J$1:J3297,SUMPRODUCT(MAX(ROW(E$1:E3297)*(E3298=E$1:E3297)))))</f>
        <v/>
      </c>
      <c r="L3298" s="31"/>
    </row>
    <row r="3299" customFormat="false" ht="15" hidden="false" customHeight="false" outlineLevel="0" collapsed="false">
      <c r="A3299" s="20" t="s">
        <v>1173</v>
      </c>
      <c r="E3299" s="23" t="str">
        <f aca="false">IF(D3299="?OLD","!!!","")</f>
        <v/>
      </c>
      <c r="F3299" s="25" t="str">
        <f aca="false">IF(OR(E3299="",E3299="!!!"),"",IF(NOT(ISNA(VLOOKUP(E3299,E$1:E3298,1,FALSE()))),"OLD",IF(AND(E3299&lt;&gt;"",E3299&lt;&gt;"!!!"),"NEW","")))</f>
        <v/>
      </c>
      <c r="G3299" s="26" t="str">
        <f aca="false">IF(OR(E3299="",E3299="!!!"),"",IF(OR(J3299=0,AND(J3299=1,K3299=1),AND(J3299=1,I3299="SBJ"),AND(J3299=1,I3299=0)),"?IN_FOCUS",IF(J3299&lt;=2,"?ACTIVATED",IF(J3299&lt;&gt;"","?FAMILIAR",IF(F3299="NEW",IF(ISNA(VLOOKUP(E3299,#REF!,1,FALSE())),"?TYPE_IDENTIFIABLE","?REFERENTIAL"),"_")))))</f>
        <v/>
      </c>
      <c r="H3299" s="27" t="str">
        <f aca="false">IF(J3299&lt;&gt;1,"",IF(I3299="SBJ","CB","?"))</f>
        <v/>
      </c>
      <c r="I3299" s="24" t="str">
        <f aca="false">IF(OR(E3299="",E3299="!!!",F3299="NEW"),"",INDEX(B11:B$3289,-1+SUMPRODUCT(MAX(ROW(E11:E$3289)*(E3299=E11:E$3289)))))</f>
        <v/>
      </c>
      <c r="J3299" s="24" t="str">
        <f aca="true">IF(OR(E3299="",E3299="!!!",F3299="NEW"),"",COUNTBLANK(OFFSET(A$1,,,SUMPRODUCT(MAX(ROW(E$2:E3299)*(E3299=E$2:E3299)))))-COUNTBLANK(OFFSET(A$1,,,SUMPRODUCT(MAX(ROW(E$1:E3298)*(E2=E$1:E3298))))))</f>
        <v/>
      </c>
      <c r="K3299" s="24" t="str">
        <f aca="false">IF(OR(E3299="",E3299="!!!",F3299="NEW"),"",INDEX(J$1:J3298,SUMPRODUCT(MAX(ROW(E$1:E3298)*(E3299=E$1:E3298)))))</f>
        <v/>
      </c>
      <c r="L3299" s="31"/>
    </row>
    <row r="3300" customFormat="false" ht="15" hidden="false" customHeight="false" outlineLevel="0" collapsed="false">
      <c r="A3300" s="20" t="s">
        <v>1128</v>
      </c>
      <c r="E3300" s="23" t="str">
        <f aca="false">IF(D3300="?OLD","!!!","")</f>
        <v/>
      </c>
      <c r="F3300" s="25" t="str">
        <f aca="false">IF(OR(E3300="",E3300="!!!"),"",IF(NOT(ISNA(VLOOKUP(E3300,E$1:E3299,1,FALSE()))),"OLD",IF(AND(E3300&lt;&gt;"",E3300&lt;&gt;"!!!"),"NEW","")))</f>
        <v/>
      </c>
      <c r="G3300" s="26" t="str">
        <f aca="false">IF(OR(E3300="",E3300="!!!"),"",IF(OR(J3300=0,AND(J3300=1,K3300=1),AND(J3300=1,I3300="SBJ"),AND(J3300=1,I3300=0)),"?IN_FOCUS",IF(J3300&lt;=2,"?ACTIVATED",IF(J3300&lt;&gt;"","?FAMILIAR",IF(F3300="NEW",IF(ISNA(VLOOKUP(E3300,#REF!,1,FALSE())),"?TYPE_IDENTIFIABLE","?REFERENTIAL"),"_")))))</f>
        <v/>
      </c>
      <c r="H3300" s="27" t="str">
        <f aca="false">IF(J3300&lt;&gt;1,"",IF(I3300="SBJ","CB","?"))</f>
        <v/>
      </c>
      <c r="I3300" s="24" t="str">
        <f aca="false">IF(OR(E3300="",E3300="!!!",F3300="NEW"),"",INDEX(B12:B$3289,-1+SUMPRODUCT(MAX(ROW(E12:E$3289)*(E3300=E12:E$3289)))))</f>
        <v/>
      </c>
      <c r="J3300" s="24" t="str">
        <f aca="true">IF(OR(E3300="",E3300="!!!",F3300="NEW"),"",COUNTBLANK(OFFSET(A$1,,,SUMPRODUCT(MAX(ROW(E$2:E3300)*(E3300=E$2:E3300)))))-COUNTBLANK(OFFSET(A$1,,,SUMPRODUCT(MAX(ROW(E$1:E3299)*(E2=E$1:E3299))))))</f>
        <v/>
      </c>
      <c r="K3300" s="24" t="str">
        <f aca="false">IF(OR(E3300="",E3300="!!!",F3300="NEW"),"",INDEX(J$1:J3299,SUMPRODUCT(MAX(ROW(E$1:E3299)*(E3300=E$1:E3299)))))</f>
        <v/>
      </c>
      <c r="L3300" s="31"/>
    </row>
    <row r="3301" customFormat="false" ht="15" hidden="false" customHeight="false" outlineLevel="0" collapsed="false">
      <c r="A3301" s="20" t="s">
        <v>2131</v>
      </c>
      <c r="E3301" s="23" t="str">
        <f aca="false">IF(D3301="?OLD","!!!","")</f>
        <v/>
      </c>
      <c r="F3301" s="25" t="str">
        <f aca="false">IF(OR(E3301="",E3301="!!!"),"",IF(NOT(ISNA(VLOOKUP(E3301,E$1:E3300,1,FALSE()))),"OLD",IF(AND(E3301&lt;&gt;"",E3301&lt;&gt;"!!!"),"NEW","")))</f>
        <v/>
      </c>
      <c r="G3301" s="26" t="str">
        <f aca="false">IF(OR(E3301="",E3301="!!!"),"",IF(OR(J3301=0,AND(J3301=1,K3301=1),AND(J3301=1,I3301="SBJ"),AND(J3301=1,I3301=0)),"?IN_FOCUS",IF(J3301&lt;=2,"?ACTIVATED",IF(J3301&lt;&gt;"","?FAMILIAR",IF(F3301="NEW",IF(ISNA(VLOOKUP(E3301,#REF!,1,FALSE())),"?TYPE_IDENTIFIABLE","?REFERENTIAL"),"_")))))</f>
        <v/>
      </c>
      <c r="H3301" s="27" t="str">
        <f aca="false">IF(J3301&lt;&gt;1,"",IF(I3301="SBJ","CB","?"))</f>
        <v/>
      </c>
      <c r="I3301" s="24" t="str">
        <f aca="false">IF(OR(E3301="",E3301="!!!",F3301="NEW"),"",INDEX(B13:B$3289,-1+SUMPRODUCT(MAX(ROW(E13:E$3289)*(E3301=E13:E$3289)))))</f>
        <v/>
      </c>
      <c r="J3301" s="24" t="str">
        <f aca="true">IF(OR(E3301="",E3301="!!!",F3301="NEW"),"",COUNTBLANK(OFFSET(A$1,,,SUMPRODUCT(MAX(ROW(E$2:E3301)*(E3301=E$2:E3301)))))-COUNTBLANK(OFFSET(A$1,,,SUMPRODUCT(MAX(ROW(E$1:E3300)*(E2=E$1:E3300))))))</f>
        <v/>
      </c>
      <c r="K3301" s="24" t="str">
        <f aca="false">IF(OR(E3301="",E3301="!!!",F3301="NEW"),"",INDEX(J$1:J3300,SUMPRODUCT(MAX(ROW(E$1:E3300)*(E3301=E$1:E3300)))))</f>
        <v/>
      </c>
      <c r="L3301" s="31"/>
    </row>
    <row r="3302" customFormat="false" ht="15" hidden="false" customHeight="false" outlineLevel="0" collapsed="false">
      <c r="A3302" s="20" t="s">
        <v>1119</v>
      </c>
      <c r="E3302" s="23" t="str">
        <f aca="false">IF(D3302="?OLD","!!!","")</f>
        <v/>
      </c>
      <c r="F3302" s="25" t="str">
        <f aca="false">IF(OR(E3302="",E3302="!!!"),"",IF(NOT(ISNA(VLOOKUP(E3302,E$1:E3301,1,FALSE()))),"OLD",IF(AND(E3302&lt;&gt;"",E3302&lt;&gt;"!!!"),"NEW","")))</f>
        <v/>
      </c>
      <c r="G3302" s="26" t="str">
        <f aca="false">IF(OR(E3302="",E3302="!!!"),"",IF(OR(J3302=0,AND(J3302=1,K3302=1),AND(J3302=1,I3302="SBJ"),AND(J3302=1,I3302=0)),"?IN_FOCUS",IF(J3302&lt;=2,"?ACTIVATED",IF(J3302&lt;&gt;"","?FAMILIAR",IF(F3302="NEW",IF(ISNA(VLOOKUP(E3302,#REF!,1,FALSE())),"?TYPE_IDENTIFIABLE","?REFERENTIAL"),"_")))))</f>
        <v/>
      </c>
      <c r="H3302" s="27" t="str">
        <f aca="false">IF(J3302&lt;&gt;1,"",IF(I3302="SBJ","CB","?"))</f>
        <v/>
      </c>
      <c r="I3302" s="24" t="str">
        <f aca="false">IF(OR(E3302="",E3302="!!!",F3302="NEW"),"",INDEX(B14:B$3289,-1+SUMPRODUCT(MAX(ROW(E14:E$3289)*(E3302=E14:E$3289)))))</f>
        <v/>
      </c>
      <c r="J3302" s="24" t="str">
        <f aca="true">IF(OR(E3302="",E3302="!!!",F3302="NEW"),"",COUNTBLANK(OFFSET(A$1,,,SUMPRODUCT(MAX(ROW(E$2:E3302)*(E3302=E$2:E3302)))))-COUNTBLANK(OFFSET(A$1,,,SUMPRODUCT(MAX(ROW(E$1:E3301)*(E2=E$1:E3301))))))</f>
        <v/>
      </c>
      <c r="K3302" s="24" t="str">
        <f aca="false">IF(OR(E3302="",E3302="!!!",F3302="NEW"),"",INDEX(J$1:J3301,SUMPRODUCT(MAX(ROW(E$1:E3301)*(E3302=E$1:E3301)))))</f>
        <v/>
      </c>
      <c r="L3302" s="31"/>
    </row>
    <row r="3303" customFormat="false" ht="15" hidden="false" customHeight="false" outlineLevel="0" collapsed="false">
      <c r="A3303" s="20" t="s">
        <v>1436</v>
      </c>
      <c r="B3303" s="22" t="s">
        <v>1067</v>
      </c>
      <c r="C3303" s="22" t="s">
        <v>1160</v>
      </c>
      <c r="E3303" s="23" t="str">
        <f aca="false">IF(D3303="?OLD","!!!","")</f>
        <v/>
      </c>
      <c r="F3303" s="25" t="str">
        <f aca="false">IF(OR(E3303="",E3303="!!!"),"",IF(NOT(ISNA(VLOOKUP(E3303,E$1:E3302,1,FALSE()))),"OLD",IF(AND(E3303&lt;&gt;"",E3303&lt;&gt;"!!!"),"NEW","")))</f>
        <v/>
      </c>
      <c r="G3303" s="26" t="str">
        <f aca="false">IF(OR(E3303="",E3303="!!!"),"",IF(OR(J3303=0,AND(J3303=1,K3303=1),AND(J3303=1,I3303="SBJ"),AND(J3303=1,I3303=0)),"?IN_FOCUS",IF(J3303&lt;=2,"?ACTIVATED",IF(J3303&lt;&gt;"","?FAMILIAR",IF(F3303="NEW",IF(ISNA(VLOOKUP(E3303,#REF!,1,FALSE())),"?TYPE_IDENTIFIABLE","?REFERENTIAL"),"_")))))</f>
        <v/>
      </c>
      <c r="H3303" s="27" t="str">
        <f aca="false">IF(J3303&lt;&gt;1,"",IF(I3303="SBJ","CB","?"))</f>
        <v/>
      </c>
      <c r="I3303" s="24" t="str">
        <f aca="false">IF(OR(E3303="",E3303="!!!",F3303="NEW"),"",INDEX(B15:B$3289,-1+SUMPRODUCT(MAX(ROW(E15:E$3289)*(E3303=E15:E$3289)))))</f>
        <v/>
      </c>
      <c r="J3303" s="24" t="str">
        <f aca="true">IF(OR(E3303="",E3303="!!!",F3303="NEW"),"",COUNTBLANK(OFFSET(A$1,,,SUMPRODUCT(MAX(ROW(E$2:E3303)*(E3303=E$2:E3303)))))-COUNTBLANK(OFFSET(A$1,,,SUMPRODUCT(MAX(ROW(E$1:E3302)*(E2=E$1:E3302))))))</f>
        <v/>
      </c>
      <c r="K3303" s="24" t="str">
        <f aca="false">IF(OR(E3303="",E3303="!!!",F3303="NEW"),"",INDEX(J$1:J3302,SUMPRODUCT(MAX(ROW(E$1:E3302)*(E3303=E$1:E3302)))))</f>
        <v/>
      </c>
      <c r="L3303" s="31"/>
    </row>
    <row r="3304" customFormat="false" ht="15" hidden="false" customHeight="false" outlineLevel="0" collapsed="false">
      <c r="A3304" s="20" t="s">
        <v>1095</v>
      </c>
      <c r="E3304" s="23" t="str">
        <f aca="false">IF(D3304="?OLD","!!!","")</f>
        <v/>
      </c>
      <c r="F3304" s="25" t="str">
        <f aca="false">IF(OR(E3304="",E3304="!!!"),"",IF(NOT(ISNA(VLOOKUP(E3304,E$1:E3303,1,FALSE()))),"OLD",IF(AND(E3304&lt;&gt;"",E3304&lt;&gt;"!!!"),"NEW","")))</f>
        <v/>
      </c>
      <c r="G3304" s="26" t="str">
        <f aca="false">IF(OR(E3304="",E3304="!!!"),"",IF(OR(J3304=0,AND(J3304=1,K3304=1),AND(J3304=1,I3304="SBJ"),AND(J3304=1,I3304=0)),"?IN_FOCUS",IF(J3304&lt;=2,"?ACTIVATED",IF(J3304&lt;&gt;"","?FAMILIAR",IF(F3304="NEW",IF(ISNA(VLOOKUP(E3304,#REF!,1,FALSE())),"?TYPE_IDENTIFIABLE","?REFERENTIAL"),"_")))))</f>
        <v/>
      </c>
      <c r="H3304" s="27" t="str">
        <f aca="false">IF(J3304&lt;&gt;1,"",IF(I3304="SBJ","CB","?"))</f>
        <v/>
      </c>
      <c r="I3304" s="24" t="str">
        <f aca="false">IF(OR(E3304="",E3304="!!!",F3304="NEW"),"",INDEX(B16:B$3289,-1+SUMPRODUCT(MAX(ROW(E16:E$3289)*(E3304=E16:E$3289)))))</f>
        <v/>
      </c>
      <c r="J3304" s="24" t="str">
        <f aca="true">IF(OR(E3304="",E3304="!!!",F3304="NEW"),"",COUNTBLANK(OFFSET(A$1,,,SUMPRODUCT(MAX(ROW(E$2:E3304)*(E3304=E$2:E3304)))))-COUNTBLANK(OFFSET(A$1,,,SUMPRODUCT(MAX(ROW(E$1:E3303)*(E2=E$1:E3303))))))</f>
        <v/>
      </c>
      <c r="K3304" s="24" t="str">
        <f aca="false">IF(OR(E3304="",E3304="!!!",F3304="NEW"),"",INDEX(J$1:J3303,SUMPRODUCT(MAX(ROW(E$1:E3303)*(E3304=E$1:E3303)))))</f>
        <v/>
      </c>
      <c r="L3304" s="31"/>
    </row>
    <row r="3305" customFormat="false" ht="15" hidden="false" customHeight="false" outlineLevel="0" collapsed="false">
      <c r="A3305" s="20" t="s">
        <v>1436</v>
      </c>
      <c r="B3305" s="22" t="s">
        <v>1107</v>
      </c>
      <c r="C3305" s="22" t="s">
        <v>1160</v>
      </c>
      <c r="E3305" s="23" t="str">
        <f aca="false">IF(D3305="?OLD","!!!","")</f>
        <v/>
      </c>
      <c r="F3305" s="25" t="str">
        <f aca="false">IF(OR(E3305="",E3305="!!!"),"",IF(NOT(ISNA(VLOOKUP(E3305,E$1:E3304,1,FALSE()))),"OLD",IF(AND(E3305&lt;&gt;"",E3305&lt;&gt;"!!!"),"NEW","")))</f>
        <v/>
      </c>
      <c r="G3305" s="26" t="str">
        <f aca="false">IF(OR(E3305="",E3305="!!!"),"",IF(OR(J3305=0,AND(J3305=1,K3305=1),AND(J3305=1,I3305="SBJ"),AND(J3305=1,I3305=0)),"?IN_FOCUS",IF(J3305&lt;=2,"?ACTIVATED",IF(J3305&lt;&gt;"","?FAMILIAR",IF(F3305="NEW",IF(ISNA(VLOOKUP(E3305,#REF!,1,FALSE())),"?TYPE_IDENTIFIABLE","?REFERENTIAL"),"_")))))</f>
        <v/>
      </c>
      <c r="H3305" s="27" t="str">
        <f aca="false">IF(J3305&lt;&gt;1,"",IF(I3305="SBJ","CB","?"))</f>
        <v/>
      </c>
      <c r="I3305" s="24" t="str">
        <f aca="false">IF(OR(E3305="",E3305="!!!",F3305="NEW"),"",INDEX(B17:B$3289,-1+SUMPRODUCT(MAX(ROW(E17:E$3289)*(E3305=E17:E$3289)))))</f>
        <v/>
      </c>
      <c r="J3305" s="24" t="str">
        <f aca="true">IF(OR(E3305="",E3305="!!!",F3305="NEW"),"",COUNTBLANK(OFFSET(A$1,,,SUMPRODUCT(MAX(ROW(E$2:E3305)*(E3305=E$2:E3305)))))-COUNTBLANK(OFFSET(A$1,,,SUMPRODUCT(MAX(ROW(E$1:E3304)*(E2=E$1:E3304))))))</f>
        <v/>
      </c>
      <c r="K3305" s="24" t="str">
        <f aca="false">IF(OR(E3305="",E3305="!!!",F3305="NEW"),"",INDEX(J$1:J3304,SUMPRODUCT(MAX(ROW(E$1:E3304)*(E3305=E$1:E3304)))))</f>
        <v/>
      </c>
      <c r="L3305" s="31"/>
    </row>
    <row r="3306" customFormat="false" ht="15" hidden="false" customHeight="false" outlineLevel="0" collapsed="false">
      <c r="A3306" s="20" t="s">
        <v>1095</v>
      </c>
      <c r="E3306" s="23" t="str">
        <f aca="false">IF(D3306="?OLD","!!!","")</f>
        <v/>
      </c>
      <c r="F3306" s="25" t="str">
        <f aca="false">IF(OR(E3306="",E3306="!!!"),"",IF(NOT(ISNA(VLOOKUP(E3306,E$1:E3305,1,FALSE()))),"OLD",IF(AND(E3306&lt;&gt;"",E3306&lt;&gt;"!!!"),"NEW","")))</f>
        <v/>
      </c>
      <c r="G3306" s="26" t="str">
        <f aca="false">IF(OR(E3306="",E3306="!!!"),"",IF(OR(J3306=0,AND(J3306=1,K3306=1),AND(J3306=1,I3306="SBJ"),AND(J3306=1,I3306=0)),"?IN_FOCUS",IF(J3306&lt;=2,"?ACTIVATED",IF(J3306&lt;&gt;"","?FAMILIAR",IF(F3306="NEW",IF(ISNA(VLOOKUP(E3306,#REF!,1,FALSE())),"?TYPE_IDENTIFIABLE","?REFERENTIAL"),"_")))))</f>
        <v/>
      </c>
      <c r="H3306" s="27" t="str">
        <f aca="false">IF(J3306&lt;&gt;1,"",IF(I3306="SBJ","CB","?"))</f>
        <v/>
      </c>
      <c r="I3306" s="24" t="str">
        <f aca="false">IF(OR(E3306="",E3306="!!!",F3306="NEW"),"",INDEX(B18:B$3289,-1+SUMPRODUCT(MAX(ROW(E18:E$3289)*(E3306=E18:E$3289)))))</f>
        <v/>
      </c>
      <c r="J3306" s="24" t="str">
        <f aca="true">IF(OR(E3306="",E3306="!!!",F3306="NEW"),"",COUNTBLANK(OFFSET(A$1,,,SUMPRODUCT(MAX(ROW(E$2:E3306)*(E3306=E$2:E3306)))))-COUNTBLANK(OFFSET(A$1,,,SUMPRODUCT(MAX(ROW(E$1:E3305)*(E2=E$1:E3305))))))</f>
        <v/>
      </c>
      <c r="K3306" s="24" t="str">
        <f aca="false">IF(OR(E3306="",E3306="!!!",F3306="NEW"),"",INDEX(J$1:J3305,SUMPRODUCT(MAX(ROW(E$1:E3305)*(E3306=E$1:E3305)))))</f>
        <v/>
      </c>
      <c r="L3306" s="31"/>
    </row>
    <row r="3307" customFormat="false" ht="15" hidden="false" customHeight="false" outlineLevel="0" collapsed="false">
      <c r="A3307" s="20" t="s">
        <v>1109</v>
      </c>
      <c r="E3307" s="23" t="str">
        <f aca="false">IF(D3307="?OLD","!!!","")</f>
        <v/>
      </c>
      <c r="F3307" s="25" t="str">
        <f aca="false">IF(OR(E3307="",E3307="!!!"),"",IF(NOT(ISNA(VLOOKUP(E3307,E$1:E3306,1,FALSE()))),"OLD",IF(AND(E3307&lt;&gt;"",E3307&lt;&gt;"!!!"),"NEW","")))</f>
        <v/>
      </c>
      <c r="G3307" s="26" t="str">
        <f aca="false">IF(OR(E3307="",E3307="!!!"),"",IF(OR(J3307=0,AND(J3307=1,K3307=1),AND(J3307=1,I3307="SBJ"),AND(J3307=1,I3307=0)),"?IN_FOCUS",IF(J3307&lt;=2,"?ACTIVATED",IF(J3307&lt;&gt;"","?FAMILIAR",IF(F3307="NEW",IF(ISNA(VLOOKUP(E3307,#REF!,1,FALSE())),"?TYPE_IDENTIFIABLE","?REFERENTIAL"),"_")))))</f>
        <v/>
      </c>
      <c r="H3307" s="27" t="str">
        <f aca="false">IF(J3307&lt;&gt;1,"",IF(I3307="SBJ","CB","?"))</f>
        <v/>
      </c>
      <c r="I3307" s="24" t="str">
        <f aca="false">IF(OR(E3307="",E3307="!!!",F3307="NEW"),"",INDEX(B19:B$3289,-1+SUMPRODUCT(MAX(ROW(E19:E$3289)*(E3307=E19:E$3289)))))</f>
        <v/>
      </c>
      <c r="J3307" s="24" t="str">
        <f aca="true">IF(OR(E3307="",E3307="!!!",F3307="NEW"),"",COUNTBLANK(OFFSET(A$1,,,SUMPRODUCT(MAX(ROW(E$2:E3307)*(E3307=E$2:E3307)))))-COUNTBLANK(OFFSET(A$1,,,SUMPRODUCT(MAX(ROW(E$1:E3306)*(E2=E$1:E3306))))))</f>
        <v/>
      </c>
      <c r="K3307" s="24" t="str">
        <f aca="false">IF(OR(E3307="",E3307="!!!",F3307="NEW"),"",INDEX(J$1:J3306,SUMPRODUCT(MAX(ROW(E$1:E3306)*(E3307=E$1:E3306)))))</f>
        <v/>
      </c>
      <c r="L3307" s="31"/>
    </row>
    <row r="3308" customFormat="false" ht="15" hidden="false" customHeight="false" outlineLevel="0" collapsed="false">
      <c r="A3308" s="20" t="s">
        <v>1837</v>
      </c>
      <c r="B3308" s="22" t="s">
        <v>1098</v>
      </c>
      <c r="C3308" s="22" t="s">
        <v>1150</v>
      </c>
      <c r="D3308" s="22" t="s">
        <v>1060</v>
      </c>
      <c r="E3308" s="23" t="str">
        <f aca="false">IF(D3308="?OLD","!!!","")</f>
        <v>!!!</v>
      </c>
      <c r="F3308" s="25" t="str">
        <f aca="false">IF(OR(E3308="",E3308="!!!"),"",IF(NOT(ISNA(VLOOKUP(E3308,E$1:E3307,1,FALSE()))),"OLD",IF(AND(E3308&lt;&gt;"",E3308&lt;&gt;"!!!"),"NEW","")))</f>
        <v/>
      </c>
      <c r="G3308" s="26" t="str">
        <f aca="false">IF(OR(E3308="",E3308="!!!"),"",IF(OR(J3308=0,AND(J3308=1,K3308=1),AND(J3308=1,I3308="SBJ"),AND(J3308=1,I3308=0)),"?IN_FOCUS",IF(J3308&lt;=2,"?ACTIVATED",IF(J3308&lt;&gt;"","?FAMILIAR",IF(F3308="NEW",IF(ISNA(VLOOKUP(E3308,#REF!,1,FALSE())),"?TYPE_IDENTIFIABLE","?REFERENTIAL"),"_")))))</f>
        <v/>
      </c>
      <c r="H3308" s="27" t="str">
        <f aca="false">IF(J3308&lt;&gt;1,"",IF(I3308="SBJ","CB","?"))</f>
        <v/>
      </c>
      <c r="I3308" s="24" t="str">
        <f aca="false">IF(OR(E3308="",E3308="!!!",F3308="NEW"),"",INDEX(B20:B$3289,-1+SUMPRODUCT(MAX(ROW(E20:E$3289)*(E3308=E20:E$3289)))))</f>
        <v/>
      </c>
      <c r="J3308" s="24" t="str">
        <f aca="true">IF(OR(E3308="",E3308="!!!",F3308="NEW"),"",COUNTBLANK(OFFSET(A$1,,,SUMPRODUCT(MAX(ROW(E$2:E3308)*(E3308=E$2:E3308)))))-COUNTBLANK(OFFSET(A$1,,,SUMPRODUCT(MAX(ROW(E$1:E3307)*(E2=E$1:E3307))))))</f>
        <v/>
      </c>
      <c r="K3308" s="24" t="str">
        <f aca="false">IF(OR(E3308="",E3308="!!!",F3308="NEW"),"",INDEX(J$1:J3307,SUMPRODUCT(MAX(ROW(E$1:E3307)*(E3308=E$1:E3307)))))</f>
        <v/>
      </c>
      <c r="L3308" s="31"/>
    </row>
    <row r="3309" customFormat="false" ht="15" hidden="false" customHeight="false" outlineLevel="0" collapsed="false">
      <c r="A3309" s="20" t="s">
        <v>1064</v>
      </c>
      <c r="E3309" s="23" t="str">
        <f aca="false">IF(D3309="?OLD","!!!","")</f>
        <v/>
      </c>
      <c r="F3309" s="25" t="str">
        <f aca="false">IF(OR(E3309="",E3309="!!!"),"",IF(NOT(ISNA(VLOOKUP(E3309,E$1:E3308,1,FALSE()))),"OLD",IF(AND(E3309&lt;&gt;"",E3309&lt;&gt;"!!!"),"NEW","")))</f>
        <v/>
      </c>
      <c r="G3309" s="26" t="str">
        <f aca="false">IF(OR(E3309="",E3309="!!!"),"",IF(OR(J3309=0,AND(J3309=1,K3309=1),AND(J3309=1,I3309="SBJ"),AND(J3309=1,I3309=0)),"?IN_FOCUS",IF(J3309&lt;=2,"?ACTIVATED",IF(J3309&lt;&gt;"","?FAMILIAR",IF(F3309="NEW",IF(ISNA(VLOOKUP(E3309,#REF!,1,FALSE())),"?TYPE_IDENTIFIABLE","?REFERENTIAL"),"_")))))</f>
        <v/>
      </c>
      <c r="H3309" s="27" t="str">
        <f aca="false">IF(J3309&lt;&gt;1,"",IF(I3309="SBJ","CB","?"))</f>
        <v/>
      </c>
      <c r="I3309" s="24" t="str">
        <f aca="false">IF(OR(E3309="",E3309="!!!",F3309="NEW"),"",INDEX(B21:B$3289,-1+SUMPRODUCT(MAX(ROW(E21:E$3289)*(E3309=E21:E$3289)))))</f>
        <v/>
      </c>
      <c r="J3309" s="24" t="str">
        <f aca="true">IF(OR(E3309="",E3309="!!!",F3309="NEW"),"",COUNTBLANK(OFFSET(A$1,,,SUMPRODUCT(MAX(ROW(E$2:E3309)*(E3309=E$2:E3309)))))-COUNTBLANK(OFFSET(A$1,,,SUMPRODUCT(MAX(ROW(E$1:E3308)*(E2=E$1:E3308))))))</f>
        <v/>
      </c>
      <c r="K3309" s="24" t="str">
        <f aca="false">IF(OR(E3309="",E3309="!!!",F3309="NEW"),"",INDEX(J$1:J3308,SUMPRODUCT(MAX(ROW(E$1:E3308)*(E3309=E$1:E3308)))))</f>
        <v/>
      </c>
      <c r="L3309" s="31"/>
    </row>
    <row r="3310" customFormat="false" ht="15" hidden="false" customHeight="false" outlineLevel="0" collapsed="false">
      <c r="A3310" s="20" t="s">
        <v>1085</v>
      </c>
      <c r="E3310" s="23" t="str">
        <f aca="false">IF(D3310="?OLD","!!!","")</f>
        <v/>
      </c>
      <c r="F3310" s="25" t="str">
        <f aca="false">IF(OR(E3310="",E3310="!!!"),"",IF(NOT(ISNA(VLOOKUP(E3310,E$1:E3309,1,FALSE()))),"OLD",IF(AND(E3310&lt;&gt;"",E3310&lt;&gt;"!!!"),"NEW","")))</f>
        <v/>
      </c>
      <c r="G3310" s="26" t="str">
        <f aca="false">IF(OR(E3310="",E3310="!!!"),"",IF(OR(J3310=0,AND(J3310=1,K3310=1),AND(J3310=1,I3310="SBJ"),AND(J3310=1,I3310=0)),"?IN_FOCUS",IF(J3310&lt;=2,"?ACTIVATED",IF(J3310&lt;&gt;"","?FAMILIAR",IF(F3310="NEW",IF(ISNA(VLOOKUP(E3310,#REF!,1,FALSE())),"?TYPE_IDENTIFIABLE","?REFERENTIAL"),"_")))))</f>
        <v/>
      </c>
      <c r="H3310" s="27" t="str">
        <f aca="false">IF(J3310&lt;&gt;1,"",IF(I3310="SBJ","CB","?"))</f>
        <v/>
      </c>
      <c r="I3310" s="24" t="str">
        <f aca="false">IF(OR(E3310="",E3310="!!!",F3310="NEW"),"",INDEX(B22:B$3289,-1+SUMPRODUCT(MAX(ROW(E22:E$3289)*(E3310=E22:E$3289)))))</f>
        <v/>
      </c>
      <c r="J3310" s="24" t="str">
        <f aca="true">IF(OR(E3310="",E3310="!!!",F3310="NEW"),"",COUNTBLANK(OFFSET(A$1,,,SUMPRODUCT(MAX(ROW(E$2:E3310)*(E3310=E$2:E3310)))))-COUNTBLANK(OFFSET(A$1,,,SUMPRODUCT(MAX(ROW(E$1:E3309)*(E2=E$1:E3309))))))</f>
        <v/>
      </c>
      <c r="K3310" s="24" t="str">
        <f aca="false">IF(OR(E3310="",E3310="!!!",F3310="NEW"),"",INDEX(J$1:J3309,SUMPRODUCT(MAX(ROW(E$1:E3309)*(E3310=E$1:E3309)))))</f>
        <v/>
      </c>
      <c r="L3310" s="31"/>
    </row>
    <row r="3311" customFormat="false" ht="15" hidden="false" customHeight="false" outlineLevel="0" collapsed="false">
      <c r="A3311" s="20" t="s">
        <v>2132</v>
      </c>
      <c r="E3311" s="23" t="str">
        <f aca="false">IF(D3311="?OLD","!!!","")</f>
        <v/>
      </c>
      <c r="F3311" s="25" t="str">
        <f aca="false">IF(OR(E3311="",E3311="!!!"),"",IF(NOT(ISNA(VLOOKUP(E3311,E$1:E3310,1,FALSE()))),"OLD",IF(AND(E3311&lt;&gt;"",E3311&lt;&gt;"!!!"),"NEW","")))</f>
        <v/>
      </c>
      <c r="G3311" s="26" t="str">
        <f aca="false">IF(OR(E3311="",E3311="!!!"),"",IF(OR(J3311=0,AND(J3311=1,K3311=1),AND(J3311=1,I3311="SBJ"),AND(J3311=1,I3311=0)),"?IN_FOCUS",IF(J3311&lt;=2,"?ACTIVATED",IF(J3311&lt;&gt;"","?FAMILIAR",IF(F3311="NEW",IF(ISNA(VLOOKUP(E3311,#REF!,1,FALSE())),"?TYPE_IDENTIFIABLE","?REFERENTIAL"),"_")))))</f>
        <v/>
      </c>
      <c r="H3311" s="27" t="str">
        <f aca="false">IF(J3311&lt;&gt;1,"",IF(I3311="SBJ","CB","?"))</f>
        <v/>
      </c>
      <c r="I3311" s="24" t="str">
        <f aca="false">IF(OR(E3311="",E3311="!!!",F3311="NEW"),"",INDEX(B23:B$3289,-1+SUMPRODUCT(MAX(ROW(E23:E$3289)*(E3311=E23:E$3289)))))</f>
        <v/>
      </c>
      <c r="J3311" s="24" t="str">
        <f aca="true">IF(OR(E3311="",E3311="!!!",F3311="NEW"),"",COUNTBLANK(OFFSET(A$1,,,SUMPRODUCT(MAX(ROW(E$2:E3311)*(E3311=E$2:E3311)))))-COUNTBLANK(OFFSET(A$1,,,SUMPRODUCT(MAX(ROW(E$1:E3310)*(E2=E$1:E3310))))))</f>
        <v/>
      </c>
      <c r="K3311" s="24" t="str">
        <f aca="false">IF(OR(E3311="",E3311="!!!",F3311="NEW"),"",INDEX(J$1:J3310,SUMPRODUCT(MAX(ROW(E$1:E3310)*(E3311=E$1:E3310)))))</f>
        <v/>
      </c>
      <c r="L3311" s="31"/>
    </row>
    <row r="3312" customFormat="false" ht="15" hidden="false" customHeight="false" outlineLevel="0" collapsed="false">
      <c r="A3312" s="20" t="s">
        <v>2133</v>
      </c>
      <c r="E3312" s="23" t="str">
        <f aca="false">IF(D3312="?OLD","!!!","")</f>
        <v/>
      </c>
      <c r="F3312" s="25" t="str">
        <f aca="false">IF(OR(E3312="",E3312="!!!"),"",IF(NOT(ISNA(VLOOKUP(E3312,E$1:E3311,1,FALSE()))),"OLD",IF(AND(E3312&lt;&gt;"",E3312&lt;&gt;"!!!"),"NEW","")))</f>
        <v/>
      </c>
      <c r="G3312" s="26" t="str">
        <f aca="false">IF(OR(E3312="",E3312="!!!"),"",IF(OR(J3312=0,AND(J3312=1,K3312=1),AND(J3312=1,I3312="SBJ"),AND(J3312=1,I3312=0)),"?IN_FOCUS",IF(J3312&lt;=2,"?ACTIVATED",IF(J3312&lt;&gt;"","?FAMILIAR",IF(F3312="NEW",IF(ISNA(VLOOKUP(E3312,#REF!,1,FALSE())),"?TYPE_IDENTIFIABLE","?REFERENTIAL"),"_")))))</f>
        <v/>
      </c>
      <c r="H3312" s="27" t="str">
        <f aca="false">IF(J3312&lt;&gt;1,"",IF(I3312="SBJ","CB","?"))</f>
        <v/>
      </c>
      <c r="I3312" s="24" t="str">
        <f aca="false">IF(OR(E3312="",E3312="!!!",F3312="NEW"),"",INDEX(B24:B$3289,-1+SUMPRODUCT(MAX(ROW(E24:E$3289)*(E3312=E24:E$3289)))))</f>
        <v/>
      </c>
      <c r="J3312" s="24" t="str">
        <f aca="true">IF(OR(E3312="",E3312="!!!",F3312="NEW"),"",COUNTBLANK(OFFSET(A$1,,,SUMPRODUCT(MAX(ROW(E$2:E3312)*(E3312=E$2:E3312)))))-COUNTBLANK(OFFSET(A$1,,,SUMPRODUCT(MAX(ROW(E$1:E3311)*(E2=E$1:E3311))))))</f>
        <v/>
      </c>
      <c r="K3312" s="24" t="str">
        <f aca="false">IF(OR(E3312="",E3312="!!!",F3312="NEW"),"",INDEX(J$1:J3311,SUMPRODUCT(MAX(ROW(E$1:E3311)*(E3312=E$1:E3311)))))</f>
        <v/>
      </c>
      <c r="L3312" s="31"/>
    </row>
    <row r="3313" customFormat="false" ht="15" hidden="false" customHeight="false" outlineLevel="0" collapsed="false">
      <c r="A3313" s="20" t="s">
        <v>2134</v>
      </c>
      <c r="B3313" s="22" t="s">
        <v>1112</v>
      </c>
      <c r="C3313" s="22" t="s">
        <v>1087</v>
      </c>
      <c r="E3313" s="23" t="str">
        <f aca="false">IF(D3313="?OLD","!!!","")</f>
        <v/>
      </c>
      <c r="F3313" s="25" t="str">
        <f aca="false">IF(OR(E3313="",E3313="!!!"),"",IF(NOT(ISNA(VLOOKUP(E3313,E$1:E3312,1,FALSE()))),"OLD",IF(AND(E3313&lt;&gt;"",E3313&lt;&gt;"!!!"),"NEW","")))</f>
        <v/>
      </c>
      <c r="G3313" s="26" t="str">
        <f aca="false">IF(OR(E3313="",E3313="!!!"),"",IF(OR(J3313=0,AND(J3313=1,K3313=1),AND(J3313=1,I3313="SBJ"),AND(J3313=1,I3313=0)),"?IN_FOCUS",IF(J3313&lt;=2,"?ACTIVATED",IF(J3313&lt;&gt;"","?FAMILIAR",IF(F3313="NEW",IF(ISNA(VLOOKUP(E3313,#REF!,1,FALSE())),"?TYPE_IDENTIFIABLE","?REFERENTIAL"),"_")))))</f>
        <v/>
      </c>
      <c r="H3313" s="27" t="str">
        <f aca="false">IF(J3313&lt;&gt;1,"",IF(I3313="SBJ","CB","?"))</f>
        <v/>
      </c>
      <c r="I3313" s="24" t="str">
        <f aca="false">IF(OR(E3313="",E3313="!!!",F3313="NEW"),"",INDEX(B25:B$3289,-1+SUMPRODUCT(MAX(ROW(E25:E$3289)*(E3313=E25:E$3289)))))</f>
        <v/>
      </c>
      <c r="J3313" s="24" t="str">
        <f aca="true">IF(OR(E3313="",E3313="!!!",F3313="NEW"),"",COUNTBLANK(OFFSET(A$1,,,SUMPRODUCT(MAX(ROW(E$2:E3313)*(E3313=E$2:E3313)))))-COUNTBLANK(OFFSET(A$1,,,SUMPRODUCT(MAX(ROW(E$1:E3312)*(E2=E$1:E3312))))))</f>
        <v/>
      </c>
      <c r="K3313" s="24" t="str">
        <f aca="false">IF(OR(E3313="",E3313="!!!",F3313="NEW"),"",INDEX(J$1:J3312,SUMPRODUCT(MAX(ROW(E$1:E3312)*(E3313=E$1:E3312)))))</f>
        <v/>
      </c>
      <c r="L3313" s="31"/>
    </row>
    <row r="3314" customFormat="false" ht="15" hidden="false" customHeight="false" outlineLevel="0" collapsed="false">
      <c r="A3314" s="20" t="s">
        <v>1076</v>
      </c>
      <c r="E3314" s="23" t="str">
        <f aca="false">IF(D3314="?OLD","!!!","")</f>
        <v/>
      </c>
      <c r="F3314" s="25" t="str">
        <f aca="false">IF(OR(E3314="",E3314="!!!"),"",IF(NOT(ISNA(VLOOKUP(E3314,E$1:E3313,1,FALSE()))),"OLD",IF(AND(E3314&lt;&gt;"",E3314&lt;&gt;"!!!"),"NEW","")))</f>
        <v/>
      </c>
      <c r="G3314" s="26" t="str">
        <f aca="false">IF(OR(E3314="",E3314="!!!"),"",IF(OR(J3314=0,AND(J3314=1,K3314=1),AND(J3314=1,I3314="SBJ"),AND(J3314=1,I3314=0)),"?IN_FOCUS",IF(J3314&lt;=2,"?ACTIVATED",IF(J3314&lt;&gt;"","?FAMILIAR",IF(F3314="NEW",IF(ISNA(VLOOKUP(E3314,#REF!,1,FALSE())),"?TYPE_IDENTIFIABLE","?REFERENTIAL"),"_")))))</f>
        <v/>
      </c>
      <c r="H3314" s="27" t="str">
        <f aca="false">IF(J3314&lt;&gt;1,"",IF(I3314="SBJ","CB","?"))</f>
        <v/>
      </c>
      <c r="I3314" s="24" t="str">
        <f aca="false">IF(OR(E3314="",E3314="!!!",F3314="NEW"),"",INDEX(B26:B$3289,-1+SUMPRODUCT(MAX(ROW(E26:E$3289)*(E3314=E26:E$3289)))))</f>
        <v/>
      </c>
      <c r="J3314" s="24" t="str">
        <f aca="true">IF(OR(E3314="",E3314="!!!",F3314="NEW"),"",COUNTBLANK(OFFSET(A$1,,,SUMPRODUCT(MAX(ROW(E$2:E3314)*(E3314=E$2:E3314)))))-COUNTBLANK(OFFSET(A$1,,,SUMPRODUCT(MAX(ROW(E$1:E3313)*(E2=E$1:E3313))))))</f>
        <v/>
      </c>
      <c r="K3314" s="24" t="str">
        <f aca="false">IF(OR(E3314="",E3314="!!!",F3314="NEW"),"",INDEX(J$1:J3313,SUMPRODUCT(MAX(ROW(E$1:E3313)*(E3314=E$1:E3313)))))</f>
        <v/>
      </c>
      <c r="L3314" s="31"/>
    </row>
    <row r="3315" customFormat="false" ht="15" hidden="false" customHeight="false" outlineLevel="0" collapsed="false">
      <c r="A3315" s="20" t="s">
        <v>1133</v>
      </c>
      <c r="B3315" s="22" t="s">
        <v>2135</v>
      </c>
      <c r="E3315" s="23" t="str">
        <f aca="false">IF(D3315="?OLD","!!!","")</f>
        <v/>
      </c>
      <c r="F3315" s="25" t="str">
        <f aca="false">IF(OR(E3315="",E3315="!!!"),"",IF(NOT(ISNA(VLOOKUP(E3315,E$1:E3314,1,FALSE()))),"OLD",IF(AND(E3315&lt;&gt;"",E3315&lt;&gt;"!!!"),"NEW","")))</f>
        <v/>
      </c>
      <c r="G3315" s="26" t="str">
        <f aca="false">IF(OR(E3315="",E3315="!!!"),"",IF(OR(J3315=0,AND(J3315=1,K3315=1),AND(J3315=1,I3315="SBJ"),AND(J3315=1,I3315=0)),"?IN_FOCUS",IF(J3315&lt;=2,"?ACTIVATED",IF(J3315&lt;&gt;"","?FAMILIAR",IF(F3315="NEW",IF(ISNA(VLOOKUP(E3315,#REF!,1,FALSE())),"?TYPE_IDENTIFIABLE","?REFERENTIAL"),"_")))))</f>
        <v/>
      </c>
      <c r="H3315" s="27" t="str">
        <f aca="false">IF(J3315&lt;&gt;1,"",IF(I3315="SBJ","CB","?"))</f>
        <v/>
      </c>
      <c r="I3315" s="24" t="str">
        <f aca="false">IF(OR(E3315="",E3315="!!!",F3315="NEW"),"",INDEX(B27:B$3289,-1+SUMPRODUCT(MAX(ROW(E27:E$3289)*(E3315=E27:E$3289)))))</f>
        <v/>
      </c>
      <c r="J3315" s="24" t="str">
        <f aca="true">IF(OR(E3315="",E3315="!!!",F3315="NEW"),"",COUNTBLANK(OFFSET(A$1,,,SUMPRODUCT(MAX(ROW(E$2:E3315)*(E3315=E$2:E3315)))))-COUNTBLANK(OFFSET(A$1,,,SUMPRODUCT(MAX(ROW(E$1:E3314)*(E2=E$1:E3314))))))</f>
        <v/>
      </c>
      <c r="K3315" s="24" t="str">
        <f aca="false">IF(OR(E3315="",E3315="!!!",F3315="NEW"),"",INDEX(J$1:J3314,SUMPRODUCT(MAX(ROW(E$1:E3314)*(E3315=E$1:E3314)))))</f>
        <v/>
      </c>
      <c r="L3315" s="31"/>
    </row>
    <row r="3316" customFormat="false" ht="15" hidden="false" customHeight="false" outlineLevel="0" collapsed="false">
      <c r="A3316" s="20" t="s">
        <v>2136</v>
      </c>
      <c r="E3316" s="23" t="str">
        <f aca="false">IF(D3316="?OLD","!!!","")</f>
        <v/>
      </c>
      <c r="F3316" s="25" t="str">
        <f aca="false">IF(OR(E3316="",E3316="!!!"),"",IF(NOT(ISNA(VLOOKUP(E3316,E$1:E3315,1,FALSE()))),"OLD",IF(AND(E3316&lt;&gt;"",E3316&lt;&gt;"!!!"),"NEW","")))</f>
        <v/>
      </c>
      <c r="G3316" s="26" t="str">
        <f aca="false">IF(OR(E3316="",E3316="!!!"),"",IF(OR(J3316=0,AND(J3316=1,K3316=1),AND(J3316=1,I3316="SBJ"),AND(J3316=1,I3316=0)),"?IN_FOCUS",IF(J3316&lt;=2,"?ACTIVATED",IF(J3316&lt;&gt;"","?FAMILIAR",IF(F3316="NEW",IF(ISNA(VLOOKUP(E3316,#REF!,1,FALSE())),"?TYPE_IDENTIFIABLE","?REFERENTIAL"),"_")))))</f>
        <v/>
      </c>
      <c r="H3316" s="27" t="str">
        <f aca="false">IF(J3316&lt;&gt;1,"",IF(I3316="SBJ","CB","?"))</f>
        <v/>
      </c>
      <c r="I3316" s="24" t="str">
        <f aca="false">IF(OR(E3316="",E3316="!!!",F3316="NEW"),"",INDEX(B28:B$3289,-1+SUMPRODUCT(MAX(ROW(E28:E$3289)*(E3316=E28:E$3289)))))</f>
        <v/>
      </c>
      <c r="J3316" s="24" t="str">
        <f aca="true">IF(OR(E3316="",E3316="!!!",F3316="NEW"),"",COUNTBLANK(OFFSET(A$1,,,SUMPRODUCT(MAX(ROW(E$2:E3316)*(E3316=E$2:E3316)))))-COUNTBLANK(OFFSET(A$1,,,SUMPRODUCT(MAX(ROW(E$1:E3315)*(E2=E$1:E3315))))))</f>
        <v/>
      </c>
      <c r="K3316" s="24" t="str">
        <f aca="false">IF(OR(E3316="",E3316="!!!",F3316="NEW"),"",INDEX(J$1:J3315,SUMPRODUCT(MAX(ROW(E$1:E3315)*(E3316=E$1:E3315)))))</f>
        <v/>
      </c>
      <c r="L3316" s="31"/>
    </row>
    <row r="3317" customFormat="false" ht="15" hidden="false" customHeight="false" outlineLevel="0" collapsed="false">
      <c r="A3317" s="20" t="s">
        <v>1179</v>
      </c>
      <c r="B3317" s="22" t="s">
        <v>2137</v>
      </c>
      <c r="C3317" s="22" t="s">
        <v>1082</v>
      </c>
      <c r="D3317" s="22" t="s">
        <v>1060</v>
      </c>
      <c r="E3317" s="23" t="str">
        <f aca="false">IF(D3317="?OLD","!!!","")</f>
        <v>!!!</v>
      </c>
      <c r="F3317" s="25" t="str">
        <f aca="false">IF(OR(E3317="",E3317="!!!"),"",IF(NOT(ISNA(VLOOKUP(E3317,E$1:E3316,1,FALSE()))),"OLD",IF(AND(E3317&lt;&gt;"",E3317&lt;&gt;"!!!"),"NEW","")))</f>
        <v/>
      </c>
      <c r="G3317" s="26" t="str">
        <f aca="false">IF(OR(E3317="",E3317="!!!"),"",IF(OR(J3317=0,AND(J3317=1,K3317=1),AND(J3317=1,I3317="SBJ"),AND(J3317=1,I3317=0)),"?IN_FOCUS",IF(J3317&lt;=2,"?ACTIVATED",IF(J3317&lt;&gt;"","?FAMILIAR",IF(F3317="NEW",IF(ISNA(VLOOKUP(E3317,#REF!,1,FALSE())),"?TYPE_IDENTIFIABLE","?REFERENTIAL"),"_")))))</f>
        <v/>
      </c>
      <c r="H3317" s="27" t="str">
        <f aca="false">IF(J3317&lt;&gt;1,"",IF(I3317="SBJ","CB","?"))</f>
        <v/>
      </c>
      <c r="I3317" s="24" t="str">
        <f aca="false">IF(OR(E3317="",E3317="!!!",F3317="NEW"),"",INDEX(B29:B$3289,-1+SUMPRODUCT(MAX(ROW(E29:E$3289)*(E3317=E29:E$3289)))))</f>
        <v/>
      </c>
      <c r="J3317" s="24" t="str">
        <f aca="true">IF(OR(E3317="",E3317="!!!",F3317="NEW"),"",COUNTBLANK(OFFSET(A$1,,,SUMPRODUCT(MAX(ROW(E$2:E3317)*(E3317=E$2:E3317)))))-COUNTBLANK(OFFSET(A$1,,,SUMPRODUCT(MAX(ROW(E$1:E3316)*(E2=E$1:E3316))))))</f>
        <v/>
      </c>
      <c r="K3317" s="24" t="str">
        <f aca="false">IF(OR(E3317="",E3317="!!!",F3317="NEW"),"",INDEX(J$1:J3316,SUMPRODUCT(MAX(ROW(E$1:E3316)*(E3317=E$1:E3316)))))</f>
        <v/>
      </c>
      <c r="L3317" s="31"/>
    </row>
    <row r="3318" customFormat="false" ht="15" hidden="false" customHeight="false" outlineLevel="0" collapsed="false">
      <c r="A3318" s="20" t="s">
        <v>1173</v>
      </c>
      <c r="E3318" s="23" t="str">
        <f aca="false">IF(D3318="?OLD","!!!","")</f>
        <v/>
      </c>
      <c r="F3318" s="25" t="str">
        <f aca="false">IF(OR(E3318="",E3318="!!!"),"",IF(NOT(ISNA(VLOOKUP(E3318,E$1:E3317,1,FALSE()))),"OLD",IF(AND(E3318&lt;&gt;"",E3318&lt;&gt;"!!!"),"NEW","")))</f>
        <v/>
      </c>
      <c r="G3318" s="26" t="str">
        <f aca="false">IF(OR(E3318="",E3318="!!!"),"",IF(OR(J3318=0,AND(J3318=1,K3318=1),AND(J3318=1,I3318="SBJ"),AND(J3318=1,I3318=0)),"?IN_FOCUS",IF(J3318&lt;=2,"?ACTIVATED",IF(J3318&lt;&gt;"","?FAMILIAR",IF(F3318="NEW",IF(ISNA(VLOOKUP(E3318,#REF!,1,FALSE())),"?TYPE_IDENTIFIABLE","?REFERENTIAL"),"_")))))</f>
        <v/>
      </c>
      <c r="H3318" s="27" t="str">
        <f aca="false">IF(J3318&lt;&gt;1,"",IF(I3318="SBJ","CB","?"))</f>
        <v/>
      </c>
      <c r="I3318" s="24" t="str">
        <f aca="false">IF(OR(E3318="",E3318="!!!",F3318="NEW"),"",INDEX(B30:B$3289,-1+SUMPRODUCT(MAX(ROW(E30:E$3289)*(E3318=E30:E$3289)))))</f>
        <v/>
      </c>
      <c r="J3318" s="24" t="str">
        <f aca="true">IF(OR(E3318="",E3318="!!!",F3318="NEW"),"",COUNTBLANK(OFFSET(A$1,,,SUMPRODUCT(MAX(ROW(E$2:E3318)*(E3318=E$2:E3318)))))-COUNTBLANK(OFFSET(A$1,,,SUMPRODUCT(MAX(ROW(E$1:E3317)*(E2=E$1:E3317))))))</f>
        <v/>
      </c>
      <c r="K3318" s="24" t="str">
        <f aca="false">IF(OR(E3318="",E3318="!!!",F3318="NEW"),"",INDEX(J$1:J3317,SUMPRODUCT(MAX(ROW(E$1:E3317)*(E3318=E$1:E3317)))))</f>
        <v/>
      </c>
      <c r="L3318" s="31"/>
    </row>
    <row r="3319" customFormat="false" ht="15" hidden="false" customHeight="false" outlineLevel="0" collapsed="false">
      <c r="A3319" s="20" t="s">
        <v>1109</v>
      </c>
      <c r="E3319" s="23" t="str">
        <f aca="false">IF(D3319="?OLD","!!!","")</f>
        <v/>
      </c>
      <c r="F3319" s="25" t="str">
        <f aca="false">IF(OR(E3319="",E3319="!!!"),"",IF(NOT(ISNA(VLOOKUP(E3319,E$1:E3318,1,FALSE()))),"OLD",IF(AND(E3319&lt;&gt;"",E3319&lt;&gt;"!!!"),"NEW","")))</f>
        <v/>
      </c>
      <c r="G3319" s="26" t="str">
        <f aca="false">IF(OR(E3319="",E3319="!!!"),"",IF(OR(J3319=0,AND(J3319=1,K3319=1),AND(J3319=1,I3319="SBJ"),AND(J3319=1,I3319=0)),"?IN_FOCUS",IF(J3319&lt;=2,"?ACTIVATED",IF(J3319&lt;&gt;"","?FAMILIAR",IF(F3319="NEW",IF(ISNA(VLOOKUP(E3319,#REF!,1,FALSE())),"?TYPE_IDENTIFIABLE","?REFERENTIAL"),"_")))))</f>
        <v/>
      </c>
      <c r="H3319" s="27" t="str">
        <f aca="false">IF(J3319&lt;&gt;1,"",IF(I3319="SBJ","CB","?"))</f>
        <v/>
      </c>
      <c r="I3319" s="24" t="str">
        <f aca="false">IF(OR(E3319="",E3319="!!!",F3319="NEW"),"",INDEX(B31:B$3289,-1+SUMPRODUCT(MAX(ROW(E31:E$3289)*(E3319=E31:E$3289)))))</f>
        <v/>
      </c>
      <c r="J3319" s="24" t="str">
        <f aca="true">IF(OR(E3319="",E3319="!!!",F3319="NEW"),"",COUNTBLANK(OFFSET(A$1,,,SUMPRODUCT(MAX(ROW(E$2:E3319)*(E3319=E$2:E3319)))))-COUNTBLANK(OFFSET(A$1,,,SUMPRODUCT(MAX(ROW(E$1:E3318)*(E2=E$1:E3318))))))</f>
        <v/>
      </c>
      <c r="K3319" s="24" t="str">
        <f aca="false">IF(OR(E3319="",E3319="!!!",F3319="NEW"),"",INDEX(J$1:J3318,SUMPRODUCT(MAX(ROW(E$1:E3318)*(E3319=E$1:E3318)))))</f>
        <v/>
      </c>
      <c r="L3319" s="31"/>
    </row>
    <row r="3320" customFormat="false" ht="15" hidden="false" customHeight="false" outlineLevel="0" collapsed="false">
      <c r="A3320" s="20" t="s">
        <v>2138</v>
      </c>
      <c r="B3320" s="22" t="s">
        <v>1855</v>
      </c>
      <c r="C3320" s="22" t="s">
        <v>1150</v>
      </c>
      <c r="D3320" s="22" t="s">
        <v>1060</v>
      </c>
      <c r="E3320" s="23" t="str">
        <f aca="false">IF(D3320="?OLD","!!!","")</f>
        <v>!!!</v>
      </c>
      <c r="F3320" s="25" t="str">
        <f aca="false">IF(OR(E3320="",E3320="!!!"),"",IF(NOT(ISNA(VLOOKUP(E3320,E$1:E3319,1,FALSE()))),"OLD",IF(AND(E3320&lt;&gt;"",E3320&lt;&gt;"!!!"),"NEW","")))</f>
        <v/>
      </c>
      <c r="G3320" s="26" t="str">
        <f aca="false">IF(OR(E3320="",E3320="!!!"),"",IF(OR(J3320=0,AND(J3320=1,K3320=1),AND(J3320=1,I3320="SBJ"),AND(J3320=1,I3320=0)),"?IN_FOCUS",IF(J3320&lt;=2,"?ACTIVATED",IF(J3320&lt;&gt;"","?FAMILIAR",IF(F3320="NEW",IF(ISNA(VLOOKUP(E3320,#REF!,1,FALSE())),"?TYPE_IDENTIFIABLE","?REFERENTIAL"),"_")))))</f>
        <v/>
      </c>
      <c r="H3320" s="27" t="str">
        <f aca="false">IF(J3320&lt;&gt;1,"",IF(I3320="SBJ","CB","?"))</f>
        <v/>
      </c>
      <c r="I3320" s="24" t="str">
        <f aca="false">IF(OR(E3320="",E3320="!!!",F3320="NEW"),"",INDEX(B32:B$3289,-1+SUMPRODUCT(MAX(ROW(E32:E$3289)*(E3320=E32:E$3289)))))</f>
        <v/>
      </c>
      <c r="J3320" s="24" t="str">
        <f aca="true">IF(OR(E3320="",E3320="!!!",F3320="NEW"),"",COUNTBLANK(OFFSET(A$1,,,SUMPRODUCT(MAX(ROW(E$2:E3320)*(E3320=E$2:E3320)))))-COUNTBLANK(OFFSET(A$1,,,SUMPRODUCT(MAX(ROW(E$1:E3319)*(E2=E$1:E3319))))))</f>
        <v/>
      </c>
      <c r="K3320" s="24" t="str">
        <f aca="false">IF(OR(E3320="",E3320="!!!",F3320="NEW"),"",INDEX(J$1:J3319,SUMPRODUCT(MAX(ROW(E$1:E3319)*(E3320=E$1:E3319)))))</f>
        <v/>
      </c>
      <c r="L3320" s="31"/>
    </row>
    <row r="3321" customFormat="false" ht="15" hidden="false" customHeight="false" outlineLevel="0" collapsed="false">
      <c r="A3321" s="20" t="s">
        <v>923</v>
      </c>
      <c r="E3321" s="23" t="str">
        <f aca="false">IF(D3321="?OLD","!!!","")</f>
        <v/>
      </c>
      <c r="F3321" s="25" t="str">
        <f aca="false">IF(OR(E3321="",E3321="!!!"),"",IF(NOT(ISNA(VLOOKUP(E3321,E$1:E3320,1,FALSE()))),"OLD",IF(AND(E3321&lt;&gt;"",E3321&lt;&gt;"!!!"),"NEW","")))</f>
        <v/>
      </c>
      <c r="G3321" s="26" t="str">
        <f aca="false">IF(OR(E3321="",E3321="!!!"),"",IF(OR(J3321=0,AND(J3321=1,K3321=1),AND(J3321=1,I3321="SBJ"),AND(J3321=1,I3321=0)),"?IN_FOCUS",IF(J3321&lt;=2,"?ACTIVATED",IF(J3321&lt;&gt;"","?FAMILIAR",IF(F3321="NEW",IF(ISNA(VLOOKUP(E3321,#REF!,1,FALSE())),"?TYPE_IDENTIFIABLE","?REFERENTIAL"),"_")))))</f>
        <v/>
      </c>
      <c r="H3321" s="27" t="str">
        <f aca="false">IF(J3321&lt;&gt;1,"",IF(I3321="SBJ","CB","?"))</f>
        <v/>
      </c>
      <c r="I3321" s="24" t="str">
        <f aca="false">IF(OR(E3321="",E3321="!!!",F3321="NEW"),"",INDEX(B33:B$3289,-1+SUMPRODUCT(MAX(ROW(E33:E$3289)*(E3321=E33:E$3289)))))</f>
        <v/>
      </c>
      <c r="J3321" s="24" t="str">
        <f aca="true">IF(OR(E3321="",E3321="!!!",F3321="NEW"),"",COUNTBLANK(OFFSET(A$1,,,SUMPRODUCT(MAX(ROW(E$2:E3321)*(E3321=E$2:E3321)))))-COUNTBLANK(OFFSET(A$1,,,SUMPRODUCT(MAX(ROW(E$1:E3320)*(E2=E$1:E3320))))))</f>
        <v/>
      </c>
      <c r="K3321" s="24" t="str">
        <f aca="false">IF(OR(E3321="",E3321="!!!",F3321="NEW"),"",INDEX(J$1:J3320,SUMPRODUCT(MAX(ROW(E$1:E3320)*(E3321=E$1:E3320)))))</f>
        <v/>
      </c>
      <c r="L3321" s="31"/>
    </row>
    <row r="3322" customFormat="false" ht="15" hidden="false" customHeight="false" outlineLevel="0" collapsed="false">
      <c r="A3322" s="20"/>
    </row>
    <row r="3323" customFormat="false" ht="15" hidden="false" customHeight="false" outlineLevel="0" collapsed="false">
      <c r="A3323" s="20" t="s">
        <v>2139</v>
      </c>
    </row>
    <row r="3324" customFormat="false" ht="15" hidden="false" customHeight="false" outlineLevel="0" collapsed="false">
      <c r="A3324" s="20" t="s">
        <v>1478</v>
      </c>
      <c r="E3324" s="23" t="str">
        <f aca="false">IF(D3324="?OLD","!!!","")</f>
        <v/>
      </c>
      <c r="F3324" s="25" t="str">
        <f aca="false">IF(OR(E3324="",E3324="!!!"),"",IF(NOT(ISNA(VLOOKUP(E3324,E$1:E3323,1,FALSE()))),"OLD",IF(AND(E3324&lt;&gt;"",E3324&lt;&gt;"!!!"),"NEW","")))</f>
        <v/>
      </c>
      <c r="G3324" s="26" t="str">
        <f aca="false">IF(OR(E3324="",E3324="!!!"),"",IF(OR(J3324=0,AND(J3324=1,K3324=1),AND(J3324=1,I3324="SBJ"),AND(J3324=1,I3324=0)),"?IN_FOCUS",IF(J3324&lt;=2,"?ACTIVATED",IF(J3324&lt;&gt;"","?FAMILIAR",IF(F3324="NEW",IF(ISNA(VLOOKUP(E3324,#REF!,1,FALSE())),"?TYPE_IDENTIFIABLE","?REFERENTIAL"),"_")))))</f>
        <v/>
      </c>
      <c r="H3324" s="27" t="str">
        <f aca="false">IF(J3324&lt;&gt;1,"",IF(I3324="SBJ","CB","?"))</f>
        <v/>
      </c>
      <c r="I3324" s="24" t="str">
        <f aca="false">IF(OR(E3324="",E3324="!!!",F3324="NEW"),"",INDEX(B2:B$3323,-1+SUMPRODUCT(MAX(ROW(E2:E$3323)*(E3324=E2:E$3323)))))</f>
        <v/>
      </c>
      <c r="J3324" s="24" t="str">
        <f aca="true">IF(OR(E3324="",E3324="!!!",F3324="NEW"),"",COUNTBLANK(OFFSET(A$1,,,SUMPRODUCT(MAX(ROW(E$2:E3324)*(E3324=E$2:E3324)))))-COUNTBLANK(OFFSET(A$1,,,SUMPRODUCT(MAX(ROW(E$1:E3323)*(E2=E$1:E3323))))))</f>
        <v/>
      </c>
      <c r="K3324" s="24" t="str">
        <f aca="false">IF(OR(E3324="",E3324="!!!",F3324="NEW"),"",INDEX(J$1:J3323,SUMPRODUCT(MAX(ROW(E$1:E3323)*(E3324=E$1:E3323)))))</f>
        <v/>
      </c>
      <c r="L3324" s="31"/>
    </row>
    <row r="3325" customFormat="false" ht="15" hidden="false" customHeight="false" outlineLevel="0" collapsed="false">
      <c r="A3325" s="20" t="s">
        <v>1092</v>
      </c>
      <c r="E3325" s="23" t="str">
        <f aca="false">IF(D3325="?OLD","!!!","")</f>
        <v/>
      </c>
      <c r="F3325" s="25" t="str">
        <f aca="false">IF(OR(E3325="",E3325="!!!"),"",IF(NOT(ISNA(VLOOKUP(E3325,E$1:E3324,1,FALSE()))),"OLD",IF(AND(E3325&lt;&gt;"",E3325&lt;&gt;"!!!"),"NEW","")))</f>
        <v/>
      </c>
      <c r="G3325" s="26" t="str">
        <f aca="false">IF(OR(E3325="",E3325="!!!"),"",IF(OR(J3325=0,AND(J3325=1,K3325=1),AND(J3325=1,I3325="SBJ"),AND(J3325=1,I3325=0)),"?IN_FOCUS",IF(J3325&lt;=2,"?ACTIVATED",IF(J3325&lt;&gt;"","?FAMILIAR",IF(F3325="NEW",IF(ISNA(VLOOKUP(E3325,#REF!,1,FALSE())),"?TYPE_IDENTIFIABLE","?REFERENTIAL"),"_")))))</f>
        <v/>
      </c>
      <c r="H3325" s="27" t="str">
        <f aca="false">IF(J3325&lt;&gt;1,"",IF(I3325="SBJ","CB","?"))</f>
        <v/>
      </c>
      <c r="I3325" s="24" t="str">
        <f aca="false">IF(OR(E3325="",E3325="!!!",F3325="NEW"),"",INDEX(B3:B$3323,-1+SUMPRODUCT(MAX(ROW(E3:E$3323)*(E3325=E3:E$3323)))))</f>
        <v/>
      </c>
      <c r="J3325" s="24" t="str">
        <f aca="true">IF(OR(E3325="",E3325="!!!",F3325="NEW"),"",COUNTBLANK(OFFSET(A$1,,,SUMPRODUCT(MAX(ROW(E$2:E3325)*(E3325=E$2:E3325)))))-COUNTBLANK(OFFSET(A$1,,,SUMPRODUCT(MAX(ROW(E$1:E3324)*(E2=E$1:E3324))))))</f>
        <v/>
      </c>
      <c r="K3325" s="24" t="str">
        <f aca="false">IF(OR(E3325="",E3325="!!!",F3325="NEW"),"",INDEX(J$1:J3324,SUMPRODUCT(MAX(ROW(E$1:E3324)*(E3325=E$1:E3324)))))</f>
        <v/>
      </c>
      <c r="L3325" s="31"/>
    </row>
    <row r="3326" customFormat="false" ht="15" hidden="false" customHeight="false" outlineLevel="0" collapsed="false">
      <c r="A3326" s="20" t="s">
        <v>1117</v>
      </c>
      <c r="E3326" s="23" t="str">
        <f aca="false">IF(D3326="?OLD","!!!","")</f>
        <v/>
      </c>
      <c r="F3326" s="25" t="str">
        <f aca="false">IF(OR(E3326="",E3326="!!!"),"",IF(NOT(ISNA(VLOOKUP(E3326,E$1:E3325,1,FALSE()))),"OLD",IF(AND(E3326&lt;&gt;"",E3326&lt;&gt;"!!!"),"NEW","")))</f>
        <v/>
      </c>
      <c r="G3326" s="26" t="str">
        <f aca="false">IF(OR(E3326="",E3326="!!!"),"",IF(OR(J3326=0,AND(J3326=1,K3326=1),AND(J3326=1,I3326="SBJ"),AND(J3326=1,I3326=0)),"?IN_FOCUS",IF(J3326&lt;=2,"?ACTIVATED",IF(J3326&lt;&gt;"","?FAMILIAR",IF(F3326="NEW",IF(ISNA(VLOOKUP(E3326,#REF!,1,FALSE())),"?TYPE_IDENTIFIABLE","?REFERENTIAL"),"_")))))</f>
        <v/>
      </c>
      <c r="H3326" s="27" t="str">
        <f aca="false">IF(J3326&lt;&gt;1,"",IF(I3326="SBJ","CB","?"))</f>
        <v/>
      </c>
      <c r="I3326" s="24" t="str">
        <f aca="false">IF(OR(E3326="",E3326="!!!",F3326="NEW"),"",INDEX(B4:B$3323,-1+SUMPRODUCT(MAX(ROW(E4:E$3323)*(E3326=E4:E$3323)))))</f>
        <v/>
      </c>
      <c r="J3326" s="24" t="str">
        <f aca="true">IF(OR(E3326="",E3326="!!!",F3326="NEW"),"",COUNTBLANK(OFFSET(A$1,,,SUMPRODUCT(MAX(ROW(E$2:E3326)*(E3326=E$2:E3326)))))-COUNTBLANK(OFFSET(A$1,,,SUMPRODUCT(MAX(ROW(E$1:E3325)*(E2=E$1:E3325))))))</f>
        <v/>
      </c>
      <c r="K3326" s="24" t="str">
        <f aca="false">IF(OR(E3326="",E3326="!!!",F3326="NEW"),"",INDEX(J$1:J3325,SUMPRODUCT(MAX(ROW(E$1:E3325)*(E3326=E$1:E3325)))))</f>
        <v/>
      </c>
      <c r="L3326" s="31"/>
    </row>
    <row r="3327" customFormat="false" ht="15" hidden="false" customHeight="false" outlineLevel="0" collapsed="false">
      <c r="A3327" s="20" t="s">
        <v>1586</v>
      </c>
      <c r="B3327" s="22" t="s">
        <v>1086</v>
      </c>
      <c r="C3327" s="22" t="s">
        <v>1389</v>
      </c>
      <c r="E3327" s="23" t="str">
        <f aca="false">IF(D3327="?OLD","!!!","")</f>
        <v/>
      </c>
      <c r="F3327" s="25" t="str">
        <f aca="false">IF(OR(E3327="",E3327="!!!"),"",IF(NOT(ISNA(VLOOKUP(E3327,E$1:E3326,1,FALSE()))),"OLD",IF(AND(E3327&lt;&gt;"",E3327&lt;&gt;"!!!"),"NEW","")))</f>
        <v/>
      </c>
      <c r="G3327" s="26" t="str">
        <f aca="false">IF(OR(E3327="",E3327="!!!"),"",IF(OR(J3327=0,AND(J3327=1,K3327=1),AND(J3327=1,I3327="SBJ"),AND(J3327=1,I3327=0)),"?IN_FOCUS",IF(J3327&lt;=2,"?ACTIVATED",IF(J3327&lt;&gt;"","?FAMILIAR",IF(F3327="NEW",IF(ISNA(VLOOKUP(E3327,#REF!,1,FALSE())),"?TYPE_IDENTIFIABLE","?REFERENTIAL"),"_")))))</f>
        <v/>
      </c>
      <c r="H3327" s="27" t="str">
        <f aca="false">IF(J3327&lt;&gt;1,"",IF(I3327="SBJ","CB","?"))</f>
        <v/>
      </c>
      <c r="I3327" s="24" t="str">
        <f aca="false">IF(OR(E3327="",E3327="!!!",F3327="NEW"),"",INDEX(B5:B$3323,-1+SUMPRODUCT(MAX(ROW(E5:E$3323)*(E3327=E5:E$3323)))))</f>
        <v/>
      </c>
      <c r="J3327" s="24" t="str">
        <f aca="true">IF(OR(E3327="",E3327="!!!",F3327="NEW"),"",COUNTBLANK(OFFSET(A$1,,,SUMPRODUCT(MAX(ROW(E$2:E3327)*(E3327=E$2:E3327)))))-COUNTBLANK(OFFSET(A$1,,,SUMPRODUCT(MAX(ROW(E$1:E3326)*(E2=E$1:E3326))))))</f>
        <v/>
      </c>
      <c r="K3327" s="24" t="str">
        <f aca="false">IF(OR(E3327="",E3327="!!!",F3327="NEW"),"",INDEX(J$1:J3326,SUMPRODUCT(MAX(ROW(E$1:E3326)*(E3327=E$1:E3326)))))</f>
        <v/>
      </c>
      <c r="L3327" s="31"/>
    </row>
    <row r="3328" customFormat="false" ht="15" hidden="false" customHeight="false" outlineLevel="0" collapsed="false">
      <c r="A3328" s="20" t="s">
        <v>572</v>
      </c>
      <c r="E3328" s="23" t="str">
        <f aca="false">IF(D3328="?OLD","!!!","")</f>
        <v/>
      </c>
      <c r="F3328" s="25" t="str">
        <f aca="false">IF(OR(E3328="",E3328="!!!"),"",IF(NOT(ISNA(VLOOKUP(E3328,E$1:E3327,1,FALSE()))),"OLD",IF(AND(E3328&lt;&gt;"",E3328&lt;&gt;"!!!"),"NEW","")))</f>
        <v/>
      </c>
      <c r="G3328" s="26" t="str">
        <f aca="false">IF(OR(E3328="",E3328="!!!"),"",IF(OR(J3328=0,AND(J3328=1,K3328=1),AND(J3328=1,I3328="SBJ"),AND(J3328=1,I3328=0)),"?IN_FOCUS",IF(J3328&lt;=2,"?ACTIVATED",IF(J3328&lt;&gt;"","?FAMILIAR",IF(F3328="NEW",IF(ISNA(VLOOKUP(E3328,#REF!,1,FALSE())),"?TYPE_IDENTIFIABLE","?REFERENTIAL"),"_")))))</f>
        <v/>
      </c>
      <c r="H3328" s="27" t="str">
        <f aca="false">IF(J3328&lt;&gt;1,"",IF(I3328="SBJ","CB","?"))</f>
        <v/>
      </c>
      <c r="I3328" s="24" t="str">
        <f aca="false">IF(OR(E3328="",E3328="!!!",F3328="NEW"),"",INDEX(B6:B$3323,-1+SUMPRODUCT(MAX(ROW(E6:E$3323)*(E3328=E6:E$3323)))))</f>
        <v/>
      </c>
      <c r="J3328" s="24" t="str">
        <f aca="true">IF(OR(E3328="",E3328="!!!",F3328="NEW"),"",COUNTBLANK(OFFSET(A$1,,,SUMPRODUCT(MAX(ROW(E$2:E3328)*(E3328=E$2:E3328)))))-COUNTBLANK(OFFSET(A$1,,,SUMPRODUCT(MAX(ROW(E$1:E3327)*(E2=E$1:E3327))))))</f>
        <v/>
      </c>
      <c r="K3328" s="24" t="str">
        <f aca="false">IF(OR(E3328="",E3328="!!!",F3328="NEW"),"",INDEX(J$1:J3327,SUMPRODUCT(MAX(ROW(E$1:E3327)*(E3328=E$1:E3327)))))</f>
        <v/>
      </c>
      <c r="L3328" s="31"/>
    </row>
    <row r="3329" customFormat="false" ht="15" hidden="false" customHeight="false" outlineLevel="0" collapsed="false">
      <c r="A3329" s="20" t="s">
        <v>1173</v>
      </c>
      <c r="E3329" s="23" t="str">
        <f aca="false">IF(D3329="?OLD","!!!","")</f>
        <v/>
      </c>
      <c r="F3329" s="25" t="str">
        <f aca="false">IF(OR(E3329="",E3329="!!!"),"",IF(NOT(ISNA(VLOOKUP(E3329,E$1:E3328,1,FALSE()))),"OLD",IF(AND(E3329&lt;&gt;"",E3329&lt;&gt;"!!!"),"NEW","")))</f>
        <v/>
      </c>
      <c r="G3329" s="26" t="str">
        <f aca="false">IF(OR(E3329="",E3329="!!!"),"",IF(OR(J3329=0,AND(J3329=1,K3329=1),AND(J3329=1,I3329="SBJ"),AND(J3329=1,I3329=0)),"?IN_FOCUS",IF(J3329&lt;=2,"?ACTIVATED",IF(J3329&lt;&gt;"","?FAMILIAR",IF(F3329="NEW",IF(ISNA(VLOOKUP(E3329,#REF!,1,FALSE())),"?TYPE_IDENTIFIABLE","?REFERENTIAL"),"_")))))</f>
        <v/>
      </c>
      <c r="H3329" s="27" t="str">
        <f aca="false">IF(J3329&lt;&gt;1,"",IF(I3329="SBJ","CB","?"))</f>
        <v/>
      </c>
      <c r="I3329" s="24" t="str">
        <f aca="false">IF(OR(E3329="",E3329="!!!",F3329="NEW"),"",INDEX(B7:B$3323,-1+SUMPRODUCT(MAX(ROW(E7:E$3323)*(E3329=E7:E$3323)))))</f>
        <v/>
      </c>
      <c r="J3329" s="24" t="str">
        <f aca="true">IF(OR(E3329="",E3329="!!!",F3329="NEW"),"",COUNTBLANK(OFFSET(A$1,,,SUMPRODUCT(MAX(ROW(E$2:E3329)*(E3329=E$2:E3329)))))-COUNTBLANK(OFFSET(A$1,,,SUMPRODUCT(MAX(ROW(E$1:E3328)*(E2=E$1:E3328))))))</f>
        <v/>
      </c>
      <c r="K3329" s="24" t="str">
        <f aca="false">IF(OR(E3329="",E3329="!!!",F3329="NEW"),"",INDEX(J$1:J3328,SUMPRODUCT(MAX(ROW(E$1:E3328)*(E3329=E$1:E3328)))))</f>
        <v/>
      </c>
      <c r="L3329" s="31"/>
    </row>
    <row r="3330" customFormat="false" ht="15" hidden="false" customHeight="false" outlineLevel="0" collapsed="false">
      <c r="A3330" s="20" t="s">
        <v>1109</v>
      </c>
      <c r="E3330" s="23" t="str">
        <f aca="false">IF(D3330="?OLD","!!!","")</f>
        <v/>
      </c>
      <c r="F3330" s="25" t="str">
        <f aca="false">IF(OR(E3330="",E3330="!!!"),"",IF(NOT(ISNA(VLOOKUP(E3330,E$1:E3329,1,FALSE()))),"OLD",IF(AND(E3330&lt;&gt;"",E3330&lt;&gt;"!!!"),"NEW","")))</f>
        <v/>
      </c>
      <c r="G3330" s="26" t="str">
        <f aca="false">IF(OR(E3330="",E3330="!!!"),"",IF(OR(J3330=0,AND(J3330=1,K3330=1),AND(J3330=1,I3330="SBJ"),AND(J3330=1,I3330=0)),"?IN_FOCUS",IF(J3330&lt;=2,"?ACTIVATED",IF(J3330&lt;&gt;"","?FAMILIAR",IF(F3330="NEW",IF(ISNA(VLOOKUP(E3330,#REF!,1,FALSE())),"?TYPE_IDENTIFIABLE","?REFERENTIAL"),"_")))))</f>
        <v/>
      </c>
      <c r="H3330" s="27" t="str">
        <f aca="false">IF(J3330&lt;&gt;1,"",IF(I3330="SBJ","CB","?"))</f>
        <v/>
      </c>
      <c r="I3330" s="24" t="str">
        <f aca="false">IF(OR(E3330="",E3330="!!!",F3330="NEW"),"",INDEX(B8:B$3323,-1+SUMPRODUCT(MAX(ROW(E8:E$3323)*(E3330=E8:E$3323)))))</f>
        <v/>
      </c>
      <c r="J3330" s="24" t="str">
        <f aca="true">IF(OR(E3330="",E3330="!!!",F3330="NEW"),"",COUNTBLANK(OFFSET(A$1,,,SUMPRODUCT(MAX(ROW(E$2:E3330)*(E3330=E$2:E3330)))))-COUNTBLANK(OFFSET(A$1,,,SUMPRODUCT(MAX(ROW(E$1:E3329)*(E2=E$1:E3329))))))</f>
        <v/>
      </c>
      <c r="K3330" s="24" t="str">
        <f aca="false">IF(OR(E3330="",E3330="!!!",F3330="NEW"),"",INDEX(J$1:J3329,SUMPRODUCT(MAX(ROW(E$1:E3329)*(E3330=E$1:E3329)))))</f>
        <v/>
      </c>
      <c r="L3330" s="31"/>
    </row>
    <row r="3331" customFormat="false" ht="15" hidden="false" customHeight="false" outlineLevel="0" collapsed="false">
      <c r="A3331" s="20" t="s">
        <v>1435</v>
      </c>
      <c r="E3331" s="23" t="str">
        <f aca="false">IF(D3331="?OLD","!!!","")</f>
        <v/>
      </c>
      <c r="F3331" s="25" t="str">
        <f aca="false">IF(OR(E3331="",E3331="!!!"),"",IF(NOT(ISNA(VLOOKUP(E3331,E$1:E3330,1,FALSE()))),"OLD",IF(AND(E3331&lt;&gt;"",E3331&lt;&gt;"!!!"),"NEW","")))</f>
        <v/>
      </c>
      <c r="G3331" s="26" t="str">
        <f aca="false">IF(OR(E3331="",E3331="!!!"),"",IF(OR(J3331=0,AND(J3331=1,K3331=1),AND(J3331=1,I3331="SBJ"),AND(J3331=1,I3331=0)),"?IN_FOCUS",IF(J3331&lt;=2,"?ACTIVATED",IF(J3331&lt;&gt;"","?FAMILIAR",IF(F3331="NEW",IF(ISNA(VLOOKUP(E3331,#REF!,1,FALSE())),"?TYPE_IDENTIFIABLE","?REFERENTIAL"),"_")))))</f>
        <v/>
      </c>
      <c r="H3331" s="27" t="str">
        <f aca="false">IF(J3331&lt;&gt;1,"",IF(I3331="SBJ","CB","?"))</f>
        <v/>
      </c>
      <c r="I3331" s="24" t="str">
        <f aca="false">IF(OR(E3331="",E3331="!!!",F3331="NEW"),"",INDEX(B9:B$3323,-1+SUMPRODUCT(MAX(ROW(E9:E$3323)*(E3331=E9:E$3323)))))</f>
        <v/>
      </c>
      <c r="J3331" s="24" t="str">
        <f aca="true">IF(OR(E3331="",E3331="!!!",F3331="NEW"),"",COUNTBLANK(OFFSET(A$1,,,SUMPRODUCT(MAX(ROW(E$2:E3331)*(E3331=E$2:E3331)))))-COUNTBLANK(OFFSET(A$1,,,SUMPRODUCT(MAX(ROW(E$1:E3330)*(E2=E$1:E3330))))))</f>
        <v/>
      </c>
      <c r="K3331" s="24" t="str">
        <f aca="false">IF(OR(E3331="",E3331="!!!",F3331="NEW"),"",INDEX(J$1:J3330,SUMPRODUCT(MAX(ROW(E$1:E3330)*(E3331=E$1:E3330)))))</f>
        <v/>
      </c>
      <c r="L3331" s="31"/>
    </row>
    <row r="3332" customFormat="false" ht="15" hidden="false" customHeight="false" outlineLevel="0" collapsed="false">
      <c r="A3332" s="20" t="s">
        <v>16</v>
      </c>
      <c r="E3332" s="23" t="str">
        <f aca="false">IF(D3332="?OLD","!!!","")</f>
        <v/>
      </c>
      <c r="F3332" s="25" t="str">
        <f aca="false">IF(OR(E3332="",E3332="!!!"),"",IF(NOT(ISNA(VLOOKUP(E3332,E$1:E3331,1,FALSE()))),"OLD",IF(AND(E3332&lt;&gt;"",E3332&lt;&gt;"!!!"),"NEW","")))</f>
        <v/>
      </c>
      <c r="G3332" s="26" t="str">
        <f aca="false">IF(OR(E3332="",E3332="!!!"),"",IF(OR(J3332=0,AND(J3332=1,K3332=1),AND(J3332=1,I3332="SBJ"),AND(J3332=1,I3332=0)),"?IN_FOCUS",IF(J3332&lt;=2,"?ACTIVATED",IF(J3332&lt;&gt;"","?FAMILIAR",IF(F3332="NEW",IF(ISNA(VLOOKUP(E3332,#REF!,1,FALSE())),"?TYPE_IDENTIFIABLE","?REFERENTIAL"),"_")))))</f>
        <v/>
      </c>
      <c r="H3332" s="27" t="str">
        <f aca="false">IF(J3332&lt;&gt;1,"",IF(I3332="SBJ","CB","?"))</f>
        <v/>
      </c>
      <c r="I3332" s="24" t="str">
        <f aca="false">IF(OR(E3332="",E3332="!!!",F3332="NEW"),"",INDEX(B10:B$3323,-1+SUMPRODUCT(MAX(ROW(E10:E$3323)*(E3332=E10:E$3323)))))</f>
        <v/>
      </c>
      <c r="J3332" s="24" t="str">
        <f aca="true">IF(OR(E3332="",E3332="!!!",F3332="NEW"),"",COUNTBLANK(OFFSET(A$1,,,SUMPRODUCT(MAX(ROW(E$2:E3332)*(E3332=E$2:E3332)))))-COUNTBLANK(OFFSET(A$1,,,SUMPRODUCT(MAX(ROW(E$1:E3331)*(E2=E$1:E3331))))))</f>
        <v/>
      </c>
      <c r="K3332" s="24" t="str">
        <f aca="false">IF(OR(E3332="",E3332="!!!",F3332="NEW"),"",INDEX(J$1:J3331,SUMPRODUCT(MAX(ROW(E$1:E3331)*(E3332=E$1:E3331)))))</f>
        <v/>
      </c>
      <c r="L3332" s="31"/>
    </row>
    <row r="3333" customFormat="false" ht="15" hidden="false" customHeight="false" outlineLevel="0" collapsed="false">
      <c r="A3333" s="20" t="s">
        <v>1436</v>
      </c>
      <c r="B3333" s="22" t="s">
        <v>1073</v>
      </c>
      <c r="C3333" s="22" t="s">
        <v>1150</v>
      </c>
      <c r="D3333" s="22" t="s">
        <v>1060</v>
      </c>
      <c r="E3333" s="23" t="str">
        <f aca="false">IF(D3333="?OLD","!!!","")</f>
        <v>!!!</v>
      </c>
      <c r="F3333" s="25" t="str">
        <f aca="false">IF(OR(E3333="",E3333="!!!"),"",IF(NOT(ISNA(VLOOKUP(E3333,E$1:E3332,1,FALSE()))),"OLD",IF(AND(E3333&lt;&gt;"",E3333&lt;&gt;"!!!"),"NEW","")))</f>
        <v/>
      </c>
      <c r="G3333" s="26" t="str">
        <f aca="false">IF(OR(E3333="",E3333="!!!"),"",IF(OR(J3333=0,AND(J3333=1,K3333=1),AND(J3333=1,I3333="SBJ"),AND(J3333=1,I3333=0)),"?IN_FOCUS",IF(J3333&lt;=2,"?ACTIVATED",IF(J3333&lt;&gt;"","?FAMILIAR",IF(F3333="NEW",IF(ISNA(VLOOKUP(E3333,#REF!,1,FALSE())),"?TYPE_IDENTIFIABLE","?REFERENTIAL"),"_")))))</f>
        <v/>
      </c>
      <c r="H3333" s="27" t="str">
        <f aca="false">IF(J3333&lt;&gt;1,"",IF(I3333="SBJ","CB","?"))</f>
        <v/>
      </c>
      <c r="I3333" s="24" t="str">
        <f aca="false">IF(OR(E3333="",E3333="!!!",F3333="NEW"),"",INDEX(B11:B$3323,-1+SUMPRODUCT(MAX(ROW(E11:E$3323)*(E3333=E11:E$3323)))))</f>
        <v/>
      </c>
      <c r="J3333" s="24" t="str">
        <f aca="true">IF(OR(E3333="",E3333="!!!",F3333="NEW"),"",COUNTBLANK(OFFSET(A$1,,,SUMPRODUCT(MAX(ROW(E$2:E3333)*(E3333=E$2:E3333)))))-COUNTBLANK(OFFSET(A$1,,,SUMPRODUCT(MAX(ROW(E$1:E3332)*(E2=E$1:E3332))))))</f>
        <v/>
      </c>
      <c r="K3333" s="24" t="str">
        <f aca="false">IF(OR(E3333="",E3333="!!!",F3333="NEW"),"",INDEX(J$1:J3332,SUMPRODUCT(MAX(ROW(E$1:E3332)*(E3333=E$1:E3332)))))</f>
        <v/>
      </c>
      <c r="L3333" s="31"/>
    </row>
    <row r="3334" customFormat="false" ht="15" hidden="false" customHeight="false" outlineLevel="0" collapsed="false">
      <c r="A3334" s="20" t="s">
        <v>1076</v>
      </c>
      <c r="E3334" s="23" t="str">
        <f aca="false">IF(D3334="?OLD","!!!","")</f>
        <v/>
      </c>
      <c r="F3334" s="25" t="str">
        <f aca="false">IF(OR(E3334="",E3334="!!!"),"",IF(NOT(ISNA(VLOOKUP(E3334,E$1:E3333,1,FALSE()))),"OLD",IF(AND(E3334&lt;&gt;"",E3334&lt;&gt;"!!!"),"NEW","")))</f>
        <v/>
      </c>
      <c r="G3334" s="26" t="str">
        <f aca="false">IF(OR(E3334="",E3334="!!!"),"",IF(OR(J3334=0,AND(J3334=1,K3334=1),AND(J3334=1,I3334="SBJ"),AND(J3334=1,I3334=0)),"?IN_FOCUS",IF(J3334&lt;=2,"?ACTIVATED",IF(J3334&lt;&gt;"","?FAMILIAR",IF(F3334="NEW",IF(ISNA(VLOOKUP(E3334,#REF!,1,FALSE())),"?TYPE_IDENTIFIABLE","?REFERENTIAL"),"_")))))</f>
        <v/>
      </c>
      <c r="H3334" s="27" t="str">
        <f aca="false">IF(J3334&lt;&gt;1,"",IF(I3334="SBJ","CB","?"))</f>
        <v/>
      </c>
      <c r="I3334" s="24" t="str">
        <f aca="false">IF(OR(E3334="",E3334="!!!",F3334="NEW"),"",INDEX(B12:B$3323,-1+SUMPRODUCT(MAX(ROW(E12:E$3323)*(E3334=E12:E$3323)))))</f>
        <v/>
      </c>
      <c r="J3334" s="24" t="str">
        <f aca="true">IF(OR(E3334="",E3334="!!!",F3334="NEW"),"",COUNTBLANK(OFFSET(A$1,,,SUMPRODUCT(MAX(ROW(E$2:E3334)*(E3334=E$2:E3334)))))-COUNTBLANK(OFFSET(A$1,,,SUMPRODUCT(MAX(ROW(E$1:E3333)*(E2=E$1:E3333))))))</f>
        <v/>
      </c>
      <c r="K3334" s="24" t="str">
        <f aca="false">IF(OR(E3334="",E3334="!!!",F3334="NEW"),"",INDEX(J$1:J3333,SUMPRODUCT(MAX(ROW(E$1:E3333)*(E3334=E$1:E3333)))))</f>
        <v/>
      </c>
      <c r="L3334" s="31"/>
    </row>
    <row r="3335" customFormat="false" ht="15" hidden="false" customHeight="false" outlineLevel="0" collapsed="false">
      <c r="A3335" s="20" t="s">
        <v>1168</v>
      </c>
      <c r="E3335" s="23" t="str">
        <f aca="false">IF(D3335="?OLD","!!!","")</f>
        <v/>
      </c>
      <c r="F3335" s="25" t="str">
        <f aca="false">IF(OR(E3335="",E3335="!!!"),"",IF(NOT(ISNA(VLOOKUP(E3335,E$1:E3334,1,FALSE()))),"OLD",IF(AND(E3335&lt;&gt;"",E3335&lt;&gt;"!!!"),"NEW","")))</f>
        <v/>
      </c>
      <c r="G3335" s="26" t="str">
        <f aca="false">IF(OR(E3335="",E3335="!!!"),"",IF(OR(J3335=0,AND(J3335=1,K3335=1),AND(J3335=1,I3335="SBJ"),AND(J3335=1,I3335=0)),"?IN_FOCUS",IF(J3335&lt;=2,"?ACTIVATED",IF(J3335&lt;&gt;"","?FAMILIAR",IF(F3335="NEW",IF(ISNA(VLOOKUP(E3335,#REF!,1,FALSE())),"?TYPE_IDENTIFIABLE","?REFERENTIAL"),"_")))))</f>
        <v/>
      </c>
      <c r="H3335" s="27" t="str">
        <f aca="false">IF(J3335&lt;&gt;1,"",IF(I3335="SBJ","CB","?"))</f>
        <v/>
      </c>
      <c r="I3335" s="24" t="str">
        <f aca="false">IF(OR(E3335="",E3335="!!!",F3335="NEW"),"",INDEX(B13:B$3323,-1+SUMPRODUCT(MAX(ROW(E13:E$3323)*(E3335=E13:E$3323)))))</f>
        <v/>
      </c>
      <c r="J3335" s="24" t="str">
        <f aca="true">IF(OR(E3335="",E3335="!!!",F3335="NEW"),"",COUNTBLANK(OFFSET(A$1,,,SUMPRODUCT(MAX(ROW(E$2:E3335)*(E3335=E$2:E3335)))))-COUNTBLANK(OFFSET(A$1,,,SUMPRODUCT(MAX(ROW(E$1:E3334)*(E2=E$1:E3334))))))</f>
        <v/>
      </c>
      <c r="K3335" s="24" t="str">
        <f aca="false">IF(OR(E3335="",E3335="!!!",F3335="NEW"),"",INDEX(J$1:J3334,SUMPRODUCT(MAX(ROW(E$1:E3334)*(E3335=E$1:E3334)))))</f>
        <v/>
      </c>
      <c r="L3335" s="31"/>
    </row>
    <row r="3336" customFormat="false" ht="15" hidden="false" customHeight="false" outlineLevel="0" collapsed="false">
      <c r="A3336" s="20" t="s">
        <v>1066</v>
      </c>
      <c r="B3336" s="22" t="s">
        <v>1086</v>
      </c>
      <c r="C3336" s="22" t="s">
        <v>1068</v>
      </c>
      <c r="D3336" s="22" t="s">
        <v>1060</v>
      </c>
      <c r="E3336" s="23" t="str">
        <f aca="false">IF(D3336="?OLD","!!!","")</f>
        <v>!!!</v>
      </c>
      <c r="F3336" s="25" t="str">
        <f aca="false">IF(OR(E3336="",E3336="!!!"),"",IF(NOT(ISNA(VLOOKUP(E3336,E$1:E3335,1,FALSE()))),"OLD",IF(AND(E3336&lt;&gt;"",E3336&lt;&gt;"!!!"),"NEW","")))</f>
        <v/>
      </c>
      <c r="G3336" s="26" t="str">
        <f aca="false">IF(OR(E3336="",E3336="!!!"),"",IF(OR(J3336=0,AND(J3336=1,K3336=1),AND(J3336=1,I3336="SBJ"),AND(J3336=1,I3336=0)),"?IN_FOCUS",IF(J3336&lt;=2,"?ACTIVATED",IF(J3336&lt;&gt;"","?FAMILIAR",IF(F3336="NEW",IF(ISNA(VLOOKUP(E3336,#REF!,1,FALSE())),"?TYPE_IDENTIFIABLE","?REFERENTIAL"),"_")))))</f>
        <v/>
      </c>
      <c r="H3336" s="27" t="str">
        <f aca="false">IF(J3336&lt;&gt;1,"",IF(I3336="SBJ","CB","?"))</f>
        <v/>
      </c>
      <c r="I3336" s="24" t="str">
        <f aca="false">IF(OR(E3336="",E3336="!!!",F3336="NEW"),"",INDEX(B14:B$3323,-1+SUMPRODUCT(MAX(ROW(E14:E$3323)*(E3336=E14:E$3323)))))</f>
        <v/>
      </c>
      <c r="J3336" s="24" t="str">
        <f aca="true">IF(OR(E3336="",E3336="!!!",F3336="NEW"),"",COUNTBLANK(OFFSET(A$1,,,SUMPRODUCT(MAX(ROW(E$2:E3336)*(E3336=E$2:E3336)))))-COUNTBLANK(OFFSET(A$1,,,SUMPRODUCT(MAX(ROW(E$1:E3335)*(E2=E$1:E3335))))))</f>
        <v/>
      </c>
      <c r="K3336" s="24" t="str">
        <f aca="false">IF(OR(E3336="",E3336="!!!",F3336="NEW"),"",INDEX(J$1:J3335,SUMPRODUCT(MAX(ROW(E$1:E3335)*(E3336=E$1:E3335)))))</f>
        <v/>
      </c>
      <c r="L3336" s="31"/>
    </row>
    <row r="3337" customFormat="false" ht="15" hidden="false" customHeight="false" outlineLevel="0" collapsed="false">
      <c r="A3337" s="20" t="s">
        <v>2140</v>
      </c>
      <c r="E3337" s="23" t="str">
        <f aca="false">IF(D3337="?OLD","!!!","")</f>
        <v/>
      </c>
      <c r="F3337" s="25" t="str">
        <f aca="false">IF(OR(E3337="",E3337="!!!"),"",IF(NOT(ISNA(VLOOKUP(E3337,E$1:E3336,1,FALSE()))),"OLD",IF(AND(E3337&lt;&gt;"",E3337&lt;&gt;"!!!"),"NEW","")))</f>
        <v/>
      </c>
      <c r="G3337" s="26" t="str">
        <f aca="false">IF(OR(E3337="",E3337="!!!"),"",IF(OR(J3337=0,AND(J3337=1,K3337=1),AND(J3337=1,I3337="SBJ"),AND(J3337=1,I3337=0)),"?IN_FOCUS",IF(J3337&lt;=2,"?ACTIVATED",IF(J3337&lt;&gt;"","?FAMILIAR",IF(F3337="NEW",IF(ISNA(VLOOKUP(E3337,#REF!,1,FALSE())),"?TYPE_IDENTIFIABLE","?REFERENTIAL"),"_")))))</f>
        <v/>
      </c>
      <c r="H3337" s="27" t="str">
        <f aca="false">IF(J3337&lt;&gt;1,"",IF(I3337="SBJ","CB","?"))</f>
        <v/>
      </c>
      <c r="I3337" s="24" t="str">
        <f aca="false">IF(OR(E3337="",E3337="!!!",F3337="NEW"),"",INDEX(B15:B$3323,-1+SUMPRODUCT(MAX(ROW(E15:E$3323)*(E3337=E15:E$3323)))))</f>
        <v/>
      </c>
      <c r="J3337" s="24" t="str">
        <f aca="true">IF(OR(E3337="",E3337="!!!",F3337="NEW"),"",COUNTBLANK(OFFSET(A$1,,,SUMPRODUCT(MAX(ROW(E$2:E3337)*(E3337=E$2:E3337)))))-COUNTBLANK(OFFSET(A$1,,,SUMPRODUCT(MAX(ROW(E$1:E3336)*(E2=E$1:E3336))))))</f>
        <v/>
      </c>
      <c r="K3337" s="24" t="str">
        <f aca="false">IF(OR(E3337="",E3337="!!!",F3337="NEW"),"",INDEX(J$1:J3336,SUMPRODUCT(MAX(ROW(E$1:E3336)*(E3337=E$1:E3336)))))</f>
        <v/>
      </c>
      <c r="L3337" s="31"/>
    </row>
    <row r="3338" customFormat="false" ht="15" hidden="false" customHeight="false" outlineLevel="0" collapsed="false">
      <c r="A3338" s="20" t="s">
        <v>1280</v>
      </c>
      <c r="E3338" s="23" t="str">
        <f aca="false">IF(D3338="?OLD","!!!","")</f>
        <v/>
      </c>
      <c r="F3338" s="25" t="str">
        <f aca="false">IF(OR(E3338="",E3338="!!!"),"",IF(NOT(ISNA(VLOOKUP(E3338,E$1:E3337,1,FALSE()))),"OLD",IF(AND(E3338&lt;&gt;"",E3338&lt;&gt;"!!!"),"NEW","")))</f>
        <v/>
      </c>
      <c r="G3338" s="26" t="str">
        <f aca="false">IF(OR(E3338="",E3338="!!!"),"",IF(OR(J3338=0,AND(J3338=1,K3338=1),AND(J3338=1,I3338="SBJ"),AND(J3338=1,I3338=0)),"?IN_FOCUS",IF(J3338&lt;=2,"?ACTIVATED",IF(J3338&lt;&gt;"","?FAMILIAR",IF(F3338="NEW",IF(ISNA(VLOOKUP(E3338,#REF!,1,FALSE())),"?TYPE_IDENTIFIABLE","?REFERENTIAL"),"_")))))</f>
        <v/>
      </c>
      <c r="H3338" s="27" t="str">
        <f aca="false">IF(J3338&lt;&gt;1,"",IF(I3338="SBJ","CB","?"))</f>
        <v/>
      </c>
      <c r="I3338" s="24" t="str">
        <f aca="false">IF(OR(E3338="",E3338="!!!",F3338="NEW"),"",INDEX(B16:B$3323,-1+SUMPRODUCT(MAX(ROW(E16:E$3323)*(E3338=E16:E$3323)))))</f>
        <v/>
      </c>
      <c r="J3338" s="24" t="str">
        <f aca="true">IF(OR(E3338="",E3338="!!!",F3338="NEW"),"",COUNTBLANK(OFFSET(A$1,,,SUMPRODUCT(MAX(ROW(E$2:E3338)*(E3338=E$2:E3338)))))-COUNTBLANK(OFFSET(A$1,,,SUMPRODUCT(MAX(ROW(E$1:E3337)*(E2=E$1:E3337))))))</f>
        <v/>
      </c>
      <c r="K3338" s="24" t="str">
        <f aca="false">IF(OR(E3338="",E3338="!!!",F3338="NEW"),"",INDEX(J$1:J3337,SUMPRODUCT(MAX(ROW(E$1:E3337)*(E3338=E$1:E3337)))))</f>
        <v/>
      </c>
      <c r="L3338" s="31"/>
    </row>
    <row r="3339" customFormat="false" ht="15" hidden="false" customHeight="false" outlineLevel="0" collapsed="false">
      <c r="A3339" s="20" t="s">
        <v>1109</v>
      </c>
      <c r="E3339" s="23" t="str">
        <f aca="false">IF(D3339="?OLD","!!!","")</f>
        <v/>
      </c>
      <c r="F3339" s="25" t="str">
        <f aca="false">IF(OR(E3339="",E3339="!!!"),"",IF(NOT(ISNA(VLOOKUP(E3339,E$1:E3338,1,FALSE()))),"OLD",IF(AND(E3339&lt;&gt;"",E3339&lt;&gt;"!!!"),"NEW","")))</f>
        <v/>
      </c>
      <c r="G3339" s="26" t="str">
        <f aca="false">IF(OR(E3339="",E3339="!!!"),"",IF(OR(J3339=0,AND(J3339=1,K3339=1),AND(J3339=1,I3339="SBJ"),AND(J3339=1,I3339=0)),"?IN_FOCUS",IF(J3339&lt;=2,"?ACTIVATED",IF(J3339&lt;&gt;"","?FAMILIAR",IF(F3339="NEW",IF(ISNA(VLOOKUP(E3339,#REF!,1,FALSE())),"?TYPE_IDENTIFIABLE","?REFERENTIAL"),"_")))))</f>
        <v/>
      </c>
      <c r="H3339" s="27" t="str">
        <f aca="false">IF(J3339&lt;&gt;1,"",IF(I3339="SBJ","CB","?"))</f>
        <v/>
      </c>
      <c r="I3339" s="24" t="str">
        <f aca="false">IF(OR(E3339="",E3339="!!!",F3339="NEW"),"",INDEX(B17:B$3323,-1+SUMPRODUCT(MAX(ROW(E17:E$3323)*(E3339=E17:E$3323)))))</f>
        <v/>
      </c>
      <c r="J3339" s="24" t="str">
        <f aca="true">IF(OR(E3339="",E3339="!!!",F3339="NEW"),"",COUNTBLANK(OFFSET(A$1,,,SUMPRODUCT(MAX(ROW(E$2:E3339)*(E3339=E$2:E3339)))))-COUNTBLANK(OFFSET(A$1,,,SUMPRODUCT(MAX(ROW(E$1:E3338)*(E2=E$1:E3338))))))</f>
        <v/>
      </c>
      <c r="K3339" s="24" t="str">
        <f aca="false">IF(OR(E3339="",E3339="!!!",F3339="NEW"),"",INDEX(J$1:J3338,SUMPRODUCT(MAX(ROW(E$1:E3338)*(E3339=E$1:E3338)))))</f>
        <v/>
      </c>
      <c r="L3339" s="31"/>
    </row>
    <row r="3340" customFormat="false" ht="15" hidden="false" customHeight="false" outlineLevel="0" collapsed="false">
      <c r="A3340" s="20" t="s">
        <v>1679</v>
      </c>
      <c r="B3340" s="22" t="s">
        <v>1142</v>
      </c>
      <c r="C3340" s="22" t="s">
        <v>1150</v>
      </c>
      <c r="D3340" s="22" t="s">
        <v>1060</v>
      </c>
      <c r="E3340" s="23" t="str">
        <f aca="false">IF(D3340="?OLD","!!!","")</f>
        <v>!!!</v>
      </c>
      <c r="F3340" s="25" t="str">
        <f aca="false">IF(OR(E3340="",E3340="!!!"),"",IF(NOT(ISNA(VLOOKUP(E3340,E$1:E3339,1,FALSE()))),"OLD",IF(AND(E3340&lt;&gt;"",E3340&lt;&gt;"!!!"),"NEW","")))</f>
        <v/>
      </c>
      <c r="G3340" s="26" t="str">
        <f aca="false">IF(OR(E3340="",E3340="!!!"),"",IF(OR(J3340=0,AND(J3340=1,K3340=1),AND(J3340=1,I3340="SBJ"),AND(J3340=1,I3340=0)),"?IN_FOCUS",IF(J3340&lt;=2,"?ACTIVATED",IF(J3340&lt;&gt;"","?FAMILIAR",IF(F3340="NEW",IF(ISNA(VLOOKUP(E3340,#REF!,1,FALSE())),"?TYPE_IDENTIFIABLE","?REFERENTIAL"),"_")))))</f>
        <v/>
      </c>
      <c r="H3340" s="27" t="str">
        <f aca="false">IF(J3340&lt;&gt;1,"",IF(I3340="SBJ","CB","?"))</f>
        <v/>
      </c>
      <c r="I3340" s="24" t="str">
        <f aca="false">IF(OR(E3340="",E3340="!!!",F3340="NEW"),"",INDEX(B18:B$3323,-1+SUMPRODUCT(MAX(ROW(E18:E$3323)*(E3340=E18:E$3323)))))</f>
        <v/>
      </c>
      <c r="J3340" s="24" t="str">
        <f aca="true">IF(OR(E3340="",E3340="!!!",F3340="NEW"),"",COUNTBLANK(OFFSET(A$1,,,SUMPRODUCT(MAX(ROW(E$2:E3340)*(E3340=E$2:E3340)))))-COUNTBLANK(OFFSET(A$1,,,SUMPRODUCT(MAX(ROW(E$1:E3339)*(E2=E$1:E3339))))))</f>
        <v/>
      </c>
      <c r="K3340" s="24" t="str">
        <f aca="false">IF(OR(E3340="",E3340="!!!",F3340="NEW"),"",INDEX(J$1:J3339,SUMPRODUCT(MAX(ROW(E$1:E3339)*(E3340=E$1:E3339)))))</f>
        <v/>
      </c>
      <c r="L3340" s="31"/>
    </row>
    <row r="3341" customFormat="false" ht="15" hidden="false" customHeight="false" outlineLevel="0" collapsed="false">
      <c r="A3341" s="20" t="s">
        <v>1128</v>
      </c>
      <c r="E3341" s="23" t="str">
        <f aca="false">IF(D3341="?OLD","!!!","")</f>
        <v/>
      </c>
      <c r="F3341" s="25" t="str">
        <f aca="false">IF(OR(E3341="",E3341="!!!"),"",IF(NOT(ISNA(VLOOKUP(E3341,E$1:E3340,1,FALSE()))),"OLD",IF(AND(E3341&lt;&gt;"",E3341&lt;&gt;"!!!"),"NEW","")))</f>
        <v/>
      </c>
      <c r="G3341" s="26" t="str">
        <f aca="false">IF(OR(E3341="",E3341="!!!"),"",IF(OR(J3341=0,AND(J3341=1,K3341=1),AND(J3341=1,I3341="SBJ"),AND(J3341=1,I3341=0)),"?IN_FOCUS",IF(J3341&lt;=2,"?ACTIVATED",IF(J3341&lt;&gt;"","?FAMILIAR",IF(F3341="NEW",IF(ISNA(VLOOKUP(E3341,#REF!,1,FALSE())),"?TYPE_IDENTIFIABLE","?REFERENTIAL"),"_")))))</f>
        <v/>
      </c>
      <c r="H3341" s="27" t="str">
        <f aca="false">IF(J3341&lt;&gt;1,"",IF(I3341="SBJ","CB","?"))</f>
        <v/>
      </c>
      <c r="I3341" s="24" t="str">
        <f aca="false">IF(OR(E3341="",E3341="!!!",F3341="NEW"),"",INDEX(B19:B$3323,-1+SUMPRODUCT(MAX(ROW(E19:E$3323)*(E3341=E19:E$3323)))))</f>
        <v/>
      </c>
      <c r="J3341" s="24" t="str">
        <f aca="true">IF(OR(E3341="",E3341="!!!",F3341="NEW"),"",COUNTBLANK(OFFSET(A$1,,,SUMPRODUCT(MAX(ROW(E$2:E3341)*(E3341=E$2:E3341)))))-COUNTBLANK(OFFSET(A$1,,,SUMPRODUCT(MAX(ROW(E$1:E3340)*(E2=E$1:E3340))))))</f>
        <v/>
      </c>
      <c r="K3341" s="24" t="str">
        <f aca="false">IF(OR(E3341="",E3341="!!!",F3341="NEW"),"",INDEX(J$1:J3340,SUMPRODUCT(MAX(ROW(E$1:E3340)*(E3341=E$1:E3340)))))</f>
        <v/>
      </c>
      <c r="L3341" s="31"/>
    </row>
    <row r="3342" customFormat="false" ht="15" hidden="false" customHeight="false" outlineLevel="0" collapsed="false">
      <c r="A3342" s="20" t="s">
        <v>1519</v>
      </c>
      <c r="E3342" s="23" t="str">
        <f aca="false">IF(D3342="?OLD","!!!","")</f>
        <v/>
      </c>
      <c r="F3342" s="25" t="str">
        <f aca="false">IF(OR(E3342="",E3342="!!!"),"",IF(NOT(ISNA(VLOOKUP(E3342,E$1:E3341,1,FALSE()))),"OLD",IF(AND(E3342&lt;&gt;"",E3342&lt;&gt;"!!!"),"NEW","")))</f>
        <v/>
      </c>
      <c r="G3342" s="26" t="str">
        <f aca="false">IF(OR(E3342="",E3342="!!!"),"",IF(OR(J3342=0,AND(J3342=1,K3342=1),AND(J3342=1,I3342="SBJ"),AND(J3342=1,I3342=0)),"?IN_FOCUS",IF(J3342&lt;=2,"?ACTIVATED",IF(J3342&lt;&gt;"","?FAMILIAR",IF(F3342="NEW",IF(ISNA(VLOOKUP(E3342,#REF!,1,FALSE())),"?TYPE_IDENTIFIABLE","?REFERENTIAL"),"_")))))</f>
        <v/>
      </c>
      <c r="H3342" s="27" t="str">
        <f aca="false">IF(J3342&lt;&gt;1,"",IF(I3342="SBJ","CB","?"))</f>
        <v/>
      </c>
      <c r="I3342" s="24" t="str">
        <f aca="false">IF(OR(E3342="",E3342="!!!",F3342="NEW"),"",INDEX(B20:B$3323,-1+SUMPRODUCT(MAX(ROW(E20:E$3323)*(E3342=E20:E$3323)))))</f>
        <v/>
      </c>
      <c r="J3342" s="24" t="str">
        <f aca="true">IF(OR(E3342="",E3342="!!!",F3342="NEW"),"",COUNTBLANK(OFFSET(A$1,,,SUMPRODUCT(MAX(ROW(E$2:E3342)*(E3342=E$2:E3342)))))-COUNTBLANK(OFFSET(A$1,,,SUMPRODUCT(MAX(ROW(E$1:E3341)*(E2=E$1:E3341))))))</f>
        <v/>
      </c>
      <c r="K3342" s="24" t="str">
        <f aca="false">IF(OR(E3342="",E3342="!!!",F3342="NEW"),"",INDEX(J$1:J3341,SUMPRODUCT(MAX(ROW(E$1:E3341)*(E3342=E$1:E3341)))))</f>
        <v/>
      </c>
      <c r="L3342" s="31"/>
    </row>
    <row r="3343" customFormat="false" ht="15" hidden="false" customHeight="false" outlineLevel="0" collapsed="false">
      <c r="A3343" s="20" t="s">
        <v>1117</v>
      </c>
      <c r="E3343" s="23" t="str">
        <f aca="false">IF(D3343="?OLD","!!!","")</f>
        <v/>
      </c>
      <c r="F3343" s="25" t="str">
        <f aca="false">IF(OR(E3343="",E3343="!!!"),"",IF(NOT(ISNA(VLOOKUP(E3343,E$1:E3342,1,FALSE()))),"OLD",IF(AND(E3343&lt;&gt;"",E3343&lt;&gt;"!!!"),"NEW","")))</f>
        <v/>
      </c>
      <c r="G3343" s="26" t="str">
        <f aca="false">IF(OR(E3343="",E3343="!!!"),"",IF(OR(J3343=0,AND(J3343=1,K3343=1),AND(J3343=1,I3343="SBJ"),AND(J3343=1,I3343=0)),"?IN_FOCUS",IF(J3343&lt;=2,"?ACTIVATED",IF(J3343&lt;&gt;"","?FAMILIAR",IF(F3343="NEW",IF(ISNA(VLOOKUP(E3343,#REF!,1,FALSE())),"?TYPE_IDENTIFIABLE","?REFERENTIAL"),"_")))))</f>
        <v/>
      </c>
      <c r="H3343" s="27" t="str">
        <f aca="false">IF(J3343&lt;&gt;1,"",IF(I3343="SBJ","CB","?"))</f>
        <v/>
      </c>
      <c r="I3343" s="24" t="str">
        <f aca="false">IF(OR(E3343="",E3343="!!!",F3343="NEW"),"",INDEX(B21:B$3323,-1+SUMPRODUCT(MAX(ROW(E21:E$3323)*(E3343=E21:E$3323)))))</f>
        <v/>
      </c>
      <c r="J3343" s="24" t="str">
        <f aca="true">IF(OR(E3343="",E3343="!!!",F3343="NEW"),"",COUNTBLANK(OFFSET(A$1,,,SUMPRODUCT(MAX(ROW(E$2:E3343)*(E3343=E$2:E3343)))))-COUNTBLANK(OFFSET(A$1,,,SUMPRODUCT(MAX(ROW(E$1:E3342)*(E2=E$1:E3342))))))</f>
        <v/>
      </c>
      <c r="K3343" s="24" t="str">
        <f aca="false">IF(OR(E3343="",E3343="!!!",F3343="NEW"),"",INDEX(J$1:J3342,SUMPRODUCT(MAX(ROW(E$1:E3342)*(E3343=E$1:E3342)))))</f>
        <v/>
      </c>
      <c r="L3343" s="31"/>
    </row>
    <row r="3344" customFormat="false" ht="15" hidden="false" customHeight="false" outlineLevel="0" collapsed="false">
      <c r="A3344" s="20" t="s">
        <v>1548</v>
      </c>
      <c r="B3344" s="22" t="s">
        <v>1146</v>
      </c>
      <c r="C3344" s="22" t="s">
        <v>1389</v>
      </c>
      <c r="E3344" s="23" t="str">
        <f aca="false">IF(D3344="?OLD","!!!","")</f>
        <v/>
      </c>
      <c r="F3344" s="25" t="str">
        <f aca="false">IF(OR(E3344="",E3344="!!!"),"",IF(NOT(ISNA(VLOOKUP(E3344,E$1:E3343,1,FALSE()))),"OLD",IF(AND(E3344&lt;&gt;"",E3344&lt;&gt;"!!!"),"NEW","")))</f>
        <v/>
      </c>
      <c r="G3344" s="26" t="str">
        <f aca="false">IF(OR(E3344="",E3344="!!!"),"",IF(OR(J3344=0,AND(J3344=1,K3344=1),AND(J3344=1,I3344="SBJ"),AND(J3344=1,I3344=0)),"?IN_FOCUS",IF(J3344&lt;=2,"?ACTIVATED",IF(J3344&lt;&gt;"","?FAMILIAR",IF(F3344="NEW",IF(ISNA(VLOOKUP(E3344,#REF!,1,FALSE())),"?TYPE_IDENTIFIABLE","?REFERENTIAL"),"_")))))</f>
        <v/>
      </c>
      <c r="H3344" s="27" t="str">
        <f aca="false">IF(J3344&lt;&gt;1,"",IF(I3344="SBJ","CB","?"))</f>
        <v/>
      </c>
      <c r="I3344" s="24" t="str">
        <f aca="false">IF(OR(E3344="",E3344="!!!",F3344="NEW"),"",INDEX(B22:B$3323,-1+SUMPRODUCT(MAX(ROW(E22:E$3323)*(E3344=E22:E$3323)))))</f>
        <v/>
      </c>
      <c r="J3344" s="24" t="str">
        <f aca="true">IF(OR(E3344="",E3344="!!!",F3344="NEW"),"",COUNTBLANK(OFFSET(A$1,,,SUMPRODUCT(MAX(ROW(E$2:E3344)*(E3344=E$2:E3344)))))-COUNTBLANK(OFFSET(A$1,,,SUMPRODUCT(MAX(ROW(E$1:E3343)*(E2=E$1:E3343))))))</f>
        <v/>
      </c>
      <c r="K3344" s="24" t="str">
        <f aca="false">IF(OR(E3344="",E3344="!!!",F3344="NEW"),"",INDEX(J$1:J3343,SUMPRODUCT(MAX(ROW(E$1:E3343)*(E3344=E$1:E3343)))))</f>
        <v/>
      </c>
      <c r="L3344" s="31"/>
    </row>
    <row r="3345" customFormat="false" ht="15" hidden="false" customHeight="false" outlineLevel="0" collapsed="false">
      <c r="A3345" s="20" t="s">
        <v>1064</v>
      </c>
      <c r="E3345" s="23" t="str">
        <f aca="false">IF(D3345="?OLD","!!!","")</f>
        <v/>
      </c>
      <c r="F3345" s="25" t="str">
        <f aca="false">IF(OR(E3345="",E3345="!!!"),"",IF(NOT(ISNA(VLOOKUP(E3345,E$1:E3344,1,FALSE()))),"OLD",IF(AND(E3345&lt;&gt;"",E3345&lt;&gt;"!!!"),"NEW","")))</f>
        <v/>
      </c>
      <c r="G3345" s="26" t="str">
        <f aca="false">IF(OR(E3345="",E3345="!!!"),"",IF(OR(J3345=0,AND(J3345=1,K3345=1),AND(J3345=1,I3345="SBJ"),AND(J3345=1,I3345=0)),"?IN_FOCUS",IF(J3345&lt;=2,"?ACTIVATED",IF(J3345&lt;&gt;"","?FAMILIAR",IF(F3345="NEW",IF(ISNA(VLOOKUP(E3345,#REF!,1,FALSE())),"?TYPE_IDENTIFIABLE","?REFERENTIAL"),"_")))))</f>
        <v/>
      </c>
      <c r="H3345" s="27" t="str">
        <f aca="false">IF(J3345&lt;&gt;1,"",IF(I3345="SBJ","CB","?"))</f>
        <v/>
      </c>
      <c r="I3345" s="24" t="str">
        <f aca="false">IF(OR(E3345="",E3345="!!!",F3345="NEW"),"",INDEX(B23:B$3323,-1+SUMPRODUCT(MAX(ROW(E23:E$3323)*(E3345=E23:E$3323)))))</f>
        <v/>
      </c>
      <c r="J3345" s="24" t="str">
        <f aca="true">IF(OR(E3345="",E3345="!!!",F3345="NEW"),"",COUNTBLANK(OFFSET(A$1,,,SUMPRODUCT(MAX(ROW(E$2:E3345)*(E3345=E$2:E3345)))))-COUNTBLANK(OFFSET(A$1,,,SUMPRODUCT(MAX(ROW(E$1:E3344)*(E2=E$1:E3344))))))</f>
        <v/>
      </c>
      <c r="K3345" s="24" t="str">
        <f aca="false">IF(OR(E3345="",E3345="!!!",F3345="NEW"),"",INDEX(J$1:J3344,SUMPRODUCT(MAX(ROW(E$1:E3344)*(E3345=E$1:E3344)))))</f>
        <v/>
      </c>
      <c r="L3345" s="31"/>
    </row>
    <row r="3346" customFormat="false" ht="15" hidden="false" customHeight="false" outlineLevel="0" collapsed="false">
      <c r="A3346" s="20" t="s">
        <v>1109</v>
      </c>
      <c r="E3346" s="23" t="str">
        <f aca="false">IF(D3346="?OLD","!!!","")</f>
        <v/>
      </c>
      <c r="F3346" s="25" t="str">
        <f aca="false">IF(OR(E3346="",E3346="!!!"),"",IF(NOT(ISNA(VLOOKUP(E3346,E$1:E3345,1,FALSE()))),"OLD",IF(AND(E3346&lt;&gt;"",E3346&lt;&gt;"!!!"),"NEW","")))</f>
        <v/>
      </c>
      <c r="G3346" s="26" t="str">
        <f aca="false">IF(OR(E3346="",E3346="!!!"),"",IF(OR(J3346=0,AND(J3346=1,K3346=1),AND(J3346=1,I3346="SBJ"),AND(J3346=1,I3346=0)),"?IN_FOCUS",IF(J3346&lt;=2,"?ACTIVATED",IF(J3346&lt;&gt;"","?FAMILIAR",IF(F3346="NEW",IF(ISNA(VLOOKUP(E3346,#REF!,1,FALSE())),"?TYPE_IDENTIFIABLE","?REFERENTIAL"),"_")))))</f>
        <v/>
      </c>
      <c r="H3346" s="27" t="str">
        <f aca="false">IF(J3346&lt;&gt;1,"",IF(I3346="SBJ","CB","?"))</f>
        <v/>
      </c>
      <c r="I3346" s="24" t="str">
        <f aca="false">IF(OR(E3346="",E3346="!!!",F3346="NEW"),"",INDEX(B24:B$3323,-1+SUMPRODUCT(MAX(ROW(E24:E$3323)*(E3346=E24:E$3323)))))</f>
        <v/>
      </c>
      <c r="J3346" s="24" t="str">
        <f aca="true">IF(OR(E3346="",E3346="!!!",F3346="NEW"),"",COUNTBLANK(OFFSET(A$1,,,SUMPRODUCT(MAX(ROW(E$2:E3346)*(E3346=E$2:E3346)))))-COUNTBLANK(OFFSET(A$1,,,SUMPRODUCT(MAX(ROW(E$1:E3345)*(E2=E$1:E3345))))))</f>
        <v/>
      </c>
      <c r="K3346" s="24" t="str">
        <f aca="false">IF(OR(E3346="",E3346="!!!",F3346="NEW"),"",INDEX(J$1:J3345,SUMPRODUCT(MAX(ROW(E$1:E3345)*(E3346=E$1:E3345)))))</f>
        <v/>
      </c>
      <c r="L3346" s="31"/>
    </row>
    <row r="3347" customFormat="false" ht="15" hidden="false" customHeight="false" outlineLevel="0" collapsed="false">
      <c r="A3347" s="20" t="s">
        <v>1269</v>
      </c>
      <c r="B3347" s="22" t="s">
        <v>1107</v>
      </c>
      <c r="C3347" s="22" t="s">
        <v>1150</v>
      </c>
      <c r="D3347" s="22" t="s">
        <v>1060</v>
      </c>
      <c r="E3347" s="23" t="str">
        <f aca="false">IF(D3347="?OLD","!!!","")</f>
        <v>!!!</v>
      </c>
      <c r="F3347" s="25" t="str">
        <f aca="false">IF(OR(E3347="",E3347="!!!"),"",IF(NOT(ISNA(VLOOKUP(E3347,E$1:E3346,1,FALSE()))),"OLD",IF(AND(E3347&lt;&gt;"",E3347&lt;&gt;"!!!"),"NEW","")))</f>
        <v/>
      </c>
      <c r="G3347" s="26" t="str">
        <f aca="false">IF(OR(E3347="",E3347="!!!"),"",IF(OR(J3347=0,AND(J3347=1,K3347=1),AND(J3347=1,I3347="SBJ"),AND(J3347=1,I3347=0)),"?IN_FOCUS",IF(J3347&lt;=2,"?ACTIVATED",IF(J3347&lt;&gt;"","?FAMILIAR",IF(F3347="NEW",IF(ISNA(VLOOKUP(E3347,#REF!,1,FALSE())),"?TYPE_IDENTIFIABLE","?REFERENTIAL"),"_")))))</f>
        <v/>
      </c>
      <c r="H3347" s="27" t="str">
        <f aca="false">IF(J3347&lt;&gt;1,"",IF(I3347="SBJ","CB","?"))</f>
        <v/>
      </c>
      <c r="I3347" s="24" t="str">
        <f aca="false">IF(OR(E3347="",E3347="!!!",F3347="NEW"),"",INDEX(B25:B$3323,-1+SUMPRODUCT(MAX(ROW(E25:E$3323)*(E3347=E25:E$3323)))))</f>
        <v/>
      </c>
      <c r="J3347" s="24" t="str">
        <f aca="true">IF(OR(E3347="",E3347="!!!",F3347="NEW"),"",COUNTBLANK(OFFSET(A$1,,,SUMPRODUCT(MAX(ROW(E$2:E3347)*(E3347=E$2:E3347)))))-COUNTBLANK(OFFSET(A$1,,,SUMPRODUCT(MAX(ROW(E$1:E3346)*(E2=E$1:E3346))))))</f>
        <v/>
      </c>
      <c r="K3347" s="24" t="str">
        <f aca="false">IF(OR(E3347="",E3347="!!!",F3347="NEW"),"",INDEX(J$1:J3346,SUMPRODUCT(MAX(ROW(E$1:E3346)*(E3347=E$1:E3346)))))</f>
        <v/>
      </c>
      <c r="L3347" s="31"/>
    </row>
    <row r="3348" customFormat="false" ht="15" hidden="false" customHeight="false" outlineLevel="0" collapsed="false">
      <c r="A3348" s="20" t="s">
        <v>2141</v>
      </c>
      <c r="E3348" s="23" t="str">
        <f aca="false">IF(D3348="?OLD","!!!","")</f>
        <v/>
      </c>
      <c r="F3348" s="25" t="str">
        <f aca="false">IF(OR(E3348="",E3348="!!!"),"",IF(NOT(ISNA(VLOOKUP(E3348,E$1:E3347,1,FALSE()))),"OLD",IF(AND(E3348&lt;&gt;"",E3348&lt;&gt;"!!!"),"NEW","")))</f>
        <v/>
      </c>
      <c r="G3348" s="26" t="str">
        <f aca="false">IF(OR(E3348="",E3348="!!!"),"",IF(OR(J3348=0,AND(J3348=1,K3348=1),AND(J3348=1,I3348="SBJ"),AND(J3348=1,I3348=0)),"?IN_FOCUS",IF(J3348&lt;=2,"?ACTIVATED",IF(J3348&lt;&gt;"","?FAMILIAR",IF(F3348="NEW",IF(ISNA(VLOOKUP(E3348,#REF!,1,FALSE())),"?TYPE_IDENTIFIABLE","?REFERENTIAL"),"_")))))</f>
        <v/>
      </c>
      <c r="H3348" s="27" t="str">
        <f aca="false">IF(J3348&lt;&gt;1,"",IF(I3348="SBJ","CB","?"))</f>
        <v/>
      </c>
      <c r="I3348" s="24" t="str">
        <f aca="false">IF(OR(E3348="",E3348="!!!",F3348="NEW"),"",INDEX(B26:B$3323,-1+SUMPRODUCT(MAX(ROW(E26:E$3323)*(E3348=E26:E$3323)))))</f>
        <v/>
      </c>
      <c r="J3348" s="24" t="str">
        <f aca="true">IF(OR(E3348="",E3348="!!!",F3348="NEW"),"",COUNTBLANK(OFFSET(A$1,,,SUMPRODUCT(MAX(ROW(E$2:E3348)*(E3348=E$2:E3348)))))-COUNTBLANK(OFFSET(A$1,,,SUMPRODUCT(MAX(ROW(E$1:E3347)*(E2=E$1:E3347))))))</f>
        <v/>
      </c>
      <c r="K3348" s="24" t="str">
        <f aca="false">IF(OR(E3348="",E3348="!!!",F3348="NEW"),"",INDEX(J$1:J3347,SUMPRODUCT(MAX(ROW(E$1:E3347)*(E3348=E$1:E3347)))))</f>
        <v/>
      </c>
      <c r="L3348" s="31"/>
    </row>
    <row r="3349" customFormat="false" ht="15" hidden="false" customHeight="false" outlineLevel="0" collapsed="false">
      <c r="A3349" s="20" t="s">
        <v>923</v>
      </c>
      <c r="E3349" s="23" t="str">
        <f aca="false">IF(D3349="?OLD","!!!","")</f>
        <v/>
      </c>
      <c r="F3349" s="25" t="str">
        <f aca="false">IF(OR(E3349="",E3349="!!!"),"",IF(NOT(ISNA(VLOOKUP(E3349,E$1:E3348,1,FALSE()))),"OLD",IF(AND(E3349&lt;&gt;"",E3349&lt;&gt;"!!!"),"NEW","")))</f>
        <v/>
      </c>
      <c r="G3349" s="26" t="str">
        <f aca="false">IF(OR(E3349="",E3349="!!!"),"",IF(OR(J3349=0,AND(J3349=1,K3349=1),AND(J3349=1,I3349="SBJ"),AND(J3349=1,I3349=0)),"?IN_FOCUS",IF(J3349&lt;=2,"?ACTIVATED",IF(J3349&lt;&gt;"","?FAMILIAR",IF(F3349="NEW",IF(ISNA(VLOOKUP(E3349,#REF!,1,FALSE())),"?TYPE_IDENTIFIABLE","?REFERENTIAL"),"_")))))</f>
        <v/>
      </c>
      <c r="H3349" s="27" t="str">
        <f aca="false">IF(J3349&lt;&gt;1,"",IF(I3349="SBJ","CB","?"))</f>
        <v/>
      </c>
      <c r="I3349" s="24" t="str">
        <f aca="false">IF(OR(E3349="",E3349="!!!",F3349="NEW"),"",INDEX(B27:B$3323,-1+SUMPRODUCT(MAX(ROW(E27:E$3323)*(E3349=E27:E$3323)))))</f>
        <v/>
      </c>
      <c r="J3349" s="24" t="str">
        <f aca="true">IF(OR(E3349="",E3349="!!!",F3349="NEW"),"",COUNTBLANK(OFFSET(A$1,,,SUMPRODUCT(MAX(ROW(E$2:E3349)*(E3349=E$2:E3349)))))-COUNTBLANK(OFFSET(A$1,,,SUMPRODUCT(MAX(ROW(E$1:E3348)*(E2=E$1:E3348))))))</f>
        <v/>
      </c>
      <c r="K3349" s="24" t="str">
        <f aca="false">IF(OR(E3349="",E3349="!!!",F3349="NEW"),"",INDEX(J$1:J3348,SUMPRODUCT(MAX(ROW(E$1:E3348)*(E3349=E$1:E3348)))))</f>
        <v/>
      </c>
      <c r="L3349" s="31"/>
    </row>
    <row r="3350" customFormat="false" ht="15" hidden="false" customHeight="false" outlineLevel="0" collapsed="false">
      <c r="A3350" s="20"/>
    </row>
    <row r="3351" customFormat="false" ht="15" hidden="false" customHeight="false" outlineLevel="0" collapsed="false">
      <c r="A3351" s="20" t="s">
        <v>2142</v>
      </c>
    </row>
    <row r="3352" customFormat="false" ht="15" hidden="false" customHeight="false" outlineLevel="0" collapsed="false">
      <c r="A3352" s="20" t="s">
        <v>1581</v>
      </c>
      <c r="E3352" s="23" t="str">
        <f aca="false">IF(D3352="?OLD","!!!","")</f>
        <v/>
      </c>
      <c r="F3352" s="25" t="str">
        <f aca="false">IF(OR(E3352="",E3352="!!!"),"",IF(NOT(ISNA(VLOOKUP(E3352,E$1:E3351,1,FALSE()))),"OLD",IF(AND(E3352&lt;&gt;"",E3352&lt;&gt;"!!!"),"NEW","")))</f>
        <v/>
      </c>
      <c r="G3352" s="26" t="str">
        <f aca="false">IF(OR(E3352="",E3352="!!!"),"",IF(OR(J3352=0,AND(J3352=1,K3352=1),AND(J3352=1,I3352="SBJ"),AND(J3352=1,I3352=0)),"?IN_FOCUS",IF(J3352&lt;=2,"?ACTIVATED",IF(J3352&lt;&gt;"","?FAMILIAR",IF(F3352="NEW",IF(ISNA(VLOOKUP(E3352,#REF!,1,FALSE())),"?TYPE_IDENTIFIABLE","?REFERENTIAL"),"_")))))</f>
        <v/>
      </c>
      <c r="H3352" s="27" t="str">
        <f aca="false">IF(J3352&lt;&gt;1,"",IF(I3352="SBJ","CB","?"))</f>
        <v/>
      </c>
      <c r="I3352" s="24" t="str">
        <f aca="false">IF(OR(E3352="",E3352="!!!",F3352="NEW"),"",INDEX(B2:B$3351,-1+SUMPRODUCT(MAX(ROW(E2:E$3351)*(E3352=E2:E$3351)))))</f>
        <v/>
      </c>
      <c r="J3352" s="24" t="str">
        <f aca="true">IF(OR(E3352="",E3352="!!!",F3352="NEW"),"",COUNTBLANK(OFFSET(A$1,,,SUMPRODUCT(MAX(ROW(E$2:E3352)*(E3352=E$2:E3352)))))-COUNTBLANK(OFFSET(A$1,,,SUMPRODUCT(MAX(ROW(E$1:E3351)*(E2=E$1:E3351))))))</f>
        <v/>
      </c>
      <c r="K3352" s="24" t="str">
        <f aca="false">IF(OR(E3352="",E3352="!!!",F3352="NEW"),"",INDEX(J$1:J3351,SUMPRODUCT(MAX(ROW(E$1:E3351)*(E3352=E$1:E3351)))))</f>
        <v/>
      </c>
      <c r="L3352" s="31"/>
    </row>
    <row r="3353" customFormat="false" ht="15" hidden="false" customHeight="false" outlineLevel="0" collapsed="false">
      <c r="A3353" s="20" t="s">
        <v>1983</v>
      </c>
      <c r="B3353" s="22" t="s">
        <v>1081</v>
      </c>
      <c r="C3353" s="22" t="s">
        <v>1389</v>
      </c>
      <c r="E3353" s="23" t="str">
        <f aca="false">IF(D3353="?OLD","!!!","")</f>
        <v/>
      </c>
      <c r="F3353" s="25" t="str">
        <f aca="false">IF(OR(E3353="",E3353="!!!"),"",IF(NOT(ISNA(VLOOKUP(E3353,E$1:E3352,1,FALSE()))),"OLD",IF(AND(E3353&lt;&gt;"",E3353&lt;&gt;"!!!"),"NEW","")))</f>
        <v/>
      </c>
      <c r="G3353" s="26" t="str">
        <f aca="false">IF(OR(E3353="",E3353="!!!"),"",IF(OR(J3353=0,AND(J3353=1,K3353=1),AND(J3353=1,I3353="SBJ"),AND(J3353=1,I3353=0)),"?IN_FOCUS",IF(J3353&lt;=2,"?ACTIVATED",IF(J3353&lt;&gt;"","?FAMILIAR",IF(F3353="NEW",IF(ISNA(VLOOKUP(E3353,#REF!,1,FALSE())),"?TYPE_IDENTIFIABLE","?REFERENTIAL"),"_")))))</f>
        <v/>
      </c>
      <c r="H3353" s="27" t="str">
        <f aca="false">IF(J3353&lt;&gt;1,"",IF(I3353="SBJ","CB","?"))</f>
        <v/>
      </c>
      <c r="I3353" s="24" t="str">
        <f aca="false">IF(OR(E3353="",E3353="!!!",F3353="NEW"),"",INDEX(B3:B$3351,-1+SUMPRODUCT(MAX(ROW(E3:E$3351)*(E3353=E3:E$3351)))))</f>
        <v/>
      </c>
      <c r="J3353" s="24" t="str">
        <f aca="true">IF(OR(E3353="",E3353="!!!",F3353="NEW"),"",COUNTBLANK(OFFSET(A$1,,,SUMPRODUCT(MAX(ROW(E$2:E3353)*(E3353=E$2:E3353)))))-COUNTBLANK(OFFSET(A$1,,,SUMPRODUCT(MAX(ROW(E$1:E3352)*(E2=E$1:E3352))))))</f>
        <v/>
      </c>
      <c r="K3353" s="24" t="str">
        <f aca="false">IF(OR(E3353="",E3353="!!!",F3353="NEW"),"",INDEX(J$1:J3352,SUMPRODUCT(MAX(ROW(E$1:E3352)*(E3353=E$1:E3352)))))</f>
        <v/>
      </c>
      <c r="L3353" s="31"/>
    </row>
    <row r="3354" customFormat="false" ht="15" hidden="false" customHeight="false" outlineLevel="0" collapsed="false">
      <c r="A3354" s="20" t="s">
        <v>1198</v>
      </c>
      <c r="E3354" s="23" t="str">
        <f aca="false">IF(D3354="?OLD","!!!","")</f>
        <v/>
      </c>
      <c r="F3354" s="25" t="str">
        <f aca="false">IF(OR(E3354="",E3354="!!!"),"",IF(NOT(ISNA(VLOOKUP(E3354,E$1:E3353,1,FALSE()))),"OLD",IF(AND(E3354&lt;&gt;"",E3354&lt;&gt;"!!!"),"NEW","")))</f>
        <v/>
      </c>
      <c r="G3354" s="26" t="str">
        <f aca="false">IF(OR(E3354="",E3354="!!!"),"",IF(OR(J3354=0,AND(J3354=1,K3354=1),AND(J3354=1,I3354="SBJ"),AND(J3354=1,I3354=0)),"?IN_FOCUS",IF(J3354&lt;=2,"?ACTIVATED",IF(J3354&lt;&gt;"","?FAMILIAR",IF(F3354="NEW",IF(ISNA(VLOOKUP(E3354,#REF!,1,FALSE())),"?TYPE_IDENTIFIABLE","?REFERENTIAL"),"_")))))</f>
        <v/>
      </c>
      <c r="H3354" s="27" t="str">
        <f aca="false">IF(J3354&lt;&gt;1,"",IF(I3354="SBJ","CB","?"))</f>
        <v/>
      </c>
      <c r="I3354" s="24" t="str">
        <f aca="false">IF(OR(E3354="",E3354="!!!",F3354="NEW"),"",INDEX(B4:B$3351,-1+SUMPRODUCT(MAX(ROW(E4:E$3351)*(E3354=E4:E$3351)))))</f>
        <v/>
      </c>
      <c r="J3354" s="24" t="str">
        <f aca="true">IF(OR(E3354="",E3354="!!!",F3354="NEW"),"",COUNTBLANK(OFFSET(A$1,,,SUMPRODUCT(MAX(ROW(E$2:E3354)*(E3354=E$2:E3354)))))-COUNTBLANK(OFFSET(A$1,,,SUMPRODUCT(MAX(ROW(E$1:E3353)*(E2=E$1:E3353))))))</f>
        <v/>
      </c>
      <c r="K3354" s="24" t="str">
        <f aca="false">IF(OR(E3354="",E3354="!!!",F3354="NEW"),"",INDEX(J$1:J3353,SUMPRODUCT(MAX(ROW(E$1:E3353)*(E3354=E$1:E3353)))))</f>
        <v/>
      </c>
      <c r="L3354" s="31"/>
    </row>
    <row r="3355" customFormat="false" ht="15" hidden="false" customHeight="false" outlineLevel="0" collapsed="false">
      <c r="A3355" s="20" t="s">
        <v>1186</v>
      </c>
      <c r="B3355" s="22" t="s">
        <v>1058</v>
      </c>
      <c r="C3355" s="22" t="s">
        <v>1082</v>
      </c>
      <c r="D3355" s="22" t="s">
        <v>1060</v>
      </c>
      <c r="E3355" s="23" t="str">
        <f aca="false">IF(D3355="?OLD","!!!","")</f>
        <v>!!!</v>
      </c>
      <c r="F3355" s="25" t="str">
        <f aca="false">IF(OR(E3355="",E3355="!!!"),"",IF(NOT(ISNA(VLOOKUP(E3355,E$1:E3354,1,FALSE()))),"OLD",IF(AND(E3355&lt;&gt;"",E3355&lt;&gt;"!!!"),"NEW","")))</f>
        <v/>
      </c>
      <c r="G3355" s="26" t="str">
        <f aca="false">IF(OR(E3355="",E3355="!!!"),"",IF(OR(J3355=0,AND(J3355=1,K3355=1),AND(J3355=1,I3355="SBJ"),AND(J3355=1,I3355=0)),"?IN_FOCUS",IF(J3355&lt;=2,"?ACTIVATED",IF(J3355&lt;&gt;"","?FAMILIAR",IF(F3355="NEW",IF(ISNA(VLOOKUP(E3355,#REF!,1,FALSE())),"?TYPE_IDENTIFIABLE","?REFERENTIAL"),"_")))))</f>
        <v/>
      </c>
      <c r="H3355" s="27" t="str">
        <f aca="false">IF(J3355&lt;&gt;1,"",IF(I3355="SBJ","CB","?"))</f>
        <v/>
      </c>
      <c r="I3355" s="24" t="str">
        <f aca="false">IF(OR(E3355="",E3355="!!!",F3355="NEW"),"",INDEX(B5:B$3351,-1+SUMPRODUCT(MAX(ROW(E5:E$3351)*(E3355=E5:E$3351)))))</f>
        <v/>
      </c>
      <c r="J3355" s="24" t="str">
        <f aca="true">IF(OR(E3355="",E3355="!!!",F3355="NEW"),"",COUNTBLANK(OFFSET(A$1,,,SUMPRODUCT(MAX(ROW(E$2:E3355)*(E3355=E$2:E3355)))))-COUNTBLANK(OFFSET(A$1,,,SUMPRODUCT(MAX(ROW(E$1:E3354)*(E2=E$1:E3354))))))</f>
        <v/>
      </c>
      <c r="K3355" s="24" t="str">
        <f aca="false">IF(OR(E3355="",E3355="!!!",F3355="NEW"),"",INDEX(J$1:J3354,SUMPRODUCT(MAX(ROW(E$1:E3354)*(E3355=E$1:E3354)))))</f>
        <v/>
      </c>
      <c r="L3355" s="31"/>
    </row>
    <row r="3356" customFormat="false" ht="15" hidden="false" customHeight="false" outlineLevel="0" collapsed="false">
      <c r="A3356" s="20" t="s">
        <v>106</v>
      </c>
      <c r="E3356" s="23" t="str">
        <f aca="false">IF(D3356="?OLD","!!!","")</f>
        <v/>
      </c>
      <c r="F3356" s="25" t="str">
        <f aca="false">IF(OR(E3356="",E3356="!!!"),"",IF(NOT(ISNA(VLOOKUP(E3356,E$1:E3355,1,FALSE()))),"OLD",IF(AND(E3356&lt;&gt;"",E3356&lt;&gt;"!!!"),"NEW","")))</f>
        <v/>
      </c>
      <c r="G3356" s="26" t="str">
        <f aca="false">IF(OR(E3356="",E3356="!!!"),"",IF(OR(J3356=0,AND(J3356=1,K3356=1),AND(J3356=1,I3356="SBJ"),AND(J3356=1,I3356=0)),"?IN_FOCUS",IF(J3356&lt;=2,"?ACTIVATED",IF(J3356&lt;&gt;"","?FAMILIAR",IF(F3356="NEW",IF(ISNA(VLOOKUP(E3356,#REF!,1,FALSE())),"?TYPE_IDENTIFIABLE","?REFERENTIAL"),"_")))))</f>
        <v/>
      </c>
      <c r="H3356" s="27" t="str">
        <f aca="false">IF(J3356&lt;&gt;1,"",IF(I3356="SBJ","CB","?"))</f>
        <v/>
      </c>
      <c r="I3356" s="24" t="str">
        <f aca="false">IF(OR(E3356="",E3356="!!!",F3356="NEW"),"",INDEX(B6:B$3351,-1+SUMPRODUCT(MAX(ROW(E6:E$3351)*(E3356=E6:E$3351)))))</f>
        <v/>
      </c>
      <c r="J3356" s="24" t="str">
        <f aca="true">IF(OR(E3356="",E3356="!!!",F3356="NEW"),"",COUNTBLANK(OFFSET(A$1,,,SUMPRODUCT(MAX(ROW(E$2:E3356)*(E3356=E$2:E3356)))))-COUNTBLANK(OFFSET(A$1,,,SUMPRODUCT(MAX(ROW(E$1:E3355)*(E2=E$1:E3355))))))</f>
        <v/>
      </c>
      <c r="K3356" s="24" t="str">
        <f aca="false">IF(OR(E3356="",E3356="!!!",F3356="NEW"),"",INDEX(J$1:J3355,SUMPRODUCT(MAX(ROW(E$1:E3355)*(E3356=E$1:E3355)))))</f>
        <v/>
      </c>
      <c r="L3356" s="31"/>
    </row>
    <row r="3357" customFormat="false" ht="15" hidden="false" customHeight="false" outlineLevel="0" collapsed="false">
      <c r="A3357" s="20" t="s">
        <v>1064</v>
      </c>
      <c r="E3357" s="23" t="str">
        <f aca="false">IF(D3357="?OLD","!!!","")</f>
        <v/>
      </c>
      <c r="F3357" s="25" t="str">
        <f aca="false">IF(OR(E3357="",E3357="!!!"),"",IF(NOT(ISNA(VLOOKUP(E3357,E$1:E3356,1,FALSE()))),"OLD",IF(AND(E3357&lt;&gt;"",E3357&lt;&gt;"!!!"),"NEW","")))</f>
        <v/>
      </c>
      <c r="G3357" s="26" t="str">
        <f aca="false">IF(OR(E3357="",E3357="!!!"),"",IF(OR(J3357=0,AND(J3357=1,K3357=1),AND(J3357=1,I3357="SBJ"),AND(J3357=1,I3357=0)),"?IN_FOCUS",IF(J3357&lt;=2,"?ACTIVATED",IF(J3357&lt;&gt;"","?FAMILIAR",IF(F3357="NEW",IF(ISNA(VLOOKUP(E3357,#REF!,1,FALSE())),"?TYPE_IDENTIFIABLE","?REFERENTIAL"),"_")))))</f>
        <v/>
      </c>
      <c r="H3357" s="27" t="str">
        <f aca="false">IF(J3357&lt;&gt;1,"",IF(I3357="SBJ","CB","?"))</f>
        <v/>
      </c>
      <c r="I3357" s="24" t="str">
        <f aca="false">IF(OR(E3357="",E3357="!!!",F3357="NEW"),"",INDEX(B7:B$3351,-1+SUMPRODUCT(MAX(ROW(E7:E$3351)*(E3357=E7:E$3351)))))</f>
        <v/>
      </c>
      <c r="J3357" s="24" t="str">
        <f aca="true">IF(OR(E3357="",E3357="!!!",F3357="NEW"),"",COUNTBLANK(OFFSET(A$1,,,SUMPRODUCT(MAX(ROW(E$2:E3357)*(E3357=E$2:E3357)))))-COUNTBLANK(OFFSET(A$1,,,SUMPRODUCT(MAX(ROW(E$1:E3356)*(E2=E$1:E3356))))))</f>
        <v/>
      </c>
      <c r="K3357" s="24" t="str">
        <f aca="false">IF(OR(E3357="",E3357="!!!",F3357="NEW"),"",INDEX(J$1:J3356,SUMPRODUCT(MAX(ROW(E$1:E3356)*(E3357=E$1:E3356)))))</f>
        <v/>
      </c>
      <c r="L3357" s="31"/>
    </row>
    <row r="3358" customFormat="false" ht="15" hidden="false" customHeight="false" outlineLevel="0" collapsed="false">
      <c r="A3358" s="20" t="s">
        <v>1109</v>
      </c>
      <c r="E3358" s="23" t="str">
        <f aca="false">IF(D3358="?OLD","!!!","")</f>
        <v/>
      </c>
      <c r="F3358" s="25" t="str">
        <f aca="false">IF(OR(E3358="",E3358="!!!"),"",IF(NOT(ISNA(VLOOKUP(E3358,E$1:E3357,1,FALSE()))),"OLD",IF(AND(E3358&lt;&gt;"",E3358&lt;&gt;"!!!"),"NEW","")))</f>
        <v/>
      </c>
      <c r="G3358" s="26" t="str">
        <f aca="false">IF(OR(E3358="",E3358="!!!"),"",IF(OR(J3358=0,AND(J3358=1,K3358=1),AND(J3358=1,I3358="SBJ"),AND(J3358=1,I3358=0)),"?IN_FOCUS",IF(J3358&lt;=2,"?ACTIVATED",IF(J3358&lt;&gt;"","?FAMILIAR",IF(F3358="NEW",IF(ISNA(VLOOKUP(E3358,#REF!,1,FALSE())),"?TYPE_IDENTIFIABLE","?REFERENTIAL"),"_")))))</f>
        <v/>
      </c>
      <c r="H3358" s="27" t="str">
        <f aca="false">IF(J3358&lt;&gt;1,"",IF(I3358="SBJ","CB","?"))</f>
        <v/>
      </c>
      <c r="I3358" s="24" t="str">
        <f aca="false">IF(OR(E3358="",E3358="!!!",F3358="NEW"),"",INDEX(B8:B$3351,-1+SUMPRODUCT(MAX(ROW(E8:E$3351)*(E3358=E8:E$3351)))))</f>
        <v/>
      </c>
      <c r="J3358" s="24" t="str">
        <f aca="true">IF(OR(E3358="",E3358="!!!",F3358="NEW"),"",COUNTBLANK(OFFSET(A$1,,,SUMPRODUCT(MAX(ROW(E$2:E3358)*(E3358=E$2:E3358)))))-COUNTBLANK(OFFSET(A$1,,,SUMPRODUCT(MAX(ROW(E$1:E3357)*(E2=E$1:E3357))))))</f>
        <v/>
      </c>
      <c r="K3358" s="24" t="str">
        <f aca="false">IF(OR(E3358="",E3358="!!!",F3358="NEW"),"",INDEX(J$1:J3357,SUMPRODUCT(MAX(ROW(E$1:E3357)*(E3358=E$1:E3357)))))</f>
        <v/>
      </c>
      <c r="L3358" s="31"/>
    </row>
    <row r="3359" customFormat="false" ht="15" hidden="false" customHeight="false" outlineLevel="0" collapsed="false">
      <c r="A3359" s="20" t="s">
        <v>1786</v>
      </c>
      <c r="B3359" s="22" t="s">
        <v>1105</v>
      </c>
      <c r="C3359" s="22" t="s">
        <v>1150</v>
      </c>
      <c r="D3359" s="22" t="s">
        <v>1060</v>
      </c>
      <c r="E3359" s="23" t="str">
        <f aca="false">IF(D3359="?OLD","!!!","")</f>
        <v>!!!</v>
      </c>
      <c r="F3359" s="25" t="str">
        <f aca="false">IF(OR(E3359="",E3359="!!!"),"",IF(NOT(ISNA(VLOOKUP(E3359,E$1:E3358,1,FALSE()))),"OLD",IF(AND(E3359&lt;&gt;"",E3359&lt;&gt;"!!!"),"NEW","")))</f>
        <v/>
      </c>
      <c r="G3359" s="26" t="str">
        <f aca="false">IF(OR(E3359="",E3359="!!!"),"",IF(OR(J3359=0,AND(J3359=1,K3359=1),AND(J3359=1,I3359="SBJ"),AND(J3359=1,I3359=0)),"?IN_FOCUS",IF(J3359&lt;=2,"?ACTIVATED",IF(J3359&lt;&gt;"","?FAMILIAR",IF(F3359="NEW",IF(ISNA(VLOOKUP(E3359,#REF!,1,FALSE())),"?TYPE_IDENTIFIABLE","?REFERENTIAL"),"_")))))</f>
        <v/>
      </c>
      <c r="H3359" s="27" t="str">
        <f aca="false">IF(J3359&lt;&gt;1,"",IF(I3359="SBJ","CB","?"))</f>
        <v/>
      </c>
      <c r="I3359" s="24" t="str">
        <f aca="false">IF(OR(E3359="",E3359="!!!",F3359="NEW"),"",INDEX(B9:B$3351,-1+SUMPRODUCT(MAX(ROW(E9:E$3351)*(E3359=E9:E$3351)))))</f>
        <v/>
      </c>
      <c r="J3359" s="24" t="str">
        <f aca="true">IF(OR(E3359="",E3359="!!!",F3359="NEW"),"",COUNTBLANK(OFFSET(A$1,,,SUMPRODUCT(MAX(ROW(E$2:E3359)*(E3359=E$2:E3359)))))-COUNTBLANK(OFFSET(A$1,,,SUMPRODUCT(MAX(ROW(E$1:E3358)*(E2=E$1:E3358))))))</f>
        <v/>
      </c>
      <c r="K3359" s="24" t="str">
        <f aca="false">IF(OR(E3359="",E3359="!!!",F3359="NEW"),"",INDEX(J$1:J3358,SUMPRODUCT(MAX(ROW(E$1:E3358)*(E3359=E$1:E3358)))))</f>
        <v/>
      </c>
      <c r="L3359" s="31"/>
    </row>
    <row r="3360" customFormat="false" ht="15" hidden="false" customHeight="false" outlineLevel="0" collapsed="false">
      <c r="A3360" s="20" t="s">
        <v>1787</v>
      </c>
      <c r="B3360" s="22" t="s">
        <v>1146</v>
      </c>
      <c r="E3360" s="23" t="str">
        <f aca="false">IF(D3360="?OLD","!!!","")</f>
        <v/>
      </c>
      <c r="F3360" s="25" t="str">
        <f aca="false">IF(OR(E3360="",E3360="!!!"),"",IF(NOT(ISNA(VLOOKUP(E3360,E$1:E3359,1,FALSE()))),"OLD",IF(AND(E3360&lt;&gt;"",E3360&lt;&gt;"!!!"),"NEW","")))</f>
        <v/>
      </c>
      <c r="G3360" s="26" t="str">
        <f aca="false">IF(OR(E3360="",E3360="!!!"),"",IF(OR(J3360=0,AND(J3360=1,K3360=1),AND(J3360=1,I3360="SBJ"),AND(J3360=1,I3360=0)),"?IN_FOCUS",IF(J3360&lt;=2,"?ACTIVATED",IF(J3360&lt;&gt;"","?FAMILIAR",IF(F3360="NEW",IF(ISNA(VLOOKUP(E3360,#REF!,1,FALSE())),"?TYPE_IDENTIFIABLE","?REFERENTIAL"),"_")))))</f>
        <v/>
      </c>
      <c r="H3360" s="27" t="str">
        <f aca="false">IF(J3360&lt;&gt;1,"",IF(I3360="SBJ","CB","?"))</f>
        <v/>
      </c>
      <c r="I3360" s="24" t="str">
        <f aca="false">IF(OR(E3360="",E3360="!!!",F3360="NEW"),"",INDEX(B10:B$3351,-1+SUMPRODUCT(MAX(ROW(E10:E$3351)*(E3360=E10:E$3351)))))</f>
        <v/>
      </c>
      <c r="J3360" s="24" t="str">
        <f aca="true">IF(OR(E3360="",E3360="!!!",F3360="NEW"),"",COUNTBLANK(OFFSET(A$1,,,SUMPRODUCT(MAX(ROW(E$2:E3360)*(E3360=E$2:E3360)))))-COUNTBLANK(OFFSET(A$1,,,SUMPRODUCT(MAX(ROW(E$1:E3359)*(E2=E$1:E3359))))))</f>
        <v/>
      </c>
      <c r="K3360" s="24" t="str">
        <f aca="false">IF(OR(E3360="",E3360="!!!",F3360="NEW"),"",INDEX(J$1:J3359,SUMPRODUCT(MAX(ROW(E$1:E3359)*(E3360=E$1:E3359)))))</f>
        <v/>
      </c>
      <c r="L3360" s="31"/>
    </row>
    <row r="3361" customFormat="false" ht="15" hidden="false" customHeight="false" outlineLevel="0" collapsed="false">
      <c r="A3361" s="20" t="s">
        <v>1186</v>
      </c>
      <c r="B3361" s="22" t="s">
        <v>1091</v>
      </c>
      <c r="C3361" s="22" t="s">
        <v>1082</v>
      </c>
      <c r="D3361" s="22" t="s">
        <v>1060</v>
      </c>
      <c r="E3361" s="23" t="str">
        <f aca="false">IF(D3361="?OLD","!!!","")</f>
        <v>!!!</v>
      </c>
      <c r="F3361" s="25" t="str">
        <f aca="false">IF(OR(E3361="",E3361="!!!"),"",IF(NOT(ISNA(VLOOKUP(E3361,E$1:E3360,1,FALSE()))),"OLD",IF(AND(E3361&lt;&gt;"",E3361&lt;&gt;"!!!"),"NEW","")))</f>
        <v/>
      </c>
      <c r="G3361" s="26" t="str">
        <f aca="false">IF(OR(E3361="",E3361="!!!"),"",IF(OR(J3361=0,AND(J3361=1,K3361=1),AND(J3361=1,I3361="SBJ"),AND(J3361=1,I3361=0)),"?IN_FOCUS",IF(J3361&lt;=2,"?ACTIVATED",IF(J3361&lt;&gt;"","?FAMILIAR",IF(F3361="NEW",IF(ISNA(VLOOKUP(E3361,#REF!,1,FALSE())),"?TYPE_IDENTIFIABLE","?REFERENTIAL"),"_")))))</f>
        <v/>
      </c>
      <c r="H3361" s="27" t="str">
        <f aca="false">IF(J3361&lt;&gt;1,"",IF(I3361="SBJ","CB","?"))</f>
        <v/>
      </c>
      <c r="I3361" s="24" t="str">
        <f aca="false">IF(OR(E3361="",E3361="!!!",F3361="NEW"),"",INDEX(B11:B$3351,-1+SUMPRODUCT(MAX(ROW(E11:E$3351)*(E3361=E11:E$3351)))))</f>
        <v/>
      </c>
      <c r="J3361" s="24" t="str">
        <f aca="true">IF(OR(E3361="",E3361="!!!",F3361="NEW"),"",COUNTBLANK(OFFSET(A$1,,,SUMPRODUCT(MAX(ROW(E$2:E3361)*(E3361=E$2:E3361)))))-COUNTBLANK(OFFSET(A$1,,,SUMPRODUCT(MAX(ROW(E$1:E3360)*(E2=E$1:E3360))))))</f>
        <v/>
      </c>
      <c r="K3361" s="24" t="str">
        <f aca="false">IF(OR(E3361="",E3361="!!!",F3361="NEW"),"",INDEX(J$1:J3360,SUMPRODUCT(MAX(ROW(E$1:E3360)*(E3361=E$1:E3360)))))</f>
        <v/>
      </c>
      <c r="L3361" s="31"/>
    </row>
    <row r="3362" customFormat="false" ht="15" hidden="false" customHeight="false" outlineLevel="0" collapsed="false">
      <c r="A3362" s="20" t="s">
        <v>1135</v>
      </c>
      <c r="E3362" s="23" t="str">
        <f aca="false">IF(D3362="?OLD","!!!","")</f>
        <v/>
      </c>
      <c r="F3362" s="25" t="str">
        <f aca="false">IF(OR(E3362="",E3362="!!!"),"",IF(NOT(ISNA(VLOOKUP(E3362,E$1:E3361,1,FALSE()))),"OLD",IF(AND(E3362&lt;&gt;"",E3362&lt;&gt;"!!!"),"NEW","")))</f>
        <v/>
      </c>
      <c r="G3362" s="26" t="str">
        <f aca="false">IF(OR(E3362="",E3362="!!!"),"",IF(OR(J3362=0,AND(J3362=1,K3362=1),AND(J3362=1,I3362="SBJ"),AND(J3362=1,I3362=0)),"?IN_FOCUS",IF(J3362&lt;=2,"?ACTIVATED",IF(J3362&lt;&gt;"","?FAMILIAR",IF(F3362="NEW",IF(ISNA(VLOOKUP(E3362,#REF!,1,FALSE())),"?TYPE_IDENTIFIABLE","?REFERENTIAL"),"_")))))</f>
        <v/>
      </c>
      <c r="H3362" s="27" t="str">
        <f aca="false">IF(J3362&lt;&gt;1,"",IF(I3362="SBJ","CB","?"))</f>
        <v/>
      </c>
      <c r="I3362" s="24" t="str">
        <f aca="false">IF(OR(E3362="",E3362="!!!",F3362="NEW"),"",INDEX(B12:B$3351,-1+SUMPRODUCT(MAX(ROW(E12:E$3351)*(E3362=E12:E$3351)))))</f>
        <v/>
      </c>
      <c r="J3362" s="24" t="str">
        <f aca="true">IF(OR(E3362="",E3362="!!!",F3362="NEW"),"",COUNTBLANK(OFFSET(A$1,,,SUMPRODUCT(MAX(ROW(E$2:E3362)*(E3362=E$2:E3362)))))-COUNTBLANK(OFFSET(A$1,,,SUMPRODUCT(MAX(ROW(E$1:E3361)*(E2=E$1:E3361))))))</f>
        <v/>
      </c>
      <c r="K3362" s="24" t="str">
        <f aca="false">IF(OR(E3362="",E3362="!!!",F3362="NEW"),"",INDEX(J$1:J3361,SUMPRODUCT(MAX(ROW(E$1:E3361)*(E3362=E$1:E3361)))))</f>
        <v/>
      </c>
      <c r="L3362" s="31"/>
    </row>
    <row r="3363" customFormat="false" ht="15" hidden="false" customHeight="false" outlineLevel="0" collapsed="false">
      <c r="A3363" s="20" t="s">
        <v>2143</v>
      </c>
      <c r="E3363" s="23" t="str">
        <f aca="false">IF(D3363="?OLD","!!!","")</f>
        <v/>
      </c>
      <c r="F3363" s="25" t="str">
        <f aca="false">IF(OR(E3363="",E3363="!!!"),"",IF(NOT(ISNA(VLOOKUP(E3363,E$1:E3362,1,FALSE()))),"OLD",IF(AND(E3363&lt;&gt;"",E3363&lt;&gt;"!!!"),"NEW","")))</f>
        <v/>
      </c>
      <c r="G3363" s="26" t="str">
        <f aca="false">IF(OR(E3363="",E3363="!!!"),"",IF(OR(J3363=0,AND(J3363=1,K3363=1),AND(J3363=1,I3363="SBJ"),AND(J3363=1,I3363=0)),"?IN_FOCUS",IF(J3363&lt;=2,"?ACTIVATED",IF(J3363&lt;&gt;"","?FAMILIAR",IF(F3363="NEW",IF(ISNA(VLOOKUP(E3363,#REF!,1,FALSE())),"?TYPE_IDENTIFIABLE","?REFERENTIAL"),"_")))))</f>
        <v/>
      </c>
      <c r="H3363" s="27" t="str">
        <f aca="false">IF(J3363&lt;&gt;1,"",IF(I3363="SBJ","CB","?"))</f>
        <v/>
      </c>
      <c r="I3363" s="24" t="str">
        <f aca="false">IF(OR(E3363="",E3363="!!!",F3363="NEW"),"",INDEX(B13:B$3351,-1+SUMPRODUCT(MAX(ROW(E13:E$3351)*(E3363=E13:E$3351)))))</f>
        <v/>
      </c>
      <c r="J3363" s="24" t="str">
        <f aca="true">IF(OR(E3363="",E3363="!!!",F3363="NEW"),"",COUNTBLANK(OFFSET(A$1,,,SUMPRODUCT(MAX(ROW(E$2:E3363)*(E3363=E$2:E3363)))))-COUNTBLANK(OFFSET(A$1,,,SUMPRODUCT(MAX(ROW(E$1:E3362)*(E2=E$1:E3362))))))</f>
        <v/>
      </c>
      <c r="K3363" s="24" t="str">
        <f aca="false">IF(OR(E3363="",E3363="!!!",F3363="NEW"),"",INDEX(J$1:J3362,SUMPRODUCT(MAX(ROW(E$1:E3362)*(E3363=E$1:E3362)))))</f>
        <v/>
      </c>
      <c r="L3363" s="31"/>
    </row>
    <row r="3364" customFormat="false" ht="15" hidden="false" customHeight="false" outlineLevel="0" collapsed="false">
      <c r="A3364" s="20" t="s">
        <v>923</v>
      </c>
      <c r="E3364" s="23" t="str">
        <f aca="false">IF(D3364="?OLD","!!!","")</f>
        <v/>
      </c>
      <c r="F3364" s="25" t="str">
        <f aca="false">IF(OR(E3364="",E3364="!!!"),"",IF(NOT(ISNA(VLOOKUP(E3364,E$1:E3363,1,FALSE()))),"OLD",IF(AND(E3364&lt;&gt;"",E3364&lt;&gt;"!!!"),"NEW","")))</f>
        <v/>
      </c>
      <c r="G3364" s="26" t="str">
        <f aca="false">IF(OR(E3364="",E3364="!!!"),"",IF(OR(J3364=0,AND(J3364=1,K3364=1),AND(J3364=1,I3364="SBJ"),AND(J3364=1,I3364=0)),"?IN_FOCUS",IF(J3364&lt;=2,"?ACTIVATED",IF(J3364&lt;&gt;"","?FAMILIAR",IF(F3364="NEW",IF(ISNA(VLOOKUP(E3364,#REF!,1,FALSE())),"?TYPE_IDENTIFIABLE","?REFERENTIAL"),"_")))))</f>
        <v/>
      </c>
      <c r="H3364" s="27" t="str">
        <f aca="false">IF(J3364&lt;&gt;1,"",IF(I3364="SBJ","CB","?"))</f>
        <v/>
      </c>
      <c r="I3364" s="24" t="str">
        <f aca="false">IF(OR(E3364="",E3364="!!!",F3364="NEW"),"",INDEX(B14:B$3351,-1+SUMPRODUCT(MAX(ROW(E14:E$3351)*(E3364=E14:E$3351)))))</f>
        <v/>
      </c>
      <c r="J3364" s="24" t="str">
        <f aca="true">IF(OR(E3364="",E3364="!!!",F3364="NEW"),"",COUNTBLANK(OFFSET(A$1,,,SUMPRODUCT(MAX(ROW(E$2:E3364)*(E3364=E$2:E3364)))))-COUNTBLANK(OFFSET(A$1,,,SUMPRODUCT(MAX(ROW(E$1:E3363)*(E2=E$1:E3363))))))</f>
        <v/>
      </c>
      <c r="K3364" s="24" t="str">
        <f aca="false">IF(OR(E3364="",E3364="!!!",F3364="NEW"),"",INDEX(J$1:J3363,SUMPRODUCT(MAX(ROW(E$1:E3363)*(E3364=E$1:E3363)))))</f>
        <v/>
      </c>
      <c r="L3364" s="31"/>
    </row>
    <row r="3365" customFormat="false" ht="15" hidden="false" customHeight="false" outlineLevel="0" collapsed="false">
      <c r="A3365" s="20"/>
    </row>
    <row r="3366" customFormat="false" ht="15" hidden="false" customHeight="false" outlineLevel="0" collapsed="false">
      <c r="A3366" s="20" t="s">
        <v>2144</v>
      </c>
    </row>
    <row r="3367" customFormat="false" ht="15" hidden="false" customHeight="false" outlineLevel="0" collapsed="false">
      <c r="A3367" s="20" t="s">
        <v>2145</v>
      </c>
      <c r="E3367" s="23" t="str">
        <f aca="false">IF(D3367="?OLD","!!!","")</f>
        <v/>
      </c>
      <c r="F3367" s="25" t="str">
        <f aca="false">IF(OR(E3367="",E3367="!!!"),"",IF(NOT(ISNA(VLOOKUP(E3367,E$1:E3366,1,FALSE()))),"OLD",IF(AND(E3367&lt;&gt;"",E3367&lt;&gt;"!!!"),"NEW","")))</f>
        <v/>
      </c>
      <c r="G3367" s="26" t="str">
        <f aca="false">IF(OR(E3367="",E3367="!!!"),"",IF(OR(J3367=0,AND(J3367=1,K3367=1),AND(J3367=1,I3367="SBJ"),AND(J3367=1,I3367=0)),"?IN_FOCUS",IF(J3367&lt;=2,"?ACTIVATED",IF(J3367&lt;&gt;"","?FAMILIAR",IF(F3367="NEW",IF(ISNA(VLOOKUP(E3367,#REF!,1,FALSE())),"?TYPE_IDENTIFIABLE","?REFERENTIAL"),"_")))))</f>
        <v/>
      </c>
      <c r="H3367" s="27" t="str">
        <f aca="false">IF(J3367&lt;&gt;1,"",IF(I3367="SBJ","CB","?"))</f>
        <v/>
      </c>
      <c r="I3367" s="24" t="str">
        <f aca="false">IF(OR(E3367="",E3367="!!!",F3367="NEW"),"",INDEX(B2:B$3366,-1+SUMPRODUCT(MAX(ROW(E2:E$3366)*(E3367=E2:E$3366)))))</f>
        <v/>
      </c>
      <c r="J3367" s="24" t="str">
        <f aca="true">IF(OR(E3367="",E3367="!!!",F3367="NEW"),"",COUNTBLANK(OFFSET(A$1,,,SUMPRODUCT(MAX(ROW(E$2:E3367)*(E3367=E$2:E3367)))))-COUNTBLANK(OFFSET(A$1,,,SUMPRODUCT(MAX(ROW(E$1:E3366)*(E2=E$1:E3366))))))</f>
        <v/>
      </c>
      <c r="K3367" s="24" t="str">
        <f aca="false">IF(OR(E3367="",E3367="!!!",F3367="NEW"),"",INDEX(J$1:J3366,SUMPRODUCT(MAX(ROW(E$1:E3366)*(E3367=E$1:E3366)))))</f>
        <v/>
      </c>
      <c r="L3367" s="31"/>
    </row>
    <row r="3368" customFormat="false" ht="15" hidden="false" customHeight="false" outlineLevel="0" collapsed="false">
      <c r="A3368" s="20" t="s">
        <v>1109</v>
      </c>
      <c r="E3368" s="23" t="str">
        <f aca="false">IF(D3368="?OLD","!!!","")</f>
        <v/>
      </c>
      <c r="F3368" s="25" t="str">
        <f aca="false">IF(OR(E3368="",E3368="!!!"),"",IF(NOT(ISNA(VLOOKUP(E3368,E$1:E3367,1,FALSE()))),"OLD",IF(AND(E3368&lt;&gt;"",E3368&lt;&gt;"!!!"),"NEW","")))</f>
        <v/>
      </c>
      <c r="G3368" s="26" t="str">
        <f aca="false">IF(OR(E3368="",E3368="!!!"),"",IF(OR(J3368=0,AND(J3368=1,K3368=1),AND(J3368=1,I3368="SBJ"),AND(J3368=1,I3368=0)),"?IN_FOCUS",IF(J3368&lt;=2,"?ACTIVATED",IF(J3368&lt;&gt;"","?FAMILIAR",IF(F3368="NEW",IF(ISNA(VLOOKUP(E3368,#REF!,1,FALSE())),"?TYPE_IDENTIFIABLE","?REFERENTIAL"),"_")))))</f>
        <v/>
      </c>
      <c r="H3368" s="27" t="str">
        <f aca="false">IF(J3368&lt;&gt;1,"",IF(I3368="SBJ","CB","?"))</f>
        <v/>
      </c>
      <c r="I3368" s="24" t="str">
        <f aca="false">IF(OR(E3368="",E3368="!!!",F3368="NEW"),"",INDEX(B3:B$3366,-1+SUMPRODUCT(MAX(ROW(E3:E$3366)*(E3368=E3:E$3366)))))</f>
        <v/>
      </c>
      <c r="J3368" s="24" t="str">
        <f aca="true">IF(OR(E3368="",E3368="!!!",F3368="NEW"),"",COUNTBLANK(OFFSET(A$1,,,SUMPRODUCT(MAX(ROW(E$2:E3368)*(E3368=E$2:E3368)))))-COUNTBLANK(OFFSET(A$1,,,SUMPRODUCT(MAX(ROW(E$1:E3367)*(E2=E$1:E3367))))))</f>
        <v/>
      </c>
      <c r="K3368" s="24" t="str">
        <f aca="false">IF(OR(E3368="",E3368="!!!",F3368="NEW"),"",INDEX(J$1:J3367,SUMPRODUCT(MAX(ROW(E$1:E3367)*(E3368=E$1:E3367)))))</f>
        <v/>
      </c>
      <c r="L3368" s="31"/>
    </row>
    <row r="3369" customFormat="false" ht="15" hidden="false" customHeight="false" outlineLevel="0" collapsed="false">
      <c r="A3369" s="20" t="s">
        <v>1712</v>
      </c>
      <c r="E3369" s="23" t="str">
        <f aca="false">IF(D3369="?OLD","!!!","")</f>
        <v/>
      </c>
      <c r="F3369" s="25" t="str">
        <f aca="false">IF(OR(E3369="",E3369="!!!"),"",IF(NOT(ISNA(VLOOKUP(E3369,E$1:E3368,1,FALSE()))),"OLD",IF(AND(E3369&lt;&gt;"",E3369&lt;&gt;"!!!"),"NEW","")))</f>
        <v/>
      </c>
      <c r="G3369" s="26" t="str">
        <f aca="false">IF(OR(E3369="",E3369="!!!"),"",IF(OR(J3369=0,AND(J3369=1,K3369=1),AND(J3369=1,I3369="SBJ"),AND(J3369=1,I3369=0)),"?IN_FOCUS",IF(J3369&lt;=2,"?ACTIVATED",IF(J3369&lt;&gt;"","?FAMILIAR",IF(F3369="NEW",IF(ISNA(VLOOKUP(E3369,#REF!,1,FALSE())),"?TYPE_IDENTIFIABLE","?REFERENTIAL"),"_")))))</f>
        <v/>
      </c>
      <c r="H3369" s="27" t="str">
        <f aca="false">IF(J3369&lt;&gt;1,"",IF(I3369="SBJ","CB","?"))</f>
        <v/>
      </c>
      <c r="I3369" s="24" t="str">
        <f aca="false">IF(OR(E3369="",E3369="!!!",F3369="NEW"),"",INDEX(B4:B$3366,-1+SUMPRODUCT(MAX(ROW(E4:E$3366)*(E3369=E4:E$3366)))))</f>
        <v/>
      </c>
      <c r="J3369" s="24" t="str">
        <f aca="true">IF(OR(E3369="",E3369="!!!",F3369="NEW"),"",COUNTBLANK(OFFSET(A$1,,,SUMPRODUCT(MAX(ROW(E$2:E3369)*(E3369=E$2:E3369)))))-COUNTBLANK(OFFSET(A$1,,,SUMPRODUCT(MAX(ROW(E$1:E3368)*(E2=E$1:E3368))))))</f>
        <v/>
      </c>
      <c r="K3369" s="24" t="str">
        <f aca="false">IF(OR(E3369="",E3369="!!!",F3369="NEW"),"",INDEX(J$1:J3368,SUMPRODUCT(MAX(ROW(E$1:E3368)*(E3369=E$1:E3368)))))</f>
        <v/>
      </c>
      <c r="L3369" s="31"/>
    </row>
    <row r="3370" customFormat="false" ht="15" hidden="false" customHeight="false" outlineLevel="0" collapsed="false">
      <c r="A3370" s="20" t="s">
        <v>1713</v>
      </c>
      <c r="B3370" s="22" t="s">
        <v>1105</v>
      </c>
      <c r="C3370" s="22" t="s">
        <v>1150</v>
      </c>
      <c r="D3370" s="22" t="s">
        <v>1060</v>
      </c>
      <c r="E3370" s="23" t="str">
        <f aca="false">IF(D3370="?OLD","!!!","")</f>
        <v>!!!</v>
      </c>
      <c r="F3370" s="25" t="str">
        <f aca="false">IF(OR(E3370="",E3370="!!!"),"",IF(NOT(ISNA(VLOOKUP(E3370,E$1:E3369,1,FALSE()))),"OLD",IF(AND(E3370&lt;&gt;"",E3370&lt;&gt;"!!!"),"NEW","")))</f>
        <v/>
      </c>
      <c r="G3370" s="26" t="str">
        <f aca="false">IF(OR(E3370="",E3370="!!!"),"",IF(OR(J3370=0,AND(J3370=1,K3370=1),AND(J3370=1,I3370="SBJ"),AND(J3370=1,I3370=0)),"?IN_FOCUS",IF(J3370&lt;=2,"?ACTIVATED",IF(J3370&lt;&gt;"","?FAMILIAR",IF(F3370="NEW",IF(ISNA(VLOOKUP(E3370,#REF!,1,FALSE())),"?TYPE_IDENTIFIABLE","?REFERENTIAL"),"_")))))</f>
        <v/>
      </c>
      <c r="H3370" s="27" t="str">
        <f aca="false">IF(J3370&lt;&gt;1,"",IF(I3370="SBJ","CB","?"))</f>
        <v/>
      </c>
      <c r="I3370" s="24" t="str">
        <f aca="false">IF(OR(E3370="",E3370="!!!",F3370="NEW"),"",INDEX(B5:B$3366,-1+SUMPRODUCT(MAX(ROW(E5:E$3366)*(E3370=E5:E$3366)))))</f>
        <v/>
      </c>
      <c r="J3370" s="24" t="str">
        <f aca="true">IF(OR(E3370="",E3370="!!!",F3370="NEW"),"",COUNTBLANK(OFFSET(A$1,,,SUMPRODUCT(MAX(ROW(E$2:E3370)*(E3370=E$2:E3370)))))-COUNTBLANK(OFFSET(A$1,,,SUMPRODUCT(MAX(ROW(E$1:E3369)*(E2=E$1:E3369))))))</f>
        <v/>
      </c>
      <c r="K3370" s="24" t="str">
        <f aca="false">IF(OR(E3370="",E3370="!!!",F3370="NEW"),"",INDEX(J$1:J3369,SUMPRODUCT(MAX(ROW(E$1:E3369)*(E3370=E$1:E3369)))))</f>
        <v/>
      </c>
      <c r="L3370" s="31"/>
    </row>
    <row r="3371" customFormat="false" ht="15" hidden="false" customHeight="false" outlineLevel="0" collapsed="false">
      <c r="A3371" s="20" t="s">
        <v>1076</v>
      </c>
      <c r="E3371" s="23" t="str">
        <f aca="false">IF(D3371="?OLD","!!!","")</f>
        <v/>
      </c>
      <c r="F3371" s="25" t="str">
        <f aca="false">IF(OR(E3371="",E3371="!!!"),"",IF(NOT(ISNA(VLOOKUP(E3371,E$1:E3370,1,FALSE()))),"OLD",IF(AND(E3371&lt;&gt;"",E3371&lt;&gt;"!!!"),"NEW","")))</f>
        <v/>
      </c>
      <c r="G3371" s="26" t="str">
        <f aca="false">IF(OR(E3371="",E3371="!!!"),"",IF(OR(J3371=0,AND(J3371=1,K3371=1),AND(J3371=1,I3371="SBJ"),AND(J3371=1,I3371=0)),"?IN_FOCUS",IF(J3371&lt;=2,"?ACTIVATED",IF(J3371&lt;&gt;"","?FAMILIAR",IF(F3371="NEW",IF(ISNA(VLOOKUP(E3371,#REF!,1,FALSE())),"?TYPE_IDENTIFIABLE","?REFERENTIAL"),"_")))))</f>
        <v/>
      </c>
      <c r="H3371" s="27" t="str">
        <f aca="false">IF(J3371&lt;&gt;1,"",IF(I3371="SBJ","CB","?"))</f>
        <v/>
      </c>
      <c r="I3371" s="24" t="str">
        <f aca="false">IF(OR(E3371="",E3371="!!!",F3371="NEW"),"",INDEX(B6:B$3366,-1+SUMPRODUCT(MAX(ROW(E6:E$3366)*(E3371=E6:E$3366)))))</f>
        <v/>
      </c>
      <c r="J3371" s="24" t="str">
        <f aca="true">IF(OR(E3371="",E3371="!!!",F3371="NEW"),"",COUNTBLANK(OFFSET(A$1,,,SUMPRODUCT(MAX(ROW(E$2:E3371)*(E3371=E$2:E3371)))))-COUNTBLANK(OFFSET(A$1,,,SUMPRODUCT(MAX(ROW(E$1:E3370)*(E2=E$1:E3370))))))</f>
        <v/>
      </c>
      <c r="K3371" s="24" t="str">
        <f aca="false">IF(OR(E3371="",E3371="!!!",F3371="NEW"),"",INDEX(J$1:J3370,SUMPRODUCT(MAX(ROW(E$1:E3370)*(E3371=E$1:E3370)))))</f>
        <v/>
      </c>
      <c r="L3371" s="31"/>
    </row>
    <row r="3372" customFormat="false" ht="15" hidden="false" customHeight="false" outlineLevel="0" collapsed="false">
      <c r="A3372" s="20" t="s">
        <v>1151</v>
      </c>
      <c r="E3372" s="23" t="str">
        <f aca="false">IF(D3372="?OLD","!!!","")</f>
        <v/>
      </c>
      <c r="F3372" s="25" t="str">
        <f aca="false">IF(OR(E3372="",E3372="!!!"),"",IF(NOT(ISNA(VLOOKUP(E3372,E$1:E3371,1,FALSE()))),"OLD",IF(AND(E3372&lt;&gt;"",E3372&lt;&gt;"!!!"),"NEW","")))</f>
        <v/>
      </c>
      <c r="G3372" s="26" t="str">
        <f aca="false">IF(OR(E3372="",E3372="!!!"),"",IF(OR(J3372=0,AND(J3372=1,K3372=1),AND(J3372=1,I3372="SBJ"),AND(J3372=1,I3372=0)),"?IN_FOCUS",IF(J3372&lt;=2,"?ACTIVATED",IF(J3372&lt;&gt;"","?FAMILIAR",IF(F3372="NEW",IF(ISNA(VLOOKUP(E3372,#REF!,1,FALSE())),"?TYPE_IDENTIFIABLE","?REFERENTIAL"),"_")))))</f>
        <v/>
      </c>
      <c r="H3372" s="27" t="str">
        <f aca="false">IF(J3372&lt;&gt;1,"",IF(I3372="SBJ","CB","?"))</f>
        <v/>
      </c>
      <c r="I3372" s="24" t="str">
        <f aca="false">IF(OR(E3372="",E3372="!!!",F3372="NEW"),"",INDEX(B7:B$3366,-1+SUMPRODUCT(MAX(ROW(E7:E$3366)*(E3372=E7:E$3366)))))</f>
        <v/>
      </c>
      <c r="J3372" s="24" t="str">
        <f aca="true">IF(OR(E3372="",E3372="!!!",F3372="NEW"),"",COUNTBLANK(OFFSET(A$1,,,SUMPRODUCT(MAX(ROW(E$2:E3372)*(E3372=E$2:E3372)))))-COUNTBLANK(OFFSET(A$1,,,SUMPRODUCT(MAX(ROW(E$1:E3371)*(E2=E$1:E3371))))))</f>
        <v/>
      </c>
      <c r="K3372" s="24" t="str">
        <f aca="false">IF(OR(E3372="",E3372="!!!",F3372="NEW"),"",INDEX(J$1:J3371,SUMPRODUCT(MAX(ROW(E$1:E3371)*(E3372=E$1:E3371)))))</f>
        <v/>
      </c>
      <c r="L3372" s="31"/>
    </row>
    <row r="3373" customFormat="false" ht="15" hidden="false" customHeight="false" outlineLevel="0" collapsed="false">
      <c r="A3373" s="20" t="s">
        <v>1076</v>
      </c>
      <c r="E3373" s="23" t="str">
        <f aca="false">IF(D3373="?OLD","!!!","")</f>
        <v/>
      </c>
      <c r="F3373" s="25" t="str">
        <f aca="false">IF(OR(E3373="",E3373="!!!"),"",IF(NOT(ISNA(VLOOKUP(E3373,E$1:E3372,1,FALSE()))),"OLD",IF(AND(E3373&lt;&gt;"",E3373&lt;&gt;"!!!"),"NEW","")))</f>
        <v/>
      </c>
      <c r="G3373" s="26" t="str">
        <f aca="false">IF(OR(E3373="",E3373="!!!"),"",IF(OR(J3373=0,AND(J3373=1,K3373=1),AND(J3373=1,I3373="SBJ"),AND(J3373=1,I3373=0)),"?IN_FOCUS",IF(J3373&lt;=2,"?ACTIVATED",IF(J3373&lt;&gt;"","?FAMILIAR",IF(F3373="NEW",IF(ISNA(VLOOKUP(E3373,#REF!,1,FALSE())),"?TYPE_IDENTIFIABLE","?REFERENTIAL"),"_")))))</f>
        <v/>
      </c>
      <c r="H3373" s="27" t="str">
        <f aca="false">IF(J3373&lt;&gt;1,"",IF(I3373="SBJ","CB","?"))</f>
        <v/>
      </c>
      <c r="I3373" s="24" t="str">
        <f aca="false">IF(OR(E3373="",E3373="!!!",F3373="NEW"),"",INDEX(B8:B$3366,-1+SUMPRODUCT(MAX(ROW(E8:E$3366)*(E3373=E8:E$3366)))))</f>
        <v/>
      </c>
      <c r="J3373" s="24" t="str">
        <f aca="true">IF(OR(E3373="",E3373="!!!",F3373="NEW"),"",COUNTBLANK(OFFSET(A$1,,,SUMPRODUCT(MAX(ROW(E$2:E3373)*(E3373=E$2:E3373)))))-COUNTBLANK(OFFSET(A$1,,,SUMPRODUCT(MAX(ROW(E$1:E3372)*(E2=E$1:E3372))))))</f>
        <v/>
      </c>
      <c r="K3373" s="24" t="str">
        <f aca="false">IF(OR(E3373="",E3373="!!!",F3373="NEW"),"",INDEX(J$1:J3372,SUMPRODUCT(MAX(ROW(E$1:E3372)*(E3373=E$1:E3372)))))</f>
        <v/>
      </c>
      <c r="L3373" s="31"/>
    </row>
    <row r="3374" customFormat="false" ht="15" hidden="false" customHeight="false" outlineLevel="0" collapsed="false">
      <c r="A3374" s="20" t="s">
        <v>1078</v>
      </c>
      <c r="B3374" s="22" t="s">
        <v>1058</v>
      </c>
      <c r="E3374" s="23" t="str">
        <f aca="false">IF(D3374="?OLD","!!!","")</f>
        <v/>
      </c>
      <c r="F3374" s="25" t="str">
        <f aca="false">IF(OR(E3374="",E3374="!!!"),"",IF(NOT(ISNA(VLOOKUP(E3374,E$1:E3373,1,FALSE()))),"OLD",IF(AND(E3374&lt;&gt;"",E3374&lt;&gt;"!!!"),"NEW","")))</f>
        <v/>
      </c>
      <c r="G3374" s="26" t="str">
        <f aca="false">IF(OR(E3374="",E3374="!!!"),"",IF(OR(J3374=0,AND(J3374=1,K3374=1),AND(J3374=1,I3374="SBJ"),AND(J3374=1,I3374=0)),"?IN_FOCUS",IF(J3374&lt;=2,"?ACTIVATED",IF(J3374&lt;&gt;"","?FAMILIAR",IF(F3374="NEW",IF(ISNA(VLOOKUP(E3374,#REF!,1,FALSE())),"?TYPE_IDENTIFIABLE","?REFERENTIAL"),"_")))))</f>
        <v/>
      </c>
      <c r="H3374" s="27" t="str">
        <f aca="false">IF(J3374&lt;&gt;1,"",IF(I3374="SBJ","CB","?"))</f>
        <v/>
      </c>
      <c r="I3374" s="24" t="str">
        <f aca="false">IF(OR(E3374="",E3374="!!!",F3374="NEW"),"",INDEX(B9:B$3366,-1+SUMPRODUCT(MAX(ROW(E9:E$3366)*(E3374=E9:E$3366)))))</f>
        <v/>
      </c>
      <c r="J3374" s="24" t="str">
        <f aca="true">IF(OR(E3374="",E3374="!!!",F3374="NEW"),"",COUNTBLANK(OFFSET(A$1,,,SUMPRODUCT(MAX(ROW(E$2:E3374)*(E3374=E$2:E3374)))))-COUNTBLANK(OFFSET(A$1,,,SUMPRODUCT(MAX(ROW(E$1:E3373)*(E2=E$1:E3373))))))</f>
        <v/>
      </c>
      <c r="K3374" s="24" t="str">
        <f aca="false">IF(OR(E3374="",E3374="!!!",F3374="NEW"),"",INDEX(J$1:J3373,SUMPRODUCT(MAX(ROW(E$1:E3373)*(E3374=E$1:E3373)))))</f>
        <v/>
      </c>
      <c r="L3374" s="31"/>
    </row>
    <row r="3375" customFormat="false" ht="15" hidden="false" customHeight="false" outlineLevel="0" collapsed="false">
      <c r="A3375" s="20" t="s">
        <v>1064</v>
      </c>
      <c r="E3375" s="23" t="str">
        <f aca="false">IF(D3375="?OLD","!!!","")</f>
        <v/>
      </c>
      <c r="F3375" s="25" t="str">
        <f aca="false">IF(OR(E3375="",E3375="!!!"),"",IF(NOT(ISNA(VLOOKUP(E3375,E$1:E3374,1,FALSE()))),"OLD",IF(AND(E3375&lt;&gt;"",E3375&lt;&gt;"!!!"),"NEW","")))</f>
        <v/>
      </c>
      <c r="G3375" s="26" t="str">
        <f aca="false">IF(OR(E3375="",E3375="!!!"),"",IF(OR(J3375=0,AND(J3375=1,K3375=1),AND(J3375=1,I3375="SBJ"),AND(J3375=1,I3375=0)),"?IN_FOCUS",IF(J3375&lt;=2,"?ACTIVATED",IF(J3375&lt;&gt;"","?FAMILIAR",IF(F3375="NEW",IF(ISNA(VLOOKUP(E3375,#REF!,1,FALSE())),"?TYPE_IDENTIFIABLE","?REFERENTIAL"),"_")))))</f>
        <v/>
      </c>
      <c r="H3375" s="27" t="str">
        <f aca="false">IF(J3375&lt;&gt;1,"",IF(I3375="SBJ","CB","?"))</f>
        <v/>
      </c>
      <c r="I3375" s="24" t="str">
        <f aca="false">IF(OR(E3375="",E3375="!!!",F3375="NEW"),"",INDEX(B10:B$3366,-1+SUMPRODUCT(MAX(ROW(E10:E$3366)*(E3375=E10:E$3366)))))</f>
        <v/>
      </c>
      <c r="J3375" s="24" t="str">
        <f aca="true">IF(OR(E3375="",E3375="!!!",F3375="NEW"),"",COUNTBLANK(OFFSET(A$1,,,SUMPRODUCT(MAX(ROW(E$2:E3375)*(E3375=E$2:E3375)))))-COUNTBLANK(OFFSET(A$1,,,SUMPRODUCT(MAX(ROW(E$1:E3374)*(E2=E$1:E3374))))))</f>
        <v/>
      </c>
      <c r="K3375" s="24" t="str">
        <f aca="false">IF(OR(E3375="",E3375="!!!",F3375="NEW"),"",INDEX(J$1:J3374,SUMPRODUCT(MAX(ROW(E$1:E3374)*(E3375=E$1:E3374)))))</f>
        <v/>
      </c>
      <c r="L3375" s="31"/>
    </row>
    <row r="3376" customFormat="false" ht="15" hidden="false" customHeight="false" outlineLevel="0" collapsed="false">
      <c r="A3376" s="20" t="s">
        <v>1109</v>
      </c>
      <c r="E3376" s="23" t="str">
        <f aca="false">IF(D3376="?OLD","!!!","")</f>
        <v/>
      </c>
      <c r="F3376" s="25" t="str">
        <f aca="false">IF(OR(E3376="",E3376="!!!"),"",IF(NOT(ISNA(VLOOKUP(E3376,E$1:E3375,1,FALSE()))),"OLD",IF(AND(E3376&lt;&gt;"",E3376&lt;&gt;"!!!"),"NEW","")))</f>
        <v/>
      </c>
      <c r="G3376" s="26" t="str">
        <f aca="false">IF(OR(E3376="",E3376="!!!"),"",IF(OR(J3376=0,AND(J3376=1,K3376=1),AND(J3376=1,I3376="SBJ"),AND(J3376=1,I3376=0)),"?IN_FOCUS",IF(J3376&lt;=2,"?ACTIVATED",IF(J3376&lt;&gt;"","?FAMILIAR",IF(F3376="NEW",IF(ISNA(VLOOKUP(E3376,#REF!,1,FALSE())),"?TYPE_IDENTIFIABLE","?REFERENTIAL"),"_")))))</f>
        <v/>
      </c>
      <c r="H3376" s="27" t="str">
        <f aca="false">IF(J3376&lt;&gt;1,"",IF(I3376="SBJ","CB","?"))</f>
        <v/>
      </c>
      <c r="I3376" s="24" t="str">
        <f aca="false">IF(OR(E3376="",E3376="!!!",F3376="NEW"),"",INDEX(B11:B$3366,-1+SUMPRODUCT(MAX(ROW(E11:E$3366)*(E3376=E11:E$3366)))))</f>
        <v/>
      </c>
      <c r="J3376" s="24" t="str">
        <f aca="true">IF(OR(E3376="",E3376="!!!",F3376="NEW"),"",COUNTBLANK(OFFSET(A$1,,,SUMPRODUCT(MAX(ROW(E$2:E3376)*(E3376=E$2:E3376)))))-COUNTBLANK(OFFSET(A$1,,,SUMPRODUCT(MAX(ROW(E$1:E3375)*(E2=E$1:E3375))))))</f>
        <v/>
      </c>
      <c r="K3376" s="24" t="str">
        <f aca="false">IF(OR(E3376="",E3376="!!!",F3376="NEW"),"",INDEX(J$1:J3375,SUMPRODUCT(MAX(ROW(E$1:E3375)*(E3376=E$1:E3375)))))</f>
        <v/>
      </c>
      <c r="L3376" s="31"/>
    </row>
    <row r="3377" customFormat="false" ht="15" hidden="false" customHeight="false" outlineLevel="0" collapsed="false">
      <c r="A3377" s="20" t="s">
        <v>2146</v>
      </c>
      <c r="E3377" s="23" t="str">
        <f aca="false">IF(D3377="?OLD","!!!","")</f>
        <v/>
      </c>
      <c r="F3377" s="25" t="str">
        <f aca="false">IF(OR(E3377="",E3377="!!!"),"",IF(NOT(ISNA(VLOOKUP(E3377,E$1:E3376,1,FALSE()))),"OLD",IF(AND(E3377&lt;&gt;"",E3377&lt;&gt;"!!!"),"NEW","")))</f>
        <v/>
      </c>
      <c r="G3377" s="26" t="str">
        <f aca="false">IF(OR(E3377="",E3377="!!!"),"",IF(OR(J3377=0,AND(J3377=1,K3377=1),AND(J3377=1,I3377="SBJ"),AND(J3377=1,I3377=0)),"?IN_FOCUS",IF(J3377&lt;=2,"?ACTIVATED",IF(J3377&lt;&gt;"","?FAMILIAR",IF(F3377="NEW",IF(ISNA(VLOOKUP(E3377,#REF!,1,FALSE())),"?TYPE_IDENTIFIABLE","?REFERENTIAL"),"_")))))</f>
        <v/>
      </c>
      <c r="H3377" s="27" t="str">
        <f aca="false">IF(J3377&lt;&gt;1,"",IF(I3377="SBJ","CB","?"))</f>
        <v/>
      </c>
      <c r="I3377" s="24" t="str">
        <f aca="false">IF(OR(E3377="",E3377="!!!",F3377="NEW"),"",INDEX(B12:B$3366,-1+SUMPRODUCT(MAX(ROW(E12:E$3366)*(E3377=E12:E$3366)))))</f>
        <v/>
      </c>
      <c r="J3377" s="24" t="str">
        <f aca="true">IF(OR(E3377="",E3377="!!!",F3377="NEW"),"",COUNTBLANK(OFFSET(A$1,,,SUMPRODUCT(MAX(ROW(E$2:E3377)*(E3377=E$2:E3377)))))-COUNTBLANK(OFFSET(A$1,,,SUMPRODUCT(MAX(ROW(E$1:E3376)*(E2=E$1:E3376))))))</f>
        <v/>
      </c>
      <c r="K3377" s="24" t="str">
        <f aca="false">IF(OR(E3377="",E3377="!!!",F3377="NEW"),"",INDEX(J$1:J3376,SUMPRODUCT(MAX(ROW(E$1:E3376)*(E3377=E$1:E3376)))))</f>
        <v/>
      </c>
      <c r="L3377" s="31"/>
    </row>
    <row r="3378" customFormat="false" ht="15" hidden="false" customHeight="false" outlineLevel="0" collapsed="false">
      <c r="A3378" s="20" t="s">
        <v>2147</v>
      </c>
      <c r="B3378" s="22" t="s">
        <v>1073</v>
      </c>
      <c r="C3378" s="22" t="s">
        <v>1150</v>
      </c>
      <c r="D3378" s="22" t="s">
        <v>1060</v>
      </c>
      <c r="E3378" s="23" t="str">
        <f aca="false">IF(D3378="?OLD","!!!","")</f>
        <v>!!!</v>
      </c>
      <c r="F3378" s="25" t="str">
        <f aca="false">IF(OR(E3378="",E3378="!!!"),"",IF(NOT(ISNA(VLOOKUP(E3378,E$1:E3377,1,FALSE()))),"OLD",IF(AND(E3378&lt;&gt;"",E3378&lt;&gt;"!!!"),"NEW","")))</f>
        <v/>
      </c>
      <c r="G3378" s="26" t="str">
        <f aca="false">IF(OR(E3378="",E3378="!!!"),"",IF(OR(J3378=0,AND(J3378=1,K3378=1),AND(J3378=1,I3378="SBJ"),AND(J3378=1,I3378=0)),"?IN_FOCUS",IF(J3378&lt;=2,"?ACTIVATED",IF(J3378&lt;&gt;"","?FAMILIAR",IF(F3378="NEW",IF(ISNA(VLOOKUP(E3378,#REF!,1,FALSE())),"?TYPE_IDENTIFIABLE","?REFERENTIAL"),"_")))))</f>
        <v/>
      </c>
      <c r="H3378" s="27" t="str">
        <f aca="false">IF(J3378&lt;&gt;1,"",IF(I3378="SBJ","CB","?"))</f>
        <v/>
      </c>
      <c r="I3378" s="24" t="str">
        <f aca="false">IF(OR(E3378="",E3378="!!!",F3378="NEW"),"",INDEX(B13:B$3366,-1+SUMPRODUCT(MAX(ROW(E13:E$3366)*(E3378=E13:E$3366)))))</f>
        <v/>
      </c>
      <c r="J3378" s="24" t="str">
        <f aca="true">IF(OR(E3378="",E3378="!!!",F3378="NEW"),"",COUNTBLANK(OFFSET(A$1,,,SUMPRODUCT(MAX(ROW(E$2:E3378)*(E3378=E$2:E3378)))))-COUNTBLANK(OFFSET(A$1,,,SUMPRODUCT(MAX(ROW(E$1:E3377)*(E2=E$1:E3377))))))</f>
        <v/>
      </c>
      <c r="K3378" s="24" t="str">
        <f aca="false">IF(OR(E3378="",E3378="!!!",F3378="NEW"),"",INDEX(J$1:J3377,SUMPRODUCT(MAX(ROW(E$1:E3377)*(E3378=E$1:E3377)))))</f>
        <v/>
      </c>
      <c r="L3378" s="31"/>
    </row>
    <row r="3379" customFormat="false" ht="15" hidden="false" customHeight="false" outlineLevel="0" collapsed="false">
      <c r="A3379" s="20" t="s">
        <v>1092</v>
      </c>
      <c r="E3379" s="23" t="str">
        <f aca="false">IF(D3379="?OLD","!!!","")</f>
        <v/>
      </c>
      <c r="F3379" s="25" t="str">
        <f aca="false">IF(OR(E3379="",E3379="!!!"),"",IF(NOT(ISNA(VLOOKUP(E3379,E$1:E3378,1,FALSE()))),"OLD",IF(AND(E3379&lt;&gt;"",E3379&lt;&gt;"!!!"),"NEW","")))</f>
        <v/>
      </c>
      <c r="G3379" s="26" t="str">
        <f aca="false">IF(OR(E3379="",E3379="!!!"),"",IF(OR(J3379=0,AND(J3379=1,K3379=1),AND(J3379=1,I3379="SBJ"),AND(J3379=1,I3379=0)),"?IN_FOCUS",IF(J3379&lt;=2,"?ACTIVATED",IF(J3379&lt;&gt;"","?FAMILIAR",IF(F3379="NEW",IF(ISNA(VLOOKUP(E3379,#REF!,1,FALSE())),"?TYPE_IDENTIFIABLE","?REFERENTIAL"),"_")))))</f>
        <v/>
      </c>
      <c r="H3379" s="27" t="str">
        <f aca="false">IF(J3379&lt;&gt;1,"",IF(I3379="SBJ","CB","?"))</f>
        <v/>
      </c>
      <c r="I3379" s="24" t="str">
        <f aca="false">IF(OR(E3379="",E3379="!!!",F3379="NEW"),"",INDEX(B14:B$3366,-1+SUMPRODUCT(MAX(ROW(E14:E$3366)*(E3379=E14:E$3366)))))</f>
        <v/>
      </c>
      <c r="J3379" s="24" t="str">
        <f aca="true">IF(OR(E3379="",E3379="!!!",F3379="NEW"),"",COUNTBLANK(OFFSET(A$1,,,SUMPRODUCT(MAX(ROW(E$2:E3379)*(E3379=E$2:E3379)))))-COUNTBLANK(OFFSET(A$1,,,SUMPRODUCT(MAX(ROW(E$1:E3378)*(E2=E$1:E3378))))))</f>
        <v/>
      </c>
      <c r="K3379" s="24" t="str">
        <f aca="false">IF(OR(E3379="",E3379="!!!",F3379="NEW"),"",INDEX(J$1:J3378,SUMPRODUCT(MAX(ROW(E$1:E3378)*(E3379=E$1:E3378)))))</f>
        <v/>
      </c>
      <c r="L3379" s="31"/>
    </row>
    <row r="3380" customFormat="false" ht="15" hidden="false" customHeight="false" outlineLevel="0" collapsed="false">
      <c r="A3380" s="20" t="s">
        <v>2148</v>
      </c>
      <c r="E3380" s="23" t="str">
        <f aca="false">IF(D3380="?OLD","!!!","")</f>
        <v/>
      </c>
      <c r="F3380" s="25" t="str">
        <f aca="false">IF(OR(E3380="",E3380="!!!"),"",IF(NOT(ISNA(VLOOKUP(E3380,E$1:E3379,1,FALSE()))),"OLD",IF(AND(E3380&lt;&gt;"",E3380&lt;&gt;"!!!"),"NEW","")))</f>
        <v/>
      </c>
      <c r="G3380" s="26" t="str">
        <f aca="false">IF(OR(E3380="",E3380="!!!"),"",IF(OR(J3380=0,AND(J3380=1,K3380=1),AND(J3380=1,I3380="SBJ"),AND(J3380=1,I3380=0)),"?IN_FOCUS",IF(J3380&lt;=2,"?ACTIVATED",IF(J3380&lt;&gt;"","?FAMILIAR",IF(F3380="NEW",IF(ISNA(VLOOKUP(E3380,#REF!,1,FALSE())),"?TYPE_IDENTIFIABLE","?REFERENTIAL"),"_")))))</f>
        <v/>
      </c>
      <c r="H3380" s="27" t="str">
        <f aca="false">IF(J3380&lt;&gt;1,"",IF(I3380="SBJ","CB","?"))</f>
        <v/>
      </c>
      <c r="I3380" s="24" t="str">
        <f aca="false">IF(OR(E3380="",E3380="!!!",F3380="NEW"),"",INDEX(B15:B$3366,-1+SUMPRODUCT(MAX(ROW(E15:E$3366)*(E3380=E15:E$3366)))))</f>
        <v/>
      </c>
      <c r="J3380" s="24" t="str">
        <f aca="true">IF(OR(E3380="",E3380="!!!",F3380="NEW"),"",COUNTBLANK(OFFSET(A$1,,,SUMPRODUCT(MAX(ROW(E$2:E3380)*(E3380=E$2:E3380)))))-COUNTBLANK(OFFSET(A$1,,,SUMPRODUCT(MAX(ROW(E$1:E3379)*(E2=E$1:E3379))))))</f>
        <v/>
      </c>
      <c r="K3380" s="24" t="str">
        <f aca="false">IF(OR(E3380="",E3380="!!!",F3380="NEW"),"",INDEX(J$1:J3379,SUMPRODUCT(MAX(ROW(E$1:E3379)*(E3380=E$1:E3379)))))</f>
        <v/>
      </c>
      <c r="L3380" s="31"/>
    </row>
    <row r="3381" customFormat="false" ht="15" hidden="false" customHeight="false" outlineLevel="0" collapsed="false">
      <c r="A3381" s="20" t="s">
        <v>923</v>
      </c>
      <c r="E3381" s="23" t="str">
        <f aca="false">IF(D3381="?OLD","!!!","")</f>
        <v/>
      </c>
      <c r="F3381" s="25" t="str">
        <f aca="false">IF(OR(E3381="",E3381="!!!"),"",IF(NOT(ISNA(VLOOKUP(E3381,E$1:E3380,1,FALSE()))),"OLD",IF(AND(E3381&lt;&gt;"",E3381&lt;&gt;"!!!"),"NEW","")))</f>
        <v/>
      </c>
      <c r="G3381" s="26" t="str">
        <f aca="false">IF(OR(E3381="",E3381="!!!"),"",IF(OR(J3381=0,AND(J3381=1,K3381=1),AND(J3381=1,I3381="SBJ"),AND(J3381=1,I3381=0)),"?IN_FOCUS",IF(J3381&lt;=2,"?ACTIVATED",IF(J3381&lt;&gt;"","?FAMILIAR",IF(F3381="NEW",IF(ISNA(VLOOKUP(E3381,#REF!,1,FALSE())),"?TYPE_IDENTIFIABLE","?REFERENTIAL"),"_")))))</f>
        <v/>
      </c>
      <c r="H3381" s="27" t="str">
        <f aca="false">IF(J3381&lt;&gt;1,"",IF(I3381="SBJ","CB","?"))</f>
        <v/>
      </c>
      <c r="I3381" s="24" t="str">
        <f aca="false">IF(OR(E3381="",E3381="!!!",F3381="NEW"),"",INDEX(B16:B$3366,-1+SUMPRODUCT(MAX(ROW(E16:E$3366)*(E3381=E16:E$3366)))))</f>
        <v/>
      </c>
      <c r="J3381" s="24" t="str">
        <f aca="true">IF(OR(E3381="",E3381="!!!",F3381="NEW"),"",COUNTBLANK(OFFSET(A$1,,,SUMPRODUCT(MAX(ROW(E$2:E3381)*(E3381=E$2:E3381)))))-COUNTBLANK(OFFSET(A$1,,,SUMPRODUCT(MAX(ROW(E$1:E3380)*(E2=E$1:E3380))))))</f>
        <v/>
      </c>
      <c r="K3381" s="24" t="str">
        <f aca="false">IF(OR(E3381="",E3381="!!!",F3381="NEW"),"",INDEX(J$1:J3380,SUMPRODUCT(MAX(ROW(E$1:E3380)*(E3381=E$1:E3380)))))</f>
        <v/>
      </c>
      <c r="L3381" s="31"/>
    </row>
    <row r="3382" customFormat="false" ht="15" hidden="false" customHeight="false" outlineLevel="0" collapsed="false">
      <c r="A3382" s="20"/>
    </row>
    <row r="3383" customFormat="false" ht="15" hidden="false" customHeight="false" outlineLevel="0" collapsed="false">
      <c r="A3383" s="20" t="s">
        <v>1301</v>
      </c>
      <c r="E3383" s="23" t="str">
        <f aca="false">IF(D3383="?OLD","!!!","")</f>
        <v/>
      </c>
      <c r="F3383" s="25" t="str">
        <f aca="false">IF(OR(E3383="",E3383="!!!"),"",IF(NOT(ISNA(VLOOKUP(E3383,E$1:E3382,1,FALSE()))),"OLD",IF(AND(E3383&lt;&gt;"",E3383&lt;&gt;"!!!"),"NEW","")))</f>
        <v/>
      </c>
      <c r="G3383" s="26" t="str">
        <f aca="false">IF(OR(E3383="",E3383="!!!"),"",IF(OR(J3383=0,AND(J3383=1,K3383=1),AND(J3383=1,I3383="SBJ"),AND(J3383=1,I3383=0)),"?IN_FOCUS",IF(J3383&lt;=2,"?ACTIVATED",IF(J3383&lt;&gt;"","?FAMILIAR",IF(F3383="NEW",IF(ISNA(VLOOKUP(E3383,#REF!,1,FALSE())),"?TYPE_IDENTIFIABLE","?REFERENTIAL"),"_")))))</f>
        <v/>
      </c>
      <c r="H3383" s="27" t="str">
        <f aca="false">IF(J3383&lt;&gt;1,"",IF(I3383="SBJ","CB","?"))</f>
        <v/>
      </c>
      <c r="I3383" s="24" t="str">
        <f aca="false">IF(OR(E3383="",E3383="!!!",F3383="NEW"),"",INDEX(B2:B$3382,-1+SUMPRODUCT(MAX(ROW(E2:E$3382)*(E3383=E2:E$3382)))))</f>
        <v/>
      </c>
      <c r="J3383" s="24" t="str">
        <f aca="true">IF(OR(E3383="",E3383="!!!",F3383="NEW"),"",COUNTBLANK(OFFSET(A$1,,,SUMPRODUCT(MAX(ROW(E$2:E3383)*(E3383=E$2:E3383)))))-COUNTBLANK(OFFSET(A$1,,,SUMPRODUCT(MAX(ROW(E$1:E3382)*(E2=E$1:E3382))))))</f>
        <v/>
      </c>
      <c r="K3383" s="24" t="str">
        <f aca="false">IF(OR(E3383="",E3383="!!!",F3383="NEW"),"",INDEX(J$1:J3382,SUMPRODUCT(MAX(ROW(E$1:E3382)*(E3383=E$1:E3382)))))</f>
        <v/>
      </c>
      <c r="L3383" s="31"/>
    </row>
    <row r="3384" customFormat="false" ht="15" hidden="false" customHeight="false" outlineLevel="0" collapsed="false">
      <c r="A3384" s="20" t="s">
        <v>2149</v>
      </c>
    </row>
    <row r="3385" customFormat="false" ht="15" hidden="false" customHeight="false" outlineLevel="0" collapsed="false">
      <c r="A3385" s="20" t="s">
        <v>607</v>
      </c>
      <c r="E3385" s="23" t="str">
        <f aca="false">IF(D3385="?OLD","!!!","")</f>
        <v/>
      </c>
      <c r="F3385" s="25" t="str">
        <f aca="false">IF(OR(E3385="",E3385="!!!"),"",IF(NOT(ISNA(VLOOKUP(E3385,E$1:E3384,1,FALSE()))),"OLD",IF(AND(E3385&lt;&gt;"",E3385&lt;&gt;"!!!"),"NEW","")))</f>
        <v/>
      </c>
      <c r="G3385" s="26" t="str">
        <f aca="false">IF(OR(E3385="",E3385="!!!"),"",IF(OR(J3385=0,AND(J3385=1,K3385=1),AND(J3385=1,I3385="SBJ"),AND(J3385=1,I3385=0)),"?IN_FOCUS",IF(J3385&lt;=2,"?ACTIVATED",IF(J3385&lt;&gt;"","?FAMILIAR",IF(F3385="NEW",IF(ISNA(VLOOKUP(E3385,#REF!,1,FALSE())),"?TYPE_IDENTIFIABLE","?REFERENTIAL"),"_")))))</f>
        <v/>
      </c>
      <c r="H3385" s="27" t="str">
        <f aca="false">IF(J3385&lt;&gt;1,"",IF(I3385="SBJ","CB","?"))</f>
        <v/>
      </c>
      <c r="I3385" s="24" t="str">
        <f aca="false">IF(OR(E3385="",E3385="!!!",F3385="NEW"),"",INDEX(B2:B$3384,-1+SUMPRODUCT(MAX(ROW(E2:E$3384)*(E3385=E2:E$3384)))))</f>
        <v/>
      </c>
      <c r="J3385" s="24" t="str">
        <f aca="true">IF(OR(E3385="",E3385="!!!",F3385="NEW"),"",COUNTBLANK(OFFSET(A$1,,,SUMPRODUCT(MAX(ROW(E$2:E3385)*(E3385=E$2:E3385)))))-COUNTBLANK(OFFSET(A$1,,,SUMPRODUCT(MAX(ROW(E$1:E3384)*(E2=E$1:E3384))))))</f>
        <v/>
      </c>
      <c r="K3385" s="24" t="str">
        <f aca="false">IF(OR(E3385="",E3385="!!!",F3385="NEW"),"",INDEX(J$1:J3384,SUMPRODUCT(MAX(ROW(E$1:E3384)*(E3385=E$1:E3384)))))</f>
        <v/>
      </c>
      <c r="L3385" s="31"/>
    </row>
    <row r="3386" customFormat="false" ht="15" hidden="false" customHeight="false" outlineLevel="0" collapsed="false">
      <c r="A3386" s="20" t="s">
        <v>1478</v>
      </c>
      <c r="E3386" s="23" t="str">
        <f aca="false">IF(D3386="?OLD","!!!","")</f>
        <v/>
      </c>
      <c r="F3386" s="25" t="str">
        <f aca="false">IF(OR(E3386="",E3386="!!!"),"",IF(NOT(ISNA(VLOOKUP(E3386,E$1:E3385,1,FALSE()))),"OLD",IF(AND(E3386&lt;&gt;"",E3386&lt;&gt;"!!!"),"NEW","")))</f>
        <v/>
      </c>
      <c r="G3386" s="26" t="str">
        <f aca="false">IF(OR(E3386="",E3386="!!!"),"",IF(OR(J3386=0,AND(J3386=1,K3386=1),AND(J3386=1,I3386="SBJ"),AND(J3386=1,I3386=0)),"?IN_FOCUS",IF(J3386&lt;=2,"?ACTIVATED",IF(J3386&lt;&gt;"","?FAMILIAR",IF(F3386="NEW",IF(ISNA(VLOOKUP(E3386,#REF!,1,FALSE())),"?TYPE_IDENTIFIABLE","?REFERENTIAL"),"_")))))</f>
        <v/>
      </c>
      <c r="H3386" s="27" t="str">
        <f aca="false">IF(J3386&lt;&gt;1,"",IF(I3386="SBJ","CB","?"))</f>
        <v/>
      </c>
      <c r="I3386" s="24" t="str">
        <f aca="false">IF(OR(E3386="",E3386="!!!",F3386="NEW"),"",INDEX(B3:B$3384,-1+SUMPRODUCT(MAX(ROW(E3:E$3384)*(E3386=E3:E$3384)))))</f>
        <v/>
      </c>
      <c r="J3386" s="24" t="str">
        <f aca="true">IF(OR(E3386="",E3386="!!!",F3386="NEW"),"",COUNTBLANK(OFFSET(A$1,,,SUMPRODUCT(MAX(ROW(E$2:E3386)*(E3386=E$2:E3386)))))-COUNTBLANK(OFFSET(A$1,,,SUMPRODUCT(MAX(ROW(E$1:E3385)*(E2=E$1:E3385))))))</f>
        <v/>
      </c>
      <c r="K3386" s="24" t="str">
        <f aca="false">IF(OR(E3386="",E3386="!!!",F3386="NEW"),"",INDEX(J$1:J3385,SUMPRODUCT(MAX(ROW(E$1:E3385)*(E3386=E$1:E3385)))))</f>
        <v/>
      </c>
      <c r="L3386" s="31"/>
    </row>
    <row r="3387" customFormat="false" ht="15" hidden="false" customHeight="false" outlineLevel="0" collapsed="false">
      <c r="A3387" s="20" t="s">
        <v>1071</v>
      </c>
      <c r="E3387" s="23" t="str">
        <f aca="false">IF(D3387="?OLD","!!!","")</f>
        <v/>
      </c>
      <c r="F3387" s="25" t="str">
        <f aca="false">IF(OR(E3387="",E3387="!!!"),"",IF(NOT(ISNA(VLOOKUP(E3387,E$1:E3386,1,FALSE()))),"OLD",IF(AND(E3387&lt;&gt;"",E3387&lt;&gt;"!!!"),"NEW","")))</f>
        <v/>
      </c>
      <c r="G3387" s="26" t="str">
        <f aca="false">IF(OR(E3387="",E3387="!!!"),"",IF(OR(J3387=0,AND(J3387=1,K3387=1),AND(J3387=1,I3387="SBJ"),AND(J3387=1,I3387=0)),"?IN_FOCUS",IF(J3387&lt;=2,"?ACTIVATED",IF(J3387&lt;&gt;"","?FAMILIAR",IF(F3387="NEW",IF(ISNA(VLOOKUP(E3387,#REF!,1,FALSE())),"?TYPE_IDENTIFIABLE","?REFERENTIAL"),"_")))))</f>
        <v/>
      </c>
      <c r="H3387" s="27" t="str">
        <f aca="false">IF(J3387&lt;&gt;1,"",IF(I3387="SBJ","CB","?"))</f>
        <v/>
      </c>
      <c r="I3387" s="24" t="str">
        <f aca="false">IF(OR(E3387="",E3387="!!!",F3387="NEW"),"",INDEX(B4:B$3384,-1+SUMPRODUCT(MAX(ROW(E4:E$3384)*(E3387=E4:E$3384)))))</f>
        <v/>
      </c>
      <c r="J3387" s="24" t="str">
        <f aca="true">IF(OR(E3387="",E3387="!!!",F3387="NEW"),"",COUNTBLANK(OFFSET(A$1,,,SUMPRODUCT(MAX(ROW(E$2:E3387)*(E3387=E$2:E3387)))))-COUNTBLANK(OFFSET(A$1,,,SUMPRODUCT(MAX(ROW(E$1:E3386)*(E2=E$1:E3386))))))</f>
        <v/>
      </c>
      <c r="K3387" s="24" t="str">
        <f aca="false">IF(OR(E3387="",E3387="!!!",F3387="NEW"),"",INDEX(J$1:J3386,SUMPRODUCT(MAX(ROW(E$1:E3386)*(E3387=E$1:E3386)))))</f>
        <v/>
      </c>
      <c r="L3387" s="31"/>
    </row>
    <row r="3388" customFormat="false" ht="15" hidden="false" customHeight="false" outlineLevel="0" collapsed="false">
      <c r="A3388" s="20" t="s">
        <v>2150</v>
      </c>
      <c r="B3388" s="22" t="s">
        <v>1058</v>
      </c>
      <c r="C3388" s="22" t="s">
        <v>2151</v>
      </c>
      <c r="E3388" s="23" t="str">
        <f aca="false">IF(D3388="?OLD","!!!","")</f>
        <v/>
      </c>
      <c r="F3388" s="25" t="str">
        <f aca="false">IF(OR(E3388="",E3388="!!!"),"",IF(NOT(ISNA(VLOOKUP(E3388,E$1:E3387,1,FALSE()))),"OLD",IF(AND(E3388&lt;&gt;"",E3388&lt;&gt;"!!!"),"NEW","")))</f>
        <v/>
      </c>
      <c r="G3388" s="26" t="str">
        <f aca="false">IF(OR(E3388="",E3388="!!!"),"",IF(OR(J3388=0,AND(J3388=1,K3388=1),AND(J3388=1,I3388="SBJ"),AND(J3388=1,I3388=0)),"?IN_FOCUS",IF(J3388&lt;=2,"?ACTIVATED",IF(J3388&lt;&gt;"","?FAMILIAR",IF(F3388="NEW",IF(ISNA(VLOOKUP(E3388,#REF!,1,FALSE())),"?TYPE_IDENTIFIABLE","?REFERENTIAL"),"_")))))</f>
        <v/>
      </c>
      <c r="H3388" s="27" t="str">
        <f aca="false">IF(J3388&lt;&gt;1,"",IF(I3388="SBJ","CB","?"))</f>
        <v/>
      </c>
      <c r="I3388" s="24" t="str">
        <f aca="false">IF(OR(E3388="",E3388="!!!",F3388="NEW"),"",INDEX(B5:B$3384,-1+SUMPRODUCT(MAX(ROW(E5:E$3384)*(E3388=E5:E$3384)))))</f>
        <v/>
      </c>
      <c r="J3388" s="24" t="str">
        <f aca="true">IF(OR(E3388="",E3388="!!!",F3388="NEW"),"",COUNTBLANK(OFFSET(A$1,,,SUMPRODUCT(MAX(ROW(E$2:E3388)*(E3388=E$2:E3388)))))-COUNTBLANK(OFFSET(A$1,,,SUMPRODUCT(MAX(ROW(E$1:E3387)*(E2=E$1:E3387))))))</f>
        <v/>
      </c>
      <c r="K3388" s="24" t="str">
        <f aca="false">IF(OR(E3388="",E3388="!!!",F3388="NEW"),"",INDEX(J$1:J3387,SUMPRODUCT(MAX(ROW(E$1:E3387)*(E3388=E$1:E3387)))))</f>
        <v/>
      </c>
      <c r="L3388" s="31"/>
    </row>
    <row r="3389" customFormat="false" ht="15" hidden="false" customHeight="false" outlineLevel="0" collapsed="false">
      <c r="A3389" s="20" t="s">
        <v>1173</v>
      </c>
      <c r="E3389" s="23" t="str">
        <f aca="false">IF(D3389="?OLD","!!!","")</f>
        <v/>
      </c>
      <c r="F3389" s="25" t="str">
        <f aca="false">IF(OR(E3389="",E3389="!!!"),"",IF(NOT(ISNA(VLOOKUP(E3389,E$1:E3388,1,FALSE()))),"OLD",IF(AND(E3389&lt;&gt;"",E3389&lt;&gt;"!!!"),"NEW","")))</f>
        <v/>
      </c>
      <c r="G3389" s="26" t="str">
        <f aca="false">IF(OR(E3389="",E3389="!!!"),"",IF(OR(J3389=0,AND(J3389=1,K3389=1),AND(J3389=1,I3389="SBJ"),AND(J3389=1,I3389=0)),"?IN_FOCUS",IF(J3389&lt;=2,"?ACTIVATED",IF(J3389&lt;&gt;"","?FAMILIAR",IF(F3389="NEW",IF(ISNA(VLOOKUP(E3389,#REF!,1,FALSE())),"?TYPE_IDENTIFIABLE","?REFERENTIAL"),"_")))))</f>
        <v/>
      </c>
      <c r="H3389" s="27" t="str">
        <f aca="false">IF(J3389&lt;&gt;1,"",IF(I3389="SBJ","CB","?"))</f>
        <v/>
      </c>
      <c r="I3389" s="24" t="str">
        <f aca="false">IF(OR(E3389="",E3389="!!!",F3389="NEW"),"",INDEX(B6:B$3384,-1+SUMPRODUCT(MAX(ROW(E6:E$3384)*(E3389=E6:E$3384)))))</f>
        <v/>
      </c>
      <c r="J3389" s="24" t="str">
        <f aca="true">IF(OR(E3389="",E3389="!!!",F3389="NEW"),"",COUNTBLANK(OFFSET(A$1,,,SUMPRODUCT(MAX(ROW(E$2:E3389)*(E3389=E$2:E3389)))))-COUNTBLANK(OFFSET(A$1,,,SUMPRODUCT(MAX(ROW(E$1:E3388)*(E2=E$1:E3388))))))</f>
        <v/>
      </c>
      <c r="K3389" s="24" t="str">
        <f aca="false">IF(OR(E3389="",E3389="!!!",F3389="NEW"),"",INDEX(J$1:J3388,SUMPRODUCT(MAX(ROW(E$1:E3388)*(E3389=E$1:E3388)))))</f>
        <v/>
      </c>
      <c r="L3389" s="31"/>
    </row>
    <row r="3390" customFormat="false" ht="15" hidden="false" customHeight="false" outlineLevel="0" collapsed="false">
      <c r="A3390" s="20" t="s">
        <v>728</v>
      </c>
      <c r="B3390" s="22" t="s">
        <v>1073</v>
      </c>
      <c r="C3390" s="22" t="s">
        <v>1575</v>
      </c>
      <c r="D3390" s="22" t="s">
        <v>1060</v>
      </c>
      <c r="E3390" s="23" t="str">
        <f aca="false">IF(D3390="?OLD","!!!","")</f>
        <v>!!!</v>
      </c>
      <c r="F3390" s="25" t="str">
        <f aca="false">IF(OR(E3390="",E3390="!!!"),"",IF(NOT(ISNA(VLOOKUP(E3390,E$1:E3389,1,FALSE()))),"OLD",IF(AND(E3390&lt;&gt;"",E3390&lt;&gt;"!!!"),"NEW","")))</f>
        <v/>
      </c>
      <c r="G3390" s="26" t="str">
        <f aca="false">IF(OR(E3390="",E3390="!!!"),"",IF(OR(J3390=0,AND(J3390=1,K3390=1),AND(J3390=1,I3390="SBJ"),AND(J3390=1,I3390=0)),"?IN_FOCUS",IF(J3390&lt;=2,"?ACTIVATED",IF(J3390&lt;&gt;"","?FAMILIAR",IF(F3390="NEW",IF(ISNA(VLOOKUP(E3390,#REF!,1,FALSE())),"?TYPE_IDENTIFIABLE","?REFERENTIAL"),"_")))))</f>
        <v/>
      </c>
      <c r="H3390" s="27" t="str">
        <f aca="false">IF(J3390&lt;&gt;1,"",IF(I3390="SBJ","CB","?"))</f>
        <v/>
      </c>
      <c r="I3390" s="24" t="str">
        <f aca="false">IF(OR(E3390="",E3390="!!!",F3390="NEW"),"",INDEX(B7:B$3384,-1+SUMPRODUCT(MAX(ROW(E7:E$3384)*(E3390=E7:E$3384)))))</f>
        <v/>
      </c>
      <c r="J3390" s="24" t="str">
        <f aca="true">IF(OR(E3390="",E3390="!!!",F3390="NEW"),"",COUNTBLANK(OFFSET(A$1,,,SUMPRODUCT(MAX(ROW(E$2:E3390)*(E3390=E$2:E3390)))))-COUNTBLANK(OFFSET(A$1,,,SUMPRODUCT(MAX(ROW(E$1:E3389)*(E2=E$1:E3389))))))</f>
        <v/>
      </c>
      <c r="K3390" s="24" t="str">
        <f aca="false">IF(OR(E3390="",E3390="!!!",F3390="NEW"),"",INDEX(J$1:J3389,SUMPRODUCT(MAX(ROW(E$1:E3389)*(E3390=E$1:E3389)))))</f>
        <v/>
      </c>
      <c r="L3390" s="31"/>
    </row>
    <row r="3391" customFormat="false" ht="15" hidden="false" customHeight="false" outlineLevel="0" collapsed="false">
      <c r="A3391" s="20" t="s">
        <v>1076</v>
      </c>
      <c r="E3391" s="23" t="str">
        <f aca="false">IF(D3391="?OLD","!!!","")</f>
        <v/>
      </c>
      <c r="F3391" s="25" t="str">
        <f aca="false">IF(OR(E3391="",E3391="!!!"),"",IF(NOT(ISNA(VLOOKUP(E3391,E$1:E3390,1,FALSE()))),"OLD",IF(AND(E3391&lt;&gt;"",E3391&lt;&gt;"!!!"),"NEW","")))</f>
        <v/>
      </c>
      <c r="G3391" s="26" t="str">
        <f aca="false">IF(OR(E3391="",E3391="!!!"),"",IF(OR(J3391=0,AND(J3391=1,K3391=1),AND(J3391=1,I3391="SBJ"),AND(J3391=1,I3391=0)),"?IN_FOCUS",IF(J3391&lt;=2,"?ACTIVATED",IF(J3391&lt;&gt;"","?FAMILIAR",IF(F3391="NEW",IF(ISNA(VLOOKUP(E3391,#REF!,1,FALSE())),"?TYPE_IDENTIFIABLE","?REFERENTIAL"),"_")))))</f>
        <v/>
      </c>
      <c r="H3391" s="27" t="str">
        <f aca="false">IF(J3391&lt;&gt;1,"",IF(I3391="SBJ","CB","?"))</f>
        <v/>
      </c>
      <c r="I3391" s="24" t="str">
        <f aca="false">IF(OR(E3391="",E3391="!!!",F3391="NEW"),"",INDEX(B8:B$3384,-1+SUMPRODUCT(MAX(ROW(E8:E$3384)*(E3391=E8:E$3384)))))</f>
        <v/>
      </c>
      <c r="J3391" s="24" t="str">
        <f aca="true">IF(OR(E3391="",E3391="!!!",F3391="NEW"),"",COUNTBLANK(OFFSET(A$1,,,SUMPRODUCT(MAX(ROW(E$2:E3391)*(E3391=E$2:E3391)))))-COUNTBLANK(OFFSET(A$1,,,SUMPRODUCT(MAX(ROW(E$1:E3390)*(E2=E$1:E3390))))))</f>
        <v/>
      </c>
      <c r="K3391" s="24" t="str">
        <f aca="false">IF(OR(E3391="",E3391="!!!",F3391="NEW"),"",INDEX(J$1:J3390,SUMPRODUCT(MAX(ROW(E$1:E3390)*(E3391=E$1:E3390)))))</f>
        <v/>
      </c>
      <c r="L3391" s="31"/>
    </row>
    <row r="3392" customFormat="false" ht="15" hidden="false" customHeight="false" outlineLevel="0" collapsed="false">
      <c r="A3392" s="20" t="s">
        <v>607</v>
      </c>
      <c r="E3392" s="23" t="str">
        <f aca="false">IF(D3392="?OLD","!!!","")</f>
        <v/>
      </c>
      <c r="F3392" s="25" t="str">
        <f aca="false">IF(OR(E3392="",E3392="!!!"),"",IF(NOT(ISNA(VLOOKUP(E3392,E$1:E3391,1,FALSE()))),"OLD",IF(AND(E3392&lt;&gt;"",E3392&lt;&gt;"!!!"),"NEW","")))</f>
        <v/>
      </c>
      <c r="G3392" s="26" t="str">
        <f aca="false">IF(OR(E3392="",E3392="!!!"),"",IF(OR(J3392=0,AND(J3392=1,K3392=1),AND(J3392=1,I3392="SBJ"),AND(J3392=1,I3392=0)),"?IN_FOCUS",IF(J3392&lt;=2,"?ACTIVATED",IF(J3392&lt;&gt;"","?FAMILIAR",IF(F3392="NEW",IF(ISNA(VLOOKUP(E3392,#REF!,1,FALSE())),"?TYPE_IDENTIFIABLE","?REFERENTIAL"),"_")))))</f>
        <v/>
      </c>
      <c r="H3392" s="27" t="str">
        <f aca="false">IF(J3392&lt;&gt;1,"",IF(I3392="SBJ","CB","?"))</f>
        <v/>
      </c>
      <c r="I3392" s="24" t="str">
        <f aca="false">IF(OR(E3392="",E3392="!!!",F3392="NEW"),"",INDEX(B9:B$3384,-1+SUMPRODUCT(MAX(ROW(E9:E$3384)*(E3392=E9:E$3384)))))</f>
        <v/>
      </c>
      <c r="J3392" s="24" t="str">
        <f aca="true">IF(OR(E3392="",E3392="!!!",F3392="NEW"),"",COUNTBLANK(OFFSET(A$1,,,SUMPRODUCT(MAX(ROW(E$2:E3392)*(E3392=E$2:E3392)))))-COUNTBLANK(OFFSET(A$1,,,SUMPRODUCT(MAX(ROW(E$1:E3391)*(E2=E$1:E3391))))))</f>
        <v/>
      </c>
      <c r="K3392" s="24" t="str">
        <f aca="false">IF(OR(E3392="",E3392="!!!",F3392="NEW"),"",INDEX(J$1:J3391,SUMPRODUCT(MAX(ROW(E$1:E3391)*(E3392=E$1:E3391)))))</f>
        <v/>
      </c>
      <c r="L3392" s="31"/>
    </row>
    <row r="3393" customFormat="false" ht="15" hidden="false" customHeight="false" outlineLevel="0" collapsed="false">
      <c r="A3393" s="20" t="s">
        <v>1805</v>
      </c>
      <c r="E3393" s="23" t="str">
        <f aca="false">IF(D3393="?OLD","!!!","")</f>
        <v/>
      </c>
      <c r="F3393" s="25" t="str">
        <f aca="false">IF(OR(E3393="",E3393="!!!"),"",IF(NOT(ISNA(VLOOKUP(E3393,E$1:E3392,1,FALSE()))),"OLD",IF(AND(E3393&lt;&gt;"",E3393&lt;&gt;"!!!"),"NEW","")))</f>
        <v/>
      </c>
      <c r="G3393" s="26" t="str">
        <f aca="false">IF(OR(E3393="",E3393="!!!"),"",IF(OR(J3393=0,AND(J3393=1,K3393=1),AND(J3393=1,I3393="SBJ"),AND(J3393=1,I3393=0)),"?IN_FOCUS",IF(J3393&lt;=2,"?ACTIVATED",IF(J3393&lt;&gt;"","?FAMILIAR",IF(F3393="NEW",IF(ISNA(VLOOKUP(E3393,#REF!,1,FALSE())),"?TYPE_IDENTIFIABLE","?REFERENTIAL"),"_")))))</f>
        <v/>
      </c>
      <c r="H3393" s="27" t="str">
        <f aca="false">IF(J3393&lt;&gt;1,"",IF(I3393="SBJ","CB","?"))</f>
        <v/>
      </c>
      <c r="I3393" s="24" t="str">
        <f aca="false">IF(OR(E3393="",E3393="!!!",F3393="NEW"),"",INDEX(B10:B$3384,-1+SUMPRODUCT(MAX(ROW(E10:E$3384)*(E3393=E10:E$3384)))))</f>
        <v/>
      </c>
      <c r="J3393" s="24" t="str">
        <f aca="true">IF(OR(E3393="",E3393="!!!",F3393="NEW"),"",COUNTBLANK(OFFSET(A$1,,,SUMPRODUCT(MAX(ROW(E$2:E3393)*(E3393=E$2:E3393)))))-COUNTBLANK(OFFSET(A$1,,,SUMPRODUCT(MAX(ROW(E$1:E3392)*(E2=E$1:E3392))))))</f>
        <v/>
      </c>
      <c r="K3393" s="24" t="str">
        <f aca="false">IF(OR(E3393="",E3393="!!!",F3393="NEW"),"",INDEX(J$1:J3392,SUMPRODUCT(MAX(ROW(E$1:E3392)*(E3393=E$1:E3392)))))</f>
        <v/>
      </c>
      <c r="L3393" s="31"/>
    </row>
    <row r="3394" customFormat="false" ht="15" hidden="false" customHeight="false" outlineLevel="0" collapsed="false">
      <c r="A3394" s="20" t="s">
        <v>1305</v>
      </c>
      <c r="B3394" s="22" t="s">
        <v>1142</v>
      </c>
      <c r="C3394" s="22" t="s">
        <v>1068</v>
      </c>
      <c r="D3394" s="22" t="s">
        <v>1060</v>
      </c>
      <c r="E3394" s="23" t="str">
        <f aca="false">IF(D3394="?OLD","!!!","")</f>
        <v>!!!</v>
      </c>
      <c r="F3394" s="25" t="str">
        <f aca="false">IF(OR(E3394="",E3394="!!!"),"",IF(NOT(ISNA(VLOOKUP(E3394,E$1:E3393,1,FALSE()))),"OLD",IF(AND(E3394&lt;&gt;"",E3394&lt;&gt;"!!!"),"NEW","")))</f>
        <v/>
      </c>
      <c r="G3394" s="26" t="str">
        <f aca="false">IF(OR(E3394="",E3394="!!!"),"",IF(OR(J3394=0,AND(J3394=1,K3394=1),AND(J3394=1,I3394="SBJ"),AND(J3394=1,I3394=0)),"?IN_FOCUS",IF(J3394&lt;=2,"?ACTIVATED",IF(J3394&lt;&gt;"","?FAMILIAR",IF(F3394="NEW",IF(ISNA(VLOOKUP(E3394,#REF!,1,FALSE())),"?TYPE_IDENTIFIABLE","?REFERENTIAL"),"_")))))</f>
        <v/>
      </c>
      <c r="H3394" s="27" t="str">
        <f aca="false">IF(J3394&lt;&gt;1,"",IF(I3394="SBJ","CB","?"))</f>
        <v/>
      </c>
      <c r="I3394" s="24" t="str">
        <f aca="false">IF(OR(E3394="",E3394="!!!",F3394="NEW"),"",INDEX(B11:B$3384,-1+SUMPRODUCT(MAX(ROW(E11:E$3384)*(E3394=E11:E$3384)))))</f>
        <v/>
      </c>
      <c r="J3394" s="24" t="str">
        <f aca="true">IF(OR(E3394="",E3394="!!!",F3394="NEW"),"",COUNTBLANK(OFFSET(A$1,,,SUMPRODUCT(MAX(ROW(E$2:E3394)*(E3394=E$2:E3394)))))-COUNTBLANK(OFFSET(A$1,,,SUMPRODUCT(MAX(ROW(E$1:E3393)*(E2=E$1:E3393))))))</f>
        <v/>
      </c>
      <c r="K3394" s="24" t="str">
        <f aca="false">IF(OR(E3394="",E3394="!!!",F3394="NEW"),"",INDEX(J$1:J3393,SUMPRODUCT(MAX(ROW(E$1:E3393)*(E3394=E$1:E3393)))))</f>
        <v/>
      </c>
      <c r="L3394" s="31"/>
    </row>
    <row r="3395" customFormat="false" ht="15" hidden="false" customHeight="false" outlineLevel="0" collapsed="false">
      <c r="A3395" s="20" t="s">
        <v>923</v>
      </c>
      <c r="E3395" s="23" t="str">
        <f aca="false">IF(D3395="?OLD","!!!","")</f>
        <v/>
      </c>
      <c r="F3395" s="25" t="str">
        <f aca="false">IF(OR(E3395="",E3395="!!!"),"",IF(NOT(ISNA(VLOOKUP(E3395,E$1:E3394,1,FALSE()))),"OLD",IF(AND(E3395&lt;&gt;"",E3395&lt;&gt;"!!!"),"NEW","")))</f>
        <v/>
      </c>
      <c r="G3395" s="26" t="str">
        <f aca="false">IF(OR(E3395="",E3395="!!!"),"",IF(OR(J3395=0,AND(J3395=1,K3395=1),AND(J3395=1,I3395="SBJ"),AND(J3395=1,I3395=0)),"?IN_FOCUS",IF(J3395&lt;=2,"?ACTIVATED",IF(J3395&lt;&gt;"","?FAMILIAR",IF(F3395="NEW",IF(ISNA(VLOOKUP(E3395,#REF!,1,FALSE())),"?TYPE_IDENTIFIABLE","?REFERENTIAL"),"_")))))</f>
        <v/>
      </c>
      <c r="H3395" s="27" t="str">
        <f aca="false">IF(J3395&lt;&gt;1,"",IF(I3395="SBJ","CB","?"))</f>
        <v/>
      </c>
      <c r="I3395" s="24" t="str">
        <f aca="false">IF(OR(E3395="",E3395="!!!",F3395="NEW"),"",INDEX(B12:B$3384,-1+SUMPRODUCT(MAX(ROW(E12:E$3384)*(E3395=E12:E$3384)))))</f>
        <v/>
      </c>
      <c r="J3395" s="24" t="str">
        <f aca="true">IF(OR(E3395="",E3395="!!!",F3395="NEW"),"",COUNTBLANK(OFFSET(A$1,,,SUMPRODUCT(MAX(ROW(E$2:E3395)*(E3395=E$2:E3395)))))-COUNTBLANK(OFFSET(A$1,,,SUMPRODUCT(MAX(ROW(E$1:E3394)*(E2=E$1:E3394))))))</f>
        <v/>
      </c>
      <c r="K3395" s="24" t="str">
        <f aca="false">IF(OR(E3395="",E3395="!!!",F3395="NEW"),"",INDEX(J$1:J3394,SUMPRODUCT(MAX(ROW(E$1:E3394)*(E3395=E$1:E3394)))))</f>
        <v/>
      </c>
      <c r="L3395" s="31"/>
    </row>
    <row r="3396" customFormat="false" ht="15" hidden="false" customHeight="false" outlineLevel="0" collapsed="false">
      <c r="A3396" s="20"/>
    </row>
    <row r="3397" customFormat="false" ht="15" hidden="false" customHeight="false" outlineLevel="0" collapsed="false">
      <c r="A3397" s="20" t="s">
        <v>1301</v>
      </c>
      <c r="E3397" s="23" t="str">
        <f aca="false">IF(D3397="?OLD","!!!","")</f>
        <v/>
      </c>
      <c r="F3397" s="25" t="str">
        <f aca="false">IF(OR(E3397="",E3397="!!!"),"",IF(NOT(ISNA(VLOOKUP(E3397,E$1:E3396,1,FALSE()))),"OLD",IF(AND(E3397&lt;&gt;"",E3397&lt;&gt;"!!!"),"NEW","")))</f>
        <v/>
      </c>
      <c r="G3397" s="26" t="str">
        <f aca="false">IF(OR(E3397="",E3397="!!!"),"",IF(OR(J3397=0,AND(J3397=1,K3397=1),AND(J3397=1,I3397="SBJ"),AND(J3397=1,I3397=0)),"?IN_FOCUS",IF(J3397&lt;=2,"?ACTIVATED",IF(J3397&lt;&gt;"","?FAMILIAR",IF(F3397="NEW",IF(ISNA(VLOOKUP(E3397,#REF!,1,FALSE())),"?TYPE_IDENTIFIABLE","?REFERENTIAL"),"_")))))</f>
        <v/>
      </c>
      <c r="H3397" s="27" t="str">
        <f aca="false">IF(J3397&lt;&gt;1,"",IF(I3397="SBJ","CB","?"))</f>
        <v/>
      </c>
      <c r="I3397" s="24" t="str">
        <f aca="false">IF(OR(E3397="",E3397="!!!",F3397="NEW"),"",INDEX(B2:B$3396,-1+SUMPRODUCT(MAX(ROW(E2:E$3396)*(E3397=E2:E$3396)))))</f>
        <v/>
      </c>
      <c r="J3397" s="24" t="str">
        <f aca="true">IF(OR(E3397="",E3397="!!!",F3397="NEW"),"",COUNTBLANK(OFFSET(A$1,,,SUMPRODUCT(MAX(ROW(E$2:E3397)*(E3397=E$2:E3397)))))-COUNTBLANK(OFFSET(A$1,,,SUMPRODUCT(MAX(ROW(E$1:E3396)*(E2=E$1:E3396))))))</f>
        <v/>
      </c>
      <c r="K3397" s="24" t="str">
        <f aca="false">IF(OR(E3397="",E3397="!!!",F3397="NEW"),"",INDEX(J$1:J3396,SUMPRODUCT(MAX(ROW(E$1:E3396)*(E3397=E$1:E3396)))))</f>
        <v/>
      </c>
      <c r="L3397" s="31"/>
    </row>
    <row r="3398" customFormat="false" ht="15" hidden="false" customHeight="false" outlineLevel="0" collapsed="false">
      <c r="A3398" s="20" t="s">
        <v>2152</v>
      </c>
    </row>
    <row r="3399" customFormat="false" ht="15" hidden="false" customHeight="false" outlineLevel="0" collapsed="false">
      <c r="A3399" s="20" t="s">
        <v>607</v>
      </c>
      <c r="E3399" s="23" t="str">
        <f aca="false">IF(D3399="?OLD","!!!","")</f>
        <v/>
      </c>
      <c r="F3399" s="25" t="str">
        <f aca="false">IF(OR(E3399="",E3399="!!!"),"",IF(NOT(ISNA(VLOOKUP(E3399,E$1:E3398,1,FALSE()))),"OLD",IF(AND(E3399&lt;&gt;"",E3399&lt;&gt;"!!!"),"NEW","")))</f>
        <v/>
      </c>
      <c r="G3399" s="26" t="str">
        <f aca="false">IF(OR(E3399="",E3399="!!!"),"",IF(OR(J3399=0,AND(J3399=1,K3399=1),AND(J3399=1,I3399="SBJ"),AND(J3399=1,I3399=0)),"?IN_FOCUS",IF(J3399&lt;=2,"?ACTIVATED",IF(J3399&lt;&gt;"","?FAMILIAR",IF(F3399="NEW",IF(ISNA(VLOOKUP(E3399,#REF!,1,FALSE())),"?TYPE_IDENTIFIABLE","?REFERENTIAL"),"_")))))</f>
        <v/>
      </c>
      <c r="H3399" s="27" t="str">
        <f aca="false">IF(J3399&lt;&gt;1,"",IF(I3399="SBJ","CB","?"))</f>
        <v/>
      </c>
      <c r="I3399" s="24" t="str">
        <f aca="false">IF(OR(E3399="",E3399="!!!",F3399="NEW"),"",INDEX(B2:B$3398,-1+SUMPRODUCT(MAX(ROW(E2:E$3398)*(E3399=E2:E$3398)))))</f>
        <v/>
      </c>
      <c r="J3399" s="24" t="str">
        <f aca="true">IF(OR(E3399="",E3399="!!!",F3399="NEW"),"",COUNTBLANK(OFFSET(A$1,,,SUMPRODUCT(MAX(ROW(E$2:E3399)*(E3399=E$2:E3399)))))-COUNTBLANK(OFFSET(A$1,,,SUMPRODUCT(MAX(ROW(E$1:E3398)*(E2=E$1:E3398))))))</f>
        <v/>
      </c>
      <c r="K3399" s="24" t="str">
        <f aca="false">IF(OR(E3399="",E3399="!!!",F3399="NEW"),"",INDEX(J$1:J3398,SUMPRODUCT(MAX(ROW(E$1:E3398)*(E3399=E$1:E3398)))))</f>
        <v/>
      </c>
      <c r="L3399" s="31"/>
    </row>
    <row r="3400" customFormat="false" ht="15" hidden="false" customHeight="false" outlineLevel="0" collapsed="false">
      <c r="A3400" s="20" t="s">
        <v>1162</v>
      </c>
      <c r="B3400" s="22" t="s">
        <v>1058</v>
      </c>
      <c r="C3400" s="22" t="s">
        <v>1082</v>
      </c>
      <c r="D3400" s="22" t="s">
        <v>1060</v>
      </c>
      <c r="E3400" s="23" t="str">
        <f aca="false">IF(D3400="?OLD","!!!","")</f>
        <v>!!!</v>
      </c>
      <c r="F3400" s="25" t="str">
        <f aca="false">IF(OR(E3400="",E3400="!!!"),"",IF(NOT(ISNA(VLOOKUP(E3400,E$1:E3399,1,FALSE()))),"OLD",IF(AND(E3400&lt;&gt;"",E3400&lt;&gt;"!!!"),"NEW","")))</f>
        <v/>
      </c>
      <c r="G3400" s="26" t="str">
        <f aca="false">IF(OR(E3400="",E3400="!!!"),"",IF(OR(J3400=0,AND(J3400=1,K3400=1),AND(J3400=1,I3400="SBJ"),AND(J3400=1,I3400=0)),"?IN_FOCUS",IF(J3400&lt;=2,"?ACTIVATED",IF(J3400&lt;&gt;"","?FAMILIAR",IF(F3400="NEW",IF(ISNA(VLOOKUP(E3400,#REF!,1,FALSE())),"?TYPE_IDENTIFIABLE","?REFERENTIAL"),"_")))))</f>
        <v/>
      </c>
      <c r="H3400" s="27" t="str">
        <f aca="false">IF(J3400&lt;&gt;1,"",IF(I3400="SBJ","CB","?"))</f>
        <v/>
      </c>
      <c r="I3400" s="24" t="str">
        <f aca="false">IF(OR(E3400="",E3400="!!!",F3400="NEW"),"",INDEX(B3:B$3398,-1+SUMPRODUCT(MAX(ROW(E3:E$3398)*(E3400=E3:E$3398)))))</f>
        <v/>
      </c>
      <c r="J3400" s="24" t="str">
        <f aca="true">IF(OR(E3400="",E3400="!!!",F3400="NEW"),"",COUNTBLANK(OFFSET(A$1,,,SUMPRODUCT(MAX(ROW(E$2:E3400)*(E3400=E$2:E3400)))))-COUNTBLANK(OFFSET(A$1,,,SUMPRODUCT(MAX(ROW(E$1:E3399)*(E2=E$1:E3399))))))</f>
        <v/>
      </c>
      <c r="K3400" s="24" t="str">
        <f aca="false">IF(OR(E3400="",E3400="!!!",F3400="NEW"),"",INDEX(J$1:J3399,SUMPRODUCT(MAX(ROW(E$1:E3399)*(E3400=E$1:E3399)))))</f>
        <v/>
      </c>
      <c r="L3400" s="31"/>
    </row>
    <row r="3401" customFormat="false" ht="15" hidden="false" customHeight="false" outlineLevel="0" collapsed="false">
      <c r="A3401" s="20" t="s">
        <v>1583</v>
      </c>
      <c r="E3401" s="23" t="str">
        <f aca="false">IF(D3401="?OLD","!!!","")</f>
        <v/>
      </c>
      <c r="F3401" s="25" t="str">
        <f aca="false">IF(OR(E3401="",E3401="!!!"),"",IF(NOT(ISNA(VLOOKUP(E3401,E$1:E3400,1,FALSE()))),"OLD",IF(AND(E3401&lt;&gt;"",E3401&lt;&gt;"!!!"),"NEW","")))</f>
        <v/>
      </c>
      <c r="G3401" s="26" t="str">
        <f aca="false">IF(OR(E3401="",E3401="!!!"),"",IF(OR(J3401=0,AND(J3401=1,K3401=1),AND(J3401=1,I3401="SBJ"),AND(J3401=1,I3401=0)),"?IN_FOCUS",IF(J3401&lt;=2,"?ACTIVATED",IF(J3401&lt;&gt;"","?FAMILIAR",IF(F3401="NEW",IF(ISNA(VLOOKUP(E3401,#REF!,1,FALSE())),"?TYPE_IDENTIFIABLE","?REFERENTIAL"),"_")))))</f>
        <v/>
      </c>
      <c r="H3401" s="27" t="str">
        <f aca="false">IF(J3401&lt;&gt;1,"",IF(I3401="SBJ","CB","?"))</f>
        <v/>
      </c>
      <c r="I3401" s="24" t="str">
        <f aca="false">IF(OR(E3401="",E3401="!!!",F3401="NEW"),"",INDEX(B4:B$3398,-1+SUMPRODUCT(MAX(ROW(E4:E$3398)*(E3401=E4:E$3398)))))</f>
        <v/>
      </c>
      <c r="J3401" s="24" t="str">
        <f aca="true">IF(OR(E3401="",E3401="!!!",F3401="NEW"),"",COUNTBLANK(OFFSET(A$1,,,SUMPRODUCT(MAX(ROW(E$2:E3401)*(E3401=E$2:E3401)))))-COUNTBLANK(OFFSET(A$1,,,SUMPRODUCT(MAX(ROW(E$1:E3400)*(E2=E$1:E3400))))))</f>
        <v/>
      </c>
      <c r="K3401" s="24" t="str">
        <f aca="false">IF(OR(E3401="",E3401="!!!",F3401="NEW"),"",INDEX(J$1:J3400,SUMPRODUCT(MAX(ROW(E$1:E3400)*(E3401=E$1:E3400)))))</f>
        <v/>
      </c>
      <c r="L3401" s="31"/>
    </row>
    <row r="3402" customFormat="false" ht="15" hidden="false" customHeight="false" outlineLevel="0" collapsed="false">
      <c r="A3402" s="20" t="s">
        <v>209</v>
      </c>
      <c r="E3402" s="23" t="str">
        <f aca="false">IF(D3402="?OLD","!!!","")</f>
        <v/>
      </c>
      <c r="F3402" s="25" t="str">
        <f aca="false">IF(OR(E3402="",E3402="!!!"),"",IF(NOT(ISNA(VLOOKUP(E3402,E$1:E3401,1,FALSE()))),"OLD",IF(AND(E3402&lt;&gt;"",E3402&lt;&gt;"!!!"),"NEW","")))</f>
        <v/>
      </c>
      <c r="G3402" s="26" t="str">
        <f aca="false">IF(OR(E3402="",E3402="!!!"),"",IF(OR(J3402=0,AND(J3402=1,K3402=1),AND(J3402=1,I3402="SBJ"),AND(J3402=1,I3402=0)),"?IN_FOCUS",IF(J3402&lt;=2,"?ACTIVATED",IF(J3402&lt;&gt;"","?FAMILIAR",IF(F3402="NEW",IF(ISNA(VLOOKUP(E3402,#REF!,1,FALSE())),"?TYPE_IDENTIFIABLE","?REFERENTIAL"),"_")))))</f>
        <v/>
      </c>
      <c r="H3402" s="27" t="str">
        <f aca="false">IF(J3402&lt;&gt;1,"",IF(I3402="SBJ","CB","?"))</f>
        <v/>
      </c>
      <c r="I3402" s="24" t="str">
        <f aca="false">IF(OR(E3402="",E3402="!!!",F3402="NEW"),"",INDEX(B5:B$3398,-1+SUMPRODUCT(MAX(ROW(E5:E$3398)*(E3402=E5:E$3398)))))</f>
        <v/>
      </c>
      <c r="J3402" s="24" t="str">
        <f aca="true">IF(OR(E3402="",E3402="!!!",F3402="NEW"),"",COUNTBLANK(OFFSET(A$1,,,SUMPRODUCT(MAX(ROW(E$2:E3402)*(E3402=E$2:E3402)))))-COUNTBLANK(OFFSET(A$1,,,SUMPRODUCT(MAX(ROW(E$1:E3401)*(E2=E$1:E3401))))))</f>
        <v/>
      </c>
      <c r="K3402" s="24" t="str">
        <f aca="false">IF(OR(E3402="",E3402="!!!",F3402="NEW"),"",INDEX(J$1:J3401,SUMPRODUCT(MAX(ROW(E$1:E3401)*(E3402=E$1:E3401)))))</f>
        <v/>
      </c>
      <c r="L3402" s="31"/>
    </row>
    <row r="3403" customFormat="false" ht="15" hidden="false" customHeight="false" outlineLevel="0" collapsed="false">
      <c r="A3403" s="20" t="s">
        <v>1085</v>
      </c>
      <c r="E3403" s="23" t="str">
        <f aca="false">IF(D3403="?OLD","!!!","")</f>
        <v/>
      </c>
      <c r="F3403" s="25" t="str">
        <f aca="false">IF(OR(E3403="",E3403="!!!"),"",IF(NOT(ISNA(VLOOKUP(E3403,E$1:E3402,1,FALSE()))),"OLD",IF(AND(E3403&lt;&gt;"",E3403&lt;&gt;"!!!"),"NEW","")))</f>
        <v/>
      </c>
      <c r="G3403" s="26" t="str">
        <f aca="false">IF(OR(E3403="",E3403="!!!"),"",IF(OR(J3403=0,AND(J3403=1,K3403=1),AND(J3403=1,I3403="SBJ"),AND(J3403=1,I3403=0)),"?IN_FOCUS",IF(J3403&lt;=2,"?ACTIVATED",IF(J3403&lt;&gt;"","?FAMILIAR",IF(F3403="NEW",IF(ISNA(VLOOKUP(E3403,#REF!,1,FALSE())),"?TYPE_IDENTIFIABLE","?REFERENTIAL"),"_")))))</f>
        <v/>
      </c>
      <c r="H3403" s="27" t="str">
        <f aca="false">IF(J3403&lt;&gt;1,"",IF(I3403="SBJ","CB","?"))</f>
        <v/>
      </c>
      <c r="I3403" s="24" t="str">
        <f aca="false">IF(OR(E3403="",E3403="!!!",F3403="NEW"),"",INDEX(B6:B$3398,-1+SUMPRODUCT(MAX(ROW(E6:E$3398)*(E3403=E6:E$3398)))))</f>
        <v/>
      </c>
      <c r="J3403" s="24" t="str">
        <f aca="true">IF(OR(E3403="",E3403="!!!",F3403="NEW"),"",COUNTBLANK(OFFSET(A$1,,,SUMPRODUCT(MAX(ROW(E$2:E3403)*(E3403=E$2:E3403)))))-COUNTBLANK(OFFSET(A$1,,,SUMPRODUCT(MAX(ROW(E$1:E3402)*(E2=E$1:E3402))))))</f>
        <v/>
      </c>
      <c r="K3403" s="24" t="str">
        <f aca="false">IF(OR(E3403="",E3403="!!!",F3403="NEW"),"",INDEX(J$1:J3402,SUMPRODUCT(MAX(ROW(E$1:E3402)*(E3403=E$1:E3402)))))</f>
        <v/>
      </c>
      <c r="L3403" s="31"/>
    </row>
    <row r="3404" customFormat="false" ht="15" hidden="false" customHeight="false" outlineLevel="0" collapsed="false">
      <c r="A3404" s="20" t="s">
        <v>2153</v>
      </c>
      <c r="B3404" s="22" t="s">
        <v>1081</v>
      </c>
      <c r="C3404" s="22" t="s">
        <v>1087</v>
      </c>
      <c r="E3404" s="23" t="str">
        <f aca="false">IF(D3404="?OLD","!!!","")</f>
        <v/>
      </c>
      <c r="F3404" s="25" t="str">
        <f aca="false">IF(OR(E3404="",E3404="!!!"),"",IF(NOT(ISNA(VLOOKUP(E3404,E$1:E3403,1,FALSE()))),"OLD",IF(AND(E3404&lt;&gt;"",E3404&lt;&gt;"!!!"),"NEW","")))</f>
        <v/>
      </c>
      <c r="G3404" s="26" t="str">
        <f aca="false">IF(OR(E3404="",E3404="!!!"),"",IF(OR(J3404=0,AND(J3404=1,K3404=1),AND(J3404=1,I3404="SBJ"),AND(J3404=1,I3404=0)),"?IN_FOCUS",IF(J3404&lt;=2,"?ACTIVATED",IF(J3404&lt;&gt;"","?FAMILIAR",IF(F3404="NEW",IF(ISNA(VLOOKUP(E3404,#REF!,1,FALSE())),"?TYPE_IDENTIFIABLE","?REFERENTIAL"),"_")))))</f>
        <v/>
      </c>
      <c r="H3404" s="27" t="str">
        <f aca="false">IF(J3404&lt;&gt;1,"",IF(I3404="SBJ","CB","?"))</f>
        <v/>
      </c>
      <c r="I3404" s="24" t="str">
        <f aca="false">IF(OR(E3404="",E3404="!!!",F3404="NEW"),"",INDEX(B7:B$3398,-1+SUMPRODUCT(MAX(ROW(E7:E$3398)*(E3404=E7:E$3398)))))</f>
        <v/>
      </c>
      <c r="J3404" s="24" t="str">
        <f aca="true">IF(OR(E3404="",E3404="!!!",F3404="NEW"),"",COUNTBLANK(OFFSET(A$1,,,SUMPRODUCT(MAX(ROW(E$2:E3404)*(E3404=E$2:E3404)))))-COUNTBLANK(OFFSET(A$1,,,SUMPRODUCT(MAX(ROW(E$1:E3403)*(E2=E$1:E3403))))))</f>
        <v/>
      </c>
      <c r="K3404" s="24" t="str">
        <f aca="false">IF(OR(E3404="",E3404="!!!",F3404="NEW"),"",INDEX(J$1:J3403,SUMPRODUCT(MAX(ROW(E$1:E3403)*(E3404=E$1:E3403)))))</f>
        <v/>
      </c>
      <c r="L3404" s="31"/>
    </row>
    <row r="3405" customFormat="false" ht="15" hidden="false" customHeight="false" outlineLevel="0" collapsed="false">
      <c r="A3405" s="20" t="s">
        <v>923</v>
      </c>
      <c r="E3405" s="23" t="str">
        <f aca="false">IF(D3405="?OLD","!!!","")</f>
        <v/>
      </c>
      <c r="F3405" s="25" t="str">
        <f aca="false">IF(OR(E3405="",E3405="!!!"),"",IF(NOT(ISNA(VLOOKUP(E3405,E$1:E3404,1,FALSE()))),"OLD",IF(AND(E3405&lt;&gt;"",E3405&lt;&gt;"!!!"),"NEW","")))</f>
        <v/>
      </c>
      <c r="G3405" s="26" t="str">
        <f aca="false">IF(OR(E3405="",E3405="!!!"),"",IF(OR(J3405=0,AND(J3405=1,K3405=1),AND(J3405=1,I3405="SBJ"),AND(J3405=1,I3405=0)),"?IN_FOCUS",IF(J3405&lt;=2,"?ACTIVATED",IF(J3405&lt;&gt;"","?FAMILIAR",IF(F3405="NEW",IF(ISNA(VLOOKUP(E3405,#REF!,1,FALSE())),"?TYPE_IDENTIFIABLE","?REFERENTIAL"),"_")))))</f>
        <v/>
      </c>
      <c r="H3405" s="27" t="str">
        <f aca="false">IF(J3405&lt;&gt;1,"",IF(I3405="SBJ","CB","?"))</f>
        <v/>
      </c>
      <c r="I3405" s="24" t="str">
        <f aca="false">IF(OR(E3405="",E3405="!!!",F3405="NEW"),"",INDEX(B8:B$3398,-1+SUMPRODUCT(MAX(ROW(E8:E$3398)*(E3405=E8:E$3398)))))</f>
        <v/>
      </c>
      <c r="J3405" s="24" t="str">
        <f aca="true">IF(OR(E3405="",E3405="!!!",F3405="NEW"),"",COUNTBLANK(OFFSET(A$1,,,SUMPRODUCT(MAX(ROW(E$2:E3405)*(E3405=E$2:E3405)))))-COUNTBLANK(OFFSET(A$1,,,SUMPRODUCT(MAX(ROW(E$1:E3404)*(E2=E$1:E3404))))))</f>
        <v/>
      </c>
      <c r="K3405" s="24" t="str">
        <f aca="false">IF(OR(E3405="",E3405="!!!",F3405="NEW"),"",INDEX(J$1:J3404,SUMPRODUCT(MAX(ROW(E$1:E3404)*(E3405=E$1:E3404)))))</f>
        <v/>
      </c>
      <c r="L3405" s="31"/>
    </row>
    <row r="3406" customFormat="false" ht="15" hidden="false" customHeight="false" outlineLevel="0" collapsed="false">
      <c r="A3406" s="20"/>
    </row>
    <row r="3407" customFormat="false" ht="15" hidden="false" customHeight="false" outlineLevel="0" collapsed="false">
      <c r="A3407" s="20" t="s">
        <v>1301</v>
      </c>
      <c r="E3407" s="23" t="str">
        <f aca="false">IF(D3407="?OLD","!!!","")</f>
        <v/>
      </c>
      <c r="F3407" s="25" t="str">
        <f aca="false">IF(OR(E3407="",E3407="!!!"),"",IF(NOT(ISNA(VLOOKUP(E3407,E$1:E3406,1,FALSE()))),"OLD",IF(AND(E3407&lt;&gt;"",E3407&lt;&gt;"!!!"),"NEW","")))</f>
        <v/>
      </c>
      <c r="G3407" s="26" t="str">
        <f aca="false">IF(OR(E3407="",E3407="!!!"),"",IF(OR(J3407=0,AND(J3407=1,K3407=1),AND(J3407=1,I3407="SBJ"),AND(J3407=1,I3407=0)),"?IN_FOCUS",IF(J3407&lt;=2,"?ACTIVATED",IF(J3407&lt;&gt;"","?FAMILIAR",IF(F3407="NEW",IF(ISNA(VLOOKUP(E3407,#REF!,1,FALSE())),"?TYPE_IDENTIFIABLE","?REFERENTIAL"),"_")))))</f>
        <v/>
      </c>
      <c r="H3407" s="27" t="str">
        <f aca="false">IF(J3407&lt;&gt;1,"",IF(I3407="SBJ","CB","?"))</f>
        <v/>
      </c>
      <c r="I3407" s="24" t="str">
        <f aca="false">IF(OR(E3407="",E3407="!!!",F3407="NEW"),"",INDEX(B2:B$3406,-1+SUMPRODUCT(MAX(ROW(E2:E$3406)*(E3407=E2:E$3406)))))</f>
        <v/>
      </c>
      <c r="J3407" s="24" t="str">
        <f aca="true">IF(OR(E3407="",E3407="!!!",F3407="NEW"),"",COUNTBLANK(OFFSET(A$1,,,SUMPRODUCT(MAX(ROW(E$2:E3407)*(E3407=E$2:E3407)))))-COUNTBLANK(OFFSET(A$1,,,SUMPRODUCT(MAX(ROW(E$1:E3406)*(E2=E$1:E3406))))))</f>
        <v/>
      </c>
      <c r="K3407" s="24" t="str">
        <f aca="false">IF(OR(E3407="",E3407="!!!",F3407="NEW"),"",INDEX(J$1:J3406,SUMPRODUCT(MAX(ROW(E$1:E3406)*(E3407=E$1:E3406)))))</f>
        <v/>
      </c>
      <c r="L3407" s="31"/>
    </row>
    <row r="3408" customFormat="false" ht="15" hidden="false" customHeight="false" outlineLevel="0" collapsed="false">
      <c r="A3408" s="20" t="s">
        <v>2154</v>
      </c>
    </row>
    <row r="3409" customFormat="false" ht="15" hidden="false" customHeight="false" outlineLevel="0" collapsed="false">
      <c r="A3409" s="20" t="s">
        <v>2155</v>
      </c>
      <c r="E3409" s="23" t="str">
        <f aca="false">IF(D3409="?OLD","!!!","")</f>
        <v/>
      </c>
      <c r="F3409" s="25" t="str">
        <f aca="false">IF(OR(E3409="",E3409="!!!"),"",IF(NOT(ISNA(VLOOKUP(E3409,E$1:E3408,1,FALSE()))),"OLD",IF(AND(E3409&lt;&gt;"",E3409&lt;&gt;"!!!"),"NEW","")))</f>
        <v/>
      </c>
      <c r="G3409" s="26" t="str">
        <f aca="false">IF(OR(E3409="",E3409="!!!"),"",IF(OR(J3409=0,AND(J3409=1,K3409=1),AND(J3409=1,I3409="SBJ"),AND(J3409=1,I3409=0)),"?IN_FOCUS",IF(J3409&lt;=2,"?ACTIVATED",IF(J3409&lt;&gt;"","?FAMILIAR",IF(F3409="NEW",IF(ISNA(VLOOKUP(E3409,#REF!,1,FALSE())),"?TYPE_IDENTIFIABLE","?REFERENTIAL"),"_")))))</f>
        <v/>
      </c>
      <c r="H3409" s="27" t="str">
        <f aca="false">IF(J3409&lt;&gt;1,"",IF(I3409="SBJ","CB","?"))</f>
        <v/>
      </c>
      <c r="I3409" s="24" t="str">
        <f aca="false">IF(OR(E3409="",E3409="!!!",F3409="NEW"),"",INDEX(B2:B$3408,-1+SUMPRODUCT(MAX(ROW(E2:E$3408)*(E3409=E2:E$3408)))))</f>
        <v/>
      </c>
      <c r="J3409" s="24" t="str">
        <f aca="true">IF(OR(E3409="",E3409="!!!",F3409="NEW"),"",COUNTBLANK(OFFSET(A$1,,,SUMPRODUCT(MAX(ROW(E$2:E3409)*(E3409=E$2:E3409)))))-COUNTBLANK(OFFSET(A$1,,,SUMPRODUCT(MAX(ROW(E$1:E3408)*(E2=E$1:E3408))))))</f>
        <v/>
      </c>
      <c r="K3409" s="24" t="str">
        <f aca="false">IF(OR(E3409="",E3409="!!!",F3409="NEW"),"",INDEX(J$1:J3408,SUMPRODUCT(MAX(ROW(E$1:E3408)*(E3409=E$1:E3408)))))</f>
        <v/>
      </c>
      <c r="L3409" s="31"/>
    </row>
    <row r="3410" customFormat="false" ht="15" hidden="false" customHeight="false" outlineLevel="0" collapsed="false">
      <c r="A3410" s="20" t="s">
        <v>1339</v>
      </c>
      <c r="E3410" s="23" t="str">
        <f aca="false">IF(D3410="?OLD","!!!","")</f>
        <v/>
      </c>
      <c r="F3410" s="25" t="str">
        <f aca="false">IF(OR(E3410="",E3410="!!!"),"",IF(NOT(ISNA(VLOOKUP(E3410,E$1:E3409,1,FALSE()))),"OLD",IF(AND(E3410&lt;&gt;"",E3410&lt;&gt;"!!!"),"NEW","")))</f>
        <v/>
      </c>
      <c r="G3410" s="26" t="str">
        <f aca="false">IF(OR(E3410="",E3410="!!!"),"",IF(OR(J3410=0,AND(J3410=1,K3410=1),AND(J3410=1,I3410="SBJ"),AND(J3410=1,I3410=0)),"?IN_FOCUS",IF(J3410&lt;=2,"?ACTIVATED",IF(J3410&lt;&gt;"","?FAMILIAR",IF(F3410="NEW",IF(ISNA(VLOOKUP(E3410,#REF!,1,FALSE())),"?TYPE_IDENTIFIABLE","?REFERENTIAL"),"_")))))</f>
        <v/>
      </c>
      <c r="H3410" s="27" t="str">
        <f aca="false">IF(J3410&lt;&gt;1,"",IF(I3410="SBJ","CB","?"))</f>
        <v/>
      </c>
      <c r="I3410" s="24" t="str">
        <f aca="false">IF(OR(E3410="",E3410="!!!",F3410="NEW"),"",INDEX(B3:B$3408,-1+SUMPRODUCT(MAX(ROW(E3:E$3408)*(E3410=E3:E$3408)))))</f>
        <v/>
      </c>
      <c r="J3410" s="24" t="str">
        <f aca="true">IF(OR(E3410="",E3410="!!!",F3410="NEW"),"",COUNTBLANK(OFFSET(A$1,,,SUMPRODUCT(MAX(ROW(E$2:E3410)*(E3410=E$2:E3410)))))-COUNTBLANK(OFFSET(A$1,,,SUMPRODUCT(MAX(ROW(E$1:E3409)*(E2=E$1:E3409))))))</f>
        <v/>
      </c>
      <c r="K3410" s="24" t="str">
        <f aca="false">IF(OR(E3410="",E3410="!!!",F3410="NEW"),"",INDEX(J$1:J3409,SUMPRODUCT(MAX(ROW(E$1:E3409)*(E3410=E$1:E3409)))))</f>
        <v/>
      </c>
      <c r="L3410" s="31"/>
    </row>
    <row r="3411" customFormat="false" ht="15" hidden="false" customHeight="false" outlineLevel="0" collapsed="false">
      <c r="A3411" s="20" t="s">
        <v>1281</v>
      </c>
      <c r="B3411" s="22" t="s">
        <v>1081</v>
      </c>
      <c r="C3411" s="22" t="s">
        <v>1171</v>
      </c>
      <c r="D3411" s="22" t="s">
        <v>1060</v>
      </c>
      <c r="E3411" s="23" t="str">
        <f aca="false">IF(D3411="?OLD","!!!","")</f>
        <v>!!!</v>
      </c>
      <c r="F3411" s="25" t="str">
        <f aca="false">IF(OR(E3411="",E3411="!!!"),"",IF(NOT(ISNA(VLOOKUP(E3411,E$1:E3410,1,FALSE()))),"OLD",IF(AND(E3411&lt;&gt;"",E3411&lt;&gt;"!!!"),"NEW","")))</f>
        <v/>
      </c>
      <c r="G3411" s="26" t="str">
        <f aca="false">IF(OR(E3411="",E3411="!!!"),"",IF(OR(J3411=0,AND(J3411=1,K3411=1),AND(J3411=1,I3411="SBJ"),AND(J3411=1,I3411=0)),"?IN_FOCUS",IF(J3411&lt;=2,"?ACTIVATED",IF(J3411&lt;&gt;"","?FAMILIAR",IF(F3411="NEW",IF(ISNA(VLOOKUP(E3411,#REF!,1,FALSE())),"?TYPE_IDENTIFIABLE","?REFERENTIAL"),"_")))))</f>
        <v/>
      </c>
      <c r="H3411" s="27" t="str">
        <f aca="false">IF(J3411&lt;&gt;1,"",IF(I3411="SBJ","CB","?"))</f>
        <v/>
      </c>
      <c r="I3411" s="24" t="str">
        <f aca="false">IF(OR(E3411="",E3411="!!!",F3411="NEW"),"",INDEX(B4:B$3408,-1+SUMPRODUCT(MAX(ROW(E4:E$3408)*(E3411=E4:E$3408)))))</f>
        <v/>
      </c>
      <c r="J3411" s="24" t="str">
        <f aca="true">IF(OR(E3411="",E3411="!!!",F3411="NEW"),"",COUNTBLANK(OFFSET(A$1,,,SUMPRODUCT(MAX(ROW(E$2:E3411)*(E3411=E$2:E3411)))))-COUNTBLANK(OFFSET(A$1,,,SUMPRODUCT(MAX(ROW(E$1:E3410)*(E2=E$1:E3410))))))</f>
        <v/>
      </c>
      <c r="K3411" s="24" t="str">
        <f aca="false">IF(OR(E3411="",E3411="!!!",F3411="NEW"),"",INDEX(J$1:J3410,SUMPRODUCT(MAX(ROW(E$1:E3410)*(E3411=E$1:E3410)))))</f>
        <v/>
      </c>
      <c r="L3411" s="31"/>
    </row>
    <row r="3412" customFormat="false" ht="15" hidden="false" customHeight="false" outlineLevel="0" collapsed="false">
      <c r="A3412" s="20" t="s">
        <v>1328</v>
      </c>
      <c r="E3412" s="23" t="str">
        <f aca="false">IF(D3412="?OLD","!!!","")</f>
        <v/>
      </c>
      <c r="F3412" s="25" t="str">
        <f aca="false">IF(OR(E3412="",E3412="!!!"),"",IF(NOT(ISNA(VLOOKUP(E3412,E$1:E3411,1,FALSE()))),"OLD",IF(AND(E3412&lt;&gt;"",E3412&lt;&gt;"!!!"),"NEW","")))</f>
        <v/>
      </c>
      <c r="G3412" s="26" t="str">
        <f aca="false">IF(OR(E3412="",E3412="!!!"),"",IF(OR(J3412=0,AND(J3412=1,K3412=1),AND(J3412=1,I3412="SBJ"),AND(J3412=1,I3412=0)),"?IN_FOCUS",IF(J3412&lt;=2,"?ACTIVATED",IF(J3412&lt;&gt;"","?FAMILIAR",IF(F3412="NEW",IF(ISNA(VLOOKUP(E3412,#REF!,1,FALSE())),"?TYPE_IDENTIFIABLE","?REFERENTIAL"),"_")))))</f>
        <v/>
      </c>
      <c r="H3412" s="27" t="str">
        <f aca="false">IF(J3412&lt;&gt;1,"",IF(I3412="SBJ","CB","?"))</f>
        <v/>
      </c>
      <c r="I3412" s="24" t="str">
        <f aca="false">IF(OR(E3412="",E3412="!!!",F3412="NEW"),"",INDEX(B5:B$3408,-1+SUMPRODUCT(MAX(ROW(E5:E$3408)*(E3412=E5:E$3408)))))</f>
        <v/>
      </c>
      <c r="J3412" s="24" t="str">
        <f aca="true">IF(OR(E3412="",E3412="!!!",F3412="NEW"),"",COUNTBLANK(OFFSET(A$1,,,SUMPRODUCT(MAX(ROW(E$2:E3412)*(E3412=E$2:E3412)))))-COUNTBLANK(OFFSET(A$1,,,SUMPRODUCT(MAX(ROW(E$1:E3411)*(E2=E$1:E3411))))))</f>
        <v/>
      </c>
      <c r="K3412" s="24" t="str">
        <f aca="false">IF(OR(E3412="",E3412="!!!",F3412="NEW"),"",INDEX(J$1:J3411,SUMPRODUCT(MAX(ROW(E$1:E3411)*(E3412=E$1:E3411)))))</f>
        <v/>
      </c>
      <c r="L3412" s="31"/>
    </row>
    <row r="3413" customFormat="false" ht="15" hidden="false" customHeight="false" outlineLevel="0" collapsed="false">
      <c r="A3413" s="20" t="s">
        <v>607</v>
      </c>
      <c r="E3413" s="23" t="str">
        <f aca="false">IF(D3413="?OLD","!!!","")</f>
        <v/>
      </c>
      <c r="F3413" s="25" t="str">
        <f aca="false">IF(OR(E3413="",E3413="!!!"),"",IF(NOT(ISNA(VLOOKUP(E3413,E$1:E3412,1,FALSE()))),"OLD",IF(AND(E3413&lt;&gt;"",E3413&lt;&gt;"!!!"),"NEW","")))</f>
        <v/>
      </c>
      <c r="G3413" s="26" t="str">
        <f aca="false">IF(OR(E3413="",E3413="!!!"),"",IF(OR(J3413=0,AND(J3413=1,K3413=1),AND(J3413=1,I3413="SBJ"),AND(J3413=1,I3413=0)),"?IN_FOCUS",IF(J3413&lt;=2,"?ACTIVATED",IF(J3413&lt;&gt;"","?FAMILIAR",IF(F3413="NEW",IF(ISNA(VLOOKUP(E3413,#REF!,1,FALSE())),"?TYPE_IDENTIFIABLE","?REFERENTIAL"),"_")))))</f>
        <v/>
      </c>
      <c r="H3413" s="27" t="str">
        <f aca="false">IF(J3413&lt;&gt;1,"",IF(I3413="SBJ","CB","?"))</f>
        <v/>
      </c>
      <c r="I3413" s="24" t="str">
        <f aca="false">IF(OR(E3413="",E3413="!!!",F3413="NEW"),"",INDEX(B6:B$3408,-1+SUMPRODUCT(MAX(ROW(E6:E$3408)*(E3413=E6:E$3408)))))</f>
        <v/>
      </c>
      <c r="J3413" s="24" t="str">
        <f aca="true">IF(OR(E3413="",E3413="!!!",F3413="NEW"),"",COUNTBLANK(OFFSET(A$1,,,SUMPRODUCT(MAX(ROW(E$2:E3413)*(E3413=E$2:E3413)))))-COUNTBLANK(OFFSET(A$1,,,SUMPRODUCT(MAX(ROW(E$1:E3412)*(E2=E$1:E3412))))))</f>
        <v/>
      </c>
      <c r="K3413" s="24" t="str">
        <f aca="false">IF(OR(E3413="",E3413="!!!",F3413="NEW"),"",INDEX(J$1:J3412,SUMPRODUCT(MAX(ROW(E$1:E3412)*(E3413=E$1:E3412)))))</f>
        <v/>
      </c>
      <c r="L3413" s="31"/>
    </row>
    <row r="3414" customFormat="false" ht="15" hidden="false" customHeight="false" outlineLevel="0" collapsed="false">
      <c r="A3414" s="20"/>
    </row>
    <row r="3415" customFormat="false" ht="15" hidden="false" customHeight="false" outlineLevel="0" collapsed="false">
      <c r="A3415" s="20" t="s">
        <v>2156</v>
      </c>
    </row>
    <row r="3416" customFormat="false" ht="15" hidden="false" customHeight="false" outlineLevel="0" collapsed="false">
      <c r="A3416" s="20" t="s">
        <v>1345</v>
      </c>
      <c r="B3416" s="22" t="s">
        <v>1058</v>
      </c>
      <c r="E3416" s="23" t="str">
        <f aca="false">IF(D3416="?OLD","!!!","")</f>
        <v/>
      </c>
      <c r="F3416" s="25" t="str">
        <f aca="false">IF(OR(E3416="",E3416="!!!"),"",IF(NOT(ISNA(VLOOKUP(E3416,E$1:E3415,1,FALSE()))),"OLD",IF(AND(E3416&lt;&gt;"",E3416&lt;&gt;"!!!"),"NEW","")))</f>
        <v/>
      </c>
      <c r="G3416" s="26" t="str">
        <f aca="false">IF(OR(E3416="",E3416="!!!"),"",IF(OR(J3416=0,AND(J3416=1,K3416=1),AND(J3416=1,I3416="SBJ"),AND(J3416=1,I3416=0)),"?IN_FOCUS",IF(J3416&lt;=2,"?ACTIVATED",IF(J3416&lt;&gt;"","?FAMILIAR",IF(F3416="NEW",IF(ISNA(VLOOKUP(E3416,#REF!,1,FALSE())),"?TYPE_IDENTIFIABLE","?REFERENTIAL"),"_")))))</f>
        <v/>
      </c>
      <c r="H3416" s="27" t="str">
        <f aca="false">IF(J3416&lt;&gt;1,"",IF(I3416="SBJ","CB","?"))</f>
        <v/>
      </c>
      <c r="I3416" s="24" t="str">
        <f aca="false">IF(OR(E3416="",E3416="!!!",F3416="NEW"),"",INDEX(B2:B$3415,-1+SUMPRODUCT(MAX(ROW(E2:E$3415)*(E3416=E2:E$3415)))))</f>
        <v/>
      </c>
      <c r="J3416" s="24" t="str">
        <f aca="true">IF(OR(E3416="",E3416="!!!",F3416="NEW"),"",COUNTBLANK(OFFSET(A$1,,,SUMPRODUCT(MAX(ROW(E$2:E3416)*(E3416=E$2:E3416)))))-COUNTBLANK(OFFSET(A$1,,,SUMPRODUCT(MAX(ROW(E$1:E3415)*(E2=E$1:E3415))))))</f>
        <v/>
      </c>
      <c r="K3416" s="24" t="str">
        <f aca="false">IF(OR(E3416="",E3416="!!!",F3416="NEW"),"",INDEX(J$1:J3415,SUMPRODUCT(MAX(ROW(E$1:E3415)*(E3416=E$1:E3415)))))</f>
        <v/>
      </c>
      <c r="L3416" s="31"/>
    </row>
    <row r="3417" customFormat="false" ht="15" hidden="false" customHeight="false" outlineLevel="0" collapsed="false">
      <c r="A3417" s="20" t="s">
        <v>2157</v>
      </c>
      <c r="E3417" s="23" t="str">
        <f aca="false">IF(D3417="?OLD","!!!","")</f>
        <v/>
      </c>
      <c r="F3417" s="25" t="str">
        <f aca="false">IF(OR(E3417="",E3417="!!!"),"",IF(NOT(ISNA(VLOOKUP(E3417,E$1:E3416,1,FALSE()))),"OLD",IF(AND(E3417&lt;&gt;"",E3417&lt;&gt;"!!!"),"NEW","")))</f>
        <v/>
      </c>
      <c r="G3417" s="26" t="str">
        <f aca="false">IF(OR(E3417="",E3417="!!!"),"",IF(OR(J3417=0,AND(J3417=1,K3417=1),AND(J3417=1,I3417="SBJ"),AND(J3417=1,I3417=0)),"?IN_FOCUS",IF(J3417&lt;=2,"?ACTIVATED",IF(J3417&lt;&gt;"","?FAMILIAR",IF(F3417="NEW",IF(ISNA(VLOOKUP(E3417,#REF!,1,FALSE())),"?TYPE_IDENTIFIABLE","?REFERENTIAL"),"_")))))</f>
        <v/>
      </c>
      <c r="H3417" s="27" t="str">
        <f aca="false">IF(J3417&lt;&gt;1,"",IF(I3417="SBJ","CB","?"))</f>
        <v/>
      </c>
      <c r="I3417" s="24" t="str">
        <f aca="false">IF(OR(E3417="",E3417="!!!",F3417="NEW"),"",INDEX(B3:B$3415,-1+SUMPRODUCT(MAX(ROW(E3:E$3415)*(E3417=E3:E$3415)))))</f>
        <v/>
      </c>
      <c r="J3417" s="24" t="str">
        <f aca="true">IF(OR(E3417="",E3417="!!!",F3417="NEW"),"",COUNTBLANK(OFFSET(A$1,,,SUMPRODUCT(MAX(ROW(E$2:E3417)*(E3417=E$2:E3417)))))-COUNTBLANK(OFFSET(A$1,,,SUMPRODUCT(MAX(ROW(E$1:E3416)*(E2=E$1:E3416))))))</f>
        <v/>
      </c>
      <c r="K3417" s="24" t="str">
        <f aca="false">IF(OR(E3417="",E3417="!!!",F3417="NEW"),"",INDEX(J$1:J3416,SUMPRODUCT(MAX(ROW(E$1:E3416)*(E3417=E$1:E3416)))))</f>
        <v/>
      </c>
      <c r="L3417" s="31"/>
    </row>
    <row r="3418" customFormat="false" ht="15" hidden="false" customHeight="false" outlineLevel="0" collapsed="false">
      <c r="A3418" s="20" t="s">
        <v>2158</v>
      </c>
      <c r="E3418" s="23" t="str">
        <f aca="false">IF(D3418="?OLD","!!!","")</f>
        <v/>
      </c>
      <c r="F3418" s="25" t="str">
        <f aca="false">IF(OR(E3418="",E3418="!!!"),"",IF(NOT(ISNA(VLOOKUP(E3418,E$1:E3417,1,FALSE()))),"OLD",IF(AND(E3418&lt;&gt;"",E3418&lt;&gt;"!!!"),"NEW","")))</f>
        <v/>
      </c>
      <c r="G3418" s="26" t="str">
        <f aca="false">IF(OR(E3418="",E3418="!!!"),"",IF(OR(J3418=0,AND(J3418=1,K3418=1),AND(J3418=1,I3418="SBJ"),AND(J3418=1,I3418=0)),"?IN_FOCUS",IF(J3418&lt;=2,"?ACTIVATED",IF(J3418&lt;&gt;"","?FAMILIAR",IF(F3418="NEW",IF(ISNA(VLOOKUP(E3418,#REF!,1,FALSE())),"?TYPE_IDENTIFIABLE","?REFERENTIAL"),"_")))))</f>
        <v/>
      </c>
      <c r="H3418" s="27" t="str">
        <f aca="false">IF(J3418&lt;&gt;1,"",IF(I3418="SBJ","CB","?"))</f>
        <v/>
      </c>
      <c r="I3418" s="24" t="str">
        <f aca="false">IF(OR(E3418="",E3418="!!!",F3418="NEW"),"",INDEX(B4:B$3415,-1+SUMPRODUCT(MAX(ROW(E4:E$3415)*(E3418=E4:E$3415)))))</f>
        <v/>
      </c>
      <c r="J3418" s="24" t="str">
        <f aca="true">IF(OR(E3418="",E3418="!!!",F3418="NEW"),"",COUNTBLANK(OFFSET(A$1,,,SUMPRODUCT(MAX(ROW(E$2:E3418)*(E3418=E$2:E3418)))))-COUNTBLANK(OFFSET(A$1,,,SUMPRODUCT(MAX(ROW(E$1:E3417)*(E2=E$1:E3417))))))</f>
        <v/>
      </c>
      <c r="K3418" s="24" t="str">
        <f aca="false">IF(OR(E3418="",E3418="!!!",F3418="NEW"),"",INDEX(J$1:J3417,SUMPRODUCT(MAX(ROW(E$1:E3417)*(E3418=E$1:E3417)))))</f>
        <v/>
      </c>
      <c r="L3418" s="31"/>
    </row>
    <row r="3419" customFormat="false" ht="15" hidden="false" customHeight="false" outlineLevel="0" collapsed="false">
      <c r="A3419" s="20" t="s">
        <v>2159</v>
      </c>
      <c r="E3419" s="23" t="str">
        <f aca="false">IF(D3419="?OLD","!!!","")</f>
        <v/>
      </c>
      <c r="F3419" s="25" t="str">
        <f aca="false">IF(OR(E3419="",E3419="!!!"),"",IF(NOT(ISNA(VLOOKUP(E3419,E$1:E3418,1,FALSE()))),"OLD",IF(AND(E3419&lt;&gt;"",E3419&lt;&gt;"!!!"),"NEW","")))</f>
        <v/>
      </c>
      <c r="G3419" s="26" t="str">
        <f aca="false">IF(OR(E3419="",E3419="!!!"),"",IF(OR(J3419=0,AND(J3419=1,K3419=1),AND(J3419=1,I3419="SBJ"),AND(J3419=1,I3419=0)),"?IN_FOCUS",IF(J3419&lt;=2,"?ACTIVATED",IF(J3419&lt;&gt;"","?FAMILIAR",IF(F3419="NEW",IF(ISNA(VLOOKUP(E3419,#REF!,1,FALSE())),"?TYPE_IDENTIFIABLE","?REFERENTIAL"),"_")))))</f>
        <v/>
      </c>
      <c r="H3419" s="27" t="str">
        <f aca="false">IF(J3419&lt;&gt;1,"",IF(I3419="SBJ","CB","?"))</f>
        <v/>
      </c>
      <c r="I3419" s="24" t="str">
        <f aca="false">IF(OR(E3419="",E3419="!!!",F3419="NEW"),"",INDEX(B5:B$3415,-1+SUMPRODUCT(MAX(ROW(E5:E$3415)*(E3419=E5:E$3415)))))</f>
        <v/>
      </c>
      <c r="J3419" s="24" t="str">
        <f aca="true">IF(OR(E3419="",E3419="!!!",F3419="NEW"),"",COUNTBLANK(OFFSET(A$1,,,SUMPRODUCT(MAX(ROW(E$2:E3419)*(E3419=E$2:E3419)))))-COUNTBLANK(OFFSET(A$1,,,SUMPRODUCT(MAX(ROW(E$1:E3418)*(E2=E$1:E3418))))))</f>
        <v/>
      </c>
      <c r="K3419" s="24" t="str">
        <f aca="false">IF(OR(E3419="",E3419="!!!",F3419="NEW"),"",INDEX(J$1:J3418,SUMPRODUCT(MAX(ROW(E$1:E3418)*(E3419=E$1:E3418)))))</f>
        <v/>
      </c>
      <c r="L3419" s="31"/>
    </row>
    <row r="3420" customFormat="false" ht="15" hidden="false" customHeight="false" outlineLevel="0" collapsed="false">
      <c r="A3420" s="20" t="s">
        <v>1128</v>
      </c>
      <c r="E3420" s="23" t="str">
        <f aca="false">IF(D3420="?OLD","!!!","")</f>
        <v/>
      </c>
      <c r="F3420" s="25" t="str">
        <f aca="false">IF(OR(E3420="",E3420="!!!"),"",IF(NOT(ISNA(VLOOKUP(E3420,E$1:E3419,1,FALSE()))),"OLD",IF(AND(E3420&lt;&gt;"",E3420&lt;&gt;"!!!"),"NEW","")))</f>
        <v/>
      </c>
      <c r="G3420" s="26" t="str">
        <f aca="false">IF(OR(E3420="",E3420="!!!"),"",IF(OR(J3420=0,AND(J3420=1,K3420=1),AND(J3420=1,I3420="SBJ"),AND(J3420=1,I3420=0)),"?IN_FOCUS",IF(J3420&lt;=2,"?ACTIVATED",IF(J3420&lt;&gt;"","?FAMILIAR",IF(F3420="NEW",IF(ISNA(VLOOKUP(E3420,#REF!,1,FALSE())),"?TYPE_IDENTIFIABLE","?REFERENTIAL"),"_")))))</f>
        <v/>
      </c>
      <c r="H3420" s="27" t="str">
        <f aca="false">IF(J3420&lt;&gt;1,"",IF(I3420="SBJ","CB","?"))</f>
        <v/>
      </c>
      <c r="I3420" s="24" t="str">
        <f aca="false">IF(OR(E3420="",E3420="!!!",F3420="NEW"),"",INDEX(B6:B$3415,-1+SUMPRODUCT(MAX(ROW(E6:E$3415)*(E3420=E6:E$3415)))))</f>
        <v/>
      </c>
      <c r="J3420" s="24" t="str">
        <f aca="true">IF(OR(E3420="",E3420="!!!",F3420="NEW"),"",COUNTBLANK(OFFSET(A$1,,,SUMPRODUCT(MAX(ROW(E$2:E3420)*(E3420=E$2:E3420)))))-COUNTBLANK(OFFSET(A$1,,,SUMPRODUCT(MAX(ROW(E$1:E3419)*(E2=E$1:E3419))))))</f>
        <v/>
      </c>
      <c r="K3420" s="24" t="str">
        <f aca="false">IF(OR(E3420="",E3420="!!!",F3420="NEW"),"",INDEX(J$1:J3419,SUMPRODUCT(MAX(ROW(E$1:E3419)*(E3420=E$1:E3419)))))</f>
        <v/>
      </c>
      <c r="L3420" s="31"/>
    </row>
    <row r="3421" customFormat="false" ht="15" hidden="false" customHeight="false" outlineLevel="0" collapsed="false">
      <c r="A3421" s="20" t="s">
        <v>2160</v>
      </c>
      <c r="B3421" s="22" t="s">
        <v>1105</v>
      </c>
      <c r="C3421" s="22" t="s">
        <v>1160</v>
      </c>
      <c r="E3421" s="23" t="str">
        <f aca="false">IF(D3421="?OLD","!!!","")</f>
        <v/>
      </c>
      <c r="F3421" s="25" t="str">
        <f aca="false">IF(OR(E3421="",E3421="!!!"),"",IF(NOT(ISNA(VLOOKUP(E3421,E$1:E3420,1,FALSE()))),"OLD",IF(AND(E3421&lt;&gt;"",E3421&lt;&gt;"!!!"),"NEW","")))</f>
        <v/>
      </c>
      <c r="G3421" s="26" t="str">
        <f aca="false">IF(OR(E3421="",E3421="!!!"),"",IF(OR(J3421=0,AND(J3421=1,K3421=1),AND(J3421=1,I3421="SBJ"),AND(J3421=1,I3421=0)),"?IN_FOCUS",IF(J3421&lt;=2,"?ACTIVATED",IF(J3421&lt;&gt;"","?FAMILIAR",IF(F3421="NEW",IF(ISNA(VLOOKUP(E3421,#REF!,1,FALSE())),"?TYPE_IDENTIFIABLE","?REFERENTIAL"),"_")))))</f>
        <v/>
      </c>
      <c r="H3421" s="27" t="str">
        <f aca="false">IF(J3421&lt;&gt;1,"",IF(I3421="SBJ","CB","?"))</f>
        <v/>
      </c>
      <c r="I3421" s="24" t="str">
        <f aca="false">IF(OR(E3421="",E3421="!!!",F3421="NEW"),"",INDEX(B7:B$3415,-1+SUMPRODUCT(MAX(ROW(E7:E$3415)*(E3421=E7:E$3415)))))</f>
        <v/>
      </c>
      <c r="J3421" s="24" t="str">
        <f aca="true">IF(OR(E3421="",E3421="!!!",F3421="NEW"),"",COUNTBLANK(OFFSET(A$1,,,SUMPRODUCT(MAX(ROW(E$2:E3421)*(E3421=E$2:E3421)))))-COUNTBLANK(OFFSET(A$1,,,SUMPRODUCT(MAX(ROW(E$1:E3420)*(E2=E$1:E3420))))))</f>
        <v/>
      </c>
      <c r="K3421" s="24" t="str">
        <f aca="false">IF(OR(E3421="",E3421="!!!",F3421="NEW"),"",INDEX(J$1:J3420,SUMPRODUCT(MAX(ROW(E$1:E3420)*(E3421=E$1:E3420)))))</f>
        <v/>
      </c>
      <c r="L3421" s="31"/>
    </row>
    <row r="3422" customFormat="false" ht="15" hidden="false" customHeight="false" outlineLevel="0" collapsed="false">
      <c r="A3422" s="20" t="s">
        <v>1116</v>
      </c>
      <c r="E3422" s="23" t="str">
        <f aca="false">IF(D3422="?OLD","!!!","")</f>
        <v/>
      </c>
      <c r="F3422" s="25" t="str">
        <f aca="false">IF(OR(E3422="",E3422="!!!"),"",IF(NOT(ISNA(VLOOKUP(E3422,E$1:E3421,1,FALSE()))),"OLD",IF(AND(E3422&lt;&gt;"",E3422&lt;&gt;"!!!"),"NEW","")))</f>
        <v/>
      </c>
      <c r="G3422" s="26" t="str">
        <f aca="false">IF(OR(E3422="",E3422="!!!"),"",IF(OR(J3422=0,AND(J3422=1,K3422=1),AND(J3422=1,I3422="SBJ"),AND(J3422=1,I3422=0)),"?IN_FOCUS",IF(J3422&lt;=2,"?ACTIVATED",IF(J3422&lt;&gt;"","?FAMILIAR",IF(F3422="NEW",IF(ISNA(VLOOKUP(E3422,#REF!,1,FALSE())),"?TYPE_IDENTIFIABLE","?REFERENTIAL"),"_")))))</f>
        <v/>
      </c>
      <c r="H3422" s="27" t="str">
        <f aca="false">IF(J3422&lt;&gt;1,"",IF(I3422="SBJ","CB","?"))</f>
        <v/>
      </c>
      <c r="I3422" s="24" t="str">
        <f aca="false">IF(OR(E3422="",E3422="!!!",F3422="NEW"),"",INDEX(B8:B$3415,-1+SUMPRODUCT(MAX(ROW(E8:E$3415)*(E3422=E8:E$3415)))))</f>
        <v/>
      </c>
      <c r="J3422" s="24" t="str">
        <f aca="true">IF(OR(E3422="",E3422="!!!",F3422="NEW"),"",COUNTBLANK(OFFSET(A$1,,,SUMPRODUCT(MAX(ROW(E$2:E3422)*(E3422=E$2:E3422)))))-COUNTBLANK(OFFSET(A$1,,,SUMPRODUCT(MAX(ROW(E$1:E3421)*(E2=E$1:E3421))))))</f>
        <v/>
      </c>
      <c r="K3422" s="24" t="str">
        <f aca="false">IF(OR(E3422="",E3422="!!!",F3422="NEW"),"",INDEX(J$1:J3421,SUMPRODUCT(MAX(ROW(E$1:E3421)*(E3422=E$1:E3421)))))</f>
        <v/>
      </c>
      <c r="L3422" s="31"/>
    </row>
    <row r="3423" customFormat="false" ht="15" hidden="false" customHeight="false" outlineLevel="0" collapsed="false">
      <c r="A3423" s="20" t="s">
        <v>1119</v>
      </c>
      <c r="E3423" s="23" t="str">
        <f aca="false">IF(D3423="?OLD","!!!","")</f>
        <v/>
      </c>
      <c r="F3423" s="25" t="str">
        <f aca="false">IF(OR(E3423="",E3423="!!!"),"",IF(NOT(ISNA(VLOOKUP(E3423,E$1:E3422,1,FALSE()))),"OLD",IF(AND(E3423&lt;&gt;"",E3423&lt;&gt;"!!!"),"NEW","")))</f>
        <v/>
      </c>
      <c r="G3423" s="26" t="str">
        <f aca="false">IF(OR(E3423="",E3423="!!!"),"",IF(OR(J3423=0,AND(J3423=1,K3423=1),AND(J3423=1,I3423="SBJ"),AND(J3423=1,I3423=0)),"?IN_FOCUS",IF(J3423&lt;=2,"?ACTIVATED",IF(J3423&lt;&gt;"","?FAMILIAR",IF(F3423="NEW",IF(ISNA(VLOOKUP(E3423,#REF!,1,FALSE())),"?TYPE_IDENTIFIABLE","?REFERENTIAL"),"_")))))</f>
        <v/>
      </c>
      <c r="H3423" s="27" t="str">
        <f aca="false">IF(J3423&lt;&gt;1,"",IF(I3423="SBJ","CB","?"))</f>
        <v/>
      </c>
      <c r="I3423" s="24" t="str">
        <f aca="false">IF(OR(E3423="",E3423="!!!",F3423="NEW"),"",INDEX(B9:B$3415,-1+SUMPRODUCT(MAX(ROW(E9:E$3415)*(E3423=E9:E$3415)))))</f>
        <v/>
      </c>
      <c r="J3423" s="24" t="str">
        <f aca="true">IF(OR(E3423="",E3423="!!!",F3423="NEW"),"",COUNTBLANK(OFFSET(A$1,,,SUMPRODUCT(MAX(ROW(E$2:E3423)*(E3423=E$2:E3423)))))-COUNTBLANK(OFFSET(A$1,,,SUMPRODUCT(MAX(ROW(E$1:E3422)*(E2=E$1:E3422))))))</f>
        <v/>
      </c>
      <c r="K3423" s="24" t="str">
        <f aca="false">IF(OR(E3423="",E3423="!!!",F3423="NEW"),"",INDEX(J$1:J3422,SUMPRODUCT(MAX(ROW(E$1:E3422)*(E3423=E$1:E3422)))))</f>
        <v/>
      </c>
      <c r="L3423" s="31"/>
    </row>
    <row r="3424" customFormat="false" ht="15" hidden="false" customHeight="false" outlineLevel="0" collapsed="false">
      <c r="A3424" s="20" t="s">
        <v>1559</v>
      </c>
      <c r="B3424" s="22" t="s">
        <v>1073</v>
      </c>
      <c r="C3424" s="22" t="s">
        <v>1160</v>
      </c>
      <c r="E3424" s="23" t="str">
        <f aca="false">IF(D3424="?OLD","!!!","")</f>
        <v/>
      </c>
      <c r="F3424" s="25" t="str">
        <f aca="false">IF(OR(E3424="",E3424="!!!"),"",IF(NOT(ISNA(VLOOKUP(E3424,E$1:E3423,1,FALSE()))),"OLD",IF(AND(E3424&lt;&gt;"",E3424&lt;&gt;"!!!"),"NEW","")))</f>
        <v/>
      </c>
      <c r="G3424" s="26" t="str">
        <f aca="false">IF(OR(E3424="",E3424="!!!"),"",IF(OR(J3424=0,AND(J3424=1,K3424=1),AND(J3424=1,I3424="SBJ"),AND(J3424=1,I3424=0)),"?IN_FOCUS",IF(J3424&lt;=2,"?ACTIVATED",IF(J3424&lt;&gt;"","?FAMILIAR",IF(F3424="NEW",IF(ISNA(VLOOKUP(E3424,#REF!,1,FALSE())),"?TYPE_IDENTIFIABLE","?REFERENTIAL"),"_")))))</f>
        <v/>
      </c>
      <c r="H3424" s="27" t="str">
        <f aca="false">IF(J3424&lt;&gt;1,"",IF(I3424="SBJ","CB","?"))</f>
        <v/>
      </c>
      <c r="I3424" s="24" t="str">
        <f aca="false">IF(OR(E3424="",E3424="!!!",F3424="NEW"),"",INDEX(B10:B$3415,-1+SUMPRODUCT(MAX(ROW(E10:E$3415)*(E3424=E10:E$3415)))))</f>
        <v/>
      </c>
      <c r="J3424" s="24" t="str">
        <f aca="true">IF(OR(E3424="",E3424="!!!",F3424="NEW"),"",COUNTBLANK(OFFSET(A$1,,,SUMPRODUCT(MAX(ROW(E$2:E3424)*(E3424=E$2:E3424)))))-COUNTBLANK(OFFSET(A$1,,,SUMPRODUCT(MAX(ROW(E$1:E3423)*(E2=E$1:E3423))))))</f>
        <v/>
      </c>
      <c r="K3424" s="24" t="str">
        <f aca="false">IF(OR(E3424="",E3424="!!!",F3424="NEW"),"",INDEX(J$1:J3423,SUMPRODUCT(MAX(ROW(E$1:E3423)*(E3424=E$1:E3423)))))</f>
        <v/>
      </c>
      <c r="L3424" s="31"/>
    </row>
    <row r="3425" customFormat="false" ht="15" hidden="false" customHeight="false" outlineLevel="0" collapsed="false">
      <c r="A3425" s="20" t="s">
        <v>923</v>
      </c>
      <c r="E3425" s="23" t="str">
        <f aca="false">IF(D3425="?OLD","!!!","")</f>
        <v/>
      </c>
      <c r="F3425" s="25" t="str">
        <f aca="false">IF(OR(E3425="",E3425="!!!"),"",IF(NOT(ISNA(VLOOKUP(E3425,E$1:E3424,1,FALSE()))),"OLD",IF(AND(E3425&lt;&gt;"",E3425&lt;&gt;"!!!"),"NEW","")))</f>
        <v/>
      </c>
      <c r="G3425" s="26" t="str">
        <f aca="false">IF(OR(E3425="",E3425="!!!"),"",IF(OR(J3425=0,AND(J3425=1,K3425=1),AND(J3425=1,I3425="SBJ"),AND(J3425=1,I3425=0)),"?IN_FOCUS",IF(J3425&lt;=2,"?ACTIVATED",IF(J3425&lt;&gt;"","?FAMILIAR",IF(F3425="NEW",IF(ISNA(VLOOKUP(E3425,#REF!,1,FALSE())),"?TYPE_IDENTIFIABLE","?REFERENTIAL"),"_")))))</f>
        <v/>
      </c>
      <c r="H3425" s="27" t="str">
        <f aca="false">IF(J3425&lt;&gt;1,"",IF(I3425="SBJ","CB","?"))</f>
        <v/>
      </c>
      <c r="I3425" s="24" t="str">
        <f aca="false">IF(OR(E3425="",E3425="!!!",F3425="NEW"),"",INDEX(B11:B$3415,-1+SUMPRODUCT(MAX(ROW(E11:E$3415)*(E3425=E11:E$3415)))))</f>
        <v/>
      </c>
      <c r="J3425" s="24" t="str">
        <f aca="true">IF(OR(E3425="",E3425="!!!",F3425="NEW"),"",COUNTBLANK(OFFSET(A$1,,,SUMPRODUCT(MAX(ROW(E$2:E3425)*(E3425=E$2:E3425)))))-COUNTBLANK(OFFSET(A$1,,,SUMPRODUCT(MAX(ROW(E$1:E3424)*(E2=E$1:E3424))))))</f>
        <v/>
      </c>
      <c r="K3425" s="24" t="str">
        <f aca="false">IF(OR(E3425="",E3425="!!!",F3425="NEW"),"",INDEX(J$1:J3424,SUMPRODUCT(MAX(ROW(E$1:E3424)*(E3425=E$1:E3424)))))</f>
        <v/>
      </c>
      <c r="L3425" s="31"/>
    </row>
    <row r="3426" customFormat="false" ht="15" hidden="false" customHeight="false" outlineLevel="0" collapsed="false">
      <c r="A3426" s="20"/>
    </row>
    <row r="3427" customFormat="false" ht="15" hidden="false" customHeight="false" outlineLevel="0" collapsed="false">
      <c r="A3427" s="20" t="s">
        <v>2161</v>
      </c>
    </row>
    <row r="3428" customFormat="false" ht="15" hidden="false" customHeight="false" outlineLevel="0" collapsed="false">
      <c r="A3428" s="20" t="s">
        <v>1066</v>
      </c>
      <c r="E3428" s="23" t="str">
        <f aca="false">IF(D3428="?OLD","!!!","")</f>
        <v/>
      </c>
      <c r="F3428" s="25" t="str">
        <f aca="false">IF(OR(E3428="",E3428="!!!"),"",IF(NOT(ISNA(VLOOKUP(E3428,E$1:E3427,1,FALSE()))),"OLD",IF(AND(E3428&lt;&gt;"",E3428&lt;&gt;"!!!"),"NEW","")))</f>
        <v/>
      </c>
      <c r="G3428" s="26" t="str">
        <f aca="false">IF(OR(E3428="",E3428="!!!"),"",IF(OR(J3428=0,AND(J3428=1,K3428=1),AND(J3428=1,I3428="SBJ"),AND(J3428=1,I3428=0)),"?IN_FOCUS",IF(J3428&lt;=2,"?ACTIVATED",IF(J3428&lt;&gt;"","?FAMILIAR",IF(F3428="NEW",IF(ISNA(VLOOKUP(E3428,#REF!,1,FALSE())),"?TYPE_IDENTIFIABLE","?REFERENTIAL"),"_")))))</f>
        <v/>
      </c>
      <c r="H3428" s="27" t="str">
        <f aca="false">IF(J3428&lt;&gt;1,"",IF(I3428="SBJ","CB","?"))</f>
        <v/>
      </c>
      <c r="I3428" s="24" t="str">
        <f aca="false">IF(OR(E3428="",E3428="!!!",F3428="NEW"),"",INDEX(B2:B$3427,-1+SUMPRODUCT(MAX(ROW(E2:E$3427)*(E3428=E2:E$3427)))))</f>
        <v/>
      </c>
      <c r="J3428" s="24" t="str">
        <f aca="true">IF(OR(E3428="",E3428="!!!",F3428="NEW"),"",COUNTBLANK(OFFSET(A$1,,,SUMPRODUCT(MAX(ROW(E$2:E3428)*(E3428=E$2:E3428)))))-COUNTBLANK(OFFSET(A$1,,,SUMPRODUCT(MAX(ROW(E$1:E3427)*(E2=E$1:E3427))))))</f>
        <v/>
      </c>
      <c r="K3428" s="24" t="str">
        <f aca="false">IF(OR(E3428="",E3428="!!!",F3428="NEW"),"",INDEX(J$1:J3427,SUMPRODUCT(MAX(ROW(E$1:E3427)*(E3428=E$1:E3427)))))</f>
        <v/>
      </c>
      <c r="L3428" s="31"/>
    </row>
    <row r="3429" customFormat="false" ht="15" hidden="false" customHeight="false" outlineLevel="0" collapsed="false">
      <c r="A3429" s="20" t="s">
        <v>327</v>
      </c>
      <c r="E3429" s="23" t="str">
        <f aca="false">IF(D3429="?OLD","!!!","")</f>
        <v/>
      </c>
      <c r="F3429" s="25" t="str">
        <f aca="false">IF(OR(E3429="",E3429="!!!"),"",IF(NOT(ISNA(VLOOKUP(E3429,E$1:E3428,1,FALSE()))),"OLD",IF(AND(E3429&lt;&gt;"",E3429&lt;&gt;"!!!"),"NEW","")))</f>
        <v/>
      </c>
      <c r="G3429" s="26" t="str">
        <f aca="false">IF(OR(E3429="",E3429="!!!"),"",IF(OR(J3429=0,AND(J3429=1,K3429=1),AND(J3429=1,I3429="SBJ"),AND(J3429=1,I3429=0)),"?IN_FOCUS",IF(J3429&lt;=2,"?ACTIVATED",IF(J3429&lt;&gt;"","?FAMILIAR",IF(F3429="NEW",IF(ISNA(VLOOKUP(E3429,#REF!,1,FALSE())),"?TYPE_IDENTIFIABLE","?REFERENTIAL"),"_")))))</f>
        <v/>
      </c>
      <c r="H3429" s="27" t="str">
        <f aca="false">IF(J3429&lt;&gt;1,"",IF(I3429="SBJ","CB","?"))</f>
        <v/>
      </c>
      <c r="I3429" s="24" t="str">
        <f aca="false">IF(OR(E3429="",E3429="!!!",F3429="NEW"),"",INDEX(B3:B$3427,-1+SUMPRODUCT(MAX(ROW(E3:E$3427)*(E3429=E3:E$3427)))))</f>
        <v/>
      </c>
      <c r="J3429" s="24" t="str">
        <f aca="true">IF(OR(E3429="",E3429="!!!",F3429="NEW"),"",COUNTBLANK(OFFSET(A$1,,,SUMPRODUCT(MAX(ROW(E$2:E3429)*(E3429=E$2:E3429)))))-COUNTBLANK(OFFSET(A$1,,,SUMPRODUCT(MAX(ROW(E$1:E3428)*(E2=E$1:E3428))))))</f>
        <v/>
      </c>
      <c r="K3429" s="24" t="str">
        <f aca="false">IF(OR(E3429="",E3429="!!!",F3429="NEW"),"",INDEX(J$1:J3428,SUMPRODUCT(MAX(ROW(E$1:E3428)*(E3429=E$1:E3428)))))</f>
        <v/>
      </c>
      <c r="L3429" s="31"/>
    </row>
    <row r="3430" customFormat="false" ht="15" hidden="false" customHeight="false" outlineLevel="0" collapsed="false">
      <c r="A3430" s="20" t="s">
        <v>1109</v>
      </c>
      <c r="E3430" s="23" t="str">
        <f aca="false">IF(D3430="?OLD","!!!","")</f>
        <v/>
      </c>
      <c r="F3430" s="25" t="str">
        <f aca="false">IF(OR(E3430="",E3430="!!!"),"",IF(NOT(ISNA(VLOOKUP(E3430,E$1:E3429,1,FALSE()))),"OLD",IF(AND(E3430&lt;&gt;"",E3430&lt;&gt;"!!!"),"NEW","")))</f>
        <v/>
      </c>
      <c r="G3430" s="26" t="str">
        <f aca="false">IF(OR(E3430="",E3430="!!!"),"",IF(OR(J3430=0,AND(J3430=1,K3430=1),AND(J3430=1,I3430="SBJ"),AND(J3430=1,I3430=0)),"?IN_FOCUS",IF(J3430&lt;=2,"?ACTIVATED",IF(J3430&lt;&gt;"","?FAMILIAR",IF(F3430="NEW",IF(ISNA(VLOOKUP(E3430,#REF!,1,FALSE())),"?TYPE_IDENTIFIABLE","?REFERENTIAL"),"_")))))</f>
        <v/>
      </c>
      <c r="H3430" s="27" t="str">
        <f aca="false">IF(J3430&lt;&gt;1,"",IF(I3430="SBJ","CB","?"))</f>
        <v/>
      </c>
      <c r="I3430" s="24" t="str">
        <f aca="false">IF(OR(E3430="",E3430="!!!",F3430="NEW"),"",INDEX(B4:B$3427,-1+SUMPRODUCT(MAX(ROW(E4:E$3427)*(E3430=E4:E$3427)))))</f>
        <v/>
      </c>
      <c r="J3430" s="24" t="str">
        <f aca="true">IF(OR(E3430="",E3430="!!!",F3430="NEW"),"",COUNTBLANK(OFFSET(A$1,,,SUMPRODUCT(MAX(ROW(E$2:E3430)*(E3430=E$2:E3430)))))-COUNTBLANK(OFFSET(A$1,,,SUMPRODUCT(MAX(ROW(E$1:E3429)*(E2=E$1:E3429))))))</f>
        <v/>
      </c>
      <c r="K3430" s="24" t="str">
        <f aca="false">IF(OR(E3430="",E3430="!!!",F3430="NEW"),"",INDEX(J$1:J3429,SUMPRODUCT(MAX(ROW(E$1:E3429)*(E3430=E$1:E3429)))))</f>
        <v/>
      </c>
      <c r="L3430" s="31"/>
    </row>
    <row r="3431" customFormat="false" ht="15" hidden="false" customHeight="false" outlineLevel="0" collapsed="false">
      <c r="A3431" s="20" t="s">
        <v>1281</v>
      </c>
      <c r="B3431" s="22" t="s">
        <v>1081</v>
      </c>
      <c r="C3431" s="22" t="s">
        <v>1150</v>
      </c>
      <c r="D3431" s="22" t="s">
        <v>1060</v>
      </c>
      <c r="E3431" s="23" t="str">
        <f aca="false">IF(D3431="?OLD","!!!","")</f>
        <v>!!!</v>
      </c>
      <c r="F3431" s="25" t="str">
        <f aca="false">IF(OR(E3431="",E3431="!!!"),"",IF(NOT(ISNA(VLOOKUP(E3431,E$1:E3430,1,FALSE()))),"OLD",IF(AND(E3431&lt;&gt;"",E3431&lt;&gt;"!!!"),"NEW","")))</f>
        <v/>
      </c>
      <c r="G3431" s="26" t="str">
        <f aca="false">IF(OR(E3431="",E3431="!!!"),"",IF(OR(J3431=0,AND(J3431=1,K3431=1),AND(J3431=1,I3431="SBJ"),AND(J3431=1,I3431=0)),"?IN_FOCUS",IF(J3431&lt;=2,"?ACTIVATED",IF(J3431&lt;&gt;"","?FAMILIAR",IF(F3431="NEW",IF(ISNA(VLOOKUP(E3431,#REF!,1,FALSE())),"?TYPE_IDENTIFIABLE","?REFERENTIAL"),"_")))))</f>
        <v/>
      </c>
      <c r="H3431" s="27" t="str">
        <f aca="false">IF(J3431&lt;&gt;1,"",IF(I3431="SBJ","CB","?"))</f>
        <v/>
      </c>
      <c r="I3431" s="24" t="str">
        <f aca="false">IF(OR(E3431="",E3431="!!!",F3431="NEW"),"",INDEX(B5:B$3427,-1+SUMPRODUCT(MAX(ROW(E5:E$3427)*(E3431=E5:E$3427)))))</f>
        <v/>
      </c>
      <c r="J3431" s="24" t="str">
        <f aca="true">IF(OR(E3431="",E3431="!!!",F3431="NEW"),"",COUNTBLANK(OFFSET(A$1,,,SUMPRODUCT(MAX(ROW(E$2:E3431)*(E3431=E$2:E3431)))))-COUNTBLANK(OFFSET(A$1,,,SUMPRODUCT(MAX(ROW(E$1:E3430)*(E2=E$1:E3430))))))</f>
        <v/>
      </c>
      <c r="K3431" s="24" t="str">
        <f aca="false">IF(OR(E3431="",E3431="!!!",F3431="NEW"),"",INDEX(J$1:J3430,SUMPRODUCT(MAX(ROW(E$1:E3430)*(E3431=E$1:E3430)))))</f>
        <v/>
      </c>
      <c r="L3431" s="31"/>
    </row>
    <row r="3432" customFormat="false" ht="15" hidden="false" customHeight="false" outlineLevel="0" collapsed="false">
      <c r="A3432" s="20" t="s">
        <v>2162</v>
      </c>
      <c r="E3432" s="23" t="str">
        <f aca="false">IF(D3432="?OLD","!!!","")</f>
        <v/>
      </c>
      <c r="F3432" s="25" t="str">
        <f aca="false">IF(OR(E3432="",E3432="!!!"),"",IF(NOT(ISNA(VLOOKUP(E3432,E$1:E3431,1,FALSE()))),"OLD",IF(AND(E3432&lt;&gt;"",E3432&lt;&gt;"!!!"),"NEW","")))</f>
        <v/>
      </c>
      <c r="G3432" s="26" t="str">
        <f aca="false">IF(OR(E3432="",E3432="!!!"),"",IF(OR(J3432=0,AND(J3432=1,K3432=1),AND(J3432=1,I3432="SBJ"),AND(J3432=1,I3432=0)),"?IN_FOCUS",IF(J3432&lt;=2,"?ACTIVATED",IF(J3432&lt;&gt;"","?FAMILIAR",IF(F3432="NEW",IF(ISNA(VLOOKUP(E3432,#REF!,1,FALSE())),"?TYPE_IDENTIFIABLE","?REFERENTIAL"),"_")))))</f>
        <v/>
      </c>
      <c r="H3432" s="27" t="str">
        <f aca="false">IF(J3432&lt;&gt;1,"",IF(I3432="SBJ","CB","?"))</f>
        <v/>
      </c>
      <c r="I3432" s="24" t="str">
        <f aca="false">IF(OR(E3432="",E3432="!!!",F3432="NEW"),"",INDEX(B6:B$3427,-1+SUMPRODUCT(MAX(ROW(E6:E$3427)*(E3432=E6:E$3427)))))</f>
        <v/>
      </c>
      <c r="J3432" s="24" t="str">
        <f aca="true">IF(OR(E3432="",E3432="!!!",F3432="NEW"),"",COUNTBLANK(OFFSET(A$1,,,SUMPRODUCT(MAX(ROW(E$2:E3432)*(E3432=E$2:E3432)))))-COUNTBLANK(OFFSET(A$1,,,SUMPRODUCT(MAX(ROW(E$1:E3431)*(E2=E$1:E3431))))))</f>
        <v/>
      </c>
      <c r="K3432" s="24" t="str">
        <f aca="false">IF(OR(E3432="",E3432="!!!",F3432="NEW"),"",INDEX(J$1:J3431,SUMPRODUCT(MAX(ROW(E$1:E3431)*(E3432=E$1:E3431)))))</f>
        <v/>
      </c>
      <c r="L3432" s="31"/>
    </row>
    <row r="3433" customFormat="false" ht="15" hidden="false" customHeight="false" outlineLevel="0" collapsed="false">
      <c r="A3433" s="20" t="s">
        <v>1360</v>
      </c>
      <c r="E3433" s="23" t="str">
        <f aca="false">IF(D3433="?OLD","!!!","")</f>
        <v/>
      </c>
      <c r="F3433" s="25" t="str">
        <f aca="false">IF(OR(E3433="",E3433="!!!"),"",IF(NOT(ISNA(VLOOKUP(E3433,E$1:E3432,1,FALSE()))),"OLD",IF(AND(E3433&lt;&gt;"",E3433&lt;&gt;"!!!"),"NEW","")))</f>
        <v/>
      </c>
      <c r="G3433" s="26" t="str">
        <f aca="false">IF(OR(E3433="",E3433="!!!"),"",IF(OR(J3433=0,AND(J3433=1,K3433=1),AND(J3433=1,I3433="SBJ"),AND(J3433=1,I3433=0)),"?IN_FOCUS",IF(J3433&lt;=2,"?ACTIVATED",IF(J3433&lt;&gt;"","?FAMILIAR",IF(F3433="NEW",IF(ISNA(VLOOKUP(E3433,#REF!,1,FALSE())),"?TYPE_IDENTIFIABLE","?REFERENTIAL"),"_")))))</f>
        <v/>
      </c>
      <c r="H3433" s="27" t="str">
        <f aca="false">IF(J3433&lt;&gt;1,"",IF(I3433="SBJ","CB","?"))</f>
        <v/>
      </c>
      <c r="I3433" s="24" t="str">
        <f aca="false">IF(OR(E3433="",E3433="!!!",F3433="NEW"),"",INDEX(B7:B$3427,-1+SUMPRODUCT(MAX(ROW(E7:E$3427)*(E3433=E7:E$3427)))))</f>
        <v/>
      </c>
      <c r="J3433" s="24" t="str">
        <f aca="true">IF(OR(E3433="",E3433="!!!",F3433="NEW"),"",COUNTBLANK(OFFSET(A$1,,,SUMPRODUCT(MAX(ROW(E$2:E3433)*(E3433=E$2:E3433)))))-COUNTBLANK(OFFSET(A$1,,,SUMPRODUCT(MAX(ROW(E$1:E3432)*(E2=E$1:E3432))))))</f>
        <v/>
      </c>
      <c r="K3433" s="24" t="str">
        <f aca="false">IF(OR(E3433="",E3433="!!!",F3433="NEW"),"",INDEX(J$1:J3432,SUMPRODUCT(MAX(ROW(E$1:E3432)*(E3433=E$1:E3432)))))</f>
        <v/>
      </c>
      <c r="L3433" s="31"/>
    </row>
    <row r="3434" customFormat="false" ht="15" hidden="false" customHeight="false" outlineLevel="0" collapsed="false">
      <c r="A3434" s="20" t="s">
        <v>1109</v>
      </c>
      <c r="E3434" s="23" t="str">
        <f aca="false">IF(D3434="?OLD","!!!","")</f>
        <v/>
      </c>
      <c r="F3434" s="25" t="str">
        <f aca="false">IF(OR(E3434="",E3434="!!!"),"",IF(NOT(ISNA(VLOOKUP(E3434,E$1:E3433,1,FALSE()))),"OLD",IF(AND(E3434&lt;&gt;"",E3434&lt;&gt;"!!!"),"NEW","")))</f>
        <v/>
      </c>
      <c r="G3434" s="26" t="str">
        <f aca="false">IF(OR(E3434="",E3434="!!!"),"",IF(OR(J3434=0,AND(J3434=1,K3434=1),AND(J3434=1,I3434="SBJ"),AND(J3434=1,I3434=0)),"?IN_FOCUS",IF(J3434&lt;=2,"?ACTIVATED",IF(J3434&lt;&gt;"","?FAMILIAR",IF(F3434="NEW",IF(ISNA(VLOOKUP(E3434,#REF!,1,FALSE())),"?TYPE_IDENTIFIABLE","?REFERENTIAL"),"_")))))</f>
        <v/>
      </c>
      <c r="H3434" s="27" t="str">
        <f aca="false">IF(J3434&lt;&gt;1,"",IF(I3434="SBJ","CB","?"))</f>
        <v/>
      </c>
      <c r="I3434" s="24" t="str">
        <f aca="false">IF(OR(E3434="",E3434="!!!",F3434="NEW"),"",INDEX(B8:B$3427,-1+SUMPRODUCT(MAX(ROW(E8:E$3427)*(E3434=E8:E$3427)))))</f>
        <v/>
      </c>
      <c r="J3434" s="24" t="str">
        <f aca="true">IF(OR(E3434="",E3434="!!!",F3434="NEW"),"",COUNTBLANK(OFFSET(A$1,,,SUMPRODUCT(MAX(ROW(E$2:E3434)*(E3434=E$2:E3434)))))-COUNTBLANK(OFFSET(A$1,,,SUMPRODUCT(MAX(ROW(E$1:E3433)*(E2=E$1:E3433))))))</f>
        <v/>
      </c>
      <c r="K3434" s="24" t="str">
        <f aca="false">IF(OR(E3434="",E3434="!!!",F3434="NEW"),"",INDEX(J$1:J3433,SUMPRODUCT(MAX(ROW(E$1:E3433)*(E3434=E$1:E3433)))))</f>
        <v/>
      </c>
      <c r="L3434" s="31"/>
    </row>
    <row r="3435" customFormat="false" ht="15" hidden="false" customHeight="false" outlineLevel="0" collapsed="false">
      <c r="A3435" s="20" t="s">
        <v>661</v>
      </c>
      <c r="B3435" s="22" t="s">
        <v>1105</v>
      </c>
      <c r="C3435" s="22" t="s">
        <v>1150</v>
      </c>
      <c r="D3435" s="22" t="s">
        <v>1060</v>
      </c>
      <c r="E3435" s="23" t="str">
        <f aca="false">IF(D3435="?OLD","!!!","")</f>
        <v>!!!</v>
      </c>
      <c r="F3435" s="25" t="str">
        <f aca="false">IF(OR(E3435="",E3435="!!!"),"",IF(NOT(ISNA(VLOOKUP(E3435,E$1:E3434,1,FALSE()))),"OLD",IF(AND(E3435&lt;&gt;"",E3435&lt;&gt;"!!!"),"NEW","")))</f>
        <v/>
      </c>
      <c r="G3435" s="26" t="str">
        <f aca="false">IF(OR(E3435="",E3435="!!!"),"",IF(OR(J3435=0,AND(J3435=1,K3435=1),AND(J3435=1,I3435="SBJ"),AND(J3435=1,I3435=0)),"?IN_FOCUS",IF(J3435&lt;=2,"?ACTIVATED",IF(J3435&lt;&gt;"","?FAMILIAR",IF(F3435="NEW",IF(ISNA(VLOOKUP(E3435,#REF!,1,FALSE())),"?TYPE_IDENTIFIABLE","?REFERENTIAL"),"_")))))</f>
        <v/>
      </c>
      <c r="H3435" s="27" t="str">
        <f aca="false">IF(J3435&lt;&gt;1,"",IF(I3435="SBJ","CB","?"))</f>
        <v/>
      </c>
      <c r="I3435" s="24" t="str">
        <f aca="false">IF(OR(E3435="",E3435="!!!",F3435="NEW"),"",INDEX(B9:B$3427,-1+SUMPRODUCT(MAX(ROW(E9:E$3427)*(E3435=E9:E$3427)))))</f>
        <v/>
      </c>
      <c r="J3435" s="24" t="str">
        <f aca="true">IF(OR(E3435="",E3435="!!!",F3435="NEW"),"",COUNTBLANK(OFFSET(A$1,,,SUMPRODUCT(MAX(ROW(E$2:E3435)*(E3435=E$2:E3435)))))-COUNTBLANK(OFFSET(A$1,,,SUMPRODUCT(MAX(ROW(E$1:E3434)*(E2=E$1:E3434))))))</f>
        <v/>
      </c>
      <c r="K3435" s="24" t="str">
        <f aca="false">IF(OR(E3435="",E3435="!!!",F3435="NEW"),"",INDEX(J$1:J3434,SUMPRODUCT(MAX(ROW(E$1:E3434)*(E3435=E$1:E3434)))))</f>
        <v/>
      </c>
      <c r="L3435" s="31"/>
    </row>
    <row r="3436" customFormat="false" ht="15" hidden="false" customHeight="false" outlineLevel="0" collapsed="false">
      <c r="A3436" s="20" t="s">
        <v>1213</v>
      </c>
      <c r="E3436" s="23" t="str">
        <f aca="false">IF(D3436="?OLD","!!!","")</f>
        <v/>
      </c>
      <c r="F3436" s="25" t="str">
        <f aca="false">IF(OR(E3436="",E3436="!!!"),"",IF(NOT(ISNA(VLOOKUP(E3436,E$1:E3435,1,FALSE()))),"OLD",IF(AND(E3436&lt;&gt;"",E3436&lt;&gt;"!!!"),"NEW","")))</f>
        <v/>
      </c>
      <c r="G3436" s="26" t="str">
        <f aca="false">IF(OR(E3436="",E3436="!!!"),"",IF(OR(J3436=0,AND(J3436=1,K3436=1),AND(J3436=1,I3436="SBJ"),AND(J3436=1,I3436=0)),"?IN_FOCUS",IF(J3436&lt;=2,"?ACTIVATED",IF(J3436&lt;&gt;"","?FAMILIAR",IF(F3436="NEW",IF(ISNA(VLOOKUP(E3436,#REF!,1,FALSE())),"?TYPE_IDENTIFIABLE","?REFERENTIAL"),"_")))))</f>
        <v/>
      </c>
      <c r="H3436" s="27" t="str">
        <f aca="false">IF(J3436&lt;&gt;1,"",IF(I3436="SBJ","CB","?"))</f>
        <v/>
      </c>
      <c r="I3436" s="24" t="str">
        <f aca="false">IF(OR(E3436="",E3436="!!!",F3436="NEW"),"",INDEX(B10:B$3427,-1+SUMPRODUCT(MAX(ROW(E10:E$3427)*(E3436=E10:E$3427)))))</f>
        <v/>
      </c>
      <c r="J3436" s="24" t="str">
        <f aca="true">IF(OR(E3436="",E3436="!!!",F3436="NEW"),"",COUNTBLANK(OFFSET(A$1,,,SUMPRODUCT(MAX(ROW(E$2:E3436)*(E3436=E$2:E3436)))))-COUNTBLANK(OFFSET(A$1,,,SUMPRODUCT(MAX(ROW(E$1:E3435)*(E2=E$1:E3435))))))</f>
        <v/>
      </c>
      <c r="K3436" s="24" t="str">
        <f aca="false">IF(OR(E3436="",E3436="!!!",F3436="NEW"),"",INDEX(J$1:J3435,SUMPRODUCT(MAX(ROW(E$1:E3435)*(E3436=E$1:E3435)))))</f>
        <v/>
      </c>
      <c r="L3436" s="31"/>
    </row>
    <row r="3437" customFormat="false" ht="15" hidden="false" customHeight="false" outlineLevel="0" collapsed="false">
      <c r="A3437" s="20" t="s">
        <v>1109</v>
      </c>
      <c r="E3437" s="23" t="str">
        <f aca="false">IF(D3437="?OLD","!!!","")</f>
        <v/>
      </c>
      <c r="F3437" s="25" t="str">
        <f aca="false">IF(OR(E3437="",E3437="!!!"),"",IF(NOT(ISNA(VLOOKUP(E3437,E$1:E3436,1,FALSE()))),"OLD",IF(AND(E3437&lt;&gt;"",E3437&lt;&gt;"!!!"),"NEW","")))</f>
        <v/>
      </c>
      <c r="G3437" s="26" t="str">
        <f aca="false">IF(OR(E3437="",E3437="!!!"),"",IF(OR(J3437=0,AND(J3437=1,K3437=1),AND(J3437=1,I3437="SBJ"),AND(J3437=1,I3437=0)),"?IN_FOCUS",IF(J3437&lt;=2,"?ACTIVATED",IF(J3437&lt;&gt;"","?FAMILIAR",IF(F3437="NEW",IF(ISNA(VLOOKUP(E3437,#REF!,1,FALSE())),"?TYPE_IDENTIFIABLE","?REFERENTIAL"),"_")))))</f>
        <v/>
      </c>
      <c r="H3437" s="27" t="str">
        <f aca="false">IF(J3437&lt;&gt;1,"",IF(I3437="SBJ","CB","?"))</f>
        <v/>
      </c>
      <c r="I3437" s="24" t="str">
        <f aca="false">IF(OR(E3437="",E3437="!!!",F3437="NEW"),"",INDEX(B11:B$3427,-1+SUMPRODUCT(MAX(ROW(E11:E$3427)*(E3437=E11:E$3427)))))</f>
        <v/>
      </c>
      <c r="J3437" s="24" t="str">
        <f aca="true">IF(OR(E3437="",E3437="!!!",F3437="NEW"),"",COUNTBLANK(OFFSET(A$1,,,SUMPRODUCT(MAX(ROW(E$2:E3437)*(E3437=E$2:E3437)))))-COUNTBLANK(OFFSET(A$1,,,SUMPRODUCT(MAX(ROW(E$1:E3436)*(E2=E$1:E3436))))))</f>
        <v/>
      </c>
      <c r="K3437" s="24" t="str">
        <f aca="false">IF(OR(E3437="",E3437="!!!",F3437="NEW"),"",INDEX(J$1:J3436,SUMPRODUCT(MAX(ROW(E$1:E3436)*(E3437=E$1:E3436)))))</f>
        <v/>
      </c>
      <c r="L3437" s="31"/>
    </row>
    <row r="3438" customFormat="false" ht="15" hidden="false" customHeight="false" outlineLevel="0" collapsed="false">
      <c r="A3438" s="20" t="s">
        <v>2163</v>
      </c>
      <c r="B3438" s="22" t="s">
        <v>1073</v>
      </c>
      <c r="C3438" s="22" t="s">
        <v>1059</v>
      </c>
      <c r="D3438" s="22" t="s">
        <v>1060</v>
      </c>
      <c r="E3438" s="23" t="str">
        <f aca="false">IF(D3438="?OLD","!!!","")</f>
        <v>!!!</v>
      </c>
      <c r="F3438" s="25" t="str">
        <f aca="false">IF(OR(E3438="",E3438="!!!"),"",IF(NOT(ISNA(VLOOKUP(E3438,E$1:E3437,1,FALSE()))),"OLD",IF(AND(E3438&lt;&gt;"",E3438&lt;&gt;"!!!"),"NEW","")))</f>
        <v/>
      </c>
      <c r="G3438" s="26" t="str">
        <f aca="false">IF(OR(E3438="",E3438="!!!"),"",IF(OR(J3438=0,AND(J3438=1,K3438=1),AND(J3438=1,I3438="SBJ"),AND(J3438=1,I3438=0)),"?IN_FOCUS",IF(J3438&lt;=2,"?ACTIVATED",IF(J3438&lt;&gt;"","?FAMILIAR",IF(F3438="NEW",IF(ISNA(VLOOKUP(E3438,#REF!,1,FALSE())),"?TYPE_IDENTIFIABLE","?REFERENTIAL"),"_")))))</f>
        <v/>
      </c>
      <c r="H3438" s="27" t="str">
        <f aca="false">IF(J3438&lt;&gt;1,"",IF(I3438="SBJ","CB","?"))</f>
        <v/>
      </c>
      <c r="I3438" s="24" t="str">
        <f aca="false">IF(OR(E3438="",E3438="!!!",F3438="NEW"),"",INDEX(B12:B$3427,-1+SUMPRODUCT(MAX(ROW(E12:E$3427)*(E3438=E12:E$3427)))))</f>
        <v/>
      </c>
      <c r="J3438" s="24" t="str">
        <f aca="true">IF(OR(E3438="",E3438="!!!",F3438="NEW"),"",COUNTBLANK(OFFSET(A$1,,,SUMPRODUCT(MAX(ROW(E$2:E3438)*(E3438=E$2:E3438)))))-COUNTBLANK(OFFSET(A$1,,,SUMPRODUCT(MAX(ROW(E$1:E3437)*(E2=E$1:E3437))))))</f>
        <v/>
      </c>
      <c r="K3438" s="24" t="str">
        <f aca="false">IF(OR(E3438="",E3438="!!!",F3438="NEW"),"",INDEX(J$1:J3437,SUMPRODUCT(MAX(ROW(E$1:E3437)*(E3438=E$1:E3437)))))</f>
        <v/>
      </c>
      <c r="L3438" s="31"/>
    </row>
    <row r="3439" customFormat="false" ht="15" hidden="false" customHeight="false" outlineLevel="0" collapsed="false">
      <c r="A3439" s="20" t="s">
        <v>1064</v>
      </c>
      <c r="E3439" s="23" t="str">
        <f aca="false">IF(D3439="?OLD","!!!","")</f>
        <v/>
      </c>
      <c r="F3439" s="25" t="str">
        <f aca="false">IF(OR(E3439="",E3439="!!!"),"",IF(NOT(ISNA(VLOOKUP(E3439,E$1:E3438,1,FALSE()))),"OLD",IF(AND(E3439&lt;&gt;"",E3439&lt;&gt;"!!!"),"NEW","")))</f>
        <v/>
      </c>
      <c r="G3439" s="26" t="str">
        <f aca="false">IF(OR(E3439="",E3439="!!!"),"",IF(OR(J3439=0,AND(J3439=1,K3439=1),AND(J3439=1,I3439="SBJ"),AND(J3439=1,I3439=0)),"?IN_FOCUS",IF(J3439&lt;=2,"?ACTIVATED",IF(J3439&lt;&gt;"","?FAMILIAR",IF(F3439="NEW",IF(ISNA(VLOOKUP(E3439,#REF!,1,FALSE())),"?TYPE_IDENTIFIABLE","?REFERENTIAL"),"_")))))</f>
        <v/>
      </c>
      <c r="H3439" s="27" t="str">
        <f aca="false">IF(J3439&lt;&gt;1,"",IF(I3439="SBJ","CB","?"))</f>
        <v/>
      </c>
      <c r="I3439" s="24" t="str">
        <f aca="false">IF(OR(E3439="",E3439="!!!",F3439="NEW"),"",INDEX(B13:B$3427,-1+SUMPRODUCT(MAX(ROW(E13:E$3427)*(E3439=E13:E$3427)))))</f>
        <v/>
      </c>
      <c r="J3439" s="24" t="str">
        <f aca="true">IF(OR(E3439="",E3439="!!!",F3439="NEW"),"",COUNTBLANK(OFFSET(A$1,,,SUMPRODUCT(MAX(ROW(E$2:E3439)*(E3439=E$2:E3439)))))-COUNTBLANK(OFFSET(A$1,,,SUMPRODUCT(MAX(ROW(E$1:E3438)*(E2=E$1:E3438))))))</f>
        <v/>
      </c>
      <c r="K3439" s="24" t="str">
        <f aca="false">IF(OR(E3439="",E3439="!!!",F3439="NEW"),"",INDEX(J$1:J3438,SUMPRODUCT(MAX(ROW(E$1:E3438)*(E3439=E$1:E3438)))))</f>
        <v/>
      </c>
      <c r="L3439" s="31"/>
    </row>
    <row r="3440" customFormat="false" ht="15" hidden="false" customHeight="false" outlineLevel="0" collapsed="false">
      <c r="A3440" s="20" t="s">
        <v>1097</v>
      </c>
      <c r="B3440" s="22" t="s">
        <v>1107</v>
      </c>
      <c r="C3440" s="22" t="s">
        <v>1099</v>
      </c>
      <c r="D3440" s="22" t="s">
        <v>1060</v>
      </c>
      <c r="E3440" s="23" t="str">
        <f aca="false">IF(D3440="?OLD","!!!","")</f>
        <v>!!!</v>
      </c>
      <c r="F3440" s="25" t="str">
        <f aca="false">IF(OR(E3440="",E3440="!!!"),"",IF(NOT(ISNA(VLOOKUP(E3440,E$1:E3439,1,FALSE()))),"OLD",IF(AND(E3440&lt;&gt;"",E3440&lt;&gt;"!!!"),"NEW","")))</f>
        <v/>
      </c>
      <c r="G3440" s="26" t="str">
        <f aca="false">IF(OR(E3440="",E3440="!!!"),"",IF(OR(J3440=0,AND(J3440=1,K3440=1),AND(J3440=1,I3440="SBJ"),AND(J3440=1,I3440=0)),"?IN_FOCUS",IF(J3440&lt;=2,"?ACTIVATED",IF(J3440&lt;&gt;"","?FAMILIAR",IF(F3440="NEW",IF(ISNA(VLOOKUP(E3440,#REF!,1,FALSE())),"?TYPE_IDENTIFIABLE","?REFERENTIAL"),"_")))))</f>
        <v/>
      </c>
      <c r="H3440" s="27" t="str">
        <f aca="false">IF(J3440&lt;&gt;1,"",IF(I3440="SBJ","CB","?"))</f>
        <v/>
      </c>
      <c r="I3440" s="24" t="str">
        <f aca="false">IF(OR(E3440="",E3440="!!!",F3440="NEW"),"",INDEX(B14:B$3427,-1+SUMPRODUCT(MAX(ROW(E14:E$3427)*(E3440=E14:E$3427)))))</f>
        <v/>
      </c>
      <c r="J3440" s="24" t="str">
        <f aca="true">IF(OR(E3440="",E3440="!!!",F3440="NEW"),"",COUNTBLANK(OFFSET(A$1,,,SUMPRODUCT(MAX(ROW(E$2:E3440)*(E3440=E$2:E3440)))))-COUNTBLANK(OFFSET(A$1,,,SUMPRODUCT(MAX(ROW(E$1:E3439)*(E2=E$1:E3439))))))</f>
        <v/>
      </c>
      <c r="K3440" s="24" t="str">
        <f aca="false">IF(OR(E3440="",E3440="!!!",F3440="NEW"),"",INDEX(J$1:J3439,SUMPRODUCT(MAX(ROW(E$1:E3439)*(E3440=E$1:E3439)))))</f>
        <v/>
      </c>
      <c r="L3440" s="31"/>
    </row>
    <row r="3441" customFormat="false" ht="15" hidden="false" customHeight="false" outlineLevel="0" collapsed="false">
      <c r="A3441" s="20" t="s">
        <v>1934</v>
      </c>
      <c r="B3441" s="22" t="s">
        <v>1067</v>
      </c>
      <c r="C3441" s="22" t="s">
        <v>1059</v>
      </c>
      <c r="D3441" s="22" t="s">
        <v>1060</v>
      </c>
      <c r="E3441" s="23" t="str">
        <f aca="false">IF(D3441="?OLD","!!!","")</f>
        <v>!!!</v>
      </c>
      <c r="F3441" s="25" t="str">
        <f aca="false">IF(OR(E3441="",E3441="!!!"),"",IF(NOT(ISNA(VLOOKUP(E3441,E$1:E3440,1,FALSE()))),"OLD",IF(AND(E3441&lt;&gt;"",E3441&lt;&gt;"!!!"),"NEW","")))</f>
        <v/>
      </c>
      <c r="G3441" s="26" t="str">
        <f aca="false">IF(OR(E3441="",E3441="!!!"),"",IF(OR(J3441=0,AND(J3441=1,K3441=1),AND(J3441=1,I3441="SBJ"),AND(J3441=1,I3441=0)),"?IN_FOCUS",IF(J3441&lt;=2,"?ACTIVATED",IF(J3441&lt;&gt;"","?FAMILIAR",IF(F3441="NEW",IF(ISNA(VLOOKUP(E3441,#REF!,1,FALSE())),"?TYPE_IDENTIFIABLE","?REFERENTIAL"),"_")))))</f>
        <v/>
      </c>
      <c r="H3441" s="27" t="str">
        <f aca="false">IF(J3441&lt;&gt;1,"",IF(I3441="SBJ","CB","?"))</f>
        <v/>
      </c>
      <c r="I3441" s="24" t="str">
        <f aca="false">IF(OR(E3441="",E3441="!!!",F3441="NEW"),"",INDEX(B15:B$3427,-1+SUMPRODUCT(MAX(ROW(E15:E$3427)*(E3441=E15:E$3427)))))</f>
        <v/>
      </c>
      <c r="J3441" s="24" t="str">
        <f aca="true">IF(OR(E3441="",E3441="!!!",F3441="NEW"),"",COUNTBLANK(OFFSET(A$1,,,SUMPRODUCT(MAX(ROW(E$2:E3441)*(E3441=E$2:E3441)))))-COUNTBLANK(OFFSET(A$1,,,SUMPRODUCT(MAX(ROW(E$1:E3440)*(E2=E$1:E3440))))))</f>
        <v/>
      </c>
      <c r="K3441" s="24" t="str">
        <f aca="false">IF(OR(E3441="",E3441="!!!",F3441="NEW"),"",INDEX(J$1:J3440,SUMPRODUCT(MAX(ROW(E$1:E3440)*(E3441=E$1:E3440)))))</f>
        <v/>
      </c>
      <c r="L3441" s="31"/>
    </row>
    <row r="3442" customFormat="false" ht="15" hidden="false" customHeight="false" outlineLevel="0" collapsed="false">
      <c r="A3442" s="20" t="s">
        <v>1128</v>
      </c>
      <c r="E3442" s="23" t="str">
        <f aca="false">IF(D3442="?OLD","!!!","")</f>
        <v/>
      </c>
      <c r="F3442" s="25" t="str">
        <f aca="false">IF(OR(E3442="",E3442="!!!"),"",IF(NOT(ISNA(VLOOKUP(E3442,E$1:E3441,1,FALSE()))),"OLD",IF(AND(E3442&lt;&gt;"",E3442&lt;&gt;"!!!"),"NEW","")))</f>
        <v/>
      </c>
      <c r="G3442" s="26" t="str">
        <f aca="false">IF(OR(E3442="",E3442="!!!"),"",IF(OR(J3442=0,AND(J3442=1,K3442=1),AND(J3442=1,I3442="SBJ"),AND(J3442=1,I3442=0)),"?IN_FOCUS",IF(J3442&lt;=2,"?ACTIVATED",IF(J3442&lt;&gt;"","?FAMILIAR",IF(F3442="NEW",IF(ISNA(VLOOKUP(E3442,#REF!,1,FALSE())),"?TYPE_IDENTIFIABLE","?REFERENTIAL"),"_")))))</f>
        <v/>
      </c>
      <c r="H3442" s="27" t="str">
        <f aca="false">IF(J3442&lt;&gt;1,"",IF(I3442="SBJ","CB","?"))</f>
        <v/>
      </c>
      <c r="I3442" s="24" t="str">
        <f aca="false">IF(OR(E3442="",E3442="!!!",F3442="NEW"),"",INDEX(B16:B$3427,-1+SUMPRODUCT(MAX(ROW(E16:E$3427)*(E3442=E16:E$3427)))))</f>
        <v/>
      </c>
      <c r="J3442" s="24" t="str">
        <f aca="true">IF(OR(E3442="",E3442="!!!",F3442="NEW"),"",COUNTBLANK(OFFSET(A$1,,,SUMPRODUCT(MAX(ROW(E$2:E3442)*(E3442=E$2:E3442)))))-COUNTBLANK(OFFSET(A$1,,,SUMPRODUCT(MAX(ROW(E$1:E3441)*(E2=E$1:E3441))))))</f>
        <v/>
      </c>
      <c r="K3442" s="24" t="str">
        <f aca="false">IF(OR(E3442="",E3442="!!!",F3442="NEW"),"",INDEX(J$1:J3441,SUMPRODUCT(MAX(ROW(E$1:E3441)*(E3442=E$1:E3441)))))</f>
        <v/>
      </c>
      <c r="L3442" s="31"/>
    </row>
    <row r="3443" customFormat="false" ht="15" hidden="false" customHeight="false" outlineLevel="0" collapsed="false">
      <c r="A3443" s="20" t="s">
        <v>1080</v>
      </c>
      <c r="B3443" s="22" t="s">
        <v>1086</v>
      </c>
      <c r="C3443" s="22" t="s">
        <v>1082</v>
      </c>
      <c r="D3443" s="22" t="s">
        <v>1060</v>
      </c>
      <c r="E3443" s="23" t="str">
        <f aca="false">IF(D3443="?OLD","!!!","")</f>
        <v>!!!</v>
      </c>
      <c r="F3443" s="25" t="str">
        <f aca="false">IF(OR(E3443="",E3443="!!!"),"",IF(NOT(ISNA(VLOOKUP(E3443,E$1:E3442,1,FALSE()))),"OLD",IF(AND(E3443&lt;&gt;"",E3443&lt;&gt;"!!!"),"NEW","")))</f>
        <v/>
      </c>
      <c r="G3443" s="26" t="str">
        <f aca="false">IF(OR(E3443="",E3443="!!!"),"",IF(OR(J3443=0,AND(J3443=1,K3443=1),AND(J3443=1,I3443="SBJ"),AND(J3443=1,I3443=0)),"?IN_FOCUS",IF(J3443&lt;=2,"?ACTIVATED",IF(J3443&lt;&gt;"","?FAMILIAR",IF(F3443="NEW",IF(ISNA(VLOOKUP(E3443,#REF!,1,FALSE())),"?TYPE_IDENTIFIABLE","?REFERENTIAL"),"_")))))</f>
        <v/>
      </c>
      <c r="H3443" s="27" t="str">
        <f aca="false">IF(J3443&lt;&gt;1,"",IF(I3443="SBJ","CB","?"))</f>
        <v/>
      </c>
      <c r="I3443" s="24" t="str">
        <f aca="false">IF(OR(E3443="",E3443="!!!",F3443="NEW"),"",INDEX(B17:B$3427,-1+SUMPRODUCT(MAX(ROW(E17:E$3427)*(E3443=E17:E$3427)))))</f>
        <v/>
      </c>
      <c r="J3443" s="24" t="str">
        <f aca="true">IF(OR(E3443="",E3443="!!!",F3443="NEW"),"",COUNTBLANK(OFFSET(A$1,,,SUMPRODUCT(MAX(ROW(E$2:E3443)*(E3443=E$2:E3443)))))-COUNTBLANK(OFFSET(A$1,,,SUMPRODUCT(MAX(ROW(E$1:E3442)*(E2=E$1:E3442))))))</f>
        <v/>
      </c>
      <c r="K3443" s="24" t="str">
        <f aca="false">IF(OR(E3443="",E3443="!!!",F3443="NEW"),"",INDEX(J$1:J3442,SUMPRODUCT(MAX(ROW(E$1:E3442)*(E3443=E$1:E3442)))))</f>
        <v/>
      </c>
      <c r="L3443" s="31"/>
    </row>
    <row r="3444" customFormat="false" ht="15" hidden="false" customHeight="false" outlineLevel="0" collapsed="false">
      <c r="A3444" s="20" t="s">
        <v>1938</v>
      </c>
      <c r="E3444" s="23" t="str">
        <f aca="false">IF(D3444="?OLD","!!!","")</f>
        <v/>
      </c>
      <c r="F3444" s="25" t="str">
        <f aca="false">IF(OR(E3444="",E3444="!!!"),"",IF(NOT(ISNA(VLOOKUP(E3444,E$1:E3443,1,FALSE()))),"OLD",IF(AND(E3444&lt;&gt;"",E3444&lt;&gt;"!!!"),"NEW","")))</f>
        <v/>
      </c>
      <c r="G3444" s="26" t="str">
        <f aca="false">IF(OR(E3444="",E3444="!!!"),"",IF(OR(J3444=0,AND(J3444=1,K3444=1),AND(J3444=1,I3444="SBJ"),AND(J3444=1,I3444=0)),"?IN_FOCUS",IF(J3444&lt;=2,"?ACTIVATED",IF(J3444&lt;&gt;"","?FAMILIAR",IF(F3444="NEW",IF(ISNA(VLOOKUP(E3444,#REF!,1,FALSE())),"?TYPE_IDENTIFIABLE","?REFERENTIAL"),"_")))))</f>
        <v/>
      </c>
      <c r="H3444" s="27" t="str">
        <f aca="false">IF(J3444&lt;&gt;1,"",IF(I3444="SBJ","CB","?"))</f>
        <v/>
      </c>
      <c r="I3444" s="24" t="str">
        <f aca="false">IF(OR(E3444="",E3444="!!!",F3444="NEW"),"",INDEX(B18:B$3427,-1+SUMPRODUCT(MAX(ROW(E18:E$3427)*(E3444=E18:E$3427)))))</f>
        <v/>
      </c>
      <c r="J3444" s="24" t="str">
        <f aca="true">IF(OR(E3444="",E3444="!!!",F3444="NEW"),"",COUNTBLANK(OFFSET(A$1,,,SUMPRODUCT(MAX(ROW(E$2:E3444)*(E3444=E$2:E3444)))))-COUNTBLANK(OFFSET(A$1,,,SUMPRODUCT(MAX(ROW(E$1:E3443)*(E2=E$1:E3443))))))</f>
        <v/>
      </c>
      <c r="K3444" s="24" t="str">
        <f aca="false">IF(OR(E3444="",E3444="!!!",F3444="NEW"),"",INDEX(J$1:J3443,SUMPRODUCT(MAX(ROW(E$1:E3443)*(E3444=E$1:E3443)))))</f>
        <v/>
      </c>
      <c r="L3444" s="31"/>
    </row>
    <row r="3445" customFormat="false" ht="15" hidden="false" customHeight="false" outlineLevel="0" collapsed="false">
      <c r="A3445" s="20" t="s">
        <v>671</v>
      </c>
      <c r="E3445" s="23" t="str">
        <f aca="false">IF(D3445="?OLD","!!!","")</f>
        <v/>
      </c>
      <c r="F3445" s="25" t="str">
        <f aca="false">IF(OR(E3445="",E3445="!!!"),"",IF(NOT(ISNA(VLOOKUP(E3445,E$1:E3444,1,FALSE()))),"OLD",IF(AND(E3445&lt;&gt;"",E3445&lt;&gt;"!!!"),"NEW","")))</f>
        <v/>
      </c>
      <c r="G3445" s="26" t="str">
        <f aca="false">IF(OR(E3445="",E3445="!!!"),"",IF(OR(J3445=0,AND(J3445=1,K3445=1),AND(J3445=1,I3445="SBJ"),AND(J3445=1,I3445=0)),"?IN_FOCUS",IF(J3445&lt;=2,"?ACTIVATED",IF(J3445&lt;&gt;"","?FAMILIAR",IF(F3445="NEW",IF(ISNA(VLOOKUP(E3445,#REF!,1,FALSE())),"?TYPE_IDENTIFIABLE","?REFERENTIAL"),"_")))))</f>
        <v/>
      </c>
      <c r="H3445" s="27" t="str">
        <f aca="false">IF(J3445&lt;&gt;1,"",IF(I3445="SBJ","CB","?"))</f>
        <v/>
      </c>
      <c r="I3445" s="24" t="str">
        <f aca="false">IF(OR(E3445="",E3445="!!!",F3445="NEW"),"",INDEX(B19:B$3427,-1+SUMPRODUCT(MAX(ROW(E19:E$3427)*(E3445=E19:E$3427)))))</f>
        <v/>
      </c>
      <c r="J3445" s="24" t="str">
        <f aca="true">IF(OR(E3445="",E3445="!!!",F3445="NEW"),"",COUNTBLANK(OFFSET(A$1,,,SUMPRODUCT(MAX(ROW(E$2:E3445)*(E3445=E$2:E3445)))))-COUNTBLANK(OFFSET(A$1,,,SUMPRODUCT(MAX(ROW(E$1:E3444)*(E2=E$1:E3444))))))</f>
        <v/>
      </c>
      <c r="K3445" s="24" t="str">
        <f aca="false">IF(OR(E3445="",E3445="!!!",F3445="NEW"),"",INDEX(J$1:J3444,SUMPRODUCT(MAX(ROW(E$1:E3444)*(E3445=E$1:E3444)))))</f>
        <v/>
      </c>
      <c r="L3445" s="31"/>
    </row>
    <row r="3446" customFormat="false" ht="15" hidden="false" customHeight="false" outlineLevel="0" collapsed="false">
      <c r="A3446" s="20" t="s">
        <v>923</v>
      </c>
      <c r="E3446" s="23" t="str">
        <f aca="false">IF(D3446="?OLD","!!!","")</f>
        <v/>
      </c>
      <c r="F3446" s="25" t="str">
        <f aca="false">IF(OR(E3446="",E3446="!!!"),"",IF(NOT(ISNA(VLOOKUP(E3446,E$1:E3445,1,FALSE()))),"OLD",IF(AND(E3446&lt;&gt;"",E3446&lt;&gt;"!!!"),"NEW","")))</f>
        <v/>
      </c>
      <c r="G3446" s="26" t="str">
        <f aca="false">IF(OR(E3446="",E3446="!!!"),"",IF(OR(J3446=0,AND(J3446=1,K3446=1),AND(J3446=1,I3446="SBJ"),AND(J3446=1,I3446=0)),"?IN_FOCUS",IF(J3446&lt;=2,"?ACTIVATED",IF(J3446&lt;&gt;"","?FAMILIAR",IF(F3446="NEW",IF(ISNA(VLOOKUP(E3446,#REF!,1,FALSE())),"?TYPE_IDENTIFIABLE","?REFERENTIAL"),"_")))))</f>
        <v/>
      </c>
      <c r="H3446" s="27" t="str">
        <f aca="false">IF(J3446&lt;&gt;1,"",IF(I3446="SBJ","CB","?"))</f>
        <v/>
      </c>
      <c r="I3446" s="24" t="str">
        <f aca="false">IF(OR(E3446="",E3446="!!!",F3446="NEW"),"",INDEX(B20:B$3427,-1+SUMPRODUCT(MAX(ROW(E20:E$3427)*(E3446=E20:E$3427)))))</f>
        <v/>
      </c>
      <c r="J3446" s="24" t="str">
        <f aca="true">IF(OR(E3446="",E3446="!!!",F3446="NEW"),"",COUNTBLANK(OFFSET(A$1,,,SUMPRODUCT(MAX(ROW(E$2:E3446)*(E3446=E$2:E3446)))))-COUNTBLANK(OFFSET(A$1,,,SUMPRODUCT(MAX(ROW(E$1:E3445)*(E2=E$1:E3445))))))</f>
        <v/>
      </c>
      <c r="K3446" s="24" t="str">
        <f aca="false">IF(OR(E3446="",E3446="!!!",F3446="NEW"),"",INDEX(J$1:J3445,SUMPRODUCT(MAX(ROW(E$1:E3445)*(E3446=E$1:E3445)))))</f>
        <v/>
      </c>
      <c r="L3446" s="31"/>
    </row>
    <row r="3447" customFormat="false" ht="15" hidden="false" customHeight="false" outlineLevel="0" collapsed="false">
      <c r="A3447" s="20"/>
    </row>
    <row r="3448" customFormat="false" ht="15" hidden="false" customHeight="false" outlineLevel="0" collapsed="false">
      <c r="A3448" s="20" t="s">
        <v>2164</v>
      </c>
    </row>
    <row r="3449" customFormat="false" ht="15" hidden="false" customHeight="false" outlineLevel="0" collapsed="false">
      <c r="A3449" s="20" t="s">
        <v>682</v>
      </c>
      <c r="E3449" s="23" t="str">
        <f aca="false">IF(D3449="?OLD","!!!","")</f>
        <v/>
      </c>
      <c r="F3449" s="25" t="str">
        <f aca="false">IF(OR(E3449="",E3449="!!!"),"",IF(NOT(ISNA(VLOOKUP(E3449,E$1:E3448,1,FALSE()))),"OLD",IF(AND(E3449&lt;&gt;"",E3449&lt;&gt;"!!!"),"NEW","")))</f>
        <v/>
      </c>
      <c r="G3449" s="26" t="str">
        <f aca="false">IF(OR(E3449="",E3449="!!!"),"",IF(OR(J3449=0,AND(J3449=1,K3449=1),AND(J3449=1,I3449="SBJ"),AND(J3449=1,I3449=0)),"?IN_FOCUS",IF(J3449&lt;=2,"?ACTIVATED",IF(J3449&lt;&gt;"","?FAMILIAR",IF(F3449="NEW",IF(ISNA(VLOOKUP(E3449,#REF!,1,FALSE())),"?TYPE_IDENTIFIABLE","?REFERENTIAL"),"_")))))</f>
        <v/>
      </c>
      <c r="H3449" s="27" t="str">
        <f aca="false">IF(J3449&lt;&gt;1,"",IF(I3449="SBJ","CB","?"))</f>
        <v/>
      </c>
      <c r="I3449" s="24" t="str">
        <f aca="false">IF(OR(E3449="",E3449="!!!",F3449="NEW"),"",INDEX(B2:B$3448,-1+SUMPRODUCT(MAX(ROW(E2:E$3448)*(E3449=E2:E$3448)))))</f>
        <v/>
      </c>
      <c r="J3449" s="24" t="str">
        <f aca="true">IF(OR(E3449="",E3449="!!!",F3449="NEW"),"",COUNTBLANK(OFFSET(A$1,,,SUMPRODUCT(MAX(ROW(E$2:E3449)*(E3449=E$2:E3449)))))-COUNTBLANK(OFFSET(A$1,,,SUMPRODUCT(MAX(ROW(E$1:E3448)*(E2=E$1:E3448))))))</f>
        <v/>
      </c>
      <c r="K3449" s="24" t="str">
        <f aca="false">IF(OR(E3449="",E3449="!!!",F3449="NEW"),"",INDEX(J$1:J3448,SUMPRODUCT(MAX(ROW(E$1:E3448)*(E3449=E$1:E3448)))))</f>
        <v/>
      </c>
      <c r="L3449" s="31"/>
    </row>
    <row r="3450" customFormat="false" ht="15" hidden="false" customHeight="false" outlineLevel="0" collapsed="false">
      <c r="A3450" s="20" t="s">
        <v>1173</v>
      </c>
      <c r="E3450" s="23" t="str">
        <f aca="false">IF(D3450="?OLD","!!!","")</f>
        <v/>
      </c>
      <c r="F3450" s="25" t="str">
        <f aca="false">IF(OR(E3450="",E3450="!!!"),"",IF(NOT(ISNA(VLOOKUP(E3450,E$1:E3449,1,FALSE()))),"OLD",IF(AND(E3450&lt;&gt;"",E3450&lt;&gt;"!!!"),"NEW","")))</f>
        <v/>
      </c>
      <c r="G3450" s="26" t="str">
        <f aca="false">IF(OR(E3450="",E3450="!!!"),"",IF(OR(J3450=0,AND(J3450=1,K3450=1),AND(J3450=1,I3450="SBJ"),AND(J3450=1,I3450=0)),"?IN_FOCUS",IF(J3450&lt;=2,"?ACTIVATED",IF(J3450&lt;&gt;"","?FAMILIAR",IF(F3450="NEW",IF(ISNA(VLOOKUP(E3450,#REF!,1,FALSE())),"?TYPE_IDENTIFIABLE","?REFERENTIAL"),"_")))))</f>
        <v/>
      </c>
      <c r="H3450" s="27" t="str">
        <f aca="false">IF(J3450&lt;&gt;1,"",IF(I3450="SBJ","CB","?"))</f>
        <v/>
      </c>
      <c r="I3450" s="24" t="str">
        <f aca="false">IF(OR(E3450="",E3450="!!!",F3450="NEW"),"",INDEX(B3:B$3448,-1+SUMPRODUCT(MAX(ROW(E3:E$3448)*(E3450=E3:E$3448)))))</f>
        <v/>
      </c>
      <c r="J3450" s="24" t="str">
        <f aca="true">IF(OR(E3450="",E3450="!!!",F3450="NEW"),"",COUNTBLANK(OFFSET(A$1,,,SUMPRODUCT(MAX(ROW(E$2:E3450)*(E3450=E$2:E3450)))))-COUNTBLANK(OFFSET(A$1,,,SUMPRODUCT(MAX(ROW(E$1:E3449)*(E2=E$1:E3449))))))</f>
        <v/>
      </c>
      <c r="K3450" s="24" t="str">
        <f aca="false">IF(OR(E3450="",E3450="!!!",F3450="NEW"),"",INDEX(J$1:J3449,SUMPRODUCT(MAX(ROW(E$1:E3449)*(E3450=E$1:E3449)))))</f>
        <v/>
      </c>
      <c r="L3450" s="31"/>
    </row>
    <row r="3451" customFormat="false" ht="15" hidden="false" customHeight="false" outlineLevel="0" collapsed="false">
      <c r="A3451" s="20" t="s">
        <v>1720</v>
      </c>
      <c r="B3451" s="22" t="s">
        <v>1105</v>
      </c>
      <c r="C3451" s="22" t="s">
        <v>1160</v>
      </c>
      <c r="E3451" s="23" t="str">
        <f aca="false">IF(D3451="?OLD","!!!","")</f>
        <v/>
      </c>
      <c r="F3451" s="25" t="str">
        <f aca="false">IF(OR(E3451="",E3451="!!!"),"",IF(NOT(ISNA(VLOOKUP(E3451,E$1:E3450,1,FALSE()))),"OLD",IF(AND(E3451&lt;&gt;"",E3451&lt;&gt;"!!!"),"NEW","")))</f>
        <v/>
      </c>
      <c r="G3451" s="26" t="str">
        <f aca="false">IF(OR(E3451="",E3451="!!!"),"",IF(OR(J3451=0,AND(J3451=1,K3451=1),AND(J3451=1,I3451="SBJ"),AND(J3451=1,I3451=0)),"?IN_FOCUS",IF(J3451&lt;=2,"?ACTIVATED",IF(J3451&lt;&gt;"","?FAMILIAR",IF(F3451="NEW",IF(ISNA(VLOOKUP(E3451,#REF!,1,FALSE())),"?TYPE_IDENTIFIABLE","?REFERENTIAL"),"_")))))</f>
        <v/>
      </c>
      <c r="H3451" s="27" t="str">
        <f aca="false">IF(J3451&lt;&gt;1,"",IF(I3451="SBJ","CB","?"))</f>
        <v/>
      </c>
      <c r="I3451" s="24" t="str">
        <f aca="false">IF(OR(E3451="",E3451="!!!",F3451="NEW"),"",INDEX(B4:B$3448,-1+SUMPRODUCT(MAX(ROW(E4:E$3448)*(E3451=E4:E$3448)))))</f>
        <v/>
      </c>
      <c r="J3451" s="24" t="str">
        <f aca="true">IF(OR(E3451="",E3451="!!!",F3451="NEW"),"",COUNTBLANK(OFFSET(A$1,,,SUMPRODUCT(MAX(ROW(E$2:E3451)*(E3451=E$2:E3451)))))-COUNTBLANK(OFFSET(A$1,,,SUMPRODUCT(MAX(ROW(E$1:E3450)*(E2=E$1:E3450))))))</f>
        <v/>
      </c>
      <c r="K3451" s="24" t="str">
        <f aca="false">IF(OR(E3451="",E3451="!!!",F3451="NEW"),"",INDEX(J$1:J3450,SUMPRODUCT(MAX(ROW(E$1:E3450)*(E3451=E$1:E3450)))))</f>
        <v/>
      </c>
      <c r="L3451" s="31"/>
    </row>
    <row r="3452" customFormat="false" ht="15" hidden="false" customHeight="false" outlineLevel="0" collapsed="false">
      <c r="A3452" s="20" t="s">
        <v>1076</v>
      </c>
      <c r="E3452" s="23" t="str">
        <f aca="false">IF(D3452="?OLD","!!!","")</f>
        <v/>
      </c>
      <c r="F3452" s="25" t="str">
        <f aca="false">IF(OR(E3452="",E3452="!!!"),"",IF(NOT(ISNA(VLOOKUP(E3452,E$1:E3451,1,FALSE()))),"OLD",IF(AND(E3452&lt;&gt;"",E3452&lt;&gt;"!!!"),"NEW","")))</f>
        <v/>
      </c>
      <c r="G3452" s="26" t="str">
        <f aca="false">IF(OR(E3452="",E3452="!!!"),"",IF(OR(J3452=0,AND(J3452=1,K3452=1),AND(J3452=1,I3452="SBJ"),AND(J3452=1,I3452=0)),"?IN_FOCUS",IF(J3452&lt;=2,"?ACTIVATED",IF(J3452&lt;&gt;"","?FAMILIAR",IF(F3452="NEW",IF(ISNA(VLOOKUP(E3452,#REF!,1,FALSE())),"?TYPE_IDENTIFIABLE","?REFERENTIAL"),"_")))))</f>
        <v/>
      </c>
      <c r="H3452" s="27" t="str">
        <f aca="false">IF(J3452&lt;&gt;1,"",IF(I3452="SBJ","CB","?"))</f>
        <v/>
      </c>
      <c r="I3452" s="24" t="str">
        <f aca="false">IF(OR(E3452="",E3452="!!!",F3452="NEW"),"",INDEX(B5:B$3448,-1+SUMPRODUCT(MAX(ROW(E5:E$3448)*(E3452=E5:E$3448)))))</f>
        <v/>
      </c>
      <c r="J3452" s="24" t="str">
        <f aca="true">IF(OR(E3452="",E3452="!!!",F3452="NEW"),"",COUNTBLANK(OFFSET(A$1,,,SUMPRODUCT(MAX(ROW(E$2:E3452)*(E3452=E$2:E3452)))))-COUNTBLANK(OFFSET(A$1,,,SUMPRODUCT(MAX(ROW(E$1:E3451)*(E2=E$1:E3451))))))</f>
        <v/>
      </c>
      <c r="K3452" s="24" t="str">
        <f aca="false">IF(OR(E3452="",E3452="!!!",F3452="NEW"),"",INDEX(J$1:J3451,SUMPRODUCT(MAX(ROW(E$1:E3451)*(E3452=E$1:E3451)))))</f>
        <v/>
      </c>
      <c r="L3452" s="31"/>
    </row>
    <row r="3453" customFormat="false" ht="15" hidden="false" customHeight="false" outlineLevel="0" collapsed="false">
      <c r="A3453" s="20" t="s">
        <v>1186</v>
      </c>
      <c r="B3453" s="22" t="s">
        <v>1081</v>
      </c>
      <c r="C3453" s="22" t="s">
        <v>1082</v>
      </c>
      <c r="D3453" s="22" t="s">
        <v>1060</v>
      </c>
      <c r="E3453" s="23" t="str">
        <f aca="false">IF(D3453="?OLD","!!!","")</f>
        <v>!!!</v>
      </c>
      <c r="F3453" s="25" t="str">
        <f aca="false">IF(OR(E3453="",E3453="!!!"),"",IF(NOT(ISNA(VLOOKUP(E3453,E$1:E3452,1,FALSE()))),"OLD",IF(AND(E3453&lt;&gt;"",E3453&lt;&gt;"!!!"),"NEW","")))</f>
        <v/>
      </c>
      <c r="G3453" s="26" t="str">
        <f aca="false">IF(OR(E3453="",E3453="!!!"),"",IF(OR(J3453=0,AND(J3453=1,K3453=1),AND(J3453=1,I3453="SBJ"),AND(J3453=1,I3453=0)),"?IN_FOCUS",IF(J3453&lt;=2,"?ACTIVATED",IF(J3453&lt;&gt;"","?FAMILIAR",IF(F3453="NEW",IF(ISNA(VLOOKUP(E3453,#REF!,1,FALSE())),"?TYPE_IDENTIFIABLE","?REFERENTIAL"),"_")))))</f>
        <v/>
      </c>
      <c r="H3453" s="27" t="str">
        <f aca="false">IF(J3453&lt;&gt;1,"",IF(I3453="SBJ","CB","?"))</f>
        <v/>
      </c>
      <c r="I3453" s="24" t="str">
        <f aca="false">IF(OR(E3453="",E3453="!!!",F3453="NEW"),"",INDEX(B6:B$3448,-1+SUMPRODUCT(MAX(ROW(E6:E$3448)*(E3453=E6:E$3448)))))</f>
        <v/>
      </c>
      <c r="J3453" s="24" t="str">
        <f aca="true">IF(OR(E3453="",E3453="!!!",F3453="NEW"),"",COUNTBLANK(OFFSET(A$1,,,SUMPRODUCT(MAX(ROW(E$2:E3453)*(E3453=E$2:E3453)))))-COUNTBLANK(OFFSET(A$1,,,SUMPRODUCT(MAX(ROW(E$1:E3452)*(E2=E$1:E3452))))))</f>
        <v/>
      </c>
      <c r="K3453" s="24" t="str">
        <f aca="false">IF(OR(E3453="",E3453="!!!",F3453="NEW"),"",INDEX(J$1:J3452,SUMPRODUCT(MAX(ROW(E$1:E3452)*(E3453=E$1:E3452)))))</f>
        <v/>
      </c>
      <c r="L3453" s="31"/>
    </row>
    <row r="3454" customFormat="false" ht="15" hidden="false" customHeight="false" outlineLevel="0" collapsed="false">
      <c r="A3454" s="20" t="s">
        <v>1760</v>
      </c>
      <c r="E3454" s="23" t="str">
        <f aca="false">IF(D3454="?OLD","!!!","")</f>
        <v/>
      </c>
      <c r="F3454" s="25" t="str">
        <f aca="false">IF(OR(E3454="",E3454="!!!"),"",IF(NOT(ISNA(VLOOKUP(E3454,E$1:E3453,1,FALSE()))),"OLD",IF(AND(E3454&lt;&gt;"",E3454&lt;&gt;"!!!"),"NEW","")))</f>
        <v/>
      </c>
      <c r="G3454" s="26" t="str">
        <f aca="false">IF(OR(E3454="",E3454="!!!"),"",IF(OR(J3454=0,AND(J3454=1,K3454=1),AND(J3454=1,I3454="SBJ"),AND(J3454=1,I3454=0)),"?IN_FOCUS",IF(J3454&lt;=2,"?ACTIVATED",IF(J3454&lt;&gt;"","?FAMILIAR",IF(F3454="NEW",IF(ISNA(VLOOKUP(E3454,#REF!,1,FALSE())),"?TYPE_IDENTIFIABLE","?REFERENTIAL"),"_")))))</f>
        <v/>
      </c>
      <c r="H3454" s="27" t="str">
        <f aca="false">IF(J3454&lt;&gt;1,"",IF(I3454="SBJ","CB","?"))</f>
        <v/>
      </c>
      <c r="I3454" s="24" t="str">
        <f aca="false">IF(OR(E3454="",E3454="!!!",F3454="NEW"),"",INDEX(B7:B$3448,-1+SUMPRODUCT(MAX(ROW(E7:E$3448)*(E3454=E7:E$3448)))))</f>
        <v/>
      </c>
      <c r="J3454" s="24" t="str">
        <f aca="true">IF(OR(E3454="",E3454="!!!",F3454="NEW"),"",COUNTBLANK(OFFSET(A$1,,,SUMPRODUCT(MAX(ROW(E$2:E3454)*(E3454=E$2:E3454)))))-COUNTBLANK(OFFSET(A$1,,,SUMPRODUCT(MAX(ROW(E$1:E3453)*(E2=E$1:E3453))))))</f>
        <v/>
      </c>
      <c r="K3454" s="24" t="str">
        <f aca="false">IF(OR(E3454="",E3454="!!!",F3454="NEW"),"",INDEX(J$1:J3453,SUMPRODUCT(MAX(ROW(E$1:E3453)*(E3454=E$1:E3453)))))</f>
        <v/>
      </c>
      <c r="L3454" s="31"/>
    </row>
    <row r="3455" customFormat="false" ht="15" hidden="false" customHeight="false" outlineLevel="0" collapsed="false">
      <c r="A3455" s="20" t="s">
        <v>1822</v>
      </c>
      <c r="E3455" s="23" t="str">
        <f aca="false">IF(D3455="?OLD","!!!","")</f>
        <v/>
      </c>
      <c r="F3455" s="25" t="str">
        <f aca="false">IF(OR(E3455="",E3455="!!!"),"",IF(NOT(ISNA(VLOOKUP(E3455,E$1:E3454,1,FALSE()))),"OLD",IF(AND(E3455&lt;&gt;"",E3455&lt;&gt;"!!!"),"NEW","")))</f>
        <v/>
      </c>
      <c r="G3455" s="26" t="str">
        <f aca="false">IF(OR(E3455="",E3455="!!!"),"",IF(OR(J3455=0,AND(J3455=1,K3455=1),AND(J3455=1,I3455="SBJ"),AND(J3455=1,I3455=0)),"?IN_FOCUS",IF(J3455&lt;=2,"?ACTIVATED",IF(J3455&lt;&gt;"","?FAMILIAR",IF(F3455="NEW",IF(ISNA(VLOOKUP(E3455,#REF!,1,FALSE())),"?TYPE_IDENTIFIABLE","?REFERENTIAL"),"_")))))</f>
        <v/>
      </c>
      <c r="H3455" s="27" t="str">
        <f aca="false">IF(J3455&lt;&gt;1,"",IF(I3455="SBJ","CB","?"))</f>
        <v/>
      </c>
      <c r="I3455" s="24" t="str">
        <f aca="false">IF(OR(E3455="",E3455="!!!",F3455="NEW"),"",INDEX(B8:B$3448,-1+SUMPRODUCT(MAX(ROW(E8:E$3448)*(E3455=E8:E$3448)))))</f>
        <v/>
      </c>
      <c r="J3455" s="24" t="str">
        <f aca="true">IF(OR(E3455="",E3455="!!!",F3455="NEW"),"",COUNTBLANK(OFFSET(A$1,,,SUMPRODUCT(MAX(ROW(E$2:E3455)*(E3455=E$2:E3455)))))-COUNTBLANK(OFFSET(A$1,,,SUMPRODUCT(MAX(ROW(E$1:E3454)*(E2=E$1:E3454))))))</f>
        <v/>
      </c>
      <c r="K3455" s="24" t="str">
        <f aca="false">IF(OR(E3455="",E3455="!!!",F3455="NEW"),"",INDEX(J$1:J3454,SUMPRODUCT(MAX(ROW(E$1:E3454)*(E3455=E$1:E3454)))))</f>
        <v/>
      </c>
      <c r="L3455" s="31"/>
    </row>
    <row r="3456" customFormat="false" ht="15" hidden="false" customHeight="false" outlineLevel="0" collapsed="false">
      <c r="A3456" s="20" t="s">
        <v>2130</v>
      </c>
      <c r="E3456" s="23" t="str">
        <f aca="false">IF(D3456="?OLD","!!!","")</f>
        <v/>
      </c>
      <c r="F3456" s="25" t="str">
        <f aca="false">IF(OR(E3456="",E3456="!!!"),"",IF(NOT(ISNA(VLOOKUP(E3456,E$1:E3455,1,FALSE()))),"OLD",IF(AND(E3456&lt;&gt;"",E3456&lt;&gt;"!!!"),"NEW","")))</f>
        <v/>
      </c>
      <c r="G3456" s="26" t="str">
        <f aca="false">IF(OR(E3456="",E3456="!!!"),"",IF(OR(J3456=0,AND(J3456=1,K3456=1),AND(J3456=1,I3456="SBJ"),AND(J3456=1,I3456=0)),"?IN_FOCUS",IF(J3456&lt;=2,"?ACTIVATED",IF(J3456&lt;&gt;"","?FAMILIAR",IF(F3456="NEW",IF(ISNA(VLOOKUP(E3456,#REF!,1,FALSE())),"?TYPE_IDENTIFIABLE","?REFERENTIAL"),"_")))))</f>
        <v/>
      </c>
      <c r="H3456" s="27" t="str">
        <f aca="false">IF(J3456&lt;&gt;1,"",IF(I3456="SBJ","CB","?"))</f>
        <v/>
      </c>
      <c r="I3456" s="24" t="str">
        <f aca="false">IF(OR(E3456="",E3456="!!!",F3456="NEW"),"",INDEX(B9:B$3448,-1+SUMPRODUCT(MAX(ROW(E9:E$3448)*(E3456=E9:E$3448)))))</f>
        <v/>
      </c>
      <c r="J3456" s="24" t="str">
        <f aca="true">IF(OR(E3456="",E3456="!!!",F3456="NEW"),"",COUNTBLANK(OFFSET(A$1,,,SUMPRODUCT(MAX(ROW(E$2:E3456)*(E3456=E$2:E3456)))))-COUNTBLANK(OFFSET(A$1,,,SUMPRODUCT(MAX(ROW(E$1:E3455)*(E2=E$1:E3455))))))</f>
        <v/>
      </c>
      <c r="K3456" s="24" t="str">
        <f aca="false">IF(OR(E3456="",E3456="!!!",F3456="NEW"),"",INDEX(J$1:J3455,SUMPRODUCT(MAX(ROW(E$1:E3455)*(E3456=E$1:E3455)))))</f>
        <v/>
      </c>
      <c r="L3456" s="31"/>
    </row>
    <row r="3457" customFormat="false" ht="15" hidden="false" customHeight="false" outlineLevel="0" collapsed="false">
      <c r="A3457" s="20" t="s">
        <v>1410</v>
      </c>
      <c r="E3457" s="23" t="str">
        <f aca="false">IF(D3457="?OLD","!!!","")</f>
        <v/>
      </c>
      <c r="F3457" s="25" t="str">
        <f aca="false">IF(OR(E3457="",E3457="!!!"),"",IF(NOT(ISNA(VLOOKUP(E3457,E$1:E3456,1,FALSE()))),"OLD",IF(AND(E3457&lt;&gt;"",E3457&lt;&gt;"!!!"),"NEW","")))</f>
        <v/>
      </c>
      <c r="G3457" s="26" t="str">
        <f aca="false">IF(OR(E3457="",E3457="!!!"),"",IF(OR(J3457=0,AND(J3457=1,K3457=1),AND(J3457=1,I3457="SBJ"),AND(J3457=1,I3457=0)),"?IN_FOCUS",IF(J3457&lt;=2,"?ACTIVATED",IF(J3457&lt;&gt;"","?FAMILIAR",IF(F3457="NEW",IF(ISNA(VLOOKUP(E3457,#REF!,1,FALSE())),"?TYPE_IDENTIFIABLE","?REFERENTIAL"),"_")))))</f>
        <v/>
      </c>
      <c r="H3457" s="27" t="str">
        <f aca="false">IF(J3457&lt;&gt;1,"",IF(I3457="SBJ","CB","?"))</f>
        <v/>
      </c>
      <c r="I3457" s="24" t="str">
        <f aca="false">IF(OR(E3457="",E3457="!!!",F3457="NEW"),"",INDEX(B10:B$3448,-1+SUMPRODUCT(MAX(ROW(E10:E$3448)*(E3457=E10:E$3448)))))</f>
        <v/>
      </c>
      <c r="J3457" s="24" t="str">
        <f aca="true">IF(OR(E3457="",E3457="!!!",F3457="NEW"),"",COUNTBLANK(OFFSET(A$1,,,SUMPRODUCT(MAX(ROW(E$2:E3457)*(E3457=E$2:E3457)))))-COUNTBLANK(OFFSET(A$1,,,SUMPRODUCT(MAX(ROW(E$1:E3456)*(E2=E$1:E3456))))))</f>
        <v/>
      </c>
      <c r="K3457" s="24" t="str">
        <f aca="false">IF(OR(E3457="",E3457="!!!",F3457="NEW"),"",INDEX(J$1:J3456,SUMPRODUCT(MAX(ROW(E$1:E3456)*(E3457=E$1:E3456)))))</f>
        <v/>
      </c>
      <c r="L3457" s="31"/>
    </row>
    <row r="3458" customFormat="false" ht="15" hidden="false" customHeight="false" outlineLevel="0" collapsed="false">
      <c r="A3458" s="20" t="s">
        <v>1109</v>
      </c>
      <c r="E3458" s="23" t="str">
        <f aca="false">IF(D3458="?OLD","!!!","")</f>
        <v/>
      </c>
      <c r="F3458" s="25" t="str">
        <f aca="false">IF(OR(E3458="",E3458="!!!"),"",IF(NOT(ISNA(VLOOKUP(E3458,E$1:E3457,1,FALSE()))),"OLD",IF(AND(E3458&lt;&gt;"",E3458&lt;&gt;"!!!"),"NEW","")))</f>
        <v/>
      </c>
      <c r="G3458" s="26" t="str">
        <f aca="false">IF(OR(E3458="",E3458="!!!"),"",IF(OR(J3458=0,AND(J3458=1,K3458=1),AND(J3458=1,I3458="SBJ"),AND(J3458=1,I3458=0)),"?IN_FOCUS",IF(J3458&lt;=2,"?ACTIVATED",IF(J3458&lt;&gt;"","?FAMILIAR",IF(F3458="NEW",IF(ISNA(VLOOKUP(E3458,#REF!,1,FALSE())),"?TYPE_IDENTIFIABLE","?REFERENTIAL"),"_")))))</f>
        <v/>
      </c>
      <c r="H3458" s="27" t="str">
        <f aca="false">IF(J3458&lt;&gt;1,"",IF(I3458="SBJ","CB","?"))</f>
        <v/>
      </c>
      <c r="I3458" s="24" t="str">
        <f aca="false">IF(OR(E3458="",E3458="!!!",F3458="NEW"),"",INDEX(B11:B$3448,-1+SUMPRODUCT(MAX(ROW(E11:E$3448)*(E3458=E11:E$3448)))))</f>
        <v/>
      </c>
      <c r="J3458" s="24" t="str">
        <f aca="true">IF(OR(E3458="",E3458="!!!",F3458="NEW"),"",COUNTBLANK(OFFSET(A$1,,,SUMPRODUCT(MAX(ROW(E$2:E3458)*(E3458=E$2:E3458)))))-COUNTBLANK(OFFSET(A$1,,,SUMPRODUCT(MAX(ROW(E$1:E3457)*(E2=E$1:E3457))))))</f>
        <v/>
      </c>
      <c r="K3458" s="24" t="str">
        <f aca="false">IF(OR(E3458="",E3458="!!!",F3458="NEW"),"",INDEX(J$1:J3457,SUMPRODUCT(MAX(ROW(E$1:E3457)*(E3458=E$1:E3457)))))</f>
        <v/>
      </c>
      <c r="L3458" s="31"/>
    </row>
    <row r="3459" customFormat="false" ht="15" hidden="false" customHeight="false" outlineLevel="0" collapsed="false">
      <c r="A3459" s="20" t="s">
        <v>1436</v>
      </c>
      <c r="B3459" s="22" t="s">
        <v>1067</v>
      </c>
      <c r="C3459" s="22" t="s">
        <v>1150</v>
      </c>
      <c r="D3459" s="22" t="s">
        <v>1060</v>
      </c>
      <c r="E3459" s="23" t="str">
        <f aca="false">IF(D3459="?OLD","!!!","")</f>
        <v>!!!</v>
      </c>
      <c r="F3459" s="25" t="str">
        <f aca="false">IF(OR(E3459="",E3459="!!!"),"",IF(NOT(ISNA(VLOOKUP(E3459,E$1:E3458,1,FALSE()))),"OLD",IF(AND(E3459&lt;&gt;"",E3459&lt;&gt;"!!!"),"NEW","")))</f>
        <v/>
      </c>
      <c r="G3459" s="26" t="str">
        <f aca="false">IF(OR(E3459="",E3459="!!!"),"",IF(OR(J3459=0,AND(J3459=1,K3459=1),AND(J3459=1,I3459="SBJ"),AND(J3459=1,I3459=0)),"?IN_FOCUS",IF(J3459&lt;=2,"?ACTIVATED",IF(J3459&lt;&gt;"","?FAMILIAR",IF(F3459="NEW",IF(ISNA(VLOOKUP(E3459,#REF!,1,FALSE())),"?TYPE_IDENTIFIABLE","?REFERENTIAL"),"_")))))</f>
        <v/>
      </c>
      <c r="H3459" s="27" t="str">
        <f aca="false">IF(J3459&lt;&gt;1,"",IF(I3459="SBJ","CB","?"))</f>
        <v/>
      </c>
      <c r="I3459" s="24" t="str">
        <f aca="false">IF(OR(E3459="",E3459="!!!",F3459="NEW"),"",INDEX(B12:B$3448,-1+SUMPRODUCT(MAX(ROW(E12:E$3448)*(E3459=E12:E$3448)))))</f>
        <v/>
      </c>
      <c r="J3459" s="24" t="str">
        <f aca="true">IF(OR(E3459="",E3459="!!!",F3459="NEW"),"",COUNTBLANK(OFFSET(A$1,,,SUMPRODUCT(MAX(ROW(E$2:E3459)*(E3459=E$2:E3459)))))-COUNTBLANK(OFFSET(A$1,,,SUMPRODUCT(MAX(ROW(E$1:E3458)*(E2=E$1:E3458))))))</f>
        <v/>
      </c>
      <c r="K3459" s="24" t="str">
        <f aca="false">IF(OR(E3459="",E3459="!!!",F3459="NEW"),"",INDEX(J$1:J3458,SUMPRODUCT(MAX(ROW(E$1:E3458)*(E3459=E$1:E3458)))))</f>
        <v/>
      </c>
      <c r="L3459" s="31"/>
    </row>
    <row r="3460" customFormat="false" ht="15" hidden="false" customHeight="false" outlineLevel="0" collapsed="false">
      <c r="A3460" s="20" t="s">
        <v>923</v>
      </c>
      <c r="E3460" s="23" t="str">
        <f aca="false">IF(D3460="?OLD","!!!","")</f>
        <v/>
      </c>
      <c r="F3460" s="25" t="str">
        <f aca="false">IF(OR(E3460="",E3460="!!!"),"",IF(NOT(ISNA(VLOOKUP(E3460,E$1:E3459,1,FALSE()))),"OLD",IF(AND(E3460&lt;&gt;"",E3460&lt;&gt;"!!!"),"NEW","")))</f>
        <v/>
      </c>
      <c r="G3460" s="26" t="str">
        <f aca="false">IF(OR(E3460="",E3460="!!!"),"",IF(OR(J3460=0,AND(J3460=1,K3460=1),AND(J3460=1,I3460="SBJ"),AND(J3460=1,I3460=0)),"?IN_FOCUS",IF(J3460&lt;=2,"?ACTIVATED",IF(J3460&lt;&gt;"","?FAMILIAR",IF(F3460="NEW",IF(ISNA(VLOOKUP(E3460,#REF!,1,FALSE())),"?TYPE_IDENTIFIABLE","?REFERENTIAL"),"_")))))</f>
        <v/>
      </c>
      <c r="H3460" s="27" t="str">
        <f aca="false">IF(J3460&lt;&gt;1,"",IF(I3460="SBJ","CB","?"))</f>
        <v/>
      </c>
      <c r="I3460" s="24" t="str">
        <f aca="false">IF(OR(E3460="",E3460="!!!",F3460="NEW"),"",INDEX(B13:B$3448,-1+SUMPRODUCT(MAX(ROW(E13:E$3448)*(E3460=E13:E$3448)))))</f>
        <v/>
      </c>
      <c r="J3460" s="24" t="str">
        <f aca="true">IF(OR(E3460="",E3460="!!!",F3460="NEW"),"",COUNTBLANK(OFFSET(A$1,,,SUMPRODUCT(MAX(ROW(E$2:E3460)*(E3460=E$2:E3460)))))-COUNTBLANK(OFFSET(A$1,,,SUMPRODUCT(MAX(ROW(E$1:E3459)*(E2=E$1:E3459))))))</f>
        <v/>
      </c>
      <c r="K3460" s="24" t="str">
        <f aca="false">IF(OR(E3460="",E3460="!!!",F3460="NEW"),"",INDEX(J$1:J3459,SUMPRODUCT(MAX(ROW(E$1:E3459)*(E3460=E$1:E3459)))))</f>
        <v/>
      </c>
      <c r="L3460" s="31"/>
    </row>
    <row r="3461" customFormat="false" ht="15" hidden="false" customHeight="false" outlineLevel="0" collapsed="false">
      <c r="A3461" s="20"/>
    </row>
    <row r="3462" customFormat="false" ht="15" hidden="false" customHeight="false" outlineLevel="0" collapsed="false">
      <c r="A3462" s="20" t="s">
        <v>2165</v>
      </c>
    </row>
    <row r="3463" customFormat="false" ht="15" hidden="false" customHeight="false" outlineLevel="0" collapsed="false">
      <c r="A3463" s="20" t="s">
        <v>1832</v>
      </c>
      <c r="E3463" s="23" t="str">
        <f aca="false">IF(D3463="?OLD","!!!","")</f>
        <v/>
      </c>
      <c r="F3463" s="25" t="str">
        <f aca="false">IF(OR(E3463="",E3463="!!!"),"",IF(NOT(ISNA(VLOOKUP(E3463,E$1:E3462,1,FALSE()))),"OLD",IF(AND(E3463&lt;&gt;"",E3463&lt;&gt;"!!!"),"NEW","")))</f>
        <v/>
      </c>
      <c r="G3463" s="26" t="str">
        <f aca="false">IF(OR(E3463="",E3463="!!!"),"",IF(OR(J3463=0,AND(J3463=1,K3463=1),AND(J3463=1,I3463="SBJ"),AND(J3463=1,I3463=0)),"?IN_FOCUS",IF(J3463&lt;=2,"?ACTIVATED",IF(J3463&lt;&gt;"","?FAMILIAR",IF(F3463="NEW",IF(ISNA(VLOOKUP(E3463,#REF!,1,FALSE())),"?TYPE_IDENTIFIABLE","?REFERENTIAL"),"_")))))</f>
        <v/>
      </c>
      <c r="H3463" s="27" t="str">
        <f aca="false">IF(J3463&lt;&gt;1,"",IF(I3463="SBJ","CB","?"))</f>
        <v/>
      </c>
      <c r="I3463" s="24" t="str">
        <f aca="false">IF(OR(E3463="",E3463="!!!",F3463="NEW"),"",INDEX(B2:B$3462,-1+SUMPRODUCT(MAX(ROW(E2:E$3462)*(E3463=E2:E$3462)))))</f>
        <v/>
      </c>
      <c r="J3463" s="24" t="str">
        <f aca="true">IF(OR(E3463="",E3463="!!!",F3463="NEW"),"",COUNTBLANK(OFFSET(A$1,,,SUMPRODUCT(MAX(ROW(E$2:E3463)*(E3463=E$2:E3463)))))-COUNTBLANK(OFFSET(A$1,,,SUMPRODUCT(MAX(ROW(E$1:E3462)*(E2=E$1:E3462))))))</f>
        <v/>
      </c>
      <c r="K3463" s="24" t="str">
        <f aca="false">IF(OR(E3463="",E3463="!!!",F3463="NEW"),"",INDEX(J$1:J3462,SUMPRODUCT(MAX(ROW(E$1:E3462)*(E3463=E$1:E3462)))))</f>
        <v/>
      </c>
      <c r="L3463" s="31"/>
    </row>
    <row r="3464" customFormat="false" ht="15" hidden="false" customHeight="false" outlineLevel="0" collapsed="false">
      <c r="A3464" s="20" t="s">
        <v>1555</v>
      </c>
      <c r="E3464" s="23" t="str">
        <f aca="false">IF(D3464="?OLD","!!!","")</f>
        <v/>
      </c>
      <c r="F3464" s="25" t="str">
        <f aca="false">IF(OR(E3464="",E3464="!!!"),"",IF(NOT(ISNA(VLOOKUP(E3464,E$1:E3463,1,FALSE()))),"OLD",IF(AND(E3464&lt;&gt;"",E3464&lt;&gt;"!!!"),"NEW","")))</f>
        <v/>
      </c>
      <c r="G3464" s="26" t="str">
        <f aca="false">IF(OR(E3464="",E3464="!!!"),"",IF(OR(J3464=0,AND(J3464=1,K3464=1),AND(J3464=1,I3464="SBJ"),AND(J3464=1,I3464=0)),"?IN_FOCUS",IF(J3464&lt;=2,"?ACTIVATED",IF(J3464&lt;&gt;"","?FAMILIAR",IF(F3464="NEW",IF(ISNA(VLOOKUP(E3464,#REF!,1,FALSE())),"?TYPE_IDENTIFIABLE","?REFERENTIAL"),"_")))))</f>
        <v/>
      </c>
      <c r="H3464" s="27" t="str">
        <f aca="false">IF(J3464&lt;&gt;1,"",IF(I3464="SBJ","CB","?"))</f>
        <v/>
      </c>
      <c r="I3464" s="24" t="str">
        <f aca="false">IF(OR(E3464="",E3464="!!!",F3464="NEW"),"",INDEX(B3:B$3462,-1+SUMPRODUCT(MAX(ROW(E3:E$3462)*(E3464=E3:E$3462)))))</f>
        <v/>
      </c>
      <c r="J3464" s="24" t="str">
        <f aca="true">IF(OR(E3464="",E3464="!!!",F3464="NEW"),"",COUNTBLANK(OFFSET(A$1,,,SUMPRODUCT(MAX(ROW(E$2:E3464)*(E3464=E$2:E3464)))))-COUNTBLANK(OFFSET(A$1,,,SUMPRODUCT(MAX(ROW(E$1:E3463)*(E2=E$1:E3463))))))</f>
        <v/>
      </c>
      <c r="K3464" s="24" t="str">
        <f aca="false">IF(OR(E3464="",E3464="!!!",F3464="NEW"),"",INDEX(J$1:J3463,SUMPRODUCT(MAX(ROW(E$1:E3463)*(E3464=E$1:E3463)))))</f>
        <v/>
      </c>
      <c r="L3464" s="31"/>
    </row>
    <row r="3465" customFormat="false" ht="15" hidden="false" customHeight="false" outlineLevel="0" collapsed="false">
      <c r="A3465" s="20" t="s">
        <v>1092</v>
      </c>
      <c r="E3465" s="23" t="str">
        <f aca="false">IF(D3465="?OLD","!!!","")</f>
        <v/>
      </c>
      <c r="F3465" s="25" t="str">
        <f aca="false">IF(OR(E3465="",E3465="!!!"),"",IF(NOT(ISNA(VLOOKUP(E3465,E$1:E3464,1,FALSE()))),"OLD",IF(AND(E3465&lt;&gt;"",E3465&lt;&gt;"!!!"),"NEW","")))</f>
        <v/>
      </c>
      <c r="G3465" s="26" t="str">
        <f aca="false">IF(OR(E3465="",E3465="!!!"),"",IF(OR(J3465=0,AND(J3465=1,K3465=1),AND(J3465=1,I3465="SBJ"),AND(J3465=1,I3465=0)),"?IN_FOCUS",IF(J3465&lt;=2,"?ACTIVATED",IF(J3465&lt;&gt;"","?FAMILIAR",IF(F3465="NEW",IF(ISNA(VLOOKUP(E3465,#REF!,1,FALSE())),"?TYPE_IDENTIFIABLE","?REFERENTIAL"),"_")))))</f>
        <v/>
      </c>
      <c r="H3465" s="27" t="str">
        <f aca="false">IF(J3465&lt;&gt;1,"",IF(I3465="SBJ","CB","?"))</f>
        <v/>
      </c>
      <c r="I3465" s="24" t="str">
        <f aca="false">IF(OR(E3465="",E3465="!!!",F3465="NEW"),"",INDEX(B4:B$3462,-1+SUMPRODUCT(MAX(ROW(E4:E$3462)*(E3465=E4:E$3462)))))</f>
        <v/>
      </c>
      <c r="J3465" s="24" t="str">
        <f aca="true">IF(OR(E3465="",E3465="!!!",F3465="NEW"),"",COUNTBLANK(OFFSET(A$1,,,SUMPRODUCT(MAX(ROW(E$2:E3465)*(E3465=E$2:E3465)))))-COUNTBLANK(OFFSET(A$1,,,SUMPRODUCT(MAX(ROW(E$1:E3464)*(E2=E$1:E3464))))))</f>
        <v/>
      </c>
      <c r="K3465" s="24" t="str">
        <f aca="false">IF(OR(E3465="",E3465="!!!",F3465="NEW"),"",INDEX(J$1:J3464,SUMPRODUCT(MAX(ROW(E$1:E3464)*(E3465=E$1:E3464)))))</f>
        <v/>
      </c>
      <c r="L3465" s="31"/>
    </row>
    <row r="3466" customFormat="false" ht="15" hidden="false" customHeight="false" outlineLevel="0" collapsed="false">
      <c r="A3466" s="20" t="s">
        <v>1117</v>
      </c>
      <c r="E3466" s="23" t="str">
        <f aca="false">IF(D3466="?OLD","!!!","")</f>
        <v/>
      </c>
      <c r="F3466" s="25" t="str">
        <f aca="false">IF(OR(E3466="",E3466="!!!"),"",IF(NOT(ISNA(VLOOKUP(E3466,E$1:E3465,1,FALSE()))),"OLD",IF(AND(E3466&lt;&gt;"",E3466&lt;&gt;"!!!"),"NEW","")))</f>
        <v/>
      </c>
      <c r="G3466" s="26" t="str">
        <f aca="false">IF(OR(E3466="",E3466="!!!"),"",IF(OR(J3466=0,AND(J3466=1,K3466=1),AND(J3466=1,I3466="SBJ"),AND(J3466=1,I3466=0)),"?IN_FOCUS",IF(J3466&lt;=2,"?ACTIVATED",IF(J3466&lt;&gt;"","?FAMILIAR",IF(F3466="NEW",IF(ISNA(VLOOKUP(E3466,#REF!,1,FALSE())),"?TYPE_IDENTIFIABLE","?REFERENTIAL"),"_")))))</f>
        <v/>
      </c>
      <c r="H3466" s="27" t="str">
        <f aca="false">IF(J3466&lt;&gt;1,"",IF(I3466="SBJ","CB","?"))</f>
        <v/>
      </c>
      <c r="I3466" s="24" t="str">
        <f aca="false">IF(OR(E3466="",E3466="!!!",F3466="NEW"),"",INDEX(B5:B$3462,-1+SUMPRODUCT(MAX(ROW(E5:E$3462)*(E3466=E5:E$3462)))))</f>
        <v/>
      </c>
      <c r="J3466" s="24" t="str">
        <f aca="true">IF(OR(E3466="",E3466="!!!",F3466="NEW"),"",COUNTBLANK(OFFSET(A$1,,,SUMPRODUCT(MAX(ROW(E$2:E3466)*(E3466=E$2:E3466)))))-COUNTBLANK(OFFSET(A$1,,,SUMPRODUCT(MAX(ROW(E$1:E3465)*(E2=E$1:E3465))))))</f>
        <v/>
      </c>
      <c r="K3466" s="24" t="str">
        <f aca="false">IF(OR(E3466="",E3466="!!!",F3466="NEW"),"",INDEX(J$1:J3465,SUMPRODUCT(MAX(ROW(E$1:E3465)*(E3466=E$1:E3465)))))</f>
        <v/>
      </c>
      <c r="L3466" s="31"/>
    </row>
    <row r="3467" customFormat="false" ht="15" hidden="false" customHeight="false" outlineLevel="0" collapsed="false">
      <c r="A3467" s="20" t="s">
        <v>1983</v>
      </c>
      <c r="B3467" s="22" t="s">
        <v>1058</v>
      </c>
      <c r="C3467" s="22" t="s">
        <v>1059</v>
      </c>
      <c r="D3467" s="22" t="s">
        <v>1060</v>
      </c>
      <c r="E3467" s="23" t="str">
        <f aca="false">IF(D3467="?OLD","!!!","")</f>
        <v>!!!</v>
      </c>
      <c r="F3467" s="25" t="str">
        <f aca="false">IF(OR(E3467="",E3467="!!!"),"",IF(NOT(ISNA(VLOOKUP(E3467,E$1:E3466,1,FALSE()))),"OLD",IF(AND(E3467&lt;&gt;"",E3467&lt;&gt;"!!!"),"NEW","")))</f>
        <v/>
      </c>
      <c r="G3467" s="26" t="str">
        <f aca="false">IF(OR(E3467="",E3467="!!!"),"",IF(OR(J3467=0,AND(J3467=1,K3467=1),AND(J3467=1,I3467="SBJ"),AND(J3467=1,I3467=0)),"?IN_FOCUS",IF(J3467&lt;=2,"?ACTIVATED",IF(J3467&lt;&gt;"","?FAMILIAR",IF(F3467="NEW",IF(ISNA(VLOOKUP(E3467,#REF!,1,FALSE())),"?TYPE_IDENTIFIABLE","?REFERENTIAL"),"_")))))</f>
        <v/>
      </c>
      <c r="H3467" s="27" t="str">
        <f aca="false">IF(J3467&lt;&gt;1,"",IF(I3467="SBJ","CB","?"))</f>
        <v/>
      </c>
      <c r="I3467" s="24" t="str">
        <f aca="false">IF(OR(E3467="",E3467="!!!",F3467="NEW"),"",INDEX(B6:B$3462,-1+SUMPRODUCT(MAX(ROW(E6:E$3462)*(E3467=E6:E$3462)))))</f>
        <v/>
      </c>
      <c r="J3467" s="24" t="str">
        <f aca="true">IF(OR(E3467="",E3467="!!!",F3467="NEW"),"",COUNTBLANK(OFFSET(A$1,,,SUMPRODUCT(MAX(ROW(E$2:E3467)*(E3467=E$2:E3467)))))-COUNTBLANK(OFFSET(A$1,,,SUMPRODUCT(MAX(ROW(E$1:E3466)*(E2=E$1:E3466))))))</f>
        <v/>
      </c>
      <c r="K3467" s="24" t="str">
        <f aca="false">IF(OR(E3467="",E3467="!!!",F3467="NEW"),"",INDEX(J$1:J3466,SUMPRODUCT(MAX(ROW(E$1:E3466)*(E3467=E$1:E3466)))))</f>
        <v/>
      </c>
      <c r="L3467" s="31"/>
    </row>
    <row r="3468" customFormat="false" ht="15" hidden="false" customHeight="false" outlineLevel="0" collapsed="false">
      <c r="A3468" s="20" t="s">
        <v>1559</v>
      </c>
      <c r="E3468" s="23" t="str">
        <f aca="false">IF(D3468="?OLD","!!!","")</f>
        <v/>
      </c>
      <c r="F3468" s="25" t="str">
        <f aca="false">IF(OR(E3468="",E3468="!!!"),"",IF(NOT(ISNA(VLOOKUP(E3468,E$1:E3467,1,FALSE()))),"OLD",IF(AND(E3468&lt;&gt;"",E3468&lt;&gt;"!!!"),"NEW","")))</f>
        <v/>
      </c>
      <c r="G3468" s="26" t="str">
        <f aca="false">IF(OR(E3468="",E3468="!!!"),"",IF(OR(J3468=0,AND(J3468=1,K3468=1),AND(J3468=1,I3468="SBJ"),AND(J3468=1,I3468=0)),"?IN_FOCUS",IF(J3468&lt;=2,"?ACTIVATED",IF(J3468&lt;&gt;"","?FAMILIAR",IF(F3468="NEW",IF(ISNA(VLOOKUP(E3468,#REF!,1,FALSE())),"?TYPE_IDENTIFIABLE","?REFERENTIAL"),"_")))))</f>
        <v/>
      </c>
      <c r="H3468" s="27" t="str">
        <f aca="false">IF(J3468&lt;&gt;1,"",IF(I3468="SBJ","CB","?"))</f>
        <v/>
      </c>
      <c r="I3468" s="24" t="str">
        <f aca="false">IF(OR(E3468="",E3468="!!!",F3468="NEW"),"",INDEX(B7:B$3462,-1+SUMPRODUCT(MAX(ROW(E7:E$3462)*(E3468=E7:E$3462)))))</f>
        <v/>
      </c>
      <c r="J3468" s="24" t="str">
        <f aca="true">IF(OR(E3468="",E3468="!!!",F3468="NEW"),"",COUNTBLANK(OFFSET(A$1,,,SUMPRODUCT(MAX(ROW(E$2:E3468)*(E3468=E$2:E3468)))))-COUNTBLANK(OFFSET(A$1,,,SUMPRODUCT(MAX(ROW(E$1:E3467)*(E2=E$1:E3467))))))</f>
        <v/>
      </c>
      <c r="K3468" s="24" t="str">
        <f aca="false">IF(OR(E3468="",E3468="!!!",F3468="NEW"),"",INDEX(J$1:J3467,SUMPRODUCT(MAX(ROW(E$1:E3467)*(E3468=E$1:E3467)))))</f>
        <v/>
      </c>
      <c r="L3468" s="31"/>
    </row>
    <row r="3469" customFormat="false" ht="15" hidden="false" customHeight="false" outlineLevel="0" collapsed="false">
      <c r="A3469" s="20" t="s">
        <v>1080</v>
      </c>
      <c r="B3469" s="22" t="s">
        <v>1073</v>
      </c>
      <c r="C3469" s="22" t="s">
        <v>1082</v>
      </c>
      <c r="D3469" s="22" t="s">
        <v>1060</v>
      </c>
      <c r="E3469" s="23" t="str">
        <f aca="false">IF(D3469="?OLD","!!!","")</f>
        <v>!!!</v>
      </c>
      <c r="F3469" s="25" t="str">
        <f aca="false">IF(OR(E3469="",E3469="!!!"),"",IF(NOT(ISNA(VLOOKUP(E3469,E$1:E3468,1,FALSE()))),"OLD",IF(AND(E3469&lt;&gt;"",E3469&lt;&gt;"!!!"),"NEW","")))</f>
        <v/>
      </c>
      <c r="G3469" s="26" t="str">
        <f aca="false">IF(OR(E3469="",E3469="!!!"),"",IF(OR(J3469=0,AND(J3469=1,K3469=1),AND(J3469=1,I3469="SBJ"),AND(J3469=1,I3469=0)),"?IN_FOCUS",IF(J3469&lt;=2,"?ACTIVATED",IF(J3469&lt;&gt;"","?FAMILIAR",IF(F3469="NEW",IF(ISNA(VLOOKUP(E3469,#REF!,1,FALSE())),"?TYPE_IDENTIFIABLE","?REFERENTIAL"),"_")))))</f>
        <v/>
      </c>
      <c r="H3469" s="27" t="str">
        <f aca="false">IF(J3469&lt;&gt;1,"",IF(I3469="SBJ","CB","?"))</f>
        <v/>
      </c>
      <c r="I3469" s="24" t="str">
        <f aca="false">IF(OR(E3469="",E3469="!!!",F3469="NEW"),"",INDEX(B8:B$3462,-1+SUMPRODUCT(MAX(ROW(E8:E$3462)*(E3469=E8:E$3462)))))</f>
        <v/>
      </c>
      <c r="J3469" s="24" t="str">
        <f aca="true">IF(OR(E3469="",E3469="!!!",F3469="NEW"),"",COUNTBLANK(OFFSET(A$1,,,SUMPRODUCT(MAX(ROW(E$2:E3469)*(E3469=E$2:E3469)))))-COUNTBLANK(OFFSET(A$1,,,SUMPRODUCT(MAX(ROW(E$1:E3468)*(E2=E$1:E3468))))))</f>
        <v/>
      </c>
      <c r="K3469" s="24" t="str">
        <f aca="false">IF(OR(E3469="",E3469="!!!",F3469="NEW"),"",INDEX(J$1:J3468,SUMPRODUCT(MAX(ROW(E$1:E3468)*(E3469=E$1:E3468)))))</f>
        <v/>
      </c>
      <c r="L3469" s="31"/>
    </row>
    <row r="3470" customFormat="false" ht="15" hidden="false" customHeight="false" outlineLevel="0" collapsed="false">
      <c r="A3470" s="20" t="s">
        <v>1064</v>
      </c>
      <c r="E3470" s="23" t="str">
        <f aca="false">IF(D3470="?OLD","!!!","")</f>
        <v/>
      </c>
      <c r="F3470" s="25" t="str">
        <f aca="false">IF(OR(E3470="",E3470="!!!"),"",IF(NOT(ISNA(VLOOKUP(E3470,E$1:E3469,1,FALSE()))),"OLD",IF(AND(E3470&lt;&gt;"",E3470&lt;&gt;"!!!"),"NEW","")))</f>
        <v/>
      </c>
      <c r="G3470" s="26" t="str">
        <f aca="false">IF(OR(E3470="",E3470="!!!"),"",IF(OR(J3470=0,AND(J3470=1,K3470=1),AND(J3470=1,I3470="SBJ"),AND(J3470=1,I3470=0)),"?IN_FOCUS",IF(J3470&lt;=2,"?ACTIVATED",IF(J3470&lt;&gt;"","?FAMILIAR",IF(F3470="NEW",IF(ISNA(VLOOKUP(E3470,#REF!,1,FALSE())),"?TYPE_IDENTIFIABLE","?REFERENTIAL"),"_")))))</f>
        <v/>
      </c>
      <c r="H3470" s="27" t="str">
        <f aca="false">IF(J3470&lt;&gt;1,"",IF(I3470="SBJ","CB","?"))</f>
        <v/>
      </c>
      <c r="I3470" s="24" t="str">
        <f aca="false">IF(OR(E3470="",E3470="!!!",F3470="NEW"),"",INDEX(B9:B$3462,-1+SUMPRODUCT(MAX(ROW(E9:E$3462)*(E3470=E9:E$3462)))))</f>
        <v/>
      </c>
      <c r="J3470" s="24" t="str">
        <f aca="true">IF(OR(E3470="",E3470="!!!",F3470="NEW"),"",COUNTBLANK(OFFSET(A$1,,,SUMPRODUCT(MAX(ROW(E$2:E3470)*(E3470=E$2:E3470)))))-COUNTBLANK(OFFSET(A$1,,,SUMPRODUCT(MAX(ROW(E$1:E3469)*(E2=E$1:E3469))))))</f>
        <v/>
      </c>
      <c r="K3470" s="24" t="str">
        <f aca="false">IF(OR(E3470="",E3470="!!!",F3470="NEW"),"",INDEX(J$1:J3469,SUMPRODUCT(MAX(ROW(E$1:E3469)*(E3470=E$1:E3469)))))</f>
        <v/>
      </c>
      <c r="L3470" s="31"/>
    </row>
    <row r="3471" customFormat="false" ht="15" hidden="false" customHeight="false" outlineLevel="0" collapsed="false">
      <c r="A3471" s="20" t="s">
        <v>1089</v>
      </c>
      <c r="E3471" s="23" t="str">
        <f aca="false">IF(D3471="?OLD","!!!","")</f>
        <v/>
      </c>
      <c r="F3471" s="25" t="str">
        <f aca="false">IF(OR(E3471="",E3471="!!!"),"",IF(NOT(ISNA(VLOOKUP(E3471,E$1:E3470,1,FALSE()))),"OLD",IF(AND(E3471&lt;&gt;"",E3471&lt;&gt;"!!!"),"NEW","")))</f>
        <v/>
      </c>
      <c r="G3471" s="26" t="str">
        <f aca="false">IF(OR(E3471="",E3471="!!!"),"",IF(OR(J3471=0,AND(J3471=1,K3471=1),AND(J3471=1,I3471="SBJ"),AND(J3471=1,I3471=0)),"?IN_FOCUS",IF(J3471&lt;=2,"?ACTIVATED",IF(J3471&lt;&gt;"","?FAMILIAR",IF(F3471="NEW",IF(ISNA(VLOOKUP(E3471,#REF!,1,FALSE())),"?TYPE_IDENTIFIABLE","?REFERENTIAL"),"_")))))</f>
        <v/>
      </c>
      <c r="H3471" s="27" t="str">
        <f aca="false">IF(J3471&lt;&gt;1,"",IF(I3471="SBJ","CB","?"))</f>
        <v/>
      </c>
      <c r="I3471" s="24" t="str">
        <f aca="false">IF(OR(E3471="",E3471="!!!",F3471="NEW"),"",INDEX(B10:B$3462,-1+SUMPRODUCT(MAX(ROW(E10:E$3462)*(E3471=E10:E$3462)))))</f>
        <v/>
      </c>
      <c r="J3471" s="24" t="str">
        <f aca="true">IF(OR(E3471="",E3471="!!!",F3471="NEW"),"",COUNTBLANK(OFFSET(A$1,,,SUMPRODUCT(MAX(ROW(E$2:E3471)*(E3471=E$2:E3471)))))-COUNTBLANK(OFFSET(A$1,,,SUMPRODUCT(MAX(ROW(E$1:E3470)*(E2=E$1:E3470))))))</f>
        <v/>
      </c>
      <c r="K3471" s="24" t="str">
        <f aca="false">IF(OR(E3471="",E3471="!!!",F3471="NEW"),"",INDEX(J$1:J3470,SUMPRODUCT(MAX(ROW(E$1:E3470)*(E3471=E$1:E3470)))))</f>
        <v/>
      </c>
      <c r="L3471" s="31"/>
    </row>
    <row r="3472" customFormat="false" ht="15" hidden="false" customHeight="false" outlineLevel="0" collapsed="false">
      <c r="A3472" s="20" t="s">
        <v>2166</v>
      </c>
      <c r="E3472" s="23" t="str">
        <f aca="false">IF(D3472="?OLD","!!!","")</f>
        <v/>
      </c>
      <c r="F3472" s="25" t="str">
        <f aca="false">IF(OR(E3472="",E3472="!!!"),"",IF(NOT(ISNA(VLOOKUP(E3472,E$1:E3471,1,FALSE()))),"OLD",IF(AND(E3472&lt;&gt;"",E3472&lt;&gt;"!!!"),"NEW","")))</f>
        <v/>
      </c>
      <c r="G3472" s="26" t="str">
        <f aca="false">IF(OR(E3472="",E3472="!!!"),"",IF(OR(J3472=0,AND(J3472=1,K3472=1),AND(J3472=1,I3472="SBJ"),AND(J3472=1,I3472=0)),"?IN_FOCUS",IF(J3472&lt;=2,"?ACTIVATED",IF(J3472&lt;&gt;"","?FAMILIAR",IF(F3472="NEW",IF(ISNA(VLOOKUP(E3472,#REF!,1,FALSE())),"?TYPE_IDENTIFIABLE","?REFERENTIAL"),"_")))))</f>
        <v/>
      </c>
      <c r="H3472" s="27" t="str">
        <f aca="false">IF(J3472&lt;&gt;1,"",IF(I3472="SBJ","CB","?"))</f>
        <v/>
      </c>
      <c r="I3472" s="24" t="str">
        <f aca="false">IF(OR(E3472="",E3472="!!!",F3472="NEW"),"",INDEX(B11:B$3462,-1+SUMPRODUCT(MAX(ROW(E11:E$3462)*(E3472=E11:E$3462)))))</f>
        <v/>
      </c>
      <c r="J3472" s="24" t="str">
        <f aca="true">IF(OR(E3472="",E3472="!!!",F3472="NEW"),"",COUNTBLANK(OFFSET(A$1,,,SUMPRODUCT(MAX(ROW(E$2:E3472)*(E3472=E$2:E3472)))))-COUNTBLANK(OFFSET(A$1,,,SUMPRODUCT(MAX(ROW(E$1:E3471)*(E2=E$1:E3471))))))</f>
        <v/>
      </c>
      <c r="K3472" s="24" t="str">
        <f aca="false">IF(OR(E3472="",E3472="!!!",F3472="NEW"),"",INDEX(J$1:J3471,SUMPRODUCT(MAX(ROW(E$1:E3471)*(E3472=E$1:E3471)))))</f>
        <v/>
      </c>
      <c r="L3472" s="31"/>
    </row>
    <row r="3473" customFormat="false" ht="15" hidden="false" customHeight="false" outlineLevel="0" collapsed="false">
      <c r="A3473" s="20" t="s">
        <v>1128</v>
      </c>
      <c r="E3473" s="23" t="str">
        <f aca="false">IF(D3473="?OLD","!!!","")</f>
        <v/>
      </c>
      <c r="F3473" s="25" t="str">
        <f aca="false">IF(OR(E3473="",E3473="!!!"),"",IF(NOT(ISNA(VLOOKUP(E3473,E$1:E3472,1,FALSE()))),"OLD",IF(AND(E3473&lt;&gt;"",E3473&lt;&gt;"!!!"),"NEW","")))</f>
        <v/>
      </c>
      <c r="G3473" s="26" t="str">
        <f aca="false">IF(OR(E3473="",E3473="!!!"),"",IF(OR(J3473=0,AND(J3473=1,K3473=1),AND(J3473=1,I3473="SBJ"),AND(J3473=1,I3473=0)),"?IN_FOCUS",IF(J3473&lt;=2,"?ACTIVATED",IF(J3473&lt;&gt;"","?FAMILIAR",IF(F3473="NEW",IF(ISNA(VLOOKUP(E3473,#REF!,1,FALSE())),"?TYPE_IDENTIFIABLE","?REFERENTIAL"),"_")))))</f>
        <v/>
      </c>
      <c r="H3473" s="27" t="str">
        <f aca="false">IF(J3473&lt;&gt;1,"",IF(I3473="SBJ","CB","?"))</f>
        <v/>
      </c>
      <c r="I3473" s="24" t="str">
        <f aca="false">IF(OR(E3473="",E3473="!!!",F3473="NEW"),"",INDEX(B12:B$3462,-1+SUMPRODUCT(MAX(ROW(E12:E$3462)*(E3473=E12:E$3462)))))</f>
        <v/>
      </c>
      <c r="J3473" s="24" t="str">
        <f aca="true">IF(OR(E3473="",E3473="!!!",F3473="NEW"),"",COUNTBLANK(OFFSET(A$1,,,SUMPRODUCT(MAX(ROW(E$2:E3473)*(E3473=E$2:E3473)))))-COUNTBLANK(OFFSET(A$1,,,SUMPRODUCT(MAX(ROW(E$1:E3472)*(E2=E$1:E3472))))))</f>
        <v/>
      </c>
      <c r="K3473" s="24" t="str">
        <f aca="false">IF(OR(E3473="",E3473="!!!",F3473="NEW"),"",INDEX(J$1:J3472,SUMPRODUCT(MAX(ROW(E$1:E3472)*(E3473=E$1:E3472)))))</f>
        <v/>
      </c>
      <c r="L3473" s="31"/>
    </row>
    <row r="3474" customFormat="false" ht="15" hidden="false" customHeight="false" outlineLevel="0" collapsed="false">
      <c r="A3474" s="20" t="s">
        <v>2167</v>
      </c>
      <c r="E3474" s="23" t="str">
        <f aca="false">IF(D3474="?OLD","!!!","")</f>
        <v/>
      </c>
      <c r="F3474" s="25" t="str">
        <f aca="false">IF(OR(E3474="",E3474="!!!"),"",IF(NOT(ISNA(VLOOKUP(E3474,E$1:E3473,1,FALSE()))),"OLD",IF(AND(E3474&lt;&gt;"",E3474&lt;&gt;"!!!"),"NEW","")))</f>
        <v/>
      </c>
      <c r="G3474" s="26" t="str">
        <f aca="false">IF(OR(E3474="",E3474="!!!"),"",IF(OR(J3474=0,AND(J3474=1,K3474=1),AND(J3474=1,I3474="SBJ"),AND(J3474=1,I3474=0)),"?IN_FOCUS",IF(J3474&lt;=2,"?ACTIVATED",IF(J3474&lt;&gt;"","?FAMILIAR",IF(F3474="NEW",IF(ISNA(VLOOKUP(E3474,#REF!,1,FALSE())),"?TYPE_IDENTIFIABLE","?REFERENTIAL"),"_")))))</f>
        <v/>
      </c>
      <c r="H3474" s="27" t="str">
        <f aca="false">IF(J3474&lt;&gt;1,"",IF(I3474="SBJ","CB","?"))</f>
        <v/>
      </c>
      <c r="I3474" s="24" t="str">
        <f aca="false">IF(OR(E3474="",E3474="!!!",F3474="NEW"),"",INDEX(B13:B$3462,-1+SUMPRODUCT(MAX(ROW(E13:E$3462)*(E3474=E13:E$3462)))))</f>
        <v/>
      </c>
      <c r="J3474" s="24" t="str">
        <f aca="true">IF(OR(E3474="",E3474="!!!",F3474="NEW"),"",COUNTBLANK(OFFSET(A$1,,,SUMPRODUCT(MAX(ROW(E$2:E3474)*(E3474=E$2:E3474)))))-COUNTBLANK(OFFSET(A$1,,,SUMPRODUCT(MAX(ROW(E$1:E3473)*(E2=E$1:E3473))))))</f>
        <v/>
      </c>
      <c r="K3474" s="24" t="str">
        <f aca="false">IF(OR(E3474="",E3474="!!!",F3474="NEW"),"",INDEX(J$1:J3473,SUMPRODUCT(MAX(ROW(E$1:E3473)*(E3474=E$1:E3473)))))</f>
        <v/>
      </c>
      <c r="L3474" s="31"/>
    </row>
    <row r="3475" customFormat="false" ht="15" hidden="false" customHeight="false" outlineLevel="0" collapsed="false">
      <c r="A3475" s="20" t="s">
        <v>784</v>
      </c>
      <c r="B3475" s="22" t="s">
        <v>1073</v>
      </c>
      <c r="C3475" s="22" t="s">
        <v>1171</v>
      </c>
      <c r="D3475" s="22" t="s">
        <v>1060</v>
      </c>
      <c r="E3475" s="23" t="str">
        <f aca="false">IF(D3475="?OLD","!!!","")</f>
        <v>!!!</v>
      </c>
      <c r="F3475" s="25" t="str">
        <f aca="false">IF(OR(E3475="",E3475="!!!"),"",IF(NOT(ISNA(VLOOKUP(E3475,E$1:E3474,1,FALSE()))),"OLD",IF(AND(E3475&lt;&gt;"",E3475&lt;&gt;"!!!"),"NEW","")))</f>
        <v/>
      </c>
      <c r="G3475" s="26" t="str">
        <f aca="false">IF(OR(E3475="",E3475="!!!"),"",IF(OR(J3475=0,AND(J3475=1,K3475=1),AND(J3475=1,I3475="SBJ"),AND(J3475=1,I3475=0)),"?IN_FOCUS",IF(J3475&lt;=2,"?ACTIVATED",IF(J3475&lt;&gt;"","?FAMILIAR",IF(F3475="NEW",IF(ISNA(VLOOKUP(E3475,#REF!,1,FALSE())),"?TYPE_IDENTIFIABLE","?REFERENTIAL"),"_")))))</f>
        <v/>
      </c>
      <c r="H3475" s="27" t="str">
        <f aca="false">IF(J3475&lt;&gt;1,"",IF(I3475="SBJ","CB","?"))</f>
        <v/>
      </c>
      <c r="I3475" s="24" t="str">
        <f aca="false">IF(OR(E3475="",E3475="!!!",F3475="NEW"),"",INDEX(B14:B$3462,-1+SUMPRODUCT(MAX(ROW(E14:E$3462)*(E3475=E14:E$3462)))))</f>
        <v/>
      </c>
      <c r="J3475" s="24" t="str">
        <f aca="true">IF(OR(E3475="",E3475="!!!",F3475="NEW"),"",COUNTBLANK(OFFSET(A$1,,,SUMPRODUCT(MAX(ROW(E$2:E3475)*(E3475=E$2:E3475)))))-COUNTBLANK(OFFSET(A$1,,,SUMPRODUCT(MAX(ROW(E$1:E3474)*(E2=E$1:E3474))))))</f>
        <v/>
      </c>
      <c r="K3475" s="24" t="str">
        <f aca="false">IF(OR(E3475="",E3475="!!!",F3475="NEW"),"",INDEX(J$1:J3474,SUMPRODUCT(MAX(ROW(E$1:E3474)*(E3475=E$1:E3474)))))</f>
        <v/>
      </c>
      <c r="L3475" s="31"/>
    </row>
    <row r="3476" customFormat="false" ht="15" hidden="false" customHeight="false" outlineLevel="0" collapsed="false">
      <c r="A3476" s="20" t="s">
        <v>1787</v>
      </c>
      <c r="B3476" s="22" t="s">
        <v>1102</v>
      </c>
      <c r="E3476" s="23" t="str">
        <f aca="false">IF(D3476="?OLD","!!!","")</f>
        <v/>
      </c>
      <c r="F3476" s="25" t="str">
        <f aca="false">IF(OR(E3476="",E3476="!!!"),"",IF(NOT(ISNA(VLOOKUP(E3476,E$1:E3475,1,FALSE()))),"OLD",IF(AND(E3476&lt;&gt;"",E3476&lt;&gt;"!!!"),"NEW","")))</f>
        <v/>
      </c>
      <c r="G3476" s="26" t="str">
        <f aca="false">IF(OR(E3476="",E3476="!!!"),"",IF(OR(J3476=0,AND(J3476=1,K3476=1),AND(J3476=1,I3476="SBJ"),AND(J3476=1,I3476=0)),"?IN_FOCUS",IF(J3476&lt;=2,"?ACTIVATED",IF(J3476&lt;&gt;"","?FAMILIAR",IF(F3476="NEW",IF(ISNA(VLOOKUP(E3476,#REF!,1,FALSE())),"?TYPE_IDENTIFIABLE","?REFERENTIAL"),"_")))))</f>
        <v/>
      </c>
      <c r="H3476" s="27" t="str">
        <f aca="false">IF(J3476&lt;&gt;1,"",IF(I3476="SBJ","CB","?"))</f>
        <v/>
      </c>
      <c r="I3476" s="24" t="str">
        <f aca="false">IF(OR(E3476="",E3476="!!!",F3476="NEW"),"",INDEX(B15:B$3462,-1+SUMPRODUCT(MAX(ROW(E15:E$3462)*(E3476=E15:E$3462)))))</f>
        <v/>
      </c>
      <c r="J3476" s="24" t="str">
        <f aca="true">IF(OR(E3476="",E3476="!!!",F3476="NEW"),"",COUNTBLANK(OFFSET(A$1,,,SUMPRODUCT(MAX(ROW(E$2:E3476)*(E3476=E$2:E3476)))))-COUNTBLANK(OFFSET(A$1,,,SUMPRODUCT(MAX(ROW(E$1:E3475)*(E2=E$1:E3475))))))</f>
        <v/>
      </c>
      <c r="K3476" s="24" t="str">
        <f aca="false">IF(OR(E3476="",E3476="!!!",F3476="NEW"),"",INDEX(J$1:J3475,SUMPRODUCT(MAX(ROW(E$1:E3475)*(E3476=E$1:E3475)))))</f>
        <v/>
      </c>
      <c r="L3476" s="31"/>
    </row>
    <row r="3477" customFormat="false" ht="15" hidden="false" customHeight="false" outlineLevel="0" collapsed="false">
      <c r="A3477" s="20" t="s">
        <v>1186</v>
      </c>
      <c r="B3477" s="22" t="s">
        <v>1197</v>
      </c>
      <c r="C3477" s="22" t="s">
        <v>1082</v>
      </c>
      <c r="D3477" s="22" t="s">
        <v>1060</v>
      </c>
      <c r="E3477" s="23" t="str">
        <f aca="false">IF(D3477="?OLD","!!!","")</f>
        <v>!!!</v>
      </c>
      <c r="F3477" s="25" t="str">
        <f aca="false">IF(OR(E3477="",E3477="!!!"),"",IF(NOT(ISNA(VLOOKUP(E3477,E$1:E3476,1,FALSE()))),"OLD",IF(AND(E3477&lt;&gt;"",E3477&lt;&gt;"!!!"),"NEW","")))</f>
        <v/>
      </c>
      <c r="G3477" s="26" t="str">
        <f aca="false">IF(OR(E3477="",E3477="!!!"),"",IF(OR(J3477=0,AND(J3477=1,K3477=1),AND(J3477=1,I3477="SBJ"),AND(J3477=1,I3477=0)),"?IN_FOCUS",IF(J3477&lt;=2,"?ACTIVATED",IF(J3477&lt;&gt;"","?FAMILIAR",IF(F3477="NEW",IF(ISNA(VLOOKUP(E3477,#REF!,1,FALSE())),"?TYPE_IDENTIFIABLE","?REFERENTIAL"),"_")))))</f>
        <v/>
      </c>
      <c r="H3477" s="27" t="str">
        <f aca="false">IF(J3477&lt;&gt;1,"",IF(I3477="SBJ","CB","?"))</f>
        <v/>
      </c>
      <c r="I3477" s="24" t="str">
        <f aca="false">IF(OR(E3477="",E3477="!!!",F3477="NEW"),"",INDEX(B16:B$3462,-1+SUMPRODUCT(MAX(ROW(E16:E$3462)*(E3477=E16:E$3462)))))</f>
        <v/>
      </c>
      <c r="J3477" s="24" t="str">
        <f aca="true">IF(OR(E3477="",E3477="!!!",F3477="NEW"),"",COUNTBLANK(OFFSET(A$1,,,SUMPRODUCT(MAX(ROW(E$2:E3477)*(E3477=E$2:E3477)))))-COUNTBLANK(OFFSET(A$1,,,SUMPRODUCT(MAX(ROW(E$1:E3476)*(E2=E$1:E3476))))))</f>
        <v/>
      </c>
      <c r="K3477" s="24" t="str">
        <f aca="false">IF(OR(E3477="",E3477="!!!",F3477="NEW"),"",INDEX(J$1:J3476,SUMPRODUCT(MAX(ROW(E$1:E3476)*(E3477=E$1:E3476)))))</f>
        <v/>
      </c>
      <c r="L3477" s="31"/>
    </row>
    <row r="3478" customFormat="false" ht="15" hidden="false" customHeight="false" outlineLevel="0" collapsed="false">
      <c r="A3478" s="20" t="s">
        <v>2168</v>
      </c>
      <c r="E3478" s="23" t="str">
        <f aca="false">IF(D3478="?OLD","!!!","")</f>
        <v/>
      </c>
      <c r="F3478" s="25" t="str">
        <f aca="false">IF(OR(E3478="",E3478="!!!"),"",IF(NOT(ISNA(VLOOKUP(E3478,E$1:E3477,1,FALSE()))),"OLD",IF(AND(E3478&lt;&gt;"",E3478&lt;&gt;"!!!"),"NEW","")))</f>
        <v/>
      </c>
      <c r="G3478" s="26" t="str">
        <f aca="false">IF(OR(E3478="",E3478="!!!"),"",IF(OR(J3478=0,AND(J3478=1,K3478=1),AND(J3478=1,I3478="SBJ"),AND(J3478=1,I3478=0)),"?IN_FOCUS",IF(J3478&lt;=2,"?ACTIVATED",IF(J3478&lt;&gt;"","?FAMILIAR",IF(F3478="NEW",IF(ISNA(VLOOKUP(E3478,#REF!,1,FALSE())),"?TYPE_IDENTIFIABLE","?REFERENTIAL"),"_")))))</f>
        <v/>
      </c>
      <c r="H3478" s="27" t="str">
        <f aca="false">IF(J3478&lt;&gt;1,"",IF(I3478="SBJ","CB","?"))</f>
        <v/>
      </c>
      <c r="I3478" s="24" t="str">
        <f aca="false">IF(OR(E3478="",E3478="!!!",F3478="NEW"),"",INDEX(B17:B$3462,-1+SUMPRODUCT(MAX(ROW(E17:E$3462)*(E3478=E17:E$3462)))))</f>
        <v/>
      </c>
      <c r="J3478" s="24" t="str">
        <f aca="true">IF(OR(E3478="",E3478="!!!",F3478="NEW"),"",COUNTBLANK(OFFSET(A$1,,,SUMPRODUCT(MAX(ROW(E$2:E3478)*(E3478=E$2:E3478)))))-COUNTBLANK(OFFSET(A$1,,,SUMPRODUCT(MAX(ROW(E$1:E3477)*(E2=E$1:E3477))))))</f>
        <v/>
      </c>
      <c r="K3478" s="24" t="str">
        <f aca="false">IF(OR(E3478="",E3478="!!!",F3478="NEW"),"",INDEX(J$1:J3477,SUMPRODUCT(MAX(ROW(E$1:E3477)*(E3478=E$1:E3477)))))</f>
        <v/>
      </c>
      <c r="L3478" s="31"/>
    </row>
    <row r="3479" customFormat="false" ht="15" hidden="false" customHeight="false" outlineLevel="0" collapsed="false">
      <c r="A3479" s="20" t="s">
        <v>1095</v>
      </c>
      <c r="E3479" s="23" t="str">
        <f aca="false">IF(D3479="?OLD","!!!","")</f>
        <v/>
      </c>
      <c r="F3479" s="25" t="str">
        <f aca="false">IF(OR(E3479="",E3479="!!!"),"",IF(NOT(ISNA(VLOOKUP(E3479,E$1:E3478,1,FALSE()))),"OLD",IF(AND(E3479&lt;&gt;"",E3479&lt;&gt;"!!!"),"NEW","")))</f>
        <v/>
      </c>
      <c r="G3479" s="26" t="str">
        <f aca="false">IF(OR(E3479="",E3479="!!!"),"",IF(OR(J3479=0,AND(J3479=1,K3479=1),AND(J3479=1,I3479="SBJ"),AND(J3479=1,I3479=0)),"?IN_FOCUS",IF(J3479&lt;=2,"?ACTIVATED",IF(J3479&lt;&gt;"","?FAMILIAR",IF(F3479="NEW",IF(ISNA(VLOOKUP(E3479,#REF!,1,FALSE())),"?TYPE_IDENTIFIABLE","?REFERENTIAL"),"_")))))</f>
        <v/>
      </c>
      <c r="H3479" s="27" t="str">
        <f aca="false">IF(J3479&lt;&gt;1,"",IF(I3479="SBJ","CB","?"))</f>
        <v/>
      </c>
      <c r="I3479" s="24" t="str">
        <f aca="false">IF(OR(E3479="",E3479="!!!",F3479="NEW"),"",INDEX(B18:B$3462,-1+SUMPRODUCT(MAX(ROW(E18:E$3462)*(E3479=E18:E$3462)))))</f>
        <v/>
      </c>
      <c r="J3479" s="24" t="str">
        <f aca="true">IF(OR(E3479="",E3479="!!!",F3479="NEW"),"",COUNTBLANK(OFFSET(A$1,,,SUMPRODUCT(MAX(ROW(E$2:E3479)*(E3479=E$2:E3479)))))-COUNTBLANK(OFFSET(A$1,,,SUMPRODUCT(MAX(ROW(E$1:E3478)*(E2=E$1:E3478))))))</f>
        <v/>
      </c>
      <c r="K3479" s="24" t="str">
        <f aca="false">IF(OR(E3479="",E3479="!!!",F3479="NEW"),"",INDEX(J$1:J3478,SUMPRODUCT(MAX(ROW(E$1:E3478)*(E3479=E$1:E3478)))))</f>
        <v/>
      </c>
      <c r="L3479" s="31"/>
    </row>
    <row r="3480" customFormat="false" ht="15" hidden="false" customHeight="false" outlineLevel="0" collapsed="false">
      <c r="A3480" s="20" t="s">
        <v>106</v>
      </c>
      <c r="E3480" s="23" t="str">
        <f aca="false">IF(D3480="?OLD","!!!","")</f>
        <v/>
      </c>
      <c r="F3480" s="25" t="str">
        <f aca="false">IF(OR(E3480="",E3480="!!!"),"",IF(NOT(ISNA(VLOOKUP(E3480,E$1:E3479,1,FALSE()))),"OLD",IF(AND(E3480&lt;&gt;"",E3480&lt;&gt;"!!!"),"NEW","")))</f>
        <v/>
      </c>
      <c r="G3480" s="26" t="str">
        <f aca="false">IF(OR(E3480="",E3480="!!!"),"",IF(OR(J3480=0,AND(J3480=1,K3480=1),AND(J3480=1,I3480="SBJ"),AND(J3480=1,I3480=0)),"?IN_FOCUS",IF(J3480&lt;=2,"?ACTIVATED",IF(J3480&lt;&gt;"","?FAMILIAR",IF(F3480="NEW",IF(ISNA(VLOOKUP(E3480,#REF!,1,FALSE())),"?TYPE_IDENTIFIABLE","?REFERENTIAL"),"_")))))</f>
        <v/>
      </c>
      <c r="H3480" s="27" t="str">
        <f aca="false">IF(J3480&lt;&gt;1,"",IF(I3480="SBJ","CB","?"))</f>
        <v/>
      </c>
      <c r="I3480" s="24" t="str">
        <f aca="false">IF(OR(E3480="",E3480="!!!",F3480="NEW"),"",INDEX(B19:B$3462,-1+SUMPRODUCT(MAX(ROW(E19:E$3462)*(E3480=E19:E$3462)))))</f>
        <v/>
      </c>
      <c r="J3480" s="24" t="str">
        <f aca="true">IF(OR(E3480="",E3480="!!!",F3480="NEW"),"",COUNTBLANK(OFFSET(A$1,,,SUMPRODUCT(MAX(ROW(E$2:E3480)*(E3480=E$2:E3480)))))-COUNTBLANK(OFFSET(A$1,,,SUMPRODUCT(MAX(ROW(E$1:E3479)*(E2=E$1:E3479))))))</f>
        <v/>
      </c>
      <c r="K3480" s="24" t="str">
        <f aca="false">IF(OR(E3480="",E3480="!!!",F3480="NEW"),"",INDEX(J$1:J3479,SUMPRODUCT(MAX(ROW(E$1:E3479)*(E3480=E$1:E3479)))))</f>
        <v/>
      </c>
      <c r="L3480" s="31"/>
    </row>
    <row r="3481" customFormat="false" ht="15" hidden="false" customHeight="false" outlineLevel="0" collapsed="false">
      <c r="A3481" s="20" t="s">
        <v>923</v>
      </c>
      <c r="E3481" s="23" t="str">
        <f aca="false">IF(D3481="?OLD","!!!","")</f>
        <v/>
      </c>
      <c r="F3481" s="25" t="str">
        <f aca="false">IF(OR(E3481="",E3481="!!!"),"",IF(NOT(ISNA(VLOOKUP(E3481,E$1:E3480,1,FALSE()))),"OLD",IF(AND(E3481&lt;&gt;"",E3481&lt;&gt;"!!!"),"NEW","")))</f>
        <v/>
      </c>
      <c r="G3481" s="26" t="str">
        <f aca="false">IF(OR(E3481="",E3481="!!!"),"",IF(OR(J3481=0,AND(J3481=1,K3481=1),AND(J3481=1,I3481="SBJ"),AND(J3481=1,I3481=0)),"?IN_FOCUS",IF(J3481&lt;=2,"?ACTIVATED",IF(J3481&lt;&gt;"","?FAMILIAR",IF(F3481="NEW",IF(ISNA(VLOOKUP(E3481,#REF!,1,FALSE())),"?TYPE_IDENTIFIABLE","?REFERENTIAL"),"_")))))</f>
        <v/>
      </c>
      <c r="H3481" s="27" t="str">
        <f aca="false">IF(J3481&lt;&gt;1,"",IF(I3481="SBJ","CB","?"))</f>
        <v/>
      </c>
      <c r="I3481" s="24" t="str">
        <f aca="false">IF(OR(E3481="",E3481="!!!",F3481="NEW"),"",INDEX(B20:B$3462,-1+SUMPRODUCT(MAX(ROW(E20:E$3462)*(E3481=E20:E$3462)))))</f>
        <v/>
      </c>
      <c r="J3481" s="24" t="str">
        <f aca="true">IF(OR(E3481="",E3481="!!!",F3481="NEW"),"",COUNTBLANK(OFFSET(A$1,,,SUMPRODUCT(MAX(ROW(E$2:E3481)*(E3481=E$2:E3481)))))-COUNTBLANK(OFFSET(A$1,,,SUMPRODUCT(MAX(ROW(E$1:E3480)*(E2=E$1:E3480))))))</f>
        <v/>
      </c>
      <c r="K3481" s="24" t="str">
        <f aca="false">IF(OR(E3481="",E3481="!!!",F3481="NEW"),"",INDEX(J$1:J3480,SUMPRODUCT(MAX(ROW(E$1:E3480)*(E3481=E$1:E3480)))))</f>
        <v/>
      </c>
      <c r="L3481" s="31"/>
    </row>
    <row r="3482" customFormat="false" ht="15" hidden="false" customHeight="false" outlineLevel="0" collapsed="false">
      <c r="A3482" s="20"/>
    </row>
    <row r="3483" customFormat="false" ht="15" hidden="false" customHeight="false" outlineLevel="0" collapsed="false">
      <c r="A3483" s="20" t="s">
        <v>2169</v>
      </c>
    </row>
    <row r="3484" customFormat="false" ht="15" hidden="false" customHeight="false" outlineLevel="0" collapsed="false">
      <c r="A3484" s="20" t="s">
        <v>2170</v>
      </c>
      <c r="E3484" s="23" t="str">
        <f aca="false">IF(D3484="?OLD","!!!","")</f>
        <v/>
      </c>
      <c r="F3484" s="25" t="str">
        <f aca="false">IF(OR(E3484="",E3484="!!!"),"",IF(NOT(ISNA(VLOOKUP(E3484,E$1:E3483,1,FALSE()))),"OLD",IF(AND(E3484&lt;&gt;"",E3484&lt;&gt;"!!!"),"NEW","")))</f>
        <v/>
      </c>
      <c r="G3484" s="26" t="str">
        <f aca="false">IF(OR(E3484="",E3484="!!!"),"",IF(OR(J3484=0,AND(J3484=1,K3484=1),AND(J3484=1,I3484="SBJ"),AND(J3484=1,I3484=0)),"?IN_FOCUS",IF(J3484&lt;=2,"?ACTIVATED",IF(J3484&lt;&gt;"","?FAMILIAR",IF(F3484="NEW",IF(ISNA(VLOOKUP(E3484,#REF!,1,FALSE())),"?TYPE_IDENTIFIABLE","?REFERENTIAL"),"_")))))</f>
        <v/>
      </c>
      <c r="H3484" s="27" t="str">
        <f aca="false">IF(J3484&lt;&gt;1,"",IF(I3484="SBJ","CB","?"))</f>
        <v/>
      </c>
      <c r="I3484" s="24" t="str">
        <f aca="false">IF(OR(E3484="",E3484="!!!",F3484="NEW"),"",INDEX(B2:B$3483,-1+SUMPRODUCT(MAX(ROW(E2:E$3483)*(E3484=E2:E$3483)))))</f>
        <v/>
      </c>
      <c r="J3484" s="24" t="str">
        <f aca="true">IF(OR(E3484="",E3484="!!!",F3484="NEW"),"",COUNTBLANK(OFFSET(A$1,,,SUMPRODUCT(MAX(ROW(E$2:E3484)*(E3484=E$2:E3484)))))-COUNTBLANK(OFFSET(A$1,,,SUMPRODUCT(MAX(ROW(E$1:E3483)*(E2=E$1:E3483))))))</f>
        <v/>
      </c>
      <c r="K3484" s="24" t="str">
        <f aca="false">IF(OR(E3484="",E3484="!!!",F3484="NEW"),"",INDEX(J$1:J3483,SUMPRODUCT(MAX(ROW(E$1:E3483)*(E3484=E$1:E3483)))))</f>
        <v/>
      </c>
      <c r="L3484" s="31"/>
    </row>
    <row r="3485" customFormat="false" ht="15" hidden="false" customHeight="false" outlineLevel="0" collapsed="false">
      <c r="A3485" s="20" t="s">
        <v>1186</v>
      </c>
      <c r="B3485" s="22" t="s">
        <v>1058</v>
      </c>
      <c r="C3485" s="22" t="s">
        <v>1082</v>
      </c>
      <c r="D3485" s="22" t="s">
        <v>1060</v>
      </c>
      <c r="E3485" s="23" t="str">
        <f aca="false">IF(D3485="?OLD","!!!","")</f>
        <v>!!!</v>
      </c>
      <c r="F3485" s="25" t="str">
        <f aca="false">IF(OR(E3485="",E3485="!!!"),"",IF(NOT(ISNA(VLOOKUP(E3485,E$1:E3484,1,FALSE()))),"OLD",IF(AND(E3485&lt;&gt;"",E3485&lt;&gt;"!!!"),"NEW","")))</f>
        <v/>
      </c>
      <c r="G3485" s="26" t="str">
        <f aca="false">IF(OR(E3485="",E3485="!!!"),"",IF(OR(J3485=0,AND(J3485=1,K3485=1),AND(J3485=1,I3485="SBJ"),AND(J3485=1,I3485=0)),"?IN_FOCUS",IF(J3485&lt;=2,"?ACTIVATED",IF(J3485&lt;&gt;"","?FAMILIAR",IF(F3485="NEW",IF(ISNA(VLOOKUP(E3485,#REF!,1,FALSE())),"?TYPE_IDENTIFIABLE","?REFERENTIAL"),"_")))))</f>
        <v/>
      </c>
      <c r="H3485" s="27" t="str">
        <f aca="false">IF(J3485&lt;&gt;1,"",IF(I3485="SBJ","CB","?"))</f>
        <v/>
      </c>
      <c r="I3485" s="24" t="str">
        <f aca="false">IF(OR(E3485="",E3485="!!!",F3485="NEW"),"",INDEX(B3:B$3483,-1+SUMPRODUCT(MAX(ROW(E3:E$3483)*(E3485=E3:E$3483)))))</f>
        <v/>
      </c>
      <c r="J3485" s="24" t="str">
        <f aca="true">IF(OR(E3485="",E3485="!!!",F3485="NEW"),"",COUNTBLANK(OFFSET(A$1,,,SUMPRODUCT(MAX(ROW(E$2:E3485)*(E3485=E$2:E3485)))))-COUNTBLANK(OFFSET(A$1,,,SUMPRODUCT(MAX(ROW(E$1:E3484)*(E2=E$1:E3484))))))</f>
        <v/>
      </c>
      <c r="K3485" s="24" t="str">
        <f aca="false">IF(OR(E3485="",E3485="!!!",F3485="NEW"),"",INDEX(J$1:J3484,SUMPRODUCT(MAX(ROW(E$1:E3484)*(E3485=E$1:E3484)))))</f>
        <v/>
      </c>
      <c r="L3485" s="31"/>
    </row>
    <row r="3486" customFormat="false" ht="15" hidden="false" customHeight="false" outlineLevel="0" collapsed="false">
      <c r="A3486" s="20" t="s">
        <v>1135</v>
      </c>
      <c r="E3486" s="23" t="str">
        <f aca="false">IF(D3486="?OLD","!!!","")</f>
        <v/>
      </c>
      <c r="F3486" s="25" t="str">
        <f aca="false">IF(OR(E3486="",E3486="!!!"),"",IF(NOT(ISNA(VLOOKUP(E3486,E$1:E3485,1,FALSE()))),"OLD",IF(AND(E3486&lt;&gt;"",E3486&lt;&gt;"!!!"),"NEW","")))</f>
        <v/>
      </c>
      <c r="G3486" s="26" t="str">
        <f aca="false">IF(OR(E3486="",E3486="!!!"),"",IF(OR(J3486=0,AND(J3486=1,K3486=1),AND(J3486=1,I3486="SBJ"),AND(J3486=1,I3486=0)),"?IN_FOCUS",IF(J3486&lt;=2,"?ACTIVATED",IF(J3486&lt;&gt;"","?FAMILIAR",IF(F3486="NEW",IF(ISNA(VLOOKUP(E3486,#REF!,1,FALSE())),"?TYPE_IDENTIFIABLE","?REFERENTIAL"),"_")))))</f>
        <v/>
      </c>
      <c r="H3486" s="27" t="str">
        <f aca="false">IF(J3486&lt;&gt;1,"",IF(I3486="SBJ","CB","?"))</f>
        <v/>
      </c>
      <c r="I3486" s="24" t="str">
        <f aca="false">IF(OR(E3486="",E3486="!!!",F3486="NEW"),"",INDEX(B4:B$3483,-1+SUMPRODUCT(MAX(ROW(E4:E$3483)*(E3486=E4:E$3483)))))</f>
        <v/>
      </c>
      <c r="J3486" s="24" t="str">
        <f aca="true">IF(OR(E3486="",E3486="!!!",F3486="NEW"),"",COUNTBLANK(OFFSET(A$1,,,SUMPRODUCT(MAX(ROW(E$2:E3486)*(E3486=E$2:E3486)))))-COUNTBLANK(OFFSET(A$1,,,SUMPRODUCT(MAX(ROW(E$1:E3485)*(E2=E$1:E3485))))))</f>
        <v/>
      </c>
      <c r="K3486" s="24" t="str">
        <f aca="false">IF(OR(E3486="",E3486="!!!",F3486="NEW"),"",INDEX(J$1:J3485,SUMPRODUCT(MAX(ROW(E$1:E3485)*(E3486=E$1:E3485)))))</f>
        <v/>
      </c>
      <c r="L3486" s="31"/>
    </row>
    <row r="3487" customFormat="false" ht="15" hidden="false" customHeight="false" outlineLevel="0" collapsed="false">
      <c r="A3487" s="20" t="s">
        <v>2171</v>
      </c>
      <c r="E3487" s="23" t="str">
        <f aca="false">IF(D3487="?OLD","!!!","")</f>
        <v/>
      </c>
      <c r="F3487" s="25" t="str">
        <f aca="false">IF(OR(E3487="",E3487="!!!"),"",IF(NOT(ISNA(VLOOKUP(E3487,E$1:E3486,1,FALSE()))),"OLD",IF(AND(E3487&lt;&gt;"",E3487&lt;&gt;"!!!"),"NEW","")))</f>
        <v/>
      </c>
      <c r="G3487" s="26" t="str">
        <f aca="false">IF(OR(E3487="",E3487="!!!"),"",IF(OR(J3487=0,AND(J3487=1,K3487=1),AND(J3487=1,I3487="SBJ"),AND(J3487=1,I3487=0)),"?IN_FOCUS",IF(J3487&lt;=2,"?ACTIVATED",IF(J3487&lt;&gt;"","?FAMILIAR",IF(F3487="NEW",IF(ISNA(VLOOKUP(E3487,#REF!,1,FALSE())),"?TYPE_IDENTIFIABLE","?REFERENTIAL"),"_")))))</f>
        <v/>
      </c>
      <c r="H3487" s="27" t="str">
        <f aca="false">IF(J3487&lt;&gt;1,"",IF(I3487="SBJ","CB","?"))</f>
        <v/>
      </c>
      <c r="I3487" s="24" t="str">
        <f aca="false">IF(OR(E3487="",E3487="!!!",F3487="NEW"),"",INDEX(B5:B$3483,-1+SUMPRODUCT(MAX(ROW(E5:E$3483)*(E3487=E5:E$3483)))))</f>
        <v/>
      </c>
      <c r="J3487" s="24" t="str">
        <f aca="true">IF(OR(E3487="",E3487="!!!",F3487="NEW"),"",COUNTBLANK(OFFSET(A$1,,,SUMPRODUCT(MAX(ROW(E$2:E3487)*(E3487=E$2:E3487)))))-COUNTBLANK(OFFSET(A$1,,,SUMPRODUCT(MAX(ROW(E$1:E3486)*(E2=E$1:E3486))))))</f>
        <v/>
      </c>
      <c r="K3487" s="24" t="str">
        <f aca="false">IF(OR(E3487="",E3487="!!!",F3487="NEW"),"",INDEX(J$1:J3486,SUMPRODUCT(MAX(ROW(E$1:E3486)*(E3487=E$1:E3486)))))</f>
        <v/>
      </c>
      <c r="L3487" s="31"/>
    </row>
    <row r="3488" customFormat="false" ht="15" hidden="false" customHeight="false" outlineLevel="0" collapsed="false">
      <c r="A3488" s="20" t="s">
        <v>1248</v>
      </c>
      <c r="E3488" s="23" t="str">
        <f aca="false">IF(D3488="?OLD","!!!","")</f>
        <v/>
      </c>
      <c r="F3488" s="25" t="str">
        <f aca="false">IF(OR(E3488="",E3488="!!!"),"",IF(NOT(ISNA(VLOOKUP(E3488,E$1:E3487,1,FALSE()))),"OLD",IF(AND(E3488&lt;&gt;"",E3488&lt;&gt;"!!!"),"NEW","")))</f>
        <v/>
      </c>
      <c r="G3488" s="26" t="str">
        <f aca="false">IF(OR(E3488="",E3488="!!!"),"",IF(OR(J3488=0,AND(J3488=1,K3488=1),AND(J3488=1,I3488="SBJ"),AND(J3488=1,I3488=0)),"?IN_FOCUS",IF(J3488&lt;=2,"?ACTIVATED",IF(J3488&lt;&gt;"","?FAMILIAR",IF(F3488="NEW",IF(ISNA(VLOOKUP(E3488,#REF!,1,FALSE())),"?TYPE_IDENTIFIABLE","?REFERENTIAL"),"_")))))</f>
        <v/>
      </c>
      <c r="H3488" s="27" t="str">
        <f aca="false">IF(J3488&lt;&gt;1,"",IF(I3488="SBJ","CB","?"))</f>
        <v/>
      </c>
      <c r="I3488" s="24" t="str">
        <f aca="false">IF(OR(E3488="",E3488="!!!",F3488="NEW"),"",INDEX(B6:B$3483,-1+SUMPRODUCT(MAX(ROW(E6:E$3483)*(E3488=E6:E$3483)))))</f>
        <v/>
      </c>
      <c r="J3488" s="24" t="str">
        <f aca="true">IF(OR(E3488="",E3488="!!!",F3488="NEW"),"",COUNTBLANK(OFFSET(A$1,,,SUMPRODUCT(MAX(ROW(E$2:E3488)*(E3488=E$2:E3488)))))-COUNTBLANK(OFFSET(A$1,,,SUMPRODUCT(MAX(ROW(E$1:E3487)*(E2=E$1:E3487))))))</f>
        <v/>
      </c>
      <c r="K3488" s="24" t="str">
        <f aca="false">IF(OR(E3488="",E3488="!!!",F3488="NEW"),"",INDEX(J$1:J3487,SUMPRODUCT(MAX(ROW(E$1:E3487)*(E3488=E$1:E3487)))))</f>
        <v/>
      </c>
      <c r="L3488" s="31"/>
    </row>
    <row r="3489" customFormat="false" ht="15" hidden="false" customHeight="false" outlineLevel="0" collapsed="false">
      <c r="A3489" s="20" t="s">
        <v>1399</v>
      </c>
      <c r="E3489" s="23" t="str">
        <f aca="false">IF(D3489="?OLD","!!!","")</f>
        <v/>
      </c>
      <c r="F3489" s="25" t="str">
        <f aca="false">IF(OR(E3489="",E3489="!!!"),"",IF(NOT(ISNA(VLOOKUP(E3489,E$1:E3488,1,FALSE()))),"OLD",IF(AND(E3489&lt;&gt;"",E3489&lt;&gt;"!!!"),"NEW","")))</f>
        <v/>
      </c>
      <c r="G3489" s="26" t="str">
        <f aca="false">IF(OR(E3489="",E3489="!!!"),"",IF(OR(J3489=0,AND(J3489=1,K3489=1),AND(J3489=1,I3489="SBJ"),AND(J3489=1,I3489=0)),"?IN_FOCUS",IF(J3489&lt;=2,"?ACTIVATED",IF(J3489&lt;&gt;"","?FAMILIAR",IF(F3489="NEW",IF(ISNA(VLOOKUP(E3489,#REF!,1,FALSE())),"?TYPE_IDENTIFIABLE","?REFERENTIAL"),"_")))))</f>
        <v/>
      </c>
      <c r="H3489" s="27" t="str">
        <f aca="false">IF(J3489&lt;&gt;1,"",IF(I3489="SBJ","CB","?"))</f>
        <v/>
      </c>
      <c r="I3489" s="24" t="str">
        <f aca="false">IF(OR(E3489="",E3489="!!!",F3489="NEW"),"",INDEX(B7:B$3483,-1+SUMPRODUCT(MAX(ROW(E7:E$3483)*(E3489=E7:E$3483)))))</f>
        <v/>
      </c>
      <c r="J3489" s="24" t="str">
        <f aca="true">IF(OR(E3489="",E3489="!!!",F3489="NEW"),"",COUNTBLANK(OFFSET(A$1,,,SUMPRODUCT(MAX(ROW(E$2:E3489)*(E3489=E$2:E3489)))))-COUNTBLANK(OFFSET(A$1,,,SUMPRODUCT(MAX(ROW(E$1:E3488)*(E2=E$1:E3488))))))</f>
        <v/>
      </c>
      <c r="K3489" s="24" t="str">
        <f aca="false">IF(OR(E3489="",E3489="!!!",F3489="NEW"),"",INDEX(J$1:J3488,SUMPRODUCT(MAX(ROW(E$1:E3488)*(E3489=E$1:E3488)))))</f>
        <v/>
      </c>
      <c r="L3489" s="31"/>
    </row>
    <row r="3490" customFormat="false" ht="15" hidden="false" customHeight="false" outlineLevel="0" collapsed="false">
      <c r="A3490" s="20" t="s">
        <v>2172</v>
      </c>
      <c r="B3490" s="22" t="s">
        <v>1105</v>
      </c>
      <c r="C3490" s="22" t="s">
        <v>1087</v>
      </c>
      <c r="E3490" s="23" t="str">
        <f aca="false">IF(D3490="?OLD","!!!","")</f>
        <v/>
      </c>
      <c r="F3490" s="25" t="str">
        <f aca="false">IF(OR(E3490="",E3490="!!!"),"",IF(NOT(ISNA(VLOOKUP(E3490,E$1:E3489,1,FALSE()))),"OLD",IF(AND(E3490&lt;&gt;"",E3490&lt;&gt;"!!!"),"NEW","")))</f>
        <v/>
      </c>
      <c r="G3490" s="26" t="str">
        <f aca="false">IF(OR(E3490="",E3490="!!!"),"",IF(OR(J3490=0,AND(J3490=1,K3490=1),AND(J3490=1,I3490="SBJ"),AND(J3490=1,I3490=0)),"?IN_FOCUS",IF(J3490&lt;=2,"?ACTIVATED",IF(J3490&lt;&gt;"","?FAMILIAR",IF(F3490="NEW",IF(ISNA(VLOOKUP(E3490,#REF!,1,FALSE())),"?TYPE_IDENTIFIABLE","?REFERENTIAL"),"_")))))</f>
        <v/>
      </c>
      <c r="H3490" s="27" t="str">
        <f aca="false">IF(J3490&lt;&gt;1,"",IF(I3490="SBJ","CB","?"))</f>
        <v/>
      </c>
      <c r="I3490" s="24" t="str">
        <f aca="false">IF(OR(E3490="",E3490="!!!",F3490="NEW"),"",INDEX(B8:B$3483,-1+SUMPRODUCT(MAX(ROW(E8:E$3483)*(E3490=E8:E$3483)))))</f>
        <v/>
      </c>
      <c r="J3490" s="24" t="str">
        <f aca="true">IF(OR(E3490="",E3490="!!!",F3490="NEW"),"",COUNTBLANK(OFFSET(A$1,,,SUMPRODUCT(MAX(ROW(E$2:E3490)*(E3490=E$2:E3490)))))-COUNTBLANK(OFFSET(A$1,,,SUMPRODUCT(MAX(ROW(E$1:E3489)*(E2=E$1:E3489))))))</f>
        <v/>
      </c>
      <c r="K3490" s="24" t="str">
        <f aca="false">IF(OR(E3490="",E3490="!!!",F3490="NEW"),"",INDEX(J$1:J3489,SUMPRODUCT(MAX(ROW(E$1:E3489)*(E3490=E$1:E3489)))))</f>
        <v/>
      </c>
      <c r="L3490" s="31"/>
    </row>
    <row r="3491" customFormat="false" ht="15" hidden="false" customHeight="false" outlineLevel="0" collapsed="false">
      <c r="A3491" s="20" t="s">
        <v>587</v>
      </c>
      <c r="E3491" s="23" t="str">
        <f aca="false">IF(D3491="?OLD","!!!","")</f>
        <v/>
      </c>
      <c r="F3491" s="25" t="str">
        <f aca="false">IF(OR(E3491="",E3491="!!!"),"",IF(NOT(ISNA(VLOOKUP(E3491,E$1:E3490,1,FALSE()))),"OLD",IF(AND(E3491&lt;&gt;"",E3491&lt;&gt;"!!!"),"NEW","")))</f>
        <v/>
      </c>
      <c r="G3491" s="26" t="str">
        <f aca="false">IF(OR(E3491="",E3491="!!!"),"",IF(OR(J3491=0,AND(J3491=1,K3491=1),AND(J3491=1,I3491="SBJ"),AND(J3491=1,I3491=0)),"?IN_FOCUS",IF(J3491&lt;=2,"?ACTIVATED",IF(J3491&lt;&gt;"","?FAMILIAR",IF(F3491="NEW",IF(ISNA(VLOOKUP(E3491,#REF!,1,FALSE())),"?TYPE_IDENTIFIABLE","?REFERENTIAL"),"_")))))</f>
        <v/>
      </c>
      <c r="H3491" s="27" t="str">
        <f aca="false">IF(J3491&lt;&gt;1,"",IF(I3491="SBJ","CB","?"))</f>
        <v/>
      </c>
      <c r="I3491" s="24" t="str">
        <f aca="false">IF(OR(E3491="",E3491="!!!",F3491="NEW"),"",INDEX(B9:B$3483,-1+SUMPRODUCT(MAX(ROW(E9:E$3483)*(E3491=E9:E$3483)))))</f>
        <v/>
      </c>
      <c r="J3491" s="24" t="str">
        <f aca="true">IF(OR(E3491="",E3491="!!!",F3491="NEW"),"",COUNTBLANK(OFFSET(A$1,,,SUMPRODUCT(MAX(ROW(E$2:E3491)*(E3491=E$2:E3491)))))-COUNTBLANK(OFFSET(A$1,,,SUMPRODUCT(MAX(ROW(E$1:E3490)*(E2=E$1:E3490))))))</f>
        <v/>
      </c>
      <c r="K3491" s="24" t="str">
        <f aca="false">IF(OR(E3491="",E3491="!!!",F3491="NEW"),"",INDEX(J$1:J3490,SUMPRODUCT(MAX(ROW(E$1:E3490)*(E3491=E$1:E3490)))))</f>
        <v/>
      </c>
      <c r="L3491" s="31"/>
    </row>
    <row r="3492" customFormat="false" ht="15" hidden="false" customHeight="false" outlineLevel="0" collapsed="false">
      <c r="A3492" s="20" t="s">
        <v>1715</v>
      </c>
      <c r="E3492" s="23" t="str">
        <f aca="false">IF(D3492="?OLD","!!!","")</f>
        <v/>
      </c>
      <c r="F3492" s="25" t="str">
        <f aca="false">IF(OR(E3492="",E3492="!!!"),"",IF(NOT(ISNA(VLOOKUP(E3492,E$1:E3491,1,FALSE()))),"OLD",IF(AND(E3492&lt;&gt;"",E3492&lt;&gt;"!!!"),"NEW","")))</f>
        <v/>
      </c>
      <c r="G3492" s="26" t="str">
        <f aca="false">IF(OR(E3492="",E3492="!!!"),"",IF(OR(J3492=0,AND(J3492=1,K3492=1),AND(J3492=1,I3492="SBJ"),AND(J3492=1,I3492=0)),"?IN_FOCUS",IF(J3492&lt;=2,"?ACTIVATED",IF(J3492&lt;&gt;"","?FAMILIAR",IF(F3492="NEW",IF(ISNA(VLOOKUP(E3492,#REF!,1,FALSE())),"?TYPE_IDENTIFIABLE","?REFERENTIAL"),"_")))))</f>
        <v/>
      </c>
      <c r="H3492" s="27" t="str">
        <f aca="false">IF(J3492&lt;&gt;1,"",IF(I3492="SBJ","CB","?"))</f>
        <v/>
      </c>
      <c r="I3492" s="24" t="str">
        <f aca="false">IF(OR(E3492="",E3492="!!!",F3492="NEW"),"",INDEX(B10:B$3483,-1+SUMPRODUCT(MAX(ROW(E10:E$3483)*(E3492=E10:E$3483)))))</f>
        <v/>
      </c>
      <c r="J3492" s="24" t="str">
        <f aca="true">IF(OR(E3492="",E3492="!!!",F3492="NEW"),"",COUNTBLANK(OFFSET(A$1,,,SUMPRODUCT(MAX(ROW(E$2:E3492)*(E3492=E$2:E3492)))))-COUNTBLANK(OFFSET(A$1,,,SUMPRODUCT(MAX(ROW(E$1:E3491)*(E2=E$1:E3491))))))</f>
        <v/>
      </c>
      <c r="K3492" s="24" t="str">
        <f aca="false">IF(OR(E3492="",E3492="!!!",F3492="NEW"),"",INDEX(J$1:J3491,SUMPRODUCT(MAX(ROW(E$1:E3491)*(E3492=E$1:E3491)))))</f>
        <v/>
      </c>
      <c r="L3492" s="31"/>
    </row>
    <row r="3493" customFormat="false" ht="15" hidden="false" customHeight="false" outlineLevel="0" collapsed="false">
      <c r="A3493" s="20" t="s">
        <v>1128</v>
      </c>
      <c r="E3493" s="23" t="str">
        <f aca="false">IF(D3493="?OLD","!!!","")</f>
        <v/>
      </c>
      <c r="F3493" s="25" t="str">
        <f aca="false">IF(OR(E3493="",E3493="!!!"),"",IF(NOT(ISNA(VLOOKUP(E3493,E$1:E3492,1,FALSE()))),"OLD",IF(AND(E3493&lt;&gt;"",E3493&lt;&gt;"!!!"),"NEW","")))</f>
        <v/>
      </c>
      <c r="G3493" s="26" t="str">
        <f aca="false">IF(OR(E3493="",E3493="!!!"),"",IF(OR(J3493=0,AND(J3493=1,K3493=1),AND(J3493=1,I3493="SBJ"),AND(J3493=1,I3493=0)),"?IN_FOCUS",IF(J3493&lt;=2,"?ACTIVATED",IF(J3493&lt;&gt;"","?FAMILIAR",IF(F3493="NEW",IF(ISNA(VLOOKUP(E3493,#REF!,1,FALSE())),"?TYPE_IDENTIFIABLE","?REFERENTIAL"),"_")))))</f>
        <v/>
      </c>
      <c r="H3493" s="27" t="str">
        <f aca="false">IF(J3493&lt;&gt;1,"",IF(I3493="SBJ","CB","?"))</f>
        <v/>
      </c>
      <c r="I3493" s="24" t="str">
        <f aca="false">IF(OR(E3493="",E3493="!!!",F3493="NEW"),"",INDEX(B11:B$3483,-1+SUMPRODUCT(MAX(ROW(E11:E$3483)*(E3493=E11:E$3483)))))</f>
        <v/>
      </c>
      <c r="J3493" s="24" t="str">
        <f aca="true">IF(OR(E3493="",E3493="!!!",F3493="NEW"),"",COUNTBLANK(OFFSET(A$1,,,SUMPRODUCT(MAX(ROW(E$2:E3493)*(E3493=E$2:E3493)))))-COUNTBLANK(OFFSET(A$1,,,SUMPRODUCT(MAX(ROW(E$1:E3492)*(E2=E$1:E3492))))))</f>
        <v/>
      </c>
      <c r="K3493" s="24" t="str">
        <f aca="false">IF(OR(E3493="",E3493="!!!",F3493="NEW"),"",INDEX(J$1:J3492,SUMPRODUCT(MAX(ROW(E$1:E3492)*(E3493=E$1:E3492)))))</f>
        <v/>
      </c>
      <c r="L3493" s="31"/>
    </row>
    <row r="3494" customFormat="false" ht="15" hidden="false" customHeight="false" outlineLevel="0" collapsed="false">
      <c r="A3494" s="20" t="s">
        <v>587</v>
      </c>
      <c r="E3494" s="23" t="str">
        <f aca="false">IF(D3494="?OLD","!!!","")</f>
        <v/>
      </c>
      <c r="F3494" s="25" t="str">
        <f aca="false">IF(OR(E3494="",E3494="!!!"),"",IF(NOT(ISNA(VLOOKUP(E3494,E$1:E3493,1,FALSE()))),"OLD",IF(AND(E3494&lt;&gt;"",E3494&lt;&gt;"!!!"),"NEW","")))</f>
        <v/>
      </c>
      <c r="G3494" s="26" t="str">
        <f aca="false">IF(OR(E3494="",E3494="!!!"),"",IF(OR(J3494=0,AND(J3494=1,K3494=1),AND(J3494=1,I3494="SBJ"),AND(J3494=1,I3494=0)),"?IN_FOCUS",IF(J3494&lt;=2,"?ACTIVATED",IF(J3494&lt;&gt;"","?FAMILIAR",IF(F3494="NEW",IF(ISNA(VLOOKUP(E3494,#REF!,1,FALSE())),"?TYPE_IDENTIFIABLE","?REFERENTIAL"),"_")))))</f>
        <v/>
      </c>
      <c r="H3494" s="27" t="str">
        <f aca="false">IF(J3494&lt;&gt;1,"",IF(I3494="SBJ","CB","?"))</f>
        <v/>
      </c>
      <c r="I3494" s="24" t="str">
        <f aca="false">IF(OR(E3494="",E3494="!!!",F3494="NEW"),"",INDEX(B12:B$3483,-1+SUMPRODUCT(MAX(ROW(E12:E$3483)*(E3494=E12:E$3483)))))</f>
        <v/>
      </c>
      <c r="J3494" s="24" t="str">
        <f aca="true">IF(OR(E3494="",E3494="!!!",F3494="NEW"),"",COUNTBLANK(OFFSET(A$1,,,SUMPRODUCT(MAX(ROW(E$2:E3494)*(E3494=E$2:E3494)))))-COUNTBLANK(OFFSET(A$1,,,SUMPRODUCT(MAX(ROW(E$1:E3493)*(E2=E$1:E3493))))))</f>
        <v/>
      </c>
      <c r="K3494" s="24" t="str">
        <f aca="false">IF(OR(E3494="",E3494="!!!",F3494="NEW"),"",INDEX(J$1:J3493,SUMPRODUCT(MAX(ROW(E$1:E3493)*(E3494=E$1:E3493)))))</f>
        <v/>
      </c>
      <c r="L3494" s="31"/>
    </row>
    <row r="3495" customFormat="false" ht="15" hidden="false" customHeight="false" outlineLevel="0" collapsed="false">
      <c r="A3495" s="20" t="s">
        <v>2173</v>
      </c>
      <c r="E3495" s="23" t="str">
        <f aca="false">IF(D3495="?OLD","!!!","")</f>
        <v/>
      </c>
      <c r="F3495" s="25" t="str">
        <f aca="false">IF(OR(E3495="",E3495="!!!"),"",IF(NOT(ISNA(VLOOKUP(E3495,E$1:E3494,1,FALSE()))),"OLD",IF(AND(E3495&lt;&gt;"",E3495&lt;&gt;"!!!"),"NEW","")))</f>
        <v/>
      </c>
      <c r="G3495" s="26" t="str">
        <f aca="false">IF(OR(E3495="",E3495="!!!"),"",IF(OR(J3495=0,AND(J3495=1,K3495=1),AND(J3495=1,I3495="SBJ"),AND(J3495=1,I3495=0)),"?IN_FOCUS",IF(J3495&lt;=2,"?ACTIVATED",IF(J3495&lt;&gt;"","?FAMILIAR",IF(F3495="NEW",IF(ISNA(VLOOKUP(E3495,#REF!,1,FALSE())),"?TYPE_IDENTIFIABLE","?REFERENTIAL"),"_")))))</f>
        <v/>
      </c>
      <c r="H3495" s="27" t="str">
        <f aca="false">IF(J3495&lt;&gt;1,"",IF(I3495="SBJ","CB","?"))</f>
        <v/>
      </c>
      <c r="I3495" s="24" t="str">
        <f aca="false">IF(OR(E3495="",E3495="!!!",F3495="NEW"),"",INDEX(B13:B$3483,-1+SUMPRODUCT(MAX(ROW(E13:E$3483)*(E3495=E13:E$3483)))))</f>
        <v/>
      </c>
      <c r="J3495" s="24" t="str">
        <f aca="true">IF(OR(E3495="",E3495="!!!",F3495="NEW"),"",COUNTBLANK(OFFSET(A$1,,,SUMPRODUCT(MAX(ROW(E$2:E3495)*(E3495=E$2:E3495)))))-COUNTBLANK(OFFSET(A$1,,,SUMPRODUCT(MAX(ROW(E$1:E3494)*(E2=E$1:E3494))))))</f>
        <v/>
      </c>
      <c r="K3495" s="24" t="str">
        <f aca="false">IF(OR(E3495="",E3495="!!!",F3495="NEW"),"",INDEX(J$1:J3494,SUMPRODUCT(MAX(ROW(E$1:E3494)*(E3495=E$1:E3494)))))</f>
        <v/>
      </c>
      <c r="L3495" s="31"/>
    </row>
    <row r="3496" customFormat="false" ht="15" hidden="false" customHeight="false" outlineLevel="0" collapsed="false">
      <c r="A3496" s="20" t="s">
        <v>1089</v>
      </c>
      <c r="E3496" s="23" t="str">
        <f aca="false">IF(D3496="?OLD","!!!","")</f>
        <v/>
      </c>
      <c r="F3496" s="25" t="str">
        <f aca="false">IF(OR(E3496="",E3496="!!!"),"",IF(NOT(ISNA(VLOOKUP(E3496,E$1:E3495,1,FALSE()))),"OLD",IF(AND(E3496&lt;&gt;"",E3496&lt;&gt;"!!!"),"NEW","")))</f>
        <v/>
      </c>
      <c r="G3496" s="26" t="str">
        <f aca="false">IF(OR(E3496="",E3496="!!!"),"",IF(OR(J3496=0,AND(J3496=1,K3496=1),AND(J3496=1,I3496="SBJ"),AND(J3496=1,I3496=0)),"?IN_FOCUS",IF(J3496&lt;=2,"?ACTIVATED",IF(J3496&lt;&gt;"","?FAMILIAR",IF(F3496="NEW",IF(ISNA(VLOOKUP(E3496,#REF!,1,FALSE())),"?TYPE_IDENTIFIABLE","?REFERENTIAL"),"_")))))</f>
        <v/>
      </c>
      <c r="H3496" s="27" t="str">
        <f aca="false">IF(J3496&lt;&gt;1,"",IF(I3496="SBJ","CB","?"))</f>
        <v/>
      </c>
      <c r="I3496" s="24" t="str">
        <f aca="false">IF(OR(E3496="",E3496="!!!",F3496="NEW"),"",INDEX(B14:B$3483,-1+SUMPRODUCT(MAX(ROW(E14:E$3483)*(E3496=E14:E$3483)))))</f>
        <v/>
      </c>
      <c r="J3496" s="24" t="str">
        <f aca="true">IF(OR(E3496="",E3496="!!!",F3496="NEW"),"",COUNTBLANK(OFFSET(A$1,,,SUMPRODUCT(MAX(ROW(E$2:E3496)*(E3496=E$2:E3496)))))-COUNTBLANK(OFFSET(A$1,,,SUMPRODUCT(MAX(ROW(E$1:E3495)*(E2=E$1:E3495))))))</f>
        <v/>
      </c>
      <c r="K3496" s="24" t="str">
        <f aca="false">IF(OR(E3496="",E3496="!!!",F3496="NEW"),"",INDEX(J$1:J3495,SUMPRODUCT(MAX(ROW(E$1:E3495)*(E3496=E$1:E3495)))))</f>
        <v/>
      </c>
      <c r="L3496" s="31"/>
    </row>
    <row r="3497" customFormat="false" ht="15" hidden="false" customHeight="false" outlineLevel="0" collapsed="false">
      <c r="A3497" s="20" t="s">
        <v>1186</v>
      </c>
      <c r="B3497" s="22" t="s">
        <v>1086</v>
      </c>
      <c r="C3497" s="22" t="s">
        <v>1082</v>
      </c>
      <c r="D3497" s="22" t="s">
        <v>1060</v>
      </c>
      <c r="E3497" s="23" t="str">
        <f aca="false">IF(D3497="?OLD","!!!","")</f>
        <v>!!!</v>
      </c>
      <c r="F3497" s="25" t="str">
        <f aca="false">IF(OR(E3497="",E3497="!!!"),"",IF(NOT(ISNA(VLOOKUP(E3497,E$1:E3496,1,FALSE()))),"OLD",IF(AND(E3497&lt;&gt;"",E3497&lt;&gt;"!!!"),"NEW","")))</f>
        <v/>
      </c>
      <c r="G3497" s="26" t="str">
        <f aca="false">IF(OR(E3497="",E3497="!!!"),"",IF(OR(J3497=0,AND(J3497=1,K3497=1),AND(J3497=1,I3497="SBJ"),AND(J3497=1,I3497=0)),"?IN_FOCUS",IF(J3497&lt;=2,"?ACTIVATED",IF(J3497&lt;&gt;"","?FAMILIAR",IF(F3497="NEW",IF(ISNA(VLOOKUP(E3497,#REF!,1,FALSE())),"?TYPE_IDENTIFIABLE","?REFERENTIAL"),"_")))))</f>
        <v/>
      </c>
      <c r="H3497" s="27" t="str">
        <f aca="false">IF(J3497&lt;&gt;1,"",IF(I3497="SBJ","CB","?"))</f>
        <v/>
      </c>
      <c r="I3497" s="24" t="str">
        <f aca="false">IF(OR(E3497="",E3497="!!!",F3497="NEW"),"",INDEX(B15:B$3483,-1+SUMPRODUCT(MAX(ROW(E15:E$3483)*(E3497=E15:E$3483)))))</f>
        <v/>
      </c>
      <c r="J3497" s="24" t="str">
        <f aca="true">IF(OR(E3497="",E3497="!!!",F3497="NEW"),"",COUNTBLANK(OFFSET(A$1,,,SUMPRODUCT(MAX(ROW(E$2:E3497)*(E3497=E$2:E3497)))))-COUNTBLANK(OFFSET(A$1,,,SUMPRODUCT(MAX(ROW(E$1:E3496)*(E2=E$1:E3496))))))</f>
        <v/>
      </c>
      <c r="K3497" s="24" t="str">
        <f aca="false">IF(OR(E3497="",E3497="!!!",F3497="NEW"),"",INDEX(J$1:J3496,SUMPRODUCT(MAX(ROW(E$1:E3496)*(E3497=E$1:E3496)))))</f>
        <v/>
      </c>
      <c r="L3497" s="31"/>
    </row>
    <row r="3498" customFormat="false" ht="15" hidden="false" customHeight="false" outlineLevel="0" collapsed="false">
      <c r="A3498" s="20" t="s">
        <v>2174</v>
      </c>
      <c r="E3498" s="23" t="str">
        <f aca="false">IF(D3498="?OLD","!!!","")</f>
        <v/>
      </c>
      <c r="F3498" s="25" t="str">
        <f aca="false">IF(OR(E3498="",E3498="!!!"),"",IF(NOT(ISNA(VLOOKUP(E3498,E$1:E3497,1,FALSE()))),"OLD",IF(AND(E3498&lt;&gt;"",E3498&lt;&gt;"!!!"),"NEW","")))</f>
        <v/>
      </c>
      <c r="G3498" s="26" t="str">
        <f aca="false">IF(OR(E3498="",E3498="!!!"),"",IF(OR(J3498=0,AND(J3498=1,K3498=1),AND(J3498=1,I3498="SBJ"),AND(J3498=1,I3498=0)),"?IN_FOCUS",IF(J3498&lt;=2,"?ACTIVATED",IF(J3498&lt;&gt;"","?FAMILIAR",IF(F3498="NEW",IF(ISNA(VLOOKUP(E3498,#REF!,1,FALSE())),"?TYPE_IDENTIFIABLE","?REFERENTIAL"),"_")))))</f>
        <v/>
      </c>
      <c r="H3498" s="27" t="str">
        <f aca="false">IF(J3498&lt;&gt;1,"",IF(I3498="SBJ","CB","?"))</f>
        <v/>
      </c>
      <c r="I3498" s="24" t="str">
        <f aca="false">IF(OR(E3498="",E3498="!!!",F3498="NEW"),"",INDEX(B16:B$3483,-1+SUMPRODUCT(MAX(ROW(E16:E$3483)*(E3498=E16:E$3483)))))</f>
        <v/>
      </c>
      <c r="J3498" s="24" t="str">
        <f aca="true">IF(OR(E3498="",E3498="!!!",F3498="NEW"),"",COUNTBLANK(OFFSET(A$1,,,SUMPRODUCT(MAX(ROW(E$2:E3498)*(E3498=E$2:E3498)))))-COUNTBLANK(OFFSET(A$1,,,SUMPRODUCT(MAX(ROW(E$1:E3497)*(E2=E$1:E3497))))))</f>
        <v/>
      </c>
      <c r="K3498" s="24" t="str">
        <f aca="false">IF(OR(E3498="",E3498="!!!",F3498="NEW"),"",INDEX(J$1:J3497,SUMPRODUCT(MAX(ROW(E$1:E3497)*(E3498=E$1:E3497)))))</f>
        <v/>
      </c>
      <c r="L3498" s="31"/>
    </row>
    <row r="3499" customFormat="false" ht="15" hidden="false" customHeight="false" outlineLevel="0" collapsed="false">
      <c r="A3499" s="20" t="s">
        <v>1154</v>
      </c>
      <c r="E3499" s="23" t="str">
        <f aca="false">IF(D3499="?OLD","!!!","")</f>
        <v/>
      </c>
      <c r="F3499" s="25" t="str">
        <f aca="false">IF(OR(E3499="",E3499="!!!"),"",IF(NOT(ISNA(VLOOKUP(E3499,E$1:E3498,1,FALSE()))),"OLD",IF(AND(E3499&lt;&gt;"",E3499&lt;&gt;"!!!"),"NEW","")))</f>
        <v/>
      </c>
      <c r="G3499" s="26" t="str">
        <f aca="false">IF(OR(E3499="",E3499="!!!"),"",IF(OR(J3499=0,AND(J3499=1,K3499=1),AND(J3499=1,I3499="SBJ"),AND(J3499=1,I3499=0)),"?IN_FOCUS",IF(J3499&lt;=2,"?ACTIVATED",IF(J3499&lt;&gt;"","?FAMILIAR",IF(F3499="NEW",IF(ISNA(VLOOKUP(E3499,#REF!,1,FALSE())),"?TYPE_IDENTIFIABLE","?REFERENTIAL"),"_")))))</f>
        <v/>
      </c>
      <c r="H3499" s="27" t="str">
        <f aca="false">IF(J3499&lt;&gt;1,"",IF(I3499="SBJ","CB","?"))</f>
        <v/>
      </c>
      <c r="I3499" s="24" t="str">
        <f aca="false">IF(OR(E3499="",E3499="!!!",F3499="NEW"),"",INDEX(B17:B$3483,-1+SUMPRODUCT(MAX(ROW(E17:E$3483)*(E3499=E17:E$3483)))))</f>
        <v/>
      </c>
      <c r="J3499" s="24" t="str">
        <f aca="true">IF(OR(E3499="",E3499="!!!",F3499="NEW"),"",COUNTBLANK(OFFSET(A$1,,,SUMPRODUCT(MAX(ROW(E$2:E3499)*(E3499=E$2:E3499)))))-COUNTBLANK(OFFSET(A$1,,,SUMPRODUCT(MAX(ROW(E$1:E3498)*(E2=E$1:E3498))))))</f>
        <v/>
      </c>
      <c r="K3499" s="24" t="str">
        <f aca="false">IF(OR(E3499="",E3499="!!!",F3499="NEW"),"",INDEX(J$1:J3498,SUMPRODUCT(MAX(ROW(E$1:E3498)*(E3499=E$1:E3498)))))</f>
        <v/>
      </c>
      <c r="L3499" s="31"/>
    </row>
    <row r="3500" customFormat="false" ht="15" hidden="false" customHeight="false" outlineLevel="0" collapsed="false">
      <c r="A3500" s="20" t="s">
        <v>1085</v>
      </c>
      <c r="E3500" s="23" t="str">
        <f aca="false">IF(D3500="?OLD","!!!","")</f>
        <v/>
      </c>
      <c r="F3500" s="25" t="str">
        <f aca="false">IF(OR(E3500="",E3500="!!!"),"",IF(NOT(ISNA(VLOOKUP(E3500,E$1:E3499,1,FALSE()))),"OLD",IF(AND(E3500&lt;&gt;"",E3500&lt;&gt;"!!!"),"NEW","")))</f>
        <v/>
      </c>
      <c r="G3500" s="26" t="str">
        <f aca="false">IF(OR(E3500="",E3500="!!!"),"",IF(OR(J3500=0,AND(J3500=1,K3500=1),AND(J3500=1,I3500="SBJ"),AND(J3500=1,I3500=0)),"?IN_FOCUS",IF(J3500&lt;=2,"?ACTIVATED",IF(J3500&lt;&gt;"","?FAMILIAR",IF(F3500="NEW",IF(ISNA(VLOOKUP(E3500,#REF!,1,FALSE())),"?TYPE_IDENTIFIABLE","?REFERENTIAL"),"_")))))</f>
        <v/>
      </c>
      <c r="H3500" s="27" t="str">
        <f aca="false">IF(J3500&lt;&gt;1,"",IF(I3500="SBJ","CB","?"))</f>
        <v/>
      </c>
      <c r="I3500" s="24" t="str">
        <f aca="false">IF(OR(E3500="",E3500="!!!",F3500="NEW"),"",INDEX(B18:B$3483,-1+SUMPRODUCT(MAX(ROW(E18:E$3483)*(E3500=E18:E$3483)))))</f>
        <v/>
      </c>
      <c r="J3500" s="24" t="str">
        <f aca="true">IF(OR(E3500="",E3500="!!!",F3500="NEW"),"",COUNTBLANK(OFFSET(A$1,,,SUMPRODUCT(MAX(ROW(E$2:E3500)*(E3500=E$2:E3500)))))-COUNTBLANK(OFFSET(A$1,,,SUMPRODUCT(MAX(ROW(E$1:E3499)*(E2=E$1:E3499))))))</f>
        <v/>
      </c>
      <c r="K3500" s="24" t="str">
        <f aca="false">IF(OR(E3500="",E3500="!!!",F3500="NEW"),"",INDEX(J$1:J3499,SUMPRODUCT(MAX(ROW(E$1:E3499)*(E3500=E$1:E3499)))))</f>
        <v/>
      </c>
      <c r="L3500" s="31"/>
    </row>
    <row r="3501" customFormat="false" ht="15" hidden="false" customHeight="false" outlineLevel="0" collapsed="false">
      <c r="A3501" s="20" t="s">
        <v>2103</v>
      </c>
      <c r="B3501" s="22" t="s">
        <v>1073</v>
      </c>
      <c r="C3501" s="22" t="s">
        <v>1087</v>
      </c>
      <c r="E3501" s="23" t="str">
        <f aca="false">IF(D3501="?OLD","!!!","")</f>
        <v/>
      </c>
      <c r="F3501" s="25" t="str">
        <f aca="false">IF(OR(E3501="",E3501="!!!"),"",IF(NOT(ISNA(VLOOKUP(E3501,E$1:E3500,1,FALSE()))),"OLD",IF(AND(E3501&lt;&gt;"",E3501&lt;&gt;"!!!"),"NEW","")))</f>
        <v/>
      </c>
      <c r="G3501" s="26" t="str">
        <f aca="false">IF(OR(E3501="",E3501="!!!"),"",IF(OR(J3501=0,AND(J3501=1,K3501=1),AND(J3501=1,I3501="SBJ"),AND(J3501=1,I3501=0)),"?IN_FOCUS",IF(J3501&lt;=2,"?ACTIVATED",IF(J3501&lt;&gt;"","?FAMILIAR",IF(F3501="NEW",IF(ISNA(VLOOKUP(E3501,#REF!,1,FALSE())),"?TYPE_IDENTIFIABLE","?REFERENTIAL"),"_")))))</f>
        <v/>
      </c>
      <c r="H3501" s="27" t="str">
        <f aca="false">IF(J3501&lt;&gt;1,"",IF(I3501="SBJ","CB","?"))</f>
        <v/>
      </c>
      <c r="I3501" s="24" t="str">
        <f aca="false">IF(OR(E3501="",E3501="!!!",F3501="NEW"),"",INDEX(B19:B$3483,-1+SUMPRODUCT(MAX(ROW(E19:E$3483)*(E3501=E19:E$3483)))))</f>
        <v/>
      </c>
      <c r="J3501" s="24" t="str">
        <f aca="true">IF(OR(E3501="",E3501="!!!",F3501="NEW"),"",COUNTBLANK(OFFSET(A$1,,,SUMPRODUCT(MAX(ROW(E$2:E3501)*(E3501=E$2:E3501)))))-COUNTBLANK(OFFSET(A$1,,,SUMPRODUCT(MAX(ROW(E$1:E3500)*(E2=E$1:E3500))))))</f>
        <v/>
      </c>
      <c r="K3501" s="24" t="str">
        <f aca="false">IF(OR(E3501="",E3501="!!!",F3501="NEW"),"",INDEX(J$1:J3500,SUMPRODUCT(MAX(ROW(E$1:E3500)*(E3501=E$1:E3500)))))</f>
        <v/>
      </c>
      <c r="L3501" s="31"/>
    </row>
    <row r="3502" customFormat="false" ht="15" hidden="false" customHeight="false" outlineLevel="0" collapsed="false">
      <c r="A3502" s="20" t="s">
        <v>2175</v>
      </c>
      <c r="E3502" s="23" t="str">
        <f aca="false">IF(D3502="?OLD","!!!","")</f>
        <v/>
      </c>
      <c r="F3502" s="25" t="str">
        <f aca="false">IF(OR(E3502="",E3502="!!!"),"",IF(NOT(ISNA(VLOOKUP(E3502,E$1:E3501,1,FALSE()))),"OLD",IF(AND(E3502&lt;&gt;"",E3502&lt;&gt;"!!!"),"NEW","")))</f>
        <v/>
      </c>
      <c r="G3502" s="26" t="str">
        <f aca="false">IF(OR(E3502="",E3502="!!!"),"",IF(OR(J3502=0,AND(J3502=1,K3502=1),AND(J3502=1,I3502="SBJ"),AND(J3502=1,I3502=0)),"?IN_FOCUS",IF(J3502&lt;=2,"?ACTIVATED",IF(J3502&lt;&gt;"","?FAMILIAR",IF(F3502="NEW",IF(ISNA(VLOOKUP(E3502,#REF!,1,FALSE())),"?TYPE_IDENTIFIABLE","?REFERENTIAL"),"_")))))</f>
        <v/>
      </c>
      <c r="H3502" s="27" t="str">
        <f aca="false">IF(J3502&lt;&gt;1,"",IF(I3502="SBJ","CB","?"))</f>
        <v/>
      </c>
      <c r="I3502" s="24" t="str">
        <f aca="false">IF(OR(E3502="",E3502="!!!",F3502="NEW"),"",INDEX(B20:B$3483,-1+SUMPRODUCT(MAX(ROW(E20:E$3483)*(E3502=E20:E$3483)))))</f>
        <v/>
      </c>
      <c r="J3502" s="24" t="str">
        <f aca="true">IF(OR(E3502="",E3502="!!!",F3502="NEW"),"",COUNTBLANK(OFFSET(A$1,,,SUMPRODUCT(MAX(ROW(E$2:E3502)*(E3502=E$2:E3502)))))-COUNTBLANK(OFFSET(A$1,,,SUMPRODUCT(MAX(ROW(E$1:E3501)*(E2=E$1:E3501))))))</f>
        <v/>
      </c>
      <c r="K3502" s="24" t="str">
        <f aca="false">IF(OR(E3502="",E3502="!!!",F3502="NEW"),"",INDEX(J$1:J3501,SUMPRODUCT(MAX(ROW(E$1:E3501)*(E3502=E$1:E3501)))))</f>
        <v/>
      </c>
      <c r="L3502" s="31"/>
    </row>
    <row r="3503" customFormat="false" ht="15" hidden="false" customHeight="false" outlineLevel="0" collapsed="false">
      <c r="A3503" s="20" t="s">
        <v>1184</v>
      </c>
      <c r="E3503" s="23" t="str">
        <f aca="false">IF(D3503="?OLD","!!!","")</f>
        <v/>
      </c>
      <c r="F3503" s="25" t="str">
        <f aca="false">IF(OR(E3503="",E3503="!!!"),"",IF(NOT(ISNA(VLOOKUP(E3503,E$1:E3502,1,FALSE()))),"OLD",IF(AND(E3503&lt;&gt;"",E3503&lt;&gt;"!!!"),"NEW","")))</f>
        <v/>
      </c>
      <c r="G3503" s="26" t="str">
        <f aca="false">IF(OR(E3503="",E3503="!!!"),"",IF(OR(J3503=0,AND(J3503=1,K3503=1),AND(J3503=1,I3503="SBJ"),AND(J3503=1,I3503=0)),"?IN_FOCUS",IF(J3503&lt;=2,"?ACTIVATED",IF(J3503&lt;&gt;"","?FAMILIAR",IF(F3503="NEW",IF(ISNA(VLOOKUP(E3503,#REF!,1,FALSE())),"?TYPE_IDENTIFIABLE","?REFERENTIAL"),"_")))))</f>
        <v/>
      </c>
      <c r="H3503" s="27" t="str">
        <f aca="false">IF(J3503&lt;&gt;1,"",IF(I3503="SBJ","CB","?"))</f>
        <v/>
      </c>
      <c r="I3503" s="24" t="str">
        <f aca="false">IF(OR(E3503="",E3503="!!!",F3503="NEW"),"",INDEX(B21:B$3483,-1+SUMPRODUCT(MAX(ROW(E21:E$3483)*(E3503=E21:E$3483)))))</f>
        <v/>
      </c>
      <c r="J3503" s="24" t="str">
        <f aca="true">IF(OR(E3503="",E3503="!!!",F3503="NEW"),"",COUNTBLANK(OFFSET(A$1,,,SUMPRODUCT(MAX(ROW(E$2:E3503)*(E3503=E$2:E3503)))))-COUNTBLANK(OFFSET(A$1,,,SUMPRODUCT(MAX(ROW(E$1:E3502)*(E2=E$1:E3502))))))</f>
        <v/>
      </c>
      <c r="K3503" s="24" t="str">
        <f aca="false">IF(OR(E3503="",E3503="!!!",F3503="NEW"),"",INDEX(J$1:J3502,SUMPRODUCT(MAX(ROW(E$1:E3502)*(E3503=E$1:E3502)))))</f>
        <v/>
      </c>
      <c r="L3503" s="31"/>
    </row>
    <row r="3504" customFormat="false" ht="15" hidden="false" customHeight="false" outlineLevel="0" collapsed="false">
      <c r="A3504" s="20" t="s">
        <v>1080</v>
      </c>
      <c r="B3504" s="22" t="s">
        <v>1107</v>
      </c>
      <c r="C3504" s="22" t="s">
        <v>1082</v>
      </c>
      <c r="D3504" s="22" t="s">
        <v>1060</v>
      </c>
      <c r="E3504" s="23" t="str">
        <f aca="false">IF(D3504="?OLD","!!!","")</f>
        <v>!!!</v>
      </c>
      <c r="F3504" s="25" t="str">
        <f aca="false">IF(OR(E3504="",E3504="!!!"),"",IF(NOT(ISNA(VLOOKUP(E3504,E$1:E3503,1,FALSE()))),"OLD",IF(AND(E3504&lt;&gt;"",E3504&lt;&gt;"!!!"),"NEW","")))</f>
        <v/>
      </c>
      <c r="G3504" s="26" t="str">
        <f aca="false">IF(OR(E3504="",E3504="!!!"),"",IF(OR(J3504=0,AND(J3504=1,K3504=1),AND(J3504=1,I3504="SBJ"),AND(J3504=1,I3504=0)),"?IN_FOCUS",IF(J3504&lt;=2,"?ACTIVATED",IF(J3504&lt;&gt;"","?FAMILIAR",IF(F3504="NEW",IF(ISNA(VLOOKUP(E3504,#REF!,1,FALSE())),"?TYPE_IDENTIFIABLE","?REFERENTIAL"),"_")))))</f>
        <v/>
      </c>
      <c r="H3504" s="27" t="str">
        <f aca="false">IF(J3504&lt;&gt;1,"",IF(I3504="SBJ","CB","?"))</f>
        <v/>
      </c>
      <c r="I3504" s="24" t="str">
        <f aca="false">IF(OR(E3504="",E3504="!!!",F3504="NEW"),"",INDEX(B22:B$3483,-1+SUMPRODUCT(MAX(ROW(E22:E$3483)*(E3504=E22:E$3483)))))</f>
        <v/>
      </c>
      <c r="J3504" s="24" t="str">
        <f aca="true">IF(OR(E3504="",E3504="!!!",F3504="NEW"),"",COUNTBLANK(OFFSET(A$1,,,SUMPRODUCT(MAX(ROW(E$2:E3504)*(E3504=E$2:E3504)))))-COUNTBLANK(OFFSET(A$1,,,SUMPRODUCT(MAX(ROW(E$1:E3503)*(E2=E$1:E3503))))))</f>
        <v/>
      </c>
      <c r="K3504" s="24" t="str">
        <f aca="false">IF(OR(E3504="",E3504="!!!",F3504="NEW"),"",INDEX(J$1:J3503,SUMPRODUCT(MAX(ROW(E$1:E3503)*(E3504=E$1:E3503)))))</f>
        <v/>
      </c>
      <c r="L3504" s="31"/>
    </row>
    <row r="3505" customFormat="false" ht="15" hidden="false" customHeight="false" outlineLevel="0" collapsed="false">
      <c r="A3505" s="20" t="s">
        <v>1173</v>
      </c>
      <c r="E3505" s="23" t="str">
        <f aca="false">IF(D3505="?OLD","!!!","")</f>
        <v/>
      </c>
      <c r="F3505" s="25" t="str">
        <f aca="false">IF(OR(E3505="",E3505="!!!"),"",IF(NOT(ISNA(VLOOKUP(E3505,E$1:E3504,1,FALSE()))),"OLD",IF(AND(E3505&lt;&gt;"",E3505&lt;&gt;"!!!"),"NEW","")))</f>
        <v/>
      </c>
      <c r="G3505" s="26" t="str">
        <f aca="false">IF(OR(E3505="",E3505="!!!"),"",IF(OR(J3505=0,AND(J3505=1,K3505=1),AND(J3505=1,I3505="SBJ"),AND(J3505=1,I3505=0)),"?IN_FOCUS",IF(J3505&lt;=2,"?ACTIVATED",IF(J3505&lt;&gt;"","?FAMILIAR",IF(F3505="NEW",IF(ISNA(VLOOKUP(E3505,#REF!,1,FALSE())),"?TYPE_IDENTIFIABLE","?REFERENTIAL"),"_")))))</f>
        <v/>
      </c>
      <c r="H3505" s="27" t="str">
        <f aca="false">IF(J3505&lt;&gt;1,"",IF(I3505="SBJ","CB","?"))</f>
        <v/>
      </c>
      <c r="I3505" s="24" t="str">
        <f aca="false">IF(OR(E3505="",E3505="!!!",F3505="NEW"),"",INDEX(B23:B$3483,-1+SUMPRODUCT(MAX(ROW(E23:E$3483)*(E3505=E23:E$3483)))))</f>
        <v/>
      </c>
      <c r="J3505" s="24" t="str">
        <f aca="true">IF(OR(E3505="",E3505="!!!",F3505="NEW"),"",COUNTBLANK(OFFSET(A$1,,,SUMPRODUCT(MAX(ROW(E$2:E3505)*(E3505=E$2:E3505)))))-COUNTBLANK(OFFSET(A$1,,,SUMPRODUCT(MAX(ROW(E$1:E3504)*(E2=E$1:E3504))))))</f>
        <v/>
      </c>
      <c r="K3505" s="24" t="str">
        <f aca="false">IF(OR(E3505="",E3505="!!!",F3505="NEW"),"",INDEX(J$1:J3504,SUMPRODUCT(MAX(ROW(E$1:E3504)*(E3505=E$1:E3504)))))</f>
        <v/>
      </c>
      <c r="L3505" s="31"/>
    </row>
    <row r="3506" customFormat="false" ht="15" hidden="false" customHeight="false" outlineLevel="0" collapsed="false">
      <c r="A3506" s="20" t="s">
        <v>1837</v>
      </c>
      <c r="B3506" s="22" t="s">
        <v>1107</v>
      </c>
      <c r="C3506" s="22" t="s">
        <v>1160</v>
      </c>
      <c r="E3506" s="23" t="str">
        <f aca="false">IF(D3506="?OLD","!!!","")</f>
        <v/>
      </c>
      <c r="F3506" s="25" t="str">
        <f aca="false">IF(OR(E3506="",E3506="!!!"),"",IF(NOT(ISNA(VLOOKUP(E3506,E$1:E3505,1,FALSE()))),"OLD",IF(AND(E3506&lt;&gt;"",E3506&lt;&gt;"!!!"),"NEW","")))</f>
        <v/>
      </c>
      <c r="G3506" s="26" t="str">
        <f aca="false">IF(OR(E3506="",E3506="!!!"),"",IF(OR(J3506=0,AND(J3506=1,K3506=1),AND(J3506=1,I3506="SBJ"),AND(J3506=1,I3506=0)),"?IN_FOCUS",IF(J3506&lt;=2,"?ACTIVATED",IF(J3506&lt;&gt;"","?FAMILIAR",IF(F3506="NEW",IF(ISNA(VLOOKUP(E3506,#REF!,1,FALSE())),"?TYPE_IDENTIFIABLE","?REFERENTIAL"),"_")))))</f>
        <v/>
      </c>
      <c r="H3506" s="27" t="str">
        <f aca="false">IF(J3506&lt;&gt;1,"",IF(I3506="SBJ","CB","?"))</f>
        <v/>
      </c>
      <c r="I3506" s="24" t="str">
        <f aca="false">IF(OR(E3506="",E3506="!!!",F3506="NEW"),"",INDEX(B24:B$3483,-1+SUMPRODUCT(MAX(ROW(E24:E$3483)*(E3506=E24:E$3483)))))</f>
        <v/>
      </c>
      <c r="J3506" s="24" t="str">
        <f aca="true">IF(OR(E3506="",E3506="!!!",F3506="NEW"),"",COUNTBLANK(OFFSET(A$1,,,SUMPRODUCT(MAX(ROW(E$2:E3506)*(E3506=E$2:E3506)))))-COUNTBLANK(OFFSET(A$1,,,SUMPRODUCT(MAX(ROW(E$1:E3505)*(E2=E$1:E3505))))))</f>
        <v/>
      </c>
      <c r="K3506" s="24" t="str">
        <f aca="false">IF(OR(E3506="",E3506="!!!",F3506="NEW"),"",INDEX(J$1:J3505,SUMPRODUCT(MAX(ROW(E$1:E3505)*(E3506=E$1:E3505)))))</f>
        <v/>
      </c>
      <c r="L3506" s="31"/>
    </row>
    <row r="3507" customFormat="false" ht="15" hidden="false" customHeight="false" outlineLevel="0" collapsed="false">
      <c r="A3507" s="20" t="s">
        <v>923</v>
      </c>
      <c r="E3507" s="23" t="str">
        <f aca="false">IF(D3507="?OLD","!!!","")</f>
        <v/>
      </c>
      <c r="F3507" s="25" t="str">
        <f aca="false">IF(OR(E3507="",E3507="!!!"),"",IF(NOT(ISNA(VLOOKUP(E3507,E$1:E3506,1,FALSE()))),"OLD",IF(AND(E3507&lt;&gt;"",E3507&lt;&gt;"!!!"),"NEW","")))</f>
        <v/>
      </c>
      <c r="G3507" s="26" t="str">
        <f aca="false">IF(OR(E3507="",E3507="!!!"),"",IF(OR(J3507=0,AND(J3507=1,K3507=1),AND(J3507=1,I3507="SBJ"),AND(J3507=1,I3507=0)),"?IN_FOCUS",IF(J3507&lt;=2,"?ACTIVATED",IF(J3507&lt;&gt;"","?FAMILIAR",IF(F3507="NEW",IF(ISNA(VLOOKUP(E3507,#REF!,1,FALSE())),"?TYPE_IDENTIFIABLE","?REFERENTIAL"),"_")))))</f>
        <v/>
      </c>
      <c r="H3507" s="27" t="str">
        <f aca="false">IF(J3507&lt;&gt;1,"",IF(I3507="SBJ","CB","?"))</f>
        <v/>
      </c>
      <c r="I3507" s="24" t="str">
        <f aca="false">IF(OR(E3507="",E3507="!!!",F3507="NEW"),"",INDEX(B25:B$3483,-1+SUMPRODUCT(MAX(ROW(E25:E$3483)*(E3507=E25:E$3483)))))</f>
        <v/>
      </c>
      <c r="J3507" s="24" t="str">
        <f aca="true">IF(OR(E3507="",E3507="!!!",F3507="NEW"),"",COUNTBLANK(OFFSET(A$1,,,SUMPRODUCT(MAX(ROW(E$2:E3507)*(E3507=E$2:E3507)))))-COUNTBLANK(OFFSET(A$1,,,SUMPRODUCT(MAX(ROW(E$1:E3506)*(E2=E$1:E3506))))))</f>
        <v/>
      </c>
      <c r="K3507" s="24" t="str">
        <f aca="false">IF(OR(E3507="",E3507="!!!",F3507="NEW"),"",INDEX(J$1:J3506,SUMPRODUCT(MAX(ROW(E$1:E3506)*(E3507=E$1:E3506)))))</f>
        <v/>
      </c>
      <c r="L3507" s="31"/>
    </row>
    <row r="3508" customFormat="false" ht="15" hidden="false" customHeight="false" outlineLevel="0" collapsed="false">
      <c r="A3508" s="20"/>
    </row>
    <row r="3509" customFormat="false" ht="15" hidden="false" customHeight="false" outlineLevel="0" collapsed="false">
      <c r="A3509" s="20" t="s">
        <v>2176</v>
      </c>
    </row>
    <row r="3510" customFormat="false" ht="15" hidden="false" customHeight="false" outlineLevel="0" collapsed="false">
      <c r="A3510" s="20" t="s">
        <v>1148</v>
      </c>
      <c r="E3510" s="23" t="str">
        <f aca="false">IF(D3510="?OLD","!!!","")</f>
        <v/>
      </c>
      <c r="F3510" s="25" t="str">
        <f aca="false">IF(OR(E3510="",E3510="!!!"),"",IF(NOT(ISNA(VLOOKUP(E3510,E$1:E3509,1,FALSE()))),"OLD",IF(AND(E3510&lt;&gt;"",E3510&lt;&gt;"!!!"),"NEW","")))</f>
        <v/>
      </c>
      <c r="G3510" s="26" t="str">
        <f aca="false">IF(OR(E3510="",E3510="!!!"),"",IF(OR(J3510=0,AND(J3510=1,K3510=1),AND(J3510=1,I3510="SBJ"),AND(J3510=1,I3510=0)),"?IN_FOCUS",IF(J3510&lt;=2,"?ACTIVATED",IF(J3510&lt;&gt;"","?FAMILIAR",IF(F3510="NEW",IF(ISNA(VLOOKUP(E3510,#REF!,1,FALSE())),"?TYPE_IDENTIFIABLE","?REFERENTIAL"),"_")))))</f>
        <v/>
      </c>
      <c r="H3510" s="27" t="str">
        <f aca="false">IF(J3510&lt;&gt;1,"",IF(I3510="SBJ","CB","?"))</f>
        <v/>
      </c>
      <c r="I3510" s="24" t="str">
        <f aca="false">IF(OR(E3510="",E3510="!!!",F3510="NEW"),"",INDEX(B2:B$3509,-1+SUMPRODUCT(MAX(ROW(E2:E$3509)*(E3510=E2:E$3509)))))</f>
        <v/>
      </c>
      <c r="J3510" s="24" t="str">
        <f aca="true">IF(OR(E3510="",E3510="!!!",F3510="NEW"),"",COUNTBLANK(OFFSET(A$1,,,SUMPRODUCT(MAX(ROW(E$2:E3510)*(E3510=E$2:E3510)))))-COUNTBLANK(OFFSET(A$1,,,SUMPRODUCT(MAX(ROW(E$1:E3509)*(E2=E$1:E3509))))))</f>
        <v/>
      </c>
      <c r="K3510" s="24" t="str">
        <f aca="false">IF(OR(E3510="",E3510="!!!",F3510="NEW"),"",INDEX(J$1:J3509,SUMPRODUCT(MAX(ROW(E$1:E3509)*(E3510=E$1:E3509)))))</f>
        <v/>
      </c>
      <c r="L3510" s="31"/>
    </row>
    <row r="3511" customFormat="false" ht="15" hidden="false" customHeight="false" outlineLevel="0" collapsed="false">
      <c r="A3511" s="20" t="s">
        <v>1436</v>
      </c>
      <c r="B3511" s="22" t="s">
        <v>1058</v>
      </c>
      <c r="C3511" s="22" t="s">
        <v>1150</v>
      </c>
      <c r="D3511" s="22" t="s">
        <v>1060</v>
      </c>
      <c r="E3511" s="23" t="str">
        <f aca="false">IF(D3511="?OLD","!!!","")</f>
        <v>!!!</v>
      </c>
      <c r="F3511" s="25" t="str">
        <f aca="false">IF(OR(E3511="",E3511="!!!"),"",IF(NOT(ISNA(VLOOKUP(E3511,E$1:E3510,1,FALSE()))),"OLD",IF(AND(E3511&lt;&gt;"",E3511&lt;&gt;"!!!"),"NEW","")))</f>
        <v/>
      </c>
      <c r="G3511" s="26" t="str">
        <f aca="false">IF(OR(E3511="",E3511="!!!"),"",IF(OR(J3511=0,AND(J3511=1,K3511=1),AND(J3511=1,I3511="SBJ"),AND(J3511=1,I3511=0)),"?IN_FOCUS",IF(J3511&lt;=2,"?ACTIVATED",IF(J3511&lt;&gt;"","?FAMILIAR",IF(F3511="NEW",IF(ISNA(VLOOKUP(E3511,#REF!,1,FALSE())),"?TYPE_IDENTIFIABLE","?REFERENTIAL"),"_")))))</f>
        <v/>
      </c>
      <c r="H3511" s="27" t="str">
        <f aca="false">IF(J3511&lt;&gt;1,"",IF(I3511="SBJ","CB","?"))</f>
        <v/>
      </c>
      <c r="I3511" s="24" t="str">
        <f aca="false">IF(OR(E3511="",E3511="!!!",F3511="NEW"),"",INDEX(B3:B$3509,-1+SUMPRODUCT(MAX(ROW(E3:E$3509)*(E3511=E3:E$3509)))))</f>
        <v/>
      </c>
      <c r="J3511" s="24" t="str">
        <f aca="true">IF(OR(E3511="",E3511="!!!",F3511="NEW"),"",COUNTBLANK(OFFSET(A$1,,,SUMPRODUCT(MAX(ROW(E$2:E3511)*(E3511=E$2:E3511)))))-COUNTBLANK(OFFSET(A$1,,,SUMPRODUCT(MAX(ROW(E$1:E3510)*(E2=E$1:E3510))))))</f>
        <v/>
      </c>
      <c r="K3511" s="24" t="str">
        <f aca="false">IF(OR(E3511="",E3511="!!!",F3511="NEW"),"",INDEX(J$1:J3510,SUMPRODUCT(MAX(ROW(E$1:E3510)*(E3511=E$1:E3510)))))</f>
        <v/>
      </c>
      <c r="L3511" s="31"/>
    </row>
    <row r="3512" customFormat="false" ht="15" hidden="false" customHeight="false" outlineLevel="0" collapsed="false">
      <c r="A3512" s="20" t="s">
        <v>1164</v>
      </c>
      <c r="E3512" s="23" t="str">
        <f aca="false">IF(D3512="?OLD","!!!","")</f>
        <v/>
      </c>
      <c r="F3512" s="25" t="str">
        <f aca="false">IF(OR(E3512="",E3512="!!!"),"",IF(NOT(ISNA(VLOOKUP(E3512,E$1:E3511,1,FALSE()))),"OLD",IF(AND(E3512&lt;&gt;"",E3512&lt;&gt;"!!!"),"NEW","")))</f>
        <v/>
      </c>
      <c r="G3512" s="26" t="str">
        <f aca="false">IF(OR(E3512="",E3512="!!!"),"",IF(OR(J3512=0,AND(J3512=1,K3512=1),AND(J3512=1,I3512="SBJ"),AND(J3512=1,I3512=0)),"?IN_FOCUS",IF(J3512&lt;=2,"?ACTIVATED",IF(J3512&lt;&gt;"","?FAMILIAR",IF(F3512="NEW",IF(ISNA(VLOOKUP(E3512,#REF!,1,FALSE())),"?TYPE_IDENTIFIABLE","?REFERENTIAL"),"_")))))</f>
        <v/>
      </c>
      <c r="H3512" s="27" t="str">
        <f aca="false">IF(J3512&lt;&gt;1,"",IF(I3512="SBJ","CB","?"))</f>
        <v/>
      </c>
      <c r="I3512" s="24" t="str">
        <f aca="false">IF(OR(E3512="",E3512="!!!",F3512="NEW"),"",INDEX(B4:B$3509,-1+SUMPRODUCT(MAX(ROW(E4:E$3509)*(E3512=E4:E$3509)))))</f>
        <v/>
      </c>
      <c r="J3512" s="24" t="str">
        <f aca="true">IF(OR(E3512="",E3512="!!!",F3512="NEW"),"",COUNTBLANK(OFFSET(A$1,,,SUMPRODUCT(MAX(ROW(E$2:E3512)*(E3512=E$2:E3512)))))-COUNTBLANK(OFFSET(A$1,,,SUMPRODUCT(MAX(ROW(E$1:E3511)*(E2=E$1:E3511))))))</f>
        <v/>
      </c>
      <c r="K3512" s="24" t="str">
        <f aca="false">IF(OR(E3512="",E3512="!!!",F3512="NEW"),"",INDEX(J$1:J3511,SUMPRODUCT(MAX(ROW(E$1:E3511)*(E3512=E$1:E3511)))))</f>
        <v/>
      </c>
      <c r="L3512" s="31"/>
    </row>
    <row r="3513" customFormat="false" ht="15" hidden="false" customHeight="false" outlineLevel="0" collapsed="false">
      <c r="A3513" s="20" t="s">
        <v>1414</v>
      </c>
      <c r="E3513" s="23" t="str">
        <f aca="false">IF(D3513="?OLD","!!!","")</f>
        <v/>
      </c>
      <c r="F3513" s="25" t="str">
        <f aca="false">IF(OR(E3513="",E3513="!!!"),"",IF(NOT(ISNA(VLOOKUP(E3513,E$1:E3512,1,FALSE()))),"OLD",IF(AND(E3513&lt;&gt;"",E3513&lt;&gt;"!!!"),"NEW","")))</f>
        <v/>
      </c>
      <c r="G3513" s="26" t="str">
        <f aca="false">IF(OR(E3513="",E3513="!!!"),"",IF(OR(J3513=0,AND(J3513=1,K3513=1),AND(J3513=1,I3513="SBJ"),AND(J3513=1,I3513=0)),"?IN_FOCUS",IF(J3513&lt;=2,"?ACTIVATED",IF(J3513&lt;&gt;"","?FAMILIAR",IF(F3513="NEW",IF(ISNA(VLOOKUP(E3513,#REF!,1,FALSE())),"?TYPE_IDENTIFIABLE","?REFERENTIAL"),"_")))))</f>
        <v/>
      </c>
      <c r="H3513" s="27" t="str">
        <f aca="false">IF(J3513&lt;&gt;1,"",IF(I3513="SBJ","CB","?"))</f>
        <v/>
      </c>
      <c r="I3513" s="24" t="str">
        <f aca="false">IF(OR(E3513="",E3513="!!!",F3513="NEW"),"",INDEX(B5:B$3509,-1+SUMPRODUCT(MAX(ROW(E5:E$3509)*(E3513=E5:E$3509)))))</f>
        <v/>
      </c>
      <c r="J3513" s="24" t="str">
        <f aca="true">IF(OR(E3513="",E3513="!!!",F3513="NEW"),"",COUNTBLANK(OFFSET(A$1,,,SUMPRODUCT(MAX(ROW(E$2:E3513)*(E3513=E$2:E3513)))))-COUNTBLANK(OFFSET(A$1,,,SUMPRODUCT(MAX(ROW(E$1:E3512)*(E2=E$1:E3512))))))</f>
        <v/>
      </c>
      <c r="K3513" s="24" t="str">
        <f aca="false">IF(OR(E3513="",E3513="!!!",F3513="NEW"),"",INDEX(J$1:J3512,SUMPRODUCT(MAX(ROW(E$1:E3512)*(E3513=E$1:E3512)))))</f>
        <v/>
      </c>
      <c r="L3513" s="31"/>
    </row>
    <row r="3514" customFormat="false" ht="15" hidden="false" customHeight="false" outlineLevel="0" collapsed="false">
      <c r="A3514" s="20" t="s">
        <v>2177</v>
      </c>
      <c r="E3514" s="23" t="str">
        <f aca="false">IF(D3514="?OLD","!!!","")</f>
        <v/>
      </c>
      <c r="F3514" s="25" t="str">
        <f aca="false">IF(OR(E3514="",E3514="!!!"),"",IF(NOT(ISNA(VLOOKUP(E3514,E$1:E3513,1,FALSE()))),"OLD",IF(AND(E3514&lt;&gt;"",E3514&lt;&gt;"!!!"),"NEW","")))</f>
        <v/>
      </c>
      <c r="G3514" s="26" t="str">
        <f aca="false">IF(OR(E3514="",E3514="!!!"),"",IF(OR(J3514=0,AND(J3514=1,K3514=1),AND(J3514=1,I3514="SBJ"),AND(J3514=1,I3514=0)),"?IN_FOCUS",IF(J3514&lt;=2,"?ACTIVATED",IF(J3514&lt;&gt;"","?FAMILIAR",IF(F3514="NEW",IF(ISNA(VLOOKUP(E3514,#REF!,1,FALSE())),"?TYPE_IDENTIFIABLE","?REFERENTIAL"),"_")))))</f>
        <v/>
      </c>
      <c r="H3514" s="27" t="str">
        <f aca="false">IF(J3514&lt;&gt;1,"",IF(I3514="SBJ","CB","?"))</f>
        <v/>
      </c>
      <c r="I3514" s="24" t="str">
        <f aca="false">IF(OR(E3514="",E3514="!!!",F3514="NEW"),"",INDEX(B6:B$3509,-1+SUMPRODUCT(MAX(ROW(E6:E$3509)*(E3514=E6:E$3509)))))</f>
        <v/>
      </c>
      <c r="J3514" s="24" t="str">
        <f aca="true">IF(OR(E3514="",E3514="!!!",F3514="NEW"),"",COUNTBLANK(OFFSET(A$1,,,SUMPRODUCT(MAX(ROW(E$2:E3514)*(E3514=E$2:E3514)))))-COUNTBLANK(OFFSET(A$1,,,SUMPRODUCT(MAX(ROW(E$1:E3513)*(E2=E$1:E3513))))))</f>
        <v/>
      </c>
      <c r="K3514" s="24" t="str">
        <f aca="false">IF(OR(E3514="",E3514="!!!",F3514="NEW"),"",INDEX(J$1:J3513,SUMPRODUCT(MAX(ROW(E$1:E3513)*(E3514=E$1:E3513)))))</f>
        <v/>
      </c>
      <c r="L3514" s="31"/>
    </row>
    <row r="3515" customFormat="false" ht="15" hidden="false" customHeight="false" outlineLevel="0" collapsed="false">
      <c r="A3515" s="20" t="s">
        <v>1410</v>
      </c>
      <c r="E3515" s="23" t="str">
        <f aca="false">IF(D3515="?OLD","!!!","")</f>
        <v/>
      </c>
      <c r="F3515" s="25" t="str">
        <f aca="false">IF(OR(E3515="",E3515="!!!"),"",IF(NOT(ISNA(VLOOKUP(E3515,E$1:E3514,1,FALSE()))),"OLD",IF(AND(E3515&lt;&gt;"",E3515&lt;&gt;"!!!"),"NEW","")))</f>
        <v/>
      </c>
      <c r="G3515" s="26" t="str">
        <f aca="false">IF(OR(E3515="",E3515="!!!"),"",IF(OR(J3515=0,AND(J3515=1,K3515=1),AND(J3515=1,I3515="SBJ"),AND(J3515=1,I3515=0)),"?IN_FOCUS",IF(J3515&lt;=2,"?ACTIVATED",IF(J3515&lt;&gt;"","?FAMILIAR",IF(F3515="NEW",IF(ISNA(VLOOKUP(E3515,#REF!,1,FALSE())),"?TYPE_IDENTIFIABLE","?REFERENTIAL"),"_")))))</f>
        <v/>
      </c>
      <c r="H3515" s="27" t="str">
        <f aca="false">IF(J3515&lt;&gt;1,"",IF(I3515="SBJ","CB","?"))</f>
        <v/>
      </c>
      <c r="I3515" s="24" t="str">
        <f aca="false">IF(OR(E3515="",E3515="!!!",F3515="NEW"),"",INDEX(B7:B$3509,-1+SUMPRODUCT(MAX(ROW(E7:E$3509)*(E3515=E7:E$3509)))))</f>
        <v/>
      </c>
      <c r="J3515" s="24" t="str">
        <f aca="true">IF(OR(E3515="",E3515="!!!",F3515="NEW"),"",COUNTBLANK(OFFSET(A$1,,,SUMPRODUCT(MAX(ROW(E$2:E3515)*(E3515=E$2:E3515)))))-COUNTBLANK(OFFSET(A$1,,,SUMPRODUCT(MAX(ROW(E$1:E3514)*(E2=E$1:E3514))))))</f>
        <v/>
      </c>
      <c r="K3515" s="24" t="str">
        <f aca="false">IF(OR(E3515="",E3515="!!!",F3515="NEW"),"",INDEX(J$1:J3514,SUMPRODUCT(MAX(ROW(E$1:E3514)*(E3515=E$1:E3514)))))</f>
        <v/>
      </c>
      <c r="L3515" s="31"/>
    </row>
    <row r="3516" customFormat="false" ht="15" hidden="false" customHeight="false" outlineLevel="0" collapsed="false">
      <c r="A3516" s="20" t="s">
        <v>1085</v>
      </c>
      <c r="E3516" s="23" t="str">
        <f aca="false">IF(D3516="?OLD","!!!","")</f>
        <v/>
      </c>
      <c r="F3516" s="25" t="str">
        <f aca="false">IF(OR(E3516="",E3516="!!!"),"",IF(NOT(ISNA(VLOOKUP(E3516,E$1:E3515,1,FALSE()))),"OLD",IF(AND(E3516&lt;&gt;"",E3516&lt;&gt;"!!!"),"NEW","")))</f>
        <v/>
      </c>
      <c r="G3516" s="26" t="str">
        <f aca="false">IF(OR(E3516="",E3516="!!!"),"",IF(OR(J3516=0,AND(J3516=1,K3516=1),AND(J3516=1,I3516="SBJ"),AND(J3516=1,I3516=0)),"?IN_FOCUS",IF(J3516&lt;=2,"?ACTIVATED",IF(J3516&lt;&gt;"","?FAMILIAR",IF(F3516="NEW",IF(ISNA(VLOOKUP(E3516,#REF!,1,FALSE())),"?TYPE_IDENTIFIABLE","?REFERENTIAL"),"_")))))</f>
        <v/>
      </c>
      <c r="H3516" s="27" t="str">
        <f aca="false">IF(J3516&lt;&gt;1,"",IF(I3516="SBJ","CB","?"))</f>
        <v/>
      </c>
      <c r="I3516" s="24" t="str">
        <f aca="false">IF(OR(E3516="",E3516="!!!",F3516="NEW"),"",INDEX(B8:B$3509,-1+SUMPRODUCT(MAX(ROW(E8:E$3509)*(E3516=E8:E$3509)))))</f>
        <v/>
      </c>
      <c r="J3516" s="24" t="str">
        <f aca="true">IF(OR(E3516="",E3516="!!!",F3516="NEW"),"",COUNTBLANK(OFFSET(A$1,,,SUMPRODUCT(MAX(ROW(E$2:E3516)*(E3516=E$2:E3516)))))-COUNTBLANK(OFFSET(A$1,,,SUMPRODUCT(MAX(ROW(E$1:E3515)*(E2=E$1:E3515))))))</f>
        <v/>
      </c>
      <c r="K3516" s="24" t="str">
        <f aca="false">IF(OR(E3516="",E3516="!!!",F3516="NEW"),"",INDEX(J$1:J3515,SUMPRODUCT(MAX(ROW(E$1:E3515)*(E3516=E$1:E3515)))))</f>
        <v/>
      </c>
      <c r="L3516" s="31"/>
    </row>
    <row r="3517" customFormat="false" ht="15" hidden="false" customHeight="false" outlineLevel="0" collapsed="false">
      <c r="A3517" s="20" t="s">
        <v>2023</v>
      </c>
      <c r="E3517" s="23" t="str">
        <f aca="false">IF(D3517="?OLD","!!!","")</f>
        <v/>
      </c>
      <c r="F3517" s="25" t="str">
        <f aca="false">IF(OR(E3517="",E3517="!!!"),"",IF(NOT(ISNA(VLOOKUP(E3517,E$1:E3516,1,FALSE()))),"OLD",IF(AND(E3517&lt;&gt;"",E3517&lt;&gt;"!!!"),"NEW","")))</f>
        <v/>
      </c>
      <c r="G3517" s="26" t="str">
        <f aca="false">IF(OR(E3517="",E3517="!!!"),"",IF(OR(J3517=0,AND(J3517=1,K3517=1),AND(J3517=1,I3517="SBJ"),AND(J3517=1,I3517=0)),"?IN_FOCUS",IF(J3517&lt;=2,"?ACTIVATED",IF(J3517&lt;&gt;"","?FAMILIAR",IF(F3517="NEW",IF(ISNA(VLOOKUP(E3517,#REF!,1,FALSE())),"?TYPE_IDENTIFIABLE","?REFERENTIAL"),"_")))))</f>
        <v/>
      </c>
      <c r="H3517" s="27" t="str">
        <f aca="false">IF(J3517&lt;&gt;1,"",IF(I3517="SBJ","CB","?"))</f>
        <v/>
      </c>
      <c r="I3517" s="24" t="str">
        <f aca="false">IF(OR(E3517="",E3517="!!!",F3517="NEW"),"",INDEX(B9:B$3509,-1+SUMPRODUCT(MAX(ROW(E9:E$3509)*(E3517=E9:E$3509)))))</f>
        <v/>
      </c>
      <c r="J3517" s="24" t="str">
        <f aca="true">IF(OR(E3517="",E3517="!!!",F3517="NEW"),"",COUNTBLANK(OFFSET(A$1,,,SUMPRODUCT(MAX(ROW(E$2:E3517)*(E3517=E$2:E3517)))))-COUNTBLANK(OFFSET(A$1,,,SUMPRODUCT(MAX(ROW(E$1:E3516)*(E2=E$1:E3516))))))</f>
        <v/>
      </c>
      <c r="K3517" s="24" t="str">
        <f aca="false">IF(OR(E3517="",E3517="!!!",F3517="NEW"),"",INDEX(J$1:J3516,SUMPRODUCT(MAX(ROW(E$1:E3516)*(E3517=E$1:E3516)))))</f>
        <v/>
      </c>
      <c r="L3517" s="31"/>
    </row>
    <row r="3518" customFormat="false" ht="15" hidden="false" customHeight="false" outlineLevel="0" collapsed="false">
      <c r="A3518" s="20" t="s">
        <v>2178</v>
      </c>
      <c r="B3518" s="22" t="s">
        <v>1105</v>
      </c>
      <c r="C3518" s="22" t="s">
        <v>1087</v>
      </c>
      <c r="E3518" s="23" t="str">
        <f aca="false">IF(D3518="?OLD","!!!","")</f>
        <v/>
      </c>
      <c r="F3518" s="25" t="str">
        <f aca="false">IF(OR(E3518="",E3518="!!!"),"",IF(NOT(ISNA(VLOOKUP(E3518,E$1:E3517,1,FALSE()))),"OLD",IF(AND(E3518&lt;&gt;"",E3518&lt;&gt;"!!!"),"NEW","")))</f>
        <v/>
      </c>
      <c r="G3518" s="26" t="str">
        <f aca="false">IF(OR(E3518="",E3518="!!!"),"",IF(OR(J3518=0,AND(J3518=1,K3518=1),AND(J3518=1,I3518="SBJ"),AND(J3518=1,I3518=0)),"?IN_FOCUS",IF(J3518&lt;=2,"?ACTIVATED",IF(J3518&lt;&gt;"","?FAMILIAR",IF(F3518="NEW",IF(ISNA(VLOOKUP(E3518,#REF!,1,FALSE())),"?TYPE_IDENTIFIABLE","?REFERENTIAL"),"_")))))</f>
        <v/>
      </c>
      <c r="H3518" s="27" t="str">
        <f aca="false">IF(J3518&lt;&gt;1,"",IF(I3518="SBJ","CB","?"))</f>
        <v/>
      </c>
      <c r="I3518" s="24" t="str">
        <f aca="false">IF(OR(E3518="",E3518="!!!",F3518="NEW"),"",INDEX(B10:B$3509,-1+SUMPRODUCT(MAX(ROW(E10:E$3509)*(E3518=E10:E$3509)))))</f>
        <v/>
      </c>
      <c r="J3518" s="24" t="str">
        <f aca="true">IF(OR(E3518="",E3518="!!!",F3518="NEW"),"",COUNTBLANK(OFFSET(A$1,,,SUMPRODUCT(MAX(ROW(E$2:E3518)*(E3518=E$2:E3518)))))-COUNTBLANK(OFFSET(A$1,,,SUMPRODUCT(MAX(ROW(E$1:E3517)*(E2=E$1:E3517))))))</f>
        <v/>
      </c>
      <c r="K3518" s="24" t="str">
        <f aca="false">IF(OR(E3518="",E3518="!!!",F3518="NEW"),"",INDEX(J$1:J3517,SUMPRODUCT(MAX(ROW(E$1:E3517)*(E3518=E$1:E3517)))))</f>
        <v/>
      </c>
      <c r="L3518" s="31"/>
    </row>
    <row r="3519" customFormat="false" ht="15" hidden="false" customHeight="false" outlineLevel="0" collapsed="false">
      <c r="A3519" s="20" t="s">
        <v>1076</v>
      </c>
      <c r="E3519" s="23" t="str">
        <f aca="false">IF(D3519="?OLD","!!!","")</f>
        <v/>
      </c>
      <c r="F3519" s="25" t="str">
        <f aca="false">IF(OR(E3519="",E3519="!!!"),"",IF(NOT(ISNA(VLOOKUP(E3519,E$1:E3518,1,FALSE()))),"OLD",IF(AND(E3519&lt;&gt;"",E3519&lt;&gt;"!!!"),"NEW","")))</f>
        <v/>
      </c>
      <c r="G3519" s="26" t="str">
        <f aca="false">IF(OR(E3519="",E3519="!!!"),"",IF(OR(J3519=0,AND(J3519=1,K3519=1),AND(J3519=1,I3519="SBJ"),AND(J3519=1,I3519=0)),"?IN_FOCUS",IF(J3519&lt;=2,"?ACTIVATED",IF(J3519&lt;&gt;"","?FAMILIAR",IF(F3519="NEW",IF(ISNA(VLOOKUP(E3519,#REF!,1,FALSE())),"?TYPE_IDENTIFIABLE","?REFERENTIAL"),"_")))))</f>
        <v/>
      </c>
      <c r="H3519" s="27" t="str">
        <f aca="false">IF(J3519&lt;&gt;1,"",IF(I3519="SBJ","CB","?"))</f>
        <v/>
      </c>
      <c r="I3519" s="24" t="str">
        <f aca="false">IF(OR(E3519="",E3519="!!!",F3519="NEW"),"",INDEX(B11:B$3509,-1+SUMPRODUCT(MAX(ROW(E11:E$3509)*(E3519=E11:E$3509)))))</f>
        <v/>
      </c>
      <c r="J3519" s="24" t="str">
        <f aca="true">IF(OR(E3519="",E3519="!!!",F3519="NEW"),"",COUNTBLANK(OFFSET(A$1,,,SUMPRODUCT(MAX(ROW(E$2:E3519)*(E3519=E$2:E3519)))))-COUNTBLANK(OFFSET(A$1,,,SUMPRODUCT(MAX(ROW(E$1:E3518)*(E2=E$1:E3518))))))</f>
        <v/>
      </c>
      <c r="K3519" s="24" t="str">
        <f aca="false">IF(OR(E3519="",E3519="!!!",F3519="NEW"),"",INDEX(J$1:J3518,SUMPRODUCT(MAX(ROW(E$1:E3518)*(E3519=E$1:E3518)))))</f>
        <v/>
      </c>
      <c r="L3519" s="31"/>
    </row>
    <row r="3520" customFormat="false" ht="15" hidden="false" customHeight="false" outlineLevel="0" collapsed="false">
      <c r="A3520" s="20" t="s">
        <v>1128</v>
      </c>
      <c r="E3520" s="23" t="str">
        <f aca="false">IF(D3520="?OLD","!!!","")</f>
        <v/>
      </c>
      <c r="F3520" s="25" t="str">
        <f aca="false">IF(OR(E3520="",E3520="!!!"),"",IF(NOT(ISNA(VLOOKUP(E3520,E$1:E3519,1,FALSE()))),"OLD",IF(AND(E3520&lt;&gt;"",E3520&lt;&gt;"!!!"),"NEW","")))</f>
        <v/>
      </c>
      <c r="G3520" s="26" t="str">
        <f aca="false">IF(OR(E3520="",E3520="!!!"),"",IF(OR(J3520=0,AND(J3520=1,K3520=1),AND(J3520=1,I3520="SBJ"),AND(J3520=1,I3520=0)),"?IN_FOCUS",IF(J3520&lt;=2,"?ACTIVATED",IF(J3520&lt;&gt;"","?FAMILIAR",IF(F3520="NEW",IF(ISNA(VLOOKUP(E3520,#REF!,1,FALSE())),"?TYPE_IDENTIFIABLE","?REFERENTIAL"),"_")))))</f>
        <v/>
      </c>
      <c r="H3520" s="27" t="str">
        <f aca="false">IF(J3520&lt;&gt;1,"",IF(I3520="SBJ","CB","?"))</f>
        <v/>
      </c>
      <c r="I3520" s="24" t="str">
        <f aca="false">IF(OR(E3520="",E3520="!!!",F3520="NEW"),"",INDEX(B12:B$3509,-1+SUMPRODUCT(MAX(ROW(E12:E$3509)*(E3520=E12:E$3509)))))</f>
        <v/>
      </c>
      <c r="J3520" s="24" t="str">
        <f aca="true">IF(OR(E3520="",E3520="!!!",F3520="NEW"),"",COUNTBLANK(OFFSET(A$1,,,SUMPRODUCT(MAX(ROW(E$2:E3520)*(E3520=E$2:E3520)))))-COUNTBLANK(OFFSET(A$1,,,SUMPRODUCT(MAX(ROW(E$1:E3519)*(E2=E$1:E3519))))))</f>
        <v/>
      </c>
      <c r="K3520" s="24" t="str">
        <f aca="false">IF(OR(E3520="",E3520="!!!",F3520="NEW"),"",INDEX(J$1:J3519,SUMPRODUCT(MAX(ROW(E$1:E3519)*(E3520=E$1:E3519)))))</f>
        <v/>
      </c>
      <c r="L3520" s="31"/>
    </row>
    <row r="3521" customFormat="false" ht="15" hidden="false" customHeight="false" outlineLevel="0" collapsed="false">
      <c r="A3521" s="20" t="s">
        <v>1109</v>
      </c>
      <c r="E3521" s="23" t="str">
        <f aca="false">IF(D3521="?OLD","!!!","")</f>
        <v/>
      </c>
      <c r="F3521" s="25" t="str">
        <f aca="false">IF(OR(E3521="",E3521="!!!"),"",IF(NOT(ISNA(VLOOKUP(E3521,E$1:E3520,1,FALSE()))),"OLD",IF(AND(E3521&lt;&gt;"",E3521&lt;&gt;"!!!"),"NEW","")))</f>
        <v/>
      </c>
      <c r="G3521" s="26" t="str">
        <f aca="false">IF(OR(E3521="",E3521="!!!"),"",IF(OR(J3521=0,AND(J3521=1,K3521=1),AND(J3521=1,I3521="SBJ"),AND(J3521=1,I3521=0)),"?IN_FOCUS",IF(J3521&lt;=2,"?ACTIVATED",IF(J3521&lt;&gt;"","?FAMILIAR",IF(F3521="NEW",IF(ISNA(VLOOKUP(E3521,#REF!,1,FALSE())),"?TYPE_IDENTIFIABLE","?REFERENTIAL"),"_")))))</f>
        <v/>
      </c>
      <c r="H3521" s="27" t="str">
        <f aca="false">IF(J3521&lt;&gt;1,"",IF(I3521="SBJ","CB","?"))</f>
        <v/>
      </c>
      <c r="I3521" s="24" t="str">
        <f aca="false">IF(OR(E3521="",E3521="!!!",F3521="NEW"),"",INDEX(B13:B$3509,-1+SUMPRODUCT(MAX(ROW(E13:E$3509)*(E3521=E13:E$3509)))))</f>
        <v/>
      </c>
      <c r="J3521" s="24" t="str">
        <f aca="true">IF(OR(E3521="",E3521="!!!",F3521="NEW"),"",COUNTBLANK(OFFSET(A$1,,,SUMPRODUCT(MAX(ROW(E$2:E3521)*(E3521=E$2:E3521)))))-COUNTBLANK(OFFSET(A$1,,,SUMPRODUCT(MAX(ROW(E$1:E3520)*(E2=E$1:E3520))))))</f>
        <v/>
      </c>
      <c r="K3521" s="24" t="str">
        <f aca="false">IF(OR(E3521="",E3521="!!!",F3521="NEW"),"",INDEX(J$1:J3520,SUMPRODUCT(MAX(ROW(E$1:E3520)*(E3521=E$1:E3520)))))</f>
        <v/>
      </c>
      <c r="L3521" s="31"/>
    </row>
    <row r="3522" customFormat="false" ht="15" hidden="false" customHeight="false" outlineLevel="0" collapsed="false">
      <c r="A3522" s="20" t="s">
        <v>2179</v>
      </c>
      <c r="B3522" s="22" t="s">
        <v>1086</v>
      </c>
      <c r="C3522" s="22" t="s">
        <v>1150</v>
      </c>
      <c r="D3522" s="22" t="s">
        <v>1060</v>
      </c>
      <c r="E3522" s="23" t="str">
        <f aca="false">IF(D3522="?OLD","!!!","")</f>
        <v>!!!</v>
      </c>
      <c r="F3522" s="25" t="str">
        <f aca="false">IF(OR(E3522="",E3522="!!!"),"",IF(NOT(ISNA(VLOOKUP(E3522,E$1:E3521,1,FALSE()))),"OLD",IF(AND(E3522&lt;&gt;"",E3522&lt;&gt;"!!!"),"NEW","")))</f>
        <v/>
      </c>
      <c r="G3522" s="26" t="str">
        <f aca="false">IF(OR(E3522="",E3522="!!!"),"",IF(OR(J3522=0,AND(J3522=1,K3522=1),AND(J3522=1,I3522="SBJ"),AND(J3522=1,I3522=0)),"?IN_FOCUS",IF(J3522&lt;=2,"?ACTIVATED",IF(J3522&lt;&gt;"","?FAMILIAR",IF(F3522="NEW",IF(ISNA(VLOOKUP(E3522,#REF!,1,FALSE())),"?TYPE_IDENTIFIABLE","?REFERENTIAL"),"_")))))</f>
        <v/>
      </c>
      <c r="H3522" s="27" t="str">
        <f aca="false">IF(J3522&lt;&gt;1,"",IF(I3522="SBJ","CB","?"))</f>
        <v/>
      </c>
      <c r="I3522" s="24" t="str">
        <f aca="false">IF(OR(E3522="",E3522="!!!",F3522="NEW"),"",INDEX(B14:B$3509,-1+SUMPRODUCT(MAX(ROW(E14:E$3509)*(E3522=E14:E$3509)))))</f>
        <v/>
      </c>
      <c r="J3522" s="24" t="str">
        <f aca="true">IF(OR(E3522="",E3522="!!!",F3522="NEW"),"",COUNTBLANK(OFFSET(A$1,,,SUMPRODUCT(MAX(ROW(E$2:E3522)*(E3522=E$2:E3522)))))-COUNTBLANK(OFFSET(A$1,,,SUMPRODUCT(MAX(ROW(E$1:E3521)*(E2=E$1:E3521))))))</f>
        <v/>
      </c>
      <c r="K3522" s="24" t="str">
        <f aca="false">IF(OR(E3522="",E3522="!!!",F3522="NEW"),"",INDEX(J$1:J3521,SUMPRODUCT(MAX(ROW(E$1:E3521)*(E3522=E$1:E3521)))))</f>
        <v/>
      </c>
      <c r="L3522" s="31"/>
    </row>
    <row r="3523" customFormat="false" ht="15" hidden="false" customHeight="false" outlineLevel="0" collapsed="false">
      <c r="A3523" s="20" t="s">
        <v>1135</v>
      </c>
      <c r="E3523" s="23" t="str">
        <f aca="false">IF(D3523="?OLD","!!!","")</f>
        <v/>
      </c>
      <c r="F3523" s="25" t="str">
        <f aca="false">IF(OR(E3523="",E3523="!!!"),"",IF(NOT(ISNA(VLOOKUP(E3523,E$1:E3522,1,FALSE()))),"OLD",IF(AND(E3523&lt;&gt;"",E3523&lt;&gt;"!!!"),"NEW","")))</f>
        <v/>
      </c>
      <c r="G3523" s="26" t="str">
        <f aca="false">IF(OR(E3523="",E3523="!!!"),"",IF(OR(J3523=0,AND(J3523=1,K3523=1),AND(J3523=1,I3523="SBJ"),AND(J3523=1,I3523=0)),"?IN_FOCUS",IF(J3523&lt;=2,"?ACTIVATED",IF(J3523&lt;&gt;"","?FAMILIAR",IF(F3523="NEW",IF(ISNA(VLOOKUP(E3523,#REF!,1,FALSE())),"?TYPE_IDENTIFIABLE","?REFERENTIAL"),"_")))))</f>
        <v/>
      </c>
      <c r="H3523" s="27" t="str">
        <f aca="false">IF(J3523&lt;&gt;1,"",IF(I3523="SBJ","CB","?"))</f>
        <v/>
      </c>
      <c r="I3523" s="24" t="str">
        <f aca="false">IF(OR(E3523="",E3523="!!!",F3523="NEW"),"",INDEX(B15:B$3509,-1+SUMPRODUCT(MAX(ROW(E15:E$3509)*(E3523=E15:E$3509)))))</f>
        <v/>
      </c>
      <c r="J3523" s="24" t="str">
        <f aca="true">IF(OR(E3523="",E3523="!!!",F3523="NEW"),"",COUNTBLANK(OFFSET(A$1,,,SUMPRODUCT(MAX(ROW(E$2:E3523)*(E3523=E$2:E3523)))))-COUNTBLANK(OFFSET(A$1,,,SUMPRODUCT(MAX(ROW(E$1:E3522)*(E2=E$1:E3522))))))</f>
        <v/>
      </c>
      <c r="K3523" s="24" t="str">
        <f aca="false">IF(OR(E3523="",E3523="!!!",F3523="NEW"),"",INDEX(J$1:J3522,SUMPRODUCT(MAX(ROW(E$1:E3522)*(E3523=E$1:E3522)))))</f>
        <v/>
      </c>
      <c r="L3523" s="31"/>
    </row>
    <row r="3524" customFormat="false" ht="15" hidden="false" customHeight="false" outlineLevel="0" collapsed="false">
      <c r="A3524" s="20" t="s">
        <v>2180</v>
      </c>
      <c r="E3524" s="23" t="str">
        <f aca="false">IF(D3524="?OLD","!!!","")</f>
        <v/>
      </c>
      <c r="F3524" s="25" t="str">
        <f aca="false">IF(OR(E3524="",E3524="!!!"),"",IF(NOT(ISNA(VLOOKUP(E3524,E$1:E3523,1,FALSE()))),"OLD",IF(AND(E3524&lt;&gt;"",E3524&lt;&gt;"!!!"),"NEW","")))</f>
        <v/>
      </c>
      <c r="G3524" s="26" t="str">
        <f aca="false">IF(OR(E3524="",E3524="!!!"),"",IF(OR(J3524=0,AND(J3524=1,K3524=1),AND(J3524=1,I3524="SBJ"),AND(J3524=1,I3524=0)),"?IN_FOCUS",IF(J3524&lt;=2,"?ACTIVATED",IF(J3524&lt;&gt;"","?FAMILIAR",IF(F3524="NEW",IF(ISNA(VLOOKUP(E3524,#REF!,1,FALSE())),"?TYPE_IDENTIFIABLE","?REFERENTIAL"),"_")))))</f>
        <v/>
      </c>
      <c r="H3524" s="27" t="str">
        <f aca="false">IF(J3524&lt;&gt;1,"",IF(I3524="SBJ","CB","?"))</f>
        <v/>
      </c>
      <c r="I3524" s="24" t="str">
        <f aca="false">IF(OR(E3524="",E3524="!!!",F3524="NEW"),"",INDEX(B16:B$3509,-1+SUMPRODUCT(MAX(ROW(E16:E$3509)*(E3524=E16:E$3509)))))</f>
        <v/>
      </c>
      <c r="J3524" s="24" t="str">
        <f aca="true">IF(OR(E3524="",E3524="!!!",F3524="NEW"),"",COUNTBLANK(OFFSET(A$1,,,SUMPRODUCT(MAX(ROW(E$2:E3524)*(E3524=E$2:E3524)))))-COUNTBLANK(OFFSET(A$1,,,SUMPRODUCT(MAX(ROW(E$1:E3523)*(E2=E$1:E3523))))))</f>
        <v/>
      </c>
      <c r="K3524" s="24" t="str">
        <f aca="false">IF(OR(E3524="",E3524="!!!",F3524="NEW"),"",INDEX(J$1:J3523,SUMPRODUCT(MAX(ROW(E$1:E3523)*(E3524=E$1:E3523)))))</f>
        <v/>
      </c>
      <c r="L3524" s="31"/>
    </row>
    <row r="3525" customFormat="false" ht="15" hidden="false" customHeight="false" outlineLevel="0" collapsed="false">
      <c r="A3525" s="20" t="s">
        <v>1248</v>
      </c>
      <c r="E3525" s="23" t="str">
        <f aca="false">IF(D3525="?OLD","!!!","")</f>
        <v/>
      </c>
      <c r="F3525" s="25" t="str">
        <f aca="false">IF(OR(E3525="",E3525="!!!"),"",IF(NOT(ISNA(VLOOKUP(E3525,E$1:E3524,1,FALSE()))),"OLD",IF(AND(E3525&lt;&gt;"",E3525&lt;&gt;"!!!"),"NEW","")))</f>
        <v/>
      </c>
      <c r="G3525" s="26" t="str">
        <f aca="false">IF(OR(E3525="",E3525="!!!"),"",IF(OR(J3525=0,AND(J3525=1,K3525=1),AND(J3525=1,I3525="SBJ"),AND(J3525=1,I3525=0)),"?IN_FOCUS",IF(J3525&lt;=2,"?ACTIVATED",IF(J3525&lt;&gt;"","?FAMILIAR",IF(F3525="NEW",IF(ISNA(VLOOKUP(E3525,#REF!,1,FALSE())),"?TYPE_IDENTIFIABLE","?REFERENTIAL"),"_")))))</f>
        <v/>
      </c>
      <c r="H3525" s="27" t="str">
        <f aca="false">IF(J3525&lt;&gt;1,"",IF(I3525="SBJ","CB","?"))</f>
        <v/>
      </c>
      <c r="I3525" s="24" t="str">
        <f aca="false">IF(OR(E3525="",E3525="!!!",F3525="NEW"),"",INDEX(B17:B$3509,-1+SUMPRODUCT(MAX(ROW(E17:E$3509)*(E3525=E17:E$3509)))))</f>
        <v/>
      </c>
      <c r="J3525" s="24" t="str">
        <f aca="true">IF(OR(E3525="",E3525="!!!",F3525="NEW"),"",COUNTBLANK(OFFSET(A$1,,,SUMPRODUCT(MAX(ROW(E$2:E3525)*(E3525=E$2:E3525)))))-COUNTBLANK(OFFSET(A$1,,,SUMPRODUCT(MAX(ROW(E$1:E3524)*(E2=E$1:E3524))))))</f>
        <v/>
      </c>
      <c r="K3525" s="24" t="str">
        <f aca="false">IF(OR(E3525="",E3525="!!!",F3525="NEW"),"",INDEX(J$1:J3524,SUMPRODUCT(MAX(ROW(E$1:E3524)*(E3525=E$1:E3524)))))</f>
        <v/>
      </c>
      <c r="L3525" s="31"/>
    </row>
    <row r="3526" customFormat="false" ht="15" hidden="false" customHeight="false" outlineLevel="0" collapsed="false">
      <c r="A3526" s="20" t="s">
        <v>1085</v>
      </c>
      <c r="E3526" s="23" t="str">
        <f aca="false">IF(D3526="?OLD","!!!","")</f>
        <v/>
      </c>
      <c r="F3526" s="25" t="str">
        <f aca="false">IF(OR(E3526="",E3526="!!!"),"",IF(NOT(ISNA(VLOOKUP(E3526,E$1:E3525,1,FALSE()))),"OLD",IF(AND(E3526&lt;&gt;"",E3526&lt;&gt;"!!!"),"NEW","")))</f>
        <v/>
      </c>
      <c r="G3526" s="26" t="str">
        <f aca="false">IF(OR(E3526="",E3526="!!!"),"",IF(OR(J3526=0,AND(J3526=1,K3526=1),AND(J3526=1,I3526="SBJ"),AND(J3526=1,I3526=0)),"?IN_FOCUS",IF(J3526&lt;=2,"?ACTIVATED",IF(J3526&lt;&gt;"","?FAMILIAR",IF(F3526="NEW",IF(ISNA(VLOOKUP(E3526,#REF!,1,FALSE())),"?TYPE_IDENTIFIABLE","?REFERENTIAL"),"_")))))</f>
        <v/>
      </c>
      <c r="H3526" s="27" t="str">
        <f aca="false">IF(J3526&lt;&gt;1,"",IF(I3526="SBJ","CB","?"))</f>
        <v/>
      </c>
      <c r="I3526" s="24" t="str">
        <f aca="false">IF(OR(E3526="",E3526="!!!",F3526="NEW"),"",INDEX(B18:B$3509,-1+SUMPRODUCT(MAX(ROW(E18:E$3509)*(E3526=E18:E$3509)))))</f>
        <v/>
      </c>
      <c r="J3526" s="24" t="str">
        <f aca="true">IF(OR(E3526="",E3526="!!!",F3526="NEW"),"",COUNTBLANK(OFFSET(A$1,,,SUMPRODUCT(MAX(ROW(E$2:E3526)*(E3526=E$2:E3526)))))-COUNTBLANK(OFFSET(A$1,,,SUMPRODUCT(MAX(ROW(E$1:E3525)*(E2=E$1:E3525))))))</f>
        <v/>
      </c>
      <c r="K3526" s="24" t="str">
        <f aca="false">IF(OR(E3526="",E3526="!!!",F3526="NEW"),"",INDEX(J$1:J3525,SUMPRODUCT(MAX(ROW(E$1:E3525)*(E3526=E$1:E3525)))))</f>
        <v/>
      </c>
      <c r="L3526" s="31"/>
    </row>
    <row r="3527" customFormat="false" ht="15" hidden="false" customHeight="false" outlineLevel="0" collapsed="false">
      <c r="A3527" s="20" t="s">
        <v>2181</v>
      </c>
      <c r="B3527" s="22" t="s">
        <v>1073</v>
      </c>
      <c r="C3527" s="22" t="s">
        <v>1087</v>
      </c>
      <c r="E3527" s="23" t="str">
        <f aca="false">IF(D3527="?OLD","!!!","")</f>
        <v/>
      </c>
      <c r="F3527" s="25" t="str">
        <f aca="false">IF(OR(E3527="",E3527="!!!"),"",IF(NOT(ISNA(VLOOKUP(E3527,E$1:E3526,1,FALSE()))),"OLD",IF(AND(E3527&lt;&gt;"",E3527&lt;&gt;"!!!"),"NEW","")))</f>
        <v/>
      </c>
      <c r="G3527" s="26" t="str">
        <f aca="false">IF(OR(E3527="",E3527="!!!"),"",IF(OR(J3527=0,AND(J3527=1,K3527=1),AND(J3527=1,I3527="SBJ"),AND(J3527=1,I3527=0)),"?IN_FOCUS",IF(J3527&lt;=2,"?ACTIVATED",IF(J3527&lt;&gt;"","?FAMILIAR",IF(F3527="NEW",IF(ISNA(VLOOKUP(E3527,#REF!,1,FALSE())),"?TYPE_IDENTIFIABLE","?REFERENTIAL"),"_")))))</f>
        <v/>
      </c>
      <c r="H3527" s="27" t="str">
        <f aca="false">IF(J3527&lt;&gt;1,"",IF(I3527="SBJ","CB","?"))</f>
        <v/>
      </c>
      <c r="I3527" s="24" t="str">
        <f aca="false">IF(OR(E3527="",E3527="!!!",F3527="NEW"),"",INDEX(B19:B$3509,-1+SUMPRODUCT(MAX(ROW(E19:E$3509)*(E3527=E19:E$3509)))))</f>
        <v/>
      </c>
      <c r="J3527" s="24" t="str">
        <f aca="true">IF(OR(E3527="",E3527="!!!",F3527="NEW"),"",COUNTBLANK(OFFSET(A$1,,,SUMPRODUCT(MAX(ROW(E$2:E3527)*(E3527=E$2:E3527)))))-COUNTBLANK(OFFSET(A$1,,,SUMPRODUCT(MAX(ROW(E$1:E3526)*(E2=E$1:E3526))))))</f>
        <v/>
      </c>
      <c r="K3527" s="24" t="str">
        <f aca="false">IF(OR(E3527="",E3527="!!!",F3527="NEW"),"",INDEX(J$1:J3526,SUMPRODUCT(MAX(ROW(E$1:E3526)*(E3527=E$1:E3526)))))</f>
        <v/>
      </c>
      <c r="L3527" s="31"/>
    </row>
    <row r="3528" customFormat="false" ht="15" hidden="false" customHeight="false" outlineLevel="0" collapsed="false">
      <c r="A3528" s="20" t="s">
        <v>1064</v>
      </c>
      <c r="E3528" s="23" t="str">
        <f aca="false">IF(D3528="?OLD","!!!","")</f>
        <v/>
      </c>
      <c r="F3528" s="25" t="str">
        <f aca="false">IF(OR(E3528="",E3528="!!!"),"",IF(NOT(ISNA(VLOOKUP(E3528,E$1:E3527,1,FALSE()))),"OLD",IF(AND(E3528&lt;&gt;"",E3528&lt;&gt;"!!!"),"NEW","")))</f>
        <v/>
      </c>
      <c r="G3528" s="26" t="str">
        <f aca="false">IF(OR(E3528="",E3528="!!!"),"",IF(OR(J3528=0,AND(J3528=1,K3528=1),AND(J3528=1,I3528="SBJ"),AND(J3528=1,I3528=0)),"?IN_FOCUS",IF(J3528&lt;=2,"?ACTIVATED",IF(J3528&lt;&gt;"","?FAMILIAR",IF(F3528="NEW",IF(ISNA(VLOOKUP(E3528,#REF!,1,FALSE())),"?TYPE_IDENTIFIABLE","?REFERENTIAL"),"_")))))</f>
        <v/>
      </c>
      <c r="H3528" s="27" t="str">
        <f aca="false">IF(J3528&lt;&gt;1,"",IF(I3528="SBJ","CB","?"))</f>
        <v/>
      </c>
      <c r="I3528" s="24" t="str">
        <f aca="false">IF(OR(E3528="",E3528="!!!",F3528="NEW"),"",INDEX(B20:B$3509,-1+SUMPRODUCT(MAX(ROW(E20:E$3509)*(E3528=E20:E$3509)))))</f>
        <v/>
      </c>
      <c r="J3528" s="24" t="str">
        <f aca="true">IF(OR(E3528="",E3528="!!!",F3528="NEW"),"",COUNTBLANK(OFFSET(A$1,,,SUMPRODUCT(MAX(ROW(E$2:E3528)*(E3528=E$2:E3528)))))-COUNTBLANK(OFFSET(A$1,,,SUMPRODUCT(MAX(ROW(E$1:E3527)*(E2=E$1:E3527))))))</f>
        <v/>
      </c>
      <c r="K3528" s="24" t="str">
        <f aca="false">IF(OR(E3528="",E3528="!!!",F3528="NEW"),"",INDEX(J$1:J3527,SUMPRODUCT(MAX(ROW(E$1:E3527)*(E3528=E$1:E3527)))))</f>
        <v/>
      </c>
      <c r="L3528" s="31"/>
    </row>
    <row r="3529" customFormat="false" ht="15" hidden="false" customHeight="false" outlineLevel="0" collapsed="false">
      <c r="A3529" s="20" t="s">
        <v>1521</v>
      </c>
      <c r="E3529" s="23" t="str">
        <f aca="false">IF(D3529="?OLD","!!!","")</f>
        <v/>
      </c>
      <c r="F3529" s="25" t="str">
        <f aca="false">IF(OR(E3529="",E3529="!!!"),"",IF(NOT(ISNA(VLOOKUP(E3529,E$1:E3528,1,FALSE()))),"OLD",IF(AND(E3529&lt;&gt;"",E3529&lt;&gt;"!!!"),"NEW","")))</f>
        <v/>
      </c>
      <c r="G3529" s="26" t="str">
        <f aca="false">IF(OR(E3529="",E3529="!!!"),"",IF(OR(J3529=0,AND(J3529=1,K3529=1),AND(J3529=1,I3529="SBJ"),AND(J3529=1,I3529=0)),"?IN_FOCUS",IF(J3529&lt;=2,"?ACTIVATED",IF(J3529&lt;&gt;"","?FAMILIAR",IF(F3529="NEW",IF(ISNA(VLOOKUP(E3529,#REF!,1,FALSE())),"?TYPE_IDENTIFIABLE","?REFERENTIAL"),"_")))))</f>
        <v/>
      </c>
      <c r="H3529" s="27" t="str">
        <f aca="false">IF(J3529&lt;&gt;1,"",IF(I3529="SBJ","CB","?"))</f>
        <v/>
      </c>
      <c r="I3529" s="24" t="str">
        <f aca="false">IF(OR(E3529="",E3529="!!!",F3529="NEW"),"",INDEX(B21:B$3509,-1+SUMPRODUCT(MAX(ROW(E21:E$3509)*(E3529=E21:E$3509)))))</f>
        <v/>
      </c>
      <c r="J3529" s="24" t="str">
        <f aca="true">IF(OR(E3529="",E3529="!!!",F3529="NEW"),"",COUNTBLANK(OFFSET(A$1,,,SUMPRODUCT(MAX(ROW(E$2:E3529)*(E3529=E$2:E3529)))))-COUNTBLANK(OFFSET(A$1,,,SUMPRODUCT(MAX(ROW(E$1:E3528)*(E2=E$1:E3528))))))</f>
        <v/>
      </c>
      <c r="K3529" s="24" t="str">
        <f aca="false">IF(OR(E3529="",E3529="!!!",F3529="NEW"),"",INDEX(J$1:J3528,SUMPRODUCT(MAX(ROW(E$1:E3528)*(E3529=E$1:E3528)))))</f>
        <v/>
      </c>
      <c r="L3529" s="31"/>
    </row>
    <row r="3530" customFormat="false" ht="15" hidden="false" customHeight="false" outlineLevel="0" collapsed="false">
      <c r="A3530" s="20" t="s">
        <v>16</v>
      </c>
      <c r="E3530" s="23" t="str">
        <f aca="false">IF(D3530="?OLD","!!!","")</f>
        <v/>
      </c>
      <c r="F3530" s="25" t="str">
        <f aca="false">IF(OR(E3530="",E3530="!!!"),"",IF(NOT(ISNA(VLOOKUP(E3530,E$1:E3529,1,FALSE()))),"OLD",IF(AND(E3530&lt;&gt;"",E3530&lt;&gt;"!!!"),"NEW","")))</f>
        <v/>
      </c>
      <c r="G3530" s="26" t="str">
        <f aca="false">IF(OR(E3530="",E3530="!!!"),"",IF(OR(J3530=0,AND(J3530=1,K3530=1),AND(J3530=1,I3530="SBJ"),AND(J3530=1,I3530=0)),"?IN_FOCUS",IF(J3530&lt;=2,"?ACTIVATED",IF(J3530&lt;&gt;"","?FAMILIAR",IF(F3530="NEW",IF(ISNA(VLOOKUP(E3530,#REF!,1,FALSE())),"?TYPE_IDENTIFIABLE","?REFERENTIAL"),"_")))))</f>
        <v/>
      </c>
      <c r="H3530" s="27" t="str">
        <f aca="false">IF(J3530&lt;&gt;1,"",IF(I3530="SBJ","CB","?"))</f>
        <v/>
      </c>
      <c r="I3530" s="24" t="str">
        <f aca="false">IF(OR(E3530="",E3530="!!!",F3530="NEW"),"",INDEX(B22:B$3509,-1+SUMPRODUCT(MAX(ROW(E22:E$3509)*(E3530=E22:E$3509)))))</f>
        <v/>
      </c>
      <c r="J3530" s="24" t="str">
        <f aca="true">IF(OR(E3530="",E3530="!!!",F3530="NEW"),"",COUNTBLANK(OFFSET(A$1,,,SUMPRODUCT(MAX(ROW(E$2:E3530)*(E3530=E$2:E3530)))))-COUNTBLANK(OFFSET(A$1,,,SUMPRODUCT(MAX(ROW(E$1:E3529)*(E2=E$1:E3529))))))</f>
        <v/>
      </c>
      <c r="K3530" s="24" t="str">
        <f aca="false">IF(OR(E3530="",E3530="!!!",F3530="NEW"),"",INDEX(J$1:J3529,SUMPRODUCT(MAX(ROW(E$1:E3529)*(E3530=E$1:E3529)))))</f>
        <v/>
      </c>
      <c r="L3530" s="31"/>
    </row>
    <row r="3531" customFormat="false" ht="15" hidden="false" customHeight="false" outlineLevel="0" collapsed="false">
      <c r="A3531" s="20" t="s">
        <v>2182</v>
      </c>
      <c r="E3531" s="23" t="str">
        <f aca="false">IF(D3531="?OLD","!!!","")</f>
        <v/>
      </c>
      <c r="F3531" s="25" t="str">
        <f aca="false">IF(OR(E3531="",E3531="!!!"),"",IF(NOT(ISNA(VLOOKUP(E3531,E$1:E3530,1,FALSE()))),"OLD",IF(AND(E3531&lt;&gt;"",E3531&lt;&gt;"!!!"),"NEW","")))</f>
        <v/>
      </c>
      <c r="G3531" s="26" t="str">
        <f aca="false">IF(OR(E3531="",E3531="!!!"),"",IF(OR(J3531=0,AND(J3531=1,K3531=1),AND(J3531=1,I3531="SBJ"),AND(J3531=1,I3531=0)),"?IN_FOCUS",IF(J3531&lt;=2,"?ACTIVATED",IF(J3531&lt;&gt;"","?FAMILIAR",IF(F3531="NEW",IF(ISNA(VLOOKUP(E3531,#REF!,1,FALSE())),"?TYPE_IDENTIFIABLE","?REFERENTIAL"),"_")))))</f>
        <v/>
      </c>
      <c r="H3531" s="27" t="str">
        <f aca="false">IF(J3531&lt;&gt;1,"",IF(I3531="SBJ","CB","?"))</f>
        <v/>
      </c>
      <c r="I3531" s="24" t="str">
        <f aca="false">IF(OR(E3531="",E3531="!!!",F3531="NEW"),"",INDEX(B23:B$3509,-1+SUMPRODUCT(MAX(ROW(E23:E$3509)*(E3531=E23:E$3509)))))</f>
        <v/>
      </c>
      <c r="J3531" s="24" t="str">
        <f aca="true">IF(OR(E3531="",E3531="!!!",F3531="NEW"),"",COUNTBLANK(OFFSET(A$1,,,SUMPRODUCT(MAX(ROW(E$2:E3531)*(E3531=E$2:E3531)))))-COUNTBLANK(OFFSET(A$1,,,SUMPRODUCT(MAX(ROW(E$1:E3530)*(E2=E$1:E3530))))))</f>
        <v/>
      </c>
      <c r="K3531" s="24" t="str">
        <f aca="false">IF(OR(E3531="",E3531="!!!",F3531="NEW"),"",INDEX(J$1:J3530,SUMPRODUCT(MAX(ROW(E$1:E3530)*(E3531=E$1:E3530)))))</f>
        <v/>
      </c>
      <c r="L3531" s="31"/>
    </row>
    <row r="3532" customFormat="false" ht="15" hidden="false" customHeight="false" outlineLevel="0" collapsed="false">
      <c r="A3532" s="20" t="s">
        <v>2183</v>
      </c>
      <c r="B3532" s="22" t="s">
        <v>1067</v>
      </c>
      <c r="C3532" s="22" t="s">
        <v>1160</v>
      </c>
      <c r="E3532" s="23" t="str">
        <f aca="false">IF(D3532="?OLD","!!!","")</f>
        <v/>
      </c>
      <c r="F3532" s="25" t="str">
        <f aca="false">IF(OR(E3532="",E3532="!!!"),"",IF(NOT(ISNA(VLOOKUP(E3532,E$1:E3531,1,FALSE()))),"OLD",IF(AND(E3532&lt;&gt;"",E3532&lt;&gt;"!!!"),"NEW","")))</f>
        <v/>
      </c>
      <c r="G3532" s="26" t="str">
        <f aca="false">IF(OR(E3532="",E3532="!!!"),"",IF(OR(J3532=0,AND(J3532=1,K3532=1),AND(J3532=1,I3532="SBJ"),AND(J3532=1,I3532=0)),"?IN_FOCUS",IF(J3532&lt;=2,"?ACTIVATED",IF(J3532&lt;&gt;"","?FAMILIAR",IF(F3532="NEW",IF(ISNA(VLOOKUP(E3532,#REF!,1,FALSE())),"?TYPE_IDENTIFIABLE","?REFERENTIAL"),"_")))))</f>
        <v/>
      </c>
      <c r="H3532" s="27" t="str">
        <f aca="false">IF(J3532&lt;&gt;1,"",IF(I3532="SBJ","CB","?"))</f>
        <v/>
      </c>
      <c r="I3532" s="24" t="str">
        <f aca="false">IF(OR(E3532="",E3532="!!!",F3532="NEW"),"",INDEX(B24:B$3509,-1+SUMPRODUCT(MAX(ROW(E24:E$3509)*(E3532=E24:E$3509)))))</f>
        <v/>
      </c>
      <c r="J3532" s="24" t="str">
        <f aca="true">IF(OR(E3532="",E3532="!!!",F3532="NEW"),"",COUNTBLANK(OFFSET(A$1,,,SUMPRODUCT(MAX(ROW(E$2:E3532)*(E3532=E$2:E3532)))))-COUNTBLANK(OFFSET(A$1,,,SUMPRODUCT(MAX(ROW(E$1:E3531)*(E2=E$1:E3531))))))</f>
        <v/>
      </c>
      <c r="K3532" s="24" t="str">
        <f aca="false">IF(OR(E3532="",E3532="!!!",F3532="NEW"),"",INDEX(J$1:J3531,SUMPRODUCT(MAX(ROW(E$1:E3531)*(E3532=E$1:E3531)))))</f>
        <v/>
      </c>
      <c r="L3532" s="31"/>
    </row>
    <row r="3533" customFormat="false" ht="15" hidden="false" customHeight="false" outlineLevel="0" collapsed="false">
      <c r="A3533" s="20" t="s">
        <v>1100</v>
      </c>
      <c r="E3533" s="23" t="str">
        <f aca="false">IF(D3533="?OLD","!!!","")</f>
        <v/>
      </c>
      <c r="F3533" s="25" t="str">
        <f aca="false">IF(OR(E3533="",E3533="!!!"),"",IF(NOT(ISNA(VLOOKUP(E3533,E$1:E3532,1,FALSE()))),"OLD",IF(AND(E3533&lt;&gt;"",E3533&lt;&gt;"!!!"),"NEW","")))</f>
        <v/>
      </c>
      <c r="G3533" s="26" t="str">
        <f aca="false">IF(OR(E3533="",E3533="!!!"),"",IF(OR(J3533=0,AND(J3533=1,K3533=1),AND(J3533=1,I3533="SBJ"),AND(J3533=1,I3533=0)),"?IN_FOCUS",IF(J3533&lt;=2,"?ACTIVATED",IF(J3533&lt;&gt;"","?FAMILIAR",IF(F3533="NEW",IF(ISNA(VLOOKUP(E3533,#REF!,1,FALSE())),"?TYPE_IDENTIFIABLE","?REFERENTIAL"),"_")))))</f>
        <v/>
      </c>
      <c r="H3533" s="27" t="str">
        <f aca="false">IF(J3533&lt;&gt;1,"",IF(I3533="SBJ","CB","?"))</f>
        <v/>
      </c>
      <c r="I3533" s="24" t="str">
        <f aca="false">IF(OR(E3533="",E3533="!!!",F3533="NEW"),"",INDEX(B25:B$3509,-1+SUMPRODUCT(MAX(ROW(E25:E$3509)*(E3533=E25:E$3509)))))</f>
        <v/>
      </c>
      <c r="J3533" s="24" t="str">
        <f aca="true">IF(OR(E3533="",E3533="!!!",F3533="NEW"),"",COUNTBLANK(OFFSET(A$1,,,SUMPRODUCT(MAX(ROW(E$2:E3533)*(E3533=E$2:E3533)))))-COUNTBLANK(OFFSET(A$1,,,SUMPRODUCT(MAX(ROW(E$1:E3532)*(E2=E$1:E3532))))))</f>
        <v/>
      </c>
      <c r="K3533" s="24" t="str">
        <f aca="false">IF(OR(E3533="",E3533="!!!",F3533="NEW"),"",INDEX(J$1:J3532,SUMPRODUCT(MAX(ROW(E$1:E3532)*(E3533=E$1:E3532)))))</f>
        <v/>
      </c>
      <c r="L3533" s="31"/>
    </row>
    <row r="3534" customFormat="false" ht="15" hidden="false" customHeight="false" outlineLevel="0" collapsed="false">
      <c r="A3534" s="20" t="s">
        <v>1064</v>
      </c>
      <c r="E3534" s="23" t="str">
        <f aca="false">IF(D3534="?OLD","!!!","")</f>
        <v/>
      </c>
      <c r="F3534" s="25" t="str">
        <f aca="false">IF(OR(E3534="",E3534="!!!"),"",IF(NOT(ISNA(VLOOKUP(E3534,E$1:E3533,1,FALSE()))),"OLD",IF(AND(E3534&lt;&gt;"",E3534&lt;&gt;"!!!"),"NEW","")))</f>
        <v/>
      </c>
      <c r="G3534" s="26" t="str">
        <f aca="false">IF(OR(E3534="",E3534="!!!"),"",IF(OR(J3534=0,AND(J3534=1,K3534=1),AND(J3534=1,I3534="SBJ"),AND(J3534=1,I3534=0)),"?IN_FOCUS",IF(J3534&lt;=2,"?ACTIVATED",IF(J3534&lt;&gt;"","?FAMILIAR",IF(F3534="NEW",IF(ISNA(VLOOKUP(E3534,#REF!,1,FALSE())),"?TYPE_IDENTIFIABLE","?REFERENTIAL"),"_")))))</f>
        <v/>
      </c>
      <c r="H3534" s="27" t="str">
        <f aca="false">IF(J3534&lt;&gt;1,"",IF(I3534="SBJ","CB","?"))</f>
        <v/>
      </c>
      <c r="I3534" s="24" t="str">
        <f aca="false">IF(OR(E3534="",E3534="!!!",F3534="NEW"),"",INDEX(B26:B$3509,-1+SUMPRODUCT(MAX(ROW(E26:E$3509)*(E3534=E26:E$3509)))))</f>
        <v/>
      </c>
      <c r="J3534" s="24" t="str">
        <f aca="true">IF(OR(E3534="",E3534="!!!",F3534="NEW"),"",COUNTBLANK(OFFSET(A$1,,,SUMPRODUCT(MAX(ROW(E$2:E3534)*(E3534=E$2:E3534)))))-COUNTBLANK(OFFSET(A$1,,,SUMPRODUCT(MAX(ROW(E$1:E3533)*(E2=E$1:E3533))))))</f>
        <v/>
      </c>
      <c r="K3534" s="24" t="str">
        <f aca="false">IF(OR(E3534="",E3534="!!!",F3534="NEW"),"",INDEX(J$1:J3533,SUMPRODUCT(MAX(ROW(E$1:E3533)*(E3534=E$1:E3533)))))</f>
        <v/>
      </c>
      <c r="L3534" s="31"/>
    </row>
    <row r="3535" customFormat="false" ht="15" hidden="false" customHeight="false" outlineLevel="0" collapsed="false">
      <c r="A3535" s="20" t="s">
        <v>1089</v>
      </c>
      <c r="E3535" s="23" t="str">
        <f aca="false">IF(D3535="?OLD","!!!","")</f>
        <v/>
      </c>
      <c r="F3535" s="25" t="str">
        <f aca="false">IF(OR(E3535="",E3535="!!!"),"",IF(NOT(ISNA(VLOOKUP(E3535,E$1:E3534,1,FALSE()))),"OLD",IF(AND(E3535&lt;&gt;"",E3535&lt;&gt;"!!!"),"NEW","")))</f>
        <v/>
      </c>
      <c r="G3535" s="26" t="str">
        <f aca="false">IF(OR(E3535="",E3535="!!!"),"",IF(OR(J3535=0,AND(J3535=1,K3535=1),AND(J3535=1,I3535="SBJ"),AND(J3535=1,I3535=0)),"?IN_FOCUS",IF(J3535&lt;=2,"?ACTIVATED",IF(J3535&lt;&gt;"","?FAMILIAR",IF(F3535="NEW",IF(ISNA(VLOOKUP(E3535,#REF!,1,FALSE())),"?TYPE_IDENTIFIABLE","?REFERENTIAL"),"_")))))</f>
        <v/>
      </c>
      <c r="H3535" s="27" t="str">
        <f aca="false">IF(J3535&lt;&gt;1,"",IF(I3535="SBJ","CB","?"))</f>
        <v/>
      </c>
      <c r="I3535" s="24" t="str">
        <f aca="false">IF(OR(E3535="",E3535="!!!",F3535="NEW"),"",INDEX(B27:B$3509,-1+SUMPRODUCT(MAX(ROW(E27:E$3509)*(E3535=E27:E$3509)))))</f>
        <v/>
      </c>
      <c r="J3535" s="24" t="str">
        <f aca="true">IF(OR(E3535="",E3535="!!!",F3535="NEW"),"",COUNTBLANK(OFFSET(A$1,,,SUMPRODUCT(MAX(ROW(E$2:E3535)*(E3535=E$2:E3535)))))-COUNTBLANK(OFFSET(A$1,,,SUMPRODUCT(MAX(ROW(E$1:E3534)*(E2=E$1:E3534))))))</f>
        <v/>
      </c>
      <c r="K3535" s="24" t="str">
        <f aca="false">IF(OR(E3535="",E3535="!!!",F3535="NEW"),"",INDEX(J$1:J3534,SUMPRODUCT(MAX(ROW(E$1:E3534)*(E3535=E$1:E3534)))))</f>
        <v/>
      </c>
      <c r="L3535" s="31"/>
    </row>
    <row r="3536" customFormat="false" ht="15" hidden="false" customHeight="false" outlineLevel="0" collapsed="false">
      <c r="A3536" s="20" t="s">
        <v>2184</v>
      </c>
      <c r="B3536" s="22" t="s">
        <v>1098</v>
      </c>
      <c r="C3536" s="22" t="s">
        <v>1171</v>
      </c>
      <c r="D3536" s="22" t="s">
        <v>1060</v>
      </c>
      <c r="E3536" s="23" t="str">
        <f aca="false">IF(D3536="?OLD","!!!","")</f>
        <v>!!!</v>
      </c>
      <c r="F3536" s="25" t="str">
        <f aca="false">IF(OR(E3536="",E3536="!!!"),"",IF(NOT(ISNA(VLOOKUP(E3536,E$1:E3535,1,FALSE()))),"OLD",IF(AND(E3536&lt;&gt;"",E3536&lt;&gt;"!!!"),"NEW","")))</f>
        <v/>
      </c>
      <c r="G3536" s="26" t="str">
        <f aca="false">IF(OR(E3536="",E3536="!!!"),"",IF(OR(J3536=0,AND(J3536=1,K3536=1),AND(J3536=1,I3536="SBJ"),AND(J3536=1,I3536=0)),"?IN_FOCUS",IF(J3536&lt;=2,"?ACTIVATED",IF(J3536&lt;&gt;"","?FAMILIAR",IF(F3536="NEW",IF(ISNA(VLOOKUP(E3536,#REF!,1,FALSE())),"?TYPE_IDENTIFIABLE","?REFERENTIAL"),"_")))))</f>
        <v/>
      </c>
      <c r="H3536" s="27" t="str">
        <f aca="false">IF(J3536&lt;&gt;1,"",IF(I3536="SBJ","CB","?"))</f>
        <v/>
      </c>
      <c r="I3536" s="24" t="str">
        <f aca="false">IF(OR(E3536="",E3536="!!!",F3536="NEW"),"",INDEX(B28:B$3509,-1+SUMPRODUCT(MAX(ROW(E28:E$3509)*(E3536=E28:E$3509)))))</f>
        <v/>
      </c>
      <c r="J3536" s="24" t="str">
        <f aca="true">IF(OR(E3536="",E3536="!!!",F3536="NEW"),"",COUNTBLANK(OFFSET(A$1,,,SUMPRODUCT(MAX(ROW(E$2:E3536)*(E3536=E$2:E3536)))))-COUNTBLANK(OFFSET(A$1,,,SUMPRODUCT(MAX(ROW(E$1:E3535)*(E2=E$1:E3535))))))</f>
        <v/>
      </c>
      <c r="K3536" s="24" t="str">
        <f aca="false">IF(OR(E3536="",E3536="!!!",F3536="NEW"),"",INDEX(J$1:J3535,SUMPRODUCT(MAX(ROW(E$1:E3535)*(E3536=E$1:E3535)))))</f>
        <v/>
      </c>
      <c r="L3536" s="31"/>
    </row>
    <row r="3537" customFormat="false" ht="15" hidden="false" customHeight="false" outlineLevel="0" collapsed="false">
      <c r="A3537" s="20" t="s">
        <v>1064</v>
      </c>
      <c r="E3537" s="23" t="str">
        <f aca="false">IF(D3537="?OLD","!!!","")</f>
        <v/>
      </c>
      <c r="F3537" s="25" t="str">
        <f aca="false">IF(OR(E3537="",E3537="!!!"),"",IF(NOT(ISNA(VLOOKUP(E3537,E$1:E3536,1,FALSE()))),"OLD",IF(AND(E3537&lt;&gt;"",E3537&lt;&gt;"!!!"),"NEW","")))</f>
        <v/>
      </c>
      <c r="G3537" s="26" t="str">
        <f aca="false">IF(OR(E3537="",E3537="!!!"),"",IF(OR(J3537=0,AND(J3537=1,K3537=1),AND(J3537=1,I3537="SBJ"),AND(J3537=1,I3537=0)),"?IN_FOCUS",IF(J3537&lt;=2,"?ACTIVATED",IF(J3537&lt;&gt;"","?FAMILIAR",IF(F3537="NEW",IF(ISNA(VLOOKUP(E3537,#REF!,1,FALSE())),"?TYPE_IDENTIFIABLE","?REFERENTIAL"),"_")))))</f>
        <v/>
      </c>
      <c r="H3537" s="27" t="str">
        <f aca="false">IF(J3537&lt;&gt;1,"",IF(I3537="SBJ","CB","?"))</f>
        <v/>
      </c>
      <c r="I3537" s="24" t="str">
        <f aca="false">IF(OR(E3537="",E3537="!!!",F3537="NEW"),"",INDEX(B29:B$3509,-1+SUMPRODUCT(MAX(ROW(E29:E$3509)*(E3537=E29:E$3509)))))</f>
        <v/>
      </c>
      <c r="J3537" s="24" t="str">
        <f aca="true">IF(OR(E3537="",E3537="!!!",F3537="NEW"),"",COUNTBLANK(OFFSET(A$1,,,SUMPRODUCT(MAX(ROW(E$2:E3537)*(E3537=E$2:E3537)))))-COUNTBLANK(OFFSET(A$1,,,SUMPRODUCT(MAX(ROW(E$1:E3536)*(E2=E$1:E3536))))))</f>
        <v/>
      </c>
      <c r="K3537" s="24" t="str">
        <f aca="false">IF(OR(E3537="",E3537="!!!",F3537="NEW"),"",INDEX(J$1:J3536,SUMPRODUCT(MAX(ROW(E$1:E3536)*(E3537=E$1:E3536)))))</f>
        <v/>
      </c>
      <c r="L3537" s="31"/>
    </row>
    <row r="3538" customFormat="false" ht="15" hidden="false" customHeight="false" outlineLevel="0" collapsed="false">
      <c r="A3538" s="20" t="s">
        <v>2185</v>
      </c>
      <c r="B3538" s="22" t="s">
        <v>1112</v>
      </c>
      <c r="C3538" s="22" t="s">
        <v>1160</v>
      </c>
      <c r="E3538" s="23" t="str">
        <f aca="false">IF(D3538="?OLD","!!!","")</f>
        <v/>
      </c>
      <c r="F3538" s="25" t="str">
        <f aca="false">IF(OR(E3538="",E3538="!!!"),"",IF(NOT(ISNA(VLOOKUP(E3538,E$1:E3537,1,FALSE()))),"OLD",IF(AND(E3538&lt;&gt;"",E3538&lt;&gt;"!!!"),"NEW","")))</f>
        <v/>
      </c>
      <c r="G3538" s="26" t="str">
        <f aca="false">IF(OR(E3538="",E3538="!!!"),"",IF(OR(J3538=0,AND(J3538=1,K3538=1),AND(J3538=1,I3538="SBJ"),AND(J3538=1,I3538=0)),"?IN_FOCUS",IF(J3538&lt;=2,"?ACTIVATED",IF(J3538&lt;&gt;"","?FAMILIAR",IF(F3538="NEW",IF(ISNA(VLOOKUP(E3538,#REF!,1,FALSE())),"?TYPE_IDENTIFIABLE","?REFERENTIAL"),"_")))))</f>
        <v/>
      </c>
      <c r="H3538" s="27" t="str">
        <f aca="false">IF(J3538&lt;&gt;1,"",IF(I3538="SBJ","CB","?"))</f>
        <v/>
      </c>
      <c r="I3538" s="24" t="str">
        <f aca="false">IF(OR(E3538="",E3538="!!!",F3538="NEW"),"",INDEX(B30:B$3509,-1+SUMPRODUCT(MAX(ROW(E30:E$3509)*(E3538=E30:E$3509)))))</f>
        <v/>
      </c>
      <c r="J3538" s="24" t="str">
        <f aca="true">IF(OR(E3538="",E3538="!!!",F3538="NEW"),"",COUNTBLANK(OFFSET(A$1,,,SUMPRODUCT(MAX(ROW(E$2:E3538)*(E3538=E$2:E3538)))))-COUNTBLANK(OFFSET(A$1,,,SUMPRODUCT(MAX(ROW(E$1:E3537)*(E2=E$1:E3537))))))</f>
        <v/>
      </c>
      <c r="K3538" s="24" t="str">
        <f aca="false">IF(OR(E3538="",E3538="!!!",F3538="NEW"),"",INDEX(J$1:J3537,SUMPRODUCT(MAX(ROW(E$1:E3537)*(E3538=E$1:E3537)))))</f>
        <v/>
      </c>
      <c r="L3538" s="31"/>
    </row>
    <row r="3539" customFormat="false" ht="15" hidden="false" customHeight="false" outlineLevel="0" collapsed="false">
      <c r="A3539" s="20" t="s">
        <v>1128</v>
      </c>
      <c r="E3539" s="23" t="str">
        <f aca="false">IF(D3539="?OLD","!!!","")</f>
        <v/>
      </c>
      <c r="F3539" s="25" t="str">
        <f aca="false">IF(OR(E3539="",E3539="!!!"),"",IF(NOT(ISNA(VLOOKUP(E3539,E$1:E3538,1,FALSE()))),"OLD",IF(AND(E3539&lt;&gt;"",E3539&lt;&gt;"!!!"),"NEW","")))</f>
        <v/>
      </c>
      <c r="G3539" s="26" t="str">
        <f aca="false">IF(OR(E3539="",E3539="!!!"),"",IF(OR(J3539=0,AND(J3539=1,K3539=1),AND(J3539=1,I3539="SBJ"),AND(J3539=1,I3539=0)),"?IN_FOCUS",IF(J3539&lt;=2,"?ACTIVATED",IF(J3539&lt;&gt;"","?FAMILIAR",IF(F3539="NEW",IF(ISNA(VLOOKUP(E3539,#REF!,1,FALSE())),"?TYPE_IDENTIFIABLE","?REFERENTIAL"),"_")))))</f>
        <v/>
      </c>
      <c r="H3539" s="27" t="str">
        <f aca="false">IF(J3539&lt;&gt;1,"",IF(I3539="SBJ","CB","?"))</f>
        <v/>
      </c>
      <c r="I3539" s="24" t="str">
        <f aca="false">IF(OR(E3539="",E3539="!!!",F3539="NEW"),"",INDEX(B31:B$3509,-1+SUMPRODUCT(MAX(ROW(E31:E$3509)*(E3539=E31:E$3509)))))</f>
        <v/>
      </c>
      <c r="J3539" s="24" t="str">
        <f aca="true">IF(OR(E3539="",E3539="!!!",F3539="NEW"),"",COUNTBLANK(OFFSET(A$1,,,SUMPRODUCT(MAX(ROW(E$2:E3539)*(E3539=E$2:E3539)))))-COUNTBLANK(OFFSET(A$1,,,SUMPRODUCT(MAX(ROW(E$1:E3538)*(E2=E$1:E3538))))))</f>
        <v/>
      </c>
      <c r="K3539" s="24" t="str">
        <f aca="false">IF(OR(E3539="",E3539="!!!",F3539="NEW"),"",INDEX(J$1:J3538,SUMPRODUCT(MAX(ROW(E$1:E3538)*(E3539=E$1:E3538)))))</f>
        <v/>
      </c>
      <c r="L3539" s="31"/>
    </row>
    <row r="3540" customFormat="false" ht="15" hidden="false" customHeight="false" outlineLevel="0" collapsed="false">
      <c r="A3540" s="20" t="s">
        <v>2186</v>
      </c>
      <c r="B3540" s="22" t="s">
        <v>1203</v>
      </c>
      <c r="C3540" s="22" t="s">
        <v>1160</v>
      </c>
      <c r="E3540" s="23" t="str">
        <f aca="false">IF(D3540="?OLD","!!!","")</f>
        <v/>
      </c>
      <c r="F3540" s="25" t="str">
        <f aca="false">IF(OR(E3540="",E3540="!!!"),"",IF(NOT(ISNA(VLOOKUP(E3540,E$1:E3539,1,FALSE()))),"OLD",IF(AND(E3540&lt;&gt;"",E3540&lt;&gt;"!!!"),"NEW","")))</f>
        <v/>
      </c>
      <c r="G3540" s="26" t="str">
        <f aca="false">IF(OR(E3540="",E3540="!!!"),"",IF(OR(J3540=0,AND(J3540=1,K3540=1),AND(J3540=1,I3540="SBJ"),AND(J3540=1,I3540=0)),"?IN_FOCUS",IF(J3540&lt;=2,"?ACTIVATED",IF(J3540&lt;&gt;"","?FAMILIAR",IF(F3540="NEW",IF(ISNA(VLOOKUP(E3540,#REF!,1,FALSE())),"?TYPE_IDENTIFIABLE","?REFERENTIAL"),"_")))))</f>
        <v/>
      </c>
      <c r="H3540" s="27" t="str">
        <f aca="false">IF(J3540&lt;&gt;1,"",IF(I3540="SBJ","CB","?"))</f>
        <v/>
      </c>
      <c r="I3540" s="24" t="str">
        <f aca="false">IF(OR(E3540="",E3540="!!!",F3540="NEW"),"",INDEX(B32:B$3509,-1+SUMPRODUCT(MAX(ROW(E32:E$3509)*(E3540=E32:E$3509)))))</f>
        <v/>
      </c>
      <c r="J3540" s="24" t="str">
        <f aca="true">IF(OR(E3540="",E3540="!!!",F3540="NEW"),"",COUNTBLANK(OFFSET(A$1,,,SUMPRODUCT(MAX(ROW(E$2:E3540)*(E3540=E$2:E3540)))))-COUNTBLANK(OFFSET(A$1,,,SUMPRODUCT(MAX(ROW(E$1:E3539)*(E2=E$1:E3539))))))</f>
        <v/>
      </c>
      <c r="K3540" s="24" t="str">
        <f aca="false">IF(OR(E3540="",E3540="!!!",F3540="NEW"),"",INDEX(J$1:J3539,SUMPRODUCT(MAX(ROW(E$1:E3539)*(E3540=E$1:E3539)))))</f>
        <v/>
      </c>
      <c r="L3540" s="31"/>
    </row>
    <row r="3541" customFormat="false" ht="15" hidden="false" customHeight="false" outlineLevel="0" collapsed="false">
      <c r="A3541" s="20" t="s">
        <v>1109</v>
      </c>
      <c r="E3541" s="23" t="str">
        <f aca="false">IF(D3541="?OLD","!!!","")</f>
        <v/>
      </c>
      <c r="F3541" s="25" t="str">
        <f aca="false">IF(OR(E3541="",E3541="!!!"),"",IF(NOT(ISNA(VLOOKUP(E3541,E$1:E3540,1,FALSE()))),"OLD",IF(AND(E3541&lt;&gt;"",E3541&lt;&gt;"!!!"),"NEW","")))</f>
        <v/>
      </c>
      <c r="G3541" s="26" t="str">
        <f aca="false">IF(OR(E3541="",E3541="!!!"),"",IF(OR(J3541=0,AND(J3541=1,K3541=1),AND(J3541=1,I3541="SBJ"),AND(J3541=1,I3541=0)),"?IN_FOCUS",IF(J3541&lt;=2,"?ACTIVATED",IF(J3541&lt;&gt;"","?FAMILIAR",IF(F3541="NEW",IF(ISNA(VLOOKUP(E3541,#REF!,1,FALSE())),"?TYPE_IDENTIFIABLE","?REFERENTIAL"),"_")))))</f>
        <v/>
      </c>
      <c r="H3541" s="27" t="str">
        <f aca="false">IF(J3541&lt;&gt;1,"",IF(I3541="SBJ","CB","?"))</f>
        <v/>
      </c>
      <c r="I3541" s="24" t="str">
        <f aca="false">IF(OR(E3541="",E3541="!!!",F3541="NEW"),"",INDEX(B33:B$3509,-1+SUMPRODUCT(MAX(ROW(E33:E$3509)*(E3541=E33:E$3509)))))</f>
        <v/>
      </c>
      <c r="J3541" s="24" t="str">
        <f aca="true">IF(OR(E3541="",E3541="!!!",F3541="NEW"),"",COUNTBLANK(OFFSET(A$1,,,SUMPRODUCT(MAX(ROW(E$2:E3541)*(E3541=E$2:E3541)))))-COUNTBLANK(OFFSET(A$1,,,SUMPRODUCT(MAX(ROW(E$1:E3540)*(E2=E$1:E3540))))))</f>
        <v/>
      </c>
      <c r="K3541" s="24" t="str">
        <f aca="false">IF(OR(E3541="",E3541="!!!",F3541="NEW"),"",INDEX(J$1:J3540,SUMPRODUCT(MAX(ROW(E$1:E3540)*(E3541=E$1:E3540)))))</f>
        <v/>
      </c>
      <c r="L3541" s="31"/>
    </row>
    <row r="3542" customFormat="false" ht="15" hidden="false" customHeight="false" outlineLevel="0" collapsed="false">
      <c r="A3542" s="20" t="s">
        <v>2187</v>
      </c>
      <c r="B3542" s="22" t="s">
        <v>1098</v>
      </c>
      <c r="C3542" s="22" t="s">
        <v>1150</v>
      </c>
      <c r="D3542" s="22" t="s">
        <v>1060</v>
      </c>
      <c r="E3542" s="23" t="str">
        <f aca="false">IF(D3542="?OLD","!!!","")</f>
        <v>!!!</v>
      </c>
      <c r="F3542" s="25" t="str">
        <f aca="false">IF(OR(E3542="",E3542="!!!"),"",IF(NOT(ISNA(VLOOKUP(E3542,E$1:E3541,1,FALSE()))),"OLD",IF(AND(E3542&lt;&gt;"",E3542&lt;&gt;"!!!"),"NEW","")))</f>
        <v/>
      </c>
      <c r="G3542" s="26" t="str">
        <f aca="false">IF(OR(E3542="",E3542="!!!"),"",IF(OR(J3542=0,AND(J3542=1,K3542=1),AND(J3542=1,I3542="SBJ"),AND(J3542=1,I3542=0)),"?IN_FOCUS",IF(J3542&lt;=2,"?ACTIVATED",IF(J3542&lt;&gt;"","?FAMILIAR",IF(F3542="NEW",IF(ISNA(VLOOKUP(E3542,#REF!,1,FALSE())),"?TYPE_IDENTIFIABLE","?REFERENTIAL"),"_")))))</f>
        <v/>
      </c>
      <c r="H3542" s="27" t="str">
        <f aca="false">IF(J3542&lt;&gt;1,"",IF(I3542="SBJ","CB","?"))</f>
        <v/>
      </c>
      <c r="I3542" s="24" t="str">
        <f aca="false">IF(OR(E3542="",E3542="!!!",F3542="NEW"),"",INDEX(B34:B$3509,-1+SUMPRODUCT(MAX(ROW(E34:E$3509)*(E3542=E34:E$3509)))))</f>
        <v/>
      </c>
      <c r="J3542" s="24" t="str">
        <f aca="true">IF(OR(E3542="",E3542="!!!",F3542="NEW"),"",COUNTBLANK(OFFSET(A$1,,,SUMPRODUCT(MAX(ROW(E$2:E3542)*(E3542=E$2:E3542)))))-COUNTBLANK(OFFSET(A$1,,,SUMPRODUCT(MAX(ROW(E$1:E3541)*(E2=E$1:E3541))))))</f>
        <v/>
      </c>
      <c r="K3542" s="24" t="str">
        <f aca="false">IF(OR(E3542="",E3542="!!!",F3542="NEW"),"",INDEX(J$1:J3541,SUMPRODUCT(MAX(ROW(E$1:E3541)*(E3542=E$1:E3541)))))</f>
        <v/>
      </c>
      <c r="L3542" s="31"/>
    </row>
    <row r="3543" customFormat="false" ht="15" hidden="false" customHeight="false" outlineLevel="0" collapsed="false">
      <c r="A3543" s="20" t="s">
        <v>1064</v>
      </c>
      <c r="E3543" s="23" t="str">
        <f aca="false">IF(D3543="?OLD","!!!","")</f>
        <v/>
      </c>
      <c r="F3543" s="25" t="str">
        <f aca="false">IF(OR(E3543="",E3543="!!!"),"",IF(NOT(ISNA(VLOOKUP(E3543,E$1:E3542,1,FALSE()))),"OLD",IF(AND(E3543&lt;&gt;"",E3543&lt;&gt;"!!!"),"NEW","")))</f>
        <v/>
      </c>
      <c r="G3543" s="26" t="str">
        <f aca="false">IF(OR(E3543="",E3543="!!!"),"",IF(OR(J3543=0,AND(J3543=1,K3543=1),AND(J3543=1,I3543="SBJ"),AND(J3543=1,I3543=0)),"?IN_FOCUS",IF(J3543&lt;=2,"?ACTIVATED",IF(J3543&lt;&gt;"","?FAMILIAR",IF(F3543="NEW",IF(ISNA(VLOOKUP(E3543,#REF!,1,FALSE())),"?TYPE_IDENTIFIABLE","?REFERENTIAL"),"_")))))</f>
        <v/>
      </c>
      <c r="H3543" s="27" t="str">
        <f aca="false">IF(J3543&lt;&gt;1,"",IF(I3543="SBJ","CB","?"))</f>
        <v/>
      </c>
      <c r="I3543" s="24" t="str">
        <f aca="false">IF(OR(E3543="",E3543="!!!",F3543="NEW"),"",INDEX(B35:B$3509,-1+SUMPRODUCT(MAX(ROW(E35:E$3509)*(E3543=E35:E$3509)))))</f>
        <v/>
      </c>
      <c r="J3543" s="24" t="str">
        <f aca="true">IF(OR(E3543="",E3543="!!!",F3543="NEW"),"",COUNTBLANK(OFFSET(A$1,,,SUMPRODUCT(MAX(ROW(E$2:E3543)*(E3543=E$2:E3543)))))-COUNTBLANK(OFFSET(A$1,,,SUMPRODUCT(MAX(ROW(E$1:E3542)*(E2=E$1:E3542))))))</f>
        <v/>
      </c>
      <c r="K3543" s="24" t="str">
        <f aca="false">IF(OR(E3543="",E3543="!!!",F3543="NEW"),"",INDEX(J$1:J3542,SUMPRODUCT(MAX(ROW(E$1:E3542)*(E3543=E$1:E3542)))))</f>
        <v/>
      </c>
      <c r="L3543" s="31"/>
    </row>
    <row r="3544" customFormat="false" ht="15" hidden="false" customHeight="false" outlineLevel="0" collapsed="false">
      <c r="A3544" s="20" t="s">
        <v>1125</v>
      </c>
      <c r="B3544" s="22" t="s">
        <v>1134</v>
      </c>
      <c r="E3544" s="23" t="str">
        <f aca="false">IF(D3544="?OLD","!!!","")</f>
        <v/>
      </c>
      <c r="F3544" s="25" t="str">
        <f aca="false">IF(OR(E3544="",E3544="!!!"),"",IF(NOT(ISNA(VLOOKUP(E3544,E$1:E3543,1,FALSE()))),"OLD",IF(AND(E3544&lt;&gt;"",E3544&lt;&gt;"!!!"),"NEW","")))</f>
        <v/>
      </c>
      <c r="G3544" s="26" t="str">
        <f aca="false">IF(OR(E3544="",E3544="!!!"),"",IF(OR(J3544=0,AND(J3544=1,K3544=1),AND(J3544=1,I3544="SBJ"),AND(J3544=1,I3544=0)),"?IN_FOCUS",IF(J3544&lt;=2,"?ACTIVATED",IF(J3544&lt;&gt;"","?FAMILIAR",IF(F3544="NEW",IF(ISNA(VLOOKUP(E3544,#REF!,1,FALSE())),"?TYPE_IDENTIFIABLE","?REFERENTIAL"),"_")))))</f>
        <v/>
      </c>
      <c r="H3544" s="27" t="str">
        <f aca="false">IF(J3544&lt;&gt;1,"",IF(I3544="SBJ","CB","?"))</f>
        <v/>
      </c>
      <c r="I3544" s="24" t="str">
        <f aca="false">IF(OR(E3544="",E3544="!!!",F3544="NEW"),"",INDEX(B36:B$3509,-1+SUMPRODUCT(MAX(ROW(E36:E$3509)*(E3544=E36:E$3509)))))</f>
        <v/>
      </c>
      <c r="J3544" s="24" t="str">
        <f aca="true">IF(OR(E3544="",E3544="!!!",F3544="NEW"),"",COUNTBLANK(OFFSET(A$1,,,SUMPRODUCT(MAX(ROW(E$2:E3544)*(E3544=E$2:E3544)))))-COUNTBLANK(OFFSET(A$1,,,SUMPRODUCT(MAX(ROW(E$1:E3543)*(E2=E$1:E3543))))))</f>
        <v/>
      </c>
      <c r="K3544" s="24" t="str">
        <f aca="false">IF(OR(E3544="",E3544="!!!",F3544="NEW"),"",INDEX(J$1:J3543,SUMPRODUCT(MAX(ROW(E$1:E3543)*(E3544=E$1:E3543)))))</f>
        <v/>
      </c>
      <c r="L3544" s="31"/>
    </row>
    <row r="3545" customFormat="false" ht="15" hidden="false" customHeight="false" outlineLevel="0" collapsed="false">
      <c r="A3545" s="20" t="s">
        <v>1164</v>
      </c>
      <c r="E3545" s="23" t="str">
        <f aca="false">IF(D3545="?OLD","!!!","")</f>
        <v/>
      </c>
      <c r="F3545" s="25" t="str">
        <f aca="false">IF(OR(E3545="",E3545="!!!"),"",IF(NOT(ISNA(VLOOKUP(E3545,E$1:E3544,1,FALSE()))),"OLD",IF(AND(E3545&lt;&gt;"",E3545&lt;&gt;"!!!"),"NEW","")))</f>
        <v/>
      </c>
      <c r="G3545" s="26" t="str">
        <f aca="false">IF(OR(E3545="",E3545="!!!"),"",IF(OR(J3545=0,AND(J3545=1,K3545=1),AND(J3545=1,I3545="SBJ"),AND(J3545=1,I3545=0)),"?IN_FOCUS",IF(J3545&lt;=2,"?ACTIVATED",IF(J3545&lt;&gt;"","?FAMILIAR",IF(F3545="NEW",IF(ISNA(VLOOKUP(E3545,#REF!,1,FALSE())),"?TYPE_IDENTIFIABLE","?REFERENTIAL"),"_")))))</f>
        <v/>
      </c>
      <c r="H3545" s="27" t="str">
        <f aca="false">IF(J3545&lt;&gt;1,"",IF(I3545="SBJ","CB","?"))</f>
        <v/>
      </c>
      <c r="I3545" s="24" t="str">
        <f aca="false">IF(OR(E3545="",E3545="!!!",F3545="NEW"),"",INDEX(B37:B$3509,-1+SUMPRODUCT(MAX(ROW(E37:E$3509)*(E3545=E37:E$3509)))))</f>
        <v/>
      </c>
      <c r="J3545" s="24" t="str">
        <f aca="true">IF(OR(E3545="",E3545="!!!",F3545="NEW"),"",COUNTBLANK(OFFSET(A$1,,,SUMPRODUCT(MAX(ROW(E$2:E3545)*(E3545=E$2:E3545)))))-COUNTBLANK(OFFSET(A$1,,,SUMPRODUCT(MAX(ROW(E$1:E3544)*(E2=E$1:E3544))))))</f>
        <v/>
      </c>
      <c r="K3545" s="24" t="str">
        <f aca="false">IF(OR(E3545="",E3545="!!!",F3545="NEW"),"",INDEX(J$1:J3544,SUMPRODUCT(MAX(ROW(E$1:E3544)*(E3545=E$1:E3544)))))</f>
        <v/>
      </c>
      <c r="L3545" s="31"/>
    </row>
    <row r="3546" customFormat="false" ht="15" hidden="false" customHeight="false" outlineLevel="0" collapsed="false">
      <c r="A3546" s="20" t="s">
        <v>1414</v>
      </c>
      <c r="E3546" s="23" t="str">
        <f aca="false">IF(D3546="?OLD","!!!","")</f>
        <v/>
      </c>
      <c r="F3546" s="25" t="str">
        <f aca="false">IF(OR(E3546="",E3546="!!!"),"",IF(NOT(ISNA(VLOOKUP(E3546,E$1:E3545,1,FALSE()))),"OLD",IF(AND(E3546&lt;&gt;"",E3546&lt;&gt;"!!!"),"NEW","")))</f>
        <v/>
      </c>
      <c r="G3546" s="26" t="str">
        <f aca="false">IF(OR(E3546="",E3546="!!!"),"",IF(OR(J3546=0,AND(J3546=1,K3546=1),AND(J3546=1,I3546="SBJ"),AND(J3546=1,I3546=0)),"?IN_FOCUS",IF(J3546&lt;=2,"?ACTIVATED",IF(J3546&lt;&gt;"","?FAMILIAR",IF(F3546="NEW",IF(ISNA(VLOOKUP(E3546,#REF!,1,FALSE())),"?TYPE_IDENTIFIABLE","?REFERENTIAL"),"_")))))</f>
        <v/>
      </c>
      <c r="H3546" s="27" t="str">
        <f aca="false">IF(J3546&lt;&gt;1,"",IF(I3546="SBJ","CB","?"))</f>
        <v/>
      </c>
      <c r="I3546" s="24" t="str">
        <f aca="false">IF(OR(E3546="",E3546="!!!",F3546="NEW"),"",INDEX(B38:B$3509,-1+SUMPRODUCT(MAX(ROW(E38:E$3509)*(E3546=E38:E$3509)))))</f>
        <v/>
      </c>
      <c r="J3546" s="24" t="str">
        <f aca="true">IF(OR(E3546="",E3546="!!!",F3546="NEW"),"",COUNTBLANK(OFFSET(A$1,,,SUMPRODUCT(MAX(ROW(E$2:E3546)*(E3546=E$2:E3546)))))-COUNTBLANK(OFFSET(A$1,,,SUMPRODUCT(MAX(ROW(E$1:E3545)*(E2=E$1:E3545))))))</f>
        <v/>
      </c>
      <c r="K3546" s="24" t="str">
        <f aca="false">IF(OR(E3546="",E3546="!!!",F3546="NEW"),"",INDEX(J$1:J3545,SUMPRODUCT(MAX(ROW(E$1:E3545)*(E3546=E$1:E3545)))))</f>
        <v/>
      </c>
      <c r="L3546" s="31"/>
    </row>
    <row r="3547" customFormat="false" ht="15" hidden="false" customHeight="false" outlineLevel="0" collapsed="false">
      <c r="A3547" s="20" t="s">
        <v>1109</v>
      </c>
      <c r="E3547" s="23" t="str">
        <f aca="false">IF(D3547="?OLD","!!!","")</f>
        <v/>
      </c>
      <c r="F3547" s="25" t="str">
        <f aca="false">IF(OR(E3547="",E3547="!!!"),"",IF(NOT(ISNA(VLOOKUP(E3547,E$1:E3546,1,FALSE()))),"OLD",IF(AND(E3547&lt;&gt;"",E3547&lt;&gt;"!!!"),"NEW","")))</f>
        <v/>
      </c>
      <c r="G3547" s="26" t="str">
        <f aca="false">IF(OR(E3547="",E3547="!!!"),"",IF(OR(J3547=0,AND(J3547=1,K3547=1),AND(J3547=1,I3547="SBJ"),AND(J3547=1,I3547=0)),"?IN_FOCUS",IF(J3547&lt;=2,"?ACTIVATED",IF(J3547&lt;&gt;"","?FAMILIAR",IF(F3547="NEW",IF(ISNA(VLOOKUP(E3547,#REF!,1,FALSE())),"?TYPE_IDENTIFIABLE","?REFERENTIAL"),"_")))))</f>
        <v/>
      </c>
      <c r="H3547" s="27" t="str">
        <f aca="false">IF(J3547&lt;&gt;1,"",IF(I3547="SBJ","CB","?"))</f>
        <v/>
      </c>
      <c r="I3547" s="24" t="str">
        <f aca="false">IF(OR(E3547="",E3547="!!!",F3547="NEW"),"",INDEX(B39:B$3509,-1+SUMPRODUCT(MAX(ROW(E39:E$3509)*(E3547=E39:E$3509)))))</f>
        <v/>
      </c>
      <c r="J3547" s="24" t="str">
        <f aca="true">IF(OR(E3547="",E3547="!!!",F3547="NEW"),"",COUNTBLANK(OFFSET(A$1,,,SUMPRODUCT(MAX(ROW(E$2:E3547)*(E3547=E$2:E3547)))))-COUNTBLANK(OFFSET(A$1,,,SUMPRODUCT(MAX(ROW(E$1:E3546)*(E2=E$1:E3546))))))</f>
        <v/>
      </c>
      <c r="K3547" s="24" t="str">
        <f aca="false">IF(OR(E3547="",E3547="!!!",F3547="NEW"),"",INDEX(J$1:J3546,SUMPRODUCT(MAX(ROW(E$1:E3546)*(E3547=E$1:E3546)))))</f>
        <v/>
      </c>
      <c r="L3547" s="31"/>
    </row>
    <row r="3548" customFormat="false" ht="15" hidden="false" customHeight="false" outlineLevel="0" collapsed="false">
      <c r="A3548" s="20" t="s">
        <v>2188</v>
      </c>
      <c r="B3548" s="22" t="s">
        <v>1112</v>
      </c>
      <c r="C3548" s="22" t="s">
        <v>1059</v>
      </c>
      <c r="D3548" s="22" t="s">
        <v>1060</v>
      </c>
      <c r="E3548" s="23" t="str">
        <f aca="false">IF(D3548="?OLD","!!!","")</f>
        <v>!!!</v>
      </c>
      <c r="F3548" s="25" t="str">
        <f aca="false">IF(OR(E3548="",E3548="!!!"),"",IF(NOT(ISNA(VLOOKUP(E3548,E$1:E3547,1,FALSE()))),"OLD",IF(AND(E3548&lt;&gt;"",E3548&lt;&gt;"!!!"),"NEW","")))</f>
        <v/>
      </c>
      <c r="G3548" s="26" t="str">
        <f aca="false">IF(OR(E3548="",E3548="!!!"),"",IF(OR(J3548=0,AND(J3548=1,K3548=1),AND(J3548=1,I3548="SBJ"),AND(J3548=1,I3548=0)),"?IN_FOCUS",IF(J3548&lt;=2,"?ACTIVATED",IF(J3548&lt;&gt;"","?FAMILIAR",IF(F3548="NEW",IF(ISNA(VLOOKUP(E3548,#REF!,1,FALSE())),"?TYPE_IDENTIFIABLE","?REFERENTIAL"),"_")))))</f>
        <v/>
      </c>
      <c r="H3548" s="27" t="str">
        <f aca="false">IF(J3548&lt;&gt;1,"",IF(I3548="SBJ","CB","?"))</f>
        <v/>
      </c>
      <c r="I3548" s="24" t="str">
        <f aca="false">IF(OR(E3548="",E3548="!!!",F3548="NEW"),"",INDEX(B40:B$3509,-1+SUMPRODUCT(MAX(ROW(E40:E$3509)*(E3548=E40:E$3509)))))</f>
        <v/>
      </c>
      <c r="J3548" s="24" t="str">
        <f aca="true">IF(OR(E3548="",E3548="!!!",F3548="NEW"),"",COUNTBLANK(OFFSET(A$1,,,SUMPRODUCT(MAX(ROW(E$2:E3548)*(E3548=E$2:E3548)))))-COUNTBLANK(OFFSET(A$1,,,SUMPRODUCT(MAX(ROW(E$1:E3547)*(E2=E$1:E3547))))))</f>
        <v/>
      </c>
      <c r="K3548" s="24" t="str">
        <f aca="false">IF(OR(E3548="",E3548="!!!",F3548="NEW"),"",INDEX(J$1:J3547,SUMPRODUCT(MAX(ROW(E$1:E3547)*(E3548=E$1:E3547)))))</f>
        <v/>
      </c>
      <c r="L3548" s="31"/>
    </row>
    <row r="3549" customFormat="false" ht="15" hidden="false" customHeight="false" outlineLevel="0" collapsed="false">
      <c r="A3549" s="20" t="s">
        <v>1064</v>
      </c>
      <c r="E3549" s="23" t="str">
        <f aca="false">IF(D3549="?OLD","!!!","")</f>
        <v/>
      </c>
      <c r="F3549" s="25" t="str">
        <f aca="false">IF(OR(E3549="",E3549="!!!"),"",IF(NOT(ISNA(VLOOKUP(E3549,E$1:E3548,1,FALSE()))),"OLD",IF(AND(E3549&lt;&gt;"",E3549&lt;&gt;"!!!"),"NEW","")))</f>
        <v/>
      </c>
      <c r="G3549" s="26" t="str">
        <f aca="false">IF(OR(E3549="",E3549="!!!"),"",IF(OR(J3549=0,AND(J3549=1,K3549=1),AND(J3549=1,I3549="SBJ"),AND(J3549=1,I3549=0)),"?IN_FOCUS",IF(J3549&lt;=2,"?ACTIVATED",IF(J3549&lt;&gt;"","?FAMILIAR",IF(F3549="NEW",IF(ISNA(VLOOKUP(E3549,#REF!,1,FALSE())),"?TYPE_IDENTIFIABLE","?REFERENTIAL"),"_")))))</f>
        <v/>
      </c>
      <c r="H3549" s="27" t="str">
        <f aca="false">IF(J3549&lt;&gt;1,"",IF(I3549="SBJ","CB","?"))</f>
        <v/>
      </c>
      <c r="I3549" s="24" t="str">
        <f aca="false">IF(OR(E3549="",E3549="!!!",F3549="NEW"),"",INDEX(B41:B$3509,-1+SUMPRODUCT(MAX(ROW(E41:E$3509)*(E3549=E41:E$3509)))))</f>
        <v/>
      </c>
      <c r="J3549" s="24" t="str">
        <f aca="true">IF(OR(E3549="",E3549="!!!",F3549="NEW"),"",COUNTBLANK(OFFSET(A$1,,,SUMPRODUCT(MAX(ROW(E$2:E3549)*(E3549=E$2:E3549)))))-COUNTBLANK(OFFSET(A$1,,,SUMPRODUCT(MAX(ROW(E$1:E3548)*(E2=E$1:E3548))))))</f>
        <v/>
      </c>
      <c r="K3549" s="24" t="str">
        <f aca="false">IF(OR(E3549="",E3549="!!!",F3549="NEW"),"",INDEX(J$1:J3548,SUMPRODUCT(MAX(ROW(E$1:E3548)*(E3549=E$1:E3548)))))</f>
        <v/>
      </c>
      <c r="L3549" s="31"/>
    </row>
    <row r="3550" customFormat="false" ht="15" hidden="false" customHeight="false" outlineLevel="0" collapsed="false">
      <c r="A3550" s="20" t="s">
        <v>1339</v>
      </c>
      <c r="E3550" s="23" t="str">
        <f aca="false">IF(D3550="?OLD","!!!","")</f>
        <v/>
      </c>
      <c r="F3550" s="25" t="str">
        <f aca="false">IF(OR(E3550="",E3550="!!!"),"",IF(NOT(ISNA(VLOOKUP(E3550,E$1:E3549,1,FALSE()))),"OLD",IF(AND(E3550&lt;&gt;"",E3550&lt;&gt;"!!!"),"NEW","")))</f>
        <v/>
      </c>
      <c r="G3550" s="26" t="str">
        <f aca="false">IF(OR(E3550="",E3550="!!!"),"",IF(OR(J3550=0,AND(J3550=1,K3550=1),AND(J3550=1,I3550="SBJ"),AND(J3550=1,I3550=0)),"?IN_FOCUS",IF(J3550&lt;=2,"?ACTIVATED",IF(J3550&lt;&gt;"","?FAMILIAR",IF(F3550="NEW",IF(ISNA(VLOOKUP(E3550,#REF!,1,FALSE())),"?TYPE_IDENTIFIABLE","?REFERENTIAL"),"_")))))</f>
        <v/>
      </c>
      <c r="H3550" s="27" t="str">
        <f aca="false">IF(J3550&lt;&gt;1,"",IF(I3550="SBJ","CB","?"))</f>
        <v/>
      </c>
      <c r="I3550" s="24" t="str">
        <f aca="false">IF(OR(E3550="",E3550="!!!",F3550="NEW"),"",INDEX(B42:B$3509,-1+SUMPRODUCT(MAX(ROW(E42:E$3509)*(E3550=E42:E$3509)))))</f>
        <v/>
      </c>
      <c r="J3550" s="24" t="str">
        <f aca="true">IF(OR(E3550="",E3550="!!!",F3550="NEW"),"",COUNTBLANK(OFFSET(A$1,,,SUMPRODUCT(MAX(ROW(E$2:E3550)*(E3550=E$2:E3550)))))-COUNTBLANK(OFFSET(A$1,,,SUMPRODUCT(MAX(ROW(E$1:E3549)*(E2=E$1:E3549))))))</f>
        <v/>
      </c>
      <c r="K3550" s="24" t="str">
        <f aca="false">IF(OR(E3550="",E3550="!!!",F3550="NEW"),"",INDEX(J$1:J3549,SUMPRODUCT(MAX(ROW(E$1:E3549)*(E3550=E$1:E3549)))))</f>
        <v/>
      </c>
      <c r="L3550" s="31"/>
    </row>
    <row r="3551" customFormat="false" ht="15" hidden="false" customHeight="false" outlineLevel="0" collapsed="false">
      <c r="A3551" s="20" t="s">
        <v>2189</v>
      </c>
      <c r="B3551" s="22" t="s">
        <v>1203</v>
      </c>
      <c r="C3551" s="22" t="s">
        <v>1171</v>
      </c>
      <c r="D3551" s="22" t="s">
        <v>1060</v>
      </c>
      <c r="E3551" s="23" t="str">
        <f aca="false">IF(D3551="?OLD","!!!","")</f>
        <v>!!!</v>
      </c>
      <c r="F3551" s="25" t="str">
        <f aca="false">IF(OR(E3551="",E3551="!!!"),"",IF(NOT(ISNA(VLOOKUP(E3551,E$1:E3550,1,FALSE()))),"OLD",IF(AND(E3551&lt;&gt;"",E3551&lt;&gt;"!!!"),"NEW","")))</f>
        <v/>
      </c>
      <c r="G3551" s="26" t="str">
        <f aca="false">IF(OR(E3551="",E3551="!!!"),"",IF(OR(J3551=0,AND(J3551=1,K3551=1),AND(J3551=1,I3551="SBJ"),AND(J3551=1,I3551=0)),"?IN_FOCUS",IF(J3551&lt;=2,"?ACTIVATED",IF(J3551&lt;&gt;"","?FAMILIAR",IF(F3551="NEW",IF(ISNA(VLOOKUP(E3551,#REF!,1,FALSE())),"?TYPE_IDENTIFIABLE","?REFERENTIAL"),"_")))))</f>
        <v/>
      </c>
      <c r="H3551" s="27" t="str">
        <f aca="false">IF(J3551&lt;&gt;1,"",IF(I3551="SBJ","CB","?"))</f>
        <v/>
      </c>
      <c r="I3551" s="24" t="str">
        <f aca="false">IF(OR(E3551="",E3551="!!!",F3551="NEW"),"",INDEX(B43:B$3509,-1+SUMPRODUCT(MAX(ROW(E43:E$3509)*(E3551=E43:E$3509)))))</f>
        <v/>
      </c>
      <c r="J3551" s="24" t="str">
        <f aca="true">IF(OR(E3551="",E3551="!!!",F3551="NEW"),"",COUNTBLANK(OFFSET(A$1,,,SUMPRODUCT(MAX(ROW(E$2:E3551)*(E3551=E$2:E3551)))))-COUNTBLANK(OFFSET(A$1,,,SUMPRODUCT(MAX(ROW(E$1:E3550)*(E2=E$1:E3550))))))</f>
        <v/>
      </c>
      <c r="K3551" s="24" t="str">
        <f aca="false">IF(OR(E3551="",E3551="!!!",F3551="NEW"),"",INDEX(J$1:J3550,SUMPRODUCT(MAX(ROW(E$1:E3550)*(E3551=E$1:E3550)))))</f>
        <v/>
      </c>
      <c r="L3551" s="31"/>
    </row>
    <row r="3552" customFormat="false" ht="15" hidden="false" customHeight="false" outlineLevel="0" collapsed="false">
      <c r="A3552" s="20" t="s">
        <v>1128</v>
      </c>
      <c r="E3552" s="23" t="str">
        <f aca="false">IF(D3552="?OLD","!!!","")</f>
        <v/>
      </c>
      <c r="F3552" s="25" t="str">
        <f aca="false">IF(OR(E3552="",E3552="!!!"),"",IF(NOT(ISNA(VLOOKUP(E3552,E$1:E3551,1,FALSE()))),"OLD",IF(AND(E3552&lt;&gt;"",E3552&lt;&gt;"!!!"),"NEW","")))</f>
        <v/>
      </c>
      <c r="G3552" s="26" t="str">
        <f aca="false">IF(OR(E3552="",E3552="!!!"),"",IF(OR(J3552=0,AND(J3552=1,K3552=1),AND(J3552=1,I3552="SBJ"),AND(J3552=1,I3552=0)),"?IN_FOCUS",IF(J3552&lt;=2,"?ACTIVATED",IF(J3552&lt;&gt;"","?FAMILIAR",IF(F3552="NEW",IF(ISNA(VLOOKUP(E3552,#REF!,1,FALSE())),"?TYPE_IDENTIFIABLE","?REFERENTIAL"),"_")))))</f>
        <v/>
      </c>
      <c r="H3552" s="27" t="str">
        <f aca="false">IF(J3552&lt;&gt;1,"",IF(I3552="SBJ","CB","?"))</f>
        <v/>
      </c>
      <c r="I3552" s="24" t="str">
        <f aca="false">IF(OR(E3552="",E3552="!!!",F3552="NEW"),"",INDEX(B44:B$3509,-1+SUMPRODUCT(MAX(ROW(E44:E$3509)*(E3552=E44:E$3509)))))</f>
        <v/>
      </c>
      <c r="J3552" s="24" t="str">
        <f aca="true">IF(OR(E3552="",E3552="!!!",F3552="NEW"),"",COUNTBLANK(OFFSET(A$1,,,SUMPRODUCT(MAX(ROW(E$2:E3552)*(E3552=E$2:E3552)))))-COUNTBLANK(OFFSET(A$1,,,SUMPRODUCT(MAX(ROW(E$1:E3551)*(E2=E$1:E3551))))))</f>
        <v/>
      </c>
      <c r="K3552" s="24" t="str">
        <f aca="false">IF(OR(E3552="",E3552="!!!",F3552="NEW"),"",INDEX(J$1:J3551,SUMPRODUCT(MAX(ROW(E$1:E3551)*(E3552=E$1:E3551)))))</f>
        <v/>
      </c>
      <c r="L3552" s="31"/>
    </row>
    <row r="3553" customFormat="false" ht="15" hidden="false" customHeight="false" outlineLevel="0" collapsed="false">
      <c r="A3553" s="20" t="s">
        <v>2190</v>
      </c>
      <c r="E3553" s="23" t="str">
        <f aca="false">IF(D3553="?OLD","!!!","")</f>
        <v/>
      </c>
      <c r="F3553" s="25" t="str">
        <f aca="false">IF(OR(E3553="",E3553="!!!"),"",IF(NOT(ISNA(VLOOKUP(E3553,E$1:E3552,1,FALSE()))),"OLD",IF(AND(E3553&lt;&gt;"",E3553&lt;&gt;"!!!"),"NEW","")))</f>
        <v/>
      </c>
      <c r="G3553" s="26" t="str">
        <f aca="false">IF(OR(E3553="",E3553="!!!"),"",IF(OR(J3553=0,AND(J3553=1,K3553=1),AND(J3553=1,I3553="SBJ"),AND(J3553=1,I3553=0)),"?IN_FOCUS",IF(J3553&lt;=2,"?ACTIVATED",IF(J3553&lt;&gt;"","?FAMILIAR",IF(F3553="NEW",IF(ISNA(VLOOKUP(E3553,#REF!,1,FALSE())),"?TYPE_IDENTIFIABLE","?REFERENTIAL"),"_")))))</f>
        <v/>
      </c>
      <c r="H3553" s="27" t="str">
        <f aca="false">IF(J3553&lt;&gt;1,"",IF(I3553="SBJ","CB","?"))</f>
        <v/>
      </c>
      <c r="I3553" s="24" t="str">
        <f aca="false">IF(OR(E3553="",E3553="!!!",F3553="NEW"),"",INDEX(B45:B$3509,-1+SUMPRODUCT(MAX(ROW(E45:E$3509)*(E3553=E45:E$3509)))))</f>
        <v/>
      </c>
      <c r="J3553" s="24" t="str">
        <f aca="true">IF(OR(E3553="",E3553="!!!",F3553="NEW"),"",COUNTBLANK(OFFSET(A$1,,,SUMPRODUCT(MAX(ROW(E$2:E3553)*(E3553=E$2:E3553)))))-COUNTBLANK(OFFSET(A$1,,,SUMPRODUCT(MAX(ROW(E$1:E3552)*(E2=E$1:E3552))))))</f>
        <v/>
      </c>
      <c r="K3553" s="24" t="str">
        <f aca="false">IF(OR(E3553="",E3553="!!!",F3553="NEW"),"",INDEX(J$1:J3552,SUMPRODUCT(MAX(ROW(E$1:E3552)*(E3553=E$1:E3552)))))</f>
        <v/>
      </c>
      <c r="L3553" s="31"/>
    </row>
    <row r="3554" customFormat="false" ht="15" hidden="false" customHeight="false" outlineLevel="0" collapsed="false">
      <c r="A3554" s="20" t="s">
        <v>1786</v>
      </c>
      <c r="B3554" s="22" t="s">
        <v>1855</v>
      </c>
      <c r="C3554" s="22" t="s">
        <v>1160</v>
      </c>
      <c r="E3554" s="23" t="str">
        <f aca="false">IF(D3554="?OLD","!!!","")</f>
        <v/>
      </c>
      <c r="F3554" s="25" t="str">
        <f aca="false">IF(OR(E3554="",E3554="!!!"),"",IF(NOT(ISNA(VLOOKUP(E3554,E$1:E3553,1,FALSE()))),"OLD",IF(AND(E3554&lt;&gt;"",E3554&lt;&gt;"!!!"),"NEW","")))</f>
        <v/>
      </c>
      <c r="G3554" s="26" t="str">
        <f aca="false">IF(OR(E3554="",E3554="!!!"),"",IF(OR(J3554=0,AND(J3554=1,K3554=1),AND(J3554=1,I3554="SBJ"),AND(J3554=1,I3554=0)),"?IN_FOCUS",IF(J3554&lt;=2,"?ACTIVATED",IF(J3554&lt;&gt;"","?FAMILIAR",IF(F3554="NEW",IF(ISNA(VLOOKUP(E3554,#REF!,1,FALSE())),"?TYPE_IDENTIFIABLE","?REFERENTIAL"),"_")))))</f>
        <v/>
      </c>
      <c r="H3554" s="27" t="str">
        <f aca="false">IF(J3554&lt;&gt;1,"",IF(I3554="SBJ","CB","?"))</f>
        <v/>
      </c>
      <c r="I3554" s="24" t="str">
        <f aca="false">IF(OR(E3554="",E3554="!!!",F3554="NEW"),"",INDEX(B46:B$3509,-1+SUMPRODUCT(MAX(ROW(E46:E$3509)*(E3554=E46:E$3509)))))</f>
        <v/>
      </c>
      <c r="J3554" s="24" t="str">
        <f aca="true">IF(OR(E3554="",E3554="!!!",F3554="NEW"),"",COUNTBLANK(OFFSET(A$1,,,SUMPRODUCT(MAX(ROW(E$2:E3554)*(E3554=E$2:E3554)))))-COUNTBLANK(OFFSET(A$1,,,SUMPRODUCT(MAX(ROW(E$1:E3553)*(E2=E$1:E3553))))))</f>
        <v/>
      </c>
      <c r="K3554" s="24" t="str">
        <f aca="false">IF(OR(E3554="",E3554="!!!",F3554="NEW"),"",INDEX(J$1:J3553,SUMPRODUCT(MAX(ROW(E$1:E3553)*(E3554=E$1:E3553)))))</f>
        <v/>
      </c>
      <c r="L3554" s="31"/>
    </row>
    <row r="3555" customFormat="false" ht="15" hidden="false" customHeight="false" outlineLevel="0" collapsed="false">
      <c r="A3555" s="20" t="s">
        <v>923</v>
      </c>
      <c r="E3555" s="23" t="str">
        <f aca="false">IF(D3555="?OLD","!!!","")</f>
        <v/>
      </c>
      <c r="F3555" s="25" t="str">
        <f aca="false">IF(OR(E3555="",E3555="!!!"),"",IF(NOT(ISNA(VLOOKUP(E3555,E$1:E3554,1,FALSE()))),"OLD",IF(AND(E3555&lt;&gt;"",E3555&lt;&gt;"!!!"),"NEW","")))</f>
        <v/>
      </c>
      <c r="G3555" s="26" t="str">
        <f aca="false">IF(OR(E3555="",E3555="!!!"),"",IF(OR(J3555=0,AND(J3555=1,K3555=1),AND(J3555=1,I3555="SBJ"),AND(J3555=1,I3555=0)),"?IN_FOCUS",IF(J3555&lt;=2,"?ACTIVATED",IF(J3555&lt;&gt;"","?FAMILIAR",IF(F3555="NEW",IF(ISNA(VLOOKUP(E3555,#REF!,1,FALSE())),"?TYPE_IDENTIFIABLE","?REFERENTIAL"),"_")))))</f>
        <v/>
      </c>
      <c r="H3555" s="27" t="str">
        <f aca="false">IF(J3555&lt;&gt;1,"",IF(I3555="SBJ","CB","?"))</f>
        <v/>
      </c>
      <c r="I3555" s="24" t="str">
        <f aca="false">IF(OR(E3555="",E3555="!!!",F3555="NEW"),"",INDEX(B47:B$3509,-1+SUMPRODUCT(MAX(ROW(E47:E$3509)*(E3555=E47:E$3509)))))</f>
        <v/>
      </c>
      <c r="J3555" s="24" t="str">
        <f aca="true">IF(OR(E3555="",E3555="!!!",F3555="NEW"),"",COUNTBLANK(OFFSET(A$1,,,SUMPRODUCT(MAX(ROW(E$2:E3555)*(E3555=E$2:E3555)))))-COUNTBLANK(OFFSET(A$1,,,SUMPRODUCT(MAX(ROW(E$1:E3554)*(E2=E$1:E3554))))))</f>
        <v/>
      </c>
      <c r="K3555" s="24" t="str">
        <f aca="false">IF(OR(E3555="",E3555="!!!",F3555="NEW"),"",INDEX(J$1:J3554,SUMPRODUCT(MAX(ROW(E$1:E3554)*(E3555=E$1:E3554)))))</f>
        <v/>
      </c>
      <c r="L3555" s="31"/>
    </row>
    <row r="3556" customFormat="false" ht="15" hidden="false" customHeight="false" outlineLevel="0" collapsed="false">
      <c r="A3556" s="20"/>
    </row>
    <row r="3557" customFormat="false" ht="15" hidden="false" customHeight="false" outlineLevel="0" collapsed="false">
      <c r="A3557" s="20" t="s">
        <v>2191</v>
      </c>
    </row>
    <row r="3558" customFormat="false" ht="15" hidden="false" customHeight="false" outlineLevel="0" collapsed="false">
      <c r="A3558" s="20" t="s">
        <v>1731</v>
      </c>
      <c r="E3558" s="23" t="str">
        <f aca="false">IF(D3558="?OLD","!!!","")</f>
        <v/>
      </c>
      <c r="F3558" s="25" t="str">
        <f aca="false">IF(OR(E3558="",E3558="!!!"),"",IF(NOT(ISNA(VLOOKUP(E3558,E$1:E3557,1,FALSE()))),"OLD",IF(AND(E3558&lt;&gt;"",E3558&lt;&gt;"!!!"),"NEW","")))</f>
        <v/>
      </c>
      <c r="G3558" s="26" t="str">
        <f aca="false">IF(OR(E3558="",E3558="!!!"),"",IF(OR(J3558=0,AND(J3558=1,K3558=1),AND(J3558=1,I3558="SBJ"),AND(J3558=1,I3558=0)),"?IN_FOCUS",IF(J3558&lt;=2,"?ACTIVATED",IF(J3558&lt;&gt;"","?FAMILIAR",IF(F3558="NEW",IF(ISNA(VLOOKUP(E3558,#REF!,1,FALSE())),"?TYPE_IDENTIFIABLE","?REFERENTIAL"),"_")))))</f>
        <v/>
      </c>
      <c r="H3558" s="27" t="str">
        <f aca="false">IF(J3558&lt;&gt;1,"",IF(I3558="SBJ","CB","?"))</f>
        <v/>
      </c>
      <c r="I3558" s="24" t="str">
        <f aca="false">IF(OR(E3558="",E3558="!!!",F3558="NEW"),"",INDEX(B2:B$3557,-1+SUMPRODUCT(MAX(ROW(E2:E$3557)*(E3558=E2:E$3557)))))</f>
        <v/>
      </c>
      <c r="J3558" s="24" t="str">
        <f aca="true">IF(OR(E3558="",E3558="!!!",F3558="NEW"),"",COUNTBLANK(OFFSET(A$1,,,SUMPRODUCT(MAX(ROW(E$2:E3558)*(E3558=E$2:E3558)))))-COUNTBLANK(OFFSET(A$1,,,SUMPRODUCT(MAX(ROW(E$1:E3557)*(E2=E$1:E3557))))))</f>
        <v/>
      </c>
      <c r="K3558" s="24" t="str">
        <f aca="false">IF(OR(E3558="",E3558="!!!",F3558="NEW"),"",INDEX(J$1:J3557,SUMPRODUCT(MAX(ROW(E$1:E3557)*(E3558=E$1:E3557)))))</f>
        <v/>
      </c>
      <c r="L3558" s="31"/>
    </row>
    <row r="3559" customFormat="false" ht="15" hidden="false" customHeight="false" outlineLevel="0" collapsed="false">
      <c r="A3559" s="20" t="s">
        <v>1109</v>
      </c>
      <c r="E3559" s="23" t="str">
        <f aca="false">IF(D3559="?OLD","!!!","")</f>
        <v/>
      </c>
      <c r="F3559" s="25" t="str">
        <f aca="false">IF(OR(E3559="",E3559="!!!"),"",IF(NOT(ISNA(VLOOKUP(E3559,E$1:E3558,1,FALSE()))),"OLD",IF(AND(E3559&lt;&gt;"",E3559&lt;&gt;"!!!"),"NEW","")))</f>
        <v/>
      </c>
      <c r="G3559" s="26" t="str">
        <f aca="false">IF(OR(E3559="",E3559="!!!"),"",IF(OR(J3559=0,AND(J3559=1,K3559=1),AND(J3559=1,I3559="SBJ"),AND(J3559=1,I3559=0)),"?IN_FOCUS",IF(J3559&lt;=2,"?ACTIVATED",IF(J3559&lt;&gt;"","?FAMILIAR",IF(F3559="NEW",IF(ISNA(VLOOKUP(E3559,#REF!,1,FALSE())),"?TYPE_IDENTIFIABLE","?REFERENTIAL"),"_")))))</f>
        <v/>
      </c>
      <c r="H3559" s="27" t="str">
        <f aca="false">IF(J3559&lt;&gt;1,"",IF(I3559="SBJ","CB","?"))</f>
        <v/>
      </c>
      <c r="I3559" s="24" t="str">
        <f aca="false">IF(OR(E3559="",E3559="!!!",F3559="NEW"),"",INDEX(B3:B$3557,-1+SUMPRODUCT(MAX(ROW(E3:E$3557)*(E3559=E3:E$3557)))))</f>
        <v/>
      </c>
      <c r="J3559" s="24" t="str">
        <f aca="true">IF(OR(E3559="",E3559="!!!",F3559="NEW"),"",COUNTBLANK(OFFSET(A$1,,,SUMPRODUCT(MAX(ROW(E$2:E3559)*(E3559=E$2:E3559)))))-COUNTBLANK(OFFSET(A$1,,,SUMPRODUCT(MAX(ROW(E$1:E3558)*(E2=E$1:E3558))))))</f>
        <v/>
      </c>
      <c r="K3559" s="24" t="str">
        <f aca="false">IF(OR(E3559="",E3559="!!!",F3559="NEW"),"",INDEX(J$1:J3558,SUMPRODUCT(MAX(ROW(E$1:E3558)*(E3559=E$1:E3558)))))</f>
        <v/>
      </c>
      <c r="L3559" s="31"/>
    </row>
    <row r="3560" customFormat="false" ht="15" hidden="false" customHeight="false" outlineLevel="0" collapsed="false">
      <c r="A3560" s="20" t="s">
        <v>2192</v>
      </c>
      <c r="B3560" s="22" t="s">
        <v>1105</v>
      </c>
      <c r="C3560" s="22" t="s">
        <v>1059</v>
      </c>
      <c r="D3560" s="22" t="s">
        <v>1060</v>
      </c>
      <c r="E3560" s="23" t="str">
        <f aca="false">IF(D3560="?OLD","!!!","")</f>
        <v>!!!</v>
      </c>
      <c r="F3560" s="25" t="str">
        <f aca="false">IF(OR(E3560="",E3560="!!!"),"",IF(NOT(ISNA(VLOOKUP(E3560,E$1:E3559,1,FALSE()))),"OLD",IF(AND(E3560&lt;&gt;"",E3560&lt;&gt;"!!!"),"NEW","")))</f>
        <v/>
      </c>
      <c r="G3560" s="26" t="str">
        <f aca="false">IF(OR(E3560="",E3560="!!!"),"",IF(OR(J3560=0,AND(J3560=1,K3560=1),AND(J3560=1,I3560="SBJ"),AND(J3560=1,I3560=0)),"?IN_FOCUS",IF(J3560&lt;=2,"?ACTIVATED",IF(J3560&lt;&gt;"","?FAMILIAR",IF(F3560="NEW",IF(ISNA(VLOOKUP(E3560,#REF!,1,FALSE())),"?TYPE_IDENTIFIABLE","?REFERENTIAL"),"_")))))</f>
        <v/>
      </c>
      <c r="H3560" s="27" t="str">
        <f aca="false">IF(J3560&lt;&gt;1,"",IF(I3560="SBJ","CB","?"))</f>
        <v/>
      </c>
      <c r="I3560" s="24" t="str">
        <f aca="false">IF(OR(E3560="",E3560="!!!",F3560="NEW"),"",INDEX(B4:B$3557,-1+SUMPRODUCT(MAX(ROW(E4:E$3557)*(E3560=E4:E$3557)))))</f>
        <v/>
      </c>
      <c r="J3560" s="24" t="str">
        <f aca="true">IF(OR(E3560="",E3560="!!!",F3560="NEW"),"",COUNTBLANK(OFFSET(A$1,,,SUMPRODUCT(MAX(ROW(E$2:E3560)*(E3560=E$2:E3560)))))-COUNTBLANK(OFFSET(A$1,,,SUMPRODUCT(MAX(ROW(E$1:E3559)*(E2=E$1:E3559))))))</f>
        <v/>
      </c>
      <c r="K3560" s="24" t="str">
        <f aca="false">IF(OR(E3560="",E3560="!!!",F3560="NEW"),"",INDEX(J$1:J3559,SUMPRODUCT(MAX(ROW(E$1:E3559)*(E3560=E$1:E3559)))))</f>
        <v/>
      </c>
      <c r="L3560" s="31"/>
    </row>
    <row r="3561" customFormat="false" ht="15" hidden="false" customHeight="false" outlineLevel="0" collapsed="false">
      <c r="A3561" s="20" t="s">
        <v>1064</v>
      </c>
      <c r="E3561" s="23" t="str">
        <f aca="false">IF(D3561="?OLD","!!!","")</f>
        <v/>
      </c>
      <c r="F3561" s="25" t="str">
        <f aca="false">IF(OR(E3561="",E3561="!!!"),"",IF(NOT(ISNA(VLOOKUP(E3561,E$1:E3560,1,FALSE()))),"OLD",IF(AND(E3561&lt;&gt;"",E3561&lt;&gt;"!!!"),"NEW","")))</f>
        <v/>
      </c>
      <c r="G3561" s="26" t="str">
        <f aca="false">IF(OR(E3561="",E3561="!!!"),"",IF(OR(J3561=0,AND(J3561=1,K3561=1),AND(J3561=1,I3561="SBJ"),AND(J3561=1,I3561=0)),"?IN_FOCUS",IF(J3561&lt;=2,"?ACTIVATED",IF(J3561&lt;&gt;"","?FAMILIAR",IF(F3561="NEW",IF(ISNA(VLOOKUP(E3561,#REF!,1,FALSE())),"?TYPE_IDENTIFIABLE","?REFERENTIAL"),"_")))))</f>
        <v/>
      </c>
      <c r="H3561" s="27" t="str">
        <f aca="false">IF(J3561&lt;&gt;1,"",IF(I3561="SBJ","CB","?"))</f>
        <v/>
      </c>
      <c r="I3561" s="24" t="str">
        <f aca="false">IF(OR(E3561="",E3561="!!!",F3561="NEW"),"",INDEX(B5:B$3557,-1+SUMPRODUCT(MAX(ROW(E5:E$3557)*(E3561=E5:E$3557)))))</f>
        <v/>
      </c>
      <c r="J3561" s="24" t="str">
        <f aca="true">IF(OR(E3561="",E3561="!!!",F3561="NEW"),"",COUNTBLANK(OFFSET(A$1,,,SUMPRODUCT(MAX(ROW(E$2:E3561)*(E3561=E$2:E3561)))))-COUNTBLANK(OFFSET(A$1,,,SUMPRODUCT(MAX(ROW(E$1:E3560)*(E2=E$1:E3560))))))</f>
        <v/>
      </c>
      <c r="K3561" s="24" t="str">
        <f aca="false">IF(OR(E3561="",E3561="!!!",F3561="NEW"),"",INDEX(J$1:J3560,SUMPRODUCT(MAX(ROW(E$1:E3560)*(E3561=E$1:E3560)))))</f>
        <v/>
      </c>
      <c r="L3561" s="31"/>
    </row>
    <row r="3562" customFormat="false" ht="15" hidden="false" customHeight="false" outlineLevel="0" collapsed="false">
      <c r="A3562" s="20" t="s">
        <v>1339</v>
      </c>
      <c r="E3562" s="23" t="str">
        <f aca="false">IF(D3562="?OLD","!!!","")</f>
        <v/>
      </c>
      <c r="F3562" s="25" t="str">
        <f aca="false">IF(OR(E3562="",E3562="!!!"),"",IF(NOT(ISNA(VLOOKUP(E3562,E$1:E3561,1,FALSE()))),"OLD",IF(AND(E3562&lt;&gt;"",E3562&lt;&gt;"!!!"),"NEW","")))</f>
        <v/>
      </c>
      <c r="G3562" s="26" t="str">
        <f aca="false">IF(OR(E3562="",E3562="!!!"),"",IF(OR(J3562=0,AND(J3562=1,K3562=1),AND(J3562=1,I3562="SBJ"),AND(J3562=1,I3562=0)),"?IN_FOCUS",IF(J3562&lt;=2,"?ACTIVATED",IF(J3562&lt;&gt;"","?FAMILIAR",IF(F3562="NEW",IF(ISNA(VLOOKUP(E3562,#REF!,1,FALSE())),"?TYPE_IDENTIFIABLE","?REFERENTIAL"),"_")))))</f>
        <v/>
      </c>
      <c r="H3562" s="27" t="str">
        <f aca="false">IF(J3562&lt;&gt;1,"",IF(I3562="SBJ","CB","?"))</f>
        <v/>
      </c>
      <c r="I3562" s="24" t="str">
        <f aca="false">IF(OR(E3562="",E3562="!!!",F3562="NEW"),"",INDEX(B6:B$3557,-1+SUMPRODUCT(MAX(ROW(E6:E$3557)*(E3562=E6:E$3557)))))</f>
        <v/>
      </c>
      <c r="J3562" s="24" t="str">
        <f aca="true">IF(OR(E3562="",E3562="!!!",F3562="NEW"),"",COUNTBLANK(OFFSET(A$1,,,SUMPRODUCT(MAX(ROW(E$2:E3562)*(E3562=E$2:E3562)))))-COUNTBLANK(OFFSET(A$1,,,SUMPRODUCT(MAX(ROW(E$1:E3561)*(E2=E$1:E3561))))))</f>
        <v/>
      </c>
      <c r="K3562" s="24" t="str">
        <f aca="false">IF(OR(E3562="",E3562="!!!",F3562="NEW"),"",INDEX(J$1:J3561,SUMPRODUCT(MAX(ROW(E$1:E3561)*(E3562=E$1:E3561)))))</f>
        <v/>
      </c>
      <c r="L3562" s="31"/>
    </row>
    <row r="3563" customFormat="false" ht="15" hidden="false" customHeight="false" outlineLevel="0" collapsed="false">
      <c r="A3563" s="20" t="s">
        <v>1436</v>
      </c>
      <c r="B3563" s="22" t="s">
        <v>1073</v>
      </c>
      <c r="C3563" s="22" t="s">
        <v>1171</v>
      </c>
      <c r="D3563" s="22" t="s">
        <v>1060</v>
      </c>
      <c r="E3563" s="23" t="str">
        <f aca="false">IF(D3563="?OLD","!!!","")</f>
        <v>!!!</v>
      </c>
      <c r="F3563" s="25" t="str">
        <f aca="false">IF(OR(E3563="",E3563="!!!"),"",IF(NOT(ISNA(VLOOKUP(E3563,E$1:E3562,1,FALSE()))),"OLD",IF(AND(E3563&lt;&gt;"",E3563&lt;&gt;"!!!"),"NEW","")))</f>
        <v/>
      </c>
      <c r="G3563" s="26" t="str">
        <f aca="false">IF(OR(E3563="",E3563="!!!"),"",IF(OR(J3563=0,AND(J3563=1,K3563=1),AND(J3563=1,I3563="SBJ"),AND(J3563=1,I3563=0)),"?IN_FOCUS",IF(J3563&lt;=2,"?ACTIVATED",IF(J3563&lt;&gt;"","?FAMILIAR",IF(F3563="NEW",IF(ISNA(VLOOKUP(E3563,#REF!,1,FALSE())),"?TYPE_IDENTIFIABLE","?REFERENTIAL"),"_")))))</f>
        <v/>
      </c>
      <c r="H3563" s="27" t="str">
        <f aca="false">IF(J3563&lt;&gt;1,"",IF(I3563="SBJ","CB","?"))</f>
        <v/>
      </c>
      <c r="I3563" s="24" t="str">
        <f aca="false">IF(OR(E3563="",E3563="!!!",F3563="NEW"),"",INDEX(B7:B$3557,-1+SUMPRODUCT(MAX(ROW(E7:E$3557)*(E3563=E7:E$3557)))))</f>
        <v/>
      </c>
      <c r="J3563" s="24" t="str">
        <f aca="true">IF(OR(E3563="",E3563="!!!",F3563="NEW"),"",COUNTBLANK(OFFSET(A$1,,,SUMPRODUCT(MAX(ROW(E$2:E3563)*(E3563=E$2:E3563)))))-COUNTBLANK(OFFSET(A$1,,,SUMPRODUCT(MAX(ROW(E$1:E3562)*(E2=E$1:E3562))))))</f>
        <v/>
      </c>
      <c r="K3563" s="24" t="str">
        <f aca="false">IF(OR(E3563="",E3563="!!!",F3563="NEW"),"",INDEX(J$1:J3562,SUMPRODUCT(MAX(ROW(E$1:E3562)*(E3563=E$1:E3562)))))</f>
        <v/>
      </c>
      <c r="L3563" s="31"/>
    </row>
    <row r="3564" customFormat="false" ht="15" hidden="false" customHeight="false" outlineLevel="0" collapsed="false">
      <c r="A3564" s="20" t="s">
        <v>1555</v>
      </c>
      <c r="E3564" s="23" t="str">
        <f aca="false">IF(D3564="?OLD","!!!","")</f>
        <v/>
      </c>
      <c r="F3564" s="25" t="str">
        <f aca="false">IF(OR(E3564="",E3564="!!!"),"",IF(NOT(ISNA(VLOOKUP(E3564,E$1:E3563,1,FALSE()))),"OLD",IF(AND(E3564&lt;&gt;"",E3564&lt;&gt;"!!!"),"NEW","")))</f>
        <v/>
      </c>
      <c r="G3564" s="26" t="str">
        <f aca="false">IF(OR(E3564="",E3564="!!!"),"",IF(OR(J3564=0,AND(J3564=1,K3564=1),AND(J3564=1,I3564="SBJ"),AND(J3564=1,I3564=0)),"?IN_FOCUS",IF(J3564&lt;=2,"?ACTIVATED",IF(J3564&lt;&gt;"","?FAMILIAR",IF(F3564="NEW",IF(ISNA(VLOOKUP(E3564,#REF!,1,FALSE())),"?TYPE_IDENTIFIABLE","?REFERENTIAL"),"_")))))</f>
        <v/>
      </c>
      <c r="H3564" s="27" t="str">
        <f aca="false">IF(J3564&lt;&gt;1,"",IF(I3564="SBJ","CB","?"))</f>
        <v/>
      </c>
      <c r="I3564" s="24" t="str">
        <f aca="false">IF(OR(E3564="",E3564="!!!",F3564="NEW"),"",INDEX(B8:B$3557,-1+SUMPRODUCT(MAX(ROW(E8:E$3557)*(E3564=E8:E$3557)))))</f>
        <v/>
      </c>
      <c r="J3564" s="24" t="str">
        <f aca="true">IF(OR(E3564="",E3564="!!!",F3564="NEW"),"",COUNTBLANK(OFFSET(A$1,,,SUMPRODUCT(MAX(ROW(E$2:E3564)*(E3564=E$2:E3564)))))-COUNTBLANK(OFFSET(A$1,,,SUMPRODUCT(MAX(ROW(E$1:E3563)*(E2=E$1:E3563))))))</f>
        <v/>
      </c>
      <c r="K3564" s="24" t="str">
        <f aca="false">IF(OR(E3564="",E3564="!!!",F3564="NEW"),"",INDEX(J$1:J3563,SUMPRODUCT(MAX(ROW(E$1:E3563)*(E3564=E$1:E3563)))))</f>
        <v/>
      </c>
      <c r="L3564" s="31"/>
    </row>
    <row r="3565" customFormat="false" ht="15" hidden="false" customHeight="false" outlineLevel="0" collapsed="false">
      <c r="A3565" s="20" t="s">
        <v>1092</v>
      </c>
      <c r="E3565" s="23" t="str">
        <f aca="false">IF(D3565="?OLD","!!!","")</f>
        <v/>
      </c>
      <c r="F3565" s="25" t="str">
        <f aca="false">IF(OR(E3565="",E3565="!!!"),"",IF(NOT(ISNA(VLOOKUP(E3565,E$1:E3564,1,FALSE()))),"OLD",IF(AND(E3565&lt;&gt;"",E3565&lt;&gt;"!!!"),"NEW","")))</f>
        <v/>
      </c>
      <c r="G3565" s="26" t="str">
        <f aca="false">IF(OR(E3565="",E3565="!!!"),"",IF(OR(J3565=0,AND(J3565=1,K3565=1),AND(J3565=1,I3565="SBJ"),AND(J3565=1,I3565=0)),"?IN_FOCUS",IF(J3565&lt;=2,"?ACTIVATED",IF(J3565&lt;&gt;"","?FAMILIAR",IF(F3565="NEW",IF(ISNA(VLOOKUP(E3565,#REF!,1,FALSE())),"?TYPE_IDENTIFIABLE","?REFERENTIAL"),"_")))))</f>
        <v/>
      </c>
      <c r="H3565" s="27" t="str">
        <f aca="false">IF(J3565&lt;&gt;1,"",IF(I3565="SBJ","CB","?"))</f>
        <v/>
      </c>
      <c r="I3565" s="24" t="str">
        <f aca="false">IF(OR(E3565="",E3565="!!!",F3565="NEW"),"",INDEX(B9:B$3557,-1+SUMPRODUCT(MAX(ROW(E9:E$3557)*(E3565=E9:E$3557)))))</f>
        <v/>
      </c>
      <c r="J3565" s="24" t="str">
        <f aca="true">IF(OR(E3565="",E3565="!!!",F3565="NEW"),"",COUNTBLANK(OFFSET(A$1,,,SUMPRODUCT(MAX(ROW(E$2:E3565)*(E3565=E$2:E3565)))))-COUNTBLANK(OFFSET(A$1,,,SUMPRODUCT(MAX(ROW(E$1:E3564)*(E2=E$1:E3564))))))</f>
        <v/>
      </c>
      <c r="K3565" s="24" t="str">
        <f aca="false">IF(OR(E3565="",E3565="!!!",F3565="NEW"),"",INDEX(J$1:J3564,SUMPRODUCT(MAX(ROW(E$1:E3564)*(E3565=E$1:E3564)))))</f>
        <v/>
      </c>
      <c r="L3565" s="31"/>
    </row>
    <row r="3566" customFormat="false" ht="15" hidden="false" customHeight="false" outlineLevel="0" collapsed="false">
      <c r="A3566" s="20" t="s">
        <v>1399</v>
      </c>
      <c r="E3566" s="23" t="str">
        <f aca="false">IF(D3566="?OLD","!!!","")</f>
        <v/>
      </c>
      <c r="F3566" s="25" t="str">
        <f aca="false">IF(OR(E3566="",E3566="!!!"),"",IF(NOT(ISNA(VLOOKUP(E3566,E$1:E3565,1,FALSE()))),"OLD",IF(AND(E3566&lt;&gt;"",E3566&lt;&gt;"!!!"),"NEW","")))</f>
        <v/>
      </c>
      <c r="G3566" s="26" t="str">
        <f aca="false">IF(OR(E3566="",E3566="!!!"),"",IF(OR(J3566=0,AND(J3566=1,K3566=1),AND(J3566=1,I3566="SBJ"),AND(J3566=1,I3566=0)),"?IN_FOCUS",IF(J3566&lt;=2,"?ACTIVATED",IF(J3566&lt;&gt;"","?FAMILIAR",IF(F3566="NEW",IF(ISNA(VLOOKUP(E3566,#REF!,1,FALSE())),"?TYPE_IDENTIFIABLE","?REFERENTIAL"),"_")))))</f>
        <v/>
      </c>
      <c r="H3566" s="27" t="str">
        <f aca="false">IF(J3566&lt;&gt;1,"",IF(I3566="SBJ","CB","?"))</f>
        <v/>
      </c>
      <c r="I3566" s="24" t="str">
        <f aca="false">IF(OR(E3566="",E3566="!!!",F3566="NEW"),"",INDEX(B10:B$3557,-1+SUMPRODUCT(MAX(ROW(E10:E$3557)*(E3566=E10:E$3557)))))</f>
        <v/>
      </c>
      <c r="J3566" s="24" t="str">
        <f aca="true">IF(OR(E3566="",E3566="!!!",F3566="NEW"),"",COUNTBLANK(OFFSET(A$1,,,SUMPRODUCT(MAX(ROW(E$2:E3566)*(E3566=E$2:E3566)))))-COUNTBLANK(OFFSET(A$1,,,SUMPRODUCT(MAX(ROW(E$1:E3565)*(E2=E$1:E3565))))))</f>
        <v/>
      </c>
      <c r="K3566" s="24" t="str">
        <f aca="false">IF(OR(E3566="",E3566="!!!",F3566="NEW"),"",INDEX(J$1:J3565,SUMPRODUCT(MAX(ROW(E$1:E3565)*(E3566=E$1:E3565)))))</f>
        <v/>
      </c>
      <c r="L3566" s="31"/>
    </row>
    <row r="3567" customFormat="false" ht="15" hidden="false" customHeight="false" outlineLevel="0" collapsed="false">
      <c r="A3567" s="20" t="s">
        <v>2193</v>
      </c>
      <c r="E3567" s="23" t="str">
        <f aca="false">IF(D3567="?OLD","!!!","")</f>
        <v/>
      </c>
      <c r="F3567" s="25" t="str">
        <f aca="false">IF(OR(E3567="",E3567="!!!"),"",IF(NOT(ISNA(VLOOKUP(E3567,E$1:E3566,1,FALSE()))),"OLD",IF(AND(E3567&lt;&gt;"",E3567&lt;&gt;"!!!"),"NEW","")))</f>
        <v/>
      </c>
      <c r="G3567" s="26" t="str">
        <f aca="false">IF(OR(E3567="",E3567="!!!"),"",IF(OR(J3567=0,AND(J3567=1,K3567=1),AND(J3567=1,I3567="SBJ"),AND(J3567=1,I3567=0)),"?IN_FOCUS",IF(J3567&lt;=2,"?ACTIVATED",IF(J3567&lt;&gt;"","?FAMILIAR",IF(F3567="NEW",IF(ISNA(VLOOKUP(E3567,#REF!,1,FALSE())),"?TYPE_IDENTIFIABLE","?REFERENTIAL"),"_")))))</f>
        <v/>
      </c>
      <c r="H3567" s="27" t="str">
        <f aca="false">IF(J3567&lt;&gt;1,"",IF(I3567="SBJ","CB","?"))</f>
        <v/>
      </c>
      <c r="I3567" s="24" t="str">
        <f aca="false">IF(OR(E3567="",E3567="!!!",F3567="NEW"),"",INDEX(B11:B$3557,-1+SUMPRODUCT(MAX(ROW(E11:E$3557)*(E3567=E11:E$3557)))))</f>
        <v/>
      </c>
      <c r="J3567" s="24" t="str">
        <f aca="true">IF(OR(E3567="",E3567="!!!",F3567="NEW"),"",COUNTBLANK(OFFSET(A$1,,,SUMPRODUCT(MAX(ROW(E$2:E3567)*(E3567=E$2:E3567)))))-COUNTBLANK(OFFSET(A$1,,,SUMPRODUCT(MAX(ROW(E$1:E3566)*(E2=E$1:E3566))))))</f>
        <v/>
      </c>
      <c r="K3567" s="24" t="str">
        <f aca="false">IF(OR(E3567="",E3567="!!!",F3567="NEW"),"",INDEX(J$1:J3566,SUMPRODUCT(MAX(ROW(E$1:E3566)*(E3567=E$1:E3566)))))</f>
        <v/>
      </c>
      <c r="L3567" s="31"/>
    </row>
    <row r="3568" customFormat="false" ht="15" hidden="false" customHeight="false" outlineLevel="0" collapsed="false">
      <c r="A3568" s="20" t="s">
        <v>2194</v>
      </c>
      <c r="B3568" s="22" t="s">
        <v>1058</v>
      </c>
      <c r="C3568" s="22" t="s">
        <v>1087</v>
      </c>
      <c r="E3568" s="23" t="str">
        <f aca="false">IF(D3568="?OLD","!!!","")</f>
        <v/>
      </c>
      <c r="F3568" s="25" t="str">
        <f aca="false">IF(OR(E3568="",E3568="!!!"),"",IF(NOT(ISNA(VLOOKUP(E3568,E$1:E3567,1,FALSE()))),"OLD",IF(AND(E3568&lt;&gt;"",E3568&lt;&gt;"!!!"),"NEW","")))</f>
        <v/>
      </c>
      <c r="G3568" s="26" t="str">
        <f aca="false">IF(OR(E3568="",E3568="!!!"),"",IF(OR(J3568=0,AND(J3568=1,K3568=1),AND(J3568=1,I3568="SBJ"),AND(J3568=1,I3568=0)),"?IN_FOCUS",IF(J3568&lt;=2,"?ACTIVATED",IF(J3568&lt;&gt;"","?FAMILIAR",IF(F3568="NEW",IF(ISNA(VLOOKUP(E3568,#REF!,1,FALSE())),"?TYPE_IDENTIFIABLE","?REFERENTIAL"),"_")))))</f>
        <v/>
      </c>
      <c r="H3568" s="27" t="str">
        <f aca="false">IF(J3568&lt;&gt;1,"",IF(I3568="SBJ","CB","?"))</f>
        <v/>
      </c>
      <c r="I3568" s="24" t="str">
        <f aca="false">IF(OR(E3568="",E3568="!!!",F3568="NEW"),"",INDEX(B12:B$3557,-1+SUMPRODUCT(MAX(ROW(E12:E$3557)*(E3568=E12:E$3557)))))</f>
        <v/>
      </c>
      <c r="J3568" s="24" t="str">
        <f aca="true">IF(OR(E3568="",E3568="!!!",F3568="NEW"),"",COUNTBLANK(OFFSET(A$1,,,SUMPRODUCT(MAX(ROW(E$2:E3568)*(E3568=E$2:E3568)))))-COUNTBLANK(OFFSET(A$1,,,SUMPRODUCT(MAX(ROW(E$1:E3567)*(E2=E$1:E3567))))))</f>
        <v/>
      </c>
      <c r="K3568" s="24" t="str">
        <f aca="false">IF(OR(E3568="",E3568="!!!",F3568="NEW"),"",INDEX(J$1:J3567,SUMPRODUCT(MAX(ROW(E$1:E3567)*(E3568=E$1:E3567)))))</f>
        <v/>
      </c>
      <c r="L3568" s="31"/>
    </row>
    <row r="3569" customFormat="false" ht="15" hidden="false" customHeight="false" outlineLevel="0" collapsed="false">
      <c r="A3569" s="20" t="s">
        <v>1076</v>
      </c>
      <c r="E3569" s="23" t="str">
        <f aca="false">IF(D3569="?OLD","!!!","")</f>
        <v/>
      </c>
      <c r="F3569" s="25" t="str">
        <f aca="false">IF(OR(E3569="",E3569="!!!"),"",IF(NOT(ISNA(VLOOKUP(E3569,E$1:E3568,1,FALSE()))),"OLD",IF(AND(E3569&lt;&gt;"",E3569&lt;&gt;"!!!"),"NEW","")))</f>
        <v/>
      </c>
      <c r="G3569" s="26" t="str">
        <f aca="false">IF(OR(E3569="",E3569="!!!"),"",IF(OR(J3569=0,AND(J3569=1,K3569=1),AND(J3569=1,I3569="SBJ"),AND(J3569=1,I3569=0)),"?IN_FOCUS",IF(J3569&lt;=2,"?ACTIVATED",IF(J3569&lt;&gt;"","?FAMILIAR",IF(F3569="NEW",IF(ISNA(VLOOKUP(E3569,#REF!,1,FALSE())),"?TYPE_IDENTIFIABLE","?REFERENTIAL"),"_")))))</f>
        <v/>
      </c>
      <c r="H3569" s="27" t="str">
        <f aca="false">IF(J3569&lt;&gt;1,"",IF(I3569="SBJ","CB","?"))</f>
        <v/>
      </c>
      <c r="I3569" s="24" t="str">
        <f aca="false">IF(OR(E3569="",E3569="!!!",F3569="NEW"),"",INDEX(B13:B$3557,-1+SUMPRODUCT(MAX(ROW(E13:E$3557)*(E3569=E13:E$3557)))))</f>
        <v/>
      </c>
      <c r="J3569" s="24" t="str">
        <f aca="true">IF(OR(E3569="",E3569="!!!",F3569="NEW"),"",COUNTBLANK(OFFSET(A$1,,,SUMPRODUCT(MAX(ROW(E$2:E3569)*(E3569=E$2:E3569)))))-COUNTBLANK(OFFSET(A$1,,,SUMPRODUCT(MAX(ROW(E$1:E3568)*(E2=E$1:E3568))))))</f>
        <v/>
      </c>
      <c r="K3569" s="24" t="str">
        <f aca="false">IF(OR(E3569="",E3569="!!!",F3569="NEW"),"",INDEX(J$1:J3568,SUMPRODUCT(MAX(ROW(E$1:E3568)*(E3569=E$1:E3568)))))</f>
        <v/>
      </c>
      <c r="L3569" s="31"/>
    </row>
    <row r="3570" customFormat="false" ht="15" hidden="false" customHeight="false" outlineLevel="0" collapsed="false">
      <c r="A3570" s="20" t="s">
        <v>1125</v>
      </c>
      <c r="B3570" s="22" t="s">
        <v>1091</v>
      </c>
      <c r="E3570" s="23" t="str">
        <f aca="false">IF(D3570="?OLD","!!!","")</f>
        <v/>
      </c>
      <c r="F3570" s="25" t="str">
        <f aca="false">IF(OR(E3570="",E3570="!!!"),"",IF(NOT(ISNA(VLOOKUP(E3570,E$1:E3569,1,FALSE()))),"OLD",IF(AND(E3570&lt;&gt;"",E3570&lt;&gt;"!!!"),"NEW","")))</f>
        <v/>
      </c>
      <c r="G3570" s="26" t="str">
        <f aca="false">IF(OR(E3570="",E3570="!!!"),"",IF(OR(J3570=0,AND(J3570=1,K3570=1),AND(J3570=1,I3570="SBJ"),AND(J3570=1,I3570=0)),"?IN_FOCUS",IF(J3570&lt;=2,"?ACTIVATED",IF(J3570&lt;&gt;"","?FAMILIAR",IF(F3570="NEW",IF(ISNA(VLOOKUP(E3570,#REF!,1,FALSE())),"?TYPE_IDENTIFIABLE","?REFERENTIAL"),"_")))))</f>
        <v/>
      </c>
      <c r="H3570" s="27" t="str">
        <f aca="false">IF(J3570&lt;&gt;1,"",IF(I3570="SBJ","CB","?"))</f>
        <v/>
      </c>
      <c r="I3570" s="24" t="str">
        <f aca="false">IF(OR(E3570="",E3570="!!!",F3570="NEW"),"",INDEX(B14:B$3557,-1+SUMPRODUCT(MAX(ROW(E14:E$3557)*(E3570=E14:E$3557)))))</f>
        <v/>
      </c>
      <c r="J3570" s="24" t="str">
        <f aca="true">IF(OR(E3570="",E3570="!!!",F3570="NEW"),"",COUNTBLANK(OFFSET(A$1,,,SUMPRODUCT(MAX(ROW(E$2:E3570)*(E3570=E$2:E3570)))))-COUNTBLANK(OFFSET(A$1,,,SUMPRODUCT(MAX(ROW(E$1:E3569)*(E2=E$1:E3569))))))</f>
        <v/>
      </c>
      <c r="K3570" s="24" t="str">
        <f aca="false">IF(OR(E3570="",E3570="!!!",F3570="NEW"),"",INDEX(J$1:J3569,SUMPRODUCT(MAX(ROW(E$1:E3569)*(E3570=E$1:E3569)))))</f>
        <v/>
      </c>
      <c r="L3570" s="31"/>
    </row>
    <row r="3571" customFormat="false" ht="15" hidden="false" customHeight="false" outlineLevel="0" collapsed="false">
      <c r="A3571" s="20" t="s">
        <v>1164</v>
      </c>
      <c r="E3571" s="23" t="str">
        <f aca="false">IF(D3571="?OLD","!!!","")</f>
        <v/>
      </c>
      <c r="F3571" s="25" t="str">
        <f aca="false">IF(OR(E3571="",E3571="!!!"),"",IF(NOT(ISNA(VLOOKUP(E3571,E$1:E3570,1,FALSE()))),"OLD",IF(AND(E3571&lt;&gt;"",E3571&lt;&gt;"!!!"),"NEW","")))</f>
        <v/>
      </c>
      <c r="G3571" s="26" t="str">
        <f aca="false">IF(OR(E3571="",E3571="!!!"),"",IF(OR(J3571=0,AND(J3571=1,K3571=1),AND(J3571=1,I3571="SBJ"),AND(J3571=1,I3571=0)),"?IN_FOCUS",IF(J3571&lt;=2,"?ACTIVATED",IF(J3571&lt;&gt;"","?FAMILIAR",IF(F3571="NEW",IF(ISNA(VLOOKUP(E3571,#REF!,1,FALSE())),"?TYPE_IDENTIFIABLE","?REFERENTIAL"),"_")))))</f>
        <v/>
      </c>
      <c r="H3571" s="27" t="str">
        <f aca="false">IF(J3571&lt;&gt;1,"",IF(I3571="SBJ","CB","?"))</f>
        <v/>
      </c>
      <c r="I3571" s="24" t="str">
        <f aca="false">IF(OR(E3571="",E3571="!!!",F3571="NEW"),"",INDEX(B15:B$3557,-1+SUMPRODUCT(MAX(ROW(E15:E$3557)*(E3571=E15:E$3557)))))</f>
        <v/>
      </c>
      <c r="J3571" s="24" t="str">
        <f aca="true">IF(OR(E3571="",E3571="!!!",F3571="NEW"),"",COUNTBLANK(OFFSET(A$1,,,SUMPRODUCT(MAX(ROW(E$2:E3571)*(E3571=E$2:E3571)))))-COUNTBLANK(OFFSET(A$1,,,SUMPRODUCT(MAX(ROW(E$1:E3570)*(E2=E$1:E3570))))))</f>
        <v/>
      </c>
      <c r="K3571" s="24" t="str">
        <f aca="false">IF(OR(E3571="",E3571="!!!",F3571="NEW"),"",INDEX(J$1:J3570,SUMPRODUCT(MAX(ROW(E$1:E3570)*(E3571=E$1:E3570)))))</f>
        <v/>
      </c>
      <c r="L3571" s="31"/>
    </row>
    <row r="3572" customFormat="false" ht="15" hidden="false" customHeight="false" outlineLevel="0" collapsed="false">
      <c r="A3572" s="20" t="s">
        <v>1414</v>
      </c>
      <c r="E3572" s="23" t="str">
        <f aca="false">IF(D3572="?OLD","!!!","")</f>
        <v/>
      </c>
      <c r="F3572" s="25" t="str">
        <f aca="false">IF(OR(E3572="",E3572="!!!"),"",IF(NOT(ISNA(VLOOKUP(E3572,E$1:E3571,1,FALSE()))),"OLD",IF(AND(E3572&lt;&gt;"",E3572&lt;&gt;"!!!"),"NEW","")))</f>
        <v/>
      </c>
      <c r="G3572" s="26" t="str">
        <f aca="false">IF(OR(E3572="",E3572="!!!"),"",IF(OR(J3572=0,AND(J3572=1,K3572=1),AND(J3572=1,I3572="SBJ"),AND(J3572=1,I3572=0)),"?IN_FOCUS",IF(J3572&lt;=2,"?ACTIVATED",IF(J3572&lt;&gt;"","?FAMILIAR",IF(F3572="NEW",IF(ISNA(VLOOKUP(E3572,#REF!,1,FALSE())),"?TYPE_IDENTIFIABLE","?REFERENTIAL"),"_")))))</f>
        <v/>
      </c>
      <c r="H3572" s="27" t="str">
        <f aca="false">IF(J3572&lt;&gt;1,"",IF(I3572="SBJ","CB","?"))</f>
        <v/>
      </c>
      <c r="I3572" s="24" t="str">
        <f aca="false">IF(OR(E3572="",E3572="!!!",F3572="NEW"),"",INDEX(B16:B$3557,-1+SUMPRODUCT(MAX(ROW(E16:E$3557)*(E3572=E16:E$3557)))))</f>
        <v/>
      </c>
      <c r="J3572" s="24" t="str">
        <f aca="true">IF(OR(E3572="",E3572="!!!",F3572="NEW"),"",COUNTBLANK(OFFSET(A$1,,,SUMPRODUCT(MAX(ROW(E$2:E3572)*(E3572=E$2:E3572)))))-COUNTBLANK(OFFSET(A$1,,,SUMPRODUCT(MAX(ROW(E$1:E3571)*(E2=E$1:E3571))))))</f>
        <v/>
      </c>
      <c r="K3572" s="24" t="str">
        <f aca="false">IF(OR(E3572="",E3572="!!!",F3572="NEW"),"",INDEX(J$1:J3571,SUMPRODUCT(MAX(ROW(E$1:E3571)*(E3572=E$1:E3571)))))</f>
        <v/>
      </c>
      <c r="L3572" s="31"/>
    </row>
    <row r="3573" customFormat="false" ht="15" hidden="false" customHeight="false" outlineLevel="0" collapsed="false">
      <c r="A3573" s="20" t="s">
        <v>2037</v>
      </c>
      <c r="E3573" s="23" t="str">
        <f aca="false">IF(D3573="?OLD","!!!","")</f>
        <v/>
      </c>
      <c r="F3573" s="25" t="str">
        <f aca="false">IF(OR(E3573="",E3573="!!!"),"",IF(NOT(ISNA(VLOOKUP(E3573,E$1:E3572,1,FALSE()))),"OLD",IF(AND(E3573&lt;&gt;"",E3573&lt;&gt;"!!!"),"NEW","")))</f>
        <v/>
      </c>
      <c r="G3573" s="26" t="str">
        <f aca="false">IF(OR(E3573="",E3573="!!!"),"",IF(OR(J3573=0,AND(J3573=1,K3573=1),AND(J3573=1,I3573="SBJ"),AND(J3573=1,I3573=0)),"?IN_FOCUS",IF(J3573&lt;=2,"?ACTIVATED",IF(J3573&lt;&gt;"","?FAMILIAR",IF(F3573="NEW",IF(ISNA(VLOOKUP(E3573,#REF!,1,FALSE())),"?TYPE_IDENTIFIABLE","?REFERENTIAL"),"_")))))</f>
        <v/>
      </c>
      <c r="H3573" s="27" t="str">
        <f aca="false">IF(J3573&lt;&gt;1,"",IF(I3573="SBJ","CB","?"))</f>
        <v/>
      </c>
      <c r="I3573" s="24" t="str">
        <f aca="false">IF(OR(E3573="",E3573="!!!",F3573="NEW"),"",INDEX(B17:B$3557,-1+SUMPRODUCT(MAX(ROW(E17:E$3557)*(E3573=E17:E$3557)))))</f>
        <v/>
      </c>
      <c r="J3573" s="24" t="str">
        <f aca="true">IF(OR(E3573="",E3573="!!!",F3573="NEW"),"",COUNTBLANK(OFFSET(A$1,,,SUMPRODUCT(MAX(ROW(E$2:E3573)*(E3573=E$2:E3573)))))-COUNTBLANK(OFFSET(A$1,,,SUMPRODUCT(MAX(ROW(E$1:E3572)*(E2=E$1:E3572))))))</f>
        <v/>
      </c>
      <c r="K3573" s="24" t="str">
        <f aca="false">IF(OR(E3573="",E3573="!!!",F3573="NEW"),"",INDEX(J$1:J3572,SUMPRODUCT(MAX(ROW(E$1:E3572)*(E3573=E$1:E3572)))))</f>
        <v/>
      </c>
      <c r="L3573" s="31"/>
    </row>
    <row r="3574" customFormat="false" ht="15" hidden="false" customHeight="false" outlineLevel="0" collapsed="false">
      <c r="A3574" s="20" t="s">
        <v>1184</v>
      </c>
      <c r="E3574" s="23" t="str">
        <f aca="false">IF(D3574="?OLD","!!!","")</f>
        <v/>
      </c>
      <c r="F3574" s="25" t="str">
        <f aca="false">IF(OR(E3574="",E3574="!!!"),"",IF(NOT(ISNA(VLOOKUP(E3574,E$1:E3573,1,FALSE()))),"OLD",IF(AND(E3574&lt;&gt;"",E3574&lt;&gt;"!!!"),"NEW","")))</f>
        <v/>
      </c>
      <c r="G3574" s="26" t="str">
        <f aca="false">IF(OR(E3574="",E3574="!!!"),"",IF(OR(J3574=0,AND(J3574=1,K3574=1),AND(J3574=1,I3574="SBJ"),AND(J3574=1,I3574=0)),"?IN_FOCUS",IF(J3574&lt;=2,"?ACTIVATED",IF(J3574&lt;&gt;"","?FAMILIAR",IF(F3574="NEW",IF(ISNA(VLOOKUP(E3574,#REF!,1,FALSE())),"?TYPE_IDENTIFIABLE","?REFERENTIAL"),"_")))))</f>
        <v/>
      </c>
      <c r="H3574" s="27" t="str">
        <f aca="false">IF(J3574&lt;&gt;1,"",IF(I3574="SBJ","CB","?"))</f>
        <v/>
      </c>
      <c r="I3574" s="24" t="str">
        <f aca="false">IF(OR(E3574="",E3574="!!!",F3574="NEW"),"",INDEX(B18:B$3557,-1+SUMPRODUCT(MAX(ROW(E18:E$3557)*(E3574=E18:E$3557)))))</f>
        <v/>
      </c>
      <c r="J3574" s="24" t="str">
        <f aca="true">IF(OR(E3574="",E3574="!!!",F3574="NEW"),"",COUNTBLANK(OFFSET(A$1,,,SUMPRODUCT(MAX(ROW(E$2:E3574)*(E3574=E$2:E3574)))))-COUNTBLANK(OFFSET(A$1,,,SUMPRODUCT(MAX(ROW(E$1:E3573)*(E2=E$1:E3573))))))</f>
        <v/>
      </c>
      <c r="K3574" s="24" t="str">
        <f aca="false">IF(OR(E3574="",E3574="!!!",F3574="NEW"),"",INDEX(J$1:J3573,SUMPRODUCT(MAX(ROW(E$1:E3573)*(E3574=E$1:E3573)))))</f>
        <v/>
      </c>
      <c r="L3574" s="31"/>
    </row>
    <row r="3575" customFormat="false" ht="15" hidden="false" customHeight="false" outlineLevel="0" collapsed="false">
      <c r="A3575" s="20" t="s">
        <v>2117</v>
      </c>
      <c r="E3575" s="23" t="str">
        <f aca="false">IF(D3575="?OLD","!!!","")</f>
        <v/>
      </c>
      <c r="F3575" s="25" t="str">
        <f aca="false">IF(OR(E3575="",E3575="!!!"),"",IF(NOT(ISNA(VLOOKUP(E3575,E$1:E3574,1,FALSE()))),"OLD",IF(AND(E3575&lt;&gt;"",E3575&lt;&gt;"!!!"),"NEW","")))</f>
        <v/>
      </c>
      <c r="G3575" s="26" t="str">
        <f aca="false">IF(OR(E3575="",E3575="!!!"),"",IF(OR(J3575=0,AND(J3575=1,K3575=1),AND(J3575=1,I3575="SBJ"),AND(J3575=1,I3575=0)),"?IN_FOCUS",IF(J3575&lt;=2,"?ACTIVATED",IF(J3575&lt;&gt;"","?FAMILIAR",IF(F3575="NEW",IF(ISNA(VLOOKUP(E3575,#REF!,1,FALSE())),"?TYPE_IDENTIFIABLE","?REFERENTIAL"),"_")))))</f>
        <v/>
      </c>
      <c r="H3575" s="27" t="str">
        <f aca="false">IF(J3575&lt;&gt;1,"",IF(I3575="SBJ","CB","?"))</f>
        <v/>
      </c>
      <c r="I3575" s="24" t="str">
        <f aca="false">IF(OR(E3575="",E3575="!!!",F3575="NEW"),"",INDEX(B19:B$3557,-1+SUMPRODUCT(MAX(ROW(E19:E$3557)*(E3575=E19:E$3557)))))</f>
        <v/>
      </c>
      <c r="J3575" s="24" t="str">
        <f aca="true">IF(OR(E3575="",E3575="!!!",F3575="NEW"),"",COUNTBLANK(OFFSET(A$1,,,SUMPRODUCT(MAX(ROW(E$2:E3575)*(E3575=E$2:E3575)))))-COUNTBLANK(OFFSET(A$1,,,SUMPRODUCT(MAX(ROW(E$1:E3574)*(E2=E$1:E3574))))))</f>
        <v/>
      </c>
      <c r="K3575" s="24" t="str">
        <f aca="false">IF(OR(E3575="",E3575="!!!",F3575="NEW"),"",INDEX(J$1:J3574,SUMPRODUCT(MAX(ROW(E$1:E3574)*(E3575=E$1:E3574)))))</f>
        <v/>
      </c>
      <c r="L3575" s="31"/>
    </row>
    <row r="3576" customFormat="false" ht="15" hidden="false" customHeight="false" outlineLevel="0" collapsed="false">
      <c r="A3576" s="20" t="s">
        <v>2195</v>
      </c>
      <c r="B3576" s="22" t="s">
        <v>1067</v>
      </c>
      <c r="C3576" s="22" t="s">
        <v>1389</v>
      </c>
      <c r="E3576" s="23" t="str">
        <f aca="false">IF(D3576="?OLD","!!!","")</f>
        <v/>
      </c>
      <c r="F3576" s="25" t="str">
        <f aca="false">IF(OR(E3576="",E3576="!!!"),"",IF(NOT(ISNA(VLOOKUP(E3576,E$1:E3575,1,FALSE()))),"OLD",IF(AND(E3576&lt;&gt;"",E3576&lt;&gt;"!!!"),"NEW","")))</f>
        <v/>
      </c>
      <c r="G3576" s="26" t="str">
        <f aca="false">IF(OR(E3576="",E3576="!!!"),"",IF(OR(J3576=0,AND(J3576=1,K3576=1),AND(J3576=1,I3576="SBJ"),AND(J3576=1,I3576=0)),"?IN_FOCUS",IF(J3576&lt;=2,"?ACTIVATED",IF(J3576&lt;&gt;"","?FAMILIAR",IF(F3576="NEW",IF(ISNA(VLOOKUP(E3576,#REF!,1,FALSE())),"?TYPE_IDENTIFIABLE","?REFERENTIAL"),"_")))))</f>
        <v/>
      </c>
      <c r="H3576" s="27" t="str">
        <f aca="false">IF(J3576&lt;&gt;1,"",IF(I3576="SBJ","CB","?"))</f>
        <v/>
      </c>
      <c r="I3576" s="24" t="str">
        <f aca="false">IF(OR(E3576="",E3576="!!!",F3576="NEW"),"",INDEX(B20:B$3557,-1+SUMPRODUCT(MAX(ROW(E20:E$3557)*(E3576=E20:E$3557)))))</f>
        <v/>
      </c>
      <c r="J3576" s="24" t="str">
        <f aca="true">IF(OR(E3576="",E3576="!!!",F3576="NEW"),"",COUNTBLANK(OFFSET(A$1,,,SUMPRODUCT(MAX(ROW(E$2:E3576)*(E3576=E$2:E3576)))))-COUNTBLANK(OFFSET(A$1,,,SUMPRODUCT(MAX(ROW(E$1:E3575)*(E2=E$1:E3575))))))</f>
        <v/>
      </c>
      <c r="K3576" s="24" t="str">
        <f aca="false">IF(OR(E3576="",E3576="!!!",F3576="NEW"),"",INDEX(J$1:J3575,SUMPRODUCT(MAX(ROW(E$1:E3575)*(E3576=E$1:E3575)))))</f>
        <v/>
      </c>
      <c r="L3576" s="31"/>
    </row>
    <row r="3577" customFormat="false" ht="15" hidden="false" customHeight="false" outlineLevel="0" collapsed="false">
      <c r="A3577" s="20" t="s">
        <v>1157</v>
      </c>
      <c r="E3577" s="23" t="str">
        <f aca="false">IF(D3577="?OLD","!!!","")</f>
        <v/>
      </c>
      <c r="F3577" s="25" t="str">
        <f aca="false">IF(OR(E3577="",E3577="!!!"),"",IF(NOT(ISNA(VLOOKUP(E3577,E$1:E3576,1,FALSE()))),"OLD",IF(AND(E3577&lt;&gt;"",E3577&lt;&gt;"!!!"),"NEW","")))</f>
        <v/>
      </c>
      <c r="G3577" s="26" t="str">
        <f aca="false">IF(OR(E3577="",E3577="!!!"),"",IF(OR(J3577=0,AND(J3577=1,K3577=1),AND(J3577=1,I3577="SBJ"),AND(J3577=1,I3577=0)),"?IN_FOCUS",IF(J3577&lt;=2,"?ACTIVATED",IF(J3577&lt;&gt;"","?FAMILIAR",IF(F3577="NEW",IF(ISNA(VLOOKUP(E3577,#REF!,1,FALSE())),"?TYPE_IDENTIFIABLE","?REFERENTIAL"),"_")))))</f>
        <v/>
      </c>
      <c r="H3577" s="27" t="str">
        <f aca="false">IF(J3577&lt;&gt;1,"",IF(I3577="SBJ","CB","?"))</f>
        <v/>
      </c>
      <c r="I3577" s="24" t="str">
        <f aca="false">IF(OR(E3577="",E3577="!!!",F3577="NEW"),"",INDEX(B21:B$3557,-1+SUMPRODUCT(MAX(ROW(E21:E$3557)*(E3577=E21:E$3557)))))</f>
        <v/>
      </c>
      <c r="J3577" s="24" t="str">
        <f aca="true">IF(OR(E3577="",E3577="!!!",F3577="NEW"),"",COUNTBLANK(OFFSET(A$1,,,SUMPRODUCT(MAX(ROW(E$2:E3577)*(E3577=E$2:E3577)))))-COUNTBLANK(OFFSET(A$1,,,SUMPRODUCT(MAX(ROW(E$1:E3576)*(E2=E$1:E3576))))))</f>
        <v/>
      </c>
      <c r="K3577" s="24" t="str">
        <f aca="false">IF(OR(E3577="",E3577="!!!",F3577="NEW"),"",INDEX(J$1:J3576,SUMPRODUCT(MAX(ROW(E$1:E3576)*(E3577=E$1:E3576)))))</f>
        <v/>
      </c>
      <c r="L3577" s="31"/>
    </row>
    <row r="3578" customFormat="false" ht="15" hidden="false" customHeight="false" outlineLevel="0" collapsed="false">
      <c r="A3578" s="20" t="s">
        <v>1085</v>
      </c>
      <c r="E3578" s="23" t="str">
        <f aca="false">IF(D3578="?OLD","!!!","")</f>
        <v/>
      </c>
      <c r="F3578" s="25" t="str">
        <f aca="false">IF(OR(E3578="",E3578="!!!"),"",IF(NOT(ISNA(VLOOKUP(E3578,E$1:E3577,1,FALSE()))),"OLD",IF(AND(E3578&lt;&gt;"",E3578&lt;&gt;"!!!"),"NEW","")))</f>
        <v/>
      </c>
      <c r="G3578" s="26" t="str">
        <f aca="false">IF(OR(E3578="",E3578="!!!"),"",IF(OR(J3578=0,AND(J3578=1,K3578=1),AND(J3578=1,I3578="SBJ"),AND(J3578=1,I3578=0)),"?IN_FOCUS",IF(J3578&lt;=2,"?ACTIVATED",IF(J3578&lt;&gt;"","?FAMILIAR",IF(F3578="NEW",IF(ISNA(VLOOKUP(E3578,#REF!,1,FALSE())),"?TYPE_IDENTIFIABLE","?REFERENTIAL"),"_")))))</f>
        <v/>
      </c>
      <c r="H3578" s="27" t="str">
        <f aca="false">IF(J3578&lt;&gt;1,"",IF(I3578="SBJ","CB","?"))</f>
        <v/>
      </c>
      <c r="I3578" s="24" t="str">
        <f aca="false">IF(OR(E3578="",E3578="!!!",F3578="NEW"),"",INDEX(B22:B$3557,-1+SUMPRODUCT(MAX(ROW(E22:E$3557)*(E3578=E22:E$3557)))))</f>
        <v/>
      </c>
      <c r="J3578" s="24" t="str">
        <f aca="true">IF(OR(E3578="",E3578="!!!",F3578="NEW"),"",COUNTBLANK(OFFSET(A$1,,,SUMPRODUCT(MAX(ROW(E$2:E3578)*(E3578=E$2:E3578)))))-COUNTBLANK(OFFSET(A$1,,,SUMPRODUCT(MAX(ROW(E$1:E3577)*(E2=E$1:E3577))))))</f>
        <v/>
      </c>
      <c r="K3578" s="24" t="str">
        <f aca="false">IF(OR(E3578="",E3578="!!!",F3578="NEW"),"",INDEX(J$1:J3577,SUMPRODUCT(MAX(ROW(E$1:E3577)*(E3578=E$1:E3577)))))</f>
        <v/>
      </c>
      <c r="L3578" s="31"/>
    </row>
    <row r="3579" customFormat="false" ht="15" hidden="false" customHeight="false" outlineLevel="0" collapsed="false">
      <c r="A3579" s="20" t="s">
        <v>2196</v>
      </c>
      <c r="B3579" s="22" t="s">
        <v>1067</v>
      </c>
      <c r="C3579" s="22" t="s">
        <v>1087</v>
      </c>
      <c r="E3579" s="23" t="str">
        <f aca="false">IF(D3579="?OLD","!!!","")</f>
        <v/>
      </c>
      <c r="F3579" s="25" t="str">
        <f aca="false">IF(OR(E3579="",E3579="!!!"),"",IF(NOT(ISNA(VLOOKUP(E3579,E$1:E3578,1,FALSE()))),"OLD",IF(AND(E3579&lt;&gt;"",E3579&lt;&gt;"!!!"),"NEW","")))</f>
        <v/>
      </c>
      <c r="G3579" s="26" t="str">
        <f aca="false">IF(OR(E3579="",E3579="!!!"),"",IF(OR(J3579=0,AND(J3579=1,K3579=1),AND(J3579=1,I3579="SBJ"),AND(J3579=1,I3579=0)),"?IN_FOCUS",IF(J3579&lt;=2,"?ACTIVATED",IF(J3579&lt;&gt;"","?FAMILIAR",IF(F3579="NEW",IF(ISNA(VLOOKUP(E3579,#REF!,1,FALSE())),"?TYPE_IDENTIFIABLE","?REFERENTIAL"),"_")))))</f>
        <v/>
      </c>
      <c r="H3579" s="27" t="str">
        <f aca="false">IF(J3579&lt;&gt;1,"",IF(I3579="SBJ","CB","?"))</f>
        <v/>
      </c>
      <c r="I3579" s="24" t="str">
        <f aca="false">IF(OR(E3579="",E3579="!!!",F3579="NEW"),"",INDEX(B23:B$3557,-1+SUMPRODUCT(MAX(ROW(E23:E$3557)*(E3579=E23:E$3557)))))</f>
        <v/>
      </c>
      <c r="J3579" s="24" t="str">
        <f aca="true">IF(OR(E3579="",E3579="!!!",F3579="NEW"),"",COUNTBLANK(OFFSET(A$1,,,SUMPRODUCT(MAX(ROW(E$2:E3579)*(E3579=E$2:E3579)))))-COUNTBLANK(OFFSET(A$1,,,SUMPRODUCT(MAX(ROW(E$1:E3578)*(E2=E$1:E3578))))))</f>
        <v/>
      </c>
      <c r="K3579" s="24" t="str">
        <f aca="false">IF(OR(E3579="",E3579="!!!",F3579="NEW"),"",INDEX(J$1:J3578,SUMPRODUCT(MAX(ROW(E$1:E3578)*(E3579=E$1:E3578)))))</f>
        <v/>
      </c>
      <c r="L3579" s="31"/>
    </row>
    <row r="3580" customFormat="false" ht="15" hidden="false" customHeight="false" outlineLevel="0" collapsed="false">
      <c r="A3580" s="20" t="s">
        <v>1154</v>
      </c>
      <c r="E3580" s="23" t="str">
        <f aca="false">IF(D3580="?OLD","!!!","")</f>
        <v/>
      </c>
      <c r="F3580" s="25" t="str">
        <f aca="false">IF(OR(E3580="",E3580="!!!"),"",IF(NOT(ISNA(VLOOKUP(E3580,E$1:E3579,1,FALSE()))),"OLD",IF(AND(E3580&lt;&gt;"",E3580&lt;&gt;"!!!"),"NEW","")))</f>
        <v/>
      </c>
      <c r="G3580" s="26" t="str">
        <f aca="false">IF(OR(E3580="",E3580="!!!"),"",IF(OR(J3580=0,AND(J3580=1,K3580=1),AND(J3580=1,I3580="SBJ"),AND(J3580=1,I3580=0)),"?IN_FOCUS",IF(J3580&lt;=2,"?ACTIVATED",IF(J3580&lt;&gt;"","?FAMILIAR",IF(F3580="NEW",IF(ISNA(VLOOKUP(E3580,#REF!,1,FALSE())),"?TYPE_IDENTIFIABLE","?REFERENTIAL"),"_")))))</f>
        <v/>
      </c>
      <c r="H3580" s="27" t="str">
        <f aca="false">IF(J3580&lt;&gt;1,"",IF(I3580="SBJ","CB","?"))</f>
        <v/>
      </c>
      <c r="I3580" s="24" t="str">
        <f aca="false">IF(OR(E3580="",E3580="!!!",F3580="NEW"),"",INDEX(B24:B$3557,-1+SUMPRODUCT(MAX(ROW(E24:E$3557)*(E3580=E24:E$3557)))))</f>
        <v/>
      </c>
      <c r="J3580" s="24" t="str">
        <f aca="true">IF(OR(E3580="",E3580="!!!",F3580="NEW"),"",COUNTBLANK(OFFSET(A$1,,,SUMPRODUCT(MAX(ROW(E$2:E3580)*(E3580=E$2:E3580)))))-COUNTBLANK(OFFSET(A$1,,,SUMPRODUCT(MAX(ROW(E$1:E3579)*(E2=E$1:E3579))))))</f>
        <v/>
      </c>
      <c r="K3580" s="24" t="str">
        <f aca="false">IF(OR(E3580="",E3580="!!!",F3580="NEW"),"",INDEX(J$1:J3579,SUMPRODUCT(MAX(ROW(E$1:E3579)*(E3580=E$1:E3579)))))</f>
        <v/>
      </c>
      <c r="L3580" s="31"/>
    </row>
    <row r="3581" customFormat="false" ht="15" hidden="false" customHeight="false" outlineLevel="0" collapsed="false">
      <c r="A3581" s="20" t="s">
        <v>1109</v>
      </c>
      <c r="E3581" s="23" t="str">
        <f aca="false">IF(D3581="?OLD","!!!","")</f>
        <v/>
      </c>
      <c r="F3581" s="25" t="str">
        <f aca="false">IF(OR(E3581="",E3581="!!!"),"",IF(NOT(ISNA(VLOOKUP(E3581,E$1:E3580,1,FALSE()))),"OLD",IF(AND(E3581&lt;&gt;"",E3581&lt;&gt;"!!!"),"NEW","")))</f>
        <v/>
      </c>
      <c r="G3581" s="26" t="str">
        <f aca="false">IF(OR(E3581="",E3581="!!!"),"",IF(OR(J3581=0,AND(J3581=1,K3581=1),AND(J3581=1,I3581="SBJ"),AND(J3581=1,I3581=0)),"?IN_FOCUS",IF(J3581&lt;=2,"?ACTIVATED",IF(J3581&lt;&gt;"","?FAMILIAR",IF(F3581="NEW",IF(ISNA(VLOOKUP(E3581,#REF!,1,FALSE())),"?TYPE_IDENTIFIABLE","?REFERENTIAL"),"_")))))</f>
        <v/>
      </c>
      <c r="H3581" s="27" t="str">
        <f aca="false">IF(J3581&lt;&gt;1,"",IF(I3581="SBJ","CB","?"))</f>
        <v/>
      </c>
      <c r="I3581" s="24" t="str">
        <f aca="false">IF(OR(E3581="",E3581="!!!",F3581="NEW"),"",INDEX(B25:B$3557,-1+SUMPRODUCT(MAX(ROW(E25:E$3557)*(E3581=E25:E$3557)))))</f>
        <v/>
      </c>
      <c r="J3581" s="24" t="str">
        <f aca="true">IF(OR(E3581="",E3581="!!!",F3581="NEW"),"",COUNTBLANK(OFFSET(A$1,,,SUMPRODUCT(MAX(ROW(E$2:E3581)*(E3581=E$2:E3581)))))-COUNTBLANK(OFFSET(A$1,,,SUMPRODUCT(MAX(ROW(E$1:E3580)*(E2=E$1:E3580))))))</f>
        <v/>
      </c>
      <c r="K3581" s="24" t="str">
        <f aca="false">IF(OR(E3581="",E3581="!!!",F3581="NEW"),"",INDEX(J$1:J3580,SUMPRODUCT(MAX(ROW(E$1:E3580)*(E3581=E$1:E3580)))))</f>
        <v/>
      </c>
      <c r="L3581" s="31"/>
    </row>
    <row r="3582" customFormat="false" ht="15" hidden="false" customHeight="false" outlineLevel="0" collapsed="false">
      <c r="A3582" s="20" t="s">
        <v>2133</v>
      </c>
      <c r="E3582" s="23" t="str">
        <f aca="false">IF(D3582="?OLD","!!!","")</f>
        <v/>
      </c>
      <c r="F3582" s="25" t="str">
        <f aca="false">IF(OR(E3582="",E3582="!!!"),"",IF(NOT(ISNA(VLOOKUP(E3582,E$1:E3581,1,FALSE()))),"OLD",IF(AND(E3582&lt;&gt;"",E3582&lt;&gt;"!!!"),"NEW","")))</f>
        <v/>
      </c>
      <c r="G3582" s="26" t="str">
        <f aca="false">IF(OR(E3582="",E3582="!!!"),"",IF(OR(J3582=0,AND(J3582=1,K3582=1),AND(J3582=1,I3582="SBJ"),AND(J3582=1,I3582=0)),"?IN_FOCUS",IF(J3582&lt;=2,"?ACTIVATED",IF(J3582&lt;&gt;"","?FAMILIAR",IF(F3582="NEW",IF(ISNA(VLOOKUP(E3582,#REF!,1,FALSE())),"?TYPE_IDENTIFIABLE","?REFERENTIAL"),"_")))))</f>
        <v/>
      </c>
      <c r="H3582" s="27" t="str">
        <f aca="false">IF(J3582&lt;&gt;1,"",IF(I3582="SBJ","CB","?"))</f>
        <v/>
      </c>
      <c r="I3582" s="24" t="str">
        <f aca="false">IF(OR(E3582="",E3582="!!!",F3582="NEW"),"",INDEX(B26:B$3557,-1+SUMPRODUCT(MAX(ROW(E26:E$3557)*(E3582=E26:E$3557)))))</f>
        <v/>
      </c>
      <c r="J3582" s="24" t="str">
        <f aca="true">IF(OR(E3582="",E3582="!!!",F3582="NEW"),"",COUNTBLANK(OFFSET(A$1,,,SUMPRODUCT(MAX(ROW(E$2:E3582)*(E3582=E$2:E3582)))))-COUNTBLANK(OFFSET(A$1,,,SUMPRODUCT(MAX(ROW(E$1:E3581)*(E2=E$1:E3581))))))</f>
        <v/>
      </c>
      <c r="K3582" s="24" t="str">
        <f aca="false">IF(OR(E3582="",E3582="!!!",F3582="NEW"),"",INDEX(J$1:J3581,SUMPRODUCT(MAX(ROW(E$1:E3581)*(E3582=E$1:E3581)))))</f>
        <v/>
      </c>
      <c r="L3582" s="31"/>
    </row>
    <row r="3583" customFormat="false" ht="15" hidden="false" customHeight="false" outlineLevel="0" collapsed="false">
      <c r="A3583" s="20" t="s">
        <v>2197</v>
      </c>
      <c r="B3583" s="22" t="s">
        <v>1107</v>
      </c>
      <c r="C3583" s="22" t="s">
        <v>1150</v>
      </c>
      <c r="D3583" s="22" t="s">
        <v>1060</v>
      </c>
      <c r="E3583" s="23" t="str">
        <f aca="false">IF(D3583="?OLD","!!!","")</f>
        <v>!!!</v>
      </c>
      <c r="F3583" s="25" t="str">
        <f aca="false">IF(OR(E3583="",E3583="!!!"),"",IF(NOT(ISNA(VLOOKUP(E3583,E$1:E3582,1,FALSE()))),"OLD",IF(AND(E3583&lt;&gt;"",E3583&lt;&gt;"!!!"),"NEW","")))</f>
        <v/>
      </c>
      <c r="G3583" s="26" t="str">
        <f aca="false">IF(OR(E3583="",E3583="!!!"),"",IF(OR(J3583=0,AND(J3583=1,K3583=1),AND(J3583=1,I3583="SBJ"),AND(J3583=1,I3583=0)),"?IN_FOCUS",IF(J3583&lt;=2,"?ACTIVATED",IF(J3583&lt;&gt;"","?FAMILIAR",IF(F3583="NEW",IF(ISNA(VLOOKUP(E3583,#REF!,1,FALSE())),"?TYPE_IDENTIFIABLE","?REFERENTIAL"),"_")))))</f>
        <v/>
      </c>
      <c r="H3583" s="27" t="str">
        <f aca="false">IF(J3583&lt;&gt;1,"",IF(I3583="SBJ","CB","?"))</f>
        <v/>
      </c>
      <c r="I3583" s="24" t="str">
        <f aca="false">IF(OR(E3583="",E3583="!!!",F3583="NEW"),"",INDEX(B27:B$3557,-1+SUMPRODUCT(MAX(ROW(E27:E$3557)*(E3583=E27:E$3557)))))</f>
        <v/>
      </c>
      <c r="J3583" s="24" t="str">
        <f aca="true">IF(OR(E3583="",E3583="!!!",F3583="NEW"),"",COUNTBLANK(OFFSET(A$1,,,SUMPRODUCT(MAX(ROW(E$2:E3583)*(E3583=E$2:E3583)))))-COUNTBLANK(OFFSET(A$1,,,SUMPRODUCT(MAX(ROW(E$1:E3582)*(E2=E$1:E3582))))))</f>
        <v/>
      </c>
      <c r="K3583" s="24" t="str">
        <f aca="false">IF(OR(E3583="",E3583="!!!",F3583="NEW"),"",INDEX(J$1:J3582,SUMPRODUCT(MAX(ROW(E$1:E3582)*(E3583=E$1:E3582)))))</f>
        <v/>
      </c>
      <c r="L3583" s="31"/>
    </row>
    <row r="3584" customFormat="false" ht="15" hidden="false" customHeight="false" outlineLevel="0" collapsed="false">
      <c r="A3584" s="20" t="s">
        <v>2198</v>
      </c>
      <c r="E3584" s="23" t="str">
        <f aca="false">IF(D3584="?OLD","!!!","")</f>
        <v/>
      </c>
      <c r="F3584" s="25" t="str">
        <f aca="false">IF(OR(E3584="",E3584="!!!"),"",IF(NOT(ISNA(VLOOKUP(E3584,E$1:E3583,1,FALSE()))),"OLD",IF(AND(E3584&lt;&gt;"",E3584&lt;&gt;"!!!"),"NEW","")))</f>
        <v/>
      </c>
      <c r="G3584" s="26" t="str">
        <f aca="false">IF(OR(E3584="",E3584="!!!"),"",IF(OR(J3584=0,AND(J3584=1,K3584=1),AND(J3584=1,I3584="SBJ"),AND(J3584=1,I3584=0)),"?IN_FOCUS",IF(J3584&lt;=2,"?ACTIVATED",IF(J3584&lt;&gt;"","?FAMILIAR",IF(F3584="NEW",IF(ISNA(VLOOKUP(E3584,#REF!,1,FALSE())),"?TYPE_IDENTIFIABLE","?REFERENTIAL"),"_")))))</f>
        <v/>
      </c>
      <c r="H3584" s="27" t="str">
        <f aca="false">IF(J3584&lt;&gt;1,"",IF(I3584="SBJ","CB","?"))</f>
        <v/>
      </c>
      <c r="I3584" s="24" t="str">
        <f aca="false">IF(OR(E3584="",E3584="!!!",F3584="NEW"),"",INDEX(B28:B$3557,-1+SUMPRODUCT(MAX(ROW(E28:E$3557)*(E3584=E28:E$3557)))))</f>
        <v/>
      </c>
      <c r="J3584" s="24" t="str">
        <f aca="true">IF(OR(E3584="",E3584="!!!",F3584="NEW"),"",COUNTBLANK(OFFSET(A$1,,,SUMPRODUCT(MAX(ROW(E$2:E3584)*(E3584=E$2:E3584)))))-COUNTBLANK(OFFSET(A$1,,,SUMPRODUCT(MAX(ROW(E$1:E3583)*(E2=E$1:E3583))))))</f>
        <v/>
      </c>
      <c r="K3584" s="24" t="str">
        <f aca="false">IF(OR(E3584="",E3584="!!!",F3584="NEW"),"",INDEX(J$1:J3583,SUMPRODUCT(MAX(ROW(E$1:E3583)*(E3584=E$1:E3583)))))</f>
        <v/>
      </c>
      <c r="L3584" s="31"/>
    </row>
    <row r="3585" customFormat="false" ht="15" hidden="false" customHeight="false" outlineLevel="0" collapsed="false">
      <c r="A3585" s="20" t="s">
        <v>2199</v>
      </c>
      <c r="B3585" s="22" t="s">
        <v>1131</v>
      </c>
      <c r="C3585" s="22" t="s">
        <v>1160</v>
      </c>
      <c r="E3585" s="23" t="str">
        <f aca="false">IF(D3585="?OLD","!!!","")</f>
        <v/>
      </c>
      <c r="F3585" s="25" t="str">
        <f aca="false">IF(OR(E3585="",E3585="!!!"),"",IF(NOT(ISNA(VLOOKUP(E3585,E$1:E3584,1,FALSE()))),"OLD",IF(AND(E3585&lt;&gt;"",E3585&lt;&gt;"!!!"),"NEW","")))</f>
        <v/>
      </c>
      <c r="G3585" s="26" t="str">
        <f aca="false">IF(OR(E3585="",E3585="!!!"),"",IF(OR(J3585=0,AND(J3585=1,K3585=1),AND(J3585=1,I3585="SBJ"),AND(J3585=1,I3585=0)),"?IN_FOCUS",IF(J3585&lt;=2,"?ACTIVATED",IF(J3585&lt;&gt;"","?FAMILIAR",IF(F3585="NEW",IF(ISNA(VLOOKUP(E3585,#REF!,1,FALSE())),"?TYPE_IDENTIFIABLE","?REFERENTIAL"),"_")))))</f>
        <v/>
      </c>
      <c r="H3585" s="27" t="str">
        <f aca="false">IF(J3585&lt;&gt;1,"",IF(I3585="SBJ","CB","?"))</f>
        <v/>
      </c>
      <c r="I3585" s="24" t="str">
        <f aca="false">IF(OR(E3585="",E3585="!!!",F3585="NEW"),"",INDEX(B29:B$3557,-1+SUMPRODUCT(MAX(ROW(E29:E$3557)*(E3585=E29:E$3557)))))</f>
        <v/>
      </c>
      <c r="J3585" s="24" t="str">
        <f aca="true">IF(OR(E3585="",E3585="!!!",F3585="NEW"),"",COUNTBLANK(OFFSET(A$1,,,SUMPRODUCT(MAX(ROW(E$2:E3585)*(E3585=E$2:E3585)))))-COUNTBLANK(OFFSET(A$1,,,SUMPRODUCT(MAX(ROW(E$1:E3584)*(E2=E$1:E3584))))))</f>
        <v/>
      </c>
      <c r="K3585" s="24" t="str">
        <f aca="false">IF(OR(E3585="",E3585="!!!",F3585="NEW"),"",INDEX(J$1:J3584,SUMPRODUCT(MAX(ROW(E$1:E3584)*(E3585=E$1:E3584)))))</f>
        <v/>
      </c>
      <c r="L3585" s="31"/>
    </row>
    <row r="3586" customFormat="false" ht="15" hidden="false" customHeight="false" outlineLevel="0" collapsed="false">
      <c r="A3586" s="20" t="s">
        <v>1064</v>
      </c>
      <c r="E3586" s="23" t="str">
        <f aca="false">IF(D3586="?OLD","!!!","")</f>
        <v/>
      </c>
      <c r="F3586" s="25" t="str">
        <f aca="false">IF(OR(E3586="",E3586="!!!"),"",IF(NOT(ISNA(VLOOKUP(E3586,E$1:E3585,1,FALSE()))),"OLD",IF(AND(E3586&lt;&gt;"",E3586&lt;&gt;"!!!"),"NEW","")))</f>
        <v/>
      </c>
      <c r="G3586" s="26" t="str">
        <f aca="false">IF(OR(E3586="",E3586="!!!"),"",IF(OR(J3586=0,AND(J3586=1,K3586=1),AND(J3586=1,I3586="SBJ"),AND(J3586=1,I3586=0)),"?IN_FOCUS",IF(J3586&lt;=2,"?ACTIVATED",IF(J3586&lt;&gt;"","?FAMILIAR",IF(F3586="NEW",IF(ISNA(VLOOKUP(E3586,#REF!,1,FALSE())),"?TYPE_IDENTIFIABLE","?REFERENTIAL"),"_")))))</f>
        <v/>
      </c>
      <c r="H3586" s="27" t="str">
        <f aca="false">IF(J3586&lt;&gt;1,"",IF(I3586="SBJ","CB","?"))</f>
        <v/>
      </c>
      <c r="I3586" s="24" t="str">
        <f aca="false">IF(OR(E3586="",E3586="!!!",F3586="NEW"),"",INDEX(B30:B$3557,-1+SUMPRODUCT(MAX(ROW(E30:E$3557)*(E3586=E30:E$3557)))))</f>
        <v/>
      </c>
      <c r="J3586" s="24" t="str">
        <f aca="true">IF(OR(E3586="",E3586="!!!",F3586="NEW"),"",COUNTBLANK(OFFSET(A$1,,,SUMPRODUCT(MAX(ROW(E$2:E3586)*(E3586=E$2:E3586)))))-COUNTBLANK(OFFSET(A$1,,,SUMPRODUCT(MAX(ROW(E$1:E3585)*(E2=E$1:E3585))))))</f>
        <v/>
      </c>
      <c r="K3586" s="24" t="str">
        <f aca="false">IF(OR(E3586="",E3586="!!!",F3586="NEW"),"",INDEX(J$1:J3585,SUMPRODUCT(MAX(ROW(E$1:E3585)*(E3586=E$1:E3585)))))</f>
        <v/>
      </c>
      <c r="L3586" s="31"/>
    </row>
    <row r="3587" customFormat="false" ht="15" hidden="false" customHeight="false" outlineLevel="0" collapsed="false">
      <c r="A3587" s="20" t="s">
        <v>2200</v>
      </c>
      <c r="B3587" s="22" t="s">
        <v>1112</v>
      </c>
      <c r="C3587" s="22" t="s">
        <v>1160</v>
      </c>
      <c r="E3587" s="23" t="str">
        <f aca="false">IF(D3587="?OLD","!!!","")</f>
        <v/>
      </c>
      <c r="F3587" s="25" t="str">
        <f aca="false">IF(OR(E3587="",E3587="!!!"),"",IF(NOT(ISNA(VLOOKUP(E3587,E$1:E3586,1,FALSE()))),"OLD",IF(AND(E3587&lt;&gt;"",E3587&lt;&gt;"!!!"),"NEW","")))</f>
        <v/>
      </c>
      <c r="G3587" s="26" t="str">
        <f aca="false">IF(OR(E3587="",E3587="!!!"),"",IF(OR(J3587=0,AND(J3587=1,K3587=1),AND(J3587=1,I3587="SBJ"),AND(J3587=1,I3587=0)),"?IN_FOCUS",IF(J3587&lt;=2,"?ACTIVATED",IF(J3587&lt;&gt;"","?FAMILIAR",IF(F3587="NEW",IF(ISNA(VLOOKUP(E3587,#REF!,1,FALSE())),"?TYPE_IDENTIFIABLE","?REFERENTIAL"),"_")))))</f>
        <v/>
      </c>
      <c r="H3587" s="27" t="str">
        <f aca="false">IF(J3587&lt;&gt;1,"",IF(I3587="SBJ","CB","?"))</f>
        <v/>
      </c>
      <c r="I3587" s="24" t="str">
        <f aca="false">IF(OR(E3587="",E3587="!!!",F3587="NEW"),"",INDEX(B31:B$3557,-1+SUMPRODUCT(MAX(ROW(E31:E$3557)*(E3587=E31:E$3557)))))</f>
        <v/>
      </c>
      <c r="J3587" s="24" t="str">
        <f aca="true">IF(OR(E3587="",E3587="!!!",F3587="NEW"),"",COUNTBLANK(OFFSET(A$1,,,SUMPRODUCT(MAX(ROW(E$2:E3587)*(E3587=E$2:E3587)))))-COUNTBLANK(OFFSET(A$1,,,SUMPRODUCT(MAX(ROW(E$1:E3586)*(E2=E$1:E3586))))))</f>
        <v/>
      </c>
      <c r="K3587" s="24" t="str">
        <f aca="false">IF(OR(E3587="",E3587="!!!",F3587="NEW"),"",INDEX(J$1:J3586,SUMPRODUCT(MAX(ROW(E$1:E3586)*(E3587=E$1:E3586)))))</f>
        <v/>
      </c>
      <c r="L3587" s="31"/>
    </row>
    <row r="3588" customFormat="false" ht="15" hidden="false" customHeight="false" outlineLevel="0" collapsed="false">
      <c r="A3588" s="20" t="s">
        <v>1125</v>
      </c>
      <c r="B3588" s="22" t="s">
        <v>2135</v>
      </c>
      <c r="E3588" s="23" t="str">
        <f aca="false">IF(D3588="?OLD","!!!","")</f>
        <v/>
      </c>
      <c r="F3588" s="25" t="str">
        <f aca="false">IF(OR(E3588="",E3588="!!!"),"",IF(NOT(ISNA(VLOOKUP(E3588,E$1:E3587,1,FALSE()))),"OLD",IF(AND(E3588&lt;&gt;"",E3588&lt;&gt;"!!!"),"NEW","")))</f>
        <v/>
      </c>
      <c r="G3588" s="26" t="str">
        <f aca="false">IF(OR(E3588="",E3588="!!!"),"",IF(OR(J3588=0,AND(J3588=1,K3588=1),AND(J3588=1,I3588="SBJ"),AND(J3588=1,I3588=0)),"?IN_FOCUS",IF(J3588&lt;=2,"?ACTIVATED",IF(J3588&lt;&gt;"","?FAMILIAR",IF(F3588="NEW",IF(ISNA(VLOOKUP(E3588,#REF!,1,FALSE())),"?TYPE_IDENTIFIABLE","?REFERENTIAL"),"_")))))</f>
        <v/>
      </c>
      <c r="H3588" s="27" t="str">
        <f aca="false">IF(J3588&lt;&gt;1,"",IF(I3588="SBJ","CB","?"))</f>
        <v/>
      </c>
      <c r="I3588" s="24" t="str">
        <f aca="false">IF(OR(E3588="",E3588="!!!",F3588="NEW"),"",INDEX(B32:B$3557,-1+SUMPRODUCT(MAX(ROW(E32:E$3557)*(E3588=E32:E$3557)))))</f>
        <v/>
      </c>
      <c r="J3588" s="24" t="str">
        <f aca="true">IF(OR(E3588="",E3588="!!!",F3588="NEW"),"",COUNTBLANK(OFFSET(A$1,,,SUMPRODUCT(MAX(ROW(E$2:E3588)*(E3588=E$2:E3588)))))-COUNTBLANK(OFFSET(A$1,,,SUMPRODUCT(MAX(ROW(E$1:E3587)*(E2=E$1:E3587))))))</f>
        <v/>
      </c>
      <c r="K3588" s="24" t="str">
        <f aca="false">IF(OR(E3588="",E3588="!!!",F3588="NEW"),"",INDEX(J$1:J3587,SUMPRODUCT(MAX(ROW(E$1:E3587)*(E3588=E$1:E3587)))))</f>
        <v/>
      </c>
      <c r="L3588" s="31"/>
    </row>
    <row r="3589" customFormat="false" ht="15" hidden="false" customHeight="false" outlineLevel="0" collapsed="false">
      <c r="A3589" s="20" t="s">
        <v>2201</v>
      </c>
      <c r="E3589" s="23" t="str">
        <f aca="false">IF(D3589="?OLD","!!!","")</f>
        <v/>
      </c>
      <c r="F3589" s="25" t="str">
        <f aca="false">IF(OR(E3589="",E3589="!!!"),"",IF(NOT(ISNA(VLOOKUP(E3589,E$1:E3588,1,FALSE()))),"OLD",IF(AND(E3589&lt;&gt;"",E3589&lt;&gt;"!!!"),"NEW","")))</f>
        <v/>
      </c>
      <c r="G3589" s="26" t="str">
        <f aca="false">IF(OR(E3589="",E3589="!!!"),"",IF(OR(J3589=0,AND(J3589=1,K3589=1),AND(J3589=1,I3589="SBJ"),AND(J3589=1,I3589=0)),"?IN_FOCUS",IF(J3589&lt;=2,"?ACTIVATED",IF(J3589&lt;&gt;"","?FAMILIAR",IF(F3589="NEW",IF(ISNA(VLOOKUP(E3589,#REF!,1,FALSE())),"?TYPE_IDENTIFIABLE","?REFERENTIAL"),"_")))))</f>
        <v/>
      </c>
      <c r="H3589" s="27" t="str">
        <f aca="false">IF(J3589&lt;&gt;1,"",IF(I3589="SBJ","CB","?"))</f>
        <v/>
      </c>
      <c r="I3589" s="24" t="str">
        <f aca="false">IF(OR(E3589="",E3589="!!!",F3589="NEW"),"",INDEX(B33:B$3557,-1+SUMPRODUCT(MAX(ROW(E33:E$3557)*(E3589=E33:E$3557)))))</f>
        <v/>
      </c>
      <c r="J3589" s="24" t="str">
        <f aca="true">IF(OR(E3589="",E3589="!!!",F3589="NEW"),"",COUNTBLANK(OFFSET(A$1,,,SUMPRODUCT(MAX(ROW(E$2:E3589)*(E3589=E$2:E3589)))))-COUNTBLANK(OFFSET(A$1,,,SUMPRODUCT(MAX(ROW(E$1:E3588)*(E2=E$1:E3588))))))</f>
        <v/>
      </c>
      <c r="K3589" s="24" t="str">
        <f aca="false">IF(OR(E3589="",E3589="!!!",F3589="NEW"),"",INDEX(J$1:J3588,SUMPRODUCT(MAX(ROW(E$1:E3588)*(E3589=E$1:E3588)))))</f>
        <v/>
      </c>
      <c r="L3589" s="31"/>
    </row>
    <row r="3590" customFormat="false" ht="15" hidden="false" customHeight="false" outlineLevel="0" collapsed="false">
      <c r="A3590" s="20" t="s">
        <v>1109</v>
      </c>
      <c r="E3590" s="23" t="str">
        <f aca="false">IF(D3590="?OLD","!!!","")</f>
        <v/>
      </c>
      <c r="F3590" s="25" t="str">
        <f aca="false">IF(OR(E3590="",E3590="!!!"),"",IF(NOT(ISNA(VLOOKUP(E3590,E$1:E3589,1,FALSE()))),"OLD",IF(AND(E3590&lt;&gt;"",E3590&lt;&gt;"!!!"),"NEW","")))</f>
        <v/>
      </c>
      <c r="G3590" s="26" t="str">
        <f aca="false">IF(OR(E3590="",E3590="!!!"),"",IF(OR(J3590=0,AND(J3590=1,K3590=1),AND(J3590=1,I3590="SBJ"),AND(J3590=1,I3590=0)),"?IN_FOCUS",IF(J3590&lt;=2,"?ACTIVATED",IF(J3590&lt;&gt;"","?FAMILIAR",IF(F3590="NEW",IF(ISNA(VLOOKUP(E3590,#REF!,1,FALSE())),"?TYPE_IDENTIFIABLE","?REFERENTIAL"),"_")))))</f>
        <v/>
      </c>
      <c r="H3590" s="27" t="str">
        <f aca="false">IF(J3590&lt;&gt;1,"",IF(I3590="SBJ","CB","?"))</f>
        <v/>
      </c>
      <c r="I3590" s="24" t="str">
        <f aca="false">IF(OR(E3590="",E3590="!!!",F3590="NEW"),"",INDEX(B34:B$3557,-1+SUMPRODUCT(MAX(ROW(E34:E$3557)*(E3590=E34:E$3557)))))</f>
        <v/>
      </c>
      <c r="J3590" s="24" t="str">
        <f aca="true">IF(OR(E3590="",E3590="!!!",F3590="NEW"),"",COUNTBLANK(OFFSET(A$1,,,SUMPRODUCT(MAX(ROW(E$2:E3590)*(E3590=E$2:E3590)))))-COUNTBLANK(OFFSET(A$1,,,SUMPRODUCT(MAX(ROW(E$1:E3589)*(E2=E$1:E3589))))))</f>
        <v/>
      </c>
      <c r="K3590" s="24" t="str">
        <f aca="false">IF(OR(E3590="",E3590="!!!",F3590="NEW"),"",INDEX(J$1:J3589,SUMPRODUCT(MAX(ROW(E$1:E3589)*(E3590=E$1:E3589)))))</f>
        <v/>
      </c>
      <c r="L3590" s="31"/>
    </row>
    <row r="3591" customFormat="false" ht="15" hidden="false" customHeight="false" outlineLevel="0" collapsed="false">
      <c r="A3591" s="20" t="s">
        <v>1658</v>
      </c>
      <c r="B3591" s="22" t="s">
        <v>2137</v>
      </c>
      <c r="C3591" s="22" t="s">
        <v>1150</v>
      </c>
      <c r="D3591" s="22" t="s">
        <v>1060</v>
      </c>
      <c r="E3591" s="23" t="str">
        <f aca="false">IF(D3591="?OLD","!!!","")</f>
        <v>!!!</v>
      </c>
      <c r="F3591" s="25" t="str">
        <f aca="false">IF(OR(E3591="",E3591="!!!"),"",IF(NOT(ISNA(VLOOKUP(E3591,E$1:E3590,1,FALSE()))),"OLD",IF(AND(E3591&lt;&gt;"",E3591&lt;&gt;"!!!"),"NEW","")))</f>
        <v/>
      </c>
      <c r="G3591" s="26" t="str">
        <f aca="false">IF(OR(E3591="",E3591="!!!"),"",IF(OR(J3591=0,AND(J3591=1,K3591=1),AND(J3591=1,I3591="SBJ"),AND(J3591=1,I3591=0)),"?IN_FOCUS",IF(J3591&lt;=2,"?ACTIVATED",IF(J3591&lt;&gt;"","?FAMILIAR",IF(F3591="NEW",IF(ISNA(VLOOKUP(E3591,#REF!,1,FALSE())),"?TYPE_IDENTIFIABLE","?REFERENTIAL"),"_")))))</f>
        <v/>
      </c>
      <c r="H3591" s="27" t="str">
        <f aca="false">IF(J3591&lt;&gt;1,"",IF(I3591="SBJ","CB","?"))</f>
        <v/>
      </c>
      <c r="I3591" s="24" t="str">
        <f aca="false">IF(OR(E3591="",E3591="!!!",F3591="NEW"),"",INDEX(B35:B$3557,-1+SUMPRODUCT(MAX(ROW(E35:E$3557)*(E3591=E35:E$3557)))))</f>
        <v/>
      </c>
      <c r="J3591" s="24" t="str">
        <f aca="true">IF(OR(E3591="",E3591="!!!",F3591="NEW"),"",COUNTBLANK(OFFSET(A$1,,,SUMPRODUCT(MAX(ROW(E$2:E3591)*(E3591=E$2:E3591)))))-COUNTBLANK(OFFSET(A$1,,,SUMPRODUCT(MAX(ROW(E$1:E3590)*(E2=E$1:E3590))))))</f>
        <v/>
      </c>
      <c r="K3591" s="24" t="str">
        <f aca="false">IF(OR(E3591="",E3591="!!!",F3591="NEW"),"",INDEX(J$1:J3590,SUMPRODUCT(MAX(ROW(E$1:E3590)*(E3591=E$1:E3590)))))</f>
        <v/>
      </c>
      <c r="L3591" s="31"/>
    </row>
    <row r="3592" customFormat="false" ht="15" hidden="false" customHeight="false" outlineLevel="0" collapsed="false">
      <c r="A3592" s="20" t="s">
        <v>923</v>
      </c>
      <c r="E3592" s="23" t="str">
        <f aca="false">IF(D3592="?OLD","!!!","")</f>
        <v/>
      </c>
      <c r="F3592" s="25" t="str">
        <f aca="false">IF(OR(E3592="",E3592="!!!"),"",IF(NOT(ISNA(VLOOKUP(E3592,E$1:E3591,1,FALSE()))),"OLD",IF(AND(E3592&lt;&gt;"",E3592&lt;&gt;"!!!"),"NEW","")))</f>
        <v/>
      </c>
      <c r="G3592" s="26" t="str">
        <f aca="false">IF(OR(E3592="",E3592="!!!"),"",IF(OR(J3592=0,AND(J3592=1,K3592=1),AND(J3592=1,I3592="SBJ"),AND(J3592=1,I3592=0)),"?IN_FOCUS",IF(J3592&lt;=2,"?ACTIVATED",IF(J3592&lt;&gt;"","?FAMILIAR",IF(F3592="NEW",IF(ISNA(VLOOKUP(E3592,#REF!,1,FALSE())),"?TYPE_IDENTIFIABLE","?REFERENTIAL"),"_")))))</f>
        <v/>
      </c>
      <c r="H3592" s="27" t="str">
        <f aca="false">IF(J3592&lt;&gt;1,"",IF(I3592="SBJ","CB","?"))</f>
        <v/>
      </c>
      <c r="I3592" s="24" t="str">
        <f aca="false">IF(OR(E3592="",E3592="!!!",F3592="NEW"),"",INDEX(B36:B$3557,-1+SUMPRODUCT(MAX(ROW(E36:E$3557)*(E3592=E36:E$3557)))))</f>
        <v/>
      </c>
      <c r="J3592" s="24" t="str">
        <f aca="true">IF(OR(E3592="",E3592="!!!",F3592="NEW"),"",COUNTBLANK(OFFSET(A$1,,,SUMPRODUCT(MAX(ROW(E$2:E3592)*(E3592=E$2:E3592)))))-COUNTBLANK(OFFSET(A$1,,,SUMPRODUCT(MAX(ROW(E$1:E3591)*(E2=E$1:E3591))))))</f>
        <v/>
      </c>
      <c r="K3592" s="24" t="str">
        <f aca="false">IF(OR(E3592="",E3592="!!!",F3592="NEW"),"",INDEX(J$1:J3591,SUMPRODUCT(MAX(ROW(E$1:E3591)*(E3592=E$1:E3591)))))</f>
        <v/>
      </c>
      <c r="L3592" s="31"/>
    </row>
    <row r="3593" customFormat="false" ht="15" hidden="false" customHeight="false" outlineLevel="0" collapsed="false">
      <c r="A3593" s="20"/>
    </row>
    <row r="3594" customFormat="false" ht="15" hidden="false" customHeight="false" outlineLevel="0" collapsed="false">
      <c r="A3594" s="20" t="s">
        <v>2202</v>
      </c>
    </row>
    <row r="3595" customFormat="false" ht="15" hidden="false" customHeight="false" outlineLevel="0" collapsed="false">
      <c r="A3595" s="20" t="s">
        <v>2083</v>
      </c>
      <c r="E3595" s="23" t="str">
        <f aca="false">IF(D3595="?OLD","!!!","")</f>
        <v/>
      </c>
      <c r="F3595" s="25" t="str">
        <f aca="false">IF(OR(E3595="",E3595="!!!"),"",IF(NOT(ISNA(VLOOKUP(E3595,E$1:E3594,1,FALSE()))),"OLD",IF(AND(E3595&lt;&gt;"",E3595&lt;&gt;"!!!"),"NEW","")))</f>
        <v/>
      </c>
      <c r="G3595" s="26" t="str">
        <f aca="false">IF(OR(E3595="",E3595="!!!"),"",IF(OR(J3595=0,AND(J3595=1,K3595=1),AND(J3595=1,I3595="SBJ"),AND(J3595=1,I3595=0)),"?IN_FOCUS",IF(J3595&lt;=2,"?ACTIVATED",IF(J3595&lt;&gt;"","?FAMILIAR",IF(F3595="NEW",IF(ISNA(VLOOKUP(E3595,#REF!,1,FALSE())),"?TYPE_IDENTIFIABLE","?REFERENTIAL"),"_")))))</f>
        <v/>
      </c>
      <c r="H3595" s="27" t="str">
        <f aca="false">IF(J3595&lt;&gt;1,"",IF(I3595="SBJ","CB","?"))</f>
        <v/>
      </c>
      <c r="I3595" s="24" t="str">
        <f aca="false">IF(OR(E3595="",E3595="!!!",F3595="NEW"),"",INDEX(B2:B$3594,-1+SUMPRODUCT(MAX(ROW(E2:E$3594)*(E3595=E2:E$3594)))))</f>
        <v/>
      </c>
      <c r="J3595" s="24" t="str">
        <f aca="true">IF(OR(E3595="",E3595="!!!",F3595="NEW"),"",COUNTBLANK(OFFSET(A$1,,,SUMPRODUCT(MAX(ROW(E$2:E3595)*(E3595=E$2:E3595)))))-COUNTBLANK(OFFSET(A$1,,,SUMPRODUCT(MAX(ROW(E$1:E3594)*(E2=E$1:E3594))))))</f>
        <v/>
      </c>
      <c r="K3595" s="24" t="str">
        <f aca="false">IF(OR(E3595="",E3595="!!!",F3595="NEW"),"",INDEX(J$1:J3594,SUMPRODUCT(MAX(ROW(E$1:E3594)*(E3595=E$1:E3594)))))</f>
        <v/>
      </c>
      <c r="L3595" s="31"/>
    </row>
    <row r="3596" customFormat="false" ht="15" hidden="false" customHeight="false" outlineLevel="0" collapsed="false">
      <c r="A3596" s="20" t="s">
        <v>1339</v>
      </c>
      <c r="E3596" s="23" t="str">
        <f aca="false">IF(D3596="?OLD","!!!","")</f>
        <v/>
      </c>
      <c r="F3596" s="25" t="str">
        <f aca="false">IF(OR(E3596="",E3596="!!!"),"",IF(NOT(ISNA(VLOOKUP(E3596,E$1:E3595,1,FALSE()))),"OLD",IF(AND(E3596&lt;&gt;"",E3596&lt;&gt;"!!!"),"NEW","")))</f>
        <v/>
      </c>
      <c r="G3596" s="26" t="str">
        <f aca="false">IF(OR(E3596="",E3596="!!!"),"",IF(OR(J3596=0,AND(J3596=1,K3596=1),AND(J3596=1,I3596="SBJ"),AND(J3596=1,I3596=0)),"?IN_FOCUS",IF(J3596&lt;=2,"?ACTIVATED",IF(J3596&lt;&gt;"","?FAMILIAR",IF(F3596="NEW",IF(ISNA(VLOOKUP(E3596,#REF!,1,FALSE())),"?TYPE_IDENTIFIABLE","?REFERENTIAL"),"_")))))</f>
        <v/>
      </c>
      <c r="H3596" s="27" t="str">
        <f aca="false">IF(J3596&lt;&gt;1,"",IF(I3596="SBJ","CB","?"))</f>
        <v/>
      </c>
      <c r="I3596" s="24" t="str">
        <f aca="false">IF(OR(E3596="",E3596="!!!",F3596="NEW"),"",INDEX(B3:B$3594,-1+SUMPRODUCT(MAX(ROW(E3:E$3594)*(E3596=E3:E$3594)))))</f>
        <v/>
      </c>
      <c r="J3596" s="24" t="str">
        <f aca="true">IF(OR(E3596="",E3596="!!!",F3596="NEW"),"",COUNTBLANK(OFFSET(A$1,,,SUMPRODUCT(MAX(ROW(E$2:E3596)*(E3596=E$2:E3596)))))-COUNTBLANK(OFFSET(A$1,,,SUMPRODUCT(MAX(ROW(E$1:E3595)*(E2=E$1:E3595))))))</f>
        <v/>
      </c>
      <c r="K3596" s="24" t="str">
        <f aca="false">IF(OR(E3596="",E3596="!!!",F3596="NEW"),"",INDEX(J$1:J3595,SUMPRODUCT(MAX(ROW(E$1:E3595)*(E3596=E$1:E3595)))))</f>
        <v/>
      </c>
      <c r="L3596" s="31"/>
    </row>
    <row r="3597" customFormat="false" ht="15" hidden="false" customHeight="false" outlineLevel="0" collapsed="false">
      <c r="A3597" s="20" t="s">
        <v>2203</v>
      </c>
      <c r="B3597" s="22" t="s">
        <v>1105</v>
      </c>
      <c r="C3597" s="22" t="s">
        <v>1171</v>
      </c>
      <c r="D3597" s="22" t="s">
        <v>1060</v>
      </c>
      <c r="E3597" s="23" t="str">
        <f aca="false">IF(D3597="?OLD","!!!","")</f>
        <v>!!!</v>
      </c>
      <c r="F3597" s="25" t="str">
        <f aca="false">IF(OR(E3597="",E3597="!!!"),"",IF(NOT(ISNA(VLOOKUP(E3597,E$1:E3596,1,FALSE()))),"OLD",IF(AND(E3597&lt;&gt;"",E3597&lt;&gt;"!!!"),"NEW","")))</f>
        <v/>
      </c>
      <c r="G3597" s="26" t="str">
        <f aca="false">IF(OR(E3597="",E3597="!!!"),"",IF(OR(J3597=0,AND(J3597=1,K3597=1),AND(J3597=1,I3597="SBJ"),AND(J3597=1,I3597=0)),"?IN_FOCUS",IF(J3597&lt;=2,"?ACTIVATED",IF(J3597&lt;&gt;"","?FAMILIAR",IF(F3597="NEW",IF(ISNA(VLOOKUP(E3597,#REF!,1,FALSE())),"?TYPE_IDENTIFIABLE","?REFERENTIAL"),"_")))))</f>
        <v/>
      </c>
      <c r="H3597" s="27" t="str">
        <f aca="false">IF(J3597&lt;&gt;1,"",IF(I3597="SBJ","CB","?"))</f>
        <v/>
      </c>
      <c r="I3597" s="24" t="str">
        <f aca="false">IF(OR(E3597="",E3597="!!!",F3597="NEW"),"",INDEX(B4:B$3594,-1+SUMPRODUCT(MAX(ROW(E4:E$3594)*(E3597=E4:E$3594)))))</f>
        <v/>
      </c>
      <c r="J3597" s="24" t="str">
        <f aca="true">IF(OR(E3597="",E3597="!!!",F3597="NEW"),"",COUNTBLANK(OFFSET(A$1,,,SUMPRODUCT(MAX(ROW(E$2:E3597)*(E3597=E$2:E3597)))))-COUNTBLANK(OFFSET(A$1,,,SUMPRODUCT(MAX(ROW(E$1:E3596)*(E2=E$1:E3596))))))</f>
        <v/>
      </c>
      <c r="K3597" s="24" t="str">
        <f aca="false">IF(OR(E3597="",E3597="!!!",F3597="NEW"),"",INDEX(J$1:J3596,SUMPRODUCT(MAX(ROW(E$1:E3596)*(E3597=E$1:E3596)))))</f>
        <v/>
      </c>
      <c r="L3597" s="31"/>
    </row>
    <row r="3598" customFormat="false" ht="15" hidden="false" customHeight="false" outlineLevel="0" collapsed="false">
      <c r="A3598" s="20" t="s">
        <v>1085</v>
      </c>
      <c r="E3598" s="23" t="str">
        <f aca="false">IF(D3598="?OLD","!!!","")</f>
        <v/>
      </c>
      <c r="F3598" s="25" t="str">
        <f aca="false">IF(OR(E3598="",E3598="!!!"),"",IF(NOT(ISNA(VLOOKUP(E3598,E$1:E3597,1,FALSE()))),"OLD",IF(AND(E3598&lt;&gt;"",E3598&lt;&gt;"!!!"),"NEW","")))</f>
        <v/>
      </c>
      <c r="G3598" s="26" t="str">
        <f aca="false">IF(OR(E3598="",E3598="!!!"),"",IF(OR(J3598=0,AND(J3598=1,K3598=1),AND(J3598=1,I3598="SBJ"),AND(J3598=1,I3598=0)),"?IN_FOCUS",IF(J3598&lt;=2,"?ACTIVATED",IF(J3598&lt;&gt;"","?FAMILIAR",IF(F3598="NEW",IF(ISNA(VLOOKUP(E3598,#REF!,1,FALSE())),"?TYPE_IDENTIFIABLE","?REFERENTIAL"),"_")))))</f>
        <v/>
      </c>
      <c r="H3598" s="27" t="str">
        <f aca="false">IF(J3598&lt;&gt;1,"",IF(I3598="SBJ","CB","?"))</f>
        <v/>
      </c>
      <c r="I3598" s="24" t="str">
        <f aca="false">IF(OR(E3598="",E3598="!!!",F3598="NEW"),"",INDEX(B5:B$3594,-1+SUMPRODUCT(MAX(ROW(E5:E$3594)*(E3598=E5:E$3594)))))</f>
        <v/>
      </c>
      <c r="J3598" s="24" t="str">
        <f aca="true">IF(OR(E3598="",E3598="!!!",F3598="NEW"),"",COUNTBLANK(OFFSET(A$1,,,SUMPRODUCT(MAX(ROW(E$2:E3598)*(E3598=E$2:E3598)))))-COUNTBLANK(OFFSET(A$1,,,SUMPRODUCT(MAX(ROW(E$1:E3597)*(E2=E$1:E3597))))))</f>
        <v/>
      </c>
      <c r="K3598" s="24" t="str">
        <f aca="false">IF(OR(E3598="",E3598="!!!",F3598="NEW"),"",INDEX(J$1:J3597,SUMPRODUCT(MAX(ROW(E$1:E3597)*(E3598=E$1:E3597)))))</f>
        <v/>
      </c>
      <c r="L3598" s="31"/>
    </row>
    <row r="3599" customFormat="false" ht="15" hidden="false" customHeight="false" outlineLevel="0" collapsed="false">
      <c r="A3599" s="20" t="s">
        <v>2204</v>
      </c>
      <c r="B3599" s="22" t="s">
        <v>1058</v>
      </c>
      <c r="C3599" s="22" t="s">
        <v>1087</v>
      </c>
      <c r="E3599" s="23" t="str">
        <f aca="false">IF(D3599="?OLD","!!!","")</f>
        <v/>
      </c>
      <c r="F3599" s="25" t="str">
        <f aca="false">IF(OR(E3599="",E3599="!!!"),"",IF(NOT(ISNA(VLOOKUP(E3599,E$1:E3598,1,FALSE()))),"OLD",IF(AND(E3599&lt;&gt;"",E3599&lt;&gt;"!!!"),"NEW","")))</f>
        <v/>
      </c>
      <c r="G3599" s="26" t="str">
        <f aca="false">IF(OR(E3599="",E3599="!!!"),"",IF(OR(J3599=0,AND(J3599=1,K3599=1),AND(J3599=1,I3599="SBJ"),AND(J3599=1,I3599=0)),"?IN_FOCUS",IF(J3599&lt;=2,"?ACTIVATED",IF(J3599&lt;&gt;"","?FAMILIAR",IF(F3599="NEW",IF(ISNA(VLOOKUP(E3599,#REF!,1,FALSE())),"?TYPE_IDENTIFIABLE","?REFERENTIAL"),"_")))))</f>
        <v/>
      </c>
      <c r="H3599" s="27" t="str">
        <f aca="false">IF(J3599&lt;&gt;1,"",IF(I3599="SBJ","CB","?"))</f>
        <v/>
      </c>
      <c r="I3599" s="24" t="str">
        <f aca="false">IF(OR(E3599="",E3599="!!!",F3599="NEW"),"",INDEX(B6:B$3594,-1+SUMPRODUCT(MAX(ROW(E6:E$3594)*(E3599=E6:E$3594)))))</f>
        <v/>
      </c>
      <c r="J3599" s="24" t="str">
        <f aca="true">IF(OR(E3599="",E3599="!!!",F3599="NEW"),"",COUNTBLANK(OFFSET(A$1,,,SUMPRODUCT(MAX(ROW(E$2:E3599)*(E3599=E$2:E3599)))))-COUNTBLANK(OFFSET(A$1,,,SUMPRODUCT(MAX(ROW(E$1:E3598)*(E2=E$1:E3598))))))</f>
        <v/>
      </c>
      <c r="K3599" s="24" t="str">
        <f aca="false">IF(OR(E3599="",E3599="!!!",F3599="NEW"),"",INDEX(J$1:J3598,SUMPRODUCT(MAX(ROW(E$1:E3598)*(E3599=E$1:E3598)))))</f>
        <v/>
      </c>
      <c r="L3599" s="31"/>
    </row>
    <row r="3600" customFormat="false" ht="15" hidden="false" customHeight="false" outlineLevel="0" collapsed="false">
      <c r="A3600" s="20" t="s">
        <v>1092</v>
      </c>
      <c r="E3600" s="23" t="str">
        <f aca="false">IF(D3600="?OLD","!!!","")</f>
        <v/>
      </c>
      <c r="F3600" s="25" t="str">
        <f aca="false">IF(OR(E3600="",E3600="!!!"),"",IF(NOT(ISNA(VLOOKUP(E3600,E$1:E3599,1,FALSE()))),"OLD",IF(AND(E3600&lt;&gt;"",E3600&lt;&gt;"!!!"),"NEW","")))</f>
        <v/>
      </c>
      <c r="G3600" s="26" t="str">
        <f aca="false">IF(OR(E3600="",E3600="!!!"),"",IF(OR(J3600=0,AND(J3600=1,K3600=1),AND(J3600=1,I3600="SBJ"),AND(J3600=1,I3600=0)),"?IN_FOCUS",IF(J3600&lt;=2,"?ACTIVATED",IF(J3600&lt;&gt;"","?FAMILIAR",IF(F3600="NEW",IF(ISNA(VLOOKUP(E3600,#REF!,1,FALSE())),"?TYPE_IDENTIFIABLE","?REFERENTIAL"),"_")))))</f>
        <v/>
      </c>
      <c r="H3600" s="27" t="str">
        <f aca="false">IF(J3600&lt;&gt;1,"",IF(I3600="SBJ","CB","?"))</f>
        <v/>
      </c>
      <c r="I3600" s="24" t="str">
        <f aca="false">IF(OR(E3600="",E3600="!!!",F3600="NEW"),"",INDEX(B7:B$3594,-1+SUMPRODUCT(MAX(ROW(E7:E$3594)*(E3600=E7:E$3594)))))</f>
        <v/>
      </c>
      <c r="J3600" s="24" t="str">
        <f aca="true">IF(OR(E3600="",E3600="!!!",F3600="NEW"),"",COUNTBLANK(OFFSET(A$1,,,SUMPRODUCT(MAX(ROW(E$2:E3600)*(E3600=E$2:E3600)))))-COUNTBLANK(OFFSET(A$1,,,SUMPRODUCT(MAX(ROW(E$1:E3599)*(E2=E$1:E3599))))))</f>
        <v/>
      </c>
      <c r="K3600" s="24" t="str">
        <f aca="false">IF(OR(E3600="",E3600="!!!",F3600="NEW"),"",INDEX(J$1:J3599,SUMPRODUCT(MAX(ROW(E$1:E3599)*(E3600=E$1:E3599)))))</f>
        <v/>
      </c>
      <c r="L3600" s="31"/>
    </row>
    <row r="3601" customFormat="false" ht="15" hidden="false" customHeight="false" outlineLevel="0" collapsed="false">
      <c r="A3601" s="20" t="s">
        <v>2205</v>
      </c>
      <c r="E3601" s="23" t="str">
        <f aca="false">IF(D3601="?OLD","!!!","")</f>
        <v/>
      </c>
      <c r="F3601" s="25" t="str">
        <f aca="false">IF(OR(E3601="",E3601="!!!"),"",IF(NOT(ISNA(VLOOKUP(E3601,E$1:E3600,1,FALSE()))),"OLD",IF(AND(E3601&lt;&gt;"",E3601&lt;&gt;"!!!"),"NEW","")))</f>
        <v/>
      </c>
      <c r="G3601" s="26" t="str">
        <f aca="false">IF(OR(E3601="",E3601="!!!"),"",IF(OR(J3601=0,AND(J3601=1,K3601=1),AND(J3601=1,I3601="SBJ"),AND(J3601=1,I3601=0)),"?IN_FOCUS",IF(J3601&lt;=2,"?ACTIVATED",IF(J3601&lt;&gt;"","?FAMILIAR",IF(F3601="NEW",IF(ISNA(VLOOKUP(E3601,#REF!,1,FALSE())),"?TYPE_IDENTIFIABLE","?REFERENTIAL"),"_")))))</f>
        <v/>
      </c>
      <c r="H3601" s="27" t="str">
        <f aca="false">IF(J3601&lt;&gt;1,"",IF(I3601="SBJ","CB","?"))</f>
        <v/>
      </c>
      <c r="I3601" s="24" t="str">
        <f aca="false">IF(OR(E3601="",E3601="!!!",F3601="NEW"),"",INDEX(B8:B$3594,-1+SUMPRODUCT(MAX(ROW(E8:E$3594)*(E3601=E8:E$3594)))))</f>
        <v/>
      </c>
      <c r="J3601" s="24" t="str">
        <f aca="true">IF(OR(E3601="",E3601="!!!",F3601="NEW"),"",COUNTBLANK(OFFSET(A$1,,,SUMPRODUCT(MAX(ROW(E$2:E3601)*(E3601=E$2:E3601)))))-COUNTBLANK(OFFSET(A$1,,,SUMPRODUCT(MAX(ROW(E$1:E3600)*(E2=E$1:E3600))))))</f>
        <v/>
      </c>
      <c r="K3601" s="24" t="str">
        <f aca="false">IF(OR(E3601="",E3601="!!!",F3601="NEW"),"",INDEX(J$1:J3600,SUMPRODUCT(MAX(ROW(E$1:E3600)*(E3601=E$1:E3600)))))</f>
        <v/>
      </c>
      <c r="L3601" s="31"/>
    </row>
    <row r="3602" customFormat="false" ht="15" hidden="false" customHeight="false" outlineLevel="0" collapsed="false">
      <c r="A3602" s="20" t="s">
        <v>1076</v>
      </c>
      <c r="E3602" s="23" t="str">
        <f aca="false">IF(D3602="?OLD","!!!","")</f>
        <v/>
      </c>
      <c r="F3602" s="25" t="str">
        <f aca="false">IF(OR(E3602="",E3602="!!!"),"",IF(NOT(ISNA(VLOOKUP(E3602,E$1:E3601,1,FALSE()))),"OLD",IF(AND(E3602&lt;&gt;"",E3602&lt;&gt;"!!!"),"NEW","")))</f>
        <v/>
      </c>
      <c r="G3602" s="26" t="str">
        <f aca="false">IF(OR(E3602="",E3602="!!!"),"",IF(OR(J3602=0,AND(J3602=1,K3602=1),AND(J3602=1,I3602="SBJ"),AND(J3602=1,I3602=0)),"?IN_FOCUS",IF(J3602&lt;=2,"?ACTIVATED",IF(J3602&lt;&gt;"","?FAMILIAR",IF(F3602="NEW",IF(ISNA(VLOOKUP(E3602,#REF!,1,FALSE())),"?TYPE_IDENTIFIABLE","?REFERENTIAL"),"_")))))</f>
        <v/>
      </c>
      <c r="H3602" s="27" t="str">
        <f aca="false">IF(J3602&lt;&gt;1,"",IF(I3602="SBJ","CB","?"))</f>
        <v/>
      </c>
      <c r="I3602" s="24" t="str">
        <f aca="false">IF(OR(E3602="",E3602="!!!",F3602="NEW"),"",INDEX(B9:B$3594,-1+SUMPRODUCT(MAX(ROW(E9:E$3594)*(E3602=E9:E$3594)))))</f>
        <v/>
      </c>
      <c r="J3602" s="24" t="str">
        <f aca="true">IF(OR(E3602="",E3602="!!!",F3602="NEW"),"",COUNTBLANK(OFFSET(A$1,,,SUMPRODUCT(MAX(ROW(E$2:E3602)*(E3602=E$2:E3602)))))-COUNTBLANK(OFFSET(A$1,,,SUMPRODUCT(MAX(ROW(E$1:E3601)*(E2=E$1:E3601))))))</f>
        <v/>
      </c>
      <c r="K3602" s="24" t="str">
        <f aca="false">IF(OR(E3602="",E3602="!!!",F3602="NEW"),"",INDEX(J$1:J3601,SUMPRODUCT(MAX(ROW(E$1:E3601)*(E3602=E$1:E3601)))))</f>
        <v/>
      </c>
      <c r="L3602" s="31"/>
    </row>
    <row r="3603" customFormat="false" ht="15" hidden="false" customHeight="false" outlineLevel="0" collapsed="false">
      <c r="A3603" s="20" t="s">
        <v>587</v>
      </c>
      <c r="E3603" s="23" t="str">
        <f aca="false">IF(D3603="?OLD","!!!","")</f>
        <v/>
      </c>
      <c r="F3603" s="25" t="str">
        <f aca="false">IF(OR(E3603="",E3603="!!!"),"",IF(NOT(ISNA(VLOOKUP(E3603,E$1:E3602,1,FALSE()))),"OLD",IF(AND(E3603&lt;&gt;"",E3603&lt;&gt;"!!!"),"NEW","")))</f>
        <v/>
      </c>
      <c r="G3603" s="26" t="str">
        <f aca="false">IF(OR(E3603="",E3603="!!!"),"",IF(OR(J3603=0,AND(J3603=1,K3603=1),AND(J3603=1,I3603="SBJ"),AND(J3603=1,I3603=0)),"?IN_FOCUS",IF(J3603&lt;=2,"?ACTIVATED",IF(J3603&lt;&gt;"","?FAMILIAR",IF(F3603="NEW",IF(ISNA(VLOOKUP(E3603,#REF!,1,FALSE())),"?TYPE_IDENTIFIABLE","?REFERENTIAL"),"_")))))</f>
        <v/>
      </c>
      <c r="H3603" s="27" t="str">
        <f aca="false">IF(J3603&lt;&gt;1,"",IF(I3603="SBJ","CB","?"))</f>
        <v/>
      </c>
      <c r="I3603" s="24" t="str">
        <f aca="false">IF(OR(E3603="",E3603="!!!",F3603="NEW"),"",INDEX(B10:B$3594,-1+SUMPRODUCT(MAX(ROW(E10:E$3594)*(E3603=E10:E$3594)))))</f>
        <v/>
      </c>
      <c r="J3603" s="24" t="str">
        <f aca="true">IF(OR(E3603="",E3603="!!!",F3603="NEW"),"",COUNTBLANK(OFFSET(A$1,,,SUMPRODUCT(MAX(ROW(E$2:E3603)*(E3603=E$2:E3603)))))-COUNTBLANK(OFFSET(A$1,,,SUMPRODUCT(MAX(ROW(E$1:E3602)*(E2=E$1:E3602))))))</f>
        <v/>
      </c>
      <c r="K3603" s="24" t="str">
        <f aca="false">IF(OR(E3603="",E3603="!!!",F3603="NEW"),"",INDEX(J$1:J3602,SUMPRODUCT(MAX(ROW(E$1:E3602)*(E3603=E$1:E3602)))))</f>
        <v/>
      </c>
      <c r="L3603" s="31"/>
    </row>
    <row r="3604" customFormat="false" ht="15" hidden="false" customHeight="false" outlineLevel="0" collapsed="false">
      <c r="A3604" s="20" t="s">
        <v>2206</v>
      </c>
      <c r="E3604" s="23" t="str">
        <f aca="false">IF(D3604="?OLD","!!!","")</f>
        <v/>
      </c>
      <c r="F3604" s="25" t="str">
        <f aca="false">IF(OR(E3604="",E3604="!!!"),"",IF(NOT(ISNA(VLOOKUP(E3604,E$1:E3603,1,FALSE()))),"OLD",IF(AND(E3604&lt;&gt;"",E3604&lt;&gt;"!!!"),"NEW","")))</f>
        <v/>
      </c>
      <c r="G3604" s="26" t="str">
        <f aca="false">IF(OR(E3604="",E3604="!!!"),"",IF(OR(J3604=0,AND(J3604=1,K3604=1),AND(J3604=1,I3604="SBJ"),AND(J3604=1,I3604=0)),"?IN_FOCUS",IF(J3604&lt;=2,"?ACTIVATED",IF(J3604&lt;&gt;"","?FAMILIAR",IF(F3604="NEW",IF(ISNA(VLOOKUP(E3604,#REF!,1,FALSE())),"?TYPE_IDENTIFIABLE","?REFERENTIAL"),"_")))))</f>
        <v/>
      </c>
      <c r="H3604" s="27" t="str">
        <f aca="false">IF(J3604&lt;&gt;1,"",IF(I3604="SBJ","CB","?"))</f>
        <v/>
      </c>
      <c r="I3604" s="24" t="str">
        <f aca="false">IF(OR(E3604="",E3604="!!!",F3604="NEW"),"",INDEX(B11:B$3594,-1+SUMPRODUCT(MAX(ROW(E11:E$3594)*(E3604=E11:E$3594)))))</f>
        <v/>
      </c>
      <c r="J3604" s="24" t="str">
        <f aca="true">IF(OR(E3604="",E3604="!!!",F3604="NEW"),"",COUNTBLANK(OFFSET(A$1,,,SUMPRODUCT(MAX(ROW(E$2:E3604)*(E3604=E$2:E3604)))))-COUNTBLANK(OFFSET(A$1,,,SUMPRODUCT(MAX(ROW(E$1:E3603)*(E2=E$1:E3603))))))</f>
        <v/>
      </c>
      <c r="K3604" s="24" t="str">
        <f aca="false">IF(OR(E3604="",E3604="!!!",F3604="NEW"),"",INDEX(J$1:J3603,SUMPRODUCT(MAX(ROW(E$1:E3603)*(E3604=E$1:E3603)))))</f>
        <v/>
      </c>
      <c r="L3604" s="31"/>
    </row>
    <row r="3605" customFormat="false" ht="15" hidden="false" customHeight="false" outlineLevel="0" collapsed="false">
      <c r="A3605" s="20" t="s">
        <v>1128</v>
      </c>
      <c r="E3605" s="23" t="str">
        <f aca="false">IF(D3605="?OLD","!!!","")</f>
        <v/>
      </c>
      <c r="F3605" s="25" t="str">
        <f aca="false">IF(OR(E3605="",E3605="!!!"),"",IF(NOT(ISNA(VLOOKUP(E3605,E$1:E3604,1,FALSE()))),"OLD",IF(AND(E3605&lt;&gt;"",E3605&lt;&gt;"!!!"),"NEW","")))</f>
        <v/>
      </c>
      <c r="G3605" s="26" t="str">
        <f aca="false">IF(OR(E3605="",E3605="!!!"),"",IF(OR(J3605=0,AND(J3605=1,K3605=1),AND(J3605=1,I3605="SBJ"),AND(J3605=1,I3605=0)),"?IN_FOCUS",IF(J3605&lt;=2,"?ACTIVATED",IF(J3605&lt;&gt;"","?FAMILIAR",IF(F3605="NEW",IF(ISNA(VLOOKUP(E3605,#REF!,1,FALSE())),"?TYPE_IDENTIFIABLE","?REFERENTIAL"),"_")))))</f>
        <v/>
      </c>
      <c r="H3605" s="27" t="str">
        <f aca="false">IF(J3605&lt;&gt;1,"",IF(I3605="SBJ","CB","?"))</f>
        <v/>
      </c>
      <c r="I3605" s="24" t="str">
        <f aca="false">IF(OR(E3605="",E3605="!!!",F3605="NEW"),"",INDEX(B12:B$3594,-1+SUMPRODUCT(MAX(ROW(E12:E$3594)*(E3605=E12:E$3594)))))</f>
        <v/>
      </c>
      <c r="J3605" s="24" t="str">
        <f aca="true">IF(OR(E3605="",E3605="!!!",F3605="NEW"),"",COUNTBLANK(OFFSET(A$1,,,SUMPRODUCT(MAX(ROW(E$2:E3605)*(E3605=E$2:E3605)))))-COUNTBLANK(OFFSET(A$1,,,SUMPRODUCT(MAX(ROW(E$1:E3604)*(E2=E$1:E3604))))))</f>
        <v/>
      </c>
      <c r="K3605" s="24" t="str">
        <f aca="false">IF(OR(E3605="",E3605="!!!",F3605="NEW"),"",INDEX(J$1:J3604,SUMPRODUCT(MAX(ROW(E$1:E3604)*(E3605=E$1:E3604)))))</f>
        <v/>
      </c>
      <c r="L3605" s="31"/>
    </row>
    <row r="3606" customFormat="false" ht="15" hidden="false" customHeight="false" outlineLevel="0" collapsed="false">
      <c r="A3606" s="20" t="s">
        <v>2207</v>
      </c>
      <c r="E3606" s="23" t="str">
        <f aca="false">IF(D3606="?OLD","!!!","")</f>
        <v/>
      </c>
      <c r="F3606" s="25" t="str">
        <f aca="false">IF(OR(E3606="",E3606="!!!"),"",IF(NOT(ISNA(VLOOKUP(E3606,E$1:E3605,1,FALSE()))),"OLD",IF(AND(E3606&lt;&gt;"",E3606&lt;&gt;"!!!"),"NEW","")))</f>
        <v/>
      </c>
      <c r="G3606" s="26" t="str">
        <f aca="false">IF(OR(E3606="",E3606="!!!"),"",IF(OR(J3606=0,AND(J3606=1,K3606=1),AND(J3606=1,I3606="SBJ"),AND(J3606=1,I3606=0)),"?IN_FOCUS",IF(J3606&lt;=2,"?ACTIVATED",IF(J3606&lt;&gt;"","?FAMILIAR",IF(F3606="NEW",IF(ISNA(VLOOKUP(E3606,#REF!,1,FALSE())),"?TYPE_IDENTIFIABLE","?REFERENTIAL"),"_")))))</f>
        <v/>
      </c>
      <c r="H3606" s="27" t="str">
        <f aca="false">IF(J3606&lt;&gt;1,"",IF(I3606="SBJ","CB","?"))</f>
        <v/>
      </c>
      <c r="I3606" s="24" t="str">
        <f aca="false">IF(OR(E3606="",E3606="!!!",F3606="NEW"),"",INDEX(B13:B$3594,-1+SUMPRODUCT(MAX(ROW(E13:E$3594)*(E3606=E13:E$3594)))))</f>
        <v/>
      </c>
      <c r="J3606" s="24" t="str">
        <f aca="true">IF(OR(E3606="",E3606="!!!",F3606="NEW"),"",COUNTBLANK(OFFSET(A$1,,,SUMPRODUCT(MAX(ROW(E$2:E3606)*(E3606=E$2:E3606)))))-COUNTBLANK(OFFSET(A$1,,,SUMPRODUCT(MAX(ROW(E$1:E3605)*(E2=E$1:E3605))))))</f>
        <v/>
      </c>
      <c r="K3606" s="24" t="str">
        <f aca="false">IF(OR(E3606="",E3606="!!!",F3606="NEW"),"",INDEX(J$1:J3605,SUMPRODUCT(MAX(ROW(E$1:E3605)*(E3606=E$1:E3605)))))</f>
        <v/>
      </c>
      <c r="L3606" s="31"/>
    </row>
    <row r="3607" customFormat="false" ht="15" hidden="false" customHeight="false" outlineLevel="0" collapsed="false">
      <c r="A3607" s="20" t="s">
        <v>1173</v>
      </c>
      <c r="E3607" s="23" t="str">
        <f aca="false">IF(D3607="?OLD","!!!","")</f>
        <v/>
      </c>
      <c r="F3607" s="25" t="str">
        <f aca="false">IF(OR(E3607="",E3607="!!!"),"",IF(NOT(ISNA(VLOOKUP(E3607,E$1:E3606,1,FALSE()))),"OLD",IF(AND(E3607&lt;&gt;"",E3607&lt;&gt;"!!!"),"NEW","")))</f>
        <v/>
      </c>
      <c r="G3607" s="26" t="str">
        <f aca="false">IF(OR(E3607="",E3607="!!!"),"",IF(OR(J3607=0,AND(J3607=1,K3607=1),AND(J3607=1,I3607="SBJ"),AND(J3607=1,I3607=0)),"?IN_FOCUS",IF(J3607&lt;=2,"?ACTIVATED",IF(J3607&lt;&gt;"","?FAMILIAR",IF(F3607="NEW",IF(ISNA(VLOOKUP(E3607,#REF!,1,FALSE())),"?TYPE_IDENTIFIABLE","?REFERENTIAL"),"_")))))</f>
        <v/>
      </c>
      <c r="H3607" s="27" t="str">
        <f aca="false">IF(J3607&lt;&gt;1,"",IF(I3607="SBJ","CB","?"))</f>
        <v/>
      </c>
      <c r="I3607" s="24" t="str">
        <f aca="false">IF(OR(E3607="",E3607="!!!",F3607="NEW"),"",INDEX(B14:B$3594,-1+SUMPRODUCT(MAX(ROW(E14:E$3594)*(E3607=E14:E$3594)))))</f>
        <v/>
      </c>
      <c r="J3607" s="24" t="str">
        <f aca="true">IF(OR(E3607="",E3607="!!!",F3607="NEW"),"",COUNTBLANK(OFFSET(A$1,,,SUMPRODUCT(MAX(ROW(E$2:E3607)*(E3607=E$2:E3607)))))-COUNTBLANK(OFFSET(A$1,,,SUMPRODUCT(MAX(ROW(E$1:E3606)*(E2=E$1:E3606))))))</f>
        <v/>
      </c>
      <c r="K3607" s="24" t="str">
        <f aca="false">IF(OR(E3607="",E3607="!!!",F3607="NEW"),"",INDEX(J$1:J3606,SUMPRODUCT(MAX(ROW(E$1:E3606)*(E3607=E$1:E3606)))))</f>
        <v/>
      </c>
      <c r="L3607" s="31"/>
    </row>
    <row r="3608" customFormat="false" ht="15" hidden="false" customHeight="false" outlineLevel="0" collapsed="false">
      <c r="A3608" s="20" t="s">
        <v>1109</v>
      </c>
      <c r="E3608" s="23" t="str">
        <f aca="false">IF(D3608="?OLD","!!!","")</f>
        <v/>
      </c>
      <c r="F3608" s="25" t="str">
        <f aca="false">IF(OR(E3608="",E3608="!!!"),"",IF(NOT(ISNA(VLOOKUP(E3608,E$1:E3607,1,FALSE()))),"OLD",IF(AND(E3608&lt;&gt;"",E3608&lt;&gt;"!!!"),"NEW","")))</f>
        <v/>
      </c>
      <c r="G3608" s="26" t="str">
        <f aca="false">IF(OR(E3608="",E3608="!!!"),"",IF(OR(J3608=0,AND(J3608=1,K3608=1),AND(J3608=1,I3608="SBJ"),AND(J3608=1,I3608=0)),"?IN_FOCUS",IF(J3608&lt;=2,"?ACTIVATED",IF(J3608&lt;&gt;"","?FAMILIAR",IF(F3608="NEW",IF(ISNA(VLOOKUP(E3608,#REF!,1,FALSE())),"?TYPE_IDENTIFIABLE","?REFERENTIAL"),"_")))))</f>
        <v/>
      </c>
      <c r="H3608" s="27" t="str">
        <f aca="false">IF(J3608&lt;&gt;1,"",IF(I3608="SBJ","CB","?"))</f>
        <v/>
      </c>
      <c r="I3608" s="24" t="str">
        <f aca="false">IF(OR(E3608="",E3608="!!!",F3608="NEW"),"",INDEX(B15:B$3594,-1+SUMPRODUCT(MAX(ROW(E15:E$3594)*(E3608=E15:E$3594)))))</f>
        <v/>
      </c>
      <c r="J3608" s="24" t="str">
        <f aca="true">IF(OR(E3608="",E3608="!!!",F3608="NEW"),"",COUNTBLANK(OFFSET(A$1,,,SUMPRODUCT(MAX(ROW(E$2:E3608)*(E3608=E$2:E3608)))))-COUNTBLANK(OFFSET(A$1,,,SUMPRODUCT(MAX(ROW(E$1:E3607)*(E2=E$1:E3607))))))</f>
        <v/>
      </c>
      <c r="K3608" s="24" t="str">
        <f aca="false">IF(OR(E3608="",E3608="!!!",F3608="NEW"),"",INDEX(J$1:J3607,SUMPRODUCT(MAX(ROW(E$1:E3607)*(E3608=E$1:E3607)))))</f>
        <v/>
      </c>
      <c r="L3608" s="31"/>
    </row>
    <row r="3609" customFormat="false" ht="15" hidden="false" customHeight="false" outlineLevel="0" collapsed="false">
      <c r="A3609" s="20" t="s">
        <v>2208</v>
      </c>
      <c r="B3609" s="22" t="s">
        <v>1067</v>
      </c>
      <c r="C3609" s="22" t="s">
        <v>1150</v>
      </c>
      <c r="D3609" s="22" t="s">
        <v>1060</v>
      </c>
      <c r="E3609" s="23" t="str">
        <f aca="false">IF(D3609="?OLD","!!!","")</f>
        <v>!!!</v>
      </c>
      <c r="F3609" s="25" t="str">
        <f aca="false">IF(OR(E3609="",E3609="!!!"),"",IF(NOT(ISNA(VLOOKUP(E3609,E$1:E3608,1,FALSE()))),"OLD",IF(AND(E3609&lt;&gt;"",E3609&lt;&gt;"!!!"),"NEW","")))</f>
        <v/>
      </c>
      <c r="G3609" s="26" t="str">
        <f aca="false">IF(OR(E3609="",E3609="!!!"),"",IF(OR(J3609=0,AND(J3609=1,K3609=1),AND(J3609=1,I3609="SBJ"),AND(J3609=1,I3609=0)),"?IN_FOCUS",IF(J3609&lt;=2,"?ACTIVATED",IF(J3609&lt;&gt;"","?FAMILIAR",IF(F3609="NEW",IF(ISNA(VLOOKUP(E3609,#REF!,1,FALSE())),"?TYPE_IDENTIFIABLE","?REFERENTIAL"),"_")))))</f>
        <v/>
      </c>
      <c r="H3609" s="27" t="str">
        <f aca="false">IF(J3609&lt;&gt;1,"",IF(I3609="SBJ","CB","?"))</f>
        <v/>
      </c>
      <c r="I3609" s="24" t="str">
        <f aca="false">IF(OR(E3609="",E3609="!!!",F3609="NEW"),"",INDEX(B16:B$3594,-1+SUMPRODUCT(MAX(ROW(E16:E$3594)*(E3609=E16:E$3594)))))</f>
        <v/>
      </c>
      <c r="J3609" s="24" t="str">
        <f aca="true">IF(OR(E3609="",E3609="!!!",F3609="NEW"),"",COUNTBLANK(OFFSET(A$1,,,SUMPRODUCT(MAX(ROW(E$2:E3609)*(E3609=E$2:E3609)))))-COUNTBLANK(OFFSET(A$1,,,SUMPRODUCT(MAX(ROW(E$1:E3608)*(E2=E$1:E3608))))))</f>
        <v/>
      </c>
      <c r="K3609" s="24" t="str">
        <f aca="false">IF(OR(E3609="",E3609="!!!",F3609="NEW"),"",INDEX(J$1:J3608,SUMPRODUCT(MAX(ROW(E$1:E3608)*(E3609=E$1:E3608)))))</f>
        <v/>
      </c>
      <c r="L3609" s="31"/>
    </row>
    <row r="3610" customFormat="false" ht="15" hidden="false" customHeight="false" outlineLevel="0" collapsed="false">
      <c r="A3610" s="20" t="s">
        <v>1125</v>
      </c>
      <c r="B3610" s="22" t="s">
        <v>1359</v>
      </c>
      <c r="E3610" s="23" t="str">
        <f aca="false">IF(D3610="?OLD","!!!","")</f>
        <v/>
      </c>
      <c r="F3610" s="25" t="str">
        <f aca="false">IF(OR(E3610="",E3610="!!!"),"",IF(NOT(ISNA(VLOOKUP(E3610,E$1:E3609,1,FALSE()))),"OLD",IF(AND(E3610&lt;&gt;"",E3610&lt;&gt;"!!!"),"NEW","")))</f>
        <v/>
      </c>
      <c r="G3610" s="26" t="str">
        <f aca="false">IF(OR(E3610="",E3610="!!!"),"",IF(OR(J3610=0,AND(J3610=1,K3610=1),AND(J3610=1,I3610="SBJ"),AND(J3610=1,I3610=0)),"?IN_FOCUS",IF(J3610&lt;=2,"?ACTIVATED",IF(J3610&lt;&gt;"","?FAMILIAR",IF(F3610="NEW",IF(ISNA(VLOOKUP(E3610,#REF!,1,FALSE())),"?TYPE_IDENTIFIABLE","?REFERENTIAL"),"_")))))</f>
        <v/>
      </c>
      <c r="H3610" s="27" t="str">
        <f aca="false">IF(J3610&lt;&gt;1,"",IF(I3610="SBJ","CB","?"))</f>
        <v/>
      </c>
      <c r="I3610" s="24" t="str">
        <f aca="false">IF(OR(E3610="",E3610="!!!",F3610="NEW"),"",INDEX(B17:B$3594,-1+SUMPRODUCT(MAX(ROW(E17:E$3594)*(E3610=E17:E$3594)))))</f>
        <v/>
      </c>
      <c r="J3610" s="24" t="str">
        <f aca="true">IF(OR(E3610="",E3610="!!!",F3610="NEW"),"",COUNTBLANK(OFFSET(A$1,,,SUMPRODUCT(MAX(ROW(E$2:E3610)*(E3610=E$2:E3610)))))-COUNTBLANK(OFFSET(A$1,,,SUMPRODUCT(MAX(ROW(E$1:E3609)*(E2=E$1:E3609))))))</f>
        <v/>
      </c>
      <c r="K3610" s="24" t="str">
        <f aca="false">IF(OR(E3610="",E3610="!!!",F3610="NEW"),"",INDEX(J$1:J3609,SUMPRODUCT(MAX(ROW(E$1:E3609)*(E3610=E$1:E3609)))))</f>
        <v/>
      </c>
      <c r="L3610" s="31"/>
    </row>
    <row r="3611" customFormat="false" ht="15" hidden="false" customHeight="false" outlineLevel="0" collapsed="false">
      <c r="A3611" s="20" t="s">
        <v>1164</v>
      </c>
      <c r="E3611" s="23" t="str">
        <f aca="false">IF(D3611="?OLD","!!!","")</f>
        <v/>
      </c>
      <c r="F3611" s="25" t="str">
        <f aca="false">IF(OR(E3611="",E3611="!!!"),"",IF(NOT(ISNA(VLOOKUP(E3611,E$1:E3610,1,FALSE()))),"OLD",IF(AND(E3611&lt;&gt;"",E3611&lt;&gt;"!!!"),"NEW","")))</f>
        <v/>
      </c>
      <c r="G3611" s="26" t="str">
        <f aca="false">IF(OR(E3611="",E3611="!!!"),"",IF(OR(J3611=0,AND(J3611=1,K3611=1),AND(J3611=1,I3611="SBJ"),AND(J3611=1,I3611=0)),"?IN_FOCUS",IF(J3611&lt;=2,"?ACTIVATED",IF(J3611&lt;&gt;"","?FAMILIAR",IF(F3611="NEW",IF(ISNA(VLOOKUP(E3611,#REF!,1,FALSE())),"?TYPE_IDENTIFIABLE","?REFERENTIAL"),"_")))))</f>
        <v/>
      </c>
      <c r="H3611" s="27" t="str">
        <f aca="false">IF(J3611&lt;&gt;1,"",IF(I3611="SBJ","CB","?"))</f>
        <v/>
      </c>
      <c r="I3611" s="24" t="str">
        <f aca="false">IF(OR(E3611="",E3611="!!!",F3611="NEW"),"",INDEX(B18:B$3594,-1+SUMPRODUCT(MAX(ROW(E18:E$3594)*(E3611=E18:E$3594)))))</f>
        <v/>
      </c>
      <c r="J3611" s="24" t="str">
        <f aca="true">IF(OR(E3611="",E3611="!!!",F3611="NEW"),"",COUNTBLANK(OFFSET(A$1,,,SUMPRODUCT(MAX(ROW(E$2:E3611)*(E3611=E$2:E3611)))))-COUNTBLANK(OFFSET(A$1,,,SUMPRODUCT(MAX(ROW(E$1:E3610)*(E2=E$1:E3610))))))</f>
        <v/>
      </c>
      <c r="K3611" s="24" t="str">
        <f aca="false">IF(OR(E3611="",E3611="!!!",F3611="NEW"),"",INDEX(J$1:J3610,SUMPRODUCT(MAX(ROW(E$1:E3610)*(E3611=E$1:E3610)))))</f>
        <v/>
      </c>
      <c r="L3611" s="31"/>
    </row>
    <row r="3612" customFormat="false" ht="15" hidden="false" customHeight="false" outlineLevel="0" collapsed="false">
      <c r="A3612" s="20" t="s">
        <v>1414</v>
      </c>
      <c r="E3612" s="23" t="str">
        <f aca="false">IF(D3612="?OLD","!!!","")</f>
        <v/>
      </c>
      <c r="F3612" s="25" t="str">
        <f aca="false">IF(OR(E3612="",E3612="!!!"),"",IF(NOT(ISNA(VLOOKUP(E3612,E$1:E3611,1,FALSE()))),"OLD",IF(AND(E3612&lt;&gt;"",E3612&lt;&gt;"!!!"),"NEW","")))</f>
        <v/>
      </c>
      <c r="G3612" s="26" t="str">
        <f aca="false">IF(OR(E3612="",E3612="!!!"),"",IF(OR(J3612=0,AND(J3612=1,K3612=1),AND(J3612=1,I3612="SBJ"),AND(J3612=1,I3612=0)),"?IN_FOCUS",IF(J3612&lt;=2,"?ACTIVATED",IF(J3612&lt;&gt;"","?FAMILIAR",IF(F3612="NEW",IF(ISNA(VLOOKUP(E3612,#REF!,1,FALSE())),"?TYPE_IDENTIFIABLE","?REFERENTIAL"),"_")))))</f>
        <v/>
      </c>
      <c r="H3612" s="27" t="str">
        <f aca="false">IF(J3612&lt;&gt;1,"",IF(I3612="SBJ","CB","?"))</f>
        <v/>
      </c>
      <c r="I3612" s="24" t="str">
        <f aca="false">IF(OR(E3612="",E3612="!!!",F3612="NEW"),"",INDEX(B19:B$3594,-1+SUMPRODUCT(MAX(ROW(E19:E$3594)*(E3612=E19:E$3594)))))</f>
        <v/>
      </c>
      <c r="J3612" s="24" t="str">
        <f aca="true">IF(OR(E3612="",E3612="!!!",F3612="NEW"),"",COUNTBLANK(OFFSET(A$1,,,SUMPRODUCT(MAX(ROW(E$2:E3612)*(E3612=E$2:E3612)))))-COUNTBLANK(OFFSET(A$1,,,SUMPRODUCT(MAX(ROW(E$1:E3611)*(E2=E$1:E3611))))))</f>
        <v/>
      </c>
      <c r="K3612" s="24" t="str">
        <f aca="false">IF(OR(E3612="",E3612="!!!",F3612="NEW"),"",INDEX(J$1:J3611,SUMPRODUCT(MAX(ROW(E$1:E3611)*(E3612=E$1:E3611)))))</f>
        <v/>
      </c>
      <c r="L3612" s="31"/>
    </row>
    <row r="3613" customFormat="false" ht="15" hidden="false" customHeight="false" outlineLevel="0" collapsed="false">
      <c r="A3613" s="20" t="s">
        <v>2209</v>
      </c>
      <c r="E3613" s="23" t="str">
        <f aca="false">IF(D3613="?OLD","!!!","")</f>
        <v/>
      </c>
      <c r="F3613" s="25" t="str">
        <f aca="false">IF(OR(E3613="",E3613="!!!"),"",IF(NOT(ISNA(VLOOKUP(E3613,E$1:E3612,1,FALSE()))),"OLD",IF(AND(E3613&lt;&gt;"",E3613&lt;&gt;"!!!"),"NEW","")))</f>
        <v/>
      </c>
      <c r="G3613" s="26" t="str">
        <f aca="false">IF(OR(E3613="",E3613="!!!"),"",IF(OR(J3613=0,AND(J3613=1,K3613=1),AND(J3613=1,I3613="SBJ"),AND(J3613=1,I3613=0)),"?IN_FOCUS",IF(J3613&lt;=2,"?ACTIVATED",IF(J3613&lt;&gt;"","?FAMILIAR",IF(F3613="NEW",IF(ISNA(VLOOKUP(E3613,#REF!,1,FALSE())),"?TYPE_IDENTIFIABLE","?REFERENTIAL"),"_")))))</f>
        <v/>
      </c>
      <c r="H3613" s="27" t="str">
        <f aca="false">IF(J3613&lt;&gt;1,"",IF(I3613="SBJ","CB","?"))</f>
        <v/>
      </c>
      <c r="I3613" s="24" t="str">
        <f aca="false">IF(OR(E3613="",E3613="!!!",F3613="NEW"),"",INDEX(B20:B$3594,-1+SUMPRODUCT(MAX(ROW(E20:E$3594)*(E3613=E20:E$3594)))))</f>
        <v/>
      </c>
      <c r="J3613" s="24" t="str">
        <f aca="true">IF(OR(E3613="",E3613="!!!",F3613="NEW"),"",COUNTBLANK(OFFSET(A$1,,,SUMPRODUCT(MAX(ROW(E$2:E3613)*(E3613=E$2:E3613)))))-COUNTBLANK(OFFSET(A$1,,,SUMPRODUCT(MAX(ROW(E$1:E3612)*(E2=E$1:E3612))))))</f>
        <v/>
      </c>
      <c r="K3613" s="24" t="str">
        <f aca="false">IF(OR(E3613="",E3613="!!!",F3613="NEW"),"",INDEX(J$1:J3612,SUMPRODUCT(MAX(ROW(E$1:E3612)*(E3613=E$1:E3612)))))</f>
        <v/>
      </c>
      <c r="L3613" s="31"/>
    </row>
    <row r="3614" customFormat="false" ht="15" hidden="false" customHeight="false" outlineLevel="0" collapsed="false">
      <c r="A3614" s="20" t="s">
        <v>1095</v>
      </c>
      <c r="E3614" s="23" t="str">
        <f aca="false">IF(D3614="?OLD","!!!","")</f>
        <v/>
      </c>
      <c r="F3614" s="25" t="str">
        <f aca="false">IF(OR(E3614="",E3614="!!!"),"",IF(NOT(ISNA(VLOOKUP(E3614,E$1:E3613,1,FALSE()))),"OLD",IF(AND(E3614&lt;&gt;"",E3614&lt;&gt;"!!!"),"NEW","")))</f>
        <v/>
      </c>
      <c r="G3614" s="26" t="str">
        <f aca="false">IF(OR(E3614="",E3614="!!!"),"",IF(OR(J3614=0,AND(J3614=1,K3614=1),AND(J3614=1,I3614="SBJ"),AND(J3614=1,I3614=0)),"?IN_FOCUS",IF(J3614&lt;=2,"?ACTIVATED",IF(J3614&lt;&gt;"","?FAMILIAR",IF(F3614="NEW",IF(ISNA(VLOOKUP(E3614,#REF!,1,FALSE())),"?TYPE_IDENTIFIABLE","?REFERENTIAL"),"_")))))</f>
        <v/>
      </c>
      <c r="H3614" s="27" t="str">
        <f aca="false">IF(J3614&lt;&gt;1,"",IF(I3614="SBJ","CB","?"))</f>
        <v/>
      </c>
      <c r="I3614" s="24" t="str">
        <f aca="false">IF(OR(E3614="",E3614="!!!",F3614="NEW"),"",INDEX(B21:B$3594,-1+SUMPRODUCT(MAX(ROW(E21:E$3594)*(E3614=E21:E$3594)))))</f>
        <v/>
      </c>
      <c r="J3614" s="24" t="str">
        <f aca="true">IF(OR(E3614="",E3614="!!!",F3614="NEW"),"",COUNTBLANK(OFFSET(A$1,,,SUMPRODUCT(MAX(ROW(E$2:E3614)*(E3614=E$2:E3614)))))-COUNTBLANK(OFFSET(A$1,,,SUMPRODUCT(MAX(ROW(E$1:E3613)*(E2=E$1:E3613))))))</f>
        <v/>
      </c>
      <c r="K3614" s="24" t="str">
        <f aca="false">IF(OR(E3614="",E3614="!!!",F3614="NEW"),"",INDEX(J$1:J3613,SUMPRODUCT(MAX(ROW(E$1:E3613)*(E3614=E$1:E3613)))))</f>
        <v/>
      </c>
      <c r="L3614" s="31"/>
    </row>
    <row r="3615" customFormat="false" ht="15" hidden="false" customHeight="false" outlineLevel="0" collapsed="false">
      <c r="A3615" s="20" t="s">
        <v>2210</v>
      </c>
      <c r="E3615" s="23" t="str">
        <f aca="false">IF(D3615="?OLD","!!!","")</f>
        <v/>
      </c>
      <c r="F3615" s="25" t="str">
        <f aca="false">IF(OR(E3615="",E3615="!!!"),"",IF(NOT(ISNA(VLOOKUP(E3615,E$1:E3614,1,FALSE()))),"OLD",IF(AND(E3615&lt;&gt;"",E3615&lt;&gt;"!!!"),"NEW","")))</f>
        <v/>
      </c>
      <c r="G3615" s="26" t="str">
        <f aca="false">IF(OR(E3615="",E3615="!!!"),"",IF(OR(J3615=0,AND(J3615=1,K3615=1),AND(J3615=1,I3615="SBJ"),AND(J3615=1,I3615=0)),"?IN_FOCUS",IF(J3615&lt;=2,"?ACTIVATED",IF(J3615&lt;&gt;"","?FAMILIAR",IF(F3615="NEW",IF(ISNA(VLOOKUP(E3615,#REF!,1,FALSE())),"?TYPE_IDENTIFIABLE","?REFERENTIAL"),"_")))))</f>
        <v/>
      </c>
      <c r="H3615" s="27" t="str">
        <f aca="false">IF(J3615&lt;&gt;1,"",IF(I3615="SBJ","CB","?"))</f>
        <v/>
      </c>
      <c r="I3615" s="24" t="str">
        <f aca="false">IF(OR(E3615="",E3615="!!!",F3615="NEW"),"",INDEX(B22:B$3594,-1+SUMPRODUCT(MAX(ROW(E22:E$3594)*(E3615=E22:E$3594)))))</f>
        <v/>
      </c>
      <c r="J3615" s="24" t="str">
        <f aca="true">IF(OR(E3615="",E3615="!!!",F3615="NEW"),"",COUNTBLANK(OFFSET(A$1,,,SUMPRODUCT(MAX(ROW(E$2:E3615)*(E3615=E$2:E3615)))))-COUNTBLANK(OFFSET(A$1,,,SUMPRODUCT(MAX(ROW(E$1:E3614)*(E2=E$1:E3614))))))</f>
        <v/>
      </c>
      <c r="K3615" s="24" t="str">
        <f aca="false">IF(OR(E3615="",E3615="!!!",F3615="NEW"),"",INDEX(J$1:J3614,SUMPRODUCT(MAX(ROW(E$1:E3614)*(E3615=E$1:E3614)))))</f>
        <v/>
      </c>
      <c r="L3615" s="31"/>
    </row>
    <row r="3616" customFormat="false" ht="15" hidden="false" customHeight="false" outlineLevel="0" collapsed="false">
      <c r="A3616" s="20" t="s">
        <v>1080</v>
      </c>
      <c r="B3616" s="22" t="s">
        <v>1571</v>
      </c>
      <c r="C3616" s="22" t="s">
        <v>1082</v>
      </c>
      <c r="D3616" s="22" t="s">
        <v>1060</v>
      </c>
      <c r="E3616" s="23" t="str">
        <f aca="false">IF(D3616="?OLD","!!!","")</f>
        <v>!!!</v>
      </c>
      <c r="F3616" s="25" t="str">
        <f aca="false">IF(OR(E3616="",E3616="!!!"),"",IF(NOT(ISNA(VLOOKUP(E3616,E$1:E3615,1,FALSE()))),"OLD",IF(AND(E3616&lt;&gt;"",E3616&lt;&gt;"!!!"),"NEW","")))</f>
        <v/>
      </c>
      <c r="G3616" s="26" t="str">
        <f aca="false">IF(OR(E3616="",E3616="!!!"),"",IF(OR(J3616=0,AND(J3616=1,K3616=1),AND(J3616=1,I3616="SBJ"),AND(J3616=1,I3616=0)),"?IN_FOCUS",IF(J3616&lt;=2,"?ACTIVATED",IF(J3616&lt;&gt;"","?FAMILIAR",IF(F3616="NEW",IF(ISNA(VLOOKUP(E3616,#REF!,1,FALSE())),"?TYPE_IDENTIFIABLE","?REFERENTIAL"),"_")))))</f>
        <v/>
      </c>
      <c r="H3616" s="27" t="str">
        <f aca="false">IF(J3616&lt;&gt;1,"",IF(I3616="SBJ","CB","?"))</f>
        <v/>
      </c>
      <c r="I3616" s="24" t="str">
        <f aca="false">IF(OR(E3616="",E3616="!!!",F3616="NEW"),"",INDEX(B23:B$3594,-1+SUMPRODUCT(MAX(ROW(E23:E$3594)*(E3616=E23:E$3594)))))</f>
        <v/>
      </c>
      <c r="J3616" s="24" t="str">
        <f aca="true">IF(OR(E3616="",E3616="!!!",F3616="NEW"),"",COUNTBLANK(OFFSET(A$1,,,SUMPRODUCT(MAX(ROW(E$2:E3616)*(E3616=E$2:E3616)))))-COUNTBLANK(OFFSET(A$1,,,SUMPRODUCT(MAX(ROW(E$1:E3615)*(E2=E$1:E3615))))))</f>
        <v/>
      </c>
      <c r="K3616" s="24" t="str">
        <f aca="false">IF(OR(E3616="",E3616="!!!",F3616="NEW"),"",INDEX(J$1:J3615,SUMPRODUCT(MAX(ROW(E$1:E3615)*(E3616=E$1:E3615)))))</f>
        <v/>
      </c>
      <c r="L3616" s="31"/>
    </row>
    <row r="3617" customFormat="false" ht="15" hidden="false" customHeight="false" outlineLevel="0" collapsed="false">
      <c r="A3617" s="20" t="s">
        <v>1089</v>
      </c>
      <c r="E3617" s="23" t="str">
        <f aca="false">IF(D3617="?OLD","!!!","")</f>
        <v/>
      </c>
      <c r="F3617" s="25" t="str">
        <f aca="false">IF(OR(E3617="",E3617="!!!"),"",IF(NOT(ISNA(VLOOKUP(E3617,E$1:E3616,1,FALSE()))),"OLD",IF(AND(E3617&lt;&gt;"",E3617&lt;&gt;"!!!"),"NEW","")))</f>
        <v/>
      </c>
      <c r="G3617" s="26" t="str">
        <f aca="false">IF(OR(E3617="",E3617="!!!"),"",IF(OR(J3617=0,AND(J3617=1,K3617=1),AND(J3617=1,I3617="SBJ"),AND(J3617=1,I3617=0)),"?IN_FOCUS",IF(J3617&lt;=2,"?ACTIVATED",IF(J3617&lt;&gt;"","?FAMILIAR",IF(F3617="NEW",IF(ISNA(VLOOKUP(E3617,#REF!,1,FALSE())),"?TYPE_IDENTIFIABLE","?REFERENTIAL"),"_")))))</f>
        <v/>
      </c>
      <c r="H3617" s="27" t="str">
        <f aca="false">IF(J3617&lt;&gt;1,"",IF(I3617="SBJ","CB","?"))</f>
        <v/>
      </c>
      <c r="I3617" s="24" t="str">
        <f aca="false">IF(OR(E3617="",E3617="!!!",F3617="NEW"),"",INDEX(B24:B$3594,-1+SUMPRODUCT(MAX(ROW(E24:E$3594)*(E3617=E24:E$3594)))))</f>
        <v/>
      </c>
      <c r="J3617" s="24" t="str">
        <f aca="true">IF(OR(E3617="",E3617="!!!",F3617="NEW"),"",COUNTBLANK(OFFSET(A$1,,,SUMPRODUCT(MAX(ROW(E$2:E3617)*(E3617=E$2:E3617)))))-COUNTBLANK(OFFSET(A$1,,,SUMPRODUCT(MAX(ROW(E$1:E3616)*(E2=E$1:E3616))))))</f>
        <v/>
      </c>
      <c r="K3617" s="24" t="str">
        <f aca="false">IF(OR(E3617="",E3617="!!!",F3617="NEW"),"",INDEX(J$1:J3616,SUMPRODUCT(MAX(ROW(E$1:E3616)*(E3617=E$1:E3616)))))</f>
        <v/>
      </c>
      <c r="L3617" s="31"/>
    </row>
    <row r="3618" customFormat="false" ht="15" hidden="false" customHeight="false" outlineLevel="0" collapsed="false">
      <c r="A3618" s="20" t="s">
        <v>1078</v>
      </c>
      <c r="B3618" s="22" t="s">
        <v>1134</v>
      </c>
      <c r="C3618" s="22" t="s">
        <v>1171</v>
      </c>
      <c r="D3618" s="22" t="s">
        <v>1060</v>
      </c>
      <c r="E3618" s="23" t="str">
        <f aca="false">IF(D3618="?OLD","!!!","")</f>
        <v>!!!</v>
      </c>
      <c r="F3618" s="25" t="str">
        <f aca="false">IF(OR(E3618="",E3618="!!!"),"",IF(NOT(ISNA(VLOOKUP(E3618,E$1:E3617,1,FALSE()))),"OLD",IF(AND(E3618&lt;&gt;"",E3618&lt;&gt;"!!!"),"NEW","")))</f>
        <v/>
      </c>
      <c r="G3618" s="26" t="str">
        <f aca="false">IF(OR(E3618="",E3618="!!!"),"",IF(OR(J3618=0,AND(J3618=1,K3618=1),AND(J3618=1,I3618="SBJ"),AND(J3618=1,I3618=0)),"?IN_FOCUS",IF(J3618&lt;=2,"?ACTIVATED",IF(J3618&lt;&gt;"","?FAMILIAR",IF(F3618="NEW",IF(ISNA(VLOOKUP(E3618,#REF!,1,FALSE())),"?TYPE_IDENTIFIABLE","?REFERENTIAL"),"_")))))</f>
        <v/>
      </c>
      <c r="H3618" s="27" t="str">
        <f aca="false">IF(J3618&lt;&gt;1,"",IF(I3618="SBJ","CB","?"))</f>
        <v/>
      </c>
      <c r="I3618" s="24" t="str">
        <f aca="false">IF(OR(E3618="",E3618="!!!",F3618="NEW"),"",INDEX(B25:B$3594,-1+SUMPRODUCT(MAX(ROW(E25:E$3594)*(E3618=E25:E$3594)))))</f>
        <v/>
      </c>
      <c r="J3618" s="24" t="str">
        <f aca="true">IF(OR(E3618="",E3618="!!!",F3618="NEW"),"",COUNTBLANK(OFFSET(A$1,,,SUMPRODUCT(MAX(ROW(E$2:E3618)*(E3618=E$2:E3618)))))-COUNTBLANK(OFFSET(A$1,,,SUMPRODUCT(MAX(ROW(E$1:E3617)*(E2=E$1:E3617))))))</f>
        <v/>
      </c>
      <c r="K3618" s="24" t="str">
        <f aca="false">IF(OR(E3618="",E3618="!!!",F3618="NEW"),"",INDEX(J$1:J3617,SUMPRODUCT(MAX(ROW(E$1:E3617)*(E3618=E$1:E3617)))))</f>
        <v/>
      </c>
      <c r="L3618" s="31"/>
    </row>
    <row r="3619" customFormat="false" ht="15" hidden="false" customHeight="false" outlineLevel="0" collapsed="false">
      <c r="A3619" s="20" t="s">
        <v>1198</v>
      </c>
      <c r="E3619" s="23" t="str">
        <f aca="false">IF(D3619="?OLD","!!!","")</f>
        <v/>
      </c>
      <c r="F3619" s="25" t="str">
        <f aca="false">IF(OR(E3619="",E3619="!!!"),"",IF(NOT(ISNA(VLOOKUP(E3619,E$1:E3618,1,FALSE()))),"OLD",IF(AND(E3619&lt;&gt;"",E3619&lt;&gt;"!!!"),"NEW","")))</f>
        <v/>
      </c>
      <c r="G3619" s="26" t="str">
        <f aca="false">IF(OR(E3619="",E3619="!!!"),"",IF(OR(J3619=0,AND(J3619=1,K3619=1),AND(J3619=1,I3619="SBJ"),AND(J3619=1,I3619=0)),"?IN_FOCUS",IF(J3619&lt;=2,"?ACTIVATED",IF(J3619&lt;&gt;"","?FAMILIAR",IF(F3619="NEW",IF(ISNA(VLOOKUP(E3619,#REF!,1,FALSE())),"?TYPE_IDENTIFIABLE","?REFERENTIAL"),"_")))))</f>
        <v/>
      </c>
      <c r="H3619" s="27" t="str">
        <f aca="false">IF(J3619&lt;&gt;1,"",IF(I3619="SBJ","CB","?"))</f>
        <v/>
      </c>
      <c r="I3619" s="24" t="str">
        <f aca="false">IF(OR(E3619="",E3619="!!!",F3619="NEW"),"",INDEX(B26:B$3594,-1+SUMPRODUCT(MAX(ROW(E26:E$3594)*(E3619=E26:E$3594)))))</f>
        <v/>
      </c>
      <c r="J3619" s="24" t="str">
        <f aca="true">IF(OR(E3619="",E3619="!!!",F3619="NEW"),"",COUNTBLANK(OFFSET(A$1,,,SUMPRODUCT(MAX(ROW(E$2:E3619)*(E3619=E$2:E3619)))))-COUNTBLANK(OFFSET(A$1,,,SUMPRODUCT(MAX(ROW(E$1:E3618)*(E2=E$1:E3618))))))</f>
        <v/>
      </c>
      <c r="K3619" s="24" t="str">
        <f aca="false">IF(OR(E3619="",E3619="!!!",F3619="NEW"),"",INDEX(J$1:J3618,SUMPRODUCT(MAX(ROW(E$1:E3618)*(E3619=E$1:E3618)))))</f>
        <v/>
      </c>
      <c r="L3619" s="31"/>
    </row>
    <row r="3620" customFormat="false" ht="15" hidden="false" customHeight="false" outlineLevel="0" collapsed="false">
      <c r="A3620" s="20" t="s">
        <v>1279</v>
      </c>
      <c r="E3620" s="23" t="str">
        <f aca="false">IF(D3620="?OLD","!!!","")</f>
        <v/>
      </c>
      <c r="F3620" s="25" t="str">
        <f aca="false">IF(OR(E3620="",E3620="!!!"),"",IF(NOT(ISNA(VLOOKUP(E3620,E$1:E3619,1,FALSE()))),"OLD",IF(AND(E3620&lt;&gt;"",E3620&lt;&gt;"!!!"),"NEW","")))</f>
        <v/>
      </c>
      <c r="G3620" s="26" t="str">
        <f aca="false">IF(OR(E3620="",E3620="!!!"),"",IF(OR(J3620=0,AND(J3620=1,K3620=1),AND(J3620=1,I3620="SBJ"),AND(J3620=1,I3620=0)),"?IN_FOCUS",IF(J3620&lt;=2,"?ACTIVATED",IF(J3620&lt;&gt;"","?FAMILIAR",IF(F3620="NEW",IF(ISNA(VLOOKUP(E3620,#REF!,1,FALSE())),"?TYPE_IDENTIFIABLE","?REFERENTIAL"),"_")))))</f>
        <v/>
      </c>
      <c r="H3620" s="27" t="str">
        <f aca="false">IF(J3620&lt;&gt;1,"",IF(I3620="SBJ","CB","?"))</f>
        <v/>
      </c>
      <c r="I3620" s="24" t="str">
        <f aca="false">IF(OR(E3620="",E3620="!!!",F3620="NEW"),"",INDEX(B27:B$3594,-1+SUMPRODUCT(MAX(ROW(E27:E$3594)*(E3620=E27:E$3594)))))</f>
        <v/>
      </c>
      <c r="J3620" s="24" t="str">
        <f aca="true">IF(OR(E3620="",E3620="!!!",F3620="NEW"),"",COUNTBLANK(OFFSET(A$1,,,SUMPRODUCT(MAX(ROW(E$2:E3620)*(E3620=E$2:E3620)))))-COUNTBLANK(OFFSET(A$1,,,SUMPRODUCT(MAX(ROW(E$1:E3619)*(E2=E$1:E3619))))))</f>
        <v/>
      </c>
      <c r="K3620" s="24" t="str">
        <f aca="false">IF(OR(E3620="",E3620="!!!",F3620="NEW"),"",INDEX(J$1:J3619,SUMPRODUCT(MAX(ROW(E$1:E3619)*(E3620=E$1:E3619)))))</f>
        <v/>
      </c>
      <c r="L3620" s="31"/>
    </row>
    <row r="3621" customFormat="false" ht="15" hidden="false" customHeight="false" outlineLevel="0" collapsed="false">
      <c r="A3621" s="20" t="s">
        <v>1154</v>
      </c>
      <c r="E3621" s="23" t="str">
        <f aca="false">IF(D3621="?OLD","!!!","")</f>
        <v/>
      </c>
      <c r="F3621" s="25" t="str">
        <f aca="false">IF(OR(E3621="",E3621="!!!"),"",IF(NOT(ISNA(VLOOKUP(E3621,E$1:E3620,1,FALSE()))),"OLD",IF(AND(E3621&lt;&gt;"",E3621&lt;&gt;"!!!"),"NEW","")))</f>
        <v/>
      </c>
      <c r="G3621" s="26" t="str">
        <f aca="false">IF(OR(E3621="",E3621="!!!"),"",IF(OR(J3621=0,AND(J3621=1,K3621=1),AND(J3621=1,I3621="SBJ"),AND(J3621=1,I3621=0)),"?IN_FOCUS",IF(J3621&lt;=2,"?ACTIVATED",IF(J3621&lt;&gt;"","?FAMILIAR",IF(F3621="NEW",IF(ISNA(VLOOKUP(E3621,#REF!,1,FALSE())),"?TYPE_IDENTIFIABLE","?REFERENTIAL"),"_")))))</f>
        <v/>
      </c>
      <c r="H3621" s="27" t="str">
        <f aca="false">IF(J3621&lt;&gt;1,"",IF(I3621="SBJ","CB","?"))</f>
        <v/>
      </c>
      <c r="I3621" s="24" t="str">
        <f aca="false">IF(OR(E3621="",E3621="!!!",F3621="NEW"),"",INDEX(B28:B$3594,-1+SUMPRODUCT(MAX(ROW(E28:E$3594)*(E3621=E28:E$3594)))))</f>
        <v/>
      </c>
      <c r="J3621" s="24" t="str">
        <f aca="true">IF(OR(E3621="",E3621="!!!",F3621="NEW"),"",COUNTBLANK(OFFSET(A$1,,,SUMPRODUCT(MAX(ROW(E$2:E3621)*(E3621=E$2:E3621)))))-COUNTBLANK(OFFSET(A$1,,,SUMPRODUCT(MAX(ROW(E$1:E3620)*(E2=E$1:E3620))))))</f>
        <v/>
      </c>
      <c r="K3621" s="24" t="str">
        <f aca="false">IF(OR(E3621="",E3621="!!!",F3621="NEW"),"",INDEX(J$1:J3620,SUMPRODUCT(MAX(ROW(E$1:E3620)*(E3621=E$1:E3620)))))</f>
        <v/>
      </c>
      <c r="L3621" s="31"/>
    </row>
    <row r="3622" customFormat="false" ht="15" hidden="false" customHeight="false" outlineLevel="0" collapsed="false">
      <c r="A3622" s="20" t="s">
        <v>1109</v>
      </c>
      <c r="E3622" s="23" t="str">
        <f aca="false">IF(D3622="?OLD","!!!","")</f>
        <v/>
      </c>
      <c r="F3622" s="25" t="str">
        <f aca="false">IF(OR(E3622="",E3622="!!!"),"",IF(NOT(ISNA(VLOOKUP(E3622,E$1:E3621,1,FALSE()))),"OLD",IF(AND(E3622&lt;&gt;"",E3622&lt;&gt;"!!!"),"NEW","")))</f>
        <v/>
      </c>
      <c r="G3622" s="26" t="str">
        <f aca="false">IF(OR(E3622="",E3622="!!!"),"",IF(OR(J3622=0,AND(J3622=1,K3622=1),AND(J3622=1,I3622="SBJ"),AND(J3622=1,I3622=0)),"?IN_FOCUS",IF(J3622&lt;=2,"?ACTIVATED",IF(J3622&lt;&gt;"","?FAMILIAR",IF(F3622="NEW",IF(ISNA(VLOOKUP(E3622,#REF!,1,FALSE())),"?TYPE_IDENTIFIABLE","?REFERENTIAL"),"_")))))</f>
        <v/>
      </c>
      <c r="H3622" s="27" t="str">
        <f aca="false">IF(J3622&lt;&gt;1,"",IF(I3622="SBJ","CB","?"))</f>
        <v/>
      </c>
      <c r="I3622" s="24" t="str">
        <f aca="false">IF(OR(E3622="",E3622="!!!",F3622="NEW"),"",INDEX(B29:B$3594,-1+SUMPRODUCT(MAX(ROW(E29:E$3594)*(E3622=E29:E$3594)))))</f>
        <v/>
      </c>
      <c r="J3622" s="24" t="str">
        <f aca="true">IF(OR(E3622="",E3622="!!!",F3622="NEW"),"",COUNTBLANK(OFFSET(A$1,,,SUMPRODUCT(MAX(ROW(E$2:E3622)*(E3622=E$2:E3622)))))-COUNTBLANK(OFFSET(A$1,,,SUMPRODUCT(MAX(ROW(E$1:E3621)*(E2=E$1:E3621))))))</f>
        <v/>
      </c>
      <c r="K3622" s="24" t="str">
        <f aca="false">IF(OR(E3622="",E3622="!!!",F3622="NEW"),"",INDEX(J$1:J3621,SUMPRODUCT(MAX(ROW(E$1:E3621)*(E3622=E$1:E3621)))))</f>
        <v/>
      </c>
      <c r="L3622" s="31"/>
    </row>
    <row r="3623" customFormat="false" ht="15" hidden="false" customHeight="false" outlineLevel="0" collapsed="false">
      <c r="A3623" s="20" t="s">
        <v>2103</v>
      </c>
      <c r="B3623" s="22" t="s">
        <v>1203</v>
      </c>
      <c r="C3623" s="22" t="s">
        <v>1150</v>
      </c>
      <c r="D3623" s="22" t="s">
        <v>1060</v>
      </c>
      <c r="E3623" s="23" t="str">
        <f aca="false">IF(D3623="?OLD","!!!","")</f>
        <v>!!!</v>
      </c>
      <c r="F3623" s="25" t="str">
        <f aca="false">IF(OR(E3623="",E3623="!!!"),"",IF(NOT(ISNA(VLOOKUP(E3623,E$1:E3622,1,FALSE()))),"OLD",IF(AND(E3623&lt;&gt;"",E3623&lt;&gt;"!!!"),"NEW","")))</f>
        <v/>
      </c>
      <c r="G3623" s="26" t="str">
        <f aca="false">IF(OR(E3623="",E3623="!!!"),"",IF(OR(J3623=0,AND(J3623=1,K3623=1),AND(J3623=1,I3623="SBJ"),AND(J3623=1,I3623=0)),"?IN_FOCUS",IF(J3623&lt;=2,"?ACTIVATED",IF(J3623&lt;&gt;"","?FAMILIAR",IF(F3623="NEW",IF(ISNA(VLOOKUP(E3623,#REF!,1,FALSE())),"?TYPE_IDENTIFIABLE","?REFERENTIAL"),"_")))))</f>
        <v/>
      </c>
      <c r="H3623" s="27" t="str">
        <f aca="false">IF(J3623&lt;&gt;1,"",IF(I3623="SBJ","CB","?"))</f>
        <v/>
      </c>
      <c r="I3623" s="24" t="str">
        <f aca="false">IF(OR(E3623="",E3623="!!!",F3623="NEW"),"",INDEX(B30:B$3594,-1+SUMPRODUCT(MAX(ROW(E30:E$3594)*(E3623=E30:E$3594)))))</f>
        <v/>
      </c>
      <c r="J3623" s="24" t="str">
        <f aca="true">IF(OR(E3623="",E3623="!!!",F3623="NEW"),"",COUNTBLANK(OFFSET(A$1,,,SUMPRODUCT(MAX(ROW(E$2:E3623)*(E3623=E$2:E3623)))))-COUNTBLANK(OFFSET(A$1,,,SUMPRODUCT(MAX(ROW(E$1:E3622)*(E2=E$1:E3622))))))</f>
        <v/>
      </c>
      <c r="K3623" s="24" t="str">
        <f aca="false">IF(OR(E3623="",E3623="!!!",F3623="NEW"),"",INDEX(J$1:J3622,SUMPRODUCT(MAX(ROW(E$1:E3622)*(E3623=E$1:E3622)))))</f>
        <v/>
      </c>
      <c r="L3623" s="31"/>
    </row>
    <row r="3624" customFormat="false" ht="15" hidden="false" customHeight="false" outlineLevel="0" collapsed="false">
      <c r="A3624" s="20" t="s">
        <v>146</v>
      </c>
      <c r="E3624" s="23" t="str">
        <f aca="false">IF(D3624="?OLD","!!!","")</f>
        <v/>
      </c>
      <c r="F3624" s="25" t="str">
        <f aca="false">IF(OR(E3624="",E3624="!!!"),"",IF(NOT(ISNA(VLOOKUP(E3624,E$1:E3623,1,FALSE()))),"OLD",IF(AND(E3624&lt;&gt;"",E3624&lt;&gt;"!!!"),"NEW","")))</f>
        <v/>
      </c>
      <c r="G3624" s="26" t="str">
        <f aca="false">IF(OR(E3624="",E3624="!!!"),"",IF(OR(J3624=0,AND(J3624=1,K3624=1),AND(J3624=1,I3624="SBJ"),AND(J3624=1,I3624=0)),"?IN_FOCUS",IF(J3624&lt;=2,"?ACTIVATED",IF(J3624&lt;&gt;"","?FAMILIAR",IF(F3624="NEW",IF(ISNA(VLOOKUP(E3624,#REF!,1,FALSE())),"?TYPE_IDENTIFIABLE","?REFERENTIAL"),"_")))))</f>
        <v/>
      </c>
      <c r="H3624" s="27" t="str">
        <f aca="false">IF(J3624&lt;&gt;1,"",IF(I3624="SBJ","CB","?"))</f>
        <v/>
      </c>
      <c r="I3624" s="24" t="str">
        <f aca="false">IF(OR(E3624="",E3624="!!!",F3624="NEW"),"",INDEX(B31:B$3594,-1+SUMPRODUCT(MAX(ROW(E31:E$3594)*(E3624=E31:E$3594)))))</f>
        <v/>
      </c>
      <c r="J3624" s="24" t="str">
        <f aca="true">IF(OR(E3624="",E3624="!!!",F3624="NEW"),"",COUNTBLANK(OFFSET(A$1,,,SUMPRODUCT(MAX(ROW(E$2:E3624)*(E3624=E$2:E3624)))))-COUNTBLANK(OFFSET(A$1,,,SUMPRODUCT(MAX(ROW(E$1:E3623)*(E2=E$1:E3623))))))</f>
        <v/>
      </c>
      <c r="K3624" s="24" t="str">
        <f aca="false">IF(OR(E3624="",E3624="!!!",F3624="NEW"),"",INDEX(J$1:J3623,SUMPRODUCT(MAX(ROW(E$1:E3623)*(E3624=E$1:E3623)))))</f>
        <v/>
      </c>
      <c r="L3624" s="31"/>
    </row>
    <row r="3625" customFormat="false" ht="15" hidden="false" customHeight="false" outlineLevel="0" collapsed="false">
      <c r="A3625" s="20" t="s">
        <v>2211</v>
      </c>
      <c r="E3625" s="23" t="str">
        <f aca="false">IF(D3625="?OLD","!!!","")</f>
        <v/>
      </c>
      <c r="F3625" s="25" t="str">
        <f aca="false">IF(OR(E3625="",E3625="!!!"),"",IF(NOT(ISNA(VLOOKUP(E3625,E$1:E3624,1,FALSE()))),"OLD",IF(AND(E3625&lt;&gt;"",E3625&lt;&gt;"!!!"),"NEW","")))</f>
        <v/>
      </c>
      <c r="G3625" s="26" t="str">
        <f aca="false">IF(OR(E3625="",E3625="!!!"),"",IF(OR(J3625=0,AND(J3625=1,K3625=1),AND(J3625=1,I3625="SBJ"),AND(J3625=1,I3625=0)),"?IN_FOCUS",IF(J3625&lt;=2,"?ACTIVATED",IF(J3625&lt;&gt;"","?FAMILIAR",IF(F3625="NEW",IF(ISNA(VLOOKUP(E3625,#REF!,1,FALSE())),"?TYPE_IDENTIFIABLE","?REFERENTIAL"),"_")))))</f>
        <v/>
      </c>
      <c r="H3625" s="27" t="str">
        <f aca="false">IF(J3625&lt;&gt;1,"",IF(I3625="SBJ","CB","?"))</f>
        <v/>
      </c>
      <c r="I3625" s="24" t="str">
        <f aca="false">IF(OR(E3625="",E3625="!!!",F3625="NEW"),"",INDEX(B32:B$3594,-1+SUMPRODUCT(MAX(ROW(E32:E$3594)*(E3625=E32:E$3594)))))</f>
        <v/>
      </c>
      <c r="J3625" s="24" t="str">
        <f aca="true">IF(OR(E3625="",E3625="!!!",F3625="NEW"),"",COUNTBLANK(OFFSET(A$1,,,SUMPRODUCT(MAX(ROW(E$2:E3625)*(E3625=E$2:E3625)))))-COUNTBLANK(OFFSET(A$1,,,SUMPRODUCT(MAX(ROW(E$1:E3624)*(E2=E$1:E3624))))))</f>
        <v/>
      </c>
      <c r="K3625" s="24" t="str">
        <f aca="false">IF(OR(E3625="",E3625="!!!",F3625="NEW"),"",INDEX(J$1:J3624,SUMPRODUCT(MAX(ROW(E$1:E3624)*(E3625=E$1:E3624)))))</f>
        <v/>
      </c>
      <c r="L3625" s="31"/>
    </row>
    <row r="3626" customFormat="false" ht="15" hidden="false" customHeight="false" outlineLevel="0" collapsed="false">
      <c r="A3626" s="20" t="s">
        <v>1080</v>
      </c>
      <c r="B3626" s="22" t="s">
        <v>2135</v>
      </c>
      <c r="C3626" s="22" t="s">
        <v>1082</v>
      </c>
      <c r="D3626" s="22" t="s">
        <v>1060</v>
      </c>
      <c r="E3626" s="23" t="str">
        <f aca="false">IF(D3626="?OLD","!!!","")</f>
        <v>!!!</v>
      </c>
      <c r="F3626" s="25" t="str">
        <f aca="false">IF(OR(E3626="",E3626="!!!"),"",IF(NOT(ISNA(VLOOKUP(E3626,E$1:E3625,1,FALSE()))),"OLD",IF(AND(E3626&lt;&gt;"",E3626&lt;&gt;"!!!"),"NEW","")))</f>
        <v/>
      </c>
      <c r="G3626" s="26" t="str">
        <f aca="false">IF(OR(E3626="",E3626="!!!"),"",IF(OR(J3626=0,AND(J3626=1,K3626=1),AND(J3626=1,I3626="SBJ"),AND(J3626=1,I3626=0)),"?IN_FOCUS",IF(J3626&lt;=2,"?ACTIVATED",IF(J3626&lt;&gt;"","?FAMILIAR",IF(F3626="NEW",IF(ISNA(VLOOKUP(E3626,#REF!,1,FALSE())),"?TYPE_IDENTIFIABLE","?REFERENTIAL"),"_")))))</f>
        <v/>
      </c>
      <c r="H3626" s="27" t="str">
        <f aca="false">IF(J3626&lt;&gt;1,"",IF(I3626="SBJ","CB","?"))</f>
        <v/>
      </c>
      <c r="I3626" s="24" t="str">
        <f aca="false">IF(OR(E3626="",E3626="!!!",F3626="NEW"),"",INDEX(B33:B$3594,-1+SUMPRODUCT(MAX(ROW(E33:E$3594)*(E3626=E33:E$3594)))))</f>
        <v/>
      </c>
      <c r="J3626" s="24" t="str">
        <f aca="true">IF(OR(E3626="",E3626="!!!",F3626="NEW"),"",COUNTBLANK(OFFSET(A$1,,,SUMPRODUCT(MAX(ROW(E$2:E3626)*(E3626=E$2:E3626)))))-COUNTBLANK(OFFSET(A$1,,,SUMPRODUCT(MAX(ROW(E$1:E3625)*(E2=E$1:E3625))))))</f>
        <v/>
      </c>
      <c r="K3626" s="24" t="str">
        <f aca="false">IF(OR(E3626="",E3626="!!!",F3626="NEW"),"",INDEX(J$1:J3625,SUMPRODUCT(MAX(ROW(E$1:E3625)*(E3626=E$1:E3625)))))</f>
        <v/>
      </c>
      <c r="L3626" s="31"/>
    </row>
    <row r="3627" customFormat="false" ht="15" hidden="false" customHeight="false" outlineLevel="0" collapsed="false">
      <c r="A3627" s="20" t="s">
        <v>1092</v>
      </c>
      <c r="E3627" s="23" t="str">
        <f aca="false">IF(D3627="?OLD","!!!","")</f>
        <v/>
      </c>
      <c r="F3627" s="25" t="str">
        <f aca="false">IF(OR(E3627="",E3627="!!!"),"",IF(NOT(ISNA(VLOOKUP(E3627,E$1:E3626,1,FALSE()))),"OLD",IF(AND(E3627&lt;&gt;"",E3627&lt;&gt;"!!!"),"NEW","")))</f>
        <v/>
      </c>
      <c r="G3627" s="26" t="str">
        <f aca="false">IF(OR(E3627="",E3627="!!!"),"",IF(OR(J3627=0,AND(J3627=1,K3627=1),AND(J3627=1,I3627="SBJ"),AND(J3627=1,I3627=0)),"?IN_FOCUS",IF(J3627&lt;=2,"?ACTIVATED",IF(J3627&lt;&gt;"","?FAMILIAR",IF(F3627="NEW",IF(ISNA(VLOOKUP(E3627,#REF!,1,FALSE())),"?TYPE_IDENTIFIABLE","?REFERENTIAL"),"_")))))</f>
        <v/>
      </c>
      <c r="H3627" s="27" t="str">
        <f aca="false">IF(J3627&lt;&gt;1,"",IF(I3627="SBJ","CB","?"))</f>
        <v/>
      </c>
      <c r="I3627" s="24" t="str">
        <f aca="false">IF(OR(E3627="",E3627="!!!",F3627="NEW"),"",INDEX(B34:B$3594,-1+SUMPRODUCT(MAX(ROW(E34:E$3594)*(E3627=E34:E$3594)))))</f>
        <v/>
      </c>
      <c r="J3627" s="24" t="str">
        <f aca="true">IF(OR(E3627="",E3627="!!!",F3627="NEW"),"",COUNTBLANK(OFFSET(A$1,,,SUMPRODUCT(MAX(ROW(E$2:E3627)*(E3627=E$2:E3627)))))-COUNTBLANK(OFFSET(A$1,,,SUMPRODUCT(MAX(ROW(E$1:E3626)*(E2=E$1:E3626))))))</f>
        <v/>
      </c>
      <c r="K3627" s="24" t="str">
        <f aca="false">IF(OR(E3627="",E3627="!!!",F3627="NEW"),"",INDEX(J$1:J3626,SUMPRODUCT(MAX(ROW(E$1:E3626)*(E3627=E$1:E3626)))))</f>
        <v/>
      </c>
      <c r="L3627" s="31"/>
    </row>
    <row r="3628" customFormat="false" ht="15" hidden="false" customHeight="false" outlineLevel="0" collapsed="false">
      <c r="A3628" s="20" t="s">
        <v>1089</v>
      </c>
      <c r="B3628" s="22" t="s">
        <v>1203</v>
      </c>
      <c r="C3628" s="22" t="s">
        <v>1132</v>
      </c>
      <c r="D3628" s="22" t="s">
        <v>1060</v>
      </c>
      <c r="E3628" s="23" t="str">
        <f aca="false">IF(D3628="?OLD","!!!","")</f>
        <v>!!!</v>
      </c>
      <c r="F3628" s="25" t="str">
        <f aca="false">IF(OR(E3628="",E3628="!!!"),"",IF(NOT(ISNA(VLOOKUP(E3628,E$1:E3627,1,FALSE()))),"OLD",IF(AND(E3628&lt;&gt;"",E3628&lt;&gt;"!!!"),"NEW","")))</f>
        <v/>
      </c>
      <c r="G3628" s="26" t="str">
        <f aca="false">IF(OR(E3628="",E3628="!!!"),"",IF(OR(J3628=0,AND(J3628=1,K3628=1),AND(J3628=1,I3628="SBJ"),AND(J3628=1,I3628=0)),"?IN_FOCUS",IF(J3628&lt;=2,"?ACTIVATED",IF(J3628&lt;&gt;"","?FAMILIAR",IF(F3628="NEW",IF(ISNA(VLOOKUP(E3628,#REF!,1,FALSE())),"?TYPE_IDENTIFIABLE","?REFERENTIAL"),"_")))))</f>
        <v/>
      </c>
      <c r="H3628" s="27" t="str">
        <f aca="false">IF(J3628&lt;&gt;1,"",IF(I3628="SBJ","CB","?"))</f>
        <v/>
      </c>
      <c r="I3628" s="24" t="str">
        <f aca="false">IF(OR(E3628="",E3628="!!!",F3628="NEW"),"",INDEX(B35:B$3594,-1+SUMPRODUCT(MAX(ROW(E35:E$3594)*(E3628=E35:E$3594)))))</f>
        <v/>
      </c>
      <c r="J3628" s="24" t="str">
        <f aca="true">IF(OR(E3628="",E3628="!!!",F3628="NEW"),"",COUNTBLANK(OFFSET(A$1,,,SUMPRODUCT(MAX(ROW(E$2:E3628)*(E3628=E$2:E3628)))))-COUNTBLANK(OFFSET(A$1,,,SUMPRODUCT(MAX(ROW(E$1:E3627)*(E2=E$1:E3627))))))</f>
        <v/>
      </c>
      <c r="K3628" s="24" t="str">
        <f aca="false">IF(OR(E3628="",E3628="!!!",F3628="NEW"),"",INDEX(J$1:J3627,SUMPRODUCT(MAX(ROW(E$1:E3627)*(E3628=E$1:E3627)))))</f>
        <v/>
      </c>
      <c r="L3628" s="31"/>
    </row>
    <row r="3629" customFormat="false" ht="15" hidden="false" customHeight="false" outlineLevel="0" collapsed="false">
      <c r="A3629" s="20" t="s">
        <v>1064</v>
      </c>
      <c r="E3629" s="23" t="str">
        <f aca="false">IF(D3629="?OLD","!!!","")</f>
        <v/>
      </c>
      <c r="F3629" s="25" t="str">
        <f aca="false">IF(OR(E3629="",E3629="!!!"),"",IF(NOT(ISNA(VLOOKUP(E3629,E$1:E3628,1,FALSE()))),"OLD",IF(AND(E3629&lt;&gt;"",E3629&lt;&gt;"!!!"),"NEW","")))</f>
        <v/>
      </c>
      <c r="G3629" s="26" t="str">
        <f aca="false">IF(OR(E3629="",E3629="!!!"),"",IF(OR(J3629=0,AND(J3629=1,K3629=1),AND(J3629=1,I3629="SBJ"),AND(J3629=1,I3629=0)),"?IN_FOCUS",IF(J3629&lt;=2,"?ACTIVATED",IF(J3629&lt;&gt;"","?FAMILIAR",IF(F3629="NEW",IF(ISNA(VLOOKUP(E3629,#REF!,1,FALSE())),"?TYPE_IDENTIFIABLE","?REFERENTIAL"),"_")))))</f>
        <v/>
      </c>
      <c r="H3629" s="27" t="str">
        <f aca="false">IF(J3629&lt;&gt;1,"",IF(I3629="SBJ","CB","?"))</f>
        <v/>
      </c>
      <c r="I3629" s="24" t="str">
        <f aca="false">IF(OR(E3629="",E3629="!!!",F3629="NEW"),"",INDEX(B36:B$3594,-1+SUMPRODUCT(MAX(ROW(E36:E$3594)*(E3629=E36:E$3594)))))</f>
        <v/>
      </c>
      <c r="J3629" s="24" t="str">
        <f aca="true">IF(OR(E3629="",E3629="!!!",F3629="NEW"),"",COUNTBLANK(OFFSET(A$1,,,SUMPRODUCT(MAX(ROW(E$2:E3629)*(E3629=E$2:E3629)))))-COUNTBLANK(OFFSET(A$1,,,SUMPRODUCT(MAX(ROW(E$1:E3628)*(E2=E$1:E3628))))))</f>
        <v/>
      </c>
      <c r="K3629" s="24" t="str">
        <f aca="false">IF(OR(E3629="",E3629="!!!",F3629="NEW"),"",INDEX(J$1:J3628,SUMPRODUCT(MAX(ROW(E$1:E3628)*(E3629=E$1:E3628)))))</f>
        <v/>
      </c>
      <c r="L3629" s="31"/>
    </row>
    <row r="3630" customFormat="false" ht="15" hidden="false" customHeight="false" outlineLevel="0" collapsed="false">
      <c r="A3630" s="20" t="s">
        <v>1085</v>
      </c>
      <c r="E3630" s="23" t="str">
        <f aca="false">IF(D3630="?OLD","!!!","")</f>
        <v/>
      </c>
      <c r="F3630" s="25" t="str">
        <f aca="false">IF(OR(E3630="",E3630="!!!"),"",IF(NOT(ISNA(VLOOKUP(E3630,E$1:E3629,1,FALSE()))),"OLD",IF(AND(E3630&lt;&gt;"",E3630&lt;&gt;"!!!"),"NEW","")))</f>
        <v/>
      </c>
      <c r="G3630" s="26" t="str">
        <f aca="false">IF(OR(E3630="",E3630="!!!"),"",IF(OR(J3630=0,AND(J3630=1,K3630=1),AND(J3630=1,I3630="SBJ"),AND(J3630=1,I3630=0)),"?IN_FOCUS",IF(J3630&lt;=2,"?ACTIVATED",IF(J3630&lt;&gt;"","?FAMILIAR",IF(F3630="NEW",IF(ISNA(VLOOKUP(E3630,#REF!,1,FALSE())),"?TYPE_IDENTIFIABLE","?REFERENTIAL"),"_")))))</f>
        <v/>
      </c>
      <c r="H3630" s="27" t="str">
        <f aca="false">IF(J3630&lt;&gt;1,"",IF(I3630="SBJ","CB","?"))</f>
        <v/>
      </c>
      <c r="I3630" s="24" t="str">
        <f aca="false">IF(OR(E3630="",E3630="!!!",F3630="NEW"),"",INDEX(B37:B$3594,-1+SUMPRODUCT(MAX(ROW(E37:E$3594)*(E3630=E37:E$3594)))))</f>
        <v/>
      </c>
      <c r="J3630" s="24" t="str">
        <f aca="true">IF(OR(E3630="",E3630="!!!",F3630="NEW"),"",COUNTBLANK(OFFSET(A$1,,,SUMPRODUCT(MAX(ROW(E$2:E3630)*(E3630=E$2:E3630)))))-COUNTBLANK(OFFSET(A$1,,,SUMPRODUCT(MAX(ROW(E$1:E3629)*(E2=E$1:E3629))))))</f>
        <v/>
      </c>
      <c r="K3630" s="24" t="str">
        <f aca="false">IF(OR(E3630="",E3630="!!!",F3630="NEW"),"",INDEX(J$1:J3629,SUMPRODUCT(MAX(ROW(E$1:E3629)*(E3630=E$1:E3629)))))</f>
        <v/>
      </c>
      <c r="L3630" s="31"/>
    </row>
    <row r="3631" customFormat="false" ht="15" hidden="false" customHeight="false" outlineLevel="0" collapsed="false">
      <c r="A3631" s="20" t="s">
        <v>1786</v>
      </c>
      <c r="B3631" s="22" t="s">
        <v>1855</v>
      </c>
      <c r="C3631" s="22" t="s">
        <v>1087</v>
      </c>
      <c r="E3631" s="23" t="str">
        <f aca="false">IF(D3631="?OLD","!!!","")</f>
        <v/>
      </c>
      <c r="F3631" s="25" t="str">
        <f aca="false">IF(OR(E3631="",E3631="!!!"),"",IF(NOT(ISNA(VLOOKUP(E3631,E$1:E3630,1,FALSE()))),"OLD",IF(AND(E3631&lt;&gt;"",E3631&lt;&gt;"!!!"),"NEW","")))</f>
        <v/>
      </c>
      <c r="G3631" s="26" t="str">
        <f aca="false">IF(OR(E3631="",E3631="!!!"),"",IF(OR(J3631=0,AND(J3631=1,K3631=1),AND(J3631=1,I3631="SBJ"),AND(J3631=1,I3631=0)),"?IN_FOCUS",IF(J3631&lt;=2,"?ACTIVATED",IF(J3631&lt;&gt;"","?FAMILIAR",IF(F3631="NEW",IF(ISNA(VLOOKUP(E3631,#REF!,1,FALSE())),"?TYPE_IDENTIFIABLE","?REFERENTIAL"),"_")))))</f>
        <v/>
      </c>
      <c r="H3631" s="27" t="str">
        <f aca="false">IF(J3631&lt;&gt;1,"",IF(I3631="SBJ","CB","?"))</f>
        <v/>
      </c>
      <c r="I3631" s="24" t="str">
        <f aca="false">IF(OR(E3631="",E3631="!!!",F3631="NEW"),"",INDEX(B38:B$3594,-1+SUMPRODUCT(MAX(ROW(E38:E$3594)*(E3631=E38:E$3594)))))</f>
        <v/>
      </c>
      <c r="J3631" s="24" t="str">
        <f aca="true">IF(OR(E3631="",E3631="!!!",F3631="NEW"),"",COUNTBLANK(OFFSET(A$1,,,SUMPRODUCT(MAX(ROW(E$2:E3631)*(E3631=E$2:E3631)))))-COUNTBLANK(OFFSET(A$1,,,SUMPRODUCT(MAX(ROW(E$1:E3630)*(E2=E$1:E3630))))))</f>
        <v/>
      </c>
      <c r="K3631" s="24" t="str">
        <f aca="false">IF(OR(E3631="",E3631="!!!",F3631="NEW"),"",INDEX(J$1:J3630,SUMPRODUCT(MAX(ROW(E$1:E3630)*(E3631=E$1:E3630)))))</f>
        <v/>
      </c>
      <c r="L3631" s="31"/>
    </row>
    <row r="3632" customFormat="false" ht="15" hidden="false" customHeight="false" outlineLevel="0" collapsed="false">
      <c r="A3632" s="20" t="s">
        <v>1562</v>
      </c>
      <c r="E3632" s="23" t="str">
        <f aca="false">IF(D3632="?OLD","!!!","")</f>
        <v/>
      </c>
      <c r="F3632" s="25" t="str">
        <f aca="false">IF(OR(E3632="",E3632="!!!"),"",IF(NOT(ISNA(VLOOKUP(E3632,E$1:E3631,1,FALSE()))),"OLD",IF(AND(E3632&lt;&gt;"",E3632&lt;&gt;"!!!"),"NEW","")))</f>
        <v/>
      </c>
      <c r="G3632" s="26" t="str">
        <f aca="false">IF(OR(E3632="",E3632="!!!"),"",IF(OR(J3632=0,AND(J3632=1,K3632=1),AND(J3632=1,I3632="SBJ"),AND(J3632=1,I3632=0)),"?IN_FOCUS",IF(J3632&lt;=2,"?ACTIVATED",IF(J3632&lt;&gt;"","?FAMILIAR",IF(F3632="NEW",IF(ISNA(VLOOKUP(E3632,#REF!,1,FALSE())),"?TYPE_IDENTIFIABLE","?REFERENTIAL"),"_")))))</f>
        <v/>
      </c>
      <c r="H3632" s="27" t="str">
        <f aca="false">IF(J3632&lt;&gt;1,"",IF(I3632="SBJ","CB","?"))</f>
        <v/>
      </c>
      <c r="I3632" s="24" t="str">
        <f aca="false">IF(OR(E3632="",E3632="!!!",F3632="NEW"),"",INDEX(B39:B$3594,-1+SUMPRODUCT(MAX(ROW(E39:E$3594)*(E3632=E39:E$3594)))))</f>
        <v/>
      </c>
      <c r="J3632" s="24" t="str">
        <f aca="true">IF(OR(E3632="",E3632="!!!",F3632="NEW"),"",COUNTBLANK(OFFSET(A$1,,,SUMPRODUCT(MAX(ROW(E$2:E3632)*(E3632=E$2:E3632)))))-COUNTBLANK(OFFSET(A$1,,,SUMPRODUCT(MAX(ROW(E$1:E3631)*(E2=E$1:E3631))))))</f>
        <v/>
      </c>
      <c r="K3632" s="24" t="str">
        <f aca="false">IF(OR(E3632="",E3632="!!!",F3632="NEW"),"",INDEX(J$1:J3631,SUMPRODUCT(MAX(ROW(E$1:E3631)*(E3632=E$1:E3631)))))</f>
        <v/>
      </c>
      <c r="L3632" s="31"/>
    </row>
    <row r="3633" customFormat="false" ht="15" hidden="false" customHeight="false" outlineLevel="0" collapsed="false">
      <c r="A3633" s="20" t="s">
        <v>1085</v>
      </c>
      <c r="E3633" s="23" t="str">
        <f aca="false">IF(D3633="?OLD","!!!","")</f>
        <v/>
      </c>
      <c r="F3633" s="25" t="str">
        <f aca="false">IF(OR(E3633="",E3633="!!!"),"",IF(NOT(ISNA(VLOOKUP(E3633,E$1:E3632,1,FALSE()))),"OLD",IF(AND(E3633&lt;&gt;"",E3633&lt;&gt;"!!!"),"NEW","")))</f>
        <v/>
      </c>
      <c r="G3633" s="26" t="str">
        <f aca="false">IF(OR(E3633="",E3633="!!!"),"",IF(OR(J3633=0,AND(J3633=1,K3633=1),AND(J3633=1,I3633="SBJ"),AND(J3633=1,I3633=0)),"?IN_FOCUS",IF(J3633&lt;=2,"?ACTIVATED",IF(J3633&lt;&gt;"","?FAMILIAR",IF(F3633="NEW",IF(ISNA(VLOOKUP(E3633,#REF!,1,FALSE())),"?TYPE_IDENTIFIABLE","?REFERENTIAL"),"_")))))</f>
        <v/>
      </c>
      <c r="H3633" s="27" t="str">
        <f aca="false">IF(J3633&lt;&gt;1,"",IF(I3633="SBJ","CB","?"))</f>
        <v/>
      </c>
      <c r="I3633" s="24" t="str">
        <f aca="false">IF(OR(E3633="",E3633="!!!",F3633="NEW"),"",INDEX(B40:B$3594,-1+SUMPRODUCT(MAX(ROW(E40:E$3594)*(E3633=E40:E$3594)))))</f>
        <v/>
      </c>
      <c r="J3633" s="24" t="str">
        <f aca="true">IF(OR(E3633="",E3633="!!!",F3633="NEW"),"",COUNTBLANK(OFFSET(A$1,,,SUMPRODUCT(MAX(ROW(E$2:E3633)*(E3633=E$2:E3633)))))-COUNTBLANK(OFFSET(A$1,,,SUMPRODUCT(MAX(ROW(E$1:E3632)*(E2=E$1:E3632))))))</f>
        <v/>
      </c>
      <c r="K3633" s="24" t="str">
        <f aca="false">IF(OR(E3633="",E3633="!!!",F3633="NEW"),"",INDEX(J$1:J3632,SUMPRODUCT(MAX(ROW(E$1:E3632)*(E3633=E$1:E3632)))))</f>
        <v/>
      </c>
      <c r="L3633" s="31"/>
    </row>
    <row r="3634" customFormat="false" ht="15" hidden="false" customHeight="false" outlineLevel="0" collapsed="false">
      <c r="A3634" s="20" t="s">
        <v>2212</v>
      </c>
      <c r="B3634" s="22" t="s">
        <v>1855</v>
      </c>
      <c r="C3634" s="22" t="s">
        <v>1087</v>
      </c>
      <c r="E3634" s="23" t="str">
        <f aca="false">IF(D3634="?OLD","!!!","")</f>
        <v/>
      </c>
      <c r="F3634" s="25" t="str">
        <f aca="false">IF(OR(E3634="",E3634="!!!"),"",IF(NOT(ISNA(VLOOKUP(E3634,E$1:E3633,1,FALSE()))),"OLD",IF(AND(E3634&lt;&gt;"",E3634&lt;&gt;"!!!"),"NEW","")))</f>
        <v/>
      </c>
      <c r="G3634" s="26" t="str">
        <f aca="false">IF(OR(E3634="",E3634="!!!"),"",IF(OR(J3634=0,AND(J3634=1,K3634=1),AND(J3634=1,I3634="SBJ"),AND(J3634=1,I3634=0)),"?IN_FOCUS",IF(J3634&lt;=2,"?ACTIVATED",IF(J3634&lt;&gt;"","?FAMILIAR",IF(F3634="NEW",IF(ISNA(VLOOKUP(E3634,#REF!,1,FALSE())),"?TYPE_IDENTIFIABLE","?REFERENTIAL"),"_")))))</f>
        <v/>
      </c>
      <c r="H3634" s="27" t="str">
        <f aca="false">IF(J3634&lt;&gt;1,"",IF(I3634="SBJ","CB","?"))</f>
        <v/>
      </c>
      <c r="I3634" s="24" t="str">
        <f aca="false">IF(OR(E3634="",E3634="!!!",F3634="NEW"),"",INDEX(B41:B$3594,-1+SUMPRODUCT(MAX(ROW(E41:E$3594)*(E3634=E41:E$3594)))))</f>
        <v/>
      </c>
      <c r="J3634" s="24" t="str">
        <f aca="true">IF(OR(E3634="",E3634="!!!",F3634="NEW"),"",COUNTBLANK(OFFSET(A$1,,,SUMPRODUCT(MAX(ROW(E$2:E3634)*(E3634=E$2:E3634)))))-COUNTBLANK(OFFSET(A$1,,,SUMPRODUCT(MAX(ROW(E$1:E3633)*(E2=E$1:E3633))))))</f>
        <v/>
      </c>
      <c r="K3634" s="24" t="str">
        <f aca="false">IF(OR(E3634="",E3634="!!!",F3634="NEW"),"",INDEX(J$1:J3633,SUMPRODUCT(MAX(ROW(E$1:E3633)*(E3634=E$1:E3633)))))</f>
        <v/>
      </c>
      <c r="L3634" s="31"/>
    </row>
    <row r="3635" customFormat="false" ht="15" hidden="false" customHeight="false" outlineLevel="0" collapsed="false">
      <c r="A3635" s="20" t="s">
        <v>923</v>
      </c>
      <c r="E3635" s="23" t="str">
        <f aca="false">IF(D3635="?OLD","!!!","")</f>
        <v/>
      </c>
      <c r="F3635" s="25" t="str">
        <f aca="false">IF(OR(E3635="",E3635="!!!"),"",IF(NOT(ISNA(VLOOKUP(E3635,E$1:E3634,1,FALSE()))),"OLD",IF(AND(E3635&lt;&gt;"",E3635&lt;&gt;"!!!"),"NEW","")))</f>
        <v/>
      </c>
      <c r="G3635" s="26" t="str">
        <f aca="false">IF(OR(E3635="",E3635="!!!"),"",IF(OR(J3635=0,AND(J3635=1,K3635=1),AND(J3635=1,I3635="SBJ"),AND(J3635=1,I3635=0)),"?IN_FOCUS",IF(J3635&lt;=2,"?ACTIVATED",IF(J3635&lt;&gt;"","?FAMILIAR",IF(F3635="NEW",IF(ISNA(VLOOKUP(E3635,#REF!,1,FALSE())),"?TYPE_IDENTIFIABLE","?REFERENTIAL"),"_")))))</f>
        <v/>
      </c>
      <c r="H3635" s="27" t="str">
        <f aca="false">IF(J3635&lt;&gt;1,"",IF(I3635="SBJ","CB","?"))</f>
        <v/>
      </c>
      <c r="I3635" s="24" t="str">
        <f aca="false">IF(OR(E3635="",E3635="!!!",F3635="NEW"),"",INDEX(B42:B$3594,-1+SUMPRODUCT(MAX(ROW(E42:E$3594)*(E3635=E42:E$3594)))))</f>
        <v/>
      </c>
      <c r="J3635" s="24" t="str">
        <f aca="true">IF(OR(E3635="",E3635="!!!",F3635="NEW"),"",COUNTBLANK(OFFSET(A$1,,,SUMPRODUCT(MAX(ROW(E$2:E3635)*(E3635=E$2:E3635)))))-COUNTBLANK(OFFSET(A$1,,,SUMPRODUCT(MAX(ROW(E$1:E3634)*(E2=E$1:E3634))))))</f>
        <v/>
      </c>
      <c r="K3635" s="24" t="str">
        <f aca="false">IF(OR(E3635="",E3635="!!!",F3635="NEW"),"",INDEX(J$1:J3634,SUMPRODUCT(MAX(ROW(E$1:E3634)*(E3635=E$1:E3634)))))</f>
        <v/>
      </c>
      <c r="L3635" s="31"/>
    </row>
    <row r="3636" customFormat="false" ht="15" hidden="false" customHeight="false" outlineLevel="0" collapsed="false">
      <c r="A3636" s="20"/>
    </row>
    <row r="3637" customFormat="false" ht="15" hidden="false" customHeight="false" outlineLevel="0" collapsed="false">
      <c r="A3637" s="20" t="s">
        <v>2213</v>
      </c>
    </row>
    <row r="3638" customFormat="false" ht="15" hidden="false" customHeight="false" outlineLevel="0" collapsed="false">
      <c r="A3638" s="20" t="s">
        <v>1057</v>
      </c>
      <c r="E3638" s="23" t="str">
        <f aca="false">IF(D3638="?OLD","!!!","")</f>
        <v/>
      </c>
      <c r="F3638" s="25" t="str">
        <f aca="false">IF(OR(E3638="",E3638="!!!"),"",IF(NOT(ISNA(VLOOKUP(E3638,E$1:E3637,1,FALSE()))),"OLD",IF(AND(E3638&lt;&gt;"",E3638&lt;&gt;"!!!"),"NEW","")))</f>
        <v/>
      </c>
      <c r="G3638" s="26" t="str">
        <f aca="false">IF(OR(E3638="",E3638="!!!"),"",IF(OR(J3638=0,AND(J3638=1,K3638=1),AND(J3638=1,I3638="SBJ"),AND(J3638=1,I3638=0)),"?IN_FOCUS",IF(J3638&lt;=2,"?ACTIVATED",IF(J3638&lt;&gt;"","?FAMILIAR",IF(F3638="NEW",IF(ISNA(VLOOKUP(E3638,#REF!,1,FALSE())),"?TYPE_IDENTIFIABLE","?REFERENTIAL"),"_")))))</f>
        <v/>
      </c>
      <c r="H3638" s="27" t="str">
        <f aca="false">IF(J3638&lt;&gt;1,"",IF(I3638="SBJ","CB","?"))</f>
        <v/>
      </c>
      <c r="I3638" s="24" t="str">
        <f aca="false">IF(OR(E3638="",E3638="!!!",F3638="NEW"),"",INDEX(B2:B$3637,-1+SUMPRODUCT(MAX(ROW(E2:E$3637)*(E3638=E2:E$3637)))))</f>
        <v/>
      </c>
      <c r="J3638" s="24" t="str">
        <f aca="true">IF(OR(E3638="",E3638="!!!",F3638="NEW"),"",COUNTBLANK(OFFSET(A$1,,,SUMPRODUCT(MAX(ROW(E$2:E3638)*(E3638=E$2:E3638)))))-COUNTBLANK(OFFSET(A$1,,,SUMPRODUCT(MAX(ROW(E$1:E3637)*(E2=E$1:E3637))))))</f>
        <v/>
      </c>
      <c r="K3638" s="24" t="str">
        <f aca="false">IF(OR(E3638="",E3638="!!!",F3638="NEW"),"",INDEX(J$1:J3637,SUMPRODUCT(MAX(ROW(E$1:E3637)*(E3638=E$1:E3637)))))</f>
        <v/>
      </c>
      <c r="L3638" s="31"/>
    </row>
    <row r="3639" customFormat="false" ht="15" hidden="false" customHeight="false" outlineLevel="0" collapsed="false">
      <c r="A3639" s="20" t="s">
        <v>705</v>
      </c>
      <c r="B3639" s="22" t="s">
        <v>1105</v>
      </c>
      <c r="C3639" s="22" t="s">
        <v>1389</v>
      </c>
      <c r="E3639" s="23" t="str">
        <f aca="false">IF(D3639="?OLD","!!!","")</f>
        <v/>
      </c>
      <c r="F3639" s="25" t="str">
        <f aca="false">IF(OR(E3639="",E3639="!!!"),"",IF(NOT(ISNA(VLOOKUP(E3639,E$1:E3638,1,FALSE()))),"OLD",IF(AND(E3639&lt;&gt;"",E3639&lt;&gt;"!!!"),"NEW","")))</f>
        <v/>
      </c>
      <c r="G3639" s="26" t="str">
        <f aca="false">IF(OR(E3639="",E3639="!!!"),"",IF(OR(J3639=0,AND(J3639=1,K3639=1),AND(J3639=1,I3639="SBJ"),AND(J3639=1,I3639=0)),"?IN_FOCUS",IF(J3639&lt;=2,"?ACTIVATED",IF(J3639&lt;&gt;"","?FAMILIAR",IF(F3639="NEW",IF(ISNA(VLOOKUP(E3639,#REF!,1,FALSE())),"?TYPE_IDENTIFIABLE","?REFERENTIAL"),"_")))))</f>
        <v/>
      </c>
      <c r="H3639" s="27" t="str">
        <f aca="false">IF(J3639&lt;&gt;1,"",IF(I3639="SBJ","CB","?"))</f>
        <v/>
      </c>
      <c r="I3639" s="24" t="str">
        <f aca="false">IF(OR(E3639="",E3639="!!!",F3639="NEW"),"",INDEX(B3:B$3637,-1+SUMPRODUCT(MAX(ROW(E3:E$3637)*(E3639=E3:E$3637)))))</f>
        <v/>
      </c>
      <c r="J3639" s="24" t="str">
        <f aca="true">IF(OR(E3639="",E3639="!!!",F3639="NEW"),"",COUNTBLANK(OFFSET(A$1,,,SUMPRODUCT(MAX(ROW(E$2:E3639)*(E3639=E$2:E3639)))))-COUNTBLANK(OFFSET(A$1,,,SUMPRODUCT(MAX(ROW(E$1:E3638)*(E2=E$1:E3638))))))</f>
        <v/>
      </c>
      <c r="K3639" s="24" t="str">
        <f aca="false">IF(OR(E3639="",E3639="!!!",F3639="NEW"),"",INDEX(J$1:J3638,SUMPRODUCT(MAX(ROW(E$1:E3638)*(E3639=E$1:E3638)))))</f>
        <v/>
      </c>
      <c r="L3639" s="31"/>
    </row>
    <row r="3640" customFormat="false" ht="15" hidden="false" customHeight="false" outlineLevel="0" collapsed="false">
      <c r="A3640" s="20" t="s">
        <v>1267</v>
      </c>
      <c r="E3640" s="23" t="str">
        <f aca="false">IF(D3640="?OLD","!!!","")</f>
        <v/>
      </c>
      <c r="F3640" s="25" t="str">
        <f aca="false">IF(OR(E3640="",E3640="!!!"),"",IF(NOT(ISNA(VLOOKUP(E3640,E$1:E3639,1,FALSE()))),"OLD",IF(AND(E3640&lt;&gt;"",E3640&lt;&gt;"!!!"),"NEW","")))</f>
        <v/>
      </c>
      <c r="G3640" s="26" t="str">
        <f aca="false">IF(OR(E3640="",E3640="!!!"),"",IF(OR(J3640=0,AND(J3640=1,K3640=1),AND(J3640=1,I3640="SBJ"),AND(J3640=1,I3640=0)),"?IN_FOCUS",IF(J3640&lt;=2,"?ACTIVATED",IF(J3640&lt;&gt;"","?FAMILIAR",IF(F3640="NEW",IF(ISNA(VLOOKUP(E3640,#REF!,1,FALSE())),"?TYPE_IDENTIFIABLE","?REFERENTIAL"),"_")))))</f>
        <v/>
      </c>
      <c r="H3640" s="27" t="str">
        <f aca="false">IF(J3640&lt;&gt;1,"",IF(I3640="SBJ","CB","?"))</f>
        <v/>
      </c>
      <c r="I3640" s="24" t="str">
        <f aca="false">IF(OR(E3640="",E3640="!!!",F3640="NEW"),"",INDEX(B4:B$3637,-1+SUMPRODUCT(MAX(ROW(E4:E$3637)*(E3640=E4:E$3637)))))</f>
        <v/>
      </c>
      <c r="J3640" s="24" t="str">
        <f aca="true">IF(OR(E3640="",E3640="!!!",F3640="NEW"),"",COUNTBLANK(OFFSET(A$1,,,SUMPRODUCT(MAX(ROW(E$2:E3640)*(E3640=E$2:E3640)))))-COUNTBLANK(OFFSET(A$1,,,SUMPRODUCT(MAX(ROW(E$1:E3639)*(E2=E$1:E3639))))))</f>
        <v/>
      </c>
      <c r="K3640" s="24" t="str">
        <f aca="false">IF(OR(E3640="",E3640="!!!",F3640="NEW"),"",INDEX(J$1:J3639,SUMPRODUCT(MAX(ROW(E$1:E3639)*(E3640=E$1:E3639)))))</f>
        <v/>
      </c>
      <c r="L3640" s="31"/>
    </row>
    <row r="3641" customFormat="false" ht="15" hidden="false" customHeight="false" outlineLevel="0" collapsed="false">
      <c r="A3641" s="20" t="s">
        <v>1352</v>
      </c>
      <c r="E3641" s="23" t="str">
        <f aca="false">IF(D3641="?OLD","!!!","")</f>
        <v/>
      </c>
      <c r="F3641" s="25" t="str">
        <f aca="false">IF(OR(E3641="",E3641="!!!"),"",IF(NOT(ISNA(VLOOKUP(E3641,E$1:E3640,1,FALSE()))),"OLD",IF(AND(E3641&lt;&gt;"",E3641&lt;&gt;"!!!"),"NEW","")))</f>
        <v/>
      </c>
      <c r="G3641" s="26" t="str">
        <f aca="false">IF(OR(E3641="",E3641="!!!"),"",IF(OR(J3641=0,AND(J3641=1,K3641=1),AND(J3641=1,I3641="SBJ"),AND(J3641=1,I3641=0)),"?IN_FOCUS",IF(J3641&lt;=2,"?ACTIVATED",IF(J3641&lt;&gt;"","?FAMILIAR",IF(F3641="NEW",IF(ISNA(VLOOKUP(E3641,#REF!,1,FALSE())),"?TYPE_IDENTIFIABLE","?REFERENTIAL"),"_")))))</f>
        <v/>
      </c>
      <c r="H3641" s="27" t="str">
        <f aca="false">IF(J3641&lt;&gt;1,"",IF(I3641="SBJ","CB","?"))</f>
        <v/>
      </c>
      <c r="I3641" s="24" t="str">
        <f aca="false">IF(OR(E3641="",E3641="!!!",F3641="NEW"),"",INDEX(B5:B$3637,-1+SUMPRODUCT(MAX(ROW(E5:E$3637)*(E3641=E5:E$3637)))))</f>
        <v/>
      </c>
      <c r="J3641" s="24" t="str">
        <f aca="true">IF(OR(E3641="",E3641="!!!",F3641="NEW"),"",COUNTBLANK(OFFSET(A$1,,,SUMPRODUCT(MAX(ROW(E$2:E3641)*(E3641=E$2:E3641)))))-COUNTBLANK(OFFSET(A$1,,,SUMPRODUCT(MAX(ROW(E$1:E3640)*(E2=E$1:E3640))))))</f>
        <v/>
      </c>
      <c r="K3641" s="24" t="str">
        <f aca="false">IF(OR(E3641="",E3641="!!!",F3641="NEW"),"",INDEX(J$1:J3640,SUMPRODUCT(MAX(ROW(E$1:E3640)*(E3641=E$1:E3640)))))</f>
        <v/>
      </c>
      <c r="L3641" s="31"/>
    </row>
    <row r="3642" customFormat="false" ht="15" hidden="false" customHeight="false" outlineLevel="0" collapsed="false">
      <c r="A3642" s="20" t="s">
        <v>1109</v>
      </c>
      <c r="E3642" s="23" t="str">
        <f aca="false">IF(D3642="?OLD","!!!","")</f>
        <v/>
      </c>
      <c r="F3642" s="25" t="str">
        <f aca="false">IF(OR(E3642="",E3642="!!!"),"",IF(NOT(ISNA(VLOOKUP(E3642,E$1:E3641,1,FALSE()))),"OLD",IF(AND(E3642&lt;&gt;"",E3642&lt;&gt;"!!!"),"NEW","")))</f>
        <v/>
      </c>
      <c r="G3642" s="26" t="str">
        <f aca="false">IF(OR(E3642="",E3642="!!!"),"",IF(OR(J3642=0,AND(J3642=1,K3642=1),AND(J3642=1,I3642="SBJ"),AND(J3642=1,I3642=0)),"?IN_FOCUS",IF(J3642&lt;=2,"?ACTIVATED",IF(J3642&lt;&gt;"","?FAMILIAR",IF(F3642="NEW",IF(ISNA(VLOOKUP(E3642,#REF!,1,FALSE())),"?TYPE_IDENTIFIABLE","?REFERENTIAL"),"_")))))</f>
        <v/>
      </c>
      <c r="H3642" s="27" t="str">
        <f aca="false">IF(J3642&lt;&gt;1,"",IF(I3642="SBJ","CB","?"))</f>
        <v/>
      </c>
      <c r="I3642" s="24" t="str">
        <f aca="false">IF(OR(E3642="",E3642="!!!",F3642="NEW"),"",INDEX(B6:B$3637,-1+SUMPRODUCT(MAX(ROW(E6:E$3637)*(E3642=E6:E$3637)))))</f>
        <v/>
      </c>
      <c r="J3642" s="24" t="str">
        <f aca="true">IF(OR(E3642="",E3642="!!!",F3642="NEW"),"",COUNTBLANK(OFFSET(A$1,,,SUMPRODUCT(MAX(ROW(E$2:E3642)*(E3642=E$2:E3642)))))-COUNTBLANK(OFFSET(A$1,,,SUMPRODUCT(MAX(ROW(E$1:E3641)*(E2=E$1:E3641))))))</f>
        <v/>
      </c>
      <c r="K3642" s="24" t="str">
        <f aca="false">IF(OR(E3642="",E3642="!!!",F3642="NEW"),"",INDEX(J$1:J3641,SUMPRODUCT(MAX(ROW(E$1:E3641)*(E3642=E$1:E3641)))))</f>
        <v/>
      </c>
      <c r="L3642" s="31"/>
    </row>
    <row r="3643" customFormat="false" ht="15" hidden="false" customHeight="false" outlineLevel="0" collapsed="false">
      <c r="A3643" s="20" t="s">
        <v>1947</v>
      </c>
      <c r="B3643" s="22" t="s">
        <v>1073</v>
      </c>
      <c r="C3643" s="22" t="s">
        <v>1150</v>
      </c>
      <c r="D3643" s="22" t="s">
        <v>1060</v>
      </c>
      <c r="E3643" s="23" t="str">
        <f aca="false">IF(D3643="?OLD","!!!","")</f>
        <v>!!!</v>
      </c>
      <c r="F3643" s="25" t="str">
        <f aca="false">IF(OR(E3643="",E3643="!!!"),"",IF(NOT(ISNA(VLOOKUP(E3643,E$1:E3642,1,FALSE()))),"OLD",IF(AND(E3643&lt;&gt;"",E3643&lt;&gt;"!!!"),"NEW","")))</f>
        <v/>
      </c>
      <c r="G3643" s="26" t="str">
        <f aca="false">IF(OR(E3643="",E3643="!!!"),"",IF(OR(J3643=0,AND(J3643=1,K3643=1),AND(J3643=1,I3643="SBJ"),AND(J3643=1,I3643=0)),"?IN_FOCUS",IF(J3643&lt;=2,"?ACTIVATED",IF(J3643&lt;&gt;"","?FAMILIAR",IF(F3643="NEW",IF(ISNA(VLOOKUP(E3643,#REF!,1,FALSE())),"?TYPE_IDENTIFIABLE","?REFERENTIAL"),"_")))))</f>
        <v/>
      </c>
      <c r="H3643" s="27" t="str">
        <f aca="false">IF(J3643&lt;&gt;1,"",IF(I3643="SBJ","CB","?"))</f>
        <v/>
      </c>
      <c r="I3643" s="24" t="str">
        <f aca="false">IF(OR(E3643="",E3643="!!!",F3643="NEW"),"",INDEX(B7:B$3637,-1+SUMPRODUCT(MAX(ROW(E7:E$3637)*(E3643=E7:E$3637)))))</f>
        <v/>
      </c>
      <c r="J3643" s="24" t="str">
        <f aca="true">IF(OR(E3643="",E3643="!!!",F3643="NEW"),"",COUNTBLANK(OFFSET(A$1,,,SUMPRODUCT(MAX(ROW(E$2:E3643)*(E3643=E$2:E3643)))))-COUNTBLANK(OFFSET(A$1,,,SUMPRODUCT(MAX(ROW(E$1:E3642)*(E2=E$1:E3642))))))</f>
        <v/>
      </c>
      <c r="K3643" s="24" t="str">
        <f aca="false">IF(OR(E3643="",E3643="!!!",F3643="NEW"),"",INDEX(J$1:J3642,SUMPRODUCT(MAX(ROW(E$1:E3642)*(E3643=E$1:E3642)))))</f>
        <v/>
      </c>
      <c r="L3643" s="31"/>
    </row>
    <row r="3644" customFormat="false" ht="15" hidden="false" customHeight="false" outlineLevel="0" collapsed="false">
      <c r="A3644" s="20" t="s">
        <v>1128</v>
      </c>
      <c r="E3644" s="23" t="str">
        <f aca="false">IF(D3644="?OLD","!!!","")</f>
        <v/>
      </c>
      <c r="F3644" s="25" t="str">
        <f aca="false">IF(OR(E3644="",E3644="!!!"),"",IF(NOT(ISNA(VLOOKUP(E3644,E$1:E3643,1,FALSE()))),"OLD",IF(AND(E3644&lt;&gt;"",E3644&lt;&gt;"!!!"),"NEW","")))</f>
        <v/>
      </c>
      <c r="G3644" s="26" t="str">
        <f aca="false">IF(OR(E3644="",E3644="!!!"),"",IF(OR(J3644=0,AND(J3644=1,K3644=1),AND(J3644=1,I3644="SBJ"),AND(J3644=1,I3644=0)),"?IN_FOCUS",IF(J3644&lt;=2,"?ACTIVATED",IF(J3644&lt;&gt;"","?FAMILIAR",IF(F3644="NEW",IF(ISNA(VLOOKUP(E3644,#REF!,1,FALSE())),"?TYPE_IDENTIFIABLE","?REFERENTIAL"),"_")))))</f>
        <v/>
      </c>
      <c r="H3644" s="27" t="str">
        <f aca="false">IF(J3644&lt;&gt;1,"",IF(I3644="SBJ","CB","?"))</f>
        <v/>
      </c>
      <c r="I3644" s="24" t="str">
        <f aca="false">IF(OR(E3644="",E3644="!!!",F3644="NEW"),"",INDEX(B8:B$3637,-1+SUMPRODUCT(MAX(ROW(E8:E$3637)*(E3644=E8:E$3637)))))</f>
        <v/>
      </c>
      <c r="J3644" s="24" t="str">
        <f aca="true">IF(OR(E3644="",E3644="!!!",F3644="NEW"),"",COUNTBLANK(OFFSET(A$1,,,SUMPRODUCT(MAX(ROW(E$2:E3644)*(E3644=E$2:E3644)))))-COUNTBLANK(OFFSET(A$1,,,SUMPRODUCT(MAX(ROW(E$1:E3643)*(E2=E$1:E3643))))))</f>
        <v/>
      </c>
      <c r="K3644" s="24" t="str">
        <f aca="false">IF(OR(E3644="",E3644="!!!",F3644="NEW"),"",INDEX(J$1:J3643,SUMPRODUCT(MAX(ROW(E$1:E3643)*(E3644=E$1:E3643)))))</f>
        <v/>
      </c>
      <c r="L3644" s="31"/>
    </row>
    <row r="3645" customFormat="false" ht="15" hidden="false" customHeight="false" outlineLevel="0" collapsed="false">
      <c r="A3645" s="20" t="s">
        <v>1092</v>
      </c>
      <c r="E3645" s="23" t="str">
        <f aca="false">IF(D3645="?OLD","!!!","")</f>
        <v/>
      </c>
      <c r="F3645" s="25" t="str">
        <f aca="false">IF(OR(E3645="",E3645="!!!"),"",IF(NOT(ISNA(VLOOKUP(E3645,E$1:E3644,1,FALSE()))),"OLD",IF(AND(E3645&lt;&gt;"",E3645&lt;&gt;"!!!"),"NEW","")))</f>
        <v/>
      </c>
      <c r="G3645" s="26" t="str">
        <f aca="false">IF(OR(E3645="",E3645="!!!"),"",IF(OR(J3645=0,AND(J3645=1,K3645=1),AND(J3645=1,I3645="SBJ"),AND(J3645=1,I3645=0)),"?IN_FOCUS",IF(J3645&lt;=2,"?ACTIVATED",IF(J3645&lt;&gt;"","?FAMILIAR",IF(F3645="NEW",IF(ISNA(VLOOKUP(E3645,#REF!,1,FALSE())),"?TYPE_IDENTIFIABLE","?REFERENTIAL"),"_")))))</f>
        <v/>
      </c>
      <c r="H3645" s="27" t="str">
        <f aca="false">IF(J3645&lt;&gt;1,"",IF(I3645="SBJ","CB","?"))</f>
        <v/>
      </c>
      <c r="I3645" s="24" t="str">
        <f aca="false">IF(OR(E3645="",E3645="!!!",F3645="NEW"),"",INDEX(B9:B$3637,-1+SUMPRODUCT(MAX(ROW(E9:E$3637)*(E3645=E9:E$3637)))))</f>
        <v/>
      </c>
      <c r="J3645" s="24" t="str">
        <f aca="true">IF(OR(E3645="",E3645="!!!",F3645="NEW"),"",COUNTBLANK(OFFSET(A$1,,,SUMPRODUCT(MAX(ROW(E$2:E3645)*(E3645=E$2:E3645)))))-COUNTBLANK(OFFSET(A$1,,,SUMPRODUCT(MAX(ROW(E$1:E3644)*(E2=E$1:E3644))))))</f>
        <v/>
      </c>
      <c r="K3645" s="24" t="str">
        <f aca="false">IF(OR(E3645="",E3645="!!!",F3645="NEW"),"",INDEX(J$1:J3644,SUMPRODUCT(MAX(ROW(E$1:E3644)*(E3645=E$1:E3644)))))</f>
        <v/>
      </c>
      <c r="L3645" s="31"/>
    </row>
    <row r="3646" customFormat="false" ht="15" hidden="false" customHeight="false" outlineLevel="0" collapsed="false">
      <c r="A3646" s="20" t="s">
        <v>2214</v>
      </c>
      <c r="E3646" s="23" t="str">
        <f aca="false">IF(D3646="?OLD","!!!","")</f>
        <v/>
      </c>
      <c r="F3646" s="25" t="str">
        <f aca="false">IF(OR(E3646="",E3646="!!!"),"",IF(NOT(ISNA(VLOOKUP(E3646,E$1:E3645,1,FALSE()))),"OLD",IF(AND(E3646&lt;&gt;"",E3646&lt;&gt;"!!!"),"NEW","")))</f>
        <v/>
      </c>
      <c r="G3646" s="26" t="str">
        <f aca="false">IF(OR(E3646="",E3646="!!!"),"",IF(OR(J3646=0,AND(J3646=1,K3646=1),AND(J3646=1,I3646="SBJ"),AND(J3646=1,I3646=0)),"?IN_FOCUS",IF(J3646&lt;=2,"?ACTIVATED",IF(J3646&lt;&gt;"","?FAMILIAR",IF(F3646="NEW",IF(ISNA(VLOOKUP(E3646,#REF!,1,FALSE())),"?TYPE_IDENTIFIABLE","?REFERENTIAL"),"_")))))</f>
        <v/>
      </c>
      <c r="H3646" s="27" t="str">
        <f aca="false">IF(J3646&lt;&gt;1,"",IF(I3646="SBJ","CB","?"))</f>
        <v/>
      </c>
      <c r="I3646" s="24" t="str">
        <f aca="false">IF(OR(E3646="",E3646="!!!",F3646="NEW"),"",INDEX(B10:B$3637,-1+SUMPRODUCT(MAX(ROW(E10:E$3637)*(E3646=E10:E$3637)))))</f>
        <v/>
      </c>
      <c r="J3646" s="24" t="str">
        <f aca="true">IF(OR(E3646="",E3646="!!!",F3646="NEW"),"",COUNTBLANK(OFFSET(A$1,,,SUMPRODUCT(MAX(ROW(E$2:E3646)*(E3646=E$2:E3646)))))-COUNTBLANK(OFFSET(A$1,,,SUMPRODUCT(MAX(ROW(E$1:E3645)*(E2=E$1:E3645))))))</f>
        <v/>
      </c>
      <c r="K3646" s="24" t="str">
        <f aca="false">IF(OR(E3646="",E3646="!!!",F3646="NEW"),"",INDEX(J$1:J3645,SUMPRODUCT(MAX(ROW(E$1:E3645)*(E3646=E$1:E3645)))))</f>
        <v/>
      </c>
      <c r="L3646" s="31"/>
    </row>
    <row r="3647" customFormat="false" ht="15" hidden="false" customHeight="false" outlineLevel="0" collapsed="false">
      <c r="A3647" s="20" t="s">
        <v>1184</v>
      </c>
      <c r="E3647" s="23" t="str">
        <f aca="false">IF(D3647="?OLD","!!!","")</f>
        <v/>
      </c>
      <c r="F3647" s="25" t="str">
        <f aca="false">IF(OR(E3647="",E3647="!!!"),"",IF(NOT(ISNA(VLOOKUP(E3647,E$1:E3646,1,FALSE()))),"OLD",IF(AND(E3647&lt;&gt;"",E3647&lt;&gt;"!!!"),"NEW","")))</f>
        <v/>
      </c>
      <c r="G3647" s="26" t="str">
        <f aca="false">IF(OR(E3647="",E3647="!!!"),"",IF(OR(J3647=0,AND(J3647=1,K3647=1),AND(J3647=1,I3647="SBJ"),AND(J3647=1,I3647=0)),"?IN_FOCUS",IF(J3647&lt;=2,"?ACTIVATED",IF(J3647&lt;&gt;"","?FAMILIAR",IF(F3647="NEW",IF(ISNA(VLOOKUP(E3647,#REF!,1,FALSE())),"?TYPE_IDENTIFIABLE","?REFERENTIAL"),"_")))))</f>
        <v/>
      </c>
      <c r="H3647" s="27" t="str">
        <f aca="false">IF(J3647&lt;&gt;1,"",IF(I3647="SBJ","CB","?"))</f>
        <v/>
      </c>
      <c r="I3647" s="24" t="str">
        <f aca="false">IF(OR(E3647="",E3647="!!!",F3647="NEW"),"",INDEX(B11:B$3637,-1+SUMPRODUCT(MAX(ROW(E11:E$3637)*(E3647=E11:E$3637)))))</f>
        <v/>
      </c>
      <c r="J3647" s="24" t="str">
        <f aca="true">IF(OR(E3647="",E3647="!!!",F3647="NEW"),"",COUNTBLANK(OFFSET(A$1,,,SUMPRODUCT(MAX(ROW(E$2:E3647)*(E3647=E$2:E3647)))))-COUNTBLANK(OFFSET(A$1,,,SUMPRODUCT(MAX(ROW(E$1:E3646)*(E2=E$1:E3646))))))</f>
        <v/>
      </c>
      <c r="K3647" s="24" t="str">
        <f aca="false">IF(OR(E3647="",E3647="!!!",F3647="NEW"),"",INDEX(J$1:J3646,SUMPRODUCT(MAX(ROW(E$1:E3646)*(E3647=E$1:E3646)))))</f>
        <v/>
      </c>
      <c r="L3647" s="31"/>
    </row>
    <row r="3648" customFormat="false" ht="15" hidden="false" customHeight="false" outlineLevel="0" collapsed="false">
      <c r="A3648" s="20" t="s">
        <v>1109</v>
      </c>
      <c r="E3648" s="23" t="str">
        <f aca="false">IF(D3648="?OLD","!!!","")</f>
        <v/>
      </c>
      <c r="F3648" s="25" t="str">
        <f aca="false">IF(OR(E3648="",E3648="!!!"),"",IF(NOT(ISNA(VLOOKUP(E3648,E$1:E3647,1,FALSE()))),"OLD",IF(AND(E3648&lt;&gt;"",E3648&lt;&gt;"!!!"),"NEW","")))</f>
        <v/>
      </c>
      <c r="G3648" s="26" t="str">
        <f aca="false">IF(OR(E3648="",E3648="!!!"),"",IF(OR(J3648=0,AND(J3648=1,K3648=1),AND(J3648=1,I3648="SBJ"),AND(J3648=1,I3648=0)),"?IN_FOCUS",IF(J3648&lt;=2,"?ACTIVATED",IF(J3648&lt;&gt;"","?FAMILIAR",IF(F3648="NEW",IF(ISNA(VLOOKUP(E3648,#REF!,1,FALSE())),"?TYPE_IDENTIFIABLE","?REFERENTIAL"),"_")))))</f>
        <v/>
      </c>
      <c r="H3648" s="27" t="str">
        <f aca="false">IF(J3648&lt;&gt;1,"",IF(I3648="SBJ","CB","?"))</f>
        <v/>
      </c>
      <c r="I3648" s="24" t="str">
        <f aca="false">IF(OR(E3648="",E3648="!!!",F3648="NEW"),"",INDEX(B12:B$3637,-1+SUMPRODUCT(MAX(ROW(E12:E$3637)*(E3648=E12:E$3637)))))</f>
        <v/>
      </c>
      <c r="J3648" s="24" t="str">
        <f aca="true">IF(OR(E3648="",E3648="!!!",F3648="NEW"),"",COUNTBLANK(OFFSET(A$1,,,SUMPRODUCT(MAX(ROW(E$2:E3648)*(E3648=E$2:E3648)))))-COUNTBLANK(OFFSET(A$1,,,SUMPRODUCT(MAX(ROW(E$1:E3647)*(E2=E$1:E3647))))))</f>
        <v/>
      </c>
      <c r="K3648" s="24" t="str">
        <f aca="false">IF(OR(E3648="",E3648="!!!",F3648="NEW"),"",INDEX(J$1:J3647,SUMPRODUCT(MAX(ROW(E$1:E3647)*(E3648=E$1:E3647)))))</f>
        <v/>
      </c>
      <c r="L3648" s="31"/>
    </row>
    <row r="3649" customFormat="false" ht="15" hidden="false" customHeight="false" outlineLevel="0" collapsed="false">
      <c r="A3649" s="20" t="s">
        <v>1232</v>
      </c>
      <c r="B3649" s="22" t="s">
        <v>1073</v>
      </c>
      <c r="C3649" s="22" t="s">
        <v>1150</v>
      </c>
      <c r="D3649" s="22" t="s">
        <v>1060</v>
      </c>
      <c r="E3649" s="23" t="str">
        <f aca="false">IF(D3649="?OLD","!!!","")</f>
        <v>!!!</v>
      </c>
      <c r="F3649" s="25" t="str">
        <f aca="false">IF(OR(E3649="",E3649="!!!"),"",IF(NOT(ISNA(VLOOKUP(E3649,E$1:E3648,1,FALSE()))),"OLD",IF(AND(E3649&lt;&gt;"",E3649&lt;&gt;"!!!"),"NEW","")))</f>
        <v/>
      </c>
      <c r="G3649" s="26" t="str">
        <f aca="false">IF(OR(E3649="",E3649="!!!"),"",IF(OR(J3649=0,AND(J3649=1,K3649=1),AND(J3649=1,I3649="SBJ"),AND(J3649=1,I3649=0)),"?IN_FOCUS",IF(J3649&lt;=2,"?ACTIVATED",IF(J3649&lt;&gt;"","?FAMILIAR",IF(F3649="NEW",IF(ISNA(VLOOKUP(E3649,#REF!,1,FALSE())),"?TYPE_IDENTIFIABLE","?REFERENTIAL"),"_")))))</f>
        <v/>
      </c>
      <c r="H3649" s="27" t="str">
        <f aca="false">IF(J3649&lt;&gt;1,"",IF(I3649="SBJ","CB","?"))</f>
        <v/>
      </c>
      <c r="I3649" s="24" t="str">
        <f aca="false">IF(OR(E3649="",E3649="!!!",F3649="NEW"),"",INDEX(B13:B$3637,-1+SUMPRODUCT(MAX(ROW(E13:E$3637)*(E3649=E13:E$3637)))))</f>
        <v/>
      </c>
      <c r="J3649" s="24" t="str">
        <f aca="true">IF(OR(E3649="",E3649="!!!",F3649="NEW"),"",COUNTBLANK(OFFSET(A$1,,,SUMPRODUCT(MAX(ROW(E$2:E3649)*(E3649=E$2:E3649)))))-COUNTBLANK(OFFSET(A$1,,,SUMPRODUCT(MAX(ROW(E$1:E3648)*(E2=E$1:E3648))))))</f>
        <v/>
      </c>
      <c r="K3649" s="24" t="str">
        <f aca="false">IF(OR(E3649="",E3649="!!!",F3649="NEW"),"",INDEX(J$1:J3648,SUMPRODUCT(MAX(ROW(E$1:E3648)*(E3649=E$1:E3648)))))</f>
        <v/>
      </c>
      <c r="L3649" s="31"/>
    </row>
    <row r="3650" customFormat="false" ht="15" hidden="false" customHeight="false" outlineLevel="0" collapsed="false">
      <c r="A3650" s="20" t="s">
        <v>1064</v>
      </c>
      <c r="E3650" s="23" t="str">
        <f aca="false">IF(D3650="?OLD","!!!","")</f>
        <v/>
      </c>
      <c r="F3650" s="25" t="str">
        <f aca="false">IF(OR(E3650="",E3650="!!!"),"",IF(NOT(ISNA(VLOOKUP(E3650,E$1:E3649,1,FALSE()))),"OLD",IF(AND(E3650&lt;&gt;"",E3650&lt;&gt;"!!!"),"NEW","")))</f>
        <v/>
      </c>
      <c r="G3650" s="26" t="str">
        <f aca="false">IF(OR(E3650="",E3650="!!!"),"",IF(OR(J3650=0,AND(J3650=1,K3650=1),AND(J3650=1,I3650="SBJ"),AND(J3650=1,I3650=0)),"?IN_FOCUS",IF(J3650&lt;=2,"?ACTIVATED",IF(J3650&lt;&gt;"","?FAMILIAR",IF(F3650="NEW",IF(ISNA(VLOOKUP(E3650,#REF!,1,FALSE())),"?TYPE_IDENTIFIABLE","?REFERENTIAL"),"_")))))</f>
        <v/>
      </c>
      <c r="H3650" s="27" t="str">
        <f aca="false">IF(J3650&lt;&gt;1,"",IF(I3650="SBJ","CB","?"))</f>
        <v/>
      </c>
      <c r="I3650" s="24" t="str">
        <f aca="false">IF(OR(E3650="",E3650="!!!",F3650="NEW"),"",INDEX(B14:B$3637,-1+SUMPRODUCT(MAX(ROW(E14:E$3637)*(E3650=E14:E$3637)))))</f>
        <v/>
      </c>
      <c r="J3650" s="24" t="str">
        <f aca="true">IF(OR(E3650="",E3650="!!!",F3650="NEW"),"",COUNTBLANK(OFFSET(A$1,,,SUMPRODUCT(MAX(ROW(E$2:E3650)*(E3650=E$2:E3650)))))-COUNTBLANK(OFFSET(A$1,,,SUMPRODUCT(MAX(ROW(E$1:E3649)*(E2=E$1:E3649))))))</f>
        <v/>
      </c>
      <c r="K3650" s="24" t="str">
        <f aca="false">IF(OR(E3650="",E3650="!!!",F3650="NEW"),"",INDEX(J$1:J3649,SUMPRODUCT(MAX(ROW(E$1:E3649)*(E3650=E$1:E3649)))))</f>
        <v/>
      </c>
      <c r="L3650" s="31"/>
    </row>
    <row r="3651" customFormat="false" ht="15" hidden="false" customHeight="false" outlineLevel="0" collapsed="false">
      <c r="A3651" s="20" t="s">
        <v>1109</v>
      </c>
      <c r="E3651" s="23" t="str">
        <f aca="false">IF(D3651="?OLD","!!!","")</f>
        <v/>
      </c>
      <c r="F3651" s="25" t="str">
        <f aca="false">IF(OR(E3651="",E3651="!!!"),"",IF(NOT(ISNA(VLOOKUP(E3651,E$1:E3650,1,FALSE()))),"OLD",IF(AND(E3651&lt;&gt;"",E3651&lt;&gt;"!!!"),"NEW","")))</f>
        <v/>
      </c>
      <c r="G3651" s="26" t="str">
        <f aca="false">IF(OR(E3651="",E3651="!!!"),"",IF(OR(J3651=0,AND(J3651=1,K3651=1),AND(J3651=1,I3651="SBJ"),AND(J3651=1,I3651=0)),"?IN_FOCUS",IF(J3651&lt;=2,"?ACTIVATED",IF(J3651&lt;&gt;"","?FAMILIAR",IF(F3651="NEW",IF(ISNA(VLOOKUP(E3651,#REF!,1,FALSE())),"?TYPE_IDENTIFIABLE","?REFERENTIAL"),"_")))))</f>
        <v/>
      </c>
      <c r="H3651" s="27" t="str">
        <f aca="false">IF(J3651&lt;&gt;1,"",IF(I3651="SBJ","CB","?"))</f>
        <v/>
      </c>
      <c r="I3651" s="24" t="str">
        <f aca="false">IF(OR(E3651="",E3651="!!!",F3651="NEW"),"",INDEX(B15:B$3637,-1+SUMPRODUCT(MAX(ROW(E15:E$3637)*(E3651=E15:E$3637)))))</f>
        <v/>
      </c>
      <c r="J3651" s="24" t="str">
        <f aca="true">IF(OR(E3651="",E3651="!!!",F3651="NEW"),"",COUNTBLANK(OFFSET(A$1,,,SUMPRODUCT(MAX(ROW(E$2:E3651)*(E3651=E$2:E3651)))))-COUNTBLANK(OFFSET(A$1,,,SUMPRODUCT(MAX(ROW(E$1:E3650)*(E2=E$1:E3650))))))</f>
        <v/>
      </c>
      <c r="K3651" s="24" t="str">
        <f aca="false">IF(OR(E3651="",E3651="!!!",F3651="NEW"),"",INDEX(J$1:J3650,SUMPRODUCT(MAX(ROW(E$1:E3650)*(E3651=E$1:E3650)))))</f>
        <v/>
      </c>
      <c r="L3651" s="31"/>
    </row>
    <row r="3652" customFormat="false" ht="15" hidden="false" customHeight="false" outlineLevel="0" collapsed="false">
      <c r="A3652" s="20" t="s">
        <v>2215</v>
      </c>
      <c r="B3652" s="22" t="s">
        <v>1067</v>
      </c>
      <c r="C3652" s="22" t="s">
        <v>1150</v>
      </c>
      <c r="D3652" s="22" t="s">
        <v>1060</v>
      </c>
      <c r="E3652" s="23" t="str">
        <f aca="false">IF(D3652="?OLD","!!!","")</f>
        <v>!!!</v>
      </c>
      <c r="F3652" s="25" t="str">
        <f aca="false">IF(OR(E3652="",E3652="!!!"),"",IF(NOT(ISNA(VLOOKUP(E3652,E$1:E3651,1,FALSE()))),"OLD",IF(AND(E3652&lt;&gt;"",E3652&lt;&gt;"!!!"),"NEW","")))</f>
        <v/>
      </c>
      <c r="G3652" s="26" t="str">
        <f aca="false">IF(OR(E3652="",E3652="!!!"),"",IF(OR(J3652=0,AND(J3652=1,K3652=1),AND(J3652=1,I3652="SBJ"),AND(J3652=1,I3652=0)),"?IN_FOCUS",IF(J3652&lt;=2,"?ACTIVATED",IF(J3652&lt;&gt;"","?FAMILIAR",IF(F3652="NEW",IF(ISNA(VLOOKUP(E3652,#REF!,1,FALSE())),"?TYPE_IDENTIFIABLE","?REFERENTIAL"),"_")))))</f>
        <v/>
      </c>
      <c r="H3652" s="27" t="str">
        <f aca="false">IF(J3652&lt;&gt;1,"",IF(I3652="SBJ","CB","?"))</f>
        <v/>
      </c>
      <c r="I3652" s="24" t="str">
        <f aca="false">IF(OR(E3652="",E3652="!!!",F3652="NEW"),"",INDEX(B16:B$3637,-1+SUMPRODUCT(MAX(ROW(E16:E$3637)*(E3652=E16:E$3637)))))</f>
        <v/>
      </c>
      <c r="J3652" s="24" t="str">
        <f aca="true">IF(OR(E3652="",E3652="!!!",F3652="NEW"),"",COUNTBLANK(OFFSET(A$1,,,SUMPRODUCT(MAX(ROW(E$2:E3652)*(E3652=E$2:E3652)))))-COUNTBLANK(OFFSET(A$1,,,SUMPRODUCT(MAX(ROW(E$1:E3651)*(E2=E$1:E3651))))))</f>
        <v/>
      </c>
      <c r="K3652" s="24" t="str">
        <f aca="false">IF(OR(E3652="",E3652="!!!",F3652="NEW"),"",INDEX(J$1:J3651,SUMPRODUCT(MAX(ROW(E$1:E3651)*(E3652=E$1:E3651)))))</f>
        <v/>
      </c>
      <c r="L3652" s="31"/>
    </row>
    <row r="3653" customFormat="false" ht="15" hidden="false" customHeight="false" outlineLevel="0" collapsed="false">
      <c r="A3653" s="20" t="s">
        <v>923</v>
      </c>
      <c r="E3653" s="23" t="str">
        <f aca="false">IF(D3653="?OLD","!!!","")</f>
        <v/>
      </c>
      <c r="F3653" s="25" t="str">
        <f aca="false">IF(OR(E3653="",E3653="!!!"),"",IF(NOT(ISNA(VLOOKUP(E3653,E$1:E3652,1,FALSE()))),"OLD",IF(AND(E3653&lt;&gt;"",E3653&lt;&gt;"!!!"),"NEW","")))</f>
        <v/>
      </c>
      <c r="G3653" s="26" t="str">
        <f aca="false">IF(OR(E3653="",E3653="!!!"),"",IF(OR(J3653=0,AND(J3653=1,K3653=1),AND(J3653=1,I3653="SBJ"),AND(J3653=1,I3653=0)),"?IN_FOCUS",IF(J3653&lt;=2,"?ACTIVATED",IF(J3653&lt;&gt;"","?FAMILIAR",IF(F3653="NEW",IF(ISNA(VLOOKUP(E3653,#REF!,1,FALSE())),"?TYPE_IDENTIFIABLE","?REFERENTIAL"),"_")))))</f>
        <v/>
      </c>
      <c r="H3653" s="27" t="str">
        <f aca="false">IF(J3653&lt;&gt;1,"",IF(I3653="SBJ","CB","?"))</f>
        <v/>
      </c>
      <c r="I3653" s="24" t="str">
        <f aca="false">IF(OR(E3653="",E3653="!!!",F3653="NEW"),"",INDEX(B17:B$3637,-1+SUMPRODUCT(MAX(ROW(E17:E$3637)*(E3653=E17:E$3637)))))</f>
        <v/>
      </c>
      <c r="J3653" s="24" t="str">
        <f aca="true">IF(OR(E3653="",E3653="!!!",F3653="NEW"),"",COUNTBLANK(OFFSET(A$1,,,SUMPRODUCT(MAX(ROW(E$2:E3653)*(E3653=E$2:E3653)))))-COUNTBLANK(OFFSET(A$1,,,SUMPRODUCT(MAX(ROW(E$1:E3652)*(E2=E$1:E3652))))))</f>
        <v/>
      </c>
      <c r="K3653" s="24" t="str">
        <f aca="false">IF(OR(E3653="",E3653="!!!",F3653="NEW"),"",INDEX(J$1:J3652,SUMPRODUCT(MAX(ROW(E$1:E3652)*(E3653=E$1:E3652)))))</f>
        <v/>
      </c>
      <c r="L3653" s="31"/>
    </row>
    <row r="3654" customFormat="false" ht="15" hidden="false" customHeight="false" outlineLevel="0" collapsed="false">
      <c r="A3654" s="20"/>
    </row>
    <row r="3655" customFormat="false" ht="15" hidden="false" customHeight="false" outlineLevel="0" collapsed="false">
      <c r="A3655" s="20" t="s">
        <v>2216</v>
      </c>
    </row>
    <row r="3656" customFormat="false" ht="15" hidden="false" customHeight="false" outlineLevel="0" collapsed="false">
      <c r="A3656" s="20" t="s">
        <v>2217</v>
      </c>
      <c r="B3656" s="22" t="s">
        <v>1058</v>
      </c>
      <c r="E3656" s="23" t="str">
        <f aca="false">IF(D3656="?OLD","!!!","")</f>
        <v/>
      </c>
      <c r="F3656" s="25" t="str">
        <f aca="false">IF(OR(E3656="",E3656="!!!"),"",IF(NOT(ISNA(VLOOKUP(E3656,E$1:E3655,1,FALSE()))),"OLD",IF(AND(E3656&lt;&gt;"",E3656&lt;&gt;"!!!"),"NEW","")))</f>
        <v/>
      </c>
      <c r="G3656" s="26" t="str">
        <f aca="false">IF(OR(E3656="",E3656="!!!"),"",IF(OR(J3656=0,AND(J3656=1,K3656=1),AND(J3656=1,I3656="SBJ"),AND(J3656=1,I3656=0)),"?IN_FOCUS",IF(J3656&lt;=2,"?ACTIVATED",IF(J3656&lt;&gt;"","?FAMILIAR",IF(F3656="NEW",IF(ISNA(VLOOKUP(E3656,#REF!,1,FALSE())),"?TYPE_IDENTIFIABLE","?REFERENTIAL"),"_")))))</f>
        <v/>
      </c>
      <c r="H3656" s="27" t="str">
        <f aca="false">IF(J3656&lt;&gt;1,"",IF(I3656="SBJ","CB","?"))</f>
        <v/>
      </c>
      <c r="I3656" s="24" t="str">
        <f aca="false">IF(OR(E3656="",E3656="!!!",F3656="NEW"),"",INDEX(B2:B$3655,-1+SUMPRODUCT(MAX(ROW(E2:E$3655)*(E3656=E2:E$3655)))))</f>
        <v/>
      </c>
      <c r="J3656" s="24" t="str">
        <f aca="true">IF(OR(E3656="",E3656="!!!",F3656="NEW"),"",COUNTBLANK(OFFSET(A$1,,,SUMPRODUCT(MAX(ROW(E$2:E3656)*(E3656=E$2:E3656)))))-COUNTBLANK(OFFSET(A$1,,,SUMPRODUCT(MAX(ROW(E$1:E3655)*(E2=E$1:E3655))))))</f>
        <v/>
      </c>
      <c r="K3656" s="24" t="str">
        <f aca="false">IF(OR(E3656="",E3656="!!!",F3656="NEW"),"",INDEX(J$1:J3655,SUMPRODUCT(MAX(ROW(E$1:E3655)*(E3656=E$1:E3655)))))</f>
        <v/>
      </c>
      <c r="L3656" s="31"/>
    </row>
    <row r="3657" customFormat="false" ht="15" hidden="false" customHeight="false" outlineLevel="0" collapsed="false">
      <c r="A3657" s="20" t="s">
        <v>1688</v>
      </c>
      <c r="E3657" s="23" t="str">
        <f aca="false">IF(D3657="?OLD","!!!","")</f>
        <v/>
      </c>
      <c r="F3657" s="25" t="str">
        <f aca="false">IF(OR(E3657="",E3657="!!!"),"",IF(NOT(ISNA(VLOOKUP(E3657,E$1:E3656,1,FALSE()))),"OLD",IF(AND(E3657&lt;&gt;"",E3657&lt;&gt;"!!!"),"NEW","")))</f>
        <v/>
      </c>
      <c r="G3657" s="26" t="str">
        <f aca="false">IF(OR(E3657="",E3657="!!!"),"",IF(OR(J3657=0,AND(J3657=1,K3657=1),AND(J3657=1,I3657="SBJ"),AND(J3657=1,I3657=0)),"?IN_FOCUS",IF(J3657&lt;=2,"?ACTIVATED",IF(J3657&lt;&gt;"","?FAMILIAR",IF(F3657="NEW",IF(ISNA(VLOOKUP(E3657,#REF!,1,FALSE())),"?TYPE_IDENTIFIABLE","?REFERENTIAL"),"_")))))</f>
        <v/>
      </c>
      <c r="H3657" s="27" t="str">
        <f aca="false">IF(J3657&lt;&gt;1,"",IF(I3657="SBJ","CB","?"))</f>
        <v/>
      </c>
      <c r="I3657" s="24" t="str">
        <f aca="false">IF(OR(E3657="",E3657="!!!",F3657="NEW"),"",INDEX(B3:B$3655,-1+SUMPRODUCT(MAX(ROW(E3:E$3655)*(E3657=E3:E$3655)))))</f>
        <v/>
      </c>
      <c r="J3657" s="24" t="str">
        <f aca="true">IF(OR(E3657="",E3657="!!!",F3657="NEW"),"",COUNTBLANK(OFFSET(A$1,,,SUMPRODUCT(MAX(ROW(E$2:E3657)*(E3657=E$2:E3657)))))-COUNTBLANK(OFFSET(A$1,,,SUMPRODUCT(MAX(ROW(E$1:E3656)*(E2=E$1:E3656))))))</f>
        <v/>
      </c>
      <c r="K3657" s="24" t="str">
        <f aca="false">IF(OR(E3657="",E3657="!!!",F3657="NEW"),"",INDEX(J$1:J3656,SUMPRODUCT(MAX(ROW(E$1:E3656)*(E3657=E$1:E3656)))))</f>
        <v/>
      </c>
      <c r="L3657" s="31"/>
    </row>
    <row r="3658" customFormat="false" ht="15" hidden="false" customHeight="false" outlineLevel="0" collapsed="false">
      <c r="A3658" s="20" t="s">
        <v>1109</v>
      </c>
      <c r="E3658" s="23" t="str">
        <f aca="false">IF(D3658="?OLD","!!!","")</f>
        <v/>
      </c>
      <c r="F3658" s="25" t="str">
        <f aca="false">IF(OR(E3658="",E3658="!!!"),"",IF(NOT(ISNA(VLOOKUP(E3658,E$1:E3657,1,FALSE()))),"OLD",IF(AND(E3658&lt;&gt;"",E3658&lt;&gt;"!!!"),"NEW","")))</f>
        <v/>
      </c>
      <c r="G3658" s="26" t="str">
        <f aca="false">IF(OR(E3658="",E3658="!!!"),"",IF(OR(J3658=0,AND(J3658=1,K3658=1),AND(J3658=1,I3658="SBJ"),AND(J3658=1,I3658=0)),"?IN_FOCUS",IF(J3658&lt;=2,"?ACTIVATED",IF(J3658&lt;&gt;"","?FAMILIAR",IF(F3658="NEW",IF(ISNA(VLOOKUP(E3658,#REF!,1,FALSE())),"?TYPE_IDENTIFIABLE","?REFERENTIAL"),"_")))))</f>
        <v/>
      </c>
      <c r="H3658" s="27" t="str">
        <f aca="false">IF(J3658&lt;&gt;1,"",IF(I3658="SBJ","CB","?"))</f>
        <v/>
      </c>
      <c r="I3658" s="24" t="str">
        <f aca="false">IF(OR(E3658="",E3658="!!!",F3658="NEW"),"",INDEX(B4:B$3655,-1+SUMPRODUCT(MAX(ROW(E4:E$3655)*(E3658=E4:E$3655)))))</f>
        <v/>
      </c>
      <c r="J3658" s="24" t="str">
        <f aca="true">IF(OR(E3658="",E3658="!!!",F3658="NEW"),"",COUNTBLANK(OFFSET(A$1,,,SUMPRODUCT(MAX(ROW(E$2:E3658)*(E3658=E$2:E3658)))))-COUNTBLANK(OFFSET(A$1,,,SUMPRODUCT(MAX(ROW(E$1:E3657)*(E2=E$1:E3657))))))</f>
        <v/>
      </c>
      <c r="K3658" s="24" t="str">
        <f aca="false">IF(OR(E3658="",E3658="!!!",F3658="NEW"),"",INDEX(J$1:J3657,SUMPRODUCT(MAX(ROW(E$1:E3657)*(E3658=E$1:E3657)))))</f>
        <v/>
      </c>
      <c r="L3658" s="31"/>
    </row>
    <row r="3659" customFormat="false" ht="15" hidden="false" customHeight="false" outlineLevel="0" collapsed="false">
      <c r="A3659" s="20" t="s">
        <v>1671</v>
      </c>
      <c r="E3659" s="23" t="str">
        <f aca="false">IF(D3659="?OLD","!!!","")</f>
        <v/>
      </c>
      <c r="F3659" s="25" t="str">
        <f aca="false">IF(OR(E3659="",E3659="!!!"),"",IF(NOT(ISNA(VLOOKUP(E3659,E$1:E3658,1,FALSE()))),"OLD",IF(AND(E3659&lt;&gt;"",E3659&lt;&gt;"!!!"),"NEW","")))</f>
        <v/>
      </c>
      <c r="G3659" s="26" t="str">
        <f aca="false">IF(OR(E3659="",E3659="!!!"),"",IF(OR(J3659=0,AND(J3659=1,K3659=1),AND(J3659=1,I3659="SBJ"),AND(J3659=1,I3659=0)),"?IN_FOCUS",IF(J3659&lt;=2,"?ACTIVATED",IF(J3659&lt;&gt;"","?FAMILIAR",IF(F3659="NEW",IF(ISNA(VLOOKUP(E3659,#REF!,1,FALSE())),"?TYPE_IDENTIFIABLE","?REFERENTIAL"),"_")))))</f>
        <v/>
      </c>
      <c r="H3659" s="27" t="str">
        <f aca="false">IF(J3659&lt;&gt;1,"",IF(I3659="SBJ","CB","?"))</f>
        <v/>
      </c>
      <c r="I3659" s="24" t="str">
        <f aca="false">IF(OR(E3659="",E3659="!!!",F3659="NEW"),"",INDEX(B5:B$3655,-1+SUMPRODUCT(MAX(ROW(E5:E$3655)*(E3659=E5:E$3655)))))</f>
        <v/>
      </c>
      <c r="J3659" s="24" t="str">
        <f aca="true">IF(OR(E3659="",E3659="!!!",F3659="NEW"),"",COUNTBLANK(OFFSET(A$1,,,SUMPRODUCT(MAX(ROW(E$2:E3659)*(E3659=E$2:E3659)))))-COUNTBLANK(OFFSET(A$1,,,SUMPRODUCT(MAX(ROW(E$1:E3658)*(E2=E$1:E3658))))))</f>
        <v/>
      </c>
      <c r="K3659" s="24" t="str">
        <f aca="false">IF(OR(E3659="",E3659="!!!",F3659="NEW"),"",INDEX(J$1:J3658,SUMPRODUCT(MAX(ROW(E$1:E3658)*(E3659=E$1:E3658)))))</f>
        <v/>
      </c>
      <c r="L3659" s="31"/>
    </row>
    <row r="3660" customFormat="false" ht="15" hidden="false" customHeight="false" outlineLevel="0" collapsed="false">
      <c r="A3660" s="20" t="s">
        <v>2218</v>
      </c>
      <c r="B3660" s="22" t="s">
        <v>1081</v>
      </c>
      <c r="C3660" s="22" t="s">
        <v>1150</v>
      </c>
      <c r="D3660" s="22" t="s">
        <v>1060</v>
      </c>
      <c r="E3660" s="23" t="str">
        <f aca="false">IF(D3660="?OLD","!!!","")</f>
        <v>!!!</v>
      </c>
      <c r="F3660" s="25" t="str">
        <f aca="false">IF(OR(E3660="",E3660="!!!"),"",IF(NOT(ISNA(VLOOKUP(E3660,E$1:E3659,1,FALSE()))),"OLD",IF(AND(E3660&lt;&gt;"",E3660&lt;&gt;"!!!"),"NEW","")))</f>
        <v/>
      </c>
      <c r="G3660" s="26" t="str">
        <f aca="false">IF(OR(E3660="",E3660="!!!"),"",IF(OR(J3660=0,AND(J3660=1,K3660=1),AND(J3660=1,I3660="SBJ"),AND(J3660=1,I3660=0)),"?IN_FOCUS",IF(J3660&lt;=2,"?ACTIVATED",IF(J3660&lt;&gt;"","?FAMILIAR",IF(F3660="NEW",IF(ISNA(VLOOKUP(E3660,#REF!,1,FALSE())),"?TYPE_IDENTIFIABLE","?REFERENTIAL"),"_")))))</f>
        <v/>
      </c>
      <c r="H3660" s="27" t="str">
        <f aca="false">IF(J3660&lt;&gt;1,"",IF(I3660="SBJ","CB","?"))</f>
        <v/>
      </c>
      <c r="I3660" s="24" t="str">
        <f aca="false">IF(OR(E3660="",E3660="!!!",F3660="NEW"),"",INDEX(B6:B$3655,-1+SUMPRODUCT(MAX(ROW(E6:E$3655)*(E3660=E6:E$3655)))))</f>
        <v/>
      </c>
      <c r="J3660" s="24" t="str">
        <f aca="true">IF(OR(E3660="",E3660="!!!",F3660="NEW"),"",COUNTBLANK(OFFSET(A$1,,,SUMPRODUCT(MAX(ROW(E$2:E3660)*(E3660=E$2:E3660)))))-COUNTBLANK(OFFSET(A$1,,,SUMPRODUCT(MAX(ROW(E$1:E3659)*(E2=E$1:E3659))))))</f>
        <v/>
      </c>
      <c r="K3660" s="24" t="str">
        <f aca="false">IF(OR(E3660="",E3660="!!!",F3660="NEW"),"",INDEX(J$1:J3659,SUMPRODUCT(MAX(ROW(E$1:E3659)*(E3660=E$1:E3659)))))</f>
        <v/>
      </c>
      <c r="L3660" s="31"/>
    </row>
    <row r="3661" customFormat="false" ht="15" hidden="false" customHeight="false" outlineLevel="0" collapsed="false">
      <c r="A3661" s="20" t="s">
        <v>1064</v>
      </c>
      <c r="E3661" s="23" t="str">
        <f aca="false">IF(D3661="?OLD","!!!","")</f>
        <v/>
      </c>
      <c r="F3661" s="25" t="str">
        <f aca="false">IF(OR(E3661="",E3661="!!!"),"",IF(NOT(ISNA(VLOOKUP(E3661,E$1:E3660,1,FALSE()))),"OLD",IF(AND(E3661&lt;&gt;"",E3661&lt;&gt;"!!!"),"NEW","")))</f>
        <v/>
      </c>
      <c r="G3661" s="26" t="str">
        <f aca="false">IF(OR(E3661="",E3661="!!!"),"",IF(OR(J3661=0,AND(J3661=1,K3661=1),AND(J3661=1,I3661="SBJ"),AND(J3661=1,I3661=0)),"?IN_FOCUS",IF(J3661&lt;=2,"?ACTIVATED",IF(J3661&lt;&gt;"","?FAMILIAR",IF(F3661="NEW",IF(ISNA(VLOOKUP(E3661,#REF!,1,FALSE())),"?TYPE_IDENTIFIABLE","?REFERENTIAL"),"_")))))</f>
        <v/>
      </c>
      <c r="H3661" s="27" t="str">
        <f aca="false">IF(J3661&lt;&gt;1,"",IF(I3661="SBJ","CB","?"))</f>
        <v/>
      </c>
      <c r="I3661" s="24" t="str">
        <f aca="false">IF(OR(E3661="",E3661="!!!",F3661="NEW"),"",INDEX(B7:B$3655,-1+SUMPRODUCT(MAX(ROW(E7:E$3655)*(E3661=E7:E$3655)))))</f>
        <v/>
      </c>
      <c r="J3661" s="24" t="str">
        <f aca="true">IF(OR(E3661="",E3661="!!!",F3661="NEW"),"",COUNTBLANK(OFFSET(A$1,,,SUMPRODUCT(MAX(ROW(E$2:E3661)*(E3661=E$2:E3661)))))-COUNTBLANK(OFFSET(A$1,,,SUMPRODUCT(MAX(ROW(E$1:E3660)*(E2=E$1:E3660))))))</f>
        <v/>
      </c>
      <c r="K3661" s="24" t="str">
        <f aca="false">IF(OR(E3661="",E3661="!!!",F3661="NEW"),"",INDEX(J$1:J3660,SUMPRODUCT(MAX(ROW(E$1:E3660)*(E3661=E$1:E3660)))))</f>
        <v/>
      </c>
      <c r="L3661" s="31"/>
    </row>
    <row r="3662" customFormat="false" ht="15" hidden="false" customHeight="false" outlineLevel="0" collapsed="false">
      <c r="A3662" s="20" t="s">
        <v>1109</v>
      </c>
      <c r="E3662" s="23" t="str">
        <f aca="false">IF(D3662="?OLD","!!!","")</f>
        <v/>
      </c>
      <c r="F3662" s="25" t="str">
        <f aca="false">IF(OR(E3662="",E3662="!!!"),"",IF(NOT(ISNA(VLOOKUP(E3662,E$1:E3661,1,FALSE()))),"OLD",IF(AND(E3662&lt;&gt;"",E3662&lt;&gt;"!!!"),"NEW","")))</f>
        <v/>
      </c>
      <c r="G3662" s="26" t="str">
        <f aca="false">IF(OR(E3662="",E3662="!!!"),"",IF(OR(J3662=0,AND(J3662=1,K3662=1),AND(J3662=1,I3662="SBJ"),AND(J3662=1,I3662=0)),"?IN_FOCUS",IF(J3662&lt;=2,"?ACTIVATED",IF(J3662&lt;&gt;"","?FAMILIAR",IF(F3662="NEW",IF(ISNA(VLOOKUP(E3662,#REF!,1,FALSE())),"?TYPE_IDENTIFIABLE","?REFERENTIAL"),"_")))))</f>
        <v/>
      </c>
      <c r="H3662" s="27" t="str">
        <f aca="false">IF(J3662&lt;&gt;1,"",IF(I3662="SBJ","CB","?"))</f>
        <v/>
      </c>
      <c r="I3662" s="24" t="str">
        <f aca="false">IF(OR(E3662="",E3662="!!!",F3662="NEW"),"",INDEX(B8:B$3655,-1+SUMPRODUCT(MAX(ROW(E8:E$3655)*(E3662=E8:E$3655)))))</f>
        <v/>
      </c>
      <c r="J3662" s="24" t="str">
        <f aca="true">IF(OR(E3662="",E3662="!!!",F3662="NEW"),"",COUNTBLANK(OFFSET(A$1,,,SUMPRODUCT(MAX(ROW(E$2:E3662)*(E3662=E$2:E3662)))))-COUNTBLANK(OFFSET(A$1,,,SUMPRODUCT(MAX(ROW(E$1:E3661)*(E2=E$1:E3661))))))</f>
        <v/>
      </c>
      <c r="K3662" s="24" t="str">
        <f aca="false">IF(OR(E3662="",E3662="!!!",F3662="NEW"),"",INDEX(J$1:J3661,SUMPRODUCT(MAX(ROW(E$1:E3661)*(E3662=E$1:E3661)))))</f>
        <v/>
      </c>
      <c r="L3662" s="31"/>
    </row>
    <row r="3663" customFormat="false" ht="15" hidden="false" customHeight="false" outlineLevel="0" collapsed="false">
      <c r="A3663" s="20" t="s">
        <v>690</v>
      </c>
      <c r="B3663" s="22" t="s">
        <v>1073</v>
      </c>
      <c r="C3663" s="22" t="s">
        <v>1150</v>
      </c>
      <c r="D3663" s="22" t="s">
        <v>1060</v>
      </c>
      <c r="E3663" s="23" t="str">
        <f aca="false">IF(D3663="?OLD","!!!","")</f>
        <v>!!!</v>
      </c>
      <c r="F3663" s="25" t="str">
        <f aca="false">IF(OR(E3663="",E3663="!!!"),"",IF(NOT(ISNA(VLOOKUP(E3663,E$1:E3662,1,FALSE()))),"OLD",IF(AND(E3663&lt;&gt;"",E3663&lt;&gt;"!!!"),"NEW","")))</f>
        <v/>
      </c>
      <c r="G3663" s="26" t="str">
        <f aca="false">IF(OR(E3663="",E3663="!!!"),"",IF(OR(J3663=0,AND(J3663=1,K3663=1),AND(J3663=1,I3663="SBJ"),AND(J3663=1,I3663=0)),"?IN_FOCUS",IF(J3663&lt;=2,"?ACTIVATED",IF(J3663&lt;&gt;"","?FAMILIAR",IF(F3663="NEW",IF(ISNA(VLOOKUP(E3663,#REF!,1,FALSE())),"?TYPE_IDENTIFIABLE","?REFERENTIAL"),"_")))))</f>
        <v/>
      </c>
      <c r="H3663" s="27" t="str">
        <f aca="false">IF(J3663&lt;&gt;1,"",IF(I3663="SBJ","CB","?"))</f>
        <v/>
      </c>
      <c r="I3663" s="24" t="str">
        <f aca="false">IF(OR(E3663="",E3663="!!!",F3663="NEW"),"",INDEX(B9:B$3655,-1+SUMPRODUCT(MAX(ROW(E9:E$3655)*(E3663=E9:E$3655)))))</f>
        <v/>
      </c>
      <c r="J3663" s="24" t="str">
        <f aca="true">IF(OR(E3663="",E3663="!!!",F3663="NEW"),"",COUNTBLANK(OFFSET(A$1,,,SUMPRODUCT(MAX(ROW(E$2:E3663)*(E3663=E$2:E3663)))))-COUNTBLANK(OFFSET(A$1,,,SUMPRODUCT(MAX(ROW(E$1:E3662)*(E2=E$1:E3662))))))</f>
        <v/>
      </c>
      <c r="K3663" s="24" t="str">
        <f aca="false">IF(OR(E3663="",E3663="!!!",F3663="NEW"),"",INDEX(J$1:J3662,SUMPRODUCT(MAX(ROW(E$1:E3662)*(E3663=E$1:E3662)))))</f>
        <v/>
      </c>
      <c r="L3663" s="31"/>
    </row>
    <row r="3664" customFormat="false" ht="15" hidden="false" customHeight="false" outlineLevel="0" collapsed="false">
      <c r="A3664" s="20" t="s">
        <v>1076</v>
      </c>
      <c r="E3664" s="23" t="str">
        <f aca="false">IF(D3664="?OLD","!!!","")</f>
        <v/>
      </c>
      <c r="F3664" s="25" t="str">
        <f aca="false">IF(OR(E3664="",E3664="!!!"),"",IF(NOT(ISNA(VLOOKUP(E3664,E$1:E3663,1,FALSE()))),"OLD",IF(AND(E3664&lt;&gt;"",E3664&lt;&gt;"!!!"),"NEW","")))</f>
        <v/>
      </c>
      <c r="G3664" s="26" t="str">
        <f aca="false">IF(OR(E3664="",E3664="!!!"),"",IF(OR(J3664=0,AND(J3664=1,K3664=1),AND(J3664=1,I3664="SBJ"),AND(J3664=1,I3664=0)),"?IN_FOCUS",IF(J3664&lt;=2,"?ACTIVATED",IF(J3664&lt;&gt;"","?FAMILIAR",IF(F3664="NEW",IF(ISNA(VLOOKUP(E3664,#REF!,1,FALSE())),"?TYPE_IDENTIFIABLE","?REFERENTIAL"),"_")))))</f>
        <v/>
      </c>
      <c r="H3664" s="27" t="str">
        <f aca="false">IF(J3664&lt;&gt;1,"",IF(I3664="SBJ","CB","?"))</f>
        <v/>
      </c>
      <c r="I3664" s="24" t="str">
        <f aca="false">IF(OR(E3664="",E3664="!!!",F3664="NEW"),"",INDEX(B10:B$3655,-1+SUMPRODUCT(MAX(ROW(E10:E$3655)*(E3664=E10:E$3655)))))</f>
        <v/>
      </c>
      <c r="J3664" s="24" t="str">
        <f aca="true">IF(OR(E3664="",E3664="!!!",F3664="NEW"),"",COUNTBLANK(OFFSET(A$1,,,SUMPRODUCT(MAX(ROW(E$2:E3664)*(E3664=E$2:E3664)))))-COUNTBLANK(OFFSET(A$1,,,SUMPRODUCT(MAX(ROW(E$1:E3663)*(E2=E$1:E3663))))))</f>
        <v/>
      </c>
      <c r="K3664" s="24" t="str">
        <f aca="false">IF(OR(E3664="",E3664="!!!",F3664="NEW"),"",INDEX(J$1:J3663,SUMPRODUCT(MAX(ROW(E$1:E3663)*(E3664=E$1:E3663)))))</f>
        <v/>
      </c>
      <c r="L3664" s="31"/>
    </row>
    <row r="3665" customFormat="false" ht="15" hidden="false" customHeight="false" outlineLevel="0" collapsed="false">
      <c r="A3665" s="20" t="s">
        <v>1128</v>
      </c>
      <c r="E3665" s="23" t="str">
        <f aca="false">IF(D3665="?OLD","!!!","")</f>
        <v/>
      </c>
      <c r="F3665" s="25" t="str">
        <f aca="false">IF(OR(E3665="",E3665="!!!"),"",IF(NOT(ISNA(VLOOKUP(E3665,E$1:E3664,1,FALSE()))),"OLD",IF(AND(E3665&lt;&gt;"",E3665&lt;&gt;"!!!"),"NEW","")))</f>
        <v/>
      </c>
      <c r="G3665" s="26" t="str">
        <f aca="false">IF(OR(E3665="",E3665="!!!"),"",IF(OR(J3665=0,AND(J3665=1,K3665=1),AND(J3665=1,I3665="SBJ"),AND(J3665=1,I3665=0)),"?IN_FOCUS",IF(J3665&lt;=2,"?ACTIVATED",IF(J3665&lt;&gt;"","?FAMILIAR",IF(F3665="NEW",IF(ISNA(VLOOKUP(E3665,#REF!,1,FALSE())),"?TYPE_IDENTIFIABLE","?REFERENTIAL"),"_")))))</f>
        <v/>
      </c>
      <c r="H3665" s="27" t="str">
        <f aca="false">IF(J3665&lt;&gt;1,"",IF(I3665="SBJ","CB","?"))</f>
        <v/>
      </c>
      <c r="I3665" s="24" t="str">
        <f aca="false">IF(OR(E3665="",E3665="!!!",F3665="NEW"),"",INDEX(B11:B$3655,-1+SUMPRODUCT(MAX(ROW(E11:E$3655)*(E3665=E11:E$3655)))))</f>
        <v/>
      </c>
      <c r="J3665" s="24" t="str">
        <f aca="true">IF(OR(E3665="",E3665="!!!",F3665="NEW"),"",COUNTBLANK(OFFSET(A$1,,,SUMPRODUCT(MAX(ROW(E$2:E3665)*(E3665=E$2:E3665)))))-COUNTBLANK(OFFSET(A$1,,,SUMPRODUCT(MAX(ROW(E$1:E3664)*(E2=E$1:E3664))))))</f>
        <v/>
      </c>
      <c r="K3665" s="24" t="str">
        <f aca="false">IF(OR(E3665="",E3665="!!!",F3665="NEW"),"",INDEX(J$1:J3664,SUMPRODUCT(MAX(ROW(E$1:E3664)*(E3665=E$1:E3664)))))</f>
        <v/>
      </c>
      <c r="L3665" s="31"/>
    </row>
    <row r="3666" customFormat="false" ht="15" hidden="false" customHeight="false" outlineLevel="0" collapsed="false">
      <c r="A3666" s="20" t="s">
        <v>1360</v>
      </c>
      <c r="E3666" s="23" t="str">
        <f aca="false">IF(D3666="?OLD","!!!","")</f>
        <v/>
      </c>
      <c r="F3666" s="25" t="str">
        <f aca="false">IF(OR(E3666="",E3666="!!!"),"",IF(NOT(ISNA(VLOOKUP(E3666,E$1:E3665,1,FALSE()))),"OLD",IF(AND(E3666&lt;&gt;"",E3666&lt;&gt;"!!!"),"NEW","")))</f>
        <v/>
      </c>
      <c r="G3666" s="26" t="str">
        <f aca="false">IF(OR(E3666="",E3666="!!!"),"",IF(OR(J3666=0,AND(J3666=1,K3666=1),AND(J3666=1,I3666="SBJ"),AND(J3666=1,I3666=0)),"?IN_FOCUS",IF(J3666&lt;=2,"?ACTIVATED",IF(J3666&lt;&gt;"","?FAMILIAR",IF(F3666="NEW",IF(ISNA(VLOOKUP(E3666,#REF!,1,FALSE())),"?TYPE_IDENTIFIABLE","?REFERENTIAL"),"_")))))</f>
        <v/>
      </c>
      <c r="H3666" s="27" t="str">
        <f aca="false">IF(J3666&lt;&gt;1,"",IF(I3666="SBJ","CB","?"))</f>
        <v/>
      </c>
      <c r="I3666" s="24" t="str">
        <f aca="false">IF(OR(E3666="",E3666="!!!",F3666="NEW"),"",INDEX(B12:B$3655,-1+SUMPRODUCT(MAX(ROW(E12:E$3655)*(E3666=E12:E$3655)))))</f>
        <v/>
      </c>
      <c r="J3666" s="24" t="str">
        <f aca="true">IF(OR(E3666="",E3666="!!!",F3666="NEW"),"",COUNTBLANK(OFFSET(A$1,,,SUMPRODUCT(MAX(ROW(E$2:E3666)*(E3666=E$2:E3666)))))-COUNTBLANK(OFFSET(A$1,,,SUMPRODUCT(MAX(ROW(E$1:E3665)*(E2=E$1:E3665))))))</f>
        <v/>
      </c>
      <c r="K3666" s="24" t="str">
        <f aca="false">IF(OR(E3666="",E3666="!!!",F3666="NEW"),"",INDEX(J$1:J3665,SUMPRODUCT(MAX(ROW(E$1:E3665)*(E3666=E$1:E3665)))))</f>
        <v/>
      </c>
      <c r="L3666" s="31"/>
    </row>
    <row r="3667" customFormat="false" ht="15" hidden="false" customHeight="false" outlineLevel="0" collapsed="false">
      <c r="A3667" s="20" t="s">
        <v>1080</v>
      </c>
      <c r="B3667" s="22" t="s">
        <v>1105</v>
      </c>
      <c r="C3667" s="22" t="s">
        <v>1082</v>
      </c>
      <c r="D3667" s="22" t="s">
        <v>1060</v>
      </c>
      <c r="E3667" s="23" t="str">
        <f aca="false">IF(D3667="?OLD","!!!","")</f>
        <v>!!!</v>
      </c>
      <c r="F3667" s="25" t="str">
        <f aca="false">IF(OR(E3667="",E3667="!!!"),"",IF(NOT(ISNA(VLOOKUP(E3667,E$1:E3666,1,FALSE()))),"OLD",IF(AND(E3667&lt;&gt;"",E3667&lt;&gt;"!!!"),"NEW","")))</f>
        <v/>
      </c>
      <c r="G3667" s="26" t="str">
        <f aca="false">IF(OR(E3667="",E3667="!!!"),"",IF(OR(J3667=0,AND(J3667=1,K3667=1),AND(J3667=1,I3667="SBJ"),AND(J3667=1,I3667=0)),"?IN_FOCUS",IF(J3667&lt;=2,"?ACTIVATED",IF(J3667&lt;&gt;"","?FAMILIAR",IF(F3667="NEW",IF(ISNA(VLOOKUP(E3667,#REF!,1,FALSE())),"?TYPE_IDENTIFIABLE","?REFERENTIAL"),"_")))))</f>
        <v/>
      </c>
      <c r="H3667" s="27" t="str">
        <f aca="false">IF(J3667&lt;&gt;1,"",IF(I3667="SBJ","CB","?"))</f>
        <v/>
      </c>
      <c r="I3667" s="24" t="str">
        <f aca="false">IF(OR(E3667="",E3667="!!!",F3667="NEW"),"",INDEX(B13:B$3655,-1+SUMPRODUCT(MAX(ROW(E13:E$3655)*(E3667=E13:E$3655)))))</f>
        <v/>
      </c>
      <c r="J3667" s="24" t="str">
        <f aca="true">IF(OR(E3667="",E3667="!!!",F3667="NEW"),"",COUNTBLANK(OFFSET(A$1,,,SUMPRODUCT(MAX(ROW(E$2:E3667)*(E3667=E$2:E3667)))))-COUNTBLANK(OFFSET(A$1,,,SUMPRODUCT(MAX(ROW(E$1:E3666)*(E2=E$1:E3666))))))</f>
        <v/>
      </c>
      <c r="K3667" s="24" t="str">
        <f aca="false">IF(OR(E3667="",E3667="!!!",F3667="NEW"),"",INDEX(J$1:J3666,SUMPRODUCT(MAX(ROW(E$1:E3666)*(E3667=E$1:E3666)))))</f>
        <v/>
      </c>
      <c r="L3667" s="31"/>
    </row>
    <row r="3668" customFormat="false" ht="15" hidden="false" customHeight="false" outlineLevel="0" collapsed="false">
      <c r="A3668" s="20" t="s">
        <v>1386</v>
      </c>
      <c r="E3668" s="23" t="str">
        <f aca="false">IF(D3668="?OLD","!!!","")</f>
        <v/>
      </c>
      <c r="F3668" s="25" t="str">
        <f aca="false">IF(OR(E3668="",E3668="!!!"),"",IF(NOT(ISNA(VLOOKUP(E3668,E$1:E3667,1,FALSE()))),"OLD",IF(AND(E3668&lt;&gt;"",E3668&lt;&gt;"!!!"),"NEW","")))</f>
        <v/>
      </c>
      <c r="G3668" s="26" t="str">
        <f aca="false">IF(OR(E3668="",E3668="!!!"),"",IF(OR(J3668=0,AND(J3668=1,K3668=1),AND(J3668=1,I3668="SBJ"),AND(J3668=1,I3668=0)),"?IN_FOCUS",IF(J3668&lt;=2,"?ACTIVATED",IF(J3668&lt;&gt;"","?FAMILIAR",IF(F3668="NEW",IF(ISNA(VLOOKUP(E3668,#REF!,1,FALSE())),"?TYPE_IDENTIFIABLE","?REFERENTIAL"),"_")))))</f>
        <v/>
      </c>
      <c r="H3668" s="27" t="str">
        <f aca="false">IF(J3668&lt;&gt;1,"",IF(I3668="SBJ","CB","?"))</f>
        <v/>
      </c>
      <c r="I3668" s="24" t="str">
        <f aca="false">IF(OR(E3668="",E3668="!!!",F3668="NEW"),"",INDEX(B14:B$3655,-1+SUMPRODUCT(MAX(ROW(E14:E$3655)*(E3668=E14:E$3655)))))</f>
        <v/>
      </c>
      <c r="J3668" s="24" t="str">
        <f aca="true">IF(OR(E3668="",E3668="!!!",F3668="NEW"),"",COUNTBLANK(OFFSET(A$1,,,SUMPRODUCT(MAX(ROW(E$2:E3668)*(E3668=E$2:E3668)))))-COUNTBLANK(OFFSET(A$1,,,SUMPRODUCT(MAX(ROW(E$1:E3667)*(E2=E$1:E3667))))))</f>
        <v/>
      </c>
      <c r="K3668" s="24" t="str">
        <f aca="false">IF(OR(E3668="",E3668="!!!",F3668="NEW"),"",INDEX(J$1:J3667,SUMPRODUCT(MAX(ROW(E$1:E3667)*(E3668=E$1:E3667)))))</f>
        <v/>
      </c>
      <c r="L3668" s="31"/>
    </row>
    <row r="3669" customFormat="false" ht="15" hidden="false" customHeight="false" outlineLevel="0" collapsed="false">
      <c r="A3669" s="20" t="s">
        <v>1220</v>
      </c>
      <c r="E3669" s="23" t="str">
        <f aca="false">IF(D3669="?OLD","!!!","")</f>
        <v/>
      </c>
      <c r="F3669" s="25" t="str">
        <f aca="false">IF(OR(E3669="",E3669="!!!"),"",IF(NOT(ISNA(VLOOKUP(E3669,E$1:E3668,1,FALSE()))),"OLD",IF(AND(E3669&lt;&gt;"",E3669&lt;&gt;"!!!"),"NEW","")))</f>
        <v/>
      </c>
      <c r="G3669" s="26" t="str">
        <f aca="false">IF(OR(E3669="",E3669="!!!"),"",IF(OR(J3669=0,AND(J3669=1,K3669=1),AND(J3669=1,I3669="SBJ"),AND(J3669=1,I3669=0)),"?IN_FOCUS",IF(J3669&lt;=2,"?ACTIVATED",IF(J3669&lt;&gt;"","?FAMILIAR",IF(F3669="NEW",IF(ISNA(VLOOKUP(E3669,#REF!,1,FALSE())),"?TYPE_IDENTIFIABLE","?REFERENTIAL"),"_")))))</f>
        <v/>
      </c>
      <c r="H3669" s="27" t="str">
        <f aca="false">IF(J3669&lt;&gt;1,"",IF(I3669="SBJ","CB","?"))</f>
        <v/>
      </c>
      <c r="I3669" s="24" t="str">
        <f aca="false">IF(OR(E3669="",E3669="!!!",F3669="NEW"),"",INDEX(B15:B$3655,-1+SUMPRODUCT(MAX(ROW(E15:E$3655)*(E3669=E15:E$3655)))))</f>
        <v/>
      </c>
      <c r="J3669" s="24" t="str">
        <f aca="true">IF(OR(E3669="",E3669="!!!",F3669="NEW"),"",COUNTBLANK(OFFSET(A$1,,,SUMPRODUCT(MAX(ROW(E$2:E3669)*(E3669=E$2:E3669)))))-COUNTBLANK(OFFSET(A$1,,,SUMPRODUCT(MAX(ROW(E$1:E3668)*(E2=E$1:E3668))))))</f>
        <v/>
      </c>
      <c r="K3669" s="24" t="str">
        <f aca="false">IF(OR(E3669="",E3669="!!!",F3669="NEW"),"",INDEX(J$1:J3668,SUMPRODUCT(MAX(ROW(E$1:E3668)*(E3669=E$1:E3668)))))</f>
        <v/>
      </c>
      <c r="L3669" s="31"/>
    </row>
    <row r="3670" customFormat="false" ht="15" hidden="false" customHeight="false" outlineLevel="0" collapsed="false">
      <c r="A3670" s="20" t="s">
        <v>1828</v>
      </c>
      <c r="E3670" s="23" t="str">
        <f aca="false">IF(D3670="?OLD","!!!","")</f>
        <v/>
      </c>
      <c r="F3670" s="25" t="str">
        <f aca="false">IF(OR(E3670="",E3670="!!!"),"",IF(NOT(ISNA(VLOOKUP(E3670,E$1:E3669,1,FALSE()))),"OLD",IF(AND(E3670&lt;&gt;"",E3670&lt;&gt;"!!!"),"NEW","")))</f>
        <v/>
      </c>
      <c r="G3670" s="26" t="str">
        <f aca="false">IF(OR(E3670="",E3670="!!!"),"",IF(OR(J3670=0,AND(J3670=1,K3670=1),AND(J3670=1,I3670="SBJ"),AND(J3670=1,I3670=0)),"?IN_FOCUS",IF(J3670&lt;=2,"?ACTIVATED",IF(J3670&lt;&gt;"","?FAMILIAR",IF(F3670="NEW",IF(ISNA(VLOOKUP(E3670,#REF!,1,FALSE())),"?TYPE_IDENTIFIABLE","?REFERENTIAL"),"_")))))</f>
        <v/>
      </c>
      <c r="H3670" s="27" t="str">
        <f aca="false">IF(J3670&lt;&gt;1,"",IF(I3670="SBJ","CB","?"))</f>
        <v/>
      </c>
      <c r="I3670" s="24" t="str">
        <f aca="false">IF(OR(E3670="",E3670="!!!",F3670="NEW"),"",INDEX(B16:B$3655,-1+SUMPRODUCT(MAX(ROW(E16:E$3655)*(E3670=E16:E$3655)))))</f>
        <v/>
      </c>
      <c r="J3670" s="24" t="str">
        <f aca="true">IF(OR(E3670="",E3670="!!!",F3670="NEW"),"",COUNTBLANK(OFFSET(A$1,,,SUMPRODUCT(MAX(ROW(E$2:E3670)*(E3670=E$2:E3670)))))-COUNTBLANK(OFFSET(A$1,,,SUMPRODUCT(MAX(ROW(E$1:E3669)*(E2=E$1:E3669))))))</f>
        <v/>
      </c>
      <c r="K3670" s="24" t="str">
        <f aca="false">IF(OR(E3670="",E3670="!!!",F3670="NEW"),"",INDEX(J$1:J3669,SUMPRODUCT(MAX(ROW(E$1:E3669)*(E3670=E$1:E3669)))))</f>
        <v/>
      </c>
      <c r="L3670" s="31"/>
    </row>
    <row r="3671" customFormat="false" ht="15" hidden="false" customHeight="false" outlineLevel="0" collapsed="false">
      <c r="A3671" s="20" t="s">
        <v>2219</v>
      </c>
      <c r="B3671" s="22" t="s">
        <v>1073</v>
      </c>
      <c r="C3671" s="22" t="s">
        <v>1160</v>
      </c>
      <c r="E3671" s="23" t="str">
        <f aca="false">IF(D3671="?OLD","!!!","")</f>
        <v/>
      </c>
      <c r="F3671" s="25" t="str">
        <f aca="false">IF(OR(E3671="",E3671="!!!"),"",IF(NOT(ISNA(VLOOKUP(E3671,E$1:E3670,1,FALSE()))),"OLD",IF(AND(E3671&lt;&gt;"",E3671&lt;&gt;"!!!"),"NEW","")))</f>
        <v/>
      </c>
      <c r="G3671" s="26" t="str">
        <f aca="false">IF(OR(E3671="",E3671="!!!"),"",IF(OR(J3671=0,AND(J3671=1,K3671=1),AND(J3671=1,I3671="SBJ"),AND(J3671=1,I3671=0)),"?IN_FOCUS",IF(J3671&lt;=2,"?ACTIVATED",IF(J3671&lt;&gt;"","?FAMILIAR",IF(F3671="NEW",IF(ISNA(VLOOKUP(E3671,#REF!,1,FALSE())),"?TYPE_IDENTIFIABLE","?REFERENTIAL"),"_")))))</f>
        <v/>
      </c>
      <c r="H3671" s="27" t="str">
        <f aca="false">IF(J3671&lt;&gt;1,"",IF(I3671="SBJ","CB","?"))</f>
        <v/>
      </c>
      <c r="I3671" s="24" t="str">
        <f aca="false">IF(OR(E3671="",E3671="!!!",F3671="NEW"),"",INDEX(B17:B$3655,-1+SUMPRODUCT(MAX(ROW(E17:E$3655)*(E3671=E17:E$3655)))))</f>
        <v/>
      </c>
      <c r="J3671" s="24" t="str">
        <f aca="true">IF(OR(E3671="",E3671="!!!",F3671="NEW"),"",COUNTBLANK(OFFSET(A$1,,,SUMPRODUCT(MAX(ROW(E$2:E3671)*(E3671=E$2:E3671)))))-COUNTBLANK(OFFSET(A$1,,,SUMPRODUCT(MAX(ROW(E$1:E3670)*(E2=E$1:E3670))))))</f>
        <v/>
      </c>
      <c r="K3671" s="24" t="str">
        <f aca="false">IF(OR(E3671="",E3671="!!!",F3671="NEW"),"",INDEX(J$1:J3670,SUMPRODUCT(MAX(ROW(E$1:E3670)*(E3671=E$1:E3670)))))</f>
        <v/>
      </c>
      <c r="L3671" s="31"/>
    </row>
    <row r="3672" customFormat="false" ht="15" hidden="false" customHeight="false" outlineLevel="0" collapsed="false">
      <c r="A3672" s="20" t="s">
        <v>1100</v>
      </c>
      <c r="E3672" s="23" t="str">
        <f aca="false">IF(D3672="?OLD","!!!","")</f>
        <v/>
      </c>
      <c r="F3672" s="25" t="str">
        <f aca="false">IF(OR(E3672="",E3672="!!!"),"",IF(NOT(ISNA(VLOOKUP(E3672,E$1:E3671,1,FALSE()))),"OLD",IF(AND(E3672&lt;&gt;"",E3672&lt;&gt;"!!!"),"NEW","")))</f>
        <v/>
      </c>
      <c r="G3672" s="26" t="str">
        <f aca="false">IF(OR(E3672="",E3672="!!!"),"",IF(OR(J3672=0,AND(J3672=1,K3672=1),AND(J3672=1,I3672="SBJ"),AND(J3672=1,I3672=0)),"?IN_FOCUS",IF(J3672&lt;=2,"?ACTIVATED",IF(J3672&lt;&gt;"","?FAMILIAR",IF(F3672="NEW",IF(ISNA(VLOOKUP(E3672,#REF!,1,FALSE())),"?TYPE_IDENTIFIABLE","?REFERENTIAL"),"_")))))</f>
        <v/>
      </c>
      <c r="H3672" s="27" t="str">
        <f aca="false">IF(J3672&lt;&gt;1,"",IF(I3672="SBJ","CB","?"))</f>
        <v/>
      </c>
      <c r="I3672" s="24" t="str">
        <f aca="false">IF(OR(E3672="",E3672="!!!",F3672="NEW"),"",INDEX(B18:B$3655,-1+SUMPRODUCT(MAX(ROW(E18:E$3655)*(E3672=E18:E$3655)))))</f>
        <v/>
      </c>
      <c r="J3672" s="24" t="str">
        <f aca="true">IF(OR(E3672="",E3672="!!!",F3672="NEW"),"",COUNTBLANK(OFFSET(A$1,,,SUMPRODUCT(MAX(ROW(E$2:E3672)*(E3672=E$2:E3672)))))-COUNTBLANK(OFFSET(A$1,,,SUMPRODUCT(MAX(ROW(E$1:E3671)*(E2=E$1:E3671))))))</f>
        <v/>
      </c>
      <c r="K3672" s="24" t="str">
        <f aca="false">IF(OR(E3672="",E3672="!!!",F3672="NEW"),"",INDEX(J$1:J3671,SUMPRODUCT(MAX(ROW(E$1:E3671)*(E3672=E$1:E3671)))))</f>
        <v/>
      </c>
      <c r="L3672" s="31"/>
    </row>
    <row r="3673" customFormat="false" ht="15" hidden="false" customHeight="false" outlineLevel="0" collapsed="false">
      <c r="A3673" s="20" t="s">
        <v>1064</v>
      </c>
      <c r="E3673" s="23" t="str">
        <f aca="false">IF(D3673="?OLD","!!!","")</f>
        <v/>
      </c>
      <c r="F3673" s="25" t="str">
        <f aca="false">IF(OR(E3673="",E3673="!!!"),"",IF(NOT(ISNA(VLOOKUP(E3673,E$1:E3672,1,FALSE()))),"OLD",IF(AND(E3673&lt;&gt;"",E3673&lt;&gt;"!!!"),"NEW","")))</f>
        <v/>
      </c>
      <c r="G3673" s="26" t="str">
        <f aca="false">IF(OR(E3673="",E3673="!!!"),"",IF(OR(J3673=0,AND(J3673=1,K3673=1),AND(J3673=1,I3673="SBJ"),AND(J3673=1,I3673=0)),"?IN_FOCUS",IF(J3673&lt;=2,"?ACTIVATED",IF(J3673&lt;&gt;"","?FAMILIAR",IF(F3673="NEW",IF(ISNA(VLOOKUP(E3673,#REF!,1,FALSE())),"?TYPE_IDENTIFIABLE","?REFERENTIAL"),"_")))))</f>
        <v/>
      </c>
      <c r="H3673" s="27" t="str">
        <f aca="false">IF(J3673&lt;&gt;1,"",IF(I3673="SBJ","CB","?"))</f>
        <v/>
      </c>
      <c r="I3673" s="24" t="str">
        <f aca="false">IF(OR(E3673="",E3673="!!!",F3673="NEW"),"",INDEX(B19:B$3655,-1+SUMPRODUCT(MAX(ROW(E19:E$3655)*(E3673=E19:E$3655)))))</f>
        <v/>
      </c>
      <c r="J3673" s="24" t="str">
        <f aca="true">IF(OR(E3673="",E3673="!!!",F3673="NEW"),"",COUNTBLANK(OFFSET(A$1,,,SUMPRODUCT(MAX(ROW(E$2:E3673)*(E3673=E$2:E3673)))))-COUNTBLANK(OFFSET(A$1,,,SUMPRODUCT(MAX(ROW(E$1:E3672)*(E2=E$1:E3672))))))</f>
        <v/>
      </c>
      <c r="K3673" s="24" t="str">
        <f aca="false">IF(OR(E3673="",E3673="!!!",F3673="NEW"),"",INDEX(J$1:J3672,SUMPRODUCT(MAX(ROW(E$1:E3672)*(E3673=E$1:E3672)))))</f>
        <v/>
      </c>
      <c r="L3673" s="31"/>
    </row>
    <row r="3674" customFormat="false" ht="15" hidden="false" customHeight="false" outlineLevel="0" collapsed="false">
      <c r="A3674" s="20" t="s">
        <v>2220</v>
      </c>
      <c r="B3674" s="22" t="s">
        <v>1107</v>
      </c>
      <c r="C3674" s="22" t="s">
        <v>1160</v>
      </c>
      <c r="E3674" s="23" t="str">
        <f aca="false">IF(D3674="?OLD","!!!","")</f>
        <v/>
      </c>
      <c r="F3674" s="25" t="str">
        <f aca="false">IF(OR(E3674="",E3674="!!!"),"",IF(NOT(ISNA(VLOOKUP(E3674,E$1:E3673,1,FALSE()))),"OLD",IF(AND(E3674&lt;&gt;"",E3674&lt;&gt;"!!!"),"NEW","")))</f>
        <v/>
      </c>
      <c r="G3674" s="26" t="str">
        <f aca="false">IF(OR(E3674="",E3674="!!!"),"",IF(OR(J3674=0,AND(J3674=1,K3674=1),AND(J3674=1,I3674="SBJ"),AND(J3674=1,I3674=0)),"?IN_FOCUS",IF(J3674&lt;=2,"?ACTIVATED",IF(J3674&lt;&gt;"","?FAMILIAR",IF(F3674="NEW",IF(ISNA(VLOOKUP(E3674,#REF!,1,FALSE())),"?TYPE_IDENTIFIABLE","?REFERENTIAL"),"_")))))</f>
        <v/>
      </c>
      <c r="H3674" s="27" t="str">
        <f aca="false">IF(J3674&lt;&gt;1,"",IF(I3674="SBJ","CB","?"))</f>
        <v/>
      </c>
      <c r="I3674" s="24" t="str">
        <f aca="false">IF(OR(E3674="",E3674="!!!",F3674="NEW"),"",INDEX(B20:B$3655,-1+SUMPRODUCT(MAX(ROW(E20:E$3655)*(E3674=E20:E$3655)))))</f>
        <v/>
      </c>
      <c r="J3674" s="24" t="str">
        <f aca="true">IF(OR(E3674="",E3674="!!!",F3674="NEW"),"",COUNTBLANK(OFFSET(A$1,,,SUMPRODUCT(MAX(ROW(E$2:E3674)*(E3674=E$2:E3674)))))-COUNTBLANK(OFFSET(A$1,,,SUMPRODUCT(MAX(ROW(E$1:E3673)*(E2=E$1:E3673))))))</f>
        <v/>
      </c>
      <c r="K3674" s="24" t="str">
        <f aca="false">IF(OR(E3674="",E3674="!!!",F3674="NEW"),"",INDEX(J$1:J3673,SUMPRODUCT(MAX(ROW(E$1:E3673)*(E3674=E$1:E3673)))))</f>
        <v/>
      </c>
      <c r="L3674" s="31"/>
    </row>
    <row r="3675" customFormat="false" ht="15" hidden="false" customHeight="false" outlineLevel="0" collapsed="false">
      <c r="A3675" s="20" t="s">
        <v>1128</v>
      </c>
      <c r="E3675" s="23" t="str">
        <f aca="false">IF(D3675="?OLD","!!!","")</f>
        <v/>
      </c>
      <c r="F3675" s="25" t="str">
        <f aca="false">IF(OR(E3675="",E3675="!!!"),"",IF(NOT(ISNA(VLOOKUP(E3675,E$1:E3674,1,FALSE()))),"OLD",IF(AND(E3675&lt;&gt;"",E3675&lt;&gt;"!!!"),"NEW","")))</f>
        <v/>
      </c>
      <c r="G3675" s="26" t="str">
        <f aca="false">IF(OR(E3675="",E3675="!!!"),"",IF(OR(J3675=0,AND(J3675=1,K3675=1),AND(J3675=1,I3675="SBJ"),AND(J3675=1,I3675=0)),"?IN_FOCUS",IF(J3675&lt;=2,"?ACTIVATED",IF(J3675&lt;&gt;"","?FAMILIAR",IF(F3675="NEW",IF(ISNA(VLOOKUP(E3675,#REF!,1,FALSE())),"?TYPE_IDENTIFIABLE","?REFERENTIAL"),"_")))))</f>
        <v/>
      </c>
      <c r="H3675" s="27" t="str">
        <f aca="false">IF(J3675&lt;&gt;1,"",IF(I3675="SBJ","CB","?"))</f>
        <v/>
      </c>
      <c r="I3675" s="24" t="str">
        <f aca="false">IF(OR(E3675="",E3675="!!!",F3675="NEW"),"",INDEX(B21:B$3655,-1+SUMPRODUCT(MAX(ROW(E21:E$3655)*(E3675=E21:E$3655)))))</f>
        <v/>
      </c>
      <c r="J3675" s="24" t="str">
        <f aca="true">IF(OR(E3675="",E3675="!!!",F3675="NEW"),"",COUNTBLANK(OFFSET(A$1,,,SUMPRODUCT(MAX(ROW(E$2:E3675)*(E3675=E$2:E3675)))))-COUNTBLANK(OFFSET(A$1,,,SUMPRODUCT(MAX(ROW(E$1:E3674)*(E2=E$1:E3674))))))</f>
        <v/>
      </c>
      <c r="K3675" s="24" t="str">
        <f aca="false">IF(OR(E3675="",E3675="!!!",F3675="NEW"),"",INDEX(J$1:J3674,SUMPRODUCT(MAX(ROW(E$1:E3674)*(E3675=E$1:E3674)))))</f>
        <v/>
      </c>
      <c r="L3675" s="31"/>
    </row>
    <row r="3676" customFormat="false" ht="15" hidden="false" customHeight="false" outlineLevel="0" collapsed="false">
      <c r="A3676" s="20" t="s">
        <v>2221</v>
      </c>
      <c r="B3676" s="22" t="s">
        <v>1098</v>
      </c>
      <c r="C3676" s="22" t="s">
        <v>1160</v>
      </c>
      <c r="E3676" s="23" t="str">
        <f aca="false">IF(D3676="?OLD","!!!","")</f>
        <v/>
      </c>
      <c r="F3676" s="25" t="str">
        <f aca="false">IF(OR(E3676="",E3676="!!!"),"",IF(NOT(ISNA(VLOOKUP(E3676,E$1:E3675,1,FALSE()))),"OLD",IF(AND(E3676&lt;&gt;"",E3676&lt;&gt;"!!!"),"NEW","")))</f>
        <v/>
      </c>
      <c r="G3676" s="26" t="str">
        <f aca="false">IF(OR(E3676="",E3676="!!!"),"",IF(OR(J3676=0,AND(J3676=1,K3676=1),AND(J3676=1,I3676="SBJ"),AND(J3676=1,I3676=0)),"?IN_FOCUS",IF(J3676&lt;=2,"?ACTIVATED",IF(J3676&lt;&gt;"","?FAMILIAR",IF(F3676="NEW",IF(ISNA(VLOOKUP(E3676,#REF!,1,FALSE())),"?TYPE_IDENTIFIABLE","?REFERENTIAL"),"_")))))</f>
        <v/>
      </c>
      <c r="H3676" s="27" t="str">
        <f aca="false">IF(J3676&lt;&gt;1,"",IF(I3676="SBJ","CB","?"))</f>
        <v/>
      </c>
      <c r="I3676" s="24" t="str">
        <f aca="false">IF(OR(E3676="",E3676="!!!",F3676="NEW"),"",INDEX(B22:B$3655,-1+SUMPRODUCT(MAX(ROW(E22:E$3655)*(E3676=E22:E$3655)))))</f>
        <v/>
      </c>
      <c r="J3676" s="24" t="str">
        <f aca="true">IF(OR(E3676="",E3676="!!!",F3676="NEW"),"",COUNTBLANK(OFFSET(A$1,,,SUMPRODUCT(MAX(ROW(E$2:E3676)*(E3676=E$2:E3676)))))-COUNTBLANK(OFFSET(A$1,,,SUMPRODUCT(MAX(ROW(E$1:E3675)*(E2=E$1:E3675))))))</f>
        <v/>
      </c>
      <c r="K3676" s="24" t="str">
        <f aca="false">IF(OR(E3676="",E3676="!!!",F3676="NEW"),"",INDEX(J$1:J3675,SUMPRODUCT(MAX(ROW(E$1:E3675)*(E3676=E$1:E3675)))))</f>
        <v/>
      </c>
      <c r="L3676" s="31"/>
    </row>
    <row r="3677" customFormat="false" ht="15" hidden="false" customHeight="false" outlineLevel="0" collapsed="false">
      <c r="A3677" s="20" t="s">
        <v>1128</v>
      </c>
      <c r="E3677" s="23" t="str">
        <f aca="false">IF(D3677="?OLD","!!!","")</f>
        <v/>
      </c>
      <c r="F3677" s="25" t="str">
        <f aca="false">IF(OR(E3677="",E3677="!!!"),"",IF(NOT(ISNA(VLOOKUP(E3677,E$1:E3676,1,FALSE()))),"OLD",IF(AND(E3677&lt;&gt;"",E3677&lt;&gt;"!!!"),"NEW","")))</f>
        <v/>
      </c>
      <c r="G3677" s="26" t="str">
        <f aca="false">IF(OR(E3677="",E3677="!!!"),"",IF(OR(J3677=0,AND(J3677=1,K3677=1),AND(J3677=1,I3677="SBJ"),AND(J3677=1,I3677=0)),"?IN_FOCUS",IF(J3677&lt;=2,"?ACTIVATED",IF(J3677&lt;&gt;"","?FAMILIAR",IF(F3677="NEW",IF(ISNA(VLOOKUP(E3677,#REF!,1,FALSE())),"?TYPE_IDENTIFIABLE","?REFERENTIAL"),"_")))))</f>
        <v/>
      </c>
      <c r="H3677" s="27" t="str">
        <f aca="false">IF(J3677&lt;&gt;1,"",IF(I3677="SBJ","CB","?"))</f>
        <v/>
      </c>
      <c r="I3677" s="24" t="str">
        <f aca="false">IF(OR(E3677="",E3677="!!!",F3677="NEW"),"",INDEX(B23:B$3655,-1+SUMPRODUCT(MAX(ROW(E23:E$3655)*(E3677=E23:E$3655)))))</f>
        <v/>
      </c>
      <c r="J3677" s="24" t="str">
        <f aca="true">IF(OR(E3677="",E3677="!!!",F3677="NEW"),"",COUNTBLANK(OFFSET(A$1,,,SUMPRODUCT(MAX(ROW(E$2:E3677)*(E3677=E$2:E3677)))))-COUNTBLANK(OFFSET(A$1,,,SUMPRODUCT(MAX(ROW(E$1:E3676)*(E2=E$1:E3676))))))</f>
        <v/>
      </c>
      <c r="K3677" s="24" t="str">
        <f aca="false">IF(OR(E3677="",E3677="!!!",F3677="NEW"),"",INDEX(J$1:J3676,SUMPRODUCT(MAX(ROW(E$1:E3676)*(E3677=E$1:E3676)))))</f>
        <v/>
      </c>
      <c r="L3677" s="31"/>
    </row>
    <row r="3678" customFormat="false" ht="15" hidden="false" customHeight="false" outlineLevel="0" collapsed="false">
      <c r="A3678" s="20" t="s">
        <v>1085</v>
      </c>
      <c r="E3678" s="23" t="str">
        <f aca="false">IF(D3678="?OLD","!!!","")</f>
        <v/>
      </c>
      <c r="F3678" s="25" t="str">
        <f aca="false">IF(OR(E3678="",E3678="!!!"),"",IF(NOT(ISNA(VLOOKUP(E3678,E$1:E3677,1,FALSE()))),"OLD",IF(AND(E3678&lt;&gt;"",E3678&lt;&gt;"!!!"),"NEW","")))</f>
        <v/>
      </c>
      <c r="G3678" s="26" t="str">
        <f aca="false">IF(OR(E3678="",E3678="!!!"),"",IF(OR(J3678=0,AND(J3678=1,K3678=1),AND(J3678=1,I3678="SBJ"),AND(J3678=1,I3678=0)),"?IN_FOCUS",IF(J3678&lt;=2,"?ACTIVATED",IF(J3678&lt;&gt;"","?FAMILIAR",IF(F3678="NEW",IF(ISNA(VLOOKUP(E3678,#REF!,1,FALSE())),"?TYPE_IDENTIFIABLE","?REFERENTIAL"),"_")))))</f>
        <v/>
      </c>
      <c r="H3678" s="27" t="str">
        <f aca="false">IF(J3678&lt;&gt;1,"",IF(I3678="SBJ","CB","?"))</f>
        <v/>
      </c>
      <c r="I3678" s="24" t="str">
        <f aca="false">IF(OR(E3678="",E3678="!!!",F3678="NEW"),"",INDEX(B24:B$3655,-1+SUMPRODUCT(MAX(ROW(E24:E$3655)*(E3678=E24:E$3655)))))</f>
        <v/>
      </c>
      <c r="J3678" s="24" t="str">
        <f aca="true">IF(OR(E3678="",E3678="!!!",F3678="NEW"),"",COUNTBLANK(OFFSET(A$1,,,SUMPRODUCT(MAX(ROW(E$2:E3678)*(E3678=E$2:E3678)))))-COUNTBLANK(OFFSET(A$1,,,SUMPRODUCT(MAX(ROW(E$1:E3677)*(E2=E$1:E3677))))))</f>
        <v/>
      </c>
      <c r="K3678" s="24" t="str">
        <f aca="false">IF(OR(E3678="",E3678="!!!",F3678="NEW"),"",INDEX(J$1:J3677,SUMPRODUCT(MAX(ROW(E$1:E3677)*(E3678=E$1:E3677)))))</f>
        <v/>
      </c>
      <c r="L3678" s="31"/>
    </row>
    <row r="3679" customFormat="false" ht="15" hidden="false" customHeight="false" outlineLevel="0" collapsed="false">
      <c r="A3679" s="20" t="s">
        <v>1851</v>
      </c>
      <c r="B3679" s="22" t="s">
        <v>1098</v>
      </c>
      <c r="C3679" s="22" t="s">
        <v>1087</v>
      </c>
      <c r="E3679" s="23" t="str">
        <f aca="false">IF(D3679="?OLD","!!!","")</f>
        <v/>
      </c>
      <c r="F3679" s="25" t="str">
        <f aca="false">IF(OR(E3679="",E3679="!!!"),"",IF(NOT(ISNA(VLOOKUP(E3679,E$1:E3678,1,FALSE()))),"OLD",IF(AND(E3679&lt;&gt;"",E3679&lt;&gt;"!!!"),"NEW","")))</f>
        <v/>
      </c>
      <c r="G3679" s="26" t="str">
        <f aca="false">IF(OR(E3679="",E3679="!!!"),"",IF(OR(J3679=0,AND(J3679=1,K3679=1),AND(J3679=1,I3679="SBJ"),AND(J3679=1,I3679=0)),"?IN_FOCUS",IF(J3679&lt;=2,"?ACTIVATED",IF(J3679&lt;&gt;"","?FAMILIAR",IF(F3679="NEW",IF(ISNA(VLOOKUP(E3679,#REF!,1,FALSE())),"?TYPE_IDENTIFIABLE","?REFERENTIAL"),"_")))))</f>
        <v/>
      </c>
      <c r="H3679" s="27" t="str">
        <f aca="false">IF(J3679&lt;&gt;1,"",IF(I3679="SBJ","CB","?"))</f>
        <v/>
      </c>
      <c r="I3679" s="24" t="str">
        <f aca="false">IF(OR(E3679="",E3679="!!!",F3679="NEW"),"",INDEX(B25:B$3655,-1+SUMPRODUCT(MAX(ROW(E25:E$3655)*(E3679=E25:E$3655)))))</f>
        <v/>
      </c>
      <c r="J3679" s="24" t="str">
        <f aca="true">IF(OR(E3679="",E3679="!!!",F3679="NEW"),"",COUNTBLANK(OFFSET(A$1,,,SUMPRODUCT(MAX(ROW(E$2:E3679)*(E3679=E$2:E3679)))))-COUNTBLANK(OFFSET(A$1,,,SUMPRODUCT(MAX(ROW(E$1:E3678)*(E2=E$1:E3678))))))</f>
        <v/>
      </c>
      <c r="K3679" s="24" t="str">
        <f aca="false">IF(OR(E3679="",E3679="!!!",F3679="NEW"),"",INDEX(J$1:J3678,SUMPRODUCT(MAX(ROW(E$1:E3678)*(E3679=E$1:E3678)))))</f>
        <v/>
      </c>
      <c r="L3679" s="31"/>
    </row>
    <row r="3680" customFormat="false" ht="15" hidden="false" customHeight="false" outlineLevel="0" collapsed="false">
      <c r="A3680" s="20" t="s">
        <v>2222</v>
      </c>
      <c r="E3680" s="23" t="str">
        <f aca="false">IF(D3680="?OLD","!!!","")</f>
        <v/>
      </c>
      <c r="F3680" s="25" t="str">
        <f aca="false">IF(OR(E3680="",E3680="!!!"),"",IF(NOT(ISNA(VLOOKUP(E3680,E$1:E3679,1,FALSE()))),"OLD",IF(AND(E3680&lt;&gt;"",E3680&lt;&gt;"!!!"),"NEW","")))</f>
        <v/>
      </c>
      <c r="G3680" s="26" t="str">
        <f aca="false">IF(OR(E3680="",E3680="!!!"),"",IF(OR(J3680=0,AND(J3680=1,K3680=1),AND(J3680=1,I3680="SBJ"),AND(J3680=1,I3680=0)),"?IN_FOCUS",IF(J3680&lt;=2,"?ACTIVATED",IF(J3680&lt;&gt;"","?FAMILIAR",IF(F3680="NEW",IF(ISNA(VLOOKUP(E3680,#REF!,1,FALSE())),"?TYPE_IDENTIFIABLE","?REFERENTIAL"),"_")))))</f>
        <v/>
      </c>
      <c r="H3680" s="27" t="str">
        <f aca="false">IF(J3680&lt;&gt;1,"",IF(I3680="SBJ","CB","?"))</f>
        <v/>
      </c>
      <c r="I3680" s="24" t="str">
        <f aca="false">IF(OR(E3680="",E3680="!!!",F3680="NEW"),"",INDEX(B26:B$3655,-1+SUMPRODUCT(MAX(ROW(E26:E$3655)*(E3680=E26:E$3655)))))</f>
        <v/>
      </c>
      <c r="J3680" s="24" t="str">
        <f aca="true">IF(OR(E3680="",E3680="!!!",F3680="NEW"),"",COUNTBLANK(OFFSET(A$1,,,SUMPRODUCT(MAX(ROW(E$2:E3680)*(E3680=E$2:E3680)))))-COUNTBLANK(OFFSET(A$1,,,SUMPRODUCT(MAX(ROW(E$1:E3679)*(E2=E$1:E3679))))))</f>
        <v/>
      </c>
      <c r="K3680" s="24" t="str">
        <f aca="false">IF(OR(E3680="",E3680="!!!",F3680="NEW"),"",INDEX(J$1:J3679,SUMPRODUCT(MAX(ROW(E$1:E3679)*(E3680=E$1:E3679)))))</f>
        <v/>
      </c>
      <c r="L3680" s="31"/>
    </row>
    <row r="3681" customFormat="false" ht="15" hidden="false" customHeight="false" outlineLevel="0" collapsed="false">
      <c r="A3681" s="20" t="s">
        <v>2223</v>
      </c>
      <c r="E3681" s="23" t="str">
        <f aca="false">IF(D3681="?OLD","!!!","")</f>
        <v/>
      </c>
      <c r="F3681" s="25" t="str">
        <f aca="false">IF(OR(E3681="",E3681="!!!"),"",IF(NOT(ISNA(VLOOKUP(E3681,E$1:E3680,1,FALSE()))),"OLD",IF(AND(E3681&lt;&gt;"",E3681&lt;&gt;"!!!"),"NEW","")))</f>
        <v/>
      </c>
      <c r="G3681" s="26" t="str">
        <f aca="false">IF(OR(E3681="",E3681="!!!"),"",IF(OR(J3681=0,AND(J3681=1,K3681=1),AND(J3681=1,I3681="SBJ"),AND(J3681=1,I3681=0)),"?IN_FOCUS",IF(J3681&lt;=2,"?ACTIVATED",IF(J3681&lt;&gt;"","?FAMILIAR",IF(F3681="NEW",IF(ISNA(VLOOKUP(E3681,#REF!,1,FALSE())),"?TYPE_IDENTIFIABLE","?REFERENTIAL"),"_")))))</f>
        <v/>
      </c>
      <c r="H3681" s="27" t="str">
        <f aca="false">IF(J3681&lt;&gt;1,"",IF(I3681="SBJ","CB","?"))</f>
        <v/>
      </c>
      <c r="I3681" s="24" t="str">
        <f aca="false">IF(OR(E3681="",E3681="!!!",F3681="NEW"),"",INDEX(B27:B$3655,-1+SUMPRODUCT(MAX(ROW(E27:E$3655)*(E3681=E27:E$3655)))))</f>
        <v/>
      </c>
      <c r="J3681" s="24" t="str">
        <f aca="true">IF(OR(E3681="",E3681="!!!",F3681="NEW"),"",COUNTBLANK(OFFSET(A$1,,,SUMPRODUCT(MAX(ROW(E$2:E3681)*(E3681=E$2:E3681)))))-COUNTBLANK(OFFSET(A$1,,,SUMPRODUCT(MAX(ROW(E$1:E3680)*(E2=E$1:E3680))))))</f>
        <v/>
      </c>
      <c r="K3681" s="24" t="str">
        <f aca="false">IF(OR(E3681="",E3681="!!!",F3681="NEW"),"",INDEX(J$1:J3680,SUMPRODUCT(MAX(ROW(E$1:E3680)*(E3681=E$1:E3680)))))</f>
        <v/>
      </c>
      <c r="L3681" s="31"/>
    </row>
    <row r="3682" customFormat="false" ht="15" hidden="false" customHeight="false" outlineLevel="0" collapsed="false">
      <c r="A3682" s="20" t="s">
        <v>1232</v>
      </c>
      <c r="E3682" s="23" t="str">
        <f aca="false">IF(D3682="?OLD","!!!","")</f>
        <v/>
      </c>
      <c r="F3682" s="25" t="str">
        <f aca="false">IF(OR(E3682="",E3682="!!!"),"",IF(NOT(ISNA(VLOOKUP(E3682,E$1:E3681,1,FALSE()))),"OLD",IF(AND(E3682&lt;&gt;"",E3682&lt;&gt;"!!!"),"NEW","")))</f>
        <v/>
      </c>
      <c r="G3682" s="26" t="str">
        <f aca="false">IF(OR(E3682="",E3682="!!!"),"",IF(OR(J3682=0,AND(J3682=1,K3682=1),AND(J3682=1,I3682="SBJ"),AND(J3682=1,I3682=0)),"?IN_FOCUS",IF(J3682&lt;=2,"?ACTIVATED",IF(J3682&lt;&gt;"","?FAMILIAR",IF(F3682="NEW",IF(ISNA(VLOOKUP(E3682,#REF!,1,FALSE())),"?TYPE_IDENTIFIABLE","?REFERENTIAL"),"_")))))</f>
        <v/>
      </c>
      <c r="H3682" s="27" t="str">
        <f aca="false">IF(J3682&lt;&gt;1,"",IF(I3682="SBJ","CB","?"))</f>
        <v/>
      </c>
      <c r="I3682" s="24" t="str">
        <f aca="false">IF(OR(E3682="",E3682="!!!",F3682="NEW"),"",INDEX(B28:B$3655,-1+SUMPRODUCT(MAX(ROW(E28:E$3655)*(E3682=E28:E$3655)))))</f>
        <v/>
      </c>
      <c r="J3682" s="24" t="str">
        <f aca="true">IF(OR(E3682="",E3682="!!!",F3682="NEW"),"",COUNTBLANK(OFFSET(A$1,,,SUMPRODUCT(MAX(ROW(E$2:E3682)*(E3682=E$2:E3682)))))-COUNTBLANK(OFFSET(A$1,,,SUMPRODUCT(MAX(ROW(E$1:E3681)*(E2=E$1:E3681))))))</f>
        <v/>
      </c>
      <c r="K3682" s="24" t="str">
        <f aca="false">IF(OR(E3682="",E3682="!!!",F3682="NEW"),"",INDEX(J$1:J3681,SUMPRODUCT(MAX(ROW(E$1:E3681)*(E3682=E$1:E3681)))))</f>
        <v/>
      </c>
      <c r="L3682" s="31"/>
    </row>
    <row r="3683" customFormat="false" ht="15" hidden="false" customHeight="false" outlineLevel="0" collapsed="false">
      <c r="A3683" s="20" t="s">
        <v>1184</v>
      </c>
      <c r="E3683" s="23" t="str">
        <f aca="false">IF(D3683="?OLD","!!!","")</f>
        <v/>
      </c>
      <c r="F3683" s="25" t="str">
        <f aca="false">IF(OR(E3683="",E3683="!!!"),"",IF(NOT(ISNA(VLOOKUP(E3683,E$1:E3682,1,FALSE()))),"OLD",IF(AND(E3683&lt;&gt;"",E3683&lt;&gt;"!!!"),"NEW","")))</f>
        <v/>
      </c>
      <c r="G3683" s="26" t="str">
        <f aca="false">IF(OR(E3683="",E3683="!!!"),"",IF(OR(J3683=0,AND(J3683=1,K3683=1),AND(J3683=1,I3683="SBJ"),AND(J3683=1,I3683=0)),"?IN_FOCUS",IF(J3683&lt;=2,"?ACTIVATED",IF(J3683&lt;&gt;"","?FAMILIAR",IF(F3683="NEW",IF(ISNA(VLOOKUP(E3683,#REF!,1,FALSE())),"?TYPE_IDENTIFIABLE","?REFERENTIAL"),"_")))))</f>
        <v/>
      </c>
      <c r="H3683" s="27" t="str">
        <f aca="false">IF(J3683&lt;&gt;1,"",IF(I3683="SBJ","CB","?"))</f>
        <v/>
      </c>
      <c r="I3683" s="24" t="str">
        <f aca="false">IF(OR(E3683="",E3683="!!!",F3683="NEW"),"",INDEX(B29:B$3655,-1+SUMPRODUCT(MAX(ROW(E29:E$3655)*(E3683=E29:E$3655)))))</f>
        <v/>
      </c>
      <c r="J3683" s="24" t="str">
        <f aca="true">IF(OR(E3683="",E3683="!!!",F3683="NEW"),"",COUNTBLANK(OFFSET(A$1,,,SUMPRODUCT(MAX(ROW(E$2:E3683)*(E3683=E$2:E3683)))))-COUNTBLANK(OFFSET(A$1,,,SUMPRODUCT(MAX(ROW(E$1:E3682)*(E2=E$1:E3682))))))</f>
        <v/>
      </c>
      <c r="K3683" s="24" t="str">
        <f aca="false">IF(OR(E3683="",E3683="!!!",F3683="NEW"),"",INDEX(J$1:J3682,SUMPRODUCT(MAX(ROW(E$1:E3682)*(E3683=E$1:E3682)))))</f>
        <v/>
      </c>
      <c r="L3683" s="31"/>
    </row>
    <row r="3684" customFormat="false" ht="15" hidden="false" customHeight="false" outlineLevel="0" collapsed="false">
      <c r="A3684" s="20" t="s">
        <v>1179</v>
      </c>
      <c r="B3684" s="22" t="s">
        <v>1855</v>
      </c>
      <c r="C3684" s="22" t="s">
        <v>1082</v>
      </c>
      <c r="D3684" s="22" t="s">
        <v>1060</v>
      </c>
      <c r="E3684" s="23" t="str">
        <f aca="false">IF(D3684="?OLD","!!!","")</f>
        <v>!!!</v>
      </c>
      <c r="F3684" s="25" t="str">
        <f aca="false">IF(OR(E3684="",E3684="!!!"),"",IF(NOT(ISNA(VLOOKUP(E3684,E$1:E3683,1,FALSE()))),"OLD",IF(AND(E3684&lt;&gt;"",E3684&lt;&gt;"!!!"),"NEW","")))</f>
        <v/>
      </c>
      <c r="G3684" s="26" t="str">
        <f aca="false">IF(OR(E3684="",E3684="!!!"),"",IF(OR(J3684=0,AND(J3684=1,K3684=1),AND(J3684=1,I3684="SBJ"),AND(J3684=1,I3684=0)),"?IN_FOCUS",IF(J3684&lt;=2,"?ACTIVATED",IF(J3684&lt;&gt;"","?FAMILIAR",IF(F3684="NEW",IF(ISNA(VLOOKUP(E3684,#REF!,1,FALSE())),"?TYPE_IDENTIFIABLE","?REFERENTIAL"),"_")))))</f>
        <v/>
      </c>
      <c r="H3684" s="27" t="str">
        <f aca="false">IF(J3684&lt;&gt;1,"",IF(I3684="SBJ","CB","?"))</f>
        <v/>
      </c>
      <c r="I3684" s="24" t="str">
        <f aca="false">IF(OR(E3684="",E3684="!!!",F3684="NEW"),"",INDEX(B30:B$3655,-1+SUMPRODUCT(MAX(ROW(E30:E$3655)*(E3684=E30:E$3655)))))</f>
        <v/>
      </c>
      <c r="J3684" s="24" t="str">
        <f aca="true">IF(OR(E3684="",E3684="!!!",F3684="NEW"),"",COUNTBLANK(OFFSET(A$1,,,SUMPRODUCT(MAX(ROW(E$2:E3684)*(E3684=E$2:E3684)))))-COUNTBLANK(OFFSET(A$1,,,SUMPRODUCT(MAX(ROW(E$1:E3683)*(E2=E$1:E3683))))))</f>
        <v/>
      </c>
      <c r="K3684" s="24" t="str">
        <f aca="false">IF(OR(E3684="",E3684="!!!",F3684="NEW"),"",INDEX(J$1:J3683,SUMPRODUCT(MAX(ROW(E$1:E3683)*(E3684=E$1:E3683)))))</f>
        <v/>
      </c>
      <c r="L3684" s="31"/>
    </row>
    <row r="3685" customFormat="false" ht="15" hidden="false" customHeight="false" outlineLevel="0" collapsed="false">
      <c r="A3685" s="20" t="s">
        <v>923</v>
      </c>
      <c r="E3685" s="23" t="str">
        <f aca="false">IF(D3685="?OLD","!!!","")</f>
        <v/>
      </c>
      <c r="F3685" s="25" t="str">
        <f aca="false">IF(OR(E3685="",E3685="!!!"),"",IF(NOT(ISNA(VLOOKUP(E3685,E$1:E3684,1,FALSE()))),"OLD",IF(AND(E3685&lt;&gt;"",E3685&lt;&gt;"!!!"),"NEW","")))</f>
        <v/>
      </c>
      <c r="G3685" s="26" t="str">
        <f aca="false">IF(OR(E3685="",E3685="!!!"),"",IF(OR(J3685=0,AND(J3685=1,K3685=1),AND(J3685=1,I3685="SBJ"),AND(J3685=1,I3685=0)),"?IN_FOCUS",IF(J3685&lt;=2,"?ACTIVATED",IF(J3685&lt;&gt;"","?FAMILIAR",IF(F3685="NEW",IF(ISNA(VLOOKUP(E3685,#REF!,1,FALSE())),"?TYPE_IDENTIFIABLE","?REFERENTIAL"),"_")))))</f>
        <v/>
      </c>
      <c r="H3685" s="27" t="str">
        <f aca="false">IF(J3685&lt;&gt;1,"",IF(I3685="SBJ","CB","?"))</f>
        <v/>
      </c>
      <c r="I3685" s="24" t="str">
        <f aca="false">IF(OR(E3685="",E3685="!!!",F3685="NEW"),"",INDEX(B31:B$3655,-1+SUMPRODUCT(MAX(ROW(E31:E$3655)*(E3685=E31:E$3655)))))</f>
        <v/>
      </c>
      <c r="J3685" s="24" t="str">
        <f aca="true">IF(OR(E3685="",E3685="!!!",F3685="NEW"),"",COUNTBLANK(OFFSET(A$1,,,SUMPRODUCT(MAX(ROW(E$2:E3685)*(E3685=E$2:E3685)))))-COUNTBLANK(OFFSET(A$1,,,SUMPRODUCT(MAX(ROW(E$1:E3684)*(E2=E$1:E3684))))))</f>
        <v/>
      </c>
      <c r="K3685" s="24" t="str">
        <f aca="false">IF(OR(E3685="",E3685="!!!",F3685="NEW"),"",INDEX(J$1:J3684,SUMPRODUCT(MAX(ROW(E$1:E3684)*(E3685=E$1:E3684)))))</f>
        <v/>
      </c>
      <c r="L3685" s="31"/>
    </row>
    <row r="3686" customFormat="false" ht="15" hidden="false" customHeight="false" outlineLevel="0" collapsed="false">
      <c r="A3686" s="20"/>
    </row>
    <row r="3687" customFormat="false" ht="15" hidden="false" customHeight="false" outlineLevel="0" collapsed="false">
      <c r="A3687" s="20" t="s">
        <v>2224</v>
      </c>
    </row>
    <row r="3688" customFormat="false" ht="15" hidden="false" customHeight="false" outlineLevel="0" collapsed="false">
      <c r="A3688" s="20" t="s">
        <v>1731</v>
      </c>
      <c r="E3688" s="23" t="str">
        <f aca="false">IF(D3688="?OLD","!!!","")</f>
        <v/>
      </c>
      <c r="F3688" s="25" t="str">
        <f aca="false">IF(OR(E3688="",E3688="!!!"),"",IF(NOT(ISNA(VLOOKUP(E3688,E$1:E3687,1,FALSE()))),"OLD",IF(AND(E3688&lt;&gt;"",E3688&lt;&gt;"!!!"),"NEW","")))</f>
        <v/>
      </c>
      <c r="G3688" s="26" t="str">
        <f aca="false">IF(OR(E3688="",E3688="!!!"),"",IF(OR(J3688=0,AND(J3688=1,K3688=1),AND(J3688=1,I3688="SBJ"),AND(J3688=1,I3688=0)),"?IN_FOCUS",IF(J3688&lt;=2,"?ACTIVATED",IF(J3688&lt;&gt;"","?FAMILIAR",IF(F3688="NEW",IF(ISNA(VLOOKUP(E3688,#REF!,1,FALSE())),"?TYPE_IDENTIFIABLE","?REFERENTIAL"),"_")))))</f>
        <v/>
      </c>
      <c r="H3688" s="27" t="str">
        <f aca="false">IF(J3688&lt;&gt;1,"",IF(I3688="SBJ","CB","?"))</f>
        <v/>
      </c>
      <c r="I3688" s="24" t="str">
        <f aca="false">IF(OR(E3688="",E3688="!!!",F3688="NEW"),"",INDEX(B2:B$3687,-1+SUMPRODUCT(MAX(ROW(E2:E$3687)*(E3688=E2:E$3687)))))</f>
        <v/>
      </c>
      <c r="J3688" s="24" t="str">
        <f aca="true">IF(OR(E3688="",E3688="!!!",F3688="NEW"),"",COUNTBLANK(OFFSET(A$1,,,SUMPRODUCT(MAX(ROW(E$2:E3688)*(E3688=E$2:E3688)))))-COUNTBLANK(OFFSET(A$1,,,SUMPRODUCT(MAX(ROW(E$1:E3687)*(E2=E$1:E3687))))))</f>
        <v/>
      </c>
      <c r="K3688" s="24" t="str">
        <f aca="false">IF(OR(E3688="",E3688="!!!",F3688="NEW"),"",INDEX(J$1:J3687,SUMPRODUCT(MAX(ROW(E$1:E3687)*(E3688=E$1:E3687)))))</f>
        <v/>
      </c>
      <c r="L3688" s="31"/>
    </row>
    <row r="3689" customFormat="false" ht="15" hidden="false" customHeight="false" outlineLevel="0" collapsed="false">
      <c r="A3689" s="20" t="s">
        <v>1085</v>
      </c>
      <c r="E3689" s="23" t="str">
        <f aca="false">IF(D3689="?OLD","!!!","")</f>
        <v/>
      </c>
      <c r="F3689" s="25" t="str">
        <f aca="false">IF(OR(E3689="",E3689="!!!"),"",IF(NOT(ISNA(VLOOKUP(E3689,E$1:E3688,1,FALSE()))),"OLD",IF(AND(E3689&lt;&gt;"",E3689&lt;&gt;"!!!"),"NEW","")))</f>
        <v/>
      </c>
      <c r="G3689" s="26" t="str">
        <f aca="false">IF(OR(E3689="",E3689="!!!"),"",IF(OR(J3689=0,AND(J3689=1,K3689=1),AND(J3689=1,I3689="SBJ"),AND(J3689=1,I3689=0)),"?IN_FOCUS",IF(J3689&lt;=2,"?ACTIVATED",IF(J3689&lt;&gt;"","?FAMILIAR",IF(F3689="NEW",IF(ISNA(VLOOKUP(E3689,#REF!,1,FALSE())),"?TYPE_IDENTIFIABLE","?REFERENTIAL"),"_")))))</f>
        <v/>
      </c>
      <c r="H3689" s="27" t="str">
        <f aca="false">IF(J3689&lt;&gt;1,"",IF(I3689="SBJ","CB","?"))</f>
        <v/>
      </c>
      <c r="I3689" s="24" t="str">
        <f aca="false">IF(OR(E3689="",E3689="!!!",F3689="NEW"),"",INDEX(B3:B$3687,-1+SUMPRODUCT(MAX(ROW(E3:E$3687)*(E3689=E3:E$3687)))))</f>
        <v/>
      </c>
      <c r="J3689" s="24" t="str">
        <f aca="true">IF(OR(E3689="",E3689="!!!",F3689="NEW"),"",COUNTBLANK(OFFSET(A$1,,,SUMPRODUCT(MAX(ROW(E$2:E3689)*(E3689=E$2:E3689)))))-COUNTBLANK(OFFSET(A$1,,,SUMPRODUCT(MAX(ROW(E$1:E3688)*(E2=E$1:E3688))))))</f>
        <v/>
      </c>
      <c r="K3689" s="24" t="str">
        <f aca="false">IF(OR(E3689="",E3689="!!!",F3689="NEW"),"",INDEX(J$1:J3688,SUMPRODUCT(MAX(ROW(E$1:E3688)*(E3689=E$1:E3688)))))</f>
        <v/>
      </c>
      <c r="L3689" s="31"/>
    </row>
    <row r="3690" customFormat="false" ht="15" hidden="false" customHeight="false" outlineLevel="0" collapsed="false">
      <c r="A3690" s="20" t="s">
        <v>311</v>
      </c>
      <c r="B3690" s="22" t="s">
        <v>1105</v>
      </c>
      <c r="C3690" s="22" t="s">
        <v>1087</v>
      </c>
      <c r="E3690" s="23" t="str">
        <f aca="false">IF(D3690="?OLD","!!!","")</f>
        <v/>
      </c>
      <c r="F3690" s="25" t="str">
        <f aca="false">IF(OR(E3690="",E3690="!!!"),"",IF(NOT(ISNA(VLOOKUP(E3690,E$1:E3689,1,FALSE()))),"OLD",IF(AND(E3690&lt;&gt;"",E3690&lt;&gt;"!!!"),"NEW","")))</f>
        <v/>
      </c>
      <c r="G3690" s="26" t="str">
        <f aca="false">IF(OR(E3690="",E3690="!!!"),"",IF(OR(J3690=0,AND(J3690=1,K3690=1),AND(J3690=1,I3690="SBJ"),AND(J3690=1,I3690=0)),"?IN_FOCUS",IF(J3690&lt;=2,"?ACTIVATED",IF(J3690&lt;&gt;"","?FAMILIAR",IF(F3690="NEW",IF(ISNA(VLOOKUP(E3690,#REF!,1,FALSE())),"?TYPE_IDENTIFIABLE","?REFERENTIAL"),"_")))))</f>
        <v/>
      </c>
      <c r="H3690" s="27" t="str">
        <f aca="false">IF(J3690&lt;&gt;1,"",IF(I3690="SBJ","CB","?"))</f>
        <v/>
      </c>
      <c r="I3690" s="24" t="str">
        <f aca="false">IF(OR(E3690="",E3690="!!!",F3690="NEW"),"",INDEX(B4:B$3687,-1+SUMPRODUCT(MAX(ROW(E4:E$3687)*(E3690=E4:E$3687)))))</f>
        <v/>
      </c>
      <c r="J3690" s="24" t="str">
        <f aca="true">IF(OR(E3690="",E3690="!!!",F3690="NEW"),"",COUNTBLANK(OFFSET(A$1,,,SUMPRODUCT(MAX(ROW(E$2:E3690)*(E3690=E$2:E3690)))))-COUNTBLANK(OFFSET(A$1,,,SUMPRODUCT(MAX(ROW(E$1:E3689)*(E2=E$1:E3689))))))</f>
        <v/>
      </c>
      <c r="K3690" s="24" t="str">
        <f aca="false">IF(OR(E3690="",E3690="!!!",F3690="NEW"),"",INDEX(J$1:J3689,SUMPRODUCT(MAX(ROW(E$1:E3689)*(E3690=E$1:E3689)))))</f>
        <v/>
      </c>
      <c r="L3690" s="31"/>
    </row>
    <row r="3691" customFormat="false" ht="15" hidden="false" customHeight="false" outlineLevel="0" collapsed="false">
      <c r="A3691" s="20" t="s">
        <v>1186</v>
      </c>
      <c r="B3691" s="22" t="s">
        <v>1058</v>
      </c>
      <c r="C3691" s="22" t="s">
        <v>1082</v>
      </c>
      <c r="D3691" s="22" t="s">
        <v>1060</v>
      </c>
      <c r="E3691" s="23" t="str">
        <f aca="false">IF(D3691="?OLD","!!!","")</f>
        <v>!!!</v>
      </c>
      <c r="F3691" s="25" t="str">
        <f aca="false">IF(OR(E3691="",E3691="!!!"),"",IF(NOT(ISNA(VLOOKUP(E3691,E$1:E3690,1,FALSE()))),"OLD",IF(AND(E3691&lt;&gt;"",E3691&lt;&gt;"!!!"),"NEW","")))</f>
        <v/>
      </c>
      <c r="G3691" s="26" t="str">
        <f aca="false">IF(OR(E3691="",E3691="!!!"),"",IF(OR(J3691=0,AND(J3691=1,K3691=1),AND(J3691=1,I3691="SBJ"),AND(J3691=1,I3691=0)),"?IN_FOCUS",IF(J3691&lt;=2,"?ACTIVATED",IF(J3691&lt;&gt;"","?FAMILIAR",IF(F3691="NEW",IF(ISNA(VLOOKUP(E3691,#REF!,1,FALSE())),"?TYPE_IDENTIFIABLE","?REFERENTIAL"),"_")))))</f>
        <v/>
      </c>
      <c r="H3691" s="27" t="str">
        <f aca="false">IF(J3691&lt;&gt;1,"",IF(I3691="SBJ","CB","?"))</f>
        <v/>
      </c>
      <c r="I3691" s="24" t="str">
        <f aca="false">IF(OR(E3691="",E3691="!!!",F3691="NEW"),"",INDEX(B5:B$3687,-1+SUMPRODUCT(MAX(ROW(E5:E$3687)*(E3691=E5:E$3687)))))</f>
        <v/>
      </c>
      <c r="J3691" s="24" t="str">
        <f aca="true">IF(OR(E3691="",E3691="!!!",F3691="NEW"),"",COUNTBLANK(OFFSET(A$1,,,SUMPRODUCT(MAX(ROW(E$2:E3691)*(E3691=E$2:E3691)))))-COUNTBLANK(OFFSET(A$1,,,SUMPRODUCT(MAX(ROW(E$1:E3690)*(E2=E$1:E3690))))))</f>
        <v/>
      </c>
      <c r="K3691" s="24" t="str">
        <f aca="false">IF(OR(E3691="",E3691="!!!",F3691="NEW"),"",INDEX(J$1:J3690,SUMPRODUCT(MAX(ROW(E$1:E3690)*(E3691=E$1:E3690)))))</f>
        <v/>
      </c>
      <c r="L3691" s="31"/>
    </row>
    <row r="3692" customFormat="false" ht="15" hidden="false" customHeight="false" outlineLevel="0" collapsed="false">
      <c r="A3692" s="20" t="s">
        <v>1164</v>
      </c>
      <c r="E3692" s="23" t="str">
        <f aca="false">IF(D3692="?OLD","!!!","")</f>
        <v/>
      </c>
      <c r="F3692" s="25" t="str">
        <f aca="false">IF(OR(E3692="",E3692="!!!"),"",IF(NOT(ISNA(VLOOKUP(E3692,E$1:E3691,1,FALSE()))),"OLD",IF(AND(E3692&lt;&gt;"",E3692&lt;&gt;"!!!"),"NEW","")))</f>
        <v/>
      </c>
      <c r="G3692" s="26" t="str">
        <f aca="false">IF(OR(E3692="",E3692="!!!"),"",IF(OR(J3692=0,AND(J3692=1,K3692=1),AND(J3692=1,I3692="SBJ"),AND(J3692=1,I3692=0)),"?IN_FOCUS",IF(J3692&lt;=2,"?ACTIVATED",IF(J3692&lt;&gt;"","?FAMILIAR",IF(F3692="NEW",IF(ISNA(VLOOKUP(E3692,#REF!,1,FALSE())),"?TYPE_IDENTIFIABLE","?REFERENTIAL"),"_")))))</f>
        <v/>
      </c>
      <c r="H3692" s="27" t="str">
        <f aca="false">IF(J3692&lt;&gt;1,"",IF(I3692="SBJ","CB","?"))</f>
        <v/>
      </c>
      <c r="I3692" s="24" t="str">
        <f aca="false">IF(OR(E3692="",E3692="!!!",F3692="NEW"),"",INDEX(B6:B$3687,-1+SUMPRODUCT(MAX(ROW(E6:E$3687)*(E3692=E6:E$3687)))))</f>
        <v/>
      </c>
      <c r="J3692" s="24" t="str">
        <f aca="true">IF(OR(E3692="",E3692="!!!",F3692="NEW"),"",COUNTBLANK(OFFSET(A$1,,,SUMPRODUCT(MAX(ROW(E$2:E3692)*(E3692=E$2:E3692)))))-COUNTBLANK(OFFSET(A$1,,,SUMPRODUCT(MAX(ROW(E$1:E3691)*(E2=E$1:E3691))))))</f>
        <v/>
      </c>
      <c r="K3692" s="24" t="str">
        <f aca="false">IF(OR(E3692="",E3692="!!!",F3692="NEW"),"",INDEX(J$1:J3691,SUMPRODUCT(MAX(ROW(E$1:E3691)*(E3692=E$1:E3691)))))</f>
        <v/>
      </c>
      <c r="L3692" s="31"/>
    </row>
    <row r="3693" customFormat="false" ht="15" hidden="false" customHeight="false" outlineLevel="0" collapsed="false">
      <c r="A3693" s="20" t="s">
        <v>2225</v>
      </c>
      <c r="E3693" s="23" t="str">
        <f aca="false">IF(D3693="?OLD","!!!","")</f>
        <v/>
      </c>
      <c r="F3693" s="25" t="str">
        <f aca="false">IF(OR(E3693="",E3693="!!!"),"",IF(NOT(ISNA(VLOOKUP(E3693,E$1:E3692,1,FALSE()))),"OLD",IF(AND(E3693&lt;&gt;"",E3693&lt;&gt;"!!!"),"NEW","")))</f>
        <v/>
      </c>
      <c r="G3693" s="26" t="str">
        <f aca="false">IF(OR(E3693="",E3693="!!!"),"",IF(OR(J3693=0,AND(J3693=1,K3693=1),AND(J3693=1,I3693="SBJ"),AND(J3693=1,I3693=0)),"?IN_FOCUS",IF(J3693&lt;=2,"?ACTIVATED",IF(J3693&lt;&gt;"","?FAMILIAR",IF(F3693="NEW",IF(ISNA(VLOOKUP(E3693,#REF!,1,FALSE())),"?TYPE_IDENTIFIABLE","?REFERENTIAL"),"_")))))</f>
        <v/>
      </c>
      <c r="H3693" s="27" t="str">
        <f aca="false">IF(J3693&lt;&gt;1,"",IF(I3693="SBJ","CB","?"))</f>
        <v/>
      </c>
      <c r="I3693" s="24" t="str">
        <f aca="false">IF(OR(E3693="",E3693="!!!",F3693="NEW"),"",INDEX(B7:B$3687,-1+SUMPRODUCT(MAX(ROW(E7:E$3687)*(E3693=E7:E$3687)))))</f>
        <v/>
      </c>
      <c r="J3693" s="24" t="str">
        <f aca="true">IF(OR(E3693="",E3693="!!!",F3693="NEW"),"",COUNTBLANK(OFFSET(A$1,,,SUMPRODUCT(MAX(ROW(E$2:E3693)*(E3693=E$2:E3693)))))-COUNTBLANK(OFFSET(A$1,,,SUMPRODUCT(MAX(ROW(E$1:E3692)*(E2=E$1:E3692))))))</f>
        <v/>
      </c>
      <c r="K3693" s="24" t="str">
        <f aca="false">IF(OR(E3693="",E3693="!!!",F3693="NEW"),"",INDEX(J$1:J3692,SUMPRODUCT(MAX(ROW(E$1:E3692)*(E3693=E$1:E3692)))))</f>
        <v/>
      </c>
      <c r="L3693" s="31"/>
    </row>
    <row r="3694" customFormat="false" ht="15" hidden="false" customHeight="false" outlineLevel="0" collapsed="false">
      <c r="A3694" s="20" t="s">
        <v>1288</v>
      </c>
      <c r="E3694" s="23" t="str">
        <f aca="false">IF(D3694="?OLD","!!!","")</f>
        <v/>
      </c>
      <c r="F3694" s="25" t="str">
        <f aca="false">IF(OR(E3694="",E3694="!!!"),"",IF(NOT(ISNA(VLOOKUP(E3694,E$1:E3693,1,FALSE()))),"OLD",IF(AND(E3694&lt;&gt;"",E3694&lt;&gt;"!!!"),"NEW","")))</f>
        <v/>
      </c>
      <c r="G3694" s="26" t="str">
        <f aca="false">IF(OR(E3694="",E3694="!!!"),"",IF(OR(J3694=0,AND(J3694=1,K3694=1),AND(J3694=1,I3694="SBJ"),AND(J3694=1,I3694=0)),"?IN_FOCUS",IF(J3694&lt;=2,"?ACTIVATED",IF(J3694&lt;&gt;"","?FAMILIAR",IF(F3694="NEW",IF(ISNA(VLOOKUP(E3694,#REF!,1,FALSE())),"?TYPE_IDENTIFIABLE","?REFERENTIAL"),"_")))))</f>
        <v/>
      </c>
      <c r="H3694" s="27" t="str">
        <f aca="false">IF(J3694&lt;&gt;1,"",IF(I3694="SBJ","CB","?"))</f>
        <v/>
      </c>
      <c r="I3694" s="24" t="str">
        <f aca="false">IF(OR(E3694="",E3694="!!!",F3694="NEW"),"",INDEX(B8:B$3687,-1+SUMPRODUCT(MAX(ROW(E8:E$3687)*(E3694=E8:E$3687)))))</f>
        <v/>
      </c>
      <c r="J3694" s="24" t="str">
        <f aca="true">IF(OR(E3694="",E3694="!!!",F3694="NEW"),"",COUNTBLANK(OFFSET(A$1,,,SUMPRODUCT(MAX(ROW(E$2:E3694)*(E3694=E$2:E3694)))))-COUNTBLANK(OFFSET(A$1,,,SUMPRODUCT(MAX(ROW(E$1:E3693)*(E2=E$1:E3693))))))</f>
        <v/>
      </c>
      <c r="K3694" s="24" t="str">
        <f aca="false">IF(OR(E3694="",E3694="!!!",F3694="NEW"),"",INDEX(J$1:J3693,SUMPRODUCT(MAX(ROW(E$1:E3693)*(E3694=E$1:E3693)))))</f>
        <v/>
      </c>
      <c r="L3694" s="31"/>
    </row>
    <row r="3695" customFormat="false" ht="15" hidden="false" customHeight="false" outlineLevel="0" collapsed="false">
      <c r="A3695" s="20" t="s">
        <v>1109</v>
      </c>
      <c r="E3695" s="23" t="str">
        <f aca="false">IF(D3695="?OLD","!!!","")</f>
        <v/>
      </c>
      <c r="F3695" s="25" t="str">
        <f aca="false">IF(OR(E3695="",E3695="!!!"),"",IF(NOT(ISNA(VLOOKUP(E3695,E$1:E3694,1,FALSE()))),"OLD",IF(AND(E3695&lt;&gt;"",E3695&lt;&gt;"!!!"),"NEW","")))</f>
        <v/>
      </c>
      <c r="G3695" s="26" t="str">
        <f aca="false">IF(OR(E3695="",E3695="!!!"),"",IF(OR(J3695=0,AND(J3695=1,K3695=1),AND(J3695=1,I3695="SBJ"),AND(J3695=1,I3695=0)),"?IN_FOCUS",IF(J3695&lt;=2,"?ACTIVATED",IF(J3695&lt;&gt;"","?FAMILIAR",IF(F3695="NEW",IF(ISNA(VLOOKUP(E3695,#REF!,1,FALSE())),"?TYPE_IDENTIFIABLE","?REFERENTIAL"),"_")))))</f>
        <v/>
      </c>
      <c r="H3695" s="27" t="str">
        <f aca="false">IF(J3695&lt;&gt;1,"",IF(I3695="SBJ","CB","?"))</f>
        <v/>
      </c>
      <c r="I3695" s="24" t="str">
        <f aca="false">IF(OR(E3695="",E3695="!!!",F3695="NEW"),"",INDEX(B9:B$3687,-1+SUMPRODUCT(MAX(ROW(E9:E$3687)*(E3695=E9:E$3687)))))</f>
        <v/>
      </c>
      <c r="J3695" s="24" t="str">
        <f aca="true">IF(OR(E3695="",E3695="!!!",F3695="NEW"),"",COUNTBLANK(OFFSET(A$1,,,SUMPRODUCT(MAX(ROW(E$2:E3695)*(E3695=E$2:E3695)))))-COUNTBLANK(OFFSET(A$1,,,SUMPRODUCT(MAX(ROW(E$1:E3694)*(E2=E$1:E3694))))))</f>
        <v/>
      </c>
      <c r="K3695" s="24" t="str">
        <f aca="false">IF(OR(E3695="",E3695="!!!",F3695="NEW"),"",INDEX(J$1:J3694,SUMPRODUCT(MAX(ROW(E$1:E3694)*(E3695=E$1:E3694)))))</f>
        <v/>
      </c>
      <c r="L3695" s="31"/>
    </row>
    <row r="3696" customFormat="false" ht="15" hidden="false" customHeight="false" outlineLevel="0" collapsed="false">
      <c r="A3696" s="20" t="s">
        <v>2226</v>
      </c>
      <c r="B3696" s="22" t="s">
        <v>1081</v>
      </c>
      <c r="C3696" s="22" t="s">
        <v>1150</v>
      </c>
      <c r="D3696" s="22" t="s">
        <v>1060</v>
      </c>
      <c r="E3696" s="23" t="str">
        <f aca="false">IF(D3696="?OLD","!!!","")</f>
        <v>!!!</v>
      </c>
      <c r="F3696" s="25" t="str">
        <f aca="false">IF(OR(E3696="",E3696="!!!"),"",IF(NOT(ISNA(VLOOKUP(E3696,E$1:E3695,1,FALSE()))),"OLD",IF(AND(E3696&lt;&gt;"",E3696&lt;&gt;"!!!"),"NEW","")))</f>
        <v/>
      </c>
      <c r="G3696" s="26" t="str">
        <f aca="false">IF(OR(E3696="",E3696="!!!"),"",IF(OR(J3696=0,AND(J3696=1,K3696=1),AND(J3696=1,I3696="SBJ"),AND(J3696=1,I3696=0)),"?IN_FOCUS",IF(J3696&lt;=2,"?ACTIVATED",IF(J3696&lt;&gt;"","?FAMILIAR",IF(F3696="NEW",IF(ISNA(VLOOKUP(E3696,#REF!,1,FALSE())),"?TYPE_IDENTIFIABLE","?REFERENTIAL"),"_")))))</f>
        <v/>
      </c>
      <c r="H3696" s="27" t="str">
        <f aca="false">IF(J3696&lt;&gt;1,"",IF(I3696="SBJ","CB","?"))</f>
        <v/>
      </c>
      <c r="I3696" s="24" t="str">
        <f aca="false">IF(OR(E3696="",E3696="!!!",F3696="NEW"),"",INDEX(B10:B$3687,-1+SUMPRODUCT(MAX(ROW(E10:E$3687)*(E3696=E10:E$3687)))))</f>
        <v/>
      </c>
      <c r="J3696" s="24" t="str">
        <f aca="true">IF(OR(E3696="",E3696="!!!",F3696="NEW"),"",COUNTBLANK(OFFSET(A$1,,,SUMPRODUCT(MAX(ROW(E$2:E3696)*(E3696=E$2:E3696)))))-COUNTBLANK(OFFSET(A$1,,,SUMPRODUCT(MAX(ROW(E$1:E3695)*(E2=E$1:E3695))))))</f>
        <v/>
      </c>
      <c r="K3696" s="24" t="str">
        <f aca="false">IF(OR(E3696="",E3696="!!!",F3696="NEW"),"",INDEX(J$1:J3695,SUMPRODUCT(MAX(ROW(E$1:E3695)*(E3696=E$1:E3695)))))</f>
        <v/>
      </c>
      <c r="L3696" s="31"/>
    </row>
    <row r="3697" customFormat="false" ht="15" hidden="false" customHeight="false" outlineLevel="0" collapsed="false">
      <c r="A3697" s="20" t="s">
        <v>1076</v>
      </c>
      <c r="E3697" s="23" t="str">
        <f aca="false">IF(D3697="?OLD","!!!","")</f>
        <v/>
      </c>
      <c r="F3697" s="25" t="str">
        <f aca="false">IF(OR(E3697="",E3697="!!!"),"",IF(NOT(ISNA(VLOOKUP(E3697,E$1:E3696,1,FALSE()))),"OLD",IF(AND(E3697&lt;&gt;"",E3697&lt;&gt;"!!!"),"NEW","")))</f>
        <v/>
      </c>
      <c r="G3697" s="26" t="str">
        <f aca="false">IF(OR(E3697="",E3697="!!!"),"",IF(OR(J3697=0,AND(J3697=1,K3697=1),AND(J3697=1,I3697="SBJ"),AND(J3697=1,I3697=0)),"?IN_FOCUS",IF(J3697&lt;=2,"?ACTIVATED",IF(J3697&lt;&gt;"","?FAMILIAR",IF(F3697="NEW",IF(ISNA(VLOOKUP(E3697,#REF!,1,FALSE())),"?TYPE_IDENTIFIABLE","?REFERENTIAL"),"_")))))</f>
        <v/>
      </c>
      <c r="H3697" s="27" t="str">
        <f aca="false">IF(J3697&lt;&gt;1,"",IF(I3697="SBJ","CB","?"))</f>
        <v/>
      </c>
      <c r="I3697" s="24" t="str">
        <f aca="false">IF(OR(E3697="",E3697="!!!",F3697="NEW"),"",INDEX(B11:B$3687,-1+SUMPRODUCT(MAX(ROW(E11:E$3687)*(E3697=E11:E$3687)))))</f>
        <v/>
      </c>
      <c r="J3697" s="24" t="str">
        <f aca="true">IF(OR(E3697="",E3697="!!!",F3697="NEW"),"",COUNTBLANK(OFFSET(A$1,,,SUMPRODUCT(MAX(ROW(E$2:E3697)*(E3697=E$2:E3697)))))-COUNTBLANK(OFFSET(A$1,,,SUMPRODUCT(MAX(ROW(E$1:E3696)*(E2=E$1:E3696))))))</f>
        <v/>
      </c>
      <c r="K3697" s="24" t="str">
        <f aca="false">IF(OR(E3697="",E3697="!!!",F3697="NEW"),"",INDEX(J$1:J3696,SUMPRODUCT(MAX(ROW(E$1:E3696)*(E3697=E$1:E3696)))))</f>
        <v/>
      </c>
      <c r="L3697" s="31"/>
    </row>
    <row r="3698" customFormat="false" ht="15" hidden="false" customHeight="false" outlineLevel="0" collapsed="false">
      <c r="A3698" s="20" t="s">
        <v>2227</v>
      </c>
      <c r="E3698" s="23" t="str">
        <f aca="false">IF(D3698="?OLD","!!!","")</f>
        <v/>
      </c>
      <c r="F3698" s="25" t="str">
        <f aca="false">IF(OR(E3698="",E3698="!!!"),"",IF(NOT(ISNA(VLOOKUP(E3698,E$1:E3697,1,FALSE()))),"OLD",IF(AND(E3698&lt;&gt;"",E3698&lt;&gt;"!!!"),"NEW","")))</f>
        <v/>
      </c>
      <c r="G3698" s="26" t="str">
        <f aca="false">IF(OR(E3698="",E3698="!!!"),"",IF(OR(J3698=0,AND(J3698=1,K3698=1),AND(J3698=1,I3698="SBJ"),AND(J3698=1,I3698=0)),"?IN_FOCUS",IF(J3698&lt;=2,"?ACTIVATED",IF(J3698&lt;&gt;"","?FAMILIAR",IF(F3698="NEW",IF(ISNA(VLOOKUP(E3698,#REF!,1,FALSE())),"?TYPE_IDENTIFIABLE","?REFERENTIAL"),"_")))))</f>
        <v/>
      </c>
      <c r="H3698" s="27" t="str">
        <f aca="false">IF(J3698&lt;&gt;1,"",IF(I3698="SBJ","CB","?"))</f>
        <v/>
      </c>
      <c r="I3698" s="24" t="str">
        <f aca="false">IF(OR(E3698="",E3698="!!!",F3698="NEW"),"",INDEX(B12:B$3687,-1+SUMPRODUCT(MAX(ROW(E12:E$3687)*(E3698=E12:E$3687)))))</f>
        <v/>
      </c>
      <c r="J3698" s="24" t="str">
        <f aca="true">IF(OR(E3698="",E3698="!!!",F3698="NEW"),"",COUNTBLANK(OFFSET(A$1,,,SUMPRODUCT(MAX(ROW(E$2:E3698)*(E3698=E$2:E3698)))))-COUNTBLANK(OFFSET(A$1,,,SUMPRODUCT(MAX(ROW(E$1:E3697)*(E2=E$1:E3697))))))</f>
        <v/>
      </c>
      <c r="K3698" s="24" t="str">
        <f aca="false">IF(OR(E3698="",E3698="!!!",F3698="NEW"),"",INDEX(J$1:J3697,SUMPRODUCT(MAX(ROW(E$1:E3697)*(E3698=E$1:E3697)))))</f>
        <v/>
      </c>
      <c r="L3698" s="31"/>
    </row>
    <row r="3699" customFormat="false" ht="15" hidden="false" customHeight="false" outlineLevel="0" collapsed="false">
      <c r="A3699" s="20" t="s">
        <v>1109</v>
      </c>
      <c r="E3699" s="23" t="str">
        <f aca="false">IF(D3699="?OLD","!!!","")</f>
        <v/>
      </c>
      <c r="F3699" s="25" t="str">
        <f aca="false">IF(OR(E3699="",E3699="!!!"),"",IF(NOT(ISNA(VLOOKUP(E3699,E$1:E3698,1,FALSE()))),"OLD",IF(AND(E3699&lt;&gt;"",E3699&lt;&gt;"!!!"),"NEW","")))</f>
        <v/>
      </c>
      <c r="G3699" s="26" t="str">
        <f aca="false">IF(OR(E3699="",E3699="!!!"),"",IF(OR(J3699=0,AND(J3699=1,K3699=1),AND(J3699=1,I3699="SBJ"),AND(J3699=1,I3699=0)),"?IN_FOCUS",IF(J3699&lt;=2,"?ACTIVATED",IF(J3699&lt;&gt;"","?FAMILIAR",IF(F3699="NEW",IF(ISNA(VLOOKUP(E3699,#REF!,1,FALSE())),"?TYPE_IDENTIFIABLE","?REFERENTIAL"),"_")))))</f>
        <v/>
      </c>
      <c r="H3699" s="27" t="str">
        <f aca="false">IF(J3699&lt;&gt;1,"",IF(I3699="SBJ","CB","?"))</f>
        <v/>
      </c>
      <c r="I3699" s="24" t="str">
        <f aca="false">IF(OR(E3699="",E3699="!!!",F3699="NEW"),"",INDEX(B13:B$3687,-1+SUMPRODUCT(MAX(ROW(E13:E$3687)*(E3699=E13:E$3687)))))</f>
        <v/>
      </c>
      <c r="J3699" s="24" t="str">
        <f aca="true">IF(OR(E3699="",E3699="!!!",F3699="NEW"),"",COUNTBLANK(OFFSET(A$1,,,SUMPRODUCT(MAX(ROW(E$2:E3699)*(E3699=E$2:E3699)))))-COUNTBLANK(OFFSET(A$1,,,SUMPRODUCT(MAX(ROW(E$1:E3698)*(E2=E$1:E3698))))))</f>
        <v/>
      </c>
      <c r="K3699" s="24" t="str">
        <f aca="false">IF(OR(E3699="",E3699="!!!",F3699="NEW"),"",INDEX(J$1:J3698,SUMPRODUCT(MAX(ROW(E$1:E3698)*(E3699=E$1:E3698)))))</f>
        <v/>
      </c>
      <c r="L3699" s="31"/>
    </row>
    <row r="3700" customFormat="false" ht="15" hidden="false" customHeight="false" outlineLevel="0" collapsed="false">
      <c r="A3700" s="20" t="s">
        <v>2228</v>
      </c>
      <c r="B3700" s="22" t="s">
        <v>1142</v>
      </c>
      <c r="C3700" s="22" t="s">
        <v>1150</v>
      </c>
      <c r="D3700" s="22" t="s">
        <v>1060</v>
      </c>
      <c r="E3700" s="23" t="str">
        <f aca="false">IF(D3700="?OLD","!!!","")</f>
        <v>!!!</v>
      </c>
      <c r="F3700" s="25" t="str">
        <f aca="false">IF(OR(E3700="",E3700="!!!"),"",IF(NOT(ISNA(VLOOKUP(E3700,E$1:E3699,1,FALSE()))),"OLD",IF(AND(E3700&lt;&gt;"",E3700&lt;&gt;"!!!"),"NEW","")))</f>
        <v/>
      </c>
      <c r="G3700" s="26" t="str">
        <f aca="false">IF(OR(E3700="",E3700="!!!"),"",IF(OR(J3700=0,AND(J3700=1,K3700=1),AND(J3700=1,I3700="SBJ"),AND(J3700=1,I3700=0)),"?IN_FOCUS",IF(J3700&lt;=2,"?ACTIVATED",IF(J3700&lt;&gt;"","?FAMILIAR",IF(F3700="NEW",IF(ISNA(VLOOKUP(E3700,#REF!,1,FALSE())),"?TYPE_IDENTIFIABLE","?REFERENTIAL"),"_")))))</f>
        <v/>
      </c>
      <c r="H3700" s="27" t="str">
        <f aca="false">IF(J3700&lt;&gt;1,"",IF(I3700="SBJ","CB","?"))</f>
        <v/>
      </c>
      <c r="I3700" s="24" t="str">
        <f aca="false">IF(OR(E3700="",E3700="!!!",F3700="NEW"),"",INDEX(B14:B$3687,-1+SUMPRODUCT(MAX(ROW(E14:E$3687)*(E3700=E14:E$3687)))))</f>
        <v/>
      </c>
      <c r="J3700" s="24" t="str">
        <f aca="true">IF(OR(E3700="",E3700="!!!",F3700="NEW"),"",COUNTBLANK(OFFSET(A$1,,,SUMPRODUCT(MAX(ROW(E$2:E3700)*(E3700=E$2:E3700)))))-COUNTBLANK(OFFSET(A$1,,,SUMPRODUCT(MAX(ROW(E$1:E3699)*(E2=E$1:E3699))))))</f>
        <v/>
      </c>
      <c r="K3700" s="24" t="str">
        <f aca="false">IF(OR(E3700="",E3700="!!!",F3700="NEW"),"",INDEX(J$1:J3699,SUMPRODUCT(MAX(ROW(E$1:E3699)*(E3700=E$1:E3699)))))</f>
        <v/>
      </c>
      <c r="L3700" s="31"/>
    </row>
    <row r="3701" customFormat="false" ht="15" hidden="false" customHeight="false" outlineLevel="0" collapsed="false">
      <c r="A3701" s="20" t="s">
        <v>1076</v>
      </c>
      <c r="E3701" s="23" t="str">
        <f aca="false">IF(D3701="?OLD","!!!","")</f>
        <v/>
      </c>
      <c r="F3701" s="25" t="str">
        <f aca="false">IF(OR(E3701="",E3701="!!!"),"",IF(NOT(ISNA(VLOOKUP(E3701,E$1:E3700,1,FALSE()))),"OLD",IF(AND(E3701&lt;&gt;"",E3701&lt;&gt;"!!!"),"NEW","")))</f>
        <v/>
      </c>
      <c r="G3701" s="26" t="str">
        <f aca="false">IF(OR(E3701="",E3701="!!!"),"",IF(OR(J3701=0,AND(J3701=1,K3701=1),AND(J3701=1,I3701="SBJ"),AND(J3701=1,I3701=0)),"?IN_FOCUS",IF(J3701&lt;=2,"?ACTIVATED",IF(J3701&lt;&gt;"","?FAMILIAR",IF(F3701="NEW",IF(ISNA(VLOOKUP(E3701,#REF!,1,FALSE())),"?TYPE_IDENTIFIABLE","?REFERENTIAL"),"_")))))</f>
        <v/>
      </c>
      <c r="H3701" s="27" t="str">
        <f aca="false">IF(J3701&lt;&gt;1,"",IF(I3701="SBJ","CB","?"))</f>
        <v/>
      </c>
      <c r="I3701" s="24" t="str">
        <f aca="false">IF(OR(E3701="",E3701="!!!",F3701="NEW"),"",INDEX(B15:B$3687,-1+SUMPRODUCT(MAX(ROW(E15:E$3687)*(E3701=E15:E$3687)))))</f>
        <v/>
      </c>
      <c r="J3701" s="24" t="str">
        <f aca="true">IF(OR(E3701="",E3701="!!!",F3701="NEW"),"",COUNTBLANK(OFFSET(A$1,,,SUMPRODUCT(MAX(ROW(E$2:E3701)*(E3701=E$2:E3701)))))-COUNTBLANK(OFFSET(A$1,,,SUMPRODUCT(MAX(ROW(E$1:E3700)*(E2=E$1:E3700))))))</f>
        <v/>
      </c>
      <c r="K3701" s="24" t="str">
        <f aca="false">IF(OR(E3701="",E3701="!!!",F3701="NEW"),"",INDEX(J$1:J3700,SUMPRODUCT(MAX(ROW(E$1:E3700)*(E3701=E$1:E3700)))))</f>
        <v/>
      </c>
      <c r="L3701" s="31"/>
    </row>
    <row r="3702" customFormat="false" ht="15" hidden="false" customHeight="false" outlineLevel="0" collapsed="false">
      <c r="A3702" s="20" t="s">
        <v>1128</v>
      </c>
      <c r="E3702" s="23" t="str">
        <f aca="false">IF(D3702="?OLD","!!!","")</f>
        <v/>
      </c>
      <c r="F3702" s="25" t="str">
        <f aca="false">IF(OR(E3702="",E3702="!!!"),"",IF(NOT(ISNA(VLOOKUP(E3702,E$1:E3701,1,FALSE()))),"OLD",IF(AND(E3702&lt;&gt;"",E3702&lt;&gt;"!!!"),"NEW","")))</f>
        <v/>
      </c>
      <c r="G3702" s="26" t="str">
        <f aca="false">IF(OR(E3702="",E3702="!!!"),"",IF(OR(J3702=0,AND(J3702=1,K3702=1),AND(J3702=1,I3702="SBJ"),AND(J3702=1,I3702=0)),"?IN_FOCUS",IF(J3702&lt;=2,"?ACTIVATED",IF(J3702&lt;&gt;"","?FAMILIAR",IF(F3702="NEW",IF(ISNA(VLOOKUP(E3702,#REF!,1,FALSE())),"?TYPE_IDENTIFIABLE","?REFERENTIAL"),"_")))))</f>
        <v/>
      </c>
      <c r="H3702" s="27" t="str">
        <f aca="false">IF(J3702&lt;&gt;1,"",IF(I3702="SBJ","CB","?"))</f>
        <v/>
      </c>
      <c r="I3702" s="24" t="str">
        <f aca="false">IF(OR(E3702="",E3702="!!!",F3702="NEW"),"",INDEX(B16:B$3687,-1+SUMPRODUCT(MAX(ROW(E16:E$3687)*(E3702=E16:E$3687)))))</f>
        <v/>
      </c>
      <c r="J3702" s="24" t="str">
        <f aca="true">IF(OR(E3702="",E3702="!!!",F3702="NEW"),"",COUNTBLANK(OFFSET(A$1,,,SUMPRODUCT(MAX(ROW(E$2:E3702)*(E3702=E$2:E3702)))))-COUNTBLANK(OFFSET(A$1,,,SUMPRODUCT(MAX(ROW(E$1:E3701)*(E2=E$1:E3701))))))</f>
        <v/>
      </c>
      <c r="K3702" s="24" t="str">
        <f aca="false">IF(OR(E3702="",E3702="!!!",F3702="NEW"),"",INDEX(J$1:J3701,SUMPRODUCT(MAX(ROW(E$1:E3701)*(E3702=E$1:E3701)))))</f>
        <v/>
      </c>
      <c r="L3702" s="31"/>
    </row>
    <row r="3703" customFormat="false" ht="15" hidden="false" customHeight="false" outlineLevel="0" collapsed="false">
      <c r="A3703" s="20" t="s">
        <v>2229</v>
      </c>
      <c r="B3703" s="22" t="s">
        <v>1105</v>
      </c>
      <c r="C3703" s="22" t="s">
        <v>1068</v>
      </c>
      <c r="D3703" s="22" t="s">
        <v>1060</v>
      </c>
      <c r="E3703" s="23" t="str">
        <f aca="false">IF(D3703="?OLD","!!!","")</f>
        <v>!!!</v>
      </c>
      <c r="F3703" s="25" t="str">
        <f aca="false">IF(OR(E3703="",E3703="!!!"),"",IF(NOT(ISNA(VLOOKUP(E3703,E$1:E3702,1,FALSE()))),"OLD",IF(AND(E3703&lt;&gt;"",E3703&lt;&gt;"!!!"),"NEW","")))</f>
        <v/>
      </c>
      <c r="G3703" s="26" t="str">
        <f aca="false">IF(OR(E3703="",E3703="!!!"),"",IF(OR(J3703=0,AND(J3703=1,K3703=1),AND(J3703=1,I3703="SBJ"),AND(J3703=1,I3703=0)),"?IN_FOCUS",IF(J3703&lt;=2,"?ACTIVATED",IF(J3703&lt;&gt;"","?FAMILIAR",IF(F3703="NEW",IF(ISNA(VLOOKUP(E3703,#REF!,1,FALSE())),"?TYPE_IDENTIFIABLE","?REFERENTIAL"),"_")))))</f>
        <v/>
      </c>
      <c r="H3703" s="27" t="str">
        <f aca="false">IF(J3703&lt;&gt;1,"",IF(I3703="SBJ","CB","?"))</f>
        <v/>
      </c>
      <c r="I3703" s="24" t="str">
        <f aca="false">IF(OR(E3703="",E3703="!!!",F3703="NEW"),"",INDEX(B17:B$3687,-1+SUMPRODUCT(MAX(ROW(E17:E$3687)*(E3703=E17:E$3687)))))</f>
        <v/>
      </c>
      <c r="J3703" s="24" t="str">
        <f aca="true">IF(OR(E3703="",E3703="!!!",F3703="NEW"),"",COUNTBLANK(OFFSET(A$1,,,SUMPRODUCT(MAX(ROW(E$2:E3703)*(E3703=E$2:E3703)))))-COUNTBLANK(OFFSET(A$1,,,SUMPRODUCT(MAX(ROW(E$1:E3702)*(E2=E$1:E3702))))))</f>
        <v/>
      </c>
      <c r="K3703" s="24" t="str">
        <f aca="false">IF(OR(E3703="",E3703="!!!",F3703="NEW"),"",INDEX(J$1:J3702,SUMPRODUCT(MAX(ROW(E$1:E3702)*(E3703=E$1:E3702)))))</f>
        <v/>
      </c>
      <c r="L3703" s="31"/>
    </row>
    <row r="3704" customFormat="false" ht="15" hidden="false" customHeight="false" outlineLevel="0" collapsed="false">
      <c r="A3704" s="20"/>
    </row>
    <row r="3705" customFormat="false" ht="15" hidden="false" customHeight="false" outlineLevel="0" collapsed="false">
      <c r="A3705" s="20" t="s">
        <v>2230</v>
      </c>
    </row>
    <row r="3706" customFormat="false" ht="15" hidden="false" customHeight="false" outlineLevel="0" collapsed="false">
      <c r="A3706" s="20" t="s">
        <v>1482</v>
      </c>
      <c r="B3706" s="22" t="s">
        <v>1058</v>
      </c>
      <c r="C3706" s="22" t="s">
        <v>1068</v>
      </c>
      <c r="D3706" s="22" t="s">
        <v>1060</v>
      </c>
      <c r="E3706" s="23" t="str">
        <f aca="false">IF(D3706="?OLD","!!!","")</f>
        <v>!!!</v>
      </c>
      <c r="F3706" s="25" t="str">
        <f aca="false">IF(OR(E3706="",E3706="!!!"),"",IF(NOT(ISNA(VLOOKUP(E3706,E$1:E3705,1,FALSE()))),"OLD",IF(AND(E3706&lt;&gt;"",E3706&lt;&gt;"!!!"),"NEW","")))</f>
        <v/>
      </c>
      <c r="G3706" s="26" t="str">
        <f aca="false">IF(OR(E3706="",E3706="!!!"),"",IF(OR(J3706=0,AND(J3706=1,K3706=1),AND(J3706=1,I3706="SBJ"),AND(J3706=1,I3706=0)),"?IN_FOCUS",IF(J3706&lt;=2,"?ACTIVATED",IF(J3706&lt;&gt;"","?FAMILIAR",IF(F3706="NEW",IF(ISNA(VLOOKUP(E3706,#REF!,1,FALSE())),"?TYPE_IDENTIFIABLE","?REFERENTIAL"),"_")))))</f>
        <v/>
      </c>
      <c r="H3706" s="27" t="str">
        <f aca="false">IF(J3706&lt;&gt;1,"",IF(I3706="SBJ","CB","?"))</f>
        <v/>
      </c>
      <c r="I3706" s="24" t="str">
        <f aca="false">IF(OR(E3706="",E3706="!!!",F3706="NEW"),"",INDEX(B2:B$3705,-1+SUMPRODUCT(MAX(ROW(E2:E$3705)*(E3706=E2:E$3705)))))</f>
        <v/>
      </c>
      <c r="J3706" s="24" t="str">
        <f aca="true">IF(OR(E3706="",E3706="!!!",F3706="NEW"),"",COUNTBLANK(OFFSET(A$1,,,SUMPRODUCT(MAX(ROW(E$2:E3706)*(E3706=E$2:E3706)))))-COUNTBLANK(OFFSET(A$1,,,SUMPRODUCT(MAX(ROW(E$1:E3705)*(E2=E$1:E3705))))))</f>
        <v/>
      </c>
      <c r="K3706" s="24" t="str">
        <f aca="false">IF(OR(E3706="",E3706="!!!",F3706="NEW"),"",INDEX(J$1:J3705,SUMPRODUCT(MAX(ROW(E$1:E3705)*(E3706=E$1:E3705)))))</f>
        <v/>
      </c>
      <c r="L3706" s="31"/>
    </row>
    <row r="3707" customFormat="false" ht="15" hidden="false" customHeight="false" outlineLevel="0" collapsed="false">
      <c r="A3707" s="20" t="s">
        <v>716</v>
      </c>
      <c r="E3707" s="23" t="str">
        <f aca="false">IF(D3707="?OLD","!!!","")</f>
        <v/>
      </c>
      <c r="F3707" s="25" t="str">
        <f aca="false">IF(OR(E3707="",E3707="!!!"),"",IF(NOT(ISNA(VLOOKUP(E3707,E$1:E3706,1,FALSE()))),"OLD",IF(AND(E3707&lt;&gt;"",E3707&lt;&gt;"!!!"),"NEW","")))</f>
        <v/>
      </c>
      <c r="G3707" s="26" t="str">
        <f aca="false">IF(OR(E3707="",E3707="!!!"),"",IF(OR(J3707=0,AND(J3707=1,K3707=1),AND(J3707=1,I3707="SBJ"),AND(J3707=1,I3707=0)),"?IN_FOCUS",IF(J3707&lt;=2,"?ACTIVATED",IF(J3707&lt;&gt;"","?FAMILIAR",IF(F3707="NEW",IF(ISNA(VLOOKUP(E3707,#REF!,1,FALSE())),"?TYPE_IDENTIFIABLE","?REFERENTIAL"),"_")))))</f>
        <v/>
      </c>
      <c r="H3707" s="27" t="str">
        <f aca="false">IF(J3707&lt;&gt;1,"",IF(I3707="SBJ","CB","?"))</f>
        <v/>
      </c>
      <c r="I3707" s="24" t="str">
        <f aca="false">IF(OR(E3707="",E3707="!!!",F3707="NEW"),"",INDEX(B3:B$3705,-1+SUMPRODUCT(MAX(ROW(E3:E$3705)*(E3707=E3:E$3705)))))</f>
        <v/>
      </c>
      <c r="J3707" s="24" t="str">
        <f aca="true">IF(OR(E3707="",E3707="!!!",F3707="NEW"),"",COUNTBLANK(OFFSET(A$1,,,SUMPRODUCT(MAX(ROW(E$2:E3707)*(E3707=E$2:E3707)))))-COUNTBLANK(OFFSET(A$1,,,SUMPRODUCT(MAX(ROW(E$1:E3706)*(E2=E$1:E3706))))))</f>
        <v/>
      </c>
      <c r="K3707" s="24" t="str">
        <f aca="false">IF(OR(E3707="",E3707="!!!",F3707="NEW"),"",INDEX(J$1:J3706,SUMPRODUCT(MAX(ROW(E$1:E3706)*(E3707=E$1:E3706)))))</f>
        <v/>
      </c>
      <c r="L3707" s="31"/>
    </row>
    <row r="3708" customFormat="false" ht="15" hidden="false" customHeight="false" outlineLevel="0" collapsed="false">
      <c r="A3708" s="20" t="s">
        <v>1218</v>
      </c>
      <c r="E3708" s="23" t="str">
        <f aca="false">IF(D3708="?OLD","!!!","")</f>
        <v/>
      </c>
      <c r="F3708" s="25" t="str">
        <f aca="false">IF(OR(E3708="",E3708="!!!"),"",IF(NOT(ISNA(VLOOKUP(E3708,E$1:E3707,1,FALSE()))),"OLD",IF(AND(E3708&lt;&gt;"",E3708&lt;&gt;"!!!"),"NEW","")))</f>
        <v/>
      </c>
      <c r="G3708" s="26" t="str">
        <f aca="false">IF(OR(E3708="",E3708="!!!"),"",IF(OR(J3708=0,AND(J3708=1,K3708=1),AND(J3708=1,I3708="SBJ"),AND(J3708=1,I3708=0)),"?IN_FOCUS",IF(J3708&lt;=2,"?ACTIVATED",IF(J3708&lt;&gt;"","?FAMILIAR",IF(F3708="NEW",IF(ISNA(VLOOKUP(E3708,#REF!,1,FALSE())),"?TYPE_IDENTIFIABLE","?REFERENTIAL"),"_")))))</f>
        <v/>
      </c>
      <c r="H3708" s="27" t="str">
        <f aca="false">IF(J3708&lt;&gt;1,"",IF(I3708="SBJ","CB","?"))</f>
        <v/>
      </c>
      <c r="I3708" s="24" t="str">
        <f aca="false">IF(OR(E3708="",E3708="!!!",F3708="NEW"),"",INDEX(B4:B$3705,-1+SUMPRODUCT(MAX(ROW(E4:E$3705)*(E3708=E4:E$3705)))))</f>
        <v/>
      </c>
      <c r="J3708" s="24" t="str">
        <f aca="true">IF(OR(E3708="",E3708="!!!",F3708="NEW"),"",COUNTBLANK(OFFSET(A$1,,,SUMPRODUCT(MAX(ROW(E$2:E3708)*(E3708=E$2:E3708)))))-COUNTBLANK(OFFSET(A$1,,,SUMPRODUCT(MAX(ROW(E$1:E3707)*(E2=E$1:E3707))))))</f>
        <v/>
      </c>
      <c r="K3708" s="24" t="str">
        <f aca="false">IF(OR(E3708="",E3708="!!!",F3708="NEW"),"",INDEX(J$1:J3707,SUMPRODUCT(MAX(ROW(E$1:E3707)*(E3708=E$1:E3707)))))</f>
        <v/>
      </c>
      <c r="L3708" s="31"/>
    </row>
    <row r="3709" customFormat="false" ht="15" hidden="false" customHeight="false" outlineLevel="0" collapsed="false">
      <c r="A3709" s="20" t="s">
        <v>1109</v>
      </c>
      <c r="E3709" s="23" t="str">
        <f aca="false">IF(D3709="?OLD","!!!","")</f>
        <v/>
      </c>
      <c r="F3709" s="25" t="str">
        <f aca="false">IF(OR(E3709="",E3709="!!!"),"",IF(NOT(ISNA(VLOOKUP(E3709,E$1:E3708,1,FALSE()))),"OLD",IF(AND(E3709&lt;&gt;"",E3709&lt;&gt;"!!!"),"NEW","")))</f>
        <v/>
      </c>
      <c r="G3709" s="26" t="str">
        <f aca="false">IF(OR(E3709="",E3709="!!!"),"",IF(OR(J3709=0,AND(J3709=1,K3709=1),AND(J3709=1,I3709="SBJ"),AND(J3709=1,I3709=0)),"?IN_FOCUS",IF(J3709&lt;=2,"?ACTIVATED",IF(J3709&lt;&gt;"","?FAMILIAR",IF(F3709="NEW",IF(ISNA(VLOOKUP(E3709,#REF!,1,FALSE())),"?TYPE_IDENTIFIABLE","?REFERENTIAL"),"_")))))</f>
        <v/>
      </c>
      <c r="H3709" s="27" t="str">
        <f aca="false">IF(J3709&lt;&gt;1,"",IF(I3709="SBJ","CB","?"))</f>
        <v/>
      </c>
      <c r="I3709" s="24" t="str">
        <f aca="false">IF(OR(E3709="",E3709="!!!",F3709="NEW"),"",INDEX(B5:B$3705,-1+SUMPRODUCT(MAX(ROW(E5:E$3705)*(E3709=E5:E$3705)))))</f>
        <v/>
      </c>
      <c r="J3709" s="24" t="str">
        <f aca="true">IF(OR(E3709="",E3709="!!!",F3709="NEW"),"",COUNTBLANK(OFFSET(A$1,,,SUMPRODUCT(MAX(ROW(E$2:E3709)*(E3709=E$2:E3709)))))-COUNTBLANK(OFFSET(A$1,,,SUMPRODUCT(MAX(ROW(E$1:E3708)*(E2=E$1:E3708))))))</f>
        <v/>
      </c>
      <c r="K3709" s="24" t="str">
        <f aca="false">IF(OR(E3709="",E3709="!!!",F3709="NEW"),"",INDEX(J$1:J3708,SUMPRODUCT(MAX(ROW(E$1:E3708)*(E3709=E$1:E3708)))))</f>
        <v/>
      </c>
      <c r="L3709" s="31"/>
    </row>
    <row r="3710" customFormat="false" ht="15" hidden="false" customHeight="false" outlineLevel="0" collapsed="false">
      <c r="A3710" s="20" t="s">
        <v>1713</v>
      </c>
      <c r="B3710" s="22" t="s">
        <v>1105</v>
      </c>
      <c r="C3710" s="22" t="s">
        <v>1150</v>
      </c>
      <c r="D3710" s="22" t="s">
        <v>1060</v>
      </c>
      <c r="E3710" s="23" t="str">
        <f aca="false">IF(D3710="?OLD","!!!","")</f>
        <v>!!!</v>
      </c>
      <c r="F3710" s="25" t="str">
        <f aca="false">IF(OR(E3710="",E3710="!!!"),"",IF(NOT(ISNA(VLOOKUP(E3710,E$1:E3709,1,FALSE()))),"OLD",IF(AND(E3710&lt;&gt;"",E3710&lt;&gt;"!!!"),"NEW","")))</f>
        <v/>
      </c>
      <c r="G3710" s="26" t="str">
        <f aca="false">IF(OR(E3710="",E3710="!!!"),"",IF(OR(J3710=0,AND(J3710=1,K3710=1),AND(J3710=1,I3710="SBJ"),AND(J3710=1,I3710=0)),"?IN_FOCUS",IF(J3710&lt;=2,"?ACTIVATED",IF(J3710&lt;&gt;"","?FAMILIAR",IF(F3710="NEW",IF(ISNA(VLOOKUP(E3710,#REF!,1,FALSE())),"?TYPE_IDENTIFIABLE","?REFERENTIAL"),"_")))))</f>
        <v/>
      </c>
      <c r="H3710" s="27" t="str">
        <f aca="false">IF(J3710&lt;&gt;1,"",IF(I3710="SBJ","CB","?"))</f>
        <v/>
      </c>
      <c r="I3710" s="24" t="str">
        <f aca="false">IF(OR(E3710="",E3710="!!!",F3710="NEW"),"",INDEX(B6:B$3705,-1+SUMPRODUCT(MAX(ROW(E6:E$3705)*(E3710=E6:E$3705)))))</f>
        <v/>
      </c>
      <c r="J3710" s="24" t="str">
        <f aca="true">IF(OR(E3710="",E3710="!!!",F3710="NEW"),"",COUNTBLANK(OFFSET(A$1,,,SUMPRODUCT(MAX(ROW(E$2:E3710)*(E3710=E$2:E3710)))))-COUNTBLANK(OFFSET(A$1,,,SUMPRODUCT(MAX(ROW(E$1:E3709)*(E2=E$1:E3709))))))</f>
        <v/>
      </c>
      <c r="K3710" s="24" t="str">
        <f aca="false">IF(OR(E3710="",E3710="!!!",F3710="NEW"),"",INDEX(J$1:J3709,SUMPRODUCT(MAX(ROW(E$1:E3709)*(E3710=E$1:E3709)))))</f>
        <v/>
      </c>
      <c r="L3710" s="31"/>
    </row>
    <row r="3711" customFormat="false" ht="15" hidden="false" customHeight="false" outlineLevel="0" collapsed="false">
      <c r="A3711" s="20" t="s">
        <v>1173</v>
      </c>
      <c r="E3711" s="23" t="str">
        <f aca="false">IF(D3711="?OLD","!!!","")</f>
        <v/>
      </c>
      <c r="F3711" s="25" t="str">
        <f aca="false">IF(OR(E3711="",E3711="!!!"),"",IF(NOT(ISNA(VLOOKUP(E3711,E$1:E3710,1,FALSE()))),"OLD",IF(AND(E3711&lt;&gt;"",E3711&lt;&gt;"!!!"),"NEW","")))</f>
        <v/>
      </c>
      <c r="G3711" s="26" t="str">
        <f aca="false">IF(OR(E3711="",E3711="!!!"),"",IF(OR(J3711=0,AND(J3711=1,K3711=1),AND(J3711=1,I3711="SBJ"),AND(J3711=1,I3711=0)),"?IN_FOCUS",IF(J3711&lt;=2,"?ACTIVATED",IF(J3711&lt;&gt;"","?FAMILIAR",IF(F3711="NEW",IF(ISNA(VLOOKUP(E3711,#REF!,1,FALSE())),"?TYPE_IDENTIFIABLE","?REFERENTIAL"),"_")))))</f>
        <v/>
      </c>
      <c r="H3711" s="27" t="str">
        <f aca="false">IF(J3711&lt;&gt;1,"",IF(I3711="SBJ","CB","?"))</f>
        <v/>
      </c>
      <c r="I3711" s="24" t="str">
        <f aca="false">IF(OR(E3711="",E3711="!!!",F3711="NEW"),"",INDEX(B7:B$3705,-1+SUMPRODUCT(MAX(ROW(E7:E$3705)*(E3711=E7:E$3705)))))</f>
        <v/>
      </c>
      <c r="J3711" s="24" t="str">
        <f aca="true">IF(OR(E3711="",E3711="!!!",F3711="NEW"),"",COUNTBLANK(OFFSET(A$1,,,SUMPRODUCT(MAX(ROW(E$2:E3711)*(E3711=E$2:E3711)))))-COUNTBLANK(OFFSET(A$1,,,SUMPRODUCT(MAX(ROW(E$1:E3710)*(E2=E$1:E3710))))))</f>
        <v/>
      </c>
      <c r="K3711" s="24" t="str">
        <f aca="false">IF(OR(E3711="",E3711="!!!",F3711="NEW"),"",INDEX(J$1:J3710,SUMPRODUCT(MAX(ROW(E$1:E3710)*(E3711=E$1:E3710)))))</f>
        <v/>
      </c>
      <c r="L3711" s="31"/>
    </row>
    <row r="3712" customFormat="false" ht="15" hidden="false" customHeight="false" outlineLevel="0" collapsed="false">
      <c r="A3712" s="20" t="s">
        <v>1178</v>
      </c>
      <c r="B3712" s="22" t="s">
        <v>1105</v>
      </c>
      <c r="C3712" s="22" t="s">
        <v>1059</v>
      </c>
      <c r="D3712" s="22" t="s">
        <v>1060</v>
      </c>
      <c r="E3712" s="23" t="str">
        <f aca="false">IF(D3712="?OLD","!!!","")</f>
        <v>!!!</v>
      </c>
      <c r="F3712" s="25" t="str">
        <f aca="false">IF(OR(E3712="",E3712="!!!"),"",IF(NOT(ISNA(VLOOKUP(E3712,E$1:E3711,1,FALSE()))),"OLD",IF(AND(E3712&lt;&gt;"",E3712&lt;&gt;"!!!"),"NEW","")))</f>
        <v/>
      </c>
      <c r="G3712" s="26" t="str">
        <f aca="false">IF(OR(E3712="",E3712="!!!"),"",IF(OR(J3712=0,AND(J3712=1,K3712=1),AND(J3712=1,I3712="SBJ"),AND(J3712=1,I3712=0)),"?IN_FOCUS",IF(J3712&lt;=2,"?ACTIVATED",IF(J3712&lt;&gt;"","?FAMILIAR",IF(F3712="NEW",IF(ISNA(VLOOKUP(E3712,#REF!,1,FALSE())),"?TYPE_IDENTIFIABLE","?REFERENTIAL"),"_")))))</f>
        <v/>
      </c>
      <c r="H3712" s="27" t="str">
        <f aca="false">IF(J3712&lt;&gt;1,"",IF(I3712="SBJ","CB","?"))</f>
        <v/>
      </c>
      <c r="I3712" s="24" t="str">
        <f aca="false">IF(OR(E3712="",E3712="!!!",F3712="NEW"),"",INDEX(B8:B$3705,-1+SUMPRODUCT(MAX(ROW(E8:E$3705)*(E3712=E8:E$3705)))))</f>
        <v/>
      </c>
      <c r="J3712" s="24" t="str">
        <f aca="true">IF(OR(E3712="",E3712="!!!",F3712="NEW"),"",COUNTBLANK(OFFSET(A$1,,,SUMPRODUCT(MAX(ROW(E$2:E3712)*(E3712=E$2:E3712)))))-COUNTBLANK(OFFSET(A$1,,,SUMPRODUCT(MAX(ROW(E$1:E3711)*(E2=E$1:E3711))))))</f>
        <v/>
      </c>
      <c r="K3712" s="24" t="str">
        <f aca="false">IF(OR(E3712="",E3712="!!!",F3712="NEW"),"",INDEX(J$1:J3711,SUMPRODUCT(MAX(ROW(E$1:E3711)*(E3712=E$1:E3711)))))</f>
        <v/>
      </c>
      <c r="L3712" s="31"/>
    </row>
    <row r="3713" customFormat="false" ht="15" hidden="false" customHeight="false" outlineLevel="0" collapsed="false">
      <c r="A3713" s="20" t="s">
        <v>1064</v>
      </c>
      <c r="E3713" s="23" t="str">
        <f aca="false">IF(D3713="?OLD","!!!","")</f>
        <v/>
      </c>
      <c r="F3713" s="25" t="str">
        <f aca="false">IF(OR(E3713="",E3713="!!!"),"",IF(NOT(ISNA(VLOOKUP(E3713,E$1:E3712,1,FALSE()))),"OLD",IF(AND(E3713&lt;&gt;"",E3713&lt;&gt;"!!!"),"NEW","")))</f>
        <v/>
      </c>
      <c r="G3713" s="26" t="str">
        <f aca="false">IF(OR(E3713="",E3713="!!!"),"",IF(OR(J3713=0,AND(J3713=1,K3713=1),AND(J3713=1,I3713="SBJ"),AND(J3713=1,I3713=0)),"?IN_FOCUS",IF(J3713&lt;=2,"?ACTIVATED",IF(J3713&lt;&gt;"","?FAMILIAR",IF(F3713="NEW",IF(ISNA(VLOOKUP(E3713,#REF!,1,FALSE())),"?TYPE_IDENTIFIABLE","?REFERENTIAL"),"_")))))</f>
        <v/>
      </c>
      <c r="H3713" s="27" t="str">
        <f aca="false">IF(J3713&lt;&gt;1,"",IF(I3713="SBJ","CB","?"))</f>
        <v/>
      </c>
      <c r="I3713" s="24" t="str">
        <f aca="false">IF(OR(E3713="",E3713="!!!",F3713="NEW"),"",INDEX(B9:B$3705,-1+SUMPRODUCT(MAX(ROW(E9:E$3705)*(E3713=E9:E$3705)))))</f>
        <v/>
      </c>
      <c r="J3713" s="24" t="str">
        <f aca="true">IF(OR(E3713="",E3713="!!!",F3713="NEW"),"",COUNTBLANK(OFFSET(A$1,,,SUMPRODUCT(MAX(ROW(E$2:E3713)*(E3713=E$2:E3713)))))-COUNTBLANK(OFFSET(A$1,,,SUMPRODUCT(MAX(ROW(E$1:E3712)*(E2=E$1:E3712))))))</f>
        <v/>
      </c>
      <c r="K3713" s="24" t="str">
        <f aca="false">IF(OR(E3713="",E3713="!!!",F3713="NEW"),"",INDEX(J$1:J3712,SUMPRODUCT(MAX(ROW(E$1:E3712)*(E3713=E$1:E3712)))))</f>
        <v/>
      </c>
      <c r="L3713" s="31"/>
    </row>
    <row r="3714" customFormat="false" ht="15" hidden="false" customHeight="false" outlineLevel="0" collapsed="false">
      <c r="A3714" s="20" t="s">
        <v>1179</v>
      </c>
      <c r="B3714" s="22" t="s">
        <v>1073</v>
      </c>
      <c r="C3714" s="22" t="s">
        <v>1082</v>
      </c>
      <c r="D3714" s="22" t="s">
        <v>1060</v>
      </c>
      <c r="E3714" s="23" t="str">
        <f aca="false">IF(D3714="?OLD","!!!","")</f>
        <v>!!!</v>
      </c>
      <c r="F3714" s="25" t="str">
        <f aca="false">IF(OR(E3714="",E3714="!!!"),"",IF(NOT(ISNA(VLOOKUP(E3714,E$1:E3713,1,FALSE()))),"OLD",IF(AND(E3714&lt;&gt;"",E3714&lt;&gt;"!!!"),"NEW","")))</f>
        <v/>
      </c>
      <c r="G3714" s="26" t="str">
        <f aca="false">IF(OR(E3714="",E3714="!!!"),"",IF(OR(J3714=0,AND(J3714=1,K3714=1),AND(J3714=1,I3714="SBJ"),AND(J3714=1,I3714=0)),"?IN_FOCUS",IF(J3714&lt;=2,"?ACTIVATED",IF(J3714&lt;&gt;"","?FAMILIAR",IF(F3714="NEW",IF(ISNA(VLOOKUP(E3714,#REF!,1,FALSE())),"?TYPE_IDENTIFIABLE","?REFERENTIAL"),"_")))))</f>
        <v/>
      </c>
      <c r="H3714" s="27" t="str">
        <f aca="false">IF(J3714&lt;&gt;1,"",IF(I3714="SBJ","CB","?"))</f>
        <v/>
      </c>
      <c r="I3714" s="24" t="str">
        <f aca="false">IF(OR(E3714="",E3714="!!!",F3714="NEW"),"",INDEX(B10:B$3705,-1+SUMPRODUCT(MAX(ROW(E10:E$3705)*(E3714=E10:E$3705)))))</f>
        <v/>
      </c>
      <c r="J3714" s="24" t="str">
        <f aca="true">IF(OR(E3714="",E3714="!!!",F3714="NEW"),"",COUNTBLANK(OFFSET(A$1,,,SUMPRODUCT(MAX(ROW(E$2:E3714)*(E3714=E$2:E3714)))))-COUNTBLANK(OFFSET(A$1,,,SUMPRODUCT(MAX(ROW(E$1:E3713)*(E2=E$1:E3713))))))</f>
        <v/>
      </c>
      <c r="K3714" s="24" t="str">
        <f aca="false">IF(OR(E3714="",E3714="!!!",F3714="NEW"),"",INDEX(J$1:J3713,SUMPRODUCT(MAX(ROW(E$1:E3713)*(E3714=E$1:E3713)))))</f>
        <v/>
      </c>
      <c r="L3714" s="31"/>
    </row>
    <row r="3715" customFormat="false" ht="15" hidden="false" customHeight="false" outlineLevel="0" collapsed="false">
      <c r="A3715" s="20" t="s">
        <v>923</v>
      </c>
      <c r="E3715" s="23" t="str">
        <f aca="false">IF(D3715="?OLD","!!!","")</f>
        <v/>
      </c>
      <c r="F3715" s="25" t="str">
        <f aca="false">IF(OR(E3715="",E3715="!!!"),"",IF(NOT(ISNA(VLOOKUP(E3715,E$1:E3714,1,FALSE()))),"OLD",IF(AND(E3715&lt;&gt;"",E3715&lt;&gt;"!!!"),"NEW","")))</f>
        <v/>
      </c>
      <c r="G3715" s="26" t="str">
        <f aca="false">IF(OR(E3715="",E3715="!!!"),"",IF(OR(J3715=0,AND(J3715=1,K3715=1),AND(J3715=1,I3715="SBJ"),AND(J3715=1,I3715=0)),"?IN_FOCUS",IF(J3715&lt;=2,"?ACTIVATED",IF(J3715&lt;&gt;"","?FAMILIAR",IF(F3715="NEW",IF(ISNA(VLOOKUP(E3715,#REF!,1,FALSE())),"?TYPE_IDENTIFIABLE","?REFERENTIAL"),"_")))))</f>
        <v/>
      </c>
      <c r="H3715" s="27" t="str">
        <f aca="false">IF(J3715&lt;&gt;1,"",IF(I3715="SBJ","CB","?"))</f>
        <v/>
      </c>
      <c r="I3715" s="24" t="str">
        <f aca="false">IF(OR(E3715="",E3715="!!!",F3715="NEW"),"",INDEX(B11:B$3705,-1+SUMPRODUCT(MAX(ROW(E11:E$3705)*(E3715=E11:E$3705)))))</f>
        <v/>
      </c>
      <c r="J3715" s="24" t="str">
        <f aca="true">IF(OR(E3715="",E3715="!!!",F3715="NEW"),"",COUNTBLANK(OFFSET(A$1,,,SUMPRODUCT(MAX(ROW(E$2:E3715)*(E3715=E$2:E3715)))))-COUNTBLANK(OFFSET(A$1,,,SUMPRODUCT(MAX(ROW(E$1:E3714)*(E2=E$1:E3714))))))</f>
        <v/>
      </c>
      <c r="K3715" s="24" t="str">
        <f aca="false">IF(OR(E3715="",E3715="!!!",F3715="NEW"),"",INDEX(J$1:J3714,SUMPRODUCT(MAX(ROW(E$1:E3714)*(E3715=E$1:E3714)))))</f>
        <v/>
      </c>
      <c r="L3715" s="31"/>
    </row>
    <row r="3716" customFormat="false" ht="15" hidden="false" customHeight="false" outlineLevel="0" collapsed="false">
      <c r="A3716" s="20"/>
    </row>
    <row r="3717" customFormat="false" ht="15" hidden="false" customHeight="false" outlineLevel="0" collapsed="false">
      <c r="A3717" s="20" t="s">
        <v>2231</v>
      </c>
    </row>
    <row r="3718" customFormat="false" ht="15" hidden="false" customHeight="false" outlineLevel="0" collapsed="false">
      <c r="A3718" s="20" t="s">
        <v>1312</v>
      </c>
      <c r="E3718" s="23" t="str">
        <f aca="false">IF(D3718="?OLD","!!!","")</f>
        <v/>
      </c>
      <c r="F3718" s="25" t="str">
        <f aca="false">IF(OR(E3718="",E3718="!!!"),"",IF(NOT(ISNA(VLOOKUP(E3718,E$1:E3717,1,FALSE()))),"OLD",IF(AND(E3718&lt;&gt;"",E3718&lt;&gt;"!!!"),"NEW","")))</f>
        <v/>
      </c>
      <c r="G3718" s="26" t="str">
        <f aca="false">IF(OR(E3718="",E3718="!!!"),"",IF(OR(J3718=0,AND(J3718=1,K3718=1),AND(J3718=1,I3718="SBJ"),AND(J3718=1,I3718=0)),"?IN_FOCUS",IF(J3718&lt;=2,"?ACTIVATED",IF(J3718&lt;&gt;"","?FAMILIAR",IF(F3718="NEW",IF(ISNA(VLOOKUP(E3718,#REF!,1,FALSE())),"?TYPE_IDENTIFIABLE","?REFERENTIAL"),"_")))))</f>
        <v/>
      </c>
      <c r="H3718" s="27" t="str">
        <f aca="false">IF(J3718&lt;&gt;1,"",IF(I3718="SBJ","CB","?"))</f>
        <v/>
      </c>
      <c r="I3718" s="24" t="str">
        <f aca="false">IF(OR(E3718="",E3718="!!!",F3718="NEW"),"",INDEX(B2:B$3717,-1+SUMPRODUCT(MAX(ROW(E2:E$3717)*(E3718=E2:E$3717)))))</f>
        <v/>
      </c>
      <c r="J3718" s="24" t="str">
        <f aca="true">IF(OR(E3718="",E3718="!!!",F3718="NEW"),"",COUNTBLANK(OFFSET(A$1,,,SUMPRODUCT(MAX(ROW(E$2:E3718)*(E3718=E$2:E3718)))))-COUNTBLANK(OFFSET(A$1,,,SUMPRODUCT(MAX(ROW(E$1:E3717)*(E2=E$1:E3717))))))</f>
        <v/>
      </c>
      <c r="K3718" s="24" t="str">
        <f aca="false">IF(OR(E3718="",E3718="!!!",F3718="NEW"),"",INDEX(J$1:J3717,SUMPRODUCT(MAX(ROW(E$1:E3717)*(E3718=E$1:E3717)))))</f>
        <v/>
      </c>
      <c r="L3718" s="31"/>
    </row>
    <row r="3719" customFormat="false" ht="15" hidden="false" customHeight="false" outlineLevel="0" collapsed="false">
      <c r="A3719" s="20" t="s">
        <v>2232</v>
      </c>
      <c r="B3719" s="22" t="s">
        <v>1073</v>
      </c>
      <c r="C3719" s="22" t="s">
        <v>1099</v>
      </c>
      <c r="D3719" s="22" t="s">
        <v>1060</v>
      </c>
      <c r="E3719" s="23" t="str">
        <f aca="false">IF(D3719="?OLD","!!!","")</f>
        <v>!!!</v>
      </c>
      <c r="F3719" s="25" t="str">
        <f aca="false">IF(OR(E3719="",E3719="!!!"),"",IF(NOT(ISNA(VLOOKUP(E3719,E$1:E3718,1,FALSE()))),"OLD",IF(AND(E3719&lt;&gt;"",E3719&lt;&gt;"!!!"),"NEW","")))</f>
        <v/>
      </c>
      <c r="G3719" s="26" t="str">
        <f aca="false">IF(OR(E3719="",E3719="!!!"),"",IF(OR(J3719=0,AND(J3719=1,K3719=1),AND(J3719=1,I3719="SBJ"),AND(J3719=1,I3719=0)),"?IN_FOCUS",IF(J3719&lt;=2,"?ACTIVATED",IF(J3719&lt;&gt;"","?FAMILIAR",IF(F3719="NEW",IF(ISNA(VLOOKUP(E3719,#REF!,1,FALSE())),"?TYPE_IDENTIFIABLE","?REFERENTIAL"),"_")))))</f>
        <v/>
      </c>
      <c r="H3719" s="27" t="str">
        <f aca="false">IF(J3719&lt;&gt;1,"",IF(I3719="SBJ","CB","?"))</f>
        <v/>
      </c>
      <c r="I3719" s="24" t="str">
        <f aca="false">IF(OR(E3719="",E3719="!!!",F3719="NEW"),"",INDEX(B3:B$3717,-1+SUMPRODUCT(MAX(ROW(E3:E$3717)*(E3719=E3:E$3717)))))</f>
        <v/>
      </c>
      <c r="J3719" s="24" t="str">
        <f aca="true">IF(OR(E3719="",E3719="!!!",F3719="NEW"),"",COUNTBLANK(OFFSET(A$1,,,SUMPRODUCT(MAX(ROW(E$2:E3719)*(E3719=E$2:E3719)))))-COUNTBLANK(OFFSET(A$1,,,SUMPRODUCT(MAX(ROW(E$1:E3718)*(E2=E$1:E3718))))))</f>
        <v/>
      </c>
      <c r="K3719" s="24" t="str">
        <f aca="false">IF(OR(E3719="",E3719="!!!",F3719="NEW"),"",INDEX(J$1:J3718,SUMPRODUCT(MAX(ROW(E$1:E3718)*(E3719=E$1:E3718)))))</f>
        <v/>
      </c>
      <c r="L3719" s="31"/>
    </row>
    <row r="3720" customFormat="false" ht="15" hidden="false" customHeight="false" outlineLevel="0" collapsed="false">
      <c r="A3720" s="20" t="s">
        <v>2233</v>
      </c>
      <c r="E3720" s="23" t="str">
        <f aca="false">IF(D3720="?OLD","!!!","")</f>
        <v/>
      </c>
      <c r="F3720" s="25" t="str">
        <f aca="false">IF(OR(E3720="",E3720="!!!"),"",IF(NOT(ISNA(VLOOKUP(E3720,E$1:E3719,1,FALSE()))),"OLD",IF(AND(E3720&lt;&gt;"",E3720&lt;&gt;"!!!"),"NEW","")))</f>
        <v/>
      </c>
      <c r="G3720" s="26" t="str">
        <f aca="false">IF(OR(E3720="",E3720="!!!"),"",IF(OR(J3720=0,AND(J3720=1,K3720=1),AND(J3720=1,I3720="SBJ"),AND(J3720=1,I3720=0)),"?IN_FOCUS",IF(J3720&lt;=2,"?ACTIVATED",IF(J3720&lt;&gt;"","?FAMILIAR",IF(F3720="NEW",IF(ISNA(VLOOKUP(E3720,#REF!,1,FALSE())),"?TYPE_IDENTIFIABLE","?REFERENTIAL"),"_")))))</f>
        <v/>
      </c>
      <c r="H3720" s="27" t="str">
        <f aca="false">IF(J3720&lt;&gt;1,"",IF(I3720="SBJ","CB","?"))</f>
        <v/>
      </c>
      <c r="I3720" s="24" t="str">
        <f aca="false">IF(OR(E3720="",E3720="!!!",F3720="NEW"),"",INDEX(B4:B$3717,-1+SUMPRODUCT(MAX(ROW(E4:E$3717)*(E3720=E4:E$3717)))))</f>
        <v/>
      </c>
      <c r="J3720" s="24" t="str">
        <f aca="true">IF(OR(E3720="",E3720="!!!",F3720="NEW"),"",COUNTBLANK(OFFSET(A$1,,,SUMPRODUCT(MAX(ROW(E$2:E3720)*(E3720=E$2:E3720)))))-COUNTBLANK(OFFSET(A$1,,,SUMPRODUCT(MAX(ROW(E$1:E3719)*(E2=E$1:E3719))))))</f>
        <v/>
      </c>
      <c r="K3720" s="24" t="str">
        <f aca="false">IF(OR(E3720="",E3720="!!!",F3720="NEW"),"",INDEX(J$1:J3719,SUMPRODUCT(MAX(ROW(E$1:E3719)*(E3720=E$1:E3719)))))</f>
        <v/>
      </c>
      <c r="L3720" s="31"/>
    </row>
    <row r="3721" customFormat="false" ht="15" hidden="false" customHeight="false" outlineLevel="0" collapsed="false">
      <c r="A3721" s="20" t="s">
        <v>1967</v>
      </c>
      <c r="B3721" s="22" t="s">
        <v>1058</v>
      </c>
      <c r="C3721" s="22" t="s">
        <v>1059</v>
      </c>
      <c r="D3721" s="22" t="s">
        <v>1060</v>
      </c>
      <c r="E3721" s="23" t="str">
        <f aca="false">IF(D3721="?OLD","!!!","")</f>
        <v>!!!</v>
      </c>
      <c r="F3721" s="25" t="str">
        <f aca="false">IF(OR(E3721="",E3721="!!!"),"",IF(NOT(ISNA(VLOOKUP(E3721,E$1:E3720,1,FALSE()))),"OLD",IF(AND(E3721&lt;&gt;"",E3721&lt;&gt;"!!!"),"NEW","")))</f>
        <v/>
      </c>
      <c r="G3721" s="26" t="str">
        <f aca="false">IF(OR(E3721="",E3721="!!!"),"",IF(OR(J3721=0,AND(J3721=1,K3721=1),AND(J3721=1,I3721="SBJ"),AND(J3721=1,I3721=0)),"?IN_FOCUS",IF(J3721&lt;=2,"?ACTIVATED",IF(J3721&lt;&gt;"","?FAMILIAR",IF(F3721="NEW",IF(ISNA(VLOOKUP(E3721,#REF!,1,FALSE())),"?TYPE_IDENTIFIABLE","?REFERENTIAL"),"_")))))</f>
        <v/>
      </c>
      <c r="H3721" s="27" t="str">
        <f aca="false">IF(J3721&lt;&gt;1,"",IF(I3721="SBJ","CB","?"))</f>
        <v/>
      </c>
      <c r="I3721" s="24" t="str">
        <f aca="false">IF(OR(E3721="",E3721="!!!",F3721="NEW"),"",INDEX(B5:B$3717,-1+SUMPRODUCT(MAX(ROW(E5:E$3717)*(E3721=E5:E$3717)))))</f>
        <v/>
      </c>
      <c r="J3721" s="24" t="str">
        <f aca="true">IF(OR(E3721="",E3721="!!!",F3721="NEW"),"",COUNTBLANK(OFFSET(A$1,,,SUMPRODUCT(MAX(ROW(E$2:E3721)*(E3721=E$2:E3721)))))-COUNTBLANK(OFFSET(A$1,,,SUMPRODUCT(MAX(ROW(E$1:E3720)*(E2=E$1:E3720))))))</f>
        <v/>
      </c>
      <c r="K3721" s="24" t="str">
        <f aca="false">IF(OR(E3721="",E3721="!!!",F3721="NEW"),"",INDEX(J$1:J3720,SUMPRODUCT(MAX(ROW(E$1:E3720)*(E3721=E$1:E3720)))))</f>
        <v/>
      </c>
      <c r="L3721" s="31"/>
    </row>
    <row r="3722" customFormat="false" ht="15" hidden="false" customHeight="false" outlineLevel="0" collapsed="false">
      <c r="A3722" s="20" t="s">
        <v>1744</v>
      </c>
      <c r="E3722" s="23" t="str">
        <f aca="false">IF(D3722="?OLD","!!!","")</f>
        <v/>
      </c>
      <c r="F3722" s="25" t="str">
        <f aca="false">IF(OR(E3722="",E3722="!!!"),"",IF(NOT(ISNA(VLOOKUP(E3722,E$1:E3721,1,FALSE()))),"OLD",IF(AND(E3722&lt;&gt;"",E3722&lt;&gt;"!!!"),"NEW","")))</f>
        <v/>
      </c>
      <c r="G3722" s="26" t="str">
        <f aca="false">IF(OR(E3722="",E3722="!!!"),"",IF(OR(J3722=0,AND(J3722=1,K3722=1),AND(J3722=1,I3722="SBJ"),AND(J3722=1,I3722=0)),"?IN_FOCUS",IF(J3722&lt;=2,"?ACTIVATED",IF(J3722&lt;&gt;"","?FAMILIAR",IF(F3722="NEW",IF(ISNA(VLOOKUP(E3722,#REF!,1,FALSE())),"?TYPE_IDENTIFIABLE","?REFERENTIAL"),"_")))))</f>
        <v/>
      </c>
      <c r="H3722" s="27" t="str">
        <f aca="false">IF(J3722&lt;&gt;1,"",IF(I3722="SBJ","CB","?"))</f>
        <v/>
      </c>
      <c r="I3722" s="24" t="str">
        <f aca="false">IF(OR(E3722="",E3722="!!!",F3722="NEW"),"",INDEX(B6:B$3717,-1+SUMPRODUCT(MAX(ROW(E6:E$3717)*(E3722=E6:E$3717)))))</f>
        <v/>
      </c>
      <c r="J3722" s="24" t="str">
        <f aca="true">IF(OR(E3722="",E3722="!!!",F3722="NEW"),"",COUNTBLANK(OFFSET(A$1,,,SUMPRODUCT(MAX(ROW(E$2:E3722)*(E3722=E$2:E3722)))))-COUNTBLANK(OFFSET(A$1,,,SUMPRODUCT(MAX(ROW(E$1:E3721)*(E2=E$1:E3721))))))</f>
        <v/>
      </c>
      <c r="K3722" s="24" t="str">
        <f aca="false">IF(OR(E3722="",E3722="!!!",F3722="NEW"),"",INDEX(J$1:J3721,SUMPRODUCT(MAX(ROW(E$1:E3721)*(E3722=E$1:E3721)))))</f>
        <v/>
      </c>
      <c r="L3722" s="31"/>
    </row>
    <row r="3723" customFormat="false" ht="15" hidden="false" customHeight="false" outlineLevel="0" collapsed="false">
      <c r="A3723" s="20" t="s">
        <v>1218</v>
      </c>
      <c r="E3723" s="23" t="str">
        <f aca="false">IF(D3723="?OLD","!!!","")</f>
        <v/>
      </c>
      <c r="F3723" s="25" t="str">
        <f aca="false">IF(OR(E3723="",E3723="!!!"),"",IF(NOT(ISNA(VLOOKUP(E3723,E$1:E3722,1,FALSE()))),"OLD",IF(AND(E3723&lt;&gt;"",E3723&lt;&gt;"!!!"),"NEW","")))</f>
        <v/>
      </c>
      <c r="G3723" s="26" t="str">
        <f aca="false">IF(OR(E3723="",E3723="!!!"),"",IF(OR(J3723=0,AND(J3723=1,K3723=1),AND(J3723=1,I3723="SBJ"),AND(J3723=1,I3723=0)),"?IN_FOCUS",IF(J3723&lt;=2,"?ACTIVATED",IF(J3723&lt;&gt;"","?FAMILIAR",IF(F3723="NEW",IF(ISNA(VLOOKUP(E3723,#REF!,1,FALSE())),"?TYPE_IDENTIFIABLE","?REFERENTIAL"),"_")))))</f>
        <v/>
      </c>
      <c r="H3723" s="27" t="str">
        <f aca="false">IF(J3723&lt;&gt;1,"",IF(I3723="SBJ","CB","?"))</f>
        <v/>
      </c>
      <c r="I3723" s="24" t="str">
        <f aca="false">IF(OR(E3723="",E3723="!!!",F3723="NEW"),"",INDEX(B7:B$3717,-1+SUMPRODUCT(MAX(ROW(E7:E$3717)*(E3723=E7:E$3717)))))</f>
        <v/>
      </c>
      <c r="J3723" s="24" t="str">
        <f aca="true">IF(OR(E3723="",E3723="!!!",F3723="NEW"),"",COUNTBLANK(OFFSET(A$1,,,SUMPRODUCT(MAX(ROW(E$2:E3723)*(E3723=E$2:E3723)))))-COUNTBLANK(OFFSET(A$1,,,SUMPRODUCT(MAX(ROW(E$1:E3722)*(E2=E$1:E3722))))))</f>
        <v/>
      </c>
      <c r="K3723" s="24" t="str">
        <f aca="false">IF(OR(E3723="",E3723="!!!",F3723="NEW"),"",INDEX(J$1:J3722,SUMPRODUCT(MAX(ROW(E$1:E3722)*(E3723=E$1:E3722)))))</f>
        <v/>
      </c>
      <c r="L3723" s="31"/>
    </row>
    <row r="3724" customFormat="false" ht="15" hidden="false" customHeight="false" outlineLevel="0" collapsed="false">
      <c r="A3724" s="20" t="s">
        <v>2232</v>
      </c>
      <c r="B3724" s="22" t="s">
        <v>1073</v>
      </c>
      <c r="C3724" s="22" t="s">
        <v>1099</v>
      </c>
      <c r="D3724" s="22" t="s">
        <v>1060</v>
      </c>
      <c r="E3724" s="23" t="str">
        <f aca="false">IF(D3724="?OLD","!!!","")</f>
        <v>!!!</v>
      </c>
      <c r="F3724" s="25" t="str">
        <f aca="false">IF(OR(E3724="",E3724="!!!"),"",IF(NOT(ISNA(VLOOKUP(E3724,E$1:E3723,1,FALSE()))),"OLD",IF(AND(E3724&lt;&gt;"",E3724&lt;&gt;"!!!"),"NEW","")))</f>
        <v/>
      </c>
      <c r="G3724" s="26" t="str">
        <f aca="false">IF(OR(E3724="",E3724="!!!"),"",IF(OR(J3724=0,AND(J3724=1,K3724=1),AND(J3724=1,I3724="SBJ"),AND(J3724=1,I3724=0)),"?IN_FOCUS",IF(J3724&lt;=2,"?ACTIVATED",IF(J3724&lt;&gt;"","?FAMILIAR",IF(F3724="NEW",IF(ISNA(VLOOKUP(E3724,#REF!,1,FALSE())),"?TYPE_IDENTIFIABLE","?REFERENTIAL"),"_")))))</f>
        <v/>
      </c>
      <c r="H3724" s="27" t="str">
        <f aca="false">IF(J3724&lt;&gt;1,"",IF(I3724="SBJ","CB","?"))</f>
        <v/>
      </c>
      <c r="I3724" s="24" t="str">
        <f aca="false">IF(OR(E3724="",E3724="!!!",F3724="NEW"),"",INDEX(B8:B$3717,-1+SUMPRODUCT(MAX(ROW(E8:E$3717)*(E3724=E8:E$3717)))))</f>
        <v/>
      </c>
      <c r="J3724" s="24" t="str">
        <f aca="true">IF(OR(E3724="",E3724="!!!",F3724="NEW"),"",COUNTBLANK(OFFSET(A$1,,,SUMPRODUCT(MAX(ROW(E$2:E3724)*(E3724=E$2:E3724)))))-COUNTBLANK(OFFSET(A$1,,,SUMPRODUCT(MAX(ROW(E$1:E3723)*(E2=E$1:E3723))))))</f>
        <v/>
      </c>
      <c r="K3724" s="24" t="str">
        <f aca="false">IF(OR(E3724="",E3724="!!!",F3724="NEW"),"",INDEX(J$1:J3723,SUMPRODUCT(MAX(ROW(E$1:E3723)*(E3724=E$1:E3723)))))</f>
        <v/>
      </c>
      <c r="L3724" s="31"/>
    </row>
    <row r="3725" customFormat="false" ht="15" hidden="false" customHeight="false" outlineLevel="0" collapsed="false">
      <c r="A3725" s="20" t="s">
        <v>2234</v>
      </c>
      <c r="B3725" s="22" t="s">
        <v>1105</v>
      </c>
      <c r="C3725" s="22" t="s">
        <v>1059</v>
      </c>
      <c r="D3725" s="22" t="s">
        <v>1060</v>
      </c>
      <c r="E3725" s="23" t="str">
        <f aca="false">IF(D3725="?OLD","!!!","")</f>
        <v>!!!</v>
      </c>
      <c r="F3725" s="25" t="str">
        <f aca="false">IF(OR(E3725="",E3725="!!!"),"",IF(NOT(ISNA(VLOOKUP(E3725,E$1:E3724,1,FALSE()))),"OLD",IF(AND(E3725&lt;&gt;"",E3725&lt;&gt;"!!!"),"NEW","")))</f>
        <v/>
      </c>
      <c r="G3725" s="26" t="str">
        <f aca="false">IF(OR(E3725="",E3725="!!!"),"",IF(OR(J3725=0,AND(J3725=1,K3725=1),AND(J3725=1,I3725="SBJ"),AND(J3725=1,I3725=0)),"?IN_FOCUS",IF(J3725&lt;=2,"?ACTIVATED",IF(J3725&lt;&gt;"","?FAMILIAR",IF(F3725="NEW",IF(ISNA(VLOOKUP(E3725,#REF!,1,FALSE())),"?TYPE_IDENTIFIABLE","?REFERENTIAL"),"_")))))</f>
        <v/>
      </c>
      <c r="H3725" s="27" t="str">
        <f aca="false">IF(J3725&lt;&gt;1,"",IF(I3725="SBJ","CB","?"))</f>
        <v/>
      </c>
      <c r="I3725" s="24" t="str">
        <f aca="false">IF(OR(E3725="",E3725="!!!",F3725="NEW"),"",INDEX(B9:B$3717,-1+SUMPRODUCT(MAX(ROW(E9:E$3717)*(E3725=E9:E$3717)))))</f>
        <v/>
      </c>
      <c r="J3725" s="24" t="str">
        <f aca="true">IF(OR(E3725="",E3725="!!!",F3725="NEW"),"",COUNTBLANK(OFFSET(A$1,,,SUMPRODUCT(MAX(ROW(E$2:E3725)*(E3725=E$2:E3725)))))-COUNTBLANK(OFFSET(A$1,,,SUMPRODUCT(MAX(ROW(E$1:E3724)*(E2=E$1:E3724))))))</f>
        <v/>
      </c>
      <c r="K3725" s="24" t="str">
        <f aca="false">IF(OR(E3725="",E3725="!!!",F3725="NEW"),"",INDEX(J$1:J3724,SUMPRODUCT(MAX(ROW(E$1:E3724)*(E3725=E$1:E3724)))))</f>
        <v/>
      </c>
      <c r="L3725" s="31"/>
    </row>
    <row r="3726" customFormat="false" ht="15" hidden="false" customHeight="false" outlineLevel="0" collapsed="false">
      <c r="A3726" s="20" t="s">
        <v>1162</v>
      </c>
      <c r="B3726" s="22" t="s">
        <v>1086</v>
      </c>
      <c r="C3726" s="22" t="s">
        <v>1082</v>
      </c>
      <c r="D3726" s="22" t="s">
        <v>1060</v>
      </c>
      <c r="E3726" s="23" t="str">
        <f aca="false">IF(D3726="?OLD","!!!","")</f>
        <v>!!!</v>
      </c>
      <c r="F3726" s="25" t="str">
        <f aca="false">IF(OR(E3726="",E3726="!!!"),"",IF(NOT(ISNA(VLOOKUP(E3726,E$1:E3725,1,FALSE()))),"OLD",IF(AND(E3726&lt;&gt;"",E3726&lt;&gt;"!!!"),"NEW","")))</f>
        <v/>
      </c>
      <c r="G3726" s="26" t="str">
        <f aca="false">IF(OR(E3726="",E3726="!!!"),"",IF(OR(J3726=0,AND(J3726=1,K3726=1),AND(J3726=1,I3726="SBJ"),AND(J3726=1,I3726=0)),"?IN_FOCUS",IF(J3726&lt;=2,"?ACTIVATED",IF(J3726&lt;&gt;"","?FAMILIAR",IF(F3726="NEW",IF(ISNA(VLOOKUP(E3726,#REF!,1,FALSE())),"?TYPE_IDENTIFIABLE","?REFERENTIAL"),"_")))))</f>
        <v/>
      </c>
      <c r="H3726" s="27" t="str">
        <f aca="false">IF(J3726&lt;&gt;1,"",IF(I3726="SBJ","CB","?"))</f>
        <v/>
      </c>
      <c r="I3726" s="24" t="str">
        <f aca="false">IF(OR(E3726="",E3726="!!!",F3726="NEW"),"",INDEX(B10:B$3717,-1+SUMPRODUCT(MAX(ROW(E10:E$3717)*(E3726=E10:E$3717)))))</f>
        <v/>
      </c>
      <c r="J3726" s="24" t="str">
        <f aca="true">IF(OR(E3726="",E3726="!!!",F3726="NEW"),"",COUNTBLANK(OFFSET(A$1,,,SUMPRODUCT(MAX(ROW(E$2:E3726)*(E3726=E$2:E3726)))))-COUNTBLANK(OFFSET(A$1,,,SUMPRODUCT(MAX(ROW(E$1:E3725)*(E2=E$1:E3725))))))</f>
        <v/>
      </c>
      <c r="K3726" s="24" t="str">
        <f aca="false">IF(OR(E3726="",E3726="!!!",F3726="NEW"),"",INDEX(J$1:J3725,SUMPRODUCT(MAX(ROW(E$1:E3725)*(E3726=E$1:E3725)))))</f>
        <v/>
      </c>
      <c r="L3726" s="31"/>
    </row>
    <row r="3727" customFormat="false" ht="15" hidden="false" customHeight="false" outlineLevel="0" collapsed="false">
      <c r="A3727" s="20" t="s">
        <v>1544</v>
      </c>
      <c r="E3727" s="23" t="str">
        <f aca="false">IF(D3727="?OLD","!!!","")</f>
        <v/>
      </c>
      <c r="F3727" s="25" t="str">
        <f aca="false">IF(OR(E3727="",E3727="!!!"),"",IF(NOT(ISNA(VLOOKUP(E3727,E$1:E3726,1,FALSE()))),"OLD",IF(AND(E3727&lt;&gt;"",E3727&lt;&gt;"!!!"),"NEW","")))</f>
        <v/>
      </c>
      <c r="G3727" s="26" t="str">
        <f aca="false">IF(OR(E3727="",E3727="!!!"),"",IF(OR(J3727=0,AND(J3727=1,K3727=1),AND(J3727=1,I3727="SBJ"),AND(J3727=1,I3727=0)),"?IN_FOCUS",IF(J3727&lt;=2,"?ACTIVATED",IF(J3727&lt;&gt;"","?FAMILIAR",IF(F3727="NEW",IF(ISNA(VLOOKUP(E3727,#REF!,1,FALSE())),"?TYPE_IDENTIFIABLE","?REFERENTIAL"),"_")))))</f>
        <v/>
      </c>
      <c r="H3727" s="27" t="str">
        <f aca="false">IF(J3727&lt;&gt;1,"",IF(I3727="SBJ","CB","?"))</f>
        <v/>
      </c>
      <c r="I3727" s="24" t="str">
        <f aca="false">IF(OR(E3727="",E3727="!!!",F3727="NEW"),"",INDEX(B11:B$3717,-1+SUMPRODUCT(MAX(ROW(E11:E$3717)*(E3727=E11:E$3717)))))</f>
        <v/>
      </c>
      <c r="J3727" s="24" t="str">
        <f aca="true">IF(OR(E3727="",E3727="!!!",F3727="NEW"),"",COUNTBLANK(OFFSET(A$1,,,SUMPRODUCT(MAX(ROW(E$2:E3727)*(E3727=E$2:E3727)))))-COUNTBLANK(OFFSET(A$1,,,SUMPRODUCT(MAX(ROW(E$1:E3726)*(E2=E$1:E3726))))))</f>
        <v/>
      </c>
      <c r="K3727" s="24" t="str">
        <f aca="false">IF(OR(E3727="",E3727="!!!",F3727="NEW"),"",INDEX(J$1:J3726,SUMPRODUCT(MAX(ROW(E$1:E3726)*(E3727=E$1:E3726)))))</f>
        <v/>
      </c>
      <c r="L3727" s="31"/>
    </row>
    <row r="3728" customFormat="false" ht="15" hidden="false" customHeight="false" outlineLevel="0" collapsed="false">
      <c r="A3728" s="20" t="s">
        <v>1109</v>
      </c>
      <c r="E3728" s="23" t="str">
        <f aca="false">IF(D3728="?OLD","!!!","")</f>
        <v/>
      </c>
      <c r="F3728" s="25" t="str">
        <f aca="false">IF(OR(E3728="",E3728="!!!"),"",IF(NOT(ISNA(VLOOKUP(E3728,E$1:E3727,1,FALSE()))),"OLD",IF(AND(E3728&lt;&gt;"",E3728&lt;&gt;"!!!"),"NEW","")))</f>
        <v/>
      </c>
      <c r="G3728" s="26" t="str">
        <f aca="false">IF(OR(E3728="",E3728="!!!"),"",IF(OR(J3728=0,AND(J3728=1,K3728=1),AND(J3728=1,I3728="SBJ"),AND(J3728=1,I3728=0)),"?IN_FOCUS",IF(J3728&lt;=2,"?ACTIVATED",IF(J3728&lt;&gt;"","?FAMILIAR",IF(F3728="NEW",IF(ISNA(VLOOKUP(E3728,#REF!,1,FALSE())),"?TYPE_IDENTIFIABLE","?REFERENTIAL"),"_")))))</f>
        <v/>
      </c>
      <c r="H3728" s="27" t="str">
        <f aca="false">IF(J3728&lt;&gt;1,"",IF(I3728="SBJ","CB","?"))</f>
        <v/>
      </c>
      <c r="I3728" s="24" t="str">
        <f aca="false">IF(OR(E3728="",E3728="!!!",F3728="NEW"),"",INDEX(B12:B$3717,-1+SUMPRODUCT(MAX(ROW(E12:E$3717)*(E3728=E12:E$3717)))))</f>
        <v/>
      </c>
      <c r="J3728" s="24" t="str">
        <f aca="true">IF(OR(E3728="",E3728="!!!",F3728="NEW"),"",COUNTBLANK(OFFSET(A$1,,,SUMPRODUCT(MAX(ROW(E$2:E3728)*(E3728=E$2:E3728)))))-COUNTBLANK(OFFSET(A$1,,,SUMPRODUCT(MAX(ROW(E$1:E3727)*(E2=E$1:E3727))))))</f>
        <v/>
      </c>
      <c r="K3728" s="24" t="str">
        <f aca="false">IF(OR(E3728="",E3728="!!!",F3728="NEW"),"",INDEX(J$1:J3727,SUMPRODUCT(MAX(ROW(E$1:E3727)*(E3728=E$1:E3727)))))</f>
        <v/>
      </c>
      <c r="L3728" s="31"/>
    </row>
    <row r="3729" customFormat="false" ht="15" hidden="false" customHeight="false" outlineLevel="0" collapsed="false">
      <c r="A3729" s="20" t="s">
        <v>1644</v>
      </c>
      <c r="E3729" s="23" t="str">
        <f aca="false">IF(D3729="?OLD","!!!","")</f>
        <v/>
      </c>
      <c r="F3729" s="25" t="str">
        <f aca="false">IF(OR(E3729="",E3729="!!!"),"",IF(NOT(ISNA(VLOOKUP(E3729,E$1:E3728,1,FALSE()))),"OLD",IF(AND(E3729&lt;&gt;"",E3729&lt;&gt;"!!!"),"NEW","")))</f>
        <v/>
      </c>
      <c r="G3729" s="26" t="str">
        <f aca="false">IF(OR(E3729="",E3729="!!!"),"",IF(OR(J3729=0,AND(J3729=1,K3729=1),AND(J3729=1,I3729="SBJ"),AND(J3729=1,I3729=0)),"?IN_FOCUS",IF(J3729&lt;=2,"?ACTIVATED",IF(J3729&lt;&gt;"","?FAMILIAR",IF(F3729="NEW",IF(ISNA(VLOOKUP(E3729,#REF!,1,FALSE())),"?TYPE_IDENTIFIABLE","?REFERENTIAL"),"_")))))</f>
        <v/>
      </c>
      <c r="H3729" s="27" t="str">
        <f aca="false">IF(J3729&lt;&gt;1,"",IF(I3729="SBJ","CB","?"))</f>
        <v/>
      </c>
      <c r="I3729" s="24" t="str">
        <f aca="false">IF(OR(E3729="",E3729="!!!",F3729="NEW"),"",INDEX(B13:B$3717,-1+SUMPRODUCT(MAX(ROW(E13:E$3717)*(E3729=E13:E$3717)))))</f>
        <v/>
      </c>
      <c r="J3729" s="24" t="str">
        <f aca="true">IF(OR(E3729="",E3729="!!!",F3729="NEW"),"",COUNTBLANK(OFFSET(A$1,,,SUMPRODUCT(MAX(ROW(E$2:E3729)*(E3729=E$2:E3729)))))-COUNTBLANK(OFFSET(A$1,,,SUMPRODUCT(MAX(ROW(E$1:E3728)*(E2=E$1:E3728))))))</f>
        <v/>
      </c>
      <c r="K3729" s="24" t="str">
        <f aca="false">IF(OR(E3729="",E3729="!!!",F3729="NEW"),"",INDEX(J$1:J3728,SUMPRODUCT(MAX(ROW(E$1:E3728)*(E3729=E$1:E3728)))))</f>
        <v/>
      </c>
      <c r="L3729" s="31"/>
    </row>
    <row r="3730" customFormat="false" ht="15" hidden="false" customHeight="false" outlineLevel="0" collapsed="false">
      <c r="A3730" s="20" t="s">
        <v>2235</v>
      </c>
      <c r="E3730" s="23" t="str">
        <f aca="false">IF(D3730="?OLD","!!!","")</f>
        <v/>
      </c>
      <c r="F3730" s="25" t="str">
        <f aca="false">IF(OR(E3730="",E3730="!!!"),"",IF(NOT(ISNA(VLOOKUP(E3730,E$1:E3729,1,FALSE()))),"OLD",IF(AND(E3730&lt;&gt;"",E3730&lt;&gt;"!!!"),"NEW","")))</f>
        <v/>
      </c>
      <c r="G3730" s="26" t="str">
        <f aca="false">IF(OR(E3730="",E3730="!!!"),"",IF(OR(J3730=0,AND(J3730=1,K3730=1),AND(J3730=1,I3730="SBJ"),AND(J3730=1,I3730=0)),"?IN_FOCUS",IF(J3730&lt;=2,"?ACTIVATED",IF(J3730&lt;&gt;"","?FAMILIAR",IF(F3730="NEW",IF(ISNA(VLOOKUP(E3730,#REF!,1,FALSE())),"?TYPE_IDENTIFIABLE","?REFERENTIAL"),"_")))))</f>
        <v/>
      </c>
      <c r="H3730" s="27" t="str">
        <f aca="false">IF(J3730&lt;&gt;1,"",IF(I3730="SBJ","CB","?"))</f>
        <v/>
      </c>
      <c r="I3730" s="24" t="str">
        <f aca="false">IF(OR(E3730="",E3730="!!!",F3730="NEW"),"",INDEX(B14:B$3717,-1+SUMPRODUCT(MAX(ROW(E14:E$3717)*(E3730=E14:E$3717)))))</f>
        <v/>
      </c>
      <c r="J3730" s="24" t="str">
        <f aca="true">IF(OR(E3730="",E3730="!!!",F3730="NEW"),"",COUNTBLANK(OFFSET(A$1,,,SUMPRODUCT(MAX(ROW(E$2:E3730)*(E3730=E$2:E3730)))))-COUNTBLANK(OFFSET(A$1,,,SUMPRODUCT(MAX(ROW(E$1:E3729)*(E2=E$1:E3729))))))</f>
        <v/>
      </c>
      <c r="K3730" s="24" t="str">
        <f aca="false">IF(OR(E3730="",E3730="!!!",F3730="NEW"),"",INDEX(J$1:J3729,SUMPRODUCT(MAX(ROW(E$1:E3729)*(E3730=E$1:E3729)))))</f>
        <v/>
      </c>
      <c r="L3730" s="31"/>
    </row>
    <row r="3731" customFormat="false" ht="15" hidden="false" customHeight="false" outlineLevel="0" collapsed="false">
      <c r="A3731" s="20" t="s">
        <v>2236</v>
      </c>
      <c r="B3731" s="22" t="s">
        <v>1142</v>
      </c>
      <c r="C3731" s="22" t="s">
        <v>1150</v>
      </c>
      <c r="D3731" s="22" t="s">
        <v>1060</v>
      </c>
      <c r="E3731" s="23" t="str">
        <f aca="false">IF(D3731="?OLD","!!!","")</f>
        <v>!!!</v>
      </c>
      <c r="F3731" s="25" t="str">
        <f aca="false">IF(OR(E3731="",E3731="!!!"),"",IF(NOT(ISNA(VLOOKUP(E3731,E$1:E3730,1,FALSE()))),"OLD",IF(AND(E3731&lt;&gt;"",E3731&lt;&gt;"!!!"),"NEW","")))</f>
        <v/>
      </c>
      <c r="G3731" s="26" t="str">
        <f aca="false">IF(OR(E3731="",E3731="!!!"),"",IF(OR(J3731=0,AND(J3731=1,K3731=1),AND(J3731=1,I3731="SBJ"),AND(J3731=1,I3731=0)),"?IN_FOCUS",IF(J3731&lt;=2,"?ACTIVATED",IF(J3731&lt;&gt;"","?FAMILIAR",IF(F3731="NEW",IF(ISNA(VLOOKUP(E3731,#REF!,1,FALSE())),"?TYPE_IDENTIFIABLE","?REFERENTIAL"),"_")))))</f>
        <v/>
      </c>
      <c r="H3731" s="27" t="str">
        <f aca="false">IF(J3731&lt;&gt;1,"",IF(I3731="SBJ","CB","?"))</f>
        <v/>
      </c>
      <c r="I3731" s="24" t="str">
        <f aca="false">IF(OR(E3731="",E3731="!!!",F3731="NEW"),"",INDEX(B15:B$3717,-1+SUMPRODUCT(MAX(ROW(E15:E$3717)*(E3731=E15:E$3717)))))</f>
        <v/>
      </c>
      <c r="J3731" s="24" t="str">
        <f aca="true">IF(OR(E3731="",E3731="!!!",F3731="NEW"),"",COUNTBLANK(OFFSET(A$1,,,SUMPRODUCT(MAX(ROW(E$2:E3731)*(E3731=E$2:E3731)))))-COUNTBLANK(OFFSET(A$1,,,SUMPRODUCT(MAX(ROW(E$1:E3730)*(E2=E$1:E3730))))))</f>
        <v/>
      </c>
      <c r="K3731" s="24" t="str">
        <f aca="false">IF(OR(E3731="",E3731="!!!",F3731="NEW"),"",INDEX(J$1:J3730,SUMPRODUCT(MAX(ROW(E$1:E3730)*(E3731=E$1:E3730)))))</f>
        <v/>
      </c>
      <c r="L3731" s="31"/>
    </row>
    <row r="3732" customFormat="false" ht="15" hidden="false" customHeight="false" outlineLevel="0" collapsed="false">
      <c r="A3732" s="20" t="s">
        <v>1064</v>
      </c>
      <c r="E3732" s="23" t="str">
        <f aca="false">IF(D3732="?OLD","!!!","")</f>
        <v/>
      </c>
      <c r="F3732" s="25" t="str">
        <f aca="false">IF(OR(E3732="",E3732="!!!"),"",IF(NOT(ISNA(VLOOKUP(E3732,E$1:E3731,1,FALSE()))),"OLD",IF(AND(E3732&lt;&gt;"",E3732&lt;&gt;"!!!"),"NEW","")))</f>
        <v/>
      </c>
      <c r="G3732" s="26" t="str">
        <f aca="false">IF(OR(E3732="",E3732="!!!"),"",IF(OR(J3732=0,AND(J3732=1,K3732=1),AND(J3732=1,I3732="SBJ"),AND(J3732=1,I3732=0)),"?IN_FOCUS",IF(J3732&lt;=2,"?ACTIVATED",IF(J3732&lt;&gt;"","?FAMILIAR",IF(F3732="NEW",IF(ISNA(VLOOKUP(E3732,#REF!,1,FALSE())),"?TYPE_IDENTIFIABLE","?REFERENTIAL"),"_")))))</f>
        <v/>
      </c>
      <c r="H3732" s="27" t="str">
        <f aca="false">IF(J3732&lt;&gt;1,"",IF(I3732="SBJ","CB","?"))</f>
        <v/>
      </c>
      <c r="I3732" s="24" t="str">
        <f aca="false">IF(OR(E3732="",E3732="!!!",F3732="NEW"),"",INDEX(B16:B$3717,-1+SUMPRODUCT(MAX(ROW(E16:E$3717)*(E3732=E16:E$3717)))))</f>
        <v/>
      </c>
      <c r="J3732" s="24" t="str">
        <f aca="true">IF(OR(E3732="",E3732="!!!",F3732="NEW"),"",COUNTBLANK(OFFSET(A$1,,,SUMPRODUCT(MAX(ROW(E$2:E3732)*(E3732=E$2:E3732)))))-COUNTBLANK(OFFSET(A$1,,,SUMPRODUCT(MAX(ROW(E$1:E3731)*(E2=E$1:E3731))))))</f>
        <v/>
      </c>
      <c r="K3732" s="24" t="str">
        <f aca="false">IF(OR(E3732="",E3732="!!!",F3732="NEW"),"",INDEX(J$1:J3731,SUMPRODUCT(MAX(ROW(E$1:E3731)*(E3732=E$1:E3731)))))</f>
        <v/>
      </c>
      <c r="L3732" s="31"/>
    </row>
    <row r="3733" customFormat="false" ht="15" hidden="false" customHeight="false" outlineLevel="0" collapsed="false">
      <c r="A3733" s="20" t="s">
        <v>1085</v>
      </c>
      <c r="E3733" s="23" t="str">
        <f aca="false">IF(D3733="?OLD","!!!","")</f>
        <v/>
      </c>
      <c r="F3733" s="25" t="str">
        <f aca="false">IF(OR(E3733="",E3733="!!!"),"",IF(NOT(ISNA(VLOOKUP(E3733,E$1:E3732,1,FALSE()))),"OLD",IF(AND(E3733&lt;&gt;"",E3733&lt;&gt;"!!!"),"NEW","")))</f>
        <v/>
      </c>
      <c r="G3733" s="26" t="str">
        <f aca="false">IF(OR(E3733="",E3733="!!!"),"",IF(OR(J3733=0,AND(J3733=1,K3733=1),AND(J3733=1,I3733="SBJ"),AND(J3733=1,I3733=0)),"?IN_FOCUS",IF(J3733&lt;=2,"?ACTIVATED",IF(J3733&lt;&gt;"","?FAMILIAR",IF(F3733="NEW",IF(ISNA(VLOOKUP(E3733,#REF!,1,FALSE())),"?TYPE_IDENTIFIABLE","?REFERENTIAL"),"_")))))</f>
        <v/>
      </c>
      <c r="H3733" s="27" t="str">
        <f aca="false">IF(J3733&lt;&gt;1,"",IF(I3733="SBJ","CB","?"))</f>
        <v/>
      </c>
      <c r="I3733" s="24" t="str">
        <f aca="false">IF(OR(E3733="",E3733="!!!",F3733="NEW"),"",INDEX(B17:B$3717,-1+SUMPRODUCT(MAX(ROW(E17:E$3717)*(E3733=E17:E$3717)))))</f>
        <v/>
      </c>
      <c r="J3733" s="24" t="str">
        <f aca="true">IF(OR(E3733="",E3733="!!!",F3733="NEW"),"",COUNTBLANK(OFFSET(A$1,,,SUMPRODUCT(MAX(ROW(E$2:E3733)*(E3733=E$2:E3733)))))-COUNTBLANK(OFFSET(A$1,,,SUMPRODUCT(MAX(ROW(E$1:E3732)*(E2=E$1:E3732))))))</f>
        <v/>
      </c>
      <c r="K3733" s="24" t="str">
        <f aca="false">IF(OR(E3733="",E3733="!!!",F3733="NEW"),"",INDEX(J$1:J3732,SUMPRODUCT(MAX(ROW(E$1:E3732)*(E3733=E$1:E3732)))))</f>
        <v/>
      </c>
      <c r="L3733" s="31"/>
    </row>
    <row r="3734" customFormat="false" ht="15" hidden="false" customHeight="false" outlineLevel="0" collapsed="false">
      <c r="A3734" s="20" t="s">
        <v>2237</v>
      </c>
      <c r="B3734" s="22" t="s">
        <v>1067</v>
      </c>
      <c r="C3734" s="22" t="s">
        <v>1087</v>
      </c>
      <c r="E3734" s="23" t="str">
        <f aca="false">IF(D3734="?OLD","!!!","")</f>
        <v/>
      </c>
      <c r="F3734" s="25" t="str">
        <f aca="false">IF(OR(E3734="",E3734="!!!"),"",IF(NOT(ISNA(VLOOKUP(E3734,E$1:E3733,1,FALSE()))),"OLD",IF(AND(E3734&lt;&gt;"",E3734&lt;&gt;"!!!"),"NEW","")))</f>
        <v/>
      </c>
      <c r="G3734" s="26" t="str">
        <f aca="false">IF(OR(E3734="",E3734="!!!"),"",IF(OR(J3734=0,AND(J3734=1,K3734=1),AND(J3734=1,I3734="SBJ"),AND(J3734=1,I3734=0)),"?IN_FOCUS",IF(J3734&lt;=2,"?ACTIVATED",IF(J3734&lt;&gt;"","?FAMILIAR",IF(F3734="NEW",IF(ISNA(VLOOKUP(E3734,#REF!,1,FALSE())),"?TYPE_IDENTIFIABLE","?REFERENTIAL"),"_")))))</f>
        <v/>
      </c>
      <c r="H3734" s="27" t="str">
        <f aca="false">IF(J3734&lt;&gt;1,"",IF(I3734="SBJ","CB","?"))</f>
        <v/>
      </c>
      <c r="I3734" s="24" t="str">
        <f aca="false">IF(OR(E3734="",E3734="!!!",F3734="NEW"),"",INDEX(B18:B$3717,-1+SUMPRODUCT(MAX(ROW(E18:E$3717)*(E3734=E18:E$3717)))))</f>
        <v/>
      </c>
      <c r="J3734" s="24" t="str">
        <f aca="true">IF(OR(E3734="",E3734="!!!",F3734="NEW"),"",COUNTBLANK(OFFSET(A$1,,,SUMPRODUCT(MAX(ROW(E$2:E3734)*(E3734=E$2:E3734)))))-COUNTBLANK(OFFSET(A$1,,,SUMPRODUCT(MAX(ROW(E$1:E3733)*(E2=E$1:E3733))))))</f>
        <v/>
      </c>
      <c r="K3734" s="24" t="str">
        <f aca="false">IF(OR(E3734="",E3734="!!!",F3734="NEW"),"",INDEX(J$1:J3733,SUMPRODUCT(MAX(ROW(E$1:E3733)*(E3734=E$1:E3733)))))</f>
        <v/>
      </c>
      <c r="L3734" s="31"/>
    </row>
    <row r="3735" customFormat="false" ht="15" hidden="false" customHeight="false" outlineLevel="0" collapsed="false">
      <c r="A3735" s="20" t="s">
        <v>1510</v>
      </c>
      <c r="E3735" s="23" t="str">
        <f aca="false">IF(D3735="?OLD","!!!","")</f>
        <v/>
      </c>
      <c r="F3735" s="25" t="str">
        <f aca="false">IF(OR(E3735="",E3735="!!!"),"",IF(NOT(ISNA(VLOOKUP(E3735,E$1:E3734,1,FALSE()))),"OLD",IF(AND(E3735&lt;&gt;"",E3735&lt;&gt;"!!!"),"NEW","")))</f>
        <v/>
      </c>
      <c r="G3735" s="26" t="str">
        <f aca="false">IF(OR(E3735="",E3735="!!!"),"",IF(OR(J3735=0,AND(J3735=1,K3735=1),AND(J3735=1,I3735="SBJ"),AND(J3735=1,I3735=0)),"?IN_FOCUS",IF(J3735&lt;=2,"?ACTIVATED",IF(J3735&lt;&gt;"","?FAMILIAR",IF(F3735="NEW",IF(ISNA(VLOOKUP(E3735,#REF!,1,FALSE())),"?TYPE_IDENTIFIABLE","?REFERENTIAL"),"_")))))</f>
        <v/>
      </c>
      <c r="H3735" s="27" t="str">
        <f aca="false">IF(J3735&lt;&gt;1,"",IF(I3735="SBJ","CB","?"))</f>
        <v/>
      </c>
      <c r="I3735" s="24" t="str">
        <f aca="false">IF(OR(E3735="",E3735="!!!",F3735="NEW"),"",INDEX(B19:B$3717,-1+SUMPRODUCT(MAX(ROW(E19:E$3717)*(E3735=E19:E$3717)))))</f>
        <v/>
      </c>
      <c r="J3735" s="24" t="str">
        <f aca="true">IF(OR(E3735="",E3735="!!!",F3735="NEW"),"",COUNTBLANK(OFFSET(A$1,,,SUMPRODUCT(MAX(ROW(E$2:E3735)*(E3735=E$2:E3735)))))-COUNTBLANK(OFFSET(A$1,,,SUMPRODUCT(MAX(ROW(E$1:E3734)*(E2=E$1:E3734))))))</f>
        <v/>
      </c>
      <c r="K3735" s="24" t="str">
        <f aca="false">IF(OR(E3735="",E3735="!!!",F3735="NEW"),"",INDEX(J$1:J3734,SUMPRODUCT(MAX(ROW(E$1:E3734)*(E3735=E$1:E3734)))))</f>
        <v/>
      </c>
      <c r="L3735" s="31"/>
    </row>
    <row r="3736" customFormat="false" ht="15" hidden="false" customHeight="false" outlineLevel="0" collapsed="false">
      <c r="A3736" s="20" t="s">
        <v>2232</v>
      </c>
      <c r="B3736" s="22" t="s">
        <v>1098</v>
      </c>
      <c r="C3736" s="22" t="s">
        <v>1099</v>
      </c>
      <c r="D3736" s="22" t="s">
        <v>1060</v>
      </c>
      <c r="E3736" s="23" t="str">
        <f aca="false">IF(D3736="?OLD","!!!","")</f>
        <v>!!!</v>
      </c>
      <c r="F3736" s="25" t="str">
        <f aca="false">IF(OR(E3736="",E3736="!!!"),"",IF(NOT(ISNA(VLOOKUP(E3736,E$1:E3735,1,FALSE()))),"OLD",IF(AND(E3736&lt;&gt;"",E3736&lt;&gt;"!!!"),"NEW","")))</f>
        <v/>
      </c>
      <c r="G3736" s="26" t="str">
        <f aca="false">IF(OR(E3736="",E3736="!!!"),"",IF(OR(J3736=0,AND(J3736=1,K3736=1),AND(J3736=1,I3736="SBJ"),AND(J3736=1,I3736=0)),"?IN_FOCUS",IF(J3736&lt;=2,"?ACTIVATED",IF(J3736&lt;&gt;"","?FAMILIAR",IF(F3736="NEW",IF(ISNA(VLOOKUP(E3736,#REF!,1,FALSE())),"?TYPE_IDENTIFIABLE","?REFERENTIAL"),"_")))))</f>
        <v/>
      </c>
      <c r="H3736" s="27" t="str">
        <f aca="false">IF(J3736&lt;&gt;1,"",IF(I3736="SBJ","CB","?"))</f>
        <v/>
      </c>
      <c r="I3736" s="24" t="str">
        <f aca="false">IF(OR(E3736="",E3736="!!!",F3736="NEW"),"",INDEX(B20:B$3717,-1+SUMPRODUCT(MAX(ROW(E20:E$3717)*(E3736=E20:E$3717)))))</f>
        <v/>
      </c>
      <c r="J3736" s="24" t="str">
        <f aca="true">IF(OR(E3736="",E3736="!!!",F3736="NEW"),"",COUNTBLANK(OFFSET(A$1,,,SUMPRODUCT(MAX(ROW(E$2:E3736)*(E3736=E$2:E3736)))))-COUNTBLANK(OFFSET(A$1,,,SUMPRODUCT(MAX(ROW(E$1:E3735)*(E2=E$1:E3735))))))</f>
        <v/>
      </c>
      <c r="K3736" s="24" t="str">
        <f aca="false">IF(OR(E3736="",E3736="!!!",F3736="NEW"),"",INDEX(J$1:J3735,SUMPRODUCT(MAX(ROW(E$1:E3735)*(E3736=E$1:E3735)))))</f>
        <v/>
      </c>
      <c r="L3736" s="31"/>
    </row>
    <row r="3737" customFormat="false" ht="15" hidden="false" customHeight="false" outlineLevel="0" collapsed="false">
      <c r="A3737" s="20" t="s">
        <v>2238</v>
      </c>
      <c r="B3737" s="22" t="s">
        <v>1107</v>
      </c>
      <c r="C3737" s="22" t="s">
        <v>1059</v>
      </c>
      <c r="D3737" s="22" t="s">
        <v>1060</v>
      </c>
      <c r="E3737" s="23" t="str">
        <f aca="false">IF(D3737="?OLD","!!!","")</f>
        <v>!!!</v>
      </c>
      <c r="F3737" s="25" t="str">
        <f aca="false">IF(OR(E3737="",E3737="!!!"),"",IF(NOT(ISNA(VLOOKUP(E3737,E$1:E3736,1,FALSE()))),"OLD",IF(AND(E3737&lt;&gt;"",E3737&lt;&gt;"!!!"),"NEW","")))</f>
        <v/>
      </c>
      <c r="G3737" s="26" t="str">
        <f aca="false">IF(OR(E3737="",E3737="!!!"),"",IF(OR(J3737=0,AND(J3737=1,K3737=1),AND(J3737=1,I3737="SBJ"),AND(J3737=1,I3737=0)),"?IN_FOCUS",IF(J3737&lt;=2,"?ACTIVATED",IF(J3737&lt;&gt;"","?FAMILIAR",IF(F3737="NEW",IF(ISNA(VLOOKUP(E3737,#REF!,1,FALSE())),"?TYPE_IDENTIFIABLE","?REFERENTIAL"),"_")))))</f>
        <v/>
      </c>
      <c r="H3737" s="27" t="str">
        <f aca="false">IF(J3737&lt;&gt;1,"",IF(I3737="SBJ","CB","?"))</f>
        <v/>
      </c>
      <c r="I3737" s="24" t="str">
        <f aca="false">IF(OR(E3737="",E3737="!!!",F3737="NEW"),"",INDEX(B21:B$3717,-1+SUMPRODUCT(MAX(ROW(E21:E$3717)*(E3737=E21:E$3717)))))</f>
        <v/>
      </c>
      <c r="J3737" s="24" t="str">
        <f aca="true">IF(OR(E3737="",E3737="!!!",F3737="NEW"),"",COUNTBLANK(OFFSET(A$1,,,SUMPRODUCT(MAX(ROW(E$2:E3737)*(E3737=E$2:E3737)))))-COUNTBLANK(OFFSET(A$1,,,SUMPRODUCT(MAX(ROW(E$1:E3736)*(E2=E$1:E3736))))))</f>
        <v/>
      </c>
      <c r="K3737" s="24" t="str">
        <f aca="false">IF(OR(E3737="",E3737="!!!",F3737="NEW"),"",INDEX(J$1:J3736,SUMPRODUCT(MAX(ROW(E$1:E3736)*(E3737=E$1:E3736)))))</f>
        <v/>
      </c>
      <c r="L3737" s="31"/>
    </row>
    <row r="3738" customFormat="false" ht="15" hidden="false" customHeight="false" outlineLevel="0" collapsed="false">
      <c r="A3738" s="20" t="s">
        <v>923</v>
      </c>
      <c r="E3738" s="23" t="str">
        <f aca="false">IF(D3738="?OLD","!!!","")</f>
        <v/>
      </c>
      <c r="F3738" s="25" t="str">
        <f aca="false">IF(OR(E3738="",E3738="!!!"),"",IF(NOT(ISNA(VLOOKUP(E3738,E$1:E3737,1,FALSE()))),"OLD",IF(AND(E3738&lt;&gt;"",E3738&lt;&gt;"!!!"),"NEW","")))</f>
        <v/>
      </c>
      <c r="G3738" s="26" t="str">
        <f aca="false">IF(OR(E3738="",E3738="!!!"),"",IF(OR(J3738=0,AND(J3738=1,K3738=1),AND(J3738=1,I3738="SBJ"),AND(J3738=1,I3738=0)),"?IN_FOCUS",IF(J3738&lt;=2,"?ACTIVATED",IF(J3738&lt;&gt;"","?FAMILIAR",IF(F3738="NEW",IF(ISNA(VLOOKUP(E3738,#REF!,1,FALSE())),"?TYPE_IDENTIFIABLE","?REFERENTIAL"),"_")))))</f>
        <v/>
      </c>
      <c r="H3738" s="27" t="str">
        <f aca="false">IF(J3738&lt;&gt;1,"",IF(I3738="SBJ","CB","?"))</f>
        <v/>
      </c>
      <c r="I3738" s="24" t="str">
        <f aca="false">IF(OR(E3738="",E3738="!!!",F3738="NEW"),"",INDEX(B22:B$3717,-1+SUMPRODUCT(MAX(ROW(E22:E$3717)*(E3738=E22:E$3717)))))</f>
        <v/>
      </c>
      <c r="J3738" s="24" t="str">
        <f aca="true">IF(OR(E3738="",E3738="!!!",F3738="NEW"),"",COUNTBLANK(OFFSET(A$1,,,SUMPRODUCT(MAX(ROW(E$2:E3738)*(E3738=E$2:E3738)))))-COUNTBLANK(OFFSET(A$1,,,SUMPRODUCT(MAX(ROW(E$1:E3737)*(E2=E$1:E3737))))))</f>
        <v/>
      </c>
      <c r="K3738" s="24" t="str">
        <f aca="false">IF(OR(E3738="",E3738="!!!",F3738="NEW"),"",INDEX(J$1:J3737,SUMPRODUCT(MAX(ROW(E$1:E3737)*(E3738=E$1:E3737)))))</f>
        <v/>
      </c>
      <c r="L3738" s="31"/>
    </row>
    <row r="3739" customFormat="false" ht="15" hidden="false" customHeight="false" outlineLevel="0" collapsed="false">
      <c r="A3739" s="20"/>
    </row>
    <row r="3740" customFormat="false" ht="15" hidden="false" customHeight="false" outlineLevel="0" collapsed="false">
      <c r="A3740" s="20" t="s">
        <v>1301</v>
      </c>
      <c r="E3740" s="23" t="str">
        <f aca="false">IF(D3740="?OLD","!!!","")</f>
        <v/>
      </c>
      <c r="F3740" s="25" t="str">
        <f aca="false">IF(OR(E3740="",E3740="!!!"),"",IF(NOT(ISNA(VLOOKUP(E3740,E$1:E3739,1,FALSE()))),"OLD",IF(AND(E3740&lt;&gt;"",E3740&lt;&gt;"!!!"),"NEW","")))</f>
        <v/>
      </c>
      <c r="G3740" s="26" t="str">
        <f aca="false">IF(OR(E3740="",E3740="!!!"),"",IF(OR(J3740=0,AND(J3740=1,K3740=1),AND(J3740=1,I3740="SBJ"),AND(J3740=1,I3740=0)),"?IN_FOCUS",IF(J3740&lt;=2,"?ACTIVATED",IF(J3740&lt;&gt;"","?FAMILIAR",IF(F3740="NEW",IF(ISNA(VLOOKUP(E3740,#REF!,1,FALSE())),"?TYPE_IDENTIFIABLE","?REFERENTIAL"),"_")))))</f>
        <v/>
      </c>
      <c r="H3740" s="27" t="str">
        <f aca="false">IF(J3740&lt;&gt;1,"",IF(I3740="SBJ","CB","?"))</f>
        <v/>
      </c>
      <c r="I3740" s="24" t="str">
        <f aca="false">IF(OR(E3740="",E3740="!!!",F3740="NEW"),"",INDEX(B2:B$3739,-1+SUMPRODUCT(MAX(ROW(E2:E$3739)*(E3740=E2:E$3739)))))</f>
        <v/>
      </c>
      <c r="J3740" s="24" t="str">
        <f aca="true">IF(OR(E3740="",E3740="!!!",F3740="NEW"),"",COUNTBLANK(OFFSET(A$1,,,SUMPRODUCT(MAX(ROW(E$2:E3740)*(E3740=E$2:E3740)))))-COUNTBLANK(OFFSET(A$1,,,SUMPRODUCT(MAX(ROW(E$1:E3739)*(E2=E$1:E3739))))))</f>
        <v/>
      </c>
      <c r="K3740" s="24" t="str">
        <f aca="false">IF(OR(E3740="",E3740="!!!",F3740="NEW"),"",INDEX(J$1:J3739,SUMPRODUCT(MAX(ROW(E$1:E3739)*(E3740=E$1:E3739)))))</f>
        <v/>
      </c>
      <c r="L3740" s="31"/>
    </row>
    <row r="3741" customFormat="false" ht="15" hidden="false" customHeight="false" outlineLevel="0" collapsed="false">
      <c r="A3741" s="20" t="s">
        <v>2239</v>
      </c>
    </row>
    <row r="3742" customFormat="false" ht="15" hidden="false" customHeight="false" outlineLevel="0" collapsed="false">
      <c r="A3742" s="20" t="s">
        <v>607</v>
      </c>
      <c r="E3742" s="23" t="str">
        <f aca="false">IF(D3742="?OLD","!!!","")</f>
        <v/>
      </c>
      <c r="F3742" s="25" t="str">
        <f aca="false">IF(OR(E3742="",E3742="!!!"),"",IF(NOT(ISNA(VLOOKUP(E3742,E$1:E3741,1,FALSE()))),"OLD",IF(AND(E3742&lt;&gt;"",E3742&lt;&gt;"!!!"),"NEW","")))</f>
        <v/>
      </c>
      <c r="G3742" s="26" t="str">
        <f aca="false">IF(OR(E3742="",E3742="!!!"),"",IF(OR(J3742=0,AND(J3742=1,K3742=1),AND(J3742=1,I3742="SBJ"),AND(J3742=1,I3742=0)),"?IN_FOCUS",IF(J3742&lt;=2,"?ACTIVATED",IF(J3742&lt;&gt;"","?FAMILIAR",IF(F3742="NEW",IF(ISNA(VLOOKUP(E3742,#REF!,1,FALSE())),"?TYPE_IDENTIFIABLE","?REFERENTIAL"),"_")))))</f>
        <v/>
      </c>
      <c r="H3742" s="27" t="str">
        <f aca="false">IF(J3742&lt;&gt;1,"",IF(I3742="SBJ","CB","?"))</f>
        <v/>
      </c>
      <c r="I3742" s="24" t="str">
        <f aca="false">IF(OR(E3742="",E3742="!!!",F3742="NEW"),"",INDEX(B2:B$3741,-1+SUMPRODUCT(MAX(ROW(E2:E$3741)*(E3742=E2:E$3741)))))</f>
        <v/>
      </c>
      <c r="J3742" s="24" t="str">
        <f aca="true">IF(OR(E3742="",E3742="!!!",F3742="NEW"),"",COUNTBLANK(OFFSET(A$1,,,SUMPRODUCT(MAX(ROW(E$2:E3742)*(E3742=E$2:E3742)))))-COUNTBLANK(OFFSET(A$1,,,SUMPRODUCT(MAX(ROW(E$1:E3741)*(E2=E$1:E3741))))))</f>
        <v/>
      </c>
      <c r="K3742" s="24" t="str">
        <f aca="false">IF(OR(E3742="",E3742="!!!",F3742="NEW"),"",INDEX(J$1:J3741,SUMPRODUCT(MAX(ROW(E$1:E3741)*(E3742=E$1:E3741)))))</f>
        <v/>
      </c>
      <c r="L3742" s="31"/>
    </row>
    <row r="3743" customFormat="false" ht="15" hidden="false" customHeight="false" outlineLevel="0" collapsed="false">
      <c r="A3743" s="20" t="s">
        <v>1148</v>
      </c>
      <c r="E3743" s="23" t="str">
        <f aca="false">IF(D3743="?OLD","!!!","")</f>
        <v/>
      </c>
      <c r="F3743" s="25" t="str">
        <f aca="false">IF(OR(E3743="",E3743="!!!"),"",IF(NOT(ISNA(VLOOKUP(E3743,E$1:E3742,1,FALSE()))),"OLD",IF(AND(E3743&lt;&gt;"",E3743&lt;&gt;"!!!"),"NEW","")))</f>
        <v/>
      </c>
      <c r="G3743" s="26" t="str">
        <f aca="false">IF(OR(E3743="",E3743="!!!"),"",IF(OR(J3743=0,AND(J3743=1,K3743=1),AND(J3743=1,I3743="SBJ"),AND(J3743=1,I3743=0)),"?IN_FOCUS",IF(J3743&lt;=2,"?ACTIVATED",IF(J3743&lt;&gt;"","?FAMILIAR",IF(F3743="NEW",IF(ISNA(VLOOKUP(E3743,#REF!,1,FALSE())),"?TYPE_IDENTIFIABLE","?REFERENTIAL"),"_")))))</f>
        <v/>
      </c>
      <c r="H3743" s="27" t="str">
        <f aca="false">IF(J3743&lt;&gt;1,"",IF(I3743="SBJ","CB","?"))</f>
        <v/>
      </c>
      <c r="I3743" s="24" t="str">
        <f aca="false">IF(OR(E3743="",E3743="!!!",F3743="NEW"),"",INDEX(B3:B$3741,-1+SUMPRODUCT(MAX(ROW(E3:E$3741)*(E3743=E3:E$3741)))))</f>
        <v/>
      </c>
      <c r="J3743" s="24" t="str">
        <f aca="true">IF(OR(E3743="",E3743="!!!",F3743="NEW"),"",COUNTBLANK(OFFSET(A$1,,,SUMPRODUCT(MAX(ROW(E$2:E3743)*(E3743=E$2:E3743)))))-COUNTBLANK(OFFSET(A$1,,,SUMPRODUCT(MAX(ROW(E$1:E3742)*(E2=E$1:E3742))))))</f>
        <v/>
      </c>
      <c r="K3743" s="24" t="str">
        <f aca="false">IF(OR(E3743="",E3743="!!!",F3743="NEW"),"",INDEX(J$1:J3742,SUMPRODUCT(MAX(ROW(E$1:E3742)*(E3743=E$1:E3742)))))</f>
        <v/>
      </c>
      <c r="L3743" s="31"/>
    </row>
    <row r="3744" customFormat="false" ht="15" hidden="false" customHeight="false" outlineLevel="0" collapsed="false">
      <c r="A3744" s="20" t="s">
        <v>2240</v>
      </c>
      <c r="B3744" s="22" t="s">
        <v>1058</v>
      </c>
      <c r="C3744" s="22" t="s">
        <v>1150</v>
      </c>
      <c r="D3744" s="22" t="s">
        <v>1060</v>
      </c>
      <c r="E3744" s="23" t="str">
        <f aca="false">IF(D3744="?OLD","!!!","")</f>
        <v>!!!</v>
      </c>
      <c r="F3744" s="25" t="str">
        <f aca="false">IF(OR(E3744="",E3744="!!!"),"",IF(NOT(ISNA(VLOOKUP(E3744,E$1:E3743,1,FALSE()))),"OLD",IF(AND(E3744&lt;&gt;"",E3744&lt;&gt;"!!!"),"NEW","")))</f>
        <v/>
      </c>
      <c r="G3744" s="26" t="str">
        <f aca="false">IF(OR(E3744="",E3744="!!!"),"",IF(OR(J3744=0,AND(J3744=1,K3744=1),AND(J3744=1,I3744="SBJ"),AND(J3744=1,I3744=0)),"?IN_FOCUS",IF(J3744&lt;=2,"?ACTIVATED",IF(J3744&lt;&gt;"","?FAMILIAR",IF(F3744="NEW",IF(ISNA(VLOOKUP(E3744,#REF!,1,FALSE())),"?TYPE_IDENTIFIABLE","?REFERENTIAL"),"_")))))</f>
        <v/>
      </c>
      <c r="H3744" s="27" t="str">
        <f aca="false">IF(J3744&lt;&gt;1,"",IF(I3744="SBJ","CB","?"))</f>
        <v/>
      </c>
      <c r="I3744" s="24" t="str">
        <f aca="false">IF(OR(E3744="",E3744="!!!",F3744="NEW"),"",INDEX(B4:B$3741,-1+SUMPRODUCT(MAX(ROW(E4:E$3741)*(E3744=E4:E$3741)))))</f>
        <v/>
      </c>
      <c r="J3744" s="24" t="str">
        <f aca="true">IF(OR(E3744="",E3744="!!!",F3744="NEW"),"",COUNTBLANK(OFFSET(A$1,,,SUMPRODUCT(MAX(ROW(E$2:E3744)*(E3744=E$2:E3744)))))-COUNTBLANK(OFFSET(A$1,,,SUMPRODUCT(MAX(ROW(E$1:E3743)*(E2=E$1:E3743))))))</f>
        <v/>
      </c>
      <c r="K3744" s="24" t="str">
        <f aca="false">IF(OR(E3744="",E3744="!!!",F3744="NEW"),"",INDEX(J$1:J3743,SUMPRODUCT(MAX(ROW(E$1:E3743)*(E3744=E$1:E3743)))))</f>
        <v/>
      </c>
      <c r="L3744" s="31"/>
    </row>
    <row r="3745" customFormat="false" ht="15" hidden="false" customHeight="false" outlineLevel="0" collapsed="false">
      <c r="A3745" s="20" t="s">
        <v>1328</v>
      </c>
      <c r="E3745" s="23" t="str">
        <f aca="false">IF(D3745="?OLD","!!!","")</f>
        <v/>
      </c>
      <c r="F3745" s="25" t="str">
        <f aca="false">IF(OR(E3745="",E3745="!!!"),"",IF(NOT(ISNA(VLOOKUP(E3745,E$1:E3744,1,FALSE()))),"OLD",IF(AND(E3745&lt;&gt;"",E3745&lt;&gt;"!!!"),"NEW","")))</f>
        <v/>
      </c>
      <c r="G3745" s="26" t="str">
        <f aca="false">IF(OR(E3745="",E3745="!!!"),"",IF(OR(J3745=0,AND(J3745=1,K3745=1),AND(J3745=1,I3745="SBJ"),AND(J3745=1,I3745=0)),"?IN_FOCUS",IF(J3745&lt;=2,"?ACTIVATED",IF(J3745&lt;&gt;"","?FAMILIAR",IF(F3745="NEW",IF(ISNA(VLOOKUP(E3745,#REF!,1,FALSE())),"?TYPE_IDENTIFIABLE","?REFERENTIAL"),"_")))))</f>
        <v/>
      </c>
      <c r="H3745" s="27" t="str">
        <f aca="false">IF(J3745&lt;&gt;1,"",IF(I3745="SBJ","CB","?"))</f>
        <v/>
      </c>
      <c r="I3745" s="24" t="str">
        <f aca="false">IF(OR(E3745="",E3745="!!!",F3745="NEW"),"",INDEX(B5:B$3741,-1+SUMPRODUCT(MAX(ROW(E5:E$3741)*(E3745=E5:E$3741)))))</f>
        <v/>
      </c>
      <c r="J3745" s="24" t="str">
        <f aca="true">IF(OR(E3745="",E3745="!!!",F3745="NEW"),"",COUNTBLANK(OFFSET(A$1,,,SUMPRODUCT(MAX(ROW(E$2:E3745)*(E3745=E$2:E3745)))))-COUNTBLANK(OFFSET(A$1,,,SUMPRODUCT(MAX(ROW(E$1:E3744)*(E2=E$1:E3744))))))</f>
        <v/>
      </c>
      <c r="K3745" s="24" t="str">
        <f aca="false">IF(OR(E3745="",E3745="!!!",F3745="NEW"),"",INDEX(J$1:J3744,SUMPRODUCT(MAX(ROW(E$1:E3744)*(E3745=E$1:E3744)))))</f>
        <v/>
      </c>
      <c r="L3745" s="31"/>
    </row>
    <row r="3746" customFormat="false" ht="15" hidden="false" customHeight="false" outlineLevel="0" collapsed="false">
      <c r="A3746" s="20" t="s">
        <v>607</v>
      </c>
      <c r="E3746" s="23" t="str">
        <f aca="false">IF(D3746="?OLD","!!!","")</f>
        <v/>
      </c>
      <c r="F3746" s="25" t="str">
        <f aca="false">IF(OR(E3746="",E3746="!!!"),"",IF(NOT(ISNA(VLOOKUP(E3746,E$1:E3745,1,FALSE()))),"OLD",IF(AND(E3746&lt;&gt;"",E3746&lt;&gt;"!!!"),"NEW","")))</f>
        <v/>
      </c>
      <c r="G3746" s="26" t="str">
        <f aca="false">IF(OR(E3746="",E3746="!!!"),"",IF(OR(J3746=0,AND(J3746=1,K3746=1),AND(J3746=1,I3746="SBJ"),AND(J3746=1,I3746=0)),"?IN_FOCUS",IF(J3746&lt;=2,"?ACTIVATED",IF(J3746&lt;&gt;"","?FAMILIAR",IF(F3746="NEW",IF(ISNA(VLOOKUP(E3746,#REF!,1,FALSE())),"?TYPE_IDENTIFIABLE","?REFERENTIAL"),"_")))))</f>
        <v/>
      </c>
      <c r="H3746" s="27" t="str">
        <f aca="false">IF(J3746&lt;&gt;1,"",IF(I3746="SBJ","CB","?"))</f>
        <v/>
      </c>
      <c r="I3746" s="24" t="str">
        <f aca="false">IF(OR(E3746="",E3746="!!!",F3746="NEW"),"",INDEX(B6:B$3741,-1+SUMPRODUCT(MAX(ROW(E6:E$3741)*(E3746=E6:E$3741)))))</f>
        <v/>
      </c>
      <c r="J3746" s="24" t="str">
        <f aca="true">IF(OR(E3746="",E3746="!!!",F3746="NEW"),"",COUNTBLANK(OFFSET(A$1,,,SUMPRODUCT(MAX(ROW(E$2:E3746)*(E3746=E$2:E3746)))))-COUNTBLANK(OFFSET(A$1,,,SUMPRODUCT(MAX(ROW(E$1:E3745)*(E2=E$1:E3745))))))</f>
        <v/>
      </c>
      <c r="K3746" s="24" t="str">
        <f aca="false">IF(OR(E3746="",E3746="!!!",F3746="NEW"),"",INDEX(J$1:J3745,SUMPRODUCT(MAX(ROW(E$1:E3745)*(E3746=E$1:E3745)))))</f>
        <v/>
      </c>
      <c r="L3746" s="31"/>
    </row>
    <row r="3747" customFormat="false" ht="15" hidden="false" customHeight="false" outlineLevel="0" collapsed="false">
      <c r="A3747" s="20" t="s">
        <v>1805</v>
      </c>
      <c r="E3747" s="23" t="str">
        <f aca="false">IF(D3747="?OLD","!!!","")</f>
        <v/>
      </c>
      <c r="F3747" s="25" t="str">
        <f aca="false">IF(OR(E3747="",E3747="!!!"),"",IF(NOT(ISNA(VLOOKUP(E3747,E$1:E3746,1,FALSE()))),"OLD",IF(AND(E3747&lt;&gt;"",E3747&lt;&gt;"!!!"),"NEW","")))</f>
        <v/>
      </c>
      <c r="G3747" s="26" t="str">
        <f aca="false">IF(OR(E3747="",E3747="!!!"),"",IF(OR(J3747=0,AND(J3747=1,K3747=1),AND(J3747=1,I3747="SBJ"),AND(J3747=1,I3747=0)),"?IN_FOCUS",IF(J3747&lt;=2,"?ACTIVATED",IF(J3747&lt;&gt;"","?FAMILIAR",IF(F3747="NEW",IF(ISNA(VLOOKUP(E3747,#REF!,1,FALSE())),"?TYPE_IDENTIFIABLE","?REFERENTIAL"),"_")))))</f>
        <v/>
      </c>
      <c r="H3747" s="27" t="str">
        <f aca="false">IF(J3747&lt;&gt;1,"",IF(I3747="SBJ","CB","?"))</f>
        <v/>
      </c>
      <c r="I3747" s="24" t="str">
        <f aca="false">IF(OR(E3747="",E3747="!!!",F3747="NEW"),"",INDEX(B7:B$3741,-1+SUMPRODUCT(MAX(ROW(E7:E$3741)*(E3747=E7:E$3741)))))</f>
        <v/>
      </c>
      <c r="J3747" s="24" t="str">
        <f aca="true">IF(OR(E3747="",E3747="!!!",F3747="NEW"),"",COUNTBLANK(OFFSET(A$1,,,SUMPRODUCT(MAX(ROW(E$2:E3747)*(E3747=E$2:E3747)))))-COUNTBLANK(OFFSET(A$1,,,SUMPRODUCT(MAX(ROW(E$1:E3746)*(E2=E$1:E3746))))))</f>
        <v/>
      </c>
      <c r="K3747" s="24" t="str">
        <f aca="false">IF(OR(E3747="",E3747="!!!",F3747="NEW"),"",INDEX(J$1:J3746,SUMPRODUCT(MAX(ROW(E$1:E3746)*(E3747=E$1:E3746)))))</f>
        <v/>
      </c>
      <c r="L3747" s="31"/>
    </row>
    <row r="3748" customFormat="false" ht="15" hidden="false" customHeight="false" outlineLevel="0" collapsed="false">
      <c r="A3748" s="20" t="s">
        <v>1066</v>
      </c>
      <c r="B3748" s="22" t="s">
        <v>1081</v>
      </c>
      <c r="C3748" s="22" t="s">
        <v>1068</v>
      </c>
      <c r="D3748" s="22" t="s">
        <v>1060</v>
      </c>
      <c r="E3748" s="23" t="str">
        <f aca="false">IF(D3748="?OLD","!!!","")</f>
        <v>!!!</v>
      </c>
      <c r="F3748" s="25" t="str">
        <f aca="false">IF(OR(E3748="",E3748="!!!"),"",IF(NOT(ISNA(VLOOKUP(E3748,E$1:E3747,1,FALSE()))),"OLD",IF(AND(E3748&lt;&gt;"",E3748&lt;&gt;"!!!"),"NEW","")))</f>
        <v/>
      </c>
      <c r="G3748" s="26" t="str">
        <f aca="false">IF(OR(E3748="",E3748="!!!"),"",IF(OR(J3748=0,AND(J3748=1,K3748=1),AND(J3748=1,I3748="SBJ"),AND(J3748=1,I3748=0)),"?IN_FOCUS",IF(J3748&lt;=2,"?ACTIVATED",IF(J3748&lt;&gt;"","?FAMILIAR",IF(F3748="NEW",IF(ISNA(VLOOKUP(E3748,#REF!,1,FALSE())),"?TYPE_IDENTIFIABLE","?REFERENTIAL"),"_")))))</f>
        <v/>
      </c>
      <c r="H3748" s="27" t="str">
        <f aca="false">IF(J3748&lt;&gt;1,"",IF(I3748="SBJ","CB","?"))</f>
        <v/>
      </c>
      <c r="I3748" s="24" t="str">
        <f aca="false">IF(OR(E3748="",E3748="!!!",F3748="NEW"),"",INDEX(B8:B$3741,-1+SUMPRODUCT(MAX(ROW(E8:E$3741)*(E3748=E8:E$3741)))))</f>
        <v/>
      </c>
      <c r="J3748" s="24" t="str">
        <f aca="true">IF(OR(E3748="",E3748="!!!",F3748="NEW"),"",COUNTBLANK(OFFSET(A$1,,,SUMPRODUCT(MAX(ROW(E$2:E3748)*(E3748=E$2:E3748)))))-COUNTBLANK(OFFSET(A$1,,,SUMPRODUCT(MAX(ROW(E$1:E3747)*(E2=E$1:E3747))))))</f>
        <v/>
      </c>
      <c r="K3748" s="24" t="str">
        <f aca="false">IF(OR(E3748="",E3748="!!!",F3748="NEW"),"",INDEX(J$1:J3747,SUMPRODUCT(MAX(ROW(E$1:E3747)*(E3748=E$1:E3747)))))</f>
        <v/>
      </c>
      <c r="L3748" s="31"/>
    </row>
    <row r="3749" customFormat="false" ht="15" hidden="false" customHeight="false" outlineLevel="0" collapsed="false">
      <c r="A3749" s="20" t="s">
        <v>923</v>
      </c>
      <c r="E3749" s="23" t="str">
        <f aca="false">IF(D3749="?OLD","!!!","")</f>
        <v/>
      </c>
      <c r="F3749" s="25" t="str">
        <f aca="false">IF(OR(E3749="",E3749="!!!"),"",IF(NOT(ISNA(VLOOKUP(E3749,E$1:E3748,1,FALSE()))),"OLD",IF(AND(E3749&lt;&gt;"",E3749&lt;&gt;"!!!"),"NEW","")))</f>
        <v/>
      </c>
      <c r="G3749" s="26" t="str">
        <f aca="false">IF(OR(E3749="",E3749="!!!"),"",IF(OR(J3749=0,AND(J3749=1,K3749=1),AND(J3749=1,I3749="SBJ"),AND(J3749=1,I3749=0)),"?IN_FOCUS",IF(J3749&lt;=2,"?ACTIVATED",IF(J3749&lt;&gt;"","?FAMILIAR",IF(F3749="NEW",IF(ISNA(VLOOKUP(E3749,#REF!,1,FALSE())),"?TYPE_IDENTIFIABLE","?REFERENTIAL"),"_")))))</f>
        <v/>
      </c>
      <c r="H3749" s="27" t="str">
        <f aca="false">IF(J3749&lt;&gt;1,"",IF(I3749="SBJ","CB","?"))</f>
        <v/>
      </c>
      <c r="I3749" s="24" t="str">
        <f aca="false">IF(OR(E3749="",E3749="!!!",F3749="NEW"),"",INDEX(B9:B$3741,-1+SUMPRODUCT(MAX(ROW(E9:E$3741)*(E3749=E9:E$3741)))))</f>
        <v/>
      </c>
      <c r="J3749" s="24" t="str">
        <f aca="true">IF(OR(E3749="",E3749="!!!",F3749="NEW"),"",COUNTBLANK(OFFSET(A$1,,,SUMPRODUCT(MAX(ROW(E$2:E3749)*(E3749=E$2:E3749)))))-COUNTBLANK(OFFSET(A$1,,,SUMPRODUCT(MAX(ROW(E$1:E3748)*(E2=E$1:E3748))))))</f>
        <v/>
      </c>
      <c r="K3749" s="24" t="str">
        <f aca="false">IF(OR(E3749="",E3749="!!!",F3749="NEW"),"",INDEX(J$1:J3748,SUMPRODUCT(MAX(ROW(E$1:E3748)*(E3749=E$1:E3748)))))</f>
        <v/>
      </c>
      <c r="L3749" s="31"/>
    </row>
    <row r="3750" customFormat="false" ht="15" hidden="false" customHeight="false" outlineLevel="0" collapsed="false">
      <c r="A3750" s="20"/>
    </row>
    <row r="3751" customFormat="false" ht="15" hidden="false" customHeight="false" outlineLevel="0" collapsed="false">
      <c r="A3751" s="20" t="s">
        <v>1301</v>
      </c>
      <c r="E3751" s="23" t="str">
        <f aca="false">IF(D3751="?OLD","!!!","")</f>
        <v/>
      </c>
      <c r="F3751" s="25" t="str">
        <f aca="false">IF(OR(E3751="",E3751="!!!"),"",IF(NOT(ISNA(VLOOKUP(E3751,E$1:E3750,1,FALSE()))),"OLD",IF(AND(E3751&lt;&gt;"",E3751&lt;&gt;"!!!"),"NEW","")))</f>
        <v/>
      </c>
      <c r="G3751" s="26" t="str">
        <f aca="false">IF(OR(E3751="",E3751="!!!"),"",IF(OR(J3751=0,AND(J3751=1,K3751=1),AND(J3751=1,I3751="SBJ"),AND(J3751=1,I3751=0)),"?IN_FOCUS",IF(J3751&lt;=2,"?ACTIVATED",IF(J3751&lt;&gt;"","?FAMILIAR",IF(F3751="NEW",IF(ISNA(VLOOKUP(E3751,#REF!,1,FALSE())),"?TYPE_IDENTIFIABLE","?REFERENTIAL"),"_")))))</f>
        <v/>
      </c>
      <c r="H3751" s="27" t="str">
        <f aca="false">IF(J3751&lt;&gt;1,"",IF(I3751="SBJ","CB","?"))</f>
        <v/>
      </c>
      <c r="I3751" s="24" t="str">
        <f aca="false">IF(OR(E3751="",E3751="!!!",F3751="NEW"),"",INDEX(B2:B$3750,-1+SUMPRODUCT(MAX(ROW(E2:E$3750)*(E3751=E2:E$3750)))))</f>
        <v/>
      </c>
      <c r="J3751" s="24" t="str">
        <f aca="true">IF(OR(E3751="",E3751="!!!",F3751="NEW"),"",COUNTBLANK(OFFSET(A$1,,,SUMPRODUCT(MAX(ROW(E$2:E3751)*(E3751=E$2:E3751)))))-COUNTBLANK(OFFSET(A$1,,,SUMPRODUCT(MAX(ROW(E$1:E3750)*(E2=E$1:E3750))))))</f>
        <v/>
      </c>
      <c r="K3751" s="24" t="str">
        <f aca="false">IF(OR(E3751="",E3751="!!!",F3751="NEW"),"",INDEX(J$1:J3750,SUMPRODUCT(MAX(ROW(E$1:E3750)*(E3751=E$1:E3750)))))</f>
        <v/>
      </c>
      <c r="L3751" s="31"/>
    </row>
    <row r="3752" customFormat="false" ht="15" hidden="false" customHeight="false" outlineLevel="0" collapsed="false">
      <c r="A3752" s="20" t="s">
        <v>2241</v>
      </c>
    </row>
    <row r="3753" customFormat="false" ht="15" hidden="false" customHeight="false" outlineLevel="0" collapsed="false">
      <c r="A3753" s="20" t="s">
        <v>607</v>
      </c>
      <c r="E3753" s="23" t="str">
        <f aca="false">IF(D3753="?OLD","!!!","")</f>
        <v/>
      </c>
      <c r="F3753" s="25" t="str">
        <f aca="false">IF(OR(E3753="",E3753="!!!"),"",IF(NOT(ISNA(VLOOKUP(E3753,E$1:E3752,1,FALSE()))),"OLD",IF(AND(E3753&lt;&gt;"",E3753&lt;&gt;"!!!"),"NEW","")))</f>
        <v/>
      </c>
      <c r="G3753" s="26" t="str">
        <f aca="false">IF(OR(E3753="",E3753="!!!"),"",IF(OR(J3753=0,AND(J3753=1,K3753=1),AND(J3753=1,I3753="SBJ"),AND(J3753=1,I3753=0)),"?IN_FOCUS",IF(J3753&lt;=2,"?ACTIVATED",IF(J3753&lt;&gt;"","?FAMILIAR",IF(F3753="NEW",IF(ISNA(VLOOKUP(E3753,#REF!,1,FALSE())),"?TYPE_IDENTIFIABLE","?REFERENTIAL"),"_")))))</f>
        <v/>
      </c>
      <c r="H3753" s="27" t="str">
        <f aca="false">IF(J3753&lt;&gt;1,"",IF(I3753="SBJ","CB","?"))</f>
        <v/>
      </c>
      <c r="I3753" s="24" t="str">
        <f aca="false">IF(OR(E3753="",E3753="!!!",F3753="NEW"),"",INDEX(B2:B$3752,-1+SUMPRODUCT(MAX(ROW(E2:E$3752)*(E3753=E2:E$3752)))))</f>
        <v/>
      </c>
      <c r="J3753" s="24" t="str">
        <f aca="true">IF(OR(E3753="",E3753="!!!",F3753="NEW"),"",COUNTBLANK(OFFSET(A$1,,,SUMPRODUCT(MAX(ROW(E$2:E3753)*(E3753=E$2:E3753)))))-COUNTBLANK(OFFSET(A$1,,,SUMPRODUCT(MAX(ROW(E$1:E3752)*(E2=E$1:E3752))))))</f>
        <v/>
      </c>
      <c r="K3753" s="24" t="str">
        <f aca="false">IF(OR(E3753="",E3753="!!!",F3753="NEW"),"",INDEX(J$1:J3752,SUMPRODUCT(MAX(ROW(E$1:E3752)*(E3753=E$1:E3752)))))</f>
        <v/>
      </c>
      <c r="L3753" s="31"/>
    </row>
    <row r="3754" customFormat="false" ht="15" hidden="false" customHeight="false" outlineLevel="0" collapsed="false">
      <c r="A3754" s="20" t="s">
        <v>2242</v>
      </c>
      <c r="B3754" s="22" t="s">
        <v>1105</v>
      </c>
      <c r="C3754" s="22" t="s">
        <v>1575</v>
      </c>
      <c r="D3754" s="22" t="s">
        <v>1060</v>
      </c>
      <c r="E3754" s="23" t="str">
        <f aca="false">IF(D3754="?OLD","!!!","")</f>
        <v>!!!</v>
      </c>
      <c r="F3754" s="25" t="str">
        <f aca="false">IF(OR(E3754="",E3754="!!!"),"",IF(NOT(ISNA(VLOOKUP(E3754,E$1:E3753,1,FALSE()))),"OLD",IF(AND(E3754&lt;&gt;"",E3754&lt;&gt;"!!!"),"NEW","")))</f>
        <v/>
      </c>
      <c r="G3754" s="26" t="str">
        <f aca="false">IF(OR(E3754="",E3754="!!!"),"",IF(OR(J3754=0,AND(J3754=1,K3754=1),AND(J3754=1,I3754="SBJ"),AND(J3754=1,I3754=0)),"?IN_FOCUS",IF(J3754&lt;=2,"?ACTIVATED",IF(J3754&lt;&gt;"","?FAMILIAR",IF(F3754="NEW",IF(ISNA(VLOOKUP(E3754,#REF!,1,FALSE())),"?TYPE_IDENTIFIABLE","?REFERENTIAL"),"_")))))</f>
        <v/>
      </c>
      <c r="H3754" s="27" t="str">
        <f aca="false">IF(J3754&lt;&gt;1,"",IF(I3754="SBJ","CB","?"))</f>
        <v/>
      </c>
      <c r="I3754" s="24" t="str">
        <f aca="false">IF(OR(E3754="",E3754="!!!",F3754="NEW"),"",INDEX(B3:B$3752,-1+SUMPRODUCT(MAX(ROW(E3:E$3752)*(E3754=E3:E$3752)))))</f>
        <v/>
      </c>
      <c r="J3754" s="24" t="str">
        <f aca="true">IF(OR(E3754="",E3754="!!!",F3754="NEW"),"",COUNTBLANK(OFFSET(A$1,,,SUMPRODUCT(MAX(ROW(E$2:E3754)*(E3754=E$2:E3754)))))-COUNTBLANK(OFFSET(A$1,,,SUMPRODUCT(MAX(ROW(E$1:E3753)*(E2=E$1:E3753))))))</f>
        <v/>
      </c>
      <c r="K3754" s="24" t="str">
        <f aca="false">IF(OR(E3754="",E3754="!!!",F3754="NEW"),"",INDEX(J$1:J3753,SUMPRODUCT(MAX(ROW(E$1:E3753)*(E3754=E$1:E3753)))))</f>
        <v/>
      </c>
      <c r="L3754" s="31"/>
    </row>
    <row r="3755" customFormat="false" ht="15" hidden="false" customHeight="false" outlineLevel="0" collapsed="false">
      <c r="A3755" s="20" t="s">
        <v>1076</v>
      </c>
      <c r="E3755" s="23" t="str">
        <f aca="false">IF(D3755="?OLD","!!!","")</f>
        <v/>
      </c>
      <c r="F3755" s="25" t="str">
        <f aca="false">IF(OR(E3755="",E3755="!!!"),"",IF(NOT(ISNA(VLOOKUP(E3755,E$1:E3754,1,FALSE()))),"OLD",IF(AND(E3755&lt;&gt;"",E3755&lt;&gt;"!!!"),"NEW","")))</f>
        <v/>
      </c>
      <c r="G3755" s="26" t="str">
        <f aca="false">IF(OR(E3755="",E3755="!!!"),"",IF(OR(J3755=0,AND(J3755=1,K3755=1),AND(J3755=1,I3755="SBJ"),AND(J3755=1,I3755=0)),"?IN_FOCUS",IF(J3755&lt;=2,"?ACTIVATED",IF(J3755&lt;&gt;"","?FAMILIAR",IF(F3755="NEW",IF(ISNA(VLOOKUP(E3755,#REF!,1,FALSE())),"?TYPE_IDENTIFIABLE","?REFERENTIAL"),"_")))))</f>
        <v/>
      </c>
      <c r="H3755" s="27" t="str">
        <f aca="false">IF(J3755&lt;&gt;1,"",IF(I3755="SBJ","CB","?"))</f>
        <v/>
      </c>
      <c r="I3755" s="24" t="str">
        <f aca="false">IF(OR(E3755="",E3755="!!!",F3755="NEW"),"",INDEX(B4:B$3752,-1+SUMPRODUCT(MAX(ROW(E4:E$3752)*(E3755=E4:E$3752)))))</f>
        <v/>
      </c>
      <c r="J3755" s="24" t="str">
        <f aca="true">IF(OR(E3755="",E3755="!!!",F3755="NEW"),"",COUNTBLANK(OFFSET(A$1,,,SUMPRODUCT(MAX(ROW(E$2:E3755)*(E3755=E$2:E3755)))))-COUNTBLANK(OFFSET(A$1,,,SUMPRODUCT(MAX(ROW(E$1:E3754)*(E2=E$1:E3754))))))</f>
        <v/>
      </c>
      <c r="K3755" s="24" t="str">
        <f aca="false">IF(OR(E3755="",E3755="!!!",F3755="NEW"),"",INDEX(J$1:J3754,SUMPRODUCT(MAX(ROW(E$1:E3754)*(E3755=E$1:E3754)))))</f>
        <v/>
      </c>
      <c r="L3755" s="31"/>
    </row>
    <row r="3756" customFormat="false" ht="15" hidden="false" customHeight="false" outlineLevel="0" collapsed="false">
      <c r="A3756" s="20" t="s">
        <v>1305</v>
      </c>
      <c r="B3756" s="22" t="s">
        <v>1105</v>
      </c>
      <c r="C3756" s="22" t="s">
        <v>1068</v>
      </c>
      <c r="D3756" s="22" t="s">
        <v>1060</v>
      </c>
      <c r="E3756" s="23" t="str">
        <f aca="false">IF(D3756="?OLD","!!!","")</f>
        <v>!!!</v>
      </c>
      <c r="F3756" s="25" t="str">
        <f aca="false">IF(OR(E3756="",E3756="!!!"),"",IF(NOT(ISNA(VLOOKUP(E3756,E$1:E3755,1,FALSE()))),"OLD",IF(AND(E3756&lt;&gt;"",E3756&lt;&gt;"!!!"),"NEW","")))</f>
        <v/>
      </c>
      <c r="G3756" s="26" t="str">
        <f aca="false">IF(OR(E3756="",E3756="!!!"),"",IF(OR(J3756=0,AND(J3756=1,K3756=1),AND(J3756=1,I3756="SBJ"),AND(J3756=1,I3756=0)),"?IN_FOCUS",IF(J3756&lt;=2,"?ACTIVATED",IF(J3756&lt;&gt;"","?FAMILIAR",IF(F3756="NEW",IF(ISNA(VLOOKUP(E3756,#REF!,1,FALSE())),"?TYPE_IDENTIFIABLE","?REFERENTIAL"),"_")))))</f>
        <v/>
      </c>
      <c r="H3756" s="27" t="str">
        <f aca="false">IF(J3756&lt;&gt;1,"",IF(I3756="SBJ","CB","?"))</f>
        <v/>
      </c>
      <c r="I3756" s="24" t="str">
        <f aca="false">IF(OR(E3756="",E3756="!!!",F3756="NEW"),"",INDEX(B5:B$3752,-1+SUMPRODUCT(MAX(ROW(E5:E$3752)*(E3756=E5:E$3752)))))</f>
        <v/>
      </c>
      <c r="J3756" s="24" t="str">
        <f aca="true">IF(OR(E3756="",E3756="!!!",F3756="NEW"),"",COUNTBLANK(OFFSET(A$1,,,SUMPRODUCT(MAX(ROW(E$2:E3756)*(E3756=E$2:E3756)))))-COUNTBLANK(OFFSET(A$1,,,SUMPRODUCT(MAX(ROW(E$1:E3755)*(E2=E$1:E3755))))))</f>
        <v/>
      </c>
      <c r="K3756" s="24" t="str">
        <f aca="false">IF(OR(E3756="",E3756="!!!",F3756="NEW"),"",INDEX(J$1:J3755,SUMPRODUCT(MAX(ROW(E$1:E3755)*(E3756=E$1:E3755)))))</f>
        <v/>
      </c>
      <c r="L3756" s="31"/>
    </row>
    <row r="3757" customFormat="false" ht="15" hidden="false" customHeight="false" outlineLevel="0" collapsed="false">
      <c r="A3757" s="20" t="s">
        <v>1076</v>
      </c>
      <c r="E3757" s="23" t="str">
        <f aca="false">IF(D3757="?OLD","!!!","")</f>
        <v/>
      </c>
      <c r="F3757" s="25" t="str">
        <f aca="false">IF(OR(E3757="",E3757="!!!"),"",IF(NOT(ISNA(VLOOKUP(E3757,E$1:E3756,1,FALSE()))),"OLD",IF(AND(E3757&lt;&gt;"",E3757&lt;&gt;"!!!"),"NEW","")))</f>
        <v/>
      </c>
      <c r="G3757" s="26" t="str">
        <f aca="false">IF(OR(E3757="",E3757="!!!"),"",IF(OR(J3757=0,AND(J3757=1,K3757=1),AND(J3757=1,I3757="SBJ"),AND(J3757=1,I3757=0)),"?IN_FOCUS",IF(J3757&lt;=2,"?ACTIVATED",IF(J3757&lt;&gt;"","?FAMILIAR",IF(F3757="NEW",IF(ISNA(VLOOKUP(E3757,#REF!,1,FALSE())),"?TYPE_IDENTIFIABLE","?REFERENTIAL"),"_")))))</f>
        <v/>
      </c>
      <c r="H3757" s="27" t="str">
        <f aca="false">IF(J3757&lt;&gt;1,"",IF(I3757="SBJ","CB","?"))</f>
        <v/>
      </c>
      <c r="I3757" s="24" t="str">
        <f aca="false">IF(OR(E3757="",E3757="!!!",F3757="NEW"),"",INDEX(B6:B$3752,-1+SUMPRODUCT(MAX(ROW(E6:E$3752)*(E3757=E6:E$3752)))))</f>
        <v/>
      </c>
      <c r="J3757" s="24" t="str">
        <f aca="true">IF(OR(E3757="",E3757="!!!",F3757="NEW"),"",COUNTBLANK(OFFSET(A$1,,,SUMPRODUCT(MAX(ROW(E$2:E3757)*(E3757=E$2:E3757)))))-COUNTBLANK(OFFSET(A$1,,,SUMPRODUCT(MAX(ROW(E$1:E3756)*(E2=E$1:E3756))))))</f>
        <v/>
      </c>
      <c r="K3757" s="24" t="str">
        <f aca="false">IF(OR(E3757="",E3757="!!!",F3757="NEW"),"",INDEX(J$1:J3756,SUMPRODUCT(MAX(ROW(E$1:E3756)*(E3757=E$1:E3756)))))</f>
        <v/>
      </c>
      <c r="L3757" s="31"/>
    </row>
    <row r="3758" customFormat="false" ht="15" hidden="false" customHeight="false" outlineLevel="0" collapsed="false">
      <c r="A3758" s="20" t="s">
        <v>2243</v>
      </c>
      <c r="B3758" s="22" t="s">
        <v>1073</v>
      </c>
      <c r="C3758" s="22" t="s">
        <v>1099</v>
      </c>
      <c r="D3758" s="22" t="s">
        <v>1060</v>
      </c>
      <c r="E3758" s="23" t="str">
        <f aca="false">IF(D3758="?OLD","!!!","")</f>
        <v>!!!</v>
      </c>
      <c r="F3758" s="25" t="str">
        <f aca="false">IF(OR(E3758="",E3758="!!!"),"",IF(NOT(ISNA(VLOOKUP(E3758,E$1:E3757,1,FALSE()))),"OLD",IF(AND(E3758&lt;&gt;"",E3758&lt;&gt;"!!!"),"NEW","")))</f>
        <v/>
      </c>
      <c r="G3758" s="26" t="str">
        <f aca="false">IF(OR(E3758="",E3758="!!!"),"",IF(OR(J3758=0,AND(J3758=1,K3758=1),AND(J3758=1,I3758="SBJ"),AND(J3758=1,I3758=0)),"?IN_FOCUS",IF(J3758&lt;=2,"?ACTIVATED",IF(J3758&lt;&gt;"","?FAMILIAR",IF(F3758="NEW",IF(ISNA(VLOOKUP(E3758,#REF!,1,FALSE())),"?TYPE_IDENTIFIABLE","?REFERENTIAL"),"_")))))</f>
        <v/>
      </c>
      <c r="H3758" s="27" t="str">
        <f aca="false">IF(J3758&lt;&gt;1,"",IF(I3758="SBJ","CB","?"))</f>
        <v/>
      </c>
      <c r="I3758" s="24" t="str">
        <f aca="false">IF(OR(E3758="",E3758="!!!",F3758="NEW"),"",INDEX(B7:B$3752,-1+SUMPRODUCT(MAX(ROW(E7:E$3752)*(E3758=E7:E$3752)))))</f>
        <v/>
      </c>
      <c r="J3758" s="24" t="str">
        <f aca="true">IF(OR(E3758="",E3758="!!!",F3758="NEW"),"",COUNTBLANK(OFFSET(A$1,,,SUMPRODUCT(MAX(ROW(E$2:E3758)*(E3758=E$2:E3758)))))-COUNTBLANK(OFFSET(A$1,,,SUMPRODUCT(MAX(ROW(E$1:E3757)*(E2=E$1:E3757))))))</f>
        <v/>
      </c>
      <c r="K3758" s="24" t="str">
        <f aca="false">IF(OR(E3758="",E3758="!!!",F3758="NEW"),"",INDEX(J$1:J3757,SUMPRODUCT(MAX(ROW(E$1:E3757)*(E3758=E$1:E3757)))))</f>
        <v/>
      </c>
      <c r="L3758" s="31"/>
    </row>
    <row r="3759" customFormat="false" ht="15" hidden="false" customHeight="false" outlineLevel="0" collapsed="false">
      <c r="A3759" s="20" t="s">
        <v>1991</v>
      </c>
      <c r="E3759" s="23" t="str">
        <f aca="false">IF(D3759="?OLD","!!!","")</f>
        <v/>
      </c>
      <c r="F3759" s="25" t="str">
        <f aca="false">IF(OR(E3759="",E3759="!!!"),"",IF(NOT(ISNA(VLOOKUP(E3759,E$1:E3758,1,FALSE()))),"OLD",IF(AND(E3759&lt;&gt;"",E3759&lt;&gt;"!!!"),"NEW","")))</f>
        <v/>
      </c>
      <c r="G3759" s="26" t="str">
        <f aca="false">IF(OR(E3759="",E3759="!!!"),"",IF(OR(J3759=0,AND(J3759=1,K3759=1),AND(J3759=1,I3759="SBJ"),AND(J3759=1,I3759=0)),"?IN_FOCUS",IF(J3759&lt;=2,"?ACTIVATED",IF(J3759&lt;&gt;"","?FAMILIAR",IF(F3759="NEW",IF(ISNA(VLOOKUP(E3759,#REF!,1,FALSE())),"?TYPE_IDENTIFIABLE","?REFERENTIAL"),"_")))))</f>
        <v/>
      </c>
      <c r="H3759" s="27" t="str">
        <f aca="false">IF(J3759&lt;&gt;1,"",IF(I3759="SBJ","CB","?"))</f>
        <v/>
      </c>
      <c r="I3759" s="24" t="str">
        <f aca="false">IF(OR(E3759="",E3759="!!!",F3759="NEW"),"",INDEX(B8:B$3752,-1+SUMPRODUCT(MAX(ROW(E8:E$3752)*(E3759=E8:E$3752)))))</f>
        <v/>
      </c>
      <c r="J3759" s="24" t="str">
        <f aca="true">IF(OR(E3759="",E3759="!!!",F3759="NEW"),"",COUNTBLANK(OFFSET(A$1,,,SUMPRODUCT(MAX(ROW(E$2:E3759)*(E3759=E$2:E3759)))))-COUNTBLANK(OFFSET(A$1,,,SUMPRODUCT(MAX(ROW(E$1:E3758)*(E2=E$1:E3758))))))</f>
        <v/>
      </c>
      <c r="K3759" s="24" t="str">
        <f aca="false">IF(OR(E3759="",E3759="!!!",F3759="NEW"),"",INDEX(J$1:J3758,SUMPRODUCT(MAX(ROW(E$1:E3758)*(E3759=E$1:E3758)))))</f>
        <v/>
      </c>
      <c r="L3759" s="31"/>
    </row>
    <row r="3760" customFormat="false" ht="15" hidden="false" customHeight="false" outlineLevel="0" collapsed="false">
      <c r="A3760" s="20" t="s">
        <v>16</v>
      </c>
      <c r="E3760" s="23" t="str">
        <f aca="false">IF(D3760="?OLD","!!!","")</f>
        <v/>
      </c>
      <c r="F3760" s="25" t="str">
        <f aca="false">IF(OR(E3760="",E3760="!!!"),"",IF(NOT(ISNA(VLOOKUP(E3760,E$1:E3759,1,FALSE()))),"OLD",IF(AND(E3760&lt;&gt;"",E3760&lt;&gt;"!!!"),"NEW","")))</f>
        <v/>
      </c>
      <c r="G3760" s="26" t="str">
        <f aca="false">IF(OR(E3760="",E3760="!!!"),"",IF(OR(J3760=0,AND(J3760=1,K3760=1),AND(J3760=1,I3760="SBJ"),AND(J3760=1,I3760=0)),"?IN_FOCUS",IF(J3760&lt;=2,"?ACTIVATED",IF(J3760&lt;&gt;"","?FAMILIAR",IF(F3760="NEW",IF(ISNA(VLOOKUP(E3760,#REF!,1,FALSE())),"?TYPE_IDENTIFIABLE","?REFERENTIAL"),"_")))))</f>
        <v/>
      </c>
      <c r="H3760" s="27" t="str">
        <f aca="false">IF(J3760&lt;&gt;1,"",IF(I3760="SBJ","CB","?"))</f>
        <v/>
      </c>
      <c r="I3760" s="24" t="str">
        <f aca="false">IF(OR(E3760="",E3760="!!!",F3760="NEW"),"",INDEX(B9:B$3752,-1+SUMPRODUCT(MAX(ROW(E9:E$3752)*(E3760=E9:E$3752)))))</f>
        <v/>
      </c>
      <c r="J3760" s="24" t="str">
        <f aca="true">IF(OR(E3760="",E3760="!!!",F3760="NEW"),"",COUNTBLANK(OFFSET(A$1,,,SUMPRODUCT(MAX(ROW(E$2:E3760)*(E3760=E$2:E3760)))))-COUNTBLANK(OFFSET(A$1,,,SUMPRODUCT(MAX(ROW(E$1:E3759)*(E2=E$1:E3759))))))</f>
        <v/>
      </c>
      <c r="K3760" s="24" t="str">
        <f aca="false">IF(OR(E3760="",E3760="!!!",F3760="NEW"),"",INDEX(J$1:J3759,SUMPRODUCT(MAX(ROW(E$1:E3759)*(E3760=E$1:E3759)))))</f>
        <v/>
      </c>
      <c r="L3760" s="31"/>
    </row>
    <row r="3761" customFormat="false" ht="15" hidden="false" customHeight="false" outlineLevel="0" collapsed="false">
      <c r="A3761" s="20" t="s">
        <v>2244</v>
      </c>
      <c r="B3761" s="22" t="s">
        <v>1105</v>
      </c>
      <c r="C3761" s="22" t="s">
        <v>1059</v>
      </c>
      <c r="D3761" s="22" t="s">
        <v>1060</v>
      </c>
      <c r="E3761" s="23" t="str">
        <f aca="false">IF(D3761="?OLD","!!!","")</f>
        <v>!!!</v>
      </c>
      <c r="F3761" s="25" t="str">
        <f aca="false">IF(OR(E3761="",E3761="!!!"),"",IF(NOT(ISNA(VLOOKUP(E3761,E$1:E3760,1,FALSE()))),"OLD",IF(AND(E3761&lt;&gt;"",E3761&lt;&gt;"!!!"),"NEW","")))</f>
        <v/>
      </c>
      <c r="G3761" s="26" t="str">
        <f aca="false">IF(OR(E3761="",E3761="!!!"),"",IF(OR(J3761=0,AND(J3761=1,K3761=1),AND(J3761=1,I3761="SBJ"),AND(J3761=1,I3761=0)),"?IN_FOCUS",IF(J3761&lt;=2,"?ACTIVATED",IF(J3761&lt;&gt;"","?FAMILIAR",IF(F3761="NEW",IF(ISNA(VLOOKUP(E3761,#REF!,1,FALSE())),"?TYPE_IDENTIFIABLE","?REFERENTIAL"),"_")))))</f>
        <v/>
      </c>
      <c r="H3761" s="27" t="str">
        <f aca="false">IF(J3761&lt;&gt;1,"",IF(I3761="SBJ","CB","?"))</f>
        <v/>
      </c>
      <c r="I3761" s="24" t="str">
        <f aca="false">IF(OR(E3761="",E3761="!!!",F3761="NEW"),"",INDEX(B10:B$3752,-1+SUMPRODUCT(MAX(ROW(E10:E$3752)*(E3761=E10:E$3752)))))</f>
        <v/>
      </c>
      <c r="J3761" s="24" t="str">
        <f aca="true">IF(OR(E3761="",E3761="!!!",F3761="NEW"),"",COUNTBLANK(OFFSET(A$1,,,SUMPRODUCT(MAX(ROW(E$2:E3761)*(E3761=E$2:E3761)))))-COUNTBLANK(OFFSET(A$1,,,SUMPRODUCT(MAX(ROW(E$1:E3760)*(E2=E$1:E3760))))))</f>
        <v/>
      </c>
      <c r="K3761" s="24" t="str">
        <f aca="false">IF(OR(E3761="",E3761="!!!",F3761="NEW"),"",INDEX(J$1:J3760,SUMPRODUCT(MAX(ROW(E$1:E3760)*(E3761=E$1:E3760)))))</f>
        <v/>
      </c>
      <c r="L3761" s="31"/>
    </row>
    <row r="3762" customFormat="false" ht="15" hidden="false" customHeight="false" outlineLevel="0" collapsed="false">
      <c r="A3762" s="20" t="s">
        <v>1328</v>
      </c>
      <c r="E3762" s="23" t="str">
        <f aca="false">IF(D3762="?OLD","!!!","")</f>
        <v/>
      </c>
      <c r="F3762" s="25" t="str">
        <f aca="false">IF(OR(E3762="",E3762="!!!"),"",IF(NOT(ISNA(VLOOKUP(E3762,E$1:E3761,1,FALSE()))),"OLD",IF(AND(E3762&lt;&gt;"",E3762&lt;&gt;"!!!"),"NEW","")))</f>
        <v/>
      </c>
      <c r="G3762" s="26" t="str">
        <f aca="false">IF(OR(E3762="",E3762="!!!"),"",IF(OR(J3762=0,AND(J3762=1,K3762=1),AND(J3762=1,I3762="SBJ"),AND(J3762=1,I3762=0)),"?IN_FOCUS",IF(J3762&lt;=2,"?ACTIVATED",IF(J3762&lt;&gt;"","?FAMILIAR",IF(F3762="NEW",IF(ISNA(VLOOKUP(E3762,#REF!,1,FALSE())),"?TYPE_IDENTIFIABLE","?REFERENTIAL"),"_")))))</f>
        <v/>
      </c>
      <c r="H3762" s="27" t="str">
        <f aca="false">IF(J3762&lt;&gt;1,"",IF(I3762="SBJ","CB","?"))</f>
        <v/>
      </c>
      <c r="I3762" s="24" t="str">
        <f aca="false">IF(OR(E3762="",E3762="!!!",F3762="NEW"),"",INDEX(B11:B$3752,-1+SUMPRODUCT(MAX(ROW(E11:E$3752)*(E3762=E11:E$3752)))))</f>
        <v/>
      </c>
      <c r="J3762" s="24" t="str">
        <f aca="true">IF(OR(E3762="",E3762="!!!",F3762="NEW"),"",COUNTBLANK(OFFSET(A$1,,,SUMPRODUCT(MAX(ROW(E$2:E3762)*(E3762=E$2:E3762)))))-COUNTBLANK(OFFSET(A$1,,,SUMPRODUCT(MAX(ROW(E$1:E3761)*(E2=E$1:E3761))))))</f>
        <v/>
      </c>
      <c r="K3762" s="24" t="str">
        <f aca="false">IF(OR(E3762="",E3762="!!!",F3762="NEW"),"",INDEX(J$1:J3761,SUMPRODUCT(MAX(ROW(E$1:E3761)*(E3762=E$1:E3761)))))</f>
        <v/>
      </c>
      <c r="L3762" s="31"/>
    </row>
    <row r="3763" customFormat="false" ht="15" hidden="false" customHeight="false" outlineLevel="0" collapsed="false">
      <c r="A3763" s="20"/>
    </row>
    <row r="3764" customFormat="false" ht="15" hidden="false" customHeight="false" outlineLevel="0" collapsed="false">
      <c r="A3764" s="20" t="s">
        <v>2245</v>
      </c>
    </row>
    <row r="3765" customFormat="false" ht="15" hidden="false" customHeight="false" outlineLevel="0" collapsed="false">
      <c r="A3765" s="20" t="s">
        <v>2246</v>
      </c>
      <c r="E3765" s="23" t="str">
        <f aca="false">IF(D3765="?OLD","!!!","")</f>
        <v/>
      </c>
      <c r="F3765" s="25" t="str">
        <f aca="false">IF(OR(E3765="",E3765="!!!"),"",IF(NOT(ISNA(VLOOKUP(E3765,E$1:E3764,1,FALSE()))),"OLD",IF(AND(E3765&lt;&gt;"",E3765&lt;&gt;"!!!"),"NEW","")))</f>
        <v/>
      </c>
      <c r="G3765" s="26" t="str">
        <f aca="false">IF(OR(E3765="",E3765="!!!"),"",IF(OR(J3765=0,AND(J3765=1,K3765=1),AND(J3765=1,I3765="SBJ"),AND(J3765=1,I3765=0)),"?IN_FOCUS",IF(J3765&lt;=2,"?ACTIVATED",IF(J3765&lt;&gt;"","?FAMILIAR",IF(F3765="NEW",IF(ISNA(VLOOKUP(E3765,#REF!,1,FALSE())),"?TYPE_IDENTIFIABLE","?REFERENTIAL"),"_")))))</f>
        <v/>
      </c>
      <c r="H3765" s="27" t="str">
        <f aca="false">IF(J3765&lt;&gt;1,"",IF(I3765="SBJ","CB","?"))</f>
        <v/>
      </c>
      <c r="I3765" s="24" t="str">
        <f aca="false">IF(OR(E3765="",E3765="!!!",F3765="NEW"),"",INDEX(B2:B$3764,-1+SUMPRODUCT(MAX(ROW(E2:E$3764)*(E3765=E2:E$3764)))))</f>
        <v/>
      </c>
      <c r="J3765" s="24" t="str">
        <f aca="true">IF(OR(E3765="",E3765="!!!",F3765="NEW"),"",COUNTBLANK(OFFSET(A$1,,,SUMPRODUCT(MAX(ROW(E$2:E3765)*(E3765=E$2:E3765)))))-COUNTBLANK(OFFSET(A$1,,,SUMPRODUCT(MAX(ROW(E$1:E3764)*(E2=E$1:E3764))))))</f>
        <v/>
      </c>
      <c r="K3765" s="24" t="str">
        <f aca="false">IF(OR(E3765="",E3765="!!!",F3765="NEW"),"",INDEX(J$1:J3764,SUMPRODUCT(MAX(ROW(E$1:E3764)*(E3765=E$1:E3764)))))</f>
        <v/>
      </c>
      <c r="L3765" s="31"/>
    </row>
    <row r="3766" customFormat="false" ht="15" hidden="false" customHeight="false" outlineLevel="0" collapsed="false">
      <c r="A3766" s="20" t="s">
        <v>2232</v>
      </c>
      <c r="B3766" s="22" t="s">
        <v>1081</v>
      </c>
      <c r="C3766" s="22" t="s">
        <v>1082</v>
      </c>
      <c r="D3766" s="22" t="s">
        <v>1060</v>
      </c>
      <c r="E3766" s="23" t="str">
        <f aca="false">IF(D3766="?OLD","!!!","")</f>
        <v>!!!</v>
      </c>
      <c r="F3766" s="25" t="str">
        <f aca="false">IF(OR(E3766="",E3766="!!!"),"",IF(NOT(ISNA(VLOOKUP(E3766,E$1:E3765,1,FALSE()))),"OLD",IF(AND(E3766&lt;&gt;"",E3766&lt;&gt;"!!!"),"NEW","")))</f>
        <v/>
      </c>
      <c r="G3766" s="26" t="str">
        <f aca="false">IF(OR(E3766="",E3766="!!!"),"",IF(OR(J3766=0,AND(J3766=1,K3766=1),AND(J3766=1,I3766="SBJ"),AND(J3766=1,I3766=0)),"?IN_FOCUS",IF(J3766&lt;=2,"?ACTIVATED",IF(J3766&lt;&gt;"","?FAMILIAR",IF(F3766="NEW",IF(ISNA(VLOOKUP(E3766,#REF!,1,FALSE())),"?TYPE_IDENTIFIABLE","?REFERENTIAL"),"_")))))</f>
        <v/>
      </c>
      <c r="H3766" s="27" t="str">
        <f aca="false">IF(J3766&lt;&gt;1,"",IF(I3766="SBJ","CB","?"))</f>
        <v/>
      </c>
      <c r="I3766" s="24" t="str">
        <f aca="false">IF(OR(E3766="",E3766="!!!",F3766="NEW"),"",INDEX(B3:B$3764,-1+SUMPRODUCT(MAX(ROW(E3:E$3764)*(E3766=E3:E$3764)))))</f>
        <v/>
      </c>
      <c r="J3766" s="24" t="str">
        <f aca="true">IF(OR(E3766="",E3766="!!!",F3766="NEW"),"",COUNTBLANK(OFFSET(A$1,,,SUMPRODUCT(MAX(ROW(E$2:E3766)*(E3766=E$2:E3766)))))-COUNTBLANK(OFFSET(A$1,,,SUMPRODUCT(MAX(ROW(E$1:E3765)*(E2=E$1:E3765))))))</f>
        <v/>
      </c>
      <c r="K3766" s="24" t="str">
        <f aca="false">IF(OR(E3766="",E3766="!!!",F3766="NEW"),"",INDEX(J$1:J3765,SUMPRODUCT(MAX(ROW(E$1:E3765)*(E3766=E$1:E3765)))))</f>
        <v/>
      </c>
      <c r="L3766" s="31"/>
    </row>
    <row r="3767" customFormat="false" ht="15" hidden="false" customHeight="false" outlineLevel="0" collapsed="false">
      <c r="A3767" s="20" t="s">
        <v>1173</v>
      </c>
      <c r="E3767" s="23" t="str">
        <f aca="false">IF(D3767="?OLD","!!!","")</f>
        <v/>
      </c>
      <c r="F3767" s="25" t="str">
        <f aca="false">IF(OR(E3767="",E3767="!!!"),"",IF(NOT(ISNA(VLOOKUP(E3767,E$1:E3766,1,FALSE()))),"OLD",IF(AND(E3767&lt;&gt;"",E3767&lt;&gt;"!!!"),"NEW","")))</f>
        <v/>
      </c>
      <c r="G3767" s="26" t="str">
        <f aca="false">IF(OR(E3767="",E3767="!!!"),"",IF(OR(J3767=0,AND(J3767=1,K3767=1),AND(J3767=1,I3767="SBJ"),AND(J3767=1,I3767=0)),"?IN_FOCUS",IF(J3767&lt;=2,"?ACTIVATED",IF(J3767&lt;&gt;"","?FAMILIAR",IF(F3767="NEW",IF(ISNA(VLOOKUP(E3767,#REF!,1,FALSE())),"?TYPE_IDENTIFIABLE","?REFERENTIAL"),"_")))))</f>
        <v/>
      </c>
      <c r="H3767" s="27" t="str">
        <f aca="false">IF(J3767&lt;&gt;1,"",IF(I3767="SBJ","CB","?"))</f>
        <v/>
      </c>
      <c r="I3767" s="24" t="str">
        <f aca="false">IF(OR(E3767="",E3767="!!!",F3767="NEW"),"",INDEX(B4:B$3764,-1+SUMPRODUCT(MAX(ROW(E4:E$3764)*(E3767=E4:E$3764)))))</f>
        <v/>
      </c>
      <c r="J3767" s="24" t="str">
        <f aca="true">IF(OR(E3767="",E3767="!!!",F3767="NEW"),"",COUNTBLANK(OFFSET(A$1,,,SUMPRODUCT(MAX(ROW(E$2:E3767)*(E3767=E$2:E3767)))))-COUNTBLANK(OFFSET(A$1,,,SUMPRODUCT(MAX(ROW(E$1:E3766)*(E2=E$1:E3766))))))</f>
        <v/>
      </c>
      <c r="K3767" s="24" t="str">
        <f aca="false">IF(OR(E3767="",E3767="!!!",F3767="NEW"),"",INDEX(J$1:J3766,SUMPRODUCT(MAX(ROW(E$1:E3766)*(E3767=E$1:E3766)))))</f>
        <v/>
      </c>
      <c r="L3767" s="31"/>
    </row>
    <row r="3768" customFormat="false" ht="15" hidden="false" customHeight="false" outlineLevel="0" collapsed="false">
      <c r="A3768" s="20" t="s">
        <v>1109</v>
      </c>
      <c r="E3768" s="23" t="str">
        <f aca="false">IF(D3768="?OLD","!!!","")</f>
        <v/>
      </c>
      <c r="F3768" s="25" t="str">
        <f aca="false">IF(OR(E3768="",E3768="!!!"),"",IF(NOT(ISNA(VLOOKUP(E3768,E$1:E3767,1,FALSE()))),"OLD",IF(AND(E3768&lt;&gt;"",E3768&lt;&gt;"!!!"),"NEW","")))</f>
        <v/>
      </c>
      <c r="G3768" s="26" t="str">
        <f aca="false">IF(OR(E3768="",E3768="!!!"),"",IF(OR(J3768=0,AND(J3768=1,K3768=1),AND(J3768=1,I3768="SBJ"),AND(J3768=1,I3768=0)),"?IN_FOCUS",IF(J3768&lt;=2,"?ACTIVATED",IF(J3768&lt;&gt;"","?FAMILIAR",IF(F3768="NEW",IF(ISNA(VLOOKUP(E3768,#REF!,1,FALSE())),"?TYPE_IDENTIFIABLE","?REFERENTIAL"),"_")))))</f>
        <v/>
      </c>
      <c r="H3768" s="27" t="str">
        <f aca="false">IF(J3768&lt;&gt;1,"",IF(I3768="SBJ","CB","?"))</f>
        <v/>
      </c>
      <c r="I3768" s="24" t="str">
        <f aca="false">IF(OR(E3768="",E3768="!!!",F3768="NEW"),"",INDEX(B5:B$3764,-1+SUMPRODUCT(MAX(ROW(E5:E$3764)*(E3768=E5:E$3764)))))</f>
        <v/>
      </c>
      <c r="J3768" s="24" t="str">
        <f aca="true">IF(OR(E3768="",E3768="!!!",F3768="NEW"),"",COUNTBLANK(OFFSET(A$1,,,SUMPRODUCT(MAX(ROW(E$2:E3768)*(E3768=E$2:E3768)))))-COUNTBLANK(OFFSET(A$1,,,SUMPRODUCT(MAX(ROW(E$1:E3767)*(E2=E$1:E3767))))))</f>
        <v/>
      </c>
      <c r="K3768" s="24" t="str">
        <f aca="false">IF(OR(E3768="",E3768="!!!",F3768="NEW"),"",INDEX(J$1:J3767,SUMPRODUCT(MAX(ROW(E$1:E3767)*(E3768=E$1:E3767)))))</f>
        <v/>
      </c>
      <c r="L3768" s="31"/>
    </row>
    <row r="3769" customFormat="false" ht="15" hidden="false" customHeight="false" outlineLevel="0" collapsed="false">
      <c r="A3769" s="20" t="s">
        <v>1524</v>
      </c>
      <c r="B3769" s="22" t="s">
        <v>1105</v>
      </c>
      <c r="C3769" s="22" t="s">
        <v>1150</v>
      </c>
      <c r="D3769" s="22" t="s">
        <v>1060</v>
      </c>
      <c r="E3769" s="23" t="str">
        <f aca="false">IF(D3769="?OLD","!!!","")</f>
        <v>!!!</v>
      </c>
      <c r="F3769" s="25" t="str">
        <f aca="false">IF(OR(E3769="",E3769="!!!"),"",IF(NOT(ISNA(VLOOKUP(E3769,E$1:E3768,1,FALSE()))),"OLD",IF(AND(E3769&lt;&gt;"",E3769&lt;&gt;"!!!"),"NEW","")))</f>
        <v/>
      </c>
      <c r="G3769" s="26" t="str">
        <f aca="false">IF(OR(E3769="",E3769="!!!"),"",IF(OR(J3769=0,AND(J3769=1,K3769=1),AND(J3769=1,I3769="SBJ"),AND(J3769=1,I3769=0)),"?IN_FOCUS",IF(J3769&lt;=2,"?ACTIVATED",IF(J3769&lt;&gt;"","?FAMILIAR",IF(F3769="NEW",IF(ISNA(VLOOKUP(E3769,#REF!,1,FALSE())),"?TYPE_IDENTIFIABLE","?REFERENTIAL"),"_")))))</f>
        <v/>
      </c>
      <c r="H3769" s="27" t="str">
        <f aca="false">IF(J3769&lt;&gt;1,"",IF(I3769="SBJ","CB","?"))</f>
        <v/>
      </c>
      <c r="I3769" s="24" t="str">
        <f aca="false">IF(OR(E3769="",E3769="!!!",F3769="NEW"),"",INDEX(B6:B$3764,-1+SUMPRODUCT(MAX(ROW(E6:E$3764)*(E3769=E6:E$3764)))))</f>
        <v/>
      </c>
      <c r="J3769" s="24" t="str">
        <f aca="true">IF(OR(E3769="",E3769="!!!",F3769="NEW"),"",COUNTBLANK(OFFSET(A$1,,,SUMPRODUCT(MAX(ROW(E$2:E3769)*(E3769=E$2:E3769)))))-COUNTBLANK(OFFSET(A$1,,,SUMPRODUCT(MAX(ROW(E$1:E3768)*(E2=E$1:E3768))))))</f>
        <v/>
      </c>
      <c r="K3769" s="24" t="str">
        <f aca="false">IF(OR(E3769="",E3769="!!!",F3769="NEW"),"",INDEX(J$1:J3768,SUMPRODUCT(MAX(ROW(E$1:E3768)*(E3769=E$1:E3768)))))</f>
        <v/>
      </c>
      <c r="L3769" s="31"/>
    </row>
    <row r="3770" customFormat="false" ht="15" hidden="false" customHeight="false" outlineLevel="0" collapsed="false">
      <c r="A3770" s="20" t="s">
        <v>1328</v>
      </c>
      <c r="E3770" s="23" t="str">
        <f aca="false">IF(D3770="?OLD","!!!","")</f>
        <v/>
      </c>
      <c r="F3770" s="25" t="str">
        <f aca="false">IF(OR(E3770="",E3770="!!!"),"",IF(NOT(ISNA(VLOOKUP(E3770,E$1:E3769,1,FALSE()))),"OLD",IF(AND(E3770&lt;&gt;"",E3770&lt;&gt;"!!!"),"NEW","")))</f>
        <v/>
      </c>
      <c r="G3770" s="26" t="str">
        <f aca="false">IF(OR(E3770="",E3770="!!!"),"",IF(OR(J3770=0,AND(J3770=1,K3770=1),AND(J3770=1,I3770="SBJ"),AND(J3770=1,I3770=0)),"?IN_FOCUS",IF(J3770&lt;=2,"?ACTIVATED",IF(J3770&lt;&gt;"","?FAMILIAR",IF(F3770="NEW",IF(ISNA(VLOOKUP(E3770,#REF!,1,FALSE())),"?TYPE_IDENTIFIABLE","?REFERENTIAL"),"_")))))</f>
        <v/>
      </c>
      <c r="H3770" s="27" t="str">
        <f aca="false">IF(J3770&lt;&gt;1,"",IF(I3770="SBJ","CB","?"))</f>
        <v/>
      </c>
      <c r="I3770" s="24" t="str">
        <f aca="false">IF(OR(E3770="",E3770="!!!",F3770="NEW"),"",INDEX(B7:B$3764,-1+SUMPRODUCT(MAX(ROW(E7:E$3764)*(E3770=E7:E$3764)))))</f>
        <v/>
      </c>
      <c r="J3770" s="24" t="str">
        <f aca="true">IF(OR(E3770="",E3770="!!!",F3770="NEW"),"",COUNTBLANK(OFFSET(A$1,,,SUMPRODUCT(MAX(ROW(E$2:E3770)*(E3770=E$2:E3770)))))-COUNTBLANK(OFFSET(A$1,,,SUMPRODUCT(MAX(ROW(E$1:E3769)*(E2=E$1:E3769))))))</f>
        <v/>
      </c>
      <c r="K3770" s="24" t="str">
        <f aca="false">IF(OR(E3770="",E3770="!!!",F3770="NEW"),"",INDEX(J$1:J3769,SUMPRODUCT(MAX(ROW(E$1:E3769)*(E3770=E$1:E3769)))))</f>
        <v/>
      </c>
      <c r="L3770" s="31"/>
    </row>
    <row r="3771" customFormat="false" ht="15" hidden="false" customHeight="false" outlineLevel="0" collapsed="false">
      <c r="A3771" s="20"/>
    </row>
    <row r="3772" customFormat="false" ht="15" hidden="false" customHeight="false" outlineLevel="0" collapsed="false">
      <c r="A3772" s="20" t="s">
        <v>1301</v>
      </c>
      <c r="E3772" s="23" t="str">
        <f aca="false">IF(D3772="?OLD","!!!","")</f>
        <v/>
      </c>
      <c r="F3772" s="25" t="str">
        <f aca="false">IF(OR(E3772="",E3772="!!!"),"",IF(NOT(ISNA(VLOOKUP(E3772,E$1:E3771,1,FALSE()))),"OLD",IF(AND(E3772&lt;&gt;"",E3772&lt;&gt;"!!!"),"NEW","")))</f>
        <v/>
      </c>
      <c r="G3772" s="26" t="str">
        <f aca="false">IF(OR(E3772="",E3772="!!!"),"",IF(OR(J3772=0,AND(J3772=1,K3772=1),AND(J3772=1,I3772="SBJ"),AND(J3772=1,I3772=0)),"?IN_FOCUS",IF(J3772&lt;=2,"?ACTIVATED",IF(J3772&lt;&gt;"","?FAMILIAR",IF(F3772="NEW",IF(ISNA(VLOOKUP(E3772,#REF!,1,FALSE())),"?TYPE_IDENTIFIABLE","?REFERENTIAL"),"_")))))</f>
        <v/>
      </c>
      <c r="H3772" s="27" t="str">
        <f aca="false">IF(J3772&lt;&gt;1,"",IF(I3772="SBJ","CB","?"))</f>
        <v/>
      </c>
      <c r="I3772" s="24" t="str">
        <f aca="false">IF(OR(E3772="",E3772="!!!",F3772="NEW"),"",INDEX(B2:B$3771,-1+SUMPRODUCT(MAX(ROW(E2:E$3771)*(E3772=E2:E$3771)))))</f>
        <v/>
      </c>
      <c r="J3772" s="24" t="str">
        <f aca="true">IF(OR(E3772="",E3772="!!!",F3772="NEW"),"",COUNTBLANK(OFFSET(A$1,,,SUMPRODUCT(MAX(ROW(E$2:E3772)*(E3772=E$2:E3772)))))-COUNTBLANK(OFFSET(A$1,,,SUMPRODUCT(MAX(ROW(E$1:E3771)*(E2=E$1:E3771))))))</f>
        <v/>
      </c>
      <c r="K3772" s="24" t="str">
        <f aca="false">IF(OR(E3772="",E3772="!!!",F3772="NEW"),"",INDEX(J$1:J3771,SUMPRODUCT(MAX(ROW(E$1:E3771)*(E3772=E$1:E3771)))))</f>
        <v/>
      </c>
      <c r="L3772" s="31"/>
    </row>
    <row r="3773" customFormat="false" ht="15" hidden="false" customHeight="false" outlineLevel="0" collapsed="false">
      <c r="A3773" s="20" t="s">
        <v>2247</v>
      </c>
    </row>
    <row r="3774" customFormat="false" ht="15" hidden="false" customHeight="false" outlineLevel="0" collapsed="false">
      <c r="A3774" s="20" t="s">
        <v>2248</v>
      </c>
      <c r="B3774" s="22" t="s">
        <v>1058</v>
      </c>
      <c r="C3774" s="22" t="s">
        <v>1082</v>
      </c>
      <c r="D3774" s="22" t="s">
        <v>1060</v>
      </c>
      <c r="E3774" s="23" t="str">
        <f aca="false">IF(D3774="?OLD","!!!","")</f>
        <v>!!!</v>
      </c>
      <c r="F3774" s="25" t="str">
        <f aca="false">IF(OR(E3774="",E3774="!!!"),"",IF(NOT(ISNA(VLOOKUP(E3774,E$1:E3773,1,FALSE()))),"OLD",IF(AND(E3774&lt;&gt;"",E3774&lt;&gt;"!!!"),"NEW","")))</f>
        <v/>
      </c>
      <c r="G3774" s="26" t="str">
        <f aca="false">IF(OR(E3774="",E3774="!!!"),"",IF(OR(J3774=0,AND(J3774=1,K3774=1),AND(J3774=1,I3774="SBJ"),AND(J3774=1,I3774=0)),"?IN_FOCUS",IF(J3774&lt;=2,"?ACTIVATED",IF(J3774&lt;&gt;"","?FAMILIAR",IF(F3774="NEW",IF(ISNA(VLOOKUP(E3774,#REF!,1,FALSE())),"?TYPE_IDENTIFIABLE","?REFERENTIAL"),"_")))))</f>
        <v/>
      </c>
      <c r="H3774" s="27" t="str">
        <f aca="false">IF(J3774&lt;&gt;1,"",IF(I3774="SBJ","CB","?"))</f>
        <v/>
      </c>
      <c r="I3774" s="24" t="str">
        <f aca="false">IF(OR(E3774="",E3774="!!!",F3774="NEW"),"",INDEX(B2:B$3773,-1+SUMPRODUCT(MAX(ROW(E2:E$3773)*(E3774=E2:E$3773)))))</f>
        <v/>
      </c>
      <c r="J3774" s="24" t="str">
        <f aca="true">IF(OR(E3774="",E3774="!!!",F3774="NEW"),"",COUNTBLANK(OFFSET(A$1,,,SUMPRODUCT(MAX(ROW(E$2:E3774)*(E3774=E$2:E3774)))))-COUNTBLANK(OFFSET(A$1,,,SUMPRODUCT(MAX(ROW(E$1:E3773)*(E2=E$1:E3773))))))</f>
        <v/>
      </c>
      <c r="K3774" s="24" t="str">
        <f aca="false">IF(OR(E3774="",E3774="!!!",F3774="NEW"),"",INDEX(J$1:J3773,SUMPRODUCT(MAX(ROW(E$1:E3773)*(E3774=E$1:E3773)))))</f>
        <v/>
      </c>
      <c r="L3774" s="31"/>
    </row>
    <row r="3775" customFormat="false" ht="15" hidden="false" customHeight="false" outlineLevel="0" collapsed="false">
      <c r="A3775" s="20" t="s">
        <v>2249</v>
      </c>
      <c r="E3775" s="23" t="str">
        <f aca="false">IF(D3775="?OLD","!!!","")</f>
        <v/>
      </c>
      <c r="F3775" s="25" t="str">
        <f aca="false">IF(OR(E3775="",E3775="!!!"),"",IF(NOT(ISNA(VLOOKUP(E3775,E$1:E3774,1,FALSE()))),"OLD",IF(AND(E3775&lt;&gt;"",E3775&lt;&gt;"!!!"),"NEW","")))</f>
        <v/>
      </c>
      <c r="G3775" s="26" t="str">
        <f aca="false">IF(OR(E3775="",E3775="!!!"),"",IF(OR(J3775=0,AND(J3775=1,K3775=1),AND(J3775=1,I3775="SBJ"),AND(J3775=1,I3775=0)),"?IN_FOCUS",IF(J3775&lt;=2,"?ACTIVATED",IF(J3775&lt;&gt;"","?FAMILIAR",IF(F3775="NEW",IF(ISNA(VLOOKUP(E3775,#REF!,1,FALSE())),"?TYPE_IDENTIFIABLE","?REFERENTIAL"),"_")))))</f>
        <v/>
      </c>
      <c r="H3775" s="27" t="str">
        <f aca="false">IF(J3775&lt;&gt;1,"",IF(I3775="SBJ","CB","?"))</f>
        <v/>
      </c>
      <c r="I3775" s="24" t="str">
        <f aca="false">IF(OR(E3775="",E3775="!!!",F3775="NEW"),"",INDEX(B3:B$3773,-1+SUMPRODUCT(MAX(ROW(E3:E$3773)*(E3775=E3:E$3773)))))</f>
        <v/>
      </c>
      <c r="J3775" s="24" t="str">
        <f aca="true">IF(OR(E3775="",E3775="!!!",F3775="NEW"),"",COUNTBLANK(OFFSET(A$1,,,SUMPRODUCT(MAX(ROW(E$2:E3775)*(E3775=E$2:E3775)))))-COUNTBLANK(OFFSET(A$1,,,SUMPRODUCT(MAX(ROW(E$1:E3774)*(E2=E$1:E3774))))))</f>
        <v/>
      </c>
      <c r="K3775" s="24" t="str">
        <f aca="false">IF(OR(E3775="",E3775="!!!",F3775="NEW"),"",INDEX(J$1:J3774,SUMPRODUCT(MAX(ROW(E$1:E3774)*(E3775=E$1:E3774)))))</f>
        <v/>
      </c>
      <c r="L3775" s="31"/>
    </row>
    <row r="3776" customFormat="false" ht="15" hidden="false" customHeight="false" outlineLevel="0" collapsed="false">
      <c r="A3776" s="20" t="s">
        <v>2250</v>
      </c>
      <c r="E3776" s="23" t="str">
        <f aca="false">IF(D3776="?OLD","!!!","")</f>
        <v/>
      </c>
      <c r="F3776" s="25" t="str">
        <f aca="false">IF(OR(E3776="",E3776="!!!"),"",IF(NOT(ISNA(VLOOKUP(E3776,E$1:E3775,1,FALSE()))),"OLD",IF(AND(E3776&lt;&gt;"",E3776&lt;&gt;"!!!"),"NEW","")))</f>
        <v/>
      </c>
      <c r="G3776" s="26" t="str">
        <f aca="false">IF(OR(E3776="",E3776="!!!"),"",IF(OR(J3776=0,AND(J3776=1,K3776=1),AND(J3776=1,I3776="SBJ"),AND(J3776=1,I3776=0)),"?IN_FOCUS",IF(J3776&lt;=2,"?ACTIVATED",IF(J3776&lt;&gt;"","?FAMILIAR",IF(F3776="NEW",IF(ISNA(VLOOKUP(E3776,#REF!,1,FALSE())),"?TYPE_IDENTIFIABLE","?REFERENTIAL"),"_")))))</f>
        <v/>
      </c>
      <c r="H3776" s="27" t="str">
        <f aca="false">IF(J3776&lt;&gt;1,"",IF(I3776="SBJ","CB","?"))</f>
        <v/>
      </c>
      <c r="I3776" s="24" t="str">
        <f aca="false">IF(OR(E3776="",E3776="!!!",F3776="NEW"),"",INDEX(B4:B$3773,-1+SUMPRODUCT(MAX(ROW(E4:E$3773)*(E3776=E4:E$3773)))))</f>
        <v/>
      </c>
      <c r="J3776" s="24" t="str">
        <f aca="true">IF(OR(E3776="",E3776="!!!",F3776="NEW"),"",COUNTBLANK(OFFSET(A$1,,,SUMPRODUCT(MAX(ROW(E$2:E3776)*(E3776=E$2:E3776)))))-COUNTBLANK(OFFSET(A$1,,,SUMPRODUCT(MAX(ROW(E$1:E3775)*(E2=E$1:E3775))))))</f>
        <v/>
      </c>
      <c r="K3776" s="24" t="str">
        <f aca="false">IF(OR(E3776="",E3776="!!!",F3776="NEW"),"",INDEX(J$1:J3775,SUMPRODUCT(MAX(ROW(E$1:E3775)*(E3776=E$1:E3775)))))</f>
        <v/>
      </c>
      <c r="L3776" s="31"/>
    </row>
    <row r="3777" customFormat="false" ht="15" hidden="false" customHeight="false" outlineLevel="0" collapsed="false">
      <c r="A3777" s="20" t="s">
        <v>1119</v>
      </c>
      <c r="E3777" s="23" t="str">
        <f aca="false">IF(D3777="?OLD","!!!","")</f>
        <v/>
      </c>
      <c r="F3777" s="25" t="str">
        <f aca="false">IF(OR(E3777="",E3777="!!!"),"",IF(NOT(ISNA(VLOOKUP(E3777,E$1:E3776,1,FALSE()))),"OLD",IF(AND(E3777&lt;&gt;"",E3777&lt;&gt;"!!!"),"NEW","")))</f>
        <v/>
      </c>
      <c r="G3777" s="26" t="str">
        <f aca="false">IF(OR(E3777="",E3777="!!!"),"",IF(OR(J3777=0,AND(J3777=1,K3777=1),AND(J3777=1,I3777="SBJ"),AND(J3777=1,I3777=0)),"?IN_FOCUS",IF(J3777&lt;=2,"?ACTIVATED",IF(J3777&lt;&gt;"","?FAMILIAR",IF(F3777="NEW",IF(ISNA(VLOOKUP(E3777,#REF!,1,FALSE())),"?TYPE_IDENTIFIABLE","?REFERENTIAL"),"_")))))</f>
        <v/>
      </c>
      <c r="H3777" s="27" t="str">
        <f aca="false">IF(J3777&lt;&gt;1,"",IF(I3777="SBJ","CB","?"))</f>
        <v/>
      </c>
      <c r="I3777" s="24" t="str">
        <f aca="false">IF(OR(E3777="",E3777="!!!",F3777="NEW"),"",INDEX(B5:B$3773,-1+SUMPRODUCT(MAX(ROW(E5:E$3773)*(E3777=E5:E$3773)))))</f>
        <v/>
      </c>
      <c r="J3777" s="24" t="str">
        <f aca="true">IF(OR(E3777="",E3777="!!!",F3777="NEW"),"",COUNTBLANK(OFFSET(A$1,,,SUMPRODUCT(MAX(ROW(E$2:E3777)*(E3777=E$2:E3777)))))-COUNTBLANK(OFFSET(A$1,,,SUMPRODUCT(MAX(ROW(E$1:E3776)*(E2=E$1:E3776))))))</f>
        <v/>
      </c>
      <c r="K3777" s="24" t="str">
        <f aca="false">IF(OR(E3777="",E3777="!!!",F3777="NEW"),"",INDEX(J$1:J3776,SUMPRODUCT(MAX(ROW(E$1:E3776)*(E3777=E$1:E3776)))))</f>
        <v/>
      </c>
      <c r="L3777" s="31"/>
    </row>
    <row r="3778" customFormat="false" ht="15" hidden="false" customHeight="false" outlineLevel="0" collapsed="false">
      <c r="A3778" s="20" t="s">
        <v>1511</v>
      </c>
      <c r="E3778" s="23" t="str">
        <f aca="false">IF(D3778="?OLD","!!!","")</f>
        <v/>
      </c>
      <c r="F3778" s="25" t="str">
        <f aca="false">IF(OR(E3778="",E3778="!!!"),"",IF(NOT(ISNA(VLOOKUP(E3778,E$1:E3777,1,FALSE()))),"OLD",IF(AND(E3778&lt;&gt;"",E3778&lt;&gt;"!!!"),"NEW","")))</f>
        <v/>
      </c>
      <c r="G3778" s="26" t="str">
        <f aca="false">IF(OR(E3778="",E3778="!!!"),"",IF(OR(J3778=0,AND(J3778=1,K3778=1),AND(J3778=1,I3778="SBJ"),AND(J3778=1,I3778=0)),"?IN_FOCUS",IF(J3778&lt;=2,"?ACTIVATED",IF(J3778&lt;&gt;"","?FAMILIAR",IF(F3778="NEW",IF(ISNA(VLOOKUP(E3778,#REF!,1,FALSE())),"?TYPE_IDENTIFIABLE","?REFERENTIAL"),"_")))))</f>
        <v/>
      </c>
      <c r="H3778" s="27" t="str">
        <f aca="false">IF(J3778&lt;&gt;1,"",IF(I3778="SBJ","CB","?"))</f>
        <v/>
      </c>
      <c r="I3778" s="24" t="str">
        <f aca="false">IF(OR(E3778="",E3778="!!!",F3778="NEW"),"",INDEX(B6:B$3773,-1+SUMPRODUCT(MAX(ROW(E6:E$3773)*(E3778=E6:E$3773)))))</f>
        <v/>
      </c>
      <c r="J3778" s="24" t="str">
        <f aca="true">IF(OR(E3778="",E3778="!!!",F3778="NEW"),"",COUNTBLANK(OFFSET(A$1,,,SUMPRODUCT(MAX(ROW(E$2:E3778)*(E3778=E$2:E3778)))))-COUNTBLANK(OFFSET(A$1,,,SUMPRODUCT(MAX(ROW(E$1:E3777)*(E2=E$1:E3777))))))</f>
        <v/>
      </c>
      <c r="K3778" s="24" t="str">
        <f aca="false">IF(OR(E3778="",E3778="!!!",F3778="NEW"),"",INDEX(J$1:J3777,SUMPRODUCT(MAX(ROW(E$1:E3777)*(E3778=E$1:E3777)))))</f>
        <v/>
      </c>
      <c r="L3778" s="31"/>
    </row>
    <row r="3779" customFormat="false" ht="15" hidden="false" customHeight="false" outlineLevel="0" collapsed="false">
      <c r="A3779" s="20" t="s">
        <v>16</v>
      </c>
      <c r="E3779" s="23" t="str">
        <f aca="false">IF(D3779="?OLD","!!!","")</f>
        <v/>
      </c>
      <c r="F3779" s="25" t="str">
        <f aca="false">IF(OR(E3779="",E3779="!!!"),"",IF(NOT(ISNA(VLOOKUP(E3779,E$1:E3778,1,FALSE()))),"OLD",IF(AND(E3779&lt;&gt;"",E3779&lt;&gt;"!!!"),"NEW","")))</f>
        <v/>
      </c>
      <c r="G3779" s="26" t="str">
        <f aca="false">IF(OR(E3779="",E3779="!!!"),"",IF(OR(J3779=0,AND(J3779=1,K3779=1),AND(J3779=1,I3779="SBJ"),AND(J3779=1,I3779=0)),"?IN_FOCUS",IF(J3779&lt;=2,"?ACTIVATED",IF(J3779&lt;&gt;"","?FAMILIAR",IF(F3779="NEW",IF(ISNA(VLOOKUP(E3779,#REF!,1,FALSE())),"?TYPE_IDENTIFIABLE","?REFERENTIAL"),"_")))))</f>
        <v/>
      </c>
      <c r="H3779" s="27" t="str">
        <f aca="false">IF(J3779&lt;&gt;1,"",IF(I3779="SBJ","CB","?"))</f>
        <v/>
      </c>
      <c r="I3779" s="24" t="str">
        <f aca="false">IF(OR(E3779="",E3779="!!!",F3779="NEW"),"",INDEX(B7:B$3773,-1+SUMPRODUCT(MAX(ROW(E7:E$3773)*(E3779=E7:E$3773)))))</f>
        <v/>
      </c>
      <c r="J3779" s="24" t="str">
        <f aca="true">IF(OR(E3779="",E3779="!!!",F3779="NEW"),"",COUNTBLANK(OFFSET(A$1,,,SUMPRODUCT(MAX(ROW(E$2:E3779)*(E3779=E$2:E3779)))))-COUNTBLANK(OFFSET(A$1,,,SUMPRODUCT(MAX(ROW(E$1:E3778)*(E2=E$1:E3778))))))</f>
        <v/>
      </c>
      <c r="K3779" s="24" t="str">
        <f aca="false">IF(OR(E3779="",E3779="!!!",F3779="NEW"),"",INDEX(J$1:J3778,SUMPRODUCT(MAX(ROW(E$1:E3778)*(E3779=E$1:E3778)))))</f>
        <v/>
      </c>
      <c r="L3779" s="31"/>
    </row>
    <row r="3780" customFormat="false" ht="15" hidden="false" customHeight="false" outlineLevel="0" collapsed="false">
      <c r="A3780" s="20" t="s">
        <v>2251</v>
      </c>
      <c r="B3780" s="22" t="s">
        <v>1105</v>
      </c>
      <c r="C3780" s="22" t="s">
        <v>1160</v>
      </c>
      <c r="E3780" s="23" t="str">
        <f aca="false">IF(D3780="?OLD","!!!","")</f>
        <v/>
      </c>
      <c r="F3780" s="25" t="str">
        <f aca="false">IF(OR(E3780="",E3780="!!!"),"",IF(NOT(ISNA(VLOOKUP(E3780,E$1:E3779,1,FALSE()))),"OLD",IF(AND(E3780&lt;&gt;"",E3780&lt;&gt;"!!!"),"NEW","")))</f>
        <v/>
      </c>
      <c r="G3780" s="26" t="str">
        <f aca="false">IF(OR(E3780="",E3780="!!!"),"",IF(OR(J3780=0,AND(J3780=1,K3780=1),AND(J3780=1,I3780="SBJ"),AND(J3780=1,I3780=0)),"?IN_FOCUS",IF(J3780&lt;=2,"?ACTIVATED",IF(J3780&lt;&gt;"","?FAMILIAR",IF(F3780="NEW",IF(ISNA(VLOOKUP(E3780,#REF!,1,FALSE())),"?TYPE_IDENTIFIABLE","?REFERENTIAL"),"_")))))</f>
        <v/>
      </c>
      <c r="H3780" s="27" t="str">
        <f aca="false">IF(J3780&lt;&gt;1,"",IF(I3780="SBJ","CB","?"))</f>
        <v/>
      </c>
      <c r="I3780" s="24" t="str">
        <f aca="false">IF(OR(E3780="",E3780="!!!",F3780="NEW"),"",INDEX(B8:B$3773,-1+SUMPRODUCT(MAX(ROW(E8:E$3773)*(E3780=E8:E$3773)))))</f>
        <v/>
      </c>
      <c r="J3780" s="24" t="str">
        <f aca="true">IF(OR(E3780="",E3780="!!!",F3780="NEW"),"",COUNTBLANK(OFFSET(A$1,,,SUMPRODUCT(MAX(ROW(E$2:E3780)*(E3780=E$2:E3780)))))-COUNTBLANK(OFFSET(A$1,,,SUMPRODUCT(MAX(ROW(E$1:E3779)*(E2=E$1:E3779))))))</f>
        <v/>
      </c>
      <c r="K3780" s="24" t="str">
        <f aca="false">IF(OR(E3780="",E3780="!!!",F3780="NEW"),"",INDEX(J$1:J3779,SUMPRODUCT(MAX(ROW(E$1:E3779)*(E3780=E$1:E3779)))))</f>
        <v/>
      </c>
      <c r="L3780" s="31"/>
    </row>
    <row r="3781" customFormat="false" ht="15" hidden="false" customHeight="false" outlineLevel="0" collapsed="false">
      <c r="A3781" s="20" t="s">
        <v>1128</v>
      </c>
      <c r="E3781" s="23" t="str">
        <f aca="false">IF(D3781="?OLD","!!!","")</f>
        <v/>
      </c>
      <c r="F3781" s="25" t="str">
        <f aca="false">IF(OR(E3781="",E3781="!!!"),"",IF(NOT(ISNA(VLOOKUP(E3781,E$1:E3780,1,FALSE()))),"OLD",IF(AND(E3781&lt;&gt;"",E3781&lt;&gt;"!!!"),"NEW","")))</f>
        <v/>
      </c>
      <c r="G3781" s="26" t="str">
        <f aca="false">IF(OR(E3781="",E3781="!!!"),"",IF(OR(J3781=0,AND(J3781=1,K3781=1),AND(J3781=1,I3781="SBJ"),AND(J3781=1,I3781=0)),"?IN_FOCUS",IF(J3781&lt;=2,"?ACTIVATED",IF(J3781&lt;&gt;"","?FAMILIAR",IF(F3781="NEW",IF(ISNA(VLOOKUP(E3781,#REF!,1,FALSE())),"?TYPE_IDENTIFIABLE","?REFERENTIAL"),"_")))))</f>
        <v/>
      </c>
      <c r="H3781" s="27" t="str">
        <f aca="false">IF(J3781&lt;&gt;1,"",IF(I3781="SBJ","CB","?"))</f>
        <v/>
      </c>
      <c r="I3781" s="24" t="str">
        <f aca="false">IF(OR(E3781="",E3781="!!!",F3781="NEW"),"",INDEX(B9:B$3773,-1+SUMPRODUCT(MAX(ROW(E9:E$3773)*(E3781=E9:E$3773)))))</f>
        <v/>
      </c>
      <c r="J3781" s="24" t="str">
        <f aca="true">IF(OR(E3781="",E3781="!!!",F3781="NEW"),"",COUNTBLANK(OFFSET(A$1,,,SUMPRODUCT(MAX(ROW(E$2:E3781)*(E3781=E$2:E3781)))))-COUNTBLANK(OFFSET(A$1,,,SUMPRODUCT(MAX(ROW(E$1:E3780)*(E2=E$1:E3780))))))</f>
        <v/>
      </c>
      <c r="K3781" s="24" t="str">
        <f aca="false">IF(OR(E3781="",E3781="!!!",F3781="NEW"),"",INDEX(J$1:J3780,SUMPRODUCT(MAX(ROW(E$1:E3780)*(E3781=E$1:E3780)))))</f>
        <v/>
      </c>
      <c r="L3781" s="31"/>
    </row>
    <row r="3782" customFormat="false" ht="15" hidden="false" customHeight="false" outlineLevel="0" collapsed="false">
      <c r="A3782" s="20" t="s">
        <v>2252</v>
      </c>
      <c r="B3782" s="22" t="s">
        <v>1073</v>
      </c>
      <c r="C3782" s="22" t="s">
        <v>1160</v>
      </c>
      <c r="E3782" s="23" t="str">
        <f aca="false">IF(D3782="?OLD","!!!","")</f>
        <v/>
      </c>
      <c r="F3782" s="25" t="str">
        <f aca="false">IF(OR(E3782="",E3782="!!!"),"",IF(NOT(ISNA(VLOOKUP(E3782,E$1:E3781,1,FALSE()))),"OLD",IF(AND(E3782&lt;&gt;"",E3782&lt;&gt;"!!!"),"NEW","")))</f>
        <v/>
      </c>
      <c r="G3782" s="26" t="str">
        <f aca="false">IF(OR(E3782="",E3782="!!!"),"",IF(OR(J3782=0,AND(J3782=1,K3782=1),AND(J3782=1,I3782="SBJ"),AND(J3782=1,I3782=0)),"?IN_FOCUS",IF(J3782&lt;=2,"?ACTIVATED",IF(J3782&lt;&gt;"","?FAMILIAR",IF(F3782="NEW",IF(ISNA(VLOOKUP(E3782,#REF!,1,FALSE())),"?TYPE_IDENTIFIABLE","?REFERENTIAL"),"_")))))</f>
        <v/>
      </c>
      <c r="H3782" s="27" t="str">
        <f aca="false">IF(J3782&lt;&gt;1,"",IF(I3782="SBJ","CB","?"))</f>
        <v/>
      </c>
      <c r="I3782" s="24" t="str">
        <f aca="false">IF(OR(E3782="",E3782="!!!",F3782="NEW"),"",INDEX(B10:B$3773,-1+SUMPRODUCT(MAX(ROW(E10:E$3773)*(E3782=E10:E$3773)))))</f>
        <v/>
      </c>
      <c r="J3782" s="24" t="str">
        <f aca="true">IF(OR(E3782="",E3782="!!!",F3782="NEW"),"",COUNTBLANK(OFFSET(A$1,,,SUMPRODUCT(MAX(ROW(E$2:E3782)*(E3782=E$2:E3782)))))-COUNTBLANK(OFFSET(A$1,,,SUMPRODUCT(MAX(ROW(E$1:E3781)*(E2=E$1:E3781))))))</f>
        <v/>
      </c>
      <c r="K3782" s="24" t="str">
        <f aca="false">IF(OR(E3782="",E3782="!!!",F3782="NEW"),"",INDEX(J$1:J3781,SUMPRODUCT(MAX(ROW(E$1:E3781)*(E3782=E$1:E3781)))))</f>
        <v/>
      </c>
      <c r="L3782" s="31"/>
    </row>
    <row r="3783" customFormat="false" ht="15" hidden="false" customHeight="false" outlineLevel="0" collapsed="false">
      <c r="A3783" s="20" t="s">
        <v>923</v>
      </c>
      <c r="E3783" s="23" t="str">
        <f aca="false">IF(D3783="?OLD","!!!","")</f>
        <v/>
      </c>
      <c r="F3783" s="25" t="str">
        <f aca="false">IF(OR(E3783="",E3783="!!!"),"",IF(NOT(ISNA(VLOOKUP(E3783,E$1:E3782,1,FALSE()))),"OLD",IF(AND(E3783&lt;&gt;"",E3783&lt;&gt;"!!!"),"NEW","")))</f>
        <v/>
      </c>
      <c r="G3783" s="26" t="str">
        <f aca="false">IF(OR(E3783="",E3783="!!!"),"",IF(OR(J3783=0,AND(J3783=1,K3783=1),AND(J3783=1,I3783="SBJ"),AND(J3783=1,I3783=0)),"?IN_FOCUS",IF(J3783&lt;=2,"?ACTIVATED",IF(J3783&lt;&gt;"","?FAMILIAR",IF(F3783="NEW",IF(ISNA(VLOOKUP(E3783,#REF!,1,FALSE())),"?TYPE_IDENTIFIABLE","?REFERENTIAL"),"_")))))</f>
        <v/>
      </c>
      <c r="H3783" s="27" t="str">
        <f aca="false">IF(J3783&lt;&gt;1,"",IF(I3783="SBJ","CB","?"))</f>
        <v/>
      </c>
      <c r="I3783" s="24" t="str">
        <f aca="false">IF(OR(E3783="",E3783="!!!",F3783="NEW"),"",INDEX(B11:B$3773,-1+SUMPRODUCT(MAX(ROW(E11:E$3773)*(E3783=E11:E$3773)))))</f>
        <v/>
      </c>
      <c r="J3783" s="24" t="str">
        <f aca="true">IF(OR(E3783="",E3783="!!!",F3783="NEW"),"",COUNTBLANK(OFFSET(A$1,,,SUMPRODUCT(MAX(ROW(E$2:E3783)*(E3783=E$2:E3783)))))-COUNTBLANK(OFFSET(A$1,,,SUMPRODUCT(MAX(ROW(E$1:E3782)*(E2=E$1:E3782))))))</f>
        <v/>
      </c>
      <c r="K3783" s="24" t="str">
        <f aca="false">IF(OR(E3783="",E3783="!!!",F3783="NEW"),"",INDEX(J$1:J3782,SUMPRODUCT(MAX(ROW(E$1:E3782)*(E3783=E$1:E3782)))))</f>
        <v/>
      </c>
      <c r="L3783" s="31"/>
    </row>
    <row r="3784" customFormat="false" ht="15" hidden="false" customHeight="false" outlineLevel="0" collapsed="false">
      <c r="A3784" s="20" t="s">
        <v>607</v>
      </c>
      <c r="E3784" s="23" t="str">
        <f aca="false">IF(D3784="?OLD","!!!","")</f>
        <v/>
      </c>
      <c r="F3784" s="25" t="str">
        <f aca="false">IF(OR(E3784="",E3784="!!!"),"",IF(NOT(ISNA(VLOOKUP(E3784,E$1:E3783,1,FALSE()))),"OLD",IF(AND(E3784&lt;&gt;"",E3784&lt;&gt;"!!!"),"NEW","")))</f>
        <v/>
      </c>
      <c r="G3784" s="26" t="str">
        <f aca="false">IF(OR(E3784="",E3784="!!!"),"",IF(OR(J3784=0,AND(J3784=1,K3784=1),AND(J3784=1,I3784="SBJ"),AND(J3784=1,I3784=0)),"?IN_FOCUS",IF(J3784&lt;=2,"?ACTIVATED",IF(J3784&lt;&gt;"","?FAMILIAR",IF(F3784="NEW",IF(ISNA(VLOOKUP(E3784,#REF!,1,FALSE())),"?TYPE_IDENTIFIABLE","?REFERENTIAL"),"_")))))</f>
        <v/>
      </c>
      <c r="H3784" s="27" t="str">
        <f aca="false">IF(J3784&lt;&gt;1,"",IF(I3784="SBJ","CB","?"))</f>
        <v/>
      </c>
      <c r="I3784" s="24" t="str">
        <f aca="false">IF(OR(E3784="",E3784="!!!",F3784="NEW"),"",INDEX(B12:B$3773,-1+SUMPRODUCT(MAX(ROW(E12:E$3773)*(E3784=E12:E$3773)))))</f>
        <v/>
      </c>
      <c r="J3784" s="24" t="str">
        <f aca="true">IF(OR(E3784="",E3784="!!!",F3784="NEW"),"",COUNTBLANK(OFFSET(A$1,,,SUMPRODUCT(MAX(ROW(E$2:E3784)*(E3784=E$2:E3784)))))-COUNTBLANK(OFFSET(A$1,,,SUMPRODUCT(MAX(ROW(E$1:E3783)*(E2=E$1:E3783))))))</f>
        <v/>
      </c>
      <c r="K3784" s="24" t="str">
        <f aca="false">IF(OR(E3784="",E3784="!!!",F3784="NEW"),"",INDEX(J$1:J3783,SUMPRODUCT(MAX(ROW(E$1:E3783)*(E3784=E$1:E3783)))))</f>
        <v/>
      </c>
      <c r="L3784" s="31"/>
    </row>
    <row r="3785" customFormat="false" ht="15" hidden="false" customHeight="false" outlineLevel="0" collapsed="false">
      <c r="A3785" s="20"/>
    </row>
    <row r="3786" customFormat="false" ht="15" hidden="false" customHeight="false" outlineLevel="0" collapsed="false">
      <c r="A3786" s="20" t="s">
        <v>2253</v>
      </c>
    </row>
    <row r="3787" customFormat="false" ht="15" hidden="false" customHeight="false" outlineLevel="0" collapsed="false">
      <c r="A3787" s="20" t="s">
        <v>2248</v>
      </c>
      <c r="B3787" s="22" t="s">
        <v>1058</v>
      </c>
      <c r="C3787" s="22" t="s">
        <v>1082</v>
      </c>
      <c r="D3787" s="22" t="s">
        <v>1060</v>
      </c>
      <c r="E3787" s="23" t="str">
        <f aca="false">IF(D3787="?OLD","!!!","")</f>
        <v>!!!</v>
      </c>
      <c r="F3787" s="25" t="str">
        <f aca="false">IF(OR(E3787="",E3787="!!!"),"",IF(NOT(ISNA(VLOOKUP(E3787,E$1:E3786,1,FALSE()))),"OLD",IF(AND(E3787&lt;&gt;"",E3787&lt;&gt;"!!!"),"NEW","")))</f>
        <v/>
      </c>
      <c r="G3787" s="26" t="str">
        <f aca="false">IF(OR(E3787="",E3787="!!!"),"",IF(OR(J3787=0,AND(J3787=1,K3787=1),AND(J3787=1,I3787="SBJ"),AND(J3787=1,I3787=0)),"?IN_FOCUS",IF(J3787&lt;=2,"?ACTIVATED",IF(J3787&lt;&gt;"","?FAMILIAR",IF(F3787="NEW",IF(ISNA(VLOOKUP(E3787,#REF!,1,FALSE())),"?TYPE_IDENTIFIABLE","?REFERENTIAL"),"_")))))</f>
        <v/>
      </c>
      <c r="H3787" s="27" t="str">
        <f aca="false">IF(J3787&lt;&gt;1,"",IF(I3787="SBJ","CB","?"))</f>
        <v/>
      </c>
      <c r="I3787" s="24" t="str">
        <f aca="false">IF(OR(E3787="",E3787="!!!",F3787="NEW"),"",INDEX(B2:B$3786,-1+SUMPRODUCT(MAX(ROW(E2:E$3786)*(E3787=E2:E$3786)))))</f>
        <v/>
      </c>
      <c r="J3787" s="24" t="str">
        <f aca="true">IF(OR(E3787="",E3787="!!!",F3787="NEW"),"",COUNTBLANK(OFFSET(A$1,,,SUMPRODUCT(MAX(ROW(E$2:E3787)*(E3787=E$2:E3787)))))-COUNTBLANK(OFFSET(A$1,,,SUMPRODUCT(MAX(ROW(E$1:E3786)*(E2=E$1:E3786))))))</f>
        <v/>
      </c>
      <c r="K3787" s="24" t="str">
        <f aca="false">IF(OR(E3787="",E3787="!!!",F3787="NEW"),"",INDEX(J$1:J3786,SUMPRODUCT(MAX(ROW(E$1:E3786)*(E3787=E$1:E3786)))))</f>
        <v/>
      </c>
      <c r="L3787" s="31"/>
    </row>
    <row r="3788" customFormat="false" ht="15" hidden="false" customHeight="false" outlineLevel="0" collapsed="false">
      <c r="A3788" s="20" t="s">
        <v>2254</v>
      </c>
      <c r="E3788" s="23" t="str">
        <f aca="false">IF(D3788="?OLD","!!!","")</f>
        <v/>
      </c>
      <c r="F3788" s="25" t="str">
        <f aca="false">IF(OR(E3788="",E3788="!!!"),"",IF(NOT(ISNA(VLOOKUP(E3788,E$1:E3787,1,FALSE()))),"OLD",IF(AND(E3788&lt;&gt;"",E3788&lt;&gt;"!!!"),"NEW","")))</f>
        <v/>
      </c>
      <c r="G3788" s="26" t="str">
        <f aca="false">IF(OR(E3788="",E3788="!!!"),"",IF(OR(J3788=0,AND(J3788=1,K3788=1),AND(J3788=1,I3788="SBJ"),AND(J3788=1,I3788=0)),"?IN_FOCUS",IF(J3788&lt;=2,"?ACTIVATED",IF(J3788&lt;&gt;"","?FAMILIAR",IF(F3788="NEW",IF(ISNA(VLOOKUP(E3788,#REF!,1,FALSE())),"?TYPE_IDENTIFIABLE","?REFERENTIAL"),"_")))))</f>
        <v/>
      </c>
      <c r="H3788" s="27" t="str">
        <f aca="false">IF(J3788&lt;&gt;1,"",IF(I3788="SBJ","CB","?"))</f>
        <v/>
      </c>
      <c r="I3788" s="24" t="str">
        <f aca="false">IF(OR(E3788="",E3788="!!!",F3788="NEW"),"",INDEX(B3:B$3786,-1+SUMPRODUCT(MAX(ROW(E3:E$3786)*(E3788=E3:E$3786)))))</f>
        <v/>
      </c>
      <c r="J3788" s="24" t="str">
        <f aca="true">IF(OR(E3788="",E3788="!!!",F3788="NEW"),"",COUNTBLANK(OFFSET(A$1,,,SUMPRODUCT(MAX(ROW(E$2:E3788)*(E3788=E$2:E3788)))))-COUNTBLANK(OFFSET(A$1,,,SUMPRODUCT(MAX(ROW(E$1:E3787)*(E2=E$1:E3787))))))</f>
        <v/>
      </c>
      <c r="K3788" s="24" t="str">
        <f aca="false">IF(OR(E3788="",E3788="!!!",F3788="NEW"),"",INDEX(J$1:J3787,SUMPRODUCT(MAX(ROW(E$1:E3787)*(E3788=E$1:E3787)))))</f>
        <v/>
      </c>
      <c r="L3788" s="31"/>
    </row>
    <row r="3789" customFormat="false" ht="15" hidden="false" customHeight="false" outlineLevel="0" collapsed="false">
      <c r="A3789" s="20" t="s">
        <v>2232</v>
      </c>
      <c r="B3789" s="22" t="s">
        <v>1081</v>
      </c>
      <c r="C3789" s="22" t="s">
        <v>1082</v>
      </c>
      <c r="D3789" s="22" t="s">
        <v>1060</v>
      </c>
      <c r="E3789" s="23" t="str">
        <f aca="false">IF(D3789="?OLD","!!!","")</f>
        <v>!!!</v>
      </c>
      <c r="F3789" s="25" t="str">
        <f aca="false">IF(OR(E3789="",E3789="!!!"),"",IF(NOT(ISNA(VLOOKUP(E3789,E$1:E3788,1,FALSE()))),"OLD",IF(AND(E3789&lt;&gt;"",E3789&lt;&gt;"!!!"),"NEW","")))</f>
        <v/>
      </c>
      <c r="G3789" s="26" t="str">
        <f aca="false">IF(OR(E3789="",E3789="!!!"),"",IF(OR(J3789=0,AND(J3789=1,K3789=1),AND(J3789=1,I3789="SBJ"),AND(J3789=1,I3789=0)),"?IN_FOCUS",IF(J3789&lt;=2,"?ACTIVATED",IF(J3789&lt;&gt;"","?FAMILIAR",IF(F3789="NEW",IF(ISNA(VLOOKUP(E3789,#REF!,1,FALSE())),"?TYPE_IDENTIFIABLE","?REFERENTIAL"),"_")))))</f>
        <v/>
      </c>
      <c r="H3789" s="27" t="str">
        <f aca="false">IF(J3789&lt;&gt;1,"",IF(I3789="SBJ","CB","?"))</f>
        <v/>
      </c>
      <c r="I3789" s="24" t="str">
        <f aca="false">IF(OR(E3789="",E3789="!!!",F3789="NEW"),"",INDEX(B4:B$3786,-1+SUMPRODUCT(MAX(ROW(E4:E$3786)*(E3789=E4:E$3786)))))</f>
        <v/>
      </c>
      <c r="J3789" s="24" t="str">
        <f aca="true">IF(OR(E3789="",E3789="!!!",F3789="NEW"),"",COUNTBLANK(OFFSET(A$1,,,SUMPRODUCT(MAX(ROW(E$2:E3789)*(E3789=E$2:E3789)))))-COUNTBLANK(OFFSET(A$1,,,SUMPRODUCT(MAX(ROW(E$1:E3788)*(E2=E$1:E3788))))))</f>
        <v/>
      </c>
      <c r="K3789" s="24" t="str">
        <f aca="false">IF(OR(E3789="",E3789="!!!",F3789="NEW"),"",INDEX(J$1:J3788,SUMPRODUCT(MAX(ROW(E$1:E3788)*(E3789=E$1:E3788)))))</f>
        <v/>
      </c>
      <c r="L3789" s="31"/>
    </row>
    <row r="3790" customFormat="false" ht="15" hidden="false" customHeight="false" outlineLevel="0" collapsed="false">
      <c r="A3790" s="20" t="s">
        <v>1828</v>
      </c>
      <c r="B3790" s="22" t="s">
        <v>1081</v>
      </c>
      <c r="C3790" s="22" t="s">
        <v>1160</v>
      </c>
      <c r="E3790" s="23" t="str">
        <f aca="false">IF(D3790="?OLD","!!!","")</f>
        <v/>
      </c>
      <c r="F3790" s="25" t="str">
        <f aca="false">IF(OR(E3790="",E3790="!!!"),"",IF(NOT(ISNA(VLOOKUP(E3790,E$1:E3789,1,FALSE()))),"OLD",IF(AND(E3790&lt;&gt;"",E3790&lt;&gt;"!!!"),"NEW","")))</f>
        <v/>
      </c>
      <c r="G3790" s="26" t="str">
        <f aca="false">IF(OR(E3790="",E3790="!!!"),"",IF(OR(J3790=0,AND(J3790=1,K3790=1),AND(J3790=1,I3790="SBJ"),AND(J3790=1,I3790=0)),"?IN_FOCUS",IF(J3790&lt;=2,"?ACTIVATED",IF(J3790&lt;&gt;"","?FAMILIAR",IF(F3790="NEW",IF(ISNA(VLOOKUP(E3790,#REF!,1,FALSE())),"?TYPE_IDENTIFIABLE","?REFERENTIAL"),"_")))))</f>
        <v/>
      </c>
      <c r="H3790" s="27" t="str">
        <f aca="false">IF(J3790&lt;&gt;1,"",IF(I3790="SBJ","CB","?"))</f>
        <v/>
      </c>
      <c r="I3790" s="24" t="str">
        <f aca="false">IF(OR(E3790="",E3790="!!!",F3790="NEW"),"",INDEX(B5:B$3786,-1+SUMPRODUCT(MAX(ROW(E5:E$3786)*(E3790=E5:E$3786)))))</f>
        <v/>
      </c>
      <c r="J3790" s="24" t="str">
        <f aca="true">IF(OR(E3790="",E3790="!!!",F3790="NEW"),"",COUNTBLANK(OFFSET(A$1,,,SUMPRODUCT(MAX(ROW(E$2:E3790)*(E3790=E$2:E3790)))))-COUNTBLANK(OFFSET(A$1,,,SUMPRODUCT(MAX(ROW(E$1:E3789)*(E2=E$1:E3789))))))</f>
        <v/>
      </c>
      <c r="K3790" s="24" t="str">
        <f aca="false">IF(OR(E3790="",E3790="!!!",F3790="NEW"),"",INDEX(J$1:J3789,SUMPRODUCT(MAX(ROW(E$1:E3789)*(E3790=E$1:E3789)))))</f>
        <v/>
      </c>
      <c r="L3790" s="31"/>
    </row>
    <row r="3791" customFormat="false" ht="15" hidden="false" customHeight="false" outlineLevel="0" collapsed="false">
      <c r="A3791" s="20" t="s">
        <v>1234</v>
      </c>
      <c r="E3791" s="23" t="str">
        <f aca="false">IF(D3791="?OLD","!!!","")</f>
        <v/>
      </c>
      <c r="F3791" s="25" t="str">
        <f aca="false">IF(OR(E3791="",E3791="!!!"),"",IF(NOT(ISNA(VLOOKUP(E3791,E$1:E3790,1,FALSE()))),"OLD",IF(AND(E3791&lt;&gt;"",E3791&lt;&gt;"!!!"),"NEW","")))</f>
        <v/>
      </c>
      <c r="G3791" s="26" t="str">
        <f aca="false">IF(OR(E3791="",E3791="!!!"),"",IF(OR(J3791=0,AND(J3791=1,K3791=1),AND(J3791=1,I3791="SBJ"),AND(J3791=1,I3791=0)),"?IN_FOCUS",IF(J3791&lt;=2,"?ACTIVATED",IF(J3791&lt;&gt;"","?FAMILIAR",IF(F3791="NEW",IF(ISNA(VLOOKUP(E3791,#REF!,1,FALSE())),"?TYPE_IDENTIFIABLE","?REFERENTIAL"),"_")))))</f>
        <v/>
      </c>
      <c r="H3791" s="27" t="str">
        <f aca="false">IF(J3791&lt;&gt;1,"",IF(I3791="SBJ","CB","?"))</f>
        <v/>
      </c>
      <c r="I3791" s="24" t="str">
        <f aca="false">IF(OR(E3791="",E3791="!!!",F3791="NEW"),"",INDEX(B6:B$3786,-1+SUMPRODUCT(MAX(ROW(E6:E$3786)*(E3791=E6:E$3786)))))</f>
        <v/>
      </c>
      <c r="J3791" s="24" t="str">
        <f aca="true">IF(OR(E3791="",E3791="!!!",F3791="NEW"),"",COUNTBLANK(OFFSET(A$1,,,SUMPRODUCT(MAX(ROW(E$2:E3791)*(E3791=E$2:E3791)))))-COUNTBLANK(OFFSET(A$1,,,SUMPRODUCT(MAX(ROW(E$1:E3790)*(E2=E$1:E3790))))))</f>
        <v/>
      </c>
      <c r="K3791" s="24" t="str">
        <f aca="false">IF(OR(E3791="",E3791="!!!",F3791="NEW"),"",INDEX(J$1:J3790,SUMPRODUCT(MAX(ROW(E$1:E3790)*(E3791=E$1:E3790)))))</f>
        <v/>
      </c>
      <c r="L3791" s="31"/>
    </row>
    <row r="3792" customFormat="false" ht="15" hidden="false" customHeight="false" outlineLevel="0" collapsed="false">
      <c r="A3792" s="20" t="s">
        <v>923</v>
      </c>
      <c r="E3792" s="23" t="str">
        <f aca="false">IF(D3792="?OLD","!!!","")</f>
        <v/>
      </c>
      <c r="F3792" s="25" t="str">
        <f aca="false">IF(OR(E3792="",E3792="!!!"),"",IF(NOT(ISNA(VLOOKUP(E3792,E$1:E3791,1,FALSE()))),"OLD",IF(AND(E3792&lt;&gt;"",E3792&lt;&gt;"!!!"),"NEW","")))</f>
        <v/>
      </c>
      <c r="G3792" s="26" t="str">
        <f aca="false">IF(OR(E3792="",E3792="!!!"),"",IF(OR(J3792=0,AND(J3792=1,K3792=1),AND(J3792=1,I3792="SBJ"),AND(J3792=1,I3792=0)),"?IN_FOCUS",IF(J3792&lt;=2,"?ACTIVATED",IF(J3792&lt;&gt;"","?FAMILIAR",IF(F3792="NEW",IF(ISNA(VLOOKUP(E3792,#REF!,1,FALSE())),"?TYPE_IDENTIFIABLE","?REFERENTIAL"),"_")))))</f>
        <v/>
      </c>
      <c r="H3792" s="27" t="str">
        <f aca="false">IF(J3792&lt;&gt;1,"",IF(I3792="SBJ","CB","?"))</f>
        <v/>
      </c>
      <c r="I3792" s="24" t="str">
        <f aca="false">IF(OR(E3792="",E3792="!!!",F3792="NEW"),"",INDEX(B7:B$3786,-1+SUMPRODUCT(MAX(ROW(E7:E$3786)*(E3792=E7:E$3786)))))</f>
        <v/>
      </c>
      <c r="J3792" s="24" t="str">
        <f aca="true">IF(OR(E3792="",E3792="!!!",F3792="NEW"),"",COUNTBLANK(OFFSET(A$1,,,SUMPRODUCT(MAX(ROW(E$2:E3792)*(E3792=E$2:E3792)))))-COUNTBLANK(OFFSET(A$1,,,SUMPRODUCT(MAX(ROW(E$1:E3791)*(E2=E$1:E3791))))))</f>
        <v/>
      </c>
      <c r="K3792" s="24" t="str">
        <f aca="false">IF(OR(E3792="",E3792="!!!",F3792="NEW"),"",INDEX(J$1:J3791,SUMPRODUCT(MAX(ROW(E$1:E3791)*(E3792=E$1:E3791)))))</f>
        <v/>
      </c>
      <c r="L3792" s="31"/>
    </row>
    <row r="3793" customFormat="false" ht="15" hidden="false" customHeight="false" outlineLevel="0" collapsed="false">
      <c r="A3793" s="20"/>
    </row>
    <row r="3794" customFormat="false" ht="15" hidden="false" customHeight="false" outlineLevel="0" collapsed="false">
      <c r="A3794" s="20" t="s">
        <v>1301</v>
      </c>
      <c r="E3794" s="23" t="str">
        <f aca="false">IF(D3794="?OLD","!!!","")</f>
        <v/>
      </c>
      <c r="F3794" s="25" t="str">
        <f aca="false">IF(OR(E3794="",E3794="!!!"),"",IF(NOT(ISNA(VLOOKUP(E3794,E$1:E3793,1,FALSE()))),"OLD",IF(AND(E3794&lt;&gt;"",E3794&lt;&gt;"!!!"),"NEW","")))</f>
        <v/>
      </c>
      <c r="G3794" s="26" t="str">
        <f aca="false">IF(OR(E3794="",E3794="!!!"),"",IF(OR(J3794=0,AND(J3794=1,K3794=1),AND(J3794=1,I3794="SBJ"),AND(J3794=1,I3794=0)),"?IN_FOCUS",IF(J3794&lt;=2,"?ACTIVATED",IF(J3794&lt;&gt;"","?FAMILIAR",IF(F3794="NEW",IF(ISNA(VLOOKUP(E3794,#REF!,1,FALSE())),"?TYPE_IDENTIFIABLE","?REFERENTIAL"),"_")))))</f>
        <v/>
      </c>
      <c r="H3794" s="27" t="str">
        <f aca="false">IF(J3794&lt;&gt;1,"",IF(I3794="SBJ","CB","?"))</f>
        <v/>
      </c>
      <c r="I3794" s="24" t="str">
        <f aca="false">IF(OR(E3794="",E3794="!!!",F3794="NEW"),"",INDEX(B2:B$3793,-1+SUMPRODUCT(MAX(ROW(E2:E$3793)*(E3794=E2:E$3793)))))</f>
        <v/>
      </c>
      <c r="J3794" s="24" t="str">
        <f aca="true">IF(OR(E3794="",E3794="!!!",F3794="NEW"),"",COUNTBLANK(OFFSET(A$1,,,SUMPRODUCT(MAX(ROW(E$2:E3794)*(E3794=E$2:E3794)))))-COUNTBLANK(OFFSET(A$1,,,SUMPRODUCT(MAX(ROW(E$1:E3793)*(E2=E$1:E3793))))))</f>
        <v/>
      </c>
      <c r="K3794" s="24" t="str">
        <f aca="false">IF(OR(E3794="",E3794="!!!",F3794="NEW"),"",INDEX(J$1:J3793,SUMPRODUCT(MAX(ROW(E$1:E3793)*(E3794=E$1:E3793)))))</f>
        <v/>
      </c>
      <c r="L3794" s="31"/>
    </row>
    <row r="3795" customFormat="false" ht="15" hidden="false" customHeight="false" outlineLevel="0" collapsed="false">
      <c r="A3795" s="20" t="s">
        <v>2255</v>
      </c>
    </row>
    <row r="3796" customFormat="false" ht="15" hidden="false" customHeight="false" outlineLevel="0" collapsed="false">
      <c r="A3796" s="20" t="s">
        <v>607</v>
      </c>
      <c r="E3796" s="23" t="str">
        <f aca="false">IF(D3796="?OLD","!!!","")</f>
        <v/>
      </c>
      <c r="F3796" s="25" t="str">
        <f aca="false">IF(OR(E3796="",E3796="!!!"),"",IF(NOT(ISNA(VLOOKUP(E3796,E$1:E3795,1,FALSE()))),"OLD",IF(AND(E3796&lt;&gt;"",E3796&lt;&gt;"!!!"),"NEW","")))</f>
        <v/>
      </c>
      <c r="G3796" s="26" t="str">
        <f aca="false">IF(OR(E3796="",E3796="!!!"),"",IF(OR(J3796=0,AND(J3796=1,K3796=1),AND(J3796=1,I3796="SBJ"),AND(J3796=1,I3796=0)),"?IN_FOCUS",IF(J3796&lt;=2,"?ACTIVATED",IF(J3796&lt;&gt;"","?FAMILIAR",IF(F3796="NEW",IF(ISNA(VLOOKUP(E3796,#REF!,1,FALSE())),"?TYPE_IDENTIFIABLE","?REFERENTIAL"),"_")))))</f>
        <v/>
      </c>
      <c r="H3796" s="27" t="str">
        <f aca="false">IF(J3796&lt;&gt;1,"",IF(I3796="SBJ","CB","?"))</f>
        <v/>
      </c>
      <c r="I3796" s="24" t="str">
        <f aca="false">IF(OR(E3796="",E3796="!!!",F3796="NEW"),"",INDEX(B2:B$3795,-1+SUMPRODUCT(MAX(ROW(E2:E$3795)*(E3796=E2:E$3795)))))</f>
        <v/>
      </c>
      <c r="J3796" s="24" t="str">
        <f aca="true">IF(OR(E3796="",E3796="!!!",F3796="NEW"),"",COUNTBLANK(OFFSET(A$1,,,SUMPRODUCT(MAX(ROW(E$2:E3796)*(E3796=E$2:E3796)))))-COUNTBLANK(OFFSET(A$1,,,SUMPRODUCT(MAX(ROW(E$1:E3795)*(E2=E$1:E3795))))))</f>
        <v/>
      </c>
      <c r="K3796" s="24" t="str">
        <f aca="false">IF(OR(E3796="",E3796="!!!",F3796="NEW"),"",INDEX(J$1:J3795,SUMPRODUCT(MAX(ROW(E$1:E3795)*(E3796=E$1:E3795)))))</f>
        <v/>
      </c>
      <c r="L3796" s="31"/>
    </row>
    <row r="3797" customFormat="false" ht="15" hidden="false" customHeight="false" outlineLevel="0" collapsed="false">
      <c r="A3797" s="20" t="s">
        <v>1621</v>
      </c>
      <c r="E3797" s="23" t="str">
        <f aca="false">IF(D3797="?OLD","!!!","")</f>
        <v/>
      </c>
      <c r="F3797" s="25" t="str">
        <f aca="false">IF(OR(E3797="",E3797="!!!"),"",IF(NOT(ISNA(VLOOKUP(E3797,E$1:E3796,1,FALSE()))),"OLD",IF(AND(E3797&lt;&gt;"",E3797&lt;&gt;"!!!"),"NEW","")))</f>
        <v/>
      </c>
      <c r="G3797" s="26" t="str">
        <f aca="false">IF(OR(E3797="",E3797="!!!"),"",IF(OR(J3797=0,AND(J3797=1,K3797=1),AND(J3797=1,I3797="SBJ"),AND(J3797=1,I3797=0)),"?IN_FOCUS",IF(J3797&lt;=2,"?ACTIVATED",IF(J3797&lt;&gt;"","?FAMILIAR",IF(F3797="NEW",IF(ISNA(VLOOKUP(E3797,#REF!,1,FALSE())),"?TYPE_IDENTIFIABLE","?REFERENTIAL"),"_")))))</f>
        <v/>
      </c>
      <c r="H3797" s="27" t="str">
        <f aca="false">IF(J3797&lt;&gt;1,"",IF(I3797="SBJ","CB","?"))</f>
        <v/>
      </c>
      <c r="I3797" s="24" t="str">
        <f aca="false">IF(OR(E3797="",E3797="!!!",F3797="NEW"),"",INDEX(B3:B$3795,-1+SUMPRODUCT(MAX(ROW(E3:E$3795)*(E3797=E3:E$3795)))))</f>
        <v/>
      </c>
      <c r="J3797" s="24" t="str">
        <f aca="true">IF(OR(E3797="",E3797="!!!",F3797="NEW"),"",COUNTBLANK(OFFSET(A$1,,,SUMPRODUCT(MAX(ROW(E$2:E3797)*(E3797=E$2:E3797)))))-COUNTBLANK(OFFSET(A$1,,,SUMPRODUCT(MAX(ROW(E$1:E3796)*(E2=E$1:E3796))))))</f>
        <v/>
      </c>
      <c r="K3797" s="24" t="str">
        <f aca="false">IF(OR(E3797="",E3797="!!!",F3797="NEW"),"",INDEX(J$1:J3796,SUMPRODUCT(MAX(ROW(E$1:E3796)*(E3797=E$1:E3796)))))</f>
        <v/>
      </c>
      <c r="L3797" s="31"/>
    </row>
    <row r="3798" customFormat="false" ht="15" hidden="false" customHeight="false" outlineLevel="0" collapsed="false">
      <c r="A3798" s="20" t="s">
        <v>1090</v>
      </c>
      <c r="B3798" s="22" t="s">
        <v>1086</v>
      </c>
      <c r="C3798" s="22" t="s">
        <v>1082</v>
      </c>
      <c r="D3798" s="22" t="s">
        <v>1060</v>
      </c>
      <c r="E3798" s="23" t="str">
        <f aca="false">IF(D3798="?OLD","!!!","")</f>
        <v>!!!</v>
      </c>
      <c r="F3798" s="25" t="str">
        <f aca="false">IF(OR(E3798="",E3798="!!!"),"",IF(NOT(ISNA(VLOOKUP(E3798,E$1:E3797,1,FALSE()))),"OLD",IF(AND(E3798&lt;&gt;"",E3798&lt;&gt;"!!!"),"NEW","")))</f>
        <v/>
      </c>
      <c r="G3798" s="26" t="str">
        <f aca="false">IF(OR(E3798="",E3798="!!!"),"",IF(OR(J3798=0,AND(J3798=1,K3798=1),AND(J3798=1,I3798="SBJ"),AND(J3798=1,I3798=0)),"?IN_FOCUS",IF(J3798&lt;=2,"?ACTIVATED",IF(J3798&lt;&gt;"","?FAMILIAR",IF(F3798="NEW",IF(ISNA(VLOOKUP(E3798,#REF!,1,FALSE())),"?TYPE_IDENTIFIABLE","?REFERENTIAL"),"_")))))</f>
        <v/>
      </c>
      <c r="H3798" s="27" t="str">
        <f aca="false">IF(J3798&lt;&gt;1,"",IF(I3798="SBJ","CB","?"))</f>
        <v/>
      </c>
      <c r="I3798" s="24" t="str">
        <f aca="false">IF(OR(E3798="",E3798="!!!",F3798="NEW"),"",INDEX(B4:B$3795,-1+SUMPRODUCT(MAX(ROW(E4:E$3795)*(E3798=E4:E$3795)))))</f>
        <v/>
      </c>
      <c r="J3798" s="24" t="str">
        <f aca="true">IF(OR(E3798="",E3798="!!!",F3798="NEW"),"",COUNTBLANK(OFFSET(A$1,,,SUMPRODUCT(MAX(ROW(E$2:E3798)*(E3798=E$2:E3798)))))-COUNTBLANK(OFFSET(A$1,,,SUMPRODUCT(MAX(ROW(E$1:E3797)*(E2=E$1:E3797))))))</f>
        <v/>
      </c>
      <c r="K3798" s="24" t="str">
        <f aca="false">IF(OR(E3798="",E3798="!!!",F3798="NEW"),"",INDEX(J$1:J3797,SUMPRODUCT(MAX(ROW(E$1:E3797)*(E3798=E$1:E3797)))))</f>
        <v/>
      </c>
      <c r="L3798" s="31"/>
    </row>
    <row r="3799" customFormat="false" ht="15" hidden="false" customHeight="false" outlineLevel="0" collapsed="false">
      <c r="A3799" s="20" t="s">
        <v>2256</v>
      </c>
      <c r="E3799" s="23" t="str">
        <f aca="false">IF(D3799="?OLD","!!!","")</f>
        <v/>
      </c>
      <c r="F3799" s="25" t="str">
        <f aca="false">IF(OR(E3799="",E3799="!!!"),"",IF(NOT(ISNA(VLOOKUP(E3799,E$1:E3798,1,FALSE()))),"OLD",IF(AND(E3799&lt;&gt;"",E3799&lt;&gt;"!!!"),"NEW","")))</f>
        <v/>
      </c>
      <c r="G3799" s="26" t="str">
        <f aca="false">IF(OR(E3799="",E3799="!!!"),"",IF(OR(J3799=0,AND(J3799=1,K3799=1),AND(J3799=1,I3799="SBJ"),AND(J3799=1,I3799=0)),"?IN_FOCUS",IF(J3799&lt;=2,"?ACTIVATED",IF(J3799&lt;&gt;"","?FAMILIAR",IF(F3799="NEW",IF(ISNA(VLOOKUP(E3799,#REF!,1,FALSE())),"?TYPE_IDENTIFIABLE","?REFERENTIAL"),"_")))))</f>
        <v/>
      </c>
      <c r="H3799" s="27" t="str">
        <f aca="false">IF(J3799&lt;&gt;1,"",IF(I3799="SBJ","CB","?"))</f>
        <v/>
      </c>
      <c r="I3799" s="24" t="str">
        <f aca="false">IF(OR(E3799="",E3799="!!!",F3799="NEW"),"",INDEX(B5:B$3795,-1+SUMPRODUCT(MAX(ROW(E5:E$3795)*(E3799=E5:E$3795)))))</f>
        <v/>
      </c>
      <c r="J3799" s="24" t="str">
        <f aca="true">IF(OR(E3799="",E3799="!!!",F3799="NEW"),"",COUNTBLANK(OFFSET(A$1,,,SUMPRODUCT(MAX(ROW(E$2:E3799)*(E3799=E$2:E3799)))))-COUNTBLANK(OFFSET(A$1,,,SUMPRODUCT(MAX(ROW(E$1:E3798)*(E2=E$1:E3798))))))</f>
        <v/>
      </c>
      <c r="K3799" s="24" t="str">
        <f aca="false">IF(OR(E3799="",E3799="!!!",F3799="NEW"),"",INDEX(J$1:J3798,SUMPRODUCT(MAX(ROW(E$1:E3798)*(E3799=E$1:E3798)))))</f>
        <v/>
      </c>
      <c r="L3799" s="31"/>
    </row>
    <row r="3800" customFormat="false" ht="15" hidden="false" customHeight="false" outlineLevel="0" collapsed="false">
      <c r="A3800" s="20" t="s">
        <v>1307</v>
      </c>
      <c r="E3800" s="23" t="str">
        <f aca="false">IF(D3800="?OLD","!!!","")</f>
        <v/>
      </c>
      <c r="F3800" s="25" t="str">
        <f aca="false">IF(OR(E3800="",E3800="!!!"),"",IF(NOT(ISNA(VLOOKUP(E3800,E$1:E3799,1,FALSE()))),"OLD",IF(AND(E3800&lt;&gt;"",E3800&lt;&gt;"!!!"),"NEW","")))</f>
        <v/>
      </c>
      <c r="G3800" s="26" t="str">
        <f aca="false">IF(OR(E3800="",E3800="!!!"),"",IF(OR(J3800=0,AND(J3800=1,K3800=1),AND(J3800=1,I3800="SBJ"),AND(J3800=1,I3800=0)),"?IN_FOCUS",IF(J3800&lt;=2,"?ACTIVATED",IF(J3800&lt;&gt;"","?FAMILIAR",IF(F3800="NEW",IF(ISNA(VLOOKUP(E3800,#REF!,1,FALSE())),"?TYPE_IDENTIFIABLE","?REFERENTIAL"),"_")))))</f>
        <v/>
      </c>
      <c r="H3800" s="27" t="str">
        <f aca="false">IF(J3800&lt;&gt;1,"",IF(I3800="SBJ","CB","?"))</f>
        <v/>
      </c>
      <c r="I3800" s="24" t="str">
        <f aca="false">IF(OR(E3800="",E3800="!!!",F3800="NEW"),"",INDEX(B6:B$3795,-1+SUMPRODUCT(MAX(ROW(E6:E$3795)*(E3800=E6:E$3795)))))</f>
        <v/>
      </c>
      <c r="J3800" s="24" t="str">
        <f aca="true">IF(OR(E3800="",E3800="!!!",F3800="NEW"),"",COUNTBLANK(OFFSET(A$1,,,SUMPRODUCT(MAX(ROW(E$2:E3800)*(E3800=E$2:E3800)))))-COUNTBLANK(OFFSET(A$1,,,SUMPRODUCT(MAX(ROW(E$1:E3799)*(E2=E$1:E3799))))))</f>
        <v/>
      </c>
      <c r="K3800" s="24" t="str">
        <f aca="false">IF(OR(E3800="",E3800="!!!",F3800="NEW"),"",INDEX(J$1:J3799,SUMPRODUCT(MAX(ROW(E$1:E3799)*(E3800=E$1:E3799)))))</f>
        <v/>
      </c>
      <c r="L3800" s="31"/>
    </row>
    <row r="3801" customFormat="false" ht="15" hidden="false" customHeight="false" outlineLevel="0" collapsed="false">
      <c r="A3801" s="20" t="s">
        <v>607</v>
      </c>
      <c r="E3801" s="23" t="str">
        <f aca="false">IF(D3801="?OLD","!!!","")</f>
        <v/>
      </c>
      <c r="F3801" s="25" t="str">
        <f aca="false">IF(OR(E3801="",E3801="!!!"),"",IF(NOT(ISNA(VLOOKUP(E3801,E$1:E3800,1,FALSE()))),"OLD",IF(AND(E3801&lt;&gt;"",E3801&lt;&gt;"!!!"),"NEW","")))</f>
        <v/>
      </c>
      <c r="G3801" s="26" t="str">
        <f aca="false">IF(OR(E3801="",E3801="!!!"),"",IF(OR(J3801=0,AND(J3801=1,K3801=1),AND(J3801=1,I3801="SBJ"),AND(J3801=1,I3801=0)),"?IN_FOCUS",IF(J3801&lt;=2,"?ACTIVATED",IF(J3801&lt;&gt;"","?FAMILIAR",IF(F3801="NEW",IF(ISNA(VLOOKUP(E3801,#REF!,1,FALSE())),"?TYPE_IDENTIFIABLE","?REFERENTIAL"),"_")))))</f>
        <v/>
      </c>
      <c r="H3801" s="27" t="str">
        <f aca="false">IF(J3801&lt;&gt;1,"",IF(I3801="SBJ","CB","?"))</f>
        <v/>
      </c>
      <c r="I3801" s="24" t="str">
        <f aca="false">IF(OR(E3801="",E3801="!!!",F3801="NEW"),"",INDEX(B7:B$3795,-1+SUMPRODUCT(MAX(ROW(E7:E$3795)*(E3801=E7:E$3795)))))</f>
        <v/>
      </c>
      <c r="J3801" s="24" t="str">
        <f aca="true">IF(OR(E3801="",E3801="!!!",F3801="NEW"),"",COUNTBLANK(OFFSET(A$1,,,SUMPRODUCT(MAX(ROW(E$2:E3801)*(E3801=E$2:E3801)))))-COUNTBLANK(OFFSET(A$1,,,SUMPRODUCT(MAX(ROW(E$1:E3800)*(E2=E$1:E3800))))))</f>
        <v/>
      </c>
      <c r="K3801" s="24" t="str">
        <f aca="false">IF(OR(E3801="",E3801="!!!",F3801="NEW"),"",INDEX(J$1:J3800,SUMPRODUCT(MAX(ROW(E$1:E3800)*(E3801=E$1:E3800)))))</f>
        <v/>
      </c>
      <c r="L3801" s="31"/>
    </row>
    <row r="3802" customFormat="false" ht="15" hidden="false" customHeight="false" outlineLevel="0" collapsed="false">
      <c r="A3802" s="20" t="s">
        <v>1584</v>
      </c>
      <c r="B3802" s="22" t="s">
        <v>1058</v>
      </c>
      <c r="C3802" s="22" t="s">
        <v>1082</v>
      </c>
      <c r="D3802" s="22" t="s">
        <v>1060</v>
      </c>
      <c r="E3802" s="23" t="str">
        <f aca="false">IF(D3802="?OLD","!!!","")</f>
        <v>!!!</v>
      </c>
      <c r="F3802" s="25" t="str">
        <f aca="false">IF(OR(E3802="",E3802="!!!"),"",IF(NOT(ISNA(VLOOKUP(E3802,E$1:E3801,1,FALSE()))),"OLD",IF(AND(E3802&lt;&gt;"",E3802&lt;&gt;"!!!"),"NEW","")))</f>
        <v/>
      </c>
      <c r="G3802" s="26" t="str">
        <f aca="false">IF(OR(E3802="",E3802="!!!"),"",IF(OR(J3802=0,AND(J3802=1,K3802=1),AND(J3802=1,I3802="SBJ"),AND(J3802=1,I3802=0)),"?IN_FOCUS",IF(J3802&lt;=2,"?ACTIVATED",IF(J3802&lt;&gt;"","?FAMILIAR",IF(F3802="NEW",IF(ISNA(VLOOKUP(E3802,#REF!,1,FALSE())),"?TYPE_IDENTIFIABLE","?REFERENTIAL"),"_")))))</f>
        <v/>
      </c>
      <c r="H3802" s="27" t="str">
        <f aca="false">IF(J3802&lt;&gt;1,"",IF(I3802="SBJ","CB","?"))</f>
        <v/>
      </c>
      <c r="I3802" s="24" t="str">
        <f aca="false">IF(OR(E3802="",E3802="!!!",F3802="NEW"),"",INDEX(B8:B$3795,-1+SUMPRODUCT(MAX(ROW(E8:E$3795)*(E3802=E8:E$3795)))))</f>
        <v/>
      </c>
      <c r="J3802" s="24" t="str">
        <f aca="true">IF(OR(E3802="",E3802="!!!",F3802="NEW"),"",COUNTBLANK(OFFSET(A$1,,,SUMPRODUCT(MAX(ROW(E$2:E3802)*(E3802=E$2:E3802)))))-COUNTBLANK(OFFSET(A$1,,,SUMPRODUCT(MAX(ROW(E$1:E3801)*(E2=E$1:E3801))))))</f>
        <v/>
      </c>
      <c r="K3802" s="24" t="str">
        <f aca="false">IF(OR(E3802="",E3802="!!!",F3802="NEW"),"",INDEX(J$1:J3801,SUMPRODUCT(MAX(ROW(E$1:E3801)*(E3802=E$1:E3801)))))</f>
        <v/>
      </c>
      <c r="L3802" s="31"/>
    </row>
    <row r="3803" customFormat="false" ht="15" hidden="false" customHeight="false" outlineLevel="0" collapsed="false">
      <c r="A3803" s="20" t="s">
        <v>1577</v>
      </c>
      <c r="E3803" s="23" t="str">
        <f aca="false">IF(D3803="?OLD","!!!","")</f>
        <v/>
      </c>
      <c r="F3803" s="25" t="str">
        <f aca="false">IF(OR(E3803="",E3803="!!!"),"",IF(NOT(ISNA(VLOOKUP(E3803,E$1:E3802,1,FALSE()))),"OLD",IF(AND(E3803&lt;&gt;"",E3803&lt;&gt;"!!!"),"NEW","")))</f>
        <v/>
      </c>
      <c r="G3803" s="26" t="str">
        <f aca="false">IF(OR(E3803="",E3803="!!!"),"",IF(OR(J3803=0,AND(J3803=1,K3803=1),AND(J3803=1,I3803="SBJ"),AND(J3803=1,I3803=0)),"?IN_FOCUS",IF(J3803&lt;=2,"?ACTIVATED",IF(J3803&lt;&gt;"","?FAMILIAR",IF(F3803="NEW",IF(ISNA(VLOOKUP(E3803,#REF!,1,FALSE())),"?TYPE_IDENTIFIABLE","?REFERENTIAL"),"_")))))</f>
        <v/>
      </c>
      <c r="H3803" s="27" t="str">
        <f aca="false">IF(J3803&lt;&gt;1,"",IF(I3803="SBJ","CB","?"))</f>
        <v/>
      </c>
      <c r="I3803" s="24" t="str">
        <f aca="false">IF(OR(E3803="",E3803="!!!",F3803="NEW"),"",INDEX(B9:B$3795,-1+SUMPRODUCT(MAX(ROW(E9:E$3795)*(E3803=E9:E$3795)))))</f>
        <v/>
      </c>
      <c r="J3803" s="24" t="str">
        <f aca="true">IF(OR(E3803="",E3803="!!!",F3803="NEW"),"",COUNTBLANK(OFFSET(A$1,,,SUMPRODUCT(MAX(ROW(E$2:E3803)*(E3803=E$2:E3803)))))-COUNTBLANK(OFFSET(A$1,,,SUMPRODUCT(MAX(ROW(E$1:E3802)*(E2=E$1:E3802))))))</f>
        <v/>
      </c>
      <c r="K3803" s="24" t="str">
        <f aca="false">IF(OR(E3803="",E3803="!!!",F3803="NEW"),"",INDEX(J$1:J3802,SUMPRODUCT(MAX(ROW(E$1:E3802)*(E3803=E$1:E3802)))))</f>
        <v/>
      </c>
      <c r="L3803" s="31"/>
    </row>
    <row r="3804" customFormat="false" ht="15" hidden="false" customHeight="false" outlineLevel="0" collapsed="false">
      <c r="A3804" s="20" t="s">
        <v>923</v>
      </c>
      <c r="E3804" s="23" t="str">
        <f aca="false">IF(D3804="?OLD","!!!","")</f>
        <v/>
      </c>
      <c r="F3804" s="25" t="str">
        <f aca="false">IF(OR(E3804="",E3804="!!!"),"",IF(NOT(ISNA(VLOOKUP(E3804,E$1:E3803,1,FALSE()))),"OLD",IF(AND(E3804&lt;&gt;"",E3804&lt;&gt;"!!!"),"NEW","")))</f>
        <v/>
      </c>
      <c r="G3804" s="26" t="str">
        <f aca="false">IF(OR(E3804="",E3804="!!!"),"",IF(OR(J3804=0,AND(J3804=1,K3804=1),AND(J3804=1,I3804="SBJ"),AND(J3804=1,I3804=0)),"?IN_FOCUS",IF(J3804&lt;=2,"?ACTIVATED",IF(J3804&lt;&gt;"","?FAMILIAR",IF(F3804="NEW",IF(ISNA(VLOOKUP(E3804,#REF!,1,FALSE())),"?TYPE_IDENTIFIABLE","?REFERENTIAL"),"_")))))</f>
        <v/>
      </c>
      <c r="H3804" s="27" t="str">
        <f aca="false">IF(J3804&lt;&gt;1,"",IF(I3804="SBJ","CB","?"))</f>
        <v/>
      </c>
      <c r="I3804" s="24" t="str">
        <f aca="false">IF(OR(E3804="",E3804="!!!",F3804="NEW"),"",INDEX(B10:B$3795,-1+SUMPRODUCT(MAX(ROW(E10:E$3795)*(E3804=E10:E$3795)))))</f>
        <v/>
      </c>
      <c r="J3804" s="24" t="str">
        <f aca="true">IF(OR(E3804="",E3804="!!!",F3804="NEW"),"",COUNTBLANK(OFFSET(A$1,,,SUMPRODUCT(MAX(ROW(E$2:E3804)*(E3804=E$2:E3804)))))-COUNTBLANK(OFFSET(A$1,,,SUMPRODUCT(MAX(ROW(E$1:E3803)*(E2=E$1:E3803))))))</f>
        <v/>
      </c>
      <c r="K3804" s="24" t="str">
        <f aca="false">IF(OR(E3804="",E3804="!!!",F3804="NEW"),"",INDEX(J$1:J3803,SUMPRODUCT(MAX(ROW(E$1:E3803)*(E3804=E$1:E3803)))))</f>
        <v/>
      </c>
      <c r="L3804" s="31"/>
    </row>
    <row r="3805" customFormat="false" ht="15" hidden="false" customHeight="false" outlineLevel="0" collapsed="false">
      <c r="A3805" s="20"/>
    </row>
    <row r="3806" customFormat="false" ht="15" hidden="false" customHeight="false" outlineLevel="0" collapsed="false">
      <c r="A3806" s="20" t="s">
        <v>1301</v>
      </c>
      <c r="E3806" s="23" t="str">
        <f aca="false">IF(D3806="?OLD","!!!","")</f>
        <v/>
      </c>
      <c r="F3806" s="25" t="str">
        <f aca="false">IF(OR(E3806="",E3806="!!!"),"",IF(NOT(ISNA(VLOOKUP(E3806,E$1:E3805,1,FALSE()))),"OLD",IF(AND(E3806&lt;&gt;"",E3806&lt;&gt;"!!!"),"NEW","")))</f>
        <v/>
      </c>
      <c r="G3806" s="26" t="str">
        <f aca="false">IF(OR(E3806="",E3806="!!!"),"",IF(OR(J3806=0,AND(J3806=1,K3806=1),AND(J3806=1,I3806="SBJ"),AND(J3806=1,I3806=0)),"?IN_FOCUS",IF(J3806&lt;=2,"?ACTIVATED",IF(J3806&lt;&gt;"","?FAMILIAR",IF(F3806="NEW",IF(ISNA(VLOOKUP(E3806,#REF!,1,FALSE())),"?TYPE_IDENTIFIABLE","?REFERENTIAL"),"_")))))</f>
        <v/>
      </c>
      <c r="H3806" s="27" t="str">
        <f aca="false">IF(J3806&lt;&gt;1,"",IF(I3806="SBJ","CB","?"))</f>
        <v/>
      </c>
      <c r="I3806" s="24" t="str">
        <f aca="false">IF(OR(E3806="",E3806="!!!",F3806="NEW"),"",INDEX(B2:B$3805,-1+SUMPRODUCT(MAX(ROW(E2:E$3805)*(E3806=E2:E$3805)))))</f>
        <v/>
      </c>
      <c r="J3806" s="24" t="str">
        <f aca="true">IF(OR(E3806="",E3806="!!!",F3806="NEW"),"",COUNTBLANK(OFFSET(A$1,,,SUMPRODUCT(MAX(ROW(E$2:E3806)*(E3806=E$2:E3806)))))-COUNTBLANK(OFFSET(A$1,,,SUMPRODUCT(MAX(ROW(E$1:E3805)*(E2=E$1:E3805))))))</f>
        <v/>
      </c>
      <c r="K3806" s="24" t="str">
        <f aca="false">IF(OR(E3806="",E3806="!!!",F3806="NEW"),"",INDEX(J$1:J3805,SUMPRODUCT(MAX(ROW(E$1:E3805)*(E3806=E$1:E3805)))))</f>
        <v/>
      </c>
      <c r="L3806" s="31"/>
    </row>
    <row r="3807" customFormat="false" ht="15" hidden="false" customHeight="false" outlineLevel="0" collapsed="false">
      <c r="A3807" s="20" t="s">
        <v>2257</v>
      </c>
    </row>
    <row r="3808" customFormat="false" ht="15" hidden="false" customHeight="false" outlineLevel="0" collapsed="false">
      <c r="A3808" s="20" t="s">
        <v>607</v>
      </c>
      <c r="E3808" s="23" t="str">
        <f aca="false">IF(D3808="?OLD","!!!","")</f>
        <v/>
      </c>
      <c r="F3808" s="25" t="str">
        <f aca="false">IF(OR(E3808="",E3808="!!!"),"",IF(NOT(ISNA(VLOOKUP(E3808,E$1:E3807,1,FALSE()))),"OLD",IF(AND(E3808&lt;&gt;"",E3808&lt;&gt;"!!!"),"NEW","")))</f>
        <v/>
      </c>
      <c r="G3808" s="26" t="str">
        <f aca="false">IF(OR(E3808="",E3808="!!!"),"",IF(OR(J3808=0,AND(J3808=1,K3808=1),AND(J3808=1,I3808="SBJ"),AND(J3808=1,I3808=0)),"?IN_FOCUS",IF(J3808&lt;=2,"?ACTIVATED",IF(J3808&lt;&gt;"","?FAMILIAR",IF(F3808="NEW",IF(ISNA(VLOOKUP(E3808,#REF!,1,FALSE())),"?TYPE_IDENTIFIABLE","?REFERENTIAL"),"_")))))</f>
        <v/>
      </c>
      <c r="H3808" s="27" t="str">
        <f aca="false">IF(J3808&lt;&gt;1,"",IF(I3808="SBJ","CB","?"))</f>
        <v/>
      </c>
      <c r="I3808" s="24" t="str">
        <f aca="false">IF(OR(E3808="",E3808="!!!",F3808="NEW"),"",INDEX(B2:B$3807,-1+SUMPRODUCT(MAX(ROW(E2:E$3807)*(E3808=E2:E$3807)))))</f>
        <v/>
      </c>
      <c r="J3808" s="24" t="str">
        <f aca="true">IF(OR(E3808="",E3808="!!!",F3808="NEW"),"",COUNTBLANK(OFFSET(A$1,,,SUMPRODUCT(MAX(ROW(E$2:E3808)*(E3808=E$2:E3808)))))-COUNTBLANK(OFFSET(A$1,,,SUMPRODUCT(MAX(ROW(E$1:E3807)*(E2=E$1:E3807))))))</f>
        <v/>
      </c>
      <c r="K3808" s="24" t="str">
        <f aca="false">IF(OR(E3808="",E3808="!!!",F3808="NEW"),"",INDEX(J$1:J3807,SUMPRODUCT(MAX(ROW(E$1:E3807)*(E3808=E$1:E3807)))))</f>
        <v/>
      </c>
      <c r="L3808" s="31"/>
    </row>
    <row r="3809" customFormat="false" ht="15" hidden="false" customHeight="false" outlineLevel="0" collapsed="false">
      <c r="A3809" s="20" t="s">
        <v>2258</v>
      </c>
      <c r="E3809" s="23" t="str">
        <f aca="false">IF(D3809="?OLD","!!!","")</f>
        <v/>
      </c>
      <c r="F3809" s="25" t="str">
        <f aca="false">IF(OR(E3809="",E3809="!!!"),"",IF(NOT(ISNA(VLOOKUP(E3809,E$1:E3808,1,FALSE()))),"OLD",IF(AND(E3809&lt;&gt;"",E3809&lt;&gt;"!!!"),"NEW","")))</f>
        <v/>
      </c>
      <c r="G3809" s="26" t="str">
        <f aca="false">IF(OR(E3809="",E3809="!!!"),"",IF(OR(J3809=0,AND(J3809=1,K3809=1),AND(J3809=1,I3809="SBJ"),AND(J3809=1,I3809=0)),"?IN_FOCUS",IF(J3809&lt;=2,"?ACTIVATED",IF(J3809&lt;&gt;"","?FAMILIAR",IF(F3809="NEW",IF(ISNA(VLOOKUP(E3809,#REF!,1,FALSE())),"?TYPE_IDENTIFIABLE","?REFERENTIAL"),"_")))))</f>
        <v/>
      </c>
      <c r="H3809" s="27" t="str">
        <f aca="false">IF(J3809&lt;&gt;1,"",IF(I3809="SBJ","CB","?"))</f>
        <v/>
      </c>
      <c r="I3809" s="24" t="str">
        <f aca="false">IF(OR(E3809="",E3809="!!!",F3809="NEW"),"",INDEX(B3:B$3807,-1+SUMPRODUCT(MAX(ROW(E3:E$3807)*(E3809=E3:E$3807)))))</f>
        <v/>
      </c>
      <c r="J3809" s="24" t="str">
        <f aca="true">IF(OR(E3809="",E3809="!!!",F3809="NEW"),"",COUNTBLANK(OFFSET(A$1,,,SUMPRODUCT(MAX(ROW(E$2:E3809)*(E3809=E$2:E3809)))))-COUNTBLANK(OFFSET(A$1,,,SUMPRODUCT(MAX(ROW(E$1:E3808)*(E2=E$1:E3808))))))</f>
        <v/>
      </c>
      <c r="K3809" s="24" t="str">
        <f aca="false">IF(OR(E3809="",E3809="!!!",F3809="NEW"),"",INDEX(J$1:J3808,SUMPRODUCT(MAX(ROW(E$1:E3808)*(E3809=E$1:E3808)))))</f>
        <v/>
      </c>
      <c r="L3809" s="31"/>
    </row>
    <row r="3810" customFormat="false" ht="15" hidden="false" customHeight="false" outlineLevel="0" collapsed="false">
      <c r="A3810" s="20" t="s">
        <v>1090</v>
      </c>
      <c r="B3810" s="22" t="s">
        <v>1058</v>
      </c>
      <c r="C3810" s="22" t="s">
        <v>1082</v>
      </c>
      <c r="D3810" s="22" t="s">
        <v>1060</v>
      </c>
      <c r="E3810" s="23" t="str">
        <f aca="false">IF(D3810="?OLD","!!!","")</f>
        <v>!!!</v>
      </c>
      <c r="F3810" s="25" t="str">
        <f aca="false">IF(OR(E3810="",E3810="!!!"),"",IF(NOT(ISNA(VLOOKUP(E3810,E$1:E3809,1,FALSE()))),"OLD",IF(AND(E3810&lt;&gt;"",E3810&lt;&gt;"!!!"),"NEW","")))</f>
        <v/>
      </c>
      <c r="G3810" s="26" t="str">
        <f aca="false">IF(OR(E3810="",E3810="!!!"),"",IF(OR(J3810=0,AND(J3810=1,K3810=1),AND(J3810=1,I3810="SBJ"),AND(J3810=1,I3810=0)),"?IN_FOCUS",IF(J3810&lt;=2,"?ACTIVATED",IF(J3810&lt;&gt;"","?FAMILIAR",IF(F3810="NEW",IF(ISNA(VLOOKUP(E3810,#REF!,1,FALSE())),"?TYPE_IDENTIFIABLE","?REFERENTIAL"),"_")))))</f>
        <v/>
      </c>
      <c r="H3810" s="27" t="str">
        <f aca="false">IF(J3810&lt;&gt;1,"",IF(I3810="SBJ","CB","?"))</f>
        <v/>
      </c>
      <c r="I3810" s="24" t="str">
        <f aca="false">IF(OR(E3810="",E3810="!!!",F3810="NEW"),"",INDEX(B4:B$3807,-1+SUMPRODUCT(MAX(ROW(E4:E$3807)*(E3810=E4:E$3807)))))</f>
        <v/>
      </c>
      <c r="J3810" s="24" t="str">
        <f aca="true">IF(OR(E3810="",E3810="!!!",F3810="NEW"),"",COUNTBLANK(OFFSET(A$1,,,SUMPRODUCT(MAX(ROW(E$2:E3810)*(E3810=E$2:E3810)))))-COUNTBLANK(OFFSET(A$1,,,SUMPRODUCT(MAX(ROW(E$1:E3809)*(E2=E$1:E3809))))))</f>
        <v/>
      </c>
      <c r="K3810" s="24" t="str">
        <f aca="false">IF(OR(E3810="",E3810="!!!",F3810="NEW"),"",INDEX(J$1:J3809,SUMPRODUCT(MAX(ROW(E$1:E3809)*(E3810=E$1:E3809)))))</f>
        <v/>
      </c>
      <c r="L3810" s="31"/>
    </row>
    <row r="3811" customFormat="false" ht="15" hidden="false" customHeight="false" outlineLevel="0" collapsed="false">
      <c r="A3811" s="20" t="s">
        <v>2259</v>
      </c>
      <c r="E3811" s="23" t="str">
        <f aca="false">IF(D3811="?OLD","!!!","")</f>
        <v/>
      </c>
      <c r="F3811" s="25" t="str">
        <f aca="false">IF(OR(E3811="",E3811="!!!"),"",IF(NOT(ISNA(VLOOKUP(E3811,E$1:E3810,1,FALSE()))),"OLD",IF(AND(E3811&lt;&gt;"",E3811&lt;&gt;"!!!"),"NEW","")))</f>
        <v/>
      </c>
      <c r="G3811" s="26" t="str">
        <f aca="false">IF(OR(E3811="",E3811="!!!"),"",IF(OR(J3811=0,AND(J3811=1,K3811=1),AND(J3811=1,I3811="SBJ"),AND(J3811=1,I3811=0)),"?IN_FOCUS",IF(J3811&lt;=2,"?ACTIVATED",IF(J3811&lt;&gt;"","?FAMILIAR",IF(F3811="NEW",IF(ISNA(VLOOKUP(E3811,#REF!,1,FALSE())),"?TYPE_IDENTIFIABLE","?REFERENTIAL"),"_")))))</f>
        <v/>
      </c>
      <c r="H3811" s="27" t="str">
        <f aca="false">IF(J3811&lt;&gt;1,"",IF(I3811="SBJ","CB","?"))</f>
        <v/>
      </c>
      <c r="I3811" s="24" t="str">
        <f aca="false">IF(OR(E3811="",E3811="!!!",F3811="NEW"),"",INDEX(B5:B$3807,-1+SUMPRODUCT(MAX(ROW(E5:E$3807)*(E3811=E5:E$3807)))))</f>
        <v/>
      </c>
      <c r="J3811" s="24" t="str">
        <f aca="true">IF(OR(E3811="",E3811="!!!",F3811="NEW"),"",COUNTBLANK(OFFSET(A$1,,,SUMPRODUCT(MAX(ROW(E$2:E3811)*(E3811=E$2:E3811)))))-COUNTBLANK(OFFSET(A$1,,,SUMPRODUCT(MAX(ROW(E$1:E3810)*(E2=E$1:E3810))))))</f>
        <v/>
      </c>
      <c r="K3811" s="24" t="str">
        <f aca="false">IF(OR(E3811="",E3811="!!!",F3811="NEW"),"",INDEX(J$1:J3810,SUMPRODUCT(MAX(ROW(E$1:E3810)*(E3811=E$1:E3810)))))</f>
        <v/>
      </c>
      <c r="L3811" s="31"/>
    </row>
    <row r="3812" customFormat="false" ht="15" hidden="false" customHeight="false" outlineLevel="0" collapsed="false">
      <c r="A3812" s="20" t="s">
        <v>1307</v>
      </c>
      <c r="E3812" s="23" t="str">
        <f aca="false">IF(D3812="?OLD","!!!","")</f>
        <v/>
      </c>
      <c r="F3812" s="25" t="str">
        <f aca="false">IF(OR(E3812="",E3812="!!!"),"",IF(NOT(ISNA(VLOOKUP(E3812,E$1:E3811,1,FALSE()))),"OLD",IF(AND(E3812&lt;&gt;"",E3812&lt;&gt;"!!!"),"NEW","")))</f>
        <v/>
      </c>
      <c r="G3812" s="26" t="str">
        <f aca="false">IF(OR(E3812="",E3812="!!!"),"",IF(OR(J3812=0,AND(J3812=1,K3812=1),AND(J3812=1,I3812="SBJ"),AND(J3812=1,I3812=0)),"?IN_FOCUS",IF(J3812&lt;=2,"?ACTIVATED",IF(J3812&lt;&gt;"","?FAMILIAR",IF(F3812="NEW",IF(ISNA(VLOOKUP(E3812,#REF!,1,FALSE())),"?TYPE_IDENTIFIABLE","?REFERENTIAL"),"_")))))</f>
        <v/>
      </c>
      <c r="H3812" s="27" t="str">
        <f aca="false">IF(J3812&lt;&gt;1,"",IF(I3812="SBJ","CB","?"))</f>
        <v/>
      </c>
      <c r="I3812" s="24" t="str">
        <f aca="false">IF(OR(E3812="",E3812="!!!",F3812="NEW"),"",INDEX(B6:B$3807,-1+SUMPRODUCT(MAX(ROW(E6:E$3807)*(E3812=E6:E$3807)))))</f>
        <v/>
      </c>
      <c r="J3812" s="24" t="str">
        <f aca="true">IF(OR(E3812="",E3812="!!!",F3812="NEW"),"",COUNTBLANK(OFFSET(A$1,,,SUMPRODUCT(MAX(ROW(E$2:E3812)*(E3812=E$2:E3812)))))-COUNTBLANK(OFFSET(A$1,,,SUMPRODUCT(MAX(ROW(E$1:E3811)*(E2=E$1:E3811))))))</f>
        <v/>
      </c>
      <c r="K3812" s="24" t="str">
        <f aca="false">IF(OR(E3812="",E3812="!!!",F3812="NEW"),"",INDEX(J$1:J3811,SUMPRODUCT(MAX(ROW(E$1:E3811)*(E3812=E$1:E3811)))))</f>
        <v/>
      </c>
      <c r="L3812" s="31"/>
    </row>
    <row r="3813" customFormat="false" ht="15" hidden="false" customHeight="false" outlineLevel="0" collapsed="false">
      <c r="A3813" s="20" t="s">
        <v>607</v>
      </c>
      <c r="E3813" s="23" t="str">
        <f aca="false">IF(D3813="?OLD","!!!","")</f>
        <v/>
      </c>
      <c r="F3813" s="25" t="str">
        <f aca="false">IF(OR(E3813="",E3813="!!!"),"",IF(NOT(ISNA(VLOOKUP(E3813,E$1:E3812,1,FALSE()))),"OLD",IF(AND(E3813&lt;&gt;"",E3813&lt;&gt;"!!!"),"NEW","")))</f>
        <v/>
      </c>
      <c r="G3813" s="26" t="str">
        <f aca="false">IF(OR(E3813="",E3813="!!!"),"",IF(OR(J3813=0,AND(J3813=1,K3813=1),AND(J3813=1,I3813="SBJ"),AND(J3813=1,I3813=0)),"?IN_FOCUS",IF(J3813&lt;=2,"?ACTIVATED",IF(J3813&lt;&gt;"","?FAMILIAR",IF(F3813="NEW",IF(ISNA(VLOOKUP(E3813,#REF!,1,FALSE())),"?TYPE_IDENTIFIABLE","?REFERENTIAL"),"_")))))</f>
        <v/>
      </c>
      <c r="H3813" s="27" t="str">
        <f aca="false">IF(J3813&lt;&gt;1,"",IF(I3813="SBJ","CB","?"))</f>
        <v/>
      </c>
      <c r="I3813" s="24" t="str">
        <f aca="false">IF(OR(E3813="",E3813="!!!",F3813="NEW"),"",INDEX(B7:B$3807,-1+SUMPRODUCT(MAX(ROW(E7:E$3807)*(E3813=E7:E$3807)))))</f>
        <v/>
      </c>
      <c r="J3813" s="24" t="str">
        <f aca="true">IF(OR(E3813="",E3813="!!!",F3813="NEW"),"",COUNTBLANK(OFFSET(A$1,,,SUMPRODUCT(MAX(ROW(E$2:E3813)*(E3813=E$2:E3813)))))-COUNTBLANK(OFFSET(A$1,,,SUMPRODUCT(MAX(ROW(E$1:E3812)*(E2=E$1:E3812))))))</f>
        <v/>
      </c>
      <c r="K3813" s="24" t="str">
        <f aca="false">IF(OR(E3813="",E3813="!!!",F3813="NEW"),"",INDEX(J$1:J3812,SUMPRODUCT(MAX(ROW(E$1:E3812)*(E3813=E$1:E3812)))))</f>
        <v/>
      </c>
      <c r="L3813" s="31"/>
    </row>
    <row r="3814" customFormat="false" ht="15" hidden="false" customHeight="false" outlineLevel="0" collapsed="false">
      <c r="A3814" s="20"/>
    </row>
    <row r="3815" customFormat="false" ht="15" hidden="false" customHeight="false" outlineLevel="0" collapsed="false">
      <c r="A3815" s="20" t="s">
        <v>1301</v>
      </c>
      <c r="E3815" s="23" t="str">
        <f aca="false">IF(D3815="?OLD","!!!","")</f>
        <v/>
      </c>
      <c r="F3815" s="25" t="str">
        <f aca="false">IF(OR(E3815="",E3815="!!!"),"",IF(NOT(ISNA(VLOOKUP(E3815,E$1:E3814,1,FALSE()))),"OLD",IF(AND(E3815&lt;&gt;"",E3815&lt;&gt;"!!!"),"NEW","")))</f>
        <v/>
      </c>
      <c r="G3815" s="26" t="str">
        <f aca="false">IF(OR(E3815="",E3815="!!!"),"",IF(OR(J3815=0,AND(J3815=1,K3815=1),AND(J3815=1,I3815="SBJ"),AND(J3815=1,I3815=0)),"?IN_FOCUS",IF(J3815&lt;=2,"?ACTIVATED",IF(J3815&lt;&gt;"","?FAMILIAR",IF(F3815="NEW",IF(ISNA(VLOOKUP(E3815,#REF!,1,FALSE())),"?TYPE_IDENTIFIABLE","?REFERENTIAL"),"_")))))</f>
        <v/>
      </c>
      <c r="H3815" s="27" t="str">
        <f aca="false">IF(J3815&lt;&gt;1,"",IF(I3815="SBJ","CB","?"))</f>
        <v/>
      </c>
      <c r="I3815" s="24" t="str">
        <f aca="false">IF(OR(E3815="",E3815="!!!",F3815="NEW"),"",INDEX(B2:B$3814,-1+SUMPRODUCT(MAX(ROW(E2:E$3814)*(E3815=E2:E$3814)))))</f>
        <v/>
      </c>
      <c r="J3815" s="24" t="str">
        <f aca="true">IF(OR(E3815="",E3815="!!!",F3815="NEW"),"",COUNTBLANK(OFFSET(A$1,,,SUMPRODUCT(MAX(ROW(E$2:E3815)*(E3815=E$2:E3815)))))-COUNTBLANK(OFFSET(A$1,,,SUMPRODUCT(MAX(ROW(E$1:E3814)*(E2=E$1:E3814))))))</f>
        <v/>
      </c>
      <c r="K3815" s="24" t="str">
        <f aca="false">IF(OR(E3815="",E3815="!!!",F3815="NEW"),"",INDEX(J$1:J3814,SUMPRODUCT(MAX(ROW(E$1:E3814)*(E3815=E$1:E3814)))))</f>
        <v/>
      </c>
      <c r="L3815" s="31"/>
    </row>
    <row r="3816" customFormat="false" ht="15" hidden="false" customHeight="false" outlineLevel="0" collapsed="false">
      <c r="A3816" s="20" t="s">
        <v>2260</v>
      </c>
    </row>
    <row r="3817" customFormat="false" ht="15" hidden="false" customHeight="false" outlineLevel="0" collapsed="false">
      <c r="A3817" s="20" t="s">
        <v>607</v>
      </c>
      <c r="E3817" s="23" t="str">
        <f aca="false">IF(D3817="?OLD","!!!","")</f>
        <v/>
      </c>
      <c r="F3817" s="25" t="str">
        <f aca="false">IF(OR(E3817="",E3817="!!!"),"",IF(NOT(ISNA(VLOOKUP(E3817,E$1:E3816,1,FALSE()))),"OLD",IF(AND(E3817&lt;&gt;"",E3817&lt;&gt;"!!!"),"NEW","")))</f>
        <v/>
      </c>
      <c r="G3817" s="26" t="str">
        <f aca="false">IF(OR(E3817="",E3817="!!!"),"",IF(OR(J3817=0,AND(J3817=1,K3817=1),AND(J3817=1,I3817="SBJ"),AND(J3817=1,I3817=0)),"?IN_FOCUS",IF(J3817&lt;=2,"?ACTIVATED",IF(J3817&lt;&gt;"","?FAMILIAR",IF(F3817="NEW",IF(ISNA(VLOOKUP(E3817,#REF!,1,FALSE())),"?TYPE_IDENTIFIABLE","?REFERENTIAL"),"_")))))</f>
        <v/>
      </c>
      <c r="H3817" s="27" t="str">
        <f aca="false">IF(J3817&lt;&gt;1,"",IF(I3817="SBJ","CB","?"))</f>
        <v/>
      </c>
      <c r="I3817" s="24" t="str">
        <f aca="false">IF(OR(E3817="",E3817="!!!",F3817="NEW"),"",INDEX(B2:B$3816,-1+SUMPRODUCT(MAX(ROW(E2:E$3816)*(E3817=E2:E$3816)))))</f>
        <v/>
      </c>
      <c r="J3817" s="24" t="str">
        <f aca="true">IF(OR(E3817="",E3817="!!!",F3817="NEW"),"",COUNTBLANK(OFFSET(A$1,,,SUMPRODUCT(MAX(ROW(E$2:E3817)*(E3817=E$2:E3817)))))-COUNTBLANK(OFFSET(A$1,,,SUMPRODUCT(MAX(ROW(E$1:E3816)*(E2=E$1:E3816))))))</f>
        <v/>
      </c>
      <c r="K3817" s="24" t="str">
        <f aca="false">IF(OR(E3817="",E3817="!!!",F3817="NEW"),"",INDEX(J$1:J3816,SUMPRODUCT(MAX(ROW(E$1:E3816)*(E3817=E$1:E3816)))))</f>
        <v/>
      </c>
      <c r="L3817" s="31"/>
    </row>
    <row r="3818" customFormat="false" ht="15" hidden="false" customHeight="false" outlineLevel="0" collapsed="false">
      <c r="A3818" s="20" t="s">
        <v>1561</v>
      </c>
      <c r="B3818" s="22" t="s">
        <v>1058</v>
      </c>
      <c r="C3818" s="22" t="s">
        <v>1082</v>
      </c>
      <c r="D3818" s="22" t="s">
        <v>1060</v>
      </c>
      <c r="E3818" s="23" t="str">
        <f aca="false">IF(D3818="?OLD","!!!","")</f>
        <v>!!!</v>
      </c>
      <c r="F3818" s="25" t="str">
        <f aca="false">IF(OR(E3818="",E3818="!!!"),"",IF(NOT(ISNA(VLOOKUP(E3818,E$1:E3817,1,FALSE()))),"OLD",IF(AND(E3818&lt;&gt;"",E3818&lt;&gt;"!!!"),"NEW","")))</f>
        <v/>
      </c>
      <c r="G3818" s="26" t="str">
        <f aca="false">IF(OR(E3818="",E3818="!!!"),"",IF(OR(J3818=0,AND(J3818=1,K3818=1),AND(J3818=1,I3818="SBJ"),AND(J3818=1,I3818=0)),"?IN_FOCUS",IF(J3818&lt;=2,"?ACTIVATED",IF(J3818&lt;&gt;"","?FAMILIAR",IF(F3818="NEW",IF(ISNA(VLOOKUP(E3818,#REF!,1,FALSE())),"?TYPE_IDENTIFIABLE","?REFERENTIAL"),"_")))))</f>
        <v/>
      </c>
      <c r="H3818" s="27" t="str">
        <f aca="false">IF(J3818&lt;&gt;1,"",IF(I3818="SBJ","CB","?"))</f>
        <v/>
      </c>
      <c r="I3818" s="24" t="str">
        <f aca="false">IF(OR(E3818="",E3818="!!!",F3818="NEW"),"",INDEX(B3:B$3816,-1+SUMPRODUCT(MAX(ROW(E3:E$3816)*(E3818=E3:E$3816)))))</f>
        <v/>
      </c>
      <c r="J3818" s="24" t="str">
        <f aca="true">IF(OR(E3818="",E3818="!!!",F3818="NEW"),"",COUNTBLANK(OFFSET(A$1,,,SUMPRODUCT(MAX(ROW(E$2:E3818)*(E3818=E$2:E3818)))))-COUNTBLANK(OFFSET(A$1,,,SUMPRODUCT(MAX(ROW(E$1:E3817)*(E2=E$1:E3817))))))</f>
        <v/>
      </c>
      <c r="K3818" s="24" t="str">
        <f aca="false">IF(OR(E3818="",E3818="!!!",F3818="NEW"),"",INDEX(J$1:J3817,SUMPRODUCT(MAX(ROW(E$1:E3817)*(E3818=E$1:E3817)))))</f>
        <v/>
      </c>
      <c r="L3818" s="31"/>
    </row>
    <row r="3819" customFormat="false" ht="15" hidden="false" customHeight="false" outlineLevel="0" collapsed="false">
      <c r="A3819" s="20" t="s">
        <v>1583</v>
      </c>
      <c r="E3819" s="23" t="str">
        <f aca="false">IF(D3819="?OLD","!!!","")</f>
        <v/>
      </c>
      <c r="F3819" s="25" t="str">
        <f aca="false">IF(OR(E3819="",E3819="!!!"),"",IF(NOT(ISNA(VLOOKUP(E3819,E$1:E3818,1,FALSE()))),"OLD",IF(AND(E3819&lt;&gt;"",E3819&lt;&gt;"!!!"),"NEW","")))</f>
        <v/>
      </c>
      <c r="G3819" s="26" t="str">
        <f aca="false">IF(OR(E3819="",E3819="!!!"),"",IF(OR(J3819=0,AND(J3819=1,K3819=1),AND(J3819=1,I3819="SBJ"),AND(J3819=1,I3819=0)),"?IN_FOCUS",IF(J3819&lt;=2,"?ACTIVATED",IF(J3819&lt;&gt;"","?FAMILIAR",IF(F3819="NEW",IF(ISNA(VLOOKUP(E3819,#REF!,1,FALSE())),"?TYPE_IDENTIFIABLE","?REFERENTIAL"),"_")))))</f>
        <v/>
      </c>
      <c r="H3819" s="27" t="str">
        <f aca="false">IF(J3819&lt;&gt;1,"",IF(I3819="SBJ","CB","?"))</f>
        <v/>
      </c>
      <c r="I3819" s="24" t="str">
        <f aca="false">IF(OR(E3819="",E3819="!!!",F3819="NEW"),"",INDEX(B4:B$3816,-1+SUMPRODUCT(MAX(ROW(E4:E$3816)*(E3819=E4:E$3816)))))</f>
        <v/>
      </c>
      <c r="J3819" s="24" t="str">
        <f aca="true">IF(OR(E3819="",E3819="!!!",F3819="NEW"),"",COUNTBLANK(OFFSET(A$1,,,SUMPRODUCT(MAX(ROW(E$2:E3819)*(E3819=E$2:E3819)))))-COUNTBLANK(OFFSET(A$1,,,SUMPRODUCT(MAX(ROW(E$1:E3818)*(E2=E$1:E3818))))))</f>
        <v/>
      </c>
      <c r="K3819" s="24" t="str">
        <f aca="false">IF(OR(E3819="",E3819="!!!",F3819="NEW"),"",INDEX(J$1:J3818,SUMPRODUCT(MAX(ROW(E$1:E3818)*(E3819=E$1:E3818)))))</f>
        <v/>
      </c>
      <c r="L3819" s="31"/>
    </row>
    <row r="3820" customFormat="false" ht="15" hidden="false" customHeight="false" outlineLevel="0" collapsed="false">
      <c r="A3820" s="20" t="s">
        <v>1279</v>
      </c>
      <c r="E3820" s="23" t="str">
        <f aca="false">IF(D3820="?OLD","!!!","")</f>
        <v/>
      </c>
      <c r="F3820" s="25" t="str">
        <f aca="false">IF(OR(E3820="",E3820="!!!"),"",IF(NOT(ISNA(VLOOKUP(E3820,E$1:E3819,1,FALSE()))),"OLD",IF(AND(E3820&lt;&gt;"",E3820&lt;&gt;"!!!"),"NEW","")))</f>
        <v/>
      </c>
      <c r="G3820" s="26" t="str">
        <f aca="false">IF(OR(E3820="",E3820="!!!"),"",IF(OR(J3820=0,AND(J3820=1,K3820=1),AND(J3820=1,I3820="SBJ"),AND(J3820=1,I3820=0)),"?IN_FOCUS",IF(J3820&lt;=2,"?ACTIVATED",IF(J3820&lt;&gt;"","?FAMILIAR",IF(F3820="NEW",IF(ISNA(VLOOKUP(E3820,#REF!,1,FALSE())),"?TYPE_IDENTIFIABLE","?REFERENTIAL"),"_")))))</f>
        <v/>
      </c>
      <c r="H3820" s="27" t="str">
        <f aca="false">IF(J3820&lt;&gt;1,"",IF(I3820="SBJ","CB","?"))</f>
        <v/>
      </c>
      <c r="I3820" s="24" t="str">
        <f aca="false">IF(OR(E3820="",E3820="!!!",F3820="NEW"),"",INDEX(B5:B$3816,-1+SUMPRODUCT(MAX(ROW(E5:E$3816)*(E3820=E5:E$3816)))))</f>
        <v/>
      </c>
      <c r="J3820" s="24" t="str">
        <f aca="true">IF(OR(E3820="",E3820="!!!",F3820="NEW"),"",COUNTBLANK(OFFSET(A$1,,,SUMPRODUCT(MAX(ROW(E$2:E3820)*(E3820=E$2:E3820)))))-COUNTBLANK(OFFSET(A$1,,,SUMPRODUCT(MAX(ROW(E$1:E3819)*(E2=E$1:E3819))))))</f>
        <v/>
      </c>
      <c r="K3820" s="24" t="str">
        <f aca="false">IF(OR(E3820="",E3820="!!!",F3820="NEW"),"",INDEX(J$1:J3819,SUMPRODUCT(MAX(ROW(E$1:E3819)*(E3820=E$1:E3819)))))</f>
        <v/>
      </c>
      <c r="L3820" s="31"/>
    </row>
    <row r="3821" customFormat="false" ht="15" hidden="false" customHeight="false" outlineLevel="0" collapsed="false">
      <c r="A3821" s="20" t="s">
        <v>746</v>
      </c>
      <c r="E3821" s="23" t="str">
        <f aca="false">IF(D3821="?OLD","!!!","")</f>
        <v/>
      </c>
      <c r="F3821" s="25" t="str">
        <f aca="false">IF(OR(E3821="",E3821="!!!"),"",IF(NOT(ISNA(VLOOKUP(E3821,E$1:E3820,1,FALSE()))),"OLD",IF(AND(E3821&lt;&gt;"",E3821&lt;&gt;"!!!"),"NEW","")))</f>
        <v/>
      </c>
      <c r="G3821" s="26" t="str">
        <f aca="false">IF(OR(E3821="",E3821="!!!"),"",IF(OR(J3821=0,AND(J3821=1,K3821=1),AND(J3821=1,I3821="SBJ"),AND(J3821=1,I3821=0)),"?IN_FOCUS",IF(J3821&lt;=2,"?ACTIVATED",IF(J3821&lt;&gt;"","?FAMILIAR",IF(F3821="NEW",IF(ISNA(VLOOKUP(E3821,#REF!,1,FALSE())),"?TYPE_IDENTIFIABLE","?REFERENTIAL"),"_")))))</f>
        <v/>
      </c>
      <c r="H3821" s="27" t="str">
        <f aca="false">IF(J3821&lt;&gt;1,"",IF(I3821="SBJ","CB","?"))</f>
        <v/>
      </c>
      <c r="I3821" s="24" t="str">
        <f aca="false">IF(OR(E3821="",E3821="!!!",F3821="NEW"),"",INDEX(B6:B$3816,-1+SUMPRODUCT(MAX(ROW(E6:E$3816)*(E3821=E6:E$3816)))))</f>
        <v/>
      </c>
      <c r="J3821" s="24" t="str">
        <f aca="true">IF(OR(E3821="",E3821="!!!",F3821="NEW"),"",COUNTBLANK(OFFSET(A$1,,,SUMPRODUCT(MAX(ROW(E$2:E3821)*(E3821=E$2:E3821)))))-COUNTBLANK(OFFSET(A$1,,,SUMPRODUCT(MAX(ROW(E$1:E3820)*(E2=E$1:E3820))))))</f>
        <v/>
      </c>
      <c r="K3821" s="24" t="str">
        <f aca="false">IF(OR(E3821="",E3821="!!!",F3821="NEW"),"",INDEX(J$1:J3820,SUMPRODUCT(MAX(ROW(E$1:E3820)*(E3821=E$1:E3820)))))</f>
        <v/>
      </c>
      <c r="L3821" s="31"/>
    </row>
    <row r="3822" customFormat="false" ht="15" hidden="false" customHeight="false" outlineLevel="0" collapsed="false">
      <c r="A3822" s="20" t="s">
        <v>1179</v>
      </c>
      <c r="B3822" s="22" t="s">
        <v>1081</v>
      </c>
      <c r="C3822" s="22" t="s">
        <v>1082</v>
      </c>
      <c r="D3822" s="22" t="s">
        <v>1060</v>
      </c>
      <c r="E3822" s="23" t="str">
        <f aca="false">IF(D3822="?OLD","!!!","")</f>
        <v>!!!</v>
      </c>
      <c r="F3822" s="25" t="str">
        <f aca="false">IF(OR(E3822="",E3822="!!!"),"",IF(NOT(ISNA(VLOOKUP(E3822,E$1:E3821,1,FALSE()))),"OLD",IF(AND(E3822&lt;&gt;"",E3822&lt;&gt;"!!!"),"NEW","")))</f>
        <v/>
      </c>
      <c r="G3822" s="26" t="str">
        <f aca="false">IF(OR(E3822="",E3822="!!!"),"",IF(OR(J3822=0,AND(J3822=1,K3822=1),AND(J3822=1,I3822="SBJ"),AND(J3822=1,I3822=0)),"?IN_FOCUS",IF(J3822&lt;=2,"?ACTIVATED",IF(J3822&lt;&gt;"","?FAMILIAR",IF(F3822="NEW",IF(ISNA(VLOOKUP(E3822,#REF!,1,FALSE())),"?TYPE_IDENTIFIABLE","?REFERENTIAL"),"_")))))</f>
        <v/>
      </c>
      <c r="H3822" s="27" t="str">
        <f aca="false">IF(J3822&lt;&gt;1,"",IF(I3822="SBJ","CB","?"))</f>
        <v/>
      </c>
      <c r="I3822" s="24" t="str">
        <f aca="false">IF(OR(E3822="",E3822="!!!",F3822="NEW"),"",INDEX(B7:B$3816,-1+SUMPRODUCT(MAX(ROW(E7:E$3816)*(E3822=E7:E$3816)))))</f>
        <v/>
      </c>
      <c r="J3822" s="24" t="str">
        <f aca="true">IF(OR(E3822="",E3822="!!!",F3822="NEW"),"",COUNTBLANK(OFFSET(A$1,,,SUMPRODUCT(MAX(ROW(E$2:E3822)*(E3822=E$2:E3822)))))-COUNTBLANK(OFFSET(A$1,,,SUMPRODUCT(MAX(ROW(E$1:E3821)*(E2=E$1:E3821))))))</f>
        <v/>
      </c>
      <c r="K3822" s="24" t="str">
        <f aca="false">IF(OR(E3822="",E3822="!!!",F3822="NEW"),"",INDEX(J$1:J3821,SUMPRODUCT(MAX(ROW(E$1:E3821)*(E3822=E$1:E3821)))))</f>
        <v/>
      </c>
      <c r="L3822" s="31"/>
    </row>
    <row r="3823" customFormat="false" ht="15" hidden="false" customHeight="false" outlineLevel="0" collapsed="false">
      <c r="A3823" s="20" t="s">
        <v>1076</v>
      </c>
      <c r="E3823" s="23" t="str">
        <f aca="false">IF(D3823="?OLD","!!!","")</f>
        <v/>
      </c>
      <c r="F3823" s="25" t="str">
        <f aca="false">IF(OR(E3823="",E3823="!!!"),"",IF(NOT(ISNA(VLOOKUP(E3823,E$1:E3822,1,FALSE()))),"OLD",IF(AND(E3823&lt;&gt;"",E3823&lt;&gt;"!!!"),"NEW","")))</f>
        <v/>
      </c>
      <c r="G3823" s="26" t="str">
        <f aca="false">IF(OR(E3823="",E3823="!!!"),"",IF(OR(J3823=0,AND(J3823=1,K3823=1),AND(J3823=1,I3823="SBJ"),AND(J3823=1,I3823=0)),"?IN_FOCUS",IF(J3823&lt;=2,"?ACTIVATED",IF(J3823&lt;&gt;"","?FAMILIAR",IF(F3823="NEW",IF(ISNA(VLOOKUP(E3823,#REF!,1,FALSE())),"?TYPE_IDENTIFIABLE","?REFERENTIAL"),"_")))))</f>
        <v/>
      </c>
      <c r="H3823" s="27" t="str">
        <f aca="false">IF(J3823&lt;&gt;1,"",IF(I3823="SBJ","CB","?"))</f>
        <v/>
      </c>
      <c r="I3823" s="24" t="str">
        <f aca="false">IF(OR(E3823="",E3823="!!!",F3823="NEW"),"",INDEX(B8:B$3816,-1+SUMPRODUCT(MAX(ROW(E8:E$3816)*(E3823=E8:E$3816)))))</f>
        <v/>
      </c>
      <c r="J3823" s="24" t="str">
        <f aca="true">IF(OR(E3823="",E3823="!!!",F3823="NEW"),"",COUNTBLANK(OFFSET(A$1,,,SUMPRODUCT(MAX(ROW(E$2:E3823)*(E3823=E$2:E3823)))))-COUNTBLANK(OFFSET(A$1,,,SUMPRODUCT(MAX(ROW(E$1:E3822)*(E2=E$1:E3822))))))</f>
        <v/>
      </c>
      <c r="K3823" s="24" t="str">
        <f aca="false">IF(OR(E3823="",E3823="!!!",F3823="NEW"),"",INDEX(J$1:J3822,SUMPRODUCT(MAX(ROW(E$1:E3822)*(E3823=E$1:E3822)))))</f>
        <v/>
      </c>
      <c r="L3823" s="31"/>
    </row>
    <row r="3824" customFormat="false" ht="15" hidden="false" customHeight="false" outlineLevel="0" collapsed="false">
      <c r="A3824" s="20" t="s">
        <v>2261</v>
      </c>
      <c r="B3824" s="22" t="s">
        <v>1073</v>
      </c>
      <c r="C3824" s="22" t="s">
        <v>1160</v>
      </c>
      <c r="E3824" s="23" t="str">
        <f aca="false">IF(D3824="?OLD","!!!","")</f>
        <v/>
      </c>
      <c r="F3824" s="25" t="str">
        <f aca="false">IF(OR(E3824="",E3824="!!!"),"",IF(NOT(ISNA(VLOOKUP(E3824,E$1:E3823,1,FALSE()))),"OLD",IF(AND(E3824&lt;&gt;"",E3824&lt;&gt;"!!!"),"NEW","")))</f>
        <v/>
      </c>
      <c r="G3824" s="26" t="str">
        <f aca="false">IF(OR(E3824="",E3824="!!!"),"",IF(OR(J3824=0,AND(J3824=1,K3824=1),AND(J3824=1,I3824="SBJ"),AND(J3824=1,I3824=0)),"?IN_FOCUS",IF(J3824&lt;=2,"?ACTIVATED",IF(J3824&lt;&gt;"","?FAMILIAR",IF(F3824="NEW",IF(ISNA(VLOOKUP(E3824,#REF!,1,FALSE())),"?TYPE_IDENTIFIABLE","?REFERENTIAL"),"_")))))</f>
        <v/>
      </c>
      <c r="H3824" s="27" t="str">
        <f aca="false">IF(J3824&lt;&gt;1,"",IF(I3824="SBJ","CB","?"))</f>
        <v/>
      </c>
      <c r="I3824" s="24" t="str">
        <f aca="false">IF(OR(E3824="",E3824="!!!",F3824="NEW"),"",INDEX(B9:B$3816,-1+SUMPRODUCT(MAX(ROW(E9:E$3816)*(E3824=E9:E$3816)))))</f>
        <v/>
      </c>
      <c r="J3824" s="24" t="str">
        <f aca="true">IF(OR(E3824="",E3824="!!!",F3824="NEW"),"",COUNTBLANK(OFFSET(A$1,,,SUMPRODUCT(MAX(ROW(E$2:E3824)*(E3824=E$2:E3824)))))-COUNTBLANK(OFFSET(A$1,,,SUMPRODUCT(MAX(ROW(E$1:E3823)*(E2=E$1:E3823))))))</f>
        <v/>
      </c>
      <c r="K3824" s="24" t="str">
        <f aca="false">IF(OR(E3824="",E3824="!!!",F3824="NEW"),"",INDEX(J$1:J3823,SUMPRODUCT(MAX(ROW(E$1:E3823)*(E3824=E$1:E3823)))))</f>
        <v/>
      </c>
      <c r="L3824" s="31"/>
    </row>
    <row r="3825" customFormat="false" ht="15" hidden="false" customHeight="false" outlineLevel="0" collapsed="false">
      <c r="A3825" s="20" t="s">
        <v>923</v>
      </c>
      <c r="E3825" s="23" t="str">
        <f aca="false">IF(D3825="?OLD","!!!","")</f>
        <v/>
      </c>
      <c r="F3825" s="25" t="str">
        <f aca="false">IF(OR(E3825="",E3825="!!!"),"",IF(NOT(ISNA(VLOOKUP(E3825,E$1:E3824,1,FALSE()))),"OLD",IF(AND(E3825&lt;&gt;"",E3825&lt;&gt;"!!!"),"NEW","")))</f>
        <v/>
      </c>
      <c r="G3825" s="26" t="str">
        <f aca="false">IF(OR(E3825="",E3825="!!!"),"",IF(OR(J3825=0,AND(J3825=1,K3825=1),AND(J3825=1,I3825="SBJ"),AND(J3825=1,I3825=0)),"?IN_FOCUS",IF(J3825&lt;=2,"?ACTIVATED",IF(J3825&lt;&gt;"","?FAMILIAR",IF(F3825="NEW",IF(ISNA(VLOOKUP(E3825,#REF!,1,FALSE())),"?TYPE_IDENTIFIABLE","?REFERENTIAL"),"_")))))</f>
        <v/>
      </c>
      <c r="H3825" s="27" t="str">
        <f aca="false">IF(J3825&lt;&gt;1,"",IF(I3825="SBJ","CB","?"))</f>
        <v/>
      </c>
      <c r="I3825" s="24" t="str">
        <f aca="false">IF(OR(E3825="",E3825="!!!",F3825="NEW"),"",INDEX(B10:B$3816,-1+SUMPRODUCT(MAX(ROW(E10:E$3816)*(E3825=E10:E$3816)))))</f>
        <v/>
      </c>
      <c r="J3825" s="24" t="str">
        <f aca="true">IF(OR(E3825="",E3825="!!!",F3825="NEW"),"",COUNTBLANK(OFFSET(A$1,,,SUMPRODUCT(MAX(ROW(E$2:E3825)*(E3825=E$2:E3825)))))-COUNTBLANK(OFFSET(A$1,,,SUMPRODUCT(MAX(ROW(E$1:E3824)*(E2=E$1:E3824))))))</f>
        <v/>
      </c>
      <c r="K3825" s="24" t="str">
        <f aca="false">IF(OR(E3825="",E3825="!!!",F3825="NEW"),"",INDEX(J$1:J3824,SUMPRODUCT(MAX(ROW(E$1:E3824)*(E3825=E$1:E3824)))))</f>
        <v/>
      </c>
      <c r="L3825" s="31"/>
    </row>
    <row r="3826" customFormat="false" ht="15" hidden="false" customHeight="false" outlineLevel="0" collapsed="false">
      <c r="A3826" s="20" t="s">
        <v>607</v>
      </c>
      <c r="E3826" s="23" t="str">
        <f aca="false">IF(D3826="?OLD","!!!","")</f>
        <v/>
      </c>
      <c r="F3826" s="25" t="str">
        <f aca="false">IF(OR(E3826="",E3826="!!!"),"",IF(NOT(ISNA(VLOOKUP(E3826,E$1:E3825,1,FALSE()))),"OLD",IF(AND(E3826&lt;&gt;"",E3826&lt;&gt;"!!!"),"NEW","")))</f>
        <v/>
      </c>
      <c r="G3826" s="26" t="str">
        <f aca="false">IF(OR(E3826="",E3826="!!!"),"",IF(OR(J3826=0,AND(J3826=1,K3826=1),AND(J3826=1,I3826="SBJ"),AND(J3826=1,I3826=0)),"?IN_FOCUS",IF(J3826&lt;=2,"?ACTIVATED",IF(J3826&lt;&gt;"","?FAMILIAR",IF(F3826="NEW",IF(ISNA(VLOOKUP(E3826,#REF!,1,FALSE())),"?TYPE_IDENTIFIABLE","?REFERENTIAL"),"_")))))</f>
        <v/>
      </c>
      <c r="H3826" s="27" t="str">
        <f aca="false">IF(J3826&lt;&gt;1,"",IF(I3826="SBJ","CB","?"))</f>
        <v/>
      </c>
      <c r="I3826" s="24" t="str">
        <f aca="false">IF(OR(E3826="",E3826="!!!",F3826="NEW"),"",INDEX(B11:B$3816,-1+SUMPRODUCT(MAX(ROW(E11:E$3816)*(E3826=E11:E$3816)))))</f>
        <v/>
      </c>
      <c r="J3826" s="24" t="str">
        <f aca="true">IF(OR(E3826="",E3826="!!!",F3826="NEW"),"",COUNTBLANK(OFFSET(A$1,,,SUMPRODUCT(MAX(ROW(E$2:E3826)*(E3826=E$2:E3826)))))-COUNTBLANK(OFFSET(A$1,,,SUMPRODUCT(MAX(ROW(E$1:E3825)*(E2=E$1:E3825))))))</f>
        <v/>
      </c>
      <c r="K3826" s="24" t="str">
        <f aca="false">IF(OR(E3826="",E3826="!!!",F3826="NEW"),"",INDEX(J$1:J3825,SUMPRODUCT(MAX(ROW(E$1:E3825)*(E3826=E$1:E3825)))))</f>
        <v/>
      </c>
      <c r="L3826" s="31"/>
    </row>
    <row r="3827" customFormat="false" ht="15" hidden="false" customHeight="false" outlineLevel="0" collapsed="false">
      <c r="A3827" s="20"/>
    </row>
    <row r="3828" customFormat="false" ht="15" hidden="false" customHeight="false" outlineLevel="0" collapsed="false">
      <c r="A3828" s="20" t="s">
        <v>1301</v>
      </c>
      <c r="E3828" s="23" t="str">
        <f aca="false">IF(D3828="?OLD","!!!","")</f>
        <v/>
      </c>
      <c r="F3828" s="25" t="str">
        <f aca="false">IF(OR(E3828="",E3828="!!!"),"",IF(NOT(ISNA(VLOOKUP(E3828,E$1:E3827,1,FALSE()))),"OLD",IF(AND(E3828&lt;&gt;"",E3828&lt;&gt;"!!!"),"NEW","")))</f>
        <v/>
      </c>
      <c r="G3828" s="26" t="str">
        <f aca="false">IF(OR(E3828="",E3828="!!!"),"",IF(OR(J3828=0,AND(J3828=1,K3828=1),AND(J3828=1,I3828="SBJ"),AND(J3828=1,I3828=0)),"?IN_FOCUS",IF(J3828&lt;=2,"?ACTIVATED",IF(J3828&lt;&gt;"","?FAMILIAR",IF(F3828="NEW",IF(ISNA(VLOOKUP(E3828,#REF!,1,FALSE())),"?TYPE_IDENTIFIABLE","?REFERENTIAL"),"_")))))</f>
        <v/>
      </c>
      <c r="H3828" s="27" t="str">
        <f aca="false">IF(J3828&lt;&gt;1,"",IF(I3828="SBJ","CB","?"))</f>
        <v/>
      </c>
      <c r="I3828" s="24" t="str">
        <f aca="false">IF(OR(E3828="",E3828="!!!",F3828="NEW"),"",INDEX(B2:B$3827,-1+SUMPRODUCT(MAX(ROW(E2:E$3827)*(E3828=E2:E$3827)))))</f>
        <v/>
      </c>
      <c r="J3828" s="24" t="str">
        <f aca="true">IF(OR(E3828="",E3828="!!!",F3828="NEW"),"",COUNTBLANK(OFFSET(A$1,,,SUMPRODUCT(MAX(ROW(E$2:E3828)*(E3828=E$2:E3828)))))-COUNTBLANK(OFFSET(A$1,,,SUMPRODUCT(MAX(ROW(E$1:E3827)*(E2=E$1:E3827))))))</f>
        <v/>
      </c>
      <c r="K3828" s="24" t="str">
        <f aca="false">IF(OR(E3828="",E3828="!!!",F3828="NEW"),"",INDEX(J$1:J3827,SUMPRODUCT(MAX(ROW(E$1:E3827)*(E3828=E$1:E3827)))))</f>
        <v/>
      </c>
      <c r="L3828" s="31"/>
    </row>
    <row r="3829" customFormat="false" ht="15" hidden="false" customHeight="false" outlineLevel="0" collapsed="false">
      <c r="A3829" s="20" t="s">
        <v>2262</v>
      </c>
    </row>
    <row r="3830" customFormat="false" ht="15" hidden="false" customHeight="false" outlineLevel="0" collapsed="false">
      <c r="A3830" s="20" t="s">
        <v>607</v>
      </c>
      <c r="E3830" s="23" t="str">
        <f aca="false">IF(D3830="?OLD","!!!","")</f>
        <v/>
      </c>
      <c r="F3830" s="25" t="str">
        <f aca="false">IF(OR(E3830="",E3830="!!!"),"",IF(NOT(ISNA(VLOOKUP(E3830,E$1:E3829,1,FALSE()))),"OLD",IF(AND(E3830&lt;&gt;"",E3830&lt;&gt;"!!!"),"NEW","")))</f>
        <v/>
      </c>
      <c r="G3830" s="26" t="str">
        <f aca="false">IF(OR(E3830="",E3830="!!!"),"",IF(OR(J3830=0,AND(J3830=1,K3830=1),AND(J3830=1,I3830="SBJ"),AND(J3830=1,I3830=0)),"?IN_FOCUS",IF(J3830&lt;=2,"?ACTIVATED",IF(J3830&lt;&gt;"","?FAMILIAR",IF(F3830="NEW",IF(ISNA(VLOOKUP(E3830,#REF!,1,FALSE())),"?TYPE_IDENTIFIABLE","?REFERENTIAL"),"_")))))</f>
        <v/>
      </c>
      <c r="H3830" s="27" t="str">
        <f aca="false">IF(J3830&lt;&gt;1,"",IF(I3830="SBJ","CB","?"))</f>
        <v/>
      </c>
      <c r="I3830" s="24" t="str">
        <f aca="false">IF(OR(E3830="",E3830="!!!",F3830="NEW"),"",INDEX(B2:B$3829,-1+SUMPRODUCT(MAX(ROW(E2:E$3829)*(E3830=E2:E$3829)))))</f>
        <v/>
      </c>
      <c r="J3830" s="24" t="str">
        <f aca="true">IF(OR(E3830="",E3830="!!!",F3830="NEW"),"",COUNTBLANK(OFFSET(A$1,,,SUMPRODUCT(MAX(ROW(E$2:E3830)*(E3830=E$2:E3830)))))-COUNTBLANK(OFFSET(A$1,,,SUMPRODUCT(MAX(ROW(E$1:E3829)*(E2=E$1:E3829))))))</f>
        <v/>
      </c>
      <c r="K3830" s="24" t="str">
        <f aca="false">IF(OR(E3830="",E3830="!!!",F3830="NEW"),"",INDEX(J$1:J3829,SUMPRODUCT(MAX(ROW(E$1:E3829)*(E3830=E$1:E3829)))))</f>
        <v/>
      </c>
      <c r="L3830" s="31"/>
    </row>
    <row r="3831" customFormat="false" ht="15" hidden="false" customHeight="false" outlineLevel="0" collapsed="false">
      <c r="A3831" s="20" t="s">
        <v>1581</v>
      </c>
      <c r="E3831" s="23" t="str">
        <f aca="false">IF(D3831="?OLD","!!!","")</f>
        <v/>
      </c>
      <c r="F3831" s="25" t="str">
        <f aca="false">IF(OR(E3831="",E3831="!!!"),"",IF(NOT(ISNA(VLOOKUP(E3831,E$1:E3830,1,FALSE()))),"OLD",IF(AND(E3831&lt;&gt;"",E3831&lt;&gt;"!!!"),"NEW","")))</f>
        <v/>
      </c>
      <c r="G3831" s="26" t="str">
        <f aca="false">IF(OR(E3831="",E3831="!!!"),"",IF(OR(J3831=0,AND(J3831=1,K3831=1),AND(J3831=1,I3831="SBJ"),AND(J3831=1,I3831=0)),"?IN_FOCUS",IF(J3831&lt;=2,"?ACTIVATED",IF(J3831&lt;&gt;"","?FAMILIAR",IF(F3831="NEW",IF(ISNA(VLOOKUP(E3831,#REF!,1,FALSE())),"?TYPE_IDENTIFIABLE","?REFERENTIAL"),"_")))))</f>
        <v/>
      </c>
      <c r="H3831" s="27" t="str">
        <f aca="false">IF(J3831&lt;&gt;1,"",IF(I3831="SBJ","CB","?"))</f>
        <v/>
      </c>
      <c r="I3831" s="24" t="str">
        <f aca="false">IF(OR(E3831="",E3831="!!!",F3831="NEW"),"",INDEX(B3:B$3829,-1+SUMPRODUCT(MAX(ROW(E3:E$3829)*(E3831=E3:E$3829)))))</f>
        <v/>
      </c>
      <c r="J3831" s="24" t="str">
        <f aca="true">IF(OR(E3831="",E3831="!!!",F3831="NEW"),"",COUNTBLANK(OFFSET(A$1,,,SUMPRODUCT(MAX(ROW(E$2:E3831)*(E3831=E$2:E3831)))))-COUNTBLANK(OFFSET(A$1,,,SUMPRODUCT(MAX(ROW(E$1:E3830)*(E2=E$1:E3830))))))</f>
        <v/>
      </c>
      <c r="K3831" s="24" t="str">
        <f aca="false">IF(OR(E3831="",E3831="!!!",F3831="NEW"),"",INDEX(J$1:J3830,SUMPRODUCT(MAX(ROW(E$1:E3830)*(E3831=E$1:E3830)))))</f>
        <v/>
      </c>
      <c r="L3831" s="31"/>
    </row>
    <row r="3832" customFormat="false" ht="15" hidden="false" customHeight="false" outlineLevel="0" collapsed="false">
      <c r="A3832" s="20" t="s">
        <v>1076</v>
      </c>
      <c r="E3832" s="23" t="str">
        <f aca="false">IF(D3832="?OLD","!!!","")</f>
        <v/>
      </c>
      <c r="F3832" s="25" t="str">
        <f aca="false">IF(OR(E3832="",E3832="!!!"),"",IF(NOT(ISNA(VLOOKUP(E3832,E$1:E3831,1,FALSE()))),"OLD",IF(AND(E3832&lt;&gt;"",E3832&lt;&gt;"!!!"),"NEW","")))</f>
        <v/>
      </c>
      <c r="G3832" s="26" t="str">
        <f aca="false">IF(OR(E3832="",E3832="!!!"),"",IF(OR(J3832=0,AND(J3832=1,K3832=1),AND(J3832=1,I3832="SBJ"),AND(J3832=1,I3832=0)),"?IN_FOCUS",IF(J3832&lt;=2,"?ACTIVATED",IF(J3832&lt;&gt;"","?FAMILIAR",IF(F3832="NEW",IF(ISNA(VLOOKUP(E3832,#REF!,1,FALSE())),"?TYPE_IDENTIFIABLE","?REFERENTIAL"),"_")))))</f>
        <v/>
      </c>
      <c r="H3832" s="27" t="str">
        <f aca="false">IF(J3832&lt;&gt;1,"",IF(I3832="SBJ","CB","?"))</f>
        <v/>
      </c>
      <c r="I3832" s="24" t="str">
        <f aca="false">IF(OR(E3832="",E3832="!!!",F3832="NEW"),"",INDEX(B4:B$3829,-1+SUMPRODUCT(MAX(ROW(E4:E$3829)*(E3832=E4:E$3829)))))</f>
        <v/>
      </c>
      <c r="J3832" s="24" t="str">
        <f aca="true">IF(OR(E3832="",E3832="!!!",F3832="NEW"),"",COUNTBLANK(OFFSET(A$1,,,SUMPRODUCT(MAX(ROW(E$2:E3832)*(E3832=E$2:E3832)))))-COUNTBLANK(OFFSET(A$1,,,SUMPRODUCT(MAX(ROW(E$1:E3831)*(E2=E$1:E3831))))))</f>
        <v/>
      </c>
      <c r="K3832" s="24" t="str">
        <f aca="false">IF(OR(E3832="",E3832="!!!",F3832="NEW"),"",INDEX(J$1:J3831,SUMPRODUCT(MAX(ROW(E$1:E3831)*(E3832=E$1:E3831)))))</f>
        <v/>
      </c>
      <c r="L3832" s="31"/>
    </row>
    <row r="3833" customFormat="false" ht="15" hidden="false" customHeight="false" outlineLevel="0" collapsed="false">
      <c r="A3833" s="20" t="s">
        <v>1117</v>
      </c>
      <c r="E3833" s="23" t="str">
        <f aca="false">IF(D3833="?OLD","!!!","")</f>
        <v/>
      </c>
      <c r="F3833" s="25" t="str">
        <f aca="false">IF(OR(E3833="",E3833="!!!"),"",IF(NOT(ISNA(VLOOKUP(E3833,E$1:E3832,1,FALSE()))),"OLD",IF(AND(E3833&lt;&gt;"",E3833&lt;&gt;"!!!"),"NEW","")))</f>
        <v/>
      </c>
      <c r="G3833" s="26" t="str">
        <f aca="false">IF(OR(E3833="",E3833="!!!"),"",IF(OR(J3833=0,AND(J3833=1,K3833=1),AND(J3833=1,I3833="SBJ"),AND(J3833=1,I3833=0)),"?IN_FOCUS",IF(J3833&lt;=2,"?ACTIVATED",IF(J3833&lt;&gt;"","?FAMILIAR",IF(F3833="NEW",IF(ISNA(VLOOKUP(E3833,#REF!,1,FALSE())),"?TYPE_IDENTIFIABLE","?REFERENTIAL"),"_")))))</f>
        <v/>
      </c>
      <c r="H3833" s="27" t="str">
        <f aca="false">IF(J3833&lt;&gt;1,"",IF(I3833="SBJ","CB","?"))</f>
        <v/>
      </c>
      <c r="I3833" s="24" t="str">
        <f aca="false">IF(OR(E3833="",E3833="!!!",F3833="NEW"),"",INDEX(B5:B$3829,-1+SUMPRODUCT(MAX(ROW(E5:E$3829)*(E3833=E5:E$3829)))))</f>
        <v/>
      </c>
      <c r="J3833" s="24" t="str">
        <f aca="true">IF(OR(E3833="",E3833="!!!",F3833="NEW"),"",COUNTBLANK(OFFSET(A$1,,,SUMPRODUCT(MAX(ROW(E$2:E3833)*(E3833=E$2:E3833)))))-COUNTBLANK(OFFSET(A$1,,,SUMPRODUCT(MAX(ROW(E$1:E3832)*(E2=E$1:E3832))))))</f>
        <v/>
      </c>
      <c r="K3833" s="24" t="str">
        <f aca="false">IF(OR(E3833="",E3833="!!!",F3833="NEW"),"",INDEX(J$1:J3832,SUMPRODUCT(MAX(ROW(E$1:E3832)*(E3833=E$1:E3832)))))</f>
        <v/>
      </c>
      <c r="L3833" s="31"/>
    </row>
    <row r="3834" customFormat="false" ht="15" hidden="false" customHeight="false" outlineLevel="0" collapsed="false">
      <c r="A3834" s="20" t="s">
        <v>1076</v>
      </c>
      <c r="E3834" s="23" t="str">
        <f aca="false">IF(D3834="?OLD","!!!","")</f>
        <v/>
      </c>
      <c r="F3834" s="25" t="str">
        <f aca="false">IF(OR(E3834="",E3834="!!!"),"",IF(NOT(ISNA(VLOOKUP(E3834,E$1:E3833,1,FALSE()))),"OLD",IF(AND(E3834&lt;&gt;"",E3834&lt;&gt;"!!!"),"NEW","")))</f>
        <v/>
      </c>
      <c r="G3834" s="26" t="str">
        <f aca="false">IF(OR(E3834="",E3834="!!!"),"",IF(OR(J3834=0,AND(J3834=1,K3834=1),AND(J3834=1,I3834="SBJ"),AND(J3834=1,I3834=0)),"?IN_FOCUS",IF(J3834&lt;=2,"?ACTIVATED",IF(J3834&lt;&gt;"","?FAMILIAR",IF(F3834="NEW",IF(ISNA(VLOOKUP(E3834,#REF!,1,FALSE())),"?TYPE_IDENTIFIABLE","?REFERENTIAL"),"_")))))</f>
        <v/>
      </c>
      <c r="H3834" s="27" t="str">
        <f aca="false">IF(J3834&lt;&gt;1,"",IF(I3834="SBJ","CB","?"))</f>
        <v/>
      </c>
      <c r="I3834" s="24" t="str">
        <f aca="false">IF(OR(E3834="",E3834="!!!",F3834="NEW"),"",INDEX(B6:B$3829,-1+SUMPRODUCT(MAX(ROW(E6:E$3829)*(E3834=E6:E$3829)))))</f>
        <v/>
      </c>
      <c r="J3834" s="24" t="str">
        <f aca="true">IF(OR(E3834="",E3834="!!!",F3834="NEW"),"",COUNTBLANK(OFFSET(A$1,,,SUMPRODUCT(MAX(ROW(E$2:E3834)*(E3834=E$2:E3834)))))-COUNTBLANK(OFFSET(A$1,,,SUMPRODUCT(MAX(ROW(E$1:E3833)*(E2=E$1:E3833))))))</f>
        <v/>
      </c>
      <c r="K3834" s="24" t="str">
        <f aca="false">IF(OR(E3834="",E3834="!!!",F3834="NEW"),"",INDEX(J$1:J3833,SUMPRODUCT(MAX(ROW(E$1:E3833)*(E3834=E$1:E3833)))))</f>
        <v/>
      </c>
      <c r="L3834" s="31"/>
    </row>
    <row r="3835" customFormat="false" ht="15" hidden="false" customHeight="false" outlineLevel="0" collapsed="false">
      <c r="A3835" s="20" t="s">
        <v>1162</v>
      </c>
      <c r="B3835" s="22" t="s">
        <v>1058</v>
      </c>
      <c r="C3835" s="22" t="s">
        <v>1082</v>
      </c>
      <c r="D3835" s="22" t="s">
        <v>1060</v>
      </c>
      <c r="E3835" s="23" t="str">
        <f aca="false">IF(D3835="?OLD","!!!","")</f>
        <v>!!!</v>
      </c>
      <c r="F3835" s="25" t="str">
        <f aca="false">IF(OR(E3835="",E3835="!!!"),"",IF(NOT(ISNA(VLOOKUP(E3835,E$1:E3834,1,FALSE()))),"OLD",IF(AND(E3835&lt;&gt;"",E3835&lt;&gt;"!!!"),"NEW","")))</f>
        <v/>
      </c>
      <c r="G3835" s="26" t="str">
        <f aca="false">IF(OR(E3835="",E3835="!!!"),"",IF(OR(J3835=0,AND(J3835=1,K3835=1),AND(J3835=1,I3835="SBJ"),AND(J3835=1,I3835=0)),"?IN_FOCUS",IF(J3835&lt;=2,"?ACTIVATED",IF(J3835&lt;&gt;"","?FAMILIAR",IF(F3835="NEW",IF(ISNA(VLOOKUP(E3835,#REF!,1,FALSE())),"?TYPE_IDENTIFIABLE","?REFERENTIAL"),"_")))))</f>
        <v/>
      </c>
      <c r="H3835" s="27" t="str">
        <f aca="false">IF(J3835&lt;&gt;1,"",IF(I3835="SBJ","CB","?"))</f>
        <v/>
      </c>
      <c r="I3835" s="24" t="str">
        <f aca="false">IF(OR(E3835="",E3835="!!!",F3835="NEW"),"",INDEX(B7:B$3829,-1+SUMPRODUCT(MAX(ROW(E7:E$3829)*(E3835=E7:E$3829)))))</f>
        <v/>
      </c>
      <c r="J3835" s="24" t="str">
        <f aca="true">IF(OR(E3835="",E3835="!!!",F3835="NEW"),"",COUNTBLANK(OFFSET(A$1,,,SUMPRODUCT(MAX(ROW(E$2:E3835)*(E3835=E$2:E3835)))))-COUNTBLANK(OFFSET(A$1,,,SUMPRODUCT(MAX(ROW(E$1:E3834)*(E2=E$1:E3834))))))</f>
        <v/>
      </c>
      <c r="K3835" s="24" t="str">
        <f aca="false">IF(OR(E3835="",E3835="!!!",F3835="NEW"),"",INDEX(J$1:J3834,SUMPRODUCT(MAX(ROW(E$1:E3834)*(E3835=E$1:E3834)))))</f>
        <v/>
      </c>
      <c r="L3835" s="31"/>
    </row>
    <row r="3836" customFormat="false" ht="15" hidden="false" customHeight="false" outlineLevel="0" collapsed="false">
      <c r="A3836" s="20" t="s">
        <v>1278</v>
      </c>
      <c r="E3836" s="23" t="str">
        <f aca="false">IF(D3836="?OLD","!!!","")</f>
        <v/>
      </c>
      <c r="F3836" s="25" t="str">
        <f aca="false">IF(OR(E3836="",E3836="!!!"),"",IF(NOT(ISNA(VLOOKUP(E3836,E$1:E3835,1,FALSE()))),"OLD",IF(AND(E3836&lt;&gt;"",E3836&lt;&gt;"!!!"),"NEW","")))</f>
        <v/>
      </c>
      <c r="G3836" s="26" t="str">
        <f aca="false">IF(OR(E3836="",E3836="!!!"),"",IF(OR(J3836=0,AND(J3836=1,K3836=1),AND(J3836=1,I3836="SBJ"),AND(J3836=1,I3836=0)),"?IN_FOCUS",IF(J3836&lt;=2,"?ACTIVATED",IF(J3836&lt;&gt;"","?FAMILIAR",IF(F3836="NEW",IF(ISNA(VLOOKUP(E3836,#REF!,1,FALSE())),"?TYPE_IDENTIFIABLE","?REFERENTIAL"),"_")))))</f>
        <v/>
      </c>
      <c r="H3836" s="27" t="str">
        <f aca="false">IF(J3836&lt;&gt;1,"",IF(I3836="SBJ","CB","?"))</f>
        <v/>
      </c>
      <c r="I3836" s="24" t="str">
        <f aca="false">IF(OR(E3836="",E3836="!!!",F3836="NEW"),"",INDEX(B8:B$3829,-1+SUMPRODUCT(MAX(ROW(E8:E$3829)*(E3836=E8:E$3829)))))</f>
        <v/>
      </c>
      <c r="J3836" s="24" t="str">
        <f aca="true">IF(OR(E3836="",E3836="!!!",F3836="NEW"),"",COUNTBLANK(OFFSET(A$1,,,SUMPRODUCT(MAX(ROW(E$2:E3836)*(E3836=E$2:E3836)))))-COUNTBLANK(OFFSET(A$1,,,SUMPRODUCT(MAX(ROW(E$1:E3835)*(E2=E$1:E3835))))))</f>
        <v/>
      </c>
      <c r="K3836" s="24" t="str">
        <f aca="false">IF(OR(E3836="",E3836="!!!",F3836="NEW"),"",INDEX(J$1:J3835,SUMPRODUCT(MAX(ROW(E$1:E3835)*(E3836=E$1:E3835)))))</f>
        <v/>
      </c>
      <c r="L3836" s="31"/>
    </row>
    <row r="3837" customFormat="false" ht="15" hidden="false" customHeight="false" outlineLevel="0" collapsed="false">
      <c r="A3837" s="20" t="s">
        <v>1279</v>
      </c>
      <c r="E3837" s="23" t="str">
        <f aca="false">IF(D3837="?OLD","!!!","")</f>
        <v/>
      </c>
      <c r="F3837" s="25" t="str">
        <f aca="false">IF(OR(E3837="",E3837="!!!"),"",IF(NOT(ISNA(VLOOKUP(E3837,E$1:E3836,1,FALSE()))),"OLD",IF(AND(E3837&lt;&gt;"",E3837&lt;&gt;"!!!"),"NEW","")))</f>
        <v/>
      </c>
      <c r="G3837" s="26" t="str">
        <f aca="false">IF(OR(E3837="",E3837="!!!"),"",IF(OR(J3837=0,AND(J3837=1,K3837=1),AND(J3837=1,I3837="SBJ"),AND(J3837=1,I3837=0)),"?IN_FOCUS",IF(J3837&lt;=2,"?ACTIVATED",IF(J3837&lt;&gt;"","?FAMILIAR",IF(F3837="NEW",IF(ISNA(VLOOKUP(E3837,#REF!,1,FALSE())),"?TYPE_IDENTIFIABLE","?REFERENTIAL"),"_")))))</f>
        <v/>
      </c>
      <c r="H3837" s="27" t="str">
        <f aca="false">IF(J3837&lt;&gt;1,"",IF(I3837="SBJ","CB","?"))</f>
        <v/>
      </c>
      <c r="I3837" s="24" t="str">
        <f aca="false">IF(OR(E3837="",E3837="!!!",F3837="NEW"),"",INDEX(B9:B$3829,-1+SUMPRODUCT(MAX(ROW(E9:E$3829)*(E3837=E9:E$3829)))))</f>
        <v/>
      </c>
      <c r="J3837" s="24" t="str">
        <f aca="true">IF(OR(E3837="",E3837="!!!",F3837="NEW"),"",COUNTBLANK(OFFSET(A$1,,,SUMPRODUCT(MAX(ROW(E$2:E3837)*(E3837=E$2:E3837)))))-COUNTBLANK(OFFSET(A$1,,,SUMPRODUCT(MAX(ROW(E$1:E3836)*(E2=E$1:E3836))))))</f>
        <v/>
      </c>
      <c r="K3837" s="24" t="str">
        <f aca="false">IF(OR(E3837="",E3837="!!!",F3837="NEW"),"",INDEX(J$1:J3836,SUMPRODUCT(MAX(ROW(E$1:E3836)*(E3837=E$1:E3836)))))</f>
        <v/>
      </c>
      <c r="L3837" s="31"/>
    </row>
    <row r="3838" customFormat="false" ht="15" hidden="false" customHeight="false" outlineLevel="0" collapsed="false">
      <c r="A3838" s="20" t="s">
        <v>753</v>
      </c>
      <c r="E3838" s="23" t="str">
        <f aca="false">IF(D3838="?OLD","!!!","")</f>
        <v/>
      </c>
      <c r="F3838" s="25" t="str">
        <f aca="false">IF(OR(E3838="",E3838="!!!"),"",IF(NOT(ISNA(VLOOKUP(E3838,E$1:E3837,1,FALSE()))),"OLD",IF(AND(E3838&lt;&gt;"",E3838&lt;&gt;"!!!"),"NEW","")))</f>
        <v/>
      </c>
      <c r="G3838" s="26" t="str">
        <f aca="false">IF(OR(E3838="",E3838="!!!"),"",IF(OR(J3838=0,AND(J3838=1,K3838=1),AND(J3838=1,I3838="SBJ"),AND(J3838=1,I3838=0)),"?IN_FOCUS",IF(J3838&lt;=2,"?ACTIVATED",IF(J3838&lt;&gt;"","?FAMILIAR",IF(F3838="NEW",IF(ISNA(VLOOKUP(E3838,#REF!,1,FALSE())),"?TYPE_IDENTIFIABLE","?REFERENTIAL"),"_")))))</f>
        <v/>
      </c>
      <c r="H3838" s="27" t="str">
        <f aca="false">IF(J3838&lt;&gt;1,"",IF(I3838="SBJ","CB","?"))</f>
        <v/>
      </c>
      <c r="I3838" s="24" t="str">
        <f aca="false">IF(OR(E3838="",E3838="!!!",F3838="NEW"),"",INDEX(B10:B$3829,-1+SUMPRODUCT(MAX(ROW(E10:E$3829)*(E3838=E10:E$3829)))))</f>
        <v/>
      </c>
      <c r="J3838" s="24" t="str">
        <f aca="true">IF(OR(E3838="",E3838="!!!",F3838="NEW"),"",COUNTBLANK(OFFSET(A$1,,,SUMPRODUCT(MAX(ROW(E$2:E3838)*(E3838=E$2:E3838)))))-COUNTBLANK(OFFSET(A$1,,,SUMPRODUCT(MAX(ROW(E$1:E3837)*(E2=E$1:E3837))))))</f>
        <v/>
      </c>
      <c r="K3838" s="24" t="str">
        <f aca="false">IF(OR(E3838="",E3838="!!!",F3838="NEW"),"",INDEX(J$1:J3837,SUMPRODUCT(MAX(ROW(E$1:E3837)*(E3838=E$1:E3837)))))</f>
        <v/>
      </c>
      <c r="L3838" s="31"/>
    </row>
    <row r="3839" customFormat="false" ht="15" hidden="false" customHeight="false" outlineLevel="0" collapsed="false">
      <c r="A3839" s="20" t="s">
        <v>1313</v>
      </c>
      <c r="B3839" s="22" t="s">
        <v>1073</v>
      </c>
      <c r="C3839" s="22" t="s">
        <v>1099</v>
      </c>
      <c r="D3839" s="22" t="s">
        <v>1060</v>
      </c>
      <c r="E3839" s="23" t="str">
        <f aca="false">IF(D3839="?OLD","!!!","")</f>
        <v>!!!</v>
      </c>
      <c r="F3839" s="25" t="str">
        <f aca="false">IF(OR(E3839="",E3839="!!!"),"",IF(NOT(ISNA(VLOOKUP(E3839,E$1:E3838,1,FALSE()))),"OLD",IF(AND(E3839&lt;&gt;"",E3839&lt;&gt;"!!!"),"NEW","")))</f>
        <v/>
      </c>
      <c r="G3839" s="26" t="str">
        <f aca="false">IF(OR(E3839="",E3839="!!!"),"",IF(OR(J3839=0,AND(J3839=1,K3839=1),AND(J3839=1,I3839="SBJ"),AND(J3839=1,I3839=0)),"?IN_FOCUS",IF(J3839&lt;=2,"?ACTIVATED",IF(J3839&lt;&gt;"","?FAMILIAR",IF(F3839="NEW",IF(ISNA(VLOOKUP(E3839,#REF!,1,FALSE())),"?TYPE_IDENTIFIABLE","?REFERENTIAL"),"_")))))</f>
        <v/>
      </c>
      <c r="H3839" s="27" t="str">
        <f aca="false">IF(J3839&lt;&gt;1,"",IF(I3839="SBJ","CB","?"))</f>
        <v/>
      </c>
      <c r="I3839" s="24" t="str">
        <f aca="false">IF(OR(E3839="",E3839="!!!",F3839="NEW"),"",INDEX(B11:B$3829,-1+SUMPRODUCT(MAX(ROW(E11:E$3829)*(E3839=E11:E$3829)))))</f>
        <v/>
      </c>
      <c r="J3839" s="24" t="str">
        <f aca="true">IF(OR(E3839="",E3839="!!!",F3839="NEW"),"",COUNTBLANK(OFFSET(A$1,,,SUMPRODUCT(MAX(ROW(E$2:E3839)*(E3839=E$2:E3839)))))-COUNTBLANK(OFFSET(A$1,,,SUMPRODUCT(MAX(ROW(E$1:E3838)*(E2=E$1:E3838))))))</f>
        <v/>
      </c>
      <c r="K3839" s="24" t="str">
        <f aca="false">IF(OR(E3839="",E3839="!!!",F3839="NEW"),"",INDEX(J$1:J3838,SUMPRODUCT(MAX(ROW(E$1:E3838)*(E3839=E$1:E3838)))))</f>
        <v/>
      </c>
      <c r="L3839" s="31"/>
    </row>
    <row r="3840" customFormat="false" ht="15" hidden="false" customHeight="false" outlineLevel="0" collapsed="false">
      <c r="A3840" s="20" t="s">
        <v>2263</v>
      </c>
      <c r="B3840" s="22" t="s">
        <v>1081</v>
      </c>
      <c r="C3840" s="22" t="s">
        <v>1059</v>
      </c>
      <c r="D3840" s="22" t="s">
        <v>1060</v>
      </c>
      <c r="E3840" s="23" t="str">
        <f aca="false">IF(D3840="?OLD","!!!","")</f>
        <v>!!!</v>
      </c>
      <c r="F3840" s="25" t="str">
        <f aca="false">IF(OR(E3840="",E3840="!!!"),"",IF(NOT(ISNA(VLOOKUP(E3840,E$1:E3839,1,FALSE()))),"OLD",IF(AND(E3840&lt;&gt;"",E3840&lt;&gt;"!!!"),"NEW","")))</f>
        <v/>
      </c>
      <c r="G3840" s="26" t="str">
        <f aca="false">IF(OR(E3840="",E3840="!!!"),"",IF(OR(J3840=0,AND(J3840=1,K3840=1),AND(J3840=1,I3840="SBJ"),AND(J3840=1,I3840=0)),"?IN_FOCUS",IF(J3840&lt;=2,"?ACTIVATED",IF(J3840&lt;&gt;"","?FAMILIAR",IF(F3840="NEW",IF(ISNA(VLOOKUP(E3840,#REF!,1,FALSE())),"?TYPE_IDENTIFIABLE","?REFERENTIAL"),"_")))))</f>
        <v/>
      </c>
      <c r="H3840" s="27" t="str">
        <f aca="false">IF(J3840&lt;&gt;1,"",IF(I3840="SBJ","CB","?"))</f>
        <v/>
      </c>
      <c r="I3840" s="24" t="str">
        <f aca="false">IF(OR(E3840="",E3840="!!!",F3840="NEW"),"",INDEX(B12:B$3829,-1+SUMPRODUCT(MAX(ROW(E12:E$3829)*(E3840=E12:E$3829)))))</f>
        <v/>
      </c>
      <c r="J3840" s="24" t="str">
        <f aca="true">IF(OR(E3840="",E3840="!!!",F3840="NEW"),"",COUNTBLANK(OFFSET(A$1,,,SUMPRODUCT(MAX(ROW(E$2:E3840)*(E3840=E$2:E3840)))))-COUNTBLANK(OFFSET(A$1,,,SUMPRODUCT(MAX(ROW(E$1:E3839)*(E2=E$1:E3839))))))</f>
        <v/>
      </c>
      <c r="K3840" s="24" t="str">
        <f aca="false">IF(OR(E3840="",E3840="!!!",F3840="NEW"),"",INDEX(J$1:J3839,SUMPRODUCT(MAX(ROW(E$1:E3839)*(E3840=E$1:E3839)))))</f>
        <v/>
      </c>
      <c r="L3840" s="31"/>
    </row>
    <row r="3841" customFormat="false" ht="15" hidden="false" customHeight="false" outlineLevel="0" collapsed="false">
      <c r="A3841" s="20" t="s">
        <v>923</v>
      </c>
      <c r="E3841" s="23" t="str">
        <f aca="false">IF(D3841="?OLD","!!!","")</f>
        <v/>
      </c>
      <c r="F3841" s="25" t="str">
        <f aca="false">IF(OR(E3841="",E3841="!!!"),"",IF(NOT(ISNA(VLOOKUP(E3841,E$1:E3840,1,FALSE()))),"OLD",IF(AND(E3841&lt;&gt;"",E3841&lt;&gt;"!!!"),"NEW","")))</f>
        <v/>
      </c>
      <c r="G3841" s="26" t="str">
        <f aca="false">IF(OR(E3841="",E3841="!!!"),"",IF(OR(J3841=0,AND(J3841=1,K3841=1),AND(J3841=1,I3841="SBJ"),AND(J3841=1,I3841=0)),"?IN_FOCUS",IF(J3841&lt;=2,"?ACTIVATED",IF(J3841&lt;&gt;"","?FAMILIAR",IF(F3841="NEW",IF(ISNA(VLOOKUP(E3841,#REF!,1,FALSE())),"?TYPE_IDENTIFIABLE","?REFERENTIAL"),"_")))))</f>
        <v/>
      </c>
      <c r="H3841" s="27" t="str">
        <f aca="false">IF(J3841&lt;&gt;1,"",IF(I3841="SBJ","CB","?"))</f>
        <v/>
      </c>
      <c r="I3841" s="24" t="str">
        <f aca="false">IF(OR(E3841="",E3841="!!!",F3841="NEW"),"",INDEX(B13:B$3829,-1+SUMPRODUCT(MAX(ROW(E13:E$3829)*(E3841=E13:E$3829)))))</f>
        <v/>
      </c>
      <c r="J3841" s="24" t="str">
        <f aca="true">IF(OR(E3841="",E3841="!!!",F3841="NEW"),"",COUNTBLANK(OFFSET(A$1,,,SUMPRODUCT(MAX(ROW(E$2:E3841)*(E3841=E$2:E3841)))))-COUNTBLANK(OFFSET(A$1,,,SUMPRODUCT(MAX(ROW(E$1:E3840)*(E2=E$1:E3840))))))</f>
        <v/>
      </c>
      <c r="K3841" s="24" t="str">
        <f aca="false">IF(OR(E3841="",E3841="!!!",F3841="NEW"),"",INDEX(J$1:J3840,SUMPRODUCT(MAX(ROW(E$1:E3840)*(E3841=E$1:E3840)))))</f>
        <v/>
      </c>
      <c r="L3841" s="31"/>
    </row>
    <row r="3842" customFormat="false" ht="15" hidden="false" customHeight="false" outlineLevel="0" collapsed="false">
      <c r="A3842" s="20"/>
    </row>
    <row r="3843" customFormat="false" ht="15" hidden="false" customHeight="false" outlineLevel="0" collapsed="false">
      <c r="A3843" s="20" t="s">
        <v>2264</v>
      </c>
    </row>
    <row r="3844" customFormat="false" ht="15" hidden="false" customHeight="false" outlineLevel="0" collapsed="false">
      <c r="A3844" s="20" t="s">
        <v>499</v>
      </c>
      <c r="B3844" s="22" t="s">
        <v>1105</v>
      </c>
      <c r="C3844" s="22" t="s">
        <v>1068</v>
      </c>
      <c r="D3844" s="22" t="s">
        <v>1060</v>
      </c>
      <c r="E3844" s="23" t="str">
        <f aca="false">IF(D3844="?OLD","!!!","")</f>
        <v>!!!</v>
      </c>
      <c r="F3844" s="25" t="str">
        <f aca="false">IF(OR(E3844="",E3844="!!!"),"",IF(NOT(ISNA(VLOOKUP(E3844,E$1:E3843,1,FALSE()))),"OLD",IF(AND(E3844&lt;&gt;"",E3844&lt;&gt;"!!!"),"NEW","")))</f>
        <v/>
      </c>
      <c r="G3844" s="26" t="str">
        <f aca="false">IF(OR(E3844="",E3844="!!!"),"",IF(OR(J3844=0,AND(J3844=1,K3844=1),AND(J3844=1,I3844="SBJ"),AND(J3844=1,I3844=0)),"?IN_FOCUS",IF(J3844&lt;=2,"?ACTIVATED",IF(J3844&lt;&gt;"","?FAMILIAR",IF(F3844="NEW",IF(ISNA(VLOOKUP(E3844,#REF!,1,FALSE())),"?TYPE_IDENTIFIABLE","?REFERENTIAL"),"_")))))</f>
        <v/>
      </c>
      <c r="H3844" s="27" t="str">
        <f aca="false">IF(J3844&lt;&gt;1,"",IF(I3844="SBJ","CB","?"))</f>
        <v/>
      </c>
      <c r="I3844" s="24" t="str">
        <f aca="false">IF(OR(E3844="",E3844="!!!",F3844="NEW"),"",INDEX(B2:B$3843,-1+SUMPRODUCT(MAX(ROW(E2:E$3843)*(E3844=E2:E$3843)))))</f>
        <v/>
      </c>
      <c r="J3844" s="24" t="str">
        <f aca="true">IF(OR(E3844="",E3844="!!!",F3844="NEW"),"",COUNTBLANK(OFFSET(A$1,,,SUMPRODUCT(MAX(ROW(E$2:E3844)*(E3844=E$2:E3844)))))-COUNTBLANK(OFFSET(A$1,,,SUMPRODUCT(MAX(ROW(E$1:E3843)*(E2=E$1:E3843))))))</f>
        <v/>
      </c>
      <c r="K3844" s="24" t="str">
        <f aca="false">IF(OR(E3844="",E3844="!!!",F3844="NEW"),"",INDEX(J$1:J3843,SUMPRODUCT(MAX(ROW(E$1:E3843)*(E3844=E$1:E3843)))))</f>
        <v/>
      </c>
      <c r="L3844" s="31"/>
    </row>
    <row r="3845" customFormat="false" ht="15" hidden="false" customHeight="false" outlineLevel="0" collapsed="false">
      <c r="A3845" s="20" t="s">
        <v>1481</v>
      </c>
      <c r="E3845" s="23" t="str">
        <f aca="false">IF(D3845="?OLD","!!!","")</f>
        <v/>
      </c>
      <c r="F3845" s="25" t="str">
        <f aca="false">IF(OR(E3845="",E3845="!!!"),"",IF(NOT(ISNA(VLOOKUP(E3845,E$1:E3844,1,FALSE()))),"OLD",IF(AND(E3845&lt;&gt;"",E3845&lt;&gt;"!!!"),"NEW","")))</f>
        <v/>
      </c>
      <c r="G3845" s="26" t="str">
        <f aca="false">IF(OR(E3845="",E3845="!!!"),"",IF(OR(J3845=0,AND(J3845=1,K3845=1),AND(J3845=1,I3845="SBJ"),AND(J3845=1,I3845=0)),"?IN_FOCUS",IF(J3845&lt;=2,"?ACTIVATED",IF(J3845&lt;&gt;"","?FAMILIAR",IF(F3845="NEW",IF(ISNA(VLOOKUP(E3845,#REF!,1,FALSE())),"?TYPE_IDENTIFIABLE","?REFERENTIAL"),"_")))))</f>
        <v/>
      </c>
      <c r="H3845" s="27" t="str">
        <f aca="false">IF(J3845&lt;&gt;1,"",IF(I3845="SBJ","CB","?"))</f>
        <v/>
      </c>
      <c r="I3845" s="24" t="str">
        <f aca="false">IF(OR(E3845="",E3845="!!!",F3845="NEW"),"",INDEX(B3:B$3843,-1+SUMPRODUCT(MAX(ROW(E3:E$3843)*(E3845=E3:E$3843)))))</f>
        <v/>
      </c>
      <c r="J3845" s="24" t="str">
        <f aca="true">IF(OR(E3845="",E3845="!!!",F3845="NEW"),"",COUNTBLANK(OFFSET(A$1,,,SUMPRODUCT(MAX(ROW(E$2:E3845)*(E3845=E$2:E3845)))))-COUNTBLANK(OFFSET(A$1,,,SUMPRODUCT(MAX(ROW(E$1:E3844)*(E2=E$1:E3844))))))</f>
        <v/>
      </c>
      <c r="K3845" s="24" t="str">
        <f aca="false">IF(OR(E3845="",E3845="!!!",F3845="NEW"),"",INDEX(J$1:J3844,SUMPRODUCT(MAX(ROW(E$1:E3844)*(E3845=E$1:E3844)))))</f>
        <v/>
      </c>
      <c r="L3845" s="31"/>
    </row>
    <row r="3846" customFormat="false" ht="15" hidden="false" customHeight="false" outlineLevel="0" collapsed="false">
      <c r="A3846" s="20" t="s">
        <v>1307</v>
      </c>
      <c r="E3846" s="23" t="str">
        <f aca="false">IF(D3846="?OLD","!!!","")</f>
        <v/>
      </c>
      <c r="F3846" s="25" t="str">
        <f aca="false">IF(OR(E3846="",E3846="!!!"),"",IF(NOT(ISNA(VLOOKUP(E3846,E$1:E3845,1,FALSE()))),"OLD",IF(AND(E3846&lt;&gt;"",E3846&lt;&gt;"!!!"),"NEW","")))</f>
        <v/>
      </c>
      <c r="G3846" s="26" t="str">
        <f aca="false">IF(OR(E3846="",E3846="!!!"),"",IF(OR(J3846=0,AND(J3846=1,K3846=1),AND(J3846=1,I3846="SBJ"),AND(J3846=1,I3846=0)),"?IN_FOCUS",IF(J3846&lt;=2,"?ACTIVATED",IF(J3846&lt;&gt;"","?FAMILIAR",IF(F3846="NEW",IF(ISNA(VLOOKUP(E3846,#REF!,1,FALSE())),"?TYPE_IDENTIFIABLE","?REFERENTIAL"),"_")))))</f>
        <v/>
      </c>
      <c r="H3846" s="27" t="str">
        <f aca="false">IF(J3846&lt;&gt;1,"",IF(I3846="SBJ","CB","?"))</f>
        <v/>
      </c>
      <c r="I3846" s="24" t="str">
        <f aca="false">IF(OR(E3846="",E3846="!!!",F3846="NEW"),"",INDEX(B4:B$3843,-1+SUMPRODUCT(MAX(ROW(E4:E$3843)*(E3846=E4:E$3843)))))</f>
        <v/>
      </c>
      <c r="J3846" s="24" t="str">
        <f aca="true">IF(OR(E3846="",E3846="!!!",F3846="NEW"),"",COUNTBLANK(OFFSET(A$1,,,SUMPRODUCT(MAX(ROW(E$2:E3846)*(E3846=E$2:E3846)))))-COUNTBLANK(OFFSET(A$1,,,SUMPRODUCT(MAX(ROW(E$1:E3845)*(E2=E$1:E3845))))))</f>
        <v/>
      </c>
      <c r="K3846" s="24" t="str">
        <f aca="false">IF(OR(E3846="",E3846="!!!",F3846="NEW"),"",INDEX(J$1:J3845,SUMPRODUCT(MAX(ROW(E$1:E3845)*(E3846=E$1:E3845)))))</f>
        <v/>
      </c>
      <c r="L3846" s="31"/>
    </row>
    <row r="3847" customFormat="false" ht="15" hidden="false" customHeight="false" outlineLevel="0" collapsed="false">
      <c r="A3847" s="20"/>
    </row>
    <row r="3848" customFormat="false" ht="15" hidden="false" customHeight="false" outlineLevel="0" collapsed="false">
      <c r="A3848" s="20" t="s">
        <v>1301</v>
      </c>
      <c r="E3848" s="23" t="str">
        <f aca="false">IF(D3848="?OLD","!!!","")</f>
        <v/>
      </c>
      <c r="F3848" s="25" t="str">
        <f aca="false">IF(OR(E3848="",E3848="!!!"),"",IF(NOT(ISNA(VLOOKUP(E3848,E$1:E3847,1,FALSE()))),"OLD",IF(AND(E3848&lt;&gt;"",E3848&lt;&gt;"!!!"),"NEW","")))</f>
        <v/>
      </c>
      <c r="G3848" s="26" t="str">
        <f aca="false">IF(OR(E3848="",E3848="!!!"),"",IF(OR(J3848=0,AND(J3848=1,K3848=1),AND(J3848=1,I3848="SBJ"),AND(J3848=1,I3848=0)),"?IN_FOCUS",IF(J3848&lt;=2,"?ACTIVATED",IF(J3848&lt;&gt;"","?FAMILIAR",IF(F3848="NEW",IF(ISNA(VLOOKUP(E3848,#REF!,1,FALSE())),"?TYPE_IDENTIFIABLE","?REFERENTIAL"),"_")))))</f>
        <v/>
      </c>
      <c r="H3848" s="27" t="str">
        <f aca="false">IF(J3848&lt;&gt;1,"",IF(I3848="SBJ","CB","?"))</f>
        <v/>
      </c>
      <c r="I3848" s="24" t="str">
        <f aca="false">IF(OR(E3848="",E3848="!!!",F3848="NEW"),"",INDEX(B2:B$3847,-1+SUMPRODUCT(MAX(ROW(E2:E$3847)*(E3848=E2:E$3847)))))</f>
        <v/>
      </c>
      <c r="J3848" s="24" t="str">
        <f aca="true">IF(OR(E3848="",E3848="!!!",F3848="NEW"),"",COUNTBLANK(OFFSET(A$1,,,SUMPRODUCT(MAX(ROW(E$2:E3848)*(E3848=E$2:E3848)))))-COUNTBLANK(OFFSET(A$1,,,SUMPRODUCT(MAX(ROW(E$1:E3847)*(E2=E$1:E3847))))))</f>
        <v/>
      </c>
      <c r="K3848" s="24" t="str">
        <f aca="false">IF(OR(E3848="",E3848="!!!",F3848="NEW"),"",INDEX(J$1:J3847,SUMPRODUCT(MAX(ROW(E$1:E3847)*(E3848=E$1:E3847)))))</f>
        <v/>
      </c>
      <c r="L3848" s="31"/>
    </row>
    <row r="3849" customFormat="false" ht="15" hidden="false" customHeight="false" outlineLevel="0" collapsed="false">
      <c r="A3849" s="20" t="s">
        <v>2265</v>
      </c>
    </row>
    <row r="3850" customFormat="false" ht="15" hidden="false" customHeight="false" outlineLevel="0" collapsed="false">
      <c r="A3850" s="20" t="s">
        <v>1621</v>
      </c>
      <c r="E3850" s="23" t="str">
        <f aca="false">IF(D3850="?OLD","!!!","")</f>
        <v/>
      </c>
      <c r="F3850" s="25" t="str">
        <f aca="false">IF(OR(E3850="",E3850="!!!"),"",IF(NOT(ISNA(VLOOKUP(E3850,E$1:E3849,1,FALSE()))),"OLD",IF(AND(E3850&lt;&gt;"",E3850&lt;&gt;"!!!"),"NEW","")))</f>
        <v/>
      </c>
      <c r="G3850" s="26" t="str">
        <f aca="false">IF(OR(E3850="",E3850="!!!"),"",IF(OR(J3850=0,AND(J3850=1,K3850=1),AND(J3850=1,I3850="SBJ"),AND(J3850=1,I3850=0)),"?IN_FOCUS",IF(J3850&lt;=2,"?ACTIVATED",IF(J3850&lt;&gt;"","?FAMILIAR",IF(F3850="NEW",IF(ISNA(VLOOKUP(E3850,#REF!,1,FALSE())),"?TYPE_IDENTIFIABLE","?REFERENTIAL"),"_")))))</f>
        <v/>
      </c>
      <c r="H3850" s="27" t="str">
        <f aca="false">IF(J3850&lt;&gt;1,"",IF(I3850="SBJ","CB","?"))</f>
        <v/>
      </c>
      <c r="I3850" s="24" t="str">
        <f aca="false">IF(OR(E3850="",E3850="!!!",F3850="NEW"),"",INDEX(B2:B$3849,-1+SUMPRODUCT(MAX(ROW(E2:E$3849)*(E3850=E2:E$3849)))))</f>
        <v/>
      </c>
      <c r="J3850" s="24" t="str">
        <f aca="true">IF(OR(E3850="",E3850="!!!",F3850="NEW"),"",COUNTBLANK(OFFSET(A$1,,,SUMPRODUCT(MAX(ROW(E$2:E3850)*(E3850=E$2:E3850)))))-COUNTBLANK(OFFSET(A$1,,,SUMPRODUCT(MAX(ROW(E$1:E3849)*(E2=E$1:E3849))))))</f>
        <v/>
      </c>
      <c r="K3850" s="24" t="str">
        <f aca="false">IF(OR(E3850="",E3850="!!!",F3850="NEW"),"",INDEX(J$1:J3849,SUMPRODUCT(MAX(ROW(E$1:E3849)*(E3850=E$1:E3849)))))</f>
        <v/>
      </c>
      <c r="L3850" s="31"/>
    </row>
    <row r="3851" customFormat="false" ht="15" hidden="false" customHeight="false" outlineLevel="0" collapsed="false">
      <c r="A3851" s="20" t="s">
        <v>1090</v>
      </c>
      <c r="B3851" s="22" t="s">
        <v>1058</v>
      </c>
      <c r="C3851" s="22" t="s">
        <v>1082</v>
      </c>
      <c r="D3851" s="22" t="s">
        <v>1060</v>
      </c>
      <c r="E3851" s="23" t="str">
        <f aca="false">IF(D3851="?OLD","!!!","")</f>
        <v>!!!</v>
      </c>
      <c r="F3851" s="25" t="str">
        <f aca="false">IF(OR(E3851="",E3851="!!!"),"",IF(NOT(ISNA(VLOOKUP(E3851,E$1:E3850,1,FALSE()))),"OLD",IF(AND(E3851&lt;&gt;"",E3851&lt;&gt;"!!!"),"NEW","")))</f>
        <v/>
      </c>
      <c r="G3851" s="26" t="str">
        <f aca="false">IF(OR(E3851="",E3851="!!!"),"",IF(OR(J3851=0,AND(J3851=1,K3851=1),AND(J3851=1,I3851="SBJ"),AND(J3851=1,I3851=0)),"?IN_FOCUS",IF(J3851&lt;=2,"?ACTIVATED",IF(J3851&lt;&gt;"","?FAMILIAR",IF(F3851="NEW",IF(ISNA(VLOOKUP(E3851,#REF!,1,FALSE())),"?TYPE_IDENTIFIABLE","?REFERENTIAL"),"_")))))</f>
        <v/>
      </c>
      <c r="H3851" s="27" t="str">
        <f aca="false">IF(J3851&lt;&gt;1,"",IF(I3851="SBJ","CB","?"))</f>
        <v/>
      </c>
      <c r="I3851" s="24" t="str">
        <f aca="false">IF(OR(E3851="",E3851="!!!",F3851="NEW"),"",INDEX(B3:B$3849,-1+SUMPRODUCT(MAX(ROW(E3:E$3849)*(E3851=E3:E$3849)))))</f>
        <v/>
      </c>
      <c r="J3851" s="24" t="str">
        <f aca="true">IF(OR(E3851="",E3851="!!!",F3851="NEW"),"",COUNTBLANK(OFFSET(A$1,,,SUMPRODUCT(MAX(ROW(E$2:E3851)*(E3851=E$2:E3851)))))-COUNTBLANK(OFFSET(A$1,,,SUMPRODUCT(MAX(ROW(E$1:E3850)*(E2=E$1:E3850))))))</f>
        <v/>
      </c>
      <c r="K3851" s="24" t="str">
        <f aca="false">IF(OR(E3851="",E3851="!!!",F3851="NEW"),"",INDEX(J$1:J3850,SUMPRODUCT(MAX(ROW(E$1:E3850)*(E3851=E$1:E3850)))))</f>
        <v/>
      </c>
      <c r="L3851" s="31"/>
    </row>
    <row r="3852" customFormat="false" ht="15" hidden="false" customHeight="false" outlineLevel="0" collapsed="false">
      <c r="A3852" s="20" t="s">
        <v>2256</v>
      </c>
      <c r="E3852" s="23" t="str">
        <f aca="false">IF(D3852="?OLD","!!!","")</f>
        <v/>
      </c>
      <c r="F3852" s="25" t="str">
        <f aca="false">IF(OR(E3852="",E3852="!!!"),"",IF(NOT(ISNA(VLOOKUP(E3852,E$1:E3851,1,FALSE()))),"OLD",IF(AND(E3852&lt;&gt;"",E3852&lt;&gt;"!!!"),"NEW","")))</f>
        <v/>
      </c>
      <c r="G3852" s="26" t="str">
        <f aca="false">IF(OR(E3852="",E3852="!!!"),"",IF(OR(J3852=0,AND(J3852=1,K3852=1),AND(J3852=1,I3852="SBJ"),AND(J3852=1,I3852=0)),"?IN_FOCUS",IF(J3852&lt;=2,"?ACTIVATED",IF(J3852&lt;&gt;"","?FAMILIAR",IF(F3852="NEW",IF(ISNA(VLOOKUP(E3852,#REF!,1,FALSE())),"?TYPE_IDENTIFIABLE","?REFERENTIAL"),"_")))))</f>
        <v/>
      </c>
      <c r="H3852" s="27" t="str">
        <f aca="false">IF(J3852&lt;&gt;1,"",IF(I3852="SBJ","CB","?"))</f>
        <v/>
      </c>
      <c r="I3852" s="24" t="str">
        <f aca="false">IF(OR(E3852="",E3852="!!!",F3852="NEW"),"",INDEX(B4:B$3849,-1+SUMPRODUCT(MAX(ROW(E4:E$3849)*(E3852=E4:E$3849)))))</f>
        <v/>
      </c>
      <c r="J3852" s="24" t="str">
        <f aca="true">IF(OR(E3852="",E3852="!!!",F3852="NEW"),"",COUNTBLANK(OFFSET(A$1,,,SUMPRODUCT(MAX(ROW(E$2:E3852)*(E3852=E$2:E3852)))))-COUNTBLANK(OFFSET(A$1,,,SUMPRODUCT(MAX(ROW(E$1:E3851)*(E2=E$1:E3851))))))</f>
        <v/>
      </c>
      <c r="K3852" s="24" t="str">
        <f aca="false">IF(OR(E3852="",E3852="!!!",F3852="NEW"),"",INDEX(J$1:J3851,SUMPRODUCT(MAX(ROW(E$1:E3851)*(E3852=E$1:E3851)))))</f>
        <v/>
      </c>
      <c r="L3852" s="31"/>
    </row>
    <row r="3853" customFormat="false" ht="15" hidden="false" customHeight="false" outlineLevel="0" collapsed="false">
      <c r="A3853" s="20" t="s">
        <v>1307</v>
      </c>
      <c r="E3853" s="23" t="str">
        <f aca="false">IF(D3853="?OLD","!!!","")</f>
        <v/>
      </c>
      <c r="F3853" s="25" t="str">
        <f aca="false">IF(OR(E3853="",E3853="!!!"),"",IF(NOT(ISNA(VLOOKUP(E3853,E$1:E3852,1,FALSE()))),"OLD",IF(AND(E3853&lt;&gt;"",E3853&lt;&gt;"!!!"),"NEW","")))</f>
        <v/>
      </c>
      <c r="G3853" s="26" t="str">
        <f aca="false">IF(OR(E3853="",E3853="!!!"),"",IF(OR(J3853=0,AND(J3853=1,K3853=1),AND(J3853=1,I3853="SBJ"),AND(J3853=1,I3853=0)),"?IN_FOCUS",IF(J3853&lt;=2,"?ACTIVATED",IF(J3853&lt;&gt;"","?FAMILIAR",IF(F3853="NEW",IF(ISNA(VLOOKUP(E3853,#REF!,1,FALSE())),"?TYPE_IDENTIFIABLE","?REFERENTIAL"),"_")))))</f>
        <v/>
      </c>
      <c r="H3853" s="27" t="str">
        <f aca="false">IF(J3853&lt;&gt;1,"",IF(I3853="SBJ","CB","?"))</f>
        <v/>
      </c>
      <c r="I3853" s="24" t="str">
        <f aca="false">IF(OR(E3853="",E3853="!!!",F3853="NEW"),"",INDEX(B5:B$3849,-1+SUMPRODUCT(MAX(ROW(E5:E$3849)*(E3853=E5:E$3849)))))</f>
        <v/>
      </c>
      <c r="J3853" s="24" t="str">
        <f aca="true">IF(OR(E3853="",E3853="!!!",F3853="NEW"),"",COUNTBLANK(OFFSET(A$1,,,SUMPRODUCT(MAX(ROW(E$2:E3853)*(E3853=E$2:E3853)))))-COUNTBLANK(OFFSET(A$1,,,SUMPRODUCT(MAX(ROW(E$1:E3852)*(E2=E$1:E3852))))))</f>
        <v/>
      </c>
      <c r="K3853" s="24" t="str">
        <f aca="false">IF(OR(E3853="",E3853="!!!",F3853="NEW"),"",INDEX(J$1:J3852,SUMPRODUCT(MAX(ROW(E$1:E3852)*(E3853=E$1:E3852)))))</f>
        <v/>
      </c>
      <c r="L3853" s="31"/>
    </row>
    <row r="3854" customFormat="false" ht="15" hidden="false" customHeight="false" outlineLevel="0" collapsed="false">
      <c r="A3854" s="20" t="s">
        <v>607</v>
      </c>
      <c r="E3854" s="23" t="str">
        <f aca="false">IF(D3854="?OLD","!!!","")</f>
        <v/>
      </c>
      <c r="F3854" s="25" t="str">
        <f aca="false">IF(OR(E3854="",E3854="!!!"),"",IF(NOT(ISNA(VLOOKUP(E3854,E$1:E3853,1,FALSE()))),"OLD",IF(AND(E3854&lt;&gt;"",E3854&lt;&gt;"!!!"),"NEW","")))</f>
        <v/>
      </c>
      <c r="G3854" s="26" t="str">
        <f aca="false">IF(OR(E3854="",E3854="!!!"),"",IF(OR(J3854=0,AND(J3854=1,K3854=1),AND(J3854=1,I3854="SBJ"),AND(J3854=1,I3854=0)),"?IN_FOCUS",IF(J3854&lt;=2,"?ACTIVATED",IF(J3854&lt;&gt;"","?FAMILIAR",IF(F3854="NEW",IF(ISNA(VLOOKUP(E3854,#REF!,1,FALSE())),"?TYPE_IDENTIFIABLE","?REFERENTIAL"),"_")))))</f>
        <v/>
      </c>
      <c r="H3854" s="27" t="str">
        <f aca="false">IF(J3854&lt;&gt;1,"",IF(I3854="SBJ","CB","?"))</f>
        <v/>
      </c>
      <c r="I3854" s="24" t="str">
        <f aca="false">IF(OR(E3854="",E3854="!!!",F3854="NEW"),"",INDEX(B6:B$3849,-1+SUMPRODUCT(MAX(ROW(E6:E$3849)*(E3854=E6:E$3849)))))</f>
        <v/>
      </c>
      <c r="J3854" s="24" t="str">
        <f aca="true">IF(OR(E3854="",E3854="!!!",F3854="NEW"),"",COUNTBLANK(OFFSET(A$1,,,SUMPRODUCT(MAX(ROW(E$2:E3854)*(E3854=E$2:E3854)))))-COUNTBLANK(OFFSET(A$1,,,SUMPRODUCT(MAX(ROW(E$1:E3853)*(E2=E$1:E3853))))))</f>
        <v/>
      </c>
      <c r="K3854" s="24" t="str">
        <f aca="false">IF(OR(E3854="",E3854="!!!",F3854="NEW"),"",INDEX(J$1:J3853,SUMPRODUCT(MAX(ROW(E$1:E3853)*(E3854=E$1:E3853)))))</f>
        <v/>
      </c>
      <c r="L3854" s="31"/>
    </row>
    <row r="3855" customFormat="false" ht="15" hidden="false" customHeight="false" outlineLevel="0" collapsed="false">
      <c r="A3855" s="20"/>
    </row>
    <row r="3856" customFormat="false" ht="15" hidden="false" customHeight="false" outlineLevel="0" collapsed="false">
      <c r="A3856" s="20" t="s">
        <v>1301</v>
      </c>
      <c r="E3856" s="23" t="str">
        <f aca="false">IF(D3856="?OLD","!!!","")</f>
        <v/>
      </c>
      <c r="F3856" s="25" t="str">
        <f aca="false">IF(OR(E3856="",E3856="!!!"),"",IF(NOT(ISNA(VLOOKUP(E3856,E$1:E3855,1,FALSE()))),"OLD",IF(AND(E3856&lt;&gt;"",E3856&lt;&gt;"!!!"),"NEW","")))</f>
        <v/>
      </c>
      <c r="G3856" s="26" t="str">
        <f aca="false">IF(OR(E3856="",E3856="!!!"),"",IF(OR(J3856=0,AND(J3856=1,K3856=1),AND(J3856=1,I3856="SBJ"),AND(J3856=1,I3856=0)),"?IN_FOCUS",IF(J3856&lt;=2,"?ACTIVATED",IF(J3856&lt;&gt;"","?FAMILIAR",IF(F3856="NEW",IF(ISNA(VLOOKUP(E3856,#REF!,1,FALSE())),"?TYPE_IDENTIFIABLE","?REFERENTIAL"),"_")))))</f>
        <v/>
      </c>
      <c r="H3856" s="27" t="str">
        <f aca="false">IF(J3856&lt;&gt;1,"",IF(I3856="SBJ","CB","?"))</f>
        <v/>
      </c>
      <c r="I3856" s="24" t="str">
        <f aca="false">IF(OR(E3856="",E3856="!!!",F3856="NEW"),"",INDEX(B2:B$3855,-1+SUMPRODUCT(MAX(ROW(E2:E$3855)*(E3856=E2:E$3855)))))</f>
        <v/>
      </c>
      <c r="J3856" s="24" t="str">
        <f aca="true">IF(OR(E3856="",E3856="!!!",F3856="NEW"),"",COUNTBLANK(OFFSET(A$1,,,SUMPRODUCT(MAX(ROW(E$2:E3856)*(E3856=E$2:E3856)))))-COUNTBLANK(OFFSET(A$1,,,SUMPRODUCT(MAX(ROW(E$1:E3855)*(E2=E$1:E3855))))))</f>
        <v/>
      </c>
      <c r="K3856" s="24" t="str">
        <f aca="false">IF(OR(E3856="",E3856="!!!",F3856="NEW"),"",INDEX(J$1:J3855,SUMPRODUCT(MAX(ROW(E$1:E3855)*(E3856=E$1:E3855)))))</f>
        <v/>
      </c>
      <c r="L3856" s="31"/>
    </row>
    <row r="3857" customFormat="false" ht="15" hidden="false" customHeight="false" outlineLevel="0" collapsed="false">
      <c r="A3857" s="20" t="s">
        <v>2266</v>
      </c>
    </row>
    <row r="3858" customFormat="false" ht="15" hidden="false" customHeight="false" outlineLevel="0" collapsed="false">
      <c r="A3858" s="20" t="s">
        <v>607</v>
      </c>
      <c r="E3858" s="23" t="str">
        <f aca="false">IF(D3858="?OLD","!!!","")</f>
        <v/>
      </c>
      <c r="F3858" s="25" t="str">
        <f aca="false">IF(OR(E3858="",E3858="!!!"),"",IF(NOT(ISNA(VLOOKUP(E3858,E$1:E3857,1,FALSE()))),"OLD",IF(AND(E3858&lt;&gt;"",E3858&lt;&gt;"!!!"),"NEW","")))</f>
        <v/>
      </c>
      <c r="G3858" s="26" t="str">
        <f aca="false">IF(OR(E3858="",E3858="!!!"),"",IF(OR(J3858=0,AND(J3858=1,K3858=1),AND(J3858=1,I3858="SBJ"),AND(J3858=1,I3858=0)),"?IN_FOCUS",IF(J3858&lt;=2,"?ACTIVATED",IF(J3858&lt;&gt;"","?FAMILIAR",IF(F3858="NEW",IF(ISNA(VLOOKUP(E3858,#REF!,1,FALSE())),"?TYPE_IDENTIFIABLE","?REFERENTIAL"),"_")))))</f>
        <v/>
      </c>
      <c r="H3858" s="27" t="str">
        <f aca="false">IF(J3858&lt;&gt;1,"",IF(I3858="SBJ","CB","?"))</f>
        <v/>
      </c>
      <c r="I3858" s="24" t="str">
        <f aca="false">IF(OR(E3858="",E3858="!!!",F3858="NEW"),"",INDEX(B2:B$3857,-1+SUMPRODUCT(MAX(ROW(E2:E$3857)*(E3858=E2:E$3857)))))</f>
        <v/>
      </c>
      <c r="J3858" s="24" t="str">
        <f aca="true">IF(OR(E3858="",E3858="!!!",F3858="NEW"),"",COUNTBLANK(OFFSET(A$1,,,SUMPRODUCT(MAX(ROW(E$2:E3858)*(E3858=E$2:E3858)))))-COUNTBLANK(OFFSET(A$1,,,SUMPRODUCT(MAX(ROW(E$1:E3857)*(E2=E$1:E3857))))))</f>
        <v/>
      </c>
      <c r="K3858" s="24" t="str">
        <f aca="false">IF(OR(E3858="",E3858="!!!",F3858="NEW"),"",INDEX(J$1:J3857,SUMPRODUCT(MAX(ROW(E$1:E3857)*(E3858=E$1:E3857)))))</f>
        <v/>
      </c>
      <c r="L3858" s="31"/>
    </row>
    <row r="3859" customFormat="false" ht="15" hidden="false" customHeight="false" outlineLevel="0" collapsed="false">
      <c r="A3859" s="20" t="s">
        <v>1404</v>
      </c>
      <c r="E3859" s="23" t="str">
        <f aca="false">IF(D3859="?OLD","!!!","")</f>
        <v/>
      </c>
      <c r="F3859" s="25" t="str">
        <f aca="false">IF(OR(E3859="",E3859="!!!"),"",IF(NOT(ISNA(VLOOKUP(E3859,E$1:E3858,1,FALSE()))),"OLD",IF(AND(E3859&lt;&gt;"",E3859&lt;&gt;"!!!"),"NEW","")))</f>
        <v/>
      </c>
      <c r="G3859" s="26" t="str">
        <f aca="false">IF(OR(E3859="",E3859="!!!"),"",IF(OR(J3859=0,AND(J3859=1,K3859=1),AND(J3859=1,I3859="SBJ"),AND(J3859=1,I3859=0)),"?IN_FOCUS",IF(J3859&lt;=2,"?ACTIVATED",IF(J3859&lt;&gt;"","?FAMILIAR",IF(F3859="NEW",IF(ISNA(VLOOKUP(E3859,#REF!,1,FALSE())),"?TYPE_IDENTIFIABLE","?REFERENTIAL"),"_")))))</f>
        <v/>
      </c>
      <c r="H3859" s="27" t="str">
        <f aca="false">IF(J3859&lt;&gt;1,"",IF(I3859="SBJ","CB","?"))</f>
        <v/>
      </c>
      <c r="I3859" s="24" t="str">
        <f aca="false">IF(OR(E3859="",E3859="!!!",F3859="NEW"),"",INDEX(B3:B$3857,-1+SUMPRODUCT(MAX(ROW(E3:E$3857)*(E3859=E3:E$3857)))))</f>
        <v/>
      </c>
      <c r="J3859" s="24" t="str">
        <f aca="true">IF(OR(E3859="",E3859="!!!",F3859="NEW"),"",COUNTBLANK(OFFSET(A$1,,,SUMPRODUCT(MAX(ROW(E$2:E3859)*(E3859=E$2:E3859)))))-COUNTBLANK(OFFSET(A$1,,,SUMPRODUCT(MAX(ROW(E$1:E3858)*(E2=E$1:E3858))))))</f>
        <v/>
      </c>
      <c r="K3859" s="24" t="str">
        <f aca="false">IF(OR(E3859="",E3859="!!!",F3859="NEW"),"",INDEX(J$1:J3858,SUMPRODUCT(MAX(ROW(E$1:E3858)*(E3859=E$1:E3858)))))</f>
        <v/>
      </c>
      <c r="L3859" s="31"/>
    </row>
    <row r="3860" customFormat="false" ht="15" hidden="false" customHeight="false" outlineLevel="0" collapsed="false">
      <c r="A3860" s="20" t="s">
        <v>923</v>
      </c>
      <c r="E3860" s="23" t="str">
        <f aca="false">IF(D3860="?OLD","!!!","")</f>
        <v/>
      </c>
      <c r="F3860" s="25" t="str">
        <f aca="false">IF(OR(E3860="",E3860="!!!"),"",IF(NOT(ISNA(VLOOKUP(E3860,E$1:E3859,1,FALSE()))),"OLD",IF(AND(E3860&lt;&gt;"",E3860&lt;&gt;"!!!"),"NEW","")))</f>
        <v/>
      </c>
      <c r="G3860" s="26" t="str">
        <f aca="false">IF(OR(E3860="",E3860="!!!"),"",IF(OR(J3860=0,AND(J3860=1,K3860=1),AND(J3860=1,I3860="SBJ"),AND(J3860=1,I3860=0)),"?IN_FOCUS",IF(J3860&lt;=2,"?ACTIVATED",IF(J3860&lt;&gt;"","?FAMILIAR",IF(F3860="NEW",IF(ISNA(VLOOKUP(E3860,#REF!,1,FALSE())),"?TYPE_IDENTIFIABLE","?REFERENTIAL"),"_")))))</f>
        <v/>
      </c>
      <c r="H3860" s="27" t="str">
        <f aca="false">IF(J3860&lt;&gt;1,"",IF(I3860="SBJ","CB","?"))</f>
        <v/>
      </c>
      <c r="I3860" s="24" t="str">
        <f aca="false">IF(OR(E3860="",E3860="!!!",F3860="NEW"),"",INDEX(B4:B$3857,-1+SUMPRODUCT(MAX(ROW(E4:E$3857)*(E3860=E4:E$3857)))))</f>
        <v/>
      </c>
      <c r="J3860" s="24" t="str">
        <f aca="true">IF(OR(E3860="",E3860="!!!",F3860="NEW"),"",COUNTBLANK(OFFSET(A$1,,,SUMPRODUCT(MAX(ROW(E$2:E3860)*(E3860=E$2:E3860)))))-COUNTBLANK(OFFSET(A$1,,,SUMPRODUCT(MAX(ROW(E$1:E3859)*(E2=E$1:E3859))))))</f>
        <v/>
      </c>
      <c r="K3860" s="24" t="str">
        <f aca="false">IF(OR(E3860="",E3860="!!!",F3860="NEW"),"",INDEX(J$1:J3859,SUMPRODUCT(MAX(ROW(E$1:E3859)*(E3860=E$1:E3859)))))</f>
        <v/>
      </c>
      <c r="L3860" s="31"/>
    </row>
    <row r="3861" customFormat="false" ht="15" hidden="false" customHeight="false" outlineLevel="0" collapsed="false">
      <c r="A3861" s="20" t="s">
        <v>607</v>
      </c>
      <c r="E3861" s="23" t="str">
        <f aca="false">IF(D3861="?OLD","!!!","")</f>
        <v/>
      </c>
      <c r="F3861" s="25" t="str">
        <f aca="false">IF(OR(E3861="",E3861="!!!"),"",IF(NOT(ISNA(VLOOKUP(E3861,E$1:E3860,1,FALSE()))),"OLD",IF(AND(E3861&lt;&gt;"",E3861&lt;&gt;"!!!"),"NEW","")))</f>
        <v/>
      </c>
      <c r="G3861" s="26" t="str">
        <f aca="false">IF(OR(E3861="",E3861="!!!"),"",IF(OR(J3861=0,AND(J3861=1,K3861=1),AND(J3861=1,I3861="SBJ"),AND(J3861=1,I3861=0)),"?IN_FOCUS",IF(J3861&lt;=2,"?ACTIVATED",IF(J3861&lt;&gt;"","?FAMILIAR",IF(F3861="NEW",IF(ISNA(VLOOKUP(E3861,#REF!,1,FALSE())),"?TYPE_IDENTIFIABLE","?REFERENTIAL"),"_")))))</f>
        <v/>
      </c>
      <c r="H3861" s="27" t="str">
        <f aca="false">IF(J3861&lt;&gt;1,"",IF(I3861="SBJ","CB","?"))</f>
        <v/>
      </c>
      <c r="I3861" s="24" t="str">
        <f aca="false">IF(OR(E3861="",E3861="!!!",F3861="NEW"),"",INDEX(B5:B$3857,-1+SUMPRODUCT(MAX(ROW(E5:E$3857)*(E3861=E5:E$3857)))))</f>
        <v/>
      </c>
      <c r="J3861" s="24" t="str">
        <f aca="true">IF(OR(E3861="",E3861="!!!",F3861="NEW"),"",COUNTBLANK(OFFSET(A$1,,,SUMPRODUCT(MAX(ROW(E$2:E3861)*(E3861=E$2:E3861)))))-COUNTBLANK(OFFSET(A$1,,,SUMPRODUCT(MAX(ROW(E$1:E3860)*(E2=E$1:E3860))))))</f>
        <v/>
      </c>
      <c r="K3861" s="24" t="str">
        <f aca="false">IF(OR(E3861="",E3861="!!!",F3861="NEW"),"",INDEX(J$1:J3860,SUMPRODUCT(MAX(ROW(E$1:E3860)*(E3861=E$1:E3860)))))</f>
        <v/>
      </c>
      <c r="L3861" s="31"/>
    </row>
    <row r="3862" customFormat="false" ht="15" hidden="false" customHeight="false" outlineLevel="0" collapsed="false">
      <c r="A3862" s="20"/>
    </row>
    <row r="3863" customFormat="false" ht="15" hidden="false" customHeight="false" outlineLevel="0" collapsed="false">
      <c r="A3863" s="20" t="s">
        <v>1301</v>
      </c>
      <c r="E3863" s="23" t="str">
        <f aca="false">IF(D3863="?OLD","!!!","")</f>
        <v/>
      </c>
      <c r="F3863" s="25" t="str">
        <f aca="false">IF(OR(E3863="",E3863="!!!"),"",IF(NOT(ISNA(VLOOKUP(E3863,E$1:E3862,1,FALSE()))),"OLD",IF(AND(E3863&lt;&gt;"",E3863&lt;&gt;"!!!"),"NEW","")))</f>
        <v/>
      </c>
      <c r="G3863" s="26" t="str">
        <f aca="false">IF(OR(E3863="",E3863="!!!"),"",IF(OR(J3863=0,AND(J3863=1,K3863=1),AND(J3863=1,I3863="SBJ"),AND(J3863=1,I3863=0)),"?IN_FOCUS",IF(J3863&lt;=2,"?ACTIVATED",IF(J3863&lt;&gt;"","?FAMILIAR",IF(F3863="NEW",IF(ISNA(VLOOKUP(E3863,#REF!,1,FALSE())),"?TYPE_IDENTIFIABLE","?REFERENTIAL"),"_")))))</f>
        <v/>
      </c>
      <c r="H3863" s="27" t="str">
        <f aca="false">IF(J3863&lt;&gt;1,"",IF(I3863="SBJ","CB","?"))</f>
        <v/>
      </c>
      <c r="I3863" s="24" t="str">
        <f aca="false">IF(OR(E3863="",E3863="!!!",F3863="NEW"),"",INDEX(B2:B$3862,-1+SUMPRODUCT(MAX(ROW(E2:E$3862)*(E3863=E2:E$3862)))))</f>
        <v/>
      </c>
      <c r="J3863" s="24" t="str">
        <f aca="true">IF(OR(E3863="",E3863="!!!",F3863="NEW"),"",COUNTBLANK(OFFSET(A$1,,,SUMPRODUCT(MAX(ROW(E$2:E3863)*(E3863=E$2:E3863)))))-COUNTBLANK(OFFSET(A$1,,,SUMPRODUCT(MAX(ROW(E$1:E3862)*(E2=E$1:E3862))))))</f>
        <v/>
      </c>
      <c r="K3863" s="24" t="str">
        <f aca="false">IF(OR(E3863="",E3863="!!!",F3863="NEW"),"",INDEX(J$1:J3862,SUMPRODUCT(MAX(ROW(E$1:E3862)*(E3863=E$1:E3862)))))</f>
        <v/>
      </c>
      <c r="L3863" s="31"/>
    </row>
    <row r="3864" customFormat="false" ht="15" hidden="false" customHeight="false" outlineLevel="0" collapsed="false">
      <c r="A3864" s="20" t="s">
        <v>2267</v>
      </c>
    </row>
    <row r="3865" customFormat="false" ht="15" hidden="false" customHeight="false" outlineLevel="0" collapsed="false">
      <c r="A3865" s="20" t="s">
        <v>607</v>
      </c>
      <c r="E3865" s="23" t="str">
        <f aca="false">IF(D3865="?OLD","!!!","")</f>
        <v/>
      </c>
      <c r="F3865" s="25" t="str">
        <f aca="false">IF(OR(E3865="",E3865="!!!"),"",IF(NOT(ISNA(VLOOKUP(E3865,E$1:E3864,1,FALSE()))),"OLD",IF(AND(E3865&lt;&gt;"",E3865&lt;&gt;"!!!"),"NEW","")))</f>
        <v/>
      </c>
      <c r="G3865" s="26" t="str">
        <f aca="false">IF(OR(E3865="",E3865="!!!"),"",IF(OR(J3865=0,AND(J3865=1,K3865=1),AND(J3865=1,I3865="SBJ"),AND(J3865=1,I3865=0)),"?IN_FOCUS",IF(J3865&lt;=2,"?ACTIVATED",IF(J3865&lt;&gt;"","?FAMILIAR",IF(F3865="NEW",IF(ISNA(VLOOKUP(E3865,#REF!,1,FALSE())),"?TYPE_IDENTIFIABLE","?REFERENTIAL"),"_")))))</f>
        <v/>
      </c>
      <c r="H3865" s="27" t="str">
        <f aca="false">IF(J3865&lt;&gt;1,"",IF(I3865="SBJ","CB","?"))</f>
        <v/>
      </c>
      <c r="I3865" s="24" t="str">
        <f aca="false">IF(OR(E3865="",E3865="!!!",F3865="NEW"),"",INDEX(B2:B$3864,-1+SUMPRODUCT(MAX(ROW(E2:E$3864)*(E3865=E2:E$3864)))))</f>
        <v/>
      </c>
      <c r="J3865" s="24" t="str">
        <f aca="true">IF(OR(E3865="",E3865="!!!",F3865="NEW"),"",COUNTBLANK(OFFSET(A$1,,,SUMPRODUCT(MAX(ROW(E$2:E3865)*(E3865=E$2:E3865)))))-COUNTBLANK(OFFSET(A$1,,,SUMPRODUCT(MAX(ROW(E$1:E3864)*(E2=E$1:E3864))))))</f>
        <v/>
      </c>
      <c r="K3865" s="24" t="str">
        <f aca="false">IF(OR(E3865="",E3865="!!!",F3865="NEW"),"",INDEX(J$1:J3864,SUMPRODUCT(MAX(ROW(E$1:E3864)*(E3865=E$1:E3864)))))</f>
        <v/>
      </c>
      <c r="L3865" s="31"/>
    </row>
    <row r="3866" customFormat="false" ht="15" hidden="false" customHeight="false" outlineLevel="0" collapsed="false">
      <c r="A3866" s="20" t="s">
        <v>1427</v>
      </c>
      <c r="E3866" s="23" t="str">
        <f aca="false">IF(D3866="?OLD","!!!","")</f>
        <v/>
      </c>
      <c r="F3866" s="25" t="str">
        <f aca="false">IF(OR(E3866="",E3866="!!!"),"",IF(NOT(ISNA(VLOOKUP(E3866,E$1:E3865,1,FALSE()))),"OLD",IF(AND(E3866&lt;&gt;"",E3866&lt;&gt;"!!!"),"NEW","")))</f>
        <v/>
      </c>
      <c r="G3866" s="26" t="str">
        <f aca="false">IF(OR(E3866="",E3866="!!!"),"",IF(OR(J3866=0,AND(J3866=1,K3866=1),AND(J3866=1,I3866="SBJ"),AND(J3866=1,I3866=0)),"?IN_FOCUS",IF(J3866&lt;=2,"?ACTIVATED",IF(J3866&lt;&gt;"","?FAMILIAR",IF(F3866="NEW",IF(ISNA(VLOOKUP(E3866,#REF!,1,FALSE())),"?TYPE_IDENTIFIABLE","?REFERENTIAL"),"_")))))</f>
        <v/>
      </c>
      <c r="H3866" s="27" t="str">
        <f aca="false">IF(J3866&lt;&gt;1,"",IF(I3866="SBJ","CB","?"))</f>
        <v/>
      </c>
      <c r="I3866" s="24" t="str">
        <f aca="false">IF(OR(E3866="",E3866="!!!",F3866="NEW"),"",INDEX(B3:B$3864,-1+SUMPRODUCT(MAX(ROW(E3:E$3864)*(E3866=E3:E$3864)))))</f>
        <v/>
      </c>
      <c r="J3866" s="24" t="str">
        <f aca="true">IF(OR(E3866="",E3866="!!!",F3866="NEW"),"",COUNTBLANK(OFFSET(A$1,,,SUMPRODUCT(MAX(ROW(E$2:E3866)*(E3866=E$2:E3866)))))-COUNTBLANK(OFFSET(A$1,,,SUMPRODUCT(MAX(ROW(E$1:E3865)*(E2=E$1:E3865))))))</f>
        <v/>
      </c>
      <c r="K3866" s="24" t="str">
        <f aca="false">IF(OR(E3866="",E3866="!!!",F3866="NEW"),"",INDEX(J$1:J3865,SUMPRODUCT(MAX(ROW(E$1:E3865)*(E3866=E$1:E3865)))))</f>
        <v/>
      </c>
      <c r="L3866" s="31"/>
    </row>
    <row r="3867" customFormat="false" ht="15" hidden="false" customHeight="false" outlineLevel="0" collapsed="false">
      <c r="A3867" s="20" t="s">
        <v>1109</v>
      </c>
      <c r="E3867" s="23" t="str">
        <f aca="false">IF(D3867="?OLD","!!!","")</f>
        <v/>
      </c>
      <c r="F3867" s="25" t="str">
        <f aca="false">IF(OR(E3867="",E3867="!!!"),"",IF(NOT(ISNA(VLOOKUP(E3867,E$1:E3866,1,FALSE()))),"OLD",IF(AND(E3867&lt;&gt;"",E3867&lt;&gt;"!!!"),"NEW","")))</f>
        <v/>
      </c>
      <c r="G3867" s="26" t="str">
        <f aca="false">IF(OR(E3867="",E3867="!!!"),"",IF(OR(J3867=0,AND(J3867=1,K3867=1),AND(J3867=1,I3867="SBJ"),AND(J3867=1,I3867=0)),"?IN_FOCUS",IF(J3867&lt;=2,"?ACTIVATED",IF(J3867&lt;&gt;"","?FAMILIAR",IF(F3867="NEW",IF(ISNA(VLOOKUP(E3867,#REF!,1,FALSE())),"?TYPE_IDENTIFIABLE","?REFERENTIAL"),"_")))))</f>
        <v/>
      </c>
      <c r="H3867" s="27" t="str">
        <f aca="false">IF(J3867&lt;&gt;1,"",IF(I3867="SBJ","CB","?"))</f>
        <v/>
      </c>
      <c r="I3867" s="24" t="str">
        <f aca="false">IF(OR(E3867="",E3867="!!!",F3867="NEW"),"",INDEX(B4:B$3864,-1+SUMPRODUCT(MAX(ROW(E4:E$3864)*(E3867=E4:E$3864)))))</f>
        <v/>
      </c>
      <c r="J3867" s="24" t="str">
        <f aca="true">IF(OR(E3867="",E3867="!!!",F3867="NEW"),"",COUNTBLANK(OFFSET(A$1,,,SUMPRODUCT(MAX(ROW(E$2:E3867)*(E3867=E$2:E3867)))))-COUNTBLANK(OFFSET(A$1,,,SUMPRODUCT(MAX(ROW(E$1:E3866)*(E2=E$1:E3866))))))</f>
        <v/>
      </c>
      <c r="K3867" s="24" t="str">
        <f aca="false">IF(OR(E3867="",E3867="!!!",F3867="NEW"),"",INDEX(J$1:J3866,SUMPRODUCT(MAX(ROW(E$1:E3866)*(E3867=E$1:E3866)))))</f>
        <v/>
      </c>
      <c r="L3867" s="31"/>
    </row>
    <row r="3868" customFormat="false" ht="15" hidden="false" customHeight="false" outlineLevel="0" collapsed="false">
      <c r="A3868" s="20" t="s">
        <v>768</v>
      </c>
      <c r="B3868" s="22" t="s">
        <v>1105</v>
      </c>
      <c r="C3868" s="22" t="s">
        <v>1150</v>
      </c>
      <c r="D3868" s="22" t="s">
        <v>1060</v>
      </c>
      <c r="E3868" s="23" t="str">
        <f aca="false">IF(D3868="?OLD","!!!","")</f>
        <v>!!!</v>
      </c>
      <c r="F3868" s="25" t="str">
        <f aca="false">IF(OR(E3868="",E3868="!!!"),"",IF(NOT(ISNA(VLOOKUP(E3868,E$1:E3867,1,FALSE()))),"OLD",IF(AND(E3868&lt;&gt;"",E3868&lt;&gt;"!!!"),"NEW","")))</f>
        <v/>
      </c>
      <c r="G3868" s="26" t="str">
        <f aca="false">IF(OR(E3868="",E3868="!!!"),"",IF(OR(J3868=0,AND(J3868=1,K3868=1),AND(J3868=1,I3868="SBJ"),AND(J3868=1,I3868=0)),"?IN_FOCUS",IF(J3868&lt;=2,"?ACTIVATED",IF(J3868&lt;&gt;"","?FAMILIAR",IF(F3868="NEW",IF(ISNA(VLOOKUP(E3868,#REF!,1,FALSE())),"?TYPE_IDENTIFIABLE","?REFERENTIAL"),"_")))))</f>
        <v/>
      </c>
      <c r="H3868" s="27" t="str">
        <f aca="false">IF(J3868&lt;&gt;1,"",IF(I3868="SBJ","CB","?"))</f>
        <v/>
      </c>
      <c r="I3868" s="24" t="str">
        <f aca="false">IF(OR(E3868="",E3868="!!!",F3868="NEW"),"",INDEX(B5:B$3864,-1+SUMPRODUCT(MAX(ROW(E5:E$3864)*(E3868=E5:E$3864)))))</f>
        <v/>
      </c>
      <c r="J3868" s="24" t="str">
        <f aca="true">IF(OR(E3868="",E3868="!!!",F3868="NEW"),"",COUNTBLANK(OFFSET(A$1,,,SUMPRODUCT(MAX(ROW(E$2:E3868)*(E3868=E$2:E3868)))))-COUNTBLANK(OFFSET(A$1,,,SUMPRODUCT(MAX(ROW(E$1:E3867)*(E2=E$1:E3867))))))</f>
        <v/>
      </c>
      <c r="K3868" s="24" t="str">
        <f aca="false">IF(OR(E3868="",E3868="!!!",F3868="NEW"),"",INDEX(J$1:J3867,SUMPRODUCT(MAX(ROW(E$1:E3867)*(E3868=E$1:E3867)))))</f>
        <v/>
      </c>
      <c r="L3868" s="31"/>
    </row>
    <row r="3869" customFormat="false" ht="15" hidden="false" customHeight="false" outlineLevel="0" collapsed="false">
      <c r="A3869" s="20" t="s">
        <v>1307</v>
      </c>
      <c r="E3869" s="23" t="str">
        <f aca="false">IF(D3869="?OLD","!!!","")</f>
        <v/>
      </c>
      <c r="F3869" s="25" t="str">
        <f aca="false">IF(OR(E3869="",E3869="!!!"),"",IF(NOT(ISNA(VLOOKUP(E3869,E$1:E3868,1,FALSE()))),"OLD",IF(AND(E3869&lt;&gt;"",E3869&lt;&gt;"!!!"),"NEW","")))</f>
        <v/>
      </c>
      <c r="G3869" s="26" t="str">
        <f aca="false">IF(OR(E3869="",E3869="!!!"),"",IF(OR(J3869=0,AND(J3869=1,K3869=1),AND(J3869=1,I3869="SBJ"),AND(J3869=1,I3869=0)),"?IN_FOCUS",IF(J3869&lt;=2,"?ACTIVATED",IF(J3869&lt;&gt;"","?FAMILIAR",IF(F3869="NEW",IF(ISNA(VLOOKUP(E3869,#REF!,1,FALSE())),"?TYPE_IDENTIFIABLE","?REFERENTIAL"),"_")))))</f>
        <v/>
      </c>
      <c r="H3869" s="27" t="str">
        <f aca="false">IF(J3869&lt;&gt;1,"",IF(I3869="SBJ","CB","?"))</f>
        <v/>
      </c>
      <c r="I3869" s="24" t="str">
        <f aca="false">IF(OR(E3869="",E3869="!!!",F3869="NEW"),"",INDEX(B6:B$3864,-1+SUMPRODUCT(MAX(ROW(E6:E$3864)*(E3869=E6:E$3864)))))</f>
        <v/>
      </c>
      <c r="J3869" s="24" t="str">
        <f aca="true">IF(OR(E3869="",E3869="!!!",F3869="NEW"),"",COUNTBLANK(OFFSET(A$1,,,SUMPRODUCT(MAX(ROW(E$2:E3869)*(E3869=E$2:E3869)))))-COUNTBLANK(OFFSET(A$1,,,SUMPRODUCT(MAX(ROW(E$1:E3868)*(E2=E$1:E3868))))))</f>
        <v/>
      </c>
      <c r="K3869" s="24" t="str">
        <f aca="false">IF(OR(E3869="",E3869="!!!",F3869="NEW"),"",INDEX(J$1:J3868,SUMPRODUCT(MAX(ROW(E$1:E3868)*(E3869=E$1:E3868)))))</f>
        <v/>
      </c>
      <c r="L3869" s="31"/>
    </row>
    <row r="3870" customFormat="false" ht="15" hidden="false" customHeight="false" outlineLevel="0" collapsed="false">
      <c r="A3870" s="20" t="s">
        <v>607</v>
      </c>
      <c r="E3870" s="23" t="str">
        <f aca="false">IF(D3870="?OLD","!!!","")</f>
        <v/>
      </c>
      <c r="F3870" s="25" t="str">
        <f aca="false">IF(OR(E3870="",E3870="!!!"),"",IF(NOT(ISNA(VLOOKUP(E3870,E$1:E3869,1,FALSE()))),"OLD",IF(AND(E3870&lt;&gt;"",E3870&lt;&gt;"!!!"),"NEW","")))</f>
        <v/>
      </c>
      <c r="G3870" s="26" t="str">
        <f aca="false">IF(OR(E3870="",E3870="!!!"),"",IF(OR(J3870=0,AND(J3870=1,K3870=1),AND(J3870=1,I3870="SBJ"),AND(J3870=1,I3870=0)),"?IN_FOCUS",IF(J3870&lt;=2,"?ACTIVATED",IF(J3870&lt;&gt;"","?FAMILIAR",IF(F3870="NEW",IF(ISNA(VLOOKUP(E3870,#REF!,1,FALSE())),"?TYPE_IDENTIFIABLE","?REFERENTIAL"),"_")))))</f>
        <v/>
      </c>
      <c r="H3870" s="27" t="str">
        <f aca="false">IF(J3870&lt;&gt;1,"",IF(I3870="SBJ","CB","?"))</f>
        <v/>
      </c>
      <c r="I3870" s="24" t="str">
        <f aca="false">IF(OR(E3870="",E3870="!!!",F3870="NEW"),"",INDEX(B7:B$3864,-1+SUMPRODUCT(MAX(ROW(E7:E$3864)*(E3870=E7:E$3864)))))</f>
        <v/>
      </c>
      <c r="J3870" s="24" t="str">
        <f aca="true">IF(OR(E3870="",E3870="!!!",F3870="NEW"),"",COUNTBLANK(OFFSET(A$1,,,SUMPRODUCT(MAX(ROW(E$2:E3870)*(E3870=E$2:E3870)))))-COUNTBLANK(OFFSET(A$1,,,SUMPRODUCT(MAX(ROW(E$1:E3869)*(E2=E$1:E3869))))))</f>
        <v/>
      </c>
      <c r="K3870" s="24" t="str">
        <f aca="false">IF(OR(E3870="",E3870="!!!",F3870="NEW"),"",INDEX(J$1:J3869,SUMPRODUCT(MAX(ROW(E$1:E3869)*(E3870=E$1:E3869)))))</f>
        <v/>
      </c>
      <c r="L3870" s="31"/>
    </row>
    <row r="3871" customFormat="false" ht="15" hidden="false" customHeight="false" outlineLevel="0" collapsed="false">
      <c r="A3871" s="20"/>
    </row>
    <row r="3872" customFormat="false" ht="15" hidden="false" customHeight="false" outlineLevel="0" collapsed="false">
      <c r="A3872" s="20" t="s">
        <v>1301</v>
      </c>
      <c r="E3872" s="23" t="str">
        <f aca="false">IF(D3872="?OLD","!!!","")</f>
        <v/>
      </c>
      <c r="F3872" s="25" t="str">
        <f aca="false">IF(OR(E3872="",E3872="!!!"),"",IF(NOT(ISNA(VLOOKUP(E3872,E$1:E3871,1,FALSE()))),"OLD",IF(AND(E3872&lt;&gt;"",E3872&lt;&gt;"!!!"),"NEW","")))</f>
        <v/>
      </c>
      <c r="G3872" s="26" t="str">
        <f aca="false">IF(OR(E3872="",E3872="!!!"),"",IF(OR(J3872=0,AND(J3872=1,K3872=1),AND(J3872=1,I3872="SBJ"),AND(J3872=1,I3872=0)),"?IN_FOCUS",IF(J3872&lt;=2,"?ACTIVATED",IF(J3872&lt;&gt;"","?FAMILIAR",IF(F3872="NEW",IF(ISNA(VLOOKUP(E3872,#REF!,1,FALSE())),"?TYPE_IDENTIFIABLE","?REFERENTIAL"),"_")))))</f>
        <v/>
      </c>
      <c r="H3872" s="27" t="str">
        <f aca="false">IF(J3872&lt;&gt;1,"",IF(I3872="SBJ","CB","?"))</f>
        <v/>
      </c>
      <c r="I3872" s="24" t="str">
        <f aca="false">IF(OR(E3872="",E3872="!!!",F3872="NEW"),"",INDEX(B2:B$3871,-1+SUMPRODUCT(MAX(ROW(E2:E$3871)*(E3872=E2:E$3871)))))</f>
        <v/>
      </c>
      <c r="J3872" s="24" t="str">
        <f aca="true">IF(OR(E3872="",E3872="!!!",F3872="NEW"),"",COUNTBLANK(OFFSET(A$1,,,SUMPRODUCT(MAX(ROW(E$2:E3872)*(E3872=E$2:E3872)))))-COUNTBLANK(OFFSET(A$1,,,SUMPRODUCT(MAX(ROW(E$1:E3871)*(E2=E$1:E3871))))))</f>
        <v/>
      </c>
      <c r="K3872" s="24" t="str">
        <f aca="false">IF(OR(E3872="",E3872="!!!",F3872="NEW"),"",INDEX(J$1:J3871,SUMPRODUCT(MAX(ROW(E$1:E3871)*(E3872=E$1:E3871)))))</f>
        <v/>
      </c>
      <c r="L3872" s="31"/>
    </row>
    <row r="3873" customFormat="false" ht="15" hidden="false" customHeight="false" outlineLevel="0" collapsed="false">
      <c r="A3873" s="20" t="s">
        <v>2268</v>
      </c>
    </row>
    <row r="3874" customFormat="false" ht="15" hidden="false" customHeight="false" outlineLevel="0" collapsed="false">
      <c r="A3874" s="20" t="s">
        <v>607</v>
      </c>
      <c r="E3874" s="23" t="str">
        <f aca="false">IF(D3874="?OLD","!!!","")</f>
        <v/>
      </c>
      <c r="F3874" s="25" t="str">
        <f aca="false">IF(OR(E3874="",E3874="!!!"),"",IF(NOT(ISNA(VLOOKUP(E3874,E$1:E3873,1,FALSE()))),"OLD",IF(AND(E3874&lt;&gt;"",E3874&lt;&gt;"!!!"),"NEW","")))</f>
        <v/>
      </c>
      <c r="G3874" s="26" t="str">
        <f aca="false">IF(OR(E3874="",E3874="!!!"),"",IF(OR(J3874=0,AND(J3874=1,K3874=1),AND(J3874=1,I3874="SBJ"),AND(J3874=1,I3874=0)),"?IN_FOCUS",IF(J3874&lt;=2,"?ACTIVATED",IF(J3874&lt;&gt;"","?FAMILIAR",IF(F3874="NEW",IF(ISNA(VLOOKUP(E3874,#REF!,1,FALSE())),"?TYPE_IDENTIFIABLE","?REFERENTIAL"),"_")))))</f>
        <v/>
      </c>
      <c r="H3874" s="27" t="str">
        <f aca="false">IF(J3874&lt;&gt;1,"",IF(I3874="SBJ","CB","?"))</f>
        <v/>
      </c>
      <c r="I3874" s="24" t="str">
        <f aca="false">IF(OR(E3874="",E3874="!!!",F3874="NEW"),"",INDEX(B2:B$3873,-1+SUMPRODUCT(MAX(ROW(E2:E$3873)*(E3874=E2:E$3873)))))</f>
        <v/>
      </c>
      <c r="J3874" s="24" t="str">
        <f aca="true">IF(OR(E3874="",E3874="!!!",F3874="NEW"),"",COUNTBLANK(OFFSET(A$1,,,SUMPRODUCT(MAX(ROW(E$2:E3874)*(E3874=E$2:E3874)))))-COUNTBLANK(OFFSET(A$1,,,SUMPRODUCT(MAX(ROW(E$1:E3873)*(E2=E$1:E3873))))))</f>
        <v/>
      </c>
      <c r="K3874" s="24" t="str">
        <f aca="false">IF(OR(E3874="",E3874="!!!",F3874="NEW"),"",INDEX(J$1:J3873,SUMPRODUCT(MAX(ROW(E$1:E3873)*(E3874=E$1:E3873)))))</f>
        <v/>
      </c>
      <c r="L3874" s="31"/>
    </row>
    <row r="3875" customFormat="false" ht="15" hidden="false" customHeight="false" outlineLevel="0" collapsed="false">
      <c r="A3875" s="20" t="s">
        <v>1261</v>
      </c>
      <c r="B3875" s="22" t="s">
        <v>1058</v>
      </c>
      <c r="C3875" s="22" t="s">
        <v>1082</v>
      </c>
      <c r="D3875" s="22" t="s">
        <v>1060</v>
      </c>
      <c r="E3875" s="23" t="str">
        <f aca="false">IF(D3875="?OLD","!!!","")</f>
        <v>!!!</v>
      </c>
      <c r="F3875" s="25" t="str">
        <f aca="false">IF(OR(E3875="",E3875="!!!"),"",IF(NOT(ISNA(VLOOKUP(E3875,E$1:E3874,1,FALSE()))),"OLD",IF(AND(E3875&lt;&gt;"",E3875&lt;&gt;"!!!"),"NEW","")))</f>
        <v/>
      </c>
      <c r="G3875" s="26" t="str">
        <f aca="false">IF(OR(E3875="",E3875="!!!"),"",IF(OR(J3875=0,AND(J3875=1,K3875=1),AND(J3875=1,I3875="SBJ"),AND(J3875=1,I3875=0)),"?IN_FOCUS",IF(J3875&lt;=2,"?ACTIVATED",IF(J3875&lt;&gt;"","?FAMILIAR",IF(F3875="NEW",IF(ISNA(VLOOKUP(E3875,#REF!,1,FALSE())),"?TYPE_IDENTIFIABLE","?REFERENTIAL"),"_")))))</f>
        <v/>
      </c>
      <c r="H3875" s="27" t="str">
        <f aca="false">IF(J3875&lt;&gt;1,"",IF(I3875="SBJ","CB","?"))</f>
        <v/>
      </c>
      <c r="I3875" s="24" t="str">
        <f aca="false">IF(OR(E3875="",E3875="!!!",F3875="NEW"),"",INDEX(B3:B$3873,-1+SUMPRODUCT(MAX(ROW(E3:E$3873)*(E3875=E3:E$3873)))))</f>
        <v/>
      </c>
      <c r="J3875" s="24" t="str">
        <f aca="true">IF(OR(E3875="",E3875="!!!",F3875="NEW"),"",COUNTBLANK(OFFSET(A$1,,,SUMPRODUCT(MAX(ROW(E$2:E3875)*(E3875=E$2:E3875)))))-COUNTBLANK(OFFSET(A$1,,,SUMPRODUCT(MAX(ROW(E$1:E3874)*(E2=E$1:E3874))))))</f>
        <v/>
      </c>
      <c r="K3875" s="24" t="str">
        <f aca="false">IF(OR(E3875="",E3875="!!!",F3875="NEW"),"",INDEX(J$1:J3874,SUMPRODUCT(MAX(ROW(E$1:E3874)*(E3875=E$1:E3874)))))</f>
        <v/>
      </c>
      <c r="L3875" s="31"/>
    </row>
    <row r="3876" customFormat="false" ht="15" hidden="false" customHeight="false" outlineLevel="0" collapsed="false">
      <c r="A3876" s="20" t="s">
        <v>1369</v>
      </c>
      <c r="E3876" s="23" t="str">
        <f aca="false">IF(D3876="?OLD","!!!","")</f>
        <v/>
      </c>
      <c r="F3876" s="25" t="str">
        <f aca="false">IF(OR(E3876="",E3876="!!!"),"",IF(NOT(ISNA(VLOOKUP(E3876,E$1:E3875,1,FALSE()))),"OLD",IF(AND(E3876&lt;&gt;"",E3876&lt;&gt;"!!!"),"NEW","")))</f>
        <v/>
      </c>
      <c r="G3876" s="26" t="str">
        <f aca="false">IF(OR(E3876="",E3876="!!!"),"",IF(OR(J3876=0,AND(J3876=1,K3876=1),AND(J3876=1,I3876="SBJ"),AND(J3876=1,I3876=0)),"?IN_FOCUS",IF(J3876&lt;=2,"?ACTIVATED",IF(J3876&lt;&gt;"","?FAMILIAR",IF(F3876="NEW",IF(ISNA(VLOOKUP(E3876,#REF!,1,FALSE())),"?TYPE_IDENTIFIABLE","?REFERENTIAL"),"_")))))</f>
        <v/>
      </c>
      <c r="H3876" s="27" t="str">
        <f aca="false">IF(J3876&lt;&gt;1,"",IF(I3876="SBJ","CB","?"))</f>
        <v/>
      </c>
      <c r="I3876" s="24" t="str">
        <f aca="false">IF(OR(E3876="",E3876="!!!",F3876="NEW"),"",INDEX(B4:B$3873,-1+SUMPRODUCT(MAX(ROW(E4:E$3873)*(E3876=E4:E$3873)))))</f>
        <v/>
      </c>
      <c r="J3876" s="24" t="str">
        <f aca="true">IF(OR(E3876="",E3876="!!!",F3876="NEW"),"",COUNTBLANK(OFFSET(A$1,,,SUMPRODUCT(MAX(ROW(E$2:E3876)*(E3876=E$2:E3876)))))-COUNTBLANK(OFFSET(A$1,,,SUMPRODUCT(MAX(ROW(E$1:E3875)*(E2=E$1:E3875))))))</f>
        <v/>
      </c>
      <c r="K3876" s="24" t="str">
        <f aca="false">IF(OR(E3876="",E3876="!!!",F3876="NEW"),"",INDEX(J$1:J3875,SUMPRODUCT(MAX(ROW(E$1:E3875)*(E3876=E$1:E3875)))))</f>
        <v/>
      </c>
      <c r="L3876" s="31"/>
    </row>
    <row r="3877" customFormat="false" ht="15" hidden="false" customHeight="false" outlineLevel="0" collapsed="false">
      <c r="A3877" s="20" t="s">
        <v>1973</v>
      </c>
      <c r="E3877" s="23" t="str">
        <f aca="false">IF(D3877="?OLD","!!!","")</f>
        <v/>
      </c>
      <c r="F3877" s="25" t="str">
        <f aca="false">IF(OR(E3877="",E3877="!!!"),"",IF(NOT(ISNA(VLOOKUP(E3877,E$1:E3876,1,FALSE()))),"OLD",IF(AND(E3877&lt;&gt;"",E3877&lt;&gt;"!!!"),"NEW","")))</f>
        <v/>
      </c>
      <c r="G3877" s="26" t="str">
        <f aca="false">IF(OR(E3877="",E3877="!!!"),"",IF(OR(J3877=0,AND(J3877=1,K3877=1),AND(J3877=1,I3877="SBJ"),AND(J3877=1,I3877=0)),"?IN_FOCUS",IF(J3877&lt;=2,"?ACTIVATED",IF(J3877&lt;&gt;"","?FAMILIAR",IF(F3877="NEW",IF(ISNA(VLOOKUP(E3877,#REF!,1,FALSE())),"?TYPE_IDENTIFIABLE","?REFERENTIAL"),"_")))))</f>
        <v/>
      </c>
      <c r="H3877" s="27" t="str">
        <f aca="false">IF(J3877&lt;&gt;1,"",IF(I3877="SBJ","CB","?"))</f>
        <v/>
      </c>
      <c r="I3877" s="24" t="str">
        <f aca="false">IF(OR(E3877="",E3877="!!!",F3877="NEW"),"",INDEX(B5:B$3873,-1+SUMPRODUCT(MAX(ROW(E5:E$3873)*(E3877=E5:E$3873)))))</f>
        <v/>
      </c>
      <c r="J3877" s="24" t="str">
        <f aca="true">IF(OR(E3877="",E3877="!!!",F3877="NEW"),"",COUNTBLANK(OFFSET(A$1,,,SUMPRODUCT(MAX(ROW(E$2:E3877)*(E3877=E$2:E3877)))))-COUNTBLANK(OFFSET(A$1,,,SUMPRODUCT(MAX(ROW(E$1:E3876)*(E2=E$1:E3876))))))</f>
        <v/>
      </c>
      <c r="K3877" s="24" t="str">
        <f aca="false">IF(OR(E3877="",E3877="!!!",F3877="NEW"),"",INDEX(J$1:J3876,SUMPRODUCT(MAX(ROW(E$1:E3876)*(E3877=E$1:E3876)))))</f>
        <v/>
      </c>
      <c r="L3877" s="31"/>
    </row>
    <row r="3878" customFormat="false" ht="15" hidden="false" customHeight="false" outlineLevel="0" collapsed="false">
      <c r="A3878" s="20" t="s">
        <v>923</v>
      </c>
      <c r="E3878" s="23" t="str">
        <f aca="false">IF(D3878="?OLD","!!!","")</f>
        <v/>
      </c>
      <c r="F3878" s="25" t="str">
        <f aca="false">IF(OR(E3878="",E3878="!!!"),"",IF(NOT(ISNA(VLOOKUP(E3878,E$1:E3877,1,FALSE()))),"OLD",IF(AND(E3878&lt;&gt;"",E3878&lt;&gt;"!!!"),"NEW","")))</f>
        <v/>
      </c>
      <c r="G3878" s="26" t="str">
        <f aca="false">IF(OR(E3878="",E3878="!!!"),"",IF(OR(J3878=0,AND(J3878=1,K3878=1),AND(J3878=1,I3878="SBJ"),AND(J3878=1,I3878=0)),"?IN_FOCUS",IF(J3878&lt;=2,"?ACTIVATED",IF(J3878&lt;&gt;"","?FAMILIAR",IF(F3878="NEW",IF(ISNA(VLOOKUP(E3878,#REF!,1,FALSE())),"?TYPE_IDENTIFIABLE","?REFERENTIAL"),"_")))))</f>
        <v/>
      </c>
      <c r="H3878" s="27" t="str">
        <f aca="false">IF(J3878&lt;&gt;1,"",IF(I3878="SBJ","CB","?"))</f>
        <v/>
      </c>
      <c r="I3878" s="24" t="str">
        <f aca="false">IF(OR(E3878="",E3878="!!!",F3878="NEW"),"",INDEX(B6:B$3873,-1+SUMPRODUCT(MAX(ROW(E6:E$3873)*(E3878=E6:E$3873)))))</f>
        <v/>
      </c>
      <c r="J3878" s="24" t="str">
        <f aca="true">IF(OR(E3878="",E3878="!!!",F3878="NEW"),"",COUNTBLANK(OFFSET(A$1,,,SUMPRODUCT(MAX(ROW(E$2:E3878)*(E3878=E$2:E3878)))))-COUNTBLANK(OFFSET(A$1,,,SUMPRODUCT(MAX(ROW(E$1:E3877)*(E2=E$1:E3877))))))</f>
        <v/>
      </c>
      <c r="K3878" s="24" t="str">
        <f aca="false">IF(OR(E3878="",E3878="!!!",F3878="NEW"),"",INDEX(J$1:J3877,SUMPRODUCT(MAX(ROW(E$1:E3877)*(E3878=E$1:E3877)))))</f>
        <v/>
      </c>
      <c r="L3878" s="31"/>
    </row>
    <row r="3879" customFormat="false" ht="15" hidden="false" customHeight="false" outlineLevel="0" collapsed="false">
      <c r="A3879" s="20" t="s">
        <v>607</v>
      </c>
      <c r="E3879" s="23" t="str">
        <f aca="false">IF(D3879="?OLD","!!!","")</f>
        <v/>
      </c>
      <c r="F3879" s="25" t="str">
        <f aca="false">IF(OR(E3879="",E3879="!!!"),"",IF(NOT(ISNA(VLOOKUP(E3879,E$1:E3878,1,FALSE()))),"OLD",IF(AND(E3879&lt;&gt;"",E3879&lt;&gt;"!!!"),"NEW","")))</f>
        <v/>
      </c>
      <c r="G3879" s="26" t="str">
        <f aca="false">IF(OR(E3879="",E3879="!!!"),"",IF(OR(J3879=0,AND(J3879=1,K3879=1),AND(J3879=1,I3879="SBJ"),AND(J3879=1,I3879=0)),"?IN_FOCUS",IF(J3879&lt;=2,"?ACTIVATED",IF(J3879&lt;&gt;"","?FAMILIAR",IF(F3879="NEW",IF(ISNA(VLOOKUP(E3879,#REF!,1,FALSE())),"?TYPE_IDENTIFIABLE","?REFERENTIAL"),"_")))))</f>
        <v/>
      </c>
      <c r="H3879" s="27" t="str">
        <f aca="false">IF(J3879&lt;&gt;1,"",IF(I3879="SBJ","CB","?"))</f>
        <v/>
      </c>
      <c r="I3879" s="24" t="str">
        <f aca="false">IF(OR(E3879="",E3879="!!!",F3879="NEW"),"",INDEX(B7:B$3873,-1+SUMPRODUCT(MAX(ROW(E7:E$3873)*(E3879=E7:E$3873)))))</f>
        <v/>
      </c>
      <c r="J3879" s="24" t="str">
        <f aca="true">IF(OR(E3879="",E3879="!!!",F3879="NEW"),"",COUNTBLANK(OFFSET(A$1,,,SUMPRODUCT(MAX(ROW(E$2:E3879)*(E3879=E$2:E3879)))))-COUNTBLANK(OFFSET(A$1,,,SUMPRODUCT(MAX(ROW(E$1:E3878)*(E2=E$1:E3878))))))</f>
        <v/>
      </c>
      <c r="K3879" s="24" t="str">
        <f aca="false">IF(OR(E3879="",E3879="!!!",F3879="NEW"),"",INDEX(J$1:J3878,SUMPRODUCT(MAX(ROW(E$1:E3878)*(E3879=E$1:E3878)))))</f>
        <v/>
      </c>
      <c r="L3879" s="31"/>
    </row>
    <row r="3880" customFormat="false" ht="15" hidden="false" customHeight="false" outlineLevel="0" collapsed="false">
      <c r="A3880" s="20"/>
    </row>
    <row r="3881" customFormat="false" ht="15" hidden="false" customHeight="false" outlineLevel="0" collapsed="false">
      <c r="A3881" s="20" t="s">
        <v>2269</v>
      </c>
    </row>
    <row r="3882" customFormat="false" ht="15" hidden="false" customHeight="false" outlineLevel="0" collapsed="false">
      <c r="A3882" s="20" t="s">
        <v>2248</v>
      </c>
      <c r="B3882" s="22" t="s">
        <v>1058</v>
      </c>
      <c r="C3882" s="22" t="s">
        <v>1082</v>
      </c>
      <c r="D3882" s="22" t="s">
        <v>1060</v>
      </c>
      <c r="E3882" s="23" t="str">
        <f aca="false">IF(D3882="?OLD","!!!","")</f>
        <v>!!!</v>
      </c>
      <c r="F3882" s="25" t="str">
        <f aca="false">IF(OR(E3882="",E3882="!!!"),"",IF(NOT(ISNA(VLOOKUP(E3882,E$1:E3881,1,FALSE()))),"OLD",IF(AND(E3882&lt;&gt;"",E3882&lt;&gt;"!!!"),"NEW","")))</f>
        <v/>
      </c>
      <c r="G3882" s="26" t="str">
        <f aca="false">IF(OR(E3882="",E3882="!!!"),"",IF(OR(J3882=0,AND(J3882=1,K3882=1),AND(J3882=1,I3882="SBJ"),AND(J3882=1,I3882=0)),"?IN_FOCUS",IF(J3882&lt;=2,"?ACTIVATED",IF(J3882&lt;&gt;"","?FAMILIAR",IF(F3882="NEW",IF(ISNA(VLOOKUP(E3882,#REF!,1,FALSE())),"?TYPE_IDENTIFIABLE","?REFERENTIAL"),"_")))))</f>
        <v/>
      </c>
      <c r="H3882" s="27" t="str">
        <f aca="false">IF(J3882&lt;&gt;1,"",IF(I3882="SBJ","CB","?"))</f>
        <v/>
      </c>
      <c r="I3882" s="24" t="str">
        <f aca="false">IF(OR(E3882="",E3882="!!!",F3882="NEW"),"",INDEX(B2:B$3881,-1+SUMPRODUCT(MAX(ROW(E2:E$3881)*(E3882=E2:E$3881)))))</f>
        <v/>
      </c>
      <c r="J3882" s="24" t="str">
        <f aca="true">IF(OR(E3882="",E3882="!!!",F3882="NEW"),"",COUNTBLANK(OFFSET(A$1,,,SUMPRODUCT(MAX(ROW(E$2:E3882)*(E3882=E$2:E3882)))))-COUNTBLANK(OFFSET(A$1,,,SUMPRODUCT(MAX(ROW(E$1:E3881)*(E2=E$1:E3881))))))</f>
        <v/>
      </c>
      <c r="K3882" s="24" t="str">
        <f aca="false">IF(OR(E3882="",E3882="!!!",F3882="NEW"),"",INDEX(J$1:J3881,SUMPRODUCT(MAX(ROW(E$1:E3881)*(E3882=E$1:E3881)))))</f>
        <v/>
      </c>
      <c r="L3882" s="31"/>
    </row>
    <row r="3883" customFormat="false" ht="15" hidden="false" customHeight="false" outlineLevel="0" collapsed="false">
      <c r="A3883" s="20" t="s">
        <v>1840</v>
      </c>
      <c r="E3883" s="23" t="str">
        <f aca="false">IF(D3883="?OLD","!!!","")</f>
        <v/>
      </c>
      <c r="F3883" s="25" t="str">
        <f aca="false">IF(OR(E3883="",E3883="!!!"),"",IF(NOT(ISNA(VLOOKUP(E3883,E$1:E3882,1,FALSE()))),"OLD",IF(AND(E3883&lt;&gt;"",E3883&lt;&gt;"!!!"),"NEW","")))</f>
        <v/>
      </c>
      <c r="G3883" s="26" t="str">
        <f aca="false">IF(OR(E3883="",E3883="!!!"),"",IF(OR(J3883=0,AND(J3883=1,K3883=1),AND(J3883=1,I3883="SBJ"),AND(J3883=1,I3883=0)),"?IN_FOCUS",IF(J3883&lt;=2,"?ACTIVATED",IF(J3883&lt;&gt;"","?FAMILIAR",IF(F3883="NEW",IF(ISNA(VLOOKUP(E3883,#REF!,1,FALSE())),"?TYPE_IDENTIFIABLE","?REFERENTIAL"),"_")))))</f>
        <v/>
      </c>
      <c r="H3883" s="27" t="str">
        <f aca="false">IF(J3883&lt;&gt;1,"",IF(I3883="SBJ","CB","?"))</f>
        <v/>
      </c>
      <c r="I3883" s="24" t="str">
        <f aca="false">IF(OR(E3883="",E3883="!!!",F3883="NEW"),"",INDEX(B3:B$3881,-1+SUMPRODUCT(MAX(ROW(E3:E$3881)*(E3883=E3:E$3881)))))</f>
        <v/>
      </c>
      <c r="J3883" s="24" t="str">
        <f aca="true">IF(OR(E3883="",E3883="!!!",F3883="NEW"),"",COUNTBLANK(OFFSET(A$1,,,SUMPRODUCT(MAX(ROW(E$2:E3883)*(E3883=E$2:E3883)))))-COUNTBLANK(OFFSET(A$1,,,SUMPRODUCT(MAX(ROW(E$1:E3882)*(E2=E$1:E3882))))))</f>
        <v/>
      </c>
      <c r="K3883" s="24" t="str">
        <f aca="false">IF(OR(E3883="",E3883="!!!",F3883="NEW"),"",INDEX(J$1:J3882,SUMPRODUCT(MAX(ROW(E$1:E3882)*(E3883=E$1:E3882)))))</f>
        <v/>
      </c>
      <c r="L3883" s="31"/>
    </row>
    <row r="3884" customFormat="false" ht="15" hidden="false" customHeight="false" outlineLevel="0" collapsed="false">
      <c r="A3884" s="20" t="s">
        <v>1085</v>
      </c>
      <c r="E3884" s="23" t="str">
        <f aca="false">IF(D3884="?OLD","!!!","")</f>
        <v/>
      </c>
      <c r="F3884" s="25" t="str">
        <f aca="false">IF(OR(E3884="",E3884="!!!"),"",IF(NOT(ISNA(VLOOKUP(E3884,E$1:E3883,1,FALSE()))),"OLD",IF(AND(E3884&lt;&gt;"",E3884&lt;&gt;"!!!"),"NEW","")))</f>
        <v/>
      </c>
      <c r="G3884" s="26" t="str">
        <f aca="false">IF(OR(E3884="",E3884="!!!"),"",IF(OR(J3884=0,AND(J3884=1,K3884=1),AND(J3884=1,I3884="SBJ"),AND(J3884=1,I3884=0)),"?IN_FOCUS",IF(J3884&lt;=2,"?ACTIVATED",IF(J3884&lt;&gt;"","?FAMILIAR",IF(F3884="NEW",IF(ISNA(VLOOKUP(E3884,#REF!,1,FALSE())),"?TYPE_IDENTIFIABLE","?REFERENTIAL"),"_")))))</f>
        <v/>
      </c>
      <c r="H3884" s="27" t="str">
        <f aca="false">IF(J3884&lt;&gt;1,"",IF(I3884="SBJ","CB","?"))</f>
        <v/>
      </c>
      <c r="I3884" s="24" t="str">
        <f aca="false">IF(OR(E3884="",E3884="!!!",F3884="NEW"),"",INDEX(B4:B$3881,-1+SUMPRODUCT(MAX(ROW(E4:E$3881)*(E3884=E4:E$3881)))))</f>
        <v/>
      </c>
      <c r="J3884" s="24" t="str">
        <f aca="true">IF(OR(E3884="",E3884="!!!",F3884="NEW"),"",COUNTBLANK(OFFSET(A$1,,,SUMPRODUCT(MAX(ROW(E$2:E3884)*(E3884=E$2:E3884)))))-COUNTBLANK(OFFSET(A$1,,,SUMPRODUCT(MAX(ROW(E$1:E3883)*(E2=E$1:E3883))))))</f>
        <v/>
      </c>
      <c r="K3884" s="24" t="str">
        <f aca="false">IF(OR(E3884="",E3884="!!!",F3884="NEW"),"",INDEX(J$1:J3883,SUMPRODUCT(MAX(ROW(E$1:E3883)*(E3884=E$1:E3883)))))</f>
        <v/>
      </c>
      <c r="L3884" s="31"/>
    </row>
    <row r="3885" customFormat="false" ht="15" hidden="false" customHeight="false" outlineLevel="0" collapsed="false">
      <c r="A3885" s="20" t="s">
        <v>78</v>
      </c>
      <c r="E3885" s="23" t="str">
        <f aca="false">IF(D3885="?OLD","!!!","")</f>
        <v/>
      </c>
      <c r="F3885" s="25" t="str">
        <f aca="false">IF(OR(E3885="",E3885="!!!"),"",IF(NOT(ISNA(VLOOKUP(E3885,E$1:E3884,1,FALSE()))),"OLD",IF(AND(E3885&lt;&gt;"",E3885&lt;&gt;"!!!"),"NEW","")))</f>
        <v/>
      </c>
      <c r="G3885" s="26" t="str">
        <f aca="false">IF(OR(E3885="",E3885="!!!"),"",IF(OR(J3885=0,AND(J3885=1,K3885=1),AND(J3885=1,I3885="SBJ"),AND(J3885=1,I3885=0)),"?IN_FOCUS",IF(J3885&lt;=2,"?ACTIVATED",IF(J3885&lt;&gt;"","?FAMILIAR",IF(F3885="NEW",IF(ISNA(VLOOKUP(E3885,#REF!,1,FALSE())),"?TYPE_IDENTIFIABLE","?REFERENTIAL"),"_")))))</f>
        <v/>
      </c>
      <c r="H3885" s="27" t="str">
        <f aca="false">IF(J3885&lt;&gt;1,"",IF(I3885="SBJ","CB","?"))</f>
        <v/>
      </c>
      <c r="I3885" s="24" t="str">
        <f aca="false">IF(OR(E3885="",E3885="!!!",F3885="NEW"),"",INDEX(B5:B$3881,-1+SUMPRODUCT(MAX(ROW(E5:E$3881)*(E3885=E5:E$3881)))))</f>
        <v/>
      </c>
      <c r="J3885" s="24" t="str">
        <f aca="true">IF(OR(E3885="",E3885="!!!",F3885="NEW"),"",COUNTBLANK(OFFSET(A$1,,,SUMPRODUCT(MAX(ROW(E$2:E3885)*(E3885=E$2:E3885)))))-COUNTBLANK(OFFSET(A$1,,,SUMPRODUCT(MAX(ROW(E$1:E3884)*(E2=E$1:E3884))))))</f>
        <v/>
      </c>
      <c r="K3885" s="24" t="str">
        <f aca="false">IF(OR(E3885="",E3885="!!!",F3885="NEW"),"",INDEX(J$1:J3884,SUMPRODUCT(MAX(ROW(E$1:E3884)*(E3885=E$1:E3884)))))</f>
        <v/>
      </c>
      <c r="L3885" s="31"/>
    </row>
    <row r="3886" customFormat="false" ht="15" hidden="false" customHeight="false" outlineLevel="0" collapsed="false">
      <c r="A3886" s="20" t="s">
        <v>2270</v>
      </c>
      <c r="B3886" s="22" t="s">
        <v>1081</v>
      </c>
      <c r="C3886" s="22" t="s">
        <v>1087</v>
      </c>
      <c r="E3886" s="23" t="str">
        <f aca="false">IF(D3886="?OLD","!!!","")</f>
        <v/>
      </c>
      <c r="F3886" s="25" t="str">
        <f aca="false">IF(OR(E3886="",E3886="!!!"),"",IF(NOT(ISNA(VLOOKUP(E3886,E$1:E3885,1,FALSE()))),"OLD",IF(AND(E3886&lt;&gt;"",E3886&lt;&gt;"!!!"),"NEW","")))</f>
        <v/>
      </c>
      <c r="G3886" s="26" t="str">
        <f aca="false">IF(OR(E3886="",E3886="!!!"),"",IF(OR(J3886=0,AND(J3886=1,K3886=1),AND(J3886=1,I3886="SBJ"),AND(J3886=1,I3886=0)),"?IN_FOCUS",IF(J3886&lt;=2,"?ACTIVATED",IF(J3886&lt;&gt;"","?FAMILIAR",IF(F3886="NEW",IF(ISNA(VLOOKUP(E3886,#REF!,1,FALSE())),"?TYPE_IDENTIFIABLE","?REFERENTIAL"),"_")))))</f>
        <v/>
      </c>
      <c r="H3886" s="27" t="str">
        <f aca="false">IF(J3886&lt;&gt;1,"",IF(I3886="SBJ","CB","?"))</f>
        <v/>
      </c>
      <c r="I3886" s="24" t="str">
        <f aca="false">IF(OR(E3886="",E3886="!!!",F3886="NEW"),"",INDEX(B6:B$3881,-1+SUMPRODUCT(MAX(ROW(E6:E$3881)*(E3886=E6:E$3881)))))</f>
        <v/>
      </c>
      <c r="J3886" s="24" t="str">
        <f aca="true">IF(OR(E3886="",E3886="!!!",F3886="NEW"),"",COUNTBLANK(OFFSET(A$1,,,SUMPRODUCT(MAX(ROW(E$2:E3886)*(E3886=E$2:E3886)))))-COUNTBLANK(OFFSET(A$1,,,SUMPRODUCT(MAX(ROW(E$1:E3885)*(E2=E$1:E3885))))))</f>
        <v/>
      </c>
      <c r="K3886" s="24" t="str">
        <f aca="false">IF(OR(E3886="",E3886="!!!",F3886="NEW"),"",INDEX(J$1:J3885,SUMPRODUCT(MAX(ROW(E$1:E3885)*(E3886=E$1:E3885)))))</f>
        <v/>
      </c>
      <c r="L3886" s="31"/>
    </row>
    <row r="3887" customFormat="false" ht="15" hidden="false" customHeight="false" outlineLevel="0" collapsed="false">
      <c r="A3887" s="20" t="s">
        <v>1064</v>
      </c>
      <c r="E3887" s="23" t="str">
        <f aca="false">IF(D3887="?OLD","!!!","")</f>
        <v/>
      </c>
      <c r="F3887" s="25" t="str">
        <f aca="false">IF(OR(E3887="",E3887="!!!"),"",IF(NOT(ISNA(VLOOKUP(E3887,E$1:E3886,1,FALSE()))),"OLD",IF(AND(E3887&lt;&gt;"",E3887&lt;&gt;"!!!"),"NEW","")))</f>
        <v/>
      </c>
      <c r="G3887" s="26" t="str">
        <f aca="false">IF(OR(E3887="",E3887="!!!"),"",IF(OR(J3887=0,AND(J3887=1,K3887=1),AND(J3887=1,I3887="SBJ"),AND(J3887=1,I3887=0)),"?IN_FOCUS",IF(J3887&lt;=2,"?ACTIVATED",IF(J3887&lt;&gt;"","?FAMILIAR",IF(F3887="NEW",IF(ISNA(VLOOKUP(E3887,#REF!,1,FALSE())),"?TYPE_IDENTIFIABLE","?REFERENTIAL"),"_")))))</f>
        <v/>
      </c>
      <c r="H3887" s="27" t="str">
        <f aca="false">IF(J3887&lt;&gt;1,"",IF(I3887="SBJ","CB","?"))</f>
        <v/>
      </c>
      <c r="I3887" s="24" t="str">
        <f aca="false">IF(OR(E3887="",E3887="!!!",F3887="NEW"),"",INDEX(B7:B$3881,-1+SUMPRODUCT(MAX(ROW(E7:E$3881)*(E3887=E7:E$3881)))))</f>
        <v/>
      </c>
      <c r="J3887" s="24" t="str">
        <f aca="true">IF(OR(E3887="",E3887="!!!",F3887="NEW"),"",COUNTBLANK(OFFSET(A$1,,,SUMPRODUCT(MAX(ROW(E$2:E3887)*(E3887=E$2:E3887)))))-COUNTBLANK(OFFSET(A$1,,,SUMPRODUCT(MAX(ROW(E$1:E3886)*(E2=E$1:E3886))))))</f>
        <v/>
      </c>
      <c r="K3887" s="24" t="str">
        <f aca="false">IF(OR(E3887="",E3887="!!!",F3887="NEW"),"",INDEX(J$1:J3886,SUMPRODUCT(MAX(ROW(E$1:E3886)*(E3887=E$1:E3886)))))</f>
        <v/>
      </c>
      <c r="L3887" s="31"/>
    </row>
    <row r="3888" customFormat="false" ht="15" hidden="false" customHeight="false" outlineLevel="0" collapsed="false">
      <c r="A3888" s="20" t="s">
        <v>2271</v>
      </c>
      <c r="B3888" s="22" t="s">
        <v>1073</v>
      </c>
      <c r="C3888" s="22" t="s">
        <v>1160</v>
      </c>
      <c r="E3888" s="23" t="str">
        <f aca="false">IF(D3888="?OLD","!!!","")</f>
        <v/>
      </c>
      <c r="F3888" s="25" t="str">
        <f aca="false">IF(OR(E3888="",E3888="!!!"),"",IF(NOT(ISNA(VLOOKUP(E3888,E$1:E3887,1,FALSE()))),"OLD",IF(AND(E3888&lt;&gt;"",E3888&lt;&gt;"!!!"),"NEW","")))</f>
        <v/>
      </c>
      <c r="G3888" s="26" t="str">
        <f aca="false">IF(OR(E3888="",E3888="!!!"),"",IF(OR(J3888=0,AND(J3888=1,K3888=1),AND(J3888=1,I3888="SBJ"),AND(J3888=1,I3888=0)),"?IN_FOCUS",IF(J3888&lt;=2,"?ACTIVATED",IF(J3888&lt;&gt;"","?FAMILIAR",IF(F3888="NEW",IF(ISNA(VLOOKUP(E3888,#REF!,1,FALSE())),"?TYPE_IDENTIFIABLE","?REFERENTIAL"),"_")))))</f>
        <v/>
      </c>
      <c r="H3888" s="27" t="str">
        <f aca="false">IF(J3888&lt;&gt;1,"",IF(I3888="SBJ","CB","?"))</f>
        <v/>
      </c>
      <c r="I3888" s="24" t="str">
        <f aca="false">IF(OR(E3888="",E3888="!!!",F3888="NEW"),"",INDEX(B8:B$3881,-1+SUMPRODUCT(MAX(ROW(E8:E$3881)*(E3888=E8:E$3881)))))</f>
        <v/>
      </c>
      <c r="J3888" s="24" t="str">
        <f aca="true">IF(OR(E3888="",E3888="!!!",F3888="NEW"),"",COUNTBLANK(OFFSET(A$1,,,SUMPRODUCT(MAX(ROW(E$2:E3888)*(E3888=E$2:E3888)))))-COUNTBLANK(OFFSET(A$1,,,SUMPRODUCT(MAX(ROW(E$1:E3887)*(E2=E$1:E3887))))))</f>
        <v/>
      </c>
      <c r="K3888" s="24" t="str">
        <f aca="false">IF(OR(E3888="",E3888="!!!",F3888="NEW"),"",INDEX(J$1:J3887,SUMPRODUCT(MAX(ROW(E$1:E3887)*(E3888=E$1:E3887)))))</f>
        <v/>
      </c>
      <c r="L3888" s="31"/>
    </row>
    <row r="3889" customFormat="false" ht="15" hidden="false" customHeight="false" outlineLevel="0" collapsed="false">
      <c r="A3889" s="20" t="s">
        <v>923</v>
      </c>
      <c r="E3889" s="23" t="str">
        <f aca="false">IF(D3889="?OLD","!!!","")</f>
        <v/>
      </c>
      <c r="F3889" s="25" t="str">
        <f aca="false">IF(OR(E3889="",E3889="!!!"),"",IF(NOT(ISNA(VLOOKUP(E3889,E$1:E3888,1,FALSE()))),"OLD",IF(AND(E3889&lt;&gt;"",E3889&lt;&gt;"!!!"),"NEW","")))</f>
        <v/>
      </c>
      <c r="G3889" s="26" t="str">
        <f aca="false">IF(OR(E3889="",E3889="!!!"),"",IF(OR(J3889=0,AND(J3889=1,K3889=1),AND(J3889=1,I3889="SBJ"),AND(J3889=1,I3889=0)),"?IN_FOCUS",IF(J3889&lt;=2,"?ACTIVATED",IF(J3889&lt;&gt;"","?FAMILIAR",IF(F3889="NEW",IF(ISNA(VLOOKUP(E3889,#REF!,1,FALSE())),"?TYPE_IDENTIFIABLE","?REFERENTIAL"),"_")))))</f>
        <v/>
      </c>
      <c r="H3889" s="27" t="str">
        <f aca="false">IF(J3889&lt;&gt;1,"",IF(I3889="SBJ","CB","?"))</f>
        <v/>
      </c>
      <c r="I3889" s="24" t="str">
        <f aca="false">IF(OR(E3889="",E3889="!!!",F3889="NEW"),"",INDEX(B9:B$3881,-1+SUMPRODUCT(MAX(ROW(E9:E$3881)*(E3889=E9:E$3881)))))</f>
        <v/>
      </c>
      <c r="J3889" s="24" t="str">
        <f aca="true">IF(OR(E3889="",E3889="!!!",F3889="NEW"),"",COUNTBLANK(OFFSET(A$1,,,SUMPRODUCT(MAX(ROW(E$2:E3889)*(E3889=E$2:E3889)))))-COUNTBLANK(OFFSET(A$1,,,SUMPRODUCT(MAX(ROW(E$1:E3888)*(E2=E$1:E3888))))))</f>
        <v/>
      </c>
      <c r="K3889" s="24" t="str">
        <f aca="false">IF(OR(E3889="",E3889="!!!",F3889="NEW"),"",INDEX(J$1:J3888,SUMPRODUCT(MAX(ROW(E$1:E3888)*(E3889=E$1:E3888)))))</f>
        <v/>
      </c>
      <c r="L3889" s="31"/>
    </row>
    <row r="3890" customFormat="false" ht="15" hidden="false" customHeight="false" outlineLevel="0" collapsed="false">
      <c r="A3890" s="20"/>
    </row>
    <row r="3891" customFormat="false" ht="15" hidden="false" customHeight="false" outlineLevel="0" collapsed="false">
      <c r="A3891" s="20" t="s">
        <v>1301</v>
      </c>
      <c r="E3891" s="23" t="str">
        <f aca="false">IF(D3891="?OLD","!!!","")</f>
        <v/>
      </c>
      <c r="F3891" s="25" t="str">
        <f aca="false">IF(OR(E3891="",E3891="!!!"),"",IF(NOT(ISNA(VLOOKUP(E3891,E$1:E3890,1,FALSE()))),"OLD",IF(AND(E3891&lt;&gt;"",E3891&lt;&gt;"!!!"),"NEW","")))</f>
        <v/>
      </c>
      <c r="G3891" s="26" t="str">
        <f aca="false">IF(OR(E3891="",E3891="!!!"),"",IF(OR(J3891=0,AND(J3891=1,K3891=1),AND(J3891=1,I3891="SBJ"),AND(J3891=1,I3891=0)),"?IN_FOCUS",IF(J3891&lt;=2,"?ACTIVATED",IF(J3891&lt;&gt;"","?FAMILIAR",IF(F3891="NEW",IF(ISNA(VLOOKUP(E3891,#REF!,1,FALSE())),"?TYPE_IDENTIFIABLE","?REFERENTIAL"),"_")))))</f>
        <v/>
      </c>
      <c r="H3891" s="27" t="str">
        <f aca="false">IF(J3891&lt;&gt;1,"",IF(I3891="SBJ","CB","?"))</f>
        <v/>
      </c>
      <c r="I3891" s="24" t="str">
        <f aca="false">IF(OR(E3891="",E3891="!!!",F3891="NEW"),"",INDEX(B2:B$3890,-1+SUMPRODUCT(MAX(ROW(E2:E$3890)*(E3891=E2:E$3890)))))</f>
        <v/>
      </c>
      <c r="J3891" s="24" t="str">
        <f aca="true">IF(OR(E3891="",E3891="!!!",F3891="NEW"),"",COUNTBLANK(OFFSET(A$1,,,SUMPRODUCT(MAX(ROW(E$2:E3891)*(E3891=E$2:E3891)))))-COUNTBLANK(OFFSET(A$1,,,SUMPRODUCT(MAX(ROW(E$1:E3890)*(E2=E$1:E3890))))))</f>
        <v/>
      </c>
      <c r="K3891" s="24" t="str">
        <f aca="false">IF(OR(E3891="",E3891="!!!",F3891="NEW"),"",INDEX(J$1:J3890,SUMPRODUCT(MAX(ROW(E$1:E3890)*(E3891=E$1:E3890)))))</f>
        <v/>
      </c>
      <c r="L3891" s="31"/>
    </row>
    <row r="3892" customFormat="false" ht="15" hidden="false" customHeight="false" outlineLevel="0" collapsed="false">
      <c r="A3892" s="20" t="s">
        <v>2272</v>
      </c>
    </row>
    <row r="3893" customFormat="false" ht="15" hidden="false" customHeight="false" outlineLevel="0" collapsed="false">
      <c r="A3893" s="20" t="s">
        <v>607</v>
      </c>
      <c r="E3893" s="23" t="str">
        <f aca="false">IF(D3893="?OLD","!!!","")</f>
        <v/>
      </c>
      <c r="F3893" s="25" t="str">
        <f aca="false">IF(OR(E3893="",E3893="!!!"),"",IF(NOT(ISNA(VLOOKUP(E3893,E$1:E3892,1,FALSE()))),"OLD",IF(AND(E3893&lt;&gt;"",E3893&lt;&gt;"!!!"),"NEW","")))</f>
        <v/>
      </c>
      <c r="G3893" s="26" t="str">
        <f aca="false">IF(OR(E3893="",E3893="!!!"),"",IF(OR(J3893=0,AND(J3893=1,K3893=1),AND(J3893=1,I3893="SBJ"),AND(J3893=1,I3893=0)),"?IN_FOCUS",IF(J3893&lt;=2,"?ACTIVATED",IF(J3893&lt;&gt;"","?FAMILIAR",IF(F3893="NEW",IF(ISNA(VLOOKUP(E3893,#REF!,1,FALSE())),"?TYPE_IDENTIFIABLE","?REFERENTIAL"),"_")))))</f>
        <v/>
      </c>
      <c r="H3893" s="27" t="str">
        <f aca="false">IF(J3893&lt;&gt;1,"",IF(I3893="SBJ","CB","?"))</f>
        <v/>
      </c>
      <c r="I3893" s="24" t="str">
        <f aca="false">IF(OR(E3893="",E3893="!!!",F3893="NEW"),"",INDEX(B2:B$3892,-1+SUMPRODUCT(MAX(ROW(E2:E$3892)*(E3893=E2:E$3892)))))</f>
        <v/>
      </c>
      <c r="J3893" s="24" t="str">
        <f aca="true">IF(OR(E3893="",E3893="!!!",F3893="NEW"),"",COUNTBLANK(OFFSET(A$1,,,SUMPRODUCT(MAX(ROW(E$2:E3893)*(E3893=E$2:E3893)))))-COUNTBLANK(OFFSET(A$1,,,SUMPRODUCT(MAX(ROW(E$1:E3892)*(E2=E$1:E3892))))))</f>
        <v/>
      </c>
      <c r="K3893" s="24" t="str">
        <f aca="false">IF(OR(E3893="",E3893="!!!",F3893="NEW"),"",INDEX(J$1:J3892,SUMPRODUCT(MAX(ROW(E$1:E3892)*(E3893=E$1:E3892)))))</f>
        <v/>
      </c>
      <c r="L3893" s="31"/>
    </row>
    <row r="3894" customFormat="false" ht="15" hidden="false" customHeight="false" outlineLevel="0" collapsed="false">
      <c r="A3894" s="20" t="s">
        <v>1768</v>
      </c>
      <c r="E3894" s="23" t="str">
        <f aca="false">IF(D3894="?OLD","!!!","")</f>
        <v/>
      </c>
      <c r="F3894" s="25" t="str">
        <f aca="false">IF(OR(E3894="",E3894="!!!"),"",IF(NOT(ISNA(VLOOKUP(E3894,E$1:E3893,1,FALSE()))),"OLD",IF(AND(E3894&lt;&gt;"",E3894&lt;&gt;"!!!"),"NEW","")))</f>
        <v/>
      </c>
      <c r="G3894" s="26" t="str">
        <f aca="false">IF(OR(E3894="",E3894="!!!"),"",IF(OR(J3894=0,AND(J3894=1,K3894=1),AND(J3894=1,I3894="SBJ"),AND(J3894=1,I3894=0)),"?IN_FOCUS",IF(J3894&lt;=2,"?ACTIVATED",IF(J3894&lt;&gt;"","?FAMILIAR",IF(F3894="NEW",IF(ISNA(VLOOKUP(E3894,#REF!,1,FALSE())),"?TYPE_IDENTIFIABLE","?REFERENTIAL"),"_")))))</f>
        <v/>
      </c>
      <c r="H3894" s="27" t="str">
        <f aca="false">IF(J3894&lt;&gt;1,"",IF(I3894="SBJ","CB","?"))</f>
        <v/>
      </c>
      <c r="I3894" s="24" t="str">
        <f aca="false">IF(OR(E3894="",E3894="!!!",F3894="NEW"),"",INDEX(B3:B$3892,-1+SUMPRODUCT(MAX(ROW(E3:E$3892)*(E3894=E3:E$3892)))))</f>
        <v/>
      </c>
      <c r="J3894" s="24" t="str">
        <f aca="true">IF(OR(E3894="",E3894="!!!",F3894="NEW"),"",COUNTBLANK(OFFSET(A$1,,,SUMPRODUCT(MAX(ROW(E$2:E3894)*(E3894=E$2:E3894)))))-COUNTBLANK(OFFSET(A$1,,,SUMPRODUCT(MAX(ROW(E$1:E3893)*(E2=E$1:E3893))))))</f>
        <v/>
      </c>
      <c r="K3894" s="24" t="str">
        <f aca="false">IF(OR(E3894="",E3894="!!!",F3894="NEW"),"",INDEX(J$1:J3893,SUMPRODUCT(MAX(ROW(E$1:E3893)*(E3894=E$1:E3893)))))</f>
        <v/>
      </c>
      <c r="L3894" s="31"/>
    </row>
    <row r="3895" customFormat="false" ht="15" hidden="false" customHeight="false" outlineLevel="0" collapsed="false">
      <c r="A3895" s="20" t="s">
        <v>1769</v>
      </c>
      <c r="B3895" s="22" t="s">
        <v>1081</v>
      </c>
      <c r="C3895" s="22" t="s">
        <v>1068</v>
      </c>
      <c r="D3895" s="22" t="s">
        <v>1060</v>
      </c>
      <c r="E3895" s="23" t="str">
        <f aca="false">IF(D3895="?OLD","!!!","")</f>
        <v>!!!</v>
      </c>
      <c r="F3895" s="25" t="str">
        <f aca="false">IF(OR(E3895="",E3895="!!!"),"",IF(NOT(ISNA(VLOOKUP(E3895,E$1:E3894,1,FALSE()))),"OLD",IF(AND(E3895&lt;&gt;"",E3895&lt;&gt;"!!!"),"NEW","")))</f>
        <v/>
      </c>
      <c r="G3895" s="26" t="str">
        <f aca="false">IF(OR(E3895="",E3895="!!!"),"",IF(OR(J3895=0,AND(J3895=1,K3895=1),AND(J3895=1,I3895="SBJ"),AND(J3895=1,I3895=0)),"?IN_FOCUS",IF(J3895&lt;=2,"?ACTIVATED",IF(J3895&lt;&gt;"","?FAMILIAR",IF(F3895="NEW",IF(ISNA(VLOOKUP(E3895,#REF!,1,FALSE())),"?TYPE_IDENTIFIABLE","?REFERENTIAL"),"_")))))</f>
        <v/>
      </c>
      <c r="H3895" s="27" t="str">
        <f aca="false">IF(J3895&lt;&gt;1,"",IF(I3895="SBJ","CB","?"))</f>
        <v/>
      </c>
      <c r="I3895" s="24" t="str">
        <f aca="false">IF(OR(E3895="",E3895="!!!",F3895="NEW"),"",INDEX(B4:B$3892,-1+SUMPRODUCT(MAX(ROW(E4:E$3892)*(E3895=E4:E$3892)))))</f>
        <v/>
      </c>
      <c r="J3895" s="24" t="str">
        <f aca="true">IF(OR(E3895="",E3895="!!!",F3895="NEW"),"",COUNTBLANK(OFFSET(A$1,,,SUMPRODUCT(MAX(ROW(E$2:E3895)*(E3895=E$2:E3895)))))-COUNTBLANK(OFFSET(A$1,,,SUMPRODUCT(MAX(ROW(E$1:E3894)*(E2=E$1:E3894))))))</f>
        <v/>
      </c>
      <c r="K3895" s="24" t="str">
        <f aca="false">IF(OR(E3895="",E3895="!!!",F3895="NEW"),"",INDEX(J$1:J3894,SUMPRODUCT(MAX(ROW(E$1:E3894)*(E3895=E$1:E3894)))))</f>
        <v/>
      </c>
      <c r="L3895" s="31"/>
    </row>
    <row r="3896" customFormat="false" ht="15" hidden="false" customHeight="false" outlineLevel="0" collapsed="false">
      <c r="A3896" s="20" t="s">
        <v>1328</v>
      </c>
      <c r="E3896" s="23" t="str">
        <f aca="false">IF(D3896="?OLD","!!!","")</f>
        <v/>
      </c>
      <c r="F3896" s="25" t="str">
        <f aca="false">IF(OR(E3896="",E3896="!!!"),"",IF(NOT(ISNA(VLOOKUP(E3896,E$1:E3895,1,FALSE()))),"OLD",IF(AND(E3896&lt;&gt;"",E3896&lt;&gt;"!!!"),"NEW","")))</f>
        <v/>
      </c>
      <c r="G3896" s="26" t="str">
        <f aca="false">IF(OR(E3896="",E3896="!!!"),"",IF(OR(J3896=0,AND(J3896=1,K3896=1),AND(J3896=1,I3896="SBJ"),AND(J3896=1,I3896=0)),"?IN_FOCUS",IF(J3896&lt;=2,"?ACTIVATED",IF(J3896&lt;&gt;"","?FAMILIAR",IF(F3896="NEW",IF(ISNA(VLOOKUP(E3896,#REF!,1,FALSE())),"?TYPE_IDENTIFIABLE","?REFERENTIAL"),"_")))))</f>
        <v/>
      </c>
      <c r="H3896" s="27" t="str">
        <f aca="false">IF(J3896&lt;&gt;1,"",IF(I3896="SBJ","CB","?"))</f>
        <v/>
      </c>
      <c r="I3896" s="24" t="str">
        <f aca="false">IF(OR(E3896="",E3896="!!!",F3896="NEW"),"",INDEX(B5:B$3892,-1+SUMPRODUCT(MAX(ROW(E5:E$3892)*(E3896=E5:E$3892)))))</f>
        <v/>
      </c>
      <c r="J3896" s="24" t="str">
        <f aca="true">IF(OR(E3896="",E3896="!!!",F3896="NEW"),"",COUNTBLANK(OFFSET(A$1,,,SUMPRODUCT(MAX(ROW(E$2:E3896)*(E3896=E$2:E3896)))))-COUNTBLANK(OFFSET(A$1,,,SUMPRODUCT(MAX(ROW(E$1:E3895)*(E2=E$1:E3895))))))</f>
        <v/>
      </c>
      <c r="K3896" s="24" t="str">
        <f aca="false">IF(OR(E3896="",E3896="!!!",F3896="NEW"),"",INDEX(J$1:J3895,SUMPRODUCT(MAX(ROW(E$1:E3895)*(E3896=E$1:E3895)))))</f>
        <v/>
      </c>
      <c r="L3896" s="31"/>
    </row>
    <row r="3897" customFormat="false" ht="15" hidden="false" customHeight="false" outlineLevel="0" collapsed="false">
      <c r="A3897" s="20"/>
    </row>
    <row r="3898" customFormat="false" ht="15" hidden="false" customHeight="false" outlineLevel="0" collapsed="false">
      <c r="A3898" s="20" t="s">
        <v>2273</v>
      </c>
    </row>
    <row r="3899" customFormat="false" ht="15" hidden="false" customHeight="false" outlineLevel="0" collapsed="false">
      <c r="A3899" s="20" t="s">
        <v>1768</v>
      </c>
      <c r="E3899" s="23" t="str">
        <f aca="false">IF(D3899="?OLD","!!!","")</f>
        <v/>
      </c>
      <c r="F3899" s="25" t="str">
        <f aca="false">IF(OR(E3899="",E3899="!!!"),"",IF(NOT(ISNA(VLOOKUP(E3899,E$1:E3898,1,FALSE()))),"OLD",IF(AND(E3899&lt;&gt;"",E3899&lt;&gt;"!!!"),"NEW","")))</f>
        <v/>
      </c>
      <c r="G3899" s="26" t="str">
        <f aca="false">IF(OR(E3899="",E3899="!!!"),"",IF(OR(J3899=0,AND(J3899=1,K3899=1),AND(J3899=1,I3899="SBJ"),AND(J3899=1,I3899=0)),"?IN_FOCUS",IF(J3899&lt;=2,"?ACTIVATED",IF(J3899&lt;&gt;"","?FAMILIAR",IF(F3899="NEW",IF(ISNA(VLOOKUP(E3899,#REF!,1,FALSE())),"?TYPE_IDENTIFIABLE","?REFERENTIAL"),"_")))))</f>
        <v/>
      </c>
      <c r="H3899" s="27" t="str">
        <f aca="false">IF(J3899&lt;&gt;1,"",IF(I3899="SBJ","CB","?"))</f>
        <v/>
      </c>
      <c r="I3899" s="24" t="str">
        <f aca="false">IF(OR(E3899="",E3899="!!!",F3899="NEW"),"",INDEX(B2:B$3898,-1+SUMPRODUCT(MAX(ROW(E2:E$3898)*(E3899=E2:E$3898)))))</f>
        <v/>
      </c>
      <c r="J3899" s="24" t="str">
        <f aca="true">IF(OR(E3899="",E3899="!!!",F3899="NEW"),"",COUNTBLANK(OFFSET(A$1,,,SUMPRODUCT(MAX(ROW(E$2:E3899)*(E3899=E$2:E3899)))))-COUNTBLANK(OFFSET(A$1,,,SUMPRODUCT(MAX(ROW(E$1:E3898)*(E2=E$1:E3898))))))</f>
        <v/>
      </c>
      <c r="K3899" s="24" t="str">
        <f aca="false">IF(OR(E3899="",E3899="!!!",F3899="NEW"),"",INDEX(J$1:J3898,SUMPRODUCT(MAX(ROW(E$1:E3898)*(E3899=E$1:E3898)))))</f>
        <v/>
      </c>
      <c r="L3899" s="31"/>
    </row>
    <row r="3900" customFormat="false" ht="15" hidden="false" customHeight="false" outlineLevel="0" collapsed="false">
      <c r="A3900" s="20" t="s">
        <v>1769</v>
      </c>
      <c r="B3900" s="22" t="s">
        <v>1081</v>
      </c>
      <c r="C3900" s="22" t="s">
        <v>1068</v>
      </c>
      <c r="D3900" s="22" t="s">
        <v>1060</v>
      </c>
      <c r="E3900" s="23" t="str">
        <f aca="false">IF(D3900="?OLD","!!!","")</f>
        <v>!!!</v>
      </c>
      <c r="F3900" s="25" t="str">
        <f aca="false">IF(OR(E3900="",E3900="!!!"),"",IF(NOT(ISNA(VLOOKUP(E3900,E$1:E3899,1,FALSE()))),"OLD",IF(AND(E3900&lt;&gt;"",E3900&lt;&gt;"!!!"),"NEW","")))</f>
        <v/>
      </c>
      <c r="G3900" s="26" t="str">
        <f aca="false">IF(OR(E3900="",E3900="!!!"),"",IF(OR(J3900=0,AND(J3900=1,K3900=1),AND(J3900=1,I3900="SBJ"),AND(J3900=1,I3900=0)),"?IN_FOCUS",IF(J3900&lt;=2,"?ACTIVATED",IF(J3900&lt;&gt;"","?FAMILIAR",IF(F3900="NEW",IF(ISNA(VLOOKUP(E3900,#REF!,1,FALSE())),"?TYPE_IDENTIFIABLE","?REFERENTIAL"),"_")))))</f>
        <v/>
      </c>
      <c r="H3900" s="27" t="str">
        <f aca="false">IF(J3900&lt;&gt;1,"",IF(I3900="SBJ","CB","?"))</f>
        <v/>
      </c>
      <c r="I3900" s="24" t="str">
        <f aca="false">IF(OR(E3900="",E3900="!!!",F3900="NEW"),"",INDEX(B3:B$3898,-1+SUMPRODUCT(MAX(ROW(E3:E$3898)*(E3900=E3:E$3898)))))</f>
        <v/>
      </c>
      <c r="J3900" s="24" t="str">
        <f aca="true">IF(OR(E3900="",E3900="!!!",F3900="NEW"),"",COUNTBLANK(OFFSET(A$1,,,SUMPRODUCT(MAX(ROW(E$2:E3900)*(E3900=E$2:E3900)))))-COUNTBLANK(OFFSET(A$1,,,SUMPRODUCT(MAX(ROW(E$1:E3899)*(E2=E$1:E3899))))))</f>
        <v/>
      </c>
      <c r="K3900" s="24" t="str">
        <f aca="false">IF(OR(E3900="",E3900="!!!",F3900="NEW"),"",INDEX(J$1:J3899,SUMPRODUCT(MAX(ROW(E$1:E3899)*(E3900=E$1:E3899)))))</f>
        <v/>
      </c>
      <c r="L3900" s="31"/>
    </row>
    <row r="3901" customFormat="false" ht="15" hidden="false" customHeight="false" outlineLevel="0" collapsed="false">
      <c r="A3901" s="20" t="s">
        <v>1328</v>
      </c>
      <c r="E3901" s="23" t="str">
        <f aca="false">IF(D3901="?OLD","!!!","")</f>
        <v/>
      </c>
      <c r="F3901" s="25" t="str">
        <f aca="false">IF(OR(E3901="",E3901="!!!"),"",IF(NOT(ISNA(VLOOKUP(E3901,E$1:E3900,1,FALSE()))),"OLD",IF(AND(E3901&lt;&gt;"",E3901&lt;&gt;"!!!"),"NEW","")))</f>
        <v/>
      </c>
      <c r="G3901" s="26" t="str">
        <f aca="false">IF(OR(E3901="",E3901="!!!"),"",IF(OR(J3901=0,AND(J3901=1,K3901=1),AND(J3901=1,I3901="SBJ"),AND(J3901=1,I3901=0)),"?IN_FOCUS",IF(J3901&lt;=2,"?ACTIVATED",IF(J3901&lt;&gt;"","?FAMILIAR",IF(F3901="NEW",IF(ISNA(VLOOKUP(E3901,#REF!,1,FALSE())),"?TYPE_IDENTIFIABLE","?REFERENTIAL"),"_")))))</f>
        <v/>
      </c>
      <c r="H3901" s="27" t="str">
        <f aca="false">IF(J3901&lt;&gt;1,"",IF(I3901="SBJ","CB","?"))</f>
        <v/>
      </c>
      <c r="I3901" s="24" t="str">
        <f aca="false">IF(OR(E3901="",E3901="!!!",F3901="NEW"),"",INDEX(B4:B$3898,-1+SUMPRODUCT(MAX(ROW(E4:E$3898)*(E3901=E4:E$3898)))))</f>
        <v/>
      </c>
      <c r="J3901" s="24" t="str">
        <f aca="true">IF(OR(E3901="",E3901="!!!",F3901="NEW"),"",COUNTBLANK(OFFSET(A$1,,,SUMPRODUCT(MAX(ROW(E$2:E3901)*(E3901=E$2:E3901)))))-COUNTBLANK(OFFSET(A$1,,,SUMPRODUCT(MAX(ROW(E$1:E3900)*(E2=E$1:E3900))))))</f>
        <v/>
      </c>
      <c r="K3901" s="24" t="str">
        <f aca="false">IF(OR(E3901="",E3901="!!!",F3901="NEW"),"",INDEX(J$1:J3900,SUMPRODUCT(MAX(ROW(E$1:E3900)*(E3901=E$1:E3900)))))</f>
        <v/>
      </c>
      <c r="L3901" s="31"/>
    </row>
    <row r="3902" customFormat="false" ht="15" hidden="false" customHeight="false" outlineLevel="0" collapsed="false">
      <c r="A3902" s="20"/>
    </row>
    <row r="3903" customFormat="false" ht="15" hidden="false" customHeight="false" outlineLevel="0" collapsed="false">
      <c r="A3903" s="20" t="s">
        <v>2274</v>
      </c>
    </row>
    <row r="3904" customFormat="false" ht="15" hidden="false" customHeight="false" outlineLevel="0" collapsed="false">
      <c r="A3904" s="20" t="s">
        <v>2275</v>
      </c>
      <c r="E3904" s="23" t="str">
        <f aca="false">IF(D3904="?OLD","!!!","")</f>
        <v/>
      </c>
      <c r="F3904" s="25" t="str">
        <f aca="false">IF(OR(E3904="",E3904="!!!"),"",IF(NOT(ISNA(VLOOKUP(E3904,E$1:E3903,1,FALSE()))),"OLD",IF(AND(E3904&lt;&gt;"",E3904&lt;&gt;"!!!"),"NEW","")))</f>
        <v/>
      </c>
      <c r="G3904" s="26" t="str">
        <f aca="false">IF(OR(E3904="",E3904="!!!"),"",IF(OR(J3904=0,AND(J3904=1,K3904=1),AND(J3904=1,I3904="SBJ"),AND(J3904=1,I3904=0)),"?IN_FOCUS",IF(J3904&lt;=2,"?ACTIVATED",IF(J3904&lt;&gt;"","?FAMILIAR",IF(F3904="NEW",IF(ISNA(VLOOKUP(E3904,#REF!,1,FALSE())),"?TYPE_IDENTIFIABLE","?REFERENTIAL"),"_")))))</f>
        <v/>
      </c>
      <c r="H3904" s="27" t="str">
        <f aca="false">IF(J3904&lt;&gt;1,"",IF(I3904="SBJ","CB","?"))</f>
        <v/>
      </c>
      <c r="I3904" s="24" t="str">
        <f aca="false">IF(OR(E3904="",E3904="!!!",F3904="NEW"),"",INDEX(B2:B$3903,-1+SUMPRODUCT(MAX(ROW(E2:E$3903)*(E3904=E2:E$3903)))))</f>
        <v/>
      </c>
      <c r="J3904" s="24" t="str">
        <f aca="true">IF(OR(E3904="",E3904="!!!",F3904="NEW"),"",COUNTBLANK(OFFSET(A$1,,,SUMPRODUCT(MAX(ROW(E$2:E3904)*(E3904=E$2:E3904)))))-COUNTBLANK(OFFSET(A$1,,,SUMPRODUCT(MAX(ROW(E$1:E3903)*(E2=E$1:E3903))))))</f>
        <v/>
      </c>
      <c r="K3904" s="24" t="str">
        <f aca="false">IF(OR(E3904="",E3904="!!!",F3904="NEW"),"",INDEX(J$1:J3903,SUMPRODUCT(MAX(ROW(E$1:E3903)*(E3904=E$1:E3903)))))</f>
        <v/>
      </c>
      <c r="L3904" s="31"/>
    </row>
    <row r="3905" customFormat="false" ht="15" hidden="false" customHeight="false" outlineLevel="0" collapsed="false">
      <c r="A3905" s="20" t="s">
        <v>1076</v>
      </c>
      <c r="E3905" s="23" t="str">
        <f aca="false">IF(D3905="?OLD","!!!","")</f>
        <v/>
      </c>
      <c r="F3905" s="25" t="str">
        <f aca="false">IF(OR(E3905="",E3905="!!!"),"",IF(NOT(ISNA(VLOOKUP(E3905,E$1:E3904,1,FALSE()))),"OLD",IF(AND(E3905&lt;&gt;"",E3905&lt;&gt;"!!!"),"NEW","")))</f>
        <v/>
      </c>
      <c r="G3905" s="26" t="str">
        <f aca="false">IF(OR(E3905="",E3905="!!!"),"",IF(OR(J3905=0,AND(J3905=1,K3905=1),AND(J3905=1,I3905="SBJ"),AND(J3905=1,I3905=0)),"?IN_FOCUS",IF(J3905&lt;=2,"?ACTIVATED",IF(J3905&lt;&gt;"","?FAMILIAR",IF(F3905="NEW",IF(ISNA(VLOOKUP(E3905,#REF!,1,FALSE())),"?TYPE_IDENTIFIABLE","?REFERENTIAL"),"_")))))</f>
        <v/>
      </c>
      <c r="H3905" s="27" t="str">
        <f aca="false">IF(J3905&lt;&gt;1,"",IF(I3905="SBJ","CB","?"))</f>
        <v/>
      </c>
      <c r="I3905" s="24" t="str">
        <f aca="false">IF(OR(E3905="",E3905="!!!",F3905="NEW"),"",INDEX(B3:B$3903,-1+SUMPRODUCT(MAX(ROW(E3:E$3903)*(E3905=E3:E$3903)))))</f>
        <v/>
      </c>
      <c r="J3905" s="24" t="str">
        <f aca="true">IF(OR(E3905="",E3905="!!!",F3905="NEW"),"",COUNTBLANK(OFFSET(A$1,,,SUMPRODUCT(MAX(ROW(E$2:E3905)*(E3905=E$2:E3905)))))-COUNTBLANK(OFFSET(A$1,,,SUMPRODUCT(MAX(ROW(E$1:E3904)*(E2=E$1:E3904))))))</f>
        <v/>
      </c>
      <c r="K3905" s="24" t="str">
        <f aca="false">IF(OR(E3905="",E3905="!!!",F3905="NEW"),"",INDEX(J$1:J3904,SUMPRODUCT(MAX(ROW(E$1:E3904)*(E3905=E$1:E3904)))))</f>
        <v/>
      </c>
      <c r="L3905" s="31"/>
    </row>
    <row r="3906" customFormat="false" ht="15" hidden="false" customHeight="false" outlineLevel="0" collapsed="false">
      <c r="A3906" s="20" t="s">
        <v>1339</v>
      </c>
      <c r="E3906" s="23" t="str">
        <f aca="false">IF(D3906="?OLD","!!!","")</f>
        <v/>
      </c>
      <c r="F3906" s="25" t="str">
        <f aca="false">IF(OR(E3906="",E3906="!!!"),"",IF(NOT(ISNA(VLOOKUP(E3906,E$1:E3905,1,FALSE()))),"OLD",IF(AND(E3906&lt;&gt;"",E3906&lt;&gt;"!!!"),"NEW","")))</f>
        <v/>
      </c>
      <c r="G3906" s="26" t="str">
        <f aca="false">IF(OR(E3906="",E3906="!!!"),"",IF(OR(J3906=0,AND(J3906=1,K3906=1),AND(J3906=1,I3906="SBJ"),AND(J3906=1,I3906=0)),"?IN_FOCUS",IF(J3906&lt;=2,"?ACTIVATED",IF(J3906&lt;&gt;"","?FAMILIAR",IF(F3906="NEW",IF(ISNA(VLOOKUP(E3906,#REF!,1,FALSE())),"?TYPE_IDENTIFIABLE","?REFERENTIAL"),"_")))))</f>
        <v/>
      </c>
      <c r="H3906" s="27" t="str">
        <f aca="false">IF(J3906&lt;&gt;1,"",IF(I3906="SBJ","CB","?"))</f>
        <v/>
      </c>
      <c r="I3906" s="24" t="str">
        <f aca="false">IF(OR(E3906="",E3906="!!!",F3906="NEW"),"",INDEX(B4:B$3903,-1+SUMPRODUCT(MAX(ROW(E4:E$3903)*(E3906=E4:E$3903)))))</f>
        <v/>
      </c>
      <c r="J3906" s="24" t="str">
        <f aca="true">IF(OR(E3906="",E3906="!!!",F3906="NEW"),"",COUNTBLANK(OFFSET(A$1,,,SUMPRODUCT(MAX(ROW(E$2:E3906)*(E3906=E$2:E3906)))))-COUNTBLANK(OFFSET(A$1,,,SUMPRODUCT(MAX(ROW(E$1:E3905)*(E2=E$1:E3905))))))</f>
        <v/>
      </c>
      <c r="K3906" s="24" t="str">
        <f aca="false">IF(OR(E3906="",E3906="!!!",F3906="NEW"),"",INDEX(J$1:J3905,SUMPRODUCT(MAX(ROW(E$1:E3905)*(E3906=E$1:E3905)))))</f>
        <v/>
      </c>
      <c r="L3906" s="31"/>
    </row>
    <row r="3907" customFormat="false" ht="15" hidden="false" customHeight="false" outlineLevel="0" collapsed="false">
      <c r="A3907" s="20" t="s">
        <v>784</v>
      </c>
      <c r="B3907" s="22" t="s">
        <v>1105</v>
      </c>
      <c r="C3907" s="22" t="s">
        <v>1171</v>
      </c>
      <c r="D3907" s="22" t="s">
        <v>1060</v>
      </c>
      <c r="E3907" s="23" t="str">
        <f aca="false">IF(D3907="?OLD","!!!","")</f>
        <v>!!!</v>
      </c>
      <c r="F3907" s="25" t="str">
        <f aca="false">IF(OR(E3907="",E3907="!!!"),"",IF(NOT(ISNA(VLOOKUP(E3907,E$1:E3906,1,FALSE()))),"OLD",IF(AND(E3907&lt;&gt;"",E3907&lt;&gt;"!!!"),"NEW","")))</f>
        <v/>
      </c>
      <c r="G3907" s="26" t="str">
        <f aca="false">IF(OR(E3907="",E3907="!!!"),"",IF(OR(J3907=0,AND(J3907=1,K3907=1),AND(J3907=1,I3907="SBJ"),AND(J3907=1,I3907=0)),"?IN_FOCUS",IF(J3907&lt;=2,"?ACTIVATED",IF(J3907&lt;&gt;"","?FAMILIAR",IF(F3907="NEW",IF(ISNA(VLOOKUP(E3907,#REF!,1,FALSE())),"?TYPE_IDENTIFIABLE","?REFERENTIAL"),"_")))))</f>
        <v/>
      </c>
      <c r="H3907" s="27" t="str">
        <f aca="false">IF(J3907&lt;&gt;1,"",IF(I3907="SBJ","CB","?"))</f>
        <v/>
      </c>
      <c r="I3907" s="24" t="str">
        <f aca="false">IF(OR(E3907="",E3907="!!!",F3907="NEW"),"",INDEX(B5:B$3903,-1+SUMPRODUCT(MAX(ROW(E5:E$3903)*(E3907=E5:E$3903)))))</f>
        <v/>
      </c>
      <c r="J3907" s="24" t="str">
        <f aca="true">IF(OR(E3907="",E3907="!!!",F3907="NEW"),"",COUNTBLANK(OFFSET(A$1,,,SUMPRODUCT(MAX(ROW(E$2:E3907)*(E3907=E$2:E3907)))))-COUNTBLANK(OFFSET(A$1,,,SUMPRODUCT(MAX(ROW(E$1:E3906)*(E2=E$1:E3906))))))</f>
        <v/>
      </c>
      <c r="K3907" s="24" t="str">
        <f aca="false">IF(OR(E3907="",E3907="!!!",F3907="NEW"),"",INDEX(J$1:J3906,SUMPRODUCT(MAX(ROW(E$1:E3906)*(E3907=E$1:E3906)))))</f>
        <v/>
      </c>
      <c r="L3907" s="31"/>
    </row>
    <row r="3908" customFormat="false" ht="15" hidden="false" customHeight="false" outlineLevel="0" collapsed="false">
      <c r="A3908" s="20" t="s">
        <v>1328</v>
      </c>
      <c r="E3908" s="23" t="str">
        <f aca="false">IF(D3908="?OLD","!!!","")</f>
        <v/>
      </c>
      <c r="F3908" s="25" t="str">
        <f aca="false">IF(OR(E3908="",E3908="!!!"),"",IF(NOT(ISNA(VLOOKUP(E3908,E$1:E3907,1,FALSE()))),"OLD",IF(AND(E3908&lt;&gt;"",E3908&lt;&gt;"!!!"),"NEW","")))</f>
        <v/>
      </c>
      <c r="G3908" s="26" t="str">
        <f aca="false">IF(OR(E3908="",E3908="!!!"),"",IF(OR(J3908=0,AND(J3908=1,K3908=1),AND(J3908=1,I3908="SBJ"),AND(J3908=1,I3908=0)),"?IN_FOCUS",IF(J3908&lt;=2,"?ACTIVATED",IF(J3908&lt;&gt;"","?FAMILIAR",IF(F3908="NEW",IF(ISNA(VLOOKUP(E3908,#REF!,1,FALSE())),"?TYPE_IDENTIFIABLE","?REFERENTIAL"),"_")))))</f>
        <v/>
      </c>
      <c r="H3908" s="27" t="str">
        <f aca="false">IF(J3908&lt;&gt;1,"",IF(I3908="SBJ","CB","?"))</f>
        <v/>
      </c>
      <c r="I3908" s="24" t="str">
        <f aca="false">IF(OR(E3908="",E3908="!!!",F3908="NEW"),"",INDEX(B6:B$3903,-1+SUMPRODUCT(MAX(ROW(E6:E$3903)*(E3908=E6:E$3903)))))</f>
        <v/>
      </c>
      <c r="J3908" s="24" t="str">
        <f aca="true">IF(OR(E3908="",E3908="!!!",F3908="NEW"),"",COUNTBLANK(OFFSET(A$1,,,SUMPRODUCT(MAX(ROW(E$2:E3908)*(E3908=E$2:E3908)))))-COUNTBLANK(OFFSET(A$1,,,SUMPRODUCT(MAX(ROW(E$1:E3907)*(E2=E$1:E3907))))))</f>
        <v/>
      </c>
      <c r="K3908" s="24" t="str">
        <f aca="false">IF(OR(E3908="",E3908="!!!",F3908="NEW"),"",INDEX(J$1:J3907,SUMPRODUCT(MAX(ROW(E$1:E3907)*(E3908=E$1:E3907)))))</f>
        <v/>
      </c>
      <c r="L3908" s="31"/>
    </row>
    <row r="3909" customFormat="false" ht="15" hidden="false" customHeight="false" outlineLevel="0" collapsed="false">
      <c r="A3909" s="20"/>
    </row>
    <row r="3910" customFormat="false" ht="15" hidden="false" customHeight="false" outlineLevel="0" collapsed="false">
      <c r="A3910" s="20" t="s">
        <v>1301</v>
      </c>
      <c r="E3910" s="23" t="str">
        <f aca="false">IF(D3910="?OLD","!!!","")</f>
        <v/>
      </c>
      <c r="F3910" s="25" t="str">
        <f aca="false">IF(OR(E3910="",E3910="!!!"),"",IF(NOT(ISNA(VLOOKUP(E3910,E$1:E3909,1,FALSE()))),"OLD",IF(AND(E3910&lt;&gt;"",E3910&lt;&gt;"!!!"),"NEW","")))</f>
        <v/>
      </c>
      <c r="G3910" s="26" t="str">
        <f aca="false">IF(OR(E3910="",E3910="!!!"),"",IF(OR(J3910=0,AND(J3910=1,K3910=1),AND(J3910=1,I3910="SBJ"),AND(J3910=1,I3910=0)),"?IN_FOCUS",IF(J3910&lt;=2,"?ACTIVATED",IF(J3910&lt;&gt;"","?FAMILIAR",IF(F3910="NEW",IF(ISNA(VLOOKUP(E3910,#REF!,1,FALSE())),"?TYPE_IDENTIFIABLE","?REFERENTIAL"),"_")))))</f>
        <v/>
      </c>
      <c r="H3910" s="27" t="str">
        <f aca="false">IF(J3910&lt;&gt;1,"",IF(I3910="SBJ","CB","?"))</f>
        <v/>
      </c>
      <c r="I3910" s="24" t="str">
        <f aca="false">IF(OR(E3910="",E3910="!!!",F3910="NEW"),"",INDEX(B2:B$3909,-1+SUMPRODUCT(MAX(ROW(E2:E$3909)*(E3910=E2:E$3909)))))</f>
        <v/>
      </c>
      <c r="J3910" s="24" t="str">
        <f aca="true">IF(OR(E3910="",E3910="!!!",F3910="NEW"),"",COUNTBLANK(OFFSET(A$1,,,SUMPRODUCT(MAX(ROW(E$2:E3910)*(E3910=E$2:E3910)))))-COUNTBLANK(OFFSET(A$1,,,SUMPRODUCT(MAX(ROW(E$1:E3909)*(E2=E$1:E3909))))))</f>
        <v/>
      </c>
      <c r="K3910" s="24" t="str">
        <f aca="false">IF(OR(E3910="",E3910="!!!",F3910="NEW"),"",INDEX(J$1:J3909,SUMPRODUCT(MAX(ROW(E$1:E3909)*(E3910=E$1:E3909)))))</f>
        <v/>
      </c>
      <c r="L3910" s="31"/>
    </row>
    <row r="3911" customFormat="false" ht="15" hidden="false" customHeight="false" outlineLevel="0" collapsed="false">
      <c r="A3911" s="20" t="s">
        <v>2276</v>
      </c>
    </row>
    <row r="3912" customFormat="false" ht="15" hidden="false" customHeight="false" outlineLevel="0" collapsed="false">
      <c r="A3912" s="20" t="s">
        <v>2277</v>
      </c>
      <c r="E3912" s="23" t="str">
        <f aca="false">IF(D3912="?OLD","!!!","")</f>
        <v/>
      </c>
      <c r="F3912" s="25" t="str">
        <f aca="false">IF(OR(E3912="",E3912="!!!"),"",IF(NOT(ISNA(VLOOKUP(E3912,E$1:E3911,1,FALSE()))),"OLD",IF(AND(E3912&lt;&gt;"",E3912&lt;&gt;"!!!"),"NEW","")))</f>
        <v/>
      </c>
      <c r="G3912" s="26" t="str">
        <f aca="false">IF(OR(E3912="",E3912="!!!"),"",IF(OR(J3912=0,AND(J3912=1,K3912=1),AND(J3912=1,I3912="SBJ"),AND(J3912=1,I3912=0)),"?IN_FOCUS",IF(J3912&lt;=2,"?ACTIVATED",IF(J3912&lt;&gt;"","?FAMILIAR",IF(F3912="NEW",IF(ISNA(VLOOKUP(E3912,#REF!,1,FALSE())),"?TYPE_IDENTIFIABLE","?REFERENTIAL"),"_")))))</f>
        <v/>
      </c>
      <c r="H3912" s="27" t="str">
        <f aca="false">IF(J3912&lt;&gt;1,"",IF(I3912="SBJ","CB","?"))</f>
        <v/>
      </c>
      <c r="I3912" s="24" t="str">
        <f aca="false">IF(OR(E3912="",E3912="!!!",F3912="NEW"),"",INDEX(B2:B$3911,-1+SUMPRODUCT(MAX(ROW(E2:E$3911)*(E3912=E2:E$3911)))))</f>
        <v/>
      </c>
      <c r="J3912" s="24" t="str">
        <f aca="true">IF(OR(E3912="",E3912="!!!",F3912="NEW"),"",COUNTBLANK(OFFSET(A$1,,,SUMPRODUCT(MAX(ROW(E$2:E3912)*(E3912=E$2:E3912)))))-COUNTBLANK(OFFSET(A$1,,,SUMPRODUCT(MAX(ROW(E$1:E3911)*(E2=E$1:E3911))))))</f>
        <v/>
      </c>
      <c r="K3912" s="24" t="str">
        <f aca="false">IF(OR(E3912="",E3912="!!!",F3912="NEW"),"",INDEX(J$1:J3911,SUMPRODUCT(MAX(ROW(E$1:E3911)*(E3912=E$1:E3911)))))</f>
        <v/>
      </c>
      <c r="L3912" s="31"/>
    </row>
    <row r="3913" customFormat="false" ht="15" hidden="false" customHeight="false" outlineLevel="0" collapsed="false">
      <c r="A3913" s="20" t="s">
        <v>2278</v>
      </c>
      <c r="E3913" s="23" t="str">
        <f aca="false">IF(D3913="?OLD","!!!","")</f>
        <v/>
      </c>
      <c r="F3913" s="25" t="str">
        <f aca="false">IF(OR(E3913="",E3913="!!!"),"",IF(NOT(ISNA(VLOOKUP(E3913,E$1:E3912,1,FALSE()))),"OLD",IF(AND(E3913&lt;&gt;"",E3913&lt;&gt;"!!!"),"NEW","")))</f>
        <v/>
      </c>
      <c r="G3913" s="26" t="str">
        <f aca="false">IF(OR(E3913="",E3913="!!!"),"",IF(OR(J3913=0,AND(J3913=1,K3913=1),AND(J3913=1,I3913="SBJ"),AND(J3913=1,I3913=0)),"?IN_FOCUS",IF(J3913&lt;=2,"?ACTIVATED",IF(J3913&lt;&gt;"","?FAMILIAR",IF(F3913="NEW",IF(ISNA(VLOOKUP(E3913,#REF!,1,FALSE())),"?TYPE_IDENTIFIABLE","?REFERENTIAL"),"_")))))</f>
        <v/>
      </c>
      <c r="H3913" s="27" t="str">
        <f aca="false">IF(J3913&lt;&gt;1,"",IF(I3913="SBJ","CB","?"))</f>
        <v/>
      </c>
      <c r="I3913" s="24" t="str">
        <f aca="false">IF(OR(E3913="",E3913="!!!",F3913="NEW"),"",INDEX(B3:B$3911,-1+SUMPRODUCT(MAX(ROW(E3:E$3911)*(E3913=E3:E$3911)))))</f>
        <v/>
      </c>
      <c r="J3913" s="24" t="str">
        <f aca="true">IF(OR(E3913="",E3913="!!!",F3913="NEW"),"",COUNTBLANK(OFFSET(A$1,,,SUMPRODUCT(MAX(ROW(E$2:E3913)*(E3913=E$2:E3913)))))-COUNTBLANK(OFFSET(A$1,,,SUMPRODUCT(MAX(ROW(E$1:E3912)*(E2=E$1:E3912))))))</f>
        <v/>
      </c>
      <c r="K3913" s="24" t="str">
        <f aca="false">IF(OR(E3913="",E3913="!!!",F3913="NEW"),"",INDEX(J$1:J3912,SUMPRODUCT(MAX(ROW(E$1:E3912)*(E3913=E$1:E3912)))))</f>
        <v/>
      </c>
      <c r="L3913" s="31"/>
    </row>
    <row r="3914" customFormat="false" ht="15" hidden="false" customHeight="false" outlineLevel="0" collapsed="false">
      <c r="A3914" s="20" t="s">
        <v>1090</v>
      </c>
      <c r="B3914" s="22" t="s">
        <v>1086</v>
      </c>
      <c r="C3914" s="22" t="s">
        <v>1082</v>
      </c>
      <c r="D3914" s="22" t="s">
        <v>1060</v>
      </c>
      <c r="E3914" s="23" t="str">
        <f aca="false">IF(D3914="?OLD","!!!","")</f>
        <v>!!!</v>
      </c>
      <c r="F3914" s="25" t="str">
        <f aca="false">IF(OR(E3914="",E3914="!!!"),"",IF(NOT(ISNA(VLOOKUP(E3914,E$1:E3913,1,FALSE()))),"OLD",IF(AND(E3914&lt;&gt;"",E3914&lt;&gt;"!!!"),"NEW","")))</f>
        <v/>
      </c>
      <c r="G3914" s="26" t="str">
        <f aca="false">IF(OR(E3914="",E3914="!!!"),"",IF(OR(J3914=0,AND(J3914=1,K3914=1),AND(J3914=1,I3914="SBJ"),AND(J3914=1,I3914=0)),"?IN_FOCUS",IF(J3914&lt;=2,"?ACTIVATED",IF(J3914&lt;&gt;"","?FAMILIAR",IF(F3914="NEW",IF(ISNA(VLOOKUP(E3914,#REF!,1,FALSE())),"?TYPE_IDENTIFIABLE","?REFERENTIAL"),"_")))))</f>
        <v/>
      </c>
      <c r="H3914" s="27" t="str">
        <f aca="false">IF(J3914&lt;&gt;1,"",IF(I3914="SBJ","CB","?"))</f>
        <v/>
      </c>
      <c r="I3914" s="24" t="str">
        <f aca="false">IF(OR(E3914="",E3914="!!!",F3914="NEW"),"",INDEX(B4:B$3911,-1+SUMPRODUCT(MAX(ROW(E4:E$3911)*(E3914=E4:E$3911)))))</f>
        <v/>
      </c>
      <c r="J3914" s="24" t="str">
        <f aca="true">IF(OR(E3914="",E3914="!!!",F3914="NEW"),"",COUNTBLANK(OFFSET(A$1,,,SUMPRODUCT(MAX(ROW(E$2:E3914)*(E3914=E$2:E3914)))))-COUNTBLANK(OFFSET(A$1,,,SUMPRODUCT(MAX(ROW(E$1:E3913)*(E2=E$1:E3913))))))</f>
        <v/>
      </c>
      <c r="K3914" s="24" t="str">
        <f aca="false">IF(OR(E3914="",E3914="!!!",F3914="NEW"),"",INDEX(J$1:J3913,SUMPRODUCT(MAX(ROW(E$1:E3913)*(E3914=E$1:E3913)))))</f>
        <v/>
      </c>
      <c r="L3914" s="31"/>
    </row>
    <row r="3915" customFormat="false" ht="15" hidden="false" customHeight="false" outlineLevel="0" collapsed="false">
      <c r="A3915" s="20" t="s">
        <v>2249</v>
      </c>
      <c r="E3915" s="23" t="str">
        <f aca="false">IF(D3915="?OLD","!!!","")</f>
        <v/>
      </c>
      <c r="F3915" s="25" t="str">
        <f aca="false">IF(OR(E3915="",E3915="!!!"),"",IF(NOT(ISNA(VLOOKUP(E3915,E$1:E3914,1,FALSE()))),"OLD",IF(AND(E3915&lt;&gt;"",E3915&lt;&gt;"!!!"),"NEW","")))</f>
        <v/>
      </c>
      <c r="G3915" s="26" t="str">
        <f aca="false">IF(OR(E3915="",E3915="!!!"),"",IF(OR(J3915=0,AND(J3915=1,K3915=1),AND(J3915=1,I3915="SBJ"),AND(J3915=1,I3915=0)),"?IN_FOCUS",IF(J3915&lt;=2,"?ACTIVATED",IF(J3915&lt;&gt;"","?FAMILIAR",IF(F3915="NEW",IF(ISNA(VLOOKUP(E3915,#REF!,1,FALSE())),"?TYPE_IDENTIFIABLE","?REFERENTIAL"),"_")))))</f>
        <v/>
      </c>
      <c r="H3915" s="27" t="str">
        <f aca="false">IF(J3915&lt;&gt;1,"",IF(I3915="SBJ","CB","?"))</f>
        <v/>
      </c>
      <c r="I3915" s="24" t="str">
        <f aca="false">IF(OR(E3915="",E3915="!!!",F3915="NEW"),"",INDEX(B5:B$3911,-1+SUMPRODUCT(MAX(ROW(E5:E$3911)*(E3915=E5:E$3911)))))</f>
        <v/>
      </c>
      <c r="J3915" s="24" t="str">
        <f aca="true">IF(OR(E3915="",E3915="!!!",F3915="NEW"),"",COUNTBLANK(OFFSET(A$1,,,SUMPRODUCT(MAX(ROW(E$2:E3915)*(E3915=E$2:E3915)))))-COUNTBLANK(OFFSET(A$1,,,SUMPRODUCT(MAX(ROW(E$1:E3914)*(E2=E$1:E3914))))))</f>
        <v/>
      </c>
      <c r="K3915" s="24" t="str">
        <f aca="false">IF(OR(E3915="",E3915="!!!",F3915="NEW"),"",INDEX(J$1:J3914,SUMPRODUCT(MAX(ROW(E$1:E3914)*(E3915=E$1:E3914)))))</f>
        <v/>
      </c>
      <c r="L3915" s="31"/>
    </row>
    <row r="3916" customFormat="false" ht="15" hidden="false" customHeight="false" outlineLevel="0" collapsed="false">
      <c r="A3916" s="20" t="s">
        <v>2279</v>
      </c>
      <c r="E3916" s="23" t="str">
        <f aca="false">IF(D3916="?OLD","!!!","")</f>
        <v/>
      </c>
      <c r="F3916" s="25" t="str">
        <f aca="false">IF(OR(E3916="",E3916="!!!"),"",IF(NOT(ISNA(VLOOKUP(E3916,E$1:E3915,1,FALSE()))),"OLD",IF(AND(E3916&lt;&gt;"",E3916&lt;&gt;"!!!"),"NEW","")))</f>
        <v/>
      </c>
      <c r="G3916" s="26" t="str">
        <f aca="false">IF(OR(E3916="",E3916="!!!"),"",IF(OR(J3916=0,AND(J3916=1,K3916=1),AND(J3916=1,I3916="SBJ"),AND(J3916=1,I3916=0)),"?IN_FOCUS",IF(J3916&lt;=2,"?ACTIVATED",IF(J3916&lt;&gt;"","?FAMILIAR",IF(F3916="NEW",IF(ISNA(VLOOKUP(E3916,#REF!,1,FALSE())),"?TYPE_IDENTIFIABLE","?REFERENTIAL"),"_")))))</f>
        <v/>
      </c>
      <c r="H3916" s="27" t="str">
        <f aca="false">IF(J3916&lt;&gt;1,"",IF(I3916="SBJ","CB","?"))</f>
        <v/>
      </c>
      <c r="I3916" s="24" t="str">
        <f aca="false">IF(OR(E3916="",E3916="!!!",F3916="NEW"),"",INDEX(B6:B$3911,-1+SUMPRODUCT(MAX(ROW(E6:E$3911)*(E3916=E6:E$3911)))))</f>
        <v/>
      </c>
      <c r="J3916" s="24" t="str">
        <f aca="true">IF(OR(E3916="",E3916="!!!",F3916="NEW"),"",COUNTBLANK(OFFSET(A$1,,,SUMPRODUCT(MAX(ROW(E$2:E3916)*(E3916=E$2:E3916)))))-COUNTBLANK(OFFSET(A$1,,,SUMPRODUCT(MAX(ROW(E$1:E3915)*(E2=E$1:E3915))))))</f>
        <v/>
      </c>
      <c r="K3916" s="24" t="str">
        <f aca="false">IF(OR(E3916="",E3916="!!!",F3916="NEW"),"",INDEX(J$1:J3915,SUMPRODUCT(MAX(ROW(E$1:E3915)*(E3916=E$1:E3915)))))</f>
        <v/>
      </c>
      <c r="L3916" s="31"/>
    </row>
    <row r="3917" customFormat="false" ht="15" hidden="false" customHeight="false" outlineLevel="0" collapsed="false">
      <c r="A3917" s="20" t="s">
        <v>1231</v>
      </c>
      <c r="B3917" s="22" t="s">
        <v>1142</v>
      </c>
      <c r="C3917" s="22" t="s">
        <v>1082</v>
      </c>
      <c r="D3917" s="22" t="s">
        <v>1060</v>
      </c>
      <c r="E3917" s="23" t="str">
        <f aca="false">IF(D3917="?OLD","!!!","")</f>
        <v>!!!</v>
      </c>
      <c r="F3917" s="25" t="str">
        <f aca="false">IF(OR(E3917="",E3917="!!!"),"",IF(NOT(ISNA(VLOOKUP(E3917,E$1:E3916,1,FALSE()))),"OLD",IF(AND(E3917&lt;&gt;"",E3917&lt;&gt;"!!!"),"NEW","")))</f>
        <v/>
      </c>
      <c r="G3917" s="26" t="str">
        <f aca="false">IF(OR(E3917="",E3917="!!!"),"",IF(OR(J3917=0,AND(J3917=1,K3917=1),AND(J3917=1,I3917="SBJ"),AND(J3917=1,I3917=0)),"?IN_FOCUS",IF(J3917&lt;=2,"?ACTIVATED",IF(J3917&lt;&gt;"","?FAMILIAR",IF(F3917="NEW",IF(ISNA(VLOOKUP(E3917,#REF!,1,FALSE())),"?TYPE_IDENTIFIABLE","?REFERENTIAL"),"_")))))</f>
        <v/>
      </c>
      <c r="H3917" s="27" t="str">
        <f aca="false">IF(J3917&lt;&gt;1,"",IF(I3917="SBJ","CB","?"))</f>
        <v/>
      </c>
      <c r="I3917" s="24" t="str">
        <f aca="false">IF(OR(E3917="",E3917="!!!",F3917="NEW"),"",INDEX(B7:B$3911,-1+SUMPRODUCT(MAX(ROW(E7:E$3911)*(E3917=E7:E$3911)))))</f>
        <v/>
      </c>
      <c r="J3917" s="24" t="str">
        <f aca="true">IF(OR(E3917="",E3917="!!!",F3917="NEW"),"",COUNTBLANK(OFFSET(A$1,,,SUMPRODUCT(MAX(ROW(E$2:E3917)*(E3917=E$2:E3917)))))-COUNTBLANK(OFFSET(A$1,,,SUMPRODUCT(MAX(ROW(E$1:E3916)*(E2=E$1:E3916))))))</f>
        <v/>
      </c>
      <c r="K3917" s="24" t="str">
        <f aca="false">IF(OR(E3917="",E3917="!!!",F3917="NEW"),"",INDEX(J$1:J3916,SUMPRODUCT(MAX(ROW(E$1:E3916)*(E3917=E$1:E3916)))))</f>
        <v/>
      </c>
      <c r="L3917" s="31"/>
    </row>
    <row r="3918" customFormat="false" ht="15" hidden="false" customHeight="false" outlineLevel="0" collapsed="false">
      <c r="A3918" s="20" t="s">
        <v>1328</v>
      </c>
      <c r="E3918" s="23" t="str">
        <f aca="false">IF(D3918="?OLD","!!!","")</f>
        <v/>
      </c>
      <c r="F3918" s="25" t="str">
        <f aca="false">IF(OR(E3918="",E3918="!!!"),"",IF(NOT(ISNA(VLOOKUP(E3918,E$1:E3917,1,FALSE()))),"OLD",IF(AND(E3918&lt;&gt;"",E3918&lt;&gt;"!!!"),"NEW","")))</f>
        <v/>
      </c>
      <c r="G3918" s="26" t="str">
        <f aca="false">IF(OR(E3918="",E3918="!!!"),"",IF(OR(J3918=0,AND(J3918=1,K3918=1),AND(J3918=1,I3918="SBJ"),AND(J3918=1,I3918=0)),"?IN_FOCUS",IF(J3918&lt;=2,"?ACTIVATED",IF(J3918&lt;&gt;"","?FAMILIAR",IF(F3918="NEW",IF(ISNA(VLOOKUP(E3918,#REF!,1,FALSE())),"?TYPE_IDENTIFIABLE","?REFERENTIAL"),"_")))))</f>
        <v/>
      </c>
      <c r="H3918" s="27" t="str">
        <f aca="false">IF(J3918&lt;&gt;1,"",IF(I3918="SBJ","CB","?"))</f>
        <v/>
      </c>
      <c r="I3918" s="24" t="str">
        <f aca="false">IF(OR(E3918="",E3918="!!!",F3918="NEW"),"",INDEX(B8:B$3911,-1+SUMPRODUCT(MAX(ROW(E8:E$3911)*(E3918=E8:E$3911)))))</f>
        <v/>
      </c>
      <c r="J3918" s="24" t="str">
        <f aca="true">IF(OR(E3918="",E3918="!!!",F3918="NEW"),"",COUNTBLANK(OFFSET(A$1,,,SUMPRODUCT(MAX(ROW(E$2:E3918)*(E3918=E$2:E3918)))))-COUNTBLANK(OFFSET(A$1,,,SUMPRODUCT(MAX(ROW(E$1:E3917)*(E2=E$1:E3917))))))</f>
        <v/>
      </c>
      <c r="K3918" s="24" t="str">
        <f aca="false">IF(OR(E3918="",E3918="!!!",F3918="NEW"),"",INDEX(J$1:J3917,SUMPRODUCT(MAX(ROW(E$1:E3917)*(E3918=E$1:E3917)))))</f>
        <v/>
      </c>
      <c r="L3918" s="31"/>
    </row>
    <row r="3919" customFormat="false" ht="15" hidden="false" customHeight="false" outlineLevel="0" collapsed="false">
      <c r="A3919" s="20" t="s">
        <v>607</v>
      </c>
      <c r="E3919" s="23" t="str">
        <f aca="false">IF(D3919="?OLD","!!!","")</f>
        <v/>
      </c>
      <c r="F3919" s="25" t="str">
        <f aca="false">IF(OR(E3919="",E3919="!!!"),"",IF(NOT(ISNA(VLOOKUP(E3919,E$1:E3918,1,FALSE()))),"OLD",IF(AND(E3919&lt;&gt;"",E3919&lt;&gt;"!!!"),"NEW","")))</f>
        <v/>
      </c>
      <c r="G3919" s="26" t="str">
        <f aca="false">IF(OR(E3919="",E3919="!!!"),"",IF(OR(J3919=0,AND(J3919=1,K3919=1),AND(J3919=1,I3919="SBJ"),AND(J3919=1,I3919=0)),"?IN_FOCUS",IF(J3919&lt;=2,"?ACTIVATED",IF(J3919&lt;&gt;"","?FAMILIAR",IF(F3919="NEW",IF(ISNA(VLOOKUP(E3919,#REF!,1,FALSE())),"?TYPE_IDENTIFIABLE","?REFERENTIAL"),"_")))))</f>
        <v/>
      </c>
      <c r="H3919" s="27" t="str">
        <f aca="false">IF(J3919&lt;&gt;1,"",IF(I3919="SBJ","CB","?"))</f>
        <v/>
      </c>
      <c r="I3919" s="24" t="str">
        <f aca="false">IF(OR(E3919="",E3919="!!!",F3919="NEW"),"",INDEX(B9:B$3911,-1+SUMPRODUCT(MAX(ROW(E9:E$3911)*(E3919=E9:E$3911)))))</f>
        <v/>
      </c>
      <c r="J3919" s="24" t="str">
        <f aca="true">IF(OR(E3919="",E3919="!!!",F3919="NEW"),"",COUNTBLANK(OFFSET(A$1,,,SUMPRODUCT(MAX(ROW(E$2:E3919)*(E3919=E$2:E3919)))))-COUNTBLANK(OFFSET(A$1,,,SUMPRODUCT(MAX(ROW(E$1:E3918)*(E2=E$1:E3918))))))</f>
        <v/>
      </c>
      <c r="K3919" s="24" t="str">
        <f aca="false">IF(OR(E3919="",E3919="!!!",F3919="NEW"),"",INDEX(J$1:J3918,SUMPRODUCT(MAX(ROW(E$1:E3918)*(E3919=E$1:E3918)))))</f>
        <v/>
      </c>
      <c r="L3919" s="31"/>
    </row>
    <row r="3920" customFormat="false" ht="15" hidden="false" customHeight="false" outlineLevel="0" collapsed="false">
      <c r="A3920" s="20"/>
    </row>
    <row r="3921" customFormat="false" ht="15" hidden="false" customHeight="false" outlineLevel="0" collapsed="false">
      <c r="A3921" s="20" t="s">
        <v>2280</v>
      </c>
    </row>
    <row r="3922" customFormat="false" ht="15" hidden="false" customHeight="false" outlineLevel="0" collapsed="false">
      <c r="A3922" s="20" t="s">
        <v>2248</v>
      </c>
      <c r="B3922" s="22" t="s">
        <v>1058</v>
      </c>
      <c r="C3922" s="22" t="s">
        <v>1082</v>
      </c>
      <c r="D3922" s="22" t="s">
        <v>1060</v>
      </c>
      <c r="E3922" s="23" t="str">
        <f aca="false">IF(D3922="?OLD","!!!","")</f>
        <v>!!!</v>
      </c>
      <c r="F3922" s="25" t="str">
        <f aca="false">IF(OR(E3922="",E3922="!!!"),"",IF(NOT(ISNA(VLOOKUP(E3922,E$1:E3921,1,FALSE()))),"OLD",IF(AND(E3922&lt;&gt;"",E3922&lt;&gt;"!!!"),"NEW","")))</f>
        <v/>
      </c>
      <c r="G3922" s="26" t="str">
        <f aca="false">IF(OR(E3922="",E3922="!!!"),"",IF(OR(J3922=0,AND(J3922=1,K3922=1),AND(J3922=1,I3922="SBJ"),AND(J3922=1,I3922=0)),"?IN_FOCUS",IF(J3922&lt;=2,"?ACTIVATED",IF(J3922&lt;&gt;"","?FAMILIAR",IF(F3922="NEW",IF(ISNA(VLOOKUP(E3922,#REF!,1,FALSE())),"?TYPE_IDENTIFIABLE","?REFERENTIAL"),"_")))))</f>
        <v/>
      </c>
      <c r="H3922" s="27" t="str">
        <f aca="false">IF(J3922&lt;&gt;1,"",IF(I3922="SBJ","CB","?"))</f>
        <v/>
      </c>
      <c r="I3922" s="24" t="str">
        <f aca="false">IF(OR(E3922="",E3922="!!!",F3922="NEW"),"",INDEX(B2:B$3921,-1+SUMPRODUCT(MAX(ROW(E2:E$3921)*(E3922=E2:E$3921)))))</f>
        <v/>
      </c>
      <c r="J3922" s="24" t="str">
        <f aca="true">IF(OR(E3922="",E3922="!!!",F3922="NEW"),"",COUNTBLANK(OFFSET(A$1,,,SUMPRODUCT(MAX(ROW(E$2:E3922)*(E3922=E$2:E3922)))))-COUNTBLANK(OFFSET(A$1,,,SUMPRODUCT(MAX(ROW(E$1:E3921)*(E2=E$1:E3921))))))</f>
        <v/>
      </c>
      <c r="K3922" s="24" t="str">
        <f aca="false">IF(OR(E3922="",E3922="!!!",F3922="NEW"),"",INDEX(J$1:J3921,SUMPRODUCT(MAX(ROW(E$1:E3921)*(E3922=E$1:E3921)))))</f>
        <v/>
      </c>
      <c r="L3922" s="31"/>
    </row>
    <row r="3923" customFormat="false" ht="15" hidden="false" customHeight="false" outlineLevel="0" collapsed="false">
      <c r="A3923" s="20" t="s">
        <v>791</v>
      </c>
      <c r="E3923" s="23" t="str">
        <f aca="false">IF(D3923="?OLD","!!!","")</f>
        <v/>
      </c>
      <c r="F3923" s="25" t="str">
        <f aca="false">IF(OR(E3923="",E3923="!!!"),"",IF(NOT(ISNA(VLOOKUP(E3923,E$1:E3922,1,FALSE()))),"OLD",IF(AND(E3923&lt;&gt;"",E3923&lt;&gt;"!!!"),"NEW","")))</f>
        <v/>
      </c>
      <c r="G3923" s="26" t="str">
        <f aca="false">IF(OR(E3923="",E3923="!!!"),"",IF(OR(J3923=0,AND(J3923=1,K3923=1),AND(J3923=1,I3923="SBJ"),AND(J3923=1,I3923=0)),"?IN_FOCUS",IF(J3923&lt;=2,"?ACTIVATED",IF(J3923&lt;&gt;"","?FAMILIAR",IF(F3923="NEW",IF(ISNA(VLOOKUP(E3923,#REF!,1,FALSE())),"?TYPE_IDENTIFIABLE","?REFERENTIAL"),"_")))))</f>
        <v/>
      </c>
      <c r="H3923" s="27" t="str">
        <f aca="false">IF(J3923&lt;&gt;1,"",IF(I3923="SBJ","CB","?"))</f>
        <v/>
      </c>
      <c r="I3923" s="24" t="str">
        <f aca="false">IF(OR(E3923="",E3923="!!!",F3923="NEW"),"",INDEX(B3:B$3921,-1+SUMPRODUCT(MAX(ROW(E3:E$3921)*(E3923=E3:E$3921)))))</f>
        <v/>
      </c>
      <c r="J3923" s="24" t="str">
        <f aca="true">IF(OR(E3923="",E3923="!!!",F3923="NEW"),"",COUNTBLANK(OFFSET(A$1,,,SUMPRODUCT(MAX(ROW(E$2:E3923)*(E3923=E$2:E3923)))))-COUNTBLANK(OFFSET(A$1,,,SUMPRODUCT(MAX(ROW(E$1:E3922)*(E2=E$1:E3922))))))</f>
        <v/>
      </c>
      <c r="K3923" s="24" t="str">
        <f aca="false">IF(OR(E3923="",E3923="!!!",F3923="NEW"),"",INDEX(J$1:J3922,SUMPRODUCT(MAX(ROW(E$1:E3922)*(E3923=E$1:E3922)))))</f>
        <v/>
      </c>
      <c r="L3923" s="31"/>
    </row>
    <row r="3924" customFormat="false" ht="15" hidden="false" customHeight="false" outlineLevel="0" collapsed="false">
      <c r="A3924" s="20" t="s">
        <v>2232</v>
      </c>
      <c r="B3924" s="22" t="s">
        <v>1073</v>
      </c>
      <c r="C3924" s="22" t="s">
        <v>1099</v>
      </c>
      <c r="D3924" s="22" t="s">
        <v>1060</v>
      </c>
      <c r="E3924" s="23" t="str">
        <f aca="false">IF(D3924="?OLD","!!!","")</f>
        <v>!!!</v>
      </c>
      <c r="F3924" s="25" t="str">
        <f aca="false">IF(OR(E3924="",E3924="!!!"),"",IF(NOT(ISNA(VLOOKUP(E3924,E$1:E3923,1,FALSE()))),"OLD",IF(AND(E3924&lt;&gt;"",E3924&lt;&gt;"!!!"),"NEW","")))</f>
        <v/>
      </c>
      <c r="G3924" s="26" t="str">
        <f aca="false">IF(OR(E3924="",E3924="!!!"),"",IF(OR(J3924=0,AND(J3924=1,K3924=1),AND(J3924=1,I3924="SBJ"),AND(J3924=1,I3924=0)),"?IN_FOCUS",IF(J3924&lt;=2,"?ACTIVATED",IF(J3924&lt;&gt;"","?FAMILIAR",IF(F3924="NEW",IF(ISNA(VLOOKUP(E3924,#REF!,1,FALSE())),"?TYPE_IDENTIFIABLE","?REFERENTIAL"),"_")))))</f>
        <v/>
      </c>
      <c r="H3924" s="27" t="str">
        <f aca="false">IF(J3924&lt;&gt;1,"",IF(I3924="SBJ","CB","?"))</f>
        <v/>
      </c>
      <c r="I3924" s="24" t="str">
        <f aca="false">IF(OR(E3924="",E3924="!!!",F3924="NEW"),"",INDEX(B4:B$3921,-1+SUMPRODUCT(MAX(ROW(E4:E$3921)*(E3924=E4:E$3921)))))</f>
        <v/>
      </c>
      <c r="J3924" s="24" t="str">
        <f aca="true">IF(OR(E3924="",E3924="!!!",F3924="NEW"),"",COUNTBLANK(OFFSET(A$1,,,SUMPRODUCT(MAX(ROW(E$2:E3924)*(E3924=E$2:E3924)))))-COUNTBLANK(OFFSET(A$1,,,SUMPRODUCT(MAX(ROW(E$1:E3923)*(E2=E$1:E3923))))))</f>
        <v/>
      </c>
      <c r="K3924" s="24" t="str">
        <f aca="false">IF(OR(E3924="",E3924="!!!",F3924="NEW"),"",INDEX(J$1:J3923,SUMPRODUCT(MAX(ROW(E$1:E3923)*(E3924=E$1:E3923)))))</f>
        <v/>
      </c>
      <c r="L3924" s="31"/>
    </row>
    <row r="3925" customFormat="false" ht="15" hidden="false" customHeight="false" outlineLevel="0" collapsed="false">
      <c r="A3925" s="20" t="s">
        <v>2281</v>
      </c>
      <c r="B3925" s="22" t="s">
        <v>1081</v>
      </c>
      <c r="C3925" s="22" t="s">
        <v>1059</v>
      </c>
      <c r="D3925" s="22" t="s">
        <v>1060</v>
      </c>
      <c r="E3925" s="23" t="str">
        <f aca="false">IF(D3925="?OLD","!!!","")</f>
        <v>!!!</v>
      </c>
      <c r="F3925" s="25" t="str">
        <f aca="false">IF(OR(E3925="",E3925="!!!"),"",IF(NOT(ISNA(VLOOKUP(E3925,E$1:E3924,1,FALSE()))),"OLD",IF(AND(E3925&lt;&gt;"",E3925&lt;&gt;"!!!"),"NEW","")))</f>
        <v/>
      </c>
      <c r="G3925" s="26" t="str">
        <f aca="false">IF(OR(E3925="",E3925="!!!"),"",IF(OR(J3925=0,AND(J3925=1,K3925=1),AND(J3925=1,I3925="SBJ"),AND(J3925=1,I3925=0)),"?IN_FOCUS",IF(J3925&lt;=2,"?ACTIVATED",IF(J3925&lt;&gt;"","?FAMILIAR",IF(F3925="NEW",IF(ISNA(VLOOKUP(E3925,#REF!,1,FALSE())),"?TYPE_IDENTIFIABLE","?REFERENTIAL"),"_")))))</f>
        <v/>
      </c>
      <c r="H3925" s="27" t="str">
        <f aca="false">IF(J3925&lt;&gt;1,"",IF(I3925="SBJ","CB","?"))</f>
        <v/>
      </c>
      <c r="I3925" s="24" t="str">
        <f aca="false">IF(OR(E3925="",E3925="!!!",F3925="NEW"),"",INDEX(B5:B$3921,-1+SUMPRODUCT(MAX(ROW(E5:E$3921)*(E3925=E5:E$3921)))))</f>
        <v/>
      </c>
      <c r="J3925" s="24" t="str">
        <f aca="true">IF(OR(E3925="",E3925="!!!",F3925="NEW"),"",COUNTBLANK(OFFSET(A$1,,,SUMPRODUCT(MAX(ROW(E$2:E3925)*(E3925=E$2:E3925)))))-COUNTBLANK(OFFSET(A$1,,,SUMPRODUCT(MAX(ROW(E$1:E3924)*(E2=E$1:E3924))))))</f>
        <v/>
      </c>
      <c r="K3925" s="24" t="str">
        <f aca="false">IF(OR(E3925="",E3925="!!!",F3925="NEW"),"",INDEX(J$1:J3924,SUMPRODUCT(MAX(ROW(E$1:E3924)*(E3925=E$1:E3924)))))</f>
        <v/>
      </c>
      <c r="L3925" s="31"/>
    </row>
    <row r="3926" customFormat="false" ht="15" hidden="false" customHeight="false" outlineLevel="0" collapsed="false">
      <c r="A3926" s="20" t="s">
        <v>1547</v>
      </c>
      <c r="E3926" s="23" t="str">
        <f aca="false">IF(D3926="?OLD","!!!","")</f>
        <v/>
      </c>
      <c r="F3926" s="25" t="str">
        <f aca="false">IF(OR(E3926="",E3926="!!!"),"",IF(NOT(ISNA(VLOOKUP(E3926,E$1:E3925,1,FALSE()))),"OLD",IF(AND(E3926&lt;&gt;"",E3926&lt;&gt;"!!!"),"NEW","")))</f>
        <v/>
      </c>
      <c r="G3926" s="26" t="str">
        <f aca="false">IF(OR(E3926="",E3926="!!!"),"",IF(OR(J3926=0,AND(J3926=1,K3926=1),AND(J3926=1,I3926="SBJ"),AND(J3926=1,I3926=0)),"?IN_FOCUS",IF(J3926&lt;=2,"?ACTIVATED",IF(J3926&lt;&gt;"","?FAMILIAR",IF(F3926="NEW",IF(ISNA(VLOOKUP(E3926,#REF!,1,FALSE())),"?TYPE_IDENTIFIABLE","?REFERENTIAL"),"_")))))</f>
        <v/>
      </c>
      <c r="H3926" s="27" t="str">
        <f aca="false">IF(J3926&lt;&gt;1,"",IF(I3926="SBJ","CB","?"))</f>
        <v/>
      </c>
      <c r="I3926" s="24" t="str">
        <f aca="false">IF(OR(E3926="",E3926="!!!",F3926="NEW"),"",INDEX(B6:B$3921,-1+SUMPRODUCT(MAX(ROW(E6:E$3921)*(E3926=E6:E$3921)))))</f>
        <v/>
      </c>
      <c r="J3926" s="24" t="str">
        <f aca="true">IF(OR(E3926="",E3926="!!!",F3926="NEW"),"",COUNTBLANK(OFFSET(A$1,,,SUMPRODUCT(MAX(ROW(E$2:E3926)*(E3926=E$2:E3926)))))-COUNTBLANK(OFFSET(A$1,,,SUMPRODUCT(MAX(ROW(E$1:E3925)*(E2=E$1:E3925))))))</f>
        <v/>
      </c>
      <c r="K3926" s="24" t="str">
        <f aca="false">IF(OR(E3926="",E3926="!!!",F3926="NEW"),"",INDEX(J$1:J3925,SUMPRODUCT(MAX(ROW(E$1:E3925)*(E3926=E$1:E3925)))))</f>
        <v/>
      </c>
      <c r="L3926" s="31"/>
    </row>
    <row r="3927" customFormat="false" ht="15" hidden="false" customHeight="false" outlineLevel="0" collapsed="false">
      <c r="A3927" s="20" t="s">
        <v>1119</v>
      </c>
      <c r="E3927" s="23" t="str">
        <f aca="false">IF(D3927="?OLD","!!!","")</f>
        <v/>
      </c>
      <c r="F3927" s="25" t="str">
        <f aca="false">IF(OR(E3927="",E3927="!!!"),"",IF(NOT(ISNA(VLOOKUP(E3927,E$1:E3926,1,FALSE()))),"OLD",IF(AND(E3927&lt;&gt;"",E3927&lt;&gt;"!!!"),"NEW","")))</f>
        <v/>
      </c>
      <c r="G3927" s="26" t="str">
        <f aca="false">IF(OR(E3927="",E3927="!!!"),"",IF(OR(J3927=0,AND(J3927=1,K3927=1),AND(J3927=1,I3927="SBJ"),AND(J3927=1,I3927=0)),"?IN_FOCUS",IF(J3927&lt;=2,"?ACTIVATED",IF(J3927&lt;&gt;"","?FAMILIAR",IF(F3927="NEW",IF(ISNA(VLOOKUP(E3927,#REF!,1,FALSE())),"?TYPE_IDENTIFIABLE","?REFERENTIAL"),"_")))))</f>
        <v/>
      </c>
      <c r="H3927" s="27" t="str">
        <f aca="false">IF(J3927&lt;&gt;1,"",IF(I3927="SBJ","CB","?"))</f>
        <v/>
      </c>
      <c r="I3927" s="24" t="str">
        <f aca="false">IF(OR(E3927="",E3927="!!!",F3927="NEW"),"",INDEX(B7:B$3921,-1+SUMPRODUCT(MAX(ROW(E7:E$3921)*(E3927=E7:E$3921)))))</f>
        <v/>
      </c>
      <c r="J3927" s="24" t="str">
        <f aca="true">IF(OR(E3927="",E3927="!!!",F3927="NEW"),"",COUNTBLANK(OFFSET(A$1,,,SUMPRODUCT(MAX(ROW(E$2:E3927)*(E3927=E$2:E3927)))))-COUNTBLANK(OFFSET(A$1,,,SUMPRODUCT(MAX(ROW(E$1:E3926)*(E2=E$1:E3926))))))</f>
        <v/>
      </c>
      <c r="K3927" s="24" t="str">
        <f aca="false">IF(OR(E3927="",E3927="!!!",F3927="NEW"),"",INDEX(J$1:J3926,SUMPRODUCT(MAX(ROW(E$1:E3926)*(E3927=E$1:E3926)))))</f>
        <v/>
      </c>
      <c r="L3927" s="31"/>
    </row>
    <row r="3928" customFormat="false" ht="15" hidden="false" customHeight="false" outlineLevel="0" collapsed="false">
      <c r="A3928" s="20" t="s">
        <v>2232</v>
      </c>
      <c r="B3928" s="22" t="s">
        <v>1073</v>
      </c>
      <c r="C3928" s="22" t="s">
        <v>1099</v>
      </c>
      <c r="D3928" s="22" t="s">
        <v>1060</v>
      </c>
      <c r="E3928" s="23" t="str">
        <f aca="false">IF(D3928="?OLD","!!!","")</f>
        <v>!!!</v>
      </c>
      <c r="F3928" s="25" t="str">
        <f aca="false">IF(OR(E3928="",E3928="!!!"),"",IF(NOT(ISNA(VLOOKUP(E3928,E$1:E3927,1,FALSE()))),"OLD",IF(AND(E3928&lt;&gt;"",E3928&lt;&gt;"!!!"),"NEW","")))</f>
        <v/>
      </c>
      <c r="G3928" s="26" t="str">
        <f aca="false">IF(OR(E3928="",E3928="!!!"),"",IF(OR(J3928=0,AND(J3928=1,K3928=1),AND(J3928=1,I3928="SBJ"),AND(J3928=1,I3928=0)),"?IN_FOCUS",IF(J3928&lt;=2,"?ACTIVATED",IF(J3928&lt;&gt;"","?FAMILIAR",IF(F3928="NEW",IF(ISNA(VLOOKUP(E3928,#REF!,1,FALSE())),"?TYPE_IDENTIFIABLE","?REFERENTIAL"),"_")))))</f>
        <v/>
      </c>
      <c r="H3928" s="27" t="str">
        <f aca="false">IF(J3928&lt;&gt;1,"",IF(I3928="SBJ","CB","?"))</f>
        <v/>
      </c>
      <c r="I3928" s="24" t="str">
        <f aca="false">IF(OR(E3928="",E3928="!!!",F3928="NEW"),"",INDEX(B8:B$3921,-1+SUMPRODUCT(MAX(ROW(E8:E$3921)*(E3928=E8:E$3921)))))</f>
        <v/>
      </c>
      <c r="J3928" s="24" t="str">
        <f aca="true">IF(OR(E3928="",E3928="!!!",F3928="NEW"),"",COUNTBLANK(OFFSET(A$1,,,SUMPRODUCT(MAX(ROW(E$2:E3928)*(E3928=E$2:E3928)))))-COUNTBLANK(OFFSET(A$1,,,SUMPRODUCT(MAX(ROW(E$1:E3927)*(E2=E$1:E3927))))))</f>
        <v/>
      </c>
      <c r="K3928" s="24" t="str">
        <f aca="false">IF(OR(E3928="",E3928="!!!",F3928="NEW"),"",INDEX(J$1:J3927,SUMPRODUCT(MAX(ROW(E$1:E3927)*(E3928=E$1:E3927)))))</f>
        <v/>
      </c>
      <c r="L3928" s="31"/>
    </row>
    <row r="3929" customFormat="false" ht="15" hidden="false" customHeight="false" outlineLevel="0" collapsed="false">
      <c r="A3929" s="20" t="s">
        <v>2282</v>
      </c>
      <c r="B3929" s="22" t="s">
        <v>1105</v>
      </c>
      <c r="C3929" s="22" t="s">
        <v>1059</v>
      </c>
      <c r="D3929" s="22" t="s">
        <v>1060</v>
      </c>
      <c r="E3929" s="23" t="str">
        <f aca="false">IF(D3929="?OLD","!!!","")</f>
        <v>!!!</v>
      </c>
      <c r="F3929" s="25" t="str">
        <f aca="false">IF(OR(E3929="",E3929="!!!"),"",IF(NOT(ISNA(VLOOKUP(E3929,E$1:E3928,1,FALSE()))),"OLD",IF(AND(E3929&lt;&gt;"",E3929&lt;&gt;"!!!"),"NEW","")))</f>
        <v/>
      </c>
      <c r="G3929" s="26" t="str">
        <f aca="false">IF(OR(E3929="",E3929="!!!"),"",IF(OR(J3929=0,AND(J3929=1,K3929=1),AND(J3929=1,I3929="SBJ"),AND(J3929=1,I3929=0)),"?IN_FOCUS",IF(J3929&lt;=2,"?ACTIVATED",IF(J3929&lt;&gt;"","?FAMILIAR",IF(F3929="NEW",IF(ISNA(VLOOKUP(E3929,#REF!,1,FALSE())),"?TYPE_IDENTIFIABLE","?REFERENTIAL"),"_")))))</f>
        <v/>
      </c>
      <c r="H3929" s="27" t="str">
        <f aca="false">IF(J3929&lt;&gt;1,"",IF(I3929="SBJ","CB","?"))</f>
        <v/>
      </c>
      <c r="I3929" s="24" t="str">
        <f aca="false">IF(OR(E3929="",E3929="!!!",F3929="NEW"),"",INDEX(B9:B$3921,-1+SUMPRODUCT(MAX(ROW(E9:E$3921)*(E3929=E9:E$3921)))))</f>
        <v/>
      </c>
      <c r="J3929" s="24" t="str">
        <f aca="true">IF(OR(E3929="",E3929="!!!",F3929="NEW"),"",COUNTBLANK(OFFSET(A$1,,,SUMPRODUCT(MAX(ROW(E$2:E3929)*(E3929=E$2:E3929)))))-COUNTBLANK(OFFSET(A$1,,,SUMPRODUCT(MAX(ROW(E$1:E3928)*(E2=E$1:E3928))))))</f>
        <v/>
      </c>
      <c r="K3929" s="24" t="str">
        <f aca="false">IF(OR(E3929="",E3929="!!!",F3929="NEW"),"",INDEX(J$1:J3928,SUMPRODUCT(MAX(ROW(E$1:E3928)*(E3929=E$1:E3928)))))</f>
        <v/>
      </c>
      <c r="L3929" s="31"/>
    </row>
    <row r="3930" customFormat="false" ht="15" hidden="false" customHeight="false" outlineLevel="0" collapsed="false">
      <c r="A3930" s="20" t="s">
        <v>1076</v>
      </c>
      <c r="E3930" s="23" t="str">
        <f aca="false">IF(D3930="?OLD","!!!","")</f>
        <v/>
      </c>
      <c r="F3930" s="25" t="str">
        <f aca="false">IF(OR(E3930="",E3930="!!!"),"",IF(NOT(ISNA(VLOOKUP(E3930,E$1:E3929,1,FALSE()))),"OLD",IF(AND(E3930&lt;&gt;"",E3930&lt;&gt;"!!!"),"NEW","")))</f>
        <v/>
      </c>
      <c r="G3930" s="26" t="str">
        <f aca="false">IF(OR(E3930="",E3930="!!!"),"",IF(OR(J3930=0,AND(J3930=1,K3930=1),AND(J3930=1,I3930="SBJ"),AND(J3930=1,I3930=0)),"?IN_FOCUS",IF(J3930&lt;=2,"?ACTIVATED",IF(J3930&lt;&gt;"","?FAMILIAR",IF(F3930="NEW",IF(ISNA(VLOOKUP(E3930,#REF!,1,FALSE())),"?TYPE_IDENTIFIABLE","?REFERENTIAL"),"_")))))</f>
        <v/>
      </c>
      <c r="H3930" s="27" t="str">
        <f aca="false">IF(J3930&lt;&gt;1,"",IF(I3930="SBJ","CB","?"))</f>
        <v/>
      </c>
      <c r="I3930" s="24" t="str">
        <f aca="false">IF(OR(E3930="",E3930="!!!",F3930="NEW"),"",INDEX(B10:B$3921,-1+SUMPRODUCT(MAX(ROW(E10:E$3921)*(E3930=E10:E$3921)))))</f>
        <v/>
      </c>
      <c r="J3930" s="24" t="str">
        <f aca="true">IF(OR(E3930="",E3930="!!!",F3930="NEW"),"",COUNTBLANK(OFFSET(A$1,,,SUMPRODUCT(MAX(ROW(E$2:E3930)*(E3930=E$2:E3930)))))-COUNTBLANK(OFFSET(A$1,,,SUMPRODUCT(MAX(ROW(E$1:E3929)*(E2=E$1:E3929))))))</f>
        <v/>
      </c>
      <c r="K3930" s="24" t="str">
        <f aca="false">IF(OR(E3930="",E3930="!!!",F3930="NEW"),"",INDEX(J$1:J3929,SUMPRODUCT(MAX(ROW(E$1:E3929)*(E3930=E$1:E3929)))))</f>
        <v/>
      </c>
      <c r="L3930" s="31"/>
    </row>
    <row r="3931" customFormat="false" ht="15" hidden="false" customHeight="false" outlineLevel="0" collapsed="false">
      <c r="A3931" s="20" t="s">
        <v>1128</v>
      </c>
      <c r="E3931" s="23" t="str">
        <f aca="false">IF(D3931="?OLD","!!!","")</f>
        <v/>
      </c>
      <c r="F3931" s="25" t="str">
        <f aca="false">IF(OR(E3931="",E3931="!!!"),"",IF(NOT(ISNA(VLOOKUP(E3931,E$1:E3930,1,FALSE()))),"OLD",IF(AND(E3931&lt;&gt;"",E3931&lt;&gt;"!!!"),"NEW","")))</f>
        <v/>
      </c>
      <c r="G3931" s="26" t="str">
        <f aca="false">IF(OR(E3931="",E3931="!!!"),"",IF(OR(J3931=0,AND(J3931=1,K3931=1),AND(J3931=1,I3931="SBJ"),AND(J3931=1,I3931=0)),"?IN_FOCUS",IF(J3931&lt;=2,"?ACTIVATED",IF(J3931&lt;&gt;"","?FAMILIAR",IF(F3931="NEW",IF(ISNA(VLOOKUP(E3931,#REF!,1,FALSE())),"?TYPE_IDENTIFIABLE","?REFERENTIAL"),"_")))))</f>
        <v/>
      </c>
      <c r="H3931" s="27" t="str">
        <f aca="false">IF(J3931&lt;&gt;1,"",IF(I3931="SBJ","CB","?"))</f>
        <v/>
      </c>
      <c r="I3931" s="24" t="str">
        <f aca="false">IF(OR(E3931="",E3931="!!!",F3931="NEW"),"",INDEX(B11:B$3921,-1+SUMPRODUCT(MAX(ROW(E11:E$3921)*(E3931=E11:E$3921)))))</f>
        <v/>
      </c>
      <c r="J3931" s="24" t="str">
        <f aca="true">IF(OR(E3931="",E3931="!!!",F3931="NEW"),"",COUNTBLANK(OFFSET(A$1,,,SUMPRODUCT(MAX(ROW(E$2:E3931)*(E3931=E$2:E3931)))))-COUNTBLANK(OFFSET(A$1,,,SUMPRODUCT(MAX(ROW(E$1:E3930)*(E2=E$1:E3930))))))</f>
        <v/>
      </c>
      <c r="K3931" s="24" t="str">
        <f aca="false">IF(OR(E3931="",E3931="!!!",F3931="NEW"),"",INDEX(J$1:J3930,SUMPRODUCT(MAX(ROW(E$1:E3930)*(E3931=E$1:E3930)))))</f>
        <v/>
      </c>
      <c r="L3931" s="31"/>
    </row>
    <row r="3932" customFormat="false" ht="15" hidden="false" customHeight="false" outlineLevel="0" collapsed="false">
      <c r="A3932" s="20" t="s">
        <v>1186</v>
      </c>
      <c r="B3932" s="22" t="s">
        <v>1086</v>
      </c>
      <c r="C3932" s="22" t="s">
        <v>1082</v>
      </c>
      <c r="D3932" s="22" t="s">
        <v>1060</v>
      </c>
      <c r="E3932" s="23" t="str">
        <f aca="false">IF(D3932="?OLD","!!!","")</f>
        <v>!!!</v>
      </c>
      <c r="F3932" s="25" t="str">
        <f aca="false">IF(OR(E3932="",E3932="!!!"),"",IF(NOT(ISNA(VLOOKUP(E3932,E$1:E3931,1,FALSE()))),"OLD",IF(AND(E3932&lt;&gt;"",E3932&lt;&gt;"!!!"),"NEW","")))</f>
        <v/>
      </c>
      <c r="G3932" s="26" t="str">
        <f aca="false">IF(OR(E3932="",E3932="!!!"),"",IF(OR(J3932=0,AND(J3932=1,K3932=1),AND(J3932=1,I3932="SBJ"),AND(J3932=1,I3932=0)),"?IN_FOCUS",IF(J3932&lt;=2,"?ACTIVATED",IF(J3932&lt;&gt;"","?FAMILIAR",IF(F3932="NEW",IF(ISNA(VLOOKUP(E3932,#REF!,1,FALSE())),"?TYPE_IDENTIFIABLE","?REFERENTIAL"),"_")))))</f>
        <v/>
      </c>
      <c r="H3932" s="27" t="str">
        <f aca="false">IF(J3932&lt;&gt;1,"",IF(I3932="SBJ","CB","?"))</f>
        <v/>
      </c>
      <c r="I3932" s="24" t="str">
        <f aca="false">IF(OR(E3932="",E3932="!!!",F3932="NEW"),"",INDEX(B12:B$3921,-1+SUMPRODUCT(MAX(ROW(E12:E$3921)*(E3932=E12:E$3921)))))</f>
        <v/>
      </c>
      <c r="J3932" s="24" t="str">
        <f aca="true">IF(OR(E3932="",E3932="!!!",F3932="NEW"),"",COUNTBLANK(OFFSET(A$1,,,SUMPRODUCT(MAX(ROW(E$2:E3932)*(E3932=E$2:E3932)))))-COUNTBLANK(OFFSET(A$1,,,SUMPRODUCT(MAX(ROW(E$1:E3931)*(E2=E$1:E3931))))))</f>
        <v/>
      </c>
      <c r="K3932" s="24" t="str">
        <f aca="false">IF(OR(E3932="",E3932="!!!",F3932="NEW"),"",INDEX(J$1:J3931,SUMPRODUCT(MAX(ROW(E$1:E3931)*(E3932=E$1:E3931)))))</f>
        <v/>
      </c>
      <c r="L3932" s="31"/>
    </row>
    <row r="3933" customFormat="false" ht="15" hidden="false" customHeight="false" outlineLevel="0" collapsed="false">
      <c r="A3933" s="20" t="s">
        <v>1544</v>
      </c>
      <c r="E3933" s="23" t="str">
        <f aca="false">IF(D3933="?OLD","!!!","")</f>
        <v/>
      </c>
      <c r="F3933" s="25" t="str">
        <f aca="false">IF(OR(E3933="",E3933="!!!"),"",IF(NOT(ISNA(VLOOKUP(E3933,E$1:E3932,1,FALSE()))),"OLD",IF(AND(E3933&lt;&gt;"",E3933&lt;&gt;"!!!"),"NEW","")))</f>
        <v/>
      </c>
      <c r="G3933" s="26" t="str">
        <f aca="false">IF(OR(E3933="",E3933="!!!"),"",IF(OR(J3933=0,AND(J3933=1,K3933=1),AND(J3933=1,I3933="SBJ"),AND(J3933=1,I3933=0)),"?IN_FOCUS",IF(J3933&lt;=2,"?ACTIVATED",IF(J3933&lt;&gt;"","?FAMILIAR",IF(F3933="NEW",IF(ISNA(VLOOKUP(E3933,#REF!,1,FALSE())),"?TYPE_IDENTIFIABLE","?REFERENTIAL"),"_")))))</f>
        <v/>
      </c>
      <c r="H3933" s="27" t="str">
        <f aca="false">IF(J3933&lt;&gt;1,"",IF(I3933="SBJ","CB","?"))</f>
        <v/>
      </c>
      <c r="I3933" s="24" t="str">
        <f aca="false">IF(OR(E3933="",E3933="!!!",F3933="NEW"),"",INDEX(B13:B$3921,-1+SUMPRODUCT(MAX(ROW(E13:E$3921)*(E3933=E13:E$3921)))))</f>
        <v/>
      </c>
      <c r="J3933" s="24" t="str">
        <f aca="true">IF(OR(E3933="",E3933="!!!",F3933="NEW"),"",COUNTBLANK(OFFSET(A$1,,,SUMPRODUCT(MAX(ROW(E$2:E3933)*(E3933=E$2:E3933)))))-COUNTBLANK(OFFSET(A$1,,,SUMPRODUCT(MAX(ROW(E$1:E3932)*(E2=E$1:E3932))))))</f>
        <v/>
      </c>
      <c r="K3933" s="24" t="str">
        <f aca="false">IF(OR(E3933="",E3933="!!!",F3933="NEW"),"",INDEX(J$1:J3932,SUMPRODUCT(MAX(ROW(E$1:E3932)*(E3933=E$1:E3932)))))</f>
        <v/>
      </c>
      <c r="L3933" s="31"/>
    </row>
    <row r="3934" customFormat="false" ht="15" hidden="false" customHeight="false" outlineLevel="0" collapsed="false">
      <c r="A3934" s="20" t="s">
        <v>1213</v>
      </c>
      <c r="E3934" s="23" t="str">
        <f aca="false">IF(D3934="?OLD","!!!","")</f>
        <v/>
      </c>
      <c r="F3934" s="25" t="str">
        <f aca="false">IF(OR(E3934="",E3934="!!!"),"",IF(NOT(ISNA(VLOOKUP(E3934,E$1:E3933,1,FALSE()))),"OLD",IF(AND(E3934&lt;&gt;"",E3934&lt;&gt;"!!!"),"NEW","")))</f>
        <v/>
      </c>
      <c r="G3934" s="26" t="str">
        <f aca="false">IF(OR(E3934="",E3934="!!!"),"",IF(OR(J3934=0,AND(J3934=1,K3934=1),AND(J3934=1,I3934="SBJ"),AND(J3934=1,I3934=0)),"?IN_FOCUS",IF(J3934&lt;=2,"?ACTIVATED",IF(J3934&lt;&gt;"","?FAMILIAR",IF(F3934="NEW",IF(ISNA(VLOOKUP(E3934,#REF!,1,FALSE())),"?TYPE_IDENTIFIABLE","?REFERENTIAL"),"_")))))</f>
        <v/>
      </c>
      <c r="H3934" s="27" t="str">
        <f aca="false">IF(J3934&lt;&gt;1,"",IF(I3934="SBJ","CB","?"))</f>
        <v/>
      </c>
      <c r="I3934" s="24" t="str">
        <f aca="false">IF(OR(E3934="",E3934="!!!",F3934="NEW"),"",INDEX(B14:B$3921,-1+SUMPRODUCT(MAX(ROW(E14:E$3921)*(E3934=E14:E$3921)))))</f>
        <v/>
      </c>
      <c r="J3934" s="24" t="str">
        <f aca="true">IF(OR(E3934="",E3934="!!!",F3934="NEW"),"",COUNTBLANK(OFFSET(A$1,,,SUMPRODUCT(MAX(ROW(E$2:E3934)*(E3934=E$2:E3934)))))-COUNTBLANK(OFFSET(A$1,,,SUMPRODUCT(MAX(ROW(E$1:E3933)*(E2=E$1:E3933))))))</f>
        <v/>
      </c>
      <c r="K3934" s="24" t="str">
        <f aca="false">IF(OR(E3934="",E3934="!!!",F3934="NEW"),"",INDEX(J$1:J3933,SUMPRODUCT(MAX(ROW(E$1:E3933)*(E3934=E$1:E3933)))))</f>
        <v/>
      </c>
      <c r="L3934" s="31"/>
    </row>
    <row r="3935" customFormat="false" ht="15" hidden="false" customHeight="false" outlineLevel="0" collapsed="false">
      <c r="A3935" s="20" t="s">
        <v>1823</v>
      </c>
      <c r="B3935" s="22" t="s">
        <v>1073</v>
      </c>
      <c r="C3935" s="22" t="s">
        <v>1160</v>
      </c>
      <c r="E3935" s="23" t="str">
        <f aca="false">IF(D3935="?OLD","!!!","")</f>
        <v/>
      </c>
      <c r="F3935" s="25" t="str">
        <f aca="false">IF(OR(E3935="",E3935="!!!"),"",IF(NOT(ISNA(VLOOKUP(E3935,E$1:E3934,1,FALSE()))),"OLD",IF(AND(E3935&lt;&gt;"",E3935&lt;&gt;"!!!"),"NEW","")))</f>
        <v/>
      </c>
      <c r="G3935" s="26" t="str">
        <f aca="false">IF(OR(E3935="",E3935="!!!"),"",IF(OR(J3935=0,AND(J3935=1,K3935=1),AND(J3935=1,I3935="SBJ"),AND(J3935=1,I3935=0)),"?IN_FOCUS",IF(J3935&lt;=2,"?ACTIVATED",IF(J3935&lt;&gt;"","?FAMILIAR",IF(F3935="NEW",IF(ISNA(VLOOKUP(E3935,#REF!,1,FALSE())),"?TYPE_IDENTIFIABLE","?REFERENTIAL"),"_")))))</f>
        <v/>
      </c>
      <c r="H3935" s="27" t="str">
        <f aca="false">IF(J3935&lt;&gt;1,"",IF(I3935="SBJ","CB","?"))</f>
        <v/>
      </c>
      <c r="I3935" s="24" t="str">
        <f aca="false">IF(OR(E3935="",E3935="!!!",F3935="NEW"),"",INDEX(B15:B$3921,-1+SUMPRODUCT(MAX(ROW(E15:E$3921)*(E3935=E15:E$3921)))))</f>
        <v/>
      </c>
      <c r="J3935" s="24" t="str">
        <f aca="true">IF(OR(E3935="",E3935="!!!",F3935="NEW"),"",COUNTBLANK(OFFSET(A$1,,,SUMPRODUCT(MAX(ROW(E$2:E3935)*(E3935=E$2:E3935)))))-COUNTBLANK(OFFSET(A$1,,,SUMPRODUCT(MAX(ROW(E$1:E3934)*(E2=E$1:E3934))))))</f>
        <v/>
      </c>
      <c r="K3935" s="24" t="str">
        <f aca="false">IF(OR(E3935="",E3935="!!!",F3935="NEW"),"",INDEX(J$1:J3934,SUMPRODUCT(MAX(ROW(E$1:E3934)*(E3935=E$1:E3934)))))</f>
        <v/>
      </c>
      <c r="L3935" s="31"/>
    </row>
    <row r="3936" customFormat="false" ht="15" hidden="false" customHeight="false" outlineLevel="0" collapsed="false">
      <c r="A3936" s="20" t="s">
        <v>1089</v>
      </c>
      <c r="E3936" s="23" t="str">
        <f aca="false">IF(D3936="?OLD","!!!","")</f>
        <v/>
      </c>
      <c r="F3936" s="25" t="str">
        <f aca="false">IF(OR(E3936="",E3936="!!!"),"",IF(NOT(ISNA(VLOOKUP(E3936,E$1:E3935,1,FALSE()))),"OLD",IF(AND(E3936&lt;&gt;"",E3936&lt;&gt;"!!!"),"NEW","")))</f>
        <v/>
      </c>
      <c r="G3936" s="26" t="str">
        <f aca="false">IF(OR(E3936="",E3936="!!!"),"",IF(OR(J3936=0,AND(J3936=1,K3936=1),AND(J3936=1,I3936="SBJ"),AND(J3936=1,I3936=0)),"?IN_FOCUS",IF(J3936&lt;=2,"?ACTIVATED",IF(J3936&lt;&gt;"","?FAMILIAR",IF(F3936="NEW",IF(ISNA(VLOOKUP(E3936,#REF!,1,FALSE())),"?TYPE_IDENTIFIABLE","?REFERENTIAL"),"_")))))</f>
        <v/>
      </c>
      <c r="H3936" s="27" t="str">
        <f aca="false">IF(J3936&lt;&gt;1,"",IF(I3936="SBJ","CB","?"))</f>
        <v/>
      </c>
      <c r="I3936" s="24" t="str">
        <f aca="false">IF(OR(E3936="",E3936="!!!",F3936="NEW"),"",INDEX(B16:B$3921,-1+SUMPRODUCT(MAX(ROW(E16:E$3921)*(E3936=E16:E$3921)))))</f>
        <v/>
      </c>
      <c r="J3936" s="24" t="str">
        <f aca="true">IF(OR(E3936="",E3936="!!!",F3936="NEW"),"",COUNTBLANK(OFFSET(A$1,,,SUMPRODUCT(MAX(ROW(E$2:E3936)*(E3936=E$2:E3936)))))-COUNTBLANK(OFFSET(A$1,,,SUMPRODUCT(MAX(ROW(E$1:E3935)*(E2=E$1:E3935))))))</f>
        <v/>
      </c>
      <c r="K3936" s="24" t="str">
        <f aca="false">IF(OR(E3936="",E3936="!!!",F3936="NEW"),"",INDEX(J$1:J3935,SUMPRODUCT(MAX(ROW(E$1:E3935)*(E3936=E$1:E3935)))))</f>
        <v/>
      </c>
      <c r="L3936" s="31"/>
    </row>
    <row r="3937" customFormat="false" ht="15" hidden="false" customHeight="false" outlineLevel="0" collapsed="false">
      <c r="A3937" s="20" t="s">
        <v>1424</v>
      </c>
      <c r="B3937" s="22" t="s">
        <v>1091</v>
      </c>
      <c r="C3937" s="22" t="s">
        <v>1082</v>
      </c>
      <c r="D3937" s="22" t="s">
        <v>1060</v>
      </c>
      <c r="E3937" s="23" t="str">
        <f aca="false">IF(D3937="?OLD","!!!","")</f>
        <v>!!!</v>
      </c>
      <c r="F3937" s="25" t="str">
        <f aca="false">IF(OR(E3937="",E3937="!!!"),"",IF(NOT(ISNA(VLOOKUP(E3937,E$1:E3936,1,FALSE()))),"OLD",IF(AND(E3937&lt;&gt;"",E3937&lt;&gt;"!!!"),"NEW","")))</f>
        <v/>
      </c>
      <c r="G3937" s="26" t="str">
        <f aca="false">IF(OR(E3937="",E3937="!!!"),"",IF(OR(J3937=0,AND(J3937=1,K3937=1),AND(J3937=1,I3937="SBJ"),AND(J3937=1,I3937=0)),"?IN_FOCUS",IF(J3937&lt;=2,"?ACTIVATED",IF(J3937&lt;&gt;"","?FAMILIAR",IF(F3937="NEW",IF(ISNA(VLOOKUP(E3937,#REF!,1,FALSE())),"?TYPE_IDENTIFIABLE","?REFERENTIAL"),"_")))))</f>
        <v/>
      </c>
      <c r="H3937" s="27" t="str">
        <f aca="false">IF(J3937&lt;&gt;1,"",IF(I3937="SBJ","CB","?"))</f>
        <v/>
      </c>
      <c r="I3937" s="24" t="str">
        <f aca="false">IF(OR(E3937="",E3937="!!!",F3937="NEW"),"",INDEX(B17:B$3921,-1+SUMPRODUCT(MAX(ROW(E17:E$3921)*(E3937=E17:E$3921)))))</f>
        <v/>
      </c>
      <c r="J3937" s="24" t="str">
        <f aca="true">IF(OR(E3937="",E3937="!!!",F3937="NEW"),"",COUNTBLANK(OFFSET(A$1,,,SUMPRODUCT(MAX(ROW(E$2:E3937)*(E3937=E$2:E3937)))))-COUNTBLANK(OFFSET(A$1,,,SUMPRODUCT(MAX(ROW(E$1:E3936)*(E2=E$1:E3936))))))</f>
        <v/>
      </c>
      <c r="K3937" s="24" t="str">
        <f aca="false">IF(OR(E3937="",E3937="!!!",F3937="NEW"),"",INDEX(J$1:J3936,SUMPRODUCT(MAX(ROW(E$1:E3936)*(E3937=E$1:E3936)))))</f>
        <v/>
      </c>
      <c r="L3937" s="31"/>
    </row>
    <row r="3938" customFormat="false" ht="15" hidden="false" customHeight="false" outlineLevel="0" collapsed="false">
      <c r="A3938" s="20" t="s">
        <v>1135</v>
      </c>
      <c r="E3938" s="23" t="str">
        <f aca="false">IF(D3938="?OLD","!!!","")</f>
        <v/>
      </c>
      <c r="F3938" s="25" t="str">
        <f aca="false">IF(OR(E3938="",E3938="!!!"),"",IF(NOT(ISNA(VLOOKUP(E3938,E$1:E3937,1,FALSE()))),"OLD",IF(AND(E3938&lt;&gt;"",E3938&lt;&gt;"!!!"),"NEW","")))</f>
        <v/>
      </c>
      <c r="G3938" s="26" t="str">
        <f aca="false">IF(OR(E3938="",E3938="!!!"),"",IF(OR(J3938=0,AND(J3938=1,K3938=1),AND(J3938=1,I3938="SBJ"),AND(J3938=1,I3938=0)),"?IN_FOCUS",IF(J3938&lt;=2,"?ACTIVATED",IF(J3938&lt;&gt;"","?FAMILIAR",IF(F3938="NEW",IF(ISNA(VLOOKUP(E3938,#REF!,1,FALSE())),"?TYPE_IDENTIFIABLE","?REFERENTIAL"),"_")))))</f>
        <v/>
      </c>
      <c r="H3938" s="27" t="str">
        <f aca="false">IF(J3938&lt;&gt;1,"",IF(I3938="SBJ","CB","?"))</f>
        <v/>
      </c>
      <c r="I3938" s="24" t="str">
        <f aca="false">IF(OR(E3938="",E3938="!!!",F3938="NEW"),"",INDEX(B18:B$3921,-1+SUMPRODUCT(MAX(ROW(E18:E$3921)*(E3938=E18:E$3921)))))</f>
        <v/>
      </c>
      <c r="J3938" s="24" t="str">
        <f aca="true">IF(OR(E3938="",E3938="!!!",F3938="NEW"),"",COUNTBLANK(OFFSET(A$1,,,SUMPRODUCT(MAX(ROW(E$2:E3938)*(E3938=E$2:E3938)))))-COUNTBLANK(OFFSET(A$1,,,SUMPRODUCT(MAX(ROW(E$1:E3937)*(E2=E$1:E3937))))))</f>
        <v/>
      </c>
      <c r="K3938" s="24" t="str">
        <f aca="false">IF(OR(E3938="",E3938="!!!",F3938="NEW"),"",INDEX(J$1:J3937,SUMPRODUCT(MAX(ROW(E$1:E3937)*(E3938=E$1:E3937)))))</f>
        <v/>
      </c>
      <c r="L3938" s="31"/>
    </row>
    <row r="3939" customFormat="false" ht="15" hidden="false" customHeight="false" outlineLevel="0" collapsed="false">
      <c r="A3939" s="20" t="s">
        <v>1760</v>
      </c>
      <c r="E3939" s="23" t="str">
        <f aca="false">IF(D3939="?OLD","!!!","")</f>
        <v/>
      </c>
      <c r="F3939" s="25" t="str">
        <f aca="false">IF(OR(E3939="",E3939="!!!"),"",IF(NOT(ISNA(VLOOKUP(E3939,E$1:E3938,1,FALSE()))),"OLD",IF(AND(E3939&lt;&gt;"",E3939&lt;&gt;"!!!"),"NEW","")))</f>
        <v/>
      </c>
      <c r="G3939" s="26" t="str">
        <f aca="false">IF(OR(E3939="",E3939="!!!"),"",IF(OR(J3939=0,AND(J3939=1,K3939=1),AND(J3939=1,I3939="SBJ"),AND(J3939=1,I3939=0)),"?IN_FOCUS",IF(J3939&lt;=2,"?ACTIVATED",IF(J3939&lt;&gt;"","?FAMILIAR",IF(F3939="NEW",IF(ISNA(VLOOKUP(E3939,#REF!,1,FALSE())),"?TYPE_IDENTIFIABLE","?REFERENTIAL"),"_")))))</f>
        <v/>
      </c>
      <c r="H3939" s="27" t="str">
        <f aca="false">IF(J3939&lt;&gt;1,"",IF(I3939="SBJ","CB","?"))</f>
        <v/>
      </c>
      <c r="I3939" s="24" t="str">
        <f aca="false">IF(OR(E3939="",E3939="!!!",F3939="NEW"),"",INDEX(B19:B$3921,-1+SUMPRODUCT(MAX(ROW(E19:E$3921)*(E3939=E19:E$3921)))))</f>
        <v/>
      </c>
      <c r="J3939" s="24" t="str">
        <f aca="true">IF(OR(E3939="",E3939="!!!",F3939="NEW"),"",COUNTBLANK(OFFSET(A$1,,,SUMPRODUCT(MAX(ROW(E$2:E3939)*(E3939=E$2:E3939)))))-COUNTBLANK(OFFSET(A$1,,,SUMPRODUCT(MAX(ROW(E$1:E3938)*(E2=E$1:E3938))))))</f>
        <v/>
      </c>
      <c r="K3939" s="24" t="str">
        <f aca="false">IF(OR(E3939="",E3939="!!!",F3939="NEW"),"",INDEX(J$1:J3938,SUMPRODUCT(MAX(ROW(E$1:E3938)*(E3939=E$1:E3938)))))</f>
        <v/>
      </c>
      <c r="L3939" s="31"/>
    </row>
    <row r="3940" customFormat="false" ht="15" hidden="false" customHeight="false" outlineLevel="0" collapsed="false">
      <c r="A3940" s="20" t="s">
        <v>2283</v>
      </c>
      <c r="E3940" s="23" t="str">
        <f aca="false">IF(D3940="?OLD","!!!","")</f>
        <v/>
      </c>
      <c r="F3940" s="25" t="str">
        <f aca="false">IF(OR(E3940="",E3940="!!!"),"",IF(NOT(ISNA(VLOOKUP(E3940,E$1:E3939,1,FALSE()))),"OLD",IF(AND(E3940&lt;&gt;"",E3940&lt;&gt;"!!!"),"NEW","")))</f>
        <v/>
      </c>
      <c r="G3940" s="26" t="str">
        <f aca="false">IF(OR(E3940="",E3940="!!!"),"",IF(OR(J3940=0,AND(J3940=1,K3940=1),AND(J3940=1,I3940="SBJ"),AND(J3940=1,I3940=0)),"?IN_FOCUS",IF(J3940&lt;=2,"?ACTIVATED",IF(J3940&lt;&gt;"","?FAMILIAR",IF(F3940="NEW",IF(ISNA(VLOOKUP(E3940,#REF!,1,FALSE())),"?TYPE_IDENTIFIABLE","?REFERENTIAL"),"_")))))</f>
        <v/>
      </c>
      <c r="H3940" s="27" t="str">
        <f aca="false">IF(J3940&lt;&gt;1,"",IF(I3940="SBJ","CB","?"))</f>
        <v/>
      </c>
      <c r="I3940" s="24" t="str">
        <f aca="false">IF(OR(E3940="",E3940="!!!",F3940="NEW"),"",INDEX(B20:B$3921,-1+SUMPRODUCT(MAX(ROW(E20:E$3921)*(E3940=E20:E$3921)))))</f>
        <v/>
      </c>
      <c r="J3940" s="24" t="str">
        <f aca="true">IF(OR(E3940="",E3940="!!!",F3940="NEW"),"",COUNTBLANK(OFFSET(A$1,,,SUMPRODUCT(MAX(ROW(E$2:E3940)*(E3940=E$2:E3940)))))-COUNTBLANK(OFFSET(A$1,,,SUMPRODUCT(MAX(ROW(E$1:E3939)*(E2=E$1:E3939))))))</f>
        <v/>
      </c>
      <c r="K3940" s="24" t="str">
        <f aca="false">IF(OR(E3940="",E3940="!!!",F3940="NEW"),"",INDEX(J$1:J3939,SUMPRODUCT(MAX(ROW(E$1:E3939)*(E3940=E$1:E3939)))))</f>
        <v/>
      </c>
      <c r="L3940" s="31"/>
    </row>
    <row r="3941" customFormat="false" ht="15" hidden="false" customHeight="false" outlineLevel="0" collapsed="false">
      <c r="A3941" s="20" t="s">
        <v>1213</v>
      </c>
      <c r="E3941" s="23" t="str">
        <f aca="false">IF(D3941="?OLD","!!!","")</f>
        <v/>
      </c>
      <c r="F3941" s="25" t="str">
        <f aca="false">IF(OR(E3941="",E3941="!!!"),"",IF(NOT(ISNA(VLOOKUP(E3941,E$1:E3940,1,FALSE()))),"OLD",IF(AND(E3941&lt;&gt;"",E3941&lt;&gt;"!!!"),"NEW","")))</f>
        <v/>
      </c>
      <c r="G3941" s="26" t="str">
        <f aca="false">IF(OR(E3941="",E3941="!!!"),"",IF(OR(J3941=0,AND(J3941=1,K3941=1),AND(J3941=1,I3941="SBJ"),AND(J3941=1,I3941=0)),"?IN_FOCUS",IF(J3941&lt;=2,"?ACTIVATED",IF(J3941&lt;&gt;"","?FAMILIAR",IF(F3941="NEW",IF(ISNA(VLOOKUP(E3941,#REF!,1,FALSE())),"?TYPE_IDENTIFIABLE","?REFERENTIAL"),"_")))))</f>
        <v/>
      </c>
      <c r="H3941" s="27" t="str">
        <f aca="false">IF(J3941&lt;&gt;1,"",IF(I3941="SBJ","CB","?"))</f>
        <v/>
      </c>
      <c r="I3941" s="24" t="str">
        <f aca="false">IF(OR(E3941="",E3941="!!!",F3941="NEW"),"",INDEX(B21:B$3921,-1+SUMPRODUCT(MAX(ROW(E21:E$3921)*(E3941=E21:E$3921)))))</f>
        <v/>
      </c>
      <c r="J3941" s="24" t="str">
        <f aca="true">IF(OR(E3941="",E3941="!!!",F3941="NEW"),"",COUNTBLANK(OFFSET(A$1,,,SUMPRODUCT(MAX(ROW(E$2:E3941)*(E3941=E$2:E3941)))))-COUNTBLANK(OFFSET(A$1,,,SUMPRODUCT(MAX(ROW(E$1:E3940)*(E2=E$1:E3940))))))</f>
        <v/>
      </c>
      <c r="K3941" s="24" t="str">
        <f aca="false">IF(OR(E3941="",E3941="!!!",F3941="NEW"),"",INDEX(J$1:J3940,SUMPRODUCT(MAX(ROW(E$1:E3940)*(E3941=E$1:E3940)))))</f>
        <v/>
      </c>
      <c r="L3941" s="31"/>
    </row>
    <row r="3942" customFormat="false" ht="15" hidden="false" customHeight="false" outlineLevel="0" collapsed="false">
      <c r="A3942" s="20" t="s">
        <v>2284</v>
      </c>
      <c r="B3942" s="22" t="s">
        <v>1067</v>
      </c>
      <c r="C3942" s="22" t="s">
        <v>1160</v>
      </c>
      <c r="E3942" s="23" t="str">
        <f aca="false">IF(D3942="?OLD","!!!","")</f>
        <v/>
      </c>
      <c r="F3942" s="25" t="str">
        <f aca="false">IF(OR(E3942="",E3942="!!!"),"",IF(NOT(ISNA(VLOOKUP(E3942,E$1:E3941,1,FALSE()))),"OLD",IF(AND(E3942&lt;&gt;"",E3942&lt;&gt;"!!!"),"NEW","")))</f>
        <v/>
      </c>
      <c r="G3942" s="26" t="str">
        <f aca="false">IF(OR(E3942="",E3942="!!!"),"",IF(OR(J3942=0,AND(J3942=1,K3942=1),AND(J3942=1,I3942="SBJ"),AND(J3942=1,I3942=0)),"?IN_FOCUS",IF(J3942&lt;=2,"?ACTIVATED",IF(J3942&lt;&gt;"","?FAMILIAR",IF(F3942="NEW",IF(ISNA(VLOOKUP(E3942,#REF!,1,FALSE())),"?TYPE_IDENTIFIABLE","?REFERENTIAL"),"_")))))</f>
        <v/>
      </c>
      <c r="H3942" s="27" t="str">
        <f aca="false">IF(J3942&lt;&gt;1,"",IF(I3942="SBJ","CB","?"))</f>
        <v/>
      </c>
      <c r="I3942" s="24" t="str">
        <f aca="false">IF(OR(E3942="",E3942="!!!",F3942="NEW"),"",INDEX(B22:B$3921,-1+SUMPRODUCT(MAX(ROW(E22:E$3921)*(E3942=E22:E$3921)))))</f>
        <v/>
      </c>
      <c r="J3942" s="24" t="str">
        <f aca="true">IF(OR(E3942="",E3942="!!!",F3942="NEW"),"",COUNTBLANK(OFFSET(A$1,,,SUMPRODUCT(MAX(ROW(E$2:E3942)*(E3942=E$2:E3942)))))-COUNTBLANK(OFFSET(A$1,,,SUMPRODUCT(MAX(ROW(E$1:E3941)*(E2=E$1:E3941))))))</f>
        <v/>
      </c>
      <c r="K3942" s="24" t="str">
        <f aca="false">IF(OR(E3942="",E3942="!!!",F3942="NEW"),"",INDEX(J$1:J3941,SUMPRODUCT(MAX(ROW(E$1:E3941)*(E3942=E$1:E3941)))))</f>
        <v/>
      </c>
      <c r="L3942" s="31"/>
    </row>
    <row r="3943" customFormat="false" ht="15" hidden="false" customHeight="false" outlineLevel="0" collapsed="false">
      <c r="A3943" s="20" t="s">
        <v>923</v>
      </c>
      <c r="E3943" s="23" t="str">
        <f aca="false">IF(D3943="?OLD","!!!","")</f>
        <v/>
      </c>
      <c r="F3943" s="25" t="str">
        <f aca="false">IF(OR(E3943="",E3943="!!!"),"",IF(NOT(ISNA(VLOOKUP(E3943,E$1:E3942,1,FALSE()))),"OLD",IF(AND(E3943&lt;&gt;"",E3943&lt;&gt;"!!!"),"NEW","")))</f>
        <v/>
      </c>
      <c r="G3943" s="26" t="str">
        <f aca="false">IF(OR(E3943="",E3943="!!!"),"",IF(OR(J3943=0,AND(J3943=1,K3943=1),AND(J3943=1,I3943="SBJ"),AND(J3943=1,I3943=0)),"?IN_FOCUS",IF(J3943&lt;=2,"?ACTIVATED",IF(J3943&lt;&gt;"","?FAMILIAR",IF(F3943="NEW",IF(ISNA(VLOOKUP(E3943,#REF!,1,FALSE())),"?TYPE_IDENTIFIABLE","?REFERENTIAL"),"_")))))</f>
        <v/>
      </c>
      <c r="H3943" s="27" t="str">
        <f aca="false">IF(J3943&lt;&gt;1,"",IF(I3943="SBJ","CB","?"))</f>
        <v/>
      </c>
      <c r="I3943" s="24" t="str">
        <f aca="false">IF(OR(E3943="",E3943="!!!",F3943="NEW"),"",INDEX(B23:B$3921,-1+SUMPRODUCT(MAX(ROW(E23:E$3921)*(E3943=E23:E$3921)))))</f>
        <v/>
      </c>
      <c r="J3943" s="24" t="str">
        <f aca="true">IF(OR(E3943="",E3943="!!!",F3943="NEW"),"",COUNTBLANK(OFFSET(A$1,,,SUMPRODUCT(MAX(ROW(E$2:E3943)*(E3943=E$2:E3943)))))-COUNTBLANK(OFFSET(A$1,,,SUMPRODUCT(MAX(ROW(E$1:E3942)*(E2=E$1:E3942))))))</f>
        <v/>
      </c>
      <c r="K3943" s="24" t="str">
        <f aca="false">IF(OR(E3943="",E3943="!!!",F3943="NEW"),"",INDEX(J$1:J3942,SUMPRODUCT(MAX(ROW(E$1:E3942)*(E3943=E$1:E3942)))))</f>
        <v/>
      </c>
      <c r="L3943" s="31"/>
    </row>
    <row r="3944" customFormat="false" ht="15" hidden="false" customHeight="false" outlineLevel="0" collapsed="false">
      <c r="A3944" s="20"/>
    </row>
    <row r="3945" customFormat="false" ht="15" hidden="false" customHeight="false" outlineLevel="0" collapsed="false">
      <c r="A3945" s="20" t="s">
        <v>1301</v>
      </c>
      <c r="E3945" s="23" t="str">
        <f aca="false">IF(D3945="?OLD","!!!","")</f>
        <v/>
      </c>
      <c r="F3945" s="25" t="str">
        <f aca="false">IF(OR(E3945="",E3945="!!!"),"",IF(NOT(ISNA(VLOOKUP(E3945,E$1:E3944,1,FALSE()))),"OLD",IF(AND(E3945&lt;&gt;"",E3945&lt;&gt;"!!!"),"NEW","")))</f>
        <v/>
      </c>
      <c r="G3945" s="26" t="str">
        <f aca="false">IF(OR(E3945="",E3945="!!!"),"",IF(OR(J3945=0,AND(J3945=1,K3945=1),AND(J3945=1,I3945="SBJ"),AND(J3945=1,I3945=0)),"?IN_FOCUS",IF(J3945&lt;=2,"?ACTIVATED",IF(J3945&lt;&gt;"","?FAMILIAR",IF(F3945="NEW",IF(ISNA(VLOOKUP(E3945,#REF!,1,FALSE())),"?TYPE_IDENTIFIABLE","?REFERENTIAL"),"_")))))</f>
        <v/>
      </c>
      <c r="H3945" s="27" t="str">
        <f aca="false">IF(J3945&lt;&gt;1,"",IF(I3945="SBJ","CB","?"))</f>
        <v/>
      </c>
      <c r="I3945" s="24" t="str">
        <f aca="false">IF(OR(E3945="",E3945="!!!",F3945="NEW"),"",INDEX(B2:B$3944,-1+SUMPRODUCT(MAX(ROW(E2:E$3944)*(E3945=E2:E$3944)))))</f>
        <v/>
      </c>
      <c r="J3945" s="24" t="str">
        <f aca="true">IF(OR(E3945="",E3945="!!!",F3945="NEW"),"",COUNTBLANK(OFFSET(A$1,,,SUMPRODUCT(MAX(ROW(E$2:E3945)*(E3945=E$2:E3945)))))-COUNTBLANK(OFFSET(A$1,,,SUMPRODUCT(MAX(ROW(E$1:E3944)*(E2=E$1:E3944))))))</f>
        <v/>
      </c>
      <c r="K3945" s="24" t="str">
        <f aca="false">IF(OR(E3945="",E3945="!!!",F3945="NEW"),"",INDEX(J$1:J3944,SUMPRODUCT(MAX(ROW(E$1:E3944)*(E3945=E$1:E3944)))))</f>
        <v/>
      </c>
      <c r="L3945" s="31"/>
    </row>
    <row r="3946" customFormat="false" ht="15" hidden="false" customHeight="false" outlineLevel="0" collapsed="false">
      <c r="A3946" s="20" t="s">
        <v>2285</v>
      </c>
    </row>
    <row r="3947" customFormat="false" ht="15" hidden="false" customHeight="false" outlineLevel="0" collapsed="false">
      <c r="A3947" s="20" t="s">
        <v>607</v>
      </c>
      <c r="E3947" s="23" t="str">
        <f aca="false">IF(D3947="?OLD","!!!","")</f>
        <v/>
      </c>
      <c r="F3947" s="25" t="str">
        <f aca="false">IF(OR(E3947="",E3947="!!!"),"",IF(NOT(ISNA(VLOOKUP(E3947,E$1:E3946,1,FALSE()))),"OLD",IF(AND(E3947&lt;&gt;"",E3947&lt;&gt;"!!!"),"NEW","")))</f>
        <v/>
      </c>
      <c r="G3947" s="26" t="str">
        <f aca="false">IF(OR(E3947="",E3947="!!!"),"",IF(OR(J3947=0,AND(J3947=1,K3947=1),AND(J3947=1,I3947="SBJ"),AND(J3947=1,I3947=0)),"?IN_FOCUS",IF(J3947&lt;=2,"?ACTIVATED",IF(J3947&lt;&gt;"","?FAMILIAR",IF(F3947="NEW",IF(ISNA(VLOOKUP(E3947,#REF!,1,FALSE())),"?TYPE_IDENTIFIABLE","?REFERENTIAL"),"_")))))</f>
        <v/>
      </c>
      <c r="H3947" s="27" t="str">
        <f aca="false">IF(J3947&lt;&gt;1,"",IF(I3947="SBJ","CB","?"))</f>
        <v/>
      </c>
      <c r="I3947" s="24" t="str">
        <f aca="false">IF(OR(E3947="",E3947="!!!",F3947="NEW"),"",INDEX(B2:B$3946,-1+SUMPRODUCT(MAX(ROW(E2:E$3946)*(E3947=E2:E$3946)))))</f>
        <v/>
      </c>
      <c r="J3947" s="24" t="str">
        <f aca="true">IF(OR(E3947="",E3947="!!!",F3947="NEW"),"",COUNTBLANK(OFFSET(A$1,,,SUMPRODUCT(MAX(ROW(E$2:E3947)*(E3947=E$2:E3947)))))-COUNTBLANK(OFFSET(A$1,,,SUMPRODUCT(MAX(ROW(E$1:E3946)*(E2=E$1:E3946))))))</f>
        <v/>
      </c>
      <c r="K3947" s="24" t="str">
        <f aca="false">IF(OR(E3947="",E3947="!!!",F3947="NEW"),"",INDEX(J$1:J3946,SUMPRODUCT(MAX(ROW(E$1:E3946)*(E3947=E$1:E3946)))))</f>
        <v/>
      </c>
      <c r="L3947" s="31"/>
    </row>
    <row r="3948" customFormat="false" ht="15" hidden="false" customHeight="false" outlineLevel="0" collapsed="false">
      <c r="A3948" s="20" t="s">
        <v>1832</v>
      </c>
      <c r="E3948" s="23" t="str">
        <f aca="false">IF(D3948="?OLD","!!!","")</f>
        <v/>
      </c>
      <c r="F3948" s="25" t="str">
        <f aca="false">IF(OR(E3948="",E3948="!!!"),"",IF(NOT(ISNA(VLOOKUP(E3948,E$1:E3947,1,FALSE()))),"OLD",IF(AND(E3948&lt;&gt;"",E3948&lt;&gt;"!!!"),"NEW","")))</f>
        <v/>
      </c>
      <c r="G3948" s="26" t="str">
        <f aca="false">IF(OR(E3948="",E3948="!!!"),"",IF(OR(J3948=0,AND(J3948=1,K3948=1),AND(J3948=1,I3948="SBJ"),AND(J3948=1,I3948=0)),"?IN_FOCUS",IF(J3948&lt;=2,"?ACTIVATED",IF(J3948&lt;&gt;"","?FAMILIAR",IF(F3948="NEW",IF(ISNA(VLOOKUP(E3948,#REF!,1,FALSE())),"?TYPE_IDENTIFIABLE","?REFERENTIAL"),"_")))))</f>
        <v/>
      </c>
      <c r="H3948" s="27" t="str">
        <f aca="false">IF(J3948&lt;&gt;1,"",IF(I3948="SBJ","CB","?"))</f>
        <v/>
      </c>
      <c r="I3948" s="24" t="str">
        <f aca="false">IF(OR(E3948="",E3948="!!!",F3948="NEW"),"",INDEX(B3:B$3946,-1+SUMPRODUCT(MAX(ROW(E3:E$3946)*(E3948=E3:E$3946)))))</f>
        <v/>
      </c>
      <c r="J3948" s="24" t="str">
        <f aca="true">IF(OR(E3948="",E3948="!!!",F3948="NEW"),"",COUNTBLANK(OFFSET(A$1,,,SUMPRODUCT(MAX(ROW(E$2:E3948)*(E3948=E$2:E3948)))))-COUNTBLANK(OFFSET(A$1,,,SUMPRODUCT(MAX(ROW(E$1:E3947)*(E2=E$1:E3947))))))</f>
        <v/>
      </c>
      <c r="K3948" s="24" t="str">
        <f aca="false">IF(OR(E3948="",E3948="!!!",F3948="NEW"),"",INDEX(J$1:J3947,SUMPRODUCT(MAX(ROW(E$1:E3947)*(E3948=E$1:E3947)))))</f>
        <v/>
      </c>
      <c r="L3948" s="31"/>
    </row>
    <row r="3949" customFormat="false" ht="15" hidden="false" customHeight="false" outlineLevel="0" collapsed="false">
      <c r="A3949" s="20" t="s">
        <v>1339</v>
      </c>
      <c r="B3949" s="22" t="s">
        <v>1058</v>
      </c>
      <c r="C3949" s="22" t="s">
        <v>1132</v>
      </c>
      <c r="D3949" s="22" t="s">
        <v>1060</v>
      </c>
      <c r="E3949" s="23" t="str">
        <f aca="false">IF(D3949="?OLD","!!!","")</f>
        <v>!!!</v>
      </c>
      <c r="F3949" s="25" t="str">
        <f aca="false">IF(OR(E3949="",E3949="!!!"),"",IF(NOT(ISNA(VLOOKUP(E3949,E$1:E3948,1,FALSE()))),"OLD",IF(AND(E3949&lt;&gt;"",E3949&lt;&gt;"!!!"),"NEW","")))</f>
        <v/>
      </c>
      <c r="G3949" s="26" t="str">
        <f aca="false">IF(OR(E3949="",E3949="!!!"),"",IF(OR(J3949=0,AND(J3949=1,K3949=1),AND(J3949=1,I3949="SBJ"),AND(J3949=1,I3949=0)),"?IN_FOCUS",IF(J3949&lt;=2,"?ACTIVATED",IF(J3949&lt;&gt;"","?FAMILIAR",IF(F3949="NEW",IF(ISNA(VLOOKUP(E3949,#REF!,1,FALSE())),"?TYPE_IDENTIFIABLE","?REFERENTIAL"),"_")))))</f>
        <v/>
      </c>
      <c r="H3949" s="27" t="str">
        <f aca="false">IF(J3949&lt;&gt;1,"",IF(I3949="SBJ","CB","?"))</f>
        <v/>
      </c>
      <c r="I3949" s="24" t="str">
        <f aca="false">IF(OR(E3949="",E3949="!!!",F3949="NEW"),"",INDEX(B4:B$3946,-1+SUMPRODUCT(MAX(ROW(E4:E$3946)*(E3949=E4:E$3946)))))</f>
        <v/>
      </c>
      <c r="J3949" s="24" t="str">
        <f aca="true">IF(OR(E3949="",E3949="!!!",F3949="NEW"),"",COUNTBLANK(OFFSET(A$1,,,SUMPRODUCT(MAX(ROW(E$2:E3949)*(E3949=E$2:E3949)))))-COUNTBLANK(OFFSET(A$1,,,SUMPRODUCT(MAX(ROW(E$1:E3948)*(E2=E$1:E3948))))))</f>
        <v/>
      </c>
      <c r="K3949" s="24" t="str">
        <f aca="false">IF(OR(E3949="",E3949="!!!",F3949="NEW"),"",INDEX(J$1:J3948,SUMPRODUCT(MAX(ROW(E$1:E3948)*(E3949=E$1:E3948)))))</f>
        <v/>
      </c>
      <c r="L3949" s="31"/>
    </row>
    <row r="3950" customFormat="false" ht="15" hidden="false" customHeight="false" outlineLevel="0" collapsed="false">
      <c r="A3950" s="20" t="s">
        <v>1369</v>
      </c>
      <c r="E3950" s="23" t="str">
        <f aca="false">IF(D3950="?OLD","!!!","")</f>
        <v/>
      </c>
      <c r="F3950" s="25" t="str">
        <f aca="false">IF(OR(E3950="",E3950="!!!"),"",IF(NOT(ISNA(VLOOKUP(E3950,E$1:E3949,1,FALSE()))),"OLD",IF(AND(E3950&lt;&gt;"",E3950&lt;&gt;"!!!"),"NEW","")))</f>
        <v/>
      </c>
      <c r="G3950" s="26" t="str">
        <f aca="false">IF(OR(E3950="",E3950="!!!"),"",IF(OR(J3950=0,AND(J3950=1,K3950=1),AND(J3950=1,I3950="SBJ"),AND(J3950=1,I3950=0)),"?IN_FOCUS",IF(J3950&lt;=2,"?ACTIVATED",IF(J3950&lt;&gt;"","?FAMILIAR",IF(F3950="NEW",IF(ISNA(VLOOKUP(E3950,#REF!,1,FALSE())),"?TYPE_IDENTIFIABLE","?REFERENTIAL"),"_")))))</f>
        <v/>
      </c>
      <c r="H3950" s="27" t="str">
        <f aca="false">IF(J3950&lt;&gt;1,"",IF(I3950="SBJ","CB","?"))</f>
        <v/>
      </c>
      <c r="I3950" s="24" t="str">
        <f aca="false">IF(OR(E3950="",E3950="!!!",F3950="NEW"),"",INDEX(B5:B$3946,-1+SUMPRODUCT(MAX(ROW(E5:E$3946)*(E3950=E5:E$3946)))))</f>
        <v/>
      </c>
      <c r="J3950" s="24" t="str">
        <f aca="true">IF(OR(E3950="",E3950="!!!",F3950="NEW"),"",COUNTBLANK(OFFSET(A$1,,,SUMPRODUCT(MAX(ROW(E$2:E3950)*(E3950=E$2:E3950)))))-COUNTBLANK(OFFSET(A$1,,,SUMPRODUCT(MAX(ROW(E$1:E3949)*(E2=E$1:E3949))))))</f>
        <v/>
      </c>
      <c r="K3950" s="24" t="str">
        <f aca="false">IF(OR(E3950="",E3950="!!!",F3950="NEW"),"",INDEX(J$1:J3949,SUMPRODUCT(MAX(ROW(E$1:E3949)*(E3950=E$1:E3949)))))</f>
        <v/>
      </c>
      <c r="L3950" s="31"/>
    </row>
    <row r="3951" customFormat="false" ht="15" hidden="false" customHeight="false" outlineLevel="0" collapsed="false">
      <c r="A3951" s="20" t="s">
        <v>1195</v>
      </c>
      <c r="B3951" s="22" t="s">
        <v>1105</v>
      </c>
      <c r="C3951" s="22" t="s">
        <v>1196</v>
      </c>
      <c r="D3951" s="22" t="s">
        <v>1060</v>
      </c>
      <c r="E3951" s="23" t="str">
        <f aca="false">IF(D3951="?OLD","!!!","")</f>
        <v>!!!</v>
      </c>
      <c r="F3951" s="25" t="str">
        <f aca="false">IF(OR(E3951="",E3951="!!!"),"",IF(NOT(ISNA(VLOOKUP(E3951,E$1:E3950,1,FALSE()))),"OLD",IF(AND(E3951&lt;&gt;"",E3951&lt;&gt;"!!!"),"NEW","")))</f>
        <v/>
      </c>
      <c r="G3951" s="26" t="str">
        <f aca="false">IF(OR(E3951="",E3951="!!!"),"",IF(OR(J3951=0,AND(J3951=1,K3951=1),AND(J3951=1,I3951="SBJ"),AND(J3951=1,I3951=0)),"?IN_FOCUS",IF(J3951&lt;=2,"?ACTIVATED",IF(J3951&lt;&gt;"","?FAMILIAR",IF(F3951="NEW",IF(ISNA(VLOOKUP(E3951,#REF!,1,FALSE())),"?TYPE_IDENTIFIABLE","?REFERENTIAL"),"_")))))</f>
        <v/>
      </c>
      <c r="H3951" s="27" t="str">
        <f aca="false">IF(J3951&lt;&gt;1,"",IF(I3951="SBJ","CB","?"))</f>
        <v/>
      </c>
      <c r="I3951" s="24" t="str">
        <f aca="false">IF(OR(E3951="",E3951="!!!",F3951="NEW"),"",INDEX(B6:B$3946,-1+SUMPRODUCT(MAX(ROW(E6:E$3946)*(E3951=E6:E$3946)))))</f>
        <v/>
      </c>
      <c r="J3951" s="24" t="str">
        <f aca="true">IF(OR(E3951="",E3951="!!!",F3951="NEW"),"",COUNTBLANK(OFFSET(A$1,,,SUMPRODUCT(MAX(ROW(E$2:E3951)*(E3951=E$2:E3951)))))-COUNTBLANK(OFFSET(A$1,,,SUMPRODUCT(MAX(ROW(E$1:E3950)*(E2=E$1:E3950))))))</f>
        <v/>
      </c>
      <c r="K3951" s="24" t="str">
        <f aca="false">IF(OR(E3951="",E3951="!!!",F3951="NEW"),"",INDEX(J$1:J3950,SUMPRODUCT(MAX(ROW(E$1:E3950)*(E3951=E$1:E3950)))))</f>
        <v/>
      </c>
      <c r="L3951" s="31"/>
    </row>
    <row r="3952" customFormat="false" ht="15" hidden="false" customHeight="false" outlineLevel="0" collapsed="false">
      <c r="A3952" s="20" t="s">
        <v>2286</v>
      </c>
      <c r="E3952" s="23" t="str">
        <f aca="false">IF(D3952="?OLD","!!!","")</f>
        <v/>
      </c>
      <c r="F3952" s="25" t="str">
        <f aca="false">IF(OR(E3952="",E3952="!!!"),"",IF(NOT(ISNA(VLOOKUP(E3952,E$1:E3951,1,FALSE()))),"OLD",IF(AND(E3952&lt;&gt;"",E3952&lt;&gt;"!!!"),"NEW","")))</f>
        <v/>
      </c>
      <c r="G3952" s="26" t="str">
        <f aca="false">IF(OR(E3952="",E3952="!!!"),"",IF(OR(J3952=0,AND(J3952=1,K3952=1),AND(J3952=1,I3952="SBJ"),AND(J3952=1,I3952=0)),"?IN_FOCUS",IF(J3952&lt;=2,"?ACTIVATED",IF(J3952&lt;&gt;"","?FAMILIAR",IF(F3952="NEW",IF(ISNA(VLOOKUP(E3952,#REF!,1,FALSE())),"?TYPE_IDENTIFIABLE","?REFERENTIAL"),"_")))))</f>
        <v/>
      </c>
      <c r="H3952" s="27" t="str">
        <f aca="false">IF(J3952&lt;&gt;1,"",IF(I3952="SBJ","CB","?"))</f>
        <v/>
      </c>
      <c r="I3952" s="24" t="str">
        <f aca="false">IF(OR(E3952="",E3952="!!!",F3952="NEW"),"",INDEX(B7:B$3946,-1+SUMPRODUCT(MAX(ROW(E7:E$3946)*(E3952=E7:E$3946)))))</f>
        <v/>
      </c>
      <c r="J3952" s="24" t="str">
        <f aca="true">IF(OR(E3952="",E3952="!!!",F3952="NEW"),"",COUNTBLANK(OFFSET(A$1,,,SUMPRODUCT(MAX(ROW(E$2:E3952)*(E3952=E$2:E3952)))))-COUNTBLANK(OFFSET(A$1,,,SUMPRODUCT(MAX(ROW(E$1:E3951)*(E2=E$1:E3951))))))</f>
        <v/>
      </c>
      <c r="K3952" s="24" t="str">
        <f aca="false">IF(OR(E3952="",E3952="!!!",F3952="NEW"),"",INDEX(J$1:J3951,SUMPRODUCT(MAX(ROW(E$1:E3951)*(E3952=E$1:E3951)))))</f>
        <v/>
      </c>
      <c r="L3952" s="31"/>
    </row>
    <row r="3953" customFormat="false" ht="15" hidden="false" customHeight="false" outlineLevel="0" collapsed="false">
      <c r="A3953" s="20" t="s">
        <v>1328</v>
      </c>
      <c r="E3953" s="23" t="str">
        <f aca="false">IF(D3953="?OLD","!!!","")</f>
        <v/>
      </c>
      <c r="F3953" s="25" t="str">
        <f aca="false">IF(OR(E3953="",E3953="!!!"),"",IF(NOT(ISNA(VLOOKUP(E3953,E$1:E3952,1,FALSE()))),"OLD",IF(AND(E3953&lt;&gt;"",E3953&lt;&gt;"!!!"),"NEW","")))</f>
        <v/>
      </c>
      <c r="G3953" s="26" t="str">
        <f aca="false">IF(OR(E3953="",E3953="!!!"),"",IF(OR(J3953=0,AND(J3953=1,K3953=1),AND(J3953=1,I3953="SBJ"),AND(J3953=1,I3953=0)),"?IN_FOCUS",IF(J3953&lt;=2,"?ACTIVATED",IF(J3953&lt;&gt;"","?FAMILIAR",IF(F3953="NEW",IF(ISNA(VLOOKUP(E3953,#REF!,1,FALSE())),"?TYPE_IDENTIFIABLE","?REFERENTIAL"),"_")))))</f>
        <v/>
      </c>
      <c r="H3953" s="27" t="str">
        <f aca="false">IF(J3953&lt;&gt;1,"",IF(I3953="SBJ","CB","?"))</f>
        <v/>
      </c>
      <c r="I3953" s="24" t="str">
        <f aca="false">IF(OR(E3953="",E3953="!!!",F3953="NEW"),"",INDEX(B8:B$3946,-1+SUMPRODUCT(MAX(ROW(E8:E$3946)*(E3953=E8:E$3946)))))</f>
        <v/>
      </c>
      <c r="J3953" s="24" t="str">
        <f aca="true">IF(OR(E3953="",E3953="!!!",F3953="NEW"),"",COUNTBLANK(OFFSET(A$1,,,SUMPRODUCT(MAX(ROW(E$2:E3953)*(E3953=E$2:E3953)))))-COUNTBLANK(OFFSET(A$1,,,SUMPRODUCT(MAX(ROW(E$1:E3952)*(E2=E$1:E3952))))))</f>
        <v/>
      </c>
      <c r="K3953" s="24" t="str">
        <f aca="false">IF(OR(E3953="",E3953="!!!",F3953="NEW"),"",INDEX(J$1:J3952,SUMPRODUCT(MAX(ROW(E$1:E3952)*(E3953=E$1:E3952)))))</f>
        <v/>
      </c>
      <c r="L3953" s="31"/>
    </row>
    <row r="3954" customFormat="false" ht="15" hidden="false" customHeight="false" outlineLevel="0" collapsed="false">
      <c r="A3954" s="20"/>
    </row>
    <row r="3955" customFormat="false" ht="15" hidden="false" customHeight="false" outlineLevel="0" collapsed="false">
      <c r="A3955" s="20" t="s">
        <v>2287</v>
      </c>
    </row>
    <row r="3956" customFormat="false" ht="15" hidden="false" customHeight="false" outlineLevel="0" collapsed="false">
      <c r="A3956" s="20" t="s">
        <v>1261</v>
      </c>
      <c r="B3956" s="22" t="s">
        <v>1058</v>
      </c>
      <c r="C3956" s="22" t="s">
        <v>1082</v>
      </c>
      <c r="D3956" s="22" t="s">
        <v>1060</v>
      </c>
      <c r="E3956" s="23" t="str">
        <f aca="false">IF(D3956="?OLD","!!!","")</f>
        <v>!!!</v>
      </c>
      <c r="F3956" s="25" t="str">
        <f aca="false">IF(OR(E3956="",E3956="!!!"),"",IF(NOT(ISNA(VLOOKUP(E3956,E$1:E3955,1,FALSE()))),"OLD",IF(AND(E3956&lt;&gt;"",E3956&lt;&gt;"!!!"),"NEW","")))</f>
        <v/>
      </c>
      <c r="G3956" s="26" t="str">
        <f aca="false">IF(OR(E3956="",E3956="!!!"),"",IF(OR(J3956=0,AND(J3956=1,K3956=1),AND(J3956=1,I3956="SBJ"),AND(J3956=1,I3956=0)),"?IN_FOCUS",IF(J3956&lt;=2,"?ACTIVATED",IF(J3956&lt;&gt;"","?FAMILIAR",IF(F3956="NEW",IF(ISNA(VLOOKUP(E3956,#REF!,1,FALSE())),"?TYPE_IDENTIFIABLE","?REFERENTIAL"),"_")))))</f>
        <v/>
      </c>
      <c r="H3956" s="27" t="str">
        <f aca="false">IF(J3956&lt;&gt;1,"",IF(I3956="SBJ","CB","?"))</f>
        <v/>
      </c>
      <c r="I3956" s="24" t="str">
        <f aca="false">IF(OR(E3956="",E3956="!!!",F3956="NEW"),"",INDEX(B2:B$3955,-1+SUMPRODUCT(MAX(ROW(E2:E$3955)*(E3956=E2:E$3955)))))</f>
        <v/>
      </c>
      <c r="J3956" s="24" t="str">
        <f aca="true">IF(OR(E3956="",E3956="!!!",F3956="NEW"),"",COUNTBLANK(OFFSET(A$1,,,SUMPRODUCT(MAX(ROW(E$2:E3956)*(E3956=E$2:E3956)))))-COUNTBLANK(OFFSET(A$1,,,SUMPRODUCT(MAX(ROW(E$1:E3955)*(E2=E$1:E3955))))))</f>
        <v/>
      </c>
      <c r="K3956" s="24" t="str">
        <f aca="false">IF(OR(E3956="",E3956="!!!",F3956="NEW"),"",INDEX(J$1:J3955,SUMPRODUCT(MAX(ROW(E$1:E3955)*(E3956=E$1:E3955)))))</f>
        <v/>
      </c>
      <c r="L3956" s="31"/>
    </row>
    <row r="3957" customFormat="false" ht="15" hidden="false" customHeight="false" outlineLevel="0" collapsed="false">
      <c r="A3957" s="20" t="s">
        <v>1369</v>
      </c>
      <c r="E3957" s="23" t="str">
        <f aca="false">IF(D3957="?OLD","!!!","")</f>
        <v/>
      </c>
      <c r="F3957" s="25" t="str">
        <f aca="false">IF(OR(E3957="",E3957="!!!"),"",IF(NOT(ISNA(VLOOKUP(E3957,E$1:E3956,1,FALSE()))),"OLD",IF(AND(E3957&lt;&gt;"",E3957&lt;&gt;"!!!"),"NEW","")))</f>
        <v/>
      </c>
      <c r="G3957" s="26" t="str">
        <f aca="false">IF(OR(E3957="",E3957="!!!"),"",IF(OR(J3957=0,AND(J3957=1,K3957=1),AND(J3957=1,I3957="SBJ"),AND(J3957=1,I3957=0)),"?IN_FOCUS",IF(J3957&lt;=2,"?ACTIVATED",IF(J3957&lt;&gt;"","?FAMILIAR",IF(F3957="NEW",IF(ISNA(VLOOKUP(E3957,#REF!,1,FALSE())),"?TYPE_IDENTIFIABLE","?REFERENTIAL"),"_")))))</f>
        <v/>
      </c>
      <c r="H3957" s="27" t="str">
        <f aca="false">IF(J3957&lt;&gt;1,"",IF(I3957="SBJ","CB","?"))</f>
        <v/>
      </c>
      <c r="I3957" s="24" t="str">
        <f aca="false">IF(OR(E3957="",E3957="!!!",F3957="NEW"),"",INDEX(B3:B$3955,-1+SUMPRODUCT(MAX(ROW(E3:E$3955)*(E3957=E3:E$3955)))))</f>
        <v/>
      </c>
      <c r="J3957" s="24" t="str">
        <f aca="true">IF(OR(E3957="",E3957="!!!",F3957="NEW"),"",COUNTBLANK(OFFSET(A$1,,,SUMPRODUCT(MAX(ROW(E$2:E3957)*(E3957=E$2:E3957)))))-COUNTBLANK(OFFSET(A$1,,,SUMPRODUCT(MAX(ROW(E$1:E3956)*(E2=E$1:E3956))))))</f>
        <v/>
      </c>
      <c r="K3957" s="24" t="str">
        <f aca="false">IF(OR(E3957="",E3957="!!!",F3957="NEW"),"",INDEX(J$1:J3956,SUMPRODUCT(MAX(ROW(E$1:E3956)*(E3957=E$1:E3956)))))</f>
        <v/>
      </c>
      <c r="L3957" s="31"/>
    </row>
    <row r="3958" customFormat="false" ht="15" hidden="false" customHeight="false" outlineLevel="0" collapsed="false">
      <c r="A3958" s="20" t="s">
        <v>1313</v>
      </c>
      <c r="B3958" s="22" t="s">
        <v>1105</v>
      </c>
      <c r="C3958" s="22" t="s">
        <v>1099</v>
      </c>
      <c r="D3958" s="22" t="s">
        <v>1060</v>
      </c>
      <c r="E3958" s="23" t="str">
        <f aca="false">IF(D3958="?OLD","!!!","")</f>
        <v>!!!</v>
      </c>
      <c r="F3958" s="25" t="str">
        <f aca="false">IF(OR(E3958="",E3958="!!!"),"",IF(NOT(ISNA(VLOOKUP(E3958,E$1:E3957,1,FALSE()))),"OLD",IF(AND(E3958&lt;&gt;"",E3958&lt;&gt;"!!!"),"NEW","")))</f>
        <v/>
      </c>
      <c r="G3958" s="26" t="str">
        <f aca="false">IF(OR(E3958="",E3958="!!!"),"",IF(OR(J3958=0,AND(J3958=1,K3958=1),AND(J3958=1,I3958="SBJ"),AND(J3958=1,I3958=0)),"?IN_FOCUS",IF(J3958&lt;=2,"?ACTIVATED",IF(J3958&lt;&gt;"","?FAMILIAR",IF(F3958="NEW",IF(ISNA(VLOOKUP(E3958,#REF!,1,FALSE())),"?TYPE_IDENTIFIABLE","?REFERENTIAL"),"_")))))</f>
        <v/>
      </c>
      <c r="H3958" s="27" t="str">
        <f aca="false">IF(J3958&lt;&gt;1,"",IF(I3958="SBJ","CB","?"))</f>
        <v/>
      </c>
      <c r="I3958" s="24" t="str">
        <f aca="false">IF(OR(E3958="",E3958="!!!",F3958="NEW"),"",INDEX(B4:B$3955,-1+SUMPRODUCT(MAX(ROW(E4:E$3955)*(E3958=E4:E$3955)))))</f>
        <v/>
      </c>
      <c r="J3958" s="24" t="str">
        <f aca="true">IF(OR(E3958="",E3958="!!!",F3958="NEW"),"",COUNTBLANK(OFFSET(A$1,,,SUMPRODUCT(MAX(ROW(E$2:E3958)*(E3958=E$2:E3958)))))-COUNTBLANK(OFFSET(A$1,,,SUMPRODUCT(MAX(ROW(E$1:E3957)*(E2=E$1:E3957))))))</f>
        <v/>
      </c>
      <c r="K3958" s="24" t="str">
        <f aca="false">IF(OR(E3958="",E3958="!!!",F3958="NEW"),"",INDEX(J$1:J3957,SUMPRODUCT(MAX(ROW(E$1:E3957)*(E3958=E$1:E3957)))))</f>
        <v/>
      </c>
      <c r="L3958" s="31"/>
    </row>
    <row r="3959" customFormat="false" ht="15" hidden="false" customHeight="false" outlineLevel="0" collapsed="false">
      <c r="A3959" s="20" t="s">
        <v>1515</v>
      </c>
      <c r="B3959" s="22" t="s">
        <v>1105</v>
      </c>
      <c r="C3959" s="22" t="s">
        <v>1059</v>
      </c>
      <c r="D3959" s="22" t="s">
        <v>1060</v>
      </c>
      <c r="E3959" s="23" t="str">
        <f aca="false">IF(D3959="?OLD","!!!","")</f>
        <v>!!!</v>
      </c>
      <c r="F3959" s="25" t="str">
        <f aca="false">IF(OR(E3959="",E3959="!!!"),"",IF(NOT(ISNA(VLOOKUP(E3959,E$1:E3958,1,FALSE()))),"OLD",IF(AND(E3959&lt;&gt;"",E3959&lt;&gt;"!!!"),"NEW","")))</f>
        <v/>
      </c>
      <c r="G3959" s="26" t="str">
        <f aca="false">IF(OR(E3959="",E3959="!!!"),"",IF(OR(J3959=0,AND(J3959=1,K3959=1),AND(J3959=1,I3959="SBJ"),AND(J3959=1,I3959=0)),"?IN_FOCUS",IF(J3959&lt;=2,"?ACTIVATED",IF(J3959&lt;&gt;"","?FAMILIAR",IF(F3959="NEW",IF(ISNA(VLOOKUP(E3959,#REF!,1,FALSE())),"?TYPE_IDENTIFIABLE","?REFERENTIAL"),"_")))))</f>
        <v/>
      </c>
      <c r="H3959" s="27" t="str">
        <f aca="false">IF(J3959&lt;&gt;1,"",IF(I3959="SBJ","CB","?"))</f>
        <v/>
      </c>
      <c r="I3959" s="24" t="str">
        <f aca="false">IF(OR(E3959="",E3959="!!!",F3959="NEW"),"",INDEX(B5:B$3955,-1+SUMPRODUCT(MAX(ROW(E5:E$3955)*(E3959=E5:E$3955)))))</f>
        <v/>
      </c>
      <c r="J3959" s="24" t="str">
        <f aca="true">IF(OR(E3959="",E3959="!!!",F3959="NEW"),"",COUNTBLANK(OFFSET(A$1,,,SUMPRODUCT(MAX(ROW(E$2:E3959)*(E3959=E$2:E3959)))))-COUNTBLANK(OFFSET(A$1,,,SUMPRODUCT(MAX(ROW(E$1:E3958)*(E2=E$1:E3958))))))</f>
        <v/>
      </c>
      <c r="K3959" s="24" t="str">
        <f aca="false">IF(OR(E3959="",E3959="!!!",F3959="NEW"),"",INDEX(J$1:J3958,SUMPRODUCT(MAX(ROW(E$1:E3958)*(E3959=E$1:E3958)))))</f>
        <v/>
      </c>
      <c r="L3959" s="31"/>
    </row>
    <row r="3960" customFormat="false" ht="15" hidden="false" customHeight="false" outlineLevel="0" collapsed="false">
      <c r="A3960" s="20" t="s">
        <v>1128</v>
      </c>
      <c r="E3960" s="23" t="str">
        <f aca="false">IF(D3960="?OLD","!!!","")</f>
        <v/>
      </c>
      <c r="F3960" s="25" t="str">
        <f aca="false">IF(OR(E3960="",E3960="!!!"),"",IF(NOT(ISNA(VLOOKUP(E3960,E$1:E3959,1,FALSE()))),"OLD",IF(AND(E3960&lt;&gt;"",E3960&lt;&gt;"!!!"),"NEW","")))</f>
        <v/>
      </c>
      <c r="G3960" s="26" t="str">
        <f aca="false">IF(OR(E3960="",E3960="!!!"),"",IF(OR(J3960=0,AND(J3960=1,K3960=1),AND(J3960=1,I3960="SBJ"),AND(J3960=1,I3960=0)),"?IN_FOCUS",IF(J3960&lt;=2,"?ACTIVATED",IF(J3960&lt;&gt;"","?FAMILIAR",IF(F3960="NEW",IF(ISNA(VLOOKUP(E3960,#REF!,1,FALSE())),"?TYPE_IDENTIFIABLE","?REFERENTIAL"),"_")))))</f>
        <v/>
      </c>
      <c r="H3960" s="27" t="str">
        <f aca="false">IF(J3960&lt;&gt;1,"",IF(I3960="SBJ","CB","?"))</f>
        <v/>
      </c>
      <c r="I3960" s="24" t="str">
        <f aca="false">IF(OR(E3960="",E3960="!!!",F3960="NEW"),"",INDEX(B6:B$3955,-1+SUMPRODUCT(MAX(ROW(E6:E$3955)*(E3960=E6:E$3955)))))</f>
        <v/>
      </c>
      <c r="J3960" s="24" t="str">
        <f aca="true">IF(OR(E3960="",E3960="!!!",F3960="NEW"),"",COUNTBLANK(OFFSET(A$1,,,SUMPRODUCT(MAX(ROW(E$2:E3960)*(E3960=E$2:E3960)))))-COUNTBLANK(OFFSET(A$1,,,SUMPRODUCT(MAX(ROW(E$1:E3959)*(E2=E$1:E3959))))))</f>
        <v/>
      </c>
      <c r="K3960" s="24" t="str">
        <f aca="false">IF(OR(E3960="",E3960="!!!",F3960="NEW"),"",INDEX(J$1:J3959,SUMPRODUCT(MAX(ROW(E$1:E3959)*(E3960=E$1:E3959)))))</f>
        <v/>
      </c>
      <c r="L3960" s="31"/>
    </row>
    <row r="3961" customFormat="false" ht="15" hidden="false" customHeight="false" outlineLevel="0" collapsed="false">
      <c r="A3961" s="20" t="s">
        <v>2288</v>
      </c>
      <c r="E3961" s="23" t="str">
        <f aca="false">IF(D3961="?OLD","!!!","")</f>
        <v/>
      </c>
      <c r="F3961" s="25" t="str">
        <f aca="false">IF(OR(E3961="",E3961="!!!"),"",IF(NOT(ISNA(VLOOKUP(E3961,E$1:E3960,1,FALSE()))),"OLD",IF(AND(E3961&lt;&gt;"",E3961&lt;&gt;"!!!"),"NEW","")))</f>
        <v/>
      </c>
      <c r="G3961" s="26" t="str">
        <f aca="false">IF(OR(E3961="",E3961="!!!"),"",IF(OR(J3961=0,AND(J3961=1,K3961=1),AND(J3961=1,I3961="SBJ"),AND(J3961=1,I3961=0)),"?IN_FOCUS",IF(J3961&lt;=2,"?ACTIVATED",IF(J3961&lt;&gt;"","?FAMILIAR",IF(F3961="NEW",IF(ISNA(VLOOKUP(E3961,#REF!,1,FALSE())),"?TYPE_IDENTIFIABLE","?REFERENTIAL"),"_")))))</f>
        <v/>
      </c>
      <c r="H3961" s="27" t="str">
        <f aca="false">IF(J3961&lt;&gt;1,"",IF(I3961="SBJ","CB","?"))</f>
        <v/>
      </c>
      <c r="I3961" s="24" t="str">
        <f aca="false">IF(OR(E3961="",E3961="!!!",F3961="NEW"),"",INDEX(B7:B$3955,-1+SUMPRODUCT(MAX(ROW(E7:E$3955)*(E3961=E7:E$3955)))))</f>
        <v/>
      </c>
      <c r="J3961" s="24" t="str">
        <f aca="true">IF(OR(E3961="",E3961="!!!",F3961="NEW"),"",COUNTBLANK(OFFSET(A$1,,,SUMPRODUCT(MAX(ROW(E$2:E3961)*(E3961=E$2:E3961)))))-COUNTBLANK(OFFSET(A$1,,,SUMPRODUCT(MAX(ROW(E$1:E3960)*(E2=E$1:E3960))))))</f>
        <v/>
      </c>
      <c r="K3961" s="24" t="str">
        <f aca="false">IF(OR(E3961="",E3961="!!!",F3961="NEW"),"",INDEX(J$1:J3960,SUMPRODUCT(MAX(ROW(E$1:E3960)*(E3961=E$1:E3960)))))</f>
        <v/>
      </c>
      <c r="L3961" s="31"/>
    </row>
    <row r="3962" customFormat="false" ht="15" hidden="false" customHeight="false" outlineLevel="0" collapsed="false">
      <c r="A3962" s="20" t="s">
        <v>1089</v>
      </c>
      <c r="E3962" s="23" t="str">
        <f aca="false">IF(D3962="?OLD","!!!","")</f>
        <v/>
      </c>
      <c r="F3962" s="25" t="str">
        <f aca="false">IF(OR(E3962="",E3962="!!!"),"",IF(NOT(ISNA(VLOOKUP(E3962,E$1:E3961,1,FALSE()))),"OLD",IF(AND(E3962&lt;&gt;"",E3962&lt;&gt;"!!!"),"NEW","")))</f>
        <v/>
      </c>
      <c r="G3962" s="26" t="str">
        <f aca="false">IF(OR(E3962="",E3962="!!!"),"",IF(OR(J3962=0,AND(J3962=1,K3962=1),AND(J3962=1,I3962="SBJ"),AND(J3962=1,I3962=0)),"?IN_FOCUS",IF(J3962&lt;=2,"?ACTIVATED",IF(J3962&lt;&gt;"","?FAMILIAR",IF(F3962="NEW",IF(ISNA(VLOOKUP(E3962,#REF!,1,FALSE())),"?TYPE_IDENTIFIABLE","?REFERENTIAL"),"_")))))</f>
        <v/>
      </c>
      <c r="H3962" s="27" t="str">
        <f aca="false">IF(J3962&lt;&gt;1,"",IF(I3962="SBJ","CB","?"))</f>
        <v/>
      </c>
      <c r="I3962" s="24" t="str">
        <f aca="false">IF(OR(E3962="",E3962="!!!",F3962="NEW"),"",INDEX(B8:B$3955,-1+SUMPRODUCT(MAX(ROW(E8:E$3955)*(E3962=E8:E$3955)))))</f>
        <v/>
      </c>
      <c r="J3962" s="24" t="str">
        <f aca="true">IF(OR(E3962="",E3962="!!!",F3962="NEW"),"",COUNTBLANK(OFFSET(A$1,,,SUMPRODUCT(MAX(ROW(E$2:E3962)*(E3962=E$2:E3962)))))-COUNTBLANK(OFFSET(A$1,,,SUMPRODUCT(MAX(ROW(E$1:E3961)*(E2=E$1:E3961))))))</f>
        <v/>
      </c>
      <c r="K3962" s="24" t="str">
        <f aca="false">IF(OR(E3962="",E3962="!!!",F3962="NEW"),"",INDEX(J$1:J3961,SUMPRODUCT(MAX(ROW(E$1:E3961)*(E3962=E$1:E3961)))))</f>
        <v/>
      </c>
      <c r="L3962" s="31"/>
    </row>
    <row r="3963" customFormat="false" ht="15" hidden="false" customHeight="false" outlineLevel="0" collapsed="false">
      <c r="A3963" s="20" t="s">
        <v>1090</v>
      </c>
      <c r="B3963" s="22" t="s">
        <v>1091</v>
      </c>
      <c r="C3963" s="22" t="s">
        <v>1082</v>
      </c>
      <c r="D3963" s="22" t="s">
        <v>1060</v>
      </c>
      <c r="E3963" s="23" t="str">
        <f aca="false">IF(D3963="?OLD","!!!","")</f>
        <v>!!!</v>
      </c>
      <c r="F3963" s="25" t="str">
        <f aca="false">IF(OR(E3963="",E3963="!!!"),"",IF(NOT(ISNA(VLOOKUP(E3963,E$1:E3962,1,FALSE()))),"OLD",IF(AND(E3963&lt;&gt;"",E3963&lt;&gt;"!!!"),"NEW","")))</f>
        <v/>
      </c>
      <c r="G3963" s="26" t="str">
        <f aca="false">IF(OR(E3963="",E3963="!!!"),"",IF(OR(J3963=0,AND(J3963=1,K3963=1),AND(J3963=1,I3963="SBJ"),AND(J3963=1,I3963=0)),"?IN_FOCUS",IF(J3963&lt;=2,"?ACTIVATED",IF(J3963&lt;&gt;"","?FAMILIAR",IF(F3963="NEW",IF(ISNA(VLOOKUP(E3963,#REF!,1,FALSE())),"?TYPE_IDENTIFIABLE","?REFERENTIAL"),"_")))))</f>
        <v/>
      </c>
      <c r="H3963" s="27" t="str">
        <f aca="false">IF(J3963&lt;&gt;1,"",IF(I3963="SBJ","CB","?"))</f>
        <v/>
      </c>
      <c r="I3963" s="24" t="str">
        <f aca="false">IF(OR(E3963="",E3963="!!!",F3963="NEW"),"",INDEX(B9:B$3955,-1+SUMPRODUCT(MAX(ROW(E9:E$3955)*(E3963=E9:E$3955)))))</f>
        <v/>
      </c>
      <c r="J3963" s="24" t="str">
        <f aca="true">IF(OR(E3963="",E3963="!!!",F3963="NEW"),"",COUNTBLANK(OFFSET(A$1,,,SUMPRODUCT(MAX(ROW(E$2:E3963)*(E3963=E$2:E3963)))))-COUNTBLANK(OFFSET(A$1,,,SUMPRODUCT(MAX(ROW(E$1:E3962)*(E2=E$1:E3962))))))</f>
        <v/>
      </c>
      <c r="K3963" s="24" t="str">
        <f aca="false">IF(OR(E3963="",E3963="!!!",F3963="NEW"),"",INDEX(J$1:J3962,SUMPRODUCT(MAX(ROW(E$1:E3962)*(E3963=E$1:E3962)))))</f>
        <v/>
      </c>
      <c r="L3963" s="31"/>
    </row>
    <row r="3964" customFormat="false" ht="15" hidden="false" customHeight="false" outlineLevel="0" collapsed="false">
      <c r="A3964" s="20" t="s">
        <v>2249</v>
      </c>
      <c r="E3964" s="23" t="str">
        <f aca="false">IF(D3964="?OLD","!!!","")</f>
        <v/>
      </c>
      <c r="F3964" s="25" t="str">
        <f aca="false">IF(OR(E3964="",E3964="!!!"),"",IF(NOT(ISNA(VLOOKUP(E3964,E$1:E3963,1,FALSE()))),"OLD",IF(AND(E3964&lt;&gt;"",E3964&lt;&gt;"!!!"),"NEW","")))</f>
        <v/>
      </c>
      <c r="G3964" s="26" t="str">
        <f aca="false">IF(OR(E3964="",E3964="!!!"),"",IF(OR(J3964=0,AND(J3964=1,K3964=1),AND(J3964=1,I3964="SBJ"),AND(J3964=1,I3964=0)),"?IN_FOCUS",IF(J3964&lt;=2,"?ACTIVATED",IF(J3964&lt;&gt;"","?FAMILIAR",IF(F3964="NEW",IF(ISNA(VLOOKUP(E3964,#REF!,1,FALSE())),"?TYPE_IDENTIFIABLE","?REFERENTIAL"),"_")))))</f>
        <v/>
      </c>
      <c r="H3964" s="27" t="str">
        <f aca="false">IF(J3964&lt;&gt;1,"",IF(I3964="SBJ","CB","?"))</f>
        <v/>
      </c>
      <c r="I3964" s="24" t="str">
        <f aca="false">IF(OR(E3964="",E3964="!!!",F3964="NEW"),"",INDEX(B10:B$3955,-1+SUMPRODUCT(MAX(ROW(E10:E$3955)*(E3964=E10:E$3955)))))</f>
        <v/>
      </c>
      <c r="J3964" s="24" t="str">
        <f aca="true">IF(OR(E3964="",E3964="!!!",F3964="NEW"),"",COUNTBLANK(OFFSET(A$1,,,SUMPRODUCT(MAX(ROW(E$2:E3964)*(E3964=E$2:E3964)))))-COUNTBLANK(OFFSET(A$1,,,SUMPRODUCT(MAX(ROW(E$1:E3963)*(E2=E$1:E3963))))))</f>
        <v/>
      </c>
      <c r="K3964" s="24" t="str">
        <f aca="false">IF(OR(E3964="",E3964="!!!",F3964="NEW"),"",INDEX(J$1:J3963,SUMPRODUCT(MAX(ROW(E$1:E3963)*(E3964=E$1:E3963)))))</f>
        <v/>
      </c>
      <c r="L3964" s="31"/>
    </row>
    <row r="3965" customFormat="false" ht="15" hidden="false" customHeight="false" outlineLevel="0" collapsed="false">
      <c r="A3965" s="20" t="s">
        <v>2289</v>
      </c>
      <c r="E3965" s="23" t="str">
        <f aca="false">IF(D3965="?OLD","!!!","")</f>
        <v/>
      </c>
      <c r="F3965" s="25" t="str">
        <f aca="false">IF(OR(E3965="",E3965="!!!"),"",IF(NOT(ISNA(VLOOKUP(E3965,E$1:E3964,1,FALSE()))),"OLD",IF(AND(E3965&lt;&gt;"",E3965&lt;&gt;"!!!"),"NEW","")))</f>
        <v/>
      </c>
      <c r="G3965" s="26" t="str">
        <f aca="false">IF(OR(E3965="",E3965="!!!"),"",IF(OR(J3965=0,AND(J3965=1,K3965=1),AND(J3965=1,I3965="SBJ"),AND(J3965=1,I3965=0)),"?IN_FOCUS",IF(J3965&lt;=2,"?ACTIVATED",IF(J3965&lt;&gt;"","?FAMILIAR",IF(F3965="NEW",IF(ISNA(VLOOKUP(E3965,#REF!,1,FALSE())),"?TYPE_IDENTIFIABLE","?REFERENTIAL"),"_")))))</f>
        <v/>
      </c>
      <c r="H3965" s="27" t="str">
        <f aca="false">IF(J3965&lt;&gt;1,"",IF(I3965="SBJ","CB","?"))</f>
        <v/>
      </c>
      <c r="I3965" s="24" t="str">
        <f aca="false">IF(OR(E3965="",E3965="!!!",F3965="NEW"),"",INDEX(B11:B$3955,-1+SUMPRODUCT(MAX(ROW(E11:E$3955)*(E3965=E11:E$3955)))))</f>
        <v/>
      </c>
      <c r="J3965" s="24" t="str">
        <f aca="true">IF(OR(E3965="",E3965="!!!",F3965="NEW"),"",COUNTBLANK(OFFSET(A$1,,,SUMPRODUCT(MAX(ROW(E$2:E3965)*(E3965=E$2:E3965)))))-COUNTBLANK(OFFSET(A$1,,,SUMPRODUCT(MAX(ROW(E$1:E3964)*(E2=E$1:E3964))))))</f>
        <v/>
      </c>
      <c r="K3965" s="24" t="str">
        <f aca="false">IF(OR(E3965="",E3965="!!!",F3965="NEW"),"",INDEX(J$1:J3964,SUMPRODUCT(MAX(ROW(E$1:E3964)*(E3965=E$1:E3964)))))</f>
        <v/>
      </c>
      <c r="L3965" s="31"/>
    </row>
    <row r="3966" customFormat="false" ht="15" hidden="false" customHeight="false" outlineLevel="0" collapsed="false">
      <c r="A3966" s="20" t="s">
        <v>1128</v>
      </c>
      <c r="E3966" s="23" t="str">
        <f aca="false">IF(D3966="?OLD","!!!","")</f>
        <v/>
      </c>
      <c r="F3966" s="25" t="str">
        <f aca="false">IF(OR(E3966="",E3966="!!!"),"",IF(NOT(ISNA(VLOOKUP(E3966,E$1:E3965,1,FALSE()))),"OLD",IF(AND(E3966&lt;&gt;"",E3966&lt;&gt;"!!!"),"NEW","")))</f>
        <v/>
      </c>
      <c r="G3966" s="26" t="str">
        <f aca="false">IF(OR(E3966="",E3966="!!!"),"",IF(OR(J3966=0,AND(J3966=1,K3966=1),AND(J3966=1,I3966="SBJ"),AND(J3966=1,I3966=0)),"?IN_FOCUS",IF(J3966&lt;=2,"?ACTIVATED",IF(J3966&lt;&gt;"","?FAMILIAR",IF(F3966="NEW",IF(ISNA(VLOOKUP(E3966,#REF!,1,FALSE())),"?TYPE_IDENTIFIABLE","?REFERENTIAL"),"_")))))</f>
        <v/>
      </c>
      <c r="H3966" s="27" t="str">
        <f aca="false">IF(J3966&lt;&gt;1,"",IF(I3966="SBJ","CB","?"))</f>
        <v/>
      </c>
      <c r="I3966" s="24" t="str">
        <f aca="false">IF(OR(E3966="",E3966="!!!",F3966="NEW"),"",INDEX(B12:B$3955,-1+SUMPRODUCT(MAX(ROW(E12:E$3955)*(E3966=E12:E$3955)))))</f>
        <v/>
      </c>
      <c r="J3966" s="24" t="str">
        <f aca="true">IF(OR(E3966="",E3966="!!!",F3966="NEW"),"",COUNTBLANK(OFFSET(A$1,,,SUMPRODUCT(MAX(ROW(E$2:E3966)*(E3966=E$2:E3966)))))-COUNTBLANK(OFFSET(A$1,,,SUMPRODUCT(MAX(ROW(E$1:E3965)*(E2=E$1:E3965))))))</f>
        <v/>
      </c>
      <c r="K3966" s="24" t="str">
        <f aca="false">IF(OR(E3966="",E3966="!!!",F3966="NEW"),"",INDEX(J$1:J3965,SUMPRODUCT(MAX(ROW(E$1:E3965)*(E3966=E$1:E3965)))))</f>
        <v/>
      </c>
      <c r="L3966" s="31"/>
    </row>
    <row r="3967" customFormat="false" ht="15" hidden="false" customHeight="false" outlineLevel="0" collapsed="false">
      <c r="A3967" s="20" t="s">
        <v>2290</v>
      </c>
      <c r="E3967" s="23" t="str">
        <f aca="false">IF(D3967="?OLD","!!!","")</f>
        <v/>
      </c>
      <c r="F3967" s="25" t="str">
        <f aca="false">IF(OR(E3967="",E3967="!!!"),"",IF(NOT(ISNA(VLOOKUP(E3967,E$1:E3966,1,FALSE()))),"OLD",IF(AND(E3967&lt;&gt;"",E3967&lt;&gt;"!!!"),"NEW","")))</f>
        <v/>
      </c>
      <c r="G3967" s="26" t="str">
        <f aca="false">IF(OR(E3967="",E3967="!!!"),"",IF(OR(J3967=0,AND(J3967=1,K3967=1),AND(J3967=1,I3967="SBJ"),AND(J3967=1,I3967=0)),"?IN_FOCUS",IF(J3967&lt;=2,"?ACTIVATED",IF(J3967&lt;&gt;"","?FAMILIAR",IF(F3967="NEW",IF(ISNA(VLOOKUP(E3967,#REF!,1,FALSE())),"?TYPE_IDENTIFIABLE","?REFERENTIAL"),"_")))))</f>
        <v/>
      </c>
      <c r="H3967" s="27" t="str">
        <f aca="false">IF(J3967&lt;&gt;1,"",IF(I3967="SBJ","CB","?"))</f>
        <v/>
      </c>
      <c r="I3967" s="24" t="str">
        <f aca="false">IF(OR(E3967="",E3967="!!!",F3967="NEW"),"",INDEX(B13:B$3955,-1+SUMPRODUCT(MAX(ROW(E13:E$3955)*(E3967=E13:E$3955)))))</f>
        <v/>
      </c>
      <c r="J3967" s="24" t="str">
        <f aca="true">IF(OR(E3967="",E3967="!!!",F3967="NEW"),"",COUNTBLANK(OFFSET(A$1,,,SUMPRODUCT(MAX(ROW(E$2:E3967)*(E3967=E$2:E3967)))))-COUNTBLANK(OFFSET(A$1,,,SUMPRODUCT(MAX(ROW(E$1:E3966)*(E2=E$1:E3966))))))</f>
        <v/>
      </c>
      <c r="K3967" s="24" t="str">
        <f aca="false">IF(OR(E3967="",E3967="!!!",F3967="NEW"),"",INDEX(J$1:J3966,SUMPRODUCT(MAX(ROW(E$1:E3966)*(E3967=E$1:E3966)))))</f>
        <v/>
      </c>
      <c r="L3967" s="31"/>
    </row>
    <row r="3968" customFormat="false" ht="15" hidden="false" customHeight="false" outlineLevel="0" collapsed="false">
      <c r="A3968" s="20" t="s">
        <v>923</v>
      </c>
      <c r="E3968" s="23" t="str">
        <f aca="false">IF(D3968="?OLD","!!!","")</f>
        <v/>
      </c>
      <c r="F3968" s="25" t="str">
        <f aca="false">IF(OR(E3968="",E3968="!!!"),"",IF(NOT(ISNA(VLOOKUP(E3968,E$1:E3967,1,FALSE()))),"OLD",IF(AND(E3968&lt;&gt;"",E3968&lt;&gt;"!!!"),"NEW","")))</f>
        <v/>
      </c>
      <c r="G3968" s="26" t="str">
        <f aca="false">IF(OR(E3968="",E3968="!!!"),"",IF(OR(J3968=0,AND(J3968=1,K3968=1),AND(J3968=1,I3968="SBJ"),AND(J3968=1,I3968=0)),"?IN_FOCUS",IF(J3968&lt;=2,"?ACTIVATED",IF(J3968&lt;&gt;"","?FAMILIAR",IF(F3968="NEW",IF(ISNA(VLOOKUP(E3968,#REF!,1,FALSE())),"?TYPE_IDENTIFIABLE","?REFERENTIAL"),"_")))))</f>
        <v/>
      </c>
      <c r="H3968" s="27" t="str">
        <f aca="false">IF(J3968&lt;&gt;1,"",IF(I3968="SBJ","CB","?"))</f>
        <v/>
      </c>
      <c r="I3968" s="24" t="str">
        <f aca="false">IF(OR(E3968="",E3968="!!!",F3968="NEW"),"",INDEX(B14:B$3955,-1+SUMPRODUCT(MAX(ROW(E14:E$3955)*(E3968=E14:E$3955)))))</f>
        <v/>
      </c>
      <c r="J3968" s="24" t="str">
        <f aca="true">IF(OR(E3968="",E3968="!!!",F3968="NEW"),"",COUNTBLANK(OFFSET(A$1,,,SUMPRODUCT(MAX(ROW(E$2:E3968)*(E3968=E$2:E3968)))))-COUNTBLANK(OFFSET(A$1,,,SUMPRODUCT(MAX(ROW(E$1:E3967)*(E2=E$1:E3967))))))</f>
        <v/>
      </c>
      <c r="K3968" s="24" t="str">
        <f aca="false">IF(OR(E3968="",E3968="!!!",F3968="NEW"),"",INDEX(J$1:J3967,SUMPRODUCT(MAX(ROW(E$1:E3967)*(E3968=E$1:E3967)))))</f>
        <v/>
      </c>
      <c r="L3968" s="31"/>
    </row>
    <row r="3969" customFormat="false" ht="15" hidden="false" customHeight="false" outlineLevel="0" collapsed="false">
      <c r="A3969" s="20"/>
    </row>
    <row r="3970" customFormat="false" ht="15" hidden="false" customHeight="false" outlineLevel="0" collapsed="false">
      <c r="A3970" s="20" t="s">
        <v>1301</v>
      </c>
      <c r="E3970" s="23" t="str">
        <f aca="false">IF(D3970="?OLD","!!!","")</f>
        <v/>
      </c>
      <c r="F3970" s="25" t="str">
        <f aca="false">IF(OR(E3970="",E3970="!!!"),"",IF(NOT(ISNA(VLOOKUP(E3970,E$1:E3969,1,FALSE()))),"OLD",IF(AND(E3970&lt;&gt;"",E3970&lt;&gt;"!!!"),"NEW","")))</f>
        <v/>
      </c>
      <c r="G3970" s="26" t="str">
        <f aca="false">IF(OR(E3970="",E3970="!!!"),"",IF(OR(J3970=0,AND(J3970=1,K3970=1),AND(J3970=1,I3970="SBJ"),AND(J3970=1,I3970=0)),"?IN_FOCUS",IF(J3970&lt;=2,"?ACTIVATED",IF(J3970&lt;&gt;"","?FAMILIAR",IF(F3970="NEW",IF(ISNA(VLOOKUP(E3970,#REF!,1,FALSE())),"?TYPE_IDENTIFIABLE","?REFERENTIAL"),"_")))))</f>
        <v/>
      </c>
      <c r="H3970" s="27" t="str">
        <f aca="false">IF(J3970&lt;&gt;1,"",IF(I3970="SBJ","CB","?"))</f>
        <v/>
      </c>
      <c r="I3970" s="24" t="str">
        <f aca="false">IF(OR(E3970="",E3970="!!!",F3970="NEW"),"",INDEX(B2:B$3969,-1+SUMPRODUCT(MAX(ROW(E2:E$3969)*(E3970=E2:E$3969)))))</f>
        <v/>
      </c>
      <c r="J3970" s="24" t="str">
        <f aca="true">IF(OR(E3970="",E3970="!!!",F3970="NEW"),"",COUNTBLANK(OFFSET(A$1,,,SUMPRODUCT(MAX(ROW(E$2:E3970)*(E3970=E$2:E3970)))))-COUNTBLANK(OFFSET(A$1,,,SUMPRODUCT(MAX(ROW(E$1:E3969)*(E2=E$1:E3969))))))</f>
        <v/>
      </c>
      <c r="K3970" s="24" t="str">
        <f aca="false">IF(OR(E3970="",E3970="!!!",F3970="NEW"),"",INDEX(J$1:J3969,SUMPRODUCT(MAX(ROW(E$1:E3969)*(E3970=E$1:E3969)))))</f>
        <v/>
      </c>
      <c r="L3970" s="31"/>
    </row>
    <row r="3971" customFormat="false" ht="15" hidden="false" customHeight="false" outlineLevel="0" collapsed="false">
      <c r="A3971" s="20" t="s">
        <v>2291</v>
      </c>
    </row>
    <row r="3972" customFormat="false" ht="15" hidden="false" customHeight="false" outlineLevel="0" collapsed="false">
      <c r="A3972" s="20" t="s">
        <v>1162</v>
      </c>
      <c r="B3972" s="22" t="s">
        <v>1058</v>
      </c>
      <c r="C3972" s="22" t="s">
        <v>1082</v>
      </c>
      <c r="D3972" s="22" t="s">
        <v>1060</v>
      </c>
      <c r="E3972" s="23" t="str">
        <f aca="false">IF(D3972="?OLD","!!!","")</f>
        <v>!!!</v>
      </c>
      <c r="F3972" s="25" t="str">
        <f aca="false">IF(OR(E3972="",E3972="!!!"),"",IF(NOT(ISNA(VLOOKUP(E3972,E$1:E3971,1,FALSE()))),"OLD",IF(AND(E3972&lt;&gt;"",E3972&lt;&gt;"!!!"),"NEW","")))</f>
        <v/>
      </c>
      <c r="G3972" s="26" t="str">
        <f aca="false">IF(OR(E3972="",E3972="!!!"),"",IF(OR(J3972=0,AND(J3972=1,K3972=1),AND(J3972=1,I3972="SBJ"),AND(J3972=1,I3972=0)),"?IN_FOCUS",IF(J3972&lt;=2,"?ACTIVATED",IF(J3972&lt;&gt;"","?FAMILIAR",IF(F3972="NEW",IF(ISNA(VLOOKUP(E3972,#REF!,1,FALSE())),"?TYPE_IDENTIFIABLE","?REFERENTIAL"),"_")))))</f>
        <v/>
      </c>
      <c r="H3972" s="27" t="str">
        <f aca="false">IF(J3972&lt;&gt;1,"",IF(I3972="SBJ","CB","?"))</f>
        <v/>
      </c>
      <c r="I3972" s="24" t="str">
        <f aca="false">IF(OR(E3972="",E3972="!!!",F3972="NEW"),"",INDEX(B2:B$3971,-1+SUMPRODUCT(MAX(ROW(E2:E$3971)*(E3972=E2:E$3971)))))</f>
        <v/>
      </c>
      <c r="J3972" s="24" t="str">
        <f aca="true">IF(OR(E3972="",E3972="!!!",F3972="NEW"),"",COUNTBLANK(OFFSET(A$1,,,SUMPRODUCT(MAX(ROW(E$2:E3972)*(E3972=E$2:E3972)))))-COUNTBLANK(OFFSET(A$1,,,SUMPRODUCT(MAX(ROW(E$1:E3971)*(E2=E$1:E3971))))))</f>
        <v/>
      </c>
      <c r="K3972" s="24" t="str">
        <f aca="false">IF(OR(E3972="",E3972="!!!",F3972="NEW"),"",INDEX(J$1:J3971,SUMPRODUCT(MAX(ROW(E$1:E3971)*(E3972=E$1:E3971)))))</f>
        <v/>
      </c>
      <c r="L3972" s="31"/>
    </row>
    <row r="3973" customFormat="false" ht="15" hidden="false" customHeight="false" outlineLevel="0" collapsed="false">
      <c r="A3973" s="20" t="s">
        <v>1198</v>
      </c>
      <c r="E3973" s="23" t="str">
        <f aca="false">IF(D3973="?OLD","!!!","")</f>
        <v/>
      </c>
      <c r="F3973" s="25" t="str">
        <f aca="false">IF(OR(E3973="",E3973="!!!"),"",IF(NOT(ISNA(VLOOKUP(E3973,E$1:E3972,1,FALSE()))),"OLD",IF(AND(E3973&lt;&gt;"",E3973&lt;&gt;"!!!"),"NEW","")))</f>
        <v/>
      </c>
      <c r="G3973" s="26" t="str">
        <f aca="false">IF(OR(E3973="",E3973="!!!"),"",IF(OR(J3973=0,AND(J3973=1,K3973=1),AND(J3973=1,I3973="SBJ"),AND(J3973=1,I3973=0)),"?IN_FOCUS",IF(J3973&lt;=2,"?ACTIVATED",IF(J3973&lt;&gt;"","?FAMILIAR",IF(F3973="NEW",IF(ISNA(VLOOKUP(E3973,#REF!,1,FALSE())),"?TYPE_IDENTIFIABLE","?REFERENTIAL"),"_")))))</f>
        <v/>
      </c>
      <c r="H3973" s="27" t="str">
        <f aca="false">IF(J3973&lt;&gt;1,"",IF(I3973="SBJ","CB","?"))</f>
        <v/>
      </c>
      <c r="I3973" s="24" t="str">
        <f aca="false">IF(OR(E3973="",E3973="!!!",F3973="NEW"),"",INDEX(B3:B$3971,-1+SUMPRODUCT(MAX(ROW(E3:E$3971)*(E3973=E3:E$3971)))))</f>
        <v/>
      </c>
      <c r="J3973" s="24" t="str">
        <f aca="true">IF(OR(E3973="",E3973="!!!",F3973="NEW"),"",COUNTBLANK(OFFSET(A$1,,,SUMPRODUCT(MAX(ROW(E$2:E3973)*(E3973=E$2:E3973)))))-COUNTBLANK(OFFSET(A$1,,,SUMPRODUCT(MAX(ROW(E$1:E3972)*(E2=E$1:E3972))))))</f>
        <v/>
      </c>
      <c r="K3973" s="24" t="str">
        <f aca="false">IF(OR(E3973="",E3973="!!!",F3973="NEW"),"",INDEX(J$1:J3972,SUMPRODUCT(MAX(ROW(E$1:E3972)*(E3973=E$1:E3972)))))</f>
        <v/>
      </c>
      <c r="L3973" s="31"/>
    </row>
    <row r="3974" customFormat="false" ht="15" hidden="false" customHeight="false" outlineLevel="0" collapsed="false">
      <c r="A3974" s="20" t="s">
        <v>803</v>
      </c>
      <c r="E3974" s="23" t="str">
        <f aca="false">IF(D3974="?OLD","!!!","")</f>
        <v/>
      </c>
      <c r="F3974" s="25" t="str">
        <f aca="false">IF(OR(E3974="",E3974="!!!"),"",IF(NOT(ISNA(VLOOKUP(E3974,E$1:E3973,1,FALSE()))),"OLD",IF(AND(E3974&lt;&gt;"",E3974&lt;&gt;"!!!"),"NEW","")))</f>
        <v/>
      </c>
      <c r="G3974" s="26" t="str">
        <f aca="false">IF(OR(E3974="",E3974="!!!"),"",IF(OR(J3974=0,AND(J3974=1,K3974=1),AND(J3974=1,I3974="SBJ"),AND(J3974=1,I3974=0)),"?IN_FOCUS",IF(J3974&lt;=2,"?ACTIVATED",IF(J3974&lt;&gt;"","?FAMILIAR",IF(F3974="NEW",IF(ISNA(VLOOKUP(E3974,#REF!,1,FALSE())),"?TYPE_IDENTIFIABLE","?REFERENTIAL"),"_")))))</f>
        <v/>
      </c>
      <c r="H3974" s="27" t="str">
        <f aca="false">IF(J3974&lt;&gt;1,"",IF(I3974="SBJ","CB","?"))</f>
        <v/>
      </c>
      <c r="I3974" s="24" t="str">
        <f aca="false">IF(OR(E3974="",E3974="!!!",F3974="NEW"),"",INDEX(B4:B$3971,-1+SUMPRODUCT(MAX(ROW(E4:E$3971)*(E3974=E4:E$3971)))))</f>
        <v/>
      </c>
      <c r="J3974" s="24" t="str">
        <f aca="true">IF(OR(E3974="",E3974="!!!",F3974="NEW"),"",COUNTBLANK(OFFSET(A$1,,,SUMPRODUCT(MAX(ROW(E$2:E3974)*(E3974=E$2:E3974)))))-COUNTBLANK(OFFSET(A$1,,,SUMPRODUCT(MAX(ROW(E$1:E3973)*(E2=E$1:E3973))))))</f>
        <v/>
      </c>
      <c r="K3974" s="24" t="str">
        <f aca="false">IF(OR(E3974="",E3974="!!!",F3974="NEW"),"",INDEX(J$1:J3973,SUMPRODUCT(MAX(ROW(E$1:E3973)*(E3974=E$1:E3973)))))</f>
        <v/>
      </c>
      <c r="L3974" s="31"/>
    </row>
    <row r="3975" customFormat="false" ht="15" hidden="false" customHeight="false" outlineLevel="0" collapsed="false">
      <c r="A3975" s="20" t="s">
        <v>1080</v>
      </c>
      <c r="B3975" s="22" t="s">
        <v>1081</v>
      </c>
      <c r="C3975" s="22" t="s">
        <v>1082</v>
      </c>
      <c r="D3975" s="22" t="s">
        <v>1060</v>
      </c>
      <c r="E3975" s="23" t="str">
        <f aca="false">IF(D3975="?OLD","!!!","")</f>
        <v>!!!</v>
      </c>
      <c r="F3975" s="25" t="str">
        <f aca="false">IF(OR(E3975="",E3975="!!!"),"",IF(NOT(ISNA(VLOOKUP(E3975,E$1:E3974,1,FALSE()))),"OLD",IF(AND(E3975&lt;&gt;"",E3975&lt;&gt;"!!!"),"NEW","")))</f>
        <v/>
      </c>
      <c r="G3975" s="26" t="str">
        <f aca="false">IF(OR(E3975="",E3975="!!!"),"",IF(OR(J3975=0,AND(J3975=1,K3975=1),AND(J3975=1,I3975="SBJ"),AND(J3975=1,I3975=0)),"?IN_FOCUS",IF(J3975&lt;=2,"?ACTIVATED",IF(J3975&lt;&gt;"","?FAMILIAR",IF(F3975="NEW",IF(ISNA(VLOOKUP(E3975,#REF!,1,FALSE())),"?TYPE_IDENTIFIABLE","?REFERENTIAL"),"_")))))</f>
        <v/>
      </c>
      <c r="H3975" s="27" t="str">
        <f aca="false">IF(J3975&lt;&gt;1,"",IF(I3975="SBJ","CB","?"))</f>
        <v/>
      </c>
      <c r="I3975" s="24" t="str">
        <f aca="false">IF(OR(E3975="",E3975="!!!",F3975="NEW"),"",INDEX(B5:B$3971,-1+SUMPRODUCT(MAX(ROW(E5:E$3971)*(E3975=E5:E$3971)))))</f>
        <v/>
      </c>
      <c r="J3975" s="24" t="str">
        <f aca="true">IF(OR(E3975="",E3975="!!!",F3975="NEW"),"",COUNTBLANK(OFFSET(A$1,,,SUMPRODUCT(MAX(ROW(E$2:E3975)*(E3975=E$2:E3975)))))-COUNTBLANK(OFFSET(A$1,,,SUMPRODUCT(MAX(ROW(E$1:E3974)*(E2=E$1:E3974))))))</f>
        <v/>
      </c>
      <c r="K3975" s="24" t="str">
        <f aca="false">IF(OR(E3975="",E3975="!!!",F3975="NEW"),"",INDEX(J$1:J3974,SUMPRODUCT(MAX(ROW(E$1:E3974)*(E3975=E$1:E3974)))))</f>
        <v/>
      </c>
      <c r="L3975" s="31"/>
    </row>
    <row r="3976" customFormat="false" ht="15" hidden="false" customHeight="false" outlineLevel="0" collapsed="false">
      <c r="A3976" s="20" t="s">
        <v>1760</v>
      </c>
      <c r="E3976" s="23" t="str">
        <f aca="false">IF(D3976="?OLD","!!!","")</f>
        <v/>
      </c>
      <c r="F3976" s="25" t="str">
        <f aca="false">IF(OR(E3976="",E3976="!!!"),"",IF(NOT(ISNA(VLOOKUP(E3976,E$1:E3975,1,FALSE()))),"OLD",IF(AND(E3976&lt;&gt;"",E3976&lt;&gt;"!!!"),"NEW","")))</f>
        <v/>
      </c>
      <c r="G3976" s="26" t="str">
        <f aca="false">IF(OR(E3976="",E3976="!!!"),"",IF(OR(J3976=0,AND(J3976=1,K3976=1),AND(J3976=1,I3976="SBJ"),AND(J3976=1,I3976=0)),"?IN_FOCUS",IF(J3976&lt;=2,"?ACTIVATED",IF(J3976&lt;&gt;"","?FAMILIAR",IF(F3976="NEW",IF(ISNA(VLOOKUP(E3976,#REF!,1,FALSE())),"?TYPE_IDENTIFIABLE","?REFERENTIAL"),"_")))))</f>
        <v/>
      </c>
      <c r="H3976" s="27" t="str">
        <f aca="false">IF(J3976&lt;&gt;1,"",IF(I3976="SBJ","CB","?"))</f>
        <v/>
      </c>
      <c r="I3976" s="24" t="str">
        <f aca="false">IF(OR(E3976="",E3976="!!!",F3976="NEW"),"",INDEX(B6:B$3971,-1+SUMPRODUCT(MAX(ROW(E6:E$3971)*(E3976=E6:E$3971)))))</f>
        <v/>
      </c>
      <c r="J3976" s="24" t="str">
        <f aca="true">IF(OR(E3976="",E3976="!!!",F3976="NEW"),"",COUNTBLANK(OFFSET(A$1,,,SUMPRODUCT(MAX(ROW(E$2:E3976)*(E3976=E$2:E3976)))))-COUNTBLANK(OFFSET(A$1,,,SUMPRODUCT(MAX(ROW(E$1:E3975)*(E2=E$1:E3975))))))</f>
        <v/>
      </c>
      <c r="K3976" s="24" t="str">
        <f aca="false">IF(OR(E3976="",E3976="!!!",F3976="NEW"),"",INDEX(J$1:J3975,SUMPRODUCT(MAX(ROW(E$1:E3975)*(E3976=E$1:E3975)))))</f>
        <v/>
      </c>
      <c r="L3976" s="31"/>
    </row>
    <row r="3977" customFormat="false" ht="15" hidden="false" customHeight="false" outlineLevel="0" collapsed="false">
      <c r="A3977" s="20" t="s">
        <v>1076</v>
      </c>
      <c r="E3977" s="23" t="str">
        <f aca="false">IF(D3977="?OLD","!!!","")</f>
        <v/>
      </c>
      <c r="F3977" s="25" t="str">
        <f aca="false">IF(OR(E3977="",E3977="!!!"),"",IF(NOT(ISNA(VLOOKUP(E3977,E$1:E3976,1,FALSE()))),"OLD",IF(AND(E3977&lt;&gt;"",E3977&lt;&gt;"!!!"),"NEW","")))</f>
        <v/>
      </c>
      <c r="G3977" s="26" t="str">
        <f aca="false">IF(OR(E3977="",E3977="!!!"),"",IF(OR(J3977=0,AND(J3977=1,K3977=1),AND(J3977=1,I3977="SBJ"),AND(J3977=1,I3977=0)),"?IN_FOCUS",IF(J3977&lt;=2,"?ACTIVATED",IF(J3977&lt;&gt;"","?FAMILIAR",IF(F3977="NEW",IF(ISNA(VLOOKUP(E3977,#REF!,1,FALSE())),"?TYPE_IDENTIFIABLE","?REFERENTIAL"),"_")))))</f>
        <v/>
      </c>
      <c r="H3977" s="27" t="str">
        <f aca="false">IF(J3977&lt;&gt;1,"",IF(I3977="SBJ","CB","?"))</f>
        <v/>
      </c>
      <c r="I3977" s="24" t="str">
        <f aca="false">IF(OR(E3977="",E3977="!!!",F3977="NEW"),"",INDEX(B7:B$3971,-1+SUMPRODUCT(MAX(ROW(E7:E$3971)*(E3977=E7:E$3971)))))</f>
        <v/>
      </c>
      <c r="J3977" s="24" t="str">
        <f aca="true">IF(OR(E3977="",E3977="!!!",F3977="NEW"),"",COUNTBLANK(OFFSET(A$1,,,SUMPRODUCT(MAX(ROW(E$2:E3977)*(E3977=E$2:E3977)))))-COUNTBLANK(OFFSET(A$1,,,SUMPRODUCT(MAX(ROW(E$1:E3976)*(E2=E$1:E3976))))))</f>
        <v/>
      </c>
      <c r="K3977" s="24" t="str">
        <f aca="false">IF(OR(E3977="",E3977="!!!",F3977="NEW"),"",INDEX(J$1:J3976,SUMPRODUCT(MAX(ROW(E$1:E3976)*(E3977=E$1:E3976)))))</f>
        <v/>
      </c>
      <c r="L3977" s="31"/>
    </row>
    <row r="3978" customFormat="false" ht="15" hidden="false" customHeight="false" outlineLevel="0" collapsed="false">
      <c r="A3978" s="20" t="s">
        <v>1511</v>
      </c>
      <c r="E3978" s="23" t="str">
        <f aca="false">IF(D3978="?OLD","!!!","")</f>
        <v/>
      </c>
      <c r="F3978" s="25" t="str">
        <f aca="false">IF(OR(E3978="",E3978="!!!"),"",IF(NOT(ISNA(VLOOKUP(E3978,E$1:E3977,1,FALSE()))),"OLD",IF(AND(E3978&lt;&gt;"",E3978&lt;&gt;"!!!"),"NEW","")))</f>
        <v/>
      </c>
      <c r="G3978" s="26" t="str">
        <f aca="false">IF(OR(E3978="",E3978="!!!"),"",IF(OR(J3978=0,AND(J3978=1,K3978=1),AND(J3978=1,I3978="SBJ"),AND(J3978=1,I3978=0)),"?IN_FOCUS",IF(J3978&lt;=2,"?ACTIVATED",IF(J3978&lt;&gt;"","?FAMILIAR",IF(F3978="NEW",IF(ISNA(VLOOKUP(E3978,#REF!,1,FALSE())),"?TYPE_IDENTIFIABLE","?REFERENTIAL"),"_")))))</f>
        <v/>
      </c>
      <c r="H3978" s="27" t="str">
        <f aca="false">IF(J3978&lt;&gt;1,"",IF(I3978="SBJ","CB","?"))</f>
        <v/>
      </c>
      <c r="I3978" s="24" t="str">
        <f aca="false">IF(OR(E3978="",E3978="!!!",F3978="NEW"),"",INDEX(B8:B$3971,-1+SUMPRODUCT(MAX(ROW(E8:E$3971)*(E3978=E8:E$3971)))))</f>
        <v/>
      </c>
      <c r="J3978" s="24" t="str">
        <f aca="true">IF(OR(E3978="",E3978="!!!",F3978="NEW"),"",COUNTBLANK(OFFSET(A$1,,,SUMPRODUCT(MAX(ROW(E$2:E3978)*(E3978=E$2:E3978)))))-COUNTBLANK(OFFSET(A$1,,,SUMPRODUCT(MAX(ROW(E$1:E3977)*(E2=E$1:E3977))))))</f>
        <v/>
      </c>
      <c r="K3978" s="24" t="str">
        <f aca="false">IF(OR(E3978="",E3978="!!!",F3978="NEW"),"",INDEX(J$1:J3977,SUMPRODUCT(MAX(ROW(E$1:E3977)*(E3978=E$1:E3977)))))</f>
        <v/>
      </c>
      <c r="L3978" s="31"/>
    </row>
    <row r="3979" customFormat="false" ht="15" hidden="false" customHeight="false" outlineLevel="0" collapsed="false">
      <c r="A3979" s="20" t="s">
        <v>16</v>
      </c>
      <c r="E3979" s="23" t="str">
        <f aca="false">IF(D3979="?OLD","!!!","")</f>
        <v/>
      </c>
      <c r="F3979" s="25" t="str">
        <f aca="false">IF(OR(E3979="",E3979="!!!"),"",IF(NOT(ISNA(VLOOKUP(E3979,E$1:E3978,1,FALSE()))),"OLD",IF(AND(E3979&lt;&gt;"",E3979&lt;&gt;"!!!"),"NEW","")))</f>
        <v/>
      </c>
      <c r="G3979" s="26" t="str">
        <f aca="false">IF(OR(E3979="",E3979="!!!"),"",IF(OR(J3979=0,AND(J3979=1,K3979=1),AND(J3979=1,I3979="SBJ"),AND(J3979=1,I3979=0)),"?IN_FOCUS",IF(J3979&lt;=2,"?ACTIVATED",IF(J3979&lt;&gt;"","?FAMILIAR",IF(F3979="NEW",IF(ISNA(VLOOKUP(E3979,#REF!,1,FALSE())),"?TYPE_IDENTIFIABLE","?REFERENTIAL"),"_")))))</f>
        <v/>
      </c>
      <c r="H3979" s="27" t="str">
        <f aca="false">IF(J3979&lt;&gt;1,"",IF(I3979="SBJ","CB","?"))</f>
        <v/>
      </c>
      <c r="I3979" s="24" t="str">
        <f aca="false">IF(OR(E3979="",E3979="!!!",F3979="NEW"),"",INDEX(B9:B$3971,-1+SUMPRODUCT(MAX(ROW(E9:E$3971)*(E3979=E9:E$3971)))))</f>
        <v/>
      </c>
      <c r="J3979" s="24" t="str">
        <f aca="true">IF(OR(E3979="",E3979="!!!",F3979="NEW"),"",COUNTBLANK(OFFSET(A$1,,,SUMPRODUCT(MAX(ROW(E$2:E3979)*(E3979=E$2:E3979)))))-COUNTBLANK(OFFSET(A$1,,,SUMPRODUCT(MAX(ROW(E$1:E3978)*(E2=E$1:E3978))))))</f>
        <v/>
      </c>
      <c r="K3979" s="24" t="str">
        <f aca="false">IF(OR(E3979="",E3979="!!!",F3979="NEW"),"",INDEX(J$1:J3978,SUMPRODUCT(MAX(ROW(E$1:E3978)*(E3979=E$1:E3978)))))</f>
        <v/>
      </c>
      <c r="L3979" s="31"/>
    </row>
    <row r="3980" customFormat="false" ht="15" hidden="false" customHeight="false" outlineLevel="0" collapsed="false">
      <c r="A3980" s="20" t="s">
        <v>2251</v>
      </c>
      <c r="B3980" s="22" t="s">
        <v>1073</v>
      </c>
      <c r="C3980" s="22" t="s">
        <v>1160</v>
      </c>
      <c r="E3980" s="23" t="str">
        <f aca="false">IF(D3980="?OLD","!!!","")</f>
        <v/>
      </c>
      <c r="F3980" s="25" t="str">
        <f aca="false">IF(OR(E3980="",E3980="!!!"),"",IF(NOT(ISNA(VLOOKUP(E3980,E$1:E3979,1,FALSE()))),"OLD",IF(AND(E3980&lt;&gt;"",E3980&lt;&gt;"!!!"),"NEW","")))</f>
        <v/>
      </c>
      <c r="G3980" s="26" t="str">
        <f aca="false">IF(OR(E3980="",E3980="!!!"),"",IF(OR(J3980=0,AND(J3980=1,K3980=1),AND(J3980=1,I3980="SBJ"),AND(J3980=1,I3980=0)),"?IN_FOCUS",IF(J3980&lt;=2,"?ACTIVATED",IF(J3980&lt;&gt;"","?FAMILIAR",IF(F3980="NEW",IF(ISNA(VLOOKUP(E3980,#REF!,1,FALSE())),"?TYPE_IDENTIFIABLE","?REFERENTIAL"),"_")))))</f>
        <v/>
      </c>
      <c r="H3980" s="27" t="str">
        <f aca="false">IF(J3980&lt;&gt;1,"",IF(I3980="SBJ","CB","?"))</f>
        <v/>
      </c>
      <c r="I3980" s="24" t="str">
        <f aca="false">IF(OR(E3980="",E3980="!!!",F3980="NEW"),"",INDEX(B10:B$3971,-1+SUMPRODUCT(MAX(ROW(E10:E$3971)*(E3980=E10:E$3971)))))</f>
        <v/>
      </c>
      <c r="J3980" s="24" t="str">
        <f aca="true">IF(OR(E3980="",E3980="!!!",F3980="NEW"),"",COUNTBLANK(OFFSET(A$1,,,SUMPRODUCT(MAX(ROW(E$2:E3980)*(E3980=E$2:E3980)))))-COUNTBLANK(OFFSET(A$1,,,SUMPRODUCT(MAX(ROW(E$1:E3979)*(E2=E$1:E3979))))))</f>
        <v/>
      </c>
      <c r="K3980" s="24" t="str">
        <f aca="false">IF(OR(E3980="",E3980="!!!",F3980="NEW"),"",INDEX(J$1:J3979,SUMPRODUCT(MAX(ROW(E$1:E3979)*(E3980=E$1:E3979)))))</f>
        <v/>
      </c>
      <c r="L3980" s="31"/>
    </row>
    <row r="3981" customFormat="false" ht="15" hidden="false" customHeight="false" outlineLevel="0" collapsed="false">
      <c r="A3981" s="20" t="s">
        <v>1076</v>
      </c>
      <c r="E3981" s="23" t="str">
        <f aca="false">IF(D3981="?OLD","!!!","")</f>
        <v/>
      </c>
      <c r="F3981" s="25" t="str">
        <f aca="false">IF(OR(E3981="",E3981="!!!"),"",IF(NOT(ISNA(VLOOKUP(E3981,E$1:E3980,1,FALSE()))),"OLD",IF(AND(E3981&lt;&gt;"",E3981&lt;&gt;"!!!"),"NEW","")))</f>
        <v/>
      </c>
      <c r="G3981" s="26" t="str">
        <f aca="false">IF(OR(E3981="",E3981="!!!"),"",IF(OR(J3981=0,AND(J3981=1,K3981=1),AND(J3981=1,I3981="SBJ"),AND(J3981=1,I3981=0)),"?IN_FOCUS",IF(J3981&lt;=2,"?ACTIVATED",IF(J3981&lt;&gt;"","?FAMILIAR",IF(F3981="NEW",IF(ISNA(VLOOKUP(E3981,#REF!,1,FALSE())),"?TYPE_IDENTIFIABLE","?REFERENTIAL"),"_")))))</f>
        <v/>
      </c>
      <c r="H3981" s="27" t="str">
        <f aca="false">IF(J3981&lt;&gt;1,"",IF(I3981="SBJ","CB","?"))</f>
        <v/>
      </c>
      <c r="I3981" s="24" t="str">
        <f aca="false">IF(OR(E3981="",E3981="!!!",F3981="NEW"),"",INDEX(B11:B$3971,-1+SUMPRODUCT(MAX(ROW(E11:E$3971)*(E3981=E11:E$3971)))))</f>
        <v/>
      </c>
      <c r="J3981" s="24" t="str">
        <f aca="true">IF(OR(E3981="",E3981="!!!",F3981="NEW"),"",COUNTBLANK(OFFSET(A$1,,,SUMPRODUCT(MAX(ROW(E$2:E3981)*(E3981=E$2:E3981)))))-COUNTBLANK(OFFSET(A$1,,,SUMPRODUCT(MAX(ROW(E$1:E3980)*(E2=E$1:E3980))))))</f>
        <v/>
      </c>
      <c r="K3981" s="24" t="str">
        <f aca="false">IF(OR(E3981="",E3981="!!!",F3981="NEW"),"",INDEX(J$1:J3980,SUMPRODUCT(MAX(ROW(E$1:E3980)*(E3981=E$1:E3980)))))</f>
        <v/>
      </c>
      <c r="L3981" s="31"/>
    </row>
    <row r="3982" customFormat="false" ht="15" hidden="false" customHeight="false" outlineLevel="0" collapsed="false">
      <c r="A3982" s="20" t="s">
        <v>2292</v>
      </c>
      <c r="B3982" s="22" t="s">
        <v>1073</v>
      </c>
      <c r="C3982" s="22" t="s">
        <v>1160</v>
      </c>
      <c r="E3982" s="23" t="str">
        <f aca="false">IF(D3982="?OLD","!!!","")</f>
        <v/>
      </c>
      <c r="F3982" s="25" t="str">
        <f aca="false">IF(OR(E3982="",E3982="!!!"),"",IF(NOT(ISNA(VLOOKUP(E3982,E$1:E3981,1,FALSE()))),"OLD",IF(AND(E3982&lt;&gt;"",E3982&lt;&gt;"!!!"),"NEW","")))</f>
        <v/>
      </c>
      <c r="G3982" s="26" t="str">
        <f aca="false">IF(OR(E3982="",E3982="!!!"),"",IF(OR(J3982=0,AND(J3982=1,K3982=1),AND(J3982=1,I3982="SBJ"),AND(J3982=1,I3982=0)),"?IN_FOCUS",IF(J3982&lt;=2,"?ACTIVATED",IF(J3982&lt;&gt;"","?FAMILIAR",IF(F3982="NEW",IF(ISNA(VLOOKUP(E3982,#REF!,1,FALSE())),"?TYPE_IDENTIFIABLE","?REFERENTIAL"),"_")))))</f>
        <v/>
      </c>
      <c r="H3982" s="27" t="str">
        <f aca="false">IF(J3982&lt;&gt;1,"",IF(I3982="SBJ","CB","?"))</f>
        <v/>
      </c>
      <c r="I3982" s="24" t="str">
        <f aca="false">IF(OR(E3982="",E3982="!!!",F3982="NEW"),"",INDEX(B12:B$3971,-1+SUMPRODUCT(MAX(ROW(E12:E$3971)*(E3982=E12:E$3971)))))</f>
        <v/>
      </c>
      <c r="J3982" s="24" t="str">
        <f aca="true">IF(OR(E3982="",E3982="!!!",F3982="NEW"),"",COUNTBLANK(OFFSET(A$1,,,SUMPRODUCT(MAX(ROW(E$2:E3982)*(E3982=E$2:E3982)))))-COUNTBLANK(OFFSET(A$1,,,SUMPRODUCT(MAX(ROW(E$1:E3981)*(E2=E$1:E3981))))))</f>
        <v/>
      </c>
      <c r="K3982" s="24" t="str">
        <f aca="false">IF(OR(E3982="",E3982="!!!",F3982="NEW"),"",INDEX(J$1:J3981,SUMPRODUCT(MAX(ROW(E$1:E3981)*(E3982=E$1:E3981)))))</f>
        <v/>
      </c>
      <c r="L3982" s="31"/>
    </row>
    <row r="3983" customFormat="false" ht="15" hidden="false" customHeight="false" outlineLevel="0" collapsed="false">
      <c r="A3983" s="20" t="s">
        <v>1076</v>
      </c>
      <c r="E3983" s="23" t="str">
        <f aca="false">IF(D3983="?OLD","!!!","")</f>
        <v/>
      </c>
      <c r="F3983" s="25" t="str">
        <f aca="false">IF(OR(E3983="",E3983="!!!"),"",IF(NOT(ISNA(VLOOKUP(E3983,E$1:E3982,1,FALSE()))),"OLD",IF(AND(E3983&lt;&gt;"",E3983&lt;&gt;"!!!"),"NEW","")))</f>
        <v/>
      </c>
      <c r="G3983" s="26" t="str">
        <f aca="false">IF(OR(E3983="",E3983="!!!"),"",IF(OR(J3983=0,AND(J3983=1,K3983=1),AND(J3983=1,I3983="SBJ"),AND(J3983=1,I3983=0)),"?IN_FOCUS",IF(J3983&lt;=2,"?ACTIVATED",IF(J3983&lt;&gt;"","?FAMILIAR",IF(F3983="NEW",IF(ISNA(VLOOKUP(E3983,#REF!,1,FALSE())),"?TYPE_IDENTIFIABLE","?REFERENTIAL"),"_")))))</f>
        <v/>
      </c>
      <c r="H3983" s="27" t="str">
        <f aca="false">IF(J3983&lt;&gt;1,"",IF(I3983="SBJ","CB","?"))</f>
        <v/>
      </c>
      <c r="I3983" s="24" t="str">
        <f aca="false">IF(OR(E3983="",E3983="!!!",F3983="NEW"),"",INDEX(B13:B$3971,-1+SUMPRODUCT(MAX(ROW(E13:E$3971)*(E3983=E13:E$3971)))))</f>
        <v/>
      </c>
      <c r="J3983" s="24" t="str">
        <f aca="true">IF(OR(E3983="",E3983="!!!",F3983="NEW"),"",COUNTBLANK(OFFSET(A$1,,,SUMPRODUCT(MAX(ROW(E$2:E3983)*(E3983=E$2:E3983)))))-COUNTBLANK(OFFSET(A$1,,,SUMPRODUCT(MAX(ROW(E$1:E3982)*(E2=E$1:E3982))))))</f>
        <v/>
      </c>
      <c r="K3983" s="24" t="str">
        <f aca="false">IF(OR(E3983="",E3983="!!!",F3983="NEW"),"",INDEX(J$1:J3982,SUMPRODUCT(MAX(ROW(E$1:E3982)*(E3983=E$1:E3982)))))</f>
        <v/>
      </c>
      <c r="L3983" s="31"/>
    </row>
    <row r="3984" customFormat="false" ht="15" hidden="false" customHeight="false" outlineLevel="0" collapsed="false">
      <c r="A3984" s="20" t="s">
        <v>1085</v>
      </c>
      <c r="E3984" s="23" t="str">
        <f aca="false">IF(D3984="?OLD","!!!","")</f>
        <v/>
      </c>
      <c r="F3984" s="25" t="str">
        <f aca="false">IF(OR(E3984="",E3984="!!!"),"",IF(NOT(ISNA(VLOOKUP(E3984,E$1:E3983,1,FALSE()))),"OLD",IF(AND(E3984&lt;&gt;"",E3984&lt;&gt;"!!!"),"NEW","")))</f>
        <v/>
      </c>
      <c r="G3984" s="26" t="str">
        <f aca="false">IF(OR(E3984="",E3984="!!!"),"",IF(OR(J3984=0,AND(J3984=1,K3984=1),AND(J3984=1,I3984="SBJ"),AND(J3984=1,I3984=0)),"?IN_FOCUS",IF(J3984&lt;=2,"?ACTIVATED",IF(J3984&lt;&gt;"","?FAMILIAR",IF(F3984="NEW",IF(ISNA(VLOOKUP(E3984,#REF!,1,FALSE())),"?TYPE_IDENTIFIABLE","?REFERENTIAL"),"_")))))</f>
        <v/>
      </c>
      <c r="H3984" s="27" t="str">
        <f aca="false">IF(J3984&lt;&gt;1,"",IF(I3984="SBJ","CB","?"))</f>
        <v/>
      </c>
      <c r="I3984" s="24" t="str">
        <f aca="false">IF(OR(E3984="",E3984="!!!",F3984="NEW"),"",INDEX(B14:B$3971,-1+SUMPRODUCT(MAX(ROW(E14:E$3971)*(E3984=E14:E$3971)))))</f>
        <v/>
      </c>
      <c r="J3984" s="24" t="str">
        <f aca="true">IF(OR(E3984="",E3984="!!!",F3984="NEW"),"",COUNTBLANK(OFFSET(A$1,,,SUMPRODUCT(MAX(ROW(E$2:E3984)*(E3984=E$2:E3984)))))-COUNTBLANK(OFFSET(A$1,,,SUMPRODUCT(MAX(ROW(E$1:E3983)*(E2=E$1:E3983))))))</f>
        <v/>
      </c>
      <c r="K3984" s="24" t="str">
        <f aca="false">IF(OR(E3984="",E3984="!!!",F3984="NEW"),"",INDEX(J$1:J3983,SUMPRODUCT(MAX(ROW(E$1:E3983)*(E3984=E$1:E3983)))))</f>
        <v/>
      </c>
      <c r="L3984" s="31"/>
    </row>
    <row r="3985" customFormat="false" ht="15" hidden="false" customHeight="false" outlineLevel="0" collapsed="false">
      <c r="A3985" s="20" t="s">
        <v>1638</v>
      </c>
      <c r="B3985" s="22" t="s">
        <v>1073</v>
      </c>
      <c r="C3985" s="22" t="s">
        <v>1087</v>
      </c>
      <c r="E3985" s="23" t="str">
        <f aca="false">IF(D3985="?OLD","!!!","")</f>
        <v/>
      </c>
      <c r="F3985" s="25" t="str">
        <f aca="false">IF(OR(E3985="",E3985="!!!"),"",IF(NOT(ISNA(VLOOKUP(E3985,E$1:E3984,1,FALSE()))),"OLD",IF(AND(E3985&lt;&gt;"",E3985&lt;&gt;"!!!"),"NEW","")))</f>
        <v/>
      </c>
      <c r="G3985" s="26" t="str">
        <f aca="false">IF(OR(E3985="",E3985="!!!"),"",IF(OR(J3985=0,AND(J3985=1,K3985=1),AND(J3985=1,I3985="SBJ"),AND(J3985=1,I3985=0)),"?IN_FOCUS",IF(J3985&lt;=2,"?ACTIVATED",IF(J3985&lt;&gt;"","?FAMILIAR",IF(F3985="NEW",IF(ISNA(VLOOKUP(E3985,#REF!,1,FALSE())),"?TYPE_IDENTIFIABLE","?REFERENTIAL"),"_")))))</f>
        <v/>
      </c>
      <c r="H3985" s="27" t="str">
        <f aca="false">IF(J3985&lt;&gt;1,"",IF(I3985="SBJ","CB","?"))</f>
        <v/>
      </c>
      <c r="I3985" s="24" t="str">
        <f aca="false">IF(OR(E3985="",E3985="!!!",F3985="NEW"),"",INDEX(B15:B$3971,-1+SUMPRODUCT(MAX(ROW(E15:E$3971)*(E3985=E15:E$3971)))))</f>
        <v/>
      </c>
      <c r="J3985" s="24" t="str">
        <f aca="true">IF(OR(E3985="",E3985="!!!",F3985="NEW"),"",COUNTBLANK(OFFSET(A$1,,,SUMPRODUCT(MAX(ROW(E$2:E3985)*(E3985=E$2:E3985)))))-COUNTBLANK(OFFSET(A$1,,,SUMPRODUCT(MAX(ROW(E$1:E3984)*(E2=E$1:E3984))))))</f>
        <v/>
      </c>
      <c r="K3985" s="24" t="str">
        <f aca="false">IF(OR(E3985="",E3985="!!!",F3985="NEW"),"",INDEX(J$1:J3984,SUMPRODUCT(MAX(ROW(E$1:E3984)*(E3985=E$1:E3984)))))</f>
        <v/>
      </c>
      <c r="L3985" s="31"/>
    </row>
    <row r="3986" customFormat="false" ht="15" hidden="false" customHeight="false" outlineLevel="0" collapsed="false">
      <c r="A3986" s="20" t="s">
        <v>1064</v>
      </c>
      <c r="E3986" s="23" t="str">
        <f aca="false">IF(D3986="?OLD","!!!","")</f>
        <v/>
      </c>
      <c r="F3986" s="25" t="str">
        <f aca="false">IF(OR(E3986="",E3986="!!!"),"",IF(NOT(ISNA(VLOOKUP(E3986,E$1:E3985,1,FALSE()))),"OLD",IF(AND(E3986&lt;&gt;"",E3986&lt;&gt;"!!!"),"NEW","")))</f>
        <v/>
      </c>
      <c r="G3986" s="26" t="str">
        <f aca="false">IF(OR(E3986="",E3986="!!!"),"",IF(OR(J3986=0,AND(J3986=1,K3986=1),AND(J3986=1,I3986="SBJ"),AND(J3986=1,I3986=0)),"?IN_FOCUS",IF(J3986&lt;=2,"?ACTIVATED",IF(J3986&lt;&gt;"","?FAMILIAR",IF(F3986="NEW",IF(ISNA(VLOOKUP(E3986,#REF!,1,FALSE())),"?TYPE_IDENTIFIABLE","?REFERENTIAL"),"_")))))</f>
        <v/>
      </c>
      <c r="H3986" s="27" t="str">
        <f aca="false">IF(J3986&lt;&gt;1,"",IF(I3986="SBJ","CB","?"))</f>
        <v/>
      </c>
      <c r="I3986" s="24" t="str">
        <f aca="false">IF(OR(E3986="",E3986="!!!",F3986="NEW"),"",INDEX(B16:B$3971,-1+SUMPRODUCT(MAX(ROW(E16:E$3971)*(E3986=E16:E$3971)))))</f>
        <v/>
      </c>
      <c r="J3986" s="24" t="str">
        <f aca="true">IF(OR(E3986="",E3986="!!!",F3986="NEW"),"",COUNTBLANK(OFFSET(A$1,,,SUMPRODUCT(MAX(ROW(E$2:E3986)*(E3986=E$2:E3986)))))-COUNTBLANK(OFFSET(A$1,,,SUMPRODUCT(MAX(ROW(E$1:E3985)*(E2=E$1:E3985))))))</f>
        <v/>
      </c>
      <c r="K3986" s="24" t="str">
        <f aca="false">IF(OR(E3986="",E3986="!!!",F3986="NEW"),"",INDEX(J$1:J3985,SUMPRODUCT(MAX(ROW(E$1:E3985)*(E3986=E$1:E3985)))))</f>
        <v/>
      </c>
      <c r="L3986" s="31"/>
    </row>
    <row r="3987" customFormat="false" ht="15" hidden="false" customHeight="false" outlineLevel="0" collapsed="false">
      <c r="A3987" s="20" t="s">
        <v>2293</v>
      </c>
      <c r="B3987" s="22" t="s">
        <v>1067</v>
      </c>
      <c r="C3987" s="22" t="s">
        <v>1160</v>
      </c>
      <c r="E3987" s="23" t="str">
        <f aca="false">IF(D3987="?OLD","!!!","")</f>
        <v/>
      </c>
      <c r="F3987" s="25" t="str">
        <f aca="false">IF(OR(E3987="",E3987="!!!"),"",IF(NOT(ISNA(VLOOKUP(E3987,E$1:E3986,1,FALSE()))),"OLD",IF(AND(E3987&lt;&gt;"",E3987&lt;&gt;"!!!"),"NEW","")))</f>
        <v/>
      </c>
      <c r="G3987" s="26" t="str">
        <f aca="false">IF(OR(E3987="",E3987="!!!"),"",IF(OR(J3987=0,AND(J3987=1,K3987=1),AND(J3987=1,I3987="SBJ"),AND(J3987=1,I3987=0)),"?IN_FOCUS",IF(J3987&lt;=2,"?ACTIVATED",IF(J3987&lt;&gt;"","?FAMILIAR",IF(F3987="NEW",IF(ISNA(VLOOKUP(E3987,#REF!,1,FALSE())),"?TYPE_IDENTIFIABLE","?REFERENTIAL"),"_")))))</f>
        <v/>
      </c>
      <c r="H3987" s="27" t="str">
        <f aca="false">IF(J3987&lt;&gt;1,"",IF(I3987="SBJ","CB","?"))</f>
        <v/>
      </c>
      <c r="I3987" s="24" t="str">
        <f aca="false">IF(OR(E3987="",E3987="!!!",F3987="NEW"),"",INDEX(B17:B$3971,-1+SUMPRODUCT(MAX(ROW(E17:E$3971)*(E3987=E17:E$3971)))))</f>
        <v/>
      </c>
      <c r="J3987" s="24" t="str">
        <f aca="true">IF(OR(E3987="",E3987="!!!",F3987="NEW"),"",COUNTBLANK(OFFSET(A$1,,,SUMPRODUCT(MAX(ROW(E$2:E3987)*(E3987=E$2:E3987)))))-COUNTBLANK(OFFSET(A$1,,,SUMPRODUCT(MAX(ROW(E$1:E3986)*(E2=E$1:E3986))))))</f>
        <v/>
      </c>
      <c r="K3987" s="24" t="str">
        <f aca="false">IF(OR(E3987="",E3987="!!!",F3987="NEW"),"",INDEX(J$1:J3986,SUMPRODUCT(MAX(ROW(E$1:E3986)*(E3987=E$1:E3986)))))</f>
        <v/>
      </c>
      <c r="L3987" s="31"/>
    </row>
    <row r="3988" customFormat="false" ht="15" hidden="false" customHeight="false" outlineLevel="0" collapsed="false">
      <c r="A3988" s="20" t="s">
        <v>1076</v>
      </c>
      <c r="E3988" s="23" t="str">
        <f aca="false">IF(D3988="?OLD","!!!","")</f>
        <v/>
      </c>
      <c r="F3988" s="25" t="str">
        <f aca="false">IF(OR(E3988="",E3988="!!!"),"",IF(NOT(ISNA(VLOOKUP(E3988,E$1:E3987,1,FALSE()))),"OLD",IF(AND(E3988&lt;&gt;"",E3988&lt;&gt;"!!!"),"NEW","")))</f>
        <v/>
      </c>
      <c r="G3988" s="26" t="str">
        <f aca="false">IF(OR(E3988="",E3988="!!!"),"",IF(OR(J3988=0,AND(J3988=1,K3988=1),AND(J3988=1,I3988="SBJ"),AND(J3988=1,I3988=0)),"?IN_FOCUS",IF(J3988&lt;=2,"?ACTIVATED",IF(J3988&lt;&gt;"","?FAMILIAR",IF(F3988="NEW",IF(ISNA(VLOOKUP(E3988,#REF!,1,FALSE())),"?TYPE_IDENTIFIABLE","?REFERENTIAL"),"_")))))</f>
        <v/>
      </c>
      <c r="H3988" s="27" t="str">
        <f aca="false">IF(J3988&lt;&gt;1,"",IF(I3988="SBJ","CB","?"))</f>
        <v/>
      </c>
      <c r="I3988" s="24" t="str">
        <f aca="false">IF(OR(E3988="",E3988="!!!",F3988="NEW"),"",INDEX(B18:B$3971,-1+SUMPRODUCT(MAX(ROW(E18:E$3971)*(E3988=E18:E$3971)))))</f>
        <v/>
      </c>
      <c r="J3988" s="24" t="str">
        <f aca="true">IF(OR(E3988="",E3988="!!!",F3988="NEW"),"",COUNTBLANK(OFFSET(A$1,,,SUMPRODUCT(MAX(ROW(E$2:E3988)*(E3988=E$2:E3988)))))-COUNTBLANK(OFFSET(A$1,,,SUMPRODUCT(MAX(ROW(E$1:E3987)*(E2=E$1:E3987))))))</f>
        <v/>
      </c>
      <c r="K3988" s="24" t="str">
        <f aca="false">IF(OR(E3988="",E3988="!!!",F3988="NEW"),"",INDEX(J$1:J3987,SUMPRODUCT(MAX(ROW(E$1:E3987)*(E3988=E$1:E3987)))))</f>
        <v/>
      </c>
      <c r="L3988" s="31"/>
    </row>
    <row r="3989" customFormat="false" ht="15" hidden="false" customHeight="false" outlineLevel="0" collapsed="false">
      <c r="A3989" s="20" t="s">
        <v>2294</v>
      </c>
      <c r="B3989" s="22" t="s">
        <v>1073</v>
      </c>
      <c r="C3989" s="22" t="s">
        <v>1196</v>
      </c>
      <c r="D3989" s="22" t="s">
        <v>1060</v>
      </c>
      <c r="E3989" s="23" t="str">
        <f aca="false">IF(D3989="?OLD","!!!","")</f>
        <v>!!!</v>
      </c>
      <c r="F3989" s="25" t="str">
        <f aca="false">IF(OR(E3989="",E3989="!!!"),"",IF(NOT(ISNA(VLOOKUP(E3989,E$1:E3988,1,FALSE()))),"OLD",IF(AND(E3989&lt;&gt;"",E3989&lt;&gt;"!!!"),"NEW","")))</f>
        <v/>
      </c>
      <c r="G3989" s="26" t="str">
        <f aca="false">IF(OR(E3989="",E3989="!!!"),"",IF(OR(J3989=0,AND(J3989=1,K3989=1),AND(J3989=1,I3989="SBJ"),AND(J3989=1,I3989=0)),"?IN_FOCUS",IF(J3989&lt;=2,"?ACTIVATED",IF(J3989&lt;&gt;"","?FAMILIAR",IF(F3989="NEW",IF(ISNA(VLOOKUP(E3989,#REF!,1,FALSE())),"?TYPE_IDENTIFIABLE","?REFERENTIAL"),"_")))))</f>
        <v/>
      </c>
      <c r="H3989" s="27" t="str">
        <f aca="false">IF(J3989&lt;&gt;1,"",IF(I3989="SBJ","CB","?"))</f>
        <v/>
      </c>
      <c r="I3989" s="24" t="str">
        <f aca="false">IF(OR(E3989="",E3989="!!!",F3989="NEW"),"",INDEX(B19:B$3971,-1+SUMPRODUCT(MAX(ROW(E19:E$3971)*(E3989=E19:E$3971)))))</f>
        <v/>
      </c>
      <c r="J3989" s="24" t="str">
        <f aca="true">IF(OR(E3989="",E3989="!!!",F3989="NEW"),"",COUNTBLANK(OFFSET(A$1,,,SUMPRODUCT(MAX(ROW(E$2:E3989)*(E3989=E$2:E3989)))))-COUNTBLANK(OFFSET(A$1,,,SUMPRODUCT(MAX(ROW(E$1:E3988)*(E2=E$1:E3988))))))</f>
        <v/>
      </c>
      <c r="K3989" s="24" t="str">
        <f aca="false">IF(OR(E3989="",E3989="!!!",F3989="NEW"),"",INDEX(J$1:J3988,SUMPRODUCT(MAX(ROW(E$1:E3988)*(E3989=E$1:E3988)))))</f>
        <v/>
      </c>
      <c r="L3989" s="31"/>
    </row>
    <row r="3990" customFormat="false" ht="15" hidden="false" customHeight="false" outlineLevel="0" collapsed="false">
      <c r="A3990" s="20" t="s">
        <v>1076</v>
      </c>
      <c r="E3990" s="23" t="str">
        <f aca="false">IF(D3990="?OLD","!!!","")</f>
        <v/>
      </c>
      <c r="F3990" s="25" t="str">
        <f aca="false">IF(OR(E3990="",E3990="!!!"),"",IF(NOT(ISNA(VLOOKUP(E3990,E$1:E3989,1,FALSE()))),"OLD",IF(AND(E3990&lt;&gt;"",E3990&lt;&gt;"!!!"),"NEW","")))</f>
        <v/>
      </c>
      <c r="G3990" s="26" t="str">
        <f aca="false">IF(OR(E3990="",E3990="!!!"),"",IF(OR(J3990=0,AND(J3990=1,K3990=1),AND(J3990=1,I3990="SBJ"),AND(J3990=1,I3990=0)),"?IN_FOCUS",IF(J3990&lt;=2,"?ACTIVATED",IF(J3990&lt;&gt;"","?FAMILIAR",IF(F3990="NEW",IF(ISNA(VLOOKUP(E3990,#REF!,1,FALSE())),"?TYPE_IDENTIFIABLE","?REFERENTIAL"),"_")))))</f>
        <v/>
      </c>
      <c r="H3990" s="27" t="str">
        <f aca="false">IF(J3990&lt;&gt;1,"",IF(I3990="SBJ","CB","?"))</f>
        <v/>
      </c>
      <c r="I3990" s="24" t="str">
        <f aca="false">IF(OR(E3990="",E3990="!!!",F3990="NEW"),"",INDEX(B20:B$3971,-1+SUMPRODUCT(MAX(ROW(E20:E$3971)*(E3990=E20:E$3971)))))</f>
        <v/>
      </c>
      <c r="J3990" s="24" t="str">
        <f aca="true">IF(OR(E3990="",E3990="!!!",F3990="NEW"),"",COUNTBLANK(OFFSET(A$1,,,SUMPRODUCT(MAX(ROW(E$2:E3990)*(E3990=E$2:E3990)))))-COUNTBLANK(OFFSET(A$1,,,SUMPRODUCT(MAX(ROW(E$1:E3989)*(E2=E$1:E3989))))))</f>
        <v/>
      </c>
      <c r="K3990" s="24" t="str">
        <f aca="false">IF(OR(E3990="",E3990="!!!",F3990="NEW"),"",INDEX(J$1:J3989,SUMPRODUCT(MAX(ROW(E$1:E3989)*(E3990=E$1:E3989)))))</f>
        <v/>
      </c>
      <c r="L3990" s="31"/>
    </row>
    <row r="3991" customFormat="false" ht="15" hidden="false" customHeight="false" outlineLevel="0" collapsed="false">
      <c r="A3991" s="20" t="s">
        <v>1157</v>
      </c>
      <c r="E3991" s="23" t="str">
        <f aca="false">IF(D3991="?OLD","!!!","")</f>
        <v/>
      </c>
      <c r="F3991" s="25" t="str">
        <f aca="false">IF(OR(E3991="",E3991="!!!"),"",IF(NOT(ISNA(VLOOKUP(E3991,E$1:E3990,1,FALSE()))),"OLD",IF(AND(E3991&lt;&gt;"",E3991&lt;&gt;"!!!"),"NEW","")))</f>
        <v/>
      </c>
      <c r="G3991" s="26" t="str">
        <f aca="false">IF(OR(E3991="",E3991="!!!"),"",IF(OR(J3991=0,AND(J3991=1,K3991=1),AND(J3991=1,I3991="SBJ"),AND(J3991=1,I3991=0)),"?IN_FOCUS",IF(J3991&lt;=2,"?ACTIVATED",IF(J3991&lt;&gt;"","?FAMILIAR",IF(F3991="NEW",IF(ISNA(VLOOKUP(E3991,#REF!,1,FALSE())),"?TYPE_IDENTIFIABLE","?REFERENTIAL"),"_")))))</f>
        <v/>
      </c>
      <c r="H3991" s="27" t="str">
        <f aca="false">IF(J3991&lt;&gt;1,"",IF(I3991="SBJ","CB","?"))</f>
        <v/>
      </c>
      <c r="I3991" s="24" t="str">
        <f aca="false">IF(OR(E3991="",E3991="!!!",F3991="NEW"),"",INDEX(B21:B$3971,-1+SUMPRODUCT(MAX(ROW(E21:E$3971)*(E3991=E21:E$3971)))))</f>
        <v/>
      </c>
      <c r="J3991" s="24" t="str">
        <f aca="true">IF(OR(E3991="",E3991="!!!",F3991="NEW"),"",COUNTBLANK(OFFSET(A$1,,,SUMPRODUCT(MAX(ROW(E$2:E3991)*(E3991=E$2:E3991)))))-COUNTBLANK(OFFSET(A$1,,,SUMPRODUCT(MAX(ROW(E$1:E3990)*(E2=E$1:E3990))))))</f>
        <v/>
      </c>
      <c r="K3991" s="24" t="str">
        <f aca="false">IF(OR(E3991="",E3991="!!!",F3991="NEW"),"",INDEX(J$1:J3990,SUMPRODUCT(MAX(ROW(E$1:E3990)*(E3991=E$1:E3990)))))</f>
        <v/>
      </c>
      <c r="L3991" s="31"/>
    </row>
    <row r="3992" customFormat="false" ht="15" hidden="false" customHeight="false" outlineLevel="0" collapsed="false">
      <c r="A3992" s="20" t="s">
        <v>78</v>
      </c>
      <c r="E3992" s="23" t="str">
        <f aca="false">IF(D3992="?OLD","!!!","")</f>
        <v/>
      </c>
      <c r="F3992" s="25" t="str">
        <f aca="false">IF(OR(E3992="",E3992="!!!"),"",IF(NOT(ISNA(VLOOKUP(E3992,E$1:E3991,1,FALSE()))),"OLD",IF(AND(E3992&lt;&gt;"",E3992&lt;&gt;"!!!"),"NEW","")))</f>
        <v/>
      </c>
      <c r="G3992" s="26" t="str">
        <f aca="false">IF(OR(E3992="",E3992="!!!"),"",IF(OR(J3992=0,AND(J3992=1,K3992=1),AND(J3992=1,I3992="SBJ"),AND(J3992=1,I3992=0)),"?IN_FOCUS",IF(J3992&lt;=2,"?ACTIVATED",IF(J3992&lt;&gt;"","?FAMILIAR",IF(F3992="NEW",IF(ISNA(VLOOKUP(E3992,#REF!,1,FALSE())),"?TYPE_IDENTIFIABLE","?REFERENTIAL"),"_")))))</f>
        <v/>
      </c>
      <c r="H3992" s="27" t="str">
        <f aca="false">IF(J3992&lt;&gt;1,"",IF(I3992="SBJ","CB","?"))</f>
        <v/>
      </c>
      <c r="I3992" s="24" t="str">
        <f aca="false">IF(OR(E3992="",E3992="!!!",F3992="NEW"),"",INDEX(B22:B$3971,-1+SUMPRODUCT(MAX(ROW(E22:E$3971)*(E3992=E22:E$3971)))))</f>
        <v/>
      </c>
      <c r="J3992" s="24" t="str">
        <f aca="true">IF(OR(E3992="",E3992="!!!",F3992="NEW"),"",COUNTBLANK(OFFSET(A$1,,,SUMPRODUCT(MAX(ROW(E$2:E3992)*(E3992=E$2:E3992)))))-COUNTBLANK(OFFSET(A$1,,,SUMPRODUCT(MAX(ROW(E$1:E3991)*(E2=E$1:E3991))))))</f>
        <v/>
      </c>
      <c r="K3992" s="24" t="str">
        <f aca="false">IF(OR(E3992="",E3992="!!!",F3992="NEW"),"",INDEX(J$1:J3991,SUMPRODUCT(MAX(ROW(E$1:E3991)*(E3992=E$1:E3991)))))</f>
        <v/>
      </c>
      <c r="L3992" s="31"/>
    </row>
    <row r="3993" customFormat="false" ht="15" hidden="false" customHeight="false" outlineLevel="0" collapsed="false">
      <c r="A3993" s="20" t="s">
        <v>1157</v>
      </c>
      <c r="E3993" s="23" t="str">
        <f aca="false">IF(D3993="?OLD","!!!","")</f>
        <v/>
      </c>
      <c r="F3993" s="25" t="str">
        <f aca="false">IF(OR(E3993="",E3993="!!!"),"",IF(NOT(ISNA(VLOOKUP(E3993,E$1:E3992,1,FALSE()))),"OLD",IF(AND(E3993&lt;&gt;"",E3993&lt;&gt;"!!!"),"NEW","")))</f>
        <v/>
      </c>
      <c r="G3993" s="26" t="str">
        <f aca="false">IF(OR(E3993="",E3993="!!!"),"",IF(OR(J3993=0,AND(J3993=1,K3993=1),AND(J3993=1,I3993="SBJ"),AND(J3993=1,I3993=0)),"?IN_FOCUS",IF(J3993&lt;=2,"?ACTIVATED",IF(J3993&lt;&gt;"","?FAMILIAR",IF(F3993="NEW",IF(ISNA(VLOOKUP(E3993,#REF!,1,FALSE())),"?TYPE_IDENTIFIABLE","?REFERENTIAL"),"_")))))</f>
        <v/>
      </c>
      <c r="H3993" s="27" t="str">
        <f aca="false">IF(J3993&lt;&gt;1,"",IF(I3993="SBJ","CB","?"))</f>
        <v/>
      </c>
      <c r="I3993" s="24" t="str">
        <f aca="false">IF(OR(E3993="",E3993="!!!",F3993="NEW"),"",INDEX(B23:B$3971,-1+SUMPRODUCT(MAX(ROW(E23:E$3971)*(E3993=E23:E$3971)))))</f>
        <v/>
      </c>
      <c r="J3993" s="24" t="str">
        <f aca="true">IF(OR(E3993="",E3993="!!!",F3993="NEW"),"",COUNTBLANK(OFFSET(A$1,,,SUMPRODUCT(MAX(ROW(E$2:E3993)*(E3993=E$2:E3993)))))-COUNTBLANK(OFFSET(A$1,,,SUMPRODUCT(MAX(ROW(E$1:E3992)*(E2=E$1:E3992))))))</f>
        <v/>
      </c>
      <c r="K3993" s="24" t="str">
        <f aca="false">IF(OR(E3993="",E3993="!!!",F3993="NEW"),"",INDEX(J$1:J3992,SUMPRODUCT(MAX(ROW(E$1:E3992)*(E3993=E$1:E3992)))))</f>
        <v/>
      </c>
      <c r="L3993" s="31"/>
    </row>
    <row r="3994" customFormat="false" ht="15" hidden="false" customHeight="false" outlineLevel="0" collapsed="false">
      <c r="A3994" s="20" t="s">
        <v>1162</v>
      </c>
      <c r="B3994" s="22" t="s">
        <v>1197</v>
      </c>
      <c r="C3994" s="22" t="s">
        <v>1082</v>
      </c>
      <c r="D3994" s="22" t="s">
        <v>1060</v>
      </c>
      <c r="E3994" s="23" t="str">
        <f aca="false">IF(D3994="?OLD","!!!","")</f>
        <v>!!!</v>
      </c>
      <c r="F3994" s="25" t="str">
        <f aca="false">IF(OR(E3994="",E3994="!!!"),"",IF(NOT(ISNA(VLOOKUP(E3994,E$1:E3993,1,FALSE()))),"OLD",IF(AND(E3994&lt;&gt;"",E3994&lt;&gt;"!!!"),"NEW","")))</f>
        <v/>
      </c>
      <c r="G3994" s="26" t="str">
        <f aca="false">IF(OR(E3994="",E3994="!!!"),"",IF(OR(J3994=0,AND(J3994=1,K3994=1),AND(J3994=1,I3994="SBJ"),AND(J3994=1,I3994=0)),"?IN_FOCUS",IF(J3994&lt;=2,"?ACTIVATED",IF(J3994&lt;&gt;"","?FAMILIAR",IF(F3994="NEW",IF(ISNA(VLOOKUP(E3994,#REF!,1,FALSE())),"?TYPE_IDENTIFIABLE","?REFERENTIAL"),"_")))))</f>
        <v/>
      </c>
      <c r="H3994" s="27" t="str">
        <f aca="false">IF(J3994&lt;&gt;1,"",IF(I3994="SBJ","CB","?"))</f>
        <v/>
      </c>
      <c r="I3994" s="24" t="str">
        <f aca="false">IF(OR(E3994="",E3994="!!!",F3994="NEW"),"",INDEX(B24:B$3971,-1+SUMPRODUCT(MAX(ROW(E24:E$3971)*(E3994=E24:E$3971)))))</f>
        <v/>
      </c>
      <c r="J3994" s="24" t="str">
        <f aca="true">IF(OR(E3994="",E3994="!!!",F3994="NEW"),"",COUNTBLANK(OFFSET(A$1,,,SUMPRODUCT(MAX(ROW(E$2:E3994)*(E3994=E$2:E3994)))))-COUNTBLANK(OFFSET(A$1,,,SUMPRODUCT(MAX(ROW(E$1:E3993)*(E2=E$1:E3993))))))</f>
        <v/>
      </c>
      <c r="K3994" s="24" t="str">
        <f aca="false">IF(OR(E3994="",E3994="!!!",F3994="NEW"),"",INDEX(J$1:J3993,SUMPRODUCT(MAX(ROW(E$1:E3993)*(E3994=E$1:E3993)))))</f>
        <v/>
      </c>
      <c r="L3994" s="31"/>
    </row>
    <row r="3995" customFormat="false" ht="15" hidden="false" customHeight="false" outlineLevel="0" collapsed="false">
      <c r="A3995" s="20" t="s">
        <v>1198</v>
      </c>
      <c r="E3995" s="23" t="str">
        <f aca="false">IF(D3995="?OLD","!!!","")</f>
        <v/>
      </c>
      <c r="F3995" s="25" t="str">
        <f aca="false">IF(OR(E3995="",E3995="!!!"),"",IF(NOT(ISNA(VLOOKUP(E3995,E$1:E3994,1,FALSE()))),"OLD",IF(AND(E3995&lt;&gt;"",E3995&lt;&gt;"!!!"),"NEW","")))</f>
        <v/>
      </c>
      <c r="G3995" s="26" t="str">
        <f aca="false">IF(OR(E3995="",E3995="!!!"),"",IF(OR(J3995=0,AND(J3995=1,K3995=1),AND(J3995=1,I3995="SBJ"),AND(J3995=1,I3995=0)),"?IN_FOCUS",IF(J3995&lt;=2,"?ACTIVATED",IF(J3995&lt;&gt;"","?FAMILIAR",IF(F3995="NEW",IF(ISNA(VLOOKUP(E3995,#REF!,1,FALSE())),"?TYPE_IDENTIFIABLE","?REFERENTIAL"),"_")))))</f>
        <v/>
      </c>
      <c r="H3995" s="27" t="str">
        <f aca="false">IF(J3995&lt;&gt;1,"",IF(I3995="SBJ","CB","?"))</f>
        <v/>
      </c>
      <c r="I3995" s="24" t="str">
        <f aca="false">IF(OR(E3995="",E3995="!!!",F3995="NEW"),"",INDEX(B25:B$3971,-1+SUMPRODUCT(MAX(ROW(E25:E$3971)*(E3995=E25:E$3971)))))</f>
        <v/>
      </c>
      <c r="J3995" s="24" t="str">
        <f aca="true">IF(OR(E3995="",E3995="!!!",F3995="NEW"),"",COUNTBLANK(OFFSET(A$1,,,SUMPRODUCT(MAX(ROW(E$2:E3995)*(E3995=E$2:E3995)))))-COUNTBLANK(OFFSET(A$1,,,SUMPRODUCT(MAX(ROW(E$1:E3994)*(E2=E$1:E3994))))))</f>
        <v/>
      </c>
      <c r="K3995" s="24" t="str">
        <f aca="false">IF(OR(E3995="",E3995="!!!",F3995="NEW"),"",INDEX(J$1:J3994,SUMPRODUCT(MAX(ROW(E$1:E3994)*(E3995=E$1:E3994)))))</f>
        <v/>
      </c>
      <c r="L3995" s="31"/>
    </row>
    <row r="3996" customFormat="false" ht="15" hidden="false" customHeight="false" outlineLevel="0" collapsed="false">
      <c r="A3996" s="20" t="s">
        <v>1683</v>
      </c>
      <c r="E3996" s="23" t="str">
        <f aca="false">IF(D3996="?OLD","!!!","")</f>
        <v/>
      </c>
      <c r="F3996" s="25" t="str">
        <f aca="false">IF(OR(E3996="",E3996="!!!"),"",IF(NOT(ISNA(VLOOKUP(E3996,E$1:E3995,1,FALSE()))),"OLD",IF(AND(E3996&lt;&gt;"",E3996&lt;&gt;"!!!"),"NEW","")))</f>
        <v/>
      </c>
      <c r="G3996" s="26" t="str">
        <f aca="false">IF(OR(E3996="",E3996="!!!"),"",IF(OR(J3996=0,AND(J3996=1,K3996=1),AND(J3996=1,I3996="SBJ"),AND(J3996=1,I3996=0)),"?IN_FOCUS",IF(J3996&lt;=2,"?ACTIVATED",IF(J3996&lt;&gt;"","?FAMILIAR",IF(F3996="NEW",IF(ISNA(VLOOKUP(E3996,#REF!,1,FALSE())),"?TYPE_IDENTIFIABLE","?REFERENTIAL"),"_")))))</f>
        <v/>
      </c>
      <c r="H3996" s="27" t="str">
        <f aca="false">IF(J3996&lt;&gt;1,"",IF(I3996="SBJ","CB","?"))</f>
        <v/>
      </c>
      <c r="I3996" s="24" t="str">
        <f aca="false">IF(OR(E3996="",E3996="!!!",F3996="NEW"),"",INDEX(B26:B$3971,-1+SUMPRODUCT(MAX(ROW(E26:E$3971)*(E3996=E26:E$3971)))))</f>
        <v/>
      </c>
      <c r="J3996" s="24" t="str">
        <f aca="true">IF(OR(E3996="",E3996="!!!",F3996="NEW"),"",COUNTBLANK(OFFSET(A$1,,,SUMPRODUCT(MAX(ROW(E$2:E3996)*(E3996=E$2:E3996)))))-COUNTBLANK(OFFSET(A$1,,,SUMPRODUCT(MAX(ROW(E$1:E3995)*(E2=E$1:E3995))))))</f>
        <v/>
      </c>
      <c r="K3996" s="24" t="str">
        <f aca="false">IF(OR(E3996="",E3996="!!!",F3996="NEW"),"",INDEX(J$1:J3995,SUMPRODUCT(MAX(ROW(E$1:E3995)*(E3996=E$1:E3995)))))</f>
        <v/>
      </c>
      <c r="L3996" s="31"/>
    </row>
    <row r="3997" customFormat="false" ht="15" hidden="false" customHeight="false" outlineLevel="0" collapsed="false">
      <c r="A3997" s="20" t="s">
        <v>2295</v>
      </c>
      <c r="E3997" s="23" t="str">
        <f aca="false">IF(D3997="?OLD","!!!","")</f>
        <v/>
      </c>
      <c r="F3997" s="25" t="str">
        <f aca="false">IF(OR(E3997="",E3997="!!!"),"",IF(NOT(ISNA(VLOOKUP(E3997,E$1:E3996,1,FALSE()))),"OLD",IF(AND(E3997&lt;&gt;"",E3997&lt;&gt;"!!!"),"NEW","")))</f>
        <v/>
      </c>
      <c r="G3997" s="26" t="str">
        <f aca="false">IF(OR(E3997="",E3997="!!!"),"",IF(OR(J3997=0,AND(J3997=1,K3997=1),AND(J3997=1,I3997="SBJ"),AND(J3997=1,I3997=0)),"?IN_FOCUS",IF(J3997&lt;=2,"?ACTIVATED",IF(J3997&lt;&gt;"","?FAMILIAR",IF(F3997="NEW",IF(ISNA(VLOOKUP(E3997,#REF!,1,FALSE())),"?TYPE_IDENTIFIABLE","?REFERENTIAL"),"_")))))</f>
        <v/>
      </c>
      <c r="H3997" s="27" t="str">
        <f aca="false">IF(J3997&lt;&gt;1,"",IF(I3997="SBJ","CB","?"))</f>
        <v/>
      </c>
      <c r="I3997" s="24" t="str">
        <f aca="false">IF(OR(E3997="",E3997="!!!",F3997="NEW"),"",INDEX(B27:B$3971,-1+SUMPRODUCT(MAX(ROW(E27:E$3971)*(E3997=E27:E$3971)))))</f>
        <v/>
      </c>
      <c r="J3997" s="24" t="str">
        <f aca="true">IF(OR(E3997="",E3997="!!!",F3997="NEW"),"",COUNTBLANK(OFFSET(A$1,,,SUMPRODUCT(MAX(ROW(E$2:E3997)*(E3997=E$2:E3997)))))-COUNTBLANK(OFFSET(A$1,,,SUMPRODUCT(MAX(ROW(E$1:E3996)*(E2=E$1:E3996))))))</f>
        <v/>
      </c>
      <c r="K3997" s="24" t="str">
        <f aca="false">IF(OR(E3997="",E3997="!!!",F3997="NEW"),"",INDEX(J$1:J3996,SUMPRODUCT(MAX(ROW(E$1:E3996)*(E3997=E$1:E3996)))))</f>
        <v/>
      </c>
      <c r="L3997" s="31"/>
    </row>
    <row r="3998" customFormat="false" ht="15" hidden="false" customHeight="false" outlineLevel="0" collapsed="false">
      <c r="A3998" s="20" t="s">
        <v>1095</v>
      </c>
      <c r="E3998" s="23" t="str">
        <f aca="false">IF(D3998="?OLD","!!!","")</f>
        <v/>
      </c>
      <c r="F3998" s="25" t="str">
        <f aca="false">IF(OR(E3998="",E3998="!!!"),"",IF(NOT(ISNA(VLOOKUP(E3998,E$1:E3997,1,FALSE()))),"OLD",IF(AND(E3998&lt;&gt;"",E3998&lt;&gt;"!!!"),"NEW","")))</f>
        <v/>
      </c>
      <c r="G3998" s="26" t="str">
        <f aca="false">IF(OR(E3998="",E3998="!!!"),"",IF(OR(J3998=0,AND(J3998=1,K3998=1),AND(J3998=1,I3998="SBJ"),AND(J3998=1,I3998=0)),"?IN_FOCUS",IF(J3998&lt;=2,"?ACTIVATED",IF(J3998&lt;&gt;"","?FAMILIAR",IF(F3998="NEW",IF(ISNA(VLOOKUP(E3998,#REF!,1,FALSE())),"?TYPE_IDENTIFIABLE","?REFERENTIAL"),"_")))))</f>
        <v/>
      </c>
      <c r="H3998" s="27" t="str">
        <f aca="false">IF(J3998&lt;&gt;1,"",IF(I3998="SBJ","CB","?"))</f>
        <v/>
      </c>
      <c r="I3998" s="24" t="str">
        <f aca="false">IF(OR(E3998="",E3998="!!!",F3998="NEW"),"",INDEX(B28:B$3971,-1+SUMPRODUCT(MAX(ROW(E28:E$3971)*(E3998=E28:E$3971)))))</f>
        <v/>
      </c>
      <c r="J3998" s="24" t="str">
        <f aca="true">IF(OR(E3998="",E3998="!!!",F3998="NEW"),"",COUNTBLANK(OFFSET(A$1,,,SUMPRODUCT(MAX(ROW(E$2:E3998)*(E3998=E$2:E3998)))))-COUNTBLANK(OFFSET(A$1,,,SUMPRODUCT(MAX(ROW(E$1:E3997)*(E2=E$1:E3997))))))</f>
        <v/>
      </c>
      <c r="K3998" s="24" t="str">
        <f aca="false">IF(OR(E3998="",E3998="!!!",F3998="NEW"),"",INDEX(J$1:J3997,SUMPRODUCT(MAX(ROW(E$1:E3997)*(E3998=E$1:E3997)))))</f>
        <v/>
      </c>
      <c r="L3998" s="31"/>
    </row>
    <row r="3999" customFormat="false" ht="15" hidden="false" customHeight="false" outlineLevel="0" collapsed="false">
      <c r="A3999" s="20" t="s">
        <v>1109</v>
      </c>
      <c r="E3999" s="23" t="str">
        <f aca="false">IF(D3999="?OLD","!!!","")</f>
        <v/>
      </c>
      <c r="F3999" s="25" t="str">
        <f aca="false">IF(OR(E3999="",E3999="!!!"),"",IF(NOT(ISNA(VLOOKUP(E3999,E$1:E3998,1,FALSE()))),"OLD",IF(AND(E3999&lt;&gt;"",E3999&lt;&gt;"!!!"),"NEW","")))</f>
        <v/>
      </c>
      <c r="G3999" s="26" t="str">
        <f aca="false">IF(OR(E3999="",E3999="!!!"),"",IF(OR(J3999=0,AND(J3999=1,K3999=1),AND(J3999=1,I3999="SBJ"),AND(J3999=1,I3999=0)),"?IN_FOCUS",IF(J3999&lt;=2,"?ACTIVATED",IF(J3999&lt;&gt;"","?FAMILIAR",IF(F3999="NEW",IF(ISNA(VLOOKUP(E3999,#REF!,1,FALSE())),"?TYPE_IDENTIFIABLE","?REFERENTIAL"),"_")))))</f>
        <v/>
      </c>
      <c r="H3999" s="27" t="str">
        <f aca="false">IF(J3999&lt;&gt;1,"",IF(I3999="SBJ","CB","?"))</f>
        <v/>
      </c>
      <c r="I3999" s="24" t="str">
        <f aca="false">IF(OR(E3999="",E3999="!!!",F3999="NEW"),"",INDEX(B29:B$3971,-1+SUMPRODUCT(MAX(ROW(E29:E$3971)*(E3999=E29:E$3971)))))</f>
        <v/>
      </c>
      <c r="J3999" s="24" t="str">
        <f aca="true">IF(OR(E3999="",E3999="!!!",F3999="NEW"),"",COUNTBLANK(OFFSET(A$1,,,SUMPRODUCT(MAX(ROW(E$2:E3999)*(E3999=E$2:E3999)))))-COUNTBLANK(OFFSET(A$1,,,SUMPRODUCT(MAX(ROW(E$1:E3998)*(E2=E$1:E3998))))))</f>
        <v/>
      </c>
      <c r="K3999" s="24" t="str">
        <f aca="false">IF(OR(E3999="",E3999="!!!",F3999="NEW"),"",INDEX(J$1:J3998,SUMPRODUCT(MAX(ROW(E$1:E3998)*(E3999=E$1:E3998)))))</f>
        <v/>
      </c>
      <c r="L3999" s="31"/>
    </row>
    <row r="4000" customFormat="false" ht="15" hidden="false" customHeight="false" outlineLevel="0" collapsed="false">
      <c r="A4000" s="20" t="s">
        <v>2296</v>
      </c>
      <c r="B4000" s="22" t="s">
        <v>1107</v>
      </c>
      <c r="C4000" s="22" t="s">
        <v>1150</v>
      </c>
      <c r="D4000" s="22" t="s">
        <v>1060</v>
      </c>
      <c r="E4000" s="23" t="str">
        <f aca="false">IF(D4000="?OLD","!!!","")</f>
        <v>!!!</v>
      </c>
      <c r="F4000" s="25" t="str">
        <f aca="false">IF(OR(E4000="",E4000="!!!"),"",IF(NOT(ISNA(VLOOKUP(E4000,E$1:E3999,1,FALSE()))),"OLD",IF(AND(E4000&lt;&gt;"",E4000&lt;&gt;"!!!"),"NEW","")))</f>
        <v/>
      </c>
      <c r="G4000" s="26" t="str">
        <f aca="false">IF(OR(E4000="",E4000="!!!"),"",IF(OR(J4000=0,AND(J4000=1,K4000=1),AND(J4000=1,I4000="SBJ"),AND(J4000=1,I4000=0)),"?IN_FOCUS",IF(J4000&lt;=2,"?ACTIVATED",IF(J4000&lt;&gt;"","?FAMILIAR",IF(F4000="NEW",IF(ISNA(VLOOKUP(E4000,#REF!,1,FALSE())),"?TYPE_IDENTIFIABLE","?REFERENTIAL"),"_")))))</f>
        <v/>
      </c>
      <c r="H4000" s="27" t="str">
        <f aca="false">IF(J4000&lt;&gt;1,"",IF(I4000="SBJ","CB","?"))</f>
        <v/>
      </c>
      <c r="I4000" s="24" t="str">
        <f aca="false">IF(OR(E4000="",E4000="!!!",F4000="NEW"),"",INDEX(B30:B$3971,-1+SUMPRODUCT(MAX(ROW(E30:E$3971)*(E4000=E30:E$3971)))))</f>
        <v/>
      </c>
      <c r="J4000" s="24" t="str">
        <f aca="true">IF(OR(E4000="",E4000="!!!",F4000="NEW"),"",COUNTBLANK(OFFSET(A$1,,,SUMPRODUCT(MAX(ROW(E$2:E4000)*(E4000=E$2:E4000)))))-COUNTBLANK(OFFSET(A$1,,,SUMPRODUCT(MAX(ROW(E$1:E3999)*(E2=E$1:E3999))))))</f>
        <v/>
      </c>
      <c r="K4000" s="24" t="str">
        <f aca="false">IF(OR(E4000="",E4000="!!!",F4000="NEW"),"",INDEX(J$1:J3999,SUMPRODUCT(MAX(ROW(E$1:E3999)*(E4000=E$1:E3999)))))</f>
        <v/>
      </c>
      <c r="L4000" s="31"/>
    </row>
    <row r="4001" customFormat="false" ht="15" hidden="false" customHeight="false" outlineLevel="0" collapsed="false">
      <c r="A4001" s="20" t="s">
        <v>1089</v>
      </c>
      <c r="B4001" s="22" t="s">
        <v>1571</v>
      </c>
      <c r="E4001" s="23" t="str">
        <f aca="false">IF(D4001="?OLD","!!!","")</f>
        <v/>
      </c>
      <c r="F4001" s="25" t="str">
        <f aca="false">IF(OR(E4001="",E4001="!!!"),"",IF(NOT(ISNA(VLOOKUP(E4001,E$1:E4000,1,FALSE()))),"OLD",IF(AND(E4001&lt;&gt;"",E4001&lt;&gt;"!!!"),"NEW","")))</f>
        <v/>
      </c>
      <c r="G4001" s="26" t="str">
        <f aca="false">IF(OR(E4001="",E4001="!!!"),"",IF(OR(J4001=0,AND(J4001=1,K4001=1),AND(J4001=1,I4001="SBJ"),AND(J4001=1,I4001=0)),"?IN_FOCUS",IF(J4001&lt;=2,"?ACTIVATED",IF(J4001&lt;&gt;"","?FAMILIAR",IF(F4001="NEW",IF(ISNA(VLOOKUP(E4001,#REF!,1,FALSE())),"?TYPE_IDENTIFIABLE","?REFERENTIAL"),"_")))))</f>
        <v/>
      </c>
      <c r="H4001" s="27" t="str">
        <f aca="false">IF(J4001&lt;&gt;1,"",IF(I4001="SBJ","CB","?"))</f>
        <v/>
      </c>
      <c r="I4001" s="24" t="str">
        <f aca="false">IF(OR(E4001="",E4001="!!!",F4001="NEW"),"",INDEX(B31:B$3971,-1+SUMPRODUCT(MAX(ROW(E31:E$3971)*(E4001=E31:E$3971)))))</f>
        <v/>
      </c>
      <c r="J4001" s="24" t="str">
        <f aca="true">IF(OR(E4001="",E4001="!!!",F4001="NEW"),"",COUNTBLANK(OFFSET(A$1,,,SUMPRODUCT(MAX(ROW(E$2:E4001)*(E4001=E$2:E4001)))))-COUNTBLANK(OFFSET(A$1,,,SUMPRODUCT(MAX(ROW(E$1:E4000)*(E2=E$1:E4000))))))</f>
        <v/>
      </c>
      <c r="K4001" s="24" t="str">
        <f aca="false">IF(OR(E4001="",E4001="!!!",F4001="NEW"),"",INDEX(J$1:J4000,SUMPRODUCT(MAX(ROW(E$1:E4000)*(E4001=E$1:E4000)))))</f>
        <v/>
      </c>
      <c r="L4001" s="31"/>
    </row>
    <row r="4002" customFormat="false" ht="15" hidden="false" customHeight="false" outlineLevel="0" collapsed="false">
      <c r="A4002" s="20" t="s">
        <v>1162</v>
      </c>
      <c r="B4002" s="22" t="s">
        <v>1205</v>
      </c>
      <c r="C4002" s="22" t="s">
        <v>1082</v>
      </c>
      <c r="D4002" s="22" t="s">
        <v>1060</v>
      </c>
      <c r="E4002" s="23" t="str">
        <f aca="false">IF(D4002="?OLD","!!!","")</f>
        <v>!!!</v>
      </c>
      <c r="F4002" s="25" t="str">
        <f aca="false">IF(OR(E4002="",E4002="!!!"),"",IF(NOT(ISNA(VLOOKUP(E4002,E$1:E4001,1,FALSE()))),"OLD",IF(AND(E4002&lt;&gt;"",E4002&lt;&gt;"!!!"),"NEW","")))</f>
        <v/>
      </c>
      <c r="G4002" s="26" t="str">
        <f aca="false">IF(OR(E4002="",E4002="!!!"),"",IF(OR(J4002=0,AND(J4002=1,K4002=1),AND(J4002=1,I4002="SBJ"),AND(J4002=1,I4002=0)),"?IN_FOCUS",IF(J4002&lt;=2,"?ACTIVATED",IF(J4002&lt;&gt;"","?FAMILIAR",IF(F4002="NEW",IF(ISNA(VLOOKUP(E4002,#REF!,1,FALSE())),"?TYPE_IDENTIFIABLE","?REFERENTIAL"),"_")))))</f>
        <v/>
      </c>
      <c r="H4002" s="27" t="str">
        <f aca="false">IF(J4002&lt;&gt;1,"",IF(I4002="SBJ","CB","?"))</f>
        <v/>
      </c>
      <c r="I4002" s="24" t="str">
        <f aca="false">IF(OR(E4002="",E4002="!!!",F4002="NEW"),"",INDEX(B32:B$3971,-1+SUMPRODUCT(MAX(ROW(E32:E$3971)*(E4002=E32:E$3971)))))</f>
        <v/>
      </c>
      <c r="J4002" s="24" t="str">
        <f aca="true">IF(OR(E4002="",E4002="!!!",F4002="NEW"),"",COUNTBLANK(OFFSET(A$1,,,SUMPRODUCT(MAX(ROW(E$2:E4002)*(E4002=E$2:E4002)))))-COUNTBLANK(OFFSET(A$1,,,SUMPRODUCT(MAX(ROW(E$1:E4001)*(E2=E$1:E4001))))))</f>
        <v/>
      </c>
      <c r="K4002" s="24" t="str">
        <f aca="false">IF(OR(E4002="",E4002="!!!",F4002="NEW"),"",INDEX(J$1:J4001,SUMPRODUCT(MAX(ROW(E$1:E4001)*(E4002=E$1:E4001)))))</f>
        <v/>
      </c>
      <c r="L4002" s="31"/>
    </row>
    <row r="4003" customFormat="false" ht="15" hidden="false" customHeight="false" outlineLevel="0" collapsed="false">
      <c r="A4003" s="20" t="s">
        <v>1164</v>
      </c>
      <c r="E4003" s="23" t="str">
        <f aca="false">IF(D4003="?OLD","!!!","")</f>
        <v/>
      </c>
      <c r="F4003" s="25" t="str">
        <f aca="false">IF(OR(E4003="",E4003="!!!"),"",IF(NOT(ISNA(VLOOKUP(E4003,E$1:E4002,1,FALSE()))),"OLD",IF(AND(E4003&lt;&gt;"",E4003&lt;&gt;"!!!"),"NEW","")))</f>
        <v/>
      </c>
      <c r="G4003" s="26" t="str">
        <f aca="false">IF(OR(E4003="",E4003="!!!"),"",IF(OR(J4003=0,AND(J4003=1,K4003=1),AND(J4003=1,I4003="SBJ"),AND(J4003=1,I4003=0)),"?IN_FOCUS",IF(J4003&lt;=2,"?ACTIVATED",IF(J4003&lt;&gt;"","?FAMILIAR",IF(F4003="NEW",IF(ISNA(VLOOKUP(E4003,#REF!,1,FALSE())),"?TYPE_IDENTIFIABLE","?REFERENTIAL"),"_")))))</f>
        <v/>
      </c>
      <c r="H4003" s="27" t="str">
        <f aca="false">IF(J4003&lt;&gt;1,"",IF(I4003="SBJ","CB","?"))</f>
        <v/>
      </c>
      <c r="I4003" s="24" t="str">
        <f aca="false">IF(OR(E4003="",E4003="!!!",F4003="NEW"),"",INDEX(B33:B$3971,-1+SUMPRODUCT(MAX(ROW(E33:E$3971)*(E4003=E33:E$3971)))))</f>
        <v/>
      </c>
      <c r="J4003" s="24" t="str">
        <f aca="true">IF(OR(E4003="",E4003="!!!",F4003="NEW"),"",COUNTBLANK(OFFSET(A$1,,,SUMPRODUCT(MAX(ROW(E$2:E4003)*(E4003=E$2:E4003)))))-COUNTBLANK(OFFSET(A$1,,,SUMPRODUCT(MAX(ROW(E$1:E4002)*(E2=E$1:E4002))))))</f>
        <v/>
      </c>
      <c r="K4003" s="24" t="str">
        <f aca="false">IF(OR(E4003="",E4003="!!!",F4003="NEW"),"",INDEX(J$1:J4002,SUMPRODUCT(MAX(ROW(E$1:E4002)*(E4003=E$1:E4002)))))</f>
        <v/>
      </c>
      <c r="L4003" s="31"/>
    </row>
    <row r="4004" customFormat="false" ht="15" hidden="false" customHeight="false" outlineLevel="0" collapsed="false">
      <c r="A4004" s="20" t="s">
        <v>1097</v>
      </c>
      <c r="B4004" s="22" t="s">
        <v>1203</v>
      </c>
      <c r="C4004" s="22" t="s">
        <v>1099</v>
      </c>
      <c r="D4004" s="22" t="s">
        <v>1060</v>
      </c>
      <c r="E4004" s="23" t="str">
        <f aca="false">IF(D4004="?OLD","!!!","")</f>
        <v>!!!</v>
      </c>
      <c r="F4004" s="25" t="str">
        <f aca="false">IF(OR(E4004="",E4004="!!!"),"",IF(NOT(ISNA(VLOOKUP(E4004,E$1:E4003,1,FALSE()))),"OLD",IF(AND(E4004&lt;&gt;"",E4004&lt;&gt;"!!!"),"NEW","")))</f>
        <v/>
      </c>
      <c r="G4004" s="26" t="str">
        <f aca="false">IF(OR(E4004="",E4004="!!!"),"",IF(OR(J4004=0,AND(J4004=1,K4004=1),AND(J4004=1,I4004="SBJ"),AND(J4004=1,I4004=0)),"?IN_FOCUS",IF(J4004&lt;=2,"?ACTIVATED",IF(J4004&lt;&gt;"","?FAMILIAR",IF(F4004="NEW",IF(ISNA(VLOOKUP(E4004,#REF!,1,FALSE())),"?TYPE_IDENTIFIABLE","?REFERENTIAL"),"_")))))</f>
        <v/>
      </c>
      <c r="H4004" s="27" t="str">
        <f aca="false">IF(J4004&lt;&gt;1,"",IF(I4004="SBJ","CB","?"))</f>
        <v/>
      </c>
      <c r="I4004" s="24" t="str">
        <f aca="false">IF(OR(E4004="",E4004="!!!",F4004="NEW"),"",INDEX(B34:B$3971,-1+SUMPRODUCT(MAX(ROW(E34:E$3971)*(E4004=E34:E$3971)))))</f>
        <v/>
      </c>
      <c r="J4004" s="24" t="str">
        <f aca="true">IF(OR(E4004="",E4004="!!!",F4004="NEW"),"",COUNTBLANK(OFFSET(A$1,,,SUMPRODUCT(MAX(ROW(E$2:E4004)*(E4004=E$2:E4004)))))-COUNTBLANK(OFFSET(A$1,,,SUMPRODUCT(MAX(ROW(E$1:E4003)*(E2=E$1:E4003))))))</f>
        <v/>
      </c>
      <c r="K4004" s="24" t="str">
        <f aca="false">IF(OR(E4004="",E4004="!!!",F4004="NEW"),"",INDEX(J$1:J4003,SUMPRODUCT(MAX(ROW(E$1:E4003)*(E4004=E$1:E4003)))))</f>
        <v/>
      </c>
      <c r="L4004" s="31"/>
    </row>
    <row r="4005" customFormat="false" ht="15" hidden="false" customHeight="false" outlineLevel="0" collapsed="false">
      <c r="A4005" s="20" t="s">
        <v>2297</v>
      </c>
      <c r="B4005" s="22" t="s">
        <v>1571</v>
      </c>
      <c r="C4005" s="22" t="s">
        <v>1059</v>
      </c>
      <c r="D4005" s="22" t="s">
        <v>1060</v>
      </c>
      <c r="E4005" s="23" t="str">
        <f aca="false">IF(D4005="?OLD","!!!","")</f>
        <v>!!!</v>
      </c>
      <c r="F4005" s="25" t="str">
        <f aca="false">IF(OR(E4005="",E4005="!!!"),"",IF(NOT(ISNA(VLOOKUP(E4005,E$1:E4004,1,FALSE()))),"OLD",IF(AND(E4005&lt;&gt;"",E4005&lt;&gt;"!!!"),"NEW","")))</f>
        <v/>
      </c>
      <c r="G4005" s="26" t="str">
        <f aca="false">IF(OR(E4005="",E4005="!!!"),"",IF(OR(J4005=0,AND(J4005=1,K4005=1),AND(J4005=1,I4005="SBJ"),AND(J4005=1,I4005=0)),"?IN_FOCUS",IF(J4005&lt;=2,"?ACTIVATED",IF(J4005&lt;&gt;"","?FAMILIAR",IF(F4005="NEW",IF(ISNA(VLOOKUP(E4005,#REF!,1,FALSE())),"?TYPE_IDENTIFIABLE","?REFERENTIAL"),"_")))))</f>
        <v/>
      </c>
      <c r="H4005" s="27" t="str">
        <f aca="false">IF(J4005&lt;&gt;1,"",IF(I4005="SBJ","CB","?"))</f>
        <v/>
      </c>
      <c r="I4005" s="24" t="str">
        <f aca="false">IF(OR(E4005="",E4005="!!!",F4005="NEW"),"",INDEX(B35:B$3971,-1+SUMPRODUCT(MAX(ROW(E35:E$3971)*(E4005=E35:E$3971)))))</f>
        <v/>
      </c>
      <c r="J4005" s="24" t="str">
        <f aca="true">IF(OR(E4005="",E4005="!!!",F4005="NEW"),"",COUNTBLANK(OFFSET(A$1,,,SUMPRODUCT(MAX(ROW(E$2:E4005)*(E4005=E$2:E4005)))))-COUNTBLANK(OFFSET(A$1,,,SUMPRODUCT(MAX(ROW(E$1:E4004)*(E2=E$1:E4004))))))</f>
        <v/>
      </c>
      <c r="K4005" s="24" t="str">
        <f aca="false">IF(OR(E4005="",E4005="!!!",F4005="NEW"),"",INDEX(J$1:J4004,SUMPRODUCT(MAX(ROW(E$1:E4004)*(E4005=E$1:E4004)))))</f>
        <v/>
      </c>
      <c r="L4005" s="31"/>
    </row>
    <row r="4006" customFormat="false" ht="15" hidden="false" customHeight="false" outlineLevel="0" collapsed="false">
      <c r="A4006" s="20" t="s">
        <v>1076</v>
      </c>
      <c r="E4006" s="23" t="str">
        <f aca="false">IF(D4006="?OLD","!!!","")</f>
        <v/>
      </c>
      <c r="F4006" s="25" t="str">
        <f aca="false">IF(OR(E4006="",E4006="!!!"),"",IF(NOT(ISNA(VLOOKUP(E4006,E$1:E4005,1,FALSE()))),"OLD",IF(AND(E4006&lt;&gt;"",E4006&lt;&gt;"!!!"),"NEW","")))</f>
        <v/>
      </c>
      <c r="G4006" s="26" t="str">
        <f aca="false">IF(OR(E4006="",E4006="!!!"),"",IF(OR(J4006=0,AND(J4006=1,K4006=1),AND(J4006=1,I4006="SBJ"),AND(J4006=1,I4006=0)),"?IN_FOCUS",IF(J4006&lt;=2,"?ACTIVATED",IF(J4006&lt;&gt;"","?FAMILIAR",IF(F4006="NEW",IF(ISNA(VLOOKUP(E4006,#REF!,1,FALSE())),"?TYPE_IDENTIFIABLE","?REFERENTIAL"),"_")))))</f>
        <v/>
      </c>
      <c r="H4006" s="27" t="str">
        <f aca="false">IF(J4006&lt;&gt;1,"",IF(I4006="SBJ","CB","?"))</f>
        <v/>
      </c>
      <c r="I4006" s="24" t="str">
        <f aca="false">IF(OR(E4006="",E4006="!!!",F4006="NEW"),"",INDEX(B36:B$3971,-1+SUMPRODUCT(MAX(ROW(E36:E$3971)*(E4006=E36:E$3971)))))</f>
        <v/>
      </c>
      <c r="J4006" s="24" t="str">
        <f aca="true">IF(OR(E4006="",E4006="!!!",F4006="NEW"),"",COUNTBLANK(OFFSET(A$1,,,SUMPRODUCT(MAX(ROW(E$2:E4006)*(E4006=E$2:E4006)))))-COUNTBLANK(OFFSET(A$1,,,SUMPRODUCT(MAX(ROW(E$1:E4005)*(E2=E$1:E4005))))))</f>
        <v/>
      </c>
      <c r="K4006" s="24" t="str">
        <f aca="false">IF(OR(E4006="",E4006="!!!",F4006="NEW"),"",INDEX(J$1:J4005,SUMPRODUCT(MAX(ROW(E$1:E4005)*(E4006=E$1:E4005)))))</f>
        <v/>
      </c>
      <c r="L4006" s="31"/>
    </row>
    <row r="4007" customFormat="false" ht="15" hidden="false" customHeight="false" outlineLevel="0" collapsed="false">
      <c r="A4007" s="20" t="s">
        <v>1168</v>
      </c>
      <c r="E4007" s="23" t="str">
        <f aca="false">IF(D4007="?OLD","!!!","")</f>
        <v/>
      </c>
      <c r="F4007" s="25" t="str">
        <f aca="false">IF(OR(E4007="",E4007="!!!"),"",IF(NOT(ISNA(VLOOKUP(E4007,E$1:E4006,1,FALSE()))),"OLD",IF(AND(E4007&lt;&gt;"",E4007&lt;&gt;"!!!"),"NEW","")))</f>
        <v/>
      </c>
      <c r="G4007" s="26" t="str">
        <f aca="false">IF(OR(E4007="",E4007="!!!"),"",IF(OR(J4007=0,AND(J4007=1,K4007=1),AND(J4007=1,I4007="SBJ"),AND(J4007=1,I4007=0)),"?IN_FOCUS",IF(J4007&lt;=2,"?ACTIVATED",IF(J4007&lt;&gt;"","?FAMILIAR",IF(F4007="NEW",IF(ISNA(VLOOKUP(E4007,#REF!,1,FALSE())),"?TYPE_IDENTIFIABLE","?REFERENTIAL"),"_")))))</f>
        <v/>
      </c>
      <c r="H4007" s="27" t="str">
        <f aca="false">IF(J4007&lt;&gt;1,"",IF(I4007="SBJ","CB","?"))</f>
        <v/>
      </c>
      <c r="I4007" s="24" t="str">
        <f aca="false">IF(OR(E4007="",E4007="!!!",F4007="NEW"),"",INDEX(B37:B$3971,-1+SUMPRODUCT(MAX(ROW(E37:E$3971)*(E4007=E37:E$3971)))))</f>
        <v/>
      </c>
      <c r="J4007" s="24" t="str">
        <f aca="true">IF(OR(E4007="",E4007="!!!",F4007="NEW"),"",COUNTBLANK(OFFSET(A$1,,,SUMPRODUCT(MAX(ROW(E$2:E4007)*(E4007=E$2:E4007)))))-COUNTBLANK(OFFSET(A$1,,,SUMPRODUCT(MAX(ROW(E$1:E4006)*(E2=E$1:E4006))))))</f>
        <v/>
      </c>
      <c r="K4007" s="24" t="str">
        <f aca="false">IF(OR(E4007="",E4007="!!!",F4007="NEW"),"",INDEX(J$1:J4006,SUMPRODUCT(MAX(ROW(E$1:E4006)*(E4007=E$1:E4006)))))</f>
        <v/>
      </c>
      <c r="L4007" s="31"/>
    </row>
    <row r="4008" customFormat="false" ht="15" hidden="false" customHeight="false" outlineLevel="0" collapsed="false">
      <c r="A4008" s="20" t="s">
        <v>1343</v>
      </c>
      <c r="E4008" s="23" t="str">
        <f aca="false">IF(D4008="?OLD","!!!","")</f>
        <v/>
      </c>
      <c r="F4008" s="25" t="str">
        <f aca="false">IF(OR(E4008="",E4008="!!!"),"",IF(NOT(ISNA(VLOOKUP(E4008,E$1:E4007,1,FALSE()))),"OLD",IF(AND(E4008&lt;&gt;"",E4008&lt;&gt;"!!!"),"NEW","")))</f>
        <v/>
      </c>
      <c r="G4008" s="26" t="str">
        <f aca="false">IF(OR(E4008="",E4008="!!!"),"",IF(OR(J4008=0,AND(J4008=1,K4008=1),AND(J4008=1,I4008="SBJ"),AND(J4008=1,I4008=0)),"?IN_FOCUS",IF(J4008&lt;=2,"?ACTIVATED",IF(J4008&lt;&gt;"","?FAMILIAR",IF(F4008="NEW",IF(ISNA(VLOOKUP(E4008,#REF!,1,FALSE())),"?TYPE_IDENTIFIABLE","?REFERENTIAL"),"_")))))</f>
        <v/>
      </c>
      <c r="H4008" s="27" t="str">
        <f aca="false">IF(J4008&lt;&gt;1,"",IF(I4008="SBJ","CB","?"))</f>
        <v/>
      </c>
      <c r="I4008" s="24" t="str">
        <f aca="false">IF(OR(E4008="",E4008="!!!",F4008="NEW"),"",INDEX(B38:B$3971,-1+SUMPRODUCT(MAX(ROW(E38:E$3971)*(E4008=E38:E$3971)))))</f>
        <v/>
      </c>
      <c r="J4008" s="24" t="str">
        <f aca="true">IF(OR(E4008="",E4008="!!!",F4008="NEW"),"",COUNTBLANK(OFFSET(A$1,,,SUMPRODUCT(MAX(ROW(E$2:E4008)*(E4008=E$2:E4008)))))-COUNTBLANK(OFFSET(A$1,,,SUMPRODUCT(MAX(ROW(E$1:E4007)*(E2=E$1:E4007))))))</f>
        <v/>
      </c>
      <c r="K4008" s="24" t="str">
        <f aca="false">IF(OR(E4008="",E4008="!!!",F4008="NEW"),"",INDEX(J$1:J4007,SUMPRODUCT(MAX(ROW(E$1:E4007)*(E4008=E$1:E4007)))))</f>
        <v/>
      </c>
      <c r="L4008" s="31"/>
    </row>
    <row r="4009" customFormat="false" ht="15" hidden="false" customHeight="false" outlineLevel="0" collapsed="false">
      <c r="A4009" s="20" t="s">
        <v>1162</v>
      </c>
      <c r="B4009" s="22" t="s">
        <v>1134</v>
      </c>
      <c r="C4009" s="22" t="s">
        <v>1082</v>
      </c>
      <c r="D4009" s="22" t="s">
        <v>1060</v>
      </c>
      <c r="E4009" s="23" t="str">
        <f aca="false">IF(D4009="?OLD","!!!","")</f>
        <v>!!!</v>
      </c>
      <c r="F4009" s="25" t="str">
        <f aca="false">IF(OR(E4009="",E4009="!!!"),"",IF(NOT(ISNA(VLOOKUP(E4009,E$1:E4008,1,FALSE()))),"OLD",IF(AND(E4009&lt;&gt;"",E4009&lt;&gt;"!!!"),"NEW","")))</f>
        <v/>
      </c>
      <c r="G4009" s="26" t="str">
        <f aca="false">IF(OR(E4009="",E4009="!!!"),"",IF(OR(J4009=0,AND(J4009=1,K4009=1),AND(J4009=1,I4009="SBJ"),AND(J4009=1,I4009=0)),"?IN_FOCUS",IF(J4009&lt;=2,"?ACTIVATED",IF(J4009&lt;&gt;"","?FAMILIAR",IF(F4009="NEW",IF(ISNA(VLOOKUP(E4009,#REF!,1,FALSE())),"?TYPE_IDENTIFIABLE","?REFERENTIAL"),"_")))))</f>
        <v/>
      </c>
      <c r="H4009" s="27" t="str">
        <f aca="false">IF(J4009&lt;&gt;1,"",IF(I4009="SBJ","CB","?"))</f>
        <v/>
      </c>
      <c r="I4009" s="24" t="str">
        <f aca="false">IF(OR(E4009="",E4009="!!!",F4009="NEW"),"",INDEX(B39:B$3971,-1+SUMPRODUCT(MAX(ROW(E39:E$3971)*(E4009=E39:E$3971)))))</f>
        <v/>
      </c>
      <c r="J4009" s="24" t="str">
        <f aca="true">IF(OR(E4009="",E4009="!!!",F4009="NEW"),"",COUNTBLANK(OFFSET(A$1,,,SUMPRODUCT(MAX(ROW(E$2:E4009)*(E4009=E$2:E4009)))))-COUNTBLANK(OFFSET(A$1,,,SUMPRODUCT(MAX(ROW(E$1:E4008)*(E2=E$1:E4008))))))</f>
        <v/>
      </c>
      <c r="K4009" s="24" t="str">
        <f aca="false">IF(OR(E4009="",E4009="!!!",F4009="NEW"),"",INDEX(J$1:J4008,SUMPRODUCT(MAX(ROW(E$1:E4008)*(E4009=E$1:E4008)))))</f>
        <v/>
      </c>
      <c r="L4009" s="31"/>
    </row>
    <row r="4010" customFormat="false" ht="15" hidden="false" customHeight="false" outlineLevel="0" collapsed="false">
      <c r="A4010" s="20" t="s">
        <v>169</v>
      </c>
      <c r="E4010" s="23" t="str">
        <f aca="false">IF(D4010="?OLD","!!!","")</f>
        <v/>
      </c>
      <c r="F4010" s="25" t="str">
        <f aca="false">IF(OR(E4010="",E4010="!!!"),"",IF(NOT(ISNA(VLOOKUP(E4010,E$1:E4009,1,FALSE()))),"OLD",IF(AND(E4010&lt;&gt;"",E4010&lt;&gt;"!!!"),"NEW","")))</f>
        <v/>
      </c>
      <c r="G4010" s="26" t="str">
        <f aca="false">IF(OR(E4010="",E4010="!!!"),"",IF(OR(J4010=0,AND(J4010=1,K4010=1),AND(J4010=1,I4010="SBJ"),AND(J4010=1,I4010=0)),"?IN_FOCUS",IF(J4010&lt;=2,"?ACTIVATED",IF(J4010&lt;&gt;"","?FAMILIAR",IF(F4010="NEW",IF(ISNA(VLOOKUP(E4010,#REF!,1,FALSE())),"?TYPE_IDENTIFIABLE","?REFERENTIAL"),"_")))))</f>
        <v/>
      </c>
      <c r="H4010" s="27" t="str">
        <f aca="false">IF(J4010&lt;&gt;1,"",IF(I4010="SBJ","CB","?"))</f>
        <v/>
      </c>
      <c r="I4010" s="24" t="str">
        <f aca="false">IF(OR(E4010="",E4010="!!!",F4010="NEW"),"",INDEX(B40:B$3971,-1+SUMPRODUCT(MAX(ROW(E40:E$3971)*(E4010=E40:E$3971)))))</f>
        <v/>
      </c>
      <c r="J4010" s="24" t="str">
        <f aca="true">IF(OR(E4010="",E4010="!!!",F4010="NEW"),"",COUNTBLANK(OFFSET(A$1,,,SUMPRODUCT(MAX(ROW(E$2:E4010)*(E4010=E$2:E4010)))))-COUNTBLANK(OFFSET(A$1,,,SUMPRODUCT(MAX(ROW(E$1:E4009)*(E2=E$1:E4009))))))</f>
        <v/>
      </c>
      <c r="K4010" s="24" t="str">
        <f aca="false">IF(OR(E4010="",E4010="!!!",F4010="NEW"),"",INDEX(J$1:J4009,SUMPRODUCT(MAX(ROW(E$1:E4009)*(E4010=E$1:E4009)))))</f>
        <v/>
      </c>
      <c r="L4010" s="31"/>
    </row>
    <row r="4011" customFormat="false" ht="15" hidden="false" customHeight="false" outlineLevel="0" collapsed="false">
      <c r="A4011" s="20" t="s">
        <v>1089</v>
      </c>
      <c r="E4011" s="23" t="str">
        <f aca="false">IF(D4011="?OLD","!!!","")</f>
        <v/>
      </c>
      <c r="F4011" s="25" t="str">
        <f aca="false">IF(OR(E4011="",E4011="!!!"),"",IF(NOT(ISNA(VLOOKUP(E4011,E$1:E4010,1,FALSE()))),"OLD",IF(AND(E4011&lt;&gt;"",E4011&lt;&gt;"!!!"),"NEW","")))</f>
        <v/>
      </c>
      <c r="G4011" s="26" t="str">
        <f aca="false">IF(OR(E4011="",E4011="!!!"),"",IF(OR(J4011=0,AND(J4011=1,K4011=1),AND(J4011=1,I4011="SBJ"),AND(J4011=1,I4011=0)),"?IN_FOCUS",IF(J4011&lt;=2,"?ACTIVATED",IF(J4011&lt;&gt;"","?FAMILIAR",IF(F4011="NEW",IF(ISNA(VLOOKUP(E4011,#REF!,1,FALSE())),"?TYPE_IDENTIFIABLE","?REFERENTIAL"),"_")))))</f>
        <v/>
      </c>
      <c r="H4011" s="27" t="str">
        <f aca="false">IF(J4011&lt;&gt;1,"",IF(I4011="SBJ","CB","?"))</f>
        <v/>
      </c>
      <c r="I4011" s="24" t="str">
        <f aca="false">IF(OR(E4011="",E4011="!!!",F4011="NEW"),"",INDEX(B41:B$3971,-1+SUMPRODUCT(MAX(ROW(E41:E$3971)*(E4011=E41:E$3971)))))</f>
        <v/>
      </c>
      <c r="J4011" s="24" t="str">
        <f aca="true">IF(OR(E4011="",E4011="!!!",F4011="NEW"),"",COUNTBLANK(OFFSET(A$1,,,SUMPRODUCT(MAX(ROW(E$2:E4011)*(E4011=E$2:E4011)))))-COUNTBLANK(OFFSET(A$1,,,SUMPRODUCT(MAX(ROW(E$1:E4010)*(E2=E$1:E4010))))))</f>
        <v/>
      </c>
      <c r="K4011" s="24" t="str">
        <f aca="false">IF(OR(E4011="",E4011="!!!",F4011="NEW"),"",INDEX(J$1:J4010,SUMPRODUCT(MAX(ROW(E$1:E4010)*(E4011=E$1:E4010)))))</f>
        <v/>
      </c>
      <c r="L4011" s="31"/>
    </row>
    <row r="4012" customFormat="false" ht="15" hidden="false" customHeight="false" outlineLevel="0" collapsed="false">
      <c r="A4012" s="20" t="s">
        <v>1173</v>
      </c>
      <c r="E4012" s="23" t="str">
        <f aca="false">IF(D4012="?OLD","!!!","")</f>
        <v/>
      </c>
      <c r="F4012" s="25" t="str">
        <f aca="false">IF(OR(E4012="",E4012="!!!"),"",IF(NOT(ISNA(VLOOKUP(E4012,E$1:E4011,1,FALSE()))),"OLD",IF(AND(E4012&lt;&gt;"",E4012&lt;&gt;"!!!"),"NEW","")))</f>
        <v/>
      </c>
      <c r="G4012" s="26" t="str">
        <f aca="false">IF(OR(E4012="",E4012="!!!"),"",IF(OR(J4012=0,AND(J4012=1,K4012=1),AND(J4012=1,I4012="SBJ"),AND(J4012=1,I4012=0)),"?IN_FOCUS",IF(J4012&lt;=2,"?ACTIVATED",IF(J4012&lt;&gt;"","?FAMILIAR",IF(F4012="NEW",IF(ISNA(VLOOKUP(E4012,#REF!,1,FALSE())),"?TYPE_IDENTIFIABLE","?REFERENTIAL"),"_")))))</f>
        <v/>
      </c>
      <c r="H4012" s="27" t="str">
        <f aca="false">IF(J4012&lt;&gt;1,"",IF(I4012="SBJ","CB","?"))</f>
        <v/>
      </c>
      <c r="I4012" s="24" t="str">
        <f aca="false">IF(OR(E4012="",E4012="!!!",F4012="NEW"),"",INDEX(B42:B$3971,-1+SUMPRODUCT(MAX(ROW(E42:E$3971)*(E4012=E42:E$3971)))))</f>
        <v/>
      </c>
      <c r="J4012" s="24" t="str">
        <f aca="true">IF(OR(E4012="",E4012="!!!",F4012="NEW"),"",COUNTBLANK(OFFSET(A$1,,,SUMPRODUCT(MAX(ROW(E$2:E4012)*(E4012=E$2:E4012)))))-COUNTBLANK(OFFSET(A$1,,,SUMPRODUCT(MAX(ROW(E$1:E4011)*(E2=E$1:E4011))))))</f>
        <v/>
      </c>
      <c r="K4012" s="24" t="str">
        <f aca="false">IF(OR(E4012="",E4012="!!!",F4012="NEW"),"",INDEX(J$1:J4011,SUMPRODUCT(MAX(ROW(E$1:E4011)*(E4012=E$1:E4011)))))</f>
        <v/>
      </c>
      <c r="L4012" s="31"/>
    </row>
    <row r="4013" customFormat="false" ht="15" hidden="false" customHeight="false" outlineLevel="0" collapsed="false">
      <c r="A4013" s="20" t="s">
        <v>1339</v>
      </c>
      <c r="B4013" s="22" t="s">
        <v>1855</v>
      </c>
      <c r="C4013" s="22" t="s">
        <v>1132</v>
      </c>
      <c r="D4013" s="22" t="s">
        <v>1060</v>
      </c>
      <c r="E4013" s="23" t="str">
        <f aca="false">IF(D4013="?OLD","!!!","")</f>
        <v>!!!</v>
      </c>
      <c r="F4013" s="25" t="str">
        <f aca="false">IF(OR(E4013="",E4013="!!!"),"",IF(NOT(ISNA(VLOOKUP(E4013,E$1:E4012,1,FALSE()))),"OLD",IF(AND(E4013&lt;&gt;"",E4013&lt;&gt;"!!!"),"NEW","")))</f>
        <v/>
      </c>
      <c r="G4013" s="26" t="str">
        <f aca="false">IF(OR(E4013="",E4013="!!!"),"",IF(OR(J4013=0,AND(J4013=1,K4013=1),AND(J4013=1,I4013="SBJ"),AND(J4013=1,I4013=0)),"?IN_FOCUS",IF(J4013&lt;=2,"?ACTIVATED",IF(J4013&lt;&gt;"","?FAMILIAR",IF(F4013="NEW",IF(ISNA(VLOOKUP(E4013,#REF!,1,FALSE())),"?TYPE_IDENTIFIABLE","?REFERENTIAL"),"_")))))</f>
        <v/>
      </c>
      <c r="H4013" s="27" t="str">
        <f aca="false">IF(J4013&lt;&gt;1,"",IF(I4013="SBJ","CB","?"))</f>
        <v/>
      </c>
      <c r="I4013" s="24" t="str">
        <f aca="false">IF(OR(E4013="",E4013="!!!",F4013="NEW"),"",INDEX(B43:B$3971,-1+SUMPRODUCT(MAX(ROW(E43:E$3971)*(E4013=E43:E$3971)))))</f>
        <v/>
      </c>
      <c r="J4013" s="24" t="str">
        <f aca="true">IF(OR(E4013="",E4013="!!!",F4013="NEW"),"",COUNTBLANK(OFFSET(A$1,,,SUMPRODUCT(MAX(ROW(E$2:E4013)*(E4013=E$2:E4013)))))-COUNTBLANK(OFFSET(A$1,,,SUMPRODUCT(MAX(ROW(E$1:E4012)*(E2=E$1:E4012))))))</f>
        <v/>
      </c>
      <c r="K4013" s="24" t="str">
        <f aca="false">IF(OR(E4013="",E4013="!!!",F4013="NEW"),"",INDEX(J$1:J4012,SUMPRODUCT(MAX(ROW(E$1:E4012)*(E4013=E$1:E4012)))))</f>
        <v/>
      </c>
      <c r="L4013" s="31"/>
    </row>
    <row r="4014" customFormat="false" ht="15" hidden="false" customHeight="false" outlineLevel="0" collapsed="false">
      <c r="A4014" s="20" t="s">
        <v>1139</v>
      </c>
      <c r="E4014" s="23" t="str">
        <f aca="false">IF(D4014="?OLD","!!!","")</f>
        <v/>
      </c>
      <c r="F4014" s="25" t="str">
        <f aca="false">IF(OR(E4014="",E4014="!!!"),"",IF(NOT(ISNA(VLOOKUP(E4014,E$1:E4013,1,FALSE()))),"OLD",IF(AND(E4014&lt;&gt;"",E4014&lt;&gt;"!!!"),"NEW","")))</f>
        <v/>
      </c>
      <c r="G4014" s="26" t="str">
        <f aca="false">IF(OR(E4014="",E4014="!!!"),"",IF(OR(J4014=0,AND(J4014=1,K4014=1),AND(J4014=1,I4014="SBJ"),AND(J4014=1,I4014=0)),"?IN_FOCUS",IF(J4014&lt;=2,"?ACTIVATED",IF(J4014&lt;&gt;"","?FAMILIAR",IF(F4014="NEW",IF(ISNA(VLOOKUP(E4014,#REF!,1,FALSE())),"?TYPE_IDENTIFIABLE","?REFERENTIAL"),"_")))))</f>
        <v/>
      </c>
      <c r="H4014" s="27" t="str">
        <f aca="false">IF(J4014&lt;&gt;1,"",IF(I4014="SBJ","CB","?"))</f>
        <v/>
      </c>
      <c r="I4014" s="24" t="str">
        <f aca="false">IF(OR(E4014="",E4014="!!!",F4014="NEW"),"",INDEX(B44:B$3971,-1+SUMPRODUCT(MAX(ROW(E44:E$3971)*(E4014=E44:E$3971)))))</f>
        <v/>
      </c>
      <c r="J4014" s="24" t="str">
        <f aca="true">IF(OR(E4014="",E4014="!!!",F4014="NEW"),"",COUNTBLANK(OFFSET(A$1,,,SUMPRODUCT(MAX(ROW(E$2:E4014)*(E4014=E$2:E4014)))))-COUNTBLANK(OFFSET(A$1,,,SUMPRODUCT(MAX(ROW(E$1:E4013)*(E2=E$1:E4013))))))</f>
        <v/>
      </c>
      <c r="K4014" s="24" t="str">
        <f aca="false">IF(OR(E4014="",E4014="!!!",F4014="NEW"),"",INDEX(J$1:J4013,SUMPRODUCT(MAX(ROW(E$1:E4013)*(E4014=E$1:E4013)))))</f>
        <v/>
      </c>
      <c r="L4014" s="31"/>
    </row>
    <row r="4015" customFormat="false" ht="15" hidden="false" customHeight="false" outlineLevel="0" collapsed="false">
      <c r="A4015" s="20" t="s">
        <v>1162</v>
      </c>
      <c r="B4015" s="22" t="s">
        <v>2135</v>
      </c>
      <c r="C4015" s="22" t="s">
        <v>1082</v>
      </c>
      <c r="D4015" s="22" t="s">
        <v>1060</v>
      </c>
      <c r="E4015" s="23" t="str">
        <f aca="false">IF(D4015="?OLD","!!!","")</f>
        <v>!!!</v>
      </c>
      <c r="F4015" s="25" t="str">
        <f aca="false">IF(OR(E4015="",E4015="!!!"),"",IF(NOT(ISNA(VLOOKUP(E4015,E$1:E4014,1,FALSE()))),"OLD",IF(AND(E4015&lt;&gt;"",E4015&lt;&gt;"!!!"),"NEW","")))</f>
        <v/>
      </c>
      <c r="G4015" s="26" t="str">
        <f aca="false">IF(OR(E4015="",E4015="!!!"),"",IF(OR(J4015=0,AND(J4015=1,K4015=1),AND(J4015=1,I4015="SBJ"),AND(J4015=1,I4015=0)),"?IN_FOCUS",IF(J4015&lt;=2,"?ACTIVATED",IF(J4015&lt;&gt;"","?FAMILIAR",IF(F4015="NEW",IF(ISNA(VLOOKUP(E4015,#REF!,1,FALSE())),"?TYPE_IDENTIFIABLE","?REFERENTIAL"),"_")))))</f>
        <v/>
      </c>
      <c r="H4015" s="27" t="str">
        <f aca="false">IF(J4015&lt;&gt;1,"",IF(I4015="SBJ","CB","?"))</f>
        <v/>
      </c>
      <c r="I4015" s="24" t="str">
        <f aca="false">IF(OR(E4015="",E4015="!!!",F4015="NEW"),"",INDEX(B45:B$3971,-1+SUMPRODUCT(MAX(ROW(E45:E$3971)*(E4015=E45:E$3971)))))</f>
        <v/>
      </c>
      <c r="J4015" s="24" t="str">
        <f aca="true">IF(OR(E4015="",E4015="!!!",F4015="NEW"),"",COUNTBLANK(OFFSET(A$1,,,SUMPRODUCT(MAX(ROW(E$2:E4015)*(E4015=E$2:E4015)))))-COUNTBLANK(OFFSET(A$1,,,SUMPRODUCT(MAX(ROW(E$1:E4014)*(E2=E$1:E4014))))))</f>
        <v/>
      </c>
      <c r="K4015" s="24" t="str">
        <f aca="false">IF(OR(E4015="",E4015="!!!",F4015="NEW"),"",INDEX(J$1:J4014,SUMPRODUCT(MAX(ROW(E$1:E4014)*(E4015=E$1:E4014)))))</f>
        <v/>
      </c>
      <c r="L4015" s="31"/>
    </row>
    <row r="4016" customFormat="false" ht="15" hidden="false" customHeight="false" outlineLevel="0" collapsed="false">
      <c r="A4016" s="20" t="s">
        <v>576</v>
      </c>
      <c r="E4016" s="23" t="str">
        <f aca="false">IF(D4016="?OLD","!!!","")</f>
        <v/>
      </c>
      <c r="F4016" s="25" t="str">
        <f aca="false">IF(OR(E4016="",E4016="!!!"),"",IF(NOT(ISNA(VLOOKUP(E4016,E$1:E4015,1,FALSE()))),"OLD",IF(AND(E4016&lt;&gt;"",E4016&lt;&gt;"!!!"),"NEW","")))</f>
        <v/>
      </c>
      <c r="G4016" s="26" t="str">
        <f aca="false">IF(OR(E4016="",E4016="!!!"),"",IF(OR(J4016=0,AND(J4016=1,K4016=1),AND(J4016=1,I4016="SBJ"),AND(J4016=1,I4016=0)),"?IN_FOCUS",IF(J4016&lt;=2,"?ACTIVATED",IF(J4016&lt;&gt;"","?FAMILIAR",IF(F4016="NEW",IF(ISNA(VLOOKUP(E4016,#REF!,1,FALSE())),"?TYPE_IDENTIFIABLE","?REFERENTIAL"),"_")))))</f>
        <v/>
      </c>
      <c r="H4016" s="27" t="str">
        <f aca="false">IF(J4016&lt;&gt;1,"",IF(I4016="SBJ","CB","?"))</f>
        <v/>
      </c>
      <c r="I4016" s="24" t="str">
        <f aca="false">IF(OR(E4016="",E4016="!!!",F4016="NEW"),"",INDEX(B46:B$3971,-1+SUMPRODUCT(MAX(ROW(E46:E$3971)*(E4016=E46:E$3971)))))</f>
        <v/>
      </c>
      <c r="J4016" s="24" t="str">
        <f aca="true">IF(OR(E4016="",E4016="!!!",F4016="NEW"),"",COUNTBLANK(OFFSET(A$1,,,SUMPRODUCT(MAX(ROW(E$2:E4016)*(E4016=E$2:E4016)))))-COUNTBLANK(OFFSET(A$1,,,SUMPRODUCT(MAX(ROW(E$1:E4015)*(E2=E$1:E4015))))))</f>
        <v/>
      </c>
      <c r="K4016" s="24" t="str">
        <f aca="false">IF(OR(E4016="",E4016="!!!",F4016="NEW"),"",INDEX(J$1:J4015,SUMPRODUCT(MAX(ROW(E$1:E4015)*(E4016=E$1:E4015)))))</f>
        <v/>
      </c>
      <c r="L4016" s="31"/>
    </row>
    <row r="4017" customFormat="false" ht="15" hidden="false" customHeight="false" outlineLevel="0" collapsed="false">
      <c r="A4017" s="20" t="s">
        <v>1414</v>
      </c>
      <c r="E4017" s="23" t="str">
        <f aca="false">IF(D4017="?OLD","!!!","")</f>
        <v/>
      </c>
      <c r="F4017" s="25" t="str">
        <f aca="false">IF(OR(E4017="",E4017="!!!"),"",IF(NOT(ISNA(VLOOKUP(E4017,E$1:E4016,1,FALSE()))),"OLD",IF(AND(E4017&lt;&gt;"",E4017&lt;&gt;"!!!"),"NEW","")))</f>
        <v/>
      </c>
      <c r="G4017" s="26" t="str">
        <f aca="false">IF(OR(E4017="",E4017="!!!"),"",IF(OR(J4017=0,AND(J4017=1,K4017=1),AND(J4017=1,I4017="SBJ"),AND(J4017=1,I4017=0)),"?IN_FOCUS",IF(J4017&lt;=2,"?ACTIVATED",IF(J4017&lt;&gt;"","?FAMILIAR",IF(F4017="NEW",IF(ISNA(VLOOKUP(E4017,#REF!,1,FALSE())),"?TYPE_IDENTIFIABLE","?REFERENTIAL"),"_")))))</f>
        <v/>
      </c>
      <c r="H4017" s="27" t="str">
        <f aca="false">IF(J4017&lt;&gt;1,"",IF(I4017="SBJ","CB","?"))</f>
        <v/>
      </c>
      <c r="I4017" s="24" t="str">
        <f aca="false">IF(OR(E4017="",E4017="!!!",F4017="NEW"),"",INDEX(B47:B$3971,-1+SUMPRODUCT(MAX(ROW(E47:E$3971)*(E4017=E47:E$3971)))))</f>
        <v/>
      </c>
      <c r="J4017" s="24" t="str">
        <f aca="true">IF(OR(E4017="",E4017="!!!",F4017="NEW"),"",COUNTBLANK(OFFSET(A$1,,,SUMPRODUCT(MAX(ROW(E$2:E4017)*(E4017=E$2:E4017)))))-COUNTBLANK(OFFSET(A$1,,,SUMPRODUCT(MAX(ROW(E$1:E4016)*(E2=E$1:E4016))))))</f>
        <v/>
      </c>
      <c r="K4017" s="24" t="str">
        <f aca="false">IF(OR(E4017="",E4017="!!!",F4017="NEW"),"",INDEX(J$1:J4016,SUMPRODUCT(MAX(ROW(E$1:E4016)*(E4017=E$1:E4016)))))</f>
        <v/>
      </c>
      <c r="L4017" s="31"/>
    </row>
    <row r="4018" customFormat="false" ht="15" hidden="false" customHeight="false" outlineLevel="0" collapsed="false">
      <c r="A4018" s="20" t="s">
        <v>1097</v>
      </c>
      <c r="B4018" s="22" t="s">
        <v>1855</v>
      </c>
      <c r="C4018" s="22" t="s">
        <v>1099</v>
      </c>
      <c r="D4018" s="22" t="s">
        <v>1060</v>
      </c>
      <c r="E4018" s="23" t="str">
        <f aca="false">IF(D4018="?OLD","!!!","")</f>
        <v>!!!</v>
      </c>
      <c r="F4018" s="25" t="str">
        <f aca="false">IF(OR(E4018="",E4018="!!!"),"",IF(NOT(ISNA(VLOOKUP(E4018,E$1:E4017,1,FALSE()))),"OLD",IF(AND(E4018&lt;&gt;"",E4018&lt;&gt;"!!!"),"NEW","")))</f>
        <v/>
      </c>
      <c r="G4018" s="26" t="str">
        <f aca="false">IF(OR(E4018="",E4018="!!!"),"",IF(OR(J4018=0,AND(J4018=1,K4018=1),AND(J4018=1,I4018="SBJ"),AND(J4018=1,I4018=0)),"?IN_FOCUS",IF(J4018&lt;=2,"?ACTIVATED",IF(J4018&lt;&gt;"","?FAMILIAR",IF(F4018="NEW",IF(ISNA(VLOOKUP(E4018,#REF!,1,FALSE())),"?TYPE_IDENTIFIABLE","?REFERENTIAL"),"_")))))</f>
        <v/>
      </c>
      <c r="H4018" s="27" t="str">
        <f aca="false">IF(J4018&lt;&gt;1,"",IF(I4018="SBJ","CB","?"))</f>
        <v/>
      </c>
      <c r="I4018" s="24" t="str">
        <f aca="false">IF(OR(E4018="",E4018="!!!",F4018="NEW"),"",INDEX(B48:B$3971,-1+SUMPRODUCT(MAX(ROW(E48:E$3971)*(E4018=E48:E$3971)))))</f>
        <v/>
      </c>
      <c r="J4018" s="24" t="str">
        <f aca="true">IF(OR(E4018="",E4018="!!!",F4018="NEW"),"",COUNTBLANK(OFFSET(A$1,,,SUMPRODUCT(MAX(ROW(E$2:E4018)*(E4018=E$2:E4018)))))-COUNTBLANK(OFFSET(A$1,,,SUMPRODUCT(MAX(ROW(E$1:E4017)*(E2=E$1:E4017))))))</f>
        <v/>
      </c>
      <c r="K4018" s="24" t="str">
        <f aca="false">IF(OR(E4018="",E4018="!!!",F4018="NEW"),"",INDEX(J$1:J4017,SUMPRODUCT(MAX(ROW(E$1:E4017)*(E4018=E$1:E4017)))))</f>
        <v/>
      </c>
      <c r="L4018" s="31"/>
    </row>
    <row r="4019" customFormat="false" ht="15" hidden="false" customHeight="false" outlineLevel="0" collapsed="false">
      <c r="A4019" s="20" t="s">
        <v>2298</v>
      </c>
      <c r="B4019" s="22" t="s">
        <v>1203</v>
      </c>
      <c r="C4019" s="22" t="s">
        <v>1059</v>
      </c>
      <c r="D4019" s="22" t="s">
        <v>1060</v>
      </c>
      <c r="E4019" s="23" t="str">
        <f aca="false">IF(D4019="?OLD","!!!","")</f>
        <v>!!!</v>
      </c>
      <c r="F4019" s="25" t="str">
        <f aca="false">IF(OR(E4019="",E4019="!!!"),"",IF(NOT(ISNA(VLOOKUP(E4019,E$1:E4018,1,FALSE()))),"OLD",IF(AND(E4019&lt;&gt;"",E4019&lt;&gt;"!!!"),"NEW","")))</f>
        <v/>
      </c>
      <c r="G4019" s="26" t="str">
        <f aca="false">IF(OR(E4019="",E4019="!!!"),"",IF(OR(J4019=0,AND(J4019=1,K4019=1),AND(J4019=1,I4019="SBJ"),AND(J4019=1,I4019=0)),"?IN_FOCUS",IF(J4019&lt;=2,"?ACTIVATED",IF(J4019&lt;&gt;"","?FAMILIAR",IF(F4019="NEW",IF(ISNA(VLOOKUP(E4019,#REF!,1,FALSE())),"?TYPE_IDENTIFIABLE","?REFERENTIAL"),"_")))))</f>
        <v/>
      </c>
      <c r="H4019" s="27" t="str">
        <f aca="false">IF(J4019&lt;&gt;1,"",IF(I4019="SBJ","CB","?"))</f>
        <v/>
      </c>
      <c r="I4019" s="24" t="str">
        <f aca="false">IF(OR(E4019="",E4019="!!!",F4019="NEW"),"",INDEX(B49:B$3971,-1+SUMPRODUCT(MAX(ROW(E49:E$3971)*(E4019=E49:E$3971)))))</f>
        <v/>
      </c>
      <c r="J4019" s="24" t="str">
        <f aca="true">IF(OR(E4019="",E4019="!!!",F4019="NEW"),"",COUNTBLANK(OFFSET(A$1,,,SUMPRODUCT(MAX(ROW(E$2:E4019)*(E4019=E$2:E4019)))))-COUNTBLANK(OFFSET(A$1,,,SUMPRODUCT(MAX(ROW(E$1:E4018)*(E2=E$1:E4018))))))</f>
        <v/>
      </c>
      <c r="K4019" s="24" t="str">
        <f aca="false">IF(OR(E4019="",E4019="!!!",F4019="NEW"),"",INDEX(J$1:J4018,SUMPRODUCT(MAX(ROW(E$1:E4018)*(E4019=E$1:E4018)))))</f>
        <v/>
      </c>
      <c r="L4019" s="31"/>
    </row>
    <row r="4020" customFormat="false" ht="15" hidden="false" customHeight="false" outlineLevel="0" collapsed="false">
      <c r="A4020" s="20" t="s">
        <v>1128</v>
      </c>
      <c r="E4020" s="23" t="str">
        <f aca="false">IF(D4020="?OLD","!!!","")</f>
        <v/>
      </c>
      <c r="F4020" s="25" t="str">
        <f aca="false">IF(OR(E4020="",E4020="!!!"),"",IF(NOT(ISNA(VLOOKUP(E4020,E$1:E4019,1,FALSE()))),"OLD",IF(AND(E4020&lt;&gt;"",E4020&lt;&gt;"!!!"),"NEW","")))</f>
        <v/>
      </c>
      <c r="G4020" s="26" t="str">
        <f aca="false">IF(OR(E4020="",E4020="!!!"),"",IF(OR(J4020=0,AND(J4020=1,K4020=1),AND(J4020=1,I4020="SBJ"),AND(J4020=1,I4020=0)),"?IN_FOCUS",IF(J4020&lt;=2,"?ACTIVATED",IF(J4020&lt;&gt;"","?FAMILIAR",IF(F4020="NEW",IF(ISNA(VLOOKUP(E4020,#REF!,1,FALSE())),"?TYPE_IDENTIFIABLE","?REFERENTIAL"),"_")))))</f>
        <v/>
      </c>
      <c r="H4020" s="27" t="str">
        <f aca="false">IF(J4020&lt;&gt;1,"",IF(I4020="SBJ","CB","?"))</f>
        <v/>
      </c>
      <c r="I4020" s="24" t="str">
        <f aca="false">IF(OR(E4020="",E4020="!!!",F4020="NEW"),"",INDEX(B50:B$3971,-1+SUMPRODUCT(MAX(ROW(E50:E$3971)*(E4020=E50:E$3971)))))</f>
        <v/>
      </c>
      <c r="J4020" s="24" t="str">
        <f aca="true">IF(OR(E4020="",E4020="!!!",F4020="NEW"),"",COUNTBLANK(OFFSET(A$1,,,SUMPRODUCT(MAX(ROW(E$2:E4020)*(E4020=E$2:E4020)))))-COUNTBLANK(OFFSET(A$1,,,SUMPRODUCT(MAX(ROW(E$1:E4019)*(E2=E$1:E4019))))))</f>
        <v/>
      </c>
      <c r="K4020" s="24" t="str">
        <f aca="false">IF(OR(E4020="",E4020="!!!",F4020="NEW"),"",INDEX(J$1:J4019,SUMPRODUCT(MAX(ROW(E$1:E4019)*(E4020=E$1:E4019)))))</f>
        <v/>
      </c>
      <c r="L4020" s="31"/>
    </row>
    <row r="4021" customFormat="false" ht="15" hidden="false" customHeight="false" outlineLevel="0" collapsed="false">
      <c r="A4021" s="20" t="s">
        <v>1097</v>
      </c>
      <c r="B4021" s="22" t="s">
        <v>1319</v>
      </c>
      <c r="C4021" s="22" t="s">
        <v>1099</v>
      </c>
      <c r="D4021" s="22" t="s">
        <v>1060</v>
      </c>
      <c r="E4021" s="23" t="str">
        <f aca="false">IF(D4021="?OLD","!!!","")</f>
        <v>!!!</v>
      </c>
      <c r="F4021" s="25" t="str">
        <f aca="false">IF(OR(E4021="",E4021="!!!"),"",IF(NOT(ISNA(VLOOKUP(E4021,E$1:E4020,1,FALSE()))),"OLD",IF(AND(E4021&lt;&gt;"",E4021&lt;&gt;"!!!"),"NEW","")))</f>
        <v/>
      </c>
      <c r="G4021" s="26" t="str">
        <f aca="false">IF(OR(E4021="",E4021="!!!"),"",IF(OR(J4021=0,AND(J4021=1,K4021=1),AND(J4021=1,I4021="SBJ"),AND(J4021=1,I4021=0)),"?IN_FOCUS",IF(J4021&lt;=2,"?ACTIVATED",IF(J4021&lt;&gt;"","?FAMILIAR",IF(F4021="NEW",IF(ISNA(VLOOKUP(E4021,#REF!,1,FALSE())),"?TYPE_IDENTIFIABLE","?REFERENTIAL"),"_")))))</f>
        <v/>
      </c>
      <c r="H4021" s="27" t="str">
        <f aca="false">IF(J4021&lt;&gt;1,"",IF(I4021="SBJ","CB","?"))</f>
        <v/>
      </c>
      <c r="I4021" s="24" t="str">
        <f aca="false">IF(OR(E4021="",E4021="!!!",F4021="NEW"),"",INDEX(B51:B$3971,-1+SUMPRODUCT(MAX(ROW(E51:E$3971)*(E4021=E51:E$3971)))))</f>
        <v/>
      </c>
      <c r="J4021" s="24" t="str">
        <f aca="true">IF(OR(E4021="",E4021="!!!",F4021="NEW"),"",COUNTBLANK(OFFSET(A$1,,,SUMPRODUCT(MAX(ROW(E$2:E4021)*(E4021=E$2:E4021)))))-COUNTBLANK(OFFSET(A$1,,,SUMPRODUCT(MAX(ROW(E$1:E4020)*(E2=E$1:E4020))))))</f>
        <v/>
      </c>
      <c r="K4021" s="24" t="str">
        <f aca="false">IF(OR(E4021="",E4021="!!!",F4021="NEW"),"",INDEX(J$1:J4020,SUMPRODUCT(MAX(ROW(E$1:E4020)*(E4021=E$1:E4020)))))</f>
        <v/>
      </c>
      <c r="L4021" s="31"/>
    </row>
    <row r="4022" customFormat="false" ht="15" hidden="false" customHeight="false" outlineLevel="0" collapsed="false">
      <c r="A4022" s="20" t="s">
        <v>2299</v>
      </c>
      <c r="B4022" s="22" t="s">
        <v>1855</v>
      </c>
      <c r="C4022" s="22" t="s">
        <v>1059</v>
      </c>
      <c r="D4022" s="22" t="s">
        <v>1060</v>
      </c>
      <c r="E4022" s="23" t="str">
        <f aca="false">IF(D4022="?OLD","!!!","")</f>
        <v>!!!</v>
      </c>
      <c r="F4022" s="25" t="str">
        <f aca="false">IF(OR(E4022="",E4022="!!!"),"",IF(NOT(ISNA(VLOOKUP(E4022,E$1:E4021,1,FALSE()))),"OLD",IF(AND(E4022&lt;&gt;"",E4022&lt;&gt;"!!!"),"NEW","")))</f>
        <v/>
      </c>
      <c r="G4022" s="26" t="str">
        <f aca="false">IF(OR(E4022="",E4022="!!!"),"",IF(OR(J4022=0,AND(J4022=1,K4022=1),AND(J4022=1,I4022="SBJ"),AND(J4022=1,I4022=0)),"?IN_FOCUS",IF(J4022&lt;=2,"?ACTIVATED",IF(J4022&lt;&gt;"","?FAMILIAR",IF(F4022="NEW",IF(ISNA(VLOOKUP(E4022,#REF!,1,FALSE())),"?TYPE_IDENTIFIABLE","?REFERENTIAL"),"_")))))</f>
        <v/>
      </c>
      <c r="H4022" s="27" t="str">
        <f aca="false">IF(J4022&lt;&gt;1,"",IF(I4022="SBJ","CB","?"))</f>
        <v/>
      </c>
      <c r="I4022" s="24" t="str">
        <f aca="false">IF(OR(E4022="",E4022="!!!",F4022="NEW"),"",INDEX(B52:B$3971,-1+SUMPRODUCT(MAX(ROW(E52:E$3971)*(E4022=E52:E$3971)))))</f>
        <v/>
      </c>
      <c r="J4022" s="24" t="str">
        <f aca="true">IF(OR(E4022="",E4022="!!!",F4022="NEW"),"",COUNTBLANK(OFFSET(A$1,,,SUMPRODUCT(MAX(ROW(E$2:E4022)*(E4022=E$2:E4022)))))-COUNTBLANK(OFFSET(A$1,,,SUMPRODUCT(MAX(ROW(E$1:E4021)*(E2=E$1:E4021))))))</f>
        <v/>
      </c>
      <c r="K4022" s="24" t="str">
        <f aca="false">IF(OR(E4022="",E4022="!!!",F4022="NEW"),"",INDEX(J$1:J4021,SUMPRODUCT(MAX(ROW(E$1:E4021)*(E4022=E$1:E4021)))))</f>
        <v/>
      </c>
      <c r="L4022" s="31"/>
    </row>
    <row r="4023" customFormat="false" ht="15" hidden="false" customHeight="false" outlineLevel="0" collapsed="false">
      <c r="A4023" s="20" t="s">
        <v>923</v>
      </c>
      <c r="E4023" s="23" t="str">
        <f aca="false">IF(D4023="?OLD","!!!","")</f>
        <v/>
      </c>
      <c r="F4023" s="25" t="str">
        <f aca="false">IF(OR(E4023="",E4023="!!!"),"",IF(NOT(ISNA(VLOOKUP(E4023,E$1:E4022,1,FALSE()))),"OLD",IF(AND(E4023&lt;&gt;"",E4023&lt;&gt;"!!!"),"NEW","")))</f>
        <v/>
      </c>
      <c r="G4023" s="26" t="str">
        <f aca="false">IF(OR(E4023="",E4023="!!!"),"",IF(OR(J4023=0,AND(J4023=1,K4023=1),AND(J4023=1,I4023="SBJ"),AND(J4023=1,I4023=0)),"?IN_FOCUS",IF(J4023&lt;=2,"?ACTIVATED",IF(J4023&lt;&gt;"","?FAMILIAR",IF(F4023="NEW",IF(ISNA(VLOOKUP(E4023,#REF!,1,FALSE())),"?TYPE_IDENTIFIABLE","?REFERENTIAL"),"_")))))</f>
        <v/>
      </c>
      <c r="H4023" s="27" t="str">
        <f aca="false">IF(J4023&lt;&gt;1,"",IF(I4023="SBJ","CB","?"))</f>
        <v/>
      </c>
      <c r="I4023" s="24" t="str">
        <f aca="false">IF(OR(E4023="",E4023="!!!",F4023="NEW"),"",INDEX(B53:B$3971,-1+SUMPRODUCT(MAX(ROW(E53:E$3971)*(E4023=E53:E$3971)))))</f>
        <v/>
      </c>
      <c r="J4023" s="24" t="str">
        <f aca="true">IF(OR(E4023="",E4023="!!!",F4023="NEW"),"",COUNTBLANK(OFFSET(A$1,,,SUMPRODUCT(MAX(ROW(E$2:E4023)*(E4023=E$2:E4023)))))-COUNTBLANK(OFFSET(A$1,,,SUMPRODUCT(MAX(ROW(E$1:E4022)*(E2=E$1:E4022))))))</f>
        <v/>
      </c>
      <c r="K4023" s="24" t="str">
        <f aca="false">IF(OR(E4023="",E4023="!!!",F4023="NEW"),"",INDEX(J$1:J4022,SUMPRODUCT(MAX(ROW(E$1:E4022)*(E4023=E$1:E4022)))))</f>
        <v/>
      </c>
      <c r="L4023" s="31"/>
    </row>
    <row r="4024" customFormat="false" ht="15" hidden="false" customHeight="false" outlineLevel="0" collapsed="false">
      <c r="A4024" s="20" t="s">
        <v>607</v>
      </c>
      <c r="E4024" s="23" t="str">
        <f aca="false">IF(D4024="?OLD","!!!","")</f>
        <v/>
      </c>
      <c r="F4024" s="25" t="str">
        <f aca="false">IF(OR(E4024="",E4024="!!!"),"",IF(NOT(ISNA(VLOOKUP(E4024,E$1:E4023,1,FALSE()))),"OLD",IF(AND(E4024&lt;&gt;"",E4024&lt;&gt;"!!!"),"NEW","")))</f>
        <v/>
      </c>
      <c r="G4024" s="26" t="str">
        <f aca="false">IF(OR(E4024="",E4024="!!!"),"",IF(OR(J4024=0,AND(J4024=1,K4024=1),AND(J4024=1,I4024="SBJ"),AND(J4024=1,I4024=0)),"?IN_FOCUS",IF(J4024&lt;=2,"?ACTIVATED",IF(J4024&lt;&gt;"","?FAMILIAR",IF(F4024="NEW",IF(ISNA(VLOOKUP(E4024,#REF!,1,FALSE())),"?TYPE_IDENTIFIABLE","?REFERENTIAL"),"_")))))</f>
        <v/>
      </c>
      <c r="H4024" s="27" t="str">
        <f aca="false">IF(J4024&lt;&gt;1,"",IF(I4024="SBJ","CB","?"))</f>
        <v/>
      </c>
      <c r="I4024" s="24" t="str">
        <f aca="false">IF(OR(E4024="",E4024="!!!",F4024="NEW"),"",INDEX(B54:B$3971,-1+SUMPRODUCT(MAX(ROW(E54:E$3971)*(E4024=E54:E$3971)))))</f>
        <v/>
      </c>
      <c r="J4024" s="24" t="str">
        <f aca="true">IF(OR(E4024="",E4024="!!!",F4024="NEW"),"",COUNTBLANK(OFFSET(A$1,,,SUMPRODUCT(MAX(ROW(E$2:E4024)*(E4024=E$2:E4024)))))-COUNTBLANK(OFFSET(A$1,,,SUMPRODUCT(MAX(ROW(E$1:E4023)*(E2=E$1:E4023))))))</f>
        <v/>
      </c>
      <c r="K4024" s="24" t="str">
        <f aca="false">IF(OR(E4024="",E4024="!!!",F4024="NEW"),"",INDEX(J$1:J4023,SUMPRODUCT(MAX(ROW(E$1:E4023)*(E4024=E$1:E4023)))))</f>
        <v/>
      </c>
      <c r="L4024" s="31"/>
    </row>
    <row r="4025" customFormat="false" ht="15" hidden="false" customHeight="false" outlineLevel="0" collapsed="false">
      <c r="A4025" s="20"/>
    </row>
    <row r="4026" customFormat="false" ht="15" hidden="false" customHeight="false" outlineLevel="0" collapsed="false">
      <c r="A4026" s="20" t="s">
        <v>2300</v>
      </c>
    </row>
    <row r="4027" customFormat="false" ht="15" hidden="false" customHeight="false" outlineLevel="0" collapsed="false">
      <c r="A4027" s="20" t="s">
        <v>2248</v>
      </c>
      <c r="B4027" s="22" t="s">
        <v>1058</v>
      </c>
      <c r="C4027" s="22" t="s">
        <v>1082</v>
      </c>
      <c r="D4027" s="22" t="s">
        <v>1060</v>
      </c>
      <c r="E4027" s="23" t="str">
        <f aca="false">IF(D4027="?OLD","!!!","")</f>
        <v>!!!</v>
      </c>
      <c r="F4027" s="25" t="str">
        <f aca="false">IF(OR(E4027="",E4027="!!!"),"",IF(NOT(ISNA(VLOOKUP(E4027,E$1:E4026,1,FALSE()))),"OLD",IF(AND(E4027&lt;&gt;"",E4027&lt;&gt;"!!!"),"NEW","")))</f>
        <v/>
      </c>
      <c r="G4027" s="26" t="str">
        <f aca="false">IF(OR(E4027="",E4027="!!!"),"",IF(OR(J4027=0,AND(J4027=1,K4027=1),AND(J4027=1,I4027="SBJ"),AND(J4027=1,I4027=0)),"?IN_FOCUS",IF(J4027&lt;=2,"?ACTIVATED",IF(J4027&lt;&gt;"","?FAMILIAR",IF(F4027="NEW",IF(ISNA(VLOOKUP(E4027,#REF!,1,FALSE())),"?TYPE_IDENTIFIABLE","?REFERENTIAL"),"_")))))</f>
        <v/>
      </c>
      <c r="H4027" s="27" t="str">
        <f aca="false">IF(J4027&lt;&gt;1,"",IF(I4027="SBJ","CB","?"))</f>
        <v/>
      </c>
      <c r="I4027" s="24" t="str">
        <f aca="false">IF(OR(E4027="",E4027="!!!",F4027="NEW"),"",INDEX(B2:B$4026,-1+SUMPRODUCT(MAX(ROW(E2:E$4026)*(E4027=E2:E$4026)))))</f>
        <v/>
      </c>
      <c r="J4027" s="24" t="str">
        <f aca="true">IF(OR(E4027="",E4027="!!!",F4027="NEW"),"",COUNTBLANK(OFFSET(A$1,,,SUMPRODUCT(MAX(ROW(E$2:E4027)*(E4027=E$2:E4027)))))-COUNTBLANK(OFFSET(A$1,,,SUMPRODUCT(MAX(ROW(E$1:E4026)*(E2=E$1:E4026))))))</f>
        <v/>
      </c>
      <c r="K4027" s="24" t="str">
        <f aca="false">IF(OR(E4027="",E4027="!!!",F4027="NEW"),"",INDEX(J$1:J4026,SUMPRODUCT(MAX(ROW(E$1:E4026)*(E4027=E$1:E4026)))))</f>
        <v/>
      </c>
      <c r="L4027" s="31"/>
    </row>
    <row r="4028" customFormat="false" ht="15" hidden="false" customHeight="false" outlineLevel="0" collapsed="false">
      <c r="A4028" s="20" t="s">
        <v>1772</v>
      </c>
      <c r="E4028" s="23" t="str">
        <f aca="false">IF(D4028="?OLD","!!!","")</f>
        <v/>
      </c>
      <c r="F4028" s="25" t="str">
        <f aca="false">IF(OR(E4028="",E4028="!!!"),"",IF(NOT(ISNA(VLOOKUP(E4028,E$1:E4027,1,FALSE()))),"OLD",IF(AND(E4028&lt;&gt;"",E4028&lt;&gt;"!!!"),"NEW","")))</f>
        <v/>
      </c>
      <c r="G4028" s="26" t="str">
        <f aca="false">IF(OR(E4028="",E4028="!!!"),"",IF(OR(J4028=0,AND(J4028=1,K4028=1),AND(J4028=1,I4028="SBJ"),AND(J4028=1,I4028=0)),"?IN_FOCUS",IF(J4028&lt;=2,"?ACTIVATED",IF(J4028&lt;&gt;"","?FAMILIAR",IF(F4028="NEW",IF(ISNA(VLOOKUP(E4028,#REF!,1,FALSE())),"?TYPE_IDENTIFIABLE","?REFERENTIAL"),"_")))))</f>
        <v/>
      </c>
      <c r="H4028" s="27" t="str">
        <f aca="false">IF(J4028&lt;&gt;1,"",IF(I4028="SBJ","CB","?"))</f>
        <v/>
      </c>
      <c r="I4028" s="24" t="str">
        <f aca="false">IF(OR(E4028="",E4028="!!!",F4028="NEW"),"",INDEX(B3:B$4026,-1+SUMPRODUCT(MAX(ROW(E3:E$4026)*(E4028=E3:E$4026)))))</f>
        <v/>
      </c>
      <c r="J4028" s="24" t="str">
        <f aca="true">IF(OR(E4028="",E4028="!!!",F4028="NEW"),"",COUNTBLANK(OFFSET(A$1,,,SUMPRODUCT(MAX(ROW(E$2:E4028)*(E4028=E$2:E4028)))))-COUNTBLANK(OFFSET(A$1,,,SUMPRODUCT(MAX(ROW(E$1:E4027)*(E2=E$1:E4027))))))</f>
        <v/>
      </c>
      <c r="K4028" s="24" t="str">
        <f aca="false">IF(OR(E4028="",E4028="!!!",F4028="NEW"),"",INDEX(J$1:J4027,SUMPRODUCT(MAX(ROW(E$1:E4027)*(E4028=E$1:E4027)))))</f>
        <v/>
      </c>
      <c r="L4028" s="31"/>
    </row>
    <row r="4029" customFormat="false" ht="15" hidden="false" customHeight="false" outlineLevel="0" collapsed="false">
      <c r="A4029" s="20" t="s">
        <v>1410</v>
      </c>
      <c r="E4029" s="23" t="str">
        <f aca="false">IF(D4029="?OLD","!!!","")</f>
        <v/>
      </c>
      <c r="F4029" s="25" t="str">
        <f aca="false">IF(OR(E4029="",E4029="!!!"),"",IF(NOT(ISNA(VLOOKUP(E4029,E$1:E4028,1,FALSE()))),"OLD",IF(AND(E4029&lt;&gt;"",E4029&lt;&gt;"!!!"),"NEW","")))</f>
        <v/>
      </c>
      <c r="G4029" s="26" t="str">
        <f aca="false">IF(OR(E4029="",E4029="!!!"),"",IF(OR(J4029=0,AND(J4029=1,K4029=1),AND(J4029=1,I4029="SBJ"),AND(J4029=1,I4029=0)),"?IN_FOCUS",IF(J4029&lt;=2,"?ACTIVATED",IF(J4029&lt;&gt;"","?FAMILIAR",IF(F4029="NEW",IF(ISNA(VLOOKUP(E4029,#REF!,1,FALSE())),"?TYPE_IDENTIFIABLE","?REFERENTIAL"),"_")))))</f>
        <v/>
      </c>
      <c r="H4029" s="27" t="str">
        <f aca="false">IF(J4029&lt;&gt;1,"",IF(I4029="SBJ","CB","?"))</f>
        <v/>
      </c>
      <c r="I4029" s="24" t="str">
        <f aca="false">IF(OR(E4029="",E4029="!!!",F4029="NEW"),"",INDEX(B4:B$4026,-1+SUMPRODUCT(MAX(ROW(E4:E$4026)*(E4029=E4:E$4026)))))</f>
        <v/>
      </c>
      <c r="J4029" s="24" t="str">
        <f aca="true">IF(OR(E4029="",E4029="!!!",F4029="NEW"),"",COUNTBLANK(OFFSET(A$1,,,SUMPRODUCT(MAX(ROW(E$2:E4029)*(E4029=E$2:E4029)))))-COUNTBLANK(OFFSET(A$1,,,SUMPRODUCT(MAX(ROW(E$1:E4028)*(E2=E$1:E4028))))))</f>
        <v/>
      </c>
      <c r="K4029" s="24" t="str">
        <f aca="false">IF(OR(E4029="",E4029="!!!",F4029="NEW"),"",INDEX(J$1:J4028,SUMPRODUCT(MAX(ROW(E$1:E4028)*(E4029=E$1:E4028)))))</f>
        <v/>
      </c>
      <c r="L4029" s="31"/>
    </row>
    <row r="4030" customFormat="false" ht="15" hidden="false" customHeight="false" outlineLevel="0" collapsed="false">
      <c r="A4030" s="20" t="s">
        <v>2301</v>
      </c>
      <c r="B4030" s="22" t="s">
        <v>1105</v>
      </c>
      <c r="C4030" s="22" t="s">
        <v>1160</v>
      </c>
      <c r="E4030" s="23" t="str">
        <f aca="false">IF(D4030="?OLD","!!!","")</f>
        <v/>
      </c>
      <c r="F4030" s="25" t="str">
        <f aca="false">IF(OR(E4030="",E4030="!!!"),"",IF(NOT(ISNA(VLOOKUP(E4030,E$1:E4029,1,FALSE()))),"OLD",IF(AND(E4030&lt;&gt;"",E4030&lt;&gt;"!!!"),"NEW","")))</f>
        <v/>
      </c>
      <c r="G4030" s="26" t="str">
        <f aca="false">IF(OR(E4030="",E4030="!!!"),"",IF(OR(J4030=0,AND(J4030=1,K4030=1),AND(J4030=1,I4030="SBJ"),AND(J4030=1,I4030=0)),"?IN_FOCUS",IF(J4030&lt;=2,"?ACTIVATED",IF(J4030&lt;&gt;"","?FAMILIAR",IF(F4030="NEW",IF(ISNA(VLOOKUP(E4030,#REF!,1,FALSE())),"?TYPE_IDENTIFIABLE","?REFERENTIAL"),"_")))))</f>
        <v/>
      </c>
      <c r="H4030" s="27" t="str">
        <f aca="false">IF(J4030&lt;&gt;1,"",IF(I4030="SBJ","CB","?"))</f>
        <v/>
      </c>
      <c r="I4030" s="24" t="str">
        <f aca="false">IF(OR(E4030="",E4030="!!!",F4030="NEW"),"",INDEX(B5:B$4026,-1+SUMPRODUCT(MAX(ROW(E5:E$4026)*(E4030=E5:E$4026)))))</f>
        <v/>
      </c>
      <c r="J4030" s="24" t="str">
        <f aca="true">IF(OR(E4030="",E4030="!!!",F4030="NEW"),"",COUNTBLANK(OFFSET(A$1,,,SUMPRODUCT(MAX(ROW(E$2:E4030)*(E4030=E$2:E4030)))))-COUNTBLANK(OFFSET(A$1,,,SUMPRODUCT(MAX(ROW(E$1:E4029)*(E2=E$1:E4029))))))</f>
        <v/>
      </c>
      <c r="K4030" s="24" t="str">
        <f aca="false">IF(OR(E4030="",E4030="!!!",F4030="NEW"),"",INDEX(J$1:J4029,SUMPRODUCT(MAX(ROW(E$1:E4029)*(E4030=E$1:E4029)))))</f>
        <v/>
      </c>
      <c r="L4030" s="31"/>
    </row>
    <row r="4031" customFormat="false" ht="15" hidden="false" customHeight="false" outlineLevel="0" collapsed="false">
      <c r="A4031" s="20" t="s">
        <v>2302</v>
      </c>
      <c r="E4031" s="23" t="str">
        <f aca="false">IF(D4031="?OLD","!!!","")</f>
        <v/>
      </c>
      <c r="F4031" s="25" t="str">
        <f aca="false">IF(OR(E4031="",E4031="!!!"),"",IF(NOT(ISNA(VLOOKUP(E4031,E$1:E4030,1,FALSE()))),"OLD",IF(AND(E4031&lt;&gt;"",E4031&lt;&gt;"!!!"),"NEW","")))</f>
        <v/>
      </c>
      <c r="G4031" s="26" t="str">
        <f aca="false">IF(OR(E4031="",E4031="!!!"),"",IF(OR(J4031=0,AND(J4031=1,K4031=1),AND(J4031=1,I4031="SBJ"),AND(J4031=1,I4031=0)),"?IN_FOCUS",IF(J4031&lt;=2,"?ACTIVATED",IF(J4031&lt;&gt;"","?FAMILIAR",IF(F4031="NEW",IF(ISNA(VLOOKUP(E4031,#REF!,1,FALSE())),"?TYPE_IDENTIFIABLE","?REFERENTIAL"),"_")))))</f>
        <v/>
      </c>
      <c r="H4031" s="27" t="str">
        <f aca="false">IF(J4031&lt;&gt;1,"",IF(I4031="SBJ","CB","?"))</f>
        <v/>
      </c>
      <c r="I4031" s="24" t="str">
        <f aca="false">IF(OR(E4031="",E4031="!!!",F4031="NEW"),"",INDEX(B6:B$4026,-1+SUMPRODUCT(MAX(ROW(E6:E$4026)*(E4031=E6:E$4026)))))</f>
        <v/>
      </c>
      <c r="J4031" s="24" t="str">
        <f aca="true">IF(OR(E4031="",E4031="!!!",F4031="NEW"),"",COUNTBLANK(OFFSET(A$1,,,SUMPRODUCT(MAX(ROW(E$2:E4031)*(E4031=E$2:E4031)))))-COUNTBLANK(OFFSET(A$1,,,SUMPRODUCT(MAX(ROW(E$1:E4030)*(E2=E$1:E4030))))))</f>
        <v/>
      </c>
      <c r="K4031" s="24" t="str">
        <f aca="false">IF(OR(E4031="",E4031="!!!",F4031="NEW"),"",INDEX(J$1:J4030,SUMPRODUCT(MAX(ROW(E$1:E4030)*(E4031=E$1:E4030)))))</f>
        <v/>
      </c>
      <c r="L4031" s="31"/>
    </row>
    <row r="4032" customFormat="false" ht="15" hidden="false" customHeight="false" outlineLevel="0" collapsed="false">
      <c r="A4032" s="20" t="s">
        <v>1157</v>
      </c>
      <c r="E4032" s="23" t="str">
        <f aca="false">IF(D4032="?OLD","!!!","")</f>
        <v/>
      </c>
      <c r="F4032" s="25" t="str">
        <f aca="false">IF(OR(E4032="",E4032="!!!"),"",IF(NOT(ISNA(VLOOKUP(E4032,E$1:E4031,1,FALSE()))),"OLD",IF(AND(E4032&lt;&gt;"",E4032&lt;&gt;"!!!"),"NEW","")))</f>
        <v/>
      </c>
      <c r="G4032" s="26" t="str">
        <f aca="false">IF(OR(E4032="",E4032="!!!"),"",IF(OR(J4032=0,AND(J4032=1,K4032=1),AND(J4032=1,I4032="SBJ"),AND(J4032=1,I4032=0)),"?IN_FOCUS",IF(J4032&lt;=2,"?ACTIVATED",IF(J4032&lt;&gt;"","?FAMILIAR",IF(F4032="NEW",IF(ISNA(VLOOKUP(E4032,#REF!,1,FALSE())),"?TYPE_IDENTIFIABLE","?REFERENTIAL"),"_")))))</f>
        <v/>
      </c>
      <c r="H4032" s="27" t="str">
        <f aca="false">IF(J4032&lt;&gt;1,"",IF(I4032="SBJ","CB","?"))</f>
        <v/>
      </c>
      <c r="I4032" s="24" t="str">
        <f aca="false">IF(OR(E4032="",E4032="!!!",F4032="NEW"),"",INDEX(B7:B$4026,-1+SUMPRODUCT(MAX(ROW(E7:E$4026)*(E4032=E7:E$4026)))))</f>
        <v/>
      </c>
      <c r="J4032" s="24" t="str">
        <f aca="true">IF(OR(E4032="",E4032="!!!",F4032="NEW"),"",COUNTBLANK(OFFSET(A$1,,,SUMPRODUCT(MAX(ROW(E$2:E4032)*(E4032=E$2:E4032)))))-COUNTBLANK(OFFSET(A$1,,,SUMPRODUCT(MAX(ROW(E$1:E4031)*(E2=E$1:E4031))))))</f>
        <v/>
      </c>
      <c r="K4032" s="24" t="str">
        <f aca="false">IF(OR(E4032="",E4032="!!!",F4032="NEW"),"",INDEX(J$1:J4031,SUMPRODUCT(MAX(ROW(E$1:E4031)*(E4032=E$1:E4031)))))</f>
        <v/>
      </c>
      <c r="L4032" s="31"/>
    </row>
    <row r="4033" customFormat="false" ht="15" hidden="false" customHeight="false" outlineLevel="0" collapsed="false">
      <c r="A4033" s="20" t="s">
        <v>1584</v>
      </c>
      <c r="B4033" s="22" t="s">
        <v>1091</v>
      </c>
      <c r="C4033" s="22" t="s">
        <v>1082</v>
      </c>
      <c r="D4033" s="22" t="s">
        <v>1060</v>
      </c>
      <c r="E4033" s="23" t="str">
        <f aca="false">IF(D4033="?OLD","!!!","")</f>
        <v>!!!</v>
      </c>
      <c r="F4033" s="25" t="str">
        <f aca="false">IF(OR(E4033="",E4033="!!!"),"",IF(NOT(ISNA(VLOOKUP(E4033,E$1:E4032,1,FALSE()))),"OLD",IF(AND(E4033&lt;&gt;"",E4033&lt;&gt;"!!!"),"NEW","")))</f>
        <v/>
      </c>
      <c r="G4033" s="26" t="str">
        <f aca="false">IF(OR(E4033="",E4033="!!!"),"",IF(OR(J4033=0,AND(J4033=1,K4033=1),AND(J4033=1,I4033="SBJ"),AND(J4033=1,I4033=0)),"?IN_FOCUS",IF(J4033&lt;=2,"?ACTIVATED",IF(J4033&lt;&gt;"","?FAMILIAR",IF(F4033="NEW",IF(ISNA(VLOOKUP(E4033,#REF!,1,FALSE())),"?TYPE_IDENTIFIABLE","?REFERENTIAL"),"_")))))</f>
        <v/>
      </c>
      <c r="H4033" s="27" t="str">
        <f aca="false">IF(J4033&lt;&gt;1,"",IF(I4033="SBJ","CB","?"))</f>
        <v/>
      </c>
      <c r="I4033" s="24" t="str">
        <f aca="false">IF(OR(E4033="",E4033="!!!",F4033="NEW"),"",INDEX(B8:B$4026,-1+SUMPRODUCT(MAX(ROW(E8:E$4026)*(E4033=E8:E$4026)))))</f>
        <v/>
      </c>
      <c r="J4033" s="24" t="str">
        <f aca="true">IF(OR(E4033="",E4033="!!!",F4033="NEW"),"",COUNTBLANK(OFFSET(A$1,,,SUMPRODUCT(MAX(ROW(E$2:E4033)*(E4033=E$2:E4033)))))-COUNTBLANK(OFFSET(A$1,,,SUMPRODUCT(MAX(ROW(E$1:E4032)*(E2=E$1:E4032))))))</f>
        <v/>
      </c>
      <c r="K4033" s="24" t="str">
        <f aca="false">IF(OR(E4033="",E4033="!!!",F4033="NEW"),"",INDEX(J$1:J4032,SUMPRODUCT(MAX(ROW(E$1:E4032)*(E4033=E$1:E4032)))))</f>
        <v/>
      </c>
      <c r="L4033" s="31"/>
    </row>
    <row r="4034" customFormat="false" ht="15" hidden="false" customHeight="false" outlineLevel="0" collapsed="false">
      <c r="A4034" s="20" t="s">
        <v>2303</v>
      </c>
      <c r="E4034" s="23" t="str">
        <f aca="false">IF(D4034="?OLD","!!!","")</f>
        <v/>
      </c>
      <c r="F4034" s="25" t="str">
        <f aca="false">IF(OR(E4034="",E4034="!!!"),"",IF(NOT(ISNA(VLOOKUP(E4034,E$1:E4033,1,FALSE()))),"OLD",IF(AND(E4034&lt;&gt;"",E4034&lt;&gt;"!!!"),"NEW","")))</f>
        <v/>
      </c>
      <c r="G4034" s="26" t="str">
        <f aca="false">IF(OR(E4034="",E4034="!!!"),"",IF(OR(J4034=0,AND(J4034=1,K4034=1),AND(J4034=1,I4034="SBJ"),AND(J4034=1,I4034=0)),"?IN_FOCUS",IF(J4034&lt;=2,"?ACTIVATED",IF(J4034&lt;&gt;"","?FAMILIAR",IF(F4034="NEW",IF(ISNA(VLOOKUP(E4034,#REF!,1,FALSE())),"?TYPE_IDENTIFIABLE","?REFERENTIAL"),"_")))))</f>
        <v/>
      </c>
      <c r="H4034" s="27" t="str">
        <f aca="false">IF(J4034&lt;&gt;1,"",IF(I4034="SBJ","CB","?"))</f>
        <v/>
      </c>
      <c r="I4034" s="24" t="str">
        <f aca="false">IF(OR(E4034="",E4034="!!!",F4034="NEW"),"",INDEX(B9:B$4026,-1+SUMPRODUCT(MAX(ROW(E9:E$4026)*(E4034=E9:E$4026)))))</f>
        <v/>
      </c>
      <c r="J4034" s="24" t="str">
        <f aca="true">IF(OR(E4034="",E4034="!!!",F4034="NEW"),"",COUNTBLANK(OFFSET(A$1,,,SUMPRODUCT(MAX(ROW(E$2:E4034)*(E4034=E$2:E4034)))))-COUNTBLANK(OFFSET(A$1,,,SUMPRODUCT(MAX(ROW(E$1:E4033)*(E2=E$1:E4033))))))</f>
        <v/>
      </c>
      <c r="K4034" s="24" t="str">
        <f aca="false">IF(OR(E4034="",E4034="!!!",F4034="NEW"),"",INDEX(J$1:J4033,SUMPRODUCT(MAX(ROW(E$1:E4033)*(E4034=E$1:E4033)))))</f>
        <v/>
      </c>
      <c r="L4034" s="31"/>
    </row>
    <row r="4035" customFormat="false" ht="15" hidden="false" customHeight="false" outlineLevel="0" collapsed="false">
      <c r="A4035" s="20" t="s">
        <v>923</v>
      </c>
      <c r="E4035" s="23" t="str">
        <f aca="false">IF(D4035="?OLD","!!!","")</f>
        <v/>
      </c>
      <c r="F4035" s="25" t="str">
        <f aca="false">IF(OR(E4035="",E4035="!!!"),"",IF(NOT(ISNA(VLOOKUP(E4035,E$1:E4034,1,FALSE()))),"OLD",IF(AND(E4035&lt;&gt;"",E4035&lt;&gt;"!!!"),"NEW","")))</f>
        <v/>
      </c>
      <c r="G4035" s="26" t="str">
        <f aca="false">IF(OR(E4035="",E4035="!!!"),"",IF(OR(J4035=0,AND(J4035=1,K4035=1),AND(J4035=1,I4035="SBJ"),AND(J4035=1,I4035=0)),"?IN_FOCUS",IF(J4035&lt;=2,"?ACTIVATED",IF(J4035&lt;&gt;"","?FAMILIAR",IF(F4035="NEW",IF(ISNA(VLOOKUP(E4035,#REF!,1,FALSE())),"?TYPE_IDENTIFIABLE","?REFERENTIAL"),"_")))))</f>
        <v/>
      </c>
      <c r="H4035" s="27" t="str">
        <f aca="false">IF(J4035&lt;&gt;1,"",IF(I4035="SBJ","CB","?"))</f>
        <v/>
      </c>
      <c r="I4035" s="24" t="str">
        <f aca="false">IF(OR(E4035="",E4035="!!!",F4035="NEW"),"",INDEX(B10:B$4026,-1+SUMPRODUCT(MAX(ROW(E10:E$4026)*(E4035=E10:E$4026)))))</f>
        <v/>
      </c>
      <c r="J4035" s="24" t="str">
        <f aca="true">IF(OR(E4035="",E4035="!!!",F4035="NEW"),"",COUNTBLANK(OFFSET(A$1,,,SUMPRODUCT(MAX(ROW(E$2:E4035)*(E4035=E$2:E4035)))))-COUNTBLANK(OFFSET(A$1,,,SUMPRODUCT(MAX(ROW(E$1:E4034)*(E2=E$1:E4034))))))</f>
        <v/>
      </c>
      <c r="K4035" s="24" t="str">
        <f aca="false">IF(OR(E4035="",E4035="!!!",F4035="NEW"),"",INDEX(J$1:J4034,SUMPRODUCT(MAX(ROW(E$1:E4034)*(E4035=E$1:E4034)))))</f>
        <v/>
      </c>
      <c r="L4035" s="31"/>
    </row>
    <row r="4036" customFormat="false" ht="15" hidden="false" customHeight="false" outlineLevel="0" collapsed="false">
      <c r="A4036" s="20"/>
    </row>
    <row r="4037" customFormat="false" ht="15" hidden="false" customHeight="false" outlineLevel="0" collapsed="false">
      <c r="A4037" s="20" t="s">
        <v>1301</v>
      </c>
      <c r="E4037" s="23" t="str">
        <f aca="false">IF(D4037="?OLD","!!!","")</f>
        <v/>
      </c>
      <c r="F4037" s="25" t="str">
        <f aca="false">IF(OR(E4037="",E4037="!!!"),"",IF(NOT(ISNA(VLOOKUP(E4037,E$1:E4036,1,FALSE()))),"OLD",IF(AND(E4037&lt;&gt;"",E4037&lt;&gt;"!!!"),"NEW","")))</f>
        <v/>
      </c>
      <c r="G4037" s="26" t="str">
        <f aca="false">IF(OR(E4037="",E4037="!!!"),"",IF(OR(J4037=0,AND(J4037=1,K4037=1),AND(J4037=1,I4037="SBJ"),AND(J4037=1,I4037=0)),"?IN_FOCUS",IF(J4037&lt;=2,"?ACTIVATED",IF(J4037&lt;&gt;"","?FAMILIAR",IF(F4037="NEW",IF(ISNA(VLOOKUP(E4037,#REF!,1,FALSE())),"?TYPE_IDENTIFIABLE","?REFERENTIAL"),"_")))))</f>
        <v/>
      </c>
      <c r="H4037" s="27" t="str">
        <f aca="false">IF(J4037&lt;&gt;1,"",IF(I4037="SBJ","CB","?"))</f>
        <v/>
      </c>
      <c r="I4037" s="24" t="str">
        <f aca="false">IF(OR(E4037="",E4037="!!!",F4037="NEW"),"",INDEX(B2:B$4036,-1+SUMPRODUCT(MAX(ROW(E2:E$4036)*(E4037=E2:E$4036)))))</f>
        <v/>
      </c>
      <c r="J4037" s="24" t="str">
        <f aca="true">IF(OR(E4037="",E4037="!!!",F4037="NEW"),"",COUNTBLANK(OFFSET(A$1,,,SUMPRODUCT(MAX(ROW(E$2:E4037)*(E4037=E$2:E4037)))))-COUNTBLANK(OFFSET(A$1,,,SUMPRODUCT(MAX(ROW(E$1:E4036)*(E2=E$1:E4036))))))</f>
        <v/>
      </c>
      <c r="K4037" s="24" t="str">
        <f aca="false">IF(OR(E4037="",E4037="!!!",F4037="NEW"),"",INDEX(J$1:J4036,SUMPRODUCT(MAX(ROW(E$1:E4036)*(E4037=E$1:E4036)))))</f>
        <v/>
      </c>
      <c r="L4037" s="31"/>
    </row>
    <row r="4038" customFormat="false" ht="15" hidden="false" customHeight="false" outlineLevel="0" collapsed="false">
      <c r="A4038" s="20" t="s">
        <v>2304</v>
      </c>
    </row>
    <row r="4039" customFormat="false" ht="15" hidden="false" customHeight="false" outlineLevel="0" collapsed="false">
      <c r="A4039" s="20" t="s">
        <v>607</v>
      </c>
      <c r="E4039" s="23" t="str">
        <f aca="false">IF(D4039="?OLD","!!!","")</f>
        <v/>
      </c>
      <c r="F4039" s="25" t="str">
        <f aca="false">IF(OR(E4039="",E4039="!!!"),"",IF(NOT(ISNA(VLOOKUP(E4039,E$1:E4038,1,FALSE()))),"OLD",IF(AND(E4039&lt;&gt;"",E4039&lt;&gt;"!!!"),"NEW","")))</f>
        <v/>
      </c>
      <c r="G4039" s="26" t="str">
        <f aca="false">IF(OR(E4039="",E4039="!!!"),"",IF(OR(J4039=0,AND(J4039=1,K4039=1),AND(J4039=1,I4039="SBJ"),AND(J4039=1,I4039=0)),"?IN_FOCUS",IF(J4039&lt;=2,"?ACTIVATED",IF(J4039&lt;&gt;"","?FAMILIAR",IF(F4039="NEW",IF(ISNA(VLOOKUP(E4039,#REF!,1,FALSE())),"?TYPE_IDENTIFIABLE","?REFERENTIAL"),"_")))))</f>
        <v/>
      </c>
      <c r="H4039" s="27" t="str">
        <f aca="false">IF(J4039&lt;&gt;1,"",IF(I4039="SBJ","CB","?"))</f>
        <v/>
      </c>
      <c r="I4039" s="24" t="str">
        <f aca="false">IF(OR(E4039="",E4039="!!!",F4039="NEW"),"",INDEX(B2:B$4038,-1+SUMPRODUCT(MAX(ROW(E2:E$4038)*(E4039=E2:E$4038)))))</f>
        <v/>
      </c>
      <c r="J4039" s="24" t="str">
        <f aca="true">IF(OR(E4039="",E4039="!!!",F4039="NEW"),"",COUNTBLANK(OFFSET(A$1,,,SUMPRODUCT(MAX(ROW(E$2:E4039)*(E4039=E$2:E4039)))))-COUNTBLANK(OFFSET(A$1,,,SUMPRODUCT(MAX(ROW(E$1:E4038)*(E2=E$1:E4038))))))</f>
        <v/>
      </c>
      <c r="K4039" s="24" t="str">
        <f aca="false">IF(OR(E4039="",E4039="!!!",F4039="NEW"),"",INDEX(J$1:J4038,SUMPRODUCT(MAX(ROW(E$1:E4038)*(E4039=E$1:E4038)))))</f>
        <v/>
      </c>
      <c r="L4039" s="31"/>
    </row>
    <row r="4040" customFormat="false" ht="15" hidden="false" customHeight="false" outlineLevel="0" collapsed="false">
      <c r="A4040" s="20" t="s">
        <v>1335</v>
      </c>
      <c r="B4040" s="22" t="s">
        <v>1086</v>
      </c>
      <c r="C4040" s="22" t="s">
        <v>1082</v>
      </c>
      <c r="D4040" s="22" t="s">
        <v>1060</v>
      </c>
      <c r="E4040" s="23" t="str">
        <f aca="false">IF(D4040="?OLD","!!!","")</f>
        <v>!!!</v>
      </c>
      <c r="F4040" s="25" t="str">
        <f aca="false">IF(OR(E4040="",E4040="!!!"),"",IF(NOT(ISNA(VLOOKUP(E4040,E$1:E4039,1,FALSE()))),"OLD",IF(AND(E4040&lt;&gt;"",E4040&lt;&gt;"!!!"),"NEW","")))</f>
        <v/>
      </c>
      <c r="G4040" s="26" t="str">
        <f aca="false">IF(OR(E4040="",E4040="!!!"),"",IF(OR(J4040=0,AND(J4040=1,K4040=1),AND(J4040=1,I4040="SBJ"),AND(J4040=1,I4040=0)),"?IN_FOCUS",IF(J4040&lt;=2,"?ACTIVATED",IF(J4040&lt;&gt;"","?FAMILIAR",IF(F4040="NEW",IF(ISNA(VLOOKUP(E4040,#REF!,1,FALSE())),"?TYPE_IDENTIFIABLE","?REFERENTIAL"),"_")))))</f>
        <v/>
      </c>
      <c r="H4040" s="27" t="str">
        <f aca="false">IF(J4040&lt;&gt;1,"",IF(I4040="SBJ","CB","?"))</f>
        <v/>
      </c>
      <c r="I4040" s="24" t="str">
        <f aca="false">IF(OR(E4040="",E4040="!!!",F4040="NEW"),"",INDEX(B3:B$4038,-1+SUMPRODUCT(MAX(ROW(E3:E$4038)*(E4040=E3:E$4038)))))</f>
        <v/>
      </c>
      <c r="J4040" s="24" t="str">
        <f aca="true">IF(OR(E4040="",E4040="!!!",F4040="NEW"),"",COUNTBLANK(OFFSET(A$1,,,SUMPRODUCT(MAX(ROW(E$2:E4040)*(E4040=E$2:E4040)))))-COUNTBLANK(OFFSET(A$1,,,SUMPRODUCT(MAX(ROW(E$1:E4039)*(E2=E$1:E4039))))))</f>
        <v/>
      </c>
      <c r="K4040" s="24" t="str">
        <f aca="false">IF(OR(E4040="",E4040="!!!",F4040="NEW"),"",INDEX(J$1:J4039,SUMPRODUCT(MAX(ROW(E$1:E4039)*(E4040=E$1:E4039)))))</f>
        <v/>
      </c>
      <c r="L4040" s="31"/>
    </row>
    <row r="4041" customFormat="false" ht="15" hidden="false" customHeight="false" outlineLevel="0" collapsed="false">
      <c r="A4041" s="20" t="s">
        <v>2305</v>
      </c>
      <c r="E4041" s="23" t="str">
        <f aca="false">IF(D4041="?OLD","!!!","")</f>
        <v/>
      </c>
      <c r="F4041" s="25" t="str">
        <f aca="false">IF(OR(E4041="",E4041="!!!"),"",IF(NOT(ISNA(VLOOKUP(E4041,E$1:E4040,1,FALSE()))),"OLD",IF(AND(E4041&lt;&gt;"",E4041&lt;&gt;"!!!"),"NEW","")))</f>
        <v/>
      </c>
      <c r="G4041" s="26" t="str">
        <f aca="false">IF(OR(E4041="",E4041="!!!"),"",IF(OR(J4041=0,AND(J4041=1,K4041=1),AND(J4041=1,I4041="SBJ"),AND(J4041=1,I4041=0)),"?IN_FOCUS",IF(J4041&lt;=2,"?ACTIVATED",IF(J4041&lt;&gt;"","?FAMILIAR",IF(F4041="NEW",IF(ISNA(VLOOKUP(E4041,#REF!,1,FALSE())),"?TYPE_IDENTIFIABLE","?REFERENTIAL"),"_")))))</f>
        <v/>
      </c>
      <c r="H4041" s="27" t="str">
        <f aca="false">IF(J4041&lt;&gt;1,"",IF(I4041="SBJ","CB","?"))</f>
        <v/>
      </c>
      <c r="I4041" s="24" t="str">
        <f aca="false">IF(OR(E4041="",E4041="!!!",F4041="NEW"),"",INDEX(B4:B$4038,-1+SUMPRODUCT(MAX(ROW(E4:E$4038)*(E4041=E4:E$4038)))))</f>
        <v/>
      </c>
      <c r="J4041" s="24" t="str">
        <f aca="true">IF(OR(E4041="",E4041="!!!",F4041="NEW"),"",COUNTBLANK(OFFSET(A$1,,,SUMPRODUCT(MAX(ROW(E$2:E4041)*(E4041=E$2:E4041)))))-COUNTBLANK(OFFSET(A$1,,,SUMPRODUCT(MAX(ROW(E$1:E4040)*(E2=E$1:E4040))))))</f>
        <v/>
      </c>
      <c r="K4041" s="24" t="str">
        <f aca="false">IF(OR(E4041="",E4041="!!!",F4041="NEW"),"",INDEX(J$1:J4040,SUMPRODUCT(MAX(ROW(E$1:E4040)*(E4041=E$1:E4040)))))</f>
        <v/>
      </c>
      <c r="L4041" s="31"/>
    </row>
    <row r="4042" customFormat="false" ht="15" hidden="false" customHeight="false" outlineLevel="0" collapsed="false">
      <c r="A4042" s="20" t="s">
        <v>1137</v>
      </c>
      <c r="B4042" s="22" t="s">
        <v>1142</v>
      </c>
      <c r="C4042" s="22" t="s">
        <v>1082</v>
      </c>
      <c r="D4042" s="22" t="s">
        <v>1060</v>
      </c>
      <c r="E4042" s="23" t="str">
        <f aca="false">IF(D4042="?OLD","!!!","")</f>
        <v>!!!</v>
      </c>
      <c r="F4042" s="25" t="str">
        <f aca="false">IF(OR(E4042="",E4042="!!!"),"",IF(NOT(ISNA(VLOOKUP(E4042,E$1:E4041,1,FALSE()))),"OLD",IF(AND(E4042&lt;&gt;"",E4042&lt;&gt;"!!!"),"NEW","")))</f>
        <v/>
      </c>
      <c r="G4042" s="26" t="str">
        <f aca="false">IF(OR(E4042="",E4042="!!!"),"",IF(OR(J4042=0,AND(J4042=1,K4042=1),AND(J4042=1,I4042="SBJ"),AND(J4042=1,I4042=0)),"?IN_FOCUS",IF(J4042&lt;=2,"?ACTIVATED",IF(J4042&lt;&gt;"","?FAMILIAR",IF(F4042="NEW",IF(ISNA(VLOOKUP(E4042,#REF!,1,FALSE())),"?TYPE_IDENTIFIABLE","?REFERENTIAL"),"_")))))</f>
        <v/>
      </c>
      <c r="H4042" s="27" t="str">
        <f aca="false">IF(J4042&lt;&gt;1,"",IF(I4042="SBJ","CB","?"))</f>
        <v/>
      </c>
      <c r="I4042" s="24" t="str">
        <f aca="false">IF(OR(E4042="",E4042="!!!",F4042="NEW"),"",INDEX(B5:B$4038,-1+SUMPRODUCT(MAX(ROW(E5:E$4038)*(E4042=E5:E$4038)))))</f>
        <v/>
      </c>
      <c r="J4042" s="24" t="str">
        <f aca="true">IF(OR(E4042="",E4042="!!!",F4042="NEW"),"",COUNTBLANK(OFFSET(A$1,,,SUMPRODUCT(MAX(ROW(E$2:E4042)*(E4042=E$2:E4042)))))-COUNTBLANK(OFFSET(A$1,,,SUMPRODUCT(MAX(ROW(E$1:E4041)*(E2=E$1:E4041))))))</f>
        <v/>
      </c>
      <c r="K4042" s="24" t="str">
        <f aca="false">IF(OR(E4042="",E4042="!!!",F4042="NEW"),"",INDEX(J$1:J4041,SUMPRODUCT(MAX(ROW(E$1:E4041)*(E4042=E$1:E4041)))))</f>
        <v/>
      </c>
      <c r="L4042" s="31"/>
    </row>
    <row r="4043" customFormat="false" ht="15" hidden="false" customHeight="false" outlineLevel="0" collapsed="false">
      <c r="A4043" s="20" t="s">
        <v>1117</v>
      </c>
      <c r="E4043" s="23" t="str">
        <f aca="false">IF(D4043="?OLD","!!!","")</f>
        <v/>
      </c>
      <c r="F4043" s="25" t="str">
        <f aca="false">IF(OR(E4043="",E4043="!!!"),"",IF(NOT(ISNA(VLOOKUP(E4043,E$1:E4042,1,FALSE()))),"OLD",IF(AND(E4043&lt;&gt;"",E4043&lt;&gt;"!!!"),"NEW","")))</f>
        <v/>
      </c>
      <c r="G4043" s="26" t="str">
        <f aca="false">IF(OR(E4043="",E4043="!!!"),"",IF(OR(J4043=0,AND(J4043=1,K4043=1),AND(J4043=1,I4043="SBJ"),AND(J4043=1,I4043=0)),"?IN_FOCUS",IF(J4043&lt;=2,"?ACTIVATED",IF(J4043&lt;&gt;"","?FAMILIAR",IF(F4043="NEW",IF(ISNA(VLOOKUP(E4043,#REF!,1,FALSE())),"?TYPE_IDENTIFIABLE","?REFERENTIAL"),"_")))))</f>
        <v/>
      </c>
      <c r="H4043" s="27" t="str">
        <f aca="false">IF(J4043&lt;&gt;1,"",IF(I4043="SBJ","CB","?"))</f>
        <v/>
      </c>
      <c r="I4043" s="24" t="str">
        <f aca="false">IF(OR(E4043="",E4043="!!!",F4043="NEW"),"",INDEX(B6:B$4038,-1+SUMPRODUCT(MAX(ROW(E6:E$4038)*(E4043=E6:E$4038)))))</f>
        <v/>
      </c>
      <c r="J4043" s="24" t="str">
        <f aca="true">IF(OR(E4043="",E4043="!!!",F4043="NEW"),"",COUNTBLANK(OFFSET(A$1,,,SUMPRODUCT(MAX(ROW(E$2:E4043)*(E4043=E$2:E4043)))))-COUNTBLANK(OFFSET(A$1,,,SUMPRODUCT(MAX(ROW(E$1:E4042)*(E2=E$1:E4042))))))</f>
        <v/>
      </c>
      <c r="K4043" s="24" t="str">
        <f aca="false">IF(OR(E4043="",E4043="!!!",F4043="NEW"),"",INDEX(J$1:J4042,SUMPRODUCT(MAX(ROW(E$1:E4042)*(E4043=E$1:E4042)))))</f>
        <v/>
      </c>
      <c r="L4043" s="31"/>
    </row>
    <row r="4044" customFormat="false" ht="15" hidden="false" customHeight="false" outlineLevel="0" collapsed="false">
      <c r="A4044" s="20" t="s">
        <v>82</v>
      </c>
      <c r="E4044" s="23" t="str">
        <f aca="false">IF(D4044="?OLD","!!!","")</f>
        <v/>
      </c>
      <c r="F4044" s="25" t="str">
        <f aca="false">IF(OR(E4044="",E4044="!!!"),"",IF(NOT(ISNA(VLOOKUP(E4044,E$1:E4043,1,FALSE()))),"OLD",IF(AND(E4044&lt;&gt;"",E4044&lt;&gt;"!!!"),"NEW","")))</f>
        <v/>
      </c>
      <c r="G4044" s="26" t="str">
        <f aca="false">IF(OR(E4044="",E4044="!!!"),"",IF(OR(J4044=0,AND(J4044=1,K4044=1),AND(J4044=1,I4044="SBJ"),AND(J4044=1,I4044=0)),"?IN_FOCUS",IF(J4044&lt;=2,"?ACTIVATED",IF(J4044&lt;&gt;"","?FAMILIAR",IF(F4044="NEW",IF(ISNA(VLOOKUP(E4044,#REF!,1,FALSE())),"?TYPE_IDENTIFIABLE","?REFERENTIAL"),"_")))))</f>
        <v/>
      </c>
      <c r="H4044" s="27" t="str">
        <f aca="false">IF(J4044&lt;&gt;1,"",IF(I4044="SBJ","CB","?"))</f>
        <v/>
      </c>
      <c r="I4044" s="24" t="str">
        <f aca="false">IF(OR(E4044="",E4044="!!!",F4044="NEW"),"",INDEX(B7:B$4038,-1+SUMPRODUCT(MAX(ROW(E7:E$4038)*(E4044=E7:E$4038)))))</f>
        <v/>
      </c>
      <c r="J4044" s="24" t="str">
        <f aca="true">IF(OR(E4044="",E4044="!!!",F4044="NEW"),"",COUNTBLANK(OFFSET(A$1,,,SUMPRODUCT(MAX(ROW(E$2:E4044)*(E4044=E$2:E4044)))))-COUNTBLANK(OFFSET(A$1,,,SUMPRODUCT(MAX(ROW(E$1:E4043)*(E2=E$1:E4043))))))</f>
        <v/>
      </c>
      <c r="K4044" s="24" t="str">
        <f aca="false">IF(OR(E4044="",E4044="!!!",F4044="NEW"),"",INDEX(J$1:J4043,SUMPRODUCT(MAX(ROW(E$1:E4043)*(E4044=E$1:E4043)))))</f>
        <v/>
      </c>
      <c r="L4044" s="31"/>
    </row>
    <row r="4045" customFormat="false" ht="15" hidden="false" customHeight="false" outlineLevel="0" collapsed="false">
      <c r="A4045" s="20" t="s">
        <v>1393</v>
      </c>
      <c r="B4045" s="22" t="s">
        <v>1073</v>
      </c>
      <c r="C4045" s="22" t="s">
        <v>1389</v>
      </c>
      <c r="E4045" s="23" t="str">
        <f aca="false">IF(D4045="?OLD","!!!","")</f>
        <v/>
      </c>
      <c r="F4045" s="25" t="str">
        <f aca="false">IF(OR(E4045="",E4045="!!!"),"",IF(NOT(ISNA(VLOOKUP(E4045,E$1:E4044,1,FALSE()))),"OLD",IF(AND(E4045&lt;&gt;"",E4045&lt;&gt;"!!!"),"NEW","")))</f>
        <v/>
      </c>
      <c r="G4045" s="26" t="str">
        <f aca="false">IF(OR(E4045="",E4045="!!!"),"",IF(OR(J4045=0,AND(J4045=1,K4045=1),AND(J4045=1,I4045="SBJ"),AND(J4045=1,I4045=0)),"?IN_FOCUS",IF(J4045&lt;=2,"?ACTIVATED",IF(J4045&lt;&gt;"","?FAMILIAR",IF(F4045="NEW",IF(ISNA(VLOOKUP(E4045,#REF!,1,FALSE())),"?TYPE_IDENTIFIABLE","?REFERENTIAL"),"_")))))</f>
        <v/>
      </c>
      <c r="H4045" s="27" t="str">
        <f aca="false">IF(J4045&lt;&gt;1,"",IF(I4045="SBJ","CB","?"))</f>
        <v/>
      </c>
      <c r="I4045" s="24" t="str">
        <f aca="false">IF(OR(E4045="",E4045="!!!",F4045="NEW"),"",INDEX(B8:B$4038,-1+SUMPRODUCT(MAX(ROW(E8:E$4038)*(E4045=E8:E$4038)))))</f>
        <v/>
      </c>
      <c r="J4045" s="24" t="str">
        <f aca="true">IF(OR(E4045="",E4045="!!!",F4045="NEW"),"",COUNTBLANK(OFFSET(A$1,,,SUMPRODUCT(MAX(ROW(E$2:E4045)*(E4045=E$2:E4045)))))-COUNTBLANK(OFFSET(A$1,,,SUMPRODUCT(MAX(ROW(E$1:E4044)*(E2=E$1:E4044))))))</f>
        <v/>
      </c>
      <c r="K4045" s="24" t="str">
        <f aca="false">IF(OR(E4045="",E4045="!!!",F4045="NEW"),"",INDEX(J$1:J4044,SUMPRODUCT(MAX(ROW(E$1:E4044)*(E4045=E$1:E4044)))))</f>
        <v/>
      </c>
      <c r="L4045" s="31"/>
    </row>
    <row r="4046" customFormat="false" ht="15" hidden="false" customHeight="false" outlineLevel="0" collapsed="false">
      <c r="A4046" s="20" t="s">
        <v>1076</v>
      </c>
      <c r="E4046" s="23" t="str">
        <f aca="false">IF(D4046="?OLD","!!!","")</f>
        <v/>
      </c>
      <c r="F4046" s="25" t="str">
        <f aca="false">IF(OR(E4046="",E4046="!!!"),"",IF(NOT(ISNA(VLOOKUP(E4046,E$1:E4045,1,FALSE()))),"OLD",IF(AND(E4046&lt;&gt;"",E4046&lt;&gt;"!!!"),"NEW","")))</f>
        <v/>
      </c>
      <c r="G4046" s="26" t="str">
        <f aca="false">IF(OR(E4046="",E4046="!!!"),"",IF(OR(J4046=0,AND(J4046=1,K4046=1),AND(J4046=1,I4046="SBJ"),AND(J4046=1,I4046=0)),"?IN_FOCUS",IF(J4046&lt;=2,"?ACTIVATED",IF(J4046&lt;&gt;"","?FAMILIAR",IF(F4046="NEW",IF(ISNA(VLOOKUP(E4046,#REF!,1,FALSE())),"?TYPE_IDENTIFIABLE","?REFERENTIAL"),"_")))))</f>
        <v/>
      </c>
      <c r="H4046" s="27" t="str">
        <f aca="false">IF(J4046&lt;&gt;1,"",IF(I4046="SBJ","CB","?"))</f>
        <v/>
      </c>
      <c r="I4046" s="24" t="str">
        <f aca="false">IF(OR(E4046="",E4046="!!!",F4046="NEW"),"",INDEX(B9:B$4038,-1+SUMPRODUCT(MAX(ROW(E9:E$4038)*(E4046=E9:E$4038)))))</f>
        <v/>
      </c>
      <c r="J4046" s="24" t="str">
        <f aca="true">IF(OR(E4046="",E4046="!!!",F4046="NEW"),"",COUNTBLANK(OFFSET(A$1,,,SUMPRODUCT(MAX(ROW(E$2:E4046)*(E4046=E$2:E4046)))))-COUNTBLANK(OFFSET(A$1,,,SUMPRODUCT(MAX(ROW(E$1:E4045)*(E2=E$1:E4045))))))</f>
        <v/>
      </c>
      <c r="K4046" s="24" t="str">
        <f aca="false">IF(OR(E4046="",E4046="!!!",F4046="NEW"),"",INDEX(J$1:J4045,SUMPRODUCT(MAX(ROW(E$1:E4045)*(E4046=E$1:E4045)))))</f>
        <v/>
      </c>
      <c r="L4046" s="31"/>
    </row>
    <row r="4047" customFormat="false" ht="15" hidden="false" customHeight="false" outlineLevel="0" collapsed="false">
      <c r="A4047" s="20" t="s">
        <v>2261</v>
      </c>
      <c r="B4047" s="22" t="s">
        <v>1067</v>
      </c>
      <c r="C4047" s="22" t="s">
        <v>1160</v>
      </c>
      <c r="E4047" s="23" t="str">
        <f aca="false">IF(D4047="?OLD","!!!","")</f>
        <v/>
      </c>
      <c r="F4047" s="25" t="str">
        <f aca="false">IF(OR(E4047="",E4047="!!!"),"",IF(NOT(ISNA(VLOOKUP(E4047,E$1:E4046,1,FALSE()))),"OLD",IF(AND(E4047&lt;&gt;"",E4047&lt;&gt;"!!!"),"NEW","")))</f>
        <v/>
      </c>
      <c r="G4047" s="26" t="str">
        <f aca="false">IF(OR(E4047="",E4047="!!!"),"",IF(OR(J4047=0,AND(J4047=1,K4047=1),AND(J4047=1,I4047="SBJ"),AND(J4047=1,I4047=0)),"?IN_FOCUS",IF(J4047&lt;=2,"?ACTIVATED",IF(J4047&lt;&gt;"","?FAMILIAR",IF(F4047="NEW",IF(ISNA(VLOOKUP(E4047,#REF!,1,FALSE())),"?TYPE_IDENTIFIABLE","?REFERENTIAL"),"_")))))</f>
        <v/>
      </c>
      <c r="H4047" s="27" t="str">
        <f aca="false">IF(J4047&lt;&gt;1,"",IF(I4047="SBJ","CB","?"))</f>
        <v/>
      </c>
      <c r="I4047" s="24" t="str">
        <f aca="false">IF(OR(E4047="",E4047="!!!",F4047="NEW"),"",INDEX(B10:B$4038,-1+SUMPRODUCT(MAX(ROW(E10:E$4038)*(E4047=E10:E$4038)))))</f>
        <v/>
      </c>
      <c r="J4047" s="24" t="str">
        <f aca="true">IF(OR(E4047="",E4047="!!!",F4047="NEW"),"",COUNTBLANK(OFFSET(A$1,,,SUMPRODUCT(MAX(ROW(E$2:E4047)*(E4047=E$2:E4047)))))-COUNTBLANK(OFFSET(A$1,,,SUMPRODUCT(MAX(ROW(E$1:E4046)*(E2=E$1:E4046))))))</f>
        <v/>
      </c>
      <c r="K4047" s="24" t="str">
        <f aca="false">IF(OR(E4047="",E4047="!!!",F4047="NEW"),"",INDEX(J$1:J4046,SUMPRODUCT(MAX(ROW(E$1:E4046)*(E4047=E$1:E4046)))))</f>
        <v/>
      </c>
      <c r="L4047" s="31"/>
    </row>
    <row r="4048" customFormat="false" ht="15" hidden="false" customHeight="false" outlineLevel="0" collapsed="false">
      <c r="A4048" s="20" t="s">
        <v>1076</v>
      </c>
      <c r="E4048" s="23" t="str">
        <f aca="false">IF(D4048="?OLD","!!!","")</f>
        <v/>
      </c>
      <c r="F4048" s="25" t="str">
        <f aca="false">IF(OR(E4048="",E4048="!!!"),"",IF(NOT(ISNA(VLOOKUP(E4048,E$1:E4047,1,FALSE()))),"OLD",IF(AND(E4048&lt;&gt;"",E4048&lt;&gt;"!!!"),"NEW","")))</f>
        <v/>
      </c>
      <c r="G4048" s="26" t="str">
        <f aca="false">IF(OR(E4048="",E4048="!!!"),"",IF(OR(J4048=0,AND(J4048=1,K4048=1),AND(J4048=1,I4048="SBJ"),AND(J4048=1,I4048=0)),"?IN_FOCUS",IF(J4048&lt;=2,"?ACTIVATED",IF(J4048&lt;&gt;"","?FAMILIAR",IF(F4048="NEW",IF(ISNA(VLOOKUP(E4048,#REF!,1,FALSE())),"?TYPE_IDENTIFIABLE","?REFERENTIAL"),"_")))))</f>
        <v/>
      </c>
      <c r="H4048" s="27" t="str">
        <f aca="false">IF(J4048&lt;&gt;1,"",IF(I4048="SBJ","CB","?"))</f>
        <v/>
      </c>
      <c r="I4048" s="24" t="str">
        <f aca="false">IF(OR(E4048="",E4048="!!!",F4048="NEW"),"",INDEX(B11:B$4038,-1+SUMPRODUCT(MAX(ROW(E11:E$4038)*(E4048=E11:E$4038)))))</f>
        <v/>
      </c>
      <c r="J4048" s="24" t="str">
        <f aca="true">IF(OR(E4048="",E4048="!!!",F4048="NEW"),"",COUNTBLANK(OFFSET(A$1,,,SUMPRODUCT(MAX(ROW(E$2:E4048)*(E4048=E$2:E4048)))))-COUNTBLANK(OFFSET(A$1,,,SUMPRODUCT(MAX(ROW(E$1:E4047)*(E2=E$1:E4047))))))</f>
        <v/>
      </c>
      <c r="K4048" s="24" t="str">
        <f aca="false">IF(OR(E4048="",E4048="!!!",F4048="NEW"),"",INDEX(J$1:J4047,SUMPRODUCT(MAX(ROW(E$1:E4047)*(E4048=E$1:E4047)))))</f>
        <v/>
      </c>
      <c r="L4048" s="31"/>
    </row>
    <row r="4049" customFormat="false" ht="15" hidden="false" customHeight="false" outlineLevel="0" collapsed="false">
      <c r="A4049" s="20" t="s">
        <v>607</v>
      </c>
      <c r="E4049" s="23" t="str">
        <f aca="false">IF(D4049="?OLD","!!!","")</f>
        <v/>
      </c>
      <c r="F4049" s="25" t="str">
        <f aca="false">IF(OR(E4049="",E4049="!!!"),"",IF(NOT(ISNA(VLOOKUP(E4049,E$1:E4048,1,FALSE()))),"OLD",IF(AND(E4049&lt;&gt;"",E4049&lt;&gt;"!!!"),"NEW","")))</f>
        <v/>
      </c>
      <c r="G4049" s="26" t="str">
        <f aca="false">IF(OR(E4049="",E4049="!!!"),"",IF(OR(J4049=0,AND(J4049=1,K4049=1),AND(J4049=1,I4049="SBJ"),AND(J4049=1,I4049=0)),"?IN_FOCUS",IF(J4049&lt;=2,"?ACTIVATED",IF(J4049&lt;&gt;"","?FAMILIAR",IF(F4049="NEW",IF(ISNA(VLOOKUP(E4049,#REF!,1,FALSE())),"?TYPE_IDENTIFIABLE","?REFERENTIAL"),"_")))))</f>
        <v/>
      </c>
      <c r="H4049" s="27" t="str">
        <f aca="false">IF(J4049&lt;&gt;1,"",IF(I4049="SBJ","CB","?"))</f>
        <v/>
      </c>
      <c r="I4049" s="24" t="str">
        <f aca="false">IF(OR(E4049="",E4049="!!!",F4049="NEW"),"",INDEX(B12:B$4038,-1+SUMPRODUCT(MAX(ROW(E12:E$4038)*(E4049=E12:E$4038)))))</f>
        <v/>
      </c>
      <c r="J4049" s="24" t="str">
        <f aca="true">IF(OR(E4049="",E4049="!!!",F4049="NEW"),"",COUNTBLANK(OFFSET(A$1,,,SUMPRODUCT(MAX(ROW(E$2:E4049)*(E4049=E$2:E4049)))))-COUNTBLANK(OFFSET(A$1,,,SUMPRODUCT(MAX(ROW(E$1:E4048)*(E2=E$1:E4048))))))</f>
        <v/>
      </c>
      <c r="K4049" s="24" t="str">
        <f aca="false">IF(OR(E4049="",E4049="!!!",F4049="NEW"),"",INDEX(J$1:J4048,SUMPRODUCT(MAX(ROW(E$1:E4048)*(E4049=E$1:E4048)))))</f>
        <v/>
      </c>
      <c r="L4049" s="31"/>
    </row>
    <row r="4050" customFormat="false" ht="15" hidden="false" customHeight="false" outlineLevel="0" collapsed="false">
      <c r="A4050" s="20" t="s">
        <v>1194</v>
      </c>
      <c r="E4050" s="23" t="str">
        <f aca="false">IF(D4050="?OLD","!!!","")</f>
        <v/>
      </c>
      <c r="F4050" s="25" t="str">
        <f aca="false">IF(OR(E4050="",E4050="!!!"),"",IF(NOT(ISNA(VLOOKUP(E4050,E$1:E4049,1,FALSE()))),"OLD",IF(AND(E4050&lt;&gt;"",E4050&lt;&gt;"!!!"),"NEW","")))</f>
        <v/>
      </c>
      <c r="G4050" s="26" t="str">
        <f aca="false">IF(OR(E4050="",E4050="!!!"),"",IF(OR(J4050=0,AND(J4050=1,K4050=1),AND(J4050=1,I4050="SBJ"),AND(J4050=1,I4050=0)),"?IN_FOCUS",IF(J4050&lt;=2,"?ACTIVATED",IF(J4050&lt;&gt;"","?FAMILIAR",IF(F4050="NEW",IF(ISNA(VLOOKUP(E4050,#REF!,1,FALSE())),"?TYPE_IDENTIFIABLE","?REFERENTIAL"),"_")))))</f>
        <v/>
      </c>
      <c r="H4050" s="27" t="str">
        <f aca="false">IF(J4050&lt;&gt;1,"",IF(I4050="SBJ","CB","?"))</f>
        <v/>
      </c>
      <c r="I4050" s="24" t="str">
        <f aca="false">IF(OR(E4050="",E4050="!!!",F4050="NEW"),"",INDEX(B13:B$4038,-1+SUMPRODUCT(MAX(ROW(E13:E$4038)*(E4050=E13:E$4038)))))</f>
        <v/>
      </c>
      <c r="J4050" s="24" t="str">
        <f aca="true">IF(OR(E4050="",E4050="!!!",F4050="NEW"),"",COUNTBLANK(OFFSET(A$1,,,SUMPRODUCT(MAX(ROW(E$2:E4050)*(E4050=E$2:E4050)))))-COUNTBLANK(OFFSET(A$1,,,SUMPRODUCT(MAX(ROW(E$1:E4049)*(E2=E$1:E4049))))))</f>
        <v/>
      </c>
      <c r="K4050" s="24" t="str">
        <f aca="false">IF(OR(E4050="",E4050="!!!",F4050="NEW"),"",INDEX(J$1:J4049,SUMPRODUCT(MAX(ROW(E$1:E4049)*(E4050=E$1:E4049)))))</f>
        <v/>
      </c>
      <c r="L4050" s="31"/>
    </row>
    <row r="4051" customFormat="false" ht="15" hidden="false" customHeight="false" outlineLevel="0" collapsed="false">
      <c r="A4051" s="20" t="s">
        <v>1066</v>
      </c>
      <c r="B4051" s="22" t="s">
        <v>1058</v>
      </c>
      <c r="C4051" s="22" t="s">
        <v>1068</v>
      </c>
      <c r="D4051" s="22" t="s">
        <v>1060</v>
      </c>
      <c r="E4051" s="23" t="str">
        <f aca="false">IF(D4051="?OLD","!!!","")</f>
        <v>!!!</v>
      </c>
      <c r="F4051" s="25" t="str">
        <f aca="false">IF(OR(E4051="",E4051="!!!"),"",IF(NOT(ISNA(VLOOKUP(E4051,E$1:E4050,1,FALSE()))),"OLD",IF(AND(E4051&lt;&gt;"",E4051&lt;&gt;"!!!"),"NEW","")))</f>
        <v/>
      </c>
      <c r="G4051" s="26" t="str">
        <f aca="false">IF(OR(E4051="",E4051="!!!"),"",IF(OR(J4051=0,AND(J4051=1,K4051=1),AND(J4051=1,I4051="SBJ"),AND(J4051=1,I4051=0)),"?IN_FOCUS",IF(J4051&lt;=2,"?ACTIVATED",IF(J4051&lt;&gt;"","?FAMILIAR",IF(F4051="NEW",IF(ISNA(VLOOKUP(E4051,#REF!,1,FALSE())),"?TYPE_IDENTIFIABLE","?REFERENTIAL"),"_")))))</f>
        <v/>
      </c>
      <c r="H4051" s="27" t="str">
        <f aca="false">IF(J4051&lt;&gt;1,"",IF(I4051="SBJ","CB","?"))</f>
        <v/>
      </c>
      <c r="I4051" s="24" t="str">
        <f aca="false">IF(OR(E4051="",E4051="!!!",F4051="NEW"),"",INDEX(B14:B$4038,-1+SUMPRODUCT(MAX(ROW(E14:E$4038)*(E4051=E14:E$4038)))))</f>
        <v/>
      </c>
      <c r="J4051" s="24" t="str">
        <f aca="true">IF(OR(E4051="",E4051="!!!",F4051="NEW"),"",COUNTBLANK(OFFSET(A$1,,,SUMPRODUCT(MAX(ROW(E$2:E4051)*(E4051=E$2:E4051)))))-COUNTBLANK(OFFSET(A$1,,,SUMPRODUCT(MAX(ROW(E$1:E4050)*(E2=E$1:E4050))))))</f>
        <v/>
      </c>
      <c r="K4051" s="24" t="str">
        <f aca="false">IF(OR(E4051="",E4051="!!!",F4051="NEW"),"",INDEX(J$1:J4050,SUMPRODUCT(MAX(ROW(E$1:E4050)*(E4051=E$1:E4050)))))</f>
        <v/>
      </c>
      <c r="L4051" s="31"/>
    </row>
    <row r="4052" customFormat="false" ht="15" hidden="false" customHeight="false" outlineLevel="0" collapsed="false">
      <c r="A4052" s="20" t="s">
        <v>923</v>
      </c>
      <c r="E4052" s="23" t="str">
        <f aca="false">IF(D4052="?OLD","!!!","")</f>
        <v/>
      </c>
      <c r="F4052" s="25" t="str">
        <f aca="false">IF(OR(E4052="",E4052="!!!"),"",IF(NOT(ISNA(VLOOKUP(E4052,E$1:E4051,1,FALSE()))),"OLD",IF(AND(E4052&lt;&gt;"",E4052&lt;&gt;"!!!"),"NEW","")))</f>
        <v/>
      </c>
      <c r="G4052" s="26" t="str">
        <f aca="false">IF(OR(E4052="",E4052="!!!"),"",IF(OR(J4052=0,AND(J4052=1,K4052=1),AND(J4052=1,I4052="SBJ"),AND(J4052=1,I4052=0)),"?IN_FOCUS",IF(J4052&lt;=2,"?ACTIVATED",IF(J4052&lt;&gt;"","?FAMILIAR",IF(F4052="NEW",IF(ISNA(VLOOKUP(E4052,#REF!,1,FALSE())),"?TYPE_IDENTIFIABLE","?REFERENTIAL"),"_")))))</f>
        <v/>
      </c>
      <c r="H4052" s="27" t="str">
        <f aca="false">IF(J4052&lt;&gt;1,"",IF(I4052="SBJ","CB","?"))</f>
        <v/>
      </c>
      <c r="I4052" s="24" t="str">
        <f aca="false">IF(OR(E4052="",E4052="!!!",F4052="NEW"),"",INDEX(B15:B$4038,-1+SUMPRODUCT(MAX(ROW(E15:E$4038)*(E4052=E15:E$4038)))))</f>
        <v/>
      </c>
      <c r="J4052" s="24" t="str">
        <f aca="true">IF(OR(E4052="",E4052="!!!",F4052="NEW"),"",COUNTBLANK(OFFSET(A$1,,,SUMPRODUCT(MAX(ROW(E$2:E4052)*(E4052=E$2:E4052)))))-COUNTBLANK(OFFSET(A$1,,,SUMPRODUCT(MAX(ROW(E$1:E4051)*(E2=E$1:E4051))))))</f>
        <v/>
      </c>
      <c r="K4052" s="24" t="str">
        <f aca="false">IF(OR(E4052="",E4052="!!!",F4052="NEW"),"",INDEX(J$1:J4051,SUMPRODUCT(MAX(ROW(E$1:E4051)*(E4052=E$1:E4051)))))</f>
        <v/>
      </c>
      <c r="L4052" s="31"/>
    </row>
    <row r="4053" customFormat="false" ht="15" hidden="false" customHeight="false" outlineLevel="0" collapsed="false">
      <c r="A4053" s="20"/>
    </row>
    <row r="4054" customFormat="false" ht="15" hidden="false" customHeight="false" outlineLevel="0" collapsed="false">
      <c r="A4054" s="20" t="s">
        <v>1301</v>
      </c>
      <c r="E4054" s="23" t="str">
        <f aca="false">IF(D4054="?OLD","!!!","")</f>
        <v/>
      </c>
      <c r="F4054" s="25" t="str">
        <f aca="false">IF(OR(E4054="",E4054="!!!"),"",IF(NOT(ISNA(VLOOKUP(E4054,E$1:E4053,1,FALSE()))),"OLD",IF(AND(E4054&lt;&gt;"",E4054&lt;&gt;"!!!"),"NEW","")))</f>
        <v/>
      </c>
      <c r="G4054" s="26" t="str">
        <f aca="false">IF(OR(E4054="",E4054="!!!"),"",IF(OR(J4054=0,AND(J4054=1,K4054=1),AND(J4054=1,I4054="SBJ"),AND(J4054=1,I4054=0)),"?IN_FOCUS",IF(J4054&lt;=2,"?ACTIVATED",IF(J4054&lt;&gt;"","?FAMILIAR",IF(F4054="NEW",IF(ISNA(VLOOKUP(E4054,#REF!,1,FALSE())),"?TYPE_IDENTIFIABLE","?REFERENTIAL"),"_")))))</f>
        <v/>
      </c>
      <c r="H4054" s="27" t="str">
        <f aca="false">IF(J4054&lt;&gt;1,"",IF(I4054="SBJ","CB","?"))</f>
        <v/>
      </c>
      <c r="I4054" s="24" t="str">
        <f aca="false">IF(OR(E4054="",E4054="!!!",F4054="NEW"),"",INDEX(B2:B$4053,-1+SUMPRODUCT(MAX(ROW(E2:E$4053)*(E4054=E2:E$4053)))))</f>
        <v/>
      </c>
      <c r="J4054" s="24" t="str">
        <f aca="true">IF(OR(E4054="",E4054="!!!",F4054="NEW"),"",COUNTBLANK(OFFSET(A$1,,,SUMPRODUCT(MAX(ROW(E$2:E4054)*(E4054=E$2:E4054)))))-COUNTBLANK(OFFSET(A$1,,,SUMPRODUCT(MAX(ROW(E$1:E4053)*(E2=E$1:E4053))))))</f>
        <v/>
      </c>
      <c r="K4054" s="24" t="str">
        <f aca="false">IF(OR(E4054="",E4054="!!!",F4054="NEW"),"",INDEX(J$1:J4053,SUMPRODUCT(MAX(ROW(E$1:E4053)*(E4054=E$1:E4053)))))</f>
        <v/>
      </c>
      <c r="L4054" s="31"/>
    </row>
    <row r="4055" customFormat="false" ht="15" hidden="false" customHeight="false" outlineLevel="0" collapsed="false">
      <c r="A4055" s="20" t="s">
        <v>2306</v>
      </c>
    </row>
    <row r="4056" customFormat="false" ht="15" hidden="false" customHeight="false" outlineLevel="0" collapsed="false">
      <c r="A4056" s="20" t="s">
        <v>607</v>
      </c>
      <c r="E4056" s="23" t="str">
        <f aca="false">IF(D4056="?OLD","!!!","")</f>
        <v/>
      </c>
      <c r="F4056" s="25" t="str">
        <f aca="false">IF(OR(E4056="",E4056="!!!"),"",IF(NOT(ISNA(VLOOKUP(E4056,E$1:E4055,1,FALSE()))),"OLD",IF(AND(E4056&lt;&gt;"",E4056&lt;&gt;"!!!"),"NEW","")))</f>
        <v/>
      </c>
      <c r="G4056" s="26" t="str">
        <f aca="false">IF(OR(E4056="",E4056="!!!"),"",IF(OR(J4056=0,AND(J4056=1,K4056=1),AND(J4056=1,I4056="SBJ"),AND(J4056=1,I4056=0)),"?IN_FOCUS",IF(J4056&lt;=2,"?ACTIVATED",IF(J4056&lt;&gt;"","?FAMILIAR",IF(F4056="NEW",IF(ISNA(VLOOKUP(E4056,#REF!,1,FALSE())),"?TYPE_IDENTIFIABLE","?REFERENTIAL"),"_")))))</f>
        <v/>
      </c>
      <c r="H4056" s="27" t="str">
        <f aca="false">IF(J4056&lt;&gt;1,"",IF(I4056="SBJ","CB","?"))</f>
        <v/>
      </c>
      <c r="I4056" s="24" t="str">
        <f aca="false">IF(OR(E4056="",E4056="!!!",F4056="NEW"),"",INDEX(B2:B$4055,-1+SUMPRODUCT(MAX(ROW(E2:E$4055)*(E4056=E2:E$4055)))))</f>
        <v/>
      </c>
      <c r="J4056" s="24" t="str">
        <f aca="true">IF(OR(E4056="",E4056="!!!",F4056="NEW"),"",COUNTBLANK(OFFSET(A$1,,,SUMPRODUCT(MAX(ROW(E$2:E4056)*(E4056=E$2:E4056)))))-COUNTBLANK(OFFSET(A$1,,,SUMPRODUCT(MAX(ROW(E$1:E4055)*(E2=E$1:E4055))))))</f>
        <v/>
      </c>
      <c r="K4056" s="24" t="str">
        <f aca="false">IF(OR(E4056="",E4056="!!!",F4056="NEW"),"",INDEX(J$1:J4055,SUMPRODUCT(MAX(ROW(E$1:E4055)*(E4056=E$1:E4055)))))</f>
        <v/>
      </c>
      <c r="L4056" s="31"/>
    </row>
    <row r="4057" customFormat="false" ht="15" hidden="false" customHeight="false" outlineLevel="0" collapsed="false">
      <c r="A4057" s="20" t="s">
        <v>2307</v>
      </c>
      <c r="E4057" s="23" t="str">
        <f aca="false">IF(D4057="?OLD","!!!","")</f>
        <v/>
      </c>
      <c r="F4057" s="25" t="str">
        <f aca="false">IF(OR(E4057="",E4057="!!!"),"",IF(NOT(ISNA(VLOOKUP(E4057,E$1:E4056,1,FALSE()))),"OLD",IF(AND(E4057&lt;&gt;"",E4057&lt;&gt;"!!!"),"NEW","")))</f>
        <v/>
      </c>
      <c r="G4057" s="26" t="str">
        <f aca="false">IF(OR(E4057="",E4057="!!!"),"",IF(OR(J4057=0,AND(J4057=1,K4057=1),AND(J4057=1,I4057="SBJ"),AND(J4057=1,I4057=0)),"?IN_FOCUS",IF(J4057&lt;=2,"?ACTIVATED",IF(J4057&lt;&gt;"","?FAMILIAR",IF(F4057="NEW",IF(ISNA(VLOOKUP(E4057,#REF!,1,FALSE())),"?TYPE_IDENTIFIABLE","?REFERENTIAL"),"_")))))</f>
        <v/>
      </c>
      <c r="H4057" s="27" t="str">
        <f aca="false">IF(J4057&lt;&gt;1,"",IF(I4057="SBJ","CB","?"))</f>
        <v/>
      </c>
      <c r="I4057" s="24" t="str">
        <f aca="false">IF(OR(E4057="",E4057="!!!",F4057="NEW"),"",INDEX(B3:B$4055,-1+SUMPRODUCT(MAX(ROW(E3:E$4055)*(E4057=E3:E$4055)))))</f>
        <v/>
      </c>
      <c r="J4057" s="24" t="str">
        <f aca="true">IF(OR(E4057="",E4057="!!!",F4057="NEW"),"",COUNTBLANK(OFFSET(A$1,,,SUMPRODUCT(MAX(ROW(E$2:E4057)*(E4057=E$2:E4057)))))-COUNTBLANK(OFFSET(A$1,,,SUMPRODUCT(MAX(ROW(E$1:E4056)*(E2=E$1:E4056))))))</f>
        <v/>
      </c>
      <c r="K4057" s="24" t="str">
        <f aca="false">IF(OR(E4057="",E4057="!!!",F4057="NEW"),"",INDEX(J$1:J4056,SUMPRODUCT(MAX(ROW(E$1:E4056)*(E4057=E$1:E4056)))))</f>
        <v/>
      </c>
      <c r="L4057" s="31"/>
    </row>
    <row r="4058" customFormat="false" ht="15" hidden="false" customHeight="false" outlineLevel="0" collapsed="false">
      <c r="A4058" s="20" t="s">
        <v>1179</v>
      </c>
      <c r="B4058" s="22" t="s">
        <v>1081</v>
      </c>
      <c r="C4058" s="22" t="s">
        <v>1082</v>
      </c>
      <c r="D4058" s="22" t="s">
        <v>1060</v>
      </c>
      <c r="E4058" s="23" t="str">
        <f aca="false">IF(D4058="?OLD","!!!","")</f>
        <v>!!!</v>
      </c>
      <c r="F4058" s="25" t="str">
        <f aca="false">IF(OR(E4058="",E4058="!!!"),"",IF(NOT(ISNA(VLOOKUP(E4058,E$1:E4057,1,FALSE()))),"OLD",IF(AND(E4058&lt;&gt;"",E4058&lt;&gt;"!!!"),"NEW","")))</f>
        <v/>
      </c>
      <c r="G4058" s="26" t="str">
        <f aca="false">IF(OR(E4058="",E4058="!!!"),"",IF(OR(J4058=0,AND(J4058=1,K4058=1),AND(J4058=1,I4058="SBJ"),AND(J4058=1,I4058=0)),"?IN_FOCUS",IF(J4058&lt;=2,"?ACTIVATED",IF(J4058&lt;&gt;"","?FAMILIAR",IF(F4058="NEW",IF(ISNA(VLOOKUP(E4058,#REF!,1,FALSE())),"?TYPE_IDENTIFIABLE","?REFERENTIAL"),"_")))))</f>
        <v/>
      </c>
      <c r="H4058" s="27" t="str">
        <f aca="false">IF(J4058&lt;&gt;1,"",IF(I4058="SBJ","CB","?"))</f>
        <v/>
      </c>
      <c r="I4058" s="24" t="str">
        <f aca="false">IF(OR(E4058="",E4058="!!!",F4058="NEW"),"",INDEX(B4:B$4055,-1+SUMPRODUCT(MAX(ROW(E4:E$4055)*(E4058=E4:E$4055)))))</f>
        <v/>
      </c>
      <c r="J4058" s="24" t="str">
        <f aca="true">IF(OR(E4058="",E4058="!!!",F4058="NEW"),"",COUNTBLANK(OFFSET(A$1,,,SUMPRODUCT(MAX(ROW(E$2:E4058)*(E4058=E$2:E4058)))))-COUNTBLANK(OFFSET(A$1,,,SUMPRODUCT(MAX(ROW(E$1:E4057)*(E2=E$1:E4057))))))</f>
        <v/>
      </c>
      <c r="K4058" s="24" t="str">
        <f aca="false">IF(OR(E4058="",E4058="!!!",F4058="NEW"),"",INDEX(J$1:J4057,SUMPRODUCT(MAX(ROW(E$1:E4057)*(E4058=E$1:E4057)))))</f>
        <v/>
      </c>
      <c r="L4058" s="31"/>
    </row>
    <row r="4059" customFormat="false" ht="15" hidden="false" customHeight="false" outlineLevel="0" collapsed="false">
      <c r="A4059" s="20" t="s">
        <v>1563</v>
      </c>
      <c r="E4059" s="23" t="str">
        <f aca="false">IF(D4059="?OLD","!!!","")</f>
        <v/>
      </c>
      <c r="F4059" s="25" t="str">
        <f aca="false">IF(OR(E4059="",E4059="!!!"),"",IF(NOT(ISNA(VLOOKUP(E4059,E$1:E4058,1,FALSE()))),"OLD",IF(AND(E4059&lt;&gt;"",E4059&lt;&gt;"!!!"),"NEW","")))</f>
        <v/>
      </c>
      <c r="G4059" s="26" t="str">
        <f aca="false">IF(OR(E4059="",E4059="!!!"),"",IF(OR(J4059=0,AND(J4059=1,K4059=1),AND(J4059=1,I4059="SBJ"),AND(J4059=1,I4059=0)),"?IN_FOCUS",IF(J4059&lt;=2,"?ACTIVATED",IF(J4059&lt;&gt;"","?FAMILIAR",IF(F4059="NEW",IF(ISNA(VLOOKUP(E4059,#REF!,1,FALSE())),"?TYPE_IDENTIFIABLE","?REFERENTIAL"),"_")))))</f>
        <v/>
      </c>
      <c r="H4059" s="27" t="str">
        <f aca="false">IF(J4059&lt;&gt;1,"",IF(I4059="SBJ","CB","?"))</f>
        <v/>
      </c>
      <c r="I4059" s="24" t="str">
        <f aca="false">IF(OR(E4059="",E4059="!!!",F4059="NEW"),"",INDEX(B5:B$4055,-1+SUMPRODUCT(MAX(ROW(E5:E$4055)*(E4059=E5:E$4055)))))</f>
        <v/>
      </c>
      <c r="J4059" s="24" t="str">
        <f aca="true">IF(OR(E4059="",E4059="!!!",F4059="NEW"),"",COUNTBLANK(OFFSET(A$1,,,SUMPRODUCT(MAX(ROW(E$2:E4059)*(E4059=E$2:E4059)))))-COUNTBLANK(OFFSET(A$1,,,SUMPRODUCT(MAX(ROW(E$1:E4058)*(E2=E$1:E4058))))))</f>
        <v/>
      </c>
      <c r="K4059" s="24" t="str">
        <f aca="false">IF(OR(E4059="",E4059="!!!",F4059="NEW"),"",INDEX(J$1:J4058,SUMPRODUCT(MAX(ROW(E$1:E4058)*(E4059=E$1:E4058)))))</f>
        <v/>
      </c>
      <c r="L4059" s="31"/>
    </row>
    <row r="4060" customFormat="false" ht="15" hidden="false" customHeight="false" outlineLevel="0" collapsed="false">
      <c r="A4060" s="20" t="s">
        <v>1569</v>
      </c>
      <c r="E4060" s="23" t="str">
        <f aca="false">IF(D4060="?OLD","!!!","")</f>
        <v/>
      </c>
      <c r="F4060" s="25" t="str">
        <f aca="false">IF(OR(E4060="",E4060="!!!"),"",IF(NOT(ISNA(VLOOKUP(E4060,E$1:E4059,1,FALSE()))),"OLD",IF(AND(E4060&lt;&gt;"",E4060&lt;&gt;"!!!"),"NEW","")))</f>
        <v/>
      </c>
      <c r="G4060" s="26" t="str">
        <f aca="false">IF(OR(E4060="",E4060="!!!"),"",IF(OR(J4060=0,AND(J4060=1,K4060=1),AND(J4060=1,I4060="SBJ"),AND(J4060=1,I4060=0)),"?IN_FOCUS",IF(J4060&lt;=2,"?ACTIVATED",IF(J4060&lt;&gt;"","?FAMILIAR",IF(F4060="NEW",IF(ISNA(VLOOKUP(E4060,#REF!,1,FALSE())),"?TYPE_IDENTIFIABLE","?REFERENTIAL"),"_")))))</f>
        <v/>
      </c>
      <c r="H4060" s="27" t="str">
        <f aca="false">IF(J4060&lt;&gt;1,"",IF(I4060="SBJ","CB","?"))</f>
        <v/>
      </c>
      <c r="I4060" s="24" t="str">
        <f aca="false">IF(OR(E4060="",E4060="!!!",F4060="NEW"),"",INDEX(B6:B$4055,-1+SUMPRODUCT(MAX(ROW(E6:E$4055)*(E4060=E6:E$4055)))))</f>
        <v/>
      </c>
      <c r="J4060" s="24" t="str">
        <f aca="true">IF(OR(E4060="",E4060="!!!",F4060="NEW"),"",COUNTBLANK(OFFSET(A$1,,,SUMPRODUCT(MAX(ROW(E$2:E4060)*(E4060=E$2:E4060)))))-COUNTBLANK(OFFSET(A$1,,,SUMPRODUCT(MAX(ROW(E$1:E4059)*(E2=E$1:E4059))))))</f>
        <v/>
      </c>
      <c r="K4060" s="24" t="str">
        <f aca="false">IF(OR(E4060="",E4060="!!!",F4060="NEW"),"",INDEX(J$1:J4059,SUMPRODUCT(MAX(ROW(E$1:E4059)*(E4060=E$1:E4059)))))</f>
        <v/>
      </c>
      <c r="L4060" s="31"/>
    </row>
    <row r="4061" customFormat="false" ht="15" hidden="false" customHeight="false" outlineLevel="0" collapsed="false">
      <c r="A4061" s="20" t="s">
        <v>1186</v>
      </c>
      <c r="B4061" s="22" t="s">
        <v>1086</v>
      </c>
      <c r="C4061" s="22" t="s">
        <v>1082</v>
      </c>
      <c r="D4061" s="22" t="s">
        <v>1060</v>
      </c>
      <c r="E4061" s="23" t="str">
        <f aca="false">IF(D4061="?OLD","!!!","")</f>
        <v>!!!</v>
      </c>
      <c r="F4061" s="25" t="str">
        <f aca="false">IF(OR(E4061="",E4061="!!!"),"",IF(NOT(ISNA(VLOOKUP(E4061,E$1:E4060,1,FALSE()))),"OLD",IF(AND(E4061&lt;&gt;"",E4061&lt;&gt;"!!!"),"NEW","")))</f>
        <v/>
      </c>
      <c r="G4061" s="26" t="str">
        <f aca="false">IF(OR(E4061="",E4061="!!!"),"",IF(OR(J4061=0,AND(J4061=1,K4061=1),AND(J4061=1,I4061="SBJ"),AND(J4061=1,I4061=0)),"?IN_FOCUS",IF(J4061&lt;=2,"?ACTIVATED",IF(J4061&lt;&gt;"","?FAMILIAR",IF(F4061="NEW",IF(ISNA(VLOOKUP(E4061,#REF!,1,FALSE())),"?TYPE_IDENTIFIABLE","?REFERENTIAL"),"_")))))</f>
        <v/>
      </c>
      <c r="H4061" s="27" t="str">
        <f aca="false">IF(J4061&lt;&gt;1,"",IF(I4061="SBJ","CB","?"))</f>
        <v/>
      </c>
      <c r="I4061" s="24" t="str">
        <f aca="false">IF(OR(E4061="",E4061="!!!",F4061="NEW"),"",INDEX(B7:B$4055,-1+SUMPRODUCT(MAX(ROW(E7:E$4055)*(E4061=E7:E$4055)))))</f>
        <v/>
      </c>
      <c r="J4061" s="24" t="str">
        <f aca="true">IF(OR(E4061="",E4061="!!!",F4061="NEW"),"",COUNTBLANK(OFFSET(A$1,,,SUMPRODUCT(MAX(ROW(E$2:E4061)*(E4061=E$2:E4061)))))-COUNTBLANK(OFFSET(A$1,,,SUMPRODUCT(MAX(ROW(E$1:E4060)*(E2=E$1:E4060))))))</f>
        <v/>
      </c>
      <c r="K4061" s="24" t="str">
        <f aca="false">IF(OR(E4061="",E4061="!!!",F4061="NEW"),"",INDEX(J$1:J4060,SUMPRODUCT(MAX(ROW(E$1:E4060)*(E4061=E$1:E4060)))))</f>
        <v/>
      </c>
      <c r="L4061" s="31"/>
    </row>
    <row r="4062" customFormat="false" ht="15" hidden="false" customHeight="false" outlineLevel="0" collapsed="false">
      <c r="A4062" s="20" t="s">
        <v>1405</v>
      </c>
      <c r="E4062" s="23" t="str">
        <f aca="false">IF(D4062="?OLD","!!!","")</f>
        <v/>
      </c>
      <c r="F4062" s="25" t="str">
        <f aca="false">IF(OR(E4062="",E4062="!!!"),"",IF(NOT(ISNA(VLOOKUP(E4062,E$1:E4061,1,FALSE()))),"OLD",IF(AND(E4062&lt;&gt;"",E4062&lt;&gt;"!!!"),"NEW","")))</f>
        <v/>
      </c>
      <c r="G4062" s="26" t="str">
        <f aca="false">IF(OR(E4062="",E4062="!!!"),"",IF(OR(J4062=0,AND(J4062=1,K4062=1),AND(J4062=1,I4062="SBJ"),AND(J4062=1,I4062=0)),"?IN_FOCUS",IF(J4062&lt;=2,"?ACTIVATED",IF(J4062&lt;&gt;"","?FAMILIAR",IF(F4062="NEW",IF(ISNA(VLOOKUP(E4062,#REF!,1,FALSE())),"?TYPE_IDENTIFIABLE","?REFERENTIAL"),"_")))))</f>
        <v/>
      </c>
      <c r="H4062" s="27" t="str">
        <f aca="false">IF(J4062&lt;&gt;1,"",IF(I4062="SBJ","CB","?"))</f>
        <v/>
      </c>
      <c r="I4062" s="24" t="str">
        <f aca="false">IF(OR(E4062="",E4062="!!!",F4062="NEW"),"",INDEX(B8:B$4055,-1+SUMPRODUCT(MAX(ROW(E8:E$4055)*(E4062=E8:E$4055)))))</f>
        <v/>
      </c>
      <c r="J4062" s="24" t="str">
        <f aca="true">IF(OR(E4062="",E4062="!!!",F4062="NEW"),"",COUNTBLANK(OFFSET(A$1,,,SUMPRODUCT(MAX(ROW(E$2:E4062)*(E4062=E$2:E4062)))))-COUNTBLANK(OFFSET(A$1,,,SUMPRODUCT(MAX(ROW(E$1:E4061)*(E2=E$1:E4061))))))</f>
        <v/>
      </c>
      <c r="K4062" s="24" t="str">
        <f aca="false">IF(OR(E4062="",E4062="!!!",F4062="NEW"),"",INDEX(J$1:J4061,SUMPRODUCT(MAX(ROW(E$1:E4061)*(E4062=E$1:E4061)))))</f>
        <v/>
      </c>
      <c r="L4062" s="31"/>
    </row>
    <row r="4063" customFormat="false" ht="15" hidden="false" customHeight="false" outlineLevel="0" collapsed="false">
      <c r="A4063" s="20" t="s">
        <v>844</v>
      </c>
      <c r="E4063" s="23" t="str">
        <f aca="false">IF(D4063="?OLD","!!!","")</f>
        <v/>
      </c>
      <c r="F4063" s="25" t="str">
        <f aca="false">IF(OR(E4063="",E4063="!!!"),"",IF(NOT(ISNA(VLOOKUP(E4063,E$1:E4062,1,FALSE()))),"OLD",IF(AND(E4063&lt;&gt;"",E4063&lt;&gt;"!!!"),"NEW","")))</f>
        <v/>
      </c>
      <c r="G4063" s="26" t="str">
        <f aca="false">IF(OR(E4063="",E4063="!!!"),"",IF(OR(J4063=0,AND(J4063=1,K4063=1),AND(J4063=1,I4063="SBJ"),AND(J4063=1,I4063=0)),"?IN_FOCUS",IF(J4063&lt;=2,"?ACTIVATED",IF(J4063&lt;&gt;"","?FAMILIAR",IF(F4063="NEW",IF(ISNA(VLOOKUP(E4063,#REF!,1,FALSE())),"?TYPE_IDENTIFIABLE","?REFERENTIAL"),"_")))))</f>
        <v/>
      </c>
      <c r="H4063" s="27" t="str">
        <f aca="false">IF(J4063&lt;&gt;1,"",IF(I4063="SBJ","CB","?"))</f>
        <v/>
      </c>
      <c r="I4063" s="24" t="str">
        <f aca="false">IF(OR(E4063="",E4063="!!!",F4063="NEW"),"",INDEX(B9:B$4055,-1+SUMPRODUCT(MAX(ROW(E9:E$4055)*(E4063=E9:E$4055)))))</f>
        <v/>
      </c>
      <c r="J4063" s="24" t="str">
        <f aca="true">IF(OR(E4063="",E4063="!!!",F4063="NEW"),"",COUNTBLANK(OFFSET(A$1,,,SUMPRODUCT(MAX(ROW(E$2:E4063)*(E4063=E$2:E4063)))))-COUNTBLANK(OFFSET(A$1,,,SUMPRODUCT(MAX(ROW(E$1:E4062)*(E2=E$1:E4062))))))</f>
        <v/>
      </c>
      <c r="K4063" s="24" t="str">
        <f aca="false">IF(OR(E4063="",E4063="!!!",F4063="NEW"),"",INDEX(J$1:J4062,SUMPRODUCT(MAX(ROW(E$1:E4062)*(E4063=E$1:E4062)))))</f>
        <v/>
      </c>
      <c r="L4063" s="31"/>
    </row>
    <row r="4064" customFormat="false" ht="15" hidden="false" customHeight="false" outlineLevel="0" collapsed="false">
      <c r="A4064" s="20" t="s">
        <v>1137</v>
      </c>
      <c r="B4064" s="22" t="s">
        <v>1142</v>
      </c>
      <c r="C4064" s="22" t="s">
        <v>1082</v>
      </c>
      <c r="D4064" s="22" t="s">
        <v>1060</v>
      </c>
      <c r="E4064" s="23" t="str">
        <f aca="false">IF(D4064="?OLD","!!!","")</f>
        <v>!!!</v>
      </c>
      <c r="F4064" s="25" t="str">
        <f aca="false">IF(OR(E4064="",E4064="!!!"),"",IF(NOT(ISNA(VLOOKUP(E4064,E$1:E4063,1,FALSE()))),"OLD",IF(AND(E4064&lt;&gt;"",E4064&lt;&gt;"!!!"),"NEW","")))</f>
        <v/>
      </c>
      <c r="G4064" s="26" t="str">
        <f aca="false">IF(OR(E4064="",E4064="!!!"),"",IF(OR(J4064=0,AND(J4064=1,K4064=1),AND(J4064=1,I4064="SBJ"),AND(J4064=1,I4064=0)),"?IN_FOCUS",IF(J4064&lt;=2,"?ACTIVATED",IF(J4064&lt;&gt;"","?FAMILIAR",IF(F4064="NEW",IF(ISNA(VLOOKUP(E4064,#REF!,1,FALSE())),"?TYPE_IDENTIFIABLE","?REFERENTIAL"),"_")))))</f>
        <v/>
      </c>
      <c r="H4064" s="27" t="str">
        <f aca="false">IF(J4064&lt;&gt;1,"",IF(I4064="SBJ","CB","?"))</f>
        <v/>
      </c>
      <c r="I4064" s="24" t="str">
        <f aca="false">IF(OR(E4064="",E4064="!!!",F4064="NEW"),"",INDEX(B10:B$4055,-1+SUMPRODUCT(MAX(ROW(E10:E$4055)*(E4064=E10:E$4055)))))</f>
        <v/>
      </c>
      <c r="J4064" s="24" t="str">
        <f aca="true">IF(OR(E4064="",E4064="!!!",F4064="NEW"),"",COUNTBLANK(OFFSET(A$1,,,SUMPRODUCT(MAX(ROW(E$2:E4064)*(E4064=E$2:E4064)))))-COUNTBLANK(OFFSET(A$1,,,SUMPRODUCT(MAX(ROW(E$1:E4063)*(E2=E$1:E4063))))))</f>
        <v/>
      </c>
      <c r="K4064" s="24" t="str">
        <f aca="false">IF(OR(E4064="",E4064="!!!",F4064="NEW"),"",INDEX(J$1:J4063,SUMPRODUCT(MAX(ROW(E$1:E4063)*(E4064=E$1:E4063)))))</f>
        <v/>
      </c>
      <c r="L4064" s="31"/>
    </row>
    <row r="4065" customFormat="false" ht="15" hidden="false" customHeight="false" outlineLevel="0" collapsed="false">
      <c r="A4065" s="20" t="s">
        <v>923</v>
      </c>
      <c r="E4065" s="23" t="str">
        <f aca="false">IF(D4065="?OLD","!!!","")</f>
        <v/>
      </c>
      <c r="F4065" s="25" t="str">
        <f aca="false">IF(OR(E4065="",E4065="!!!"),"",IF(NOT(ISNA(VLOOKUP(E4065,E$1:E4064,1,FALSE()))),"OLD",IF(AND(E4065&lt;&gt;"",E4065&lt;&gt;"!!!"),"NEW","")))</f>
        <v/>
      </c>
      <c r="G4065" s="26" t="str">
        <f aca="false">IF(OR(E4065="",E4065="!!!"),"",IF(OR(J4065=0,AND(J4065=1,K4065=1),AND(J4065=1,I4065="SBJ"),AND(J4065=1,I4065=0)),"?IN_FOCUS",IF(J4065&lt;=2,"?ACTIVATED",IF(J4065&lt;&gt;"","?FAMILIAR",IF(F4065="NEW",IF(ISNA(VLOOKUP(E4065,#REF!,1,FALSE())),"?TYPE_IDENTIFIABLE","?REFERENTIAL"),"_")))))</f>
        <v/>
      </c>
      <c r="H4065" s="27" t="str">
        <f aca="false">IF(J4065&lt;&gt;1,"",IF(I4065="SBJ","CB","?"))</f>
        <v/>
      </c>
      <c r="I4065" s="24" t="str">
        <f aca="false">IF(OR(E4065="",E4065="!!!",F4065="NEW"),"",INDEX(B11:B$4055,-1+SUMPRODUCT(MAX(ROW(E11:E$4055)*(E4065=E11:E$4055)))))</f>
        <v/>
      </c>
      <c r="J4065" s="24" t="str">
        <f aca="true">IF(OR(E4065="",E4065="!!!",F4065="NEW"),"",COUNTBLANK(OFFSET(A$1,,,SUMPRODUCT(MAX(ROW(E$2:E4065)*(E4065=E$2:E4065)))))-COUNTBLANK(OFFSET(A$1,,,SUMPRODUCT(MAX(ROW(E$1:E4064)*(E2=E$1:E4064))))))</f>
        <v/>
      </c>
      <c r="K4065" s="24" t="str">
        <f aca="false">IF(OR(E4065="",E4065="!!!",F4065="NEW"),"",INDEX(J$1:J4064,SUMPRODUCT(MAX(ROW(E$1:E4064)*(E4065=E$1:E4064)))))</f>
        <v/>
      </c>
      <c r="L4065" s="31"/>
    </row>
    <row r="4066" customFormat="false" ht="15" hidden="false" customHeight="false" outlineLevel="0" collapsed="false">
      <c r="A4066" s="20"/>
    </row>
    <row r="4067" customFormat="false" ht="15" hidden="false" customHeight="false" outlineLevel="0" collapsed="false">
      <c r="A4067" s="20" t="s">
        <v>1301</v>
      </c>
      <c r="E4067" s="23" t="str">
        <f aca="false">IF(D4067="?OLD","!!!","")</f>
        <v/>
      </c>
      <c r="F4067" s="25" t="str">
        <f aca="false">IF(OR(E4067="",E4067="!!!"),"",IF(NOT(ISNA(VLOOKUP(E4067,E$1:E4066,1,FALSE()))),"OLD",IF(AND(E4067&lt;&gt;"",E4067&lt;&gt;"!!!"),"NEW","")))</f>
        <v/>
      </c>
      <c r="G4067" s="26" t="str">
        <f aca="false">IF(OR(E4067="",E4067="!!!"),"",IF(OR(J4067=0,AND(J4067=1,K4067=1),AND(J4067=1,I4067="SBJ"),AND(J4067=1,I4067=0)),"?IN_FOCUS",IF(J4067&lt;=2,"?ACTIVATED",IF(J4067&lt;&gt;"","?FAMILIAR",IF(F4067="NEW",IF(ISNA(VLOOKUP(E4067,#REF!,1,FALSE())),"?TYPE_IDENTIFIABLE","?REFERENTIAL"),"_")))))</f>
        <v/>
      </c>
      <c r="H4067" s="27" t="str">
        <f aca="false">IF(J4067&lt;&gt;1,"",IF(I4067="SBJ","CB","?"))</f>
        <v/>
      </c>
      <c r="I4067" s="24" t="str">
        <f aca="false">IF(OR(E4067="",E4067="!!!",F4067="NEW"),"",INDEX(B2:B$4066,-1+SUMPRODUCT(MAX(ROW(E2:E$4066)*(E4067=E2:E$4066)))))</f>
        <v/>
      </c>
      <c r="J4067" s="24" t="str">
        <f aca="true">IF(OR(E4067="",E4067="!!!",F4067="NEW"),"",COUNTBLANK(OFFSET(A$1,,,SUMPRODUCT(MAX(ROW(E$2:E4067)*(E4067=E$2:E4067)))))-COUNTBLANK(OFFSET(A$1,,,SUMPRODUCT(MAX(ROW(E$1:E4066)*(E2=E$1:E4066))))))</f>
        <v/>
      </c>
      <c r="K4067" s="24" t="str">
        <f aca="false">IF(OR(E4067="",E4067="!!!",F4067="NEW"),"",INDEX(J$1:J4066,SUMPRODUCT(MAX(ROW(E$1:E4066)*(E4067=E$1:E4066)))))</f>
        <v/>
      </c>
      <c r="L4067" s="31"/>
    </row>
    <row r="4068" customFormat="false" ht="15" hidden="false" customHeight="false" outlineLevel="0" collapsed="false">
      <c r="A4068" s="20" t="s">
        <v>2308</v>
      </c>
    </row>
    <row r="4069" customFormat="false" ht="15" hidden="false" customHeight="false" outlineLevel="0" collapsed="false">
      <c r="A4069" s="20" t="s">
        <v>1727</v>
      </c>
      <c r="E4069" s="23" t="str">
        <f aca="false">IF(D4069="?OLD","!!!","")</f>
        <v/>
      </c>
      <c r="F4069" s="25" t="str">
        <f aca="false">IF(OR(E4069="",E4069="!!!"),"",IF(NOT(ISNA(VLOOKUP(E4069,E$1:E4068,1,FALSE()))),"OLD",IF(AND(E4069&lt;&gt;"",E4069&lt;&gt;"!!!"),"NEW","")))</f>
        <v/>
      </c>
      <c r="G4069" s="26" t="str">
        <f aca="false">IF(OR(E4069="",E4069="!!!"),"",IF(OR(J4069=0,AND(J4069=1,K4069=1),AND(J4069=1,I4069="SBJ"),AND(J4069=1,I4069=0)),"?IN_FOCUS",IF(J4069&lt;=2,"?ACTIVATED",IF(J4069&lt;&gt;"","?FAMILIAR",IF(F4069="NEW",IF(ISNA(VLOOKUP(E4069,#REF!,1,FALSE())),"?TYPE_IDENTIFIABLE","?REFERENTIAL"),"_")))))</f>
        <v/>
      </c>
      <c r="H4069" s="27" t="str">
        <f aca="false">IF(J4069&lt;&gt;1,"",IF(I4069="SBJ","CB","?"))</f>
        <v/>
      </c>
      <c r="I4069" s="24" t="str">
        <f aca="false">IF(OR(E4069="",E4069="!!!",F4069="NEW"),"",INDEX(B2:B$4068,-1+SUMPRODUCT(MAX(ROW(E2:E$4068)*(E4069=E2:E$4068)))))</f>
        <v/>
      </c>
      <c r="J4069" s="24" t="str">
        <f aca="true">IF(OR(E4069="",E4069="!!!",F4069="NEW"),"",COUNTBLANK(OFFSET(A$1,,,SUMPRODUCT(MAX(ROW(E$2:E4069)*(E4069=E$2:E4069)))))-COUNTBLANK(OFFSET(A$1,,,SUMPRODUCT(MAX(ROW(E$1:E4068)*(E2=E$1:E4068))))))</f>
        <v/>
      </c>
      <c r="K4069" s="24" t="str">
        <f aca="false">IF(OR(E4069="",E4069="!!!",F4069="NEW"),"",INDEX(J$1:J4068,SUMPRODUCT(MAX(ROW(E$1:E4068)*(E4069=E$1:E4068)))))</f>
        <v/>
      </c>
      <c r="L4069" s="31"/>
    </row>
    <row r="4070" customFormat="false" ht="15" hidden="false" customHeight="false" outlineLevel="0" collapsed="false">
      <c r="A4070" s="20" t="s">
        <v>1304</v>
      </c>
      <c r="B4070" s="22" t="s">
        <v>1086</v>
      </c>
      <c r="C4070" s="22" t="s">
        <v>1082</v>
      </c>
      <c r="D4070" s="22" t="s">
        <v>1060</v>
      </c>
      <c r="E4070" s="23" t="str">
        <f aca="false">IF(D4070="?OLD","!!!","")</f>
        <v>!!!</v>
      </c>
      <c r="F4070" s="25" t="str">
        <f aca="false">IF(OR(E4070="",E4070="!!!"),"",IF(NOT(ISNA(VLOOKUP(E4070,E$1:E4069,1,FALSE()))),"OLD",IF(AND(E4070&lt;&gt;"",E4070&lt;&gt;"!!!"),"NEW","")))</f>
        <v/>
      </c>
      <c r="G4070" s="26" t="str">
        <f aca="false">IF(OR(E4070="",E4070="!!!"),"",IF(OR(J4070=0,AND(J4070=1,K4070=1),AND(J4070=1,I4070="SBJ"),AND(J4070=1,I4070=0)),"?IN_FOCUS",IF(J4070&lt;=2,"?ACTIVATED",IF(J4070&lt;&gt;"","?FAMILIAR",IF(F4070="NEW",IF(ISNA(VLOOKUP(E4070,#REF!,1,FALSE())),"?TYPE_IDENTIFIABLE","?REFERENTIAL"),"_")))))</f>
        <v/>
      </c>
      <c r="H4070" s="27" t="str">
        <f aca="false">IF(J4070&lt;&gt;1,"",IF(I4070="SBJ","CB","?"))</f>
        <v/>
      </c>
      <c r="I4070" s="24" t="str">
        <f aca="false">IF(OR(E4070="",E4070="!!!",F4070="NEW"),"",INDEX(B3:B$4068,-1+SUMPRODUCT(MAX(ROW(E3:E$4068)*(E4070=E3:E$4068)))))</f>
        <v/>
      </c>
      <c r="J4070" s="24" t="str">
        <f aca="true">IF(OR(E4070="",E4070="!!!",F4070="NEW"),"",COUNTBLANK(OFFSET(A$1,,,SUMPRODUCT(MAX(ROW(E$2:E4070)*(E4070=E$2:E4070)))))-COUNTBLANK(OFFSET(A$1,,,SUMPRODUCT(MAX(ROW(E$1:E4069)*(E2=E$1:E4069))))))</f>
        <v/>
      </c>
      <c r="K4070" s="24" t="str">
        <f aca="false">IF(OR(E4070="",E4070="!!!",F4070="NEW"),"",INDEX(J$1:J4069,SUMPRODUCT(MAX(ROW(E$1:E4069)*(E4070=E$1:E4069)))))</f>
        <v/>
      </c>
      <c r="L4070" s="31"/>
    </row>
    <row r="4071" customFormat="false" ht="15" hidden="false" customHeight="false" outlineLevel="0" collapsed="false">
      <c r="A4071" s="20" t="s">
        <v>576</v>
      </c>
      <c r="E4071" s="23" t="str">
        <f aca="false">IF(D4071="?OLD","!!!","")</f>
        <v/>
      </c>
      <c r="F4071" s="25" t="str">
        <f aca="false">IF(OR(E4071="",E4071="!!!"),"",IF(NOT(ISNA(VLOOKUP(E4071,E$1:E4070,1,FALSE()))),"OLD",IF(AND(E4071&lt;&gt;"",E4071&lt;&gt;"!!!"),"NEW","")))</f>
        <v/>
      </c>
      <c r="G4071" s="26" t="str">
        <f aca="false">IF(OR(E4071="",E4071="!!!"),"",IF(OR(J4071=0,AND(J4071=1,K4071=1),AND(J4071=1,I4071="SBJ"),AND(J4071=1,I4071=0)),"?IN_FOCUS",IF(J4071&lt;=2,"?ACTIVATED",IF(J4071&lt;&gt;"","?FAMILIAR",IF(F4071="NEW",IF(ISNA(VLOOKUP(E4071,#REF!,1,FALSE())),"?TYPE_IDENTIFIABLE","?REFERENTIAL"),"_")))))</f>
        <v/>
      </c>
      <c r="H4071" s="27" t="str">
        <f aca="false">IF(J4071&lt;&gt;1,"",IF(I4071="SBJ","CB","?"))</f>
        <v/>
      </c>
      <c r="I4071" s="24" t="str">
        <f aca="false">IF(OR(E4071="",E4071="!!!",F4071="NEW"),"",INDEX(B4:B$4068,-1+SUMPRODUCT(MAX(ROW(E4:E$4068)*(E4071=E4:E$4068)))))</f>
        <v/>
      </c>
      <c r="J4071" s="24" t="str">
        <f aca="true">IF(OR(E4071="",E4071="!!!",F4071="NEW"),"",COUNTBLANK(OFFSET(A$1,,,SUMPRODUCT(MAX(ROW(E$2:E4071)*(E4071=E$2:E4071)))))-COUNTBLANK(OFFSET(A$1,,,SUMPRODUCT(MAX(ROW(E$1:E4070)*(E2=E$1:E4070))))))</f>
        <v/>
      </c>
      <c r="K4071" s="24" t="str">
        <f aca="false">IF(OR(E4071="",E4071="!!!",F4071="NEW"),"",INDEX(J$1:J4070,SUMPRODUCT(MAX(ROW(E$1:E4070)*(E4071=E$1:E4070)))))</f>
        <v/>
      </c>
      <c r="L4071" s="31"/>
    </row>
    <row r="4072" customFormat="false" ht="15" hidden="false" customHeight="false" outlineLevel="0" collapsed="false">
      <c r="A4072" s="20" t="s">
        <v>1862</v>
      </c>
      <c r="E4072" s="23" t="str">
        <f aca="false">IF(D4072="?OLD","!!!","")</f>
        <v/>
      </c>
      <c r="F4072" s="25" t="str">
        <f aca="false">IF(OR(E4072="",E4072="!!!"),"",IF(NOT(ISNA(VLOOKUP(E4072,E$1:E4071,1,FALSE()))),"OLD",IF(AND(E4072&lt;&gt;"",E4072&lt;&gt;"!!!"),"NEW","")))</f>
        <v/>
      </c>
      <c r="G4072" s="26" t="str">
        <f aca="false">IF(OR(E4072="",E4072="!!!"),"",IF(OR(J4072=0,AND(J4072=1,K4072=1),AND(J4072=1,I4072="SBJ"),AND(J4072=1,I4072=0)),"?IN_FOCUS",IF(J4072&lt;=2,"?ACTIVATED",IF(J4072&lt;&gt;"","?FAMILIAR",IF(F4072="NEW",IF(ISNA(VLOOKUP(E4072,#REF!,1,FALSE())),"?TYPE_IDENTIFIABLE","?REFERENTIAL"),"_")))))</f>
        <v/>
      </c>
      <c r="H4072" s="27" t="str">
        <f aca="false">IF(J4072&lt;&gt;1,"",IF(I4072="SBJ","CB","?"))</f>
        <v/>
      </c>
      <c r="I4072" s="24" t="str">
        <f aca="false">IF(OR(E4072="",E4072="!!!",F4072="NEW"),"",INDEX(B5:B$4068,-1+SUMPRODUCT(MAX(ROW(E5:E$4068)*(E4072=E5:E$4068)))))</f>
        <v/>
      </c>
      <c r="J4072" s="24" t="str">
        <f aca="true">IF(OR(E4072="",E4072="!!!",F4072="NEW"),"",COUNTBLANK(OFFSET(A$1,,,SUMPRODUCT(MAX(ROW(E$2:E4072)*(E4072=E$2:E4072)))))-COUNTBLANK(OFFSET(A$1,,,SUMPRODUCT(MAX(ROW(E$1:E4071)*(E2=E$1:E4071))))))</f>
        <v/>
      </c>
      <c r="K4072" s="24" t="str">
        <f aca="false">IF(OR(E4072="",E4072="!!!",F4072="NEW"),"",INDEX(J$1:J4071,SUMPRODUCT(MAX(ROW(E$1:E4071)*(E4072=E$1:E4071)))))</f>
        <v/>
      </c>
      <c r="L4072" s="31"/>
    </row>
    <row r="4073" customFormat="false" ht="15" hidden="false" customHeight="false" outlineLevel="0" collapsed="false">
      <c r="A4073" s="20" t="s">
        <v>2309</v>
      </c>
      <c r="E4073" s="23" t="str">
        <f aca="false">IF(D4073="?OLD","!!!","")</f>
        <v/>
      </c>
      <c r="F4073" s="25" t="str">
        <f aca="false">IF(OR(E4073="",E4073="!!!"),"",IF(NOT(ISNA(VLOOKUP(E4073,E$1:E4072,1,FALSE()))),"OLD",IF(AND(E4073&lt;&gt;"",E4073&lt;&gt;"!!!"),"NEW","")))</f>
        <v/>
      </c>
      <c r="G4073" s="26" t="str">
        <f aca="false">IF(OR(E4073="",E4073="!!!"),"",IF(OR(J4073=0,AND(J4073=1,K4073=1),AND(J4073=1,I4073="SBJ"),AND(J4073=1,I4073=0)),"?IN_FOCUS",IF(J4073&lt;=2,"?ACTIVATED",IF(J4073&lt;&gt;"","?FAMILIAR",IF(F4073="NEW",IF(ISNA(VLOOKUP(E4073,#REF!,1,FALSE())),"?TYPE_IDENTIFIABLE","?REFERENTIAL"),"_")))))</f>
        <v/>
      </c>
      <c r="H4073" s="27" t="str">
        <f aca="false">IF(J4073&lt;&gt;1,"",IF(I4073="SBJ","CB","?"))</f>
        <v/>
      </c>
      <c r="I4073" s="24" t="str">
        <f aca="false">IF(OR(E4073="",E4073="!!!",F4073="NEW"),"",INDEX(B6:B$4068,-1+SUMPRODUCT(MAX(ROW(E6:E$4068)*(E4073=E6:E$4068)))))</f>
        <v/>
      </c>
      <c r="J4073" s="24" t="str">
        <f aca="true">IF(OR(E4073="",E4073="!!!",F4073="NEW"),"",COUNTBLANK(OFFSET(A$1,,,SUMPRODUCT(MAX(ROW(E$2:E4073)*(E4073=E$2:E4073)))))-COUNTBLANK(OFFSET(A$1,,,SUMPRODUCT(MAX(ROW(E$1:E4072)*(E2=E$1:E4072))))))</f>
        <v/>
      </c>
      <c r="K4073" s="24" t="str">
        <f aca="false">IF(OR(E4073="",E4073="!!!",F4073="NEW"),"",INDEX(J$1:J4072,SUMPRODUCT(MAX(ROW(E$1:E4072)*(E4073=E$1:E4072)))))</f>
        <v/>
      </c>
      <c r="L4073" s="31"/>
    </row>
    <row r="4074" customFormat="false" ht="15" hidden="false" customHeight="false" outlineLevel="0" collapsed="false">
      <c r="A4074" s="20" t="s">
        <v>1137</v>
      </c>
      <c r="B4074" s="22" t="s">
        <v>1142</v>
      </c>
      <c r="C4074" s="22" t="s">
        <v>1082</v>
      </c>
      <c r="D4074" s="22" t="s">
        <v>1060</v>
      </c>
      <c r="E4074" s="23" t="str">
        <f aca="false">IF(D4074="?OLD","!!!","")</f>
        <v>!!!</v>
      </c>
      <c r="F4074" s="25" t="str">
        <f aca="false">IF(OR(E4074="",E4074="!!!"),"",IF(NOT(ISNA(VLOOKUP(E4074,E$1:E4073,1,FALSE()))),"OLD",IF(AND(E4074&lt;&gt;"",E4074&lt;&gt;"!!!"),"NEW","")))</f>
        <v/>
      </c>
      <c r="G4074" s="26" t="str">
        <f aca="false">IF(OR(E4074="",E4074="!!!"),"",IF(OR(J4074=0,AND(J4074=1,K4074=1),AND(J4074=1,I4074="SBJ"),AND(J4074=1,I4074=0)),"?IN_FOCUS",IF(J4074&lt;=2,"?ACTIVATED",IF(J4074&lt;&gt;"","?FAMILIAR",IF(F4074="NEW",IF(ISNA(VLOOKUP(E4074,#REF!,1,FALSE())),"?TYPE_IDENTIFIABLE","?REFERENTIAL"),"_")))))</f>
        <v/>
      </c>
      <c r="H4074" s="27" t="str">
        <f aca="false">IF(J4074&lt;&gt;1,"",IF(I4074="SBJ","CB","?"))</f>
        <v/>
      </c>
      <c r="I4074" s="24" t="str">
        <f aca="false">IF(OR(E4074="",E4074="!!!",F4074="NEW"),"",INDEX(B7:B$4068,-1+SUMPRODUCT(MAX(ROW(E7:E$4068)*(E4074=E7:E$4068)))))</f>
        <v/>
      </c>
      <c r="J4074" s="24" t="str">
        <f aca="true">IF(OR(E4074="",E4074="!!!",F4074="NEW"),"",COUNTBLANK(OFFSET(A$1,,,SUMPRODUCT(MAX(ROW(E$2:E4074)*(E4074=E$2:E4074)))))-COUNTBLANK(OFFSET(A$1,,,SUMPRODUCT(MAX(ROW(E$1:E4073)*(E2=E$1:E4073))))))</f>
        <v/>
      </c>
      <c r="K4074" s="24" t="str">
        <f aca="false">IF(OR(E4074="",E4074="!!!",F4074="NEW"),"",INDEX(J$1:J4073,SUMPRODUCT(MAX(ROW(E$1:E4073)*(E4074=E$1:E4073)))))</f>
        <v/>
      </c>
      <c r="L4074" s="31"/>
    </row>
    <row r="4075" customFormat="false" ht="15" hidden="false" customHeight="false" outlineLevel="0" collapsed="false">
      <c r="A4075" s="20" t="s">
        <v>1173</v>
      </c>
      <c r="E4075" s="23" t="str">
        <f aca="false">IF(D4075="?OLD","!!!","")</f>
        <v/>
      </c>
      <c r="F4075" s="25" t="str">
        <f aca="false">IF(OR(E4075="",E4075="!!!"),"",IF(NOT(ISNA(VLOOKUP(E4075,E$1:E4074,1,FALSE()))),"OLD",IF(AND(E4075&lt;&gt;"",E4075&lt;&gt;"!!!"),"NEW","")))</f>
        <v/>
      </c>
      <c r="G4075" s="26" t="str">
        <f aca="false">IF(OR(E4075="",E4075="!!!"),"",IF(OR(J4075=0,AND(J4075=1,K4075=1),AND(J4075=1,I4075="SBJ"),AND(J4075=1,I4075=0)),"?IN_FOCUS",IF(J4075&lt;=2,"?ACTIVATED",IF(J4075&lt;&gt;"","?FAMILIAR",IF(F4075="NEW",IF(ISNA(VLOOKUP(E4075,#REF!,1,FALSE())),"?TYPE_IDENTIFIABLE","?REFERENTIAL"),"_")))))</f>
        <v/>
      </c>
      <c r="H4075" s="27" t="str">
        <f aca="false">IF(J4075&lt;&gt;1,"",IF(I4075="SBJ","CB","?"))</f>
        <v/>
      </c>
      <c r="I4075" s="24" t="str">
        <f aca="false">IF(OR(E4075="",E4075="!!!",F4075="NEW"),"",INDEX(B8:B$4068,-1+SUMPRODUCT(MAX(ROW(E8:E$4068)*(E4075=E8:E$4068)))))</f>
        <v/>
      </c>
      <c r="J4075" s="24" t="str">
        <f aca="true">IF(OR(E4075="",E4075="!!!",F4075="NEW"),"",COUNTBLANK(OFFSET(A$1,,,SUMPRODUCT(MAX(ROW(E$2:E4075)*(E4075=E$2:E4075)))))-COUNTBLANK(OFFSET(A$1,,,SUMPRODUCT(MAX(ROW(E$1:E4074)*(E2=E$1:E4074))))))</f>
        <v/>
      </c>
      <c r="K4075" s="24" t="str">
        <f aca="false">IF(OR(E4075="",E4075="!!!",F4075="NEW"),"",INDEX(J$1:J4074,SUMPRODUCT(MAX(ROW(E$1:E4074)*(E4075=E$1:E4074)))))</f>
        <v/>
      </c>
      <c r="L4075" s="31"/>
    </row>
    <row r="4076" customFormat="false" ht="15" hidden="false" customHeight="false" outlineLevel="0" collapsed="false">
      <c r="A4076" s="20" t="s">
        <v>2310</v>
      </c>
      <c r="B4076" s="22" t="s">
        <v>1073</v>
      </c>
      <c r="C4076" s="22" t="s">
        <v>1160</v>
      </c>
      <c r="E4076" s="23" t="str">
        <f aca="false">IF(D4076="?OLD","!!!","")</f>
        <v/>
      </c>
      <c r="F4076" s="25" t="str">
        <f aca="false">IF(OR(E4076="",E4076="!!!"),"",IF(NOT(ISNA(VLOOKUP(E4076,E$1:E4075,1,FALSE()))),"OLD",IF(AND(E4076&lt;&gt;"",E4076&lt;&gt;"!!!"),"NEW","")))</f>
        <v/>
      </c>
      <c r="G4076" s="26" t="str">
        <f aca="false">IF(OR(E4076="",E4076="!!!"),"",IF(OR(J4076=0,AND(J4076=1,K4076=1),AND(J4076=1,I4076="SBJ"),AND(J4076=1,I4076=0)),"?IN_FOCUS",IF(J4076&lt;=2,"?ACTIVATED",IF(J4076&lt;&gt;"","?FAMILIAR",IF(F4076="NEW",IF(ISNA(VLOOKUP(E4076,#REF!,1,FALSE())),"?TYPE_IDENTIFIABLE","?REFERENTIAL"),"_")))))</f>
        <v/>
      </c>
      <c r="H4076" s="27" t="str">
        <f aca="false">IF(J4076&lt;&gt;1,"",IF(I4076="SBJ","CB","?"))</f>
        <v/>
      </c>
      <c r="I4076" s="24" t="str">
        <f aca="false">IF(OR(E4076="",E4076="!!!",F4076="NEW"),"",INDEX(B9:B$4068,-1+SUMPRODUCT(MAX(ROW(E9:E$4068)*(E4076=E9:E$4068)))))</f>
        <v/>
      </c>
      <c r="J4076" s="24" t="str">
        <f aca="true">IF(OR(E4076="",E4076="!!!",F4076="NEW"),"",COUNTBLANK(OFFSET(A$1,,,SUMPRODUCT(MAX(ROW(E$2:E4076)*(E4076=E$2:E4076)))))-COUNTBLANK(OFFSET(A$1,,,SUMPRODUCT(MAX(ROW(E$1:E4075)*(E2=E$1:E4075))))))</f>
        <v/>
      </c>
      <c r="K4076" s="24" t="str">
        <f aca="false">IF(OR(E4076="",E4076="!!!",F4076="NEW"),"",INDEX(J$1:J4075,SUMPRODUCT(MAX(ROW(E$1:E4075)*(E4076=E$1:E4075)))))</f>
        <v/>
      </c>
      <c r="L4076" s="31"/>
    </row>
    <row r="4077" customFormat="false" ht="15" hidden="false" customHeight="false" outlineLevel="0" collapsed="false">
      <c r="A4077" s="20" t="s">
        <v>1076</v>
      </c>
      <c r="E4077" s="23" t="str">
        <f aca="false">IF(D4077="?OLD","!!!","")</f>
        <v/>
      </c>
      <c r="F4077" s="25" t="str">
        <f aca="false">IF(OR(E4077="",E4077="!!!"),"",IF(NOT(ISNA(VLOOKUP(E4077,E$1:E4076,1,FALSE()))),"OLD",IF(AND(E4077&lt;&gt;"",E4077&lt;&gt;"!!!"),"NEW","")))</f>
        <v/>
      </c>
      <c r="G4077" s="26" t="str">
        <f aca="false">IF(OR(E4077="",E4077="!!!"),"",IF(OR(J4077=0,AND(J4077=1,K4077=1),AND(J4077=1,I4077="SBJ"),AND(J4077=1,I4077=0)),"?IN_FOCUS",IF(J4077&lt;=2,"?ACTIVATED",IF(J4077&lt;&gt;"","?FAMILIAR",IF(F4077="NEW",IF(ISNA(VLOOKUP(E4077,#REF!,1,FALSE())),"?TYPE_IDENTIFIABLE","?REFERENTIAL"),"_")))))</f>
        <v/>
      </c>
      <c r="H4077" s="27" t="str">
        <f aca="false">IF(J4077&lt;&gt;1,"",IF(I4077="SBJ","CB","?"))</f>
        <v/>
      </c>
      <c r="I4077" s="24" t="str">
        <f aca="false">IF(OR(E4077="",E4077="!!!",F4077="NEW"),"",INDEX(B10:B$4068,-1+SUMPRODUCT(MAX(ROW(E10:E$4068)*(E4077=E10:E$4068)))))</f>
        <v/>
      </c>
      <c r="J4077" s="24" t="str">
        <f aca="true">IF(OR(E4077="",E4077="!!!",F4077="NEW"),"",COUNTBLANK(OFFSET(A$1,,,SUMPRODUCT(MAX(ROW(E$2:E4077)*(E4077=E$2:E4077)))))-COUNTBLANK(OFFSET(A$1,,,SUMPRODUCT(MAX(ROW(E$1:E4076)*(E2=E$1:E4076))))))</f>
        <v/>
      </c>
      <c r="K4077" s="24" t="str">
        <f aca="false">IF(OR(E4077="",E4077="!!!",F4077="NEW"),"",INDEX(J$1:J4076,SUMPRODUCT(MAX(ROW(E$1:E4076)*(E4077=E$1:E4076)))))</f>
        <v/>
      </c>
      <c r="L4077" s="31"/>
    </row>
    <row r="4078" customFormat="false" ht="15" hidden="false" customHeight="false" outlineLevel="0" collapsed="false">
      <c r="A4078" s="20" t="s">
        <v>591</v>
      </c>
      <c r="E4078" s="23" t="str">
        <f aca="false">IF(D4078="?OLD","!!!","")</f>
        <v/>
      </c>
      <c r="F4078" s="25" t="str">
        <f aca="false">IF(OR(E4078="",E4078="!!!"),"",IF(NOT(ISNA(VLOOKUP(E4078,E$1:E4077,1,FALSE()))),"OLD",IF(AND(E4078&lt;&gt;"",E4078&lt;&gt;"!!!"),"NEW","")))</f>
        <v/>
      </c>
      <c r="G4078" s="26" t="str">
        <f aca="false">IF(OR(E4078="",E4078="!!!"),"",IF(OR(J4078=0,AND(J4078=1,K4078=1),AND(J4078=1,I4078="SBJ"),AND(J4078=1,I4078=0)),"?IN_FOCUS",IF(J4078&lt;=2,"?ACTIVATED",IF(J4078&lt;&gt;"","?FAMILIAR",IF(F4078="NEW",IF(ISNA(VLOOKUP(E4078,#REF!,1,FALSE())),"?TYPE_IDENTIFIABLE","?REFERENTIAL"),"_")))))</f>
        <v/>
      </c>
      <c r="H4078" s="27" t="str">
        <f aca="false">IF(J4078&lt;&gt;1,"",IF(I4078="SBJ","CB","?"))</f>
        <v/>
      </c>
      <c r="I4078" s="24" t="str">
        <f aca="false">IF(OR(E4078="",E4078="!!!",F4078="NEW"),"",INDEX(B11:B$4068,-1+SUMPRODUCT(MAX(ROW(E11:E$4068)*(E4078=E11:E$4068)))))</f>
        <v/>
      </c>
      <c r="J4078" s="24" t="str">
        <f aca="true">IF(OR(E4078="",E4078="!!!",F4078="NEW"),"",COUNTBLANK(OFFSET(A$1,,,SUMPRODUCT(MAX(ROW(E$2:E4078)*(E4078=E$2:E4078)))))-COUNTBLANK(OFFSET(A$1,,,SUMPRODUCT(MAX(ROW(E$1:E4077)*(E2=E$1:E4077))))))</f>
        <v/>
      </c>
      <c r="K4078" s="24" t="str">
        <f aca="false">IF(OR(E4078="",E4078="!!!",F4078="NEW"),"",INDEX(J$1:J4077,SUMPRODUCT(MAX(ROW(E$1:E4077)*(E4078=E$1:E4077)))))</f>
        <v/>
      </c>
      <c r="L4078" s="31"/>
    </row>
    <row r="4079" customFormat="false" ht="15" hidden="false" customHeight="false" outlineLevel="0" collapsed="false">
      <c r="A4079" s="20" t="s">
        <v>1179</v>
      </c>
      <c r="B4079" s="22" t="s">
        <v>1081</v>
      </c>
      <c r="C4079" s="22" t="s">
        <v>1082</v>
      </c>
      <c r="D4079" s="22" t="s">
        <v>1060</v>
      </c>
      <c r="E4079" s="23" t="str">
        <f aca="false">IF(D4079="?OLD","!!!","")</f>
        <v>!!!</v>
      </c>
      <c r="F4079" s="25" t="str">
        <f aca="false">IF(OR(E4079="",E4079="!!!"),"",IF(NOT(ISNA(VLOOKUP(E4079,E$1:E4078,1,FALSE()))),"OLD",IF(AND(E4079&lt;&gt;"",E4079&lt;&gt;"!!!"),"NEW","")))</f>
        <v/>
      </c>
      <c r="G4079" s="26" t="str">
        <f aca="false">IF(OR(E4079="",E4079="!!!"),"",IF(OR(J4079=0,AND(J4079=1,K4079=1),AND(J4079=1,I4079="SBJ"),AND(J4079=1,I4079=0)),"?IN_FOCUS",IF(J4079&lt;=2,"?ACTIVATED",IF(J4079&lt;&gt;"","?FAMILIAR",IF(F4079="NEW",IF(ISNA(VLOOKUP(E4079,#REF!,1,FALSE())),"?TYPE_IDENTIFIABLE","?REFERENTIAL"),"_")))))</f>
        <v/>
      </c>
      <c r="H4079" s="27" t="str">
        <f aca="false">IF(J4079&lt;&gt;1,"",IF(I4079="SBJ","CB","?"))</f>
        <v/>
      </c>
      <c r="I4079" s="24" t="str">
        <f aca="false">IF(OR(E4079="",E4079="!!!",F4079="NEW"),"",INDEX(B12:B$4068,-1+SUMPRODUCT(MAX(ROW(E12:E$4068)*(E4079=E12:E$4068)))))</f>
        <v/>
      </c>
      <c r="J4079" s="24" t="str">
        <f aca="true">IF(OR(E4079="",E4079="!!!",F4079="NEW"),"",COUNTBLANK(OFFSET(A$1,,,SUMPRODUCT(MAX(ROW(E$2:E4079)*(E4079=E$2:E4079)))))-COUNTBLANK(OFFSET(A$1,,,SUMPRODUCT(MAX(ROW(E$1:E4078)*(E2=E$1:E4078))))))</f>
        <v/>
      </c>
      <c r="K4079" s="24" t="str">
        <f aca="false">IF(OR(E4079="",E4079="!!!",F4079="NEW"),"",INDEX(J$1:J4078,SUMPRODUCT(MAX(ROW(E$1:E4078)*(E4079=E$1:E4078)))))</f>
        <v/>
      </c>
      <c r="L4079" s="31"/>
    </row>
    <row r="4080" customFormat="false" ht="15" hidden="false" customHeight="false" outlineLevel="0" collapsed="false">
      <c r="A4080" s="20" t="s">
        <v>1343</v>
      </c>
      <c r="E4080" s="23" t="str">
        <f aca="false">IF(D4080="?OLD","!!!","")</f>
        <v/>
      </c>
      <c r="F4080" s="25" t="str">
        <f aca="false">IF(OR(E4080="",E4080="!!!"),"",IF(NOT(ISNA(VLOOKUP(E4080,E$1:E4079,1,FALSE()))),"OLD",IF(AND(E4080&lt;&gt;"",E4080&lt;&gt;"!!!"),"NEW","")))</f>
        <v/>
      </c>
      <c r="G4080" s="26" t="str">
        <f aca="false">IF(OR(E4080="",E4080="!!!"),"",IF(OR(J4080=0,AND(J4080=1,K4080=1),AND(J4080=1,I4080="SBJ"),AND(J4080=1,I4080=0)),"?IN_FOCUS",IF(J4080&lt;=2,"?ACTIVATED",IF(J4080&lt;&gt;"","?FAMILIAR",IF(F4080="NEW",IF(ISNA(VLOOKUP(E4080,#REF!,1,FALSE())),"?TYPE_IDENTIFIABLE","?REFERENTIAL"),"_")))))</f>
        <v/>
      </c>
      <c r="H4080" s="27" t="str">
        <f aca="false">IF(J4080&lt;&gt;1,"",IF(I4080="SBJ","CB","?"))</f>
        <v/>
      </c>
      <c r="I4080" s="24" t="str">
        <f aca="false">IF(OR(E4080="",E4080="!!!",F4080="NEW"),"",INDEX(B13:B$4068,-1+SUMPRODUCT(MAX(ROW(E13:E$4068)*(E4080=E13:E$4068)))))</f>
        <v/>
      </c>
      <c r="J4080" s="24" t="str">
        <f aca="true">IF(OR(E4080="",E4080="!!!",F4080="NEW"),"",COUNTBLANK(OFFSET(A$1,,,SUMPRODUCT(MAX(ROW(E$2:E4080)*(E4080=E$2:E4080)))))-COUNTBLANK(OFFSET(A$1,,,SUMPRODUCT(MAX(ROW(E$1:E4079)*(E2=E$1:E4079))))))</f>
        <v/>
      </c>
      <c r="K4080" s="24" t="str">
        <f aca="false">IF(OR(E4080="",E4080="!!!",F4080="NEW"),"",INDEX(J$1:J4079,SUMPRODUCT(MAX(ROW(E$1:E4079)*(E4080=E$1:E4079)))))</f>
        <v/>
      </c>
      <c r="L4080" s="31"/>
    </row>
    <row r="4081" customFormat="false" ht="15" hidden="false" customHeight="false" outlineLevel="0" collapsed="false">
      <c r="A4081" s="20" t="s">
        <v>1128</v>
      </c>
      <c r="E4081" s="23" t="str">
        <f aca="false">IF(D4081="?OLD","!!!","")</f>
        <v/>
      </c>
      <c r="F4081" s="25" t="str">
        <f aca="false">IF(OR(E4081="",E4081="!!!"),"",IF(NOT(ISNA(VLOOKUP(E4081,E$1:E4080,1,FALSE()))),"OLD",IF(AND(E4081&lt;&gt;"",E4081&lt;&gt;"!!!"),"NEW","")))</f>
        <v/>
      </c>
      <c r="G4081" s="26" t="str">
        <f aca="false">IF(OR(E4081="",E4081="!!!"),"",IF(OR(J4081=0,AND(J4081=1,K4081=1),AND(J4081=1,I4081="SBJ"),AND(J4081=1,I4081=0)),"?IN_FOCUS",IF(J4081&lt;=2,"?ACTIVATED",IF(J4081&lt;&gt;"","?FAMILIAR",IF(F4081="NEW",IF(ISNA(VLOOKUP(E4081,#REF!,1,FALSE())),"?TYPE_IDENTIFIABLE","?REFERENTIAL"),"_")))))</f>
        <v/>
      </c>
      <c r="H4081" s="27" t="str">
        <f aca="false">IF(J4081&lt;&gt;1,"",IF(I4081="SBJ","CB","?"))</f>
        <v/>
      </c>
      <c r="I4081" s="24" t="str">
        <f aca="false">IF(OR(E4081="",E4081="!!!",F4081="NEW"),"",INDEX(B14:B$4068,-1+SUMPRODUCT(MAX(ROW(E14:E$4068)*(E4081=E14:E$4068)))))</f>
        <v/>
      </c>
      <c r="J4081" s="24" t="str">
        <f aca="true">IF(OR(E4081="",E4081="!!!",F4081="NEW"),"",COUNTBLANK(OFFSET(A$1,,,SUMPRODUCT(MAX(ROW(E$2:E4081)*(E4081=E$2:E4081)))))-COUNTBLANK(OFFSET(A$1,,,SUMPRODUCT(MAX(ROW(E$1:E4080)*(E2=E$1:E4080))))))</f>
        <v/>
      </c>
      <c r="K4081" s="24" t="str">
        <f aca="false">IF(OR(E4081="",E4081="!!!",F4081="NEW"),"",INDEX(J$1:J4080,SUMPRODUCT(MAX(ROW(E$1:E4080)*(E4081=E$1:E4080)))))</f>
        <v/>
      </c>
      <c r="L4081" s="31"/>
    </row>
    <row r="4082" customFormat="false" ht="15" hidden="false" customHeight="false" outlineLevel="0" collapsed="false">
      <c r="A4082" s="20" t="s">
        <v>587</v>
      </c>
      <c r="E4082" s="23" t="str">
        <f aca="false">IF(D4082="?OLD","!!!","")</f>
        <v/>
      </c>
      <c r="F4082" s="25" t="str">
        <f aca="false">IF(OR(E4082="",E4082="!!!"),"",IF(NOT(ISNA(VLOOKUP(E4082,E$1:E4081,1,FALSE()))),"OLD",IF(AND(E4082&lt;&gt;"",E4082&lt;&gt;"!!!"),"NEW","")))</f>
        <v/>
      </c>
      <c r="G4082" s="26" t="str">
        <f aca="false">IF(OR(E4082="",E4082="!!!"),"",IF(OR(J4082=0,AND(J4082=1,K4082=1),AND(J4082=1,I4082="SBJ"),AND(J4082=1,I4082=0)),"?IN_FOCUS",IF(J4082&lt;=2,"?ACTIVATED",IF(J4082&lt;&gt;"","?FAMILIAR",IF(F4082="NEW",IF(ISNA(VLOOKUP(E4082,#REF!,1,FALSE())),"?TYPE_IDENTIFIABLE","?REFERENTIAL"),"_")))))</f>
        <v/>
      </c>
      <c r="H4082" s="27" t="str">
        <f aca="false">IF(J4082&lt;&gt;1,"",IF(I4082="SBJ","CB","?"))</f>
        <v/>
      </c>
      <c r="I4082" s="24" t="str">
        <f aca="false">IF(OR(E4082="",E4082="!!!",F4082="NEW"),"",INDEX(B15:B$4068,-1+SUMPRODUCT(MAX(ROW(E15:E$4068)*(E4082=E15:E$4068)))))</f>
        <v/>
      </c>
      <c r="J4082" s="24" t="str">
        <f aca="true">IF(OR(E4082="",E4082="!!!",F4082="NEW"),"",COUNTBLANK(OFFSET(A$1,,,SUMPRODUCT(MAX(ROW(E$2:E4082)*(E4082=E$2:E4082)))))-COUNTBLANK(OFFSET(A$1,,,SUMPRODUCT(MAX(ROW(E$1:E4081)*(E2=E$1:E4081))))))</f>
        <v/>
      </c>
      <c r="K4082" s="24" t="str">
        <f aca="false">IF(OR(E4082="",E4082="!!!",F4082="NEW"),"",INDEX(J$1:J4081,SUMPRODUCT(MAX(ROW(E$1:E4081)*(E4082=E$1:E4081)))))</f>
        <v/>
      </c>
      <c r="L4082" s="31"/>
    </row>
    <row r="4083" customFormat="false" ht="15" hidden="false" customHeight="false" outlineLevel="0" collapsed="false">
      <c r="A4083" s="20" t="s">
        <v>2311</v>
      </c>
      <c r="E4083" s="23" t="str">
        <f aca="false">IF(D4083="?OLD","!!!","")</f>
        <v/>
      </c>
      <c r="F4083" s="25" t="str">
        <f aca="false">IF(OR(E4083="",E4083="!!!"),"",IF(NOT(ISNA(VLOOKUP(E4083,E$1:E4082,1,FALSE()))),"OLD",IF(AND(E4083&lt;&gt;"",E4083&lt;&gt;"!!!"),"NEW","")))</f>
        <v/>
      </c>
      <c r="G4083" s="26" t="str">
        <f aca="false">IF(OR(E4083="",E4083="!!!"),"",IF(OR(J4083=0,AND(J4083=1,K4083=1),AND(J4083=1,I4083="SBJ"),AND(J4083=1,I4083=0)),"?IN_FOCUS",IF(J4083&lt;=2,"?ACTIVATED",IF(J4083&lt;&gt;"","?FAMILIAR",IF(F4083="NEW",IF(ISNA(VLOOKUP(E4083,#REF!,1,FALSE())),"?TYPE_IDENTIFIABLE","?REFERENTIAL"),"_")))))</f>
        <v/>
      </c>
      <c r="H4083" s="27" t="str">
        <f aca="false">IF(J4083&lt;&gt;1,"",IF(I4083="SBJ","CB","?"))</f>
        <v/>
      </c>
      <c r="I4083" s="24" t="str">
        <f aca="false">IF(OR(E4083="",E4083="!!!",F4083="NEW"),"",INDEX(B16:B$4068,-1+SUMPRODUCT(MAX(ROW(E16:E$4068)*(E4083=E16:E$4068)))))</f>
        <v/>
      </c>
      <c r="J4083" s="24" t="str">
        <f aca="true">IF(OR(E4083="",E4083="!!!",F4083="NEW"),"",COUNTBLANK(OFFSET(A$1,,,SUMPRODUCT(MAX(ROW(E$2:E4083)*(E4083=E$2:E4083)))))-COUNTBLANK(OFFSET(A$1,,,SUMPRODUCT(MAX(ROW(E$1:E4082)*(E2=E$1:E4082))))))</f>
        <v/>
      </c>
      <c r="K4083" s="24" t="str">
        <f aca="false">IF(OR(E4083="",E4083="!!!",F4083="NEW"),"",INDEX(J$1:J4082,SUMPRODUCT(MAX(ROW(E$1:E4082)*(E4083=E$1:E4082)))))</f>
        <v/>
      </c>
      <c r="L4083" s="31"/>
    </row>
    <row r="4084" customFormat="false" ht="15" hidden="false" customHeight="false" outlineLevel="0" collapsed="false">
      <c r="A4084" s="20" t="s">
        <v>923</v>
      </c>
      <c r="E4084" s="23" t="str">
        <f aca="false">IF(D4084="?OLD","!!!","")</f>
        <v/>
      </c>
      <c r="F4084" s="25" t="str">
        <f aca="false">IF(OR(E4084="",E4084="!!!"),"",IF(NOT(ISNA(VLOOKUP(E4084,E$1:E4083,1,FALSE()))),"OLD",IF(AND(E4084&lt;&gt;"",E4084&lt;&gt;"!!!"),"NEW","")))</f>
        <v/>
      </c>
      <c r="G4084" s="26" t="str">
        <f aca="false">IF(OR(E4084="",E4084="!!!"),"",IF(OR(J4084=0,AND(J4084=1,K4084=1),AND(J4084=1,I4084="SBJ"),AND(J4084=1,I4084=0)),"?IN_FOCUS",IF(J4084&lt;=2,"?ACTIVATED",IF(J4084&lt;&gt;"","?FAMILIAR",IF(F4084="NEW",IF(ISNA(VLOOKUP(E4084,#REF!,1,FALSE())),"?TYPE_IDENTIFIABLE","?REFERENTIAL"),"_")))))</f>
        <v/>
      </c>
      <c r="H4084" s="27" t="str">
        <f aca="false">IF(J4084&lt;&gt;1,"",IF(I4084="SBJ","CB","?"))</f>
        <v/>
      </c>
      <c r="I4084" s="24" t="str">
        <f aca="false">IF(OR(E4084="",E4084="!!!",F4084="NEW"),"",INDEX(B17:B$4068,-1+SUMPRODUCT(MAX(ROW(E17:E$4068)*(E4084=E17:E$4068)))))</f>
        <v/>
      </c>
      <c r="J4084" s="24" t="str">
        <f aca="true">IF(OR(E4084="",E4084="!!!",F4084="NEW"),"",COUNTBLANK(OFFSET(A$1,,,SUMPRODUCT(MAX(ROW(E$2:E4084)*(E4084=E$2:E4084)))))-COUNTBLANK(OFFSET(A$1,,,SUMPRODUCT(MAX(ROW(E$1:E4083)*(E2=E$1:E4083))))))</f>
        <v/>
      </c>
      <c r="K4084" s="24" t="str">
        <f aca="false">IF(OR(E4084="",E4084="!!!",F4084="NEW"),"",INDEX(J$1:J4083,SUMPRODUCT(MAX(ROW(E$1:E4083)*(E4084=E$1:E4083)))))</f>
        <v/>
      </c>
      <c r="L4084" s="31"/>
    </row>
    <row r="4085" customFormat="false" ht="15" hidden="false" customHeight="false" outlineLevel="0" collapsed="false">
      <c r="A4085" s="20" t="s">
        <v>607</v>
      </c>
      <c r="E4085" s="23" t="str">
        <f aca="false">IF(D4085="?OLD","!!!","")</f>
        <v/>
      </c>
      <c r="F4085" s="25" t="str">
        <f aca="false">IF(OR(E4085="",E4085="!!!"),"",IF(NOT(ISNA(VLOOKUP(E4085,E$1:E4084,1,FALSE()))),"OLD",IF(AND(E4085&lt;&gt;"",E4085&lt;&gt;"!!!"),"NEW","")))</f>
        <v/>
      </c>
      <c r="G4085" s="26" t="str">
        <f aca="false">IF(OR(E4085="",E4085="!!!"),"",IF(OR(J4085=0,AND(J4085=1,K4085=1),AND(J4085=1,I4085="SBJ"),AND(J4085=1,I4085=0)),"?IN_FOCUS",IF(J4085&lt;=2,"?ACTIVATED",IF(J4085&lt;&gt;"","?FAMILIAR",IF(F4085="NEW",IF(ISNA(VLOOKUP(E4085,#REF!,1,FALSE())),"?TYPE_IDENTIFIABLE","?REFERENTIAL"),"_")))))</f>
        <v/>
      </c>
      <c r="H4085" s="27" t="str">
        <f aca="false">IF(J4085&lt;&gt;1,"",IF(I4085="SBJ","CB","?"))</f>
        <v/>
      </c>
      <c r="I4085" s="24" t="str">
        <f aca="false">IF(OR(E4085="",E4085="!!!",F4085="NEW"),"",INDEX(B18:B$4068,-1+SUMPRODUCT(MAX(ROW(E18:E$4068)*(E4085=E18:E$4068)))))</f>
        <v/>
      </c>
      <c r="J4085" s="24" t="str">
        <f aca="true">IF(OR(E4085="",E4085="!!!",F4085="NEW"),"",COUNTBLANK(OFFSET(A$1,,,SUMPRODUCT(MAX(ROW(E$2:E4085)*(E4085=E$2:E4085)))))-COUNTBLANK(OFFSET(A$1,,,SUMPRODUCT(MAX(ROW(E$1:E4084)*(E2=E$1:E4084))))))</f>
        <v/>
      </c>
      <c r="K4085" s="24" t="str">
        <f aca="false">IF(OR(E4085="",E4085="!!!",F4085="NEW"),"",INDEX(J$1:J4084,SUMPRODUCT(MAX(ROW(E$1:E4084)*(E4085=E$1:E4084)))))</f>
        <v/>
      </c>
      <c r="L4085" s="31"/>
    </row>
    <row r="4086" customFormat="false" ht="15" hidden="false" customHeight="false" outlineLevel="0" collapsed="false">
      <c r="A4086" s="20"/>
    </row>
    <row r="4087" customFormat="false" ht="15" hidden="false" customHeight="false" outlineLevel="0" collapsed="false">
      <c r="A4087" s="20" t="s">
        <v>1301</v>
      </c>
      <c r="E4087" s="23" t="str">
        <f aca="false">IF(D4087="?OLD","!!!","")</f>
        <v/>
      </c>
      <c r="F4087" s="25" t="str">
        <f aca="false">IF(OR(E4087="",E4087="!!!"),"",IF(NOT(ISNA(VLOOKUP(E4087,E$1:E4086,1,FALSE()))),"OLD",IF(AND(E4087&lt;&gt;"",E4087&lt;&gt;"!!!"),"NEW","")))</f>
        <v/>
      </c>
      <c r="G4087" s="26" t="str">
        <f aca="false">IF(OR(E4087="",E4087="!!!"),"",IF(OR(J4087=0,AND(J4087=1,K4087=1),AND(J4087=1,I4087="SBJ"),AND(J4087=1,I4087=0)),"?IN_FOCUS",IF(J4087&lt;=2,"?ACTIVATED",IF(J4087&lt;&gt;"","?FAMILIAR",IF(F4087="NEW",IF(ISNA(VLOOKUP(E4087,#REF!,1,FALSE())),"?TYPE_IDENTIFIABLE","?REFERENTIAL"),"_")))))</f>
        <v/>
      </c>
      <c r="H4087" s="27" t="str">
        <f aca="false">IF(J4087&lt;&gt;1,"",IF(I4087="SBJ","CB","?"))</f>
        <v/>
      </c>
      <c r="I4087" s="24" t="str">
        <f aca="false">IF(OR(E4087="",E4087="!!!",F4087="NEW"),"",INDEX(B2:B$4086,-1+SUMPRODUCT(MAX(ROW(E2:E$4086)*(E4087=E2:E$4086)))))</f>
        <v/>
      </c>
      <c r="J4087" s="24" t="str">
        <f aca="true">IF(OR(E4087="",E4087="!!!",F4087="NEW"),"",COUNTBLANK(OFFSET(A$1,,,SUMPRODUCT(MAX(ROW(E$2:E4087)*(E4087=E$2:E4087)))))-COUNTBLANK(OFFSET(A$1,,,SUMPRODUCT(MAX(ROW(E$1:E4086)*(E2=E$1:E4086))))))</f>
        <v/>
      </c>
      <c r="K4087" s="24" t="str">
        <f aca="false">IF(OR(E4087="",E4087="!!!",F4087="NEW"),"",INDEX(J$1:J4086,SUMPRODUCT(MAX(ROW(E$1:E4086)*(E4087=E$1:E4086)))))</f>
        <v/>
      </c>
      <c r="L4087" s="31"/>
    </row>
    <row r="4088" customFormat="false" ht="15" hidden="false" customHeight="false" outlineLevel="0" collapsed="false">
      <c r="A4088" s="20" t="s">
        <v>2312</v>
      </c>
    </row>
    <row r="4089" customFormat="false" ht="15" hidden="false" customHeight="false" outlineLevel="0" collapsed="false">
      <c r="A4089" s="20" t="s">
        <v>607</v>
      </c>
      <c r="E4089" s="23" t="str">
        <f aca="false">IF(D4089="?OLD","!!!","")</f>
        <v/>
      </c>
      <c r="F4089" s="25" t="str">
        <f aca="false">IF(OR(E4089="",E4089="!!!"),"",IF(NOT(ISNA(VLOOKUP(E4089,E$1:E4088,1,FALSE()))),"OLD",IF(AND(E4089&lt;&gt;"",E4089&lt;&gt;"!!!"),"NEW","")))</f>
        <v/>
      </c>
      <c r="G4089" s="26" t="str">
        <f aca="false">IF(OR(E4089="",E4089="!!!"),"",IF(OR(J4089=0,AND(J4089=1,K4089=1),AND(J4089=1,I4089="SBJ"),AND(J4089=1,I4089=0)),"?IN_FOCUS",IF(J4089&lt;=2,"?ACTIVATED",IF(J4089&lt;&gt;"","?FAMILIAR",IF(F4089="NEW",IF(ISNA(VLOOKUP(E4089,#REF!,1,FALSE())),"?TYPE_IDENTIFIABLE","?REFERENTIAL"),"_")))))</f>
        <v/>
      </c>
      <c r="H4089" s="27" t="str">
        <f aca="false">IF(J4089&lt;&gt;1,"",IF(I4089="SBJ","CB","?"))</f>
        <v/>
      </c>
      <c r="I4089" s="24" t="str">
        <f aca="false">IF(OR(E4089="",E4089="!!!",F4089="NEW"),"",INDEX(B2:B$4088,-1+SUMPRODUCT(MAX(ROW(E2:E$4088)*(E4089=E2:E$4088)))))</f>
        <v/>
      </c>
      <c r="J4089" s="24" t="str">
        <f aca="true">IF(OR(E4089="",E4089="!!!",F4089="NEW"),"",COUNTBLANK(OFFSET(A$1,,,SUMPRODUCT(MAX(ROW(E$2:E4089)*(E4089=E$2:E4089)))))-COUNTBLANK(OFFSET(A$1,,,SUMPRODUCT(MAX(ROW(E$1:E4088)*(E2=E$1:E4088))))))</f>
        <v/>
      </c>
      <c r="K4089" s="24" t="str">
        <f aca="false">IF(OR(E4089="",E4089="!!!",F4089="NEW"),"",INDEX(J$1:J4088,SUMPRODUCT(MAX(ROW(E$1:E4088)*(E4089=E$1:E4088)))))</f>
        <v/>
      </c>
      <c r="L4089" s="31"/>
    </row>
    <row r="4090" customFormat="false" ht="15" hidden="false" customHeight="false" outlineLevel="0" collapsed="false">
      <c r="A4090" s="20" t="s">
        <v>1478</v>
      </c>
      <c r="E4090" s="23" t="str">
        <f aca="false">IF(D4090="?OLD","!!!","")</f>
        <v/>
      </c>
      <c r="F4090" s="25" t="str">
        <f aca="false">IF(OR(E4090="",E4090="!!!"),"",IF(NOT(ISNA(VLOOKUP(E4090,E$1:E4089,1,FALSE()))),"OLD",IF(AND(E4090&lt;&gt;"",E4090&lt;&gt;"!!!"),"NEW","")))</f>
        <v/>
      </c>
      <c r="G4090" s="26" t="str">
        <f aca="false">IF(OR(E4090="",E4090="!!!"),"",IF(OR(J4090=0,AND(J4090=1,K4090=1),AND(J4090=1,I4090="SBJ"),AND(J4090=1,I4090=0)),"?IN_FOCUS",IF(J4090&lt;=2,"?ACTIVATED",IF(J4090&lt;&gt;"","?FAMILIAR",IF(F4090="NEW",IF(ISNA(VLOOKUP(E4090,#REF!,1,FALSE())),"?TYPE_IDENTIFIABLE","?REFERENTIAL"),"_")))))</f>
        <v/>
      </c>
      <c r="H4090" s="27" t="str">
        <f aca="false">IF(J4090&lt;&gt;1,"",IF(I4090="SBJ","CB","?"))</f>
        <v/>
      </c>
      <c r="I4090" s="24" t="str">
        <f aca="false">IF(OR(E4090="",E4090="!!!",F4090="NEW"),"",INDEX(B3:B$4088,-1+SUMPRODUCT(MAX(ROW(E3:E$4088)*(E4090=E3:E$4088)))))</f>
        <v/>
      </c>
      <c r="J4090" s="24" t="str">
        <f aca="true">IF(OR(E4090="",E4090="!!!",F4090="NEW"),"",COUNTBLANK(OFFSET(A$1,,,SUMPRODUCT(MAX(ROW(E$2:E4090)*(E4090=E$2:E4090)))))-COUNTBLANK(OFFSET(A$1,,,SUMPRODUCT(MAX(ROW(E$1:E4089)*(E2=E$1:E4089))))))</f>
        <v/>
      </c>
      <c r="K4090" s="24" t="str">
        <f aca="false">IF(OR(E4090="",E4090="!!!",F4090="NEW"),"",INDEX(J$1:J4089,SUMPRODUCT(MAX(ROW(E$1:E4089)*(E4090=E$1:E4089)))))</f>
        <v/>
      </c>
      <c r="L4090" s="31"/>
    </row>
    <row r="4091" customFormat="false" ht="15" hidden="false" customHeight="false" outlineLevel="0" collapsed="false">
      <c r="A4091" s="20" t="s">
        <v>1369</v>
      </c>
      <c r="E4091" s="23" t="str">
        <f aca="false">IF(D4091="?OLD","!!!","")</f>
        <v/>
      </c>
      <c r="F4091" s="25" t="str">
        <f aca="false">IF(OR(E4091="",E4091="!!!"),"",IF(NOT(ISNA(VLOOKUP(E4091,E$1:E4090,1,FALSE()))),"OLD",IF(AND(E4091&lt;&gt;"",E4091&lt;&gt;"!!!"),"NEW","")))</f>
        <v/>
      </c>
      <c r="G4091" s="26" t="str">
        <f aca="false">IF(OR(E4091="",E4091="!!!"),"",IF(OR(J4091=0,AND(J4091=1,K4091=1),AND(J4091=1,I4091="SBJ"),AND(J4091=1,I4091=0)),"?IN_FOCUS",IF(J4091&lt;=2,"?ACTIVATED",IF(J4091&lt;&gt;"","?FAMILIAR",IF(F4091="NEW",IF(ISNA(VLOOKUP(E4091,#REF!,1,FALSE())),"?TYPE_IDENTIFIABLE","?REFERENTIAL"),"_")))))</f>
        <v/>
      </c>
      <c r="H4091" s="27" t="str">
        <f aca="false">IF(J4091&lt;&gt;1,"",IF(I4091="SBJ","CB","?"))</f>
        <v/>
      </c>
      <c r="I4091" s="24" t="str">
        <f aca="false">IF(OR(E4091="",E4091="!!!",F4091="NEW"),"",INDEX(B4:B$4088,-1+SUMPRODUCT(MAX(ROW(E4:E$4088)*(E4091=E4:E$4088)))))</f>
        <v/>
      </c>
      <c r="J4091" s="24" t="str">
        <f aca="true">IF(OR(E4091="",E4091="!!!",F4091="NEW"),"",COUNTBLANK(OFFSET(A$1,,,SUMPRODUCT(MAX(ROW(E$2:E4091)*(E4091=E$2:E4091)))))-COUNTBLANK(OFFSET(A$1,,,SUMPRODUCT(MAX(ROW(E$1:E4090)*(E2=E$1:E4090))))))</f>
        <v/>
      </c>
      <c r="K4091" s="24" t="str">
        <f aca="false">IF(OR(E4091="",E4091="!!!",F4091="NEW"),"",INDEX(J$1:J4090,SUMPRODUCT(MAX(ROW(E$1:E4090)*(E4091=E$1:E4090)))))</f>
        <v/>
      </c>
      <c r="L4091" s="31"/>
    </row>
    <row r="4092" customFormat="false" ht="15" hidden="false" customHeight="false" outlineLevel="0" collapsed="false">
      <c r="A4092" s="20" t="s">
        <v>1168</v>
      </c>
      <c r="E4092" s="23" t="str">
        <f aca="false">IF(D4092="?OLD","!!!","")</f>
        <v/>
      </c>
      <c r="F4092" s="25" t="str">
        <f aca="false">IF(OR(E4092="",E4092="!!!"),"",IF(NOT(ISNA(VLOOKUP(E4092,E$1:E4091,1,FALSE()))),"OLD",IF(AND(E4092&lt;&gt;"",E4092&lt;&gt;"!!!"),"NEW","")))</f>
        <v/>
      </c>
      <c r="G4092" s="26" t="str">
        <f aca="false">IF(OR(E4092="",E4092="!!!"),"",IF(OR(J4092=0,AND(J4092=1,K4092=1),AND(J4092=1,I4092="SBJ"),AND(J4092=1,I4092=0)),"?IN_FOCUS",IF(J4092&lt;=2,"?ACTIVATED",IF(J4092&lt;&gt;"","?FAMILIAR",IF(F4092="NEW",IF(ISNA(VLOOKUP(E4092,#REF!,1,FALSE())),"?TYPE_IDENTIFIABLE","?REFERENTIAL"),"_")))))</f>
        <v/>
      </c>
      <c r="H4092" s="27" t="str">
        <f aca="false">IF(J4092&lt;&gt;1,"",IF(I4092="SBJ","CB","?"))</f>
        <v/>
      </c>
      <c r="I4092" s="24" t="str">
        <f aca="false">IF(OR(E4092="",E4092="!!!",F4092="NEW"),"",INDEX(B5:B$4088,-1+SUMPRODUCT(MAX(ROW(E5:E$4088)*(E4092=E5:E$4088)))))</f>
        <v/>
      </c>
      <c r="J4092" s="24" t="str">
        <f aca="true">IF(OR(E4092="",E4092="!!!",F4092="NEW"),"",COUNTBLANK(OFFSET(A$1,,,SUMPRODUCT(MAX(ROW(E$2:E4092)*(E4092=E$2:E4092)))))-COUNTBLANK(OFFSET(A$1,,,SUMPRODUCT(MAX(ROW(E$1:E4091)*(E2=E$1:E4091))))))</f>
        <v/>
      </c>
      <c r="K4092" s="24" t="str">
        <f aca="false">IF(OR(E4092="",E4092="!!!",F4092="NEW"),"",INDEX(J$1:J4091,SUMPRODUCT(MAX(ROW(E$1:E4091)*(E4092=E$1:E4091)))))</f>
        <v/>
      </c>
      <c r="L4092" s="31"/>
    </row>
    <row r="4093" customFormat="false" ht="15" hidden="false" customHeight="false" outlineLevel="0" collapsed="false">
      <c r="A4093" s="20" t="s">
        <v>1078</v>
      </c>
      <c r="E4093" s="23" t="str">
        <f aca="false">IF(D4093="?OLD","!!!","")</f>
        <v/>
      </c>
      <c r="F4093" s="25" t="str">
        <f aca="false">IF(OR(E4093="",E4093="!!!"),"",IF(NOT(ISNA(VLOOKUP(E4093,E$1:E4092,1,FALSE()))),"OLD",IF(AND(E4093&lt;&gt;"",E4093&lt;&gt;"!!!"),"NEW","")))</f>
        <v/>
      </c>
      <c r="G4093" s="26" t="str">
        <f aca="false">IF(OR(E4093="",E4093="!!!"),"",IF(OR(J4093=0,AND(J4093=1,K4093=1),AND(J4093=1,I4093="SBJ"),AND(J4093=1,I4093=0)),"?IN_FOCUS",IF(J4093&lt;=2,"?ACTIVATED",IF(J4093&lt;&gt;"","?FAMILIAR",IF(F4093="NEW",IF(ISNA(VLOOKUP(E4093,#REF!,1,FALSE())),"?TYPE_IDENTIFIABLE","?REFERENTIAL"),"_")))))</f>
        <v/>
      </c>
      <c r="H4093" s="27" t="str">
        <f aca="false">IF(J4093&lt;&gt;1,"",IF(I4093="SBJ","CB","?"))</f>
        <v/>
      </c>
      <c r="I4093" s="24" t="str">
        <f aca="false">IF(OR(E4093="",E4093="!!!",F4093="NEW"),"",INDEX(B6:B$4088,-1+SUMPRODUCT(MAX(ROW(E6:E$4088)*(E4093=E6:E$4088)))))</f>
        <v/>
      </c>
      <c r="J4093" s="24" t="str">
        <f aca="true">IF(OR(E4093="",E4093="!!!",F4093="NEW"),"",COUNTBLANK(OFFSET(A$1,,,SUMPRODUCT(MAX(ROW(E$2:E4093)*(E4093=E$2:E4093)))))-COUNTBLANK(OFFSET(A$1,,,SUMPRODUCT(MAX(ROW(E$1:E4092)*(E2=E$1:E4092))))))</f>
        <v/>
      </c>
      <c r="K4093" s="24" t="str">
        <f aca="false">IF(OR(E4093="",E4093="!!!",F4093="NEW"),"",INDEX(J$1:J4092,SUMPRODUCT(MAX(ROW(E$1:E4092)*(E4093=E$1:E4092)))))</f>
        <v/>
      </c>
      <c r="L4093" s="31"/>
    </row>
    <row r="4094" customFormat="false" ht="15" hidden="false" customHeight="false" outlineLevel="0" collapsed="false">
      <c r="A4094" s="20" t="s">
        <v>547</v>
      </c>
      <c r="B4094" s="22" t="s">
        <v>1058</v>
      </c>
      <c r="C4094" s="22" t="s">
        <v>1389</v>
      </c>
      <c r="E4094" s="23" t="str">
        <f aca="false">IF(D4094="?OLD","!!!","")</f>
        <v/>
      </c>
      <c r="F4094" s="25" t="str">
        <f aca="false">IF(OR(E4094="",E4094="!!!"),"",IF(NOT(ISNA(VLOOKUP(E4094,E$1:E4093,1,FALSE()))),"OLD",IF(AND(E4094&lt;&gt;"",E4094&lt;&gt;"!!!"),"NEW","")))</f>
        <v/>
      </c>
      <c r="G4094" s="26" t="str">
        <f aca="false">IF(OR(E4094="",E4094="!!!"),"",IF(OR(J4094=0,AND(J4094=1,K4094=1),AND(J4094=1,I4094="SBJ"),AND(J4094=1,I4094=0)),"?IN_FOCUS",IF(J4094&lt;=2,"?ACTIVATED",IF(J4094&lt;&gt;"","?FAMILIAR",IF(F4094="NEW",IF(ISNA(VLOOKUP(E4094,#REF!,1,FALSE())),"?TYPE_IDENTIFIABLE","?REFERENTIAL"),"_")))))</f>
        <v/>
      </c>
      <c r="H4094" s="27" t="str">
        <f aca="false">IF(J4094&lt;&gt;1,"",IF(I4094="SBJ","CB","?"))</f>
        <v/>
      </c>
      <c r="I4094" s="24" t="str">
        <f aca="false">IF(OR(E4094="",E4094="!!!",F4094="NEW"),"",INDEX(B7:B$4088,-1+SUMPRODUCT(MAX(ROW(E7:E$4088)*(E4094=E7:E$4088)))))</f>
        <v/>
      </c>
      <c r="J4094" s="24" t="str">
        <f aca="true">IF(OR(E4094="",E4094="!!!",F4094="NEW"),"",COUNTBLANK(OFFSET(A$1,,,SUMPRODUCT(MAX(ROW(E$2:E4094)*(E4094=E$2:E4094)))))-COUNTBLANK(OFFSET(A$1,,,SUMPRODUCT(MAX(ROW(E$1:E4093)*(E2=E$1:E4093))))))</f>
        <v/>
      </c>
      <c r="K4094" s="24" t="str">
        <f aca="false">IF(OR(E4094="",E4094="!!!",F4094="NEW"),"",INDEX(J$1:J4093,SUMPRODUCT(MAX(ROW(E$1:E4093)*(E4094=E$1:E4093)))))</f>
        <v/>
      </c>
      <c r="L4094" s="31"/>
    </row>
    <row r="4095" customFormat="false" ht="15" hidden="false" customHeight="false" outlineLevel="0" collapsed="false">
      <c r="A4095" s="20" t="s">
        <v>1569</v>
      </c>
      <c r="E4095" s="23" t="str">
        <f aca="false">IF(D4095="?OLD","!!!","")</f>
        <v/>
      </c>
      <c r="F4095" s="25" t="str">
        <f aca="false">IF(OR(E4095="",E4095="!!!"),"",IF(NOT(ISNA(VLOOKUP(E4095,E$1:E4094,1,FALSE()))),"OLD",IF(AND(E4095&lt;&gt;"",E4095&lt;&gt;"!!!"),"NEW","")))</f>
        <v/>
      </c>
      <c r="G4095" s="26" t="str">
        <f aca="false">IF(OR(E4095="",E4095="!!!"),"",IF(OR(J4095=0,AND(J4095=1,K4095=1),AND(J4095=1,I4095="SBJ"),AND(J4095=1,I4095=0)),"?IN_FOCUS",IF(J4095&lt;=2,"?ACTIVATED",IF(J4095&lt;&gt;"","?FAMILIAR",IF(F4095="NEW",IF(ISNA(VLOOKUP(E4095,#REF!,1,FALSE())),"?TYPE_IDENTIFIABLE","?REFERENTIAL"),"_")))))</f>
        <v/>
      </c>
      <c r="H4095" s="27" t="str">
        <f aca="false">IF(J4095&lt;&gt;1,"",IF(I4095="SBJ","CB","?"))</f>
        <v/>
      </c>
      <c r="I4095" s="24" t="str">
        <f aca="false">IF(OR(E4095="",E4095="!!!",F4095="NEW"),"",INDEX(B8:B$4088,-1+SUMPRODUCT(MAX(ROW(E8:E$4088)*(E4095=E8:E$4088)))))</f>
        <v/>
      </c>
      <c r="J4095" s="24" t="str">
        <f aca="true">IF(OR(E4095="",E4095="!!!",F4095="NEW"),"",COUNTBLANK(OFFSET(A$1,,,SUMPRODUCT(MAX(ROW(E$2:E4095)*(E4095=E$2:E4095)))))-COUNTBLANK(OFFSET(A$1,,,SUMPRODUCT(MAX(ROW(E$1:E4094)*(E2=E$1:E4094))))))</f>
        <v/>
      </c>
      <c r="K4095" s="24" t="str">
        <f aca="false">IF(OR(E4095="",E4095="!!!",F4095="NEW"),"",INDEX(J$1:J4094,SUMPRODUCT(MAX(ROW(E$1:E4094)*(E4095=E$1:E4094)))))</f>
        <v/>
      </c>
      <c r="L4095" s="31"/>
    </row>
    <row r="4096" customFormat="false" ht="15" hidden="false" customHeight="false" outlineLevel="0" collapsed="false">
      <c r="A4096" s="20" t="s">
        <v>1090</v>
      </c>
      <c r="B4096" s="22" t="s">
        <v>1091</v>
      </c>
      <c r="C4096" s="22" t="s">
        <v>1082</v>
      </c>
      <c r="D4096" s="22" t="s">
        <v>1060</v>
      </c>
      <c r="E4096" s="23" t="str">
        <f aca="false">IF(D4096="?OLD","!!!","")</f>
        <v>!!!</v>
      </c>
      <c r="F4096" s="25" t="str">
        <f aca="false">IF(OR(E4096="",E4096="!!!"),"",IF(NOT(ISNA(VLOOKUP(E4096,E$1:E4095,1,FALSE()))),"OLD",IF(AND(E4096&lt;&gt;"",E4096&lt;&gt;"!!!"),"NEW","")))</f>
        <v/>
      </c>
      <c r="G4096" s="26" t="str">
        <f aca="false">IF(OR(E4096="",E4096="!!!"),"",IF(OR(J4096=0,AND(J4096=1,K4096=1),AND(J4096=1,I4096="SBJ"),AND(J4096=1,I4096=0)),"?IN_FOCUS",IF(J4096&lt;=2,"?ACTIVATED",IF(J4096&lt;&gt;"","?FAMILIAR",IF(F4096="NEW",IF(ISNA(VLOOKUP(E4096,#REF!,1,FALSE())),"?TYPE_IDENTIFIABLE","?REFERENTIAL"),"_")))))</f>
        <v/>
      </c>
      <c r="H4096" s="27" t="str">
        <f aca="false">IF(J4096&lt;&gt;1,"",IF(I4096="SBJ","CB","?"))</f>
        <v/>
      </c>
      <c r="I4096" s="24" t="str">
        <f aca="false">IF(OR(E4096="",E4096="!!!",F4096="NEW"),"",INDEX(B9:B$4088,-1+SUMPRODUCT(MAX(ROW(E9:E$4088)*(E4096=E9:E$4088)))))</f>
        <v/>
      </c>
      <c r="J4096" s="24" t="str">
        <f aca="true">IF(OR(E4096="",E4096="!!!",F4096="NEW"),"",COUNTBLANK(OFFSET(A$1,,,SUMPRODUCT(MAX(ROW(E$2:E4096)*(E4096=E$2:E4096)))))-COUNTBLANK(OFFSET(A$1,,,SUMPRODUCT(MAX(ROW(E$1:E4095)*(E2=E$1:E4095))))))</f>
        <v/>
      </c>
      <c r="K4096" s="24" t="str">
        <f aca="false">IF(OR(E4096="",E4096="!!!",F4096="NEW"),"",INDEX(J$1:J4095,SUMPRODUCT(MAX(ROW(E$1:E4095)*(E4096=E$1:E4095)))))</f>
        <v/>
      </c>
      <c r="L4096" s="31"/>
    </row>
    <row r="4097" customFormat="false" ht="15" hidden="false" customHeight="false" outlineLevel="0" collapsed="false">
      <c r="A4097" s="20" t="s">
        <v>1583</v>
      </c>
      <c r="E4097" s="23" t="str">
        <f aca="false">IF(D4097="?OLD","!!!","")</f>
        <v/>
      </c>
      <c r="F4097" s="25" t="str">
        <f aca="false">IF(OR(E4097="",E4097="!!!"),"",IF(NOT(ISNA(VLOOKUP(E4097,E$1:E4096,1,FALSE()))),"OLD",IF(AND(E4097&lt;&gt;"",E4097&lt;&gt;"!!!"),"NEW","")))</f>
        <v/>
      </c>
      <c r="G4097" s="26" t="str">
        <f aca="false">IF(OR(E4097="",E4097="!!!"),"",IF(OR(J4097=0,AND(J4097=1,K4097=1),AND(J4097=1,I4097="SBJ"),AND(J4097=1,I4097=0)),"?IN_FOCUS",IF(J4097&lt;=2,"?ACTIVATED",IF(J4097&lt;&gt;"","?FAMILIAR",IF(F4097="NEW",IF(ISNA(VLOOKUP(E4097,#REF!,1,FALSE())),"?TYPE_IDENTIFIABLE","?REFERENTIAL"),"_")))))</f>
        <v/>
      </c>
      <c r="H4097" s="27" t="str">
        <f aca="false">IF(J4097&lt;&gt;1,"",IF(I4097="SBJ","CB","?"))</f>
        <v/>
      </c>
      <c r="I4097" s="24" t="str">
        <f aca="false">IF(OR(E4097="",E4097="!!!",F4097="NEW"),"",INDEX(B10:B$4088,-1+SUMPRODUCT(MAX(ROW(E10:E$4088)*(E4097=E10:E$4088)))))</f>
        <v/>
      </c>
      <c r="J4097" s="24" t="str">
        <f aca="true">IF(OR(E4097="",E4097="!!!",F4097="NEW"),"",COUNTBLANK(OFFSET(A$1,,,SUMPRODUCT(MAX(ROW(E$2:E4097)*(E4097=E$2:E4097)))))-COUNTBLANK(OFFSET(A$1,,,SUMPRODUCT(MAX(ROW(E$1:E4096)*(E2=E$1:E4096))))))</f>
        <v/>
      </c>
      <c r="K4097" s="24" t="str">
        <f aca="false">IF(OR(E4097="",E4097="!!!",F4097="NEW"),"",INDEX(J$1:J4096,SUMPRODUCT(MAX(ROW(E$1:E4096)*(E4097=E$1:E4096)))))</f>
        <v/>
      </c>
      <c r="L4097" s="31"/>
    </row>
    <row r="4098" customFormat="false" ht="15" hidden="false" customHeight="false" outlineLevel="0" collapsed="false">
      <c r="A4098" s="20" t="s">
        <v>576</v>
      </c>
      <c r="E4098" s="23" t="str">
        <f aca="false">IF(D4098="?OLD","!!!","")</f>
        <v/>
      </c>
      <c r="F4098" s="25" t="str">
        <f aca="false">IF(OR(E4098="",E4098="!!!"),"",IF(NOT(ISNA(VLOOKUP(E4098,E$1:E4097,1,FALSE()))),"OLD",IF(AND(E4098&lt;&gt;"",E4098&lt;&gt;"!!!"),"NEW","")))</f>
        <v/>
      </c>
      <c r="G4098" s="26" t="str">
        <f aca="false">IF(OR(E4098="",E4098="!!!"),"",IF(OR(J4098=0,AND(J4098=1,K4098=1),AND(J4098=1,I4098="SBJ"),AND(J4098=1,I4098=0)),"?IN_FOCUS",IF(J4098&lt;=2,"?ACTIVATED",IF(J4098&lt;&gt;"","?FAMILIAR",IF(F4098="NEW",IF(ISNA(VLOOKUP(E4098,#REF!,1,FALSE())),"?TYPE_IDENTIFIABLE","?REFERENTIAL"),"_")))))</f>
        <v/>
      </c>
      <c r="H4098" s="27" t="str">
        <f aca="false">IF(J4098&lt;&gt;1,"",IF(I4098="SBJ","CB","?"))</f>
        <v/>
      </c>
      <c r="I4098" s="24" t="str">
        <f aca="false">IF(OR(E4098="",E4098="!!!",F4098="NEW"),"",INDEX(B11:B$4088,-1+SUMPRODUCT(MAX(ROW(E11:E$4088)*(E4098=E11:E$4088)))))</f>
        <v/>
      </c>
      <c r="J4098" s="24" t="str">
        <f aca="true">IF(OR(E4098="",E4098="!!!",F4098="NEW"),"",COUNTBLANK(OFFSET(A$1,,,SUMPRODUCT(MAX(ROW(E$2:E4098)*(E4098=E$2:E4098)))))-COUNTBLANK(OFFSET(A$1,,,SUMPRODUCT(MAX(ROW(E$1:E4097)*(E2=E$1:E4097))))))</f>
        <v/>
      </c>
      <c r="K4098" s="24" t="str">
        <f aca="false">IF(OR(E4098="",E4098="!!!",F4098="NEW"),"",INDEX(J$1:J4097,SUMPRODUCT(MAX(ROW(E$1:E4097)*(E4098=E$1:E4097)))))</f>
        <v/>
      </c>
      <c r="L4098" s="31"/>
    </row>
    <row r="4099" customFormat="false" ht="15" hidden="false" customHeight="false" outlineLevel="0" collapsed="false">
      <c r="A4099" s="20" t="s">
        <v>2313</v>
      </c>
      <c r="E4099" s="23" t="str">
        <f aca="false">IF(D4099="?OLD","!!!","")</f>
        <v/>
      </c>
      <c r="F4099" s="25" t="str">
        <f aca="false">IF(OR(E4099="",E4099="!!!"),"",IF(NOT(ISNA(VLOOKUP(E4099,E$1:E4098,1,FALSE()))),"OLD",IF(AND(E4099&lt;&gt;"",E4099&lt;&gt;"!!!"),"NEW","")))</f>
        <v/>
      </c>
      <c r="G4099" s="26" t="str">
        <f aca="false">IF(OR(E4099="",E4099="!!!"),"",IF(OR(J4099=0,AND(J4099=1,K4099=1),AND(J4099=1,I4099="SBJ"),AND(J4099=1,I4099=0)),"?IN_FOCUS",IF(J4099&lt;=2,"?ACTIVATED",IF(J4099&lt;&gt;"","?FAMILIAR",IF(F4099="NEW",IF(ISNA(VLOOKUP(E4099,#REF!,1,FALSE())),"?TYPE_IDENTIFIABLE","?REFERENTIAL"),"_")))))</f>
        <v/>
      </c>
      <c r="H4099" s="27" t="str">
        <f aca="false">IF(J4099&lt;&gt;1,"",IF(I4099="SBJ","CB","?"))</f>
        <v/>
      </c>
      <c r="I4099" s="24" t="str">
        <f aca="false">IF(OR(E4099="",E4099="!!!",F4099="NEW"),"",INDEX(B12:B$4088,-1+SUMPRODUCT(MAX(ROW(E12:E$4088)*(E4099=E12:E$4088)))))</f>
        <v/>
      </c>
      <c r="J4099" s="24" t="str">
        <f aca="true">IF(OR(E4099="",E4099="!!!",F4099="NEW"),"",COUNTBLANK(OFFSET(A$1,,,SUMPRODUCT(MAX(ROW(E$2:E4099)*(E4099=E$2:E4099)))))-COUNTBLANK(OFFSET(A$1,,,SUMPRODUCT(MAX(ROW(E$1:E4098)*(E2=E$1:E4098))))))</f>
        <v/>
      </c>
      <c r="K4099" s="24" t="str">
        <f aca="false">IF(OR(E4099="",E4099="!!!",F4099="NEW"),"",INDEX(J$1:J4098,SUMPRODUCT(MAX(ROW(E$1:E4098)*(E4099=E$1:E4098)))))</f>
        <v/>
      </c>
      <c r="L4099" s="31"/>
    </row>
    <row r="4100" customFormat="false" ht="15" hidden="false" customHeight="false" outlineLevel="0" collapsed="false">
      <c r="A4100" s="20" t="s">
        <v>1076</v>
      </c>
      <c r="E4100" s="23" t="str">
        <f aca="false">IF(D4100="?OLD","!!!","")</f>
        <v/>
      </c>
      <c r="F4100" s="25" t="str">
        <f aca="false">IF(OR(E4100="",E4100="!!!"),"",IF(NOT(ISNA(VLOOKUP(E4100,E$1:E4099,1,FALSE()))),"OLD",IF(AND(E4100&lt;&gt;"",E4100&lt;&gt;"!!!"),"NEW","")))</f>
        <v/>
      </c>
      <c r="G4100" s="26" t="str">
        <f aca="false">IF(OR(E4100="",E4100="!!!"),"",IF(OR(J4100=0,AND(J4100=1,K4100=1),AND(J4100=1,I4100="SBJ"),AND(J4100=1,I4100=0)),"?IN_FOCUS",IF(J4100&lt;=2,"?ACTIVATED",IF(J4100&lt;&gt;"","?FAMILIAR",IF(F4100="NEW",IF(ISNA(VLOOKUP(E4100,#REF!,1,FALSE())),"?TYPE_IDENTIFIABLE","?REFERENTIAL"),"_")))))</f>
        <v/>
      </c>
      <c r="H4100" s="27" t="str">
        <f aca="false">IF(J4100&lt;&gt;1,"",IF(I4100="SBJ","CB","?"))</f>
        <v/>
      </c>
      <c r="I4100" s="24" t="str">
        <f aca="false">IF(OR(E4100="",E4100="!!!",F4100="NEW"),"",INDEX(B13:B$4088,-1+SUMPRODUCT(MAX(ROW(E13:E$4088)*(E4100=E13:E$4088)))))</f>
        <v/>
      </c>
      <c r="J4100" s="24" t="str">
        <f aca="true">IF(OR(E4100="",E4100="!!!",F4100="NEW"),"",COUNTBLANK(OFFSET(A$1,,,SUMPRODUCT(MAX(ROW(E$2:E4100)*(E4100=E$2:E4100)))))-COUNTBLANK(OFFSET(A$1,,,SUMPRODUCT(MAX(ROW(E$1:E4099)*(E2=E$1:E4099))))))</f>
        <v/>
      </c>
      <c r="K4100" s="24" t="str">
        <f aca="false">IF(OR(E4100="",E4100="!!!",F4100="NEW"),"",INDEX(J$1:J4099,SUMPRODUCT(MAX(ROW(E$1:E4099)*(E4100=E$1:E4099)))))</f>
        <v/>
      </c>
      <c r="L4100" s="31"/>
    </row>
    <row r="4101" customFormat="false" ht="15" hidden="false" customHeight="false" outlineLevel="0" collapsed="false">
      <c r="A4101" s="20" t="s">
        <v>607</v>
      </c>
      <c r="E4101" s="23" t="str">
        <f aca="false">IF(D4101="?OLD","!!!","")</f>
        <v/>
      </c>
      <c r="F4101" s="25" t="str">
        <f aca="false">IF(OR(E4101="",E4101="!!!"),"",IF(NOT(ISNA(VLOOKUP(E4101,E$1:E4100,1,FALSE()))),"OLD",IF(AND(E4101&lt;&gt;"",E4101&lt;&gt;"!!!"),"NEW","")))</f>
        <v/>
      </c>
      <c r="G4101" s="26" t="str">
        <f aca="false">IF(OR(E4101="",E4101="!!!"),"",IF(OR(J4101=0,AND(J4101=1,K4101=1),AND(J4101=1,I4101="SBJ"),AND(J4101=1,I4101=0)),"?IN_FOCUS",IF(J4101&lt;=2,"?ACTIVATED",IF(J4101&lt;&gt;"","?FAMILIAR",IF(F4101="NEW",IF(ISNA(VLOOKUP(E4101,#REF!,1,FALSE())),"?TYPE_IDENTIFIABLE","?REFERENTIAL"),"_")))))</f>
        <v/>
      </c>
      <c r="H4101" s="27" t="str">
        <f aca="false">IF(J4101&lt;&gt;1,"",IF(I4101="SBJ","CB","?"))</f>
        <v/>
      </c>
      <c r="I4101" s="24" t="str">
        <f aca="false">IF(OR(E4101="",E4101="!!!",F4101="NEW"),"",INDEX(B14:B$4088,-1+SUMPRODUCT(MAX(ROW(E14:E$4088)*(E4101=E14:E$4088)))))</f>
        <v/>
      </c>
      <c r="J4101" s="24" t="str">
        <f aca="true">IF(OR(E4101="",E4101="!!!",F4101="NEW"),"",COUNTBLANK(OFFSET(A$1,,,SUMPRODUCT(MAX(ROW(E$2:E4101)*(E4101=E$2:E4101)))))-COUNTBLANK(OFFSET(A$1,,,SUMPRODUCT(MAX(ROW(E$1:E4100)*(E2=E$1:E4100))))))</f>
        <v/>
      </c>
      <c r="K4101" s="24" t="str">
        <f aca="false">IF(OR(E4101="",E4101="!!!",F4101="NEW"),"",INDEX(J$1:J4100,SUMPRODUCT(MAX(ROW(E$1:E4100)*(E4101=E$1:E4100)))))</f>
        <v/>
      </c>
      <c r="L4101" s="31"/>
    </row>
    <row r="4102" customFormat="false" ht="15" hidden="false" customHeight="false" outlineLevel="0" collapsed="false">
      <c r="A4102" s="20" t="s">
        <v>1584</v>
      </c>
      <c r="B4102" s="22" t="s">
        <v>1086</v>
      </c>
      <c r="C4102" s="22" t="s">
        <v>1082</v>
      </c>
      <c r="D4102" s="22" t="s">
        <v>1060</v>
      </c>
      <c r="E4102" s="23" t="str">
        <f aca="false">IF(D4102="?OLD","!!!","")</f>
        <v>!!!</v>
      </c>
      <c r="F4102" s="25" t="str">
        <f aca="false">IF(OR(E4102="",E4102="!!!"),"",IF(NOT(ISNA(VLOOKUP(E4102,E$1:E4101,1,FALSE()))),"OLD",IF(AND(E4102&lt;&gt;"",E4102&lt;&gt;"!!!"),"NEW","")))</f>
        <v/>
      </c>
      <c r="G4102" s="26" t="str">
        <f aca="false">IF(OR(E4102="",E4102="!!!"),"",IF(OR(J4102=0,AND(J4102=1,K4102=1),AND(J4102=1,I4102="SBJ"),AND(J4102=1,I4102=0)),"?IN_FOCUS",IF(J4102&lt;=2,"?ACTIVATED",IF(J4102&lt;&gt;"","?FAMILIAR",IF(F4102="NEW",IF(ISNA(VLOOKUP(E4102,#REF!,1,FALSE())),"?TYPE_IDENTIFIABLE","?REFERENTIAL"),"_")))))</f>
        <v/>
      </c>
      <c r="H4102" s="27" t="str">
        <f aca="false">IF(J4102&lt;&gt;1,"",IF(I4102="SBJ","CB","?"))</f>
        <v/>
      </c>
      <c r="I4102" s="24" t="str">
        <f aca="false">IF(OR(E4102="",E4102="!!!",F4102="NEW"),"",INDEX(B15:B$4088,-1+SUMPRODUCT(MAX(ROW(E15:E$4088)*(E4102=E15:E$4088)))))</f>
        <v/>
      </c>
      <c r="J4102" s="24" t="str">
        <f aca="true">IF(OR(E4102="",E4102="!!!",F4102="NEW"),"",COUNTBLANK(OFFSET(A$1,,,SUMPRODUCT(MAX(ROW(E$2:E4102)*(E4102=E$2:E4102)))))-COUNTBLANK(OFFSET(A$1,,,SUMPRODUCT(MAX(ROW(E$1:E4101)*(E2=E$1:E4101))))))</f>
        <v/>
      </c>
      <c r="K4102" s="24" t="str">
        <f aca="false">IF(OR(E4102="",E4102="!!!",F4102="NEW"),"",INDEX(J$1:J4101,SUMPRODUCT(MAX(ROW(E$1:E4101)*(E4102=E$1:E4101)))))</f>
        <v/>
      </c>
      <c r="L4102" s="31"/>
    </row>
    <row r="4103" customFormat="false" ht="15" hidden="false" customHeight="false" outlineLevel="0" collapsed="false">
      <c r="A4103" s="20" t="s">
        <v>2314</v>
      </c>
      <c r="E4103" s="23" t="str">
        <f aca="false">IF(D4103="?OLD","!!!","")</f>
        <v/>
      </c>
      <c r="F4103" s="25" t="str">
        <f aca="false">IF(OR(E4103="",E4103="!!!"),"",IF(NOT(ISNA(VLOOKUP(E4103,E$1:E4102,1,FALSE()))),"OLD",IF(AND(E4103&lt;&gt;"",E4103&lt;&gt;"!!!"),"NEW","")))</f>
        <v/>
      </c>
      <c r="G4103" s="26" t="str">
        <f aca="false">IF(OR(E4103="",E4103="!!!"),"",IF(OR(J4103=0,AND(J4103=1,K4103=1),AND(J4103=1,I4103="SBJ"),AND(J4103=1,I4103=0)),"?IN_FOCUS",IF(J4103&lt;=2,"?ACTIVATED",IF(J4103&lt;&gt;"","?FAMILIAR",IF(F4103="NEW",IF(ISNA(VLOOKUP(E4103,#REF!,1,FALSE())),"?TYPE_IDENTIFIABLE","?REFERENTIAL"),"_")))))</f>
        <v/>
      </c>
      <c r="H4103" s="27" t="str">
        <f aca="false">IF(J4103&lt;&gt;1,"",IF(I4103="SBJ","CB","?"))</f>
        <v/>
      </c>
      <c r="I4103" s="24" t="str">
        <f aca="false">IF(OR(E4103="",E4103="!!!",F4103="NEW"),"",INDEX(B16:B$4088,-1+SUMPRODUCT(MAX(ROW(E16:E$4088)*(E4103=E16:E$4088)))))</f>
        <v/>
      </c>
      <c r="J4103" s="24" t="str">
        <f aca="true">IF(OR(E4103="",E4103="!!!",F4103="NEW"),"",COUNTBLANK(OFFSET(A$1,,,SUMPRODUCT(MAX(ROW(E$2:E4103)*(E4103=E$2:E4103)))))-COUNTBLANK(OFFSET(A$1,,,SUMPRODUCT(MAX(ROW(E$1:E4102)*(E2=E$1:E4102))))))</f>
        <v/>
      </c>
      <c r="K4103" s="24" t="str">
        <f aca="false">IF(OR(E4103="",E4103="!!!",F4103="NEW"),"",INDEX(J$1:J4102,SUMPRODUCT(MAX(ROW(E$1:E4102)*(E4103=E$1:E4102)))))</f>
        <v/>
      </c>
      <c r="L4103" s="31"/>
    </row>
    <row r="4104" customFormat="false" ht="15" hidden="false" customHeight="false" outlineLevel="0" collapsed="false">
      <c r="A4104" s="20" t="s">
        <v>923</v>
      </c>
      <c r="E4104" s="23" t="str">
        <f aca="false">IF(D4104="?OLD","!!!","")</f>
        <v/>
      </c>
      <c r="F4104" s="25" t="str">
        <f aca="false">IF(OR(E4104="",E4104="!!!"),"",IF(NOT(ISNA(VLOOKUP(E4104,E$1:E4103,1,FALSE()))),"OLD",IF(AND(E4104&lt;&gt;"",E4104&lt;&gt;"!!!"),"NEW","")))</f>
        <v/>
      </c>
      <c r="G4104" s="26" t="str">
        <f aca="false">IF(OR(E4104="",E4104="!!!"),"",IF(OR(J4104=0,AND(J4104=1,K4104=1),AND(J4104=1,I4104="SBJ"),AND(J4104=1,I4104=0)),"?IN_FOCUS",IF(J4104&lt;=2,"?ACTIVATED",IF(J4104&lt;&gt;"","?FAMILIAR",IF(F4104="NEW",IF(ISNA(VLOOKUP(E4104,#REF!,1,FALSE())),"?TYPE_IDENTIFIABLE","?REFERENTIAL"),"_")))))</f>
        <v/>
      </c>
      <c r="H4104" s="27" t="str">
        <f aca="false">IF(J4104&lt;&gt;1,"",IF(I4104="SBJ","CB","?"))</f>
        <v/>
      </c>
      <c r="I4104" s="24" t="str">
        <f aca="false">IF(OR(E4104="",E4104="!!!",F4104="NEW"),"",INDEX(B17:B$4088,-1+SUMPRODUCT(MAX(ROW(E17:E$4088)*(E4104=E17:E$4088)))))</f>
        <v/>
      </c>
      <c r="J4104" s="24" t="str">
        <f aca="true">IF(OR(E4104="",E4104="!!!",F4104="NEW"),"",COUNTBLANK(OFFSET(A$1,,,SUMPRODUCT(MAX(ROW(E$2:E4104)*(E4104=E$2:E4104)))))-COUNTBLANK(OFFSET(A$1,,,SUMPRODUCT(MAX(ROW(E$1:E4103)*(E2=E$1:E4103))))))</f>
        <v/>
      </c>
      <c r="K4104" s="24" t="str">
        <f aca="false">IF(OR(E4104="",E4104="!!!",F4104="NEW"),"",INDEX(J$1:J4103,SUMPRODUCT(MAX(ROW(E$1:E4103)*(E4104=E$1:E4103)))))</f>
        <v/>
      </c>
      <c r="L4104" s="31"/>
    </row>
    <row r="4105" customFormat="false" ht="15" hidden="false" customHeight="false" outlineLevel="0" collapsed="false">
      <c r="A4105" s="20"/>
    </row>
    <row r="4106" customFormat="false" ht="15" hidden="false" customHeight="false" outlineLevel="0" collapsed="false">
      <c r="A4106" s="20" t="s">
        <v>1301</v>
      </c>
      <c r="E4106" s="23" t="str">
        <f aca="false">IF(D4106="?OLD","!!!","")</f>
        <v/>
      </c>
      <c r="F4106" s="25" t="str">
        <f aca="false">IF(OR(E4106="",E4106="!!!"),"",IF(NOT(ISNA(VLOOKUP(E4106,E$1:E4105,1,FALSE()))),"OLD",IF(AND(E4106&lt;&gt;"",E4106&lt;&gt;"!!!"),"NEW","")))</f>
        <v/>
      </c>
      <c r="G4106" s="26" t="str">
        <f aca="false">IF(OR(E4106="",E4106="!!!"),"",IF(OR(J4106=0,AND(J4106=1,K4106=1),AND(J4106=1,I4106="SBJ"),AND(J4106=1,I4106=0)),"?IN_FOCUS",IF(J4106&lt;=2,"?ACTIVATED",IF(J4106&lt;&gt;"","?FAMILIAR",IF(F4106="NEW",IF(ISNA(VLOOKUP(E4106,#REF!,1,FALSE())),"?TYPE_IDENTIFIABLE","?REFERENTIAL"),"_")))))</f>
        <v/>
      </c>
      <c r="H4106" s="27" t="str">
        <f aca="false">IF(J4106&lt;&gt;1,"",IF(I4106="SBJ","CB","?"))</f>
        <v/>
      </c>
      <c r="I4106" s="24" t="str">
        <f aca="false">IF(OR(E4106="",E4106="!!!",F4106="NEW"),"",INDEX(B2:B$4105,-1+SUMPRODUCT(MAX(ROW(E2:E$4105)*(E4106=E2:E$4105)))))</f>
        <v/>
      </c>
      <c r="J4106" s="24" t="str">
        <f aca="true">IF(OR(E4106="",E4106="!!!",F4106="NEW"),"",COUNTBLANK(OFFSET(A$1,,,SUMPRODUCT(MAX(ROW(E$2:E4106)*(E4106=E$2:E4106)))))-COUNTBLANK(OFFSET(A$1,,,SUMPRODUCT(MAX(ROW(E$1:E4105)*(E2=E$1:E4105))))))</f>
        <v/>
      </c>
      <c r="K4106" s="24" t="str">
        <f aca="false">IF(OR(E4106="",E4106="!!!",F4106="NEW"),"",INDEX(J$1:J4105,SUMPRODUCT(MAX(ROW(E$1:E4105)*(E4106=E$1:E4105)))))</f>
        <v/>
      </c>
      <c r="L4106" s="31"/>
    </row>
    <row r="4107" customFormat="false" ht="15" hidden="false" customHeight="false" outlineLevel="0" collapsed="false">
      <c r="A4107" s="20" t="s">
        <v>2315</v>
      </c>
    </row>
    <row r="4108" customFormat="false" ht="15" hidden="false" customHeight="false" outlineLevel="0" collapsed="false">
      <c r="A4108" s="20" t="s">
        <v>607</v>
      </c>
      <c r="E4108" s="23" t="str">
        <f aca="false">IF(D4108="?OLD","!!!","")</f>
        <v/>
      </c>
      <c r="F4108" s="25" t="str">
        <f aca="false">IF(OR(E4108="",E4108="!!!"),"",IF(NOT(ISNA(VLOOKUP(E4108,E$1:E4107,1,FALSE()))),"OLD",IF(AND(E4108&lt;&gt;"",E4108&lt;&gt;"!!!"),"NEW","")))</f>
        <v/>
      </c>
      <c r="G4108" s="26" t="str">
        <f aca="false">IF(OR(E4108="",E4108="!!!"),"",IF(OR(J4108=0,AND(J4108=1,K4108=1),AND(J4108=1,I4108="SBJ"),AND(J4108=1,I4108=0)),"?IN_FOCUS",IF(J4108&lt;=2,"?ACTIVATED",IF(J4108&lt;&gt;"","?FAMILIAR",IF(F4108="NEW",IF(ISNA(VLOOKUP(E4108,#REF!,1,FALSE())),"?TYPE_IDENTIFIABLE","?REFERENTIAL"),"_")))))</f>
        <v/>
      </c>
      <c r="H4108" s="27" t="str">
        <f aca="false">IF(J4108&lt;&gt;1,"",IF(I4108="SBJ","CB","?"))</f>
        <v/>
      </c>
      <c r="I4108" s="24" t="str">
        <f aca="false">IF(OR(E4108="",E4108="!!!",F4108="NEW"),"",INDEX(B2:B$4107,-1+SUMPRODUCT(MAX(ROW(E2:E$4107)*(E4108=E2:E$4107)))))</f>
        <v/>
      </c>
      <c r="J4108" s="24" t="str">
        <f aca="true">IF(OR(E4108="",E4108="!!!",F4108="NEW"),"",COUNTBLANK(OFFSET(A$1,,,SUMPRODUCT(MAX(ROW(E$2:E4108)*(E4108=E$2:E4108)))))-COUNTBLANK(OFFSET(A$1,,,SUMPRODUCT(MAX(ROW(E$1:E4107)*(E2=E$1:E4107))))))</f>
        <v/>
      </c>
      <c r="K4108" s="24" t="str">
        <f aca="false">IF(OR(E4108="",E4108="!!!",F4108="NEW"),"",INDEX(J$1:J4107,SUMPRODUCT(MAX(ROW(E$1:E4107)*(E4108=E$1:E4107)))))</f>
        <v/>
      </c>
      <c r="L4108" s="31"/>
    </row>
    <row r="4109" customFormat="false" ht="15" hidden="false" customHeight="false" outlineLevel="0" collapsed="false">
      <c r="A4109" s="20" t="s">
        <v>1478</v>
      </c>
      <c r="E4109" s="23" t="str">
        <f aca="false">IF(D4109="?OLD","!!!","")</f>
        <v/>
      </c>
      <c r="F4109" s="25" t="str">
        <f aca="false">IF(OR(E4109="",E4109="!!!"),"",IF(NOT(ISNA(VLOOKUP(E4109,E$1:E4108,1,FALSE()))),"OLD",IF(AND(E4109&lt;&gt;"",E4109&lt;&gt;"!!!"),"NEW","")))</f>
        <v/>
      </c>
      <c r="G4109" s="26" t="str">
        <f aca="false">IF(OR(E4109="",E4109="!!!"),"",IF(OR(J4109=0,AND(J4109=1,K4109=1),AND(J4109=1,I4109="SBJ"),AND(J4109=1,I4109=0)),"?IN_FOCUS",IF(J4109&lt;=2,"?ACTIVATED",IF(J4109&lt;&gt;"","?FAMILIAR",IF(F4109="NEW",IF(ISNA(VLOOKUP(E4109,#REF!,1,FALSE())),"?TYPE_IDENTIFIABLE","?REFERENTIAL"),"_")))))</f>
        <v/>
      </c>
      <c r="H4109" s="27" t="str">
        <f aca="false">IF(J4109&lt;&gt;1,"",IF(I4109="SBJ","CB","?"))</f>
        <v/>
      </c>
      <c r="I4109" s="24" t="str">
        <f aca="false">IF(OR(E4109="",E4109="!!!",F4109="NEW"),"",INDEX(B3:B$4107,-1+SUMPRODUCT(MAX(ROW(E3:E$4107)*(E4109=E3:E$4107)))))</f>
        <v/>
      </c>
      <c r="J4109" s="24" t="str">
        <f aca="true">IF(OR(E4109="",E4109="!!!",F4109="NEW"),"",COUNTBLANK(OFFSET(A$1,,,SUMPRODUCT(MAX(ROW(E$2:E4109)*(E4109=E$2:E4109)))))-COUNTBLANK(OFFSET(A$1,,,SUMPRODUCT(MAX(ROW(E$1:E4108)*(E2=E$1:E4108))))))</f>
        <v/>
      </c>
      <c r="K4109" s="24" t="str">
        <f aca="false">IF(OR(E4109="",E4109="!!!",F4109="NEW"),"",INDEX(J$1:J4108,SUMPRODUCT(MAX(ROW(E$1:E4108)*(E4109=E$1:E4108)))))</f>
        <v/>
      </c>
      <c r="L4109" s="31"/>
    </row>
    <row r="4110" customFormat="false" ht="15" hidden="false" customHeight="false" outlineLevel="0" collapsed="false">
      <c r="A4110" s="20" t="s">
        <v>1369</v>
      </c>
      <c r="E4110" s="23" t="str">
        <f aca="false">IF(D4110="?OLD","!!!","")</f>
        <v/>
      </c>
      <c r="F4110" s="25" t="str">
        <f aca="false">IF(OR(E4110="",E4110="!!!"),"",IF(NOT(ISNA(VLOOKUP(E4110,E$1:E4109,1,FALSE()))),"OLD",IF(AND(E4110&lt;&gt;"",E4110&lt;&gt;"!!!"),"NEW","")))</f>
        <v/>
      </c>
      <c r="G4110" s="26" t="str">
        <f aca="false">IF(OR(E4110="",E4110="!!!"),"",IF(OR(J4110=0,AND(J4110=1,K4110=1),AND(J4110=1,I4110="SBJ"),AND(J4110=1,I4110=0)),"?IN_FOCUS",IF(J4110&lt;=2,"?ACTIVATED",IF(J4110&lt;&gt;"","?FAMILIAR",IF(F4110="NEW",IF(ISNA(VLOOKUP(E4110,#REF!,1,FALSE())),"?TYPE_IDENTIFIABLE","?REFERENTIAL"),"_")))))</f>
        <v/>
      </c>
      <c r="H4110" s="27" t="str">
        <f aca="false">IF(J4110&lt;&gt;1,"",IF(I4110="SBJ","CB","?"))</f>
        <v/>
      </c>
      <c r="I4110" s="24" t="str">
        <f aca="false">IF(OR(E4110="",E4110="!!!",F4110="NEW"),"",INDEX(B4:B$4107,-1+SUMPRODUCT(MAX(ROW(E4:E$4107)*(E4110=E4:E$4107)))))</f>
        <v/>
      </c>
      <c r="J4110" s="24" t="str">
        <f aca="true">IF(OR(E4110="",E4110="!!!",F4110="NEW"),"",COUNTBLANK(OFFSET(A$1,,,SUMPRODUCT(MAX(ROW(E$2:E4110)*(E4110=E$2:E4110)))))-COUNTBLANK(OFFSET(A$1,,,SUMPRODUCT(MAX(ROW(E$1:E4109)*(E2=E$1:E4109))))))</f>
        <v/>
      </c>
      <c r="K4110" s="24" t="str">
        <f aca="false">IF(OR(E4110="",E4110="!!!",F4110="NEW"),"",INDEX(J$1:J4109,SUMPRODUCT(MAX(ROW(E$1:E4109)*(E4110=E$1:E4109)))))</f>
        <v/>
      </c>
      <c r="L4110" s="31"/>
    </row>
    <row r="4111" customFormat="false" ht="15" hidden="false" customHeight="false" outlineLevel="0" collapsed="false">
      <c r="A4111" s="20" t="s">
        <v>1399</v>
      </c>
      <c r="E4111" s="23" t="str">
        <f aca="false">IF(D4111="?OLD","!!!","")</f>
        <v/>
      </c>
      <c r="F4111" s="25" t="str">
        <f aca="false">IF(OR(E4111="",E4111="!!!"),"",IF(NOT(ISNA(VLOOKUP(E4111,E$1:E4110,1,FALSE()))),"OLD",IF(AND(E4111&lt;&gt;"",E4111&lt;&gt;"!!!"),"NEW","")))</f>
        <v/>
      </c>
      <c r="G4111" s="26" t="str">
        <f aca="false">IF(OR(E4111="",E4111="!!!"),"",IF(OR(J4111=0,AND(J4111=1,K4111=1),AND(J4111=1,I4111="SBJ"),AND(J4111=1,I4111=0)),"?IN_FOCUS",IF(J4111&lt;=2,"?ACTIVATED",IF(J4111&lt;&gt;"","?FAMILIAR",IF(F4111="NEW",IF(ISNA(VLOOKUP(E4111,#REF!,1,FALSE())),"?TYPE_IDENTIFIABLE","?REFERENTIAL"),"_")))))</f>
        <v/>
      </c>
      <c r="H4111" s="27" t="str">
        <f aca="false">IF(J4111&lt;&gt;1,"",IF(I4111="SBJ","CB","?"))</f>
        <v/>
      </c>
      <c r="I4111" s="24" t="str">
        <f aca="false">IF(OR(E4111="",E4111="!!!",F4111="NEW"),"",INDEX(B5:B$4107,-1+SUMPRODUCT(MAX(ROW(E5:E$4107)*(E4111=E5:E$4107)))))</f>
        <v/>
      </c>
      <c r="J4111" s="24" t="str">
        <f aca="true">IF(OR(E4111="",E4111="!!!",F4111="NEW"),"",COUNTBLANK(OFFSET(A$1,,,SUMPRODUCT(MAX(ROW(E$2:E4111)*(E4111=E$2:E4111)))))-COUNTBLANK(OFFSET(A$1,,,SUMPRODUCT(MAX(ROW(E$1:E4110)*(E2=E$1:E4110))))))</f>
        <v/>
      </c>
      <c r="K4111" s="24" t="str">
        <f aca="false">IF(OR(E4111="",E4111="!!!",F4111="NEW"),"",INDEX(J$1:J4110,SUMPRODUCT(MAX(ROW(E$1:E4110)*(E4111=E$1:E4110)))))</f>
        <v/>
      </c>
      <c r="L4111" s="31"/>
    </row>
    <row r="4112" customFormat="false" ht="15" hidden="false" customHeight="false" outlineLevel="0" collapsed="false">
      <c r="A4112" s="20" t="s">
        <v>2133</v>
      </c>
      <c r="E4112" s="23" t="str">
        <f aca="false">IF(D4112="?OLD","!!!","")</f>
        <v/>
      </c>
      <c r="F4112" s="25" t="str">
        <f aca="false">IF(OR(E4112="",E4112="!!!"),"",IF(NOT(ISNA(VLOOKUP(E4112,E$1:E4111,1,FALSE()))),"OLD",IF(AND(E4112&lt;&gt;"",E4112&lt;&gt;"!!!"),"NEW","")))</f>
        <v/>
      </c>
      <c r="G4112" s="26" t="str">
        <f aca="false">IF(OR(E4112="",E4112="!!!"),"",IF(OR(J4112=0,AND(J4112=1,K4112=1),AND(J4112=1,I4112="SBJ"),AND(J4112=1,I4112=0)),"?IN_FOCUS",IF(J4112&lt;=2,"?ACTIVATED",IF(J4112&lt;&gt;"","?FAMILIAR",IF(F4112="NEW",IF(ISNA(VLOOKUP(E4112,#REF!,1,FALSE())),"?TYPE_IDENTIFIABLE","?REFERENTIAL"),"_")))))</f>
        <v/>
      </c>
      <c r="H4112" s="27" t="str">
        <f aca="false">IF(J4112&lt;&gt;1,"",IF(I4112="SBJ","CB","?"))</f>
        <v/>
      </c>
      <c r="I4112" s="24" t="str">
        <f aca="false">IF(OR(E4112="",E4112="!!!",F4112="NEW"),"",INDEX(B6:B$4107,-1+SUMPRODUCT(MAX(ROW(E6:E$4107)*(E4112=E6:E$4107)))))</f>
        <v/>
      </c>
      <c r="J4112" s="24" t="str">
        <f aca="true">IF(OR(E4112="",E4112="!!!",F4112="NEW"),"",COUNTBLANK(OFFSET(A$1,,,SUMPRODUCT(MAX(ROW(E$2:E4112)*(E4112=E$2:E4112)))))-COUNTBLANK(OFFSET(A$1,,,SUMPRODUCT(MAX(ROW(E$1:E4111)*(E2=E$1:E4111))))))</f>
        <v/>
      </c>
      <c r="K4112" s="24" t="str">
        <f aca="false">IF(OR(E4112="",E4112="!!!",F4112="NEW"),"",INDEX(J$1:J4111,SUMPRODUCT(MAX(ROW(E$1:E4111)*(E4112=E$1:E4111)))))</f>
        <v/>
      </c>
      <c r="L4112" s="31"/>
    </row>
    <row r="4113" customFormat="false" ht="15" hidden="false" customHeight="false" outlineLevel="0" collapsed="false">
      <c r="A4113" s="20" t="s">
        <v>2316</v>
      </c>
      <c r="B4113" s="22" t="s">
        <v>1058</v>
      </c>
      <c r="C4113" s="22" t="s">
        <v>1087</v>
      </c>
      <c r="E4113" s="23" t="str">
        <f aca="false">IF(D4113="?OLD","!!!","")</f>
        <v/>
      </c>
      <c r="F4113" s="25" t="str">
        <f aca="false">IF(OR(E4113="",E4113="!!!"),"",IF(NOT(ISNA(VLOOKUP(E4113,E$1:E4112,1,FALSE()))),"OLD",IF(AND(E4113&lt;&gt;"",E4113&lt;&gt;"!!!"),"NEW","")))</f>
        <v/>
      </c>
      <c r="G4113" s="26" t="str">
        <f aca="false">IF(OR(E4113="",E4113="!!!"),"",IF(OR(J4113=0,AND(J4113=1,K4113=1),AND(J4113=1,I4113="SBJ"),AND(J4113=1,I4113=0)),"?IN_FOCUS",IF(J4113&lt;=2,"?ACTIVATED",IF(J4113&lt;&gt;"","?FAMILIAR",IF(F4113="NEW",IF(ISNA(VLOOKUP(E4113,#REF!,1,FALSE())),"?TYPE_IDENTIFIABLE","?REFERENTIAL"),"_")))))</f>
        <v/>
      </c>
      <c r="H4113" s="27" t="str">
        <f aca="false">IF(J4113&lt;&gt;1,"",IF(I4113="SBJ","CB","?"))</f>
        <v/>
      </c>
      <c r="I4113" s="24" t="str">
        <f aca="false">IF(OR(E4113="",E4113="!!!",F4113="NEW"),"",INDEX(B7:B$4107,-1+SUMPRODUCT(MAX(ROW(E7:E$4107)*(E4113=E7:E$4107)))))</f>
        <v/>
      </c>
      <c r="J4113" s="24" t="str">
        <f aca="true">IF(OR(E4113="",E4113="!!!",F4113="NEW"),"",COUNTBLANK(OFFSET(A$1,,,SUMPRODUCT(MAX(ROW(E$2:E4113)*(E4113=E$2:E4113)))))-COUNTBLANK(OFFSET(A$1,,,SUMPRODUCT(MAX(ROW(E$1:E4112)*(E2=E$1:E4112))))))</f>
        <v/>
      </c>
      <c r="K4113" s="24" t="str">
        <f aca="false">IF(OR(E4113="",E4113="!!!",F4113="NEW"),"",INDEX(J$1:J4112,SUMPRODUCT(MAX(ROW(E$1:E4112)*(E4113=E$1:E4112)))))</f>
        <v/>
      </c>
      <c r="L4113" s="31"/>
    </row>
    <row r="4114" customFormat="false" ht="15" hidden="false" customHeight="false" outlineLevel="0" collapsed="false">
      <c r="A4114" s="20" t="s">
        <v>2317</v>
      </c>
      <c r="B4114" s="22" t="s">
        <v>1142</v>
      </c>
      <c r="C4114" s="22" t="s">
        <v>1196</v>
      </c>
      <c r="D4114" s="22" t="s">
        <v>1060</v>
      </c>
      <c r="E4114" s="23" t="str">
        <f aca="false">IF(D4114="?OLD","!!!","")</f>
        <v>!!!</v>
      </c>
      <c r="F4114" s="25" t="str">
        <f aca="false">IF(OR(E4114="",E4114="!!!"),"",IF(NOT(ISNA(VLOOKUP(E4114,E$1:E4113,1,FALSE()))),"OLD",IF(AND(E4114&lt;&gt;"",E4114&lt;&gt;"!!!"),"NEW","")))</f>
        <v/>
      </c>
      <c r="G4114" s="26" t="str">
        <f aca="false">IF(OR(E4114="",E4114="!!!"),"",IF(OR(J4114=0,AND(J4114=1,K4114=1),AND(J4114=1,I4114="SBJ"),AND(J4114=1,I4114=0)),"?IN_FOCUS",IF(J4114&lt;=2,"?ACTIVATED",IF(J4114&lt;&gt;"","?FAMILIAR",IF(F4114="NEW",IF(ISNA(VLOOKUP(E4114,#REF!,1,FALSE())),"?TYPE_IDENTIFIABLE","?REFERENTIAL"),"_")))))</f>
        <v/>
      </c>
      <c r="H4114" s="27" t="str">
        <f aca="false">IF(J4114&lt;&gt;1,"",IF(I4114="SBJ","CB","?"))</f>
        <v/>
      </c>
      <c r="I4114" s="24" t="str">
        <f aca="false">IF(OR(E4114="",E4114="!!!",F4114="NEW"),"",INDEX(B8:B$4107,-1+SUMPRODUCT(MAX(ROW(E8:E$4107)*(E4114=E8:E$4107)))))</f>
        <v/>
      </c>
      <c r="J4114" s="24" t="str">
        <f aca="true">IF(OR(E4114="",E4114="!!!",F4114="NEW"),"",COUNTBLANK(OFFSET(A$1,,,SUMPRODUCT(MAX(ROW(E$2:E4114)*(E4114=E$2:E4114)))))-COUNTBLANK(OFFSET(A$1,,,SUMPRODUCT(MAX(ROW(E$1:E4113)*(E2=E$1:E4113))))))</f>
        <v/>
      </c>
      <c r="K4114" s="24" t="str">
        <f aca="false">IF(OR(E4114="",E4114="!!!",F4114="NEW"),"",INDEX(J$1:J4113,SUMPRODUCT(MAX(ROW(E$1:E4113)*(E4114=E$1:E4113)))))</f>
        <v/>
      </c>
      <c r="L4114" s="31"/>
    </row>
    <row r="4115" customFormat="false" ht="15" hidden="false" customHeight="false" outlineLevel="0" collapsed="false">
      <c r="A4115" s="20" t="s">
        <v>1224</v>
      </c>
      <c r="E4115" s="23" t="str">
        <f aca="false">IF(D4115="?OLD","!!!","")</f>
        <v/>
      </c>
      <c r="F4115" s="25" t="str">
        <f aca="false">IF(OR(E4115="",E4115="!!!"),"",IF(NOT(ISNA(VLOOKUP(E4115,E$1:E4114,1,FALSE()))),"OLD",IF(AND(E4115&lt;&gt;"",E4115&lt;&gt;"!!!"),"NEW","")))</f>
        <v/>
      </c>
      <c r="G4115" s="26" t="str">
        <f aca="false">IF(OR(E4115="",E4115="!!!"),"",IF(OR(J4115=0,AND(J4115=1,K4115=1),AND(J4115=1,I4115="SBJ"),AND(J4115=1,I4115=0)),"?IN_FOCUS",IF(J4115&lt;=2,"?ACTIVATED",IF(J4115&lt;&gt;"","?FAMILIAR",IF(F4115="NEW",IF(ISNA(VLOOKUP(E4115,#REF!,1,FALSE())),"?TYPE_IDENTIFIABLE","?REFERENTIAL"),"_")))))</f>
        <v/>
      </c>
      <c r="H4115" s="27" t="str">
        <f aca="false">IF(J4115&lt;&gt;1,"",IF(I4115="SBJ","CB","?"))</f>
        <v/>
      </c>
      <c r="I4115" s="24" t="str">
        <f aca="false">IF(OR(E4115="",E4115="!!!",F4115="NEW"),"",INDEX(B9:B$4107,-1+SUMPRODUCT(MAX(ROW(E9:E$4107)*(E4115=E9:E$4107)))))</f>
        <v/>
      </c>
      <c r="J4115" s="24" t="str">
        <f aca="true">IF(OR(E4115="",E4115="!!!",F4115="NEW"),"",COUNTBLANK(OFFSET(A$1,,,SUMPRODUCT(MAX(ROW(E$2:E4115)*(E4115=E$2:E4115)))))-COUNTBLANK(OFFSET(A$1,,,SUMPRODUCT(MAX(ROW(E$1:E4114)*(E2=E$1:E4114))))))</f>
        <v/>
      </c>
      <c r="K4115" s="24" t="str">
        <f aca="false">IF(OR(E4115="",E4115="!!!",F4115="NEW"),"",INDEX(J$1:J4114,SUMPRODUCT(MAX(ROW(E$1:E4114)*(E4115=E$1:E4114)))))</f>
        <v/>
      </c>
      <c r="L4115" s="31"/>
    </row>
    <row r="4116" customFormat="false" ht="15" hidden="false" customHeight="false" outlineLevel="0" collapsed="false">
      <c r="A4116" s="20" t="s">
        <v>1399</v>
      </c>
      <c r="E4116" s="23" t="str">
        <f aca="false">IF(D4116="?OLD","!!!","")</f>
        <v/>
      </c>
      <c r="F4116" s="25" t="str">
        <f aca="false">IF(OR(E4116="",E4116="!!!"),"",IF(NOT(ISNA(VLOOKUP(E4116,E$1:E4115,1,FALSE()))),"OLD",IF(AND(E4116&lt;&gt;"",E4116&lt;&gt;"!!!"),"NEW","")))</f>
        <v/>
      </c>
      <c r="G4116" s="26" t="str">
        <f aca="false">IF(OR(E4116="",E4116="!!!"),"",IF(OR(J4116=0,AND(J4116=1,K4116=1),AND(J4116=1,I4116="SBJ"),AND(J4116=1,I4116=0)),"?IN_FOCUS",IF(J4116&lt;=2,"?ACTIVATED",IF(J4116&lt;&gt;"","?FAMILIAR",IF(F4116="NEW",IF(ISNA(VLOOKUP(E4116,#REF!,1,FALSE())),"?TYPE_IDENTIFIABLE","?REFERENTIAL"),"_")))))</f>
        <v/>
      </c>
      <c r="H4116" s="27" t="str">
        <f aca="false">IF(J4116&lt;&gt;1,"",IF(I4116="SBJ","CB","?"))</f>
        <v/>
      </c>
      <c r="I4116" s="24" t="str">
        <f aca="false">IF(OR(E4116="",E4116="!!!",F4116="NEW"),"",INDEX(B10:B$4107,-1+SUMPRODUCT(MAX(ROW(E10:E$4107)*(E4116=E10:E$4107)))))</f>
        <v/>
      </c>
      <c r="J4116" s="24" t="str">
        <f aca="true">IF(OR(E4116="",E4116="!!!",F4116="NEW"),"",COUNTBLANK(OFFSET(A$1,,,SUMPRODUCT(MAX(ROW(E$2:E4116)*(E4116=E$2:E4116)))))-COUNTBLANK(OFFSET(A$1,,,SUMPRODUCT(MAX(ROW(E$1:E4115)*(E2=E$1:E4115))))))</f>
        <v/>
      </c>
      <c r="K4116" s="24" t="str">
        <f aca="false">IF(OR(E4116="",E4116="!!!",F4116="NEW"),"",INDEX(J$1:J4115,SUMPRODUCT(MAX(ROW(E$1:E4115)*(E4116=E$1:E4115)))))</f>
        <v/>
      </c>
      <c r="L4116" s="31"/>
    </row>
    <row r="4117" customFormat="false" ht="15" hidden="false" customHeight="false" outlineLevel="0" collapsed="false">
      <c r="A4117" s="20" t="s">
        <v>2318</v>
      </c>
      <c r="B4117" s="22" t="s">
        <v>1073</v>
      </c>
      <c r="C4117" s="22" t="s">
        <v>1087</v>
      </c>
      <c r="E4117" s="23" t="str">
        <f aca="false">IF(D4117="?OLD","!!!","")</f>
        <v/>
      </c>
      <c r="F4117" s="25" t="str">
        <f aca="false">IF(OR(E4117="",E4117="!!!"),"",IF(NOT(ISNA(VLOOKUP(E4117,E$1:E4116,1,FALSE()))),"OLD",IF(AND(E4117&lt;&gt;"",E4117&lt;&gt;"!!!"),"NEW","")))</f>
        <v/>
      </c>
      <c r="G4117" s="26" t="str">
        <f aca="false">IF(OR(E4117="",E4117="!!!"),"",IF(OR(J4117=0,AND(J4117=1,K4117=1),AND(J4117=1,I4117="SBJ"),AND(J4117=1,I4117=0)),"?IN_FOCUS",IF(J4117&lt;=2,"?ACTIVATED",IF(J4117&lt;&gt;"","?FAMILIAR",IF(F4117="NEW",IF(ISNA(VLOOKUP(E4117,#REF!,1,FALSE())),"?TYPE_IDENTIFIABLE","?REFERENTIAL"),"_")))))</f>
        <v/>
      </c>
      <c r="H4117" s="27" t="str">
        <f aca="false">IF(J4117&lt;&gt;1,"",IF(I4117="SBJ","CB","?"))</f>
        <v/>
      </c>
      <c r="I4117" s="24" t="str">
        <f aca="false">IF(OR(E4117="",E4117="!!!",F4117="NEW"),"",INDEX(B11:B$4107,-1+SUMPRODUCT(MAX(ROW(E11:E$4107)*(E4117=E11:E$4107)))))</f>
        <v/>
      </c>
      <c r="J4117" s="24" t="str">
        <f aca="true">IF(OR(E4117="",E4117="!!!",F4117="NEW"),"",COUNTBLANK(OFFSET(A$1,,,SUMPRODUCT(MAX(ROW(E$2:E4117)*(E4117=E$2:E4117)))))-COUNTBLANK(OFFSET(A$1,,,SUMPRODUCT(MAX(ROW(E$1:E4116)*(E2=E$1:E4116))))))</f>
        <v/>
      </c>
      <c r="K4117" s="24" t="str">
        <f aca="false">IF(OR(E4117="",E4117="!!!",F4117="NEW"),"",INDEX(J$1:J4116,SUMPRODUCT(MAX(ROW(E$1:E4116)*(E4117=E$1:E4116)))))</f>
        <v/>
      </c>
      <c r="L4117" s="31"/>
    </row>
    <row r="4118" customFormat="false" ht="15" hidden="false" customHeight="false" outlineLevel="0" collapsed="false">
      <c r="A4118" s="20" t="s">
        <v>1173</v>
      </c>
      <c r="E4118" s="23" t="str">
        <f aca="false">IF(D4118="?OLD","!!!","")</f>
        <v/>
      </c>
      <c r="F4118" s="25" t="str">
        <f aca="false">IF(OR(E4118="",E4118="!!!"),"",IF(NOT(ISNA(VLOOKUP(E4118,E$1:E4117,1,FALSE()))),"OLD",IF(AND(E4118&lt;&gt;"",E4118&lt;&gt;"!!!"),"NEW","")))</f>
        <v/>
      </c>
      <c r="G4118" s="26" t="str">
        <f aca="false">IF(OR(E4118="",E4118="!!!"),"",IF(OR(J4118=0,AND(J4118=1,K4118=1),AND(J4118=1,I4118="SBJ"),AND(J4118=1,I4118=0)),"?IN_FOCUS",IF(J4118&lt;=2,"?ACTIVATED",IF(J4118&lt;&gt;"","?FAMILIAR",IF(F4118="NEW",IF(ISNA(VLOOKUP(E4118,#REF!,1,FALSE())),"?TYPE_IDENTIFIABLE","?REFERENTIAL"),"_")))))</f>
        <v/>
      </c>
      <c r="H4118" s="27" t="str">
        <f aca="false">IF(J4118&lt;&gt;1,"",IF(I4118="SBJ","CB","?"))</f>
        <v/>
      </c>
      <c r="I4118" s="24" t="str">
        <f aca="false">IF(OR(E4118="",E4118="!!!",F4118="NEW"),"",INDEX(B12:B$4107,-1+SUMPRODUCT(MAX(ROW(E12:E$4107)*(E4118=E12:E$4107)))))</f>
        <v/>
      </c>
      <c r="J4118" s="24" t="str">
        <f aca="true">IF(OR(E4118="",E4118="!!!",F4118="NEW"),"",COUNTBLANK(OFFSET(A$1,,,SUMPRODUCT(MAX(ROW(E$2:E4118)*(E4118=E$2:E4118)))))-COUNTBLANK(OFFSET(A$1,,,SUMPRODUCT(MAX(ROW(E$1:E4117)*(E2=E$1:E4117))))))</f>
        <v/>
      </c>
      <c r="K4118" s="24" t="str">
        <f aca="false">IF(OR(E4118="",E4118="!!!",F4118="NEW"),"",INDEX(J$1:J4117,SUMPRODUCT(MAX(ROW(E$1:E4117)*(E4118=E$1:E4117)))))</f>
        <v/>
      </c>
      <c r="L4118" s="31"/>
    </row>
    <row r="4119" customFormat="false" ht="15" hidden="false" customHeight="false" outlineLevel="0" collapsed="false">
      <c r="A4119" s="20" t="s">
        <v>1109</v>
      </c>
      <c r="E4119" s="23" t="str">
        <f aca="false">IF(D4119="?OLD","!!!","")</f>
        <v/>
      </c>
      <c r="F4119" s="25" t="str">
        <f aca="false">IF(OR(E4119="",E4119="!!!"),"",IF(NOT(ISNA(VLOOKUP(E4119,E$1:E4118,1,FALSE()))),"OLD",IF(AND(E4119&lt;&gt;"",E4119&lt;&gt;"!!!"),"NEW","")))</f>
        <v/>
      </c>
      <c r="G4119" s="26" t="str">
        <f aca="false">IF(OR(E4119="",E4119="!!!"),"",IF(OR(J4119=0,AND(J4119=1,K4119=1),AND(J4119=1,I4119="SBJ"),AND(J4119=1,I4119=0)),"?IN_FOCUS",IF(J4119&lt;=2,"?ACTIVATED",IF(J4119&lt;&gt;"","?FAMILIAR",IF(F4119="NEW",IF(ISNA(VLOOKUP(E4119,#REF!,1,FALSE())),"?TYPE_IDENTIFIABLE","?REFERENTIAL"),"_")))))</f>
        <v/>
      </c>
      <c r="H4119" s="27" t="str">
        <f aca="false">IF(J4119&lt;&gt;1,"",IF(I4119="SBJ","CB","?"))</f>
        <v/>
      </c>
      <c r="I4119" s="24" t="str">
        <f aca="false">IF(OR(E4119="",E4119="!!!",F4119="NEW"),"",INDEX(B13:B$4107,-1+SUMPRODUCT(MAX(ROW(E13:E$4107)*(E4119=E13:E$4107)))))</f>
        <v/>
      </c>
      <c r="J4119" s="24" t="str">
        <f aca="true">IF(OR(E4119="",E4119="!!!",F4119="NEW"),"",COUNTBLANK(OFFSET(A$1,,,SUMPRODUCT(MAX(ROW(E$2:E4119)*(E4119=E$2:E4119)))))-COUNTBLANK(OFFSET(A$1,,,SUMPRODUCT(MAX(ROW(E$1:E4118)*(E2=E$1:E4118))))))</f>
        <v/>
      </c>
      <c r="K4119" s="24" t="str">
        <f aca="false">IF(OR(E4119="",E4119="!!!",F4119="NEW"),"",INDEX(J$1:J4118,SUMPRODUCT(MAX(ROW(E$1:E4118)*(E4119=E$1:E4118)))))</f>
        <v/>
      </c>
      <c r="L4119" s="31"/>
    </row>
    <row r="4120" customFormat="false" ht="15" hidden="false" customHeight="false" outlineLevel="0" collapsed="false">
      <c r="A4120" s="20" t="s">
        <v>1817</v>
      </c>
      <c r="B4120" s="22" t="s">
        <v>1067</v>
      </c>
      <c r="C4120" s="22" t="s">
        <v>1150</v>
      </c>
      <c r="D4120" s="22" t="s">
        <v>1060</v>
      </c>
      <c r="E4120" s="23" t="str">
        <f aca="false">IF(D4120="?OLD","!!!","")</f>
        <v>!!!</v>
      </c>
      <c r="F4120" s="25" t="str">
        <f aca="false">IF(OR(E4120="",E4120="!!!"),"",IF(NOT(ISNA(VLOOKUP(E4120,E$1:E4119,1,FALSE()))),"OLD",IF(AND(E4120&lt;&gt;"",E4120&lt;&gt;"!!!"),"NEW","")))</f>
        <v/>
      </c>
      <c r="G4120" s="26" t="str">
        <f aca="false">IF(OR(E4120="",E4120="!!!"),"",IF(OR(J4120=0,AND(J4120=1,K4120=1),AND(J4120=1,I4120="SBJ"),AND(J4120=1,I4120=0)),"?IN_FOCUS",IF(J4120&lt;=2,"?ACTIVATED",IF(J4120&lt;&gt;"","?FAMILIAR",IF(F4120="NEW",IF(ISNA(VLOOKUP(E4120,#REF!,1,FALSE())),"?TYPE_IDENTIFIABLE","?REFERENTIAL"),"_")))))</f>
        <v/>
      </c>
      <c r="H4120" s="27" t="str">
        <f aca="false">IF(J4120&lt;&gt;1,"",IF(I4120="SBJ","CB","?"))</f>
        <v/>
      </c>
      <c r="I4120" s="24" t="str">
        <f aca="false">IF(OR(E4120="",E4120="!!!",F4120="NEW"),"",INDEX(B14:B$4107,-1+SUMPRODUCT(MAX(ROW(E14:E$4107)*(E4120=E14:E$4107)))))</f>
        <v/>
      </c>
      <c r="J4120" s="24" t="str">
        <f aca="true">IF(OR(E4120="",E4120="!!!",F4120="NEW"),"",COUNTBLANK(OFFSET(A$1,,,SUMPRODUCT(MAX(ROW(E$2:E4120)*(E4120=E$2:E4120)))))-COUNTBLANK(OFFSET(A$1,,,SUMPRODUCT(MAX(ROW(E$1:E4119)*(E2=E$1:E4119))))))</f>
        <v/>
      </c>
      <c r="K4120" s="24" t="str">
        <f aca="false">IF(OR(E4120="",E4120="!!!",F4120="NEW"),"",INDEX(J$1:J4119,SUMPRODUCT(MAX(ROW(E$1:E4119)*(E4120=E$1:E4119)))))</f>
        <v/>
      </c>
      <c r="L4120" s="31"/>
    </row>
    <row r="4121" customFormat="false" ht="15" hidden="false" customHeight="false" outlineLevel="0" collapsed="false">
      <c r="A4121" s="20" t="s">
        <v>1064</v>
      </c>
      <c r="E4121" s="23" t="str">
        <f aca="false">IF(D4121="?OLD","!!!","")</f>
        <v/>
      </c>
      <c r="F4121" s="25" t="str">
        <f aca="false">IF(OR(E4121="",E4121="!!!"),"",IF(NOT(ISNA(VLOOKUP(E4121,E$1:E4120,1,FALSE()))),"OLD",IF(AND(E4121&lt;&gt;"",E4121&lt;&gt;"!!!"),"NEW","")))</f>
        <v/>
      </c>
      <c r="G4121" s="26" t="str">
        <f aca="false">IF(OR(E4121="",E4121="!!!"),"",IF(OR(J4121=0,AND(J4121=1,K4121=1),AND(J4121=1,I4121="SBJ"),AND(J4121=1,I4121=0)),"?IN_FOCUS",IF(J4121&lt;=2,"?ACTIVATED",IF(J4121&lt;&gt;"","?FAMILIAR",IF(F4121="NEW",IF(ISNA(VLOOKUP(E4121,#REF!,1,FALSE())),"?TYPE_IDENTIFIABLE","?REFERENTIAL"),"_")))))</f>
        <v/>
      </c>
      <c r="H4121" s="27" t="str">
        <f aca="false">IF(J4121&lt;&gt;1,"",IF(I4121="SBJ","CB","?"))</f>
        <v/>
      </c>
      <c r="I4121" s="24" t="str">
        <f aca="false">IF(OR(E4121="",E4121="!!!",F4121="NEW"),"",INDEX(B15:B$4107,-1+SUMPRODUCT(MAX(ROW(E15:E$4107)*(E4121=E15:E$4107)))))</f>
        <v/>
      </c>
      <c r="J4121" s="24" t="str">
        <f aca="true">IF(OR(E4121="",E4121="!!!",F4121="NEW"),"",COUNTBLANK(OFFSET(A$1,,,SUMPRODUCT(MAX(ROW(E$2:E4121)*(E4121=E$2:E4121)))))-COUNTBLANK(OFFSET(A$1,,,SUMPRODUCT(MAX(ROW(E$1:E4120)*(E2=E$1:E4120))))))</f>
        <v/>
      </c>
      <c r="K4121" s="24" t="str">
        <f aca="false">IF(OR(E4121="",E4121="!!!",F4121="NEW"),"",INDEX(J$1:J4120,SUMPRODUCT(MAX(ROW(E$1:E4120)*(E4121=E$1:E4120)))))</f>
        <v/>
      </c>
      <c r="L4121" s="31"/>
    </row>
    <row r="4122" customFormat="false" ht="15" hidden="false" customHeight="false" outlineLevel="0" collapsed="false">
      <c r="A4122" s="20" t="s">
        <v>1109</v>
      </c>
      <c r="E4122" s="23" t="str">
        <f aca="false">IF(D4122="?OLD","!!!","")</f>
        <v/>
      </c>
      <c r="F4122" s="25" t="str">
        <f aca="false">IF(OR(E4122="",E4122="!!!"),"",IF(NOT(ISNA(VLOOKUP(E4122,E$1:E4121,1,FALSE()))),"OLD",IF(AND(E4122&lt;&gt;"",E4122&lt;&gt;"!!!"),"NEW","")))</f>
        <v/>
      </c>
      <c r="G4122" s="26" t="str">
        <f aca="false">IF(OR(E4122="",E4122="!!!"),"",IF(OR(J4122=0,AND(J4122=1,K4122=1),AND(J4122=1,I4122="SBJ"),AND(J4122=1,I4122=0)),"?IN_FOCUS",IF(J4122&lt;=2,"?ACTIVATED",IF(J4122&lt;&gt;"","?FAMILIAR",IF(F4122="NEW",IF(ISNA(VLOOKUP(E4122,#REF!,1,FALSE())),"?TYPE_IDENTIFIABLE","?REFERENTIAL"),"_")))))</f>
        <v/>
      </c>
      <c r="H4122" s="27" t="str">
        <f aca="false">IF(J4122&lt;&gt;1,"",IF(I4122="SBJ","CB","?"))</f>
        <v/>
      </c>
      <c r="I4122" s="24" t="str">
        <f aca="false">IF(OR(E4122="",E4122="!!!",F4122="NEW"),"",INDEX(B16:B$4107,-1+SUMPRODUCT(MAX(ROW(E16:E$4107)*(E4122=E16:E$4107)))))</f>
        <v/>
      </c>
      <c r="J4122" s="24" t="str">
        <f aca="true">IF(OR(E4122="",E4122="!!!",F4122="NEW"),"",COUNTBLANK(OFFSET(A$1,,,SUMPRODUCT(MAX(ROW(E$2:E4122)*(E4122=E$2:E4122)))))-COUNTBLANK(OFFSET(A$1,,,SUMPRODUCT(MAX(ROW(E$1:E4121)*(E2=E$1:E4121))))))</f>
        <v/>
      </c>
      <c r="K4122" s="24" t="str">
        <f aca="false">IF(OR(E4122="",E4122="!!!",F4122="NEW"),"",INDEX(J$1:J4121,SUMPRODUCT(MAX(ROW(E$1:E4121)*(E4122=E$1:E4121)))))</f>
        <v/>
      </c>
      <c r="L4122" s="31"/>
    </row>
    <row r="4123" customFormat="false" ht="15" hidden="false" customHeight="false" outlineLevel="0" collapsed="false">
      <c r="A4123" s="20" t="s">
        <v>2319</v>
      </c>
      <c r="B4123" s="22" t="s">
        <v>1107</v>
      </c>
      <c r="C4123" s="22" t="s">
        <v>1150</v>
      </c>
      <c r="D4123" s="22" t="s">
        <v>1060</v>
      </c>
      <c r="E4123" s="23" t="str">
        <f aca="false">IF(D4123="?OLD","!!!","")</f>
        <v>!!!</v>
      </c>
      <c r="F4123" s="25" t="str">
        <f aca="false">IF(OR(E4123="",E4123="!!!"),"",IF(NOT(ISNA(VLOOKUP(E4123,E$1:E4122,1,FALSE()))),"OLD",IF(AND(E4123&lt;&gt;"",E4123&lt;&gt;"!!!"),"NEW","")))</f>
        <v/>
      </c>
      <c r="G4123" s="26" t="str">
        <f aca="false">IF(OR(E4123="",E4123="!!!"),"",IF(OR(J4123=0,AND(J4123=1,K4123=1),AND(J4123=1,I4123="SBJ"),AND(J4123=1,I4123=0)),"?IN_FOCUS",IF(J4123&lt;=2,"?ACTIVATED",IF(J4123&lt;&gt;"","?FAMILIAR",IF(F4123="NEW",IF(ISNA(VLOOKUP(E4123,#REF!,1,FALSE())),"?TYPE_IDENTIFIABLE","?REFERENTIAL"),"_")))))</f>
        <v/>
      </c>
      <c r="H4123" s="27" t="str">
        <f aca="false">IF(J4123&lt;&gt;1,"",IF(I4123="SBJ","CB","?"))</f>
        <v/>
      </c>
      <c r="I4123" s="24" t="str">
        <f aca="false">IF(OR(E4123="",E4123="!!!",F4123="NEW"),"",INDEX(B17:B$4107,-1+SUMPRODUCT(MAX(ROW(E17:E$4107)*(E4123=E17:E$4107)))))</f>
        <v/>
      </c>
      <c r="J4123" s="24" t="str">
        <f aca="true">IF(OR(E4123="",E4123="!!!",F4123="NEW"),"",COUNTBLANK(OFFSET(A$1,,,SUMPRODUCT(MAX(ROW(E$2:E4123)*(E4123=E$2:E4123)))))-COUNTBLANK(OFFSET(A$1,,,SUMPRODUCT(MAX(ROW(E$1:E4122)*(E2=E$1:E4122))))))</f>
        <v/>
      </c>
      <c r="K4123" s="24" t="str">
        <f aca="false">IF(OR(E4123="",E4123="!!!",F4123="NEW"),"",INDEX(J$1:J4122,SUMPRODUCT(MAX(ROW(E$1:E4122)*(E4123=E$1:E4122)))))</f>
        <v/>
      </c>
      <c r="L4123" s="31"/>
    </row>
    <row r="4124" customFormat="false" ht="15" hidden="false" customHeight="false" outlineLevel="0" collapsed="false">
      <c r="A4124" s="20" t="s">
        <v>923</v>
      </c>
      <c r="E4124" s="23" t="str">
        <f aca="false">IF(D4124="?OLD","!!!","")</f>
        <v/>
      </c>
      <c r="F4124" s="25" t="str">
        <f aca="false">IF(OR(E4124="",E4124="!!!"),"",IF(NOT(ISNA(VLOOKUP(E4124,E$1:E4123,1,FALSE()))),"OLD",IF(AND(E4124&lt;&gt;"",E4124&lt;&gt;"!!!"),"NEW","")))</f>
        <v/>
      </c>
      <c r="G4124" s="26" t="str">
        <f aca="false">IF(OR(E4124="",E4124="!!!"),"",IF(OR(J4124=0,AND(J4124=1,K4124=1),AND(J4124=1,I4124="SBJ"),AND(J4124=1,I4124=0)),"?IN_FOCUS",IF(J4124&lt;=2,"?ACTIVATED",IF(J4124&lt;&gt;"","?FAMILIAR",IF(F4124="NEW",IF(ISNA(VLOOKUP(E4124,#REF!,1,FALSE())),"?TYPE_IDENTIFIABLE","?REFERENTIAL"),"_")))))</f>
        <v/>
      </c>
      <c r="H4124" s="27" t="str">
        <f aca="false">IF(J4124&lt;&gt;1,"",IF(I4124="SBJ","CB","?"))</f>
        <v/>
      </c>
      <c r="I4124" s="24" t="str">
        <f aca="false">IF(OR(E4124="",E4124="!!!",F4124="NEW"),"",INDEX(B18:B$4107,-1+SUMPRODUCT(MAX(ROW(E18:E$4107)*(E4124=E18:E$4107)))))</f>
        <v/>
      </c>
      <c r="J4124" s="24" t="str">
        <f aca="true">IF(OR(E4124="",E4124="!!!",F4124="NEW"),"",COUNTBLANK(OFFSET(A$1,,,SUMPRODUCT(MAX(ROW(E$2:E4124)*(E4124=E$2:E4124)))))-COUNTBLANK(OFFSET(A$1,,,SUMPRODUCT(MAX(ROW(E$1:E4123)*(E2=E$1:E4123))))))</f>
        <v/>
      </c>
      <c r="K4124" s="24" t="str">
        <f aca="false">IF(OR(E4124="",E4124="!!!",F4124="NEW"),"",INDEX(J$1:J4123,SUMPRODUCT(MAX(ROW(E$1:E4123)*(E4124=E$1:E4123)))))</f>
        <v/>
      </c>
      <c r="L4124" s="31"/>
    </row>
    <row r="4125" customFormat="false" ht="15" hidden="false" customHeight="false" outlineLevel="0" collapsed="false">
      <c r="A4125" s="20"/>
    </row>
    <row r="4126" customFormat="false" ht="15" hidden="false" customHeight="false" outlineLevel="0" collapsed="false">
      <c r="A4126" s="20" t="s">
        <v>2320</v>
      </c>
    </row>
    <row r="4127" customFormat="false" ht="15" hidden="false" customHeight="false" outlineLevel="0" collapsed="false">
      <c r="A4127" s="20" t="s">
        <v>1261</v>
      </c>
      <c r="B4127" s="22" t="s">
        <v>1058</v>
      </c>
      <c r="C4127" s="22" t="s">
        <v>1082</v>
      </c>
      <c r="D4127" s="22" t="s">
        <v>1060</v>
      </c>
      <c r="E4127" s="23" t="str">
        <f aca="false">IF(D4127="?OLD","!!!","")</f>
        <v>!!!</v>
      </c>
      <c r="F4127" s="25" t="str">
        <f aca="false">IF(OR(E4127="",E4127="!!!"),"",IF(NOT(ISNA(VLOOKUP(E4127,E$1:E4126,1,FALSE()))),"OLD",IF(AND(E4127&lt;&gt;"",E4127&lt;&gt;"!!!"),"NEW","")))</f>
        <v/>
      </c>
      <c r="G4127" s="26" t="str">
        <f aca="false">IF(OR(E4127="",E4127="!!!"),"",IF(OR(J4127=0,AND(J4127=1,K4127=1),AND(J4127=1,I4127="SBJ"),AND(J4127=1,I4127=0)),"?IN_FOCUS",IF(J4127&lt;=2,"?ACTIVATED",IF(J4127&lt;&gt;"","?FAMILIAR",IF(F4127="NEW",IF(ISNA(VLOOKUP(E4127,#REF!,1,FALSE())),"?TYPE_IDENTIFIABLE","?REFERENTIAL"),"_")))))</f>
        <v/>
      </c>
      <c r="H4127" s="27" t="str">
        <f aca="false">IF(J4127&lt;&gt;1,"",IF(I4127="SBJ","CB","?"))</f>
        <v/>
      </c>
      <c r="I4127" s="24" t="str">
        <f aca="false">IF(OR(E4127="",E4127="!!!",F4127="NEW"),"",INDEX(B2:B$4126,-1+SUMPRODUCT(MAX(ROW(E2:E$4126)*(E4127=E2:E$4126)))))</f>
        <v/>
      </c>
      <c r="J4127" s="24" t="str">
        <f aca="true">IF(OR(E4127="",E4127="!!!",F4127="NEW"),"",COUNTBLANK(OFFSET(A$1,,,SUMPRODUCT(MAX(ROW(E$2:E4127)*(E4127=E$2:E4127)))))-COUNTBLANK(OFFSET(A$1,,,SUMPRODUCT(MAX(ROW(E$1:E4126)*(E2=E$1:E4126))))))</f>
        <v/>
      </c>
      <c r="K4127" s="24" t="str">
        <f aca="false">IF(OR(E4127="",E4127="!!!",F4127="NEW"),"",INDEX(J$1:J4126,SUMPRODUCT(MAX(ROW(E$1:E4126)*(E4127=E$1:E4126)))))</f>
        <v/>
      </c>
      <c r="L4127" s="31"/>
    </row>
    <row r="4128" customFormat="false" ht="15" hidden="false" customHeight="false" outlineLevel="0" collapsed="false">
      <c r="A4128" s="20" t="s">
        <v>1092</v>
      </c>
      <c r="E4128" s="23" t="str">
        <f aca="false">IF(D4128="?OLD","!!!","")</f>
        <v/>
      </c>
      <c r="F4128" s="25" t="str">
        <f aca="false">IF(OR(E4128="",E4128="!!!"),"",IF(NOT(ISNA(VLOOKUP(E4128,E$1:E4127,1,FALSE()))),"OLD",IF(AND(E4128&lt;&gt;"",E4128&lt;&gt;"!!!"),"NEW","")))</f>
        <v/>
      </c>
      <c r="G4128" s="26" t="str">
        <f aca="false">IF(OR(E4128="",E4128="!!!"),"",IF(OR(J4128=0,AND(J4128=1,K4128=1),AND(J4128=1,I4128="SBJ"),AND(J4128=1,I4128=0)),"?IN_FOCUS",IF(J4128&lt;=2,"?ACTIVATED",IF(J4128&lt;&gt;"","?FAMILIAR",IF(F4128="NEW",IF(ISNA(VLOOKUP(E4128,#REF!,1,FALSE())),"?TYPE_IDENTIFIABLE","?REFERENTIAL"),"_")))))</f>
        <v/>
      </c>
      <c r="H4128" s="27" t="str">
        <f aca="false">IF(J4128&lt;&gt;1,"",IF(I4128="SBJ","CB","?"))</f>
        <v/>
      </c>
      <c r="I4128" s="24" t="str">
        <f aca="false">IF(OR(E4128="",E4128="!!!",F4128="NEW"),"",INDEX(B3:B$4126,-1+SUMPRODUCT(MAX(ROW(E3:E$4126)*(E4128=E3:E$4126)))))</f>
        <v/>
      </c>
      <c r="J4128" s="24" t="str">
        <f aca="true">IF(OR(E4128="",E4128="!!!",F4128="NEW"),"",COUNTBLANK(OFFSET(A$1,,,SUMPRODUCT(MAX(ROW(E$2:E4128)*(E4128=E$2:E4128)))))-COUNTBLANK(OFFSET(A$1,,,SUMPRODUCT(MAX(ROW(E$1:E4127)*(E2=E$1:E4127))))))</f>
        <v/>
      </c>
      <c r="K4128" s="24" t="str">
        <f aca="false">IF(OR(E4128="",E4128="!!!",F4128="NEW"),"",INDEX(J$1:J4127,SUMPRODUCT(MAX(ROW(E$1:E4127)*(E4128=E$1:E4127)))))</f>
        <v/>
      </c>
      <c r="L4128" s="31"/>
    </row>
    <row r="4129" customFormat="false" ht="15" hidden="false" customHeight="false" outlineLevel="0" collapsed="false">
      <c r="A4129" s="20" t="s">
        <v>1555</v>
      </c>
      <c r="B4129" s="22" t="s">
        <v>1105</v>
      </c>
      <c r="C4129" s="22" t="s">
        <v>1575</v>
      </c>
      <c r="D4129" s="22" t="s">
        <v>1060</v>
      </c>
      <c r="E4129" s="23" t="str">
        <f aca="false">IF(D4129="?OLD","!!!","")</f>
        <v>!!!</v>
      </c>
      <c r="F4129" s="25" t="str">
        <f aca="false">IF(OR(E4129="",E4129="!!!"),"",IF(NOT(ISNA(VLOOKUP(E4129,E$1:E4128,1,FALSE()))),"OLD",IF(AND(E4129&lt;&gt;"",E4129&lt;&gt;"!!!"),"NEW","")))</f>
        <v/>
      </c>
      <c r="G4129" s="26" t="str">
        <f aca="false">IF(OR(E4129="",E4129="!!!"),"",IF(OR(J4129=0,AND(J4129=1,K4129=1),AND(J4129=1,I4129="SBJ"),AND(J4129=1,I4129=0)),"?IN_FOCUS",IF(J4129&lt;=2,"?ACTIVATED",IF(J4129&lt;&gt;"","?FAMILIAR",IF(F4129="NEW",IF(ISNA(VLOOKUP(E4129,#REF!,1,FALSE())),"?TYPE_IDENTIFIABLE","?REFERENTIAL"),"_")))))</f>
        <v/>
      </c>
      <c r="H4129" s="27" t="str">
        <f aca="false">IF(J4129&lt;&gt;1,"",IF(I4129="SBJ","CB","?"))</f>
        <v/>
      </c>
      <c r="I4129" s="24" t="str">
        <f aca="false">IF(OR(E4129="",E4129="!!!",F4129="NEW"),"",INDEX(B4:B$4126,-1+SUMPRODUCT(MAX(ROW(E4:E$4126)*(E4129=E4:E$4126)))))</f>
        <v/>
      </c>
      <c r="J4129" s="24" t="str">
        <f aca="true">IF(OR(E4129="",E4129="!!!",F4129="NEW"),"",COUNTBLANK(OFFSET(A$1,,,SUMPRODUCT(MAX(ROW(E$2:E4129)*(E4129=E$2:E4129)))))-COUNTBLANK(OFFSET(A$1,,,SUMPRODUCT(MAX(ROW(E$1:E4128)*(E2=E$1:E4128))))))</f>
        <v/>
      </c>
      <c r="K4129" s="24" t="str">
        <f aca="false">IF(OR(E4129="",E4129="!!!",F4129="NEW"),"",INDEX(J$1:J4128,SUMPRODUCT(MAX(ROW(E$1:E4128)*(E4129=E$1:E4128)))))</f>
        <v/>
      </c>
      <c r="L4129" s="31"/>
    </row>
    <row r="4130" customFormat="false" ht="15" hidden="false" customHeight="false" outlineLevel="0" collapsed="false">
      <c r="A4130" s="20" t="s">
        <v>1089</v>
      </c>
      <c r="E4130" s="23" t="str">
        <f aca="false">IF(D4130="?OLD","!!!","")</f>
        <v/>
      </c>
      <c r="F4130" s="25" t="str">
        <f aca="false">IF(OR(E4130="",E4130="!!!"),"",IF(NOT(ISNA(VLOOKUP(E4130,E$1:E4129,1,FALSE()))),"OLD",IF(AND(E4130&lt;&gt;"",E4130&lt;&gt;"!!!"),"NEW","")))</f>
        <v/>
      </c>
      <c r="G4130" s="26" t="str">
        <f aca="false">IF(OR(E4130="",E4130="!!!"),"",IF(OR(J4130=0,AND(J4130=1,K4130=1),AND(J4130=1,I4130="SBJ"),AND(J4130=1,I4130=0)),"?IN_FOCUS",IF(J4130&lt;=2,"?ACTIVATED",IF(J4130&lt;&gt;"","?FAMILIAR",IF(F4130="NEW",IF(ISNA(VLOOKUP(E4130,#REF!,1,FALSE())),"?TYPE_IDENTIFIABLE","?REFERENTIAL"),"_")))))</f>
        <v/>
      </c>
      <c r="H4130" s="27" t="str">
        <f aca="false">IF(J4130&lt;&gt;1,"",IF(I4130="SBJ","CB","?"))</f>
        <v/>
      </c>
      <c r="I4130" s="24" t="str">
        <f aca="false">IF(OR(E4130="",E4130="!!!",F4130="NEW"),"",INDEX(B5:B$4126,-1+SUMPRODUCT(MAX(ROW(E5:E$4126)*(E4130=E5:E$4126)))))</f>
        <v/>
      </c>
      <c r="J4130" s="24" t="str">
        <f aca="true">IF(OR(E4130="",E4130="!!!",F4130="NEW"),"",COUNTBLANK(OFFSET(A$1,,,SUMPRODUCT(MAX(ROW(E$2:E4130)*(E4130=E$2:E4130)))))-COUNTBLANK(OFFSET(A$1,,,SUMPRODUCT(MAX(ROW(E$1:E4129)*(E2=E$1:E4129))))))</f>
        <v/>
      </c>
      <c r="K4130" s="24" t="str">
        <f aca="false">IF(OR(E4130="",E4130="!!!",F4130="NEW"),"",INDEX(J$1:J4129,SUMPRODUCT(MAX(ROW(E$1:E4129)*(E4130=E$1:E4129)))))</f>
        <v/>
      </c>
      <c r="L4130" s="31"/>
    </row>
    <row r="4131" customFormat="false" ht="15" hidden="false" customHeight="false" outlineLevel="0" collapsed="false">
      <c r="A4131" s="20" t="s">
        <v>1090</v>
      </c>
      <c r="B4131" s="22" t="s">
        <v>1086</v>
      </c>
      <c r="C4131" s="22" t="s">
        <v>1082</v>
      </c>
      <c r="D4131" s="22" t="s">
        <v>1060</v>
      </c>
      <c r="E4131" s="23" t="str">
        <f aca="false">IF(D4131="?OLD","!!!","")</f>
        <v>!!!</v>
      </c>
      <c r="F4131" s="25" t="str">
        <f aca="false">IF(OR(E4131="",E4131="!!!"),"",IF(NOT(ISNA(VLOOKUP(E4131,E$1:E4130,1,FALSE()))),"OLD",IF(AND(E4131&lt;&gt;"",E4131&lt;&gt;"!!!"),"NEW","")))</f>
        <v/>
      </c>
      <c r="G4131" s="26" t="str">
        <f aca="false">IF(OR(E4131="",E4131="!!!"),"",IF(OR(J4131=0,AND(J4131=1,K4131=1),AND(J4131=1,I4131="SBJ"),AND(J4131=1,I4131=0)),"?IN_FOCUS",IF(J4131&lt;=2,"?ACTIVATED",IF(J4131&lt;&gt;"","?FAMILIAR",IF(F4131="NEW",IF(ISNA(VLOOKUP(E4131,#REF!,1,FALSE())),"?TYPE_IDENTIFIABLE","?REFERENTIAL"),"_")))))</f>
        <v/>
      </c>
      <c r="H4131" s="27" t="str">
        <f aca="false">IF(J4131&lt;&gt;1,"",IF(I4131="SBJ","CB","?"))</f>
        <v/>
      </c>
      <c r="I4131" s="24" t="str">
        <f aca="false">IF(OR(E4131="",E4131="!!!",F4131="NEW"),"",INDEX(B6:B$4126,-1+SUMPRODUCT(MAX(ROW(E6:E$4126)*(E4131=E6:E$4126)))))</f>
        <v/>
      </c>
      <c r="J4131" s="24" t="str">
        <f aca="true">IF(OR(E4131="",E4131="!!!",F4131="NEW"),"",COUNTBLANK(OFFSET(A$1,,,SUMPRODUCT(MAX(ROW(E$2:E4131)*(E4131=E$2:E4131)))))-COUNTBLANK(OFFSET(A$1,,,SUMPRODUCT(MAX(ROW(E$1:E4130)*(E2=E$1:E4130))))))</f>
        <v/>
      </c>
      <c r="K4131" s="24" t="str">
        <f aca="false">IF(OR(E4131="",E4131="!!!",F4131="NEW"),"",INDEX(J$1:J4130,SUMPRODUCT(MAX(ROW(E$1:E4130)*(E4131=E$1:E4130)))))</f>
        <v/>
      </c>
      <c r="L4131" s="31"/>
    </row>
    <row r="4132" customFormat="false" ht="15" hidden="false" customHeight="false" outlineLevel="0" collapsed="false">
      <c r="A4132" s="20" t="s">
        <v>2321</v>
      </c>
      <c r="E4132" s="23" t="str">
        <f aca="false">IF(D4132="?OLD","!!!","")</f>
        <v/>
      </c>
      <c r="F4132" s="25" t="str">
        <f aca="false">IF(OR(E4132="",E4132="!!!"),"",IF(NOT(ISNA(VLOOKUP(E4132,E$1:E4131,1,FALSE()))),"OLD",IF(AND(E4132&lt;&gt;"",E4132&lt;&gt;"!!!"),"NEW","")))</f>
        <v/>
      </c>
      <c r="G4132" s="26" t="str">
        <f aca="false">IF(OR(E4132="",E4132="!!!"),"",IF(OR(J4132=0,AND(J4132=1,K4132=1),AND(J4132=1,I4132="SBJ"),AND(J4132=1,I4132=0)),"?IN_FOCUS",IF(J4132&lt;=2,"?ACTIVATED",IF(J4132&lt;&gt;"","?FAMILIAR",IF(F4132="NEW",IF(ISNA(VLOOKUP(E4132,#REF!,1,FALSE())),"?TYPE_IDENTIFIABLE","?REFERENTIAL"),"_")))))</f>
        <v/>
      </c>
      <c r="H4132" s="27" t="str">
        <f aca="false">IF(J4132&lt;&gt;1,"",IF(I4132="SBJ","CB","?"))</f>
        <v/>
      </c>
      <c r="I4132" s="24" t="str">
        <f aca="false">IF(OR(E4132="",E4132="!!!",F4132="NEW"),"",INDEX(B7:B$4126,-1+SUMPRODUCT(MAX(ROW(E7:E$4126)*(E4132=E7:E$4126)))))</f>
        <v/>
      </c>
      <c r="J4132" s="24" t="str">
        <f aca="true">IF(OR(E4132="",E4132="!!!",F4132="NEW"),"",COUNTBLANK(OFFSET(A$1,,,SUMPRODUCT(MAX(ROW(E$2:E4132)*(E4132=E$2:E4132)))))-COUNTBLANK(OFFSET(A$1,,,SUMPRODUCT(MAX(ROW(E$1:E4131)*(E2=E$1:E4131))))))</f>
        <v/>
      </c>
      <c r="K4132" s="24" t="str">
        <f aca="false">IF(OR(E4132="",E4132="!!!",F4132="NEW"),"",INDEX(J$1:J4131,SUMPRODUCT(MAX(ROW(E$1:E4131)*(E4132=E$1:E4131)))))</f>
        <v/>
      </c>
      <c r="L4132" s="31"/>
    </row>
    <row r="4133" customFormat="false" ht="15" hidden="false" customHeight="false" outlineLevel="0" collapsed="false">
      <c r="A4133" s="20" t="s">
        <v>1097</v>
      </c>
      <c r="B4133" s="22" t="s">
        <v>1067</v>
      </c>
      <c r="C4133" s="22" t="s">
        <v>1099</v>
      </c>
      <c r="D4133" s="22" t="s">
        <v>1060</v>
      </c>
      <c r="E4133" s="23" t="str">
        <f aca="false">IF(D4133="?OLD","!!!","")</f>
        <v>!!!</v>
      </c>
      <c r="F4133" s="25" t="str">
        <f aca="false">IF(OR(E4133="",E4133="!!!"),"",IF(NOT(ISNA(VLOOKUP(E4133,E$1:E4132,1,FALSE()))),"OLD",IF(AND(E4133&lt;&gt;"",E4133&lt;&gt;"!!!"),"NEW","")))</f>
        <v/>
      </c>
      <c r="G4133" s="26" t="str">
        <f aca="false">IF(OR(E4133="",E4133="!!!"),"",IF(OR(J4133=0,AND(J4133=1,K4133=1),AND(J4133=1,I4133="SBJ"),AND(J4133=1,I4133=0)),"?IN_FOCUS",IF(J4133&lt;=2,"?ACTIVATED",IF(J4133&lt;&gt;"","?FAMILIAR",IF(F4133="NEW",IF(ISNA(VLOOKUP(E4133,#REF!,1,FALSE())),"?TYPE_IDENTIFIABLE","?REFERENTIAL"),"_")))))</f>
        <v/>
      </c>
      <c r="H4133" s="27" t="str">
        <f aca="false">IF(J4133&lt;&gt;1,"",IF(I4133="SBJ","CB","?"))</f>
        <v/>
      </c>
      <c r="I4133" s="24" t="str">
        <f aca="false">IF(OR(E4133="",E4133="!!!",F4133="NEW"),"",INDEX(B8:B$4126,-1+SUMPRODUCT(MAX(ROW(E8:E$4126)*(E4133=E8:E$4126)))))</f>
        <v/>
      </c>
      <c r="J4133" s="24" t="str">
        <f aca="true">IF(OR(E4133="",E4133="!!!",F4133="NEW"),"",COUNTBLANK(OFFSET(A$1,,,SUMPRODUCT(MAX(ROW(E$2:E4133)*(E4133=E$2:E4133)))))-COUNTBLANK(OFFSET(A$1,,,SUMPRODUCT(MAX(ROW(E$1:E4132)*(E2=E$1:E4132))))))</f>
        <v/>
      </c>
      <c r="K4133" s="24" t="str">
        <f aca="false">IF(OR(E4133="",E4133="!!!",F4133="NEW"),"",INDEX(J$1:J4132,SUMPRODUCT(MAX(ROW(E$1:E4132)*(E4133=E$1:E4132)))))</f>
        <v/>
      </c>
      <c r="L4133" s="31"/>
    </row>
    <row r="4134" customFormat="false" ht="15" hidden="false" customHeight="false" outlineLevel="0" collapsed="false">
      <c r="A4134" s="20" t="s">
        <v>768</v>
      </c>
      <c r="B4134" s="22" t="s">
        <v>1142</v>
      </c>
      <c r="C4134" s="22" t="s">
        <v>1059</v>
      </c>
      <c r="D4134" s="22" t="s">
        <v>1060</v>
      </c>
      <c r="E4134" s="23" t="str">
        <f aca="false">IF(D4134="?OLD","!!!","")</f>
        <v>!!!</v>
      </c>
      <c r="F4134" s="25" t="str">
        <f aca="false">IF(OR(E4134="",E4134="!!!"),"",IF(NOT(ISNA(VLOOKUP(E4134,E$1:E4133,1,FALSE()))),"OLD",IF(AND(E4134&lt;&gt;"",E4134&lt;&gt;"!!!"),"NEW","")))</f>
        <v/>
      </c>
      <c r="G4134" s="26" t="str">
        <f aca="false">IF(OR(E4134="",E4134="!!!"),"",IF(OR(J4134=0,AND(J4134=1,K4134=1),AND(J4134=1,I4134="SBJ"),AND(J4134=1,I4134=0)),"?IN_FOCUS",IF(J4134&lt;=2,"?ACTIVATED",IF(J4134&lt;&gt;"","?FAMILIAR",IF(F4134="NEW",IF(ISNA(VLOOKUP(E4134,#REF!,1,FALSE())),"?TYPE_IDENTIFIABLE","?REFERENTIAL"),"_")))))</f>
        <v/>
      </c>
      <c r="H4134" s="27" t="str">
        <f aca="false">IF(J4134&lt;&gt;1,"",IF(I4134="SBJ","CB","?"))</f>
        <v/>
      </c>
      <c r="I4134" s="24" t="str">
        <f aca="false">IF(OR(E4134="",E4134="!!!",F4134="NEW"),"",INDEX(B9:B$4126,-1+SUMPRODUCT(MAX(ROW(E9:E$4126)*(E4134=E9:E$4126)))))</f>
        <v/>
      </c>
      <c r="J4134" s="24" t="str">
        <f aca="true">IF(OR(E4134="",E4134="!!!",F4134="NEW"),"",COUNTBLANK(OFFSET(A$1,,,SUMPRODUCT(MAX(ROW(E$2:E4134)*(E4134=E$2:E4134)))))-COUNTBLANK(OFFSET(A$1,,,SUMPRODUCT(MAX(ROW(E$1:E4133)*(E2=E$1:E4133))))))</f>
        <v/>
      </c>
      <c r="K4134" s="24" t="str">
        <f aca="false">IF(OR(E4134="",E4134="!!!",F4134="NEW"),"",INDEX(J$1:J4133,SUMPRODUCT(MAX(ROW(E$1:E4133)*(E4134=E$1:E4133)))))</f>
        <v/>
      </c>
      <c r="L4134" s="31"/>
    </row>
    <row r="4135" customFormat="false" ht="15" hidden="false" customHeight="false" outlineLevel="0" collapsed="false">
      <c r="A4135" s="20" t="s">
        <v>1128</v>
      </c>
      <c r="E4135" s="23" t="str">
        <f aca="false">IF(D4135="?OLD","!!!","")</f>
        <v/>
      </c>
      <c r="F4135" s="25" t="str">
        <f aca="false">IF(OR(E4135="",E4135="!!!"),"",IF(NOT(ISNA(VLOOKUP(E4135,E$1:E4134,1,FALSE()))),"OLD",IF(AND(E4135&lt;&gt;"",E4135&lt;&gt;"!!!"),"NEW","")))</f>
        <v/>
      </c>
      <c r="G4135" s="26" t="str">
        <f aca="false">IF(OR(E4135="",E4135="!!!"),"",IF(OR(J4135=0,AND(J4135=1,K4135=1),AND(J4135=1,I4135="SBJ"),AND(J4135=1,I4135=0)),"?IN_FOCUS",IF(J4135&lt;=2,"?ACTIVATED",IF(J4135&lt;&gt;"","?FAMILIAR",IF(F4135="NEW",IF(ISNA(VLOOKUP(E4135,#REF!,1,FALSE())),"?TYPE_IDENTIFIABLE","?REFERENTIAL"),"_")))))</f>
        <v/>
      </c>
      <c r="H4135" s="27" t="str">
        <f aca="false">IF(J4135&lt;&gt;1,"",IF(I4135="SBJ","CB","?"))</f>
        <v/>
      </c>
      <c r="I4135" s="24" t="str">
        <f aca="false">IF(OR(E4135="",E4135="!!!",F4135="NEW"),"",INDEX(B10:B$4126,-1+SUMPRODUCT(MAX(ROW(E10:E$4126)*(E4135=E10:E$4126)))))</f>
        <v/>
      </c>
      <c r="J4135" s="24" t="str">
        <f aca="true">IF(OR(E4135="",E4135="!!!",F4135="NEW"),"",COUNTBLANK(OFFSET(A$1,,,SUMPRODUCT(MAX(ROW(E$2:E4135)*(E4135=E$2:E4135)))))-COUNTBLANK(OFFSET(A$1,,,SUMPRODUCT(MAX(ROW(E$1:E4134)*(E2=E$1:E4134))))))</f>
        <v/>
      </c>
      <c r="K4135" s="24" t="str">
        <f aca="false">IF(OR(E4135="",E4135="!!!",F4135="NEW"),"",INDEX(J$1:J4134,SUMPRODUCT(MAX(ROW(E$1:E4134)*(E4135=E$1:E4134)))))</f>
        <v/>
      </c>
      <c r="L4135" s="31"/>
    </row>
    <row r="4136" customFormat="false" ht="15" hidden="false" customHeight="false" outlineLevel="0" collapsed="false">
      <c r="A4136" s="20" t="s">
        <v>1555</v>
      </c>
      <c r="E4136" s="23" t="str">
        <f aca="false">IF(D4136="?OLD","!!!","")</f>
        <v/>
      </c>
      <c r="F4136" s="25" t="str">
        <f aca="false">IF(OR(E4136="",E4136="!!!"),"",IF(NOT(ISNA(VLOOKUP(E4136,E$1:E4135,1,FALSE()))),"OLD",IF(AND(E4136&lt;&gt;"",E4136&lt;&gt;"!!!"),"NEW","")))</f>
        <v/>
      </c>
      <c r="G4136" s="26" t="str">
        <f aca="false">IF(OR(E4136="",E4136="!!!"),"",IF(OR(J4136=0,AND(J4136=1,K4136=1),AND(J4136=1,I4136="SBJ"),AND(J4136=1,I4136=0)),"?IN_FOCUS",IF(J4136&lt;=2,"?ACTIVATED",IF(J4136&lt;&gt;"","?FAMILIAR",IF(F4136="NEW",IF(ISNA(VLOOKUP(E4136,#REF!,1,FALSE())),"?TYPE_IDENTIFIABLE","?REFERENTIAL"),"_")))))</f>
        <v/>
      </c>
      <c r="H4136" s="27" t="str">
        <f aca="false">IF(J4136&lt;&gt;1,"",IF(I4136="SBJ","CB","?"))</f>
        <v/>
      </c>
      <c r="I4136" s="24" t="str">
        <f aca="false">IF(OR(E4136="",E4136="!!!",F4136="NEW"),"",INDEX(B11:B$4126,-1+SUMPRODUCT(MAX(ROW(E11:E$4126)*(E4136=E11:E$4126)))))</f>
        <v/>
      </c>
      <c r="J4136" s="24" t="str">
        <f aca="true">IF(OR(E4136="",E4136="!!!",F4136="NEW"),"",COUNTBLANK(OFFSET(A$1,,,SUMPRODUCT(MAX(ROW(E$2:E4136)*(E4136=E$2:E4136)))))-COUNTBLANK(OFFSET(A$1,,,SUMPRODUCT(MAX(ROW(E$1:E4135)*(E2=E$1:E4135))))))</f>
        <v/>
      </c>
      <c r="K4136" s="24" t="str">
        <f aca="false">IF(OR(E4136="",E4136="!!!",F4136="NEW"),"",INDEX(J$1:J4135,SUMPRODUCT(MAX(ROW(E$1:E4135)*(E4136=E$1:E4135)))))</f>
        <v/>
      </c>
      <c r="L4136" s="31"/>
    </row>
    <row r="4137" customFormat="false" ht="15" hidden="false" customHeight="false" outlineLevel="0" collapsed="false">
      <c r="A4137" s="20" t="s">
        <v>1139</v>
      </c>
      <c r="E4137" s="23" t="str">
        <f aca="false">IF(D4137="?OLD","!!!","")</f>
        <v/>
      </c>
      <c r="F4137" s="25" t="str">
        <f aca="false">IF(OR(E4137="",E4137="!!!"),"",IF(NOT(ISNA(VLOOKUP(E4137,E$1:E4136,1,FALSE()))),"OLD",IF(AND(E4137&lt;&gt;"",E4137&lt;&gt;"!!!"),"NEW","")))</f>
        <v/>
      </c>
      <c r="G4137" s="26" t="str">
        <f aca="false">IF(OR(E4137="",E4137="!!!"),"",IF(OR(J4137=0,AND(J4137=1,K4137=1),AND(J4137=1,I4137="SBJ"),AND(J4137=1,I4137=0)),"?IN_FOCUS",IF(J4137&lt;=2,"?ACTIVATED",IF(J4137&lt;&gt;"","?FAMILIAR",IF(F4137="NEW",IF(ISNA(VLOOKUP(E4137,#REF!,1,FALSE())),"?TYPE_IDENTIFIABLE","?REFERENTIAL"),"_")))))</f>
        <v/>
      </c>
      <c r="H4137" s="27" t="str">
        <f aca="false">IF(J4137&lt;&gt;1,"",IF(I4137="SBJ","CB","?"))</f>
        <v/>
      </c>
      <c r="I4137" s="24" t="str">
        <f aca="false">IF(OR(E4137="",E4137="!!!",F4137="NEW"),"",INDEX(B12:B$4126,-1+SUMPRODUCT(MAX(ROW(E12:E$4126)*(E4137=E12:E$4126)))))</f>
        <v/>
      </c>
      <c r="J4137" s="24" t="str">
        <f aca="true">IF(OR(E4137="",E4137="!!!",F4137="NEW"),"",COUNTBLANK(OFFSET(A$1,,,SUMPRODUCT(MAX(ROW(E$2:E4137)*(E4137=E$2:E4137)))))-COUNTBLANK(OFFSET(A$1,,,SUMPRODUCT(MAX(ROW(E$1:E4136)*(E2=E$1:E4136))))))</f>
        <v/>
      </c>
      <c r="K4137" s="24" t="str">
        <f aca="false">IF(OR(E4137="",E4137="!!!",F4137="NEW"),"",INDEX(J$1:J4136,SUMPRODUCT(MAX(ROW(E$1:E4136)*(E4137=E$1:E4136)))))</f>
        <v/>
      </c>
      <c r="L4137" s="31"/>
    </row>
    <row r="4138" customFormat="false" ht="15" hidden="false" customHeight="false" outlineLevel="0" collapsed="false">
      <c r="A4138" s="20" t="s">
        <v>1090</v>
      </c>
      <c r="B4138" s="22" t="s">
        <v>1091</v>
      </c>
      <c r="C4138" s="22" t="s">
        <v>1082</v>
      </c>
      <c r="D4138" s="22" t="s">
        <v>1060</v>
      </c>
      <c r="E4138" s="23" t="str">
        <f aca="false">IF(D4138="?OLD","!!!","")</f>
        <v>!!!</v>
      </c>
      <c r="F4138" s="25" t="str">
        <f aca="false">IF(OR(E4138="",E4138="!!!"),"",IF(NOT(ISNA(VLOOKUP(E4138,E$1:E4137,1,FALSE()))),"OLD",IF(AND(E4138&lt;&gt;"",E4138&lt;&gt;"!!!"),"NEW","")))</f>
        <v/>
      </c>
      <c r="G4138" s="26" t="str">
        <f aca="false">IF(OR(E4138="",E4138="!!!"),"",IF(OR(J4138=0,AND(J4138=1,K4138=1),AND(J4138=1,I4138="SBJ"),AND(J4138=1,I4138=0)),"?IN_FOCUS",IF(J4138&lt;=2,"?ACTIVATED",IF(J4138&lt;&gt;"","?FAMILIAR",IF(F4138="NEW",IF(ISNA(VLOOKUP(E4138,#REF!,1,FALSE())),"?TYPE_IDENTIFIABLE","?REFERENTIAL"),"_")))))</f>
        <v/>
      </c>
      <c r="H4138" s="27" t="str">
        <f aca="false">IF(J4138&lt;&gt;1,"",IF(I4138="SBJ","CB","?"))</f>
        <v/>
      </c>
      <c r="I4138" s="24" t="str">
        <f aca="false">IF(OR(E4138="",E4138="!!!",F4138="NEW"),"",INDEX(B13:B$4126,-1+SUMPRODUCT(MAX(ROW(E13:E$4126)*(E4138=E13:E$4126)))))</f>
        <v/>
      </c>
      <c r="J4138" s="24" t="str">
        <f aca="true">IF(OR(E4138="",E4138="!!!",F4138="NEW"),"",COUNTBLANK(OFFSET(A$1,,,SUMPRODUCT(MAX(ROW(E$2:E4138)*(E4138=E$2:E4138)))))-COUNTBLANK(OFFSET(A$1,,,SUMPRODUCT(MAX(ROW(E$1:E4137)*(E2=E$1:E4137))))))</f>
        <v/>
      </c>
      <c r="K4138" s="24" t="str">
        <f aca="false">IF(OR(E4138="",E4138="!!!",F4138="NEW"),"",INDEX(J$1:J4137,SUMPRODUCT(MAX(ROW(E$1:E4137)*(E4138=E$1:E4137)))))</f>
        <v/>
      </c>
      <c r="L4138" s="31"/>
    </row>
    <row r="4139" customFormat="false" ht="15" hidden="false" customHeight="false" outlineLevel="0" collapsed="false">
      <c r="A4139" s="20" t="s">
        <v>1164</v>
      </c>
      <c r="E4139" s="23" t="str">
        <f aca="false">IF(D4139="?OLD","!!!","")</f>
        <v/>
      </c>
      <c r="F4139" s="25" t="str">
        <f aca="false">IF(OR(E4139="",E4139="!!!"),"",IF(NOT(ISNA(VLOOKUP(E4139,E$1:E4138,1,FALSE()))),"OLD",IF(AND(E4139&lt;&gt;"",E4139&lt;&gt;"!!!"),"NEW","")))</f>
        <v/>
      </c>
      <c r="G4139" s="26" t="str">
        <f aca="false">IF(OR(E4139="",E4139="!!!"),"",IF(OR(J4139=0,AND(J4139=1,K4139=1),AND(J4139=1,I4139="SBJ"),AND(J4139=1,I4139=0)),"?IN_FOCUS",IF(J4139&lt;=2,"?ACTIVATED",IF(J4139&lt;&gt;"","?FAMILIAR",IF(F4139="NEW",IF(ISNA(VLOOKUP(E4139,#REF!,1,FALSE())),"?TYPE_IDENTIFIABLE","?REFERENTIAL"),"_")))))</f>
        <v/>
      </c>
      <c r="H4139" s="27" t="str">
        <f aca="false">IF(J4139&lt;&gt;1,"",IF(I4139="SBJ","CB","?"))</f>
        <v/>
      </c>
      <c r="I4139" s="24" t="str">
        <f aca="false">IF(OR(E4139="",E4139="!!!",F4139="NEW"),"",INDEX(B14:B$4126,-1+SUMPRODUCT(MAX(ROW(E14:E$4126)*(E4139=E14:E$4126)))))</f>
        <v/>
      </c>
      <c r="J4139" s="24" t="str">
        <f aca="true">IF(OR(E4139="",E4139="!!!",F4139="NEW"),"",COUNTBLANK(OFFSET(A$1,,,SUMPRODUCT(MAX(ROW(E$2:E4139)*(E4139=E$2:E4139)))))-COUNTBLANK(OFFSET(A$1,,,SUMPRODUCT(MAX(ROW(E$1:E4138)*(E2=E$1:E4138))))))</f>
        <v/>
      </c>
      <c r="K4139" s="24" t="str">
        <f aca="false">IF(OR(E4139="",E4139="!!!",F4139="NEW"),"",INDEX(J$1:J4138,SUMPRODUCT(MAX(ROW(E$1:E4138)*(E4139=E$1:E4138)))))</f>
        <v/>
      </c>
      <c r="L4139" s="31"/>
    </row>
    <row r="4140" customFormat="false" ht="15" hidden="false" customHeight="false" outlineLevel="0" collapsed="false">
      <c r="A4140" s="20" t="s">
        <v>1988</v>
      </c>
      <c r="E4140" s="23" t="str">
        <f aca="false">IF(D4140="?OLD","!!!","")</f>
        <v/>
      </c>
      <c r="F4140" s="25" t="str">
        <f aca="false">IF(OR(E4140="",E4140="!!!"),"",IF(NOT(ISNA(VLOOKUP(E4140,E$1:E4139,1,FALSE()))),"OLD",IF(AND(E4140&lt;&gt;"",E4140&lt;&gt;"!!!"),"NEW","")))</f>
        <v/>
      </c>
      <c r="G4140" s="26" t="str">
        <f aca="false">IF(OR(E4140="",E4140="!!!"),"",IF(OR(J4140=0,AND(J4140=1,K4140=1),AND(J4140=1,I4140="SBJ"),AND(J4140=1,I4140=0)),"?IN_FOCUS",IF(J4140&lt;=2,"?ACTIVATED",IF(J4140&lt;&gt;"","?FAMILIAR",IF(F4140="NEW",IF(ISNA(VLOOKUP(E4140,#REF!,1,FALSE())),"?TYPE_IDENTIFIABLE","?REFERENTIAL"),"_")))))</f>
        <v/>
      </c>
      <c r="H4140" s="27" t="str">
        <f aca="false">IF(J4140&lt;&gt;1,"",IF(I4140="SBJ","CB","?"))</f>
        <v/>
      </c>
      <c r="I4140" s="24" t="str">
        <f aca="false">IF(OR(E4140="",E4140="!!!",F4140="NEW"),"",INDEX(B15:B$4126,-1+SUMPRODUCT(MAX(ROW(E15:E$4126)*(E4140=E15:E$4126)))))</f>
        <v/>
      </c>
      <c r="J4140" s="24" t="str">
        <f aca="true">IF(OR(E4140="",E4140="!!!",F4140="NEW"),"",COUNTBLANK(OFFSET(A$1,,,SUMPRODUCT(MAX(ROW(E$2:E4140)*(E4140=E$2:E4140)))))-COUNTBLANK(OFFSET(A$1,,,SUMPRODUCT(MAX(ROW(E$1:E4139)*(E2=E$1:E4139))))))</f>
        <v/>
      </c>
      <c r="K4140" s="24" t="str">
        <f aca="false">IF(OR(E4140="",E4140="!!!",F4140="NEW"),"",INDEX(J$1:J4139,SUMPRODUCT(MAX(ROW(E$1:E4139)*(E4140=E$1:E4139)))))</f>
        <v/>
      </c>
      <c r="L4140" s="31"/>
    </row>
    <row r="4141" customFormat="false" ht="15" hidden="false" customHeight="false" outlineLevel="0" collapsed="false">
      <c r="A4141" s="20" t="s">
        <v>2322</v>
      </c>
      <c r="B4141" s="22" t="s">
        <v>1146</v>
      </c>
      <c r="C4141" s="22" t="s">
        <v>1160</v>
      </c>
      <c r="E4141" s="23" t="str">
        <f aca="false">IF(D4141="?OLD","!!!","")</f>
        <v/>
      </c>
      <c r="F4141" s="25" t="str">
        <f aca="false">IF(OR(E4141="",E4141="!!!"),"",IF(NOT(ISNA(VLOOKUP(E4141,E$1:E4140,1,FALSE()))),"OLD",IF(AND(E4141&lt;&gt;"",E4141&lt;&gt;"!!!"),"NEW","")))</f>
        <v/>
      </c>
      <c r="G4141" s="26" t="str">
        <f aca="false">IF(OR(E4141="",E4141="!!!"),"",IF(OR(J4141=0,AND(J4141=1,K4141=1),AND(J4141=1,I4141="SBJ"),AND(J4141=1,I4141=0)),"?IN_FOCUS",IF(J4141&lt;=2,"?ACTIVATED",IF(J4141&lt;&gt;"","?FAMILIAR",IF(F4141="NEW",IF(ISNA(VLOOKUP(E4141,#REF!,1,FALSE())),"?TYPE_IDENTIFIABLE","?REFERENTIAL"),"_")))))</f>
        <v/>
      </c>
      <c r="H4141" s="27" t="str">
        <f aca="false">IF(J4141&lt;&gt;1,"",IF(I4141="SBJ","CB","?"))</f>
        <v/>
      </c>
      <c r="I4141" s="24" t="str">
        <f aca="false">IF(OR(E4141="",E4141="!!!",F4141="NEW"),"",INDEX(B16:B$4126,-1+SUMPRODUCT(MAX(ROW(E16:E$4126)*(E4141=E16:E$4126)))))</f>
        <v/>
      </c>
      <c r="J4141" s="24" t="str">
        <f aca="true">IF(OR(E4141="",E4141="!!!",F4141="NEW"),"",COUNTBLANK(OFFSET(A$1,,,SUMPRODUCT(MAX(ROW(E$2:E4141)*(E4141=E$2:E4141)))))-COUNTBLANK(OFFSET(A$1,,,SUMPRODUCT(MAX(ROW(E$1:E4140)*(E2=E$1:E4140))))))</f>
        <v/>
      </c>
      <c r="K4141" s="24" t="str">
        <f aca="false">IF(OR(E4141="",E4141="!!!",F4141="NEW"),"",INDEX(J$1:J4140,SUMPRODUCT(MAX(ROW(E$1:E4140)*(E4141=E$1:E4140)))))</f>
        <v/>
      </c>
      <c r="L4141" s="31"/>
    </row>
    <row r="4142" customFormat="false" ht="15" hidden="false" customHeight="false" outlineLevel="0" collapsed="false">
      <c r="A4142" s="20" t="s">
        <v>587</v>
      </c>
      <c r="E4142" s="23" t="str">
        <f aca="false">IF(D4142="?OLD","!!!","")</f>
        <v/>
      </c>
      <c r="F4142" s="25" t="str">
        <f aca="false">IF(OR(E4142="",E4142="!!!"),"",IF(NOT(ISNA(VLOOKUP(E4142,E$1:E4141,1,FALSE()))),"OLD",IF(AND(E4142&lt;&gt;"",E4142&lt;&gt;"!!!"),"NEW","")))</f>
        <v/>
      </c>
      <c r="G4142" s="26" t="str">
        <f aca="false">IF(OR(E4142="",E4142="!!!"),"",IF(OR(J4142=0,AND(J4142=1,K4142=1),AND(J4142=1,I4142="SBJ"),AND(J4142=1,I4142=0)),"?IN_FOCUS",IF(J4142&lt;=2,"?ACTIVATED",IF(J4142&lt;&gt;"","?FAMILIAR",IF(F4142="NEW",IF(ISNA(VLOOKUP(E4142,#REF!,1,FALSE())),"?TYPE_IDENTIFIABLE","?REFERENTIAL"),"_")))))</f>
        <v/>
      </c>
      <c r="H4142" s="27" t="str">
        <f aca="false">IF(J4142&lt;&gt;1,"",IF(I4142="SBJ","CB","?"))</f>
        <v/>
      </c>
      <c r="I4142" s="24" t="str">
        <f aca="false">IF(OR(E4142="",E4142="!!!",F4142="NEW"),"",INDEX(B17:B$4126,-1+SUMPRODUCT(MAX(ROW(E17:E$4126)*(E4142=E17:E$4126)))))</f>
        <v/>
      </c>
      <c r="J4142" s="24" t="str">
        <f aca="true">IF(OR(E4142="",E4142="!!!",F4142="NEW"),"",COUNTBLANK(OFFSET(A$1,,,SUMPRODUCT(MAX(ROW(E$2:E4142)*(E4142=E$2:E4142)))))-COUNTBLANK(OFFSET(A$1,,,SUMPRODUCT(MAX(ROW(E$1:E4141)*(E2=E$1:E4141))))))</f>
        <v/>
      </c>
      <c r="K4142" s="24" t="str">
        <f aca="false">IF(OR(E4142="",E4142="!!!",F4142="NEW"),"",INDEX(J$1:J4141,SUMPRODUCT(MAX(ROW(E$1:E4141)*(E4142=E$1:E4141)))))</f>
        <v/>
      </c>
      <c r="L4142" s="31"/>
    </row>
    <row r="4143" customFormat="false" ht="15" hidden="false" customHeight="false" outlineLevel="0" collapsed="false">
      <c r="A4143" s="20" t="s">
        <v>1089</v>
      </c>
      <c r="E4143" s="23" t="str">
        <f aca="false">IF(D4143="?OLD","!!!","")</f>
        <v/>
      </c>
      <c r="F4143" s="25" t="str">
        <f aca="false">IF(OR(E4143="",E4143="!!!"),"",IF(NOT(ISNA(VLOOKUP(E4143,E$1:E4142,1,FALSE()))),"OLD",IF(AND(E4143&lt;&gt;"",E4143&lt;&gt;"!!!"),"NEW","")))</f>
        <v/>
      </c>
      <c r="G4143" s="26" t="str">
        <f aca="false">IF(OR(E4143="",E4143="!!!"),"",IF(OR(J4143=0,AND(J4143=1,K4143=1),AND(J4143=1,I4143="SBJ"),AND(J4143=1,I4143=0)),"?IN_FOCUS",IF(J4143&lt;=2,"?ACTIVATED",IF(J4143&lt;&gt;"","?FAMILIAR",IF(F4143="NEW",IF(ISNA(VLOOKUP(E4143,#REF!,1,FALSE())),"?TYPE_IDENTIFIABLE","?REFERENTIAL"),"_")))))</f>
        <v/>
      </c>
      <c r="H4143" s="27" t="str">
        <f aca="false">IF(J4143&lt;&gt;1,"",IF(I4143="SBJ","CB","?"))</f>
        <v/>
      </c>
      <c r="I4143" s="24" t="str">
        <f aca="false">IF(OR(E4143="",E4143="!!!",F4143="NEW"),"",INDEX(B18:B$4126,-1+SUMPRODUCT(MAX(ROW(E18:E$4126)*(E4143=E18:E$4126)))))</f>
        <v/>
      </c>
      <c r="J4143" s="24" t="str">
        <f aca="true">IF(OR(E4143="",E4143="!!!",F4143="NEW"),"",COUNTBLANK(OFFSET(A$1,,,SUMPRODUCT(MAX(ROW(E$2:E4143)*(E4143=E$2:E4143)))))-COUNTBLANK(OFFSET(A$1,,,SUMPRODUCT(MAX(ROW(E$1:E4142)*(E2=E$1:E4142))))))</f>
        <v/>
      </c>
      <c r="K4143" s="24" t="str">
        <f aca="false">IF(OR(E4143="",E4143="!!!",F4143="NEW"),"",INDEX(J$1:J4142,SUMPRODUCT(MAX(ROW(E$1:E4142)*(E4143=E$1:E4142)))))</f>
        <v/>
      </c>
      <c r="L4143" s="31"/>
    </row>
    <row r="4144" customFormat="false" ht="15" hidden="false" customHeight="false" outlineLevel="0" collapsed="false">
      <c r="A4144" s="20" t="s">
        <v>1090</v>
      </c>
      <c r="B4144" s="22" t="s">
        <v>1197</v>
      </c>
      <c r="C4144" s="22" t="s">
        <v>1082</v>
      </c>
      <c r="D4144" s="22" t="s">
        <v>1060</v>
      </c>
      <c r="E4144" s="23" t="str">
        <f aca="false">IF(D4144="?OLD","!!!","")</f>
        <v>!!!</v>
      </c>
      <c r="F4144" s="25" t="str">
        <f aca="false">IF(OR(E4144="",E4144="!!!"),"",IF(NOT(ISNA(VLOOKUP(E4144,E$1:E4143,1,FALSE()))),"OLD",IF(AND(E4144&lt;&gt;"",E4144&lt;&gt;"!!!"),"NEW","")))</f>
        <v/>
      </c>
      <c r="G4144" s="26" t="str">
        <f aca="false">IF(OR(E4144="",E4144="!!!"),"",IF(OR(J4144=0,AND(J4144=1,K4144=1),AND(J4144=1,I4144="SBJ"),AND(J4144=1,I4144=0)),"?IN_FOCUS",IF(J4144&lt;=2,"?ACTIVATED",IF(J4144&lt;&gt;"","?FAMILIAR",IF(F4144="NEW",IF(ISNA(VLOOKUP(E4144,#REF!,1,FALSE())),"?TYPE_IDENTIFIABLE","?REFERENTIAL"),"_")))))</f>
        <v/>
      </c>
      <c r="H4144" s="27" t="str">
        <f aca="false">IF(J4144&lt;&gt;1,"",IF(I4144="SBJ","CB","?"))</f>
        <v/>
      </c>
      <c r="I4144" s="24" t="str">
        <f aca="false">IF(OR(E4144="",E4144="!!!",F4144="NEW"),"",INDEX(B19:B$4126,-1+SUMPRODUCT(MAX(ROW(E19:E$4126)*(E4144=E19:E$4126)))))</f>
        <v/>
      </c>
      <c r="J4144" s="24" t="str">
        <f aca="true">IF(OR(E4144="",E4144="!!!",F4144="NEW"),"",COUNTBLANK(OFFSET(A$1,,,SUMPRODUCT(MAX(ROW(E$2:E4144)*(E4144=E$2:E4144)))))-COUNTBLANK(OFFSET(A$1,,,SUMPRODUCT(MAX(ROW(E$1:E4143)*(E2=E$1:E4143))))))</f>
        <v/>
      </c>
      <c r="K4144" s="24" t="str">
        <f aca="false">IF(OR(E4144="",E4144="!!!",F4144="NEW"),"",INDEX(J$1:J4143,SUMPRODUCT(MAX(ROW(E$1:E4143)*(E4144=E$1:E4143)))))</f>
        <v/>
      </c>
      <c r="L4144" s="31"/>
    </row>
    <row r="4145" customFormat="false" ht="15" hidden="false" customHeight="false" outlineLevel="0" collapsed="false">
      <c r="A4145" s="20" t="s">
        <v>2052</v>
      </c>
      <c r="E4145" s="23" t="str">
        <f aca="false">IF(D4145="?OLD","!!!","")</f>
        <v/>
      </c>
      <c r="F4145" s="25" t="str">
        <f aca="false">IF(OR(E4145="",E4145="!!!"),"",IF(NOT(ISNA(VLOOKUP(E4145,E$1:E4144,1,FALSE()))),"OLD",IF(AND(E4145&lt;&gt;"",E4145&lt;&gt;"!!!"),"NEW","")))</f>
        <v/>
      </c>
      <c r="G4145" s="26" t="str">
        <f aca="false">IF(OR(E4145="",E4145="!!!"),"",IF(OR(J4145=0,AND(J4145=1,K4145=1),AND(J4145=1,I4145="SBJ"),AND(J4145=1,I4145=0)),"?IN_FOCUS",IF(J4145&lt;=2,"?ACTIVATED",IF(J4145&lt;&gt;"","?FAMILIAR",IF(F4145="NEW",IF(ISNA(VLOOKUP(E4145,#REF!,1,FALSE())),"?TYPE_IDENTIFIABLE","?REFERENTIAL"),"_")))))</f>
        <v/>
      </c>
      <c r="H4145" s="27" t="str">
        <f aca="false">IF(J4145&lt;&gt;1,"",IF(I4145="SBJ","CB","?"))</f>
        <v/>
      </c>
      <c r="I4145" s="24" t="str">
        <f aca="false">IF(OR(E4145="",E4145="!!!",F4145="NEW"),"",INDEX(B20:B$4126,-1+SUMPRODUCT(MAX(ROW(E20:E$4126)*(E4145=E20:E$4126)))))</f>
        <v/>
      </c>
      <c r="J4145" s="24" t="str">
        <f aca="true">IF(OR(E4145="",E4145="!!!",F4145="NEW"),"",COUNTBLANK(OFFSET(A$1,,,SUMPRODUCT(MAX(ROW(E$2:E4145)*(E4145=E$2:E4145)))))-COUNTBLANK(OFFSET(A$1,,,SUMPRODUCT(MAX(ROW(E$1:E4144)*(E2=E$1:E4144))))))</f>
        <v/>
      </c>
      <c r="K4145" s="24" t="str">
        <f aca="false">IF(OR(E4145="",E4145="!!!",F4145="NEW"),"",INDEX(J$1:J4144,SUMPRODUCT(MAX(ROW(E$1:E4144)*(E4145=E$1:E4144)))))</f>
        <v/>
      </c>
      <c r="L4145" s="31"/>
    </row>
    <row r="4146" customFormat="false" ht="15" hidden="false" customHeight="false" outlineLevel="0" collapsed="false">
      <c r="A4146" s="20" t="s">
        <v>576</v>
      </c>
      <c r="E4146" s="23" t="str">
        <f aca="false">IF(D4146="?OLD","!!!","")</f>
        <v/>
      </c>
      <c r="F4146" s="25" t="str">
        <f aca="false">IF(OR(E4146="",E4146="!!!"),"",IF(NOT(ISNA(VLOOKUP(E4146,E$1:E4145,1,FALSE()))),"OLD",IF(AND(E4146&lt;&gt;"",E4146&lt;&gt;"!!!"),"NEW","")))</f>
        <v/>
      </c>
      <c r="G4146" s="26" t="str">
        <f aca="false">IF(OR(E4146="",E4146="!!!"),"",IF(OR(J4146=0,AND(J4146=1,K4146=1),AND(J4146=1,I4146="SBJ"),AND(J4146=1,I4146=0)),"?IN_FOCUS",IF(J4146&lt;=2,"?ACTIVATED",IF(J4146&lt;&gt;"","?FAMILIAR",IF(F4146="NEW",IF(ISNA(VLOOKUP(E4146,#REF!,1,FALSE())),"?TYPE_IDENTIFIABLE","?REFERENTIAL"),"_")))))</f>
        <v/>
      </c>
      <c r="H4146" s="27" t="str">
        <f aca="false">IF(J4146&lt;&gt;1,"",IF(I4146="SBJ","CB","?"))</f>
        <v/>
      </c>
      <c r="I4146" s="24" t="str">
        <f aca="false">IF(OR(E4146="",E4146="!!!",F4146="NEW"),"",INDEX(B21:B$4126,-1+SUMPRODUCT(MAX(ROW(E21:E$4126)*(E4146=E21:E$4126)))))</f>
        <v/>
      </c>
      <c r="J4146" s="24" t="str">
        <f aca="true">IF(OR(E4146="",E4146="!!!",F4146="NEW"),"",COUNTBLANK(OFFSET(A$1,,,SUMPRODUCT(MAX(ROW(E$2:E4146)*(E4146=E$2:E4146)))))-COUNTBLANK(OFFSET(A$1,,,SUMPRODUCT(MAX(ROW(E$1:E4145)*(E2=E$1:E4145))))))</f>
        <v/>
      </c>
      <c r="K4146" s="24" t="str">
        <f aca="false">IF(OR(E4146="",E4146="!!!",F4146="NEW"),"",INDEX(J$1:J4145,SUMPRODUCT(MAX(ROW(E$1:E4145)*(E4146=E$1:E4145)))))</f>
        <v/>
      </c>
      <c r="L4146" s="31"/>
    </row>
    <row r="4147" customFormat="false" ht="15" hidden="false" customHeight="false" outlineLevel="0" collapsed="false">
      <c r="A4147" s="20" t="s">
        <v>1085</v>
      </c>
      <c r="E4147" s="23" t="str">
        <f aca="false">IF(D4147="?OLD","!!!","")</f>
        <v/>
      </c>
      <c r="F4147" s="25" t="str">
        <f aca="false">IF(OR(E4147="",E4147="!!!"),"",IF(NOT(ISNA(VLOOKUP(E4147,E$1:E4146,1,FALSE()))),"OLD",IF(AND(E4147&lt;&gt;"",E4147&lt;&gt;"!!!"),"NEW","")))</f>
        <v/>
      </c>
      <c r="G4147" s="26" t="str">
        <f aca="false">IF(OR(E4147="",E4147="!!!"),"",IF(OR(J4147=0,AND(J4147=1,K4147=1),AND(J4147=1,I4147="SBJ"),AND(J4147=1,I4147=0)),"?IN_FOCUS",IF(J4147&lt;=2,"?ACTIVATED",IF(J4147&lt;&gt;"","?FAMILIAR",IF(F4147="NEW",IF(ISNA(VLOOKUP(E4147,#REF!,1,FALSE())),"?TYPE_IDENTIFIABLE","?REFERENTIAL"),"_")))))</f>
        <v/>
      </c>
      <c r="H4147" s="27" t="str">
        <f aca="false">IF(J4147&lt;&gt;1,"",IF(I4147="SBJ","CB","?"))</f>
        <v/>
      </c>
      <c r="I4147" s="24" t="str">
        <f aca="false">IF(OR(E4147="",E4147="!!!",F4147="NEW"),"",INDEX(B22:B$4126,-1+SUMPRODUCT(MAX(ROW(E22:E$4126)*(E4147=E22:E$4126)))))</f>
        <v/>
      </c>
      <c r="J4147" s="24" t="str">
        <f aca="true">IF(OR(E4147="",E4147="!!!",F4147="NEW"),"",COUNTBLANK(OFFSET(A$1,,,SUMPRODUCT(MAX(ROW(E$2:E4147)*(E4147=E$2:E4147)))))-COUNTBLANK(OFFSET(A$1,,,SUMPRODUCT(MAX(ROW(E$1:E4146)*(E2=E$1:E4146))))))</f>
        <v/>
      </c>
      <c r="K4147" s="24" t="str">
        <f aca="false">IF(OR(E4147="",E4147="!!!",F4147="NEW"),"",INDEX(J$1:J4146,SUMPRODUCT(MAX(ROW(E$1:E4146)*(E4147=E$1:E4146)))))</f>
        <v/>
      </c>
      <c r="L4147" s="31"/>
    </row>
    <row r="4148" customFormat="false" ht="15" hidden="false" customHeight="false" outlineLevel="0" collapsed="false">
      <c r="A4148" s="20" t="s">
        <v>2323</v>
      </c>
      <c r="B4148" s="22" t="s">
        <v>1102</v>
      </c>
      <c r="C4148" s="22" t="s">
        <v>1087</v>
      </c>
      <c r="E4148" s="23" t="str">
        <f aca="false">IF(D4148="?OLD","!!!","")</f>
        <v/>
      </c>
      <c r="F4148" s="25" t="str">
        <f aca="false">IF(OR(E4148="",E4148="!!!"),"",IF(NOT(ISNA(VLOOKUP(E4148,E$1:E4147,1,FALSE()))),"OLD",IF(AND(E4148&lt;&gt;"",E4148&lt;&gt;"!!!"),"NEW","")))</f>
        <v/>
      </c>
      <c r="G4148" s="26" t="str">
        <f aca="false">IF(OR(E4148="",E4148="!!!"),"",IF(OR(J4148=0,AND(J4148=1,K4148=1),AND(J4148=1,I4148="SBJ"),AND(J4148=1,I4148=0)),"?IN_FOCUS",IF(J4148&lt;=2,"?ACTIVATED",IF(J4148&lt;&gt;"","?FAMILIAR",IF(F4148="NEW",IF(ISNA(VLOOKUP(E4148,#REF!,1,FALSE())),"?TYPE_IDENTIFIABLE","?REFERENTIAL"),"_")))))</f>
        <v/>
      </c>
      <c r="H4148" s="27" t="str">
        <f aca="false">IF(J4148&lt;&gt;1,"",IF(I4148="SBJ","CB","?"))</f>
        <v/>
      </c>
      <c r="I4148" s="24" t="str">
        <f aca="false">IF(OR(E4148="",E4148="!!!",F4148="NEW"),"",INDEX(B23:B$4126,-1+SUMPRODUCT(MAX(ROW(E23:E$4126)*(E4148=E23:E$4126)))))</f>
        <v/>
      </c>
      <c r="J4148" s="24" t="str">
        <f aca="true">IF(OR(E4148="",E4148="!!!",F4148="NEW"),"",COUNTBLANK(OFFSET(A$1,,,SUMPRODUCT(MAX(ROW(E$2:E4148)*(E4148=E$2:E4148)))))-COUNTBLANK(OFFSET(A$1,,,SUMPRODUCT(MAX(ROW(E$1:E4147)*(E2=E$1:E4147))))))</f>
        <v/>
      </c>
      <c r="K4148" s="24" t="str">
        <f aca="false">IF(OR(E4148="",E4148="!!!",F4148="NEW"),"",INDEX(J$1:J4147,SUMPRODUCT(MAX(ROW(E$1:E4147)*(E4148=E$1:E4147)))))</f>
        <v/>
      </c>
      <c r="L4148" s="31"/>
    </row>
    <row r="4149" customFormat="false" ht="15" hidden="false" customHeight="false" outlineLevel="0" collapsed="false">
      <c r="A4149" s="20" t="s">
        <v>923</v>
      </c>
      <c r="E4149" s="23" t="str">
        <f aca="false">IF(D4149="?OLD","!!!","")</f>
        <v/>
      </c>
      <c r="F4149" s="25" t="str">
        <f aca="false">IF(OR(E4149="",E4149="!!!"),"",IF(NOT(ISNA(VLOOKUP(E4149,E$1:E4148,1,FALSE()))),"OLD",IF(AND(E4149&lt;&gt;"",E4149&lt;&gt;"!!!"),"NEW","")))</f>
        <v/>
      </c>
      <c r="G4149" s="26" t="str">
        <f aca="false">IF(OR(E4149="",E4149="!!!"),"",IF(OR(J4149=0,AND(J4149=1,K4149=1),AND(J4149=1,I4149="SBJ"),AND(J4149=1,I4149=0)),"?IN_FOCUS",IF(J4149&lt;=2,"?ACTIVATED",IF(J4149&lt;&gt;"","?FAMILIAR",IF(F4149="NEW",IF(ISNA(VLOOKUP(E4149,#REF!,1,FALSE())),"?TYPE_IDENTIFIABLE","?REFERENTIAL"),"_")))))</f>
        <v/>
      </c>
      <c r="H4149" s="27" t="str">
        <f aca="false">IF(J4149&lt;&gt;1,"",IF(I4149="SBJ","CB","?"))</f>
        <v/>
      </c>
      <c r="I4149" s="24" t="str">
        <f aca="false">IF(OR(E4149="",E4149="!!!",F4149="NEW"),"",INDEX(B24:B$4126,-1+SUMPRODUCT(MAX(ROW(E24:E$4126)*(E4149=E24:E$4126)))))</f>
        <v/>
      </c>
      <c r="J4149" s="24" t="str">
        <f aca="true">IF(OR(E4149="",E4149="!!!",F4149="NEW"),"",COUNTBLANK(OFFSET(A$1,,,SUMPRODUCT(MAX(ROW(E$2:E4149)*(E4149=E$2:E4149)))))-COUNTBLANK(OFFSET(A$1,,,SUMPRODUCT(MAX(ROW(E$1:E4148)*(E2=E$1:E4148))))))</f>
        <v/>
      </c>
      <c r="K4149" s="24" t="str">
        <f aca="false">IF(OR(E4149="",E4149="!!!",F4149="NEW"),"",INDEX(J$1:J4148,SUMPRODUCT(MAX(ROW(E$1:E4148)*(E4149=E$1:E4148)))))</f>
        <v/>
      </c>
      <c r="L4149" s="31"/>
    </row>
    <row r="4150" customFormat="false" ht="15" hidden="false" customHeight="false" outlineLevel="0" collapsed="false">
      <c r="A4150" s="20"/>
    </row>
    <row r="4151" customFormat="false" ht="15" hidden="false" customHeight="false" outlineLevel="0" collapsed="false">
      <c r="A4151" s="20" t="s">
        <v>1301</v>
      </c>
      <c r="E4151" s="23" t="str">
        <f aca="false">IF(D4151="?OLD","!!!","")</f>
        <v/>
      </c>
      <c r="F4151" s="25" t="str">
        <f aca="false">IF(OR(E4151="",E4151="!!!"),"",IF(NOT(ISNA(VLOOKUP(E4151,E$1:E4150,1,FALSE()))),"OLD",IF(AND(E4151&lt;&gt;"",E4151&lt;&gt;"!!!"),"NEW","")))</f>
        <v/>
      </c>
      <c r="G4151" s="26" t="str">
        <f aca="false">IF(OR(E4151="",E4151="!!!"),"",IF(OR(J4151=0,AND(J4151=1,K4151=1),AND(J4151=1,I4151="SBJ"),AND(J4151=1,I4151=0)),"?IN_FOCUS",IF(J4151&lt;=2,"?ACTIVATED",IF(J4151&lt;&gt;"","?FAMILIAR",IF(F4151="NEW",IF(ISNA(VLOOKUP(E4151,#REF!,1,FALSE())),"?TYPE_IDENTIFIABLE","?REFERENTIAL"),"_")))))</f>
        <v/>
      </c>
      <c r="H4151" s="27" t="str">
        <f aca="false">IF(J4151&lt;&gt;1,"",IF(I4151="SBJ","CB","?"))</f>
        <v/>
      </c>
      <c r="I4151" s="24" t="str">
        <f aca="false">IF(OR(E4151="",E4151="!!!",F4151="NEW"),"",INDEX(B2:B$4150,-1+SUMPRODUCT(MAX(ROW(E2:E$4150)*(E4151=E2:E$4150)))))</f>
        <v/>
      </c>
      <c r="J4151" s="24" t="str">
        <f aca="true">IF(OR(E4151="",E4151="!!!",F4151="NEW"),"",COUNTBLANK(OFFSET(A$1,,,SUMPRODUCT(MAX(ROW(E$2:E4151)*(E4151=E$2:E4151)))))-COUNTBLANK(OFFSET(A$1,,,SUMPRODUCT(MAX(ROW(E$1:E4150)*(E2=E$1:E4150))))))</f>
        <v/>
      </c>
      <c r="K4151" s="24" t="str">
        <f aca="false">IF(OR(E4151="",E4151="!!!",F4151="NEW"),"",INDEX(J$1:J4150,SUMPRODUCT(MAX(ROW(E$1:E4150)*(E4151=E$1:E4150)))))</f>
        <v/>
      </c>
      <c r="L4151" s="31"/>
    </row>
    <row r="4152" customFormat="false" ht="15" hidden="false" customHeight="false" outlineLevel="0" collapsed="false">
      <c r="A4152" s="20" t="s">
        <v>2324</v>
      </c>
    </row>
    <row r="4153" customFormat="false" ht="15" hidden="false" customHeight="false" outlineLevel="0" collapsed="false">
      <c r="A4153" s="20" t="s">
        <v>1368</v>
      </c>
      <c r="B4153" s="22" t="s">
        <v>1058</v>
      </c>
      <c r="C4153" s="22" t="s">
        <v>1132</v>
      </c>
      <c r="D4153" s="22" t="s">
        <v>1060</v>
      </c>
      <c r="E4153" s="23" t="str">
        <f aca="false">IF(D4153="?OLD","!!!","")</f>
        <v>!!!</v>
      </c>
      <c r="F4153" s="25" t="str">
        <f aca="false">IF(OR(E4153="",E4153="!!!"),"",IF(NOT(ISNA(VLOOKUP(E4153,E$1:E4152,1,FALSE()))),"OLD",IF(AND(E4153&lt;&gt;"",E4153&lt;&gt;"!!!"),"NEW","")))</f>
        <v/>
      </c>
      <c r="G4153" s="26" t="str">
        <f aca="false">IF(OR(E4153="",E4153="!!!"),"",IF(OR(J4153=0,AND(J4153=1,K4153=1),AND(J4153=1,I4153="SBJ"),AND(J4153=1,I4153=0)),"?IN_FOCUS",IF(J4153&lt;=2,"?ACTIVATED",IF(J4153&lt;&gt;"","?FAMILIAR",IF(F4153="NEW",IF(ISNA(VLOOKUP(E4153,#REF!,1,FALSE())),"?TYPE_IDENTIFIABLE","?REFERENTIAL"),"_")))))</f>
        <v/>
      </c>
      <c r="H4153" s="27" t="str">
        <f aca="false">IF(J4153&lt;&gt;1,"",IF(I4153="SBJ","CB","?"))</f>
        <v/>
      </c>
      <c r="I4153" s="24" t="str">
        <f aca="false">IF(OR(E4153="",E4153="!!!",F4153="NEW"),"",INDEX(B2:B$4152,-1+SUMPRODUCT(MAX(ROW(E2:E$4152)*(E4153=E2:E$4152)))))</f>
        <v/>
      </c>
      <c r="J4153" s="24" t="str">
        <f aca="true">IF(OR(E4153="",E4153="!!!",F4153="NEW"),"",COUNTBLANK(OFFSET(A$1,,,SUMPRODUCT(MAX(ROW(E$2:E4153)*(E4153=E$2:E4153)))))-COUNTBLANK(OFFSET(A$1,,,SUMPRODUCT(MAX(ROW(E$1:E4152)*(E2=E$1:E4152))))))</f>
        <v/>
      </c>
      <c r="K4153" s="24" t="str">
        <f aca="false">IF(OR(E4153="",E4153="!!!",F4153="NEW"),"",INDEX(J$1:J4152,SUMPRODUCT(MAX(ROW(E$1:E4152)*(E4153=E$1:E4152)))))</f>
        <v/>
      </c>
      <c r="L4153" s="31"/>
    </row>
    <row r="4154" customFormat="false" ht="15" hidden="false" customHeight="false" outlineLevel="0" collapsed="false">
      <c r="A4154" s="20" t="s">
        <v>1369</v>
      </c>
      <c r="E4154" s="23" t="str">
        <f aca="false">IF(D4154="?OLD","!!!","")</f>
        <v/>
      </c>
      <c r="F4154" s="25" t="str">
        <f aca="false">IF(OR(E4154="",E4154="!!!"),"",IF(NOT(ISNA(VLOOKUP(E4154,E$1:E4153,1,FALSE()))),"OLD",IF(AND(E4154&lt;&gt;"",E4154&lt;&gt;"!!!"),"NEW","")))</f>
        <v/>
      </c>
      <c r="G4154" s="26" t="str">
        <f aca="false">IF(OR(E4154="",E4154="!!!"),"",IF(OR(J4154=0,AND(J4154=1,K4154=1),AND(J4154=1,I4154="SBJ"),AND(J4154=1,I4154=0)),"?IN_FOCUS",IF(J4154&lt;=2,"?ACTIVATED",IF(J4154&lt;&gt;"","?FAMILIAR",IF(F4154="NEW",IF(ISNA(VLOOKUP(E4154,#REF!,1,FALSE())),"?TYPE_IDENTIFIABLE","?REFERENTIAL"),"_")))))</f>
        <v/>
      </c>
      <c r="H4154" s="27" t="str">
        <f aca="false">IF(J4154&lt;&gt;1,"",IF(I4154="SBJ","CB","?"))</f>
        <v/>
      </c>
      <c r="I4154" s="24" t="str">
        <f aca="false">IF(OR(E4154="",E4154="!!!",F4154="NEW"),"",INDEX(B3:B$4152,-1+SUMPRODUCT(MAX(ROW(E3:E$4152)*(E4154=E3:E$4152)))))</f>
        <v/>
      </c>
      <c r="J4154" s="24" t="str">
        <f aca="true">IF(OR(E4154="",E4154="!!!",F4154="NEW"),"",COUNTBLANK(OFFSET(A$1,,,SUMPRODUCT(MAX(ROW(E$2:E4154)*(E4154=E$2:E4154)))))-COUNTBLANK(OFFSET(A$1,,,SUMPRODUCT(MAX(ROW(E$1:E4153)*(E2=E$1:E4153))))))</f>
        <v/>
      </c>
      <c r="K4154" s="24" t="str">
        <f aca="false">IF(OR(E4154="",E4154="!!!",F4154="NEW"),"",INDEX(J$1:J4153,SUMPRODUCT(MAX(ROW(E$1:E4153)*(E4154=E$1:E4153)))))</f>
        <v/>
      </c>
      <c r="L4154" s="31"/>
    </row>
    <row r="4155" customFormat="false" ht="15" hidden="false" customHeight="false" outlineLevel="0" collapsed="false">
      <c r="A4155" s="20" t="s">
        <v>1569</v>
      </c>
      <c r="B4155" s="22" t="s">
        <v>1105</v>
      </c>
      <c r="C4155" s="22" t="s">
        <v>1202</v>
      </c>
      <c r="E4155" s="23" t="str">
        <f aca="false">IF(D4155="?OLD","!!!","")</f>
        <v/>
      </c>
      <c r="F4155" s="25" t="str">
        <f aca="false">IF(OR(E4155="",E4155="!!!"),"",IF(NOT(ISNA(VLOOKUP(E4155,E$1:E4154,1,FALSE()))),"OLD",IF(AND(E4155&lt;&gt;"",E4155&lt;&gt;"!!!"),"NEW","")))</f>
        <v/>
      </c>
      <c r="G4155" s="26" t="str">
        <f aca="false">IF(OR(E4155="",E4155="!!!"),"",IF(OR(J4155=0,AND(J4155=1,K4155=1),AND(J4155=1,I4155="SBJ"),AND(J4155=1,I4155=0)),"?IN_FOCUS",IF(J4155&lt;=2,"?ACTIVATED",IF(J4155&lt;&gt;"","?FAMILIAR",IF(F4155="NEW",IF(ISNA(VLOOKUP(E4155,#REF!,1,FALSE())),"?TYPE_IDENTIFIABLE","?REFERENTIAL"),"_")))))</f>
        <v/>
      </c>
      <c r="H4155" s="27" t="str">
        <f aca="false">IF(J4155&lt;&gt;1,"",IF(I4155="SBJ","CB","?"))</f>
        <v/>
      </c>
      <c r="I4155" s="24" t="str">
        <f aca="false">IF(OR(E4155="",E4155="!!!",F4155="NEW"),"",INDEX(B4:B$4152,-1+SUMPRODUCT(MAX(ROW(E4:E$4152)*(E4155=E4:E$4152)))))</f>
        <v/>
      </c>
      <c r="J4155" s="24" t="str">
        <f aca="true">IF(OR(E4155="",E4155="!!!",F4155="NEW"),"",COUNTBLANK(OFFSET(A$1,,,SUMPRODUCT(MAX(ROW(E$2:E4155)*(E4155=E$2:E4155)))))-COUNTBLANK(OFFSET(A$1,,,SUMPRODUCT(MAX(ROW(E$1:E4154)*(E2=E$1:E4154))))))</f>
        <v/>
      </c>
      <c r="K4155" s="24" t="str">
        <f aca="false">IF(OR(E4155="",E4155="!!!",F4155="NEW"),"",INDEX(J$1:J4154,SUMPRODUCT(MAX(ROW(E$1:E4154)*(E4155=E$1:E4154)))))</f>
        <v/>
      </c>
      <c r="L4155" s="31"/>
    </row>
    <row r="4156" customFormat="false" ht="15" hidden="false" customHeight="false" outlineLevel="0" collapsed="false">
      <c r="A4156" s="20" t="s">
        <v>1090</v>
      </c>
      <c r="B4156" s="22" t="s">
        <v>1086</v>
      </c>
      <c r="C4156" s="22" t="s">
        <v>1082</v>
      </c>
      <c r="D4156" s="22" t="s">
        <v>1060</v>
      </c>
      <c r="E4156" s="23" t="str">
        <f aca="false">IF(D4156="?OLD","!!!","")</f>
        <v>!!!</v>
      </c>
      <c r="F4156" s="25" t="str">
        <f aca="false">IF(OR(E4156="",E4156="!!!"),"",IF(NOT(ISNA(VLOOKUP(E4156,E$1:E4155,1,FALSE()))),"OLD",IF(AND(E4156&lt;&gt;"",E4156&lt;&gt;"!!!"),"NEW","")))</f>
        <v/>
      </c>
      <c r="G4156" s="26" t="str">
        <f aca="false">IF(OR(E4156="",E4156="!!!"),"",IF(OR(J4156=0,AND(J4156=1,K4156=1),AND(J4156=1,I4156="SBJ"),AND(J4156=1,I4156=0)),"?IN_FOCUS",IF(J4156&lt;=2,"?ACTIVATED",IF(J4156&lt;&gt;"","?FAMILIAR",IF(F4156="NEW",IF(ISNA(VLOOKUP(E4156,#REF!,1,FALSE())),"?TYPE_IDENTIFIABLE","?REFERENTIAL"),"_")))))</f>
        <v/>
      </c>
      <c r="H4156" s="27" t="str">
        <f aca="false">IF(J4156&lt;&gt;1,"",IF(I4156="SBJ","CB","?"))</f>
        <v/>
      </c>
      <c r="I4156" s="24" t="str">
        <f aca="false">IF(OR(E4156="",E4156="!!!",F4156="NEW"),"",INDEX(B5:B$4152,-1+SUMPRODUCT(MAX(ROW(E5:E$4152)*(E4156=E5:E$4152)))))</f>
        <v/>
      </c>
      <c r="J4156" s="24" t="str">
        <f aca="true">IF(OR(E4156="",E4156="!!!",F4156="NEW"),"",COUNTBLANK(OFFSET(A$1,,,SUMPRODUCT(MAX(ROW(E$2:E4156)*(E4156=E$2:E4156)))))-COUNTBLANK(OFFSET(A$1,,,SUMPRODUCT(MAX(ROW(E$1:E4155)*(E2=E$1:E4155))))))</f>
        <v/>
      </c>
      <c r="K4156" s="24" t="str">
        <f aca="false">IF(OR(E4156="",E4156="!!!",F4156="NEW"),"",INDEX(J$1:J4155,SUMPRODUCT(MAX(ROW(E$1:E4155)*(E4156=E$1:E4155)))))</f>
        <v/>
      </c>
      <c r="L4156" s="31"/>
    </row>
    <row r="4157" customFormat="false" ht="15" hidden="false" customHeight="false" outlineLevel="0" collapsed="false">
      <c r="A4157" s="20" t="s">
        <v>1207</v>
      </c>
      <c r="E4157" s="23" t="str">
        <f aca="false">IF(D4157="?OLD","!!!","")</f>
        <v/>
      </c>
      <c r="F4157" s="25" t="str">
        <f aca="false">IF(OR(E4157="",E4157="!!!"),"",IF(NOT(ISNA(VLOOKUP(E4157,E$1:E4156,1,FALSE()))),"OLD",IF(AND(E4157&lt;&gt;"",E4157&lt;&gt;"!!!"),"NEW","")))</f>
        <v/>
      </c>
      <c r="G4157" s="26" t="str">
        <f aca="false">IF(OR(E4157="",E4157="!!!"),"",IF(OR(J4157=0,AND(J4157=1,K4157=1),AND(J4157=1,I4157="SBJ"),AND(J4157=1,I4157=0)),"?IN_FOCUS",IF(J4157&lt;=2,"?ACTIVATED",IF(J4157&lt;&gt;"","?FAMILIAR",IF(F4157="NEW",IF(ISNA(VLOOKUP(E4157,#REF!,1,FALSE())),"?TYPE_IDENTIFIABLE","?REFERENTIAL"),"_")))))</f>
        <v/>
      </c>
      <c r="H4157" s="27" t="str">
        <f aca="false">IF(J4157&lt;&gt;1,"",IF(I4157="SBJ","CB","?"))</f>
        <v/>
      </c>
      <c r="I4157" s="24" t="str">
        <f aca="false">IF(OR(E4157="",E4157="!!!",F4157="NEW"),"",INDEX(B6:B$4152,-1+SUMPRODUCT(MAX(ROW(E6:E$4152)*(E4157=E6:E$4152)))))</f>
        <v/>
      </c>
      <c r="J4157" s="24" t="str">
        <f aca="true">IF(OR(E4157="",E4157="!!!",F4157="NEW"),"",COUNTBLANK(OFFSET(A$1,,,SUMPRODUCT(MAX(ROW(E$2:E4157)*(E4157=E$2:E4157)))))-COUNTBLANK(OFFSET(A$1,,,SUMPRODUCT(MAX(ROW(E$1:E4156)*(E2=E$1:E4156))))))</f>
        <v/>
      </c>
      <c r="K4157" s="24" t="str">
        <f aca="false">IF(OR(E4157="",E4157="!!!",F4157="NEW"),"",INDEX(J$1:J4156,SUMPRODUCT(MAX(ROW(E$1:E4156)*(E4157=E$1:E4156)))))</f>
        <v/>
      </c>
      <c r="L4157" s="31"/>
    </row>
    <row r="4158" customFormat="false" ht="15" hidden="false" customHeight="false" outlineLevel="0" collapsed="false">
      <c r="A4158" s="20" t="s">
        <v>474</v>
      </c>
      <c r="E4158" s="23" t="str">
        <f aca="false">IF(D4158="?OLD","!!!","")</f>
        <v/>
      </c>
      <c r="F4158" s="25" t="str">
        <f aca="false">IF(OR(E4158="",E4158="!!!"),"",IF(NOT(ISNA(VLOOKUP(E4158,E$1:E4157,1,FALSE()))),"OLD",IF(AND(E4158&lt;&gt;"",E4158&lt;&gt;"!!!"),"NEW","")))</f>
        <v/>
      </c>
      <c r="G4158" s="26" t="str">
        <f aca="false">IF(OR(E4158="",E4158="!!!"),"",IF(OR(J4158=0,AND(J4158=1,K4158=1),AND(J4158=1,I4158="SBJ"),AND(J4158=1,I4158=0)),"?IN_FOCUS",IF(J4158&lt;=2,"?ACTIVATED",IF(J4158&lt;&gt;"","?FAMILIAR",IF(F4158="NEW",IF(ISNA(VLOOKUP(E4158,#REF!,1,FALSE())),"?TYPE_IDENTIFIABLE","?REFERENTIAL"),"_")))))</f>
        <v/>
      </c>
      <c r="H4158" s="27" t="str">
        <f aca="false">IF(J4158&lt;&gt;1,"",IF(I4158="SBJ","CB","?"))</f>
        <v/>
      </c>
      <c r="I4158" s="24" t="str">
        <f aca="false">IF(OR(E4158="",E4158="!!!",F4158="NEW"),"",INDEX(B7:B$4152,-1+SUMPRODUCT(MAX(ROW(E7:E$4152)*(E4158=E7:E$4152)))))</f>
        <v/>
      </c>
      <c r="J4158" s="24" t="str">
        <f aca="true">IF(OR(E4158="",E4158="!!!",F4158="NEW"),"",COUNTBLANK(OFFSET(A$1,,,SUMPRODUCT(MAX(ROW(E$2:E4158)*(E4158=E$2:E4158)))))-COUNTBLANK(OFFSET(A$1,,,SUMPRODUCT(MAX(ROW(E$1:E4157)*(E2=E$1:E4157))))))</f>
        <v/>
      </c>
      <c r="K4158" s="24" t="str">
        <f aca="false">IF(OR(E4158="",E4158="!!!",F4158="NEW"),"",INDEX(J$1:J4157,SUMPRODUCT(MAX(ROW(E$1:E4157)*(E4158=E$1:E4157)))))</f>
        <v/>
      </c>
      <c r="L4158" s="31"/>
    </row>
    <row r="4159" customFormat="false" ht="15" hidden="false" customHeight="false" outlineLevel="0" collapsed="false">
      <c r="A4159" s="20" t="s">
        <v>923</v>
      </c>
      <c r="E4159" s="23" t="str">
        <f aca="false">IF(D4159="?OLD","!!!","")</f>
        <v/>
      </c>
      <c r="F4159" s="25" t="str">
        <f aca="false">IF(OR(E4159="",E4159="!!!"),"",IF(NOT(ISNA(VLOOKUP(E4159,E$1:E4158,1,FALSE()))),"OLD",IF(AND(E4159&lt;&gt;"",E4159&lt;&gt;"!!!"),"NEW","")))</f>
        <v/>
      </c>
      <c r="G4159" s="26" t="str">
        <f aca="false">IF(OR(E4159="",E4159="!!!"),"",IF(OR(J4159=0,AND(J4159=1,K4159=1),AND(J4159=1,I4159="SBJ"),AND(J4159=1,I4159=0)),"?IN_FOCUS",IF(J4159&lt;=2,"?ACTIVATED",IF(J4159&lt;&gt;"","?FAMILIAR",IF(F4159="NEW",IF(ISNA(VLOOKUP(E4159,#REF!,1,FALSE())),"?TYPE_IDENTIFIABLE","?REFERENTIAL"),"_")))))</f>
        <v/>
      </c>
      <c r="H4159" s="27" t="str">
        <f aca="false">IF(J4159&lt;&gt;1,"",IF(I4159="SBJ","CB","?"))</f>
        <v/>
      </c>
      <c r="I4159" s="24" t="str">
        <f aca="false">IF(OR(E4159="",E4159="!!!",F4159="NEW"),"",INDEX(B8:B$4152,-1+SUMPRODUCT(MAX(ROW(E8:E$4152)*(E4159=E8:E$4152)))))</f>
        <v/>
      </c>
      <c r="J4159" s="24" t="str">
        <f aca="true">IF(OR(E4159="",E4159="!!!",F4159="NEW"),"",COUNTBLANK(OFFSET(A$1,,,SUMPRODUCT(MAX(ROW(E$2:E4159)*(E4159=E$2:E4159)))))-COUNTBLANK(OFFSET(A$1,,,SUMPRODUCT(MAX(ROW(E$1:E4158)*(E2=E$1:E4158))))))</f>
        <v/>
      </c>
      <c r="K4159" s="24" t="str">
        <f aca="false">IF(OR(E4159="",E4159="!!!",F4159="NEW"),"",INDEX(J$1:J4158,SUMPRODUCT(MAX(ROW(E$1:E4158)*(E4159=E$1:E4158)))))</f>
        <v/>
      </c>
      <c r="L4159" s="31"/>
    </row>
    <row r="4160" customFormat="false" ht="15" hidden="false" customHeight="false" outlineLevel="0" collapsed="false">
      <c r="A4160" s="20" t="s">
        <v>607</v>
      </c>
      <c r="E4160" s="23" t="str">
        <f aca="false">IF(D4160="?OLD","!!!","")</f>
        <v/>
      </c>
      <c r="F4160" s="25" t="str">
        <f aca="false">IF(OR(E4160="",E4160="!!!"),"",IF(NOT(ISNA(VLOOKUP(E4160,E$1:E4159,1,FALSE()))),"OLD",IF(AND(E4160&lt;&gt;"",E4160&lt;&gt;"!!!"),"NEW","")))</f>
        <v/>
      </c>
      <c r="G4160" s="26" t="str">
        <f aca="false">IF(OR(E4160="",E4160="!!!"),"",IF(OR(J4160=0,AND(J4160=1,K4160=1),AND(J4160=1,I4160="SBJ"),AND(J4160=1,I4160=0)),"?IN_FOCUS",IF(J4160&lt;=2,"?ACTIVATED",IF(J4160&lt;&gt;"","?FAMILIAR",IF(F4160="NEW",IF(ISNA(VLOOKUP(E4160,#REF!,1,FALSE())),"?TYPE_IDENTIFIABLE","?REFERENTIAL"),"_")))))</f>
        <v/>
      </c>
      <c r="H4160" s="27" t="str">
        <f aca="false">IF(J4160&lt;&gt;1,"",IF(I4160="SBJ","CB","?"))</f>
        <v/>
      </c>
      <c r="I4160" s="24" t="str">
        <f aca="false">IF(OR(E4160="",E4160="!!!",F4160="NEW"),"",INDEX(B9:B$4152,-1+SUMPRODUCT(MAX(ROW(E9:E$4152)*(E4160=E9:E$4152)))))</f>
        <v/>
      </c>
      <c r="J4160" s="24" t="str">
        <f aca="true">IF(OR(E4160="",E4160="!!!",F4160="NEW"),"",COUNTBLANK(OFFSET(A$1,,,SUMPRODUCT(MAX(ROW(E$2:E4160)*(E4160=E$2:E4160)))))-COUNTBLANK(OFFSET(A$1,,,SUMPRODUCT(MAX(ROW(E$1:E4159)*(E2=E$1:E4159))))))</f>
        <v/>
      </c>
      <c r="K4160" s="24" t="str">
        <f aca="false">IF(OR(E4160="",E4160="!!!",F4160="NEW"),"",INDEX(J$1:J4159,SUMPRODUCT(MAX(ROW(E$1:E4159)*(E4160=E$1:E4159)))))</f>
        <v/>
      </c>
      <c r="L4160" s="31"/>
    </row>
    <row r="4161" customFormat="false" ht="15" hidden="false" customHeight="false" outlineLevel="0" collapsed="false">
      <c r="A4161" s="20"/>
    </row>
    <row r="4162" customFormat="false" ht="15" hidden="false" customHeight="false" outlineLevel="0" collapsed="false">
      <c r="A4162" s="20" t="s">
        <v>2325</v>
      </c>
    </row>
    <row r="4163" customFormat="false" ht="15" hidden="false" customHeight="false" outlineLevel="0" collapsed="false">
      <c r="A4163" s="20" t="s">
        <v>1148</v>
      </c>
      <c r="E4163" s="23" t="str">
        <f aca="false">IF(D4163="?OLD","!!!","")</f>
        <v/>
      </c>
      <c r="F4163" s="25" t="str">
        <f aca="false">IF(OR(E4163="",E4163="!!!"),"",IF(NOT(ISNA(VLOOKUP(E4163,E$1:E4162,1,FALSE()))),"OLD",IF(AND(E4163&lt;&gt;"",E4163&lt;&gt;"!!!"),"NEW","")))</f>
        <v/>
      </c>
      <c r="G4163" s="26" t="str">
        <f aca="false">IF(OR(E4163="",E4163="!!!"),"",IF(OR(J4163=0,AND(J4163=1,K4163=1),AND(J4163=1,I4163="SBJ"),AND(J4163=1,I4163=0)),"?IN_FOCUS",IF(J4163&lt;=2,"?ACTIVATED",IF(J4163&lt;&gt;"","?FAMILIAR",IF(F4163="NEW",IF(ISNA(VLOOKUP(E4163,#REF!,1,FALSE())),"?TYPE_IDENTIFIABLE","?REFERENTIAL"),"_")))))</f>
        <v/>
      </c>
      <c r="H4163" s="27" t="str">
        <f aca="false">IF(J4163&lt;&gt;1,"",IF(I4163="SBJ","CB","?"))</f>
        <v/>
      </c>
      <c r="I4163" s="24" t="str">
        <f aca="false">IF(OR(E4163="",E4163="!!!",F4163="NEW"),"",INDEX(B2:B$4162,-1+SUMPRODUCT(MAX(ROW(E2:E$4162)*(E4163=E2:E$4162)))))</f>
        <v/>
      </c>
      <c r="J4163" s="24" t="str">
        <f aca="true">IF(OR(E4163="",E4163="!!!",F4163="NEW"),"",COUNTBLANK(OFFSET(A$1,,,SUMPRODUCT(MAX(ROW(E$2:E4163)*(E4163=E$2:E4163)))))-COUNTBLANK(OFFSET(A$1,,,SUMPRODUCT(MAX(ROW(E$1:E4162)*(E2=E$1:E4162))))))</f>
        <v/>
      </c>
      <c r="K4163" s="24" t="str">
        <f aca="false">IF(OR(E4163="",E4163="!!!",F4163="NEW"),"",INDEX(J$1:J4162,SUMPRODUCT(MAX(ROW(E$1:E4162)*(E4163=E$1:E4162)))))</f>
        <v/>
      </c>
      <c r="L4163" s="31"/>
    </row>
    <row r="4164" customFormat="false" ht="15" hidden="false" customHeight="false" outlineLevel="0" collapsed="false">
      <c r="A4164" s="20" t="s">
        <v>1358</v>
      </c>
      <c r="E4164" s="23" t="str">
        <f aca="false">IF(D4164="?OLD","!!!","")</f>
        <v/>
      </c>
      <c r="F4164" s="25" t="str">
        <f aca="false">IF(OR(E4164="",E4164="!!!"),"",IF(NOT(ISNA(VLOOKUP(E4164,E$1:E4163,1,FALSE()))),"OLD",IF(AND(E4164&lt;&gt;"",E4164&lt;&gt;"!!!"),"NEW","")))</f>
        <v/>
      </c>
      <c r="G4164" s="26" t="str">
        <f aca="false">IF(OR(E4164="",E4164="!!!"),"",IF(OR(J4164=0,AND(J4164=1,K4164=1),AND(J4164=1,I4164="SBJ"),AND(J4164=1,I4164=0)),"?IN_FOCUS",IF(J4164&lt;=2,"?ACTIVATED",IF(J4164&lt;&gt;"","?FAMILIAR",IF(F4164="NEW",IF(ISNA(VLOOKUP(E4164,#REF!,1,FALSE())),"?TYPE_IDENTIFIABLE","?REFERENTIAL"),"_")))))</f>
        <v/>
      </c>
      <c r="H4164" s="27" t="str">
        <f aca="false">IF(J4164&lt;&gt;1,"",IF(I4164="SBJ","CB","?"))</f>
        <v/>
      </c>
      <c r="I4164" s="24" t="str">
        <f aca="false">IF(OR(E4164="",E4164="!!!",F4164="NEW"),"",INDEX(B3:B$4162,-1+SUMPRODUCT(MAX(ROW(E3:E$4162)*(E4164=E3:E$4162)))))</f>
        <v/>
      </c>
      <c r="J4164" s="24" t="str">
        <f aca="true">IF(OR(E4164="",E4164="!!!",F4164="NEW"),"",COUNTBLANK(OFFSET(A$1,,,SUMPRODUCT(MAX(ROW(E$2:E4164)*(E4164=E$2:E4164)))))-COUNTBLANK(OFFSET(A$1,,,SUMPRODUCT(MAX(ROW(E$1:E4163)*(E2=E$1:E4163))))))</f>
        <v/>
      </c>
      <c r="K4164" s="24" t="str">
        <f aca="false">IF(OR(E4164="",E4164="!!!",F4164="NEW"),"",INDEX(J$1:J4163,SUMPRODUCT(MAX(ROW(E$1:E4163)*(E4164=E$1:E4163)))))</f>
        <v/>
      </c>
      <c r="L4164" s="31"/>
    </row>
    <row r="4165" customFormat="false" ht="15" hidden="false" customHeight="false" outlineLevel="0" collapsed="false">
      <c r="A4165" s="20" t="s">
        <v>16</v>
      </c>
      <c r="E4165" s="23" t="str">
        <f aca="false">IF(D4165="?OLD","!!!","")</f>
        <v/>
      </c>
      <c r="F4165" s="25" t="str">
        <f aca="false">IF(OR(E4165="",E4165="!!!"),"",IF(NOT(ISNA(VLOOKUP(E4165,E$1:E4164,1,FALSE()))),"OLD",IF(AND(E4165&lt;&gt;"",E4165&lt;&gt;"!!!"),"NEW","")))</f>
        <v/>
      </c>
      <c r="G4165" s="26" t="str">
        <f aca="false">IF(OR(E4165="",E4165="!!!"),"",IF(OR(J4165=0,AND(J4165=1,K4165=1),AND(J4165=1,I4165="SBJ"),AND(J4165=1,I4165=0)),"?IN_FOCUS",IF(J4165&lt;=2,"?ACTIVATED",IF(J4165&lt;&gt;"","?FAMILIAR",IF(F4165="NEW",IF(ISNA(VLOOKUP(E4165,#REF!,1,FALSE())),"?TYPE_IDENTIFIABLE","?REFERENTIAL"),"_")))))</f>
        <v/>
      </c>
      <c r="H4165" s="27" t="str">
        <f aca="false">IF(J4165&lt;&gt;1,"",IF(I4165="SBJ","CB","?"))</f>
        <v/>
      </c>
      <c r="I4165" s="24" t="str">
        <f aca="false">IF(OR(E4165="",E4165="!!!",F4165="NEW"),"",INDEX(B4:B$4162,-1+SUMPRODUCT(MAX(ROW(E4:E$4162)*(E4165=E4:E$4162)))))</f>
        <v/>
      </c>
      <c r="J4165" s="24" t="str">
        <f aca="true">IF(OR(E4165="",E4165="!!!",F4165="NEW"),"",COUNTBLANK(OFFSET(A$1,,,SUMPRODUCT(MAX(ROW(E$2:E4165)*(E4165=E$2:E4165)))))-COUNTBLANK(OFFSET(A$1,,,SUMPRODUCT(MAX(ROW(E$1:E4164)*(E2=E$1:E4164))))))</f>
        <v/>
      </c>
      <c r="K4165" s="24" t="str">
        <f aca="false">IF(OR(E4165="",E4165="!!!",F4165="NEW"),"",INDEX(J$1:J4164,SUMPRODUCT(MAX(ROW(E$1:E4164)*(E4165=E$1:E4164)))))</f>
        <v/>
      </c>
      <c r="L4165" s="31"/>
    </row>
    <row r="4166" customFormat="false" ht="15" hidden="false" customHeight="false" outlineLevel="0" collapsed="false">
      <c r="A4166" s="20" t="s">
        <v>1711</v>
      </c>
      <c r="B4166" s="22" t="s">
        <v>1058</v>
      </c>
      <c r="C4166" s="22" t="s">
        <v>1150</v>
      </c>
      <c r="D4166" s="22" t="s">
        <v>1060</v>
      </c>
      <c r="E4166" s="23" t="str">
        <f aca="false">IF(D4166="?OLD","!!!","")</f>
        <v>!!!</v>
      </c>
      <c r="F4166" s="25" t="str">
        <f aca="false">IF(OR(E4166="",E4166="!!!"),"",IF(NOT(ISNA(VLOOKUP(E4166,E$1:E4165,1,FALSE()))),"OLD",IF(AND(E4166&lt;&gt;"",E4166&lt;&gt;"!!!"),"NEW","")))</f>
        <v/>
      </c>
      <c r="G4166" s="26" t="str">
        <f aca="false">IF(OR(E4166="",E4166="!!!"),"",IF(OR(J4166=0,AND(J4166=1,K4166=1),AND(J4166=1,I4166="SBJ"),AND(J4166=1,I4166=0)),"?IN_FOCUS",IF(J4166&lt;=2,"?ACTIVATED",IF(J4166&lt;&gt;"","?FAMILIAR",IF(F4166="NEW",IF(ISNA(VLOOKUP(E4166,#REF!,1,FALSE())),"?TYPE_IDENTIFIABLE","?REFERENTIAL"),"_")))))</f>
        <v/>
      </c>
      <c r="H4166" s="27" t="str">
        <f aca="false">IF(J4166&lt;&gt;1,"",IF(I4166="SBJ","CB","?"))</f>
        <v/>
      </c>
      <c r="I4166" s="24" t="str">
        <f aca="false">IF(OR(E4166="",E4166="!!!",F4166="NEW"),"",INDEX(B5:B$4162,-1+SUMPRODUCT(MAX(ROW(E5:E$4162)*(E4166=E5:E$4162)))))</f>
        <v/>
      </c>
      <c r="J4166" s="24" t="str">
        <f aca="true">IF(OR(E4166="",E4166="!!!",F4166="NEW"),"",COUNTBLANK(OFFSET(A$1,,,SUMPRODUCT(MAX(ROW(E$2:E4166)*(E4166=E$2:E4166)))))-COUNTBLANK(OFFSET(A$1,,,SUMPRODUCT(MAX(ROW(E$1:E4165)*(E2=E$1:E4165))))))</f>
        <v/>
      </c>
      <c r="K4166" s="24" t="str">
        <f aca="false">IF(OR(E4166="",E4166="!!!",F4166="NEW"),"",INDEX(J$1:J4165,SUMPRODUCT(MAX(ROW(E$1:E4165)*(E4166=E$1:E4165)))))</f>
        <v/>
      </c>
      <c r="L4166" s="31"/>
    </row>
    <row r="4167" customFormat="false" ht="15" hidden="false" customHeight="false" outlineLevel="0" collapsed="false">
      <c r="A4167" s="20" t="s">
        <v>502</v>
      </c>
      <c r="E4167" s="23" t="str">
        <f aca="false">IF(D4167="?OLD","!!!","")</f>
        <v/>
      </c>
      <c r="F4167" s="25" t="str">
        <f aca="false">IF(OR(E4167="",E4167="!!!"),"",IF(NOT(ISNA(VLOOKUP(E4167,E$1:E4166,1,FALSE()))),"OLD",IF(AND(E4167&lt;&gt;"",E4167&lt;&gt;"!!!"),"NEW","")))</f>
        <v/>
      </c>
      <c r="G4167" s="26" t="str">
        <f aca="false">IF(OR(E4167="",E4167="!!!"),"",IF(OR(J4167=0,AND(J4167=1,K4167=1),AND(J4167=1,I4167="SBJ"),AND(J4167=1,I4167=0)),"?IN_FOCUS",IF(J4167&lt;=2,"?ACTIVATED",IF(J4167&lt;&gt;"","?FAMILIAR",IF(F4167="NEW",IF(ISNA(VLOOKUP(E4167,#REF!,1,FALSE())),"?TYPE_IDENTIFIABLE","?REFERENTIAL"),"_")))))</f>
        <v/>
      </c>
      <c r="H4167" s="27" t="str">
        <f aca="false">IF(J4167&lt;&gt;1,"",IF(I4167="SBJ","CB","?"))</f>
        <v/>
      </c>
      <c r="I4167" s="24" t="str">
        <f aca="false">IF(OR(E4167="",E4167="!!!",F4167="NEW"),"",INDEX(B6:B$4162,-1+SUMPRODUCT(MAX(ROW(E6:E$4162)*(E4167=E6:E$4162)))))</f>
        <v/>
      </c>
      <c r="J4167" s="24" t="str">
        <f aca="true">IF(OR(E4167="",E4167="!!!",F4167="NEW"),"",COUNTBLANK(OFFSET(A$1,,,SUMPRODUCT(MAX(ROW(E$2:E4167)*(E4167=E$2:E4167)))))-COUNTBLANK(OFFSET(A$1,,,SUMPRODUCT(MAX(ROW(E$1:E4166)*(E2=E$1:E4166))))))</f>
        <v/>
      </c>
      <c r="K4167" s="24" t="str">
        <f aca="false">IF(OR(E4167="",E4167="!!!",F4167="NEW"),"",INDEX(J$1:J4166,SUMPRODUCT(MAX(ROW(E$1:E4166)*(E4167=E$1:E4166)))))</f>
        <v/>
      </c>
      <c r="L4167" s="31"/>
    </row>
    <row r="4168" customFormat="false" ht="15" hidden="false" customHeight="false" outlineLevel="0" collapsed="false">
      <c r="A4168" s="20" t="s">
        <v>1599</v>
      </c>
      <c r="E4168" s="23" t="str">
        <f aca="false">IF(D4168="?OLD","!!!","")</f>
        <v/>
      </c>
      <c r="F4168" s="25" t="str">
        <f aca="false">IF(OR(E4168="",E4168="!!!"),"",IF(NOT(ISNA(VLOOKUP(E4168,E$1:E4167,1,FALSE()))),"OLD",IF(AND(E4168&lt;&gt;"",E4168&lt;&gt;"!!!"),"NEW","")))</f>
        <v/>
      </c>
      <c r="G4168" s="26" t="str">
        <f aca="false">IF(OR(E4168="",E4168="!!!"),"",IF(OR(J4168=0,AND(J4168=1,K4168=1),AND(J4168=1,I4168="SBJ"),AND(J4168=1,I4168=0)),"?IN_FOCUS",IF(J4168&lt;=2,"?ACTIVATED",IF(J4168&lt;&gt;"","?FAMILIAR",IF(F4168="NEW",IF(ISNA(VLOOKUP(E4168,#REF!,1,FALSE())),"?TYPE_IDENTIFIABLE","?REFERENTIAL"),"_")))))</f>
        <v/>
      </c>
      <c r="H4168" s="27" t="str">
        <f aca="false">IF(J4168&lt;&gt;1,"",IF(I4168="SBJ","CB","?"))</f>
        <v/>
      </c>
      <c r="I4168" s="24" t="str">
        <f aca="false">IF(OR(E4168="",E4168="!!!",F4168="NEW"),"",INDEX(B7:B$4162,-1+SUMPRODUCT(MAX(ROW(E7:E$4162)*(E4168=E7:E$4162)))))</f>
        <v/>
      </c>
      <c r="J4168" s="24" t="str">
        <f aca="true">IF(OR(E4168="",E4168="!!!",F4168="NEW"),"",COUNTBLANK(OFFSET(A$1,,,SUMPRODUCT(MAX(ROW(E$2:E4168)*(E4168=E$2:E4168)))))-COUNTBLANK(OFFSET(A$1,,,SUMPRODUCT(MAX(ROW(E$1:E4167)*(E2=E$1:E4167))))))</f>
        <v/>
      </c>
      <c r="K4168" s="24" t="str">
        <f aca="false">IF(OR(E4168="",E4168="!!!",F4168="NEW"),"",INDEX(J$1:J4167,SUMPRODUCT(MAX(ROW(E$1:E4167)*(E4168=E$1:E4167)))))</f>
        <v/>
      </c>
      <c r="L4168" s="31"/>
    </row>
    <row r="4169" customFormat="false" ht="15" hidden="false" customHeight="false" outlineLevel="0" collapsed="false">
      <c r="A4169" s="20" t="s">
        <v>1592</v>
      </c>
      <c r="E4169" s="23" t="str">
        <f aca="false">IF(D4169="?OLD","!!!","")</f>
        <v/>
      </c>
      <c r="F4169" s="25" t="str">
        <f aca="false">IF(OR(E4169="",E4169="!!!"),"",IF(NOT(ISNA(VLOOKUP(E4169,E$1:E4168,1,FALSE()))),"OLD",IF(AND(E4169&lt;&gt;"",E4169&lt;&gt;"!!!"),"NEW","")))</f>
        <v/>
      </c>
      <c r="G4169" s="26" t="str">
        <f aca="false">IF(OR(E4169="",E4169="!!!"),"",IF(OR(J4169=0,AND(J4169=1,K4169=1),AND(J4169=1,I4169="SBJ"),AND(J4169=1,I4169=0)),"?IN_FOCUS",IF(J4169&lt;=2,"?ACTIVATED",IF(J4169&lt;&gt;"","?FAMILIAR",IF(F4169="NEW",IF(ISNA(VLOOKUP(E4169,#REF!,1,FALSE())),"?TYPE_IDENTIFIABLE","?REFERENTIAL"),"_")))))</f>
        <v/>
      </c>
      <c r="H4169" s="27" t="str">
        <f aca="false">IF(J4169&lt;&gt;1,"",IF(I4169="SBJ","CB","?"))</f>
        <v/>
      </c>
      <c r="I4169" s="24" t="str">
        <f aca="false">IF(OR(E4169="",E4169="!!!",F4169="NEW"),"",INDEX(B8:B$4162,-1+SUMPRODUCT(MAX(ROW(E8:E$4162)*(E4169=E8:E$4162)))))</f>
        <v/>
      </c>
      <c r="J4169" s="24" t="str">
        <f aca="true">IF(OR(E4169="",E4169="!!!",F4169="NEW"),"",COUNTBLANK(OFFSET(A$1,,,SUMPRODUCT(MAX(ROW(E$2:E4169)*(E4169=E$2:E4169)))))-COUNTBLANK(OFFSET(A$1,,,SUMPRODUCT(MAX(ROW(E$1:E4168)*(E2=E$1:E4168))))))</f>
        <v/>
      </c>
      <c r="K4169" s="24" t="str">
        <f aca="false">IF(OR(E4169="",E4169="!!!",F4169="NEW"),"",INDEX(J$1:J4168,SUMPRODUCT(MAX(ROW(E$1:E4168)*(E4169=E$1:E4168)))))</f>
        <v/>
      </c>
      <c r="L4169" s="31"/>
    </row>
    <row r="4170" customFormat="false" ht="15" hidden="false" customHeight="false" outlineLevel="0" collapsed="false">
      <c r="A4170" s="20" t="s">
        <v>2326</v>
      </c>
      <c r="B4170" s="22" t="s">
        <v>1105</v>
      </c>
      <c r="C4170" s="22" t="s">
        <v>1160</v>
      </c>
      <c r="E4170" s="23" t="str">
        <f aca="false">IF(D4170="?OLD","!!!","")</f>
        <v/>
      </c>
      <c r="F4170" s="25" t="str">
        <f aca="false">IF(OR(E4170="",E4170="!!!"),"",IF(NOT(ISNA(VLOOKUP(E4170,E$1:E4169,1,FALSE()))),"OLD",IF(AND(E4170&lt;&gt;"",E4170&lt;&gt;"!!!"),"NEW","")))</f>
        <v/>
      </c>
      <c r="G4170" s="26" t="str">
        <f aca="false">IF(OR(E4170="",E4170="!!!"),"",IF(OR(J4170=0,AND(J4170=1,K4170=1),AND(J4170=1,I4170="SBJ"),AND(J4170=1,I4170=0)),"?IN_FOCUS",IF(J4170&lt;=2,"?ACTIVATED",IF(J4170&lt;&gt;"","?FAMILIAR",IF(F4170="NEW",IF(ISNA(VLOOKUP(E4170,#REF!,1,FALSE())),"?TYPE_IDENTIFIABLE","?REFERENTIAL"),"_")))))</f>
        <v/>
      </c>
      <c r="H4170" s="27" t="str">
        <f aca="false">IF(J4170&lt;&gt;1,"",IF(I4170="SBJ","CB","?"))</f>
        <v/>
      </c>
      <c r="I4170" s="24" t="str">
        <f aca="false">IF(OR(E4170="",E4170="!!!",F4170="NEW"),"",INDEX(B9:B$4162,-1+SUMPRODUCT(MAX(ROW(E9:E$4162)*(E4170=E9:E$4162)))))</f>
        <v/>
      </c>
      <c r="J4170" s="24" t="str">
        <f aca="true">IF(OR(E4170="",E4170="!!!",F4170="NEW"),"",COUNTBLANK(OFFSET(A$1,,,SUMPRODUCT(MAX(ROW(E$2:E4170)*(E4170=E$2:E4170)))))-COUNTBLANK(OFFSET(A$1,,,SUMPRODUCT(MAX(ROW(E$1:E4169)*(E2=E$1:E4169))))))</f>
        <v/>
      </c>
      <c r="K4170" s="24" t="str">
        <f aca="false">IF(OR(E4170="",E4170="!!!",F4170="NEW"),"",INDEX(J$1:J4169,SUMPRODUCT(MAX(ROW(E$1:E4169)*(E4170=E$1:E4169)))))</f>
        <v/>
      </c>
      <c r="L4170" s="31"/>
    </row>
    <row r="4171" customFormat="false" ht="15" hidden="false" customHeight="false" outlineLevel="0" collapsed="false">
      <c r="A4171" s="20" t="s">
        <v>1663</v>
      </c>
      <c r="E4171" s="23" t="str">
        <f aca="false">IF(D4171="?OLD","!!!","")</f>
        <v/>
      </c>
      <c r="F4171" s="25" t="str">
        <f aca="false">IF(OR(E4171="",E4171="!!!"),"",IF(NOT(ISNA(VLOOKUP(E4171,E$1:E4170,1,FALSE()))),"OLD",IF(AND(E4171&lt;&gt;"",E4171&lt;&gt;"!!!"),"NEW","")))</f>
        <v/>
      </c>
      <c r="G4171" s="26" t="str">
        <f aca="false">IF(OR(E4171="",E4171="!!!"),"",IF(OR(J4171=0,AND(J4171=1,K4171=1),AND(J4171=1,I4171="SBJ"),AND(J4171=1,I4171=0)),"?IN_FOCUS",IF(J4171&lt;=2,"?ACTIVATED",IF(J4171&lt;&gt;"","?FAMILIAR",IF(F4171="NEW",IF(ISNA(VLOOKUP(E4171,#REF!,1,FALSE())),"?TYPE_IDENTIFIABLE","?REFERENTIAL"),"_")))))</f>
        <v/>
      </c>
      <c r="H4171" s="27" t="str">
        <f aca="false">IF(J4171&lt;&gt;1,"",IF(I4171="SBJ","CB","?"))</f>
        <v/>
      </c>
      <c r="I4171" s="24" t="str">
        <f aca="false">IF(OR(E4171="",E4171="!!!",F4171="NEW"),"",INDEX(B10:B$4162,-1+SUMPRODUCT(MAX(ROW(E10:E$4162)*(E4171=E10:E$4162)))))</f>
        <v/>
      </c>
      <c r="J4171" s="24" t="str">
        <f aca="true">IF(OR(E4171="",E4171="!!!",F4171="NEW"),"",COUNTBLANK(OFFSET(A$1,,,SUMPRODUCT(MAX(ROW(E$2:E4171)*(E4171=E$2:E4171)))))-COUNTBLANK(OFFSET(A$1,,,SUMPRODUCT(MAX(ROW(E$1:E4170)*(E2=E$1:E4170))))))</f>
        <v/>
      </c>
      <c r="K4171" s="24" t="str">
        <f aca="false">IF(OR(E4171="",E4171="!!!",F4171="NEW"),"",INDEX(J$1:J4170,SUMPRODUCT(MAX(ROW(E$1:E4170)*(E4171=E$1:E4170)))))</f>
        <v/>
      </c>
      <c r="L4171" s="31"/>
    </row>
    <row r="4172" customFormat="false" ht="15" hidden="false" customHeight="false" outlineLevel="0" collapsed="false">
      <c r="A4172" s="20" t="s">
        <v>1109</v>
      </c>
      <c r="E4172" s="23" t="str">
        <f aca="false">IF(D4172="?OLD","!!!","")</f>
        <v/>
      </c>
      <c r="F4172" s="25" t="str">
        <f aca="false">IF(OR(E4172="",E4172="!!!"),"",IF(NOT(ISNA(VLOOKUP(E4172,E$1:E4171,1,FALSE()))),"OLD",IF(AND(E4172&lt;&gt;"",E4172&lt;&gt;"!!!"),"NEW","")))</f>
        <v/>
      </c>
      <c r="G4172" s="26" t="str">
        <f aca="false">IF(OR(E4172="",E4172="!!!"),"",IF(OR(J4172=0,AND(J4172=1,K4172=1),AND(J4172=1,I4172="SBJ"),AND(J4172=1,I4172=0)),"?IN_FOCUS",IF(J4172&lt;=2,"?ACTIVATED",IF(J4172&lt;&gt;"","?FAMILIAR",IF(F4172="NEW",IF(ISNA(VLOOKUP(E4172,#REF!,1,FALSE())),"?TYPE_IDENTIFIABLE","?REFERENTIAL"),"_")))))</f>
        <v/>
      </c>
      <c r="H4172" s="27" t="str">
        <f aca="false">IF(J4172&lt;&gt;1,"",IF(I4172="SBJ","CB","?"))</f>
        <v/>
      </c>
      <c r="I4172" s="24" t="str">
        <f aca="false">IF(OR(E4172="",E4172="!!!",F4172="NEW"),"",INDEX(B11:B$4162,-1+SUMPRODUCT(MAX(ROW(E11:E$4162)*(E4172=E11:E$4162)))))</f>
        <v/>
      </c>
      <c r="J4172" s="24" t="str">
        <f aca="true">IF(OR(E4172="",E4172="!!!",F4172="NEW"),"",COUNTBLANK(OFFSET(A$1,,,SUMPRODUCT(MAX(ROW(E$2:E4172)*(E4172=E$2:E4172)))))-COUNTBLANK(OFFSET(A$1,,,SUMPRODUCT(MAX(ROW(E$1:E4171)*(E2=E$1:E4171))))))</f>
        <v/>
      </c>
      <c r="K4172" s="24" t="str">
        <f aca="false">IF(OR(E4172="",E4172="!!!",F4172="NEW"),"",INDEX(J$1:J4171,SUMPRODUCT(MAX(ROW(E$1:E4171)*(E4172=E$1:E4171)))))</f>
        <v/>
      </c>
      <c r="L4172" s="31"/>
    </row>
    <row r="4173" customFormat="false" ht="15" hidden="false" customHeight="false" outlineLevel="0" collapsed="false">
      <c r="A4173" s="20" t="s">
        <v>1429</v>
      </c>
      <c r="B4173" s="22" t="s">
        <v>1073</v>
      </c>
      <c r="C4173" s="22" t="s">
        <v>1150</v>
      </c>
      <c r="D4173" s="22" t="s">
        <v>1060</v>
      </c>
      <c r="E4173" s="23" t="str">
        <f aca="false">IF(D4173="?OLD","!!!","")</f>
        <v>!!!</v>
      </c>
      <c r="F4173" s="25" t="str">
        <f aca="false">IF(OR(E4173="",E4173="!!!"),"",IF(NOT(ISNA(VLOOKUP(E4173,E$1:E4172,1,FALSE()))),"OLD",IF(AND(E4173&lt;&gt;"",E4173&lt;&gt;"!!!"),"NEW","")))</f>
        <v/>
      </c>
      <c r="G4173" s="26" t="str">
        <f aca="false">IF(OR(E4173="",E4173="!!!"),"",IF(OR(J4173=0,AND(J4173=1,K4173=1),AND(J4173=1,I4173="SBJ"),AND(J4173=1,I4173=0)),"?IN_FOCUS",IF(J4173&lt;=2,"?ACTIVATED",IF(J4173&lt;&gt;"","?FAMILIAR",IF(F4173="NEW",IF(ISNA(VLOOKUP(E4173,#REF!,1,FALSE())),"?TYPE_IDENTIFIABLE","?REFERENTIAL"),"_")))))</f>
        <v/>
      </c>
      <c r="H4173" s="27" t="str">
        <f aca="false">IF(J4173&lt;&gt;1,"",IF(I4173="SBJ","CB","?"))</f>
        <v/>
      </c>
      <c r="I4173" s="24" t="str">
        <f aca="false">IF(OR(E4173="",E4173="!!!",F4173="NEW"),"",INDEX(B12:B$4162,-1+SUMPRODUCT(MAX(ROW(E12:E$4162)*(E4173=E12:E$4162)))))</f>
        <v/>
      </c>
      <c r="J4173" s="24" t="str">
        <f aca="true">IF(OR(E4173="",E4173="!!!",F4173="NEW"),"",COUNTBLANK(OFFSET(A$1,,,SUMPRODUCT(MAX(ROW(E$2:E4173)*(E4173=E$2:E4173)))))-COUNTBLANK(OFFSET(A$1,,,SUMPRODUCT(MAX(ROW(E$1:E4172)*(E2=E$1:E4172))))))</f>
        <v/>
      </c>
      <c r="K4173" s="24" t="str">
        <f aca="false">IF(OR(E4173="",E4173="!!!",F4173="NEW"),"",INDEX(J$1:J4172,SUMPRODUCT(MAX(ROW(E$1:E4172)*(E4173=E$1:E4172)))))</f>
        <v/>
      </c>
      <c r="L4173" s="31"/>
    </row>
    <row r="4174" customFormat="false" ht="15" hidden="false" customHeight="false" outlineLevel="0" collapsed="false">
      <c r="A4174" s="20" t="s">
        <v>923</v>
      </c>
      <c r="E4174" s="23" t="str">
        <f aca="false">IF(D4174="?OLD","!!!","")</f>
        <v/>
      </c>
      <c r="F4174" s="25" t="str">
        <f aca="false">IF(OR(E4174="",E4174="!!!"),"",IF(NOT(ISNA(VLOOKUP(E4174,E$1:E4173,1,FALSE()))),"OLD",IF(AND(E4174&lt;&gt;"",E4174&lt;&gt;"!!!"),"NEW","")))</f>
        <v/>
      </c>
      <c r="G4174" s="26" t="str">
        <f aca="false">IF(OR(E4174="",E4174="!!!"),"",IF(OR(J4174=0,AND(J4174=1,K4174=1),AND(J4174=1,I4174="SBJ"),AND(J4174=1,I4174=0)),"?IN_FOCUS",IF(J4174&lt;=2,"?ACTIVATED",IF(J4174&lt;&gt;"","?FAMILIAR",IF(F4174="NEW",IF(ISNA(VLOOKUP(E4174,#REF!,1,FALSE())),"?TYPE_IDENTIFIABLE","?REFERENTIAL"),"_")))))</f>
        <v/>
      </c>
      <c r="H4174" s="27" t="str">
        <f aca="false">IF(J4174&lt;&gt;1,"",IF(I4174="SBJ","CB","?"))</f>
        <v/>
      </c>
      <c r="I4174" s="24" t="str">
        <f aca="false">IF(OR(E4174="",E4174="!!!",F4174="NEW"),"",INDEX(B13:B$4162,-1+SUMPRODUCT(MAX(ROW(E13:E$4162)*(E4174=E13:E$4162)))))</f>
        <v/>
      </c>
      <c r="J4174" s="24" t="str">
        <f aca="true">IF(OR(E4174="",E4174="!!!",F4174="NEW"),"",COUNTBLANK(OFFSET(A$1,,,SUMPRODUCT(MAX(ROW(E$2:E4174)*(E4174=E$2:E4174)))))-COUNTBLANK(OFFSET(A$1,,,SUMPRODUCT(MAX(ROW(E$1:E4173)*(E2=E$1:E4173))))))</f>
        <v/>
      </c>
      <c r="K4174" s="24" t="str">
        <f aca="false">IF(OR(E4174="",E4174="!!!",F4174="NEW"),"",INDEX(J$1:J4173,SUMPRODUCT(MAX(ROW(E$1:E4173)*(E4174=E$1:E4173)))))</f>
        <v/>
      </c>
      <c r="L4174" s="31"/>
    </row>
    <row r="4175" customFormat="false" ht="15" hidden="false" customHeight="false" outlineLevel="0" collapsed="false">
      <c r="A4175" s="20"/>
    </row>
    <row r="4176" customFormat="false" ht="15" hidden="false" customHeight="false" outlineLevel="0" collapsed="false">
      <c r="A4176" s="20" t="s">
        <v>2327</v>
      </c>
    </row>
    <row r="4177" customFormat="false" ht="15" hidden="false" customHeight="false" outlineLevel="0" collapsed="false">
      <c r="A4177" s="20" t="s">
        <v>1066</v>
      </c>
      <c r="E4177" s="23" t="str">
        <f aca="false">IF(D4177="?OLD","!!!","")</f>
        <v/>
      </c>
      <c r="F4177" s="25" t="str">
        <f aca="false">IF(OR(E4177="",E4177="!!!"),"",IF(NOT(ISNA(VLOOKUP(E4177,E$1:E4176,1,FALSE()))),"OLD",IF(AND(E4177&lt;&gt;"",E4177&lt;&gt;"!!!"),"NEW","")))</f>
        <v/>
      </c>
      <c r="G4177" s="26" t="str">
        <f aca="false">IF(OR(E4177="",E4177="!!!"),"",IF(OR(J4177=0,AND(J4177=1,K4177=1),AND(J4177=1,I4177="SBJ"),AND(J4177=1,I4177=0)),"?IN_FOCUS",IF(J4177&lt;=2,"?ACTIVATED",IF(J4177&lt;&gt;"","?FAMILIAR",IF(F4177="NEW",IF(ISNA(VLOOKUP(E4177,#REF!,1,FALSE())),"?TYPE_IDENTIFIABLE","?REFERENTIAL"),"_")))))</f>
        <v/>
      </c>
      <c r="H4177" s="27" t="str">
        <f aca="false">IF(J4177&lt;&gt;1,"",IF(I4177="SBJ","CB","?"))</f>
        <v/>
      </c>
      <c r="I4177" s="24" t="str">
        <f aca="false">IF(OR(E4177="",E4177="!!!",F4177="NEW"),"",INDEX(B2:B$4176,-1+SUMPRODUCT(MAX(ROW(E2:E$4176)*(E4177=E2:E$4176)))))</f>
        <v/>
      </c>
      <c r="J4177" s="24" t="str">
        <f aca="true">IF(OR(E4177="",E4177="!!!",F4177="NEW"),"",COUNTBLANK(OFFSET(A$1,,,SUMPRODUCT(MAX(ROW(E$2:E4177)*(E4177=E$2:E4177)))))-COUNTBLANK(OFFSET(A$1,,,SUMPRODUCT(MAX(ROW(E$1:E4176)*(E2=E$1:E4176))))))</f>
        <v/>
      </c>
      <c r="K4177" s="24" t="str">
        <f aca="false">IF(OR(E4177="",E4177="!!!",F4177="NEW"),"",INDEX(J$1:J4176,SUMPRODUCT(MAX(ROW(E$1:E4176)*(E4177=E$1:E4176)))))</f>
        <v/>
      </c>
      <c r="L4177" s="31"/>
    </row>
    <row r="4178" customFormat="false" ht="15" hidden="false" customHeight="false" outlineLevel="0" collapsed="false">
      <c r="A4178" s="20" t="s">
        <v>2039</v>
      </c>
      <c r="E4178" s="23" t="str">
        <f aca="false">IF(D4178="?OLD","!!!","")</f>
        <v/>
      </c>
      <c r="F4178" s="25" t="str">
        <f aca="false">IF(OR(E4178="",E4178="!!!"),"",IF(NOT(ISNA(VLOOKUP(E4178,E$1:E4177,1,FALSE()))),"OLD",IF(AND(E4178&lt;&gt;"",E4178&lt;&gt;"!!!"),"NEW","")))</f>
        <v/>
      </c>
      <c r="G4178" s="26" t="str">
        <f aca="false">IF(OR(E4178="",E4178="!!!"),"",IF(OR(J4178=0,AND(J4178=1,K4178=1),AND(J4178=1,I4178="SBJ"),AND(J4178=1,I4178=0)),"?IN_FOCUS",IF(J4178&lt;=2,"?ACTIVATED",IF(J4178&lt;&gt;"","?FAMILIAR",IF(F4178="NEW",IF(ISNA(VLOOKUP(E4178,#REF!,1,FALSE())),"?TYPE_IDENTIFIABLE","?REFERENTIAL"),"_")))))</f>
        <v/>
      </c>
      <c r="H4178" s="27" t="str">
        <f aca="false">IF(J4178&lt;&gt;1,"",IF(I4178="SBJ","CB","?"))</f>
        <v/>
      </c>
      <c r="I4178" s="24" t="str">
        <f aca="false">IF(OR(E4178="",E4178="!!!",F4178="NEW"),"",INDEX(B3:B$4176,-1+SUMPRODUCT(MAX(ROW(E3:E$4176)*(E4178=E3:E$4176)))))</f>
        <v/>
      </c>
      <c r="J4178" s="24" t="str">
        <f aca="true">IF(OR(E4178="",E4178="!!!",F4178="NEW"),"",COUNTBLANK(OFFSET(A$1,,,SUMPRODUCT(MAX(ROW(E$2:E4178)*(E4178=E$2:E4178)))))-COUNTBLANK(OFFSET(A$1,,,SUMPRODUCT(MAX(ROW(E$1:E4177)*(E2=E$1:E4177))))))</f>
        <v/>
      </c>
      <c r="K4178" s="24" t="str">
        <f aca="false">IF(OR(E4178="",E4178="!!!",F4178="NEW"),"",INDEX(J$1:J4177,SUMPRODUCT(MAX(ROW(E$1:E4177)*(E4178=E$1:E4177)))))</f>
        <v/>
      </c>
      <c r="L4178" s="31"/>
    </row>
    <row r="4179" customFormat="false" ht="15" hidden="false" customHeight="false" outlineLevel="0" collapsed="false">
      <c r="A4179" s="20" t="s">
        <v>1109</v>
      </c>
      <c r="E4179" s="23" t="str">
        <f aca="false">IF(D4179="?OLD","!!!","")</f>
        <v/>
      </c>
      <c r="F4179" s="25" t="str">
        <f aca="false">IF(OR(E4179="",E4179="!!!"),"",IF(NOT(ISNA(VLOOKUP(E4179,E$1:E4178,1,FALSE()))),"OLD",IF(AND(E4179&lt;&gt;"",E4179&lt;&gt;"!!!"),"NEW","")))</f>
        <v/>
      </c>
      <c r="G4179" s="26" t="str">
        <f aca="false">IF(OR(E4179="",E4179="!!!"),"",IF(OR(J4179=0,AND(J4179=1,K4179=1),AND(J4179=1,I4179="SBJ"),AND(J4179=1,I4179=0)),"?IN_FOCUS",IF(J4179&lt;=2,"?ACTIVATED",IF(J4179&lt;&gt;"","?FAMILIAR",IF(F4179="NEW",IF(ISNA(VLOOKUP(E4179,#REF!,1,FALSE())),"?TYPE_IDENTIFIABLE","?REFERENTIAL"),"_")))))</f>
        <v/>
      </c>
      <c r="H4179" s="27" t="str">
        <f aca="false">IF(J4179&lt;&gt;1,"",IF(I4179="SBJ","CB","?"))</f>
        <v/>
      </c>
      <c r="I4179" s="24" t="str">
        <f aca="false">IF(OR(E4179="",E4179="!!!",F4179="NEW"),"",INDEX(B4:B$4176,-1+SUMPRODUCT(MAX(ROW(E4:E$4176)*(E4179=E4:E$4176)))))</f>
        <v/>
      </c>
      <c r="J4179" s="24" t="str">
        <f aca="true">IF(OR(E4179="",E4179="!!!",F4179="NEW"),"",COUNTBLANK(OFFSET(A$1,,,SUMPRODUCT(MAX(ROW(E$2:E4179)*(E4179=E$2:E4179)))))-COUNTBLANK(OFFSET(A$1,,,SUMPRODUCT(MAX(ROW(E$1:E4178)*(E2=E$1:E4178))))))</f>
        <v/>
      </c>
      <c r="K4179" s="24" t="str">
        <f aca="false">IF(OR(E4179="",E4179="!!!",F4179="NEW"),"",INDEX(J$1:J4178,SUMPRODUCT(MAX(ROW(E$1:E4178)*(E4179=E$1:E4178)))))</f>
        <v/>
      </c>
      <c r="L4179" s="31"/>
    </row>
    <row r="4180" customFormat="false" ht="15" hidden="false" customHeight="false" outlineLevel="0" collapsed="false">
      <c r="A4180" s="20" t="s">
        <v>1679</v>
      </c>
      <c r="B4180" s="22" t="s">
        <v>1081</v>
      </c>
      <c r="C4180" s="22" t="s">
        <v>1150</v>
      </c>
      <c r="D4180" s="22" t="s">
        <v>1060</v>
      </c>
      <c r="E4180" s="23" t="str">
        <f aca="false">IF(D4180="?OLD","!!!","")</f>
        <v>!!!</v>
      </c>
      <c r="F4180" s="25" t="str">
        <f aca="false">IF(OR(E4180="",E4180="!!!"),"",IF(NOT(ISNA(VLOOKUP(E4180,E$1:E4179,1,FALSE()))),"OLD",IF(AND(E4180&lt;&gt;"",E4180&lt;&gt;"!!!"),"NEW","")))</f>
        <v/>
      </c>
      <c r="G4180" s="26" t="str">
        <f aca="false">IF(OR(E4180="",E4180="!!!"),"",IF(OR(J4180=0,AND(J4180=1,K4180=1),AND(J4180=1,I4180="SBJ"),AND(J4180=1,I4180=0)),"?IN_FOCUS",IF(J4180&lt;=2,"?ACTIVATED",IF(J4180&lt;&gt;"","?FAMILIAR",IF(F4180="NEW",IF(ISNA(VLOOKUP(E4180,#REF!,1,FALSE())),"?TYPE_IDENTIFIABLE","?REFERENTIAL"),"_")))))</f>
        <v/>
      </c>
      <c r="H4180" s="27" t="str">
        <f aca="false">IF(J4180&lt;&gt;1,"",IF(I4180="SBJ","CB","?"))</f>
        <v/>
      </c>
      <c r="I4180" s="24" t="str">
        <f aca="false">IF(OR(E4180="",E4180="!!!",F4180="NEW"),"",INDEX(B5:B$4176,-1+SUMPRODUCT(MAX(ROW(E5:E$4176)*(E4180=E5:E$4176)))))</f>
        <v/>
      </c>
      <c r="J4180" s="24" t="str">
        <f aca="true">IF(OR(E4180="",E4180="!!!",F4180="NEW"),"",COUNTBLANK(OFFSET(A$1,,,SUMPRODUCT(MAX(ROW(E$2:E4180)*(E4180=E$2:E4180)))))-COUNTBLANK(OFFSET(A$1,,,SUMPRODUCT(MAX(ROW(E$1:E4179)*(E2=E$1:E4179))))))</f>
        <v/>
      </c>
      <c r="K4180" s="24" t="str">
        <f aca="false">IF(OR(E4180="",E4180="!!!",F4180="NEW"),"",INDEX(J$1:J4179,SUMPRODUCT(MAX(ROW(E$1:E4179)*(E4180=E$1:E4179)))))</f>
        <v/>
      </c>
      <c r="L4180" s="31"/>
    </row>
    <row r="4181" customFormat="false" ht="15" hidden="false" customHeight="false" outlineLevel="0" collapsed="false">
      <c r="A4181" s="20" t="s">
        <v>1490</v>
      </c>
      <c r="E4181" s="23" t="str">
        <f aca="false">IF(D4181="?OLD","!!!","")</f>
        <v/>
      </c>
      <c r="F4181" s="25" t="str">
        <f aca="false">IF(OR(E4181="",E4181="!!!"),"",IF(NOT(ISNA(VLOOKUP(E4181,E$1:E4180,1,FALSE()))),"OLD",IF(AND(E4181&lt;&gt;"",E4181&lt;&gt;"!!!"),"NEW","")))</f>
        <v/>
      </c>
      <c r="G4181" s="26" t="str">
        <f aca="false">IF(OR(E4181="",E4181="!!!"),"",IF(OR(J4181=0,AND(J4181=1,K4181=1),AND(J4181=1,I4181="SBJ"),AND(J4181=1,I4181=0)),"?IN_FOCUS",IF(J4181&lt;=2,"?ACTIVATED",IF(J4181&lt;&gt;"","?FAMILIAR",IF(F4181="NEW",IF(ISNA(VLOOKUP(E4181,#REF!,1,FALSE())),"?TYPE_IDENTIFIABLE","?REFERENTIAL"),"_")))))</f>
        <v/>
      </c>
      <c r="H4181" s="27" t="str">
        <f aca="false">IF(J4181&lt;&gt;1,"",IF(I4181="SBJ","CB","?"))</f>
        <v/>
      </c>
      <c r="I4181" s="24" t="str">
        <f aca="false">IF(OR(E4181="",E4181="!!!",F4181="NEW"),"",INDEX(B6:B$4176,-1+SUMPRODUCT(MAX(ROW(E6:E$4176)*(E4181=E6:E$4176)))))</f>
        <v/>
      </c>
      <c r="J4181" s="24" t="str">
        <f aca="true">IF(OR(E4181="",E4181="!!!",F4181="NEW"),"",COUNTBLANK(OFFSET(A$1,,,SUMPRODUCT(MAX(ROW(E$2:E4181)*(E4181=E$2:E4181)))))-COUNTBLANK(OFFSET(A$1,,,SUMPRODUCT(MAX(ROW(E$1:E4180)*(E2=E$1:E4180))))))</f>
        <v/>
      </c>
      <c r="K4181" s="24" t="str">
        <f aca="false">IF(OR(E4181="",E4181="!!!",F4181="NEW"),"",INDEX(J$1:J4180,SUMPRODUCT(MAX(ROW(E$1:E4180)*(E4181=E$1:E4180)))))</f>
        <v/>
      </c>
      <c r="L4181" s="31"/>
    </row>
    <row r="4182" customFormat="false" ht="15" hidden="false" customHeight="false" outlineLevel="0" collapsed="false">
      <c r="A4182" s="20" t="s">
        <v>1080</v>
      </c>
      <c r="B4182" s="22" t="s">
        <v>1105</v>
      </c>
      <c r="C4182" s="22" t="s">
        <v>1082</v>
      </c>
      <c r="D4182" s="22" t="s">
        <v>1060</v>
      </c>
      <c r="E4182" s="23" t="str">
        <f aca="false">IF(D4182="?OLD","!!!","")</f>
        <v>!!!</v>
      </c>
      <c r="F4182" s="25" t="str">
        <f aca="false">IF(OR(E4182="",E4182="!!!"),"",IF(NOT(ISNA(VLOOKUP(E4182,E$1:E4181,1,FALSE()))),"OLD",IF(AND(E4182&lt;&gt;"",E4182&lt;&gt;"!!!"),"NEW","")))</f>
        <v/>
      </c>
      <c r="G4182" s="26" t="str">
        <f aca="false">IF(OR(E4182="",E4182="!!!"),"",IF(OR(J4182=0,AND(J4182=1,K4182=1),AND(J4182=1,I4182="SBJ"),AND(J4182=1,I4182=0)),"?IN_FOCUS",IF(J4182&lt;=2,"?ACTIVATED",IF(J4182&lt;&gt;"","?FAMILIAR",IF(F4182="NEW",IF(ISNA(VLOOKUP(E4182,#REF!,1,FALSE())),"?TYPE_IDENTIFIABLE","?REFERENTIAL"),"_")))))</f>
        <v/>
      </c>
      <c r="H4182" s="27" t="str">
        <f aca="false">IF(J4182&lt;&gt;1,"",IF(I4182="SBJ","CB","?"))</f>
        <v/>
      </c>
      <c r="I4182" s="24" t="str">
        <f aca="false">IF(OR(E4182="",E4182="!!!",F4182="NEW"),"",INDEX(B7:B$4176,-1+SUMPRODUCT(MAX(ROW(E7:E$4176)*(E4182=E7:E$4176)))))</f>
        <v/>
      </c>
      <c r="J4182" s="24" t="str">
        <f aca="true">IF(OR(E4182="",E4182="!!!",F4182="NEW"),"",COUNTBLANK(OFFSET(A$1,,,SUMPRODUCT(MAX(ROW(E$2:E4182)*(E4182=E$2:E4182)))))-COUNTBLANK(OFFSET(A$1,,,SUMPRODUCT(MAX(ROW(E$1:E4181)*(E2=E$1:E4181))))))</f>
        <v/>
      </c>
      <c r="K4182" s="24" t="str">
        <f aca="false">IF(OR(E4182="",E4182="!!!",F4182="NEW"),"",INDEX(J$1:J4181,SUMPRODUCT(MAX(ROW(E$1:E4181)*(E4182=E$1:E4181)))))</f>
        <v/>
      </c>
      <c r="L4182" s="31"/>
    </row>
    <row r="4183" customFormat="false" ht="15" hidden="false" customHeight="false" outlineLevel="0" collapsed="false">
      <c r="A4183" s="20" t="s">
        <v>923</v>
      </c>
      <c r="E4183" s="23" t="str">
        <f aca="false">IF(D4183="?OLD","!!!","")</f>
        <v/>
      </c>
      <c r="F4183" s="25" t="str">
        <f aca="false">IF(OR(E4183="",E4183="!!!"),"",IF(NOT(ISNA(VLOOKUP(E4183,E$1:E4182,1,FALSE()))),"OLD",IF(AND(E4183&lt;&gt;"",E4183&lt;&gt;"!!!"),"NEW","")))</f>
        <v/>
      </c>
      <c r="G4183" s="26" t="str">
        <f aca="false">IF(OR(E4183="",E4183="!!!"),"",IF(OR(J4183=0,AND(J4183=1,K4183=1),AND(J4183=1,I4183="SBJ"),AND(J4183=1,I4183=0)),"?IN_FOCUS",IF(J4183&lt;=2,"?ACTIVATED",IF(J4183&lt;&gt;"","?FAMILIAR",IF(F4183="NEW",IF(ISNA(VLOOKUP(E4183,#REF!,1,FALSE())),"?TYPE_IDENTIFIABLE","?REFERENTIAL"),"_")))))</f>
        <v/>
      </c>
      <c r="H4183" s="27" t="str">
        <f aca="false">IF(J4183&lt;&gt;1,"",IF(I4183="SBJ","CB","?"))</f>
        <v/>
      </c>
      <c r="I4183" s="24" t="str">
        <f aca="false">IF(OR(E4183="",E4183="!!!",F4183="NEW"),"",INDEX(B8:B$4176,-1+SUMPRODUCT(MAX(ROW(E8:E$4176)*(E4183=E8:E$4176)))))</f>
        <v/>
      </c>
      <c r="J4183" s="24" t="str">
        <f aca="true">IF(OR(E4183="",E4183="!!!",F4183="NEW"),"",COUNTBLANK(OFFSET(A$1,,,SUMPRODUCT(MAX(ROW(E$2:E4183)*(E4183=E$2:E4183)))))-COUNTBLANK(OFFSET(A$1,,,SUMPRODUCT(MAX(ROW(E$1:E4182)*(E2=E$1:E4182))))))</f>
        <v/>
      </c>
      <c r="K4183" s="24" t="str">
        <f aca="false">IF(OR(E4183="",E4183="!!!",F4183="NEW"),"",INDEX(J$1:J4182,SUMPRODUCT(MAX(ROW(E$1:E4182)*(E4183=E$1:E4182)))))</f>
        <v/>
      </c>
      <c r="L4183" s="31"/>
    </row>
    <row r="4184" customFormat="false" ht="15" hidden="false" customHeight="false" outlineLevel="0" collapsed="false">
      <c r="A4184" s="20"/>
    </row>
    <row r="4185" customFormat="false" ht="15" hidden="false" customHeight="false" outlineLevel="0" collapsed="false">
      <c r="A4185" s="20" t="s">
        <v>1301</v>
      </c>
      <c r="E4185" s="23" t="str">
        <f aca="false">IF(D4185="?OLD","!!!","")</f>
        <v/>
      </c>
      <c r="F4185" s="25" t="str">
        <f aca="false">IF(OR(E4185="",E4185="!!!"),"",IF(NOT(ISNA(VLOOKUP(E4185,E$1:E4184,1,FALSE()))),"OLD",IF(AND(E4185&lt;&gt;"",E4185&lt;&gt;"!!!"),"NEW","")))</f>
        <v/>
      </c>
      <c r="G4185" s="26" t="str">
        <f aca="false">IF(OR(E4185="",E4185="!!!"),"",IF(OR(J4185=0,AND(J4185=1,K4185=1),AND(J4185=1,I4185="SBJ"),AND(J4185=1,I4185=0)),"?IN_FOCUS",IF(J4185&lt;=2,"?ACTIVATED",IF(J4185&lt;&gt;"","?FAMILIAR",IF(F4185="NEW",IF(ISNA(VLOOKUP(E4185,#REF!,1,FALSE())),"?TYPE_IDENTIFIABLE","?REFERENTIAL"),"_")))))</f>
        <v/>
      </c>
      <c r="H4185" s="27" t="str">
        <f aca="false">IF(J4185&lt;&gt;1,"",IF(I4185="SBJ","CB","?"))</f>
        <v/>
      </c>
      <c r="I4185" s="24" t="str">
        <f aca="false">IF(OR(E4185="",E4185="!!!",F4185="NEW"),"",INDEX(B2:B$4184,-1+SUMPRODUCT(MAX(ROW(E2:E$4184)*(E4185=E2:E$4184)))))</f>
        <v/>
      </c>
      <c r="J4185" s="24" t="str">
        <f aca="true">IF(OR(E4185="",E4185="!!!",F4185="NEW"),"",COUNTBLANK(OFFSET(A$1,,,SUMPRODUCT(MAX(ROW(E$2:E4185)*(E4185=E$2:E4185)))))-COUNTBLANK(OFFSET(A$1,,,SUMPRODUCT(MAX(ROW(E$1:E4184)*(E2=E$1:E4184))))))</f>
        <v/>
      </c>
      <c r="K4185" s="24" t="str">
        <f aca="false">IF(OR(E4185="",E4185="!!!",F4185="NEW"),"",INDEX(J$1:J4184,SUMPRODUCT(MAX(ROW(E$1:E4184)*(E4185=E$1:E4184)))))</f>
        <v/>
      </c>
      <c r="L4185" s="31"/>
    </row>
    <row r="4186" customFormat="false" ht="15" hidden="false" customHeight="false" outlineLevel="0" collapsed="false">
      <c r="A4186" s="20" t="s">
        <v>2328</v>
      </c>
    </row>
    <row r="4187" customFormat="false" ht="15" hidden="false" customHeight="false" outlineLevel="0" collapsed="false">
      <c r="A4187" s="20" t="s">
        <v>607</v>
      </c>
      <c r="E4187" s="23" t="str">
        <f aca="false">IF(D4187="?OLD","!!!","")</f>
        <v/>
      </c>
      <c r="F4187" s="25" t="str">
        <f aca="false">IF(OR(E4187="",E4187="!!!"),"",IF(NOT(ISNA(VLOOKUP(E4187,E$1:E4186,1,FALSE()))),"OLD",IF(AND(E4187&lt;&gt;"",E4187&lt;&gt;"!!!"),"NEW","")))</f>
        <v/>
      </c>
      <c r="G4187" s="26" t="str">
        <f aca="false">IF(OR(E4187="",E4187="!!!"),"",IF(OR(J4187=0,AND(J4187=1,K4187=1),AND(J4187=1,I4187="SBJ"),AND(J4187=1,I4187=0)),"?IN_FOCUS",IF(J4187&lt;=2,"?ACTIVATED",IF(J4187&lt;&gt;"","?FAMILIAR",IF(F4187="NEW",IF(ISNA(VLOOKUP(E4187,#REF!,1,FALSE())),"?TYPE_IDENTIFIABLE","?REFERENTIAL"),"_")))))</f>
        <v/>
      </c>
      <c r="H4187" s="27" t="str">
        <f aca="false">IF(J4187&lt;&gt;1,"",IF(I4187="SBJ","CB","?"))</f>
        <v/>
      </c>
      <c r="I4187" s="24" t="str">
        <f aca="false">IF(OR(E4187="",E4187="!!!",F4187="NEW"),"",INDEX(B2:B$4186,-1+SUMPRODUCT(MAX(ROW(E2:E$4186)*(E4187=E2:E$4186)))))</f>
        <v/>
      </c>
      <c r="J4187" s="24" t="str">
        <f aca="true">IF(OR(E4187="",E4187="!!!",F4187="NEW"),"",COUNTBLANK(OFFSET(A$1,,,SUMPRODUCT(MAX(ROW(E$2:E4187)*(E4187=E$2:E4187)))))-COUNTBLANK(OFFSET(A$1,,,SUMPRODUCT(MAX(ROW(E$1:E4186)*(E2=E$1:E4186))))))</f>
        <v/>
      </c>
      <c r="K4187" s="24" t="str">
        <f aca="false">IF(OR(E4187="",E4187="!!!",F4187="NEW"),"",INDEX(J$1:J4186,SUMPRODUCT(MAX(ROW(E$1:E4186)*(E4187=E$1:E4186)))))</f>
        <v/>
      </c>
      <c r="L4187" s="31"/>
    </row>
    <row r="4188" customFormat="false" ht="15" hidden="false" customHeight="false" outlineLevel="0" collapsed="false">
      <c r="A4188" s="20" t="s">
        <v>2277</v>
      </c>
      <c r="E4188" s="23" t="str">
        <f aca="false">IF(D4188="?OLD","!!!","")</f>
        <v/>
      </c>
      <c r="F4188" s="25" t="str">
        <f aca="false">IF(OR(E4188="",E4188="!!!"),"",IF(NOT(ISNA(VLOOKUP(E4188,E$1:E4187,1,FALSE()))),"OLD",IF(AND(E4188&lt;&gt;"",E4188&lt;&gt;"!!!"),"NEW","")))</f>
        <v/>
      </c>
      <c r="G4188" s="26" t="str">
        <f aca="false">IF(OR(E4188="",E4188="!!!"),"",IF(OR(J4188=0,AND(J4188=1,K4188=1),AND(J4188=1,I4188="SBJ"),AND(J4188=1,I4188=0)),"?IN_FOCUS",IF(J4188&lt;=2,"?ACTIVATED",IF(J4188&lt;&gt;"","?FAMILIAR",IF(F4188="NEW",IF(ISNA(VLOOKUP(E4188,#REF!,1,FALSE())),"?TYPE_IDENTIFIABLE","?REFERENTIAL"),"_")))))</f>
        <v/>
      </c>
      <c r="H4188" s="27" t="str">
        <f aca="false">IF(J4188&lt;&gt;1,"",IF(I4188="SBJ","CB","?"))</f>
        <v/>
      </c>
      <c r="I4188" s="24" t="str">
        <f aca="false">IF(OR(E4188="",E4188="!!!",F4188="NEW"),"",INDEX(B3:B$4186,-1+SUMPRODUCT(MAX(ROW(E3:E$4186)*(E4188=E3:E$4186)))))</f>
        <v/>
      </c>
      <c r="J4188" s="24" t="str">
        <f aca="true">IF(OR(E4188="",E4188="!!!",F4188="NEW"),"",COUNTBLANK(OFFSET(A$1,,,SUMPRODUCT(MAX(ROW(E$2:E4188)*(E4188=E$2:E4188)))))-COUNTBLANK(OFFSET(A$1,,,SUMPRODUCT(MAX(ROW(E$1:E4187)*(E2=E$1:E4187))))))</f>
        <v/>
      </c>
      <c r="K4188" s="24" t="str">
        <f aca="false">IF(OR(E4188="",E4188="!!!",F4188="NEW"),"",INDEX(J$1:J4187,SUMPRODUCT(MAX(ROW(E$1:E4187)*(E4188=E$1:E4187)))))</f>
        <v/>
      </c>
      <c r="L4188" s="31"/>
    </row>
    <row r="4189" customFormat="false" ht="15" hidden="false" customHeight="false" outlineLevel="0" collapsed="false">
      <c r="A4189" s="20" t="s">
        <v>1076</v>
      </c>
      <c r="E4189" s="23" t="str">
        <f aca="false">IF(D4189="?OLD","!!!","")</f>
        <v/>
      </c>
      <c r="F4189" s="25" t="str">
        <f aca="false">IF(OR(E4189="",E4189="!!!"),"",IF(NOT(ISNA(VLOOKUP(E4189,E$1:E4188,1,FALSE()))),"OLD",IF(AND(E4189&lt;&gt;"",E4189&lt;&gt;"!!!"),"NEW","")))</f>
        <v/>
      </c>
      <c r="G4189" s="26" t="str">
        <f aca="false">IF(OR(E4189="",E4189="!!!"),"",IF(OR(J4189=0,AND(J4189=1,K4189=1),AND(J4189=1,I4189="SBJ"),AND(J4189=1,I4189=0)),"?IN_FOCUS",IF(J4189&lt;=2,"?ACTIVATED",IF(J4189&lt;&gt;"","?FAMILIAR",IF(F4189="NEW",IF(ISNA(VLOOKUP(E4189,#REF!,1,FALSE())),"?TYPE_IDENTIFIABLE","?REFERENTIAL"),"_")))))</f>
        <v/>
      </c>
      <c r="H4189" s="27" t="str">
        <f aca="false">IF(J4189&lt;&gt;1,"",IF(I4189="SBJ","CB","?"))</f>
        <v/>
      </c>
      <c r="I4189" s="24" t="str">
        <f aca="false">IF(OR(E4189="",E4189="!!!",F4189="NEW"),"",INDEX(B4:B$4186,-1+SUMPRODUCT(MAX(ROW(E4:E$4186)*(E4189=E4:E$4186)))))</f>
        <v/>
      </c>
      <c r="J4189" s="24" t="str">
        <f aca="true">IF(OR(E4189="",E4189="!!!",F4189="NEW"),"",COUNTBLANK(OFFSET(A$1,,,SUMPRODUCT(MAX(ROW(E$2:E4189)*(E4189=E$2:E4189)))))-COUNTBLANK(OFFSET(A$1,,,SUMPRODUCT(MAX(ROW(E$1:E4188)*(E2=E$1:E4188))))))</f>
        <v/>
      </c>
      <c r="K4189" s="24" t="str">
        <f aca="false">IF(OR(E4189="",E4189="!!!",F4189="NEW"),"",INDEX(J$1:J4188,SUMPRODUCT(MAX(ROW(E$1:E4188)*(E4189=E$1:E4188)))))</f>
        <v/>
      </c>
      <c r="L4189" s="31"/>
    </row>
    <row r="4190" customFormat="false" ht="15" hidden="false" customHeight="false" outlineLevel="0" collapsed="false">
      <c r="A4190" s="20" t="s">
        <v>607</v>
      </c>
      <c r="E4190" s="23" t="str">
        <f aca="false">IF(D4190="?OLD","!!!","")</f>
        <v/>
      </c>
      <c r="F4190" s="25" t="str">
        <f aca="false">IF(OR(E4190="",E4190="!!!"),"",IF(NOT(ISNA(VLOOKUP(E4190,E$1:E4189,1,FALSE()))),"OLD",IF(AND(E4190&lt;&gt;"",E4190&lt;&gt;"!!!"),"NEW","")))</f>
        <v/>
      </c>
      <c r="G4190" s="26" t="str">
        <f aca="false">IF(OR(E4190="",E4190="!!!"),"",IF(OR(J4190=0,AND(J4190=1,K4190=1),AND(J4190=1,I4190="SBJ"),AND(J4190=1,I4190=0)),"?IN_FOCUS",IF(J4190&lt;=2,"?ACTIVATED",IF(J4190&lt;&gt;"","?FAMILIAR",IF(F4190="NEW",IF(ISNA(VLOOKUP(E4190,#REF!,1,FALSE())),"?TYPE_IDENTIFIABLE","?REFERENTIAL"),"_")))))</f>
        <v/>
      </c>
      <c r="H4190" s="27" t="str">
        <f aca="false">IF(J4190&lt;&gt;1,"",IF(I4190="SBJ","CB","?"))</f>
        <v/>
      </c>
      <c r="I4190" s="24" t="str">
        <f aca="false">IF(OR(E4190="",E4190="!!!",F4190="NEW"),"",INDEX(B5:B$4186,-1+SUMPRODUCT(MAX(ROW(E5:E$4186)*(E4190=E5:E$4186)))))</f>
        <v/>
      </c>
      <c r="J4190" s="24" t="str">
        <f aca="true">IF(OR(E4190="",E4190="!!!",F4190="NEW"),"",COUNTBLANK(OFFSET(A$1,,,SUMPRODUCT(MAX(ROW(E$2:E4190)*(E4190=E$2:E4190)))))-COUNTBLANK(OFFSET(A$1,,,SUMPRODUCT(MAX(ROW(E$1:E4189)*(E2=E$1:E4189))))))</f>
        <v/>
      </c>
      <c r="K4190" s="24" t="str">
        <f aca="false">IF(OR(E4190="",E4190="!!!",F4190="NEW"),"",INDEX(J$1:J4189,SUMPRODUCT(MAX(ROW(E$1:E4189)*(E4190=E$1:E4189)))))</f>
        <v/>
      </c>
      <c r="L4190" s="31"/>
    </row>
    <row r="4191" customFormat="false" ht="15" hidden="false" customHeight="false" outlineLevel="0" collapsed="false">
      <c r="A4191" s="20" t="s">
        <v>1194</v>
      </c>
      <c r="E4191" s="23" t="str">
        <f aca="false">IF(D4191="?OLD","!!!","")</f>
        <v/>
      </c>
      <c r="F4191" s="25" t="str">
        <f aca="false">IF(OR(E4191="",E4191="!!!"),"",IF(NOT(ISNA(VLOOKUP(E4191,E$1:E4190,1,FALSE()))),"OLD",IF(AND(E4191&lt;&gt;"",E4191&lt;&gt;"!!!"),"NEW","")))</f>
        <v/>
      </c>
      <c r="G4191" s="26" t="str">
        <f aca="false">IF(OR(E4191="",E4191="!!!"),"",IF(OR(J4191=0,AND(J4191=1,K4191=1),AND(J4191=1,I4191="SBJ"),AND(J4191=1,I4191=0)),"?IN_FOCUS",IF(J4191&lt;=2,"?ACTIVATED",IF(J4191&lt;&gt;"","?FAMILIAR",IF(F4191="NEW",IF(ISNA(VLOOKUP(E4191,#REF!,1,FALSE())),"?TYPE_IDENTIFIABLE","?REFERENTIAL"),"_")))))</f>
        <v/>
      </c>
      <c r="H4191" s="27" t="str">
        <f aca="false">IF(J4191&lt;&gt;1,"",IF(I4191="SBJ","CB","?"))</f>
        <v/>
      </c>
      <c r="I4191" s="24" t="str">
        <f aca="false">IF(OR(E4191="",E4191="!!!",F4191="NEW"),"",INDEX(B6:B$4186,-1+SUMPRODUCT(MAX(ROW(E6:E$4186)*(E4191=E6:E$4186)))))</f>
        <v/>
      </c>
      <c r="J4191" s="24" t="str">
        <f aca="true">IF(OR(E4191="",E4191="!!!",F4191="NEW"),"",COUNTBLANK(OFFSET(A$1,,,SUMPRODUCT(MAX(ROW(E$2:E4191)*(E4191=E$2:E4191)))))-COUNTBLANK(OFFSET(A$1,,,SUMPRODUCT(MAX(ROW(E$1:E4190)*(E2=E$1:E4190))))))</f>
        <v/>
      </c>
      <c r="K4191" s="24" t="str">
        <f aca="false">IF(OR(E4191="",E4191="!!!",F4191="NEW"),"",INDEX(J$1:J4190,SUMPRODUCT(MAX(ROW(E$1:E4190)*(E4191=E$1:E4190)))))</f>
        <v/>
      </c>
      <c r="L4191" s="31"/>
    </row>
    <row r="4192" customFormat="false" ht="15" hidden="false" customHeight="false" outlineLevel="0" collapsed="false">
      <c r="A4192" s="20" t="s">
        <v>1090</v>
      </c>
      <c r="B4192" s="22" t="s">
        <v>1058</v>
      </c>
      <c r="C4192" s="22" t="s">
        <v>1082</v>
      </c>
      <c r="D4192" s="22" t="s">
        <v>1060</v>
      </c>
      <c r="E4192" s="23" t="str">
        <f aca="false">IF(D4192="?OLD","!!!","")</f>
        <v>!!!</v>
      </c>
      <c r="F4192" s="25" t="str">
        <f aca="false">IF(OR(E4192="",E4192="!!!"),"",IF(NOT(ISNA(VLOOKUP(E4192,E$1:E4191,1,FALSE()))),"OLD",IF(AND(E4192&lt;&gt;"",E4192&lt;&gt;"!!!"),"NEW","")))</f>
        <v/>
      </c>
      <c r="G4192" s="26" t="str">
        <f aca="false">IF(OR(E4192="",E4192="!!!"),"",IF(OR(J4192=0,AND(J4192=1,K4192=1),AND(J4192=1,I4192="SBJ"),AND(J4192=1,I4192=0)),"?IN_FOCUS",IF(J4192&lt;=2,"?ACTIVATED",IF(J4192&lt;&gt;"","?FAMILIAR",IF(F4192="NEW",IF(ISNA(VLOOKUP(E4192,#REF!,1,FALSE())),"?TYPE_IDENTIFIABLE","?REFERENTIAL"),"_")))))</f>
        <v/>
      </c>
      <c r="H4192" s="27" t="str">
        <f aca="false">IF(J4192&lt;&gt;1,"",IF(I4192="SBJ","CB","?"))</f>
        <v/>
      </c>
      <c r="I4192" s="24" t="str">
        <f aca="false">IF(OR(E4192="",E4192="!!!",F4192="NEW"),"",INDEX(B7:B$4186,-1+SUMPRODUCT(MAX(ROW(E7:E$4186)*(E4192=E7:E$4186)))))</f>
        <v/>
      </c>
      <c r="J4192" s="24" t="str">
        <f aca="true">IF(OR(E4192="",E4192="!!!",F4192="NEW"),"",COUNTBLANK(OFFSET(A$1,,,SUMPRODUCT(MAX(ROW(E$2:E4192)*(E4192=E$2:E4192)))))-COUNTBLANK(OFFSET(A$1,,,SUMPRODUCT(MAX(ROW(E$1:E4191)*(E2=E$1:E4191))))))</f>
        <v/>
      </c>
      <c r="K4192" s="24" t="str">
        <f aca="false">IF(OR(E4192="",E4192="!!!",F4192="NEW"),"",INDEX(J$1:J4191,SUMPRODUCT(MAX(ROW(E$1:E4191)*(E4192=E$1:E4191)))))</f>
        <v/>
      </c>
      <c r="L4192" s="31"/>
    </row>
    <row r="4193" customFormat="false" ht="15" hidden="false" customHeight="false" outlineLevel="0" collapsed="false">
      <c r="A4193" s="20" t="s">
        <v>923</v>
      </c>
      <c r="E4193" s="23" t="str">
        <f aca="false">IF(D4193="?OLD","!!!","")</f>
        <v/>
      </c>
      <c r="F4193" s="25" t="str">
        <f aca="false">IF(OR(E4193="",E4193="!!!"),"",IF(NOT(ISNA(VLOOKUP(E4193,E$1:E4192,1,FALSE()))),"OLD",IF(AND(E4193&lt;&gt;"",E4193&lt;&gt;"!!!"),"NEW","")))</f>
        <v/>
      </c>
      <c r="G4193" s="26" t="str">
        <f aca="false">IF(OR(E4193="",E4193="!!!"),"",IF(OR(J4193=0,AND(J4193=1,K4193=1),AND(J4193=1,I4193="SBJ"),AND(J4193=1,I4193=0)),"?IN_FOCUS",IF(J4193&lt;=2,"?ACTIVATED",IF(J4193&lt;&gt;"","?FAMILIAR",IF(F4193="NEW",IF(ISNA(VLOOKUP(E4193,#REF!,1,FALSE())),"?TYPE_IDENTIFIABLE","?REFERENTIAL"),"_")))))</f>
        <v/>
      </c>
      <c r="H4193" s="27" t="str">
        <f aca="false">IF(J4193&lt;&gt;1,"",IF(I4193="SBJ","CB","?"))</f>
        <v/>
      </c>
      <c r="I4193" s="24" t="str">
        <f aca="false">IF(OR(E4193="",E4193="!!!",F4193="NEW"),"",INDEX(B8:B$4186,-1+SUMPRODUCT(MAX(ROW(E8:E$4186)*(E4193=E8:E$4186)))))</f>
        <v/>
      </c>
      <c r="J4193" s="24" t="str">
        <f aca="true">IF(OR(E4193="",E4193="!!!",F4193="NEW"),"",COUNTBLANK(OFFSET(A$1,,,SUMPRODUCT(MAX(ROW(E$2:E4193)*(E4193=E$2:E4193)))))-COUNTBLANK(OFFSET(A$1,,,SUMPRODUCT(MAX(ROW(E$1:E4192)*(E2=E$1:E4192))))))</f>
        <v/>
      </c>
      <c r="K4193" s="24" t="str">
        <f aca="false">IF(OR(E4193="",E4193="!!!",F4193="NEW"),"",INDEX(J$1:J4192,SUMPRODUCT(MAX(ROW(E$1:E4192)*(E4193=E$1:E4192)))))</f>
        <v/>
      </c>
      <c r="L4193" s="31"/>
    </row>
    <row r="4194" customFormat="false" ht="15" hidden="false" customHeight="false" outlineLevel="0" collapsed="false">
      <c r="A4194" s="20"/>
    </row>
    <row r="4195" customFormat="false" ht="15" hidden="false" customHeight="false" outlineLevel="0" collapsed="false">
      <c r="A4195" s="20" t="s">
        <v>1301</v>
      </c>
      <c r="E4195" s="23" t="str">
        <f aca="false">IF(D4195="?OLD","!!!","")</f>
        <v/>
      </c>
      <c r="F4195" s="25" t="str">
        <f aca="false">IF(OR(E4195="",E4195="!!!"),"",IF(NOT(ISNA(VLOOKUP(E4195,E$1:E4194,1,FALSE()))),"OLD",IF(AND(E4195&lt;&gt;"",E4195&lt;&gt;"!!!"),"NEW","")))</f>
        <v/>
      </c>
      <c r="G4195" s="26" t="str">
        <f aca="false">IF(OR(E4195="",E4195="!!!"),"",IF(OR(J4195=0,AND(J4195=1,K4195=1),AND(J4195=1,I4195="SBJ"),AND(J4195=1,I4195=0)),"?IN_FOCUS",IF(J4195&lt;=2,"?ACTIVATED",IF(J4195&lt;&gt;"","?FAMILIAR",IF(F4195="NEW",IF(ISNA(VLOOKUP(E4195,#REF!,1,FALSE())),"?TYPE_IDENTIFIABLE","?REFERENTIAL"),"_")))))</f>
        <v/>
      </c>
      <c r="H4195" s="27" t="str">
        <f aca="false">IF(J4195&lt;&gt;1,"",IF(I4195="SBJ","CB","?"))</f>
        <v/>
      </c>
      <c r="I4195" s="24" t="str">
        <f aca="false">IF(OR(E4195="",E4195="!!!",F4195="NEW"),"",INDEX(B2:B$4194,-1+SUMPRODUCT(MAX(ROW(E2:E$4194)*(E4195=E2:E$4194)))))</f>
        <v/>
      </c>
      <c r="J4195" s="24" t="str">
        <f aca="true">IF(OR(E4195="",E4195="!!!",F4195="NEW"),"",COUNTBLANK(OFFSET(A$1,,,SUMPRODUCT(MAX(ROW(E$2:E4195)*(E4195=E$2:E4195)))))-COUNTBLANK(OFFSET(A$1,,,SUMPRODUCT(MAX(ROW(E$1:E4194)*(E2=E$1:E4194))))))</f>
        <v/>
      </c>
      <c r="K4195" s="24" t="str">
        <f aca="false">IF(OR(E4195="",E4195="!!!",F4195="NEW"),"",INDEX(J$1:J4194,SUMPRODUCT(MAX(ROW(E$1:E4194)*(E4195=E$1:E4194)))))</f>
        <v/>
      </c>
      <c r="L4195" s="31"/>
    </row>
    <row r="4196" customFormat="false" ht="15" hidden="false" customHeight="false" outlineLevel="0" collapsed="false">
      <c r="A4196" s="20" t="s">
        <v>2329</v>
      </c>
    </row>
    <row r="4197" customFormat="false" ht="15" hidden="false" customHeight="false" outlineLevel="0" collapsed="false">
      <c r="A4197" s="20" t="s">
        <v>607</v>
      </c>
      <c r="E4197" s="23" t="str">
        <f aca="false">IF(D4197="?OLD","!!!","")</f>
        <v/>
      </c>
      <c r="F4197" s="25" t="str">
        <f aca="false">IF(OR(E4197="",E4197="!!!"),"",IF(NOT(ISNA(VLOOKUP(E4197,E$1:E4196,1,FALSE()))),"OLD",IF(AND(E4197&lt;&gt;"",E4197&lt;&gt;"!!!"),"NEW","")))</f>
        <v/>
      </c>
      <c r="G4197" s="26" t="str">
        <f aca="false">IF(OR(E4197="",E4197="!!!"),"",IF(OR(J4197=0,AND(J4197=1,K4197=1),AND(J4197=1,I4197="SBJ"),AND(J4197=1,I4197=0)),"?IN_FOCUS",IF(J4197&lt;=2,"?ACTIVATED",IF(J4197&lt;&gt;"","?FAMILIAR",IF(F4197="NEW",IF(ISNA(VLOOKUP(E4197,#REF!,1,FALSE())),"?TYPE_IDENTIFIABLE","?REFERENTIAL"),"_")))))</f>
        <v/>
      </c>
      <c r="H4197" s="27" t="str">
        <f aca="false">IF(J4197&lt;&gt;1,"",IF(I4197="SBJ","CB","?"))</f>
        <v/>
      </c>
      <c r="I4197" s="24" t="str">
        <f aca="false">IF(OR(E4197="",E4197="!!!",F4197="NEW"),"",INDEX(B2:B$4196,-1+SUMPRODUCT(MAX(ROW(E2:E$4196)*(E4197=E2:E$4196)))))</f>
        <v/>
      </c>
      <c r="J4197" s="24" t="str">
        <f aca="true">IF(OR(E4197="",E4197="!!!",F4197="NEW"),"",COUNTBLANK(OFFSET(A$1,,,SUMPRODUCT(MAX(ROW(E$2:E4197)*(E4197=E$2:E4197)))))-COUNTBLANK(OFFSET(A$1,,,SUMPRODUCT(MAX(ROW(E$1:E4196)*(E2=E$1:E4196))))))</f>
        <v/>
      </c>
      <c r="K4197" s="24" t="str">
        <f aca="false">IF(OR(E4197="",E4197="!!!",F4197="NEW"),"",INDEX(J$1:J4196,SUMPRODUCT(MAX(ROW(E$1:E4196)*(E4197=E$1:E4196)))))</f>
        <v/>
      </c>
      <c r="L4197" s="31"/>
    </row>
    <row r="4198" customFormat="false" ht="15" hidden="false" customHeight="false" outlineLevel="0" collapsed="false">
      <c r="A4198" s="20" t="s">
        <v>1581</v>
      </c>
      <c r="E4198" s="23" t="str">
        <f aca="false">IF(D4198="?OLD","!!!","")</f>
        <v/>
      </c>
      <c r="F4198" s="25" t="str">
        <f aca="false">IF(OR(E4198="",E4198="!!!"),"",IF(NOT(ISNA(VLOOKUP(E4198,E$1:E4197,1,FALSE()))),"OLD",IF(AND(E4198&lt;&gt;"",E4198&lt;&gt;"!!!"),"NEW","")))</f>
        <v/>
      </c>
      <c r="G4198" s="26" t="str">
        <f aca="false">IF(OR(E4198="",E4198="!!!"),"",IF(OR(J4198=0,AND(J4198=1,K4198=1),AND(J4198=1,I4198="SBJ"),AND(J4198=1,I4198=0)),"?IN_FOCUS",IF(J4198&lt;=2,"?ACTIVATED",IF(J4198&lt;&gt;"","?FAMILIAR",IF(F4198="NEW",IF(ISNA(VLOOKUP(E4198,#REF!,1,FALSE())),"?TYPE_IDENTIFIABLE","?REFERENTIAL"),"_")))))</f>
        <v/>
      </c>
      <c r="H4198" s="27" t="str">
        <f aca="false">IF(J4198&lt;&gt;1,"",IF(I4198="SBJ","CB","?"))</f>
        <v/>
      </c>
      <c r="I4198" s="24" t="str">
        <f aca="false">IF(OR(E4198="",E4198="!!!",F4198="NEW"),"",INDEX(B3:B$4196,-1+SUMPRODUCT(MAX(ROW(E3:E$4196)*(E4198=E3:E$4196)))))</f>
        <v/>
      </c>
      <c r="J4198" s="24" t="str">
        <f aca="true">IF(OR(E4198="",E4198="!!!",F4198="NEW"),"",COUNTBLANK(OFFSET(A$1,,,SUMPRODUCT(MAX(ROW(E$2:E4198)*(E4198=E$2:E4198)))))-COUNTBLANK(OFFSET(A$1,,,SUMPRODUCT(MAX(ROW(E$1:E4197)*(E2=E$1:E4197))))))</f>
        <v/>
      </c>
      <c r="K4198" s="24" t="str">
        <f aca="false">IF(OR(E4198="",E4198="!!!",F4198="NEW"),"",INDEX(J$1:J4197,SUMPRODUCT(MAX(ROW(E$1:E4197)*(E4198=E$1:E4197)))))</f>
        <v/>
      </c>
      <c r="L4198" s="31"/>
    </row>
    <row r="4199" customFormat="false" ht="15" hidden="false" customHeight="false" outlineLevel="0" collapsed="false">
      <c r="A4199" s="20" t="s">
        <v>1078</v>
      </c>
      <c r="B4199" s="22" t="s">
        <v>1058</v>
      </c>
      <c r="C4199" s="22" t="s">
        <v>1389</v>
      </c>
      <c r="E4199" s="23" t="str">
        <f aca="false">IF(D4199="?OLD","!!!","")</f>
        <v/>
      </c>
      <c r="F4199" s="25" t="str">
        <f aca="false">IF(OR(E4199="",E4199="!!!"),"",IF(NOT(ISNA(VLOOKUP(E4199,E$1:E4198,1,FALSE()))),"OLD",IF(AND(E4199&lt;&gt;"",E4199&lt;&gt;"!!!"),"NEW","")))</f>
        <v/>
      </c>
      <c r="G4199" s="26" t="str">
        <f aca="false">IF(OR(E4199="",E4199="!!!"),"",IF(OR(J4199=0,AND(J4199=1,K4199=1),AND(J4199=1,I4199="SBJ"),AND(J4199=1,I4199=0)),"?IN_FOCUS",IF(J4199&lt;=2,"?ACTIVATED",IF(J4199&lt;&gt;"","?FAMILIAR",IF(F4199="NEW",IF(ISNA(VLOOKUP(E4199,#REF!,1,FALSE())),"?TYPE_IDENTIFIABLE","?REFERENTIAL"),"_")))))</f>
        <v/>
      </c>
      <c r="H4199" s="27" t="str">
        <f aca="false">IF(J4199&lt;&gt;1,"",IF(I4199="SBJ","CB","?"))</f>
        <v/>
      </c>
      <c r="I4199" s="24" t="str">
        <f aca="false">IF(OR(E4199="",E4199="!!!",F4199="NEW"),"",INDEX(B4:B$4196,-1+SUMPRODUCT(MAX(ROW(E4:E$4196)*(E4199=E4:E$4196)))))</f>
        <v/>
      </c>
      <c r="J4199" s="24" t="str">
        <f aca="true">IF(OR(E4199="",E4199="!!!",F4199="NEW"),"",COUNTBLANK(OFFSET(A$1,,,SUMPRODUCT(MAX(ROW(E$2:E4199)*(E4199=E$2:E4199)))))-COUNTBLANK(OFFSET(A$1,,,SUMPRODUCT(MAX(ROW(E$1:E4198)*(E2=E$1:E4198))))))</f>
        <v/>
      </c>
      <c r="K4199" s="24" t="str">
        <f aca="false">IF(OR(E4199="",E4199="!!!",F4199="NEW"),"",INDEX(J$1:J4198,SUMPRODUCT(MAX(ROW(E$1:E4198)*(E4199=E$1:E4198)))))</f>
        <v/>
      </c>
      <c r="L4199" s="31"/>
    </row>
    <row r="4200" customFormat="false" ht="15" hidden="false" customHeight="false" outlineLevel="0" collapsed="false">
      <c r="A4200" s="20" t="s">
        <v>1198</v>
      </c>
      <c r="E4200" s="23" t="str">
        <f aca="false">IF(D4200="?OLD","!!!","")</f>
        <v/>
      </c>
      <c r="F4200" s="25" t="str">
        <f aca="false">IF(OR(E4200="",E4200="!!!"),"",IF(NOT(ISNA(VLOOKUP(E4200,E$1:E4199,1,FALSE()))),"OLD",IF(AND(E4200&lt;&gt;"",E4200&lt;&gt;"!!!"),"NEW","")))</f>
        <v/>
      </c>
      <c r="G4200" s="26" t="str">
        <f aca="false">IF(OR(E4200="",E4200="!!!"),"",IF(OR(J4200=0,AND(J4200=1,K4200=1),AND(J4200=1,I4200="SBJ"),AND(J4200=1,I4200=0)),"?IN_FOCUS",IF(J4200&lt;=2,"?ACTIVATED",IF(J4200&lt;&gt;"","?FAMILIAR",IF(F4200="NEW",IF(ISNA(VLOOKUP(E4200,#REF!,1,FALSE())),"?TYPE_IDENTIFIABLE","?REFERENTIAL"),"_")))))</f>
        <v/>
      </c>
      <c r="H4200" s="27" t="str">
        <f aca="false">IF(J4200&lt;&gt;1,"",IF(I4200="SBJ","CB","?"))</f>
        <v/>
      </c>
      <c r="I4200" s="24" t="str">
        <f aca="false">IF(OR(E4200="",E4200="!!!",F4200="NEW"),"",INDEX(B5:B$4196,-1+SUMPRODUCT(MAX(ROW(E5:E$4196)*(E4200=E5:E$4196)))))</f>
        <v/>
      </c>
      <c r="J4200" s="24" t="str">
        <f aca="true">IF(OR(E4200="",E4200="!!!",F4200="NEW"),"",COUNTBLANK(OFFSET(A$1,,,SUMPRODUCT(MAX(ROW(E$2:E4200)*(E4200=E$2:E4200)))))-COUNTBLANK(OFFSET(A$1,,,SUMPRODUCT(MAX(ROW(E$1:E4199)*(E2=E$1:E4199))))))</f>
        <v/>
      </c>
      <c r="K4200" s="24" t="str">
        <f aca="false">IF(OR(E4200="",E4200="!!!",F4200="NEW"),"",INDEX(J$1:J4199,SUMPRODUCT(MAX(ROW(E$1:E4199)*(E4200=E$1:E4199)))))</f>
        <v/>
      </c>
      <c r="L4200" s="31"/>
    </row>
    <row r="4201" customFormat="false" ht="15" hidden="false" customHeight="false" outlineLevel="0" collapsed="false">
      <c r="A4201" s="20" t="s">
        <v>844</v>
      </c>
      <c r="E4201" s="23" t="str">
        <f aca="false">IF(D4201="?OLD","!!!","")</f>
        <v/>
      </c>
      <c r="F4201" s="25" t="str">
        <f aca="false">IF(OR(E4201="",E4201="!!!"),"",IF(NOT(ISNA(VLOOKUP(E4201,E$1:E4200,1,FALSE()))),"OLD",IF(AND(E4201&lt;&gt;"",E4201&lt;&gt;"!!!"),"NEW","")))</f>
        <v/>
      </c>
      <c r="G4201" s="26" t="str">
        <f aca="false">IF(OR(E4201="",E4201="!!!"),"",IF(OR(J4201=0,AND(J4201=1,K4201=1),AND(J4201=1,I4201="SBJ"),AND(J4201=1,I4201=0)),"?IN_FOCUS",IF(J4201&lt;=2,"?ACTIVATED",IF(J4201&lt;&gt;"","?FAMILIAR",IF(F4201="NEW",IF(ISNA(VLOOKUP(E4201,#REF!,1,FALSE())),"?TYPE_IDENTIFIABLE","?REFERENTIAL"),"_")))))</f>
        <v/>
      </c>
      <c r="H4201" s="27" t="str">
        <f aca="false">IF(J4201&lt;&gt;1,"",IF(I4201="SBJ","CB","?"))</f>
        <v/>
      </c>
      <c r="I4201" s="24" t="str">
        <f aca="false">IF(OR(E4201="",E4201="!!!",F4201="NEW"),"",INDEX(B6:B$4196,-1+SUMPRODUCT(MAX(ROW(E6:E$4196)*(E4201=E6:E$4196)))))</f>
        <v/>
      </c>
      <c r="J4201" s="24" t="str">
        <f aca="true">IF(OR(E4201="",E4201="!!!",F4201="NEW"),"",COUNTBLANK(OFFSET(A$1,,,SUMPRODUCT(MAX(ROW(E$2:E4201)*(E4201=E$2:E4201)))))-COUNTBLANK(OFFSET(A$1,,,SUMPRODUCT(MAX(ROW(E$1:E4200)*(E2=E$1:E4200))))))</f>
        <v/>
      </c>
      <c r="K4201" s="24" t="str">
        <f aca="false">IF(OR(E4201="",E4201="!!!",F4201="NEW"),"",INDEX(J$1:J4200,SUMPRODUCT(MAX(ROW(E$1:E4200)*(E4201=E$1:E4200)))))</f>
        <v/>
      </c>
      <c r="L4201" s="31"/>
    </row>
    <row r="4202" customFormat="false" ht="15" hidden="false" customHeight="false" outlineLevel="0" collapsed="false">
      <c r="A4202" s="20" t="s">
        <v>1097</v>
      </c>
      <c r="B4202" s="22" t="s">
        <v>1073</v>
      </c>
      <c r="C4202" s="22" t="s">
        <v>1099</v>
      </c>
      <c r="D4202" s="22" t="s">
        <v>1060</v>
      </c>
      <c r="E4202" s="23" t="str">
        <f aca="false">IF(D4202="?OLD","!!!","")</f>
        <v>!!!</v>
      </c>
      <c r="F4202" s="25" t="str">
        <f aca="false">IF(OR(E4202="",E4202="!!!"),"",IF(NOT(ISNA(VLOOKUP(E4202,E$1:E4201,1,FALSE()))),"OLD",IF(AND(E4202&lt;&gt;"",E4202&lt;&gt;"!!!"),"NEW","")))</f>
        <v/>
      </c>
      <c r="G4202" s="26" t="str">
        <f aca="false">IF(OR(E4202="",E4202="!!!"),"",IF(OR(J4202=0,AND(J4202=1,K4202=1),AND(J4202=1,I4202="SBJ"),AND(J4202=1,I4202=0)),"?IN_FOCUS",IF(J4202&lt;=2,"?ACTIVATED",IF(J4202&lt;&gt;"","?FAMILIAR",IF(F4202="NEW",IF(ISNA(VLOOKUP(E4202,#REF!,1,FALSE())),"?TYPE_IDENTIFIABLE","?REFERENTIAL"),"_")))))</f>
        <v/>
      </c>
      <c r="H4202" s="27" t="str">
        <f aca="false">IF(J4202&lt;&gt;1,"",IF(I4202="SBJ","CB","?"))</f>
        <v/>
      </c>
      <c r="I4202" s="24" t="str">
        <f aca="false">IF(OR(E4202="",E4202="!!!",F4202="NEW"),"",INDEX(B7:B$4196,-1+SUMPRODUCT(MAX(ROW(E7:E$4196)*(E4202=E7:E$4196)))))</f>
        <v/>
      </c>
      <c r="J4202" s="24" t="str">
        <f aca="true">IF(OR(E4202="",E4202="!!!",F4202="NEW"),"",COUNTBLANK(OFFSET(A$1,,,SUMPRODUCT(MAX(ROW(E$2:E4202)*(E4202=E$2:E4202)))))-COUNTBLANK(OFFSET(A$1,,,SUMPRODUCT(MAX(ROW(E$1:E4201)*(E2=E$1:E4201))))))</f>
        <v/>
      </c>
      <c r="K4202" s="24" t="str">
        <f aca="false">IF(OR(E4202="",E4202="!!!",F4202="NEW"),"",INDEX(J$1:J4201,SUMPRODUCT(MAX(ROW(E$1:E4201)*(E4202=E$1:E4201)))))</f>
        <v/>
      </c>
      <c r="L4202" s="31"/>
    </row>
    <row r="4203" customFormat="false" ht="15" hidden="false" customHeight="false" outlineLevel="0" collapsed="false">
      <c r="A4203" s="20" t="s">
        <v>2330</v>
      </c>
      <c r="B4203" s="22" t="s">
        <v>1081</v>
      </c>
      <c r="C4203" s="22" t="s">
        <v>1059</v>
      </c>
      <c r="D4203" s="22" t="s">
        <v>1060</v>
      </c>
      <c r="E4203" s="23" t="str">
        <f aca="false">IF(D4203="?OLD","!!!","")</f>
        <v>!!!</v>
      </c>
      <c r="F4203" s="25" t="str">
        <f aca="false">IF(OR(E4203="",E4203="!!!"),"",IF(NOT(ISNA(VLOOKUP(E4203,E$1:E4202,1,FALSE()))),"OLD",IF(AND(E4203&lt;&gt;"",E4203&lt;&gt;"!!!"),"NEW","")))</f>
        <v/>
      </c>
      <c r="G4203" s="26" t="str">
        <f aca="false">IF(OR(E4203="",E4203="!!!"),"",IF(OR(J4203=0,AND(J4203=1,K4203=1),AND(J4203=1,I4203="SBJ"),AND(J4203=1,I4203=0)),"?IN_FOCUS",IF(J4203&lt;=2,"?ACTIVATED",IF(J4203&lt;&gt;"","?FAMILIAR",IF(F4203="NEW",IF(ISNA(VLOOKUP(E4203,#REF!,1,FALSE())),"?TYPE_IDENTIFIABLE","?REFERENTIAL"),"_")))))</f>
        <v/>
      </c>
      <c r="H4203" s="27" t="str">
        <f aca="false">IF(J4203&lt;&gt;1,"",IF(I4203="SBJ","CB","?"))</f>
        <v/>
      </c>
      <c r="I4203" s="24" t="str">
        <f aca="false">IF(OR(E4203="",E4203="!!!",F4203="NEW"),"",INDEX(B8:B$4196,-1+SUMPRODUCT(MAX(ROW(E8:E$4196)*(E4203=E8:E$4196)))))</f>
        <v/>
      </c>
      <c r="J4203" s="24" t="str">
        <f aca="true">IF(OR(E4203="",E4203="!!!",F4203="NEW"),"",COUNTBLANK(OFFSET(A$1,,,SUMPRODUCT(MAX(ROW(E$2:E4203)*(E4203=E$2:E4203)))))-COUNTBLANK(OFFSET(A$1,,,SUMPRODUCT(MAX(ROW(E$1:E4202)*(E2=E$1:E4202))))))</f>
        <v/>
      </c>
      <c r="K4203" s="24" t="str">
        <f aca="false">IF(OR(E4203="",E4203="!!!",F4203="NEW"),"",INDEX(J$1:J4202,SUMPRODUCT(MAX(ROW(E$1:E4202)*(E4203=E$1:E4202)))))</f>
        <v/>
      </c>
      <c r="L4203" s="31"/>
    </row>
    <row r="4204" customFormat="false" ht="15" hidden="false" customHeight="false" outlineLevel="0" collapsed="false">
      <c r="A4204" s="20" t="s">
        <v>1410</v>
      </c>
      <c r="E4204" s="23" t="str">
        <f aca="false">IF(D4204="?OLD","!!!","")</f>
        <v/>
      </c>
      <c r="F4204" s="25" t="str">
        <f aca="false">IF(OR(E4204="",E4204="!!!"),"",IF(NOT(ISNA(VLOOKUP(E4204,E$1:E4203,1,FALSE()))),"OLD",IF(AND(E4204&lt;&gt;"",E4204&lt;&gt;"!!!"),"NEW","")))</f>
        <v/>
      </c>
      <c r="G4204" s="26" t="str">
        <f aca="false">IF(OR(E4204="",E4204="!!!"),"",IF(OR(J4204=0,AND(J4204=1,K4204=1),AND(J4204=1,I4204="SBJ"),AND(J4204=1,I4204=0)),"?IN_FOCUS",IF(J4204&lt;=2,"?ACTIVATED",IF(J4204&lt;&gt;"","?FAMILIAR",IF(F4204="NEW",IF(ISNA(VLOOKUP(E4204,#REF!,1,FALSE())),"?TYPE_IDENTIFIABLE","?REFERENTIAL"),"_")))))</f>
        <v/>
      </c>
      <c r="H4204" s="27" t="str">
        <f aca="false">IF(J4204&lt;&gt;1,"",IF(I4204="SBJ","CB","?"))</f>
        <v/>
      </c>
      <c r="I4204" s="24" t="str">
        <f aca="false">IF(OR(E4204="",E4204="!!!",F4204="NEW"),"",INDEX(B9:B$4196,-1+SUMPRODUCT(MAX(ROW(E9:E$4196)*(E4204=E9:E$4196)))))</f>
        <v/>
      </c>
      <c r="J4204" s="24" t="str">
        <f aca="true">IF(OR(E4204="",E4204="!!!",F4204="NEW"),"",COUNTBLANK(OFFSET(A$1,,,SUMPRODUCT(MAX(ROW(E$2:E4204)*(E4204=E$2:E4204)))))-COUNTBLANK(OFFSET(A$1,,,SUMPRODUCT(MAX(ROW(E$1:E4203)*(E2=E$1:E4203))))))</f>
        <v/>
      </c>
      <c r="K4204" s="24" t="str">
        <f aca="false">IF(OR(E4204="",E4204="!!!",F4204="NEW"),"",INDEX(J$1:J4203,SUMPRODUCT(MAX(ROW(E$1:E4203)*(E4204=E$1:E4203)))))</f>
        <v/>
      </c>
      <c r="L4204" s="31"/>
    </row>
    <row r="4205" customFormat="false" ht="15" hidden="false" customHeight="false" outlineLevel="0" collapsed="false">
      <c r="A4205" s="20" t="s">
        <v>1109</v>
      </c>
      <c r="E4205" s="23" t="str">
        <f aca="false">IF(D4205="?OLD","!!!","")</f>
        <v/>
      </c>
      <c r="F4205" s="25" t="str">
        <f aca="false">IF(OR(E4205="",E4205="!!!"),"",IF(NOT(ISNA(VLOOKUP(E4205,E$1:E4204,1,FALSE()))),"OLD",IF(AND(E4205&lt;&gt;"",E4205&lt;&gt;"!!!"),"NEW","")))</f>
        <v/>
      </c>
      <c r="G4205" s="26" t="str">
        <f aca="false">IF(OR(E4205="",E4205="!!!"),"",IF(OR(J4205=0,AND(J4205=1,K4205=1),AND(J4205=1,I4205="SBJ"),AND(J4205=1,I4205=0)),"?IN_FOCUS",IF(J4205&lt;=2,"?ACTIVATED",IF(J4205&lt;&gt;"","?FAMILIAR",IF(F4205="NEW",IF(ISNA(VLOOKUP(E4205,#REF!,1,FALSE())),"?TYPE_IDENTIFIABLE","?REFERENTIAL"),"_")))))</f>
        <v/>
      </c>
      <c r="H4205" s="27" t="str">
        <f aca="false">IF(J4205&lt;&gt;1,"",IF(I4205="SBJ","CB","?"))</f>
        <v/>
      </c>
      <c r="I4205" s="24" t="str">
        <f aca="false">IF(OR(E4205="",E4205="!!!",F4205="NEW"),"",INDEX(B10:B$4196,-1+SUMPRODUCT(MAX(ROW(E10:E$4196)*(E4205=E10:E$4196)))))</f>
        <v/>
      </c>
      <c r="J4205" s="24" t="str">
        <f aca="true">IF(OR(E4205="",E4205="!!!",F4205="NEW"),"",COUNTBLANK(OFFSET(A$1,,,SUMPRODUCT(MAX(ROW(E$2:E4205)*(E4205=E$2:E4205)))))-COUNTBLANK(OFFSET(A$1,,,SUMPRODUCT(MAX(ROW(E$1:E4204)*(E2=E$1:E4204))))))</f>
        <v/>
      </c>
      <c r="K4205" s="24" t="str">
        <f aca="false">IF(OR(E4205="",E4205="!!!",F4205="NEW"),"",INDEX(J$1:J4204,SUMPRODUCT(MAX(ROW(E$1:E4204)*(E4205=E$1:E4204)))))</f>
        <v/>
      </c>
      <c r="L4205" s="31"/>
    </row>
    <row r="4206" customFormat="false" ht="15" hidden="false" customHeight="false" outlineLevel="0" collapsed="false">
      <c r="A4206" s="20" t="s">
        <v>1361</v>
      </c>
      <c r="E4206" s="23" t="str">
        <f aca="false">IF(D4206="?OLD","!!!","")</f>
        <v/>
      </c>
      <c r="F4206" s="25" t="str">
        <f aca="false">IF(OR(E4206="",E4206="!!!"),"",IF(NOT(ISNA(VLOOKUP(E4206,E$1:E4205,1,FALSE()))),"OLD",IF(AND(E4206&lt;&gt;"",E4206&lt;&gt;"!!!"),"NEW","")))</f>
        <v/>
      </c>
      <c r="G4206" s="26" t="str">
        <f aca="false">IF(OR(E4206="",E4206="!!!"),"",IF(OR(J4206=0,AND(J4206=1,K4206=1),AND(J4206=1,I4206="SBJ"),AND(J4206=1,I4206=0)),"?IN_FOCUS",IF(J4206&lt;=2,"?ACTIVATED",IF(J4206&lt;&gt;"","?FAMILIAR",IF(F4206="NEW",IF(ISNA(VLOOKUP(E4206,#REF!,1,FALSE())),"?TYPE_IDENTIFIABLE","?REFERENTIAL"),"_")))))</f>
        <v/>
      </c>
      <c r="H4206" s="27" t="str">
        <f aca="false">IF(J4206&lt;&gt;1,"",IF(I4206="SBJ","CB","?"))</f>
        <v/>
      </c>
      <c r="I4206" s="24" t="str">
        <f aca="false">IF(OR(E4206="",E4206="!!!",F4206="NEW"),"",INDEX(B11:B$4196,-1+SUMPRODUCT(MAX(ROW(E11:E$4196)*(E4206=E11:E$4196)))))</f>
        <v/>
      </c>
      <c r="J4206" s="24" t="str">
        <f aca="true">IF(OR(E4206="",E4206="!!!",F4206="NEW"),"",COUNTBLANK(OFFSET(A$1,,,SUMPRODUCT(MAX(ROW(E$2:E4206)*(E4206=E$2:E4206)))))-COUNTBLANK(OFFSET(A$1,,,SUMPRODUCT(MAX(ROW(E$1:E4205)*(E2=E$1:E4205))))))</f>
        <v/>
      </c>
      <c r="K4206" s="24" t="str">
        <f aca="false">IF(OR(E4206="",E4206="!!!",F4206="NEW"),"",INDEX(J$1:J4205,SUMPRODUCT(MAX(ROW(E$1:E4205)*(E4206=E$1:E4205)))))</f>
        <v/>
      </c>
      <c r="L4206" s="31"/>
    </row>
    <row r="4207" customFormat="false" ht="15" hidden="false" customHeight="false" outlineLevel="0" collapsed="false">
      <c r="A4207" s="20" t="s">
        <v>1362</v>
      </c>
      <c r="B4207" s="22" t="s">
        <v>1105</v>
      </c>
      <c r="C4207" s="22" t="s">
        <v>1068</v>
      </c>
      <c r="D4207" s="22" t="s">
        <v>1060</v>
      </c>
      <c r="E4207" s="23" t="str">
        <f aca="false">IF(D4207="?OLD","!!!","")</f>
        <v>!!!</v>
      </c>
      <c r="F4207" s="25" t="str">
        <f aca="false">IF(OR(E4207="",E4207="!!!"),"",IF(NOT(ISNA(VLOOKUP(E4207,E$1:E4206,1,FALSE()))),"OLD",IF(AND(E4207&lt;&gt;"",E4207&lt;&gt;"!!!"),"NEW","")))</f>
        <v/>
      </c>
      <c r="G4207" s="26" t="str">
        <f aca="false">IF(OR(E4207="",E4207="!!!"),"",IF(OR(J4207=0,AND(J4207=1,K4207=1),AND(J4207=1,I4207="SBJ"),AND(J4207=1,I4207=0)),"?IN_FOCUS",IF(J4207&lt;=2,"?ACTIVATED",IF(J4207&lt;&gt;"","?FAMILIAR",IF(F4207="NEW",IF(ISNA(VLOOKUP(E4207,#REF!,1,FALSE())),"?TYPE_IDENTIFIABLE","?REFERENTIAL"),"_")))))</f>
        <v/>
      </c>
      <c r="H4207" s="27" t="str">
        <f aca="false">IF(J4207&lt;&gt;1,"",IF(I4207="SBJ","CB","?"))</f>
        <v/>
      </c>
      <c r="I4207" s="24" t="str">
        <f aca="false">IF(OR(E4207="",E4207="!!!",F4207="NEW"),"",INDEX(B12:B$4196,-1+SUMPRODUCT(MAX(ROW(E12:E$4196)*(E4207=E12:E$4196)))))</f>
        <v/>
      </c>
      <c r="J4207" s="24" t="str">
        <f aca="true">IF(OR(E4207="",E4207="!!!",F4207="NEW"),"",COUNTBLANK(OFFSET(A$1,,,SUMPRODUCT(MAX(ROW(E$2:E4207)*(E4207=E$2:E4207)))))-COUNTBLANK(OFFSET(A$1,,,SUMPRODUCT(MAX(ROW(E$1:E4206)*(E2=E$1:E4206))))))</f>
        <v/>
      </c>
      <c r="K4207" s="24" t="str">
        <f aca="false">IF(OR(E4207="",E4207="!!!",F4207="NEW"),"",INDEX(J$1:J4206,SUMPRODUCT(MAX(ROW(E$1:E4206)*(E4207=E$1:E4206)))))</f>
        <v/>
      </c>
      <c r="L4207" s="31"/>
    </row>
    <row r="4208" customFormat="false" ht="15" hidden="false" customHeight="false" outlineLevel="0" collapsed="false">
      <c r="A4208" s="20" t="s">
        <v>1095</v>
      </c>
      <c r="E4208" s="23" t="str">
        <f aca="false">IF(D4208="?OLD","!!!","")</f>
        <v/>
      </c>
      <c r="F4208" s="25" t="str">
        <f aca="false">IF(OR(E4208="",E4208="!!!"),"",IF(NOT(ISNA(VLOOKUP(E4208,E$1:E4207,1,FALSE()))),"OLD",IF(AND(E4208&lt;&gt;"",E4208&lt;&gt;"!!!"),"NEW","")))</f>
        <v/>
      </c>
      <c r="G4208" s="26" t="str">
        <f aca="false">IF(OR(E4208="",E4208="!!!"),"",IF(OR(J4208=0,AND(J4208=1,K4208=1),AND(J4208=1,I4208="SBJ"),AND(J4208=1,I4208=0)),"?IN_FOCUS",IF(J4208&lt;=2,"?ACTIVATED",IF(J4208&lt;&gt;"","?FAMILIAR",IF(F4208="NEW",IF(ISNA(VLOOKUP(E4208,#REF!,1,FALSE())),"?TYPE_IDENTIFIABLE","?REFERENTIAL"),"_")))))</f>
        <v/>
      </c>
      <c r="H4208" s="27" t="str">
        <f aca="false">IF(J4208&lt;&gt;1,"",IF(I4208="SBJ","CB","?"))</f>
        <v/>
      </c>
      <c r="I4208" s="24" t="str">
        <f aca="false">IF(OR(E4208="",E4208="!!!",F4208="NEW"),"",INDEX(B13:B$4196,-1+SUMPRODUCT(MAX(ROW(E13:E$4196)*(E4208=E13:E$4196)))))</f>
        <v/>
      </c>
      <c r="J4208" s="24" t="str">
        <f aca="true">IF(OR(E4208="",E4208="!!!",F4208="NEW"),"",COUNTBLANK(OFFSET(A$1,,,SUMPRODUCT(MAX(ROW(E$2:E4208)*(E4208=E$2:E4208)))))-COUNTBLANK(OFFSET(A$1,,,SUMPRODUCT(MAX(ROW(E$1:E4207)*(E2=E$1:E4207))))))</f>
        <v/>
      </c>
      <c r="K4208" s="24" t="str">
        <f aca="false">IF(OR(E4208="",E4208="!!!",F4208="NEW"),"",INDEX(J$1:J4207,SUMPRODUCT(MAX(ROW(E$1:E4207)*(E4208=E$1:E4207)))))</f>
        <v/>
      </c>
      <c r="L4208" s="31"/>
    </row>
    <row r="4209" customFormat="false" ht="15" hidden="false" customHeight="false" outlineLevel="0" collapsed="false">
      <c r="A4209" s="20" t="s">
        <v>16</v>
      </c>
      <c r="E4209" s="23" t="str">
        <f aca="false">IF(D4209="?OLD","!!!","")</f>
        <v/>
      </c>
      <c r="F4209" s="25" t="str">
        <f aca="false">IF(OR(E4209="",E4209="!!!"),"",IF(NOT(ISNA(VLOOKUP(E4209,E$1:E4208,1,FALSE()))),"OLD",IF(AND(E4209&lt;&gt;"",E4209&lt;&gt;"!!!"),"NEW","")))</f>
        <v/>
      </c>
      <c r="G4209" s="26" t="str">
        <f aca="false">IF(OR(E4209="",E4209="!!!"),"",IF(OR(J4209=0,AND(J4209=1,K4209=1),AND(J4209=1,I4209="SBJ"),AND(J4209=1,I4209=0)),"?IN_FOCUS",IF(J4209&lt;=2,"?ACTIVATED",IF(J4209&lt;&gt;"","?FAMILIAR",IF(F4209="NEW",IF(ISNA(VLOOKUP(E4209,#REF!,1,FALSE())),"?TYPE_IDENTIFIABLE","?REFERENTIAL"),"_")))))</f>
        <v/>
      </c>
      <c r="H4209" s="27" t="str">
        <f aca="false">IF(J4209&lt;&gt;1,"",IF(I4209="SBJ","CB","?"))</f>
        <v/>
      </c>
      <c r="I4209" s="24" t="str">
        <f aca="false">IF(OR(E4209="",E4209="!!!",F4209="NEW"),"",INDEX(B14:B$4196,-1+SUMPRODUCT(MAX(ROW(E14:E$4196)*(E4209=E14:E$4196)))))</f>
        <v/>
      </c>
      <c r="J4209" s="24" t="str">
        <f aca="true">IF(OR(E4209="",E4209="!!!",F4209="NEW"),"",COUNTBLANK(OFFSET(A$1,,,SUMPRODUCT(MAX(ROW(E$2:E4209)*(E4209=E$2:E4209)))))-COUNTBLANK(OFFSET(A$1,,,SUMPRODUCT(MAX(ROW(E$1:E4208)*(E2=E$1:E4208))))))</f>
        <v/>
      </c>
      <c r="K4209" s="24" t="str">
        <f aca="false">IF(OR(E4209="",E4209="!!!",F4209="NEW"),"",INDEX(J$1:J4208,SUMPRODUCT(MAX(ROW(E$1:E4208)*(E4209=E$1:E4208)))))</f>
        <v/>
      </c>
      <c r="L4209" s="31"/>
    </row>
    <row r="4210" customFormat="false" ht="15" hidden="false" customHeight="false" outlineLevel="0" collapsed="false">
      <c r="A4210" s="20" t="s">
        <v>1643</v>
      </c>
      <c r="B4210" s="22" t="s">
        <v>1105</v>
      </c>
      <c r="C4210" s="22" t="s">
        <v>1160</v>
      </c>
      <c r="E4210" s="23" t="str">
        <f aca="false">IF(D4210="?OLD","!!!","")</f>
        <v/>
      </c>
      <c r="F4210" s="25" t="str">
        <f aca="false">IF(OR(E4210="",E4210="!!!"),"",IF(NOT(ISNA(VLOOKUP(E4210,E$1:E4209,1,FALSE()))),"OLD",IF(AND(E4210&lt;&gt;"",E4210&lt;&gt;"!!!"),"NEW","")))</f>
        <v/>
      </c>
      <c r="G4210" s="26" t="str">
        <f aca="false">IF(OR(E4210="",E4210="!!!"),"",IF(OR(J4210=0,AND(J4210=1,K4210=1),AND(J4210=1,I4210="SBJ"),AND(J4210=1,I4210=0)),"?IN_FOCUS",IF(J4210&lt;=2,"?ACTIVATED",IF(J4210&lt;&gt;"","?FAMILIAR",IF(F4210="NEW",IF(ISNA(VLOOKUP(E4210,#REF!,1,FALSE())),"?TYPE_IDENTIFIABLE","?REFERENTIAL"),"_")))))</f>
        <v/>
      </c>
      <c r="H4210" s="27" t="str">
        <f aca="false">IF(J4210&lt;&gt;1,"",IF(I4210="SBJ","CB","?"))</f>
        <v/>
      </c>
      <c r="I4210" s="24" t="str">
        <f aca="false">IF(OR(E4210="",E4210="!!!",F4210="NEW"),"",INDEX(B15:B$4196,-1+SUMPRODUCT(MAX(ROW(E15:E$4196)*(E4210=E15:E$4196)))))</f>
        <v/>
      </c>
      <c r="J4210" s="24" t="str">
        <f aca="true">IF(OR(E4210="",E4210="!!!",F4210="NEW"),"",COUNTBLANK(OFFSET(A$1,,,SUMPRODUCT(MAX(ROW(E$2:E4210)*(E4210=E$2:E4210)))))-COUNTBLANK(OFFSET(A$1,,,SUMPRODUCT(MAX(ROW(E$1:E4209)*(E2=E$1:E4209))))))</f>
        <v/>
      </c>
      <c r="K4210" s="24" t="str">
        <f aca="false">IF(OR(E4210="",E4210="!!!",F4210="NEW"),"",INDEX(J$1:J4209,SUMPRODUCT(MAX(ROW(E$1:E4209)*(E4210=E$1:E4209)))))</f>
        <v/>
      </c>
      <c r="L4210" s="31"/>
    </row>
    <row r="4211" customFormat="false" ht="15" hidden="false" customHeight="false" outlineLevel="0" collapsed="false">
      <c r="A4211" s="20" t="s">
        <v>923</v>
      </c>
      <c r="E4211" s="23" t="str">
        <f aca="false">IF(D4211="?OLD","!!!","")</f>
        <v/>
      </c>
      <c r="F4211" s="25" t="str">
        <f aca="false">IF(OR(E4211="",E4211="!!!"),"",IF(NOT(ISNA(VLOOKUP(E4211,E$1:E4210,1,FALSE()))),"OLD",IF(AND(E4211&lt;&gt;"",E4211&lt;&gt;"!!!"),"NEW","")))</f>
        <v/>
      </c>
      <c r="G4211" s="26" t="str">
        <f aca="false">IF(OR(E4211="",E4211="!!!"),"",IF(OR(J4211=0,AND(J4211=1,K4211=1),AND(J4211=1,I4211="SBJ"),AND(J4211=1,I4211=0)),"?IN_FOCUS",IF(J4211&lt;=2,"?ACTIVATED",IF(J4211&lt;&gt;"","?FAMILIAR",IF(F4211="NEW",IF(ISNA(VLOOKUP(E4211,#REF!,1,FALSE())),"?TYPE_IDENTIFIABLE","?REFERENTIAL"),"_")))))</f>
        <v/>
      </c>
      <c r="H4211" s="27" t="str">
        <f aca="false">IF(J4211&lt;&gt;1,"",IF(I4211="SBJ","CB","?"))</f>
        <v/>
      </c>
      <c r="I4211" s="24" t="str">
        <f aca="false">IF(OR(E4211="",E4211="!!!",F4211="NEW"),"",INDEX(B16:B$4196,-1+SUMPRODUCT(MAX(ROW(E16:E$4196)*(E4211=E16:E$4196)))))</f>
        <v/>
      </c>
      <c r="J4211" s="24" t="str">
        <f aca="true">IF(OR(E4211="",E4211="!!!",F4211="NEW"),"",COUNTBLANK(OFFSET(A$1,,,SUMPRODUCT(MAX(ROW(E$2:E4211)*(E4211=E$2:E4211)))))-COUNTBLANK(OFFSET(A$1,,,SUMPRODUCT(MAX(ROW(E$1:E4210)*(E2=E$1:E4210))))))</f>
        <v/>
      </c>
      <c r="K4211" s="24" t="str">
        <f aca="false">IF(OR(E4211="",E4211="!!!",F4211="NEW"),"",INDEX(J$1:J4210,SUMPRODUCT(MAX(ROW(E$1:E4210)*(E4211=E$1:E4210)))))</f>
        <v/>
      </c>
      <c r="L4211" s="31"/>
    </row>
    <row r="4212" customFormat="false" ht="15" hidden="false" customHeight="false" outlineLevel="0" collapsed="false">
      <c r="A4212" s="20" t="s">
        <v>607</v>
      </c>
      <c r="E4212" s="23" t="str">
        <f aca="false">IF(D4212="?OLD","!!!","")</f>
        <v/>
      </c>
      <c r="F4212" s="25" t="str">
        <f aca="false">IF(OR(E4212="",E4212="!!!"),"",IF(NOT(ISNA(VLOOKUP(E4212,E$1:E4211,1,FALSE()))),"OLD",IF(AND(E4212&lt;&gt;"",E4212&lt;&gt;"!!!"),"NEW","")))</f>
        <v/>
      </c>
      <c r="G4212" s="26" t="str">
        <f aca="false">IF(OR(E4212="",E4212="!!!"),"",IF(OR(J4212=0,AND(J4212=1,K4212=1),AND(J4212=1,I4212="SBJ"),AND(J4212=1,I4212=0)),"?IN_FOCUS",IF(J4212&lt;=2,"?ACTIVATED",IF(J4212&lt;&gt;"","?FAMILIAR",IF(F4212="NEW",IF(ISNA(VLOOKUP(E4212,#REF!,1,FALSE())),"?TYPE_IDENTIFIABLE","?REFERENTIAL"),"_")))))</f>
        <v/>
      </c>
      <c r="H4212" s="27" t="str">
        <f aca="false">IF(J4212&lt;&gt;1,"",IF(I4212="SBJ","CB","?"))</f>
        <v/>
      </c>
      <c r="I4212" s="24" t="str">
        <f aca="false">IF(OR(E4212="",E4212="!!!",F4212="NEW"),"",INDEX(B17:B$4196,-1+SUMPRODUCT(MAX(ROW(E17:E$4196)*(E4212=E17:E$4196)))))</f>
        <v/>
      </c>
      <c r="J4212" s="24" t="str">
        <f aca="true">IF(OR(E4212="",E4212="!!!",F4212="NEW"),"",COUNTBLANK(OFFSET(A$1,,,SUMPRODUCT(MAX(ROW(E$2:E4212)*(E4212=E$2:E4212)))))-COUNTBLANK(OFFSET(A$1,,,SUMPRODUCT(MAX(ROW(E$1:E4211)*(E2=E$1:E4211))))))</f>
        <v/>
      </c>
      <c r="K4212" s="24" t="str">
        <f aca="false">IF(OR(E4212="",E4212="!!!",F4212="NEW"),"",INDEX(J$1:J4211,SUMPRODUCT(MAX(ROW(E$1:E4211)*(E4212=E$1:E4211)))))</f>
        <v/>
      </c>
      <c r="L4212" s="31"/>
    </row>
    <row r="4213" customFormat="false" ht="15" hidden="false" customHeight="false" outlineLevel="0" collapsed="false">
      <c r="A4213" s="20"/>
    </row>
    <row r="4214" customFormat="false" ht="15" hidden="false" customHeight="false" outlineLevel="0" collapsed="false">
      <c r="A4214" s="20" t="s">
        <v>2331</v>
      </c>
    </row>
    <row r="4215" customFormat="false" ht="15" hidden="false" customHeight="false" outlineLevel="0" collapsed="false">
      <c r="A4215" s="20" t="s">
        <v>2248</v>
      </c>
      <c r="B4215" s="22" t="s">
        <v>1058</v>
      </c>
      <c r="C4215" s="22" t="s">
        <v>1082</v>
      </c>
      <c r="D4215" s="22" t="s">
        <v>1060</v>
      </c>
      <c r="E4215" s="23" t="str">
        <f aca="false">IF(D4215="?OLD","!!!","")</f>
        <v>!!!</v>
      </c>
      <c r="F4215" s="25" t="str">
        <f aca="false">IF(OR(E4215="",E4215="!!!"),"",IF(NOT(ISNA(VLOOKUP(E4215,E$1:E4214,1,FALSE()))),"OLD",IF(AND(E4215&lt;&gt;"",E4215&lt;&gt;"!!!"),"NEW","")))</f>
        <v/>
      </c>
      <c r="G4215" s="26" t="str">
        <f aca="false">IF(OR(E4215="",E4215="!!!"),"",IF(OR(J4215=0,AND(J4215=1,K4215=1),AND(J4215=1,I4215="SBJ"),AND(J4215=1,I4215=0)),"?IN_FOCUS",IF(J4215&lt;=2,"?ACTIVATED",IF(J4215&lt;&gt;"","?FAMILIAR",IF(F4215="NEW",IF(ISNA(VLOOKUP(E4215,#REF!,1,FALSE())),"?TYPE_IDENTIFIABLE","?REFERENTIAL"),"_")))))</f>
        <v/>
      </c>
      <c r="H4215" s="27" t="str">
        <f aca="false">IF(J4215&lt;&gt;1,"",IF(I4215="SBJ","CB","?"))</f>
        <v/>
      </c>
      <c r="I4215" s="24" t="str">
        <f aca="false">IF(OR(E4215="",E4215="!!!",F4215="NEW"),"",INDEX(B2:B$4214,-1+SUMPRODUCT(MAX(ROW(E2:E$4214)*(E4215=E2:E$4214)))))</f>
        <v/>
      </c>
      <c r="J4215" s="24" t="str">
        <f aca="true">IF(OR(E4215="",E4215="!!!",F4215="NEW"),"",COUNTBLANK(OFFSET(A$1,,,SUMPRODUCT(MAX(ROW(E$2:E4215)*(E4215=E$2:E4215)))))-COUNTBLANK(OFFSET(A$1,,,SUMPRODUCT(MAX(ROW(E$1:E4214)*(E2=E$1:E4214))))))</f>
        <v/>
      </c>
      <c r="K4215" s="24" t="str">
        <f aca="false">IF(OR(E4215="",E4215="!!!",F4215="NEW"),"",INDEX(J$1:J4214,SUMPRODUCT(MAX(ROW(E$1:E4214)*(E4215=E$1:E4214)))))</f>
        <v/>
      </c>
      <c r="L4215" s="31"/>
    </row>
    <row r="4216" customFormat="false" ht="15" hidden="false" customHeight="false" outlineLevel="0" collapsed="false">
      <c r="A4216" s="20" t="s">
        <v>2332</v>
      </c>
      <c r="E4216" s="23" t="str">
        <f aca="false">IF(D4216="?OLD","!!!","")</f>
        <v/>
      </c>
      <c r="F4216" s="25" t="str">
        <f aca="false">IF(OR(E4216="",E4216="!!!"),"",IF(NOT(ISNA(VLOOKUP(E4216,E$1:E4215,1,FALSE()))),"OLD",IF(AND(E4216&lt;&gt;"",E4216&lt;&gt;"!!!"),"NEW","")))</f>
        <v/>
      </c>
      <c r="G4216" s="26" t="str">
        <f aca="false">IF(OR(E4216="",E4216="!!!"),"",IF(OR(J4216=0,AND(J4216=1,K4216=1),AND(J4216=1,I4216="SBJ"),AND(J4216=1,I4216=0)),"?IN_FOCUS",IF(J4216&lt;=2,"?ACTIVATED",IF(J4216&lt;&gt;"","?FAMILIAR",IF(F4216="NEW",IF(ISNA(VLOOKUP(E4216,#REF!,1,FALSE())),"?TYPE_IDENTIFIABLE","?REFERENTIAL"),"_")))))</f>
        <v/>
      </c>
      <c r="H4216" s="27" t="str">
        <f aca="false">IF(J4216&lt;&gt;1,"",IF(I4216="SBJ","CB","?"))</f>
        <v/>
      </c>
      <c r="I4216" s="24" t="str">
        <f aca="false">IF(OR(E4216="",E4216="!!!",F4216="NEW"),"",INDEX(B3:B$4214,-1+SUMPRODUCT(MAX(ROW(E3:E$4214)*(E4216=E3:E$4214)))))</f>
        <v/>
      </c>
      <c r="J4216" s="24" t="str">
        <f aca="true">IF(OR(E4216="",E4216="!!!",F4216="NEW"),"",COUNTBLANK(OFFSET(A$1,,,SUMPRODUCT(MAX(ROW(E$2:E4216)*(E4216=E$2:E4216)))))-COUNTBLANK(OFFSET(A$1,,,SUMPRODUCT(MAX(ROW(E$1:E4215)*(E2=E$1:E4215))))))</f>
        <v/>
      </c>
      <c r="K4216" s="24" t="str">
        <f aca="false">IF(OR(E4216="",E4216="!!!",F4216="NEW"),"",INDEX(J$1:J4215,SUMPRODUCT(MAX(ROW(E$1:E4215)*(E4216=E$1:E4215)))))</f>
        <v/>
      </c>
      <c r="L4216" s="31"/>
    </row>
    <row r="4217" customFormat="false" ht="15" hidden="false" customHeight="false" outlineLevel="0" collapsed="false">
      <c r="A4217" s="20" t="s">
        <v>1128</v>
      </c>
      <c r="E4217" s="23" t="str">
        <f aca="false">IF(D4217="?OLD","!!!","")</f>
        <v/>
      </c>
      <c r="F4217" s="25" t="str">
        <f aca="false">IF(OR(E4217="",E4217="!!!"),"",IF(NOT(ISNA(VLOOKUP(E4217,E$1:E4216,1,FALSE()))),"OLD",IF(AND(E4217&lt;&gt;"",E4217&lt;&gt;"!!!"),"NEW","")))</f>
        <v/>
      </c>
      <c r="G4217" s="26" t="str">
        <f aca="false">IF(OR(E4217="",E4217="!!!"),"",IF(OR(J4217=0,AND(J4217=1,K4217=1),AND(J4217=1,I4217="SBJ"),AND(J4217=1,I4217=0)),"?IN_FOCUS",IF(J4217&lt;=2,"?ACTIVATED",IF(J4217&lt;&gt;"","?FAMILIAR",IF(F4217="NEW",IF(ISNA(VLOOKUP(E4217,#REF!,1,FALSE())),"?TYPE_IDENTIFIABLE","?REFERENTIAL"),"_")))))</f>
        <v/>
      </c>
      <c r="H4217" s="27" t="str">
        <f aca="false">IF(J4217&lt;&gt;1,"",IF(I4217="SBJ","CB","?"))</f>
        <v/>
      </c>
      <c r="I4217" s="24" t="str">
        <f aca="false">IF(OR(E4217="",E4217="!!!",F4217="NEW"),"",INDEX(B4:B$4214,-1+SUMPRODUCT(MAX(ROW(E4:E$4214)*(E4217=E4:E$4214)))))</f>
        <v/>
      </c>
      <c r="J4217" s="24" t="str">
        <f aca="true">IF(OR(E4217="",E4217="!!!",F4217="NEW"),"",COUNTBLANK(OFFSET(A$1,,,SUMPRODUCT(MAX(ROW(E$2:E4217)*(E4217=E$2:E4217)))))-COUNTBLANK(OFFSET(A$1,,,SUMPRODUCT(MAX(ROW(E$1:E4216)*(E2=E$1:E4216))))))</f>
        <v/>
      </c>
      <c r="K4217" s="24" t="str">
        <f aca="false">IF(OR(E4217="",E4217="!!!",F4217="NEW"),"",INDEX(J$1:J4216,SUMPRODUCT(MAX(ROW(E$1:E4216)*(E4217=E$1:E4216)))))</f>
        <v/>
      </c>
      <c r="L4217" s="31"/>
    </row>
    <row r="4218" customFormat="false" ht="15" hidden="false" customHeight="false" outlineLevel="0" collapsed="false">
      <c r="A4218" s="20" t="s">
        <v>1765</v>
      </c>
      <c r="E4218" s="23" t="str">
        <f aca="false">IF(D4218="?OLD","!!!","")</f>
        <v/>
      </c>
      <c r="F4218" s="25" t="str">
        <f aca="false">IF(OR(E4218="",E4218="!!!"),"",IF(NOT(ISNA(VLOOKUP(E4218,E$1:E4217,1,FALSE()))),"OLD",IF(AND(E4218&lt;&gt;"",E4218&lt;&gt;"!!!"),"NEW","")))</f>
        <v/>
      </c>
      <c r="G4218" s="26" t="str">
        <f aca="false">IF(OR(E4218="",E4218="!!!"),"",IF(OR(J4218=0,AND(J4218=1,K4218=1),AND(J4218=1,I4218="SBJ"),AND(J4218=1,I4218=0)),"?IN_FOCUS",IF(J4218&lt;=2,"?ACTIVATED",IF(J4218&lt;&gt;"","?FAMILIAR",IF(F4218="NEW",IF(ISNA(VLOOKUP(E4218,#REF!,1,FALSE())),"?TYPE_IDENTIFIABLE","?REFERENTIAL"),"_")))))</f>
        <v/>
      </c>
      <c r="H4218" s="27" t="str">
        <f aca="false">IF(J4218&lt;&gt;1,"",IF(I4218="SBJ","CB","?"))</f>
        <v/>
      </c>
      <c r="I4218" s="24" t="str">
        <f aca="false">IF(OR(E4218="",E4218="!!!",F4218="NEW"),"",INDEX(B5:B$4214,-1+SUMPRODUCT(MAX(ROW(E5:E$4214)*(E4218=E5:E$4214)))))</f>
        <v/>
      </c>
      <c r="J4218" s="24" t="str">
        <f aca="true">IF(OR(E4218="",E4218="!!!",F4218="NEW"),"",COUNTBLANK(OFFSET(A$1,,,SUMPRODUCT(MAX(ROW(E$2:E4218)*(E4218=E$2:E4218)))))-COUNTBLANK(OFFSET(A$1,,,SUMPRODUCT(MAX(ROW(E$1:E4217)*(E2=E$1:E4217))))))</f>
        <v/>
      </c>
      <c r="K4218" s="24" t="str">
        <f aca="false">IF(OR(E4218="",E4218="!!!",F4218="NEW"),"",INDEX(J$1:J4217,SUMPRODUCT(MAX(ROW(E$1:E4217)*(E4218=E$1:E4217)))))</f>
        <v/>
      </c>
      <c r="L4218" s="31"/>
    </row>
    <row r="4219" customFormat="false" ht="15" hidden="false" customHeight="false" outlineLevel="0" collapsed="false">
      <c r="A4219" s="20" t="s">
        <v>2232</v>
      </c>
      <c r="B4219" s="22" t="s">
        <v>1067</v>
      </c>
      <c r="C4219" s="22" t="s">
        <v>1099</v>
      </c>
      <c r="D4219" s="22" t="s">
        <v>1060</v>
      </c>
      <c r="E4219" s="23" t="str">
        <f aca="false">IF(D4219="?OLD","!!!","")</f>
        <v>!!!</v>
      </c>
      <c r="F4219" s="25" t="str">
        <f aca="false">IF(OR(E4219="",E4219="!!!"),"",IF(NOT(ISNA(VLOOKUP(E4219,E$1:E4218,1,FALSE()))),"OLD",IF(AND(E4219&lt;&gt;"",E4219&lt;&gt;"!!!"),"NEW","")))</f>
        <v/>
      </c>
      <c r="G4219" s="26" t="str">
        <f aca="false">IF(OR(E4219="",E4219="!!!"),"",IF(OR(J4219=0,AND(J4219=1,K4219=1),AND(J4219=1,I4219="SBJ"),AND(J4219=1,I4219=0)),"?IN_FOCUS",IF(J4219&lt;=2,"?ACTIVATED",IF(J4219&lt;&gt;"","?FAMILIAR",IF(F4219="NEW",IF(ISNA(VLOOKUP(E4219,#REF!,1,FALSE())),"?TYPE_IDENTIFIABLE","?REFERENTIAL"),"_")))))</f>
        <v/>
      </c>
      <c r="H4219" s="27" t="str">
        <f aca="false">IF(J4219&lt;&gt;1,"",IF(I4219="SBJ","CB","?"))</f>
        <v/>
      </c>
      <c r="I4219" s="24" t="str">
        <f aca="false">IF(OR(E4219="",E4219="!!!",F4219="NEW"),"",INDEX(B6:B$4214,-1+SUMPRODUCT(MAX(ROW(E6:E$4214)*(E4219=E6:E$4214)))))</f>
        <v/>
      </c>
      <c r="J4219" s="24" t="str">
        <f aca="true">IF(OR(E4219="",E4219="!!!",F4219="NEW"),"",COUNTBLANK(OFFSET(A$1,,,SUMPRODUCT(MAX(ROW(E$2:E4219)*(E4219=E$2:E4219)))))-COUNTBLANK(OFFSET(A$1,,,SUMPRODUCT(MAX(ROW(E$1:E4218)*(E2=E$1:E4218))))))</f>
        <v/>
      </c>
      <c r="K4219" s="24" t="str">
        <f aca="false">IF(OR(E4219="",E4219="!!!",F4219="NEW"),"",INDEX(J$1:J4218,SUMPRODUCT(MAX(ROW(E$1:E4218)*(E4219=E$1:E4218)))))</f>
        <v/>
      </c>
      <c r="L4219" s="31"/>
    </row>
    <row r="4220" customFormat="false" ht="15" hidden="false" customHeight="false" outlineLevel="0" collapsed="false">
      <c r="A4220" s="20" t="s">
        <v>1734</v>
      </c>
      <c r="B4220" s="22" t="s">
        <v>1142</v>
      </c>
      <c r="C4220" s="22" t="s">
        <v>1059</v>
      </c>
      <c r="D4220" s="22" t="s">
        <v>1060</v>
      </c>
      <c r="E4220" s="23" t="str">
        <f aca="false">IF(D4220="?OLD","!!!","")</f>
        <v>!!!</v>
      </c>
      <c r="F4220" s="25" t="str">
        <f aca="false">IF(OR(E4220="",E4220="!!!"),"",IF(NOT(ISNA(VLOOKUP(E4220,E$1:E4219,1,FALSE()))),"OLD",IF(AND(E4220&lt;&gt;"",E4220&lt;&gt;"!!!"),"NEW","")))</f>
        <v/>
      </c>
      <c r="G4220" s="26" t="str">
        <f aca="false">IF(OR(E4220="",E4220="!!!"),"",IF(OR(J4220=0,AND(J4220=1,K4220=1),AND(J4220=1,I4220="SBJ"),AND(J4220=1,I4220=0)),"?IN_FOCUS",IF(J4220&lt;=2,"?ACTIVATED",IF(J4220&lt;&gt;"","?FAMILIAR",IF(F4220="NEW",IF(ISNA(VLOOKUP(E4220,#REF!,1,FALSE())),"?TYPE_IDENTIFIABLE","?REFERENTIAL"),"_")))))</f>
        <v/>
      </c>
      <c r="H4220" s="27" t="str">
        <f aca="false">IF(J4220&lt;&gt;1,"",IF(I4220="SBJ","CB","?"))</f>
        <v/>
      </c>
      <c r="I4220" s="24" t="str">
        <f aca="false">IF(OR(E4220="",E4220="!!!",F4220="NEW"),"",INDEX(B7:B$4214,-1+SUMPRODUCT(MAX(ROW(E7:E$4214)*(E4220=E7:E$4214)))))</f>
        <v/>
      </c>
      <c r="J4220" s="24" t="str">
        <f aca="true">IF(OR(E4220="",E4220="!!!",F4220="NEW"),"",COUNTBLANK(OFFSET(A$1,,,SUMPRODUCT(MAX(ROW(E$2:E4220)*(E4220=E$2:E4220)))))-COUNTBLANK(OFFSET(A$1,,,SUMPRODUCT(MAX(ROW(E$1:E4219)*(E2=E$1:E4219))))))</f>
        <v/>
      </c>
      <c r="K4220" s="24" t="str">
        <f aca="false">IF(OR(E4220="",E4220="!!!",F4220="NEW"),"",INDEX(J$1:J4219,SUMPRODUCT(MAX(ROW(E$1:E4219)*(E4220=E$1:E4219)))))</f>
        <v/>
      </c>
      <c r="L4220" s="31"/>
    </row>
    <row r="4221" customFormat="false" ht="15" hidden="false" customHeight="false" outlineLevel="0" collapsed="false">
      <c r="A4221" s="20" t="s">
        <v>923</v>
      </c>
      <c r="E4221" s="23" t="str">
        <f aca="false">IF(D4221="?OLD","!!!","")</f>
        <v/>
      </c>
      <c r="F4221" s="25" t="str">
        <f aca="false">IF(OR(E4221="",E4221="!!!"),"",IF(NOT(ISNA(VLOOKUP(E4221,E$1:E4220,1,FALSE()))),"OLD",IF(AND(E4221&lt;&gt;"",E4221&lt;&gt;"!!!"),"NEW","")))</f>
        <v/>
      </c>
      <c r="G4221" s="26" t="str">
        <f aca="false">IF(OR(E4221="",E4221="!!!"),"",IF(OR(J4221=0,AND(J4221=1,K4221=1),AND(J4221=1,I4221="SBJ"),AND(J4221=1,I4221=0)),"?IN_FOCUS",IF(J4221&lt;=2,"?ACTIVATED",IF(J4221&lt;&gt;"","?FAMILIAR",IF(F4221="NEW",IF(ISNA(VLOOKUP(E4221,#REF!,1,FALSE())),"?TYPE_IDENTIFIABLE","?REFERENTIAL"),"_")))))</f>
        <v/>
      </c>
      <c r="H4221" s="27" t="str">
        <f aca="false">IF(J4221&lt;&gt;1,"",IF(I4221="SBJ","CB","?"))</f>
        <v/>
      </c>
      <c r="I4221" s="24" t="str">
        <f aca="false">IF(OR(E4221="",E4221="!!!",F4221="NEW"),"",INDEX(B8:B$4214,-1+SUMPRODUCT(MAX(ROW(E8:E$4214)*(E4221=E8:E$4214)))))</f>
        <v/>
      </c>
      <c r="J4221" s="24" t="str">
        <f aca="true">IF(OR(E4221="",E4221="!!!",F4221="NEW"),"",COUNTBLANK(OFFSET(A$1,,,SUMPRODUCT(MAX(ROW(E$2:E4221)*(E4221=E$2:E4221)))))-COUNTBLANK(OFFSET(A$1,,,SUMPRODUCT(MAX(ROW(E$1:E4220)*(E2=E$1:E4220))))))</f>
        <v/>
      </c>
      <c r="K4221" s="24" t="str">
        <f aca="false">IF(OR(E4221="",E4221="!!!",F4221="NEW"),"",INDEX(J$1:J4220,SUMPRODUCT(MAX(ROW(E$1:E4220)*(E4221=E$1:E4220)))))</f>
        <v/>
      </c>
      <c r="L4221" s="31"/>
    </row>
    <row r="4222" customFormat="false" ht="15" hidden="false" customHeight="false" outlineLevel="0" collapsed="false">
      <c r="A4222" s="20"/>
    </row>
    <row r="4223" customFormat="false" ht="15" hidden="false" customHeight="false" outlineLevel="0" collapsed="false">
      <c r="A4223" s="20" t="s">
        <v>2333</v>
      </c>
    </row>
    <row r="4224" customFormat="false" ht="15" hidden="false" customHeight="false" outlineLevel="0" collapsed="false">
      <c r="A4224" s="20" t="s">
        <v>2334</v>
      </c>
      <c r="B4224" s="22" t="s">
        <v>1105</v>
      </c>
      <c r="C4224" s="22" t="s">
        <v>1099</v>
      </c>
      <c r="D4224" s="22" t="s">
        <v>1060</v>
      </c>
      <c r="E4224" s="23" t="str">
        <f aca="false">IF(D4224="?OLD","!!!","")</f>
        <v>!!!</v>
      </c>
      <c r="F4224" s="25" t="str">
        <f aca="false">IF(OR(E4224="",E4224="!!!"),"",IF(NOT(ISNA(VLOOKUP(E4224,E$1:E4223,1,FALSE()))),"OLD",IF(AND(E4224&lt;&gt;"",E4224&lt;&gt;"!!!"),"NEW","")))</f>
        <v/>
      </c>
      <c r="G4224" s="26" t="str">
        <f aca="false">IF(OR(E4224="",E4224="!!!"),"",IF(OR(J4224=0,AND(J4224=1,K4224=1),AND(J4224=1,I4224="SBJ"),AND(J4224=1,I4224=0)),"?IN_FOCUS",IF(J4224&lt;=2,"?ACTIVATED",IF(J4224&lt;&gt;"","?FAMILIAR",IF(F4224="NEW",IF(ISNA(VLOOKUP(E4224,#REF!,1,FALSE())),"?TYPE_IDENTIFIABLE","?REFERENTIAL"),"_")))))</f>
        <v/>
      </c>
      <c r="H4224" s="27" t="str">
        <f aca="false">IF(J4224&lt;&gt;1,"",IF(I4224="SBJ","CB","?"))</f>
        <v/>
      </c>
      <c r="I4224" s="24" t="str">
        <f aca="false">IF(OR(E4224="",E4224="!!!",F4224="NEW"),"",INDEX(B2:B$4223,-1+SUMPRODUCT(MAX(ROW(E2:E$4223)*(E4224=E2:E$4223)))))</f>
        <v/>
      </c>
      <c r="J4224" s="24" t="str">
        <f aca="true">IF(OR(E4224="",E4224="!!!",F4224="NEW"),"",COUNTBLANK(OFFSET(A$1,,,SUMPRODUCT(MAX(ROW(E$2:E4224)*(E4224=E$2:E4224)))))-COUNTBLANK(OFFSET(A$1,,,SUMPRODUCT(MAX(ROW(E$1:E4223)*(E2=E$1:E4223))))))</f>
        <v/>
      </c>
      <c r="K4224" s="24" t="str">
        <f aca="false">IF(OR(E4224="",E4224="!!!",F4224="NEW"),"",INDEX(J$1:J4223,SUMPRODUCT(MAX(ROW(E$1:E4223)*(E4224=E$1:E4223)))))</f>
        <v/>
      </c>
      <c r="L4224" s="31"/>
    </row>
    <row r="4225" customFormat="false" ht="15" hidden="false" customHeight="false" outlineLevel="0" collapsed="false">
      <c r="A4225" s="20" t="s">
        <v>1828</v>
      </c>
      <c r="B4225" s="22" t="s">
        <v>1105</v>
      </c>
      <c r="C4225" s="22" t="s">
        <v>1059</v>
      </c>
      <c r="D4225" s="22" t="s">
        <v>1060</v>
      </c>
      <c r="E4225" s="23" t="str">
        <f aca="false">IF(D4225="?OLD","!!!","")</f>
        <v>!!!</v>
      </c>
      <c r="F4225" s="25" t="str">
        <f aca="false">IF(OR(E4225="",E4225="!!!"),"",IF(NOT(ISNA(VLOOKUP(E4225,E$1:E4224,1,FALSE()))),"OLD",IF(AND(E4225&lt;&gt;"",E4225&lt;&gt;"!!!"),"NEW","")))</f>
        <v/>
      </c>
      <c r="G4225" s="26" t="str">
        <f aca="false">IF(OR(E4225="",E4225="!!!"),"",IF(OR(J4225=0,AND(J4225=1,K4225=1),AND(J4225=1,I4225="SBJ"),AND(J4225=1,I4225=0)),"?IN_FOCUS",IF(J4225&lt;=2,"?ACTIVATED",IF(J4225&lt;&gt;"","?FAMILIAR",IF(F4225="NEW",IF(ISNA(VLOOKUP(E4225,#REF!,1,FALSE())),"?TYPE_IDENTIFIABLE","?REFERENTIAL"),"_")))))</f>
        <v/>
      </c>
      <c r="H4225" s="27" t="str">
        <f aca="false">IF(J4225&lt;&gt;1,"",IF(I4225="SBJ","CB","?"))</f>
        <v/>
      </c>
      <c r="I4225" s="24" t="str">
        <f aca="false">IF(OR(E4225="",E4225="!!!",F4225="NEW"),"",INDEX(B3:B$4223,-1+SUMPRODUCT(MAX(ROW(E3:E$4223)*(E4225=E3:E$4223)))))</f>
        <v/>
      </c>
      <c r="J4225" s="24" t="str">
        <f aca="true">IF(OR(E4225="",E4225="!!!",F4225="NEW"),"",COUNTBLANK(OFFSET(A$1,,,SUMPRODUCT(MAX(ROW(E$2:E4225)*(E4225=E$2:E4225)))))-COUNTBLANK(OFFSET(A$1,,,SUMPRODUCT(MAX(ROW(E$1:E4224)*(E2=E$1:E4224))))))</f>
        <v/>
      </c>
      <c r="K4225" s="24" t="str">
        <f aca="false">IF(OR(E4225="",E4225="!!!",F4225="NEW"),"",INDEX(J$1:J4224,SUMPRODUCT(MAX(ROW(E$1:E4224)*(E4225=E$1:E4224)))))</f>
        <v/>
      </c>
      <c r="L4225" s="31"/>
    </row>
    <row r="4226" customFormat="false" ht="15" hidden="false" customHeight="false" outlineLevel="0" collapsed="false">
      <c r="A4226" s="20" t="s">
        <v>1128</v>
      </c>
      <c r="E4226" s="23" t="str">
        <f aca="false">IF(D4226="?OLD","!!!","")</f>
        <v/>
      </c>
      <c r="F4226" s="25" t="str">
        <f aca="false">IF(OR(E4226="",E4226="!!!"),"",IF(NOT(ISNA(VLOOKUP(E4226,E$1:E4225,1,FALSE()))),"OLD",IF(AND(E4226&lt;&gt;"",E4226&lt;&gt;"!!!"),"NEW","")))</f>
        <v/>
      </c>
      <c r="G4226" s="26" t="str">
        <f aca="false">IF(OR(E4226="",E4226="!!!"),"",IF(OR(J4226=0,AND(J4226=1,K4226=1),AND(J4226=1,I4226="SBJ"),AND(J4226=1,I4226=0)),"?IN_FOCUS",IF(J4226&lt;=2,"?ACTIVATED",IF(J4226&lt;&gt;"","?FAMILIAR",IF(F4226="NEW",IF(ISNA(VLOOKUP(E4226,#REF!,1,FALSE())),"?TYPE_IDENTIFIABLE","?REFERENTIAL"),"_")))))</f>
        <v/>
      </c>
      <c r="H4226" s="27" t="str">
        <f aca="false">IF(J4226&lt;&gt;1,"",IF(I4226="SBJ","CB","?"))</f>
        <v/>
      </c>
      <c r="I4226" s="24" t="str">
        <f aca="false">IF(OR(E4226="",E4226="!!!",F4226="NEW"),"",INDEX(B4:B$4223,-1+SUMPRODUCT(MAX(ROW(E4:E$4223)*(E4226=E4:E$4223)))))</f>
        <v/>
      </c>
      <c r="J4226" s="24" t="str">
        <f aca="true">IF(OR(E4226="",E4226="!!!",F4226="NEW"),"",COUNTBLANK(OFFSET(A$1,,,SUMPRODUCT(MAX(ROW(E$2:E4226)*(E4226=E$2:E4226)))))-COUNTBLANK(OFFSET(A$1,,,SUMPRODUCT(MAX(ROW(E$1:E4225)*(E2=E$1:E4225))))))</f>
        <v/>
      </c>
      <c r="K4226" s="24" t="str">
        <f aca="false">IF(OR(E4226="",E4226="!!!",F4226="NEW"),"",INDEX(J$1:J4225,SUMPRODUCT(MAX(ROW(E$1:E4225)*(E4226=E$1:E4225)))))</f>
        <v/>
      </c>
      <c r="L4226" s="31"/>
    </row>
    <row r="4227" customFormat="false" ht="15" hidden="false" customHeight="false" outlineLevel="0" collapsed="false">
      <c r="A4227" s="20" t="s">
        <v>1994</v>
      </c>
      <c r="B4227" s="22" t="s">
        <v>1105</v>
      </c>
      <c r="C4227" s="22" t="s">
        <v>1160</v>
      </c>
      <c r="E4227" s="23" t="str">
        <f aca="false">IF(D4227="?OLD","!!!","")</f>
        <v/>
      </c>
      <c r="F4227" s="25" t="str">
        <f aca="false">IF(OR(E4227="",E4227="!!!"),"",IF(NOT(ISNA(VLOOKUP(E4227,E$1:E4226,1,FALSE()))),"OLD",IF(AND(E4227&lt;&gt;"",E4227&lt;&gt;"!!!"),"NEW","")))</f>
        <v/>
      </c>
      <c r="G4227" s="26" t="str">
        <f aca="false">IF(OR(E4227="",E4227="!!!"),"",IF(OR(J4227=0,AND(J4227=1,K4227=1),AND(J4227=1,I4227="SBJ"),AND(J4227=1,I4227=0)),"?IN_FOCUS",IF(J4227&lt;=2,"?ACTIVATED",IF(J4227&lt;&gt;"","?FAMILIAR",IF(F4227="NEW",IF(ISNA(VLOOKUP(E4227,#REF!,1,FALSE())),"?TYPE_IDENTIFIABLE","?REFERENTIAL"),"_")))))</f>
        <v/>
      </c>
      <c r="H4227" s="27" t="str">
        <f aca="false">IF(J4227&lt;&gt;1,"",IF(I4227="SBJ","CB","?"))</f>
        <v/>
      </c>
      <c r="I4227" s="24" t="str">
        <f aca="false">IF(OR(E4227="",E4227="!!!",F4227="NEW"),"",INDEX(B5:B$4223,-1+SUMPRODUCT(MAX(ROW(E5:E$4223)*(E4227=E5:E$4223)))))</f>
        <v/>
      </c>
      <c r="J4227" s="24" t="str">
        <f aca="true">IF(OR(E4227="",E4227="!!!",F4227="NEW"),"",COUNTBLANK(OFFSET(A$1,,,SUMPRODUCT(MAX(ROW(E$2:E4227)*(E4227=E$2:E4227)))))-COUNTBLANK(OFFSET(A$1,,,SUMPRODUCT(MAX(ROW(E$1:E4226)*(E2=E$1:E4226))))))</f>
        <v/>
      </c>
      <c r="K4227" s="24" t="str">
        <f aca="false">IF(OR(E4227="",E4227="!!!",F4227="NEW"),"",INDEX(J$1:J4226,SUMPRODUCT(MAX(ROW(E$1:E4226)*(E4227=E$1:E4226)))))</f>
        <v/>
      </c>
      <c r="L4227" s="31"/>
    </row>
    <row r="4228" customFormat="false" ht="15" hidden="false" customHeight="false" outlineLevel="0" collapsed="false">
      <c r="A4228" s="20" t="s">
        <v>2042</v>
      </c>
      <c r="E4228" s="23" t="str">
        <f aca="false">IF(D4228="?OLD","!!!","")</f>
        <v/>
      </c>
      <c r="F4228" s="25" t="str">
        <f aca="false">IF(OR(E4228="",E4228="!!!"),"",IF(NOT(ISNA(VLOOKUP(E4228,E$1:E4227,1,FALSE()))),"OLD",IF(AND(E4228&lt;&gt;"",E4228&lt;&gt;"!!!"),"NEW","")))</f>
        <v/>
      </c>
      <c r="G4228" s="26" t="str">
        <f aca="false">IF(OR(E4228="",E4228="!!!"),"",IF(OR(J4228=0,AND(J4228=1,K4228=1),AND(J4228=1,I4228="SBJ"),AND(J4228=1,I4228=0)),"?IN_FOCUS",IF(J4228&lt;=2,"?ACTIVATED",IF(J4228&lt;&gt;"","?FAMILIAR",IF(F4228="NEW",IF(ISNA(VLOOKUP(E4228,#REF!,1,FALSE())),"?TYPE_IDENTIFIABLE","?REFERENTIAL"),"_")))))</f>
        <v/>
      </c>
      <c r="H4228" s="27" t="str">
        <f aca="false">IF(J4228&lt;&gt;1,"",IF(I4228="SBJ","CB","?"))</f>
        <v/>
      </c>
      <c r="I4228" s="24" t="str">
        <f aca="false">IF(OR(E4228="",E4228="!!!",F4228="NEW"),"",INDEX(B6:B$4223,-1+SUMPRODUCT(MAX(ROW(E6:E$4223)*(E4228=E6:E$4223)))))</f>
        <v/>
      </c>
      <c r="J4228" s="24" t="str">
        <f aca="true">IF(OR(E4228="",E4228="!!!",F4228="NEW"),"",COUNTBLANK(OFFSET(A$1,,,SUMPRODUCT(MAX(ROW(E$2:E4228)*(E4228=E$2:E4228)))))-COUNTBLANK(OFFSET(A$1,,,SUMPRODUCT(MAX(ROW(E$1:E4227)*(E2=E$1:E4227))))))</f>
        <v/>
      </c>
      <c r="K4228" s="24" t="str">
        <f aca="false">IF(OR(E4228="",E4228="!!!",F4228="NEW"),"",INDEX(J$1:J4227,SUMPRODUCT(MAX(ROW(E$1:E4227)*(E4228=E$1:E4227)))))</f>
        <v/>
      </c>
      <c r="L4228" s="31"/>
    </row>
    <row r="4229" customFormat="false" ht="15" hidden="false" customHeight="false" outlineLevel="0" collapsed="false">
      <c r="A4229" s="20" t="s">
        <v>1213</v>
      </c>
      <c r="E4229" s="23" t="str">
        <f aca="false">IF(D4229="?OLD","!!!","")</f>
        <v/>
      </c>
      <c r="F4229" s="25" t="str">
        <f aca="false">IF(OR(E4229="",E4229="!!!"),"",IF(NOT(ISNA(VLOOKUP(E4229,E$1:E4228,1,FALSE()))),"OLD",IF(AND(E4229&lt;&gt;"",E4229&lt;&gt;"!!!"),"NEW","")))</f>
        <v/>
      </c>
      <c r="G4229" s="26" t="str">
        <f aca="false">IF(OR(E4229="",E4229="!!!"),"",IF(OR(J4229=0,AND(J4229=1,K4229=1),AND(J4229=1,I4229="SBJ"),AND(J4229=1,I4229=0)),"?IN_FOCUS",IF(J4229&lt;=2,"?ACTIVATED",IF(J4229&lt;&gt;"","?FAMILIAR",IF(F4229="NEW",IF(ISNA(VLOOKUP(E4229,#REF!,1,FALSE())),"?TYPE_IDENTIFIABLE","?REFERENTIAL"),"_")))))</f>
        <v/>
      </c>
      <c r="H4229" s="27" t="str">
        <f aca="false">IF(J4229&lt;&gt;1,"",IF(I4229="SBJ","CB","?"))</f>
        <v/>
      </c>
      <c r="I4229" s="24" t="str">
        <f aca="false">IF(OR(E4229="",E4229="!!!",F4229="NEW"),"",INDEX(B7:B$4223,-1+SUMPRODUCT(MAX(ROW(E7:E$4223)*(E4229=E7:E$4223)))))</f>
        <v/>
      </c>
      <c r="J4229" s="24" t="str">
        <f aca="true">IF(OR(E4229="",E4229="!!!",F4229="NEW"),"",COUNTBLANK(OFFSET(A$1,,,SUMPRODUCT(MAX(ROW(E$2:E4229)*(E4229=E$2:E4229)))))-COUNTBLANK(OFFSET(A$1,,,SUMPRODUCT(MAX(ROW(E$1:E4228)*(E2=E$1:E4228))))))</f>
        <v/>
      </c>
      <c r="K4229" s="24" t="str">
        <f aca="false">IF(OR(E4229="",E4229="!!!",F4229="NEW"),"",INDEX(J$1:J4228,SUMPRODUCT(MAX(ROW(E$1:E4228)*(E4229=E$1:E4228)))))</f>
        <v/>
      </c>
      <c r="L4229" s="31"/>
    </row>
    <row r="4230" customFormat="false" ht="15" hidden="false" customHeight="false" outlineLevel="0" collapsed="false">
      <c r="A4230" s="20" t="s">
        <v>2335</v>
      </c>
      <c r="E4230" s="23" t="str">
        <f aca="false">IF(D4230="?OLD","!!!","")</f>
        <v/>
      </c>
      <c r="F4230" s="25" t="str">
        <f aca="false">IF(OR(E4230="",E4230="!!!"),"",IF(NOT(ISNA(VLOOKUP(E4230,E$1:E4229,1,FALSE()))),"OLD",IF(AND(E4230&lt;&gt;"",E4230&lt;&gt;"!!!"),"NEW","")))</f>
        <v/>
      </c>
      <c r="G4230" s="26" t="str">
        <f aca="false">IF(OR(E4230="",E4230="!!!"),"",IF(OR(J4230=0,AND(J4230=1,K4230=1),AND(J4230=1,I4230="SBJ"),AND(J4230=1,I4230=0)),"?IN_FOCUS",IF(J4230&lt;=2,"?ACTIVATED",IF(J4230&lt;&gt;"","?FAMILIAR",IF(F4230="NEW",IF(ISNA(VLOOKUP(E4230,#REF!,1,FALSE())),"?TYPE_IDENTIFIABLE","?REFERENTIAL"),"_")))))</f>
        <v/>
      </c>
      <c r="H4230" s="27" t="str">
        <f aca="false">IF(J4230&lt;&gt;1,"",IF(I4230="SBJ","CB","?"))</f>
        <v/>
      </c>
      <c r="I4230" s="24" t="str">
        <f aca="false">IF(OR(E4230="",E4230="!!!",F4230="NEW"),"",INDEX(B8:B$4223,-1+SUMPRODUCT(MAX(ROW(E8:E$4223)*(E4230=E8:E$4223)))))</f>
        <v/>
      </c>
      <c r="J4230" s="24" t="str">
        <f aca="true">IF(OR(E4230="",E4230="!!!",F4230="NEW"),"",COUNTBLANK(OFFSET(A$1,,,SUMPRODUCT(MAX(ROW(E$2:E4230)*(E4230=E$2:E4230)))))-COUNTBLANK(OFFSET(A$1,,,SUMPRODUCT(MAX(ROW(E$1:E4229)*(E2=E$1:E4229))))))</f>
        <v/>
      </c>
      <c r="K4230" s="24" t="str">
        <f aca="false">IF(OR(E4230="",E4230="!!!",F4230="NEW"),"",INDEX(J$1:J4229,SUMPRODUCT(MAX(ROW(E$1:E4229)*(E4230=E$1:E4229)))))</f>
        <v/>
      </c>
      <c r="L4230" s="31"/>
    </row>
    <row r="4231" customFormat="false" ht="15" hidden="false" customHeight="false" outlineLevel="0" collapsed="false">
      <c r="A4231" s="20" t="s">
        <v>2336</v>
      </c>
      <c r="B4231" s="22" t="s">
        <v>1073</v>
      </c>
      <c r="C4231" s="22" t="s">
        <v>1160</v>
      </c>
      <c r="E4231" s="23" t="str">
        <f aca="false">IF(D4231="?OLD","!!!","")</f>
        <v/>
      </c>
      <c r="F4231" s="25" t="str">
        <f aca="false">IF(OR(E4231="",E4231="!!!"),"",IF(NOT(ISNA(VLOOKUP(E4231,E$1:E4230,1,FALSE()))),"OLD",IF(AND(E4231&lt;&gt;"",E4231&lt;&gt;"!!!"),"NEW","")))</f>
        <v/>
      </c>
      <c r="G4231" s="26" t="str">
        <f aca="false">IF(OR(E4231="",E4231="!!!"),"",IF(OR(J4231=0,AND(J4231=1,K4231=1),AND(J4231=1,I4231="SBJ"),AND(J4231=1,I4231=0)),"?IN_FOCUS",IF(J4231&lt;=2,"?ACTIVATED",IF(J4231&lt;&gt;"","?FAMILIAR",IF(F4231="NEW",IF(ISNA(VLOOKUP(E4231,#REF!,1,FALSE())),"?TYPE_IDENTIFIABLE","?REFERENTIAL"),"_")))))</f>
        <v/>
      </c>
      <c r="H4231" s="27" t="str">
        <f aca="false">IF(J4231&lt;&gt;1,"",IF(I4231="SBJ","CB","?"))</f>
        <v/>
      </c>
      <c r="I4231" s="24" t="str">
        <f aca="false">IF(OR(E4231="",E4231="!!!",F4231="NEW"),"",INDEX(B9:B$4223,-1+SUMPRODUCT(MAX(ROW(E9:E$4223)*(E4231=E9:E$4223)))))</f>
        <v/>
      </c>
      <c r="J4231" s="24" t="str">
        <f aca="true">IF(OR(E4231="",E4231="!!!",F4231="NEW"),"",COUNTBLANK(OFFSET(A$1,,,SUMPRODUCT(MAX(ROW(E$2:E4231)*(E4231=E$2:E4231)))))-COUNTBLANK(OFFSET(A$1,,,SUMPRODUCT(MAX(ROW(E$1:E4230)*(E2=E$1:E4230))))))</f>
        <v/>
      </c>
      <c r="K4231" s="24" t="str">
        <f aca="false">IF(OR(E4231="",E4231="!!!",F4231="NEW"),"",INDEX(J$1:J4230,SUMPRODUCT(MAX(ROW(E$1:E4230)*(E4231=E$1:E4230)))))</f>
        <v/>
      </c>
      <c r="L4231" s="31"/>
    </row>
    <row r="4232" customFormat="false" ht="15" hidden="false" customHeight="false" outlineLevel="0" collapsed="false">
      <c r="A4232" s="20" t="s">
        <v>923</v>
      </c>
      <c r="E4232" s="23" t="str">
        <f aca="false">IF(D4232="?OLD","!!!","")</f>
        <v/>
      </c>
      <c r="F4232" s="25" t="str">
        <f aca="false">IF(OR(E4232="",E4232="!!!"),"",IF(NOT(ISNA(VLOOKUP(E4232,E$1:E4231,1,FALSE()))),"OLD",IF(AND(E4232&lt;&gt;"",E4232&lt;&gt;"!!!"),"NEW","")))</f>
        <v/>
      </c>
      <c r="G4232" s="26" t="str">
        <f aca="false">IF(OR(E4232="",E4232="!!!"),"",IF(OR(J4232=0,AND(J4232=1,K4232=1),AND(J4232=1,I4232="SBJ"),AND(J4232=1,I4232=0)),"?IN_FOCUS",IF(J4232&lt;=2,"?ACTIVATED",IF(J4232&lt;&gt;"","?FAMILIAR",IF(F4232="NEW",IF(ISNA(VLOOKUP(E4232,#REF!,1,FALSE())),"?TYPE_IDENTIFIABLE","?REFERENTIAL"),"_")))))</f>
        <v/>
      </c>
      <c r="H4232" s="27" t="str">
        <f aca="false">IF(J4232&lt;&gt;1,"",IF(I4232="SBJ","CB","?"))</f>
        <v/>
      </c>
      <c r="I4232" s="24" t="str">
        <f aca="false">IF(OR(E4232="",E4232="!!!",F4232="NEW"),"",INDEX(B10:B$4223,-1+SUMPRODUCT(MAX(ROW(E10:E$4223)*(E4232=E10:E$4223)))))</f>
        <v/>
      </c>
      <c r="J4232" s="24" t="str">
        <f aca="true">IF(OR(E4232="",E4232="!!!",F4232="NEW"),"",COUNTBLANK(OFFSET(A$1,,,SUMPRODUCT(MAX(ROW(E$2:E4232)*(E4232=E$2:E4232)))))-COUNTBLANK(OFFSET(A$1,,,SUMPRODUCT(MAX(ROW(E$1:E4231)*(E2=E$1:E4231))))))</f>
        <v/>
      </c>
      <c r="K4232" s="24" t="str">
        <f aca="false">IF(OR(E4232="",E4232="!!!",F4232="NEW"),"",INDEX(J$1:J4231,SUMPRODUCT(MAX(ROW(E$1:E4231)*(E4232=E$1:E4231)))))</f>
        <v/>
      </c>
      <c r="L4232" s="31"/>
    </row>
    <row r="4233" customFormat="false" ht="15" hidden="false" customHeight="false" outlineLevel="0" collapsed="false">
      <c r="A4233" s="20"/>
    </row>
    <row r="4234" customFormat="false" ht="15" hidden="false" customHeight="false" outlineLevel="0" collapsed="false">
      <c r="A4234" s="20" t="s">
        <v>1301</v>
      </c>
      <c r="E4234" s="23" t="str">
        <f aca="false">IF(D4234="?OLD","!!!","")</f>
        <v/>
      </c>
      <c r="F4234" s="25" t="str">
        <f aca="false">IF(OR(E4234="",E4234="!!!"),"",IF(NOT(ISNA(VLOOKUP(E4234,E$1:E4233,1,FALSE()))),"OLD",IF(AND(E4234&lt;&gt;"",E4234&lt;&gt;"!!!"),"NEW","")))</f>
        <v/>
      </c>
      <c r="G4234" s="26" t="str">
        <f aca="false">IF(OR(E4234="",E4234="!!!"),"",IF(OR(J4234=0,AND(J4234=1,K4234=1),AND(J4234=1,I4234="SBJ"),AND(J4234=1,I4234=0)),"?IN_FOCUS",IF(J4234&lt;=2,"?ACTIVATED",IF(J4234&lt;&gt;"","?FAMILIAR",IF(F4234="NEW",IF(ISNA(VLOOKUP(E4234,#REF!,1,FALSE())),"?TYPE_IDENTIFIABLE","?REFERENTIAL"),"_")))))</f>
        <v/>
      </c>
      <c r="H4234" s="27" t="str">
        <f aca="false">IF(J4234&lt;&gt;1,"",IF(I4234="SBJ","CB","?"))</f>
        <v/>
      </c>
      <c r="I4234" s="24" t="str">
        <f aca="false">IF(OR(E4234="",E4234="!!!",F4234="NEW"),"",INDEX(B2:B$4233,-1+SUMPRODUCT(MAX(ROW(E2:E$4233)*(E4234=E2:E$4233)))))</f>
        <v/>
      </c>
      <c r="J4234" s="24" t="str">
        <f aca="true">IF(OR(E4234="",E4234="!!!",F4234="NEW"),"",COUNTBLANK(OFFSET(A$1,,,SUMPRODUCT(MAX(ROW(E$2:E4234)*(E4234=E$2:E4234)))))-COUNTBLANK(OFFSET(A$1,,,SUMPRODUCT(MAX(ROW(E$1:E4233)*(E2=E$1:E4233))))))</f>
        <v/>
      </c>
      <c r="K4234" s="24" t="str">
        <f aca="false">IF(OR(E4234="",E4234="!!!",F4234="NEW"),"",INDEX(J$1:J4233,SUMPRODUCT(MAX(ROW(E$1:E4233)*(E4234=E$1:E4233)))))</f>
        <v/>
      </c>
      <c r="L4234" s="31"/>
    </row>
    <row r="4235" customFormat="false" ht="15" hidden="false" customHeight="false" outlineLevel="0" collapsed="false">
      <c r="A4235" s="20" t="s">
        <v>2337</v>
      </c>
    </row>
    <row r="4236" customFormat="false" ht="15" hidden="false" customHeight="false" outlineLevel="0" collapsed="false">
      <c r="A4236" s="20" t="s">
        <v>607</v>
      </c>
      <c r="E4236" s="23" t="str">
        <f aca="false">IF(D4236="?OLD","!!!","")</f>
        <v/>
      </c>
      <c r="F4236" s="25" t="str">
        <f aca="false">IF(OR(E4236="",E4236="!!!"),"",IF(NOT(ISNA(VLOOKUP(E4236,E$1:E4235,1,FALSE()))),"OLD",IF(AND(E4236&lt;&gt;"",E4236&lt;&gt;"!!!"),"NEW","")))</f>
        <v/>
      </c>
      <c r="G4236" s="26" t="str">
        <f aca="false">IF(OR(E4236="",E4236="!!!"),"",IF(OR(J4236=0,AND(J4236=1,K4236=1),AND(J4236=1,I4236="SBJ"),AND(J4236=1,I4236=0)),"?IN_FOCUS",IF(J4236&lt;=2,"?ACTIVATED",IF(J4236&lt;&gt;"","?FAMILIAR",IF(F4236="NEW",IF(ISNA(VLOOKUP(E4236,#REF!,1,FALSE())),"?TYPE_IDENTIFIABLE","?REFERENTIAL"),"_")))))</f>
        <v/>
      </c>
      <c r="H4236" s="27" t="str">
        <f aca="false">IF(J4236&lt;&gt;1,"",IF(I4236="SBJ","CB","?"))</f>
        <v/>
      </c>
      <c r="I4236" s="24" t="str">
        <f aca="false">IF(OR(E4236="",E4236="!!!",F4236="NEW"),"",INDEX(B2:B$4235,-1+SUMPRODUCT(MAX(ROW(E2:E$4235)*(E4236=E2:E$4235)))))</f>
        <v/>
      </c>
      <c r="J4236" s="24" t="str">
        <f aca="true">IF(OR(E4236="",E4236="!!!",F4236="NEW"),"",COUNTBLANK(OFFSET(A$1,,,SUMPRODUCT(MAX(ROW(E$2:E4236)*(E4236=E$2:E4236)))))-COUNTBLANK(OFFSET(A$1,,,SUMPRODUCT(MAX(ROW(E$1:E4235)*(E2=E$1:E4235))))))</f>
        <v/>
      </c>
      <c r="K4236" s="24" t="str">
        <f aca="false">IF(OR(E4236="",E4236="!!!",F4236="NEW"),"",INDEX(J$1:J4235,SUMPRODUCT(MAX(ROW(E$1:E4235)*(E4236=E$1:E4235)))))</f>
        <v/>
      </c>
      <c r="L4236" s="31"/>
    </row>
    <row r="4237" customFormat="false" ht="15" hidden="false" customHeight="false" outlineLevel="0" collapsed="false">
      <c r="A4237" s="20" t="s">
        <v>1561</v>
      </c>
      <c r="B4237" s="22" t="s">
        <v>1058</v>
      </c>
      <c r="C4237" s="22" t="s">
        <v>1082</v>
      </c>
      <c r="D4237" s="22" t="s">
        <v>1060</v>
      </c>
      <c r="E4237" s="23" t="str">
        <f aca="false">IF(D4237="?OLD","!!!","")</f>
        <v>!!!</v>
      </c>
      <c r="F4237" s="25" t="str">
        <f aca="false">IF(OR(E4237="",E4237="!!!"),"",IF(NOT(ISNA(VLOOKUP(E4237,E$1:E4236,1,FALSE()))),"OLD",IF(AND(E4237&lt;&gt;"",E4237&lt;&gt;"!!!"),"NEW","")))</f>
        <v/>
      </c>
      <c r="G4237" s="26" t="str">
        <f aca="false">IF(OR(E4237="",E4237="!!!"),"",IF(OR(J4237=0,AND(J4237=1,K4237=1),AND(J4237=1,I4237="SBJ"),AND(J4237=1,I4237=0)),"?IN_FOCUS",IF(J4237&lt;=2,"?ACTIVATED",IF(J4237&lt;&gt;"","?FAMILIAR",IF(F4237="NEW",IF(ISNA(VLOOKUP(E4237,#REF!,1,FALSE())),"?TYPE_IDENTIFIABLE","?REFERENTIAL"),"_")))))</f>
        <v/>
      </c>
      <c r="H4237" s="27" t="str">
        <f aca="false">IF(J4237&lt;&gt;1,"",IF(I4237="SBJ","CB","?"))</f>
        <v/>
      </c>
      <c r="I4237" s="24" t="str">
        <f aca="false">IF(OR(E4237="",E4237="!!!",F4237="NEW"),"",INDEX(B3:B$4235,-1+SUMPRODUCT(MAX(ROW(E3:E$4235)*(E4237=E3:E$4235)))))</f>
        <v/>
      </c>
      <c r="J4237" s="24" t="str">
        <f aca="true">IF(OR(E4237="",E4237="!!!",F4237="NEW"),"",COUNTBLANK(OFFSET(A$1,,,SUMPRODUCT(MAX(ROW(E$2:E4237)*(E4237=E$2:E4237)))))-COUNTBLANK(OFFSET(A$1,,,SUMPRODUCT(MAX(ROW(E$1:E4236)*(E2=E$1:E4236))))))</f>
        <v/>
      </c>
      <c r="K4237" s="24" t="str">
        <f aca="false">IF(OR(E4237="",E4237="!!!",F4237="NEW"),"",INDEX(J$1:J4236,SUMPRODUCT(MAX(ROW(E$1:E4236)*(E4237=E$1:E4236)))))</f>
        <v/>
      </c>
      <c r="L4237" s="31"/>
    </row>
    <row r="4238" customFormat="false" ht="15" hidden="false" customHeight="false" outlineLevel="0" collapsed="false">
      <c r="A4238" s="20" t="s">
        <v>1079</v>
      </c>
      <c r="E4238" s="23" t="str">
        <f aca="false">IF(D4238="?OLD","!!!","")</f>
        <v/>
      </c>
      <c r="F4238" s="25" t="str">
        <f aca="false">IF(OR(E4238="",E4238="!!!"),"",IF(NOT(ISNA(VLOOKUP(E4238,E$1:E4237,1,FALSE()))),"OLD",IF(AND(E4238&lt;&gt;"",E4238&lt;&gt;"!!!"),"NEW","")))</f>
        <v/>
      </c>
      <c r="G4238" s="26" t="str">
        <f aca="false">IF(OR(E4238="",E4238="!!!"),"",IF(OR(J4238=0,AND(J4238=1,K4238=1),AND(J4238=1,I4238="SBJ"),AND(J4238=1,I4238=0)),"?IN_FOCUS",IF(J4238&lt;=2,"?ACTIVATED",IF(J4238&lt;&gt;"","?FAMILIAR",IF(F4238="NEW",IF(ISNA(VLOOKUP(E4238,#REF!,1,FALSE())),"?TYPE_IDENTIFIABLE","?REFERENTIAL"),"_")))))</f>
        <v/>
      </c>
      <c r="H4238" s="27" t="str">
        <f aca="false">IF(J4238&lt;&gt;1,"",IF(I4238="SBJ","CB","?"))</f>
        <v/>
      </c>
      <c r="I4238" s="24" t="str">
        <f aca="false">IF(OR(E4238="",E4238="!!!",F4238="NEW"),"",INDEX(B4:B$4235,-1+SUMPRODUCT(MAX(ROW(E4:E$4235)*(E4238=E4:E$4235)))))</f>
        <v/>
      </c>
      <c r="J4238" s="24" t="str">
        <f aca="true">IF(OR(E4238="",E4238="!!!",F4238="NEW"),"",COUNTBLANK(OFFSET(A$1,,,SUMPRODUCT(MAX(ROW(E$2:E4238)*(E4238=E$2:E4238)))))-COUNTBLANK(OFFSET(A$1,,,SUMPRODUCT(MAX(ROW(E$1:E4237)*(E2=E$1:E4237))))))</f>
        <v/>
      </c>
      <c r="K4238" s="24" t="str">
        <f aca="false">IF(OR(E4238="",E4238="!!!",F4238="NEW"),"",INDEX(J$1:J4237,SUMPRODUCT(MAX(ROW(E$1:E4237)*(E4238=E$1:E4237)))))</f>
        <v/>
      </c>
      <c r="L4238" s="31"/>
    </row>
    <row r="4239" customFormat="false" ht="15" hidden="false" customHeight="false" outlineLevel="0" collapsed="false">
      <c r="A4239" s="20" t="s">
        <v>844</v>
      </c>
      <c r="E4239" s="23" t="str">
        <f aca="false">IF(D4239="?OLD","!!!","")</f>
        <v/>
      </c>
      <c r="F4239" s="25" t="str">
        <f aca="false">IF(OR(E4239="",E4239="!!!"),"",IF(NOT(ISNA(VLOOKUP(E4239,E$1:E4238,1,FALSE()))),"OLD",IF(AND(E4239&lt;&gt;"",E4239&lt;&gt;"!!!"),"NEW","")))</f>
        <v/>
      </c>
      <c r="G4239" s="26" t="str">
        <f aca="false">IF(OR(E4239="",E4239="!!!"),"",IF(OR(J4239=0,AND(J4239=1,K4239=1),AND(J4239=1,I4239="SBJ"),AND(J4239=1,I4239=0)),"?IN_FOCUS",IF(J4239&lt;=2,"?ACTIVATED",IF(J4239&lt;&gt;"","?FAMILIAR",IF(F4239="NEW",IF(ISNA(VLOOKUP(E4239,#REF!,1,FALSE())),"?TYPE_IDENTIFIABLE","?REFERENTIAL"),"_")))))</f>
        <v/>
      </c>
      <c r="H4239" s="27" t="str">
        <f aca="false">IF(J4239&lt;&gt;1,"",IF(I4239="SBJ","CB","?"))</f>
        <v/>
      </c>
      <c r="I4239" s="24" t="str">
        <f aca="false">IF(OR(E4239="",E4239="!!!",F4239="NEW"),"",INDEX(B5:B$4235,-1+SUMPRODUCT(MAX(ROW(E5:E$4235)*(E4239=E5:E$4235)))))</f>
        <v/>
      </c>
      <c r="J4239" s="24" t="str">
        <f aca="true">IF(OR(E4239="",E4239="!!!",F4239="NEW"),"",COUNTBLANK(OFFSET(A$1,,,SUMPRODUCT(MAX(ROW(E$2:E4239)*(E4239=E$2:E4239)))))-COUNTBLANK(OFFSET(A$1,,,SUMPRODUCT(MAX(ROW(E$1:E4238)*(E2=E$1:E4238))))))</f>
        <v/>
      </c>
      <c r="K4239" s="24" t="str">
        <f aca="false">IF(OR(E4239="",E4239="!!!",F4239="NEW"),"",INDEX(J$1:J4238,SUMPRODUCT(MAX(ROW(E$1:E4238)*(E4239=E$1:E4238)))))</f>
        <v/>
      </c>
      <c r="L4239" s="31"/>
    </row>
    <row r="4240" customFormat="false" ht="15" hidden="false" customHeight="false" outlineLevel="0" collapsed="false">
      <c r="A4240" s="20" t="s">
        <v>1097</v>
      </c>
      <c r="B4240" s="22" t="s">
        <v>1073</v>
      </c>
      <c r="C4240" s="22" t="s">
        <v>1099</v>
      </c>
      <c r="D4240" s="22" t="s">
        <v>1060</v>
      </c>
      <c r="E4240" s="23" t="str">
        <f aca="false">IF(D4240="?OLD","!!!","")</f>
        <v>!!!</v>
      </c>
      <c r="F4240" s="25" t="str">
        <f aca="false">IF(OR(E4240="",E4240="!!!"),"",IF(NOT(ISNA(VLOOKUP(E4240,E$1:E4239,1,FALSE()))),"OLD",IF(AND(E4240&lt;&gt;"",E4240&lt;&gt;"!!!"),"NEW","")))</f>
        <v/>
      </c>
      <c r="G4240" s="26" t="str">
        <f aca="false">IF(OR(E4240="",E4240="!!!"),"",IF(OR(J4240=0,AND(J4240=1,K4240=1),AND(J4240=1,I4240="SBJ"),AND(J4240=1,I4240=0)),"?IN_FOCUS",IF(J4240&lt;=2,"?ACTIVATED",IF(J4240&lt;&gt;"","?FAMILIAR",IF(F4240="NEW",IF(ISNA(VLOOKUP(E4240,#REF!,1,FALSE())),"?TYPE_IDENTIFIABLE","?REFERENTIAL"),"_")))))</f>
        <v/>
      </c>
      <c r="H4240" s="27" t="str">
        <f aca="false">IF(J4240&lt;&gt;1,"",IF(I4240="SBJ","CB","?"))</f>
        <v/>
      </c>
      <c r="I4240" s="24" t="str">
        <f aca="false">IF(OR(E4240="",E4240="!!!",F4240="NEW"),"",INDEX(B6:B$4235,-1+SUMPRODUCT(MAX(ROW(E6:E$4235)*(E4240=E6:E$4235)))))</f>
        <v/>
      </c>
      <c r="J4240" s="24" t="str">
        <f aca="true">IF(OR(E4240="",E4240="!!!",F4240="NEW"),"",COUNTBLANK(OFFSET(A$1,,,SUMPRODUCT(MAX(ROW(E$2:E4240)*(E4240=E$2:E4240)))))-COUNTBLANK(OFFSET(A$1,,,SUMPRODUCT(MAX(ROW(E$1:E4239)*(E2=E$1:E4239))))))</f>
        <v/>
      </c>
      <c r="K4240" s="24" t="str">
        <f aca="false">IF(OR(E4240="",E4240="!!!",F4240="NEW"),"",INDEX(J$1:J4239,SUMPRODUCT(MAX(ROW(E$1:E4239)*(E4240=E$1:E4239)))))</f>
        <v/>
      </c>
      <c r="L4240" s="31"/>
    </row>
    <row r="4241" customFormat="false" ht="15" hidden="false" customHeight="false" outlineLevel="0" collapsed="false">
      <c r="A4241" s="20" t="s">
        <v>2330</v>
      </c>
      <c r="B4241" s="22" t="s">
        <v>1081</v>
      </c>
      <c r="C4241" s="22" t="s">
        <v>1059</v>
      </c>
      <c r="D4241" s="22" t="s">
        <v>1060</v>
      </c>
      <c r="E4241" s="23" t="str">
        <f aca="false">IF(D4241="?OLD","!!!","")</f>
        <v>!!!</v>
      </c>
      <c r="F4241" s="25" t="str">
        <f aca="false">IF(OR(E4241="",E4241="!!!"),"",IF(NOT(ISNA(VLOOKUP(E4241,E$1:E4240,1,FALSE()))),"OLD",IF(AND(E4241&lt;&gt;"",E4241&lt;&gt;"!!!"),"NEW","")))</f>
        <v/>
      </c>
      <c r="G4241" s="26" t="str">
        <f aca="false">IF(OR(E4241="",E4241="!!!"),"",IF(OR(J4241=0,AND(J4241=1,K4241=1),AND(J4241=1,I4241="SBJ"),AND(J4241=1,I4241=0)),"?IN_FOCUS",IF(J4241&lt;=2,"?ACTIVATED",IF(J4241&lt;&gt;"","?FAMILIAR",IF(F4241="NEW",IF(ISNA(VLOOKUP(E4241,#REF!,1,FALSE())),"?TYPE_IDENTIFIABLE","?REFERENTIAL"),"_")))))</f>
        <v/>
      </c>
      <c r="H4241" s="27" t="str">
        <f aca="false">IF(J4241&lt;&gt;1,"",IF(I4241="SBJ","CB","?"))</f>
        <v/>
      </c>
      <c r="I4241" s="24" t="str">
        <f aca="false">IF(OR(E4241="",E4241="!!!",F4241="NEW"),"",INDEX(B7:B$4235,-1+SUMPRODUCT(MAX(ROW(E7:E$4235)*(E4241=E7:E$4235)))))</f>
        <v/>
      </c>
      <c r="J4241" s="24" t="str">
        <f aca="true">IF(OR(E4241="",E4241="!!!",F4241="NEW"),"",COUNTBLANK(OFFSET(A$1,,,SUMPRODUCT(MAX(ROW(E$2:E4241)*(E4241=E$2:E4241)))))-COUNTBLANK(OFFSET(A$1,,,SUMPRODUCT(MAX(ROW(E$1:E4240)*(E2=E$1:E4240))))))</f>
        <v/>
      </c>
      <c r="K4241" s="24" t="str">
        <f aca="false">IF(OR(E4241="",E4241="!!!",F4241="NEW"),"",INDEX(J$1:J4240,SUMPRODUCT(MAX(ROW(E$1:E4240)*(E4241=E$1:E4240)))))</f>
        <v/>
      </c>
      <c r="L4241" s="31"/>
    </row>
    <row r="4242" customFormat="false" ht="15" hidden="false" customHeight="false" outlineLevel="0" collapsed="false">
      <c r="A4242" s="20" t="s">
        <v>1173</v>
      </c>
      <c r="E4242" s="23" t="str">
        <f aca="false">IF(D4242="?OLD","!!!","")</f>
        <v/>
      </c>
      <c r="F4242" s="25" t="str">
        <f aca="false">IF(OR(E4242="",E4242="!!!"),"",IF(NOT(ISNA(VLOOKUP(E4242,E$1:E4241,1,FALSE()))),"OLD",IF(AND(E4242&lt;&gt;"",E4242&lt;&gt;"!!!"),"NEW","")))</f>
        <v/>
      </c>
      <c r="G4242" s="26" t="str">
        <f aca="false">IF(OR(E4242="",E4242="!!!"),"",IF(OR(J4242=0,AND(J4242=1,K4242=1),AND(J4242=1,I4242="SBJ"),AND(J4242=1,I4242=0)),"?IN_FOCUS",IF(J4242&lt;=2,"?ACTIVATED",IF(J4242&lt;&gt;"","?FAMILIAR",IF(F4242="NEW",IF(ISNA(VLOOKUP(E4242,#REF!,1,FALSE())),"?TYPE_IDENTIFIABLE","?REFERENTIAL"),"_")))))</f>
        <v/>
      </c>
      <c r="H4242" s="27" t="str">
        <f aca="false">IF(J4242&lt;&gt;1,"",IF(I4242="SBJ","CB","?"))</f>
        <v/>
      </c>
      <c r="I4242" s="24" t="str">
        <f aca="false">IF(OR(E4242="",E4242="!!!",F4242="NEW"),"",INDEX(B8:B$4235,-1+SUMPRODUCT(MAX(ROW(E8:E$4235)*(E4242=E8:E$4235)))))</f>
        <v/>
      </c>
      <c r="J4242" s="24" t="str">
        <f aca="true">IF(OR(E4242="",E4242="!!!",F4242="NEW"),"",COUNTBLANK(OFFSET(A$1,,,SUMPRODUCT(MAX(ROW(E$2:E4242)*(E4242=E$2:E4242)))))-COUNTBLANK(OFFSET(A$1,,,SUMPRODUCT(MAX(ROW(E$1:E4241)*(E2=E$1:E4241))))))</f>
        <v/>
      </c>
      <c r="K4242" s="24" t="str">
        <f aca="false">IF(OR(E4242="",E4242="!!!",F4242="NEW"),"",INDEX(J$1:J4241,SUMPRODUCT(MAX(ROW(E$1:E4241)*(E4242=E$1:E4241)))))</f>
        <v/>
      </c>
      <c r="L4242" s="31"/>
    </row>
    <row r="4243" customFormat="false" ht="15" hidden="false" customHeight="false" outlineLevel="0" collapsed="false">
      <c r="A4243" s="20" t="s">
        <v>1076</v>
      </c>
      <c r="E4243" s="23" t="str">
        <f aca="false">IF(D4243="?OLD","!!!","")</f>
        <v/>
      </c>
      <c r="F4243" s="25" t="str">
        <f aca="false">IF(OR(E4243="",E4243="!!!"),"",IF(NOT(ISNA(VLOOKUP(E4243,E$1:E4242,1,FALSE()))),"OLD",IF(AND(E4243&lt;&gt;"",E4243&lt;&gt;"!!!"),"NEW","")))</f>
        <v/>
      </c>
      <c r="G4243" s="26" t="str">
        <f aca="false">IF(OR(E4243="",E4243="!!!"),"",IF(OR(J4243=0,AND(J4243=1,K4243=1),AND(J4243=1,I4243="SBJ"),AND(J4243=1,I4243=0)),"?IN_FOCUS",IF(J4243&lt;=2,"?ACTIVATED",IF(J4243&lt;&gt;"","?FAMILIAR",IF(F4243="NEW",IF(ISNA(VLOOKUP(E4243,#REF!,1,FALSE())),"?TYPE_IDENTIFIABLE","?REFERENTIAL"),"_")))))</f>
        <v/>
      </c>
      <c r="H4243" s="27" t="str">
        <f aca="false">IF(J4243&lt;&gt;1,"",IF(I4243="SBJ","CB","?"))</f>
        <v/>
      </c>
      <c r="I4243" s="24" t="str">
        <f aca="false">IF(OR(E4243="",E4243="!!!",F4243="NEW"),"",INDEX(B9:B$4235,-1+SUMPRODUCT(MAX(ROW(E9:E$4235)*(E4243=E9:E$4235)))))</f>
        <v/>
      </c>
      <c r="J4243" s="24" t="str">
        <f aca="true">IF(OR(E4243="",E4243="!!!",F4243="NEW"),"",COUNTBLANK(OFFSET(A$1,,,SUMPRODUCT(MAX(ROW(E$2:E4243)*(E4243=E$2:E4243)))))-COUNTBLANK(OFFSET(A$1,,,SUMPRODUCT(MAX(ROW(E$1:E4242)*(E2=E$1:E4242))))))</f>
        <v/>
      </c>
      <c r="K4243" s="24" t="str">
        <f aca="false">IF(OR(E4243="",E4243="!!!",F4243="NEW"),"",INDEX(J$1:J4242,SUMPRODUCT(MAX(ROW(E$1:E4242)*(E4243=E$1:E4242)))))</f>
        <v/>
      </c>
      <c r="L4243" s="31"/>
    </row>
    <row r="4244" customFormat="false" ht="15" hidden="false" customHeight="false" outlineLevel="0" collapsed="false">
      <c r="A4244" s="20" t="s">
        <v>1168</v>
      </c>
      <c r="E4244" s="23" t="str">
        <f aca="false">IF(D4244="?OLD","!!!","")</f>
        <v/>
      </c>
      <c r="F4244" s="25" t="str">
        <f aca="false">IF(OR(E4244="",E4244="!!!"),"",IF(NOT(ISNA(VLOOKUP(E4244,E$1:E4243,1,FALSE()))),"OLD",IF(AND(E4244&lt;&gt;"",E4244&lt;&gt;"!!!"),"NEW","")))</f>
        <v/>
      </c>
      <c r="G4244" s="26" t="str">
        <f aca="false">IF(OR(E4244="",E4244="!!!"),"",IF(OR(J4244=0,AND(J4244=1,K4244=1),AND(J4244=1,I4244="SBJ"),AND(J4244=1,I4244=0)),"?IN_FOCUS",IF(J4244&lt;=2,"?ACTIVATED",IF(J4244&lt;&gt;"","?FAMILIAR",IF(F4244="NEW",IF(ISNA(VLOOKUP(E4244,#REF!,1,FALSE())),"?TYPE_IDENTIFIABLE","?REFERENTIAL"),"_")))))</f>
        <v/>
      </c>
      <c r="H4244" s="27" t="str">
        <f aca="false">IF(J4244&lt;&gt;1,"",IF(I4244="SBJ","CB","?"))</f>
        <v/>
      </c>
      <c r="I4244" s="24" t="str">
        <f aca="false">IF(OR(E4244="",E4244="!!!",F4244="NEW"),"",INDEX(B10:B$4235,-1+SUMPRODUCT(MAX(ROW(E10:E$4235)*(E4244=E10:E$4235)))))</f>
        <v/>
      </c>
      <c r="J4244" s="24" t="str">
        <f aca="true">IF(OR(E4244="",E4244="!!!",F4244="NEW"),"",COUNTBLANK(OFFSET(A$1,,,SUMPRODUCT(MAX(ROW(E$2:E4244)*(E4244=E$2:E4244)))))-COUNTBLANK(OFFSET(A$1,,,SUMPRODUCT(MAX(ROW(E$1:E4243)*(E2=E$1:E4243))))))</f>
        <v/>
      </c>
      <c r="K4244" s="24" t="str">
        <f aca="false">IF(OR(E4244="",E4244="!!!",F4244="NEW"),"",INDEX(J$1:J4243,SUMPRODUCT(MAX(ROW(E$1:E4243)*(E4244=E$1:E4243)))))</f>
        <v/>
      </c>
      <c r="L4244" s="31"/>
    </row>
    <row r="4245" customFormat="false" ht="15" hidden="false" customHeight="false" outlineLevel="0" collapsed="false">
      <c r="A4245" s="20" t="s">
        <v>1143</v>
      </c>
      <c r="E4245" s="23" t="str">
        <f aca="false">IF(D4245="?OLD","!!!","")</f>
        <v/>
      </c>
      <c r="F4245" s="25" t="str">
        <f aca="false">IF(OR(E4245="",E4245="!!!"),"",IF(NOT(ISNA(VLOOKUP(E4245,E$1:E4244,1,FALSE()))),"OLD",IF(AND(E4245&lt;&gt;"",E4245&lt;&gt;"!!!"),"NEW","")))</f>
        <v/>
      </c>
      <c r="G4245" s="26" t="str">
        <f aca="false">IF(OR(E4245="",E4245="!!!"),"",IF(OR(J4245=0,AND(J4245=1,K4245=1),AND(J4245=1,I4245="SBJ"),AND(J4245=1,I4245=0)),"?IN_FOCUS",IF(J4245&lt;=2,"?ACTIVATED",IF(J4245&lt;&gt;"","?FAMILIAR",IF(F4245="NEW",IF(ISNA(VLOOKUP(E4245,#REF!,1,FALSE())),"?TYPE_IDENTIFIABLE","?REFERENTIAL"),"_")))))</f>
        <v/>
      </c>
      <c r="H4245" s="27" t="str">
        <f aca="false">IF(J4245&lt;&gt;1,"",IF(I4245="SBJ","CB","?"))</f>
        <v/>
      </c>
      <c r="I4245" s="24" t="str">
        <f aca="false">IF(OR(E4245="",E4245="!!!",F4245="NEW"),"",INDEX(B11:B$4235,-1+SUMPRODUCT(MAX(ROW(E11:E$4235)*(E4245=E11:E$4235)))))</f>
        <v/>
      </c>
      <c r="J4245" s="24" t="str">
        <f aca="true">IF(OR(E4245="",E4245="!!!",F4245="NEW"),"",COUNTBLANK(OFFSET(A$1,,,SUMPRODUCT(MAX(ROW(E$2:E4245)*(E4245=E$2:E4245)))))-COUNTBLANK(OFFSET(A$1,,,SUMPRODUCT(MAX(ROW(E$1:E4244)*(E2=E$1:E4244))))))</f>
        <v/>
      </c>
      <c r="K4245" s="24" t="str">
        <f aca="false">IF(OR(E4245="",E4245="!!!",F4245="NEW"),"",INDEX(J$1:J4244,SUMPRODUCT(MAX(ROW(E$1:E4244)*(E4245=E$1:E4244)))))</f>
        <v/>
      </c>
      <c r="L4245" s="31"/>
    </row>
    <row r="4246" customFormat="false" ht="15" hidden="false" customHeight="false" outlineLevel="0" collapsed="false">
      <c r="A4246" s="20" t="s">
        <v>1547</v>
      </c>
      <c r="E4246" s="23" t="str">
        <f aca="false">IF(D4246="?OLD","!!!","")</f>
        <v/>
      </c>
      <c r="F4246" s="25" t="str">
        <f aca="false">IF(OR(E4246="",E4246="!!!"),"",IF(NOT(ISNA(VLOOKUP(E4246,E$1:E4245,1,FALSE()))),"OLD",IF(AND(E4246&lt;&gt;"",E4246&lt;&gt;"!!!"),"NEW","")))</f>
        <v/>
      </c>
      <c r="G4246" s="26" t="str">
        <f aca="false">IF(OR(E4246="",E4246="!!!"),"",IF(OR(J4246=0,AND(J4246=1,K4246=1),AND(J4246=1,I4246="SBJ"),AND(J4246=1,I4246=0)),"?IN_FOCUS",IF(J4246&lt;=2,"?ACTIVATED",IF(J4246&lt;&gt;"","?FAMILIAR",IF(F4246="NEW",IF(ISNA(VLOOKUP(E4246,#REF!,1,FALSE())),"?TYPE_IDENTIFIABLE","?REFERENTIAL"),"_")))))</f>
        <v/>
      </c>
      <c r="H4246" s="27" t="str">
        <f aca="false">IF(J4246&lt;&gt;1,"",IF(I4246="SBJ","CB","?"))</f>
        <v/>
      </c>
      <c r="I4246" s="24" t="str">
        <f aca="false">IF(OR(E4246="",E4246="!!!",F4246="NEW"),"",INDEX(B12:B$4235,-1+SUMPRODUCT(MAX(ROW(E12:E$4235)*(E4246=E12:E$4235)))))</f>
        <v/>
      </c>
      <c r="J4246" s="24" t="str">
        <f aca="true">IF(OR(E4246="",E4246="!!!",F4246="NEW"),"",COUNTBLANK(OFFSET(A$1,,,SUMPRODUCT(MAX(ROW(E$2:E4246)*(E4246=E$2:E4246)))))-COUNTBLANK(OFFSET(A$1,,,SUMPRODUCT(MAX(ROW(E$1:E4245)*(E2=E$1:E4245))))))</f>
        <v/>
      </c>
      <c r="K4246" s="24" t="str">
        <f aca="false">IF(OR(E4246="",E4246="!!!",F4246="NEW"),"",INDEX(J$1:J4245,SUMPRODUCT(MAX(ROW(E$1:E4245)*(E4246=E$1:E4245)))))</f>
        <v/>
      </c>
      <c r="L4246" s="31"/>
    </row>
    <row r="4247" customFormat="false" ht="15" hidden="false" customHeight="false" outlineLevel="0" collapsed="false">
      <c r="A4247" s="20" t="s">
        <v>1076</v>
      </c>
      <c r="E4247" s="23" t="str">
        <f aca="false">IF(D4247="?OLD","!!!","")</f>
        <v/>
      </c>
      <c r="F4247" s="25" t="str">
        <f aca="false">IF(OR(E4247="",E4247="!!!"),"",IF(NOT(ISNA(VLOOKUP(E4247,E$1:E4246,1,FALSE()))),"OLD",IF(AND(E4247&lt;&gt;"",E4247&lt;&gt;"!!!"),"NEW","")))</f>
        <v/>
      </c>
      <c r="G4247" s="26" t="str">
        <f aca="false">IF(OR(E4247="",E4247="!!!"),"",IF(OR(J4247=0,AND(J4247=1,K4247=1),AND(J4247=1,I4247="SBJ"),AND(J4247=1,I4247=0)),"?IN_FOCUS",IF(J4247&lt;=2,"?ACTIVATED",IF(J4247&lt;&gt;"","?FAMILIAR",IF(F4247="NEW",IF(ISNA(VLOOKUP(E4247,#REF!,1,FALSE())),"?TYPE_IDENTIFIABLE","?REFERENTIAL"),"_")))))</f>
        <v/>
      </c>
      <c r="H4247" s="27" t="str">
        <f aca="false">IF(J4247&lt;&gt;1,"",IF(I4247="SBJ","CB","?"))</f>
        <v/>
      </c>
      <c r="I4247" s="24" t="str">
        <f aca="false">IF(OR(E4247="",E4247="!!!",F4247="NEW"),"",INDEX(B13:B$4235,-1+SUMPRODUCT(MAX(ROW(E13:E$4235)*(E4247=E13:E$4235)))))</f>
        <v/>
      </c>
      <c r="J4247" s="24" t="str">
        <f aca="true">IF(OR(E4247="",E4247="!!!",F4247="NEW"),"",COUNTBLANK(OFFSET(A$1,,,SUMPRODUCT(MAX(ROW(E$2:E4247)*(E4247=E$2:E4247)))))-COUNTBLANK(OFFSET(A$1,,,SUMPRODUCT(MAX(ROW(E$1:E4246)*(E2=E$1:E4246))))))</f>
        <v/>
      </c>
      <c r="K4247" s="24" t="str">
        <f aca="false">IF(OR(E4247="",E4247="!!!",F4247="NEW"),"",INDEX(J$1:J4246,SUMPRODUCT(MAX(ROW(E$1:E4246)*(E4247=E$1:E4246)))))</f>
        <v/>
      </c>
      <c r="L4247" s="31"/>
    </row>
    <row r="4248" customFormat="false" ht="15" hidden="false" customHeight="false" outlineLevel="0" collapsed="false">
      <c r="A4248" s="20" t="s">
        <v>607</v>
      </c>
      <c r="E4248" s="23" t="str">
        <f aca="false">IF(D4248="?OLD","!!!","")</f>
        <v/>
      </c>
      <c r="F4248" s="25" t="str">
        <f aca="false">IF(OR(E4248="",E4248="!!!"),"",IF(NOT(ISNA(VLOOKUP(E4248,E$1:E4247,1,FALSE()))),"OLD",IF(AND(E4248&lt;&gt;"",E4248&lt;&gt;"!!!"),"NEW","")))</f>
        <v/>
      </c>
      <c r="G4248" s="26" t="str">
        <f aca="false">IF(OR(E4248="",E4248="!!!"),"",IF(OR(J4248=0,AND(J4248=1,K4248=1),AND(J4248=1,I4248="SBJ"),AND(J4248=1,I4248=0)),"?IN_FOCUS",IF(J4248&lt;=2,"?ACTIVATED",IF(J4248&lt;&gt;"","?FAMILIAR",IF(F4248="NEW",IF(ISNA(VLOOKUP(E4248,#REF!,1,FALSE())),"?TYPE_IDENTIFIABLE","?REFERENTIAL"),"_")))))</f>
        <v/>
      </c>
      <c r="H4248" s="27" t="str">
        <f aca="false">IF(J4248&lt;&gt;1,"",IF(I4248="SBJ","CB","?"))</f>
        <v/>
      </c>
      <c r="I4248" s="24" t="str">
        <f aca="false">IF(OR(E4248="",E4248="!!!",F4248="NEW"),"",INDEX(B14:B$4235,-1+SUMPRODUCT(MAX(ROW(E14:E$4235)*(E4248=E14:E$4235)))))</f>
        <v/>
      </c>
      <c r="J4248" s="24" t="str">
        <f aca="true">IF(OR(E4248="",E4248="!!!",F4248="NEW"),"",COUNTBLANK(OFFSET(A$1,,,SUMPRODUCT(MAX(ROW(E$2:E4248)*(E4248=E$2:E4248)))))-COUNTBLANK(OFFSET(A$1,,,SUMPRODUCT(MAX(ROW(E$1:E4247)*(E2=E$1:E4247))))))</f>
        <v/>
      </c>
      <c r="K4248" s="24" t="str">
        <f aca="false">IF(OR(E4248="",E4248="!!!",F4248="NEW"),"",INDEX(J$1:J4247,SUMPRODUCT(MAX(ROW(E$1:E4247)*(E4248=E$1:E4247)))))</f>
        <v/>
      </c>
      <c r="L4248" s="31"/>
    </row>
    <row r="4249" customFormat="false" ht="15" hidden="false" customHeight="false" outlineLevel="0" collapsed="false">
      <c r="A4249" s="20" t="s">
        <v>1584</v>
      </c>
      <c r="B4249" s="22" t="s">
        <v>1086</v>
      </c>
      <c r="C4249" s="22" t="s">
        <v>1082</v>
      </c>
      <c r="D4249" s="22" t="s">
        <v>1060</v>
      </c>
      <c r="E4249" s="23" t="str">
        <f aca="false">IF(D4249="?OLD","!!!","")</f>
        <v>!!!</v>
      </c>
      <c r="F4249" s="25" t="str">
        <f aca="false">IF(OR(E4249="",E4249="!!!"),"",IF(NOT(ISNA(VLOOKUP(E4249,E$1:E4248,1,FALSE()))),"OLD",IF(AND(E4249&lt;&gt;"",E4249&lt;&gt;"!!!"),"NEW","")))</f>
        <v/>
      </c>
      <c r="G4249" s="26" t="str">
        <f aca="false">IF(OR(E4249="",E4249="!!!"),"",IF(OR(J4249=0,AND(J4249=1,K4249=1),AND(J4249=1,I4249="SBJ"),AND(J4249=1,I4249=0)),"?IN_FOCUS",IF(J4249&lt;=2,"?ACTIVATED",IF(J4249&lt;&gt;"","?FAMILIAR",IF(F4249="NEW",IF(ISNA(VLOOKUP(E4249,#REF!,1,FALSE())),"?TYPE_IDENTIFIABLE","?REFERENTIAL"),"_")))))</f>
        <v/>
      </c>
      <c r="H4249" s="27" t="str">
        <f aca="false">IF(J4249&lt;&gt;1,"",IF(I4249="SBJ","CB","?"))</f>
        <v/>
      </c>
      <c r="I4249" s="24" t="str">
        <f aca="false">IF(OR(E4249="",E4249="!!!",F4249="NEW"),"",INDEX(B15:B$4235,-1+SUMPRODUCT(MAX(ROW(E15:E$4235)*(E4249=E15:E$4235)))))</f>
        <v/>
      </c>
      <c r="J4249" s="24" t="str">
        <f aca="true">IF(OR(E4249="",E4249="!!!",F4249="NEW"),"",COUNTBLANK(OFFSET(A$1,,,SUMPRODUCT(MAX(ROW(E$2:E4249)*(E4249=E$2:E4249)))))-COUNTBLANK(OFFSET(A$1,,,SUMPRODUCT(MAX(ROW(E$1:E4248)*(E2=E$1:E4248))))))</f>
        <v/>
      </c>
      <c r="K4249" s="24" t="str">
        <f aca="false">IF(OR(E4249="",E4249="!!!",F4249="NEW"),"",INDEX(J$1:J4248,SUMPRODUCT(MAX(ROW(E$1:E4248)*(E4249=E$1:E4248)))))</f>
        <v/>
      </c>
      <c r="L4249" s="31"/>
    </row>
    <row r="4250" customFormat="false" ht="15" hidden="false" customHeight="false" outlineLevel="0" collapsed="false">
      <c r="A4250" s="20" t="s">
        <v>1805</v>
      </c>
      <c r="E4250" s="23" t="str">
        <f aca="false">IF(D4250="?OLD","!!!","")</f>
        <v/>
      </c>
      <c r="F4250" s="25" t="str">
        <f aca="false">IF(OR(E4250="",E4250="!!!"),"",IF(NOT(ISNA(VLOOKUP(E4250,E$1:E4249,1,FALSE()))),"OLD",IF(AND(E4250&lt;&gt;"",E4250&lt;&gt;"!!!"),"NEW","")))</f>
        <v/>
      </c>
      <c r="G4250" s="26" t="str">
        <f aca="false">IF(OR(E4250="",E4250="!!!"),"",IF(OR(J4250=0,AND(J4250=1,K4250=1),AND(J4250=1,I4250="SBJ"),AND(J4250=1,I4250=0)),"?IN_FOCUS",IF(J4250&lt;=2,"?ACTIVATED",IF(J4250&lt;&gt;"","?FAMILIAR",IF(F4250="NEW",IF(ISNA(VLOOKUP(E4250,#REF!,1,FALSE())),"?TYPE_IDENTIFIABLE","?REFERENTIAL"),"_")))))</f>
        <v/>
      </c>
      <c r="H4250" s="27" t="str">
        <f aca="false">IF(J4250&lt;&gt;1,"",IF(I4250="SBJ","CB","?"))</f>
        <v/>
      </c>
      <c r="I4250" s="24" t="str">
        <f aca="false">IF(OR(E4250="",E4250="!!!",F4250="NEW"),"",INDEX(B16:B$4235,-1+SUMPRODUCT(MAX(ROW(E16:E$4235)*(E4250=E16:E$4235)))))</f>
        <v/>
      </c>
      <c r="J4250" s="24" t="str">
        <f aca="true">IF(OR(E4250="",E4250="!!!",F4250="NEW"),"",COUNTBLANK(OFFSET(A$1,,,SUMPRODUCT(MAX(ROW(E$2:E4250)*(E4250=E$2:E4250)))))-COUNTBLANK(OFFSET(A$1,,,SUMPRODUCT(MAX(ROW(E$1:E4249)*(E2=E$1:E4249))))))</f>
        <v/>
      </c>
      <c r="K4250" s="24" t="str">
        <f aca="false">IF(OR(E4250="",E4250="!!!",F4250="NEW"),"",INDEX(J$1:J4249,SUMPRODUCT(MAX(ROW(E$1:E4249)*(E4250=E$1:E4249)))))</f>
        <v/>
      </c>
      <c r="L4250" s="31"/>
    </row>
    <row r="4251" customFormat="false" ht="15" hidden="false" customHeight="false" outlineLevel="0" collapsed="false">
      <c r="A4251" s="20" t="s">
        <v>923</v>
      </c>
      <c r="E4251" s="23" t="str">
        <f aca="false">IF(D4251="?OLD","!!!","")</f>
        <v/>
      </c>
      <c r="F4251" s="25" t="str">
        <f aca="false">IF(OR(E4251="",E4251="!!!"),"",IF(NOT(ISNA(VLOOKUP(E4251,E$1:E4250,1,FALSE()))),"OLD",IF(AND(E4251&lt;&gt;"",E4251&lt;&gt;"!!!"),"NEW","")))</f>
        <v/>
      </c>
      <c r="G4251" s="26" t="str">
        <f aca="false">IF(OR(E4251="",E4251="!!!"),"",IF(OR(J4251=0,AND(J4251=1,K4251=1),AND(J4251=1,I4251="SBJ"),AND(J4251=1,I4251=0)),"?IN_FOCUS",IF(J4251&lt;=2,"?ACTIVATED",IF(J4251&lt;&gt;"","?FAMILIAR",IF(F4251="NEW",IF(ISNA(VLOOKUP(E4251,#REF!,1,FALSE())),"?TYPE_IDENTIFIABLE","?REFERENTIAL"),"_")))))</f>
        <v/>
      </c>
      <c r="H4251" s="27" t="str">
        <f aca="false">IF(J4251&lt;&gt;1,"",IF(I4251="SBJ","CB","?"))</f>
        <v/>
      </c>
      <c r="I4251" s="24" t="str">
        <f aca="false">IF(OR(E4251="",E4251="!!!",F4251="NEW"),"",INDEX(B17:B$4235,-1+SUMPRODUCT(MAX(ROW(E17:E$4235)*(E4251=E17:E$4235)))))</f>
        <v/>
      </c>
      <c r="J4251" s="24" t="str">
        <f aca="true">IF(OR(E4251="",E4251="!!!",F4251="NEW"),"",COUNTBLANK(OFFSET(A$1,,,SUMPRODUCT(MAX(ROW(E$2:E4251)*(E4251=E$2:E4251)))))-COUNTBLANK(OFFSET(A$1,,,SUMPRODUCT(MAX(ROW(E$1:E4250)*(E2=E$1:E4250))))))</f>
        <v/>
      </c>
      <c r="K4251" s="24" t="str">
        <f aca="false">IF(OR(E4251="",E4251="!!!",F4251="NEW"),"",INDEX(J$1:J4250,SUMPRODUCT(MAX(ROW(E$1:E4250)*(E4251=E$1:E4250)))))</f>
        <v/>
      </c>
      <c r="L4251" s="31"/>
    </row>
    <row r="4252" customFormat="false" ht="15" hidden="false" customHeight="false" outlineLevel="0" collapsed="false">
      <c r="A4252" s="20"/>
    </row>
    <row r="4253" customFormat="false" ht="15" hidden="false" customHeight="false" outlineLevel="0" collapsed="false">
      <c r="A4253" s="20" t="s">
        <v>1301</v>
      </c>
      <c r="E4253" s="23" t="str">
        <f aca="false">IF(D4253="?OLD","!!!","")</f>
        <v/>
      </c>
      <c r="F4253" s="25" t="str">
        <f aca="false">IF(OR(E4253="",E4253="!!!"),"",IF(NOT(ISNA(VLOOKUP(E4253,E$1:E4252,1,FALSE()))),"OLD",IF(AND(E4253&lt;&gt;"",E4253&lt;&gt;"!!!"),"NEW","")))</f>
        <v/>
      </c>
      <c r="G4253" s="26" t="str">
        <f aca="false">IF(OR(E4253="",E4253="!!!"),"",IF(OR(J4253=0,AND(J4253=1,K4253=1),AND(J4253=1,I4253="SBJ"),AND(J4253=1,I4253=0)),"?IN_FOCUS",IF(J4253&lt;=2,"?ACTIVATED",IF(J4253&lt;&gt;"","?FAMILIAR",IF(F4253="NEW",IF(ISNA(VLOOKUP(E4253,#REF!,1,FALSE())),"?TYPE_IDENTIFIABLE","?REFERENTIAL"),"_")))))</f>
        <v/>
      </c>
      <c r="H4253" s="27" t="str">
        <f aca="false">IF(J4253&lt;&gt;1,"",IF(I4253="SBJ","CB","?"))</f>
        <v/>
      </c>
      <c r="I4253" s="24" t="str">
        <f aca="false">IF(OR(E4253="",E4253="!!!",F4253="NEW"),"",INDEX(B2:B$4252,-1+SUMPRODUCT(MAX(ROW(E2:E$4252)*(E4253=E2:E$4252)))))</f>
        <v/>
      </c>
      <c r="J4253" s="24" t="str">
        <f aca="true">IF(OR(E4253="",E4253="!!!",F4253="NEW"),"",COUNTBLANK(OFFSET(A$1,,,SUMPRODUCT(MAX(ROW(E$2:E4253)*(E4253=E$2:E4253)))))-COUNTBLANK(OFFSET(A$1,,,SUMPRODUCT(MAX(ROW(E$1:E4252)*(E2=E$1:E4252))))))</f>
        <v/>
      </c>
      <c r="K4253" s="24" t="str">
        <f aca="false">IF(OR(E4253="",E4253="!!!",F4253="NEW"),"",INDEX(J$1:J4252,SUMPRODUCT(MAX(ROW(E$1:E4252)*(E4253=E$1:E4252)))))</f>
        <v/>
      </c>
      <c r="L4253" s="31"/>
    </row>
    <row r="4254" customFormat="false" ht="15" hidden="false" customHeight="false" outlineLevel="0" collapsed="false">
      <c r="A4254" s="20" t="s">
        <v>2338</v>
      </c>
    </row>
    <row r="4255" customFormat="false" ht="15" hidden="false" customHeight="false" outlineLevel="0" collapsed="false">
      <c r="A4255" s="20" t="s">
        <v>607</v>
      </c>
      <c r="E4255" s="23" t="str">
        <f aca="false">IF(D4255="?OLD","!!!","")</f>
        <v/>
      </c>
      <c r="F4255" s="25" t="str">
        <f aca="false">IF(OR(E4255="",E4255="!!!"),"",IF(NOT(ISNA(VLOOKUP(E4255,E$1:E4254,1,FALSE()))),"OLD",IF(AND(E4255&lt;&gt;"",E4255&lt;&gt;"!!!"),"NEW","")))</f>
        <v/>
      </c>
      <c r="G4255" s="26" t="str">
        <f aca="false">IF(OR(E4255="",E4255="!!!"),"",IF(OR(J4255=0,AND(J4255=1,K4255=1),AND(J4255=1,I4255="SBJ"),AND(J4255=1,I4255=0)),"?IN_FOCUS",IF(J4255&lt;=2,"?ACTIVATED",IF(J4255&lt;&gt;"","?FAMILIAR",IF(F4255="NEW",IF(ISNA(VLOOKUP(E4255,#REF!,1,FALSE())),"?TYPE_IDENTIFIABLE","?REFERENTIAL"),"_")))))</f>
        <v/>
      </c>
      <c r="H4255" s="27" t="str">
        <f aca="false">IF(J4255&lt;&gt;1,"",IF(I4255="SBJ","CB","?"))</f>
        <v/>
      </c>
      <c r="I4255" s="24" t="str">
        <f aca="false">IF(OR(E4255="",E4255="!!!",F4255="NEW"),"",INDEX(B2:B$4254,-1+SUMPRODUCT(MAX(ROW(E2:E$4254)*(E4255=E2:E$4254)))))</f>
        <v/>
      </c>
      <c r="J4255" s="24" t="str">
        <f aca="true">IF(OR(E4255="",E4255="!!!",F4255="NEW"),"",COUNTBLANK(OFFSET(A$1,,,SUMPRODUCT(MAX(ROW(E$2:E4255)*(E4255=E$2:E4255)))))-COUNTBLANK(OFFSET(A$1,,,SUMPRODUCT(MAX(ROW(E$1:E4254)*(E2=E$1:E4254))))))</f>
        <v/>
      </c>
      <c r="K4255" s="24" t="str">
        <f aca="false">IF(OR(E4255="",E4255="!!!",F4255="NEW"),"",INDEX(J$1:J4254,SUMPRODUCT(MAX(ROW(E$1:E4254)*(E4255=E$1:E4254)))))</f>
        <v/>
      </c>
      <c r="L4255" s="31"/>
    </row>
    <row r="4256" customFormat="false" ht="15" hidden="false" customHeight="false" outlineLevel="0" collapsed="false">
      <c r="A4256" s="20" t="s">
        <v>2339</v>
      </c>
      <c r="E4256" s="23" t="str">
        <f aca="false">IF(D4256="?OLD","!!!","")</f>
        <v/>
      </c>
      <c r="F4256" s="25" t="str">
        <f aca="false">IF(OR(E4256="",E4256="!!!"),"",IF(NOT(ISNA(VLOOKUP(E4256,E$1:E4255,1,FALSE()))),"OLD",IF(AND(E4256&lt;&gt;"",E4256&lt;&gt;"!!!"),"NEW","")))</f>
        <v/>
      </c>
      <c r="G4256" s="26" t="str">
        <f aca="false">IF(OR(E4256="",E4256="!!!"),"",IF(OR(J4256=0,AND(J4256=1,K4256=1),AND(J4256=1,I4256="SBJ"),AND(J4256=1,I4256=0)),"?IN_FOCUS",IF(J4256&lt;=2,"?ACTIVATED",IF(J4256&lt;&gt;"","?FAMILIAR",IF(F4256="NEW",IF(ISNA(VLOOKUP(E4256,#REF!,1,FALSE())),"?TYPE_IDENTIFIABLE","?REFERENTIAL"),"_")))))</f>
        <v/>
      </c>
      <c r="H4256" s="27" t="str">
        <f aca="false">IF(J4256&lt;&gt;1,"",IF(I4256="SBJ","CB","?"))</f>
        <v/>
      </c>
      <c r="I4256" s="24" t="str">
        <f aca="false">IF(OR(E4256="",E4256="!!!",F4256="NEW"),"",INDEX(B3:B$4254,-1+SUMPRODUCT(MAX(ROW(E3:E$4254)*(E4256=E3:E$4254)))))</f>
        <v/>
      </c>
      <c r="J4256" s="24" t="str">
        <f aca="true">IF(OR(E4256="",E4256="!!!",F4256="NEW"),"",COUNTBLANK(OFFSET(A$1,,,SUMPRODUCT(MAX(ROW(E$2:E4256)*(E4256=E$2:E4256)))))-COUNTBLANK(OFFSET(A$1,,,SUMPRODUCT(MAX(ROW(E$1:E4255)*(E2=E$1:E4255))))))</f>
        <v/>
      </c>
      <c r="K4256" s="24" t="str">
        <f aca="false">IF(OR(E4256="",E4256="!!!",F4256="NEW"),"",INDEX(J$1:J4255,SUMPRODUCT(MAX(ROW(E$1:E4255)*(E4256=E$1:E4255)))))</f>
        <v/>
      </c>
      <c r="L4256" s="31"/>
    </row>
    <row r="4257" customFormat="false" ht="15" hidden="false" customHeight="false" outlineLevel="0" collapsed="false">
      <c r="A4257" s="20" t="s">
        <v>1583</v>
      </c>
      <c r="E4257" s="23" t="str">
        <f aca="false">IF(D4257="?OLD","!!!","")</f>
        <v/>
      </c>
      <c r="F4257" s="25" t="str">
        <f aca="false">IF(OR(E4257="",E4257="!!!"),"",IF(NOT(ISNA(VLOOKUP(E4257,E$1:E4256,1,FALSE()))),"OLD",IF(AND(E4257&lt;&gt;"",E4257&lt;&gt;"!!!"),"NEW","")))</f>
        <v/>
      </c>
      <c r="G4257" s="26" t="str">
        <f aca="false">IF(OR(E4257="",E4257="!!!"),"",IF(OR(J4257=0,AND(J4257=1,K4257=1),AND(J4257=1,I4257="SBJ"),AND(J4257=1,I4257=0)),"?IN_FOCUS",IF(J4257&lt;=2,"?ACTIVATED",IF(J4257&lt;&gt;"","?FAMILIAR",IF(F4257="NEW",IF(ISNA(VLOOKUP(E4257,#REF!,1,FALSE())),"?TYPE_IDENTIFIABLE","?REFERENTIAL"),"_")))))</f>
        <v/>
      </c>
      <c r="H4257" s="27" t="str">
        <f aca="false">IF(J4257&lt;&gt;1,"",IF(I4257="SBJ","CB","?"))</f>
        <v/>
      </c>
      <c r="I4257" s="24" t="str">
        <f aca="false">IF(OR(E4257="",E4257="!!!",F4257="NEW"),"",INDEX(B4:B$4254,-1+SUMPRODUCT(MAX(ROW(E4:E$4254)*(E4257=E4:E$4254)))))</f>
        <v/>
      </c>
      <c r="J4257" s="24" t="str">
        <f aca="true">IF(OR(E4257="",E4257="!!!",F4257="NEW"),"",COUNTBLANK(OFFSET(A$1,,,SUMPRODUCT(MAX(ROW(E$2:E4257)*(E4257=E$2:E4257)))))-COUNTBLANK(OFFSET(A$1,,,SUMPRODUCT(MAX(ROW(E$1:E4256)*(E2=E$1:E4256))))))</f>
        <v/>
      </c>
      <c r="K4257" s="24" t="str">
        <f aca="false">IF(OR(E4257="",E4257="!!!",F4257="NEW"),"",INDEX(J$1:J4256,SUMPRODUCT(MAX(ROW(E$1:E4256)*(E4257=E$1:E4256)))))</f>
        <v/>
      </c>
      <c r="L4257" s="31"/>
    </row>
    <row r="4258" customFormat="false" ht="15" hidden="false" customHeight="false" outlineLevel="0" collapsed="false">
      <c r="A4258" s="20" t="s">
        <v>1090</v>
      </c>
      <c r="B4258" s="22" t="s">
        <v>1058</v>
      </c>
      <c r="C4258" s="22" t="s">
        <v>1082</v>
      </c>
      <c r="D4258" s="22" t="s">
        <v>1060</v>
      </c>
      <c r="E4258" s="23" t="str">
        <f aca="false">IF(D4258="?OLD","!!!","")</f>
        <v>!!!</v>
      </c>
      <c r="F4258" s="25" t="str">
        <f aca="false">IF(OR(E4258="",E4258="!!!"),"",IF(NOT(ISNA(VLOOKUP(E4258,E$1:E4257,1,FALSE()))),"OLD",IF(AND(E4258&lt;&gt;"",E4258&lt;&gt;"!!!"),"NEW","")))</f>
        <v/>
      </c>
      <c r="G4258" s="26" t="str">
        <f aca="false">IF(OR(E4258="",E4258="!!!"),"",IF(OR(J4258=0,AND(J4258=1,K4258=1),AND(J4258=1,I4258="SBJ"),AND(J4258=1,I4258=0)),"?IN_FOCUS",IF(J4258&lt;=2,"?ACTIVATED",IF(J4258&lt;&gt;"","?FAMILIAR",IF(F4258="NEW",IF(ISNA(VLOOKUP(E4258,#REF!,1,FALSE())),"?TYPE_IDENTIFIABLE","?REFERENTIAL"),"_")))))</f>
        <v/>
      </c>
      <c r="H4258" s="27" t="str">
        <f aca="false">IF(J4258&lt;&gt;1,"",IF(I4258="SBJ","CB","?"))</f>
        <v/>
      </c>
      <c r="I4258" s="24" t="str">
        <f aca="false">IF(OR(E4258="",E4258="!!!",F4258="NEW"),"",INDEX(B5:B$4254,-1+SUMPRODUCT(MAX(ROW(E5:E$4254)*(E4258=E5:E$4254)))))</f>
        <v/>
      </c>
      <c r="J4258" s="24" t="str">
        <f aca="true">IF(OR(E4258="",E4258="!!!",F4258="NEW"),"",COUNTBLANK(OFFSET(A$1,,,SUMPRODUCT(MAX(ROW(E$2:E4258)*(E4258=E$2:E4258)))))-COUNTBLANK(OFFSET(A$1,,,SUMPRODUCT(MAX(ROW(E$1:E4257)*(E2=E$1:E4257))))))</f>
        <v/>
      </c>
      <c r="K4258" s="24" t="str">
        <f aca="false">IF(OR(E4258="",E4258="!!!",F4258="NEW"),"",INDEX(J$1:J4257,SUMPRODUCT(MAX(ROW(E$1:E4257)*(E4258=E$1:E4257)))))</f>
        <v/>
      </c>
      <c r="L4258" s="31"/>
    </row>
    <row r="4259" customFormat="false" ht="15" hidden="false" customHeight="false" outlineLevel="0" collapsed="false">
      <c r="A4259" s="20" t="s">
        <v>106</v>
      </c>
      <c r="E4259" s="23" t="str">
        <f aca="false">IF(D4259="?OLD","!!!","")</f>
        <v/>
      </c>
      <c r="F4259" s="25" t="str">
        <f aca="false">IF(OR(E4259="",E4259="!!!"),"",IF(NOT(ISNA(VLOOKUP(E4259,E$1:E4258,1,FALSE()))),"OLD",IF(AND(E4259&lt;&gt;"",E4259&lt;&gt;"!!!"),"NEW","")))</f>
        <v/>
      </c>
      <c r="G4259" s="26" t="str">
        <f aca="false">IF(OR(E4259="",E4259="!!!"),"",IF(OR(J4259=0,AND(J4259=1,K4259=1),AND(J4259=1,I4259="SBJ"),AND(J4259=1,I4259=0)),"?IN_FOCUS",IF(J4259&lt;=2,"?ACTIVATED",IF(J4259&lt;&gt;"","?FAMILIAR",IF(F4259="NEW",IF(ISNA(VLOOKUP(E4259,#REF!,1,FALSE())),"?TYPE_IDENTIFIABLE","?REFERENTIAL"),"_")))))</f>
        <v/>
      </c>
      <c r="H4259" s="27" t="str">
        <f aca="false">IF(J4259&lt;&gt;1,"",IF(I4259="SBJ","CB","?"))</f>
        <v/>
      </c>
      <c r="I4259" s="24" t="str">
        <f aca="false">IF(OR(E4259="",E4259="!!!",F4259="NEW"),"",INDEX(B6:B$4254,-1+SUMPRODUCT(MAX(ROW(E6:E$4254)*(E4259=E6:E$4254)))))</f>
        <v/>
      </c>
      <c r="J4259" s="24" t="str">
        <f aca="true">IF(OR(E4259="",E4259="!!!",F4259="NEW"),"",COUNTBLANK(OFFSET(A$1,,,SUMPRODUCT(MAX(ROW(E$2:E4259)*(E4259=E$2:E4259)))))-COUNTBLANK(OFFSET(A$1,,,SUMPRODUCT(MAX(ROW(E$1:E4258)*(E2=E$1:E4258))))))</f>
        <v/>
      </c>
      <c r="K4259" s="24" t="str">
        <f aca="false">IF(OR(E4259="",E4259="!!!",F4259="NEW"),"",INDEX(J$1:J4258,SUMPRODUCT(MAX(ROW(E$1:E4258)*(E4259=E$1:E4258)))))</f>
        <v/>
      </c>
      <c r="L4259" s="31"/>
    </row>
    <row r="4260" customFormat="false" ht="15" hidden="false" customHeight="false" outlineLevel="0" collapsed="false">
      <c r="A4260" s="20" t="s">
        <v>1109</v>
      </c>
      <c r="E4260" s="23" t="str">
        <f aca="false">IF(D4260="?OLD","!!!","")</f>
        <v/>
      </c>
      <c r="F4260" s="25" t="str">
        <f aca="false">IF(OR(E4260="",E4260="!!!"),"",IF(NOT(ISNA(VLOOKUP(E4260,E$1:E4259,1,FALSE()))),"OLD",IF(AND(E4260&lt;&gt;"",E4260&lt;&gt;"!!!"),"NEW","")))</f>
        <v/>
      </c>
      <c r="G4260" s="26" t="str">
        <f aca="false">IF(OR(E4260="",E4260="!!!"),"",IF(OR(J4260=0,AND(J4260=1,K4260=1),AND(J4260=1,I4260="SBJ"),AND(J4260=1,I4260=0)),"?IN_FOCUS",IF(J4260&lt;=2,"?ACTIVATED",IF(J4260&lt;&gt;"","?FAMILIAR",IF(F4260="NEW",IF(ISNA(VLOOKUP(E4260,#REF!,1,FALSE())),"?TYPE_IDENTIFIABLE","?REFERENTIAL"),"_")))))</f>
        <v/>
      </c>
      <c r="H4260" s="27" t="str">
        <f aca="false">IF(J4260&lt;&gt;1,"",IF(I4260="SBJ","CB","?"))</f>
        <v/>
      </c>
      <c r="I4260" s="24" t="str">
        <f aca="false">IF(OR(E4260="",E4260="!!!",F4260="NEW"),"",INDEX(B7:B$4254,-1+SUMPRODUCT(MAX(ROW(E7:E$4254)*(E4260=E7:E$4254)))))</f>
        <v/>
      </c>
      <c r="J4260" s="24" t="str">
        <f aca="true">IF(OR(E4260="",E4260="!!!",F4260="NEW"),"",COUNTBLANK(OFFSET(A$1,,,SUMPRODUCT(MAX(ROW(E$2:E4260)*(E4260=E$2:E4260)))))-COUNTBLANK(OFFSET(A$1,,,SUMPRODUCT(MAX(ROW(E$1:E4259)*(E2=E$1:E4259))))))</f>
        <v/>
      </c>
      <c r="K4260" s="24" t="str">
        <f aca="false">IF(OR(E4260="",E4260="!!!",F4260="NEW"),"",INDEX(J$1:J4259,SUMPRODUCT(MAX(ROW(E$1:E4259)*(E4260=E$1:E4259)))))</f>
        <v/>
      </c>
      <c r="L4260" s="31"/>
    </row>
    <row r="4261" customFormat="false" ht="15" hidden="false" customHeight="false" outlineLevel="0" collapsed="false">
      <c r="A4261" s="20" t="s">
        <v>2340</v>
      </c>
      <c r="B4261" s="22" t="s">
        <v>1086</v>
      </c>
      <c r="C4261" s="22" t="s">
        <v>1150</v>
      </c>
      <c r="D4261" s="22" t="s">
        <v>1060</v>
      </c>
      <c r="E4261" s="23" t="str">
        <f aca="false">IF(D4261="?OLD","!!!","")</f>
        <v>!!!</v>
      </c>
      <c r="F4261" s="25" t="str">
        <f aca="false">IF(OR(E4261="",E4261="!!!"),"",IF(NOT(ISNA(VLOOKUP(E4261,E$1:E4260,1,FALSE()))),"OLD",IF(AND(E4261&lt;&gt;"",E4261&lt;&gt;"!!!"),"NEW","")))</f>
        <v/>
      </c>
      <c r="G4261" s="26" t="str">
        <f aca="false">IF(OR(E4261="",E4261="!!!"),"",IF(OR(J4261=0,AND(J4261=1,K4261=1),AND(J4261=1,I4261="SBJ"),AND(J4261=1,I4261=0)),"?IN_FOCUS",IF(J4261&lt;=2,"?ACTIVATED",IF(J4261&lt;&gt;"","?FAMILIAR",IF(F4261="NEW",IF(ISNA(VLOOKUP(E4261,#REF!,1,FALSE())),"?TYPE_IDENTIFIABLE","?REFERENTIAL"),"_")))))</f>
        <v/>
      </c>
      <c r="H4261" s="27" t="str">
        <f aca="false">IF(J4261&lt;&gt;1,"",IF(I4261="SBJ","CB","?"))</f>
        <v/>
      </c>
      <c r="I4261" s="24" t="str">
        <f aca="false">IF(OR(E4261="",E4261="!!!",F4261="NEW"),"",INDEX(B8:B$4254,-1+SUMPRODUCT(MAX(ROW(E8:E$4254)*(E4261=E8:E$4254)))))</f>
        <v/>
      </c>
      <c r="J4261" s="24" t="str">
        <f aca="true">IF(OR(E4261="",E4261="!!!",F4261="NEW"),"",COUNTBLANK(OFFSET(A$1,,,SUMPRODUCT(MAX(ROW(E$2:E4261)*(E4261=E$2:E4261)))))-COUNTBLANK(OFFSET(A$1,,,SUMPRODUCT(MAX(ROW(E$1:E4260)*(E2=E$1:E4260))))))</f>
        <v/>
      </c>
      <c r="K4261" s="24" t="str">
        <f aca="false">IF(OR(E4261="",E4261="!!!",F4261="NEW"),"",INDEX(J$1:J4260,SUMPRODUCT(MAX(ROW(E$1:E4260)*(E4261=E$1:E4260)))))</f>
        <v/>
      </c>
      <c r="L4261" s="31"/>
    </row>
    <row r="4262" customFormat="false" ht="15" hidden="false" customHeight="false" outlineLevel="0" collapsed="false">
      <c r="A4262" s="20" t="s">
        <v>2341</v>
      </c>
      <c r="E4262" s="23" t="str">
        <f aca="false">IF(D4262="?OLD","!!!","")</f>
        <v/>
      </c>
      <c r="F4262" s="25" t="str">
        <f aca="false">IF(OR(E4262="",E4262="!!!"),"",IF(NOT(ISNA(VLOOKUP(E4262,E$1:E4261,1,FALSE()))),"OLD",IF(AND(E4262&lt;&gt;"",E4262&lt;&gt;"!!!"),"NEW","")))</f>
        <v/>
      </c>
      <c r="G4262" s="26" t="str">
        <f aca="false">IF(OR(E4262="",E4262="!!!"),"",IF(OR(J4262=0,AND(J4262=1,K4262=1),AND(J4262=1,I4262="SBJ"),AND(J4262=1,I4262=0)),"?IN_FOCUS",IF(J4262&lt;=2,"?ACTIVATED",IF(J4262&lt;&gt;"","?FAMILIAR",IF(F4262="NEW",IF(ISNA(VLOOKUP(E4262,#REF!,1,FALSE())),"?TYPE_IDENTIFIABLE","?REFERENTIAL"),"_")))))</f>
        <v/>
      </c>
      <c r="H4262" s="27" t="str">
        <f aca="false">IF(J4262&lt;&gt;1,"",IF(I4262="SBJ","CB","?"))</f>
        <v/>
      </c>
      <c r="I4262" s="24" t="str">
        <f aca="false">IF(OR(E4262="",E4262="!!!",F4262="NEW"),"",INDEX(B9:B$4254,-1+SUMPRODUCT(MAX(ROW(E9:E$4254)*(E4262=E9:E$4254)))))</f>
        <v/>
      </c>
      <c r="J4262" s="24" t="str">
        <f aca="true">IF(OR(E4262="",E4262="!!!",F4262="NEW"),"",COUNTBLANK(OFFSET(A$1,,,SUMPRODUCT(MAX(ROW(E$2:E4262)*(E4262=E$2:E4262)))))-COUNTBLANK(OFFSET(A$1,,,SUMPRODUCT(MAX(ROW(E$1:E4261)*(E2=E$1:E4261))))))</f>
        <v/>
      </c>
      <c r="K4262" s="24" t="str">
        <f aca="false">IF(OR(E4262="",E4262="!!!",F4262="NEW"),"",INDEX(J$1:J4261,SUMPRODUCT(MAX(ROW(E$1:E4261)*(E4262=E$1:E4261)))))</f>
        <v/>
      </c>
      <c r="L4262" s="31"/>
    </row>
    <row r="4263" customFormat="false" ht="15" hidden="false" customHeight="false" outlineLevel="0" collapsed="false">
      <c r="A4263" s="20" t="s">
        <v>1095</v>
      </c>
      <c r="E4263" s="23" t="str">
        <f aca="false">IF(D4263="?OLD","!!!","")</f>
        <v/>
      </c>
      <c r="F4263" s="25" t="str">
        <f aca="false">IF(OR(E4263="",E4263="!!!"),"",IF(NOT(ISNA(VLOOKUP(E4263,E$1:E4262,1,FALSE()))),"OLD",IF(AND(E4263&lt;&gt;"",E4263&lt;&gt;"!!!"),"NEW","")))</f>
        <v/>
      </c>
      <c r="G4263" s="26" t="str">
        <f aca="false">IF(OR(E4263="",E4263="!!!"),"",IF(OR(J4263=0,AND(J4263=1,K4263=1),AND(J4263=1,I4263="SBJ"),AND(J4263=1,I4263=0)),"?IN_FOCUS",IF(J4263&lt;=2,"?ACTIVATED",IF(J4263&lt;&gt;"","?FAMILIAR",IF(F4263="NEW",IF(ISNA(VLOOKUP(E4263,#REF!,1,FALSE())),"?TYPE_IDENTIFIABLE","?REFERENTIAL"),"_")))))</f>
        <v/>
      </c>
      <c r="H4263" s="27" t="str">
        <f aca="false">IF(J4263&lt;&gt;1,"",IF(I4263="SBJ","CB","?"))</f>
        <v/>
      </c>
      <c r="I4263" s="24" t="str">
        <f aca="false">IF(OR(E4263="",E4263="!!!",F4263="NEW"),"",INDEX(B10:B$4254,-1+SUMPRODUCT(MAX(ROW(E10:E$4254)*(E4263=E10:E$4254)))))</f>
        <v/>
      </c>
      <c r="J4263" s="24" t="str">
        <f aca="true">IF(OR(E4263="",E4263="!!!",F4263="NEW"),"",COUNTBLANK(OFFSET(A$1,,,SUMPRODUCT(MAX(ROW(E$2:E4263)*(E4263=E$2:E4263)))))-COUNTBLANK(OFFSET(A$1,,,SUMPRODUCT(MAX(ROW(E$1:E4262)*(E2=E$1:E4262))))))</f>
        <v/>
      </c>
      <c r="K4263" s="24" t="str">
        <f aca="false">IF(OR(E4263="",E4263="!!!",F4263="NEW"),"",INDEX(J$1:J4262,SUMPRODUCT(MAX(ROW(E$1:E4262)*(E4263=E$1:E4262)))))</f>
        <v/>
      </c>
      <c r="L4263" s="31"/>
    </row>
    <row r="4264" customFormat="false" ht="15" hidden="false" customHeight="false" outlineLevel="0" collapsed="false">
      <c r="A4264" s="20" t="s">
        <v>16</v>
      </c>
      <c r="E4264" s="23" t="str">
        <f aca="false">IF(D4264="?OLD","!!!","")</f>
        <v/>
      </c>
      <c r="F4264" s="25" t="str">
        <f aca="false">IF(OR(E4264="",E4264="!!!"),"",IF(NOT(ISNA(VLOOKUP(E4264,E$1:E4263,1,FALSE()))),"OLD",IF(AND(E4264&lt;&gt;"",E4264&lt;&gt;"!!!"),"NEW","")))</f>
        <v/>
      </c>
      <c r="G4264" s="26" t="str">
        <f aca="false">IF(OR(E4264="",E4264="!!!"),"",IF(OR(J4264=0,AND(J4264=1,K4264=1),AND(J4264=1,I4264="SBJ"),AND(J4264=1,I4264=0)),"?IN_FOCUS",IF(J4264&lt;=2,"?ACTIVATED",IF(J4264&lt;&gt;"","?FAMILIAR",IF(F4264="NEW",IF(ISNA(VLOOKUP(E4264,#REF!,1,FALSE())),"?TYPE_IDENTIFIABLE","?REFERENTIAL"),"_")))))</f>
        <v/>
      </c>
      <c r="H4264" s="27" t="str">
        <f aca="false">IF(J4264&lt;&gt;1,"",IF(I4264="SBJ","CB","?"))</f>
        <v/>
      </c>
      <c r="I4264" s="24" t="str">
        <f aca="false">IF(OR(E4264="",E4264="!!!",F4264="NEW"),"",INDEX(B11:B$4254,-1+SUMPRODUCT(MAX(ROW(E11:E$4254)*(E4264=E11:E$4254)))))</f>
        <v/>
      </c>
      <c r="J4264" s="24" t="str">
        <f aca="true">IF(OR(E4264="",E4264="!!!",F4264="NEW"),"",COUNTBLANK(OFFSET(A$1,,,SUMPRODUCT(MAX(ROW(E$2:E4264)*(E4264=E$2:E4264)))))-COUNTBLANK(OFFSET(A$1,,,SUMPRODUCT(MAX(ROW(E$1:E4263)*(E2=E$1:E4263))))))</f>
        <v/>
      </c>
      <c r="K4264" s="24" t="str">
        <f aca="false">IF(OR(E4264="",E4264="!!!",F4264="NEW"),"",INDEX(J$1:J4263,SUMPRODUCT(MAX(ROW(E$1:E4263)*(E4264=E$1:E4263)))))</f>
        <v/>
      </c>
      <c r="L4264" s="31"/>
    </row>
    <row r="4265" customFormat="false" ht="15" hidden="false" customHeight="false" outlineLevel="0" collapsed="false">
      <c r="A4265" s="20" t="s">
        <v>1643</v>
      </c>
      <c r="B4265" s="22" t="s">
        <v>1073</v>
      </c>
      <c r="C4265" s="22" t="s">
        <v>1160</v>
      </c>
      <c r="E4265" s="23" t="str">
        <f aca="false">IF(D4265="?OLD","!!!","")</f>
        <v/>
      </c>
      <c r="F4265" s="25" t="str">
        <f aca="false">IF(OR(E4265="",E4265="!!!"),"",IF(NOT(ISNA(VLOOKUP(E4265,E$1:E4264,1,FALSE()))),"OLD",IF(AND(E4265&lt;&gt;"",E4265&lt;&gt;"!!!"),"NEW","")))</f>
        <v/>
      </c>
      <c r="G4265" s="26" t="str">
        <f aca="false">IF(OR(E4265="",E4265="!!!"),"",IF(OR(J4265=0,AND(J4265=1,K4265=1),AND(J4265=1,I4265="SBJ"),AND(J4265=1,I4265=0)),"?IN_FOCUS",IF(J4265&lt;=2,"?ACTIVATED",IF(J4265&lt;&gt;"","?FAMILIAR",IF(F4265="NEW",IF(ISNA(VLOOKUP(E4265,#REF!,1,FALSE())),"?TYPE_IDENTIFIABLE","?REFERENTIAL"),"_")))))</f>
        <v/>
      </c>
      <c r="H4265" s="27" t="str">
        <f aca="false">IF(J4265&lt;&gt;1,"",IF(I4265="SBJ","CB","?"))</f>
        <v/>
      </c>
      <c r="I4265" s="24" t="str">
        <f aca="false">IF(OR(E4265="",E4265="!!!",F4265="NEW"),"",INDEX(B12:B$4254,-1+SUMPRODUCT(MAX(ROW(E12:E$4254)*(E4265=E12:E$4254)))))</f>
        <v/>
      </c>
      <c r="J4265" s="24" t="str">
        <f aca="true">IF(OR(E4265="",E4265="!!!",F4265="NEW"),"",COUNTBLANK(OFFSET(A$1,,,SUMPRODUCT(MAX(ROW(E$2:E4265)*(E4265=E$2:E4265)))))-COUNTBLANK(OFFSET(A$1,,,SUMPRODUCT(MAX(ROW(E$1:E4264)*(E2=E$1:E4264))))))</f>
        <v/>
      </c>
      <c r="K4265" s="24" t="str">
        <f aca="false">IF(OR(E4265="",E4265="!!!",F4265="NEW"),"",INDEX(J$1:J4264,SUMPRODUCT(MAX(ROW(E$1:E4264)*(E4265=E$1:E4264)))))</f>
        <v/>
      </c>
      <c r="L4265" s="31"/>
    </row>
    <row r="4266" customFormat="false" ht="15" hidden="false" customHeight="false" outlineLevel="0" collapsed="false">
      <c r="A4266" s="20" t="s">
        <v>1307</v>
      </c>
      <c r="E4266" s="23" t="str">
        <f aca="false">IF(D4266="?OLD","!!!","")</f>
        <v/>
      </c>
      <c r="F4266" s="25" t="str">
        <f aca="false">IF(OR(E4266="",E4266="!!!"),"",IF(NOT(ISNA(VLOOKUP(E4266,E$1:E4265,1,FALSE()))),"OLD",IF(AND(E4266&lt;&gt;"",E4266&lt;&gt;"!!!"),"NEW","")))</f>
        <v/>
      </c>
      <c r="G4266" s="26" t="str">
        <f aca="false">IF(OR(E4266="",E4266="!!!"),"",IF(OR(J4266=0,AND(J4266=1,K4266=1),AND(J4266=1,I4266="SBJ"),AND(J4266=1,I4266=0)),"?IN_FOCUS",IF(J4266&lt;=2,"?ACTIVATED",IF(J4266&lt;&gt;"","?FAMILIAR",IF(F4266="NEW",IF(ISNA(VLOOKUP(E4266,#REF!,1,FALSE())),"?TYPE_IDENTIFIABLE","?REFERENTIAL"),"_")))))</f>
        <v/>
      </c>
      <c r="H4266" s="27" t="str">
        <f aca="false">IF(J4266&lt;&gt;1,"",IF(I4266="SBJ","CB","?"))</f>
        <v/>
      </c>
      <c r="I4266" s="24" t="str">
        <f aca="false">IF(OR(E4266="",E4266="!!!",F4266="NEW"),"",INDEX(B13:B$4254,-1+SUMPRODUCT(MAX(ROW(E13:E$4254)*(E4266=E13:E$4254)))))</f>
        <v/>
      </c>
      <c r="J4266" s="24" t="str">
        <f aca="true">IF(OR(E4266="",E4266="!!!",F4266="NEW"),"",COUNTBLANK(OFFSET(A$1,,,SUMPRODUCT(MAX(ROW(E$2:E4266)*(E4266=E$2:E4266)))))-COUNTBLANK(OFFSET(A$1,,,SUMPRODUCT(MAX(ROW(E$1:E4265)*(E2=E$1:E4265))))))</f>
        <v/>
      </c>
      <c r="K4266" s="24" t="str">
        <f aca="false">IF(OR(E4266="",E4266="!!!",F4266="NEW"),"",INDEX(J$1:J4265,SUMPRODUCT(MAX(ROW(E$1:E4265)*(E4266=E$1:E4265)))))</f>
        <v/>
      </c>
      <c r="L4266" s="31"/>
    </row>
    <row r="4267" customFormat="false" ht="15" hidden="false" customHeight="false" outlineLevel="0" collapsed="false">
      <c r="A4267" s="20"/>
    </row>
    <row r="4268" customFormat="false" ht="15" hidden="false" customHeight="false" outlineLevel="0" collapsed="false">
      <c r="A4268" s="20" t="s">
        <v>2342</v>
      </c>
    </row>
    <row r="4269" customFormat="false" ht="15" hidden="false" customHeight="false" outlineLevel="0" collapsed="false">
      <c r="A4269" s="20" t="s">
        <v>1277</v>
      </c>
      <c r="B4269" s="22" t="s">
        <v>1058</v>
      </c>
      <c r="C4269" s="22" t="s">
        <v>1082</v>
      </c>
      <c r="D4269" s="22" t="s">
        <v>1060</v>
      </c>
      <c r="E4269" s="23" t="str">
        <f aca="false">IF(D4269="?OLD","!!!","")</f>
        <v>!!!</v>
      </c>
      <c r="F4269" s="25" t="str">
        <f aca="false">IF(OR(E4269="",E4269="!!!"),"",IF(NOT(ISNA(VLOOKUP(E4269,E$1:E4268,1,FALSE()))),"OLD",IF(AND(E4269&lt;&gt;"",E4269&lt;&gt;"!!!"),"NEW","")))</f>
        <v/>
      </c>
      <c r="G4269" s="26" t="str">
        <f aca="false">IF(OR(E4269="",E4269="!!!"),"",IF(OR(J4269=0,AND(J4269=1,K4269=1),AND(J4269=1,I4269="SBJ"),AND(J4269=1,I4269=0)),"?IN_FOCUS",IF(J4269&lt;=2,"?ACTIVATED",IF(J4269&lt;&gt;"","?FAMILIAR",IF(F4269="NEW",IF(ISNA(VLOOKUP(E4269,#REF!,1,FALSE())),"?TYPE_IDENTIFIABLE","?REFERENTIAL"),"_")))))</f>
        <v/>
      </c>
      <c r="H4269" s="27" t="str">
        <f aca="false">IF(J4269&lt;&gt;1,"",IF(I4269="SBJ","CB","?"))</f>
        <v/>
      </c>
      <c r="I4269" s="24" t="str">
        <f aca="false">IF(OR(E4269="",E4269="!!!",F4269="NEW"),"",INDEX(B2:B$4268,-1+SUMPRODUCT(MAX(ROW(E2:E$4268)*(E4269=E2:E$4268)))))</f>
        <v/>
      </c>
      <c r="J4269" s="24" t="str">
        <f aca="true">IF(OR(E4269="",E4269="!!!",F4269="NEW"),"",COUNTBLANK(OFFSET(A$1,,,SUMPRODUCT(MAX(ROW(E$2:E4269)*(E4269=E$2:E4269)))))-COUNTBLANK(OFFSET(A$1,,,SUMPRODUCT(MAX(ROW(E$1:E4268)*(E2=E$1:E4268))))))</f>
        <v/>
      </c>
      <c r="K4269" s="24" t="str">
        <f aca="false">IF(OR(E4269="",E4269="!!!",F4269="NEW"),"",INDEX(J$1:J4268,SUMPRODUCT(MAX(ROW(E$1:E4268)*(E4269=E$1:E4268)))))</f>
        <v/>
      </c>
      <c r="L4269" s="31"/>
    </row>
    <row r="4270" customFormat="false" ht="15" hidden="false" customHeight="false" outlineLevel="0" collapsed="false">
      <c r="A4270" s="20" t="s">
        <v>2343</v>
      </c>
      <c r="E4270" s="23" t="str">
        <f aca="false">IF(D4270="?OLD","!!!","")</f>
        <v/>
      </c>
      <c r="F4270" s="25" t="str">
        <f aca="false">IF(OR(E4270="",E4270="!!!"),"",IF(NOT(ISNA(VLOOKUP(E4270,E$1:E4269,1,FALSE()))),"OLD",IF(AND(E4270&lt;&gt;"",E4270&lt;&gt;"!!!"),"NEW","")))</f>
        <v/>
      </c>
      <c r="G4270" s="26" t="str">
        <f aca="false">IF(OR(E4270="",E4270="!!!"),"",IF(OR(J4270=0,AND(J4270=1,K4270=1),AND(J4270=1,I4270="SBJ"),AND(J4270=1,I4270=0)),"?IN_FOCUS",IF(J4270&lt;=2,"?ACTIVATED",IF(J4270&lt;&gt;"","?FAMILIAR",IF(F4270="NEW",IF(ISNA(VLOOKUP(E4270,#REF!,1,FALSE())),"?TYPE_IDENTIFIABLE","?REFERENTIAL"),"_")))))</f>
        <v/>
      </c>
      <c r="H4270" s="27" t="str">
        <f aca="false">IF(J4270&lt;&gt;1,"",IF(I4270="SBJ","CB","?"))</f>
        <v/>
      </c>
      <c r="I4270" s="24" t="str">
        <f aca="false">IF(OR(E4270="",E4270="!!!",F4270="NEW"),"",INDEX(B3:B$4268,-1+SUMPRODUCT(MAX(ROW(E3:E$4268)*(E4270=E3:E$4268)))))</f>
        <v/>
      </c>
      <c r="J4270" s="24" t="str">
        <f aca="true">IF(OR(E4270="",E4270="!!!",F4270="NEW"),"",COUNTBLANK(OFFSET(A$1,,,SUMPRODUCT(MAX(ROW(E$2:E4270)*(E4270=E$2:E4270)))))-COUNTBLANK(OFFSET(A$1,,,SUMPRODUCT(MAX(ROW(E$1:E4269)*(E2=E$1:E4269))))))</f>
        <v/>
      </c>
      <c r="K4270" s="24" t="str">
        <f aca="false">IF(OR(E4270="",E4270="!!!",F4270="NEW"),"",INDEX(J$1:J4269,SUMPRODUCT(MAX(ROW(E$1:E4269)*(E4270=E$1:E4269)))))</f>
        <v/>
      </c>
      <c r="L4270" s="31"/>
    </row>
    <row r="4271" customFormat="false" ht="15" hidden="false" customHeight="false" outlineLevel="0" collapsed="false">
      <c r="A4271" s="20" t="s">
        <v>1454</v>
      </c>
      <c r="B4271" s="22" t="s">
        <v>1081</v>
      </c>
      <c r="C4271" s="22" t="s">
        <v>1082</v>
      </c>
      <c r="D4271" s="22" t="s">
        <v>1060</v>
      </c>
      <c r="E4271" s="23" t="str">
        <f aca="false">IF(D4271="?OLD","!!!","")</f>
        <v>!!!</v>
      </c>
      <c r="F4271" s="25" t="str">
        <f aca="false">IF(OR(E4271="",E4271="!!!"),"",IF(NOT(ISNA(VLOOKUP(E4271,E$1:E4270,1,FALSE()))),"OLD",IF(AND(E4271&lt;&gt;"",E4271&lt;&gt;"!!!"),"NEW","")))</f>
        <v/>
      </c>
      <c r="G4271" s="26" t="str">
        <f aca="false">IF(OR(E4271="",E4271="!!!"),"",IF(OR(J4271=0,AND(J4271=1,K4271=1),AND(J4271=1,I4271="SBJ"),AND(J4271=1,I4271=0)),"?IN_FOCUS",IF(J4271&lt;=2,"?ACTIVATED",IF(J4271&lt;&gt;"","?FAMILIAR",IF(F4271="NEW",IF(ISNA(VLOOKUP(E4271,#REF!,1,FALSE())),"?TYPE_IDENTIFIABLE","?REFERENTIAL"),"_")))))</f>
        <v/>
      </c>
      <c r="H4271" s="27" t="str">
        <f aca="false">IF(J4271&lt;&gt;1,"",IF(I4271="SBJ","CB","?"))</f>
        <v/>
      </c>
      <c r="I4271" s="24" t="str">
        <f aca="false">IF(OR(E4271="",E4271="!!!",F4271="NEW"),"",INDEX(B4:B$4268,-1+SUMPRODUCT(MAX(ROW(E4:E$4268)*(E4271=E4:E$4268)))))</f>
        <v/>
      </c>
      <c r="J4271" s="24" t="str">
        <f aca="true">IF(OR(E4271="",E4271="!!!",F4271="NEW"),"",COUNTBLANK(OFFSET(A$1,,,SUMPRODUCT(MAX(ROW(E$2:E4271)*(E4271=E$2:E4271)))))-COUNTBLANK(OFFSET(A$1,,,SUMPRODUCT(MAX(ROW(E$1:E4270)*(E2=E$1:E4270))))))</f>
        <v/>
      </c>
      <c r="K4271" s="24" t="str">
        <f aca="false">IF(OR(E4271="",E4271="!!!",F4271="NEW"),"",INDEX(J$1:J4270,SUMPRODUCT(MAX(ROW(E$1:E4270)*(E4271=E$1:E4270)))))</f>
        <v/>
      </c>
      <c r="L4271" s="31"/>
    </row>
    <row r="4272" customFormat="false" ht="15" hidden="false" customHeight="false" outlineLevel="0" collapsed="false">
      <c r="A4272" s="20" t="s">
        <v>1901</v>
      </c>
      <c r="E4272" s="23" t="str">
        <f aca="false">IF(D4272="?OLD","!!!","")</f>
        <v/>
      </c>
      <c r="F4272" s="25" t="str">
        <f aca="false">IF(OR(E4272="",E4272="!!!"),"",IF(NOT(ISNA(VLOOKUP(E4272,E$1:E4271,1,FALSE()))),"OLD",IF(AND(E4272&lt;&gt;"",E4272&lt;&gt;"!!!"),"NEW","")))</f>
        <v/>
      </c>
      <c r="G4272" s="26" t="str">
        <f aca="false">IF(OR(E4272="",E4272="!!!"),"",IF(OR(J4272=0,AND(J4272=1,K4272=1),AND(J4272=1,I4272="SBJ"),AND(J4272=1,I4272=0)),"?IN_FOCUS",IF(J4272&lt;=2,"?ACTIVATED",IF(J4272&lt;&gt;"","?FAMILIAR",IF(F4272="NEW",IF(ISNA(VLOOKUP(E4272,#REF!,1,FALSE())),"?TYPE_IDENTIFIABLE","?REFERENTIAL"),"_")))))</f>
        <v/>
      </c>
      <c r="H4272" s="27" t="str">
        <f aca="false">IF(J4272&lt;&gt;1,"",IF(I4272="SBJ","CB","?"))</f>
        <v/>
      </c>
      <c r="I4272" s="24" t="str">
        <f aca="false">IF(OR(E4272="",E4272="!!!",F4272="NEW"),"",INDEX(B5:B$4268,-1+SUMPRODUCT(MAX(ROW(E5:E$4268)*(E4272=E5:E$4268)))))</f>
        <v/>
      </c>
      <c r="J4272" s="24" t="str">
        <f aca="true">IF(OR(E4272="",E4272="!!!",F4272="NEW"),"",COUNTBLANK(OFFSET(A$1,,,SUMPRODUCT(MAX(ROW(E$2:E4272)*(E4272=E$2:E4272)))))-COUNTBLANK(OFFSET(A$1,,,SUMPRODUCT(MAX(ROW(E$1:E4271)*(E2=E$1:E4271))))))</f>
        <v/>
      </c>
      <c r="K4272" s="24" t="str">
        <f aca="false">IF(OR(E4272="",E4272="!!!",F4272="NEW"),"",INDEX(J$1:J4271,SUMPRODUCT(MAX(ROW(E$1:E4271)*(E4272=E$1:E4271)))))</f>
        <v/>
      </c>
      <c r="L4272" s="31"/>
    </row>
    <row r="4273" customFormat="false" ht="15" hidden="false" customHeight="false" outlineLevel="0" collapsed="false">
      <c r="A4273" s="20" t="s">
        <v>1076</v>
      </c>
      <c r="E4273" s="23" t="str">
        <f aca="false">IF(D4273="?OLD","!!!","")</f>
        <v/>
      </c>
      <c r="F4273" s="25" t="str">
        <f aca="false">IF(OR(E4273="",E4273="!!!"),"",IF(NOT(ISNA(VLOOKUP(E4273,E$1:E4272,1,FALSE()))),"OLD",IF(AND(E4273&lt;&gt;"",E4273&lt;&gt;"!!!"),"NEW","")))</f>
        <v/>
      </c>
      <c r="G4273" s="26" t="str">
        <f aca="false">IF(OR(E4273="",E4273="!!!"),"",IF(OR(J4273=0,AND(J4273=1,K4273=1),AND(J4273=1,I4273="SBJ"),AND(J4273=1,I4273=0)),"?IN_FOCUS",IF(J4273&lt;=2,"?ACTIVATED",IF(J4273&lt;&gt;"","?FAMILIAR",IF(F4273="NEW",IF(ISNA(VLOOKUP(E4273,#REF!,1,FALSE())),"?TYPE_IDENTIFIABLE","?REFERENTIAL"),"_")))))</f>
        <v/>
      </c>
      <c r="H4273" s="27" t="str">
        <f aca="false">IF(J4273&lt;&gt;1,"",IF(I4273="SBJ","CB","?"))</f>
        <v/>
      </c>
      <c r="I4273" s="24" t="str">
        <f aca="false">IF(OR(E4273="",E4273="!!!",F4273="NEW"),"",INDEX(B6:B$4268,-1+SUMPRODUCT(MAX(ROW(E6:E$4268)*(E4273=E6:E$4268)))))</f>
        <v/>
      </c>
      <c r="J4273" s="24" t="str">
        <f aca="true">IF(OR(E4273="",E4273="!!!",F4273="NEW"),"",COUNTBLANK(OFFSET(A$1,,,SUMPRODUCT(MAX(ROW(E$2:E4273)*(E4273=E$2:E4273)))))-COUNTBLANK(OFFSET(A$1,,,SUMPRODUCT(MAX(ROW(E$1:E4272)*(E2=E$1:E4272))))))</f>
        <v/>
      </c>
      <c r="K4273" s="24" t="str">
        <f aca="false">IF(OR(E4273="",E4273="!!!",F4273="NEW"),"",INDEX(J$1:J4272,SUMPRODUCT(MAX(ROW(E$1:E4272)*(E4273=E$1:E4272)))))</f>
        <v/>
      </c>
      <c r="L4273" s="31"/>
    </row>
    <row r="4274" customFormat="false" ht="15" hidden="false" customHeight="false" outlineLevel="0" collapsed="false">
      <c r="A4274" s="20" t="s">
        <v>1090</v>
      </c>
      <c r="B4274" s="22" t="s">
        <v>1105</v>
      </c>
      <c r="C4274" s="22" t="s">
        <v>1082</v>
      </c>
      <c r="D4274" s="22" t="s">
        <v>1060</v>
      </c>
      <c r="E4274" s="23" t="str">
        <f aca="false">IF(D4274="?OLD","!!!","")</f>
        <v>!!!</v>
      </c>
      <c r="F4274" s="25" t="str">
        <f aca="false">IF(OR(E4274="",E4274="!!!"),"",IF(NOT(ISNA(VLOOKUP(E4274,E$1:E4273,1,FALSE()))),"OLD",IF(AND(E4274&lt;&gt;"",E4274&lt;&gt;"!!!"),"NEW","")))</f>
        <v/>
      </c>
      <c r="G4274" s="26" t="str">
        <f aca="false">IF(OR(E4274="",E4274="!!!"),"",IF(OR(J4274=0,AND(J4274=1,K4274=1),AND(J4274=1,I4274="SBJ"),AND(J4274=1,I4274=0)),"?IN_FOCUS",IF(J4274&lt;=2,"?ACTIVATED",IF(J4274&lt;&gt;"","?FAMILIAR",IF(F4274="NEW",IF(ISNA(VLOOKUP(E4274,#REF!,1,FALSE())),"?TYPE_IDENTIFIABLE","?REFERENTIAL"),"_")))))</f>
        <v/>
      </c>
      <c r="H4274" s="27" t="str">
        <f aca="false">IF(J4274&lt;&gt;1,"",IF(I4274="SBJ","CB","?"))</f>
        <v/>
      </c>
      <c r="I4274" s="24" t="str">
        <f aca="false">IF(OR(E4274="",E4274="!!!",F4274="NEW"),"",INDEX(B7:B$4268,-1+SUMPRODUCT(MAX(ROW(E7:E$4268)*(E4274=E7:E$4268)))))</f>
        <v/>
      </c>
      <c r="J4274" s="24" t="str">
        <f aca="true">IF(OR(E4274="",E4274="!!!",F4274="NEW"),"",COUNTBLANK(OFFSET(A$1,,,SUMPRODUCT(MAX(ROW(E$2:E4274)*(E4274=E$2:E4274)))))-COUNTBLANK(OFFSET(A$1,,,SUMPRODUCT(MAX(ROW(E$1:E4273)*(E2=E$1:E4273))))))</f>
        <v/>
      </c>
      <c r="K4274" s="24" t="str">
        <f aca="false">IF(OR(E4274="",E4274="!!!",F4274="NEW"),"",INDEX(J$1:J4273,SUMPRODUCT(MAX(ROW(E$1:E4273)*(E4274=E$1:E4273)))))</f>
        <v/>
      </c>
      <c r="L4274" s="31"/>
    </row>
    <row r="4275" customFormat="false" ht="15" hidden="false" customHeight="false" outlineLevel="0" collapsed="false">
      <c r="A4275" s="20" t="s">
        <v>1128</v>
      </c>
      <c r="E4275" s="23" t="str">
        <f aca="false">IF(D4275="?OLD","!!!","")</f>
        <v/>
      </c>
      <c r="F4275" s="25" t="str">
        <f aca="false">IF(OR(E4275="",E4275="!!!"),"",IF(NOT(ISNA(VLOOKUP(E4275,E$1:E4274,1,FALSE()))),"OLD",IF(AND(E4275&lt;&gt;"",E4275&lt;&gt;"!!!"),"NEW","")))</f>
        <v/>
      </c>
      <c r="G4275" s="26" t="str">
        <f aca="false">IF(OR(E4275="",E4275="!!!"),"",IF(OR(J4275=0,AND(J4275=1,K4275=1),AND(J4275=1,I4275="SBJ"),AND(J4275=1,I4275=0)),"?IN_FOCUS",IF(J4275&lt;=2,"?ACTIVATED",IF(J4275&lt;&gt;"","?FAMILIAR",IF(F4275="NEW",IF(ISNA(VLOOKUP(E4275,#REF!,1,FALSE())),"?TYPE_IDENTIFIABLE","?REFERENTIAL"),"_")))))</f>
        <v/>
      </c>
      <c r="H4275" s="27" t="str">
        <f aca="false">IF(J4275&lt;&gt;1,"",IF(I4275="SBJ","CB","?"))</f>
        <v/>
      </c>
      <c r="I4275" s="24" t="str">
        <f aca="false">IF(OR(E4275="",E4275="!!!",F4275="NEW"),"",INDEX(B8:B$4268,-1+SUMPRODUCT(MAX(ROW(E8:E$4268)*(E4275=E8:E$4268)))))</f>
        <v/>
      </c>
      <c r="J4275" s="24" t="str">
        <f aca="true">IF(OR(E4275="",E4275="!!!",F4275="NEW"),"",COUNTBLANK(OFFSET(A$1,,,SUMPRODUCT(MAX(ROW(E$2:E4275)*(E4275=E$2:E4275)))))-COUNTBLANK(OFFSET(A$1,,,SUMPRODUCT(MAX(ROW(E$1:E4274)*(E2=E$1:E4274))))))</f>
        <v/>
      </c>
      <c r="K4275" s="24" t="str">
        <f aca="false">IF(OR(E4275="",E4275="!!!",F4275="NEW"),"",INDEX(J$1:J4274,SUMPRODUCT(MAX(ROW(E$1:E4274)*(E4275=E$1:E4274)))))</f>
        <v/>
      </c>
      <c r="L4275" s="31"/>
    </row>
    <row r="4276" customFormat="false" ht="15" hidden="false" customHeight="false" outlineLevel="0" collapsed="false">
      <c r="A4276" s="20" t="s">
        <v>1162</v>
      </c>
      <c r="B4276" s="22" t="s">
        <v>1073</v>
      </c>
      <c r="C4276" s="22" t="s">
        <v>1082</v>
      </c>
      <c r="D4276" s="22" t="s">
        <v>1060</v>
      </c>
      <c r="E4276" s="23" t="str">
        <f aca="false">IF(D4276="?OLD","!!!","")</f>
        <v>!!!</v>
      </c>
      <c r="F4276" s="25" t="str">
        <f aca="false">IF(OR(E4276="",E4276="!!!"),"",IF(NOT(ISNA(VLOOKUP(E4276,E$1:E4275,1,FALSE()))),"OLD",IF(AND(E4276&lt;&gt;"",E4276&lt;&gt;"!!!"),"NEW","")))</f>
        <v/>
      </c>
      <c r="G4276" s="26" t="str">
        <f aca="false">IF(OR(E4276="",E4276="!!!"),"",IF(OR(J4276=0,AND(J4276=1,K4276=1),AND(J4276=1,I4276="SBJ"),AND(J4276=1,I4276=0)),"?IN_FOCUS",IF(J4276&lt;=2,"?ACTIVATED",IF(J4276&lt;&gt;"","?FAMILIAR",IF(F4276="NEW",IF(ISNA(VLOOKUP(E4276,#REF!,1,FALSE())),"?TYPE_IDENTIFIABLE","?REFERENTIAL"),"_")))))</f>
        <v/>
      </c>
      <c r="H4276" s="27" t="str">
        <f aca="false">IF(J4276&lt;&gt;1,"",IF(I4276="SBJ","CB","?"))</f>
        <v/>
      </c>
      <c r="I4276" s="24" t="str">
        <f aca="false">IF(OR(E4276="",E4276="!!!",F4276="NEW"),"",INDEX(B9:B$4268,-1+SUMPRODUCT(MAX(ROW(E9:E$4268)*(E4276=E9:E$4268)))))</f>
        <v/>
      </c>
      <c r="J4276" s="24" t="str">
        <f aca="true">IF(OR(E4276="",E4276="!!!",F4276="NEW"),"",COUNTBLANK(OFFSET(A$1,,,SUMPRODUCT(MAX(ROW(E$2:E4276)*(E4276=E$2:E4276)))))-COUNTBLANK(OFFSET(A$1,,,SUMPRODUCT(MAX(ROW(E$1:E4275)*(E2=E$1:E4275))))))</f>
        <v/>
      </c>
      <c r="K4276" s="24" t="str">
        <f aca="false">IF(OR(E4276="",E4276="!!!",F4276="NEW"),"",INDEX(J$1:J4275,SUMPRODUCT(MAX(ROW(E$1:E4275)*(E4276=E$1:E4275)))))</f>
        <v/>
      </c>
      <c r="L4276" s="31"/>
    </row>
    <row r="4277" customFormat="false" ht="15" hidden="false" customHeight="false" outlineLevel="0" collapsed="false">
      <c r="A4277" s="20" t="s">
        <v>1076</v>
      </c>
      <c r="E4277" s="23" t="str">
        <f aca="false">IF(D4277="?OLD","!!!","")</f>
        <v/>
      </c>
      <c r="F4277" s="25" t="str">
        <f aca="false">IF(OR(E4277="",E4277="!!!"),"",IF(NOT(ISNA(VLOOKUP(E4277,E$1:E4276,1,FALSE()))),"OLD",IF(AND(E4277&lt;&gt;"",E4277&lt;&gt;"!!!"),"NEW","")))</f>
        <v/>
      </c>
      <c r="G4277" s="26" t="str">
        <f aca="false">IF(OR(E4277="",E4277="!!!"),"",IF(OR(J4277=0,AND(J4277=1,K4277=1),AND(J4277=1,I4277="SBJ"),AND(J4277=1,I4277=0)),"?IN_FOCUS",IF(J4277&lt;=2,"?ACTIVATED",IF(J4277&lt;&gt;"","?FAMILIAR",IF(F4277="NEW",IF(ISNA(VLOOKUP(E4277,#REF!,1,FALSE())),"?TYPE_IDENTIFIABLE","?REFERENTIAL"),"_")))))</f>
        <v/>
      </c>
      <c r="H4277" s="27" t="str">
        <f aca="false">IF(J4277&lt;&gt;1,"",IF(I4277="SBJ","CB","?"))</f>
        <v/>
      </c>
      <c r="I4277" s="24" t="str">
        <f aca="false">IF(OR(E4277="",E4277="!!!",F4277="NEW"),"",INDEX(B10:B$4268,-1+SUMPRODUCT(MAX(ROW(E10:E$4268)*(E4277=E10:E$4268)))))</f>
        <v/>
      </c>
      <c r="J4277" s="24" t="str">
        <f aca="true">IF(OR(E4277="",E4277="!!!",F4277="NEW"),"",COUNTBLANK(OFFSET(A$1,,,SUMPRODUCT(MAX(ROW(E$2:E4277)*(E4277=E$2:E4277)))))-COUNTBLANK(OFFSET(A$1,,,SUMPRODUCT(MAX(ROW(E$1:E4276)*(E2=E$1:E4276))))))</f>
        <v/>
      </c>
      <c r="K4277" s="24" t="str">
        <f aca="false">IF(OR(E4277="",E4277="!!!",F4277="NEW"),"",INDEX(J$1:J4276,SUMPRODUCT(MAX(ROW(E$1:E4276)*(E4277=E$1:E4276)))))</f>
        <v/>
      </c>
      <c r="L4277" s="31"/>
    </row>
    <row r="4278" customFormat="false" ht="15" hidden="false" customHeight="false" outlineLevel="0" collapsed="false">
      <c r="A4278" s="20" t="s">
        <v>1095</v>
      </c>
      <c r="E4278" s="23" t="str">
        <f aca="false">IF(D4278="?OLD","!!!","")</f>
        <v/>
      </c>
      <c r="F4278" s="25" t="str">
        <f aca="false">IF(OR(E4278="",E4278="!!!"),"",IF(NOT(ISNA(VLOOKUP(E4278,E$1:E4277,1,FALSE()))),"OLD",IF(AND(E4278&lt;&gt;"",E4278&lt;&gt;"!!!"),"NEW","")))</f>
        <v/>
      </c>
      <c r="G4278" s="26" t="str">
        <f aca="false">IF(OR(E4278="",E4278="!!!"),"",IF(OR(J4278=0,AND(J4278=1,K4278=1),AND(J4278=1,I4278="SBJ"),AND(J4278=1,I4278=0)),"?IN_FOCUS",IF(J4278&lt;=2,"?ACTIVATED",IF(J4278&lt;&gt;"","?FAMILIAR",IF(F4278="NEW",IF(ISNA(VLOOKUP(E4278,#REF!,1,FALSE())),"?TYPE_IDENTIFIABLE","?REFERENTIAL"),"_")))))</f>
        <v/>
      </c>
      <c r="H4278" s="27" t="str">
        <f aca="false">IF(J4278&lt;&gt;1,"",IF(I4278="SBJ","CB","?"))</f>
        <v/>
      </c>
      <c r="I4278" s="24" t="str">
        <f aca="false">IF(OR(E4278="",E4278="!!!",F4278="NEW"),"",INDEX(B11:B$4268,-1+SUMPRODUCT(MAX(ROW(E11:E$4268)*(E4278=E11:E$4268)))))</f>
        <v/>
      </c>
      <c r="J4278" s="24" t="str">
        <f aca="true">IF(OR(E4278="",E4278="!!!",F4278="NEW"),"",COUNTBLANK(OFFSET(A$1,,,SUMPRODUCT(MAX(ROW(E$2:E4278)*(E4278=E$2:E4278)))))-COUNTBLANK(OFFSET(A$1,,,SUMPRODUCT(MAX(ROW(E$1:E4277)*(E2=E$1:E4277))))))</f>
        <v/>
      </c>
      <c r="K4278" s="24" t="str">
        <f aca="false">IF(OR(E4278="",E4278="!!!",F4278="NEW"),"",INDEX(J$1:J4277,SUMPRODUCT(MAX(ROW(E$1:E4277)*(E4278=E$1:E4277)))))</f>
        <v/>
      </c>
      <c r="L4278" s="31"/>
    </row>
    <row r="4279" customFormat="false" ht="15" hidden="false" customHeight="false" outlineLevel="0" collapsed="false">
      <c r="A4279" s="20" t="s">
        <v>2344</v>
      </c>
      <c r="E4279" s="23" t="str">
        <f aca="false">IF(D4279="?OLD","!!!","")</f>
        <v/>
      </c>
      <c r="F4279" s="25" t="str">
        <f aca="false">IF(OR(E4279="",E4279="!!!"),"",IF(NOT(ISNA(VLOOKUP(E4279,E$1:E4278,1,FALSE()))),"OLD",IF(AND(E4279&lt;&gt;"",E4279&lt;&gt;"!!!"),"NEW","")))</f>
        <v/>
      </c>
      <c r="G4279" s="26" t="str">
        <f aca="false">IF(OR(E4279="",E4279="!!!"),"",IF(OR(J4279=0,AND(J4279=1,K4279=1),AND(J4279=1,I4279="SBJ"),AND(J4279=1,I4279=0)),"?IN_FOCUS",IF(J4279&lt;=2,"?ACTIVATED",IF(J4279&lt;&gt;"","?FAMILIAR",IF(F4279="NEW",IF(ISNA(VLOOKUP(E4279,#REF!,1,FALSE())),"?TYPE_IDENTIFIABLE","?REFERENTIAL"),"_")))))</f>
        <v/>
      </c>
      <c r="H4279" s="27" t="str">
        <f aca="false">IF(J4279&lt;&gt;1,"",IF(I4279="SBJ","CB","?"))</f>
        <v/>
      </c>
      <c r="I4279" s="24" t="str">
        <f aca="false">IF(OR(E4279="",E4279="!!!",F4279="NEW"),"",INDEX(B12:B$4268,-1+SUMPRODUCT(MAX(ROW(E12:E$4268)*(E4279=E12:E$4268)))))</f>
        <v/>
      </c>
      <c r="J4279" s="24" t="str">
        <f aca="true">IF(OR(E4279="",E4279="!!!",F4279="NEW"),"",COUNTBLANK(OFFSET(A$1,,,SUMPRODUCT(MAX(ROW(E$2:E4279)*(E4279=E$2:E4279)))))-COUNTBLANK(OFFSET(A$1,,,SUMPRODUCT(MAX(ROW(E$1:E4278)*(E2=E$1:E4278))))))</f>
        <v/>
      </c>
      <c r="K4279" s="24" t="str">
        <f aca="false">IF(OR(E4279="",E4279="!!!",F4279="NEW"),"",INDEX(J$1:J4278,SUMPRODUCT(MAX(ROW(E$1:E4278)*(E4279=E$1:E4278)))))</f>
        <v/>
      </c>
      <c r="L4279" s="31"/>
    </row>
    <row r="4280" customFormat="false" ht="15" hidden="false" customHeight="false" outlineLevel="0" collapsed="false">
      <c r="A4280" s="20" t="s">
        <v>1109</v>
      </c>
      <c r="E4280" s="23" t="str">
        <f aca="false">IF(D4280="?OLD","!!!","")</f>
        <v/>
      </c>
      <c r="F4280" s="25" t="str">
        <f aca="false">IF(OR(E4280="",E4280="!!!"),"",IF(NOT(ISNA(VLOOKUP(E4280,E$1:E4279,1,FALSE()))),"OLD",IF(AND(E4280&lt;&gt;"",E4280&lt;&gt;"!!!"),"NEW","")))</f>
        <v/>
      </c>
      <c r="G4280" s="26" t="str">
        <f aca="false">IF(OR(E4280="",E4280="!!!"),"",IF(OR(J4280=0,AND(J4280=1,K4280=1),AND(J4280=1,I4280="SBJ"),AND(J4280=1,I4280=0)),"?IN_FOCUS",IF(J4280&lt;=2,"?ACTIVATED",IF(J4280&lt;&gt;"","?FAMILIAR",IF(F4280="NEW",IF(ISNA(VLOOKUP(E4280,#REF!,1,FALSE())),"?TYPE_IDENTIFIABLE","?REFERENTIAL"),"_")))))</f>
        <v/>
      </c>
      <c r="H4280" s="27" t="str">
        <f aca="false">IF(J4280&lt;&gt;1,"",IF(I4280="SBJ","CB","?"))</f>
        <v/>
      </c>
      <c r="I4280" s="24" t="str">
        <f aca="false">IF(OR(E4280="",E4280="!!!",F4280="NEW"),"",INDEX(B13:B$4268,-1+SUMPRODUCT(MAX(ROW(E13:E$4268)*(E4280=E13:E$4268)))))</f>
        <v/>
      </c>
      <c r="J4280" s="24" t="str">
        <f aca="true">IF(OR(E4280="",E4280="!!!",F4280="NEW"),"",COUNTBLANK(OFFSET(A$1,,,SUMPRODUCT(MAX(ROW(E$2:E4280)*(E4280=E$2:E4280)))))-COUNTBLANK(OFFSET(A$1,,,SUMPRODUCT(MAX(ROW(E$1:E4279)*(E2=E$1:E4279))))))</f>
        <v/>
      </c>
      <c r="K4280" s="24" t="str">
        <f aca="false">IF(OR(E4280="",E4280="!!!",F4280="NEW"),"",INDEX(J$1:J4279,SUMPRODUCT(MAX(ROW(E$1:E4279)*(E4280=E$1:E4279)))))</f>
        <v/>
      </c>
      <c r="L4280" s="31"/>
    </row>
    <row r="4281" customFormat="false" ht="15" hidden="false" customHeight="false" outlineLevel="0" collapsed="false">
      <c r="A4281" s="20" t="s">
        <v>2345</v>
      </c>
      <c r="B4281" s="22" t="s">
        <v>1146</v>
      </c>
      <c r="C4281" s="22" t="s">
        <v>1150</v>
      </c>
      <c r="D4281" s="22" t="s">
        <v>1060</v>
      </c>
      <c r="E4281" s="23" t="str">
        <f aca="false">IF(D4281="?OLD","!!!","")</f>
        <v>!!!</v>
      </c>
      <c r="F4281" s="25" t="str">
        <f aca="false">IF(OR(E4281="",E4281="!!!"),"",IF(NOT(ISNA(VLOOKUP(E4281,E$1:E4280,1,FALSE()))),"OLD",IF(AND(E4281&lt;&gt;"",E4281&lt;&gt;"!!!"),"NEW","")))</f>
        <v/>
      </c>
      <c r="G4281" s="26" t="str">
        <f aca="false">IF(OR(E4281="",E4281="!!!"),"",IF(OR(J4281=0,AND(J4281=1,K4281=1),AND(J4281=1,I4281="SBJ"),AND(J4281=1,I4281=0)),"?IN_FOCUS",IF(J4281&lt;=2,"?ACTIVATED",IF(J4281&lt;&gt;"","?FAMILIAR",IF(F4281="NEW",IF(ISNA(VLOOKUP(E4281,#REF!,1,FALSE())),"?TYPE_IDENTIFIABLE","?REFERENTIAL"),"_")))))</f>
        <v/>
      </c>
      <c r="H4281" s="27" t="str">
        <f aca="false">IF(J4281&lt;&gt;1,"",IF(I4281="SBJ","CB","?"))</f>
        <v/>
      </c>
      <c r="I4281" s="24" t="str">
        <f aca="false">IF(OR(E4281="",E4281="!!!",F4281="NEW"),"",INDEX(B14:B$4268,-1+SUMPRODUCT(MAX(ROW(E14:E$4268)*(E4281=E14:E$4268)))))</f>
        <v/>
      </c>
      <c r="J4281" s="24" t="str">
        <f aca="true">IF(OR(E4281="",E4281="!!!",F4281="NEW"),"",COUNTBLANK(OFFSET(A$1,,,SUMPRODUCT(MAX(ROW(E$2:E4281)*(E4281=E$2:E4281)))))-COUNTBLANK(OFFSET(A$1,,,SUMPRODUCT(MAX(ROW(E$1:E4280)*(E2=E$1:E4280))))))</f>
        <v/>
      </c>
      <c r="K4281" s="24" t="str">
        <f aca="false">IF(OR(E4281="",E4281="!!!",F4281="NEW"),"",INDEX(J$1:J4280,SUMPRODUCT(MAX(ROW(E$1:E4280)*(E4281=E$1:E4280)))))</f>
        <v/>
      </c>
      <c r="L4281" s="31"/>
    </row>
    <row r="4282" customFormat="false" ht="15" hidden="false" customHeight="false" outlineLevel="0" collapsed="false">
      <c r="A4282" s="20" t="s">
        <v>1475</v>
      </c>
      <c r="E4282" s="23" t="str">
        <f aca="false">IF(D4282="?OLD","!!!","")</f>
        <v/>
      </c>
      <c r="F4282" s="25" t="str">
        <f aca="false">IF(OR(E4282="",E4282="!!!"),"",IF(NOT(ISNA(VLOOKUP(E4282,E$1:E4281,1,FALSE()))),"OLD",IF(AND(E4282&lt;&gt;"",E4282&lt;&gt;"!!!"),"NEW","")))</f>
        <v/>
      </c>
      <c r="G4282" s="26" t="str">
        <f aca="false">IF(OR(E4282="",E4282="!!!"),"",IF(OR(J4282=0,AND(J4282=1,K4282=1),AND(J4282=1,I4282="SBJ"),AND(J4282=1,I4282=0)),"?IN_FOCUS",IF(J4282&lt;=2,"?ACTIVATED",IF(J4282&lt;&gt;"","?FAMILIAR",IF(F4282="NEW",IF(ISNA(VLOOKUP(E4282,#REF!,1,FALSE())),"?TYPE_IDENTIFIABLE","?REFERENTIAL"),"_")))))</f>
        <v/>
      </c>
      <c r="H4282" s="27" t="str">
        <f aca="false">IF(J4282&lt;&gt;1,"",IF(I4282="SBJ","CB","?"))</f>
        <v/>
      </c>
      <c r="I4282" s="24" t="str">
        <f aca="false">IF(OR(E4282="",E4282="!!!",F4282="NEW"),"",INDEX(B15:B$4268,-1+SUMPRODUCT(MAX(ROW(E15:E$4268)*(E4282=E15:E$4268)))))</f>
        <v/>
      </c>
      <c r="J4282" s="24" t="str">
        <f aca="true">IF(OR(E4282="",E4282="!!!",F4282="NEW"),"",COUNTBLANK(OFFSET(A$1,,,SUMPRODUCT(MAX(ROW(E$2:E4282)*(E4282=E$2:E4282)))))-COUNTBLANK(OFFSET(A$1,,,SUMPRODUCT(MAX(ROW(E$1:E4281)*(E2=E$1:E4281))))))</f>
        <v/>
      </c>
      <c r="K4282" s="24" t="str">
        <f aca="false">IF(OR(E4282="",E4282="!!!",F4282="NEW"),"",INDEX(J$1:J4281,SUMPRODUCT(MAX(ROW(E$1:E4281)*(E4282=E$1:E4281)))))</f>
        <v/>
      </c>
      <c r="L4282" s="31"/>
    </row>
    <row r="4283" customFormat="false" ht="15" hidden="false" customHeight="false" outlineLevel="0" collapsed="false">
      <c r="A4283" s="20" t="s">
        <v>1109</v>
      </c>
      <c r="E4283" s="23" t="str">
        <f aca="false">IF(D4283="?OLD","!!!","")</f>
        <v/>
      </c>
      <c r="F4283" s="25" t="str">
        <f aca="false">IF(OR(E4283="",E4283="!!!"),"",IF(NOT(ISNA(VLOOKUP(E4283,E$1:E4282,1,FALSE()))),"OLD",IF(AND(E4283&lt;&gt;"",E4283&lt;&gt;"!!!"),"NEW","")))</f>
        <v/>
      </c>
      <c r="G4283" s="26" t="str">
        <f aca="false">IF(OR(E4283="",E4283="!!!"),"",IF(OR(J4283=0,AND(J4283=1,K4283=1),AND(J4283=1,I4283="SBJ"),AND(J4283=1,I4283=0)),"?IN_FOCUS",IF(J4283&lt;=2,"?ACTIVATED",IF(J4283&lt;&gt;"","?FAMILIAR",IF(F4283="NEW",IF(ISNA(VLOOKUP(E4283,#REF!,1,FALSE())),"?TYPE_IDENTIFIABLE","?REFERENTIAL"),"_")))))</f>
        <v/>
      </c>
      <c r="H4283" s="27" t="str">
        <f aca="false">IF(J4283&lt;&gt;1,"",IF(I4283="SBJ","CB","?"))</f>
        <v/>
      </c>
      <c r="I4283" s="24" t="str">
        <f aca="false">IF(OR(E4283="",E4283="!!!",F4283="NEW"),"",INDEX(B16:B$4268,-1+SUMPRODUCT(MAX(ROW(E16:E$4268)*(E4283=E16:E$4268)))))</f>
        <v/>
      </c>
      <c r="J4283" s="24" t="str">
        <f aca="true">IF(OR(E4283="",E4283="!!!",F4283="NEW"),"",COUNTBLANK(OFFSET(A$1,,,SUMPRODUCT(MAX(ROW(E$2:E4283)*(E4283=E$2:E4283)))))-COUNTBLANK(OFFSET(A$1,,,SUMPRODUCT(MAX(ROW(E$1:E4282)*(E2=E$1:E4282))))))</f>
        <v/>
      </c>
      <c r="K4283" s="24" t="str">
        <f aca="false">IF(OR(E4283="",E4283="!!!",F4283="NEW"),"",INDEX(J$1:J4282,SUMPRODUCT(MAX(ROW(E$1:E4282)*(E4283=E$1:E4282)))))</f>
        <v/>
      </c>
      <c r="L4283" s="31"/>
    </row>
    <row r="4284" customFormat="false" ht="15" hidden="false" customHeight="false" outlineLevel="0" collapsed="false">
      <c r="A4284" s="20" t="s">
        <v>2319</v>
      </c>
      <c r="B4284" s="22" t="s">
        <v>1067</v>
      </c>
      <c r="C4284" s="22" t="s">
        <v>1150</v>
      </c>
      <c r="D4284" s="22" t="s">
        <v>1060</v>
      </c>
      <c r="E4284" s="23" t="str">
        <f aca="false">IF(D4284="?OLD","!!!","")</f>
        <v>!!!</v>
      </c>
      <c r="F4284" s="25" t="str">
        <f aca="false">IF(OR(E4284="",E4284="!!!"),"",IF(NOT(ISNA(VLOOKUP(E4284,E$1:E4283,1,FALSE()))),"OLD",IF(AND(E4284&lt;&gt;"",E4284&lt;&gt;"!!!"),"NEW","")))</f>
        <v/>
      </c>
      <c r="G4284" s="26" t="str">
        <f aca="false">IF(OR(E4284="",E4284="!!!"),"",IF(OR(J4284=0,AND(J4284=1,K4284=1),AND(J4284=1,I4284="SBJ"),AND(J4284=1,I4284=0)),"?IN_FOCUS",IF(J4284&lt;=2,"?ACTIVATED",IF(J4284&lt;&gt;"","?FAMILIAR",IF(F4284="NEW",IF(ISNA(VLOOKUP(E4284,#REF!,1,FALSE())),"?TYPE_IDENTIFIABLE","?REFERENTIAL"),"_")))))</f>
        <v/>
      </c>
      <c r="H4284" s="27" t="str">
        <f aca="false">IF(J4284&lt;&gt;1,"",IF(I4284="SBJ","CB","?"))</f>
        <v/>
      </c>
      <c r="I4284" s="24" t="str">
        <f aca="false">IF(OR(E4284="",E4284="!!!",F4284="NEW"),"",INDEX(B17:B$4268,-1+SUMPRODUCT(MAX(ROW(E17:E$4268)*(E4284=E17:E$4268)))))</f>
        <v/>
      </c>
      <c r="J4284" s="24" t="str">
        <f aca="true">IF(OR(E4284="",E4284="!!!",F4284="NEW"),"",COUNTBLANK(OFFSET(A$1,,,SUMPRODUCT(MAX(ROW(E$2:E4284)*(E4284=E$2:E4284)))))-COUNTBLANK(OFFSET(A$1,,,SUMPRODUCT(MAX(ROW(E$1:E4283)*(E2=E$1:E4283))))))</f>
        <v/>
      </c>
      <c r="K4284" s="24" t="str">
        <f aca="false">IF(OR(E4284="",E4284="!!!",F4284="NEW"),"",INDEX(J$1:J4283,SUMPRODUCT(MAX(ROW(E$1:E4283)*(E4284=E$1:E4283)))))</f>
        <v/>
      </c>
      <c r="L4284" s="31"/>
    </row>
    <row r="4285" customFormat="false" ht="15" hidden="false" customHeight="false" outlineLevel="0" collapsed="false">
      <c r="A4285" s="20" t="s">
        <v>923</v>
      </c>
      <c r="E4285" s="23" t="str">
        <f aca="false">IF(D4285="?OLD","!!!","")</f>
        <v/>
      </c>
      <c r="F4285" s="25" t="str">
        <f aca="false">IF(OR(E4285="",E4285="!!!"),"",IF(NOT(ISNA(VLOOKUP(E4285,E$1:E4284,1,FALSE()))),"OLD",IF(AND(E4285&lt;&gt;"",E4285&lt;&gt;"!!!"),"NEW","")))</f>
        <v/>
      </c>
      <c r="G4285" s="26" t="str">
        <f aca="false">IF(OR(E4285="",E4285="!!!"),"",IF(OR(J4285=0,AND(J4285=1,K4285=1),AND(J4285=1,I4285="SBJ"),AND(J4285=1,I4285=0)),"?IN_FOCUS",IF(J4285&lt;=2,"?ACTIVATED",IF(J4285&lt;&gt;"","?FAMILIAR",IF(F4285="NEW",IF(ISNA(VLOOKUP(E4285,#REF!,1,FALSE())),"?TYPE_IDENTIFIABLE","?REFERENTIAL"),"_")))))</f>
        <v/>
      </c>
      <c r="H4285" s="27" t="str">
        <f aca="false">IF(J4285&lt;&gt;1,"",IF(I4285="SBJ","CB","?"))</f>
        <v/>
      </c>
      <c r="I4285" s="24" t="str">
        <f aca="false">IF(OR(E4285="",E4285="!!!",F4285="NEW"),"",INDEX(B18:B$4268,-1+SUMPRODUCT(MAX(ROW(E18:E$4268)*(E4285=E18:E$4268)))))</f>
        <v/>
      </c>
      <c r="J4285" s="24" t="str">
        <f aca="true">IF(OR(E4285="",E4285="!!!",F4285="NEW"),"",COUNTBLANK(OFFSET(A$1,,,SUMPRODUCT(MAX(ROW(E$2:E4285)*(E4285=E$2:E4285)))))-COUNTBLANK(OFFSET(A$1,,,SUMPRODUCT(MAX(ROW(E$1:E4284)*(E2=E$1:E4284))))))</f>
        <v/>
      </c>
      <c r="K4285" s="24" t="str">
        <f aca="false">IF(OR(E4285="",E4285="!!!",F4285="NEW"),"",INDEX(J$1:J4284,SUMPRODUCT(MAX(ROW(E$1:E4284)*(E4285=E$1:E4284)))))</f>
        <v/>
      </c>
      <c r="L4285" s="31"/>
    </row>
    <row r="4286" customFormat="false" ht="15" hidden="false" customHeight="false" outlineLevel="0" collapsed="false">
      <c r="A4286" s="20"/>
    </row>
    <row r="4287" customFormat="false" ht="15" hidden="false" customHeight="false" outlineLevel="0" collapsed="false">
      <c r="A4287" s="20" t="s">
        <v>2346</v>
      </c>
    </row>
    <row r="4288" customFormat="false" ht="15" hidden="false" customHeight="false" outlineLevel="0" collapsed="false">
      <c r="A4288" s="20" t="s">
        <v>2275</v>
      </c>
      <c r="E4288" s="23" t="str">
        <f aca="false">IF(D4288="?OLD","!!!","")</f>
        <v/>
      </c>
      <c r="F4288" s="25" t="str">
        <f aca="false">IF(OR(E4288="",E4288="!!!"),"",IF(NOT(ISNA(VLOOKUP(E4288,E$1:E4287,1,FALSE()))),"OLD",IF(AND(E4288&lt;&gt;"",E4288&lt;&gt;"!!!"),"NEW","")))</f>
        <v/>
      </c>
      <c r="G4288" s="26" t="str">
        <f aca="false">IF(OR(E4288="",E4288="!!!"),"",IF(OR(J4288=0,AND(J4288=1,K4288=1),AND(J4288=1,I4288="SBJ"),AND(J4288=1,I4288=0)),"?IN_FOCUS",IF(J4288&lt;=2,"?ACTIVATED",IF(J4288&lt;&gt;"","?FAMILIAR",IF(F4288="NEW",IF(ISNA(VLOOKUP(E4288,#REF!,1,FALSE())),"?TYPE_IDENTIFIABLE","?REFERENTIAL"),"_")))))</f>
        <v/>
      </c>
      <c r="H4288" s="27" t="str">
        <f aca="false">IF(J4288&lt;&gt;1,"",IF(I4288="SBJ","CB","?"))</f>
        <v/>
      </c>
      <c r="I4288" s="24" t="str">
        <f aca="false">IF(OR(E4288="",E4288="!!!",F4288="NEW"),"",INDEX(B2:B$4287,-1+SUMPRODUCT(MAX(ROW(E2:E$4287)*(E4288=E2:E$4287)))))</f>
        <v/>
      </c>
      <c r="J4288" s="24" t="str">
        <f aca="true">IF(OR(E4288="",E4288="!!!",F4288="NEW"),"",COUNTBLANK(OFFSET(A$1,,,SUMPRODUCT(MAX(ROW(E$2:E4288)*(E4288=E$2:E4288)))))-COUNTBLANK(OFFSET(A$1,,,SUMPRODUCT(MAX(ROW(E$1:E4287)*(E2=E$1:E4287))))))</f>
        <v/>
      </c>
      <c r="K4288" s="24" t="str">
        <f aca="false">IF(OR(E4288="",E4288="!!!",F4288="NEW"),"",INDEX(J$1:J4287,SUMPRODUCT(MAX(ROW(E$1:E4287)*(E4288=E$1:E4287)))))</f>
        <v/>
      </c>
      <c r="L4288" s="31"/>
    </row>
    <row r="4289" customFormat="false" ht="15" hidden="false" customHeight="false" outlineLevel="0" collapsed="false">
      <c r="A4289" s="20" t="s">
        <v>1076</v>
      </c>
      <c r="E4289" s="23" t="str">
        <f aca="false">IF(D4289="?OLD","!!!","")</f>
        <v/>
      </c>
      <c r="F4289" s="25" t="str">
        <f aca="false">IF(OR(E4289="",E4289="!!!"),"",IF(NOT(ISNA(VLOOKUP(E4289,E$1:E4288,1,FALSE()))),"OLD",IF(AND(E4289&lt;&gt;"",E4289&lt;&gt;"!!!"),"NEW","")))</f>
        <v/>
      </c>
      <c r="G4289" s="26" t="str">
        <f aca="false">IF(OR(E4289="",E4289="!!!"),"",IF(OR(J4289=0,AND(J4289=1,K4289=1),AND(J4289=1,I4289="SBJ"),AND(J4289=1,I4289=0)),"?IN_FOCUS",IF(J4289&lt;=2,"?ACTIVATED",IF(J4289&lt;&gt;"","?FAMILIAR",IF(F4289="NEW",IF(ISNA(VLOOKUP(E4289,#REF!,1,FALSE())),"?TYPE_IDENTIFIABLE","?REFERENTIAL"),"_")))))</f>
        <v/>
      </c>
      <c r="H4289" s="27" t="str">
        <f aca="false">IF(J4289&lt;&gt;1,"",IF(I4289="SBJ","CB","?"))</f>
        <v/>
      </c>
      <c r="I4289" s="24" t="str">
        <f aca="false">IF(OR(E4289="",E4289="!!!",F4289="NEW"),"",INDEX(B3:B$4287,-1+SUMPRODUCT(MAX(ROW(E3:E$4287)*(E4289=E3:E$4287)))))</f>
        <v/>
      </c>
      <c r="J4289" s="24" t="str">
        <f aca="true">IF(OR(E4289="",E4289="!!!",F4289="NEW"),"",COUNTBLANK(OFFSET(A$1,,,SUMPRODUCT(MAX(ROW(E$2:E4289)*(E4289=E$2:E4289)))))-COUNTBLANK(OFFSET(A$1,,,SUMPRODUCT(MAX(ROW(E$1:E4288)*(E2=E$1:E4288))))))</f>
        <v/>
      </c>
      <c r="K4289" s="24" t="str">
        <f aca="false">IF(OR(E4289="",E4289="!!!",F4289="NEW"),"",INDEX(J$1:J4288,SUMPRODUCT(MAX(ROW(E$1:E4288)*(E4289=E$1:E4288)))))</f>
        <v/>
      </c>
      <c r="L4289" s="31"/>
    </row>
    <row r="4290" customFormat="false" ht="15" hidden="false" customHeight="false" outlineLevel="0" collapsed="false">
      <c r="A4290" s="20" t="s">
        <v>1383</v>
      </c>
      <c r="E4290" s="23" t="str">
        <f aca="false">IF(D4290="?OLD","!!!","")</f>
        <v/>
      </c>
      <c r="F4290" s="25" t="str">
        <f aca="false">IF(OR(E4290="",E4290="!!!"),"",IF(NOT(ISNA(VLOOKUP(E4290,E$1:E4289,1,FALSE()))),"OLD",IF(AND(E4290&lt;&gt;"",E4290&lt;&gt;"!!!"),"NEW","")))</f>
        <v/>
      </c>
      <c r="G4290" s="26" t="str">
        <f aca="false">IF(OR(E4290="",E4290="!!!"),"",IF(OR(J4290=0,AND(J4290=1,K4290=1),AND(J4290=1,I4290="SBJ"),AND(J4290=1,I4290=0)),"?IN_FOCUS",IF(J4290&lt;=2,"?ACTIVATED",IF(J4290&lt;&gt;"","?FAMILIAR",IF(F4290="NEW",IF(ISNA(VLOOKUP(E4290,#REF!,1,FALSE())),"?TYPE_IDENTIFIABLE","?REFERENTIAL"),"_")))))</f>
        <v/>
      </c>
      <c r="H4290" s="27" t="str">
        <f aca="false">IF(J4290&lt;&gt;1,"",IF(I4290="SBJ","CB","?"))</f>
        <v/>
      </c>
      <c r="I4290" s="24" t="str">
        <f aca="false">IF(OR(E4290="",E4290="!!!",F4290="NEW"),"",INDEX(B4:B$4287,-1+SUMPRODUCT(MAX(ROW(E4:E$4287)*(E4290=E4:E$4287)))))</f>
        <v/>
      </c>
      <c r="J4290" s="24" t="str">
        <f aca="true">IF(OR(E4290="",E4290="!!!",F4290="NEW"),"",COUNTBLANK(OFFSET(A$1,,,SUMPRODUCT(MAX(ROW(E$2:E4290)*(E4290=E$2:E4290)))))-COUNTBLANK(OFFSET(A$1,,,SUMPRODUCT(MAX(ROW(E$1:E4289)*(E2=E$1:E4289))))))</f>
        <v/>
      </c>
      <c r="K4290" s="24" t="str">
        <f aca="false">IF(OR(E4290="",E4290="!!!",F4290="NEW"),"",INDEX(J$1:J4289,SUMPRODUCT(MAX(ROW(E$1:E4289)*(E4290=E$1:E4289)))))</f>
        <v/>
      </c>
      <c r="L4290" s="31"/>
    </row>
    <row r="4291" customFormat="false" ht="15" hidden="false" customHeight="false" outlineLevel="0" collapsed="false">
      <c r="A4291" s="20" t="s">
        <v>1162</v>
      </c>
      <c r="B4291" s="22" t="s">
        <v>1058</v>
      </c>
      <c r="C4291" s="22" t="s">
        <v>1082</v>
      </c>
      <c r="D4291" s="22" t="s">
        <v>1060</v>
      </c>
      <c r="E4291" s="23" t="str">
        <f aca="false">IF(D4291="?OLD","!!!","")</f>
        <v>!!!</v>
      </c>
      <c r="F4291" s="25" t="str">
        <f aca="false">IF(OR(E4291="",E4291="!!!"),"",IF(NOT(ISNA(VLOOKUP(E4291,E$1:E4290,1,FALSE()))),"OLD",IF(AND(E4291&lt;&gt;"",E4291&lt;&gt;"!!!"),"NEW","")))</f>
        <v/>
      </c>
      <c r="G4291" s="26" t="str">
        <f aca="false">IF(OR(E4291="",E4291="!!!"),"",IF(OR(J4291=0,AND(J4291=1,K4291=1),AND(J4291=1,I4291="SBJ"),AND(J4291=1,I4291=0)),"?IN_FOCUS",IF(J4291&lt;=2,"?ACTIVATED",IF(J4291&lt;&gt;"","?FAMILIAR",IF(F4291="NEW",IF(ISNA(VLOOKUP(E4291,#REF!,1,FALSE())),"?TYPE_IDENTIFIABLE","?REFERENTIAL"),"_")))))</f>
        <v/>
      </c>
      <c r="H4291" s="27" t="str">
        <f aca="false">IF(J4291&lt;&gt;1,"",IF(I4291="SBJ","CB","?"))</f>
        <v/>
      </c>
      <c r="I4291" s="24" t="str">
        <f aca="false">IF(OR(E4291="",E4291="!!!",F4291="NEW"),"",INDEX(B5:B$4287,-1+SUMPRODUCT(MAX(ROW(E5:E$4287)*(E4291=E5:E$4287)))))</f>
        <v/>
      </c>
      <c r="J4291" s="24" t="str">
        <f aca="true">IF(OR(E4291="",E4291="!!!",F4291="NEW"),"",COUNTBLANK(OFFSET(A$1,,,SUMPRODUCT(MAX(ROW(E$2:E4291)*(E4291=E$2:E4291)))))-COUNTBLANK(OFFSET(A$1,,,SUMPRODUCT(MAX(ROW(E$1:E4290)*(E2=E$1:E4290))))))</f>
        <v/>
      </c>
      <c r="K4291" s="24" t="str">
        <f aca="false">IF(OR(E4291="",E4291="!!!",F4291="NEW"),"",INDEX(J$1:J4290,SUMPRODUCT(MAX(ROW(E$1:E4290)*(E4291=E$1:E4290)))))</f>
        <v/>
      </c>
      <c r="L4291" s="31"/>
    </row>
    <row r="4292" customFormat="false" ht="15" hidden="false" customHeight="false" outlineLevel="0" collapsed="false">
      <c r="A4292" s="20" t="s">
        <v>1198</v>
      </c>
      <c r="E4292" s="23" t="str">
        <f aca="false">IF(D4292="?OLD","!!!","")</f>
        <v/>
      </c>
      <c r="F4292" s="25" t="str">
        <f aca="false">IF(OR(E4292="",E4292="!!!"),"",IF(NOT(ISNA(VLOOKUP(E4292,E$1:E4291,1,FALSE()))),"OLD",IF(AND(E4292&lt;&gt;"",E4292&lt;&gt;"!!!"),"NEW","")))</f>
        <v/>
      </c>
      <c r="G4292" s="26" t="str">
        <f aca="false">IF(OR(E4292="",E4292="!!!"),"",IF(OR(J4292=0,AND(J4292=1,K4292=1),AND(J4292=1,I4292="SBJ"),AND(J4292=1,I4292=0)),"?IN_FOCUS",IF(J4292&lt;=2,"?ACTIVATED",IF(J4292&lt;&gt;"","?FAMILIAR",IF(F4292="NEW",IF(ISNA(VLOOKUP(E4292,#REF!,1,FALSE())),"?TYPE_IDENTIFIABLE","?REFERENTIAL"),"_")))))</f>
        <v/>
      </c>
      <c r="H4292" s="27" t="str">
        <f aca="false">IF(J4292&lt;&gt;1,"",IF(I4292="SBJ","CB","?"))</f>
        <v/>
      </c>
      <c r="I4292" s="24" t="str">
        <f aca="false">IF(OR(E4292="",E4292="!!!",F4292="NEW"),"",INDEX(B6:B$4287,-1+SUMPRODUCT(MAX(ROW(E6:E$4287)*(E4292=E6:E$4287)))))</f>
        <v/>
      </c>
      <c r="J4292" s="24" t="str">
        <f aca="true">IF(OR(E4292="",E4292="!!!",F4292="NEW"),"",COUNTBLANK(OFFSET(A$1,,,SUMPRODUCT(MAX(ROW(E$2:E4292)*(E4292=E$2:E4292)))))-COUNTBLANK(OFFSET(A$1,,,SUMPRODUCT(MAX(ROW(E$1:E4291)*(E2=E$1:E4291))))))</f>
        <v/>
      </c>
      <c r="K4292" s="24" t="str">
        <f aca="false">IF(OR(E4292="",E4292="!!!",F4292="NEW"),"",INDEX(J$1:J4291,SUMPRODUCT(MAX(ROW(E$1:E4291)*(E4292=E$1:E4291)))))</f>
        <v/>
      </c>
      <c r="L4292" s="31"/>
    </row>
    <row r="4293" customFormat="false" ht="15" hidden="false" customHeight="false" outlineLevel="0" collapsed="false">
      <c r="A4293" s="20" t="s">
        <v>1199</v>
      </c>
      <c r="E4293" s="23" t="str">
        <f aca="false">IF(D4293="?OLD","!!!","")</f>
        <v/>
      </c>
      <c r="F4293" s="25" t="str">
        <f aca="false">IF(OR(E4293="",E4293="!!!"),"",IF(NOT(ISNA(VLOOKUP(E4293,E$1:E4292,1,FALSE()))),"OLD",IF(AND(E4293&lt;&gt;"",E4293&lt;&gt;"!!!"),"NEW","")))</f>
        <v/>
      </c>
      <c r="G4293" s="26" t="str">
        <f aca="false">IF(OR(E4293="",E4293="!!!"),"",IF(OR(J4293=0,AND(J4293=1,K4293=1),AND(J4293=1,I4293="SBJ"),AND(J4293=1,I4293=0)),"?IN_FOCUS",IF(J4293&lt;=2,"?ACTIVATED",IF(J4293&lt;&gt;"","?FAMILIAR",IF(F4293="NEW",IF(ISNA(VLOOKUP(E4293,#REF!,1,FALSE())),"?TYPE_IDENTIFIABLE","?REFERENTIAL"),"_")))))</f>
        <v/>
      </c>
      <c r="H4293" s="27" t="str">
        <f aca="false">IF(J4293&lt;&gt;1,"",IF(I4293="SBJ","CB","?"))</f>
        <v/>
      </c>
      <c r="I4293" s="24" t="str">
        <f aca="false">IF(OR(E4293="",E4293="!!!",F4293="NEW"),"",INDEX(B7:B$4287,-1+SUMPRODUCT(MAX(ROW(E7:E$4287)*(E4293=E7:E$4287)))))</f>
        <v/>
      </c>
      <c r="J4293" s="24" t="str">
        <f aca="true">IF(OR(E4293="",E4293="!!!",F4293="NEW"),"",COUNTBLANK(OFFSET(A$1,,,SUMPRODUCT(MAX(ROW(E$2:E4293)*(E4293=E$2:E4293)))))-COUNTBLANK(OFFSET(A$1,,,SUMPRODUCT(MAX(ROW(E$1:E4292)*(E2=E$1:E4292))))))</f>
        <v/>
      </c>
      <c r="K4293" s="24" t="str">
        <f aca="false">IF(OR(E4293="",E4293="!!!",F4293="NEW"),"",INDEX(J$1:J4292,SUMPRODUCT(MAX(ROW(E$1:E4292)*(E4293=E$1:E4292)))))</f>
        <v/>
      </c>
      <c r="L4293" s="31"/>
    </row>
    <row r="4294" customFormat="false" ht="15" hidden="false" customHeight="false" outlineLevel="0" collapsed="false">
      <c r="A4294" s="20" t="s">
        <v>576</v>
      </c>
      <c r="E4294" s="23" t="str">
        <f aca="false">IF(D4294="?OLD","!!!","")</f>
        <v/>
      </c>
      <c r="F4294" s="25" t="str">
        <f aca="false">IF(OR(E4294="",E4294="!!!"),"",IF(NOT(ISNA(VLOOKUP(E4294,E$1:E4293,1,FALSE()))),"OLD",IF(AND(E4294&lt;&gt;"",E4294&lt;&gt;"!!!"),"NEW","")))</f>
        <v/>
      </c>
      <c r="G4294" s="26" t="str">
        <f aca="false">IF(OR(E4294="",E4294="!!!"),"",IF(OR(J4294=0,AND(J4294=1,K4294=1),AND(J4294=1,I4294="SBJ"),AND(J4294=1,I4294=0)),"?IN_FOCUS",IF(J4294&lt;=2,"?ACTIVATED",IF(J4294&lt;&gt;"","?FAMILIAR",IF(F4294="NEW",IF(ISNA(VLOOKUP(E4294,#REF!,1,FALSE())),"?TYPE_IDENTIFIABLE","?REFERENTIAL"),"_")))))</f>
        <v/>
      </c>
      <c r="H4294" s="27" t="str">
        <f aca="false">IF(J4294&lt;&gt;1,"",IF(I4294="SBJ","CB","?"))</f>
        <v/>
      </c>
      <c r="I4294" s="24" t="str">
        <f aca="false">IF(OR(E4294="",E4294="!!!",F4294="NEW"),"",INDEX(B8:B$4287,-1+SUMPRODUCT(MAX(ROW(E8:E$4287)*(E4294=E8:E$4287)))))</f>
        <v/>
      </c>
      <c r="J4294" s="24" t="str">
        <f aca="true">IF(OR(E4294="",E4294="!!!",F4294="NEW"),"",COUNTBLANK(OFFSET(A$1,,,SUMPRODUCT(MAX(ROW(E$2:E4294)*(E4294=E$2:E4294)))))-COUNTBLANK(OFFSET(A$1,,,SUMPRODUCT(MAX(ROW(E$1:E4293)*(E2=E$1:E4293))))))</f>
        <v/>
      </c>
      <c r="K4294" s="24" t="str">
        <f aca="false">IF(OR(E4294="",E4294="!!!",F4294="NEW"),"",INDEX(J$1:J4293,SUMPRODUCT(MAX(ROW(E$1:E4293)*(E4294=E$1:E4293)))))</f>
        <v/>
      </c>
      <c r="L4294" s="31"/>
    </row>
    <row r="4295" customFormat="false" ht="15" hidden="false" customHeight="false" outlineLevel="0" collapsed="false">
      <c r="A4295" s="20" t="s">
        <v>2347</v>
      </c>
      <c r="E4295" s="23" t="str">
        <f aca="false">IF(D4295="?OLD","!!!","")</f>
        <v/>
      </c>
      <c r="F4295" s="25" t="str">
        <f aca="false">IF(OR(E4295="",E4295="!!!"),"",IF(NOT(ISNA(VLOOKUP(E4295,E$1:E4294,1,FALSE()))),"OLD",IF(AND(E4295&lt;&gt;"",E4295&lt;&gt;"!!!"),"NEW","")))</f>
        <v/>
      </c>
      <c r="G4295" s="26" t="str">
        <f aca="false">IF(OR(E4295="",E4295="!!!"),"",IF(OR(J4295=0,AND(J4295=1,K4295=1),AND(J4295=1,I4295="SBJ"),AND(J4295=1,I4295=0)),"?IN_FOCUS",IF(J4295&lt;=2,"?ACTIVATED",IF(J4295&lt;&gt;"","?FAMILIAR",IF(F4295="NEW",IF(ISNA(VLOOKUP(E4295,#REF!,1,FALSE())),"?TYPE_IDENTIFIABLE","?REFERENTIAL"),"_")))))</f>
        <v/>
      </c>
      <c r="H4295" s="27" t="str">
        <f aca="false">IF(J4295&lt;&gt;1,"",IF(I4295="SBJ","CB","?"))</f>
        <v/>
      </c>
      <c r="I4295" s="24" t="str">
        <f aca="false">IF(OR(E4295="",E4295="!!!",F4295="NEW"),"",INDEX(B9:B$4287,-1+SUMPRODUCT(MAX(ROW(E9:E$4287)*(E4295=E9:E$4287)))))</f>
        <v/>
      </c>
      <c r="J4295" s="24" t="str">
        <f aca="true">IF(OR(E4295="",E4295="!!!",F4295="NEW"),"",COUNTBLANK(OFFSET(A$1,,,SUMPRODUCT(MAX(ROW(E$2:E4295)*(E4295=E$2:E4295)))))-COUNTBLANK(OFFSET(A$1,,,SUMPRODUCT(MAX(ROW(E$1:E4294)*(E2=E$1:E4294))))))</f>
        <v/>
      </c>
      <c r="K4295" s="24" t="str">
        <f aca="false">IF(OR(E4295="",E4295="!!!",F4295="NEW"),"",INDEX(J$1:J4294,SUMPRODUCT(MAX(ROW(E$1:E4294)*(E4295=E$1:E4294)))))</f>
        <v/>
      </c>
      <c r="L4295" s="31"/>
    </row>
    <row r="4296" customFormat="false" ht="15" hidden="false" customHeight="false" outlineLevel="0" collapsed="false">
      <c r="A4296" s="20" t="s">
        <v>1454</v>
      </c>
      <c r="B4296" s="22" t="s">
        <v>1081</v>
      </c>
      <c r="C4296" s="22" t="s">
        <v>1082</v>
      </c>
      <c r="D4296" s="22" t="s">
        <v>1060</v>
      </c>
      <c r="E4296" s="23" t="str">
        <f aca="false">IF(D4296="?OLD","!!!","")</f>
        <v>!!!</v>
      </c>
      <c r="F4296" s="25" t="str">
        <f aca="false">IF(OR(E4296="",E4296="!!!"),"",IF(NOT(ISNA(VLOOKUP(E4296,E$1:E4295,1,FALSE()))),"OLD",IF(AND(E4296&lt;&gt;"",E4296&lt;&gt;"!!!"),"NEW","")))</f>
        <v/>
      </c>
      <c r="G4296" s="26" t="str">
        <f aca="false">IF(OR(E4296="",E4296="!!!"),"",IF(OR(J4296=0,AND(J4296=1,K4296=1),AND(J4296=1,I4296="SBJ"),AND(J4296=1,I4296=0)),"?IN_FOCUS",IF(J4296&lt;=2,"?ACTIVATED",IF(J4296&lt;&gt;"","?FAMILIAR",IF(F4296="NEW",IF(ISNA(VLOOKUP(E4296,#REF!,1,FALSE())),"?TYPE_IDENTIFIABLE","?REFERENTIAL"),"_")))))</f>
        <v/>
      </c>
      <c r="H4296" s="27" t="str">
        <f aca="false">IF(J4296&lt;&gt;1,"",IF(I4296="SBJ","CB","?"))</f>
        <v/>
      </c>
      <c r="I4296" s="24" t="str">
        <f aca="false">IF(OR(E4296="",E4296="!!!",F4296="NEW"),"",INDEX(B10:B$4287,-1+SUMPRODUCT(MAX(ROW(E10:E$4287)*(E4296=E10:E$4287)))))</f>
        <v/>
      </c>
      <c r="J4296" s="24" t="str">
        <f aca="true">IF(OR(E4296="",E4296="!!!",F4296="NEW"),"",COUNTBLANK(OFFSET(A$1,,,SUMPRODUCT(MAX(ROW(E$2:E4296)*(E4296=E$2:E4296)))))-COUNTBLANK(OFFSET(A$1,,,SUMPRODUCT(MAX(ROW(E$1:E4295)*(E2=E$1:E4295))))))</f>
        <v/>
      </c>
      <c r="K4296" s="24" t="str">
        <f aca="false">IF(OR(E4296="",E4296="!!!",F4296="NEW"),"",INDEX(J$1:J4295,SUMPRODUCT(MAX(ROW(E$1:E4295)*(E4296=E$1:E4295)))))</f>
        <v/>
      </c>
      <c r="L4296" s="31"/>
    </row>
    <row r="4297" customFormat="false" ht="15" hidden="false" customHeight="false" outlineLevel="0" collapsed="false">
      <c r="A4297" s="20" t="s">
        <v>1547</v>
      </c>
      <c r="E4297" s="23" t="str">
        <f aca="false">IF(D4297="?OLD","!!!","")</f>
        <v/>
      </c>
      <c r="F4297" s="25" t="str">
        <f aca="false">IF(OR(E4297="",E4297="!!!"),"",IF(NOT(ISNA(VLOOKUP(E4297,E$1:E4296,1,FALSE()))),"OLD",IF(AND(E4297&lt;&gt;"",E4297&lt;&gt;"!!!"),"NEW","")))</f>
        <v/>
      </c>
      <c r="G4297" s="26" t="str">
        <f aca="false">IF(OR(E4297="",E4297="!!!"),"",IF(OR(J4297=0,AND(J4297=1,K4297=1),AND(J4297=1,I4297="SBJ"),AND(J4297=1,I4297=0)),"?IN_FOCUS",IF(J4297&lt;=2,"?ACTIVATED",IF(J4297&lt;&gt;"","?FAMILIAR",IF(F4297="NEW",IF(ISNA(VLOOKUP(E4297,#REF!,1,FALSE())),"?TYPE_IDENTIFIABLE","?REFERENTIAL"),"_")))))</f>
        <v/>
      </c>
      <c r="H4297" s="27" t="str">
        <f aca="false">IF(J4297&lt;&gt;1,"",IF(I4297="SBJ","CB","?"))</f>
        <v/>
      </c>
      <c r="I4297" s="24" t="str">
        <f aca="false">IF(OR(E4297="",E4297="!!!",F4297="NEW"),"",INDEX(B11:B$4287,-1+SUMPRODUCT(MAX(ROW(E11:E$4287)*(E4297=E11:E$4287)))))</f>
        <v/>
      </c>
      <c r="J4297" s="24" t="str">
        <f aca="true">IF(OR(E4297="",E4297="!!!",F4297="NEW"),"",COUNTBLANK(OFFSET(A$1,,,SUMPRODUCT(MAX(ROW(E$2:E4297)*(E4297=E$2:E4297)))))-COUNTBLANK(OFFSET(A$1,,,SUMPRODUCT(MAX(ROW(E$1:E4296)*(E2=E$1:E4296))))))</f>
        <v/>
      </c>
      <c r="K4297" s="24" t="str">
        <f aca="false">IF(OR(E4297="",E4297="!!!",F4297="NEW"),"",INDEX(J$1:J4296,SUMPRODUCT(MAX(ROW(E$1:E4296)*(E4297=E$1:E4296)))))</f>
        <v/>
      </c>
      <c r="L4297" s="31"/>
    </row>
    <row r="4298" customFormat="false" ht="15" hidden="false" customHeight="false" outlineLevel="0" collapsed="false">
      <c r="A4298" s="20" t="s">
        <v>1095</v>
      </c>
      <c r="E4298" s="23" t="str">
        <f aca="false">IF(D4298="?OLD","!!!","")</f>
        <v/>
      </c>
      <c r="F4298" s="25" t="str">
        <f aca="false">IF(OR(E4298="",E4298="!!!"),"",IF(NOT(ISNA(VLOOKUP(E4298,E$1:E4297,1,FALSE()))),"OLD",IF(AND(E4298&lt;&gt;"",E4298&lt;&gt;"!!!"),"NEW","")))</f>
        <v/>
      </c>
      <c r="G4298" s="26" t="str">
        <f aca="false">IF(OR(E4298="",E4298="!!!"),"",IF(OR(J4298=0,AND(J4298=1,K4298=1),AND(J4298=1,I4298="SBJ"),AND(J4298=1,I4298=0)),"?IN_FOCUS",IF(J4298&lt;=2,"?ACTIVATED",IF(J4298&lt;&gt;"","?FAMILIAR",IF(F4298="NEW",IF(ISNA(VLOOKUP(E4298,#REF!,1,FALSE())),"?TYPE_IDENTIFIABLE","?REFERENTIAL"),"_")))))</f>
        <v/>
      </c>
      <c r="H4298" s="27" t="str">
        <f aca="false">IF(J4298&lt;&gt;1,"",IF(I4298="SBJ","CB","?"))</f>
        <v/>
      </c>
      <c r="I4298" s="24" t="str">
        <f aca="false">IF(OR(E4298="",E4298="!!!",F4298="NEW"),"",INDEX(B12:B$4287,-1+SUMPRODUCT(MAX(ROW(E12:E$4287)*(E4298=E12:E$4287)))))</f>
        <v/>
      </c>
      <c r="J4298" s="24" t="str">
        <f aca="true">IF(OR(E4298="",E4298="!!!",F4298="NEW"),"",COUNTBLANK(OFFSET(A$1,,,SUMPRODUCT(MAX(ROW(E$2:E4298)*(E4298=E$2:E4298)))))-COUNTBLANK(OFFSET(A$1,,,SUMPRODUCT(MAX(ROW(E$1:E4297)*(E2=E$1:E4297))))))</f>
        <v/>
      </c>
      <c r="K4298" s="24" t="str">
        <f aca="false">IF(OR(E4298="",E4298="!!!",F4298="NEW"),"",INDEX(J$1:J4297,SUMPRODUCT(MAX(ROW(E$1:E4297)*(E4298=E$1:E4297)))))</f>
        <v/>
      </c>
      <c r="L4298" s="31"/>
    </row>
    <row r="4299" customFormat="false" ht="15" hidden="false" customHeight="false" outlineLevel="0" collapsed="false">
      <c r="A4299" s="20" t="s">
        <v>16</v>
      </c>
      <c r="E4299" s="23" t="str">
        <f aca="false">IF(D4299="?OLD","!!!","")</f>
        <v/>
      </c>
      <c r="F4299" s="25" t="str">
        <f aca="false">IF(OR(E4299="",E4299="!!!"),"",IF(NOT(ISNA(VLOOKUP(E4299,E$1:E4298,1,FALSE()))),"OLD",IF(AND(E4299&lt;&gt;"",E4299&lt;&gt;"!!!"),"NEW","")))</f>
        <v/>
      </c>
      <c r="G4299" s="26" t="str">
        <f aca="false">IF(OR(E4299="",E4299="!!!"),"",IF(OR(J4299=0,AND(J4299=1,K4299=1),AND(J4299=1,I4299="SBJ"),AND(J4299=1,I4299=0)),"?IN_FOCUS",IF(J4299&lt;=2,"?ACTIVATED",IF(J4299&lt;&gt;"","?FAMILIAR",IF(F4299="NEW",IF(ISNA(VLOOKUP(E4299,#REF!,1,FALSE())),"?TYPE_IDENTIFIABLE","?REFERENTIAL"),"_")))))</f>
        <v/>
      </c>
      <c r="H4299" s="27" t="str">
        <f aca="false">IF(J4299&lt;&gt;1,"",IF(I4299="SBJ","CB","?"))</f>
        <v/>
      </c>
      <c r="I4299" s="24" t="str">
        <f aca="false">IF(OR(E4299="",E4299="!!!",F4299="NEW"),"",INDEX(B13:B$4287,-1+SUMPRODUCT(MAX(ROW(E13:E$4287)*(E4299=E13:E$4287)))))</f>
        <v/>
      </c>
      <c r="J4299" s="24" t="str">
        <f aca="true">IF(OR(E4299="",E4299="!!!",F4299="NEW"),"",COUNTBLANK(OFFSET(A$1,,,SUMPRODUCT(MAX(ROW(E$2:E4299)*(E4299=E$2:E4299)))))-COUNTBLANK(OFFSET(A$1,,,SUMPRODUCT(MAX(ROW(E$1:E4298)*(E2=E$1:E4298))))))</f>
        <v/>
      </c>
      <c r="K4299" s="24" t="str">
        <f aca="false">IF(OR(E4299="",E4299="!!!",F4299="NEW"),"",INDEX(J$1:J4298,SUMPRODUCT(MAX(ROW(E$1:E4298)*(E4299=E$1:E4298)))))</f>
        <v/>
      </c>
      <c r="L4299" s="31"/>
    </row>
    <row r="4300" customFormat="false" ht="15" hidden="false" customHeight="false" outlineLevel="0" collapsed="false">
      <c r="A4300" s="20" t="s">
        <v>2348</v>
      </c>
      <c r="B4300" s="22" t="s">
        <v>1105</v>
      </c>
      <c r="C4300" s="22" t="s">
        <v>1160</v>
      </c>
      <c r="E4300" s="23" t="str">
        <f aca="false">IF(D4300="?OLD","!!!","")</f>
        <v/>
      </c>
      <c r="F4300" s="25" t="str">
        <f aca="false">IF(OR(E4300="",E4300="!!!"),"",IF(NOT(ISNA(VLOOKUP(E4300,E$1:E4299,1,FALSE()))),"OLD",IF(AND(E4300&lt;&gt;"",E4300&lt;&gt;"!!!"),"NEW","")))</f>
        <v/>
      </c>
      <c r="G4300" s="26" t="str">
        <f aca="false">IF(OR(E4300="",E4300="!!!"),"",IF(OR(J4300=0,AND(J4300=1,K4300=1),AND(J4300=1,I4300="SBJ"),AND(J4300=1,I4300=0)),"?IN_FOCUS",IF(J4300&lt;=2,"?ACTIVATED",IF(J4300&lt;&gt;"","?FAMILIAR",IF(F4300="NEW",IF(ISNA(VLOOKUP(E4300,#REF!,1,FALSE())),"?TYPE_IDENTIFIABLE","?REFERENTIAL"),"_")))))</f>
        <v/>
      </c>
      <c r="H4300" s="27" t="str">
        <f aca="false">IF(J4300&lt;&gt;1,"",IF(I4300="SBJ","CB","?"))</f>
        <v/>
      </c>
      <c r="I4300" s="24" t="str">
        <f aca="false">IF(OR(E4300="",E4300="!!!",F4300="NEW"),"",INDEX(B14:B$4287,-1+SUMPRODUCT(MAX(ROW(E14:E$4287)*(E4300=E14:E$4287)))))</f>
        <v/>
      </c>
      <c r="J4300" s="24" t="str">
        <f aca="true">IF(OR(E4300="",E4300="!!!",F4300="NEW"),"",COUNTBLANK(OFFSET(A$1,,,SUMPRODUCT(MAX(ROW(E$2:E4300)*(E4300=E$2:E4300)))))-COUNTBLANK(OFFSET(A$1,,,SUMPRODUCT(MAX(ROW(E$1:E4299)*(E2=E$1:E4299))))))</f>
        <v/>
      </c>
      <c r="K4300" s="24" t="str">
        <f aca="false">IF(OR(E4300="",E4300="!!!",F4300="NEW"),"",INDEX(J$1:J4299,SUMPRODUCT(MAX(ROW(E$1:E4299)*(E4300=E$1:E4299)))))</f>
        <v/>
      </c>
      <c r="L4300" s="31"/>
    </row>
    <row r="4301" customFormat="false" ht="15" hidden="false" customHeight="false" outlineLevel="0" collapsed="false">
      <c r="A4301" s="20" t="s">
        <v>923</v>
      </c>
      <c r="E4301" s="23" t="str">
        <f aca="false">IF(D4301="?OLD","!!!","")</f>
        <v/>
      </c>
      <c r="F4301" s="25" t="str">
        <f aca="false">IF(OR(E4301="",E4301="!!!"),"",IF(NOT(ISNA(VLOOKUP(E4301,E$1:E4300,1,FALSE()))),"OLD",IF(AND(E4301&lt;&gt;"",E4301&lt;&gt;"!!!"),"NEW","")))</f>
        <v/>
      </c>
      <c r="G4301" s="26" t="str">
        <f aca="false">IF(OR(E4301="",E4301="!!!"),"",IF(OR(J4301=0,AND(J4301=1,K4301=1),AND(J4301=1,I4301="SBJ"),AND(J4301=1,I4301=0)),"?IN_FOCUS",IF(J4301&lt;=2,"?ACTIVATED",IF(J4301&lt;&gt;"","?FAMILIAR",IF(F4301="NEW",IF(ISNA(VLOOKUP(E4301,#REF!,1,FALSE())),"?TYPE_IDENTIFIABLE","?REFERENTIAL"),"_")))))</f>
        <v/>
      </c>
      <c r="H4301" s="27" t="str">
        <f aca="false">IF(J4301&lt;&gt;1,"",IF(I4301="SBJ","CB","?"))</f>
        <v/>
      </c>
      <c r="I4301" s="24" t="str">
        <f aca="false">IF(OR(E4301="",E4301="!!!",F4301="NEW"),"",INDEX(B15:B$4287,-1+SUMPRODUCT(MAX(ROW(E15:E$4287)*(E4301=E15:E$4287)))))</f>
        <v/>
      </c>
      <c r="J4301" s="24" t="str">
        <f aca="true">IF(OR(E4301="",E4301="!!!",F4301="NEW"),"",COUNTBLANK(OFFSET(A$1,,,SUMPRODUCT(MAX(ROW(E$2:E4301)*(E4301=E$2:E4301)))))-COUNTBLANK(OFFSET(A$1,,,SUMPRODUCT(MAX(ROW(E$1:E4300)*(E2=E$1:E4300))))))</f>
        <v/>
      </c>
      <c r="K4301" s="24" t="str">
        <f aca="false">IF(OR(E4301="",E4301="!!!",F4301="NEW"),"",INDEX(J$1:J4300,SUMPRODUCT(MAX(ROW(E$1:E4300)*(E4301=E$1:E4300)))))</f>
        <v/>
      </c>
      <c r="L4301" s="31"/>
    </row>
    <row r="4302" customFormat="false" ht="15" hidden="false" customHeight="false" outlineLevel="0" collapsed="false">
      <c r="A4302" s="20"/>
    </row>
    <row r="4303" customFormat="false" ht="15" hidden="false" customHeight="false" outlineLevel="0" collapsed="false">
      <c r="A4303" s="20" t="s">
        <v>1301</v>
      </c>
      <c r="E4303" s="23" t="str">
        <f aca="false">IF(D4303="?OLD","!!!","")</f>
        <v/>
      </c>
      <c r="F4303" s="25" t="str">
        <f aca="false">IF(OR(E4303="",E4303="!!!"),"",IF(NOT(ISNA(VLOOKUP(E4303,E$1:E4302,1,FALSE()))),"OLD",IF(AND(E4303&lt;&gt;"",E4303&lt;&gt;"!!!"),"NEW","")))</f>
        <v/>
      </c>
      <c r="G4303" s="26" t="str">
        <f aca="false">IF(OR(E4303="",E4303="!!!"),"",IF(OR(J4303=0,AND(J4303=1,K4303=1),AND(J4303=1,I4303="SBJ"),AND(J4303=1,I4303=0)),"?IN_FOCUS",IF(J4303&lt;=2,"?ACTIVATED",IF(J4303&lt;&gt;"","?FAMILIAR",IF(F4303="NEW",IF(ISNA(VLOOKUP(E4303,#REF!,1,FALSE())),"?TYPE_IDENTIFIABLE","?REFERENTIAL"),"_")))))</f>
        <v/>
      </c>
      <c r="H4303" s="27" t="str">
        <f aca="false">IF(J4303&lt;&gt;1,"",IF(I4303="SBJ","CB","?"))</f>
        <v/>
      </c>
      <c r="I4303" s="24" t="str">
        <f aca="false">IF(OR(E4303="",E4303="!!!",F4303="NEW"),"",INDEX(B2:B$4302,-1+SUMPRODUCT(MAX(ROW(E2:E$4302)*(E4303=E2:E$4302)))))</f>
        <v/>
      </c>
      <c r="J4303" s="24" t="str">
        <f aca="true">IF(OR(E4303="",E4303="!!!",F4303="NEW"),"",COUNTBLANK(OFFSET(A$1,,,SUMPRODUCT(MAX(ROW(E$2:E4303)*(E4303=E$2:E4303)))))-COUNTBLANK(OFFSET(A$1,,,SUMPRODUCT(MAX(ROW(E$1:E4302)*(E2=E$1:E4302))))))</f>
        <v/>
      </c>
      <c r="K4303" s="24" t="str">
        <f aca="false">IF(OR(E4303="",E4303="!!!",F4303="NEW"),"",INDEX(J$1:J4302,SUMPRODUCT(MAX(ROW(E$1:E4302)*(E4303=E$1:E4302)))))</f>
        <v/>
      </c>
      <c r="L4303" s="31"/>
    </row>
    <row r="4304" customFormat="false" ht="15" hidden="false" customHeight="false" outlineLevel="0" collapsed="false">
      <c r="A4304" s="20" t="s">
        <v>2349</v>
      </c>
    </row>
    <row r="4305" customFormat="false" ht="15" hidden="false" customHeight="false" outlineLevel="0" collapsed="false">
      <c r="A4305" s="20" t="s">
        <v>1793</v>
      </c>
      <c r="E4305" s="23" t="str">
        <f aca="false">IF(D4305="?OLD","!!!","")</f>
        <v/>
      </c>
      <c r="F4305" s="25" t="str">
        <f aca="false">IF(OR(E4305="",E4305="!!!"),"",IF(NOT(ISNA(VLOOKUP(E4305,E$1:E4304,1,FALSE()))),"OLD",IF(AND(E4305&lt;&gt;"",E4305&lt;&gt;"!!!"),"NEW","")))</f>
        <v/>
      </c>
      <c r="G4305" s="26" t="str">
        <f aca="false">IF(OR(E4305="",E4305="!!!"),"",IF(OR(J4305=0,AND(J4305=1,K4305=1),AND(J4305=1,I4305="SBJ"),AND(J4305=1,I4305=0)),"?IN_FOCUS",IF(J4305&lt;=2,"?ACTIVATED",IF(J4305&lt;&gt;"","?FAMILIAR",IF(F4305="NEW",IF(ISNA(VLOOKUP(E4305,#REF!,1,FALSE())),"?TYPE_IDENTIFIABLE","?REFERENTIAL"),"_")))))</f>
        <v/>
      </c>
      <c r="H4305" s="27" t="str">
        <f aca="false">IF(J4305&lt;&gt;1,"",IF(I4305="SBJ","CB","?"))</f>
        <v/>
      </c>
      <c r="I4305" s="24" t="str">
        <f aca="false">IF(OR(E4305="",E4305="!!!",F4305="NEW"),"",INDEX(B2:B$4304,-1+SUMPRODUCT(MAX(ROW(E2:E$4304)*(E4305=E2:E$4304)))))</f>
        <v/>
      </c>
      <c r="J4305" s="24" t="str">
        <f aca="true">IF(OR(E4305="",E4305="!!!",F4305="NEW"),"",COUNTBLANK(OFFSET(A$1,,,SUMPRODUCT(MAX(ROW(E$2:E4305)*(E4305=E$2:E4305)))))-COUNTBLANK(OFFSET(A$1,,,SUMPRODUCT(MAX(ROW(E$1:E4304)*(E2=E$1:E4304))))))</f>
        <v/>
      </c>
      <c r="K4305" s="24" t="str">
        <f aca="false">IF(OR(E4305="",E4305="!!!",F4305="NEW"),"",INDEX(J$1:J4304,SUMPRODUCT(MAX(ROW(E$1:E4304)*(E4305=E$1:E4304)))))</f>
        <v/>
      </c>
      <c r="L4305" s="31"/>
    </row>
    <row r="4306" customFormat="false" ht="15" hidden="false" customHeight="false" outlineLevel="0" collapsed="false">
      <c r="A4306" s="20" t="s">
        <v>1077</v>
      </c>
      <c r="E4306" s="23" t="str">
        <f aca="false">IF(D4306="?OLD","!!!","")</f>
        <v/>
      </c>
      <c r="F4306" s="25" t="str">
        <f aca="false">IF(OR(E4306="",E4306="!!!"),"",IF(NOT(ISNA(VLOOKUP(E4306,E$1:E4305,1,FALSE()))),"OLD",IF(AND(E4306&lt;&gt;"",E4306&lt;&gt;"!!!"),"NEW","")))</f>
        <v/>
      </c>
      <c r="G4306" s="26" t="str">
        <f aca="false">IF(OR(E4306="",E4306="!!!"),"",IF(OR(J4306=0,AND(J4306=1,K4306=1),AND(J4306=1,I4306="SBJ"),AND(J4306=1,I4306=0)),"?IN_FOCUS",IF(J4306&lt;=2,"?ACTIVATED",IF(J4306&lt;&gt;"","?FAMILIAR",IF(F4306="NEW",IF(ISNA(VLOOKUP(E4306,#REF!,1,FALSE())),"?TYPE_IDENTIFIABLE","?REFERENTIAL"),"_")))))</f>
        <v/>
      </c>
      <c r="H4306" s="27" t="str">
        <f aca="false">IF(J4306&lt;&gt;1,"",IF(I4306="SBJ","CB","?"))</f>
        <v/>
      </c>
      <c r="I4306" s="24" t="str">
        <f aca="false">IF(OR(E4306="",E4306="!!!",F4306="NEW"),"",INDEX(B3:B$4304,-1+SUMPRODUCT(MAX(ROW(E3:E$4304)*(E4306=E3:E$4304)))))</f>
        <v/>
      </c>
      <c r="J4306" s="24" t="str">
        <f aca="true">IF(OR(E4306="",E4306="!!!",F4306="NEW"),"",COUNTBLANK(OFFSET(A$1,,,SUMPRODUCT(MAX(ROW(E$2:E4306)*(E4306=E$2:E4306)))))-COUNTBLANK(OFFSET(A$1,,,SUMPRODUCT(MAX(ROW(E$1:E4305)*(E2=E$1:E4305))))))</f>
        <v/>
      </c>
      <c r="K4306" s="24" t="str">
        <f aca="false">IF(OR(E4306="",E4306="!!!",F4306="NEW"),"",INDEX(J$1:J4305,SUMPRODUCT(MAX(ROW(E$1:E4305)*(E4306=E$1:E4305)))))</f>
        <v/>
      </c>
      <c r="L4306" s="31"/>
    </row>
    <row r="4307" customFormat="false" ht="15" hidden="false" customHeight="false" outlineLevel="0" collapsed="false">
      <c r="A4307" s="20" t="s">
        <v>1304</v>
      </c>
      <c r="B4307" s="22" t="s">
        <v>1058</v>
      </c>
      <c r="C4307" s="22" t="s">
        <v>1082</v>
      </c>
      <c r="D4307" s="22" t="s">
        <v>1060</v>
      </c>
      <c r="E4307" s="23" t="str">
        <f aca="false">IF(D4307="?OLD","!!!","")</f>
        <v>!!!</v>
      </c>
      <c r="F4307" s="25" t="str">
        <f aca="false">IF(OR(E4307="",E4307="!!!"),"",IF(NOT(ISNA(VLOOKUP(E4307,E$1:E4306,1,FALSE()))),"OLD",IF(AND(E4307&lt;&gt;"",E4307&lt;&gt;"!!!"),"NEW","")))</f>
        <v/>
      </c>
      <c r="G4307" s="26" t="str">
        <f aca="false">IF(OR(E4307="",E4307="!!!"),"",IF(OR(J4307=0,AND(J4307=1,K4307=1),AND(J4307=1,I4307="SBJ"),AND(J4307=1,I4307=0)),"?IN_FOCUS",IF(J4307&lt;=2,"?ACTIVATED",IF(J4307&lt;&gt;"","?FAMILIAR",IF(F4307="NEW",IF(ISNA(VLOOKUP(E4307,#REF!,1,FALSE())),"?TYPE_IDENTIFIABLE","?REFERENTIAL"),"_")))))</f>
        <v/>
      </c>
      <c r="H4307" s="27" t="str">
        <f aca="false">IF(J4307&lt;&gt;1,"",IF(I4307="SBJ","CB","?"))</f>
        <v/>
      </c>
      <c r="I4307" s="24" t="str">
        <f aca="false">IF(OR(E4307="",E4307="!!!",F4307="NEW"),"",INDEX(B4:B$4304,-1+SUMPRODUCT(MAX(ROW(E4:E$4304)*(E4307=E4:E$4304)))))</f>
        <v/>
      </c>
      <c r="J4307" s="24" t="str">
        <f aca="true">IF(OR(E4307="",E4307="!!!",F4307="NEW"),"",COUNTBLANK(OFFSET(A$1,,,SUMPRODUCT(MAX(ROW(E$2:E4307)*(E4307=E$2:E4307)))))-COUNTBLANK(OFFSET(A$1,,,SUMPRODUCT(MAX(ROW(E$1:E4306)*(E2=E$1:E4306))))))</f>
        <v/>
      </c>
      <c r="K4307" s="24" t="str">
        <f aca="false">IF(OR(E4307="",E4307="!!!",F4307="NEW"),"",INDEX(J$1:J4306,SUMPRODUCT(MAX(ROW(E$1:E4306)*(E4307=E$1:E4306)))))</f>
        <v/>
      </c>
      <c r="L4307" s="31"/>
    </row>
    <row r="4308" customFormat="false" ht="15" hidden="false" customHeight="false" outlineLevel="0" collapsed="false">
      <c r="A4308" s="20" t="s">
        <v>1207</v>
      </c>
      <c r="E4308" s="23" t="str">
        <f aca="false">IF(D4308="?OLD","!!!","")</f>
        <v/>
      </c>
      <c r="F4308" s="25" t="str">
        <f aca="false">IF(OR(E4308="",E4308="!!!"),"",IF(NOT(ISNA(VLOOKUP(E4308,E$1:E4307,1,FALSE()))),"OLD",IF(AND(E4308&lt;&gt;"",E4308&lt;&gt;"!!!"),"NEW","")))</f>
        <v/>
      </c>
      <c r="G4308" s="26" t="str">
        <f aca="false">IF(OR(E4308="",E4308="!!!"),"",IF(OR(J4308=0,AND(J4308=1,K4308=1),AND(J4308=1,I4308="SBJ"),AND(J4308=1,I4308=0)),"?IN_FOCUS",IF(J4308&lt;=2,"?ACTIVATED",IF(J4308&lt;&gt;"","?FAMILIAR",IF(F4308="NEW",IF(ISNA(VLOOKUP(E4308,#REF!,1,FALSE())),"?TYPE_IDENTIFIABLE","?REFERENTIAL"),"_")))))</f>
        <v/>
      </c>
      <c r="H4308" s="27" t="str">
        <f aca="false">IF(J4308&lt;&gt;1,"",IF(I4308="SBJ","CB","?"))</f>
        <v/>
      </c>
      <c r="I4308" s="24" t="str">
        <f aca="false">IF(OR(E4308="",E4308="!!!",F4308="NEW"),"",INDEX(B5:B$4304,-1+SUMPRODUCT(MAX(ROW(E5:E$4304)*(E4308=E5:E$4304)))))</f>
        <v/>
      </c>
      <c r="J4308" s="24" t="str">
        <f aca="true">IF(OR(E4308="",E4308="!!!",F4308="NEW"),"",COUNTBLANK(OFFSET(A$1,,,SUMPRODUCT(MAX(ROW(E$2:E4308)*(E4308=E$2:E4308)))))-COUNTBLANK(OFFSET(A$1,,,SUMPRODUCT(MAX(ROW(E$1:E4307)*(E2=E$1:E4307))))))</f>
        <v/>
      </c>
      <c r="K4308" s="24" t="str">
        <f aca="false">IF(OR(E4308="",E4308="!!!",F4308="NEW"),"",INDEX(J$1:J4307,SUMPRODUCT(MAX(ROW(E$1:E4307)*(E4308=E$1:E4307)))))</f>
        <v/>
      </c>
      <c r="L4308" s="31"/>
    </row>
    <row r="4309" customFormat="false" ht="15" hidden="false" customHeight="false" outlineLevel="0" collapsed="false">
      <c r="A4309" s="20" t="s">
        <v>576</v>
      </c>
      <c r="E4309" s="23" t="str">
        <f aca="false">IF(D4309="?OLD","!!!","")</f>
        <v/>
      </c>
      <c r="F4309" s="25" t="str">
        <f aca="false">IF(OR(E4309="",E4309="!!!"),"",IF(NOT(ISNA(VLOOKUP(E4309,E$1:E4308,1,FALSE()))),"OLD",IF(AND(E4309&lt;&gt;"",E4309&lt;&gt;"!!!"),"NEW","")))</f>
        <v/>
      </c>
      <c r="G4309" s="26" t="str">
        <f aca="false">IF(OR(E4309="",E4309="!!!"),"",IF(OR(J4309=0,AND(J4309=1,K4309=1),AND(J4309=1,I4309="SBJ"),AND(J4309=1,I4309=0)),"?IN_FOCUS",IF(J4309&lt;=2,"?ACTIVATED",IF(J4309&lt;&gt;"","?FAMILIAR",IF(F4309="NEW",IF(ISNA(VLOOKUP(E4309,#REF!,1,FALSE())),"?TYPE_IDENTIFIABLE","?REFERENTIAL"),"_")))))</f>
        <v/>
      </c>
      <c r="H4309" s="27" t="str">
        <f aca="false">IF(J4309&lt;&gt;1,"",IF(I4309="SBJ","CB","?"))</f>
        <v/>
      </c>
      <c r="I4309" s="24" t="str">
        <f aca="false">IF(OR(E4309="",E4309="!!!",F4309="NEW"),"",INDEX(B6:B$4304,-1+SUMPRODUCT(MAX(ROW(E6:E$4304)*(E4309=E6:E$4304)))))</f>
        <v/>
      </c>
      <c r="J4309" s="24" t="str">
        <f aca="true">IF(OR(E4309="",E4309="!!!",F4309="NEW"),"",COUNTBLANK(OFFSET(A$1,,,SUMPRODUCT(MAX(ROW(E$2:E4309)*(E4309=E$2:E4309)))))-COUNTBLANK(OFFSET(A$1,,,SUMPRODUCT(MAX(ROW(E$1:E4308)*(E2=E$1:E4308))))))</f>
        <v/>
      </c>
      <c r="K4309" s="24" t="str">
        <f aca="false">IF(OR(E4309="",E4309="!!!",F4309="NEW"),"",INDEX(J$1:J4308,SUMPRODUCT(MAX(ROW(E$1:E4308)*(E4309=E$1:E4308)))))</f>
        <v/>
      </c>
      <c r="L4309" s="31"/>
    </row>
    <row r="4310" customFormat="false" ht="15" hidden="false" customHeight="false" outlineLevel="0" collapsed="false">
      <c r="A4310" s="20" t="s">
        <v>1164</v>
      </c>
      <c r="E4310" s="23" t="str">
        <f aca="false">IF(D4310="?OLD","!!!","")</f>
        <v/>
      </c>
      <c r="F4310" s="25" t="str">
        <f aca="false">IF(OR(E4310="",E4310="!!!"),"",IF(NOT(ISNA(VLOOKUP(E4310,E$1:E4309,1,FALSE()))),"OLD",IF(AND(E4310&lt;&gt;"",E4310&lt;&gt;"!!!"),"NEW","")))</f>
        <v/>
      </c>
      <c r="G4310" s="26" t="str">
        <f aca="false">IF(OR(E4310="",E4310="!!!"),"",IF(OR(J4310=0,AND(J4310=1,K4310=1),AND(J4310=1,I4310="SBJ"),AND(J4310=1,I4310=0)),"?IN_FOCUS",IF(J4310&lt;=2,"?ACTIVATED",IF(J4310&lt;&gt;"","?FAMILIAR",IF(F4310="NEW",IF(ISNA(VLOOKUP(E4310,#REF!,1,FALSE())),"?TYPE_IDENTIFIABLE","?REFERENTIAL"),"_")))))</f>
        <v/>
      </c>
      <c r="H4310" s="27" t="str">
        <f aca="false">IF(J4310&lt;&gt;1,"",IF(I4310="SBJ","CB","?"))</f>
        <v/>
      </c>
      <c r="I4310" s="24" t="str">
        <f aca="false">IF(OR(E4310="",E4310="!!!",F4310="NEW"),"",INDEX(B7:B$4304,-1+SUMPRODUCT(MAX(ROW(E7:E$4304)*(E4310=E7:E$4304)))))</f>
        <v/>
      </c>
      <c r="J4310" s="24" t="str">
        <f aca="true">IF(OR(E4310="",E4310="!!!",F4310="NEW"),"",COUNTBLANK(OFFSET(A$1,,,SUMPRODUCT(MAX(ROW(E$2:E4310)*(E4310=E$2:E4310)))))-COUNTBLANK(OFFSET(A$1,,,SUMPRODUCT(MAX(ROW(E$1:E4309)*(E2=E$1:E4309))))))</f>
        <v/>
      </c>
      <c r="K4310" s="24" t="str">
        <f aca="false">IF(OR(E4310="",E4310="!!!",F4310="NEW"),"",INDEX(J$1:J4309,SUMPRODUCT(MAX(ROW(E$1:E4309)*(E4310=E$1:E4309)))))</f>
        <v/>
      </c>
      <c r="L4310" s="31"/>
    </row>
    <row r="4311" customFormat="false" ht="15" hidden="false" customHeight="false" outlineLevel="0" collapsed="false">
      <c r="A4311" s="20" t="s">
        <v>1137</v>
      </c>
      <c r="B4311" s="22" t="s">
        <v>1081</v>
      </c>
      <c r="C4311" s="22" t="s">
        <v>1082</v>
      </c>
      <c r="D4311" s="22" t="s">
        <v>1060</v>
      </c>
      <c r="E4311" s="23" t="str">
        <f aca="false">IF(D4311="?OLD","!!!","")</f>
        <v>!!!</v>
      </c>
      <c r="F4311" s="25" t="str">
        <f aca="false">IF(OR(E4311="",E4311="!!!"),"",IF(NOT(ISNA(VLOOKUP(E4311,E$1:E4310,1,FALSE()))),"OLD",IF(AND(E4311&lt;&gt;"",E4311&lt;&gt;"!!!"),"NEW","")))</f>
        <v/>
      </c>
      <c r="G4311" s="26" t="str">
        <f aca="false">IF(OR(E4311="",E4311="!!!"),"",IF(OR(J4311=0,AND(J4311=1,K4311=1),AND(J4311=1,I4311="SBJ"),AND(J4311=1,I4311=0)),"?IN_FOCUS",IF(J4311&lt;=2,"?ACTIVATED",IF(J4311&lt;&gt;"","?FAMILIAR",IF(F4311="NEW",IF(ISNA(VLOOKUP(E4311,#REF!,1,FALSE())),"?TYPE_IDENTIFIABLE","?REFERENTIAL"),"_")))))</f>
        <v/>
      </c>
      <c r="H4311" s="27" t="str">
        <f aca="false">IF(J4311&lt;&gt;1,"",IF(I4311="SBJ","CB","?"))</f>
        <v/>
      </c>
      <c r="I4311" s="24" t="str">
        <f aca="false">IF(OR(E4311="",E4311="!!!",F4311="NEW"),"",INDEX(B8:B$4304,-1+SUMPRODUCT(MAX(ROW(E8:E$4304)*(E4311=E8:E$4304)))))</f>
        <v/>
      </c>
      <c r="J4311" s="24" t="str">
        <f aca="true">IF(OR(E4311="",E4311="!!!",F4311="NEW"),"",COUNTBLANK(OFFSET(A$1,,,SUMPRODUCT(MAX(ROW(E$2:E4311)*(E4311=E$2:E4311)))))-COUNTBLANK(OFFSET(A$1,,,SUMPRODUCT(MAX(ROW(E$1:E4310)*(E2=E$1:E4310))))))</f>
        <v/>
      </c>
      <c r="K4311" s="24" t="str">
        <f aca="false">IF(OR(E4311="",E4311="!!!",F4311="NEW"),"",INDEX(J$1:J4310,SUMPRODUCT(MAX(ROW(E$1:E4310)*(E4311=E$1:E4310)))))</f>
        <v/>
      </c>
      <c r="L4311" s="31"/>
    </row>
    <row r="4312" customFormat="false" ht="15" hidden="false" customHeight="false" outlineLevel="0" collapsed="false">
      <c r="A4312" s="20" t="s">
        <v>1184</v>
      </c>
      <c r="E4312" s="23" t="str">
        <f aca="false">IF(D4312="?OLD","!!!","")</f>
        <v/>
      </c>
      <c r="F4312" s="25" t="str">
        <f aca="false">IF(OR(E4312="",E4312="!!!"),"",IF(NOT(ISNA(VLOOKUP(E4312,E$1:E4311,1,FALSE()))),"OLD",IF(AND(E4312&lt;&gt;"",E4312&lt;&gt;"!!!"),"NEW","")))</f>
        <v/>
      </c>
      <c r="G4312" s="26" t="str">
        <f aca="false">IF(OR(E4312="",E4312="!!!"),"",IF(OR(J4312=0,AND(J4312=1,K4312=1),AND(J4312=1,I4312="SBJ"),AND(J4312=1,I4312=0)),"?IN_FOCUS",IF(J4312&lt;=2,"?ACTIVATED",IF(J4312&lt;&gt;"","?FAMILIAR",IF(F4312="NEW",IF(ISNA(VLOOKUP(E4312,#REF!,1,FALSE())),"?TYPE_IDENTIFIABLE","?REFERENTIAL"),"_")))))</f>
        <v/>
      </c>
      <c r="H4312" s="27" t="str">
        <f aca="false">IF(J4312&lt;&gt;1,"",IF(I4312="SBJ","CB","?"))</f>
        <v/>
      </c>
      <c r="I4312" s="24" t="str">
        <f aca="false">IF(OR(E4312="",E4312="!!!",F4312="NEW"),"",INDEX(B9:B$4304,-1+SUMPRODUCT(MAX(ROW(E9:E$4304)*(E4312=E9:E$4304)))))</f>
        <v/>
      </c>
      <c r="J4312" s="24" t="str">
        <f aca="true">IF(OR(E4312="",E4312="!!!",F4312="NEW"),"",COUNTBLANK(OFFSET(A$1,,,SUMPRODUCT(MAX(ROW(E$2:E4312)*(E4312=E$2:E4312)))))-COUNTBLANK(OFFSET(A$1,,,SUMPRODUCT(MAX(ROW(E$1:E4311)*(E2=E$1:E4311))))))</f>
        <v/>
      </c>
      <c r="K4312" s="24" t="str">
        <f aca="false">IF(OR(E4312="",E4312="!!!",F4312="NEW"),"",INDEX(J$1:J4311,SUMPRODUCT(MAX(ROW(E$1:E4311)*(E4312=E$1:E4311)))))</f>
        <v/>
      </c>
      <c r="L4312" s="31"/>
    </row>
    <row r="4313" customFormat="false" ht="15" hidden="false" customHeight="false" outlineLevel="0" collapsed="false">
      <c r="A4313" s="20" t="s">
        <v>2243</v>
      </c>
      <c r="B4313" s="22" t="s">
        <v>1073</v>
      </c>
      <c r="C4313" s="22" t="s">
        <v>1099</v>
      </c>
      <c r="D4313" s="22" t="s">
        <v>1060</v>
      </c>
      <c r="E4313" s="23" t="str">
        <f aca="false">IF(D4313="?OLD","!!!","")</f>
        <v>!!!</v>
      </c>
      <c r="F4313" s="25" t="str">
        <f aca="false">IF(OR(E4313="",E4313="!!!"),"",IF(NOT(ISNA(VLOOKUP(E4313,E$1:E4312,1,FALSE()))),"OLD",IF(AND(E4313&lt;&gt;"",E4313&lt;&gt;"!!!"),"NEW","")))</f>
        <v/>
      </c>
      <c r="G4313" s="26" t="str">
        <f aca="false">IF(OR(E4313="",E4313="!!!"),"",IF(OR(J4313=0,AND(J4313=1,K4313=1),AND(J4313=1,I4313="SBJ"),AND(J4313=1,I4313=0)),"?IN_FOCUS",IF(J4313&lt;=2,"?ACTIVATED",IF(J4313&lt;&gt;"","?FAMILIAR",IF(F4313="NEW",IF(ISNA(VLOOKUP(E4313,#REF!,1,FALSE())),"?TYPE_IDENTIFIABLE","?REFERENTIAL"),"_")))))</f>
        <v/>
      </c>
      <c r="H4313" s="27" t="str">
        <f aca="false">IF(J4313&lt;&gt;1,"",IF(I4313="SBJ","CB","?"))</f>
        <v/>
      </c>
      <c r="I4313" s="24" t="str">
        <f aca="false">IF(OR(E4313="",E4313="!!!",F4313="NEW"),"",INDEX(B10:B$4304,-1+SUMPRODUCT(MAX(ROW(E10:E$4304)*(E4313=E10:E$4304)))))</f>
        <v/>
      </c>
      <c r="J4313" s="24" t="str">
        <f aca="true">IF(OR(E4313="",E4313="!!!",F4313="NEW"),"",COUNTBLANK(OFFSET(A$1,,,SUMPRODUCT(MAX(ROW(E$2:E4313)*(E4313=E$2:E4313)))))-COUNTBLANK(OFFSET(A$1,,,SUMPRODUCT(MAX(ROW(E$1:E4312)*(E2=E$1:E4312))))))</f>
        <v/>
      </c>
      <c r="K4313" s="24" t="str">
        <f aca="false">IF(OR(E4313="",E4313="!!!",F4313="NEW"),"",INDEX(J$1:J4312,SUMPRODUCT(MAX(ROW(E$1:E4312)*(E4313=E$1:E4312)))))</f>
        <v/>
      </c>
      <c r="L4313" s="31"/>
    </row>
    <row r="4314" customFormat="false" ht="15" hidden="false" customHeight="false" outlineLevel="0" collapsed="false">
      <c r="A4314" s="20" t="s">
        <v>2350</v>
      </c>
      <c r="B4314" s="22" t="s">
        <v>1105</v>
      </c>
      <c r="C4314" s="22" t="s">
        <v>1059</v>
      </c>
      <c r="D4314" s="22" t="s">
        <v>1060</v>
      </c>
      <c r="E4314" s="23" t="str">
        <f aca="false">IF(D4314="?OLD","!!!","")</f>
        <v>!!!</v>
      </c>
      <c r="F4314" s="25" t="str">
        <f aca="false">IF(OR(E4314="",E4314="!!!"),"",IF(NOT(ISNA(VLOOKUP(E4314,E$1:E4313,1,FALSE()))),"OLD",IF(AND(E4314&lt;&gt;"",E4314&lt;&gt;"!!!"),"NEW","")))</f>
        <v/>
      </c>
      <c r="G4314" s="26" t="str">
        <f aca="false">IF(OR(E4314="",E4314="!!!"),"",IF(OR(J4314=0,AND(J4314=1,K4314=1),AND(J4314=1,I4314="SBJ"),AND(J4314=1,I4314=0)),"?IN_FOCUS",IF(J4314&lt;=2,"?ACTIVATED",IF(J4314&lt;&gt;"","?FAMILIAR",IF(F4314="NEW",IF(ISNA(VLOOKUP(E4314,#REF!,1,FALSE())),"?TYPE_IDENTIFIABLE","?REFERENTIAL"),"_")))))</f>
        <v/>
      </c>
      <c r="H4314" s="27" t="str">
        <f aca="false">IF(J4314&lt;&gt;1,"",IF(I4314="SBJ","CB","?"))</f>
        <v/>
      </c>
      <c r="I4314" s="24" t="str">
        <f aca="false">IF(OR(E4314="",E4314="!!!",F4314="NEW"),"",INDEX(B11:B$4304,-1+SUMPRODUCT(MAX(ROW(E11:E$4304)*(E4314=E11:E$4304)))))</f>
        <v/>
      </c>
      <c r="J4314" s="24" t="str">
        <f aca="true">IF(OR(E4314="",E4314="!!!",F4314="NEW"),"",COUNTBLANK(OFFSET(A$1,,,SUMPRODUCT(MAX(ROW(E$2:E4314)*(E4314=E$2:E4314)))))-COUNTBLANK(OFFSET(A$1,,,SUMPRODUCT(MAX(ROW(E$1:E4313)*(E2=E$1:E4313))))))</f>
        <v/>
      </c>
      <c r="K4314" s="24" t="str">
        <f aca="false">IF(OR(E4314="",E4314="!!!",F4314="NEW"),"",INDEX(J$1:J4313,SUMPRODUCT(MAX(ROW(E$1:E4313)*(E4314=E$1:E4313)))))</f>
        <v/>
      </c>
      <c r="L4314" s="31"/>
    </row>
    <row r="4315" customFormat="false" ht="15" hidden="false" customHeight="false" outlineLevel="0" collapsed="false">
      <c r="A4315" s="20" t="s">
        <v>1328</v>
      </c>
      <c r="E4315" s="23" t="str">
        <f aca="false">IF(D4315="?OLD","!!!","")</f>
        <v/>
      </c>
      <c r="F4315" s="25" t="str">
        <f aca="false">IF(OR(E4315="",E4315="!!!"),"",IF(NOT(ISNA(VLOOKUP(E4315,E$1:E4314,1,FALSE()))),"OLD",IF(AND(E4315&lt;&gt;"",E4315&lt;&gt;"!!!"),"NEW","")))</f>
        <v/>
      </c>
      <c r="G4315" s="26" t="str">
        <f aca="false">IF(OR(E4315="",E4315="!!!"),"",IF(OR(J4315=0,AND(J4315=1,K4315=1),AND(J4315=1,I4315="SBJ"),AND(J4315=1,I4315=0)),"?IN_FOCUS",IF(J4315&lt;=2,"?ACTIVATED",IF(J4315&lt;&gt;"","?FAMILIAR",IF(F4315="NEW",IF(ISNA(VLOOKUP(E4315,#REF!,1,FALSE())),"?TYPE_IDENTIFIABLE","?REFERENTIAL"),"_")))))</f>
        <v/>
      </c>
      <c r="H4315" s="27" t="str">
        <f aca="false">IF(J4315&lt;&gt;1,"",IF(I4315="SBJ","CB","?"))</f>
        <v/>
      </c>
      <c r="I4315" s="24" t="str">
        <f aca="false">IF(OR(E4315="",E4315="!!!",F4315="NEW"),"",INDEX(B12:B$4304,-1+SUMPRODUCT(MAX(ROW(E12:E$4304)*(E4315=E12:E$4304)))))</f>
        <v/>
      </c>
      <c r="J4315" s="24" t="str">
        <f aca="true">IF(OR(E4315="",E4315="!!!",F4315="NEW"),"",COUNTBLANK(OFFSET(A$1,,,SUMPRODUCT(MAX(ROW(E$2:E4315)*(E4315=E$2:E4315)))))-COUNTBLANK(OFFSET(A$1,,,SUMPRODUCT(MAX(ROW(E$1:E4314)*(E2=E$1:E4314))))))</f>
        <v/>
      </c>
      <c r="K4315" s="24" t="str">
        <f aca="false">IF(OR(E4315="",E4315="!!!",F4315="NEW"),"",INDEX(J$1:J4314,SUMPRODUCT(MAX(ROW(E$1:E4314)*(E4315=E$1:E4314)))))</f>
        <v/>
      </c>
      <c r="L4315" s="31"/>
    </row>
    <row r="4316" customFormat="false" ht="15" hidden="false" customHeight="false" outlineLevel="0" collapsed="false">
      <c r="A4316" s="20" t="s">
        <v>607</v>
      </c>
      <c r="E4316" s="23" t="str">
        <f aca="false">IF(D4316="?OLD","!!!","")</f>
        <v/>
      </c>
      <c r="F4316" s="25" t="str">
        <f aca="false">IF(OR(E4316="",E4316="!!!"),"",IF(NOT(ISNA(VLOOKUP(E4316,E$1:E4315,1,FALSE()))),"OLD",IF(AND(E4316&lt;&gt;"",E4316&lt;&gt;"!!!"),"NEW","")))</f>
        <v/>
      </c>
      <c r="G4316" s="26" t="str">
        <f aca="false">IF(OR(E4316="",E4316="!!!"),"",IF(OR(J4316=0,AND(J4316=1,K4316=1),AND(J4316=1,I4316="SBJ"),AND(J4316=1,I4316=0)),"?IN_FOCUS",IF(J4316&lt;=2,"?ACTIVATED",IF(J4316&lt;&gt;"","?FAMILIAR",IF(F4316="NEW",IF(ISNA(VLOOKUP(E4316,#REF!,1,FALSE())),"?TYPE_IDENTIFIABLE","?REFERENTIAL"),"_")))))</f>
        <v/>
      </c>
      <c r="H4316" s="27" t="str">
        <f aca="false">IF(J4316&lt;&gt;1,"",IF(I4316="SBJ","CB","?"))</f>
        <v/>
      </c>
      <c r="I4316" s="24" t="str">
        <f aca="false">IF(OR(E4316="",E4316="!!!",F4316="NEW"),"",INDEX(B13:B$4304,-1+SUMPRODUCT(MAX(ROW(E13:E$4304)*(E4316=E13:E$4304)))))</f>
        <v/>
      </c>
      <c r="J4316" s="24" t="str">
        <f aca="true">IF(OR(E4316="",E4316="!!!",F4316="NEW"),"",COUNTBLANK(OFFSET(A$1,,,SUMPRODUCT(MAX(ROW(E$2:E4316)*(E4316=E$2:E4316)))))-COUNTBLANK(OFFSET(A$1,,,SUMPRODUCT(MAX(ROW(E$1:E4315)*(E2=E$1:E4315))))))</f>
        <v/>
      </c>
      <c r="K4316" s="24" t="str">
        <f aca="false">IF(OR(E4316="",E4316="!!!",F4316="NEW"),"",INDEX(J$1:J4315,SUMPRODUCT(MAX(ROW(E$1:E4315)*(E4316=E$1:E4315)))))</f>
        <v/>
      </c>
      <c r="L4316" s="31"/>
    </row>
    <row r="4317" customFormat="false" ht="15" hidden="false" customHeight="false" outlineLevel="0" collapsed="false">
      <c r="A4317" s="20"/>
    </row>
    <row r="4318" customFormat="false" ht="15" hidden="false" customHeight="false" outlineLevel="0" collapsed="false">
      <c r="A4318" s="20" t="s">
        <v>2351</v>
      </c>
    </row>
    <row r="4319" customFormat="false" ht="15" hidden="false" customHeight="false" outlineLevel="0" collapsed="false">
      <c r="A4319" s="20" t="s">
        <v>1261</v>
      </c>
      <c r="E4319" s="23" t="str">
        <f aca="false">IF(D4319="?OLD","!!!","")</f>
        <v/>
      </c>
      <c r="F4319" s="25" t="str">
        <f aca="false">IF(OR(E4319="",E4319="!!!"),"",IF(NOT(ISNA(VLOOKUP(E4319,E$1:E4318,1,FALSE()))),"OLD",IF(AND(E4319&lt;&gt;"",E4319&lt;&gt;"!!!"),"NEW","")))</f>
        <v/>
      </c>
      <c r="G4319" s="26" t="str">
        <f aca="false">IF(OR(E4319="",E4319="!!!"),"",IF(OR(J4319=0,AND(J4319=1,K4319=1),AND(J4319=1,I4319="SBJ"),AND(J4319=1,I4319=0)),"?IN_FOCUS",IF(J4319&lt;=2,"?ACTIVATED",IF(J4319&lt;&gt;"","?FAMILIAR",IF(F4319="NEW",IF(ISNA(VLOOKUP(E4319,#REF!,1,FALSE())),"?TYPE_IDENTIFIABLE","?REFERENTIAL"),"_")))))</f>
        <v/>
      </c>
      <c r="H4319" s="27" t="str">
        <f aca="false">IF(J4319&lt;&gt;1,"",IF(I4319="SBJ","CB","?"))</f>
        <v/>
      </c>
      <c r="I4319" s="24" t="str">
        <f aca="false">IF(OR(E4319="",E4319="!!!",F4319="NEW"),"",INDEX(B2:B$4318,-1+SUMPRODUCT(MAX(ROW(E2:E$4318)*(E4319=E2:E$4318)))))</f>
        <v/>
      </c>
      <c r="J4319" s="24" t="str">
        <f aca="true">IF(OR(E4319="",E4319="!!!",F4319="NEW"),"",COUNTBLANK(OFFSET(A$1,,,SUMPRODUCT(MAX(ROW(E$2:E4319)*(E4319=E$2:E4319)))))-COUNTBLANK(OFFSET(A$1,,,SUMPRODUCT(MAX(ROW(E$1:E4318)*(E2=E$1:E4318))))))</f>
        <v/>
      </c>
      <c r="K4319" s="24" t="str">
        <f aca="false">IF(OR(E4319="",E4319="!!!",F4319="NEW"),"",INDEX(J$1:J4318,SUMPRODUCT(MAX(ROW(E$1:E4318)*(E4319=E$1:E4318)))))</f>
        <v/>
      </c>
      <c r="L4319" s="31"/>
    </row>
    <row r="4320" customFormat="false" ht="15" hidden="false" customHeight="false" outlineLevel="0" collapsed="false">
      <c r="A4320" s="20" t="s">
        <v>1092</v>
      </c>
      <c r="E4320" s="23" t="str">
        <f aca="false">IF(D4320="?OLD","!!!","")</f>
        <v/>
      </c>
      <c r="F4320" s="25" t="str">
        <f aca="false">IF(OR(E4320="",E4320="!!!"),"",IF(NOT(ISNA(VLOOKUP(E4320,E$1:E4319,1,FALSE()))),"OLD",IF(AND(E4320&lt;&gt;"",E4320&lt;&gt;"!!!"),"NEW","")))</f>
        <v/>
      </c>
      <c r="G4320" s="26" t="str">
        <f aca="false">IF(OR(E4320="",E4320="!!!"),"",IF(OR(J4320=0,AND(J4320=1,K4320=1),AND(J4320=1,I4320="SBJ"),AND(J4320=1,I4320=0)),"?IN_FOCUS",IF(J4320&lt;=2,"?ACTIVATED",IF(J4320&lt;&gt;"","?FAMILIAR",IF(F4320="NEW",IF(ISNA(VLOOKUP(E4320,#REF!,1,FALSE())),"?TYPE_IDENTIFIABLE","?REFERENTIAL"),"_")))))</f>
        <v/>
      </c>
      <c r="H4320" s="27" t="str">
        <f aca="false">IF(J4320&lt;&gt;1,"",IF(I4320="SBJ","CB","?"))</f>
        <v/>
      </c>
      <c r="I4320" s="24" t="str">
        <f aca="false">IF(OR(E4320="",E4320="!!!",F4320="NEW"),"",INDEX(B3:B$4318,-1+SUMPRODUCT(MAX(ROW(E3:E$4318)*(E4320=E3:E$4318)))))</f>
        <v/>
      </c>
      <c r="J4320" s="24" t="str">
        <f aca="true">IF(OR(E4320="",E4320="!!!",F4320="NEW"),"",COUNTBLANK(OFFSET(A$1,,,SUMPRODUCT(MAX(ROW(E$2:E4320)*(E4320=E$2:E4320)))))-COUNTBLANK(OFFSET(A$1,,,SUMPRODUCT(MAX(ROW(E$1:E4319)*(E2=E$1:E4319))))))</f>
        <v/>
      </c>
      <c r="K4320" s="24" t="str">
        <f aca="false">IF(OR(E4320="",E4320="!!!",F4320="NEW"),"",INDEX(J$1:J4319,SUMPRODUCT(MAX(ROW(E$1:E4319)*(E4320=E$1:E4319)))))</f>
        <v/>
      </c>
      <c r="L4320" s="31"/>
    </row>
    <row r="4321" customFormat="false" ht="15" hidden="false" customHeight="false" outlineLevel="0" collapsed="false">
      <c r="A4321" s="20" t="s">
        <v>2352</v>
      </c>
      <c r="E4321" s="23" t="str">
        <f aca="false">IF(D4321="?OLD","!!!","")</f>
        <v/>
      </c>
      <c r="F4321" s="25" t="str">
        <f aca="false">IF(OR(E4321="",E4321="!!!"),"",IF(NOT(ISNA(VLOOKUP(E4321,E$1:E4320,1,FALSE()))),"OLD",IF(AND(E4321&lt;&gt;"",E4321&lt;&gt;"!!!"),"NEW","")))</f>
        <v/>
      </c>
      <c r="G4321" s="26" t="str">
        <f aca="false">IF(OR(E4321="",E4321="!!!"),"",IF(OR(J4321=0,AND(J4321=1,K4321=1),AND(J4321=1,I4321="SBJ"),AND(J4321=1,I4321=0)),"?IN_FOCUS",IF(J4321&lt;=2,"?ACTIVATED",IF(J4321&lt;&gt;"","?FAMILIAR",IF(F4321="NEW",IF(ISNA(VLOOKUP(E4321,#REF!,1,FALSE())),"?TYPE_IDENTIFIABLE","?REFERENTIAL"),"_")))))</f>
        <v/>
      </c>
      <c r="H4321" s="27" t="str">
        <f aca="false">IF(J4321&lt;&gt;1,"",IF(I4321="SBJ","CB","?"))</f>
        <v/>
      </c>
      <c r="I4321" s="24" t="str">
        <f aca="false">IF(OR(E4321="",E4321="!!!",F4321="NEW"),"",INDEX(B4:B$4318,-1+SUMPRODUCT(MAX(ROW(E4:E$4318)*(E4321=E4:E$4318)))))</f>
        <v/>
      </c>
      <c r="J4321" s="24" t="str">
        <f aca="true">IF(OR(E4321="",E4321="!!!",F4321="NEW"),"",COUNTBLANK(OFFSET(A$1,,,SUMPRODUCT(MAX(ROW(E$2:E4321)*(E4321=E$2:E4321)))))-COUNTBLANK(OFFSET(A$1,,,SUMPRODUCT(MAX(ROW(E$1:E4320)*(E2=E$1:E4320))))))</f>
        <v/>
      </c>
      <c r="K4321" s="24" t="str">
        <f aca="false">IF(OR(E4321="",E4321="!!!",F4321="NEW"),"",INDEX(J$1:J4320,SUMPRODUCT(MAX(ROW(E$1:E4320)*(E4321=E$1:E4320)))))</f>
        <v/>
      </c>
      <c r="L4321" s="31"/>
    </row>
    <row r="4322" customFormat="false" ht="15" hidden="false" customHeight="false" outlineLevel="0" collapsed="false">
      <c r="A4322" s="20" t="s">
        <v>1095</v>
      </c>
      <c r="E4322" s="23" t="str">
        <f aca="false">IF(D4322="?OLD","!!!","")</f>
        <v/>
      </c>
      <c r="F4322" s="25" t="str">
        <f aca="false">IF(OR(E4322="",E4322="!!!"),"",IF(NOT(ISNA(VLOOKUP(E4322,E$1:E4321,1,FALSE()))),"OLD",IF(AND(E4322&lt;&gt;"",E4322&lt;&gt;"!!!"),"NEW","")))</f>
        <v/>
      </c>
      <c r="G4322" s="26" t="str">
        <f aca="false">IF(OR(E4322="",E4322="!!!"),"",IF(OR(J4322=0,AND(J4322=1,K4322=1),AND(J4322=1,I4322="SBJ"),AND(J4322=1,I4322=0)),"?IN_FOCUS",IF(J4322&lt;=2,"?ACTIVATED",IF(J4322&lt;&gt;"","?FAMILIAR",IF(F4322="NEW",IF(ISNA(VLOOKUP(E4322,#REF!,1,FALSE())),"?TYPE_IDENTIFIABLE","?REFERENTIAL"),"_")))))</f>
        <v/>
      </c>
      <c r="H4322" s="27" t="str">
        <f aca="false">IF(J4322&lt;&gt;1,"",IF(I4322="SBJ","CB","?"))</f>
        <v/>
      </c>
      <c r="I4322" s="24" t="str">
        <f aca="false">IF(OR(E4322="",E4322="!!!",F4322="NEW"),"",INDEX(B5:B$4318,-1+SUMPRODUCT(MAX(ROW(E5:E$4318)*(E4322=E5:E$4318)))))</f>
        <v/>
      </c>
      <c r="J4322" s="24" t="str">
        <f aca="true">IF(OR(E4322="",E4322="!!!",F4322="NEW"),"",COUNTBLANK(OFFSET(A$1,,,SUMPRODUCT(MAX(ROW(E$2:E4322)*(E4322=E$2:E4322)))))-COUNTBLANK(OFFSET(A$1,,,SUMPRODUCT(MAX(ROW(E$1:E4321)*(E2=E$1:E4321))))))</f>
        <v/>
      </c>
      <c r="K4322" s="24" t="str">
        <f aca="false">IF(OR(E4322="",E4322="!!!",F4322="NEW"),"",INDEX(J$1:J4321,SUMPRODUCT(MAX(ROW(E$1:E4321)*(E4322=E$1:E4321)))))</f>
        <v/>
      </c>
      <c r="L4322" s="31"/>
    </row>
    <row r="4323" customFormat="false" ht="15" hidden="false" customHeight="false" outlineLevel="0" collapsed="false">
      <c r="A4323" s="20" t="s">
        <v>1179</v>
      </c>
      <c r="B4323" s="22" t="s">
        <v>1105</v>
      </c>
      <c r="C4323" s="22" t="s">
        <v>1082</v>
      </c>
      <c r="D4323" s="22" t="s">
        <v>1060</v>
      </c>
      <c r="E4323" s="23" t="str">
        <f aca="false">IF(D4323="?OLD","!!!","")</f>
        <v>!!!</v>
      </c>
      <c r="F4323" s="25" t="str">
        <f aca="false">IF(OR(E4323="",E4323="!!!"),"",IF(NOT(ISNA(VLOOKUP(E4323,E$1:E4322,1,FALSE()))),"OLD",IF(AND(E4323&lt;&gt;"",E4323&lt;&gt;"!!!"),"NEW","")))</f>
        <v/>
      </c>
      <c r="G4323" s="26" t="str">
        <f aca="false">IF(OR(E4323="",E4323="!!!"),"",IF(OR(J4323=0,AND(J4323=1,K4323=1),AND(J4323=1,I4323="SBJ"),AND(J4323=1,I4323=0)),"?IN_FOCUS",IF(J4323&lt;=2,"?ACTIVATED",IF(J4323&lt;&gt;"","?FAMILIAR",IF(F4323="NEW",IF(ISNA(VLOOKUP(E4323,#REF!,1,FALSE())),"?TYPE_IDENTIFIABLE","?REFERENTIAL"),"_")))))</f>
        <v/>
      </c>
      <c r="H4323" s="27" t="str">
        <f aca="false">IF(J4323&lt;&gt;1,"",IF(I4323="SBJ","CB","?"))</f>
        <v/>
      </c>
      <c r="I4323" s="24" t="str">
        <f aca="false">IF(OR(E4323="",E4323="!!!",F4323="NEW"),"",INDEX(B6:B$4318,-1+SUMPRODUCT(MAX(ROW(E6:E$4318)*(E4323=E6:E$4318)))))</f>
        <v/>
      </c>
      <c r="J4323" s="24" t="str">
        <f aca="true">IF(OR(E4323="",E4323="!!!",F4323="NEW"),"",COUNTBLANK(OFFSET(A$1,,,SUMPRODUCT(MAX(ROW(E$2:E4323)*(E4323=E$2:E4323)))))-COUNTBLANK(OFFSET(A$1,,,SUMPRODUCT(MAX(ROW(E$1:E4322)*(E2=E$1:E4322))))))</f>
        <v/>
      </c>
      <c r="K4323" s="24" t="str">
        <f aca="false">IF(OR(E4323="",E4323="!!!",F4323="NEW"),"",INDEX(J$1:J4322,SUMPRODUCT(MAX(ROW(E$1:E4322)*(E4323=E$1:E4322)))))</f>
        <v/>
      </c>
      <c r="L4323" s="31"/>
    </row>
    <row r="4324" customFormat="false" ht="15" hidden="false" customHeight="false" outlineLevel="0" collapsed="false">
      <c r="A4324" s="20" t="s">
        <v>1089</v>
      </c>
      <c r="E4324" s="23" t="str">
        <f aca="false">IF(D4324="?OLD","!!!","")</f>
        <v/>
      </c>
      <c r="F4324" s="25" t="str">
        <f aca="false">IF(OR(E4324="",E4324="!!!"),"",IF(NOT(ISNA(VLOOKUP(E4324,E$1:E4323,1,FALSE()))),"OLD",IF(AND(E4324&lt;&gt;"",E4324&lt;&gt;"!!!"),"NEW","")))</f>
        <v/>
      </c>
      <c r="G4324" s="26" t="str">
        <f aca="false">IF(OR(E4324="",E4324="!!!"),"",IF(OR(J4324=0,AND(J4324=1,K4324=1),AND(J4324=1,I4324="SBJ"),AND(J4324=1,I4324=0)),"?IN_FOCUS",IF(J4324&lt;=2,"?ACTIVATED",IF(J4324&lt;&gt;"","?FAMILIAR",IF(F4324="NEW",IF(ISNA(VLOOKUP(E4324,#REF!,1,FALSE())),"?TYPE_IDENTIFIABLE","?REFERENTIAL"),"_")))))</f>
        <v/>
      </c>
      <c r="H4324" s="27" t="str">
        <f aca="false">IF(J4324&lt;&gt;1,"",IF(I4324="SBJ","CB","?"))</f>
        <v/>
      </c>
      <c r="I4324" s="24" t="str">
        <f aca="false">IF(OR(E4324="",E4324="!!!",F4324="NEW"),"",INDEX(B7:B$4318,-1+SUMPRODUCT(MAX(ROW(E7:E$4318)*(E4324=E7:E$4318)))))</f>
        <v/>
      </c>
      <c r="J4324" s="24" t="str">
        <f aca="true">IF(OR(E4324="",E4324="!!!",F4324="NEW"),"",COUNTBLANK(OFFSET(A$1,,,SUMPRODUCT(MAX(ROW(E$2:E4324)*(E4324=E$2:E4324)))))-COUNTBLANK(OFFSET(A$1,,,SUMPRODUCT(MAX(ROW(E$1:E4323)*(E2=E$1:E4323))))))</f>
        <v/>
      </c>
      <c r="K4324" s="24" t="str">
        <f aca="false">IF(OR(E4324="",E4324="!!!",F4324="NEW"),"",INDEX(J$1:J4323,SUMPRODUCT(MAX(ROW(E$1:E4323)*(E4324=E$1:E4323)))))</f>
        <v/>
      </c>
      <c r="L4324" s="31"/>
    </row>
    <row r="4325" customFormat="false" ht="15" hidden="false" customHeight="false" outlineLevel="0" collapsed="false">
      <c r="A4325" s="20" t="s">
        <v>1760</v>
      </c>
      <c r="E4325" s="23" t="str">
        <f aca="false">IF(D4325="?OLD","!!!","")</f>
        <v/>
      </c>
      <c r="F4325" s="25" t="str">
        <f aca="false">IF(OR(E4325="",E4325="!!!"),"",IF(NOT(ISNA(VLOOKUP(E4325,E$1:E4324,1,FALSE()))),"OLD",IF(AND(E4325&lt;&gt;"",E4325&lt;&gt;"!!!"),"NEW","")))</f>
        <v/>
      </c>
      <c r="G4325" s="26" t="str">
        <f aca="false">IF(OR(E4325="",E4325="!!!"),"",IF(OR(J4325=0,AND(J4325=1,K4325=1),AND(J4325=1,I4325="SBJ"),AND(J4325=1,I4325=0)),"?IN_FOCUS",IF(J4325&lt;=2,"?ACTIVATED",IF(J4325&lt;&gt;"","?FAMILIAR",IF(F4325="NEW",IF(ISNA(VLOOKUP(E4325,#REF!,1,FALSE())),"?TYPE_IDENTIFIABLE","?REFERENTIAL"),"_")))))</f>
        <v/>
      </c>
      <c r="H4325" s="27" t="str">
        <f aca="false">IF(J4325&lt;&gt;1,"",IF(I4325="SBJ","CB","?"))</f>
        <v/>
      </c>
      <c r="I4325" s="24" t="str">
        <f aca="false">IF(OR(E4325="",E4325="!!!",F4325="NEW"),"",INDEX(B8:B$4318,-1+SUMPRODUCT(MAX(ROW(E8:E$4318)*(E4325=E8:E$4318)))))</f>
        <v/>
      </c>
      <c r="J4325" s="24" t="str">
        <f aca="true">IF(OR(E4325="",E4325="!!!",F4325="NEW"),"",COUNTBLANK(OFFSET(A$1,,,SUMPRODUCT(MAX(ROW(E$2:E4325)*(E4325=E$2:E4325)))))-COUNTBLANK(OFFSET(A$1,,,SUMPRODUCT(MAX(ROW(E$1:E4324)*(E2=E$1:E4324))))))</f>
        <v/>
      </c>
      <c r="K4325" s="24" t="str">
        <f aca="false">IF(OR(E4325="",E4325="!!!",F4325="NEW"),"",INDEX(J$1:J4324,SUMPRODUCT(MAX(ROW(E$1:E4324)*(E4325=E$1:E4324)))))</f>
        <v/>
      </c>
      <c r="L4325" s="31"/>
    </row>
    <row r="4326" customFormat="false" ht="15" hidden="false" customHeight="false" outlineLevel="0" collapsed="false">
      <c r="A4326" s="20" t="s">
        <v>2353</v>
      </c>
      <c r="B4326" s="22" t="s">
        <v>1086</v>
      </c>
      <c r="C4326" s="22" t="s">
        <v>1087</v>
      </c>
      <c r="E4326" s="23" t="str">
        <f aca="false">IF(D4326="?OLD","!!!","")</f>
        <v/>
      </c>
      <c r="F4326" s="25" t="str">
        <f aca="false">IF(OR(E4326="",E4326="!!!"),"",IF(NOT(ISNA(VLOOKUP(E4326,E$1:E4325,1,FALSE()))),"OLD",IF(AND(E4326&lt;&gt;"",E4326&lt;&gt;"!!!"),"NEW","")))</f>
        <v/>
      </c>
      <c r="G4326" s="26" t="str">
        <f aca="false">IF(OR(E4326="",E4326="!!!"),"",IF(OR(J4326=0,AND(J4326=1,K4326=1),AND(J4326=1,I4326="SBJ"),AND(J4326=1,I4326=0)),"?IN_FOCUS",IF(J4326&lt;=2,"?ACTIVATED",IF(J4326&lt;&gt;"","?FAMILIAR",IF(F4326="NEW",IF(ISNA(VLOOKUP(E4326,#REF!,1,FALSE())),"?TYPE_IDENTIFIABLE","?REFERENTIAL"),"_")))))</f>
        <v/>
      </c>
      <c r="H4326" s="27" t="str">
        <f aca="false">IF(J4326&lt;&gt;1,"",IF(I4326="SBJ","CB","?"))</f>
        <v/>
      </c>
      <c r="I4326" s="24" t="str">
        <f aca="false">IF(OR(E4326="",E4326="!!!",F4326="NEW"),"",INDEX(B9:B$4318,-1+SUMPRODUCT(MAX(ROW(E9:E$4318)*(E4326=E9:E$4318)))))</f>
        <v/>
      </c>
      <c r="J4326" s="24" t="str">
        <f aca="true">IF(OR(E4326="",E4326="!!!",F4326="NEW"),"",COUNTBLANK(OFFSET(A$1,,,SUMPRODUCT(MAX(ROW(E$2:E4326)*(E4326=E$2:E4326)))))-COUNTBLANK(OFFSET(A$1,,,SUMPRODUCT(MAX(ROW(E$1:E4325)*(E2=E$1:E4325))))))</f>
        <v/>
      </c>
      <c r="K4326" s="24" t="str">
        <f aca="false">IF(OR(E4326="",E4326="!!!",F4326="NEW"),"",INDEX(J$1:J4325,SUMPRODUCT(MAX(ROW(E$1:E4325)*(E4326=E$1:E4325)))))</f>
        <v/>
      </c>
      <c r="L4326" s="31"/>
    </row>
    <row r="4327" customFormat="false" ht="15" hidden="false" customHeight="false" outlineLevel="0" collapsed="false">
      <c r="A4327" s="20" t="s">
        <v>1092</v>
      </c>
      <c r="E4327" s="23" t="str">
        <f aca="false">IF(D4327="?OLD","!!!","")</f>
        <v/>
      </c>
      <c r="F4327" s="25" t="str">
        <f aca="false">IF(OR(E4327="",E4327="!!!"),"",IF(NOT(ISNA(VLOOKUP(E4327,E$1:E4326,1,FALSE()))),"OLD",IF(AND(E4327&lt;&gt;"",E4327&lt;&gt;"!!!"),"NEW","")))</f>
        <v/>
      </c>
      <c r="G4327" s="26" t="str">
        <f aca="false">IF(OR(E4327="",E4327="!!!"),"",IF(OR(J4327=0,AND(J4327=1,K4327=1),AND(J4327=1,I4327="SBJ"),AND(J4327=1,I4327=0)),"?IN_FOCUS",IF(J4327&lt;=2,"?ACTIVATED",IF(J4327&lt;&gt;"","?FAMILIAR",IF(F4327="NEW",IF(ISNA(VLOOKUP(E4327,#REF!,1,FALSE())),"?TYPE_IDENTIFIABLE","?REFERENTIAL"),"_")))))</f>
        <v/>
      </c>
      <c r="H4327" s="27" t="str">
        <f aca="false">IF(J4327&lt;&gt;1,"",IF(I4327="SBJ","CB","?"))</f>
        <v/>
      </c>
      <c r="I4327" s="24" t="str">
        <f aca="false">IF(OR(E4327="",E4327="!!!",F4327="NEW"),"",INDEX(B10:B$4318,-1+SUMPRODUCT(MAX(ROW(E10:E$4318)*(E4327=E10:E$4318)))))</f>
        <v/>
      </c>
      <c r="J4327" s="24" t="str">
        <f aca="true">IF(OR(E4327="",E4327="!!!",F4327="NEW"),"",COUNTBLANK(OFFSET(A$1,,,SUMPRODUCT(MAX(ROW(E$2:E4327)*(E4327=E$2:E4327)))))-COUNTBLANK(OFFSET(A$1,,,SUMPRODUCT(MAX(ROW(E$1:E4326)*(E2=E$1:E4326))))))</f>
        <v/>
      </c>
      <c r="K4327" s="24" t="str">
        <f aca="false">IF(OR(E4327="",E4327="!!!",F4327="NEW"),"",INDEX(J$1:J4326,SUMPRODUCT(MAX(ROW(E$1:E4326)*(E4327=E$1:E4326)))))</f>
        <v/>
      </c>
      <c r="L4327" s="31"/>
    </row>
    <row r="4328" customFormat="false" ht="15" hidden="false" customHeight="false" outlineLevel="0" collapsed="false">
      <c r="A4328" s="20" t="s">
        <v>1173</v>
      </c>
      <c r="E4328" s="23" t="str">
        <f aca="false">IF(D4328="?OLD","!!!","")</f>
        <v/>
      </c>
      <c r="F4328" s="25" t="str">
        <f aca="false">IF(OR(E4328="",E4328="!!!"),"",IF(NOT(ISNA(VLOOKUP(E4328,E$1:E4327,1,FALSE()))),"OLD",IF(AND(E4328&lt;&gt;"",E4328&lt;&gt;"!!!"),"NEW","")))</f>
        <v/>
      </c>
      <c r="G4328" s="26" t="str">
        <f aca="false">IF(OR(E4328="",E4328="!!!"),"",IF(OR(J4328=0,AND(J4328=1,K4328=1),AND(J4328=1,I4328="SBJ"),AND(J4328=1,I4328=0)),"?IN_FOCUS",IF(J4328&lt;=2,"?ACTIVATED",IF(J4328&lt;&gt;"","?FAMILIAR",IF(F4328="NEW",IF(ISNA(VLOOKUP(E4328,#REF!,1,FALSE())),"?TYPE_IDENTIFIABLE","?REFERENTIAL"),"_")))))</f>
        <v/>
      </c>
      <c r="H4328" s="27" t="str">
        <f aca="false">IF(J4328&lt;&gt;1,"",IF(I4328="SBJ","CB","?"))</f>
        <v/>
      </c>
      <c r="I4328" s="24" t="str">
        <f aca="false">IF(OR(E4328="",E4328="!!!",F4328="NEW"),"",INDEX(B11:B$4318,-1+SUMPRODUCT(MAX(ROW(E11:E$4318)*(E4328=E11:E$4318)))))</f>
        <v/>
      </c>
      <c r="J4328" s="24" t="str">
        <f aca="true">IF(OR(E4328="",E4328="!!!",F4328="NEW"),"",COUNTBLANK(OFFSET(A$1,,,SUMPRODUCT(MAX(ROW(E$2:E4328)*(E4328=E$2:E4328)))))-COUNTBLANK(OFFSET(A$1,,,SUMPRODUCT(MAX(ROW(E$1:E4327)*(E2=E$1:E4327))))))</f>
        <v/>
      </c>
      <c r="K4328" s="24" t="str">
        <f aca="false">IF(OR(E4328="",E4328="!!!",F4328="NEW"),"",INDEX(J$1:J4327,SUMPRODUCT(MAX(ROW(E$1:E4327)*(E4328=E$1:E4327)))))</f>
        <v/>
      </c>
      <c r="L4328" s="31"/>
    </row>
    <row r="4329" customFormat="false" ht="15" hidden="false" customHeight="false" outlineLevel="0" collapsed="false">
      <c r="A4329" s="20" t="s">
        <v>2354</v>
      </c>
      <c r="E4329" s="23" t="str">
        <f aca="false">IF(D4329="?OLD","!!!","")</f>
        <v/>
      </c>
      <c r="F4329" s="25" t="str">
        <f aca="false">IF(OR(E4329="",E4329="!!!"),"",IF(NOT(ISNA(VLOOKUP(E4329,E$1:E4328,1,FALSE()))),"OLD",IF(AND(E4329&lt;&gt;"",E4329&lt;&gt;"!!!"),"NEW","")))</f>
        <v/>
      </c>
      <c r="G4329" s="26" t="str">
        <f aca="false">IF(OR(E4329="",E4329="!!!"),"",IF(OR(J4329=0,AND(J4329=1,K4329=1),AND(J4329=1,I4329="SBJ"),AND(J4329=1,I4329=0)),"?IN_FOCUS",IF(J4329&lt;=2,"?ACTIVATED",IF(J4329&lt;&gt;"","?FAMILIAR",IF(F4329="NEW",IF(ISNA(VLOOKUP(E4329,#REF!,1,FALSE())),"?TYPE_IDENTIFIABLE","?REFERENTIAL"),"_")))))</f>
        <v/>
      </c>
      <c r="H4329" s="27" t="str">
        <f aca="false">IF(J4329&lt;&gt;1,"",IF(I4329="SBJ","CB","?"))</f>
        <v/>
      </c>
      <c r="I4329" s="24" t="str">
        <f aca="false">IF(OR(E4329="",E4329="!!!",F4329="NEW"),"",INDEX(B12:B$4318,-1+SUMPRODUCT(MAX(ROW(E12:E$4318)*(E4329=E12:E$4318)))))</f>
        <v/>
      </c>
      <c r="J4329" s="24" t="str">
        <f aca="true">IF(OR(E4329="",E4329="!!!",F4329="NEW"),"",COUNTBLANK(OFFSET(A$1,,,SUMPRODUCT(MAX(ROW(E$2:E4329)*(E4329=E$2:E4329)))))-COUNTBLANK(OFFSET(A$1,,,SUMPRODUCT(MAX(ROW(E$1:E4328)*(E2=E$1:E4328))))))</f>
        <v/>
      </c>
      <c r="K4329" s="24" t="str">
        <f aca="false">IF(OR(E4329="",E4329="!!!",F4329="NEW"),"",INDEX(J$1:J4328,SUMPRODUCT(MAX(ROW(E$1:E4328)*(E4329=E$1:E4328)))))</f>
        <v/>
      </c>
      <c r="L4329" s="31"/>
    </row>
    <row r="4330" customFormat="false" ht="15" hidden="false" customHeight="false" outlineLevel="0" collapsed="false">
      <c r="A4330" s="20" t="s">
        <v>1108</v>
      </c>
      <c r="E4330" s="23" t="str">
        <f aca="false">IF(D4330="?OLD","!!!","")</f>
        <v/>
      </c>
      <c r="F4330" s="25" t="str">
        <f aca="false">IF(OR(E4330="",E4330="!!!"),"",IF(NOT(ISNA(VLOOKUP(E4330,E$1:E4329,1,FALSE()))),"OLD",IF(AND(E4330&lt;&gt;"",E4330&lt;&gt;"!!!"),"NEW","")))</f>
        <v/>
      </c>
      <c r="G4330" s="26" t="str">
        <f aca="false">IF(OR(E4330="",E4330="!!!"),"",IF(OR(J4330=0,AND(J4330=1,K4330=1),AND(J4330=1,I4330="SBJ"),AND(J4330=1,I4330=0)),"?IN_FOCUS",IF(J4330&lt;=2,"?ACTIVATED",IF(J4330&lt;&gt;"","?FAMILIAR",IF(F4330="NEW",IF(ISNA(VLOOKUP(E4330,#REF!,1,FALSE())),"?TYPE_IDENTIFIABLE","?REFERENTIAL"),"_")))))</f>
        <v/>
      </c>
      <c r="H4330" s="27" t="str">
        <f aca="false">IF(J4330&lt;&gt;1,"",IF(I4330="SBJ","CB","?"))</f>
        <v/>
      </c>
      <c r="I4330" s="24" t="str">
        <f aca="false">IF(OR(E4330="",E4330="!!!",F4330="NEW"),"",INDEX(B13:B$4318,-1+SUMPRODUCT(MAX(ROW(E13:E$4318)*(E4330=E13:E$4318)))))</f>
        <v/>
      </c>
      <c r="J4330" s="24" t="str">
        <f aca="true">IF(OR(E4330="",E4330="!!!",F4330="NEW"),"",COUNTBLANK(OFFSET(A$1,,,SUMPRODUCT(MAX(ROW(E$2:E4330)*(E4330=E$2:E4330)))))-COUNTBLANK(OFFSET(A$1,,,SUMPRODUCT(MAX(ROW(E$1:E4329)*(E2=E$1:E4329))))))</f>
        <v/>
      </c>
      <c r="K4330" s="24" t="str">
        <f aca="false">IF(OR(E4330="",E4330="!!!",F4330="NEW"),"",INDEX(J$1:J4329,SUMPRODUCT(MAX(ROW(E$1:E4329)*(E4330=E$1:E4329)))))</f>
        <v/>
      </c>
      <c r="L4330" s="31"/>
    </row>
    <row r="4331" customFormat="false" ht="15" hidden="false" customHeight="false" outlineLevel="0" collapsed="false">
      <c r="A4331" s="20" t="s">
        <v>1109</v>
      </c>
      <c r="E4331" s="23" t="str">
        <f aca="false">IF(D4331="?OLD","!!!","")</f>
        <v/>
      </c>
      <c r="F4331" s="25" t="str">
        <f aca="false">IF(OR(E4331="",E4331="!!!"),"",IF(NOT(ISNA(VLOOKUP(E4331,E$1:E4330,1,FALSE()))),"OLD",IF(AND(E4331&lt;&gt;"",E4331&lt;&gt;"!!!"),"NEW","")))</f>
        <v/>
      </c>
      <c r="G4331" s="26" t="str">
        <f aca="false">IF(OR(E4331="",E4331="!!!"),"",IF(OR(J4331=0,AND(J4331=1,K4331=1),AND(J4331=1,I4331="SBJ"),AND(J4331=1,I4331=0)),"?IN_FOCUS",IF(J4331&lt;=2,"?ACTIVATED",IF(J4331&lt;&gt;"","?FAMILIAR",IF(F4331="NEW",IF(ISNA(VLOOKUP(E4331,#REF!,1,FALSE())),"?TYPE_IDENTIFIABLE","?REFERENTIAL"),"_")))))</f>
        <v/>
      </c>
      <c r="H4331" s="27" t="str">
        <f aca="false">IF(J4331&lt;&gt;1,"",IF(I4331="SBJ","CB","?"))</f>
        <v/>
      </c>
      <c r="I4331" s="24" t="str">
        <f aca="false">IF(OR(E4331="",E4331="!!!",F4331="NEW"),"",INDEX(B14:B$4318,-1+SUMPRODUCT(MAX(ROW(E14:E$4318)*(E4331=E14:E$4318)))))</f>
        <v/>
      </c>
      <c r="J4331" s="24" t="str">
        <f aca="true">IF(OR(E4331="",E4331="!!!",F4331="NEW"),"",COUNTBLANK(OFFSET(A$1,,,SUMPRODUCT(MAX(ROW(E$2:E4331)*(E4331=E$2:E4331)))))-COUNTBLANK(OFFSET(A$1,,,SUMPRODUCT(MAX(ROW(E$1:E4330)*(E2=E$1:E4330))))))</f>
        <v/>
      </c>
      <c r="K4331" s="24" t="str">
        <f aca="false">IF(OR(E4331="",E4331="!!!",F4331="NEW"),"",INDEX(J$1:J4330,SUMPRODUCT(MAX(ROW(E$1:E4330)*(E4331=E$1:E4330)))))</f>
        <v/>
      </c>
      <c r="L4331" s="31"/>
    </row>
    <row r="4332" customFormat="false" ht="15" hidden="false" customHeight="false" outlineLevel="0" collapsed="false">
      <c r="A4332" s="20" t="s">
        <v>1358</v>
      </c>
      <c r="B4332" s="22" t="s">
        <v>1073</v>
      </c>
      <c r="C4332" s="22" t="s">
        <v>1150</v>
      </c>
      <c r="D4332" s="22" t="s">
        <v>1060</v>
      </c>
      <c r="E4332" s="23" t="str">
        <f aca="false">IF(D4332="?OLD","!!!","")</f>
        <v>!!!</v>
      </c>
      <c r="F4332" s="25" t="str">
        <f aca="false">IF(OR(E4332="",E4332="!!!"),"",IF(NOT(ISNA(VLOOKUP(E4332,E$1:E4331,1,FALSE()))),"OLD",IF(AND(E4332&lt;&gt;"",E4332&lt;&gt;"!!!"),"NEW","")))</f>
        <v/>
      </c>
      <c r="G4332" s="26" t="str">
        <f aca="false">IF(OR(E4332="",E4332="!!!"),"",IF(OR(J4332=0,AND(J4332=1,K4332=1),AND(J4332=1,I4332="SBJ"),AND(J4332=1,I4332=0)),"?IN_FOCUS",IF(J4332&lt;=2,"?ACTIVATED",IF(J4332&lt;&gt;"","?FAMILIAR",IF(F4332="NEW",IF(ISNA(VLOOKUP(E4332,#REF!,1,FALSE())),"?TYPE_IDENTIFIABLE","?REFERENTIAL"),"_")))))</f>
        <v/>
      </c>
      <c r="H4332" s="27" t="str">
        <f aca="false">IF(J4332&lt;&gt;1,"",IF(I4332="SBJ","CB","?"))</f>
        <v/>
      </c>
      <c r="I4332" s="24" t="str">
        <f aca="false">IF(OR(E4332="",E4332="!!!",F4332="NEW"),"",INDEX(B15:B$4318,-1+SUMPRODUCT(MAX(ROW(E15:E$4318)*(E4332=E15:E$4318)))))</f>
        <v/>
      </c>
      <c r="J4332" s="24" t="str">
        <f aca="true">IF(OR(E4332="",E4332="!!!",F4332="NEW"),"",COUNTBLANK(OFFSET(A$1,,,SUMPRODUCT(MAX(ROW(E$2:E4332)*(E4332=E$2:E4332)))))-COUNTBLANK(OFFSET(A$1,,,SUMPRODUCT(MAX(ROW(E$1:E4331)*(E2=E$1:E4331))))))</f>
        <v/>
      </c>
      <c r="K4332" s="24" t="str">
        <f aca="false">IF(OR(E4332="",E4332="!!!",F4332="NEW"),"",INDEX(J$1:J4331,SUMPRODUCT(MAX(ROW(E$1:E4331)*(E4332=E$1:E4331)))))</f>
        <v/>
      </c>
      <c r="L4332" s="31"/>
    </row>
    <row r="4333" customFormat="false" ht="15" hidden="false" customHeight="false" outlineLevel="0" collapsed="false">
      <c r="A4333" s="20" t="s">
        <v>1164</v>
      </c>
      <c r="E4333" s="23" t="str">
        <f aca="false">IF(D4333="?OLD","!!!","")</f>
        <v/>
      </c>
      <c r="F4333" s="25" t="str">
        <f aca="false">IF(OR(E4333="",E4333="!!!"),"",IF(NOT(ISNA(VLOOKUP(E4333,E$1:E4332,1,FALSE()))),"OLD",IF(AND(E4333&lt;&gt;"",E4333&lt;&gt;"!!!"),"NEW","")))</f>
        <v/>
      </c>
      <c r="G4333" s="26" t="str">
        <f aca="false">IF(OR(E4333="",E4333="!!!"),"",IF(OR(J4333=0,AND(J4333=1,K4333=1),AND(J4333=1,I4333="SBJ"),AND(J4333=1,I4333=0)),"?IN_FOCUS",IF(J4333&lt;=2,"?ACTIVATED",IF(J4333&lt;&gt;"","?FAMILIAR",IF(F4333="NEW",IF(ISNA(VLOOKUP(E4333,#REF!,1,FALSE())),"?TYPE_IDENTIFIABLE","?REFERENTIAL"),"_")))))</f>
        <v/>
      </c>
      <c r="H4333" s="27" t="str">
        <f aca="false">IF(J4333&lt;&gt;1,"",IF(I4333="SBJ","CB","?"))</f>
        <v/>
      </c>
      <c r="I4333" s="24" t="str">
        <f aca="false">IF(OR(E4333="",E4333="!!!",F4333="NEW"),"",INDEX(B16:B$4318,-1+SUMPRODUCT(MAX(ROW(E16:E$4318)*(E4333=E16:E$4318)))))</f>
        <v/>
      </c>
      <c r="J4333" s="24" t="str">
        <f aca="true">IF(OR(E4333="",E4333="!!!",F4333="NEW"),"",COUNTBLANK(OFFSET(A$1,,,SUMPRODUCT(MAX(ROW(E$2:E4333)*(E4333=E$2:E4333)))))-COUNTBLANK(OFFSET(A$1,,,SUMPRODUCT(MAX(ROW(E$1:E4332)*(E2=E$1:E4332))))))</f>
        <v/>
      </c>
      <c r="K4333" s="24" t="str">
        <f aca="false">IF(OR(E4333="",E4333="!!!",F4333="NEW"),"",INDEX(J$1:J4332,SUMPRODUCT(MAX(ROW(E$1:E4332)*(E4333=E$1:E4332)))))</f>
        <v/>
      </c>
      <c r="L4333" s="31"/>
    </row>
    <row r="4334" customFormat="false" ht="15" hidden="false" customHeight="false" outlineLevel="0" collapsed="false">
      <c r="A4334" s="20" t="s">
        <v>2355</v>
      </c>
      <c r="E4334" s="23" t="str">
        <f aca="false">IF(D4334="?OLD","!!!","")</f>
        <v/>
      </c>
      <c r="F4334" s="25" t="str">
        <f aca="false">IF(OR(E4334="",E4334="!!!"),"",IF(NOT(ISNA(VLOOKUP(E4334,E$1:E4333,1,FALSE()))),"OLD",IF(AND(E4334&lt;&gt;"",E4334&lt;&gt;"!!!"),"NEW","")))</f>
        <v/>
      </c>
      <c r="G4334" s="26" t="str">
        <f aca="false">IF(OR(E4334="",E4334="!!!"),"",IF(OR(J4334=0,AND(J4334=1,K4334=1),AND(J4334=1,I4334="SBJ"),AND(J4334=1,I4334=0)),"?IN_FOCUS",IF(J4334&lt;=2,"?ACTIVATED",IF(J4334&lt;&gt;"","?FAMILIAR",IF(F4334="NEW",IF(ISNA(VLOOKUP(E4334,#REF!,1,FALSE())),"?TYPE_IDENTIFIABLE","?REFERENTIAL"),"_")))))</f>
        <v/>
      </c>
      <c r="H4334" s="27" t="str">
        <f aca="false">IF(J4334&lt;&gt;1,"",IF(I4334="SBJ","CB","?"))</f>
        <v/>
      </c>
      <c r="I4334" s="24" t="str">
        <f aca="false">IF(OR(E4334="",E4334="!!!",F4334="NEW"),"",INDEX(B17:B$4318,-1+SUMPRODUCT(MAX(ROW(E17:E$4318)*(E4334=E17:E$4318)))))</f>
        <v/>
      </c>
      <c r="J4334" s="24" t="str">
        <f aca="true">IF(OR(E4334="",E4334="!!!",F4334="NEW"),"",COUNTBLANK(OFFSET(A$1,,,SUMPRODUCT(MAX(ROW(E$2:E4334)*(E4334=E$2:E4334)))))-COUNTBLANK(OFFSET(A$1,,,SUMPRODUCT(MAX(ROW(E$1:E4333)*(E2=E$1:E4333))))))</f>
        <v/>
      </c>
      <c r="K4334" s="24" t="str">
        <f aca="false">IF(OR(E4334="",E4334="!!!",F4334="NEW"),"",INDEX(J$1:J4333,SUMPRODUCT(MAX(ROW(E$1:E4333)*(E4334=E$1:E4333)))))</f>
        <v/>
      </c>
      <c r="L4334" s="31"/>
    </row>
    <row r="4335" customFormat="false" ht="15" hidden="false" customHeight="false" outlineLevel="0" collapsed="false">
      <c r="A4335" s="20" t="s">
        <v>923</v>
      </c>
      <c r="E4335" s="23" t="str">
        <f aca="false">IF(D4335="?OLD","!!!","")</f>
        <v/>
      </c>
      <c r="F4335" s="25" t="str">
        <f aca="false">IF(OR(E4335="",E4335="!!!"),"",IF(NOT(ISNA(VLOOKUP(E4335,E$1:E4334,1,FALSE()))),"OLD",IF(AND(E4335&lt;&gt;"",E4335&lt;&gt;"!!!"),"NEW","")))</f>
        <v/>
      </c>
      <c r="G4335" s="26" t="str">
        <f aca="false">IF(OR(E4335="",E4335="!!!"),"",IF(OR(J4335=0,AND(J4335=1,K4335=1),AND(J4335=1,I4335="SBJ"),AND(J4335=1,I4335=0)),"?IN_FOCUS",IF(J4335&lt;=2,"?ACTIVATED",IF(J4335&lt;&gt;"","?FAMILIAR",IF(F4335="NEW",IF(ISNA(VLOOKUP(E4335,#REF!,1,FALSE())),"?TYPE_IDENTIFIABLE","?REFERENTIAL"),"_")))))</f>
        <v/>
      </c>
      <c r="H4335" s="27" t="str">
        <f aca="false">IF(J4335&lt;&gt;1,"",IF(I4335="SBJ","CB","?"))</f>
        <v/>
      </c>
      <c r="I4335" s="24" t="str">
        <f aca="false">IF(OR(E4335="",E4335="!!!",F4335="NEW"),"",INDEX(B18:B$4318,-1+SUMPRODUCT(MAX(ROW(E18:E$4318)*(E4335=E18:E$4318)))))</f>
        <v/>
      </c>
      <c r="J4335" s="24" t="str">
        <f aca="true">IF(OR(E4335="",E4335="!!!",F4335="NEW"),"",COUNTBLANK(OFFSET(A$1,,,SUMPRODUCT(MAX(ROW(E$2:E4335)*(E4335=E$2:E4335)))))-COUNTBLANK(OFFSET(A$1,,,SUMPRODUCT(MAX(ROW(E$1:E4334)*(E2=E$1:E4334))))))</f>
        <v/>
      </c>
      <c r="K4335" s="24" t="str">
        <f aca="false">IF(OR(E4335="",E4335="!!!",F4335="NEW"),"",INDEX(J$1:J4334,SUMPRODUCT(MAX(ROW(E$1:E4334)*(E4335=E$1:E4334)))))</f>
        <v/>
      </c>
      <c r="L4335" s="31"/>
    </row>
    <row r="4336" customFormat="false" ht="15" hidden="false" customHeight="false" outlineLevel="0" collapsed="false">
      <c r="A4336" s="20"/>
    </row>
    <row r="4337" customFormat="false" ht="15" hidden="false" customHeight="false" outlineLevel="0" collapsed="false">
      <c r="A4337" s="20" t="s">
        <v>2356</v>
      </c>
    </row>
    <row r="4338" customFormat="false" ht="15" hidden="false" customHeight="false" outlineLevel="0" collapsed="false">
      <c r="A4338" s="20" t="s">
        <v>2357</v>
      </c>
      <c r="E4338" s="23" t="str">
        <f aca="false">IF(D4338="?OLD","!!!","")</f>
        <v/>
      </c>
      <c r="F4338" s="25" t="str">
        <f aca="false">IF(OR(E4338="",E4338="!!!"),"",IF(NOT(ISNA(VLOOKUP(E4338,E$1:E4337,1,FALSE()))),"OLD",IF(AND(E4338&lt;&gt;"",E4338&lt;&gt;"!!!"),"NEW","")))</f>
        <v/>
      </c>
      <c r="G4338" s="26" t="str">
        <f aca="false">IF(OR(E4338="",E4338="!!!"),"",IF(OR(J4338=0,AND(J4338=1,K4338=1),AND(J4338=1,I4338="SBJ"),AND(J4338=1,I4338=0)),"?IN_FOCUS",IF(J4338&lt;=2,"?ACTIVATED",IF(J4338&lt;&gt;"","?FAMILIAR",IF(F4338="NEW",IF(ISNA(VLOOKUP(E4338,#REF!,1,FALSE())),"?TYPE_IDENTIFIABLE","?REFERENTIAL"),"_")))))</f>
        <v/>
      </c>
      <c r="H4338" s="27" t="str">
        <f aca="false">IF(J4338&lt;&gt;1,"",IF(I4338="SBJ","CB","?"))</f>
        <v/>
      </c>
      <c r="I4338" s="24" t="str">
        <f aca="false">IF(OR(E4338="",E4338="!!!",F4338="NEW"),"",INDEX(B2:B$4337,-1+SUMPRODUCT(MAX(ROW(E2:E$4337)*(E4338=E2:E$4337)))))</f>
        <v/>
      </c>
      <c r="J4338" s="24" t="str">
        <f aca="true">IF(OR(E4338="",E4338="!!!",F4338="NEW"),"",COUNTBLANK(OFFSET(A$1,,,SUMPRODUCT(MAX(ROW(E$2:E4338)*(E4338=E$2:E4338)))))-COUNTBLANK(OFFSET(A$1,,,SUMPRODUCT(MAX(ROW(E$1:E4337)*(E2=E$1:E4337))))))</f>
        <v/>
      </c>
      <c r="K4338" s="24" t="str">
        <f aca="false">IF(OR(E4338="",E4338="!!!",F4338="NEW"),"",INDEX(J$1:J4337,SUMPRODUCT(MAX(ROW(E$1:E4337)*(E4338=E$1:E4337)))))</f>
        <v/>
      </c>
      <c r="L4338" s="31"/>
    </row>
    <row r="4339" customFormat="false" ht="15" hidden="false" customHeight="false" outlineLevel="0" collapsed="false">
      <c r="A4339" s="20" t="s">
        <v>1186</v>
      </c>
      <c r="B4339" s="22" t="s">
        <v>1058</v>
      </c>
      <c r="C4339" s="22" t="s">
        <v>1082</v>
      </c>
      <c r="D4339" s="22" t="s">
        <v>1060</v>
      </c>
      <c r="E4339" s="23" t="str">
        <f aca="false">IF(D4339="?OLD","!!!","")</f>
        <v>!!!</v>
      </c>
      <c r="F4339" s="25" t="str">
        <f aca="false">IF(OR(E4339="",E4339="!!!"),"",IF(NOT(ISNA(VLOOKUP(E4339,E$1:E4338,1,FALSE()))),"OLD",IF(AND(E4339&lt;&gt;"",E4339&lt;&gt;"!!!"),"NEW","")))</f>
        <v/>
      </c>
      <c r="G4339" s="26" t="str">
        <f aca="false">IF(OR(E4339="",E4339="!!!"),"",IF(OR(J4339=0,AND(J4339=1,K4339=1),AND(J4339=1,I4339="SBJ"),AND(J4339=1,I4339=0)),"?IN_FOCUS",IF(J4339&lt;=2,"?ACTIVATED",IF(J4339&lt;&gt;"","?FAMILIAR",IF(F4339="NEW",IF(ISNA(VLOOKUP(E4339,#REF!,1,FALSE())),"?TYPE_IDENTIFIABLE","?REFERENTIAL"),"_")))))</f>
        <v/>
      </c>
      <c r="H4339" s="27" t="str">
        <f aca="false">IF(J4339&lt;&gt;1,"",IF(I4339="SBJ","CB","?"))</f>
        <v/>
      </c>
      <c r="I4339" s="24" t="str">
        <f aca="false">IF(OR(E4339="",E4339="!!!",F4339="NEW"),"",INDEX(B3:B$4337,-1+SUMPRODUCT(MAX(ROW(E3:E$4337)*(E4339=E3:E$4337)))))</f>
        <v/>
      </c>
      <c r="J4339" s="24" t="str">
        <f aca="true">IF(OR(E4339="",E4339="!!!",F4339="NEW"),"",COUNTBLANK(OFFSET(A$1,,,SUMPRODUCT(MAX(ROW(E$2:E4339)*(E4339=E$2:E4339)))))-COUNTBLANK(OFFSET(A$1,,,SUMPRODUCT(MAX(ROW(E$1:E4338)*(E2=E$1:E4338))))))</f>
        <v/>
      </c>
      <c r="K4339" s="24" t="str">
        <f aca="false">IF(OR(E4339="",E4339="!!!",F4339="NEW"),"",INDEX(J$1:J4338,SUMPRODUCT(MAX(ROW(E$1:E4338)*(E4339=E$1:E4338)))))</f>
        <v/>
      </c>
      <c r="L4339" s="31"/>
    </row>
    <row r="4340" customFormat="false" ht="15" hidden="false" customHeight="false" outlineLevel="0" collapsed="false">
      <c r="A4340" s="20" t="s">
        <v>1519</v>
      </c>
      <c r="E4340" s="23" t="str">
        <f aca="false">IF(D4340="?OLD","!!!","")</f>
        <v/>
      </c>
      <c r="F4340" s="25" t="str">
        <f aca="false">IF(OR(E4340="",E4340="!!!"),"",IF(NOT(ISNA(VLOOKUP(E4340,E$1:E4339,1,FALSE()))),"OLD",IF(AND(E4340&lt;&gt;"",E4340&lt;&gt;"!!!"),"NEW","")))</f>
        <v/>
      </c>
      <c r="G4340" s="26" t="str">
        <f aca="false">IF(OR(E4340="",E4340="!!!"),"",IF(OR(J4340=0,AND(J4340=1,K4340=1),AND(J4340=1,I4340="SBJ"),AND(J4340=1,I4340=0)),"?IN_FOCUS",IF(J4340&lt;=2,"?ACTIVATED",IF(J4340&lt;&gt;"","?FAMILIAR",IF(F4340="NEW",IF(ISNA(VLOOKUP(E4340,#REF!,1,FALSE())),"?TYPE_IDENTIFIABLE","?REFERENTIAL"),"_")))))</f>
        <v/>
      </c>
      <c r="H4340" s="27" t="str">
        <f aca="false">IF(J4340&lt;&gt;1,"",IF(I4340="SBJ","CB","?"))</f>
        <v/>
      </c>
      <c r="I4340" s="24" t="str">
        <f aca="false">IF(OR(E4340="",E4340="!!!",F4340="NEW"),"",INDEX(B4:B$4337,-1+SUMPRODUCT(MAX(ROW(E4:E$4337)*(E4340=E4:E$4337)))))</f>
        <v/>
      </c>
      <c r="J4340" s="24" t="str">
        <f aca="true">IF(OR(E4340="",E4340="!!!",F4340="NEW"),"",COUNTBLANK(OFFSET(A$1,,,SUMPRODUCT(MAX(ROW(E$2:E4340)*(E4340=E$2:E4340)))))-COUNTBLANK(OFFSET(A$1,,,SUMPRODUCT(MAX(ROW(E$1:E4339)*(E2=E$1:E4339))))))</f>
        <v/>
      </c>
      <c r="K4340" s="24" t="str">
        <f aca="false">IF(OR(E4340="",E4340="!!!",F4340="NEW"),"",INDEX(J$1:J4339,SUMPRODUCT(MAX(ROW(E$1:E4339)*(E4340=E$1:E4339)))))</f>
        <v/>
      </c>
      <c r="L4340" s="31"/>
    </row>
    <row r="4341" customFormat="false" ht="15" hidden="false" customHeight="false" outlineLevel="0" collapsed="false">
      <c r="A4341" s="20" t="s">
        <v>1305</v>
      </c>
      <c r="B4341" s="22" t="s">
        <v>1081</v>
      </c>
      <c r="C4341" s="22" t="s">
        <v>1068</v>
      </c>
      <c r="D4341" s="22" t="s">
        <v>1060</v>
      </c>
      <c r="E4341" s="23" t="str">
        <f aca="false">IF(D4341="?OLD","!!!","")</f>
        <v>!!!</v>
      </c>
      <c r="F4341" s="25" t="str">
        <f aca="false">IF(OR(E4341="",E4341="!!!"),"",IF(NOT(ISNA(VLOOKUP(E4341,E$1:E4340,1,FALSE()))),"OLD",IF(AND(E4341&lt;&gt;"",E4341&lt;&gt;"!!!"),"NEW","")))</f>
        <v/>
      </c>
      <c r="G4341" s="26" t="str">
        <f aca="false">IF(OR(E4341="",E4341="!!!"),"",IF(OR(J4341=0,AND(J4341=1,K4341=1),AND(J4341=1,I4341="SBJ"),AND(J4341=1,I4341=0)),"?IN_FOCUS",IF(J4341&lt;=2,"?ACTIVATED",IF(J4341&lt;&gt;"","?FAMILIAR",IF(F4341="NEW",IF(ISNA(VLOOKUP(E4341,#REF!,1,FALSE())),"?TYPE_IDENTIFIABLE","?REFERENTIAL"),"_")))))</f>
        <v/>
      </c>
      <c r="H4341" s="27" t="str">
        <f aca="false">IF(J4341&lt;&gt;1,"",IF(I4341="SBJ","CB","?"))</f>
        <v/>
      </c>
      <c r="I4341" s="24" t="str">
        <f aca="false">IF(OR(E4341="",E4341="!!!",F4341="NEW"),"",INDEX(B5:B$4337,-1+SUMPRODUCT(MAX(ROW(E5:E$4337)*(E4341=E5:E$4337)))))</f>
        <v/>
      </c>
      <c r="J4341" s="24" t="str">
        <f aca="true">IF(OR(E4341="",E4341="!!!",F4341="NEW"),"",COUNTBLANK(OFFSET(A$1,,,SUMPRODUCT(MAX(ROW(E$2:E4341)*(E4341=E$2:E4341)))))-COUNTBLANK(OFFSET(A$1,,,SUMPRODUCT(MAX(ROW(E$1:E4340)*(E2=E$1:E4340))))))</f>
        <v/>
      </c>
      <c r="K4341" s="24" t="str">
        <f aca="false">IF(OR(E4341="",E4341="!!!",F4341="NEW"),"",INDEX(J$1:J4340,SUMPRODUCT(MAX(ROW(E$1:E4340)*(E4341=E$1:E4340)))))</f>
        <v/>
      </c>
      <c r="L4341" s="31"/>
    </row>
    <row r="4342" customFormat="false" ht="15" hidden="false" customHeight="false" outlineLevel="0" collapsed="false">
      <c r="A4342" s="20" t="s">
        <v>1173</v>
      </c>
      <c r="E4342" s="23" t="str">
        <f aca="false">IF(D4342="?OLD","!!!","")</f>
        <v/>
      </c>
      <c r="F4342" s="25" t="str">
        <f aca="false">IF(OR(E4342="",E4342="!!!"),"",IF(NOT(ISNA(VLOOKUP(E4342,E$1:E4341,1,FALSE()))),"OLD",IF(AND(E4342&lt;&gt;"",E4342&lt;&gt;"!!!"),"NEW","")))</f>
        <v/>
      </c>
      <c r="G4342" s="26" t="str">
        <f aca="false">IF(OR(E4342="",E4342="!!!"),"",IF(OR(J4342=0,AND(J4342=1,K4342=1),AND(J4342=1,I4342="SBJ"),AND(J4342=1,I4342=0)),"?IN_FOCUS",IF(J4342&lt;=2,"?ACTIVATED",IF(J4342&lt;&gt;"","?FAMILIAR",IF(F4342="NEW",IF(ISNA(VLOOKUP(E4342,#REF!,1,FALSE())),"?TYPE_IDENTIFIABLE","?REFERENTIAL"),"_")))))</f>
        <v/>
      </c>
      <c r="H4342" s="27" t="str">
        <f aca="false">IF(J4342&lt;&gt;1,"",IF(I4342="SBJ","CB","?"))</f>
        <v/>
      </c>
      <c r="I4342" s="24" t="str">
        <f aca="false">IF(OR(E4342="",E4342="!!!",F4342="NEW"),"",INDEX(B6:B$4337,-1+SUMPRODUCT(MAX(ROW(E6:E$4337)*(E4342=E6:E$4337)))))</f>
        <v/>
      </c>
      <c r="J4342" s="24" t="str">
        <f aca="true">IF(OR(E4342="",E4342="!!!",F4342="NEW"),"",COUNTBLANK(OFFSET(A$1,,,SUMPRODUCT(MAX(ROW(E$2:E4342)*(E4342=E$2:E4342)))))-COUNTBLANK(OFFSET(A$1,,,SUMPRODUCT(MAX(ROW(E$1:E4341)*(E2=E$1:E4341))))))</f>
        <v/>
      </c>
      <c r="K4342" s="24" t="str">
        <f aca="false">IF(OR(E4342="",E4342="!!!",F4342="NEW"),"",INDEX(J$1:J4341,SUMPRODUCT(MAX(ROW(E$1:E4341)*(E4342=E$1:E4341)))))</f>
        <v/>
      </c>
      <c r="L4342" s="31"/>
    </row>
    <row r="4343" customFormat="false" ht="15" hidden="false" customHeight="false" outlineLevel="0" collapsed="false">
      <c r="A4343" s="20" t="s">
        <v>2358</v>
      </c>
      <c r="B4343" s="22" t="s">
        <v>1105</v>
      </c>
      <c r="C4343" s="22" t="s">
        <v>1160</v>
      </c>
      <c r="E4343" s="23" t="str">
        <f aca="false">IF(D4343="?OLD","!!!","")</f>
        <v/>
      </c>
      <c r="F4343" s="25" t="str">
        <f aca="false">IF(OR(E4343="",E4343="!!!"),"",IF(NOT(ISNA(VLOOKUP(E4343,E$1:E4342,1,FALSE()))),"OLD",IF(AND(E4343&lt;&gt;"",E4343&lt;&gt;"!!!"),"NEW","")))</f>
        <v/>
      </c>
      <c r="G4343" s="26" t="str">
        <f aca="false">IF(OR(E4343="",E4343="!!!"),"",IF(OR(J4343=0,AND(J4343=1,K4343=1),AND(J4343=1,I4343="SBJ"),AND(J4343=1,I4343=0)),"?IN_FOCUS",IF(J4343&lt;=2,"?ACTIVATED",IF(J4343&lt;&gt;"","?FAMILIAR",IF(F4343="NEW",IF(ISNA(VLOOKUP(E4343,#REF!,1,FALSE())),"?TYPE_IDENTIFIABLE","?REFERENTIAL"),"_")))))</f>
        <v/>
      </c>
      <c r="H4343" s="27" t="str">
        <f aca="false">IF(J4343&lt;&gt;1,"",IF(I4343="SBJ","CB","?"))</f>
        <v/>
      </c>
      <c r="I4343" s="24" t="str">
        <f aca="false">IF(OR(E4343="",E4343="!!!",F4343="NEW"),"",INDEX(B7:B$4337,-1+SUMPRODUCT(MAX(ROW(E7:E$4337)*(E4343=E7:E$4337)))))</f>
        <v/>
      </c>
      <c r="J4343" s="24" t="str">
        <f aca="true">IF(OR(E4343="",E4343="!!!",F4343="NEW"),"",COUNTBLANK(OFFSET(A$1,,,SUMPRODUCT(MAX(ROW(E$2:E4343)*(E4343=E$2:E4343)))))-COUNTBLANK(OFFSET(A$1,,,SUMPRODUCT(MAX(ROW(E$1:E4342)*(E2=E$1:E4342))))))</f>
        <v/>
      </c>
      <c r="K4343" s="24" t="str">
        <f aca="false">IF(OR(E4343="",E4343="!!!",F4343="NEW"),"",INDEX(J$1:J4342,SUMPRODUCT(MAX(ROW(E$1:E4342)*(E4343=E$1:E4342)))))</f>
        <v/>
      </c>
      <c r="L4343" s="31"/>
    </row>
    <row r="4344" customFormat="false" ht="15" hidden="false" customHeight="false" outlineLevel="0" collapsed="false">
      <c r="A4344" s="20" t="s">
        <v>1064</v>
      </c>
      <c r="E4344" s="23" t="str">
        <f aca="false">IF(D4344="?OLD","!!!","")</f>
        <v/>
      </c>
      <c r="F4344" s="25" t="str">
        <f aca="false">IF(OR(E4344="",E4344="!!!"),"",IF(NOT(ISNA(VLOOKUP(E4344,E$1:E4343,1,FALSE()))),"OLD",IF(AND(E4344&lt;&gt;"",E4344&lt;&gt;"!!!"),"NEW","")))</f>
        <v/>
      </c>
      <c r="G4344" s="26" t="str">
        <f aca="false">IF(OR(E4344="",E4344="!!!"),"",IF(OR(J4344=0,AND(J4344=1,K4344=1),AND(J4344=1,I4344="SBJ"),AND(J4344=1,I4344=0)),"?IN_FOCUS",IF(J4344&lt;=2,"?ACTIVATED",IF(J4344&lt;&gt;"","?FAMILIAR",IF(F4344="NEW",IF(ISNA(VLOOKUP(E4344,#REF!,1,FALSE())),"?TYPE_IDENTIFIABLE","?REFERENTIAL"),"_")))))</f>
        <v/>
      </c>
      <c r="H4344" s="27" t="str">
        <f aca="false">IF(J4344&lt;&gt;1,"",IF(I4344="SBJ","CB","?"))</f>
        <v/>
      </c>
      <c r="I4344" s="24" t="str">
        <f aca="false">IF(OR(E4344="",E4344="!!!",F4344="NEW"),"",INDEX(B8:B$4337,-1+SUMPRODUCT(MAX(ROW(E8:E$4337)*(E4344=E8:E$4337)))))</f>
        <v/>
      </c>
      <c r="J4344" s="24" t="str">
        <f aca="true">IF(OR(E4344="",E4344="!!!",F4344="NEW"),"",COUNTBLANK(OFFSET(A$1,,,SUMPRODUCT(MAX(ROW(E$2:E4344)*(E4344=E$2:E4344)))))-COUNTBLANK(OFFSET(A$1,,,SUMPRODUCT(MAX(ROW(E$1:E4343)*(E2=E$1:E4343))))))</f>
        <v/>
      </c>
      <c r="K4344" s="24" t="str">
        <f aca="false">IF(OR(E4344="",E4344="!!!",F4344="NEW"),"",INDEX(J$1:J4343,SUMPRODUCT(MAX(ROW(E$1:E4343)*(E4344=E$1:E4343)))))</f>
        <v/>
      </c>
      <c r="L4344" s="31"/>
    </row>
    <row r="4345" customFormat="false" ht="15" hidden="false" customHeight="false" outlineLevel="0" collapsed="false">
      <c r="A4345" s="20" t="s">
        <v>1109</v>
      </c>
      <c r="E4345" s="23" t="str">
        <f aca="false">IF(D4345="?OLD","!!!","")</f>
        <v/>
      </c>
      <c r="F4345" s="25" t="str">
        <f aca="false">IF(OR(E4345="",E4345="!!!"),"",IF(NOT(ISNA(VLOOKUP(E4345,E$1:E4344,1,FALSE()))),"OLD",IF(AND(E4345&lt;&gt;"",E4345&lt;&gt;"!!!"),"NEW","")))</f>
        <v/>
      </c>
      <c r="G4345" s="26" t="str">
        <f aca="false">IF(OR(E4345="",E4345="!!!"),"",IF(OR(J4345=0,AND(J4345=1,K4345=1),AND(J4345=1,I4345="SBJ"),AND(J4345=1,I4345=0)),"?IN_FOCUS",IF(J4345&lt;=2,"?ACTIVATED",IF(J4345&lt;&gt;"","?FAMILIAR",IF(F4345="NEW",IF(ISNA(VLOOKUP(E4345,#REF!,1,FALSE())),"?TYPE_IDENTIFIABLE","?REFERENTIAL"),"_")))))</f>
        <v/>
      </c>
      <c r="H4345" s="27" t="str">
        <f aca="false">IF(J4345&lt;&gt;1,"",IF(I4345="SBJ","CB","?"))</f>
        <v/>
      </c>
      <c r="I4345" s="24" t="str">
        <f aca="false">IF(OR(E4345="",E4345="!!!",F4345="NEW"),"",INDEX(B9:B$4337,-1+SUMPRODUCT(MAX(ROW(E9:E$4337)*(E4345=E9:E$4337)))))</f>
        <v/>
      </c>
      <c r="J4345" s="24" t="str">
        <f aca="true">IF(OR(E4345="",E4345="!!!",F4345="NEW"),"",COUNTBLANK(OFFSET(A$1,,,SUMPRODUCT(MAX(ROW(E$2:E4345)*(E4345=E$2:E4345)))))-COUNTBLANK(OFFSET(A$1,,,SUMPRODUCT(MAX(ROW(E$1:E4344)*(E2=E$1:E4344))))))</f>
        <v/>
      </c>
      <c r="K4345" s="24" t="str">
        <f aca="false">IF(OR(E4345="",E4345="!!!",F4345="NEW"),"",INDEX(J$1:J4344,SUMPRODUCT(MAX(ROW(E$1:E4344)*(E4345=E$1:E4344)))))</f>
        <v/>
      </c>
      <c r="L4345" s="31"/>
    </row>
    <row r="4346" customFormat="false" ht="15" hidden="false" customHeight="false" outlineLevel="0" collapsed="false">
      <c r="A4346" s="20" t="s">
        <v>1269</v>
      </c>
      <c r="B4346" s="22" t="s">
        <v>1073</v>
      </c>
      <c r="C4346" s="22" t="s">
        <v>1150</v>
      </c>
      <c r="D4346" s="22" t="s">
        <v>1060</v>
      </c>
      <c r="E4346" s="23" t="str">
        <f aca="false">IF(D4346="?OLD","!!!","")</f>
        <v>!!!</v>
      </c>
      <c r="F4346" s="25" t="str">
        <f aca="false">IF(OR(E4346="",E4346="!!!"),"",IF(NOT(ISNA(VLOOKUP(E4346,E$1:E4345,1,FALSE()))),"OLD",IF(AND(E4346&lt;&gt;"",E4346&lt;&gt;"!!!"),"NEW","")))</f>
        <v/>
      </c>
      <c r="G4346" s="26" t="str">
        <f aca="false">IF(OR(E4346="",E4346="!!!"),"",IF(OR(J4346=0,AND(J4346=1,K4346=1),AND(J4346=1,I4346="SBJ"),AND(J4346=1,I4346=0)),"?IN_FOCUS",IF(J4346&lt;=2,"?ACTIVATED",IF(J4346&lt;&gt;"","?FAMILIAR",IF(F4346="NEW",IF(ISNA(VLOOKUP(E4346,#REF!,1,FALSE())),"?TYPE_IDENTIFIABLE","?REFERENTIAL"),"_")))))</f>
        <v/>
      </c>
      <c r="H4346" s="27" t="str">
        <f aca="false">IF(J4346&lt;&gt;1,"",IF(I4346="SBJ","CB","?"))</f>
        <v/>
      </c>
      <c r="I4346" s="24" t="str">
        <f aca="false">IF(OR(E4346="",E4346="!!!",F4346="NEW"),"",INDEX(B10:B$4337,-1+SUMPRODUCT(MAX(ROW(E10:E$4337)*(E4346=E10:E$4337)))))</f>
        <v/>
      </c>
      <c r="J4346" s="24" t="str">
        <f aca="true">IF(OR(E4346="",E4346="!!!",F4346="NEW"),"",COUNTBLANK(OFFSET(A$1,,,SUMPRODUCT(MAX(ROW(E$2:E4346)*(E4346=E$2:E4346)))))-COUNTBLANK(OFFSET(A$1,,,SUMPRODUCT(MAX(ROW(E$1:E4345)*(E2=E$1:E4345))))))</f>
        <v/>
      </c>
      <c r="K4346" s="24" t="str">
        <f aca="false">IF(OR(E4346="",E4346="!!!",F4346="NEW"),"",INDEX(J$1:J4345,SUMPRODUCT(MAX(ROW(E$1:E4345)*(E4346=E$1:E4345)))))</f>
        <v/>
      </c>
      <c r="L4346" s="31"/>
    </row>
    <row r="4347" customFormat="false" ht="15" hidden="false" customHeight="false" outlineLevel="0" collapsed="false">
      <c r="A4347" s="20" t="s">
        <v>1295</v>
      </c>
      <c r="E4347" s="23" t="str">
        <f aca="false">IF(D4347="?OLD","!!!","")</f>
        <v/>
      </c>
      <c r="F4347" s="25" t="str">
        <f aca="false">IF(OR(E4347="",E4347="!!!"),"",IF(NOT(ISNA(VLOOKUP(E4347,E$1:E4346,1,FALSE()))),"OLD",IF(AND(E4347&lt;&gt;"",E4347&lt;&gt;"!!!"),"NEW","")))</f>
        <v/>
      </c>
      <c r="G4347" s="26" t="str">
        <f aca="false">IF(OR(E4347="",E4347="!!!"),"",IF(OR(J4347=0,AND(J4347=1,K4347=1),AND(J4347=1,I4347="SBJ"),AND(J4347=1,I4347=0)),"?IN_FOCUS",IF(J4347&lt;=2,"?ACTIVATED",IF(J4347&lt;&gt;"","?FAMILIAR",IF(F4347="NEW",IF(ISNA(VLOOKUP(E4347,#REF!,1,FALSE())),"?TYPE_IDENTIFIABLE","?REFERENTIAL"),"_")))))</f>
        <v/>
      </c>
      <c r="H4347" s="27" t="str">
        <f aca="false">IF(J4347&lt;&gt;1,"",IF(I4347="SBJ","CB","?"))</f>
        <v/>
      </c>
      <c r="I4347" s="24" t="str">
        <f aca="false">IF(OR(E4347="",E4347="!!!",F4347="NEW"),"",INDEX(B11:B$4337,-1+SUMPRODUCT(MAX(ROW(E11:E$4337)*(E4347=E11:E$4337)))))</f>
        <v/>
      </c>
      <c r="J4347" s="24" t="str">
        <f aca="true">IF(OR(E4347="",E4347="!!!",F4347="NEW"),"",COUNTBLANK(OFFSET(A$1,,,SUMPRODUCT(MAX(ROW(E$2:E4347)*(E4347=E$2:E4347)))))-COUNTBLANK(OFFSET(A$1,,,SUMPRODUCT(MAX(ROW(E$1:E4346)*(E2=E$1:E4346))))))</f>
        <v/>
      </c>
      <c r="K4347" s="24" t="str">
        <f aca="false">IF(OR(E4347="",E4347="!!!",F4347="NEW"),"",INDEX(J$1:J4346,SUMPRODUCT(MAX(ROW(E$1:E4346)*(E4347=E$1:E4346)))))</f>
        <v/>
      </c>
      <c r="L4347" s="31"/>
    </row>
    <row r="4348" customFormat="false" ht="15" hidden="false" customHeight="false" outlineLevel="0" collapsed="false">
      <c r="A4348" s="20" t="s">
        <v>1066</v>
      </c>
      <c r="B4348" s="22" t="s">
        <v>1086</v>
      </c>
      <c r="C4348" s="22" t="s">
        <v>1068</v>
      </c>
      <c r="D4348" s="22" t="s">
        <v>1060</v>
      </c>
      <c r="E4348" s="23" t="str">
        <f aca="false">IF(D4348="?OLD","!!!","")</f>
        <v>!!!</v>
      </c>
      <c r="F4348" s="25" t="str">
        <f aca="false">IF(OR(E4348="",E4348="!!!"),"",IF(NOT(ISNA(VLOOKUP(E4348,E$1:E4347,1,FALSE()))),"OLD",IF(AND(E4348&lt;&gt;"",E4348&lt;&gt;"!!!"),"NEW","")))</f>
        <v/>
      </c>
      <c r="G4348" s="26" t="str">
        <f aca="false">IF(OR(E4348="",E4348="!!!"),"",IF(OR(J4348=0,AND(J4348=1,K4348=1),AND(J4348=1,I4348="SBJ"),AND(J4348=1,I4348=0)),"?IN_FOCUS",IF(J4348&lt;=2,"?ACTIVATED",IF(J4348&lt;&gt;"","?FAMILIAR",IF(F4348="NEW",IF(ISNA(VLOOKUP(E4348,#REF!,1,FALSE())),"?TYPE_IDENTIFIABLE","?REFERENTIAL"),"_")))))</f>
        <v/>
      </c>
      <c r="H4348" s="27" t="str">
        <f aca="false">IF(J4348&lt;&gt;1,"",IF(I4348="SBJ","CB","?"))</f>
        <v/>
      </c>
      <c r="I4348" s="24" t="str">
        <f aca="false">IF(OR(E4348="",E4348="!!!",F4348="NEW"),"",INDEX(B12:B$4337,-1+SUMPRODUCT(MAX(ROW(E12:E$4337)*(E4348=E12:E$4337)))))</f>
        <v/>
      </c>
      <c r="J4348" s="24" t="str">
        <f aca="true">IF(OR(E4348="",E4348="!!!",F4348="NEW"),"",COUNTBLANK(OFFSET(A$1,,,SUMPRODUCT(MAX(ROW(E$2:E4348)*(E4348=E$2:E4348)))))-COUNTBLANK(OFFSET(A$1,,,SUMPRODUCT(MAX(ROW(E$1:E4347)*(E2=E$1:E4347))))))</f>
        <v/>
      </c>
      <c r="K4348" s="24" t="str">
        <f aca="false">IF(OR(E4348="",E4348="!!!",F4348="NEW"),"",INDEX(J$1:J4347,SUMPRODUCT(MAX(ROW(E$1:E4347)*(E4348=E$1:E4347)))))</f>
        <v/>
      </c>
      <c r="L4348" s="31"/>
    </row>
    <row r="4349" customFormat="false" ht="15" hidden="false" customHeight="false" outlineLevel="0" collapsed="false">
      <c r="A4349" s="20" t="s">
        <v>1128</v>
      </c>
      <c r="E4349" s="23" t="str">
        <f aca="false">IF(D4349="?OLD","!!!","")</f>
        <v/>
      </c>
      <c r="F4349" s="25" t="str">
        <f aca="false">IF(OR(E4349="",E4349="!!!"),"",IF(NOT(ISNA(VLOOKUP(E4349,E$1:E4348,1,FALSE()))),"OLD",IF(AND(E4349&lt;&gt;"",E4349&lt;&gt;"!!!"),"NEW","")))</f>
        <v/>
      </c>
      <c r="G4349" s="26" t="str">
        <f aca="false">IF(OR(E4349="",E4349="!!!"),"",IF(OR(J4349=0,AND(J4349=1,K4349=1),AND(J4349=1,I4349="SBJ"),AND(J4349=1,I4349=0)),"?IN_FOCUS",IF(J4349&lt;=2,"?ACTIVATED",IF(J4349&lt;&gt;"","?FAMILIAR",IF(F4349="NEW",IF(ISNA(VLOOKUP(E4349,#REF!,1,FALSE())),"?TYPE_IDENTIFIABLE","?REFERENTIAL"),"_")))))</f>
        <v/>
      </c>
      <c r="H4349" s="27" t="str">
        <f aca="false">IF(J4349&lt;&gt;1,"",IF(I4349="SBJ","CB","?"))</f>
        <v/>
      </c>
      <c r="I4349" s="24" t="str">
        <f aca="false">IF(OR(E4349="",E4349="!!!",F4349="NEW"),"",INDEX(B13:B$4337,-1+SUMPRODUCT(MAX(ROW(E13:E$4337)*(E4349=E13:E$4337)))))</f>
        <v/>
      </c>
      <c r="J4349" s="24" t="str">
        <f aca="true">IF(OR(E4349="",E4349="!!!",F4349="NEW"),"",COUNTBLANK(OFFSET(A$1,,,SUMPRODUCT(MAX(ROW(E$2:E4349)*(E4349=E$2:E4349)))))-COUNTBLANK(OFFSET(A$1,,,SUMPRODUCT(MAX(ROW(E$1:E4348)*(E2=E$1:E4348))))))</f>
        <v/>
      </c>
      <c r="K4349" s="24" t="str">
        <f aca="false">IF(OR(E4349="",E4349="!!!",F4349="NEW"),"",INDEX(J$1:J4348,SUMPRODUCT(MAX(ROW(E$1:E4348)*(E4349=E$1:E4348)))))</f>
        <v/>
      </c>
      <c r="L4349" s="31"/>
    </row>
    <row r="4350" customFormat="false" ht="15" hidden="false" customHeight="false" outlineLevel="0" collapsed="false">
      <c r="A4350" s="20" t="s">
        <v>1162</v>
      </c>
      <c r="B4350" s="22" t="s">
        <v>1067</v>
      </c>
      <c r="C4350" s="22" t="s">
        <v>1082</v>
      </c>
      <c r="D4350" s="22" t="s">
        <v>1060</v>
      </c>
      <c r="E4350" s="23" t="str">
        <f aca="false">IF(D4350="?OLD","!!!","")</f>
        <v>!!!</v>
      </c>
      <c r="F4350" s="25" t="str">
        <f aca="false">IF(OR(E4350="",E4350="!!!"),"",IF(NOT(ISNA(VLOOKUP(E4350,E$1:E4349,1,FALSE()))),"OLD",IF(AND(E4350&lt;&gt;"",E4350&lt;&gt;"!!!"),"NEW","")))</f>
        <v/>
      </c>
      <c r="G4350" s="26" t="str">
        <f aca="false">IF(OR(E4350="",E4350="!!!"),"",IF(OR(J4350=0,AND(J4350=1,K4350=1),AND(J4350=1,I4350="SBJ"),AND(J4350=1,I4350=0)),"?IN_FOCUS",IF(J4350&lt;=2,"?ACTIVATED",IF(J4350&lt;&gt;"","?FAMILIAR",IF(F4350="NEW",IF(ISNA(VLOOKUP(E4350,#REF!,1,FALSE())),"?TYPE_IDENTIFIABLE","?REFERENTIAL"),"_")))))</f>
        <v/>
      </c>
      <c r="H4350" s="27" t="str">
        <f aca="false">IF(J4350&lt;&gt;1,"",IF(I4350="SBJ","CB","?"))</f>
        <v/>
      </c>
      <c r="I4350" s="24" t="str">
        <f aca="false">IF(OR(E4350="",E4350="!!!",F4350="NEW"),"",INDEX(B14:B$4337,-1+SUMPRODUCT(MAX(ROW(E14:E$4337)*(E4350=E14:E$4337)))))</f>
        <v/>
      </c>
      <c r="J4350" s="24" t="str">
        <f aca="true">IF(OR(E4350="",E4350="!!!",F4350="NEW"),"",COUNTBLANK(OFFSET(A$1,,,SUMPRODUCT(MAX(ROW(E$2:E4350)*(E4350=E$2:E4350)))))-COUNTBLANK(OFFSET(A$1,,,SUMPRODUCT(MAX(ROW(E$1:E4349)*(E2=E$1:E4349))))))</f>
        <v/>
      </c>
      <c r="K4350" s="24" t="str">
        <f aca="false">IF(OR(E4350="",E4350="!!!",F4350="NEW"),"",INDEX(J$1:J4349,SUMPRODUCT(MAX(ROW(E$1:E4349)*(E4350=E$1:E4349)))))</f>
        <v/>
      </c>
      <c r="L4350" s="31"/>
    </row>
    <row r="4351" customFormat="false" ht="15" hidden="false" customHeight="false" outlineLevel="0" collapsed="false">
      <c r="A4351" s="20" t="s">
        <v>1795</v>
      </c>
      <c r="E4351" s="23" t="str">
        <f aca="false">IF(D4351="?OLD","!!!","")</f>
        <v/>
      </c>
      <c r="F4351" s="25" t="str">
        <f aca="false">IF(OR(E4351="",E4351="!!!"),"",IF(NOT(ISNA(VLOOKUP(E4351,E$1:E4350,1,FALSE()))),"OLD",IF(AND(E4351&lt;&gt;"",E4351&lt;&gt;"!!!"),"NEW","")))</f>
        <v/>
      </c>
      <c r="G4351" s="26" t="str">
        <f aca="false">IF(OR(E4351="",E4351="!!!"),"",IF(OR(J4351=0,AND(J4351=1,K4351=1),AND(J4351=1,I4351="SBJ"),AND(J4351=1,I4351=0)),"?IN_FOCUS",IF(J4351&lt;=2,"?ACTIVATED",IF(J4351&lt;&gt;"","?FAMILIAR",IF(F4351="NEW",IF(ISNA(VLOOKUP(E4351,#REF!,1,FALSE())),"?TYPE_IDENTIFIABLE","?REFERENTIAL"),"_")))))</f>
        <v/>
      </c>
      <c r="H4351" s="27" t="str">
        <f aca="false">IF(J4351&lt;&gt;1,"",IF(I4351="SBJ","CB","?"))</f>
        <v/>
      </c>
      <c r="I4351" s="24" t="str">
        <f aca="false">IF(OR(E4351="",E4351="!!!",F4351="NEW"),"",INDEX(B15:B$4337,-1+SUMPRODUCT(MAX(ROW(E15:E$4337)*(E4351=E15:E$4337)))))</f>
        <v/>
      </c>
      <c r="J4351" s="24" t="str">
        <f aca="true">IF(OR(E4351="",E4351="!!!",F4351="NEW"),"",COUNTBLANK(OFFSET(A$1,,,SUMPRODUCT(MAX(ROW(E$2:E4351)*(E4351=E$2:E4351)))))-COUNTBLANK(OFFSET(A$1,,,SUMPRODUCT(MAX(ROW(E$1:E4350)*(E2=E$1:E4350))))))</f>
        <v/>
      </c>
      <c r="K4351" s="24" t="str">
        <f aca="false">IF(OR(E4351="",E4351="!!!",F4351="NEW"),"",INDEX(J$1:J4350,SUMPRODUCT(MAX(ROW(E$1:E4350)*(E4351=E$1:E4350)))))</f>
        <v/>
      </c>
      <c r="L4351" s="31"/>
    </row>
    <row r="4352" customFormat="false" ht="15" hidden="false" customHeight="false" outlineLevel="0" collapsed="false">
      <c r="A4352" s="20" t="s">
        <v>1232</v>
      </c>
      <c r="E4352" s="23" t="str">
        <f aca="false">IF(D4352="?OLD","!!!","")</f>
        <v/>
      </c>
      <c r="F4352" s="25" t="str">
        <f aca="false">IF(OR(E4352="",E4352="!!!"),"",IF(NOT(ISNA(VLOOKUP(E4352,E$1:E4351,1,FALSE()))),"OLD",IF(AND(E4352&lt;&gt;"",E4352&lt;&gt;"!!!"),"NEW","")))</f>
        <v/>
      </c>
      <c r="G4352" s="26" t="str">
        <f aca="false">IF(OR(E4352="",E4352="!!!"),"",IF(OR(J4352=0,AND(J4352=1,K4352=1),AND(J4352=1,I4352="SBJ"),AND(J4352=1,I4352=0)),"?IN_FOCUS",IF(J4352&lt;=2,"?ACTIVATED",IF(J4352&lt;&gt;"","?FAMILIAR",IF(F4352="NEW",IF(ISNA(VLOOKUP(E4352,#REF!,1,FALSE())),"?TYPE_IDENTIFIABLE","?REFERENTIAL"),"_")))))</f>
        <v/>
      </c>
      <c r="H4352" s="27" t="str">
        <f aca="false">IF(J4352&lt;&gt;1,"",IF(I4352="SBJ","CB","?"))</f>
        <v/>
      </c>
      <c r="I4352" s="24" t="str">
        <f aca="false">IF(OR(E4352="",E4352="!!!",F4352="NEW"),"",INDEX(B16:B$4337,-1+SUMPRODUCT(MAX(ROW(E16:E$4337)*(E4352=E16:E$4337)))))</f>
        <v/>
      </c>
      <c r="J4352" s="24" t="str">
        <f aca="true">IF(OR(E4352="",E4352="!!!",F4352="NEW"),"",COUNTBLANK(OFFSET(A$1,,,SUMPRODUCT(MAX(ROW(E$2:E4352)*(E4352=E$2:E4352)))))-COUNTBLANK(OFFSET(A$1,,,SUMPRODUCT(MAX(ROW(E$1:E4351)*(E2=E$1:E4351))))))</f>
        <v/>
      </c>
      <c r="K4352" s="24" t="str">
        <f aca="false">IF(OR(E4352="",E4352="!!!",F4352="NEW"),"",INDEX(J$1:J4351,SUMPRODUCT(MAX(ROW(E$1:E4351)*(E4352=E$1:E4351)))))</f>
        <v/>
      </c>
      <c r="L4352" s="31"/>
    </row>
    <row r="4353" customFormat="false" ht="15" hidden="false" customHeight="false" outlineLevel="0" collapsed="false">
      <c r="A4353" s="20" t="s">
        <v>1213</v>
      </c>
      <c r="E4353" s="23" t="str">
        <f aca="false">IF(D4353="?OLD","!!!","")</f>
        <v/>
      </c>
      <c r="F4353" s="25" t="str">
        <f aca="false">IF(OR(E4353="",E4353="!!!"),"",IF(NOT(ISNA(VLOOKUP(E4353,E$1:E4352,1,FALSE()))),"OLD",IF(AND(E4353&lt;&gt;"",E4353&lt;&gt;"!!!"),"NEW","")))</f>
        <v/>
      </c>
      <c r="G4353" s="26" t="str">
        <f aca="false">IF(OR(E4353="",E4353="!!!"),"",IF(OR(J4353=0,AND(J4353=1,K4353=1),AND(J4353=1,I4353="SBJ"),AND(J4353=1,I4353=0)),"?IN_FOCUS",IF(J4353&lt;=2,"?ACTIVATED",IF(J4353&lt;&gt;"","?FAMILIAR",IF(F4353="NEW",IF(ISNA(VLOOKUP(E4353,#REF!,1,FALSE())),"?TYPE_IDENTIFIABLE","?REFERENTIAL"),"_")))))</f>
        <v/>
      </c>
      <c r="H4353" s="27" t="str">
        <f aca="false">IF(J4353&lt;&gt;1,"",IF(I4353="SBJ","CB","?"))</f>
        <v/>
      </c>
      <c r="I4353" s="24" t="str">
        <f aca="false">IF(OR(E4353="",E4353="!!!",F4353="NEW"),"",INDEX(B17:B$4337,-1+SUMPRODUCT(MAX(ROW(E17:E$4337)*(E4353=E17:E$4337)))))</f>
        <v/>
      </c>
      <c r="J4353" s="24" t="str">
        <f aca="true">IF(OR(E4353="",E4353="!!!",F4353="NEW"),"",COUNTBLANK(OFFSET(A$1,,,SUMPRODUCT(MAX(ROW(E$2:E4353)*(E4353=E$2:E4353)))))-COUNTBLANK(OFFSET(A$1,,,SUMPRODUCT(MAX(ROW(E$1:E4352)*(E2=E$1:E4352))))))</f>
        <v/>
      </c>
      <c r="K4353" s="24" t="str">
        <f aca="false">IF(OR(E4353="",E4353="!!!",F4353="NEW"),"",INDEX(J$1:J4352,SUMPRODUCT(MAX(ROW(E$1:E4352)*(E4353=E$1:E4352)))))</f>
        <v/>
      </c>
      <c r="L4353" s="31"/>
    </row>
    <row r="4354" customFormat="false" ht="15" hidden="false" customHeight="false" outlineLevel="0" collapsed="false">
      <c r="A4354" s="20" t="s">
        <v>1109</v>
      </c>
      <c r="E4354" s="23" t="str">
        <f aca="false">IF(D4354="?OLD","!!!","")</f>
        <v/>
      </c>
      <c r="F4354" s="25" t="str">
        <f aca="false">IF(OR(E4354="",E4354="!!!"),"",IF(NOT(ISNA(VLOOKUP(E4354,E$1:E4353,1,FALSE()))),"OLD",IF(AND(E4354&lt;&gt;"",E4354&lt;&gt;"!!!"),"NEW","")))</f>
        <v/>
      </c>
      <c r="G4354" s="26" t="str">
        <f aca="false">IF(OR(E4354="",E4354="!!!"),"",IF(OR(J4354=0,AND(J4354=1,K4354=1),AND(J4354=1,I4354="SBJ"),AND(J4354=1,I4354=0)),"?IN_FOCUS",IF(J4354&lt;=2,"?ACTIVATED",IF(J4354&lt;&gt;"","?FAMILIAR",IF(F4354="NEW",IF(ISNA(VLOOKUP(E4354,#REF!,1,FALSE())),"?TYPE_IDENTIFIABLE","?REFERENTIAL"),"_")))))</f>
        <v/>
      </c>
      <c r="H4354" s="27" t="str">
        <f aca="false">IF(J4354&lt;&gt;1,"",IF(I4354="SBJ","CB","?"))</f>
        <v/>
      </c>
      <c r="I4354" s="24" t="str">
        <f aca="false">IF(OR(E4354="",E4354="!!!",F4354="NEW"),"",INDEX(B18:B$4337,-1+SUMPRODUCT(MAX(ROW(E18:E$4337)*(E4354=E18:E$4337)))))</f>
        <v/>
      </c>
      <c r="J4354" s="24" t="str">
        <f aca="true">IF(OR(E4354="",E4354="!!!",F4354="NEW"),"",COUNTBLANK(OFFSET(A$1,,,SUMPRODUCT(MAX(ROW(E$2:E4354)*(E4354=E$2:E4354)))))-COUNTBLANK(OFFSET(A$1,,,SUMPRODUCT(MAX(ROW(E$1:E4353)*(E2=E$1:E4353))))))</f>
        <v/>
      </c>
      <c r="K4354" s="24" t="str">
        <f aca="false">IF(OR(E4354="",E4354="!!!",F4354="NEW"),"",INDEX(J$1:J4353,SUMPRODUCT(MAX(ROW(E$1:E4353)*(E4354=E$1:E4353)))))</f>
        <v/>
      </c>
      <c r="L4354" s="31"/>
    </row>
    <row r="4355" customFormat="false" ht="15" hidden="false" customHeight="false" outlineLevel="0" collapsed="false">
      <c r="A4355" s="20" t="s">
        <v>1502</v>
      </c>
      <c r="B4355" s="22" t="s">
        <v>1073</v>
      </c>
      <c r="C4355" s="22" t="s">
        <v>1150</v>
      </c>
      <c r="D4355" s="22" t="s">
        <v>1060</v>
      </c>
      <c r="E4355" s="23" t="str">
        <f aca="false">IF(D4355="?OLD","!!!","")</f>
        <v>!!!</v>
      </c>
      <c r="F4355" s="25" t="str">
        <f aca="false">IF(OR(E4355="",E4355="!!!"),"",IF(NOT(ISNA(VLOOKUP(E4355,E$1:E4354,1,FALSE()))),"OLD",IF(AND(E4355&lt;&gt;"",E4355&lt;&gt;"!!!"),"NEW","")))</f>
        <v/>
      </c>
      <c r="G4355" s="26" t="str">
        <f aca="false">IF(OR(E4355="",E4355="!!!"),"",IF(OR(J4355=0,AND(J4355=1,K4355=1),AND(J4355=1,I4355="SBJ"),AND(J4355=1,I4355=0)),"?IN_FOCUS",IF(J4355&lt;=2,"?ACTIVATED",IF(J4355&lt;&gt;"","?FAMILIAR",IF(F4355="NEW",IF(ISNA(VLOOKUP(E4355,#REF!,1,FALSE())),"?TYPE_IDENTIFIABLE","?REFERENTIAL"),"_")))))</f>
        <v/>
      </c>
      <c r="H4355" s="27" t="str">
        <f aca="false">IF(J4355&lt;&gt;1,"",IF(I4355="SBJ","CB","?"))</f>
        <v/>
      </c>
      <c r="I4355" s="24" t="str">
        <f aca="false">IF(OR(E4355="",E4355="!!!",F4355="NEW"),"",INDEX(B19:B$4337,-1+SUMPRODUCT(MAX(ROW(E19:E$4337)*(E4355=E19:E$4337)))))</f>
        <v/>
      </c>
      <c r="J4355" s="24" t="str">
        <f aca="true">IF(OR(E4355="",E4355="!!!",F4355="NEW"),"",COUNTBLANK(OFFSET(A$1,,,SUMPRODUCT(MAX(ROW(E$2:E4355)*(E4355=E$2:E4355)))))-COUNTBLANK(OFFSET(A$1,,,SUMPRODUCT(MAX(ROW(E$1:E4354)*(E2=E$1:E4354))))))</f>
        <v/>
      </c>
      <c r="K4355" s="24" t="str">
        <f aca="false">IF(OR(E4355="",E4355="!!!",F4355="NEW"),"",INDEX(J$1:J4354,SUMPRODUCT(MAX(ROW(E$1:E4354)*(E4355=E$1:E4354)))))</f>
        <v/>
      </c>
      <c r="L4355" s="31"/>
    </row>
    <row r="4356" customFormat="false" ht="15" hidden="false" customHeight="false" outlineLevel="0" collapsed="false">
      <c r="A4356" s="20" t="s">
        <v>1095</v>
      </c>
      <c r="E4356" s="23" t="str">
        <f aca="false">IF(D4356="?OLD","!!!","")</f>
        <v/>
      </c>
      <c r="F4356" s="25" t="str">
        <f aca="false">IF(OR(E4356="",E4356="!!!"),"",IF(NOT(ISNA(VLOOKUP(E4356,E$1:E4355,1,FALSE()))),"OLD",IF(AND(E4356&lt;&gt;"",E4356&lt;&gt;"!!!"),"NEW","")))</f>
        <v/>
      </c>
      <c r="G4356" s="26" t="str">
        <f aca="false">IF(OR(E4356="",E4356="!!!"),"",IF(OR(J4356=0,AND(J4356=1,K4356=1),AND(J4356=1,I4356="SBJ"),AND(J4356=1,I4356=0)),"?IN_FOCUS",IF(J4356&lt;=2,"?ACTIVATED",IF(J4356&lt;&gt;"","?FAMILIAR",IF(F4356="NEW",IF(ISNA(VLOOKUP(E4356,#REF!,1,FALSE())),"?TYPE_IDENTIFIABLE","?REFERENTIAL"),"_")))))</f>
        <v/>
      </c>
      <c r="H4356" s="27" t="str">
        <f aca="false">IF(J4356&lt;&gt;1,"",IF(I4356="SBJ","CB","?"))</f>
        <v/>
      </c>
      <c r="I4356" s="24" t="str">
        <f aca="false">IF(OR(E4356="",E4356="!!!",F4356="NEW"),"",INDEX(B20:B$4337,-1+SUMPRODUCT(MAX(ROW(E20:E$4337)*(E4356=E20:E$4337)))))</f>
        <v/>
      </c>
      <c r="J4356" s="24" t="str">
        <f aca="true">IF(OR(E4356="",E4356="!!!",F4356="NEW"),"",COUNTBLANK(OFFSET(A$1,,,SUMPRODUCT(MAX(ROW(E$2:E4356)*(E4356=E$2:E4356)))))-COUNTBLANK(OFFSET(A$1,,,SUMPRODUCT(MAX(ROW(E$1:E4355)*(E2=E$1:E4355))))))</f>
        <v/>
      </c>
      <c r="K4356" s="24" t="str">
        <f aca="false">IF(OR(E4356="",E4356="!!!",F4356="NEW"),"",INDEX(J$1:J4355,SUMPRODUCT(MAX(ROW(E$1:E4355)*(E4356=E$1:E4355)))))</f>
        <v/>
      </c>
      <c r="L4356" s="31"/>
    </row>
    <row r="4357" customFormat="false" ht="15" hidden="false" customHeight="false" outlineLevel="0" collapsed="false">
      <c r="A4357" s="20" t="s">
        <v>2359</v>
      </c>
      <c r="E4357" s="23" t="str">
        <f aca="false">IF(D4357="?OLD","!!!","")</f>
        <v/>
      </c>
      <c r="F4357" s="25" t="str">
        <f aca="false">IF(OR(E4357="",E4357="!!!"),"",IF(NOT(ISNA(VLOOKUP(E4357,E$1:E4356,1,FALSE()))),"OLD",IF(AND(E4357&lt;&gt;"",E4357&lt;&gt;"!!!"),"NEW","")))</f>
        <v/>
      </c>
      <c r="G4357" s="26" t="str">
        <f aca="false">IF(OR(E4357="",E4357="!!!"),"",IF(OR(J4357=0,AND(J4357=1,K4357=1),AND(J4357=1,I4357="SBJ"),AND(J4357=1,I4357=0)),"?IN_FOCUS",IF(J4357&lt;=2,"?ACTIVATED",IF(J4357&lt;&gt;"","?FAMILIAR",IF(F4357="NEW",IF(ISNA(VLOOKUP(E4357,#REF!,1,FALSE())),"?TYPE_IDENTIFIABLE","?REFERENTIAL"),"_")))))</f>
        <v/>
      </c>
      <c r="H4357" s="27" t="str">
        <f aca="false">IF(J4357&lt;&gt;1,"",IF(I4357="SBJ","CB","?"))</f>
        <v/>
      </c>
      <c r="I4357" s="24" t="str">
        <f aca="false">IF(OR(E4357="",E4357="!!!",F4357="NEW"),"",INDEX(B21:B$4337,-1+SUMPRODUCT(MAX(ROW(E21:E$4337)*(E4357=E21:E$4337)))))</f>
        <v/>
      </c>
      <c r="J4357" s="24" t="str">
        <f aca="true">IF(OR(E4357="",E4357="!!!",F4357="NEW"),"",COUNTBLANK(OFFSET(A$1,,,SUMPRODUCT(MAX(ROW(E$2:E4357)*(E4357=E$2:E4357)))))-COUNTBLANK(OFFSET(A$1,,,SUMPRODUCT(MAX(ROW(E$1:E4356)*(E2=E$1:E4356))))))</f>
        <v/>
      </c>
      <c r="K4357" s="24" t="str">
        <f aca="false">IF(OR(E4357="",E4357="!!!",F4357="NEW"),"",INDEX(J$1:J4356,SUMPRODUCT(MAX(ROW(E$1:E4356)*(E4357=E$1:E4356)))))</f>
        <v/>
      </c>
      <c r="L4357" s="31"/>
    </row>
    <row r="4358" customFormat="false" ht="15" hidden="false" customHeight="false" outlineLevel="0" collapsed="false">
      <c r="A4358" s="20" t="s">
        <v>1273</v>
      </c>
      <c r="B4358" s="22" t="s">
        <v>1067</v>
      </c>
      <c r="C4358" s="22" t="s">
        <v>1068</v>
      </c>
      <c r="D4358" s="22" t="s">
        <v>1060</v>
      </c>
      <c r="E4358" s="23" t="str">
        <f aca="false">IF(D4358="?OLD","!!!","")</f>
        <v>!!!</v>
      </c>
      <c r="F4358" s="25" t="str">
        <f aca="false">IF(OR(E4358="",E4358="!!!"),"",IF(NOT(ISNA(VLOOKUP(E4358,E$1:E4357,1,FALSE()))),"OLD",IF(AND(E4358&lt;&gt;"",E4358&lt;&gt;"!!!"),"NEW","")))</f>
        <v/>
      </c>
      <c r="G4358" s="26" t="str">
        <f aca="false">IF(OR(E4358="",E4358="!!!"),"",IF(OR(J4358=0,AND(J4358=1,K4358=1),AND(J4358=1,I4358="SBJ"),AND(J4358=1,I4358=0)),"?IN_FOCUS",IF(J4358&lt;=2,"?ACTIVATED",IF(J4358&lt;&gt;"","?FAMILIAR",IF(F4358="NEW",IF(ISNA(VLOOKUP(E4358,#REF!,1,FALSE())),"?TYPE_IDENTIFIABLE","?REFERENTIAL"),"_")))))</f>
        <v/>
      </c>
      <c r="H4358" s="27" t="str">
        <f aca="false">IF(J4358&lt;&gt;1,"",IF(I4358="SBJ","CB","?"))</f>
        <v/>
      </c>
      <c r="I4358" s="24" t="str">
        <f aca="false">IF(OR(E4358="",E4358="!!!",F4358="NEW"),"",INDEX(B22:B$4337,-1+SUMPRODUCT(MAX(ROW(E22:E$4337)*(E4358=E22:E$4337)))))</f>
        <v/>
      </c>
      <c r="J4358" s="24" t="str">
        <f aca="true">IF(OR(E4358="",E4358="!!!",F4358="NEW"),"",COUNTBLANK(OFFSET(A$1,,,SUMPRODUCT(MAX(ROW(E$2:E4358)*(E4358=E$2:E4358)))))-COUNTBLANK(OFFSET(A$1,,,SUMPRODUCT(MAX(ROW(E$1:E4357)*(E2=E$1:E4357))))))</f>
        <v/>
      </c>
      <c r="K4358" s="24" t="str">
        <f aca="false">IF(OR(E4358="",E4358="!!!",F4358="NEW"),"",INDEX(J$1:J4357,SUMPRODUCT(MAX(ROW(E$1:E4357)*(E4358=E$1:E4357)))))</f>
        <v/>
      </c>
      <c r="L4358" s="31"/>
    </row>
    <row r="4359" customFormat="false" ht="15" hidden="false" customHeight="false" outlineLevel="0" collapsed="false">
      <c r="A4359" s="20" t="s">
        <v>923</v>
      </c>
      <c r="E4359" s="23" t="str">
        <f aca="false">IF(D4359="?OLD","!!!","")</f>
        <v/>
      </c>
      <c r="F4359" s="25" t="str">
        <f aca="false">IF(OR(E4359="",E4359="!!!"),"",IF(NOT(ISNA(VLOOKUP(E4359,E$1:E4358,1,FALSE()))),"OLD",IF(AND(E4359&lt;&gt;"",E4359&lt;&gt;"!!!"),"NEW","")))</f>
        <v/>
      </c>
      <c r="G4359" s="26" t="str">
        <f aca="false">IF(OR(E4359="",E4359="!!!"),"",IF(OR(J4359=0,AND(J4359=1,K4359=1),AND(J4359=1,I4359="SBJ"),AND(J4359=1,I4359=0)),"?IN_FOCUS",IF(J4359&lt;=2,"?ACTIVATED",IF(J4359&lt;&gt;"","?FAMILIAR",IF(F4359="NEW",IF(ISNA(VLOOKUP(E4359,#REF!,1,FALSE())),"?TYPE_IDENTIFIABLE","?REFERENTIAL"),"_")))))</f>
        <v/>
      </c>
      <c r="H4359" s="27" t="str">
        <f aca="false">IF(J4359&lt;&gt;1,"",IF(I4359="SBJ","CB","?"))</f>
        <v/>
      </c>
      <c r="I4359" s="24" t="str">
        <f aca="false">IF(OR(E4359="",E4359="!!!",F4359="NEW"),"",INDEX(B23:B$4337,-1+SUMPRODUCT(MAX(ROW(E23:E$4337)*(E4359=E23:E$4337)))))</f>
        <v/>
      </c>
      <c r="J4359" s="24" t="str">
        <f aca="true">IF(OR(E4359="",E4359="!!!",F4359="NEW"),"",COUNTBLANK(OFFSET(A$1,,,SUMPRODUCT(MAX(ROW(E$2:E4359)*(E4359=E$2:E4359)))))-COUNTBLANK(OFFSET(A$1,,,SUMPRODUCT(MAX(ROW(E$1:E4358)*(E2=E$1:E4358))))))</f>
        <v/>
      </c>
      <c r="K4359" s="24" t="str">
        <f aca="false">IF(OR(E4359="",E4359="!!!",F4359="NEW"),"",INDEX(J$1:J4358,SUMPRODUCT(MAX(ROW(E$1:E4358)*(E4359=E$1:E4358)))))</f>
        <v/>
      </c>
      <c r="L4359" s="31"/>
    </row>
    <row r="4360" customFormat="false" ht="15" hidden="false" customHeight="false" outlineLevel="0" collapsed="false">
      <c r="A4360" s="20"/>
    </row>
    <row r="4361" customFormat="false" ht="15" hidden="false" customHeight="false" outlineLevel="0" collapsed="false">
      <c r="A4361" s="20" t="s">
        <v>2360</v>
      </c>
    </row>
    <row r="4362" customFormat="false" ht="15" hidden="false" customHeight="false" outlineLevel="0" collapsed="false">
      <c r="A4362" s="20" t="s">
        <v>1148</v>
      </c>
      <c r="E4362" s="23" t="str">
        <f aca="false">IF(D4362="?OLD","!!!","")</f>
        <v/>
      </c>
      <c r="F4362" s="25" t="str">
        <f aca="false">IF(OR(E4362="",E4362="!!!"),"",IF(NOT(ISNA(VLOOKUP(E4362,E$1:E4361,1,FALSE()))),"OLD",IF(AND(E4362&lt;&gt;"",E4362&lt;&gt;"!!!"),"NEW","")))</f>
        <v/>
      </c>
      <c r="G4362" s="26" t="str">
        <f aca="false">IF(OR(E4362="",E4362="!!!"),"",IF(OR(J4362=0,AND(J4362=1,K4362=1),AND(J4362=1,I4362="SBJ"),AND(J4362=1,I4362=0)),"?IN_FOCUS",IF(J4362&lt;=2,"?ACTIVATED",IF(J4362&lt;&gt;"","?FAMILIAR",IF(F4362="NEW",IF(ISNA(VLOOKUP(E4362,#REF!,1,FALSE())),"?TYPE_IDENTIFIABLE","?REFERENTIAL"),"_")))))</f>
        <v/>
      </c>
      <c r="H4362" s="27" t="str">
        <f aca="false">IF(J4362&lt;&gt;1,"",IF(I4362="SBJ","CB","?"))</f>
        <v/>
      </c>
      <c r="I4362" s="24" t="str">
        <f aca="false">IF(OR(E4362="",E4362="!!!",F4362="NEW"),"",INDEX(B2:B$4361,-1+SUMPRODUCT(MAX(ROW(E2:E$4361)*(E4362=E2:E$4361)))))</f>
        <v/>
      </c>
      <c r="J4362" s="24" t="str">
        <f aca="true">IF(OR(E4362="",E4362="!!!",F4362="NEW"),"",COUNTBLANK(OFFSET(A$1,,,SUMPRODUCT(MAX(ROW(E$2:E4362)*(E4362=E$2:E4362)))))-COUNTBLANK(OFFSET(A$1,,,SUMPRODUCT(MAX(ROW(E$1:E4361)*(E2=E$1:E4361))))))</f>
        <v/>
      </c>
      <c r="K4362" s="24" t="str">
        <f aca="false">IF(OR(E4362="",E4362="!!!",F4362="NEW"),"",INDEX(J$1:J4361,SUMPRODUCT(MAX(ROW(E$1:E4361)*(E4362=E$1:E4361)))))</f>
        <v/>
      </c>
      <c r="L4362" s="31"/>
    </row>
    <row r="4363" customFormat="false" ht="15" hidden="false" customHeight="false" outlineLevel="0" collapsed="false">
      <c r="A4363" s="20" t="s">
        <v>2361</v>
      </c>
      <c r="B4363" s="22" t="s">
        <v>1058</v>
      </c>
      <c r="C4363" s="22" t="s">
        <v>1059</v>
      </c>
      <c r="D4363" s="22" t="s">
        <v>1060</v>
      </c>
      <c r="E4363" s="23" t="str">
        <f aca="false">IF(D4363="?OLD","!!!","")</f>
        <v>!!!</v>
      </c>
      <c r="F4363" s="25" t="str">
        <f aca="false">IF(OR(E4363="",E4363="!!!"),"",IF(NOT(ISNA(VLOOKUP(E4363,E$1:E4362,1,FALSE()))),"OLD",IF(AND(E4363&lt;&gt;"",E4363&lt;&gt;"!!!"),"NEW","")))</f>
        <v/>
      </c>
      <c r="G4363" s="26" t="str">
        <f aca="false">IF(OR(E4363="",E4363="!!!"),"",IF(OR(J4363=0,AND(J4363=1,K4363=1),AND(J4363=1,I4363="SBJ"),AND(J4363=1,I4363=0)),"?IN_FOCUS",IF(J4363&lt;=2,"?ACTIVATED",IF(J4363&lt;&gt;"","?FAMILIAR",IF(F4363="NEW",IF(ISNA(VLOOKUP(E4363,#REF!,1,FALSE())),"?TYPE_IDENTIFIABLE","?REFERENTIAL"),"_")))))</f>
        <v/>
      </c>
      <c r="H4363" s="27" t="str">
        <f aca="false">IF(J4363&lt;&gt;1,"",IF(I4363="SBJ","CB","?"))</f>
        <v/>
      </c>
      <c r="I4363" s="24" t="str">
        <f aca="false">IF(OR(E4363="",E4363="!!!",F4363="NEW"),"",INDEX(B3:B$4361,-1+SUMPRODUCT(MAX(ROW(E3:E$4361)*(E4363=E3:E$4361)))))</f>
        <v/>
      </c>
      <c r="J4363" s="24" t="str">
        <f aca="true">IF(OR(E4363="",E4363="!!!",F4363="NEW"),"",COUNTBLANK(OFFSET(A$1,,,SUMPRODUCT(MAX(ROW(E$2:E4363)*(E4363=E$2:E4363)))))-COUNTBLANK(OFFSET(A$1,,,SUMPRODUCT(MAX(ROW(E$1:E4362)*(E2=E$1:E4362))))))</f>
        <v/>
      </c>
      <c r="K4363" s="24" t="str">
        <f aca="false">IF(OR(E4363="",E4363="!!!",F4363="NEW"),"",INDEX(J$1:J4362,SUMPRODUCT(MAX(ROW(E$1:E4362)*(E4363=E$1:E4362)))))</f>
        <v/>
      </c>
      <c r="L4363" s="31"/>
    </row>
    <row r="4364" customFormat="false" ht="15" hidden="false" customHeight="false" outlineLevel="0" collapsed="false">
      <c r="A4364" s="20" t="s">
        <v>1064</v>
      </c>
      <c r="E4364" s="23" t="str">
        <f aca="false">IF(D4364="?OLD","!!!","")</f>
        <v/>
      </c>
      <c r="F4364" s="25" t="str">
        <f aca="false">IF(OR(E4364="",E4364="!!!"),"",IF(NOT(ISNA(VLOOKUP(E4364,E$1:E4363,1,FALSE()))),"OLD",IF(AND(E4364&lt;&gt;"",E4364&lt;&gt;"!!!"),"NEW","")))</f>
        <v/>
      </c>
      <c r="G4364" s="26" t="str">
        <f aca="false">IF(OR(E4364="",E4364="!!!"),"",IF(OR(J4364=0,AND(J4364=1,K4364=1),AND(J4364=1,I4364="SBJ"),AND(J4364=1,I4364=0)),"?IN_FOCUS",IF(J4364&lt;=2,"?ACTIVATED",IF(J4364&lt;&gt;"","?FAMILIAR",IF(F4364="NEW",IF(ISNA(VLOOKUP(E4364,#REF!,1,FALSE())),"?TYPE_IDENTIFIABLE","?REFERENTIAL"),"_")))))</f>
        <v/>
      </c>
      <c r="H4364" s="27" t="str">
        <f aca="false">IF(J4364&lt;&gt;1,"",IF(I4364="SBJ","CB","?"))</f>
        <v/>
      </c>
      <c r="I4364" s="24" t="str">
        <f aca="false">IF(OR(E4364="",E4364="!!!",F4364="NEW"),"",INDEX(B4:B$4361,-1+SUMPRODUCT(MAX(ROW(E4:E$4361)*(E4364=E4:E$4361)))))</f>
        <v/>
      </c>
      <c r="J4364" s="24" t="str">
        <f aca="true">IF(OR(E4364="",E4364="!!!",F4364="NEW"),"",COUNTBLANK(OFFSET(A$1,,,SUMPRODUCT(MAX(ROW(E$2:E4364)*(E4364=E$2:E4364)))))-COUNTBLANK(OFFSET(A$1,,,SUMPRODUCT(MAX(ROW(E$1:E4363)*(E2=E$1:E4363))))))</f>
        <v/>
      </c>
      <c r="K4364" s="24" t="str">
        <f aca="false">IF(OR(E4364="",E4364="!!!",F4364="NEW"),"",INDEX(J$1:J4363,SUMPRODUCT(MAX(ROW(E$1:E4363)*(E4364=E$1:E4363)))))</f>
        <v/>
      </c>
      <c r="L4364" s="31"/>
    </row>
    <row r="4365" customFormat="false" ht="15" hidden="false" customHeight="false" outlineLevel="0" collapsed="false">
      <c r="A4365" s="20" t="s">
        <v>1109</v>
      </c>
      <c r="E4365" s="23" t="str">
        <f aca="false">IF(D4365="?OLD","!!!","")</f>
        <v/>
      </c>
      <c r="F4365" s="25" t="str">
        <f aca="false">IF(OR(E4365="",E4365="!!!"),"",IF(NOT(ISNA(VLOOKUP(E4365,E$1:E4364,1,FALSE()))),"OLD",IF(AND(E4365&lt;&gt;"",E4365&lt;&gt;"!!!"),"NEW","")))</f>
        <v/>
      </c>
      <c r="G4365" s="26" t="str">
        <f aca="false">IF(OR(E4365="",E4365="!!!"),"",IF(OR(J4365=0,AND(J4365=1,K4365=1),AND(J4365=1,I4365="SBJ"),AND(J4365=1,I4365=0)),"?IN_FOCUS",IF(J4365&lt;=2,"?ACTIVATED",IF(J4365&lt;&gt;"","?FAMILIAR",IF(F4365="NEW",IF(ISNA(VLOOKUP(E4365,#REF!,1,FALSE())),"?TYPE_IDENTIFIABLE","?REFERENTIAL"),"_")))))</f>
        <v/>
      </c>
      <c r="H4365" s="27" t="str">
        <f aca="false">IF(J4365&lt;&gt;1,"",IF(I4365="SBJ","CB","?"))</f>
        <v/>
      </c>
      <c r="I4365" s="24" t="str">
        <f aca="false">IF(OR(E4365="",E4365="!!!",F4365="NEW"),"",INDEX(B5:B$4361,-1+SUMPRODUCT(MAX(ROW(E5:E$4361)*(E4365=E5:E$4361)))))</f>
        <v/>
      </c>
      <c r="J4365" s="24" t="str">
        <f aca="true">IF(OR(E4365="",E4365="!!!",F4365="NEW"),"",COUNTBLANK(OFFSET(A$1,,,SUMPRODUCT(MAX(ROW(E$2:E4365)*(E4365=E$2:E4365)))))-COUNTBLANK(OFFSET(A$1,,,SUMPRODUCT(MAX(ROW(E$1:E4364)*(E2=E$1:E4364))))))</f>
        <v/>
      </c>
      <c r="K4365" s="24" t="str">
        <f aca="false">IF(OR(E4365="",E4365="!!!",F4365="NEW"),"",INDEX(J$1:J4364,SUMPRODUCT(MAX(ROW(E$1:E4364)*(E4365=E$1:E4364)))))</f>
        <v/>
      </c>
      <c r="L4365" s="31"/>
    </row>
    <row r="4366" customFormat="false" ht="15" hidden="false" customHeight="false" outlineLevel="0" collapsed="false">
      <c r="A4366" s="20" t="s">
        <v>2362</v>
      </c>
      <c r="B4366" s="22" t="s">
        <v>1073</v>
      </c>
      <c r="C4366" s="22" t="s">
        <v>1068</v>
      </c>
      <c r="D4366" s="22" t="s">
        <v>1060</v>
      </c>
      <c r="E4366" s="23" t="str">
        <f aca="false">IF(D4366="?OLD","!!!","")</f>
        <v>!!!</v>
      </c>
      <c r="F4366" s="25" t="str">
        <f aca="false">IF(OR(E4366="",E4366="!!!"),"",IF(NOT(ISNA(VLOOKUP(E4366,E$1:E4365,1,FALSE()))),"OLD",IF(AND(E4366&lt;&gt;"",E4366&lt;&gt;"!!!"),"NEW","")))</f>
        <v/>
      </c>
      <c r="G4366" s="26" t="str">
        <f aca="false">IF(OR(E4366="",E4366="!!!"),"",IF(OR(J4366=0,AND(J4366=1,K4366=1),AND(J4366=1,I4366="SBJ"),AND(J4366=1,I4366=0)),"?IN_FOCUS",IF(J4366&lt;=2,"?ACTIVATED",IF(J4366&lt;&gt;"","?FAMILIAR",IF(F4366="NEW",IF(ISNA(VLOOKUP(E4366,#REF!,1,FALSE())),"?TYPE_IDENTIFIABLE","?REFERENTIAL"),"_")))))</f>
        <v/>
      </c>
      <c r="H4366" s="27" t="str">
        <f aca="false">IF(J4366&lt;&gt;1,"",IF(I4366="SBJ","CB","?"))</f>
        <v/>
      </c>
      <c r="I4366" s="24" t="str">
        <f aca="false">IF(OR(E4366="",E4366="!!!",F4366="NEW"),"",INDEX(B6:B$4361,-1+SUMPRODUCT(MAX(ROW(E6:E$4361)*(E4366=E6:E$4361)))))</f>
        <v/>
      </c>
      <c r="J4366" s="24" t="str">
        <f aca="true">IF(OR(E4366="",E4366="!!!",F4366="NEW"),"",COUNTBLANK(OFFSET(A$1,,,SUMPRODUCT(MAX(ROW(E$2:E4366)*(E4366=E$2:E4366)))))-COUNTBLANK(OFFSET(A$1,,,SUMPRODUCT(MAX(ROW(E$1:E4365)*(E2=E$1:E4365))))))</f>
        <v/>
      </c>
      <c r="K4366" s="24" t="str">
        <f aca="false">IF(OR(E4366="",E4366="!!!",F4366="NEW"),"",INDEX(J$1:J4365,SUMPRODUCT(MAX(ROW(E$1:E4365)*(E4366=E$1:E4365)))))</f>
        <v/>
      </c>
      <c r="L4366" s="31"/>
    </row>
    <row r="4367" customFormat="false" ht="15" hidden="false" customHeight="false" outlineLevel="0" collapsed="false">
      <c r="A4367" s="20" t="s">
        <v>1198</v>
      </c>
      <c r="E4367" s="23" t="str">
        <f aca="false">IF(D4367="?OLD","!!!","")</f>
        <v/>
      </c>
      <c r="F4367" s="25" t="str">
        <f aca="false">IF(OR(E4367="",E4367="!!!"),"",IF(NOT(ISNA(VLOOKUP(E4367,E$1:E4366,1,FALSE()))),"OLD",IF(AND(E4367&lt;&gt;"",E4367&lt;&gt;"!!!"),"NEW","")))</f>
        <v/>
      </c>
      <c r="G4367" s="26" t="str">
        <f aca="false">IF(OR(E4367="",E4367="!!!"),"",IF(OR(J4367=0,AND(J4367=1,K4367=1),AND(J4367=1,I4367="SBJ"),AND(J4367=1,I4367=0)),"?IN_FOCUS",IF(J4367&lt;=2,"?ACTIVATED",IF(J4367&lt;&gt;"","?FAMILIAR",IF(F4367="NEW",IF(ISNA(VLOOKUP(E4367,#REF!,1,FALSE())),"?TYPE_IDENTIFIABLE","?REFERENTIAL"),"_")))))</f>
        <v/>
      </c>
      <c r="H4367" s="27" t="str">
        <f aca="false">IF(J4367&lt;&gt;1,"",IF(I4367="SBJ","CB","?"))</f>
        <v/>
      </c>
      <c r="I4367" s="24" t="str">
        <f aca="false">IF(OR(E4367="",E4367="!!!",F4367="NEW"),"",INDEX(B7:B$4361,-1+SUMPRODUCT(MAX(ROW(E7:E$4361)*(E4367=E7:E$4361)))))</f>
        <v/>
      </c>
      <c r="J4367" s="24" t="str">
        <f aca="true">IF(OR(E4367="",E4367="!!!",F4367="NEW"),"",COUNTBLANK(OFFSET(A$1,,,SUMPRODUCT(MAX(ROW(E$2:E4367)*(E4367=E$2:E4367)))))-COUNTBLANK(OFFSET(A$1,,,SUMPRODUCT(MAX(ROW(E$1:E4366)*(E2=E$1:E4366))))))</f>
        <v/>
      </c>
      <c r="K4367" s="24" t="str">
        <f aca="false">IF(OR(E4367="",E4367="!!!",F4367="NEW"),"",INDEX(J$1:J4366,SUMPRODUCT(MAX(ROW(E$1:E4366)*(E4367=E$1:E4366)))))</f>
        <v/>
      </c>
      <c r="L4367" s="31"/>
    </row>
    <row r="4368" customFormat="false" ht="15" hidden="false" customHeight="false" outlineLevel="0" collapsed="false">
      <c r="A4368" s="20" t="s">
        <v>1117</v>
      </c>
      <c r="E4368" s="23" t="str">
        <f aca="false">IF(D4368="?OLD","!!!","")</f>
        <v/>
      </c>
      <c r="F4368" s="25" t="str">
        <f aca="false">IF(OR(E4368="",E4368="!!!"),"",IF(NOT(ISNA(VLOOKUP(E4368,E$1:E4367,1,FALSE()))),"OLD",IF(AND(E4368&lt;&gt;"",E4368&lt;&gt;"!!!"),"NEW","")))</f>
        <v/>
      </c>
      <c r="G4368" s="26" t="str">
        <f aca="false">IF(OR(E4368="",E4368="!!!"),"",IF(OR(J4368=0,AND(J4368=1,K4368=1),AND(J4368=1,I4368="SBJ"),AND(J4368=1,I4368=0)),"?IN_FOCUS",IF(J4368&lt;=2,"?ACTIVATED",IF(J4368&lt;&gt;"","?FAMILIAR",IF(F4368="NEW",IF(ISNA(VLOOKUP(E4368,#REF!,1,FALSE())),"?TYPE_IDENTIFIABLE","?REFERENTIAL"),"_")))))</f>
        <v/>
      </c>
      <c r="H4368" s="27" t="str">
        <f aca="false">IF(J4368&lt;&gt;1,"",IF(I4368="SBJ","CB","?"))</f>
        <v/>
      </c>
      <c r="I4368" s="24" t="str">
        <f aca="false">IF(OR(E4368="",E4368="!!!",F4368="NEW"),"",INDEX(B8:B$4361,-1+SUMPRODUCT(MAX(ROW(E8:E$4361)*(E4368=E8:E$4361)))))</f>
        <v/>
      </c>
      <c r="J4368" s="24" t="str">
        <f aca="true">IF(OR(E4368="",E4368="!!!",F4368="NEW"),"",COUNTBLANK(OFFSET(A$1,,,SUMPRODUCT(MAX(ROW(E$2:E4368)*(E4368=E$2:E4368)))))-COUNTBLANK(OFFSET(A$1,,,SUMPRODUCT(MAX(ROW(E$1:E4367)*(E2=E$1:E4367))))))</f>
        <v/>
      </c>
      <c r="K4368" s="24" t="str">
        <f aca="false">IF(OR(E4368="",E4368="!!!",F4368="NEW"),"",INDEX(J$1:J4367,SUMPRODUCT(MAX(ROW(E$1:E4367)*(E4368=E$1:E4367)))))</f>
        <v/>
      </c>
      <c r="L4368" s="31"/>
    </row>
    <row r="4369" customFormat="false" ht="15" hidden="false" customHeight="false" outlineLevel="0" collapsed="false">
      <c r="A4369" s="20" t="s">
        <v>2363</v>
      </c>
      <c r="E4369" s="23" t="str">
        <f aca="false">IF(D4369="?OLD","!!!","")</f>
        <v/>
      </c>
      <c r="F4369" s="25" t="str">
        <f aca="false">IF(OR(E4369="",E4369="!!!"),"",IF(NOT(ISNA(VLOOKUP(E4369,E$1:E4368,1,FALSE()))),"OLD",IF(AND(E4369&lt;&gt;"",E4369&lt;&gt;"!!!"),"NEW","")))</f>
        <v/>
      </c>
      <c r="G4369" s="26" t="str">
        <f aca="false">IF(OR(E4369="",E4369="!!!"),"",IF(OR(J4369=0,AND(J4369=1,K4369=1),AND(J4369=1,I4369="SBJ"),AND(J4369=1,I4369=0)),"?IN_FOCUS",IF(J4369&lt;=2,"?ACTIVATED",IF(J4369&lt;&gt;"","?FAMILIAR",IF(F4369="NEW",IF(ISNA(VLOOKUP(E4369,#REF!,1,FALSE())),"?TYPE_IDENTIFIABLE","?REFERENTIAL"),"_")))))</f>
        <v/>
      </c>
      <c r="H4369" s="27" t="str">
        <f aca="false">IF(J4369&lt;&gt;1,"",IF(I4369="SBJ","CB","?"))</f>
        <v/>
      </c>
      <c r="I4369" s="24" t="str">
        <f aca="false">IF(OR(E4369="",E4369="!!!",F4369="NEW"),"",INDEX(B9:B$4361,-1+SUMPRODUCT(MAX(ROW(E9:E$4361)*(E4369=E9:E$4361)))))</f>
        <v/>
      </c>
      <c r="J4369" s="24" t="str">
        <f aca="true">IF(OR(E4369="",E4369="!!!",F4369="NEW"),"",COUNTBLANK(OFFSET(A$1,,,SUMPRODUCT(MAX(ROW(E$2:E4369)*(E4369=E$2:E4369)))))-COUNTBLANK(OFFSET(A$1,,,SUMPRODUCT(MAX(ROW(E$1:E4368)*(E2=E$1:E4368))))))</f>
        <v/>
      </c>
      <c r="K4369" s="24" t="str">
        <f aca="false">IF(OR(E4369="",E4369="!!!",F4369="NEW"),"",INDEX(J$1:J4368,SUMPRODUCT(MAX(ROW(E$1:E4368)*(E4369=E$1:E4368)))))</f>
        <v/>
      </c>
      <c r="L4369" s="31"/>
    </row>
    <row r="4370" customFormat="false" ht="15" hidden="false" customHeight="false" outlineLevel="0" collapsed="false">
      <c r="A4370" s="20" t="s">
        <v>185</v>
      </c>
      <c r="E4370" s="23" t="str">
        <f aca="false">IF(D4370="?OLD","!!!","")</f>
        <v/>
      </c>
      <c r="F4370" s="25" t="str">
        <f aca="false">IF(OR(E4370="",E4370="!!!"),"",IF(NOT(ISNA(VLOOKUP(E4370,E$1:E4369,1,FALSE()))),"OLD",IF(AND(E4370&lt;&gt;"",E4370&lt;&gt;"!!!"),"NEW","")))</f>
        <v/>
      </c>
      <c r="G4370" s="26" t="str">
        <f aca="false">IF(OR(E4370="",E4370="!!!"),"",IF(OR(J4370=0,AND(J4370=1,K4370=1),AND(J4370=1,I4370="SBJ"),AND(J4370=1,I4370=0)),"?IN_FOCUS",IF(J4370&lt;=2,"?ACTIVATED",IF(J4370&lt;&gt;"","?FAMILIAR",IF(F4370="NEW",IF(ISNA(VLOOKUP(E4370,#REF!,1,FALSE())),"?TYPE_IDENTIFIABLE","?REFERENTIAL"),"_")))))</f>
        <v/>
      </c>
      <c r="H4370" s="27" t="str">
        <f aca="false">IF(J4370&lt;&gt;1,"",IF(I4370="SBJ","CB","?"))</f>
        <v/>
      </c>
      <c r="I4370" s="24" t="str">
        <f aca="false">IF(OR(E4370="",E4370="!!!",F4370="NEW"),"",INDEX(B10:B$4361,-1+SUMPRODUCT(MAX(ROW(E10:E$4361)*(E4370=E10:E$4361)))))</f>
        <v/>
      </c>
      <c r="J4370" s="24" t="str">
        <f aca="true">IF(OR(E4370="",E4370="!!!",F4370="NEW"),"",COUNTBLANK(OFFSET(A$1,,,SUMPRODUCT(MAX(ROW(E$2:E4370)*(E4370=E$2:E4370)))))-COUNTBLANK(OFFSET(A$1,,,SUMPRODUCT(MAX(ROW(E$1:E4369)*(E2=E$1:E4369))))))</f>
        <v/>
      </c>
      <c r="K4370" s="24" t="str">
        <f aca="false">IF(OR(E4370="",E4370="!!!",F4370="NEW"),"",INDEX(J$1:J4369,SUMPRODUCT(MAX(ROW(E$1:E4369)*(E4370=E$1:E4369)))))</f>
        <v/>
      </c>
      <c r="L4370" s="31"/>
    </row>
    <row r="4371" customFormat="false" ht="15" hidden="false" customHeight="false" outlineLevel="0" collapsed="false">
      <c r="A4371" s="20" t="s">
        <v>882</v>
      </c>
      <c r="E4371" s="23" t="str">
        <f aca="false">IF(D4371="?OLD","!!!","")</f>
        <v/>
      </c>
      <c r="F4371" s="25" t="str">
        <f aca="false">IF(OR(E4371="",E4371="!!!"),"",IF(NOT(ISNA(VLOOKUP(E4371,E$1:E4370,1,FALSE()))),"OLD",IF(AND(E4371&lt;&gt;"",E4371&lt;&gt;"!!!"),"NEW","")))</f>
        <v/>
      </c>
      <c r="G4371" s="26" t="str">
        <f aca="false">IF(OR(E4371="",E4371="!!!"),"",IF(OR(J4371=0,AND(J4371=1,K4371=1),AND(J4371=1,I4371="SBJ"),AND(J4371=1,I4371=0)),"?IN_FOCUS",IF(J4371&lt;=2,"?ACTIVATED",IF(J4371&lt;&gt;"","?FAMILIAR",IF(F4371="NEW",IF(ISNA(VLOOKUP(E4371,#REF!,1,FALSE())),"?TYPE_IDENTIFIABLE","?REFERENTIAL"),"_")))))</f>
        <v/>
      </c>
      <c r="H4371" s="27" t="str">
        <f aca="false">IF(J4371&lt;&gt;1,"",IF(I4371="SBJ","CB","?"))</f>
        <v/>
      </c>
      <c r="I4371" s="24" t="str">
        <f aca="false">IF(OR(E4371="",E4371="!!!",F4371="NEW"),"",INDEX(B11:B$4361,-1+SUMPRODUCT(MAX(ROW(E11:E$4361)*(E4371=E11:E$4361)))))</f>
        <v/>
      </c>
      <c r="J4371" s="24" t="str">
        <f aca="true">IF(OR(E4371="",E4371="!!!",F4371="NEW"),"",COUNTBLANK(OFFSET(A$1,,,SUMPRODUCT(MAX(ROW(E$2:E4371)*(E4371=E$2:E4371)))))-COUNTBLANK(OFFSET(A$1,,,SUMPRODUCT(MAX(ROW(E$1:E4370)*(E2=E$1:E4370))))))</f>
        <v/>
      </c>
      <c r="K4371" s="24" t="str">
        <f aca="false">IF(OR(E4371="",E4371="!!!",F4371="NEW"),"",INDEX(J$1:J4370,SUMPRODUCT(MAX(ROW(E$1:E4370)*(E4371=E$1:E4370)))))</f>
        <v/>
      </c>
      <c r="L4371" s="31"/>
    </row>
    <row r="4372" customFormat="false" ht="15" hidden="false" customHeight="false" outlineLevel="0" collapsed="false">
      <c r="A4372" s="20" t="s">
        <v>1119</v>
      </c>
      <c r="E4372" s="23" t="str">
        <f aca="false">IF(D4372="?OLD","!!!","")</f>
        <v/>
      </c>
      <c r="F4372" s="25" t="str">
        <f aca="false">IF(OR(E4372="",E4372="!!!"),"",IF(NOT(ISNA(VLOOKUP(E4372,E$1:E4371,1,FALSE()))),"OLD",IF(AND(E4372&lt;&gt;"",E4372&lt;&gt;"!!!"),"NEW","")))</f>
        <v/>
      </c>
      <c r="G4372" s="26" t="str">
        <f aca="false">IF(OR(E4372="",E4372="!!!"),"",IF(OR(J4372=0,AND(J4372=1,K4372=1),AND(J4372=1,I4372="SBJ"),AND(J4372=1,I4372=0)),"?IN_FOCUS",IF(J4372&lt;=2,"?ACTIVATED",IF(J4372&lt;&gt;"","?FAMILIAR",IF(F4372="NEW",IF(ISNA(VLOOKUP(E4372,#REF!,1,FALSE())),"?TYPE_IDENTIFIABLE","?REFERENTIAL"),"_")))))</f>
        <v/>
      </c>
      <c r="H4372" s="27" t="str">
        <f aca="false">IF(J4372&lt;&gt;1,"",IF(I4372="SBJ","CB","?"))</f>
        <v/>
      </c>
      <c r="I4372" s="24" t="str">
        <f aca="false">IF(OR(E4372="",E4372="!!!",F4372="NEW"),"",INDEX(B12:B$4361,-1+SUMPRODUCT(MAX(ROW(E12:E$4361)*(E4372=E12:E$4361)))))</f>
        <v/>
      </c>
      <c r="J4372" s="24" t="str">
        <f aca="true">IF(OR(E4372="",E4372="!!!",F4372="NEW"),"",COUNTBLANK(OFFSET(A$1,,,SUMPRODUCT(MAX(ROW(E$2:E4372)*(E4372=E$2:E4372)))))-COUNTBLANK(OFFSET(A$1,,,SUMPRODUCT(MAX(ROW(E$1:E4371)*(E2=E$1:E4371))))))</f>
        <v/>
      </c>
      <c r="K4372" s="24" t="str">
        <f aca="false">IF(OR(E4372="",E4372="!!!",F4372="NEW"),"",INDEX(J$1:J4371,SUMPRODUCT(MAX(ROW(E$1:E4371)*(E4372=E$1:E4371)))))</f>
        <v/>
      </c>
      <c r="L4372" s="31"/>
    </row>
    <row r="4373" customFormat="false" ht="15" hidden="false" customHeight="false" outlineLevel="0" collapsed="false">
      <c r="A4373" s="20" t="s">
        <v>1137</v>
      </c>
      <c r="B4373" s="22" t="s">
        <v>1105</v>
      </c>
      <c r="C4373" s="22" t="s">
        <v>1082</v>
      </c>
      <c r="D4373" s="22" t="s">
        <v>1060</v>
      </c>
      <c r="E4373" s="23" t="str">
        <f aca="false">IF(D4373="?OLD","!!!","")</f>
        <v>!!!</v>
      </c>
      <c r="F4373" s="25" t="str">
        <f aca="false">IF(OR(E4373="",E4373="!!!"),"",IF(NOT(ISNA(VLOOKUP(E4373,E$1:E4372,1,FALSE()))),"OLD",IF(AND(E4373&lt;&gt;"",E4373&lt;&gt;"!!!"),"NEW","")))</f>
        <v/>
      </c>
      <c r="G4373" s="26" t="str">
        <f aca="false">IF(OR(E4373="",E4373="!!!"),"",IF(OR(J4373=0,AND(J4373=1,K4373=1),AND(J4373=1,I4373="SBJ"),AND(J4373=1,I4373=0)),"?IN_FOCUS",IF(J4373&lt;=2,"?ACTIVATED",IF(J4373&lt;&gt;"","?FAMILIAR",IF(F4373="NEW",IF(ISNA(VLOOKUP(E4373,#REF!,1,FALSE())),"?TYPE_IDENTIFIABLE","?REFERENTIAL"),"_")))))</f>
        <v/>
      </c>
      <c r="H4373" s="27" t="str">
        <f aca="false">IF(J4373&lt;&gt;1,"",IF(I4373="SBJ","CB","?"))</f>
        <v/>
      </c>
      <c r="I4373" s="24" t="str">
        <f aca="false">IF(OR(E4373="",E4373="!!!",F4373="NEW"),"",INDEX(B13:B$4361,-1+SUMPRODUCT(MAX(ROW(E13:E$4361)*(E4373=E13:E$4361)))))</f>
        <v/>
      </c>
      <c r="J4373" s="24" t="str">
        <f aca="true">IF(OR(E4373="",E4373="!!!",F4373="NEW"),"",COUNTBLANK(OFFSET(A$1,,,SUMPRODUCT(MAX(ROW(E$2:E4373)*(E4373=E$2:E4373)))))-COUNTBLANK(OFFSET(A$1,,,SUMPRODUCT(MAX(ROW(E$1:E4372)*(E2=E$1:E4372))))))</f>
        <v/>
      </c>
      <c r="K4373" s="24" t="str">
        <f aca="false">IF(OR(E4373="",E4373="!!!",F4373="NEW"),"",INDEX(J$1:J4372,SUMPRODUCT(MAX(ROW(E$1:E4372)*(E4373=E$1:E4372)))))</f>
        <v/>
      </c>
      <c r="L4373" s="31"/>
    </row>
    <row r="4374" customFormat="false" ht="15" hidden="false" customHeight="false" outlineLevel="0" collapsed="false">
      <c r="A4374" s="20" t="s">
        <v>1076</v>
      </c>
      <c r="E4374" s="23" t="str">
        <f aca="false">IF(D4374="?OLD","!!!","")</f>
        <v/>
      </c>
      <c r="F4374" s="25" t="str">
        <f aca="false">IF(OR(E4374="",E4374="!!!"),"",IF(NOT(ISNA(VLOOKUP(E4374,E$1:E4373,1,FALSE()))),"OLD",IF(AND(E4374&lt;&gt;"",E4374&lt;&gt;"!!!"),"NEW","")))</f>
        <v/>
      </c>
      <c r="G4374" s="26" t="str">
        <f aca="false">IF(OR(E4374="",E4374="!!!"),"",IF(OR(J4374=0,AND(J4374=1,K4374=1),AND(J4374=1,I4374="SBJ"),AND(J4374=1,I4374=0)),"?IN_FOCUS",IF(J4374&lt;=2,"?ACTIVATED",IF(J4374&lt;&gt;"","?FAMILIAR",IF(F4374="NEW",IF(ISNA(VLOOKUP(E4374,#REF!,1,FALSE())),"?TYPE_IDENTIFIABLE","?REFERENTIAL"),"_")))))</f>
        <v/>
      </c>
      <c r="H4374" s="27" t="str">
        <f aca="false">IF(J4374&lt;&gt;1,"",IF(I4374="SBJ","CB","?"))</f>
        <v/>
      </c>
      <c r="I4374" s="24" t="str">
        <f aca="false">IF(OR(E4374="",E4374="!!!",F4374="NEW"),"",INDEX(B14:B$4361,-1+SUMPRODUCT(MAX(ROW(E14:E$4361)*(E4374=E14:E$4361)))))</f>
        <v/>
      </c>
      <c r="J4374" s="24" t="str">
        <f aca="true">IF(OR(E4374="",E4374="!!!",F4374="NEW"),"",COUNTBLANK(OFFSET(A$1,,,SUMPRODUCT(MAX(ROW(E$2:E4374)*(E4374=E$2:E4374)))))-COUNTBLANK(OFFSET(A$1,,,SUMPRODUCT(MAX(ROW(E$1:E4373)*(E2=E$1:E4373))))))</f>
        <v/>
      </c>
      <c r="K4374" s="24" t="str">
        <f aca="false">IF(OR(E4374="",E4374="!!!",F4374="NEW"),"",INDEX(J$1:J4373,SUMPRODUCT(MAX(ROW(E$1:E4373)*(E4374=E$1:E4373)))))</f>
        <v/>
      </c>
      <c r="L4374" s="31"/>
    </row>
    <row r="4375" customFormat="false" ht="15" hidden="false" customHeight="false" outlineLevel="0" collapsed="false">
      <c r="A4375" s="20" t="s">
        <v>1168</v>
      </c>
      <c r="E4375" s="23" t="str">
        <f aca="false">IF(D4375="?OLD","!!!","")</f>
        <v/>
      </c>
      <c r="F4375" s="25" t="str">
        <f aca="false">IF(OR(E4375="",E4375="!!!"),"",IF(NOT(ISNA(VLOOKUP(E4375,E$1:E4374,1,FALSE()))),"OLD",IF(AND(E4375&lt;&gt;"",E4375&lt;&gt;"!!!"),"NEW","")))</f>
        <v/>
      </c>
      <c r="G4375" s="26" t="str">
        <f aca="false">IF(OR(E4375="",E4375="!!!"),"",IF(OR(J4375=0,AND(J4375=1,K4375=1),AND(J4375=1,I4375="SBJ"),AND(J4375=1,I4375=0)),"?IN_FOCUS",IF(J4375&lt;=2,"?ACTIVATED",IF(J4375&lt;&gt;"","?FAMILIAR",IF(F4375="NEW",IF(ISNA(VLOOKUP(E4375,#REF!,1,FALSE())),"?TYPE_IDENTIFIABLE","?REFERENTIAL"),"_")))))</f>
        <v/>
      </c>
      <c r="H4375" s="27" t="str">
        <f aca="false">IF(J4375&lt;&gt;1,"",IF(I4375="SBJ","CB","?"))</f>
        <v/>
      </c>
      <c r="I4375" s="24" t="str">
        <f aca="false">IF(OR(E4375="",E4375="!!!",F4375="NEW"),"",INDEX(B15:B$4361,-1+SUMPRODUCT(MAX(ROW(E15:E$4361)*(E4375=E15:E$4361)))))</f>
        <v/>
      </c>
      <c r="J4375" s="24" t="str">
        <f aca="true">IF(OR(E4375="",E4375="!!!",F4375="NEW"),"",COUNTBLANK(OFFSET(A$1,,,SUMPRODUCT(MAX(ROW(E$2:E4375)*(E4375=E$2:E4375)))))-COUNTBLANK(OFFSET(A$1,,,SUMPRODUCT(MAX(ROW(E$1:E4374)*(E2=E$1:E4374))))))</f>
        <v/>
      </c>
      <c r="K4375" s="24" t="str">
        <f aca="false">IF(OR(E4375="",E4375="!!!",F4375="NEW"),"",INDEX(J$1:J4374,SUMPRODUCT(MAX(ROW(E$1:E4374)*(E4375=E$1:E4374)))))</f>
        <v/>
      </c>
      <c r="L4375" s="31"/>
    </row>
    <row r="4376" customFormat="false" ht="15" hidden="false" customHeight="false" outlineLevel="0" collapsed="false">
      <c r="A4376" s="20" t="s">
        <v>1090</v>
      </c>
      <c r="B4376" s="22" t="s">
        <v>1086</v>
      </c>
      <c r="C4376" s="22" t="s">
        <v>1082</v>
      </c>
      <c r="D4376" s="22" t="s">
        <v>1060</v>
      </c>
      <c r="E4376" s="23" t="str">
        <f aca="false">IF(D4376="?OLD","!!!","")</f>
        <v>!!!</v>
      </c>
      <c r="F4376" s="25" t="str">
        <f aca="false">IF(OR(E4376="",E4376="!!!"),"",IF(NOT(ISNA(VLOOKUP(E4376,E$1:E4375,1,FALSE()))),"OLD",IF(AND(E4376&lt;&gt;"",E4376&lt;&gt;"!!!"),"NEW","")))</f>
        <v/>
      </c>
      <c r="G4376" s="26" t="str">
        <f aca="false">IF(OR(E4376="",E4376="!!!"),"",IF(OR(J4376=0,AND(J4376=1,K4376=1),AND(J4376=1,I4376="SBJ"),AND(J4376=1,I4376=0)),"?IN_FOCUS",IF(J4376&lt;=2,"?ACTIVATED",IF(J4376&lt;&gt;"","?FAMILIAR",IF(F4376="NEW",IF(ISNA(VLOOKUP(E4376,#REF!,1,FALSE())),"?TYPE_IDENTIFIABLE","?REFERENTIAL"),"_")))))</f>
        <v/>
      </c>
      <c r="H4376" s="27" t="str">
        <f aca="false">IF(J4376&lt;&gt;1,"",IF(I4376="SBJ","CB","?"))</f>
        <v/>
      </c>
      <c r="I4376" s="24" t="str">
        <f aca="false">IF(OR(E4376="",E4376="!!!",F4376="NEW"),"",INDEX(B16:B$4361,-1+SUMPRODUCT(MAX(ROW(E16:E$4361)*(E4376=E16:E$4361)))))</f>
        <v/>
      </c>
      <c r="J4376" s="24" t="str">
        <f aca="true">IF(OR(E4376="",E4376="!!!",F4376="NEW"),"",COUNTBLANK(OFFSET(A$1,,,SUMPRODUCT(MAX(ROW(E$2:E4376)*(E4376=E$2:E4376)))))-COUNTBLANK(OFFSET(A$1,,,SUMPRODUCT(MAX(ROW(E$1:E4375)*(E2=E$1:E4375))))))</f>
        <v/>
      </c>
      <c r="K4376" s="24" t="str">
        <f aca="false">IF(OR(E4376="",E4376="!!!",F4376="NEW"),"",INDEX(J$1:J4375,SUMPRODUCT(MAX(ROW(E$1:E4375)*(E4376=E$1:E4375)))))</f>
        <v/>
      </c>
      <c r="L4376" s="31"/>
    </row>
    <row r="4377" customFormat="false" ht="15" hidden="false" customHeight="false" outlineLevel="0" collapsed="false">
      <c r="A4377" s="20" t="s">
        <v>2364</v>
      </c>
      <c r="E4377" s="23" t="str">
        <f aca="false">IF(D4377="?OLD","!!!","")</f>
        <v/>
      </c>
      <c r="F4377" s="25" t="str">
        <f aca="false">IF(OR(E4377="",E4377="!!!"),"",IF(NOT(ISNA(VLOOKUP(E4377,E$1:E4376,1,FALSE()))),"OLD",IF(AND(E4377&lt;&gt;"",E4377&lt;&gt;"!!!"),"NEW","")))</f>
        <v/>
      </c>
      <c r="G4377" s="26" t="str">
        <f aca="false">IF(OR(E4377="",E4377="!!!"),"",IF(OR(J4377=0,AND(J4377=1,K4377=1),AND(J4377=1,I4377="SBJ"),AND(J4377=1,I4377=0)),"?IN_FOCUS",IF(J4377&lt;=2,"?ACTIVATED",IF(J4377&lt;&gt;"","?FAMILIAR",IF(F4377="NEW",IF(ISNA(VLOOKUP(E4377,#REF!,1,FALSE())),"?TYPE_IDENTIFIABLE","?REFERENTIAL"),"_")))))</f>
        <v/>
      </c>
      <c r="H4377" s="27" t="str">
        <f aca="false">IF(J4377&lt;&gt;1,"",IF(I4377="SBJ","CB","?"))</f>
        <v/>
      </c>
      <c r="I4377" s="24" t="str">
        <f aca="false">IF(OR(E4377="",E4377="!!!",F4377="NEW"),"",INDEX(B17:B$4361,-1+SUMPRODUCT(MAX(ROW(E17:E$4361)*(E4377=E17:E$4361)))))</f>
        <v/>
      </c>
      <c r="J4377" s="24" t="str">
        <f aca="true">IF(OR(E4377="",E4377="!!!",F4377="NEW"),"",COUNTBLANK(OFFSET(A$1,,,SUMPRODUCT(MAX(ROW(E$2:E4377)*(E4377=E$2:E4377)))))-COUNTBLANK(OFFSET(A$1,,,SUMPRODUCT(MAX(ROW(E$1:E4376)*(E2=E$1:E4376))))))</f>
        <v/>
      </c>
      <c r="K4377" s="24" t="str">
        <f aca="false">IF(OR(E4377="",E4377="!!!",F4377="NEW"),"",INDEX(J$1:J4376,SUMPRODUCT(MAX(ROW(E$1:E4376)*(E4377=E$1:E4376)))))</f>
        <v/>
      </c>
      <c r="L4377" s="31"/>
    </row>
    <row r="4378" customFormat="false" ht="15" hidden="false" customHeight="false" outlineLevel="0" collapsed="false">
      <c r="A4378" s="20" t="s">
        <v>1109</v>
      </c>
      <c r="E4378" s="23" t="str">
        <f aca="false">IF(D4378="?OLD","!!!","")</f>
        <v/>
      </c>
      <c r="F4378" s="25" t="str">
        <f aca="false">IF(OR(E4378="",E4378="!!!"),"",IF(NOT(ISNA(VLOOKUP(E4378,E$1:E4377,1,FALSE()))),"OLD",IF(AND(E4378&lt;&gt;"",E4378&lt;&gt;"!!!"),"NEW","")))</f>
        <v/>
      </c>
      <c r="G4378" s="26" t="str">
        <f aca="false">IF(OR(E4378="",E4378="!!!"),"",IF(OR(J4378=0,AND(J4378=1,K4378=1),AND(J4378=1,I4378="SBJ"),AND(J4378=1,I4378=0)),"?IN_FOCUS",IF(J4378&lt;=2,"?ACTIVATED",IF(J4378&lt;&gt;"","?FAMILIAR",IF(F4378="NEW",IF(ISNA(VLOOKUP(E4378,#REF!,1,FALSE())),"?TYPE_IDENTIFIABLE","?REFERENTIAL"),"_")))))</f>
        <v/>
      </c>
      <c r="H4378" s="27" t="str">
        <f aca="false">IF(J4378&lt;&gt;1,"",IF(I4378="SBJ","CB","?"))</f>
        <v/>
      </c>
      <c r="I4378" s="24" t="str">
        <f aca="false">IF(OR(E4378="",E4378="!!!",F4378="NEW"),"",INDEX(B18:B$4361,-1+SUMPRODUCT(MAX(ROW(E18:E$4361)*(E4378=E18:E$4361)))))</f>
        <v/>
      </c>
      <c r="J4378" s="24" t="str">
        <f aca="true">IF(OR(E4378="",E4378="!!!",F4378="NEW"),"",COUNTBLANK(OFFSET(A$1,,,SUMPRODUCT(MAX(ROW(E$2:E4378)*(E4378=E$2:E4378)))))-COUNTBLANK(OFFSET(A$1,,,SUMPRODUCT(MAX(ROW(E$1:E4377)*(E2=E$1:E4377))))))</f>
        <v/>
      </c>
      <c r="K4378" s="24" t="str">
        <f aca="false">IF(OR(E4378="",E4378="!!!",F4378="NEW"),"",INDEX(J$1:J4377,SUMPRODUCT(MAX(ROW(E$1:E4377)*(E4378=E$1:E4377)))))</f>
        <v/>
      </c>
      <c r="L4378" s="31"/>
    </row>
    <row r="4379" customFormat="false" ht="15" hidden="false" customHeight="false" outlineLevel="0" collapsed="false">
      <c r="A4379" s="20" t="s">
        <v>459</v>
      </c>
      <c r="B4379" s="22" t="s">
        <v>1142</v>
      </c>
      <c r="C4379" s="22" t="s">
        <v>1150</v>
      </c>
      <c r="D4379" s="22" t="s">
        <v>1060</v>
      </c>
      <c r="E4379" s="23" t="str">
        <f aca="false">IF(D4379="?OLD","!!!","")</f>
        <v>!!!</v>
      </c>
      <c r="F4379" s="25" t="str">
        <f aca="false">IF(OR(E4379="",E4379="!!!"),"",IF(NOT(ISNA(VLOOKUP(E4379,E$1:E4378,1,FALSE()))),"OLD",IF(AND(E4379&lt;&gt;"",E4379&lt;&gt;"!!!"),"NEW","")))</f>
        <v/>
      </c>
      <c r="G4379" s="26" t="str">
        <f aca="false">IF(OR(E4379="",E4379="!!!"),"",IF(OR(J4379=0,AND(J4379=1,K4379=1),AND(J4379=1,I4379="SBJ"),AND(J4379=1,I4379=0)),"?IN_FOCUS",IF(J4379&lt;=2,"?ACTIVATED",IF(J4379&lt;&gt;"","?FAMILIAR",IF(F4379="NEW",IF(ISNA(VLOOKUP(E4379,#REF!,1,FALSE())),"?TYPE_IDENTIFIABLE","?REFERENTIAL"),"_")))))</f>
        <v/>
      </c>
      <c r="H4379" s="27" t="str">
        <f aca="false">IF(J4379&lt;&gt;1,"",IF(I4379="SBJ","CB","?"))</f>
        <v/>
      </c>
      <c r="I4379" s="24" t="str">
        <f aca="false">IF(OR(E4379="",E4379="!!!",F4379="NEW"),"",INDEX(B19:B$4361,-1+SUMPRODUCT(MAX(ROW(E19:E$4361)*(E4379=E19:E$4361)))))</f>
        <v/>
      </c>
      <c r="J4379" s="24" t="str">
        <f aca="true">IF(OR(E4379="",E4379="!!!",F4379="NEW"),"",COUNTBLANK(OFFSET(A$1,,,SUMPRODUCT(MAX(ROW(E$2:E4379)*(E4379=E$2:E4379)))))-COUNTBLANK(OFFSET(A$1,,,SUMPRODUCT(MAX(ROW(E$1:E4378)*(E2=E$1:E4378))))))</f>
        <v/>
      </c>
      <c r="K4379" s="24" t="str">
        <f aca="false">IF(OR(E4379="",E4379="!!!",F4379="NEW"),"",INDEX(J$1:J4378,SUMPRODUCT(MAX(ROW(E$1:E4378)*(E4379=E$1:E4378)))))</f>
        <v/>
      </c>
      <c r="L4379" s="31"/>
    </row>
    <row r="4380" customFormat="false" ht="15" hidden="false" customHeight="false" outlineLevel="0" collapsed="false">
      <c r="A4380" s="20" t="s">
        <v>2365</v>
      </c>
      <c r="E4380" s="23" t="str">
        <f aca="false">IF(D4380="?OLD","!!!","")</f>
        <v/>
      </c>
      <c r="F4380" s="25" t="str">
        <f aca="false">IF(OR(E4380="",E4380="!!!"),"",IF(NOT(ISNA(VLOOKUP(E4380,E$1:E4379,1,FALSE()))),"OLD",IF(AND(E4380&lt;&gt;"",E4380&lt;&gt;"!!!"),"NEW","")))</f>
        <v/>
      </c>
      <c r="G4380" s="26" t="str">
        <f aca="false">IF(OR(E4380="",E4380="!!!"),"",IF(OR(J4380=0,AND(J4380=1,K4380=1),AND(J4380=1,I4380="SBJ"),AND(J4380=1,I4380=0)),"?IN_FOCUS",IF(J4380&lt;=2,"?ACTIVATED",IF(J4380&lt;&gt;"","?FAMILIAR",IF(F4380="NEW",IF(ISNA(VLOOKUP(E4380,#REF!,1,FALSE())),"?TYPE_IDENTIFIABLE","?REFERENTIAL"),"_")))))</f>
        <v/>
      </c>
      <c r="H4380" s="27" t="str">
        <f aca="false">IF(J4380&lt;&gt;1,"",IF(I4380="SBJ","CB","?"))</f>
        <v/>
      </c>
      <c r="I4380" s="24" t="str">
        <f aca="false">IF(OR(E4380="",E4380="!!!",F4380="NEW"),"",INDEX(B20:B$4361,-1+SUMPRODUCT(MAX(ROW(E20:E$4361)*(E4380=E20:E$4361)))))</f>
        <v/>
      </c>
      <c r="J4380" s="24" t="str">
        <f aca="true">IF(OR(E4380="",E4380="!!!",F4380="NEW"),"",COUNTBLANK(OFFSET(A$1,,,SUMPRODUCT(MAX(ROW(E$2:E4380)*(E4380=E$2:E4380)))))-COUNTBLANK(OFFSET(A$1,,,SUMPRODUCT(MAX(ROW(E$1:E4379)*(E2=E$1:E4379))))))</f>
        <v/>
      </c>
      <c r="K4380" s="24" t="str">
        <f aca="false">IF(OR(E4380="",E4380="!!!",F4380="NEW"),"",INDEX(J$1:J4379,SUMPRODUCT(MAX(ROW(E$1:E4379)*(E4380=E$1:E4379)))))</f>
        <v/>
      </c>
      <c r="L4380" s="31"/>
    </row>
    <row r="4381" customFormat="false" ht="15" hidden="false" customHeight="false" outlineLevel="0" collapsed="false">
      <c r="A4381" s="20" t="s">
        <v>1215</v>
      </c>
      <c r="E4381" s="23" t="str">
        <f aca="false">IF(D4381="?OLD","!!!","")</f>
        <v/>
      </c>
      <c r="F4381" s="25" t="str">
        <f aca="false">IF(OR(E4381="",E4381="!!!"),"",IF(NOT(ISNA(VLOOKUP(E4381,E$1:E4380,1,FALSE()))),"OLD",IF(AND(E4381&lt;&gt;"",E4381&lt;&gt;"!!!"),"NEW","")))</f>
        <v/>
      </c>
      <c r="G4381" s="26" t="str">
        <f aca="false">IF(OR(E4381="",E4381="!!!"),"",IF(OR(J4381=0,AND(J4381=1,K4381=1),AND(J4381=1,I4381="SBJ"),AND(J4381=1,I4381=0)),"?IN_FOCUS",IF(J4381&lt;=2,"?ACTIVATED",IF(J4381&lt;&gt;"","?FAMILIAR",IF(F4381="NEW",IF(ISNA(VLOOKUP(E4381,#REF!,1,FALSE())),"?TYPE_IDENTIFIABLE","?REFERENTIAL"),"_")))))</f>
        <v/>
      </c>
      <c r="H4381" s="27" t="str">
        <f aca="false">IF(J4381&lt;&gt;1,"",IF(I4381="SBJ","CB","?"))</f>
        <v/>
      </c>
      <c r="I4381" s="24" t="str">
        <f aca="false">IF(OR(E4381="",E4381="!!!",F4381="NEW"),"",INDEX(B21:B$4361,-1+SUMPRODUCT(MAX(ROW(E21:E$4361)*(E4381=E21:E$4361)))))</f>
        <v/>
      </c>
      <c r="J4381" s="24" t="str">
        <f aca="true">IF(OR(E4381="",E4381="!!!",F4381="NEW"),"",COUNTBLANK(OFFSET(A$1,,,SUMPRODUCT(MAX(ROW(E$2:E4381)*(E4381=E$2:E4381)))))-COUNTBLANK(OFFSET(A$1,,,SUMPRODUCT(MAX(ROW(E$1:E4380)*(E2=E$1:E4380))))))</f>
        <v/>
      </c>
      <c r="K4381" s="24" t="str">
        <f aca="false">IF(OR(E4381="",E4381="!!!",F4381="NEW"),"",INDEX(J$1:J4380,SUMPRODUCT(MAX(ROW(E$1:E4380)*(E4381=E$1:E4380)))))</f>
        <v/>
      </c>
      <c r="L4381" s="31"/>
    </row>
    <row r="4382" customFormat="false" ht="15" hidden="false" customHeight="false" outlineLevel="0" collapsed="false">
      <c r="A4382" s="20" t="s">
        <v>1090</v>
      </c>
      <c r="B4382" s="22" t="s">
        <v>1091</v>
      </c>
      <c r="C4382" s="22" t="s">
        <v>1082</v>
      </c>
      <c r="D4382" s="22" t="s">
        <v>1060</v>
      </c>
      <c r="E4382" s="23" t="str">
        <f aca="false">IF(D4382="?OLD","!!!","")</f>
        <v>!!!</v>
      </c>
      <c r="F4382" s="25" t="str">
        <f aca="false">IF(OR(E4382="",E4382="!!!"),"",IF(NOT(ISNA(VLOOKUP(E4382,E$1:E4381,1,FALSE()))),"OLD",IF(AND(E4382&lt;&gt;"",E4382&lt;&gt;"!!!"),"NEW","")))</f>
        <v/>
      </c>
      <c r="G4382" s="26" t="str">
        <f aca="false">IF(OR(E4382="",E4382="!!!"),"",IF(OR(J4382=0,AND(J4382=1,K4382=1),AND(J4382=1,I4382="SBJ"),AND(J4382=1,I4382=0)),"?IN_FOCUS",IF(J4382&lt;=2,"?ACTIVATED",IF(J4382&lt;&gt;"","?FAMILIAR",IF(F4382="NEW",IF(ISNA(VLOOKUP(E4382,#REF!,1,FALSE())),"?TYPE_IDENTIFIABLE","?REFERENTIAL"),"_")))))</f>
        <v/>
      </c>
      <c r="H4382" s="27" t="str">
        <f aca="false">IF(J4382&lt;&gt;1,"",IF(I4382="SBJ","CB","?"))</f>
        <v/>
      </c>
      <c r="I4382" s="24" t="str">
        <f aca="false">IF(OR(E4382="",E4382="!!!",F4382="NEW"),"",INDEX(B22:B$4361,-1+SUMPRODUCT(MAX(ROW(E22:E$4361)*(E4382=E22:E$4361)))))</f>
        <v/>
      </c>
      <c r="J4382" s="24" t="str">
        <f aca="true">IF(OR(E4382="",E4382="!!!",F4382="NEW"),"",COUNTBLANK(OFFSET(A$1,,,SUMPRODUCT(MAX(ROW(E$2:E4382)*(E4382=E$2:E4382)))))-COUNTBLANK(OFFSET(A$1,,,SUMPRODUCT(MAX(ROW(E$1:E4381)*(E2=E$1:E4381))))))</f>
        <v/>
      </c>
      <c r="K4382" s="24" t="str">
        <f aca="false">IF(OR(E4382="",E4382="!!!",F4382="NEW"),"",INDEX(J$1:J4381,SUMPRODUCT(MAX(ROW(E$1:E4381)*(E4382=E$1:E4381)))))</f>
        <v/>
      </c>
      <c r="L4382" s="31"/>
    </row>
    <row r="4383" customFormat="false" ht="15" hidden="false" customHeight="false" outlineLevel="0" collapsed="false">
      <c r="A4383" s="20" t="s">
        <v>2366</v>
      </c>
      <c r="E4383" s="23" t="str">
        <f aca="false">IF(D4383="?OLD","!!!","")</f>
        <v/>
      </c>
      <c r="F4383" s="25" t="str">
        <f aca="false">IF(OR(E4383="",E4383="!!!"),"",IF(NOT(ISNA(VLOOKUP(E4383,E$1:E4382,1,FALSE()))),"OLD",IF(AND(E4383&lt;&gt;"",E4383&lt;&gt;"!!!"),"NEW","")))</f>
        <v/>
      </c>
      <c r="G4383" s="26" t="str">
        <f aca="false">IF(OR(E4383="",E4383="!!!"),"",IF(OR(J4383=0,AND(J4383=1,K4383=1),AND(J4383=1,I4383="SBJ"),AND(J4383=1,I4383=0)),"?IN_FOCUS",IF(J4383&lt;=2,"?ACTIVATED",IF(J4383&lt;&gt;"","?FAMILIAR",IF(F4383="NEW",IF(ISNA(VLOOKUP(E4383,#REF!,1,FALSE())),"?TYPE_IDENTIFIABLE","?REFERENTIAL"),"_")))))</f>
        <v/>
      </c>
      <c r="H4383" s="27" t="str">
        <f aca="false">IF(J4383&lt;&gt;1,"",IF(I4383="SBJ","CB","?"))</f>
        <v/>
      </c>
      <c r="I4383" s="24" t="str">
        <f aca="false">IF(OR(E4383="",E4383="!!!",F4383="NEW"),"",INDEX(B23:B$4361,-1+SUMPRODUCT(MAX(ROW(E23:E$4361)*(E4383=E23:E$4361)))))</f>
        <v/>
      </c>
      <c r="J4383" s="24" t="str">
        <f aca="true">IF(OR(E4383="",E4383="!!!",F4383="NEW"),"",COUNTBLANK(OFFSET(A$1,,,SUMPRODUCT(MAX(ROW(E$2:E4383)*(E4383=E$2:E4383)))))-COUNTBLANK(OFFSET(A$1,,,SUMPRODUCT(MAX(ROW(E$1:E4382)*(E2=E$1:E4382))))))</f>
        <v/>
      </c>
      <c r="K4383" s="24" t="str">
        <f aca="false">IF(OR(E4383="",E4383="!!!",F4383="NEW"),"",INDEX(J$1:J4382,SUMPRODUCT(MAX(ROW(E$1:E4382)*(E4383=E$1:E4382)))))</f>
        <v/>
      </c>
      <c r="L4383" s="31"/>
    </row>
    <row r="4384" customFormat="false" ht="15" hidden="false" customHeight="false" outlineLevel="0" collapsed="false">
      <c r="A4384" s="20" t="s">
        <v>1109</v>
      </c>
      <c r="E4384" s="23" t="str">
        <f aca="false">IF(D4384="?OLD","!!!","")</f>
        <v/>
      </c>
      <c r="F4384" s="25" t="str">
        <f aca="false">IF(OR(E4384="",E4384="!!!"),"",IF(NOT(ISNA(VLOOKUP(E4384,E$1:E4383,1,FALSE()))),"OLD",IF(AND(E4384&lt;&gt;"",E4384&lt;&gt;"!!!"),"NEW","")))</f>
        <v/>
      </c>
      <c r="G4384" s="26" t="str">
        <f aca="false">IF(OR(E4384="",E4384="!!!"),"",IF(OR(J4384=0,AND(J4384=1,K4384=1),AND(J4384=1,I4384="SBJ"),AND(J4384=1,I4384=0)),"?IN_FOCUS",IF(J4384&lt;=2,"?ACTIVATED",IF(J4384&lt;&gt;"","?FAMILIAR",IF(F4384="NEW",IF(ISNA(VLOOKUP(E4384,#REF!,1,FALSE())),"?TYPE_IDENTIFIABLE","?REFERENTIAL"),"_")))))</f>
        <v/>
      </c>
      <c r="H4384" s="27" t="str">
        <f aca="false">IF(J4384&lt;&gt;1,"",IF(I4384="SBJ","CB","?"))</f>
        <v/>
      </c>
      <c r="I4384" s="24" t="str">
        <f aca="false">IF(OR(E4384="",E4384="!!!",F4384="NEW"),"",INDEX(B24:B$4361,-1+SUMPRODUCT(MAX(ROW(E24:E$4361)*(E4384=E24:E$4361)))))</f>
        <v/>
      </c>
      <c r="J4384" s="24" t="str">
        <f aca="true">IF(OR(E4384="",E4384="!!!",F4384="NEW"),"",COUNTBLANK(OFFSET(A$1,,,SUMPRODUCT(MAX(ROW(E$2:E4384)*(E4384=E$2:E4384)))))-COUNTBLANK(OFFSET(A$1,,,SUMPRODUCT(MAX(ROW(E$1:E4383)*(E2=E$1:E4383))))))</f>
        <v/>
      </c>
      <c r="K4384" s="24" t="str">
        <f aca="false">IF(OR(E4384="",E4384="!!!",F4384="NEW"),"",INDEX(J$1:J4383,SUMPRODUCT(MAX(ROW(E$1:E4383)*(E4384=E$1:E4383)))))</f>
        <v/>
      </c>
      <c r="L4384" s="31"/>
    </row>
    <row r="4385" customFormat="false" ht="15" hidden="false" customHeight="false" outlineLevel="0" collapsed="false">
      <c r="A4385" s="20" t="s">
        <v>2367</v>
      </c>
      <c r="B4385" s="22" t="s">
        <v>1146</v>
      </c>
      <c r="C4385" s="22" t="s">
        <v>1150</v>
      </c>
      <c r="D4385" s="22" t="s">
        <v>1060</v>
      </c>
      <c r="E4385" s="23" t="str">
        <f aca="false">IF(D4385="?OLD","!!!","")</f>
        <v>!!!</v>
      </c>
      <c r="F4385" s="25" t="str">
        <f aca="false">IF(OR(E4385="",E4385="!!!"),"",IF(NOT(ISNA(VLOOKUP(E4385,E$1:E4384,1,FALSE()))),"OLD",IF(AND(E4385&lt;&gt;"",E4385&lt;&gt;"!!!"),"NEW","")))</f>
        <v/>
      </c>
      <c r="G4385" s="26" t="str">
        <f aca="false">IF(OR(E4385="",E4385="!!!"),"",IF(OR(J4385=0,AND(J4385=1,K4385=1),AND(J4385=1,I4385="SBJ"),AND(J4385=1,I4385=0)),"?IN_FOCUS",IF(J4385&lt;=2,"?ACTIVATED",IF(J4385&lt;&gt;"","?FAMILIAR",IF(F4385="NEW",IF(ISNA(VLOOKUP(E4385,#REF!,1,FALSE())),"?TYPE_IDENTIFIABLE","?REFERENTIAL"),"_")))))</f>
        <v/>
      </c>
      <c r="H4385" s="27" t="str">
        <f aca="false">IF(J4385&lt;&gt;1,"",IF(I4385="SBJ","CB","?"))</f>
        <v/>
      </c>
      <c r="I4385" s="24" t="str">
        <f aca="false">IF(OR(E4385="",E4385="!!!",F4385="NEW"),"",INDEX(B25:B$4361,-1+SUMPRODUCT(MAX(ROW(E25:E$4361)*(E4385=E25:E$4361)))))</f>
        <v/>
      </c>
      <c r="J4385" s="24" t="str">
        <f aca="true">IF(OR(E4385="",E4385="!!!",F4385="NEW"),"",COUNTBLANK(OFFSET(A$1,,,SUMPRODUCT(MAX(ROW(E$2:E4385)*(E4385=E$2:E4385)))))-COUNTBLANK(OFFSET(A$1,,,SUMPRODUCT(MAX(ROW(E$1:E4384)*(E2=E$1:E4384))))))</f>
        <v/>
      </c>
      <c r="K4385" s="24" t="str">
        <f aca="false">IF(OR(E4385="",E4385="!!!",F4385="NEW"),"",INDEX(J$1:J4384,SUMPRODUCT(MAX(ROW(E$1:E4384)*(E4385=E$1:E4384)))))</f>
        <v/>
      </c>
      <c r="L4385" s="31"/>
    </row>
    <row r="4386" customFormat="false" ht="15" hidden="false" customHeight="false" outlineLevel="0" collapsed="false">
      <c r="A4386" s="20" t="s">
        <v>1188</v>
      </c>
      <c r="E4386" s="23" t="str">
        <f aca="false">IF(D4386="?OLD","!!!","")</f>
        <v/>
      </c>
      <c r="F4386" s="25" t="str">
        <f aca="false">IF(OR(E4386="",E4386="!!!"),"",IF(NOT(ISNA(VLOOKUP(E4386,E$1:E4385,1,FALSE()))),"OLD",IF(AND(E4386&lt;&gt;"",E4386&lt;&gt;"!!!"),"NEW","")))</f>
        <v/>
      </c>
      <c r="G4386" s="26" t="str">
        <f aca="false">IF(OR(E4386="",E4386="!!!"),"",IF(OR(J4386=0,AND(J4386=1,K4386=1),AND(J4386=1,I4386="SBJ"),AND(J4386=1,I4386=0)),"?IN_FOCUS",IF(J4386&lt;=2,"?ACTIVATED",IF(J4386&lt;&gt;"","?FAMILIAR",IF(F4386="NEW",IF(ISNA(VLOOKUP(E4386,#REF!,1,FALSE())),"?TYPE_IDENTIFIABLE","?REFERENTIAL"),"_")))))</f>
        <v/>
      </c>
      <c r="H4386" s="27" t="str">
        <f aca="false">IF(J4386&lt;&gt;1,"",IF(I4386="SBJ","CB","?"))</f>
        <v/>
      </c>
      <c r="I4386" s="24" t="str">
        <f aca="false">IF(OR(E4386="",E4386="!!!",F4386="NEW"),"",INDEX(B26:B$4361,-1+SUMPRODUCT(MAX(ROW(E26:E$4361)*(E4386=E26:E$4361)))))</f>
        <v/>
      </c>
      <c r="J4386" s="24" t="str">
        <f aca="true">IF(OR(E4386="",E4386="!!!",F4386="NEW"),"",COUNTBLANK(OFFSET(A$1,,,SUMPRODUCT(MAX(ROW(E$2:E4386)*(E4386=E$2:E4386)))))-COUNTBLANK(OFFSET(A$1,,,SUMPRODUCT(MAX(ROW(E$1:E4385)*(E2=E$1:E4385))))))</f>
        <v/>
      </c>
      <c r="K4386" s="24" t="str">
        <f aca="false">IF(OR(E4386="",E4386="!!!",F4386="NEW"),"",INDEX(J$1:J4385,SUMPRODUCT(MAX(ROW(E$1:E4385)*(E4386=E$1:E4385)))))</f>
        <v/>
      </c>
      <c r="L4386" s="31"/>
    </row>
    <row r="4387" customFormat="false" ht="15" hidden="false" customHeight="false" outlineLevel="0" collapsed="false">
      <c r="A4387" s="20" t="s">
        <v>1109</v>
      </c>
      <c r="E4387" s="23" t="str">
        <f aca="false">IF(D4387="?OLD","!!!","")</f>
        <v/>
      </c>
      <c r="F4387" s="25" t="str">
        <f aca="false">IF(OR(E4387="",E4387="!!!"),"",IF(NOT(ISNA(VLOOKUP(E4387,E$1:E4386,1,FALSE()))),"OLD",IF(AND(E4387&lt;&gt;"",E4387&lt;&gt;"!!!"),"NEW","")))</f>
        <v/>
      </c>
      <c r="G4387" s="26" t="str">
        <f aca="false">IF(OR(E4387="",E4387="!!!"),"",IF(OR(J4387=0,AND(J4387=1,K4387=1),AND(J4387=1,I4387="SBJ"),AND(J4387=1,I4387=0)),"?IN_FOCUS",IF(J4387&lt;=2,"?ACTIVATED",IF(J4387&lt;&gt;"","?FAMILIAR",IF(F4387="NEW",IF(ISNA(VLOOKUP(E4387,#REF!,1,FALSE())),"?TYPE_IDENTIFIABLE","?REFERENTIAL"),"_")))))</f>
        <v/>
      </c>
      <c r="H4387" s="27" t="str">
        <f aca="false">IF(J4387&lt;&gt;1,"",IF(I4387="SBJ","CB","?"))</f>
        <v/>
      </c>
      <c r="I4387" s="24" t="str">
        <f aca="false">IF(OR(E4387="",E4387="!!!",F4387="NEW"),"",INDEX(B27:B$4361,-1+SUMPRODUCT(MAX(ROW(E27:E$4361)*(E4387=E27:E$4361)))))</f>
        <v/>
      </c>
      <c r="J4387" s="24" t="str">
        <f aca="true">IF(OR(E4387="",E4387="!!!",F4387="NEW"),"",COUNTBLANK(OFFSET(A$1,,,SUMPRODUCT(MAX(ROW(E$2:E4387)*(E4387=E$2:E4387)))))-COUNTBLANK(OFFSET(A$1,,,SUMPRODUCT(MAX(ROW(E$1:E4386)*(E2=E$1:E4386))))))</f>
        <v/>
      </c>
      <c r="K4387" s="24" t="str">
        <f aca="false">IF(OR(E4387="",E4387="!!!",F4387="NEW"),"",INDEX(J$1:J4386,SUMPRODUCT(MAX(ROW(E$1:E4386)*(E4387=E$1:E4386)))))</f>
        <v/>
      </c>
      <c r="L4387" s="31"/>
    </row>
    <row r="4388" customFormat="false" ht="15" hidden="false" customHeight="false" outlineLevel="0" collapsed="false">
      <c r="A4388" s="20" t="s">
        <v>2212</v>
      </c>
      <c r="B4388" s="22" t="s">
        <v>1107</v>
      </c>
      <c r="C4388" s="22" t="s">
        <v>1150</v>
      </c>
      <c r="D4388" s="22" t="s">
        <v>1060</v>
      </c>
      <c r="E4388" s="23" t="str">
        <f aca="false">IF(D4388="?OLD","!!!","")</f>
        <v>!!!</v>
      </c>
      <c r="F4388" s="25" t="str">
        <f aca="false">IF(OR(E4388="",E4388="!!!"),"",IF(NOT(ISNA(VLOOKUP(E4388,E$1:E4387,1,FALSE()))),"OLD",IF(AND(E4388&lt;&gt;"",E4388&lt;&gt;"!!!"),"NEW","")))</f>
        <v/>
      </c>
      <c r="G4388" s="26" t="str">
        <f aca="false">IF(OR(E4388="",E4388="!!!"),"",IF(OR(J4388=0,AND(J4388=1,K4388=1),AND(J4388=1,I4388="SBJ"),AND(J4388=1,I4388=0)),"?IN_FOCUS",IF(J4388&lt;=2,"?ACTIVATED",IF(J4388&lt;&gt;"","?FAMILIAR",IF(F4388="NEW",IF(ISNA(VLOOKUP(E4388,#REF!,1,FALSE())),"?TYPE_IDENTIFIABLE","?REFERENTIAL"),"_")))))</f>
        <v/>
      </c>
      <c r="H4388" s="27" t="str">
        <f aca="false">IF(J4388&lt;&gt;1,"",IF(I4388="SBJ","CB","?"))</f>
        <v/>
      </c>
      <c r="I4388" s="24" t="str">
        <f aca="false">IF(OR(E4388="",E4388="!!!",F4388="NEW"),"",INDEX(B28:B$4361,-1+SUMPRODUCT(MAX(ROW(E28:E$4361)*(E4388=E28:E$4361)))))</f>
        <v/>
      </c>
      <c r="J4388" s="24" t="str">
        <f aca="true">IF(OR(E4388="",E4388="!!!",F4388="NEW"),"",COUNTBLANK(OFFSET(A$1,,,SUMPRODUCT(MAX(ROW(E$2:E4388)*(E4388=E$2:E4388)))))-COUNTBLANK(OFFSET(A$1,,,SUMPRODUCT(MAX(ROW(E$1:E4387)*(E2=E$1:E4387))))))</f>
        <v/>
      </c>
      <c r="K4388" s="24" t="str">
        <f aca="false">IF(OR(E4388="",E4388="!!!",F4388="NEW"),"",INDEX(J$1:J4387,SUMPRODUCT(MAX(ROW(E$1:E4387)*(E4388=E$1:E4387)))))</f>
        <v/>
      </c>
      <c r="L4388" s="31"/>
    </row>
    <row r="4389" customFormat="false" ht="15" hidden="false" customHeight="false" outlineLevel="0" collapsed="false">
      <c r="A4389" s="20" t="s">
        <v>1787</v>
      </c>
      <c r="B4389" s="22" t="s">
        <v>1571</v>
      </c>
      <c r="E4389" s="23" t="str">
        <f aca="false">IF(D4389="?OLD","!!!","")</f>
        <v/>
      </c>
      <c r="F4389" s="25" t="str">
        <f aca="false">IF(OR(E4389="",E4389="!!!"),"",IF(NOT(ISNA(VLOOKUP(E4389,E$1:E4388,1,FALSE()))),"OLD",IF(AND(E4389&lt;&gt;"",E4389&lt;&gt;"!!!"),"NEW","")))</f>
        <v/>
      </c>
      <c r="G4389" s="26" t="str">
        <f aca="false">IF(OR(E4389="",E4389="!!!"),"",IF(OR(J4389=0,AND(J4389=1,K4389=1),AND(J4389=1,I4389="SBJ"),AND(J4389=1,I4389=0)),"?IN_FOCUS",IF(J4389&lt;=2,"?ACTIVATED",IF(J4389&lt;&gt;"","?FAMILIAR",IF(F4389="NEW",IF(ISNA(VLOOKUP(E4389,#REF!,1,FALSE())),"?TYPE_IDENTIFIABLE","?REFERENTIAL"),"_")))))</f>
        <v/>
      </c>
      <c r="H4389" s="27" t="str">
        <f aca="false">IF(J4389&lt;&gt;1,"",IF(I4389="SBJ","CB","?"))</f>
        <v/>
      </c>
      <c r="I4389" s="24" t="str">
        <f aca="false">IF(OR(E4389="",E4389="!!!",F4389="NEW"),"",INDEX(B29:B$4361,-1+SUMPRODUCT(MAX(ROW(E29:E$4361)*(E4389=E29:E$4361)))))</f>
        <v/>
      </c>
      <c r="J4389" s="24" t="str">
        <f aca="true">IF(OR(E4389="",E4389="!!!",F4389="NEW"),"",COUNTBLANK(OFFSET(A$1,,,SUMPRODUCT(MAX(ROW(E$2:E4389)*(E4389=E$2:E4389)))))-COUNTBLANK(OFFSET(A$1,,,SUMPRODUCT(MAX(ROW(E$1:E4388)*(E2=E$1:E4388))))))</f>
        <v/>
      </c>
      <c r="K4389" s="24" t="str">
        <f aca="false">IF(OR(E4389="",E4389="!!!",F4389="NEW"),"",INDEX(J$1:J4388,SUMPRODUCT(MAX(ROW(E$1:E4388)*(E4389=E$1:E4388)))))</f>
        <v/>
      </c>
      <c r="L4389" s="31"/>
    </row>
    <row r="4390" customFormat="false" ht="15" hidden="false" customHeight="false" outlineLevel="0" collapsed="false">
      <c r="A4390" s="20" t="s">
        <v>1090</v>
      </c>
      <c r="B4390" s="22" t="s">
        <v>1205</v>
      </c>
      <c r="C4390" s="22" t="s">
        <v>1082</v>
      </c>
      <c r="D4390" s="22" t="s">
        <v>1060</v>
      </c>
      <c r="E4390" s="23" t="str">
        <f aca="false">IF(D4390="?OLD","!!!","")</f>
        <v>!!!</v>
      </c>
      <c r="F4390" s="25" t="str">
        <f aca="false">IF(OR(E4390="",E4390="!!!"),"",IF(NOT(ISNA(VLOOKUP(E4390,E$1:E4389,1,FALSE()))),"OLD",IF(AND(E4390&lt;&gt;"",E4390&lt;&gt;"!!!"),"NEW","")))</f>
        <v/>
      </c>
      <c r="G4390" s="26" t="str">
        <f aca="false">IF(OR(E4390="",E4390="!!!"),"",IF(OR(J4390=0,AND(J4390=1,K4390=1),AND(J4390=1,I4390="SBJ"),AND(J4390=1,I4390=0)),"?IN_FOCUS",IF(J4390&lt;=2,"?ACTIVATED",IF(J4390&lt;&gt;"","?FAMILIAR",IF(F4390="NEW",IF(ISNA(VLOOKUP(E4390,#REF!,1,FALSE())),"?TYPE_IDENTIFIABLE","?REFERENTIAL"),"_")))))</f>
        <v/>
      </c>
      <c r="H4390" s="27" t="str">
        <f aca="false">IF(J4390&lt;&gt;1,"",IF(I4390="SBJ","CB","?"))</f>
        <v/>
      </c>
      <c r="I4390" s="24" t="str">
        <f aca="false">IF(OR(E4390="",E4390="!!!",F4390="NEW"),"",INDEX(B30:B$4361,-1+SUMPRODUCT(MAX(ROW(E30:E$4361)*(E4390=E30:E$4361)))))</f>
        <v/>
      </c>
      <c r="J4390" s="24" t="str">
        <f aca="true">IF(OR(E4390="",E4390="!!!",F4390="NEW"),"",COUNTBLANK(OFFSET(A$1,,,SUMPRODUCT(MAX(ROW(E$2:E4390)*(E4390=E$2:E4390)))))-COUNTBLANK(OFFSET(A$1,,,SUMPRODUCT(MAX(ROW(E$1:E4389)*(E2=E$1:E4389))))))</f>
        <v/>
      </c>
      <c r="K4390" s="24" t="str">
        <f aca="false">IF(OR(E4390="",E4390="!!!",F4390="NEW"),"",INDEX(J$1:J4389,SUMPRODUCT(MAX(ROW(E$1:E4389)*(E4390=E$1:E4389)))))</f>
        <v/>
      </c>
      <c r="L4390" s="31"/>
    </row>
    <row r="4391" customFormat="false" ht="15" hidden="false" customHeight="false" outlineLevel="0" collapsed="false">
      <c r="A4391" s="20" t="s">
        <v>1164</v>
      </c>
      <c r="E4391" s="23" t="str">
        <f aca="false">IF(D4391="?OLD","!!!","")</f>
        <v/>
      </c>
      <c r="F4391" s="25" t="str">
        <f aca="false">IF(OR(E4391="",E4391="!!!"),"",IF(NOT(ISNA(VLOOKUP(E4391,E$1:E4390,1,FALSE()))),"OLD",IF(AND(E4391&lt;&gt;"",E4391&lt;&gt;"!!!"),"NEW","")))</f>
        <v/>
      </c>
      <c r="G4391" s="26" t="str">
        <f aca="false">IF(OR(E4391="",E4391="!!!"),"",IF(OR(J4391=0,AND(J4391=1,K4391=1),AND(J4391=1,I4391="SBJ"),AND(J4391=1,I4391=0)),"?IN_FOCUS",IF(J4391&lt;=2,"?ACTIVATED",IF(J4391&lt;&gt;"","?FAMILIAR",IF(F4391="NEW",IF(ISNA(VLOOKUP(E4391,#REF!,1,FALSE())),"?TYPE_IDENTIFIABLE","?REFERENTIAL"),"_")))))</f>
        <v/>
      </c>
      <c r="H4391" s="27" t="str">
        <f aca="false">IF(J4391&lt;&gt;1,"",IF(I4391="SBJ","CB","?"))</f>
        <v/>
      </c>
      <c r="I4391" s="24" t="str">
        <f aca="false">IF(OR(E4391="",E4391="!!!",F4391="NEW"),"",INDEX(B31:B$4361,-1+SUMPRODUCT(MAX(ROW(E31:E$4361)*(E4391=E31:E$4361)))))</f>
        <v/>
      </c>
      <c r="J4391" s="24" t="str">
        <f aca="true">IF(OR(E4391="",E4391="!!!",F4391="NEW"),"",COUNTBLANK(OFFSET(A$1,,,SUMPRODUCT(MAX(ROW(E$2:E4391)*(E4391=E$2:E4391)))))-COUNTBLANK(OFFSET(A$1,,,SUMPRODUCT(MAX(ROW(E$1:E4390)*(E2=E$1:E4390))))))</f>
        <v/>
      </c>
      <c r="K4391" s="24" t="str">
        <f aca="false">IF(OR(E4391="",E4391="!!!",F4391="NEW"),"",INDEX(J$1:J4390,SUMPRODUCT(MAX(ROW(E$1:E4390)*(E4391=E$1:E4390)))))</f>
        <v/>
      </c>
      <c r="L4391" s="31"/>
    </row>
    <row r="4392" customFormat="false" ht="15" hidden="false" customHeight="false" outlineLevel="0" collapsed="false">
      <c r="A4392" s="20" t="s">
        <v>1126</v>
      </c>
      <c r="E4392" s="23" t="str">
        <f aca="false">IF(D4392="?OLD","!!!","")</f>
        <v/>
      </c>
      <c r="F4392" s="25" t="str">
        <f aca="false">IF(OR(E4392="",E4392="!!!"),"",IF(NOT(ISNA(VLOOKUP(E4392,E$1:E4391,1,FALSE()))),"OLD",IF(AND(E4392&lt;&gt;"",E4392&lt;&gt;"!!!"),"NEW","")))</f>
        <v/>
      </c>
      <c r="G4392" s="26" t="str">
        <f aca="false">IF(OR(E4392="",E4392="!!!"),"",IF(OR(J4392=0,AND(J4392=1,K4392=1),AND(J4392=1,I4392="SBJ"),AND(J4392=1,I4392=0)),"?IN_FOCUS",IF(J4392&lt;=2,"?ACTIVATED",IF(J4392&lt;&gt;"","?FAMILIAR",IF(F4392="NEW",IF(ISNA(VLOOKUP(E4392,#REF!,1,FALSE())),"?TYPE_IDENTIFIABLE","?REFERENTIAL"),"_")))))</f>
        <v/>
      </c>
      <c r="H4392" s="27" t="str">
        <f aca="false">IF(J4392&lt;&gt;1,"",IF(I4392="SBJ","CB","?"))</f>
        <v/>
      </c>
      <c r="I4392" s="24" t="str">
        <f aca="false">IF(OR(E4392="",E4392="!!!",F4392="NEW"),"",INDEX(B32:B$4361,-1+SUMPRODUCT(MAX(ROW(E32:E$4361)*(E4392=E32:E$4361)))))</f>
        <v/>
      </c>
      <c r="J4392" s="24" t="str">
        <f aca="true">IF(OR(E4392="",E4392="!!!",F4392="NEW"),"",COUNTBLANK(OFFSET(A$1,,,SUMPRODUCT(MAX(ROW(E$2:E4392)*(E4392=E$2:E4392)))))-COUNTBLANK(OFFSET(A$1,,,SUMPRODUCT(MAX(ROW(E$1:E4391)*(E2=E$1:E4391))))))</f>
        <v/>
      </c>
      <c r="K4392" s="24" t="str">
        <f aca="false">IF(OR(E4392="",E4392="!!!",F4392="NEW"),"",INDEX(J$1:J4391,SUMPRODUCT(MAX(ROW(E$1:E4391)*(E4392=E$1:E4391)))))</f>
        <v/>
      </c>
      <c r="L4392" s="31"/>
    </row>
    <row r="4393" customFormat="false" ht="15" hidden="false" customHeight="false" outlineLevel="0" collapsed="false">
      <c r="A4393" s="20" t="s">
        <v>923</v>
      </c>
      <c r="E4393" s="23" t="str">
        <f aca="false">IF(D4393="?OLD","!!!","")</f>
        <v/>
      </c>
      <c r="F4393" s="25" t="str">
        <f aca="false">IF(OR(E4393="",E4393="!!!"),"",IF(NOT(ISNA(VLOOKUP(E4393,E$1:E4392,1,FALSE()))),"OLD",IF(AND(E4393&lt;&gt;"",E4393&lt;&gt;"!!!"),"NEW","")))</f>
        <v/>
      </c>
      <c r="G4393" s="26" t="str">
        <f aca="false">IF(OR(E4393="",E4393="!!!"),"",IF(OR(J4393=0,AND(J4393=1,K4393=1),AND(J4393=1,I4393="SBJ"),AND(J4393=1,I4393=0)),"?IN_FOCUS",IF(J4393&lt;=2,"?ACTIVATED",IF(J4393&lt;&gt;"","?FAMILIAR",IF(F4393="NEW",IF(ISNA(VLOOKUP(E4393,#REF!,1,FALSE())),"?TYPE_IDENTIFIABLE","?REFERENTIAL"),"_")))))</f>
        <v/>
      </c>
      <c r="H4393" s="27" t="str">
        <f aca="false">IF(J4393&lt;&gt;1,"",IF(I4393="SBJ","CB","?"))</f>
        <v/>
      </c>
      <c r="I4393" s="24" t="str">
        <f aca="false">IF(OR(E4393="",E4393="!!!",F4393="NEW"),"",INDEX(B33:B$4361,-1+SUMPRODUCT(MAX(ROW(E33:E$4361)*(E4393=E33:E$4361)))))</f>
        <v/>
      </c>
      <c r="J4393" s="24" t="str">
        <f aca="true">IF(OR(E4393="",E4393="!!!",F4393="NEW"),"",COUNTBLANK(OFFSET(A$1,,,SUMPRODUCT(MAX(ROW(E$2:E4393)*(E4393=E$2:E4393)))))-COUNTBLANK(OFFSET(A$1,,,SUMPRODUCT(MAX(ROW(E$1:E4392)*(E2=E$1:E4392))))))</f>
        <v/>
      </c>
      <c r="K4393" s="24" t="str">
        <f aca="false">IF(OR(E4393="",E4393="!!!",F4393="NEW"),"",INDEX(J$1:J4392,SUMPRODUCT(MAX(ROW(E$1:E4392)*(E4393=E$1:E4392)))))</f>
        <v/>
      </c>
      <c r="L4393" s="31"/>
    </row>
    <row r="4394" customFormat="false" ht="15" hidden="false" customHeight="false" outlineLevel="0" collapsed="false">
      <c r="A4394" s="20"/>
    </row>
    <row r="4395" customFormat="false" ht="15" hidden="false" customHeight="false" outlineLevel="0" collapsed="false">
      <c r="A4395" s="20" t="s">
        <v>2368</v>
      </c>
    </row>
    <row r="4396" customFormat="false" ht="15" hidden="false" customHeight="false" outlineLevel="0" collapsed="false">
      <c r="A4396" s="20" t="s">
        <v>1832</v>
      </c>
      <c r="E4396" s="23" t="str">
        <f aca="false">IF(D4396="?OLD","!!!","")</f>
        <v/>
      </c>
      <c r="F4396" s="25" t="str">
        <f aca="false">IF(OR(E4396="",E4396="!!!"),"",IF(NOT(ISNA(VLOOKUP(E4396,E$1:E4395,1,FALSE()))),"OLD",IF(AND(E4396&lt;&gt;"",E4396&lt;&gt;"!!!"),"NEW","")))</f>
        <v/>
      </c>
      <c r="G4396" s="26" t="str">
        <f aca="false">IF(OR(E4396="",E4396="!!!"),"",IF(OR(J4396=0,AND(J4396=1,K4396=1),AND(J4396=1,I4396="SBJ"),AND(J4396=1,I4396=0)),"?IN_FOCUS",IF(J4396&lt;=2,"?ACTIVATED",IF(J4396&lt;&gt;"","?FAMILIAR",IF(F4396="NEW",IF(ISNA(VLOOKUP(E4396,#REF!,1,FALSE())),"?TYPE_IDENTIFIABLE","?REFERENTIAL"),"_")))))</f>
        <v/>
      </c>
      <c r="H4396" s="27" t="str">
        <f aca="false">IF(J4396&lt;&gt;1,"",IF(I4396="SBJ","CB","?"))</f>
        <v/>
      </c>
      <c r="I4396" s="24" t="str">
        <f aca="false">IF(OR(E4396="",E4396="!!!",F4396="NEW"),"",INDEX(B2:B$4395,-1+SUMPRODUCT(MAX(ROW(E2:E$4395)*(E4396=E2:E$4395)))))</f>
        <v/>
      </c>
      <c r="J4396" s="24" t="str">
        <f aca="true">IF(OR(E4396="",E4396="!!!",F4396="NEW"),"",COUNTBLANK(OFFSET(A$1,,,SUMPRODUCT(MAX(ROW(E$2:E4396)*(E4396=E$2:E4396)))))-COUNTBLANK(OFFSET(A$1,,,SUMPRODUCT(MAX(ROW(E$1:E4395)*(E2=E$1:E4395))))))</f>
        <v/>
      </c>
      <c r="K4396" s="24" t="str">
        <f aca="false">IF(OR(E4396="",E4396="!!!",F4396="NEW"),"",INDEX(J$1:J4395,SUMPRODUCT(MAX(ROW(E$1:E4395)*(E4396=E$1:E4395)))))</f>
        <v/>
      </c>
      <c r="L4396" s="31"/>
    </row>
    <row r="4397" customFormat="false" ht="15" hidden="false" customHeight="false" outlineLevel="0" collapsed="false">
      <c r="A4397" s="20" t="s">
        <v>1109</v>
      </c>
      <c r="E4397" s="23" t="str">
        <f aca="false">IF(D4397="?OLD","!!!","")</f>
        <v/>
      </c>
      <c r="F4397" s="25" t="str">
        <f aca="false">IF(OR(E4397="",E4397="!!!"),"",IF(NOT(ISNA(VLOOKUP(E4397,E$1:E4396,1,FALSE()))),"OLD",IF(AND(E4397&lt;&gt;"",E4397&lt;&gt;"!!!"),"NEW","")))</f>
        <v/>
      </c>
      <c r="G4397" s="26" t="str">
        <f aca="false">IF(OR(E4397="",E4397="!!!"),"",IF(OR(J4397=0,AND(J4397=1,K4397=1),AND(J4397=1,I4397="SBJ"),AND(J4397=1,I4397=0)),"?IN_FOCUS",IF(J4397&lt;=2,"?ACTIVATED",IF(J4397&lt;&gt;"","?FAMILIAR",IF(F4397="NEW",IF(ISNA(VLOOKUP(E4397,#REF!,1,FALSE())),"?TYPE_IDENTIFIABLE","?REFERENTIAL"),"_")))))</f>
        <v/>
      </c>
      <c r="H4397" s="27" t="str">
        <f aca="false">IF(J4397&lt;&gt;1,"",IF(I4397="SBJ","CB","?"))</f>
        <v/>
      </c>
      <c r="I4397" s="24" t="str">
        <f aca="false">IF(OR(E4397="",E4397="!!!",F4397="NEW"),"",INDEX(B3:B$4395,-1+SUMPRODUCT(MAX(ROW(E3:E$4395)*(E4397=E3:E$4395)))))</f>
        <v/>
      </c>
      <c r="J4397" s="24" t="str">
        <f aca="true">IF(OR(E4397="",E4397="!!!",F4397="NEW"),"",COUNTBLANK(OFFSET(A$1,,,SUMPRODUCT(MAX(ROW(E$2:E4397)*(E4397=E$2:E4397)))))-COUNTBLANK(OFFSET(A$1,,,SUMPRODUCT(MAX(ROW(E$1:E4396)*(E2=E$1:E4396))))))</f>
        <v/>
      </c>
      <c r="K4397" s="24" t="str">
        <f aca="false">IF(OR(E4397="",E4397="!!!",F4397="NEW"),"",INDEX(J$1:J4396,SUMPRODUCT(MAX(ROW(E$1:E4396)*(E4397=E$1:E4396)))))</f>
        <v/>
      </c>
      <c r="L4397" s="31"/>
    </row>
    <row r="4398" customFormat="false" ht="15" hidden="false" customHeight="false" outlineLevel="0" collapsed="false">
      <c r="A4398" s="20" t="s">
        <v>2369</v>
      </c>
      <c r="B4398" s="22" t="s">
        <v>1058</v>
      </c>
      <c r="C4398" s="22" t="s">
        <v>1059</v>
      </c>
      <c r="D4398" s="22" t="s">
        <v>1060</v>
      </c>
      <c r="E4398" s="23" t="str">
        <f aca="false">IF(D4398="?OLD","!!!","")</f>
        <v>!!!</v>
      </c>
      <c r="F4398" s="25" t="str">
        <f aca="false">IF(OR(E4398="",E4398="!!!"),"",IF(NOT(ISNA(VLOOKUP(E4398,E$1:E4397,1,FALSE()))),"OLD",IF(AND(E4398&lt;&gt;"",E4398&lt;&gt;"!!!"),"NEW","")))</f>
        <v/>
      </c>
      <c r="G4398" s="26" t="str">
        <f aca="false">IF(OR(E4398="",E4398="!!!"),"",IF(OR(J4398=0,AND(J4398=1,K4398=1),AND(J4398=1,I4398="SBJ"),AND(J4398=1,I4398=0)),"?IN_FOCUS",IF(J4398&lt;=2,"?ACTIVATED",IF(J4398&lt;&gt;"","?FAMILIAR",IF(F4398="NEW",IF(ISNA(VLOOKUP(E4398,#REF!,1,FALSE())),"?TYPE_IDENTIFIABLE","?REFERENTIAL"),"_")))))</f>
        <v/>
      </c>
      <c r="H4398" s="27" t="str">
        <f aca="false">IF(J4398&lt;&gt;1,"",IF(I4398="SBJ","CB","?"))</f>
        <v/>
      </c>
      <c r="I4398" s="24" t="str">
        <f aca="false">IF(OR(E4398="",E4398="!!!",F4398="NEW"),"",INDEX(B4:B$4395,-1+SUMPRODUCT(MAX(ROW(E4:E$4395)*(E4398=E4:E$4395)))))</f>
        <v/>
      </c>
      <c r="J4398" s="24" t="str">
        <f aca="true">IF(OR(E4398="",E4398="!!!",F4398="NEW"),"",COUNTBLANK(OFFSET(A$1,,,SUMPRODUCT(MAX(ROW(E$2:E4398)*(E4398=E$2:E4398)))))-COUNTBLANK(OFFSET(A$1,,,SUMPRODUCT(MAX(ROW(E$1:E4397)*(E2=E$1:E4397))))))</f>
        <v/>
      </c>
      <c r="K4398" s="24" t="str">
        <f aca="false">IF(OR(E4398="",E4398="!!!",F4398="NEW"),"",INDEX(J$1:J4397,SUMPRODUCT(MAX(ROW(E$1:E4397)*(E4398=E$1:E4397)))))</f>
        <v/>
      </c>
      <c r="L4398" s="31"/>
    </row>
    <row r="4399" customFormat="false" ht="15" hidden="false" customHeight="false" outlineLevel="0" collapsed="false">
      <c r="A4399" s="20" t="s">
        <v>1064</v>
      </c>
      <c r="E4399" s="23" t="str">
        <f aca="false">IF(D4399="?OLD","!!!","")</f>
        <v/>
      </c>
      <c r="F4399" s="25" t="str">
        <f aca="false">IF(OR(E4399="",E4399="!!!"),"",IF(NOT(ISNA(VLOOKUP(E4399,E$1:E4398,1,FALSE()))),"OLD",IF(AND(E4399&lt;&gt;"",E4399&lt;&gt;"!!!"),"NEW","")))</f>
        <v/>
      </c>
      <c r="G4399" s="26" t="str">
        <f aca="false">IF(OR(E4399="",E4399="!!!"),"",IF(OR(J4399=0,AND(J4399=1,K4399=1),AND(J4399=1,I4399="SBJ"),AND(J4399=1,I4399=0)),"?IN_FOCUS",IF(J4399&lt;=2,"?ACTIVATED",IF(J4399&lt;&gt;"","?FAMILIAR",IF(F4399="NEW",IF(ISNA(VLOOKUP(E4399,#REF!,1,FALSE())),"?TYPE_IDENTIFIABLE","?REFERENTIAL"),"_")))))</f>
        <v/>
      </c>
      <c r="H4399" s="27" t="str">
        <f aca="false">IF(J4399&lt;&gt;1,"",IF(I4399="SBJ","CB","?"))</f>
        <v/>
      </c>
      <c r="I4399" s="24" t="str">
        <f aca="false">IF(OR(E4399="",E4399="!!!",F4399="NEW"),"",INDEX(B5:B$4395,-1+SUMPRODUCT(MAX(ROW(E5:E$4395)*(E4399=E5:E$4395)))))</f>
        <v/>
      </c>
      <c r="J4399" s="24" t="str">
        <f aca="true">IF(OR(E4399="",E4399="!!!",F4399="NEW"),"",COUNTBLANK(OFFSET(A$1,,,SUMPRODUCT(MAX(ROW(E$2:E4399)*(E4399=E$2:E4399)))))-COUNTBLANK(OFFSET(A$1,,,SUMPRODUCT(MAX(ROW(E$1:E4398)*(E2=E$1:E4398))))))</f>
        <v/>
      </c>
      <c r="K4399" s="24" t="str">
        <f aca="false">IF(OR(E4399="",E4399="!!!",F4399="NEW"),"",INDEX(J$1:J4398,SUMPRODUCT(MAX(ROW(E$1:E4398)*(E4399=E$1:E4398)))))</f>
        <v/>
      </c>
      <c r="L4399" s="31"/>
    </row>
    <row r="4400" customFormat="false" ht="15" hidden="false" customHeight="false" outlineLevel="0" collapsed="false">
      <c r="A4400" s="20" t="s">
        <v>1109</v>
      </c>
      <c r="E4400" s="23" t="str">
        <f aca="false">IF(D4400="?OLD","!!!","")</f>
        <v/>
      </c>
      <c r="F4400" s="25" t="str">
        <f aca="false">IF(OR(E4400="",E4400="!!!"),"",IF(NOT(ISNA(VLOOKUP(E4400,E$1:E4399,1,FALSE()))),"OLD",IF(AND(E4400&lt;&gt;"",E4400&lt;&gt;"!!!"),"NEW","")))</f>
        <v/>
      </c>
      <c r="G4400" s="26" t="str">
        <f aca="false">IF(OR(E4400="",E4400="!!!"),"",IF(OR(J4400=0,AND(J4400=1,K4400=1),AND(J4400=1,I4400="SBJ"),AND(J4400=1,I4400=0)),"?IN_FOCUS",IF(J4400&lt;=2,"?ACTIVATED",IF(J4400&lt;&gt;"","?FAMILIAR",IF(F4400="NEW",IF(ISNA(VLOOKUP(E4400,#REF!,1,FALSE())),"?TYPE_IDENTIFIABLE","?REFERENTIAL"),"_")))))</f>
        <v/>
      </c>
      <c r="H4400" s="27" t="str">
        <f aca="false">IF(J4400&lt;&gt;1,"",IF(I4400="SBJ","CB","?"))</f>
        <v/>
      </c>
      <c r="I4400" s="24" t="str">
        <f aca="false">IF(OR(E4400="",E4400="!!!",F4400="NEW"),"",INDEX(B6:B$4395,-1+SUMPRODUCT(MAX(ROW(E6:E$4395)*(E4400=E6:E$4395)))))</f>
        <v/>
      </c>
      <c r="J4400" s="24" t="str">
        <f aca="true">IF(OR(E4400="",E4400="!!!",F4400="NEW"),"",COUNTBLANK(OFFSET(A$1,,,SUMPRODUCT(MAX(ROW(E$2:E4400)*(E4400=E$2:E4400)))))-COUNTBLANK(OFFSET(A$1,,,SUMPRODUCT(MAX(ROW(E$1:E4399)*(E2=E$1:E4399))))))</f>
        <v/>
      </c>
      <c r="K4400" s="24" t="str">
        <f aca="false">IF(OR(E4400="",E4400="!!!",F4400="NEW"),"",INDEX(J$1:J4399,SUMPRODUCT(MAX(ROW(E$1:E4399)*(E4400=E$1:E4399)))))</f>
        <v/>
      </c>
      <c r="L4400" s="31"/>
    </row>
    <row r="4401" customFormat="false" ht="15" hidden="false" customHeight="false" outlineLevel="0" collapsed="false">
      <c r="A4401" s="20" t="s">
        <v>1643</v>
      </c>
      <c r="B4401" s="22" t="s">
        <v>1067</v>
      </c>
      <c r="C4401" s="22" t="s">
        <v>1150</v>
      </c>
      <c r="D4401" s="22" t="s">
        <v>1060</v>
      </c>
      <c r="E4401" s="23" t="str">
        <f aca="false">IF(D4401="?OLD","!!!","")</f>
        <v>!!!</v>
      </c>
      <c r="F4401" s="25" t="str">
        <f aca="false">IF(OR(E4401="",E4401="!!!"),"",IF(NOT(ISNA(VLOOKUP(E4401,E$1:E4400,1,FALSE()))),"OLD",IF(AND(E4401&lt;&gt;"",E4401&lt;&gt;"!!!"),"NEW","")))</f>
        <v/>
      </c>
      <c r="G4401" s="26" t="str">
        <f aca="false">IF(OR(E4401="",E4401="!!!"),"",IF(OR(J4401=0,AND(J4401=1,K4401=1),AND(J4401=1,I4401="SBJ"),AND(J4401=1,I4401=0)),"?IN_FOCUS",IF(J4401&lt;=2,"?ACTIVATED",IF(J4401&lt;&gt;"","?FAMILIAR",IF(F4401="NEW",IF(ISNA(VLOOKUP(E4401,#REF!,1,FALSE())),"?TYPE_IDENTIFIABLE","?REFERENTIAL"),"_")))))</f>
        <v/>
      </c>
      <c r="H4401" s="27" t="str">
        <f aca="false">IF(J4401&lt;&gt;1,"",IF(I4401="SBJ","CB","?"))</f>
        <v/>
      </c>
      <c r="I4401" s="24" t="str">
        <f aca="false">IF(OR(E4401="",E4401="!!!",F4401="NEW"),"",INDEX(B7:B$4395,-1+SUMPRODUCT(MAX(ROW(E7:E$4395)*(E4401=E7:E$4395)))))</f>
        <v/>
      </c>
      <c r="J4401" s="24" t="str">
        <f aca="true">IF(OR(E4401="",E4401="!!!",F4401="NEW"),"",COUNTBLANK(OFFSET(A$1,,,SUMPRODUCT(MAX(ROW(E$2:E4401)*(E4401=E$2:E4401)))))-COUNTBLANK(OFFSET(A$1,,,SUMPRODUCT(MAX(ROW(E$1:E4400)*(E2=E$1:E4400))))))</f>
        <v/>
      </c>
      <c r="K4401" s="24" t="str">
        <f aca="false">IF(OR(E4401="",E4401="!!!",F4401="NEW"),"",INDEX(J$1:J4400,SUMPRODUCT(MAX(ROW(E$1:E4400)*(E4401=E$1:E4400)))))</f>
        <v/>
      </c>
      <c r="L4401" s="31"/>
    </row>
    <row r="4402" customFormat="false" ht="15" hidden="false" customHeight="false" outlineLevel="0" collapsed="false">
      <c r="A4402" s="20" t="s">
        <v>1071</v>
      </c>
      <c r="E4402" s="23" t="str">
        <f aca="false">IF(D4402="?OLD","!!!","")</f>
        <v/>
      </c>
      <c r="F4402" s="25" t="str">
        <f aca="false">IF(OR(E4402="",E4402="!!!"),"",IF(NOT(ISNA(VLOOKUP(E4402,E$1:E4401,1,FALSE()))),"OLD",IF(AND(E4402&lt;&gt;"",E4402&lt;&gt;"!!!"),"NEW","")))</f>
        <v/>
      </c>
      <c r="G4402" s="26" t="str">
        <f aca="false">IF(OR(E4402="",E4402="!!!"),"",IF(OR(J4402=0,AND(J4402=1,K4402=1),AND(J4402=1,I4402="SBJ"),AND(J4402=1,I4402=0)),"?IN_FOCUS",IF(J4402&lt;=2,"?ACTIVATED",IF(J4402&lt;&gt;"","?FAMILIAR",IF(F4402="NEW",IF(ISNA(VLOOKUP(E4402,#REF!,1,FALSE())),"?TYPE_IDENTIFIABLE","?REFERENTIAL"),"_")))))</f>
        <v/>
      </c>
      <c r="H4402" s="27" t="str">
        <f aca="false">IF(J4402&lt;&gt;1,"",IF(I4402="SBJ","CB","?"))</f>
        <v/>
      </c>
      <c r="I4402" s="24" t="str">
        <f aca="false">IF(OR(E4402="",E4402="!!!",F4402="NEW"),"",INDEX(B8:B$4395,-1+SUMPRODUCT(MAX(ROW(E8:E$4395)*(E4402=E8:E$4395)))))</f>
        <v/>
      </c>
      <c r="J4402" s="24" t="str">
        <f aca="true">IF(OR(E4402="",E4402="!!!",F4402="NEW"),"",COUNTBLANK(OFFSET(A$1,,,SUMPRODUCT(MAX(ROW(E$2:E4402)*(E4402=E$2:E4402)))))-COUNTBLANK(OFFSET(A$1,,,SUMPRODUCT(MAX(ROW(E$1:E4401)*(E2=E$1:E4401))))))</f>
        <v/>
      </c>
      <c r="K4402" s="24" t="str">
        <f aca="false">IF(OR(E4402="",E4402="!!!",F4402="NEW"),"",INDEX(J$1:J4401,SUMPRODUCT(MAX(ROW(E$1:E4401)*(E4402=E$1:E4401)))))</f>
        <v/>
      </c>
      <c r="L4402" s="31"/>
    </row>
    <row r="4403" customFormat="false" ht="15" hidden="false" customHeight="false" outlineLevel="0" collapsed="false">
      <c r="A4403" s="20" t="s">
        <v>2086</v>
      </c>
      <c r="B4403" s="22" t="s">
        <v>1073</v>
      </c>
      <c r="C4403" s="22" t="s">
        <v>1059</v>
      </c>
      <c r="D4403" s="22" t="s">
        <v>1060</v>
      </c>
      <c r="E4403" s="23" t="str">
        <f aca="false">IF(D4403="?OLD","!!!","")</f>
        <v>!!!</v>
      </c>
      <c r="F4403" s="25" t="str">
        <f aca="false">IF(OR(E4403="",E4403="!!!"),"",IF(NOT(ISNA(VLOOKUP(E4403,E$1:E4402,1,FALSE()))),"OLD",IF(AND(E4403&lt;&gt;"",E4403&lt;&gt;"!!!"),"NEW","")))</f>
        <v/>
      </c>
      <c r="G4403" s="26" t="str">
        <f aca="false">IF(OR(E4403="",E4403="!!!"),"",IF(OR(J4403=0,AND(J4403=1,K4403=1),AND(J4403=1,I4403="SBJ"),AND(J4403=1,I4403=0)),"?IN_FOCUS",IF(J4403&lt;=2,"?ACTIVATED",IF(J4403&lt;&gt;"","?FAMILIAR",IF(F4403="NEW",IF(ISNA(VLOOKUP(E4403,#REF!,1,FALSE())),"?TYPE_IDENTIFIABLE","?REFERENTIAL"),"_")))))</f>
        <v/>
      </c>
      <c r="H4403" s="27" t="str">
        <f aca="false">IF(J4403&lt;&gt;1,"",IF(I4403="SBJ","CB","?"))</f>
        <v/>
      </c>
      <c r="I4403" s="24" t="str">
        <f aca="false">IF(OR(E4403="",E4403="!!!",F4403="NEW"),"",INDEX(B9:B$4395,-1+SUMPRODUCT(MAX(ROW(E9:E$4395)*(E4403=E9:E$4395)))))</f>
        <v/>
      </c>
      <c r="J4403" s="24" t="str">
        <f aca="true">IF(OR(E4403="",E4403="!!!",F4403="NEW"),"",COUNTBLANK(OFFSET(A$1,,,SUMPRODUCT(MAX(ROW(E$2:E4403)*(E4403=E$2:E4403)))))-COUNTBLANK(OFFSET(A$1,,,SUMPRODUCT(MAX(ROW(E$1:E4402)*(E2=E$1:E4402))))))</f>
        <v/>
      </c>
      <c r="K4403" s="24" t="str">
        <f aca="false">IF(OR(E4403="",E4403="!!!",F4403="NEW"),"",INDEX(J$1:J4402,SUMPRODUCT(MAX(ROW(E$1:E4402)*(E4403=E$1:E4402)))))</f>
        <v/>
      </c>
      <c r="L4403" s="31"/>
    </row>
    <row r="4404" customFormat="false" ht="15" hidden="false" customHeight="false" outlineLevel="0" collapsed="false">
      <c r="A4404" s="20" t="s">
        <v>1164</v>
      </c>
      <c r="E4404" s="23" t="str">
        <f aca="false">IF(D4404="?OLD","!!!","")</f>
        <v/>
      </c>
      <c r="F4404" s="25" t="str">
        <f aca="false">IF(OR(E4404="",E4404="!!!"),"",IF(NOT(ISNA(VLOOKUP(E4404,E$1:E4403,1,FALSE()))),"OLD",IF(AND(E4404&lt;&gt;"",E4404&lt;&gt;"!!!"),"NEW","")))</f>
        <v/>
      </c>
      <c r="G4404" s="26" t="str">
        <f aca="false">IF(OR(E4404="",E4404="!!!"),"",IF(OR(J4404=0,AND(J4404=1,K4404=1),AND(J4404=1,I4404="SBJ"),AND(J4404=1,I4404=0)),"?IN_FOCUS",IF(J4404&lt;=2,"?ACTIVATED",IF(J4404&lt;&gt;"","?FAMILIAR",IF(F4404="NEW",IF(ISNA(VLOOKUP(E4404,#REF!,1,FALSE())),"?TYPE_IDENTIFIABLE","?REFERENTIAL"),"_")))))</f>
        <v/>
      </c>
      <c r="H4404" s="27" t="str">
        <f aca="false">IF(J4404&lt;&gt;1,"",IF(I4404="SBJ","CB","?"))</f>
        <v/>
      </c>
      <c r="I4404" s="24" t="str">
        <f aca="false">IF(OR(E4404="",E4404="!!!",F4404="NEW"),"",INDEX(B10:B$4395,-1+SUMPRODUCT(MAX(ROW(E10:E$4395)*(E4404=E10:E$4395)))))</f>
        <v/>
      </c>
      <c r="J4404" s="24" t="str">
        <f aca="true">IF(OR(E4404="",E4404="!!!",F4404="NEW"),"",COUNTBLANK(OFFSET(A$1,,,SUMPRODUCT(MAX(ROW(E$2:E4404)*(E4404=E$2:E4404)))))-COUNTBLANK(OFFSET(A$1,,,SUMPRODUCT(MAX(ROW(E$1:E4403)*(E2=E$1:E4403))))))</f>
        <v/>
      </c>
      <c r="K4404" s="24" t="str">
        <f aca="false">IF(OR(E4404="",E4404="!!!",F4404="NEW"),"",INDEX(J$1:J4403,SUMPRODUCT(MAX(ROW(E$1:E4403)*(E4404=E$1:E4403)))))</f>
        <v/>
      </c>
      <c r="L4404" s="31"/>
    </row>
    <row r="4405" customFormat="false" ht="15" hidden="false" customHeight="false" outlineLevel="0" collapsed="false">
      <c r="A4405" s="20" t="s">
        <v>2370</v>
      </c>
      <c r="E4405" s="23" t="str">
        <f aca="false">IF(D4405="?OLD","!!!","")</f>
        <v/>
      </c>
      <c r="F4405" s="25" t="str">
        <f aca="false">IF(OR(E4405="",E4405="!!!"),"",IF(NOT(ISNA(VLOOKUP(E4405,E$1:E4404,1,FALSE()))),"OLD",IF(AND(E4405&lt;&gt;"",E4405&lt;&gt;"!!!"),"NEW","")))</f>
        <v/>
      </c>
      <c r="G4405" s="26" t="str">
        <f aca="false">IF(OR(E4405="",E4405="!!!"),"",IF(OR(J4405=0,AND(J4405=1,K4405=1),AND(J4405=1,I4405="SBJ"),AND(J4405=1,I4405=0)),"?IN_FOCUS",IF(J4405&lt;=2,"?ACTIVATED",IF(J4405&lt;&gt;"","?FAMILIAR",IF(F4405="NEW",IF(ISNA(VLOOKUP(E4405,#REF!,1,FALSE())),"?TYPE_IDENTIFIABLE","?REFERENTIAL"),"_")))))</f>
        <v/>
      </c>
      <c r="H4405" s="27" t="str">
        <f aca="false">IF(J4405&lt;&gt;1,"",IF(I4405="SBJ","CB","?"))</f>
        <v/>
      </c>
      <c r="I4405" s="24" t="str">
        <f aca="false">IF(OR(E4405="",E4405="!!!",F4405="NEW"),"",INDEX(B11:B$4395,-1+SUMPRODUCT(MAX(ROW(E11:E$4395)*(E4405=E11:E$4395)))))</f>
        <v/>
      </c>
      <c r="J4405" s="24" t="str">
        <f aca="true">IF(OR(E4405="",E4405="!!!",F4405="NEW"),"",COUNTBLANK(OFFSET(A$1,,,SUMPRODUCT(MAX(ROW(E$2:E4405)*(E4405=E$2:E4405)))))-COUNTBLANK(OFFSET(A$1,,,SUMPRODUCT(MAX(ROW(E$1:E4404)*(E2=E$1:E4404))))))</f>
        <v/>
      </c>
      <c r="K4405" s="24" t="str">
        <f aca="false">IF(OR(E4405="",E4405="!!!",F4405="NEW"),"",INDEX(J$1:J4404,SUMPRODUCT(MAX(ROW(E$1:E4404)*(E4405=E$1:E4404)))))</f>
        <v/>
      </c>
      <c r="L4405" s="31"/>
    </row>
    <row r="4406" customFormat="false" ht="15" hidden="false" customHeight="false" outlineLevel="0" collapsed="false">
      <c r="A4406" s="20" t="s">
        <v>1097</v>
      </c>
      <c r="B4406" s="22" t="s">
        <v>1073</v>
      </c>
      <c r="C4406" s="22" t="s">
        <v>1099</v>
      </c>
      <c r="D4406" s="22" t="s">
        <v>1060</v>
      </c>
      <c r="E4406" s="23" t="str">
        <f aca="false">IF(D4406="?OLD","!!!","")</f>
        <v>!!!</v>
      </c>
      <c r="F4406" s="25" t="str">
        <f aca="false">IF(OR(E4406="",E4406="!!!"),"",IF(NOT(ISNA(VLOOKUP(E4406,E$1:E4405,1,FALSE()))),"OLD",IF(AND(E4406&lt;&gt;"",E4406&lt;&gt;"!!!"),"NEW","")))</f>
        <v/>
      </c>
      <c r="G4406" s="26" t="str">
        <f aca="false">IF(OR(E4406="",E4406="!!!"),"",IF(OR(J4406=0,AND(J4406=1,K4406=1),AND(J4406=1,I4406="SBJ"),AND(J4406=1,I4406=0)),"?IN_FOCUS",IF(J4406&lt;=2,"?ACTIVATED",IF(J4406&lt;&gt;"","?FAMILIAR",IF(F4406="NEW",IF(ISNA(VLOOKUP(E4406,#REF!,1,FALSE())),"?TYPE_IDENTIFIABLE","?REFERENTIAL"),"_")))))</f>
        <v/>
      </c>
      <c r="H4406" s="27" t="str">
        <f aca="false">IF(J4406&lt;&gt;1,"",IF(I4406="SBJ","CB","?"))</f>
        <v/>
      </c>
      <c r="I4406" s="24" t="str">
        <f aca="false">IF(OR(E4406="",E4406="!!!",F4406="NEW"),"",INDEX(B12:B$4395,-1+SUMPRODUCT(MAX(ROW(E12:E$4395)*(E4406=E12:E$4395)))))</f>
        <v/>
      </c>
      <c r="J4406" s="24" t="str">
        <f aca="true">IF(OR(E4406="",E4406="!!!",F4406="NEW"),"",COUNTBLANK(OFFSET(A$1,,,SUMPRODUCT(MAX(ROW(E$2:E4406)*(E4406=E$2:E4406)))))-COUNTBLANK(OFFSET(A$1,,,SUMPRODUCT(MAX(ROW(E$1:E4405)*(E2=E$1:E4405))))))</f>
        <v/>
      </c>
      <c r="K4406" s="24" t="str">
        <f aca="false">IF(OR(E4406="",E4406="!!!",F4406="NEW"),"",INDEX(J$1:J4405,SUMPRODUCT(MAX(ROW(E$1:E4405)*(E4406=E$1:E4405)))))</f>
        <v/>
      </c>
      <c r="L4406" s="31"/>
    </row>
    <row r="4407" customFormat="false" ht="15" hidden="false" customHeight="false" outlineLevel="0" collapsed="false">
      <c r="A4407" s="20" t="s">
        <v>1210</v>
      </c>
      <c r="B4407" s="22" t="s">
        <v>1081</v>
      </c>
      <c r="C4407" s="22" t="s">
        <v>1059</v>
      </c>
      <c r="D4407" s="22" t="s">
        <v>1060</v>
      </c>
      <c r="E4407" s="23" t="str">
        <f aca="false">IF(D4407="?OLD","!!!","")</f>
        <v>!!!</v>
      </c>
      <c r="F4407" s="25" t="str">
        <f aca="false">IF(OR(E4407="",E4407="!!!"),"",IF(NOT(ISNA(VLOOKUP(E4407,E$1:E4406,1,FALSE()))),"OLD",IF(AND(E4407&lt;&gt;"",E4407&lt;&gt;"!!!"),"NEW","")))</f>
        <v/>
      </c>
      <c r="G4407" s="26" t="str">
        <f aca="false">IF(OR(E4407="",E4407="!!!"),"",IF(OR(J4407=0,AND(J4407=1,K4407=1),AND(J4407=1,I4407="SBJ"),AND(J4407=1,I4407=0)),"?IN_FOCUS",IF(J4407&lt;=2,"?ACTIVATED",IF(J4407&lt;&gt;"","?FAMILIAR",IF(F4407="NEW",IF(ISNA(VLOOKUP(E4407,#REF!,1,FALSE())),"?TYPE_IDENTIFIABLE","?REFERENTIAL"),"_")))))</f>
        <v/>
      </c>
      <c r="H4407" s="27" t="str">
        <f aca="false">IF(J4407&lt;&gt;1,"",IF(I4407="SBJ","CB","?"))</f>
        <v/>
      </c>
      <c r="I4407" s="24" t="str">
        <f aca="false">IF(OR(E4407="",E4407="!!!",F4407="NEW"),"",INDEX(B13:B$4395,-1+SUMPRODUCT(MAX(ROW(E13:E$4395)*(E4407=E13:E$4395)))))</f>
        <v/>
      </c>
      <c r="J4407" s="24" t="str">
        <f aca="true">IF(OR(E4407="",E4407="!!!",F4407="NEW"),"",COUNTBLANK(OFFSET(A$1,,,SUMPRODUCT(MAX(ROW(E$2:E4407)*(E4407=E$2:E4407)))))-COUNTBLANK(OFFSET(A$1,,,SUMPRODUCT(MAX(ROW(E$1:E4406)*(E2=E$1:E4406))))))</f>
        <v/>
      </c>
      <c r="K4407" s="24" t="str">
        <f aca="false">IF(OR(E4407="",E4407="!!!",F4407="NEW"),"",INDEX(J$1:J4406,SUMPRODUCT(MAX(ROW(E$1:E4406)*(E4407=E$1:E4406)))))</f>
        <v/>
      </c>
      <c r="L4407" s="31"/>
    </row>
    <row r="4408" customFormat="false" ht="15" hidden="false" customHeight="false" outlineLevel="0" collapsed="false">
      <c r="A4408" s="20" t="s">
        <v>1076</v>
      </c>
      <c r="E4408" s="23" t="str">
        <f aca="false">IF(D4408="?OLD","!!!","")</f>
        <v/>
      </c>
      <c r="F4408" s="25" t="str">
        <f aca="false">IF(OR(E4408="",E4408="!!!"),"",IF(NOT(ISNA(VLOOKUP(E4408,E$1:E4407,1,FALSE()))),"OLD",IF(AND(E4408&lt;&gt;"",E4408&lt;&gt;"!!!"),"NEW","")))</f>
        <v/>
      </c>
      <c r="G4408" s="26" t="str">
        <f aca="false">IF(OR(E4408="",E4408="!!!"),"",IF(OR(J4408=0,AND(J4408=1,K4408=1),AND(J4408=1,I4408="SBJ"),AND(J4408=1,I4408=0)),"?IN_FOCUS",IF(J4408&lt;=2,"?ACTIVATED",IF(J4408&lt;&gt;"","?FAMILIAR",IF(F4408="NEW",IF(ISNA(VLOOKUP(E4408,#REF!,1,FALSE())),"?TYPE_IDENTIFIABLE","?REFERENTIAL"),"_")))))</f>
        <v/>
      </c>
      <c r="H4408" s="27" t="str">
        <f aca="false">IF(J4408&lt;&gt;1,"",IF(I4408="SBJ","CB","?"))</f>
        <v/>
      </c>
      <c r="I4408" s="24" t="str">
        <f aca="false">IF(OR(E4408="",E4408="!!!",F4408="NEW"),"",INDEX(B14:B$4395,-1+SUMPRODUCT(MAX(ROW(E14:E$4395)*(E4408=E14:E$4395)))))</f>
        <v/>
      </c>
      <c r="J4408" s="24" t="str">
        <f aca="true">IF(OR(E4408="",E4408="!!!",F4408="NEW"),"",COUNTBLANK(OFFSET(A$1,,,SUMPRODUCT(MAX(ROW(E$2:E4408)*(E4408=E$2:E4408)))))-COUNTBLANK(OFFSET(A$1,,,SUMPRODUCT(MAX(ROW(E$1:E4407)*(E2=E$1:E4407))))))</f>
        <v/>
      </c>
      <c r="K4408" s="24" t="str">
        <f aca="false">IF(OR(E4408="",E4408="!!!",F4408="NEW"),"",INDEX(J$1:J4407,SUMPRODUCT(MAX(ROW(E$1:E4407)*(E4408=E$1:E4407)))))</f>
        <v/>
      </c>
      <c r="L4408" s="31"/>
    </row>
    <row r="4409" customFormat="false" ht="15" hidden="false" customHeight="false" outlineLevel="0" collapsed="false">
      <c r="A4409" s="20" t="s">
        <v>1128</v>
      </c>
      <c r="E4409" s="23" t="str">
        <f aca="false">IF(D4409="?OLD","!!!","")</f>
        <v/>
      </c>
      <c r="F4409" s="25" t="str">
        <f aca="false">IF(OR(E4409="",E4409="!!!"),"",IF(NOT(ISNA(VLOOKUP(E4409,E$1:E4408,1,FALSE()))),"OLD",IF(AND(E4409&lt;&gt;"",E4409&lt;&gt;"!!!"),"NEW","")))</f>
        <v/>
      </c>
      <c r="G4409" s="26" t="str">
        <f aca="false">IF(OR(E4409="",E4409="!!!"),"",IF(OR(J4409=0,AND(J4409=1,K4409=1),AND(J4409=1,I4409="SBJ"),AND(J4409=1,I4409=0)),"?IN_FOCUS",IF(J4409&lt;=2,"?ACTIVATED",IF(J4409&lt;&gt;"","?FAMILIAR",IF(F4409="NEW",IF(ISNA(VLOOKUP(E4409,#REF!,1,FALSE())),"?TYPE_IDENTIFIABLE","?REFERENTIAL"),"_")))))</f>
        <v/>
      </c>
      <c r="H4409" s="27" t="str">
        <f aca="false">IF(J4409&lt;&gt;1,"",IF(I4409="SBJ","CB","?"))</f>
        <v/>
      </c>
      <c r="I4409" s="24" t="str">
        <f aca="false">IF(OR(E4409="",E4409="!!!",F4409="NEW"),"",INDEX(B15:B$4395,-1+SUMPRODUCT(MAX(ROW(E15:E$4395)*(E4409=E15:E$4395)))))</f>
        <v/>
      </c>
      <c r="J4409" s="24" t="str">
        <f aca="true">IF(OR(E4409="",E4409="!!!",F4409="NEW"),"",COUNTBLANK(OFFSET(A$1,,,SUMPRODUCT(MAX(ROW(E$2:E4409)*(E4409=E$2:E4409)))))-COUNTBLANK(OFFSET(A$1,,,SUMPRODUCT(MAX(ROW(E$1:E4408)*(E2=E$1:E4408))))))</f>
        <v/>
      </c>
      <c r="K4409" s="24" t="str">
        <f aca="false">IF(OR(E4409="",E4409="!!!",F4409="NEW"),"",INDEX(J$1:J4408,SUMPRODUCT(MAX(ROW(E$1:E4408)*(E4409=E$1:E4408)))))</f>
        <v/>
      </c>
      <c r="L4409" s="31"/>
    </row>
    <row r="4410" customFormat="false" ht="15" hidden="false" customHeight="false" outlineLevel="0" collapsed="false">
      <c r="A4410" s="20" t="s">
        <v>1641</v>
      </c>
      <c r="E4410" s="23" t="str">
        <f aca="false">IF(D4410="?OLD","!!!","")</f>
        <v/>
      </c>
      <c r="F4410" s="25" t="str">
        <f aca="false">IF(OR(E4410="",E4410="!!!"),"",IF(NOT(ISNA(VLOOKUP(E4410,E$1:E4409,1,FALSE()))),"OLD",IF(AND(E4410&lt;&gt;"",E4410&lt;&gt;"!!!"),"NEW","")))</f>
        <v/>
      </c>
      <c r="G4410" s="26" t="str">
        <f aca="false">IF(OR(E4410="",E4410="!!!"),"",IF(OR(J4410=0,AND(J4410=1,K4410=1),AND(J4410=1,I4410="SBJ"),AND(J4410=1,I4410=0)),"?IN_FOCUS",IF(J4410&lt;=2,"?ACTIVATED",IF(J4410&lt;&gt;"","?FAMILIAR",IF(F4410="NEW",IF(ISNA(VLOOKUP(E4410,#REF!,1,FALSE())),"?TYPE_IDENTIFIABLE","?REFERENTIAL"),"_")))))</f>
        <v/>
      </c>
      <c r="H4410" s="27" t="str">
        <f aca="false">IF(J4410&lt;&gt;1,"",IF(I4410="SBJ","CB","?"))</f>
        <v/>
      </c>
      <c r="I4410" s="24" t="str">
        <f aca="false">IF(OR(E4410="",E4410="!!!",F4410="NEW"),"",INDEX(B16:B$4395,-1+SUMPRODUCT(MAX(ROW(E16:E$4395)*(E4410=E16:E$4395)))))</f>
        <v/>
      </c>
      <c r="J4410" s="24" t="str">
        <f aca="true">IF(OR(E4410="",E4410="!!!",F4410="NEW"),"",COUNTBLANK(OFFSET(A$1,,,SUMPRODUCT(MAX(ROW(E$2:E4410)*(E4410=E$2:E4410)))))-COUNTBLANK(OFFSET(A$1,,,SUMPRODUCT(MAX(ROW(E$1:E4409)*(E2=E$1:E4409))))))</f>
        <v/>
      </c>
      <c r="K4410" s="24" t="str">
        <f aca="false">IF(OR(E4410="",E4410="!!!",F4410="NEW"),"",INDEX(J$1:J4409,SUMPRODUCT(MAX(ROW(E$1:E4409)*(E4410=E$1:E4409)))))</f>
        <v/>
      </c>
      <c r="L4410" s="31"/>
    </row>
    <row r="4411" customFormat="false" ht="15" hidden="false" customHeight="false" outlineLevel="0" collapsed="false">
      <c r="A4411" s="20" t="s">
        <v>2371</v>
      </c>
      <c r="B4411" s="22" t="s">
        <v>1073</v>
      </c>
      <c r="C4411" s="22" t="s">
        <v>1160</v>
      </c>
      <c r="E4411" s="23" t="str">
        <f aca="false">IF(D4411="?OLD","!!!","")</f>
        <v/>
      </c>
      <c r="F4411" s="25" t="str">
        <f aca="false">IF(OR(E4411="",E4411="!!!"),"",IF(NOT(ISNA(VLOOKUP(E4411,E$1:E4410,1,FALSE()))),"OLD",IF(AND(E4411&lt;&gt;"",E4411&lt;&gt;"!!!"),"NEW","")))</f>
        <v/>
      </c>
      <c r="G4411" s="26" t="str">
        <f aca="false">IF(OR(E4411="",E4411="!!!"),"",IF(OR(J4411=0,AND(J4411=1,K4411=1),AND(J4411=1,I4411="SBJ"),AND(J4411=1,I4411=0)),"?IN_FOCUS",IF(J4411&lt;=2,"?ACTIVATED",IF(J4411&lt;&gt;"","?FAMILIAR",IF(F4411="NEW",IF(ISNA(VLOOKUP(E4411,#REF!,1,FALSE())),"?TYPE_IDENTIFIABLE","?REFERENTIAL"),"_")))))</f>
        <v/>
      </c>
      <c r="H4411" s="27" t="str">
        <f aca="false">IF(J4411&lt;&gt;1,"",IF(I4411="SBJ","CB","?"))</f>
        <v/>
      </c>
      <c r="I4411" s="24" t="str">
        <f aca="false">IF(OR(E4411="",E4411="!!!",F4411="NEW"),"",INDEX(B17:B$4395,-1+SUMPRODUCT(MAX(ROW(E17:E$4395)*(E4411=E17:E$4395)))))</f>
        <v/>
      </c>
      <c r="J4411" s="24" t="str">
        <f aca="true">IF(OR(E4411="",E4411="!!!",F4411="NEW"),"",COUNTBLANK(OFFSET(A$1,,,SUMPRODUCT(MAX(ROW(E$2:E4411)*(E4411=E$2:E4411)))))-COUNTBLANK(OFFSET(A$1,,,SUMPRODUCT(MAX(ROW(E$1:E4410)*(E2=E$1:E4410))))))</f>
        <v/>
      </c>
      <c r="K4411" s="24" t="str">
        <f aca="false">IF(OR(E4411="",E4411="!!!",F4411="NEW"),"",INDEX(J$1:J4410,SUMPRODUCT(MAX(ROW(E$1:E4410)*(E4411=E$1:E4410)))))</f>
        <v/>
      </c>
      <c r="L4411" s="31"/>
    </row>
    <row r="4412" customFormat="false" ht="15" hidden="false" customHeight="false" outlineLevel="0" collapsed="false">
      <c r="A4412" s="20" t="s">
        <v>1090</v>
      </c>
      <c r="B4412" s="22" t="s">
        <v>1086</v>
      </c>
      <c r="C4412" s="22" t="s">
        <v>1082</v>
      </c>
      <c r="D4412" s="22" t="s">
        <v>1060</v>
      </c>
      <c r="E4412" s="23" t="str">
        <f aca="false">IF(D4412="?OLD","!!!","")</f>
        <v>!!!</v>
      </c>
      <c r="F4412" s="25" t="str">
        <f aca="false">IF(OR(E4412="",E4412="!!!"),"",IF(NOT(ISNA(VLOOKUP(E4412,E$1:E4411,1,FALSE()))),"OLD",IF(AND(E4412&lt;&gt;"",E4412&lt;&gt;"!!!"),"NEW","")))</f>
        <v/>
      </c>
      <c r="G4412" s="26" t="str">
        <f aca="false">IF(OR(E4412="",E4412="!!!"),"",IF(OR(J4412=0,AND(J4412=1,K4412=1),AND(J4412=1,I4412="SBJ"),AND(J4412=1,I4412=0)),"?IN_FOCUS",IF(J4412&lt;=2,"?ACTIVATED",IF(J4412&lt;&gt;"","?FAMILIAR",IF(F4412="NEW",IF(ISNA(VLOOKUP(E4412,#REF!,1,FALSE())),"?TYPE_IDENTIFIABLE","?REFERENTIAL"),"_")))))</f>
        <v/>
      </c>
      <c r="H4412" s="27" t="str">
        <f aca="false">IF(J4412&lt;&gt;1,"",IF(I4412="SBJ","CB","?"))</f>
        <v/>
      </c>
      <c r="I4412" s="24" t="str">
        <f aca="false">IF(OR(E4412="",E4412="!!!",F4412="NEW"),"",INDEX(B18:B$4395,-1+SUMPRODUCT(MAX(ROW(E18:E$4395)*(E4412=E18:E$4395)))))</f>
        <v/>
      </c>
      <c r="J4412" s="24" t="str">
        <f aca="true">IF(OR(E4412="",E4412="!!!",F4412="NEW"),"",COUNTBLANK(OFFSET(A$1,,,SUMPRODUCT(MAX(ROW(E$2:E4412)*(E4412=E$2:E4412)))))-COUNTBLANK(OFFSET(A$1,,,SUMPRODUCT(MAX(ROW(E$1:E4411)*(E2=E$1:E4411))))))</f>
        <v/>
      </c>
      <c r="K4412" s="24" t="str">
        <f aca="false">IF(OR(E4412="",E4412="!!!",F4412="NEW"),"",INDEX(J$1:J4411,SUMPRODUCT(MAX(ROW(E$1:E4411)*(E4412=E$1:E4411)))))</f>
        <v/>
      </c>
      <c r="L4412" s="31"/>
    </row>
    <row r="4413" customFormat="false" ht="15" hidden="false" customHeight="false" outlineLevel="0" collapsed="false">
      <c r="A4413" s="20" t="s">
        <v>502</v>
      </c>
      <c r="E4413" s="23" t="str">
        <f aca="false">IF(D4413="?OLD","!!!","")</f>
        <v/>
      </c>
      <c r="F4413" s="25" t="str">
        <f aca="false">IF(OR(E4413="",E4413="!!!"),"",IF(NOT(ISNA(VLOOKUP(E4413,E$1:E4412,1,FALSE()))),"OLD",IF(AND(E4413&lt;&gt;"",E4413&lt;&gt;"!!!"),"NEW","")))</f>
        <v/>
      </c>
      <c r="G4413" s="26" t="str">
        <f aca="false">IF(OR(E4413="",E4413="!!!"),"",IF(OR(J4413=0,AND(J4413=1,K4413=1),AND(J4413=1,I4413="SBJ"),AND(J4413=1,I4413=0)),"?IN_FOCUS",IF(J4413&lt;=2,"?ACTIVATED",IF(J4413&lt;&gt;"","?FAMILIAR",IF(F4413="NEW",IF(ISNA(VLOOKUP(E4413,#REF!,1,FALSE())),"?TYPE_IDENTIFIABLE","?REFERENTIAL"),"_")))))</f>
        <v/>
      </c>
      <c r="H4413" s="27" t="str">
        <f aca="false">IF(J4413&lt;&gt;1,"",IF(I4413="SBJ","CB","?"))</f>
        <v/>
      </c>
      <c r="I4413" s="24" t="str">
        <f aca="false">IF(OR(E4413="",E4413="!!!",F4413="NEW"),"",INDEX(B19:B$4395,-1+SUMPRODUCT(MAX(ROW(E19:E$4395)*(E4413=E19:E$4395)))))</f>
        <v/>
      </c>
      <c r="J4413" s="24" t="str">
        <f aca="true">IF(OR(E4413="",E4413="!!!",F4413="NEW"),"",COUNTBLANK(OFFSET(A$1,,,SUMPRODUCT(MAX(ROW(E$2:E4413)*(E4413=E$2:E4413)))))-COUNTBLANK(OFFSET(A$1,,,SUMPRODUCT(MAX(ROW(E$1:E4412)*(E2=E$1:E4412))))))</f>
        <v/>
      </c>
      <c r="K4413" s="24" t="str">
        <f aca="false">IF(OR(E4413="",E4413="!!!",F4413="NEW"),"",INDEX(J$1:J4412,SUMPRODUCT(MAX(ROW(E$1:E4412)*(E4413=E$1:E4412)))))</f>
        <v/>
      </c>
      <c r="L4413" s="31"/>
    </row>
    <row r="4414" customFormat="false" ht="15" hidden="false" customHeight="false" outlineLevel="0" collapsed="false">
      <c r="A4414" s="20" t="s">
        <v>1877</v>
      </c>
      <c r="E4414" s="23" t="str">
        <f aca="false">IF(D4414="?OLD","!!!","")</f>
        <v/>
      </c>
      <c r="F4414" s="25" t="str">
        <f aca="false">IF(OR(E4414="",E4414="!!!"),"",IF(NOT(ISNA(VLOOKUP(E4414,E$1:E4413,1,FALSE()))),"OLD",IF(AND(E4414&lt;&gt;"",E4414&lt;&gt;"!!!"),"NEW","")))</f>
        <v/>
      </c>
      <c r="G4414" s="26" t="str">
        <f aca="false">IF(OR(E4414="",E4414="!!!"),"",IF(OR(J4414=0,AND(J4414=1,K4414=1),AND(J4414=1,I4414="SBJ"),AND(J4414=1,I4414=0)),"?IN_FOCUS",IF(J4414&lt;=2,"?ACTIVATED",IF(J4414&lt;&gt;"","?FAMILIAR",IF(F4414="NEW",IF(ISNA(VLOOKUP(E4414,#REF!,1,FALSE())),"?TYPE_IDENTIFIABLE","?REFERENTIAL"),"_")))))</f>
        <v/>
      </c>
      <c r="H4414" s="27" t="str">
        <f aca="false">IF(J4414&lt;&gt;1,"",IF(I4414="SBJ","CB","?"))</f>
        <v/>
      </c>
      <c r="I4414" s="24" t="str">
        <f aca="false">IF(OR(E4414="",E4414="!!!",F4414="NEW"),"",INDEX(B20:B$4395,-1+SUMPRODUCT(MAX(ROW(E20:E$4395)*(E4414=E20:E$4395)))))</f>
        <v/>
      </c>
      <c r="J4414" s="24" t="str">
        <f aca="true">IF(OR(E4414="",E4414="!!!",F4414="NEW"),"",COUNTBLANK(OFFSET(A$1,,,SUMPRODUCT(MAX(ROW(E$2:E4414)*(E4414=E$2:E4414)))))-COUNTBLANK(OFFSET(A$1,,,SUMPRODUCT(MAX(ROW(E$1:E4413)*(E2=E$1:E4413))))))</f>
        <v/>
      </c>
      <c r="K4414" s="24" t="str">
        <f aca="false">IF(OR(E4414="",E4414="!!!",F4414="NEW"),"",INDEX(J$1:J4413,SUMPRODUCT(MAX(ROW(E$1:E4413)*(E4414=E$1:E4413)))))</f>
        <v/>
      </c>
      <c r="L4414" s="31"/>
    </row>
    <row r="4415" customFormat="false" ht="15" hidden="false" customHeight="false" outlineLevel="0" collapsed="false">
      <c r="A4415" s="20" t="s">
        <v>1173</v>
      </c>
      <c r="E4415" s="23" t="str">
        <f aca="false">IF(D4415="?OLD","!!!","")</f>
        <v/>
      </c>
      <c r="F4415" s="25" t="str">
        <f aca="false">IF(OR(E4415="",E4415="!!!"),"",IF(NOT(ISNA(VLOOKUP(E4415,E$1:E4414,1,FALSE()))),"OLD",IF(AND(E4415&lt;&gt;"",E4415&lt;&gt;"!!!"),"NEW","")))</f>
        <v/>
      </c>
      <c r="G4415" s="26" t="str">
        <f aca="false">IF(OR(E4415="",E4415="!!!"),"",IF(OR(J4415=0,AND(J4415=1,K4415=1),AND(J4415=1,I4415="SBJ"),AND(J4415=1,I4415=0)),"?IN_FOCUS",IF(J4415&lt;=2,"?ACTIVATED",IF(J4415&lt;&gt;"","?FAMILIAR",IF(F4415="NEW",IF(ISNA(VLOOKUP(E4415,#REF!,1,FALSE())),"?TYPE_IDENTIFIABLE","?REFERENTIAL"),"_")))))</f>
        <v/>
      </c>
      <c r="H4415" s="27" t="str">
        <f aca="false">IF(J4415&lt;&gt;1,"",IF(I4415="SBJ","CB","?"))</f>
        <v/>
      </c>
      <c r="I4415" s="24" t="str">
        <f aca="false">IF(OR(E4415="",E4415="!!!",F4415="NEW"),"",INDEX(B21:B$4395,-1+SUMPRODUCT(MAX(ROW(E21:E$4395)*(E4415=E21:E$4395)))))</f>
        <v/>
      </c>
      <c r="J4415" s="24" t="str">
        <f aca="true">IF(OR(E4415="",E4415="!!!",F4415="NEW"),"",COUNTBLANK(OFFSET(A$1,,,SUMPRODUCT(MAX(ROW(E$2:E4415)*(E4415=E$2:E4415)))))-COUNTBLANK(OFFSET(A$1,,,SUMPRODUCT(MAX(ROW(E$1:E4414)*(E2=E$1:E4414))))))</f>
        <v/>
      </c>
      <c r="K4415" s="24" t="str">
        <f aca="false">IF(OR(E4415="",E4415="!!!",F4415="NEW"),"",INDEX(J$1:J4414,SUMPRODUCT(MAX(ROW(E$1:E4414)*(E4415=E$1:E4414)))))</f>
        <v/>
      </c>
      <c r="L4415" s="31"/>
    </row>
    <row r="4416" customFormat="false" ht="15" hidden="false" customHeight="false" outlineLevel="0" collapsed="false">
      <c r="A4416" s="20" t="s">
        <v>1085</v>
      </c>
      <c r="E4416" s="23" t="str">
        <f aca="false">IF(D4416="?OLD","!!!","")</f>
        <v/>
      </c>
      <c r="F4416" s="25" t="str">
        <f aca="false">IF(OR(E4416="",E4416="!!!"),"",IF(NOT(ISNA(VLOOKUP(E4416,E$1:E4415,1,FALSE()))),"OLD",IF(AND(E4416&lt;&gt;"",E4416&lt;&gt;"!!!"),"NEW","")))</f>
        <v/>
      </c>
      <c r="G4416" s="26" t="str">
        <f aca="false">IF(OR(E4416="",E4416="!!!"),"",IF(OR(J4416=0,AND(J4416=1,K4416=1),AND(J4416=1,I4416="SBJ"),AND(J4416=1,I4416=0)),"?IN_FOCUS",IF(J4416&lt;=2,"?ACTIVATED",IF(J4416&lt;&gt;"","?FAMILIAR",IF(F4416="NEW",IF(ISNA(VLOOKUP(E4416,#REF!,1,FALSE())),"?TYPE_IDENTIFIABLE","?REFERENTIAL"),"_")))))</f>
        <v/>
      </c>
      <c r="H4416" s="27" t="str">
        <f aca="false">IF(J4416&lt;&gt;1,"",IF(I4416="SBJ","CB","?"))</f>
        <v/>
      </c>
      <c r="I4416" s="24" t="str">
        <f aca="false">IF(OR(E4416="",E4416="!!!",F4416="NEW"),"",INDEX(B22:B$4395,-1+SUMPRODUCT(MAX(ROW(E22:E$4395)*(E4416=E22:E$4395)))))</f>
        <v/>
      </c>
      <c r="J4416" s="24" t="str">
        <f aca="true">IF(OR(E4416="",E4416="!!!",F4416="NEW"),"",COUNTBLANK(OFFSET(A$1,,,SUMPRODUCT(MAX(ROW(E$2:E4416)*(E4416=E$2:E4416)))))-COUNTBLANK(OFFSET(A$1,,,SUMPRODUCT(MAX(ROW(E$1:E4415)*(E2=E$1:E4415))))))</f>
        <v/>
      </c>
      <c r="K4416" s="24" t="str">
        <f aca="false">IF(OR(E4416="",E4416="!!!",F4416="NEW"),"",INDEX(J$1:J4415,SUMPRODUCT(MAX(ROW(E$1:E4415)*(E4416=E$1:E4415)))))</f>
        <v/>
      </c>
      <c r="L4416" s="31"/>
    </row>
    <row r="4417" customFormat="false" ht="15" hidden="false" customHeight="false" outlineLevel="0" collapsed="false">
      <c r="A4417" s="20" t="s">
        <v>2372</v>
      </c>
      <c r="E4417" s="23" t="str">
        <f aca="false">IF(D4417="?OLD","!!!","")</f>
        <v/>
      </c>
      <c r="F4417" s="25" t="str">
        <f aca="false">IF(OR(E4417="",E4417="!!!"),"",IF(NOT(ISNA(VLOOKUP(E4417,E$1:E4416,1,FALSE()))),"OLD",IF(AND(E4417&lt;&gt;"",E4417&lt;&gt;"!!!"),"NEW","")))</f>
        <v/>
      </c>
      <c r="G4417" s="26" t="str">
        <f aca="false">IF(OR(E4417="",E4417="!!!"),"",IF(OR(J4417=0,AND(J4417=1,K4417=1),AND(J4417=1,I4417="SBJ"),AND(J4417=1,I4417=0)),"?IN_FOCUS",IF(J4417&lt;=2,"?ACTIVATED",IF(J4417&lt;&gt;"","?FAMILIAR",IF(F4417="NEW",IF(ISNA(VLOOKUP(E4417,#REF!,1,FALSE())),"?TYPE_IDENTIFIABLE","?REFERENTIAL"),"_")))))</f>
        <v/>
      </c>
      <c r="H4417" s="27" t="str">
        <f aca="false">IF(J4417&lt;&gt;1,"",IF(I4417="SBJ","CB","?"))</f>
        <v/>
      </c>
      <c r="I4417" s="24" t="str">
        <f aca="false">IF(OR(E4417="",E4417="!!!",F4417="NEW"),"",INDEX(B23:B$4395,-1+SUMPRODUCT(MAX(ROW(E23:E$4395)*(E4417=E23:E$4395)))))</f>
        <v/>
      </c>
      <c r="J4417" s="24" t="str">
        <f aca="true">IF(OR(E4417="",E4417="!!!",F4417="NEW"),"",COUNTBLANK(OFFSET(A$1,,,SUMPRODUCT(MAX(ROW(E$2:E4417)*(E4417=E$2:E4417)))))-COUNTBLANK(OFFSET(A$1,,,SUMPRODUCT(MAX(ROW(E$1:E4416)*(E2=E$1:E4416))))))</f>
        <v/>
      </c>
      <c r="K4417" s="24" t="str">
        <f aca="false">IF(OR(E4417="",E4417="!!!",F4417="NEW"),"",INDEX(J$1:J4416,SUMPRODUCT(MAX(ROW(E$1:E4416)*(E4417=E$1:E4416)))))</f>
        <v/>
      </c>
      <c r="L4417" s="31"/>
    </row>
    <row r="4418" customFormat="false" ht="15" hidden="false" customHeight="false" outlineLevel="0" collapsed="false">
      <c r="A4418" s="20" t="s">
        <v>2373</v>
      </c>
      <c r="B4418" s="22" t="s">
        <v>1067</v>
      </c>
      <c r="C4418" s="22" t="s">
        <v>1087</v>
      </c>
      <c r="E4418" s="23" t="str">
        <f aca="false">IF(D4418="?OLD","!!!","")</f>
        <v/>
      </c>
      <c r="F4418" s="25" t="str">
        <f aca="false">IF(OR(E4418="",E4418="!!!"),"",IF(NOT(ISNA(VLOOKUP(E4418,E$1:E4417,1,FALSE()))),"OLD",IF(AND(E4418&lt;&gt;"",E4418&lt;&gt;"!!!"),"NEW","")))</f>
        <v/>
      </c>
      <c r="G4418" s="26" t="str">
        <f aca="false">IF(OR(E4418="",E4418="!!!"),"",IF(OR(J4418=0,AND(J4418=1,K4418=1),AND(J4418=1,I4418="SBJ"),AND(J4418=1,I4418=0)),"?IN_FOCUS",IF(J4418&lt;=2,"?ACTIVATED",IF(J4418&lt;&gt;"","?FAMILIAR",IF(F4418="NEW",IF(ISNA(VLOOKUP(E4418,#REF!,1,FALSE())),"?TYPE_IDENTIFIABLE","?REFERENTIAL"),"_")))))</f>
        <v/>
      </c>
      <c r="H4418" s="27" t="str">
        <f aca="false">IF(J4418&lt;&gt;1,"",IF(I4418="SBJ","CB","?"))</f>
        <v/>
      </c>
      <c r="I4418" s="24" t="str">
        <f aca="false">IF(OR(E4418="",E4418="!!!",F4418="NEW"),"",INDEX(B24:B$4395,-1+SUMPRODUCT(MAX(ROW(E24:E$4395)*(E4418=E24:E$4395)))))</f>
        <v/>
      </c>
      <c r="J4418" s="24" t="str">
        <f aca="true">IF(OR(E4418="",E4418="!!!",F4418="NEW"),"",COUNTBLANK(OFFSET(A$1,,,SUMPRODUCT(MAX(ROW(E$2:E4418)*(E4418=E$2:E4418)))))-COUNTBLANK(OFFSET(A$1,,,SUMPRODUCT(MAX(ROW(E$1:E4417)*(E2=E$1:E4417))))))</f>
        <v/>
      </c>
      <c r="K4418" s="24" t="str">
        <f aca="false">IF(OR(E4418="",E4418="!!!",F4418="NEW"),"",INDEX(J$1:J4417,SUMPRODUCT(MAX(ROW(E$1:E4417)*(E4418=E$1:E4417)))))</f>
        <v/>
      </c>
      <c r="L4418" s="31"/>
    </row>
    <row r="4419" customFormat="false" ht="15" hidden="false" customHeight="false" outlineLevel="0" collapsed="false">
      <c r="A4419" s="20" t="s">
        <v>1076</v>
      </c>
      <c r="E4419" s="23" t="str">
        <f aca="false">IF(D4419="?OLD","!!!","")</f>
        <v/>
      </c>
      <c r="F4419" s="25" t="str">
        <f aca="false">IF(OR(E4419="",E4419="!!!"),"",IF(NOT(ISNA(VLOOKUP(E4419,E$1:E4418,1,FALSE()))),"OLD",IF(AND(E4419&lt;&gt;"",E4419&lt;&gt;"!!!"),"NEW","")))</f>
        <v/>
      </c>
      <c r="G4419" s="26" t="str">
        <f aca="false">IF(OR(E4419="",E4419="!!!"),"",IF(OR(J4419=0,AND(J4419=1,K4419=1),AND(J4419=1,I4419="SBJ"),AND(J4419=1,I4419=0)),"?IN_FOCUS",IF(J4419&lt;=2,"?ACTIVATED",IF(J4419&lt;&gt;"","?FAMILIAR",IF(F4419="NEW",IF(ISNA(VLOOKUP(E4419,#REF!,1,FALSE())),"?TYPE_IDENTIFIABLE","?REFERENTIAL"),"_")))))</f>
        <v/>
      </c>
      <c r="H4419" s="27" t="str">
        <f aca="false">IF(J4419&lt;&gt;1,"",IF(I4419="SBJ","CB","?"))</f>
        <v/>
      </c>
      <c r="I4419" s="24" t="str">
        <f aca="false">IF(OR(E4419="",E4419="!!!",F4419="NEW"),"",INDEX(B25:B$4395,-1+SUMPRODUCT(MAX(ROW(E25:E$4395)*(E4419=E25:E$4395)))))</f>
        <v/>
      </c>
      <c r="J4419" s="24" t="str">
        <f aca="true">IF(OR(E4419="",E4419="!!!",F4419="NEW"),"",COUNTBLANK(OFFSET(A$1,,,SUMPRODUCT(MAX(ROW(E$2:E4419)*(E4419=E$2:E4419)))))-COUNTBLANK(OFFSET(A$1,,,SUMPRODUCT(MAX(ROW(E$1:E4418)*(E2=E$1:E4418))))))</f>
        <v/>
      </c>
      <c r="K4419" s="24" t="str">
        <f aca="false">IF(OR(E4419="",E4419="!!!",F4419="NEW"),"",INDEX(J$1:J4418,SUMPRODUCT(MAX(ROW(E$1:E4418)*(E4419=E$1:E4418)))))</f>
        <v/>
      </c>
      <c r="L4419" s="31"/>
    </row>
    <row r="4420" customFormat="false" ht="15" hidden="false" customHeight="false" outlineLevel="0" collapsed="false">
      <c r="A4420" s="20" t="s">
        <v>1167</v>
      </c>
      <c r="E4420" s="23" t="str">
        <f aca="false">IF(D4420="?OLD","!!!","")</f>
        <v/>
      </c>
      <c r="F4420" s="25" t="str">
        <f aca="false">IF(OR(E4420="",E4420="!!!"),"",IF(NOT(ISNA(VLOOKUP(E4420,E$1:E4419,1,FALSE()))),"OLD",IF(AND(E4420&lt;&gt;"",E4420&lt;&gt;"!!!"),"NEW","")))</f>
        <v/>
      </c>
      <c r="G4420" s="26" t="str">
        <f aca="false">IF(OR(E4420="",E4420="!!!"),"",IF(OR(J4420=0,AND(J4420=1,K4420=1),AND(J4420=1,I4420="SBJ"),AND(J4420=1,I4420=0)),"?IN_FOCUS",IF(J4420&lt;=2,"?ACTIVATED",IF(J4420&lt;&gt;"","?FAMILIAR",IF(F4420="NEW",IF(ISNA(VLOOKUP(E4420,#REF!,1,FALSE())),"?TYPE_IDENTIFIABLE","?REFERENTIAL"),"_")))))</f>
        <v/>
      </c>
      <c r="H4420" s="27" t="str">
        <f aca="false">IF(J4420&lt;&gt;1,"",IF(I4420="SBJ","CB","?"))</f>
        <v/>
      </c>
      <c r="I4420" s="24" t="str">
        <f aca="false">IF(OR(E4420="",E4420="!!!",F4420="NEW"),"",INDEX(B26:B$4395,-1+SUMPRODUCT(MAX(ROW(E26:E$4395)*(E4420=E26:E$4395)))))</f>
        <v/>
      </c>
      <c r="J4420" s="24" t="str">
        <f aca="true">IF(OR(E4420="",E4420="!!!",F4420="NEW"),"",COUNTBLANK(OFFSET(A$1,,,SUMPRODUCT(MAX(ROW(E$2:E4420)*(E4420=E$2:E4420)))))-COUNTBLANK(OFFSET(A$1,,,SUMPRODUCT(MAX(ROW(E$1:E4419)*(E2=E$1:E4419))))))</f>
        <v/>
      </c>
      <c r="K4420" s="24" t="str">
        <f aca="false">IF(OR(E4420="",E4420="!!!",F4420="NEW"),"",INDEX(J$1:J4419,SUMPRODUCT(MAX(ROW(E$1:E4419)*(E4420=E$1:E4419)))))</f>
        <v/>
      </c>
      <c r="L4420" s="31"/>
    </row>
    <row r="4421" customFormat="false" ht="15" hidden="false" customHeight="false" outlineLevel="0" collapsed="false">
      <c r="A4421" s="20" t="s">
        <v>1109</v>
      </c>
      <c r="E4421" s="23" t="str">
        <f aca="false">IF(D4421="?OLD","!!!","")</f>
        <v/>
      </c>
      <c r="F4421" s="25" t="str">
        <f aca="false">IF(OR(E4421="",E4421="!!!"),"",IF(NOT(ISNA(VLOOKUP(E4421,E$1:E4420,1,FALSE()))),"OLD",IF(AND(E4421&lt;&gt;"",E4421&lt;&gt;"!!!"),"NEW","")))</f>
        <v/>
      </c>
      <c r="G4421" s="26" t="str">
        <f aca="false">IF(OR(E4421="",E4421="!!!"),"",IF(OR(J4421=0,AND(J4421=1,K4421=1),AND(J4421=1,I4421="SBJ"),AND(J4421=1,I4421=0)),"?IN_FOCUS",IF(J4421&lt;=2,"?ACTIVATED",IF(J4421&lt;&gt;"","?FAMILIAR",IF(F4421="NEW",IF(ISNA(VLOOKUP(E4421,#REF!,1,FALSE())),"?TYPE_IDENTIFIABLE","?REFERENTIAL"),"_")))))</f>
        <v/>
      </c>
      <c r="H4421" s="27" t="str">
        <f aca="false">IF(J4421&lt;&gt;1,"",IF(I4421="SBJ","CB","?"))</f>
        <v/>
      </c>
      <c r="I4421" s="24" t="str">
        <f aca="false">IF(OR(E4421="",E4421="!!!",F4421="NEW"),"",INDEX(B27:B$4395,-1+SUMPRODUCT(MAX(ROW(E27:E$4395)*(E4421=E27:E$4395)))))</f>
        <v/>
      </c>
      <c r="J4421" s="24" t="str">
        <f aca="true">IF(OR(E4421="",E4421="!!!",F4421="NEW"),"",COUNTBLANK(OFFSET(A$1,,,SUMPRODUCT(MAX(ROW(E$2:E4421)*(E4421=E$2:E4421)))))-COUNTBLANK(OFFSET(A$1,,,SUMPRODUCT(MAX(ROW(E$1:E4420)*(E2=E$1:E4420))))))</f>
        <v/>
      </c>
      <c r="K4421" s="24" t="str">
        <f aca="false">IF(OR(E4421="",E4421="!!!",F4421="NEW"),"",INDEX(J$1:J4420,SUMPRODUCT(MAX(ROW(E$1:E4420)*(E4421=E$1:E4420)))))</f>
        <v/>
      </c>
      <c r="L4421" s="31"/>
    </row>
    <row r="4422" customFormat="false" ht="15" hidden="false" customHeight="false" outlineLevel="0" collapsed="false">
      <c r="A4422" s="20" t="s">
        <v>2374</v>
      </c>
      <c r="B4422" s="22" t="s">
        <v>1067</v>
      </c>
      <c r="C4422" s="22" t="s">
        <v>1059</v>
      </c>
      <c r="D4422" s="22" t="s">
        <v>1060</v>
      </c>
      <c r="E4422" s="23" t="str">
        <f aca="false">IF(D4422="?OLD","!!!","")</f>
        <v>!!!</v>
      </c>
      <c r="F4422" s="25" t="str">
        <f aca="false">IF(OR(E4422="",E4422="!!!"),"",IF(NOT(ISNA(VLOOKUP(E4422,E$1:E4421,1,FALSE()))),"OLD",IF(AND(E4422&lt;&gt;"",E4422&lt;&gt;"!!!"),"NEW","")))</f>
        <v/>
      </c>
      <c r="G4422" s="26" t="str">
        <f aca="false">IF(OR(E4422="",E4422="!!!"),"",IF(OR(J4422=0,AND(J4422=1,K4422=1),AND(J4422=1,I4422="SBJ"),AND(J4422=1,I4422=0)),"?IN_FOCUS",IF(J4422&lt;=2,"?ACTIVATED",IF(J4422&lt;&gt;"","?FAMILIAR",IF(F4422="NEW",IF(ISNA(VLOOKUP(E4422,#REF!,1,FALSE())),"?TYPE_IDENTIFIABLE","?REFERENTIAL"),"_")))))</f>
        <v/>
      </c>
      <c r="H4422" s="27" t="str">
        <f aca="false">IF(J4422&lt;&gt;1,"",IF(I4422="SBJ","CB","?"))</f>
        <v/>
      </c>
      <c r="I4422" s="24" t="str">
        <f aca="false">IF(OR(E4422="",E4422="!!!",F4422="NEW"),"",INDEX(B28:B$4395,-1+SUMPRODUCT(MAX(ROW(E28:E$4395)*(E4422=E28:E$4395)))))</f>
        <v/>
      </c>
      <c r="J4422" s="24" t="str">
        <f aca="true">IF(OR(E4422="",E4422="!!!",F4422="NEW"),"",COUNTBLANK(OFFSET(A$1,,,SUMPRODUCT(MAX(ROW(E$2:E4422)*(E4422=E$2:E4422)))))-COUNTBLANK(OFFSET(A$1,,,SUMPRODUCT(MAX(ROW(E$1:E4421)*(E2=E$1:E4421))))))</f>
        <v/>
      </c>
      <c r="K4422" s="24" t="str">
        <f aca="false">IF(OR(E4422="",E4422="!!!",F4422="NEW"),"",INDEX(J$1:J4421,SUMPRODUCT(MAX(ROW(E$1:E4421)*(E4422=E$1:E4421)))))</f>
        <v/>
      </c>
      <c r="L4422" s="31"/>
    </row>
    <row r="4423" customFormat="false" ht="15" hidden="false" customHeight="false" outlineLevel="0" collapsed="false">
      <c r="A4423" s="20" t="s">
        <v>1064</v>
      </c>
      <c r="E4423" s="23" t="str">
        <f aca="false">IF(D4423="?OLD","!!!","")</f>
        <v/>
      </c>
      <c r="F4423" s="25" t="str">
        <f aca="false">IF(OR(E4423="",E4423="!!!"),"",IF(NOT(ISNA(VLOOKUP(E4423,E$1:E4422,1,FALSE()))),"OLD",IF(AND(E4423&lt;&gt;"",E4423&lt;&gt;"!!!"),"NEW","")))</f>
        <v/>
      </c>
      <c r="G4423" s="26" t="str">
        <f aca="false">IF(OR(E4423="",E4423="!!!"),"",IF(OR(J4423=0,AND(J4423=1,K4423=1),AND(J4423=1,I4423="SBJ"),AND(J4423=1,I4423=0)),"?IN_FOCUS",IF(J4423&lt;=2,"?ACTIVATED",IF(J4423&lt;&gt;"","?FAMILIAR",IF(F4423="NEW",IF(ISNA(VLOOKUP(E4423,#REF!,1,FALSE())),"?TYPE_IDENTIFIABLE","?REFERENTIAL"),"_")))))</f>
        <v/>
      </c>
      <c r="H4423" s="27" t="str">
        <f aca="false">IF(J4423&lt;&gt;1,"",IF(I4423="SBJ","CB","?"))</f>
        <v/>
      </c>
      <c r="I4423" s="24" t="str">
        <f aca="false">IF(OR(E4423="",E4423="!!!",F4423="NEW"),"",INDEX(B29:B$4395,-1+SUMPRODUCT(MAX(ROW(E29:E$4395)*(E4423=E29:E$4395)))))</f>
        <v/>
      </c>
      <c r="J4423" s="24" t="str">
        <f aca="true">IF(OR(E4423="",E4423="!!!",F4423="NEW"),"",COUNTBLANK(OFFSET(A$1,,,SUMPRODUCT(MAX(ROW(E$2:E4423)*(E4423=E$2:E4423)))))-COUNTBLANK(OFFSET(A$1,,,SUMPRODUCT(MAX(ROW(E$1:E4422)*(E2=E$1:E4422))))))</f>
        <v/>
      </c>
      <c r="K4423" s="24" t="str">
        <f aca="false">IF(OR(E4423="",E4423="!!!",F4423="NEW"),"",INDEX(J$1:J4422,SUMPRODUCT(MAX(ROW(E$1:E4422)*(E4423=E$1:E4422)))))</f>
        <v/>
      </c>
      <c r="L4423" s="31"/>
    </row>
    <row r="4424" customFormat="false" ht="15" hidden="false" customHeight="false" outlineLevel="0" collapsed="false">
      <c r="A4424" s="20" t="s">
        <v>2375</v>
      </c>
      <c r="B4424" s="22" t="s">
        <v>1107</v>
      </c>
      <c r="C4424" s="22" t="s">
        <v>1068</v>
      </c>
      <c r="D4424" s="22" t="s">
        <v>1060</v>
      </c>
      <c r="E4424" s="23" t="str">
        <f aca="false">IF(D4424="?OLD","!!!","")</f>
        <v>!!!</v>
      </c>
      <c r="F4424" s="25" t="str">
        <f aca="false">IF(OR(E4424="",E4424="!!!"),"",IF(NOT(ISNA(VLOOKUP(E4424,E$1:E4423,1,FALSE()))),"OLD",IF(AND(E4424&lt;&gt;"",E4424&lt;&gt;"!!!"),"NEW","")))</f>
        <v/>
      </c>
      <c r="G4424" s="26" t="str">
        <f aca="false">IF(OR(E4424="",E4424="!!!"),"",IF(OR(J4424=0,AND(J4424=1,K4424=1),AND(J4424=1,I4424="SBJ"),AND(J4424=1,I4424=0)),"?IN_FOCUS",IF(J4424&lt;=2,"?ACTIVATED",IF(J4424&lt;&gt;"","?FAMILIAR",IF(F4424="NEW",IF(ISNA(VLOOKUP(E4424,#REF!,1,FALSE())),"?TYPE_IDENTIFIABLE","?REFERENTIAL"),"_")))))</f>
        <v/>
      </c>
      <c r="H4424" s="27" t="str">
        <f aca="false">IF(J4424&lt;&gt;1,"",IF(I4424="SBJ","CB","?"))</f>
        <v/>
      </c>
      <c r="I4424" s="24" t="str">
        <f aca="false">IF(OR(E4424="",E4424="!!!",F4424="NEW"),"",INDEX(B30:B$4395,-1+SUMPRODUCT(MAX(ROW(E30:E$4395)*(E4424=E30:E$4395)))))</f>
        <v/>
      </c>
      <c r="J4424" s="24" t="str">
        <f aca="true">IF(OR(E4424="",E4424="!!!",F4424="NEW"),"",COUNTBLANK(OFFSET(A$1,,,SUMPRODUCT(MAX(ROW(E$2:E4424)*(E4424=E$2:E4424)))))-COUNTBLANK(OFFSET(A$1,,,SUMPRODUCT(MAX(ROW(E$1:E4423)*(E2=E$1:E4423))))))</f>
        <v/>
      </c>
      <c r="K4424" s="24" t="str">
        <f aca="false">IF(OR(E4424="",E4424="!!!",F4424="NEW"),"",INDEX(J$1:J4423,SUMPRODUCT(MAX(ROW(E$1:E4423)*(E4424=E$1:E4423)))))</f>
        <v/>
      </c>
      <c r="L4424" s="31"/>
    </row>
    <row r="4425" customFormat="false" ht="15" hidden="false" customHeight="false" outlineLevel="0" collapsed="false">
      <c r="A4425" s="20" t="s">
        <v>2376</v>
      </c>
      <c r="E4425" s="23" t="str">
        <f aca="false">IF(D4425="?OLD","!!!","")</f>
        <v/>
      </c>
      <c r="F4425" s="25" t="str">
        <f aca="false">IF(OR(E4425="",E4425="!!!"),"",IF(NOT(ISNA(VLOOKUP(E4425,E$1:E4424,1,FALSE()))),"OLD",IF(AND(E4425&lt;&gt;"",E4425&lt;&gt;"!!!"),"NEW","")))</f>
        <v/>
      </c>
      <c r="G4425" s="26" t="str">
        <f aca="false">IF(OR(E4425="",E4425="!!!"),"",IF(OR(J4425=0,AND(J4425=1,K4425=1),AND(J4425=1,I4425="SBJ"),AND(J4425=1,I4425=0)),"?IN_FOCUS",IF(J4425&lt;=2,"?ACTIVATED",IF(J4425&lt;&gt;"","?FAMILIAR",IF(F4425="NEW",IF(ISNA(VLOOKUP(E4425,#REF!,1,FALSE())),"?TYPE_IDENTIFIABLE","?REFERENTIAL"),"_")))))</f>
        <v/>
      </c>
      <c r="H4425" s="27" t="str">
        <f aca="false">IF(J4425&lt;&gt;1,"",IF(I4425="SBJ","CB","?"))</f>
        <v/>
      </c>
      <c r="I4425" s="24" t="str">
        <f aca="false">IF(OR(E4425="",E4425="!!!",F4425="NEW"),"",INDEX(B31:B$4395,-1+SUMPRODUCT(MAX(ROW(E31:E$4395)*(E4425=E31:E$4395)))))</f>
        <v/>
      </c>
      <c r="J4425" s="24" t="str">
        <f aca="true">IF(OR(E4425="",E4425="!!!",F4425="NEW"),"",COUNTBLANK(OFFSET(A$1,,,SUMPRODUCT(MAX(ROW(E$2:E4425)*(E4425=E$2:E4425)))))-COUNTBLANK(OFFSET(A$1,,,SUMPRODUCT(MAX(ROW(E$1:E4424)*(E2=E$1:E4424))))))</f>
        <v/>
      </c>
      <c r="K4425" s="24" t="str">
        <f aca="false">IF(OR(E4425="",E4425="!!!",F4425="NEW"),"",INDEX(J$1:J4424,SUMPRODUCT(MAX(ROW(E$1:E4424)*(E4425=E$1:E4424)))))</f>
        <v/>
      </c>
      <c r="L4425" s="31"/>
    </row>
    <row r="4426" customFormat="false" ht="15" hidden="false" customHeight="false" outlineLevel="0" collapsed="false">
      <c r="A4426" s="20" t="s">
        <v>923</v>
      </c>
      <c r="E4426" s="23" t="str">
        <f aca="false">IF(D4426="?OLD","!!!","")</f>
        <v/>
      </c>
      <c r="F4426" s="25" t="str">
        <f aca="false">IF(OR(E4426="",E4426="!!!"),"",IF(NOT(ISNA(VLOOKUP(E4426,E$1:E4425,1,FALSE()))),"OLD",IF(AND(E4426&lt;&gt;"",E4426&lt;&gt;"!!!"),"NEW","")))</f>
        <v/>
      </c>
      <c r="G4426" s="26" t="str">
        <f aca="false">IF(OR(E4426="",E4426="!!!"),"",IF(OR(J4426=0,AND(J4426=1,K4426=1),AND(J4426=1,I4426="SBJ"),AND(J4426=1,I4426=0)),"?IN_FOCUS",IF(J4426&lt;=2,"?ACTIVATED",IF(J4426&lt;&gt;"","?FAMILIAR",IF(F4426="NEW",IF(ISNA(VLOOKUP(E4426,#REF!,1,FALSE())),"?TYPE_IDENTIFIABLE","?REFERENTIAL"),"_")))))</f>
        <v/>
      </c>
      <c r="H4426" s="27" t="str">
        <f aca="false">IF(J4426&lt;&gt;1,"",IF(I4426="SBJ","CB","?"))</f>
        <v/>
      </c>
      <c r="I4426" s="24" t="str">
        <f aca="false">IF(OR(E4426="",E4426="!!!",F4426="NEW"),"",INDEX(B32:B$4395,-1+SUMPRODUCT(MAX(ROW(E32:E$4395)*(E4426=E32:E$4395)))))</f>
        <v/>
      </c>
      <c r="J4426" s="24" t="str">
        <f aca="true">IF(OR(E4426="",E4426="!!!",F4426="NEW"),"",COUNTBLANK(OFFSET(A$1,,,SUMPRODUCT(MAX(ROW(E$2:E4426)*(E4426=E$2:E4426)))))-COUNTBLANK(OFFSET(A$1,,,SUMPRODUCT(MAX(ROW(E$1:E4425)*(E2=E$1:E4425))))))</f>
        <v/>
      </c>
      <c r="K4426" s="24" t="str">
        <f aca="false">IF(OR(E4426="",E4426="!!!",F4426="NEW"),"",INDEX(J$1:J4425,SUMPRODUCT(MAX(ROW(E$1:E4425)*(E4426=E$1:E4425)))))</f>
        <v/>
      </c>
      <c r="L4426" s="31"/>
    </row>
    <row r="4427" customFormat="false" ht="15" hidden="false" customHeight="false" outlineLevel="0" collapsed="false">
      <c r="A4427" s="20"/>
    </row>
    <row r="4428" customFormat="false" ht="15" hidden="false" customHeight="false" outlineLevel="0" collapsed="false">
      <c r="A4428" s="20" t="s">
        <v>2377</v>
      </c>
    </row>
    <row r="4429" customFormat="false" ht="15" hidden="false" customHeight="false" outlineLevel="0" collapsed="false">
      <c r="A4429" s="20" t="s">
        <v>1148</v>
      </c>
      <c r="E4429" s="23" t="str">
        <f aca="false">IF(D4429="?OLD","!!!","")</f>
        <v/>
      </c>
      <c r="F4429" s="25" t="str">
        <f aca="false">IF(OR(E4429="",E4429="!!!"),"",IF(NOT(ISNA(VLOOKUP(E4429,E$1:E4428,1,FALSE()))),"OLD",IF(AND(E4429&lt;&gt;"",E4429&lt;&gt;"!!!"),"NEW","")))</f>
        <v/>
      </c>
      <c r="G4429" s="26" t="str">
        <f aca="false">IF(OR(E4429="",E4429="!!!"),"",IF(OR(J4429=0,AND(J4429=1,K4429=1),AND(J4429=1,I4429="SBJ"),AND(J4429=1,I4429=0)),"?IN_FOCUS",IF(J4429&lt;=2,"?ACTIVATED",IF(J4429&lt;&gt;"","?FAMILIAR",IF(F4429="NEW",IF(ISNA(VLOOKUP(E4429,#REF!,1,FALSE())),"?TYPE_IDENTIFIABLE","?REFERENTIAL"),"_")))))</f>
        <v/>
      </c>
      <c r="H4429" s="27" t="str">
        <f aca="false">IF(J4429&lt;&gt;1,"",IF(I4429="SBJ","CB","?"))</f>
        <v/>
      </c>
      <c r="I4429" s="24" t="str">
        <f aca="false">IF(OR(E4429="",E4429="!!!",F4429="NEW"),"",INDEX(B2:B$4428,-1+SUMPRODUCT(MAX(ROW(E2:E$4428)*(E4429=E2:E$4428)))))</f>
        <v/>
      </c>
      <c r="J4429" s="24" t="str">
        <f aca="true">IF(OR(E4429="",E4429="!!!",F4429="NEW"),"",COUNTBLANK(OFFSET(A$1,,,SUMPRODUCT(MAX(ROW(E$2:E4429)*(E4429=E$2:E4429)))))-COUNTBLANK(OFFSET(A$1,,,SUMPRODUCT(MAX(ROW(E$1:E4428)*(E2=E$1:E4428))))))</f>
        <v/>
      </c>
      <c r="K4429" s="24" t="str">
        <f aca="false">IF(OR(E4429="",E4429="!!!",F4429="NEW"),"",INDEX(J$1:J4428,SUMPRODUCT(MAX(ROW(E$1:E4428)*(E4429=E$1:E4428)))))</f>
        <v/>
      </c>
      <c r="L4429" s="31"/>
    </row>
    <row r="4430" customFormat="false" ht="15" hidden="false" customHeight="false" outlineLevel="0" collapsed="false">
      <c r="A4430" s="20" t="s">
        <v>1386</v>
      </c>
      <c r="B4430" s="22" t="s">
        <v>1058</v>
      </c>
      <c r="C4430" s="22" t="s">
        <v>1059</v>
      </c>
      <c r="D4430" s="22" t="s">
        <v>1060</v>
      </c>
      <c r="E4430" s="23" t="str">
        <f aca="false">IF(D4430="?OLD","!!!","")</f>
        <v>!!!</v>
      </c>
      <c r="F4430" s="25" t="str">
        <f aca="false">IF(OR(E4430="",E4430="!!!"),"",IF(NOT(ISNA(VLOOKUP(E4430,E$1:E4429,1,FALSE()))),"OLD",IF(AND(E4430&lt;&gt;"",E4430&lt;&gt;"!!!"),"NEW","")))</f>
        <v/>
      </c>
      <c r="G4430" s="26" t="str">
        <f aca="false">IF(OR(E4430="",E4430="!!!"),"",IF(OR(J4430=0,AND(J4430=1,K4430=1),AND(J4430=1,I4430="SBJ"),AND(J4430=1,I4430=0)),"?IN_FOCUS",IF(J4430&lt;=2,"?ACTIVATED",IF(J4430&lt;&gt;"","?FAMILIAR",IF(F4430="NEW",IF(ISNA(VLOOKUP(E4430,#REF!,1,FALSE())),"?TYPE_IDENTIFIABLE","?REFERENTIAL"),"_")))))</f>
        <v/>
      </c>
      <c r="H4430" s="27" t="str">
        <f aca="false">IF(J4430&lt;&gt;1,"",IF(I4430="SBJ","CB","?"))</f>
        <v/>
      </c>
      <c r="I4430" s="24" t="str">
        <f aca="false">IF(OR(E4430="",E4430="!!!",F4430="NEW"),"",INDEX(B3:B$4428,-1+SUMPRODUCT(MAX(ROW(E3:E$4428)*(E4430=E3:E$4428)))))</f>
        <v/>
      </c>
      <c r="J4430" s="24" t="str">
        <f aca="true">IF(OR(E4430="",E4430="!!!",F4430="NEW"),"",COUNTBLANK(OFFSET(A$1,,,SUMPRODUCT(MAX(ROW(E$2:E4430)*(E4430=E$2:E4430)))))-COUNTBLANK(OFFSET(A$1,,,SUMPRODUCT(MAX(ROW(E$1:E4429)*(E2=E$1:E4429))))))</f>
        <v/>
      </c>
      <c r="K4430" s="24" t="str">
        <f aca="false">IF(OR(E4430="",E4430="!!!",F4430="NEW"),"",INDEX(J$1:J4429,SUMPRODUCT(MAX(ROW(E$1:E4429)*(E4430=E$1:E4429)))))</f>
        <v/>
      </c>
      <c r="L4430" s="31"/>
    </row>
    <row r="4431" customFormat="false" ht="15" hidden="false" customHeight="false" outlineLevel="0" collapsed="false">
      <c r="A4431" s="20" t="s">
        <v>1064</v>
      </c>
      <c r="E4431" s="23" t="str">
        <f aca="false">IF(D4431="?OLD","!!!","")</f>
        <v/>
      </c>
      <c r="F4431" s="25" t="str">
        <f aca="false">IF(OR(E4431="",E4431="!!!"),"",IF(NOT(ISNA(VLOOKUP(E4431,E$1:E4430,1,FALSE()))),"OLD",IF(AND(E4431&lt;&gt;"",E4431&lt;&gt;"!!!"),"NEW","")))</f>
        <v/>
      </c>
      <c r="G4431" s="26" t="str">
        <f aca="false">IF(OR(E4431="",E4431="!!!"),"",IF(OR(J4431=0,AND(J4431=1,K4431=1),AND(J4431=1,I4431="SBJ"),AND(J4431=1,I4431=0)),"?IN_FOCUS",IF(J4431&lt;=2,"?ACTIVATED",IF(J4431&lt;&gt;"","?FAMILIAR",IF(F4431="NEW",IF(ISNA(VLOOKUP(E4431,#REF!,1,FALSE())),"?TYPE_IDENTIFIABLE","?REFERENTIAL"),"_")))))</f>
        <v/>
      </c>
      <c r="H4431" s="27" t="str">
        <f aca="false">IF(J4431&lt;&gt;1,"",IF(I4431="SBJ","CB","?"))</f>
        <v/>
      </c>
      <c r="I4431" s="24" t="str">
        <f aca="false">IF(OR(E4431="",E4431="!!!",F4431="NEW"),"",INDEX(B4:B$4428,-1+SUMPRODUCT(MAX(ROW(E4:E$4428)*(E4431=E4:E$4428)))))</f>
        <v/>
      </c>
      <c r="J4431" s="24" t="str">
        <f aca="true">IF(OR(E4431="",E4431="!!!",F4431="NEW"),"",COUNTBLANK(OFFSET(A$1,,,SUMPRODUCT(MAX(ROW(E$2:E4431)*(E4431=E$2:E4431)))))-COUNTBLANK(OFFSET(A$1,,,SUMPRODUCT(MAX(ROW(E$1:E4430)*(E2=E$1:E4430))))))</f>
        <v/>
      </c>
      <c r="K4431" s="24" t="str">
        <f aca="false">IF(OR(E4431="",E4431="!!!",F4431="NEW"),"",INDEX(J$1:J4430,SUMPRODUCT(MAX(ROW(E$1:E4430)*(E4431=E$1:E4430)))))</f>
        <v/>
      </c>
      <c r="L4431" s="31"/>
    </row>
    <row r="4432" customFormat="false" ht="15" hidden="false" customHeight="false" outlineLevel="0" collapsed="false">
      <c r="A4432" s="20" t="s">
        <v>1454</v>
      </c>
      <c r="B4432" s="22" t="s">
        <v>1073</v>
      </c>
      <c r="C4432" s="22" t="s">
        <v>1082</v>
      </c>
      <c r="D4432" s="22" t="s">
        <v>1060</v>
      </c>
      <c r="E4432" s="23" t="str">
        <f aca="false">IF(D4432="?OLD","!!!","")</f>
        <v>!!!</v>
      </c>
      <c r="F4432" s="25" t="str">
        <f aca="false">IF(OR(E4432="",E4432="!!!"),"",IF(NOT(ISNA(VLOOKUP(E4432,E$1:E4431,1,FALSE()))),"OLD",IF(AND(E4432&lt;&gt;"",E4432&lt;&gt;"!!!"),"NEW","")))</f>
        <v/>
      </c>
      <c r="G4432" s="26" t="str">
        <f aca="false">IF(OR(E4432="",E4432="!!!"),"",IF(OR(J4432=0,AND(J4432=1,K4432=1),AND(J4432=1,I4432="SBJ"),AND(J4432=1,I4432=0)),"?IN_FOCUS",IF(J4432&lt;=2,"?ACTIVATED",IF(J4432&lt;&gt;"","?FAMILIAR",IF(F4432="NEW",IF(ISNA(VLOOKUP(E4432,#REF!,1,FALSE())),"?TYPE_IDENTIFIABLE","?REFERENTIAL"),"_")))))</f>
        <v/>
      </c>
      <c r="H4432" s="27" t="str">
        <f aca="false">IF(J4432&lt;&gt;1,"",IF(I4432="SBJ","CB","?"))</f>
        <v/>
      </c>
      <c r="I4432" s="24" t="str">
        <f aca="false">IF(OR(E4432="",E4432="!!!",F4432="NEW"),"",INDEX(B5:B$4428,-1+SUMPRODUCT(MAX(ROW(E5:E$4428)*(E4432=E5:E$4428)))))</f>
        <v/>
      </c>
      <c r="J4432" s="24" t="str">
        <f aca="true">IF(OR(E4432="",E4432="!!!",F4432="NEW"),"",COUNTBLANK(OFFSET(A$1,,,SUMPRODUCT(MAX(ROW(E$2:E4432)*(E4432=E$2:E4432)))))-COUNTBLANK(OFFSET(A$1,,,SUMPRODUCT(MAX(ROW(E$1:E4431)*(E2=E$1:E4431))))))</f>
        <v/>
      </c>
      <c r="K4432" s="24" t="str">
        <f aca="false">IF(OR(E4432="",E4432="!!!",F4432="NEW"),"",INDEX(J$1:J4431,SUMPRODUCT(MAX(ROW(E$1:E4431)*(E4432=E$1:E4431)))))</f>
        <v/>
      </c>
      <c r="L4432" s="31"/>
    </row>
    <row r="4433" customFormat="false" ht="15" hidden="false" customHeight="false" outlineLevel="0" collapsed="false">
      <c r="A4433" s="20" t="s">
        <v>1135</v>
      </c>
      <c r="E4433" s="23" t="str">
        <f aca="false">IF(D4433="?OLD","!!!","")</f>
        <v/>
      </c>
      <c r="F4433" s="25" t="str">
        <f aca="false">IF(OR(E4433="",E4433="!!!"),"",IF(NOT(ISNA(VLOOKUP(E4433,E$1:E4432,1,FALSE()))),"OLD",IF(AND(E4433&lt;&gt;"",E4433&lt;&gt;"!!!"),"NEW","")))</f>
        <v/>
      </c>
      <c r="G4433" s="26" t="str">
        <f aca="false">IF(OR(E4433="",E4433="!!!"),"",IF(OR(J4433=0,AND(J4433=1,K4433=1),AND(J4433=1,I4433="SBJ"),AND(J4433=1,I4433=0)),"?IN_FOCUS",IF(J4433&lt;=2,"?ACTIVATED",IF(J4433&lt;&gt;"","?FAMILIAR",IF(F4433="NEW",IF(ISNA(VLOOKUP(E4433,#REF!,1,FALSE())),"?TYPE_IDENTIFIABLE","?REFERENTIAL"),"_")))))</f>
        <v/>
      </c>
      <c r="H4433" s="27" t="str">
        <f aca="false">IF(J4433&lt;&gt;1,"",IF(I4433="SBJ","CB","?"))</f>
        <v/>
      </c>
      <c r="I4433" s="24" t="str">
        <f aca="false">IF(OR(E4433="",E4433="!!!",F4433="NEW"),"",INDEX(B6:B$4428,-1+SUMPRODUCT(MAX(ROW(E6:E$4428)*(E4433=E6:E$4428)))))</f>
        <v/>
      </c>
      <c r="J4433" s="24" t="str">
        <f aca="true">IF(OR(E4433="",E4433="!!!",F4433="NEW"),"",COUNTBLANK(OFFSET(A$1,,,SUMPRODUCT(MAX(ROW(E$2:E4433)*(E4433=E$2:E4433)))))-COUNTBLANK(OFFSET(A$1,,,SUMPRODUCT(MAX(ROW(E$1:E4432)*(E2=E$1:E4432))))))</f>
        <v/>
      </c>
      <c r="K4433" s="24" t="str">
        <f aca="false">IF(OR(E4433="",E4433="!!!",F4433="NEW"),"",INDEX(J$1:J4432,SUMPRODUCT(MAX(ROW(E$1:E4432)*(E4433=E$1:E4432)))))</f>
        <v/>
      </c>
      <c r="L4433" s="31"/>
    </row>
    <row r="4434" customFormat="false" ht="15" hidden="false" customHeight="false" outlineLevel="0" collapsed="false">
      <c r="A4434" s="20" t="s">
        <v>2378</v>
      </c>
      <c r="E4434" s="23" t="str">
        <f aca="false">IF(D4434="?OLD","!!!","")</f>
        <v/>
      </c>
      <c r="F4434" s="25" t="str">
        <f aca="false">IF(OR(E4434="",E4434="!!!"),"",IF(NOT(ISNA(VLOOKUP(E4434,E$1:E4433,1,FALSE()))),"OLD",IF(AND(E4434&lt;&gt;"",E4434&lt;&gt;"!!!"),"NEW","")))</f>
        <v/>
      </c>
      <c r="G4434" s="26" t="str">
        <f aca="false">IF(OR(E4434="",E4434="!!!"),"",IF(OR(J4434=0,AND(J4434=1,K4434=1),AND(J4434=1,I4434="SBJ"),AND(J4434=1,I4434=0)),"?IN_FOCUS",IF(J4434&lt;=2,"?ACTIVATED",IF(J4434&lt;&gt;"","?FAMILIAR",IF(F4434="NEW",IF(ISNA(VLOOKUP(E4434,#REF!,1,FALSE())),"?TYPE_IDENTIFIABLE","?REFERENTIAL"),"_")))))</f>
        <v/>
      </c>
      <c r="H4434" s="27" t="str">
        <f aca="false">IF(J4434&lt;&gt;1,"",IF(I4434="SBJ","CB","?"))</f>
        <v/>
      </c>
      <c r="I4434" s="24" t="str">
        <f aca="false">IF(OR(E4434="",E4434="!!!",F4434="NEW"),"",INDEX(B7:B$4428,-1+SUMPRODUCT(MAX(ROW(E7:E$4428)*(E4434=E7:E$4428)))))</f>
        <v/>
      </c>
      <c r="J4434" s="24" t="str">
        <f aca="true">IF(OR(E4434="",E4434="!!!",F4434="NEW"),"",COUNTBLANK(OFFSET(A$1,,,SUMPRODUCT(MAX(ROW(E$2:E4434)*(E4434=E$2:E4434)))))-COUNTBLANK(OFFSET(A$1,,,SUMPRODUCT(MAX(ROW(E$1:E4433)*(E2=E$1:E4433))))))</f>
        <v/>
      </c>
      <c r="K4434" s="24" t="str">
        <f aca="false">IF(OR(E4434="",E4434="!!!",F4434="NEW"),"",INDEX(J$1:J4433,SUMPRODUCT(MAX(ROW(E$1:E4433)*(E4434=E$1:E4433)))))</f>
        <v/>
      </c>
      <c r="L4434" s="31"/>
    </row>
    <row r="4435" customFormat="false" ht="15" hidden="false" customHeight="false" outlineLevel="0" collapsed="false">
      <c r="A4435" s="20" t="s">
        <v>1095</v>
      </c>
      <c r="E4435" s="23" t="str">
        <f aca="false">IF(D4435="?OLD","!!!","")</f>
        <v/>
      </c>
      <c r="F4435" s="25" t="str">
        <f aca="false">IF(OR(E4435="",E4435="!!!"),"",IF(NOT(ISNA(VLOOKUP(E4435,E$1:E4434,1,FALSE()))),"OLD",IF(AND(E4435&lt;&gt;"",E4435&lt;&gt;"!!!"),"NEW","")))</f>
        <v/>
      </c>
      <c r="G4435" s="26" t="str">
        <f aca="false">IF(OR(E4435="",E4435="!!!"),"",IF(OR(J4435=0,AND(J4435=1,K4435=1),AND(J4435=1,I4435="SBJ"),AND(J4435=1,I4435=0)),"?IN_FOCUS",IF(J4435&lt;=2,"?ACTIVATED",IF(J4435&lt;&gt;"","?FAMILIAR",IF(F4435="NEW",IF(ISNA(VLOOKUP(E4435,#REF!,1,FALSE())),"?TYPE_IDENTIFIABLE","?REFERENTIAL"),"_")))))</f>
        <v/>
      </c>
      <c r="H4435" s="27" t="str">
        <f aca="false">IF(J4435&lt;&gt;1,"",IF(I4435="SBJ","CB","?"))</f>
        <v/>
      </c>
      <c r="I4435" s="24" t="str">
        <f aca="false">IF(OR(E4435="",E4435="!!!",F4435="NEW"),"",INDEX(B8:B$4428,-1+SUMPRODUCT(MAX(ROW(E8:E$4428)*(E4435=E8:E$4428)))))</f>
        <v/>
      </c>
      <c r="J4435" s="24" t="str">
        <f aca="true">IF(OR(E4435="",E4435="!!!",F4435="NEW"),"",COUNTBLANK(OFFSET(A$1,,,SUMPRODUCT(MAX(ROW(E$2:E4435)*(E4435=E$2:E4435)))))-COUNTBLANK(OFFSET(A$1,,,SUMPRODUCT(MAX(ROW(E$1:E4434)*(E2=E$1:E4434))))))</f>
        <v/>
      </c>
      <c r="K4435" s="24" t="str">
        <f aca="false">IF(OR(E4435="",E4435="!!!",F4435="NEW"),"",INDEX(J$1:J4434,SUMPRODUCT(MAX(ROW(E$1:E4434)*(E4435=E$1:E4434)))))</f>
        <v/>
      </c>
      <c r="L4435" s="31"/>
    </row>
    <row r="4436" customFormat="false" ht="15" hidden="false" customHeight="false" outlineLevel="0" collapsed="false">
      <c r="A4436" s="20" t="s">
        <v>2379</v>
      </c>
      <c r="E4436" s="23" t="str">
        <f aca="false">IF(D4436="?OLD","!!!","")</f>
        <v/>
      </c>
      <c r="F4436" s="25" t="str">
        <f aca="false">IF(OR(E4436="",E4436="!!!"),"",IF(NOT(ISNA(VLOOKUP(E4436,E$1:E4435,1,FALSE()))),"OLD",IF(AND(E4436&lt;&gt;"",E4436&lt;&gt;"!!!"),"NEW","")))</f>
        <v/>
      </c>
      <c r="G4436" s="26" t="str">
        <f aca="false">IF(OR(E4436="",E4436="!!!"),"",IF(OR(J4436=0,AND(J4436=1,K4436=1),AND(J4436=1,I4436="SBJ"),AND(J4436=1,I4436=0)),"?IN_FOCUS",IF(J4436&lt;=2,"?ACTIVATED",IF(J4436&lt;&gt;"","?FAMILIAR",IF(F4436="NEW",IF(ISNA(VLOOKUP(E4436,#REF!,1,FALSE())),"?TYPE_IDENTIFIABLE","?REFERENTIAL"),"_")))))</f>
        <v/>
      </c>
      <c r="H4436" s="27" t="str">
        <f aca="false">IF(J4436&lt;&gt;1,"",IF(I4436="SBJ","CB","?"))</f>
        <v/>
      </c>
      <c r="I4436" s="24" t="str">
        <f aca="false">IF(OR(E4436="",E4436="!!!",F4436="NEW"),"",INDEX(B9:B$4428,-1+SUMPRODUCT(MAX(ROW(E9:E$4428)*(E4436=E9:E$4428)))))</f>
        <v/>
      </c>
      <c r="J4436" s="24" t="str">
        <f aca="true">IF(OR(E4436="",E4436="!!!",F4436="NEW"),"",COUNTBLANK(OFFSET(A$1,,,SUMPRODUCT(MAX(ROW(E$2:E4436)*(E4436=E$2:E4436)))))-COUNTBLANK(OFFSET(A$1,,,SUMPRODUCT(MAX(ROW(E$1:E4435)*(E2=E$1:E4435))))))</f>
        <v/>
      </c>
      <c r="K4436" s="24" t="str">
        <f aca="false">IF(OR(E4436="",E4436="!!!",F4436="NEW"),"",INDEX(J$1:J4435,SUMPRODUCT(MAX(ROW(E$1:E4435)*(E4436=E$1:E4435)))))</f>
        <v/>
      </c>
      <c r="L4436" s="31"/>
    </row>
    <row r="4437" customFormat="false" ht="15" hidden="false" customHeight="false" outlineLevel="0" collapsed="false">
      <c r="A4437" s="20" t="s">
        <v>1901</v>
      </c>
      <c r="E4437" s="23" t="str">
        <f aca="false">IF(D4437="?OLD","!!!","")</f>
        <v/>
      </c>
      <c r="F4437" s="25" t="str">
        <f aca="false">IF(OR(E4437="",E4437="!!!"),"",IF(NOT(ISNA(VLOOKUP(E4437,E$1:E4436,1,FALSE()))),"OLD",IF(AND(E4437&lt;&gt;"",E4437&lt;&gt;"!!!"),"NEW","")))</f>
        <v/>
      </c>
      <c r="G4437" s="26" t="str">
        <f aca="false">IF(OR(E4437="",E4437="!!!"),"",IF(OR(J4437=0,AND(J4437=1,K4437=1),AND(J4437=1,I4437="SBJ"),AND(J4437=1,I4437=0)),"?IN_FOCUS",IF(J4437&lt;=2,"?ACTIVATED",IF(J4437&lt;&gt;"","?FAMILIAR",IF(F4437="NEW",IF(ISNA(VLOOKUP(E4437,#REF!,1,FALSE())),"?TYPE_IDENTIFIABLE","?REFERENTIAL"),"_")))))</f>
        <v/>
      </c>
      <c r="H4437" s="27" t="str">
        <f aca="false">IF(J4437&lt;&gt;1,"",IF(I4437="SBJ","CB","?"))</f>
        <v/>
      </c>
      <c r="I4437" s="24" t="str">
        <f aca="false">IF(OR(E4437="",E4437="!!!",F4437="NEW"),"",INDEX(B10:B$4428,-1+SUMPRODUCT(MAX(ROW(E10:E$4428)*(E4437=E10:E$4428)))))</f>
        <v/>
      </c>
      <c r="J4437" s="24" t="str">
        <f aca="true">IF(OR(E4437="",E4437="!!!",F4437="NEW"),"",COUNTBLANK(OFFSET(A$1,,,SUMPRODUCT(MAX(ROW(E$2:E4437)*(E4437=E$2:E4437)))))-COUNTBLANK(OFFSET(A$1,,,SUMPRODUCT(MAX(ROW(E$1:E4436)*(E2=E$1:E4436))))))</f>
        <v/>
      </c>
      <c r="K4437" s="24" t="str">
        <f aca="false">IF(OR(E4437="",E4437="!!!",F4437="NEW"),"",INDEX(J$1:J4436,SUMPRODUCT(MAX(ROW(E$1:E4436)*(E4437=E$1:E4436)))))</f>
        <v/>
      </c>
      <c r="L4437" s="31"/>
    </row>
    <row r="4438" customFormat="false" ht="15" hidden="false" customHeight="false" outlineLevel="0" collapsed="false">
      <c r="A4438" s="20" t="s">
        <v>1352</v>
      </c>
      <c r="E4438" s="23" t="str">
        <f aca="false">IF(D4438="?OLD","!!!","")</f>
        <v/>
      </c>
      <c r="F4438" s="25" t="str">
        <f aca="false">IF(OR(E4438="",E4438="!!!"),"",IF(NOT(ISNA(VLOOKUP(E4438,E$1:E4437,1,FALSE()))),"OLD",IF(AND(E4438&lt;&gt;"",E4438&lt;&gt;"!!!"),"NEW","")))</f>
        <v/>
      </c>
      <c r="G4438" s="26" t="str">
        <f aca="false">IF(OR(E4438="",E4438="!!!"),"",IF(OR(J4438=0,AND(J4438=1,K4438=1),AND(J4438=1,I4438="SBJ"),AND(J4438=1,I4438=0)),"?IN_FOCUS",IF(J4438&lt;=2,"?ACTIVATED",IF(J4438&lt;&gt;"","?FAMILIAR",IF(F4438="NEW",IF(ISNA(VLOOKUP(E4438,#REF!,1,FALSE())),"?TYPE_IDENTIFIABLE","?REFERENTIAL"),"_")))))</f>
        <v/>
      </c>
      <c r="H4438" s="27" t="str">
        <f aca="false">IF(J4438&lt;&gt;1,"",IF(I4438="SBJ","CB","?"))</f>
        <v/>
      </c>
      <c r="I4438" s="24" t="str">
        <f aca="false">IF(OR(E4438="",E4438="!!!",F4438="NEW"),"",INDEX(B11:B$4428,-1+SUMPRODUCT(MAX(ROW(E11:E$4428)*(E4438=E11:E$4428)))))</f>
        <v/>
      </c>
      <c r="J4438" s="24" t="str">
        <f aca="true">IF(OR(E4438="",E4438="!!!",F4438="NEW"),"",COUNTBLANK(OFFSET(A$1,,,SUMPRODUCT(MAX(ROW(E$2:E4438)*(E4438=E$2:E4438)))))-COUNTBLANK(OFFSET(A$1,,,SUMPRODUCT(MAX(ROW(E$1:E4437)*(E2=E$1:E4437))))))</f>
        <v/>
      </c>
      <c r="K4438" s="24" t="str">
        <f aca="false">IF(OR(E4438="",E4438="!!!",F4438="NEW"),"",INDEX(J$1:J4437,SUMPRODUCT(MAX(ROW(E$1:E4437)*(E4438=E$1:E4437)))))</f>
        <v/>
      </c>
      <c r="L4438" s="31"/>
    </row>
    <row r="4439" customFormat="false" ht="15" hidden="false" customHeight="false" outlineLevel="0" collapsed="false">
      <c r="A4439" s="20" t="s">
        <v>1109</v>
      </c>
      <c r="E4439" s="23" t="str">
        <f aca="false">IF(D4439="?OLD","!!!","")</f>
        <v/>
      </c>
      <c r="F4439" s="25" t="str">
        <f aca="false">IF(OR(E4439="",E4439="!!!"),"",IF(NOT(ISNA(VLOOKUP(E4439,E$1:E4438,1,FALSE()))),"OLD",IF(AND(E4439&lt;&gt;"",E4439&lt;&gt;"!!!"),"NEW","")))</f>
        <v/>
      </c>
      <c r="G4439" s="26" t="str">
        <f aca="false">IF(OR(E4439="",E4439="!!!"),"",IF(OR(J4439=0,AND(J4439=1,K4439=1),AND(J4439=1,I4439="SBJ"),AND(J4439=1,I4439=0)),"?IN_FOCUS",IF(J4439&lt;=2,"?ACTIVATED",IF(J4439&lt;&gt;"","?FAMILIAR",IF(F4439="NEW",IF(ISNA(VLOOKUP(E4439,#REF!,1,FALSE())),"?TYPE_IDENTIFIABLE","?REFERENTIAL"),"_")))))</f>
        <v/>
      </c>
      <c r="H4439" s="27" t="str">
        <f aca="false">IF(J4439&lt;&gt;1,"",IF(I4439="SBJ","CB","?"))</f>
        <v/>
      </c>
      <c r="I4439" s="24" t="str">
        <f aca="false">IF(OR(E4439="",E4439="!!!",F4439="NEW"),"",INDEX(B12:B$4428,-1+SUMPRODUCT(MAX(ROW(E12:E$4428)*(E4439=E12:E$4428)))))</f>
        <v/>
      </c>
      <c r="J4439" s="24" t="str">
        <f aca="true">IF(OR(E4439="",E4439="!!!",F4439="NEW"),"",COUNTBLANK(OFFSET(A$1,,,SUMPRODUCT(MAX(ROW(E$2:E4439)*(E4439=E$2:E4439)))))-COUNTBLANK(OFFSET(A$1,,,SUMPRODUCT(MAX(ROW(E$1:E4438)*(E2=E$1:E4438))))))</f>
        <v/>
      </c>
      <c r="K4439" s="24" t="str">
        <f aca="false">IF(OR(E4439="",E4439="!!!",F4439="NEW"),"",INDEX(J$1:J4438,SUMPRODUCT(MAX(ROW(E$1:E4438)*(E4439=E$1:E4438)))))</f>
        <v/>
      </c>
      <c r="L4439" s="31"/>
    </row>
    <row r="4440" customFormat="false" ht="15" hidden="false" customHeight="false" outlineLevel="0" collapsed="false">
      <c r="A4440" s="20" t="s">
        <v>2380</v>
      </c>
      <c r="B4440" s="22" t="s">
        <v>1073</v>
      </c>
      <c r="C4440" s="22" t="s">
        <v>1150</v>
      </c>
      <c r="D4440" s="22" t="s">
        <v>1060</v>
      </c>
      <c r="E4440" s="23" t="str">
        <f aca="false">IF(D4440="?OLD","!!!","")</f>
        <v>!!!</v>
      </c>
      <c r="F4440" s="25" t="str">
        <f aca="false">IF(OR(E4440="",E4440="!!!"),"",IF(NOT(ISNA(VLOOKUP(E4440,E$1:E4439,1,FALSE()))),"OLD",IF(AND(E4440&lt;&gt;"",E4440&lt;&gt;"!!!"),"NEW","")))</f>
        <v/>
      </c>
      <c r="G4440" s="26" t="str">
        <f aca="false">IF(OR(E4440="",E4440="!!!"),"",IF(OR(J4440=0,AND(J4440=1,K4440=1),AND(J4440=1,I4440="SBJ"),AND(J4440=1,I4440=0)),"?IN_FOCUS",IF(J4440&lt;=2,"?ACTIVATED",IF(J4440&lt;&gt;"","?FAMILIAR",IF(F4440="NEW",IF(ISNA(VLOOKUP(E4440,#REF!,1,FALSE())),"?TYPE_IDENTIFIABLE","?REFERENTIAL"),"_")))))</f>
        <v/>
      </c>
      <c r="H4440" s="27" t="str">
        <f aca="false">IF(J4440&lt;&gt;1,"",IF(I4440="SBJ","CB","?"))</f>
        <v/>
      </c>
      <c r="I4440" s="24" t="str">
        <f aca="false">IF(OR(E4440="",E4440="!!!",F4440="NEW"),"",INDEX(B13:B$4428,-1+SUMPRODUCT(MAX(ROW(E13:E$4428)*(E4440=E13:E$4428)))))</f>
        <v/>
      </c>
      <c r="J4440" s="24" t="str">
        <f aca="true">IF(OR(E4440="",E4440="!!!",F4440="NEW"),"",COUNTBLANK(OFFSET(A$1,,,SUMPRODUCT(MAX(ROW(E$2:E4440)*(E4440=E$2:E4440)))))-COUNTBLANK(OFFSET(A$1,,,SUMPRODUCT(MAX(ROW(E$1:E4439)*(E2=E$1:E4439))))))</f>
        <v/>
      </c>
      <c r="K4440" s="24" t="str">
        <f aca="false">IF(OR(E4440="",E4440="!!!",F4440="NEW"),"",INDEX(J$1:J4439,SUMPRODUCT(MAX(ROW(E$1:E4439)*(E4440=E$1:E4439)))))</f>
        <v/>
      </c>
      <c r="L4440" s="31"/>
    </row>
    <row r="4441" customFormat="false" ht="15" hidden="false" customHeight="false" outlineLevel="0" collapsed="false">
      <c r="A4441" s="20" t="s">
        <v>1641</v>
      </c>
      <c r="E4441" s="23" t="str">
        <f aca="false">IF(D4441="?OLD","!!!","")</f>
        <v/>
      </c>
      <c r="F4441" s="25" t="str">
        <f aca="false">IF(OR(E4441="",E4441="!!!"),"",IF(NOT(ISNA(VLOOKUP(E4441,E$1:E4440,1,FALSE()))),"OLD",IF(AND(E4441&lt;&gt;"",E4441&lt;&gt;"!!!"),"NEW","")))</f>
        <v/>
      </c>
      <c r="G4441" s="26" t="str">
        <f aca="false">IF(OR(E4441="",E4441="!!!"),"",IF(OR(J4441=0,AND(J4441=1,K4441=1),AND(J4441=1,I4441="SBJ"),AND(J4441=1,I4441=0)),"?IN_FOCUS",IF(J4441&lt;=2,"?ACTIVATED",IF(J4441&lt;&gt;"","?FAMILIAR",IF(F4441="NEW",IF(ISNA(VLOOKUP(E4441,#REF!,1,FALSE())),"?TYPE_IDENTIFIABLE","?REFERENTIAL"),"_")))))</f>
        <v/>
      </c>
      <c r="H4441" s="27" t="str">
        <f aca="false">IF(J4441&lt;&gt;1,"",IF(I4441="SBJ","CB","?"))</f>
        <v/>
      </c>
      <c r="I4441" s="24" t="str">
        <f aca="false">IF(OR(E4441="",E4441="!!!",F4441="NEW"),"",INDEX(B14:B$4428,-1+SUMPRODUCT(MAX(ROW(E14:E$4428)*(E4441=E14:E$4428)))))</f>
        <v/>
      </c>
      <c r="J4441" s="24" t="str">
        <f aca="true">IF(OR(E4441="",E4441="!!!",F4441="NEW"),"",COUNTBLANK(OFFSET(A$1,,,SUMPRODUCT(MAX(ROW(E$2:E4441)*(E4441=E$2:E4441)))))-COUNTBLANK(OFFSET(A$1,,,SUMPRODUCT(MAX(ROW(E$1:E4440)*(E2=E$1:E4440))))))</f>
        <v/>
      </c>
      <c r="K4441" s="24" t="str">
        <f aca="false">IF(OR(E4441="",E4441="!!!",F4441="NEW"),"",INDEX(J$1:J4440,SUMPRODUCT(MAX(ROW(E$1:E4440)*(E4441=E$1:E4440)))))</f>
        <v/>
      </c>
      <c r="L4441" s="31"/>
    </row>
    <row r="4442" customFormat="false" ht="15" hidden="false" customHeight="false" outlineLevel="0" collapsed="false">
      <c r="A4442" s="20" t="s">
        <v>499</v>
      </c>
      <c r="B4442" s="22" t="s">
        <v>1067</v>
      </c>
      <c r="C4442" s="22" t="s">
        <v>1068</v>
      </c>
      <c r="D4442" s="22" t="s">
        <v>1060</v>
      </c>
      <c r="E4442" s="23" t="str">
        <f aca="false">IF(D4442="?OLD","!!!","")</f>
        <v>!!!</v>
      </c>
      <c r="F4442" s="25" t="str">
        <f aca="false">IF(OR(E4442="",E4442="!!!"),"",IF(NOT(ISNA(VLOOKUP(E4442,E$1:E4441,1,FALSE()))),"OLD",IF(AND(E4442&lt;&gt;"",E4442&lt;&gt;"!!!"),"NEW","")))</f>
        <v/>
      </c>
      <c r="G4442" s="26" t="str">
        <f aca="false">IF(OR(E4442="",E4442="!!!"),"",IF(OR(J4442=0,AND(J4442=1,K4442=1),AND(J4442=1,I4442="SBJ"),AND(J4442=1,I4442=0)),"?IN_FOCUS",IF(J4442&lt;=2,"?ACTIVATED",IF(J4442&lt;&gt;"","?FAMILIAR",IF(F4442="NEW",IF(ISNA(VLOOKUP(E4442,#REF!,1,FALSE())),"?TYPE_IDENTIFIABLE","?REFERENTIAL"),"_")))))</f>
        <v/>
      </c>
      <c r="H4442" s="27" t="str">
        <f aca="false">IF(J4442&lt;&gt;1,"",IF(I4442="SBJ","CB","?"))</f>
        <v/>
      </c>
      <c r="I4442" s="24" t="str">
        <f aca="false">IF(OR(E4442="",E4442="!!!",F4442="NEW"),"",INDEX(B15:B$4428,-1+SUMPRODUCT(MAX(ROW(E15:E$4428)*(E4442=E15:E$4428)))))</f>
        <v/>
      </c>
      <c r="J4442" s="24" t="str">
        <f aca="true">IF(OR(E4442="",E4442="!!!",F4442="NEW"),"",COUNTBLANK(OFFSET(A$1,,,SUMPRODUCT(MAX(ROW(E$2:E4442)*(E4442=E$2:E4442)))))-COUNTBLANK(OFFSET(A$1,,,SUMPRODUCT(MAX(ROW(E$1:E4441)*(E2=E$1:E4441))))))</f>
        <v/>
      </c>
      <c r="K4442" s="24" t="str">
        <f aca="false">IF(OR(E4442="",E4442="!!!",F4442="NEW"),"",INDEX(J$1:J4441,SUMPRODUCT(MAX(ROW(E$1:E4441)*(E4442=E$1:E4441)))))</f>
        <v/>
      </c>
      <c r="L4442" s="31"/>
    </row>
    <row r="4443" customFormat="false" ht="15" hidden="false" customHeight="false" outlineLevel="0" collapsed="false">
      <c r="A4443" s="20" t="s">
        <v>1481</v>
      </c>
      <c r="E4443" s="23" t="str">
        <f aca="false">IF(D4443="?OLD","!!!","")</f>
        <v/>
      </c>
      <c r="F4443" s="25" t="str">
        <f aca="false">IF(OR(E4443="",E4443="!!!"),"",IF(NOT(ISNA(VLOOKUP(E4443,E$1:E4442,1,FALSE()))),"OLD",IF(AND(E4443&lt;&gt;"",E4443&lt;&gt;"!!!"),"NEW","")))</f>
        <v/>
      </c>
      <c r="G4443" s="26" t="str">
        <f aca="false">IF(OR(E4443="",E4443="!!!"),"",IF(OR(J4443=0,AND(J4443=1,K4443=1),AND(J4443=1,I4443="SBJ"),AND(J4443=1,I4443=0)),"?IN_FOCUS",IF(J4443&lt;=2,"?ACTIVATED",IF(J4443&lt;&gt;"","?FAMILIAR",IF(F4443="NEW",IF(ISNA(VLOOKUP(E4443,#REF!,1,FALSE())),"?TYPE_IDENTIFIABLE","?REFERENTIAL"),"_")))))</f>
        <v/>
      </c>
      <c r="H4443" s="27" t="str">
        <f aca="false">IF(J4443&lt;&gt;1,"",IF(I4443="SBJ","CB","?"))</f>
        <v/>
      </c>
      <c r="I4443" s="24" t="str">
        <f aca="false">IF(OR(E4443="",E4443="!!!",F4443="NEW"),"",INDEX(B16:B$4428,-1+SUMPRODUCT(MAX(ROW(E16:E$4428)*(E4443=E16:E$4428)))))</f>
        <v/>
      </c>
      <c r="J4443" s="24" t="str">
        <f aca="true">IF(OR(E4443="",E4443="!!!",F4443="NEW"),"",COUNTBLANK(OFFSET(A$1,,,SUMPRODUCT(MAX(ROW(E$2:E4443)*(E4443=E$2:E4443)))))-COUNTBLANK(OFFSET(A$1,,,SUMPRODUCT(MAX(ROW(E$1:E4442)*(E2=E$1:E4442))))))</f>
        <v/>
      </c>
      <c r="K4443" s="24" t="str">
        <f aca="false">IF(OR(E4443="",E4443="!!!",F4443="NEW"),"",INDEX(J$1:J4442,SUMPRODUCT(MAX(ROW(E$1:E4442)*(E4443=E$1:E4442)))))</f>
        <v/>
      </c>
      <c r="L4443" s="31"/>
    </row>
    <row r="4444" customFormat="false" ht="15" hidden="false" customHeight="false" outlineLevel="0" collapsed="false">
      <c r="A4444" s="20" t="s">
        <v>1164</v>
      </c>
      <c r="E4444" s="23" t="str">
        <f aca="false">IF(D4444="?OLD","!!!","")</f>
        <v/>
      </c>
      <c r="F4444" s="25" t="str">
        <f aca="false">IF(OR(E4444="",E4444="!!!"),"",IF(NOT(ISNA(VLOOKUP(E4444,E$1:E4443,1,FALSE()))),"OLD",IF(AND(E4444&lt;&gt;"",E4444&lt;&gt;"!!!"),"NEW","")))</f>
        <v/>
      </c>
      <c r="G4444" s="26" t="str">
        <f aca="false">IF(OR(E4444="",E4444="!!!"),"",IF(OR(J4444=0,AND(J4444=1,K4444=1),AND(J4444=1,I4444="SBJ"),AND(J4444=1,I4444=0)),"?IN_FOCUS",IF(J4444&lt;=2,"?ACTIVATED",IF(J4444&lt;&gt;"","?FAMILIAR",IF(F4444="NEW",IF(ISNA(VLOOKUP(E4444,#REF!,1,FALSE())),"?TYPE_IDENTIFIABLE","?REFERENTIAL"),"_")))))</f>
        <v/>
      </c>
      <c r="H4444" s="27" t="str">
        <f aca="false">IF(J4444&lt;&gt;1,"",IF(I4444="SBJ","CB","?"))</f>
        <v/>
      </c>
      <c r="I4444" s="24" t="str">
        <f aca="false">IF(OR(E4444="",E4444="!!!",F4444="NEW"),"",INDEX(B17:B$4428,-1+SUMPRODUCT(MAX(ROW(E17:E$4428)*(E4444=E17:E$4428)))))</f>
        <v/>
      </c>
      <c r="J4444" s="24" t="str">
        <f aca="true">IF(OR(E4444="",E4444="!!!",F4444="NEW"),"",COUNTBLANK(OFFSET(A$1,,,SUMPRODUCT(MAX(ROW(E$2:E4444)*(E4444=E$2:E4444)))))-COUNTBLANK(OFFSET(A$1,,,SUMPRODUCT(MAX(ROW(E$1:E4443)*(E2=E$1:E4443))))))</f>
        <v/>
      </c>
      <c r="K4444" s="24" t="str">
        <f aca="false">IF(OR(E4444="",E4444="!!!",F4444="NEW"),"",INDEX(J$1:J4443,SUMPRODUCT(MAX(ROW(E$1:E4443)*(E4444=E$1:E4443)))))</f>
        <v/>
      </c>
      <c r="L4444" s="31"/>
    </row>
    <row r="4445" customFormat="false" ht="15" hidden="false" customHeight="false" outlineLevel="0" collapsed="false">
      <c r="A4445" s="20" t="s">
        <v>2381</v>
      </c>
      <c r="E4445" s="23" t="str">
        <f aca="false">IF(D4445="?OLD","!!!","")</f>
        <v/>
      </c>
      <c r="F4445" s="25" t="str">
        <f aca="false">IF(OR(E4445="",E4445="!!!"),"",IF(NOT(ISNA(VLOOKUP(E4445,E$1:E4444,1,FALSE()))),"OLD",IF(AND(E4445&lt;&gt;"",E4445&lt;&gt;"!!!"),"NEW","")))</f>
        <v/>
      </c>
      <c r="G4445" s="26" t="str">
        <f aca="false">IF(OR(E4445="",E4445="!!!"),"",IF(OR(J4445=0,AND(J4445=1,K4445=1),AND(J4445=1,I4445="SBJ"),AND(J4445=1,I4445=0)),"?IN_FOCUS",IF(J4445&lt;=2,"?ACTIVATED",IF(J4445&lt;&gt;"","?FAMILIAR",IF(F4445="NEW",IF(ISNA(VLOOKUP(E4445,#REF!,1,FALSE())),"?TYPE_IDENTIFIABLE","?REFERENTIAL"),"_")))))</f>
        <v/>
      </c>
      <c r="H4445" s="27" t="str">
        <f aca="false">IF(J4445&lt;&gt;1,"",IF(I4445="SBJ","CB","?"))</f>
        <v/>
      </c>
      <c r="I4445" s="24" t="str">
        <f aca="false">IF(OR(E4445="",E4445="!!!",F4445="NEW"),"",INDEX(B18:B$4428,-1+SUMPRODUCT(MAX(ROW(E18:E$4428)*(E4445=E18:E$4428)))))</f>
        <v/>
      </c>
      <c r="J4445" s="24" t="str">
        <f aca="true">IF(OR(E4445="",E4445="!!!",F4445="NEW"),"",COUNTBLANK(OFFSET(A$1,,,SUMPRODUCT(MAX(ROW(E$2:E4445)*(E4445=E$2:E4445)))))-COUNTBLANK(OFFSET(A$1,,,SUMPRODUCT(MAX(ROW(E$1:E4444)*(E2=E$1:E4444))))))</f>
        <v/>
      </c>
      <c r="K4445" s="24" t="str">
        <f aca="false">IF(OR(E4445="",E4445="!!!",F4445="NEW"),"",INDEX(J$1:J4444,SUMPRODUCT(MAX(ROW(E$1:E4444)*(E4445=E$1:E4444)))))</f>
        <v/>
      </c>
      <c r="L4445" s="31"/>
    </row>
    <row r="4446" customFormat="false" ht="15" hidden="false" customHeight="false" outlineLevel="0" collapsed="false">
      <c r="A4446" s="20" t="s">
        <v>1233</v>
      </c>
      <c r="E4446" s="23" t="str">
        <f aca="false">IF(D4446="?OLD","!!!","")</f>
        <v/>
      </c>
      <c r="F4446" s="25" t="str">
        <f aca="false">IF(OR(E4446="",E4446="!!!"),"",IF(NOT(ISNA(VLOOKUP(E4446,E$1:E4445,1,FALSE()))),"OLD",IF(AND(E4446&lt;&gt;"",E4446&lt;&gt;"!!!"),"NEW","")))</f>
        <v/>
      </c>
      <c r="G4446" s="26" t="str">
        <f aca="false">IF(OR(E4446="",E4446="!!!"),"",IF(OR(J4446=0,AND(J4446=1,K4446=1),AND(J4446=1,I4446="SBJ"),AND(J4446=1,I4446=0)),"?IN_FOCUS",IF(J4446&lt;=2,"?ACTIVATED",IF(J4446&lt;&gt;"","?FAMILIAR",IF(F4446="NEW",IF(ISNA(VLOOKUP(E4446,#REF!,1,FALSE())),"?TYPE_IDENTIFIABLE","?REFERENTIAL"),"_")))))</f>
        <v/>
      </c>
      <c r="H4446" s="27" t="str">
        <f aca="false">IF(J4446&lt;&gt;1,"",IF(I4446="SBJ","CB","?"))</f>
        <v/>
      </c>
      <c r="I4446" s="24" t="str">
        <f aca="false">IF(OR(E4446="",E4446="!!!",F4446="NEW"),"",INDEX(B19:B$4428,-1+SUMPRODUCT(MAX(ROW(E19:E$4428)*(E4446=E19:E$4428)))))</f>
        <v/>
      </c>
      <c r="J4446" s="24" t="str">
        <f aca="true">IF(OR(E4446="",E4446="!!!",F4446="NEW"),"",COUNTBLANK(OFFSET(A$1,,,SUMPRODUCT(MAX(ROW(E$2:E4446)*(E4446=E$2:E4446)))))-COUNTBLANK(OFFSET(A$1,,,SUMPRODUCT(MAX(ROW(E$1:E4445)*(E2=E$1:E4445))))))</f>
        <v/>
      </c>
      <c r="K4446" s="24" t="str">
        <f aca="false">IF(OR(E4446="",E4446="!!!",F4446="NEW"),"",INDEX(J$1:J4445,SUMPRODUCT(MAX(ROW(E$1:E4445)*(E4446=E$1:E4445)))))</f>
        <v/>
      </c>
      <c r="L4446" s="31"/>
    </row>
    <row r="4447" customFormat="false" ht="15" hidden="false" customHeight="false" outlineLevel="0" collapsed="false">
      <c r="A4447" s="20" t="s">
        <v>967</v>
      </c>
      <c r="E4447" s="23" t="str">
        <f aca="false">IF(D4447="?OLD","!!!","")</f>
        <v/>
      </c>
      <c r="F4447" s="25" t="str">
        <f aca="false">IF(OR(E4447="",E4447="!!!"),"",IF(NOT(ISNA(VLOOKUP(E4447,E$1:E4446,1,FALSE()))),"OLD",IF(AND(E4447&lt;&gt;"",E4447&lt;&gt;"!!!"),"NEW","")))</f>
        <v/>
      </c>
      <c r="G4447" s="26" t="str">
        <f aca="false">IF(OR(E4447="",E4447="!!!"),"",IF(OR(J4447=0,AND(J4447=1,K4447=1),AND(J4447=1,I4447="SBJ"),AND(J4447=1,I4447=0)),"?IN_FOCUS",IF(J4447&lt;=2,"?ACTIVATED",IF(J4447&lt;&gt;"","?FAMILIAR",IF(F4447="NEW",IF(ISNA(VLOOKUP(E4447,#REF!,1,FALSE())),"?TYPE_IDENTIFIABLE","?REFERENTIAL"),"_")))))</f>
        <v/>
      </c>
      <c r="H4447" s="27" t="str">
        <f aca="false">IF(J4447&lt;&gt;1,"",IF(I4447="SBJ","CB","?"))</f>
        <v/>
      </c>
      <c r="I4447" s="24" t="str">
        <f aca="false">IF(OR(E4447="",E4447="!!!",F4447="NEW"),"",INDEX(B20:B$4428,-1+SUMPRODUCT(MAX(ROW(E20:E$4428)*(E4447=E20:E$4428)))))</f>
        <v/>
      </c>
      <c r="J4447" s="24" t="str">
        <f aca="true">IF(OR(E4447="",E4447="!!!",F4447="NEW"),"",COUNTBLANK(OFFSET(A$1,,,SUMPRODUCT(MAX(ROW(E$2:E4447)*(E4447=E$2:E4447)))))-COUNTBLANK(OFFSET(A$1,,,SUMPRODUCT(MAX(ROW(E$1:E4446)*(E2=E$1:E4446))))))</f>
        <v/>
      </c>
      <c r="K4447" s="24" t="str">
        <f aca="false">IF(OR(E4447="",E4447="!!!",F4447="NEW"),"",INDEX(J$1:J4446,SUMPRODUCT(MAX(ROW(E$1:E4446)*(E4447=E$1:E4446)))))</f>
        <v/>
      </c>
      <c r="L4447" s="31"/>
    </row>
    <row r="4448" customFormat="false" ht="15" hidden="false" customHeight="false" outlineLevel="0" collapsed="false">
      <c r="A4448" s="20" t="s">
        <v>1109</v>
      </c>
      <c r="E4448" s="23" t="str">
        <f aca="false">IF(D4448="?OLD","!!!","")</f>
        <v/>
      </c>
      <c r="F4448" s="25" t="str">
        <f aca="false">IF(OR(E4448="",E4448="!!!"),"",IF(NOT(ISNA(VLOOKUP(E4448,E$1:E4447,1,FALSE()))),"OLD",IF(AND(E4448&lt;&gt;"",E4448&lt;&gt;"!!!"),"NEW","")))</f>
        <v/>
      </c>
      <c r="G4448" s="26" t="str">
        <f aca="false">IF(OR(E4448="",E4448="!!!"),"",IF(OR(J4448=0,AND(J4448=1,K4448=1),AND(J4448=1,I4448="SBJ"),AND(J4448=1,I4448=0)),"?IN_FOCUS",IF(J4448&lt;=2,"?ACTIVATED",IF(J4448&lt;&gt;"","?FAMILIAR",IF(F4448="NEW",IF(ISNA(VLOOKUP(E4448,#REF!,1,FALSE())),"?TYPE_IDENTIFIABLE","?REFERENTIAL"),"_")))))</f>
        <v/>
      </c>
      <c r="H4448" s="27" t="str">
        <f aca="false">IF(J4448&lt;&gt;1,"",IF(I4448="SBJ","CB","?"))</f>
        <v/>
      </c>
      <c r="I4448" s="24" t="str">
        <f aca="false">IF(OR(E4448="",E4448="!!!",F4448="NEW"),"",INDEX(B21:B$4428,-1+SUMPRODUCT(MAX(ROW(E21:E$4428)*(E4448=E21:E$4428)))))</f>
        <v/>
      </c>
      <c r="J4448" s="24" t="str">
        <f aca="true">IF(OR(E4448="",E4448="!!!",F4448="NEW"),"",COUNTBLANK(OFFSET(A$1,,,SUMPRODUCT(MAX(ROW(E$2:E4448)*(E4448=E$2:E4448)))))-COUNTBLANK(OFFSET(A$1,,,SUMPRODUCT(MAX(ROW(E$1:E4447)*(E2=E$1:E4447))))))</f>
        <v/>
      </c>
      <c r="K4448" s="24" t="str">
        <f aca="false">IF(OR(E4448="",E4448="!!!",F4448="NEW"),"",INDEX(J$1:J4447,SUMPRODUCT(MAX(ROW(E$1:E4447)*(E4448=E$1:E4447)))))</f>
        <v/>
      </c>
      <c r="L4448" s="31"/>
    </row>
    <row r="4449" customFormat="false" ht="15" hidden="false" customHeight="false" outlineLevel="0" collapsed="false">
      <c r="A4449" s="20" t="s">
        <v>2382</v>
      </c>
      <c r="E4449" s="23" t="str">
        <f aca="false">IF(D4449="?OLD","!!!","")</f>
        <v/>
      </c>
      <c r="F4449" s="25" t="str">
        <f aca="false">IF(OR(E4449="",E4449="!!!"),"",IF(NOT(ISNA(VLOOKUP(E4449,E$1:E4448,1,FALSE()))),"OLD",IF(AND(E4449&lt;&gt;"",E4449&lt;&gt;"!!!"),"NEW","")))</f>
        <v/>
      </c>
      <c r="G4449" s="26" t="str">
        <f aca="false">IF(OR(E4449="",E4449="!!!"),"",IF(OR(J4449=0,AND(J4449=1,K4449=1),AND(J4449=1,I4449="SBJ"),AND(J4449=1,I4449=0)),"?IN_FOCUS",IF(J4449&lt;=2,"?ACTIVATED",IF(J4449&lt;&gt;"","?FAMILIAR",IF(F4449="NEW",IF(ISNA(VLOOKUP(E4449,#REF!,1,FALSE())),"?TYPE_IDENTIFIABLE","?REFERENTIAL"),"_")))))</f>
        <v/>
      </c>
      <c r="H4449" s="27" t="str">
        <f aca="false">IF(J4449&lt;&gt;1,"",IF(I4449="SBJ","CB","?"))</f>
        <v/>
      </c>
      <c r="I4449" s="24" t="str">
        <f aca="false">IF(OR(E4449="",E4449="!!!",F4449="NEW"),"",INDEX(B22:B$4428,-1+SUMPRODUCT(MAX(ROW(E22:E$4428)*(E4449=E22:E$4428)))))</f>
        <v/>
      </c>
      <c r="J4449" s="24" t="str">
        <f aca="true">IF(OR(E4449="",E4449="!!!",F4449="NEW"),"",COUNTBLANK(OFFSET(A$1,,,SUMPRODUCT(MAX(ROW(E$2:E4449)*(E4449=E$2:E4449)))))-COUNTBLANK(OFFSET(A$1,,,SUMPRODUCT(MAX(ROW(E$1:E4448)*(E2=E$1:E4448))))))</f>
        <v/>
      </c>
      <c r="K4449" s="24" t="str">
        <f aca="false">IF(OR(E4449="",E4449="!!!",F4449="NEW"),"",INDEX(J$1:J4448,SUMPRODUCT(MAX(ROW(E$1:E4448)*(E4449=E$1:E4448)))))</f>
        <v/>
      </c>
      <c r="L4449" s="31"/>
    </row>
    <row r="4450" customFormat="false" ht="15" hidden="false" customHeight="false" outlineLevel="0" collapsed="false">
      <c r="A4450" s="20" t="s">
        <v>1076</v>
      </c>
      <c r="E4450" s="23" t="str">
        <f aca="false">IF(D4450="?OLD","!!!","")</f>
        <v/>
      </c>
      <c r="F4450" s="25" t="str">
        <f aca="false">IF(OR(E4450="",E4450="!!!"),"",IF(NOT(ISNA(VLOOKUP(E4450,E$1:E4449,1,FALSE()))),"OLD",IF(AND(E4450&lt;&gt;"",E4450&lt;&gt;"!!!"),"NEW","")))</f>
        <v/>
      </c>
      <c r="G4450" s="26" t="str">
        <f aca="false">IF(OR(E4450="",E4450="!!!"),"",IF(OR(J4450=0,AND(J4450=1,K4450=1),AND(J4450=1,I4450="SBJ"),AND(J4450=1,I4450=0)),"?IN_FOCUS",IF(J4450&lt;=2,"?ACTIVATED",IF(J4450&lt;&gt;"","?FAMILIAR",IF(F4450="NEW",IF(ISNA(VLOOKUP(E4450,#REF!,1,FALSE())),"?TYPE_IDENTIFIABLE","?REFERENTIAL"),"_")))))</f>
        <v/>
      </c>
      <c r="H4450" s="27" t="str">
        <f aca="false">IF(J4450&lt;&gt;1,"",IF(I4450="SBJ","CB","?"))</f>
        <v/>
      </c>
      <c r="I4450" s="24" t="str">
        <f aca="false">IF(OR(E4450="",E4450="!!!",F4450="NEW"),"",INDEX(B23:B$4428,-1+SUMPRODUCT(MAX(ROW(E23:E$4428)*(E4450=E23:E$4428)))))</f>
        <v/>
      </c>
      <c r="J4450" s="24" t="str">
        <f aca="true">IF(OR(E4450="",E4450="!!!",F4450="NEW"),"",COUNTBLANK(OFFSET(A$1,,,SUMPRODUCT(MAX(ROW(E$2:E4450)*(E4450=E$2:E4450)))))-COUNTBLANK(OFFSET(A$1,,,SUMPRODUCT(MAX(ROW(E$1:E4449)*(E2=E$1:E4449))))))</f>
        <v/>
      </c>
      <c r="K4450" s="24" t="str">
        <f aca="false">IF(OR(E4450="",E4450="!!!",F4450="NEW"),"",INDEX(J$1:J4449,SUMPRODUCT(MAX(ROW(E$1:E4449)*(E4450=E$1:E4449)))))</f>
        <v/>
      </c>
      <c r="L4450" s="31"/>
    </row>
    <row r="4451" customFormat="false" ht="15" hidden="false" customHeight="false" outlineLevel="0" collapsed="false">
      <c r="A4451" s="20" t="s">
        <v>2383</v>
      </c>
      <c r="E4451" s="23" t="str">
        <f aca="false">IF(D4451="?OLD","!!!","")</f>
        <v/>
      </c>
      <c r="F4451" s="25" t="str">
        <f aca="false">IF(OR(E4451="",E4451="!!!"),"",IF(NOT(ISNA(VLOOKUP(E4451,E$1:E4450,1,FALSE()))),"OLD",IF(AND(E4451&lt;&gt;"",E4451&lt;&gt;"!!!"),"NEW","")))</f>
        <v/>
      </c>
      <c r="G4451" s="26" t="str">
        <f aca="false">IF(OR(E4451="",E4451="!!!"),"",IF(OR(J4451=0,AND(J4451=1,K4451=1),AND(J4451=1,I4451="SBJ"),AND(J4451=1,I4451=0)),"?IN_FOCUS",IF(J4451&lt;=2,"?ACTIVATED",IF(J4451&lt;&gt;"","?FAMILIAR",IF(F4451="NEW",IF(ISNA(VLOOKUP(E4451,#REF!,1,FALSE())),"?TYPE_IDENTIFIABLE","?REFERENTIAL"),"_")))))</f>
        <v/>
      </c>
      <c r="H4451" s="27" t="str">
        <f aca="false">IF(J4451&lt;&gt;1,"",IF(I4451="SBJ","CB","?"))</f>
        <v/>
      </c>
      <c r="I4451" s="24" t="str">
        <f aca="false">IF(OR(E4451="",E4451="!!!",F4451="NEW"),"",INDEX(B24:B$4428,-1+SUMPRODUCT(MAX(ROW(E24:E$4428)*(E4451=E24:E$4428)))))</f>
        <v/>
      </c>
      <c r="J4451" s="24" t="str">
        <f aca="true">IF(OR(E4451="",E4451="!!!",F4451="NEW"),"",COUNTBLANK(OFFSET(A$1,,,SUMPRODUCT(MAX(ROW(E$2:E4451)*(E4451=E$2:E4451)))))-COUNTBLANK(OFFSET(A$1,,,SUMPRODUCT(MAX(ROW(E$1:E4450)*(E2=E$1:E4450))))))</f>
        <v/>
      </c>
      <c r="K4451" s="24" t="str">
        <f aca="false">IF(OR(E4451="",E4451="!!!",F4451="NEW"),"",INDEX(J$1:J4450,SUMPRODUCT(MAX(ROW(E$1:E4450)*(E4451=E$1:E4450)))))</f>
        <v/>
      </c>
      <c r="L4451" s="31"/>
    </row>
    <row r="4452" customFormat="false" ht="15" hidden="false" customHeight="false" outlineLevel="0" collapsed="false">
      <c r="A4452" s="20" t="s">
        <v>1786</v>
      </c>
      <c r="B4452" s="22" t="s">
        <v>1073</v>
      </c>
      <c r="C4452" s="22" t="s">
        <v>1150</v>
      </c>
      <c r="D4452" s="22" t="s">
        <v>1060</v>
      </c>
      <c r="E4452" s="23" t="str">
        <f aca="false">IF(D4452="?OLD","!!!","")</f>
        <v>!!!</v>
      </c>
      <c r="F4452" s="25" t="str">
        <f aca="false">IF(OR(E4452="",E4452="!!!"),"",IF(NOT(ISNA(VLOOKUP(E4452,E$1:E4451,1,FALSE()))),"OLD",IF(AND(E4452&lt;&gt;"",E4452&lt;&gt;"!!!"),"NEW","")))</f>
        <v/>
      </c>
      <c r="G4452" s="26" t="str">
        <f aca="false">IF(OR(E4452="",E4452="!!!"),"",IF(OR(J4452=0,AND(J4452=1,K4452=1),AND(J4452=1,I4452="SBJ"),AND(J4452=1,I4452=0)),"?IN_FOCUS",IF(J4452&lt;=2,"?ACTIVATED",IF(J4452&lt;&gt;"","?FAMILIAR",IF(F4452="NEW",IF(ISNA(VLOOKUP(E4452,#REF!,1,FALSE())),"?TYPE_IDENTIFIABLE","?REFERENTIAL"),"_")))))</f>
        <v/>
      </c>
      <c r="H4452" s="27" t="str">
        <f aca="false">IF(J4452&lt;&gt;1,"",IF(I4452="SBJ","CB","?"))</f>
        <v/>
      </c>
      <c r="I4452" s="24" t="str">
        <f aca="false">IF(OR(E4452="",E4452="!!!",F4452="NEW"),"",INDEX(B25:B$4428,-1+SUMPRODUCT(MAX(ROW(E25:E$4428)*(E4452=E25:E$4428)))))</f>
        <v/>
      </c>
      <c r="J4452" s="24" t="str">
        <f aca="true">IF(OR(E4452="",E4452="!!!",F4452="NEW"),"",COUNTBLANK(OFFSET(A$1,,,SUMPRODUCT(MAX(ROW(E$2:E4452)*(E4452=E$2:E4452)))))-COUNTBLANK(OFFSET(A$1,,,SUMPRODUCT(MAX(ROW(E$1:E4451)*(E2=E$1:E4451))))))</f>
        <v/>
      </c>
      <c r="K4452" s="24" t="str">
        <f aca="false">IF(OR(E4452="",E4452="!!!",F4452="NEW"),"",INDEX(J$1:J4451,SUMPRODUCT(MAX(ROW(E$1:E4451)*(E4452=E$1:E4451)))))</f>
        <v/>
      </c>
      <c r="L4452" s="31"/>
    </row>
    <row r="4453" customFormat="false" ht="15" hidden="false" customHeight="false" outlineLevel="0" collapsed="false">
      <c r="A4453" s="20" t="s">
        <v>1089</v>
      </c>
      <c r="E4453" s="23" t="str">
        <f aca="false">IF(D4453="?OLD","!!!","")</f>
        <v/>
      </c>
      <c r="F4453" s="25" t="str">
        <f aca="false">IF(OR(E4453="",E4453="!!!"),"",IF(NOT(ISNA(VLOOKUP(E4453,E$1:E4452,1,FALSE()))),"OLD",IF(AND(E4453&lt;&gt;"",E4453&lt;&gt;"!!!"),"NEW","")))</f>
        <v/>
      </c>
      <c r="G4453" s="26" t="str">
        <f aca="false">IF(OR(E4453="",E4453="!!!"),"",IF(OR(J4453=0,AND(J4453=1,K4453=1),AND(J4453=1,I4453="SBJ"),AND(J4453=1,I4453=0)),"?IN_FOCUS",IF(J4453&lt;=2,"?ACTIVATED",IF(J4453&lt;&gt;"","?FAMILIAR",IF(F4453="NEW",IF(ISNA(VLOOKUP(E4453,#REF!,1,FALSE())),"?TYPE_IDENTIFIABLE","?REFERENTIAL"),"_")))))</f>
        <v/>
      </c>
      <c r="H4453" s="27" t="str">
        <f aca="false">IF(J4453&lt;&gt;1,"",IF(I4453="SBJ","CB","?"))</f>
        <v/>
      </c>
      <c r="I4453" s="24" t="str">
        <f aca="false">IF(OR(E4453="",E4453="!!!",F4453="NEW"),"",INDEX(B26:B$4428,-1+SUMPRODUCT(MAX(ROW(E26:E$4428)*(E4453=E26:E$4428)))))</f>
        <v/>
      </c>
      <c r="J4453" s="24" t="str">
        <f aca="true">IF(OR(E4453="",E4453="!!!",F4453="NEW"),"",COUNTBLANK(OFFSET(A$1,,,SUMPRODUCT(MAX(ROW(E$2:E4453)*(E4453=E$2:E4453)))))-COUNTBLANK(OFFSET(A$1,,,SUMPRODUCT(MAX(ROW(E$1:E4452)*(E2=E$1:E4452))))))</f>
        <v/>
      </c>
      <c r="K4453" s="24" t="str">
        <f aca="false">IF(OR(E4453="",E4453="!!!",F4453="NEW"),"",INDEX(J$1:J4452,SUMPRODUCT(MAX(ROW(E$1:E4452)*(E4453=E$1:E4452)))))</f>
        <v/>
      </c>
      <c r="L4453" s="31"/>
    </row>
    <row r="4454" customFormat="false" ht="15" hidden="false" customHeight="false" outlineLevel="0" collapsed="false">
      <c r="A4454" s="20" t="s">
        <v>1090</v>
      </c>
      <c r="B4454" s="22" t="s">
        <v>1359</v>
      </c>
      <c r="C4454" s="22" t="s">
        <v>1082</v>
      </c>
      <c r="D4454" s="22" t="s">
        <v>1060</v>
      </c>
      <c r="E4454" s="23" t="str">
        <f aca="false">IF(D4454="?OLD","!!!","")</f>
        <v>!!!</v>
      </c>
      <c r="F4454" s="25" t="str">
        <f aca="false">IF(OR(E4454="",E4454="!!!"),"",IF(NOT(ISNA(VLOOKUP(E4454,E$1:E4453,1,FALSE()))),"OLD",IF(AND(E4454&lt;&gt;"",E4454&lt;&gt;"!!!"),"NEW","")))</f>
        <v/>
      </c>
      <c r="G4454" s="26" t="str">
        <f aca="false">IF(OR(E4454="",E4454="!!!"),"",IF(OR(J4454=0,AND(J4454=1,K4454=1),AND(J4454=1,I4454="SBJ"),AND(J4454=1,I4454=0)),"?IN_FOCUS",IF(J4454&lt;=2,"?ACTIVATED",IF(J4454&lt;&gt;"","?FAMILIAR",IF(F4454="NEW",IF(ISNA(VLOOKUP(E4454,#REF!,1,FALSE())),"?TYPE_IDENTIFIABLE","?REFERENTIAL"),"_")))))</f>
        <v/>
      </c>
      <c r="H4454" s="27" t="str">
        <f aca="false">IF(J4454&lt;&gt;1,"",IF(I4454="SBJ","CB","?"))</f>
        <v/>
      </c>
      <c r="I4454" s="24" t="str">
        <f aca="false">IF(OR(E4454="",E4454="!!!",F4454="NEW"),"",INDEX(B27:B$4428,-1+SUMPRODUCT(MAX(ROW(E27:E$4428)*(E4454=E27:E$4428)))))</f>
        <v/>
      </c>
      <c r="J4454" s="24" t="str">
        <f aca="true">IF(OR(E4454="",E4454="!!!",F4454="NEW"),"",COUNTBLANK(OFFSET(A$1,,,SUMPRODUCT(MAX(ROW(E$2:E4454)*(E4454=E$2:E4454)))))-COUNTBLANK(OFFSET(A$1,,,SUMPRODUCT(MAX(ROW(E$1:E4453)*(E2=E$1:E4453))))))</f>
        <v/>
      </c>
      <c r="K4454" s="24" t="str">
        <f aca="false">IF(OR(E4454="",E4454="!!!",F4454="NEW"),"",INDEX(J$1:J4453,SUMPRODUCT(MAX(ROW(E$1:E4453)*(E4454=E$1:E4453)))))</f>
        <v/>
      </c>
      <c r="L4454" s="31"/>
    </row>
    <row r="4455" customFormat="false" ht="15" hidden="false" customHeight="false" outlineLevel="0" collapsed="false">
      <c r="A4455" s="20" t="s">
        <v>1164</v>
      </c>
      <c r="E4455" s="23" t="str">
        <f aca="false">IF(D4455="?OLD","!!!","")</f>
        <v/>
      </c>
      <c r="F4455" s="25" t="str">
        <f aca="false">IF(OR(E4455="",E4455="!!!"),"",IF(NOT(ISNA(VLOOKUP(E4455,E$1:E4454,1,FALSE()))),"OLD",IF(AND(E4455&lt;&gt;"",E4455&lt;&gt;"!!!"),"NEW","")))</f>
        <v/>
      </c>
      <c r="G4455" s="26" t="str">
        <f aca="false">IF(OR(E4455="",E4455="!!!"),"",IF(OR(J4455=0,AND(J4455=1,K4455=1),AND(J4455=1,I4455="SBJ"),AND(J4455=1,I4455=0)),"?IN_FOCUS",IF(J4455&lt;=2,"?ACTIVATED",IF(J4455&lt;&gt;"","?FAMILIAR",IF(F4455="NEW",IF(ISNA(VLOOKUP(E4455,#REF!,1,FALSE())),"?TYPE_IDENTIFIABLE","?REFERENTIAL"),"_")))))</f>
        <v/>
      </c>
      <c r="H4455" s="27" t="str">
        <f aca="false">IF(J4455&lt;&gt;1,"",IF(I4455="SBJ","CB","?"))</f>
        <v/>
      </c>
      <c r="I4455" s="24" t="str">
        <f aca="false">IF(OR(E4455="",E4455="!!!",F4455="NEW"),"",INDEX(B28:B$4428,-1+SUMPRODUCT(MAX(ROW(E28:E$4428)*(E4455=E28:E$4428)))))</f>
        <v/>
      </c>
      <c r="J4455" s="24" t="str">
        <f aca="true">IF(OR(E4455="",E4455="!!!",F4455="NEW"),"",COUNTBLANK(OFFSET(A$1,,,SUMPRODUCT(MAX(ROW(E$2:E4455)*(E4455=E$2:E4455)))))-COUNTBLANK(OFFSET(A$1,,,SUMPRODUCT(MAX(ROW(E$1:E4454)*(E2=E$1:E4454))))))</f>
        <v/>
      </c>
      <c r="K4455" s="24" t="str">
        <f aca="false">IF(OR(E4455="",E4455="!!!",F4455="NEW"),"",INDEX(J$1:J4454,SUMPRODUCT(MAX(ROW(E$1:E4454)*(E4455=E$1:E4454)))))</f>
        <v/>
      </c>
      <c r="L4455" s="31"/>
    </row>
    <row r="4456" customFormat="false" ht="15" hidden="false" customHeight="false" outlineLevel="0" collapsed="false">
      <c r="A4456" s="20" t="s">
        <v>1414</v>
      </c>
      <c r="E4456" s="23" t="str">
        <f aca="false">IF(D4456="?OLD","!!!","")</f>
        <v/>
      </c>
      <c r="F4456" s="25" t="str">
        <f aca="false">IF(OR(E4456="",E4456="!!!"),"",IF(NOT(ISNA(VLOOKUP(E4456,E$1:E4455,1,FALSE()))),"OLD",IF(AND(E4456&lt;&gt;"",E4456&lt;&gt;"!!!"),"NEW","")))</f>
        <v/>
      </c>
      <c r="G4456" s="26" t="str">
        <f aca="false">IF(OR(E4456="",E4456="!!!"),"",IF(OR(J4456=0,AND(J4456=1,K4456=1),AND(J4456=1,I4456="SBJ"),AND(J4456=1,I4456=0)),"?IN_FOCUS",IF(J4456&lt;=2,"?ACTIVATED",IF(J4456&lt;&gt;"","?FAMILIAR",IF(F4456="NEW",IF(ISNA(VLOOKUP(E4456,#REF!,1,FALSE())),"?TYPE_IDENTIFIABLE","?REFERENTIAL"),"_")))))</f>
        <v/>
      </c>
      <c r="H4456" s="27" t="str">
        <f aca="false">IF(J4456&lt;&gt;1,"",IF(I4456="SBJ","CB","?"))</f>
        <v/>
      </c>
      <c r="I4456" s="24" t="str">
        <f aca="false">IF(OR(E4456="",E4456="!!!",F4456="NEW"),"",INDEX(B29:B$4428,-1+SUMPRODUCT(MAX(ROW(E29:E$4428)*(E4456=E29:E$4428)))))</f>
        <v/>
      </c>
      <c r="J4456" s="24" t="str">
        <f aca="true">IF(OR(E4456="",E4456="!!!",F4456="NEW"),"",COUNTBLANK(OFFSET(A$1,,,SUMPRODUCT(MAX(ROW(E$2:E4456)*(E4456=E$2:E4456)))))-COUNTBLANK(OFFSET(A$1,,,SUMPRODUCT(MAX(ROW(E$1:E4455)*(E2=E$1:E4455))))))</f>
        <v/>
      </c>
      <c r="K4456" s="24" t="str">
        <f aca="false">IF(OR(E4456="",E4456="!!!",F4456="NEW"),"",INDEX(J$1:J4455,SUMPRODUCT(MAX(ROW(E$1:E4455)*(E4456=E$1:E4455)))))</f>
        <v/>
      </c>
      <c r="L4456" s="31"/>
    </row>
    <row r="4457" customFormat="false" ht="15" hidden="false" customHeight="false" outlineLevel="0" collapsed="false">
      <c r="A4457" s="20" t="s">
        <v>1641</v>
      </c>
      <c r="E4457" s="23" t="str">
        <f aca="false">IF(D4457="?OLD","!!!","")</f>
        <v/>
      </c>
      <c r="F4457" s="25" t="str">
        <f aca="false">IF(OR(E4457="",E4457="!!!"),"",IF(NOT(ISNA(VLOOKUP(E4457,E$1:E4456,1,FALSE()))),"OLD",IF(AND(E4457&lt;&gt;"",E4457&lt;&gt;"!!!"),"NEW","")))</f>
        <v/>
      </c>
      <c r="G4457" s="26" t="str">
        <f aca="false">IF(OR(E4457="",E4457="!!!"),"",IF(OR(J4457=0,AND(J4457=1,K4457=1),AND(J4457=1,I4457="SBJ"),AND(J4457=1,I4457=0)),"?IN_FOCUS",IF(J4457&lt;=2,"?ACTIVATED",IF(J4457&lt;&gt;"","?FAMILIAR",IF(F4457="NEW",IF(ISNA(VLOOKUP(E4457,#REF!,1,FALSE())),"?TYPE_IDENTIFIABLE","?REFERENTIAL"),"_")))))</f>
        <v/>
      </c>
      <c r="H4457" s="27" t="str">
        <f aca="false">IF(J4457&lt;&gt;1,"",IF(I4457="SBJ","CB","?"))</f>
        <v/>
      </c>
      <c r="I4457" s="24" t="str">
        <f aca="false">IF(OR(E4457="",E4457="!!!",F4457="NEW"),"",INDEX(B30:B$4428,-1+SUMPRODUCT(MAX(ROW(E30:E$4428)*(E4457=E30:E$4428)))))</f>
        <v/>
      </c>
      <c r="J4457" s="24" t="str">
        <f aca="true">IF(OR(E4457="",E4457="!!!",F4457="NEW"),"",COUNTBLANK(OFFSET(A$1,,,SUMPRODUCT(MAX(ROW(E$2:E4457)*(E4457=E$2:E4457)))))-COUNTBLANK(OFFSET(A$1,,,SUMPRODUCT(MAX(ROW(E$1:E4456)*(E2=E$1:E4456))))))</f>
        <v/>
      </c>
      <c r="K4457" s="24" t="str">
        <f aca="false">IF(OR(E4457="",E4457="!!!",F4457="NEW"),"",INDEX(J$1:J4456,SUMPRODUCT(MAX(ROW(E$1:E4456)*(E4457=E$1:E4456)))))</f>
        <v/>
      </c>
      <c r="L4457" s="31"/>
    </row>
    <row r="4458" customFormat="false" ht="15" hidden="false" customHeight="false" outlineLevel="0" collapsed="false">
      <c r="A4458" s="20" t="s">
        <v>1090</v>
      </c>
      <c r="B4458" s="22" t="s">
        <v>1197</v>
      </c>
      <c r="C4458" s="22" t="s">
        <v>1082</v>
      </c>
      <c r="D4458" s="22" t="s">
        <v>1060</v>
      </c>
      <c r="E4458" s="23" t="str">
        <f aca="false">IF(D4458="?OLD","!!!","")</f>
        <v>!!!</v>
      </c>
      <c r="F4458" s="25" t="str">
        <f aca="false">IF(OR(E4458="",E4458="!!!"),"",IF(NOT(ISNA(VLOOKUP(E4458,E$1:E4457,1,FALSE()))),"OLD",IF(AND(E4458&lt;&gt;"",E4458&lt;&gt;"!!!"),"NEW","")))</f>
        <v/>
      </c>
      <c r="G4458" s="26" t="str">
        <f aca="false">IF(OR(E4458="",E4458="!!!"),"",IF(OR(J4458=0,AND(J4458=1,K4458=1),AND(J4458=1,I4458="SBJ"),AND(J4458=1,I4458=0)),"?IN_FOCUS",IF(J4458&lt;=2,"?ACTIVATED",IF(J4458&lt;&gt;"","?FAMILIAR",IF(F4458="NEW",IF(ISNA(VLOOKUP(E4458,#REF!,1,FALSE())),"?TYPE_IDENTIFIABLE","?REFERENTIAL"),"_")))))</f>
        <v/>
      </c>
      <c r="H4458" s="27" t="str">
        <f aca="false">IF(J4458&lt;&gt;1,"",IF(I4458="SBJ","CB","?"))</f>
        <v/>
      </c>
      <c r="I4458" s="24" t="str">
        <f aca="false">IF(OR(E4458="",E4458="!!!",F4458="NEW"),"",INDEX(B31:B$4428,-1+SUMPRODUCT(MAX(ROW(E31:E$4428)*(E4458=E31:E$4428)))))</f>
        <v/>
      </c>
      <c r="J4458" s="24" t="str">
        <f aca="true">IF(OR(E4458="",E4458="!!!",F4458="NEW"),"",COUNTBLANK(OFFSET(A$1,,,SUMPRODUCT(MAX(ROW(E$2:E4458)*(E4458=E$2:E4458)))))-COUNTBLANK(OFFSET(A$1,,,SUMPRODUCT(MAX(ROW(E$1:E4457)*(E2=E$1:E4457))))))</f>
        <v/>
      </c>
      <c r="K4458" s="24" t="str">
        <f aca="false">IF(OR(E4458="",E4458="!!!",F4458="NEW"),"",INDEX(J$1:J4457,SUMPRODUCT(MAX(ROW(E$1:E4457)*(E4458=E$1:E4457)))))</f>
        <v/>
      </c>
      <c r="L4458" s="31"/>
    </row>
    <row r="4459" customFormat="false" ht="15" hidden="false" customHeight="false" outlineLevel="0" collapsed="false">
      <c r="A4459" s="20" t="s">
        <v>2384</v>
      </c>
      <c r="E4459" s="23" t="str">
        <f aca="false">IF(D4459="?OLD","!!!","")</f>
        <v/>
      </c>
      <c r="F4459" s="25" t="str">
        <f aca="false">IF(OR(E4459="",E4459="!!!"),"",IF(NOT(ISNA(VLOOKUP(E4459,E$1:E4458,1,FALSE()))),"OLD",IF(AND(E4459&lt;&gt;"",E4459&lt;&gt;"!!!"),"NEW","")))</f>
        <v/>
      </c>
      <c r="G4459" s="26" t="str">
        <f aca="false">IF(OR(E4459="",E4459="!!!"),"",IF(OR(J4459=0,AND(J4459=1,K4459=1),AND(J4459=1,I4459="SBJ"),AND(J4459=1,I4459=0)),"?IN_FOCUS",IF(J4459&lt;=2,"?ACTIVATED",IF(J4459&lt;&gt;"","?FAMILIAR",IF(F4459="NEW",IF(ISNA(VLOOKUP(E4459,#REF!,1,FALSE())),"?TYPE_IDENTIFIABLE","?REFERENTIAL"),"_")))))</f>
        <v/>
      </c>
      <c r="H4459" s="27" t="str">
        <f aca="false">IF(J4459&lt;&gt;1,"",IF(I4459="SBJ","CB","?"))</f>
        <v/>
      </c>
      <c r="I4459" s="24" t="str">
        <f aca="false">IF(OR(E4459="",E4459="!!!",F4459="NEW"),"",INDEX(B32:B$4428,-1+SUMPRODUCT(MAX(ROW(E32:E$4428)*(E4459=E32:E$4428)))))</f>
        <v/>
      </c>
      <c r="J4459" s="24" t="str">
        <f aca="true">IF(OR(E4459="",E4459="!!!",F4459="NEW"),"",COUNTBLANK(OFFSET(A$1,,,SUMPRODUCT(MAX(ROW(E$2:E4459)*(E4459=E$2:E4459)))))-COUNTBLANK(OFFSET(A$1,,,SUMPRODUCT(MAX(ROW(E$1:E4458)*(E2=E$1:E4458))))))</f>
        <v/>
      </c>
      <c r="K4459" s="24" t="str">
        <f aca="false">IF(OR(E4459="",E4459="!!!",F4459="NEW"),"",INDEX(J$1:J4458,SUMPRODUCT(MAX(ROW(E$1:E4458)*(E4459=E$1:E4458)))))</f>
        <v/>
      </c>
      <c r="L4459" s="31"/>
    </row>
    <row r="4460" customFormat="false" ht="15" hidden="false" customHeight="false" outlineLevel="0" collapsed="false">
      <c r="A4460" s="20" t="s">
        <v>2385</v>
      </c>
      <c r="B4460" s="22" t="s">
        <v>1102</v>
      </c>
      <c r="C4460" s="22" t="s">
        <v>1059</v>
      </c>
      <c r="D4460" s="22" t="s">
        <v>1060</v>
      </c>
      <c r="E4460" s="23" t="str">
        <f aca="false">IF(D4460="?OLD","!!!","")</f>
        <v>!!!</v>
      </c>
      <c r="F4460" s="25" t="str">
        <f aca="false">IF(OR(E4460="",E4460="!!!"),"",IF(NOT(ISNA(VLOOKUP(E4460,E$1:E4459,1,FALSE()))),"OLD",IF(AND(E4460&lt;&gt;"",E4460&lt;&gt;"!!!"),"NEW","")))</f>
        <v/>
      </c>
      <c r="G4460" s="26" t="str">
        <f aca="false">IF(OR(E4460="",E4460="!!!"),"",IF(OR(J4460=0,AND(J4460=1,K4460=1),AND(J4460=1,I4460="SBJ"),AND(J4460=1,I4460=0)),"?IN_FOCUS",IF(J4460&lt;=2,"?ACTIVATED",IF(J4460&lt;&gt;"","?FAMILIAR",IF(F4460="NEW",IF(ISNA(VLOOKUP(E4460,#REF!,1,FALSE())),"?TYPE_IDENTIFIABLE","?REFERENTIAL"),"_")))))</f>
        <v/>
      </c>
      <c r="H4460" s="27" t="str">
        <f aca="false">IF(J4460&lt;&gt;1,"",IF(I4460="SBJ","CB","?"))</f>
        <v/>
      </c>
      <c r="I4460" s="24" t="str">
        <f aca="false">IF(OR(E4460="",E4460="!!!",F4460="NEW"),"",INDEX(B33:B$4428,-1+SUMPRODUCT(MAX(ROW(E33:E$4428)*(E4460=E33:E$4428)))))</f>
        <v/>
      </c>
      <c r="J4460" s="24" t="str">
        <f aca="true">IF(OR(E4460="",E4460="!!!",F4460="NEW"),"",COUNTBLANK(OFFSET(A$1,,,SUMPRODUCT(MAX(ROW(E$2:E4460)*(E4460=E$2:E4460)))))-COUNTBLANK(OFFSET(A$1,,,SUMPRODUCT(MAX(ROW(E$1:E4459)*(E2=E$1:E4459))))))</f>
        <v/>
      </c>
      <c r="K4460" s="24" t="str">
        <f aca="false">IF(OR(E4460="",E4460="!!!",F4460="NEW"),"",INDEX(J$1:J4459,SUMPRODUCT(MAX(ROW(E$1:E4459)*(E4460=E$1:E4459)))))</f>
        <v/>
      </c>
      <c r="L4460" s="31"/>
    </row>
    <row r="4461" customFormat="false" ht="15" hidden="false" customHeight="false" outlineLevel="0" collapsed="false">
      <c r="A4461" s="20" t="s">
        <v>1064</v>
      </c>
      <c r="E4461" s="23" t="str">
        <f aca="false">IF(D4461="?OLD","!!!","")</f>
        <v/>
      </c>
      <c r="F4461" s="25" t="str">
        <f aca="false">IF(OR(E4461="",E4461="!!!"),"",IF(NOT(ISNA(VLOOKUP(E4461,E$1:E4460,1,FALSE()))),"OLD",IF(AND(E4461&lt;&gt;"",E4461&lt;&gt;"!!!"),"NEW","")))</f>
        <v/>
      </c>
      <c r="G4461" s="26" t="str">
        <f aca="false">IF(OR(E4461="",E4461="!!!"),"",IF(OR(J4461=0,AND(J4461=1,K4461=1),AND(J4461=1,I4461="SBJ"),AND(J4461=1,I4461=0)),"?IN_FOCUS",IF(J4461&lt;=2,"?ACTIVATED",IF(J4461&lt;&gt;"","?FAMILIAR",IF(F4461="NEW",IF(ISNA(VLOOKUP(E4461,#REF!,1,FALSE())),"?TYPE_IDENTIFIABLE","?REFERENTIAL"),"_")))))</f>
        <v/>
      </c>
      <c r="H4461" s="27" t="str">
        <f aca="false">IF(J4461&lt;&gt;1,"",IF(I4461="SBJ","CB","?"))</f>
        <v/>
      </c>
      <c r="I4461" s="24" t="str">
        <f aca="false">IF(OR(E4461="",E4461="!!!",F4461="NEW"),"",INDEX(B34:B$4428,-1+SUMPRODUCT(MAX(ROW(E34:E$4428)*(E4461=E34:E$4428)))))</f>
        <v/>
      </c>
      <c r="J4461" s="24" t="str">
        <f aca="true">IF(OR(E4461="",E4461="!!!",F4461="NEW"),"",COUNTBLANK(OFFSET(A$1,,,SUMPRODUCT(MAX(ROW(E$2:E4461)*(E4461=E$2:E4461)))))-COUNTBLANK(OFFSET(A$1,,,SUMPRODUCT(MAX(ROW(E$1:E4460)*(E2=E$1:E4460))))))</f>
        <v/>
      </c>
      <c r="K4461" s="24" t="str">
        <f aca="false">IF(OR(E4461="",E4461="!!!",F4461="NEW"),"",INDEX(J$1:J4460,SUMPRODUCT(MAX(ROW(E$1:E4460)*(E4461=E$1:E4460)))))</f>
        <v/>
      </c>
      <c r="L4461" s="31"/>
    </row>
    <row r="4462" customFormat="false" ht="15" hidden="false" customHeight="false" outlineLevel="0" collapsed="false">
      <c r="A4462" s="20" t="s">
        <v>1089</v>
      </c>
      <c r="E4462" s="23" t="str">
        <f aca="false">IF(D4462="?OLD","!!!","")</f>
        <v/>
      </c>
      <c r="F4462" s="25" t="str">
        <f aca="false">IF(OR(E4462="",E4462="!!!"),"",IF(NOT(ISNA(VLOOKUP(E4462,E$1:E4461,1,FALSE()))),"OLD",IF(AND(E4462&lt;&gt;"",E4462&lt;&gt;"!!!"),"NEW","")))</f>
        <v/>
      </c>
      <c r="G4462" s="26" t="str">
        <f aca="false">IF(OR(E4462="",E4462="!!!"),"",IF(OR(J4462=0,AND(J4462=1,K4462=1),AND(J4462=1,I4462="SBJ"),AND(J4462=1,I4462=0)),"?IN_FOCUS",IF(J4462&lt;=2,"?ACTIVATED",IF(J4462&lt;&gt;"","?FAMILIAR",IF(F4462="NEW",IF(ISNA(VLOOKUP(E4462,#REF!,1,FALSE())),"?TYPE_IDENTIFIABLE","?REFERENTIAL"),"_")))))</f>
        <v/>
      </c>
      <c r="H4462" s="27" t="str">
        <f aca="false">IF(J4462&lt;&gt;1,"",IF(I4462="SBJ","CB","?"))</f>
        <v/>
      </c>
      <c r="I4462" s="24" t="str">
        <f aca="false">IF(OR(E4462="",E4462="!!!",F4462="NEW"),"",INDEX(B35:B$4428,-1+SUMPRODUCT(MAX(ROW(E35:E$4428)*(E4462=E35:E$4428)))))</f>
        <v/>
      </c>
      <c r="J4462" s="24" t="str">
        <f aca="true">IF(OR(E4462="",E4462="!!!",F4462="NEW"),"",COUNTBLANK(OFFSET(A$1,,,SUMPRODUCT(MAX(ROW(E$2:E4462)*(E4462=E$2:E4462)))))-COUNTBLANK(OFFSET(A$1,,,SUMPRODUCT(MAX(ROW(E$1:E4461)*(E2=E$1:E4461))))))</f>
        <v/>
      </c>
      <c r="K4462" s="24" t="str">
        <f aca="false">IF(OR(E4462="",E4462="!!!",F4462="NEW"),"",INDEX(J$1:J4461,SUMPRODUCT(MAX(ROW(E$1:E4461)*(E4462=E$1:E4461)))))</f>
        <v/>
      </c>
      <c r="L4462" s="31"/>
    </row>
    <row r="4463" customFormat="false" ht="15" hidden="false" customHeight="false" outlineLevel="0" collapsed="false">
      <c r="A4463" s="20" t="s">
        <v>1511</v>
      </c>
      <c r="E4463" s="23" t="str">
        <f aca="false">IF(D4463="?OLD","!!!","")</f>
        <v/>
      </c>
      <c r="F4463" s="25" t="str">
        <f aca="false">IF(OR(E4463="",E4463="!!!"),"",IF(NOT(ISNA(VLOOKUP(E4463,E$1:E4462,1,FALSE()))),"OLD",IF(AND(E4463&lt;&gt;"",E4463&lt;&gt;"!!!"),"NEW","")))</f>
        <v/>
      </c>
      <c r="G4463" s="26" t="str">
        <f aca="false">IF(OR(E4463="",E4463="!!!"),"",IF(OR(J4463=0,AND(J4463=1,K4463=1),AND(J4463=1,I4463="SBJ"),AND(J4463=1,I4463=0)),"?IN_FOCUS",IF(J4463&lt;=2,"?ACTIVATED",IF(J4463&lt;&gt;"","?FAMILIAR",IF(F4463="NEW",IF(ISNA(VLOOKUP(E4463,#REF!,1,FALSE())),"?TYPE_IDENTIFIABLE","?REFERENTIAL"),"_")))))</f>
        <v/>
      </c>
      <c r="H4463" s="27" t="str">
        <f aca="false">IF(J4463&lt;&gt;1,"",IF(I4463="SBJ","CB","?"))</f>
        <v/>
      </c>
      <c r="I4463" s="24" t="str">
        <f aca="false">IF(OR(E4463="",E4463="!!!",F4463="NEW"),"",INDEX(B36:B$4428,-1+SUMPRODUCT(MAX(ROW(E36:E$4428)*(E4463=E36:E$4428)))))</f>
        <v/>
      </c>
      <c r="J4463" s="24" t="str">
        <f aca="true">IF(OR(E4463="",E4463="!!!",F4463="NEW"),"",COUNTBLANK(OFFSET(A$1,,,SUMPRODUCT(MAX(ROW(E$2:E4463)*(E4463=E$2:E4463)))))-COUNTBLANK(OFFSET(A$1,,,SUMPRODUCT(MAX(ROW(E$1:E4462)*(E2=E$1:E4462))))))</f>
        <v/>
      </c>
      <c r="K4463" s="24" t="str">
        <f aca="false">IF(OR(E4463="",E4463="!!!",F4463="NEW"),"",INDEX(J$1:J4462,SUMPRODUCT(MAX(ROW(E$1:E4462)*(E4463=E$1:E4462)))))</f>
        <v/>
      </c>
      <c r="L4463" s="31"/>
    </row>
    <row r="4464" customFormat="false" ht="15" hidden="false" customHeight="false" outlineLevel="0" collapsed="false">
      <c r="A4464" s="20" t="s">
        <v>16</v>
      </c>
      <c r="E4464" s="23" t="str">
        <f aca="false">IF(D4464="?OLD","!!!","")</f>
        <v/>
      </c>
      <c r="F4464" s="25" t="str">
        <f aca="false">IF(OR(E4464="",E4464="!!!"),"",IF(NOT(ISNA(VLOOKUP(E4464,E$1:E4463,1,FALSE()))),"OLD",IF(AND(E4464&lt;&gt;"",E4464&lt;&gt;"!!!"),"NEW","")))</f>
        <v/>
      </c>
      <c r="G4464" s="26" t="str">
        <f aca="false">IF(OR(E4464="",E4464="!!!"),"",IF(OR(J4464=0,AND(J4464=1,K4464=1),AND(J4464=1,I4464="SBJ"),AND(J4464=1,I4464=0)),"?IN_FOCUS",IF(J4464&lt;=2,"?ACTIVATED",IF(J4464&lt;&gt;"","?FAMILIAR",IF(F4464="NEW",IF(ISNA(VLOOKUP(E4464,#REF!,1,FALSE())),"?TYPE_IDENTIFIABLE","?REFERENTIAL"),"_")))))</f>
        <v/>
      </c>
      <c r="H4464" s="27" t="str">
        <f aca="false">IF(J4464&lt;&gt;1,"",IF(I4464="SBJ","CB","?"))</f>
        <v/>
      </c>
      <c r="I4464" s="24" t="str">
        <f aca="false">IF(OR(E4464="",E4464="!!!",F4464="NEW"),"",INDEX(B37:B$4428,-1+SUMPRODUCT(MAX(ROW(E37:E$4428)*(E4464=E37:E$4428)))))</f>
        <v/>
      </c>
      <c r="J4464" s="24" t="str">
        <f aca="true">IF(OR(E4464="",E4464="!!!",F4464="NEW"),"",COUNTBLANK(OFFSET(A$1,,,SUMPRODUCT(MAX(ROW(E$2:E4464)*(E4464=E$2:E4464)))))-COUNTBLANK(OFFSET(A$1,,,SUMPRODUCT(MAX(ROW(E$1:E4463)*(E2=E$1:E4463))))))</f>
        <v/>
      </c>
      <c r="K4464" s="24" t="str">
        <f aca="false">IF(OR(E4464="",E4464="!!!",F4464="NEW"),"",INDEX(J$1:J4463,SUMPRODUCT(MAX(ROW(E$1:E4463)*(E4464=E$1:E4463)))))</f>
        <v/>
      </c>
      <c r="L4464" s="31"/>
    </row>
    <row r="4465" customFormat="false" ht="15" hidden="false" customHeight="false" outlineLevel="0" collapsed="false">
      <c r="A4465" s="20" t="s">
        <v>1512</v>
      </c>
      <c r="E4465" s="23" t="str">
        <f aca="false">IF(D4465="?OLD","!!!","")</f>
        <v/>
      </c>
      <c r="F4465" s="25" t="str">
        <f aca="false">IF(OR(E4465="",E4465="!!!"),"",IF(NOT(ISNA(VLOOKUP(E4465,E$1:E4464,1,FALSE()))),"OLD",IF(AND(E4465&lt;&gt;"",E4465&lt;&gt;"!!!"),"NEW","")))</f>
        <v/>
      </c>
      <c r="G4465" s="26" t="str">
        <f aca="false">IF(OR(E4465="",E4465="!!!"),"",IF(OR(J4465=0,AND(J4465=1,K4465=1),AND(J4465=1,I4465="SBJ"),AND(J4465=1,I4465=0)),"?IN_FOCUS",IF(J4465&lt;=2,"?ACTIVATED",IF(J4465&lt;&gt;"","?FAMILIAR",IF(F4465="NEW",IF(ISNA(VLOOKUP(E4465,#REF!,1,FALSE())),"?TYPE_IDENTIFIABLE","?REFERENTIAL"),"_")))))</f>
        <v/>
      </c>
      <c r="H4465" s="27" t="str">
        <f aca="false">IF(J4465&lt;&gt;1,"",IF(I4465="SBJ","CB","?"))</f>
        <v/>
      </c>
      <c r="I4465" s="24" t="str">
        <f aca="false">IF(OR(E4465="",E4465="!!!",F4465="NEW"),"",INDEX(B38:B$4428,-1+SUMPRODUCT(MAX(ROW(E38:E$4428)*(E4465=E38:E$4428)))))</f>
        <v/>
      </c>
      <c r="J4465" s="24" t="str">
        <f aca="true">IF(OR(E4465="",E4465="!!!",F4465="NEW"),"",COUNTBLANK(OFFSET(A$1,,,SUMPRODUCT(MAX(ROW(E$2:E4465)*(E4465=E$2:E4465)))))-COUNTBLANK(OFFSET(A$1,,,SUMPRODUCT(MAX(ROW(E$1:E4464)*(E2=E$1:E4464))))))</f>
        <v/>
      </c>
      <c r="K4465" s="24" t="str">
        <f aca="false">IF(OR(E4465="",E4465="!!!",F4465="NEW"),"",INDEX(J$1:J4464,SUMPRODUCT(MAX(ROW(E$1:E4464)*(E4465=E$1:E4464)))))</f>
        <v/>
      </c>
      <c r="L4465" s="31"/>
    </row>
    <row r="4466" customFormat="false" ht="15" hidden="false" customHeight="false" outlineLevel="0" collapsed="false">
      <c r="A4466" s="20" t="s">
        <v>2386</v>
      </c>
      <c r="B4466" s="22" t="s">
        <v>1098</v>
      </c>
      <c r="C4466" s="22" t="s">
        <v>1171</v>
      </c>
      <c r="D4466" s="22" t="s">
        <v>1060</v>
      </c>
      <c r="E4466" s="23" t="str">
        <f aca="false">IF(D4466="?OLD","!!!","")</f>
        <v>!!!</v>
      </c>
      <c r="F4466" s="25" t="str">
        <f aca="false">IF(OR(E4466="",E4466="!!!"),"",IF(NOT(ISNA(VLOOKUP(E4466,E$1:E4465,1,FALSE()))),"OLD",IF(AND(E4466&lt;&gt;"",E4466&lt;&gt;"!!!"),"NEW","")))</f>
        <v/>
      </c>
      <c r="G4466" s="26" t="str">
        <f aca="false">IF(OR(E4466="",E4466="!!!"),"",IF(OR(J4466=0,AND(J4466=1,K4466=1),AND(J4466=1,I4466="SBJ"),AND(J4466=1,I4466=0)),"?IN_FOCUS",IF(J4466&lt;=2,"?ACTIVATED",IF(J4466&lt;&gt;"","?FAMILIAR",IF(F4466="NEW",IF(ISNA(VLOOKUP(E4466,#REF!,1,FALSE())),"?TYPE_IDENTIFIABLE","?REFERENTIAL"),"_")))))</f>
        <v/>
      </c>
      <c r="H4466" s="27" t="str">
        <f aca="false">IF(J4466&lt;&gt;1,"",IF(I4466="SBJ","CB","?"))</f>
        <v/>
      </c>
      <c r="I4466" s="24" t="str">
        <f aca="false">IF(OR(E4466="",E4466="!!!",F4466="NEW"),"",INDEX(B39:B$4428,-1+SUMPRODUCT(MAX(ROW(E39:E$4428)*(E4466=E39:E$4428)))))</f>
        <v/>
      </c>
      <c r="J4466" s="24" t="str">
        <f aca="true">IF(OR(E4466="",E4466="!!!",F4466="NEW"),"",COUNTBLANK(OFFSET(A$1,,,SUMPRODUCT(MAX(ROW(E$2:E4466)*(E4466=E$2:E4466)))))-COUNTBLANK(OFFSET(A$1,,,SUMPRODUCT(MAX(ROW(E$1:E4465)*(E2=E$1:E4465))))))</f>
        <v/>
      </c>
      <c r="K4466" s="24" t="str">
        <f aca="false">IF(OR(E4466="",E4466="!!!",F4466="NEW"),"",INDEX(J$1:J4465,SUMPRODUCT(MAX(ROW(E$1:E4465)*(E4466=E$1:E4465)))))</f>
        <v/>
      </c>
      <c r="L4466" s="31"/>
    </row>
    <row r="4467" customFormat="false" ht="15" hidden="false" customHeight="false" outlineLevel="0" collapsed="false">
      <c r="A4467" s="20" t="s">
        <v>923</v>
      </c>
      <c r="E4467" s="23" t="str">
        <f aca="false">IF(D4467="?OLD","!!!","")</f>
        <v/>
      </c>
      <c r="F4467" s="25" t="str">
        <f aca="false">IF(OR(E4467="",E4467="!!!"),"",IF(NOT(ISNA(VLOOKUP(E4467,E$1:E4466,1,FALSE()))),"OLD",IF(AND(E4467&lt;&gt;"",E4467&lt;&gt;"!!!"),"NEW","")))</f>
        <v/>
      </c>
      <c r="G4467" s="26" t="str">
        <f aca="false">IF(OR(E4467="",E4467="!!!"),"",IF(OR(J4467=0,AND(J4467=1,K4467=1),AND(J4467=1,I4467="SBJ"),AND(J4467=1,I4467=0)),"?IN_FOCUS",IF(J4467&lt;=2,"?ACTIVATED",IF(J4467&lt;&gt;"","?FAMILIAR",IF(F4467="NEW",IF(ISNA(VLOOKUP(E4467,#REF!,1,FALSE())),"?TYPE_IDENTIFIABLE","?REFERENTIAL"),"_")))))</f>
        <v/>
      </c>
      <c r="H4467" s="27" t="str">
        <f aca="false">IF(J4467&lt;&gt;1,"",IF(I4467="SBJ","CB","?"))</f>
        <v/>
      </c>
      <c r="I4467" s="24" t="str">
        <f aca="false">IF(OR(E4467="",E4467="!!!",F4467="NEW"),"",INDEX(B40:B$4428,-1+SUMPRODUCT(MAX(ROW(E40:E$4428)*(E4467=E40:E$4428)))))</f>
        <v/>
      </c>
      <c r="J4467" s="24" t="str">
        <f aca="true">IF(OR(E4467="",E4467="!!!",F4467="NEW"),"",COUNTBLANK(OFFSET(A$1,,,SUMPRODUCT(MAX(ROW(E$2:E4467)*(E4467=E$2:E4467)))))-COUNTBLANK(OFFSET(A$1,,,SUMPRODUCT(MAX(ROW(E$1:E4466)*(E2=E$1:E4466))))))</f>
        <v/>
      </c>
      <c r="K4467" s="24" t="str">
        <f aca="false">IF(OR(E4467="",E4467="!!!",F4467="NEW"),"",INDEX(J$1:J4466,SUMPRODUCT(MAX(ROW(E$1:E4466)*(E4467=E$1:E4466)))))</f>
        <v/>
      </c>
      <c r="L4467" s="31"/>
    </row>
    <row r="4468" customFormat="false" ht="15" hidden="false" customHeight="false" outlineLevel="0" collapsed="false">
      <c r="A4468" s="20"/>
    </row>
    <row r="4469" customFormat="false" ht="15" hidden="false" customHeight="false" outlineLevel="0" collapsed="false">
      <c r="A4469" s="20" t="s">
        <v>2387</v>
      </c>
    </row>
    <row r="4470" customFormat="false" ht="15" hidden="false" customHeight="false" outlineLevel="0" collapsed="false">
      <c r="A4470" s="20" t="s">
        <v>1427</v>
      </c>
      <c r="E4470" s="23" t="str">
        <f aca="false">IF(D4470="?OLD","!!!","")</f>
        <v/>
      </c>
      <c r="F4470" s="25" t="str">
        <f aca="false">IF(OR(E4470="",E4470="!!!"),"",IF(NOT(ISNA(VLOOKUP(E4470,E$1:E4469,1,FALSE()))),"OLD",IF(AND(E4470&lt;&gt;"",E4470&lt;&gt;"!!!"),"NEW","")))</f>
        <v/>
      </c>
      <c r="G4470" s="26" t="str">
        <f aca="false">IF(OR(E4470="",E4470="!!!"),"",IF(OR(J4470=0,AND(J4470=1,K4470=1),AND(J4470=1,I4470="SBJ"),AND(J4470=1,I4470=0)),"?IN_FOCUS",IF(J4470&lt;=2,"?ACTIVATED",IF(J4470&lt;&gt;"","?FAMILIAR",IF(F4470="NEW",IF(ISNA(VLOOKUP(E4470,#REF!,1,FALSE())),"?TYPE_IDENTIFIABLE","?REFERENTIAL"),"_")))))</f>
        <v/>
      </c>
      <c r="H4470" s="27" t="str">
        <f aca="false">IF(J4470&lt;&gt;1,"",IF(I4470="SBJ","CB","?"))</f>
        <v/>
      </c>
      <c r="I4470" s="24" t="str">
        <f aca="false">IF(OR(E4470="",E4470="!!!",F4470="NEW"),"",INDEX(B2:B$4469,-1+SUMPRODUCT(MAX(ROW(E2:E$4469)*(E4470=E2:E$4469)))))</f>
        <v/>
      </c>
      <c r="J4470" s="24" t="str">
        <f aca="true">IF(OR(E4470="",E4470="!!!",F4470="NEW"),"",COUNTBLANK(OFFSET(A$1,,,SUMPRODUCT(MAX(ROW(E$2:E4470)*(E4470=E$2:E4470)))))-COUNTBLANK(OFFSET(A$1,,,SUMPRODUCT(MAX(ROW(E$1:E4469)*(E2=E$1:E4469))))))</f>
        <v/>
      </c>
      <c r="K4470" s="24" t="str">
        <f aca="false">IF(OR(E4470="",E4470="!!!",F4470="NEW"),"",INDEX(J$1:J4469,SUMPRODUCT(MAX(ROW(E$1:E4469)*(E4470=E$1:E4469)))))</f>
        <v/>
      </c>
      <c r="L4470" s="31"/>
    </row>
    <row r="4471" customFormat="false" ht="15" hidden="false" customHeight="false" outlineLevel="0" collapsed="false">
      <c r="A4471" s="20" t="s">
        <v>1343</v>
      </c>
      <c r="E4471" s="23" t="str">
        <f aca="false">IF(D4471="?OLD","!!!","")</f>
        <v/>
      </c>
      <c r="F4471" s="25" t="str">
        <f aca="false">IF(OR(E4471="",E4471="!!!"),"",IF(NOT(ISNA(VLOOKUP(E4471,E$1:E4470,1,FALSE()))),"OLD",IF(AND(E4471&lt;&gt;"",E4471&lt;&gt;"!!!"),"NEW","")))</f>
        <v/>
      </c>
      <c r="G4471" s="26" t="str">
        <f aca="false">IF(OR(E4471="",E4471="!!!"),"",IF(OR(J4471=0,AND(J4471=1,K4471=1),AND(J4471=1,I4471="SBJ"),AND(J4471=1,I4471=0)),"?IN_FOCUS",IF(J4471&lt;=2,"?ACTIVATED",IF(J4471&lt;&gt;"","?FAMILIAR",IF(F4471="NEW",IF(ISNA(VLOOKUP(E4471,#REF!,1,FALSE())),"?TYPE_IDENTIFIABLE","?REFERENTIAL"),"_")))))</f>
        <v/>
      </c>
      <c r="H4471" s="27" t="str">
        <f aca="false">IF(J4471&lt;&gt;1,"",IF(I4471="SBJ","CB","?"))</f>
        <v/>
      </c>
      <c r="I4471" s="24" t="str">
        <f aca="false">IF(OR(E4471="",E4471="!!!",F4471="NEW"),"",INDEX(B3:B$4469,-1+SUMPRODUCT(MAX(ROW(E3:E$4469)*(E4471=E3:E$4469)))))</f>
        <v/>
      </c>
      <c r="J4471" s="24" t="str">
        <f aca="true">IF(OR(E4471="",E4471="!!!",F4471="NEW"),"",COUNTBLANK(OFFSET(A$1,,,SUMPRODUCT(MAX(ROW(E$2:E4471)*(E4471=E$2:E4471)))))-COUNTBLANK(OFFSET(A$1,,,SUMPRODUCT(MAX(ROW(E$1:E4470)*(E2=E$1:E4470))))))</f>
        <v/>
      </c>
      <c r="K4471" s="24" t="str">
        <f aca="false">IF(OR(E4471="",E4471="!!!",F4471="NEW"),"",INDEX(J$1:J4470,SUMPRODUCT(MAX(ROW(E$1:E4470)*(E4471=E$1:E4470)))))</f>
        <v/>
      </c>
      <c r="L4471" s="31"/>
    </row>
    <row r="4472" customFormat="false" ht="15" hidden="false" customHeight="false" outlineLevel="0" collapsed="false">
      <c r="A4472" s="20" t="s">
        <v>1162</v>
      </c>
      <c r="B4472" s="22" t="s">
        <v>1058</v>
      </c>
      <c r="C4472" s="22" t="s">
        <v>1082</v>
      </c>
      <c r="D4472" s="22" t="s">
        <v>1060</v>
      </c>
      <c r="E4472" s="23" t="str">
        <f aca="false">IF(D4472="?OLD","!!!","")</f>
        <v>!!!</v>
      </c>
      <c r="F4472" s="25" t="str">
        <f aca="false">IF(OR(E4472="",E4472="!!!"),"",IF(NOT(ISNA(VLOOKUP(E4472,E$1:E4471,1,FALSE()))),"OLD",IF(AND(E4472&lt;&gt;"",E4472&lt;&gt;"!!!"),"NEW","")))</f>
        <v/>
      </c>
      <c r="G4472" s="26" t="str">
        <f aca="false">IF(OR(E4472="",E4472="!!!"),"",IF(OR(J4472=0,AND(J4472=1,K4472=1),AND(J4472=1,I4472="SBJ"),AND(J4472=1,I4472=0)),"?IN_FOCUS",IF(J4472&lt;=2,"?ACTIVATED",IF(J4472&lt;&gt;"","?FAMILIAR",IF(F4472="NEW",IF(ISNA(VLOOKUP(E4472,#REF!,1,FALSE())),"?TYPE_IDENTIFIABLE","?REFERENTIAL"),"_")))))</f>
        <v/>
      </c>
      <c r="H4472" s="27" t="str">
        <f aca="false">IF(J4472&lt;&gt;1,"",IF(I4472="SBJ","CB","?"))</f>
        <v/>
      </c>
      <c r="I4472" s="24" t="str">
        <f aca="false">IF(OR(E4472="",E4472="!!!",F4472="NEW"),"",INDEX(B4:B$4469,-1+SUMPRODUCT(MAX(ROW(E4:E$4469)*(E4472=E4:E$4469)))))</f>
        <v/>
      </c>
      <c r="J4472" s="24" t="str">
        <f aca="true">IF(OR(E4472="",E4472="!!!",F4472="NEW"),"",COUNTBLANK(OFFSET(A$1,,,SUMPRODUCT(MAX(ROW(E$2:E4472)*(E4472=E$2:E4472)))))-COUNTBLANK(OFFSET(A$1,,,SUMPRODUCT(MAX(ROW(E$1:E4471)*(E2=E$1:E4471))))))</f>
        <v/>
      </c>
      <c r="K4472" s="24" t="str">
        <f aca="false">IF(OR(E4472="",E4472="!!!",F4472="NEW"),"",INDEX(J$1:J4471,SUMPRODUCT(MAX(ROW(E$1:E4471)*(E4472=E$1:E4471)))))</f>
        <v/>
      </c>
      <c r="L4472" s="31"/>
    </row>
    <row r="4473" customFormat="false" ht="15" hidden="false" customHeight="false" outlineLevel="0" collapsed="false">
      <c r="A4473" s="20" t="s">
        <v>19</v>
      </c>
      <c r="E4473" s="23" t="str">
        <f aca="false">IF(D4473="?OLD","!!!","")</f>
        <v/>
      </c>
      <c r="F4473" s="25" t="str">
        <f aca="false">IF(OR(E4473="",E4473="!!!"),"",IF(NOT(ISNA(VLOOKUP(E4473,E$1:E4472,1,FALSE()))),"OLD",IF(AND(E4473&lt;&gt;"",E4473&lt;&gt;"!!!"),"NEW","")))</f>
        <v/>
      </c>
      <c r="G4473" s="26" t="str">
        <f aca="false">IF(OR(E4473="",E4473="!!!"),"",IF(OR(J4473=0,AND(J4473=1,K4473=1),AND(J4473=1,I4473="SBJ"),AND(J4473=1,I4473=0)),"?IN_FOCUS",IF(J4473&lt;=2,"?ACTIVATED",IF(J4473&lt;&gt;"","?FAMILIAR",IF(F4473="NEW",IF(ISNA(VLOOKUP(E4473,#REF!,1,FALSE())),"?TYPE_IDENTIFIABLE","?REFERENTIAL"),"_")))))</f>
        <v/>
      </c>
      <c r="H4473" s="27" t="str">
        <f aca="false">IF(J4473&lt;&gt;1,"",IF(I4473="SBJ","CB","?"))</f>
        <v/>
      </c>
      <c r="I4473" s="24" t="str">
        <f aca="false">IF(OR(E4473="",E4473="!!!",F4473="NEW"),"",INDEX(B5:B$4469,-1+SUMPRODUCT(MAX(ROW(E5:E$4469)*(E4473=E5:E$4469)))))</f>
        <v/>
      </c>
      <c r="J4473" s="24" t="str">
        <f aca="true">IF(OR(E4473="",E4473="!!!",F4473="NEW"),"",COUNTBLANK(OFFSET(A$1,,,SUMPRODUCT(MAX(ROW(E$2:E4473)*(E4473=E$2:E4473)))))-COUNTBLANK(OFFSET(A$1,,,SUMPRODUCT(MAX(ROW(E$1:E4472)*(E2=E$1:E4472))))))</f>
        <v/>
      </c>
      <c r="K4473" s="24" t="str">
        <f aca="false">IF(OR(E4473="",E4473="!!!",F4473="NEW"),"",INDEX(J$1:J4472,SUMPRODUCT(MAX(ROW(E$1:E4472)*(E4473=E$1:E4472)))))</f>
        <v/>
      </c>
      <c r="L4473" s="31"/>
    </row>
    <row r="4474" customFormat="false" ht="15" hidden="false" customHeight="false" outlineLevel="0" collapsed="false">
      <c r="A4474" s="20" t="s">
        <v>2388</v>
      </c>
      <c r="E4474" s="23" t="str">
        <f aca="false">IF(D4474="?OLD","!!!","")</f>
        <v/>
      </c>
      <c r="F4474" s="25" t="str">
        <f aca="false">IF(OR(E4474="",E4474="!!!"),"",IF(NOT(ISNA(VLOOKUP(E4474,E$1:E4473,1,FALSE()))),"OLD",IF(AND(E4474&lt;&gt;"",E4474&lt;&gt;"!!!"),"NEW","")))</f>
        <v/>
      </c>
      <c r="G4474" s="26" t="str">
        <f aca="false">IF(OR(E4474="",E4474="!!!"),"",IF(OR(J4474=0,AND(J4474=1,K4474=1),AND(J4474=1,I4474="SBJ"),AND(J4474=1,I4474=0)),"?IN_FOCUS",IF(J4474&lt;=2,"?ACTIVATED",IF(J4474&lt;&gt;"","?FAMILIAR",IF(F4474="NEW",IF(ISNA(VLOOKUP(E4474,#REF!,1,FALSE())),"?TYPE_IDENTIFIABLE","?REFERENTIAL"),"_")))))</f>
        <v/>
      </c>
      <c r="H4474" s="27" t="str">
        <f aca="false">IF(J4474&lt;&gt;1,"",IF(I4474="SBJ","CB","?"))</f>
        <v/>
      </c>
      <c r="I4474" s="24" t="str">
        <f aca="false">IF(OR(E4474="",E4474="!!!",F4474="NEW"),"",INDEX(B6:B$4469,-1+SUMPRODUCT(MAX(ROW(E6:E$4469)*(E4474=E6:E$4469)))))</f>
        <v/>
      </c>
      <c r="J4474" s="24" t="str">
        <f aca="true">IF(OR(E4474="",E4474="!!!",F4474="NEW"),"",COUNTBLANK(OFFSET(A$1,,,SUMPRODUCT(MAX(ROW(E$2:E4474)*(E4474=E$2:E4474)))))-COUNTBLANK(OFFSET(A$1,,,SUMPRODUCT(MAX(ROW(E$1:E4473)*(E2=E$1:E4473))))))</f>
        <v/>
      </c>
      <c r="K4474" s="24" t="str">
        <f aca="false">IF(OR(E4474="",E4474="!!!",F4474="NEW"),"",INDEX(J$1:J4473,SUMPRODUCT(MAX(ROW(E$1:E4473)*(E4474=E$1:E4473)))))</f>
        <v/>
      </c>
      <c r="L4474" s="31"/>
    </row>
    <row r="4475" customFormat="false" ht="15" hidden="false" customHeight="false" outlineLevel="0" collapsed="false">
      <c r="A4475" s="20" t="s">
        <v>1095</v>
      </c>
      <c r="E4475" s="23" t="str">
        <f aca="false">IF(D4475="?OLD","!!!","")</f>
        <v/>
      </c>
      <c r="F4475" s="25" t="str">
        <f aca="false">IF(OR(E4475="",E4475="!!!"),"",IF(NOT(ISNA(VLOOKUP(E4475,E$1:E4474,1,FALSE()))),"OLD",IF(AND(E4475&lt;&gt;"",E4475&lt;&gt;"!!!"),"NEW","")))</f>
        <v/>
      </c>
      <c r="G4475" s="26" t="str">
        <f aca="false">IF(OR(E4475="",E4475="!!!"),"",IF(OR(J4475=0,AND(J4475=1,K4475=1),AND(J4475=1,I4475="SBJ"),AND(J4475=1,I4475=0)),"?IN_FOCUS",IF(J4475&lt;=2,"?ACTIVATED",IF(J4475&lt;&gt;"","?FAMILIAR",IF(F4475="NEW",IF(ISNA(VLOOKUP(E4475,#REF!,1,FALSE())),"?TYPE_IDENTIFIABLE","?REFERENTIAL"),"_")))))</f>
        <v/>
      </c>
      <c r="H4475" s="27" t="str">
        <f aca="false">IF(J4475&lt;&gt;1,"",IF(I4475="SBJ","CB","?"))</f>
        <v/>
      </c>
      <c r="I4475" s="24" t="str">
        <f aca="false">IF(OR(E4475="",E4475="!!!",F4475="NEW"),"",INDEX(B7:B$4469,-1+SUMPRODUCT(MAX(ROW(E7:E$4469)*(E4475=E7:E$4469)))))</f>
        <v/>
      </c>
      <c r="J4475" s="24" t="str">
        <f aca="true">IF(OR(E4475="",E4475="!!!",F4475="NEW"),"",COUNTBLANK(OFFSET(A$1,,,SUMPRODUCT(MAX(ROW(E$2:E4475)*(E4475=E$2:E4475)))))-COUNTBLANK(OFFSET(A$1,,,SUMPRODUCT(MAX(ROW(E$1:E4474)*(E2=E$1:E4474))))))</f>
        <v/>
      </c>
      <c r="K4475" s="24" t="str">
        <f aca="false">IF(OR(E4475="",E4475="!!!",F4475="NEW"),"",INDEX(J$1:J4474,SUMPRODUCT(MAX(ROW(E$1:E4474)*(E4475=E$1:E4474)))))</f>
        <v/>
      </c>
      <c r="L4475" s="31"/>
    </row>
    <row r="4476" customFormat="false" ht="15" hidden="false" customHeight="false" outlineLevel="0" collapsed="false">
      <c r="A4476" s="20" t="s">
        <v>1109</v>
      </c>
      <c r="E4476" s="23" t="str">
        <f aca="false">IF(D4476="?OLD","!!!","")</f>
        <v/>
      </c>
      <c r="F4476" s="25" t="str">
        <f aca="false">IF(OR(E4476="",E4476="!!!"),"",IF(NOT(ISNA(VLOOKUP(E4476,E$1:E4475,1,FALSE()))),"OLD",IF(AND(E4476&lt;&gt;"",E4476&lt;&gt;"!!!"),"NEW","")))</f>
        <v/>
      </c>
      <c r="G4476" s="26" t="str">
        <f aca="false">IF(OR(E4476="",E4476="!!!"),"",IF(OR(J4476=0,AND(J4476=1,K4476=1),AND(J4476=1,I4476="SBJ"),AND(J4476=1,I4476=0)),"?IN_FOCUS",IF(J4476&lt;=2,"?ACTIVATED",IF(J4476&lt;&gt;"","?FAMILIAR",IF(F4476="NEW",IF(ISNA(VLOOKUP(E4476,#REF!,1,FALSE())),"?TYPE_IDENTIFIABLE","?REFERENTIAL"),"_")))))</f>
        <v/>
      </c>
      <c r="H4476" s="27" t="str">
        <f aca="false">IF(J4476&lt;&gt;1,"",IF(I4476="SBJ","CB","?"))</f>
        <v/>
      </c>
      <c r="I4476" s="24" t="str">
        <f aca="false">IF(OR(E4476="",E4476="!!!",F4476="NEW"),"",INDEX(B8:B$4469,-1+SUMPRODUCT(MAX(ROW(E8:E$4469)*(E4476=E8:E$4469)))))</f>
        <v/>
      </c>
      <c r="J4476" s="24" t="str">
        <f aca="true">IF(OR(E4476="",E4476="!!!",F4476="NEW"),"",COUNTBLANK(OFFSET(A$1,,,SUMPRODUCT(MAX(ROW(E$2:E4476)*(E4476=E$2:E4476)))))-COUNTBLANK(OFFSET(A$1,,,SUMPRODUCT(MAX(ROW(E$1:E4475)*(E2=E$1:E4475))))))</f>
        <v/>
      </c>
      <c r="K4476" s="24" t="str">
        <f aca="false">IF(OR(E4476="",E4476="!!!",F4476="NEW"),"",INDEX(J$1:J4475,SUMPRODUCT(MAX(ROW(E$1:E4475)*(E4476=E$1:E4475)))))</f>
        <v/>
      </c>
      <c r="L4476" s="31"/>
    </row>
    <row r="4477" customFormat="false" ht="15" hidden="false" customHeight="false" outlineLevel="0" collapsed="false">
      <c r="A4477" s="20" t="s">
        <v>2389</v>
      </c>
      <c r="B4477" s="22" t="s">
        <v>1105</v>
      </c>
      <c r="C4477" s="22" t="s">
        <v>1059</v>
      </c>
      <c r="D4477" s="22" t="s">
        <v>1060</v>
      </c>
      <c r="E4477" s="23" t="str">
        <f aca="false">IF(D4477="?OLD","!!!","")</f>
        <v>!!!</v>
      </c>
      <c r="F4477" s="25" t="str">
        <f aca="false">IF(OR(E4477="",E4477="!!!"),"",IF(NOT(ISNA(VLOOKUP(E4477,E$1:E4476,1,FALSE()))),"OLD",IF(AND(E4477&lt;&gt;"",E4477&lt;&gt;"!!!"),"NEW","")))</f>
        <v/>
      </c>
      <c r="G4477" s="26" t="str">
        <f aca="false">IF(OR(E4477="",E4477="!!!"),"",IF(OR(J4477=0,AND(J4477=1,K4477=1),AND(J4477=1,I4477="SBJ"),AND(J4477=1,I4477=0)),"?IN_FOCUS",IF(J4477&lt;=2,"?ACTIVATED",IF(J4477&lt;&gt;"","?FAMILIAR",IF(F4477="NEW",IF(ISNA(VLOOKUP(E4477,#REF!,1,FALSE())),"?TYPE_IDENTIFIABLE","?REFERENTIAL"),"_")))))</f>
        <v/>
      </c>
      <c r="H4477" s="27" t="str">
        <f aca="false">IF(J4477&lt;&gt;1,"",IF(I4477="SBJ","CB","?"))</f>
        <v/>
      </c>
      <c r="I4477" s="24" t="str">
        <f aca="false">IF(OR(E4477="",E4477="!!!",F4477="NEW"),"",INDEX(B9:B$4469,-1+SUMPRODUCT(MAX(ROW(E9:E$4469)*(E4477=E9:E$4469)))))</f>
        <v/>
      </c>
      <c r="J4477" s="24" t="str">
        <f aca="true">IF(OR(E4477="",E4477="!!!",F4477="NEW"),"",COUNTBLANK(OFFSET(A$1,,,SUMPRODUCT(MAX(ROW(E$2:E4477)*(E4477=E$2:E4477)))))-COUNTBLANK(OFFSET(A$1,,,SUMPRODUCT(MAX(ROW(E$1:E4476)*(E2=E$1:E4476))))))</f>
        <v/>
      </c>
      <c r="K4477" s="24" t="str">
        <f aca="false">IF(OR(E4477="",E4477="!!!",F4477="NEW"),"",INDEX(J$1:J4476,SUMPRODUCT(MAX(ROW(E$1:E4476)*(E4477=E$1:E4476)))))</f>
        <v/>
      </c>
      <c r="L4477" s="31"/>
    </row>
    <row r="4478" customFormat="false" ht="15" hidden="false" customHeight="false" outlineLevel="0" collapsed="false">
      <c r="A4478" s="20" t="s">
        <v>1064</v>
      </c>
      <c r="E4478" s="23" t="str">
        <f aca="false">IF(D4478="?OLD","!!!","")</f>
        <v/>
      </c>
      <c r="F4478" s="25" t="str">
        <f aca="false">IF(OR(E4478="",E4478="!!!"),"",IF(NOT(ISNA(VLOOKUP(E4478,E$1:E4477,1,FALSE()))),"OLD",IF(AND(E4478&lt;&gt;"",E4478&lt;&gt;"!!!"),"NEW","")))</f>
        <v/>
      </c>
      <c r="G4478" s="26" t="str">
        <f aca="false">IF(OR(E4478="",E4478="!!!"),"",IF(OR(J4478=0,AND(J4478=1,K4478=1),AND(J4478=1,I4478="SBJ"),AND(J4478=1,I4478=0)),"?IN_FOCUS",IF(J4478&lt;=2,"?ACTIVATED",IF(J4478&lt;&gt;"","?FAMILIAR",IF(F4478="NEW",IF(ISNA(VLOOKUP(E4478,#REF!,1,FALSE())),"?TYPE_IDENTIFIABLE","?REFERENTIAL"),"_")))))</f>
        <v/>
      </c>
      <c r="H4478" s="27" t="str">
        <f aca="false">IF(J4478&lt;&gt;1,"",IF(I4478="SBJ","CB","?"))</f>
        <v/>
      </c>
      <c r="I4478" s="24" t="str">
        <f aca="false">IF(OR(E4478="",E4478="!!!",F4478="NEW"),"",INDEX(B10:B$4469,-1+SUMPRODUCT(MAX(ROW(E10:E$4469)*(E4478=E10:E$4469)))))</f>
        <v/>
      </c>
      <c r="J4478" s="24" t="str">
        <f aca="true">IF(OR(E4478="",E4478="!!!",F4478="NEW"),"",COUNTBLANK(OFFSET(A$1,,,SUMPRODUCT(MAX(ROW(E$2:E4478)*(E4478=E$2:E4478)))))-COUNTBLANK(OFFSET(A$1,,,SUMPRODUCT(MAX(ROW(E$1:E4477)*(E2=E$1:E4477))))))</f>
        <v/>
      </c>
      <c r="K4478" s="24" t="str">
        <f aca="false">IF(OR(E4478="",E4478="!!!",F4478="NEW"),"",INDEX(J$1:J4477,SUMPRODUCT(MAX(ROW(E$1:E4477)*(E4478=E$1:E4477)))))</f>
        <v/>
      </c>
      <c r="L4478" s="31"/>
    </row>
    <row r="4479" customFormat="false" ht="15" hidden="false" customHeight="false" outlineLevel="0" collapsed="false">
      <c r="A4479" s="20" t="s">
        <v>1339</v>
      </c>
      <c r="E4479" s="23" t="str">
        <f aca="false">IF(D4479="?OLD","!!!","")</f>
        <v/>
      </c>
      <c r="F4479" s="25" t="str">
        <f aca="false">IF(OR(E4479="",E4479="!!!"),"",IF(NOT(ISNA(VLOOKUP(E4479,E$1:E4478,1,FALSE()))),"OLD",IF(AND(E4479&lt;&gt;"",E4479&lt;&gt;"!!!"),"NEW","")))</f>
        <v/>
      </c>
      <c r="G4479" s="26" t="str">
        <f aca="false">IF(OR(E4479="",E4479="!!!"),"",IF(OR(J4479=0,AND(J4479=1,K4479=1),AND(J4479=1,I4479="SBJ"),AND(J4479=1,I4479=0)),"?IN_FOCUS",IF(J4479&lt;=2,"?ACTIVATED",IF(J4479&lt;&gt;"","?FAMILIAR",IF(F4479="NEW",IF(ISNA(VLOOKUP(E4479,#REF!,1,FALSE())),"?TYPE_IDENTIFIABLE","?REFERENTIAL"),"_")))))</f>
        <v/>
      </c>
      <c r="H4479" s="27" t="str">
        <f aca="false">IF(J4479&lt;&gt;1,"",IF(I4479="SBJ","CB","?"))</f>
        <v/>
      </c>
      <c r="I4479" s="24" t="str">
        <f aca="false">IF(OR(E4479="",E4479="!!!",F4479="NEW"),"",INDEX(B11:B$4469,-1+SUMPRODUCT(MAX(ROW(E11:E$4469)*(E4479=E11:E$4469)))))</f>
        <v/>
      </c>
      <c r="J4479" s="24" t="str">
        <f aca="true">IF(OR(E4479="",E4479="!!!",F4479="NEW"),"",COUNTBLANK(OFFSET(A$1,,,SUMPRODUCT(MAX(ROW(E$2:E4479)*(E4479=E$2:E4479)))))-COUNTBLANK(OFFSET(A$1,,,SUMPRODUCT(MAX(ROW(E$1:E4478)*(E2=E$1:E4478))))))</f>
        <v/>
      </c>
      <c r="K4479" s="24" t="str">
        <f aca="false">IF(OR(E4479="",E4479="!!!",F4479="NEW"),"",INDEX(J$1:J4478,SUMPRODUCT(MAX(ROW(E$1:E4478)*(E4479=E$1:E4478)))))</f>
        <v/>
      </c>
      <c r="L4479" s="31"/>
    </row>
    <row r="4480" customFormat="false" ht="15" hidden="false" customHeight="false" outlineLevel="0" collapsed="false">
      <c r="A4480" s="20" t="s">
        <v>2390</v>
      </c>
      <c r="E4480" s="23" t="str">
        <f aca="false">IF(D4480="?OLD","!!!","")</f>
        <v/>
      </c>
      <c r="F4480" s="25" t="str">
        <f aca="false">IF(OR(E4480="",E4480="!!!"),"",IF(NOT(ISNA(VLOOKUP(E4480,E$1:E4479,1,FALSE()))),"OLD",IF(AND(E4480&lt;&gt;"",E4480&lt;&gt;"!!!"),"NEW","")))</f>
        <v/>
      </c>
      <c r="G4480" s="26" t="str">
        <f aca="false">IF(OR(E4480="",E4480="!!!"),"",IF(OR(J4480=0,AND(J4480=1,K4480=1),AND(J4480=1,I4480="SBJ"),AND(J4480=1,I4480=0)),"?IN_FOCUS",IF(J4480&lt;=2,"?ACTIVATED",IF(J4480&lt;&gt;"","?FAMILIAR",IF(F4480="NEW",IF(ISNA(VLOOKUP(E4480,#REF!,1,FALSE())),"?TYPE_IDENTIFIABLE","?REFERENTIAL"),"_")))))</f>
        <v/>
      </c>
      <c r="H4480" s="27" t="str">
        <f aca="false">IF(J4480&lt;&gt;1,"",IF(I4480="SBJ","CB","?"))</f>
        <v/>
      </c>
      <c r="I4480" s="24" t="str">
        <f aca="false">IF(OR(E4480="",E4480="!!!",F4480="NEW"),"",INDEX(B12:B$4469,-1+SUMPRODUCT(MAX(ROW(E12:E$4469)*(E4480=E12:E$4469)))))</f>
        <v/>
      </c>
      <c r="J4480" s="24" t="str">
        <f aca="true">IF(OR(E4480="",E4480="!!!",F4480="NEW"),"",COUNTBLANK(OFFSET(A$1,,,SUMPRODUCT(MAX(ROW(E$2:E4480)*(E4480=E$2:E4480)))))-COUNTBLANK(OFFSET(A$1,,,SUMPRODUCT(MAX(ROW(E$1:E4479)*(E2=E$1:E4479))))))</f>
        <v/>
      </c>
      <c r="K4480" s="24" t="str">
        <f aca="false">IF(OR(E4480="",E4480="!!!",F4480="NEW"),"",INDEX(J$1:J4479,SUMPRODUCT(MAX(ROW(E$1:E4479)*(E4480=E$1:E4479)))))</f>
        <v/>
      </c>
      <c r="L4480" s="31"/>
    </row>
    <row r="4481" customFormat="false" ht="15" hidden="false" customHeight="false" outlineLevel="0" collapsed="false">
      <c r="A4481" s="20" t="s">
        <v>2391</v>
      </c>
      <c r="B4481" s="22" t="s">
        <v>1073</v>
      </c>
      <c r="C4481" s="22" t="s">
        <v>1171</v>
      </c>
      <c r="D4481" s="22" t="s">
        <v>1060</v>
      </c>
      <c r="E4481" s="23" t="str">
        <f aca="false">IF(D4481="?OLD","!!!","")</f>
        <v>!!!</v>
      </c>
      <c r="F4481" s="25" t="str">
        <f aca="false">IF(OR(E4481="",E4481="!!!"),"",IF(NOT(ISNA(VLOOKUP(E4481,E$1:E4480,1,FALSE()))),"OLD",IF(AND(E4481&lt;&gt;"",E4481&lt;&gt;"!!!"),"NEW","")))</f>
        <v/>
      </c>
      <c r="G4481" s="26" t="str">
        <f aca="false">IF(OR(E4481="",E4481="!!!"),"",IF(OR(J4481=0,AND(J4481=1,K4481=1),AND(J4481=1,I4481="SBJ"),AND(J4481=1,I4481=0)),"?IN_FOCUS",IF(J4481&lt;=2,"?ACTIVATED",IF(J4481&lt;&gt;"","?FAMILIAR",IF(F4481="NEW",IF(ISNA(VLOOKUP(E4481,#REF!,1,FALSE())),"?TYPE_IDENTIFIABLE","?REFERENTIAL"),"_")))))</f>
        <v/>
      </c>
      <c r="H4481" s="27" t="str">
        <f aca="false">IF(J4481&lt;&gt;1,"",IF(I4481="SBJ","CB","?"))</f>
        <v/>
      </c>
      <c r="I4481" s="24" t="str">
        <f aca="false">IF(OR(E4481="",E4481="!!!",F4481="NEW"),"",INDEX(B13:B$4469,-1+SUMPRODUCT(MAX(ROW(E13:E$4469)*(E4481=E13:E$4469)))))</f>
        <v/>
      </c>
      <c r="J4481" s="24" t="str">
        <f aca="true">IF(OR(E4481="",E4481="!!!",F4481="NEW"),"",COUNTBLANK(OFFSET(A$1,,,SUMPRODUCT(MAX(ROW(E$2:E4481)*(E4481=E$2:E4481)))))-COUNTBLANK(OFFSET(A$1,,,SUMPRODUCT(MAX(ROW(E$1:E4480)*(E2=E$1:E4480))))))</f>
        <v/>
      </c>
      <c r="K4481" s="24" t="str">
        <f aca="false">IF(OR(E4481="",E4481="!!!",F4481="NEW"),"",INDEX(J$1:J4480,SUMPRODUCT(MAX(ROW(E$1:E4480)*(E4481=E$1:E4480)))))</f>
        <v/>
      </c>
      <c r="L4481" s="31"/>
    </row>
    <row r="4482" customFormat="false" ht="15" hidden="false" customHeight="false" outlineLevel="0" collapsed="false">
      <c r="A4482" s="20" t="s">
        <v>1076</v>
      </c>
      <c r="E4482" s="23" t="str">
        <f aca="false">IF(D4482="?OLD","!!!","")</f>
        <v/>
      </c>
      <c r="F4482" s="25" t="str">
        <f aca="false">IF(OR(E4482="",E4482="!!!"),"",IF(NOT(ISNA(VLOOKUP(E4482,E$1:E4481,1,FALSE()))),"OLD",IF(AND(E4482&lt;&gt;"",E4482&lt;&gt;"!!!"),"NEW","")))</f>
        <v/>
      </c>
      <c r="G4482" s="26" t="str">
        <f aca="false">IF(OR(E4482="",E4482="!!!"),"",IF(OR(J4482=0,AND(J4482=1,K4482=1),AND(J4482=1,I4482="SBJ"),AND(J4482=1,I4482=0)),"?IN_FOCUS",IF(J4482&lt;=2,"?ACTIVATED",IF(J4482&lt;&gt;"","?FAMILIAR",IF(F4482="NEW",IF(ISNA(VLOOKUP(E4482,#REF!,1,FALSE())),"?TYPE_IDENTIFIABLE","?REFERENTIAL"),"_")))))</f>
        <v/>
      </c>
      <c r="H4482" s="27" t="str">
        <f aca="false">IF(J4482&lt;&gt;1,"",IF(I4482="SBJ","CB","?"))</f>
        <v/>
      </c>
      <c r="I4482" s="24" t="str">
        <f aca="false">IF(OR(E4482="",E4482="!!!",F4482="NEW"),"",INDEX(B14:B$4469,-1+SUMPRODUCT(MAX(ROW(E14:E$4469)*(E4482=E14:E$4469)))))</f>
        <v/>
      </c>
      <c r="J4482" s="24" t="str">
        <f aca="true">IF(OR(E4482="",E4482="!!!",F4482="NEW"),"",COUNTBLANK(OFFSET(A$1,,,SUMPRODUCT(MAX(ROW(E$2:E4482)*(E4482=E$2:E4482)))))-COUNTBLANK(OFFSET(A$1,,,SUMPRODUCT(MAX(ROW(E$1:E4481)*(E2=E$1:E4481))))))</f>
        <v/>
      </c>
      <c r="K4482" s="24" t="str">
        <f aca="false">IF(OR(E4482="",E4482="!!!",F4482="NEW"),"",INDEX(J$1:J4481,SUMPRODUCT(MAX(ROW(E$1:E4481)*(E4482=E$1:E4481)))))</f>
        <v/>
      </c>
      <c r="L4482" s="31"/>
    </row>
    <row r="4483" customFormat="false" ht="15" hidden="false" customHeight="false" outlineLevel="0" collapsed="false">
      <c r="A4483" s="20" t="s">
        <v>1173</v>
      </c>
      <c r="E4483" s="23" t="str">
        <f aca="false">IF(D4483="?OLD","!!!","")</f>
        <v/>
      </c>
      <c r="F4483" s="25" t="str">
        <f aca="false">IF(OR(E4483="",E4483="!!!"),"",IF(NOT(ISNA(VLOOKUP(E4483,E$1:E4482,1,FALSE()))),"OLD",IF(AND(E4483&lt;&gt;"",E4483&lt;&gt;"!!!"),"NEW","")))</f>
        <v/>
      </c>
      <c r="G4483" s="26" t="str">
        <f aca="false">IF(OR(E4483="",E4483="!!!"),"",IF(OR(J4483=0,AND(J4483=1,K4483=1),AND(J4483=1,I4483="SBJ"),AND(J4483=1,I4483=0)),"?IN_FOCUS",IF(J4483&lt;=2,"?ACTIVATED",IF(J4483&lt;&gt;"","?FAMILIAR",IF(F4483="NEW",IF(ISNA(VLOOKUP(E4483,#REF!,1,FALSE())),"?TYPE_IDENTIFIABLE","?REFERENTIAL"),"_")))))</f>
        <v/>
      </c>
      <c r="H4483" s="27" t="str">
        <f aca="false">IF(J4483&lt;&gt;1,"",IF(I4483="SBJ","CB","?"))</f>
        <v/>
      </c>
      <c r="I4483" s="24" t="str">
        <f aca="false">IF(OR(E4483="",E4483="!!!",F4483="NEW"),"",INDEX(B15:B$4469,-1+SUMPRODUCT(MAX(ROW(E15:E$4469)*(E4483=E15:E$4469)))))</f>
        <v/>
      </c>
      <c r="J4483" s="24" t="str">
        <f aca="true">IF(OR(E4483="",E4483="!!!",F4483="NEW"),"",COUNTBLANK(OFFSET(A$1,,,SUMPRODUCT(MAX(ROW(E$2:E4483)*(E4483=E$2:E4483)))))-COUNTBLANK(OFFSET(A$1,,,SUMPRODUCT(MAX(ROW(E$1:E4482)*(E2=E$1:E4482))))))</f>
        <v/>
      </c>
      <c r="K4483" s="24" t="str">
        <f aca="false">IF(OR(E4483="",E4483="!!!",F4483="NEW"),"",INDEX(J$1:J4482,SUMPRODUCT(MAX(ROW(E$1:E4482)*(E4483=E$1:E4482)))))</f>
        <v/>
      </c>
      <c r="L4483" s="31"/>
    </row>
    <row r="4484" customFormat="false" ht="15" hidden="false" customHeight="false" outlineLevel="0" collapsed="false">
      <c r="A4484" s="20" t="s">
        <v>1125</v>
      </c>
      <c r="E4484" s="23" t="str">
        <f aca="false">IF(D4484="?OLD","!!!","")</f>
        <v/>
      </c>
      <c r="F4484" s="25" t="str">
        <f aca="false">IF(OR(E4484="",E4484="!!!"),"",IF(NOT(ISNA(VLOOKUP(E4484,E$1:E4483,1,FALSE()))),"OLD",IF(AND(E4484&lt;&gt;"",E4484&lt;&gt;"!!!"),"NEW","")))</f>
        <v/>
      </c>
      <c r="G4484" s="26" t="str">
        <f aca="false">IF(OR(E4484="",E4484="!!!"),"",IF(OR(J4484=0,AND(J4484=1,K4484=1),AND(J4484=1,I4484="SBJ"),AND(J4484=1,I4484=0)),"?IN_FOCUS",IF(J4484&lt;=2,"?ACTIVATED",IF(J4484&lt;&gt;"","?FAMILIAR",IF(F4484="NEW",IF(ISNA(VLOOKUP(E4484,#REF!,1,FALSE())),"?TYPE_IDENTIFIABLE","?REFERENTIAL"),"_")))))</f>
        <v/>
      </c>
      <c r="H4484" s="27" t="str">
        <f aca="false">IF(J4484&lt;&gt;1,"",IF(I4484="SBJ","CB","?"))</f>
        <v/>
      </c>
      <c r="I4484" s="24" t="str">
        <f aca="false">IF(OR(E4484="",E4484="!!!",F4484="NEW"),"",INDEX(B16:B$4469,-1+SUMPRODUCT(MAX(ROW(E16:E$4469)*(E4484=E16:E$4469)))))</f>
        <v/>
      </c>
      <c r="J4484" s="24" t="str">
        <f aca="true">IF(OR(E4484="",E4484="!!!",F4484="NEW"),"",COUNTBLANK(OFFSET(A$1,,,SUMPRODUCT(MAX(ROW(E$2:E4484)*(E4484=E$2:E4484)))))-COUNTBLANK(OFFSET(A$1,,,SUMPRODUCT(MAX(ROW(E$1:E4483)*(E2=E$1:E4483))))))</f>
        <v/>
      </c>
      <c r="K4484" s="24" t="str">
        <f aca="false">IF(OR(E4484="",E4484="!!!",F4484="NEW"),"",INDEX(J$1:J4483,SUMPRODUCT(MAX(ROW(E$1:E4483)*(E4484=E$1:E4483)))))</f>
        <v/>
      </c>
      <c r="L4484" s="31"/>
    </row>
    <row r="4485" customFormat="false" ht="15" hidden="false" customHeight="false" outlineLevel="0" collapsed="false">
      <c r="A4485" s="20" t="s">
        <v>1162</v>
      </c>
      <c r="B4485" s="22" t="s">
        <v>1086</v>
      </c>
      <c r="C4485" s="22" t="s">
        <v>1082</v>
      </c>
      <c r="D4485" s="22" t="s">
        <v>1060</v>
      </c>
      <c r="E4485" s="23" t="str">
        <f aca="false">IF(D4485="?OLD","!!!","")</f>
        <v>!!!</v>
      </c>
      <c r="F4485" s="25" t="str">
        <f aca="false">IF(OR(E4485="",E4485="!!!"),"",IF(NOT(ISNA(VLOOKUP(E4485,E$1:E4484,1,FALSE()))),"OLD",IF(AND(E4485&lt;&gt;"",E4485&lt;&gt;"!!!"),"NEW","")))</f>
        <v/>
      </c>
      <c r="G4485" s="26" t="str">
        <f aca="false">IF(OR(E4485="",E4485="!!!"),"",IF(OR(J4485=0,AND(J4485=1,K4485=1),AND(J4485=1,I4485="SBJ"),AND(J4485=1,I4485=0)),"?IN_FOCUS",IF(J4485&lt;=2,"?ACTIVATED",IF(J4485&lt;&gt;"","?FAMILIAR",IF(F4485="NEW",IF(ISNA(VLOOKUP(E4485,#REF!,1,FALSE())),"?TYPE_IDENTIFIABLE","?REFERENTIAL"),"_")))))</f>
        <v/>
      </c>
      <c r="H4485" s="27" t="str">
        <f aca="false">IF(J4485&lt;&gt;1,"",IF(I4485="SBJ","CB","?"))</f>
        <v/>
      </c>
      <c r="I4485" s="24" t="str">
        <f aca="false">IF(OR(E4485="",E4485="!!!",F4485="NEW"),"",INDEX(B17:B$4469,-1+SUMPRODUCT(MAX(ROW(E17:E$4469)*(E4485=E17:E$4469)))))</f>
        <v/>
      </c>
      <c r="J4485" s="24" t="str">
        <f aca="true">IF(OR(E4485="",E4485="!!!",F4485="NEW"),"",COUNTBLANK(OFFSET(A$1,,,SUMPRODUCT(MAX(ROW(E$2:E4485)*(E4485=E$2:E4485)))))-COUNTBLANK(OFFSET(A$1,,,SUMPRODUCT(MAX(ROW(E$1:E4484)*(E2=E$1:E4484))))))</f>
        <v/>
      </c>
      <c r="K4485" s="24" t="str">
        <f aca="false">IF(OR(E4485="",E4485="!!!",F4485="NEW"),"",INDEX(J$1:J4484,SUMPRODUCT(MAX(ROW(E$1:E4484)*(E4485=E$1:E4484)))))</f>
        <v/>
      </c>
      <c r="L4485" s="31"/>
    </row>
    <row r="4486" customFormat="false" ht="15" hidden="false" customHeight="false" outlineLevel="0" collapsed="false">
      <c r="A4486" s="20" t="s">
        <v>576</v>
      </c>
      <c r="E4486" s="23" t="str">
        <f aca="false">IF(D4486="?OLD","!!!","")</f>
        <v/>
      </c>
      <c r="F4486" s="25" t="str">
        <f aca="false">IF(OR(E4486="",E4486="!!!"),"",IF(NOT(ISNA(VLOOKUP(E4486,E$1:E4485,1,FALSE()))),"OLD",IF(AND(E4486&lt;&gt;"",E4486&lt;&gt;"!!!"),"NEW","")))</f>
        <v/>
      </c>
      <c r="G4486" s="26" t="str">
        <f aca="false">IF(OR(E4486="",E4486="!!!"),"",IF(OR(J4486=0,AND(J4486=1,K4486=1),AND(J4486=1,I4486="SBJ"),AND(J4486=1,I4486=0)),"?IN_FOCUS",IF(J4486&lt;=2,"?ACTIVATED",IF(J4486&lt;&gt;"","?FAMILIAR",IF(F4486="NEW",IF(ISNA(VLOOKUP(E4486,#REF!,1,FALSE())),"?TYPE_IDENTIFIABLE","?REFERENTIAL"),"_")))))</f>
        <v/>
      </c>
      <c r="H4486" s="27" t="str">
        <f aca="false">IF(J4486&lt;&gt;1,"",IF(I4486="SBJ","CB","?"))</f>
        <v/>
      </c>
      <c r="I4486" s="24" t="str">
        <f aca="false">IF(OR(E4486="",E4486="!!!",F4486="NEW"),"",INDEX(B18:B$4469,-1+SUMPRODUCT(MAX(ROW(E18:E$4469)*(E4486=E18:E$4469)))))</f>
        <v/>
      </c>
      <c r="J4486" s="24" t="str">
        <f aca="true">IF(OR(E4486="",E4486="!!!",F4486="NEW"),"",COUNTBLANK(OFFSET(A$1,,,SUMPRODUCT(MAX(ROW(E$2:E4486)*(E4486=E$2:E4486)))))-COUNTBLANK(OFFSET(A$1,,,SUMPRODUCT(MAX(ROW(E$1:E4485)*(E2=E$1:E4485))))))</f>
        <v/>
      </c>
      <c r="K4486" s="24" t="str">
        <f aca="false">IF(OR(E4486="",E4486="!!!",F4486="NEW"),"",INDEX(J$1:J4485,SUMPRODUCT(MAX(ROW(E$1:E4485)*(E4486=E$1:E4485)))))</f>
        <v/>
      </c>
      <c r="L4486" s="31"/>
    </row>
    <row r="4487" customFormat="false" ht="15" hidden="false" customHeight="false" outlineLevel="0" collapsed="false">
      <c r="A4487" s="20" t="s">
        <v>2089</v>
      </c>
      <c r="E4487" s="23" t="str">
        <f aca="false">IF(D4487="?OLD","!!!","")</f>
        <v/>
      </c>
      <c r="F4487" s="25" t="str">
        <f aca="false">IF(OR(E4487="",E4487="!!!"),"",IF(NOT(ISNA(VLOOKUP(E4487,E$1:E4486,1,FALSE()))),"OLD",IF(AND(E4487&lt;&gt;"",E4487&lt;&gt;"!!!"),"NEW","")))</f>
        <v/>
      </c>
      <c r="G4487" s="26" t="str">
        <f aca="false">IF(OR(E4487="",E4487="!!!"),"",IF(OR(J4487=0,AND(J4487=1,K4487=1),AND(J4487=1,I4487="SBJ"),AND(J4487=1,I4487=0)),"?IN_FOCUS",IF(J4487&lt;=2,"?ACTIVATED",IF(J4487&lt;&gt;"","?FAMILIAR",IF(F4487="NEW",IF(ISNA(VLOOKUP(E4487,#REF!,1,FALSE())),"?TYPE_IDENTIFIABLE","?REFERENTIAL"),"_")))))</f>
        <v/>
      </c>
      <c r="H4487" s="27" t="str">
        <f aca="false">IF(J4487&lt;&gt;1,"",IF(I4487="SBJ","CB","?"))</f>
        <v/>
      </c>
      <c r="I4487" s="24" t="str">
        <f aca="false">IF(OR(E4487="",E4487="!!!",F4487="NEW"),"",INDEX(B19:B$4469,-1+SUMPRODUCT(MAX(ROW(E19:E$4469)*(E4487=E19:E$4469)))))</f>
        <v/>
      </c>
      <c r="J4487" s="24" t="str">
        <f aca="true">IF(OR(E4487="",E4487="!!!",F4487="NEW"),"",COUNTBLANK(OFFSET(A$1,,,SUMPRODUCT(MAX(ROW(E$2:E4487)*(E4487=E$2:E4487)))))-COUNTBLANK(OFFSET(A$1,,,SUMPRODUCT(MAX(ROW(E$1:E4486)*(E2=E$1:E4486))))))</f>
        <v/>
      </c>
      <c r="K4487" s="24" t="str">
        <f aca="false">IF(OR(E4487="",E4487="!!!",F4487="NEW"),"",INDEX(J$1:J4486,SUMPRODUCT(MAX(ROW(E$1:E4486)*(E4487=E$1:E4486)))))</f>
        <v/>
      </c>
      <c r="L4487" s="31"/>
    </row>
    <row r="4488" customFormat="false" ht="15" hidden="false" customHeight="false" outlineLevel="0" collapsed="false">
      <c r="A4488" s="20" t="s">
        <v>1095</v>
      </c>
      <c r="E4488" s="23" t="str">
        <f aca="false">IF(D4488="?OLD","!!!","")</f>
        <v/>
      </c>
      <c r="F4488" s="25" t="str">
        <f aca="false">IF(OR(E4488="",E4488="!!!"),"",IF(NOT(ISNA(VLOOKUP(E4488,E$1:E4487,1,FALSE()))),"OLD",IF(AND(E4488&lt;&gt;"",E4488&lt;&gt;"!!!"),"NEW","")))</f>
        <v/>
      </c>
      <c r="G4488" s="26" t="str">
        <f aca="false">IF(OR(E4488="",E4488="!!!"),"",IF(OR(J4488=0,AND(J4488=1,K4488=1),AND(J4488=1,I4488="SBJ"),AND(J4488=1,I4488=0)),"?IN_FOCUS",IF(J4488&lt;=2,"?ACTIVATED",IF(J4488&lt;&gt;"","?FAMILIAR",IF(F4488="NEW",IF(ISNA(VLOOKUP(E4488,#REF!,1,FALSE())),"?TYPE_IDENTIFIABLE","?REFERENTIAL"),"_")))))</f>
        <v/>
      </c>
      <c r="H4488" s="27" t="str">
        <f aca="false">IF(J4488&lt;&gt;1,"",IF(I4488="SBJ","CB","?"))</f>
        <v/>
      </c>
      <c r="I4488" s="24" t="str">
        <f aca="false">IF(OR(E4488="",E4488="!!!",F4488="NEW"),"",INDEX(B20:B$4469,-1+SUMPRODUCT(MAX(ROW(E20:E$4469)*(E4488=E20:E$4469)))))</f>
        <v/>
      </c>
      <c r="J4488" s="24" t="str">
        <f aca="true">IF(OR(E4488="",E4488="!!!",F4488="NEW"),"",COUNTBLANK(OFFSET(A$1,,,SUMPRODUCT(MAX(ROW(E$2:E4488)*(E4488=E$2:E4488)))))-COUNTBLANK(OFFSET(A$1,,,SUMPRODUCT(MAX(ROW(E$1:E4487)*(E2=E$1:E4487))))))</f>
        <v/>
      </c>
      <c r="K4488" s="24" t="str">
        <f aca="false">IF(OR(E4488="",E4488="!!!",F4488="NEW"),"",INDEX(J$1:J4487,SUMPRODUCT(MAX(ROW(E$1:E4487)*(E4488=E$1:E4487)))))</f>
        <v/>
      </c>
      <c r="L4488" s="31"/>
    </row>
    <row r="4489" customFormat="false" ht="15" hidden="false" customHeight="false" outlineLevel="0" collapsed="false">
      <c r="A4489" s="20" t="s">
        <v>127</v>
      </c>
      <c r="E4489" s="23" t="str">
        <f aca="false">IF(D4489="?OLD","!!!","")</f>
        <v/>
      </c>
      <c r="F4489" s="25" t="str">
        <f aca="false">IF(OR(E4489="",E4489="!!!"),"",IF(NOT(ISNA(VLOOKUP(E4489,E$1:E4488,1,FALSE()))),"OLD",IF(AND(E4489&lt;&gt;"",E4489&lt;&gt;"!!!"),"NEW","")))</f>
        <v/>
      </c>
      <c r="G4489" s="26" t="str">
        <f aca="false">IF(OR(E4489="",E4489="!!!"),"",IF(OR(J4489=0,AND(J4489=1,K4489=1),AND(J4489=1,I4489="SBJ"),AND(J4489=1,I4489=0)),"?IN_FOCUS",IF(J4489&lt;=2,"?ACTIVATED",IF(J4489&lt;&gt;"","?FAMILIAR",IF(F4489="NEW",IF(ISNA(VLOOKUP(E4489,#REF!,1,FALSE())),"?TYPE_IDENTIFIABLE","?REFERENTIAL"),"_")))))</f>
        <v/>
      </c>
      <c r="H4489" s="27" t="str">
        <f aca="false">IF(J4489&lt;&gt;1,"",IF(I4489="SBJ","CB","?"))</f>
        <v/>
      </c>
      <c r="I4489" s="24" t="str">
        <f aca="false">IF(OR(E4489="",E4489="!!!",F4489="NEW"),"",INDEX(B21:B$4469,-1+SUMPRODUCT(MAX(ROW(E21:E$4469)*(E4489=E21:E$4469)))))</f>
        <v/>
      </c>
      <c r="J4489" s="24" t="str">
        <f aca="true">IF(OR(E4489="",E4489="!!!",F4489="NEW"),"",COUNTBLANK(OFFSET(A$1,,,SUMPRODUCT(MAX(ROW(E$2:E4489)*(E4489=E$2:E4489)))))-COUNTBLANK(OFFSET(A$1,,,SUMPRODUCT(MAX(ROW(E$1:E4488)*(E2=E$1:E4488))))))</f>
        <v/>
      </c>
      <c r="K4489" s="24" t="str">
        <f aca="false">IF(OR(E4489="",E4489="!!!",F4489="NEW"),"",INDEX(J$1:J4488,SUMPRODUCT(MAX(ROW(E$1:E4488)*(E4489=E$1:E4488)))))</f>
        <v/>
      </c>
      <c r="L4489" s="31"/>
    </row>
    <row r="4490" customFormat="false" ht="15" hidden="false" customHeight="false" outlineLevel="0" collapsed="false">
      <c r="A4490" s="20" t="s">
        <v>1109</v>
      </c>
      <c r="E4490" s="23" t="str">
        <f aca="false">IF(D4490="?OLD","!!!","")</f>
        <v/>
      </c>
      <c r="F4490" s="25" t="str">
        <f aca="false">IF(OR(E4490="",E4490="!!!"),"",IF(NOT(ISNA(VLOOKUP(E4490,E$1:E4489,1,FALSE()))),"OLD",IF(AND(E4490&lt;&gt;"",E4490&lt;&gt;"!!!"),"NEW","")))</f>
        <v/>
      </c>
      <c r="G4490" s="26" t="str">
        <f aca="false">IF(OR(E4490="",E4490="!!!"),"",IF(OR(J4490=0,AND(J4490=1,K4490=1),AND(J4490=1,I4490="SBJ"),AND(J4490=1,I4490=0)),"?IN_FOCUS",IF(J4490&lt;=2,"?ACTIVATED",IF(J4490&lt;&gt;"","?FAMILIAR",IF(F4490="NEW",IF(ISNA(VLOOKUP(E4490,#REF!,1,FALSE())),"?TYPE_IDENTIFIABLE","?REFERENTIAL"),"_")))))</f>
        <v/>
      </c>
      <c r="H4490" s="27" t="str">
        <f aca="false">IF(J4490&lt;&gt;1,"",IF(I4490="SBJ","CB","?"))</f>
        <v/>
      </c>
      <c r="I4490" s="24" t="str">
        <f aca="false">IF(OR(E4490="",E4490="!!!",F4490="NEW"),"",INDEX(B22:B$4469,-1+SUMPRODUCT(MAX(ROW(E22:E$4469)*(E4490=E22:E$4469)))))</f>
        <v/>
      </c>
      <c r="J4490" s="24" t="str">
        <f aca="true">IF(OR(E4490="",E4490="!!!",F4490="NEW"),"",COUNTBLANK(OFFSET(A$1,,,SUMPRODUCT(MAX(ROW(E$2:E4490)*(E4490=E$2:E4490)))))-COUNTBLANK(OFFSET(A$1,,,SUMPRODUCT(MAX(ROW(E$1:E4489)*(E2=E$1:E4489))))))</f>
        <v/>
      </c>
      <c r="K4490" s="24" t="str">
        <f aca="false">IF(OR(E4490="",E4490="!!!",F4490="NEW"),"",INDEX(J$1:J4489,SUMPRODUCT(MAX(ROW(E$1:E4489)*(E4490=E$1:E4489)))))</f>
        <v/>
      </c>
      <c r="L4490" s="31"/>
    </row>
    <row r="4491" customFormat="false" ht="15" hidden="false" customHeight="false" outlineLevel="0" collapsed="false">
      <c r="A4491" s="20" t="s">
        <v>2392</v>
      </c>
      <c r="E4491" s="23" t="str">
        <f aca="false">IF(D4491="?OLD","!!!","")</f>
        <v/>
      </c>
      <c r="F4491" s="25" t="str">
        <f aca="false">IF(OR(E4491="",E4491="!!!"),"",IF(NOT(ISNA(VLOOKUP(E4491,E$1:E4490,1,FALSE()))),"OLD",IF(AND(E4491&lt;&gt;"",E4491&lt;&gt;"!!!"),"NEW","")))</f>
        <v/>
      </c>
      <c r="G4491" s="26" t="str">
        <f aca="false">IF(OR(E4491="",E4491="!!!"),"",IF(OR(J4491=0,AND(J4491=1,K4491=1),AND(J4491=1,I4491="SBJ"),AND(J4491=1,I4491=0)),"?IN_FOCUS",IF(J4491&lt;=2,"?ACTIVATED",IF(J4491&lt;&gt;"","?FAMILIAR",IF(F4491="NEW",IF(ISNA(VLOOKUP(E4491,#REF!,1,FALSE())),"?TYPE_IDENTIFIABLE","?REFERENTIAL"),"_")))))</f>
        <v/>
      </c>
      <c r="H4491" s="27" t="str">
        <f aca="false">IF(J4491&lt;&gt;1,"",IF(I4491="SBJ","CB","?"))</f>
        <v/>
      </c>
      <c r="I4491" s="24" t="str">
        <f aca="false">IF(OR(E4491="",E4491="!!!",F4491="NEW"),"",INDEX(B23:B$4469,-1+SUMPRODUCT(MAX(ROW(E23:E$4469)*(E4491=E23:E$4469)))))</f>
        <v/>
      </c>
      <c r="J4491" s="24" t="str">
        <f aca="true">IF(OR(E4491="",E4491="!!!",F4491="NEW"),"",COUNTBLANK(OFFSET(A$1,,,SUMPRODUCT(MAX(ROW(E$2:E4491)*(E4491=E$2:E4491)))))-COUNTBLANK(OFFSET(A$1,,,SUMPRODUCT(MAX(ROW(E$1:E4490)*(E2=E$1:E4490))))))</f>
        <v/>
      </c>
      <c r="K4491" s="24" t="str">
        <f aca="false">IF(OR(E4491="",E4491="!!!",F4491="NEW"),"",INDEX(J$1:J4490,SUMPRODUCT(MAX(ROW(E$1:E4490)*(E4491=E$1:E4490)))))</f>
        <v/>
      </c>
      <c r="L4491" s="31"/>
    </row>
    <row r="4492" customFormat="false" ht="15" hidden="false" customHeight="false" outlineLevel="0" collapsed="false">
      <c r="A4492" s="20" t="s">
        <v>2393</v>
      </c>
      <c r="B4492" s="22" t="s">
        <v>1146</v>
      </c>
      <c r="C4492" s="22" t="s">
        <v>1150</v>
      </c>
      <c r="D4492" s="22" t="s">
        <v>1060</v>
      </c>
      <c r="E4492" s="23" t="str">
        <f aca="false">IF(D4492="?OLD","!!!","")</f>
        <v>!!!</v>
      </c>
      <c r="F4492" s="25" t="str">
        <f aca="false">IF(OR(E4492="",E4492="!!!"),"",IF(NOT(ISNA(VLOOKUP(E4492,E$1:E4491,1,FALSE()))),"OLD",IF(AND(E4492&lt;&gt;"",E4492&lt;&gt;"!!!"),"NEW","")))</f>
        <v/>
      </c>
      <c r="G4492" s="26" t="str">
        <f aca="false">IF(OR(E4492="",E4492="!!!"),"",IF(OR(J4492=0,AND(J4492=1,K4492=1),AND(J4492=1,I4492="SBJ"),AND(J4492=1,I4492=0)),"?IN_FOCUS",IF(J4492&lt;=2,"?ACTIVATED",IF(J4492&lt;&gt;"","?FAMILIAR",IF(F4492="NEW",IF(ISNA(VLOOKUP(E4492,#REF!,1,FALSE())),"?TYPE_IDENTIFIABLE","?REFERENTIAL"),"_")))))</f>
        <v/>
      </c>
      <c r="H4492" s="27" t="str">
        <f aca="false">IF(J4492&lt;&gt;1,"",IF(I4492="SBJ","CB","?"))</f>
        <v/>
      </c>
      <c r="I4492" s="24" t="str">
        <f aca="false">IF(OR(E4492="",E4492="!!!",F4492="NEW"),"",INDEX(B24:B$4469,-1+SUMPRODUCT(MAX(ROW(E24:E$4469)*(E4492=E24:E$4469)))))</f>
        <v/>
      </c>
      <c r="J4492" s="24" t="str">
        <f aca="true">IF(OR(E4492="",E4492="!!!",F4492="NEW"),"",COUNTBLANK(OFFSET(A$1,,,SUMPRODUCT(MAX(ROW(E$2:E4492)*(E4492=E$2:E4492)))))-COUNTBLANK(OFFSET(A$1,,,SUMPRODUCT(MAX(ROW(E$1:E4491)*(E2=E$1:E4491))))))</f>
        <v/>
      </c>
      <c r="K4492" s="24" t="str">
        <f aca="false">IF(OR(E4492="",E4492="!!!",F4492="NEW"),"",INDEX(J$1:J4491,SUMPRODUCT(MAX(ROW(E$1:E4491)*(E4492=E$1:E4491)))))</f>
        <v/>
      </c>
      <c r="L4492" s="31"/>
    </row>
    <row r="4493" customFormat="false" ht="15" hidden="false" customHeight="false" outlineLevel="0" collapsed="false">
      <c r="A4493" s="20" t="s">
        <v>1130</v>
      </c>
      <c r="E4493" s="23" t="str">
        <f aca="false">IF(D4493="?OLD","!!!","")</f>
        <v/>
      </c>
      <c r="F4493" s="25" t="str">
        <f aca="false">IF(OR(E4493="",E4493="!!!"),"",IF(NOT(ISNA(VLOOKUP(E4493,E$1:E4492,1,FALSE()))),"OLD",IF(AND(E4493&lt;&gt;"",E4493&lt;&gt;"!!!"),"NEW","")))</f>
        <v/>
      </c>
      <c r="G4493" s="26" t="str">
        <f aca="false">IF(OR(E4493="",E4493="!!!"),"",IF(OR(J4493=0,AND(J4493=1,K4493=1),AND(J4493=1,I4493="SBJ"),AND(J4493=1,I4493=0)),"?IN_FOCUS",IF(J4493&lt;=2,"?ACTIVATED",IF(J4493&lt;&gt;"","?FAMILIAR",IF(F4493="NEW",IF(ISNA(VLOOKUP(E4493,#REF!,1,FALSE())),"?TYPE_IDENTIFIABLE","?REFERENTIAL"),"_")))))</f>
        <v/>
      </c>
      <c r="H4493" s="27" t="str">
        <f aca="false">IF(J4493&lt;&gt;1,"",IF(I4493="SBJ","CB","?"))</f>
        <v/>
      </c>
      <c r="I4493" s="24" t="str">
        <f aca="false">IF(OR(E4493="",E4493="!!!",F4493="NEW"),"",INDEX(B25:B$4469,-1+SUMPRODUCT(MAX(ROW(E25:E$4469)*(E4493=E25:E$4469)))))</f>
        <v/>
      </c>
      <c r="J4493" s="24" t="str">
        <f aca="true">IF(OR(E4493="",E4493="!!!",F4493="NEW"),"",COUNTBLANK(OFFSET(A$1,,,SUMPRODUCT(MAX(ROW(E$2:E4493)*(E4493=E$2:E4493)))))-COUNTBLANK(OFFSET(A$1,,,SUMPRODUCT(MAX(ROW(E$1:E4492)*(E2=E$1:E4492))))))</f>
        <v/>
      </c>
      <c r="K4493" s="24" t="str">
        <f aca="false">IF(OR(E4493="",E4493="!!!",F4493="NEW"),"",INDEX(J$1:J4492,SUMPRODUCT(MAX(ROW(E$1:E4492)*(E4493=E$1:E4492)))))</f>
        <v/>
      </c>
      <c r="L4493" s="31"/>
    </row>
    <row r="4494" customFormat="false" ht="15" hidden="false" customHeight="false" outlineLevel="0" collapsed="false">
      <c r="A4494" s="20" t="s">
        <v>1220</v>
      </c>
      <c r="E4494" s="23" t="str">
        <f aca="false">IF(D4494="?OLD","!!!","")</f>
        <v/>
      </c>
      <c r="F4494" s="25" t="str">
        <f aca="false">IF(OR(E4494="",E4494="!!!"),"",IF(NOT(ISNA(VLOOKUP(E4494,E$1:E4493,1,FALSE()))),"OLD",IF(AND(E4494&lt;&gt;"",E4494&lt;&gt;"!!!"),"NEW","")))</f>
        <v/>
      </c>
      <c r="G4494" s="26" t="str">
        <f aca="false">IF(OR(E4494="",E4494="!!!"),"",IF(OR(J4494=0,AND(J4494=1,K4494=1),AND(J4494=1,I4494="SBJ"),AND(J4494=1,I4494=0)),"?IN_FOCUS",IF(J4494&lt;=2,"?ACTIVATED",IF(J4494&lt;&gt;"","?FAMILIAR",IF(F4494="NEW",IF(ISNA(VLOOKUP(E4494,#REF!,1,FALSE())),"?TYPE_IDENTIFIABLE","?REFERENTIAL"),"_")))))</f>
        <v/>
      </c>
      <c r="H4494" s="27" t="str">
        <f aca="false">IF(J4494&lt;&gt;1,"",IF(I4494="SBJ","CB","?"))</f>
        <v/>
      </c>
      <c r="I4494" s="24" t="str">
        <f aca="false">IF(OR(E4494="",E4494="!!!",F4494="NEW"),"",INDEX(B26:B$4469,-1+SUMPRODUCT(MAX(ROW(E26:E$4469)*(E4494=E26:E$4469)))))</f>
        <v/>
      </c>
      <c r="J4494" s="24" t="str">
        <f aca="true">IF(OR(E4494="",E4494="!!!",F4494="NEW"),"",COUNTBLANK(OFFSET(A$1,,,SUMPRODUCT(MAX(ROW(E$2:E4494)*(E4494=E$2:E4494)))))-COUNTBLANK(OFFSET(A$1,,,SUMPRODUCT(MAX(ROW(E$1:E4493)*(E2=E$1:E4493))))))</f>
        <v/>
      </c>
      <c r="K4494" s="24" t="str">
        <f aca="false">IF(OR(E4494="",E4494="!!!",F4494="NEW"),"",INDEX(J$1:J4493,SUMPRODUCT(MAX(ROW(E$1:E4493)*(E4494=E$1:E4493)))))</f>
        <v/>
      </c>
      <c r="L4494" s="31"/>
    </row>
    <row r="4495" customFormat="false" ht="15" hidden="false" customHeight="false" outlineLevel="0" collapsed="false">
      <c r="A4495" s="20" t="s">
        <v>1921</v>
      </c>
      <c r="B4495" s="22" t="s">
        <v>1146</v>
      </c>
      <c r="C4495" s="22" t="s">
        <v>1171</v>
      </c>
      <c r="D4495" s="22" t="s">
        <v>1060</v>
      </c>
      <c r="E4495" s="23" t="str">
        <f aca="false">IF(D4495="?OLD","!!!","")</f>
        <v>!!!</v>
      </c>
      <c r="F4495" s="25" t="str">
        <f aca="false">IF(OR(E4495="",E4495="!!!"),"",IF(NOT(ISNA(VLOOKUP(E4495,E$1:E4494,1,FALSE()))),"OLD",IF(AND(E4495&lt;&gt;"",E4495&lt;&gt;"!!!"),"NEW","")))</f>
        <v/>
      </c>
      <c r="G4495" s="26" t="str">
        <f aca="false">IF(OR(E4495="",E4495="!!!"),"",IF(OR(J4495=0,AND(J4495=1,K4495=1),AND(J4495=1,I4495="SBJ"),AND(J4495=1,I4495=0)),"?IN_FOCUS",IF(J4495&lt;=2,"?ACTIVATED",IF(J4495&lt;&gt;"","?FAMILIAR",IF(F4495="NEW",IF(ISNA(VLOOKUP(E4495,#REF!,1,FALSE())),"?TYPE_IDENTIFIABLE","?REFERENTIAL"),"_")))))</f>
        <v/>
      </c>
      <c r="H4495" s="27" t="str">
        <f aca="false">IF(J4495&lt;&gt;1,"",IF(I4495="SBJ","CB","?"))</f>
        <v/>
      </c>
      <c r="I4495" s="24" t="str">
        <f aca="false">IF(OR(E4495="",E4495="!!!",F4495="NEW"),"",INDEX(B27:B$4469,-1+SUMPRODUCT(MAX(ROW(E27:E$4469)*(E4495=E27:E$4469)))))</f>
        <v/>
      </c>
      <c r="J4495" s="24" t="str">
        <f aca="true">IF(OR(E4495="",E4495="!!!",F4495="NEW"),"",COUNTBLANK(OFFSET(A$1,,,SUMPRODUCT(MAX(ROW(E$2:E4495)*(E4495=E$2:E4495)))))-COUNTBLANK(OFFSET(A$1,,,SUMPRODUCT(MAX(ROW(E$1:E4494)*(E2=E$1:E4494))))))</f>
        <v/>
      </c>
      <c r="K4495" s="24" t="str">
        <f aca="false">IF(OR(E4495="",E4495="!!!",F4495="NEW"),"",INDEX(J$1:J4494,SUMPRODUCT(MAX(ROW(E$1:E4494)*(E4495=E$1:E4494)))))</f>
        <v/>
      </c>
      <c r="L4495" s="31"/>
    </row>
    <row r="4496" customFormat="false" ht="15" hidden="false" customHeight="false" outlineLevel="0" collapsed="false">
      <c r="A4496" s="20" t="s">
        <v>1128</v>
      </c>
      <c r="E4496" s="23" t="str">
        <f aca="false">IF(D4496="?OLD","!!!","")</f>
        <v/>
      </c>
      <c r="F4496" s="25" t="str">
        <f aca="false">IF(OR(E4496="",E4496="!!!"),"",IF(NOT(ISNA(VLOOKUP(E4496,E$1:E4495,1,FALSE()))),"OLD",IF(AND(E4496&lt;&gt;"",E4496&lt;&gt;"!!!"),"NEW","")))</f>
        <v/>
      </c>
      <c r="G4496" s="26" t="str">
        <f aca="false">IF(OR(E4496="",E4496="!!!"),"",IF(OR(J4496=0,AND(J4496=1,K4496=1),AND(J4496=1,I4496="SBJ"),AND(J4496=1,I4496=0)),"?IN_FOCUS",IF(J4496&lt;=2,"?ACTIVATED",IF(J4496&lt;&gt;"","?FAMILIAR",IF(F4496="NEW",IF(ISNA(VLOOKUP(E4496,#REF!,1,FALSE())),"?TYPE_IDENTIFIABLE","?REFERENTIAL"),"_")))))</f>
        <v/>
      </c>
      <c r="H4496" s="27" t="str">
        <f aca="false">IF(J4496&lt;&gt;1,"",IF(I4496="SBJ","CB","?"))</f>
        <v/>
      </c>
      <c r="I4496" s="24" t="str">
        <f aca="false">IF(OR(E4496="",E4496="!!!",F4496="NEW"),"",INDEX(B28:B$4469,-1+SUMPRODUCT(MAX(ROW(E28:E$4469)*(E4496=E28:E$4469)))))</f>
        <v/>
      </c>
      <c r="J4496" s="24" t="str">
        <f aca="true">IF(OR(E4496="",E4496="!!!",F4496="NEW"),"",COUNTBLANK(OFFSET(A$1,,,SUMPRODUCT(MAX(ROW(E$2:E4496)*(E4496=E$2:E4496)))))-COUNTBLANK(OFFSET(A$1,,,SUMPRODUCT(MAX(ROW(E$1:E4495)*(E2=E$1:E4495))))))</f>
        <v/>
      </c>
      <c r="K4496" s="24" t="str">
        <f aca="false">IF(OR(E4496="",E4496="!!!",F4496="NEW"),"",INDEX(J$1:J4495,SUMPRODUCT(MAX(ROW(E$1:E4495)*(E4496=E$1:E4495)))))</f>
        <v/>
      </c>
      <c r="L4496" s="31"/>
    </row>
    <row r="4497" customFormat="false" ht="15" hidden="false" customHeight="false" outlineLevel="0" collapsed="false">
      <c r="A4497" s="20" t="s">
        <v>2394</v>
      </c>
      <c r="E4497" s="23" t="str">
        <f aca="false">IF(D4497="?OLD","!!!","")</f>
        <v/>
      </c>
      <c r="F4497" s="25" t="str">
        <f aca="false">IF(OR(E4497="",E4497="!!!"),"",IF(NOT(ISNA(VLOOKUP(E4497,E$1:E4496,1,FALSE()))),"OLD",IF(AND(E4497&lt;&gt;"",E4497&lt;&gt;"!!!"),"NEW","")))</f>
        <v/>
      </c>
      <c r="G4497" s="26" t="str">
        <f aca="false">IF(OR(E4497="",E4497="!!!"),"",IF(OR(J4497=0,AND(J4497=1,K4497=1),AND(J4497=1,I4497="SBJ"),AND(J4497=1,I4497=0)),"?IN_FOCUS",IF(J4497&lt;=2,"?ACTIVATED",IF(J4497&lt;&gt;"","?FAMILIAR",IF(F4497="NEW",IF(ISNA(VLOOKUP(E4497,#REF!,1,FALSE())),"?TYPE_IDENTIFIABLE","?REFERENTIAL"),"_")))))</f>
        <v/>
      </c>
      <c r="H4497" s="27" t="str">
        <f aca="false">IF(J4497&lt;&gt;1,"",IF(I4497="SBJ","CB","?"))</f>
        <v/>
      </c>
      <c r="I4497" s="24" t="str">
        <f aca="false">IF(OR(E4497="",E4497="!!!",F4497="NEW"),"",INDEX(B29:B$4469,-1+SUMPRODUCT(MAX(ROW(E29:E$4469)*(E4497=E29:E$4469)))))</f>
        <v/>
      </c>
      <c r="J4497" s="24" t="str">
        <f aca="true">IF(OR(E4497="",E4497="!!!",F4497="NEW"),"",COUNTBLANK(OFFSET(A$1,,,SUMPRODUCT(MAX(ROW(E$2:E4497)*(E4497=E$2:E4497)))))-COUNTBLANK(OFFSET(A$1,,,SUMPRODUCT(MAX(ROW(E$1:E4496)*(E2=E$1:E4496))))))</f>
        <v/>
      </c>
      <c r="K4497" s="24" t="str">
        <f aca="false">IF(OR(E4497="",E4497="!!!",F4497="NEW"),"",INDEX(J$1:J4496,SUMPRODUCT(MAX(ROW(E$1:E4496)*(E4497=E$1:E4496)))))</f>
        <v/>
      </c>
      <c r="L4497" s="31"/>
    </row>
    <row r="4498" customFormat="false" ht="15" hidden="false" customHeight="false" outlineLevel="0" collapsed="false">
      <c r="A4498" s="20" t="s">
        <v>2395</v>
      </c>
      <c r="B4498" s="22" t="s">
        <v>1107</v>
      </c>
      <c r="C4498" s="22" t="s">
        <v>1160</v>
      </c>
      <c r="E4498" s="23" t="str">
        <f aca="false">IF(D4498="?OLD","!!!","")</f>
        <v/>
      </c>
      <c r="F4498" s="25" t="str">
        <f aca="false">IF(OR(E4498="",E4498="!!!"),"",IF(NOT(ISNA(VLOOKUP(E4498,E$1:E4497,1,FALSE()))),"OLD",IF(AND(E4498&lt;&gt;"",E4498&lt;&gt;"!!!"),"NEW","")))</f>
        <v/>
      </c>
      <c r="G4498" s="26" t="str">
        <f aca="false">IF(OR(E4498="",E4498="!!!"),"",IF(OR(J4498=0,AND(J4498=1,K4498=1),AND(J4498=1,I4498="SBJ"),AND(J4498=1,I4498=0)),"?IN_FOCUS",IF(J4498&lt;=2,"?ACTIVATED",IF(J4498&lt;&gt;"","?FAMILIAR",IF(F4498="NEW",IF(ISNA(VLOOKUP(E4498,#REF!,1,FALSE())),"?TYPE_IDENTIFIABLE","?REFERENTIAL"),"_")))))</f>
        <v/>
      </c>
      <c r="H4498" s="27" t="str">
        <f aca="false">IF(J4498&lt;&gt;1,"",IF(I4498="SBJ","CB","?"))</f>
        <v/>
      </c>
      <c r="I4498" s="24" t="str">
        <f aca="false">IF(OR(E4498="",E4498="!!!",F4498="NEW"),"",INDEX(B30:B$4469,-1+SUMPRODUCT(MAX(ROW(E30:E$4469)*(E4498=E30:E$4469)))))</f>
        <v/>
      </c>
      <c r="J4498" s="24" t="str">
        <f aca="true">IF(OR(E4498="",E4498="!!!",F4498="NEW"),"",COUNTBLANK(OFFSET(A$1,,,SUMPRODUCT(MAX(ROW(E$2:E4498)*(E4498=E$2:E4498)))))-COUNTBLANK(OFFSET(A$1,,,SUMPRODUCT(MAX(ROW(E$1:E4497)*(E2=E$1:E4497))))))</f>
        <v/>
      </c>
      <c r="K4498" s="24" t="str">
        <f aca="false">IF(OR(E4498="",E4498="!!!",F4498="NEW"),"",INDEX(J$1:J4497,SUMPRODUCT(MAX(ROW(E$1:E4497)*(E4498=E$1:E4497)))))</f>
        <v/>
      </c>
      <c r="L4498" s="31"/>
    </row>
    <row r="4499" customFormat="false" ht="15" hidden="false" customHeight="false" outlineLevel="0" collapsed="false">
      <c r="A4499" s="20" t="s">
        <v>1125</v>
      </c>
      <c r="B4499" s="22" t="s">
        <v>1205</v>
      </c>
      <c r="E4499" s="23" t="str">
        <f aca="false">IF(D4499="?OLD","!!!","")</f>
        <v/>
      </c>
      <c r="F4499" s="25" t="str">
        <f aca="false">IF(OR(E4499="",E4499="!!!"),"",IF(NOT(ISNA(VLOOKUP(E4499,E$1:E4498,1,FALSE()))),"OLD",IF(AND(E4499&lt;&gt;"",E4499&lt;&gt;"!!!"),"NEW","")))</f>
        <v/>
      </c>
      <c r="G4499" s="26" t="str">
        <f aca="false">IF(OR(E4499="",E4499="!!!"),"",IF(OR(J4499=0,AND(J4499=1,K4499=1),AND(J4499=1,I4499="SBJ"),AND(J4499=1,I4499=0)),"?IN_FOCUS",IF(J4499&lt;=2,"?ACTIVATED",IF(J4499&lt;&gt;"","?FAMILIAR",IF(F4499="NEW",IF(ISNA(VLOOKUP(E4499,#REF!,1,FALSE())),"?TYPE_IDENTIFIABLE","?REFERENTIAL"),"_")))))</f>
        <v/>
      </c>
      <c r="H4499" s="27" t="str">
        <f aca="false">IF(J4499&lt;&gt;1,"",IF(I4499="SBJ","CB","?"))</f>
        <v/>
      </c>
      <c r="I4499" s="24" t="str">
        <f aca="false">IF(OR(E4499="",E4499="!!!",F4499="NEW"),"",INDEX(B31:B$4469,-1+SUMPRODUCT(MAX(ROW(E31:E$4469)*(E4499=E31:E$4469)))))</f>
        <v/>
      </c>
      <c r="J4499" s="24" t="str">
        <f aca="true">IF(OR(E4499="",E4499="!!!",F4499="NEW"),"",COUNTBLANK(OFFSET(A$1,,,SUMPRODUCT(MAX(ROW(E$2:E4499)*(E4499=E$2:E4499)))))-COUNTBLANK(OFFSET(A$1,,,SUMPRODUCT(MAX(ROW(E$1:E4498)*(E2=E$1:E4498))))))</f>
        <v/>
      </c>
      <c r="K4499" s="24" t="str">
        <f aca="false">IF(OR(E4499="",E4499="!!!",F4499="NEW"),"",INDEX(J$1:J4498,SUMPRODUCT(MAX(ROW(E$1:E4498)*(E4499=E$1:E4498)))))</f>
        <v/>
      </c>
      <c r="L4499" s="31"/>
    </row>
    <row r="4500" customFormat="false" ht="15" hidden="false" customHeight="false" outlineLevel="0" collapsed="false">
      <c r="A4500" s="20" t="s">
        <v>2396</v>
      </c>
      <c r="E4500" s="23" t="str">
        <f aca="false">IF(D4500="?OLD","!!!","")</f>
        <v/>
      </c>
      <c r="F4500" s="25" t="str">
        <f aca="false">IF(OR(E4500="",E4500="!!!"),"",IF(NOT(ISNA(VLOOKUP(E4500,E$1:E4499,1,FALSE()))),"OLD",IF(AND(E4500&lt;&gt;"",E4500&lt;&gt;"!!!"),"NEW","")))</f>
        <v/>
      </c>
      <c r="G4500" s="26" t="str">
        <f aca="false">IF(OR(E4500="",E4500="!!!"),"",IF(OR(J4500=0,AND(J4500=1,K4500=1),AND(J4500=1,I4500="SBJ"),AND(J4500=1,I4500=0)),"?IN_FOCUS",IF(J4500&lt;=2,"?ACTIVATED",IF(J4500&lt;&gt;"","?FAMILIAR",IF(F4500="NEW",IF(ISNA(VLOOKUP(E4500,#REF!,1,FALSE())),"?TYPE_IDENTIFIABLE","?REFERENTIAL"),"_")))))</f>
        <v/>
      </c>
      <c r="H4500" s="27" t="str">
        <f aca="false">IF(J4500&lt;&gt;1,"",IF(I4500="SBJ","CB","?"))</f>
        <v/>
      </c>
      <c r="I4500" s="24" t="str">
        <f aca="false">IF(OR(E4500="",E4500="!!!",F4500="NEW"),"",INDEX(B32:B$4469,-1+SUMPRODUCT(MAX(ROW(E32:E$4469)*(E4500=E32:E$4469)))))</f>
        <v/>
      </c>
      <c r="J4500" s="24" t="str">
        <f aca="true">IF(OR(E4500="",E4500="!!!",F4500="NEW"),"",COUNTBLANK(OFFSET(A$1,,,SUMPRODUCT(MAX(ROW(E$2:E4500)*(E4500=E$2:E4500)))))-COUNTBLANK(OFFSET(A$1,,,SUMPRODUCT(MAX(ROW(E$1:E4499)*(E2=E$1:E4499))))))</f>
        <v/>
      </c>
      <c r="K4500" s="24" t="str">
        <f aca="false">IF(OR(E4500="",E4500="!!!",F4500="NEW"),"",INDEX(J$1:J4499,SUMPRODUCT(MAX(ROW(E$1:E4499)*(E4500=E$1:E4499)))))</f>
        <v/>
      </c>
      <c r="L4500" s="31"/>
    </row>
    <row r="4501" customFormat="false" ht="15" hidden="false" customHeight="false" outlineLevel="0" collapsed="false">
      <c r="A4501" s="20" t="s">
        <v>1189</v>
      </c>
      <c r="B4501" s="22" t="s">
        <v>1203</v>
      </c>
      <c r="C4501" s="22" t="s">
        <v>1099</v>
      </c>
      <c r="D4501" s="22" t="s">
        <v>1060</v>
      </c>
      <c r="E4501" s="23" t="str">
        <f aca="false">IF(D4501="?OLD","!!!","")</f>
        <v>!!!</v>
      </c>
      <c r="F4501" s="25" t="str">
        <f aca="false">IF(OR(E4501="",E4501="!!!"),"",IF(NOT(ISNA(VLOOKUP(E4501,E$1:E4500,1,FALSE()))),"OLD",IF(AND(E4501&lt;&gt;"",E4501&lt;&gt;"!!!"),"NEW","")))</f>
        <v/>
      </c>
      <c r="G4501" s="26" t="str">
        <f aca="false">IF(OR(E4501="",E4501="!!!"),"",IF(OR(J4501=0,AND(J4501=1,K4501=1),AND(J4501=1,I4501="SBJ"),AND(J4501=1,I4501=0)),"?IN_FOCUS",IF(J4501&lt;=2,"?ACTIVATED",IF(J4501&lt;&gt;"","?FAMILIAR",IF(F4501="NEW",IF(ISNA(VLOOKUP(E4501,#REF!,1,FALSE())),"?TYPE_IDENTIFIABLE","?REFERENTIAL"),"_")))))</f>
        <v/>
      </c>
      <c r="H4501" s="27" t="str">
        <f aca="false">IF(J4501&lt;&gt;1,"",IF(I4501="SBJ","CB","?"))</f>
        <v/>
      </c>
      <c r="I4501" s="24" t="str">
        <f aca="false">IF(OR(E4501="",E4501="!!!",F4501="NEW"),"",INDEX(B33:B$4469,-1+SUMPRODUCT(MAX(ROW(E33:E$4469)*(E4501=E33:E$4469)))))</f>
        <v/>
      </c>
      <c r="J4501" s="24" t="str">
        <f aca="true">IF(OR(E4501="",E4501="!!!",F4501="NEW"),"",COUNTBLANK(OFFSET(A$1,,,SUMPRODUCT(MAX(ROW(E$2:E4501)*(E4501=E$2:E4501)))))-COUNTBLANK(OFFSET(A$1,,,SUMPRODUCT(MAX(ROW(E$1:E4500)*(E2=E$1:E4500))))))</f>
        <v/>
      </c>
      <c r="K4501" s="24" t="str">
        <f aca="false">IF(OR(E4501="",E4501="!!!",F4501="NEW"),"",INDEX(J$1:J4500,SUMPRODUCT(MAX(ROW(E$1:E4500)*(E4501=E$1:E4500)))))</f>
        <v/>
      </c>
      <c r="L4501" s="31"/>
    </row>
    <row r="4502" customFormat="false" ht="15" hidden="false" customHeight="false" outlineLevel="0" collapsed="false">
      <c r="A4502" s="20" t="s">
        <v>2397</v>
      </c>
      <c r="B4502" s="22" t="s">
        <v>1571</v>
      </c>
      <c r="C4502" s="22" t="s">
        <v>1059</v>
      </c>
      <c r="D4502" s="22" t="s">
        <v>1060</v>
      </c>
      <c r="E4502" s="23" t="str">
        <f aca="false">IF(D4502="?OLD","!!!","")</f>
        <v>!!!</v>
      </c>
      <c r="F4502" s="25" t="str">
        <f aca="false">IF(OR(E4502="",E4502="!!!"),"",IF(NOT(ISNA(VLOOKUP(E4502,E$1:E4501,1,FALSE()))),"OLD",IF(AND(E4502&lt;&gt;"",E4502&lt;&gt;"!!!"),"NEW","")))</f>
        <v/>
      </c>
      <c r="G4502" s="26" t="str">
        <f aca="false">IF(OR(E4502="",E4502="!!!"),"",IF(OR(J4502=0,AND(J4502=1,K4502=1),AND(J4502=1,I4502="SBJ"),AND(J4502=1,I4502=0)),"?IN_FOCUS",IF(J4502&lt;=2,"?ACTIVATED",IF(J4502&lt;&gt;"","?FAMILIAR",IF(F4502="NEW",IF(ISNA(VLOOKUP(E4502,#REF!,1,FALSE())),"?TYPE_IDENTIFIABLE","?REFERENTIAL"),"_")))))</f>
        <v/>
      </c>
      <c r="H4502" s="27" t="str">
        <f aca="false">IF(J4502&lt;&gt;1,"",IF(I4502="SBJ","CB","?"))</f>
        <v/>
      </c>
      <c r="I4502" s="24" t="str">
        <f aca="false">IF(OR(E4502="",E4502="!!!",F4502="NEW"),"",INDEX(B34:B$4469,-1+SUMPRODUCT(MAX(ROW(E34:E$4469)*(E4502=E34:E$4469)))))</f>
        <v/>
      </c>
      <c r="J4502" s="24" t="str">
        <f aca="true">IF(OR(E4502="",E4502="!!!",F4502="NEW"),"",COUNTBLANK(OFFSET(A$1,,,SUMPRODUCT(MAX(ROW(E$2:E4502)*(E4502=E$2:E4502)))))-COUNTBLANK(OFFSET(A$1,,,SUMPRODUCT(MAX(ROW(E$1:E4501)*(E2=E$1:E4501))))))</f>
        <v/>
      </c>
      <c r="K4502" s="24" t="str">
        <f aca="false">IF(OR(E4502="",E4502="!!!",F4502="NEW"),"",INDEX(J$1:J4501,SUMPRODUCT(MAX(ROW(E$1:E4501)*(E4502=E$1:E4501)))))</f>
        <v/>
      </c>
      <c r="L4502" s="31"/>
    </row>
    <row r="4503" customFormat="false" ht="15" hidden="false" customHeight="false" outlineLevel="0" collapsed="false">
      <c r="A4503" s="20" t="s">
        <v>587</v>
      </c>
      <c r="E4503" s="23" t="str">
        <f aca="false">IF(D4503="?OLD","!!!","")</f>
        <v/>
      </c>
      <c r="F4503" s="25" t="str">
        <f aca="false">IF(OR(E4503="",E4503="!!!"),"",IF(NOT(ISNA(VLOOKUP(E4503,E$1:E4502,1,FALSE()))),"OLD",IF(AND(E4503&lt;&gt;"",E4503&lt;&gt;"!!!"),"NEW","")))</f>
        <v/>
      </c>
      <c r="G4503" s="26" t="str">
        <f aca="false">IF(OR(E4503="",E4503="!!!"),"",IF(OR(J4503=0,AND(J4503=1,K4503=1),AND(J4503=1,I4503="SBJ"),AND(J4503=1,I4503=0)),"?IN_FOCUS",IF(J4503&lt;=2,"?ACTIVATED",IF(J4503&lt;&gt;"","?FAMILIAR",IF(F4503="NEW",IF(ISNA(VLOOKUP(E4503,#REF!,1,FALSE())),"?TYPE_IDENTIFIABLE","?REFERENTIAL"),"_")))))</f>
        <v/>
      </c>
      <c r="H4503" s="27" t="str">
        <f aca="false">IF(J4503&lt;&gt;1,"",IF(I4503="SBJ","CB","?"))</f>
        <v/>
      </c>
      <c r="I4503" s="24" t="str">
        <f aca="false">IF(OR(E4503="",E4503="!!!",F4503="NEW"),"",INDEX(B35:B$4469,-1+SUMPRODUCT(MAX(ROW(E35:E$4469)*(E4503=E35:E$4469)))))</f>
        <v/>
      </c>
      <c r="J4503" s="24" t="str">
        <f aca="true">IF(OR(E4503="",E4503="!!!",F4503="NEW"),"",COUNTBLANK(OFFSET(A$1,,,SUMPRODUCT(MAX(ROW(E$2:E4503)*(E4503=E$2:E4503)))))-COUNTBLANK(OFFSET(A$1,,,SUMPRODUCT(MAX(ROW(E$1:E4502)*(E2=E$1:E4502))))))</f>
        <v/>
      </c>
      <c r="K4503" s="24" t="str">
        <f aca="false">IF(OR(E4503="",E4503="!!!",F4503="NEW"),"",INDEX(J$1:J4502,SUMPRODUCT(MAX(ROW(E$1:E4502)*(E4503=E$1:E4502)))))</f>
        <v/>
      </c>
      <c r="L4503" s="31"/>
    </row>
    <row r="4504" customFormat="false" ht="15" hidden="false" customHeight="false" outlineLevel="0" collapsed="false">
      <c r="A4504" s="20" t="s">
        <v>78</v>
      </c>
      <c r="E4504" s="23" t="str">
        <f aca="false">IF(D4504="?OLD","!!!","")</f>
        <v/>
      </c>
      <c r="F4504" s="25" t="str">
        <f aca="false">IF(OR(E4504="",E4504="!!!"),"",IF(NOT(ISNA(VLOOKUP(E4504,E$1:E4503,1,FALSE()))),"OLD",IF(AND(E4504&lt;&gt;"",E4504&lt;&gt;"!!!"),"NEW","")))</f>
        <v/>
      </c>
      <c r="G4504" s="26" t="str">
        <f aca="false">IF(OR(E4504="",E4504="!!!"),"",IF(OR(J4504=0,AND(J4504=1,K4504=1),AND(J4504=1,I4504="SBJ"),AND(J4504=1,I4504=0)),"?IN_FOCUS",IF(J4504&lt;=2,"?ACTIVATED",IF(J4504&lt;&gt;"","?FAMILIAR",IF(F4504="NEW",IF(ISNA(VLOOKUP(E4504,#REF!,1,FALSE())),"?TYPE_IDENTIFIABLE","?REFERENTIAL"),"_")))))</f>
        <v/>
      </c>
      <c r="H4504" s="27" t="str">
        <f aca="false">IF(J4504&lt;&gt;1,"",IF(I4504="SBJ","CB","?"))</f>
        <v/>
      </c>
      <c r="I4504" s="24" t="str">
        <f aca="false">IF(OR(E4504="",E4504="!!!",F4504="NEW"),"",INDEX(B36:B$4469,-1+SUMPRODUCT(MAX(ROW(E36:E$4469)*(E4504=E36:E$4469)))))</f>
        <v/>
      </c>
      <c r="J4504" s="24" t="str">
        <f aca="true">IF(OR(E4504="",E4504="!!!",F4504="NEW"),"",COUNTBLANK(OFFSET(A$1,,,SUMPRODUCT(MAX(ROW(E$2:E4504)*(E4504=E$2:E4504)))))-COUNTBLANK(OFFSET(A$1,,,SUMPRODUCT(MAX(ROW(E$1:E4503)*(E2=E$1:E4503))))))</f>
        <v/>
      </c>
      <c r="K4504" s="24" t="str">
        <f aca="false">IF(OR(E4504="",E4504="!!!",F4504="NEW"),"",INDEX(J$1:J4503,SUMPRODUCT(MAX(ROW(E$1:E4503)*(E4504=E$1:E4503)))))</f>
        <v/>
      </c>
      <c r="L4504" s="31"/>
    </row>
    <row r="4505" customFormat="false" ht="15" hidden="false" customHeight="false" outlineLevel="0" collapsed="false">
      <c r="A4505" s="20" t="s">
        <v>1128</v>
      </c>
      <c r="E4505" s="23" t="str">
        <f aca="false">IF(D4505="?OLD","!!!","")</f>
        <v/>
      </c>
      <c r="F4505" s="25" t="str">
        <f aca="false">IF(OR(E4505="",E4505="!!!"),"",IF(NOT(ISNA(VLOOKUP(E4505,E$1:E4504,1,FALSE()))),"OLD",IF(AND(E4505&lt;&gt;"",E4505&lt;&gt;"!!!"),"NEW","")))</f>
        <v/>
      </c>
      <c r="G4505" s="26" t="str">
        <f aca="false">IF(OR(E4505="",E4505="!!!"),"",IF(OR(J4505=0,AND(J4505=1,K4505=1),AND(J4505=1,I4505="SBJ"),AND(J4505=1,I4505=0)),"?IN_FOCUS",IF(J4505&lt;=2,"?ACTIVATED",IF(J4505&lt;&gt;"","?FAMILIAR",IF(F4505="NEW",IF(ISNA(VLOOKUP(E4505,#REF!,1,FALSE())),"?TYPE_IDENTIFIABLE","?REFERENTIAL"),"_")))))</f>
        <v/>
      </c>
      <c r="H4505" s="27" t="str">
        <f aca="false">IF(J4505&lt;&gt;1,"",IF(I4505="SBJ","CB","?"))</f>
        <v/>
      </c>
      <c r="I4505" s="24" t="str">
        <f aca="false">IF(OR(E4505="",E4505="!!!",F4505="NEW"),"",INDEX(B37:B$4469,-1+SUMPRODUCT(MAX(ROW(E37:E$4469)*(E4505=E37:E$4469)))))</f>
        <v/>
      </c>
      <c r="J4505" s="24" t="str">
        <f aca="true">IF(OR(E4505="",E4505="!!!",F4505="NEW"),"",COUNTBLANK(OFFSET(A$1,,,SUMPRODUCT(MAX(ROW(E$2:E4505)*(E4505=E$2:E4505)))))-COUNTBLANK(OFFSET(A$1,,,SUMPRODUCT(MAX(ROW(E$1:E4504)*(E2=E$1:E4504))))))</f>
        <v/>
      </c>
      <c r="K4505" s="24" t="str">
        <f aca="false">IF(OR(E4505="",E4505="!!!",F4505="NEW"),"",INDEX(J$1:J4504,SUMPRODUCT(MAX(ROW(E$1:E4504)*(E4505=E$1:E4504)))))</f>
        <v/>
      </c>
      <c r="L4505" s="31"/>
    </row>
    <row r="4506" customFormat="false" ht="15" hidden="false" customHeight="false" outlineLevel="0" collapsed="false">
      <c r="A4506" s="20" t="s">
        <v>2398</v>
      </c>
      <c r="E4506" s="23" t="str">
        <f aca="false">IF(D4506="?OLD","!!!","")</f>
        <v/>
      </c>
      <c r="F4506" s="25" t="str">
        <f aca="false">IF(OR(E4506="",E4506="!!!"),"",IF(NOT(ISNA(VLOOKUP(E4506,E$1:E4505,1,FALSE()))),"OLD",IF(AND(E4506&lt;&gt;"",E4506&lt;&gt;"!!!"),"NEW","")))</f>
        <v/>
      </c>
      <c r="G4506" s="26" t="str">
        <f aca="false">IF(OR(E4506="",E4506="!!!"),"",IF(OR(J4506=0,AND(J4506=1,K4506=1),AND(J4506=1,I4506="SBJ"),AND(J4506=1,I4506=0)),"?IN_FOCUS",IF(J4506&lt;=2,"?ACTIVATED",IF(J4506&lt;&gt;"","?FAMILIAR",IF(F4506="NEW",IF(ISNA(VLOOKUP(E4506,#REF!,1,FALSE())),"?TYPE_IDENTIFIABLE","?REFERENTIAL"),"_")))))</f>
        <v/>
      </c>
      <c r="H4506" s="27" t="str">
        <f aca="false">IF(J4506&lt;&gt;1,"",IF(I4506="SBJ","CB","?"))</f>
        <v/>
      </c>
      <c r="I4506" s="24" t="str">
        <f aca="false">IF(OR(E4506="",E4506="!!!",F4506="NEW"),"",INDEX(B38:B$4469,-1+SUMPRODUCT(MAX(ROW(E38:E$4469)*(E4506=E38:E$4469)))))</f>
        <v/>
      </c>
      <c r="J4506" s="24" t="str">
        <f aca="true">IF(OR(E4506="",E4506="!!!",F4506="NEW"),"",COUNTBLANK(OFFSET(A$1,,,SUMPRODUCT(MAX(ROW(E$2:E4506)*(E4506=E$2:E4506)))))-COUNTBLANK(OFFSET(A$1,,,SUMPRODUCT(MAX(ROW(E$1:E4505)*(E2=E$1:E4505))))))</f>
        <v/>
      </c>
      <c r="K4506" s="24" t="str">
        <f aca="false">IF(OR(E4506="",E4506="!!!",F4506="NEW"),"",INDEX(J$1:J4505,SUMPRODUCT(MAX(ROW(E$1:E4505)*(E4506=E$1:E4505)))))</f>
        <v/>
      </c>
      <c r="L4506" s="31"/>
    </row>
    <row r="4507" customFormat="false" ht="15" hidden="false" customHeight="false" outlineLevel="0" collapsed="false">
      <c r="A4507" s="20" t="s">
        <v>1173</v>
      </c>
      <c r="E4507" s="23" t="str">
        <f aca="false">IF(D4507="?OLD","!!!","")</f>
        <v/>
      </c>
      <c r="F4507" s="25" t="str">
        <f aca="false">IF(OR(E4507="",E4507="!!!"),"",IF(NOT(ISNA(VLOOKUP(E4507,E$1:E4506,1,FALSE()))),"OLD",IF(AND(E4507&lt;&gt;"",E4507&lt;&gt;"!!!"),"NEW","")))</f>
        <v/>
      </c>
      <c r="G4507" s="26" t="str">
        <f aca="false">IF(OR(E4507="",E4507="!!!"),"",IF(OR(J4507=0,AND(J4507=1,K4507=1),AND(J4507=1,I4507="SBJ"),AND(J4507=1,I4507=0)),"?IN_FOCUS",IF(J4507&lt;=2,"?ACTIVATED",IF(J4507&lt;&gt;"","?FAMILIAR",IF(F4507="NEW",IF(ISNA(VLOOKUP(E4507,#REF!,1,FALSE())),"?TYPE_IDENTIFIABLE","?REFERENTIAL"),"_")))))</f>
        <v/>
      </c>
      <c r="H4507" s="27" t="str">
        <f aca="false">IF(J4507&lt;&gt;1,"",IF(I4507="SBJ","CB","?"))</f>
        <v/>
      </c>
      <c r="I4507" s="24" t="str">
        <f aca="false">IF(OR(E4507="",E4507="!!!",F4507="NEW"),"",INDEX(B39:B$4469,-1+SUMPRODUCT(MAX(ROW(E39:E$4469)*(E4507=E39:E$4469)))))</f>
        <v/>
      </c>
      <c r="J4507" s="24" t="str">
        <f aca="true">IF(OR(E4507="",E4507="!!!",F4507="NEW"),"",COUNTBLANK(OFFSET(A$1,,,SUMPRODUCT(MAX(ROW(E$2:E4507)*(E4507=E$2:E4507)))))-COUNTBLANK(OFFSET(A$1,,,SUMPRODUCT(MAX(ROW(E$1:E4506)*(E2=E$1:E4506))))))</f>
        <v/>
      </c>
      <c r="K4507" s="24" t="str">
        <f aca="false">IF(OR(E4507="",E4507="!!!",F4507="NEW"),"",INDEX(J$1:J4506,SUMPRODUCT(MAX(ROW(E$1:E4506)*(E4507=E$1:E4506)))))</f>
        <v/>
      </c>
      <c r="L4507" s="31"/>
    </row>
    <row r="4508" customFormat="false" ht="15" hidden="false" customHeight="false" outlineLevel="0" collapsed="false">
      <c r="A4508" s="20" t="s">
        <v>587</v>
      </c>
      <c r="E4508" s="23" t="str">
        <f aca="false">IF(D4508="?OLD","!!!","")</f>
        <v/>
      </c>
      <c r="F4508" s="25" t="str">
        <f aca="false">IF(OR(E4508="",E4508="!!!"),"",IF(NOT(ISNA(VLOOKUP(E4508,E$1:E4507,1,FALSE()))),"OLD",IF(AND(E4508&lt;&gt;"",E4508&lt;&gt;"!!!"),"NEW","")))</f>
        <v/>
      </c>
      <c r="G4508" s="26" t="str">
        <f aca="false">IF(OR(E4508="",E4508="!!!"),"",IF(OR(J4508=0,AND(J4508=1,K4508=1),AND(J4508=1,I4508="SBJ"),AND(J4508=1,I4508=0)),"?IN_FOCUS",IF(J4508&lt;=2,"?ACTIVATED",IF(J4508&lt;&gt;"","?FAMILIAR",IF(F4508="NEW",IF(ISNA(VLOOKUP(E4508,#REF!,1,FALSE())),"?TYPE_IDENTIFIABLE","?REFERENTIAL"),"_")))))</f>
        <v/>
      </c>
      <c r="H4508" s="27" t="str">
        <f aca="false">IF(J4508&lt;&gt;1,"",IF(I4508="SBJ","CB","?"))</f>
        <v/>
      </c>
      <c r="I4508" s="24" t="str">
        <f aca="false">IF(OR(E4508="",E4508="!!!",F4508="NEW"),"",INDEX(B40:B$4469,-1+SUMPRODUCT(MAX(ROW(E40:E$4469)*(E4508=E40:E$4469)))))</f>
        <v/>
      </c>
      <c r="J4508" s="24" t="str">
        <f aca="true">IF(OR(E4508="",E4508="!!!",F4508="NEW"),"",COUNTBLANK(OFFSET(A$1,,,SUMPRODUCT(MAX(ROW(E$2:E4508)*(E4508=E$2:E4508)))))-COUNTBLANK(OFFSET(A$1,,,SUMPRODUCT(MAX(ROW(E$1:E4507)*(E2=E$1:E4507))))))</f>
        <v/>
      </c>
      <c r="K4508" s="24" t="str">
        <f aca="false">IF(OR(E4508="",E4508="!!!",F4508="NEW"),"",INDEX(J$1:J4507,SUMPRODUCT(MAX(ROW(E$1:E4507)*(E4508=E$1:E4507)))))</f>
        <v/>
      </c>
      <c r="L4508" s="31"/>
    </row>
    <row r="4509" customFormat="false" ht="15" hidden="false" customHeight="false" outlineLevel="0" collapsed="false">
      <c r="A4509" s="20" t="s">
        <v>2399</v>
      </c>
      <c r="E4509" s="23" t="str">
        <f aca="false">IF(D4509="?OLD","!!!","")</f>
        <v/>
      </c>
      <c r="F4509" s="25" t="str">
        <f aca="false">IF(OR(E4509="",E4509="!!!"),"",IF(NOT(ISNA(VLOOKUP(E4509,E$1:E4508,1,FALSE()))),"OLD",IF(AND(E4509&lt;&gt;"",E4509&lt;&gt;"!!!"),"NEW","")))</f>
        <v/>
      </c>
      <c r="G4509" s="26" t="str">
        <f aca="false">IF(OR(E4509="",E4509="!!!"),"",IF(OR(J4509=0,AND(J4509=1,K4509=1),AND(J4509=1,I4509="SBJ"),AND(J4509=1,I4509=0)),"?IN_FOCUS",IF(J4509&lt;=2,"?ACTIVATED",IF(J4509&lt;&gt;"","?FAMILIAR",IF(F4509="NEW",IF(ISNA(VLOOKUP(E4509,#REF!,1,FALSE())),"?TYPE_IDENTIFIABLE","?REFERENTIAL"),"_")))))</f>
        <v/>
      </c>
      <c r="H4509" s="27" t="str">
        <f aca="false">IF(J4509&lt;&gt;1,"",IF(I4509="SBJ","CB","?"))</f>
        <v/>
      </c>
      <c r="I4509" s="24" t="str">
        <f aca="false">IF(OR(E4509="",E4509="!!!",F4509="NEW"),"",INDEX(B41:B$4469,-1+SUMPRODUCT(MAX(ROW(E41:E$4469)*(E4509=E41:E$4469)))))</f>
        <v/>
      </c>
      <c r="J4509" s="24" t="str">
        <f aca="true">IF(OR(E4509="",E4509="!!!",F4509="NEW"),"",COUNTBLANK(OFFSET(A$1,,,SUMPRODUCT(MAX(ROW(E$2:E4509)*(E4509=E$2:E4509)))))-COUNTBLANK(OFFSET(A$1,,,SUMPRODUCT(MAX(ROW(E$1:E4508)*(E2=E$1:E4508))))))</f>
        <v/>
      </c>
      <c r="K4509" s="24" t="str">
        <f aca="false">IF(OR(E4509="",E4509="!!!",F4509="NEW"),"",INDEX(J$1:J4508,SUMPRODUCT(MAX(ROW(E$1:E4508)*(E4509=E$1:E4508)))))</f>
        <v/>
      </c>
      <c r="L4509" s="31"/>
    </row>
    <row r="4510" customFormat="false" ht="15" hidden="false" customHeight="false" outlineLevel="0" collapsed="false">
      <c r="A4510" s="20" t="s">
        <v>1085</v>
      </c>
      <c r="E4510" s="23" t="str">
        <f aca="false">IF(D4510="?OLD","!!!","")</f>
        <v/>
      </c>
      <c r="F4510" s="25" t="str">
        <f aca="false">IF(OR(E4510="",E4510="!!!"),"",IF(NOT(ISNA(VLOOKUP(E4510,E$1:E4509,1,FALSE()))),"OLD",IF(AND(E4510&lt;&gt;"",E4510&lt;&gt;"!!!"),"NEW","")))</f>
        <v/>
      </c>
      <c r="G4510" s="26" t="str">
        <f aca="false">IF(OR(E4510="",E4510="!!!"),"",IF(OR(J4510=0,AND(J4510=1,K4510=1),AND(J4510=1,I4510="SBJ"),AND(J4510=1,I4510=0)),"?IN_FOCUS",IF(J4510&lt;=2,"?ACTIVATED",IF(J4510&lt;&gt;"","?FAMILIAR",IF(F4510="NEW",IF(ISNA(VLOOKUP(E4510,#REF!,1,FALSE())),"?TYPE_IDENTIFIABLE","?REFERENTIAL"),"_")))))</f>
        <v/>
      </c>
      <c r="H4510" s="27" t="str">
        <f aca="false">IF(J4510&lt;&gt;1,"",IF(I4510="SBJ","CB","?"))</f>
        <v/>
      </c>
      <c r="I4510" s="24" t="str">
        <f aca="false">IF(OR(E4510="",E4510="!!!",F4510="NEW"),"",INDEX(B42:B$4469,-1+SUMPRODUCT(MAX(ROW(E42:E$4469)*(E4510=E42:E$4469)))))</f>
        <v/>
      </c>
      <c r="J4510" s="24" t="str">
        <f aca="true">IF(OR(E4510="",E4510="!!!",F4510="NEW"),"",COUNTBLANK(OFFSET(A$1,,,SUMPRODUCT(MAX(ROW(E$2:E4510)*(E4510=E$2:E4510)))))-COUNTBLANK(OFFSET(A$1,,,SUMPRODUCT(MAX(ROW(E$1:E4509)*(E2=E$1:E4509))))))</f>
        <v/>
      </c>
      <c r="K4510" s="24" t="str">
        <f aca="false">IF(OR(E4510="",E4510="!!!",F4510="NEW"),"",INDEX(J$1:J4509,SUMPRODUCT(MAX(ROW(E$1:E4509)*(E4510=E$1:E4509)))))</f>
        <v/>
      </c>
      <c r="L4510" s="31"/>
    </row>
    <row r="4511" customFormat="false" ht="15" hidden="false" customHeight="false" outlineLevel="0" collapsed="false">
      <c r="A4511" s="20" t="s">
        <v>2400</v>
      </c>
      <c r="B4511" s="22" t="s">
        <v>1320</v>
      </c>
      <c r="C4511" s="22" t="s">
        <v>1087</v>
      </c>
      <c r="E4511" s="23" t="str">
        <f aca="false">IF(D4511="?OLD","!!!","")</f>
        <v/>
      </c>
      <c r="F4511" s="25" t="str">
        <f aca="false">IF(OR(E4511="",E4511="!!!"),"",IF(NOT(ISNA(VLOOKUP(E4511,E$1:E4510,1,FALSE()))),"OLD",IF(AND(E4511&lt;&gt;"",E4511&lt;&gt;"!!!"),"NEW","")))</f>
        <v/>
      </c>
      <c r="G4511" s="26" t="str">
        <f aca="false">IF(OR(E4511="",E4511="!!!"),"",IF(OR(J4511=0,AND(J4511=1,K4511=1),AND(J4511=1,I4511="SBJ"),AND(J4511=1,I4511=0)),"?IN_FOCUS",IF(J4511&lt;=2,"?ACTIVATED",IF(J4511&lt;&gt;"","?FAMILIAR",IF(F4511="NEW",IF(ISNA(VLOOKUP(E4511,#REF!,1,FALSE())),"?TYPE_IDENTIFIABLE","?REFERENTIAL"),"_")))))</f>
        <v/>
      </c>
      <c r="H4511" s="27" t="str">
        <f aca="false">IF(J4511&lt;&gt;1,"",IF(I4511="SBJ","CB","?"))</f>
        <v/>
      </c>
      <c r="I4511" s="24" t="str">
        <f aca="false">IF(OR(E4511="",E4511="!!!",F4511="NEW"),"",INDEX(B43:B$4469,-1+SUMPRODUCT(MAX(ROW(E43:E$4469)*(E4511=E43:E$4469)))))</f>
        <v/>
      </c>
      <c r="J4511" s="24" t="str">
        <f aca="true">IF(OR(E4511="",E4511="!!!",F4511="NEW"),"",COUNTBLANK(OFFSET(A$1,,,SUMPRODUCT(MAX(ROW(E$2:E4511)*(E4511=E$2:E4511)))))-COUNTBLANK(OFFSET(A$1,,,SUMPRODUCT(MAX(ROW(E$1:E4510)*(E2=E$1:E4510))))))</f>
        <v/>
      </c>
      <c r="K4511" s="24" t="str">
        <f aca="false">IF(OR(E4511="",E4511="!!!",F4511="NEW"),"",INDEX(J$1:J4510,SUMPRODUCT(MAX(ROW(E$1:E4510)*(E4511=E$1:E4510)))))</f>
        <v/>
      </c>
      <c r="L4511" s="31"/>
    </row>
    <row r="4512" customFormat="false" ht="15" hidden="false" customHeight="false" outlineLevel="0" collapsed="false">
      <c r="A4512" s="20" t="s">
        <v>923</v>
      </c>
      <c r="E4512" s="23" t="str">
        <f aca="false">IF(D4512="?OLD","!!!","")</f>
        <v/>
      </c>
      <c r="F4512" s="25" t="str">
        <f aca="false">IF(OR(E4512="",E4512="!!!"),"",IF(NOT(ISNA(VLOOKUP(E4512,E$1:E4511,1,FALSE()))),"OLD",IF(AND(E4512&lt;&gt;"",E4512&lt;&gt;"!!!"),"NEW","")))</f>
        <v/>
      </c>
      <c r="G4512" s="26" t="str">
        <f aca="false">IF(OR(E4512="",E4512="!!!"),"",IF(OR(J4512=0,AND(J4512=1,K4512=1),AND(J4512=1,I4512="SBJ"),AND(J4512=1,I4512=0)),"?IN_FOCUS",IF(J4512&lt;=2,"?ACTIVATED",IF(J4512&lt;&gt;"","?FAMILIAR",IF(F4512="NEW",IF(ISNA(VLOOKUP(E4512,#REF!,1,FALSE())),"?TYPE_IDENTIFIABLE","?REFERENTIAL"),"_")))))</f>
        <v/>
      </c>
      <c r="H4512" s="27" t="str">
        <f aca="false">IF(J4512&lt;&gt;1,"",IF(I4512="SBJ","CB","?"))</f>
        <v/>
      </c>
      <c r="I4512" s="24" t="str">
        <f aca="false">IF(OR(E4512="",E4512="!!!",F4512="NEW"),"",INDEX(B44:B$4469,-1+SUMPRODUCT(MAX(ROW(E44:E$4469)*(E4512=E44:E$4469)))))</f>
        <v/>
      </c>
      <c r="J4512" s="24" t="str">
        <f aca="true">IF(OR(E4512="",E4512="!!!",F4512="NEW"),"",COUNTBLANK(OFFSET(A$1,,,SUMPRODUCT(MAX(ROW(E$2:E4512)*(E4512=E$2:E4512)))))-COUNTBLANK(OFFSET(A$1,,,SUMPRODUCT(MAX(ROW(E$1:E4511)*(E2=E$1:E4511))))))</f>
        <v/>
      </c>
      <c r="K4512" s="24" t="str">
        <f aca="false">IF(OR(E4512="",E4512="!!!",F4512="NEW"),"",INDEX(J$1:J4511,SUMPRODUCT(MAX(ROW(E$1:E4511)*(E4512=E$1:E4511)))))</f>
        <v/>
      </c>
      <c r="L4512" s="31"/>
    </row>
    <row r="4513" customFormat="false" ht="15" hidden="false" customHeight="false" outlineLevel="0" collapsed="false">
      <c r="A4513" s="20"/>
    </row>
    <row r="4514" customFormat="false" ht="15" hidden="false" customHeight="false" outlineLevel="0" collapsed="false">
      <c r="A4514" s="20" t="s">
        <v>2401</v>
      </c>
    </row>
    <row r="4515" customFormat="false" ht="15" hidden="false" customHeight="false" outlineLevel="0" collapsed="false">
      <c r="A4515" s="20" t="s">
        <v>2145</v>
      </c>
      <c r="E4515" s="23" t="str">
        <f aca="false">IF(D4515="?OLD","!!!","")</f>
        <v/>
      </c>
      <c r="F4515" s="25" t="str">
        <f aca="false">IF(OR(E4515="",E4515="!!!"),"",IF(NOT(ISNA(VLOOKUP(E4515,E$1:E4514,1,FALSE()))),"OLD",IF(AND(E4515&lt;&gt;"",E4515&lt;&gt;"!!!"),"NEW","")))</f>
        <v/>
      </c>
      <c r="G4515" s="26" t="str">
        <f aca="false">IF(OR(E4515="",E4515="!!!"),"",IF(OR(J4515=0,AND(J4515=1,K4515=1),AND(J4515=1,I4515="SBJ"),AND(J4515=1,I4515=0)),"?IN_FOCUS",IF(J4515&lt;=2,"?ACTIVATED",IF(J4515&lt;&gt;"","?FAMILIAR",IF(F4515="NEW",IF(ISNA(VLOOKUP(E4515,#REF!,1,FALSE())),"?TYPE_IDENTIFIABLE","?REFERENTIAL"),"_")))))</f>
        <v/>
      </c>
      <c r="H4515" s="27" t="str">
        <f aca="false">IF(J4515&lt;&gt;1,"",IF(I4515="SBJ","CB","?"))</f>
        <v/>
      </c>
      <c r="I4515" s="24" t="str">
        <f aca="false">IF(OR(E4515="",E4515="!!!",F4515="NEW"),"",INDEX(B2:B$4514,-1+SUMPRODUCT(MAX(ROW(E2:E$4514)*(E4515=E2:E$4514)))))</f>
        <v/>
      </c>
      <c r="J4515" s="24" t="str">
        <f aca="true">IF(OR(E4515="",E4515="!!!",F4515="NEW"),"",COUNTBLANK(OFFSET(A$1,,,SUMPRODUCT(MAX(ROW(E$2:E4515)*(E4515=E$2:E4515)))))-COUNTBLANK(OFFSET(A$1,,,SUMPRODUCT(MAX(ROW(E$1:E4514)*(E2=E$1:E4514))))))</f>
        <v/>
      </c>
      <c r="K4515" s="24" t="str">
        <f aca="false">IF(OR(E4515="",E4515="!!!",F4515="NEW"),"",INDEX(J$1:J4514,SUMPRODUCT(MAX(ROW(E$1:E4514)*(E4515=E$1:E4514)))))</f>
        <v/>
      </c>
      <c r="L4515" s="31"/>
    </row>
    <row r="4516" customFormat="false" ht="15" hidden="false" customHeight="false" outlineLevel="0" collapsed="false">
      <c r="A4516" s="20" t="s">
        <v>1109</v>
      </c>
      <c r="E4516" s="23" t="str">
        <f aca="false">IF(D4516="?OLD","!!!","")</f>
        <v/>
      </c>
      <c r="F4516" s="25" t="str">
        <f aca="false">IF(OR(E4516="",E4516="!!!"),"",IF(NOT(ISNA(VLOOKUP(E4516,E$1:E4515,1,FALSE()))),"OLD",IF(AND(E4516&lt;&gt;"",E4516&lt;&gt;"!!!"),"NEW","")))</f>
        <v/>
      </c>
      <c r="G4516" s="26" t="str">
        <f aca="false">IF(OR(E4516="",E4516="!!!"),"",IF(OR(J4516=0,AND(J4516=1,K4516=1),AND(J4516=1,I4516="SBJ"),AND(J4516=1,I4516=0)),"?IN_FOCUS",IF(J4516&lt;=2,"?ACTIVATED",IF(J4516&lt;&gt;"","?FAMILIAR",IF(F4516="NEW",IF(ISNA(VLOOKUP(E4516,#REF!,1,FALSE())),"?TYPE_IDENTIFIABLE","?REFERENTIAL"),"_")))))</f>
        <v/>
      </c>
      <c r="H4516" s="27" t="str">
        <f aca="false">IF(J4516&lt;&gt;1,"",IF(I4516="SBJ","CB","?"))</f>
        <v/>
      </c>
      <c r="I4516" s="24" t="str">
        <f aca="false">IF(OR(E4516="",E4516="!!!",F4516="NEW"),"",INDEX(B3:B$4514,-1+SUMPRODUCT(MAX(ROW(E3:E$4514)*(E4516=E3:E$4514)))))</f>
        <v/>
      </c>
      <c r="J4516" s="24" t="str">
        <f aca="true">IF(OR(E4516="",E4516="!!!",F4516="NEW"),"",COUNTBLANK(OFFSET(A$1,,,SUMPRODUCT(MAX(ROW(E$2:E4516)*(E4516=E$2:E4516)))))-COUNTBLANK(OFFSET(A$1,,,SUMPRODUCT(MAX(ROW(E$1:E4515)*(E2=E$1:E4515))))))</f>
        <v/>
      </c>
      <c r="K4516" s="24" t="str">
        <f aca="false">IF(OR(E4516="",E4516="!!!",F4516="NEW"),"",INDEX(J$1:J4515,SUMPRODUCT(MAX(ROW(E$1:E4515)*(E4516=E$1:E4515)))))</f>
        <v/>
      </c>
      <c r="L4516" s="31"/>
    </row>
    <row r="4517" customFormat="false" ht="15" hidden="false" customHeight="false" outlineLevel="0" collapsed="false">
      <c r="A4517" s="20" t="s">
        <v>2371</v>
      </c>
      <c r="B4517" s="22" t="s">
        <v>1105</v>
      </c>
      <c r="C4517" s="22" t="s">
        <v>1150</v>
      </c>
      <c r="D4517" s="22" t="s">
        <v>1060</v>
      </c>
      <c r="E4517" s="23" t="str">
        <f aca="false">IF(D4517="?OLD","!!!","")</f>
        <v>!!!</v>
      </c>
      <c r="F4517" s="25" t="str">
        <f aca="false">IF(OR(E4517="",E4517="!!!"),"",IF(NOT(ISNA(VLOOKUP(E4517,E$1:E4516,1,FALSE()))),"OLD",IF(AND(E4517&lt;&gt;"",E4517&lt;&gt;"!!!"),"NEW","")))</f>
        <v/>
      </c>
      <c r="G4517" s="26" t="str">
        <f aca="false">IF(OR(E4517="",E4517="!!!"),"",IF(OR(J4517=0,AND(J4517=1,K4517=1),AND(J4517=1,I4517="SBJ"),AND(J4517=1,I4517=0)),"?IN_FOCUS",IF(J4517&lt;=2,"?ACTIVATED",IF(J4517&lt;&gt;"","?FAMILIAR",IF(F4517="NEW",IF(ISNA(VLOOKUP(E4517,#REF!,1,FALSE())),"?TYPE_IDENTIFIABLE","?REFERENTIAL"),"_")))))</f>
        <v/>
      </c>
      <c r="H4517" s="27" t="str">
        <f aca="false">IF(J4517&lt;&gt;1,"",IF(I4517="SBJ","CB","?"))</f>
        <v/>
      </c>
      <c r="I4517" s="24" t="str">
        <f aca="false">IF(OR(E4517="",E4517="!!!",F4517="NEW"),"",INDEX(B4:B$4514,-1+SUMPRODUCT(MAX(ROW(E4:E$4514)*(E4517=E4:E$4514)))))</f>
        <v/>
      </c>
      <c r="J4517" s="24" t="str">
        <f aca="true">IF(OR(E4517="",E4517="!!!",F4517="NEW"),"",COUNTBLANK(OFFSET(A$1,,,SUMPRODUCT(MAX(ROW(E$2:E4517)*(E4517=E$2:E4517)))))-COUNTBLANK(OFFSET(A$1,,,SUMPRODUCT(MAX(ROW(E$1:E4516)*(E2=E$1:E4516))))))</f>
        <v/>
      </c>
      <c r="K4517" s="24" t="str">
        <f aca="false">IF(OR(E4517="",E4517="!!!",F4517="NEW"),"",INDEX(J$1:J4516,SUMPRODUCT(MAX(ROW(E$1:E4516)*(E4517=E$1:E4516)))))</f>
        <v/>
      </c>
      <c r="L4517" s="31"/>
    </row>
    <row r="4518" customFormat="false" ht="15" hidden="false" customHeight="false" outlineLevel="0" collapsed="false">
      <c r="A4518" s="20" t="s">
        <v>1264</v>
      </c>
      <c r="E4518" s="23" t="str">
        <f aca="false">IF(D4518="?OLD","!!!","")</f>
        <v/>
      </c>
      <c r="F4518" s="25" t="str">
        <f aca="false">IF(OR(E4518="",E4518="!!!"),"",IF(NOT(ISNA(VLOOKUP(E4518,E$1:E4517,1,FALSE()))),"OLD",IF(AND(E4518&lt;&gt;"",E4518&lt;&gt;"!!!"),"NEW","")))</f>
        <v/>
      </c>
      <c r="G4518" s="26" t="str">
        <f aca="false">IF(OR(E4518="",E4518="!!!"),"",IF(OR(J4518=0,AND(J4518=1,K4518=1),AND(J4518=1,I4518="SBJ"),AND(J4518=1,I4518=0)),"?IN_FOCUS",IF(J4518&lt;=2,"?ACTIVATED",IF(J4518&lt;&gt;"","?FAMILIAR",IF(F4518="NEW",IF(ISNA(VLOOKUP(E4518,#REF!,1,FALSE())),"?TYPE_IDENTIFIABLE","?REFERENTIAL"),"_")))))</f>
        <v/>
      </c>
      <c r="H4518" s="27" t="str">
        <f aca="false">IF(J4518&lt;&gt;1,"",IF(I4518="SBJ","CB","?"))</f>
        <v/>
      </c>
      <c r="I4518" s="24" t="str">
        <f aca="false">IF(OR(E4518="",E4518="!!!",F4518="NEW"),"",INDEX(B5:B$4514,-1+SUMPRODUCT(MAX(ROW(E5:E$4514)*(E4518=E5:E$4514)))))</f>
        <v/>
      </c>
      <c r="J4518" s="24" t="str">
        <f aca="true">IF(OR(E4518="",E4518="!!!",F4518="NEW"),"",COUNTBLANK(OFFSET(A$1,,,SUMPRODUCT(MAX(ROW(E$2:E4518)*(E4518=E$2:E4518)))))-COUNTBLANK(OFFSET(A$1,,,SUMPRODUCT(MAX(ROW(E$1:E4517)*(E2=E$1:E4517))))))</f>
        <v/>
      </c>
      <c r="K4518" s="24" t="str">
        <f aca="false">IF(OR(E4518="",E4518="!!!",F4518="NEW"),"",INDEX(J$1:J4517,SUMPRODUCT(MAX(ROW(E$1:E4517)*(E4518=E$1:E4517)))))</f>
        <v/>
      </c>
      <c r="L4518" s="31"/>
    </row>
    <row r="4519" customFormat="false" ht="15" hidden="false" customHeight="false" outlineLevel="0" collapsed="false">
      <c r="A4519" s="20" t="s">
        <v>1109</v>
      </c>
      <c r="E4519" s="23" t="str">
        <f aca="false">IF(D4519="?OLD","!!!","")</f>
        <v/>
      </c>
      <c r="F4519" s="25" t="str">
        <f aca="false">IF(OR(E4519="",E4519="!!!"),"",IF(NOT(ISNA(VLOOKUP(E4519,E$1:E4518,1,FALSE()))),"OLD",IF(AND(E4519&lt;&gt;"",E4519&lt;&gt;"!!!"),"NEW","")))</f>
        <v/>
      </c>
      <c r="G4519" s="26" t="str">
        <f aca="false">IF(OR(E4519="",E4519="!!!"),"",IF(OR(J4519=0,AND(J4519=1,K4519=1),AND(J4519=1,I4519="SBJ"),AND(J4519=1,I4519=0)),"?IN_FOCUS",IF(J4519&lt;=2,"?ACTIVATED",IF(J4519&lt;&gt;"","?FAMILIAR",IF(F4519="NEW",IF(ISNA(VLOOKUP(E4519,#REF!,1,FALSE())),"?TYPE_IDENTIFIABLE","?REFERENTIAL"),"_")))))</f>
        <v/>
      </c>
      <c r="H4519" s="27" t="str">
        <f aca="false">IF(J4519&lt;&gt;1,"",IF(I4519="SBJ","CB","?"))</f>
        <v/>
      </c>
      <c r="I4519" s="24" t="str">
        <f aca="false">IF(OR(E4519="",E4519="!!!",F4519="NEW"),"",INDEX(B6:B$4514,-1+SUMPRODUCT(MAX(ROW(E6:E$4514)*(E4519=E6:E$4514)))))</f>
        <v/>
      </c>
      <c r="J4519" s="24" t="str">
        <f aca="true">IF(OR(E4519="",E4519="!!!",F4519="NEW"),"",COUNTBLANK(OFFSET(A$1,,,SUMPRODUCT(MAX(ROW(E$2:E4519)*(E4519=E$2:E4519)))))-COUNTBLANK(OFFSET(A$1,,,SUMPRODUCT(MAX(ROW(E$1:E4518)*(E2=E$1:E4518))))))</f>
        <v/>
      </c>
      <c r="K4519" s="24" t="str">
        <f aca="false">IF(OR(E4519="",E4519="!!!",F4519="NEW"),"",INDEX(J$1:J4518,SUMPRODUCT(MAX(ROW(E$1:E4518)*(E4519=E$1:E4518)))))</f>
        <v/>
      </c>
      <c r="L4519" s="31"/>
    </row>
    <row r="4520" customFormat="false" ht="15" hidden="false" customHeight="false" outlineLevel="0" collapsed="false">
      <c r="A4520" s="20" t="s">
        <v>2028</v>
      </c>
      <c r="B4520" s="22" t="s">
        <v>1073</v>
      </c>
      <c r="C4520" s="22" t="s">
        <v>1150</v>
      </c>
      <c r="D4520" s="22" t="s">
        <v>1060</v>
      </c>
      <c r="E4520" s="23" t="str">
        <f aca="false">IF(D4520="?OLD","!!!","")</f>
        <v>!!!</v>
      </c>
      <c r="F4520" s="25" t="str">
        <f aca="false">IF(OR(E4520="",E4520="!!!"),"",IF(NOT(ISNA(VLOOKUP(E4520,E$1:E4519,1,FALSE()))),"OLD",IF(AND(E4520&lt;&gt;"",E4520&lt;&gt;"!!!"),"NEW","")))</f>
        <v/>
      </c>
      <c r="G4520" s="26" t="str">
        <f aca="false">IF(OR(E4520="",E4520="!!!"),"",IF(OR(J4520=0,AND(J4520=1,K4520=1),AND(J4520=1,I4520="SBJ"),AND(J4520=1,I4520=0)),"?IN_FOCUS",IF(J4520&lt;=2,"?ACTIVATED",IF(J4520&lt;&gt;"","?FAMILIAR",IF(F4520="NEW",IF(ISNA(VLOOKUP(E4520,#REF!,1,FALSE())),"?TYPE_IDENTIFIABLE","?REFERENTIAL"),"_")))))</f>
        <v/>
      </c>
      <c r="H4520" s="27" t="str">
        <f aca="false">IF(J4520&lt;&gt;1,"",IF(I4520="SBJ","CB","?"))</f>
        <v/>
      </c>
      <c r="I4520" s="24" t="str">
        <f aca="false">IF(OR(E4520="",E4520="!!!",F4520="NEW"),"",INDEX(B7:B$4514,-1+SUMPRODUCT(MAX(ROW(E7:E$4514)*(E4520=E7:E$4514)))))</f>
        <v/>
      </c>
      <c r="J4520" s="24" t="str">
        <f aca="true">IF(OR(E4520="",E4520="!!!",F4520="NEW"),"",COUNTBLANK(OFFSET(A$1,,,SUMPRODUCT(MAX(ROW(E$2:E4520)*(E4520=E$2:E4520)))))-COUNTBLANK(OFFSET(A$1,,,SUMPRODUCT(MAX(ROW(E$1:E4519)*(E2=E$1:E4519))))))</f>
        <v/>
      </c>
      <c r="K4520" s="24" t="str">
        <f aca="false">IF(OR(E4520="",E4520="!!!",F4520="NEW"),"",INDEX(J$1:J4519,SUMPRODUCT(MAX(ROW(E$1:E4519)*(E4520=E$1:E4519)))))</f>
        <v/>
      </c>
      <c r="L4520" s="31"/>
    </row>
    <row r="4521" customFormat="false" ht="15" hidden="false" customHeight="false" outlineLevel="0" collapsed="false">
      <c r="A4521" s="20" t="s">
        <v>1064</v>
      </c>
      <c r="E4521" s="23" t="str">
        <f aca="false">IF(D4521="?OLD","!!!","")</f>
        <v/>
      </c>
      <c r="F4521" s="25" t="str">
        <f aca="false">IF(OR(E4521="",E4521="!!!"),"",IF(NOT(ISNA(VLOOKUP(E4521,E$1:E4520,1,FALSE()))),"OLD",IF(AND(E4521&lt;&gt;"",E4521&lt;&gt;"!!!"),"NEW","")))</f>
        <v/>
      </c>
      <c r="G4521" s="26" t="str">
        <f aca="false">IF(OR(E4521="",E4521="!!!"),"",IF(OR(J4521=0,AND(J4521=1,K4521=1),AND(J4521=1,I4521="SBJ"),AND(J4521=1,I4521=0)),"?IN_FOCUS",IF(J4521&lt;=2,"?ACTIVATED",IF(J4521&lt;&gt;"","?FAMILIAR",IF(F4521="NEW",IF(ISNA(VLOOKUP(E4521,#REF!,1,FALSE())),"?TYPE_IDENTIFIABLE","?REFERENTIAL"),"_")))))</f>
        <v/>
      </c>
      <c r="H4521" s="27" t="str">
        <f aca="false">IF(J4521&lt;&gt;1,"",IF(I4521="SBJ","CB","?"))</f>
        <v/>
      </c>
      <c r="I4521" s="24" t="str">
        <f aca="false">IF(OR(E4521="",E4521="!!!",F4521="NEW"),"",INDEX(B8:B$4514,-1+SUMPRODUCT(MAX(ROW(E8:E$4514)*(E4521=E8:E$4514)))))</f>
        <v/>
      </c>
      <c r="J4521" s="24" t="str">
        <f aca="true">IF(OR(E4521="",E4521="!!!",F4521="NEW"),"",COUNTBLANK(OFFSET(A$1,,,SUMPRODUCT(MAX(ROW(E$2:E4521)*(E4521=E$2:E4521)))))-COUNTBLANK(OFFSET(A$1,,,SUMPRODUCT(MAX(ROW(E$1:E4520)*(E2=E$1:E4520))))))</f>
        <v/>
      </c>
      <c r="K4521" s="24" t="str">
        <f aca="false">IF(OR(E4521="",E4521="!!!",F4521="NEW"),"",INDEX(J$1:J4520,SUMPRODUCT(MAX(ROW(E$1:E4520)*(E4521=E$1:E4520)))))</f>
        <v/>
      </c>
      <c r="L4521" s="31"/>
    </row>
    <row r="4522" customFormat="false" ht="15" hidden="false" customHeight="false" outlineLevel="0" collapsed="false">
      <c r="A4522" s="20" t="s">
        <v>1109</v>
      </c>
      <c r="E4522" s="23" t="str">
        <f aca="false">IF(D4522="?OLD","!!!","")</f>
        <v/>
      </c>
      <c r="F4522" s="25" t="str">
        <f aca="false">IF(OR(E4522="",E4522="!!!"),"",IF(NOT(ISNA(VLOOKUP(E4522,E$1:E4521,1,FALSE()))),"OLD",IF(AND(E4522&lt;&gt;"",E4522&lt;&gt;"!!!"),"NEW","")))</f>
        <v/>
      </c>
      <c r="G4522" s="26" t="str">
        <f aca="false">IF(OR(E4522="",E4522="!!!"),"",IF(OR(J4522=0,AND(J4522=1,K4522=1),AND(J4522=1,I4522="SBJ"),AND(J4522=1,I4522=0)),"?IN_FOCUS",IF(J4522&lt;=2,"?ACTIVATED",IF(J4522&lt;&gt;"","?FAMILIAR",IF(F4522="NEW",IF(ISNA(VLOOKUP(E4522,#REF!,1,FALSE())),"?TYPE_IDENTIFIABLE","?REFERENTIAL"),"_")))))</f>
        <v/>
      </c>
      <c r="H4522" s="27" t="str">
        <f aca="false">IF(J4522&lt;&gt;1,"",IF(I4522="SBJ","CB","?"))</f>
        <v/>
      </c>
      <c r="I4522" s="24" t="str">
        <f aca="false">IF(OR(E4522="",E4522="!!!",F4522="NEW"),"",INDEX(B9:B$4514,-1+SUMPRODUCT(MAX(ROW(E9:E$4514)*(E4522=E9:E$4514)))))</f>
        <v/>
      </c>
      <c r="J4522" s="24" t="str">
        <f aca="true">IF(OR(E4522="",E4522="!!!",F4522="NEW"),"",COUNTBLANK(OFFSET(A$1,,,SUMPRODUCT(MAX(ROW(E$2:E4522)*(E4522=E$2:E4522)))))-COUNTBLANK(OFFSET(A$1,,,SUMPRODUCT(MAX(ROW(E$1:E4521)*(E2=E$1:E4521))))))</f>
        <v/>
      </c>
      <c r="K4522" s="24" t="str">
        <f aca="false">IF(OR(E4522="",E4522="!!!",F4522="NEW"),"",INDEX(J$1:J4521,SUMPRODUCT(MAX(ROW(E$1:E4521)*(E4522=E$1:E4521)))))</f>
        <v/>
      </c>
      <c r="L4522" s="31"/>
    </row>
    <row r="4523" customFormat="false" ht="15" hidden="false" customHeight="false" outlineLevel="0" collapsed="false">
      <c r="A4523" s="20" t="s">
        <v>768</v>
      </c>
      <c r="B4523" s="22" t="s">
        <v>1067</v>
      </c>
      <c r="C4523" s="22" t="s">
        <v>1150</v>
      </c>
      <c r="D4523" s="22" t="s">
        <v>1060</v>
      </c>
      <c r="E4523" s="23" t="str">
        <f aca="false">IF(D4523="?OLD","!!!","")</f>
        <v>!!!</v>
      </c>
      <c r="F4523" s="25" t="str">
        <f aca="false">IF(OR(E4523="",E4523="!!!"),"",IF(NOT(ISNA(VLOOKUP(E4523,E$1:E4522,1,FALSE()))),"OLD",IF(AND(E4523&lt;&gt;"",E4523&lt;&gt;"!!!"),"NEW","")))</f>
        <v/>
      </c>
      <c r="G4523" s="26" t="str">
        <f aca="false">IF(OR(E4523="",E4523="!!!"),"",IF(OR(J4523=0,AND(J4523=1,K4523=1),AND(J4523=1,I4523="SBJ"),AND(J4523=1,I4523=0)),"?IN_FOCUS",IF(J4523&lt;=2,"?ACTIVATED",IF(J4523&lt;&gt;"","?FAMILIAR",IF(F4523="NEW",IF(ISNA(VLOOKUP(E4523,#REF!,1,FALSE())),"?TYPE_IDENTIFIABLE","?REFERENTIAL"),"_")))))</f>
        <v/>
      </c>
      <c r="H4523" s="27" t="str">
        <f aca="false">IF(J4523&lt;&gt;1,"",IF(I4523="SBJ","CB","?"))</f>
        <v/>
      </c>
      <c r="I4523" s="24" t="str">
        <f aca="false">IF(OR(E4523="",E4523="!!!",F4523="NEW"),"",INDEX(B10:B$4514,-1+SUMPRODUCT(MAX(ROW(E10:E$4514)*(E4523=E10:E$4514)))))</f>
        <v/>
      </c>
      <c r="J4523" s="24" t="str">
        <f aca="true">IF(OR(E4523="",E4523="!!!",F4523="NEW"),"",COUNTBLANK(OFFSET(A$1,,,SUMPRODUCT(MAX(ROW(E$2:E4523)*(E4523=E$2:E4523)))))-COUNTBLANK(OFFSET(A$1,,,SUMPRODUCT(MAX(ROW(E$1:E4522)*(E2=E$1:E4522))))))</f>
        <v/>
      </c>
      <c r="K4523" s="24" t="str">
        <f aca="false">IF(OR(E4523="",E4523="!!!",F4523="NEW"),"",INDEX(J$1:J4522,SUMPRODUCT(MAX(ROW(E$1:E4522)*(E4523=E$1:E4522)))))</f>
        <v/>
      </c>
      <c r="L4523" s="31"/>
    </row>
    <row r="4524" customFormat="false" ht="15" hidden="false" customHeight="false" outlineLevel="0" collapsed="false">
      <c r="A4524" s="20" t="s">
        <v>1109</v>
      </c>
      <c r="E4524" s="23" t="str">
        <f aca="false">IF(D4524="?OLD","!!!","")</f>
        <v/>
      </c>
      <c r="F4524" s="25" t="str">
        <f aca="false">IF(OR(E4524="",E4524="!!!"),"",IF(NOT(ISNA(VLOOKUP(E4524,E$1:E4523,1,FALSE()))),"OLD",IF(AND(E4524&lt;&gt;"",E4524&lt;&gt;"!!!"),"NEW","")))</f>
        <v/>
      </c>
      <c r="G4524" s="26" t="str">
        <f aca="false">IF(OR(E4524="",E4524="!!!"),"",IF(OR(J4524=0,AND(J4524=1,K4524=1),AND(J4524=1,I4524="SBJ"),AND(J4524=1,I4524=0)),"?IN_FOCUS",IF(J4524&lt;=2,"?ACTIVATED",IF(J4524&lt;&gt;"","?FAMILIAR",IF(F4524="NEW",IF(ISNA(VLOOKUP(E4524,#REF!,1,FALSE())),"?TYPE_IDENTIFIABLE","?REFERENTIAL"),"_")))))</f>
        <v/>
      </c>
      <c r="H4524" s="27" t="str">
        <f aca="false">IF(J4524&lt;&gt;1,"",IF(I4524="SBJ","CB","?"))</f>
        <v/>
      </c>
      <c r="I4524" s="24" t="str">
        <f aca="false">IF(OR(E4524="",E4524="!!!",F4524="NEW"),"",INDEX(B11:B$4514,-1+SUMPRODUCT(MAX(ROW(E11:E$4514)*(E4524=E11:E$4514)))))</f>
        <v/>
      </c>
      <c r="J4524" s="24" t="str">
        <f aca="true">IF(OR(E4524="",E4524="!!!",F4524="NEW"),"",COUNTBLANK(OFFSET(A$1,,,SUMPRODUCT(MAX(ROW(E$2:E4524)*(E4524=E$2:E4524)))))-COUNTBLANK(OFFSET(A$1,,,SUMPRODUCT(MAX(ROW(E$1:E4523)*(E2=E$1:E4523))))))</f>
        <v/>
      </c>
      <c r="K4524" s="24" t="str">
        <f aca="false">IF(OR(E4524="",E4524="!!!",F4524="NEW"),"",INDEX(J$1:J4523,SUMPRODUCT(MAX(ROW(E$1:E4523)*(E4524=E$1:E4523)))))</f>
        <v/>
      </c>
      <c r="L4524" s="31"/>
    </row>
    <row r="4525" customFormat="false" ht="15" hidden="false" customHeight="false" outlineLevel="0" collapsed="false">
      <c r="A4525" s="20" t="s">
        <v>1358</v>
      </c>
      <c r="B4525" s="22" t="s">
        <v>1058</v>
      </c>
      <c r="C4525" s="22" t="s">
        <v>1150</v>
      </c>
      <c r="D4525" s="22" t="s">
        <v>1060</v>
      </c>
      <c r="E4525" s="23" t="str">
        <f aca="false">IF(D4525="?OLD","!!!","")</f>
        <v>!!!</v>
      </c>
      <c r="F4525" s="25" t="str">
        <f aca="false">IF(OR(E4525="",E4525="!!!"),"",IF(NOT(ISNA(VLOOKUP(E4525,E$1:E4524,1,FALSE()))),"OLD",IF(AND(E4525&lt;&gt;"",E4525&lt;&gt;"!!!"),"NEW","")))</f>
        <v/>
      </c>
      <c r="G4525" s="26" t="str">
        <f aca="false">IF(OR(E4525="",E4525="!!!"),"",IF(OR(J4525=0,AND(J4525=1,K4525=1),AND(J4525=1,I4525="SBJ"),AND(J4525=1,I4525=0)),"?IN_FOCUS",IF(J4525&lt;=2,"?ACTIVATED",IF(J4525&lt;&gt;"","?FAMILIAR",IF(F4525="NEW",IF(ISNA(VLOOKUP(E4525,#REF!,1,FALSE())),"?TYPE_IDENTIFIABLE","?REFERENTIAL"),"_")))))</f>
        <v/>
      </c>
      <c r="H4525" s="27" t="str">
        <f aca="false">IF(J4525&lt;&gt;1,"",IF(I4525="SBJ","CB","?"))</f>
        <v/>
      </c>
      <c r="I4525" s="24" t="str">
        <f aca="false">IF(OR(E4525="",E4525="!!!",F4525="NEW"),"",INDEX(B12:B$4514,-1+SUMPRODUCT(MAX(ROW(E12:E$4514)*(E4525=E12:E$4514)))))</f>
        <v/>
      </c>
      <c r="J4525" s="24" t="str">
        <f aca="true">IF(OR(E4525="",E4525="!!!",F4525="NEW"),"",COUNTBLANK(OFFSET(A$1,,,SUMPRODUCT(MAX(ROW(E$2:E4525)*(E4525=E$2:E4525)))))-COUNTBLANK(OFFSET(A$1,,,SUMPRODUCT(MAX(ROW(E$1:E4524)*(E2=E$1:E4524))))))</f>
        <v/>
      </c>
      <c r="K4525" s="24" t="str">
        <f aca="false">IF(OR(E4525="",E4525="!!!",F4525="NEW"),"",INDEX(J$1:J4524,SUMPRODUCT(MAX(ROW(E$1:E4524)*(E4525=E$1:E4524)))))</f>
        <v/>
      </c>
      <c r="L4525" s="31"/>
    </row>
    <row r="4526" customFormat="false" ht="15" hidden="false" customHeight="false" outlineLevel="0" collapsed="false">
      <c r="A4526" s="20" t="s">
        <v>1164</v>
      </c>
      <c r="E4526" s="23" t="str">
        <f aca="false">IF(D4526="?OLD","!!!","")</f>
        <v/>
      </c>
      <c r="F4526" s="25" t="str">
        <f aca="false">IF(OR(E4526="",E4526="!!!"),"",IF(NOT(ISNA(VLOOKUP(E4526,E$1:E4525,1,FALSE()))),"OLD",IF(AND(E4526&lt;&gt;"",E4526&lt;&gt;"!!!"),"NEW","")))</f>
        <v/>
      </c>
      <c r="G4526" s="26" t="str">
        <f aca="false">IF(OR(E4526="",E4526="!!!"),"",IF(OR(J4526=0,AND(J4526=1,K4526=1),AND(J4526=1,I4526="SBJ"),AND(J4526=1,I4526=0)),"?IN_FOCUS",IF(J4526&lt;=2,"?ACTIVATED",IF(J4526&lt;&gt;"","?FAMILIAR",IF(F4526="NEW",IF(ISNA(VLOOKUP(E4526,#REF!,1,FALSE())),"?TYPE_IDENTIFIABLE","?REFERENTIAL"),"_")))))</f>
        <v/>
      </c>
      <c r="H4526" s="27" t="str">
        <f aca="false">IF(J4526&lt;&gt;1,"",IF(I4526="SBJ","CB","?"))</f>
        <v/>
      </c>
      <c r="I4526" s="24" t="str">
        <f aca="false">IF(OR(E4526="",E4526="!!!",F4526="NEW"),"",INDEX(B13:B$4514,-1+SUMPRODUCT(MAX(ROW(E13:E$4514)*(E4526=E13:E$4514)))))</f>
        <v/>
      </c>
      <c r="J4526" s="24" t="str">
        <f aca="true">IF(OR(E4526="",E4526="!!!",F4526="NEW"),"",COUNTBLANK(OFFSET(A$1,,,SUMPRODUCT(MAX(ROW(E$2:E4526)*(E4526=E$2:E4526)))))-COUNTBLANK(OFFSET(A$1,,,SUMPRODUCT(MAX(ROW(E$1:E4525)*(E2=E$1:E4525))))))</f>
        <v/>
      </c>
      <c r="K4526" s="24" t="str">
        <f aca="false">IF(OR(E4526="",E4526="!!!",F4526="NEW"),"",INDEX(J$1:J4525,SUMPRODUCT(MAX(ROW(E$1:E4525)*(E4526=E$1:E4525)))))</f>
        <v/>
      </c>
      <c r="L4526" s="31"/>
    </row>
    <row r="4527" customFormat="false" ht="15" hidden="false" customHeight="false" outlineLevel="0" collapsed="false">
      <c r="A4527" s="20" t="s">
        <v>2355</v>
      </c>
      <c r="E4527" s="23" t="str">
        <f aca="false">IF(D4527="?OLD","!!!","")</f>
        <v/>
      </c>
      <c r="F4527" s="25" t="str">
        <f aca="false">IF(OR(E4527="",E4527="!!!"),"",IF(NOT(ISNA(VLOOKUP(E4527,E$1:E4526,1,FALSE()))),"OLD",IF(AND(E4527&lt;&gt;"",E4527&lt;&gt;"!!!"),"NEW","")))</f>
        <v/>
      </c>
      <c r="G4527" s="26" t="str">
        <f aca="false">IF(OR(E4527="",E4527="!!!"),"",IF(OR(J4527=0,AND(J4527=1,K4527=1),AND(J4527=1,I4527="SBJ"),AND(J4527=1,I4527=0)),"?IN_FOCUS",IF(J4527&lt;=2,"?ACTIVATED",IF(J4527&lt;&gt;"","?FAMILIAR",IF(F4527="NEW",IF(ISNA(VLOOKUP(E4527,#REF!,1,FALSE())),"?TYPE_IDENTIFIABLE","?REFERENTIAL"),"_")))))</f>
        <v/>
      </c>
      <c r="H4527" s="27" t="str">
        <f aca="false">IF(J4527&lt;&gt;1,"",IF(I4527="SBJ","CB","?"))</f>
        <v/>
      </c>
      <c r="I4527" s="24" t="str">
        <f aca="false">IF(OR(E4527="",E4527="!!!",F4527="NEW"),"",INDEX(B14:B$4514,-1+SUMPRODUCT(MAX(ROW(E14:E$4514)*(E4527=E14:E$4514)))))</f>
        <v/>
      </c>
      <c r="J4527" s="24" t="str">
        <f aca="true">IF(OR(E4527="",E4527="!!!",F4527="NEW"),"",COUNTBLANK(OFFSET(A$1,,,SUMPRODUCT(MAX(ROW(E$2:E4527)*(E4527=E$2:E4527)))))-COUNTBLANK(OFFSET(A$1,,,SUMPRODUCT(MAX(ROW(E$1:E4526)*(E2=E$1:E4526))))))</f>
        <v/>
      </c>
      <c r="K4527" s="24" t="str">
        <f aca="false">IF(OR(E4527="",E4527="!!!",F4527="NEW"),"",INDEX(J$1:J4526,SUMPRODUCT(MAX(ROW(E$1:E4526)*(E4527=E$1:E4526)))))</f>
        <v/>
      </c>
      <c r="L4527" s="31"/>
    </row>
    <row r="4528" customFormat="false" ht="15" hidden="false" customHeight="false" outlineLevel="0" collapsed="false">
      <c r="A4528" s="20" t="s">
        <v>1128</v>
      </c>
      <c r="E4528" s="23" t="str">
        <f aca="false">IF(D4528="?OLD","!!!","")</f>
        <v/>
      </c>
      <c r="F4528" s="25" t="str">
        <f aca="false">IF(OR(E4528="",E4528="!!!"),"",IF(NOT(ISNA(VLOOKUP(E4528,E$1:E4527,1,FALSE()))),"OLD",IF(AND(E4528&lt;&gt;"",E4528&lt;&gt;"!!!"),"NEW","")))</f>
        <v/>
      </c>
      <c r="G4528" s="26" t="str">
        <f aca="false">IF(OR(E4528="",E4528="!!!"),"",IF(OR(J4528=0,AND(J4528=1,K4528=1),AND(J4528=1,I4528="SBJ"),AND(J4528=1,I4528=0)),"?IN_FOCUS",IF(J4528&lt;=2,"?ACTIVATED",IF(J4528&lt;&gt;"","?FAMILIAR",IF(F4528="NEW",IF(ISNA(VLOOKUP(E4528,#REF!,1,FALSE())),"?TYPE_IDENTIFIABLE","?REFERENTIAL"),"_")))))</f>
        <v/>
      </c>
      <c r="H4528" s="27" t="str">
        <f aca="false">IF(J4528&lt;&gt;1,"",IF(I4528="SBJ","CB","?"))</f>
        <v/>
      </c>
      <c r="I4528" s="24" t="str">
        <f aca="false">IF(OR(E4528="",E4528="!!!",F4528="NEW"),"",INDEX(B15:B$4514,-1+SUMPRODUCT(MAX(ROW(E15:E$4514)*(E4528=E15:E$4514)))))</f>
        <v/>
      </c>
      <c r="J4528" s="24" t="str">
        <f aca="true">IF(OR(E4528="",E4528="!!!",F4528="NEW"),"",COUNTBLANK(OFFSET(A$1,,,SUMPRODUCT(MAX(ROW(E$2:E4528)*(E4528=E$2:E4528)))))-COUNTBLANK(OFFSET(A$1,,,SUMPRODUCT(MAX(ROW(E$1:E4527)*(E2=E$1:E4527))))))</f>
        <v/>
      </c>
      <c r="K4528" s="24" t="str">
        <f aca="false">IF(OR(E4528="",E4528="!!!",F4528="NEW"),"",INDEX(J$1:J4527,SUMPRODUCT(MAX(ROW(E$1:E4527)*(E4528=E$1:E4527)))))</f>
        <v/>
      </c>
      <c r="L4528" s="31"/>
    </row>
    <row r="4529" customFormat="false" ht="15" hidden="false" customHeight="false" outlineLevel="0" collapsed="false">
      <c r="A4529" s="20" t="s">
        <v>1186</v>
      </c>
      <c r="B4529" s="22" t="s">
        <v>1086</v>
      </c>
      <c r="C4529" s="22" t="s">
        <v>1082</v>
      </c>
      <c r="D4529" s="22" t="s">
        <v>1060</v>
      </c>
      <c r="E4529" s="23" t="str">
        <f aca="false">IF(D4529="?OLD","!!!","")</f>
        <v>!!!</v>
      </c>
      <c r="F4529" s="25" t="str">
        <f aca="false">IF(OR(E4529="",E4529="!!!"),"",IF(NOT(ISNA(VLOOKUP(E4529,E$1:E4528,1,FALSE()))),"OLD",IF(AND(E4529&lt;&gt;"",E4529&lt;&gt;"!!!"),"NEW","")))</f>
        <v/>
      </c>
      <c r="G4529" s="26" t="str">
        <f aca="false">IF(OR(E4529="",E4529="!!!"),"",IF(OR(J4529=0,AND(J4529=1,K4529=1),AND(J4529=1,I4529="SBJ"),AND(J4529=1,I4529=0)),"?IN_FOCUS",IF(J4529&lt;=2,"?ACTIVATED",IF(J4529&lt;&gt;"","?FAMILIAR",IF(F4529="NEW",IF(ISNA(VLOOKUP(E4529,#REF!,1,FALSE())),"?TYPE_IDENTIFIABLE","?REFERENTIAL"),"_")))))</f>
        <v/>
      </c>
      <c r="H4529" s="27" t="str">
        <f aca="false">IF(J4529&lt;&gt;1,"",IF(I4529="SBJ","CB","?"))</f>
        <v/>
      </c>
      <c r="I4529" s="24" t="str">
        <f aca="false">IF(OR(E4529="",E4529="!!!",F4529="NEW"),"",INDEX(B16:B$4514,-1+SUMPRODUCT(MAX(ROW(E16:E$4514)*(E4529=E16:E$4514)))))</f>
        <v/>
      </c>
      <c r="J4529" s="24" t="str">
        <f aca="true">IF(OR(E4529="",E4529="!!!",F4529="NEW"),"",COUNTBLANK(OFFSET(A$1,,,SUMPRODUCT(MAX(ROW(E$2:E4529)*(E4529=E$2:E4529)))))-COUNTBLANK(OFFSET(A$1,,,SUMPRODUCT(MAX(ROW(E$1:E4528)*(E2=E$1:E4528))))))</f>
        <v/>
      </c>
      <c r="K4529" s="24" t="str">
        <f aca="false">IF(OR(E4529="",E4529="!!!",F4529="NEW"),"",INDEX(J$1:J4528,SUMPRODUCT(MAX(ROW(E$1:E4528)*(E4529=E$1:E4528)))))</f>
        <v/>
      </c>
      <c r="L4529" s="31"/>
    </row>
    <row r="4530" customFormat="false" ht="15" hidden="false" customHeight="false" outlineLevel="0" collapsed="false">
      <c r="A4530" s="20" t="s">
        <v>1135</v>
      </c>
      <c r="E4530" s="23" t="str">
        <f aca="false">IF(D4530="?OLD","!!!","")</f>
        <v/>
      </c>
      <c r="F4530" s="25" t="str">
        <f aca="false">IF(OR(E4530="",E4530="!!!"),"",IF(NOT(ISNA(VLOOKUP(E4530,E$1:E4529,1,FALSE()))),"OLD",IF(AND(E4530&lt;&gt;"",E4530&lt;&gt;"!!!"),"NEW","")))</f>
        <v/>
      </c>
      <c r="G4530" s="26" t="str">
        <f aca="false">IF(OR(E4530="",E4530="!!!"),"",IF(OR(J4530=0,AND(J4530=1,K4530=1),AND(J4530=1,I4530="SBJ"),AND(J4530=1,I4530=0)),"?IN_FOCUS",IF(J4530&lt;=2,"?ACTIVATED",IF(J4530&lt;&gt;"","?FAMILIAR",IF(F4530="NEW",IF(ISNA(VLOOKUP(E4530,#REF!,1,FALSE())),"?TYPE_IDENTIFIABLE","?REFERENTIAL"),"_")))))</f>
        <v/>
      </c>
      <c r="H4530" s="27" t="str">
        <f aca="false">IF(J4530&lt;&gt;1,"",IF(I4530="SBJ","CB","?"))</f>
        <v/>
      </c>
      <c r="I4530" s="24" t="str">
        <f aca="false">IF(OR(E4530="",E4530="!!!",F4530="NEW"),"",INDEX(B17:B$4514,-1+SUMPRODUCT(MAX(ROW(E17:E$4514)*(E4530=E17:E$4514)))))</f>
        <v/>
      </c>
      <c r="J4530" s="24" t="str">
        <f aca="true">IF(OR(E4530="",E4530="!!!",F4530="NEW"),"",COUNTBLANK(OFFSET(A$1,,,SUMPRODUCT(MAX(ROW(E$2:E4530)*(E4530=E$2:E4530)))))-COUNTBLANK(OFFSET(A$1,,,SUMPRODUCT(MAX(ROW(E$1:E4529)*(E2=E$1:E4529))))))</f>
        <v/>
      </c>
      <c r="K4530" s="24" t="str">
        <f aca="false">IF(OR(E4530="",E4530="!!!",F4530="NEW"),"",INDEX(J$1:J4529,SUMPRODUCT(MAX(ROW(E$1:E4529)*(E4530=E$1:E4529)))))</f>
        <v/>
      </c>
      <c r="L4530" s="31"/>
    </row>
    <row r="4531" customFormat="false" ht="15" hidden="false" customHeight="false" outlineLevel="0" collapsed="false">
      <c r="A4531" s="20" t="s">
        <v>2402</v>
      </c>
      <c r="E4531" s="23" t="str">
        <f aca="false">IF(D4531="?OLD","!!!","")</f>
        <v/>
      </c>
      <c r="F4531" s="25" t="str">
        <f aca="false">IF(OR(E4531="",E4531="!!!"),"",IF(NOT(ISNA(VLOOKUP(E4531,E$1:E4530,1,FALSE()))),"OLD",IF(AND(E4531&lt;&gt;"",E4531&lt;&gt;"!!!"),"NEW","")))</f>
        <v/>
      </c>
      <c r="G4531" s="26" t="str">
        <f aca="false">IF(OR(E4531="",E4531="!!!"),"",IF(OR(J4531=0,AND(J4531=1,K4531=1),AND(J4531=1,I4531="SBJ"),AND(J4531=1,I4531=0)),"?IN_FOCUS",IF(J4531&lt;=2,"?ACTIVATED",IF(J4531&lt;&gt;"","?FAMILIAR",IF(F4531="NEW",IF(ISNA(VLOOKUP(E4531,#REF!,1,FALSE())),"?TYPE_IDENTIFIABLE","?REFERENTIAL"),"_")))))</f>
        <v/>
      </c>
      <c r="H4531" s="27" t="str">
        <f aca="false">IF(J4531&lt;&gt;1,"",IF(I4531="SBJ","CB","?"))</f>
        <v/>
      </c>
      <c r="I4531" s="24" t="str">
        <f aca="false">IF(OR(E4531="",E4531="!!!",F4531="NEW"),"",INDEX(B18:B$4514,-1+SUMPRODUCT(MAX(ROW(E18:E$4514)*(E4531=E18:E$4514)))))</f>
        <v/>
      </c>
      <c r="J4531" s="24" t="str">
        <f aca="true">IF(OR(E4531="",E4531="!!!",F4531="NEW"),"",COUNTBLANK(OFFSET(A$1,,,SUMPRODUCT(MAX(ROW(E$2:E4531)*(E4531=E$2:E4531)))))-COUNTBLANK(OFFSET(A$1,,,SUMPRODUCT(MAX(ROW(E$1:E4530)*(E2=E$1:E4530))))))</f>
        <v/>
      </c>
      <c r="K4531" s="24" t="str">
        <f aca="false">IF(OR(E4531="",E4531="!!!",F4531="NEW"),"",INDEX(J$1:J4530,SUMPRODUCT(MAX(ROW(E$1:E4530)*(E4531=E$1:E4530)))))</f>
        <v/>
      </c>
      <c r="L4531" s="31"/>
    </row>
    <row r="4532" customFormat="false" ht="15" hidden="false" customHeight="false" outlineLevel="0" collapsed="false">
      <c r="A4532" s="20" t="s">
        <v>1248</v>
      </c>
      <c r="E4532" s="23" t="str">
        <f aca="false">IF(D4532="?OLD","!!!","")</f>
        <v/>
      </c>
      <c r="F4532" s="25" t="str">
        <f aca="false">IF(OR(E4532="",E4532="!!!"),"",IF(NOT(ISNA(VLOOKUP(E4532,E$1:E4531,1,FALSE()))),"OLD",IF(AND(E4532&lt;&gt;"",E4532&lt;&gt;"!!!"),"NEW","")))</f>
        <v/>
      </c>
      <c r="G4532" s="26" t="str">
        <f aca="false">IF(OR(E4532="",E4532="!!!"),"",IF(OR(J4532=0,AND(J4532=1,K4532=1),AND(J4532=1,I4532="SBJ"),AND(J4532=1,I4532=0)),"?IN_FOCUS",IF(J4532&lt;=2,"?ACTIVATED",IF(J4532&lt;&gt;"","?FAMILIAR",IF(F4532="NEW",IF(ISNA(VLOOKUP(E4532,#REF!,1,FALSE())),"?TYPE_IDENTIFIABLE","?REFERENTIAL"),"_")))))</f>
        <v/>
      </c>
      <c r="H4532" s="27" t="str">
        <f aca="false">IF(J4532&lt;&gt;1,"",IF(I4532="SBJ","CB","?"))</f>
        <v/>
      </c>
      <c r="I4532" s="24" t="str">
        <f aca="false">IF(OR(E4532="",E4532="!!!",F4532="NEW"),"",INDEX(B19:B$4514,-1+SUMPRODUCT(MAX(ROW(E19:E$4514)*(E4532=E19:E$4514)))))</f>
        <v/>
      </c>
      <c r="J4532" s="24" t="str">
        <f aca="true">IF(OR(E4532="",E4532="!!!",F4532="NEW"),"",COUNTBLANK(OFFSET(A$1,,,SUMPRODUCT(MAX(ROW(E$2:E4532)*(E4532=E$2:E4532)))))-COUNTBLANK(OFFSET(A$1,,,SUMPRODUCT(MAX(ROW(E$1:E4531)*(E2=E$1:E4531))))))</f>
        <v/>
      </c>
      <c r="K4532" s="24" t="str">
        <f aca="false">IF(OR(E4532="",E4532="!!!",F4532="NEW"),"",INDEX(J$1:J4531,SUMPRODUCT(MAX(ROW(E$1:E4531)*(E4532=E$1:E4531)))))</f>
        <v/>
      </c>
      <c r="L4532" s="31"/>
    </row>
    <row r="4533" customFormat="false" ht="15" hidden="false" customHeight="false" outlineLevel="0" collapsed="false">
      <c r="A4533" s="20" t="s">
        <v>2229</v>
      </c>
      <c r="B4533" s="22" t="s">
        <v>1073</v>
      </c>
      <c r="C4533" s="22" t="s">
        <v>1068</v>
      </c>
      <c r="D4533" s="22" t="s">
        <v>1060</v>
      </c>
      <c r="E4533" s="23" t="str">
        <f aca="false">IF(D4533="?OLD","!!!","")</f>
        <v>!!!</v>
      </c>
      <c r="F4533" s="25" t="str">
        <f aca="false">IF(OR(E4533="",E4533="!!!"),"",IF(NOT(ISNA(VLOOKUP(E4533,E$1:E4532,1,FALSE()))),"OLD",IF(AND(E4533&lt;&gt;"",E4533&lt;&gt;"!!!"),"NEW","")))</f>
        <v/>
      </c>
      <c r="G4533" s="26" t="str">
        <f aca="false">IF(OR(E4533="",E4533="!!!"),"",IF(OR(J4533=0,AND(J4533=1,K4533=1),AND(J4533=1,I4533="SBJ"),AND(J4533=1,I4533=0)),"?IN_FOCUS",IF(J4533&lt;=2,"?ACTIVATED",IF(J4533&lt;&gt;"","?FAMILIAR",IF(F4533="NEW",IF(ISNA(VLOOKUP(E4533,#REF!,1,FALSE())),"?TYPE_IDENTIFIABLE","?REFERENTIAL"),"_")))))</f>
        <v/>
      </c>
      <c r="H4533" s="27" t="str">
        <f aca="false">IF(J4533&lt;&gt;1,"",IF(I4533="SBJ","CB","?"))</f>
        <v/>
      </c>
      <c r="I4533" s="24" t="str">
        <f aca="false">IF(OR(E4533="",E4533="!!!",F4533="NEW"),"",INDEX(B20:B$4514,-1+SUMPRODUCT(MAX(ROW(E20:E$4514)*(E4533=E20:E$4514)))))</f>
        <v/>
      </c>
      <c r="J4533" s="24" t="str">
        <f aca="true">IF(OR(E4533="",E4533="!!!",F4533="NEW"),"",COUNTBLANK(OFFSET(A$1,,,SUMPRODUCT(MAX(ROW(E$2:E4533)*(E4533=E$2:E4533)))))-COUNTBLANK(OFFSET(A$1,,,SUMPRODUCT(MAX(ROW(E$1:E4532)*(E2=E$1:E4532))))))</f>
        <v/>
      </c>
      <c r="K4533" s="24" t="str">
        <f aca="false">IF(OR(E4533="",E4533="!!!",F4533="NEW"),"",INDEX(J$1:J4532,SUMPRODUCT(MAX(ROW(E$1:E4532)*(E4533=E$1:E4532)))))</f>
        <v/>
      </c>
      <c r="L4533" s="31"/>
    </row>
    <row r="4534" customFormat="false" ht="15" hidden="false" customHeight="false" outlineLevel="0" collapsed="false">
      <c r="A4534" s="20" t="s">
        <v>1482</v>
      </c>
      <c r="E4534" s="23" t="str">
        <f aca="false">IF(D4534="?OLD","!!!","")</f>
        <v/>
      </c>
      <c r="F4534" s="25" t="str">
        <f aca="false">IF(OR(E4534="",E4534="!!!"),"",IF(NOT(ISNA(VLOOKUP(E4534,E$1:E4533,1,FALSE()))),"OLD",IF(AND(E4534&lt;&gt;"",E4534&lt;&gt;"!!!"),"NEW","")))</f>
        <v/>
      </c>
      <c r="G4534" s="26" t="str">
        <f aca="false">IF(OR(E4534="",E4534="!!!"),"",IF(OR(J4534=0,AND(J4534=1,K4534=1),AND(J4534=1,I4534="SBJ"),AND(J4534=1,I4534=0)),"?IN_FOCUS",IF(J4534&lt;=2,"?ACTIVATED",IF(J4534&lt;&gt;"","?FAMILIAR",IF(F4534="NEW",IF(ISNA(VLOOKUP(E4534,#REF!,1,FALSE())),"?TYPE_IDENTIFIABLE","?REFERENTIAL"),"_")))))</f>
        <v/>
      </c>
      <c r="H4534" s="27" t="str">
        <f aca="false">IF(J4534&lt;&gt;1,"",IF(I4534="SBJ","CB","?"))</f>
        <v/>
      </c>
      <c r="I4534" s="24" t="str">
        <f aca="false">IF(OR(E4534="",E4534="!!!",F4534="NEW"),"",INDEX(B21:B$4514,-1+SUMPRODUCT(MAX(ROW(E21:E$4514)*(E4534=E21:E$4514)))))</f>
        <v/>
      </c>
      <c r="J4534" s="24" t="str">
        <f aca="true">IF(OR(E4534="",E4534="!!!",F4534="NEW"),"",COUNTBLANK(OFFSET(A$1,,,SUMPRODUCT(MAX(ROW(E$2:E4534)*(E4534=E$2:E4534)))))-COUNTBLANK(OFFSET(A$1,,,SUMPRODUCT(MAX(ROW(E$1:E4533)*(E2=E$1:E4533))))))</f>
        <v/>
      </c>
      <c r="K4534" s="24" t="str">
        <f aca="false">IF(OR(E4534="",E4534="!!!",F4534="NEW"),"",INDEX(J$1:J4533,SUMPRODUCT(MAX(ROW(E$1:E4533)*(E4534=E$1:E4533)))))</f>
        <v/>
      </c>
      <c r="L4534" s="31"/>
    </row>
    <row r="4535" customFormat="false" ht="15" hidden="false" customHeight="false" outlineLevel="0" collapsed="false">
      <c r="A4535" s="20" t="s">
        <v>1095</v>
      </c>
      <c r="E4535" s="23" t="str">
        <f aca="false">IF(D4535="?OLD","!!!","")</f>
        <v/>
      </c>
      <c r="F4535" s="25" t="str">
        <f aca="false">IF(OR(E4535="",E4535="!!!"),"",IF(NOT(ISNA(VLOOKUP(E4535,E$1:E4534,1,FALSE()))),"OLD",IF(AND(E4535&lt;&gt;"",E4535&lt;&gt;"!!!"),"NEW","")))</f>
        <v/>
      </c>
      <c r="G4535" s="26" t="str">
        <f aca="false">IF(OR(E4535="",E4535="!!!"),"",IF(OR(J4535=0,AND(J4535=1,K4535=1),AND(J4535=1,I4535="SBJ"),AND(J4535=1,I4535=0)),"?IN_FOCUS",IF(J4535&lt;=2,"?ACTIVATED",IF(J4535&lt;&gt;"","?FAMILIAR",IF(F4535="NEW",IF(ISNA(VLOOKUP(E4535,#REF!,1,FALSE())),"?TYPE_IDENTIFIABLE","?REFERENTIAL"),"_")))))</f>
        <v/>
      </c>
      <c r="H4535" s="27" t="str">
        <f aca="false">IF(J4535&lt;&gt;1,"",IF(I4535="SBJ","CB","?"))</f>
        <v/>
      </c>
      <c r="I4535" s="24" t="str">
        <f aca="false">IF(OR(E4535="",E4535="!!!",F4535="NEW"),"",INDEX(B22:B$4514,-1+SUMPRODUCT(MAX(ROW(E22:E$4514)*(E4535=E22:E$4514)))))</f>
        <v/>
      </c>
      <c r="J4535" s="24" t="str">
        <f aca="true">IF(OR(E4535="",E4535="!!!",F4535="NEW"),"",COUNTBLANK(OFFSET(A$1,,,SUMPRODUCT(MAX(ROW(E$2:E4535)*(E4535=E$2:E4535)))))-COUNTBLANK(OFFSET(A$1,,,SUMPRODUCT(MAX(ROW(E$1:E4534)*(E2=E$1:E4534))))))</f>
        <v/>
      </c>
      <c r="K4535" s="24" t="str">
        <f aca="false">IF(OR(E4535="",E4535="!!!",F4535="NEW"),"",INDEX(J$1:J4534,SUMPRODUCT(MAX(ROW(E$1:E4534)*(E4535=E$1:E4534)))))</f>
        <v/>
      </c>
      <c r="L4535" s="31"/>
    </row>
    <row r="4536" customFormat="false" ht="15" hidden="false" customHeight="false" outlineLevel="0" collapsed="false">
      <c r="A4536" s="20" t="s">
        <v>1109</v>
      </c>
      <c r="E4536" s="23" t="str">
        <f aca="false">IF(D4536="?OLD","!!!","")</f>
        <v/>
      </c>
      <c r="F4536" s="25" t="str">
        <f aca="false">IF(OR(E4536="",E4536="!!!"),"",IF(NOT(ISNA(VLOOKUP(E4536,E$1:E4535,1,FALSE()))),"OLD",IF(AND(E4536&lt;&gt;"",E4536&lt;&gt;"!!!"),"NEW","")))</f>
        <v/>
      </c>
      <c r="G4536" s="26" t="str">
        <f aca="false">IF(OR(E4536="",E4536="!!!"),"",IF(OR(J4536=0,AND(J4536=1,K4536=1),AND(J4536=1,I4536="SBJ"),AND(J4536=1,I4536=0)),"?IN_FOCUS",IF(J4536&lt;=2,"?ACTIVATED",IF(J4536&lt;&gt;"","?FAMILIAR",IF(F4536="NEW",IF(ISNA(VLOOKUP(E4536,#REF!,1,FALSE())),"?TYPE_IDENTIFIABLE","?REFERENTIAL"),"_")))))</f>
        <v/>
      </c>
      <c r="H4536" s="27" t="str">
        <f aca="false">IF(J4536&lt;&gt;1,"",IF(I4536="SBJ","CB","?"))</f>
        <v/>
      </c>
      <c r="I4536" s="24" t="str">
        <f aca="false">IF(OR(E4536="",E4536="!!!",F4536="NEW"),"",INDEX(B23:B$4514,-1+SUMPRODUCT(MAX(ROW(E23:E$4514)*(E4536=E23:E$4514)))))</f>
        <v/>
      </c>
      <c r="J4536" s="24" t="str">
        <f aca="true">IF(OR(E4536="",E4536="!!!",F4536="NEW"),"",COUNTBLANK(OFFSET(A$1,,,SUMPRODUCT(MAX(ROW(E$2:E4536)*(E4536=E$2:E4536)))))-COUNTBLANK(OFFSET(A$1,,,SUMPRODUCT(MAX(ROW(E$1:E4535)*(E2=E$1:E4535))))))</f>
        <v/>
      </c>
      <c r="K4536" s="24" t="str">
        <f aca="false">IF(OR(E4536="",E4536="!!!",F4536="NEW"),"",INDEX(J$1:J4535,SUMPRODUCT(MAX(ROW(E$1:E4535)*(E4536=E$1:E4535)))))</f>
        <v/>
      </c>
      <c r="L4536" s="31"/>
    </row>
    <row r="4537" customFormat="false" ht="15" hidden="false" customHeight="false" outlineLevel="0" collapsed="false">
      <c r="A4537" s="20" t="s">
        <v>1472</v>
      </c>
      <c r="B4537" s="22" t="s">
        <v>1073</v>
      </c>
      <c r="C4537" s="22" t="s">
        <v>1150</v>
      </c>
      <c r="D4537" s="22" t="s">
        <v>1060</v>
      </c>
      <c r="E4537" s="23" t="str">
        <f aca="false">IF(D4537="?OLD","!!!","")</f>
        <v>!!!</v>
      </c>
      <c r="F4537" s="25" t="str">
        <f aca="false">IF(OR(E4537="",E4537="!!!"),"",IF(NOT(ISNA(VLOOKUP(E4537,E$1:E4536,1,FALSE()))),"OLD",IF(AND(E4537&lt;&gt;"",E4537&lt;&gt;"!!!"),"NEW","")))</f>
        <v/>
      </c>
      <c r="G4537" s="26" t="str">
        <f aca="false">IF(OR(E4537="",E4537="!!!"),"",IF(OR(J4537=0,AND(J4537=1,K4537=1),AND(J4537=1,I4537="SBJ"),AND(J4537=1,I4537=0)),"?IN_FOCUS",IF(J4537&lt;=2,"?ACTIVATED",IF(J4537&lt;&gt;"","?FAMILIAR",IF(F4537="NEW",IF(ISNA(VLOOKUP(E4537,#REF!,1,FALSE())),"?TYPE_IDENTIFIABLE","?REFERENTIAL"),"_")))))</f>
        <v/>
      </c>
      <c r="H4537" s="27" t="str">
        <f aca="false">IF(J4537&lt;&gt;1,"",IF(I4537="SBJ","CB","?"))</f>
        <v/>
      </c>
      <c r="I4537" s="24" t="str">
        <f aca="false">IF(OR(E4537="",E4537="!!!",F4537="NEW"),"",INDEX(B24:B$4514,-1+SUMPRODUCT(MAX(ROW(E24:E$4514)*(E4537=E24:E$4514)))))</f>
        <v/>
      </c>
      <c r="J4537" s="24" t="str">
        <f aca="true">IF(OR(E4537="",E4537="!!!",F4537="NEW"),"",COUNTBLANK(OFFSET(A$1,,,SUMPRODUCT(MAX(ROW(E$2:E4537)*(E4537=E$2:E4537)))))-COUNTBLANK(OFFSET(A$1,,,SUMPRODUCT(MAX(ROW(E$1:E4536)*(E2=E$1:E4536))))))</f>
        <v/>
      </c>
      <c r="K4537" s="24" t="str">
        <f aca="false">IF(OR(E4537="",E4537="!!!",F4537="NEW"),"",INDEX(J$1:J4536,SUMPRODUCT(MAX(ROW(E$1:E4536)*(E4537=E$1:E4536)))))</f>
        <v/>
      </c>
      <c r="L4537" s="31"/>
    </row>
    <row r="4538" customFormat="false" ht="15" hidden="false" customHeight="false" outlineLevel="0" collapsed="false">
      <c r="A4538" s="20" t="s">
        <v>1569</v>
      </c>
      <c r="E4538" s="23" t="str">
        <f aca="false">IF(D4538="?OLD","!!!","")</f>
        <v/>
      </c>
      <c r="F4538" s="25" t="str">
        <f aca="false">IF(OR(E4538="",E4538="!!!"),"",IF(NOT(ISNA(VLOOKUP(E4538,E$1:E4537,1,FALSE()))),"OLD",IF(AND(E4538&lt;&gt;"",E4538&lt;&gt;"!!!"),"NEW","")))</f>
        <v/>
      </c>
      <c r="G4538" s="26" t="str">
        <f aca="false">IF(OR(E4538="",E4538="!!!"),"",IF(OR(J4538=0,AND(J4538=1,K4538=1),AND(J4538=1,I4538="SBJ"),AND(J4538=1,I4538=0)),"?IN_FOCUS",IF(J4538&lt;=2,"?ACTIVATED",IF(J4538&lt;&gt;"","?FAMILIAR",IF(F4538="NEW",IF(ISNA(VLOOKUP(E4538,#REF!,1,FALSE())),"?TYPE_IDENTIFIABLE","?REFERENTIAL"),"_")))))</f>
        <v/>
      </c>
      <c r="H4538" s="27" t="str">
        <f aca="false">IF(J4538&lt;&gt;1,"",IF(I4538="SBJ","CB","?"))</f>
        <v/>
      </c>
      <c r="I4538" s="24" t="str">
        <f aca="false">IF(OR(E4538="",E4538="!!!",F4538="NEW"),"",INDEX(B25:B$4514,-1+SUMPRODUCT(MAX(ROW(E25:E$4514)*(E4538=E25:E$4514)))))</f>
        <v/>
      </c>
      <c r="J4538" s="24" t="str">
        <f aca="true">IF(OR(E4538="",E4538="!!!",F4538="NEW"),"",COUNTBLANK(OFFSET(A$1,,,SUMPRODUCT(MAX(ROW(E$2:E4538)*(E4538=E$2:E4538)))))-COUNTBLANK(OFFSET(A$1,,,SUMPRODUCT(MAX(ROW(E$1:E4537)*(E2=E$1:E4537))))))</f>
        <v/>
      </c>
      <c r="K4538" s="24" t="str">
        <f aca="false">IF(OR(E4538="",E4538="!!!",F4538="NEW"),"",INDEX(J$1:J4537,SUMPRODUCT(MAX(ROW(E$1:E4537)*(E4538=E$1:E4537)))))</f>
        <v/>
      </c>
      <c r="L4538" s="31"/>
    </row>
    <row r="4539" customFormat="false" ht="15" hidden="false" customHeight="false" outlineLevel="0" collapsed="false">
      <c r="A4539" s="20" t="s">
        <v>1424</v>
      </c>
      <c r="B4539" s="22" t="s">
        <v>1197</v>
      </c>
      <c r="C4539" s="22" t="s">
        <v>1082</v>
      </c>
      <c r="D4539" s="22" t="s">
        <v>1060</v>
      </c>
      <c r="E4539" s="23" t="str">
        <f aca="false">IF(D4539="?OLD","!!!","")</f>
        <v>!!!</v>
      </c>
      <c r="F4539" s="25" t="str">
        <f aca="false">IF(OR(E4539="",E4539="!!!"),"",IF(NOT(ISNA(VLOOKUP(E4539,E$1:E4538,1,FALSE()))),"OLD",IF(AND(E4539&lt;&gt;"",E4539&lt;&gt;"!!!"),"NEW","")))</f>
        <v/>
      </c>
      <c r="G4539" s="26" t="str">
        <f aca="false">IF(OR(E4539="",E4539="!!!"),"",IF(OR(J4539=0,AND(J4539=1,K4539=1),AND(J4539=1,I4539="SBJ"),AND(J4539=1,I4539=0)),"?IN_FOCUS",IF(J4539&lt;=2,"?ACTIVATED",IF(J4539&lt;&gt;"","?FAMILIAR",IF(F4539="NEW",IF(ISNA(VLOOKUP(E4539,#REF!,1,FALSE())),"?TYPE_IDENTIFIABLE","?REFERENTIAL"),"_")))))</f>
        <v/>
      </c>
      <c r="H4539" s="27" t="str">
        <f aca="false">IF(J4539&lt;&gt;1,"",IF(I4539="SBJ","CB","?"))</f>
        <v/>
      </c>
      <c r="I4539" s="24" t="str">
        <f aca="false">IF(OR(E4539="",E4539="!!!",F4539="NEW"),"",INDEX(B26:B$4514,-1+SUMPRODUCT(MAX(ROW(E26:E$4514)*(E4539=E26:E$4514)))))</f>
        <v/>
      </c>
      <c r="J4539" s="24" t="str">
        <f aca="true">IF(OR(E4539="",E4539="!!!",F4539="NEW"),"",COUNTBLANK(OFFSET(A$1,,,SUMPRODUCT(MAX(ROW(E$2:E4539)*(E4539=E$2:E4539)))))-COUNTBLANK(OFFSET(A$1,,,SUMPRODUCT(MAX(ROW(E$1:E4538)*(E2=E$1:E4538))))))</f>
        <v/>
      </c>
      <c r="K4539" s="24" t="str">
        <f aca="false">IF(OR(E4539="",E4539="!!!",F4539="NEW"),"",INDEX(J$1:J4538,SUMPRODUCT(MAX(ROW(E$1:E4538)*(E4539=E$1:E4538)))))</f>
        <v/>
      </c>
      <c r="L4539" s="31"/>
    </row>
    <row r="4540" customFormat="false" ht="15" hidden="false" customHeight="false" outlineLevel="0" collapsed="false">
      <c r="A4540" s="20" t="s">
        <v>1164</v>
      </c>
      <c r="E4540" s="23" t="str">
        <f aca="false">IF(D4540="?OLD","!!!","")</f>
        <v/>
      </c>
      <c r="F4540" s="25" t="str">
        <f aca="false">IF(OR(E4540="",E4540="!!!"),"",IF(NOT(ISNA(VLOOKUP(E4540,E$1:E4539,1,FALSE()))),"OLD",IF(AND(E4540&lt;&gt;"",E4540&lt;&gt;"!!!"),"NEW","")))</f>
        <v/>
      </c>
      <c r="G4540" s="26" t="str">
        <f aca="false">IF(OR(E4540="",E4540="!!!"),"",IF(OR(J4540=0,AND(J4540=1,K4540=1),AND(J4540=1,I4540="SBJ"),AND(J4540=1,I4540=0)),"?IN_FOCUS",IF(J4540&lt;=2,"?ACTIVATED",IF(J4540&lt;&gt;"","?FAMILIAR",IF(F4540="NEW",IF(ISNA(VLOOKUP(E4540,#REF!,1,FALSE())),"?TYPE_IDENTIFIABLE","?REFERENTIAL"),"_")))))</f>
        <v/>
      </c>
      <c r="H4540" s="27" t="str">
        <f aca="false">IF(J4540&lt;&gt;1,"",IF(I4540="SBJ","CB","?"))</f>
        <v/>
      </c>
      <c r="I4540" s="24" t="str">
        <f aca="false">IF(OR(E4540="",E4540="!!!",F4540="NEW"),"",INDEX(B27:B$4514,-1+SUMPRODUCT(MAX(ROW(E27:E$4514)*(E4540=E27:E$4514)))))</f>
        <v/>
      </c>
      <c r="J4540" s="24" t="str">
        <f aca="true">IF(OR(E4540="",E4540="!!!",F4540="NEW"),"",COUNTBLANK(OFFSET(A$1,,,SUMPRODUCT(MAX(ROW(E$2:E4540)*(E4540=E$2:E4540)))))-COUNTBLANK(OFFSET(A$1,,,SUMPRODUCT(MAX(ROW(E$1:E4539)*(E2=E$1:E4539))))))</f>
        <v/>
      </c>
      <c r="K4540" s="24" t="str">
        <f aca="false">IF(OR(E4540="",E4540="!!!",F4540="NEW"),"",INDEX(J$1:J4539,SUMPRODUCT(MAX(ROW(E$1:E4539)*(E4540=E$1:E4539)))))</f>
        <v/>
      </c>
      <c r="L4540" s="31"/>
    </row>
    <row r="4541" customFormat="false" ht="15" hidden="false" customHeight="false" outlineLevel="0" collapsed="false">
      <c r="A4541" s="20" t="s">
        <v>2403</v>
      </c>
      <c r="E4541" s="23" t="str">
        <f aca="false">IF(D4541="?OLD","!!!","")</f>
        <v/>
      </c>
      <c r="F4541" s="25" t="str">
        <f aca="false">IF(OR(E4541="",E4541="!!!"),"",IF(NOT(ISNA(VLOOKUP(E4541,E$1:E4540,1,FALSE()))),"OLD",IF(AND(E4541&lt;&gt;"",E4541&lt;&gt;"!!!"),"NEW","")))</f>
        <v/>
      </c>
      <c r="G4541" s="26" t="str">
        <f aca="false">IF(OR(E4541="",E4541="!!!"),"",IF(OR(J4541=0,AND(J4541=1,K4541=1),AND(J4541=1,I4541="SBJ"),AND(J4541=1,I4541=0)),"?IN_FOCUS",IF(J4541&lt;=2,"?ACTIVATED",IF(J4541&lt;&gt;"","?FAMILIAR",IF(F4541="NEW",IF(ISNA(VLOOKUP(E4541,#REF!,1,FALSE())),"?TYPE_IDENTIFIABLE","?REFERENTIAL"),"_")))))</f>
        <v/>
      </c>
      <c r="H4541" s="27" t="str">
        <f aca="false">IF(J4541&lt;&gt;1,"",IF(I4541="SBJ","CB","?"))</f>
        <v/>
      </c>
      <c r="I4541" s="24" t="str">
        <f aca="false">IF(OR(E4541="",E4541="!!!",F4541="NEW"),"",INDEX(B28:B$4514,-1+SUMPRODUCT(MAX(ROW(E28:E$4514)*(E4541=E28:E$4514)))))</f>
        <v/>
      </c>
      <c r="J4541" s="24" t="str">
        <f aca="true">IF(OR(E4541="",E4541="!!!",F4541="NEW"),"",COUNTBLANK(OFFSET(A$1,,,SUMPRODUCT(MAX(ROW(E$2:E4541)*(E4541=E$2:E4541)))))-COUNTBLANK(OFFSET(A$1,,,SUMPRODUCT(MAX(ROW(E$1:E4540)*(E2=E$1:E4540))))))</f>
        <v/>
      </c>
      <c r="K4541" s="24" t="str">
        <f aca="false">IF(OR(E4541="",E4541="!!!",F4541="NEW"),"",INDEX(J$1:J4540,SUMPRODUCT(MAX(ROW(E$1:E4540)*(E4541=E$1:E4540)))))</f>
        <v/>
      </c>
      <c r="L4541" s="31"/>
    </row>
    <row r="4542" customFormat="false" ht="15" hidden="false" customHeight="false" outlineLevel="0" collapsed="false">
      <c r="A4542" s="20" t="s">
        <v>1085</v>
      </c>
      <c r="E4542" s="23" t="str">
        <f aca="false">IF(D4542="?OLD","!!!","")</f>
        <v/>
      </c>
      <c r="F4542" s="25" t="str">
        <f aca="false">IF(OR(E4542="",E4542="!!!"),"",IF(NOT(ISNA(VLOOKUP(E4542,E$1:E4541,1,FALSE()))),"OLD",IF(AND(E4542&lt;&gt;"",E4542&lt;&gt;"!!!"),"NEW","")))</f>
        <v/>
      </c>
      <c r="G4542" s="26" t="str">
        <f aca="false">IF(OR(E4542="",E4542="!!!"),"",IF(OR(J4542=0,AND(J4542=1,K4542=1),AND(J4542=1,I4542="SBJ"),AND(J4542=1,I4542=0)),"?IN_FOCUS",IF(J4542&lt;=2,"?ACTIVATED",IF(J4542&lt;&gt;"","?FAMILIAR",IF(F4542="NEW",IF(ISNA(VLOOKUP(E4542,#REF!,1,FALSE())),"?TYPE_IDENTIFIABLE","?REFERENTIAL"),"_")))))</f>
        <v/>
      </c>
      <c r="H4542" s="27" t="str">
        <f aca="false">IF(J4542&lt;&gt;1,"",IF(I4542="SBJ","CB","?"))</f>
        <v/>
      </c>
      <c r="I4542" s="24" t="str">
        <f aca="false">IF(OR(E4542="",E4542="!!!",F4542="NEW"),"",INDEX(B29:B$4514,-1+SUMPRODUCT(MAX(ROW(E29:E$4514)*(E4542=E29:E$4514)))))</f>
        <v/>
      </c>
      <c r="J4542" s="24" t="str">
        <f aca="true">IF(OR(E4542="",E4542="!!!",F4542="NEW"),"",COUNTBLANK(OFFSET(A$1,,,SUMPRODUCT(MAX(ROW(E$2:E4542)*(E4542=E$2:E4542)))))-COUNTBLANK(OFFSET(A$1,,,SUMPRODUCT(MAX(ROW(E$1:E4541)*(E2=E$1:E4541))))))</f>
        <v/>
      </c>
      <c r="K4542" s="24" t="str">
        <f aca="false">IF(OR(E4542="",E4542="!!!",F4542="NEW"),"",INDEX(J$1:J4541,SUMPRODUCT(MAX(ROW(E$1:E4541)*(E4542=E$1:E4541)))))</f>
        <v/>
      </c>
      <c r="L4542" s="31"/>
    </row>
    <row r="4543" customFormat="false" ht="15" hidden="false" customHeight="false" outlineLevel="0" collapsed="false">
      <c r="A4543" s="20" t="s">
        <v>2345</v>
      </c>
      <c r="B4543" s="22" t="s">
        <v>1102</v>
      </c>
      <c r="C4543" s="22" t="s">
        <v>1087</v>
      </c>
      <c r="E4543" s="23" t="str">
        <f aca="false">IF(D4543="?OLD","!!!","")</f>
        <v/>
      </c>
      <c r="F4543" s="25" t="str">
        <f aca="false">IF(OR(E4543="",E4543="!!!"),"",IF(NOT(ISNA(VLOOKUP(E4543,E$1:E4542,1,FALSE()))),"OLD",IF(AND(E4543&lt;&gt;"",E4543&lt;&gt;"!!!"),"NEW","")))</f>
        <v/>
      </c>
      <c r="G4543" s="26" t="str">
        <f aca="false">IF(OR(E4543="",E4543="!!!"),"",IF(OR(J4543=0,AND(J4543=1,K4543=1),AND(J4543=1,I4543="SBJ"),AND(J4543=1,I4543=0)),"?IN_FOCUS",IF(J4543&lt;=2,"?ACTIVATED",IF(J4543&lt;&gt;"","?FAMILIAR",IF(F4543="NEW",IF(ISNA(VLOOKUP(E4543,#REF!,1,FALSE())),"?TYPE_IDENTIFIABLE","?REFERENTIAL"),"_")))))</f>
        <v/>
      </c>
      <c r="H4543" s="27" t="str">
        <f aca="false">IF(J4543&lt;&gt;1,"",IF(I4543="SBJ","CB","?"))</f>
        <v/>
      </c>
      <c r="I4543" s="24" t="str">
        <f aca="false">IF(OR(E4543="",E4543="!!!",F4543="NEW"),"",INDEX(B30:B$4514,-1+SUMPRODUCT(MAX(ROW(E30:E$4514)*(E4543=E30:E$4514)))))</f>
        <v/>
      </c>
      <c r="J4543" s="24" t="str">
        <f aca="true">IF(OR(E4543="",E4543="!!!",F4543="NEW"),"",COUNTBLANK(OFFSET(A$1,,,SUMPRODUCT(MAX(ROW(E$2:E4543)*(E4543=E$2:E4543)))))-COUNTBLANK(OFFSET(A$1,,,SUMPRODUCT(MAX(ROW(E$1:E4542)*(E2=E$1:E4542))))))</f>
        <v/>
      </c>
      <c r="K4543" s="24" t="str">
        <f aca="false">IF(OR(E4543="",E4543="!!!",F4543="NEW"),"",INDEX(J$1:J4542,SUMPRODUCT(MAX(ROW(E$1:E4542)*(E4543=E$1:E4542)))))</f>
        <v/>
      </c>
      <c r="L4543" s="31"/>
    </row>
    <row r="4544" customFormat="false" ht="15" hidden="false" customHeight="false" outlineLevel="0" collapsed="false">
      <c r="A4544" s="20" t="s">
        <v>1475</v>
      </c>
      <c r="E4544" s="23" t="str">
        <f aca="false">IF(D4544="?OLD","!!!","")</f>
        <v/>
      </c>
      <c r="F4544" s="25" t="str">
        <f aca="false">IF(OR(E4544="",E4544="!!!"),"",IF(NOT(ISNA(VLOOKUP(E4544,E$1:E4543,1,FALSE()))),"OLD",IF(AND(E4544&lt;&gt;"",E4544&lt;&gt;"!!!"),"NEW","")))</f>
        <v/>
      </c>
      <c r="G4544" s="26" t="str">
        <f aca="false">IF(OR(E4544="",E4544="!!!"),"",IF(OR(J4544=0,AND(J4544=1,K4544=1),AND(J4544=1,I4544="SBJ"),AND(J4544=1,I4544=0)),"?IN_FOCUS",IF(J4544&lt;=2,"?ACTIVATED",IF(J4544&lt;&gt;"","?FAMILIAR",IF(F4544="NEW",IF(ISNA(VLOOKUP(E4544,#REF!,1,FALSE())),"?TYPE_IDENTIFIABLE","?REFERENTIAL"),"_")))))</f>
        <v/>
      </c>
      <c r="H4544" s="27" t="str">
        <f aca="false">IF(J4544&lt;&gt;1,"",IF(I4544="SBJ","CB","?"))</f>
        <v/>
      </c>
      <c r="I4544" s="24" t="str">
        <f aca="false">IF(OR(E4544="",E4544="!!!",F4544="NEW"),"",INDEX(B31:B$4514,-1+SUMPRODUCT(MAX(ROW(E31:E$4514)*(E4544=E31:E$4514)))))</f>
        <v/>
      </c>
      <c r="J4544" s="24" t="str">
        <f aca="true">IF(OR(E4544="",E4544="!!!",F4544="NEW"),"",COUNTBLANK(OFFSET(A$1,,,SUMPRODUCT(MAX(ROW(E$2:E4544)*(E4544=E$2:E4544)))))-COUNTBLANK(OFFSET(A$1,,,SUMPRODUCT(MAX(ROW(E$1:E4543)*(E2=E$1:E4543))))))</f>
        <v/>
      </c>
      <c r="K4544" s="24" t="str">
        <f aca="false">IF(OR(E4544="",E4544="!!!",F4544="NEW"),"",INDEX(J$1:J4543,SUMPRODUCT(MAX(ROW(E$1:E4543)*(E4544=E$1:E4543)))))</f>
        <v/>
      </c>
      <c r="L4544" s="31"/>
    </row>
    <row r="4545" customFormat="false" ht="15" hidden="false" customHeight="false" outlineLevel="0" collapsed="false">
      <c r="A4545" s="20" t="s">
        <v>1109</v>
      </c>
      <c r="E4545" s="23" t="str">
        <f aca="false">IF(D4545="?OLD","!!!","")</f>
        <v/>
      </c>
      <c r="F4545" s="25" t="str">
        <f aca="false">IF(OR(E4545="",E4545="!!!"),"",IF(NOT(ISNA(VLOOKUP(E4545,E$1:E4544,1,FALSE()))),"OLD",IF(AND(E4545&lt;&gt;"",E4545&lt;&gt;"!!!"),"NEW","")))</f>
        <v/>
      </c>
      <c r="G4545" s="26" t="str">
        <f aca="false">IF(OR(E4545="",E4545="!!!"),"",IF(OR(J4545=0,AND(J4545=1,K4545=1),AND(J4545=1,I4545="SBJ"),AND(J4545=1,I4545=0)),"?IN_FOCUS",IF(J4545&lt;=2,"?ACTIVATED",IF(J4545&lt;&gt;"","?FAMILIAR",IF(F4545="NEW",IF(ISNA(VLOOKUP(E4545,#REF!,1,FALSE())),"?TYPE_IDENTIFIABLE","?REFERENTIAL"),"_")))))</f>
        <v/>
      </c>
      <c r="H4545" s="27" t="str">
        <f aca="false">IF(J4545&lt;&gt;1,"",IF(I4545="SBJ","CB","?"))</f>
        <v/>
      </c>
      <c r="I4545" s="24" t="str">
        <f aca="false">IF(OR(E4545="",E4545="!!!",F4545="NEW"),"",INDEX(B32:B$4514,-1+SUMPRODUCT(MAX(ROW(E32:E$4514)*(E4545=E32:E$4514)))))</f>
        <v/>
      </c>
      <c r="J4545" s="24" t="str">
        <f aca="true">IF(OR(E4545="",E4545="!!!",F4545="NEW"),"",COUNTBLANK(OFFSET(A$1,,,SUMPRODUCT(MAX(ROW(E$2:E4545)*(E4545=E$2:E4545)))))-COUNTBLANK(OFFSET(A$1,,,SUMPRODUCT(MAX(ROW(E$1:E4544)*(E2=E$1:E4544))))))</f>
        <v/>
      </c>
      <c r="K4545" s="24" t="str">
        <f aca="false">IF(OR(E4545="",E4545="!!!",F4545="NEW"),"",INDEX(J$1:J4544,SUMPRODUCT(MAX(ROW(E$1:E4544)*(E4545=E$1:E4544)))))</f>
        <v/>
      </c>
      <c r="L4545" s="31"/>
    </row>
    <row r="4546" customFormat="false" ht="15" hidden="false" customHeight="false" outlineLevel="0" collapsed="false">
      <c r="A4546" s="20" t="s">
        <v>2404</v>
      </c>
      <c r="B4546" s="22" t="s">
        <v>1107</v>
      </c>
      <c r="C4546" s="22" t="s">
        <v>1150</v>
      </c>
      <c r="D4546" s="22" t="s">
        <v>1060</v>
      </c>
      <c r="E4546" s="23" t="str">
        <f aca="false">IF(D4546="?OLD","!!!","")</f>
        <v>!!!</v>
      </c>
      <c r="F4546" s="25" t="str">
        <f aca="false">IF(OR(E4546="",E4546="!!!"),"",IF(NOT(ISNA(VLOOKUP(E4546,E$1:E4545,1,FALSE()))),"OLD",IF(AND(E4546&lt;&gt;"",E4546&lt;&gt;"!!!"),"NEW","")))</f>
        <v/>
      </c>
      <c r="G4546" s="26" t="str">
        <f aca="false">IF(OR(E4546="",E4546="!!!"),"",IF(OR(J4546=0,AND(J4546=1,K4546=1),AND(J4546=1,I4546="SBJ"),AND(J4546=1,I4546=0)),"?IN_FOCUS",IF(J4546&lt;=2,"?ACTIVATED",IF(J4546&lt;&gt;"","?FAMILIAR",IF(F4546="NEW",IF(ISNA(VLOOKUP(E4546,#REF!,1,FALSE())),"?TYPE_IDENTIFIABLE","?REFERENTIAL"),"_")))))</f>
        <v/>
      </c>
      <c r="H4546" s="27" t="str">
        <f aca="false">IF(J4546&lt;&gt;1,"",IF(I4546="SBJ","CB","?"))</f>
        <v/>
      </c>
      <c r="I4546" s="24" t="str">
        <f aca="false">IF(OR(E4546="",E4546="!!!",F4546="NEW"),"",INDEX(B33:B$4514,-1+SUMPRODUCT(MAX(ROW(E33:E$4514)*(E4546=E33:E$4514)))))</f>
        <v/>
      </c>
      <c r="J4546" s="24" t="str">
        <f aca="true">IF(OR(E4546="",E4546="!!!",F4546="NEW"),"",COUNTBLANK(OFFSET(A$1,,,SUMPRODUCT(MAX(ROW(E$2:E4546)*(E4546=E$2:E4546)))))-COUNTBLANK(OFFSET(A$1,,,SUMPRODUCT(MAX(ROW(E$1:E4545)*(E2=E$1:E4545))))))</f>
        <v/>
      </c>
      <c r="K4546" s="24" t="str">
        <f aca="false">IF(OR(E4546="",E4546="!!!",F4546="NEW"),"",INDEX(J$1:J4545,SUMPRODUCT(MAX(ROW(E$1:E4545)*(E4546=E$1:E4545)))))</f>
        <v/>
      </c>
      <c r="L4546" s="31"/>
    </row>
    <row r="4547" customFormat="false" ht="15" hidden="false" customHeight="false" outlineLevel="0" collapsed="false">
      <c r="A4547" s="20" t="s">
        <v>923</v>
      </c>
      <c r="E4547" s="23" t="str">
        <f aca="false">IF(D4547="?OLD","!!!","")</f>
        <v/>
      </c>
      <c r="F4547" s="25" t="str">
        <f aca="false">IF(OR(E4547="",E4547="!!!"),"",IF(NOT(ISNA(VLOOKUP(E4547,E$1:E4546,1,FALSE()))),"OLD",IF(AND(E4547&lt;&gt;"",E4547&lt;&gt;"!!!"),"NEW","")))</f>
        <v/>
      </c>
      <c r="G4547" s="26" t="str">
        <f aca="false">IF(OR(E4547="",E4547="!!!"),"",IF(OR(J4547=0,AND(J4547=1,K4547=1),AND(J4547=1,I4547="SBJ"),AND(J4547=1,I4547=0)),"?IN_FOCUS",IF(J4547&lt;=2,"?ACTIVATED",IF(J4547&lt;&gt;"","?FAMILIAR",IF(F4547="NEW",IF(ISNA(VLOOKUP(E4547,#REF!,1,FALSE())),"?TYPE_IDENTIFIABLE","?REFERENTIAL"),"_")))))</f>
        <v/>
      </c>
      <c r="H4547" s="27" t="str">
        <f aca="false">IF(J4547&lt;&gt;1,"",IF(I4547="SBJ","CB","?"))</f>
        <v/>
      </c>
      <c r="I4547" s="24" t="str">
        <f aca="false">IF(OR(E4547="",E4547="!!!",F4547="NEW"),"",INDEX(B34:B$4514,-1+SUMPRODUCT(MAX(ROW(E34:E$4514)*(E4547=E34:E$4514)))))</f>
        <v/>
      </c>
      <c r="J4547" s="24" t="str">
        <f aca="true">IF(OR(E4547="",E4547="!!!",F4547="NEW"),"",COUNTBLANK(OFFSET(A$1,,,SUMPRODUCT(MAX(ROW(E$2:E4547)*(E4547=E$2:E4547)))))-COUNTBLANK(OFFSET(A$1,,,SUMPRODUCT(MAX(ROW(E$1:E4546)*(E2=E$1:E4546))))))</f>
        <v/>
      </c>
      <c r="K4547" s="24" t="str">
        <f aca="false">IF(OR(E4547="",E4547="!!!",F4547="NEW"),"",INDEX(J$1:J4546,SUMPRODUCT(MAX(ROW(E$1:E4546)*(E4547=E$1:E4546)))))</f>
        <v/>
      </c>
      <c r="L4547" s="31"/>
    </row>
    <row r="4548" customFormat="false" ht="15" hidden="false" customHeight="false" outlineLevel="0" collapsed="false">
      <c r="A4548" s="20"/>
    </row>
    <row r="4549" customFormat="false" ht="15" hidden="false" customHeight="false" outlineLevel="0" collapsed="false">
      <c r="A4549" s="20" t="s">
        <v>2405</v>
      </c>
    </row>
    <row r="4550" customFormat="false" ht="15" hidden="false" customHeight="false" outlineLevel="0" collapsed="false">
      <c r="A4550" s="20" t="s">
        <v>1261</v>
      </c>
      <c r="B4550" s="22" t="s">
        <v>1058</v>
      </c>
      <c r="C4550" s="22" t="s">
        <v>1082</v>
      </c>
      <c r="D4550" s="22" t="s">
        <v>1060</v>
      </c>
      <c r="E4550" s="23" t="str">
        <f aca="false">IF(D4550="?OLD","!!!","")</f>
        <v>!!!</v>
      </c>
      <c r="F4550" s="25" t="str">
        <f aca="false">IF(OR(E4550="",E4550="!!!"),"",IF(NOT(ISNA(VLOOKUP(E4550,E$1:E4549,1,FALSE()))),"OLD",IF(AND(E4550&lt;&gt;"",E4550&lt;&gt;"!!!"),"NEW","")))</f>
        <v/>
      </c>
      <c r="G4550" s="26" t="str">
        <f aca="false">IF(OR(E4550="",E4550="!!!"),"",IF(OR(J4550=0,AND(J4550=1,K4550=1),AND(J4550=1,I4550="SBJ"),AND(J4550=1,I4550=0)),"?IN_FOCUS",IF(J4550&lt;=2,"?ACTIVATED",IF(J4550&lt;&gt;"","?FAMILIAR",IF(F4550="NEW",IF(ISNA(VLOOKUP(E4550,#REF!,1,FALSE())),"?TYPE_IDENTIFIABLE","?REFERENTIAL"),"_")))))</f>
        <v/>
      </c>
      <c r="H4550" s="27" t="str">
        <f aca="false">IF(J4550&lt;&gt;1,"",IF(I4550="SBJ","CB","?"))</f>
        <v/>
      </c>
      <c r="I4550" s="24" t="str">
        <f aca="false">IF(OR(E4550="",E4550="!!!",F4550="NEW"),"",INDEX(B2:B$4549,-1+SUMPRODUCT(MAX(ROW(E2:E$4549)*(E4550=E2:E$4549)))))</f>
        <v/>
      </c>
      <c r="J4550" s="24" t="str">
        <f aca="true">IF(OR(E4550="",E4550="!!!",F4550="NEW"),"",COUNTBLANK(OFFSET(A$1,,,SUMPRODUCT(MAX(ROW(E$2:E4550)*(E4550=E$2:E4550)))))-COUNTBLANK(OFFSET(A$1,,,SUMPRODUCT(MAX(ROW(E$1:E4549)*(E2=E$1:E4549))))))</f>
        <v/>
      </c>
      <c r="K4550" s="24" t="str">
        <f aca="false">IF(OR(E4550="",E4550="!!!",F4550="NEW"),"",INDEX(J$1:J4549,SUMPRODUCT(MAX(ROW(E$1:E4549)*(E4550=E$1:E4549)))))</f>
        <v/>
      </c>
      <c r="L4550" s="31"/>
    </row>
    <row r="4551" customFormat="false" ht="15" hidden="false" customHeight="false" outlineLevel="0" collapsed="false">
      <c r="A4551" s="20" t="s">
        <v>2095</v>
      </c>
      <c r="E4551" s="23" t="str">
        <f aca="false">IF(D4551="?OLD","!!!","")</f>
        <v/>
      </c>
      <c r="F4551" s="25" t="str">
        <f aca="false">IF(OR(E4551="",E4551="!!!"),"",IF(NOT(ISNA(VLOOKUP(E4551,E$1:E4550,1,FALSE()))),"OLD",IF(AND(E4551&lt;&gt;"",E4551&lt;&gt;"!!!"),"NEW","")))</f>
        <v/>
      </c>
      <c r="G4551" s="26" t="str">
        <f aca="false">IF(OR(E4551="",E4551="!!!"),"",IF(OR(J4551=0,AND(J4551=1,K4551=1),AND(J4551=1,I4551="SBJ"),AND(J4551=1,I4551=0)),"?IN_FOCUS",IF(J4551&lt;=2,"?ACTIVATED",IF(J4551&lt;&gt;"","?FAMILIAR",IF(F4551="NEW",IF(ISNA(VLOOKUP(E4551,#REF!,1,FALSE())),"?TYPE_IDENTIFIABLE","?REFERENTIAL"),"_")))))</f>
        <v/>
      </c>
      <c r="H4551" s="27" t="str">
        <f aca="false">IF(J4551&lt;&gt;1,"",IF(I4551="SBJ","CB","?"))</f>
        <v/>
      </c>
      <c r="I4551" s="24" t="str">
        <f aca="false">IF(OR(E4551="",E4551="!!!",F4551="NEW"),"",INDEX(B3:B$4549,-1+SUMPRODUCT(MAX(ROW(E3:E$4549)*(E4551=E3:E$4549)))))</f>
        <v/>
      </c>
      <c r="J4551" s="24" t="str">
        <f aca="true">IF(OR(E4551="",E4551="!!!",F4551="NEW"),"",COUNTBLANK(OFFSET(A$1,,,SUMPRODUCT(MAX(ROW(E$2:E4551)*(E4551=E$2:E4551)))))-COUNTBLANK(OFFSET(A$1,,,SUMPRODUCT(MAX(ROW(E$1:E4550)*(E2=E$1:E4550))))))</f>
        <v/>
      </c>
      <c r="K4551" s="24" t="str">
        <f aca="false">IF(OR(E4551="",E4551="!!!",F4551="NEW"),"",INDEX(J$1:J4550,SUMPRODUCT(MAX(ROW(E$1:E4550)*(E4551=E$1:E4550)))))</f>
        <v/>
      </c>
      <c r="L4551" s="31"/>
    </row>
    <row r="4552" customFormat="false" ht="15" hidden="false" customHeight="false" outlineLevel="0" collapsed="false">
      <c r="A4552" s="20" t="s">
        <v>1179</v>
      </c>
      <c r="B4552" s="22" t="s">
        <v>1081</v>
      </c>
      <c r="C4552" s="22" t="s">
        <v>1082</v>
      </c>
      <c r="D4552" s="22" t="s">
        <v>1060</v>
      </c>
      <c r="E4552" s="23" t="str">
        <f aca="false">IF(D4552="?OLD","!!!","")</f>
        <v>!!!</v>
      </c>
      <c r="F4552" s="25" t="str">
        <f aca="false">IF(OR(E4552="",E4552="!!!"),"",IF(NOT(ISNA(VLOOKUP(E4552,E$1:E4551,1,FALSE()))),"OLD",IF(AND(E4552&lt;&gt;"",E4552&lt;&gt;"!!!"),"NEW","")))</f>
        <v/>
      </c>
      <c r="G4552" s="26" t="str">
        <f aca="false">IF(OR(E4552="",E4552="!!!"),"",IF(OR(J4552=0,AND(J4552=1,K4552=1),AND(J4552=1,I4552="SBJ"),AND(J4552=1,I4552=0)),"?IN_FOCUS",IF(J4552&lt;=2,"?ACTIVATED",IF(J4552&lt;&gt;"","?FAMILIAR",IF(F4552="NEW",IF(ISNA(VLOOKUP(E4552,#REF!,1,FALSE())),"?TYPE_IDENTIFIABLE","?REFERENTIAL"),"_")))))</f>
        <v/>
      </c>
      <c r="H4552" s="27" t="str">
        <f aca="false">IF(J4552&lt;&gt;1,"",IF(I4552="SBJ","CB","?"))</f>
        <v/>
      </c>
      <c r="I4552" s="24" t="str">
        <f aca="false">IF(OR(E4552="",E4552="!!!",F4552="NEW"),"",INDEX(B4:B$4549,-1+SUMPRODUCT(MAX(ROW(E4:E$4549)*(E4552=E4:E$4549)))))</f>
        <v/>
      </c>
      <c r="J4552" s="24" t="str">
        <f aca="true">IF(OR(E4552="",E4552="!!!",F4552="NEW"),"",COUNTBLANK(OFFSET(A$1,,,SUMPRODUCT(MAX(ROW(E$2:E4552)*(E4552=E$2:E4552)))))-COUNTBLANK(OFFSET(A$1,,,SUMPRODUCT(MAX(ROW(E$1:E4551)*(E2=E$1:E4551))))))</f>
        <v/>
      </c>
      <c r="K4552" s="24" t="str">
        <f aca="false">IF(OR(E4552="",E4552="!!!",F4552="NEW"),"",INDEX(J$1:J4551,SUMPRODUCT(MAX(ROW(E$1:E4551)*(E4552=E$1:E4551)))))</f>
        <v/>
      </c>
      <c r="L4552" s="31"/>
    </row>
    <row r="4553" customFormat="false" ht="15" hidden="false" customHeight="false" outlineLevel="0" collapsed="false">
      <c r="A4553" s="20" t="s">
        <v>1095</v>
      </c>
      <c r="E4553" s="23" t="str">
        <f aca="false">IF(D4553="?OLD","!!!","")</f>
        <v/>
      </c>
      <c r="F4553" s="25" t="str">
        <f aca="false">IF(OR(E4553="",E4553="!!!"),"",IF(NOT(ISNA(VLOOKUP(E4553,E$1:E4552,1,FALSE()))),"OLD",IF(AND(E4553&lt;&gt;"",E4553&lt;&gt;"!!!"),"NEW","")))</f>
        <v/>
      </c>
      <c r="G4553" s="26" t="str">
        <f aca="false">IF(OR(E4553="",E4553="!!!"),"",IF(OR(J4553=0,AND(J4553=1,K4553=1),AND(J4553=1,I4553="SBJ"),AND(J4553=1,I4553=0)),"?IN_FOCUS",IF(J4553&lt;=2,"?ACTIVATED",IF(J4553&lt;&gt;"","?FAMILIAR",IF(F4553="NEW",IF(ISNA(VLOOKUP(E4553,#REF!,1,FALSE())),"?TYPE_IDENTIFIABLE","?REFERENTIAL"),"_")))))</f>
        <v/>
      </c>
      <c r="H4553" s="27" t="str">
        <f aca="false">IF(J4553&lt;&gt;1,"",IF(I4553="SBJ","CB","?"))</f>
        <v/>
      </c>
      <c r="I4553" s="24" t="str">
        <f aca="false">IF(OR(E4553="",E4553="!!!",F4553="NEW"),"",INDEX(B5:B$4549,-1+SUMPRODUCT(MAX(ROW(E5:E$4549)*(E4553=E5:E$4549)))))</f>
        <v/>
      </c>
      <c r="J4553" s="24" t="str">
        <f aca="true">IF(OR(E4553="",E4553="!!!",F4553="NEW"),"",COUNTBLANK(OFFSET(A$1,,,SUMPRODUCT(MAX(ROW(E$2:E4553)*(E4553=E$2:E4553)))))-COUNTBLANK(OFFSET(A$1,,,SUMPRODUCT(MAX(ROW(E$1:E4552)*(E2=E$1:E4552))))))</f>
        <v/>
      </c>
      <c r="K4553" s="24" t="str">
        <f aca="false">IF(OR(E4553="",E4553="!!!",F4553="NEW"),"",INDEX(J$1:J4552,SUMPRODUCT(MAX(ROW(E$1:E4552)*(E4553=E$1:E4552)))))</f>
        <v/>
      </c>
      <c r="L4553" s="31"/>
    </row>
    <row r="4554" customFormat="false" ht="15" hidden="false" customHeight="false" outlineLevel="0" collapsed="false">
      <c r="A4554" s="20" t="s">
        <v>2406</v>
      </c>
      <c r="E4554" s="23" t="str">
        <f aca="false">IF(D4554="?OLD","!!!","")</f>
        <v/>
      </c>
      <c r="F4554" s="25" t="str">
        <f aca="false">IF(OR(E4554="",E4554="!!!"),"",IF(NOT(ISNA(VLOOKUP(E4554,E$1:E4553,1,FALSE()))),"OLD",IF(AND(E4554&lt;&gt;"",E4554&lt;&gt;"!!!"),"NEW","")))</f>
        <v/>
      </c>
      <c r="G4554" s="26" t="str">
        <f aca="false">IF(OR(E4554="",E4554="!!!"),"",IF(OR(J4554=0,AND(J4554=1,K4554=1),AND(J4554=1,I4554="SBJ"),AND(J4554=1,I4554=0)),"?IN_FOCUS",IF(J4554&lt;=2,"?ACTIVATED",IF(J4554&lt;&gt;"","?FAMILIAR",IF(F4554="NEW",IF(ISNA(VLOOKUP(E4554,#REF!,1,FALSE())),"?TYPE_IDENTIFIABLE","?REFERENTIAL"),"_")))))</f>
        <v/>
      </c>
      <c r="H4554" s="27" t="str">
        <f aca="false">IF(J4554&lt;&gt;1,"",IF(I4554="SBJ","CB","?"))</f>
        <v/>
      </c>
      <c r="I4554" s="24" t="str">
        <f aca="false">IF(OR(E4554="",E4554="!!!",F4554="NEW"),"",INDEX(B6:B$4549,-1+SUMPRODUCT(MAX(ROW(E6:E$4549)*(E4554=E6:E$4549)))))</f>
        <v/>
      </c>
      <c r="J4554" s="24" t="str">
        <f aca="true">IF(OR(E4554="",E4554="!!!",F4554="NEW"),"",COUNTBLANK(OFFSET(A$1,,,SUMPRODUCT(MAX(ROW(E$2:E4554)*(E4554=E$2:E4554)))))-COUNTBLANK(OFFSET(A$1,,,SUMPRODUCT(MAX(ROW(E$1:E4553)*(E2=E$1:E4553))))))</f>
        <v/>
      </c>
      <c r="K4554" s="24" t="str">
        <f aca="false">IF(OR(E4554="",E4554="!!!",F4554="NEW"),"",INDEX(J$1:J4553,SUMPRODUCT(MAX(ROW(E$1:E4553)*(E4554=E$1:E4553)))))</f>
        <v/>
      </c>
      <c r="L4554" s="31"/>
    </row>
    <row r="4555" customFormat="false" ht="15" hidden="false" customHeight="false" outlineLevel="0" collapsed="false">
      <c r="A4555" s="20" t="s">
        <v>1109</v>
      </c>
      <c r="E4555" s="23" t="str">
        <f aca="false">IF(D4555="?OLD","!!!","")</f>
        <v/>
      </c>
      <c r="F4555" s="25" t="str">
        <f aca="false">IF(OR(E4555="",E4555="!!!"),"",IF(NOT(ISNA(VLOOKUP(E4555,E$1:E4554,1,FALSE()))),"OLD",IF(AND(E4555&lt;&gt;"",E4555&lt;&gt;"!!!"),"NEW","")))</f>
        <v/>
      </c>
      <c r="G4555" s="26" t="str">
        <f aca="false">IF(OR(E4555="",E4555="!!!"),"",IF(OR(J4555=0,AND(J4555=1,K4555=1),AND(J4555=1,I4555="SBJ"),AND(J4555=1,I4555=0)),"?IN_FOCUS",IF(J4555&lt;=2,"?ACTIVATED",IF(J4555&lt;&gt;"","?FAMILIAR",IF(F4555="NEW",IF(ISNA(VLOOKUP(E4555,#REF!,1,FALSE())),"?TYPE_IDENTIFIABLE","?REFERENTIAL"),"_")))))</f>
        <v/>
      </c>
      <c r="H4555" s="27" t="str">
        <f aca="false">IF(J4555&lt;&gt;1,"",IF(I4555="SBJ","CB","?"))</f>
        <v/>
      </c>
      <c r="I4555" s="24" t="str">
        <f aca="false">IF(OR(E4555="",E4555="!!!",F4555="NEW"),"",INDEX(B7:B$4549,-1+SUMPRODUCT(MAX(ROW(E7:E$4549)*(E4555=E7:E$4549)))))</f>
        <v/>
      </c>
      <c r="J4555" s="24" t="str">
        <f aca="true">IF(OR(E4555="",E4555="!!!",F4555="NEW"),"",COUNTBLANK(OFFSET(A$1,,,SUMPRODUCT(MAX(ROW(E$2:E4555)*(E4555=E$2:E4555)))))-COUNTBLANK(OFFSET(A$1,,,SUMPRODUCT(MAX(ROW(E$1:E4554)*(E2=E$1:E4554))))))</f>
        <v/>
      </c>
      <c r="K4555" s="24" t="str">
        <f aca="false">IF(OR(E4555="",E4555="!!!",F4555="NEW"),"",INDEX(J$1:J4554,SUMPRODUCT(MAX(ROW(E$1:E4554)*(E4555=E$1:E4554)))))</f>
        <v/>
      </c>
      <c r="L4555" s="31"/>
    </row>
    <row r="4556" customFormat="false" ht="15" hidden="false" customHeight="false" outlineLevel="0" collapsed="false">
      <c r="A4556" s="20" t="s">
        <v>1823</v>
      </c>
      <c r="B4556" s="22" t="s">
        <v>1142</v>
      </c>
      <c r="C4556" s="22" t="s">
        <v>1059</v>
      </c>
      <c r="D4556" s="22" t="s">
        <v>1060</v>
      </c>
      <c r="E4556" s="23" t="str">
        <f aca="false">IF(D4556="?OLD","!!!","")</f>
        <v>!!!</v>
      </c>
      <c r="F4556" s="25" t="str">
        <f aca="false">IF(OR(E4556="",E4556="!!!"),"",IF(NOT(ISNA(VLOOKUP(E4556,E$1:E4555,1,FALSE()))),"OLD",IF(AND(E4556&lt;&gt;"",E4556&lt;&gt;"!!!"),"NEW","")))</f>
        <v/>
      </c>
      <c r="G4556" s="26" t="str">
        <f aca="false">IF(OR(E4556="",E4556="!!!"),"",IF(OR(J4556=0,AND(J4556=1,K4556=1),AND(J4556=1,I4556="SBJ"),AND(J4556=1,I4556=0)),"?IN_FOCUS",IF(J4556&lt;=2,"?ACTIVATED",IF(J4556&lt;&gt;"","?FAMILIAR",IF(F4556="NEW",IF(ISNA(VLOOKUP(E4556,#REF!,1,FALSE())),"?TYPE_IDENTIFIABLE","?REFERENTIAL"),"_")))))</f>
        <v/>
      </c>
      <c r="H4556" s="27" t="str">
        <f aca="false">IF(J4556&lt;&gt;1,"",IF(I4556="SBJ","CB","?"))</f>
        <v/>
      </c>
      <c r="I4556" s="24" t="str">
        <f aca="false">IF(OR(E4556="",E4556="!!!",F4556="NEW"),"",INDEX(B8:B$4549,-1+SUMPRODUCT(MAX(ROW(E8:E$4549)*(E4556=E8:E$4549)))))</f>
        <v/>
      </c>
      <c r="J4556" s="24" t="str">
        <f aca="true">IF(OR(E4556="",E4556="!!!",F4556="NEW"),"",COUNTBLANK(OFFSET(A$1,,,SUMPRODUCT(MAX(ROW(E$2:E4556)*(E4556=E$2:E4556)))))-COUNTBLANK(OFFSET(A$1,,,SUMPRODUCT(MAX(ROW(E$1:E4555)*(E2=E$1:E4555))))))</f>
        <v/>
      </c>
      <c r="K4556" s="24" t="str">
        <f aca="false">IF(OR(E4556="",E4556="!!!",F4556="NEW"),"",INDEX(J$1:J4555,SUMPRODUCT(MAX(ROW(E$1:E4555)*(E4556=E$1:E4555)))))</f>
        <v/>
      </c>
      <c r="L4556" s="31"/>
    </row>
    <row r="4557" customFormat="false" ht="15" hidden="false" customHeight="false" outlineLevel="0" collapsed="false">
      <c r="A4557" s="20" t="s">
        <v>1064</v>
      </c>
      <c r="E4557" s="23" t="str">
        <f aca="false">IF(D4557="?OLD","!!!","")</f>
        <v/>
      </c>
      <c r="F4557" s="25" t="str">
        <f aca="false">IF(OR(E4557="",E4557="!!!"),"",IF(NOT(ISNA(VLOOKUP(E4557,E$1:E4556,1,FALSE()))),"OLD",IF(AND(E4557&lt;&gt;"",E4557&lt;&gt;"!!!"),"NEW","")))</f>
        <v/>
      </c>
      <c r="G4557" s="26" t="str">
        <f aca="false">IF(OR(E4557="",E4557="!!!"),"",IF(OR(J4557=0,AND(J4557=1,K4557=1),AND(J4557=1,I4557="SBJ"),AND(J4557=1,I4557=0)),"?IN_FOCUS",IF(J4557&lt;=2,"?ACTIVATED",IF(J4557&lt;&gt;"","?FAMILIAR",IF(F4557="NEW",IF(ISNA(VLOOKUP(E4557,#REF!,1,FALSE())),"?TYPE_IDENTIFIABLE","?REFERENTIAL"),"_")))))</f>
        <v/>
      </c>
      <c r="H4557" s="27" t="str">
        <f aca="false">IF(J4557&lt;&gt;1,"",IF(I4557="SBJ","CB","?"))</f>
        <v/>
      </c>
      <c r="I4557" s="24" t="str">
        <f aca="false">IF(OR(E4557="",E4557="!!!",F4557="NEW"),"",INDEX(B9:B$4549,-1+SUMPRODUCT(MAX(ROW(E9:E$4549)*(E4557=E9:E$4549)))))</f>
        <v/>
      </c>
      <c r="J4557" s="24" t="str">
        <f aca="true">IF(OR(E4557="",E4557="!!!",F4557="NEW"),"",COUNTBLANK(OFFSET(A$1,,,SUMPRODUCT(MAX(ROW(E$2:E4557)*(E4557=E$2:E4557)))))-COUNTBLANK(OFFSET(A$1,,,SUMPRODUCT(MAX(ROW(E$1:E4556)*(E2=E$1:E4556))))))</f>
        <v/>
      </c>
      <c r="K4557" s="24" t="str">
        <f aca="false">IF(OR(E4557="",E4557="!!!",F4557="NEW"),"",INDEX(J$1:J4556,SUMPRODUCT(MAX(ROW(E$1:E4556)*(E4557=E$1:E4556)))))</f>
        <v/>
      </c>
      <c r="L4557" s="31"/>
    </row>
    <row r="4558" customFormat="false" ht="15" hidden="false" customHeight="false" outlineLevel="0" collapsed="false">
      <c r="A4558" s="20" t="s">
        <v>1339</v>
      </c>
      <c r="E4558" s="23" t="str">
        <f aca="false">IF(D4558="?OLD","!!!","")</f>
        <v/>
      </c>
      <c r="F4558" s="25" t="str">
        <f aca="false">IF(OR(E4558="",E4558="!!!"),"",IF(NOT(ISNA(VLOOKUP(E4558,E$1:E4557,1,FALSE()))),"OLD",IF(AND(E4558&lt;&gt;"",E4558&lt;&gt;"!!!"),"NEW","")))</f>
        <v/>
      </c>
      <c r="G4558" s="26" t="str">
        <f aca="false">IF(OR(E4558="",E4558="!!!"),"",IF(OR(J4558=0,AND(J4558=1,K4558=1),AND(J4558=1,I4558="SBJ"),AND(J4558=1,I4558=0)),"?IN_FOCUS",IF(J4558&lt;=2,"?ACTIVATED",IF(J4558&lt;&gt;"","?FAMILIAR",IF(F4558="NEW",IF(ISNA(VLOOKUP(E4558,#REF!,1,FALSE())),"?TYPE_IDENTIFIABLE","?REFERENTIAL"),"_")))))</f>
        <v/>
      </c>
      <c r="H4558" s="27" t="str">
        <f aca="false">IF(J4558&lt;&gt;1,"",IF(I4558="SBJ","CB","?"))</f>
        <v/>
      </c>
      <c r="I4558" s="24" t="str">
        <f aca="false">IF(OR(E4558="",E4558="!!!",F4558="NEW"),"",INDEX(B10:B$4549,-1+SUMPRODUCT(MAX(ROW(E10:E$4549)*(E4558=E10:E$4549)))))</f>
        <v/>
      </c>
      <c r="J4558" s="24" t="str">
        <f aca="true">IF(OR(E4558="",E4558="!!!",F4558="NEW"),"",COUNTBLANK(OFFSET(A$1,,,SUMPRODUCT(MAX(ROW(E$2:E4558)*(E4558=E$2:E4558)))))-COUNTBLANK(OFFSET(A$1,,,SUMPRODUCT(MAX(ROW(E$1:E4557)*(E2=E$1:E4557))))))</f>
        <v/>
      </c>
      <c r="K4558" s="24" t="str">
        <f aca="false">IF(OR(E4558="",E4558="!!!",F4558="NEW"),"",INDEX(J$1:J4557,SUMPRODUCT(MAX(ROW(E$1:E4557)*(E4558=E$1:E4557)))))</f>
        <v/>
      </c>
      <c r="L4558" s="31"/>
    </row>
    <row r="4559" customFormat="false" ht="15" hidden="false" customHeight="false" outlineLevel="0" collapsed="false">
      <c r="A4559" s="20" t="s">
        <v>2212</v>
      </c>
      <c r="B4559" s="22" t="s">
        <v>1107</v>
      </c>
      <c r="C4559" s="22" t="s">
        <v>1171</v>
      </c>
      <c r="D4559" s="22" t="s">
        <v>1060</v>
      </c>
      <c r="E4559" s="23" t="str">
        <f aca="false">IF(D4559="?OLD","!!!","")</f>
        <v>!!!</v>
      </c>
      <c r="F4559" s="25" t="str">
        <f aca="false">IF(OR(E4559="",E4559="!!!"),"",IF(NOT(ISNA(VLOOKUP(E4559,E$1:E4558,1,FALSE()))),"OLD",IF(AND(E4559&lt;&gt;"",E4559&lt;&gt;"!!!"),"NEW","")))</f>
        <v/>
      </c>
      <c r="G4559" s="26" t="str">
        <f aca="false">IF(OR(E4559="",E4559="!!!"),"",IF(OR(J4559=0,AND(J4559=1,K4559=1),AND(J4559=1,I4559="SBJ"),AND(J4559=1,I4559=0)),"?IN_FOCUS",IF(J4559&lt;=2,"?ACTIVATED",IF(J4559&lt;&gt;"","?FAMILIAR",IF(F4559="NEW",IF(ISNA(VLOOKUP(E4559,#REF!,1,FALSE())),"?TYPE_IDENTIFIABLE","?REFERENTIAL"),"_")))))</f>
        <v/>
      </c>
      <c r="H4559" s="27" t="str">
        <f aca="false">IF(J4559&lt;&gt;1,"",IF(I4559="SBJ","CB","?"))</f>
        <v/>
      </c>
      <c r="I4559" s="24" t="str">
        <f aca="false">IF(OR(E4559="",E4559="!!!",F4559="NEW"),"",INDEX(B11:B$4549,-1+SUMPRODUCT(MAX(ROW(E11:E$4549)*(E4559=E11:E$4549)))))</f>
        <v/>
      </c>
      <c r="J4559" s="24" t="str">
        <f aca="true">IF(OR(E4559="",E4559="!!!",F4559="NEW"),"",COUNTBLANK(OFFSET(A$1,,,SUMPRODUCT(MAX(ROW(E$2:E4559)*(E4559=E$2:E4559)))))-COUNTBLANK(OFFSET(A$1,,,SUMPRODUCT(MAX(ROW(E$1:E4558)*(E2=E$1:E4558))))))</f>
        <v/>
      </c>
      <c r="K4559" s="24" t="str">
        <f aca="false">IF(OR(E4559="",E4559="!!!",F4559="NEW"),"",INDEX(J$1:J4558,SUMPRODUCT(MAX(ROW(E$1:E4558)*(E4559=E$1:E4558)))))</f>
        <v/>
      </c>
      <c r="L4559" s="31"/>
    </row>
    <row r="4560" customFormat="false" ht="15" hidden="false" customHeight="false" outlineLevel="0" collapsed="false">
      <c r="A4560" s="20" t="s">
        <v>1071</v>
      </c>
      <c r="E4560" s="23" t="str">
        <f aca="false">IF(D4560="?OLD","!!!","")</f>
        <v/>
      </c>
      <c r="F4560" s="25" t="str">
        <f aca="false">IF(OR(E4560="",E4560="!!!"),"",IF(NOT(ISNA(VLOOKUP(E4560,E$1:E4559,1,FALSE()))),"OLD",IF(AND(E4560&lt;&gt;"",E4560&lt;&gt;"!!!"),"NEW","")))</f>
        <v/>
      </c>
      <c r="G4560" s="26" t="str">
        <f aca="false">IF(OR(E4560="",E4560="!!!"),"",IF(OR(J4560=0,AND(J4560=1,K4560=1),AND(J4560=1,I4560="SBJ"),AND(J4560=1,I4560=0)),"?IN_FOCUS",IF(J4560&lt;=2,"?ACTIVATED",IF(J4560&lt;&gt;"","?FAMILIAR",IF(F4560="NEW",IF(ISNA(VLOOKUP(E4560,#REF!,1,FALSE())),"?TYPE_IDENTIFIABLE","?REFERENTIAL"),"_")))))</f>
        <v/>
      </c>
      <c r="H4560" s="27" t="str">
        <f aca="false">IF(J4560&lt;&gt;1,"",IF(I4560="SBJ","CB","?"))</f>
        <v/>
      </c>
      <c r="I4560" s="24" t="str">
        <f aca="false">IF(OR(E4560="",E4560="!!!",F4560="NEW"),"",INDEX(B12:B$4549,-1+SUMPRODUCT(MAX(ROW(E12:E$4549)*(E4560=E12:E$4549)))))</f>
        <v/>
      </c>
      <c r="J4560" s="24" t="str">
        <f aca="true">IF(OR(E4560="",E4560="!!!",F4560="NEW"),"",COUNTBLANK(OFFSET(A$1,,,SUMPRODUCT(MAX(ROW(E$2:E4560)*(E4560=E$2:E4560)))))-COUNTBLANK(OFFSET(A$1,,,SUMPRODUCT(MAX(ROW(E$1:E4559)*(E2=E$1:E4559))))))</f>
        <v/>
      </c>
      <c r="K4560" s="24" t="str">
        <f aca="false">IF(OR(E4560="",E4560="!!!",F4560="NEW"),"",INDEX(J$1:J4559,SUMPRODUCT(MAX(ROW(E$1:E4559)*(E4560=E$1:E4559)))))</f>
        <v/>
      </c>
      <c r="L4560" s="31"/>
    </row>
    <row r="4561" customFormat="false" ht="15" hidden="false" customHeight="false" outlineLevel="0" collapsed="false">
      <c r="A4561" s="20" t="s">
        <v>1638</v>
      </c>
      <c r="B4561" s="22" t="s">
        <v>1067</v>
      </c>
      <c r="C4561" s="22" t="s">
        <v>1059</v>
      </c>
      <c r="D4561" s="22" t="s">
        <v>1060</v>
      </c>
      <c r="E4561" s="23" t="str">
        <f aca="false">IF(D4561="?OLD","!!!","")</f>
        <v>!!!</v>
      </c>
      <c r="F4561" s="25" t="str">
        <f aca="false">IF(OR(E4561="",E4561="!!!"),"",IF(NOT(ISNA(VLOOKUP(E4561,E$1:E4560,1,FALSE()))),"OLD",IF(AND(E4561&lt;&gt;"",E4561&lt;&gt;"!!!"),"NEW","")))</f>
        <v/>
      </c>
      <c r="G4561" s="26" t="str">
        <f aca="false">IF(OR(E4561="",E4561="!!!"),"",IF(OR(J4561=0,AND(J4561=1,K4561=1),AND(J4561=1,I4561="SBJ"),AND(J4561=1,I4561=0)),"?IN_FOCUS",IF(J4561&lt;=2,"?ACTIVATED",IF(J4561&lt;&gt;"","?FAMILIAR",IF(F4561="NEW",IF(ISNA(VLOOKUP(E4561,#REF!,1,FALSE())),"?TYPE_IDENTIFIABLE","?REFERENTIAL"),"_")))))</f>
        <v/>
      </c>
      <c r="H4561" s="27" t="str">
        <f aca="false">IF(J4561&lt;&gt;1,"",IF(I4561="SBJ","CB","?"))</f>
        <v/>
      </c>
      <c r="I4561" s="24" t="str">
        <f aca="false">IF(OR(E4561="",E4561="!!!",F4561="NEW"),"",INDEX(B13:B$4549,-1+SUMPRODUCT(MAX(ROW(E13:E$4549)*(E4561=E13:E$4549)))))</f>
        <v/>
      </c>
      <c r="J4561" s="24" t="str">
        <f aca="true">IF(OR(E4561="",E4561="!!!",F4561="NEW"),"",COUNTBLANK(OFFSET(A$1,,,SUMPRODUCT(MAX(ROW(E$2:E4561)*(E4561=E$2:E4561)))))-COUNTBLANK(OFFSET(A$1,,,SUMPRODUCT(MAX(ROW(E$1:E4560)*(E2=E$1:E4560))))))</f>
        <v/>
      </c>
      <c r="K4561" s="24" t="str">
        <f aca="false">IF(OR(E4561="",E4561="!!!",F4561="NEW"),"",INDEX(J$1:J4560,SUMPRODUCT(MAX(ROW(E$1:E4560)*(E4561=E$1:E4560)))))</f>
        <v/>
      </c>
      <c r="L4561" s="31"/>
    </row>
    <row r="4562" customFormat="false" ht="15" hidden="false" customHeight="false" outlineLevel="0" collapsed="false">
      <c r="A4562" s="20" t="s">
        <v>1215</v>
      </c>
      <c r="E4562" s="23" t="str">
        <f aca="false">IF(D4562="?OLD","!!!","")</f>
        <v/>
      </c>
      <c r="F4562" s="25" t="str">
        <f aca="false">IF(OR(E4562="",E4562="!!!"),"",IF(NOT(ISNA(VLOOKUP(E4562,E$1:E4561,1,FALSE()))),"OLD",IF(AND(E4562&lt;&gt;"",E4562&lt;&gt;"!!!"),"NEW","")))</f>
        <v/>
      </c>
      <c r="G4562" s="26" t="str">
        <f aca="false">IF(OR(E4562="",E4562="!!!"),"",IF(OR(J4562=0,AND(J4562=1,K4562=1),AND(J4562=1,I4562="SBJ"),AND(J4562=1,I4562=0)),"?IN_FOCUS",IF(J4562&lt;=2,"?ACTIVATED",IF(J4562&lt;&gt;"","?FAMILIAR",IF(F4562="NEW",IF(ISNA(VLOOKUP(E4562,#REF!,1,FALSE())),"?TYPE_IDENTIFIABLE","?REFERENTIAL"),"_")))))</f>
        <v/>
      </c>
      <c r="H4562" s="27" t="str">
        <f aca="false">IF(J4562&lt;&gt;1,"",IF(I4562="SBJ","CB","?"))</f>
        <v/>
      </c>
      <c r="I4562" s="24" t="str">
        <f aca="false">IF(OR(E4562="",E4562="!!!",F4562="NEW"),"",INDEX(B14:B$4549,-1+SUMPRODUCT(MAX(ROW(E14:E$4549)*(E4562=E14:E$4549)))))</f>
        <v/>
      </c>
      <c r="J4562" s="24" t="str">
        <f aca="true">IF(OR(E4562="",E4562="!!!",F4562="NEW"),"",COUNTBLANK(OFFSET(A$1,,,SUMPRODUCT(MAX(ROW(E$2:E4562)*(E4562=E$2:E4562)))))-COUNTBLANK(OFFSET(A$1,,,SUMPRODUCT(MAX(ROW(E$1:E4561)*(E2=E$1:E4561))))))</f>
        <v/>
      </c>
      <c r="K4562" s="24" t="str">
        <f aca="false">IF(OR(E4562="",E4562="!!!",F4562="NEW"),"",INDEX(J$1:J4561,SUMPRODUCT(MAX(ROW(E$1:E4561)*(E4562=E$1:E4561)))))</f>
        <v/>
      </c>
      <c r="L4562" s="31"/>
    </row>
    <row r="4563" customFormat="false" ht="15" hidden="false" customHeight="false" outlineLevel="0" collapsed="false">
      <c r="A4563" s="20" t="s">
        <v>1186</v>
      </c>
      <c r="B4563" s="22" t="s">
        <v>1091</v>
      </c>
      <c r="C4563" s="22" t="s">
        <v>1082</v>
      </c>
      <c r="D4563" s="22" t="s">
        <v>1060</v>
      </c>
      <c r="E4563" s="23" t="str">
        <f aca="false">IF(D4563="?OLD","!!!","")</f>
        <v>!!!</v>
      </c>
      <c r="F4563" s="25" t="str">
        <f aca="false">IF(OR(E4563="",E4563="!!!"),"",IF(NOT(ISNA(VLOOKUP(E4563,E$1:E4562,1,FALSE()))),"OLD",IF(AND(E4563&lt;&gt;"",E4563&lt;&gt;"!!!"),"NEW","")))</f>
        <v/>
      </c>
      <c r="G4563" s="26" t="str">
        <f aca="false">IF(OR(E4563="",E4563="!!!"),"",IF(OR(J4563=0,AND(J4563=1,K4563=1),AND(J4563=1,I4563="SBJ"),AND(J4563=1,I4563=0)),"?IN_FOCUS",IF(J4563&lt;=2,"?ACTIVATED",IF(J4563&lt;&gt;"","?FAMILIAR",IF(F4563="NEW",IF(ISNA(VLOOKUP(E4563,#REF!,1,FALSE())),"?TYPE_IDENTIFIABLE","?REFERENTIAL"),"_")))))</f>
        <v/>
      </c>
      <c r="H4563" s="27" t="str">
        <f aca="false">IF(J4563&lt;&gt;1,"",IF(I4563="SBJ","CB","?"))</f>
        <v/>
      </c>
      <c r="I4563" s="24" t="str">
        <f aca="false">IF(OR(E4563="",E4563="!!!",F4563="NEW"),"",INDEX(B15:B$4549,-1+SUMPRODUCT(MAX(ROW(E15:E$4549)*(E4563=E15:E$4549)))))</f>
        <v/>
      </c>
      <c r="J4563" s="24" t="str">
        <f aca="true">IF(OR(E4563="",E4563="!!!",F4563="NEW"),"",COUNTBLANK(OFFSET(A$1,,,SUMPRODUCT(MAX(ROW(E$2:E4563)*(E4563=E$2:E4563)))))-COUNTBLANK(OFFSET(A$1,,,SUMPRODUCT(MAX(ROW(E$1:E4562)*(E2=E$1:E4562))))))</f>
        <v/>
      </c>
      <c r="K4563" s="24" t="str">
        <f aca="false">IF(OR(E4563="",E4563="!!!",F4563="NEW"),"",INDEX(J$1:J4562,SUMPRODUCT(MAX(ROW(E$1:E4562)*(E4563=E$1:E4562)))))</f>
        <v/>
      </c>
      <c r="L4563" s="31"/>
    </row>
    <row r="4564" customFormat="false" ht="15" hidden="false" customHeight="false" outlineLevel="0" collapsed="false">
      <c r="A4564" s="20" t="s">
        <v>1544</v>
      </c>
      <c r="E4564" s="23" t="str">
        <f aca="false">IF(D4564="?OLD","!!!","")</f>
        <v/>
      </c>
      <c r="F4564" s="25" t="str">
        <f aca="false">IF(OR(E4564="",E4564="!!!"),"",IF(NOT(ISNA(VLOOKUP(E4564,E$1:E4563,1,FALSE()))),"OLD",IF(AND(E4564&lt;&gt;"",E4564&lt;&gt;"!!!"),"NEW","")))</f>
        <v/>
      </c>
      <c r="G4564" s="26" t="str">
        <f aca="false">IF(OR(E4564="",E4564="!!!"),"",IF(OR(J4564=0,AND(J4564=1,K4564=1),AND(J4564=1,I4564="SBJ"),AND(J4564=1,I4564=0)),"?IN_FOCUS",IF(J4564&lt;=2,"?ACTIVATED",IF(J4564&lt;&gt;"","?FAMILIAR",IF(F4564="NEW",IF(ISNA(VLOOKUP(E4564,#REF!,1,FALSE())),"?TYPE_IDENTIFIABLE","?REFERENTIAL"),"_")))))</f>
        <v/>
      </c>
      <c r="H4564" s="27" t="str">
        <f aca="false">IF(J4564&lt;&gt;1,"",IF(I4564="SBJ","CB","?"))</f>
        <v/>
      </c>
      <c r="I4564" s="24" t="str">
        <f aca="false">IF(OR(E4564="",E4564="!!!",F4564="NEW"),"",INDEX(B16:B$4549,-1+SUMPRODUCT(MAX(ROW(E16:E$4549)*(E4564=E16:E$4549)))))</f>
        <v/>
      </c>
      <c r="J4564" s="24" t="str">
        <f aca="true">IF(OR(E4564="",E4564="!!!",F4564="NEW"),"",COUNTBLANK(OFFSET(A$1,,,SUMPRODUCT(MAX(ROW(E$2:E4564)*(E4564=E$2:E4564)))))-COUNTBLANK(OFFSET(A$1,,,SUMPRODUCT(MAX(ROW(E$1:E4563)*(E2=E$1:E4563))))))</f>
        <v/>
      </c>
      <c r="K4564" s="24" t="str">
        <f aca="false">IF(OR(E4564="",E4564="!!!",F4564="NEW"),"",INDEX(J$1:J4563,SUMPRODUCT(MAX(ROW(E$1:E4563)*(E4564=E$1:E4563)))))</f>
        <v/>
      </c>
      <c r="L4564" s="31"/>
    </row>
    <row r="4565" customFormat="false" ht="15" hidden="false" customHeight="false" outlineLevel="0" collapsed="false">
      <c r="A4565" s="20" t="s">
        <v>1109</v>
      </c>
      <c r="E4565" s="23" t="str">
        <f aca="false">IF(D4565="?OLD","!!!","")</f>
        <v/>
      </c>
      <c r="F4565" s="25" t="str">
        <f aca="false">IF(OR(E4565="",E4565="!!!"),"",IF(NOT(ISNA(VLOOKUP(E4565,E$1:E4564,1,FALSE()))),"OLD",IF(AND(E4565&lt;&gt;"",E4565&lt;&gt;"!!!"),"NEW","")))</f>
        <v/>
      </c>
      <c r="G4565" s="26" t="str">
        <f aca="false">IF(OR(E4565="",E4565="!!!"),"",IF(OR(J4565=0,AND(J4565=1,K4565=1),AND(J4565=1,I4565="SBJ"),AND(J4565=1,I4565=0)),"?IN_FOCUS",IF(J4565&lt;=2,"?ACTIVATED",IF(J4565&lt;&gt;"","?FAMILIAR",IF(F4565="NEW",IF(ISNA(VLOOKUP(E4565,#REF!,1,FALSE())),"?TYPE_IDENTIFIABLE","?REFERENTIAL"),"_")))))</f>
        <v/>
      </c>
      <c r="H4565" s="27" t="str">
        <f aca="false">IF(J4565&lt;&gt;1,"",IF(I4565="SBJ","CB","?"))</f>
        <v/>
      </c>
      <c r="I4565" s="24" t="str">
        <f aca="false">IF(OR(E4565="",E4565="!!!",F4565="NEW"),"",INDEX(B17:B$4549,-1+SUMPRODUCT(MAX(ROW(E17:E$4549)*(E4565=E17:E$4549)))))</f>
        <v/>
      </c>
      <c r="J4565" s="24" t="str">
        <f aca="true">IF(OR(E4565="",E4565="!!!",F4565="NEW"),"",COUNTBLANK(OFFSET(A$1,,,SUMPRODUCT(MAX(ROW(E$2:E4565)*(E4565=E$2:E4565)))))-COUNTBLANK(OFFSET(A$1,,,SUMPRODUCT(MAX(ROW(E$1:E4564)*(E2=E$1:E4564))))))</f>
        <v/>
      </c>
      <c r="K4565" s="24" t="str">
        <f aca="false">IF(OR(E4565="",E4565="!!!",F4565="NEW"),"",INDEX(J$1:J4564,SUMPRODUCT(MAX(ROW(E$1:E4564)*(E4565=E$1:E4564)))))</f>
        <v/>
      </c>
      <c r="L4565" s="31"/>
    </row>
    <row r="4566" customFormat="false" ht="15" hidden="false" customHeight="false" outlineLevel="0" collapsed="false">
      <c r="A4566" s="20" t="s">
        <v>2407</v>
      </c>
      <c r="B4566" s="22" t="s">
        <v>1146</v>
      </c>
      <c r="C4566" s="22" t="s">
        <v>1150</v>
      </c>
      <c r="D4566" s="22" t="s">
        <v>1060</v>
      </c>
      <c r="E4566" s="23" t="str">
        <f aca="false">IF(D4566="?OLD","!!!","")</f>
        <v>!!!</v>
      </c>
      <c r="F4566" s="25" t="str">
        <f aca="false">IF(OR(E4566="",E4566="!!!"),"",IF(NOT(ISNA(VLOOKUP(E4566,E$1:E4565,1,FALSE()))),"OLD",IF(AND(E4566&lt;&gt;"",E4566&lt;&gt;"!!!"),"NEW","")))</f>
        <v/>
      </c>
      <c r="G4566" s="26" t="str">
        <f aca="false">IF(OR(E4566="",E4566="!!!"),"",IF(OR(J4566=0,AND(J4566=1,K4566=1),AND(J4566=1,I4566="SBJ"),AND(J4566=1,I4566=0)),"?IN_FOCUS",IF(J4566&lt;=2,"?ACTIVATED",IF(J4566&lt;&gt;"","?FAMILIAR",IF(F4566="NEW",IF(ISNA(VLOOKUP(E4566,#REF!,1,FALSE())),"?TYPE_IDENTIFIABLE","?REFERENTIAL"),"_")))))</f>
        <v/>
      </c>
      <c r="H4566" s="27" t="str">
        <f aca="false">IF(J4566&lt;&gt;1,"",IF(I4566="SBJ","CB","?"))</f>
        <v/>
      </c>
      <c r="I4566" s="24" t="str">
        <f aca="false">IF(OR(E4566="",E4566="!!!",F4566="NEW"),"",INDEX(B18:B$4549,-1+SUMPRODUCT(MAX(ROW(E18:E$4549)*(E4566=E18:E$4549)))))</f>
        <v/>
      </c>
      <c r="J4566" s="24" t="str">
        <f aca="true">IF(OR(E4566="",E4566="!!!",F4566="NEW"),"",COUNTBLANK(OFFSET(A$1,,,SUMPRODUCT(MAX(ROW(E$2:E4566)*(E4566=E$2:E4566)))))-COUNTBLANK(OFFSET(A$1,,,SUMPRODUCT(MAX(ROW(E$1:E4565)*(E2=E$1:E4565))))))</f>
        <v/>
      </c>
      <c r="K4566" s="24" t="str">
        <f aca="false">IF(OR(E4566="",E4566="!!!",F4566="NEW"),"",INDEX(J$1:J4565,SUMPRODUCT(MAX(ROW(E$1:E4565)*(E4566=E$1:E4565)))))</f>
        <v/>
      </c>
      <c r="L4566" s="31"/>
    </row>
    <row r="4567" customFormat="false" ht="15" hidden="false" customHeight="false" outlineLevel="0" collapsed="false">
      <c r="A4567" s="20" t="s">
        <v>1128</v>
      </c>
      <c r="E4567" s="23" t="str">
        <f aca="false">IF(D4567="?OLD","!!!","")</f>
        <v/>
      </c>
      <c r="F4567" s="25" t="str">
        <f aca="false">IF(OR(E4567="",E4567="!!!"),"",IF(NOT(ISNA(VLOOKUP(E4567,E$1:E4566,1,FALSE()))),"OLD",IF(AND(E4567&lt;&gt;"",E4567&lt;&gt;"!!!"),"NEW","")))</f>
        <v/>
      </c>
      <c r="G4567" s="26" t="str">
        <f aca="false">IF(OR(E4567="",E4567="!!!"),"",IF(OR(J4567=0,AND(J4567=1,K4567=1),AND(J4567=1,I4567="SBJ"),AND(J4567=1,I4567=0)),"?IN_FOCUS",IF(J4567&lt;=2,"?ACTIVATED",IF(J4567&lt;&gt;"","?FAMILIAR",IF(F4567="NEW",IF(ISNA(VLOOKUP(E4567,#REF!,1,FALSE())),"?TYPE_IDENTIFIABLE","?REFERENTIAL"),"_")))))</f>
        <v/>
      </c>
      <c r="H4567" s="27" t="str">
        <f aca="false">IF(J4567&lt;&gt;1,"",IF(I4567="SBJ","CB","?"))</f>
        <v/>
      </c>
      <c r="I4567" s="24" t="str">
        <f aca="false">IF(OR(E4567="",E4567="!!!",F4567="NEW"),"",INDEX(B19:B$4549,-1+SUMPRODUCT(MAX(ROW(E19:E$4549)*(E4567=E19:E$4549)))))</f>
        <v/>
      </c>
      <c r="J4567" s="24" t="str">
        <f aca="true">IF(OR(E4567="",E4567="!!!",F4567="NEW"),"",COUNTBLANK(OFFSET(A$1,,,SUMPRODUCT(MAX(ROW(E$2:E4567)*(E4567=E$2:E4567)))))-COUNTBLANK(OFFSET(A$1,,,SUMPRODUCT(MAX(ROW(E$1:E4566)*(E2=E$1:E4566))))))</f>
        <v/>
      </c>
      <c r="K4567" s="24" t="str">
        <f aca="false">IF(OR(E4567="",E4567="!!!",F4567="NEW"),"",INDEX(J$1:J4566,SUMPRODUCT(MAX(ROW(E$1:E4566)*(E4567=E$1:E4566)))))</f>
        <v/>
      </c>
      <c r="L4567" s="31"/>
    </row>
    <row r="4568" customFormat="false" ht="15" hidden="false" customHeight="false" outlineLevel="0" collapsed="false">
      <c r="A4568" s="20" t="s">
        <v>2408</v>
      </c>
      <c r="B4568" s="22" t="s">
        <v>1107</v>
      </c>
      <c r="C4568" s="22" t="s">
        <v>1160</v>
      </c>
      <c r="E4568" s="23" t="str">
        <f aca="false">IF(D4568="?OLD","!!!","")</f>
        <v/>
      </c>
      <c r="F4568" s="25" t="str">
        <f aca="false">IF(OR(E4568="",E4568="!!!"),"",IF(NOT(ISNA(VLOOKUP(E4568,E$1:E4567,1,FALSE()))),"OLD",IF(AND(E4568&lt;&gt;"",E4568&lt;&gt;"!!!"),"NEW","")))</f>
        <v/>
      </c>
      <c r="G4568" s="26" t="str">
        <f aca="false">IF(OR(E4568="",E4568="!!!"),"",IF(OR(J4568=0,AND(J4568=1,K4568=1),AND(J4568=1,I4568="SBJ"),AND(J4568=1,I4568=0)),"?IN_FOCUS",IF(J4568&lt;=2,"?ACTIVATED",IF(J4568&lt;&gt;"","?FAMILIAR",IF(F4568="NEW",IF(ISNA(VLOOKUP(E4568,#REF!,1,FALSE())),"?TYPE_IDENTIFIABLE","?REFERENTIAL"),"_")))))</f>
        <v/>
      </c>
      <c r="H4568" s="27" t="str">
        <f aca="false">IF(J4568&lt;&gt;1,"",IF(I4568="SBJ","CB","?"))</f>
        <v/>
      </c>
      <c r="I4568" s="24" t="str">
        <f aca="false">IF(OR(E4568="",E4568="!!!",F4568="NEW"),"",INDEX(B20:B$4549,-1+SUMPRODUCT(MAX(ROW(E20:E$4549)*(E4568=E20:E$4549)))))</f>
        <v/>
      </c>
      <c r="J4568" s="24" t="str">
        <f aca="true">IF(OR(E4568="",E4568="!!!",F4568="NEW"),"",COUNTBLANK(OFFSET(A$1,,,SUMPRODUCT(MAX(ROW(E$2:E4568)*(E4568=E$2:E4568)))))-COUNTBLANK(OFFSET(A$1,,,SUMPRODUCT(MAX(ROW(E$1:E4567)*(E2=E$1:E4567))))))</f>
        <v/>
      </c>
      <c r="K4568" s="24" t="str">
        <f aca="false">IF(OR(E4568="",E4568="!!!",F4568="NEW"),"",INDEX(J$1:J4567,SUMPRODUCT(MAX(ROW(E$1:E4567)*(E4568=E$1:E4567)))))</f>
        <v/>
      </c>
      <c r="L4568" s="31"/>
    </row>
    <row r="4569" customFormat="false" ht="15" hidden="false" customHeight="false" outlineLevel="0" collapsed="false">
      <c r="A4569" s="20" t="s">
        <v>1213</v>
      </c>
      <c r="E4569" s="23" t="str">
        <f aca="false">IF(D4569="?OLD","!!!","")</f>
        <v/>
      </c>
      <c r="F4569" s="25" t="str">
        <f aca="false">IF(OR(E4569="",E4569="!!!"),"",IF(NOT(ISNA(VLOOKUP(E4569,E$1:E4568,1,FALSE()))),"OLD",IF(AND(E4569&lt;&gt;"",E4569&lt;&gt;"!!!"),"NEW","")))</f>
        <v/>
      </c>
      <c r="G4569" s="26" t="str">
        <f aca="false">IF(OR(E4569="",E4569="!!!"),"",IF(OR(J4569=0,AND(J4569=1,K4569=1),AND(J4569=1,I4569="SBJ"),AND(J4569=1,I4569=0)),"?IN_FOCUS",IF(J4569&lt;=2,"?ACTIVATED",IF(J4569&lt;&gt;"","?FAMILIAR",IF(F4569="NEW",IF(ISNA(VLOOKUP(E4569,#REF!,1,FALSE())),"?TYPE_IDENTIFIABLE","?REFERENTIAL"),"_")))))</f>
        <v/>
      </c>
      <c r="H4569" s="27" t="str">
        <f aca="false">IF(J4569&lt;&gt;1,"",IF(I4569="SBJ","CB","?"))</f>
        <v/>
      </c>
      <c r="I4569" s="24" t="str">
        <f aca="false">IF(OR(E4569="",E4569="!!!",F4569="NEW"),"",INDEX(B21:B$4549,-1+SUMPRODUCT(MAX(ROW(E21:E$4549)*(E4569=E21:E$4549)))))</f>
        <v/>
      </c>
      <c r="J4569" s="24" t="str">
        <f aca="true">IF(OR(E4569="",E4569="!!!",F4569="NEW"),"",COUNTBLANK(OFFSET(A$1,,,SUMPRODUCT(MAX(ROW(E$2:E4569)*(E4569=E$2:E4569)))))-COUNTBLANK(OFFSET(A$1,,,SUMPRODUCT(MAX(ROW(E$1:E4568)*(E2=E$1:E4568))))))</f>
        <v/>
      </c>
      <c r="K4569" s="24" t="str">
        <f aca="false">IF(OR(E4569="",E4569="!!!",F4569="NEW"),"",INDEX(J$1:J4568,SUMPRODUCT(MAX(ROW(E$1:E4568)*(E4569=E$1:E4568)))))</f>
        <v/>
      </c>
      <c r="L4569" s="31"/>
    </row>
    <row r="4570" customFormat="false" ht="15" hidden="false" customHeight="false" outlineLevel="0" collapsed="false">
      <c r="A4570" s="20" t="s">
        <v>1125</v>
      </c>
      <c r="E4570" s="23" t="str">
        <f aca="false">IF(D4570="?OLD","!!!","")</f>
        <v/>
      </c>
      <c r="F4570" s="25" t="str">
        <f aca="false">IF(OR(E4570="",E4570="!!!"),"",IF(NOT(ISNA(VLOOKUP(E4570,E$1:E4569,1,FALSE()))),"OLD",IF(AND(E4570&lt;&gt;"",E4570&lt;&gt;"!!!"),"NEW","")))</f>
        <v/>
      </c>
      <c r="G4570" s="26" t="str">
        <f aca="false">IF(OR(E4570="",E4570="!!!"),"",IF(OR(J4570=0,AND(J4570=1,K4570=1),AND(J4570=1,I4570="SBJ"),AND(J4570=1,I4570=0)),"?IN_FOCUS",IF(J4570&lt;=2,"?ACTIVATED",IF(J4570&lt;&gt;"","?FAMILIAR",IF(F4570="NEW",IF(ISNA(VLOOKUP(E4570,#REF!,1,FALSE())),"?TYPE_IDENTIFIABLE","?REFERENTIAL"),"_")))))</f>
        <v/>
      </c>
      <c r="H4570" s="27" t="str">
        <f aca="false">IF(J4570&lt;&gt;1,"",IF(I4570="SBJ","CB","?"))</f>
        <v/>
      </c>
      <c r="I4570" s="24" t="str">
        <f aca="false">IF(OR(E4570="",E4570="!!!",F4570="NEW"),"",INDEX(B22:B$4549,-1+SUMPRODUCT(MAX(ROW(E22:E$4549)*(E4570=E22:E$4549)))))</f>
        <v/>
      </c>
      <c r="J4570" s="24" t="str">
        <f aca="true">IF(OR(E4570="",E4570="!!!",F4570="NEW"),"",COUNTBLANK(OFFSET(A$1,,,SUMPRODUCT(MAX(ROW(E$2:E4570)*(E4570=E$2:E4570)))))-COUNTBLANK(OFFSET(A$1,,,SUMPRODUCT(MAX(ROW(E$1:E4569)*(E2=E$1:E4569))))))</f>
        <v/>
      </c>
      <c r="K4570" s="24" t="str">
        <f aca="false">IF(OR(E4570="",E4570="!!!",F4570="NEW"),"",INDEX(J$1:J4569,SUMPRODUCT(MAX(ROW(E$1:E4569)*(E4570=E$1:E4569)))))</f>
        <v/>
      </c>
      <c r="L4570" s="31"/>
    </row>
    <row r="4571" customFormat="false" ht="15" hidden="false" customHeight="false" outlineLevel="0" collapsed="false">
      <c r="A4571" s="20" t="s">
        <v>1584</v>
      </c>
      <c r="B4571" s="22" t="s">
        <v>1197</v>
      </c>
      <c r="C4571" s="22" t="s">
        <v>1082</v>
      </c>
      <c r="D4571" s="22" t="s">
        <v>1060</v>
      </c>
      <c r="E4571" s="23" t="str">
        <f aca="false">IF(D4571="?OLD","!!!","")</f>
        <v>!!!</v>
      </c>
      <c r="F4571" s="25" t="str">
        <f aca="false">IF(OR(E4571="",E4571="!!!"),"",IF(NOT(ISNA(VLOOKUP(E4571,E$1:E4570,1,FALSE()))),"OLD",IF(AND(E4571&lt;&gt;"",E4571&lt;&gt;"!!!"),"NEW","")))</f>
        <v/>
      </c>
      <c r="G4571" s="26" t="str">
        <f aca="false">IF(OR(E4571="",E4571="!!!"),"",IF(OR(J4571=0,AND(J4571=1,K4571=1),AND(J4571=1,I4571="SBJ"),AND(J4571=1,I4571=0)),"?IN_FOCUS",IF(J4571&lt;=2,"?ACTIVATED",IF(J4571&lt;&gt;"","?FAMILIAR",IF(F4571="NEW",IF(ISNA(VLOOKUP(E4571,#REF!,1,FALSE())),"?TYPE_IDENTIFIABLE","?REFERENTIAL"),"_")))))</f>
        <v/>
      </c>
      <c r="H4571" s="27" t="str">
        <f aca="false">IF(J4571&lt;&gt;1,"",IF(I4571="SBJ","CB","?"))</f>
        <v/>
      </c>
      <c r="I4571" s="24" t="str">
        <f aca="false">IF(OR(E4571="",E4571="!!!",F4571="NEW"),"",INDEX(B23:B$4549,-1+SUMPRODUCT(MAX(ROW(E23:E$4549)*(E4571=E23:E$4549)))))</f>
        <v/>
      </c>
      <c r="J4571" s="24" t="str">
        <f aca="true">IF(OR(E4571="",E4571="!!!",F4571="NEW"),"",COUNTBLANK(OFFSET(A$1,,,SUMPRODUCT(MAX(ROW(E$2:E4571)*(E4571=E$2:E4571)))))-COUNTBLANK(OFFSET(A$1,,,SUMPRODUCT(MAX(ROW(E$1:E4570)*(E2=E$1:E4570))))))</f>
        <v/>
      </c>
      <c r="K4571" s="24" t="str">
        <f aca="false">IF(OR(E4571="",E4571="!!!",F4571="NEW"),"",INDEX(J$1:J4570,SUMPRODUCT(MAX(ROW(E$1:E4570)*(E4571=E$1:E4570)))))</f>
        <v/>
      </c>
      <c r="L4571" s="31"/>
    </row>
    <row r="4572" customFormat="false" ht="15" hidden="false" customHeight="false" outlineLevel="0" collapsed="false">
      <c r="A4572" s="20" t="s">
        <v>2005</v>
      </c>
      <c r="E4572" s="23" t="str">
        <f aca="false">IF(D4572="?OLD","!!!","")</f>
        <v/>
      </c>
      <c r="F4572" s="25" t="str">
        <f aca="false">IF(OR(E4572="",E4572="!!!"),"",IF(NOT(ISNA(VLOOKUP(E4572,E$1:E4571,1,FALSE()))),"OLD",IF(AND(E4572&lt;&gt;"",E4572&lt;&gt;"!!!"),"NEW","")))</f>
        <v/>
      </c>
      <c r="G4572" s="26" t="str">
        <f aca="false">IF(OR(E4572="",E4572="!!!"),"",IF(OR(J4572=0,AND(J4572=1,K4572=1),AND(J4572=1,I4572="SBJ"),AND(J4572=1,I4572=0)),"?IN_FOCUS",IF(J4572&lt;=2,"?ACTIVATED",IF(J4572&lt;&gt;"","?FAMILIAR",IF(F4572="NEW",IF(ISNA(VLOOKUP(E4572,#REF!,1,FALSE())),"?TYPE_IDENTIFIABLE","?REFERENTIAL"),"_")))))</f>
        <v/>
      </c>
      <c r="H4572" s="27" t="str">
        <f aca="false">IF(J4572&lt;&gt;1,"",IF(I4572="SBJ","CB","?"))</f>
        <v/>
      </c>
      <c r="I4572" s="24" t="str">
        <f aca="false">IF(OR(E4572="",E4572="!!!",F4572="NEW"),"",INDEX(B24:B$4549,-1+SUMPRODUCT(MAX(ROW(E24:E$4549)*(E4572=E24:E$4549)))))</f>
        <v/>
      </c>
      <c r="J4572" s="24" t="str">
        <f aca="true">IF(OR(E4572="",E4572="!!!",F4572="NEW"),"",COUNTBLANK(OFFSET(A$1,,,SUMPRODUCT(MAX(ROW(E$2:E4572)*(E4572=E$2:E4572)))))-COUNTBLANK(OFFSET(A$1,,,SUMPRODUCT(MAX(ROW(E$1:E4571)*(E2=E$1:E4571))))))</f>
        <v/>
      </c>
      <c r="K4572" s="24" t="str">
        <f aca="false">IF(OR(E4572="",E4572="!!!",F4572="NEW"),"",INDEX(J$1:J4571,SUMPRODUCT(MAX(ROW(E$1:E4571)*(E4572=E$1:E4571)))))</f>
        <v/>
      </c>
      <c r="L4572" s="31"/>
    </row>
    <row r="4573" customFormat="false" ht="15" hidden="false" customHeight="false" outlineLevel="0" collapsed="false">
      <c r="A4573" s="20" t="s">
        <v>1179</v>
      </c>
      <c r="B4573" s="22" t="s">
        <v>1102</v>
      </c>
      <c r="C4573" s="22" t="s">
        <v>1082</v>
      </c>
      <c r="D4573" s="22" t="s">
        <v>1060</v>
      </c>
      <c r="E4573" s="23" t="str">
        <f aca="false">IF(D4573="?OLD","!!!","")</f>
        <v>!!!</v>
      </c>
      <c r="F4573" s="25" t="str">
        <f aca="false">IF(OR(E4573="",E4573="!!!"),"",IF(NOT(ISNA(VLOOKUP(E4573,E$1:E4572,1,FALSE()))),"OLD",IF(AND(E4573&lt;&gt;"",E4573&lt;&gt;"!!!"),"NEW","")))</f>
        <v/>
      </c>
      <c r="G4573" s="26" t="str">
        <f aca="false">IF(OR(E4573="",E4573="!!!"),"",IF(OR(J4573=0,AND(J4573=1,K4573=1),AND(J4573=1,I4573="SBJ"),AND(J4573=1,I4573=0)),"?IN_FOCUS",IF(J4573&lt;=2,"?ACTIVATED",IF(J4573&lt;&gt;"","?FAMILIAR",IF(F4573="NEW",IF(ISNA(VLOOKUP(E4573,#REF!,1,FALSE())),"?TYPE_IDENTIFIABLE","?REFERENTIAL"),"_")))))</f>
        <v/>
      </c>
      <c r="H4573" s="27" t="str">
        <f aca="false">IF(J4573&lt;&gt;1,"",IF(I4573="SBJ","CB","?"))</f>
        <v/>
      </c>
      <c r="I4573" s="24" t="str">
        <f aca="false">IF(OR(E4573="",E4573="!!!",F4573="NEW"),"",INDEX(B25:B$4549,-1+SUMPRODUCT(MAX(ROW(E25:E$4549)*(E4573=E25:E$4549)))))</f>
        <v/>
      </c>
      <c r="J4573" s="24" t="str">
        <f aca="true">IF(OR(E4573="",E4573="!!!",F4573="NEW"),"",COUNTBLANK(OFFSET(A$1,,,SUMPRODUCT(MAX(ROW(E$2:E4573)*(E4573=E$2:E4573)))))-COUNTBLANK(OFFSET(A$1,,,SUMPRODUCT(MAX(ROW(E$1:E4572)*(E2=E$1:E4572))))))</f>
        <v/>
      </c>
      <c r="K4573" s="24" t="str">
        <f aca="false">IF(OR(E4573="",E4573="!!!",F4573="NEW"),"",INDEX(J$1:J4572,SUMPRODUCT(MAX(ROW(E$1:E4572)*(E4573=E$1:E4572)))))</f>
        <v/>
      </c>
      <c r="L4573" s="31"/>
    </row>
    <row r="4574" customFormat="false" ht="15" hidden="false" customHeight="false" outlineLevel="0" collapsed="false">
      <c r="A4574" s="20" t="s">
        <v>1224</v>
      </c>
      <c r="E4574" s="23" t="str">
        <f aca="false">IF(D4574="?OLD","!!!","")</f>
        <v/>
      </c>
      <c r="F4574" s="25" t="str">
        <f aca="false">IF(OR(E4574="",E4574="!!!"),"",IF(NOT(ISNA(VLOOKUP(E4574,E$1:E4573,1,FALSE()))),"OLD",IF(AND(E4574&lt;&gt;"",E4574&lt;&gt;"!!!"),"NEW","")))</f>
        <v/>
      </c>
      <c r="G4574" s="26" t="str">
        <f aca="false">IF(OR(E4574="",E4574="!!!"),"",IF(OR(J4574=0,AND(J4574=1,K4574=1),AND(J4574=1,I4574="SBJ"),AND(J4574=1,I4574=0)),"?IN_FOCUS",IF(J4574&lt;=2,"?ACTIVATED",IF(J4574&lt;&gt;"","?FAMILIAR",IF(F4574="NEW",IF(ISNA(VLOOKUP(E4574,#REF!,1,FALSE())),"?TYPE_IDENTIFIABLE","?REFERENTIAL"),"_")))))</f>
        <v/>
      </c>
      <c r="H4574" s="27" t="str">
        <f aca="false">IF(J4574&lt;&gt;1,"",IF(I4574="SBJ","CB","?"))</f>
        <v/>
      </c>
      <c r="I4574" s="24" t="str">
        <f aca="false">IF(OR(E4574="",E4574="!!!",F4574="NEW"),"",INDEX(B26:B$4549,-1+SUMPRODUCT(MAX(ROW(E26:E$4549)*(E4574=E26:E$4549)))))</f>
        <v/>
      </c>
      <c r="J4574" s="24" t="str">
        <f aca="true">IF(OR(E4574="",E4574="!!!",F4574="NEW"),"",COUNTBLANK(OFFSET(A$1,,,SUMPRODUCT(MAX(ROW(E$2:E4574)*(E4574=E$2:E4574)))))-COUNTBLANK(OFFSET(A$1,,,SUMPRODUCT(MAX(ROW(E$1:E4573)*(E2=E$1:E4573))))))</f>
        <v/>
      </c>
      <c r="K4574" s="24" t="str">
        <f aca="false">IF(OR(E4574="",E4574="!!!",F4574="NEW"),"",INDEX(J$1:J4573,SUMPRODUCT(MAX(ROW(E$1:E4573)*(E4574=E$1:E4573)))))</f>
        <v/>
      </c>
      <c r="L4574" s="31"/>
    </row>
    <row r="4575" customFormat="false" ht="15" hidden="false" customHeight="false" outlineLevel="0" collapsed="false">
      <c r="A4575" s="20" t="s">
        <v>2232</v>
      </c>
      <c r="B4575" s="22" t="s">
        <v>1112</v>
      </c>
      <c r="C4575" s="22" t="s">
        <v>1099</v>
      </c>
      <c r="D4575" s="22" t="s">
        <v>1060</v>
      </c>
      <c r="E4575" s="23" t="str">
        <f aca="false">IF(D4575="?OLD","!!!","")</f>
        <v>!!!</v>
      </c>
      <c r="F4575" s="25" t="str">
        <f aca="false">IF(OR(E4575="",E4575="!!!"),"",IF(NOT(ISNA(VLOOKUP(E4575,E$1:E4574,1,FALSE()))),"OLD",IF(AND(E4575&lt;&gt;"",E4575&lt;&gt;"!!!"),"NEW","")))</f>
        <v/>
      </c>
      <c r="G4575" s="26" t="str">
        <f aca="false">IF(OR(E4575="",E4575="!!!"),"",IF(OR(J4575=0,AND(J4575=1,K4575=1),AND(J4575=1,I4575="SBJ"),AND(J4575=1,I4575=0)),"?IN_FOCUS",IF(J4575&lt;=2,"?ACTIVATED",IF(J4575&lt;&gt;"","?FAMILIAR",IF(F4575="NEW",IF(ISNA(VLOOKUP(E4575,#REF!,1,FALSE())),"?TYPE_IDENTIFIABLE","?REFERENTIAL"),"_")))))</f>
        <v/>
      </c>
      <c r="H4575" s="27" t="str">
        <f aca="false">IF(J4575&lt;&gt;1,"",IF(I4575="SBJ","CB","?"))</f>
        <v/>
      </c>
      <c r="I4575" s="24" t="str">
        <f aca="false">IF(OR(E4575="",E4575="!!!",F4575="NEW"),"",INDEX(B27:B$4549,-1+SUMPRODUCT(MAX(ROW(E27:E$4549)*(E4575=E27:E$4549)))))</f>
        <v/>
      </c>
      <c r="J4575" s="24" t="str">
        <f aca="true">IF(OR(E4575="",E4575="!!!",F4575="NEW"),"",COUNTBLANK(OFFSET(A$1,,,SUMPRODUCT(MAX(ROW(E$2:E4575)*(E4575=E$2:E4575)))))-COUNTBLANK(OFFSET(A$1,,,SUMPRODUCT(MAX(ROW(E$1:E4574)*(E2=E$1:E4574))))))</f>
        <v/>
      </c>
      <c r="K4575" s="24" t="str">
        <f aca="false">IF(OR(E4575="",E4575="!!!",F4575="NEW"),"",INDEX(J$1:J4574,SUMPRODUCT(MAX(ROW(E$1:E4574)*(E4575=E$1:E4574)))))</f>
        <v/>
      </c>
      <c r="L4575" s="31"/>
    </row>
    <row r="4576" customFormat="false" ht="15" hidden="false" customHeight="false" outlineLevel="0" collapsed="false">
      <c r="A4576" s="20" t="s">
        <v>2263</v>
      </c>
      <c r="B4576" s="22" t="s">
        <v>1098</v>
      </c>
      <c r="C4576" s="22" t="s">
        <v>1059</v>
      </c>
      <c r="D4576" s="22" t="s">
        <v>1060</v>
      </c>
      <c r="E4576" s="23" t="str">
        <f aca="false">IF(D4576="?OLD","!!!","")</f>
        <v>!!!</v>
      </c>
      <c r="F4576" s="25" t="str">
        <f aca="false">IF(OR(E4576="",E4576="!!!"),"",IF(NOT(ISNA(VLOOKUP(E4576,E$1:E4575,1,FALSE()))),"OLD",IF(AND(E4576&lt;&gt;"",E4576&lt;&gt;"!!!"),"NEW","")))</f>
        <v/>
      </c>
      <c r="G4576" s="26" t="str">
        <f aca="false">IF(OR(E4576="",E4576="!!!"),"",IF(OR(J4576=0,AND(J4576=1,K4576=1),AND(J4576=1,I4576="SBJ"),AND(J4576=1,I4576=0)),"?IN_FOCUS",IF(J4576&lt;=2,"?ACTIVATED",IF(J4576&lt;&gt;"","?FAMILIAR",IF(F4576="NEW",IF(ISNA(VLOOKUP(E4576,#REF!,1,FALSE())),"?TYPE_IDENTIFIABLE","?REFERENTIAL"),"_")))))</f>
        <v/>
      </c>
      <c r="H4576" s="27" t="str">
        <f aca="false">IF(J4576&lt;&gt;1,"",IF(I4576="SBJ","CB","?"))</f>
        <v/>
      </c>
      <c r="I4576" s="24" t="str">
        <f aca="false">IF(OR(E4576="",E4576="!!!",F4576="NEW"),"",INDEX(B28:B$4549,-1+SUMPRODUCT(MAX(ROW(E28:E$4549)*(E4576=E28:E$4549)))))</f>
        <v/>
      </c>
      <c r="J4576" s="24" t="str">
        <f aca="true">IF(OR(E4576="",E4576="!!!",F4576="NEW"),"",COUNTBLANK(OFFSET(A$1,,,SUMPRODUCT(MAX(ROW(E$2:E4576)*(E4576=E$2:E4576)))))-COUNTBLANK(OFFSET(A$1,,,SUMPRODUCT(MAX(ROW(E$1:E4575)*(E2=E$1:E4575))))))</f>
        <v/>
      </c>
      <c r="K4576" s="24" t="str">
        <f aca="false">IF(OR(E4576="",E4576="!!!",F4576="NEW"),"",INDEX(J$1:J4575,SUMPRODUCT(MAX(ROW(E$1:E4575)*(E4576=E$1:E4575)))))</f>
        <v/>
      </c>
      <c r="L4576" s="31"/>
    </row>
    <row r="4577" customFormat="false" ht="15" hidden="false" customHeight="false" outlineLevel="0" collapsed="false">
      <c r="A4577" s="20" t="s">
        <v>1071</v>
      </c>
      <c r="E4577" s="23" t="str">
        <f aca="false">IF(D4577="?OLD","!!!","")</f>
        <v/>
      </c>
      <c r="F4577" s="25" t="str">
        <f aca="false">IF(OR(E4577="",E4577="!!!"),"",IF(NOT(ISNA(VLOOKUP(E4577,E$1:E4576,1,FALSE()))),"OLD",IF(AND(E4577&lt;&gt;"",E4577&lt;&gt;"!!!"),"NEW","")))</f>
        <v/>
      </c>
      <c r="G4577" s="26" t="str">
        <f aca="false">IF(OR(E4577="",E4577="!!!"),"",IF(OR(J4577=0,AND(J4577=1,K4577=1),AND(J4577=1,I4577="SBJ"),AND(J4577=1,I4577=0)),"?IN_FOCUS",IF(J4577&lt;=2,"?ACTIVATED",IF(J4577&lt;&gt;"","?FAMILIAR",IF(F4577="NEW",IF(ISNA(VLOOKUP(E4577,#REF!,1,FALSE())),"?TYPE_IDENTIFIABLE","?REFERENTIAL"),"_")))))</f>
        <v/>
      </c>
      <c r="H4577" s="27" t="str">
        <f aca="false">IF(J4577&lt;&gt;1,"",IF(I4577="SBJ","CB","?"))</f>
        <v/>
      </c>
      <c r="I4577" s="24" t="str">
        <f aca="false">IF(OR(E4577="",E4577="!!!",F4577="NEW"),"",INDEX(B29:B$4549,-1+SUMPRODUCT(MAX(ROW(E29:E$4549)*(E4577=E29:E$4549)))))</f>
        <v/>
      </c>
      <c r="J4577" s="24" t="str">
        <f aca="true">IF(OR(E4577="",E4577="!!!",F4577="NEW"),"",COUNTBLANK(OFFSET(A$1,,,SUMPRODUCT(MAX(ROW(E$2:E4577)*(E4577=E$2:E4577)))))-COUNTBLANK(OFFSET(A$1,,,SUMPRODUCT(MAX(ROW(E$1:E4576)*(E2=E$1:E4576))))))</f>
        <v/>
      </c>
      <c r="K4577" s="24" t="str">
        <f aca="false">IF(OR(E4577="",E4577="!!!",F4577="NEW"),"",INDEX(J$1:J4576,SUMPRODUCT(MAX(ROW(E$1:E4576)*(E4577=E$1:E4576)))))</f>
        <v/>
      </c>
      <c r="L4577" s="31"/>
    </row>
    <row r="4578" customFormat="false" ht="15" hidden="false" customHeight="false" outlineLevel="0" collapsed="false">
      <c r="A4578" s="20" t="s">
        <v>1382</v>
      </c>
      <c r="B4578" s="22" t="s">
        <v>1107</v>
      </c>
      <c r="C4578" s="22" t="s">
        <v>1059</v>
      </c>
      <c r="D4578" s="22" t="s">
        <v>1060</v>
      </c>
      <c r="E4578" s="23" t="str">
        <f aca="false">IF(D4578="?OLD","!!!","")</f>
        <v>!!!</v>
      </c>
      <c r="F4578" s="25" t="str">
        <f aca="false">IF(OR(E4578="",E4578="!!!"),"",IF(NOT(ISNA(VLOOKUP(E4578,E$1:E4577,1,FALSE()))),"OLD",IF(AND(E4578&lt;&gt;"",E4578&lt;&gt;"!!!"),"NEW","")))</f>
        <v/>
      </c>
      <c r="G4578" s="26" t="str">
        <f aca="false">IF(OR(E4578="",E4578="!!!"),"",IF(OR(J4578=0,AND(J4578=1,K4578=1),AND(J4578=1,I4578="SBJ"),AND(J4578=1,I4578=0)),"?IN_FOCUS",IF(J4578&lt;=2,"?ACTIVATED",IF(J4578&lt;&gt;"","?FAMILIAR",IF(F4578="NEW",IF(ISNA(VLOOKUP(E4578,#REF!,1,FALSE())),"?TYPE_IDENTIFIABLE","?REFERENTIAL"),"_")))))</f>
        <v/>
      </c>
      <c r="H4578" s="27" t="str">
        <f aca="false">IF(J4578&lt;&gt;1,"",IF(I4578="SBJ","CB","?"))</f>
        <v/>
      </c>
      <c r="I4578" s="24" t="str">
        <f aca="false">IF(OR(E4578="",E4578="!!!",F4578="NEW"),"",INDEX(B30:B$4549,-1+SUMPRODUCT(MAX(ROW(E30:E$4549)*(E4578=E30:E$4549)))))</f>
        <v/>
      </c>
      <c r="J4578" s="24" t="str">
        <f aca="true">IF(OR(E4578="",E4578="!!!",F4578="NEW"),"",COUNTBLANK(OFFSET(A$1,,,SUMPRODUCT(MAX(ROW(E$2:E4578)*(E4578=E$2:E4578)))))-COUNTBLANK(OFFSET(A$1,,,SUMPRODUCT(MAX(ROW(E$1:E4577)*(E2=E$1:E4577))))))</f>
        <v/>
      </c>
      <c r="K4578" s="24" t="str">
        <f aca="false">IF(OR(E4578="",E4578="!!!",F4578="NEW"),"",INDEX(J$1:J4577,SUMPRODUCT(MAX(ROW(E$1:E4577)*(E4578=E$1:E4577)))))</f>
        <v/>
      </c>
      <c r="L4578" s="31"/>
    </row>
    <row r="4579" customFormat="false" ht="15" hidden="false" customHeight="false" outlineLevel="0" collapsed="false">
      <c r="A4579" s="20" t="s">
        <v>923</v>
      </c>
      <c r="E4579" s="23" t="str">
        <f aca="false">IF(D4579="?OLD","!!!","")</f>
        <v/>
      </c>
      <c r="F4579" s="25" t="str">
        <f aca="false">IF(OR(E4579="",E4579="!!!"),"",IF(NOT(ISNA(VLOOKUP(E4579,E$1:E4578,1,FALSE()))),"OLD",IF(AND(E4579&lt;&gt;"",E4579&lt;&gt;"!!!"),"NEW","")))</f>
        <v/>
      </c>
      <c r="G4579" s="26" t="str">
        <f aca="false">IF(OR(E4579="",E4579="!!!"),"",IF(OR(J4579=0,AND(J4579=1,K4579=1),AND(J4579=1,I4579="SBJ"),AND(J4579=1,I4579=0)),"?IN_FOCUS",IF(J4579&lt;=2,"?ACTIVATED",IF(J4579&lt;&gt;"","?FAMILIAR",IF(F4579="NEW",IF(ISNA(VLOOKUP(E4579,#REF!,1,FALSE())),"?TYPE_IDENTIFIABLE","?REFERENTIAL"),"_")))))</f>
        <v/>
      </c>
      <c r="H4579" s="27" t="str">
        <f aca="false">IF(J4579&lt;&gt;1,"",IF(I4579="SBJ","CB","?"))</f>
        <v/>
      </c>
      <c r="I4579" s="24" t="str">
        <f aca="false">IF(OR(E4579="",E4579="!!!",F4579="NEW"),"",INDEX(B31:B$4549,-1+SUMPRODUCT(MAX(ROW(E31:E$4549)*(E4579=E31:E$4549)))))</f>
        <v/>
      </c>
      <c r="J4579" s="24" t="str">
        <f aca="true">IF(OR(E4579="",E4579="!!!",F4579="NEW"),"",COUNTBLANK(OFFSET(A$1,,,SUMPRODUCT(MAX(ROW(E$2:E4579)*(E4579=E$2:E4579)))))-COUNTBLANK(OFFSET(A$1,,,SUMPRODUCT(MAX(ROW(E$1:E4578)*(E2=E$1:E4578))))))</f>
        <v/>
      </c>
      <c r="K4579" s="24" t="str">
        <f aca="false">IF(OR(E4579="",E4579="!!!",F4579="NEW"),"",INDEX(J$1:J4578,SUMPRODUCT(MAX(ROW(E$1:E4578)*(E4579=E$1:E4578)))))</f>
        <v/>
      </c>
      <c r="L4579" s="31"/>
    </row>
    <row r="4580" customFormat="false" ht="15" hidden="false" customHeight="false" outlineLevel="0" collapsed="false">
      <c r="A4580" s="20"/>
    </row>
    <row r="4581" customFormat="false" ht="15" hidden="false" customHeight="false" outlineLevel="0" collapsed="false">
      <c r="A4581" s="20" t="s">
        <v>2409</v>
      </c>
    </row>
    <row r="4582" customFormat="false" ht="15" hidden="false" customHeight="false" outlineLevel="0" collapsed="false">
      <c r="A4582" s="20" t="s">
        <v>1277</v>
      </c>
      <c r="B4582" s="22" t="s">
        <v>1058</v>
      </c>
      <c r="C4582" s="22" t="s">
        <v>1082</v>
      </c>
      <c r="D4582" s="22" t="s">
        <v>1060</v>
      </c>
      <c r="E4582" s="23" t="str">
        <f aca="false">IF(D4582="?OLD","!!!","")</f>
        <v>!!!</v>
      </c>
      <c r="F4582" s="25" t="str">
        <f aca="false">IF(OR(E4582="",E4582="!!!"),"",IF(NOT(ISNA(VLOOKUP(E4582,E$1:E4581,1,FALSE()))),"OLD",IF(AND(E4582&lt;&gt;"",E4582&lt;&gt;"!!!"),"NEW","")))</f>
        <v/>
      </c>
      <c r="G4582" s="26" t="str">
        <f aca="false">IF(OR(E4582="",E4582="!!!"),"",IF(OR(J4582=0,AND(J4582=1,K4582=1),AND(J4582=1,I4582="SBJ"),AND(J4582=1,I4582=0)),"?IN_FOCUS",IF(J4582&lt;=2,"?ACTIVATED",IF(J4582&lt;&gt;"","?FAMILIAR",IF(F4582="NEW",IF(ISNA(VLOOKUP(E4582,#REF!,1,FALSE())),"?TYPE_IDENTIFIABLE","?REFERENTIAL"),"_")))))</f>
        <v/>
      </c>
      <c r="H4582" s="27" t="str">
        <f aca="false">IF(J4582&lt;&gt;1,"",IF(I4582="SBJ","CB","?"))</f>
        <v/>
      </c>
      <c r="I4582" s="24" t="str">
        <f aca="false">IF(OR(E4582="",E4582="!!!",F4582="NEW"),"",INDEX(B2:B$4581,-1+SUMPRODUCT(MAX(ROW(E2:E$4581)*(E4582=E2:E$4581)))))</f>
        <v/>
      </c>
      <c r="J4582" s="24" t="str">
        <f aca="true">IF(OR(E4582="",E4582="!!!",F4582="NEW"),"",COUNTBLANK(OFFSET(A$1,,,SUMPRODUCT(MAX(ROW(E$2:E4582)*(E4582=E$2:E4582)))))-COUNTBLANK(OFFSET(A$1,,,SUMPRODUCT(MAX(ROW(E$1:E4581)*(E2=E$1:E4581))))))</f>
        <v/>
      </c>
      <c r="K4582" s="24" t="str">
        <f aca="false">IF(OR(E4582="",E4582="!!!",F4582="NEW"),"",INDEX(J$1:J4581,SUMPRODUCT(MAX(ROW(E$1:E4581)*(E4582=E$1:E4581)))))</f>
        <v/>
      </c>
      <c r="L4582" s="31"/>
    </row>
    <row r="4583" customFormat="false" ht="15" hidden="false" customHeight="false" outlineLevel="0" collapsed="false">
      <c r="A4583" s="20" t="s">
        <v>1519</v>
      </c>
      <c r="E4583" s="23" t="str">
        <f aca="false">IF(D4583="?OLD","!!!","")</f>
        <v/>
      </c>
      <c r="F4583" s="25" t="str">
        <f aca="false">IF(OR(E4583="",E4583="!!!"),"",IF(NOT(ISNA(VLOOKUP(E4583,E$1:E4582,1,FALSE()))),"OLD",IF(AND(E4583&lt;&gt;"",E4583&lt;&gt;"!!!"),"NEW","")))</f>
        <v/>
      </c>
      <c r="G4583" s="26" t="str">
        <f aca="false">IF(OR(E4583="",E4583="!!!"),"",IF(OR(J4583=0,AND(J4583=1,K4583=1),AND(J4583=1,I4583="SBJ"),AND(J4583=1,I4583=0)),"?IN_FOCUS",IF(J4583&lt;=2,"?ACTIVATED",IF(J4583&lt;&gt;"","?FAMILIAR",IF(F4583="NEW",IF(ISNA(VLOOKUP(E4583,#REF!,1,FALSE())),"?TYPE_IDENTIFIABLE","?REFERENTIAL"),"_")))))</f>
        <v/>
      </c>
      <c r="H4583" s="27" t="str">
        <f aca="false">IF(J4583&lt;&gt;1,"",IF(I4583="SBJ","CB","?"))</f>
        <v/>
      </c>
      <c r="I4583" s="24" t="str">
        <f aca="false">IF(OR(E4583="",E4583="!!!",F4583="NEW"),"",INDEX(B3:B$4581,-1+SUMPRODUCT(MAX(ROW(E3:E$4581)*(E4583=E3:E$4581)))))</f>
        <v/>
      </c>
      <c r="J4583" s="24" t="str">
        <f aca="true">IF(OR(E4583="",E4583="!!!",F4583="NEW"),"",COUNTBLANK(OFFSET(A$1,,,SUMPRODUCT(MAX(ROW(E$2:E4583)*(E4583=E$2:E4583)))))-COUNTBLANK(OFFSET(A$1,,,SUMPRODUCT(MAX(ROW(E$1:E4582)*(E2=E$1:E4582))))))</f>
        <v/>
      </c>
      <c r="K4583" s="24" t="str">
        <f aca="false">IF(OR(E4583="",E4583="!!!",F4583="NEW"),"",INDEX(J$1:J4582,SUMPRODUCT(MAX(ROW(E$1:E4582)*(E4583=E$1:E4582)))))</f>
        <v/>
      </c>
      <c r="L4583" s="31"/>
    </row>
    <row r="4584" customFormat="false" ht="15" hidden="false" customHeight="false" outlineLevel="0" collapsed="false">
      <c r="A4584" s="20" t="s">
        <v>2232</v>
      </c>
      <c r="B4584" s="22" t="s">
        <v>1081</v>
      </c>
      <c r="C4584" s="22" t="s">
        <v>1082</v>
      </c>
      <c r="D4584" s="22" t="s">
        <v>1060</v>
      </c>
      <c r="E4584" s="23" t="str">
        <f aca="false">IF(D4584="?OLD","!!!","")</f>
        <v>!!!</v>
      </c>
      <c r="F4584" s="25" t="str">
        <f aca="false">IF(OR(E4584="",E4584="!!!"),"",IF(NOT(ISNA(VLOOKUP(E4584,E$1:E4583,1,FALSE()))),"OLD",IF(AND(E4584&lt;&gt;"",E4584&lt;&gt;"!!!"),"NEW","")))</f>
        <v/>
      </c>
      <c r="G4584" s="26" t="str">
        <f aca="false">IF(OR(E4584="",E4584="!!!"),"",IF(OR(J4584=0,AND(J4584=1,K4584=1),AND(J4584=1,I4584="SBJ"),AND(J4584=1,I4584=0)),"?IN_FOCUS",IF(J4584&lt;=2,"?ACTIVATED",IF(J4584&lt;&gt;"","?FAMILIAR",IF(F4584="NEW",IF(ISNA(VLOOKUP(E4584,#REF!,1,FALSE())),"?TYPE_IDENTIFIABLE","?REFERENTIAL"),"_")))))</f>
        <v/>
      </c>
      <c r="H4584" s="27" t="str">
        <f aca="false">IF(J4584&lt;&gt;1,"",IF(I4584="SBJ","CB","?"))</f>
        <v/>
      </c>
      <c r="I4584" s="24" t="str">
        <f aca="false">IF(OR(E4584="",E4584="!!!",F4584="NEW"),"",INDEX(B4:B$4581,-1+SUMPRODUCT(MAX(ROW(E4:E$4581)*(E4584=E4:E$4581)))))</f>
        <v/>
      </c>
      <c r="J4584" s="24" t="str">
        <f aca="true">IF(OR(E4584="",E4584="!!!",F4584="NEW"),"",COUNTBLANK(OFFSET(A$1,,,SUMPRODUCT(MAX(ROW(E$2:E4584)*(E4584=E$2:E4584)))))-COUNTBLANK(OFFSET(A$1,,,SUMPRODUCT(MAX(ROW(E$1:E4583)*(E2=E$1:E4583))))))</f>
        <v/>
      </c>
      <c r="K4584" s="24" t="str">
        <f aca="false">IF(OR(E4584="",E4584="!!!",F4584="NEW"),"",INDEX(J$1:J4583,SUMPRODUCT(MAX(ROW(E$1:E4583)*(E4584=E$1:E4583)))))</f>
        <v/>
      </c>
      <c r="L4584" s="31"/>
    </row>
    <row r="4585" customFormat="false" ht="15" hidden="false" customHeight="false" outlineLevel="0" collapsed="false">
      <c r="A4585" s="20" t="s">
        <v>1702</v>
      </c>
      <c r="E4585" s="23" t="str">
        <f aca="false">IF(D4585="?OLD","!!!","")</f>
        <v/>
      </c>
      <c r="F4585" s="25" t="str">
        <f aca="false">IF(OR(E4585="",E4585="!!!"),"",IF(NOT(ISNA(VLOOKUP(E4585,E$1:E4584,1,FALSE()))),"OLD",IF(AND(E4585&lt;&gt;"",E4585&lt;&gt;"!!!"),"NEW","")))</f>
        <v/>
      </c>
      <c r="G4585" s="26" t="str">
        <f aca="false">IF(OR(E4585="",E4585="!!!"),"",IF(OR(J4585=0,AND(J4585=1,K4585=1),AND(J4585=1,I4585="SBJ"),AND(J4585=1,I4585=0)),"?IN_FOCUS",IF(J4585&lt;=2,"?ACTIVATED",IF(J4585&lt;&gt;"","?FAMILIAR",IF(F4585="NEW",IF(ISNA(VLOOKUP(E4585,#REF!,1,FALSE())),"?TYPE_IDENTIFIABLE","?REFERENTIAL"),"_")))))</f>
        <v/>
      </c>
      <c r="H4585" s="27" t="str">
        <f aca="false">IF(J4585&lt;&gt;1,"",IF(I4585="SBJ","CB","?"))</f>
        <v/>
      </c>
      <c r="I4585" s="24" t="str">
        <f aca="false">IF(OR(E4585="",E4585="!!!",F4585="NEW"),"",INDEX(B5:B$4581,-1+SUMPRODUCT(MAX(ROW(E5:E$4581)*(E4585=E5:E$4581)))))</f>
        <v/>
      </c>
      <c r="J4585" s="24" t="str">
        <f aca="true">IF(OR(E4585="",E4585="!!!",F4585="NEW"),"",COUNTBLANK(OFFSET(A$1,,,SUMPRODUCT(MAX(ROW(E$2:E4585)*(E4585=E$2:E4585)))))-COUNTBLANK(OFFSET(A$1,,,SUMPRODUCT(MAX(ROW(E$1:E4584)*(E2=E$1:E4584))))))</f>
        <v/>
      </c>
      <c r="K4585" s="24" t="str">
        <f aca="false">IF(OR(E4585="",E4585="!!!",F4585="NEW"),"",INDEX(J$1:J4584,SUMPRODUCT(MAX(ROW(E$1:E4584)*(E4585=E$1:E4584)))))</f>
        <v/>
      </c>
      <c r="L4585" s="31"/>
    </row>
    <row r="4586" customFormat="false" ht="15" hidden="false" customHeight="false" outlineLevel="0" collapsed="false">
      <c r="A4586" s="20" t="s">
        <v>1218</v>
      </c>
      <c r="E4586" s="23" t="str">
        <f aca="false">IF(D4586="?OLD","!!!","")</f>
        <v/>
      </c>
      <c r="F4586" s="25" t="str">
        <f aca="false">IF(OR(E4586="",E4586="!!!"),"",IF(NOT(ISNA(VLOOKUP(E4586,E$1:E4585,1,FALSE()))),"OLD",IF(AND(E4586&lt;&gt;"",E4586&lt;&gt;"!!!"),"NEW","")))</f>
        <v/>
      </c>
      <c r="G4586" s="26" t="str">
        <f aca="false">IF(OR(E4586="",E4586="!!!"),"",IF(OR(J4586=0,AND(J4586=1,K4586=1),AND(J4586=1,I4586="SBJ"),AND(J4586=1,I4586=0)),"?IN_FOCUS",IF(J4586&lt;=2,"?ACTIVATED",IF(J4586&lt;&gt;"","?FAMILIAR",IF(F4586="NEW",IF(ISNA(VLOOKUP(E4586,#REF!,1,FALSE())),"?TYPE_IDENTIFIABLE","?REFERENTIAL"),"_")))))</f>
        <v/>
      </c>
      <c r="H4586" s="27" t="str">
        <f aca="false">IF(J4586&lt;&gt;1,"",IF(I4586="SBJ","CB","?"))</f>
        <v/>
      </c>
      <c r="I4586" s="24" t="str">
        <f aca="false">IF(OR(E4586="",E4586="!!!",F4586="NEW"),"",INDEX(B6:B$4581,-1+SUMPRODUCT(MAX(ROW(E6:E$4581)*(E4586=E6:E$4581)))))</f>
        <v/>
      </c>
      <c r="J4586" s="24" t="str">
        <f aca="true">IF(OR(E4586="",E4586="!!!",F4586="NEW"),"",COUNTBLANK(OFFSET(A$1,,,SUMPRODUCT(MAX(ROW(E$2:E4586)*(E4586=E$2:E4586)))))-COUNTBLANK(OFFSET(A$1,,,SUMPRODUCT(MAX(ROW(E$1:E4585)*(E2=E$1:E4585))))))</f>
        <v/>
      </c>
      <c r="K4586" s="24" t="str">
        <f aca="false">IF(OR(E4586="",E4586="!!!",F4586="NEW"),"",INDEX(J$1:J4585,SUMPRODUCT(MAX(ROW(E$1:E4585)*(E4586=E$1:E4585)))))</f>
        <v/>
      </c>
      <c r="L4586" s="31"/>
    </row>
    <row r="4587" customFormat="false" ht="15" hidden="false" customHeight="false" outlineLevel="0" collapsed="false">
      <c r="A4587" s="20" t="s">
        <v>1109</v>
      </c>
      <c r="E4587" s="23" t="str">
        <f aca="false">IF(D4587="?OLD","!!!","")</f>
        <v/>
      </c>
      <c r="F4587" s="25" t="str">
        <f aca="false">IF(OR(E4587="",E4587="!!!"),"",IF(NOT(ISNA(VLOOKUP(E4587,E$1:E4586,1,FALSE()))),"OLD",IF(AND(E4587&lt;&gt;"",E4587&lt;&gt;"!!!"),"NEW","")))</f>
        <v/>
      </c>
      <c r="G4587" s="26" t="str">
        <f aca="false">IF(OR(E4587="",E4587="!!!"),"",IF(OR(J4587=0,AND(J4587=1,K4587=1),AND(J4587=1,I4587="SBJ"),AND(J4587=1,I4587=0)),"?IN_FOCUS",IF(J4587&lt;=2,"?ACTIVATED",IF(J4587&lt;&gt;"","?FAMILIAR",IF(F4587="NEW",IF(ISNA(VLOOKUP(E4587,#REF!,1,FALSE())),"?TYPE_IDENTIFIABLE","?REFERENTIAL"),"_")))))</f>
        <v/>
      </c>
      <c r="H4587" s="27" t="str">
        <f aca="false">IF(J4587&lt;&gt;1,"",IF(I4587="SBJ","CB","?"))</f>
        <v/>
      </c>
      <c r="I4587" s="24" t="str">
        <f aca="false">IF(OR(E4587="",E4587="!!!",F4587="NEW"),"",INDEX(B7:B$4581,-1+SUMPRODUCT(MAX(ROW(E7:E$4581)*(E4587=E7:E$4581)))))</f>
        <v/>
      </c>
      <c r="J4587" s="24" t="str">
        <f aca="true">IF(OR(E4587="",E4587="!!!",F4587="NEW"),"",COUNTBLANK(OFFSET(A$1,,,SUMPRODUCT(MAX(ROW(E$2:E4587)*(E4587=E$2:E4587)))))-COUNTBLANK(OFFSET(A$1,,,SUMPRODUCT(MAX(ROW(E$1:E4586)*(E2=E$1:E4586))))))</f>
        <v/>
      </c>
      <c r="K4587" s="24" t="str">
        <f aca="false">IF(OR(E4587="",E4587="!!!",F4587="NEW"),"",INDEX(J$1:J4586,SUMPRODUCT(MAX(ROW(E$1:E4586)*(E4587=E$1:E4586)))))</f>
        <v/>
      </c>
      <c r="L4587" s="31"/>
    </row>
    <row r="4588" customFormat="false" ht="15" hidden="false" customHeight="false" outlineLevel="0" collapsed="false">
      <c r="A4588" s="20" t="s">
        <v>1693</v>
      </c>
      <c r="E4588" s="23" t="str">
        <f aca="false">IF(D4588="?OLD","!!!","")</f>
        <v/>
      </c>
      <c r="F4588" s="25" t="str">
        <f aca="false">IF(OR(E4588="",E4588="!!!"),"",IF(NOT(ISNA(VLOOKUP(E4588,E$1:E4587,1,FALSE()))),"OLD",IF(AND(E4588&lt;&gt;"",E4588&lt;&gt;"!!!"),"NEW","")))</f>
        <v/>
      </c>
      <c r="G4588" s="26" t="str">
        <f aca="false">IF(OR(E4588="",E4588="!!!"),"",IF(OR(J4588=0,AND(J4588=1,K4588=1),AND(J4588=1,I4588="SBJ"),AND(J4588=1,I4588=0)),"?IN_FOCUS",IF(J4588&lt;=2,"?ACTIVATED",IF(J4588&lt;&gt;"","?FAMILIAR",IF(F4588="NEW",IF(ISNA(VLOOKUP(E4588,#REF!,1,FALSE())),"?TYPE_IDENTIFIABLE","?REFERENTIAL"),"_")))))</f>
        <v/>
      </c>
      <c r="H4588" s="27" t="str">
        <f aca="false">IF(J4588&lt;&gt;1,"",IF(I4588="SBJ","CB","?"))</f>
        <v/>
      </c>
      <c r="I4588" s="24" t="str">
        <f aca="false">IF(OR(E4588="",E4588="!!!",F4588="NEW"),"",INDEX(B8:B$4581,-1+SUMPRODUCT(MAX(ROW(E8:E$4581)*(E4588=E8:E$4581)))))</f>
        <v/>
      </c>
      <c r="J4588" s="24" t="str">
        <f aca="true">IF(OR(E4588="",E4588="!!!",F4588="NEW"),"",COUNTBLANK(OFFSET(A$1,,,SUMPRODUCT(MAX(ROW(E$2:E4588)*(E4588=E$2:E4588)))))-COUNTBLANK(OFFSET(A$1,,,SUMPRODUCT(MAX(ROW(E$1:E4587)*(E2=E$1:E4587))))))</f>
        <v/>
      </c>
      <c r="K4588" s="24" t="str">
        <f aca="false">IF(OR(E4588="",E4588="!!!",F4588="NEW"),"",INDEX(J$1:J4587,SUMPRODUCT(MAX(ROW(E$1:E4587)*(E4588=E$1:E4587)))))</f>
        <v/>
      </c>
      <c r="L4588" s="31"/>
    </row>
    <row r="4589" customFormat="false" ht="15" hidden="false" customHeight="false" outlineLevel="0" collapsed="false">
      <c r="A4589" s="20" t="s">
        <v>2410</v>
      </c>
      <c r="B4589" s="22" t="s">
        <v>1073</v>
      </c>
      <c r="C4589" s="22" t="s">
        <v>1150</v>
      </c>
      <c r="D4589" s="22" t="s">
        <v>1060</v>
      </c>
      <c r="E4589" s="23" t="str">
        <f aca="false">IF(D4589="?OLD","!!!","")</f>
        <v>!!!</v>
      </c>
      <c r="F4589" s="25" t="str">
        <f aca="false">IF(OR(E4589="",E4589="!!!"),"",IF(NOT(ISNA(VLOOKUP(E4589,E$1:E4588,1,FALSE()))),"OLD",IF(AND(E4589&lt;&gt;"",E4589&lt;&gt;"!!!"),"NEW","")))</f>
        <v/>
      </c>
      <c r="G4589" s="26" t="str">
        <f aca="false">IF(OR(E4589="",E4589="!!!"),"",IF(OR(J4589=0,AND(J4589=1,K4589=1),AND(J4589=1,I4589="SBJ"),AND(J4589=1,I4589=0)),"?IN_FOCUS",IF(J4589&lt;=2,"?ACTIVATED",IF(J4589&lt;&gt;"","?FAMILIAR",IF(F4589="NEW",IF(ISNA(VLOOKUP(E4589,#REF!,1,FALSE())),"?TYPE_IDENTIFIABLE","?REFERENTIAL"),"_")))))</f>
        <v/>
      </c>
      <c r="H4589" s="27" t="str">
        <f aca="false">IF(J4589&lt;&gt;1,"",IF(I4589="SBJ","CB","?"))</f>
        <v/>
      </c>
      <c r="I4589" s="24" t="str">
        <f aca="false">IF(OR(E4589="",E4589="!!!",F4589="NEW"),"",INDEX(B9:B$4581,-1+SUMPRODUCT(MAX(ROW(E9:E$4581)*(E4589=E9:E$4581)))))</f>
        <v/>
      </c>
      <c r="J4589" s="24" t="str">
        <f aca="true">IF(OR(E4589="",E4589="!!!",F4589="NEW"),"",COUNTBLANK(OFFSET(A$1,,,SUMPRODUCT(MAX(ROW(E$2:E4589)*(E4589=E$2:E4589)))))-COUNTBLANK(OFFSET(A$1,,,SUMPRODUCT(MAX(ROW(E$1:E4588)*(E2=E$1:E4588))))))</f>
        <v/>
      </c>
      <c r="K4589" s="24" t="str">
        <f aca="false">IF(OR(E4589="",E4589="!!!",F4589="NEW"),"",INDEX(J$1:J4588,SUMPRODUCT(MAX(ROW(E$1:E4588)*(E4589=E$1:E4588)))))</f>
        <v/>
      </c>
      <c r="L4589" s="31"/>
    </row>
    <row r="4590" customFormat="false" ht="15" hidden="false" customHeight="false" outlineLevel="0" collapsed="false">
      <c r="A4590" s="20" t="s">
        <v>1064</v>
      </c>
      <c r="E4590" s="23" t="str">
        <f aca="false">IF(D4590="?OLD","!!!","")</f>
        <v/>
      </c>
      <c r="F4590" s="25" t="str">
        <f aca="false">IF(OR(E4590="",E4590="!!!"),"",IF(NOT(ISNA(VLOOKUP(E4590,E$1:E4589,1,FALSE()))),"OLD",IF(AND(E4590&lt;&gt;"",E4590&lt;&gt;"!!!"),"NEW","")))</f>
        <v/>
      </c>
      <c r="G4590" s="26" t="str">
        <f aca="false">IF(OR(E4590="",E4590="!!!"),"",IF(OR(J4590=0,AND(J4590=1,K4590=1),AND(J4590=1,I4590="SBJ"),AND(J4590=1,I4590=0)),"?IN_FOCUS",IF(J4590&lt;=2,"?ACTIVATED",IF(J4590&lt;&gt;"","?FAMILIAR",IF(F4590="NEW",IF(ISNA(VLOOKUP(E4590,#REF!,1,FALSE())),"?TYPE_IDENTIFIABLE","?REFERENTIAL"),"_")))))</f>
        <v/>
      </c>
      <c r="H4590" s="27" t="str">
        <f aca="false">IF(J4590&lt;&gt;1,"",IF(I4590="SBJ","CB","?"))</f>
        <v/>
      </c>
      <c r="I4590" s="24" t="str">
        <f aca="false">IF(OR(E4590="",E4590="!!!",F4590="NEW"),"",INDEX(B10:B$4581,-1+SUMPRODUCT(MAX(ROW(E10:E$4581)*(E4590=E10:E$4581)))))</f>
        <v/>
      </c>
      <c r="J4590" s="24" t="str">
        <f aca="true">IF(OR(E4590="",E4590="!!!",F4590="NEW"),"",COUNTBLANK(OFFSET(A$1,,,SUMPRODUCT(MAX(ROW(E$2:E4590)*(E4590=E$2:E4590)))))-COUNTBLANK(OFFSET(A$1,,,SUMPRODUCT(MAX(ROW(E$1:E4589)*(E2=E$1:E4589))))))</f>
        <v/>
      </c>
      <c r="K4590" s="24" t="str">
        <f aca="false">IF(OR(E4590="",E4590="!!!",F4590="NEW"),"",INDEX(J$1:J4589,SUMPRODUCT(MAX(ROW(E$1:E4589)*(E4590=E$1:E4589)))))</f>
        <v/>
      </c>
      <c r="L4590" s="31"/>
    </row>
    <row r="4591" customFormat="false" ht="15" hidden="false" customHeight="false" outlineLevel="0" collapsed="false">
      <c r="A4591" s="20" t="s">
        <v>2411</v>
      </c>
      <c r="B4591" s="22" t="s">
        <v>1067</v>
      </c>
      <c r="C4591" s="22" t="s">
        <v>1160</v>
      </c>
      <c r="E4591" s="23" t="str">
        <f aca="false">IF(D4591="?OLD","!!!","")</f>
        <v/>
      </c>
      <c r="F4591" s="25" t="str">
        <f aca="false">IF(OR(E4591="",E4591="!!!"),"",IF(NOT(ISNA(VLOOKUP(E4591,E$1:E4590,1,FALSE()))),"OLD",IF(AND(E4591&lt;&gt;"",E4591&lt;&gt;"!!!"),"NEW","")))</f>
        <v/>
      </c>
      <c r="G4591" s="26" t="str">
        <f aca="false">IF(OR(E4591="",E4591="!!!"),"",IF(OR(J4591=0,AND(J4591=1,K4591=1),AND(J4591=1,I4591="SBJ"),AND(J4591=1,I4591=0)),"?IN_FOCUS",IF(J4591&lt;=2,"?ACTIVATED",IF(J4591&lt;&gt;"","?FAMILIAR",IF(F4591="NEW",IF(ISNA(VLOOKUP(E4591,#REF!,1,FALSE())),"?TYPE_IDENTIFIABLE","?REFERENTIAL"),"_")))))</f>
        <v/>
      </c>
      <c r="H4591" s="27" t="str">
        <f aca="false">IF(J4591&lt;&gt;1,"",IF(I4591="SBJ","CB","?"))</f>
        <v/>
      </c>
      <c r="I4591" s="24" t="str">
        <f aca="false">IF(OR(E4591="",E4591="!!!",F4591="NEW"),"",INDEX(B11:B$4581,-1+SUMPRODUCT(MAX(ROW(E11:E$4581)*(E4591=E11:E$4581)))))</f>
        <v/>
      </c>
      <c r="J4591" s="24" t="str">
        <f aca="true">IF(OR(E4591="",E4591="!!!",F4591="NEW"),"",COUNTBLANK(OFFSET(A$1,,,SUMPRODUCT(MAX(ROW(E$2:E4591)*(E4591=E$2:E4591)))))-COUNTBLANK(OFFSET(A$1,,,SUMPRODUCT(MAX(ROW(E$1:E4590)*(E2=E$1:E4590))))))</f>
        <v/>
      </c>
      <c r="K4591" s="24" t="str">
        <f aca="false">IF(OR(E4591="",E4591="!!!",F4591="NEW"),"",INDEX(J$1:J4590,SUMPRODUCT(MAX(ROW(E$1:E4590)*(E4591=E$1:E4590)))))</f>
        <v/>
      </c>
      <c r="L4591" s="31"/>
    </row>
    <row r="4592" customFormat="false" ht="15" hidden="false" customHeight="false" outlineLevel="0" collapsed="false">
      <c r="A4592" s="20" t="s">
        <v>1076</v>
      </c>
      <c r="E4592" s="23" t="str">
        <f aca="false">IF(D4592="?OLD","!!!","")</f>
        <v/>
      </c>
      <c r="F4592" s="25" t="str">
        <f aca="false">IF(OR(E4592="",E4592="!!!"),"",IF(NOT(ISNA(VLOOKUP(E4592,E$1:E4591,1,FALSE()))),"OLD",IF(AND(E4592&lt;&gt;"",E4592&lt;&gt;"!!!"),"NEW","")))</f>
        <v/>
      </c>
      <c r="G4592" s="26" t="str">
        <f aca="false">IF(OR(E4592="",E4592="!!!"),"",IF(OR(J4592=0,AND(J4592=1,K4592=1),AND(J4592=1,I4592="SBJ"),AND(J4592=1,I4592=0)),"?IN_FOCUS",IF(J4592&lt;=2,"?ACTIVATED",IF(J4592&lt;&gt;"","?FAMILIAR",IF(F4592="NEW",IF(ISNA(VLOOKUP(E4592,#REF!,1,FALSE())),"?TYPE_IDENTIFIABLE","?REFERENTIAL"),"_")))))</f>
        <v/>
      </c>
      <c r="H4592" s="27" t="str">
        <f aca="false">IF(J4592&lt;&gt;1,"",IF(I4592="SBJ","CB","?"))</f>
        <v/>
      </c>
      <c r="I4592" s="24" t="str">
        <f aca="false">IF(OR(E4592="",E4592="!!!",F4592="NEW"),"",INDEX(B12:B$4581,-1+SUMPRODUCT(MAX(ROW(E12:E$4581)*(E4592=E12:E$4581)))))</f>
        <v/>
      </c>
      <c r="J4592" s="24" t="str">
        <f aca="true">IF(OR(E4592="",E4592="!!!",F4592="NEW"),"",COUNTBLANK(OFFSET(A$1,,,SUMPRODUCT(MAX(ROW(E$2:E4592)*(E4592=E$2:E4592)))))-COUNTBLANK(OFFSET(A$1,,,SUMPRODUCT(MAX(ROW(E$1:E4591)*(E2=E$1:E4591))))))</f>
        <v/>
      </c>
      <c r="K4592" s="24" t="str">
        <f aca="false">IF(OR(E4592="",E4592="!!!",F4592="NEW"),"",INDEX(J$1:J4591,SUMPRODUCT(MAX(ROW(E$1:E4591)*(E4592=E$1:E4591)))))</f>
        <v/>
      </c>
      <c r="L4592" s="31"/>
    </row>
    <row r="4593" customFormat="false" ht="15" hidden="false" customHeight="false" outlineLevel="0" collapsed="false">
      <c r="A4593" s="20" t="s">
        <v>2412</v>
      </c>
      <c r="E4593" s="23" t="str">
        <f aca="false">IF(D4593="?OLD","!!!","")</f>
        <v/>
      </c>
      <c r="F4593" s="25" t="str">
        <f aca="false">IF(OR(E4593="",E4593="!!!"),"",IF(NOT(ISNA(VLOOKUP(E4593,E$1:E4592,1,FALSE()))),"OLD",IF(AND(E4593&lt;&gt;"",E4593&lt;&gt;"!!!"),"NEW","")))</f>
        <v/>
      </c>
      <c r="G4593" s="26" t="str">
        <f aca="false">IF(OR(E4593="",E4593="!!!"),"",IF(OR(J4593=0,AND(J4593=1,K4593=1),AND(J4593=1,I4593="SBJ"),AND(J4593=1,I4593=0)),"?IN_FOCUS",IF(J4593&lt;=2,"?ACTIVATED",IF(J4593&lt;&gt;"","?FAMILIAR",IF(F4593="NEW",IF(ISNA(VLOOKUP(E4593,#REF!,1,FALSE())),"?TYPE_IDENTIFIABLE","?REFERENTIAL"),"_")))))</f>
        <v/>
      </c>
      <c r="H4593" s="27" t="str">
        <f aca="false">IF(J4593&lt;&gt;1,"",IF(I4593="SBJ","CB","?"))</f>
        <v/>
      </c>
      <c r="I4593" s="24" t="str">
        <f aca="false">IF(OR(E4593="",E4593="!!!",F4593="NEW"),"",INDEX(B13:B$4581,-1+SUMPRODUCT(MAX(ROW(E13:E$4581)*(E4593=E13:E$4581)))))</f>
        <v/>
      </c>
      <c r="J4593" s="24" t="str">
        <f aca="true">IF(OR(E4593="",E4593="!!!",F4593="NEW"),"",COUNTBLANK(OFFSET(A$1,,,SUMPRODUCT(MAX(ROW(E$2:E4593)*(E4593=E$2:E4593)))))-COUNTBLANK(OFFSET(A$1,,,SUMPRODUCT(MAX(ROW(E$1:E4592)*(E2=E$1:E4592))))))</f>
        <v/>
      </c>
      <c r="K4593" s="24" t="str">
        <f aca="false">IF(OR(E4593="",E4593="!!!",F4593="NEW"),"",INDEX(J$1:J4592,SUMPRODUCT(MAX(ROW(E$1:E4592)*(E4593=E$1:E4592)))))</f>
        <v/>
      </c>
      <c r="L4593" s="31"/>
    </row>
    <row r="4594" customFormat="false" ht="15" hidden="false" customHeight="false" outlineLevel="0" collapsed="false">
      <c r="A4594" s="20" t="s">
        <v>2413</v>
      </c>
      <c r="B4594" s="22" t="s">
        <v>1067</v>
      </c>
      <c r="C4594" s="22" t="s">
        <v>1160</v>
      </c>
      <c r="E4594" s="23" t="str">
        <f aca="false">IF(D4594="?OLD","!!!","")</f>
        <v/>
      </c>
      <c r="F4594" s="25" t="str">
        <f aca="false">IF(OR(E4594="",E4594="!!!"),"",IF(NOT(ISNA(VLOOKUP(E4594,E$1:E4593,1,FALSE()))),"OLD",IF(AND(E4594&lt;&gt;"",E4594&lt;&gt;"!!!"),"NEW","")))</f>
        <v/>
      </c>
      <c r="G4594" s="26" t="str">
        <f aca="false">IF(OR(E4594="",E4594="!!!"),"",IF(OR(J4594=0,AND(J4594=1,K4594=1),AND(J4594=1,I4594="SBJ"),AND(J4594=1,I4594=0)),"?IN_FOCUS",IF(J4594&lt;=2,"?ACTIVATED",IF(J4594&lt;&gt;"","?FAMILIAR",IF(F4594="NEW",IF(ISNA(VLOOKUP(E4594,#REF!,1,FALSE())),"?TYPE_IDENTIFIABLE","?REFERENTIAL"),"_")))))</f>
        <v/>
      </c>
      <c r="H4594" s="27" t="str">
        <f aca="false">IF(J4594&lt;&gt;1,"",IF(I4594="SBJ","CB","?"))</f>
        <v/>
      </c>
      <c r="I4594" s="24" t="str">
        <f aca="false">IF(OR(E4594="",E4594="!!!",F4594="NEW"),"",INDEX(B14:B$4581,-1+SUMPRODUCT(MAX(ROW(E14:E$4581)*(E4594=E14:E$4581)))))</f>
        <v/>
      </c>
      <c r="J4594" s="24" t="str">
        <f aca="true">IF(OR(E4594="",E4594="!!!",F4594="NEW"),"",COUNTBLANK(OFFSET(A$1,,,SUMPRODUCT(MAX(ROW(E$2:E4594)*(E4594=E$2:E4594)))))-COUNTBLANK(OFFSET(A$1,,,SUMPRODUCT(MAX(ROW(E$1:E4593)*(E2=E$1:E4593))))))</f>
        <v/>
      </c>
      <c r="K4594" s="24" t="str">
        <f aca="false">IF(OR(E4594="",E4594="!!!",F4594="NEW"),"",INDEX(J$1:J4593,SUMPRODUCT(MAX(ROW(E$1:E4593)*(E4594=E$1:E4593)))))</f>
        <v/>
      </c>
      <c r="L4594" s="31"/>
    </row>
    <row r="4595" customFormat="false" ht="15" hidden="false" customHeight="false" outlineLevel="0" collapsed="false">
      <c r="A4595" s="20" t="s">
        <v>1125</v>
      </c>
      <c r="B4595" s="22" t="s">
        <v>1359</v>
      </c>
      <c r="E4595" s="23" t="str">
        <f aca="false">IF(D4595="?OLD","!!!","")</f>
        <v/>
      </c>
      <c r="F4595" s="25" t="str">
        <f aca="false">IF(OR(E4595="",E4595="!!!"),"",IF(NOT(ISNA(VLOOKUP(E4595,E$1:E4594,1,FALSE()))),"OLD",IF(AND(E4595&lt;&gt;"",E4595&lt;&gt;"!!!"),"NEW","")))</f>
        <v/>
      </c>
      <c r="G4595" s="26" t="str">
        <f aca="false">IF(OR(E4595="",E4595="!!!"),"",IF(OR(J4595=0,AND(J4595=1,K4595=1),AND(J4595=1,I4595="SBJ"),AND(J4595=1,I4595=0)),"?IN_FOCUS",IF(J4595&lt;=2,"?ACTIVATED",IF(J4595&lt;&gt;"","?FAMILIAR",IF(F4595="NEW",IF(ISNA(VLOOKUP(E4595,#REF!,1,FALSE())),"?TYPE_IDENTIFIABLE","?REFERENTIAL"),"_")))))</f>
        <v/>
      </c>
      <c r="H4595" s="27" t="str">
        <f aca="false">IF(J4595&lt;&gt;1,"",IF(I4595="SBJ","CB","?"))</f>
        <v/>
      </c>
      <c r="I4595" s="24" t="str">
        <f aca="false">IF(OR(E4595="",E4595="!!!",F4595="NEW"),"",INDEX(B15:B$4581,-1+SUMPRODUCT(MAX(ROW(E15:E$4581)*(E4595=E15:E$4581)))))</f>
        <v/>
      </c>
      <c r="J4595" s="24" t="str">
        <f aca="true">IF(OR(E4595="",E4595="!!!",F4595="NEW"),"",COUNTBLANK(OFFSET(A$1,,,SUMPRODUCT(MAX(ROW(E$2:E4595)*(E4595=E$2:E4595)))))-COUNTBLANK(OFFSET(A$1,,,SUMPRODUCT(MAX(ROW(E$1:E4594)*(E2=E$1:E4594))))))</f>
        <v/>
      </c>
      <c r="K4595" s="24" t="str">
        <f aca="false">IF(OR(E4595="",E4595="!!!",F4595="NEW"),"",INDEX(J$1:J4594,SUMPRODUCT(MAX(ROW(E$1:E4594)*(E4595=E$1:E4594)))))</f>
        <v/>
      </c>
      <c r="L4595" s="31"/>
    </row>
    <row r="4596" customFormat="false" ht="15" hidden="false" customHeight="false" outlineLevel="0" collapsed="false">
      <c r="A4596" s="20" t="s">
        <v>2414</v>
      </c>
      <c r="E4596" s="23" t="str">
        <f aca="false">IF(D4596="?OLD","!!!","")</f>
        <v/>
      </c>
      <c r="F4596" s="25" t="str">
        <f aca="false">IF(OR(E4596="",E4596="!!!"),"",IF(NOT(ISNA(VLOOKUP(E4596,E$1:E4595,1,FALSE()))),"OLD",IF(AND(E4596&lt;&gt;"",E4596&lt;&gt;"!!!"),"NEW","")))</f>
        <v/>
      </c>
      <c r="G4596" s="26" t="str">
        <f aca="false">IF(OR(E4596="",E4596="!!!"),"",IF(OR(J4596=0,AND(J4596=1,K4596=1),AND(J4596=1,I4596="SBJ"),AND(J4596=1,I4596=0)),"?IN_FOCUS",IF(J4596&lt;=2,"?ACTIVATED",IF(J4596&lt;&gt;"","?FAMILIAR",IF(F4596="NEW",IF(ISNA(VLOOKUP(E4596,#REF!,1,FALSE())),"?TYPE_IDENTIFIABLE","?REFERENTIAL"),"_")))))</f>
        <v/>
      </c>
      <c r="H4596" s="27" t="str">
        <f aca="false">IF(J4596&lt;&gt;1,"",IF(I4596="SBJ","CB","?"))</f>
        <v/>
      </c>
      <c r="I4596" s="24" t="str">
        <f aca="false">IF(OR(E4596="",E4596="!!!",F4596="NEW"),"",INDEX(B16:B$4581,-1+SUMPRODUCT(MAX(ROW(E16:E$4581)*(E4596=E16:E$4581)))))</f>
        <v/>
      </c>
      <c r="J4596" s="24" t="str">
        <f aca="true">IF(OR(E4596="",E4596="!!!",F4596="NEW"),"",COUNTBLANK(OFFSET(A$1,,,SUMPRODUCT(MAX(ROW(E$2:E4596)*(E4596=E$2:E4596)))))-COUNTBLANK(OFFSET(A$1,,,SUMPRODUCT(MAX(ROW(E$1:E4595)*(E2=E$1:E4595))))))</f>
        <v/>
      </c>
      <c r="K4596" s="24" t="str">
        <f aca="false">IF(OR(E4596="",E4596="!!!",F4596="NEW"),"",INDEX(J$1:J4595,SUMPRODUCT(MAX(ROW(E$1:E4595)*(E4596=E$1:E4595)))))</f>
        <v/>
      </c>
      <c r="L4596" s="31"/>
    </row>
    <row r="4597" customFormat="false" ht="15" hidden="false" customHeight="false" outlineLevel="0" collapsed="false">
      <c r="A4597" s="20" t="s">
        <v>1547</v>
      </c>
      <c r="E4597" s="23" t="str">
        <f aca="false">IF(D4597="?OLD","!!!","")</f>
        <v/>
      </c>
      <c r="F4597" s="25" t="str">
        <f aca="false">IF(OR(E4597="",E4597="!!!"),"",IF(NOT(ISNA(VLOOKUP(E4597,E$1:E4596,1,FALSE()))),"OLD",IF(AND(E4597&lt;&gt;"",E4597&lt;&gt;"!!!"),"NEW","")))</f>
        <v/>
      </c>
      <c r="G4597" s="26" t="str">
        <f aca="false">IF(OR(E4597="",E4597="!!!"),"",IF(OR(J4597=0,AND(J4597=1,K4597=1),AND(J4597=1,I4597="SBJ"),AND(J4597=1,I4597=0)),"?IN_FOCUS",IF(J4597&lt;=2,"?ACTIVATED",IF(J4597&lt;&gt;"","?FAMILIAR",IF(F4597="NEW",IF(ISNA(VLOOKUP(E4597,#REF!,1,FALSE())),"?TYPE_IDENTIFIABLE","?REFERENTIAL"),"_")))))</f>
        <v/>
      </c>
      <c r="H4597" s="27" t="str">
        <f aca="false">IF(J4597&lt;&gt;1,"",IF(I4597="SBJ","CB","?"))</f>
        <v/>
      </c>
      <c r="I4597" s="24" t="str">
        <f aca="false">IF(OR(E4597="",E4597="!!!",F4597="NEW"),"",INDEX(B17:B$4581,-1+SUMPRODUCT(MAX(ROW(E17:E$4581)*(E4597=E17:E$4581)))))</f>
        <v/>
      </c>
      <c r="J4597" s="24" t="str">
        <f aca="true">IF(OR(E4597="",E4597="!!!",F4597="NEW"),"",COUNTBLANK(OFFSET(A$1,,,SUMPRODUCT(MAX(ROW(E$2:E4597)*(E4597=E$2:E4597)))))-COUNTBLANK(OFFSET(A$1,,,SUMPRODUCT(MAX(ROW(E$1:E4596)*(E2=E$1:E4596))))))</f>
        <v/>
      </c>
      <c r="K4597" s="24" t="str">
        <f aca="false">IF(OR(E4597="",E4597="!!!",F4597="NEW"),"",INDEX(J$1:J4596,SUMPRODUCT(MAX(ROW(E$1:E4596)*(E4597=E$1:E4596)))))</f>
        <v/>
      </c>
      <c r="L4597" s="31"/>
    </row>
    <row r="4598" customFormat="false" ht="15" hidden="false" customHeight="false" outlineLevel="0" collapsed="false">
      <c r="A4598" s="20" t="s">
        <v>1410</v>
      </c>
      <c r="E4598" s="23" t="str">
        <f aca="false">IF(D4598="?OLD","!!!","")</f>
        <v/>
      </c>
      <c r="F4598" s="25" t="str">
        <f aca="false">IF(OR(E4598="",E4598="!!!"),"",IF(NOT(ISNA(VLOOKUP(E4598,E$1:E4597,1,FALSE()))),"OLD",IF(AND(E4598&lt;&gt;"",E4598&lt;&gt;"!!!"),"NEW","")))</f>
        <v/>
      </c>
      <c r="G4598" s="26" t="str">
        <f aca="false">IF(OR(E4598="",E4598="!!!"),"",IF(OR(J4598=0,AND(J4598=1,K4598=1),AND(J4598=1,I4598="SBJ"),AND(J4598=1,I4598=0)),"?IN_FOCUS",IF(J4598&lt;=2,"?ACTIVATED",IF(J4598&lt;&gt;"","?FAMILIAR",IF(F4598="NEW",IF(ISNA(VLOOKUP(E4598,#REF!,1,FALSE())),"?TYPE_IDENTIFIABLE","?REFERENTIAL"),"_")))))</f>
        <v/>
      </c>
      <c r="H4598" s="27" t="str">
        <f aca="false">IF(J4598&lt;&gt;1,"",IF(I4598="SBJ","CB","?"))</f>
        <v/>
      </c>
      <c r="I4598" s="24" t="str">
        <f aca="false">IF(OR(E4598="",E4598="!!!",F4598="NEW"),"",INDEX(B18:B$4581,-1+SUMPRODUCT(MAX(ROW(E18:E$4581)*(E4598=E18:E$4581)))))</f>
        <v/>
      </c>
      <c r="J4598" s="24" t="str">
        <f aca="true">IF(OR(E4598="",E4598="!!!",F4598="NEW"),"",COUNTBLANK(OFFSET(A$1,,,SUMPRODUCT(MAX(ROW(E$2:E4598)*(E4598=E$2:E4598)))))-COUNTBLANK(OFFSET(A$1,,,SUMPRODUCT(MAX(ROW(E$1:E4597)*(E2=E$1:E4597))))))</f>
        <v/>
      </c>
      <c r="K4598" s="24" t="str">
        <f aca="false">IF(OR(E4598="",E4598="!!!",F4598="NEW"),"",INDEX(J$1:J4597,SUMPRODUCT(MAX(ROW(E$1:E4597)*(E4598=E$1:E4597)))))</f>
        <v/>
      </c>
      <c r="L4598" s="31"/>
    </row>
    <row r="4599" customFormat="false" ht="15" hidden="false" customHeight="false" outlineLevel="0" collapsed="false">
      <c r="A4599" s="20" t="s">
        <v>1109</v>
      </c>
      <c r="E4599" s="23" t="str">
        <f aca="false">IF(D4599="?OLD","!!!","")</f>
        <v/>
      </c>
      <c r="F4599" s="25" t="str">
        <f aca="false">IF(OR(E4599="",E4599="!!!"),"",IF(NOT(ISNA(VLOOKUP(E4599,E$1:E4598,1,FALSE()))),"OLD",IF(AND(E4599&lt;&gt;"",E4599&lt;&gt;"!!!"),"NEW","")))</f>
        <v/>
      </c>
      <c r="G4599" s="26" t="str">
        <f aca="false">IF(OR(E4599="",E4599="!!!"),"",IF(OR(J4599=0,AND(J4599=1,K4599=1),AND(J4599=1,I4599="SBJ"),AND(J4599=1,I4599=0)),"?IN_FOCUS",IF(J4599&lt;=2,"?ACTIVATED",IF(J4599&lt;&gt;"","?FAMILIAR",IF(F4599="NEW",IF(ISNA(VLOOKUP(E4599,#REF!,1,FALSE())),"?TYPE_IDENTIFIABLE","?REFERENTIAL"),"_")))))</f>
        <v/>
      </c>
      <c r="H4599" s="27" t="str">
        <f aca="false">IF(J4599&lt;&gt;1,"",IF(I4599="SBJ","CB","?"))</f>
        <v/>
      </c>
      <c r="I4599" s="24" t="str">
        <f aca="false">IF(OR(E4599="",E4599="!!!",F4599="NEW"),"",INDEX(B19:B$4581,-1+SUMPRODUCT(MAX(ROW(E19:E$4581)*(E4599=E19:E$4581)))))</f>
        <v/>
      </c>
      <c r="J4599" s="24" t="str">
        <f aca="true">IF(OR(E4599="",E4599="!!!",F4599="NEW"),"",COUNTBLANK(OFFSET(A$1,,,SUMPRODUCT(MAX(ROW(E$2:E4599)*(E4599=E$2:E4599)))))-COUNTBLANK(OFFSET(A$1,,,SUMPRODUCT(MAX(ROW(E$1:E4598)*(E2=E$1:E4598))))))</f>
        <v/>
      </c>
      <c r="K4599" s="24" t="str">
        <f aca="false">IF(OR(E4599="",E4599="!!!",F4599="NEW"),"",INDEX(J$1:J4598,SUMPRODUCT(MAX(ROW(E$1:E4598)*(E4599=E$1:E4598)))))</f>
        <v/>
      </c>
      <c r="L4599" s="31"/>
    </row>
    <row r="4600" customFormat="false" ht="15" hidden="false" customHeight="false" outlineLevel="0" collapsed="false">
      <c r="A4600" s="20" t="s">
        <v>2415</v>
      </c>
      <c r="E4600" s="23" t="str">
        <f aca="false">IF(D4600="?OLD","!!!","")</f>
        <v/>
      </c>
      <c r="F4600" s="25" t="str">
        <f aca="false">IF(OR(E4600="",E4600="!!!"),"",IF(NOT(ISNA(VLOOKUP(E4600,E$1:E4599,1,FALSE()))),"OLD",IF(AND(E4600&lt;&gt;"",E4600&lt;&gt;"!!!"),"NEW","")))</f>
        <v/>
      </c>
      <c r="G4600" s="26" t="str">
        <f aca="false">IF(OR(E4600="",E4600="!!!"),"",IF(OR(J4600=0,AND(J4600=1,K4600=1),AND(J4600=1,I4600="SBJ"),AND(J4600=1,I4600=0)),"?IN_FOCUS",IF(J4600&lt;=2,"?ACTIVATED",IF(J4600&lt;&gt;"","?FAMILIAR",IF(F4600="NEW",IF(ISNA(VLOOKUP(E4600,#REF!,1,FALSE())),"?TYPE_IDENTIFIABLE","?REFERENTIAL"),"_")))))</f>
        <v/>
      </c>
      <c r="H4600" s="27" t="str">
        <f aca="false">IF(J4600&lt;&gt;1,"",IF(I4600="SBJ","CB","?"))</f>
        <v/>
      </c>
      <c r="I4600" s="24" t="str">
        <f aca="false">IF(OR(E4600="",E4600="!!!",F4600="NEW"),"",INDEX(B20:B$4581,-1+SUMPRODUCT(MAX(ROW(E20:E$4581)*(E4600=E20:E$4581)))))</f>
        <v/>
      </c>
      <c r="J4600" s="24" t="str">
        <f aca="true">IF(OR(E4600="",E4600="!!!",F4600="NEW"),"",COUNTBLANK(OFFSET(A$1,,,SUMPRODUCT(MAX(ROW(E$2:E4600)*(E4600=E$2:E4600)))))-COUNTBLANK(OFFSET(A$1,,,SUMPRODUCT(MAX(ROW(E$1:E4599)*(E2=E$1:E4599))))))</f>
        <v/>
      </c>
      <c r="K4600" s="24" t="str">
        <f aca="false">IF(OR(E4600="",E4600="!!!",F4600="NEW"),"",INDEX(J$1:J4599,SUMPRODUCT(MAX(ROW(E$1:E4599)*(E4600=E$1:E4599)))))</f>
        <v/>
      </c>
      <c r="L4600" s="31"/>
    </row>
    <row r="4601" customFormat="false" ht="15" hidden="false" customHeight="false" outlineLevel="0" collapsed="false">
      <c r="A4601" s="20" t="s">
        <v>2404</v>
      </c>
      <c r="B4601" s="22" t="s">
        <v>1098</v>
      </c>
      <c r="C4601" s="22" t="s">
        <v>1150</v>
      </c>
      <c r="D4601" s="22" t="s">
        <v>1060</v>
      </c>
      <c r="E4601" s="23" t="str">
        <f aca="false">IF(D4601="?OLD","!!!","")</f>
        <v>!!!</v>
      </c>
      <c r="F4601" s="25" t="str">
        <f aca="false">IF(OR(E4601="",E4601="!!!"),"",IF(NOT(ISNA(VLOOKUP(E4601,E$1:E4600,1,FALSE()))),"OLD",IF(AND(E4601&lt;&gt;"",E4601&lt;&gt;"!!!"),"NEW","")))</f>
        <v/>
      </c>
      <c r="G4601" s="26" t="str">
        <f aca="false">IF(OR(E4601="",E4601="!!!"),"",IF(OR(J4601=0,AND(J4601=1,K4601=1),AND(J4601=1,I4601="SBJ"),AND(J4601=1,I4601=0)),"?IN_FOCUS",IF(J4601&lt;=2,"?ACTIVATED",IF(J4601&lt;&gt;"","?FAMILIAR",IF(F4601="NEW",IF(ISNA(VLOOKUP(E4601,#REF!,1,FALSE())),"?TYPE_IDENTIFIABLE","?REFERENTIAL"),"_")))))</f>
        <v/>
      </c>
      <c r="H4601" s="27" t="str">
        <f aca="false">IF(J4601&lt;&gt;1,"",IF(I4601="SBJ","CB","?"))</f>
        <v/>
      </c>
      <c r="I4601" s="24" t="str">
        <f aca="false">IF(OR(E4601="",E4601="!!!",F4601="NEW"),"",INDEX(B21:B$4581,-1+SUMPRODUCT(MAX(ROW(E21:E$4581)*(E4601=E21:E$4581)))))</f>
        <v/>
      </c>
      <c r="J4601" s="24" t="str">
        <f aca="true">IF(OR(E4601="",E4601="!!!",F4601="NEW"),"",COUNTBLANK(OFFSET(A$1,,,SUMPRODUCT(MAX(ROW(E$2:E4601)*(E4601=E$2:E4601)))))-COUNTBLANK(OFFSET(A$1,,,SUMPRODUCT(MAX(ROW(E$1:E4600)*(E2=E$1:E4600))))))</f>
        <v/>
      </c>
      <c r="K4601" s="24" t="str">
        <f aca="false">IF(OR(E4601="",E4601="!!!",F4601="NEW"),"",INDEX(J$1:J4600,SUMPRODUCT(MAX(ROW(E$1:E4600)*(E4601=E$1:E4600)))))</f>
        <v/>
      </c>
      <c r="L4601" s="31"/>
    </row>
    <row r="4602" customFormat="false" ht="15" hidden="false" customHeight="false" outlineLevel="0" collapsed="false">
      <c r="A4602" s="20" t="s">
        <v>923</v>
      </c>
      <c r="E4602" s="23" t="str">
        <f aca="false">IF(D4602="?OLD","!!!","")</f>
        <v/>
      </c>
      <c r="F4602" s="25" t="str">
        <f aca="false">IF(OR(E4602="",E4602="!!!"),"",IF(NOT(ISNA(VLOOKUP(E4602,E$1:E4601,1,FALSE()))),"OLD",IF(AND(E4602&lt;&gt;"",E4602&lt;&gt;"!!!"),"NEW","")))</f>
        <v/>
      </c>
      <c r="G4602" s="26" t="str">
        <f aca="false">IF(OR(E4602="",E4602="!!!"),"",IF(OR(J4602=0,AND(J4602=1,K4602=1),AND(J4602=1,I4602="SBJ"),AND(J4602=1,I4602=0)),"?IN_FOCUS",IF(J4602&lt;=2,"?ACTIVATED",IF(J4602&lt;&gt;"","?FAMILIAR",IF(F4602="NEW",IF(ISNA(VLOOKUP(E4602,#REF!,1,FALSE())),"?TYPE_IDENTIFIABLE","?REFERENTIAL"),"_")))))</f>
        <v/>
      </c>
      <c r="H4602" s="27" t="str">
        <f aca="false">IF(J4602&lt;&gt;1,"",IF(I4602="SBJ","CB","?"))</f>
        <v/>
      </c>
      <c r="I4602" s="24" t="str">
        <f aca="false">IF(OR(E4602="",E4602="!!!",F4602="NEW"),"",INDEX(B22:B$4581,-1+SUMPRODUCT(MAX(ROW(E22:E$4581)*(E4602=E22:E$4581)))))</f>
        <v/>
      </c>
      <c r="J4602" s="24" t="str">
        <f aca="true">IF(OR(E4602="",E4602="!!!",F4602="NEW"),"",COUNTBLANK(OFFSET(A$1,,,SUMPRODUCT(MAX(ROW(E$2:E4602)*(E4602=E$2:E4602)))))-COUNTBLANK(OFFSET(A$1,,,SUMPRODUCT(MAX(ROW(E$1:E4601)*(E2=E$1:E4601))))))</f>
        <v/>
      </c>
      <c r="K4602" s="24" t="str">
        <f aca="false">IF(OR(E4602="",E4602="!!!",F4602="NEW"),"",INDEX(J$1:J4601,SUMPRODUCT(MAX(ROW(E$1:E4601)*(E4602=E$1:E4601)))))</f>
        <v/>
      </c>
      <c r="L4602" s="31"/>
    </row>
    <row r="4603" customFormat="false" ht="15" hidden="false" customHeight="false" outlineLevel="0" collapsed="false">
      <c r="A4603" s="20"/>
    </row>
    <row r="4604" customFormat="false" ht="15" hidden="false" customHeight="false" outlineLevel="0" collapsed="false">
      <c r="A4604" s="20" t="s">
        <v>2416</v>
      </c>
    </row>
    <row r="4605" customFormat="false" ht="15" hidden="false" customHeight="false" outlineLevel="0" collapsed="false">
      <c r="A4605" s="20" t="s">
        <v>2417</v>
      </c>
      <c r="E4605" s="23" t="str">
        <f aca="false">IF(D4605="?OLD","!!!","")</f>
        <v/>
      </c>
      <c r="F4605" s="25" t="str">
        <f aca="false">IF(OR(E4605="",E4605="!!!"),"",IF(NOT(ISNA(VLOOKUP(E4605,E$1:E4604,1,FALSE()))),"OLD",IF(AND(E4605&lt;&gt;"",E4605&lt;&gt;"!!!"),"NEW","")))</f>
        <v/>
      </c>
      <c r="G4605" s="26" t="str">
        <f aca="false">IF(OR(E4605="",E4605="!!!"),"",IF(OR(J4605=0,AND(J4605=1,K4605=1),AND(J4605=1,I4605="SBJ"),AND(J4605=1,I4605=0)),"?IN_FOCUS",IF(J4605&lt;=2,"?ACTIVATED",IF(J4605&lt;&gt;"","?FAMILIAR",IF(F4605="NEW",IF(ISNA(VLOOKUP(E4605,#REF!,1,FALSE())),"?TYPE_IDENTIFIABLE","?REFERENTIAL"),"_")))))</f>
        <v/>
      </c>
      <c r="H4605" s="27" t="str">
        <f aca="false">IF(J4605&lt;&gt;1,"",IF(I4605="SBJ","CB","?"))</f>
        <v/>
      </c>
      <c r="I4605" s="24" t="str">
        <f aca="false">IF(OR(E4605="",E4605="!!!",F4605="NEW"),"",INDEX(B2:B$4604,-1+SUMPRODUCT(MAX(ROW(E2:E$4604)*(E4605=E2:E$4604)))))</f>
        <v/>
      </c>
      <c r="J4605" s="24" t="str">
        <f aca="true">IF(OR(E4605="",E4605="!!!",F4605="NEW"),"",COUNTBLANK(OFFSET(A$1,,,SUMPRODUCT(MAX(ROW(E$2:E4605)*(E4605=E$2:E4605)))))-COUNTBLANK(OFFSET(A$1,,,SUMPRODUCT(MAX(ROW(E$1:E4604)*(E2=E$1:E4604))))))</f>
        <v/>
      </c>
      <c r="K4605" s="24" t="str">
        <f aca="false">IF(OR(E4605="",E4605="!!!",F4605="NEW"),"",INDEX(J$1:J4604,SUMPRODUCT(MAX(ROW(E$1:E4604)*(E4605=E$1:E4604)))))</f>
        <v/>
      </c>
      <c r="L4605" s="31"/>
    </row>
    <row r="4606" customFormat="false" ht="15" hidden="false" customHeight="false" outlineLevel="0" collapsed="false">
      <c r="A4606" s="20" t="s">
        <v>1109</v>
      </c>
      <c r="E4606" s="23" t="str">
        <f aca="false">IF(D4606="?OLD","!!!","")</f>
        <v/>
      </c>
      <c r="F4606" s="25" t="str">
        <f aca="false">IF(OR(E4606="",E4606="!!!"),"",IF(NOT(ISNA(VLOOKUP(E4606,E$1:E4605,1,FALSE()))),"OLD",IF(AND(E4606&lt;&gt;"",E4606&lt;&gt;"!!!"),"NEW","")))</f>
        <v/>
      </c>
      <c r="G4606" s="26" t="str">
        <f aca="false">IF(OR(E4606="",E4606="!!!"),"",IF(OR(J4606=0,AND(J4606=1,K4606=1),AND(J4606=1,I4606="SBJ"),AND(J4606=1,I4606=0)),"?IN_FOCUS",IF(J4606&lt;=2,"?ACTIVATED",IF(J4606&lt;&gt;"","?FAMILIAR",IF(F4606="NEW",IF(ISNA(VLOOKUP(E4606,#REF!,1,FALSE())),"?TYPE_IDENTIFIABLE","?REFERENTIAL"),"_")))))</f>
        <v/>
      </c>
      <c r="H4606" s="27" t="str">
        <f aca="false">IF(J4606&lt;&gt;1,"",IF(I4606="SBJ","CB","?"))</f>
        <v/>
      </c>
      <c r="I4606" s="24" t="str">
        <f aca="false">IF(OR(E4606="",E4606="!!!",F4606="NEW"),"",INDEX(B3:B$4604,-1+SUMPRODUCT(MAX(ROW(E3:E$4604)*(E4606=E3:E$4604)))))</f>
        <v/>
      </c>
      <c r="J4606" s="24" t="str">
        <f aca="true">IF(OR(E4606="",E4606="!!!",F4606="NEW"),"",COUNTBLANK(OFFSET(A$1,,,SUMPRODUCT(MAX(ROW(E$2:E4606)*(E4606=E$2:E4606)))))-COUNTBLANK(OFFSET(A$1,,,SUMPRODUCT(MAX(ROW(E$1:E4605)*(E2=E$1:E4605))))))</f>
        <v/>
      </c>
      <c r="K4606" s="24" t="str">
        <f aca="false">IF(OR(E4606="",E4606="!!!",F4606="NEW"),"",INDEX(J$1:J4605,SUMPRODUCT(MAX(ROW(E$1:E4605)*(E4606=E$1:E4605)))))</f>
        <v/>
      </c>
      <c r="L4606" s="31"/>
    </row>
    <row r="4607" customFormat="false" ht="15" hidden="false" customHeight="false" outlineLevel="0" collapsed="false">
      <c r="A4607" s="20" t="s">
        <v>1370</v>
      </c>
      <c r="B4607" s="22" t="s">
        <v>1105</v>
      </c>
      <c r="C4607" s="22" t="s">
        <v>1059</v>
      </c>
      <c r="D4607" s="22" t="s">
        <v>1060</v>
      </c>
      <c r="E4607" s="23" t="str">
        <f aca="false">IF(D4607="?OLD","!!!","")</f>
        <v>!!!</v>
      </c>
      <c r="F4607" s="25" t="str">
        <f aca="false">IF(OR(E4607="",E4607="!!!"),"",IF(NOT(ISNA(VLOOKUP(E4607,E$1:E4606,1,FALSE()))),"OLD",IF(AND(E4607&lt;&gt;"",E4607&lt;&gt;"!!!"),"NEW","")))</f>
        <v/>
      </c>
      <c r="G4607" s="26" t="str">
        <f aca="false">IF(OR(E4607="",E4607="!!!"),"",IF(OR(J4607=0,AND(J4607=1,K4607=1),AND(J4607=1,I4607="SBJ"),AND(J4607=1,I4607=0)),"?IN_FOCUS",IF(J4607&lt;=2,"?ACTIVATED",IF(J4607&lt;&gt;"","?FAMILIAR",IF(F4607="NEW",IF(ISNA(VLOOKUP(E4607,#REF!,1,FALSE())),"?TYPE_IDENTIFIABLE","?REFERENTIAL"),"_")))))</f>
        <v/>
      </c>
      <c r="H4607" s="27" t="str">
        <f aca="false">IF(J4607&lt;&gt;1,"",IF(I4607="SBJ","CB","?"))</f>
        <v/>
      </c>
      <c r="I4607" s="24" t="str">
        <f aca="false">IF(OR(E4607="",E4607="!!!",F4607="NEW"),"",INDEX(B4:B$4604,-1+SUMPRODUCT(MAX(ROW(E4:E$4604)*(E4607=E4:E$4604)))))</f>
        <v/>
      </c>
      <c r="J4607" s="24" t="str">
        <f aca="true">IF(OR(E4607="",E4607="!!!",F4607="NEW"),"",COUNTBLANK(OFFSET(A$1,,,SUMPRODUCT(MAX(ROW(E$2:E4607)*(E4607=E$2:E4607)))))-COUNTBLANK(OFFSET(A$1,,,SUMPRODUCT(MAX(ROW(E$1:E4606)*(E2=E$1:E4606))))))</f>
        <v/>
      </c>
      <c r="K4607" s="24" t="str">
        <f aca="false">IF(OR(E4607="",E4607="!!!",F4607="NEW"),"",INDEX(J$1:J4606,SUMPRODUCT(MAX(ROW(E$1:E4606)*(E4607=E$1:E4606)))))</f>
        <v/>
      </c>
      <c r="L4607" s="31"/>
    </row>
    <row r="4608" customFormat="false" ht="15" hidden="false" customHeight="false" outlineLevel="0" collapsed="false">
      <c r="A4608" s="20" t="s">
        <v>1064</v>
      </c>
      <c r="E4608" s="23" t="str">
        <f aca="false">IF(D4608="?OLD","!!!","")</f>
        <v/>
      </c>
      <c r="F4608" s="25" t="str">
        <f aca="false">IF(OR(E4608="",E4608="!!!"),"",IF(NOT(ISNA(VLOOKUP(E4608,E$1:E4607,1,FALSE()))),"OLD",IF(AND(E4608&lt;&gt;"",E4608&lt;&gt;"!!!"),"NEW","")))</f>
        <v/>
      </c>
      <c r="G4608" s="26" t="str">
        <f aca="false">IF(OR(E4608="",E4608="!!!"),"",IF(OR(J4608=0,AND(J4608=1,K4608=1),AND(J4608=1,I4608="SBJ"),AND(J4608=1,I4608=0)),"?IN_FOCUS",IF(J4608&lt;=2,"?ACTIVATED",IF(J4608&lt;&gt;"","?FAMILIAR",IF(F4608="NEW",IF(ISNA(VLOOKUP(E4608,#REF!,1,FALSE())),"?TYPE_IDENTIFIABLE","?REFERENTIAL"),"_")))))</f>
        <v/>
      </c>
      <c r="H4608" s="27" t="str">
        <f aca="false">IF(J4608&lt;&gt;1,"",IF(I4608="SBJ","CB","?"))</f>
        <v/>
      </c>
      <c r="I4608" s="24" t="str">
        <f aca="false">IF(OR(E4608="",E4608="!!!",F4608="NEW"),"",INDEX(B5:B$4604,-1+SUMPRODUCT(MAX(ROW(E5:E$4604)*(E4608=E5:E$4604)))))</f>
        <v/>
      </c>
      <c r="J4608" s="24" t="str">
        <f aca="true">IF(OR(E4608="",E4608="!!!",F4608="NEW"),"",COUNTBLANK(OFFSET(A$1,,,SUMPRODUCT(MAX(ROW(E$2:E4608)*(E4608=E$2:E4608)))))-COUNTBLANK(OFFSET(A$1,,,SUMPRODUCT(MAX(ROW(E$1:E4607)*(E2=E$1:E4607))))))</f>
        <v/>
      </c>
      <c r="K4608" s="24" t="str">
        <f aca="false">IF(OR(E4608="",E4608="!!!",F4608="NEW"),"",INDEX(J$1:J4607,SUMPRODUCT(MAX(ROW(E$1:E4607)*(E4608=E$1:E4607)))))</f>
        <v/>
      </c>
      <c r="L4608" s="31"/>
    </row>
    <row r="4609" customFormat="false" ht="15" hidden="false" customHeight="false" outlineLevel="0" collapsed="false">
      <c r="A4609" s="20" t="s">
        <v>1080</v>
      </c>
      <c r="B4609" s="22" t="s">
        <v>1073</v>
      </c>
      <c r="C4609" s="22" t="s">
        <v>1082</v>
      </c>
      <c r="D4609" s="22" t="s">
        <v>1060</v>
      </c>
      <c r="E4609" s="23" t="str">
        <f aca="false">IF(D4609="?OLD","!!!","")</f>
        <v>!!!</v>
      </c>
      <c r="F4609" s="25" t="str">
        <f aca="false">IF(OR(E4609="",E4609="!!!"),"",IF(NOT(ISNA(VLOOKUP(E4609,E$1:E4608,1,FALSE()))),"OLD",IF(AND(E4609&lt;&gt;"",E4609&lt;&gt;"!!!"),"NEW","")))</f>
        <v/>
      </c>
      <c r="G4609" s="26" t="str">
        <f aca="false">IF(OR(E4609="",E4609="!!!"),"",IF(OR(J4609=0,AND(J4609=1,K4609=1),AND(J4609=1,I4609="SBJ"),AND(J4609=1,I4609=0)),"?IN_FOCUS",IF(J4609&lt;=2,"?ACTIVATED",IF(J4609&lt;&gt;"","?FAMILIAR",IF(F4609="NEW",IF(ISNA(VLOOKUP(E4609,#REF!,1,FALSE())),"?TYPE_IDENTIFIABLE","?REFERENTIAL"),"_")))))</f>
        <v/>
      </c>
      <c r="H4609" s="27" t="str">
        <f aca="false">IF(J4609&lt;&gt;1,"",IF(I4609="SBJ","CB","?"))</f>
        <v/>
      </c>
      <c r="I4609" s="24" t="str">
        <f aca="false">IF(OR(E4609="",E4609="!!!",F4609="NEW"),"",INDEX(B6:B$4604,-1+SUMPRODUCT(MAX(ROW(E6:E$4604)*(E4609=E6:E$4604)))))</f>
        <v/>
      </c>
      <c r="J4609" s="24" t="str">
        <f aca="true">IF(OR(E4609="",E4609="!!!",F4609="NEW"),"",COUNTBLANK(OFFSET(A$1,,,SUMPRODUCT(MAX(ROW(E$2:E4609)*(E4609=E$2:E4609)))))-COUNTBLANK(OFFSET(A$1,,,SUMPRODUCT(MAX(ROW(E$1:E4608)*(E2=E$1:E4608))))))</f>
        <v/>
      </c>
      <c r="K4609" s="24" t="str">
        <f aca="false">IF(OR(E4609="",E4609="!!!",F4609="NEW"),"",INDEX(J$1:J4608,SUMPRODUCT(MAX(ROW(E$1:E4608)*(E4609=E$1:E4608)))))</f>
        <v/>
      </c>
      <c r="L4609" s="31"/>
    </row>
    <row r="4610" customFormat="false" ht="15" hidden="false" customHeight="false" outlineLevel="0" collapsed="false">
      <c r="A4610" s="20" t="s">
        <v>1085</v>
      </c>
      <c r="E4610" s="23" t="str">
        <f aca="false">IF(D4610="?OLD","!!!","")</f>
        <v/>
      </c>
      <c r="F4610" s="25" t="str">
        <f aca="false">IF(OR(E4610="",E4610="!!!"),"",IF(NOT(ISNA(VLOOKUP(E4610,E$1:E4609,1,FALSE()))),"OLD",IF(AND(E4610&lt;&gt;"",E4610&lt;&gt;"!!!"),"NEW","")))</f>
        <v/>
      </c>
      <c r="G4610" s="26" t="str">
        <f aca="false">IF(OR(E4610="",E4610="!!!"),"",IF(OR(J4610=0,AND(J4610=1,K4610=1),AND(J4610=1,I4610="SBJ"),AND(J4610=1,I4610=0)),"?IN_FOCUS",IF(J4610&lt;=2,"?ACTIVATED",IF(J4610&lt;&gt;"","?FAMILIAR",IF(F4610="NEW",IF(ISNA(VLOOKUP(E4610,#REF!,1,FALSE())),"?TYPE_IDENTIFIABLE","?REFERENTIAL"),"_")))))</f>
        <v/>
      </c>
      <c r="H4610" s="27" t="str">
        <f aca="false">IF(J4610&lt;&gt;1,"",IF(I4610="SBJ","CB","?"))</f>
        <v/>
      </c>
      <c r="I4610" s="24" t="str">
        <f aca="false">IF(OR(E4610="",E4610="!!!",F4610="NEW"),"",INDEX(B7:B$4604,-1+SUMPRODUCT(MAX(ROW(E7:E$4604)*(E4610=E7:E$4604)))))</f>
        <v/>
      </c>
      <c r="J4610" s="24" t="str">
        <f aca="true">IF(OR(E4610="",E4610="!!!",F4610="NEW"),"",COUNTBLANK(OFFSET(A$1,,,SUMPRODUCT(MAX(ROW(E$2:E4610)*(E4610=E$2:E4610)))))-COUNTBLANK(OFFSET(A$1,,,SUMPRODUCT(MAX(ROW(E$1:E4609)*(E2=E$1:E4609))))))</f>
        <v/>
      </c>
      <c r="K4610" s="24" t="str">
        <f aca="false">IF(OR(E4610="",E4610="!!!",F4610="NEW"),"",INDEX(J$1:J4609,SUMPRODUCT(MAX(ROW(E$1:E4609)*(E4610=E$1:E4609)))))</f>
        <v/>
      </c>
      <c r="L4610" s="31"/>
    </row>
    <row r="4611" customFormat="false" ht="15" hidden="false" customHeight="false" outlineLevel="0" collapsed="false">
      <c r="A4611" s="20" t="s">
        <v>2023</v>
      </c>
      <c r="E4611" s="23" t="str">
        <f aca="false">IF(D4611="?OLD","!!!","")</f>
        <v/>
      </c>
      <c r="F4611" s="25" t="str">
        <f aca="false">IF(OR(E4611="",E4611="!!!"),"",IF(NOT(ISNA(VLOOKUP(E4611,E$1:E4610,1,FALSE()))),"OLD",IF(AND(E4611&lt;&gt;"",E4611&lt;&gt;"!!!"),"NEW","")))</f>
        <v/>
      </c>
      <c r="G4611" s="26" t="str">
        <f aca="false">IF(OR(E4611="",E4611="!!!"),"",IF(OR(J4611=0,AND(J4611=1,K4611=1),AND(J4611=1,I4611="SBJ"),AND(J4611=1,I4611=0)),"?IN_FOCUS",IF(J4611&lt;=2,"?ACTIVATED",IF(J4611&lt;&gt;"","?FAMILIAR",IF(F4611="NEW",IF(ISNA(VLOOKUP(E4611,#REF!,1,FALSE())),"?TYPE_IDENTIFIABLE","?REFERENTIAL"),"_")))))</f>
        <v/>
      </c>
      <c r="H4611" s="27" t="str">
        <f aca="false">IF(J4611&lt;&gt;1,"",IF(I4611="SBJ","CB","?"))</f>
        <v/>
      </c>
      <c r="I4611" s="24" t="str">
        <f aca="false">IF(OR(E4611="",E4611="!!!",F4611="NEW"),"",INDEX(B8:B$4604,-1+SUMPRODUCT(MAX(ROW(E8:E$4604)*(E4611=E8:E$4604)))))</f>
        <v/>
      </c>
      <c r="J4611" s="24" t="str">
        <f aca="true">IF(OR(E4611="",E4611="!!!",F4611="NEW"),"",COUNTBLANK(OFFSET(A$1,,,SUMPRODUCT(MAX(ROW(E$2:E4611)*(E4611=E$2:E4611)))))-COUNTBLANK(OFFSET(A$1,,,SUMPRODUCT(MAX(ROW(E$1:E4610)*(E2=E$1:E4610))))))</f>
        <v/>
      </c>
      <c r="K4611" s="24" t="str">
        <f aca="false">IF(OR(E4611="",E4611="!!!",F4611="NEW"),"",INDEX(J$1:J4610,SUMPRODUCT(MAX(ROW(E$1:E4610)*(E4611=E$1:E4610)))))</f>
        <v/>
      </c>
      <c r="L4611" s="31"/>
    </row>
    <row r="4612" customFormat="false" ht="15" hidden="false" customHeight="false" outlineLevel="0" collapsed="false">
      <c r="A4612" s="20" t="s">
        <v>908</v>
      </c>
      <c r="B4612" s="22" t="s">
        <v>1105</v>
      </c>
      <c r="C4612" s="22" t="s">
        <v>1087</v>
      </c>
      <c r="E4612" s="23" t="str">
        <f aca="false">IF(D4612="?OLD","!!!","")</f>
        <v/>
      </c>
      <c r="F4612" s="25" t="str">
        <f aca="false">IF(OR(E4612="",E4612="!!!"),"",IF(NOT(ISNA(VLOOKUP(E4612,E$1:E4611,1,FALSE()))),"OLD",IF(AND(E4612&lt;&gt;"",E4612&lt;&gt;"!!!"),"NEW","")))</f>
        <v/>
      </c>
      <c r="G4612" s="26" t="str">
        <f aca="false">IF(OR(E4612="",E4612="!!!"),"",IF(OR(J4612=0,AND(J4612=1,K4612=1),AND(J4612=1,I4612="SBJ"),AND(J4612=1,I4612=0)),"?IN_FOCUS",IF(J4612&lt;=2,"?ACTIVATED",IF(J4612&lt;&gt;"","?FAMILIAR",IF(F4612="NEW",IF(ISNA(VLOOKUP(E4612,#REF!,1,FALSE())),"?TYPE_IDENTIFIABLE","?REFERENTIAL"),"_")))))</f>
        <v/>
      </c>
      <c r="H4612" s="27" t="str">
        <f aca="false">IF(J4612&lt;&gt;1,"",IF(I4612="SBJ","CB","?"))</f>
        <v/>
      </c>
      <c r="I4612" s="24" t="str">
        <f aca="false">IF(OR(E4612="",E4612="!!!",F4612="NEW"),"",INDEX(B9:B$4604,-1+SUMPRODUCT(MAX(ROW(E9:E$4604)*(E4612=E9:E$4604)))))</f>
        <v/>
      </c>
      <c r="J4612" s="24" t="str">
        <f aca="true">IF(OR(E4612="",E4612="!!!",F4612="NEW"),"",COUNTBLANK(OFFSET(A$1,,,SUMPRODUCT(MAX(ROW(E$2:E4612)*(E4612=E$2:E4612)))))-COUNTBLANK(OFFSET(A$1,,,SUMPRODUCT(MAX(ROW(E$1:E4611)*(E2=E$1:E4611))))))</f>
        <v/>
      </c>
      <c r="K4612" s="24" t="str">
        <f aca="false">IF(OR(E4612="",E4612="!!!",F4612="NEW"),"",INDEX(J$1:J4611,SUMPRODUCT(MAX(ROW(E$1:E4611)*(E4612=E$1:E4611)))))</f>
        <v/>
      </c>
      <c r="L4612" s="31"/>
    </row>
    <row r="4613" customFormat="false" ht="15" hidden="false" customHeight="false" outlineLevel="0" collapsed="false">
      <c r="A4613" s="20" t="s">
        <v>2343</v>
      </c>
      <c r="E4613" s="23" t="str">
        <f aca="false">IF(D4613="?OLD","!!!","")</f>
        <v/>
      </c>
      <c r="F4613" s="25" t="str">
        <f aca="false">IF(OR(E4613="",E4613="!!!"),"",IF(NOT(ISNA(VLOOKUP(E4613,E$1:E4612,1,FALSE()))),"OLD",IF(AND(E4613&lt;&gt;"",E4613&lt;&gt;"!!!"),"NEW","")))</f>
        <v/>
      </c>
      <c r="G4613" s="26" t="str">
        <f aca="false">IF(OR(E4613="",E4613="!!!"),"",IF(OR(J4613=0,AND(J4613=1,K4613=1),AND(J4613=1,I4613="SBJ"),AND(J4613=1,I4613=0)),"?IN_FOCUS",IF(J4613&lt;=2,"?ACTIVATED",IF(J4613&lt;&gt;"","?FAMILIAR",IF(F4613="NEW",IF(ISNA(VLOOKUP(E4613,#REF!,1,FALSE())),"?TYPE_IDENTIFIABLE","?REFERENTIAL"),"_")))))</f>
        <v/>
      </c>
      <c r="H4613" s="27" t="str">
        <f aca="false">IF(J4613&lt;&gt;1,"",IF(I4613="SBJ","CB","?"))</f>
        <v/>
      </c>
      <c r="I4613" s="24" t="str">
        <f aca="false">IF(OR(E4613="",E4613="!!!",F4613="NEW"),"",INDEX(B10:B$4604,-1+SUMPRODUCT(MAX(ROW(E10:E$4604)*(E4613=E10:E$4604)))))</f>
        <v/>
      </c>
      <c r="J4613" s="24" t="str">
        <f aca="true">IF(OR(E4613="",E4613="!!!",F4613="NEW"),"",COUNTBLANK(OFFSET(A$1,,,SUMPRODUCT(MAX(ROW(E$2:E4613)*(E4613=E$2:E4613)))))-COUNTBLANK(OFFSET(A$1,,,SUMPRODUCT(MAX(ROW(E$1:E4612)*(E2=E$1:E4612))))))</f>
        <v/>
      </c>
      <c r="K4613" s="24" t="str">
        <f aca="false">IF(OR(E4613="",E4613="!!!",F4613="NEW"),"",INDEX(J$1:J4612,SUMPRODUCT(MAX(ROW(E$1:E4612)*(E4613=E$1:E4612)))))</f>
        <v/>
      </c>
      <c r="L4613" s="31"/>
    </row>
    <row r="4614" customFormat="false" ht="15" hidden="false" customHeight="false" outlineLevel="0" collapsed="false">
      <c r="A4614" s="20" t="s">
        <v>728</v>
      </c>
      <c r="E4614" s="23" t="str">
        <f aca="false">IF(D4614="?OLD","!!!","")</f>
        <v/>
      </c>
      <c r="F4614" s="25" t="str">
        <f aca="false">IF(OR(E4614="",E4614="!!!"),"",IF(NOT(ISNA(VLOOKUP(E4614,E$1:E4613,1,FALSE()))),"OLD",IF(AND(E4614&lt;&gt;"",E4614&lt;&gt;"!!!"),"NEW","")))</f>
        <v/>
      </c>
      <c r="G4614" s="26" t="str">
        <f aca="false">IF(OR(E4614="",E4614="!!!"),"",IF(OR(J4614=0,AND(J4614=1,K4614=1),AND(J4614=1,I4614="SBJ"),AND(J4614=1,I4614=0)),"?IN_FOCUS",IF(J4614&lt;=2,"?ACTIVATED",IF(J4614&lt;&gt;"","?FAMILIAR",IF(F4614="NEW",IF(ISNA(VLOOKUP(E4614,#REF!,1,FALSE())),"?TYPE_IDENTIFIABLE","?REFERENTIAL"),"_")))))</f>
        <v/>
      </c>
      <c r="H4614" s="27" t="str">
        <f aca="false">IF(J4614&lt;&gt;1,"",IF(I4614="SBJ","CB","?"))</f>
        <v/>
      </c>
      <c r="I4614" s="24" t="str">
        <f aca="false">IF(OR(E4614="",E4614="!!!",F4614="NEW"),"",INDEX(B11:B$4604,-1+SUMPRODUCT(MAX(ROW(E11:E$4604)*(E4614=E11:E$4604)))))</f>
        <v/>
      </c>
      <c r="J4614" s="24" t="str">
        <f aca="true">IF(OR(E4614="",E4614="!!!",F4614="NEW"),"",COUNTBLANK(OFFSET(A$1,,,SUMPRODUCT(MAX(ROW(E$2:E4614)*(E4614=E$2:E4614)))))-COUNTBLANK(OFFSET(A$1,,,SUMPRODUCT(MAX(ROW(E$1:E4613)*(E2=E$1:E4613))))))</f>
        <v/>
      </c>
      <c r="K4614" s="24" t="str">
        <f aca="false">IF(OR(E4614="",E4614="!!!",F4614="NEW"),"",INDEX(J$1:J4613,SUMPRODUCT(MAX(ROW(E$1:E4613)*(E4614=E$1:E4613)))))</f>
        <v/>
      </c>
      <c r="L4614" s="31"/>
    </row>
    <row r="4615" customFormat="false" ht="15" hidden="false" customHeight="false" outlineLevel="0" collapsed="false">
      <c r="A4615" s="20" t="s">
        <v>1128</v>
      </c>
      <c r="E4615" s="23" t="str">
        <f aca="false">IF(D4615="?OLD","!!!","")</f>
        <v/>
      </c>
      <c r="F4615" s="25" t="str">
        <f aca="false">IF(OR(E4615="",E4615="!!!"),"",IF(NOT(ISNA(VLOOKUP(E4615,E$1:E4614,1,FALSE()))),"OLD",IF(AND(E4615&lt;&gt;"",E4615&lt;&gt;"!!!"),"NEW","")))</f>
        <v/>
      </c>
      <c r="G4615" s="26" t="str">
        <f aca="false">IF(OR(E4615="",E4615="!!!"),"",IF(OR(J4615=0,AND(J4615=1,K4615=1),AND(J4615=1,I4615="SBJ"),AND(J4615=1,I4615=0)),"?IN_FOCUS",IF(J4615&lt;=2,"?ACTIVATED",IF(J4615&lt;&gt;"","?FAMILIAR",IF(F4615="NEW",IF(ISNA(VLOOKUP(E4615,#REF!,1,FALSE())),"?TYPE_IDENTIFIABLE","?REFERENTIAL"),"_")))))</f>
        <v/>
      </c>
      <c r="H4615" s="27" t="str">
        <f aca="false">IF(J4615&lt;&gt;1,"",IF(I4615="SBJ","CB","?"))</f>
        <v/>
      </c>
      <c r="I4615" s="24" t="str">
        <f aca="false">IF(OR(E4615="",E4615="!!!",F4615="NEW"),"",INDEX(B12:B$4604,-1+SUMPRODUCT(MAX(ROW(E12:E$4604)*(E4615=E12:E$4604)))))</f>
        <v/>
      </c>
      <c r="J4615" s="24" t="str">
        <f aca="true">IF(OR(E4615="",E4615="!!!",F4615="NEW"),"",COUNTBLANK(OFFSET(A$1,,,SUMPRODUCT(MAX(ROW(E$2:E4615)*(E4615=E$2:E4615)))))-COUNTBLANK(OFFSET(A$1,,,SUMPRODUCT(MAX(ROW(E$1:E4614)*(E2=E$1:E4614))))))</f>
        <v/>
      </c>
      <c r="K4615" s="24" t="str">
        <f aca="false">IF(OR(E4615="",E4615="!!!",F4615="NEW"),"",INDEX(J$1:J4614,SUMPRODUCT(MAX(ROW(E$1:E4614)*(E4615=E$1:E4614)))))</f>
        <v/>
      </c>
      <c r="L4615" s="31"/>
    </row>
    <row r="4616" customFormat="false" ht="15" hidden="false" customHeight="false" outlineLevel="0" collapsed="false">
      <c r="A4616" s="20" t="s">
        <v>1555</v>
      </c>
      <c r="E4616" s="23" t="str">
        <f aca="false">IF(D4616="?OLD","!!!","")</f>
        <v/>
      </c>
      <c r="F4616" s="25" t="str">
        <f aca="false">IF(OR(E4616="",E4616="!!!"),"",IF(NOT(ISNA(VLOOKUP(E4616,E$1:E4615,1,FALSE()))),"OLD",IF(AND(E4616&lt;&gt;"",E4616&lt;&gt;"!!!"),"NEW","")))</f>
        <v/>
      </c>
      <c r="G4616" s="26" t="str">
        <f aca="false">IF(OR(E4616="",E4616="!!!"),"",IF(OR(J4616=0,AND(J4616=1,K4616=1),AND(J4616=1,I4616="SBJ"),AND(J4616=1,I4616=0)),"?IN_FOCUS",IF(J4616&lt;=2,"?ACTIVATED",IF(J4616&lt;&gt;"","?FAMILIAR",IF(F4616="NEW",IF(ISNA(VLOOKUP(E4616,#REF!,1,FALSE())),"?TYPE_IDENTIFIABLE","?REFERENTIAL"),"_")))))</f>
        <v/>
      </c>
      <c r="H4616" s="27" t="str">
        <f aca="false">IF(J4616&lt;&gt;1,"",IF(I4616="SBJ","CB","?"))</f>
        <v/>
      </c>
      <c r="I4616" s="24" t="str">
        <f aca="false">IF(OR(E4616="",E4616="!!!",F4616="NEW"),"",INDEX(B13:B$4604,-1+SUMPRODUCT(MAX(ROW(E13:E$4604)*(E4616=E13:E$4604)))))</f>
        <v/>
      </c>
      <c r="J4616" s="24" t="str">
        <f aca="true">IF(OR(E4616="",E4616="!!!",F4616="NEW"),"",COUNTBLANK(OFFSET(A$1,,,SUMPRODUCT(MAX(ROW(E$2:E4616)*(E4616=E$2:E4616)))))-COUNTBLANK(OFFSET(A$1,,,SUMPRODUCT(MAX(ROW(E$1:E4615)*(E2=E$1:E4615))))))</f>
        <v/>
      </c>
      <c r="K4616" s="24" t="str">
        <f aca="false">IF(OR(E4616="",E4616="!!!",F4616="NEW"),"",INDEX(J$1:J4615,SUMPRODUCT(MAX(ROW(E$1:E4615)*(E4616=E$1:E4615)))))</f>
        <v/>
      </c>
      <c r="L4616" s="31"/>
    </row>
    <row r="4617" customFormat="false" ht="15" hidden="false" customHeight="false" outlineLevel="0" collapsed="false">
      <c r="A4617" s="20" t="s">
        <v>1904</v>
      </c>
      <c r="E4617" s="23" t="str">
        <f aca="false">IF(D4617="?OLD","!!!","")</f>
        <v/>
      </c>
      <c r="F4617" s="25" t="str">
        <f aca="false">IF(OR(E4617="",E4617="!!!"),"",IF(NOT(ISNA(VLOOKUP(E4617,E$1:E4616,1,FALSE()))),"OLD",IF(AND(E4617&lt;&gt;"",E4617&lt;&gt;"!!!"),"NEW","")))</f>
        <v/>
      </c>
      <c r="G4617" s="26" t="str">
        <f aca="false">IF(OR(E4617="",E4617="!!!"),"",IF(OR(J4617=0,AND(J4617=1,K4617=1),AND(J4617=1,I4617="SBJ"),AND(J4617=1,I4617=0)),"?IN_FOCUS",IF(J4617&lt;=2,"?ACTIVATED",IF(J4617&lt;&gt;"","?FAMILIAR",IF(F4617="NEW",IF(ISNA(VLOOKUP(E4617,#REF!,1,FALSE())),"?TYPE_IDENTIFIABLE","?REFERENTIAL"),"_")))))</f>
        <v/>
      </c>
      <c r="H4617" s="27" t="str">
        <f aca="false">IF(J4617&lt;&gt;1,"",IF(I4617="SBJ","CB","?"))</f>
        <v/>
      </c>
      <c r="I4617" s="24" t="str">
        <f aca="false">IF(OR(E4617="",E4617="!!!",F4617="NEW"),"",INDEX(B14:B$4604,-1+SUMPRODUCT(MAX(ROW(E14:E$4604)*(E4617=E14:E$4604)))))</f>
        <v/>
      </c>
      <c r="J4617" s="24" t="str">
        <f aca="true">IF(OR(E4617="",E4617="!!!",F4617="NEW"),"",COUNTBLANK(OFFSET(A$1,,,SUMPRODUCT(MAX(ROW(E$2:E4617)*(E4617=E$2:E4617)))))-COUNTBLANK(OFFSET(A$1,,,SUMPRODUCT(MAX(ROW(E$1:E4616)*(E2=E$1:E4616))))))</f>
        <v/>
      </c>
      <c r="K4617" s="24" t="str">
        <f aca="false">IF(OR(E4617="",E4617="!!!",F4617="NEW"),"",INDEX(J$1:J4616,SUMPRODUCT(MAX(ROW(E$1:E4616)*(E4617=E$1:E4616)))))</f>
        <v/>
      </c>
      <c r="L4617" s="31"/>
    </row>
    <row r="4618" customFormat="false" ht="15" hidden="false" customHeight="false" outlineLevel="0" collapsed="false">
      <c r="A4618" s="20" t="s">
        <v>1569</v>
      </c>
      <c r="E4618" s="23" t="str">
        <f aca="false">IF(D4618="?OLD","!!!","")</f>
        <v/>
      </c>
      <c r="F4618" s="25" t="str">
        <f aca="false">IF(OR(E4618="",E4618="!!!"),"",IF(NOT(ISNA(VLOOKUP(E4618,E$1:E4617,1,FALSE()))),"OLD",IF(AND(E4618&lt;&gt;"",E4618&lt;&gt;"!!!"),"NEW","")))</f>
        <v/>
      </c>
      <c r="G4618" s="26" t="str">
        <f aca="false">IF(OR(E4618="",E4618="!!!"),"",IF(OR(J4618=0,AND(J4618=1,K4618=1),AND(J4618=1,I4618="SBJ"),AND(J4618=1,I4618=0)),"?IN_FOCUS",IF(J4618&lt;=2,"?ACTIVATED",IF(J4618&lt;&gt;"","?FAMILIAR",IF(F4618="NEW",IF(ISNA(VLOOKUP(E4618,#REF!,1,FALSE())),"?TYPE_IDENTIFIABLE","?REFERENTIAL"),"_")))))</f>
        <v/>
      </c>
      <c r="H4618" s="27" t="str">
        <f aca="false">IF(J4618&lt;&gt;1,"",IF(I4618="SBJ","CB","?"))</f>
        <v/>
      </c>
      <c r="I4618" s="24" t="str">
        <f aca="false">IF(OR(E4618="",E4618="!!!",F4618="NEW"),"",INDEX(B15:B$4604,-1+SUMPRODUCT(MAX(ROW(E15:E$4604)*(E4618=E15:E$4604)))))</f>
        <v/>
      </c>
      <c r="J4618" s="24" t="str">
        <f aca="true">IF(OR(E4618="",E4618="!!!",F4618="NEW"),"",COUNTBLANK(OFFSET(A$1,,,SUMPRODUCT(MAX(ROW(E$2:E4618)*(E4618=E$2:E4618)))))-COUNTBLANK(OFFSET(A$1,,,SUMPRODUCT(MAX(ROW(E$1:E4617)*(E2=E$1:E4617))))))</f>
        <v/>
      </c>
      <c r="K4618" s="24" t="str">
        <f aca="false">IF(OR(E4618="",E4618="!!!",F4618="NEW"),"",INDEX(J$1:J4617,SUMPRODUCT(MAX(ROW(E$1:E4617)*(E4618=E$1:E4617)))))</f>
        <v/>
      </c>
      <c r="L4618" s="31"/>
    </row>
    <row r="4619" customFormat="false" ht="15" hidden="false" customHeight="false" outlineLevel="0" collapsed="false">
      <c r="A4619" s="20" t="s">
        <v>1109</v>
      </c>
      <c r="E4619" s="23" t="str">
        <f aca="false">IF(D4619="?OLD","!!!","")</f>
        <v/>
      </c>
      <c r="F4619" s="25" t="str">
        <f aca="false">IF(OR(E4619="",E4619="!!!"),"",IF(NOT(ISNA(VLOOKUP(E4619,E$1:E4618,1,FALSE()))),"OLD",IF(AND(E4619&lt;&gt;"",E4619&lt;&gt;"!!!"),"NEW","")))</f>
        <v/>
      </c>
      <c r="G4619" s="26" t="str">
        <f aca="false">IF(OR(E4619="",E4619="!!!"),"",IF(OR(J4619=0,AND(J4619=1,K4619=1),AND(J4619=1,I4619="SBJ"),AND(J4619=1,I4619=0)),"?IN_FOCUS",IF(J4619&lt;=2,"?ACTIVATED",IF(J4619&lt;&gt;"","?FAMILIAR",IF(F4619="NEW",IF(ISNA(VLOOKUP(E4619,#REF!,1,FALSE())),"?TYPE_IDENTIFIABLE","?REFERENTIAL"),"_")))))</f>
        <v/>
      </c>
      <c r="H4619" s="27" t="str">
        <f aca="false">IF(J4619&lt;&gt;1,"",IF(I4619="SBJ","CB","?"))</f>
        <v/>
      </c>
      <c r="I4619" s="24" t="str">
        <f aca="false">IF(OR(E4619="",E4619="!!!",F4619="NEW"),"",INDEX(B16:B$4604,-1+SUMPRODUCT(MAX(ROW(E16:E$4604)*(E4619=E16:E$4604)))))</f>
        <v/>
      </c>
      <c r="J4619" s="24" t="str">
        <f aca="true">IF(OR(E4619="",E4619="!!!",F4619="NEW"),"",COUNTBLANK(OFFSET(A$1,,,SUMPRODUCT(MAX(ROW(E$2:E4619)*(E4619=E$2:E4619)))))-COUNTBLANK(OFFSET(A$1,,,SUMPRODUCT(MAX(ROW(E$1:E4618)*(E2=E$1:E4618))))))</f>
        <v/>
      </c>
      <c r="K4619" s="24" t="str">
        <f aca="false">IF(OR(E4619="",E4619="!!!",F4619="NEW"),"",INDEX(J$1:J4618,SUMPRODUCT(MAX(ROW(E$1:E4618)*(E4619=E$1:E4618)))))</f>
        <v/>
      </c>
      <c r="L4619" s="31"/>
    </row>
    <row r="4620" customFormat="false" ht="15" hidden="false" customHeight="false" outlineLevel="0" collapsed="false">
      <c r="A4620" s="20" t="s">
        <v>1458</v>
      </c>
      <c r="B4620" s="22" t="s">
        <v>1091</v>
      </c>
      <c r="C4620" s="22" t="s">
        <v>1150</v>
      </c>
      <c r="D4620" s="22" t="s">
        <v>1060</v>
      </c>
      <c r="E4620" s="23" t="str">
        <f aca="false">IF(D4620="?OLD","!!!","")</f>
        <v>!!!</v>
      </c>
      <c r="F4620" s="25" t="str">
        <f aca="false">IF(OR(E4620="",E4620="!!!"),"",IF(NOT(ISNA(VLOOKUP(E4620,E$1:E4619,1,FALSE()))),"OLD",IF(AND(E4620&lt;&gt;"",E4620&lt;&gt;"!!!"),"NEW","")))</f>
        <v/>
      </c>
      <c r="G4620" s="26" t="str">
        <f aca="false">IF(OR(E4620="",E4620="!!!"),"",IF(OR(J4620=0,AND(J4620=1,K4620=1),AND(J4620=1,I4620="SBJ"),AND(J4620=1,I4620=0)),"?IN_FOCUS",IF(J4620&lt;=2,"?ACTIVATED",IF(J4620&lt;&gt;"","?FAMILIAR",IF(F4620="NEW",IF(ISNA(VLOOKUP(E4620,#REF!,1,FALSE())),"?TYPE_IDENTIFIABLE","?REFERENTIAL"),"_")))))</f>
        <v/>
      </c>
      <c r="H4620" s="27" t="str">
        <f aca="false">IF(J4620&lt;&gt;1,"",IF(I4620="SBJ","CB","?"))</f>
        <v/>
      </c>
      <c r="I4620" s="24" t="str">
        <f aca="false">IF(OR(E4620="",E4620="!!!",F4620="NEW"),"",INDEX(B17:B$4604,-1+SUMPRODUCT(MAX(ROW(E17:E$4604)*(E4620=E17:E$4604)))))</f>
        <v/>
      </c>
      <c r="J4620" s="24" t="str">
        <f aca="true">IF(OR(E4620="",E4620="!!!",F4620="NEW"),"",COUNTBLANK(OFFSET(A$1,,,SUMPRODUCT(MAX(ROW(E$2:E4620)*(E4620=E$2:E4620)))))-COUNTBLANK(OFFSET(A$1,,,SUMPRODUCT(MAX(ROW(E$1:E4619)*(E2=E$1:E4619))))))</f>
        <v/>
      </c>
      <c r="K4620" s="24" t="str">
        <f aca="false">IF(OR(E4620="",E4620="!!!",F4620="NEW"),"",INDEX(J$1:J4619,SUMPRODUCT(MAX(ROW(E$1:E4619)*(E4620=E$1:E4619)))))</f>
        <v/>
      </c>
      <c r="L4620" s="31"/>
    </row>
    <row r="4621" customFormat="false" ht="15" hidden="false" customHeight="false" outlineLevel="0" collapsed="false">
      <c r="A4621" s="20" t="s">
        <v>2418</v>
      </c>
      <c r="E4621" s="23" t="str">
        <f aca="false">IF(D4621="?OLD","!!!","")</f>
        <v/>
      </c>
      <c r="F4621" s="25" t="str">
        <f aca="false">IF(OR(E4621="",E4621="!!!"),"",IF(NOT(ISNA(VLOOKUP(E4621,E$1:E4620,1,FALSE()))),"OLD",IF(AND(E4621&lt;&gt;"",E4621&lt;&gt;"!!!"),"NEW","")))</f>
        <v/>
      </c>
      <c r="G4621" s="26" t="str">
        <f aca="false">IF(OR(E4621="",E4621="!!!"),"",IF(OR(J4621=0,AND(J4621=1,K4621=1),AND(J4621=1,I4621="SBJ"),AND(J4621=1,I4621=0)),"?IN_FOCUS",IF(J4621&lt;=2,"?ACTIVATED",IF(J4621&lt;&gt;"","?FAMILIAR",IF(F4621="NEW",IF(ISNA(VLOOKUP(E4621,#REF!,1,FALSE())),"?TYPE_IDENTIFIABLE","?REFERENTIAL"),"_")))))</f>
        <v/>
      </c>
      <c r="H4621" s="27" t="str">
        <f aca="false">IF(J4621&lt;&gt;1,"",IF(I4621="SBJ","CB","?"))</f>
        <v/>
      </c>
      <c r="I4621" s="24" t="str">
        <f aca="false">IF(OR(E4621="",E4621="!!!",F4621="NEW"),"",INDEX(B18:B$4604,-1+SUMPRODUCT(MAX(ROW(E18:E$4604)*(E4621=E18:E$4604)))))</f>
        <v/>
      </c>
      <c r="J4621" s="24" t="str">
        <f aca="true">IF(OR(E4621="",E4621="!!!",F4621="NEW"),"",COUNTBLANK(OFFSET(A$1,,,SUMPRODUCT(MAX(ROW(E$2:E4621)*(E4621=E$2:E4621)))))-COUNTBLANK(OFFSET(A$1,,,SUMPRODUCT(MAX(ROW(E$1:E4620)*(E2=E$1:E4620))))))</f>
        <v/>
      </c>
      <c r="K4621" s="24" t="str">
        <f aca="false">IF(OR(E4621="",E4621="!!!",F4621="NEW"),"",INDEX(J$1:J4620,SUMPRODUCT(MAX(ROW(E$1:E4620)*(E4621=E$1:E4620)))))</f>
        <v/>
      </c>
      <c r="L4621" s="31"/>
    </row>
    <row r="4622" customFormat="false" ht="15" hidden="false" customHeight="false" outlineLevel="0" collapsed="false">
      <c r="A4622" s="20" t="s">
        <v>1119</v>
      </c>
      <c r="E4622" s="23" t="str">
        <f aca="false">IF(D4622="?OLD","!!!","")</f>
        <v/>
      </c>
      <c r="F4622" s="25" t="str">
        <f aca="false">IF(OR(E4622="",E4622="!!!"),"",IF(NOT(ISNA(VLOOKUP(E4622,E$1:E4621,1,FALSE()))),"OLD",IF(AND(E4622&lt;&gt;"",E4622&lt;&gt;"!!!"),"NEW","")))</f>
        <v/>
      </c>
      <c r="G4622" s="26" t="str">
        <f aca="false">IF(OR(E4622="",E4622="!!!"),"",IF(OR(J4622=0,AND(J4622=1,K4622=1),AND(J4622=1,I4622="SBJ"),AND(J4622=1,I4622=0)),"?IN_FOCUS",IF(J4622&lt;=2,"?ACTIVATED",IF(J4622&lt;&gt;"","?FAMILIAR",IF(F4622="NEW",IF(ISNA(VLOOKUP(E4622,#REF!,1,FALSE())),"?TYPE_IDENTIFIABLE","?REFERENTIAL"),"_")))))</f>
        <v/>
      </c>
      <c r="H4622" s="27" t="str">
        <f aca="false">IF(J4622&lt;&gt;1,"",IF(I4622="SBJ","CB","?"))</f>
        <v/>
      </c>
      <c r="I4622" s="24" t="str">
        <f aca="false">IF(OR(E4622="",E4622="!!!",F4622="NEW"),"",INDEX(B19:B$4604,-1+SUMPRODUCT(MAX(ROW(E19:E$4604)*(E4622=E19:E$4604)))))</f>
        <v/>
      </c>
      <c r="J4622" s="24" t="str">
        <f aca="true">IF(OR(E4622="",E4622="!!!",F4622="NEW"),"",COUNTBLANK(OFFSET(A$1,,,SUMPRODUCT(MAX(ROW(E$2:E4622)*(E4622=E$2:E4622)))))-COUNTBLANK(OFFSET(A$1,,,SUMPRODUCT(MAX(ROW(E$1:E4621)*(E2=E$1:E4621))))))</f>
        <v/>
      </c>
      <c r="K4622" s="24" t="str">
        <f aca="false">IF(OR(E4622="",E4622="!!!",F4622="NEW"),"",INDEX(J$1:J4621,SUMPRODUCT(MAX(ROW(E$1:E4621)*(E4622=E$1:E4621)))))</f>
        <v/>
      </c>
      <c r="L4622" s="31"/>
    </row>
    <row r="4623" customFormat="false" ht="15" hidden="false" customHeight="false" outlineLevel="0" collapsed="false">
      <c r="A4623" s="20" t="s">
        <v>2419</v>
      </c>
      <c r="B4623" s="22" t="s">
        <v>1098</v>
      </c>
      <c r="C4623" s="22" t="s">
        <v>1160</v>
      </c>
      <c r="E4623" s="23" t="str">
        <f aca="false">IF(D4623="?OLD","!!!","")</f>
        <v/>
      </c>
      <c r="F4623" s="25" t="str">
        <f aca="false">IF(OR(E4623="",E4623="!!!"),"",IF(NOT(ISNA(VLOOKUP(E4623,E$1:E4622,1,FALSE()))),"OLD",IF(AND(E4623&lt;&gt;"",E4623&lt;&gt;"!!!"),"NEW","")))</f>
        <v/>
      </c>
      <c r="G4623" s="26" t="str">
        <f aca="false">IF(OR(E4623="",E4623="!!!"),"",IF(OR(J4623=0,AND(J4623=1,K4623=1),AND(J4623=1,I4623="SBJ"),AND(J4623=1,I4623=0)),"?IN_FOCUS",IF(J4623&lt;=2,"?ACTIVATED",IF(J4623&lt;&gt;"","?FAMILIAR",IF(F4623="NEW",IF(ISNA(VLOOKUP(E4623,#REF!,1,FALSE())),"?TYPE_IDENTIFIABLE","?REFERENTIAL"),"_")))))</f>
        <v/>
      </c>
      <c r="H4623" s="27" t="str">
        <f aca="false">IF(J4623&lt;&gt;1,"",IF(I4623="SBJ","CB","?"))</f>
        <v/>
      </c>
      <c r="I4623" s="24" t="str">
        <f aca="false">IF(OR(E4623="",E4623="!!!",F4623="NEW"),"",INDEX(B20:B$4604,-1+SUMPRODUCT(MAX(ROW(E20:E$4604)*(E4623=E20:E$4604)))))</f>
        <v/>
      </c>
      <c r="J4623" s="24" t="str">
        <f aca="true">IF(OR(E4623="",E4623="!!!",F4623="NEW"),"",COUNTBLANK(OFFSET(A$1,,,SUMPRODUCT(MAX(ROW(E$2:E4623)*(E4623=E$2:E4623)))))-COUNTBLANK(OFFSET(A$1,,,SUMPRODUCT(MAX(ROW(E$1:E4622)*(E2=E$1:E4622))))))</f>
        <v/>
      </c>
      <c r="K4623" s="24" t="str">
        <f aca="false">IF(OR(E4623="",E4623="!!!",F4623="NEW"),"",INDEX(J$1:J4622,SUMPRODUCT(MAX(ROW(E$1:E4622)*(E4623=E$1:E4622)))))</f>
        <v/>
      </c>
      <c r="L4623" s="31"/>
    </row>
    <row r="4624" customFormat="false" ht="15" hidden="false" customHeight="false" outlineLevel="0" collapsed="false">
      <c r="A4624" s="20" t="s">
        <v>1095</v>
      </c>
      <c r="E4624" s="23" t="str">
        <f aca="false">IF(D4624="?OLD","!!!","")</f>
        <v/>
      </c>
      <c r="F4624" s="25" t="str">
        <f aca="false">IF(OR(E4624="",E4624="!!!"),"",IF(NOT(ISNA(VLOOKUP(E4624,E$1:E4623,1,FALSE()))),"OLD",IF(AND(E4624&lt;&gt;"",E4624&lt;&gt;"!!!"),"NEW","")))</f>
        <v/>
      </c>
      <c r="G4624" s="26" t="str">
        <f aca="false">IF(OR(E4624="",E4624="!!!"),"",IF(OR(J4624=0,AND(J4624=1,K4624=1),AND(J4624=1,I4624="SBJ"),AND(J4624=1,I4624=0)),"?IN_FOCUS",IF(J4624&lt;=2,"?ACTIVATED",IF(J4624&lt;&gt;"","?FAMILIAR",IF(F4624="NEW",IF(ISNA(VLOOKUP(E4624,#REF!,1,FALSE())),"?TYPE_IDENTIFIABLE","?REFERENTIAL"),"_")))))</f>
        <v/>
      </c>
      <c r="H4624" s="27" t="str">
        <f aca="false">IF(J4624&lt;&gt;1,"",IF(I4624="SBJ","CB","?"))</f>
        <v/>
      </c>
      <c r="I4624" s="24" t="str">
        <f aca="false">IF(OR(E4624="",E4624="!!!",F4624="NEW"),"",INDEX(B21:B$4604,-1+SUMPRODUCT(MAX(ROW(E21:E$4604)*(E4624=E21:E$4604)))))</f>
        <v/>
      </c>
      <c r="J4624" s="24" t="str">
        <f aca="true">IF(OR(E4624="",E4624="!!!",F4624="NEW"),"",COUNTBLANK(OFFSET(A$1,,,SUMPRODUCT(MAX(ROW(E$2:E4624)*(E4624=E$2:E4624)))))-COUNTBLANK(OFFSET(A$1,,,SUMPRODUCT(MAX(ROW(E$1:E4623)*(E2=E$1:E4623))))))</f>
        <v/>
      </c>
      <c r="K4624" s="24" t="str">
        <f aca="false">IF(OR(E4624="",E4624="!!!",F4624="NEW"),"",INDEX(J$1:J4623,SUMPRODUCT(MAX(ROW(E$1:E4623)*(E4624=E$1:E4623)))))</f>
        <v/>
      </c>
      <c r="L4624" s="31"/>
    </row>
    <row r="4625" customFormat="false" ht="15" hidden="false" customHeight="false" outlineLevel="0" collapsed="false">
      <c r="A4625" s="20" t="s">
        <v>2419</v>
      </c>
      <c r="B4625" s="22" t="s">
        <v>1098</v>
      </c>
      <c r="C4625" s="22" t="s">
        <v>1160</v>
      </c>
      <c r="E4625" s="23" t="str">
        <f aca="false">IF(D4625="?OLD","!!!","")</f>
        <v/>
      </c>
      <c r="F4625" s="25" t="str">
        <f aca="false">IF(OR(E4625="",E4625="!!!"),"",IF(NOT(ISNA(VLOOKUP(E4625,E$1:E4624,1,FALSE()))),"OLD",IF(AND(E4625&lt;&gt;"",E4625&lt;&gt;"!!!"),"NEW","")))</f>
        <v/>
      </c>
      <c r="G4625" s="26" t="str">
        <f aca="false">IF(OR(E4625="",E4625="!!!"),"",IF(OR(J4625=0,AND(J4625=1,K4625=1),AND(J4625=1,I4625="SBJ"),AND(J4625=1,I4625=0)),"?IN_FOCUS",IF(J4625&lt;=2,"?ACTIVATED",IF(J4625&lt;&gt;"","?FAMILIAR",IF(F4625="NEW",IF(ISNA(VLOOKUP(E4625,#REF!,1,FALSE())),"?TYPE_IDENTIFIABLE","?REFERENTIAL"),"_")))))</f>
        <v/>
      </c>
      <c r="H4625" s="27" t="str">
        <f aca="false">IF(J4625&lt;&gt;1,"",IF(I4625="SBJ","CB","?"))</f>
        <v/>
      </c>
      <c r="I4625" s="24" t="str">
        <f aca="false">IF(OR(E4625="",E4625="!!!",F4625="NEW"),"",INDEX(B22:B$4604,-1+SUMPRODUCT(MAX(ROW(E22:E$4604)*(E4625=E22:E$4604)))))</f>
        <v/>
      </c>
      <c r="J4625" s="24" t="str">
        <f aca="true">IF(OR(E4625="",E4625="!!!",F4625="NEW"),"",COUNTBLANK(OFFSET(A$1,,,SUMPRODUCT(MAX(ROW(E$2:E4625)*(E4625=E$2:E4625)))))-COUNTBLANK(OFFSET(A$1,,,SUMPRODUCT(MAX(ROW(E$1:E4624)*(E2=E$1:E4624))))))</f>
        <v/>
      </c>
      <c r="K4625" s="24" t="str">
        <f aca="false">IF(OR(E4625="",E4625="!!!",F4625="NEW"),"",INDEX(J$1:J4624,SUMPRODUCT(MAX(ROW(E$1:E4624)*(E4625=E$1:E4624)))))</f>
        <v/>
      </c>
      <c r="L4625" s="31"/>
    </row>
    <row r="4626" customFormat="false" ht="15" hidden="false" customHeight="false" outlineLevel="0" collapsed="false">
      <c r="A4626" s="20" t="s">
        <v>1064</v>
      </c>
      <c r="E4626" s="23" t="str">
        <f aca="false">IF(D4626="?OLD","!!!","")</f>
        <v/>
      </c>
      <c r="F4626" s="25" t="str">
        <f aca="false">IF(OR(E4626="",E4626="!!!"),"",IF(NOT(ISNA(VLOOKUP(E4626,E$1:E4625,1,FALSE()))),"OLD",IF(AND(E4626&lt;&gt;"",E4626&lt;&gt;"!!!"),"NEW","")))</f>
        <v/>
      </c>
      <c r="G4626" s="26" t="str">
        <f aca="false">IF(OR(E4626="",E4626="!!!"),"",IF(OR(J4626=0,AND(J4626=1,K4626=1),AND(J4626=1,I4626="SBJ"),AND(J4626=1,I4626=0)),"?IN_FOCUS",IF(J4626&lt;=2,"?ACTIVATED",IF(J4626&lt;&gt;"","?FAMILIAR",IF(F4626="NEW",IF(ISNA(VLOOKUP(E4626,#REF!,1,FALSE())),"?TYPE_IDENTIFIABLE","?REFERENTIAL"),"_")))))</f>
        <v/>
      </c>
      <c r="H4626" s="27" t="str">
        <f aca="false">IF(J4626&lt;&gt;1,"",IF(I4626="SBJ","CB","?"))</f>
        <v/>
      </c>
      <c r="I4626" s="24" t="str">
        <f aca="false">IF(OR(E4626="",E4626="!!!",F4626="NEW"),"",INDEX(B23:B$4604,-1+SUMPRODUCT(MAX(ROW(E23:E$4604)*(E4626=E23:E$4604)))))</f>
        <v/>
      </c>
      <c r="J4626" s="24" t="str">
        <f aca="true">IF(OR(E4626="",E4626="!!!",F4626="NEW"),"",COUNTBLANK(OFFSET(A$1,,,SUMPRODUCT(MAX(ROW(E$2:E4626)*(E4626=E$2:E4626)))))-COUNTBLANK(OFFSET(A$1,,,SUMPRODUCT(MAX(ROW(E$1:E4625)*(E2=E$1:E4625))))))</f>
        <v/>
      </c>
      <c r="K4626" s="24" t="str">
        <f aca="false">IF(OR(E4626="",E4626="!!!",F4626="NEW"),"",INDEX(J$1:J4625,SUMPRODUCT(MAX(ROW(E$1:E4625)*(E4626=E$1:E4625)))))</f>
        <v/>
      </c>
      <c r="L4626" s="31"/>
    </row>
    <row r="4627" customFormat="false" ht="15" hidden="false" customHeight="false" outlineLevel="0" collapsed="false">
      <c r="A4627" s="20" t="s">
        <v>2420</v>
      </c>
      <c r="B4627" s="22" t="s">
        <v>1112</v>
      </c>
      <c r="C4627" s="22" t="s">
        <v>1160</v>
      </c>
      <c r="E4627" s="23" t="str">
        <f aca="false">IF(D4627="?OLD","!!!","")</f>
        <v/>
      </c>
      <c r="F4627" s="25" t="str">
        <f aca="false">IF(OR(E4627="",E4627="!!!"),"",IF(NOT(ISNA(VLOOKUP(E4627,E$1:E4626,1,FALSE()))),"OLD",IF(AND(E4627&lt;&gt;"",E4627&lt;&gt;"!!!"),"NEW","")))</f>
        <v/>
      </c>
      <c r="G4627" s="26" t="str">
        <f aca="false">IF(OR(E4627="",E4627="!!!"),"",IF(OR(J4627=0,AND(J4627=1,K4627=1),AND(J4627=1,I4627="SBJ"),AND(J4627=1,I4627=0)),"?IN_FOCUS",IF(J4627&lt;=2,"?ACTIVATED",IF(J4627&lt;&gt;"","?FAMILIAR",IF(F4627="NEW",IF(ISNA(VLOOKUP(E4627,#REF!,1,FALSE())),"?TYPE_IDENTIFIABLE","?REFERENTIAL"),"_")))))</f>
        <v/>
      </c>
      <c r="H4627" s="27" t="str">
        <f aca="false">IF(J4627&lt;&gt;1,"",IF(I4627="SBJ","CB","?"))</f>
        <v/>
      </c>
      <c r="I4627" s="24" t="str">
        <f aca="false">IF(OR(E4627="",E4627="!!!",F4627="NEW"),"",INDEX(B24:B$4604,-1+SUMPRODUCT(MAX(ROW(E24:E$4604)*(E4627=E24:E$4604)))))</f>
        <v/>
      </c>
      <c r="J4627" s="24" t="str">
        <f aca="true">IF(OR(E4627="",E4627="!!!",F4627="NEW"),"",COUNTBLANK(OFFSET(A$1,,,SUMPRODUCT(MAX(ROW(E$2:E4627)*(E4627=E$2:E4627)))))-COUNTBLANK(OFFSET(A$1,,,SUMPRODUCT(MAX(ROW(E$1:E4626)*(E2=E$1:E4626))))))</f>
        <v/>
      </c>
      <c r="K4627" s="24" t="str">
        <f aca="false">IF(OR(E4627="",E4627="!!!",F4627="NEW"),"",INDEX(J$1:J4626,SUMPRODUCT(MAX(ROW(E$1:E4626)*(E4627=E$1:E4626)))))</f>
        <v/>
      </c>
      <c r="L4627" s="31"/>
    </row>
    <row r="4628" customFormat="false" ht="15" hidden="false" customHeight="false" outlineLevel="0" collapsed="false">
      <c r="A4628" s="20" t="s">
        <v>1776</v>
      </c>
      <c r="E4628" s="23" t="str">
        <f aca="false">IF(D4628="?OLD","!!!","")</f>
        <v/>
      </c>
      <c r="F4628" s="25" t="str">
        <f aca="false">IF(OR(E4628="",E4628="!!!"),"",IF(NOT(ISNA(VLOOKUP(E4628,E$1:E4627,1,FALSE()))),"OLD",IF(AND(E4628&lt;&gt;"",E4628&lt;&gt;"!!!"),"NEW","")))</f>
        <v/>
      </c>
      <c r="G4628" s="26" t="str">
        <f aca="false">IF(OR(E4628="",E4628="!!!"),"",IF(OR(J4628=0,AND(J4628=1,K4628=1),AND(J4628=1,I4628="SBJ"),AND(J4628=1,I4628=0)),"?IN_FOCUS",IF(J4628&lt;=2,"?ACTIVATED",IF(J4628&lt;&gt;"","?FAMILIAR",IF(F4628="NEW",IF(ISNA(VLOOKUP(E4628,#REF!,1,FALSE())),"?TYPE_IDENTIFIABLE","?REFERENTIAL"),"_")))))</f>
        <v/>
      </c>
      <c r="H4628" s="27" t="str">
        <f aca="false">IF(J4628&lt;&gt;1,"",IF(I4628="SBJ","CB","?"))</f>
        <v/>
      </c>
      <c r="I4628" s="24" t="str">
        <f aca="false">IF(OR(E4628="",E4628="!!!",F4628="NEW"),"",INDEX(B25:B$4604,-1+SUMPRODUCT(MAX(ROW(E25:E$4604)*(E4628=E25:E$4604)))))</f>
        <v/>
      </c>
      <c r="J4628" s="24" t="str">
        <f aca="true">IF(OR(E4628="",E4628="!!!",F4628="NEW"),"",COUNTBLANK(OFFSET(A$1,,,SUMPRODUCT(MAX(ROW(E$2:E4628)*(E4628=E$2:E4628)))))-COUNTBLANK(OFFSET(A$1,,,SUMPRODUCT(MAX(ROW(E$1:E4627)*(E2=E$1:E4627))))))</f>
        <v/>
      </c>
      <c r="K4628" s="24" t="str">
        <f aca="false">IF(OR(E4628="",E4628="!!!",F4628="NEW"),"",INDEX(J$1:J4627,SUMPRODUCT(MAX(ROW(E$1:E4627)*(E4628=E$1:E4627)))))</f>
        <v/>
      </c>
      <c r="L4628" s="31"/>
    </row>
    <row r="4629" customFormat="false" ht="15" hidden="false" customHeight="false" outlineLevel="0" collapsed="false">
      <c r="A4629" s="20" t="s">
        <v>1130</v>
      </c>
      <c r="E4629" s="23" t="str">
        <f aca="false">IF(D4629="?OLD","!!!","")</f>
        <v/>
      </c>
      <c r="F4629" s="25" t="str">
        <f aca="false">IF(OR(E4629="",E4629="!!!"),"",IF(NOT(ISNA(VLOOKUP(E4629,E$1:E4628,1,FALSE()))),"OLD",IF(AND(E4629&lt;&gt;"",E4629&lt;&gt;"!!!"),"NEW","")))</f>
        <v/>
      </c>
      <c r="G4629" s="26" t="str">
        <f aca="false">IF(OR(E4629="",E4629="!!!"),"",IF(OR(J4629=0,AND(J4629=1,K4629=1),AND(J4629=1,I4629="SBJ"),AND(J4629=1,I4629=0)),"?IN_FOCUS",IF(J4629&lt;=2,"?ACTIVATED",IF(J4629&lt;&gt;"","?FAMILIAR",IF(F4629="NEW",IF(ISNA(VLOOKUP(E4629,#REF!,1,FALSE())),"?TYPE_IDENTIFIABLE","?REFERENTIAL"),"_")))))</f>
        <v/>
      </c>
      <c r="H4629" s="27" t="str">
        <f aca="false">IF(J4629&lt;&gt;1,"",IF(I4629="SBJ","CB","?"))</f>
        <v/>
      </c>
      <c r="I4629" s="24" t="str">
        <f aca="false">IF(OR(E4629="",E4629="!!!",F4629="NEW"),"",INDEX(B26:B$4604,-1+SUMPRODUCT(MAX(ROW(E26:E$4604)*(E4629=E26:E$4604)))))</f>
        <v/>
      </c>
      <c r="J4629" s="24" t="str">
        <f aca="true">IF(OR(E4629="",E4629="!!!",F4629="NEW"),"",COUNTBLANK(OFFSET(A$1,,,SUMPRODUCT(MAX(ROW(E$2:E4629)*(E4629=E$2:E4629)))))-COUNTBLANK(OFFSET(A$1,,,SUMPRODUCT(MAX(ROW(E$1:E4628)*(E2=E$1:E4628))))))</f>
        <v/>
      </c>
      <c r="K4629" s="24" t="str">
        <f aca="false">IF(OR(E4629="",E4629="!!!",F4629="NEW"),"",INDEX(J$1:J4628,SUMPRODUCT(MAX(ROW(E$1:E4628)*(E4629=E$1:E4628)))))</f>
        <v/>
      </c>
      <c r="L4629" s="31"/>
    </row>
    <row r="4630" customFormat="false" ht="15" hidden="false" customHeight="false" outlineLevel="0" collapsed="false">
      <c r="A4630" s="20" t="s">
        <v>2421</v>
      </c>
      <c r="E4630" s="23" t="str">
        <f aca="false">IF(D4630="?OLD","!!!","")</f>
        <v/>
      </c>
      <c r="F4630" s="25" t="str">
        <f aca="false">IF(OR(E4630="",E4630="!!!"),"",IF(NOT(ISNA(VLOOKUP(E4630,E$1:E4629,1,FALSE()))),"OLD",IF(AND(E4630&lt;&gt;"",E4630&lt;&gt;"!!!"),"NEW","")))</f>
        <v/>
      </c>
      <c r="G4630" s="26" t="str">
        <f aca="false">IF(OR(E4630="",E4630="!!!"),"",IF(OR(J4630=0,AND(J4630=1,K4630=1),AND(J4630=1,I4630="SBJ"),AND(J4630=1,I4630=0)),"?IN_FOCUS",IF(J4630&lt;=2,"?ACTIVATED",IF(J4630&lt;&gt;"","?FAMILIAR",IF(F4630="NEW",IF(ISNA(VLOOKUP(E4630,#REF!,1,FALSE())),"?TYPE_IDENTIFIABLE","?REFERENTIAL"),"_")))))</f>
        <v/>
      </c>
      <c r="H4630" s="27" t="str">
        <f aca="false">IF(J4630&lt;&gt;1,"",IF(I4630="SBJ","CB","?"))</f>
        <v/>
      </c>
      <c r="I4630" s="24" t="str">
        <f aca="false">IF(OR(E4630="",E4630="!!!",F4630="NEW"),"",INDEX(B27:B$4604,-1+SUMPRODUCT(MAX(ROW(E27:E$4604)*(E4630=E27:E$4604)))))</f>
        <v/>
      </c>
      <c r="J4630" s="24" t="str">
        <f aca="true">IF(OR(E4630="",E4630="!!!",F4630="NEW"),"",COUNTBLANK(OFFSET(A$1,,,SUMPRODUCT(MAX(ROW(E$2:E4630)*(E4630=E$2:E4630)))))-COUNTBLANK(OFFSET(A$1,,,SUMPRODUCT(MAX(ROW(E$1:E4629)*(E2=E$1:E4629))))))</f>
        <v/>
      </c>
      <c r="K4630" s="24" t="str">
        <f aca="false">IF(OR(E4630="",E4630="!!!",F4630="NEW"),"",INDEX(J$1:J4629,SUMPRODUCT(MAX(ROW(E$1:E4629)*(E4630=E$1:E4629)))))</f>
        <v/>
      </c>
      <c r="L4630" s="31"/>
    </row>
    <row r="4631" customFormat="false" ht="15" hidden="false" customHeight="false" outlineLevel="0" collapsed="false">
      <c r="A4631" s="20" t="s">
        <v>16</v>
      </c>
      <c r="E4631" s="23" t="str">
        <f aca="false">IF(D4631="?OLD","!!!","")</f>
        <v/>
      </c>
      <c r="F4631" s="25" t="str">
        <f aca="false">IF(OR(E4631="",E4631="!!!"),"",IF(NOT(ISNA(VLOOKUP(E4631,E$1:E4630,1,FALSE()))),"OLD",IF(AND(E4631&lt;&gt;"",E4631&lt;&gt;"!!!"),"NEW","")))</f>
        <v/>
      </c>
      <c r="G4631" s="26" t="str">
        <f aca="false">IF(OR(E4631="",E4631="!!!"),"",IF(OR(J4631=0,AND(J4631=1,K4631=1),AND(J4631=1,I4631="SBJ"),AND(J4631=1,I4631=0)),"?IN_FOCUS",IF(J4631&lt;=2,"?ACTIVATED",IF(J4631&lt;&gt;"","?FAMILIAR",IF(F4631="NEW",IF(ISNA(VLOOKUP(E4631,#REF!,1,FALSE())),"?TYPE_IDENTIFIABLE","?REFERENTIAL"),"_")))))</f>
        <v/>
      </c>
      <c r="H4631" s="27" t="str">
        <f aca="false">IF(J4631&lt;&gt;1,"",IF(I4631="SBJ","CB","?"))</f>
        <v/>
      </c>
      <c r="I4631" s="24" t="str">
        <f aca="false">IF(OR(E4631="",E4631="!!!",F4631="NEW"),"",INDEX(B28:B$4604,-1+SUMPRODUCT(MAX(ROW(E28:E$4604)*(E4631=E28:E$4604)))))</f>
        <v/>
      </c>
      <c r="J4631" s="24" t="str">
        <f aca="true">IF(OR(E4631="",E4631="!!!",F4631="NEW"),"",COUNTBLANK(OFFSET(A$1,,,SUMPRODUCT(MAX(ROW(E$2:E4631)*(E4631=E$2:E4631)))))-COUNTBLANK(OFFSET(A$1,,,SUMPRODUCT(MAX(ROW(E$1:E4630)*(E2=E$1:E4630))))))</f>
        <v/>
      </c>
      <c r="K4631" s="24" t="str">
        <f aca="false">IF(OR(E4631="",E4631="!!!",F4631="NEW"),"",INDEX(J$1:J4630,SUMPRODUCT(MAX(ROW(E$1:E4630)*(E4631=E$1:E4630)))))</f>
        <v/>
      </c>
      <c r="L4631" s="31"/>
    </row>
    <row r="4632" customFormat="false" ht="15" hidden="false" customHeight="false" outlineLevel="0" collapsed="false">
      <c r="A4632" s="20" t="s">
        <v>2422</v>
      </c>
      <c r="E4632" s="23" t="str">
        <f aca="false">IF(D4632="?OLD","!!!","")</f>
        <v/>
      </c>
      <c r="F4632" s="25" t="str">
        <f aca="false">IF(OR(E4632="",E4632="!!!"),"",IF(NOT(ISNA(VLOOKUP(E4632,E$1:E4631,1,FALSE()))),"OLD",IF(AND(E4632&lt;&gt;"",E4632&lt;&gt;"!!!"),"NEW","")))</f>
        <v/>
      </c>
      <c r="G4632" s="26" t="str">
        <f aca="false">IF(OR(E4632="",E4632="!!!"),"",IF(OR(J4632=0,AND(J4632=1,K4632=1),AND(J4632=1,I4632="SBJ"),AND(J4632=1,I4632=0)),"?IN_FOCUS",IF(J4632&lt;=2,"?ACTIVATED",IF(J4632&lt;&gt;"","?FAMILIAR",IF(F4632="NEW",IF(ISNA(VLOOKUP(E4632,#REF!,1,FALSE())),"?TYPE_IDENTIFIABLE","?REFERENTIAL"),"_")))))</f>
        <v/>
      </c>
      <c r="H4632" s="27" t="str">
        <f aca="false">IF(J4632&lt;&gt;1,"",IF(I4632="SBJ","CB","?"))</f>
        <v/>
      </c>
      <c r="I4632" s="24" t="str">
        <f aca="false">IF(OR(E4632="",E4632="!!!",F4632="NEW"),"",INDEX(B29:B$4604,-1+SUMPRODUCT(MAX(ROW(E29:E$4604)*(E4632=E29:E$4604)))))</f>
        <v/>
      </c>
      <c r="J4632" s="24" t="str">
        <f aca="true">IF(OR(E4632="",E4632="!!!",F4632="NEW"),"",COUNTBLANK(OFFSET(A$1,,,SUMPRODUCT(MAX(ROW(E$2:E4632)*(E4632=E$2:E4632)))))-COUNTBLANK(OFFSET(A$1,,,SUMPRODUCT(MAX(ROW(E$1:E4631)*(E2=E$1:E4631))))))</f>
        <v/>
      </c>
      <c r="K4632" s="24" t="str">
        <f aca="false">IF(OR(E4632="",E4632="!!!",F4632="NEW"),"",INDEX(J$1:J4631,SUMPRODUCT(MAX(ROW(E$1:E4631)*(E4632=E$1:E4631)))))</f>
        <v/>
      </c>
      <c r="L4632" s="31"/>
    </row>
    <row r="4633" customFormat="false" ht="15" hidden="false" customHeight="false" outlineLevel="0" collapsed="false">
      <c r="A4633" s="20" t="s">
        <v>2423</v>
      </c>
      <c r="B4633" s="22" t="s">
        <v>1107</v>
      </c>
      <c r="C4633" s="22" t="s">
        <v>1171</v>
      </c>
      <c r="D4633" s="22" t="s">
        <v>1060</v>
      </c>
      <c r="E4633" s="23" t="str">
        <f aca="false">IF(D4633="?OLD","!!!","")</f>
        <v>!!!</v>
      </c>
      <c r="F4633" s="25" t="str">
        <f aca="false">IF(OR(E4633="",E4633="!!!"),"",IF(NOT(ISNA(VLOOKUP(E4633,E$1:E4632,1,FALSE()))),"OLD",IF(AND(E4633&lt;&gt;"",E4633&lt;&gt;"!!!"),"NEW","")))</f>
        <v/>
      </c>
      <c r="G4633" s="26" t="str">
        <f aca="false">IF(OR(E4633="",E4633="!!!"),"",IF(OR(J4633=0,AND(J4633=1,K4633=1),AND(J4633=1,I4633="SBJ"),AND(J4633=1,I4633=0)),"?IN_FOCUS",IF(J4633&lt;=2,"?ACTIVATED",IF(J4633&lt;&gt;"","?FAMILIAR",IF(F4633="NEW",IF(ISNA(VLOOKUP(E4633,#REF!,1,FALSE())),"?TYPE_IDENTIFIABLE","?REFERENTIAL"),"_")))))</f>
        <v/>
      </c>
      <c r="H4633" s="27" t="str">
        <f aca="false">IF(J4633&lt;&gt;1,"",IF(I4633="SBJ","CB","?"))</f>
        <v/>
      </c>
      <c r="I4633" s="24" t="str">
        <f aca="false">IF(OR(E4633="",E4633="!!!",F4633="NEW"),"",INDEX(B30:B$4604,-1+SUMPRODUCT(MAX(ROW(E30:E$4604)*(E4633=E30:E$4604)))))</f>
        <v/>
      </c>
      <c r="J4633" s="24" t="str">
        <f aca="true">IF(OR(E4633="",E4633="!!!",F4633="NEW"),"",COUNTBLANK(OFFSET(A$1,,,SUMPRODUCT(MAX(ROW(E$2:E4633)*(E4633=E$2:E4633)))))-COUNTBLANK(OFFSET(A$1,,,SUMPRODUCT(MAX(ROW(E$1:E4632)*(E2=E$1:E4632))))))</f>
        <v/>
      </c>
      <c r="K4633" s="24" t="str">
        <f aca="false">IF(OR(E4633="",E4633="!!!",F4633="NEW"),"",INDEX(J$1:J4632,SUMPRODUCT(MAX(ROW(E$1:E4632)*(E4633=E$1:E4632)))))</f>
        <v/>
      </c>
      <c r="L4633" s="31"/>
    </row>
    <row r="4634" customFormat="false" ht="15" hidden="false" customHeight="false" outlineLevel="0" collapsed="false">
      <c r="A4634" s="20" t="s">
        <v>1128</v>
      </c>
      <c r="E4634" s="23" t="str">
        <f aca="false">IF(D4634="?OLD","!!!","")</f>
        <v/>
      </c>
      <c r="F4634" s="25" t="str">
        <f aca="false">IF(OR(E4634="",E4634="!!!"),"",IF(NOT(ISNA(VLOOKUP(E4634,E$1:E4633,1,FALSE()))),"OLD",IF(AND(E4634&lt;&gt;"",E4634&lt;&gt;"!!!"),"NEW","")))</f>
        <v/>
      </c>
      <c r="G4634" s="26" t="str">
        <f aca="false">IF(OR(E4634="",E4634="!!!"),"",IF(OR(J4634=0,AND(J4634=1,K4634=1),AND(J4634=1,I4634="SBJ"),AND(J4634=1,I4634=0)),"?IN_FOCUS",IF(J4634&lt;=2,"?ACTIVATED",IF(J4634&lt;&gt;"","?FAMILIAR",IF(F4634="NEW",IF(ISNA(VLOOKUP(E4634,#REF!,1,FALSE())),"?TYPE_IDENTIFIABLE","?REFERENTIAL"),"_")))))</f>
        <v/>
      </c>
      <c r="H4634" s="27" t="str">
        <f aca="false">IF(J4634&lt;&gt;1,"",IF(I4634="SBJ","CB","?"))</f>
        <v/>
      </c>
      <c r="I4634" s="24" t="str">
        <f aca="false">IF(OR(E4634="",E4634="!!!",F4634="NEW"),"",INDEX(B31:B$4604,-1+SUMPRODUCT(MAX(ROW(E31:E$4604)*(E4634=E31:E$4604)))))</f>
        <v/>
      </c>
      <c r="J4634" s="24" t="str">
        <f aca="true">IF(OR(E4634="",E4634="!!!",F4634="NEW"),"",COUNTBLANK(OFFSET(A$1,,,SUMPRODUCT(MAX(ROW(E$2:E4634)*(E4634=E$2:E4634)))))-COUNTBLANK(OFFSET(A$1,,,SUMPRODUCT(MAX(ROW(E$1:E4633)*(E2=E$1:E4633))))))</f>
        <v/>
      </c>
      <c r="K4634" s="24" t="str">
        <f aca="false">IF(OR(E4634="",E4634="!!!",F4634="NEW"),"",INDEX(J$1:J4633,SUMPRODUCT(MAX(ROW(E$1:E4633)*(E4634=E$1:E4633)))))</f>
        <v/>
      </c>
      <c r="L4634" s="31"/>
    </row>
    <row r="4635" customFormat="false" ht="15" hidden="false" customHeight="false" outlineLevel="0" collapsed="false">
      <c r="A4635" s="20" t="s">
        <v>2424</v>
      </c>
      <c r="E4635" s="23" t="str">
        <f aca="false">IF(D4635="?OLD","!!!","")</f>
        <v/>
      </c>
      <c r="F4635" s="25" t="str">
        <f aca="false">IF(OR(E4635="",E4635="!!!"),"",IF(NOT(ISNA(VLOOKUP(E4635,E$1:E4634,1,FALSE()))),"OLD",IF(AND(E4635&lt;&gt;"",E4635&lt;&gt;"!!!"),"NEW","")))</f>
        <v/>
      </c>
      <c r="G4635" s="26" t="str">
        <f aca="false">IF(OR(E4635="",E4635="!!!"),"",IF(OR(J4635=0,AND(J4635=1,K4635=1),AND(J4635=1,I4635="SBJ"),AND(J4635=1,I4635=0)),"?IN_FOCUS",IF(J4635&lt;=2,"?ACTIVATED",IF(J4635&lt;&gt;"","?FAMILIAR",IF(F4635="NEW",IF(ISNA(VLOOKUP(E4635,#REF!,1,FALSE())),"?TYPE_IDENTIFIABLE","?REFERENTIAL"),"_")))))</f>
        <v/>
      </c>
      <c r="H4635" s="27" t="str">
        <f aca="false">IF(J4635&lt;&gt;1,"",IF(I4635="SBJ","CB","?"))</f>
        <v/>
      </c>
      <c r="I4635" s="24" t="str">
        <f aca="false">IF(OR(E4635="",E4635="!!!",F4635="NEW"),"",INDEX(B32:B$4604,-1+SUMPRODUCT(MAX(ROW(E32:E$4604)*(E4635=E32:E$4604)))))</f>
        <v/>
      </c>
      <c r="J4635" s="24" t="str">
        <f aca="true">IF(OR(E4635="",E4635="!!!",F4635="NEW"),"",COUNTBLANK(OFFSET(A$1,,,SUMPRODUCT(MAX(ROW(E$2:E4635)*(E4635=E$2:E4635)))))-COUNTBLANK(OFFSET(A$1,,,SUMPRODUCT(MAX(ROW(E$1:E4634)*(E2=E$1:E4634))))))</f>
        <v/>
      </c>
      <c r="K4635" s="24" t="str">
        <f aca="false">IF(OR(E4635="",E4635="!!!",F4635="NEW"),"",INDEX(J$1:J4634,SUMPRODUCT(MAX(ROW(E$1:E4634)*(E4635=E$1:E4634)))))</f>
        <v/>
      </c>
      <c r="L4635" s="31"/>
    </row>
    <row r="4636" customFormat="false" ht="15" hidden="false" customHeight="false" outlineLevel="0" collapsed="false">
      <c r="A4636" s="20" t="s">
        <v>2425</v>
      </c>
      <c r="B4636" s="22" t="s">
        <v>1098</v>
      </c>
      <c r="C4636" s="22" t="s">
        <v>1160</v>
      </c>
      <c r="E4636" s="23" t="str">
        <f aca="false">IF(D4636="?OLD","!!!","")</f>
        <v/>
      </c>
      <c r="F4636" s="25" t="str">
        <f aca="false">IF(OR(E4636="",E4636="!!!"),"",IF(NOT(ISNA(VLOOKUP(E4636,E$1:E4635,1,FALSE()))),"OLD",IF(AND(E4636&lt;&gt;"",E4636&lt;&gt;"!!!"),"NEW","")))</f>
        <v/>
      </c>
      <c r="G4636" s="26" t="str">
        <f aca="false">IF(OR(E4636="",E4636="!!!"),"",IF(OR(J4636=0,AND(J4636=1,K4636=1),AND(J4636=1,I4636="SBJ"),AND(J4636=1,I4636=0)),"?IN_FOCUS",IF(J4636&lt;=2,"?ACTIVATED",IF(J4636&lt;&gt;"","?FAMILIAR",IF(F4636="NEW",IF(ISNA(VLOOKUP(E4636,#REF!,1,FALSE())),"?TYPE_IDENTIFIABLE","?REFERENTIAL"),"_")))))</f>
        <v/>
      </c>
      <c r="H4636" s="27" t="str">
        <f aca="false">IF(J4636&lt;&gt;1,"",IF(I4636="SBJ","CB","?"))</f>
        <v/>
      </c>
      <c r="I4636" s="24" t="str">
        <f aca="false">IF(OR(E4636="",E4636="!!!",F4636="NEW"),"",INDEX(B33:B$4604,-1+SUMPRODUCT(MAX(ROW(E33:E$4604)*(E4636=E33:E$4604)))))</f>
        <v/>
      </c>
      <c r="J4636" s="24" t="str">
        <f aca="true">IF(OR(E4636="",E4636="!!!",F4636="NEW"),"",COUNTBLANK(OFFSET(A$1,,,SUMPRODUCT(MAX(ROW(E$2:E4636)*(E4636=E$2:E4636)))))-COUNTBLANK(OFFSET(A$1,,,SUMPRODUCT(MAX(ROW(E$1:E4635)*(E2=E$1:E4635))))))</f>
        <v/>
      </c>
      <c r="K4636" s="24" t="str">
        <f aca="false">IF(OR(E4636="",E4636="!!!",F4636="NEW"),"",INDEX(J$1:J4635,SUMPRODUCT(MAX(ROW(E$1:E4635)*(E4636=E$1:E4635)))))</f>
        <v/>
      </c>
      <c r="L4636" s="31"/>
    </row>
    <row r="4637" customFormat="false" ht="15" hidden="false" customHeight="false" outlineLevel="0" collapsed="false">
      <c r="A4637" s="20" t="s">
        <v>1125</v>
      </c>
      <c r="B4637" s="22" t="s">
        <v>1134</v>
      </c>
      <c r="E4637" s="23" t="str">
        <f aca="false">IF(D4637="?OLD","!!!","")</f>
        <v/>
      </c>
      <c r="F4637" s="25" t="str">
        <f aca="false">IF(OR(E4637="",E4637="!!!"),"",IF(NOT(ISNA(VLOOKUP(E4637,E$1:E4636,1,FALSE()))),"OLD",IF(AND(E4637&lt;&gt;"",E4637&lt;&gt;"!!!"),"NEW","")))</f>
        <v/>
      </c>
      <c r="G4637" s="26" t="str">
        <f aca="false">IF(OR(E4637="",E4637="!!!"),"",IF(OR(J4637=0,AND(J4637=1,K4637=1),AND(J4637=1,I4637="SBJ"),AND(J4637=1,I4637=0)),"?IN_FOCUS",IF(J4637&lt;=2,"?ACTIVATED",IF(J4637&lt;&gt;"","?FAMILIAR",IF(F4637="NEW",IF(ISNA(VLOOKUP(E4637,#REF!,1,FALSE())),"?TYPE_IDENTIFIABLE","?REFERENTIAL"),"_")))))</f>
        <v/>
      </c>
      <c r="H4637" s="27" t="str">
        <f aca="false">IF(J4637&lt;&gt;1,"",IF(I4637="SBJ","CB","?"))</f>
        <v/>
      </c>
      <c r="I4637" s="24" t="str">
        <f aca="false">IF(OR(E4637="",E4637="!!!",F4637="NEW"),"",INDEX(B34:B$4604,-1+SUMPRODUCT(MAX(ROW(E34:E$4604)*(E4637=E34:E$4604)))))</f>
        <v/>
      </c>
      <c r="J4637" s="24" t="str">
        <f aca="true">IF(OR(E4637="",E4637="!!!",F4637="NEW"),"",COUNTBLANK(OFFSET(A$1,,,SUMPRODUCT(MAX(ROW(E$2:E4637)*(E4637=E$2:E4637)))))-COUNTBLANK(OFFSET(A$1,,,SUMPRODUCT(MAX(ROW(E$1:E4636)*(E2=E$1:E4636))))))</f>
        <v/>
      </c>
      <c r="K4637" s="24" t="str">
        <f aca="false">IF(OR(E4637="",E4637="!!!",F4637="NEW"),"",INDEX(J$1:J4636,SUMPRODUCT(MAX(ROW(E$1:E4636)*(E4637=E$1:E4636)))))</f>
        <v/>
      </c>
      <c r="L4637" s="31"/>
    </row>
    <row r="4638" customFormat="false" ht="15" hidden="false" customHeight="false" outlineLevel="0" collapsed="false">
      <c r="A4638" s="20" t="s">
        <v>2426</v>
      </c>
      <c r="E4638" s="23" t="str">
        <f aca="false">IF(D4638="?OLD","!!!","")</f>
        <v/>
      </c>
      <c r="F4638" s="25" t="str">
        <f aca="false">IF(OR(E4638="",E4638="!!!"),"",IF(NOT(ISNA(VLOOKUP(E4638,E$1:E4637,1,FALSE()))),"OLD",IF(AND(E4638&lt;&gt;"",E4638&lt;&gt;"!!!"),"NEW","")))</f>
        <v/>
      </c>
      <c r="G4638" s="26" t="str">
        <f aca="false">IF(OR(E4638="",E4638="!!!"),"",IF(OR(J4638=0,AND(J4638=1,K4638=1),AND(J4638=1,I4638="SBJ"),AND(J4638=1,I4638=0)),"?IN_FOCUS",IF(J4638&lt;=2,"?ACTIVATED",IF(J4638&lt;&gt;"","?FAMILIAR",IF(F4638="NEW",IF(ISNA(VLOOKUP(E4638,#REF!,1,FALSE())),"?TYPE_IDENTIFIABLE","?REFERENTIAL"),"_")))))</f>
        <v/>
      </c>
      <c r="H4638" s="27" t="str">
        <f aca="false">IF(J4638&lt;&gt;1,"",IF(I4638="SBJ","CB","?"))</f>
        <v/>
      </c>
      <c r="I4638" s="24" t="str">
        <f aca="false">IF(OR(E4638="",E4638="!!!",F4638="NEW"),"",INDEX(B35:B$4604,-1+SUMPRODUCT(MAX(ROW(E35:E$4604)*(E4638=E35:E$4604)))))</f>
        <v/>
      </c>
      <c r="J4638" s="24" t="str">
        <f aca="true">IF(OR(E4638="",E4638="!!!",F4638="NEW"),"",COUNTBLANK(OFFSET(A$1,,,SUMPRODUCT(MAX(ROW(E$2:E4638)*(E4638=E$2:E4638)))))-COUNTBLANK(OFFSET(A$1,,,SUMPRODUCT(MAX(ROW(E$1:E4637)*(E2=E$1:E4637))))))</f>
        <v/>
      </c>
      <c r="K4638" s="24" t="str">
        <f aca="false">IF(OR(E4638="",E4638="!!!",F4638="NEW"),"",INDEX(J$1:J4637,SUMPRODUCT(MAX(ROW(E$1:E4637)*(E4638=E$1:E4637)))))</f>
        <v/>
      </c>
      <c r="L4638" s="31"/>
    </row>
    <row r="4639" customFormat="false" ht="15" hidden="false" customHeight="false" outlineLevel="0" collapsed="false">
      <c r="A4639" s="20" t="s">
        <v>1109</v>
      </c>
      <c r="E4639" s="23" t="str">
        <f aca="false">IF(D4639="?OLD","!!!","")</f>
        <v/>
      </c>
      <c r="F4639" s="25" t="str">
        <f aca="false">IF(OR(E4639="",E4639="!!!"),"",IF(NOT(ISNA(VLOOKUP(E4639,E$1:E4638,1,FALSE()))),"OLD",IF(AND(E4639&lt;&gt;"",E4639&lt;&gt;"!!!"),"NEW","")))</f>
        <v/>
      </c>
      <c r="G4639" s="26" t="str">
        <f aca="false">IF(OR(E4639="",E4639="!!!"),"",IF(OR(J4639=0,AND(J4639=1,K4639=1),AND(J4639=1,I4639="SBJ"),AND(J4639=1,I4639=0)),"?IN_FOCUS",IF(J4639&lt;=2,"?ACTIVATED",IF(J4639&lt;&gt;"","?FAMILIAR",IF(F4639="NEW",IF(ISNA(VLOOKUP(E4639,#REF!,1,FALSE())),"?TYPE_IDENTIFIABLE","?REFERENTIAL"),"_")))))</f>
        <v/>
      </c>
      <c r="H4639" s="27" t="str">
        <f aca="false">IF(J4639&lt;&gt;1,"",IF(I4639="SBJ","CB","?"))</f>
        <v/>
      </c>
      <c r="I4639" s="24" t="str">
        <f aca="false">IF(OR(E4639="",E4639="!!!",F4639="NEW"),"",INDEX(B36:B$4604,-1+SUMPRODUCT(MAX(ROW(E36:E$4604)*(E4639=E36:E$4604)))))</f>
        <v/>
      </c>
      <c r="J4639" s="24" t="str">
        <f aca="true">IF(OR(E4639="",E4639="!!!",F4639="NEW"),"",COUNTBLANK(OFFSET(A$1,,,SUMPRODUCT(MAX(ROW(E$2:E4639)*(E4639=E$2:E4639)))))-COUNTBLANK(OFFSET(A$1,,,SUMPRODUCT(MAX(ROW(E$1:E4638)*(E2=E$1:E4638))))))</f>
        <v/>
      </c>
      <c r="K4639" s="24" t="str">
        <f aca="false">IF(OR(E4639="",E4639="!!!",F4639="NEW"),"",INDEX(J$1:J4638,SUMPRODUCT(MAX(ROW(E$1:E4638)*(E4639=E$1:E4638)))))</f>
        <v/>
      </c>
      <c r="L4639" s="31"/>
    </row>
    <row r="4640" customFormat="false" ht="15" hidden="false" customHeight="false" outlineLevel="0" collapsed="false">
      <c r="A4640" s="20" t="s">
        <v>2330</v>
      </c>
      <c r="B4640" s="22" t="s">
        <v>1320</v>
      </c>
      <c r="C4640" s="22" t="s">
        <v>1150</v>
      </c>
      <c r="D4640" s="22" t="s">
        <v>1060</v>
      </c>
      <c r="E4640" s="23" t="str">
        <f aca="false">IF(D4640="?OLD","!!!","")</f>
        <v>!!!</v>
      </c>
      <c r="F4640" s="25" t="str">
        <f aca="false">IF(OR(E4640="",E4640="!!!"),"",IF(NOT(ISNA(VLOOKUP(E4640,E$1:E4639,1,FALSE()))),"OLD",IF(AND(E4640&lt;&gt;"",E4640&lt;&gt;"!!!"),"NEW","")))</f>
        <v/>
      </c>
      <c r="G4640" s="26" t="str">
        <f aca="false">IF(OR(E4640="",E4640="!!!"),"",IF(OR(J4640=0,AND(J4640=1,K4640=1),AND(J4640=1,I4640="SBJ"),AND(J4640=1,I4640=0)),"?IN_FOCUS",IF(J4640&lt;=2,"?ACTIVATED",IF(J4640&lt;&gt;"","?FAMILIAR",IF(F4640="NEW",IF(ISNA(VLOOKUP(E4640,#REF!,1,FALSE())),"?TYPE_IDENTIFIABLE","?REFERENTIAL"),"_")))))</f>
        <v/>
      </c>
      <c r="H4640" s="27" t="str">
        <f aca="false">IF(J4640&lt;&gt;1,"",IF(I4640="SBJ","CB","?"))</f>
        <v/>
      </c>
      <c r="I4640" s="24" t="str">
        <f aca="false">IF(OR(E4640="",E4640="!!!",F4640="NEW"),"",INDEX(B37:B$4604,-1+SUMPRODUCT(MAX(ROW(E37:E$4604)*(E4640=E37:E$4604)))))</f>
        <v/>
      </c>
      <c r="J4640" s="24" t="str">
        <f aca="true">IF(OR(E4640="",E4640="!!!",F4640="NEW"),"",COUNTBLANK(OFFSET(A$1,,,SUMPRODUCT(MAX(ROW(E$2:E4640)*(E4640=E$2:E4640)))))-COUNTBLANK(OFFSET(A$1,,,SUMPRODUCT(MAX(ROW(E$1:E4639)*(E2=E$1:E4639))))))</f>
        <v/>
      </c>
      <c r="K4640" s="24" t="str">
        <f aca="false">IF(OR(E4640="",E4640="!!!",F4640="NEW"),"",INDEX(J$1:J4639,SUMPRODUCT(MAX(ROW(E$1:E4639)*(E4640=E$1:E4639)))))</f>
        <v/>
      </c>
      <c r="L4640" s="31"/>
    </row>
    <row r="4641" customFormat="false" ht="15" hidden="false" customHeight="false" outlineLevel="0" collapsed="false">
      <c r="A4641" s="20" t="s">
        <v>1095</v>
      </c>
      <c r="E4641" s="23" t="str">
        <f aca="false">IF(D4641="?OLD","!!!","")</f>
        <v/>
      </c>
      <c r="F4641" s="25" t="str">
        <f aca="false">IF(OR(E4641="",E4641="!!!"),"",IF(NOT(ISNA(VLOOKUP(E4641,E$1:E4640,1,FALSE()))),"OLD",IF(AND(E4641&lt;&gt;"",E4641&lt;&gt;"!!!"),"NEW","")))</f>
        <v/>
      </c>
      <c r="G4641" s="26" t="str">
        <f aca="false">IF(OR(E4641="",E4641="!!!"),"",IF(OR(J4641=0,AND(J4641=1,K4641=1),AND(J4641=1,I4641="SBJ"),AND(J4641=1,I4641=0)),"?IN_FOCUS",IF(J4641&lt;=2,"?ACTIVATED",IF(J4641&lt;&gt;"","?FAMILIAR",IF(F4641="NEW",IF(ISNA(VLOOKUP(E4641,#REF!,1,FALSE())),"?TYPE_IDENTIFIABLE","?REFERENTIAL"),"_")))))</f>
        <v/>
      </c>
      <c r="H4641" s="27" t="str">
        <f aca="false">IF(J4641&lt;&gt;1,"",IF(I4641="SBJ","CB","?"))</f>
        <v/>
      </c>
      <c r="I4641" s="24" t="str">
        <f aca="false">IF(OR(E4641="",E4641="!!!",F4641="NEW"),"",INDEX(B38:B$4604,-1+SUMPRODUCT(MAX(ROW(E38:E$4604)*(E4641=E38:E$4604)))))</f>
        <v/>
      </c>
      <c r="J4641" s="24" t="str">
        <f aca="true">IF(OR(E4641="",E4641="!!!",F4641="NEW"),"",COUNTBLANK(OFFSET(A$1,,,SUMPRODUCT(MAX(ROW(E$2:E4641)*(E4641=E$2:E4641)))))-COUNTBLANK(OFFSET(A$1,,,SUMPRODUCT(MAX(ROW(E$1:E4640)*(E2=E$1:E4640))))))</f>
        <v/>
      </c>
      <c r="K4641" s="24" t="str">
        <f aca="false">IF(OR(E4641="",E4641="!!!",F4641="NEW"),"",INDEX(J$1:J4640,SUMPRODUCT(MAX(ROW(E$1:E4640)*(E4641=E$1:E4640)))))</f>
        <v/>
      </c>
      <c r="L4641" s="31"/>
    </row>
    <row r="4642" customFormat="false" ht="15" hidden="false" customHeight="false" outlineLevel="0" collapsed="false">
      <c r="A4642" s="20" t="s">
        <v>1109</v>
      </c>
      <c r="E4642" s="23" t="str">
        <f aca="false">IF(D4642="?OLD","!!!","")</f>
        <v/>
      </c>
      <c r="F4642" s="25" t="str">
        <f aca="false">IF(OR(E4642="",E4642="!!!"),"",IF(NOT(ISNA(VLOOKUP(E4642,E$1:E4641,1,FALSE()))),"OLD",IF(AND(E4642&lt;&gt;"",E4642&lt;&gt;"!!!"),"NEW","")))</f>
        <v/>
      </c>
      <c r="G4642" s="26" t="str">
        <f aca="false">IF(OR(E4642="",E4642="!!!"),"",IF(OR(J4642=0,AND(J4642=1,K4642=1),AND(J4642=1,I4642="SBJ"),AND(J4642=1,I4642=0)),"?IN_FOCUS",IF(J4642&lt;=2,"?ACTIVATED",IF(J4642&lt;&gt;"","?FAMILIAR",IF(F4642="NEW",IF(ISNA(VLOOKUP(E4642,#REF!,1,FALSE())),"?TYPE_IDENTIFIABLE","?REFERENTIAL"),"_")))))</f>
        <v/>
      </c>
      <c r="H4642" s="27" t="str">
        <f aca="false">IF(J4642&lt;&gt;1,"",IF(I4642="SBJ","CB","?"))</f>
        <v/>
      </c>
      <c r="I4642" s="24" t="str">
        <f aca="false">IF(OR(E4642="",E4642="!!!",F4642="NEW"),"",INDEX(B39:B$4604,-1+SUMPRODUCT(MAX(ROW(E39:E$4604)*(E4642=E39:E$4604)))))</f>
        <v/>
      </c>
      <c r="J4642" s="24" t="str">
        <f aca="true">IF(OR(E4642="",E4642="!!!",F4642="NEW"),"",COUNTBLANK(OFFSET(A$1,,,SUMPRODUCT(MAX(ROW(E$2:E4642)*(E4642=E$2:E4642)))))-COUNTBLANK(OFFSET(A$1,,,SUMPRODUCT(MAX(ROW(E$1:E4641)*(E2=E$1:E4641))))))</f>
        <v/>
      </c>
      <c r="K4642" s="24" t="str">
        <f aca="false">IF(OR(E4642="",E4642="!!!",F4642="NEW"),"",INDEX(J$1:J4641,SUMPRODUCT(MAX(ROW(E$1:E4641)*(E4642=E$1:E4641)))))</f>
        <v/>
      </c>
      <c r="L4642" s="31"/>
    </row>
    <row r="4643" customFormat="false" ht="15" hidden="false" customHeight="false" outlineLevel="0" collapsed="false">
      <c r="A4643" s="20" t="s">
        <v>2427</v>
      </c>
      <c r="B4643" s="22" t="s">
        <v>1203</v>
      </c>
      <c r="C4643" s="22" t="s">
        <v>1150</v>
      </c>
      <c r="D4643" s="22" t="s">
        <v>1060</v>
      </c>
      <c r="E4643" s="23" t="str">
        <f aca="false">IF(D4643="?OLD","!!!","")</f>
        <v>!!!</v>
      </c>
      <c r="F4643" s="25" t="str">
        <f aca="false">IF(OR(E4643="",E4643="!!!"),"",IF(NOT(ISNA(VLOOKUP(E4643,E$1:E4642,1,FALSE()))),"OLD",IF(AND(E4643&lt;&gt;"",E4643&lt;&gt;"!!!"),"NEW","")))</f>
        <v/>
      </c>
      <c r="G4643" s="26" t="str">
        <f aca="false">IF(OR(E4643="",E4643="!!!"),"",IF(OR(J4643=0,AND(J4643=1,K4643=1),AND(J4643=1,I4643="SBJ"),AND(J4643=1,I4643=0)),"?IN_FOCUS",IF(J4643&lt;=2,"?ACTIVATED",IF(J4643&lt;&gt;"","?FAMILIAR",IF(F4643="NEW",IF(ISNA(VLOOKUP(E4643,#REF!,1,FALSE())),"?TYPE_IDENTIFIABLE","?REFERENTIAL"),"_")))))</f>
        <v/>
      </c>
      <c r="H4643" s="27" t="str">
        <f aca="false">IF(J4643&lt;&gt;1,"",IF(I4643="SBJ","CB","?"))</f>
        <v/>
      </c>
      <c r="I4643" s="24" t="str">
        <f aca="false">IF(OR(E4643="",E4643="!!!",F4643="NEW"),"",INDEX(B40:B$4604,-1+SUMPRODUCT(MAX(ROW(E40:E$4604)*(E4643=E40:E$4604)))))</f>
        <v/>
      </c>
      <c r="J4643" s="24" t="str">
        <f aca="true">IF(OR(E4643="",E4643="!!!",F4643="NEW"),"",COUNTBLANK(OFFSET(A$1,,,SUMPRODUCT(MAX(ROW(E$2:E4643)*(E4643=E$2:E4643)))))-COUNTBLANK(OFFSET(A$1,,,SUMPRODUCT(MAX(ROW(E$1:E4642)*(E2=E$1:E4642))))))</f>
        <v/>
      </c>
      <c r="K4643" s="24" t="str">
        <f aca="false">IF(OR(E4643="",E4643="!!!",F4643="NEW"),"",INDEX(J$1:J4642,SUMPRODUCT(MAX(ROW(E$1:E4642)*(E4643=E$1:E4642)))))</f>
        <v/>
      </c>
      <c r="L4643" s="31"/>
    </row>
    <row r="4644" customFormat="false" ht="15" hidden="false" customHeight="false" outlineLevel="0" collapsed="false">
      <c r="A4644" s="20" t="s">
        <v>923</v>
      </c>
      <c r="E4644" s="23" t="str">
        <f aca="false">IF(D4644="?OLD","!!!","")</f>
        <v/>
      </c>
      <c r="F4644" s="25" t="str">
        <f aca="false">IF(OR(E4644="",E4644="!!!"),"",IF(NOT(ISNA(VLOOKUP(E4644,E$1:E4643,1,FALSE()))),"OLD",IF(AND(E4644&lt;&gt;"",E4644&lt;&gt;"!!!"),"NEW","")))</f>
        <v/>
      </c>
      <c r="G4644" s="26" t="str">
        <f aca="false">IF(OR(E4644="",E4644="!!!"),"",IF(OR(J4644=0,AND(J4644=1,K4644=1),AND(J4644=1,I4644="SBJ"),AND(J4644=1,I4644=0)),"?IN_FOCUS",IF(J4644&lt;=2,"?ACTIVATED",IF(J4644&lt;&gt;"","?FAMILIAR",IF(F4644="NEW",IF(ISNA(VLOOKUP(E4644,#REF!,1,FALSE())),"?TYPE_IDENTIFIABLE","?REFERENTIAL"),"_")))))</f>
        <v/>
      </c>
      <c r="H4644" s="27" t="str">
        <f aca="false">IF(J4644&lt;&gt;1,"",IF(I4644="SBJ","CB","?"))</f>
        <v/>
      </c>
      <c r="I4644" s="24" t="str">
        <f aca="false">IF(OR(E4644="",E4644="!!!",F4644="NEW"),"",INDEX(B41:B$4604,-1+SUMPRODUCT(MAX(ROW(E41:E$4604)*(E4644=E41:E$4604)))))</f>
        <v/>
      </c>
      <c r="J4644" s="24" t="str">
        <f aca="true">IF(OR(E4644="",E4644="!!!",F4644="NEW"),"",COUNTBLANK(OFFSET(A$1,,,SUMPRODUCT(MAX(ROW(E$2:E4644)*(E4644=E$2:E4644)))))-COUNTBLANK(OFFSET(A$1,,,SUMPRODUCT(MAX(ROW(E$1:E4643)*(E2=E$1:E4643))))))</f>
        <v/>
      </c>
      <c r="K4644" s="24" t="str">
        <f aca="false">IF(OR(E4644="",E4644="!!!",F4644="NEW"),"",INDEX(J$1:J4643,SUMPRODUCT(MAX(ROW(E$1:E4643)*(E4644=E$1:E4643)))))</f>
        <v/>
      </c>
      <c r="L4644" s="31"/>
    </row>
    <row r="4645" customFormat="false" ht="15" hidden="false" customHeight="false" outlineLevel="0" collapsed="false">
      <c r="A4645" s="20"/>
    </row>
    <row r="4646" customFormat="false" ht="15" hidden="false" customHeight="false" outlineLevel="0" collapsed="false">
      <c r="A4646" s="20" t="s">
        <v>2428</v>
      </c>
    </row>
    <row r="4647" customFormat="false" ht="15" hidden="false" customHeight="false" outlineLevel="0" collapsed="false">
      <c r="A4647" s="20" t="s">
        <v>2429</v>
      </c>
      <c r="E4647" s="23" t="str">
        <f aca="false">IF(D4647="?OLD","!!!","")</f>
        <v/>
      </c>
      <c r="F4647" s="25" t="str">
        <f aca="false">IF(OR(E4647="",E4647="!!!"),"",IF(NOT(ISNA(VLOOKUP(E4647,E$1:E4646,1,FALSE()))),"OLD",IF(AND(E4647&lt;&gt;"",E4647&lt;&gt;"!!!"),"NEW","")))</f>
        <v/>
      </c>
      <c r="G4647" s="26" t="str">
        <f aca="false">IF(OR(E4647="",E4647="!!!"),"",IF(OR(J4647=0,AND(J4647=1,K4647=1),AND(J4647=1,I4647="SBJ"),AND(J4647=1,I4647=0)),"?IN_FOCUS",IF(J4647&lt;=2,"?ACTIVATED",IF(J4647&lt;&gt;"","?FAMILIAR",IF(F4647="NEW",IF(ISNA(VLOOKUP(E4647,#REF!,1,FALSE())),"?TYPE_IDENTIFIABLE","?REFERENTIAL"),"_")))))</f>
        <v/>
      </c>
      <c r="H4647" s="27" t="str">
        <f aca="false">IF(J4647&lt;&gt;1,"",IF(I4647="SBJ","CB","?"))</f>
        <v/>
      </c>
      <c r="I4647" s="24" t="str">
        <f aca="false">IF(OR(E4647="",E4647="!!!",F4647="NEW"),"",INDEX(B2:B$4646,-1+SUMPRODUCT(MAX(ROW(E2:E$4646)*(E4647=E2:E$4646)))))</f>
        <v/>
      </c>
      <c r="J4647" s="24" t="str">
        <f aca="true">IF(OR(E4647="",E4647="!!!",F4647="NEW"),"",COUNTBLANK(OFFSET(A$1,,,SUMPRODUCT(MAX(ROW(E$2:E4647)*(E4647=E$2:E4647)))))-COUNTBLANK(OFFSET(A$1,,,SUMPRODUCT(MAX(ROW(E$1:E4646)*(E2=E$1:E4646))))))</f>
        <v/>
      </c>
      <c r="K4647" s="24" t="str">
        <f aca="false">IF(OR(E4647="",E4647="!!!",F4647="NEW"),"",INDEX(J$1:J4646,SUMPRODUCT(MAX(ROW(E$1:E4646)*(E4647=E$1:E4646)))))</f>
        <v/>
      </c>
      <c r="L4647" s="31"/>
    </row>
    <row r="4648" customFormat="false" ht="15" hidden="false" customHeight="false" outlineLevel="0" collapsed="false">
      <c r="A4648" s="20" t="s">
        <v>2430</v>
      </c>
      <c r="B4648" s="22" t="s">
        <v>1081</v>
      </c>
      <c r="C4648" s="22" t="s">
        <v>1160</v>
      </c>
      <c r="E4648" s="23" t="str">
        <f aca="false">IF(D4648="?OLD","!!!","")</f>
        <v/>
      </c>
      <c r="F4648" s="25" t="str">
        <f aca="false">IF(OR(E4648="",E4648="!!!"),"",IF(NOT(ISNA(VLOOKUP(E4648,E$1:E4647,1,FALSE()))),"OLD",IF(AND(E4648&lt;&gt;"",E4648&lt;&gt;"!!!"),"NEW","")))</f>
        <v/>
      </c>
      <c r="G4648" s="26" t="str">
        <f aca="false">IF(OR(E4648="",E4648="!!!"),"",IF(OR(J4648=0,AND(J4648=1,K4648=1),AND(J4648=1,I4648="SBJ"),AND(J4648=1,I4648=0)),"?IN_FOCUS",IF(J4648&lt;=2,"?ACTIVATED",IF(J4648&lt;&gt;"","?FAMILIAR",IF(F4648="NEW",IF(ISNA(VLOOKUP(E4648,#REF!,1,FALSE())),"?TYPE_IDENTIFIABLE","?REFERENTIAL"),"_")))))</f>
        <v/>
      </c>
      <c r="H4648" s="27" t="str">
        <f aca="false">IF(J4648&lt;&gt;1,"",IF(I4648="SBJ","CB","?"))</f>
        <v/>
      </c>
      <c r="I4648" s="24" t="str">
        <f aca="false">IF(OR(E4648="",E4648="!!!",F4648="NEW"),"",INDEX(B3:B$4646,-1+SUMPRODUCT(MAX(ROW(E3:E$4646)*(E4648=E3:E$4646)))))</f>
        <v/>
      </c>
      <c r="J4648" s="24" t="str">
        <f aca="true">IF(OR(E4648="",E4648="!!!",F4648="NEW"),"",COUNTBLANK(OFFSET(A$1,,,SUMPRODUCT(MAX(ROW(E$2:E4648)*(E4648=E$2:E4648)))))-COUNTBLANK(OFFSET(A$1,,,SUMPRODUCT(MAX(ROW(E$1:E4647)*(E2=E$1:E4647))))))</f>
        <v/>
      </c>
      <c r="K4648" s="24" t="str">
        <f aca="false">IF(OR(E4648="",E4648="!!!",F4648="NEW"),"",INDEX(J$1:J4647,SUMPRODUCT(MAX(ROW(E$1:E4647)*(E4648=E$1:E4647)))))</f>
        <v/>
      </c>
      <c r="L4648" s="31"/>
    </row>
    <row r="4649" customFormat="false" ht="15" hidden="false" customHeight="false" outlineLevel="0" collapsed="false">
      <c r="A4649" s="20" t="s">
        <v>1128</v>
      </c>
      <c r="E4649" s="23" t="str">
        <f aca="false">IF(D4649="?OLD","!!!","")</f>
        <v/>
      </c>
      <c r="F4649" s="25" t="str">
        <f aca="false">IF(OR(E4649="",E4649="!!!"),"",IF(NOT(ISNA(VLOOKUP(E4649,E$1:E4648,1,FALSE()))),"OLD",IF(AND(E4649&lt;&gt;"",E4649&lt;&gt;"!!!"),"NEW","")))</f>
        <v/>
      </c>
      <c r="G4649" s="26" t="str">
        <f aca="false">IF(OR(E4649="",E4649="!!!"),"",IF(OR(J4649=0,AND(J4649=1,K4649=1),AND(J4649=1,I4649="SBJ"),AND(J4649=1,I4649=0)),"?IN_FOCUS",IF(J4649&lt;=2,"?ACTIVATED",IF(J4649&lt;&gt;"","?FAMILIAR",IF(F4649="NEW",IF(ISNA(VLOOKUP(E4649,#REF!,1,FALSE())),"?TYPE_IDENTIFIABLE","?REFERENTIAL"),"_")))))</f>
        <v/>
      </c>
      <c r="H4649" s="27" t="str">
        <f aca="false">IF(J4649&lt;&gt;1,"",IF(I4649="SBJ","CB","?"))</f>
        <v/>
      </c>
      <c r="I4649" s="24" t="str">
        <f aca="false">IF(OR(E4649="",E4649="!!!",F4649="NEW"),"",INDEX(B4:B$4646,-1+SUMPRODUCT(MAX(ROW(E4:E$4646)*(E4649=E4:E$4646)))))</f>
        <v/>
      </c>
      <c r="J4649" s="24" t="str">
        <f aca="true">IF(OR(E4649="",E4649="!!!",F4649="NEW"),"",COUNTBLANK(OFFSET(A$1,,,SUMPRODUCT(MAX(ROW(E$2:E4649)*(E4649=E$2:E4649)))))-COUNTBLANK(OFFSET(A$1,,,SUMPRODUCT(MAX(ROW(E$1:E4648)*(E2=E$1:E4648))))))</f>
        <v/>
      </c>
      <c r="K4649" s="24" t="str">
        <f aca="false">IF(OR(E4649="",E4649="!!!",F4649="NEW"),"",INDEX(J$1:J4648,SUMPRODUCT(MAX(ROW(E$1:E4648)*(E4649=E$1:E4648)))))</f>
        <v/>
      </c>
      <c r="L4649" s="31"/>
    </row>
    <row r="4650" customFormat="false" ht="15" hidden="false" customHeight="false" outlineLevel="0" collapsed="false">
      <c r="A4650" s="20" t="s">
        <v>2431</v>
      </c>
      <c r="E4650" s="23" t="str">
        <f aca="false">IF(D4650="?OLD","!!!","")</f>
        <v/>
      </c>
      <c r="F4650" s="25" t="str">
        <f aca="false">IF(OR(E4650="",E4650="!!!"),"",IF(NOT(ISNA(VLOOKUP(E4650,E$1:E4649,1,FALSE()))),"OLD",IF(AND(E4650&lt;&gt;"",E4650&lt;&gt;"!!!"),"NEW","")))</f>
        <v/>
      </c>
      <c r="G4650" s="26" t="str">
        <f aca="false">IF(OR(E4650="",E4650="!!!"),"",IF(OR(J4650=0,AND(J4650=1,K4650=1),AND(J4650=1,I4650="SBJ"),AND(J4650=1,I4650=0)),"?IN_FOCUS",IF(J4650&lt;=2,"?ACTIVATED",IF(J4650&lt;&gt;"","?FAMILIAR",IF(F4650="NEW",IF(ISNA(VLOOKUP(E4650,#REF!,1,FALSE())),"?TYPE_IDENTIFIABLE","?REFERENTIAL"),"_")))))</f>
        <v/>
      </c>
      <c r="H4650" s="27" t="str">
        <f aca="false">IF(J4650&lt;&gt;1,"",IF(I4650="SBJ","CB","?"))</f>
        <v/>
      </c>
      <c r="I4650" s="24" t="str">
        <f aca="false">IF(OR(E4650="",E4650="!!!",F4650="NEW"),"",INDEX(B5:B$4646,-1+SUMPRODUCT(MAX(ROW(E5:E$4646)*(E4650=E5:E$4646)))))</f>
        <v/>
      </c>
      <c r="J4650" s="24" t="str">
        <f aca="true">IF(OR(E4650="",E4650="!!!",F4650="NEW"),"",COUNTBLANK(OFFSET(A$1,,,SUMPRODUCT(MAX(ROW(E$2:E4650)*(E4650=E$2:E4650)))))-COUNTBLANK(OFFSET(A$1,,,SUMPRODUCT(MAX(ROW(E$1:E4649)*(E2=E$1:E4649))))))</f>
        <v/>
      </c>
      <c r="K4650" s="24" t="str">
        <f aca="false">IF(OR(E4650="",E4650="!!!",F4650="NEW"),"",INDEX(J$1:J4649,SUMPRODUCT(MAX(ROW(E$1:E4649)*(E4650=E$1:E4649)))))</f>
        <v/>
      </c>
      <c r="L4650" s="31"/>
    </row>
    <row r="4651" customFormat="false" ht="15" hidden="false" customHeight="false" outlineLevel="0" collapsed="false">
      <c r="A4651" s="20" t="s">
        <v>1076</v>
      </c>
      <c r="E4651" s="23" t="str">
        <f aca="false">IF(D4651="?OLD","!!!","")</f>
        <v/>
      </c>
      <c r="F4651" s="25" t="str">
        <f aca="false">IF(OR(E4651="",E4651="!!!"),"",IF(NOT(ISNA(VLOOKUP(E4651,E$1:E4650,1,FALSE()))),"OLD",IF(AND(E4651&lt;&gt;"",E4651&lt;&gt;"!!!"),"NEW","")))</f>
        <v/>
      </c>
      <c r="G4651" s="26" t="str">
        <f aca="false">IF(OR(E4651="",E4651="!!!"),"",IF(OR(J4651=0,AND(J4651=1,K4651=1),AND(J4651=1,I4651="SBJ"),AND(J4651=1,I4651=0)),"?IN_FOCUS",IF(J4651&lt;=2,"?ACTIVATED",IF(J4651&lt;&gt;"","?FAMILIAR",IF(F4651="NEW",IF(ISNA(VLOOKUP(E4651,#REF!,1,FALSE())),"?TYPE_IDENTIFIABLE","?REFERENTIAL"),"_")))))</f>
        <v/>
      </c>
      <c r="H4651" s="27" t="str">
        <f aca="false">IF(J4651&lt;&gt;1,"",IF(I4651="SBJ","CB","?"))</f>
        <v/>
      </c>
      <c r="I4651" s="24" t="str">
        <f aca="false">IF(OR(E4651="",E4651="!!!",F4651="NEW"),"",INDEX(B6:B$4646,-1+SUMPRODUCT(MAX(ROW(E6:E$4646)*(E4651=E6:E$4646)))))</f>
        <v/>
      </c>
      <c r="J4651" s="24" t="str">
        <f aca="true">IF(OR(E4651="",E4651="!!!",F4651="NEW"),"",COUNTBLANK(OFFSET(A$1,,,SUMPRODUCT(MAX(ROW(E$2:E4651)*(E4651=E$2:E4651)))))-COUNTBLANK(OFFSET(A$1,,,SUMPRODUCT(MAX(ROW(E$1:E4650)*(E2=E$1:E4650))))))</f>
        <v/>
      </c>
      <c r="K4651" s="24" t="str">
        <f aca="false">IF(OR(E4651="",E4651="!!!",F4651="NEW"),"",INDEX(J$1:J4650,SUMPRODUCT(MAX(ROW(E$1:E4650)*(E4651=E$1:E4650)))))</f>
        <v/>
      </c>
      <c r="L4651" s="31"/>
    </row>
    <row r="4652" customFormat="false" ht="15" hidden="false" customHeight="false" outlineLevel="0" collapsed="false">
      <c r="A4652" s="20" t="s">
        <v>2432</v>
      </c>
      <c r="E4652" s="23" t="str">
        <f aca="false">IF(D4652="?OLD","!!!","")</f>
        <v/>
      </c>
      <c r="F4652" s="25" t="str">
        <f aca="false">IF(OR(E4652="",E4652="!!!"),"",IF(NOT(ISNA(VLOOKUP(E4652,E$1:E4651,1,FALSE()))),"OLD",IF(AND(E4652&lt;&gt;"",E4652&lt;&gt;"!!!"),"NEW","")))</f>
        <v/>
      </c>
      <c r="G4652" s="26" t="str">
        <f aca="false">IF(OR(E4652="",E4652="!!!"),"",IF(OR(J4652=0,AND(J4652=1,K4652=1),AND(J4652=1,I4652="SBJ"),AND(J4652=1,I4652=0)),"?IN_FOCUS",IF(J4652&lt;=2,"?ACTIVATED",IF(J4652&lt;&gt;"","?FAMILIAR",IF(F4652="NEW",IF(ISNA(VLOOKUP(E4652,#REF!,1,FALSE())),"?TYPE_IDENTIFIABLE","?REFERENTIAL"),"_")))))</f>
        <v/>
      </c>
      <c r="H4652" s="27" t="str">
        <f aca="false">IF(J4652&lt;&gt;1,"",IF(I4652="SBJ","CB","?"))</f>
        <v/>
      </c>
      <c r="I4652" s="24" t="str">
        <f aca="false">IF(OR(E4652="",E4652="!!!",F4652="NEW"),"",INDEX(B7:B$4646,-1+SUMPRODUCT(MAX(ROW(E7:E$4646)*(E4652=E7:E$4646)))))</f>
        <v/>
      </c>
      <c r="J4652" s="24" t="str">
        <f aca="true">IF(OR(E4652="",E4652="!!!",F4652="NEW"),"",COUNTBLANK(OFFSET(A$1,,,SUMPRODUCT(MAX(ROW(E$2:E4652)*(E4652=E$2:E4652)))))-COUNTBLANK(OFFSET(A$1,,,SUMPRODUCT(MAX(ROW(E$1:E4651)*(E2=E$1:E4651))))))</f>
        <v/>
      </c>
      <c r="K4652" s="24" t="str">
        <f aca="false">IF(OR(E4652="",E4652="!!!",F4652="NEW"),"",INDEX(J$1:J4651,SUMPRODUCT(MAX(ROW(E$1:E4651)*(E4652=E$1:E4651)))))</f>
        <v/>
      </c>
      <c r="L4652" s="31"/>
    </row>
    <row r="4653" customFormat="false" ht="15" hidden="false" customHeight="false" outlineLevel="0" collapsed="false">
      <c r="A4653" s="20" t="s">
        <v>2433</v>
      </c>
      <c r="E4653" s="23" t="str">
        <f aca="false">IF(D4653="?OLD","!!!","")</f>
        <v/>
      </c>
      <c r="F4653" s="25" t="str">
        <f aca="false">IF(OR(E4653="",E4653="!!!"),"",IF(NOT(ISNA(VLOOKUP(E4653,E$1:E4652,1,FALSE()))),"OLD",IF(AND(E4653&lt;&gt;"",E4653&lt;&gt;"!!!"),"NEW","")))</f>
        <v/>
      </c>
      <c r="G4653" s="26" t="str">
        <f aca="false">IF(OR(E4653="",E4653="!!!"),"",IF(OR(J4653=0,AND(J4653=1,K4653=1),AND(J4653=1,I4653="SBJ"),AND(J4653=1,I4653=0)),"?IN_FOCUS",IF(J4653&lt;=2,"?ACTIVATED",IF(J4653&lt;&gt;"","?FAMILIAR",IF(F4653="NEW",IF(ISNA(VLOOKUP(E4653,#REF!,1,FALSE())),"?TYPE_IDENTIFIABLE","?REFERENTIAL"),"_")))))</f>
        <v/>
      </c>
      <c r="H4653" s="27" t="str">
        <f aca="false">IF(J4653&lt;&gt;1,"",IF(I4653="SBJ","CB","?"))</f>
        <v/>
      </c>
      <c r="I4653" s="24" t="str">
        <f aca="false">IF(OR(E4653="",E4653="!!!",F4653="NEW"),"",INDEX(B8:B$4646,-1+SUMPRODUCT(MAX(ROW(E8:E$4646)*(E4653=E8:E$4646)))))</f>
        <v/>
      </c>
      <c r="J4653" s="24" t="str">
        <f aca="true">IF(OR(E4653="",E4653="!!!",F4653="NEW"),"",COUNTBLANK(OFFSET(A$1,,,SUMPRODUCT(MAX(ROW(E$2:E4653)*(E4653=E$2:E4653)))))-COUNTBLANK(OFFSET(A$1,,,SUMPRODUCT(MAX(ROW(E$1:E4652)*(E2=E$1:E4652))))))</f>
        <v/>
      </c>
      <c r="K4653" s="24" t="str">
        <f aca="false">IF(OR(E4653="",E4653="!!!",F4653="NEW"),"",INDEX(J$1:J4652,SUMPRODUCT(MAX(ROW(E$1:E4652)*(E4653=E$1:E4652)))))</f>
        <v/>
      </c>
      <c r="L4653" s="31"/>
    </row>
    <row r="4654" customFormat="false" ht="15" hidden="false" customHeight="false" outlineLevel="0" collapsed="false">
      <c r="A4654" s="20" t="s">
        <v>16</v>
      </c>
      <c r="E4654" s="23" t="str">
        <f aca="false">IF(D4654="?OLD","!!!","")</f>
        <v/>
      </c>
      <c r="F4654" s="25" t="str">
        <f aca="false">IF(OR(E4654="",E4654="!!!"),"",IF(NOT(ISNA(VLOOKUP(E4654,E$1:E4653,1,FALSE()))),"OLD",IF(AND(E4654&lt;&gt;"",E4654&lt;&gt;"!!!"),"NEW","")))</f>
        <v/>
      </c>
      <c r="G4654" s="26" t="str">
        <f aca="false">IF(OR(E4654="",E4654="!!!"),"",IF(OR(J4654=0,AND(J4654=1,K4654=1),AND(J4654=1,I4654="SBJ"),AND(J4654=1,I4654=0)),"?IN_FOCUS",IF(J4654&lt;=2,"?ACTIVATED",IF(J4654&lt;&gt;"","?FAMILIAR",IF(F4654="NEW",IF(ISNA(VLOOKUP(E4654,#REF!,1,FALSE())),"?TYPE_IDENTIFIABLE","?REFERENTIAL"),"_")))))</f>
        <v/>
      </c>
      <c r="H4654" s="27" t="str">
        <f aca="false">IF(J4654&lt;&gt;1,"",IF(I4654="SBJ","CB","?"))</f>
        <v/>
      </c>
      <c r="I4654" s="24" t="str">
        <f aca="false">IF(OR(E4654="",E4654="!!!",F4654="NEW"),"",INDEX(B9:B$4646,-1+SUMPRODUCT(MAX(ROW(E9:E$4646)*(E4654=E9:E$4646)))))</f>
        <v/>
      </c>
      <c r="J4654" s="24" t="str">
        <f aca="true">IF(OR(E4654="",E4654="!!!",F4654="NEW"),"",COUNTBLANK(OFFSET(A$1,,,SUMPRODUCT(MAX(ROW(E$2:E4654)*(E4654=E$2:E4654)))))-COUNTBLANK(OFFSET(A$1,,,SUMPRODUCT(MAX(ROW(E$1:E4653)*(E2=E$1:E4653))))))</f>
        <v/>
      </c>
      <c r="K4654" s="24" t="str">
        <f aca="false">IF(OR(E4654="",E4654="!!!",F4654="NEW"),"",INDEX(J$1:J4653,SUMPRODUCT(MAX(ROW(E$1:E4653)*(E4654=E$1:E4653)))))</f>
        <v/>
      </c>
      <c r="L4654" s="31"/>
    </row>
    <row r="4655" customFormat="false" ht="15" hidden="false" customHeight="false" outlineLevel="0" collapsed="false">
      <c r="A4655" s="20" t="s">
        <v>2434</v>
      </c>
      <c r="B4655" s="22" t="s">
        <v>1073</v>
      </c>
      <c r="C4655" s="22" t="s">
        <v>1160</v>
      </c>
      <c r="E4655" s="23" t="str">
        <f aca="false">IF(D4655="?OLD","!!!","")</f>
        <v/>
      </c>
      <c r="F4655" s="25" t="str">
        <f aca="false">IF(OR(E4655="",E4655="!!!"),"",IF(NOT(ISNA(VLOOKUP(E4655,E$1:E4654,1,FALSE()))),"OLD",IF(AND(E4655&lt;&gt;"",E4655&lt;&gt;"!!!"),"NEW","")))</f>
        <v/>
      </c>
      <c r="G4655" s="26" t="str">
        <f aca="false">IF(OR(E4655="",E4655="!!!"),"",IF(OR(J4655=0,AND(J4655=1,K4655=1),AND(J4655=1,I4655="SBJ"),AND(J4655=1,I4655=0)),"?IN_FOCUS",IF(J4655&lt;=2,"?ACTIVATED",IF(J4655&lt;&gt;"","?FAMILIAR",IF(F4655="NEW",IF(ISNA(VLOOKUP(E4655,#REF!,1,FALSE())),"?TYPE_IDENTIFIABLE","?REFERENTIAL"),"_")))))</f>
        <v/>
      </c>
      <c r="H4655" s="27" t="str">
        <f aca="false">IF(J4655&lt;&gt;1,"",IF(I4655="SBJ","CB","?"))</f>
        <v/>
      </c>
      <c r="I4655" s="24" t="str">
        <f aca="false">IF(OR(E4655="",E4655="!!!",F4655="NEW"),"",INDEX(B10:B$4646,-1+SUMPRODUCT(MAX(ROW(E10:E$4646)*(E4655=E10:E$4646)))))</f>
        <v/>
      </c>
      <c r="J4655" s="24" t="str">
        <f aca="true">IF(OR(E4655="",E4655="!!!",F4655="NEW"),"",COUNTBLANK(OFFSET(A$1,,,SUMPRODUCT(MAX(ROW(E$2:E4655)*(E4655=E$2:E4655)))))-COUNTBLANK(OFFSET(A$1,,,SUMPRODUCT(MAX(ROW(E$1:E4654)*(E2=E$1:E4654))))))</f>
        <v/>
      </c>
      <c r="K4655" s="24" t="str">
        <f aca="false">IF(OR(E4655="",E4655="!!!",F4655="NEW"),"",INDEX(J$1:J4654,SUMPRODUCT(MAX(ROW(E$1:E4654)*(E4655=E$1:E4654)))))</f>
        <v/>
      </c>
      <c r="L4655" s="31"/>
    </row>
    <row r="4656" customFormat="false" ht="15" hidden="false" customHeight="false" outlineLevel="0" collapsed="false">
      <c r="A4656" s="20" t="s">
        <v>2435</v>
      </c>
      <c r="E4656" s="23" t="str">
        <f aca="false">IF(D4656="?OLD","!!!","")</f>
        <v/>
      </c>
      <c r="F4656" s="25" t="str">
        <f aca="false">IF(OR(E4656="",E4656="!!!"),"",IF(NOT(ISNA(VLOOKUP(E4656,E$1:E4655,1,FALSE()))),"OLD",IF(AND(E4656&lt;&gt;"",E4656&lt;&gt;"!!!"),"NEW","")))</f>
        <v/>
      </c>
      <c r="G4656" s="26" t="str">
        <f aca="false">IF(OR(E4656="",E4656="!!!"),"",IF(OR(J4656=0,AND(J4656=1,K4656=1),AND(J4656=1,I4656="SBJ"),AND(J4656=1,I4656=0)),"?IN_FOCUS",IF(J4656&lt;=2,"?ACTIVATED",IF(J4656&lt;&gt;"","?FAMILIAR",IF(F4656="NEW",IF(ISNA(VLOOKUP(E4656,#REF!,1,FALSE())),"?TYPE_IDENTIFIABLE","?REFERENTIAL"),"_")))))</f>
        <v/>
      </c>
      <c r="H4656" s="27" t="str">
        <f aca="false">IF(J4656&lt;&gt;1,"",IF(I4656="SBJ","CB","?"))</f>
        <v/>
      </c>
      <c r="I4656" s="24" t="str">
        <f aca="false">IF(OR(E4656="",E4656="!!!",F4656="NEW"),"",INDEX(B11:B$4646,-1+SUMPRODUCT(MAX(ROW(E11:E$4646)*(E4656=E11:E$4646)))))</f>
        <v/>
      </c>
      <c r="J4656" s="24" t="str">
        <f aca="true">IF(OR(E4656="",E4656="!!!",F4656="NEW"),"",COUNTBLANK(OFFSET(A$1,,,SUMPRODUCT(MAX(ROW(E$2:E4656)*(E4656=E$2:E4656)))))-COUNTBLANK(OFFSET(A$1,,,SUMPRODUCT(MAX(ROW(E$1:E4655)*(E2=E$1:E4655))))))</f>
        <v/>
      </c>
      <c r="K4656" s="24" t="str">
        <f aca="false">IF(OR(E4656="",E4656="!!!",F4656="NEW"),"",INDEX(J$1:J4655,SUMPRODUCT(MAX(ROW(E$1:E4655)*(E4656=E$1:E4655)))))</f>
        <v/>
      </c>
      <c r="L4656" s="31"/>
    </row>
    <row r="4657" customFormat="false" ht="15" hidden="false" customHeight="false" outlineLevel="0" collapsed="false">
      <c r="A4657" s="20" t="s">
        <v>1399</v>
      </c>
      <c r="E4657" s="23" t="str">
        <f aca="false">IF(D4657="?OLD","!!!","")</f>
        <v/>
      </c>
      <c r="F4657" s="25" t="str">
        <f aca="false">IF(OR(E4657="",E4657="!!!"),"",IF(NOT(ISNA(VLOOKUP(E4657,E$1:E4656,1,FALSE()))),"OLD",IF(AND(E4657&lt;&gt;"",E4657&lt;&gt;"!!!"),"NEW","")))</f>
        <v/>
      </c>
      <c r="G4657" s="26" t="str">
        <f aca="false">IF(OR(E4657="",E4657="!!!"),"",IF(OR(J4657=0,AND(J4657=1,K4657=1),AND(J4657=1,I4657="SBJ"),AND(J4657=1,I4657=0)),"?IN_FOCUS",IF(J4657&lt;=2,"?ACTIVATED",IF(J4657&lt;&gt;"","?FAMILIAR",IF(F4657="NEW",IF(ISNA(VLOOKUP(E4657,#REF!,1,FALSE())),"?TYPE_IDENTIFIABLE","?REFERENTIAL"),"_")))))</f>
        <v/>
      </c>
      <c r="H4657" s="27" t="str">
        <f aca="false">IF(J4657&lt;&gt;1,"",IF(I4657="SBJ","CB","?"))</f>
        <v/>
      </c>
      <c r="I4657" s="24" t="str">
        <f aca="false">IF(OR(E4657="",E4657="!!!",F4657="NEW"),"",INDEX(B12:B$4646,-1+SUMPRODUCT(MAX(ROW(E12:E$4646)*(E4657=E12:E$4646)))))</f>
        <v/>
      </c>
      <c r="J4657" s="24" t="str">
        <f aca="true">IF(OR(E4657="",E4657="!!!",F4657="NEW"),"",COUNTBLANK(OFFSET(A$1,,,SUMPRODUCT(MAX(ROW(E$2:E4657)*(E4657=E$2:E4657)))))-COUNTBLANK(OFFSET(A$1,,,SUMPRODUCT(MAX(ROW(E$1:E4656)*(E2=E$1:E4656))))))</f>
        <v/>
      </c>
      <c r="K4657" s="24" t="str">
        <f aca="false">IF(OR(E4657="",E4657="!!!",F4657="NEW"),"",INDEX(J$1:J4656,SUMPRODUCT(MAX(ROW(E$1:E4656)*(E4657=E$1:E4656)))))</f>
        <v/>
      </c>
      <c r="L4657" s="31"/>
    </row>
    <row r="4658" customFormat="false" ht="15" hidden="false" customHeight="false" outlineLevel="0" collapsed="false">
      <c r="A4658" s="20" t="s">
        <v>2436</v>
      </c>
      <c r="B4658" s="22" t="s">
        <v>1102</v>
      </c>
      <c r="C4658" s="22" t="s">
        <v>1087</v>
      </c>
      <c r="E4658" s="23" t="str">
        <f aca="false">IF(D4658="?OLD","!!!","")</f>
        <v/>
      </c>
      <c r="F4658" s="25" t="str">
        <f aca="false">IF(OR(E4658="",E4658="!!!"),"",IF(NOT(ISNA(VLOOKUP(E4658,E$1:E4657,1,FALSE()))),"OLD",IF(AND(E4658&lt;&gt;"",E4658&lt;&gt;"!!!"),"NEW","")))</f>
        <v/>
      </c>
      <c r="G4658" s="26" t="str">
        <f aca="false">IF(OR(E4658="",E4658="!!!"),"",IF(OR(J4658=0,AND(J4658=1,K4658=1),AND(J4658=1,I4658="SBJ"),AND(J4658=1,I4658=0)),"?IN_FOCUS",IF(J4658&lt;=2,"?ACTIVATED",IF(J4658&lt;&gt;"","?FAMILIAR",IF(F4658="NEW",IF(ISNA(VLOOKUP(E4658,#REF!,1,FALSE())),"?TYPE_IDENTIFIABLE","?REFERENTIAL"),"_")))))</f>
        <v/>
      </c>
      <c r="H4658" s="27" t="str">
        <f aca="false">IF(J4658&lt;&gt;1,"",IF(I4658="SBJ","CB","?"))</f>
        <v/>
      </c>
      <c r="I4658" s="24" t="str">
        <f aca="false">IF(OR(E4658="",E4658="!!!",F4658="NEW"),"",INDEX(B13:B$4646,-1+SUMPRODUCT(MAX(ROW(E13:E$4646)*(E4658=E13:E$4646)))))</f>
        <v/>
      </c>
      <c r="J4658" s="24" t="str">
        <f aca="true">IF(OR(E4658="",E4658="!!!",F4658="NEW"),"",COUNTBLANK(OFFSET(A$1,,,SUMPRODUCT(MAX(ROW(E$2:E4658)*(E4658=E$2:E4658)))))-COUNTBLANK(OFFSET(A$1,,,SUMPRODUCT(MAX(ROW(E$1:E4657)*(E2=E$1:E4657))))))</f>
        <v/>
      </c>
      <c r="K4658" s="24" t="str">
        <f aca="false">IF(OR(E4658="",E4658="!!!",F4658="NEW"),"",INDEX(J$1:J4657,SUMPRODUCT(MAX(ROW(E$1:E4657)*(E4658=E$1:E4657)))))</f>
        <v/>
      </c>
      <c r="L4658" s="31"/>
    </row>
    <row r="4659" customFormat="false" ht="15" hidden="false" customHeight="false" outlineLevel="0" collapsed="false">
      <c r="A4659" s="20" t="s">
        <v>1064</v>
      </c>
      <c r="E4659" s="23" t="str">
        <f aca="false">IF(D4659="?OLD","!!!","")</f>
        <v/>
      </c>
      <c r="F4659" s="25" t="str">
        <f aca="false">IF(OR(E4659="",E4659="!!!"),"",IF(NOT(ISNA(VLOOKUP(E4659,E$1:E4658,1,FALSE()))),"OLD",IF(AND(E4659&lt;&gt;"",E4659&lt;&gt;"!!!"),"NEW","")))</f>
        <v/>
      </c>
      <c r="G4659" s="26" t="str">
        <f aca="false">IF(OR(E4659="",E4659="!!!"),"",IF(OR(J4659=0,AND(J4659=1,K4659=1),AND(J4659=1,I4659="SBJ"),AND(J4659=1,I4659=0)),"?IN_FOCUS",IF(J4659&lt;=2,"?ACTIVATED",IF(J4659&lt;&gt;"","?FAMILIAR",IF(F4659="NEW",IF(ISNA(VLOOKUP(E4659,#REF!,1,FALSE())),"?TYPE_IDENTIFIABLE","?REFERENTIAL"),"_")))))</f>
        <v/>
      </c>
      <c r="H4659" s="27" t="str">
        <f aca="false">IF(J4659&lt;&gt;1,"",IF(I4659="SBJ","CB","?"))</f>
        <v/>
      </c>
      <c r="I4659" s="24" t="str">
        <f aca="false">IF(OR(E4659="",E4659="!!!",F4659="NEW"),"",INDEX(B14:B$4646,-1+SUMPRODUCT(MAX(ROW(E14:E$4646)*(E4659=E14:E$4646)))))</f>
        <v/>
      </c>
      <c r="J4659" s="24" t="str">
        <f aca="true">IF(OR(E4659="",E4659="!!!",F4659="NEW"),"",COUNTBLANK(OFFSET(A$1,,,SUMPRODUCT(MAX(ROW(E$2:E4659)*(E4659=E$2:E4659)))))-COUNTBLANK(OFFSET(A$1,,,SUMPRODUCT(MAX(ROW(E$1:E4658)*(E2=E$1:E4658))))))</f>
        <v/>
      </c>
      <c r="K4659" s="24" t="str">
        <f aca="false">IF(OR(E4659="",E4659="!!!",F4659="NEW"),"",INDEX(J$1:J4658,SUMPRODUCT(MAX(ROW(E$1:E4658)*(E4659=E$1:E4658)))))</f>
        <v/>
      </c>
      <c r="L4659" s="31"/>
    </row>
    <row r="4660" customFormat="false" ht="15" hidden="false" customHeight="false" outlineLevel="0" collapsed="false">
      <c r="A4660" s="20" t="s">
        <v>2437</v>
      </c>
      <c r="B4660" s="22" t="s">
        <v>1098</v>
      </c>
      <c r="C4660" s="22" t="s">
        <v>1160</v>
      </c>
      <c r="E4660" s="23" t="str">
        <f aca="false">IF(D4660="?OLD","!!!","")</f>
        <v/>
      </c>
      <c r="F4660" s="25" t="str">
        <f aca="false">IF(OR(E4660="",E4660="!!!"),"",IF(NOT(ISNA(VLOOKUP(E4660,E$1:E4659,1,FALSE()))),"OLD",IF(AND(E4660&lt;&gt;"",E4660&lt;&gt;"!!!"),"NEW","")))</f>
        <v/>
      </c>
      <c r="G4660" s="26" t="str">
        <f aca="false">IF(OR(E4660="",E4660="!!!"),"",IF(OR(J4660=0,AND(J4660=1,K4660=1),AND(J4660=1,I4660="SBJ"),AND(J4660=1,I4660=0)),"?IN_FOCUS",IF(J4660&lt;=2,"?ACTIVATED",IF(J4660&lt;&gt;"","?FAMILIAR",IF(F4660="NEW",IF(ISNA(VLOOKUP(E4660,#REF!,1,FALSE())),"?TYPE_IDENTIFIABLE","?REFERENTIAL"),"_")))))</f>
        <v/>
      </c>
      <c r="H4660" s="27" t="str">
        <f aca="false">IF(J4660&lt;&gt;1,"",IF(I4660="SBJ","CB","?"))</f>
        <v/>
      </c>
      <c r="I4660" s="24" t="str">
        <f aca="false">IF(OR(E4660="",E4660="!!!",F4660="NEW"),"",INDEX(B15:B$4646,-1+SUMPRODUCT(MAX(ROW(E15:E$4646)*(E4660=E15:E$4646)))))</f>
        <v/>
      </c>
      <c r="J4660" s="24" t="str">
        <f aca="true">IF(OR(E4660="",E4660="!!!",F4660="NEW"),"",COUNTBLANK(OFFSET(A$1,,,SUMPRODUCT(MAX(ROW(E$2:E4660)*(E4660=E$2:E4660)))))-COUNTBLANK(OFFSET(A$1,,,SUMPRODUCT(MAX(ROW(E$1:E4659)*(E2=E$1:E4659))))))</f>
        <v/>
      </c>
      <c r="K4660" s="24" t="str">
        <f aca="false">IF(OR(E4660="",E4660="!!!",F4660="NEW"),"",INDEX(J$1:J4659,SUMPRODUCT(MAX(ROW(E$1:E4659)*(E4660=E$1:E4659)))))</f>
        <v/>
      </c>
      <c r="L4660" s="31"/>
    </row>
    <row r="4661" customFormat="false" ht="15" hidden="false" customHeight="false" outlineLevel="0" collapsed="false">
      <c r="A4661" s="20" t="s">
        <v>1128</v>
      </c>
      <c r="E4661" s="23" t="str">
        <f aca="false">IF(D4661="?OLD","!!!","")</f>
        <v/>
      </c>
      <c r="F4661" s="25" t="str">
        <f aca="false">IF(OR(E4661="",E4661="!!!"),"",IF(NOT(ISNA(VLOOKUP(E4661,E$1:E4660,1,FALSE()))),"OLD",IF(AND(E4661&lt;&gt;"",E4661&lt;&gt;"!!!"),"NEW","")))</f>
        <v/>
      </c>
      <c r="G4661" s="26" t="str">
        <f aca="false">IF(OR(E4661="",E4661="!!!"),"",IF(OR(J4661=0,AND(J4661=1,K4661=1),AND(J4661=1,I4661="SBJ"),AND(J4661=1,I4661=0)),"?IN_FOCUS",IF(J4661&lt;=2,"?ACTIVATED",IF(J4661&lt;&gt;"","?FAMILIAR",IF(F4661="NEW",IF(ISNA(VLOOKUP(E4661,#REF!,1,FALSE())),"?TYPE_IDENTIFIABLE","?REFERENTIAL"),"_")))))</f>
        <v/>
      </c>
      <c r="H4661" s="27" t="str">
        <f aca="false">IF(J4661&lt;&gt;1,"",IF(I4661="SBJ","CB","?"))</f>
        <v/>
      </c>
      <c r="I4661" s="24" t="str">
        <f aca="false">IF(OR(E4661="",E4661="!!!",F4661="NEW"),"",INDEX(B16:B$4646,-1+SUMPRODUCT(MAX(ROW(E16:E$4646)*(E4661=E16:E$4646)))))</f>
        <v/>
      </c>
      <c r="J4661" s="24" t="str">
        <f aca="true">IF(OR(E4661="",E4661="!!!",F4661="NEW"),"",COUNTBLANK(OFFSET(A$1,,,SUMPRODUCT(MAX(ROW(E$2:E4661)*(E4661=E$2:E4661)))))-COUNTBLANK(OFFSET(A$1,,,SUMPRODUCT(MAX(ROW(E$1:E4660)*(E2=E$1:E4660))))))</f>
        <v/>
      </c>
      <c r="K4661" s="24" t="str">
        <f aca="false">IF(OR(E4661="",E4661="!!!",F4661="NEW"),"",INDEX(J$1:J4660,SUMPRODUCT(MAX(ROW(E$1:E4660)*(E4661=E$1:E4660)))))</f>
        <v/>
      </c>
      <c r="L4661" s="31"/>
    </row>
    <row r="4662" customFormat="false" ht="15" hidden="false" customHeight="false" outlineLevel="0" collapsed="false">
      <c r="A4662" s="20" t="s">
        <v>1085</v>
      </c>
      <c r="E4662" s="23" t="str">
        <f aca="false">IF(D4662="?OLD","!!!","")</f>
        <v/>
      </c>
      <c r="F4662" s="25" t="str">
        <f aca="false">IF(OR(E4662="",E4662="!!!"),"",IF(NOT(ISNA(VLOOKUP(E4662,E$1:E4661,1,FALSE()))),"OLD",IF(AND(E4662&lt;&gt;"",E4662&lt;&gt;"!!!"),"NEW","")))</f>
        <v/>
      </c>
      <c r="G4662" s="26" t="str">
        <f aca="false">IF(OR(E4662="",E4662="!!!"),"",IF(OR(J4662=0,AND(J4662=1,K4662=1),AND(J4662=1,I4662="SBJ"),AND(J4662=1,I4662=0)),"?IN_FOCUS",IF(J4662&lt;=2,"?ACTIVATED",IF(J4662&lt;&gt;"","?FAMILIAR",IF(F4662="NEW",IF(ISNA(VLOOKUP(E4662,#REF!,1,FALSE())),"?TYPE_IDENTIFIABLE","?REFERENTIAL"),"_")))))</f>
        <v/>
      </c>
      <c r="H4662" s="27" t="str">
        <f aca="false">IF(J4662&lt;&gt;1,"",IF(I4662="SBJ","CB","?"))</f>
        <v/>
      </c>
      <c r="I4662" s="24" t="str">
        <f aca="false">IF(OR(E4662="",E4662="!!!",F4662="NEW"),"",INDEX(B17:B$4646,-1+SUMPRODUCT(MAX(ROW(E17:E$4646)*(E4662=E17:E$4646)))))</f>
        <v/>
      </c>
      <c r="J4662" s="24" t="str">
        <f aca="true">IF(OR(E4662="",E4662="!!!",F4662="NEW"),"",COUNTBLANK(OFFSET(A$1,,,SUMPRODUCT(MAX(ROW(E$2:E4662)*(E4662=E$2:E4662)))))-COUNTBLANK(OFFSET(A$1,,,SUMPRODUCT(MAX(ROW(E$1:E4661)*(E2=E$1:E4661))))))</f>
        <v/>
      </c>
      <c r="K4662" s="24" t="str">
        <f aca="false">IF(OR(E4662="",E4662="!!!",F4662="NEW"),"",INDEX(J$1:J4661,SUMPRODUCT(MAX(ROW(E$1:E4661)*(E4662=E$1:E4661)))))</f>
        <v/>
      </c>
      <c r="L4662" s="31"/>
    </row>
    <row r="4663" customFormat="false" ht="15" hidden="false" customHeight="false" outlineLevel="0" collapsed="false">
      <c r="A4663" s="20" t="s">
        <v>2438</v>
      </c>
      <c r="E4663" s="23" t="str">
        <f aca="false">IF(D4663="?OLD","!!!","")</f>
        <v/>
      </c>
      <c r="F4663" s="25" t="str">
        <f aca="false">IF(OR(E4663="",E4663="!!!"),"",IF(NOT(ISNA(VLOOKUP(E4663,E$1:E4662,1,FALSE()))),"OLD",IF(AND(E4663&lt;&gt;"",E4663&lt;&gt;"!!!"),"NEW","")))</f>
        <v/>
      </c>
      <c r="G4663" s="26" t="str">
        <f aca="false">IF(OR(E4663="",E4663="!!!"),"",IF(OR(J4663=0,AND(J4663=1,K4663=1),AND(J4663=1,I4663="SBJ"),AND(J4663=1,I4663=0)),"?IN_FOCUS",IF(J4663&lt;=2,"?ACTIVATED",IF(J4663&lt;&gt;"","?FAMILIAR",IF(F4663="NEW",IF(ISNA(VLOOKUP(E4663,#REF!,1,FALSE())),"?TYPE_IDENTIFIABLE","?REFERENTIAL"),"_")))))</f>
        <v/>
      </c>
      <c r="H4663" s="27" t="str">
        <f aca="false">IF(J4663&lt;&gt;1,"",IF(I4663="SBJ","CB","?"))</f>
        <v/>
      </c>
      <c r="I4663" s="24" t="str">
        <f aca="false">IF(OR(E4663="",E4663="!!!",F4663="NEW"),"",INDEX(B18:B$4646,-1+SUMPRODUCT(MAX(ROW(E18:E$4646)*(E4663=E18:E$4646)))))</f>
        <v/>
      </c>
      <c r="J4663" s="24" t="str">
        <f aca="true">IF(OR(E4663="",E4663="!!!",F4663="NEW"),"",COUNTBLANK(OFFSET(A$1,,,SUMPRODUCT(MAX(ROW(E$2:E4663)*(E4663=E$2:E4663)))))-COUNTBLANK(OFFSET(A$1,,,SUMPRODUCT(MAX(ROW(E$1:E4662)*(E2=E$1:E4662))))))</f>
        <v/>
      </c>
      <c r="K4663" s="24" t="str">
        <f aca="false">IF(OR(E4663="",E4663="!!!",F4663="NEW"),"",INDEX(J$1:J4662,SUMPRODUCT(MAX(ROW(E$1:E4662)*(E4663=E$1:E4662)))))</f>
        <v/>
      </c>
      <c r="L4663" s="31"/>
    </row>
    <row r="4664" customFormat="false" ht="15" hidden="false" customHeight="false" outlineLevel="0" collapsed="false">
      <c r="A4664" s="20" t="s">
        <v>2439</v>
      </c>
      <c r="E4664" s="23" t="str">
        <f aca="false">IF(D4664="?OLD","!!!","")</f>
        <v/>
      </c>
      <c r="F4664" s="25" t="str">
        <f aca="false">IF(OR(E4664="",E4664="!!!"),"",IF(NOT(ISNA(VLOOKUP(E4664,E$1:E4663,1,FALSE()))),"OLD",IF(AND(E4664&lt;&gt;"",E4664&lt;&gt;"!!!"),"NEW","")))</f>
        <v/>
      </c>
      <c r="G4664" s="26" t="str">
        <f aca="false">IF(OR(E4664="",E4664="!!!"),"",IF(OR(J4664=0,AND(J4664=1,K4664=1),AND(J4664=1,I4664="SBJ"),AND(J4664=1,I4664=0)),"?IN_FOCUS",IF(J4664&lt;=2,"?ACTIVATED",IF(J4664&lt;&gt;"","?FAMILIAR",IF(F4664="NEW",IF(ISNA(VLOOKUP(E4664,#REF!,1,FALSE())),"?TYPE_IDENTIFIABLE","?REFERENTIAL"),"_")))))</f>
        <v/>
      </c>
      <c r="H4664" s="27" t="str">
        <f aca="false">IF(J4664&lt;&gt;1,"",IF(I4664="SBJ","CB","?"))</f>
        <v/>
      </c>
      <c r="I4664" s="24" t="str">
        <f aca="false">IF(OR(E4664="",E4664="!!!",F4664="NEW"),"",INDEX(B19:B$4646,-1+SUMPRODUCT(MAX(ROW(E19:E$4646)*(E4664=E19:E$4646)))))</f>
        <v/>
      </c>
      <c r="J4664" s="24" t="str">
        <f aca="true">IF(OR(E4664="",E4664="!!!",F4664="NEW"),"",COUNTBLANK(OFFSET(A$1,,,SUMPRODUCT(MAX(ROW(E$2:E4664)*(E4664=E$2:E4664)))))-COUNTBLANK(OFFSET(A$1,,,SUMPRODUCT(MAX(ROW(E$1:E4663)*(E2=E$1:E4663))))))</f>
        <v/>
      </c>
      <c r="K4664" s="24" t="str">
        <f aca="false">IF(OR(E4664="",E4664="!!!",F4664="NEW"),"",INDEX(J$1:J4663,SUMPRODUCT(MAX(ROW(E$1:E4663)*(E4664=E$1:E4663)))))</f>
        <v/>
      </c>
      <c r="L4664" s="31"/>
    </row>
    <row r="4665" customFormat="false" ht="15" hidden="false" customHeight="false" outlineLevel="0" collapsed="false">
      <c r="A4665" s="20" t="s">
        <v>1704</v>
      </c>
      <c r="B4665" s="22" t="s">
        <v>1098</v>
      </c>
      <c r="C4665" s="22" t="s">
        <v>1087</v>
      </c>
      <c r="E4665" s="23" t="str">
        <f aca="false">IF(D4665="?OLD","!!!","")</f>
        <v/>
      </c>
      <c r="F4665" s="25" t="str">
        <f aca="false">IF(OR(E4665="",E4665="!!!"),"",IF(NOT(ISNA(VLOOKUP(E4665,E$1:E4664,1,FALSE()))),"OLD",IF(AND(E4665&lt;&gt;"",E4665&lt;&gt;"!!!"),"NEW","")))</f>
        <v/>
      </c>
      <c r="G4665" s="26" t="str">
        <f aca="false">IF(OR(E4665="",E4665="!!!"),"",IF(OR(J4665=0,AND(J4665=1,K4665=1),AND(J4665=1,I4665="SBJ"),AND(J4665=1,I4665=0)),"?IN_FOCUS",IF(J4665&lt;=2,"?ACTIVATED",IF(J4665&lt;&gt;"","?FAMILIAR",IF(F4665="NEW",IF(ISNA(VLOOKUP(E4665,#REF!,1,FALSE())),"?TYPE_IDENTIFIABLE","?REFERENTIAL"),"_")))))</f>
        <v/>
      </c>
      <c r="H4665" s="27" t="str">
        <f aca="false">IF(J4665&lt;&gt;1,"",IF(I4665="SBJ","CB","?"))</f>
        <v/>
      </c>
      <c r="I4665" s="24" t="str">
        <f aca="false">IF(OR(E4665="",E4665="!!!",F4665="NEW"),"",INDEX(B20:B$4646,-1+SUMPRODUCT(MAX(ROW(E20:E$4646)*(E4665=E20:E$4646)))))</f>
        <v/>
      </c>
      <c r="J4665" s="24" t="str">
        <f aca="true">IF(OR(E4665="",E4665="!!!",F4665="NEW"),"",COUNTBLANK(OFFSET(A$1,,,SUMPRODUCT(MAX(ROW(E$2:E4665)*(E4665=E$2:E4665)))))-COUNTBLANK(OFFSET(A$1,,,SUMPRODUCT(MAX(ROW(E$1:E4664)*(E2=E$1:E4664))))))</f>
        <v/>
      </c>
      <c r="K4665" s="24" t="str">
        <f aca="false">IF(OR(E4665="",E4665="!!!",F4665="NEW"),"",INDEX(J$1:J4664,SUMPRODUCT(MAX(ROW(E$1:E4664)*(E4665=E$1:E4664)))))</f>
        <v/>
      </c>
      <c r="L4665" s="31"/>
    </row>
    <row r="4666" customFormat="false" ht="15" hidden="false" customHeight="false" outlineLevel="0" collapsed="false">
      <c r="A4666" s="20" t="s">
        <v>2440</v>
      </c>
      <c r="E4666" s="23" t="str">
        <f aca="false">IF(D4666="?OLD","!!!","")</f>
        <v/>
      </c>
      <c r="F4666" s="25" t="str">
        <f aca="false">IF(OR(E4666="",E4666="!!!"),"",IF(NOT(ISNA(VLOOKUP(E4666,E$1:E4665,1,FALSE()))),"OLD",IF(AND(E4666&lt;&gt;"",E4666&lt;&gt;"!!!"),"NEW","")))</f>
        <v/>
      </c>
      <c r="G4666" s="26" t="str">
        <f aca="false">IF(OR(E4666="",E4666="!!!"),"",IF(OR(J4666=0,AND(J4666=1,K4666=1),AND(J4666=1,I4666="SBJ"),AND(J4666=1,I4666=0)),"?IN_FOCUS",IF(J4666&lt;=2,"?ACTIVATED",IF(J4666&lt;&gt;"","?FAMILIAR",IF(F4666="NEW",IF(ISNA(VLOOKUP(E4666,#REF!,1,FALSE())),"?TYPE_IDENTIFIABLE","?REFERENTIAL"),"_")))))</f>
        <v/>
      </c>
      <c r="H4666" s="27" t="str">
        <f aca="false">IF(J4666&lt;&gt;1,"",IF(I4666="SBJ","CB","?"))</f>
        <v/>
      </c>
      <c r="I4666" s="24" t="str">
        <f aca="false">IF(OR(E4666="",E4666="!!!",F4666="NEW"),"",INDEX(B21:B$4646,-1+SUMPRODUCT(MAX(ROW(E21:E$4646)*(E4666=E21:E$4646)))))</f>
        <v/>
      </c>
      <c r="J4666" s="24" t="str">
        <f aca="true">IF(OR(E4666="",E4666="!!!",F4666="NEW"),"",COUNTBLANK(OFFSET(A$1,,,SUMPRODUCT(MAX(ROW(E$2:E4666)*(E4666=E$2:E4666)))))-COUNTBLANK(OFFSET(A$1,,,SUMPRODUCT(MAX(ROW(E$1:E4665)*(E2=E$1:E4665))))))</f>
        <v/>
      </c>
      <c r="K4666" s="24" t="str">
        <f aca="false">IF(OR(E4666="",E4666="!!!",F4666="NEW"),"",INDEX(J$1:J4665,SUMPRODUCT(MAX(ROW(E$1:E4665)*(E4666=E$1:E4665)))))</f>
        <v/>
      </c>
      <c r="L4666" s="31"/>
    </row>
    <row r="4667" customFormat="false" ht="15" hidden="false" customHeight="false" outlineLevel="0" collapsed="false">
      <c r="A4667" s="20" t="s">
        <v>1189</v>
      </c>
      <c r="B4667" s="22" t="s">
        <v>1203</v>
      </c>
      <c r="C4667" s="22" t="s">
        <v>1099</v>
      </c>
      <c r="D4667" s="22" t="s">
        <v>1060</v>
      </c>
      <c r="E4667" s="23" t="str">
        <f aca="false">IF(D4667="?OLD","!!!","")</f>
        <v>!!!</v>
      </c>
      <c r="F4667" s="25" t="str">
        <f aca="false">IF(OR(E4667="",E4667="!!!"),"",IF(NOT(ISNA(VLOOKUP(E4667,E$1:E4666,1,FALSE()))),"OLD",IF(AND(E4667&lt;&gt;"",E4667&lt;&gt;"!!!"),"NEW","")))</f>
        <v/>
      </c>
      <c r="G4667" s="26" t="str">
        <f aca="false">IF(OR(E4667="",E4667="!!!"),"",IF(OR(J4667=0,AND(J4667=1,K4667=1),AND(J4667=1,I4667="SBJ"),AND(J4667=1,I4667=0)),"?IN_FOCUS",IF(J4667&lt;=2,"?ACTIVATED",IF(J4667&lt;&gt;"","?FAMILIAR",IF(F4667="NEW",IF(ISNA(VLOOKUP(E4667,#REF!,1,FALSE())),"?TYPE_IDENTIFIABLE","?REFERENTIAL"),"_")))))</f>
        <v/>
      </c>
      <c r="H4667" s="27" t="str">
        <f aca="false">IF(J4667&lt;&gt;1,"",IF(I4667="SBJ","CB","?"))</f>
        <v/>
      </c>
      <c r="I4667" s="24" t="str">
        <f aca="false">IF(OR(E4667="",E4667="!!!",F4667="NEW"),"",INDEX(B22:B$4646,-1+SUMPRODUCT(MAX(ROW(E22:E$4646)*(E4667=E22:E$4646)))))</f>
        <v/>
      </c>
      <c r="J4667" s="24" t="str">
        <f aca="true">IF(OR(E4667="",E4667="!!!",F4667="NEW"),"",COUNTBLANK(OFFSET(A$1,,,SUMPRODUCT(MAX(ROW(E$2:E4667)*(E4667=E$2:E4667)))))-COUNTBLANK(OFFSET(A$1,,,SUMPRODUCT(MAX(ROW(E$1:E4666)*(E2=E$1:E4666))))))</f>
        <v/>
      </c>
      <c r="K4667" s="24" t="str">
        <f aca="false">IF(OR(E4667="",E4667="!!!",F4667="NEW"),"",INDEX(J$1:J4666,SUMPRODUCT(MAX(ROW(E$1:E4666)*(E4667=E$1:E4666)))))</f>
        <v/>
      </c>
      <c r="L4667" s="31"/>
    </row>
    <row r="4668" customFormat="false" ht="15" hidden="false" customHeight="false" outlineLevel="0" collapsed="false">
      <c r="A4668" s="20" t="s">
        <v>1219</v>
      </c>
      <c r="B4668" s="22" t="s">
        <v>1112</v>
      </c>
      <c r="C4668" s="22" t="s">
        <v>1059</v>
      </c>
      <c r="D4668" s="22" t="s">
        <v>1060</v>
      </c>
      <c r="E4668" s="23" t="str">
        <f aca="false">IF(D4668="?OLD","!!!","")</f>
        <v>!!!</v>
      </c>
      <c r="F4668" s="25" t="str">
        <f aca="false">IF(OR(E4668="",E4668="!!!"),"",IF(NOT(ISNA(VLOOKUP(E4668,E$1:E4667,1,FALSE()))),"OLD",IF(AND(E4668&lt;&gt;"",E4668&lt;&gt;"!!!"),"NEW","")))</f>
        <v/>
      </c>
      <c r="G4668" s="26" t="str">
        <f aca="false">IF(OR(E4668="",E4668="!!!"),"",IF(OR(J4668=0,AND(J4668=1,K4668=1),AND(J4668=1,I4668="SBJ"),AND(J4668=1,I4668=0)),"?IN_FOCUS",IF(J4668&lt;=2,"?ACTIVATED",IF(J4668&lt;&gt;"","?FAMILIAR",IF(F4668="NEW",IF(ISNA(VLOOKUP(E4668,#REF!,1,FALSE())),"?TYPE_IDENTIFIABLE","?REFERENTIAL"),"_")))))</f>
        <v/>
      </c>
      <c r="H4668" s="27" t="str">
        <f aca="false">IF(J4668&lt;&gt;1,"",IF(I4668="SBJ","CB","?"))</f>
        <v/>
      </c>
      <c r="I4668" s="24" t="str">
        <f aca="false">IF(OR(E4668="",E4668="!!!",F4668="NEW"),"",INDEX(B23:B$4646,-1+SUMPRODUCT(MAX(ROW(E23:E$4646)*(E4668=E23:E$4646)))))</f>
        <v/>
      </c>
      <c r="J4668" s="24" t="str">
        <f aca="true">IF(OR(E4668="",E4668="!!!",F4668="NEW"),"",COUNTBLANK(OFFSET(A$1,,,SUMPRODUCT(MAX(ROW(E$2:E4668)*(E4668=E$2:E4668)))))-COUNTBLANK(OFFSET(A$1,,,SUMPRODUCT(MAX(ROW(E$1:E4667)*(E2=E$1:E4667))))))</f>
        <v/>
      </c>
      <c r="K4668" s="24" t="str">
        <f aca="false">IF(OR(E4668="",E4668="!!!",F4668="NEW"),"",INDEX(J$1:J4667,SUMPRODUCT(MAX(ROW(E$1:E4667)*(E4668=E$1:E4667)))))</f>
        <v/>
      </c>
      <c r="L4668" s="31"/>
    </row>
    <row r="4669" customFormat="false" ht="15" hidden="false" customHeight="false" outlineLevel="0" collapsed="false">
      <c r="A4669" s="20" t="s">
        <v>1076</v>
      </c>
      <c r="E4669" s="23" t="str">
        <f aca="false">IF(D4669="?OLD","!!!","")</f>
        <v/>
      </c>
      <c r="F4669" s="25" t="str">
        <f aca="false">IF(OR(E4669="",E4669="!!!"),"",IF(NOT(ISNA(VLOOKUP(E4669,E$1:E4668,1,FALSE()))),"OLD",IF(AND(E4669&lt;&gt;"",E4669&lt;&gt;"!!!"),"NEW","")))</f>
        <v/>
      </c>
      <c r="G4669" s="26" t="str">
        <f aca="false">IF(OR(E4669="",E4669="!!!"),"",IF(OR(J4669=0,AND(J4669=1,K4669=1),AND(J4669=1,I4669="SBJ"),AND(J4669=1,I4669=0)),"?IN_FOCUS",IF(J4669&lt;=2,"?ACTIVATED",IF(J4669&lt;&gt;"","?FAMILIAR",IF(F4669="NEW",IF(ISNA(VLOOKUP(E4669,#REF!,1,FALSE())),"?TYPE_IDENTIFIABLE","?REFERENTIAL"),"_")))))</f>
        <v/>
      </c>
      <c r="H4669" s="27" t="str">
        <f aca="false">IF(J4669&lt;&gt;1,"",IF(I4669="SBJ","CB","?"))</f>
        <v/>
      </c>
      <c r="I4669" s="24" t="str">
        <f aca="false">IF(OR(E4669="",E4669="!!!",F4669="NEW"),"",INDEX(B24:B$4646,-1+SUMPRODUCT(MAX(ROW(E24:E$4646)*(E4669=E24:E$4646)))))</f>
        <v/>
      </c>
      <c r="J4669" s="24" t="str">
        <f aca="true">IF(OR(E4669="",E4669="!!!",F4669="NEW"),"",COUNTBLANK(OFFSET(A$1,,,SUMPRODUCT(MAX(ROW(E$2:E4669)*(E4669=E$2:E4669)))))-COUNTBLANK(OFFSET(A$1,,,SUMPRODUCT(MAX(ROW(E$1:E4668)*(E2=E$1:E4668))))))</f>
        <v/>
      </c>
      <c r="K4669" s="24" t="str">
        <f aca="false">IF(OR(E4669="",E4669="!!!",F4669="NEW"),"",INDEX(J$1:J4668,SUMPRODUCT(MAX(ROW(E$1:E4668)*(E4669=E$1:E4668)))))</f>
        <v/>
      </c>
      <c r="L4669" s="31"/>
    </row>
    <row r="4670" customFormat="false" ht="15" hidden="false" customHeight="false" outlineLevel="0" collapsed="false">
      <c r="A4670" s="20" t="s">
        <v>1295</v>
      </c>
      <c r="E4670" s="23" t="str">
        <f aca="false">IF(D4670="?OLD","!!!","")</f>
        <v/>
      </c>
      <c r="F4670" s="25" t="str">
        <f aca="false">IF(OR(E4670="",E4670="!!!"),"",IF(NOT(ISNA(VLOOKUP(E4670,E$1:E4669,1,FALSE()))),"OLD",IF(AND(E4670&lt;&gt;"",E4670&lt;&gt;"!!!"),"NEW","")))</f>
        <v/>
      </c>
      <c r="G4670" s="26" t="str">
        <f aca="false">IF(OR(E4670="",E4670="!!!"),"",IF(OR(J4670=0,AND(J4670=1,K4670=1),AND(J4670=1,I4670="SBJ"),AND(J4670=1,I4670=0)),"?IN_FOCUS",IF(J4670&lt;=2,"?ACTIVATED",IF(J4670&lt;&gt;"","?FAMILIAR",IF(F4670="NEW",IF(ISNA(VLOOKUP(E4670,#REF!,1,FALSE())),"?TYPE_IDENTIFIABLE","?REFERENTIAL"),"_")))))</f>
        <v/>
      </c>
      <c r="H4670" s="27" t="str">
        <f aca="false">IF(J4670&lt;&gt;1,"",IF(I4670="SBJ","CB","?"))</f>
        <v/>
      </c>
      <c r="I4670" s="24" t="str">
        <f aca="false">IF(OR(E4670="",E4670="!!!",F4670="NEW"),"",INDEX(B25:B$4646,-1+SUMPRODUCT(MAX(ROW(E25:E$4646)*(E4670=E25:E$4646)))))</f>
        <v/>
      </c>
      <c r="J4670" s="24" t="str">
        <f aca="true">IF(OR(E4670="",E4670="!!!",F4670="NEW"),"",COUNTBLANK(OFFSET(A$1,,,SUMPRODUCT(MAX(ROW(E$2:E4670)*(E4670=E$2:E4670)))))-COUNTBLANK(OFFSET(A$1,,,SUMPRODUCT(MAX(ROW(E$1:E4669)*(E2=E$1:E4669))))))</f>
        <v/>
      </c>
      <c r="K4670" s="24" t="str">
        <f aca="false">IF(OR(E4670="",E4670="!!!",F4670="NEW"),"",INDEX(J$1:J4669,SUMPRODUCT(MAX(ROW(E$1:E4669)*(E4670=E$1:E4669)))))</f>
        <v/>
      </c>
      <c r="L4670" s="31"/>
    </row>
    <row r="4671" customFormat="false" ht="15" hidden="false" customHeight="false" outlineLevel="0" collapsed="false">
      <c r="A4671" s="20" t="s">
        <v>1085</v>
      </c>
      <c r="E4671" s="23" t="str">
        <f aca="false">IF(D4671="?OLD","!!!","")</f>
        <v/>
      </c>
      <c r="F4671" s="25" t="str">
        <f aca="false">IF(OR(E4671="",E4671="!!!"),"",IF(NOT(ISNA(VLOOKUP(E4671,E$1:E4670,1,FALSE()))),"OLD",IF(AND(E4671&lt;&gt;"",E4671&lt;&gt;"!!!"),"NEW","")))</f>
        <v/>
      </c>
      <c r="G4671" s="26" t="str">
        <f aca="false">IF(OR(E4671="",E4671="!!!"),"",IF(OR(J4671=0,AND(J4671=1,K4671=1),AND(J4671=1,I4671="SBJ"),AND(J4671=1,I4671=0)),"?IN_FOCUS",IF(J4671&lt;=2,"?ACTIVATED",IF(J4671&lt;&gt;"","?FAMILIAR",IF(F4671="NEW",IF(ISNA(VLOOKUP(E4671,#REF!,1,FALSE())),"?TYPE_IDENTIFIABLE","?REFERENTIAL"),"_")))))</f>
        <v/>
      </c>
      <c r="H4671" s="27" t="str">
        <f aca="false">IF(J4671&lt;&gt;1,"",IF(I4671="SBJ","CB","?"))</f>
        <v/>
      </c>
      <c r="I4671" s="24" t="str">
        <f aca="false">IF(OR(E4671="",E4671="!!!",F4671="NEW"),"",INDEX(B26:B$4646,-1+SUMPRODUCT(MAX(ROW(E26:E$4646)*(E4671=E26:E$4646)))))</f>
        <v/>
      </c>
      <c r="J4671" s="24" t="str">
        <f aca="true">IF(OR(E4671="",E4671="!!!",F4671="NEW"),"",COUNTBLANK(OFFSET(A$1,,,SUMPRODUCT(MAX(ROW(E$2:E4671)*(E4671=E$2:E4671)))))-COUNTBLANK(OFFSET(A$1,,,SUMPRODUCT(MAX(ROW(E$1:E4670)*(E2=E$1:E4670))))))</f>
        <v/>
      </c>
      <c r="K4671" s="24" t="str">
        <f aca="false">IF(OR(E4671="",E4671="!!!",F4671="NEW"),"",INDEX(J$1:J4670,SUMPRODUCT(MAX(ROW(E$1:E4670)*(E4671=E$1:E4670)))))</f>
        <v/>
      </c>
      <c r="L4671" s="31"/>
    </row>
    <row r="4672" customFormat="false" ht="15" hidden="false" customHeight="false" outlineLevel="0" collapsed="false">
      <c r="A4672" s="20" t="s">
        <v>2441</v>
      </c>
      <c r="E4672" s="23" t="str">
        <f aca="false">IF(D4672="?OLD","!!!","")</f>
        <v/>
      </c>
      <c r="F4672" s="25" t="str">
        <f aca="false">IF(OR(E4672="",E4672="!!!"),"",IF(NOT(ISNA(VLOOKUP(E4672,E$1:E4671,1,FALSE()))),"OLD",IF(AND(E4672&lt;&gt;"",E4672&lt;&gt;"!!!"),"NEW","")))</f>
        <v/>
      </c>
      <c r="G4672" s="26" t="str">
        <f aca="false">IF(OR(E4672="",E4672="!!!"),"",IF(OR(J4672=0,AND(J4672=1,K4672=1),AND(J4672=1,I4672="SBJ"),AND(J4672=1,I4672=0)),"?IN_FOCUS",IF(J4672&lt;=2,"?ACTIVATED",IF(J4672&lt;&gt;"","?FAMILIAR",IF(F4672="NEW",IF(ISNA(VLOOKUP(E4672,#REF!,1,FALSE())),"?TYPE_IDENTIFIABLE","?REFERENTIAL"),"_")))))</f>
        <v/>
      </c>
      <c r="H4672" s="27" t="str">
        <f aca="false">IF(J4672&lt;&gt;1,"",IF(I4672="SBJ","CB","?"))</f>
        <v/>
      </c>
      <c r="I4672" s="24" t="str">
        <f aca="false">IF(OR(E4672="",E4672="!!!",F4672="NEW"),"",INDEX(B27:B$4646,-1+SUMPRODUCT(MAX(ROW(E27:E$4646)*(E4672=E27:E$4646)))))</f>
        <v/>
      </c>
      <c r="J4672" s="24" t="str">
        <f aca="true">IF(OR(E4672="",E4672="!!!",F4672="NEW"),"",COUNTBLANK(OFFSET(A$1,,,SUMPRODUCT(MAX(ROW(E$2:E4672)*(E4672=E$2:E4672)))))-COUNTBLANK(OFFSET(A$1,,,SUMPRODUCT(MAX(ROW(E$1:E4671)*(E2=E$1:E4671))))))</f>
        <v/>
      </c>
      <c r="K4672" s="24" t="str">
        <f aca="false">IF(OR(E4672="",E4672="!!!",F4672="NEW"),"",INDEX(J$1:J4671,SUMPRODUCT(MAX(ROW(E$1:E4671)*(E4672=E$1:E4671)))))</f>
        <v/>
      </c>
      <c r="L4672" s="31"/>
    </row>
    <row r="4673" customFormat="false" ht="15" hidden="false" customHeight="false" outlineLevel="0" collapsed="false">
      <c r="A4673" s="20" t="s">
        <v>2442</v>
      </c>
      <c r="B4673" s="22" t="s">
        <v>1086</v>
      </c>
      <c r="C4673" s="22" t="s">
        <v>1087</v>
      </c>
      <c r="E4673" s="23" t="str">
        <f aca="false">IF(D4673="?OLD","!!!","")</f>
        <v/>
      </c>
      <c r="F4673" s="25" t="str">
        <f aca="false">IF(OR(E4673="",E4673="!!!"),"",IF(NOT(ISNA(VLOOKUP(E4673,E$1:E4672,1,FALSE()))),"OLD",IF(AND(E4673&lt;&gt;"",E4673&lt;&gt;"!!!"),"NEW","")))</f>
        <v/>
      </c>
      <c r="G4673" s="26" t="str">
        <f aca="false">IF(OR(E4673="",E4673="!!!"),"",IF(OR(J4673=0,AND(J4673=1,K4673=1),AND(J4673=1,I4673="SBJ"),AND(J4673=1,I4673=0)),"?IN_FOCUS",IF(J4673&lt;=2,"?ACTIVATED",IF(J4673&lt;&gt;"","?FAMILIAR",IF(F4673="NEW",IF(ISNA(VLOOKUP(E4673,#REF!,1,FALSE())),"?TYPE_IDENTIFIABLE","?REFERENTIAL"),"_")))))</f>
        <v/>
      </c>
      <c r="H4673" s="27" t="str">
        <f aca="false">IF(J4673&lt;&gt;1,"",IF(I4673="SBJ","CB","?"))</f>
        <v/>
      </c>
      <c r="I4673" s="24" t="str">
        <f aca="false">IF(OR(E4673="",E4673="!!!",F4673="NEW"),"",INDEX(B28:B$4646,-1+SUMPRODUCT(MAX(ROW(E28:E$4646)*(E4673=E28:E$4646)))))</f>
        <v/>
      </c>
      <c r="J4673" s="24" t="str">
        <f aca="true">IF(OR(E4673="",E4673="!!!",F4673="NEW"),"",COUNTBLANK(OFFSET(A$1,,,SUMPRODUCT(MAX(ROW(E$2:E4673)*(E4673=E$2:E4673)))))-COUNTBLANK(OFFSET(A$1,,,SUMPRODUCT(MAX(ROW(E$1:E4672)*(E2=E$1:E4672))))))</f>
        <v/>
      </c>
      <c r="K4673" s="24" t="str">
        <f aca="false">IF(OR(E4673="",E4673="!!!",F4673="NEW"),"",INDEX(J$1:J4672,SUMPRODUCT(MAX(ROW(E$1:E4672)*(E4673=E$1:E4672)))))</f>
        <v/>
      </c>
      <c r="L4673" s="31"/>
    </row>
    <row r="4674" customFormat="false" ht="15" hidden="false" customHeight="false" outlineLevel="0" collapsed="false">
      <c r="A4674" s="20" t="s">
        <v>2443</v>
      </c>
      <c r="E4674" s="23" t="str">
        <f aca="false">IF(D4674="?OLD","!!!","")</f>
        <v/>
      </c>
      <c r="F4674" s="25" t="str">
        <f aca="false">IF(OR(E4674="",E4674="!!!"),"",IF(NOT(ISNA(VLOOKUP(E4674,E$1:E4673,1,FALSE()))),"OLD",IF(AND(E4674&lt;&gt;"",E4674&lt;&gt;"!!!"),"NEW","")))</f>
        <v/>
      </c>
      <c r="G4674" s="26" t="str">
        <f aca="false">IF(OR(E4674="",E4674="!!!"),"",IF(OR(J4674=0,AND(J4674=1,K4674=1),AND(J4674=1,I4674="SBJ"),AND(J4674=1,I4674=0)),"?IN_FOCUS",IF(J4674&lt;=2,"?ACTIVATED",IF(J4674&lt;&gt;"","?FAMILIAR",IF(F4674="NEW",IF(ISNA(VLOOKUP(E4674,#REF!,1,FALSE())),"?TYPE_IDENTIFIABLE","?REFERENTIAL"),"_")))))</f>
        <v/>
      </c>
      <c r="H4674" s="27" t="str">
        <f aca="false">IF(J4674&lt;&gt;1,"",IF(I4674="SBJ","CB","?"))</f>
        <v/>
      </c>
      <c r="I4674" s="24" t="str">
        <f aca="false">IF(OR(E4674="",E4674="!!!",F4674="NEW"),"",INDEX(B29:B$4646,-1+SUMPRODUCT(MAX(ROW(E29:E$4646)*(E4674=E29:E$4646)))))</f>
        <v/>
      </c>
      <c r="J4674" s="24" t="str">
        <f aca="true">IF(OR(E4674="",E4674="!!!",F4674="NEW"),"",COUNTBLANK(OFFSET(A$1,,,SUMPRODUCT(MAX(ROW(E$2:E4674)*(E4674=E$2:E4674)))))-COUNTBLANK(OFFSET(A$1,,,SUMPRODUCT(MAX(ROW(E$1:E4673)*(E2=E$1:E4673))))))</f>
        <v/>
      </c>
      <c r="K4674" s="24" t="str">
        <f aca="false">IF(OR(E4674="",E4674="!!!",F4674="NEW"),"",INDEX(J$1:J4673,SUMPRODUCT(MAX(ROW(E$1:E4673)*(E4674=E$1:E4673)))))</f>
        <v/>
      </c>
      <c r="L4674" s="31"/>
    </row>
    <row r="4675" customFormat="false" ht="15" hidden="false" customHeight="false" outlineLevel="0" collapsed="false">
      <c r="A4675" s="20" t="s">
        <v>1179</v>
      </c>
      <c r="B4675" s="22" t="s">
        <v>1142</v>
      </c>
      <c r="C4675" s="22" t="s">
        <v>1082</v>
      </c>
      <c r="D4675" s="22" t="s">
        <v>1060</v>
      </c>
      <c r="E4675" s="23" t="str">
        <f aca="false">IF(D4675="?OLD","!!!","")</f>
        <v>!!!</v>
      </c>
      <c r="F4675" s="25" t="str">
        <f aca="false">IF(OR(E4675="",E4675="!!!"),"",IF(NOT(ISNA(VLOOKUP(E4675,E$1:E4674,1,FALSE()))),"OLD",IF(AND(E4675&lt;&gt;"",E4675&lt;&gt;"!!!"),"NEW","")))</f>
        <v/>
      </c>
      <c r="G4675" s="26" t="str">
        <f aca="false">IF(OR(E4675="",E4675="!!!"),"",IF(OR(J4675=0,AND(J4675=1,K4675=1),AND(J4675=1,I4675="SBJ"),AND(J4675=1,I4675=0)),"?IN_FOCUS",IF(J4675&lt;=2,"?ACTIVATED",IF(J4675&lt;&gt;"","?FAMILIAR",IF(F4675="NEW",IF(ISNA(VLOOKUP(E4675,#REF!,1,FALSE())),"?TYPE_IDENTIFIABLE","?REFERENTIAL"),"_")))))</f>
        <v/>
      </c>
      <c r="H4675" s="27" t="str">
        <f aca="false">IF(J4675&lt;&gt;1,"",IF(I4675="SBJ","CB","?"))</f>
        <v/>
      </c>
      <c r="I4675" s="24" t="str">
        <f aca="false">IF(OR(E4675="",E4675="!!!",F4675="NEW"),"",INDEX(B30:B$4646,-1+SUMPRODUCT(MAX(ROW(E30:E$4646)*(E4675=E30:E$4646)))))</f>
        <v/>
      </c>
      <c r="J4675" s="24" t="str">
        <f aca="true">IF(OR(E4675="",E4675="!!!",F4675="NEW"),"",COUNTBLANK(OFFSET(A$1,,,SUMPRODUCT(MAX(ROW(E$2:E4675)*(E4675=E$2:E4675)))))-COUNTBLANK(OFFSET(A$1,,,SUMPRODUCT(MAX(ROW(E$1:E4674)*(E2=E$1:E4674))))))</f>
        <v/>
      </c>
      <c r="K4675" s="24" t="str">
        <f aca="false">IF(OR(E4675="",E4675="!!!",F4675="NEW"),"",INDEX(J$1:J4674,SUMPRODUCT(MAX(ROW(E$1:E4674)*(E4675=E$1:E4674)))))</f>
        <v/>
      </c>
      <c r="L4675" s="31"/>
    </row>
    <row r="4676" customFormat="false" ht="15" hidden="false" customHeight="false" outlineLevel="0" collapsed="false">
      <c r="A4676" s="20" t="s">
        <v>967</v>
      </c>
      <c r="E4676" s="23" t="str">
        <f aca="false">IF(D4676="?OLD","!!!","")</f>
        <v/>
      </c>
      <c r="F4676" s="25" t="str">
        <f aca="false">IF(OR(E4676="",E4676="!!!"),"",IF(NOT(ISNA(VLOOKUP(E4676,E$1:E4675,1,FALSE()))),"OLD",IF(AND(E4676&lt;&gt;"",E4676&lt;&gt;"!!!"),"NEW","")))</f>
        <v/>
      </c>
      <c r="G4676" s="26" t="str">
        <f aca="false">IF(OR(E4676="",E4676="!!!"),"",IF(OR(J4676=0,AND(J4676=1,K4676=1),AND(J4676=1,I4676="SBJ"),AND(J4676=1,I4676=0)),"?IN_FOCUS",IF(J4676&lt;=2,"?ACTIVATED",IF(J4676&lt;&gt;"","?FAMILIAR",IF(F4676="NEW",IF(ISNA(VLOOKUP(E4676,#REF!,1,FALSE())),"?TYPE_IDENTIFIABLE","?REFERENTIAL"),"_")))))</f>
        <v/>
      </c>
      <c r="H4676" s="27" t="str">
        <f aca="false">IF(J4676&lt;&gt;1,"",IF(I4676="SBJ","CB","?"))</f>
        <v/>
      </c>
      <c r="I4676" s="24" t="str">
        <f aca="false">IF(OR(E4676="",E4676="!!!",F4676="NEW"),"",INDEX(B31:B$4646,-1+SUMPRODUCT(MAX(ROW(E31:E$4646)*(E4676=E31:E$4646)))))</f>
        <v/>
      </c>
      <c r="J4676" s="24" t="str">
        <f aca="true">IF(OR(E4676="",E4676="!!!",F4676="NEW"),"",COUNTBLANK(OFFSET(A$1,,,SUMPRODUCT(MAX(ROW(E$2:E4676)*(E4676=E$2:E4676)))))-COUNTBLANK(OFFSET(A$1,,,SUMPRODUCT(MAX(ROW(E$1:E4675)*(E2=E$1:E4675))))))</f>
        <v/>
      </c>
      <c r="K4676" s="24" t="str">
        <f aca="false">IF(OR(E4676="",E4676="!!!",F4676="NEW"),"",INDEX(J$1:J4675,SUMPRODUCT(MAX(ROW(E$1:E4675)*(E4676=E$1:E4675)))))</f>
        <v/>
      </c>
      <c r="L4676" s="31"/>
    </row>
    <row r="4677" customFormat="false" ht="15" hidden="false" customHeight="false" outlineLevel="0" collapsed="false">
      <c r="A4677" s="20" t="s">
        <v>1169</v>
      </c>
      <c r="E4677" s="23" t="str">
        <f aca="false">IF(D4677="?OLD","!!!","")</f>
        <v/>
      </c>
      <c r="F4677" s="25" t="str">
        <f aca="false">IF(OR(E4677="",E4677="!!!"),"",IF(NOT(ISNA(VLOOKUP(E4677,E$1:E4676,1,FALSE()))),"OLD",IF(AND(E4677&lt;&gt;"",E4677&lt;&gt;"!!!"),"NEW","")))</f>
        <v/>
      </c>
      <c r="G4677" s="26" t="str">
        <f aca="false">IF(OR(E4677="",E4677="!!!"),"",IF(OR(J4677=0,AND(J4677=1,K4677=1),AND(J4677=1,I4677="SBJ"),AND(J4677=1,I4677=0)),"?IN_FOCUS",IF(J4677&lt;=2,"?ACTIVATED",IF(J4677&lt;&gt;"","?FAMILIAR",IF(F4677="NEW",IF(ISNA(VLOOKUP(E4677,#REF!,1,FALSE())),"?TYPE_IDENTIFIABLE","?REFERENTIAL"),"_")))))</f>
        <v/>
      </c>
      <c r="H4677" s="27" t="str">
        <f aca="false">IF(J4677&lt;&gt;1,"",IF(I4677="SBJ","CB","?"))</f>
        <v/>
      </c>
      <c r="I4677" s="24" t="str">
        <f aca="false">IF(OR(E4677="",E4677="!!!",F4677="NEW"),"",INDEX(B32:B$4646,-1+SUMPRODUCT(MAX(ROW(E32:E$4646)*(E4677=E32:E$4646)))))</f>
        <v/>
      </c>
      <c r="J4677" s="24" t="str">
        <f aca="true">IF(OR(E4677="",E4677="!!!",F4677="NEW"),"",COUNTBLANK(OFFSET(A$1,,,SUMPRODUCT(MAX(ROW(E$2:E4677)*(E4677=E$2:E4677)))))-COUNTBLANK(OFFSET(A$1,,,SUMPRODUCT(MAX(ROW(E$1:E4676)*(E2=E$1:E4676))))))</f>
        <v/>
      </c>
      <c r="K4677" s="24" t="str">
        <f aca="false">IF(OR(E4677="",E4677="!!!",F4677="NEW"),"",INDEX(J$1:J4676,SUMPRODUCT(MAX(ROW(E$1:E4676)*(E4677=E$1:E4676)))))</f>
        <v/>
      </c>
      <c r="L4677" s="31"/>
    </row>
    <row r="4678" customFormat="false" ht="15" hidden="false" customHeight="false" outlineLevel="0" collapsed="false">
      <c r="A4678" s="20" t="s">
        <v>1233</v>
      </c>
      <c r="E4678" s="23" t="str">
        <f aca="false">IF(D4678="?OLD","!!!","")</f>
        <v/>
      </c>
      <c r="F4678" s="25" t="str">
        <f aca="false">IF(OR(E4678="",E4678="!!!"),"",IF(NOT(ISNA(VLOOKUP(E4678,E$1:E4677,1,FALSE()))),"OLD",IF(AND(E4678&lt;&gt;"",E4678&lt;&gt;"!!!"),"NEW","")))</f>
        <v/>
      </c>
      <c r="G4678" s="26" t="str">
        <f aca="false">IF(OR(E4678="",E4678="!!!"),"",IF(OR(J4678=0,AND(J4678=1,K4678=1),AND(J4678=1,I4678="SBJ"),AND(J4678=1,I4678=0)),"?IN_FOCUS",IF(J4678&lt;=2,"?ACTIVATED",IF(J4678&lt;&gt;"","?FAMILIAR",IF(F4678="NEW",IF(ISNA(VLOOKUP(E4678,#REF!,1,FALSE())),"?TYPE_IDENTIFIABLE","?REFERENTIAL"),"_")))))</f>
        <v/>
      </c>
      <c r="H4678" s="27" t="str">
        <f aca="false">IF(J4678&lt;&gt;1,"",IF(I4678="SBJ","CB","?"))</f>
        <v/>
      </c>
      <c r="I4678" s="24" t="str">
        <f aca="false">IF(OR(E4678="",E4678="!!!",F4678="NEW"),"",INDEX(B33:B$4646,-1+SUMPRODUCT(MAX(ROW(E33:E$4646)*(E4678=E33:E$4646)))))</f>
        <v/>
      </c>
      <c r="J4678" s="24" t="str">
        <f aca="true">IF(OR(E4678="",E4678="!!!",F4678="NEW"),"",COUNTBLANK(OFFSET(A$1,,,SUMPRODUCT(MAX(ROW(E$2:E4678)*(E4678=E$2:E4678)))))-COUNTBLANK(OFFSET(A$1,,,SUMPRODUCT(MAX(ROW(E$1:E4677)*(E2=E$1:E4677))))))</f>
        <v/>
      </c>
      <c r="K4678" s="24" t="str">
        <f aca="false">IF(OR(E4678="",E4678="!!!",F4678="NEW"),"",INDEX(J$1:J4677,SUMPRODUCT(MAX(ROW(E$1:E4677)*(E4678=E$1:E4677)))))</f>
        <v/>
      </c>
      <c r="L4678" s="31"/>
    </row>
    <row r="4679" customFormat="false" ht="15" hidden="false" customHeight="false" outlineLevel="0" collapsed="false">
      <c r="A4679" s="20" t="s">
        <v>2444</v>
      </c>
      <c r="E4679" s="23" t="str">
        <f aca="false">IF(D4679="?OLD","!!!","")</f>
        <v/>
      </c>
      <c r="F4679" s="25" t="str">
        <f aca="false">IF(OR(E4679="",E4679="!!!"),"",IF(NOT(ISNA(VLOOKUP(E4679,E$1:E4678,1,FALSE()))),"OLD",IF(AND(E4679&lt;&gt;"",E4679&lt;&gt;"!!!"),"NEW","")))</f>
        <v/>
      </c>
      <c r="G4679" s="26" t="str">
        <f aca="false">IF(OR(E4679="",E4679="!!!"),"",IF(OR(J4679=0,AND(J4679=1,K4679=1),AND(J4679=1,I4679="SBJ"),AND(J4679=1,I4679=0)),"?IN_FOCUS",IF(J4679&lt;=2,"?ACTIVATED",IF(J4679&lt;&gt;"","?FAMILIAR",IF(F4679="NEW",IF(ISNA(VLOOKUP(E4679,#REF!,1,FALSE())),"?TYPE_IDENTIFIABLE","?REFERENTIAL"),"_")))))</f>
        <v/>
      </c>
      <c r="H4679" s="27" t="str">
        <f aca="false">IF(J4679&lt;&gt;1,"",IF(I4679="SBJ","CB","?"))</f>
        <v/>
      </c>
      <c r="I4679" s="24" t="str">
        <f aca="false">IF(OR(E4679="",E4679="!!!",F4679="NEW"),"",INDEX(B34:B$4646,-1+SUMPRODUCT(MAX(ROW(E34:E$4646)*(E4679=E34:E$4646)))))</f>
        <v/>
      </c>
      <c r="J4679" s="24" t="str">
        <f aca="true">IF(OR(E4679="",E4679="!!!",F4679="NEW"),"",COUNTBLANK(OFFSET(A$1,,,SUMPRODUCT(MAX(ROW(E$2:E4679)*(E4679=E$2:E4679)))))-COUNTBLANK(OFFSET(A$1,,,SUMPRODUCT(MAX(ROW(E$1:E4678)*(E2=E$1:E4678))))))</f>
        <v/>
      </c>
      <c r="K4679" s="24" t="str">
        <f aca="false">IF(OR(E4679="",E4679="!!!",F4679="NEW"),"",INDEX(J$1:J4678,SUMPRODUCT(MAX(ROW(E$1:E4678)*(E4679=E$1:E4678)))))</f>
        <v/>
      </c>
      <c r="L4679" s="31"/>
    </row>
    <row r="4680" customFormat="false" ht="15" hidden="false" customHeight="false" outlineLevel="0" collapsed="false">
      <c r="A4680" s="20" t="s">
        <v>16</v>
      </c>
      <c r="E4680" s="23" t="str">
        <f aca="false">IF(D4680="?OLD","!!!","")</f>
        <v/>
      </c>
      <c r="F4680" s="25" t="str">
        <f aca="false">IF(OR(E4680="",E4680="!!!"),"",IF(NOT(ISNA(VLOOKUP(E4680,E$1:E4679,1,FALSE()))),"OLD",IF(AND(E4680&lt;&gt;"",E4680&lt;&gt;"!!!"),"NEW","")))</f>
        <v/>
      </c>
      <c r="G4680" s="26" t="str">
        <f aca="false">IF(OR(E4680="",E4680="!!!"),"",IF(OR(J4680=0,AND(J4680=1,K4680=1),AND(J4680=1,I4680="SBJ"),AND(J4680=1,I4680=0)),"?IN_FOCUS",IF(J4680&lt;=2,"?ACTIVATED",IF(J4680&lt;&gt;"","?FAMILIAR",IF(F4680="NEW",IF(ISNA(VLOOKUP(E4680,#REF!,1,FALSE())),"?TYPE_IDENTIFIABLE","?REFERENTIAL"),"_")))))</f>
        <v/>
      </c>
      <c r="H4680" s="27" t="str">
        <f aca="false">IF(J4680&lt;&gt;1,"",IF(I4680="SBJ","CB","?"))</f>
        <v/>
      </c>
      <c r="I4680" s="24" t="str">
        <f aca="false">IF(OR(E4680="",E4680="!!!",F4680="NEW"),"",INDEX(B35:B$4646,-1+SUMPRODUCT(MAX(ROW(E35:E$4646)*(E4680=E35:E$4646)))))</f>
        <v/>
      </c>
      <c r="J4680" s="24" t="str">
        <f aca="true">IF(OR(E4680="",E4680="!!!",F4680="NEW"),"",COUNTBLANK(OFFSET(A$1,,,SUMPRODUCT(MAX(ROW(E$2:E4680)*(E4680=E$2:E4680)))))-COUNTBLANK(OFFSET(A$1,,,SUMPRODUCT(MAX(ROW(E$1:E4679)*(E2=E$1:E4679))))))</f>
        <v/>
      </c>
      <c r="K4680" s="24" t="str">
        <f aca="false">IF(OR(E4680="",E4680="!!!",F4680="NEW"),"",INDEX(J$1:J4679,SUMPRODUCT(MAX(ROW(E$1:E4679)*(E4680=E$1:E4679)))))</f>
        <v/>
      </c>
      <c r="L4680" s="31"/>
    </row>
    <row r="4681" customFormat="false" ht="15" hidden="false" customHeight="false" outlineLevel="0" collapsed="false">
      <c r="A4681" s="20" t="s">
        <v>1940</v>
      </c>
      <c r="E4681" s="23" t="str">
        <f aca="false">IF(D4681="?OLD","!!!","")</f>
        <v/>
      </c>
      <c r="F4681" s="25" t="str">
        <f aca="false">IF(OR(E4681="",E4681="!!!"),"",IF(NOT(ISNA(VLOOKUP(E4681,E$1:E4680,1,FALSE()))),"OLD",IF(AND(E4681&lt;&gt;"",E4681&lt;&gt;"!!!"),"NEW","")))</f>
        <v/>
      </c>
      <c r="G4681" s="26" t="str">
        <f aca="false">IF(OR(E4681="",E4681="!!!"),"",IF(OR(J4681=0,AND(J4681=1,K4681=1),AND(J4681=1,I4681="SBJ"),AND(J4681=1,I4681=0)),"?IN_FOCUS",IF(J4681&lt;=2,"?ACTIVATED",IF(J4681&lt;&gt;"","?FAMILIAR",IF(F4681="NEW",IF(ISNA(VLOOKUP(E4681,#REF!,1,FALSE())),"?TYPE_IDENTIFIABLE","?REFERENTIAL"),"_")))))</f>
        <v/>
      </c>
      <c r="H4681" s="27" t="str">
        <f aca="false">IF(J4681&lt;&gt;1,"",IF(I4681="SBJ","CB","?"))</f>
        <v/>
      </c>
      <c r="I4681" s="24" t="str">
        <f aca="false">IF(OR(E4681="",E4681="!!!",F4681="NEW"),"",INDEX(B36:B$4646,-1+SUMPRODUCT(MAX(ROW(E36:E$4646)*(E4681=E36:E$4646)))))</f>
        <v/>
      </c>
      <c r="J4681" s="24" t="str">
        <f aca="true">IF(OR(E4681="",E4681="!!!",F4681="NEW"),"",COUNTBLANK(OFFSET(A$1,,,SUMPRODUCT(MAX(ROW(E$2:E4681)*(E4681=E$2:E4681)))))-COUNTBLANK(OFFSET(A$1,,,SUMPRODUCT(MAX(ROW(E$1:E4680)*(E2=E$1:E4680))))))</f>
        <v/>
      </c>
      <c r="K4681" s="24" t="str">
        <f aca="false">IF(OR(E4681="",E4681="!!!",F4681="NEW"),"",INDEX(J$1:J4680,SUMPRODUCT(MAX(ROW(E$1:E4680)*(E4681=E$1:E4680)))))</f>
        <v/>
      </c>
      <c r="L4681" s="31"/>
    </row>
    <row r="4682" customFormat="false" ht="15" hidden="false" customHeight="false" outlineLevel="0" collapsed="false">
      <c r="A4682" s="20" t="s">
        <v>1410</v>
      </c>
      <c r="E4682" s="23" t="str">
        <f aca="false">IF(D4682="?OLD","!!!","")</f>
        <v/>
      </c>
      <c r="F4682" s="25" t="str">
        <f aca="false">IF(OR(E4682="",E4682="!!!"),"",IF(NOT(ISNA(VLOOKUP(E4682,E$1:E4681,1,FALSE()))),"OLD",IF(AND(E4682&lt;&gt;"",E4682&lt;&gt;"!!!"),"NEW","")))</f>
        <v/>
      </c>
      <c r="G4682" s="26" t="str">
        <f aca="false">IF(OR(E4682="",E4682="!!!"),"",IF(OR(J4682=0,AND(J4682=1,K4682=1),AND(J4682=1,I4682="SBJ"),AND(J4682=1,I4682=0)),"?IN_FOCUS",IF(J4682&lt;=2,"?ACTIVATED",IF(J4682&lt;&gt;"","?FAMILIAR",IF(F4682="NEW",IF(ISNA(VLOOKUP(E4682,#REF!,1,FALSE())),"?TYPE_IDENTIFIABLE","?REFERENTIAL"),"_")))))</f>
        <v/>
      </c>
      <c r="H4682" s="27" t="str">
        <f aca="false">IF(J4682&lt;&gt;1,"",IF(I4682="SBJ","CB","?"))</f>
        <v/>
      </c>
      <c r="I4682" s="24" t="str">
        <f aca="false">IF(OR(E4682="",E4682="!!!",F4682="NEW"),"",INDEX(B37:B$4646,-1+SUMPRODUCT(MAX(ROW(E37:E$4646)*(E4682=E37:E$4646)))))</f>
        <v/>
      </c>
      <c r="J4682" s="24" t="str">
        <f aca="true">IF(OR(E4682="",E4682="!!!",F4682="NEW"),"",COUNTBLANK(OFFSET(A$1,,,SUMPRODUCT(MAX(ROW(E$2:E4682)*(E4682=E$2:E4682)))))-COUNTBLANK(OFFSET(A$1,,,SUMPRODUCT(MAX(ROW(E$1:E4681)*(E2=E$1:E4681))))))</f>
        <v/>
      </c>
      <c r="K4682" s="24" t="str">
        <f aca="false">IF(OR(E4682="",E4682="!!!",F4682="NEW"),"",INDEX(J$1:J4681,SUMPRODUCT(MAX(ROW(E$1:E4681)*(E4682=E$1:E4681)))))</f>
        <v/>
      </c>
      <c r="L4682" s="31"/>
    </row>
    <row r="4683" customFormat="false" ht="15" hidden="false" customHeight="false" outlineLevel="0" collapsed="false">
      <c r="A4683" s="20" t="s">
        <v>1109</v>
      </c>
      <c r="E4683" s="23" t="str">
        <f aca="false">IF(D4683="?OLD","!!!","")</f>
        <v/>
      </c>
      <c r="F4683" s="25" t="str">
        <f aca="false">IF(OR(E4683="",E4683="!!!"),"",IF(NOT(ISNA(VLOOKUP(E4683,E$1:E4682,1,FALSE()))),"OLD",IF(AND(E4683&lt;&gt;"",E4683&lt;&gt;"!!!"),"NEW","")))</f>
        <v/>
      </c>
      <c r="G4683" s="26" t="str">
        <f aca="false">IF(OR(E4683="",E4683="!!!"),"",IF(OR(J4683=0,AND(J4683=1,K4683=1),AND(J4683=1,I4683="SBJ"),AND(J4683=1,I4683=0)),"?IN_FOCUS",IF(J4683&lt;=2,"?ACTIVATED",IF(J4683&lt;&gt;"","?FAMILIAR",IF(F4683="NEW",IF(ISNA(VLOOKUP(E4683,#REF!,1,FALSE())),"?TYPE_IDENTIFIABLE","?REFERENTIAL"),"_")))))</f>
        <v/>
      </c>
      <c r="H4683" s="27" t="str">
        <f aca="false">IF(J4683&lt;&gt;1,"",IF(I4683="SBJ","CB","?"))</f>
        <v/>
      </c>
      <c r="I4683" s="24" t="str">
        <f aca="false">IF(OR(E4683="",E4683="!!!",F4683="NEW"),"",INDEX(B38:B$4646,-1+SUMPRODUCT(MAX(ROW(E38:E$4646)*(E4683=E38:E$4646)))))</f>
        <v/>
      </c>
      <c r="J4683" s="24" t="str">
        <f aca="true">IF(OR(E4683="",E4683="!!!",F4683="NEW"),"",COUNTBLANK(OFFSET(A$1,,,SUMPRODUCT(MAX(ROW(E$2:E4683)*(E4683=E$2:E4683)))))-COUNTBLANK(OFFSET(A$1,,,SUMPRODUCT(MAX(ROW(E$1:E4682)*(E2=E$1:E4682))))))</f>
        <v/>
      </c>
      <c r="K4683" s="24" t="str">
        <f aca="false">IF(OR(E4683="",E4683="!!!",F4683="NEW"),"",INDEX(J$1:J4682,SUMPRODUCT(MAX(ROW(E$1:E4682)*(E4683=E$1:E4682)))))</f>
        <v/>
      </c>
      <c r="L4683" s="31"/>
    </row>
    <row r="4684" customFormat="false" ht="15" hidden="false" customHeight="false" outlineLevel="0" collapsed="false">
      <c r="A4684" s="20" t="s">
        <v>1220</v>
      </c>
      <c r="B4684" s="22" t="s">
        <v>1098</v>
      </c>
      <c r="C4684" s="22" t="s">
        <v>1150</v>
      </c>
      <c r="D4684" s="22" t="s">
        <v>1060</v>
      </c>
      <c r="E4684" s="23" t="str">
        <f aca="false">IF(D4684="?OLD","!!!","")</f>
        <v>!!!</v>
      </c>
      <c r="F4684" s="25" t="str">
        <f aca="false">IF(OR(E4684="",E4684="!!!"),"",IF(NOT(ISNA(VLOOKUP(E4684,E$1:E4683,1,FALSE()))),"OLD",IF(AND(E4684&lt;&gt;"",E4684&lt;&gt;"!!!"),"NEW","")))</f>
        <v/>
      </c>
      <c r="G4684" s="26" t="str">
        <f aca="false">IF(OR(E4684="",E4684="!!!"),"",IF(OR(J4684=0,AND(J4684=1,K4684=1),AND(J4684=1,I4684="SBJ"),AND(J4684=1,I4684=0)),"?IN_FOCUS",IF(J4684&lt;=2,"?ACTIVATED",IF(J4684&lt;&gt;"","?FAMILIAR",IF(F4684="NEW",IF(ISNA(VLOOKUP(E4684,#REF!,1,FALSE())),"?TYPE_IDENTIFIABLE","?REFERENTIAL"),"_")))))</f>
        <v/>
      </c>
      <c r="H4684" s="27" t="str">
        <f aca="false">IF(J4684&lt;&gt;1,"",IF(I4684="SBJ","CB","?"))</f>
        <v/>
      </c>
      <c r="I4684" s="24" t="str">
        <f aca="false">IF(OR(E4684="",E4684="!!!",F4684="NEW"),"",INDEX(B39:B$4646,-1+SUMPRODUCT(MAX(ROW(E39:E$4646)*(E4684=E39:E$4646)))))</f>
        <v/>
      </c>
      <c r="J4684" s="24" t="str">
        <f aca="true">IF(OR(E4684="",E4684="!!!",F4684="NEW"),"",COUNTBLANK(OFFSET(A$1,,,SUMPRODUCT(MAX(ROW(E$2:E4684)*(E4684=E$2:E4684)))))-COUNTBLANK(OFFSET(A$1,,,SUMPRODUCT(MAX(ROW(E$1:E4683)*(E2=E$1:E4683))))))</f>
        <v/>
      </c>
      <c r="K4684" s="24" t="str">
        <f aca="false">IF(OR(E4684="",E4684="!!!",F4684="NEW"),"",INDEX(J$1:J4683,SUMPRODUCT(MAX(ROW(E$1:E4683)*(E4684=E$1:E4683)))))</f>
        <v/>
      </c>
      <c r="L4684" s="31"/>
    </row>
    <row r="4685" customFormat="false" ht="15" hidden="false" customHeight="false" outlineLevel="0" collapsed="false">
      <c r="A4685" s="20" t="s">
        <v>1076</v>
      </c>
      <c r="E4685" s="23" t="str">
        <f aca="false">IF(D4685="?OLD","!!!","")</f>
        <v/>
      </c>
      <c r="F4685" s="25" t="str">
        <f aca="false">IF(OR(E4685="",E4685="!!!"),"",IF(NOT(ISNA(VLOOKUP(E4685,E$1:E4684,1,FALSE()))),"OLD",IF(AND(E4685&lt;&gt;"",E4685&lt;&gt;"!!!"),"NEW","")))</f>
        <v/>
      </c>
      <c r="G4685" s="26" t="str">
        <f aca="false">IF(OR(E4685="",E4685="!!!"),"",IF(OR(J4685=0,AND(J4685=1,K4685=1),AND(J4685=1,I4685="SBJ"),AND(J4685=1,I4685=0)),"?IN_FOCUS",IF(J4685&lt;=2,"?ACTIVATED",IF(J4685&lt;&gt;"","?FAMILIAR",IF(F4685="NEW",IF(ISNA(VLOOKUP(E4685,#REF!,1,FALSE())),"?TYPE_IDENTIFIABLE","?REFERENTIAL"),"_")))))</f>
        <v/>
      </c>
      <c r="H4685" s="27" t="str">
        <f aca="false">IF(J4685&lt;&gt;1,"",IF(I4685="SBJ","CB","?"))</f>
        <v/>
      </c>
      <c r="I4685" s="24" t="str">
        <f aca="false">IF(OR(E4685="",E4685="!!!",F4685="NEW"),"",INDEX(B40:B$4646,-1+SUMPRODUCT(MAX(ROW(E40:E$4646)*(E4685=E40:E$4646)))))</f>
        <v/>
      </c>
      <c r="J4685" s="24" t="str">
        <f aca="true">IF(OR(E4685="",E4685="!!!",F4685="NEW"),"",COUNTBLANK(OFFSET(A$1,,,SUMPRODUCT(MAX(ROW(E$2:E4685)*(E4685=E$2:E4685)))))-COUNTBLANK(OFFSET(A$1,,,SUMPRODUCT(MAX(ROW(E$1:E4684)*(E2=E$1:E4684))))))</f>
        <v/>
      </c>
      <c r="K4685" s="24" t="str">
        <f aca="false">IF(OR(E4685="",E4685="!!!",F4685="NEW"),"",INDEX(J$1:J4684,SUMPRODUCT(MAX(ROW(E$1:E4684)*(E4685=E$1:E4684)))))</f>
        <v/>
      </c>
      <c r="L4685" s="31"/>
    </row>
    <row r="4686" customFormat="false" ht="15" hidden="false" customHeight="false" outlineLevel="0" collapsed="false">
      <c r="A4686" s="20" t="s">
        <v>2445</v>
      </c>
      <c r="E4686" s="23" t="str">
        <f aca="false">IF(D4686="?OLD","!!!","")</f>
        <v/>
      </c>
      <c r="F4686" s="25" t="str">
        <f aca="false">IF(OR(E4686="",E4686="!!!"),"",IF(NOT(ISNA(VLOOKUP(E4686,E$1:E4685,1,FALSE()))),"OLD",IF(AND(E4686&lt;&gt;"",E4686&lt;&gt;"!!!"),"NEW","")))</f>
        <v/>
      </c>
      <c r="G4686" s="26" t="str">
        <f aca="false">IF(OR(E4686="",E4686="!!!"),"",IF(OR(J4686=0,AND(J4686=1,K4686=1),AND(J4686=1,I4686="SBJ"),AND(J4686=1,I4686=0)),"?IN_FOCUS",IF(J4686&lt;=2,"?ACTIVATED",IF(J4686&lt;&gt;"","?FAMILIAR",IF(F4686="NEW",IF(ISNA(VLOOKUP(E4686,#REF!,1,FALSE())),"?TYPE_IDENTIFIABLE","?REFERENTIAL"),"_")))))</f>
        <v/>
      </c>
      <c r="H4686" s="27" t="str">
        <f aca="false">IF(J4686&lt;&gt;1,"",IF(I4686="SBJ","CB","?"))</f>
        <v/>
      </c>
      <c r="I4686" s="24" t="str">
        <f aca="false">IF(OR(E4686="",E4686="!!!",F4686="NEW"),"",INDEX(B41:B$4646,-1+SUMPRODUCT(MAX(ROW(E41:E$4646)*(E4686=E41:E$4646)))))</f>
        <v/>
      </c>
      <c r="J4686" s="24" t="str">
        <f aca="true">IF(OR(E4686="",E4686="!!!",F4686="NEW"),"",COUNTBLANK(OFFSET(A$1,,,SUMPRODUCT(MAX(ROW(E$2:E4686)*(E4686=E$2:E4686)))))-COUNTBLANK(OFFSET(A$1,,,SUMPRODUCT(MAX(ROW(E$1:E4685)*(E2=E$1:E4685))))))</f>
        <v/>
      </c>
      <c r="K4686" s="24" t="str">
        <f aca="false">IF(OR(E4686="",E4686="!!!",F4686="NEW"),"",INDEX(J$1:J4685,SUMPRODUCT(MAX(ROW(E$1:E4685)*(E4686=E$1:E4685)))))</f>
        <v/>
      </c>
      <c r="L4686" s="31"/>
    </row>
    <row r="4687" customFormat="false" ht="15" hidden="false" customHeight="false" outlineLevel="0" collapsed="false">
      <c r="A4687" s="20" t="s">
        <v>2319</v>
      </c>
      <c r="B4687" s="22" t="s">
        <v>1067</v>
      </c>
      <c r="C4687" s="22" t="s">
        <v>1160</v>
      </c>
      <c r="E4687" s="23" t="str">
        <f aca="false">IF(D4687="?OLD","!!!","")</f>
        <v/>
      </c>
      <c r="F4687" s="25" t="str">
        <f aca="false">IF(OR(E4687="",E4687="!!!"),"",IF(NOT(ISNA(VLOOKUP(E4687,E$1:E4686,1,FALSE()))),"OLD",IF(AND(E4687&lt;&gt;"",E4687&lt;&gt;"!!!"),"NEW","")))</f>
        <v/>
      </c>
      <c r="G4687" s="26" t="str">
        <f aca="false">IF(OR(E4687="",E4687="!!!"),"",IF(OR(J4687=0,AND(J4687=1,K4687=1),AND(J4687=1,I4687="SBJ"),AND(J4687=1,I4687=0)),"?IN_FOCUS",IF(J4687&lt;=2,"?ACTIVATED",IF(J4687&lt;&gt;"","?FAMILIAR",IF(F4687="NEW",IF(ISNA(VLOOKUP(E4687,#REF!,1,FALSE())),"?TYPE_IDENTIFIABLE","?REFERENTIAL"),"_")))))</f>
        <v/>
      </c>
      <c r="H4687" s="27" t="str">
        <f aca="false">IF(J4687&lt;&gt;1,"",IF(I4687="SBJ","CB","?"))</f>
        <v/>
      </c>
      <c r="I4687" s="24" t="str">
        <f aca="false">IF(OR(E4687="",E4687="!!!",F4687="NEW"),"",INDEX(B42:B$4646,-1+SUMPRODUCT(MAX(ROW(E42:E$4646)*(E4687=E42:E$4646)))))</f>
        <v/>
      </c>
      <c r="J4687" s="24" t="str">
        <f aca="true">IF(OR(E4687="",E4687="!!!",F4687="NEW"),"",COUNTBLANK(OFFSET(A$1,,,SUMPRODUCT(MAX(ROW(E$2:E4687)*(E4687=E$2:E4687)))))-COUNTBLANK(OFFSET(A$1,,,SUMPRODUCT(MAX(ROW(E$1:E4686)*(E2=E$1:E4686))))))</f>
        <v/>
      </c>
      <c r="K4687" s="24" t="str">
        <f aca="false">IF(OR(E4687="",E4687="!!!",F4687="NEW"),"",INDEX(J$1:J4686,SUMPRODUCT(MAX(ROW(E$1:E4686)*(E4687=E$1:E4686)))))</f>
        <v/>
      </c>
      <c r="L4687" s="31"/>
    </row>
    <row r="4688" customFormat="false" ht="15" hidden="false" customHeight="false" outlineLevel="0" collapsed="false">
      <c r="A4688" s="20" t="s">
        <v>1076</v>
      </c>
      <c r="E4688" s="23" t="str">
        <f aca="false">IF(D4688="?OLD","!!!","")</f>
        <v/>
      </c>
      <c r="F4688" s="25" t="str">
        <f aca="false">IF(OR(E4688="",E4688="!!!"),"",IF(NOT(ISNA(VLOOKUP(E4688,E$1:E4687,1,FALSE()))),"OLD",IF(AND(E4688&lt;&gt;"",E4688&lt;&gt;"!!!"),"NEW","")))</f>
        <v/>
      </c>
      <c r="G4688" s="26" t="str">
        <f aca="false">IF(OR(E4688="",E4688="!!!"),"",IF(OR(J4688=0,AND(J4688=1,K4688=1),AND(J4688=1,I4688="SBJ"),AND(J4688=1,I4688=0)),"?IN_FOCUS",IF(J4688&lt;=2,"?ACTIVATED",IF(J4688&lt;&gt;"","?FAMILIAR",IF(F4688="NEW",IF(ISNA(VLOOKUP(E4688,#REF!,1,FALSE())),"?TYPE_IDENTIFIABLE","?REFERENTIAL"),"_")))))</f>
        <v/>
      </c>
      <c r="H4688" s="27" t="str">
        <f aca="false">IF(J4688&lt;&gt;1,"",IF(I4688="SBJ","CB","?"))</f>
        <v/>
      </c>
      <c r="I4688" s="24" t="str">
        <f aca="false">IF(OR(E4688="",E4688="!!!",F4688="NEW"),"",INDEX(B43:B$4646,-1+SUMPRODUCT(MAX(ROW(E43:E$4646)*(E4688=E43:E$4646)))))</f>
        <v/>
      </c>
      <c r="J4688" s="24" t="str">
        <f aca="true">IF(OR(E4688="",E4688="!!!",F4688="NEW"),"",COUNTBLANK(OFFSET(A$1,,,SUMPRODUCT(MAX(ROW(E$2:E4688)*(E4688=E$2:E4688)))))-COUNTBLANK(OFFSET(A$1,,,SUMPRODUCT(MAX(ROW(E$1:E4687)*(E2=E$1:E4687))))))</f>
        <v/>
      </c>
      <c r="K4688" s="24" t="str">
        <f aca="false">IF(OR(E4688="",E4688="!!!",F4688="NEW"),"",INDEX(J$1:J4687,SUMPRODUCT(MAX(ROW(E$1:E4687)*(E4688=E$1:E4687)))))</f>
        <v/>
      </c>
      <c r="L4688" s="31"/>
    </row>
    <row r="4689" customFormat="false" ht="15" hidden="false" customHeight="false" outlineLevel="0" collapsed="false">
      <c r="A4689" s="20" t="s">
        <v>1125</v>
      </c>
      <c r="B4689" s="22" t="s">
        <v>1359</v>
      </c>
      <c r="E4689" s="23" t="str">
        <f aca="false">IF(D4689="?OLD","!!!","")</f>
        <v/>
      </c>
      <c r="F4689" s="25" t="str">
        <f aca="false">IF(OR(E4689="",E4689="!!!"),"",IF(NOT(ISNA(VLOOKUP(E4689,E$1:E4688,1,FALSE()))),"OLD",IF(AND(E4689&lt;&gt;"",E4689&lt;&gt;"!!!"),"NEW","")))</f>
        <v/>
      </c>
      <c r="G4689" s="26" t="str">
        <f aca="false">IF(OR(E4689="",E4689="!!!"),"",IF(OR(J4689=0,AND(J4689=1,K4689=1),AND(J4689=1,I4689="SBJ"),AND(J4689=1,I4689=0)),"?IN_FOCUS",IF(J4689&lt;=2,"?ACTIVATED",IF(J4689&lt;&gt;"","?FAMILIAR",IF(F4689="NEW",IF(ISNA(VLOOKUP(E4689,#REF!,1,FALSE())),"?TYPE_IDENTIFIABLE","?REFERENTIAL"),"_")))))</f>
        <v/>
      </c>
      <c r="H4689" s="27" t="str">
        <f aca="false">IF(J4689&lt;&gt;1,"",IF(I4689="SBJ","CB","?"))</f>
        <v/>
      </c>
      <c r="I4689" s="24" t="str">
        <f aca="false">IF(OR(E4689="",E4689="!!!",F4689="NEW"),"",INDEX(B44:B$4646,-1+SUMPRODUCT(MAX(ROW(E44:E$4646)*(E4689=E44:E$4646)))))</f>
        <v/>
      </c>
      <c r="J4689" s="24" t="str">
        <f aca="true">IF(OR(E4689="",E4689="!!!",F4689="NEW"),"",COUNTBLANK(OFFSET(A$1,,,SUMPRODUCT(MAX(ROW(E$2:E4689)*(E4689=E$2:E4689)))))-COUNTBLANK(OFFSET(A$1,,,SUMPRODUCT(MAX(ROW(E$1:E4688)*(E2=E$1:E4688))))))</f>
        <v/>
      </c>
      <c r="K4689" s="24" t="str">
        <f aca="false">IF(OR(E4689="",E4689="!!!",F4689="NEW"),"",INDEX(J$1:J4688,SUMPRODUCT(MAX(ROW(E$1:E4688)*(E4689=E$1:E4688)))))</f>
        <v/>
      </c>
      <c r="L4689" s="31"/>
    </row>
    <row r="4690" customFormat="false" ht="15" hidden="false" customHeight="false" outlineLevel="0" collapsed="false">
      <c r="A4690" s="20" t="s">
        <v>2446</v>
      </c>
      <c r="E4690" s="23" t="str">
        <f aca="false">IF(D4690="?OLD","!!!","")</f>
        <v/>
      </c>
      <c r="F4690" s="25" t="str">
        <f aca="false">IF(OR(E4690="",E4690="!!!"),"",IF(NOT(ISNA(VLOOKUP(E4690,E$1:E4689,1,FALSE()))),"OLD",IF(AND(E4690&lt;&gt;"",E4690&lt;&gt;"!!!"),"NEW","")))</f>
        <v/>
      </c>
      <c r="G4690" s="26" t="str">
        <f aca="false">IF(OR(E4690="",E4690="!!!"),"",IF(OR(J4690=0,AND(J4690=1,K4690=1),AND(J4690=1,I4690="SBJ"),AND(J4690=1,I4690=0)),"?IN_FOCUS",IF(J4690&lt;=2,"?ACTIVATED",IF(J4690&lt;&gt;"","?FAMILIAR",IF(F4690="NEW",IF(ISNA(VLOOKUP(E4690,#REF!,1,FALSE())),"?TYPE_IDENTIFIABLE","?REFERENTIAL"),"_")))))</f>
        <v/>
      </c>
      <c r="H4690" s="27" t="str">
        <f aca="false">IF(J4690&lt;&gt;1,"",IF(I4690="SBJ","CB","?"))</f>
        <v/>
      </c>
      <c r="I4690" s="24" t="str">
        <f aca="false">IF(OR(E4690="",E4690="!!!",F4690="NEW"),"",INDEX(B45:B$4646,-1+SUMPRODUCT(MAX(ROW(E45:E$4646)*(E4690=E45:E$4646)))))</f>
        <v/>
      </c>
      <c r="J4690" s="24" t="str">
        <f aca="true">IF(OR(E4690="",E4690="!!!",F4690="NEW"),"",COUNTBLANK(OFFSET(A$1,,,SUMPRODUCT(MAX(ROW(E$2:E4690)*(E4690=E$2:E4690)))))-COUNTBLANK(OFFSET(A$1,,,SUMPRODUCT(MAX(ROW(E$1:E4689)*(E2=E$1:E4689))))))</f>
        <v/>
      </c>
      <c r="K4690" s="24" t="str">
        <f aca="false">IF(OR(E4690="",E4690="!!!",F4690="NEW"),"",INDEX(J$1:J4689,SUMPRODUCT(MAX(ROW(E$1:E4689)*(E4690=E$1:E4689)))))</f>
        <v/>
      </c>
      <c r="L4690" s="31"/>
    </row>
    <row r="4691" customFormat="false" ht="15" hidden="false" customHeight="false" outlineLevel="0" collapsed="false">
      <c r="A4691" s="20" t="s">
        <v>1154</v>
      </c>
      <c r="E4691" s="23" t="str">
        <f aca="false">IF(D4691="?OLD","!!!","")</f>
        <v/>
      </c>
      <c r="F4691" s="25" t="str">
        <f aca="false">IF(OR(E4691="",E4691="!!!"),"",IF(NOT(ISNA(VLOOKUP(E4691,E$1:E4690,1,FALSE()))),"OLD",IF(AND(E4691&lt;&gt;"",E4691&lt;&gt;"!!!"),"NEW","")))</f>
        <v/>
      </c>
      <c r="G4691" s="26" t="str">
        <f aca="false">IF(OR(E4691="",E4691="!!!"),"",IF(OR(J4691=0,AND(J4691=1,K4691=1),AND(J4691=1,I4691="SBJ"),AND(J4691=1,I4691=0)),"?IN_FOCUS",IF(J4691&lt;=2,"?ACTIVATED",IF(J4691&lt;&gt;"","?FAMILIAR",IF(F4691="NEW",IF(ISNA(VLOOKUP(E4691,#REF!,1,FALSE())),"?TYPE_IDENTIFIABLE","?REFERENTIAL"),"_")))))</f>
        <v/>
      </c>
      <c r="H4691" s="27" t="str">
        <f aca="false">IF(J4691&lt;&gt;1,"",IF(I4691="SBJ","CB","?"))</f>
        <v/>
      </c>
      <c r="I4691" s="24" t="str">
        <f aca="false">IF(OR(E4691="",E4691="!!!",F4691="NEW"),"",INDEX(B46:B$4646,-1+SUMPRODUCT(MAX(ROW(E46:E$4646)*(E4691=E46:E$4646)))))</f>
        <v/>
      </c>
      <c r="J4691" s="24" t="str">
        <f aca="true">IF(OR(E4691="",E4691="!!!",F4691="NEW"),"",COUNTBLANK(OFFSET(A$1,,,SUMPRODUCT(MAX(ROW(E$2:E4691)*(E4691=E$2:E4691)))))-COUNTBLANK(OFFSET(A$1,,,SUMPRODUCT(MAX(ROW(E$1:E4690)*(E2=E$1:E4690))))))</f>
        <v/>
      </c>
      <c r="K4691" s="24" t="str">
        <f aca="false">IF(OR(E4691="",E4691="!!!",F4691="NEW"),"",INDEX(J$1:J4690,SUMPRODUCT(MAX(ROW(E$1:E4690)*(E4691=E$1:E4690)))))</f>
        <v/>
      </c>
      <c r="L4691" s="31"/>
    </row>
    <row r="4692" customFormat="false" ht="15" hidden="false" customHeight="false" outlineLevel="0" collapsed="false">
      <c r="A4692" s="20" t="s">
        <v>1388</v>
      </c>
      <c r="B4692" s="22" t="s">
        <v>1098</v>
      </c>
      <c r="C4692" s="22" t="s">
        <v>1160</v>
      </c>
      <c r="E4692" s="23" t="str">
        <f aca="false">IF(D4692="?OLD","!!!","")</f>
        <v/>
      </c>
      <c r="F4692" s="25" t="str">
        <f aca="false">IF(OR(E4692="",E4692="!!!"),"",IF(NOT(ISNA(VLOOKUP(E4692,E$1:E4691,1,FALSE()))),"OLD",IF(AND(E4692&lt;&gt;"",E4692&lt;&gt;"!!!"),"NEW","")))</f>
        <v/>
      </c>
      <c r="G4692" s="26" t="str">
        <f aca="false">IF(OR(E4692="",E4692="!!!"),"",IF(OR(J4692=0,AND(J4692=1,K4692=1),AND(J4692=1,I4692="SBJ"),AND(J4692=1,I4692=0)),"?IN_FOCUS",IF(J4692&lt;=2,"?ACTIVATED",IF(J4692&lt;&gt;"","?FAMILIAR",IF(F4692="NEW",IF(ISNA(VLOOKUP(E4692,#REF!,1,FALSE())),"?TYPE_IDENTIFIABLE","?REFERENTIAL"),"_")))))</f>
        <v/>
      </c>
      <c r="H4692" s="27" t="str">
        <f aca="false">IF(J4692&lt;&gt;1,"",IF(I4692="SBJ","CB","?"))</f>
        <v/>
      </c>
      <c r="I4692" s="24" t="str">
        <f aca="false">IF(OR(E4692="",E4692="!!!",F4692="NEW"),"",INDEX(B47:B$4646,-1+SUMPRODUCT(MAX(ROW(E47:E$4646)*(E4692=E47:E$4646)))))</f>
        <v/>
      </c>
      <c r="J4692" s="24" t="str">
        <f aca="true">IF(OR(E4692="",E4692="!!!",F4692="NEW"),"",COUNTBLANK(OFFSET(A$1,,,SUMPRODUCT(MAX(ROW(E$2:E4692)*(E4692=E$2:E4692)))))-COUNTBLANK(OFFSET(A$1,,,SUMPRODUCT(MAX(ROW(E$1:E4691)*(E2=E$1:E4691))))))</f>
        <v/>
      </c>
      <c r="K4692" s="24" t="str">
        <f aca="false">IF(OR(E4692="",E4692="!!!",F4692="NEW"),"",INDEX(J$1:J4691,SUMPRODUCT(MAX(ROW(E$1:E4691)*(E4692=E$1:E4691)))))</f>
        <v/>
      </c>
      <c r="L4692" s="31"/>
    </row>
    <row r="4693" customFormat="false" ht="15" hidden="false" customHeight="false" outlineLevel="0" collapsed="false">
      <c r="A4693" s="20" t="s">
        <v>1173</v>
      </c>
      <c r="E4693" s="23" t="str">
        <f aca="false">IF(D4693="?OLD","!!!","")</f>
        <v/>
      </c>
      <c r="F4693" s="25" t="str">
        <f aca="false">IF(OR(E4693="",E4693="!!!"),"",IF(NOT(ISNA(VLOOKUP(E4693,E$1:E4692,1,FALSE()))),"OLD",IF(AND(E4693&lt;&gt;"",E4693&lt;&gt;"!!!"),"NEW","")))</f>
        <v/>
      </c>
      <c r="G4693" s="26" t="str">
        <f aca="false">IF(OR(E4693="",E4693="!!!"),"",IF(OR(J4693=0,AND(J4693=1,K4693=1),AND(J4693=1,I4693="SBJ"),AND(J4693=1,I4693=0)),"?IN_FOCUS",IF(J4693&lt;=2,"?ACTIVATED",IF(J4693&lt;&gt;"","?FAMILIAR",IF(F4693="NEW",IF(ISNA(VLOOKUP(E4693,#REF!,1,FALSE())),"?TYPE_IDENTIFIABLE","?REFERENTIAL"),"_")))))</f>
        <v/>
      </c>
      <c r="H4693" s="27" t="str">
        <f aca="false">IF(J4693&lt;&gt;1,"",IF(I4693="SBJ","CB","?"))</f>
        <v/>
      </c>
      <c r="I4693" s="24" t="str">
        <f aca="false">IF(OR(E4693="",E4693="!!!",F4693="NEW"),"",INDEX(B48:B$4646,-1+SUMPRODUCT(MAX(ROW(E48:E$4646)*(E4693=E48:E$4646)))))</f>
        <v/>
      </c>
      <c r="J4693" s="24" t="str">
        <f aca="true">IF(OR(E4693="",E4693="!!!",F4693="NEW"),"",COUNTBLANK(OFFSET(A$1,,,SUMPRODUCT(MAX(ROW(E$2:E4693)*(E4693=E$2:E4693)))))-COUNTBLANK(OFFSET(A$1,,,SUMPRODUCT(MAX(ROW(E$1:E4692)*(E2=E$1:E4692))))))</f>
        <v/>
      </c>
      <c r="K4693" s="24" t="str">
        <f aca="false">IF(OR(E4693="",E4693="!!!",F4693="NEW"),"",INDEX(J$1:J4692,SUMPRODUCT(MAX(ROW(E$1:E4692)*(E4693=E$1:E4692)))))</f>
        <v/>
      </c>
      <c r="L4693" s="31"/>
    </row>
    <row r="4694" customFormat="false" ht="15" hidden="false" customHeight="false" outlineLevel="0" collapsed="false">
      <c r="A4694" s="20" t="s">
        <v>1652</v>
      </c>
      <c r="E4694" s="23" t="str">
        <f aca="false">IF(D4694="?OLD","!!!","")</f>
        <v/>
      </c>
      <c r="F4694" s="25" t="str">
        <f aca="false">IF(OR(E4694="",E4694="!!!"),"",IF(NOT(ISNA(VLOOKUP(E4694,E$1:E4693,1,FALSE()))),"OLD",IF(AND(E4694&lt;&gt;"",E4694&lt;&gt;"!!!"),"NEW","")))</f>
        <v/>
      </c>
      <c r="G4694" s="26" t="str">
        <f aca="false">IF(OR(E4694="",E4694="!!!"),"",IF(OR(J4694=0,AND(J4694=1,K4694=1),AND(J4694=1,I4694="SBJ"),AND(J4694=1,I4694=0)),"?IN_FOCUS",IF(J4694&lt;=2,"?ACTIVATED",IF(J4694&lt;&gt;"","?FAMILIAR",IF(F4694="NEW",IF(ISNA(VLOOKUP(E4694,#REF!,1,FALSE())),"?TYPE_IDENTIFIABLE","?REFERENTIAL"),"_")))))</f>
        <v/>
      </c>
      <c r="H4694" s="27" t="str">
        <f aca="false">IF(J4694&lt;&gt;1,"",IF(I4694="SBJ","CB","?"))</f>
        <v/>
      </c>
      <c r="I4694" s="24" t="str">
        <f aca="false">IF(OR(E4694="",E4694="!!!",F4694="NEW"),"",INDEX(B49:B$4646,-1+SUMPRODUCT(MAX(ROW(E49:E$4646)*(E4694=E49:E$4646)))))</f>
        <v/>
      </c>
      <c r="J4694" s="24" t="str">
        <f aca="true">IF(OR(E4694="",E4694="!!!",F4694="NEW"),"",COUNTBLANK(OFFSET(A$1,,,SUMPRODUCT(MAX(ROW(E$2:E4694)*(E4694=E$2:E4694)))))-COUNTBLANK(OFFSET(A$1,,,SUMPRODUCT(MAX(ROW(E$1:E4693)*(E2=E$1:E4693))))))</f>
        <v/>
      </c>
      <c r="K4694" s="24" t="str">
        <f aca="false">IF(OR(E4694="",E4694="!!!",F4694="NEW"),"",INDEX(J$1:J4693,SUMPRODUCT(MAX(ROW(E$1:E4693)*(E4694=E$1:E4693)))))</f>
        <v/>
      </c>
      <c r="L4694" s="31"/>
    </row>
    <row r="4695" customFormat="false" ht="15" hidden="false" customHeight="false" outlineLevel="0" collapsed="false">
      <c r="A4695" s="20" t="s">
        <v>2447</v>
      </c>
      <c r="B4695" s="22" t="s">
        <v>1112</v>
      </c>
      <c r="C4695" s="22" t="s">
        <v>1160</v>
      </c>
      <c r="E4695" s="23" t="str">
        <f aca="false">IF(D4695="?OLD","!!!","")</f>
        <v/>
      </c>
      <c r="F4695" s="25" t="str">
        <f aca="false">IF(OR(E4695="",E4695="!!!"),"",IF(NOT(ISNA(VLOOKUP(E4695,E$1:E4694,1,FALSE()))),"OLD",IF(AND(E4695&lt;&gt;"",E4695&lt;&gt;"!!!"),"NEW","")))</f>
        <v/>
      </c>
      <c r="G4695" s="26" t="str">
        <f aca="false">IF(OR(E4695="",E4695="!!!"),"",IF(OR(J4695=0,AND(J4695=1,K4695=1),AND(J4695=1,I4695="SBJ"),AND(J4695=1,I4695=0)),"?IN_FOCUS",IF(J4695&lt;=2,"?ACTIVATED",IF(J4695&lt;&gt;"","?FAMILIAR",IF(F4695="NEW",IF(ISNA(VLOOKUP(E4695,#REF!,1,FALSE())),"?TYPE_IDENTIFIABLE","?REFERENTIAL"),"_")))))</f>
        <v/>
      </c>
      <c r="H4695" s="27" t="str">
        <f aca="false">IF(J4695&lt;&gt;1,"",IF(I4695="SBJ","CB","?"))</f>
        <v/>
      </c>
      <c r="I4695" s="24" t="str">
        <f aca="false">IF(OR(E4695="",E4695="!!!",F4695="NEW"),"",INDEX(B50:B$4646,-1+SUMPRODUCT(MAX(ROW(E50:E$4646)*(E4695=E50:E$4646)))))</f>
        <v/>
      </c>
      <c r="J4695" s="24" t="str">
        <f aca="true">IF(OR(E4695="",E4695="!!!",F4695="NEW"),"",COUNTBLANK(OFFSET(A$1,,,SUMPRODUCT(MAX(ROW(E$2:E4695)*(E4695=E$2:E4695)))))-COUNTBLANK(OFFSET(A$1,,,SUMPRODUCT(MAX(ROW(E$1:E4694)*(E2=E$1:E4694))))))</f>
        <v/>
      </c>
      <c r="K4695" s="24" t="str">
        <f aca="false">IF(OR(E4695="",E4695="!!!",F4695="NEW"),"",INDEX(J$1:J4694,SUMPRODUCT(MAX(ROW(E$1:E4694)*(E4695=E$1:E4694)))))</f>
        <v/>
      </c>
      <c r="L4695" s="31"/>
    </row>
    <row r="4696" customFormat="false" ht="15" hidden="false" customHeight="false" outlineLevel="0" collapsed="false">
      <c r="A4696" s="20" t="s">
        <v>1136</v>
      </c>
      <c r="E4696" s="23" t="str">
        <f aca="false">IF(D4696="?OLD","!!!","")</f>
        <v/>
      </c>
      <c r="F4696" s="25" t="str">
        <f aca="false">IF(OR(E4696="",E4696="!!!"),"",IF(NOT(ISNA(VLOOKUP(E4696,E$1:E4695,1,FALSE()))),"OLD",IF(AND(E4696&lt;&gt;"",E4696&lt;&gt;"!!!"),"NEW","")))</f>
        <v/>
      </c>
      <c r="G4696" s="26" t="str">
        <f aca="false">IF(OR(E4696="",E4696="!!!"),"",IF(OR(J4696=0,AND(J4696=1,K4696=1),AND(J4696=1,I4696="SBJ"),AND(J4696=1,I4696=0)),"?IN_FOCUS",IF(J4696&lt;=2,"?ACTIVATED",IF(J4696&lt;&gt;"","?FAMILIAR",IF(F4696="NEW",IF(ISNA(VLOOKUP(E4696,#REF!,1,FALSE())),"?TYPE_IDENTIFIABLE","?REFERENTIAL"),"_")))))</f>
        <v/>
      </c>
      <c r="H4696" s="27" t="str">
        <f aca="false">IF(J4696&lt;&gt;1,"",IF(I4696="SBJ","CB","?"))</f>
        <v/>
      </c>
      <c r="I4696" s="24" t="str">
        <f aca="false">IF(OR(E4696="",E4696="!!!",F4696="NEW"),"",INDEX(B51:B$4646,-1+SUMPRODUCT(MAX(ROW(E51:E$4646)*(E4696=E51:E$4646)))))</f>
        <v/>
      </c>
      <c r="J4696" s="24" t="str">
        <f aca="true">IF(OR(E4696="",E4696="!!!",F4696="NEW"),"",COUNTBLANK(OFFSET(A$1,,,SUMPRODUCT(MAX(ROW(E$2:E4696)*(E4696=E$2:E4696)))))-COUNTBLANK(OFFSET(A$1,,,SUMPRODUCT(MAX(ROW(E$1:E4695)*(E2=E$1:E4695))))))</f>
        <v/>
      </c>
      <c r="K4696" s="24" t="str">
        <f aca="false">IF(OR(E4696="",E4696="!!!",F4696="NEW"),"",INDEX(J$1:J4695,SUMPRODUCT(MAX(ROW(E$1:E4695)*(E4696=E$1:E4695)))))</f>
        <v/>
      </c>
      <c r="L4696" s="31"/>
    </row>
    <row r="4697" customFormat="false" ht="15" hidden="false" customHeight="false" outlineLevel="0" collapsed="false">
      <c r="A4697" s="20" t="s">
        <v>1189</v>
      </c>
      <c r="B4697" s="22" t="s">
        <v>1855</v>
      </c>
      <c r="C4697" s="22" t="s">
        <v>1099</v>
      </c>
      <c r="D4697" s="22" t="s">
        <v>1060</v>
      </c>
      <c r="E4697" s="23" t="str">
        <f aca="false">IF(D4697="?OLD","!!!","")</f>
        <v>!!!</v>
      </c>
      <c r="F4697" s="25" t="str">
        <f aca="false">IF(OR(E4697="",E4697="!!!"),"",IF(NOT(ISNA(VLOOKUP(E4697,E$1:E4696,1,FALSE()))),"OLD",IF(AND(E4697&lt;&gt;"",E4697&lt;&gt;"!!!"),"NEW","")))</f>
        <v/>
      </c>
      <c r="G4697" s="26" t="str">
        <f aca="false">IF(OR(E4697="",E4697="!!!"),"",IF(OR(J4697=0,AND(J4697=1,K4697=1),AND(J4697=1,I4697="SBJ"),AND(J4697=1,I4697=0)),"?IN_FOCUS",IF(J4697&lt;=2,"?ACTIVATED",IF(J4697&lt;&gt;"","?FAMILIAR",IF(F4697="NEW",IF(ISNA(VLOOKUP(E4697,#REF!,1,FALSE())),"?TYPE_IDENTIFIABLE","?REFERENTIAL"),"_")))))</f>
        <v/>
      </c>
      <c r="H4697" s="27" t="str">
        <f aca="false">IF(J4697&lt;&gt;1,"",IF(I4697="SBJ","CB","?"))</f>
        <v/>
      </c>
      <c r="I4697" s="24" t="str">
        <f aca="false">IF(OR(E4697="",E4697="!!!",F4697="NEW"),"",INDEX(B52:B$4646,-1+SUMPRODUCT(MAX(ROW(E52:E$4646)*(E4697=E52:E$4646)))))</f>
        <v/>
      </c>
      <c r="J4697" s="24" t="str">
        <f aca="true">IF(OR(E4697="",E4697="!!!",F4697="NEW"),"",COUNTBLANK(OFFSET(A$1,,,SUMPRODUCT(MAX(ROW(E$2:E4697)*(E4697=E$2:E4697)))))-COUNTBLANK(OFFSET(A$1,,,SUMPRODUCT(MAX(ROW(E$1:E4696)*(E2=E$1:E4696))))))</f>
        <v/>
      </c>
      <c r="K4697" s="24" t="str">
        <f aca="false">IF(OR(E4697="",E4697="!!!",F4697="NEW"),"",INDEX(J$1:J4696,SUMPRODUCT(MAX(ROW(E$1:E4696)*(E4697=E$1:E4696)))))</f>
        <v/>
      </c>
      <c r="L4697" s="31"/>
    </row>
    <row r="4698" customFormat="false" ht="15" hidden="false" customHeight="false" outlineLevel="0" collapsed="false">
      <c r="A4698" s="20" t="s">
        <v>1724</v>
      </c>
      <c r="B4698" s="22" t="s">
        <v>1203</v>
      </c>
      <c r="C4698" s="22" t="s">
        <v>1059</v>
      </c>
      <c r="D4698" s="22" t="s">
        <v>1060</v>
      </c>
      <c r="E4698" s="23" t="str">
        <f aca="false">IF(D4698="?OLD","!!!","")</f>
        <v>!!!</v>
      </c>
      <c r="F4698" s="25" t="str">
        <f aca="false">IF(OR(E4698="",E4698="!!!"),"",IF(NOT(ISNA(VLOOKUP(E4698,E$1:E4697,1,FALSE()))),"OLD",IF(AND(E4698&lt;&gt;"",E4698&lt;&gt;"!!!"),"NEW","")))</f>
        <v/>
      </c>
      <c r="G4698" s="26" t="str">
        <f aca="false">IF(OR(E4698="",E4698="!!!"),"",IF(OR(J4698=0,AND(J4698=1,K4698=1),AND(J4698=1,I4698="SBJ"),AND(J4698=1,I4698=0)),"?IN_FOCUS",IF(J4698&lt;=2,"?ACTIVATED",IF(J4698&lt;&gt;"","?FAMILIAR",IF(F4698="NEW",IF(ISNA(VLOOKUP(E4698,#REF!,1,FALSE())),"?TYPE_IDENTIFIABLE","?REFERENTIAL"),"_")))))</f>
        <v/>
      </c>
      <c r="H4698" s="27" t="str">
        <f aca="false">IF(J4698&lt;&gt;1,"",IF(I4698="SBJ","CB","?"))</f>
        <v/>
      </c>
      <c r="I4698" s="24" t="str">
        <f aca="false">IF(OR(E4698="",E4698="!!!",F4698="NEW"),"",INDEX(B53:B$4646,-1+SUMPRODUCT(MAX(ROW(E53:E$4646)*(E4698=E53:E$4646)))))</f>
        <v/>
      </c>
      <c r="J4698" s="24" t="str">
        <f aca="true">IF(OR(E4698="",E4698="!!!",F4698="NEW"),"",COUNTBLANK(OFFSET(A$1,,,SUMPRODUCT(MAX(ROW(E$2:E4698)*(E4698=E$2:E4698)))))-COUNTBLANK(OFFSET(A$1,,,SUMPRODUCT(MAX(ROW(E$1:E4697)*(E2=E$1:E4697))))))</f>
        <v/>
      </c>
      <c r="K4698" s="24" t="str">
        <f aca="false">IF(OR(E4698="",E4698="!!!",F4698="NEW"),"",INDEX(J$1:J4697,SUMPRODUCT(MAX(ROW(E$1:E4697)*(E4698=E$1:E4697)))))</f>
        <v/>
      </c>
      <c r="L4698" s="31"/>
    </row>
    <row r="4699" customFormat="false" ht="15" hidden="false" customHeight="false" outlineLevel="0" collapsed="false">
      <c r="A4699" s="20" t="s">
        <v>923</v>
      </c>
      <c r="E4699" s="23" t="str">
        <f aca="false">IF(D4699="?OLD","!!!","")</f>
        <v/>
      </c>
      <c r="F4699" s="25" t="str">
        <f aca="false">IF(OR(E4699="",E4699="!!!"),"",IF(NOT(ISNA(VLOOKUP(E4699,E$1:E4698,1,FALSE()))),"OLD",IF(AND(E4699&lt;&gt;"",E4699&lt;&gt;"!!!"),"NEW","")))</f>
        <v/>
      </c>
      <c r="G4699" s="26" t="str">
        <f aca="false">IF(OR(E4699="",E4699="!!!"),"",IF(OR(J4699=0,AND(J4699=1,K4699=1),AND(J4699=1,I4699="SBJ"),AND(J4699=1,I4699=0)),"?IN_FOCUS",IF(J4699&lt;=2,"?ACTIVATED",IF(J4699&lt;&gt;"","?FAMILIAR",IF(F4699="NEW",IF(ISNA(VLOOKUP(E4699,#REF!,1,FALSE())),"?TYPE_IDENTIFIABLE","?REFERENTIAL"),"_")))))</f>
        <v/>
      </c>
      <c r="H4699" s="27" t="str">
        <f aca="false">IF(J4699&lt;&gt;1,"",IF(I4699="SBJ","CB","?"))</f>
        <v/>
      </c>
      <c r="I4699" s="24" t="str">
        <f aca="false">IF(OR(E4699="",E4699="!!!",F4699="NEW"),"",INDEX(B54:B$4646,-1+SUMPRODUCT(MAX(ROW(E54:E$4646)*(E4699=E54:E$4646)))))</f>
        <v/>
      </c>
      <c r="J4699" s="24" t="str">
        <f aca="true">IF(OR(E4699="",E4699="!!!",F4699="NEW"),"",COUNTBLANK(OFFSET(A$1,,,SUMPRODUCT(MAX(ROW(E$2:E4699)*(E4699=E$2:E4699)))))-COUNTBLANK(OFFSET(A$1,,,SUMPRODUCT(MAX(ROW(E$1:E4698)*(E2=E$1:E4698))))))</f>
        <v/>
      </c>
      <c r="K4699" s="24" t="str">
        <f aca="false">IF(OR(E4699="",E4699="!!!",F4699="NEW"),"",INDEX(J$1:J4698,SUMPRODUCT(MAX(ROW(E$1:E4698)*(E4699=E$1:E4698)))))</f>
        <v/>
      </c>
      <c r="L4699" s="31"/>
    </row>
    <row r="4700" customFormat="false" ht="15" hidden="false" customHeight="false" outlineLevel="0" collapsed="false">
      <c r="A4700" s="20"/>
    </row>
    <row r="4701" customFormat="false" ht="15" hidden="false" customHeight="false" outlineLevel="0" collapsed="false">
      <c r="A4701" s="20" t="s">
        <v>2448</v>
      </c>
    </row>
    <row r="4702" customFormat="false" ht="15" hidden="false" customHeight="false" outlineLevel="0" collapsed="false">
      <c r="A4702" s="20" t="s">
        <v>1261</v>
      </c>
      <c r="B4702" s="22" t="s">
        <v>1058</v>
      </c>
      <c r="C4702" s="22" t="s">
        <v>1082</v>
      </c>
      <c r="D4702" s="22" t="s">
        <v>1060</v>
      </c>
      <c r="E4702" s="23" t="str">
        <f aca="false">IF(D4702="?OLD","!!!","")</f>
        <v>!!!</v>
      </c>
      <c r="F4702" s="25" t="str">
        <f aca="false">IF(OR(E4702="",E4702="!!!"),"",IF(NOT(ISNA(VLOOKUP(E4702,E$1:E4701,1,FALSE()))),"OLD",IF(AND(E4702&lt;&gt;"",E4702&lt;&gt;"!!!"),"NEW","")))</f>
        <v/>
      </c>
      <c r="G4702" s="26" t="str">
        <f aca="false">IF(OR(E4702="",E4702="!!!"),"",IF(OR(J4702=0,AND(J4702=1,K4702=1),AND(J4702=1,I4702="SBJ"),AND(J4702=1,I4702=0)),"?IN_FOCUS",IF(J4702&lt;=2,"?ACTIVATED",IF(J4702&lt;&gt;"","?FAMILIAR",IF(F4702="NEW",IF(ISNA(VLOOKUP(E4702,#REF!,1,FALSE())),"?TYPE_IDENTIFIABLE","?REFERENTIAL"),"_")))))</f>
        <v/>
      </c>
      <c r="H4702" s="27" t="str">
        <f aca="false">IF(J4702&lt;&gt;1,"",IF(I4702="SBJ","CB","?"))</f>
        <v/>
      </c>
      <c r="I4702" s="24" t="str">
        <f aca="false">IF(OR(E4702="",E4702="!!!",F4702="NEW"),"",INDEX(B2:B$4701,-1+SUMPRODUCT(MAX(ROW(E2:E$4701)*(E4702=E2:E$4701)))))</f>
        <v/>
      </c>
      <c r="J4702" s="24" t="str">
        <f aca="true">IF(OR(E4702="",E4702="!!!",F4702="NEW"),"",COUNTBLANK(OFFSET(A$1,,,SUMPRODUCT(MAX(ROW(E$2:E4702)*(E4702=E$2:E4702)))))-COUNTBLANK(OFFSET(A$1,,,SUMPRODUCT(MAX(ROW(E$1:E4701)*(E2=E$1:E4701))))))</f>
        <v/>
      </c>
      <c r="K4702" s="24" t="str">
        <f aca="false">IF(OR(E4702="",E4702="!!!",F4702="NEW"),"",INDEX(J$1:J4701,SUMPRODUCT(MAX(ROW(E$1:E4701)*(E4702=E$1:E4701)))))</f>
        <v/>
      </c>
      <c r="L4702" s="31"/>
    </row>
    <row r="4703" customFormat="false" ht="15" hidden="false" customHeight="false" outlineLevel="0" collapsed="false">
      <c r="A4703" s="20" t="s">
        <v>1469</v>
      </c>
      <c r="E4703" s="23" t="str">
        <f aca="false">IF(D4703="?OLD","!!!","")</f>
        <v/>
      </c>
      <c r="F4703" s="25" t="str">
        <f aca="false">IF(OR(E4703="",E4703="!!!"),"",IF(NOT(ISNA(VLOOKUP(E4703,E$1:E4702,1,FALSE()))),"OLD",IF(AND(E4703&lt;&gt;"",E4703&lt;&gt;"!!!"),"NEW","")))</f>
        <v/>
      </c>
      <c r="G4703" s="26" t="str">
        <f aca="false">IF(OR(E4703="",E4703="!!!"),"",IF(OR(J4703=0,AND(J4703=1,K4703=1),AND(J4703=1,I4703="SBJ"),AND(J4703=1,I4703=0)),"?IN_FOCUS",IF(J4703&lt;=2,"?ACTIVATED",IF(J4703&lt;&gt;"","?FAMILIAR",IF(F4703="NEW",IF(ISNA(VLOOKUP(E4703,#REF!,1,FALSE())),"?TYPE_IDENTIFIABLE","?REFERENTIAL"),"_")))))</f>
        <v/>
      </c>
      <c r="H4703" s="27" t="str">
        <f aca="false">IF(J4703&lt;&gt;1,"",IF(I4703="SBJ","CB","?"))</f>
        <v/>
      </c>
      <c r="I4703" s="24" t="str">
        <f aca="false">IF(OR(E4703="",E4703="!!!",F4703="NEW"),"",INDEX(B3:B$4701,-1+SUMPRODUCT(MAX(ROW(E3:E$4701)*(E4703=E3:E$4701)))))</f>
        <v/>
      </c>
      <c r="J4703" s="24" t="str">
        <f aca="true">IF(OR(E4703="",E4703="!!!",F4703="NEW"),"",COUNTBLANK(OFFSET(A$1,,,SUMPRODUCT(MAX(ROW(E$2:E4703)*(E4703=E$2:E4703)))))-COUNTBLANK(OFFSET(A$1,,,SUMPRODUCT(MAX(ROW(E$1:E4702)*(E2=E$1:E4702))))))</f>
        <v/>
      </c>
      <c r="K4703" s="24" t="str">
        <f aca="false">IF(OR(E4703="",E4703="!!!",F4703="NEW"),"",INDEX(J$1:J4702,SUMPRODUCT(MAX(ROW(E$1:E4702)*(E4703=E$1:E4702)))))</f>
        <v/>
      </c>
      <c r="L4703" s="31"/>
    </row>
    <row r="4704" customFormat="false" ht="15" hidden="false" customHeight="false" outlineLevel="0" collapsed="false">
      <c r="A4704" s="20" t="s">
        <v>2449</v>
      </c>
      <c r="E4704" s="23" t="str">
        <f aca="false">IF(D4704="?OLD","!!!","")</f>
        <v/>
      </c>
      <c r="F4704" s="25" t="str">
        <f aca="false">IF(OR(E4704="",E4704="!!!"),"",IF(NOT(ISNA(VLOOKUP(E4704,E$1:E4703,1,FALSE()))),"OLD",IF(AND(E4704&lt;&gt;"",E4704&lt;&gt;"!!!"),"NEW","")))</f>
        <v/>
      </c>
      <c r="G4704" s="26" t="str">
        <f aca="false">IF(OR(E4704="",E4704="!!!"),"",IF(OR(J4704=0,AND(J4704=1,K4704=1),AND(J4704=1,I4704="SBJ"),AND(J4704=1,I4704=0)),"?IN_FOCUS",IF(J4704&lt;=2,"?ACTIVATED",IF(J4704&lt;&gt;"","?FAMILIAR",IF(F4704="NEW",IF(ISNA(VLOOKUP(E4704,#REF!,1,FALSE())),"?TYPE_IDENTIFIABLE","?REFERENTIAL"),"_")))))</f>
        <v/>
      </c>
      <c r="H4704" s="27" t="str">
        <f aca="false">IF(J4704&lt;&gt;1,"",IF(I4704="SBJ","CB","?"))</f>
        <v/>
      </c>
      <c r="I4704" s="24" t="str">
        <f aca="false">IF(OR(E4704="",E4704="!!!",F4704="NEW"),"",INDEX(B4:B$4701,-1+SUMPRODUCT(MAX(ROW(E4:E$4701)*(E4704=E4:E$4701)))))</f>
        <v/>
      </c>
      <c r="J4704" s="24" t="str">
        <f aca="true">IF(OR(E4704="",E4704="!!!",F4704="NEW"),"",COUNTBLANK(OFFSET(A$1,,,SUMPRODUCT(MAX(ROW(E$2:E4704)*(E4704=E$2:E4704)))))-COUNTBLANK(OFFSET(A$1,,,SUMPRODUCT(MAX(ROW(E$1:E4703)*(E2=E$1:E4703))))))</f>
        <v/>
      </c>
      <c r="K4704" s="24" t="str">
        <f aca="false">IF(OR(E4704="",E4704="!!!",F4704="NEW"),"",INDEX(J$1:J4703,SUMPRODUCT(MAX(ROW(E$1:E4703)*(E4704=E$1:E4703)))))</f>
        <v/>
      </c>
      <c r="L4704" s="31"/>
    </row>
    <row r="4705" customFormat="false" ht="15" hidden="false" customHeight="false" outlineLevel="0" collapsed="false">
      <c r="A4705" s="20" t="s">
        <v>2450</v>
      </c>
      <c r="B4705" s="22" t="s">
        <v>1105</v>
      </c>
      <c r="C4705" s="22" t="s">
        <v>1160</v>
      </c>
      <c r="E4705" s="23" t="str">
        <f aca="false">IF(D4705="?OLD","!!!","")</f>
        <v/>
      </c>
      <c r="F4705" s="25" t="str">
        <f aca="false">IF(OR(E4705="",E4705="!!!"),"",IF(NOT(ISNA(VLOOKUP(E4705,E$1:E4704,1,FALSE()))),"OLD",IF(AND(E4705&lt;&gt;"",E4705&lt;&gt;"!!!"),"NEW","")))</f>
        <v/>
      </c>
      <c r="G4705" s="26" t="str">
        <f aca="false">IF(OR(E4705="",E4705="!!!"),"",IF(OR(J4705=0,AND(J4705=1,K4705=1),AND(J4705=1,I4705="SBJ"),AND(J4705=1,I4705=0)),"?IN_FOCUS",IF(J4705&lt;=2,"?ACTIVATED",IF(J4705&lt;&gt;"","?FAMILIAR",IF(F4705="NEW",IF(ISNA(VLOOKUP(E4705,#REF!,1,FALSE())),"?TYPE_IDENTIFIABLE","?REFERENTIAL"),"_")))))</f>
        <v/>
      </c>
      <c r="H4705" s="27" t="str">
        <f aca="false">IF(J4705&lt;&gt;1,"",IF(I4705="SBJ","CB","?"))</f>
        <v/>
      </c>
      <c r="I4705" s="24" t="str">
        <f aca="false">IF(OR(E4705="",E4705="!!!",F4705="NEW"),"",INDEX(B5:B$4701,-1+SUMPRODUCT(MAX(ROW(E5:E$4701)*(E4705=E5:E$4701)))))</f>
        <v/>
      </c>
      <c r="J4705" s="24" t="str">
        <f aca="true">IF(OR(E4705="",E4705="!!!",F4705="NEW"),"",COUNTBLANK(OFFSET(A$1,,,SUMPRODUCT(MAX(ROW(E$2:E4705)*(E4705=E$2:E4705)))))-COUNTBLANK(OFFSET(A$1,,,SUMPRODUCT(MAX(ROW(E$1:E4704)*(E2=E$1:E4704))))))</f>
        <v/>
      </c>
      <c r="K4705" s="24" t="str">
        <f aca="false">IF(OR(E4705="",E4705="!!!",F4705="NEW"),"",INDEX(J$1:J4704,SUMPRODUCT(MAX(ROW(E$1:E4704)*(E4705=E$1:E4704)))))</f>
        <v/>
      </c>
      <c r="L4705" s="31"/>
    </row>
    <row r="4706" customFormat="false" ht="15" hidden="false" customHeight="false" outlineLevel="0" collapsed="false">
      <c r="A4706" s="20" t="s">
        <v>2347</v>
      </c>
      <c r="E4706" s="23" t="str">
        <f aca="false">IF(D4706="?OLD","!!!","")</f>
        <v/>
      </c>
      <c r="F4706" s="25" t="str">
        <f aca="false">IF(OR(E4706="",E4706="!!!"),"",IF(NOT(ISNA(VLOOKUP(E4706,E$1:E4705,1,FALSE()))),"OLD",IF(AND(E4706&lt;&gt;"",E4706&lt;&gt;"!!!"),"NEW","")))</f>
        <v/>
      </c>
      <c r="G4706" s="26" t="str">
        <f aca="false">IF(OR(E4706="",E4706="!!!"),"",IF(OR(J4706=0,AND(J4706=1,K4706=1),AND(J4706=1,I4706="SBJ"),AND(J4706=1,I4706=0)),"?IN_FOCUS",IF(J4706&lt;=2,"?ACTIVATED",IF(J4706&lt;&gt;"","?FAMILIAR",IF(F4706="NEW",IF(ISNA(VLOOKUP(E4706,#REF!,1,FALSE())),"?TYPE_IDENTIFIABLE","?REFERENTIAL"),"_")))))</f>
        <v/>
      </c>
      <c r="H4706" s="27" t="str">
        <f aca="false">IF(J4706&lt;&gt;1,"",IF(I4706="SBJ","CB","?"))</f>
        <v/>
      </c>
      <c r="I4706" s="24" t="str">
        <f aca="false">IF(OR(E4706="",E4706="!!!",F4706="NEW"),"",INDEX(B6:B$4701,-1+SUMPRODUCT(MAX(ROW(E6:E$4701)*(E4706=E6:E$4701)))))</f>
        <v/>
      </c>
      <c r="J4706" s="24" t="str">
        <f aca="true">IF(OR(E4706="",E4706="!!!",F4706="NEW"),"",COUNTBLANK(OFFSET(A$1,,,SUMPRODUCT(MAX(ROW(E$2:E4706)*(E4706=E$2:E4706)))))-COUNTBLANK(OFFSET(A$1,,,SUMPRODUCT(MAX(ROW(E$1:E4705)*(E2=E$1:E4705))))))</f>
        <v/>
      </c>
      <c r="K4706" s="24" t="str">
        <f aca="false">IF(OR(E4706="",E4706="!!!",F4706="NEW"),"",INDEX(J$1:J4705,SUMPRODUCT(MAX(ROW(E$1:E4705)*(E4706=E$1:E4705)))))</f>
        <v/>
      </c>
      <c r="L4706" s="31"/>
    </row>
    <row r="4707" customFormat="false" ht="15" hidden="false" customHeight="false" outlineLevel="0" collapsed="false">
      <c r="A4707" s="20" t="s">
        <v>1184</v>
      </c>
      <c r="E4707" s="23" t="str">
        <f aca="false">IF(D4707="?OLD","!!!","")</f>
        <v/>
      </c>
      <c r="F4707" s="25" t="str">
        <f aca="false">IF(OR(E4707="",E4707="!!!"),"",IF(NOT(ISNA(VLOOKUP(E4707,E$1:E4706,1,FALSE()))),"OLD",IF(AND(E4707&lt;&gt;"",E4707&lt;&gt;"!!!"),"NEW","")))</f>
        <v/>
      </c>
      <c r="G4707" s="26" t="str">
        <f aca="false">IF(OR(E4707="",E4707="!!!"),"",IF(OR(J4707=0,AND(J4707=1,K4707=1),AND(J4707=1,I4707="SBJ"),AND(J4707=1,I4707=0)),"?IN_FOCUS",IF(J4707&lt;=2,"?ACTIVATED",IF(J4707&lt;&gt;"","?FAMILIAR",IF(F4707="NEW",IF(ISNA(VLOOKUP(E4707,#REF!,1,FALSE())),"?TYPE_IDENTIFIABLE","?REFERENTIAL"),"_")))))</f>
        <v/>
      </c>
      <c r="H4707" s="27" t="str">
        <f aca="false">IF(J4707&lt;&gt;1,"",IF(I4707="SBJ","CB","?"))</f>
        <v/>
      </c>
      <c r="I4707" s="24" t="str">
        <f aca="false">IF(OR(E4707="",E4707="!!!",F4707="NEW"),"",INDEX(B7:B$4701,-1+SUMPRODUCT(MAX(ROW(E7:E$4701)*(E4707=E7:E$4701)))))</f>
        <v/>
      </c>
      <c r="J4707" s="24" t="str">
        <f aca="true">IF(OR(E4707="",E4707="!!!",F4707="NEW"),"",COUNTBLANK(OFFSET(A$1,,,SUMPRODUCT(MAX(ROW(E$2:E4707)*(E4707=E$2:E4707)))))-COUNTBLANK(OFFSET(A$1,,,SUMPRODUCT(MAX(ROW(E$1:E4706)*(E2=E$1:E4706))))))</f>
        <v/>
      </c>
      <c r="K4707" s="24" t="str">
        <f aca="false">IF(OR(E4707="",E4707="!!!",F4707="NEW"),"",INDEX(J$1:J4706,SUMPRODUCT(MAX(ROW(E$1:E4706)*(E4707=E$1:E4706)))))</f>
        <v/>
      </c>
      <c r="L4707" s="31"/>
    </row>
    <row r="4708" customFormat="false" ht="15" hidden="false" customHeight="false" outlineLevel="0" collapsed="false">
      <c r="A4708" s="20" t="s">
        <v>1189</v>
      </c>
      <c r="B4708" s="22" t="s">
        <v>1067</v>
      </c>
      <c r="C4708" s="22" t="s">
        <v>1099</v>
      </c>
      <c r="D4708" s="22" t="s">
        <v>1060</v>
      </c>
      <c r="E4708" s="23" t="str">
        <f aca="false">IF(D4708="?OLD","!!!","")</f>
        <v>!!!</v>
      </c>
      <c r="F4708" s="25" t="str">
        <f aca="false">IF(OR(E4708="",E4708="!!!"),"",IF(NOT(ISNA(VLOOKUP(E4708,E$1:E4707,1,FALSE()))),"OLD",IF(AND(E4708&lt;&gt;"",E4708&lt;&gt;"!!!"),"NEW","")))</f>
        <v/>
      </c>
      <c r="G4708" s="26" t="str">
        <f aca="false">IF(OR(E4708="",E4708="!!!"),"",IF(OR(J4708=0,AND(J4708=1,K4708=1),AND(J4708=1,I4708="SBJ"),AND(J4708=1,I4708=0)),"?IN_FOCUS",IF(J4708&lt;=2,"?ACTIVATED",IF(J4708&lt;&gt;"","?FAMILIAR",IF(F4708="NEW",IF(ISNA(VLOOKUP(E4708,#REF!,1,FALSE())),"?TYPE_IDENTIFIABLE","?REFERENTIAL"),"_")))))</f>
        <v/>
      </c>
      <c r="H4708" s="27" t="str">
        <f aca="false">IF(J4708&lt;&gt;1,"",IF(I4708="SBJ","CB","?"))</f>
        <v/>
      </c>
      <c r="I4708" s="24" t="str">
        <f aca="false">IF(OR(E4708="",E4708="!!!",F4708="NEW"),"",INDEX(B8:B$4701,-1+SUMPRODUCT(MAX(ROW(E8:E$4701)*(E4708=E8:E$4701)))))</f>
        <v/>
      </c>
      <c r="J4708" s="24" t="str">
        <f aca="true">IF(OR(E4708="",E4708="!!!",F4708="NEW"),"",COUNTBLANK(OFFSET(A$1,,,SUMPRODUCT(MAX(ROW(E$2:E4708)*(E4708=E$2:E4708)))))-COUNTBLANK(OFFSET(A$1,,,SUMPRODUCT(MAX(ROW(E$1:E4707)*(E2=E$1:E4707))))))</f>
        <v/>
      </c>
      <c r="K4708" s="24" t="str">
        <f aca="false">IF(OR(E4708="",E4708="!!!",F4708="NEW"),"",INDEX(J$1:J4707,SUMPRODUCT(MAX(ROW(E$1:E4707)*(E4708=E$1:E4707)))))</f>
        <v/>
      </c>
      <c r="L4708" s="31"/>
    </row>
    <row r="4709" customFormat="false" ht="15" hidden="false" customHeight="false" outlineLevel="0" collapsed="false">
      <c r="A4709" s="20" t="s">
        <v>2451</v>
      </c>
      <c r="B4709" s="22" t="s">
        <v>1073</v>
      </c>
      <c r="C4709" s="22" t="s">
        <v>1059</v>
      </c>
      <c r="D4709" s="22" t="s">
        <v>1060</v>
      </c>
      <c r="E4709" s="23" t="str">
        <f aca="false">IF(D4709="?OLD","!!!","")</f>
        <v>!!!</v>
      </c>
      <c r="F4709" s="25" t="str">
        <f aca="false">IF(OR(E4709="",E4709="!!!"),"",IF(NOT(ISNA(VLOOKUP(E4709,E$1:E4708,1,FALSE()))),"OLD",IF(AND(E4709&lt;&gt;"",E4709&lt;&gt;"!!!"),"NEW","")))</f>
        <v/>
      </c>
      <c r="G4709" s="26" t="str">
        <f aca="false">IF(OR(E4709="",E4709="!!!"),"",IF(OR(J4709=0,AND(J4709=1,K4709=1),AND(J4709=1,I4709="SBJ"),AND(J4709=1,I4709=0)),"?IN_FOCUS",IF(J4709&lt;=2,"?ACTIVATED",IF(J4709&lt;&gt;"","?FAMILIAR",IF(F4709="NEW",IF(ISNA(VLOOKUP(E4709,#REF!,1,FALSE())),"?TYPE_IDENTIFIABLE","?REFERENTIAL"),"_")))))</f>
        <v/>
      </c>
      <c r="H4709" s="27" t="str">
        <f aca="false">IF(J4709&lt;&gt;1,"",IF(I4709="SBJ","CB","?"))</f>
        <v/>
      </c>
      <c r="I4709" s="24" t="str">
        <f aca="false">IF(OR(E4709="",E4709="!!!",F4709="NEW"),"",INDEX(B9:B$4701,-1+SUMPRODUCT(MAX(ROW(E9:E$4701)*(E4709=E9:E$4701)))))</f>
        <v/>
      </c>
      <c r="J4709" s="24" t="str">
        <f aca="true">IF(OR(E4709="",E4709="!!!",F4709="NEW"),"",COUNTBLANK(OFFSET(A$1,,,SUMPRODUCT(MAX(ROW(E$2:E4709)*(E4709=E$2:E4709)))))-COUNTBLANK(OFFSET(A$1,,,SUMPRODUCT(MAX(ROW(E$1:E4708)*(E2=E$1:E4708))))))</f>
        <v/>
      </c>
      <c r="K4709" s="24" t="str">
        <f aca="false">IF(OR(E4709="",E4709="!!!",F4709="NEW"),"",INDEX(J$1:J4708,SUMPRODUCT(MAX(ROW(E$1:E4708)*(E4709=E$1:E4708)))))</f>
        <v/>
      </c>
      <c r="L4709" s="31"/>
    </row>
    <row r="4710" customFormat="false" ht="15" hidden="false" customHeight="false" outlineLevel="0" collapsed="false">
      <c r="A4710" s="20" t="s">
        <v>1157</v>
      </c>
      <c r="E4710" s="23" t="str">
        <f aca="false">IF(D4710="?OLD","!!!","")</f>
        <v/>
      </c>
      <c r="F4710" s="25" t="str">
        <f aca="false">IF(OR(E4710="",E4710="!!!"),"",IF(NOT(ISNA(VLOOKUP(E4710,E$1:E4709,1,FALSE()))),"OLD",IF(AND(E4710&lt;&gt;"",E4710&lt;&gt;"!!!"),"NEW","")))</f>
        <v/>
      </c>
      <c r="G4710" s="26" t="str">
        <f aca="false">IF(OR(E4710="",E4710="!!!"),"",IF(OR(J4710=0,AND(J4710=1,K4710=1),AND(J4710=1,I4710="SBJ"),AND(J4710=1,I4710=0)),"?IN_FOCUS",IF(J4710&lt;=2,"?ACTIVATED",IF(J4710&lt;&gt;"","?FAMILIAR",IF(F4710="NEW",IF(ISNA(VLOOKUP(E4710,#REF!,1,FALSE())),"?TYPE_IDENTIFIABLE","?REFERENTIAL"),"_")))))</f>
        <v/>
      </c>
      <c r="H4710" s="27" t="str">
        <f aca="false">IF(J4710&lt;&gt;1,"",IF(I4710="SBJ","CB","?"))</f>
        <v/>
      </c>
      <c r="I4710" s="24" t="str">
        <f aca="false">IF(OR(E4710="",E4710="!!!",F4710="NEW"),"",INDEX(B10:B$4701,-1+SUMPRODUCT(MAX(ROW(E10:E$4701)*(E4710=E10:E$4701)))))</f>
        <v/>
      </c>
      <c r="J4710" s="24" t="str">
        <f aca="true">IF(OR(E4710="",E4710="!!!",F4710="NEW"),"",COUNTBLANK(OFFSET(A$1,,,SUMPRODUCT(MAX(ROW(E$2:E4710)*(E4710=E$2:E4710)))))-COUNTBLANK(OFFSET(A$1,,,SUMPRODUCT(MAX(ROW(E$1:E4709)*(E2=E$1:E4709))))))</f>
        <v/>
      </c>
      <c r="K4710" s="24" t="str">
        <f aca="false">IF(OR(E4710="",E4710="!!!",F4710="NEW"),"",INDEX(J$1:J4709,SUMPRODUCT(MAX(ROW(E$1:E4709)*(E4710=E$1:E4709)))))</f>
        <v/>
      </c>
      <c r="L4710" s="31"/>
    </row>
    <row r="4711" customFormat="false" ht="15" hidden="false" customHeight="false" outlineLevel="0" collapsed="false">
      <c r="A4711" s="20" t="s">
        <v>1186</v>
      </c>
      <c r="B4711" s="22" t="s">
        <v>1086</v>
      </c>
      <c r="C4711" s="22" t="s">
        <v>1082</v>
      </c>
      <c r="D4711" s="22" t="s">
        <v>1060</v>
      </c>
      <c r="E4711" s="23" t="str">
        <f aca="false">IF(D4711="?OLD","!!!","")</f>
        <v>!!!</v>
      </c>
      <c r="F4711" s="25" t="str">
        <f aca="false">IF(OR(E4711="",E4711="!!!"),"",IF(NOT(ISNA(VLOOKUP(E4711,E$1:E4710,1,FALSE()))),"OLD",IF(AND(E4711&lt;&gt;"",E4711&lt;&gt;"!!!"),"NEW","")))</f>
        <v/>
      </c>
      <c r="G4711" s="26" t="str">
        <f aca="false">IF(OR(E4711="",E4711="!!!"),"",IF(OR(J4711=0,AND(J4711=1,K4711=1),AND(J4711=1,I4711="SBJ"),AND(J4711=1,I4711=0)),"?IN_FOCUS",IF(J4711&lt;=2,"?ACTIVATED",IF(J4711&lt;&gt;"","?FAMILIAR",IF(F4711="NEW",IF(ISNA(VLOOKUP(E4711,#REF!,1,FALSE())),"?TYPE_IDENTIFIABLE","?REFERENTIAL"),"_")))))</f>
        <v/>
      </c>
      <c r="H4711" s="27" t="str">
        <f aca="false">IF(J4711&lt;&gt;1,"",IF(I4711="SBJ","CB","?"))</f>
        <v/>
      </c>
      <c r="I4711" s="24" t="str">
        <f aca="false">IF(OR(E4711="",E4711="!!!",F4711="NEW"),"",INDEX(B11:B$4701,-1+SUMPRODUCT(MAX(ROW(E11:E$4701)*(E4711=E11:E$4701)))))</f>
        <v/>
      </c>
      <c r="J4711" s="24" t="str">
        <f aca="true">IF(OR(E4711="",E4711="!!!",F4711="NEW"),"",COUNTBLANK(OFFSET(A$1,,,SUMPRODUCT(MAX(ROW(E$2:E4711)*(E4711=E$2:E4711)))))-COUNTBLANK(OFFSET(A$1,,,SUMPRODUCT(MAX(ROW(E$1:E4710)*(E2=E$1:E4710))))))</f>
        <v/>
      </c>
      <c r="K4711" s="24" t="str">
        <f aca="false">IF(OR(E4711="",E4711="!!!",F4711="NEW"),"",INDEX(J$1:J4710,SUMPRODUCT(MAX(ROW(E$1:E4710)*(E4711=E$1:E4710)))))</f>
        <v/>
      </c>
      <c r="L4711" s="31"/>
    </row>
    <row r="4712" customFormat="false" ht="15" hidden="false" customHeight="false" outlineLevel="0" collapsed="false">
      <c r="A4712" s="20" t="s">
        <v>1798</v>
      </c>
      <c r="E4712" s="23" t="str">
        <f aca="false">IF(D4712="?OLD","!!!","")</f>
        <v/>
      </c>
      <c r="F4712" s="25" t="str">
        <f aca="false">IF(OR(E4712="",E4712="!!!"),"",IF(NOT(ISNA(VLOOKUP(E4712,E$1:E4711,1,FALSE()))),"OLD",IF(AND(E4712&lt;&gt;"",E4712&lt;&gt;"!!!"),"NEW","")))</f>
        <v/>
      </c>
      <c r="G4712" s="26" t="str">
        <f aca="false">IF(OR(E4712="",E4712="!!!"),"",IF(OR(J4712=0,AND(J4712=1,K4712=1),AND(J4712=1,I4712="SBJ"),AND(J4712=1,I4712=0)),"?IN_FOCUS",IF(J4712&lt;=2,"?ACTIVATED",IF(J4712&lt;&gt;"","?FAMILIAR",IF(F4712="NEW",IF(ISNA(VLOOKUP(E4712,#REF!,1,FALSE())),"?TYPE_IDENTIFIABLE","?REFERENTIAL"),"_")))))</f>
        <v/>
      </c>
      <c r="H4712" s="27" t="str">
        <f aca="false">IF(J4712&lt;&gt;1,"",IF(I4712="SBJ","CB","?"))</f>
        <v/>
      </c>
      <c r="I4712" s="24" t="str">
        <f aca="false">IF(OR(E4712="",E4712="!!!",F4712="NEW"),"",INDEX(B12:B$4701,-1+SUMPRODUCT(MAX(ROW(E12:E$4701)*(E4712=E12:E$4701)))))</f>
        <v/>
      </c>
      <c r="J4712" s="24" t="str">
        <f aca="true">IF(OR(E4712="",E4712="!!!",F4712="NEW"),"",COUNTBLANK(OFFSET(A$1,,,SUMPRODUCT(MAX(ROW(E$2:E4712)*(E4712=E$2:E4712)))))-COUNTBLANK(OFFSET(A$1,,,SUMPRODUCT(MAX(ROW(E$1:E4711)*(E2=E$1:E4711))))))</f>
        <v/>
      </c>
      <c r="K4712" s="24" t="str">
        <f aca="false">IF(OR(E4712="",E4712="!!!",F4712="NEW"),"",INDEX(J$1:J4711,SUMPRODUCT(MAX(ROW(E$1:E4711)*(E4712=E$1:E4711)))))</f>
        <v/>
      </c>
      <c r="L4712" s="31"/>
    </row>
    <row r="4713" customFormat="false" ht="15" hidden="false" customHeight="false" outlineLevel="0" collapsed="false">
      <c r="A4713" s="20" t="s">
        <v>1076</v>
      </c>
      <c r="E4713" s="23" t="str">
        <f aca="false">IF(D4713="?OLD","!!!","")</f>
        <v/>
      </c>
      <c r="F4713" s="25" t="str">
        <f aca="false">IF(OR(E4713="",E4713="!!!"),"",IF(NOT(ISNA(VLOOKUP(E4713,E$1:E4712,1,FALSE()))),"OLD",IF(AND(E4713&lt;&gt;"",E4713&lt;&gt;"!!!"),"NEW","")))</f>
        <v/>
      </c>
      <c r="G4713" s="26" t="str">
        <f aca="false">IF(OR(E4713="",E4713="!!!"),"",IF(OR(J4713=0,AND(J4713=1,K4713=1),AND(J4713=1,I4713="SBJ"),AND(J4713=1,I4713=0)),"?IN_FOCUS",IF(J4713&lt;=2,"?ACTIVATED",IF(J4713&lt;&gt;"","?FAMILIAR",IF(F4713="NEW",IF(ISNA(VLOOKUP(E4713,#REF!,1,FALSE())),"?TYPE_IDENTIFIABLE","?REFERENTIAL"),"_")))))</f>
        <v/>
      </c>
      <c r="H4713" s="27" t="str">
        <f aca="false">IF(J4713&lt;&gt;1,"",IF(I4713="SBJ","CB","?"))</f>
        <v/>
      </c>
      <c r="I4713" s="24" t="str">
        <f aca="false">IF(OR(E4713="",E4713="!!!",F4713="NEW"),"",INDEX(B13:B$4701,-1+SUMPRODUCT(MAX(ROW(E13:E$4701)*(E4713=E13:E$4701)))))</f>
        <v/>
      </c>
      <c r="J4713" s="24" t="str">
        <f aca="true">IF(OR(E4713="",E4713="!!!",F4713="NEW"),"",COUNTBLANK(OFFSET(A$1,,,SUMPRODUCT(MAX(ROW(E$2:E4713)*(E4713=E$2:E4713)))))-COUNTBLANK(OFFSET(A$1,,,SUMPRODUCT(MAX(ROW(E$1:E4712)*(E2=E$1:E4712))))))</f>
        <v/>
      </c>
      <c r="K4713" s="24" t="str">
        <f aca="false">IF(OR(E4713="",E4713="!!!",F4713="NEW"),"",INDEX(J$1:J4712,SUMPRODUCT(MAX(ROW(E$1:E4712)*(E4713=E$1:E4712)))))</f>
        <v/>
      </c>
      <c r="L4713" s="31"/>
    </row>
    <row r="4714" customFormat="false" ht="15" hidden="false" customHeight="false" outlineLevel="0" collapsed="false">
      <c r="A4714" s="20" t="s">
        <v>1128</v>
      </c>
      <c r="E4714" s="23" t="str">
        <f aca="false">IF(D4714="?OLD","!!!","")</f>
        <v/>
      </c>
      <c r="F4714" s="25" t="str">
        <f aca="false">IF(OR(E4714="",E4714="!!!"),"",IF(NOT(ISNA(VLOOKUP(E4714,E$1:E4713,1,FALSE()))),"OLD",IF(AND(E4714&lt;&gt;"",E4714&lt;&gt;"!!!"),"NEW","")))</f>
        <v/>
      </c>
      <c r="G4714" s="26" t="str">
        <f aca="false">IF(OR(E4714="",E4714="!!!"),"",IF(OR(J4714=0,AND(J4714=1,K4714=1),AND(J4714=1,I4714="SBJ"),AND(J4714=1,I4714=0)),"?IN_FOCUS",IF(J4714&lt;=2,"?ACTIVATED",IF(J4714&lt;&gt;"","?FAMILIAR",IF(F4714="NEW",IF(ISNA(VLOOKUP(E4714,#REF!,1,FALSE())),"?TYPE_IDENTIFIABLE","?REFERENTIAL"),"_")))))</f>
        <v/>
      </c>
      <c r="H4714" s="27" t="str">
        <f aca="false">IF(J4714&lt;&gt;1,"",IF(I4714="SBJ","CB","?"))</f>
        <v/>
      </c>
      <c r="I4714" s="24" t="str">
        <f aca="false">IF(OR(E4714="",E4714="!!!",F4714="NEW"),"",INDEX(B14:B$4701,-1+SUMPRODUCT(MAX(ROW(E14:E$4701)*(E4714=E14:E$4701)))))</f>
        <v/>
      </c>
      <c r="J4714" s="24" t="str">
        <f aca="true">IF(OR(E4714="",E4714="!!!",F4714="NEW"),"",COUNTBLANK(OFFSET(A$1,,,SUMPRODUCT(MAX(ROW(E$2:E4714)*(E4714=E$2:E4714)))))-COUNTBLANK(OFFSET(A$1,,,SUMPRODUCT(MAX(ROW(E$1:E4713)*(E2=E$1:E4713))))))</f>
        <v/>
      </c>
      <c r="K4714" s="24" t="str">
        <f aca="false">IF(OR(E4714="",E4714="!!!",F4714="NEW"),"",INDEX(J$1:J4713,SUMPRODUCT(MAX(ROW(E$1:E4713)*(E4714=E$1:E4713)))))</f>
        <v/>
      </c>
      <c r="L4714" s="31"/>
    </row>
    <row r="4715" customFormat="false" ht="15" hidden="false" customHeight="false" outlineLevel="0" collapsed="false">
      <c r="A4715" s="20" t="s">
        <v>1215</v>
      </c>
      <c r="E4715" s="23" t="str">
        <f aca="false">IF(D4715="?OLD","!!!","")</f>
        <v/>
      </c>
      <c r="F4715" s="25" t="str">
        <f aca="false">IF(OR(E4715="",E4715="!!!"),"",IF(NOT(ISNA(VLOOKUP(E4715,E$1:E4714,1,FALSE()))),"OLD",IF(AND(E4715&lt;&gt;"",E4715&lt;&gt;"!!!"),"NEW","")))</f>
        <v/>
      </c>
      <c r="G4715" s="26" t="str">
        <f aca="false">IF(OR(E4715="",E4715="!!!"),"",IF(OR(J4715=0,AND(J4715=1,K4715=1),AND(J4715=1,I4715="SBJ"),AND(J4715=1,I4715=0)),"?IN_FOCUS",IF(J4715&lt;=2,"?ACTIVATED",IF(J4715&lt;&gt;"","?FAMILIAR",IF(F4715="NEW",IF(ISNA(VLOOKUP(E4715,#REF!,1,FALSE())),"?TYPE_IDENTIFIABLE","?REFERENTIAL"),"_")))))</f>
        <v/>
      </c>
      <c r="H4715" s="27" t="str">
        <f aca="false">IF(J4715&lt;&gt;1,"",IF(I4715="SBJ","CB","?"))</f>
        <v/>
      </c>
      <c r="I4715" s="24" t="str">
        <f aca="false">IF(OR(E4715="",E4715="!!!",F4715="NEW"),"",INDEX(B15:B$4701,-1+SUMPRODUCT(MAX(ROW(E15:E$4701)*(E4715=E15:E$4701)))))</f>
        <v/>
      </c>
      <c r="J4715" s="24" t="str">
        <f aca="true">IF(OR(E4715="",E4715="!!!",F4715="NEW"),"",COUNTBLANK(OFFSET(A$1,,,SUMPRODUCT(MAX(ROW(E$2:E4715)*(E4715=E$2:E4715)))))-COUNTBLANK(OFFSET(A$1,,,SUMPRODUCT(MAX(ROW(E$1:E4714)*(E2=E$1:E4714))))))</f>
        <v/>
      </c>
      <c r="K4715" s="24" t="str">
        <f aca="false">IF(OR(E4715="",E4715="!!!",F4715="NEW"),"",INDEX(J$1:J4714,SUMPRODUCT(MAX(ROW(E$1:E4714)*(E4715=E$1:E4714)))))</f>
        <v/>
      </c>
      <c r="L4715" s="31"/>
    </row>
    <row r="4716" customFormat="false" ht="15" hidden="false" customHeight="false" outlineLevel="0" collapsed="false">
      <c r="A4716" s="20" t="s">
        <v>1186</v>
      </c>
      <c r="B4716" s="22" t="s">
        <v>1091</v>
      </c>
      <c r="C4716" s="22" t="s">
        <v>1082</v>
      </c>
      <c r="D4716" s="22" t="s">
        <v>1060</v>
      </c>
      <c r="E4716" s="23" t="str">
        <f aca="false">IF(D4716="?OLD","!!!","")</f>
        <v>!!!</v>
      </c>
      <c r="F4716" s="25" t="str">
        <f aca="false">IF(OR(E4716="",E4716="!!!"),"",IF(NOT(ISNA(VLOOKUP(E4716,E$1:E4715,1,FALSE()))),"OLD",IF(AND(E4716&lt;&gt;"",E4716&lt;&gt;"!!!"),"NEW","")))</f>
        <v/>
      </c>
      <c r="G4716" s="26" t="str">
        <f aca="false">IF(OR(E4716="",E4716="!!!"),"",IF(OR(J4716=0,AND(J4716=1,K4716=1),AND(J4716=1,I4716="SBJ"),AND(J4716=1,I4716=0)),"?IN_FOCUS",IF(J4716&lt;=2,"?ACTIVATED",IF(J4716&lt;&gt;"","?FAMILIAR",IF(F4716="NEW",IF(ISNA(VLOOKUP(E4716,#REF!,1,FALSE())),"?TYPE_IDENTIFIABLE","?REFERENTIAL"),"_")))))</f>
        <v/>
      </c>
      <c r="H4716" s="27" t="str">
        <f aca="false">IF(J4716&lt;&gt;1,"",IF(I4716="SBJ","CB","?"))</f>
        <v/>
      </c>
      <c r="I4716" s="24" t="str">
        <f aca="false">IF(OR(E4716="",E4716="!!!",F4716="NEW"),"",INDEX(B16:B$4701,-1+SUMPRODUCT(MAX(ROW(E16:E$4701)*(E4716=E16:E$4701)))))</f>
        <v/>
      </c>
      <c r="J4716" s="24" t="str">
        <f aca="true">IF(OR(E4716="",E4716="!!!",F4716="NEW"),"",COUNTBLANK(OFFSET(A$1,,,SUMPRODUCT(MAX(ROW(E$2:E4716)*(E4716=E$2:E4716)))))-COUNTBLANK(OFFSET(A$1,,,SUMPRODUCT(MAX(ROW(E$1:E4715)*(E2=E$1:E4715))))))</f>
        <v/>
      </c>
      <c r="K4716" s="24" t="str">
        <f aca="false">IF(OR(E4716="",E4716="!!!",F4716="NEW"),"",INDEX(J$1:J4715,SUMPRODUCT(MAX(ROW(E$1:E4715)*(E4716=E$1:E4715)))))</f>
        <v/>
      </c>
      <c r="L4716" s="31"/>
    </row>
    <row r="4717" customFormat="false" ht="15" hidden="false" customHeight="false" outlineLevel="0" collapsed="false">
      <c r="A4717" s="20" t="s">
        <v>716</v>
      </c>
      <c r="E4717" s="23" t="str">
        <f aca="false">IF(D4717="?OLD","!!!","")</f>
        <v/>
      </c>
      <c r="F4717" s="25" t="str">
        <f aca="false">IF(OR(E4717="",E4717="!!!"),"",IF(NOT(ISNA(VLOOKUP(E4717,E$1:E4716,1,FALSE()))),"OLD",IF(AND(E4717&lt;&gt;"",E4717&lt;&gt;"!!!"),"NEW","")))</f>
        <v/>
      </c>
      <c r="G4717" s="26" t="str">
        <f aca="false">IF(OR(E4717="",E4717="!!!"),"",IF(OR(J4717=0,AND(J4717=1,K4717=1),AND(J4717=1,I4717="SBJ"),AND(J4717=1,I4717=0)),"?IN_FOCUS",IF(J4717&lt;=2,"?ACTIVATED",IF(J4717&lt;&gt;"","?FAMILIAR",IF(F4717="NEW",IF(ISNA(VLOOKUP(E4717,#REF!,1,FALSE())),"?TYPE_IDENTIFIABLE","?REFERENTIAL"),"_")))))</f>
        <v/>
      </c>
      <c r="H4717" s="27" t="str">
        <f aca="false">IF(J4717&lt;&gt;1,"",IF(I4717="SBJ","CB","?"))</f>
        <v/>
      </c>
      <c r="I4717" s="24" t="str">
        <f aca="false">IF(OR(E4717="",E4717="!!!",F4717="NEW"),"",INDEX(B17:B$4701,-1+SUMPRODUCT(MAX(ROW(E17:E$4701)*(E4717=E17:E$4701)))))</f>
        <v/>
      </c>
      <c r="J4717" s="24" t="str">
        <f aca="true">IF(OR(E4717="",E4717="!!!",F4717="NEW"),"",COUNTBLANK(OFFSET(A$1,,,SUMPRODUCT(MAX(ROW(E$2:E4717)*(E4717=E$2:E4717)))))-COUNTBLANK(OFFSET(A$1,,,SUMPRODUCT(MAX(ROW(E$1:E4716)*(E2=E$1:E4716))))))</f>
        <v/>
      </c>
      <c r="K4717" s="24" t="str">
        <f aca="false">IF(OR(E4717="",E4717="!!!",F4717="NEW"),"",INDEX(J$1:J4716,SUMPRODUCT(MAX(ROW(E$1:E4716)*(E4717=E$1:E4716)))))</f>
        <v/>
      </c>
      <c r="L4717" s="31"/>
    </row>
    <row r="4718" customFormat="false" ht="15" hidden="false" customHeight="false" outlineLevel="0" collapsed="false">
      <c r="A4718" s="20" t="s">
        <v>1410</v>
      </c>
      <c r="E4718" s="23" t="str">
        <f aca="false">IF(D4718="?OLD","!!!","")</f>
        <v/>
      </c>
      <c r="F4718" s="25" t="str">
        <f aca="false">IF(OR(E4718="",E4718="!!!"),"",IF(NOT(ISNA(VLOOKUP(E4718,E$1:E4717,1,FALSE()))),"OLD",IF(AND(E4718&lt;&gt;"",E4718&lt;&gt;"!!!"),"NEW","")))</f>
        <v/>
      </c>
      <c r="G4718" s="26" t="str">
        <f aca="false">IF(OR(E4718="",E4718="!!!"),"",IF(OR(J4718=0,AND(J4718=1,K4718=1),AND(J4718=1,I4718="SBJ"),AND(J4718=1,I4718=0)),"?IN_FOCUS",IF(J4718&lt;=2,"?ACTIVATED",IF(J4718&lt;&gt;"","?FAMILIAR",IF(F4718="NEW",IF(ISNA(VLOOKUP(E4718,#REF!,1,FALSE())),"?TYPE_IDENTIFIABLE","?REFERENTIAL"),"_")))))</f>
        <v/>
      </c>
      <c r="H4718" s="27" t="str">
        <f aca="false">IF(J4718&lt;&gt;1,"",IF(I4718="SBJ","CB","?"))</f>
        <v/>
      </c>
      <c r="I4718" s="24" t="str">
        <f aca="false">IF(OR(E4718="",E4718="!!!",F4718="NEW"),"",INDEX(B18:B$4701,-1+SUMPRODUCT(MAX(ROW(E18:E$4701)*(E4718=E18:E$4701)))))</f>
        <v/>
      </c>
      <c r="J4718" s="24" t="str">
        <f aca="true">IF(OR(E4718="",E4718="!!!",F4718="NEW"),"",COUNTBLANK(OFFSET(A$1,,,SUMPRODUCT(MAX(ROW(E$2:E4718)*(E4718=E$2:E4718)))))-COUNTBLANK(OFFSET(A$1,,,SUMPRODUCT(MAX(ROW(E$1:E4717)*(E2=E$1:E4717))))))</f>
        <v/>
      </c>
      <c r="K4718" s="24" t="str">
        <f aca="false">IF(OR(E4718="",E4718="!!!",F4718="NEW"),"",INDEX(J$1:J4717,SUMPRODUCT(MAX(ROW(E$1:E4717)*(E4718=E$1:E4717)))))</f>
        <v/>
      </c>
      <c r="L4718" s="31"/>
    </row>
    <row r="4719" customFormat="false" ht="15" hidden="false" customHeight="false" outlineLevel="0" collapsed="false">
      <c r="A4719" s="20" t="s">
        <v>1080</v>
      </c>
      <c r="B4719" s="22" t="s">
        <v>1067</v>
      </c>
      <c r="C4719" s="22" t="s">
        <v>1082</v>
      </c>
      <c r="D4719" s="22" t="s">
        <v>1060</v>
      </c>
      <c r="E4719" s="23" t="str">
        <f aca="false">IF(D4719="?OLD","!!!","")</f>
        <v>!!!</v>
      </c>
      <c r="F4719" s="25" t="str">
        <f aca="false">IF(OR(E4719="",E4719="!!!"),"",IF(NOT(ISNA(VLOOKUP(E4719,E$1:E4718,1,FALSE()))),"OLD",IF(AND(E4719&lt;&gt;"",E4719&lt;&gt;"!!!"),"NEW","")))</f>
        <v/>
      </c>
      <c r="G4719" s="26" t="str">
        <f aca="false">IF(OR(E4719="",E4719="!!!"),"",IF(OR(J4719=0,AND(J4719=1,K4719=1),AND(J4719=1,I4719="SBJ"),AND(J4719=1,I4719=0)),"?IN_FOCUS",IF(J4719&lt;=2,"?ACTIVATED",IF(J4719&lt;&gt;"","?FAMILIAR",IF(F4719="NEW",IF(ISNA(VLOOKUP(E4719,#REF!,1,FALSE())),"?TYPE_IDENTIFIABLE","?REFERENTIAL"),"_")))))</f>
        <v/>
      </c>
      <c r="H4719" s="27" t="str">
        <f aca="false">IF(J4719&lt;&gt;1,"",IF(I4719="SBJ","CB","?"))</f>
        <v/>
      </c>
      <c r="I4719" s="24" t="str">
        <f aca="false">IF(OR(E4719="",E4719="!!!",F4719="NEW"),"",INDEX(B19:B$4701,-1+SUMPRODUCT(MAX(ROW(E19:E$4701)*(E4719=E19:E$4701)))))</f>
        <v/>
      </c>
      <c r="J4719" s="24" t="str">
        <f aca="true">IF(OR(E4719="",E4719="!!!",F4719="NEW"),"",COUNTBLANK(OFFSET(A$1,,,SUMPRODUCT(MAX(ROW(E$2:E4719)*(E4719=E$2:E4719)))))-COUNTBLANK(OFFSET(A$1,,,SUMPRODUCT(MAX(ROW(E$1:E4718)*(E2=E$1:E4718))))))</f>
        <v/>
      </c>
      <c r="K4719" s="24" t="str">
        <f aca="false">IF(OR(E4719="",E4719="!!!",F4719="NEW"),"",INDEX(J$1:J4718,SUMPRODUCT(MAX(ROW(E$1:E4718)*(E4719=E$1:E4718)))))</f>
        <v/>
      </c>
      <c r="L4719" s="31"/>
    </row>
    <row r="4720" customFormat="false" ht="15" hidden="false" customHeight="false" outlineLevel="0" collapsed="false">
      <c r="A4720" s="20" t="s">
        <v>1080</v>
      </c>
      <c r="B4720" s="22" t="s">
        <v>1086</v>
      </c>
      <c r="C4720" s="22" t="s">
        <v>1082</v>
      </c>
      <c r="D4720" s="22" t="s">
        <v>1060</v>
      </c>
      <c r="E4720" s="23" t="str">
        <f aca="false">IF(D4720="?OLD","!!!","")</f>
        <v>!!!</v>
      </c>
      <c r="F4720" s="25" t="str">
        <f aca="false">IF(OR(E4720="",E4720="!!!"),"",IF(NOT(ISNA(VLOOKUP(E4720,E$1:E4719,1,FALSE()))),"OLD",IF(AND(E4720&lt;&gt;"",E4720&lt;&gt;"!!!"),"NEW","")))</f>
        <v/>
      </c>
      <c r="G4720" s="26" t="str">
        <f aca="false">IF(OR(E4720="",E4720="!!!"),"",IF(OR(J4720=0,AND(J4720=1,K4720=1),AND(J4720=1,I4720="SBJ"),AND(J4720=1,I4720=0)),"?IN_FOCUS",IF(J4720&lt;=2,"?ACTIVATED",IF(J4720&lt;&gt;"","?FAMILIAR",IF(F4720="NEW",IF(ISNA(VLOOKUP(E4720,#REF!,1,FALSE())),"?TYPE_IDENTIFIABLE","?REFERENTIAL"),"_")))))</f>
        <v/>
      </c>
      <c r="H4720" s="27" t="str">
        <f aca="false">IF(J4720&lt;&gt;1,"",IF(I4720="SBJ","CB","?"))</f>
        <v/>
      </c>
      <c r="I4720" s="24" t="str">
        <f aca="false">IF(OR(E4720="",E4720="!!!",F4720="NEW"),"",INDEX(B20:B$4701,-1+SUMPRODUCT(MAX(ROW(E20:E$4701)*(E4720=E20:E$4701)))))</f>
        <v/>
      </c>
      <c r="J4720" s="24" t="str">
        <f aca="true">IF(OR(E4720="",E4720="!!!",F4720="NEW"),"",COUNTBLANK(OFFSET(A$1,,,SUMPRODUCT(MAX(ROW(E$2:E4720)*(E4720=E$2:E4720)))))-COUNTBLANK(OFFSET(A$1,,,SUMPRODUCT(MAX(ROW(E$1:E4719)*(E2=E$1:E4719))))))</f>
        <v/>
      </c>
      <c r="K4720" s="24" t="str">
        <f aca="false">IF(OR(E4720="",E4720="!!!",F4720="NEW"),"",INDEX(J$1:J4719,SUMPRODUCT(MAX(ROW(E$1:E4719)*(E4720=E$1:E4719)))))</f>
        <v/>
      </c>
      <c r="L4720" s="31"/>
    </row>
    <row r="4721" customFormat="false" ht="15" hidden="false" customHeight="false" outlineLevel="0" collapsed="false">
      <c r="A4721" s="20" t="s">
        <v>1092</v>
      </c>
      <c r="E4721" s="23" t="str">
        <f aca="false">IF(D4721="?OLD","!!!","")</f>
        <v/>
      </c>
      <c r="F4721" s="25" t="str">
        <f aca="false">IF(OR(E4721="",E4721="!!!"),"",IF(NOT(ISNA(VLOOKUP(E4721,E$1:E4720,1,FALSE()))),"OLD",IF(AND(E4721&lt;&gt;"",E4721&lt;&gt;"!!!"),"NEW","")))</f>
        <v/>
      </c>
      <c r="G4721" s="26" t="str">
        <f aca="false">IF(OR(E4721="",E4721="!!!"),"",IF(OR(J4721=0,AND(J4721=1,K4721=1),AND(J4721=1,I4721="SBJ"),AND(J4721=1,I4721=0)),"?IN_FOCUS",IF(J4721&lt;=2,"?ACTIVATED",IF(J4721&lt;&gt;"","?FAMILIAR",IF(F4721="NEW",IF(ISNA(VLOOKUP(E4721,#REF!,1,FALSE())),"?TYPE_IDENTIFIABLE","?REFERENTIAL"),"_")))))</f>
        <v/>
      </c>
      <c r="H4721" s="27" t="str">
        <f aca="false">IF(J4721&lt;&gt;1,"",IF(I4721="SBJ","CB","?"))</f>
        <v/>
      </c>
      <c r="I4721" s="24" t="str">
        <f aca="false">IF(OR(E4721="",E4721="!!!",F4721="NEW"),"",INDEX(B21:B$4701,-1+SUMPRODUCT(MAX(ROW(E21:E$4701)*(E4721=E21:E$4701)))))</f>
        <v/>
      </c>
      <c r="J4721" s="24" t="str">
        <f aca="true">IF(OR(E4721="",E4721="!!!",F4721="NEW"),"",COUNTBLANK(OFFSET(A$1,,,SUMPRODUCT(MAX(ROW(E$2:E4721)*(E4721=E$2:E4721)))))-COUNTBLANK(OFFSET(A$1,,,SUMPRODUCT(MAX(ROW(E$1:E4720)*(E2=E$1:E4720))))))</f>
        <v/>
      </c>
      <c r="K4721" s="24" t="str">
        <f aca="false">IF(OR(E4721="",E4721="!!!",F4721="NEW"),"",INDEX(J$1:J4720,SUMPRODUCT(MAX(ROW(E$1:E4720)*(E4721=E$1:E4720)))))</f>
        <v/>
      </c>
      <c r="L4721" s="31"/>
    </row>
    <row r="4722" customFormat="false" ht="15" hidden="false" customHeight="false" outlineLevel="0" collapsed="false">
      <c r="A4722" s="20" t="s">
        <v>1157</v>
      </c>
      <c r="E4722" s="23" t="str">
        <f aca="false">IF(D4722="?OLD","!!!","")</f>
        <v/>
      </c>
      <c r="F4722" s="25" t="str">
        <f aca="false">IF(OR(E4722="",E4722="!!!"),"",IF(NOT(ISNA(VLOOKUP(E4722,E$1:E4721,1,FALSE()))),"OLD",IF(AND(E4722&lt;&gt;"",E4722&lt;&gt;"!!!"),"NEW","")))</f>
        <v/>
      </c>
      <c r="G4722" s="26" t="str">
        <f aca="false">IF(OR(E4722="",E4722="!!!"),"",IF(OR(J4722=0,AND(J4722=1,K4722=1),AND(J4722=1,I4722="SBJ"),AND(J4722=1,I4722=0)),"?IN_FOCUS",IF(J4722&lt;=2,"?ACTIVATED",IF(J4722&lt;&gt;"","?FAMILIAR",IF(F4722="NEW",IF(ISNA(VLOOKUP(E4722,#REF!,1,FALSE())),"?TYPE_IDENTIFIABLE","?REFERENTIAL"),"_")))))</f>
        <v/>
      </c>
      <c r="H4722" s="27" t="str">
        <f aca="false">IF(J4722&lt;&gt;1,"",IF(I4722="SBJ","CB","?"))</f>
        <v/>
      </c>
      <c r="I4722" s="24" t="str">
        <f aca="false">IF(OR(E4722="",E4722="!!!",F4722="NEW"),"",INDEX(B22:B$4701,-1+SUMPRODUCT(MAX(ROW(E22:E$4701)*(E4722=E22:E$4701)))))</f>
        <v/>
      </c>
      <c r="J4722" s="24" t="str">
        <f aca="true">IF(OR(E4722="",E4722="!!!",F4722="NEW"),"",COUNTBLANK(OFFSET(A$1,,,SUMPRODUCT(MAX(ROW(E$2:E4722)*(E4722=E$2:E4722)))))-COUNTBLANK(OFFSET(A$1,,,SUMPRODUCT(MAX(ROW(E$1:E4721)*(E2=E$1:E4721))))))</f>
        <v/>
      </c>
      <c r="K4722" s="24" t="str">
        <f aca="false">IF(OR(E4722="",E4722="!!!",F4722="NEW"),"",INDEX(J$1:J4721,SUMPRODUCT(MAX(ROW(E$1:E4721)*(E4722=E$1:E4721)))))</f>
        <v/>
      </c>
      <c r="L4722" s="31"/>
    </row>
    <row r="4723" customFormat="false" ht="15" hidden="false" customHeight="false" outlineLevel="0" collapsed="false">
      <c r="A4723" s="20" t="s">
        <v>1383</v>
      </c>
      <c r="E4723" s="23" t="str">
        <f aca="false">IF(D4723="?OLD","!!!","")</f>
        <v/>
      </c>
      <c r="F4723" s="25" t="str">
        <f aca="false">IF(OR(E4723="",E4723="!!!"),"",IF(NOT(ISNA(VLOOKUP(E4723,E$1:E4722,1,FALSE()))),"OLD",IF(AND(E4723&lt;&gt;"",E4723&lt;&gt;"!!!"),"NEW","")))</f>
        <v/>
      </c>
      <c r="G4723" s="26" t="str">
        <f aca="false">IF(OR(E4723="",E4723="!!!"),"",IF(OR(J4723=0,AND(J4723=1,K4723=1),AND(J4723=1,I4723="SBJ"),AND(J4723=1,I4723=0)),"?IN_FOCUS",IF(J4723&lt;=2,"?ACTIVATED",IF(J4723&lt;&gt;"","?FAMILIAR",IF(F4723="NEW",IF(ISNA(VLOOKUP(E4723,#REF!,1,FALSE())),"?TYPE_IDENTIFIABLE","?REFERENTIAL"),"_")))))</f>
        <v/>
      </c>
      <c r="H4723" s="27" t="str">
        <f aca="false">IF(J4723&lt;&gt;1,"",IF(I4723="SBJ","CB","?"))</f>
        <v/>
      </c>
      <c r="I4723" s="24" t="str">
        <f aca="false">IF(OR(E4723="",E4723="!!!",F4723="NEW"),"",INDEX(B23:B$4701,-1+SUMPRODUCT(MAX(ROW(E23:E$4701)*(E4723=E23:E$4701)))))</f>
        <v/>
      </c>
      <c r="J4723" s="24" t="str">
        <f aca="true">IF(OR(E4723="",E4723="!!!",F4723="NEW"),"",COUNTBLANK(OFFSET(A$1,,,SUMPRODUCT(MAX(ROW(E$2:E4723)*(E4723=E$2:E4723)))))-COUNTBLANK(OFFSET(A$1,,,SUMPRODUCT(MAX(ROW(E$1:E4722)*(E2=E$1:E4722))))))</f>
        <v/>
      </c>
      <c r="K4723" s="24" t="str">
        <f aca="false">IF(OR(E4723="",E4723="!!!",F4723="NEW"),"",INDEX(J$1:J4722,SUMPRODUCT(MAX(ROW(E$1:E4722)*(E4723=E$1:E4722)))))</f>
        <v/>
      </c>
      <c r="L4723" s="31"/>
    </row>
    <row r="4724" customFormat="false" ht="15" hidden="false" customHeight="false" outlineLevel="0" collapsed="false">
      <c r="A4724" s="20" t="s">
        <v>2117</v>
      </c>
      <c r="E4724" s="23" t="str">
        <f aca="false">IF(D4724="?OLD","!!!","")</f>
        <v/>
      </c>
      <c r="F4724" s="25" t="str">
        <f aca="false">IF(OR(E4724="",E4724="!!!"),"",IF(NOT(ISNA(VLOOKUP(E4724,E$1:E4723,1,FALSE()))),"OLD",IF(AND(E4724&lt;&gt;"",E4724&lt;&gt;"!!!"),"NEW","")))</f>
        <v/>
      </c>
      <c r="G4724" s="26" t="str">
        <f aca="false">IF(OR(E4724="",E4724="!!!"),"",IF(OR(J4724=0,AND(J4724=1,K4724=1),AND(J4724=1,I4724="SBJ"),AND(J4724=1,I4724=0)),"?IN_FOCUS",IF(J4724&lt;=2,"?ACTIVATED",IF(J4724&lt;&gt;"","?FAMILIAR",IF(F4724="NEW",IF(ISNA(VLOOKUP(E4724,#REF!,1,FALSE())),"?TYPE_IDENTIFIABLE","?REFERENTIAL"),"_")))))</f>
        <v/>
      </c>
      <c r="H4724" s="27" t="str">
        <f aca="false">IF(J4724&lt;&gt;1,"",IF(I4724="SBJ","CB","?"))</f>
        <v/>
      </c>
      <c r="I4724" s="24" t="str">
        <f aca="false">IF(OR(E4724="",E4724="!!!",F4724="NEW"),"",INDEX(B24:B$4701,-1+SUMPRODUCT(MAX(ROW(E24:E$4701)*(E4724=E24:E$4701)))))</f>
        <v/>
      </c>
      <c r="J4724" s="24" t="str">
        <f aca="true">IF(OR(E4724="",E4724="!!!",F4724="NEW"),"",COUNTBLANK(OFFSET(A$1,,,SUMPRODUCT(MAX(ROW(E$2:E4724)*(E4724=E$2:E4724)))))-COUNTBLANK(OFFSET(A$1,,,SUMPRODUCT(MAX(ROW(E$1:E4723)*(E2=E$1:E4723))))))</f>
        <v/>
      </c>
      <c r="K4724" s="24" t="str">
        <f aca="false">IF(OR(E4724="",E4724="!!!",F4724="NEW"),"",INDEX(J$1:J4723,SUMPRODUCT(MAX(ROW(E$1:E4723)*(E4724=E$1:E4723)))))</f>
        <v/>
      </c>
      <c r="L4724" s="31"/>
    </row>
    <row r="4725" customFormat="false" ht="15" hidden="false" customHeight="false" outlineLevel="0" collapsed="false">
      <c r="A4725" s="20" t="s">
        <v>2452</v>
      </c>
      <c r="E4725" s="23" t="str">
        <f aca="false">IF(D4725="?OLD","!!!","")</f>
        <v/>
      </c>
      <c r="F4725" s="25" t="str">
        <f aca="false">IF(OR(E4725="",E4725="!!!"),"",IF(NOT(ISNA(VLOOKUP(E4725,E$1:E4724,1,FALSE()))),"OLD",IF(AND(E4725&lt;&gt;"",E4725&lt;&gt;"!!!"),"NEW","")))</f>
        <v/>
      </c>
      <c r="G4725" s="26" t="str">
        <f aca="false">IF(OR(E4725="",E4725="!!!"),"",IF(OR(J4725=0,AND(J4725=1,K4725=1),AND(J4725=1,I4725="SBJ"),AND(J4725=1,I4725=0)),"?IN_FOCUS",IF(J4725&lt;=2,"?ACTIVATED",IF(J4725&lt;&gt;"","?FAMILIAR",IF(F4725="NEW",IF(ISNA(VLOOKUP(E4725,#REF!,1,FALSE())),"?TYPE_IDENTIFIABLE","?REFERENTIAL"),"_")))))</f>
        <v/>
      </c>
      <c r="H4725" s="27" t="str">
        <f aca="false">IF(J4725&lt;&gt;1,"",IF(I4725="SBJ","CB","?"))</f>
        <v/>
      </c>
      <c r="I4725" s="24" t="str">
        <f aca="false">IF(OR(E4725="",E4725="!!!",F4725="NEW"),"",INDEX(B25:B$4701,-1+SUMPRODUCT(MAX(ROW(E25:E$4701)*(E4725=E25:E$4701)))))</f>
        <v/>
      </c>
      <c r="J4725" s="24" t="str">
        <f aca="true">IF(OR(E4725="",E4725="!!!",F4725="NEW"),"",COUNTBLANK(OFFSET(A$1,,,SUMPRODUCT(MAX(ROW(E$2:E4725)*(E4725=E$2:E4725)))))-COUNTBLANK(OFFSET(A$1,,,SUMPRODUCT(MAX(ROW(E$1:E4724)*(E2=E$1:E4724))))))</f>
        <v/>
      </c>
      <c r="K4725" s="24" t="str">
        <f aca="false">IF(OR(E4725="",E4725="!!!",F4725="NEW"),"",INDEX(J$1:J4724,SUMPRODUCT(MAX(ROW(E$1:E4724)*(E4725=E$1:E4724)))))</f>
        <v/>
      </c>
      <c r="L4725" s="31"/>
    </row>
    <row r="4726" customFormat="false" ht="15" hidden="false" customHeight="false" outlineLevel="0" collapsed="false">
      <c r="A4726" s="20" t="s">
        <v>1720</v>
      </c>
      <c r="B4726" s="22" t="s">
        <v>1359</v>
      </c>
      <c r="C4726" s="22" t="s">
        <v>1389</v>
      </c>
      <c r="E4726" s="23" t="str">
        <f aca="false">IF(D4726="?OLD","!!!","")</f>
        <v/>
      </c>
      <c r="F4726" s="25" t="str">
        <f aca="false">IF(OR(E4726="",E4726="!!!"),"",IF(NOT(ISNA(VLOOKUP(E4726,E$1:E4725,1,FALSE()))),"OLD",IF(AND(E4726&lt;&gt;"",E4726&lt;&gt;"!!!"),"NEW","")))</f>
        <v/>
      </c>
      <c r="G4726" s="26" t="str">
        <f aca="false">IF(OR(E4726="",E4726="!!!"),"",IF(OR(J4726=0,AND(J4726=1,K4726=1),AND(J4726=1,I4726="SBJ"),AND(J4726=1,I4726=0)),"?IN_FOCUS",IF(J4726&lt;=2,"?ACTIVATED",IF(J4726&lt;&gt;"","?FAMILIAR",IF(F4726="NEW",IF(ISNA(VLOOKUP(E4726,#REF!,1,FALSE())),"?TYPE_IDENTIFIABLE","?REFERENTIAL"),"_")))))</f>
        <v/>
      </c>
      <c r="H4726" s="27" t="str">
        <f aca="false">IF(J4726&lt;&gt;1,"",IF(I4726="SBJ","CB","?"))</f>
        <v/>
      </c>
      <c r="I4726" s="24" t="str">
        <f aca="false">IF(OR(E4726="",E4726="!!!",F4726="NEW"),"",INDEX(B26:B$4701,-1+SUMPRODUCT(MAX(ROW(E26:E$4701)*(E4726=E26:E$4701)))))</f>
        <v/>
      </c>
      <c r="J4726" s="24" t="str">
        <f aca="true">IF(OR(E4726="",E4726="!!!",F4726="NEW"),"",COUNTBLANK(OFFSET(A$1,,,SUMPRODUCT(MAX(ROW(E$2:E4726)*(E4726=E$2:E4726)))))-COUNTBLANK(OFFSET(A$1,,,SUMPRODUCT(MAX(ROW(E$1:E4725)*(E2=E$1:E4725))))))</f>
        <v/>
      </c>
      <c r="K4726" s="24" t="str">
        <f aca="false">IF(OR(E4726="",E4726="!!!",F4726="NEW"),"",INDEX(J$1:J4725,SUMPRODUCT(MAX(ROW(E$1:E4725)*(E4726=E$1:E4725)))))</f>
        <v/>
      </c>
      <c r="L4726" s="31"/>
    </row>
    <row r="4727" customFormat="false" ht="15" hidden="false" customHeight="false" outlineLevel="0" collapsed="false">
      <c r="A4727" s="20" t="s">
        <v>1092</v>
      </c>
      <c r="E4727" s="23" t="str">
        <f aca="false">IF(D4727="?OLD","!!!","")</f>
        <v/>
      </c>
      <c r="F4727" s="25" t="str">
        <f aca="false">IF(OR(E4727="",E4727="!!!"),"",IF(NOT(ISNA(VLOOKUP(E4727,E$1:E4726,1,FALSE()))),"OLD",IF(AND(E4727&lt;&gt;"",E4727&lt;&gt;"!!!"),"NEW","")))</f>
        <v/>
      </c>
      <c r="G4727" s="26" t="str">
        <f aca="false">IF(OR(E4727="",E4727="!!!"),"",IF(OR(J4727=0,AND(J4727=1,K4727=1),AND(J4727=1,I4727="SBJ"),AND(J4727=1,I4727=0)),"?IN_FOCUS",IF(J4727&lt;=2,"?ACTIVATED",IF(J4727&lt;&gt;"","?FAMILIAR",IF(F4727="NEW",IF(ISNA(VLOOKUP(E4727,#REF!,1,FALSE())),"?TYPE_IDENTIFIABLE","?REFERENTIAL"),"_")))))</f>
        <v/>
      </c>
      <c r="H4727" s="27" t="str">
        <f aca="false">IF(J4727&lt;&gt;1,"",IF(I4727="SBJ","CB","?"))</f>
        <v/>
      </c>
      <c r="I4727" s="24" t="str">
        <f aca="false">IF(OR(E4727="",E4727="!!!",F4727="NEW"),"",INDEX(B27:B$4701,-1+SUMPRODUCT(MAX(ROW(E27:E$4701)*(E4727=E27:E$4701)))))</f>
        <v/>
      </c>
      <c r="J4727" s="24" t="str">
        <f aca="true">IF(OR(E4727="",E4727="!!!",F4727="NEW"),"",COUNTBLANK(OFFSET(A$1,,,SUMPRODUCT(MAX(ROW(E$2:E4727)*(E4727=E$2:E4727)))))-COUNTBLANK(OFFSET(A$1,,,SUMPRODUCT(MAX(ROW(E$1:E4726)*(E2=E$1:E4726))))))</f>
        <v/>
      </c>
      <c r="K4727" s="24" t="str">
        <f aca="false">IF(OR(E4727="",E4727="!!!",F4727="NEW"),"",INDEX(J$1:J4726,SUMPRODUCT(MAX(ROW(E$1:E4726)*(E4727=E$1:E4726)))))</f>
        <v/>
      </c>
      <c r="L4727" s="31"/>
    </row>
    <row r="4728" customFormat="false" ht="15" hidden="false" customHeight="false" outlineLevel="0" collapsed="false">
      <c r="A4728" s="20" t="s">
        <v>2453</v>
      </c>
      <c r="E4728" s="23" t="str">
        <f aca="false">IF(D4728="?OLD","!!!","")</f>
        <v/>
      </c>
      <c r="F4728" s="25" t="str">
        <f aca="false">IF(OR(E4728="",E4728="!!!"),"",IF(NOT(ISNA(VLOOKUP(E4728,E$1:E4727,1,FALSE()))),"OLD",IF(AND(E4728&lt;&gt;"",E4728&lt;&gt;"!!!"),"NEW","")))</f>
        <v/>
      </c>
      <c r="G4728" s="26" t="str">
        <f aca="false">IF(OR(E4728="",E4728="!!!"),"",IF(OR(J4728=0,AND(J4728=1,K4728=1),AND(J4728=1,I4728="SBJ"),AND(J4728=1,I4728=0)),"?IN_FOCUS",IF(J4728&lt;=2,"?ACTIVATED",IF(J4728&lt;&gt;"","?FAMILIAR",IF(F4728="NEW",IF(ISNA(VLOOKUP(E4728,#REF!,1,FALSE())),"?TYPE_IDENTIFIABLE","?REFERENTIAL"),"_")))))</f>
        <v/>
      </c>
      <c r="H4728" s="27" t="str">
        <f aca="false">IF(J4728&lt;&gt;1,"",IF(I4728="SBJ","CB","?"))</f>
        <v/>
      </c>
      <c r="I4728" s="24" t="str">
        <f aca="false">IF(OR(E4728="",E4728="!!!",F4728="NEW"),"",INDEX(B28:B$4701,-1+SUMPRODUCT(MAX(ROW(E28:E$4701)*(E4728=E28:E$4701)))))</f>
        <v/>
      </c>
      <c r="J4728" s="24" t="str">
        <f aca="true">IF(OR(E4728="",E4728="!!!",F4728="NEW"),"",COUNTBLANK(OFFSET(A$1,,,SUMPRODUCT(MAX(ROW(E$2:E4728)*(E4728=E$2:E4728)))))-COUNTBLANK(OFFSET(A$1,,,SUMPRODUCT(MAX(ROW(E$1:E4727)*(E2=E$1:E4727))))))</f>
        <v/>
      </c>
      <c r="K4728" s="24" t="str">
        <f aca="false">IF(OR(E4728="",E4728="!!!",F4728="NEW"),"",INDEX(J$1:J4727,SUMPRODUCT(MAX(ROW(E$1:E4727)*(E4728=E$1:E4727)))))</f>
        <v/>
      </c>
      <c r="L4728" s="31"/>
    </row>
    <row r="4729" customFormat="false" ht="15" hidden="false" customHeight="false" outlineLevel="0" collapsed="false">
      <c r="A4729" s="20" t="s">
        <v>1179</v>
      </c>
      <c r="B4729" s="22" t="s">
        <v>1131</v>
      </c>
      <c r="C4729" s="22" t="s">
        <v>1082</v>
      </c>
      <c r="D4729" s="22" t="s">
        <v>1060</v>
      </c>
      <c r="E4729" s="23" t="str">
        <f aca="false">IF(D4729="?OLD","!!!","")</f>
        <v>!!!</v>
      </c>
      <c r="F4729" s="25" t="str">
        <f aca="false">IF(OR(E4729="",E4729="!!!"),"",IF(NOT(ISNA(VLOOKUP(E4729,E$1:E4728,1,FALSE()))),"OLD",IF(AND(E4729&lt;&gt;"",E4729&lt;&gt;"!!!"),"NEW","")))</f>
        <v/>
      </c>
      <c r="G4729" s="26" t="str">
        <f aca="false">IF(OR(E4729="",E4729="!!!"),"",IF(OR(J4729=0,AND(J4729=1,K4729=1),AND(J4729=1,I4729="SBJ"),AND(J4729=1,I4729=0)),"?IN_FOCUS",IF(J4729&lt;=2,"?ACTIVATED",IF(J4729&lt;&gt;"","?FAMILIAR",IF(F4729="NEW",IF(ISNA(VLOOKUP(E4729,#REF!,1,FALSE())),"?TYPE_IDENTIFIABLE","?REFERENTIAL"),"_")))))</f>
        <v/>
      </c>
      <c r="H4729" s="27" t="str">
        <f aca="false">IF(J4729&lt;&gt;1,"",IF(I4729="SBJ","CB","?"))</f>
        <v/>
      </c>
      <c r="I4729" s="24" t="str">
        <f aca="false">IF(OR(E4729="",E4729="!!!",F4729="NEW"),"",INDEX(B29:B$4701,-1+SUMPRODUCT(MAX(ROW(E29:E$4701)*(E4729=E29:E$4701)))))</f>
        <v/>
      </c>
      <c r="J4729" s="24" t="str">
        <f aca="true">IF(OR(E4729="",E4729="!!!",F4729="NEW"),"",COUNTBLANK(OFFSET(A$1,,,SUMPRODUCT(MAX(ROW(E$2:E4729)*(E4729=E$2:E4729)))))-COUNTBLANK(OFFSET(A$1,,,SUMPRODUCT(MAX(ROW(E$1:E4728)*(E2=E$1:E4728))))))</f>
        <v/>
      </c>
      <c r="K4729" s="24" t="str">
        <f aca="false">IF(OR(E4729="",E4729="!!!",F4729="NEW"),"",INDEX(J$1:J4728,SUMPRODUCT(MAX(ROW(E$1:E4728)*(E4729=E$1:E4728)))))</f>
        <v/>
      </c>
      <c r="L4729" s="31"/>
    </row>
    <row r="4730" customFormat="false" ht="15" hidden="false" customHeight="false" outlineLevel="0" collapsed="false">
      <c r="A4730" s="20" t="s">
        <v>1283</v>
      </c>
      <c r="E4730" s="23" t="str">
        <f aca="false">IF(D4730="?OLD","!!!","")</f>
        <v/>
      </c>
      <c r="F4730" s="25" t="str">
        <f aca="false">IF(OR(E4730="",E4730="!!!"),"",IF(NOT(ISNA(VLOOKUP(E4730,E$1:E4729,1,FALSE()))),"OLD",IF(AND(E4730&lt;&gt;"",E4730&lt;&gt;"!!!"),"NEW","")))</f>
        <v/>
      </c>
      <c r="G4730" s="26" t="str">
        <f aca="false">IF(OR(E4730="",E4730="!!!"),"",IF(OR(J4730=0,AND(J4730=1,K4730=1),AND(J4730=1,I4730="SBJ"),AND(J4730=1,I4730=0)),"?IN_FOCUS",IF(J4730&lt;=2,"?ACTIVATED",IF(J4730&lt;&gt;"","?FAMILIAR",IF(F4730="NEW",IF(ISNA(VLOOKUP(E4730,#REF!,1,FALSE())),"?TYPE_IDENTIFIABLE","?REFERENTIAL"),"_")))))</f>
        <v/>
      </c>
      <c r="H4730" s="27" t="str">
        <f aca="false">IF(J4730&lt;&gt;1,"",IF(I4730="SBJ","CB","?"))</f>
        <v/>
      </c>
      <c r="I4730" s="24" t="str">
        <f aca="false">IF(OR(E4730="",E4730="!!!",F4730="NEW"),"",INDEX(B30:B$4701,-1+SUMPRODUCT(MAX(ROW(E30:E$4701)*(E4730=E30:E$4701)))))</f>
        <v/>
      </c>
      <c r="J4730" s="24" t="str">
        <f aca="true">IF(OR(E4730="",E4730="!!!",F4730="NEW"),"",COUNTBLANK(OFFSET(A$1,,,SUMPRODUCT(MAX(ROW(E$2:E4730)*(E4730=E$2:E4730)))))-COUNTBLANK(OFFSET(A$1,,,SUMPRODUCT(MAX(ROW(E$1:E4729)*(E2=E$1:E4729))))))</f>
        <v/>
      </c>
      <c r="K4730" s="24" t="str">
        <f aca="false">IF(OR(E4730="",E4730="!!!",F4730="NEW"),"",INDEX(J$1:J4729,SUMPRODUCT(MAX(ROW(E$1:E4729)*(E4730=E$1:E4729)))))</f>
        <v/>
      </c>
      <c r="L4730" s="31"/>
    </row>
    <row r="4731" customFormat="false" ht="15" hidden="false" customHeight="false" outlineLevel="0" collapsed="false">
      <c r="A4731" s="20" t="s">
        <v>1410</v>
      </c>
      <c r="E4731" s="23" t="str">
        <f aca="false">IF(D4731="?OLD","!!!","")</f>
        <v/>
      </c>
      <c r="F4731" s="25" t="str">
        <f aca="false">IF(OR(E4731="",E4731="!!!"),"",IF(NOT(ISNA(VLOOKUP(E4731,E$1:E4730,1,FALSE()))),"OLD",IF(AND(E4731&lt;&gt;"",E4731&lt;&gt;"!!!"),"NEW","")))</f>
        <v/>
      </c>
      <c r="G4731" s="26" t="str">
        <f aca="false">IF(OR(E4731="",E4731="!!!"),"",IF(OR(J4731=0,AND(J4731=1,K4731=1),AND(J4731=1,I4731="SBJ"),AND(J4731=1,I4731=0)),"?IN_FOCUS",IF(J4731&lt;=2,"?ACTIVATED",IF(J4731&lt;&gt;"","?FAMILIAR",IF(F4731="NEW",IF(ISNA(VLOOKUP(E4731,#REF!,1,FALSE())),"?TYPE_IDENTIFIABLE","?REFERENTIAL"),"_")))))</f>
        <v/>
      </c>
      <c r="H4731" s="27" t="str">
        <f aca="false">IF(J4731&lt;&gt;1,"",IF(I4731="SBJ","CB","?"))</f>
        <v/>
      </c>
      <c r="I4731" s="24" t="str">
        <f aca="false">IF(OR(E4731="",E4731="!!!",F4731="NEW"),"",INDEX(B31:B$4701,-1+SUMPRODUCT(MAX(ROW(E31:E$4701)*(E4731=E31:E$4701)))))</f>
        <v/>
      </c>
      <c r="J4731" s="24" t="str">
        <f aca="true">IF(OR(E4731="",E4731="!!!",F4731="NEW"),"",COUNTBLANK(OFFSET(A$1,,,SUMPRODUCT(MAX(ROW(E$2:E4731)*(E4731=E$2:E4731)))))-COUNTBLANK(OFFSET(A$1,,,SUMPRODUCT(MAX(ROW(E$1:E4730)*(E2=E$1:E4730))))))</f>
        <v/>
      </c>
      <c r="K4731" s="24" t="str">
        <f aca="false">IF(OR(E4731="",E4731="!!!",F4731="NEW"),"",INDEX(J$1:J4730,SUMPRODUCT(MAX(ROW(E$1:E4730)*(E4731=E$1:E4730)))))</f>
        <v/>
      </c>
      <c r="L4731" s="31"/>
    </row>
    <row r="4732" customFormat="false" ht="15" hidden="false" customHeight="false" outlineLevel="0" collapsed="false">
      <c r="A4732" s="20" t="s">
        <v>1130</v>
      </c>
      <c r="E4732" s="23" t="str">
        <f aca="false">IF(D4732="?OLD","!!!","")</f>
        <v/>
      </c>
      <c r="F4732" s="25" t="str">
        <f aca="false">IF(OR(E4732="",E4732="!!!"),"",IF(NOT(ISNA(VLOOKUP(E4732,E$1:E4731,1,FALSE()))),"OLD",IF(AND(E4732&lt;&gt;"",E4732&lt;&gt;"!!!"),"NEW","")))</f>
        <v/>
      </c>
      <c r="G4732" s="26" t="str">
        <f aca="false">IF(OR(E4732="",E4732="!!!"),"",IF(OR(J4732=0,AND(J4732=1,K4732=1),AND(J4732=1,I4732="SBJ"),AND(J4732=1,I4732=0)),"?IN_FOCUS",IF(J4732&lt;=2,"?ACTIVATED",IF(J4732&lt;&gt;"","?FAMILIAR",IF(F4732="NEW",IF(ISNA(VLOOKUP(E4732,#REF!,1,FALSE())),"?TYPE_IDENTIFIABLE","?REFERENTIAL"),"_")))))</f>
        <v/>
      </c>
      <c r="H4732" s="27" t="str">
        <f aca="false">IF(J4732&lt;&gt;1,"",IF(I4732="SBJ","CB","?"))</f>
        <v/>
      </c>
      <c r="I4732" s="24" t="str">
        <f aca="false">IF(OR(E4732="",E4732="!!!",F4732="NEW"),"",INDEX(B32:B$4701,-1+SUMPRODUCT(MAX(ROW(E32:E$4701)*(E4732=E32:E$4701)))))</f>
        <v/>
      </c>
      <c r="J4732" s="24" t="str">
        <f aca="true">IF(OR(E4732="",E4732="!!!",F4732="NEW"),"",COUNTBLANK(OFFSET(A$1,,,SUMPRODUCT(MAX(ROW(E$2:E4732)*(E4732=E$2:E4732)))))-COUNTBLANK(OFFSET(A$1,,,SUMPRODUCT(MAX(ROW(E$1:E4731)*(E2=E$1:E4731))))))</f>
        <v/>
      </c>
      <c r="K4732" s="24" t="str">
        <f aca="false">IF(OR(E4732="",E4732="!!!",F4732="NEW"),"",INDEX(J$1:J4731,SUMPRODUCT(MAX(ROW(E$1:E4731)*(E4732=E$1:E4731)))))</f>
        <v/>
      </c>
      <c r="L4732" s="31"/>
    </row>
    <row r="4733" customFormat="false" ht="15" hidden="false" customHeight="false" outlineLevel="0" collapsed="false">
      <c r="A4733" s="20" t="s">
        <v>2454</v>
      </c>
      <c r="E4733" s="23" t="str">
        <f aca="false">IF(D4733="?OLD","!!!","")</f>
        <v/>
      </c>
      <c r="F4733" s="25" t="str">
        <f aca="false">IF(OR(E4733="",E4733="!!!"),"",IF(NOT(ISNA(VLOOKUP(E4733,E$1:E4732,1,FALSE()))),"OLD",IF(AND(E4733&lt;&gt;"",E4733&lt;&gt;"!!!"),"NEW","")))</f>
        <v/>
      </c>
      <c r="G4733" s="26" t="str">
        <f aca="false">IF(OR(E4733="",E4733="!!!"),"",IF(OR(J4733=0,AND(J4733=1,K4733=1),AND(J4733=1,I4733="SBJ"),AND(J4733=1,I4733=0)),"?IN_FOCUS",IF(J4733&lt;=2,"?ACTIVATED",IF(J4733&lt;&gt;"","?FAMILIAR",IF(F4733="NEW",IF(ISNA(VLOOKUP(E4733,#REF!,1,FALSE())),"?TYPE_IDENTIFIABLE","?REFERENTIAL"),"_")))))</f>
        <v/>
      </c>
      <c r="H4733" s="27" t="str">
        <f aca="false">IF(J4733&lt;&gt;1,"",IF(I4733="SBJ","CB","?"))</f>
        <v/>
      </c>
      <c r="I4733" s="24" t="str">
        <f aca="false">IF(OR(E4733="",E4733="!!!",F4733="NEW"),"",INDEX(B33:B$4701,-1+SUMPRODUCT(MAX(ROW(E33:E$4701)*(E4733=E33:E$4701)))))</f>
        <v/>
      </c>
      <c r="J4733" s="24" t="str">
        <f aca="true">IF(OR(E4733="",E4733="!!!",F4733="NEW"),"",COUNTBLANK(OFFSET(A$1,,,SUMPRODUCT(MAX(ROW(E$2:E4733)*(E4733=E$2:E4733)))))-COUNTBLANK(OFFSET(A$1,,,SUMPRODUCT(MAX(ROW(E$1:E4732)*(E2=E$1:E4732))))))</f>
        <v/>
      </c>
      <c r="K4733" s="24" t="str">
        <f aca="false">IF(OR(E4733="",E4733="!!!",F4733="NEW"),"",INDEX(J$1:J4732,SUMPRODUCT(MAX(ROW(E$1:E4732)*(E4733=E$1:E4732)))))</f>
        <v/>
      </c>
      <c r="L4733" s="31"/>
    </row>
    <row r="4734" customFormat="false" ht="15" hidden="false" customHeight="false" outlineLevel="0" collapsed="false">
      <c r="A4734" s="20" t="s">
        <v>2455</v>
      </c>
      <c r="B4734" s="22" t="s">
        <v>1098</v>
      </c>
      <c r="C4734" s="22" t="s">
        <v>1171</v>
      </c>
      <c r="D4734" s="22" t="s">
        <v>1060</v>
      </c>
      <c r="E4734" s="23" t="str">
        <f aca="false">IF(D4734="?OLD","!!!","")</f>
        <v>!!!</v>
      </c>
      <c r="F4734" s="25" t="str">
        <f aca="false">IF(OR(E4734="",E4734="!!!"),"",IF(NOT(ISNA(VLOOKUP(E4734,E$1:E4733,1,FALSE()))),"OLD",IF(AND(E4734&lt;&gt;"",E4734&lt;&gt;"!!!"),"NEW","")))</f>
        <v/>
      </c>
      <c r="G4734" s="26" t="str">
        <f aca="false">IF(OR(E4734="",E4734="!!!"),"",IF(OR(J4734=0,AND(J4734=1,K4734=1),AND(J4734=1,I4734="SBJ"),AND(J4734=1,I4734=0)),"?IN_FOCUS",IF(J4734&lt;=2,"?ACTIVATED",IF(J4734&lt;&gt;"","?FAMILIAR",IF(F4734="NEW",IF(ISNA(VLOOKUP(E4734,#REF!,1,FALSE())),"?TYPE_IDENTIFIABLE","?REFERENTIAL"),"_")))))</f>
        <v/>
      </c>
      <c r="H4734" s="27" t="str">
        <f aca="false">IF(J4734&lt;&gt;1,"",IF(I4734="SBJ","CB","?"))</f>
        <v/>
      </c>
      <c r="I4734" s="24" t="str">
        <f aca="false">IF(OR(E4734="",E4734="!!!",F4734="NEW"),"",INDEX(B34:B$4701,-1+SUMPRODUCT(MAX(ROW(E34:E$4701)*(E4734=E34:E$4701)))))</f>
        <v/>
      </c>
      <c r="J4734" s="24" t="str">
        <f aca="true">IF(OR(E4734="",E4734="!!!",F4734="NEW"),"",COUNTBLANK(OFFSET(A$1,,,SUMPRODUCT(MAX(ROW(E$2:E4734)*(E4734=E$2:E4734)))))-COUNTBLANK(OFFSET(A$1,,,SUMPRODUCT(MAX(ROW(E$1:E4733)*(E2=E$1:E4733))))))</f>
        <v/>
      </c>
      <c r="K4734" s="24" t="str">
        <f aca="false">IF(OR(E4734="",E4734="!!!",F4734="NEW"),"",INDEX(J$1:J4733,SUMPRODUCT(MAX(ROW(E$1:E4733)*(E4734=E$1:E4733)))))</f>
        <v/>
      </c>
      <c r="L4734" s="31"/>
    </row>
    <row r="4735" customFormat="false" ht="15" hidden="false" customHeight="false" outlineLevel="0" collapsed="false">
      <c r="A4735" s="20" t="s">
        <v>1076</v>
      </c>
      <c r="E4735" s="23" t="str">
        <f aca="false">IF(D4735="?OLD","!!!","")</f>
        <v/>
      </c>
      <c r="F4735" s="25" t="str">
        <f aca="false">IF(OR(E4735="",E4735="!!!"),"",IF(NOT(ISNA(VLOOKUP(E4735,E$1:E4734,1,FALSE()))),"OLD",IF(AND(E4735&lt;&gt;"",E4735&lt;&gt;"!!!"),"NEW","")))</f>
        <v/>
      </c>
      <c r="G4735" s="26" t="str">
        <f aca="false">IF(OR(E4735="",E4735="!!!"),"",IF(OR(J4735=0,AND(J4735=1,K4735=1),AND(J4735=1,I4735="SBJ"),AND(J4735=1,I4735=0)),"?IN_FOCUS",IF(J4735&lt;=2,"?ACTIVATED",IF(J4735&lt;&gt;"","?FAMILIAR",IF(F4735="NEW",IF(ISNA(VLOOKUP(E4735,#REF!,1,FALSE())),"?TYPE_IDENTIFIABLE","?REFERENTIAL"),"_")))))</f>
        <v/>
      </c>
      <c r="H4735" s="27" t="str">
        <f aca="false">IF(J4735&lt;&gt;1,"",IF(I4735="SBJ","CB","?"))</f>
        <v/>
      </c>
      <c r="I4735" s="24" t="str">
        <f aca="false">IF(OR(E4735="",E4735="!!!",F4735="NEW"),"",INDEX(B35:B$4701,-1+SUMPRODUCT(MAX(ROW(E35:E$4701)*(E4735=E35:E$4701)))))</f>
        <v/>
      </c>
      <c r="J4735" s="24" t="str">
        <f aca="true">IF(OR(E4735="",E4735="!!!",F4735="NEW"),"",COUNTBLANK(OFFSET(A$1,,,SUMPRODUCT(MAX(ROW(E$2:E4735)*(E4735=E$2:E4735)))))-COUNTBLANK(OFFSET(A$1,,,SUMPRODUCT(MAX(ROW(E$1:E4734)*(E2=E$1:E4734))))))</f>
        <v/>
      </c>
      <c r="K4735" s="24" t="str">
        <f aca="false">IF(OR(E4735="",E4735="!!!",F4735="NEW"),"",INDEX(J$1:J4734,SUMPRODUCT(MAX(ROW(E$1:E4734)*(E4735=E$1:E4734)))))</f>
        <v/>
      </c>
      <c r="L4735" s="31"/>
    </row>
    <row r="4736" customFormat="false" ht="15" hidden="false" customHeight="false" outlineLevel="0" collapsed="false">
      <c r="A4736" s="20" t="s">
        <v>587</v>
      </c>
      <c r="E4736" s="23" t="str">
        <f aca="false">IF(D4736="?OLD","!!!","")</f>
        <v/>
      </c>
      <c r="F4736" s="25" t="str">
        <f aca="false">IF(OR(E4736="",E4736="!!!"),"",IF(NOT(ISNA(VLOOKUP(E4736,E$1:E4735,1,FALSE()))),"OLD",IF(AND(E4736&lt;&gt;"",E4736&lt;&gt;"!!!"),"NEW","")))</f>
        <v/>
      </c>
      <c r="G4736" s="26" t="str">
        <f aca="false">IF(OR(E4736="",E4736="!!!"),"",IF(OR(J4736=0,AND(J4736=1,K4736=1),AND(J4736=1,I4736="SBJ"),AND(J4736=1,I4736=0)),"?IN_FOCUS",IF(J4736&lt;=2,"?ACTIVATED",IF(J4736&lt;&gt;"","?FAMILIAR",IF(F4736="NEW",IF(ISNA(VLOOKUP(E4736,#REF!,1,FALSE())),"?TYPE_IDENTIFIABLE","?REFERENTIAL"),"_")))))</f>
        <v/>
      </c>
      <c r="H4736" s="27" t="str">
        <f aca="false">IF(J4736&lt;&gt;1,"",IF(I4736="SBJ","CB","?"))</f>
        <v/>
      </c>
      <c r="I4736" s="24" t="str">
        <f aca="false">IF(OR(E4736="",E4736="!!!",F4736="NEW"),"",INDEX(B36:B$4701,-1+SUMPRODUCT(MAX(ROW(E36:E$4701)*(E4736=E36:E$4701)))))</f>
        <v/>
      </c>
      <c r="J4736" s="24" t="str">
        <f aca="true">IF(OR(E4736="",E4736="!!!",F4736="NEW"),"",COUNTBLANK(OFFSET(A$1,,,SUMPRODUCT(MAX(ROW(E$2:E4736)*(E4736=E$2:E4736)))))-COUNTBLANK(OFFSET(A$1,,,SUMPRODUCT(MAX(ROW(E$1:E4735)*(E2=E$1:E4735))))))</f>
        <v/>
      </c>
      <c r="K4736" s="24" t="str">
        <f aca="false">IF(OR(E4736="",E4736="!!!",F4736="NEW"),"",INDEX(J$1:J4735,SUMPRODUCT(MAX(ROW(E$1:E4735)*(E4736=E$1:E4735)))))</f>
        <v/>
      </c>
      <c r="L4736" s="31"/>
    </row>
    <row r="4737" customFormat="false" ht="15" hidden="false" customHeight="false" outlineLevel="0" collapsed="false">
      <c r="A4737" s="20" t="s">
        <v>2456</v>
      </c>
      <c r="B4737" s="22" t="s">
        <v>1091</v>
      </c>
      <c r="E4737" s="23" t="str">
        <f aca="false">IF(D4737="?OLD","!!!","")</f>
        <v/>
      </c>
      <c r="F4737" s="25" t="str">
        <f aca="false">IF(OR(E4737="",E4737="!!!"),"",IF(NOT(ISNA(VLOOKUP(E4737,E$1:E4736,1,FALSE()))),"OLD",IF(AND(E4737&lt;&gt;"",E4737&lt;&gt;"!!!"),"NEW","")))</f>
        <v/>
      </c>
      <c r="G4737" s="26" t="str">
        <f aca="false">IF(OR(E4737="",E4737="!!!"),"",IF(OR(J4737=0,AND(J4737=1,K4737=1),AND(J4737=1,I4737="SBJ"),AND(J4737=1,I4737=0)),"?IN_FOCUS",IF(J4737&lt;=2,"?ACTIVATED",IF(J4737&lt;&gt;"","?FAMILIAR",IF(F4737="NEW",IF(ISNA(VLOOKUP(E4737,#REF!,1,FALSE())),"?TYPE_IDENTIFIABLE","?REFERENTIAL"),"_")))))</f>
        <v/>
      </c>
      <c r="H4737" s="27" t="str">
        <f aca="false">IF(J4737&lt;&gt;1,"",IF(I4737="SBJ","CB","?"))</f>
        <v/>
      </c>
      <c r="I4737" s="24" t="str">
        <f aca="false">IF(OR(E4737="",E4737="!!!",F4737="NEW"),"",INDEX(B37:B$4701,-1+SUMPRODUCT(MAX(ROW(E37:E$4701)*(E4737=E37:E$4701)))))</f>
        <v/>
      </c>
      <c r="J4737" s="24" t="str">
        <f aca="true">IF(OR(E4737="",E4737="!!!",F4737="NEW"),"",COUNTBLANK(OFFSET(A$1,,,SUMPRODUCT(MAX(ROW(E$2:E4737)*(E4737=E$2:E4737)))))-COUNTBLANK(OFFSET(A$1,,,SUMPRODUCT(MAX(ROW(E$1:E4736)*(E2=E$1:E4736))))))</f>
        <v/>
      </c>
      <c r="K4737" s="24" t="str">
        <f aca="false">IF(OR(E4737="",E4737="!!!",F4737="NEW"),"",INDEX(J$1:J4736,SUMPRODUCT(MAX(ROW(E$1:E4736)*(E4737=E$1:E4736)))))</f>
        <v/>
      </c>
      <c r="L4737" s="31"/>
    </row>
    <row r="4738" customFormat="false" ht="15" hidden="false" customHeight="false" outlineLevel="0" collapsed="false">
      <c r="A4738" s="20" t="s">
        <v>1128</v>
      </c>
      <c r="E4738" s="23" t="str">
        <f aca="false">IF(D4738="?OLD","!!!","")</f>
        <v/>
      </c>
      <c r="F4738" s="25" t="str">
        <f aca="false">IF(OR(E4738="",E4738="!!!"),"",IF(NOT(ISNA(VLOOKUP(E4738,E$1:E4737,1,FALSE()))),"OLD",IF(AND(E4738&lt;&gt;"",E4738&lt;&gt;"!!!"),"NEW","")))</f>
        <v/>
      </c>
      <c r="G4738" s="26" t="str">
        <f aca="false">IF(OR(E4738="",E4738="!!!"),"",IF(OR(J4738=0,AND(J4738=1,K4738=1),AND(J4738=1,I4738="SBJ"),AND(J4738=1,I4738=0)),"?IN_FOCUS",IF(J4738&lt;=2,"?ACTIVATED",IF(J4738&lt;&gt;"","?FAMILIAR",IF(F4738="NEW",IF(ISNA(VLOOKUP(E4738,#REF!,1,FALSE())),"?TYPE_IDENTIFIABLE","?REFERENTIAL"),"_")))))</f>
        <v/>
      </c>
      <c r="H4738" s="27" t="str">
        <f aca="false">IF(J4738&lt;&gt;1,"",IF(I4738="SBJ","CB","?"))</f>
        <v/>
      </c>
      <c r="I4738" s="24" t="str">
        <f aca="false">IF(OR(E4738="",E4738="!!!",F4738="NEW"),"",INDEX(B38:B$4701,-1+SUMPRODUCT(MAX(ROW(E38:E$4701)*(E4738=E38:E$4701)))))</f>
        <v/>
      </c>
      <c r="J4738" s="24" t="str">
        <f aca="true">IF(OR(E4738="",E4738="!!!",F4738="NEW"),"",COUNTBLANK(OFFSET(A$1,,,SUMPRODUCT(MAX(ROW(E$2:E4738)*(E4738=E$2:E4738)))))-COUNTBLANK(OFFSET(A$1,,,SUMPRODUCT(MAX(ROW(E$1:E4737)*(E2=E$1:E4737))))))</f>
        <v/>
      </c>
      <c r="K4738" s="24" t="str">
        <f aca="false">IF(OR(E4738="",E4738="!!!",F4738="NEW"),"",INDEX(J$1:J4737,SUMPRODUCT(MAX(ROW(E$1:E4737)*(E4738=E$1:E4737)))))</f>
        <v/>
      </c>
      <c r="L4738" s="31"/>
    </row>
    <row r="4739" customFormat="false" ht="15" hidden="false" customHeight="false" outlineLevel="0" collapsed="false">
      <c r="A4739" s="20" t="s">
        <v>2457</v>
      </c>
      <c r="E4739" s="23" t="str">
        <f aca="false">IF(D4739="?OLD","!!!","")</f>
        <v/>
      </c>
      <c r="F4739" s="25" t="str">
        <f aca="false">IF(OR(E4739="",E4739="!!!"),"",IF(NOT(ISNA(VLOOKUP(E4739,E$1:E4738,1,FALSE()))),"OLD",IF(AND(E4739&lt;&gt;"",E4739&lt;&gt;"!!!"),"NEW","")))</f>
        <v/>
      </c>
      <c r="G4739" s="26" t="str">
        <f aca="false">IF(OR(E4739="",E4739="!!!"),"",IF(OR(J4739=0,AND(J4739=1,K4739=1),AND(J4739=1,I4739="SBJ"),AND(J4739=1,I4739=0)),"?IN_FOCUS",IF(J4739&lt;=2,"?ACTIVATED",IF(J4739&lt;&gt;"","?FAMILIAR",IF(F4739="NEW",IF(ISNA(VLOOKUP(E4739,#REF!,1,FALSE())),"?TYPE_IDENTIFIABLE","?REFERENTIAL"),"_")))))</f>
        <v/>
      </c>
      <c r="H4739" s="27" t="str">
        <f aca="false">IF(J4739&lt;&gt;1,"",IF(I4739="SBJ","CB","?"))</f>
        <v/>
      </c>
      <c r="I4739" s="24" t="str">
        <f aca="false">IF(OR(E4739="",E4739="!!!",F4739="NEW"),"",INDEX(B39:B$4701,-1+SUMPRODUCT(MAX(ROW(E39:E$4701)*(E4739=E39:E$4701)))))</f>
        <v/>
      </c>
      <c r="J4739" s="24" t="str">
        <f aca="true">IF(OR(E4739="",E4739="!!!",F4739="NEW"),"",COUNTBLANK(OFFSET(A$1,,,SUMPRODUCT(MAX(ROW(E$2:E4739)*(E4739=E$2:E4739)))))-COUNTBLANK(OFFSET(A$1,,,SUMPRODUCT(MAX(ROW(E$1:E4738)*(E2=E$1:E4738))))))</f>
        <v/>
      </c>
      <c r="K4739" s="24" t="str">
        <f aca="false">IF(OR(E4739="",E4739="!!!",F4739="NEW"),"",INDEX(J$1:J4738,SUMPRODUCT(MAX(ROW(E$1:E4738)*(E4739=E$1:E4738)))))</f>
        <v/>
      </c>
      <c r="L4739" s="31"/>
    </row>
    <row r="4740" customFormat="false" ht="15" hidden="false" customHeight="false" outlineLevel="0" collapsed="false">
      <c r="A4740" s="20" t="s">
        <v>1092</v>
      </c>
      <c r="E4740" s="23" t="str">
        <f aca="false">IF(D4740="?OLD","!!!","")</f>
        <v/>
      </c>
      <c r="F4740" s="25" t="str">
        <f aca="false">IF(OR(E4740="",E4740="!!!"),"",IF(NOT(ISNA(VLOOKUP(E4740,E$1:E4739,1,FALSE()))),"OLD",IF(AND(E4740&lt;&gt;"",E4740&lt;&gt;"!!!"),"NEW","")))</f>
        <v/>
      </c>
      <c r="G4740" s="26" t="str">
        <f aca="false">IF(OR(E4740="",E4740="!!!"),"",IF(OR(J4740=0,AND(J4740=1,K4740=1),AND(J4740=1,I4740="SBJ"),AND(J4740=1,I4740=0)),"?IN_FOCUS",IF(J4740&lt;=2,"?ACTIVATED",IF(J4740&lt;&gt;"","?FAMILIAR",IF(F4740="NEW",IF(ISNA(VLOOKUP(E4740,#REF!,1,FALSE())),"?TYPE_IDENTIFIABLE","?REFERENTIAL"),"_")))))</f>
        <v/>
      </c>
      <c r="H4740" s="27" t="str">
        <f aca="false">IF(J4740&lt;&gt;1,"",IF(I4740="SBJ","CB","?"))</f>
        <v/>
      </c>
      <c r="I4740" s="24" t="str">
        <f aca="false">IF(OR(E4740="",E4740="!!!",F4740="NEW"),"",INDEX(B40:B$4701,-1+SUMPRODUCT(MAX(ROW(E40:E$4701)*(E4740=E40:E$4701)))))</f>
        <v/>
      </c>
      <c r="J4740" s="24" t="str">
        <f aca="true">IF(OR(E4740="",E4740="!!!",F4740="NEW"),"",COUNTBLANK(OFFSET(A$1,,,SUMPRODUCT(MAX(ROW(E$2:E4740)*(E4740=E$2:E4740)))))-COUNTBLANK(OFFSET(A$1,,,SUMPRODUCT(MAX(ROW(E$1:E4739)*(E2=E$1:E4739))))))</f>
        <v/>
      </c>
      <c r="K4740" s="24" t="str">
        <f aca="false">IF(OR(E4740="",E4740="!!!",F4740="NEW"),"",INDEX(J$1:J4739,SUMPRODUCT(MAX(ROW(E$1:E4739)*(E4740=E$1:E4739)))))</f>
        <v/>
      </c>
      <c r="L4740" s="31"/>
    </row>
    <row r="4741" customFormat="false" ht="15" hidden="false" customHeight="false" outlineLevel="0" collapsed="false">
      <c r="A4741" s="20" t="s">
        <v>1109</v>
      </c>
      <c r="E4741" s="23" t="str">
        <f aca="false">IF(D4741="?OLD","!!!","")</f>
        <v/>
      </c>
      <c r="F4741" s="25" t="str">
        <f aca="false">IF(OR(E4741="",E4741="!!!"),"",IF(NOT(ISNA(VLOOKUP(E4741,E$1:E4740,1,FALSE()))),"OLD",IF(AND(E4741&lt;&gt;"",E4741&lt;&gt;"!!!"),"NEW","")))</f>
        <v/>
      </c>
      <c r="G4741" s="26" t="str">
        <f aca="false">IF(OR(E4741="",E4741="!!!"),"",IF(OR(J4741=0,AND(J4741=1,K4741=1),AND(J4741=1,I4741="SBJ"),AND(J4741=1,I4741=0)),"?IN_FOCUS",IF(J4741&lt;=2,"?ACTIVATED",IF(J4741&lt;&gt;"","?FAMILIAR",IF(F4741="NEW",IF(ISNA(VLOOKUP(E4741,#REF!,1,FALSE())),"?TYPE_IDENTIFIABLE","?REFERENTIAL"),"_")))))</f>
        <v/>
      </c>
      <c r="H4741" s="27" t="str">
        <f aca="false">IF(J4741&lt;&gt;1,"",IF(I4741="SBJ","CB","?"))</f>
        <v/>
      </c>
      <c r="I4741" s="24" t="str">
        <f aca="false">IF(OR(E4741="",E4741="!!!",F4741="NEW"),"",INDEX(B41:B$4701,-1+SUMPRODUCT(MAX(ROW(E41:E$4701)*(E4741=E41:E$4701)))))</f>
        <v/>
      </c>
      <c r="J4741" s="24" t="str">
        <f aca="true">IF(OR(E4741="",E4741="!!!",F4741="NEW"),"",COUNTBLANK(OFFSET(A$1,,,SUMPRODUCT(MAX(ROW(E$2:E4741)*(E4741=E$2:E4741)))))-COUNTBLANK(OFFSET(A$1,,,SUMPRODUCT(MAX(ROW(E$1:E4740)*(E2=E$1:E4740))))))</f>
        <v/>
      </c>
      <c r="K4741" s="24" t="str">
        <f aca="false">IF(OR(E4741="",E4741="!!!",F4741="NEW"),"",INDEX(J$1:J4740,SUMPRODUCT(MAX(ROW(E$1:E4740)*(E4741=E$1:E4740)))))</f>
        <v/>
      </c>
      <c r="L4741" s="31"/>
    </row>
    <row r="4742" customFormat="false" ht="15" hidden="false" customHeight="false" outlineLevel="0" collapsed="false">
      <c r="A4742" s="20" t="s">
        <v>2458</v>
      </c>
      <c r="B4742" s="22" t="s">
        <v>1073</v>
      </c>
      <c r="C4742" s="22" t="s">
        <v>1150</v>
      </c>
      <c r="D4742" s="22" t="s">
        <v>1060</v>
      </c>
      <c r="E4742" s="23" t="str">
        <f aca="false">IF(D4742="?OLD","!!!","")</f>
        <v>!!!</v>
      </c>
      <c r="F4742" s="25" t="str">
        <f aca="false">IF(OR(E4742="",E4742="!!!"),"",IF(NOT(ISNA(VLOOKUP(E4742,E$1:E4741,1,FALSE()))),"OLD",IF(AND(E4742&lt;&gt;"",E4742&lt;&gt;"!!!"),"NEW","")))</f>
        <v/>
      </c>
      <c r="G4742" s="26" t="str">
        <f aca="false">IF(OR(E4742="",E4742="!!!"),"",IF(OR(J4742=0,AND(J4742=1,K4742=1),AND(J4742=1,I4742="SBJ"),AND(J4742=1,I4742=0)),"?IN_FOCUS",IF(J4742&lt;=2,"?ACTIVATED",IF(J4742&lt;&gt;"","?FAMILIAR",IF(F4742="NEW",IF(ISNA(VLOOKUP(E4742,#REF!,1,FALSE())),"?TYPE_IDENTIFIABLE","?REFERENTIAL"),"_")))))</f>
        <v/>
      </c>
      <c r="H4742" s="27" t="str">
        <f aca="false">IF(J4742&lt;&gt;1,"",IF(I4742="SBJ","CB","?"))</f>
        <v/>
      </c>
      <c r="I4742" s="24" t="str">
        <f aca="false">IF(OR(E4742="",E4742="!!!",F4742="NEW"),"",INDEX(B42:B$4701,-1+SUMPRODUCT(MAX(ROW(E42:E$4701)*(E4742=E42:E$4701)))))</f>
        <v/>
      </c>
      <c r="J4742" s="24" t="str">
        <f aca="true">IF(OR(E4742="",E4742="!!!",F4742="NEW"),"",COUNTBLANK(OFFSET(A$1,,,SUMPRODUCT(MAX(ROW(E$2:E4742)*(E4742=E$2:E4742)))))-COUNTBLANK(OFFSET(A$1,,,SUMPRODUCT(MAX(ROW(E$1:E4741)*(E2=E$1:E4741))))))</f>
        <v/>
      </c>
      <c r="K4742" s="24" t="str">
        <f aca="false">IF(OR(E4742="",E4742="!!!",F4742="NEW"),"",INDEX(J$1:J4741,SUMPRODUCT(MAX(ROW(E$1:E4741)*(E4742=E$1:E4741)))))</f>
        <v/>
      </c>
      <c r="L4742" s="31"/>
    </row>
    <row r="4743" customFormat="false" ht="15" hidden="false" customHeight="false" outlineLevel="0" collapsed="false">
      <c r="A4743" s="20" t="s">
        <v>1173</v>
      </c>
      <c r="E4743" s="23" t="str">
        <f aca="false">IF(D4743="?OLD","!!!","")</f>
        <v/>
      </c>
      <c r="F4743" s="25" t="str">
        <f aca="false">IF(OR(E4743="",E4743="!!!"),"",IF(NOT(ISNA(VLOOKUP(E4743,E$1:E4742,1,FALSE()))),"OLD",IF(AND(E4743&lt;&gt;"",E4743&lt;&gt;"!!!"),"NEW","")))</f>
        <v/>
      </c>
      <c r="G4743" s="26" t="str">
        <f aca="false">IF(OR(E4743="",E4743="!!!"),"",IF(OR(J4743=0,AND(J4743=1,K4743=1),AND(J4743=1,I4743="SBJ"),AND(J4743=1,I4743=0)),"?IN_FOCUS",IF(J4743&lt;=2,"?ACTIVATED",IF(J4743&lt;&gt;"","?FAMILIAR",IF(F4743="NEW",IF(ISNA(VLOOKUP(E4743,#REF!,1,FALSE())),"?TYPE_IDENTIFIABLE","?REFERENTIAL"),"_")))))</f>
        <v/>
      </c>
      <c r="H4743" s="27" t="str">
        <f aca="false">IF(J4743&lt;&gt;1,"",IF(I4743="SBJ","CB","?"))</f>
        <v/>
      </c>
      <c r="I4743" s="24" t="str">
        <f aca="false">IF(OR(E4743="",E4743="!!!",F4743="NEW"),"",INDEX(B43:B$4701,-1+SUMPRODUCT(MAX(ROW(E43:E$4701)*(E4743=E43:E$4701)))))</f>
        <v/>
      </c>
      <c r="J4743" s="24" t="str">
        <f aca="true">IF(OR(E4743="",E4743="!!!",F4743="NEW"),"",COUNTBLANK(OFFSET(A$1,,,SUMPRODUCT(MAX(ROW(E$2:E4743)*(E4743=E$2:E4743)))))-COUNTBLANK(OFFSET(A$1,,,SUMPRODUCT(MAX(ROW(E$1:E4742)*(E2=E$1:E4742))))))</f>
        <v/>
      </c>
      <c r="K4743" s="24" t="str">
        <f aca="false">IF(OR(E4743="",E4743="!!!",F4743="NEW"),"",INDEX(J$1:J4742,SUMPRODUCT(MAX(ROW(E$1:E4742)*(E4743=E$1:E4742)))))</f>
        <v/>
      </c>
      <c r="L4743" s="31"/>
    </row>
    <row r="4744" customFormat="false" ht="15" hidden="false" customHeight="false" outlineLevel="0" collapsed="false">
      <c r="A4744" s="20" t="s">
        <v>1125</v>
      </c>
      <c r="E4744" s="23" t="str">
        <f aca="false">IF(D4744="?OLD","!!!","")</f>
        <v/>
      </c>
      <c r="F4744" s="25" t="str">
        <f aca="false">IF(OR(E4744="",E4744="!!!"),"",IF(NOT(ISNA(VLOOKUP(E4744,E$1:E4743,1,FALSE()))),"OLD",IF(AND(E4744&lt;&gt;"",E4744&lt;&gt;"!!!"),"NEW","")))</f>
        <v/>
      </c>
      <c r="G4744" s="26" t="str">
        <f aca="false">IF(OR(E4744="",E4744="!!!"),"",IF(OR(J4744=0,AND(J4744=1,K4744=1),AND(J4744=1,I4744="SBJ"),AND(J4744=1,I4744=0)),"?IN_FOCUS",IF(J4744&lt;=2,"?ACTIVATED",IF(J4744&lt;&gt;"","?FAMILIAR",IF(F4744="NEW",IF(ISNA(VLOOKUP(E4744,#REF!,1,FALSE())),"?TYPE_IDENTIFIABLE","?REFERENTIAL"),"_")))))</f>
        <v/>
      </c>
      <c r="H4744" s="27" t="str">
        <f aca="false">IF(J4744&lt;&gt;1,"",IF(I4744="SBJ","CB","?"))</f>
        <v/>
      </c>
      <c r="I4744" s="24" t="str">
        <f aca="false">IF(OR(E4744="",E4744="!!!",F4744="NEW"),"",INDEX(B44:B$4701,-1+SUMPRODUCT(MAX(ROW(E44:E$4701)*(E4744=E44:E$4701)))))</f>
        <v/>
      </c>
      <c r="J4744" s="24" t="str">
        <f aca="true">IF(OR(E4744="",E4744="!!!",F4744="NEW"),"",COUNTBLANK(OFFSET(A$1,,,SUMPRODUCT(MAX(ROW(E$2:E4744)*(E4744=E$2:E4744)))))-COUNTBLANK(OFFSET(A$1,,,SUMPRODUCT(MAX(ROW(E$1:E4743)*(E2=E$1:E4743))))))</f>
        <v/>
      </c>
      <c r="K4744" s="24" t="str">
        <f aca="false">IF(OR(E4744="",E4744="!!!",F4744="NEW"),"",INDEX(J$1:J4743,SUMPRODUCT(MAX(ROW(E$1:E4743)*(E4744=E$1:E4743)))))</f>
        <v/>
      </c>
      <c r="L4744" s="31"/>
    </row>
    <row r="4745" customFormat="false" ht="15" hidden="false" customHeight="false" outlineLevel="0" collapsed="false">
      <c r="A4745" s="20" t="s">
        <v>1080</v>
      </c>
      <c r="B4745" s="22" t="s">
        <v>1197</v>
      </c>
      <c r="C4745" s="22" t="s">
        <v>1082</v>
      </c>
      <c r="D4745" s="22" t="s">
        <v>1060</v>
      </c>
      <c r="E4745" s="23" t="str">
        <f aca="false">IF(D4745="?OLD","!!!","")</f>
        <v>!!!</v>
      </c>
      <c r="F4745" s="25" t="str">
        <f aca="false">IF(OR(E4745="",E4745="!!!"),"",IF(NOT(ISNA(VLOOKUP(E4745,E$1:E4744,1,FALSE()))),"OLD",IF(AND(E4745&lt;&gt;"",E4745&lt;&gt;"!!!"),"NEW","")))</f>
        <v/>
      </c>
      <c r="G4745" s="26" t="str">
        <f aca="false">IF(OR(E4745="",E4745="!!!"),"",IF(OR(J4745=0,AND(J4745=1,K4745=1),AND(J4745=1,I4745="SBJ"),AND(J4745=1,I4745=0)),"?IN_FOCUS",IF(J4745&lt;=2,"?ACTIVATED",IF(J4745&lt;&gt;"","?FAMILIAR",IF(F4745="NEW",IF(ISNA(VLOOKUP(E4745,#REF!,1,FALSE())),"?TYPE_IDENTIFIABLE","?REFERENTIAL"),"_")))))</f>
        <v/>
      </c>
      <c r="H4745" s="27" t="str">
        <f aca="false">IF(J4745&lt;&gt;1,"",IF(I4745="SBJ","CB","?"))</f>
        <v/>
      </c>
      <c r="I4745" s="24" t="str">
        <f aca="false">IF(OR(E4745="",E4745="!!!",F4745="NEW"),"",INDEX(B45:B$4701,-1+SUMPRODUCT(MAX(ROW(E45:E$4701)*(E4745=E45:E$4701)))))</f>
        <v/>
      </c>
      <c r="J4745" s="24" t="str">
        <f aca="true">IF(OR(E4745="",E4745="!!!",F4745="NEW"),"",COUNTBLANK(OFFSET(A$1,,,SUMPRODUCT(MAX(ROW(E$2:E4745)*(E4745=E$2:E4745)))))-COUNTBLANK(OFFSET(A$1,,,SUMPRODUCT(MAX(ROW(E$1:E4744)*(E2=E$1:E4744))))))</f>
        <v/>
      </c>
      <c r="K4745" s="24" t="str">
        <f aca="false">IF(OR(E4745="",E4745="!!!",F4745="NEW"),"",INDEX(J$1:J4744,SUMPRODUCT(MAX(ROW(E$1:E4744)*(E4745=E$1:E4744)))))</f>
        <v/>
      </c>
      <c r="L4745" s="31"/>
    </row>
    <row r="4746" customFormat="false" ht="15" hidden="false" customHeight="false" outlineLevel="0" collapsed="false">
      <c r="A4746" s="20" t="s">
        <v>2039</v>
      </c>
      <c r="E4746" s="23" t="str">
        <f aca="false">IF(D4746="?OLD","!!!","")</f>
        <v/>
      </c>
      <c r="F4746" s="25" t="str">
        <f aca="false">IF(OR(E4746="",E4746="!!!"),"",IF(NOT(ISNA(VLOOKUP(E4746,E$1:E4745,1,FALSE()))),"OLD",IF(AND(E4746&lt;&gt;"",E4746&lt;&gt;"!!!"),"NEW","")))</f>
        <v/>
      </c>
      <c r="G4746" s="26" t="str">
        <f aca="false">IF(OR(E4746="",E4746="!!!"),"",IF(OR(J4746=0,AND(J4746=1,K4746=1),AND(J4746=1,I4746="SBJ"),AND(J4746=1,I4746=0)),"?IN_FOCUS",IF(J4746&lt;=2,"?ACTIVATED",IF(J4746&lt;&gt;"","?FAMILIAR",IF(F4746="NEW",IF(ISNA(VLOOKUP(E4746,#REF!,1,FALSE())),"?TYPE_IDENTIFIABLE","?REFERENTIAL"),"_")))))</f>
        <v/>
      </c>
      <c r="H4746" s="27" t="str">
        <f aca="false">IF(J4746&lt;&gt;1,"",IF(I4746="SBJ","CB","?"))</f>
        <v/>
      </c>
      <c r="I4746" s="24" t="str">
        <f aca="false">IF(OR(E4746="",E4746="!!!",F4746="NEW"),"",INDEX(B46:B$4701,-1+SUMPRODUCT(MAX(ROW(E46:E$4701)*(E4746=E46:E$4701)))))</f>
        <v/>
      </c>
      <c r="J4746" s="24" t="str">
        <f aca="true">IF(OR(E4746="",E4746="!!!",F4746="NEW"),"",COUNTBLANK(OFFSET(A$1,,,SUMPRODUCT(MAX(ROW(E$2:E4746)*(E4746=E$2:E4746)))))-COUNTBLANK(OFFSET(A$1,,,SUMPRODUCT(MAX(ROW(E$1:E4745)*(E2=E$1:E4745))))))</f>
        <v/>
      </c>
      <c r="K4746" s="24" t="str">
        <f aca="false">IF(OR(E4746="",E4746="!!!",F4746="NEW"),"",INDEX(J$1:J4745,SUMPRODUCT(MAX(ROW(E$1:E4745)*(E4746=E$1:E4745)))))</f>
        <v/>
      </c>
      <c r="L4746" s="31"/>
    </row>
    <row r="4747" customFormat="false" ht="15" hidden="false" customHeight="false" outlineLevel="0" collapsed="false">
      <c r="A4747" s="20" t="s">
        <v>1179</v>
      </c>
      <c r="B4747" s="22" t="s">
        <v>1102</v>
      </c>
      <c r="C4747" s="22" t="s">
        <v>1082</v>
      </c>
      <c r="D4747" s="22" t="s">
        <v>1060</v>
      </c>
      <c r="E4747" s="23" t="str">
        <f aca="false">IF(D4747="?OLD","!!!","")</f>
        <v>!!!</v>
      </c>
      <c r="F4747" s="25" t="str">
        <f aca="false">IF(OR(E4747="",E4747="!!!"),"",IF(NOT(ISNA(VLOOKUP(E4747,E$1:E4746,1,FALSE()))),"OLD",IF(AND(E4747&lt;&gt;"",E4747&lt;&gt;"!!!"),"NEW","")))</f>
        <v/>
      </c>
      <c r="G4747" s="26" t="str">
        <f aca="false">IF(OR(E4747="",E4747="!!!"),"",IF(OR(J4747=0,AND(J4747=1,K4747=1),AND(J4747=1,I4747="SBJ"),AND(J4747=1,I4747=0)),"?IN_FOCUS",IF(J4747&lt;=2,"?ACTIVATED",IF(J4747&lt;&gt;"","?FAMILIAR",IF(F4747="NEW",IF(ISNA(VLOOKUP(E4747,#REF!,1,FALSE())),"?TYPE_IDENTIFIABLE","?REFERENTIAL"),"_")))))</f>
        <v/>
      </c>
      <c r="H4747" s="27" t="str">
        <f aca="false">IF(J4747&lt;&gt;1,"",IF(I4747="SBJ","CB","?"))</f>
        <v/>
      </c>
      <c r="I4747" s="24" t="str">
        <f aca="false">IF(OR(E4747="",E4747="!!!",F4747="NEW"),"",INDEX(B47:B$4701,-1+SUMPRODUCT(MAX(ROW(E47:E$4701)*(E4747=E47:E$4701)))))</f>
        <v/>
      </c>
      <c r="J4747" s="24" t="str">
        <f aca="true">IF(OR(E4747="",E4747="!!!",F4747="NEW"),"",COUNTBLANK(OFFSET(A$1,,,SUMPRODUCT(MAX(ROW(E$2:E4747)*(E4747=E$2:E4747)))))-COUNTBLANK(OFFSET(A$1,,,SUMPRODUCT(MAX(ROW(E$1:E4746)*(E2=E$1:E4746))))))</f>
        <v/>
      </c>
      <c r="K4747" s="24" t="str">
        <f aca="false">IF(OR(E4747="",E4747="!!!",F4747="NEW"),"",INDEX(J$1:J4746,SUMPRODUCT(MAX(ROW(E$1:E4746)*(E4747=E$1:E4746)))))</f>
        <v/>
      </c>
      <c r="L4747" s="31"/>
    </row>
    <row r="4748" customFormat="false" ht="15" hidden="false" customHeight="false" outlineLevel="0" collapsed="false">
      <c r="A4748" s="20" t="s">
        <v>923</v>
      </c>
      <c r="E4748" s="23" t="str">
        <f aca="false">IF(D4748="?OLD","!!!","")</f>
        <v/>
      </c>
      <c r="F4748" s="25" t="str">
        <f aca="false">IF(OR(E4748="",E4748="!!!"),"",IF(NOT(ISNA(VLOOKUP(E4748,E$1:E4747,1,FALSE()))),"OLD",IF(AND(E4748&lt;&gt;"",E4748&lt;&gt;"!!!"),"NEW","")))</f>
        <v/>
      </c>
      <c r="G4748" s="26" t="str">
        <f aca="false">IF(OR(E4748="",E4748="!!!"),"",IF(OR(J4748=0,AND(J4748=1,K4748=1),AND(J4748=1,I4748="SBJ"),AND(J4748=1,I4748=0)),"?IN_FOCUS",IF(J4748&lt;=2,"?ACTIVATED",IF(J4748&lt;&gt;"","?FAMILIAR",IF(F4748="NEW",IF(ISNA(VLOOKUP(E4748,#REF!,1,FALSE())),"?TYPE_IDENTIFIABLE","?REFERENTIAL"),"_")))))</f>
        <v/>
      </c>
      <c r="H4748" s="27" t="str">
        <f aca="false">IF(J4748&lt;&gt;1,"",IF(I4748="SBJ","CB","?"))</f>
        <v/>
      </c>
      <c r="I4748" s="24" t="str">
        <f aca="false">IF(OR(E4748="",E4748="!!!",F4748="NEW"),"",INDEX(B48:B$4701,-1+SUMPRODUCT(MAX(ROW(E48:E$4701)*(E4748=E48:E$4701)))))</f>
        <v/>
      </c>
      <c r="J4748" s="24" t="str">
        <f aca="true">IF(OR(E4748="",E4748="!!!",F4748="NEW"),"",COUNTBLANK(OFFSET(A$1,,,SUMPRODUCT(MAX(ROW(E$2:E4748)*(E4748=E$2:E4748)))))-COUNTBLANK(OFFSET(A$1,,,SUMPRODUCT(MAX(ROW(E$1:E4747)*(E2=E$1:E4747))))))</f>
        <v/>
      </c>
      <c r="K4748" s="24" t="str">
        <f aca="false">IF(OR(E4748="",E4748="!!!",F4748="NEW"),"",INDEX(J$1:J4747,SUMPRODUCT(MAX(ROW(E$1:E4747)*(E4748=E$1:E4747)))))</f>
        <v/>
      </c>
      <c r="L4748" s="31"/>
    </row>
    <row r="4749" customFormat="false" ht="15" hidden="false" customHeight="false" outlineLevel="0" collapsed="false">
      <c r="A4749" s="20"/>
    </row>
    <row r="4750" customFormat="false" ht="15" hidden="false" customHeight="false" outlineLevel="0" collapsed="false">
      <c r="A4750" s="20" t="s">
        <v>2459</v>
      </c>
    </row>
    <row r="4751" customFormat="false" ht="15" hidden="false" customHeight="false" outlineLevel="0" collapsed="false">
      <c r="A4751" s="20" t="s">
        <v>2460</v>
      </c>
      <c r="E4751" s="23" t="str">
        <f aca="false">IF(D4751="?OLD","!!!","")</f>
        <v/>
      </c>
      <c r="F4751" s="25" t="str">
        <f aca="false">IF(OR(E4751="",E4751="!!!"),"",IF(NOT(ISNA(VLOOKUP(E4751,E$1:E4750,1,FALSE()))),"OLD",IF(AND(E4751&lt;&gt;"",E4751&lt;&gt;"!!!"),"NEW","")))</f>
        <v/>
      </c>
      <c r="G4751" s="26" t="str">
        <f aca="false">IF(OR(E4751="",E4751="!!!"),"",IF(OR(J4751=0,AND(J4751=1,K4751=1),AND(J4751=1,I4751="SBJ"),AND(J4751=1,I4751=0)),"?IN_FOCUS",IF(J4751&lt;=2,"?ACTIVATED",IF(J4751&lt;&gt;"","?FAMILIAR",IF(F4751="NEW",IF(ISNA(VLOOKUP(E4751,#REF!,1,FALSE())),"?TYPE_IDENTIFIABLE","?REFERENTIAL"),"_")))))</f>
        <v/>
      </c>
      <c r="H4751" s="27" t="str">
        <f aca="false">IF(J4751&lt;&gt;1,"",IF(I4751="SBJ","CB","?"))</f>
        <v/>
      </c>
      <c r="I4751" s="24" t="str">
        <f aca="false">IF(OR(E4751="",E4751="!!!",F4751="NEW"),"",INDEX(B2:B$4750,-1+SUMPRODUCT(MAX(ROW(E2:E$4750)*(E4751=E2:E$4750)))))</f>
        <v/>
      </c>
      <c r="J4751" s="24" t="str">
        <f aca="true">IF(OR(E4751="",E4751="!!!",F4751="NEW"),"",COUNTBLANK(OFFSET(A$1,,,SUMPRODUCT(MAX(ROW(E$2:E4751)*(E4751=E$2:E4751)))))-COUNTBLANK(OFFSET(A$1,,,SUMPRODUCT(MAX(ROW(E$1:E4750)*(E2=E$1:E4750))))))</f>
        <v/>
      </c>
      <c r="K4751" s="24" t="str">
        <f aca="false">IF(OR(E4751="",E4751="!!!",F4751="NEW"),"",INDEX(J$1:J4750,SUMPRODUCT(MAX(ROW(E$1:E4750)*(E4751=E$1:E4750)))))</f>
        <v/>
      </c>
      <c r="L4751" s="31"/>
    </row>
    <row r="4752" customFormat="false" ht="15" hidden="false" customHeight="false" outlineLevel="0" collapsed="false">
      <c r="A4752" s="20" t="s">
        <v>1199</v>
      </c>
      <c r="E4752" s="23" t="str">
        <f aca="false">IF(D4752="?OLD","!!!","")</f>
        <v/>
      </c>
      <c r="F4752" s="25" t="str">
        <f aca="false">IF(OR(E4752="",E4752="!!!"),"",IF(NOT(ISNA(VLOOKUP(E4752,E$1:E4751,1,FALSE()))),"OLD",IF(AND(E4752&lt;&gt;"",E4752&lt;&gt;"!!!"),"NEW","")))</f>
        <v/>
      </c>
      <c r="G4752" s="26" t="str">
        <f aca="false">IF(OR(E4752="",E4752="!!!"),"",IF(OR(J4752=0,AND(J4752=1,K4752=1),AND(J4752=1,I4752="SBJ"),AND(J4752=1,I4752=0)),"?IN_FOCUS",IF(J4752&lt;=2,"?ACTIVATED",IF(J4752&lt;&gt;"","?FAMILIAR",IF(F4752="NEW",IF(ISNA(VLOOKUP(E4752,#REF!,1,FALSE())),"?TYPE_IDENTIFIABLE","?REFERENTIAL"),"_")))))</f>
        <v/>
      </c>
      <c r="H4752" s="27" t="str">
        <f aca="false">IF(J4752&lt;&gt;1,"",IF(I4752="SBJ","CB","?"))</f>
        <v/>
      </c>
      <c r="I4752" s="24" t="str">
        <f aca="false">IF(OR(E4752="",E4752="!!!",F4752="NEW"),"",INDEX(B3:B$4750,-1+SUMPRODUCT(MAX(ROW(E3:E$4750)*(E4752=E3:E$4750)))))</f>
        <v/>
      </c>
      <c r="J4752" s="24" t="str">
        <f aca="true">IF(OR(E4752="",E4752="!!!",F4752="NEW"),"",COUNTBLANK(OFFSET(A$1,,,SUMPRODUCT(MAX(ROW(E$2:E4752)*(E4752=E$2:E4752)))))-COUNTBLANK(OFFSET(A$1,,,SUMPRODUCT(MAX(ROW(E$1:E4751)*(E2=E$1:E4751))))))</f>
        <v/>
      </c>
      <c r="K4752" s="24" t="str">
        <f aca="false">IF(OR(E4752="",E4752="!!!",F4752="NEW"),"",INDEX(J$1:J4751,SUMPRODUCT(MAX(ROW(E$1:E4751)*(E4752=E$1:E4751)))))</f>
        <v/>
      </c>
      <c r="L4752" s="31"/>
    </row>
    <row r="4753" customFormat="false" ht="15" hidden="false" customHeight="false" outlineLevel="0" collapsed="false">
      <c r="A4753" s="20" t="s">
        <v>1186</v>
      </c>
      <c r="B4753" s="22" t="s">
        <v>1058</v>
      </c>
      <c r="C4753" s="22" t="s">
        <v>1082</v>
      </c>
      <c r="D4753" s="22" t="s">
        <v>1060</v>
      </c>
      <c r="E4753" s="23" t="str">
        <f aca="false">IF(D4753="?OLD","!!!","")</f>
        <v>!!!</v>
      </c>
      <c r="F4753" s="25" t="str">
        <f aca="false">IF(OR(E4753="",E4753="!!!"),"",IF(NOT(ISNA(VLOOKUP(E4753,E$1:E4752,1,FALSE()))),"OLD",IF(AND(E4753&lt;&gt;"",E4753&lt;&gt;"!!!"),"NEW","")))</f>
        <v/>
      </c>
      <c r="G4753" s="26" t="str">
        <f aca="false">IF(OR(E4753="",E4753="!!!"),"",IF(OR(J4753=0,AND(J4753=1,K4753=1),AND(J4753=1,I4753="SBJ"),AND(J4753=1,I4753=0)),"?IN_FOCUS",IF(J4753&lt;=2,"?ACTIVATED",IF(J4753&lt;&gt;"","?FAMILIAR",IF(F4753="NEW",IF(ISNA(VLOOKUP(E4753,#REF!,1,FALSE())),"?TYPE_IDENTIFIABLE","?REFERENTIAL"),"_")))))</f>
        <v/>
      </c>
      <c r="H4753" s="27" t="str">
        <f aca="false">IF(J4753&lt;&gt;1,"",IF(I4753="SBJ","CB","?"))</f>
        <v/>
      </c>
      <c r="I4753" s="24" t="str">
        <f aca="false">IF(OR(E4753="",E4753="!!!",F4753="NEW"),"",INDEX(B4:B$4750,-1+SUMPRODUCT(MAX(ROW(E4:E$4750)*(E4753=E4:E$4750)))))</f>
        <v/>
      </c>
      <c r="J4753" s="24" t="str">
        <f aca="true">IF(OR(E4753="",E4753="!!!",F4753="NEW"),"",COUNTBLANK(OFFSET(A$1,,,SUMPRODUCT(MAX(ROW(E$2:E4753)*(E4753=E$2:E4753)))))-COUNTBLANK(OFFSET(A$1,,,SUMPRODUCT(MAX(ROW(E$1:E4752)*(E2=E$1:E4752))))))</f>
        <v/>
      </c>
      <c r="K4753" s="24" t="str">
        <f aca="false">IF(OR(E4753="",E4753="!!!",F4753="NEW"),"",INDEX(J$1:J4752,SUMPRODUCT(MAX(ROW(E$1:E4752)*(E4753=E$1:E4752)))))</f>
        <v/>
      </c>
      <c r="L4753" s="31"/>
    </row>
    <row r="4754" customFormat="false" ht="15" hidden="false" customHeight="false" outlineLevel="0" collapsed="false">
      <c r="A4754" s="20" t="s">
        <v>1544</v>
      </c>
      <c r="E4754" s="23" t="str">
        <f aca="false">IF(D4754="?OLD","!!!","")</f>
        <v/>
      </c>
      <c r="F4754" s="25" t="str">
        <f aca="false">IF(OR(E4754="",E4754="!!!"),"",IF(NOT(ISNA(VLOOKUP(E4754,E$1:E4753,1,FALSE()))),"OLD",IF(AND(E4754&lt;&gt;"",E4754&lt;&gt;"!!!"),"NEW","")))</f>
        <v/>
      </c>
      <c r="G4754" s="26" t="str">
        <f aca="false">IF(OR(E4754="",E4754="!!!"),"",IF(OR(J4754=0,AND(J4754=1,K4754=1),AND(J4754=1,I4754="SBJ"),AND(J4754=1,I4754=0)),"?IN_FOCUS",IF(J4754&lt;=2,"?ACTIVATED",IF(J4754&lt;&gt;"","?FAMILIAR",IF(F4754="NEW",IF(ISNA(VLOOKUP(E4754,#REF!,1,FALSE())),"?TYPE_IDENTIFIABLE","?REFERENTIAL"),"_")))))</f>
        <v/>
      </c>
      <c r="H4754" s="27" t="str">
        <f aca="false">IF(J4754&lt;&gt;1,"",IF(I4754="SBJ","CB","?"))</f>
        <v/>
      </c>
      <c r="I4754" s="24" t="str">
        <f aca="false">IF(OR(E4754="",E4754="!!!",F4754="NEW"),"",INDEX(B5:B$4750,-1+SUMPRODUCT(MAX(ROW(E5:E$4750)*(E4754=E5:E$4750)))))</f>
        <v/>
      </c>
      <c r="J4754" s="24" t="str">
        <f aca="true">IF(OR(E4754="",E4754="!!!",F4754="NEW"),"",COUNTBLANK(OFFSET(A$1,,,SUMPRODUCT(MAX(ROW(E$2:E4754)*(E4754=E$2:E4754)))))-COUNTBLANK(OFFSET(A$1,,,SUMPRODUCT(MAX(ROW(E$1:E4753)*(E2=E$1:E4753))))))</f>
        <v/>
      </c>
      <c r="K4754" s="24" t="str">
        <f aca="false">IF(OR(E4754="",E4754="!!!",F4754="NEW"),"",INDEX(J$1:J4753,SUMPRODUCT(MAX(ROW(E$1:E4753)*(E4754=E$1:E4753)))))</f>
        <v/>
      </c>
      <c r="L4754" s="31"/>
    </row>
    <row r="4755" customFormat="false" ht="15" hidden="false" customHeight="false" outlineLevel="0" collapsed="false">
      <c r="A4755" s="20" t="s">
        <v>1085</v>
      </c>
      <c r="E4755" s="23" t="str">
        <f aca="false">IF(D4755="?OLD","!!!","")</f>
        <v/>
      </c>
      <c r="F4755" s="25" t="str">
        <f aca="false">IF(OR(E4755="",E4755="!!!"),"",IF(NOT(ISNA(VLOOKUP(E4755,E$1:E4754,1,FALSE()))),"OLD",IF(AND(E4755&lt;&gt;"",E4755&lt;&gt;"!!!"),"NEW","")))</f>
        <v/>
      </c>
      <c r="G4755" s="26" t="str">
        <f aca="false">IF(OR(E4755="",E4755="!!!"),"",IF(OR(J4755=0,AND(J4755=1,K4755=1),AND(J4755=1,I4755="SBJ"),AND(J4755=1,I4755=0)),"?IN_FOCUS",IF(J4755&lt;=2,"?ACTIVATED",IF(J4755&lt;&gt;"","?FAMILIAR",IF(F4755="NEW",IF(ISNA(VLOOKUP(E4755,#REF!,1,FALSE())),"?TYPE_IDENTIFIABLE","?REFERENTIAL"),"_")))))</f>
        <v/>
      </c>
      <c r="H4755" s="27" t="str">
        <f aca="false">IF(J4755&lt;&gt;1,"",IF(I4755="SBJ","CB","?"))</f>
        <v/>
      </c>
      <c r="I4755" s="24" t="str">
        <f aca="false">IF(OR(E4755="",E4755="!!!",F4755="NEW"),"",INDEX(B6:B$4750,-1+SUMPRODUCT(MAX(ROW(E6:E$4750)*(E4755=E6:E$4750)))))</f>
        <v/>
      </c>
      <c r="J4755" s="24" t="str">
        <f aca="true">IF(OR(E4755="",E4755="!!!",F4755="NEW"),"",COUNTBLANK(OFFSET(A$1,,,SUMPRODUCT(MAX(ROW(E$2:E4755)*(E4755=E$2:E4755)))))-COUNTBLANK(OFFSET(A$1,,,SUMPRODUCT(MAX(ROW(E$1:E4754)*(E2=E$1:E4754))))))</f>
        <v/>
      </c>
      <c r="K4755" s="24" t="str">
        <f aca="false">IF(OR(E4755="",E4755="!!!",F4755="NEW"),"",INDEX(J$1:J4754,SUMPRODUCT(MAX(ROW(E$1:E4754)*(E4755=E$1:E4754)))))</f>
        <v/>
      </c>
      <c r="L4755" s="31"/>
    </row>
    <row r="4756" customFormat="false" ht="15" hidden="false" customHeight="false" outlineLevel="0" collapsed="false">
      <c r="A4756" s="20" t="s">
        <v>986</v>
      </c>
      <c r="B4756" s="22" t="s">
        <v>1081</v>
      </c>
      <c r="C4756" s="22" t="s">
        <v>1087</v>
      </c>
      <c r="E4756" s="23" t="str">
        <f aca="false">IF(D4756="?OLD","!!!","")</f>
        <v/>
      </c>
      <c r="F4756" s="25" t="str">
        <f aca="false">IF(OR(E4756="",E4756="!!!"),"",IF(NOT(ISNA(VLOOKUP(E4756,E$1:E4755,1,FALSE()))),"OLD",IF(AND(E4756&lt;&gt;"",E4756&lt;&gt;"!!!"),"NEW","")))</f>
        <v/>
      </c>
      <c r="G4756" s="26" t="str">
        <f aca="false">IF(OR(E4756="",E4756="!!!"),"",IF(OR(J4756=0,AND(J4756=1,K4756=1),AND(J4756=1,I4756="SBJ"),AND(J4756=1,I4756=0)),"?IN_FOCUS",IF(J4756&lt;=2,"?ACTIVATED",IF(J4756&lt;&gt;"","?FAMILIAR",IF(F4756="NEW",IF(ISNA(VLOOKUP(E4756,#REF!,1,FALSE())),"?TYPE_IDENTIFIABLE","?REFERENTIAL"),"_")))))</f>
        <v/>
      </c>
      <c r="H4756" s="27" t="str">
        <f aca="false">IF(J4756&lt;&gt;1,"",IF(I4756="SBJ","CB","?"))</f>
        <v/>
      </c>
      <c r="I4756" s="24" t="str">
        <f aca="false">IF(OR(E4756="",E4756="!!!",F4756="NEW"),"",INDEX(B7:B$4750,-1+SUMPRODUCT(MAX(ROW(E7:E$4750)*(E4756=E7:E$4750)))))</f>
        <v/>
      </c>
      <c r="J4756" s="24" t="str">
        <f aca="true">IF(OR(E4756="",E4756="!!!",F4756="NEW"),"",COUNTBLANK(OFFSET(A$1,,,SUMPRODUCT(MAX(ROW(E$2:E4756)*(E4756=E$2:E4756)))))-COUNTBLANK(OFFSET(A$1,,,SUMPRODUCT(MAX(ROW(E$1:E4755)*(E2=E$1:E4755))))))</f>
        <v/>
      </c>
      <c r="K4756" s="24" t="str">
        <f aca="false">IF(OR(E4756="",E4756="!!!",F4756="NEW"),"",INDEX(J$1:J4755,SUMPRODUCT(MAX(ROW(E$1:E4755)*(E4756=E$1:E4755)))))</f>
        <v/>
      </c>
      <c r="L4756" s="31"/>
    </row>
    <row r="4757" customFormat="false" ht="15" hidden="false" customHeight="false" outlineLevel="0" collapsed="false">
      <c r="A4757" s="20" t="s">
        <v>1089</v>
      </c>
      <c r="E4757" s="23" t="str">
        <f aca="false">IF(D4757="?OLD","!!!","")</f>
        <v/>
      </c>
      <c r="F4757" s="25" t="str">
        <f aca="false">IF(OR(E4757="",E4757="!!!"),"",IF(NOT(ISNA(VLOOKUP(E4757,E$1:E4756,1,FALSE()))),"OLD",IF(AND(E4757&lt;&gt;"",E4757&lt;&gt;"!!!"),"NEW","")))</f>
        <v/>
      </c>
      <c r="G4757" s="26" t="str">
        <f aca="false">IF(OR(E4757="",E4757="!!!"),"",IF(OR(J4757=0,AND(J4757=1,K4757=1),AND(J4757=1,I4757="SBJ"),AND(J4757=1,I4757=0)),"?IN_FOCUS",IF(J4757&lt;=2,"?ACTIVATED",IF(J4757&lt;&gt;"","?FAMILIAR",IF(F4757="NEW",IF(ISNA(VLOOKUP(E4757,#REF!,1,FALSE())),"?TYPE_IDENTIFIABLE","?REFERENTIAL"),"_")))))</f>
        <v/>
      </c>
      <c r="H4757" s="27" t="str">
        <f aca="false">IF(J4757&lt;&gt;1,"",IF(I4757="SBJ","CB","?"))</f>
        <v/>
      </c>
      <c r="I4757" s="24" t="str">
        <f aca="false">IF(OR(E4757="",E4757="!!!",F4757="NEW"),"",INDEX(B8:B$4750,-1+SUMPRODUCT(MAX(ROW(E8:E$4750)*(E4757=E8:E$4750)))))</f>
        <v/>
      </c>
      <c r="J4757" s="24" t="str">
        <f aca="true">IF(OR(E4757="",E4757="!!!",F4757="NEW"),"",COUNTBLANK(OFFSET(A$1,,,SUMPRODUCT(MAX(ROW(E$2:E4757)*(E4757=E$2:E4757)))))-COUNTBLANK(OFFSET(A$1,,,SUMPRODUCT(MAX(ROW(E$1:E4756)*(E2=E$1:E4756))))))</f>
        <v/>
      </c>
      <c r="K4757" s="24" t="str">
        <f aca="false">IF(OR(E4757="",E4757="!!!",F4757="NEW"),"",INDEX(J$1:J4756,SUMPRODUCT(MAX(ROW(E$1:E4756)*(E4757=E$1:E4756)))))</f>
        <v/>
      </c>
      <c r="L4757" s="31"/>
    </row>
    <row r="4758" customFormat="false" ht="15" hidden="false" customHeight="false" outlineLevel="0" collapsed="false">
      <c r="A4758" s="20" t="s">
        <v>2150</v>
      </c>
      <c r="B4758" s="22" t="s">
        <v>1091</v>
      </c>
      <c r="C4758" s="22" t="s">
        <v>2151</v>
      </c>
      <c r="E4758" s="23" t="str">
        <f aca="false">IF(D4758="?OLD","!!!","")</f>
        <v/>
      </c>
      <c r="F4758" s="25" t="str">
        <f aca="false">IF(OR(E4758="",E4758="!!!"),"",IF(NOT(ISNA(VLOOKUP(E4758,E$1:E4757,1,FALSE()))),"OLD",IF(AND(E4758&lt;&gt;"",E4758&lt;&gt;"!!!"),"NEW","")))</f>
        <v/>
      </c>
      <c r="G4758" s="26" t="str">
        <f aca="false">IF(OR(E4758="",E4758="!!!"),"",IF(OR(J4758=0,AND(J4758=1,K4758=1),AND(J4758=1,I4758="SBJ"),AND(J4758=1,I4758=0)),"?IN_FOCUS",IF(J4758&lt;=2,"?ACTIVATED",IF(J4758&lt;&gt;"","?FAMILIAR",IF(F4758="NEW",IF(ISNA(VLOOKUP(E4758,#REF!,1,FALSE())),"?TYPE_IDENTIFIABLE","?REFERENTIAL"),"_")))))</f>
        <v/>
      </c>
      <c r="H4758" s="27" t="str">
        <f aca="false">IF(J4758&lt;&gt;1,"",IF(I4758="SBJ","CB","?"))</f>
        <v/>
      </c>
      <c r="I4758" s="24" t="str">
        <f aca="false">IF(OR(E4758="",E4758="!!!",F4758="NEW"),"",INDEX(B9:B$4750,-1+SUMPRODUCT(MAX(ROW(E9:E$4750)*(E4758=E9:E$4750)))))</f>
        <v/>
      </c>
      <c r="J4758" s="24" t="str">
        <f aca="true">IF(OR(E4758="",E4758="!!!",F4758="NEW"),"",COUNTBLANK(OFFSET(A$1,,,SUMPRODUCT(MAX(ROW(E$2:E4758)*(E4758=E$2:E4758)))))-COUNTBLANK(OFFSET(A$1,,,SUMPRODUCT(MAX(ROW(E$1:E4757)*(E2=E$1:E4757))))))</f>
        <v/>
      </c>
      <c r="K4758" s="24" t="str">
        <f aca="false">IF(OR(E4758="",E4758="!!!",F4758="NEW"),"",INDEX(J$1:J4757,SUMPRODUCT(MAX(ROW(E$1:E4757)*(E4758=E$1:E4757)))))</f>
        <v/>
      </c>
      <c r="L4758" s="31"/>
    </row>
    <row r="4759" customFormat="false" ht="15" hidden="false" customHeight="false" outlineLevel="0" collapsed="false">
      <c r="A4759" s="20" t="s">
        <v>1164</v>
      </c>
      <c r="E4759" s="23" t="str">
        <f aca="false">IF(D4759="?OLD","!!!","")</f>
        <v/>
      </c>
      <c r="F4759" s="25" t="str">
        <f aca="false">IF(OR(E4759="",E4759="!!!"),"",IF(NOT(ISNA(VLOOKUP(E4759,E$1:E4758,1,FALSE()))),"OLD",IF(AND(E4759&lt;&gt;"",E4759&lt;&gt;"!!!"),"NEW","")))</f>
        <v/>
      </c>
      <c r="G4759" s="26" t="str">
        <f aca="false">IF(OR(E4759="",E4759="!!!"),"",IF(OR(J4759=0,AND(J4759=1,K4759=1),AND(J4759=1,I4759="SBJ"),AND(J4759=1,I4759=0)),"?IN_FOCUS",IF(J4759&lt;=2,"?ACTIVATED",IF(J4759&lt;&gt;"","?FAMILIAR",IF(F4759="NEW",IF(ISNA(VLOOKUP(E4759,#REF!,1,FALSE())),"?TYPE_IDENTIFIABLE","?REFERENTIAL"),"_")))))</f>
        <v/>
      </c>
      <c r="H4759" s="27" t="str">
        <f aca="false">IF(J4759&lt;&gt;1,"",IF(I4759="SBJ","CB","?"))</f>
        <v/>
      </c>
      <c r="I4759" s="24" t="str">
        <f aca="false">IF(OR(E4759="",E4759="!!!",F4759="NEW"),"",INDEX(B10:B$4750,-1+SUMPRODUCT(MAX(ROW(E10:E$4750)*(E4759=E10:E$4750)))))</f>
        <v/>
      </c>
      <c r="J4759" s="24" t="str">
        <f aca="true">IF(OR(E4759="",E4759="!!!",F4759="NEW"),"",COUNTBLANK(OFFSET(A$1,,,SUMPRODUCT(MAX(ROW(E$2:E4759)*(E4759=E$2:E4759)))))-COUNTBLANK(OFFSET(A$1,,,SUMPRODUCT(MAX(ROW(E$1:E4758)*(E2=E$1:E4758))))))</f>
        <v/>
      </c>
      <c r="K4759" s="24" t="str">
        <f aca="false">IF(OR(E4759="",E4759="!!!",F4759="NEW"),"",INDEX(J$1:J4758,SUMPRODUCT(MAX(ROW(E$1:E4758)*(E4759=E$1:E4758)))))</f>
        <v/>
      </c>
      <c r="L4759" s="31"/>
    </row>
    <row r="4760" customFormat="false" ht="15" hidden="false" customHeight="false" outlineLevel="0" collapsed="false">
      <c r="A4760" s="20" t="s">
        <v>1267</v>
      </c>
      <c r="E4760" s="23" t="str">
        <f aca="false">IF(D4760="?OLD","!!!","")</f>
        <v/>
      </c>
      <c r="F4760" s="25" t="str">
        <f aca="false">IF(OR(E4760="",E4760="!!!"),"",IF(NOT(ISNA(VLOOKUP(E4760,E$1:E4759,1,FALSE()))),"OLD",IF(AND(E4760&lt;&gt;"",E4760&lt;&gt;"!!!"),"NEW","")))</f>
        <v/>
      </c>
      <c r="G4760" s="26" t="str">
        <f aca="false">IF(OR(E4760="",E4760="!!!"),"",IF(OR(J4760=0,AND(J4760=1,K4760=1),AND(J4760=1,I4760="SBJ"),AND(J4760=1,I4760=0)),"?IN_FOCUS",IF(J4760&lt;=2,"?ACTIVATED",IF(J4760&lt;&gt;"","?FAMILIAR",IF(F4760="NEW",IF(ISNA(VLOOKUP(E4760,#REF!,1,FALSE())),"?TYPE_IDENTIFIABLE","?REFERENTIAL"),"_")))))</f>
        <v/>
      </c>
      <c r="H4760" s="27" t="str">
        <f aca="false">IF(J4760&lt;&gt;1,"",IF(I4760="SBJ","CB","?"))</f>
        <v/>
      </c>
      <c r="I4760" s="24" t="str">
        <f aca="false">IF(OR(E4760="",E4760="!!!",F4760="NEW"),"",INDEX(B11:B$4750,-1+SUMPRODUCT(MAX(ROW(E11:E$4750)*(E4760=E11:E$4750)))))</f>
        <v/>
      </c>
      <c r="J4760" s="24" t="str">
        <f aca="true">IF(OR(E4760="",E4760="!!!",F4760="NEW"),"",COUNTBLANK(OFFSET(A$1,,,SUMPRODUCT(MAX(ROW(E$2:E4760)*(E4760=E$2:E4760)))))-COUNTBLANK(OFFSET(A$1,,,SUMPRODUCT(MAX(ROW(E$1:E4759)*(E2=E$1:E4759))))))</f>
        <v/>
      </c>
      <c r="K4760" s="24" t="str">
        <f aca="false">IF(OR(E4760="",E4760="!!!",F4760="NEW"),"",INDEX(J$1:J4759,SUMPRODUCT(MAX(ROW(E$1:E4759)*(E4760=E$1:E4759)))))</f>
        <v/>
      </c>
      <c r="L4760" s="31"/>
    </row>
    <row r="4761" customFormat="false" ht="15" hidden="false" customHeight="false" outlineLevel="0" collapsed="false">
      <c r="A4761" s="20" t="s">
        <v>1089</v>
      </c>
      <c r="E4761" s="23" t="str">
        <f aca="false">IF(D4761="?OLD","!!!","")</f>
        <v/>
      </c>
      <c r="F4761" s="25" t="str">
        <f aca="false">IF(OR(E4761="",E4761="!!!"),"",IF(NOT(ISNA(VLOOKUP(E4761,E$1:E4760,1,FALSE()))),"OLD",IF(AND(E4761&lt;&gt;"",E4761&lt;&gt;"!!!"),"NEW","")))</f>
        <v/>
      </c>
      <c r="G4761" s="26" t="str">
        <f aca="false">IF(OR(E4761="",E4761="!!!"),"",IF(OR(J4761=0,AND(J4761=1,K4761=1),AND(J4761=1,I4761="SBJ"),AND(J4761=1,I4761=0)),"?IN_FOCUS",IF(J4761&lt;=2,"?ACTIVATED",IF(J4761&lt;&gt;"","?FAMILIAR",IF(F4761="NEW",IF(ISNA(VLOOKUP(E4761,#REF!,1,FALSE())),"?TYPE_IDENTIFIABLE","?REFERENTIAL"),"_")))))</f>
        <v/>
      </c>
      <c r="H4761" s="27" t="str">
        <f aca="false">IF(J4761&lt;&gt;1,"",IF(I4761="SBJ","CB","?"))</f>
        <v/>
      </c>
      <c r="I4761" s="24" t="str">
        <f aca="false">IF(OR(E4761="",E4761="!!!",F4761="NEW"),"",INDEX(B12:B$4750,-1+SUMPRODUCT(MAX(ROW(E12:E$4750)*(E4761=E12:E$4750)))))</f>
        <v/>
      </c>
      <c r="J4761" s="24" t="str">
        <f aca="true">IF(OR(E4761="",E4761="!!!",F4761="NEW"),"",COUNTBLANK(OFFSET(A$1,,,SUMPRODUCT(MAX(ROW(E$2:E4761)*(E4761=E$2:E4761)))))-COUNTBLANK(OFFSET(A$1,,,SUMPRODUCT(MAX(ROW(E$1:E4760)*(E2=E$1:E4760))))))</f>
        <v/>
      </c>
      <c r="K4761" s="24" t="str">
        <f aca="false">IF(OR(E4761="",E4761="!!!",F4761="NEW"),"",INDEX(J$1:J4760,SUMPRODUCT(MAX(ROW(E$1:E4760)*(E4761=E$1:E4760)))))</f>
        <v/>
      </c>
      <c r="L4761" s="31"/>
    </row>
    <row r="4762" customFormat="false" ht="15" hidden="false" customHeight="false" outlineLevel="0" collapsed="false">
      <c r="A4762" s="20" t="s">
        <v>2461</v>
      </c>
      <c r="E4762" s="23" t="str">
        <f aca="false">IF(D4762="?OLD","!!!","")</f>
        <v/>
      </c>
      <c r="F4762" s="25" t="str">
        <f aca="false">IF(OR(E4762="",E4762="!!!"),"",IF(NOT(ISNA(VLOOKUP(E4762,E$1:E4761,1,FALSE()))),"OLD",IF(AND(E4762&lt;&gt;"",E4762&lt;&gt;"!!!"),"NEW","")))</f>
        <v/>
      </c>
      <c r="G4762" s="26" t="str">
        <f aca="false">IF(OR(E4762="",E4762="!!!"),"",IF(OR(J4762=0,AND(J4762=1,K4762=1),AND(J4762=1,I4762="SBJ"),AND(J4762=1,I4762=0)),"?IN_FOCUS",IF(J4762&lt;=2,"?ACTIVATED",IF(J4762&lt;&gt;"","?FAMILIAR",IF(F4762="NEW",IF(ISNA(VLOOKUP(E4762,#REF!,1,FALSE())),"?TYPE_IDENTIFIABLE","?REFERENTIAL"),"_")))))</f>
        <v/>
      </c>
      <c r="H4762" s="27" t="str">
        <f aca="false">IF(J4762&lt;&gt;1,"",IF(I4762="SBJ","CB","?"))</f>
        <v/>
      </c>
      <c r="I4762" s="24" t="str">
        <f aca="false">IF(OR(E4762="",E4762="!!!",F4762="NEW"),"",INDEX(B13:B$4750,-1+SUMPRODUCT(MAX(ROW(E13:E$4750)*(E4762=E13:E$4750)))))</f>
        <v/>
      </c>
      <c r="J4762" s="24" t="str">
        <f aca="true">IF(OR(E4762="",E4762="!!!",F4762="NEW"),"",COUNTBLANK(OFFSET(A$1,,,SUMPRODUCT(MAX(ROW(E$2:E4762)*(E4762=E$2:E4762)))))-COUNTBLANK(OFFSET(A$1,,,SUMPRODUCT(MAX(ROW(E$1:E4761)*(E2=E$1:E4761))))))</f>
        <v/>
      </c>
      <c r="K4762" s="24" t="str">
        <f aca="false">IF(OR(E4762="",E4762="!!!",F4762="NEW"),"",INDEX(J$1:J4761,SUMPRODUCT(MAX(ROW(E$1:E4761)*(E4762=E$1:E4761)))))</f>
        <v/>
      </c>
      <c r="L4762" s="31"/>
    </row>
    <row r="4763" customFormat="false" ht="15" hidden="false" customHeight="false" outlineLevel="0" collapsed="false">
      <c r="A4763" s="20" t="s">
        <v>2330</v>
      </c>
      <c r="B4763" s="22" t="s">
        <v>1146</v>
      </c>
      <c r="C4763" s="22" t="s">
        <v>1171</v>
      </c>
      <c r="D4763" s="22" t="s">
        <v>1060</v>
      </c>
      <c r="E4763" s="23" t="str">
        <f aca="false">IF(D4763="?OLD","!!!","")</f>
        <v>!!!</v>
      </c>
      <c r="F4763" s="25" t="str">
        <f aca="false">IF(OR(E4763="",E4763="!!!"),"",IF(NOT(ISNA(VLOOKUP(E4763,E$1:E4762,1,FALSE()))),"OLD",IF(AND(E4763&lt;&gt;"",E4763&lt;&gt;"!!!"),"NEW","")))</f>
        <v/>
      </c>
      <c r="G4763" s="26" t="str">
        <f aca="false">IF(OR(E4763="",E4763="!!!"),"",IF(OR(J4763=0,AND(J4763=1,K4763=1),AND(J4763=1,I4763="SBJ"),AND(J4763=1,I4763=0)),"?IN_FOCUS",IF(J4763&lt;=2,"?ACTIVATED",IF(J4763&lt;&gt;"","?FAMILIAR",IF(F4763="NEW",IF(ISNA(VLOOKUP(E4763,#REF!,1,FALSE())),"?TYPE_IDENTIFIABLE","?REFERENTIAL"),"_")))))</f>
        <v/>
      </c>
      <c r="H4763" s="27" t="str">
        <f aca="false">IF(J4763&lt;&gt;1,"",IF(I4763="SBJ","CB","?"))</f>
        <v/>
      </c>
      <c r="I4763" s="24" t="str">
        <f aca="false">IF(OR(E4763="",E4763="!!!",F4763="NEW"),"",INDEX(B14:B$4750,-1+SUMPRODUCT(MAX(ROW(E14:E$4750)*(E4763=E14:E$4750)))))</f>
        <v/>
      </c>
      <c r="J4763" s="24" t="str">
        <f aca="true">IF(OR(E4763="",E4763="!!!",F4763="NEW"),"",COUNTBLANK(OFFSET(A$1,,,SUMPRODUCT(MAX(ROW(E$2:E4763)*(E4763=E$2:E4763)))))-COUNTBLANK(OFFSET(A$1,,,SUMPRODUCT(MAX(ROW(E$1:E4762)*(E2=E$1:E4762))))))</f>
        <v/>
      </c>
      <c r="K4763" s="24" t="str">
        <f aca="false">IF(OR(E4763="",E4763="!!!",F4763="NEW"),"",INDEX(J$1:J4762,SUMPRODUCT(MAX(ROW(E$1:E4762)*(E4763=E$1:E4762)))))</f>
        <v/>
      </c>
      <c r="L4763" s="31"/>
    </row>
    <row r="4764" customFormat="false" ht="15" hidden="false" customHeight="false" outlineLevel="0" collapsed="false">
      <c r="A4764" s="20" t="s">
        <v>1641</v>
      </c>
      <c r="E4764" s="23" t="str">
        <f aca="false">IF(D4764="?OLD","!!!","")</f>
        <v/>
      </c>
      <c r="F4764" s="25" t="str">
        <f aca="false">IF(OR(E4764="",E4764="!!!"),"",IF(NOT(ISNA(VLOOKUP(E4764,E$1:E4763,1,FALSE()))),"OLD",IF(AND(E4764&lt;&gt;"",E4764&lt;&gt;"!!!"),"NEW","")))</f>
        <v/>
      </c>
      <c r="G4764" s="26" t="str">
        <f aca="false">IF(OR(E4764="",E4764="!!!"),"",IF(OR(J4764=0,AND(J4764=1,K4764=1),AND(J4764=1,I4764="SBJ"),AND(J4764=1,I4764=0)),"?IN_FOCUS",IF(J4764&lt;=2,"?ACTIVATED",IF(J4764&lt;&gt;"","?FAMILIAR",IF(F4764="NEW",IF(ISNA(VLOOKUP(E4764,#REF!,1,FALSE())),"?TYPE_IDENTIFIABLE","?REFERENTIAL"),"_")))))</f>
        <v/>
      </c>
      <c r="H4764" s="27" t="str">
        <f aca="false">IF(J4764&lt;&gt;1,"",IF(I4764="SBJ","CB","?"))</f>
        <v/>
      </c>
      <c r="I4764" s="24" t="str">
        <f aca="false">IF(OR(E4764="",E4764="!!!",F4764="NEW"),"",INDEX(B15:B$4750,-1+SUMPRODUCT(MAX(ROW(E15:E$4750)*(E4764=E15:E$4750)))))</f>
        <v/>
      </c>
      <c r="J4764" s="24" t="str">
        <f aca="true">IF(OR(E4764="",E4764="!!!",F4764="NEW"),"",COUNTBLANK(OFFSET(A$1,,,SUMPRODUCT(MAX(ROW(E$2:E4764)*(E4764=E$2:E4764)))))-COUNTBLANK(OFFSET(A$1,,,SUMPRODUCT(MAX(ROW(E$1:E4763)*(E2=E$1:E4763))))))</f>
        <v/>
      </c>
      <c r="K4764" s="24" t="str">
        <f aca="false">IF(OR(E4764="",E4764="!!!",F4764="NEW"),"",INDEX(J$1:J4763,SUMPRODUCT(MAX(ROW(E$1:E4763)*(E4764=E$1:E4763)))))</f>
        <v/>
      </c>
      <c r="L4764" s="31"/>
    </row>
    <row r="4765" customFormat="false" ht="15" hidden="false" customHeight="false" outlineLevel="0" collapsed="false">
      <c r="A4765" s="20" t="s">
        <v>1179</v>
      </c>
      <c r="B4765" s="22" t="s">
        <v>1067</v>
      </c>
      <c r="C4765" s="22" t="s">
        <v>1082</v>
      </c>
      <c r="D4765" s="22" t="s">
        <v>1060</v>
      </c>
      <c r="E4765" s="23" t="str">
        <f aca="false">IF(D4765="?OLD","!!!","")</f>
        <v>!!!</v>
      </c>
      <c r="F4765" s="25" t="str">
        <f aca="false">IF(OR(E4765="",E4765="!!!"),"",IF(NOT(ISNA(VLOOKUP(E4765,E$1:E4764,1,FALSE()))),"OLD",IF(AND(E4765&lt;&gt;"",E4765&lt;&gt;"!!!"),"NEW","")))</f>
        <v/>
      </c>
      <c r="G4765" s="26" t="str">
        <f aca="false">IF(OR(E4765="",E4765="!!!"),"",IF(OR(J4765=0,AND(J4765=1,K4765=1),AND(J4765=1,I4765="SBJ"),AND(J4765=1,I4765=0)),"?IN_FOCUS",IF(J4765&lt;=2,"?ACTIVATED",IF(J4765&lt;&gt;"","?FAMILIAR",IF(F4765="NEW",IF(ISNA(VLOOKUP(E4765,#REF!,1,FALSE())),"?TYPE_IDENTIFIABLE","?REFERENTIAL"),"_")))))</f>
        <v/>
      </c>
      <c r="H4765" s="27" t="str">
        <f aca="false">IF(J4765&lt;&gt;1,"",IF(I4765="SBJ","CB","?"))</f>
        <v/>
      </c>
      <c r="I4765" s="24" t="str">
        <f aca="false">IF(OR(E4765="",E4765="!!!",F4765="NEW"),"",INDEX(B16:B$4750,-1+SUMPRODUCT(MAX(ROW(E16:E$4750)*(E4765=E16:E$4750)))))</f>
        <v/>
      </c>
      <c r="J4765" s="24" t="str">
        <f aca="true">IF(OR(E4765="",E4765="!!!",F4765="NEW"),"",COUNTBLANK(OFFSET(A$1,,,SUMPRODUCT(MAX(ROW(E$2:E4765)*(E4765=E$2:E4765)))))-COUNTBLANK(OFFSET(A$1,,,SUMPRODUCT(MAX(ROW(E$1:E4764)*(E2=E$1:E4764))))))</f>
        <v/>
      </c>
      <c r="K4765" s="24" t="str">
        <f aca="false">IF(OR(E4765="",E4765="!!!",F4765="NEW"),"",INDEX(J$1:J4764,SUMPRODUCT(MAX(ROW(E$1:E4764)*(E4765=E$1:E4764)))))</f>
        <v/>
      </c>
      <c r="L4765" s="31"/>
    </row>
    <row r="4766" customFormat="false" ht="15" hidden="false" customHeight="false" outlineLevel="0" collapsed="false">
      <c r="A4766" s="20" t="s">
        <v>923</v>
      </c>
      <c r="E4766" s="23" t="str">
        <f aca="false">IF(D4766="?OLD","!!!","")</f>
        <v/>
      </c>
      <c r="F4766" s="25" t="str">
        <f aca="false">IF(OR(E4766="",E4766="!!!"),"",IF(NOT(ISNA(VLOOKUP(E4766,E$1:E4765,1,FALSE()))),"OLD",IF(AND(E4766&lt;&gt;"",E4766&lt;&gt;"!!!"),"NEW","")))</f>
        <v/>
      </c>
      <c r="G4766" s="26" t="str">
        <f aca="false">IF(OR(E4766="",E4766="!!!"),"",IF(OR(J4766=0,AND(J4766=1,K4766=1),AND(J4766=1,I4766="SBJ"),AND(J4766=1,I4766=0)),"?IN_FOCUS",IF(J4766&lt;=2,"?ACTIVATED",IF(J4766&lt;&gt;"","?FAMILIAR",IF(F4766="NEW",IF(ISNA(VLOOKUP(E4766,#REF!,1,FALSE())),"?TYPE_IDENTIFIABLE","?REFERENTIAL"),"_")))))</f>
        <v/>
      </c>
      <c r="H4766" s="27" t="str">
        <f aca="false">IF(J4766&lt;&gt;1,"",IF(I4766="SBJ","CB","?"))</f>
        <v/>
      </c>
      <c r="I4766" s="24" t="str">
        <f aca="false">IF(OR(E4766="",E4766="!!!",F4766="NEW"),"",INDEX(B17:B$4750,-1+SUMPRODUCT(MAX(ROW(E17:E$4750)*(E4766=E17:E$4750)))))</f>
        <v/>
      </c>
      <c r="J4766" s="24" t="str">
        <f aca="true">IF(OR(E4766="",E4766="!!!",F4766="NEW"),"",COUNTBLANK(OFFSET(A$1,,,SUMPRODUCT(MAX(ROW(E$2:E4766)*(E4766=E$2:E4766)))))-COUNTBLANK(OFFSET(A$1,,,SUMPRODUCT(MAX(ROW(E$1:E4765)*(E2=E$1:E4765))))))</f>
        <v/>
      </c>
      <c r="K4766" s="24" t="str">
        <f aca="false">IF(OR(E4766="",E4766="!!!",F4766="NEW"),"",INDEX(J$1:J4765,SUMPRODUCT(MAX(ROW(E$1:E4765)*(E4766=E$1:E4765)))))</f>
        <v/>
      </c>
      <c r="L4766" s="31"/>
    </row>
    <row r="4767" customFormat="false" ht="15" hidden="false" customHeight="false" outlineLevel="0" collapsed="false">
      <c r="A4767" s="20"/>
    </row>
    <row r="4768" customFormat="false" ht="15" hidden="false" customHeight="false" outlineLevel="0" collapsed="false">
      <c r="A4768" s="20" t="s">
        <v>2462</v>
      </c>
    </row>
    <row r="4769" customFormat="false" ht="15" hidden="false" customHeight="false" outlineLevel="0" collapsed="false">
      <c r="A4769" s="20" t="s">
        <v>2417</v>
      </c>
      <c r="E4769" s="23" t="str">
        <f aca="false">IF(D4769="?OLD","!!!","")</f>
        <v/>
      </c>
      <c r="F4769" s="25" t="str">
        <f aca="false">IF(OR(E4769="",E4769="!!!"),"",IF(NOT(ISNA(VLOOKUP(E4769,E$1:E4768,1,FALSE()))),"OLD",IF(AND(E4769&lt;&gt;"",E4769&lt;&gt;"!!!"),"NEW","")))</f>
        <v/>
      </c>
      <c r="G4769" s="26" t="str">
        <f aca="false">IF(OR(E4769="",E4769="!!!"),"",IF(OR(J4769=0,AND(J4769=1,K4769=1),AND(J4769=1,I4769="SBJ"),AND(J4769=1,I4769=0)),"?IN_FOCUS",IF(J4769&lt;=2,"?ACTIVATED",IF(J4769&lt;&gt;"","?FAMILIAR",IF(F4769="NEW",IF(ISNA(VLOOKUP(E4769,#REF!,1,FALSE())),"?TYPE_IDENTIFIABLE","?REFERENTIAL"),"_")))))</f>
        <v/>
      </c>
      <c r="H4769" s="27" t="str">
        <f aca="false">IF(J4769&lt;&gt;1,"",IF(I4769="SBJ","CB","?"))</f>
        <v/>
      </c>
      <c r="I4769" s="24" t="str">
        <f aca="false">IF(OR(E4769="",E4769="!!!",F4769="NEW"),"",INDEX(B2:B$4768,-1+SUMPRODUCT(MAX(ROW(E2:E$4768)*(E4769=E2:E$4768)))))</f>
        <v/>
      </c>
      <c r="J4769" s="24" t="str">
        <f aca="true">IF(OR(E4769="",E4769="!!!",F4769="NEW"),"",COUNTBLANK(OFFSET(A$1,,,SUMPRODUCT(MAX(ROW(E$2:E4769)*(E4769=E$2:E4769)))))-COUNTBLANK(OFFSET(A$1,,,SUMPRODUCT(MAX(ROW(E$1:E4768)*(E2=E$1:E4768))))))</f>
        <v/>
      </c>
      <c r="K4769" s="24" t="str">
        <f aca="false">IF(OR(E4769="",E4769="!!!",F4769="NEW"),"",INDEX(J$1:J4768,SUMPRODUCT(MAX(ROW(E$1:E4768)*(E4769=E$1:E4768)))))</f>
        <v/>
      </c>
      <c r="L4769" s="31"/>
    </row>
    <row r="4770" customFormat="false" ht="15" hidden="false" customHeight="false" outlineLevel="0" collapsed="false">
      <c r="A4770" s="20" t="s">
        <v>2463</v>
      </c>
      <c r="E4770" s="23" t="str">
        <f aca="false">IF(D4770="?OLD","!!!","")</f>
        <v/>
      </c>
      <c r="F4770" s="25" t="str">
        <f aca="false">IF(OR(E4770="",E4770="!!!"),"",IF(NOT(ISNA(VLOOKUP(E4770,E$1:E4769,1,FALSE()))),"OLD",IF(AND(E4770&lt;&gt;"",E4770&lt;&gt;"!!!"),"NEW","")))</f>
        <v/>
      </c>
      <c r="G4770" s="26" t="str">
        <f aca="false">IF(OR(E4770="",E4770="!!!"),"",IF(OR(J4770=0,AND(J4770=1,K4770=1),AND(J4770=1,I4770="SBJ"),AND(J4770=1,I4770=0)),"?IN_FOCUS",IF(J4770&lt;=2,"?ACTIVATED",IF(J4770&lt;&gt;"","?FAMILIAR",IF(F4770="NEW",IF(ISNA(VLOOKUP(E4770,#REF!,1,FALSE())),"?TYPE_IDENTIFIABLE","?REFERENTIAL"),"_")))))</f>
        <v/>
      </c>
      <c r="H4770" s="27" t="str">
        <f aca="false">IF(J4770&lt;&gt;1,"",IF(I4770="SBJ","CB","?"))</f>
        <v/>
      </c>
      <c r="I4770" s="24" t="str">
        <f aca="false">IF(OR(E4770="",E4770="!!!",F4770="NEW"),"",INDEX(B3:B$4768,-1+SUMPRODUCT(MAX(ROW(E3:E$4768)*(E4770=E3:E$4768)))))</f>
        <v/>
      </c>
      <c r="J4770" s="24" t="str">
        <f aca="true">IF(OR(E4770="",E4770="!!!",F4770="NEW"),"",COUNTBLANK(OFFSET(A$1,,,SUMPRODUCT(MAX(ROW(E$2:E4770)*(E4770=E$2:E4770)))))-COUNTBLANK(OFFSET(A$1,,,SUMPRODUCT(MAX(ROW(E$1:E4769)*(E2=E$1:E4769))))))</f>
        <v/>
      </c>
      <c r="K4770" s="24" t="str">
        <f aca="false">IF(OR(E4770="",E4770="!!!",F4770="NEW"),"",INDEX(J$1:J4769,SUMPRODUCT(MAX(ROW(E$1:E4769)*(E4770=E$1:E4769)))))</f>
        <v/>
      </c>
      <c r="L4770" s="31"/>
    </row>
    <row r="4771" customFormat="false" ht="15" hidden="false" customHeight="false" outlineLevel="0" collapsed="false">
      <c r="A4771" s="20" t="s">
        <v>1085</v>
      </c>
      <c r="E4771" s="23" t="str">
        <f aca="false">IF(D4771="?OLD","!!!","")</f>
        <v/>
      </c>
      <c r="F4771" s="25" t="str">
        <f aca="false">IF(OR(E4771="",E4771="!!!"),"",IF(NOT(ISNA(VLOOKUP(E4771,E$1:E4770,1,FALSE()))),"OLD",IF(AND(E4771&lt;&gt;"",E4771&lt;&gt;"!!!"),"NEW","")))</f>
        <v/>
      </c>
      <c r="G4771" s="26" t="str">
        <f aca="false">IF(OR(E4771="",E4771="!!!"),"",IF(OR(J4771=0,AND(J4771=1,K4771=1),AND(J4771=1,I4771="SBJ"),AND(J4771=1,I4771=0)),"?IN_FOCUS",IF(J4771&lt;=2,"?ACTIVATED",IF(J4771&lt;&gt;"","?FAMILIAR",IF(F4771="NEW",IF(ISNA(VLOOKUP(E4771,#REF!,1,FALSE())),"?TYPE_IDENTIFIABLE","?REFERENTIAL"),"_")))))</f>
        <v/>
      </c>
      <c r="H4771" s="27" t="str">
        <f aca="false">IF(J4771&lt;&gt;1,"",IF(I4771="SBJ","CB","?"))</f>
        <v/>
      </c>
      <c r="I4771" s="24" t="str">
        <f aca="false">IF(OR(E4771="",E4771="!!!",F4771="NEW"),"",INDEX(B4:B$4768,-1+SUMPRODUCT(MAX(ROW(E4:E$4768)*(E4771=E4:E$4768)))))</f>
        <v/>
      </c>
      <c r="J4771" s="24" t="str">
        <f aca="true">IF(OR(E4771="",E4771="!!!",F4771="NEW"),"",COUNTBLANK(OFFSET(A$1,,,SUMPRODUCT(MAX(ROW(E$2:E4771)*(E4771=E$2:E4771)))))-COUNTBLANK(OFFSET(A$1,,,SUMPRODUCT(MAX(ROW(E$1:E4770)*(E2=E$1:E4770))))))</f>
        <v/>
      </c>
      <c r="K4771" s="24" t="str">
        <f aca="false">IF(OR(E4771="",E4771="!!!",F4771="NEW"),"",INDEX(J$1:J4770,SUMPRODUCT(MAX(ROW(E$1:E4770)*(E4771=E$1:E4770)))))</f>
        <v/>
      </c>
      <c r="L4771" s="31"/>
    </row>
    <row r="4772" customFormat="false" ht="15" hidden="false" customHeight="false" outlineLevel="0" collapsed="false">
      <c r="A4772" s="20" t="s">
        <v>2419</v>
      </c>
      <c r="B4772" s="22" t="s">
        <v>1105</v>
      </c>
      <c r="C4772" s="22" t="s">
        <v>1087</v>
      </c>
      <c r="E4772" s="23" t="str">
        <f aca="false">IF(D4772="?OLD","!!!","")</f>
        <v/>
      </c>
      <c r="F4772" s="25" t="str">
        <f aca="false">IF(OR(E4772="",E4772="!!!"),"",IF(NOT(ISNA(VLOOKUP(E4772,E$1:E4771,1,FALSE()))),"OLD",IF(AND(E4772&lt;&gt;"",E4772&lt;&gt;"!!!"),"NEW","")))</f>
        <v/>
      </c>
      <c r="G4772" s="26" t="str">
        <f aca="false">IF(OR(E4772="",E4772="!!!"),"",IF(OR(J4772=0,AND(J4772=1,K4772=1),AND(J4772=1,I4772="SBJ"),AND(J4772=1,I4772=0)),"?IN_FOCUS",IF(J4772&lt;=2,"?ACTIVATED",IF(J4772&lt;&gt;"","?FAMILIAR",IF(F4772="NEW",IF(ISNA(VLOOKUP(E4772,#REF!,1,FALSE())),"?TYPE_IDENTIFIABLE","?REFERENTIAL"),"_")))))</f>
        <v/>
      </c>
      <c r="H4772" s="27" t="str">
        <f aca="false">IF(J4772&lt;&gt;1,"",IF(I4772="SBJ","CB","?"))</f>
        <v/>
      </c>
      <c r="I4772" s="24" t="str">
        <f aca="false">IF(OR(E4772="",E4772="!!!",F4772="NEW"),"",INDEX(B5:B$4768,-1+SUMPRODUCT(MAX(ROW(E5:E$4768)*(E4772=E5:E$4768)))))</f>
        <v/>
      </c>
      <c r="J4772" s="24" t="str">
        <f aca="true">IF(OR(E4772="",E4772="!!!",F4772="NEW"),"",COUNTBLANK(OFFSET(A$1,,,SUMPRODUCT(MAX(ROW(E$2:E4772)*(E4772=E$2:E4772)))))-COUNTBLANK(OFFSET(A$1,,,SUMPRODUCT(MAX(ROW(E$1:E4771)*(E2=E$1:E4771))))))</f>
        <v/>
      </c>
      <c r="K4772" s="24" t="str">
        <f aca="false">IF(OR(E4772="",E4772="!!!",F4772="NEW"),"",INDEX(J$1:J4771,SUMPRODUCT(MAX(ROW(E$1:E4771)*(E4772=E$1:E4771)))))</f>
        <v/>
      </c>
      <c r="L4772" s="31"/>
    </row>
    <row r="4773" customFormat="false" ht="15" hidden="false" customHeight="false" outlineLevel="0" collapsed="false">
      <c r="A4773" s="20" t="s">
        <v>1064</v>
      </c>
      <c r="E4773" s="23" t="str">
        <f aca="false">IF(D4773="?OLD","!!!","")</f>
        <v/>
      </c>
      <c r="F4773" s="25" t="str">
        <f aca="false">IF(OR(E4773="",E4773="!!!"),"",IF(NOT(ISNA(VLOOKUP(E4773,E$1:E4772,1,FALSE()))),"OLD",IF(AND(E4773&lt;&gt;"",E4773&lt;&gt;"!!!"),"NEW","")))</f>
        <v/>
      </c>
      <c r="G4773" s="26" t="str">
        <f aca="false">IF(OR(E4773="",E4773="!!!"),"",IF(OR(J4773=0,AND(J4773=1,K4773=1),AND(J4773=1,I4773="SBJ"),AND(J4773=1,I4773=0)),"?IN_FOCUS",IF(J4773&lt;=2,"?ACTIVATED",IF(J4773&lt;&gt;"","?FAMILIAR",IF(F4773="NEW",IF(ISNA(VLOOKUP(E4773,#REF!,1,FALSE())),"?TYPE_IDENTIFIABLE","?REFERENTIAL"),"_")))))</f>
        <v/>
      </c>
      <c r="H4773" s="27" t="str">
        <f aca="false">IF(J4773&lt;&gt;1,"",IF(I4773="SBJ","CB","?"))</f>
        <v/>
      </c>
      <c r="I4773" s="24" t="str">
        <f aca="false">IF(OR(E4773="",E4773="!!!",F4773="NEW"),"",INDEX(B6:B$4768,-1+SUMPRODUCT(MAX(ROW(E6:E$4768)*(E4773=E6:E$4768)))))</f>
        <v/>
      </c>
      <c r="J4773" s="24" t="str">
        <f aca="true">IF(OR(E4773="",E4773="!!!",F4773="NEW"),"",COUNTBLANK(OFFSET(A$1,,,SUMPRODUCT(MAX(ROW(E$2:E4773)*(E4773=E$2:E4773)))))-COUNTBLANK(OFFSET(A$1,,,SUMPRODUCT(MAX(ROW(E$1:E4772)*(E2=E$1:E4772))))))</f>
        <v/>
      </c>
      <c r="K4773" s="24" t="str">
        <f aca="false">IF(OR(E4773="",E4773="!!!",F4773="NEW"),"",INDEX(J$1:J4772,SUMPRODUCT(MAX(ROW(E$1:E4772)*(E4773=E$1:E4772)))))</f>
        <v/>
      </c>
      <c r="L4773" s="31"/>
    </row>
    <row r="4774" customFormat="false" ht="15" hidden="false" customHeight="false" outlineLevel="0" collapsed="false">
      <c r="A4774" s="20" t="s">
        <v>2464</v>
      </c>
      <c r="E4774" s="23" t="str">
        <f aca="false">IF(D4774="?OLD","!!!","")</f>
        <v/>
      </c>
      <c r="F4774" s="25" t="str">
        <f aca="false">IF(OR(E4774="",E4774="!!!"),"",IF(NOT(ISNA(VLOOKUP(E4774,E$1:E4773,1,FALSE()))),"OLD",IF(AND(E4774&lt;&gt;"",E4774&lt;&gt;"!!!"),"NEW","")))</f>
        <v/>
      </c>
      <c r="G4774" s="26" t="str">
        <f aca="false">IF(OR(E4774="",E4774="!!!"),"",IF(OR(J4774=0,AND(J4774=1,K4774=1),AND(J4774=1,I4774="SBJ"),AND(J4774=1,I4774=0)),"?IN_FOCUS",IF(J4774&lt;=2,"?ACTIVATED",IF(J4774&lt;&gt;"","?FAMILIAR",IF(F4774="NEW",IF(ISNA(VLOOKUP(E4774,#REF!,1,FALSE())),"?TYPE_IDENTIFIABLE","?REFERENTIAL"),"_")))))</f>
        <v/>
      </c>
      <c r="H4774" s="27" t="str">
        <f aca="false">IF(J4774&lt;&gt;1,"",IF(I4774="SBJ","CB","?"))</f>
        <v/>
      </c>
      <c r="I4774" s="24" t="str">
        <f aca="false">IF(OR(E4774="",E4774="!!!",F4774="NEW"),"",INDEX(B7:B$4768,-1+SUMPRODUCT(MAX(ROW(E7:E$4768)*(E4774=E7:E$4768)))))</f>
        <v/>
      </c>
      <c r="J4774" s="24" t="str">
        <f aca="true">IF(OR(E4774="",E4774="!!!",F4774="NEW"),"",COUNTBLANK(OFFSET(A$1,,,SUMPRODUCT(MAX(ROW(E$2:E4774)*(E4774=E$2:E4774)))))-COUNTBLANK(OFFSET(A$1,,,SUMPRODUCT(MAX(ROW(E$1:E4773)*(E2=E$1:E4773))))))</f>
        <v/>
      </c>
      <c r="K4774" s="24" t="str">
        <f aca="false">IF(OR(E4774="",E4774="!!!",F4774="NEW"),"",INDEX(J$1:J4773,SUMPRODUCT(MAX(ROW(E$1:E4773)*(E4774=E$1:E4773)))))</f>
        <v/>
      </c>
      <c r="L4774" s="31"/>
    </row>
    <row r="4775" customFormat="false" ht="15" hidden="false" customHeight="false" outlineLevel="0" collapsed="false">
      <c r="A4775" s="20" t="s">
        <v>2465</v>
      </c>
      <c r="B4775" s="22" t="s">
        <v>1073</v>
      </c>
      <c r="C4775" s="22" t="s">
        <v>1160</v>
      </c>
      <c r="E4775" s="23" t="str">
        <f aca="false">IF(D4775="?OLD","!!!","")</f>
        <v/>
      </c>
      <c r="F4775" s="25" t="str">
        <f aca="false">IF(OR(E4775="",E4775="!!!"),"",IF(NOT(ISNA(VLOOKUP(E4775,E$1:E4774,1,FALSE()))),"OLD",IF(AND(E4775&lt;&gt;"",E4775&lt;&gt;"!!!"),"NEW","")))</f>
        <v/>
      </c>
      <c r="G4775" s="26" t="str">
        <f aca="false">IF(OR(E4775="",E4775="!!!"),"",IF(OR(J4775=0,AND(J4775=1,K4775=1),AND(J4775=1,I4775="SBJ"),AND(J4775=1,I4775=0)),"?IN_FOCUS",IF(J4775&lt;=2,"?ACTIVATED",IF(J4775&lt;&gt;"","?FAMILIAR",IF(F4775="NEW",IF(ISNA(VLOOKUP(E4775,#REF!,1,FALSE())),"?TYPE_IDENTIFIABLE","?REFERENTIAL"),"_")))))</f>
        <v/>
      </c>
      <c r="H4775" s="27" t="str">
        <f aca="false">IF(J4775&lt;&gt;1,"",IF(I4775="SBJ","CB","?"))</f>
        <v/>
      </c>
      <c r="I4775" s="24" t="str">
        <f aca="false">IF(OR(E4775="",E4775="!!!",F4775="NEW"),"",INDEX(B8:B$4768,-1+SUMPRODUCT(MAX(ROW(E8:E$4768)*(E4775=E8:E$4768)))))</f>
        <v/>
      </c>
      <c r="J4775" s="24" t="str">
        <f aca="true">IF(OR(E4775="",E4775="!!!",F4775="NEW"),"",COUNTBLANK(OFFSET(A$1,,,SUMPRODUCT(MAX(ROW(E$2:E4775)*(E4775=E$2:E4775)))))-COUNTBLANK(OFFSET(A$1,,,SUMPRODUCT(MAX(ROW(E$1:E4774)*(E2=E$1:E4774))))))</f>
        <v/>
      </c>
      <c r="K4775" s="24" t="str">
        <f aca="false">IF(OR(E4775="",E4775="!!!",F4775="NEW"),"",INDEX(J$1:J4774,SUMPRODUCT(MAX(ROW(E$1:E4774)*(E4775=E$1:E4774)))))</f>
        <v/>
      </c>
      <c r="L4775" s="31"/>
    </row>
    <row r="4776" customFormat="false" ht="15" hidden="false" customHeight="false" outlineLevel="0" collapsed="false">
      <c r="A4776" s="20" t="s">
        <v>1125</v>
      </c>
      <c r="B4776" s="22" t="s">
        <v>1197</v>
      </c>
      <c r="E4776" s="23" t="str">
        <f aca="false">IF(D4776="?OLD","!!!","")</f>
        <v/>
      </c>
      <c r="F4776" s="25" t="str">
        <f aca="false">IF(OR(E4776="",E4776="!!!"),"",IF(NOT(ISNA(VLOOKUP(E4776,E$1:E4775,1,FALSE()))),"OLD",IF(AND(E4776&lt;&gt;"",E4776&lt;&gt;"!!!"),"NEW","")))</f>
        <v/>
      </c>
      <c r="G4776" s="26" t="str">
        <f aca="false">IF(OR(E4776="",E4776="!!!"),"",IF(OR(J4776=0,AND(J4776=1,K4776=1),AND(J4776=1,I4776="SBJ"),AND(J4776=1,I4776=0)),"?IN_FOCUS",IF(J4776&lt;=2,"?ACTIVATED",IF(J4776&lt;&gt;"","?FAMILIAR",IF(F4776="NEW",IF(ISNA(VLOOKUP(E4776,#REF!,1,FALSE())),"?TYPE_IDENTIFIABLE","?REFERENTIAL"),"_")))))</f>
        <v/>
      </c>
      <c r="H4776" s="27" t="str">
        <f aca="false">IF(J4776&lt;&gt;1,"",IF(I4776="SBJ","CB","?"))</f>
        <v/>
      </c>
      <c r="I4776" s="24" t="str">
        <f aca="false">IF(OR(E4776="",E4776="!!!",F4776="NEW"),"",INDEX(B9:B$4768,-1+SUMPRODUCT(MAX(ROW(E9:E$4768)*(E4776=E9:E$4768)))))</f>
        <v/>
      </c>
      <c r="J4776" s="24" t="str">
        <f aca="true">IF(OR(E4776="",E4776="!!!",F4776="NEW"),"",COUNTBLANK(OFFSET(A$1,,,SUMPRODUCT(MAX(ROW(E$2:E4776)*(E4776=E$2:E4776)))))-COUNTBLANK(OFFSET(A$1,,,SUMPRODUCT(MAX(ROW(E$1:E4775)*(E2=E$1:E4775))))))</f>
        <v/>
      </c>
      <c r="K4776" s="24" t="str">
        <f aca="false">IF(OR(E4776="",E4776="!!!",F4776="NEW"),"",INDEX(J$1:J4775,SUMPRODUCT(MAX(ROW(E$1:E4775)*(E4776=E$1:E4775)))))</f>
        <v/>
      </c>
      <c r="L4776" s="31"/>
    </row>
    <row r="4777" customFormat="false" ht="15" hidden="false" customHeight="false" outlineLevel="0" collapsed="false">
      <c r="A4777" s="20" t="s">
        <v>2466</v>
      </c>
      <c r="E4777" s="23" t="str">
        <f aca="false">IF(D4777="?OLD","!!!","")</f>
        <v/>
      </c>
      <c r="F4777" s="25" t="str">
        <f aca="false">IF(OR(E4777="",E4777="!!!"),"",IF(NOT(ISNA(VLOOKUP(E4777,E$1:E4776,1,FALSE()))),"OLD",IF(AND(E4777&lt;&gt;"",E4777&lt;&gt;"!!!"),"NEW","")))</f>
        <v/>
      </c>
      <c r="G4777" s="26" t="str">
        <f aca="false">IF(OR(E4777="",E4777="!!!"),"",IF(OR(J4777=0,AND(J4777=1,K4777=1),AND(J4777=1,I4777="SBJ"),AND(J4777=1,I4777=0)),"?IN_FOCUS",IF(J4777&lt;=2,"?ACTIVATED",IF(J4777&lt;&gt;"","?FAMILIAR",IF(F4777="NEW",IF(ISNA(VLOOKUP(E4777,#REF!,1,FALSE())),"?TYPE_IDENTIFIABLE","?REFERENTIAL"),"_")))))</f>
        <v/>
      </c>
      <c r="H4777" s="27" t="str">
        <f aca="false">IF(J4777&lt;&gt;1,"",IF(I4777="SBJ","CB","?"))</f>
        <v/>
      </c>
      <c r="I4777" s="24" t="str">
        <f aca="false">IF(OR(E4777="",E4777="!!!",F4777="NEW"),"",INDEX(B10:B$4768,-1+SUMPRODUCT(MAX(ROW(E10:E$4768)*(E4777=E10:E$4768)))))</f>
        <v/>
      </c>
      <c r="J4777" s="24" t="str">
        <f aca="true">IF(OR(E4777="",E4777="!!!",F4777="NEW"),"",COUNTBLANK(OFFSET(A$1,,,SUMPRODUCT(MAX(ROW(E$2:E4777)*(E4777=E$2:E4777)))))-COUNTBLANK(OFFSET(A$1,,,SUMPRODUCT(MAX(ROW(E$1:E4776)*(E2=E$1:E4776))))))</f>
        <v/>
      </c>
      <c r="K4777" s="24" t="str">
        <f aca="false">IF(OR(E4777="",E4777="!!!",F4777="NEW"),"",INDEX(J$1:J4776,SUMPRODUCT(MAX(ROW(E$1:E4776)*(E4777=E$1:E4776)))))</f>
        <v/>
      </c>
      <c r="L4777" s="31"/>
    </row>
    <row r="4778" customFormat="false" ht="15" hidden="false" customHeight="false" outlineLevel="0" collapsed="false">
      <c r="A4778" s="20" t="s">
        <v>1080</v>
      </c>
      <c r="B4778" s="22" t="s">
        <v>1102</v>
      </c>
      <c r="C4778" s="22" t="s">
        <v>1082</v>
      </c>
      <c r="D4778" s="22" t="s">
        <v>1060</v>
      </c>
      <c r="E4778" s="23" t="str">
        <f aca="false">IF(D4778="?OLD","!!!","")</f>
        <v>!!!</v>
      </c>
      <c r="F4778" s="25" t="str">
        <f aca="false">IF(OR(E4778="",E4778="!!!"),"",IF(NOT(ISNA(VLOOKUP(E4778,E$1:E4777,1,FALSE()))),"OLD",IF(AND(E4778&lt;&gt;"",E4778&lt;&gt;"!!!"),"NEW","")))</f>
        <v/>
      </c>
      <c r="G4778" s="26" t="str">
        <f aca="false">IF(OR(E4778="",E4778="!!!"),"",IF(OR(J4778=0,AND(J4778=1,K4778=1),AND(J4778=1,I4778="SBJ"),AND(J4778=1,I4778=0)),"?IN_FOCUS",IF(J4778&lt;=2,"?ACTIVATED",IF(J4778&lt;&gt;"","?FAMILIAR",IF(F4778="NEW",IF(ISNA(VLOOKUP(E4778,#REF!,1,FALSE())),"?TYPE_IDENTIFIABLE","?REFERENTIAL"),"_")))))</f>
        <v/>
      </c>
      <c r="H4778" s="27" t="str">
        <f aca="false">IF(J4778&lt;&gt;1,"",IF(I4778="SBJ","CB","?"))</f>
        <v/>
      </c>
      <c r="I4778" s="24" t="str">
        <f aca="false">IF(OR(E4778="",E4778="!!!",F4778="NEW"),"",INDEX(B11:B$4768,-1+SUMPRODUCT(MAX(ROW(E11:E$4768)*(E4778=E11:E$4768)))))</f>
        <v/>
      </c>
      <c r="J4778" s="24" t="str">
        <f aca="true">IF(OR(E4778="",E4778="!!!",F4778="NEW"),"",COUNTBLANK(OFFSET(A$1,,,SUMPRODUCT(MAX(ROW(E$2:E4778)*(E4778=E$2:E4778)))))-COUNTBLANK(OFFSET(A$1,,,SUMPRODUCT(MAX(ROW(E$1:E4777)*(E2=E$1:E4777))))))</f>
        <v/>
      </c>
      <c r="K4778" s="24" t="str">
        <f aca="false">IF(OR(E4778="",E4778="!!!",F4778="NEW"),"",INDEX(J$1:J4777,SUMPRODUCT(MAX(ROW(E$1:E4777)*(E4778=E$1:E4777)))))</f>
        <v/>
      </c>
      <c r="L4778" s="31"/>
    </row>
    <row r="4779" customFormat="false" ht="15" hidden="false" customHeight="false" outlineLevel="0" collapsed="false">
      <c r="A4779" s="20" t="s">
        <v>1280</v>
      </c>
      <c r="E4779" s="23" t="str">
        <f aca="false">IF(D4779="?OLD","!!!","")</f>
        <v/>
      </c>
      <c r="F4779" s="25" t="str">
        <f aca="false">IF(OR(E4779="",E4779="!!!"),"",IF(NOT(ISNA(VLOOKUP(E4779,E$1:E4778,1,FALSE()))),"OLD",IF(AND(E4779&lt;&gt;"",E4779&lt;&gt;"!!!"),"NEW","")))</f>
        <v/>
      </c>
      <c r="G4779" s="26" t="str">
        <f aca="false">IF(OR(E4779="",E4779="!!!"),"",IF(OR(J4779=0,AND(J4779=1,K4779=1),AND(J4779=1,I4779="SBJ"),AND(J4779=1,I4779=0)),"?IN_FOCUS",IF(J4779&lt;=2,"?ACTIVATED",IF(J4779&lt;&gt;"","?FAMILIAR",IF(F4779="NEW",IF(ISNA(VLOOKUP(E4779,#REF!,1,FALSE())),"?TYPE_IDENTIFIABLE","?REFERENTIAL"),"_")))))</f>
        <v/>
      </c>
      <c r="H4779" s="27" t="str">
        <f aca="false">IF(J4779&lt;&gt;1,"",IF(I4779="SBJ","CB","?"))</f>
        <v/>
      </c>
      <c r="I4779" s="24" t="str">
        <f aca="false">IF(OR(E4779="",E4779="!!!",F4779="NEW"),"",INDEX(B12:B$4768,-1+SUMPRODUCT(MAX(ROW(E12:E$4768)*(E4779=E12:E$4768)))))</f>
        <v/>
      </c>
      <c r="J4779" s="24" t="str">
        <f aca="true">IF(OR(E4779="",E4779="!!!",F4779="NEW"),"",COUNTBLANK(OFFSET(A$1,,,SUMPRODUCT(MAX(ROW(E$2:E4779)*(E4779=E$2:E4779)))))-COUNTBLANK(OFFSET(A$1,,,SUMPRODUCT(MAX(ROW(E$1:E4778)*(E2=E$1:E4778))))))</f>
        <v/>
      </c>
      <c r="K4779" s="24" t="str">
        <f aca="false">IF(OR(E4779="",E4779="!!!",F4779="NEW"),"",INDEX(J$1:J4778,SUMPRODUCT(MAX(ROW(E$1:E4778)*(E4779=E$1:E4778)))))</f>
        <v/>
      </c>
      <c r="L4779" s="31"/>
    </row>
    <row r="4780" customFormat="false" ht="15" hidden="false" customHeight="false" outlineLevel="0" collapsed="false">
      <c r="A4780" s="20" t="s">
        <v>1547</v>
      </c>
      <c r="E4780" s="23" t="str">
        <f aca="false">IF(D4780="?OLD","!!!","")</f>
        <v/>
      </c>
      <c r="F4780" s="25" t="str">
        <f aca="false">IF(OR(E4780="",E4780="!!!"),"",IF(NOT(ISNA(VLOOKUP(E4780,E$1:E4779,1,FALSE()))),"OLD",IF(AND(E4780&lt;&gt;"",E4780&lt;&gt;"!!!"),"NEW","")))</f>
        <v/>
      </c>
      <c r="G4780" s="26" t="str">
        <f aca="false">IF(OR(E4780="",E4780="!!!"),"",IF(OR(J4780=0,AND(J4780=1,K4780=1),AND(J4780=1,I4780="SBJ"),AND(J4780=1,I4780=0)),"?IN_FOCUS",IF(J4780&lt;=2,"?ACTIVATED",IF(J4780&lt;&gt;"","?FAMILIAR",IF(F4780="NEW",IF(ISNA(VLOOKUP(E4780,#REF!,1,FALSE())),"?TYPE_IDENTIFIABLE","?REFERENTIAL"),"_")))))</f>
        <v/>
      </c>
      <c r="H4780" s="27" t="str">
        <f aca="false">IF(J4780&lt;&gt;1,"",IF(I4780="SBJ","CB","?"))</f>
        <v/>
      </c>
      <c r="I4780" s="24" t="str">
        <f aca="false">IF(OR(E4780="",E4780="!!!",F4780="NEW"),"",INDEX(B13:B$4768,-1+SUMPRODUCT(MAX(ROW(E13:E$4768)*(E4780=E13:E$4768)))))</f>
        <v/>
      </c>
      <c r="J4780" s="24" t="str">
        <f aca="true">IF(OR(E4780="",E4780="!!!",F4780="NEW"),"",COUNTBLANK(OFFSET(A$1,,,SUMPRODUCT(MAX(ROW(E$2:E4780)*(E4780=E$2:E4780)))))-COUNTBLANK(OFFSET(A$1,,,SUMPRODUCT(MAX(ROW(E$1:E4779)*(E2=E$1:E4779))))))</f>
        <v/>
      </c>
      <c r="K4780" s="24" t="str">
        <f aca="false">IF(OR(E4780="",E4780="!!!",F4780="NEW"),"",INDEX(J$1:J4779,SUMPRODUCT(MAX(ROW(E$1:E4779)*(E4780=E$1:E4779)))))</f>
        <v/>
      </c>
      <c r="L4780" s="31"/>
    </row>
    <row r="4781" customFormat="false" ht="15" hidden="false" customHeight="false" outlineLevel="0" collapsed="false">
      <c r="A4781" s="20" t="s">
        <v>1064</v>
      </c>
      <c r="E4781" s="23" t="str">
        <f aca="false">IF(D4781="?OLD","!!!","")</f>
        <v/>
      </c>
      <c r="F4781" s="25" t="str">
        <f aca="false">IF(OR(E4781="",E4781="!!!"),"",IF(NOT(ISNA(VLOOKUP(E4781,E$1:E4780,1,FALSE()))),"OLD",IF(AND(E4781&lt;&gt;"",E4781&lt;&gt;"!!!"),"NEW","")))</f>
        <v/>
      </c>
      <c r="G4781" s="26" t="str">
        <f aca="false">IF(OR(E4781="",E4781="!!!"),"",IF(OR(J4781=0,AND(J4781=1,K4781=1),AND(J4781=1,I4781="SBJ"),AND(J4781=1,I4781=0)),"?IN_FOCUS",IF(J4781&lt;=2,"?ACTIVATED",IF(J4781&lt;&gt;"","?FAMILIAR",IF(F4781="NEW",IF(ISNA(VLOOKUP(E4781,#REF!,1,FALSE())),"?TYPE_IDENTIFIABLE","?REFERENTIAL"),"_")))))</f>
        <v/>
      </c>
      <c r="H4781" s="27" t="str">
        <f aca="false">IF(J4781&lt;&gt;1,"",IF(I4781="SBJ","CB","?"))</f>
        <v/>
      </c>
      <c r="I4781" s="24" t="str">
        <f aca="false">IF(OR(E4781="",E4781="!!!",F4781="NEW"),"",INDEX(B14:B$4768,-1+SUMPRODUCT(MAX(ROW(E14:E$4768)*(E4781=E14:E$4768)))))</f>
        <v/>
      </c>
      <c r="J4781" s="24" t="str">
        <f aca="true">IF(OR(E4781="",E4781="!!!",F4781="NEW"),"",COUNTBLANK(OFFSET(A$1,,,SUMPRODUCT(MAX(ROW(E$2:E4781)*(E4781=E$2:E4781)))))-COUNTBLANK(OFFSET(A$1,,,SUMPRODUCT(MAX(ROW(E$1:E4780)*(E2=E$1:E4780))))))</f>
        <v/>
      </c>
      <c r="K4781" s="24" t="str">
        <f aca="false">IF(OR(E4781="",E4781="!!!",F4781="NEW"),"",INDEX(J$1:J4780,SUMPRODUCT(MAX(ROW(E$1:E4780)*(E4781=E$1:E4780)))))</f>
        <v/>
      </c>
      <c r="L4781" s="31"/>
    </row>
    <row r="4782" customFormat="false" ht="15" hidden="false" customHeight="false" outlineLevel="0" collapsed="false">
      <c r="A4782" s="20" t="s">
        <v>1109</v>
      </c>
      <c r="E4782" s="23" t="str">
        <f aca="false">IF(D4782="?OLD","!!!","")</f>
        <v/>
      </c>
      <c r="F4782" s="25" t="str">
        <f aca="false">IF(OR(E4782="",E4782="!!!"),"",IF(NOT(ISNA(VLOOKUP(E4782,E$1:E4781,1,FALSE()))),"OLD",IF(AND(E4782&lt;&gt;"",E4782&lt;&gt;"!!!"),"NEW","")))</f>
        <v/>
      </c>
      <c r="G4782" s="26" t="str">
        <f aca="false">IF(OR(E4782="",E4782="!!!"),"",IF(OR(J4782=0,AND(J4782=1,K4782=1),AND(J4782=1,I4782="SBJ"),AND(J4782=1,I4782=0)),"?IN_FOCUS",IF(J4782&lt;=2,"?ACTIVATED",IF(J4782&lt;&gt;"","?FAMILIAR",IF(F4782="NEW",IF(ISNA(VLOOKUP(E4782,#REF!,1,FALSE())),"?TYPE_IDENTIFIABLE","?REFERENTIAL"),"_")))))</f>
        <v/>
      </c>
      <c r="H4782" s="27" t="str">
        <f aca="false">IF(J4782&lt;&gt;1,"",IF(I4782="SBJ","CB","?"))</f>
        <v/>
      </c>
      <c r="I4782" s="24" t="str">
        <f aca="false">IF(OR(E4782="",E4782="!!!",F4782="NEW"),"",INDEX(B15:B$4768,-1+SUMPRODUCT(MAX(ROW(E15:E$4768)*(E4782=E15:E$4768)))))</f>
        <v/>
      </c>
      <c r="J4782" s="24" t="str">
        <f aca="true">IF(OR(E4782="",E4782="!!!",F4782="NEW"),"",COUNTBLANK(OFFSET(A$1,,,SUMPRODUCT(MAX(ROW(E$2:E4782)*(E4782=E$2:E4782)))))-COUNTBLANK(OFFSET(A$1,,,SUMPRODUCT(MAX(ROW(E$1:E4781)*(E2=E$1:E4781))))))</f>
        <v/>
      </c>
      <c r="K4782" s="24" t="str">
        <f aca="false">IF(OR(E4782="",E4782="!!!",F4782="NEW"),"",INDEX(J$1:J4781,SUMPRODUCT(MAX(ROW(E$1:E4781)*(E4782=E$1:E4781)))))</f>
        <v/>
      </c>
      <c r="L4782" s="31"/>
    </row>
    <row r="4783" customFormat="false" ht="15" hidden="false" customHeight="false" outlineLevel="0" collapsed="false">
      <c r="A4783" s="20" t="s">
        <v>2467</v>
      </c>
      <c r="B4783" s="22" t="s">
        <v>1107</v>
      </c>
      <c r="C4783" s="22" t="s">
        <v>1150</v>
      </c>
      <c r="D4783" s="22" t="s">
        <v>1060</v>
      </c>
      <c r="E4783" s="23" t="str">
        <f aca="false">IF(D4783="?OLD","!!!","")</f>
        <v>!!!</v>
      </c>
      <c r="F4783" s="25" t="str">
        <f aca="false">IF(OR(E4783="",E4783="!!!"),"",IF(NOT(ISNA(VLOOKUP(E4783,E$1:E4782,1,FALSE()))),"OLD",IF(AND(E4783&lt;&gt;"",E4783&lt;&gt;"!!!"),"NEW","")))</f>
        <v/>
      </c>
      <c r="G4783" s="26" t="str">
        <f aca="false">IF(OR(E4783="",E4783="!!!"),"",IF(OR(J4783=0,AND(J4783=1,K4783=1),AND(J4783=1,I4783="SBJ"),AND(J4783=1,I4783=0)),"?IN_FOCUS",IF(J4783&lt;=2,"?ACTIVATED",IF(J4783&lt;&gt;"","?FAMILIAR",IF(F4783="NEW",IF(ISNA(VLOOKUP(E4783,#REF!,1,FALSE())),"?TYPE_IDENTIFIABLE","?REFERENTIAL"),"_")))))</f>
        <v/>
      </c>
      <c r="H4783" s="27" t="str">
        <f aca="false">IF(J4783&lt;&gt;1,"",IF(I4783="SBJ","CB","?"))</f>
        <v/>
      </c>
      <c r="I4783" s="24" t="str">
        <f aca="false">IF(OR(E4783="",E4783="!!!",F4783="NEW"),"",INDEX(B16:B$4768,-1+SUMPRODUCT(MAX(ROW(E16:E$4768)*(E4783=E16:E$4768)))))</f>
        <v/>
      </c>
      <c r="J4783" s="24" t="str">
        <f aca="true">IF(OR(E4783="",E4783="!!!",F4783="NEW"),"",COUNTBLANK(OFFSET(A$1,,,SUMPRODUCT(MAX(ROW(E$2:E4783)*(E4783=E$2:E4783)))))-COUNTBLANK(OFFSET(A$1,,,SUMPRODUCT(MAX(ROW(E$1:E4782)*(E2=E$1:E4782))))))</f>
        <v/>
      </c>
      <c r="K4783" s="24" t="str">
        <f aca="false">IF(OR(E4783="",E4783="!!!",F4783="NEW"),"",INDEX(J$1:J4782,SUMPRODUCT(MAX(ROW(E$1:E4782)*(E4783=E$1:E4782)))))</f>
        <v/>
      </c>
      <c r="L4783" s="31"/>
    </row>
    <row r="4784" customFormat="false" ht="15" hidden="false" customHeight="false" outlineLevel="0" collapsed="false">
      <c r="A4784" s="20" t="s">
        <v>2117</v>
      </c>
      <c r="E4784" s="23" t="str">
        <f aca="false">IF(D4784="?OLD","!!!","")</f>
        <v/>
      </c>
      <c r="F4784" s="25" t="str">
        <f aca="false">IF(OR(E4784="",E4784="!!!"),"",IF(NOT(ISNA(VLOOKUP(E4784,E$1:E4783,1,FALSE()))),"OLD",IF(AND(E4784&lt;&gt;"",E4784&lt;&gt;"!!!"),"NEW","")))</f>
        <v/>
      </c>
      <c r="G4784" s="26" t="str">
        <f aca="false">IF(OR(E4784="",E4784="!!!"),"",IF(OR(J4784=0,AND(J4784=1,K4784=1),AND(J4784=1,I4784="SBJ"),AND(J4784=1,I4784=0)),"?IN_FOCUS",IF(J4784&lt;=2,"?ACTIVATED",IF(J4784&lt;&gt;"","?FAMILIAR",IF(F4784="NEW",IF(ISNA(VLOOKUP(E4784,#REF!,1,FALSE())),"?TYPE_IDENTIFIABLE","?REFERENTIAL"),"_")))))</f>
        <v/>
      </c>
      <c r="H4784" s="27" t="str">
        <f aca="false">IF(J4784&lt;&gt;1,"",IF(I4784="SBJ","CB","?"))</f>
        <v/>
      </c>
      <c r="I4784" s="24" t="str">
        <f aca="false">IF(OR(E4784="",E4784="!!!",F4784="NEW"),"",INDEX(B17:B$4768,-1+SUMPRODUCT(MAX(ROW(E17:E$4768)*(E4784=E17:E$4768)))))</f>
        <v/>
      </c>
      <c r="J4784" s="24" t="str">
        <f aca="true">IF(OR(E4784="",E4784="!!!",F4784="NEW"),"",COUNTBLANK(OFFSET(A$1,,,SUMPRODUCT(MAX(ROW(E$2:E4784)*(E4784=E$2:E4784)))))-COUNTBLANK(OFFSET(A$1,,,SUMPRODUCT(MAX(ROW(E$1:E4783)*(E2=E$1:E4783))))))</f>
        <v/>
      </c>
      <c r="K4784" s="24" t="str">
        <f aca="false">IF(OR(E4784="",E4784="!!!",F4784="NEW"),"",INDEX(J$1:J4783,SUMPRODUCT(MAX(ROW(E$1:E4783)*(E4784=E$1:E4783)))))</f>
        <v/>
      </c>
      <c r="L4784" s="31"/>
    </row>
    <row r="4785" customFormat="false" ht="15" hidden="false" customHeight="false" outlineLevel="0" collapsed="false">
      <c r="A4785" s="20" t="s">
        <v>1220</v>
      </c>
      <c r="E4785" s="23" t="str">
        <f aca="false">IF(D4785="?OLD","!!!","")</f>
        <v/>
      </c>
      <c r="F4785" s="25" t="str">
        <f aca="false">IF(OR(E4785="",E4785="!!!"),"",IF(NOT(ISNA(VLOOKUP(E4785,E$1:E4784,1,FALSE()))),"OLD",IF(AND(E4785&lt;&gt;"",E4785&lt;&gt;"!!!"),"NEW","")))</f>
        <v/>
      </c>
      <c r="G4785" s="26" t="str">
        <f aca="false">IF(OR(E4785="",E4785="!!!"),"",IF(OR(J4785=0,AND(J4785=1,K4785=1),AND(J4785=1,I4785="SBJ"),AND(J4785=1,I4785=0)),"?IN_FOCUS",IF(J4785&lt;=2,"?ACTIVATED",IF(J4785&lt;&gt;"","?FAMILIAR",IF(F4785="NEW",IF(ISNA(VLOOKUP(E4785,#REF!,1,FALSE())),"?TYPE_IDENTIFIABLE","?REFERENTIAL"),"_")))))</f>
        <v/>
      </c>
      <c r="H4785" s="27" t="str">
        <f aca="false">IF(J4785&lt;&gt;1,"",IF(I4785="SBJ","CB","?"))</f>
        <v/>
      </c>
      <c r="I4785" s="24" t="str">
        <f aca="false">IF(OR(E4785="",E4785="!!!",F4785="NEW"),"",INDEX(B18:B$4768,-1+SUMPRODUCT(MAX(ROW(E18:E$4768)*(E4785=E18:E$4768)))))</f>
        <v/>
      </c>
      <c r="J4785" s="24" t="str">
        <f aca="true">IF(OR(E4785="",E4785="!!!",F4785="NEW"),"",COUNTBLANK(OFFSET(A$1,,,SUMPRODUCT(MAX(ROW(E$2:E4785)*(E4785=E$2:E4785)))))-COUNTBLANK(OFFSET(A$1,,,SUMPRODUCT(MAX(ROW(E$1:E4784)*(E2=E$1:E4784))))))</f>
        <v/>
      </c>
      <c r="K4785" s="24" t="str">
        <f aca="false">IF(OR(E4785="",E4785="!!!",F4785="NEW"),"",INDEX(J$1:J4784,SUMPRODUCT(MAX(ROW(E$1:E4784)*(E4785=E$1:E4784)))))</f>
        <v/>
      </c>
      <c r="L4785" s="31"/>
    </row>
    <row r="4786" customFormat="false" ht="15" hidden="false" customHeight="false" outlineLevel="0" collapsed="false">
      <c r="A4786" s="20" t="s">
        <v>267</v>
      </c>
      <c r="B4786" s="22" t="s">
        <v>1205</v>
      </c>
      <c r="C4786" s="22" t="s">
        <v>1389</v>
      </c>
      <c r="E4786" s="23" t="str">
        <f aca="false">IF(D4786="?OLD","!!!","")</f>
        <v/>
      </c>
      <c r="F4786" s="25" t="str">
        <f aca="false">IF(OR(E4786="",E4786="!!!"),"",IF(NOT(ISNA(VLOOKUP(E4786,E$1:E4785,1,FALSE()))),"OLD",IF(AND(E4786&lt;&gt;"",E4786&lt;&gt;"!!!"),"NEW","")))</f>
        <v/>
      </c>
      <c r="G4786" s="26" t="str">
        <f aca="false">IF(OR(E4786="",E4786="!!!"),"",IF(OR(J4786=0,AND(J4786=1,K4786=1),AND(J4786=1,I4786="SBJ"),AND(J4786=1,I4786=0)),"?IN_FOCUS",IF(J4786&lt;=2,"?ACTIVATED",IF(J4786&lt;&gt;"","?FAMILIAR",IF(F4786="NEW",IF(ISNA(VLOOKUP(E4786,#REF!,1,FALSE())),"?TYPE_IDENTIFIABLE","?REFERENTIAL"),"_")))))</f>
        <v/>
      </c>
      <c r="H4786" s="27" t="str">
        <f aca="false">IF(J4786&lt;&gt;1,"",IF(I4786="SBJ","CB","?"))</f>
        <v/>
      </c>
      <c r="I4786" s="24" t="str">
        <f aca="false">IF(OR(E4786="",E4786="!!!",F4786="NEW"),"",INDEX(B19:B$4768,-1+SUMPRODUCT(MAX(ROW(E19:E$4768)*(E4786=E19:E$4768)))))</f>
        <v/>
      </c>
      <c r="J4786" s="24" t="str">
        <f aca="true">IF(OR(E4786="",E4786="!!!",F4786="NEW"),"",COUNTBLANK(OFFSET(A$1,,,SUMPRODUCT(MAX(ROW(E$2:E4786)*(E4786=E$2:E4786)))))-COUNTBLANK(OFFSET(A$1,,,SUMPRODUCT(MAX(ROW(E$1:E4785)*(E2=E$1:E4785))))))</f>
        <v/>
      </c>
      <c r="K4786" s="24" t="str">
        <f aca="false">IF(OR(E4786="",E4786="!!!",F4786="NEW"),"",INDEX(J$1:J4785,SUMPRODUCT(MAX(ROW(E$1:E4785)*(E4786=E$1:E4785)))))</f>
        <v/>
      </c>
      <c r="L4786" s="31"/>
    </row>
    <row r="4787" customFormat="false" ht="15" hidden="false" customHeight="false" outlineLevel="0" collapsed="false">
      <c r="A4787" s="20" t="s">
        <v>1092</v>
      </c>
      <c r="E4787" s="23" t="str">
        <f aca="false">IF(D4787="?OLD","!!!","")</f>
        <v/>
      </c>
      <c r="F4787" s="25" t="str">
        <f aca="false">IF(OR(E4787="",E4787="!!!"),"",IF(NOT(ISNA(VLOOKUP(E4787,E$1:E4786,1,FALSE()))),"OLD",IF(AND(E4787&lt;&gt;"",E4787&lt;&gt;"!!!"),"NEW","")))</f>
        <v/>
      </c>
      <c r="G4787" s="26" t="str">
        <f aca="false">IF(OR(E4787="",E4787="!!!"),"",IF(OR(J4787=0,AND(J4787=1,K4787=1),AND(J4787=1,I4787="SBJ"),AND(J4787=1,I4787=0)),"?IN_FOCUS",IF(J4787&lt;=2,"?ACTIVATED",IF(J4787&lt;&gt;"","?FAMILIAR",IF(F4787="NEW",IF(ISNA(VLOOKUP(E4787,#REF!,1,FALSE())),"?TYPE_IDENTIFIABLE","?REFERENTIAL"),"_")))))</f>
        <v/>
      </c>
      <c r="H4787" s="27" t="str">
        <f aca="false">IF(J4787&lt;&gt;1,"",IF(I4787="SBJ","CB","?"))</f>
        <v/>
      </c>
      <c r="I4787" s="24" t="str">
        <f aca="false">IF(OR(E4787="",E4787="!!!",F4787="NEW"),"",INDEX(B20:B$4768,-1+SUMPRODUCT(MAX(ROW(E20:E$4768)*(E4787=E20:E$4768)))))</f>
        <v/>
      </c>
      <c r="J4787" s="24" t="str">
        <f aca="true">IF(OR(E4787="",E4787="!!!",F4787="NEW"),"",COUNTBLANK(OFFSET(A$1,,,SUMPRODUCT(MAX(ROW(E$2:E4787)*(E4787=E$2:E4787)))))-COUNTBLANK(OFFSET(A$1,,,SUMPRODUCT(MAX(ROW(E$1:E4786)*(E2=E$1:E4786))))))</f>
        <v/>
      </c>
      <c r="K4787" s="24" t="str">
        <f aca="false">IF(OR(E4787="",E4787="!!!",F4787="NEW"),"",INDEX(J$1:J4786,SUMPRODUCT(MAX(ROW(E$1:E4786)*(E4787=E$1:E4786)))))</f>
        <v/>
      </c>
      <c r="L4787" s="31"/>
    </row>
    <row r="4788" customFormat="false" ht="15" hidden="false" customHeight="false" outlineLevel="0" collapsed="false">
      <c r="A4788" s="20" t="s">
        <v>2468</v>
      </c>
      <c r="E4788" s="23" t="str">
        <f aca="false">IF(D4788="?OLD","!!!","")</f>
        <v/>
      </c>
      <c r="F4788" s="25" t="str">
        <f aca="false">IF(OR(E4788="",E4788="!!!"),"",IF(NOT(ISNA(VLOOKUP(E4788,E$1:E4787,1,FALSE()))),"OLD",IF(AND(E4788&lt;&gt;"",E4788&lt;&gt;"!!!"),"NEW","")))</f>
        <v/>
      </c>
      <c r="G4788" s="26" t="str">
        <f aca="false">IF(OR(E4788="",E4788="!!!"),"",IF(OR(J4788=0,AND(J4788=1,K4788=1),AND(J4788=1,I4788="SBJ"),AND(J4788=1,I4788=0)),"?IN_FOCUS",IF(J4788&lt;=2,"?ACTIVATED",IF(J4788&lt;&gt;"","?FAMILIAR",IF(F4788="NEW",IF(ISNA(VLOOKUP(E4788,#REF!,1,FALSE())),"?TYPE_IDENTIFIABLE","?REFERENTIAL"),"_")))))</f>
        <v/>
      </c>
      <c r="H4788" s="27" t="str">
        <f aca="false">IF(J4788&lt;&gt;1,"",IF(I4788="SBJ","CB","?"))</f>
        <v/>
      </c>
      <c r="I4788" s="24" t="str">
        <f aca="false">IF(OR(E4788="",E4788="!!!",F4788="NEW"),"",INDEX(B21:B$4768,-1+SUMPRODUCT(MAX(ROW(E21:E$4768)*(E4788=E21:E$4768)))))</f>
        <v/>
      </c>
      <c r="J4788" s="24" t="str">
        <f aca="true">IF(OR(E4788="",E4788="!!!",F4788="NEW"),"",COUNTBLANK(OFFSET(A$1,,,SUMPRODUCT(MAX(ROW(E$2:E4788)*(E4788=E$2:E4788)))))-COUNTBLANK(OFFSET(A$1,,,SUMPRODUCT(MAX(ROW(E$1:E4787)*(E2=E$1:E4787))))))</f>
        <v/>
      </c>
      <c r="K4788" s="24" t="str">
        <f aca="false">IF(OR(E4788="",E4788="!!!",F4788="NEW"),"",INDEX(J$1:J4787,SUMPRODUCT(MAX(ROW(E$1:E4787)*(E4788=E$1:E4787)))))</f>
        <v/>
      </c>
      <c r="L4788" s="31"/>
    </row>
    <row r="4789" customFormat="false" ht="15" hidden="false" customHeight="false" outlineLevel="0" collapsed="false">
      <c r="A4789" s="20" t="s">
        <v>923</v>
      </c>
      <c r="E4789" s="23" t="str">
        <f aca="false">IF(D4789="?OLD","!!!","")</f>
        <v/>
      </c>
      <c r="F4789" s="25" t="str">
        <f aca="false">IF(OR(E4789="",E4789="!!!"),"",IF(NOT(ISNA(VLOOKUP(E4789,E$1:E4788,1,FALSE()))),"OLD",IF(AND(E4789&lt;&gt;"",E4789&lt;&gt;"!!!"),"NEW","")))</f>
        <v/>
      </c>
      <c r="G4789" s="26" t="str">
        <f aca="false">IF(OR(E4789="",E4789="!!!"),"",IF(OR(J4789=0,AND(J4789=1,K4789=1),AND(J4789=1,I4789="SBJ"),AND(J4789=1,I4789=0)),"?IN_FOCUS",IF(J4789&lt;=2,"?ACTIVATED",IF(J4789&lt;&gt;"","?FAMILIAR",IF(F4789="NEW",IF(ISNA(VLOOKUP(E4789,#REF!,1,FALSE())),"?TYPE_IDENTIFIABLE","?REFERENTIAL"),"_")))))</f>
        <v/>
      </c>
      <c r="H4789" s="27" t="str">
        <f aca="false">IF(J4789&lt;&gt;1,"",IF(I4789="SBJ","CB","?"))</f>
        <v/>
      </c>
      <c r="I4789" s="24" t="str">
        <f aca="false">IF(OR(E4789="",E4789="!!!",F4789="NEW"),"",INDEX(B22:B$4768,-1+SUMPRODUCT(MAX(ROW(E22:E$4768)*(E4789=E22:E$4768)))))</f>
        <v/>
      </c>
      <c r="J4789" s="24" t="str">
        <f aca="true">IF(OR(E4789="",E4789="!!!",F4789="NEW"),"",COUNTBLANK(OFFSET(A$1,,,SUMPRODUCT(MAX(ROW(E$2:E4789)*(E4789=E$2:E4789)))))-COUNTBLANK(OFFSET(A$1,,,SUMPRODUCT(MAX(ROW(E$1:E4788)*(E2=E$1:E4788))))))</f>
        <v/>
      </c>
      <c r="K4789" s="24" t="str">
        <f aca="false">IF(OR(E4789="",E4789="!!!",F4789="NEW"),"",INDEX(J$1:J4788,SUMPRODUCT(MAX(ROW(E$1:E4788)*(E4789=E$1:E4788)))))</f>
        <v/>
      </c>
      <c r="L4789" s="31"/>
    </row>
    <row r="4790" customFormat="false" ht="15" hidden="false" customHeight="false" outlineLevel="0" collapsed="false">
      <c r="A4790" s="20"/>
    </row>
    <row r="4791" customFormat="false" ht="15" hidden="false" customHeight="false" outlineLevel="0" collapsed="false">
      <c r="A4791" s="20" t="s">
        <v>2469</v>
      </c>
    </row>
    <row r="4792" customFormat="false" ht="15" hidden="false" customHeight="false" outlineLevel="0" collapsed="false">
      <c r="A4792" s="20" t="s">
        <v>1066</v>
      </c>
      <c r="B4792" s="22" t="s">
        <v>1058</v>
      </c>
      <c r="C4792" s="22" t="s">
        <v>1068</v>
      </c>
      <c r="D4792" s="22" t="s">
        <v>1060</v>
      </c>
      <c r="E4792" s="23" t="str">
        <f aca="false">IF(D4792="?OLD","!!!","")</f>
        <v>!!!</v>
      </c>
      <c r="F4792" s="25" t="str">
        <f aca="false">IF(OR(E4792="",E4792="!!!"),"",IF(NOT(ISNA(VLOOKUP(E4792,E$1:E4791,1,FALSE()))),"OLD",IF(AND(E4792&lt;&gt;"",E4792&lt;&gt;"!!!"),"NEW","")))</f>
        <v/>
      </c>
      <c r="G4792" s="26" t="str">
        <f aca="false">IF(OR(E4792="",E4792="!!!"),"",IF(OR(J4792=0,AND(J4792=1,K4792=1),AND(J4792=1,I4792="SBJ"),AND(J4792=1,I4792=0)),"?IN_FOCUS",IF(J4792&lt;=2,"?ACTIVATED",IF(J4792&lt;&gt;"","?FAMILIAR",IF(F4792="NEW",IF(ISNA(VLOOKUP(E4792,#REF!,1,FALSE())),"?TYPE_IDENTIFIABLE","?REFERENTIAL"),"_")))))</f>
        <v/>
      </c>
      <c r="H4792" s="27" t="str">
        <f aca="false">IF(J4792&lt;&gt;1,"",IF(I4792="SBJ","CB","?"))</f>
        <v/>
      </c>
      <c r="I4792" s="24" t="str">
        <f aca="false">IF(OR(E4792="",E4792="!!!",F4792="NEW"),"",INDEX(B2:B$4791,-1+SUMPRODUCT(MAX(ROW(E2:E$4791)*(E4792=E2:E$4791)))))</f>
        <v/>
      </c>
      <c r="J4792" s="24" t="str">
        <f aca="true">IF(OR(E4792="",E4792="!!!",F4792="NEW"),"",COUNTBLANK(OFFSET(A$1,,,SUMPRODUCT(MAX(ROW(E$2:E4792)*(E4792=E$2:E4792)))))-COUNTBLANK(OFFSET(A$1,,,SUMPRODUCT(MAX(ROW(E$1:E4791)*(E2=E$1:E4791))))))</f>
        <v/>
      </c>
      <c r="K4792" s="24" t="str">
        <f aca="false">IF(OR(E4792="",E4792="!!!",F4792="NEW"),"",INDEX(J$1:J4791,SUMPRODUCT(MAX(ROW(E$1:E4791)*(E4792=E$1:E4791)))))</f>
        <v/>
      </c>
      <c r="L4792" s="31"/>
    </row>
    <row r="4793" customFormat="false" ht="15" hidden="false" customHeight="false" outlineLevel="0" collapsed="false">
      <c r="A4793" s="20" t="s">
        <v>716</v>
      </c>
      <c r="E4793" s="23" t="str">
        <f aca="false">IF(D4793="?OLD","!!!","")</f>
        <v/>
      </c>
      <c r="F4793" s="25" t="str">
        <f aca="false">IF(OR(E4793="",E4793="!!!"),"",IF(NOT(ISNA(VLOOKUP(E4793,E$1:E4792,1,FALSE()))),"OLD",IF(AND(E4793&lt;&gt;"",E4793&lt;&gt;"!!!"),"NEW","")))</f>
        <v/>
      </c>
      <c r="G4793" s="26" t="str">
        <f aca="false">IF(OR(E4793="",E4793="!!!"),"",IF(OR(J4793=0,AND(J4793=1,K4793=1),AND(J4793=1,I4793="SBJ"),AND(J4793=1,I4793=0)),"?IN_FOCUS",IF(J4793&lt;=2,"?ACTIVATED",IF(J4793&lt;&gt;"","?FAMILIAR",IF(F4793="NEW",IF(ISNA(VLOOKUP(E4793,#REF!,1,FALSE())),"?TYPE_IDENTIFIABLE","?REFERENTIAL"),"_")))))</f>
        <v/>
      </c>
      <c r="H4793" s="27" t="str">
        <f aca="false">IF(J4793&lt;&gt;1,"",IF(I4793="SBJ","CB","?"))</f>
        <v/>
      </c>
      <c r="I4793" s="24" t="str">
        <f aca="false">IF(OR(E4793="",E4793="!!!",F4793="NEW"),"",INDEX(B3:B$4791,-1+SUMPRODUCT(MAX(ROW(E3:E$4791)*(E4793=E3:E$4791)))))</f>
        <v/>
      </c>
      <c r="J4793" s="24" t="str">
        <f aca="true">IF(OR(E4793="",E4793="!!!",F4793="NEW"),"",COUNTBLANK(OFFSET(A$1,,,SUMPRODUCT(MAX(ROW(E$2:E4793)*(E4793=E$2:E4793)))))-COUNTBLANK(OFFSET(A$1,,,SUMPRODUCT(MAX(ROW(E$1:E4792)*(E2=E$1:E4792))))))</f>
        <v/>
      </c>
      <c r="K4793" s="24" t="str">
        <f aca="false">IF(OR(E4793="",E4793="!!!",F4793="NEW"),"",INDEX(J$1:J4792,SUMPRODUCT(MAX(ROW(E$1:E4792)*(E4793=E$1:E4792)))))</f>
        <v/>
      </c>
      <c r="L4793" s="31"/>
    </row>
    <row r="4794" customFormat="false" ht="15" hidden="false" customHeight="false" outlineLevel="0" collapsed="false">
      <c r="A4794" s="20" t="s">
        <v>1095</v>
      </c>
      <c r="E4794" s="23" t="str">
        <f aca="false">IF(D4794="?OLD","!!!","")</f>
        <v/>
      </c>
      <c r="F4794" s="25" t="str">
        <f aca="false">IF(OR(E4794="",E4794="!!!"),"",IF(NOT(ISNA(VLOOKUP(E4794,E$1:E4793,1,FALSE()))),"OLD",IF(AND(E4794&lt;&gt;"",E4794&lt;&gt;"!!!"),"NEW","")))</f>
        <v/>
      </c>
      <c r="G4794" s="26" t="str">
        <f aca="false">IF(OR(E4794="",E4794="!!!"),"",IF(OR(J4794=0,AND(J4794=1,K4794=1),AND(J4794=1,I4794="SBJ"),AND(J4794=1,I4794=0)),"?IN_FOCUS",IF(J4794&lt;=2,"?ACTIVATED",IF(J4794&lt;&gt;"","?FAMILIAR",IF(F4794="NEW",IF(ISNA(VLOOKUP(E4794,#REF!,1,FALSE())),"?TYPE_IDENTIFIABLE","?REFERENTIAL"),"_")))))</f>
        <v/>
      </c>
      <c r="H4794" s="27" t="str">
        <f aca="false">IF(J4794&lt;&gt;1,"",IF(I4794="SBJ","CB","?"))</f>
        <v/>
      </c>
      <c r="I4794" s="24" t="str">
        <f aca="false">IF(OR(E4794="",E4794="!!!",F4794="NEW"),"",INDEX(B4:B$4791,-1+SUMPRODUCT(MAX(ROW(E4:E$4791)*(E4794=E4:E$4791)))))</f>
        <v/>
      </c>
      <c r="J4794" s="24" t="str">
        <f aca="true">IF(OR(E4794="",E4794="!!!",F4794="NEW"),"",COUNTBLANK(OFFSET(A$1,,,SUMPRODUCT(MAX(ROW(E$2:E4794)*(E4794=E$2:E4794)))))-COUNTBLANK(OFFSET(A$1,,,SUMPRODUCT(MAX(ROW(E$1:E4793)*(E2=E$1:E4793))))))</f>
        <v/>
      </c>
      <c r="K4794" s="24" t="str">
        <f aca="false">IF(OR(E4794="",E4794="!!!",F4794="NEW"),"",INDEX(J$1:J4793,SUMPRODUCT(MAX(ROW(E$1:E4793)*(E4794=E$1:E4793)))))</f>
        <v/>
      </c>
      <c r="L4794" s="31"/>
    </row>
    <row r="4795" customFormat="false" ht="15" hidden="false" customHeight="false" outlineLevel="0" collapsed="false">
      <c r="A4795" s="20" t="s">
        <v>1097</v>
      </c>
      <c r="B4795" s="22" t="s">
        <v>1073</v>
      </c>
      <c r="C4795" s="22" t="s">
        <v>1099</v>
      </c>
      <c r="D4795" s="22" t="s">
        <v>1060</v>
      </c>
      <c r="E4795" s="23" t="str">
        <f aca="false">IF(D4795="?OLD","!!!","")</f>
        <v>!!!</v>
      </c>
      <c r="F4795" s="25" t="str">
        <f aca="false">IF(OR(E4795="",E4795="!!!"),"",IF(NOT(ISNA(VLOOKUP(E4795,E$1:E4794,1,FALSE()))),"OLD",IF(AND(E4795&lt;&gt;"",E4795&lt;&gt;"!!!"),"NEW","")))</f>
        <v/>
      </c>
      <c r="G4795" s="26" t="str">
        <f aca="false">IF(OR(E4795="",E4795="!!!"),"",IF(OR(J4795=0,AND(J4795=1,K4795=1),AND(J4795=1,I4795="SBJ"),AND(J4795=1,I4795=0)),"?IN_FOCUS",IF(J4795&lt;=2,"?ACTIVATED",IF(J4795&lt;&gt;"","?FAMILIAR",IF(F4795="NEW",IF(ISNA(VLOOKUP(E4795,#REF!,1,FALSE())),"?TYPE_IDENTIFIABLE","?REFERENTIAL"),"_")))))</f>
        <v/>
      </c>
      <c r="H4795" s="27" t="str">
        <f aca="false">IF(J4795&lt;&gt;1,"",IF(I4795="SBJ","CB","?"))</f>
        <v/>
      </c>
      <c r="I4795" s="24" t="str">
        <f aca="false">IF(OR(E4795="",E4795="!!!",F4795="NEW"),"",INDEX(B5:B$4791,-1+SUMPRODUCT(MAX(ROW(E5:E$4791)*(E4795=E5:E$4791)))))</f>
        <v/>
      </c>
      <c r="J4795" s="24" t="str">
        <f aca="true">IF(OR(E4795="",E4795="!!!",F4795="NEW"),"",COUNTBLANK(OFFSET(A$1,,,SUMPRODUCT(MAX(ROW(E$2:E4795)*(E4795=E$2:E4795)))))-COUNTBLANK(OFFSET(A$1,,,SUMPRODUCT(MAX(ROW(E$1:E4794)*(E2=E$1:E4794))))))</f>
        <v/>
      </c>
      <c r="K4795" s="24" t="str">
        <f aca="false">IF(OR(E4795="",E4795="!!!",F4795="NEW"),"",INDEX(J$1:J4794,SUMPRODUCT(MAX(ROW(E$1:E4794)*(E4795=E$1:E4794)))))</f>
        <v/>
      </c>
      <c r="L4795" s="31"/>
    </row>
    <row r="4796" customFormat="false" ht="15" hidden="false" customHeight="false" outlineLevel="0" collapsed="false">
      <c r="A4796" s="20" t="s">
        <v>2470</v>
      </c>
      <c r="B4796" s="22" t="s">
        <v>1105</v>
      </c>
      <c r="C4796" s="22" t="s">
        <v>1059</v>
      </c>
      <c r="D4796" s="22" t="s">
        <v>1060</v>
      </c>
      <c r="E4796" s="23" t="str">
        <f aca="false">IF(D4796="?OLD","!!!","")</f>
        <v>!!!</v>
      </c>
      <c r="F4796" s="25" t="str">
        <f aca="false">IF(OR(E4796="",E4796="!!!"),"",IF(NOT(ISNA(VLOOKUP(E4796,E$1:E4795,1,FALSE()))),"OLD",IF(AND(E4796&lt;&gt;"",E4796&lt;&gt;"!!!"),"NEW","")))</f>
        <v/>
      </c>
      <c r="G4796" s="26" t="str">
        <f aca="false">IF(OR(E4796="",E4796="!!!"),"",IF(OR(J4796=0,AND(J4796=1,K4796=1),AND(J4796=1,I4796="SBJ"),AND(J4796=1,I4796=0)),"?IN_FOCUS",IF(J4796&lt;=2,"?ACTIVATED",IF(J4796&lt;&gt;"","?FAMILIAR",IF(F4796="NEW",IF(ISNA(VLOOKUP(E4796,#REF!,1,FALSE())),"?TYPE_IDENTIFIABLE","?REFERENTIAL"),"_")))))</f>
        <v/>
      </c>
      <c r="H4796" s="27" t="str">
        <f aca="false">IF(J4796&lt;&gt;1,"",IF(I4796="SBJ","CB","?"))</f>
        <v/>
      </c>
      <c r="I4796" s="24" t="str">
        <f aca="false">IF(OR(E4796="",E4796="!!!",F4796="NEW"),"",INDEX(B6:B$4791,-1+SUMPRODUCT(MAX(ROW(E6:E$4791)*(E4796=E6:E$4791)))))</f>
        <v/>
      </c>
      <c r="J4796" s="24" t="str">
        <f aca="true">IF(OR(E4796="",E4796="!!!",F4796="NEW"),"",COUNTBLANK(OFFSET(A$1,,,SUMPRODUCT(MAX(ROW(E$2:E4796)*(E4796=E$2:E4796)))))-COUNTBLANK(OFFSET(A$1,,,SUMPRODUCT(MAX(ROW(E$1:E4795)*(E2=E$1:E4795))))))</f>
        <v/>
      </c>
      <c r="K4796" s="24" t="str">
        <f aca="false">IF(OR(E4796="",E4796="!!!",F4796="NEW"),"",INDEX(J$1:J4795,SUMPRODUCT(MAX(ROW(E$1:E4795)*(E4796=E$1:E4795)))))</f>
        <v/>
      </c>
      <c r="L4796" s="31"/>
    </row>
    <row r="4797" customFormat="false" ht="15" hidden="false" customHeight="false" outlineLevel="0" collapsed="false">
      <c r="A4797" s="20" t="s">
        <v>1157</v>
      </c>
      <c r="E4797" s="23" t="str">
        <f aca="false">IF(D4797="?OLD","!!!","")</f>
        <v/>
      </c>
      <c r="F4797" s="25" t="str">
        <f aca="false">IF(OR(E4797="",E4797="!!!"),"",IF(NOT(ISNA(VLOOKUP(E4797,E$1:E4796,1,FALSE()))),"OLD",IF(AND(E4797&lt;&gt;"",E4797&lt;&gt;"!!!"),"NEW","")))</f>
        <v/>
      </c>
      <c r="G4797" s="26" t="str">
        <f aca="false">IF(OR(E4797="",E4797="!!!"),"",IF(OR(J4797=0,AND(J4797=1,K4797=1),AND(J4797=1,I4797="SBJ"),AND(J4797=1,I4797=0)),"?IN_FOCUS",IF(J4797&lt;=2,"?ACTIVATED",IF(J4797&lt;&gt;"","?FAMILIAR",IF(F4797="NEW",IF(ISNA(VLOOKUP(E4797,#REF!,1,FALSE())),"?TYPE_IDENTIFIABLE","?REFERENTIAL"),"_")))))</f>
        <v/>
      </c>
      <c r="H4797" s="27" t="str">
        <f aca="false">IF(J4797&lt;&gt;1,"",IF(I4797="SBJ","CB","?"))</f>
        <v/>
      </c>
      <c r="I4797" s="24" t="str">
        <f aca="false">IF(OR(E4797="",E4797="!!!",F4797="NEW"),"",INDEX(B7:B$4791,-1+SUMPRODUCT(MAX(ROW(E7:E$4791)*(E4797=E7:E$4791)))))</f>
        <v/>
      </c>
      <c r="J4797" s="24" t="str">
        <f aca="true">IF(OR(E4797="",E4797="!!!",F4797="NEW"),"",COUNTBLANK(OFFSET(A$1,,,SUMPRODUCT(MAX(ROW(E$2:E4797)*(E4797=E$2:E4797)))))-COUNTBLANK(OFFSET(A$1,,,SUMPRODUCT(MAX(ROW(E$1:E4796)*(E2=E$1:E4796))))))</f>
        <v/>
      </c>
      <c r="K4797" s="24" t="str">
        <f aca="false">IF(OR(E4797="",E4797="!!!",F4797="NEW"),"",INDEX(J$1:J4796,SUMPRODUCT(MAX(ROW(E$1:E4796)*(E4797=E$1:E4796)))))</f>
        <v/>
      </c>
      <c r="L4797" s="31"/>
    </row>
    <row r="4798" customFormat="false" ht="15" hidden="false" customHeight="false" outlineLevel="0" collapsed="false">
      <c r="A4798" s="20" t="s">
        <v>1090</v>
      </c>
      <c r="B4798" s="22" t="s">
        <v>1086</v>
      </c>
      <c r="C4798" s="22" t="s">
        <v>1082</v>
      </c>
      <c r="D4798" s="22" t="s">
        <v>1060</v>
      </c>
      <c r="E4798" s="23" t="str">
        <f aca="false">IF(D4798="?OLD","!!!","")</f>
        <v>!!!</v>
      </c>
      <c r="F4798" s="25" t="str">
        <f aca="false">IF(OR(E4798="",E4798="!!!"),"",IF(NOT(ISNA(VLOOKUP(E4798,E$1:E4797,1,FALSE()))),"OLD",IF(AND(E4798&lt;&gt;"",E4798&lt;&gt;"!!!"),"NEW","")))</f>
        <v/>
      </c>
      <c r="G4798" s="26" t="str">
        <f aca="false">IF(OR(E4798="",E4798="!!!"),"",IF(OR(J4798=0,AND(J4798=1,K4798=1),AND(J4798=1,I4798="SBJ"),AND(J4798=1,I4798=0)),"?IN_FOCUS",IF(J4798&lt;=2,"?ACTIVATED",IF(J4798&lt;&gt;"","?FAMILIAR",IF(F4798="NEW",IF(ISNA(VLOOKUP(E4798,#REF!,1,FALSE())),"?TYPE_IDENTIFIABLE","?REFERENTIAL"),"_")))))</f>
        <v/>
      </c>
      <c r="H4798" s="27" t="str">
        <f aca="false">IF(J4798&lt;&gt;1,"",IF(I4798="SBJ","CB","?"))</f>
        <v/>
      </c>
      <c r="I4798" s="24" t="str">
        <f aca="false">IF(OR(E4798="",E4798="!!!",F4798="NEW"),"",INDEX(B8:B$4791,-1+SUMPRODUCT(MAX(ROW(E8:E$4791)*(E4798=E8:E$4791)))))</f>
        <v/>
      </c>
      <c r="J4798" s="24" t="str">
        <f aca="true">IF(OR(E4798="",E4798="!!!",F4798="NEW"),"",COUNTBLANK(OFFSET(A$1,,,SUMPRODUCT(MAX(ROW(E$2:E4798)*(E4798=E$2:E4798)))))-COUNTBLANK(OFFSET(A$1,,,SUMPRODUCT(MAX(ROW(E$1:E4797)*(E2=E$1:E4797))))))</f>
        <v/>
      </c>
      <c r="K4798" s="24" t="str">
        <f aca="false">IF(OR(E4798="",E4798="!!!",F4798="NEW"),"",INDEX(J$1:J4797,SUMPRODUCT(MAX(ROW(E$1:E4797)*(E4798=E$1:E4797)))))</f>
        <v/>
      </c>
      <c r="L4798" s="31"/>
    </row>
    <row r="4799" customFormat="false" ht="15" hidden="false" customHeight="false" outlineLevel="0" collapsed="false">
      <c r="A4799" s="20" t="s">
        <v>1785</v>
      </c>
      <c r="E4799" s="23" t="str">
        <f aca="false">IF(D4799="?OLD","!!!","")</f>
        <v/>
      </c>
      <c r="F4799" s="25" t="str">
        <f aca="false">IF(OR(E4799="",E4799="!!!"),"",IF(NOT(ISNA(VLOOKUP(E4799,E$1:E4798,1,FALSE()))),"OLD",IF(AND(E4799&lt;&gt;"",E4799&lt;&gt;"!!!"),"NEW","")))</f>
        <v/>
      </c>
      <c r="G4799" s="26" t="str">
        <f aca="false">IF(OR(E4799="",E4799="!!!"),"",IF(OR(J4799=0,AND(J4799=1,K4799=1),AND(J4799=1,I4799="SBJ"),AND(J4799=1,I4799=0)),"?IN_FOCUS",IF(J4799&lt;=2,"?ACTIVATED",IF(J4799&lt;&gt;"","?FAMILIAR",IF(F4799="NEW",IF(ISNA(VLOOKUP(E4799,#REF!,1,FALSE())),"?TYPE_IDENTIFIABLE","?REFERENTIAL"),"_")))))</f>
        <v/>
      </c>
      <c r="H4799" s="27" t="str">
        <f aca="false">IF(J4799&lt;&gt;1,"",IF(I4799="SBJ","CB","?"))</f>
        <v/>
      </c>
      <c r="I4799" s="24" t="str">
        <f aca="false">IF(OR(E4799="",E4799="!!!",F4799="NEW"),"",INDEX(B9:B$4791,-1+SUMPRODUCT(MAX(ROW(E9:E$4791)*(E4799=E9:E$4791)))))</f>
        <v/>
      </c>
      <c r="J4799" s="24" t="str">
        <f aca="true">IF(OR(E4799="",E4799="!!!",F4799="NEW"),"",COUNTBLANK(OFFSET(A$1,,,SUMPRODUCT(MAX(ROW(E$2:E4799)*(E4799=E$2:E4799)))))-COUNTBLANK(OFFSET(A$1,,,SUMPRODUCT(MAX(ROW(E$1:E4798)*(E2=E$1:E4798))))))</f>
        <v/>
      </c>
      <c r="K4799" s="24" t="str">
        <f aca="false">IF(OR(E4799="",E4799="!!!",F4799="NEW"),"",INDEX(J$1:J4798,SUMPRODUCT(MAX(ROW(E$1:E4798)*(E4799=E$1:E4798)))))</f>
        <v/>
      </c>
      <c r="L4799" s="31"/>
    </row>
    <row r="4800" customFormat="false" ht="15" hidden="false" customHeight="false" outlineLevel="0" collapsed="false">
      <c r="A4800" s="20" t="s">
        <v>1119</v>
      </c>
      <c r="E4800" s="23" t="str">
        <f aca="false">IF(D4800="?OLD","!!!","")</f>
        <v/>
      </c>
      <c r="F4800" s="25" t="str">
        <f aca="false">IF(OR(E4800="",E4800="!!!"),"",IF(NOT(ISNA(VLOOKUP(E4800,E$1:E4799,1,FALSE()))),"OLD",IF(AND(E4800&lt;&gt;"",E4800&lt;&gt;"!!!"),"NEW","")))</f>
        <v/>
      </c>
      <c r="G4800" s="26" t="str">
        <f aca="false">IF(OR(E4800="",E4800="!!!"),"",IF(OR(J4800=0,AND(J4800=1,K4800=1),AND(J4800=1,I4800="SBJ"),AND(J4800=1,I4800=0)),"?IN_FOCUS",IF(J4800&lt;=2,"?ACTIVATED",IF(J4800&lt;&gt;"","?FAMILIAR",IF(F4800="NEW",IF(ISNA(VLOOKUP(E4800,#REF!,1,FALSE())),"?TYPE_IDENTIFIABLE","?REFERENTIAL"),"_")))))</f>
        <v/>
      </c>
      <c r="H4800" s="27" t="str">
        <f aca="false">IF(J4800&lt;&gt;1,"",IF(I4800="SBJ","CB","?"))</f>
        <v/>
      </c>
      <c r="I4800" s="24" t="str">
        <f aca="false">IF(OR(E4800="",E4800="!!!",F4800="NEW"),"",INDEX(B10:B$4791,-1+SUMPRODUCT(MAX(ROW(E10:E$4791)*(E4800=E10:E$4791)))))</f>
        <v/>
      </c>
      <c r="J4800" s="24" t="str">
        <f aca="true">IF(OR(E4800="",E4800="!!!",F4800="NEW"),"",COUNTBLANK(OFFSET(A$1,,,SUMPRODUCT(MAX(ROW(E$2:E4800)*(E4800=E$2:E4800)))))-COUNTBLANK(OFFSET(A$1,,,SUMPRODUCT(MAX(ROW(E$1:E4799)*(E2=E$1:E4799))))))</f>
        <v/>
      </c>
      <c r="K4800" s="24" t="str">
        <f aca="false">IF(OR(E4800="",E4800="!!!",F4800="NEW"),"",INDEX(J$1:J4799,SUMPRODUCT(MAX(ROW(E$1:E4799)*(E4800=E$1:E4799)))))</f>
        <v/>
      </c>
      <c r="L4800" s="31"/>
    </row>
    <row r="4801" customFormat="false" ht="15" hidden="false" customHeight="false" outlineLevel="0" collapsed="false">
      <c r="A4801" s="20" t="s">
        <v>1109</v>
      </c>
      <c r="E4801" s="23" t="str">
        <f aca="false">IF(D4801="?OLD","!!!","")</f>
        <v/>
      </c>
      <c r="F4801" s="25" t="str">
        <f aca="false">IF(OR(E4801="",E4801="!!!"),"",IF(NOT(ISNA(VLOOKUP(E4801,E$1:E4800,1,FALSE()))),"OLD",IF(AND(E4801&lt;&gt;"",E4801&lt;&gt;"!!!"),"NEW","")))</f>
        <v/>
      </c>
      <c r="G4801" s="26" t="str">
        <f aca="false">IF(OR(E4801="",E4801="!!!"),"",IF(OR(J4801=0,AND(J4801=1,K4801=1),AND(J4801=1,I4801="SBJ"),AND(J4801=1,I4801=0)),"?IN_FOCUS",IF(J4801&lt;=2,"?ACTIVATED",IF(J4801&lt;&gt;"","?FAMILIAR",IF(F4801="NEW",IF(ISNA(VLOOKUP(E4801,#REF!,1,FALSE())),"?TYPE_IDENTIFIABLE","?REFERENTIAL"),"_")))))</f>
        <v/>
      </c>
      <c r="H4801" s="27" t="str">
        <f aca="false">IF(J4801&lt;&gt;1,"",IF(I4801="SBJ","CB","?"))</f>
        <v/>
      </c>
      <c r="I4801" s="24" t="str">
        <f aca="false">IF(OR(E4801="",E4801="!!!",F4801="NEW"),"",INDEX(B11:B$4791,-1+SUMPRODUCT(MAX(ROW(E11:E$4791)*(E4801=E11:E$4791)))))</f>
        <v/>
      </c>
      <c r="J4801" s="24" t="str">
        <f aca="true">IF(OR(E4801="",E4801="!!!",F4801="NEW"),"",COUNTBLANK(OFFSET(A$1,,,SUMPRODUCT(MAX(ROW(E$2:E4801)*(E4801=E$2:E4801)))))-COUNTBLANK(OFFSET(A$1,,,SUMPRODUCT(MAX(ROW(E$1:E4800)*(E2=E$1:E4800))))))</f>
        <v/>
      </c>
      <c r="K4801" s="24" t="str">
        <f aca="false">IF(OR(E4801="",E4801="!!!",F4801="NEW"),"",INDEX(J$1:J4800,SUMPRODUCT(MAX(ROW(E$1:E4800)*(E4801=E$1:E4800)))))</f>
        <v/>
      </c>
      <c r="L4801" s="31"/>
    </row>
    <row r="4802" customFormat="false" ht="15" hidden="false" customHeight="false" outlineLevel="0" collapsed="false">
      <c r="A4802" s="20" t="s">
        <v>1458</v>
      </c>
      <c r="B4802" s="22" t="s">
        <v>1073</v>
      </c>
      <c r="C4802" s="22" t="s">
        <v>1150</v>
      </c>
      <c r="D4802" s="22" t="s">
        <v>1060</v>
      </c>
      <c r="E4802" s="23" t="str">
        <f aca="false">IF(D4802="?OLD","!!!","")</f>
        <v>!!!</v>
      </c>
      <c r="F4802" s="25" t="str">
        <f aca="false">IF(OR(E4802="",E4802="!!!"),"",IF(NOT(ISNA(VLOOKUP(E4802,E$1:E4801,1,FALSE()))),"OLD",IF(AND(E4802&lt;&gt;"",E4802&lt;&gt;"!!!"),"NEW","")))</f>
        <v/>
      </c>
      <c r="G4802" s="26" t="str">
        <f aca="false">IF(OR(E4802="",E4802="!!!"),"",IF(OR(J4802=0,AND(J4802=1,K4802=1),AND(J4802=1,I4802="SBJ"),AND(J4802=1,I4802=0)),"?IN_FOCUS",IF(J4802&lt;=2,"?ACTIVATED",IF(J4802&lt;&gt;"","?FAMILIAR",IF(F4802="NEW",IF(ISNA(VLOOKUP(E4802,#REF!,1,FALSE())),"?TYPE_IDENTIFIABLE","?REFERENTIAL"),"_")))))</f>
        <v/>
      </c>
      <c r="H4802" s="27" t="str">
        <f aca="false">IF(J4802&lt;&gt;1,"",IF(I4802="SBJ","CB","?"))</f>
        <v/>
      </c>
      <c r="I4802" s="24" t="str">
        <f aca="false">IF(OR(E4802="",E4802="!!!",F4802="NEW"),"",INDEX(B12:B$4791,-1+SUMPRODUCT(MAX(ROW(E12:E$4791)*(E4802=E12:E$4791)))))</f>
        <v/>
      </c>
      <c r="J4802" s="24" t="str">
        <f aca="true">IF(OR(E4802="",E4802="!!!",F4802="NEW"),"",COUNTBLANK(OFFSET(A$1,,,SUMPRODUCT(MAX(ROW(E$2:E4802)*(E4802=E$2:E4802)))))-COUNTBLANK(OFFSET(A$1,,,SUMPRODUCT(MAX(ROW(E$1:E4801)*(E2=E$1:E4801))))))</f>
        <v/>
      </c>
      <c r="K4802" s="24" t="str">
        <f aca="false">IF(OR(E4802="",E4802="!!!",F4802="NEW"),"",INDEX(J$1:J4801,SUMPRODUCT(MAX(ROW(E$1:E4801)*(E4802=E$1:E4801)))))</f>
        <v/>
      </c>
      <c r="L4802" s="31"/>
    </row>
    <row r="4803" customFormat="false" ht="15" hidden="false" customHeight="false" outlineLevel="0" collapsed="false">
      <c r="A4803" s="20" t="s">
        <v>1095</v>
      </c>
      <c r="E4803" s="23" t="str">
        <f aca="false">IF(D4803="?OLD","!!!","")</f>
        <v/>
      </c>
      <c r="F4803" s="25" t="str">
        <f aca="false">IF(OR(E4803="",E4803="!!!"),"",IF(NOT(ISNA(VLOOKUP(E4803,E$1:E4802,1,FALSE()))),"OLD",IF(AND(E4803&lt;&gt;"",E4803&lt;&gt;"!!!"),"NEW","")))</f>
        <v/>
      </c>
      <c r="G4803" s="26" t="str">
        <f aca="false">IF(OR(E4803="",E4803="!!!"),"",IF(OR(J4803=0,AND(J4803=1,K4803=1),AND(J4803=1,I4803="SBJ"),AND(J4803=1,I4803=0)),"?IN_FOCUS",IF(J4803&lt;=2,"?ACTIVATED",IF(J4803&lt;&gt;"","?FAMILIAR",IF(F4803="NEW",IF(ISNA(VLOOKUP(E4803,#REF!,1,FALSE())),"?TYPE_IDENTIFIABLE","?REFERENTIAL"),"_")))))</f>
        <v/>
      </c>
      <c r="H4803" s="27" t="str">
        <f aca="false">IF(J4803&lt;&gt;1,"",IF(I4803="SBJ","CB","?"))</f>
        <v/>
      </c>
      <c r="I4803" s="24" t="str">
        <f aca="false">IF(OR(E4803="",E4803="!!!",F4803="NEW"),"",INDEX(B13:B$4791,-1+SUMPRODUCT(MAX(ROW(E13:E$4791)*(E4803=E13:E$4791)))))</f>
        <v/>
      </c>
      <c r="J4803" s="24" t="str">
        <f aca="true">IF(OR(E4803="",E4803="!!!",F4803="NEW"),"",COUNTBLANK(OFFSET(A$1,,,SUMPRODUCT(MAX(ROW(E$2:E4803)*(E4803=E$2:E4803)))))-COUNTBLANK(OFFSET(A$1,,,SUMPRODUCT(MAX(ROW(E$1:E4802)*(E2=E$1:E4802))))))</f>
        <v/>
      </c>
      <c r="K4803" s="24" t="str">
        <f aca="false">IF(OR(E4803="",E4803="!!!",F4803="NEW"),"",INDEX(J$1:J4802,SUMPRODUCT(MAX(ROW(E$1:E4802)*(E4803=E$1:E4802)))))</f>
        <v/>
      </c>
      <c r="L4803" s="31"/>
    </row>
    <row r="4804" customFormat="false" ht="15" hidden="false" customHeight="false" outlineLevel="0" collapsed="false">
      <c r="A4804" s="20" t="s">
        <v>2471</v>
      </c>
      <c r="E4804" s="23" t="str">
        <f aca="false">IF(D4804="?OLD","!!!","")</f>
        <v/>
      </c>
      <c r="F4804" s="25" t="str">
        <f aca="false">IF(OR(E4804="",E4804="!!!"),"",IF(NOT(ISNA(VLOOKUP(E4804,E$1:E4803,1,FALSE()))),"OLD",IF(AND(E4804&lt;&gt;"",E4804&lt;&gt;"!!!"),"NEW","")))</f>
        <v/>
      </c>
      <c r="G4804" s="26" t="str">
        <f aca="false">IF(OR(E4804="",E4804="!!!"),"",IF(OR(J4804=0,AND(J4804=1,K4804=1),AND(J4804=1,I4804="SBJ"),AND(J4804=1,I4804=0)),"?IN_FOCUS",IF(J4804&lt;=2,"?ACTIVATED",IF(J4804&lt;&gt;"","?FAMILIAR",IF(F4804="NEW",IF(ISNA(VLOOKUP(E4804,#REF!,1,FALSE())),"?TYPE_IDENTIFIABLE","?REFERENTIAL"),"_")))))</f>
        <v/>
      </c>
      <c r="H4804" s="27" t="str">
        <f aca="false">IF(J4804&lt;&gt;1,"",IF(I4804="SBJ","CB","?"))</f>
        <v/>
      </c>
      <c r="I4804" s="24" t="str">
        <f aca="false">IF(OR(E4804="",E4804="!!!",F4804="NEW"),"",INDEX(B14:B$4791,-1+SUMPRODUCT(MAX(ROW(E14:E$4791)*(E4804=E14:E$4791)))))</f>
        <v/>
      </c>
      <c r="J4804" s="24" t="str">
        <f aca="true">IF(OR(E4804="",E4804="!!!",F4804="NEW"),"",COUNTBLANK(OFFSET(A$1,,,SUMPRODUCT(MAX(ROW(E$2:E4804)*(E4804=E$2:E4804)))))-COUNTBLANK(OFFSET(A$1,,,SUMPRODUCT(MAX(ROW(E$1:E4803)*(E2=E$1:E4803))))))</f>
        <v/>
      </c>
      <c r="K4804" s="24" t="str">
        <f aca="false">IF(OR(E4804="",E4804="!!!",F4804="NEW"),"",INDEX(J$1:J4803,SUMPRODUCT(MAX(ROW(E$1:E4803)*(E4804=E$1:E4803)))))</f>
        <v/>
      </c>
      <c r="L4804" s="31"/>
    </row>
    <row r="4805" customFormat="false" ht="15" hidden="false" customHeight="false" outlineLevel="0" collapsed="false">
      <c r="A4805" s="20" t="s">
        <v>1080</v>
      </c>
      <c r="B4805" s="22" t="s">
        <v>1146</v>
      </c>
      <c r="C4805" s="22" t="s">
        <v>1082</v>
      </c>
      <c r="D4805" s="22" t="s">
        <v>1060</v>
      </c>
      <c r="E4805" s="23" t="str">
        <f aca="false">IF(D4805="?OLD","!!!","")</f>
        <v>!!!</v>
      </c>
      <c r="F4805" s="25" t="str">
        <f aca="false">IF(OR(E4805="",E4805="!!!"),"",IF(NOT(ISNA(VLOOKUP(E4805,E$1:E4804,1,FALSE()))),"OLD",IF(AND(E4805&lt;&gt;"",E4805&lt;&gt;"!!!"),"NEW","")))</f>
        <v/>
      </c>
      <c r="G4805" s="26" t="str">
        <f aca="false">IF(OR(E4805="",E4805="!!!"),"",IF(OR(J4805=0,AND(J4805=1,K4805=1),AND(J4805=1,I4805="SBJ"),AND(J4805=1,I4805=0)),"?IN_FOCUS",IF(J4805&lt;=2,"?ACTIVATED",IF(J4805&lt;&gt;"","?FAMILIAR",IF(F4805="NEW",IF(ISNA(VLOOKUP(E4805,#REF!,1,FALSE())),"?TYPE_IDENTIFIABLE","?REFERENTIAL"),"_")))))</f>
        <v/>
      </c>
      <c r="H4805" s="27" t="str">
        <f aca="false">IF(J4805&lt;&gt;1,"",IF(I4805="SBJ","CB","?"))</f>
        <v/>
      </c>
      <c r="I4805" s="24" t="str">
        <f aca="false">IF(OR(E4805="",E4805="!!!",F4805="NEW"),"",INDEX(B15:B$4791,-1+SUMPRODUCT(MAX(ROW(E15:E$4791)*(E4805=E15:E$4791)))))</f>
        <v/>
      </c>
      <c r="J4805" s="24" t="str">
        <f aca="true">IF(OR(E4805="",E4805="!!!",F4805="NEW"),"",COUNTBLANK(OFFSET(A$1,,,SUMPRODUCT(MAX(ROW(E$2:E4805)*(E4805=E$2:E4805)))))-COUNTBLANK(OFFSET(A$1,,,SUMPRODUCT(MAX(ROW(E$1:E4804)*(E2=E$1:E4804))))))</f>
        <v/>
      </c>
      <c r="K4805" s="24" t="str">
        <f aca="false">IF(OR(E4805="",E4805="!!!",F4805="NEW"),"",INDEX(J$1:J4804,SUMPRODUCT(MAX(ROW(E$1:E4804)*(E4805=E$1:E4804)))))</f>
        <v/>
      </c>
      <c r="L4805" s="31"/>
    </row>
    <row r="4806" customFormat="false" ht="15" hidden="false" customHeight="false" outlineLevel="0" collapsed="false">
      <c r="A4806" s="20" t="s">
        <v>1076</v>
      </c>
      <c r="E4806" s="23" t="str">
        <f aca="false">IF(D4806="?OLD","!!!","")</f>
        <v/>
      </c>
      <c r="F4806" s="25" t="str">
        <f aca="false">IF(OR(E4806="",E4806="!!!"),"",IF(NOT(ISNA(VLOOKUP(E4806,E$1:E4805,1,FALSE()))),"OLD",IF(AND(E4806&lt;&gt;"",E4806&lt;&gt;"!!!"),"NEW","")))</f>
        <v/>
      </c>
      <c r="G4806" s="26" t="str">
        <f aca="false">IF(OR(E4806="",E4806="!!!"),"",IF(OR(J4806=0,AND(J4806=1,K4806=1),AND(J4806=1,I4806="SBJ"),AND(J4806=1,I4806=0)),"?IN_FOCUS",IF(J4806&lt;=2,"?ACTIVATED",IF(J4806&lt;&gt;"","?FAMILIAR",IF(F4806="NEW",IF(ISNA(VLOOKUP(E4806,#REF!,1,FALSE())),"?TYPE_IDENTIFIABLE","?REFERENTIAL"),"_")))))</f>
        <v/>
      </c>
      <c r="H4806" s="27" t="str">
        <f aca="false">IF(J4806&lt;&gt;1,"",IF(I4806="SBJ","CB","?"))</f>
        <v/>
      </c>
      <c r="I4806" s="24" t="str">
        <f aca="false">IF(OR(E4806="",E4806="!!!",F4806="NEW"),"",INDEX(B16:B$4791,-1+SUMPRODUCT(MAX(ROW(E16:E$4791)*(E4806=E16:E$4791)))))</f>
        <v/>
      </c>
      <c r="J4806" s="24" t="str">
        <f aca="true">IF(OR(E4806="",E4806="!!!",F4806="NEW"),"",COUNTBLANK(OFFSET(A$1,,,SUMPRODUCT(MAX(ROW(E$2:E4806)*(E4806=E$2:E4806)))))-COUNTBLANK(OFFSET(A$1,,,SUMPRODUCT(MAX(ROW(E$1:E4805)*(E2=E$1:E4805))))))</f>
        <v/>
      </c>
      <c r="K4806" s="24" t="str">
        <f aca="false">IF(OR(E4806="",E4806="!!!",F4806="NEW"),"",INDEX(J$1:J4805,SUMPRODUCT(MAX(ROW(E$1:E4805)*(E4806=E$1:E4805)))))</f>
        <v/>
      </c>
      <c r="L4806" s="31"/>
    </row>
    <row r="4807" customFormat="false" ht="15" hidden="false" customHeight="false" outlineLevel="0" collapsed="false">
      <c r="A4807" s="20" t="s">
        <v>1128</v>
      </c>
      <c r="E4807" s="23" t="str">
        <f aca="false">IF(D4807="?OLD","!!!","")</f>
        <v/>
      </c>
      <c r="F4807" s="25" t="str">
        <f aca="false">IF(OR(E4807="",E4807="!!!"),"",IF(NOT(ISNA(VLOOKUP(E4807,E$1:E4806,1,FALSE()))),"OLD",IF(AND(E4807&lt;&gt;"",E4807&lt;&gt;"!!!"),"NEW","")))</f>
        <v/>
      </c>
      <c r="G4807" s="26" t="str">
        <f aca="false">IF(OR(E4807="",E4807="!!!"),"",IF(OR(J4807=0,AND(J4807=1,K4807=1),AND(J4807=1,I4807="SBJ"),AND(J4807=1,I4807=0)),"?IN_FOCUS",IF(J4807&lt;=2,"?ACTIVATED",IF(J4807&lt;&gt;"","?FAMILIAR",IF(F4807="NEW",IF(ISNA(VLOOKUP(E4807,#REF!,1,FALSE())),"?TYPE_IDENTIFIABLE","?REFERENTIAL"),"_")))))</f>
        <v/>
      </c>
      <c r="H4807" s="27" t="str">
        <f aca="false">IF(J4807&lt;&gt;1,"",IF(I4807="SBJ","CB","?"))</f>
        <v/>
      </c>
      <c r="I4807" s="24" t="str">
        <f aca="false">IF(OR(E4807="",E4807="!!!",F4807="NEW"),"",INDEX(B17:B$4791,-1+SUMPRODUCT(MAX(ROW(E17:E$4791)*(E4807=E17:E$4791)))))</f>
        <v/>
      </c>
      <c r="J4807" s="24" t="str">
        <f aca="true">IF(OR(E4807="",E4807="!!!",F4807="NEW"),"",COUNTBLANK(OFFSET(A$1,,,SUMPRODUCT(MAX(ROW(E$2:E4807)*(E4807=E$2:E4807)))))-COUNTBLANK(OFFSET(A$1,,,SUMPRODUCT(MAX(ROW(E$1:E4806)*(E2=E$1:E4806))))))</f>
        <v/>
      </c>
      <c r="K4807" s="24" t="str">
        <f aca="false">IF(OR(E4807="",E4807="!!!",F4807="NEW"),"",INDEX(J$1:J4806,SUMPRODUCT(MAX(ROW(E$1:E4806)*(E4807=E$1:E4806)))))</f>
        <v/>
      </c>
      <c r="L4807" s="31"/>
    </row>
    <row r="4808" customFormat="false" ht="15" hidden="false" customHeight="false" outlineLevel="0" collapsed="false">
      <c r="A4808" s="20" t="s">
        <v>1164</v>
      </c>
      <c r="E4808" s="23" t="str">
        <f aca="false">IF(D4808="?OLD","!!!","")</f>
        <v/>
      </c>
      <c r="F4808" s="25" t="str">
        <f aca="false">IF(OR(E4808="",E4808="!!!"),"",IF(NOT(ISNA(VLOOKUP(E4808,E$1:E4807,1,FALSE()))),"OLD",IF(AND(E4808&lt;&gt;"",E4808&lt;&gt;"!!!"),"NEW","")))</f>
        <v/>
      </c>
      <c r="G4808" s="26" t="str">
        <f aca="false">IF(OR(E4808="",E4808="!!!"),"",IF(OR(J4808=0,AND(J4808=1,K4808=1),AND(J4808=1,I4808="SBJ"),AND(J4808=1,I4808=0)),"?IN_FOCUS",IF(J4808&lt;=2,"?ACTIVATED",IF(J4808&lt;&gt;"","?FAMILIAR",IF(F4808="NEW",IF(ISNA(VLOOKUP(E4808,#REF!,1,FALSE())),"?TYPE_IDENTIFIABLE","?REFERENTIAL"),"_")))))</f>
        <v/>
      </c>
      <c r="H4808" s="27" t="str">
        <f aca="false">IF(J4808&lt;&gt;1,"",IF(I4808="SBJ","CB","?"))</f>
        <v/>
      </c>
      <c r="I4808" s="24" t="str">
        <f aca="false">IF(OR(E4808="",E4808="!!!",F4808="NEW"),"",INDEX(B18:B$4791,-1+SUMPRODUCT(MAX(ROW(E18:E$4791)*(E4808=E18:E$4791)))))</f>
        <v/>
      </c>
      <c r="J4808" s="24" t="str">
        <f aca="true">IF(OR(E4808="",E4808="!!!",F4808="NEW"),"",COUNTBLANK(OFFSET(A$1,,,SUMPRODUCT(MAX(ROW(E$2:E4808)*(E4808=E$2:E4808)))))-COUNTBLANK(OFFSET(A$1,,,SUMPRODUCT(MAX(ROW(E$1:E4807)*(E2=E$1:E4807))))))</f>
        <v/>
      </c>
      <c r="K4808" s="24" t="str">
        <f aca="false">IF(OR(E4808="",E4808="!!!",F4808="NEW"),"",INDEX(J$1:J4807,SUMPRODUCT(MAX(ROW(E$1:E4807)*(E4808=E$1:E4807)))))</f>
        <v/>
      </c>
      <c r="L4808" s="31"/>
    </row>
    <row r="4809" customFormat="false" ht="15" hidden="false" customHeight="false" outlineLevel="0" collapsed="false">
      <c r="A4809" s="20" t="s">
        <v>1186</v>
      </c>
      <c r="B4809" s="22" t="s">
        <v>1086</v>
      </c>
      <c r="C4809" s="22" t="s">
        <v>1082</v>
      </c>
      <c r="D4809" s="22" t="s">
        <v>1060</v>
      </c>
      <c r="E4809" s="23" t="str">
        <f aca="false">IF(D4809="?OLD","!!!","")</f>
        <v>!!!</v>
      </c>
      <c r="F4809" s="25" t="str">
        <f aca="false">IF(OR(E4809="",E4809="!!!"),"",IF(NOT(ISNA(VLOOKUP(E4809,E$1:E4808,1,FALSE()))),"OLD",IF(AND(E4809&lt;&gt;"",E4809&lt;&gt;"!!!"),"NEW","")))</f>
        <v/>
      </c>
      <c r="G4809" s="26" t="str">
        <f aca="false">IF(OR(E4809="",E4809="!!!"),"",IF(OR(J4809=0,AND(J4809=1,K4809=1),AND(J4809=1,I4809="SBJ"),AND(J4809=1,I4809=0)),"?IN_FOCUS",IF(J4809&lt;=2,"?ACTIVATED",IF(J4809&lt;&gt;"","?FAMILIAR",IF(F4809="NEW",IF(ISNA(VLOOKUP(E4809,#REF!,1,FALSE())),"?TYPE_IDENTIFIABLE","?REFERENTIAL"),"_")))))</f>
        <v/>
      </c>
      <c r="H4809" s="27" t="str">
        <f aca="false">IF(J4809&lt;&gt;1,"",IF(I4809="SBJ","CB","?"))</f>
        <v/>
      </c>
      <c r="I4809" s="24" t="str">
        <f aca="false">IF(OR(E4809="",E4809="!!!",F4809="NEW"),"",INDEX(B19:B$4791,-1+SUMPRODUCT(MAX(ROW(E19:E$4791)*(E4809=E19:E$4791)))))</f>
        <v/>
      </c>
      <c r="J4809" s="24" t="str">
        <f aca="true">IF(OR(E4809="",E4809="!!!",F4809="NEW"),"",COUNTBLANK(OFFSET(A$1,,,SUMPRODUCT(MAX(ROW(E$2:E4809)*(E4809=E$2:E4809)))))-COUNTBLANK(OFFSET(A$1,,,SUMPRODUCT(MAX(ROW(E$1:E4808)*(E2=E$1:E4808))))))</f>
        <v/>
      </c>
      <c r="K4809" s="24" t="str">
        <f aca="false">IF(OR(E4809="",E4809="!!!",F4809="NEW"),"",INDEX(J$1:J4808,SUMPRODUCT(MAX(ROW(E$1:E4808)*(E4809=E$1:E4808)))))</f>
        <v/>
      </c>
      <c r="L4809" s="31"/>
    </row>
    <row r="4810" customFormat="false" ht="15" hidden="false" customHeight="false" outlineLevel="0" collapsed="false">
      <c r="A4810" s="20" t="s">
        <v>1279</v>
      </c>
      <c r="E4810" s="23" t="str">
        <f aca="false">IF(D4810="?OLD","!!!","")</f>
        <v/>
      </c>
      <c r="F4810" s="25" t="str">
        <f aca="false">IF(OR(E4810="",E4810="!!!"),"",IF(NOT(ISNA(VLOOKUP(E4810,E$1:E4809,1,FALSE()))),"OLD",IF(AND(E4810&lt;&gt;"",E4810&lt;&gt;"!!!"),"NEW","")))</f>
        <v/>
      </c>
      <c r="G4810" s="26" t="str">
        <f aca="false">IF(OR(E4810="",E4810="!!!"),"",IF(OR(J4810=0,AND(J4810=1,K4810=1),AND(J4810=1,I4810="SBJ"),AND(J4810=1,I4810=0)),"?IN_FOCUS",IF(J4810&lt;=2,"?ACTIVATED",IF(J4810&lt;&gt;"","?FAMILIAR",IF(F4810="NEW",IF(ISNA(VLOOKUP(E4810,#REF!,1,FALSE())),"?TYPE_IDENTIFIABLE","?REFERENTIAL"),"_")))))</f>
        <v/>
      </c>
      <c r="H4810" s="27" t="str">
        <f aca="false">IF(J4810&lt;&gt;1,"",IF(I4810="SBJ","CB","?"))</f>
        <v/>
      </c>
      <c r="I4810" s="24" t="str">
        <f aca="false">IF(OR(E4810="",E4810="!!!",F4810="NEW"),"",INDEX(B20:B$4791,-1+SUMPRODUCT(MAX(ROW(E20:E$4791)*(E4810=E20:E$4791)))))</f>
        <v/>
      </c>
      <c r="J4810" s="24" t="str">
        <f aca="true">IF(OR(E4810="",E4810="!!!",F4810="NEW"),"",COUNTBLANK(OFFSET(A$1,,,SUMPRODUCT(MAX(ROW(E$2:E4810)*(E4810=E$2:E4810)))))-COUNTBLANK(OFFSET(A$1,,,SUMPRODUCT(MAX(ROW(E$1:E4809)*(E2=E$1:E4809))))))</f>
        <v/>
      </c>
      <c r="K4810" s="24" t="str">
        <f aca="false">IF(OR(E4810="",E4810="!!!",F4810="NEW"),"",INDEX(J$1:J4809,SUMPRODUCT(MAX(ROW(E$1:E4809)*(E4810=E$1:E4809)))))</f>
        <v/>
      </c>
      <c r="L4810" s="31"/>
    </row>
    <row r="4811" customFormat="false" ht="15" hidden="false" customHeight="false" outlineLevel="0" collapsed="false">
      <c r="A4811" s="20" t="s">
        <v>1414</v>
      </c>
      <c r="E4811" s="23" t="str">
        <f aca="false">IF(D4811="?OLD","!!!","")</f>
        <v/>
      </c>
      <c r="F4811" s="25" t="str">
        <f aca="false">IF(OR(E4811="",E4811="!!!"),"",IF(NOT(ISNA(VLOOKUP(E4811,E$1:E4810,1,FALSE()))),"OLD",IF(AND(E4811&lt;&gt;"",E4811&lt;&gt;"!!!"),"NEW","")))</f>
        <v/>
      </c>
      <c r="G4811" s="26" t="str">
        <f aca="false">IF(OR(E4811="",E4811="!!!"),"",IF(OR(J4811=0,AND(J4811=1,K4811=1),AND(J4811=1,I4811="SBJ"),AND(J4811=1,I4811=0)),"?IN_FOCUS",IF(J4811&lt;=2,"?ACTIVATED",IF(J4811&lt;&gt;"","?FAMILIAR",IF(F4811="NEW",IF(ISNA(VLOOKUP(E4811,#REF!,1,FALSE())),"?TYPE_IDENTIFIABLE","?REFERENTIAL"),"_")))))</f>
        <v/>
      </c>
      <c r="H4811" s="27" t="str">
        <f aca="false">IF(J4811&lt;&gt;1,"",IF(I4811="SBJ","CB","?"))</f>
        <v/>
      </c>
      <c r="I4811" s="24" t="str">
        <f aca="false">IF(OR(E4811="",E4811="!!!",F4811="NEW"),"",INDEX(B21:B$4791,-1+SUMPRODUCT(MAX(ROW(E21:E$4791)*(E4811=E21:E$4791)))))</f>
        <v/>
      </c>
      <c r="J4811" s="24" t="str">
        <f aca="true">IF(OR(E4811="",E4811="!!!",F4811="NEW"),"",COUNTBLANK(OFFSET(A$1,,,SUMPRODUCT(MAX(ROW(E$2:E4811)*(E4811=E$2:E4811)))))-COUNTBLANK(OFFSET(A$1,,,SUMPRODUCT(MAX(ROW(E$1:E4810)*(E2=E$1:E4810))))))</f>
        <v/>
      </c>
      <c r="K4811" s="24" t="str">
        <f aca="false">IF(OR(E4811="",E4811="!!!",F4811="NEW"),"",INDEX(J$1:J4810,SUMPRODUCT(MAX(ROW(E$1:E4810)*(E4811=E$1:E4810)))))</f>
        <v/>
      </c>
      <c r="L4811" s="31"/>
    </row>
    <row r="4812" customFormat="false" ht="15" hidden="false" customHeight="false" outlineLevel="0" collapsed="false">
      <c r="A4812" s="20" t="s">
        <v>1555</v>
      </c>
      <c r="B4812" s="22" t="s">
        <v>1105</v>
      </c>
      <c r="C4812" s="22" t="s">
        <v>1575</v>
      </c>
      <c r="D4812" s="22" t="s">
        <v>1060</v>
      </c>
      <c r="E4812" s="23" t="str">
        <f aca="false">IF(D4812="?OLD","!!!","")</f>
        <v>!!!</v>
      </c>
      <c r="F4812" s="25" t="str">
        <f aca="false">IF(OR(E4812="",E4812="!!!"),"",IF(NOT(ISNA(VLOOKUP(E4812,E$1:E4811,1,FALSE()))),"OLD",IF(AND(E4812&lt;&gt;"",E4812&lt;&gt;"!!!"),"NEW","")))</f>
        <v/>
      </c>
      <c r="G4812" s="26" t="str">
        <f aca="false">IF(OR(E4812="",E4812="!!!"),"",IF(OR(J4812=0,AND(J4812=1,K4812=1),AND(J4812=1,I4812="SBJ"),AND(J4812=1,I4812=0)),"?IN_FOCUS",IF(J4812&lt;=2,"?ACTIVATED",IF(J4812&lt;&gt;"","?FAMILIAR",IF(F4812="NEW",IF(ISNA(VLOOKUP(E4812,#REF!,1,FALSE())),"?TYPE_IDENTIFIABLE","?REFERENTIAL"),"_")))))</f>
        <v/>
      </c>
      <c r="H4812" s="27" t="str">
        <f aca="false">IF(J4812&lt;&gt;1,"",IF(I4812="SBJ","CB","?"))</f>
        <v/>
      </c>
      <c r="I4812" s="24" t="str">
        <f aca="false">IF(OR(E4812="",E4812="!!!",F4812="NEW"),"",INDEX(B22:B$4791,-1+SUMPRODUCT(MAX(ROW(E22:E$4791)*(E4812=E22:E$4791)))))</f>
        <v/>
      </c>
      <c r="J4812" s="24" t="str">
        <f aca="true">IF(OR(E4812="",E4812="!!!",F4812="NEW"),"",COUNTBLANK(OFFSET(A$1,,,SUMPRODUCT(MAX(ROW(E$2:E4812)*(E4812=E$2:E4812)))))-COUNTBLANK(OFFSET(A$1,,,SUMPRODUCT(MAX(ROW(E$1:E4811)*(E2=E$1:E4811))))))</f>
        <v/>
      </c>
      <c r="K4812" s="24" t="str">
        <f aca="false">IF(OR(E4812="",E4812="!!!",F4812="NEW"),"",INDEX(J$1:J4811,SUMPRODUCT(MAX(ROW(E$1:E4811)*(E4812=E$1:E4811)))))</f>
        <v/>
      </c>
      <c r="L4812" s="31"/>
    </row>
    <row r="4813" customFormat="false" ht="15" hidden="false" customHeight="false" outlineLevel="0" collapsed="false">
      <c r="A4813" s="20" t="s">
        <v>1095</v>
      </c>
      <c r="E4813" s="23" t="str">
        <f aca="false">IF(D4813="?OLD","!!!","")</f>
        <v/>
      </c>
      <c r="F4813" s="25" t="str">
        <f aca="false">IF(OR(E4813="",E4813="!!!"),"",IF(NOT(ISNA(VLOOKUP(E4813,E$1:E4812,1,FALSE()))),"OLD",IF(AND(E4813&lt;&gt;"",E4813&lt;&gt;"!!!"),"NEW","")))</f>
        <v/>
      </c>
      <c r="G4813" s="26" t="str">
        <f aca="false">IF(OR(E4813="",E4813="!!!"),"",IF(OR(J4813=0,AND(J4813=1,K4813=1),AND(J4813=1,I4813="SBJ"),AND(J4813=1,I4813=0)),"?IN_FOCUS",IF(J4813&lt;=2,"?ACTIVATED",IF(J4813&lt;&gt;"","?FAMILIAR",IF(F4813="NEW",IF(ISNA(VLOOKUP(E4813,#REF!,1,FALSE())),"?TYPE_IDENTIFIABLE","?REFERENTIAL"),"_")))))</f>
        <v/>
      </c>
      <c r="H4813" s="27" t="str">
        <f aca="false">IF(J4813&lt;&gt;1,"",IF(I4813="SBJ","CB","?"))</f>
        <v/>
      </c>
      <c r="I4813" s="24" t="str">
        <f aca="false">IF(OR(E4813="",E4813="!!!",F4813="NEW"),"",INDEX(B23:B$4791,-1+SUMPRODUCT(MAX(ROW(E23:E$4791)*(E4813=E23:E$4791)))))</f>
        <v/>
      </c>
      <c r="J4813" s="24" t="str">
        <f aca="true">IF(OR(E4813="",E4813="!!!",F4813="NEW"),"",COUNTBLANK(OFFSET(A$1,,,SUMPRODUCT(MAX(ROW(E$2:E4813)*(E4813=E$2:E4813)))))-COUNTBLANK(OFFSET(A$1,,,SUMPRODUCT(MAX(ROW(E$1:E4812)*(E2=E$1:E4812))))))</f>
        <v/>
      </c>
      <c r="K4813" s="24" t="str">
        <f aca="false">IF(OR(E4813="",E4813="!!!",F4813="NEW"),"",INDEX(J$1:J4812,SUMPRODUCT(MAX(ROW(E$1:E4812)*(E4813=E$1:E4812)))))</f>
        <v/>
      </c>
      <c r="L4813" s="31"/>
    </row>
    <row r="4814" customFormat="false" ht="15" hidden="false" customHeight="false" outlineLevel="0" collapsed="false">
      <c r="A4814" s="20" t="s">
        <v>2472</v>
      </c>
      <c r="E4814" s="23" t="str">
        <f aca="false">IF(D4814="?OLD","!!!","")</f>
        <v/>
      </c>
      <c r="F4814" s="25" t="str">
        <f aca="false">IF(OR(E4814="",E4814="!!!"),"",IF(NOT(ISNA(VLOOKUP(E4814,E$1:E4813,1,FALSE()))),"OLD",IF(AND(E4814&lt;&gt;"",E4814&lt;&gt;"!!!"),"NEW","")))</f>
        <v/>
      </c>
      <c r="G4814" s="26" t="str">
        <f aca="false">IF(OR(E4814="",E4814="!!!"),"",IF(OR(J4814=0,AND(J4814=1,K4814=1),AND(J4814=1,I4814="SBJ"),AND(J4814=1,I4814=0)),"?IN_FOCUS",IF(J4814&lt;=2,"?ACTIVATED",IF(J4814&lt;&gt;"","?FAMILIAR",IF(F4814="NEW",IF(ISNA(VLOOKUP(E4814,#REF!,1,FALSE())),"?TYPE_IDENTIFIABLE","?REFERENTIAL"),"_")))))</f>
        <v/>
      </c>
      <c r="H4814" s="27" t="str">
        <f aca="false">IF(J4814&lt;&gt;1,"",IF(I4814="SBJ","CB","?"))</f>
        <v/>
      </c>
      <c r="I4814" s="24" t="str">
        <f aca="false">IF(OR(E4814="",E4814="!!!",F4814="NEW"),"",INDEX(B24:B$4791,-1+SUMPRODUCT(MAX(ROW(E24:E$4791)*(E4814=E24:E$4791)))))</f>
        <v/>
      </c>
      <c r="J4814" s="24" t="str">
        <f aca="true">IF(OR(E4814="",E4814="!!!",F4814="NEW"),"",COUNTBLANK(OFFSET(A$1,,,SUMPRODUCT(MAX(ROW(E$2:E4814)*(E4814=E$2:E4814)))))-COUNTBLANK(OFFSET(A$1,,,SUMPRODUCT(MAX(ROW(E$1:E4813)*(E2=E$1:E4813))))))</f>
        <v/>
      </c>
      <c r="K4814" s="24" t="str">
        <f aca="false">IF(OR(E4814="",E4814="!!!",F4814="NEW"),"",INDEX(J$1:J4813,SUMPRODUCT(MAX(ROW(E$1:E4813)*(E4814=E$1:E4813)))))</f>
        <v/>
      </c>
      <c r="L4814" s="31"/>
    </row>
    <row r="4815" customFormat="false" ht="15" hidden="false" customHeight="false" outlineLevel="0" collapsed="false">
      <c r="A4815" s="20" t="s">
        <v>1137</v>
      </c>
      <c r="B4815" s="22" t="s">
        <v>1146</v>
      </c>
      <c r="C4815" s="22" t="s">
        <v>1082</v>
      </c>
      <c r="D4815" s="22" t="s">
        <v>1060</v>
      </c>
      <c r="E4815" s="23" t="str">
        <f aca="false">IF(D4815="?OLD","!!!","")</f>
        <v>!!!</v>
      </c>
      <c r="F4815" s="25" t="str">
        <f aca="false">IF(OR(E4815="",E4815="!!!"),"",IF(NOT(ISNA(VLOOKUP(E4815,E$1:E4814,1,FALSE()))),"OLD",IF(AND(E4815&lt;&gt;"",E4815&lt;&gt;"!!!"),"NEW","")))</f>
        <v/>
      </c>
      <c r="G4815" s="26" t="str">
        <f aca="false">IF(OR(E4815="",E4815="!!!"),"",IF(OR(J4815=0,AND(J4815=1,K4815=1),AND(J4815=1,I4815="SBJ"),AND(J4815=1,I4815=0)),"?IN_FOCUS",IF(J4815&lt;=2,"?ACTIVATED",IF(J4815&lt;&gt;"","?FAMILIAR",IF(F4815="NEW",IF(ISNA(VLOOKUP(E4815,#REF!,1,FALSE())),"?TYPE_IDENTIFIABLE","?REFERENTIAL"),"_")))))</f>
        <v/>
      </c>
      <c r="H4815" s="27" t="str">
        <f aca="false">IF(J4815&lt;&gt;1,"",IF(I4815="SBJ","CB","?"))</f>
        <v/>
      </c>
      <c r="I4815" s="24" t="str">
        <f aca="false">IF(OR(E4815="",E4815="!!!",F4815="NEW"),"",INDEX(B25:B$4791,-1+SUMPRODUCT(MAX(ROW(E25:E$4791)*(E4815=E25:E$4791)))))</f>
        <v/>
      </c>
      <c r="J4815" s="24" t="str">
        <f aca="true">IF(OR(E4815="",E4815="!!!",F4815="NEW"),"",COUNTBLANK(OFFSET(A$1,,,SUMPRODUCT(MAX(ROW(E$2:E4815)*(E4815=E$2:E4815)))))-COUNTBLANK(OFFSET(A$1,,,SUMPRODUCT(MAX(ROW(E$1:E4814)*(E2=E$1:E4814))))))</f>
        <v/>
      </c>
      <c r="K4815" s="24" t="str">
        <f aca="false">IF(OR(E4815="",E4815="!!!",F4815="NEW"),"",INDEX(J$1:J4814,SUMPRODUCT(MAX(ROW(E$1:E4814)*(E4815=E$1:E4814)))))</f>
        <v/>
      </c>
      <c r="L4815" s="31"/>
    </row>
    <row r="4816" customFormat="false" ht="15" hidden="false" customHeight="false" outlineLevel="0" collapsed="false">
      <c r="A4816" s="20" t="s">
        <v>1547</v>
      </c>
      <c r="E4816" s="23" t="str">
        <f aca="false">IF(D4816="?OLD","!!!","")</f>
        <v/>
      </c>
      <c r="F4816" s="25" t="str">
        <f aca="false">IF(OR(E4816="",E4816="!!!"),"",IF(NOT(ISNA(VLOOKUP(E4816,E$1:E4815,1,FALSE()))),"OLD",IF(AND(E4816&lt;&gt;"",E4816&lt;&gt;"!!!"),"NEW","")))</f>
        <v/>
      </c>
      <c r="G4816" s="26" t="str">
        <f aca="false">IF(OR(E4816="",E4816="!!!"),"",IF(OR(J4816=0,AND(J4816=1,K4816=1),AND(J4816=1,I4816="SBJ"),AND(J4816=1,I4816=0)),"?IN_FOCUS",IF(J4816&lt;=2,"?ACTIVATED",IF(J4816&lt;&gt;"","?FAMILIAR",IF(F4816="NEW",IF(ISNA(VLOOKUP(E4816,#REF!,1,FALSE())),"?TYPE_IDENTIFIABLE","?REFERENTIAL"),"_")))))</f>
        <v/>
      </c>
      <c r="H4816" s="27" t="str">
        <f aca="false">IF(J4816&lt;&gt;1,"",IF(I4816="SBJ","CB","?"))</f>
        <v/>
      </c>
      <c r="I4816" s="24" t="str">
        <f aca="false">IF(OR(E4816="",E4816="!!!",F4816="NEW"),"",INDEX(B26:B$4791,-1+SUMPRODUCT(MAX(ROW(E26:E$4791)*(E4816=E26:E$4791)))))</f>
        <v/>
      </c>
      <c r="J4816" s="24" t="str">
        <f aca="true">IF(OR(E4816="",E4816="!!!",F4816="NEW"),"",COUNTBLANK(OFFSET(A$1,,,SUMPRODUCT(MAX(ROW(E$2:E4816)*(E4816=E$2:E4816)))))-COUNTBLANK(OFFSET(A$1,,,SUMPRODUCT(MAX(ROW(E$1:E4815)*(E2=E$1:E4815))))))</f>
        <v/>
      </c>
      <c r="K4816" s="24" t="str">
        <f aca="false">IF(OR(E4816="",E4816="!!!",F4816="NEW"),"",INDEX(J$1:J4815,SUMPRODUCT(MAX(ROW(E$1:E4815)*(E4816=E$1:E4815)))))</f>
        <v/>
      </c>
      <c r="L4816" s="31"/>
    </row>
    <row r="4817" customFormat="false" ht="15" hidden="false" customHeight="false" outlineLevel="0" collapsed="false">
      <c r="A4817" s="20" t="s">
        <v>1090</v>
      </c>
      <c r="B4817" s="22" t="s">
        <v>1197</v>
      </c>
      <c r="C4817" s="22" t="s">
        <v>1082</v>
      </c>
      <c r="D4817" s="22" t="s">
        <v>1060</v>
      </c>
      <c r="E4817" s="23" t="str">
        <f aca="false">IF(D4817="?OLD","!!!","")</f>
        <v>!!!</v>
      </c>
      <c r="F4817" s="25" t="str">
        <f aca="false">IF(OR(E4817="",E4817="!!!"),"",IF(NOT(ISNA(VLOOKUP(E4817,E$1:E4816,1,FALSE()))),"OLD",IF(AND(E4817&lt;&gt;"",E4817&lt;&gt;"!!!"),"NEW","")))</f>
        <v/>
      </c>
      <c r="G4817" s="26" t="str">
        <f aca="false">IF(OR(E4817="",E4817="!!!"),"",IF(OR(J4817=0,AND(J4817=1,K4817=1),AND(J4817=1,I4817="SBJ"),AND(J4817=1,I4817=0)),"?IN_FOCUS",IF(J4817&lt;=2,"?ACTIVATED",IF(J4817&lt;&gt;"","?FAMILIAR",IF(F4817="NEW",IF(ISNA(VLOOKUP(E4817,#REF!,1,FALSE())),"?TYPE_IDENTIFIABLE","?REFERENTIAL"),"_")))))</f>
        <v/>
      </c>
      <c r="H4817" s="27" t="str">
        <f aca="false">IF(J4817&lt;&gt;1,"",IF(I4817="SBJ","CB","?"))</f>
        <v/>
      </c>
      <c r="I4817" s="24" t="str">
        <f aca="false">IF(OR(E4817="",E4817="!!!",F4817="NEW"),"",INDEX(B27:B$4791,-1+SUMPRODUCT(MAX(ROW(E27:E$4791)*(E4817=E27:E$4791)))))</f>
        <v/>
      </c>
      <c r="J4817" s="24" t="str">
        <f aca="true">IF(OR(E4817="",E4817="!!!",F4817="NEW"),"",COUNTBLANK(OFFSET(A$1,,,SUMPRODUCT(MAX(ROW(E$2:E4817)*(E4817=E$2:E4817)))))-COUNTBLANK(OFFSET(A$1,,,SUMPRODUCT(MAX(ROW(E$1:E4816)*(E2=E$1:E4816))))))</f>
        <v/>
      </c>
      <c r="K4817" s="24" t="str">
        <f aca="false">IF(OR(E4817="",E4817="!!!",F4817="NEW"),"",INDEX(J$1:J4816,SUMPRODUCT(MAX(ROW(E$1:E4816)*(E4817=E$1:E4816)))))</f>
        <v/>
      </c>
      <c r="L4817" s="31"/>
    </row>
    <row r="4818" customFormat="false" ht="15" hidden="false" customHeight="false" outlineLevel="0" collapsed="false">
      <c r="A4818" s="20" t="s">
        <v>1198</v>
      </c>
      <c r="E4818" s="23" t="str">
        <f aca="false">IF(D4818="?OLD","!!!","")</f>
        <v/>
      </c>
      <c r="F4818" s="25" t="str">
        <f aca="false">IF(OR(E4818="",E4818="!!!"),"",IF(NOT(ISNA(VLOOKUP(E4818,E$1:E4817,1,FALSE()))),"OLD",IF(AND(E4818&lt;&gt;"",E4818&lt;&gt;"!!!"),"NEW","")))</f>
        <v/>
      </c>
      <c r="G4818" s="26" t="str">
        <f aca="false">IF(OR(E4818="",E4818="!!!"),"",IF(OR(J4818=0,AND(J4818=1,K4818=1),AND(J4818=1,I4818="SBJ"),AND(J4818=1,I4818=0)),"?IN_FOCUS",IF(J4818&lt;=2,"?ACTIVATED",IF(J4818&lt;&gt;"","?FAMILIAR",IF(F4818="NEW",IF(ISNA(VLOOKUP(E4818,#REF!,1,FALSE())),"?TYPE_IDENTIFIABLE","?REFERENTIAL"),"_")))))</f>
        <v/>
      </c>
      <c r="H4818" s="27" t="str">
        <f aca="false">IF(J4818&lt;&gt;1,"",IF(I4818="SBJ","CB","?"))</f>
        <v/>
      </c>
      <c r="I4818" s="24" t="str">
        <f aca="false">IF(OR(E4818="",E4818="!!!",F4818="NEW"),"",INDEX(B28:B$4791,-1+SUMPRODUCT(MAX(ROW(E28:E$4791)*(E4818=E28:E$4791)))))</f>
        <v/>
      </c>
      <c r="J4818" s="24" t="str">
        <f aca="true">IF(OR(E4818="",E4818="!!!",F4818="NEW"),"",COUNTBLANK(OFFSET(A$1,,,SUMPRODUCT(MAX(ROW(E$2:E4818)*(E4818=E$2:E4818)))))-COUNTBLANK(OFFSET(A$1,,,SUMPRODUCT(MAX(ROW(E$1:E4817)*(E2=E$1:E4817))))))</f>
        <v/>
      </c>
      <c r="K4818" s="24" t="str">
        <f aca="false">IF(OR(E4818="",E4818="!!!",F4818="NEW"),"",INDEX(J$1:J4817,SUMPRODUCT(MAX(ROW(E$1:E4817)*(E4818=E$1:E4817)))))</f>
        <v/>
      </c>
      <c r="L4818" s="31"/>
    </row>
    <row r="4819" customFormat="false" ht="15" hidden="false" customHeight="false" outlineLevel="0" collapsed="false">
      <c r="A4819" s="20" t="s">
        <v>1143</v>
      </c>
      <c r="E4819" s="23" t="str">
        <f aca="false">IF(D4819="?OLD","!!!","")</f>
        <v/>
      </c>
      <c r="F4819" s="25" t="str">
        <f aca="false">IF(OR(E4819="",E4819="!!!"),"",IF(NOT(ISNA(VLOOKUP(E4819,E$1:E4818,1,FALSE()))),"OLD",IF(AND(E4819&lt;&gt;"",E4819&lt;&gt;"!!!"),"NEW","")))</f>
        <v/>
      </c>
      <c r="G4819" s="26" t="str">
        <f aca="false">IF(OR(E4819="",E4819="!!!"),"",IF(OR(J4819=0,AND(J4819=1,K4819=1),AND(J4819=1,I4819="SBJ"),AND(J4819=1,I4819=0)),"?IN_FOCUS",IF(J4819&lt;=2,"?ACTIVATED",IF(J4819&lt;&gt;"","?FAMILIAR",IF(F4819="NEW",IF(ISNA(VLOOKUP(E4819,#REF!,1,FALSE())),"?TYPE_IDENTIFIABLE","?REFERENTIAL"),"_")))))</f>
        <v/>
      </c>
      <c r="H4819" s="27" t="str">
        <f aca="false">IF(J4819&lt;&gt;1,"",IF(I4819="SBJ","CB","?"))</f>
        <v/>
      </c>
      <c r="I4819" s="24" t="str">
        <f aca="false">IF(OR(E4819="",E4819="!!!",F4819="NEW"),"",INDEX(B29:B$4791,-1+SUMPRODUCT(MAX(ROW(E29:E$4791)*(E4819=E29:E$4791)))))</f>
        <v/>
      </c>
      <c r="J4819" s="24" t="str">
        <f aca="true">IF(OR(E4819="",E4819="!!!",F4819="NEW"),"",COUNTBLANK(OFFSET(A$1,,,SUMPRODUCT(MAX(ROW(E$2:E4819)*(E4819=E$2:E4819)))))-COUNTBLANK(OFFSET(A$1,,,SUMPRODUCT(MAX(ROW(E$1:E4818)*(E2=E$1:E4818))))))</f>
        <v/>
      </c>
      <c r="K4819" s="24" t="str">
        <f aca="false">IF(OR(E4819="",E4819="!!!",F4819="NEW"),"",INDEX(J$1:J4818,SUMPRODUCT(MAX(ROW(E$1:E4818)*(E4819=E$1:E4818)))))</f>
        <v/>
      </c>
      <c r="L4819" s="31"/>
    </row>
    <row r="4820" customFormat="false" ht="15" hidden="false" customHeight="false" outlineLevel="0" collapsed="false">
      <c r="A4820" s="20" t="s">
        <v>576</v>
      </c>
      <c r="E4820" s="23" t="str">
        <f aca="false">IF(D4820="?OLD","!!!","")</f>
        <v/>
      </c>
      <c r="F4820" s="25" t="str">
        <f aca="false">IF(OR(E4820="",E4820="!!!"),"",IF(NOT(ISNA(VLOOKUP(E4820,E$1:E4819,1,FALSE()))),"OLD",IF(AND(E4820&lt;&gt;"",E4820&lt;&gt;"!!!"),"NEW","")))</f>
        <v/>
      </c>
      <c r="G4820" s="26" t="str">
        <f aca="false">IF(OR(E4820="",E4820="!!!"),"",IF(OR(J4820=0,AND(J4820=1,K4820=1),AND(J4820=1,I4820="SBJ"),AND(J4820=1,I4820=0)),"?IN_FOCUS",IF(J4820&lt;=2,"?ACTIVATED",IF(J4820&lt;&gt;"","?FAMILIAR",IF(F4820="NEW",IF(ISNA(VLOOKUP(E4820,#REF!,1,FALSE())),"?TYPE_IDENTIFIABLE","?REFERENTIAL"),"_")))))</f>
        <v/>
      </c>
      <c r="H4820" s="27" t="str">
        <f aca="false">IF(J4820&lt;&gt;1,"",IF(I4820="SBJ","CB","?"))</f>
        <v/>
      </c>
      <c r="I4820" s="24" t="str">
        <f aca="false">IF(OR(E4820="",E4820="!!!",F4820="NEW"),"",INDEX(B30:B$4791,-1+SUMPRODUCT(MAX(ROW(E30:E$4791)*(E4820=E30:E$4791)))))</f>
        <v/>
      </c>
      <c r="J4820" s="24" t="str">
        <f aca="true">IF(OR(E4820="",E4820="!!!",F4820="NEW"),"",COUNTBLANK(OFFSET(A$1,,,SUMPRODUCT(MAX(ROW(E$2:E4820)*(E4820=E$2:E4820)))))-COUNTBLANK(OFFSET(A$1,,,SUMPRODUCT(MAX(ROW(E$1:E4819)*(E2=E$1:E4819))))))</f>
        <v/>
      </c>
      <c r="K4820" s="24" t="str">
        <f aca="false">IF(OR(E4820="",E4820="!!!",F4820="NEW"),"",INDEX(J$1:J4819,SUMPRODUCT(MAX(ROW(E$1:E4819)*(E4820=E$1:E4819)))))</f>
        <v/>
      </c>
      <c r="L4820" s="31"/>
    </row>
    <row r="4821" customFormat="false" ht="15" hidden="false" customHeight="false" outlineLevel="0" collapsed="false">
      <c r="A4821" s="20" t="s">
        <v>2033</v>
      </c>
      <c r="E4821" s="23" t="str">
        <f aca="false">IF(D4821="?OLD","!!!","")</f>
        <v/>
      </c>
      <c r="F4821" s="25" t="str">
        <f aca="false">IF(OR(E4821="",E4821="!!!"),"",IF(NOT(ISNA(VLOOKUP(E4821,E$1:E4820,1,FALSE()))),"OLD",IF(AND(E4821&lt;&gt;"",E4821&lt;&gt;"!!!"),"NEW","")))</f>
        <v/>
      </c>
      <c r="G4821" s="26" t="str">
        <f aca="false">IF(OR(E4821="",E4821="!!!"),"",IF(OR(J4821=0,AND(J4821=1,K4821=1),AND(J4821=1,I4821="SBJ"),AND(J4821=1,I4821=0)),"?IN_FOCUS",IF(J4821&lt;=2,"?ACTIVATED",IF(J4821&lt;&gt;"","?FAMILIAR",IF(F4821="NEW",IF(ISNA(VLOOKUP(E4821,#REF!,1,FALSE())),"?TYPE_IDENTIFIABLE","?REFERENTIAL"),"_")))))</f>
        <v/>
      </c>
      <c r="H4821" s="27" t="str">
        <f aca="false">IF(J4821&lt;&gt;1,"",IF(I4821="SBJ","CB","?"))</f>
        <v/>
      </c>
      <c r="I4821" s="24" t="str">
        <f aca="false">IF(OR(E4821="",E4821="!!!",F4821="NEW"),"",INDEX(B31:B$4791,-1+SUMPRODUCT(MAX(ROW(E31:E$4791)*(E4821=E31:E$4791)))))</f>
        <v/>
      </c>
      <c r="J4821" s="24" t="str">
        <f aca="true">IF(OR(E4821="",E4821="!!!",F4821="NEW"),"",COUNTBLANK(OFFSET(A$1,,,SUMPRODUCT(MAX(ROW(E$2:E4821)*(E4821=E$2:E4821)))))-COUNTBLANK(OFFSET(A$1,,,SUMPRODUCT(MAX(ROW(E$1:E4820)*(E2=E$1:E4820))))))</f>
        <v/>
      </c>
      <c r="K4821" s="24" t="str">
        <f aca="false">IF(OR(E4821="",E4821="!!!",F4821="NEW"),"",INDEX(J$1:J4820,SUMPRODUCT(MAX(ROW(E$1:E4820)*(E4821=E$1:E4820)))))</f>
        <v/>
      </c>
      <c r="L4821" s="31"/>
    </row>
    <row r="4822" customFormat="false" ht="15" hidden="false" customHeight="false" outlineLevel="0" collapsed="false">
      <c r="A4822" s="20" t="s">
        <v>1097</v>
      </c>
      <c r="B4822" s="22" t="s">
        <v>1098</v>
      </c>
      <c r="C4822" s="22" t="s">
        <v>1099</v>
      </c>
      <c r="D4822" s="22" t="s">
        <v>1060</v>
      </c>
      <c r="E4822" s="23" t="str">
        <f aca="false">IF(D4822="?OLD","!!!","")</f>
        <v>!!!</v>
      </c>
      <c r="F4822" s="25" t="str">
        <f aca="false">IF(OR(E4822="",E4822="!!!"),"",IF(NOT(ISNA(VLOOKUP(E4822,E$1:E4821,1,FALSE()))),"OLD",IF(AND(E4822&lt;&gt;"",E4822&lt;&gt;"!!!"),"NEW","")))</f>
        <v/>
      </c>
      <c r="G4822" s="26" t="str">
        <f aca="false">IF(OR(E4822="",E4822="!!!"),"",IF(OR(J4822=0,AND(J4822=1,K4822=1),AND(J4822=1,I4822="SBJ"),AND(J4822=1,I4822=0)),"?IN_FOCUS",IF(J4822&lt;=2,"?ACTIVATED",IF(J4822&lt;&gt;"","?FAMILIAR",IF(F4822="NEW",IF(ISNA(VLOOKUP(E4822,#REF!,1,FALSE())),"?TYPE_IDENTIFIABLE","?REFERENTIAL"),"_")))))</f>
        <v/>
      </c>
      <c r="H4822" s="27" t="str">
        <f aca="false">IF(J4822&lt;&gt;1,"",IF(I4822="SBJ","CB","?"))</f>
        <v/>
      </c>
      <c r="I4822" s="24" t="str">
        <f aca="false">IF(OR(E4822="",E4822="!!!",F4822="NEW"),"",INDEX(B32:B$4791,-1+SUMPRODUCT(MAX(ROW(E32:E$4791)*(E4822=E32:E$4791)))))</f>
        <v/>
      </c>
      <c r="J4822" s="24" t="str">
        <f aca="true">IF(OR(E4822="",E4822="!!!",F4822="NEW"),"",COUNTBLANK(OFFSET(A$1,,,SUMPRODUCT(MAX(ROW(E$2:E4822)*(E4822=E$2:E4822)))))-COUNTBLANK(OFFSET(A$1,,,SUMPRODUCT(MAX(ROW(E$1:E4821)*(E2=E$1:E4821))))))</f>
        <v/>
      </c>
      <c r="K4822" s="24" t="str">
        <f aca="false">IF(OR(E4822="",E4822="!!!",F4822="NEW"),"",INDEX(J$1:J4821,SUMPRODUCT(MAX(ROW(E$1:E4821)*(E4822=E$1:E4821)))))</f>
        <v/>
      </c>
      <c r="L4822" s="31"/>
    </row>
    <row r="4823" customFormat="false" ht="15" hidden="false" customHeight="false" outlineLevel="0" collapsed="false">
      <c r="A4823" s="20" t="s">
        <v>1934</v>
      </c>
      <c r="B4823" s="22" t="s">
        <v>1102</v>
      </c>
      <c r="C4823" s="22" t="s">
        <v>1059</v>
      </c>
      <c r="D4823" s="22" t="s">
        <v>1060</v>
      </c>
      <c r="E4823" s="23" t="str">
        <f aca="false">IF(D4823="?OLD","!!!","")</f>
        <v>!!!</v>
      </c>
      <c r="F4823" s="25" t="str">
        <f aca="false">IF(OR(E4823="",E4823="!!!"),"",IF(NOT(ISNA(VLOOKUP(E4823,E$1:E4822,1,FALSE()))),"OLD",IF(AND(E4823&lt;&gt;"",E4823&lt;&gt;"!!!"),"NEW","")))</f>
        <v/>
      </c>
      <c r="G4823" s="26" t="str">
        <f aca="false">IF(OR(E4823="",E4823="!!!"),"",IF(OR(J4823=0,AND(J4823=1,K4823=1),AND(J4823=1,I4823="SBJ"),AND(J4823=1,I4823=0)),"?IN_FOCUS",IF(J4823&lt;=2,"?ACTIVATED",IF(J4823&lt;&gt;"","?FAMILIAR",IF(F4823="NEW",IF(ISNA(VLOOKUP(E4823,#REF!,1,FALSE())),"?TYPE_IDENTIFIABLE","?REFERENTIAL"),"_")))))</f>
        <v/>
      </c>
      <c r="H4823" s="27" t="str">
        <f aca="false">IF(J4823&lt;&gt;1,"",IF(I4823="SBJ","CB","?"))</f>
        <v/>
      </c>
      <c r="I4823" s="24" t="str">
        <f aca="false">IF(OR(E4823="",E4823="!!!",F4823="NEW"),"",INDEX(B33:B$4791,-1+SUMPRODUCT(MAX(ROW(E33:E$4791)*(E4823=E33:E$4791)))))</f>
        <v/>
      </c>
      <c r="J4823" s="24" t="str">
        <f aca="true">IF(OR(E4823="",E4823="!!!",F4823="NEW"),"",COUNTBLANK(OFFSET(A$1,,,SUMPRODUCT(MAX(ROW(E$2:E4823)*(E4823=E$2:E4823)))))-COUNTBLANK(OFFSET(A$1,,,SUMPRODUCT(MAX(ROW(E$1:E4822)*(E2=E$1:E4822))))))</f>
        <v/>
      </c>
      <c r="K4823" s="24" t="str">
        <f aca="false">IF(OR(E4823="",E4823="!!!",F4823="NEW"),"",INDEX(J$1:J4822,SUMPRODUCT(MAX(ROW(E$1:E4822)*(E4823=E$1:E4822)))))</f>
        <v/>
      </c>
      <c r="L4823" s="31"/>
    </row>
    <row r="4824" customFormat="false" ht="15" hidden="false" customHeight="false" outlineLevel="0" collapsed="false">
      <c r="A4824" s="20" t="s">
        <v>1218</v>
      </c>
      <c r="E4824" s="23" t="str">
        <f aca="false">IF(D4824="?OLD","!!!","")</f>
        <v/>
      </c>
      <c r="F4824" s="25" t="str">
        <f aca="false">IF(OR(E4824="",E4824="!!!"),"",IF(NOT(ISNA(VLOOKUP(E4824,E$1:E4823,1,FALSE()))),"OLD",IF(AND(E4824&lt;&gt;"",E4824&lt;&gt;"!!!"),"NEW","")))</f>
        <v/>
      </c>
      <c r="G4824" s="26" t="str">
        <f aca="false">IF(OR(E4824="",E4824="!!!"),"",IF(OR(J4824=0,AND(J4824=1,K4824=1),AND(J4824=1,I4824="SBJ"),AND(J4824=1,I4824=0)),"?IN_FOCUS",IF(J4824&lt;=2,"?ACTIVATED",IF(J4824&lt;&gt;"","?FAMILIAR",IF(F4824="NEW",IF(ISNA(VLOOKUP(E4824,#REF!,1,FALSE())),"?TYPE_IDENTIFIABLE","?REFERENTIAL"),"_")))))</f>
        <v/>
      </c>
      <c r="H4824" s="27" t="str">
        <f aca="false">IF(J4824&lt;&gt;1,"",IF(I4824="SBJ","CB","?"))</f>
        <v/>
      </c>
      <c r="I4824" s="24" t="str">
        <f aca="false">IF(OR(E4824="",E4824="!!!",F4824="NEW"),"",INDEX(B34:B$4791,-1+SUMPRODUCT(MAX(ROW(E34:E$4791)*(E4824=E34:E$4791)))))</f>
        <v/>
      </c>
      <c r="J4824" s="24" t="str">
        <f aca="true">IF(OR(E4824="",E4824="!!!",F4824="NEW"),"",COUNTBLANK(OFFSET(A$1,,,SUMPRODUCT(MAX(ROW(E$2:E4824)*(E4824=E$2:E4824)))))-COUNTBLANK(OFFSET(A$1,,,SUMPRODUCT(MAX(ROW(E$1:E4823)*(E2=E$1:E4823))))))</f>
        <v/>
      </c>
      <c r="K4824" s="24" t="str">
        <f aca="false">IF(OR(E4824="",E4824="!!!",F4824="NEW"),"",INDEX(J$1:J4823,SUMPRODUCT(MAX(ROW(E$1:E4823)*(E4824=E$1:E4823)))))</f>
        <v/>
      </c>
      <c r="L4824" s="31"/>
    </row>
    <row r="4825" customFormat="false" ht="15" hidden="false" customHeight="false" outlineLevel="0" collapsed="false">
      <c r="A4825" s="20" t="s">
        <v>2411</v>
      </c>
      <c r="E4825" s="23" t="str">
        <f aca="false">IF(D4825="?OLD","!!!","")</f>
        <v/>
      </c>
      <c r="F4825" s="25" t="str">
        <f aca="false">IF(OR(E4825="",E4825="!!!"),"",IF(NOT(ISNA(VLOOKUP(E4825,E$1:E4824,1,FALSE()))),"OLD",IF(AND(E4825&lt;&gt;"",E4825&lt;&gt;"!!!"),"NEW","")))</f>
        <v/>
      </c>
      <c r="G4825" s="26" t="str">
        <f aca="false">IF(OR(E4825="",E4825="!!!"),"",IF(OR(J4825=0,AND(J4825=1,K4825=1),AND(J4825=1,I4825="SBJ"),AND(J4825=1,I4825=0)),"?IN_FOCUS",IF(J4825&lt;=2,"?ACTIVATED",IF(J4825&lt;&gt;"","?FAMILIAR",IF(F4825="NEW",IF(ISNA(VLOOKUP(E4825,#REF!,1,FALSE())),"?TYPE_IDENTIFIABLE","?REFERENTIAL"),"_")))))</f>
        <v/>
      </c>
      <c r="H4825" s="27" t="str">
        <f aca="false">IF(J4825&lt;&gt;1,"",IF(I4825="SBJ","CB","?"))</f>
        <v/>
      </c>
      <c r="I4825" s="24" t="str">
        <f aca="false">IF(OR(E4825="",E4825="!!!",F4825="NEW"),"",INDEX(B35:B$4791,-1+SUMPRODUCT(MAX(ROW(E35:E$4791)*(E4825=E35:E$4791)))))</f>
        <v/>
      </c>
      <c r="J4825" s="24" t="str">
        <f aca="true">IF(OR(E4825="",E4825="!!!",F4825="NEW"),"",COUNTBLANK(OFFSET(A$1,,,SUMPRODUCT(MAX(ROW(E$2:E4825)*(E4825=E$2:E4825)))))-COUNTBLANK(OFFSET(A$1,,,SUMPRODUCT(MAX(ROW(E$1:E4824)*(E2=E$1:E4824))))))</f>
        <v/>
      </c>
      <c r="K4825" s="24" t="str">
        <f aca="false">IF(OR(E4825="",E4825="!!!",F4825="NEW"),"",INDEX(J$1:J4824,SUMPRODUCT(MAX(ROW(E$1:E4824)*(E4825=E$1:E4824)))))</f>
        <v/>
      </c>
      <c r="L4825" s="31"/>
    </row>
    <row r="4826" customFormat="false" ht="15" hidden="false" customHeight="false" outlineLevel="0" collapsed="false">
      <c r="A4826" s="20" t="s">
        <v>1442</v>
      </c>
      <c r="B4826" s="22" t="s">
        <v>1107</v>
      </c>
      <c r="C4826" s="22" t="s">
        <v>1160</v>
      </c>
      <c r="E4826" s="23" t="str">
        <f aca="false">IF(D4826="?OLD","!!!","")</f>
        <v/>
      </c>
      <c r="F4826" s="25" t="str">
        <f aca="false">IF(OR(E4826="",E4826="!!!"),"",IF(NOT(ISNA(VLOOKUP(E4826,E$1:E4825,1,FALSE()))),"OLD",IF(AND(E4826&lt;&gt;"",E4826&lt;&gt;"!!!"),"NEW","")))</f>
        <v/>
      </c>
      <c r="G4826" s="26" t="str">
        <f aca="false">IF(OR(E4826="",E4826="!!!"),"",IF(OR(J4826=0,AND(J4826=1,K4826=1),AND(J4826=1,I4826="SBJ"),AND(J4826=1,I4826=0)),"?IN_FOCUS",IF(J4826&lt;=2,"?ACTIVATED",IF(J4826&lt;&gt;"","?FAMILIAR",IF(F4826="NEW",IF(ISNA(VLOOKUP(E4826,#REF!,1,FALSE())),"?TYPE_IDENTIFIABLE","?REFERENTIAL"),"_")))))</f>
        <v/>
      </c>
      <c r="H4826" s="27" t="str">
        <f aca="false">IF(J4826&lt;&gt;1,"",IF(I4826="SBJ","CB","?"))</f>
        <v/>
      </c>
      <c r="I4826" s="24" t="str">
        <f aca="false">IF(OR(E4826="",E4826="!!!",F4826="NEW"),"",INDEX(B36:B$4791,-1+SUMPRODUCT(MAX(ROW(E36:E$4791)*(E4826=E36:E$4791)))))</f>
        <v/>
      </c>
      <c r="J4826" s="24" t="str">
        <f aca="true">IF(OR(E4826="",E4826="!!!",F4826="NEW"),"",COUNTBLANK(OFFSET(A$1,,,SUMPRODUCT(MAX(ROW(E$2:E4826)*(E4826=E$2:E4826)))))-COUNTBLANK(OFFSET(A$1,,,SUMPRODUCT(MAX(ROW(E$1:E4825)*(E2=E$1:E4825))))))</f>
        <v/>
      </c>
      <c r="K4826" s="24" t="str">
        <f aca="false">IF(OR(E4826="",E4826="!!!",F4826="NEW"),"",INDEX(J$1:J4825,SUMPRODUCT(MAX(ROW(E$1:E4825)*(E4826=E$1:E4825)))))</f>
        <v/>
      </c>
      <c r="L4826" s="31"/>
    </row>
    <row r="4827" customFormat="false" ht="15" hidden="false" customHeight="false" outlineLevel="0" collapsed="false">
      <c r="A4827" s="20" t="s">
        <v>1234</v>
      </c>
      <c r="E4827" s="23" t="str">
        <f aca="false">IF(D4827="?OLD","!!!","")</f>
        <v/>
      </c>
      <c r="F4827" s="25" t="str">
        <f aca="false">IF(OR(E4827="",E4827="!!!"),"",IF(NOT(ISNA(VLOOKUP(E4827,E$1:E4826,1,FALSE()))),"OLD",IF(AND(E4827&lt;&gt;"",E4827&lt;&gt;"!!!"),"NEW","")))</f>
        <v/>
      </c>
      <c r="G4827" s="26" t="str">
        <f aca="false">IF(OR(E4827="",E4827="!!!"),"",IF(OR(J4827=0,AND(J4827=1,K4827=1),AND(J4827=1,I4827="SBJ"),AND(J4827=1,I4827=0)),"?IN_FOCUS",IF(J4827&lt;=2,"?ACTIVATED",IF(J4827&lt;&gt;"","?FAMILIAR",IF(F4827="NEW",IF(ISNA(VLOOKUP(E4827,#REF!,1,FALSE())),"?TYPE_IDENTIFIABLE","?REFERENTIAL"),"_")))))</f>
        <v/>
      </c>
      <c r="H4827" s="27" t="str">
        <f aca="false">IF(J4827&lt;&gt;1,"",IF(I4827="SBJ","CB","?"))</f>
        <v/>
      </c>
      <c r="I4827" s="24" t="str">
        <f aca="false">IF(OR(E4827="",E4827="!!!",F4827="NEW"),"",INDEX(B37:B$4791,-1+SUMPRODUCT(MAX(ROW(E37:E$4791)*(E4827=E37:E$4791)))))</f>
        <v/>
      </c>
      <c r="J4827" s="24" t="str">
        <f aca="true">IF(OR(E4827="",E4827="!!!",F4827="NEW"),"",COUNTBLANK(OFFSET(A$1,,,SUMPRODUCT(MAX(ROW(E$2:E4827)*(E4827=E$2:E4827)))))-COUNTBLANK(OFFSET(A$1,,,SUMPRODUCT(MAX(ROW(E$1:E4826)*(E2=E$1:E4826))))))</f>
        <v/>
      </c>
      <c r="K4827" s="24" t="str">
        <f aca="false">IF(OR(E4827="",E4827="!!!",F4827="NEW"),"",INDEX(J$1:J4826,SUMPRODUCT(MAX(ROW(E$1:E4826)*(E4827=E$1:E4826)))))</f>
        <v/>
      </c>
      <c r="L4827" s="31"/>
    </row>
    <row r="4828" customFormat="false" ht="15" hidden="false" customHeight="false" outlineLevel="0" collapsed="false">
      <c r="A4828" s="20" t="s">
        <v>923</v>
      </c>
      <c r="E4828" s="23" t="str">
        <f aca="false">IF(D4828="?OLD","!!!","")</f>
        <v/>
      </c>
      <c r="F4828" s="25" t="str">
        <f aca="false">IF(OR(E4828="",E4828="!!!"),"",IF(NOT(ISNA(VLOOKUP(E4828,E$1:E4827,1,FALSE()))),"OLD",IF(AND(E4828&lt;&gt;"",E4828&lt;&gt;"!!!"),"NEW","")))</f>
        <v/>
      </c>
      <c r="G4828" s="26" t="str">
        <f aca="false">IF(OR(E4828="",E4828="!!!"),"",IF(OR(J4828=0,AND(J4828=1,K4828=1),AND(J4828=1,I4828="SBJ"),AND(J4828=1,I4828=0)),"?IN_FOCUS",IF(J4828&lt;=2,"?ACTIVATED",IF(J4828&lt;&gt;"","?FAMILIAR",IF(F4828="NEW",IF(ISNA(VLOOKUP(E4828,#REF!,1,FALSE())),"?TYPE_IDENTIFIABLE","?REFERENTIAL"),"_")))))</f>
        <v/>
      </c>
      <c r="H4828" s="27" t="str">
        <f aca="false">IF(J4828&lt;&gt;1,"",IF(I4828="SBJ","CB","?"))</f>
        <v/>
      </c>
      <c r="I4828" s="24" t="str">
        <f aca="false">IF(OR(E4828="",E4828="!!!",F4828="NEW"),"",INDEX(B38:B$4791,-1+SUMPRODUCT(MAX(ROW(E38:E$4791)*(E4828=E38:E$4791)))))</f>
        <v/>
      </c>
      <c r="J4828" s="24" t="str">
        <f aca="true">IF(OR(E4828="",E4828="!!!",F4828="NEW"),"",COUNTBLANK(OFFSET(A$1,,,SUMPRODUCT(MAX(ROW(E$2:E4828)*(E4828=E$2:E4828)))))-COUNTBLANK(OFFSET(A$1,,,SUMPRODUCT(MAX(ROW(E$1:E4827)*(E2=E$1:E4827))))))</f>
        <v/>
      </c>
      <c r="K4828" s="24" t="str">
        <f aca="false">IF(OR(E4828="",E4828="!!!",F4828="NEW"),"",INDEX(J$1:J4827,SUMPRODUCT(MAX(ROW(E$1:E4827)*(E4828=E$1:E4827)))))</f>
        <v/>
      </c>
      <c r="L4828" s="31"/>
    </row>
    <row r="4829" customFormat="false" ht="15" hidden="false" customHeight="false" outlineLevel="0" collapsed="false">
      <c r="A4829" s="20"/>
    </row>
    <row r="4830" customFormat="false" ht="15" hidden="false" customHeight="false" outlineLevel="0" collapsed="false">
      <c r="A4830" s="20" t="s">
        <v>2473</v>
      </c>
    </row>
    <row r="4831" customFormat="false" ht="15" hidden="false" customHeight="false" outlineLevel="0" collapsed="false">
      <c r="A4831" s="20" t="s">
        <v>1561</v>
      </c>
      <c r="B4831" s="22" t="s">
        <v>1058</v>
      </c>
      <c r="C4831" s="22" t="s">
        <v>1082</v>
      </c>
      <c r="D4831" s="22" t="s">
        <v>1060</v>
      </c>
      <c r="E4831" s="23" t="str">
        <f aca="false">IF(D4831="?OLD","!!!","")</f>
        <v>!!!</v>
      </c>
      <c r="F4831" s="25" t="str">
        <f aca="false">IF(OR(E4831="",E4831="!!!"),"",IF(NOT(ISNA(VLOOKUP(E4831,E$1:E4830,1,FALSE()))),"OLD",IF(AND(E4831&lt;&gt;"",E4831&lt;&gt;"!!!"),"NEW","")))</f>
        <v/>
      </c>
      <c r="G4831" s="26" t="str">
        <f aca="false">IF(OR(E4831="",E4831="!!!"),"",IF(OR(J4831=0,AND(J4831=1,K4831=1),AND(J4831=1,I4831="SBJ"),AND(J4831=1,I4831=0)),"?IN_FOCUS",IF(J4831&lt;=2,"?ACTIVATED",IF(J4831&lt;&gt;"","?FAMILIAR",IF(F4831="NEW",IF(ISNA(VLOOKUP(E4831,#REF!,1,FALSE())),"?TYPE_IDENTIFIABLE","?REFERENTIAL"),"_")))))</f>
        <v/>
      </c>
      <c r="H4831" s="27" t="str">
        <f aca="false">IF(J4831&lt;&gt;1,"",IF(I4831="SBJ","CB","?"))</f>
        <v/>
      </c>
      <c r="I4831" s="24" t="str">
        <f aca="false">IF(OR(E4831="",E4831="!!!",F4831="NEW"),"",INDEX(B2:B$4830,-1+SUMPRODUCT(MAX(ROW(E2:E$4830)*(E4831=E2:E$4830)))))</f>
        <v/>
      </c>
      <c r="J4831" s="24" t="str">
        <f aca="true">IF(OR(E4831="",E4831="!!!",F4831="NEW"),"",COUNTBLANK(OFFSET(A$1,,,SUMPRODUCT(MAX(ROW(E$2:E4831)*(E4831=E$2:E4831)))))-COUNTBLANK(OFFSET(A$1,,,SUMPRODUCT(MAX(ROW(E$1:E4830)*(E2=E$1:E4830))))))</f>
        <v/>
      </c>
      <c r="K4831" s="24" t="str">
        <f aca="false">IF(OR(E4831="",E4831="!!!",F4831="NEW"),"",INDEX(J$1:J4830,SUMPRODUCT(MAX(ROW(E$1:E4830)*(E4831=E$1:E4830)))))</f>
        <v/>
      </c>
      <c r="L4831" s="31"/>
    </row>
    <row r="4832" customFormat="false" ht="15" hidden="false" customHeight="false" outlineLevel="0" collapsed="false">
      <c r="A4832" s="20" t="s">
        <v>2039</v>
      </c>
      <c r="E4832" s="23" t="str">
        <f aca="false">IF(D4832="?OLD","!!!","")</f>
        <v/>
      </c>
      <c r="F4832" s="25" t="str">
        <f aca="false">IF(OR(E4832="",E4832="!!!"),"",IF(NOT(ISNA(VLOOKUP(E4832,E$1:E4831,1,FALSE()))),"OLD",IF(AND(E4832&lt;&gt;"",E4832&lt;&gt;"!!!"),"NEW","")))</f>
        <v/>
      </c>
      <c r="G4832" s="26" t="str">
        <f aca="false">IF(OR(E4832="",E4832="!!!"),"",IF(OR(J4832=0,AND(J4832=1,K4832=1),AND(J4832=1,I4832="SBJ"),AND(J4832=1,I4832=0)),"?IN_FOCUS",IF(J4832&lt;=2,"?ACTIVATED",IF(J4832&lt;&gt;"","?FAMILIAR",IF(F4832="NEW",IF(ISNA(VLOOKUP(E4832,#REF!,1,FALSE())),"?TYPE_IDENTIFIABLE","?REFERENTIAL"),"_")))))</f>
        <v/>
      </c>
      <c r="H4832" s="27" t="str">
        <f aca="false">IF(J4832&lt;&gt;1,"",IF(I4832="SBJ","CB","?"))</f>
        <v/>
      </c>
      <c r="I4832" s="24" t="str">
        <f aca="false">IF(OR(E4832="",E4832="!!!",F4832="NEW"),"",INDEX(B3:B$4830,-1+SUMPRODUCT(MAX(ROW(E3:E$4830)*(E4832=E3:E$4830)))))</f>
        <v/>
      </c>
      <c r="J4832" s="24" t="str">
        <f aca="true">IF(OR(E4832="",E4832="!!!",F4832="NEW"),"",COUNTBLANK(OFFSET(A$1,,,SUMPRODUCT(MAX(ROW(E$2:E4832)*(E4832=E$2:E4832)))))-COUNTBLANK(OFFSET(A$1,,,SUMPRODUCT(MAX(ROW(E$1:E4831)*(E2=E$1:E4831))))))</f>
        <v/>
      </c>
      <c r="K4832" s="24" t="str">
        <f aca="false">IF(OR(E4832="",E4832="!!!",F4832="NEW"),"",INDEX(J$1:J4831,SUMPRODUCT(MAX(ROW(E$1:E4831)*(E4832=E$1:E4831)))))</f>
        <v/>
      </c>
      <c r="L4832" s="31"/>
    </row>
    <row r="4833" customFormat="false" ht="15" hidden="false" customHeight="false" outlineLevel="0" collapsed="false">
      <c r="A4833" s="20" t="s">
        <v>1399</v>
      </c>
      <c r="E4833" s="23" t="str">
        <f aca="false">IF(D4833="?OLD","!!!","")</f>
        <v/>
      </c>
      <c r="F4833" s="25" t="str">
        <f aca="false">IF(OR(E4833="",E4833="!!!"),"",IF(NOT(ISNA(VLOOKUP(E4833,E$1:E4832,1,FALSE()))),"OLD",IF(AND(E4833&lt;&gt;"",E4833&lt;&gt;"!!!"),"NEW","")))</f>
        <v/>
      </c>
      <c r="G4833" s="26" t="str">
        <f aca="false">IF(OR(E4833="",E4833="!!!"),"",IF(OR(J4833=0,AND(J4833=1,K4833=1),AND(J4833=1,I4833="SBJ"),AND(J4833=1,I4833=0)),"?IN_FOCUS",IF(J4833&lt;=2,"?ACTIVATED",IF(J4833&lt;&gt;"","?FAMILIAR",IF(F4833="NEW",IF(ISNA(VLOOKUP(E4833,#REF!,1,FALSE())),"?TYPE_IDENTIFIABLE","?REFERENTIAL"),"_")))))</f>
        <v/>
      </c>
      <c r="H4833" s="27" t="str">
        <f aca="false">IF(J4833&lt;&gt;1,"",IF(I4833="SBJ","CB","?"))</f>
        <v/>
      </c>
      <c r="I4833" s="24" t="str">
        <f aca="false">IF(OR(E4833="",E4833="!!!",F4833="NEW"),"",INDEX(B4:B$4830,-1+SUMPRODUCT(MAX(ROW(E4:E$4830)*(E4833=E4:E$4830)))))</f>
        <v/>
      </c>
      <c r="J4833" s="24" t="str">
        <f aca="true">IF(OR(E4833="",E4833="!!!",F4833="NEW"),"",COUNTBLANK(OFFSET(A$1,,,SUMPRODUCT(MAX(ROW(E$2:E4833)*(E4833=E$2:E4833)))))-COUNTBLANK(OFFSET(A$1,,,SUMPRODUCT(MAX(ROW(E$1:E4832)*(E2=E$1:E4832))))))</f>
        <v/>
      </c>
      <c r="K4833" s="24" t="str">
        <f aca="false">IF(OR(E4833="",E4833="!!!",F4833="NEW"),"",INDEX(J$1:J4832,SUMPRODUCT(MAX(ROW(E$1:E4832)*(E4833=E$1:E4832)))))</f>
        <v/>
      </c>
      <c r="L4833" s="31"/>
    </row>
    <row r="4834" customFormat="false" ht="15" hidden="false" customHeight="false" outlineLevel="0" collapsed="false">
      <c r="A4834" s="20" t="s">
        <v>2133</v>
      </c>
      <c r="E4834" s="23" t="str">
        <f aca="false">IF(D4834="?OLD","!!!","")</f>
        <v/>
      </c>
      <c r="F4834" s="25" t="str">
        <f aca="false">IF(OR(E4834="",E4834="!!!"),"",IF(NOT(ISNA(VLOOKUP(E4834,E$1:E4833,1,FALSE()))),"OLD",IF(AND(E4834&lt;&gt;"",E4834&lt;&gt;"!!!"),"NEW","")))</f>
        <v/>
      </c>
      <c r="G4834" s="26" t="str">
        <f aca="false">IF(OR(E4834="",E4834="!!!"),"",IF(OR(J4834=0,AND(J4834=1,K4834=1),AND(J4834=1,I4834="SBJ"),AND(J4834=1,I4834=0)),"?IN_FOCUS",IF(J4834&lt;=2,"?ACTIVATED",IF(J4834&lt;&gt;"","?FAMILIAR",IF(F4834="NEW",IF(ISNA(VLOOKUP(E4834,#REF!,1,FALSE())),"?TYPE_IDENTIFIABLE","?REFERENTIAL"),"_")))))</f>
        <v/>
      </c>
      <c r="H4834" s="27" t="str">
        <f aca="false">IF(J4834&lt;&gt;1,"",IF(I4834="SBJ","CB","?"))</f>
        <v/>
      </c>
      <c r="I4834" s="24" t="str">
        <f aca="false">IF(OR(E4834="",E4834="!!!",F4834="NEW"),"",INDEX(B5:B$4830,-1+SUMPRODUCT(MAX(ROW(E5:E$4830)*(E4834=E5:E$4830)))))</f>
        <v/>
      </c>
      <c r="J4834" s="24" t="str">
        <f aca="true">IF(OR(E4834="",E4834="!!!",F4834="NEW"),"",COUNTBLANK(OFFSET(A$1,,,SUMPRODUCT(MAX(ROW(E$2:E4834)*(E4834=E$2:E4834)))))-COUNTBLANK(OFFSET(A$1,,,SUMPRODUCT(MAX(ROW(E$1:E4833)*(E2=E$1:E4833))))))</f>
        <v/>
      </c>
      <c r="K4834" s="24" t="str">
        <f aca="false">IF(OR(E4834="",E4834="!!!",F4834="NEW"),"",INDEX(J$1:J4833,SUMPRODUCT(MAX(ROW(E$1:E4833)*(E4834=E$1:E4833)))))</f>
        <v/>
      </c>
      <c r="L4834" s="31"/>
    </row>
    <row r="4835" customFormat="false" ht="15" hidden="false" customHeight="false" outlineLevel="0" collapsed="false">
      <c r="A4835" s="20" t="s">
        <v>1859</v>
      </c>
      <c r="E4835" s="23" t="str">
        <f aca="false">IF(D4835="?OLD","!!!","")</f>
        <v/>
      </c>
      <c r="F4835" s="25" t="str">
        <f aca="false">IF(OR(E4835="",E4835="!!!"),"",IF(NOT(ISNA(VLOOKUP(E4835,E$1:E4834,1,FALSE()))),"OLD",IF(AND(E4835&lt;&gt;"",E4835&lt;&gt;"!!!"),"NEW","")))</f>
        <v/>
      </c>
      <c r="G4835" s="26" t="str">
        <f aca="false">IF(OR(E4835="",E4835="!!!"),"",IF(OR(J4835=0,AND(J4835=1,K4835=1),AND(J4835=1,I4835="SBJ"),AND(J4835=1,I4835=0)),"?IN_FOCUS",IF(J4835&lt;=2,"?ACTIVATED",IF(J4835&lt;&gt;"","?FAMILIAR",IF(F4835="NEW",IF(ISNA(VLOOKUP(E4835,#REF!,1,FALSE())),"?TYPE_IDENTIFIABLE","?REFERENTIAL"),"_")))))</f>
        <v/>
      </c>
      <c r="H4835" s="27" t="str">
        <f aca="false">IF(J4835&lt;&gt;1,"",IF(I4835="SBJ","CB","?"))</f>
        <v/>
      </c>
      <c r="I4835" s="24" t="str">
        <f aca="false">IF(OR(E4835="",E4835="!!!",F4835="NEW"),"",INDEX(B6:B$4830,-1+SUMPRODUCT(MAX(ROW(E6:E$4830)*(E4835=E6:E$4830)))))</f>
        <v/>
      </c>
      <c r="J4835" s="24" t="str">
        <f aca="true">IF(OR(E4835="",E4835="!!!",F4835="NEW"),"",COUNTBLANK(OFFSET(A$1,,,SUMPRODUCT(MAX(ROW(E$2:E4835)*(E4835=E$2:E4835)))))-COUNTBLANK(OFFSET(A$1,,,SUMPRODUCT(MAX(ROW(E$1:E4834)*(E2=E$1:E4834))))))</f>
        <v/>
      </c>
      <c r="K4835" s="24" t="str">
        <f aca="false">IF(OR(E4835="",E4835="!!!",F4835="NEW"),"",INDEX(J$1:J4834,SUMPRODUCT(MAX(ROW(E$1:E4834)*(E4835=E$1:E4834)))))</f>
        <v/>
      </c>
      <c r="L4835" s="31"/>
    </row>
    <row r="4836" customFormat="false" ht="15" hidden="false" customHeight="false" outlineLevel="0" collapsed="false">
      <c r="A4836" s="20" t="s">
        <v>2474</v>
      </c>
      <c r="B4836" s="22" t="s">
        <v>1081</v>
      </c>
      <c r="C4836" s="22" t="s">
        <v>1087</v>
      </c>
      <c r="E4836" s="23" t="str">
        <f aca="false">IF(D4836="?OLD","!!!","")</f>
        <v/>
      </c>
      <c r="F4836" s="25" t="str">
        <f aca="false">IF(OR(E4836="",E4836="!!!"),"",IF(NOT(ISNA(VLOOKUP(E4836,E$1:E4835,1,FALSE()))),"OLD",IF(AND(E4836&lt;&gt;"",E4836&lt;&gt;"!!!"),"NEW","")))</f>
        <v/>
      </c>
      <c r="G4836" s="26" t="str">
        <f aca="false">IF(OR(E4836="",E4836="!!!"),"",IF(OR(J4836=0,AND(J4836=1,K4836=1),AND(J4836=1,I4836="SBJ"),AND(J4836=1,I4836=0)),"?IN_FOCUS",IF(J4836&lt;=2,"?ACTIVATED",IF(J4836&lt;&gt;"","?FAMILIAR",IF(F4836="NEW",IF(ISNA(VLOOKUP(E4836,#REF!,1,FALSE())),"?TYPE_IDENTIFIABLE","?REFERENTIAL"),"_")))))</f>
        <v/>
      </c>
      <c r="H4836" s="27" t="str">
        <f aca="false">IF(J4836&lt;&gt;1,"",IF(I4836="SBJ","CB","?"))</f>
        <v/>
      </c>
      <c r="I4836" s="24" t="str">
        <f aca="false">IF(OR(E4836="",E4836="!!!",F4836="NEW"),"",INDEX(B7:B$4830,-1+SUMPRODUCT(MAX(ROW(E7:E$4830)*(E4836=E7:E$4830)))))</f>
        <v/>
      </c>
      <c r="J4836" s="24" t="str">
        <f aca="true">IF(OR(E4836="",E4836="!!!",F4836="NEW"),"",COUNTBLANK(OFFSET(A$1,,,SUMPRODUCT(MAX(ROW(E$2:E4836)*(E4836=E$2:E4836)))))-COUNTBLANK(OFFSET(A$1,,,SUMPRODUCT(MAX(ROW(E$1:E4835)*(E2=E$1:E4835))))))</f>
        <v/>
      </c>
      <c r="K4836" s="24" t="str">
        <f aca="false">IF(OR(E4836="",E4836="!!!",F4836="NEW"),"",INDEX(J$1:J4835,SUMPRODUCT(MAX(ROW(E$1:E4835)*(E4836=E$1:E4835)))))</f>
        <v/>
      </c>
      <c r="L4836" s="31"/>
    </row>
    <row r="4837" customFormat="false" ht="15" hidden="false" customHeight="false" outlineLevel="0" collapsed="false">
      <c r="A4837" s="20" t="s">
        <v>1173</v>
      </c>
      <c r="E4837" s="23" t="str">
        <f aca="false">IF(D4837="?OLD","!!!","")</f>
        <v/>
      </c>
      <c r="F4837" s="25" t="str">
        <f aca="false">IF(OR(E4837="",E4837="!!!"),"",IF(NOT(ISNA(VLOOKUP(E4837,E$1:E4836,1,FALSE()))),"OLD",IF(AND(E4837&lt;&gt;"",E4837&lt;&gt;"!!!"),"NEW","")))</f>
        <v/>
      </c>
      <c r="G4837" s="26" t="str">
        <f aca="false">IF(OR(E4837="",E4837="!!!"),"",IF(OR(J4837=0,AND(J4837=1,K4837=1),AND(J4837=1,I4837="SBJ"),AND(J4837=1,I4837=0)),"?IN_FOCUS",IF(J4837&lt;=2,"?ACTIVATED",IF(J4837&lt;&gt;"","?FAMILIAR",IF(F4837="NEW",IF(ISNA(VLOOKUP(E4837,#REF!,1,FALSE())),"?TYPE_IDENTIFIABLE","?REFERENTIAL"),"_")))))</f>
        <v/>
      </c>
      <c r="H4837" s="27" t="str">
        <f aca="false">IF(J4837&lt;&gt;1,"",IF(I4837="SBJ","CB","?"))</f>
        <v/>
      </c>
      <c r="I4837" s="24" t="str">
        <f aca="false">IF(OR(E4837="",E4837="!!!",F4837="NEW"),"",INDEX(B8:B$4830,-1+SUMPRODUCT(MAX(ROW(E8:E$4830)*(E4837=E8:E$4830)))))</f>
        <v/>
      </c>
      <c r="J4837" s="24" t="str">
        <f aca="true">IF(OR(E4837="",E4837="!!!",F4837="NEW"),"",COUNTBLANK(OFFSET(A$1,,,SUMPRODUCT(MAX(ROW(E$2:E4837)*(E4837=E$2:E4837)))))-COUNTBLANK(OFFSET(A$1,,,SUMPRODUCT(MAX(ROW(E$1:E4836)*(E2=E$1:E4836))))))</f>
        <v/>
      </c>
      <c r="K4837" s="24" t="str">
        <f aca="false">IF(OR(E4837="",E4837="!!!",F4837="NEW"),"",INDEX(J$1:J4836,SUMPRODUCT(MAX(ROW(E$1:E4836)*(E4837=E$1:E4836)))))</f>
        <v/>
      </c>
      <c r="L4837" s="31"/>
    </row>
    <row r="4838" customFormat="false" ht="15" hidden="false" customHeight="false" outlineLevel="0" collapsed="false">
      <c r="A4838" s="20" t="s">
        <v>1109</v>
      </c>
      <c r="E4838" s="23" t="str">
        <f aca="false">IF(D4838="?OLD","!!!","")</f>
        <v/>
      </c>
      <c r="F4838" s="25" t="str">
        <f aca="false">IF(OR(E4838="",E4838="!!!"),"",IF(NOT(ISNA(VLOOKUP(E4838,E$1:E4837,1,FALSE()))),"OLD",IF(AND(E4838&lt;&gt;"",E4838&lt;&gt;"!!!"),"NEW","")))</f>
        <v/>
      </c>
      <c r="G4838" s="26" t="str">
        <f aca="false">IF(OR(E4838="",E4838="!!!"),"",IF(OR(J4838=0,AND(J4838=1,K4838=1),AND(J4838=1,I4838="SBJ"),AND(J4838=1,I4838=0)),"?IN_FOCUS",IF(J4838&lt;=2,"?ACTIVATED",IF(J4838&lt;&gt;"","?FAMILIAR",IF(F4838="NEW",IF(ISNA(VLOOKUP(E4838,#REF!,1,FALSE())),"?TYPE_IDENTIFIABLE","?REFERENTIAL"),"_")))))</f>
        <v/>
      </c>
      <c r="H4838" s="27" t="str">
        <f aca="false">IF(J4838&lt;&gt;1,"",IF(I4838="SBJ","CB","?"))</f>
        <v/>
      </c>
      <c r="I4838" s="24" t="str">
        <f aca="false">IF(OR(E4838="",E4838="!!!",F4838="NEW"),"",INDEX(B9:B$4830,-1+SUMPRODUCT(MAX(ROW(E9:E$4830)*(E4838=E9:E$4830)))))</f>
        <v/>
      </c>
      <c r="J4838" s="24" t="str">
        <f aca="true">IF(OR(E4838="",E4838="!!!",F4838="NEW"),"",COUNTBLANK(OFFSET(A$1,,,SUMPRODUCT(MAX(ROW(E$2:E4838)*(E4838=E$2:E4838)))))-COUNTBLANK(OFFSET(A$1,,,SUMPRODUCT(MAX(ROW(E$1:E4837)*(E2=E$1:E4837))))))</f>
        <v/>
      </c>
      <c r="K4838" s="24" t="str">
        <f aca="false">IF(OR(E4838="",E4838="!!!",F4838="NEW"),"",INDEX(J$1:J4837,SUMPRODUCT(MAX(ROW(E$1:E4837)*(E4838=E$1:E4837)))))</f>
        <v/>
      </c>
      <c r="L4838" s="31"/>
    </row>
    <row r="4839" customFormat="false" ht="15" hidden="false" customHeight="false" outlineLevel="0" collapsed="false">
      <c r="A4839" s="20" t="s">
        <v>1959</v>
      </c>
      <c r="B4839" s="22" t="s">
        <v>1105</v>
      </c>
      <c r="C4839" s="22" t="s">
        <v>1150</v>
      </c>
      <c r="D4839" s="22" t="s">
        <v>1060</v>
      </c>
      <c r="E4839" s="23" t="str">
        <f aca="false">IF(D4839="?OLD","!!!","")</f>
        <v>!!!</v>
      </c>
      <c r="F4839" s="25" t="str">
        <f aca="false">IF(OR(E4839="",E4839="!!!"),"",IF(NOT(ISNA(VLOOKUP(E4839,E$1:E4838,1,FALSE()))),"OLD",IF(AND(E4839&lt;&gt;"",E4839&lt;&gt;"!!!"),"NEW","")))</f>
        <v/>
      </c>
      <c r="G4839" s="26" t="str">
        <f aca="false">IF(OR(E4839="",E4839="!!!"),"",IF(OR(J4839=0,AND(J4839=1,K4839=1),AND(J4839=1,I4839="SBJ"),AND(J4839=1,I4839=0)),"?IN_FOCUS",IF(J4839&lt;=2,"?ACTIVATED",IF(J4839&lt;&gt;"","?FAMILIAR",IF(F4839="NEW",IF(ISNA(VLOOKUP(E4839,#REF!,1,FALSE())),"?TYPE_IDENTIFIABLE","?REFERENTIAL"),"_")))))</f>
        <v/>
      </c>
      <c r="H4839" s="27" t="str">
        <f aca="false">IF(J4839&lt;&gt;1,"",IF(I4839="SBJ","CB","?"))</f>
        <v/>
      </c>
      <c r="I4839" s="24" t="str">
        <f aca="false">IF(OR(E4839="",E4839="!!!",F4839="NEW"),"",INDEX(B10:B$4830,-1+SUMPRODUCT(MAX(ROW(E10:E$4830)*(E4839=E10:E$4830)))))</f>
        <v/>
      </c>
      <c r="J4839" s="24" t="str">
        <f aca="true">IF(OR(E4839="",E4839="!!!",F4839="NEW"),"",COUNTBLANK(OFFSET(A$1,,,SUMPRODUCT(MAX(ROW(E$2:E4839)*(E4839=E$2:E4839)))))-COUNTBLANK(OFFSET(A$1,,,SUMPRODUCT(MAX(ROW(E$1:E4838)*(E2=E$1:E4838))))))</f>
        <v/>
      </c>
      <c r="K4839" s="24" t="str">
        <f aca="false">IF(OR(E4839="",E4839="!!!",F4839="NEW"),"",INDEX(J$1:J4838,SUMPRODUCT(MAX(ROW(E$1:E4838)*(E4839=E$1:E4838)))))</f>
        <v/>
      </c>
      <c r="L4839" s="31"/>
    </row>
    <row r="4840" customFormat="false" ht="15" hidden="false" customHeight="false" outlineLevel="0" collapsed="false">
      <c r="A4840" s="20" t="s">
        <v>923</v>
      </c>
      <c r="E4840" s="23" t="str">
        <f aca="false">IF(D4840="?OLD","!!!","")</f>
        <v/>
      </c>
      <c r="F4840" s="25" t="str">
        <f aca="false">IF(OR(E4840="",E4840="!!!"),"",IF(NOT(ISNA(VLOOKUP(E4840,E$1:E4839,1,FALSE()))),"OLD",IF(AND(E4840&lt;&gt;"",E4840&lt;&gt;"!!!"),"NEW","")))</f>
        <v/>
      </c>
      <c r="G4840" s="26" t="str">
        <f aca="false">IF(OR(E4840="",E4840="!!!"),"",IF(OR(J4840=0,AND(J4840=1,K4840=1),AND(J4840=1,I4840="SBJ"),AND(J4840=1,I4840=0)),"?IN_FOCUS",IF(J4840&lt;=2,"?ACTIVATED",IF(J4840&lt;&gt;"","?FAMILIAR",IF(F4840="NEW",IF(ISNA(VLOOKUP(E4840,#REF!,1,FALSE())),"?TYPE_IDENTIFIABLE","?REFERENTIAL"),"_")))))</f>
        <v/>
      </c>
      <c r="H4840" s="27" t="str">
        <f aca="false">IF(J4840&lt;&gt;1,"",IF(I4840="SBJ","CB","?"))</f>
        <v/>
      </c>
      <c r="I4840" s="24" t="str">
        <f aca="false">IF(OR(E4840="",E4840="!!!",F4840="NEW"),"",INDEX(B11:B$4830,-1+SUMPRODUCT(MAX(ROW(E11:E$4830)*(E4840=E11:E$4830)))))</f>
        <v/>
      </c>
      <c r="J4840" s="24" t="str">
        <f aca="true">IF(OR(E4840="",E4840="!!!",F4840="NEW"),"",COUNTBLANK(OFFSET(A$1,,,SUMPRODUCT(MAX(ROW(E$2:E4840)*(E4840=E$2:E4840)))))-COUNTBLANK(OFFSET(A$1,,,SUMPRODUCT(MAX(ROW(E$1:E4839)*(E2=E$1:E4839))))))</f>
        <v/>
      </c>
      <c r="K4840" s="24" t="str">
        <f aca="false">IF(OR(E4840="",E4840="!!!",F4840="NEW"),"",INDEX(J$1:J4839,SUMPRODUCT(MAX(ROW(E$1:E4839)*(E4840=E$1:E4839)))))</f>
        <v/>
      </c>
      <c r="L4840" s="31"/>
    </row>
    <row r="4841" customFormat="false" ht="15" hidden="false" customHeight="false" outlineLevel="0" collapsed="false">
      <c r="A4841" s="20"/>
    </row>
    <row r="4842" customFormat="false" ht="15" hidden="false" customHeight="false" outlineLevel="0" collapsed="false">
      <c r="A4842" s="20" t="s">
        <v>1301</v>
      </c>
      <c r="E4842" s="23" t="str">
        <f aca="false">IF(D4842="?OLD","!!!","")</f>
        <v/>
      </c>
      <c r="F4842" s="25" t="str">
        <f aca="false">IF(OR(E4842="",E4842="!!!"),"",IF(NOT(ISNA(VLOOKUP(E4842,E$1:E4841,1,FALSE()))),"OLD",IF(AND(E4842&lt;&gt;"",E4842&lt;&gt;"!!!"),"NEW","")))</f>
        <v/>
      </c>
      <c r="G4842" s="26" t="str">
        <f aca="false">IF(OR(E4842="",E4842="!!!"),"",IF(OR(J4842=0,AND(J4842=1,K4842=1),AND(J4842=1,I4842="SBJ"),AND(J4842=1,I4842=0)),"?IN_FOCUS",IF(J4842&lt;=2,"?ACTIVATED",IF(J4842&lt;&gt;"","?FAMILIAR",IF(F4842="NEW",IF(ISNA(VLOOKUP(E4842,#REF!,1,FALSE())),"?TYPE_IDENTIFIABLE","?REFERENTIAL"),"_")))))</f>
        <v/>
      </c>
      <c r="H4842" s="27" t="str">
        <f aca="false">IF(J4842&lt;&gt;1,"",IF(I4842="SBJ","CB","?"))</f>
        <v/>
      </c>
      <c r="I4842" s="24" t="str">
        <f aca="false">IF(OR(E4842="",E4842="!!!",F4842="NEW"),"",INDEX(B2:B$4841,-1+SUMPRODUCT(MAX(ROW(E2:E$4841)*(E4842=E2:E$4841)))))</f>
        <v/>
      </c>
      <c r="J4842" s="24" t="str">
        <f aca="true">IF(OR(E4842="",E4842="!!!",F4842="NEW"),"",COUNTBLANK(OFFSET(A$1,,,SUMPRODUCT(MAX(ROW(E$2:E4842)*(E4842=E$2:E4842)))))-COUNTBLANK(OFFSET(A$1,,,SUMPRODUCT(MAX(ROW(E$1:E4841)*(E2=E$1:E4841))))))</f>
        <v/>
      </c>
      <c r="K4842" s="24" t="str">
        <f aca="false">IF(OR(E4842="",E4842="!!!",F4842="NEW"),"",INDEX(J$1:J4841,SUMPRODUCT(MAX(ROW(E$1:E4841)*(E4842=E$1:E4841)))))</f>
        <v/>
      </c>
      <c r="L4842" s="31"/>
    </row>
    <row r="4843" customFormat="false" ht="15" hidden="false" customHeight="false" outlineLevel="0" collapsed="false">
      <c r="A4843" s="20" t="s">
        <v>2475</v>
      </c>
    </row>
    <row r="4844" customFormat="false" ht="15" hidden="false" customHeight="false" outlineLevel="0" collapsed="false">
      <c r="A4844" s="20" t="s">
        <v>607</v>
      </c>
      <c r="E4844" s="23" t="str">
        <f aca="false">IF(D4844="?OLD","!!!","")</f>
        <v/>
      </c>
      <c r="F4844" s="25" t="str">
        <f aca="false">IF(OR(E4844="",E4844="!!!"),"",IF(NOT(ISNA(VLOOKUP(E4844,E$1:E4843,1,FALSE()))),"OLD",IF(AND(E4844&lt;&gt;"",E4844&lt;&gt;"!!!"),"NEW","")))</f>
        <v/>
      </c>
      <c r="G4844" s="26" t="str">
        <f aca="false">IF(OR(E4844="",E4844="!!!"),"",IF(OR(J4844=0,AND(J4844=1,K4844=1),AND(J4844=1,I4844="SBJ"),AND(J4844=1,I4844=0)),"?IN_FOCUS",IF(J4844&lt;=2,"?ACTIVATED",IF(J4844&lt;&gt;"","?FAMILIAR",IF(F4844="NEW",IF(ISNA(VLOOKUP(E4844,#REF!,1,FALSE())),"?TYPE_IDENTIFIABLE","?REFERENTIAL"),"_")))))</f>
        <v/>
      </c>
      <c r="H4844" s="27" t="str">
        <f aca="false">IF(J4844&lt;&gt;1,"",IF(I4844="SBJ","CB","?"))</f>
        <v/>
      </c>
      <c r="I4844" s="24" t="str">
        <f aca="false">IF(OR(E4844="",E4844="!!!",F4844="NEW"),"",INDEX(B2:B$4843,-1+SUMPRODUCT(MAX(ROW(E2:E$4843)*(E4844=E2:E$4843)))))</f>
        <v/>
      </c>
      <c r="J4844" s="24" t="str">
        <f aca="true">IF(OR(E4844="",E4844="!!!",F4844="NEW"),"",COUNTBLANK(OFFSET(A$1,,,SUMPRODUCT(MAX(ROW(E$2:E4844)*(E4844=E$2:E4844)))))-COUNTBLANK(OFFSET(A$1,,,SUMPRODUCT(MAX(ROW(E$1:E4843)*(E2=E$1:E4843))))))</f>
        <v/>
      </c>
      <c r="K4844" s="24" t="str">
        <f aca="false">IF(OR(E4844="",E4844="!!!",F4844="NEW"),"",INDEX(J$1:J4843,SUMPRODUCT(MAX(ROW(E$1:E4843)*(E4844=E$1:E4843)))))</f>
        <v/>
      </c>
      <c r="L4844" s="31"/>
    </row>
    <row r="4845" customFormat="false" ht="15" hidden="false" customHeight="false" outlineLevel="0" collapsed="false">
      <c r="A4845" s="20" t="s">
        <v>2476</v>
      </c>
      <c r="B4845" s="22" t="s">
        <v>1058</v>
      </c>
      <c r="C4845" s="22" t="s">
        <v>1160</v>
      </c>
      <c r="E4845" s="23" t="str">
        <f aca="false">IF(D4845="?OLD","!!!","")</f>
        <v/>
      </c>
      <c r="F4845" s="25" t="str">
        <f aca="false">IF(OR(E4845="",E4845="!!!"),"",IF(NOT(ISNA(VLOOKUP(E4845,E$1:E4844,1,FALSE()))),"OLD",IF(AND(E4845&lt;&gt;"",E4845&lt;&gt;"!!!"),"NEW","")))</f>
        <v/>
      </c>
      <c r="G4845" s="26" t="str">
        <f aca="false">IF(OR(E4845="",E4845="!!!"),"",IF(OR(J4845=0,AND(J4845=1,K4845=1),AND(J4845=1,I4845="SBJ"),AND(J4845=1,I4845=0)),"?IN_FOCUS",IF(J4845&lt;=2,"?ACTIVATED",IF(J4845&lt;&gt;"","?FAMILIAR",IF(F4845="NEW",IF(ISNA(VLOOKUP(E4845,#REF!,1,FALSE())),"?TYPE_IDENTIFIABLE","?REFERENTIAL"),"_")))))</f>
        <v/>
      </c>
      <c r="H4845" s="27" t="str">
        <f aca="false">IF(J4845&lt;&gt;1,"",IF(I4845="SBJ","CB","?"))</f>
        <v/>
      </c>
      <c r="I4845" s="24" t="str">
        <f aca="false">IF(OR(E4845="",E4845="!!!",F4845="NEW"),"",INDEX(B3:B$4843,-1+SUMPRODUCT(MAX(ROW(E3:E$4843)*(E4845=E3:E$4843)))))</f>
        <v/>
      </c>
      <c r="J4845" s="24" t="str">
        <f aca="true">IF(OR(E4845="",E4845="!!!",F4845="NEW"),"",COUNTBLANK(OFFSET(A$1,,,SUMPRODUCT(MAX(ROW(E$2:E4845)*(E4845=E$2:E4845)))))-COUNTBLANK(OFFSET(A$1,,,SUMPRODUCT(MAX(ROW(E$1:E4844)*(E2=E$1:E4844))))))</f>
        <v/>
      </c>
      <c r="K4845" s="24" t="str">
        <f aca="false">IF(OR(E4845="",E4845="!!!",F4845="NEW"),"",INDEX(J$1:J4844,SUMPRODUCT(MAX(ROW(E$1:E4844)*(E4845=E$1:E4844)))))</f>
        <v/>
      </c>
      <c r="L4845" s="31"/>
    </row>
    <row r="4846" customFormat="false" ht="15" hidden="false" customHeight="false" outlineLevel="0" collapsed="false">
      <c r="A4846" s="20" t="s">
        <v>1076</v>
      </c>
      <c r="E4846" s="23" t="str">
        <f aca="false">IF(D4846="?OLD","!!!","")</f>
        <v/>
      </c>
      <c r="F4846" s="25" t="str">
        <f aca="false">IF(OR(E4846="",E4846="!!!"),"",IF(NOT(ISNA(VLOOKUP(E4846,E$1:E4845,1,FALSE()))),"OLD",IF(AND(E4846&lt;&gt;"",E4846&lt;&gt;"!!!"),"NEW","")))</f>
        <v/>
      </c>
      <c r="G4846" s="26" t="str">
        <f aca="false">IF(OR(E4846="",E4846="!!!"),"",IF(OR(J4846=0,AND(J4846=1,K4846=1),AND(J4846=1,I4846="SBJ"),AND(J4846=1,I4846=0)),"?IN_FOCUS",IF(J4846&lt;=2,"?ACTIVATED",IF(J4846&lt;&gt;"","?FAMILIAR",IF(F4846="NEW",IF(ISNA(VLOOKUP(E4846,#REF!,1,FALSE())),"?TYPE_IDENTIFIABLE","?REFERENTIAL"),"_")))))</f>
        <v/>
      </c>
      <c r="H4846" s="27" t="str">
        <f aca="false">IF(J4846&lt;&gt;1,"",IF(I4846="SBJ","CB","?"))</f>
        <v/>
      </c>
      <c r="I4846" s="24" t="str">
        <f aca="false">IF(OR(E4846="",E4846="!!!",F4846="NEW"),"",INDEX(B4:B$4843,-1+SUMPRODUCT(MAX(ROW(E4:E$4843)*(E4846=E4:E$4843)))))</f>
        <v/>
      </c>
      <c r="J4846" s="24" t="str">
        <f aca="true">IF(OR(E4846="",E4846="!!!",F4846="NEW"),"",COUNTBLANK(OFFSET(A$1,,,SUMPRODUCT(MAX(ROW(E$2:E4846)*(E4846=E$2:E4846)))))-COUNTBLANK(OFFSET(A$1,,,SUMPRODUCT(MAX(ROW(E$1:E4845)*(E2=E$1:E4845))))))</f>
        <v/>
      </c>
      <c r="K4846" s="24" t="str">
        <f aca="false">IF(OR(E4846="",E4846="!!!",F4846="NEW"),"",INDEX(J$1:J4845,SUMPRODUCT(MAX(ROW(E$1:E4845)*(E4846=E$1:E4845)))))</f>
        <v/>
      </c>
      <c r="L4846" s="31"/>
    </row>
    <row r="4847" customFormat="false" ht="15" hidden="false" customHeight="false" outlineLevel="0" collapsed="false">
      <c r="A4847" s="20" t="s">
        <v>2477</v>
      </c>
      <c r="B4847" s="22" t="s">
        <v>1073</v>
      </c>
      <c r="C4847" s="22" t="s">
        <v>1068</v>
      </c>
      <c r="D4847" s="22" t="s">
        <v>1060</v>
      </c>
      <c r="E4847" s="23" t="str">
        <f aca="false">IF(D4847="?OLD","!!!","")</f>
        <v>!!!</v>
      </c>
      <c r="F4847" s="25" t="str">
        <f aca="false">IF(OR(E4847="",E4847="!!!"),"",IF(NOT(ISNA(VLOOKUP(E4847,E$1:E4846,1,FALSE()))),"OLD",IF(AND(E4847&lt;&gt;"",E4847&lt;&gt;"!!!"),"NEW","")))</f>
        <v/>
      </c>
      <c r="G4847" s="26" t="str">
        <f aca="false">IF(OR(E4847="",E4847="!!!"),"",IF(OR(J4847=0,AND(J4847=1,K4847=1),AND(J4847=1,I4847="SBJ"),AND(J4847=1,I4847=0)),"?IN_FOCUS",IF(J4847&lt;=2,"?ACTIVATED",IF(J4847&lt;&gt;"","?FAMILIAR",IF(F4847="NEW",IF(ISNA(VLOOKUP(E4847,#REF!,1,FALSE())),"?TYPE_IDENTIFIABLE","?REFERENTIAL"),"_")))))</f>
        <v/>
      </c>
      <c r="H4847" s="27" t="str">
        <f aca="false">IF(J4847&lt;&gt;1,"",IF(I4847="SBJ","CB","?"))</f>
        <v/>
      </c>
      <c r="I4847" s="24" t="str">
        <f aca="false">IF(OR(E4847="",E4847="!!!",F4847="NEW"),"",INDEX(B5:B$4843,-1+SUMPRODUCT(MAX(ROW(E5:E$4843)*(E4847=E5:E$4843)))))</f>
        <v/>
      </c>
      <c r="J4847" s="24" t="str">
        <f aca="true">IF(OR(E4847="",E4847="!!!",F4847="NEW"),"",COUNTBLANK(OFFSET(A$1,,,SUMPRODUCT(MAX(ROW(E$2:E4847)*(E4847=E$2:E4847)))))-COUNTBLANK(OFFSET(A$1,,,SUMPRODUCT(MAX(ROW(E$1:E4846)*(E2=E$1:E4846))))))</f>
        <v/>
      </c>
      <c r="K4847" s="24" t="str">
        <f aca="false">IF(OR(E4847="",E4847="!!!",F4847="NEW"),"",INDEX(J$1:J4846,SUMPRODUCT(MAX(ROW(E$1:E4846)*(E4847=E$1:E4846)))))</f>
        <v/>
      </c>
      <c r="L4847" s="31"/>
    </row>
    <row r="4848" customFormat="false" ht="15" hidden="false" customHeight="false" outlineLevel="0" collapsed="false">
      <c r="A4848" s="20" t="s">
        <v>1076</v>
      </c>
      <c r="E4848" s="23" t="str">
        <f aca="false">IF(D4848="?OLD","!!!","")</f>
        <v/>
      </c>
      <c r="F4848" s="25" t="str">
        <f aca="false">IF(OR(E4848="",E4848="!!!"),"",IF(NOT(ISNA(VLOOKUP(E4848,E$1:E4847,1,FALSE()))),"OLD",IF(AND(E4848&lt;&gt;"",E4848&lt;&gt;"!!!"),"NEW","")))</f>
        <v/>
      </c>
      <c r="G4848" s="26" t="str">
        <f aca="false">IF(OR(E4848="",E4848="!!!"),"",IF(OR(J4848=0,AND(J4848=1,K4848=1),AND(J4848=1,I4848="SBJ"),AND(J4848=1,I4848=0)),"?IN_FOCUS",IF(J4848&lt;=2,"?ACTIVATED",IF(J4848&lt;&gt;"","?FAMILIAR",IF(F4848="NEW",IF(ISNA(VLOOKUP(E4848,#REF!,1,FALSE())),"?TYPE_IDENTIFIABLE","?REFERENTIAL"),"_")))))</f>
        <v/>
      </c>
      <c r="H4848" s="27" t="str">
        <f aca="false">IF(J4848&lt;&gt;1,"",IF(I4848="SBJ","CB","?"))</f>
        <v/>
      </c>
      <c r="I4848" s="24" t="str">
        <f aca="false">IF(OR(E4848="",E4848="!!!",F4848="NEW"),"",INDEX(B6:B$4843,-1+SUMPRODUCT(MAX(ROW(E6:E$4843)*(E4848=E6:E$4843)))))</f>
        <v/>
      </c>
      <c r="J4848" s="24" t="str">
        <f aca="true">IF(OR(E4848="",E4848="!!!",F4848="NEW"),"",COUNTBLANK(OFFSET(A$1,,,SUMPRODUCT(MAX(ROW(E$2:E4848)*(E4848=E$2:E4848)))))-COUNTBLANK(OFFSET(A$1,,,SUMPRODUCT(MAX(ROW(E$1:E4847)*(E2=E$1:E4847))))))</f>
        <v/>
      </c>
      <c r="K4848" s="24" t="str">
        <f aca="false">IF(OR(E4848="",E4848="!!!",F4848="NEW"),"",INDEX(J$1:J4847,SUMPRODUCT(MAX(ROW(E$1:E4847)*(E4848=E$1:E4847)))))</f>
        <v/>
      </c>
      <c r="L4848" s="31"/>
    </row>
    <row r="4849" customFormat="false" ht="15" hidden="false" customHeight="false" outlineLevel="0" collapsed="false">
      <c r="A4849" s="20" t="s">
        <v>607</v>
      </c>
      <c r="E4849" s="23" t="str">
        <f aca="false">IF(D4849="?OLD","!!!","")</f>
        <v/>
      </c>
      <c r="F4849" s="25" t="str">
        <f aca="false">IF(OR(E4849="",E4849="!!!"),"",IF(NOT(ISNA(VLOOKUP(E4849,E$1:E4848,1,FALSE()))),"OLD",IF(AND(E4849&lt;&gt;"",E4849&lt;&gt;"!!!"),"NEW","")))</f>
        <v/>
      </c>
      <c r="G4849" s="26" t="str">
        <f aca="false">IF(OR(E4849="",E4849="!!!"),"",IF(OR(J4849=0,AND(J4849=1,K4849=1),AND(J4849=1,I4849="SBJ"),AND(J4849=1,I4849=0)),"?IN_FOCUS",IF(J4849&lt;=2,"?ACTIVATED",IF(J4849&lt;&gt;"","?FAMILIAR",IF(F4849="NEW",IF(ISNA(VLOOKUP(E4849,#REF!,1,FALSE())),"?TYPE_IDENTIFIABLE","?REFERENTIAL"),"_")))))</f>
        <v/>
      </c>
      <c r="H4849" s="27" t="str">
        <f aca="false">IF(J4849&lt;&gt;1,"",IF(I4849="SBJ","CB","?"))</f>
        <v/>
      </c>
      <c r="I4849" s="24" t="str">
        <f aca="false">IF(OR(E4849="",E4849="!!!",F4849="NEW"),"",INDEX(B7:B$4843,-1+SUMPRODUCT(MAX(ROW(E7:E$4843)*(E4849=E7:E$4843)))))</f>
        <v/>
      </c>
      <c r="J4849" s="24" t="str">
        <f aca="true">IF(OR(E4849="",E4849="!!!",F4849="NEW"),"",COUNTBLANK(OFFSET(A$1,,,SUMPRODUCT(MAX(ROW(E$2:E4849)*(E4849=E$2:E4849)))))-COUNTBLANK(OFFSET(A$1,,,SUMPRODUCT(MAX(ROW(E$1:E4848)*(E2=E$1:E4848))))))</f>
        <v/>
      </c>
      <c r="K4849" s="24" t="str">
        <f aca="false">IF(OR(E4849="",E4849="!!!",F4849="NEW"),"",INDEX(J$1:J4848,SUMPRODUCT(MAX(ROW(E$1:E4848)*(E4849=E$1:E4848)))))</f>
        <v/>
      </c>
      <c r="L4849" s="31"/>
    </row>
    <row r="4850" customFormat="false" ht="15" hidden="false" customHeight="false" outlineLevel="0" collapsed="false">
      <c r="A4850" s="20" t="s">
        <v>1092</v>
      </c>
      <c r="E4850" s="23" t="str">
        <f aca="false">IF(D4850="?OLD","!!!","")</f>
        <v/>
      </c>
      <c r="F4850" s="25" t="str">
        <f aca="false">IF(OR(E4850="",E4850="!!!"),"",IF(NOT(ISNA(VLOOKUP(E4850,E$1:E4849,1,FALSE()))),"OLD",IF(AND(E4850&lt;&gt;"",E4850&lt;&gt;"!!!"),"NEW","")))</f>
        <v/>
      </c>
      <c r="G4850" s="26" t="str">
        <f aca="false">IF(OR(E4850="",E4850="!!!"),"",IF(OR(J4850=0,AND(J4850=1,K4850=1),AND(J4850=1,I4850="SBJ"),AND(J4850=1,I4850=0)),"?IN_FOCUS",IF(J4850&lt;=2,"?ACTIVATED",IF(J4850&lt;&gt;"","?FAMILIAR",IF(F4850="NEW",IF(ISNA(VLOOKUP(E4850,#REF!,1,FALSE())),"?TYPE_IDENTIFIABLE","?REFERENTIAL"),"_")))))</f>
        <v/>
      </c>
      <c r="H4850" s="27" t="str">
        <f aca="false">IF(J4850&lt;&gt;1,"",IF(I4850="SBJ","CB","?"))</f>
        <v/>
      </c>
      <c r="I4850" s="24" t="str">
        <f aca="false">IF(OR(E4850="",E4850="!!!",F4850="NEW"),"",INDEX(B8:B$4843,-1+SUMPRODUCT(MAX(ROW(E8:E$4843)*(E4850=E8:E$4843)))))</f>
        <v/>
      </c>
      <c r="J4850" s="24" t="str">
        <f aca="true">IF(OR(E4850="",E4850="!!!",F4850="NEW"),"",COUNTBLANK(OFFSET(A$1,,,SUMPRODUCT(MAX(ROW(E$2:E4850)*(E4850=E$2:E4850)))))-COUNTBLANK(OFFSET(A$1,,,SUMPRODUCT(MAX(ROW(E$1:E4849)*(E2=E$1:E4849))))))</f>
        <v/>
      </c>
      <c r="K4850" s="24" t="str">
        <f aca="false">IF(OR(E4850="",E4850="!!!",F4850="NEW"),"",INDEX(J$1:J4849,SUMPRODUCT(MAX(ROW(E$1:E4849)*(E4850=E$1:E4849)))))</f>
        <v/>
      </c>
      <c r="L4850" s="31"/>
    </row>
    <row r="4851" customFormat="false" ht="15" hidden="false" customHeight="false" outlineLevel="0" collapsed="false">
      <c r="A4851" s="20" t="s">
        <v>2478</v>
      </c>
      <c r="E4851" s="23" t="str">
        <f aca="false">IF(D4851="?OLD","!!!","")</f>
        <v/>
      </c>
      <c r="F4851" s="25" t="str">
        <f aca="false">IF(OR(E4851="",E4851="!!!"),"",IF(NOT(ISNA(VLOOKUP(E4851,E$1:E4850,1,FALSE()))),"OLD",IF(AND(E4851&lt;&gt;"",E4851&lt;&gt;"!!!"),"NEW","")))</f>
        <v/>
      </c>
      <c r="G4851" s="26" t="str">
        <f aca="false">IF(OR(E4851="",E4851="!!!"),"",IF(OR(J4851=0,AND(J4851=1,K4851=1),AND(J4851=1,I4851="SBJ"),AND(J4851=1,I4851=0)),"?IN_FOCUS",IF(J4851&lt;=2,"?ACTIVATED",IF(J4851&lt;&gt;"","?FAMILIAR",IF(F4851="NEW",IF(ISNA(VLOOKUP(E4851,#REF!,1,FALSE())),"?TYPE_IDENTIFIABLE","?REFERENTIAL"),"_")))))</f>
        <v/>
      </c>
      <c r="H4851" s="27" t="str">
        <f aca="false">IF(J4851&lt;&gt;1,"",IF(I4851="SBJ","CB","?"))</f>
        <v/>
      </c>
      <c r="I4851" s="24" t="str">
        <f aca="false">IF(OR(E4851="",E4851="!!!",F4851="NEW"),"",INDEX(B9:B$4843,-1+SUMPRODUCT(MAX(ROW(E9:E$4843)*(E4851=E9:E$4843)))))</f>
        <v/>
      </c>
      <c r="J4851" s="24" t="str">
        <f aca="true">IF(OR(E4851="",E4851="!!!",F4851="NEW"),"",COUNTBLANK(OFFSET(A$1,,,SUMPRODUCT(MAX(ROW(E$2:E4851)*(E4851=E$2:E4851)))))-COUNTBLANK(OFFSET(A$1,,,SUMPRODUCT(MAX(ROW(E$1:E4850)*(E2=E$1:E4850))))))</f>
        <v/>
      </c>
      <c r="K4851" s="24" t="str">
        <f aca="false">IF(OR(E4851="",E4851="!!!",F4851="NEW"),"",INDEX(J$1:J4850,SUMPRODUCT(MAX(ROW(E$1:E4850)*(E4851=E$1:E4850)))))</f>
        <v/>
      </c>
      <c r="L4851" s="31"/>
    </row>
    <row r="4852" customFormat="false" ht="15" hidden="false" customHeight="false" outlineLevel="0" collapsed="false">
      <c r="A4852" s="20" t="s">
        <v>1224</v>
      </c>
      <c r="E4852" s="23" t="str">
        <f aca="false">IF(D4852="?OLD","!!!","")</f>
        <v/>
      </c>
      <c r="F4852" s="25" t="str">
        <f aca="false">IF(OR(E4852="",E4852="!!!"),"",IF(NOT(ISNA(VLOOKUP(E4852,E$1:E4851,1,FALSE()))),"OLD",IF(AND(E4852&lt;&gt;"",E4852&lt;&gt;"!!!"),"NEW","")))</f>
        <v/>
      </c>
      <c r="G4852" s="26" t="str">
        <f aca="false">IF(OR(E4852="",E4852="!!!"),"",IF(OR(J4852=0,AND(J4852=1,K4852=1),AND(J4852=1,I4852="SBJ"),AND(J4852=1,I4852=0)),"?IN_FOCUS",IF(J4852&lt;=2,"?ACTIVATED",IF(J4852&lt;&gt;"","?FAMILIAR",IF(F4852="NEW",IF(ISNA(VLOOKUP(E4852,#REF!,1,FALSE())),"?TYPE_IDENTIFIABLE","?REFERENTIAL"),"_")))))</f>
        <v/>
      </c>
      <c r="H4852" s="27" t="str">
        <f aca="false">IF(J4852&lt;&gt;1,"",IF(I4852="SBJ","CB","?"))</f>
        <v/>
      </c>
      <c r="I4852" s="24" t="str">
        <f aca="false">IF(OR(E4852="",E4852="!!!",F4852="NEW"),"",INDEX(B10:B$4843,-1+SUMPRODUCT(MAX(ROW(E10:E$4843)*(E4852=E10:E$4843)))))</f>
        <v/>
      </c>
      <c r="J4852" s="24" t="str">
        <f aca="true">IF(OR(E4852="",E4852="!!!",F4852="NEW"),"",COUNTBLANK(OFFSET(A$1,,,SUMPRODUCT(MAX(ROW(E$2:E4852)*(E4852=E$2:E4852)))))-COUNTBLANK(OFFSET(A$1,,,SUMPRODUCT(MAX(ROW(E$1:E4851)*(E2=E$1:E4851))))))</f>
        <v/>
      </c>
      <c r="K4852" s="24" t="str">
        <f aca="false">IF(OR(E4852="",E4852="!!!",F4852="NEW"),"",INDEX(J$1:J4851,SUMPRODUCT(MAX(ROW(E$1:E4851)*(E4852=E$1:E4851)))))</f>
        <v/>
      </c>
      <c r="L4852" s="31"/>
    </row>
    <row r="4853" customFormat="false" ht="15" hidden="false" customHeight="false" outlineLevel="0" collapsed="false">
      <c r="A4853" s="20" t="s">
        <v>1109</v>
      </c>
      <c r="E4853" s="23" t="str">
        <f aca="false">IF(D4853="?OLD","!!!","")</f>
        <v/>
      </c>
      <c r="F4853" s="25" t="str">
        <f aca="false">IF(OR(E4853="",E4853="!!!"),"",IF(NOT(ISNA(VLOOKUP(E4853,E$1:E4852,1,FALSE()))),"OLD",IF(AND(E4853&lt;&gt;"",E4853&lt;&gt;"!!!"),"NEW","")))</f>
        <v/>
      </c>
      <c r="G4853" s="26" t="str">
        <f aca="false">IF(OR(E4853="",E4853="!!!"),"",IF(OR(J4853=0,AND(J4853=1,K4853=1),AND(J4853=1,I4853="SBJ"),AND(J4853=1,I4853=0)),"?IN_FOCUS",IF(J4853&lt;=2,"?ACTIVATED",IF(J4853&lt;&gt;"","?FAMILIAR",IF(F4853="NEW",IF(ISNA(VLOOKUP(E4853,#REF!,1,FALSE())),"?TYPE_IDENTIFIABLE","?REFERENTIAL"),"_")))))</f>
        <v/>
      </c>
      <c r="H4853" s="27" t="str">
        <f aca="false">IF(J4853&lt;&gt;1,"",IF(I4853="SBJ","CB","?"))</f>
        <v/>
      </c>
      <c r="I4853" s="24" t="str">
        <f aca="false">IF(OR(E4853="",E4853="!!!",F4853="NEW"),"",INDEX(B11:B$4843,-1+SUMPRODUCT(MAX(ROW(E11:E$4843)*(E4853=E11:E$4843)))))</f>
        <v/>
      </c>
      <c r="J4853" s="24" t="str">
        <f aca="true">IF(OR(E4853="",E4853="!!!",F4853="NEW"),"",COUNTBLANK(OFFSET(A$1,,,SUMPRODUCT(MAX(ROW(E$2:E4853)*(E4853=E$2:E4853)))))-COUNTBLANK(OFFSET(A$1,,,SUMPRODUCT(MAX(ROW(E$1:E4852)*(E2=E$1:E4852))))))</f>
        <v/>
      </c>
      <c r="K4853" s="24" t="str">
        <f aca="false">IF(OR(E4853="",E4853="!!!",F4853="NEW"),"",INDEX(J$1:J4852,SUMPRODUCT(MAX(ROW(E$1:E4852)*(E4853=E$1:E4852)))))</f>
        <v/>
      </c>
      <c r="L4853" s="31"/>
    </row>
    <row r="4854" customFormat="false" ht="15" hidden="false" customHeight="false" outlineLevel="0" collapsed="false">
      <c r="A4854" s="20" t="s">
        <v>2479</v>
      </c>
      <c r="B4854" s="22" t="s">
        <v>1105</v>
      </c>
      <c r="C4854" s="22" t="s">
        <v>1150</v>
      </c>
      <c r="D4854" s="22" t="s">
        <v>1060</v>
      </c>
      <c r="E4854" s="23" t="str">
        <f aca="false">IF(D4854="?OLD","!!!","")</f>
        <v>!!!</v>
      </c>
      <c r="F4854" s="25" t="str">
        <f aca="false">IF(OR(E4854="",E4854="!!!"),"",IF(NOT(ISNA(VLOOKUP(E4854,E$1:E4853,1,FALSE()))),"OLD",IF(AND(E4854&lt;&gt;"",E4854&lt;&gt;"!!!"),"NEW","")))</f>
        <v/>
      </c>
      <c r="G4854" s="26" t="str">
        <f aca="false">IF(OR(E4854="",E4854="!!!"),"",IF(OR(J4854=0,AND(J4854=1,K4854=1),AND(J4854=1,I4854="SBJ"),AND(J4854=1,I4854=0)),"?IN_FOCUS",IF(J4854&lt;=2,"?ACTIVATED",IF(J4854&lt;&gt;"","?FAMILIAR",IF(F4854="NEW",IF(ISNA(VLOOKUP(E4854,#REF!,1,FALSE())),"?TYPE_IDENTIFIABLE","?REFERENTIAL"),"_")))))</f>
        <v/>
      </c>
      <c r="H4854" s="27" t="str">
        <f aca="false">IF(J4854&lt;&gt;1,"",IF(I4854="SBJ","CB","?"))</f>
        <v/>
      </c>
      <c r="I4854" s="24" t="str">
        <f aca="false">IF(OR(E4854="",E4854="!!!",F4854="NEW"),"",INDEX(B12:B$4843,-1+SUMPRODUCT(MAX(ROW(E12:E$4843)*(E4854=E12:E$4843)))))</f>
        <v/>
      </c>
      <c r="J4854" s="24" t="str">
        <f aca="true">IF(OR(E4854="",E4854="!!!",F4854="NEW"),"",COUNTBLANK(OFFSET(A$1,,,SUMPRODUCT(MAX(ROW(E$2:E4854)*(E4854=E$2:E4854)))))-COUNTBLANK(OFFSET(A$1,,,SUMPRODUCT(MAX(ROW(E$1:E4853)*(E2=E$1:E4853))))))</f>
        <v/>
      </c>
      <c r="K4854" s="24" t="str">
        <f aca="false">IF(OR(E4854="",E4854="!!!",F4854="NEW"),"",INDEX(J$1:J4853,SUMPRODUCT(MAX(ROW(E$1:E4853)*(E4854=E$1:E4853)))))</f>
        <v/>
      </c>
      <c r="L4854" s="31"/>
    </row>
    <row r="4855" customFormat="false" ht="15" hidden="false" customHeight="false" outlineLevel="0" collapsed="false">
      <c r="A4855" s="20" t="s">
        <v>1415</v>
      </c>
      <c r="E4855" s="23" t="str">
        <f aca="false">IF(D4855="?OLD","!!!","")</f>
        <v/>
      </c>
      <c r="F4855" s="25" t="str">
        <f aca="false">IF(OR(E4855="",E4855="!!!"),"",IF(NOT(ISNA(VLOOKUP(E4855,E$1:E4854,1,FALSE()))),"OLD",IF(AND(E4855&lt;&gt;"",E4855&lt;&gt;"!!!"),"NEW","")))</f>
        <v/>
      </c>
      <c r="G4855" s="26" t="str">
        <f aca="false">IF(OR(E4855="",E4855="!!!"),"",IF(OR(J4855=0,AND(J4855=1,K4855=1),AND(J4855=1,I4855="SBJ"),AND(J4855=1,I4855=0)),"?IN_FOCUS",IF(J4855&lt;=2,"?ACTIVATED",IF(J4855&lt;&gt;"","?FAMILIAR",IF(F4855="NEW",IF(ISNA(VLOOKUP(E4855,#REF!,1,FALSE())),"?TYPE_IDENTIFIABLE","?REFERENTIAL"),"_")))))</f>
        <v/>
      </c>
      <c r="H4855" s="27" t="str">
        <f aca="false">IF(J4855&lt;&gt;1,"",IF(I4855="SBJ","CB","?"))</f>
        <v/>
      </c>
      <c r="I4855" s="24" t="str">
        <f aca="false">IF(OR(E4855="",E4855="!!!",F4855="NEW"),"",INDEX(B13:B$4843,-1+SUMPRODUCT(MAX(ROW(E13:E$4843)*(E4855=E13:E$4843)))))</f>
        <v/>
      </c>
      <c r="J4855" s="24" t="str">
        <f aca="true">IF(OR(E4855="",E4855="!!!",F4855="NEW"),"",COUNTBLANK(OFFSET(A$1,,,SUMPRODUCT(MAX(ROW(E$2:E4855)*(E4855=E$2:E4855)))))-COUNTBLANK(OFFSET(A$1,,,SUMPRODUCT(MAX(ROW(E$1:E4854)*(E2=E$1:E4854))))))</f>
        <v/>
      </c>
      <c r="K4855" s="24" t="str">
        <f aca="false">IF(OR(E4855="",E4855="!!!",F4855="NEW"),"",INDEX(J$1:J4854,SUMPRODUCT(MAX(ROW(E$1:E4854)*(E4855=E$1:E4854)))))</f>
        <v/>
      </c>
      <c r="L4855" s="31"/>
    </row>
    <row r="4856" customFormat="false" ht="15" hidden="false" customHeight="false" outlineLevel="0" collapsed="false">
      <c r="A4856" s="20" t="s">
        <v>923</v>
      </c>
      <c r="E4856" s="23" t="str">
        <f aca="false">IF(D4856="?OLD","!!!","")</f>
        <v/>
      </c>
      <c r="F4856" s="25" t="str">
        <f aca="false">IF(OR(E4856="",E4856="!!!"),"",IF(NOT(ISNA(VLOOKUP(E4856,E$1:E4855,1,FALSE()))),"OLD",IF(AND(E4856&lt;&gt;"",E4856&lt;&gt;"!!!"),"NEW","")))</f>
        <v/>
      </c>
      <c r="G4856" s="26" t="str">
        <f aca="false">IF(OR(E4856="",E4856="!!!"),"",IF(OR(J4856=0,AND(J4856=1,K4856=1),AND(J4856=1,I4856="SBJ"),AND(J4856=1,I4856=0)),"?IN_FOCUS",IF(J4856&lt;=2,"?ACTIVATED",IF(J4856&lt;&gt;"","?FAMILIAR",IF(F4856="NEW",IF(ISNA(VLOOKUP(E4856,#REF!,1,FALSE())),"?TYPE_IDENTIFIABLE","?REFERENTIAL"),"_")))))</f>
        <v/>
      </c>
      <c r="H4856" s="27" t="str">
        <f aca="false">IF(J4856&lt;&gt;1,"",IF(I4856="SBJ","CB","?"))</f>
        <v/>
      </c>
      <c r="I4856" s="24" t="str">
        <f aca="false">IF(OR(E4856="",E4856="!!!",F4856="NEW"),"",INDEX(B14:B$4843,-1+SUMPRODUCT(MAX(ROW(E14:E$4843)*(E4856=E14:E$4843)))))</f>
        <v/>
      </c>
      <c r="J4856" s="24" t="str">
        <f aca="true">IF(OR(E4856="",E4856="!!!",F4856="NEW"),"",COUNTBLANK(OFFSET(A$1,,,SUMPRODUCT(MAX(ROW(E$2:E4856)*(E4856=E$2:E4856)))))-COUNTBLANK(OFFSET(A$1,,,SUMPRODUCT(MAX(ROW(E$1:E4855)*(E2=E$1:E4855))))))</f>
        <v/>
      </c>
      <c r="K4856" s="24" t="str">
        <f aca="false">IF(OR(E4856="",E4856="!!!",F4856="NEW"),"",INDEX(J$1:J4855,SUMPRODUCT(MAX(ROW(E$1:E4855)*(E4856=E$1:E4855)))))</f>
        <v/>
      </c>
      <c r="L4856" s="31"/>
    </row>
    <row r="4857" customFormat="false" ht="15" hidden="false" customHeight="false" outlineLevel="0" collapsed="false">
      <c r="A4857" s="20"/>
    </row>
    <row r="4858" customFormat="false" ht="15" hidden="false" customHeight="false" outlineLevel="0" collapsed="false">
      <c r="A4858" s="20" t="s">
        <v>1301</v>
      </c>
      <c r="E4858" s="23" t="str">
        <f aca="false">IF(D4858="?OLD","!!!","")</f>
        <v/>
      </c>
      <c r="F4858" s="25" t="str">
        <f aca="false">IF(OR(E4858="",E4858="!!!"),"",IF(NOT(ISNA(VLOOKUP(E4858,E$1:E4857,1,FALSE()))),"OLD",IF(AND(E4858&lt;&gt;"",E4858&lt;&gt;"!!!"),"NEW","")))</f>
        <v/>
      </c>
      <c r="G4858" s="26" t="str">
        <f aca="false">IF(OR(E4858="",E4858="!!!"),"",IF(OR(J4858=0,AND(J4858=1,K4858=1),AND(J4858=1,I4858="SBJ"),AND(J4858=1,I4858=0)),"?IN_FOCUS",IF(J4858&lt;=2,"?ACTIVATED",IF(J4858&lt;&gt;"","?FAMILIAR",IF(F4858="NEW",IF(ISNA(VLOOKUP(E4858,#REF!,1,FALSE())),"?TYPE_IDENTIFIABLE","?REFERENTIAL"),"_")))))</f>
        <v/>
      </c>
      <c r="H4858" s="27" t="str">
        <f aca="false">IF(J4858&lt;&gt;1,"",IF(I4858="SBJ","CB","?"))</f>
        <v/>
      </c>
      <c r="I4858" s="24" t="str">
        <f aca="false">IF(OR(E4858="",E4858="!!!",F4858="NEW"),"",INDEX(B2:B$4857,-1+SUMPRODUCT(MAX(ROW(E2:E$4857)*(E4858=E2:E$4857)))))</f>
        <v/>
      </c>
      <c r="J4858" s="24" t="str">
        <f aca="true">IF(OR(E4858="",E4858="!!!",F4858="NEW"),"",COUNTBLANK(OFFSET(A$1,,,SUMPRODUCT(MAX(ROW(E$2:E4858)*(E4858=E$2:E4858)))))-COUNTBLANK(OFFSET(A$1,,,SUMPRODUCT(MAX(ROW(E$1:E4857)*(E2=E$1:E4857))))))</f>
        <v/>
      </c>
      <c r="K4858" s="24" t="str">
        <f aca="false">IF(OR(E4858="",E4858="!!!",F4858="NEW"),"",INDEX(J$1:J4857,SUMPRODUCT(MAX(ROW(E$1:E4857)*(E4858=E$1:E4857)))))</f>
        <v/>
      </c>
      <c r="L4858" s="31"/>
    </row>
    <row r="4859" customFormat="false" ht="15" hidden="false" customHeight="false" outlineLevel="0" collapsed="false">
      <c r="A4859" s="20" t="s">
        <v>2480</v>
      </c>
    </row>
    <row r="4860" customFormat="false" ht="15" hidden="false" customHeight="false" outlineLevel="0" collapsed="false">
      <c r="A4860" s="20" t="s">
        <v>607</v>
      </c>
      <c r="E4860" s="23" t="str">
        <f aca="false">IF(D4860="?OLD","!!!","")</f>
        <v/>
      </c>
      <c r="F4860" s="25" t="str">
        <f aca="false">IF(OR(E4860="",E4860="!!!"),"",IF(NOT(ISNA(VLOOKUP(E4860,E$1:E4859,1,FALSE()))),"OLD",IF(AND(E4860&lt;&gt;"",E4860&lt;&gt;"!!!"),"NEW","")))</f>
        <v/>
      </c>
      <c r="G4860" s="26" t="str">
        <f aca="false">IF(OR(E4860="",E4860="!!!"),"",IF(OR(J4860=0,AND(J4860=1,K4860=1),AND(J4860=1,I4860="SBJ"),AND(J4860=1,I4860=0)),"?IN_FOCUS",IF(J4860&lt;=2,"?ACTIVATED",IF(J4860&lt;&gt;"","?FAMILIAR",IF(F4860="NEW",IF(ISNA(VLOOKUP(E4860,#REF!,1,FALSE())),"?TYPE_IDENTIFIABLE","?REFERENTIAL"),"_")))))</f>
        <v/>
      </c>
      <c r="H4860" s="27" t="str">
        <f aca="false">IF(J4860&lt;&gt;1,"",IF(I4860="SBJ","CB","?"))</f>
        <v/>
      </c>
      <c r="I4860" s="24" t="str">
        <f aca="false">IF(OR(E4860="",E4860="!!!",F4860="NEW"),"",INDEX(B2:B$4859,-1+SUMPRODUCT(MAX(ROW(E2:E$4859)*(E4860=E2:E$4859)))))</f>
        <v/>
      </c>
      <c r="J4860" s="24" t="str">
        <f aca="true">IF(OR(E4860="",E4860="!!!",F4860="NEW"),"",COUNTBLANK(OFFSET(A$1,,,SUMPRODUCT(MAX(ROW(E$2:E4860)*(E4860=E$2:E4860)))))-COUNTBLANK(OFFSET(A$1,,,SUMPRODUCT(MAX(ROW(E$1:E4859)*(E2=E$1:E4859))))))</f>
        <v/>
      </c>
      <c r="K4860" s="24" t="str">
        <f aca="false">IF(OR(E4860="",E4860="!!!",F4860="NEW"),"",INDEX(J$1:J4859,SUMPRODUCT(MAX(ROW(E$1:E4859)*(E4860=E$1:E4859)))))</f>
        <v/>
      </c>
      <c r="L4860" s="31"/>
    </row>
    <row r="4861" customFormat="false" ht="15" hidden="false" customHeight="false" outlineLevel="0" collapsed="false">
      <c r="A4861" s="20" t="s">
        <v>1261</v>
      </c>
      <c r="B4861" s="22" t="s">
        <v>1086</v>
      </c>
      <c r="C4861" s="22" t="s">
        <v>1082</v>
      </c>
      <c r="D4861" s="22" t="s">
        <v>1060</v>
      </c>
      <c r="E4861" s="23" t="str">
        <f aca="false">IF(D4861="?OLD","!!!","")</f>
        <v>!!!</v>
      </c>
      <c r="F4861" s="25" t="str">
        <f aca="false">IF(OR(E4861="",E4861="!!!"),"",IF(NOT(ISNA(VLOOKUP(E4861,E$1:E4860,1,FALSE()))),"OLD",IF(AND(E4861&lt;&gt;"",E4861&lt;&gt;"!!!"),"NEW","")))</f>
        <v/>
      </c>
      <c r="G4861" s="26" t="str">
        <f aca="false">IF(OR(E4861="",E4861="!!!"),"",IF(OR(J4861=0,AND(J4861=1,K4861=1),AND(J4861=1,I4861="SBJ"),AND(J4861=1,I4861=0)),"?IN_FOCUS",IF(J4861&lt;=2,"?ACTIVATED",IF(J4861&lt;&gt;"","?FAMILIAR",IF(F4861="NEW",IF(ISNA(VLOOKUP(E4861,#REF!,1,FALSE())),"?TYPE_IDENTIFIABLE","?REFERENTIAL"),"_")))))</f>
        <v/>
      </c>
      <c r="H4861" s="27" t="str">
        <f aca="false">IF(J4861&lt;&gt;1,"",IF(I4861="SBJ","CB","?"))</f>
        <v/>
      </c>
      <c r="I4861" s="24" t="str">
        <f aca="false">IF(OR(E4861="",E4861="!!!",F4861="NEW"),"",INDEX(B3:B$4859,-1+SUMPRODUCT(MAX(ROW(E3:E$4859)*(E4861=E3:E$4859)))))</f>
        <v/>
      </c>
      <c r="J4861" s="24" t="str">
        <f aca="true">IF(OR(E4861="",E4861="!!!",F4861="NEW"),"",COUNTBLANK(OFFSET(A$1,,,SUMPRODUCT(MAX(ROW(E$2:E4861)*(E4861=E$2:E4861)))))-COUNTBLANK(OFFSET(A$1,,,SUMPRODUCT(MAX(ROW(E$1:E4860)*(E2=E$1:E4860))))))</f>
        <v/>
      </c>
      <c r="K4861" s="24" t="str">
        <f aca="false">IF(OR(E4861="",E4861="!!!",F4861="NEW"),"",INDEX(J$1:J4860,SUMPRODUCT(MAX(ROW(E$1:E4860)*(E4861=E$1:E4860)))))</f>
        <v/>
      </c>
      <c r="L4861" s="31"/>
    </row>
    <row r="4862" customFormat="false" ht="15" hidden="false" customHeight="false" outlineLevel="0" collapsed="false">
      <c r="A4862" s="20" t="s">
        <v>1369</v>
      </c>
      <c r="E4862" s="23" t="str">
        <f aca="false">IF(D4862="?OLD","!!!","")</f>
        <v/>
      </c>
      <c r="F4862" s="25" t="str">
        <f aca="false">IF(OR(E4862="",E4862="!!!"),"",IF(NOT(ISNA(VLOOKUP(E4862,E$1:E4861,1,FALSE()))),"OLD",IF(AND(E4862&lt;&gt;"",E4862&lt;&gt;"!!!"),"NEW","")))</f>
        <v/>
      </c>
      <c r="G4862" s="26" t="str">
        <f aca="false">IF(OR(E4862="",E4862="!!!"),"",IF(OR(J4862=0,AND(J4862=1,K4862=1),AND(J4862=1,I4862="SBJ"),AND(J4862=1,I4862=0)),"?IN_FOCUS",IF(J4862&lt;=2,"?ACTIVATED",IF(J4862&lt;&gt;"","?FAMILIAR",IF(F4862="NEW",IF(ISNA(VLOOKUP(E4862,#REF!,1,FALSE())),"?TYPE_IDENTIFIABLE","?REFERENTIAL"),"_")))))</f>
        <v/>
      </c>
      <c r="H4862" s="27" t="str">
        <f aca="false">IF(J4862&lt;&gt;1,"",IF(I4862="SBJ","CB","?"))</f>
        <v/>
      </c>
      <c r="I4862" s="24" t="str">
        <f aca="false">IF(OR(E4862="",E4862="!!!",F4862="NEW"),"",INDEX(B4:B$4859,-1+SUMPRODUCT(MAX(ROW(E4:E$4859)*(E4862=E4:E$4859)))))</f>
        <v/>
      </c>
      <c r="J4862" s="24" t="str">
        <f aca="true">IF(OR(E4862="",E4862="!!!",F4862="NEW"),"",COUNTBLANK(OFFSET(A$1,,,SUMPRODUCT(MAX(ROW(E$2:E4862)*(E4862=E$2:E4862)))))-COUNTBLANK(OFFSET(A$1,,,SUMPRODUCT(MAX(ROW(E$1:E4861)*(E2=E$1:E4861))))))</f>
        <v/>
      </c>
      <c r="K4862" s="24" t="str">
        <f aca="false">IF(OR(E4862="",E4862="!!!",F4862="NEW"),"",INDEX(J$1:J4861,SUMPRODUCT(MAX(ROW(E$1:E4861)*(E4862=E$1:E4861)))))</f>
        <v/>
      </c>
      <c r="L4862" s="31"/>
    </row>
    <row r="4863" customFormat="false" ht="15" hidden="false" customHeight="false" outlineLevel="0" collapsed="false">
      <c r="A4863" s="20" t="s">
        <v>2481</v>
      </c>
      <c r="E4863" s="23" t="str">
        <f aca="false">IF(D4863="?OLD","!!!","")</f>
        <v/>
      </c>
      <c r="F4863" s="25" t="str">
        <f aca="false">IF(OR(E4863="",E4863="!!!"),"",IF(NOT(ISNA(VLOOKUP(E4863,E$1:E4862,1,FALSE()))),"OLD",IF(AND(E4863&lt;&gt;"",E4863&lt;&gt;"!!!"),"NEW","")))</f>
        <v/>
      </c>
      <c r="G4863" s="26" t="str">
        <f aca="false">IF(OR(E4863="",E4863="!!!"),"",IF(OR(J4863=0,AND(J4863=1,K4863=1),AND(J4863=1,I4863="SBJ"),AND(J4863=1,I4863=0)),"?IN_FOCUS",IF(J4863&lt;=2,"?ACTIVATED",IF(J4863&lt;&gt;"","?FAMILIAR",IF(F4863="NEW",IF(ISNA(VLOOKUP(E4863,#REF!,1,FALSE())),"?TYPE_IDENTIFIABLE","?REFERENTIAL"),"_")))))</f>
        <v/>
      </c>
      <c r="H4863" s="27" t="str">
        <f aca="false">IF(J4863&lt;&gt;1,"",IF(I4863="SBJ","CB","?"))</f>
        <v/>
      </c>
      <c r="I4863" s="24" t="str">
        <f aca="false">IF(OR(E4863="",E4863="!!!",F4863="NEW"),"",INDEX(B5:B$4859,-1+SUMPRODUCT(MAX(ROW(E5:E$4859)*(E4863=E5:E$4859)))))</f>
        <v/>
      </c>
      <c r="J4863" s="24" t="str">
        <f aca="true">IF(OR(E4863="",E4863="!!!",F4863="NEW"),"",COUNTBLANK(OFFSET(A$1,,,SUMPRODUCT(MAX(ROW(E$2:E4863)*(E4863=E$2:E4863)))))-COUNTBLANK(OFFSET(A$1,,,SUMPRODUCT(MAX(ROW(E$1:E4862)*(E2=E$1:E4862))))))</f>
        <v/>
      </c>
      <c r="K4863" s="24" t="str">
        <f aca="false">IF(OR(E4863="",E4863="!!!",F4863="NEW"),"",INDEX(J$1:J4862,SUMPRODUCT(MAX(ROW(E$1:E4862)*(E4863=E$1:E4862)))))</f>
        <v/>
      </c>
      <c r="L4863" s="31"/>
    </row>
    <row r="4864" customFormat="false" ht="15" hidden="false" customHeight="false" outlineLevel="0" collapsed="false">
      <c r="A4864" s="20" t="s">
        <v>1085</v>
      </c>
      <c r="E4864" s="23" t="str">
        <f aca="false">IF(D4864="?OLD","!!!","")</f>
        <v/>
      </c>
      <c r="F4864" s="25" t="str">
        <f aca="false">IF(OR(E4864="",E4864="!!!"),"",IF(NOT(ISNA(VLOOKUP(E4864,E$1:E4863,1,FALSE()))),"OLD",IF(AND(E4864&lt;&gt;"",E4864&lt;&gt;"!!!"),"NEW","")))</f>
        <v/>
      </c>
      <c r="G4864" s="26" t="str">
        <f aca="false">IF(OR(E4864="",E4864="!!!"),"",IF(OR(J4864=0,AND(J4864=1,K4864=1),AND(J4864=1,I4864="SBJ"),AND(J4864=1,I4864=0)),"?IN_FOCUS",IF(J4864&lt;=2,"?ACTIVATED",IF(J4864&lt;&gt;"","?FAMILIAR",IF(F4864="NEW",IF(ISNA(VLOOKUP(E4864,#REF!,1,FALSE())),"?TYPE_IDENTIFIABLE","?REFERENTIAL"),"_")))))</f>
        <v/>
      </c>
      <c r="H4864" s="27" t="str">
        <f aca="false">IF(J4864&lt;&gt;1,"",IF(I4864="SBJ","CB","?"))</f>
        <v/>
      </c>
      <c r="I4864" s="24" t="str">
        <f aca="false">IF(OR(E4864="",E4864="!!!",F4864="NEW"),"",INDEX(B6:B$4859,-1+SUMPRODUCT(MAX(ROW(E6:E$4859)*(E4864=E6:E$4859)))))</f>
        <v/>
      </c>
      <c r="J4864" s="24" t="str">
        <f aca="true">IF(OR(E4864="",E4864="!!!",F4864="NEW"),"",COUNTBLANK(OFFSET(A$1,,,SUMPRODUCT(MAX(ROW(E$2:E4864)*(E4864=E$2:E4864)))))-COUNTBLANK(OFFSET(A$1,,,SUMPRODUCT(MAX(ROW(E$1:E4863)*(E2=E$1:E4863))))))</f>
        <v/>
      </c>
      <c r="K4864" s="24" t="str">
        <f aca="false">IF(OR(E4864="",E4864="!!!",F4864="NEW"),"",INDEX(J$1:J4863,SUMPRODUCT(MAX(ROW(E$1:E4863)*(E4864=E$1:E4863)))))</f>
        <v/>
      </c>
      <c r="L4864" s="31"/>
    </row>
    <row r="4865" customFormat="false" ht="15" hidden="false" customHeight="false" outlineLevel="0" collapsed="false">
      <c r="A4865" s="20" t="s">
        <v>2482</v>
      </c>
      <c r="E4865" s="23" t="str">
        <f aca="false">IF(D4865="?OLD","!!!","")</f>
        <v/>
      </c>
      <c r="F4865" s="25" t="str">
        <f aca="false">IF(OR(E4865="",E4865="!!!"),"",IF(NOT(ISNA(VLOOKUP(E4865,E$1:E4864,1,FALSE()))),"OLD",IF(AND(E4865&lt;&gt;"",E4865&lt;&gt;"!!!"),"NEW","")))</f>
        <v/>
      </c>
      <c r="G4865" s="26" t="str">
        <f aca="false">IF(OR(E4865="",E4865="!!!"),"",IF(OR(J4865=0,AND(J4865=1,K4865=1),AND(J4865=1,I4865="SBJ"),AND(J4865=1,I4865=0)),"?IN_FOCUS",IF(J4865&lt;=2,"?ACTIVATED",IF(J4865&lt;&gt;"","?FAMILIAR",IF(F4865="NEW",IF(ISNA(VLOOKUP(E4865,#REF!,1,FALSE())),"?TYPE_IDENTIFIABLE","?REFERENTIAL"),"_")))))</f>
        <v/>
      </c>
      <c r="H4865" s="27" t="str">
        <f aca="false">IF(J4865&lt;&gt;1,"",IF(I4865="SBJ","CB","?"))</f>
        <v/>
      </c>
      <c r="I4865" s="24" t="str">
        <f aca="false">IF(OR(E4865="",E4865="!!!",F4865="NEW"),"",INDEX(B7:B$4859,-1+SUMPRODUCT(MAX(ROW(E7:E$4859)*(E4865=E7:E$4859)))))</f>
        <v/>
      </c>
      <c r="J4865" s="24" t="str">
        <f aca="true">IF(OR(E4865="",E4865="!!!",F4865="NEW"),"",COUNTBLANK(OFFSET(A$1,,,SUMPRODUCT(MAX(ROW(E$2:E4865)*(E4865=E$2:E4865)))))-COUNTBLANK(OFFSET(A$1,,,SUMPRODUCT(MAX(ROW(E$1:E4864)*(E2=E$1:E4864))))))</f>
        <v/>
      </c>
      <c r="K4865" s="24" t="str">
        <f aca="false">IF(OR(E4865="",E4865="!!!",F4865="NEW"),"",INDEX(J$1:J4864,SUMPRODUCT(MAX(ROW(E$1:E4864)*(E4865=E$1:E4864)))))</f>
        <v/>
      </c>
      <c r="L4865" s="31"/>
    </row>
    <row r="4866" customFormat="false" ht="15" hidden="false" customHeight="false" outlineLevel="0" collapsed="false">
      <c r="A4866" s="20" t="s">
        <v>2483</v>
      </c>
      <c r="B4866" s="22" t="s">
        <v>1142</v>
      </c>
      <c r="C4866" s="22" t="s">
        <v>1087</v>
      </c>
      <c r="E4866" s="23" t="str">
        <f aca="false">IF(D4866="?OLD","!!!","")</f>
        <v/>
      </c>
      <c r="F4866" s="25" t="str">
        <f aca="false">IF(OR(E4866="",E4866="!!!"),"",IF(NOT(ISNA(VLOOKUP(E4866,E$1:E4865,1,FALSE()))),"OLD",IF(AND(E4866&lt;&gt;"",E4866&lt;&gt;"!!!"),"NEW","")))</f>
        <v/>
      </c>
      <c r="G4866" s="26" t="str">
        <f aca="false">IF(OR(E4866="",E4866="!!!"),"",IF(OR(J4866=0,AND(J4866=1,K4866=1),AND(J4866=1,I4866="SBJ"),AND(J4866=1,I4866=0)),"?IN_FOCUS",IF(J4866&lt;=2,"?ACTIVATED",IF(J4866&lt;&gt;"","?FAMILIAR",IF(F4866="NEW",IF(ISNA(VLOOKUP(E4866,#REF!,1,FALSE())),"?TYPE_IDENTIFIABLE","?REFERENTIAL"),"_")))))</f>
        <v/>
      </c>
      <c r="H4866" s="27" t="str">
        <f aca="false">IF(J4866&lt;&gt;1,"",IF(I4866="SBJ","CB","?"))</f>
        <v/>
      </c>
      <c r="I4866" s="24" t="str">
        <f aca="false">IF(OR(E4866="",E4866="!!!",F4866="NEW"),"",INDEX(B8:B$4859,-1+SUMPRODUCT(MAX(ROW(E8:E$4859)*(E4866=E8:E$4859)))))</f>
        <v/>
      </c>
      <c r="J4866" s="24" t="str">
        <f aca="true">IF(OR(E4866="",E4866="!!!",F4866="NEW"),"",COUNTBLANK(OFFSET(A$1,,,SUMPRODUCT(MAX(ROW(E$2:E4866)*(E4866=E$2:E4866)))))-COUNTBLANK(OFFSET(A$1,,,SUMPRODUCT(MAX(ROW(E$1:E4865)*(E2=E$1:E4865))))))</f>
        <v/>
      </c>
      <c r="K4866" s="24" t="str">
        <f aca="false">IF(OR(E4866="",E4866="!!!",F4866="NEW"),"",INDEX(J$1:J4865,SUMPRODUCT(MAX(ROW(E$1:E4865)*(E4866=E$1:E4865)))))</f>
        <v/>
      </c>
      <c r="L4866" s="31"/>
    </row>
    <row r="4867" customFormat="false" ht="15" hidden="false" customHeight="false" outlineLevel="0" collapsed="false">
      <c r="A4867" s="20" t="s">
        <v>1076</v>
      </c>
      <c r="E4867" s="23" t="str">
        <f aca="false">IF(D4867="?OLD","!!!","")</f>
        <v/>
      </c>
      <c r="F4867" s="25" t="str">
        <f aca="false">IF(OR(E4867="",E4867="!!!"),"",IF(NOT(ISNA(VLOOKUP(E4867,E$1:E4866,1,FALSE()))),"OLD",IF(AND(E4867&lt;&gt;"",E4867&lt;&gt;"!!!"),"NEW","")))</f>
        <v/>
      </c>
      <c r="G4867" s="26" t="str">
        <f aca="false">IF(OR(E4867="",E4867="!!!"),"",IF(OR(J4867=0,AND(J4867=1,K4867=1),AND(J4867=1,I4867="SBJ"),AND(J4867=1,I4867=0)),"?IN_FOCUS",IF(J4867&lt;=2,"?ACTIVATED",IF(J4867&lt;&gt;"","?FAMILIAR",IF(F4867="NEW",IF(ISNA(VLOOKUP(E4867,#REF!,1,FALSE())),"?TYPE_IDENTIFIABLE","?REFERENTIAL"),"_")))))</f>
        <v/>
      </c>
      <c r="H4867" s="27" t="str">
        <f aca="false">IF(J4867&lt;&gt;1,"",IF(I4867="SBJ","CB","?"))</f>
        <v/>
      </c>
      <c r="I4867" s="24" t="str">
        <f aca="false">IF(OR(E4867="",E4867="!!!",F4867="NEW"),"",INDEX(B9:B$4859,-1+SUMPRODUCT(MAX(ROW(E9:E$4859)*(E4867=E9:E$4859)))))</f>
        <v/>
      </c>
      <c r="J4867" s="24" t="str">
        <f aca="true">IF(OR(E4867="",E4867="!!!",F4867="NEW"),"",COUNTBLANK(OFFSET(A$1,,,SUMPRODUCT(MAX(ROW(E$2:E4867)*(E4867=E$2:E4867)))))-COUNTBLANK(OFFSET(A$1,,,SUMPRODUCT(MAX(ROW(E$1:E4866)*(E2=E$1:E4866))))))</f>
        <v/>
      </c>
      <c r="K4867" s="24" t="str">
        <f aca="false">IF(OR(E4867="",E4867="!!!",F4867="NEW"),"",INDEX(J$1:J4866,SUMPRODUCT(MAX(ROW(E$1:E4866)*(E4867=E$1:E4866)))))</f>
        <v/>
      </c>
      <c r="L4867" s="31"/>
    </row>
    <row r="4868" customFormat="false" ht="15" hidden="false" customHeight="false" outlineLevel="0" collapsed="false">
      <c r="A4868" s="20" t="s">
        <v>607</v>
      </c>
      <c r="E4868" s="23" t="str">
        <f aca="false">IF(D4868="?OLD","!!!","")</f>
        <v/>
      </c>
      <c r="F4868" s="25" t="str">
        <f aca="false">IF(OR(E4868="",E4868="!!!"),"",IF(NOT(ISNA(VLOOKUP(E4868,E$1:E4867,1,FALSE()))),"OLD",IF(AND(E4868&lt;&gt;"",E4868&lt;&gt;"!!!"),"NEW","")))</f>
        <v/>
      </c>
      <c r="G4868" s="26" t="str">
        <f aca="false">IF(OR(E4868="",E4868="!!!"),"",IF(OR(J4868=0,AND(J4868=1,K4868=1),AND(J4868=1,I4868="SBJ"),AND(J4868=1,I4868=0)),"?IN_FOCUS",IF(J4868&lt;=2,"?ACTIVATED",IF(J4868&lt;&gt;"","?FAMILIAR",IF(F4868="NEW",IF(ISNA(VLOOKUP(E4868,#REF!,1,FALSE())),"?TYPE_IDENTIFIABLE","?REFERENTIAL"),"_")))))</f>
        <v/>
      </c>
      <c r="H4868" s="27" t="str">
        <f aca="false">IF(J4868&lt;&gt;1,"",IF(I4868="SBJ","CB","?"))</f>
        <v/>
      </c>
      <c r="I4868" s="24" t="str">
        <f aca="false">IF(OR(E4868="",E4868="!!!",F4868="NEW"),"",INDEX(B10:B$4859,-1+SUMPRODUCT(MAX(ROW(E10:E$4859)*(E4868=E10:E$4859)))))</f>
        <v/>
      </c>
      <c r="J4868" s="24" t="str">
        <f aca="true">IF(OR(E4868="",E4868="!!!",F4868="NEW"),"",COUNTBLANK(OFFSET(A$1,,,SUMPRODUCT(MAX(ROW(E$2:E4868)*(E4868=E$2:E4868)))))-COUNTBLANK(OFFSET(A$1,,,SUMPRODUCT(MAX(ROW(E$1:E4867)*(E2=E$1:E4867))))))</f>
        <v/>
      </c>
      <c r="K4868" s="24" t="str">
        <f aca="false">IF(OR(E4868="",E4868="!!!",F4868="NEW"),"",INDEX(J$1:J4867,SUMPRODUCT(MAX(ROW(E$1:E4867)*(E4868=E$1:E4867)))))</f>
        <v/>
      </c>
      <c r="L4868" s="31"/>
    </row>
    <row r="4869" customFormat="false" ht="15" hidden="false" customHeight="false" outlineLevel="0" collapsed="false">
      <c r="A4869" s="20" t="s">
        <v>1194</v>
      </c>
      <c r="E4869" s="23" t="str">
        <f aca="false">IF(D4869="?OLD","!!!","")</f>
        <v/>
      </c>
      <c r="F4869" s="25" t="str">
        <f aca="false">IF(OR(E4869="",E4869="!!!"),"",IF(NOT(ISNA(VLOOKUP(E4869,E$1:E4868,1,FALSE()))),"OLD",IF(AND(E4869&lt;&gt;"",E4869&lt;&gt;"!!!"),"NEW","")))</f>
        <v/>
      </c>
      <c r="G4869" s="26" t="str">
        <f aca="false">IF(OR(E4869="",E4869="!!!"),"",IF(OR(J4869=0,AND(J4869=1,K4869=1),AND(J4869=1,I4869="SBJ"),AND(J4869=1,I4869=0)),"?IN_FOCUS",IF(J4869&lt;=2,"?ACTIVATED",IF(J4869&lt;&gt;"","?FAMILIAR",IF(F4869="NEW",IF(ISNA(VLOOKUP(E4869,#REF!,1,FALSE())),"?TYPE_IDENTIFIABLE","?REFERENTIAL"),"_")))))</f>
        <v/>
      </c>
      <c r="H4869" s="27" t="str">
        <f aca="false">IF(J4869&lt;&gt;1,"",IF(I4869="SBJ","CB","?"))</f>
        <v/>
      </c>
      <c r="I4869" s="24" t="str">
        <f aca="false">IF(OR(E4869="",E4869="!!!",F4869="NEW"),"",INDEX(B11:B$4859,-1+SUMPRODUCT(MAX(ROW(E11:E$4859)*(E4869=E11:E$4859)))))</f>
        <v/>
      </c>
      <c r="J4869" s="24" t="str">
        <f aca="true">IF(OR(E4869="",E4869="!!!",F4869="NEW"),"",COUNTBLANK(OFFSET(A$1,,,SUMPRODUCT(MAX(ROW(E$2:E4869)*(E4869=E$2:E4869)))))-COUNTBLANK(OFFSET(A$1,,,SUMPRODUCT(MAX(ROW(E$1:E4868)*(E2=E$1:E4868))))))</f>
        <v/>
      </c>
      <c r="K4869" s="24" t="str">
        <f aca="false">IF(OR(E4869="",E4869="!!!",F4869="NEW"),"",INDEX(J$1:J4868,SUMPRODUCT(MAX(ROW(E$1:E4868)*(E4869=E$1:E4868)))))</f>
        <v/>
      </c>
      <c r="L4869" s="31"/>
    </row>
    <row r="4870" customFormat="false" ht="15" hidden="false" customHeight="false" outlineLevel="0" collapsed="false">
      <c r="A4870" s="20" t="s">
        <v>1090</v>
      </c>
      <c r="B4870" s="22" t="s">
        <v>1058</v>
      </c>
      <c r="C4870" s="22" t="s">
        <v>1082</v>
      </c>
      <c r="D4870" s="22" t="s">
        <v>1060</v>
      </c>
      <c r="E4870" s="23" t="str">
        <f aca="false">IF(D4870="?OLD","!!!","")</f>
        <v>!!!</v>
      </c>
      <c r="F4870" s="25" t="str">
        <f aca="false">IF(OR(E4870="",E4870="!!!"),"",IF(NOT(ISNA(VLOOKUP(E4870,E$1:E4869,1,FALSE()))),"OLD",IF(AND(E4870&lt;&gt;"",E4870&lt;&gt;"!!!"),"NEW","")))</f>
        <v/>
      </c>
      <c r="G4870" s="26" t="str">
        <f aca="false">IF(OR(E4870="",E4870="!!!"),"",IF(OR(J4870=0,AND(J4870=1,K4870=1),AND(J4870=1,I4870="SBJ"),AND(J4870=1,I4870=0)),"?IN_FOCUS",IF(J4870&lt;=2,"?ACTIVATED",IF(J4870&lt;&gt;"","?FAMILIAR",IF(F4870="NEW",IF(ISNA(VLOOKUP(E4870,#REF!,1,FALSE())),"?TYPE_IDENTIFIABLE","?REFERENTIAL"),"_")))))</f>
        <v/>
      </c>
      <c r="H4870" s="27" t="str">
        <f aca="false">IF(J4870&lt;&gt;1,"",IF(I4870="SBJ","CB","?"))</f>
        <v/>
      </c>
      <c r="I4870" s="24" t="str">
        <f aca="false">IF(OR(E4870="",E4870="!!!",F4870="NEW"),"",INDEX(B12:B$4859,-1+SUMPRODUCT(MAX(ROW(E12:E$4859)*(E4870=E12:E$4859)))))</f>
        <v/>
      </c>
      <c r="J4870" s="24" t="str">
        <f aca="true">IF(OR(E4870="",E4870="!!!",F4870="NEW"),"",COUNTBLANK(OFFSET(A$1,,,SUMPRODUCT(MAX(ROW(E$2:E4870)*(E4870=E$2:E4870)))))-COUNTBLANK(OFFSET(A$1,,,SUMPRODUCT(MAX(ROW(E$1:E4869)*(E2=E$1:E4869))))))</f>
        <v/>
      </c>
      <c r="K4870" s="24" t="str">
        <f aca="false">IF(OR(E4870="",E4870="!!!",F4870="NEW"),"",INDEX(J$1:J4869,SUMPRODUCT(MAX(ROW(E$1:E4869)*(E4870=E$1:E4869)))))</f>
        <v/>
      </c>
      <c r="L4870" s="31"/>
    </row>
    <row r="4871" customFormat="false" ht="15" hidden="false" customHeight="false" outlineLevel="0" collapsed="false">
      <c r="A4871" s="20" t="s">
        <v>923</v>
      </c>
      <c r="E4871" s="23" t="str">
        <f aca="false">IF(D4871="?OLD","!!!","")</f>
        <v/>
      </c>
      <c r="F4871" s="25" t="str">
        <f aca="false">IF(OR(E4871="",E4871="!!!"),"",IF(NOT(ISNA(VLOOKUP(E4871,E$1:E4870,1,FALSE()))),"OLD",IF(AND(E4871&lt;&gt;"",E4871&lt;&gt;"!!!"),"NEW","")))</f>
        <v/>
      </c>
      <c r="G4871" s="26" t="str">
        <f aca="false">IF(OR(E4871="",E4871="!!!"),"",IF(OR(J4871=0,AND(J4871=1,K4871=1),AND(J4871=1,I4871="SBJ"),AND(J4871=1,I4871=0)),"?IN_FOCUS",IF(J4871&lt;=2,"?ACTIVATED",IF(J4871&lt;&gt;"","?FAMILIAR",IF(F4871="NEW",IF(ISNA(VLOOKUP(E4871,#REF!,1,FALSE())),"?TYPE_IDENTIFIABLE","?REFERENTIAL"),"_")))))</f>
        <v/>
      </c>
      <c r="H4871" s="27" t="str">
        <f aca="false">IF(J4871&lt;&gt;1,"",IF(I4871="SBJ","CB","?"))</f>
        <v/>
      </c>
      <c r="I4871" s="24" t="str">
        <f aca="false">IF(OR(E4871="",E4871="!!!",F4871="NEW"),"",INDEX(B13:B$4859,-1+SUMPRODUCT(MAX(ROW(E13:E$4859)*(E4871=E13:E$4859)))))</f>
        <v/>
      </c>
      <c r="J4871" s="24" t="str">
        <f aca="true">IF(OR(E4871="",E4871="!!!",F4871="NEW"),"",COUNTBLANK(OFFSET(A$1,,,SUMPRODUCT(MAX(ROW(E$2:E4871)*(E4871=E$2:E4871)))))-COUNTBLANK(OFFSET(A$1,,,SUMPRODUCT(MAX(ROW(E$1:E4870)*(E2=E$1:E4870))))))</f>
        <v/>
      </c>
      <c r="K4871" s="24" t="str">
        <f aca="false">IF(OR(E4871="",E4871="!!!",F4871="NEW"),"",INDEX(J$1:J4870,SUMPRODUCT(MAX(ROW(E$1:E4870)*(E4871=E$1:E4870)))))</f>
        <v/>
      </c>
      <c r="L4871" s="31"/>
    </row>
    <row r="4872" customFormat="false" ht="15" hidden="false" customHeight="false" outlineLevel="0" collapsed="false">
      <c r="A4872" s="20"/>
    </row>
    <row r="4873" customFormat="false" ht="15" hidden="false" customHeight="false" outlineLevel="0" collapsed="false">
      <c r="A4873" s="20" t="s">
        <v>1301</v>
      </c>
      <c r="E4873" s="23" t="str">
        <f aca="false">IF(D4873="?OLD","!!!","")</f>
        <v/>
      </c>
      <c r="F4873" s="25" t="str">
        <f aca="false">IF(OR(E4873="",E4873="!!!"),"",IF(NOT(ISNA(VLOOKUP(E4873,E$1:E4872,1,FALSE()))),"OLD",IF(AND(E4873&lt;&gt;"",E4873&lt;&gt;"!!!"),"NEW","")))</f>
        <v/>
      </c>
      <c r="G4873" s="26" t="str">
        <f aca="false">IF(OR(E4873="",E4873="!!!"),"",IF(OR(J4873=0,AND(J4873=1,K4873=1),AND(J4873=1,I4873="SBJ"),AND(J4873=1,I4873=0)),"?IN_FOCUS",IF(J4873&lt;=2,"?ACTIVATED",IF(J4873&lt;&gt;"","?FAMILIAR",IF(F4873="NEW",IF(ISNA(VLOOKUP(E4873,#REF!,1,FALSE())),"?TYPE_IDENTIFIABLE","?REFERENTIAL"),"_")))))</f>
        <v/>
      </c>
      <c r="H4873" s="27" t="str">
        <f aca="false">IF(J4873&lt;&gt;1,"",IF(I4873="SBJ","CB","?"))</f>
        <v/>
      </c>
      <c r="I4873" s="24" t="str">
        <f aca="false">IF(OR(E4873="",E4873="!!!",F4873="NEW"),"",INDEX(B2:B$4872,-1+SUMPRODUCT(MAX(ROW(E2:E$4872)*(E4873=E2:E$4872)))))</f>
        <v/>
      </c>
      <c r="J4873" s="24" t="str">
        <f aca="true">IF(OR(E4873="",E4873="!!!",F4873="NEW"),"",COUNTBLANK(OFFSET(A$1,,,SUMPRODUCT(MAX(ROW(E$2:E4873)*(E4873=E$2:E4873)))))-COUNTBLANK(OFFSET(A$1,,,SUMPRODUCT(MAX(ROW(E$1:E4872)*(E2=E$1:E4872))))))</f>
        <v/>
      </c>
      <c r="K4873" s="24" t="str">
        <f aca="false">IF(OR(E4873="",E4873="!!!",F4873="NEW"),"",INDEX(J$1:J4872,SUMPRODUCT(MAX(ROW(E$1:E4872)*(E4873=E$1:E4872)))))</f>
        <v/>
      </c>
      <c r="L4873" s="31"/>
    </row>
    <row r="4874" customFormat="false" ht="15" hidden="false" customHeight="false" outlineLevel="0" collapsed="false">
      <c r="A4874" s="20" t="s">
        <v>2484</v>
      </c>
    </row>
    <row r="4875" customFormat="false" ht="15" hidden="false" customHeight="false" outlineLevel="0" collapsed="false">
      <c r="A4875" s="20" t="s">
        <v>607</v>
      </c>
      <c r="E4875" s="23" t="str">
        <f aca="false">IF(D4875="?OLD","!!!","")</f>
        <v/>
      </c>
      <c r="F4875" s="25" t="str">
        <f aca="false">IF(OR(E4875="",E4875="!!!"),"",IF(NOT(ISNA(VLOOKUP(E4875,E$1:E4874,1,FALSE()))),"OLD",IF(AND(E4875&lt;&gt;"",E4875&lt;&gt;"!!!"),"NEW","")))</f>
        <v/>
      </c>
      <c r="G4875" s="26" t="str">
        <f aca="false">IF(OR(E4875="",E4875="!!!"),"",IF(OR(J4875=0,AND(J4875=1,K4875=1),AND(J4875=1,I4875="SBJ"),AND(J4875=1,I4875=0)),"?IN_FOCUS",IF(J4875&lt;=2,"?ACTIVATED",IF(J4875&lt;&gt;"","?FAMILIAR",IF(F4875="NEW",IF(ISNA(VLOOKUP(E4875,#REF!,1,FALSE())),"?TYPE_IDENTIFIABLE","?REFERENTIAL"),"_")))))</f>
        <v/>
      </c>
      <c r="H4875" s="27" t="str">
        <f aca="false">IF(J4875&lt;&gt;1,"",IF(I4875="SBJ","CB","?"))</f>
        <v/>
      </c>
      <c r="I4875" s="24" t="str">
        <f aca="false">IF(OR(E4875="",E4875="!!!",F4875="NEW"),"",INDEX(B2:B$4874,-1+SUMPRODUCT(MAX(ROW(E2:E$4874)*(E4875=E2:E$4874)))))</f>
        <v/>
      </c>
      <c r="J4875" s="24" t="str">
        <f aca="true">IF(OR(E4875="",E4875="!!!",F4875="NEW"),"",COUNTBLANK(OFFSET(A$1,,,SUMPRODUCT(MAX(ROW(E$2:E4875)*(E4875=E$2:E4875)))))-COUNTBLANK(OFFSET(A$1,,,SUMPRODUCT(MAX(ROW(E$1:E4874)*(E2=E$1:E4874))))))</f>
        <v/>
      </c>
      <c r="K4875" s="24" t="str">
        <f aca="false">IF(OR(E4875="",E4875="!!!",F4875="NEW"),"",INDEX(J$1:J4874,SUMPRODUCT(MAX(ROW(E$1:E4874)*(E4875=E$1:E4874)))))</f>
        <v/>
      </c>
      <c r="L4875" s="31"/>
    </row>
    <row r="4876" customFormat="false" ht="15" hidden="false" customHeight="false" outlineLevel="0" collapsed="false">
      <c r="A4876" s="20" t="s">
        <v>1261</v>
      </c>
      <c r="E4876" s="23" t="str">
        <f aca="false">IF(D4876="?OLD","!!!","")</f>
        <v/>
      </c>
      <c r="F4876" s="25" t="str">
        <f aca="false">IF(OR(E4876="",E4876="!!!"),"",IF(NOT(ISNA(VLOOKUP(E4876,E$1:E4875,1,FALSE()))),"OLD",IF(AND(E4876&lt;&gt;"",E4876&lt;&gt;"!!!"),"NEW","")))</f>
        <v/>
      </c>
      <c r="G4876" s="26" t="str">
        <f aca="false">IF(OR(E4876="",E4876="!!!"),"",IF(OR(J4876=0,AND(J4876=1,K4876=1),AND(J4876=1,I4876="SBJ"),AND(J4876=1,I4876=0)),"?IN_FOCUS",IF(J4876&lt;=2,"?ACTIVATED",IF(J4876&lt;&gt;"","?FAMILIAR",IF(F4876="NEW",IF(ISNA(VLOOKUP(E4876,#REF!,1,FALSE())),"?TYPE_IDENTIFIABLE","?REFERENTIAL"),"_")))))</f>
        <v/>
      </c>
      <c r="H4876" s="27" t="str">
        <f aca="false">IF(J4876&lt;&gt;1,"",IF(I4876="SBJ","CB","?"))</f>
        <v/>
      </c>
      <c r="I4876" s="24" t="str">
        <f aca="false">IF(OR(E4876="",E4876="!!!",F4876="NEW"),"",INDEX(B3:B$4874,-1+SUMPRODUCT(MAX(ROW(E3:E$4874)*(E4876=E3:E$4874)))))</f>
        <v/>
      </c>
      <c r="J4876" s="24" t="str">
        <f aca="true">IF(OR(E4876="",E4876="!!!",F4876="NEW"),"",COUNTBLANK(OFFSET(A$1,,,SUMPRODUCT(MAX(ROW(E$2:E4876)*(E4876=E$2:E4876)))))-COUNTBLANK(OFFSET(A$1,,,SUMPRODUCT(MAX(ROW(E$1:E4875)*(E2=E$1:E4875))))))</f>
        <v/>
      </c>
      <c r="K4876" s="24" t="str">
        <f aca="false">IF(OR(E4876="",E4876="!!!",F4876="NEW"),"",INDEX(J$1:J4875,SUMPRODUCT(MAX(ROW(E$1:E4875)*(E4876=E$1:E4875)))))</f>
        <v/>
      </c>
      <c r="L4876" s="31"/>
    </row>
    <row r="4877" customFormat="false" ht="15" hidden="false" customHeight="false" outlineLevel="0" collapsed="false">
      <c r="A4877" s="20" t="s">
        <v>1369</v>
      </c>
      <c r="E4877" s="23" t="str">
        <f aca="false">IF(D4877="?OLD","!!!","")</f>
        <v/>
      </c>
      <c r="F4877" s="25" t="str">
        <f aca="false">IF(OR(E4877="",E4877="!!!"),"",IF(NOT(ISNA(VLOOKUP(E4877,E$1:E4876,1,FALSE()))),"OLD",IF(AND(E4877&lt;&gt;"",E4877&lt;&gt;"!!!"),"NEW","")))</f>
        <v/>
      </c>
      <c r="G4877" s="26" t="str">
        <f aca="false">IF(OR(E4877="",E4877="!!!"),"",IF(OR(J4877=0,AND(J4877=1,K4877=1),AND(J4877=1,I4877="SBJ"),AND(J4877=1,I4877=0)),"?IN_FOCUS",IF(J4877&lt;=2,"?ACTIVATED",IF(J4877&lt;&gt;"","?FAMILIAR",IF(F4877="NEW",IF(ISNA(VLOOKUP(E4877,#REF!,1,FALSE())),"?TYPE_IDENTIFIABLE","?REFERENTIAL"),"_")))))</f>
        <v/>
      </c>
      <c r="H4877" s="27" t="str">
        <f aca="false">IF(J4877&lt;&gt;1,"",IF(I4877="SBJ","CB","?"))</f>
        <v/>
      </c>
      <c r="I4877" s="24" t="str">
        <f aca="false">IF(OR(E4877="",E4877="!!!",F4877="NEW"),"",INDEX(B4:B$4874,-1+SUMPRODUCT(MAX(ROW(E4:E$4874)*(E4877=E4:E$4874)))))</f>
        <v/>
      </c>
      <c r="J4877" s="24" t="str">
        <f aca="true">IF(OR(E4877="",E4877="!!!",F4877="NEW"),"",COUNTBLANK(OFFSET(A$1,,,SUMPRODUCT(MAX(ROW(E$2:E4877)*(E4877=E$2:E4877)))))-COUNTBLANK(OFFSET(A$1,,,SUMPRODUCT(MAX(ROW(E$1:E4876)*(E2=E$1:E4876))))))</f>
        <v/>
      </c>
      <c r="K4877" s="24" t="str">
        <f aca="false">IF(OR(E4877="",E4877="!!!",F4877="NEW"),"",INDEX(J$1:J4876,SUMPRODUCT(MAX(ROW(E$1:E4876)*(E4877=E$1:E4876)))))</f>
        <v/>
      </c>
      <c r="L4877" s="31"/>
    </row>
    <row r="4878" customFormat="false" ht="15" hidden="false" customHeight="false" outlineLevel="0" collapsed="false">
      <c r="A4878" s="20" t="s">
        <v>1189</v>
      </c>
      <c r="B4878" s="22" t="s">
        <v>1067</v>
      </c>
      <c r="C4878" s="22" t="s">
        <v>1099</v>
      </c>
      <c r="D4878" s="22" t="s">
        <v>1060</v>
      </c>
      <c r="E4878" s="23" t="str">
        <f aca="false">IF(D4878="?OLD","!!!","")</f>
        <v>!!!</v>
      </c>
      <c r="F4878" s="25" t="str">
        <f aca="false">IF(OR(E4878="",E4878="!!!"),"",IF(NOT(ISNA(VLOOKUP(E4878,E$1:E4877,1,FALSE()))),"OLD",IF(AND(E4878&lt;&gt;"",E4878&lt;&gt;"!!!"),"NEW","")))</f>
        <v/>
      </c>
      <c r="G4878" s="26" t="str">
        <f aca="false">IF(OR(E4878="",E4878="!!!"),"",IF(OR(J4878=0,AND(J4878=1,K4878=1),AND(J4878=1,I4878="SBJ"),AND(J4878=1,I4878=0)),"?IN_FOCUS",IF(J4878&lt;=2,"?ACTIVATED",IF(J4878&lt;&gt;"","?FAMILIAR",IF(F4878="NEW",IF(ISNA(VLOOKUP(E4878,#REF!,1,FALSE())),"?TYPE_IDENTIFIABLE","?REFERENTIAL"),"_")))))</f>
        <v/>
      </c>
      <c r="H4878" s="27" t="str">
        <f aca="false">IF(J4878&lt;&gt;1,"",IF(I4878="SBJ","CB","?"))</f>
        <v/>
      </c>
      <c r="I4878" s="24" t="str">
        <f aca="false">IF(OR(E4878="",E4878="!!!",F4878="NEW"),"",INDEX(B5:B$4874,-1+SUMPRODUCT(MAX(ROW(E5:E$4874)*(E4878=E5:E$4874)))))</f>
        <v/>
      </c>
      <c r="J4878" s="24" t="str">
        <f aca="true">IF(OR(E4878="",E4878="!!!",F4878="NEW"),"",COUNTBLANK(OFFSET(A$1,,,SUMPRODUCT(MAX(ROW(E$2:E4878)*(E4878=E$2:E4878)))))-COUNTBLANK(OFFSET(A$1,,,SUMPRODUCT(MAX(ROW(E$1:E4877)*(E2=E$1:E4877))))))</f>
        <v/>
      </c>
      <c r="K4878" s="24" t="str">
        <f aca="false">IF(OR(E4878="",E4878="!!!",F4878="NEW"),"",INDEX(J$1:J4877,SUMPRODUCT(MAX(ROW(E$1:E4877)*(E4878=E$1:E4877)))))</f>
        <v/>
      </c>
      <c r="L4878" s="31"/>
    </row>
    <row r="4879" customFormat="false" ht="15" hidden="false" customHeight="false" outlineLevel="0" collapsed="false">
      <c r="A4879" s="20" t="s">
        <v>1330</v>
      </c>
      <c r="B4879" s="22" t="s">
        <v>1073</v>
      </c>
      <c r="C4879" s="22" t="s">
        <v>1059</v>
      </c>
      <c r="D4879" s="22" t="s">
        <v>1060</v>
      </c>
      <c r="E4879" s="23" t="str">
        <f aca="false">IF(D4879="?OLD","!!!","")</f>
        <v>!!!</v>
      </c>
      <c r="F4879" s="25" t="str">
        <f aca="false">IF(OR(E4879="",E4879="!!!"),"",IF(NOT(ISNA(VLOOKUP(E4879,E$1:E4878,1,FALSE()))),"OLD",IF(AND(E4879&lt;&gt;"",E4879&lt;&gt;"!!!"),"NEW","")))</f>
        <v/>
      </c>
      <c r="G4879" s="26" t="str">
        <f aca="false">IF(OR(E4879="",E4879="!!!"),"",IF(OR(J4879=0,AND(J4879=1,K4879=1),AND(J4879=1,I4879="SBJ"),AND(J4879=1,I4879=0)),"?IN_FOCUS",IF(J4879&lt;=2,"?ACTIVATED",IF(J4879&lt;&gt;"","?FAMILIAR",IF(F4879="NEW",IF(ISNA(VLOOKUP(E4879,#REF!,1,FALSE())),"?TYPE_IDENTIFIABLE","?REFERENTIAL"),"_")))))</f>
        <v/>
      </c>
      <c r="H4879" s="27" t="str">
        <f aca="false">IF(J4879&lt;&gt;1,"",IF(I4879="SBJ","CB","?"))</f>
        <v/>
      </c>
      <c r="I4879" s="24" t="str">
        <f aca="false">IF(OR(E4879="",E4879="!!!",F4879="NEW"),"",INDEX(B6:B$4874,-1+SUMPRODUCT(MAX(ROW(E6:E$4874)*(E4879=E6:E$4874)))))</f>
        <v/>
      </c>
      <c r="J4879" s="24" t="str">
        <f aca="true">IF(OR(E4879="",E4879="!!!",F4879="NEW"),"",COUNTBLANK(OFFSET(A$1,,,SUMPRODUCT(MAX(ROW(E$2:E4879)*(E4879=E$2:E4879)))))-COUNTBLANK(OFFSET(A$1,,,SUMPRODUCT(MAX(ROW(E$1:E4878)*(E2=E$1:E4878))))))</f>
        <v/>
      </c>
      <c r="K4879" s="24" t="str">
        <f aca="false">IF(OR(E4879="",E4879="!!!",F4879="NEW"),"",INDEX(J$1:J4878,SUMPRODUCT(MAX(ROW(E$1:E4878)*(E4879=E$1:E4878)))))</f>
        <v/>
      </c>
      <c r="L4879" s="31"/>
    </row>
    <row r="4880" customFormat="false" ht="15" hidden="false" customHeight="false" outlineLevel="0" collapsed="false">
      <c r="A4880" s="20" t="s">
        <v>499</v>
      </c>
      <c r="B4880" s="22" t="s">
        <v>1067</v>
      </c>
      <c r="C4880" s="22" t="s">
        <v>1068</v>
      </c>
      <c r="D4880" s="22" t="s">
        <v>1060</v>
      </c>
      <c r="E4880" s="23" t="str">
        <f aca="false">IF(D4880="?OLD","!!!","")</f>
        <v>!!!</v>
      </c>
      <c r="F4880" s="25" t="str">
        <f aca="false">IF(OR(E4880="",E4880="!!!"),"",IF(NOT(ISNA(VLOOKUP(E4880,E$1:E4879,1,FALSE()))),"OLD",IF(AND(E4880&lt;&gt;"",E4880&lt;&gt;"!!!"),"NEW","")))</f>
        <v/>
      </c>
      <c r="G4880" s="26" t="str">
        <f aca="false">IF(OR(E4880="",E4880="!!!"),"",IF(OR(J4880=0,AND(J4880=1,K4880=1),AND(J4880=1,I4880="SBJ"),AND(J4880=1,I4880=0)),"?IN_FOCUS",IF(J4880&lt;=2,"?ACTIVATED",IF(J4880&lt;&gt;"","?FAMILIAR",IF(F4880="NEW",IF(ISNA(VLOOKUP(E4880,#REF!,1,FALSE())),"?TYPE_IDENTIFIABLE","?REFERENTIAL"),"_")))))</f>
        <v/>
      </c>
      <c r="H4880" s="27" t="str">
        <f aca="false">IF(J4880&lt;&gt;1,"",IF(I4880="SBJ","CB","?"))</f>
        <v/>
      </c>
      <c r="I4880" s="24" t="str">
        <f aca="false">IF(OR(E4880="",E4880="!!!",F4880="NEW"),"",INDEX(B7:B$4874,-1+SUMPRODUCT(MAX(ROW(E7:E$4874)*(E4880=E7:E$4874)))))</f>
        <v/>
      </c>
      <c r="J4880" s="24" t="str">
        <f aca="true">IF(OR(E4880="",E4880="!!!",F4880="NEW"),"",COUNTBLANK(OFFSET(A$1,,,SUMPRODUCT(MAX(ROW(E$2:E4880)*(E4880=E$2:E4880)))))-COUNTBLANK(OFFSET(A$1,,,SUMPRODUCT(MAX(ROW(E$1:E4879)*(E2=E$1:E4879))))))</f>
        <v/>
      </c>
      <c r="K4880" s="24" t="str">
        <f aca="false">IF(OR(E4880="",E4880="!!!",F4880="NEW"),"",INDEX(J$1:J4879,SUMPRODUCT(MAX(ROW(E$1:E4879)*(E4880=E$1:E4879)))))</f>
        <v/>
      </c>
      <c r="L4880" s="31"/>
    </row>
    <row r="4881" customFormat="false" ht="15" hidden="false" customHeight="false" outlineLevel="0" collapsed="false">
      <c r="A4881" s="20" t="s">
        <v>1481</v>
      </c>
      <c r="E4881" s="23" t="str">
        <f aca="false">IF(D4881="?OLD","!!!","")</f>
        <v/>
      </c>
      <c r="F4881" s="25" t="str">
        <f aca="false">IF(OR(E4881="",E4881="!!!"),"",IF(NOT(ISNA(VLOOKUP(E4881,E$1:E4880,1,FALSE()))),"OLD",IF(AND(E4881&lt;&gt;"",E4881&lt;&gt;"!!!"),"NEW","")))</f>
        <v/>
      </c>
      <c r="G4881" s="26" t="str">
        <f aca="false">IF(OR(E4881="",E4881="!!!"),"",IF(OR(J4881=0,AND(J4881=1,K4881=1),AND(J4881=1,I4881="SBJ"),AND(J4881=1,I4881=0)),"?IN_FOCUS",IF(J4881&lt;=2,"?ACTIVATED",IF(J4881&lt;&gt;"","?FAMILIAR",IF(F4881="NEW",IF(ISNA(VLOOKUP(E4881,#REF!,1,FALSE())),"?TYPE_IDENTIFIABLE","?REFERENTIAL"),"_")))))</f>
        <v/>
      </c>
      <c r="H4881" s="27" t="str">
        <f aca="false">IF(J4881&lt;&gt;1,"",IF(I4881="SBJ","CB","?"))</f>
        <v/>
      </c>
      <c r="I4881" s="24" t="str">
        <f aca="false">IF(OR(E4881="",E4881="!!!",F4881="NEW"),"",INDEX(B8:B$4874,-1+SUMPRODUCT(MAX(ROW(E8:E$4874)*(E4881=E8:E$4874)))))</f>
        <v/>
      </c>
      <c r="J4881" s="24" t="str">
        <f aca="true">IF(OR(E4881="",E4881="!!!",F4881="NEW"),"",COUNTBLANK(OFFSET(A$1,,,SUMPRODUCT(MAX(ROW(E$2:E4881)*(E4881=E$2:E4881)))))-COUNTBLANK(OFFSET(A$1,,,SUMPRODUCT(MAX(ROW(E$1:E4880)*(E2=E$1:E4880))))))</f>
        <v/>
      </c>
      <c r="K4881" s="24" t="str">
        <f aca="false">IF(OR(E4881="",E4881="!!!",F4881="NEW"),"",INDEX(J$1:J4880,SUMPRODUCT(MAX(ROW(E$1:E4880)*(E4881=E$1:E4880)))))</f>
        <v/>
      </c>
      <c r="L4881" s="31"/>
    </row>
    <row r="4882" customFormat="false" ht="15" hidden="false" customHeight="false" outlineLevel="0" collapsed="false">
      <c r="A4882" s="20" t="s">
        <v>1071</v>
      </c>
      <c r="E4882" s="23" t="str">
        <f aca="false">IF(D4882="?OLD","!!!","")</f>
        <v/>
      </c>
      <c r="F4882" s="25" t="str">
        <f aca="false">IF(OR(E4882="",E4882="!!!"),"",IF(NOT(ISNA(VLOOKUP(E4882,E$1:E4881,1,FALSE()))),"OLD",IF(AND(E4882&lt;&gt;"",E4882&lt;&gt;"!!!"),"NEW","")))</f>
        <v/>
      </c>
      <c r="G4882" s="26" t="str">
        <f aca="false">IF(OR(E4882="",E4882="!!!"),"",IF(OR(J4882=0,AND(J4882=1,K4882=1),AND(J4882=1,I4882="SBJ"),AND(J4882=1,I4882=0)),"?IN_FOCUS",IF(J4882&lt;=2,"?ACTIVATED",IF(J4882&lt;&gt;"","?FAMILIAR",IF(F4882="NEW",IF(ISNA(VLOOKUP(E4882,#REF!,1,FALSE())),"?TYPE_IDENTIFIABLE","?REFERENTIAL"),"_")))))</f>
        <v/>
      </c>
      <c r="H4882" s="27" t="str">
        <f aca="false">IF(J4882&lt;&gt;1,"",IF(I4882="SBJ","CB","?"))</f>
        <v/>
      </c>
      <c r="I4882" s="24" t="str">
        <f aca="false">IF(OR(E4882="",E4882="!!!",F4882="NEW"),"",INDEX(B9:B$4874,-1+SUMPRODUCT(MAX(ROW(E9:E$4874)*(E4882=E9:E$4874)))))</f>
        <v/>
      </c>
      <c r="J4882" s="24" t="str">
        <f aca="true">IF(OR(E4882="",E4882="!!!",F4882="NEW"),"",COUNTBLANK(OFFSET(A$1,,,SUMPRODUCT(MAX(ROW(E$2:E4882)*(E4882=E$2:E4882)))))-COUNTBLANK(OFFSET(A$1,,,SUMPRODUCT(MAX(ROW(E$1:E4881)*(E2=E$1:E4881))))))</f>
        <v/>
      </c>
      <c r="K4882" s="24" t="str">
        <f aca="false">IF(OR(E4882="",E4882="!!!",F4882="NEW"),"",INDEX(J$1:J4881,SUMPRODUCT(MAX(ROW(E$1:E4881)*(E4882=E$1:E4881)))))</f>
        <v/>
      </c>
      <c r="L4882" s="31"/>
    </row>
    <row r="4883" customFormat="false" ht="15" hidden="false" customHeight="false" outlineLevel="0" collapsed="false">
      <c r="A4883" s="20" t="s">
        <v>2485</v>
      </c>
      <c r="E4883" s="23" t="str">
        <f aca="false">IF(D4883="?OLD","!!!","")</f>
        <v/>
      </c>
      <c r="F4883" s="25" t="str">
        <f aca="false">IF(OR(E4883="",E4883="!!!"),"",IF(NOT(ISNA(VLOOKUP(E4883,E$1:E4882,1,FALSE()))),"OLD",IF(AND(E4883&lt;&gt;"",E4883&lt;&gt;"!!!"),"NEW","")))</f>
        <v/>
      </c>
      <c r="G4883" s="26" t="str">
        <f aca="false">IF(OR(E4883="",E4883="!!!"),"",IF(OR(J4883=0,AND(J4883=1,K4883=1),AND(J4883=1,I4883="SBJ"),AND(J4883=1,I4883=0)),"?IN_FOCUS",IF(J4883&lt;=2,"?ACTIVATED",IF(J4883&lt;&gt;"","?FAMILIAR",IF(F4883="NEW",IF(ISNA(VLOOKUP(E4883,#REF!,1,FALSE())),"?TYPE_IDENTIFIABLE","?REFERENTIAL"),"_")))))</f>
        <v/>
      </c>
      <c r="H4883" s="27" t="str">
        <f aca="false">IF(J4883&lt;&gt;1,"",IF(I4883="SBJ","CB","?"))</f>
        <v/>
      </c>
      <c r="I4883" s="24" t="str">
        <f aca="false">IF(OR(E4883="",E4883="!!!",F4883="NEW"),"",INDEX(B10:B$4874,-1+SUMPRODUCT(MAX(ROW(E10:E$4874)*(E4883=E10:E$4874)))))</f>
        <v/>
      </c>
      <c r="J4883" s="24" t="str">
        <f aca="true">IF(OR(E4883="",E4883="!!!",F4883="NEW"),"",COUNTBLANK(OFFSET(A$1,,,SUMPRODUCT(MAX(ROW(E$2:E4883)*(E4883=E$2:E4883)))))-COUNTBLANK(OFFSET(A$1,,,SUMPRODUCT(MAX(ROW(E$1:E4882)*(E2=E$1:E4882))))))</f>
        <v/>
      </c>
      <c r="K4883" s="24" t="str">
        <f aca="false">IF(OR(E4883="",E4883="!!!",F4883="NEW"),"",INDEX(J$1:J4882,SUMPRODUCT(MAX(ROW(E$1:E4882)*(E4883=E$1:E4882)))))</f>
        <v/>
      </c>
      <c r="L4883" s="31"/>
    </row>
    <row r="4884" customFormat="false" ht="15" hidden="false" customHeight="false" outlineLevel="0" collapsed="false">
      <c r="A4884" s="20" t="s">
        <v>2474</v>
      </c>
      <c r="B4884" s="22" t="s">
        <v>1058</v>
      </c>
      <c r="C4884" s="22" t="s">
        <v>1059</v>
      </c>
      <c r="D4884" s="22" t="s">
        <v>1060</v>
      </c>
      <c r="E4884" s="23" t="str">
        <f aca="false">IF(D4884="?OLD","!!!","")</f>
        <v>!!!</v>
      </c>
      <c r="F4884" s="25" t="str">
        <f aca="false">IF(OR(E4884="",E4884="!!!"),"",IF(NOT(ISNA(VLOOKUP(E4884,E$1:E4883,1,FALSE()))),"OLD",IF(AND(E4884&lt;&gt;"",E4884&lt;&gt;"!!!"),"NEW","")))</f>
        <v/>
      </c>
      <c r="G4884" s="26" t="str">
        <f aca="false">IF(OR(E4884="",E4884="!!!"),"",IF(OR(J4884=0,AND(J4884=1,K4884=1),AND(J4884=1,I4884="SBJ"),AND(J4884=1,I4884=0)),"?IN_FOCUS",IF(J4884&lt;=2,"?ACTIVATED",IF(J4884&lt;&gt;"","?FAMILIAR",IF(F4884="NEW",IF(ISNA(VLOOKUP(E4884,#REF!,1,FALSE())),"?TYPE_IDENTIFIABLE","?REFERENTIAL"),"_")))))</f>
        <v/>
      </c>
      <c r="H4884" s="27" t="str">
        <f aca="false">IF(J4884&lt;&gt;1,"",IF(I4884="SBJ","CB","?"))</f>
        <v/>
      </c>
      <c r="I4884" s="24" t="str">
        <f aca="false">IF(OR(E4884="",E4884="!!!",F4884="NEW"),"",INDEX(B11:B$4874,-1+SUMPRODUCT(MAX(ROW(E11:E$4874)*(E4884=E11:E$4874)))))</f>
        <v/>
      </c>
      <c r="J4884" s="24" t="str">
        <f aca="true">IF(OR(E4884="",E4884="!!!",F4884="NEW"),"",COUNTBLANK(OFFSET(A$1,,,SUMPRODUCT(MAX(ROW(E$2:E4884)*(E4884=E$2:E4884)))))-COUNTBLANK(OFFSET(A$1,,,SUMPRODUCT(MAX(ROW(E$1:E4883)*(E2=E$1:E4883))))))</f>
        <v/>
      </c>
      <c r="K4884" s="24" t="str">
        <f aca="false">IF(OR(E4884="",E4884="!!!",F4884="NEW"),"",INDEX(J$1:J4883,SUMPRODUCT(MAX(ROW(E$1:E4883)*(E4884=E$1:E4883)))))</f>
        <v/>
      </c>
      <c r="L4884" s="31"/>
    </row>
    <row r="4885" customFormat="false" ht="15" hidden="false" customHeight="false" outlineLevel="0" collapsed="false">
      <c r="A4885" s="20" t="s">
        <v>923</v>
      </c>
      <c r="E4885" s="23" t="str">
        <f aca="false">IF(D4885="?OLD","!!!","")</f>
        <v/>
      </c>
      <c r="F4885" s="25" t="str">
        <f aca="false">IF(OR(E4885="",E4885="!!!"),"",IF(NOT(ISNA(VLOOKUP(E4885,E$1:E4884,1,FALSE()))),"OLD",IF(AND(E4885&lt;&gt;"",E4885&lt;&gt;"!!!"),"NEW","")))</f>
        <v/>
      </c>
      <c r="G4885" s="26" t="str">
        <f aca="false">IF(OR(E4885="",E4885="!!!"),"",IF(OR(J4885=0,AND(J4885=1,K4885=1),AND(J4885=1,I4885="SBJ"),AND(J4885=1,I4885=0)),"?IN_FOCUS",IF(J4885&lt;=2,"?ACTIVATED",IF(J4885&lt;&gt;"","?FAMILIAR",IF(F4885="NEW",IF(ISNA(VLOOKUP(E4885,#REF!,1,FALSE())),"?TYPE_IDENTIFIABLE","?REFERENTIAL"),"_")))))</f>
        <v/>
      </c>
      <c r="H4885" s="27" t="str">
        <f aca="false">IF(J4885&lt;&gt;1,"",IF(I4885="SBJ","CB","?"))</f>
        <v/>
      </c>
      <c r="I4885" s="24" t="str">
        <f aca="false">IF(OR(E4885="",E4885="!!!",F4885="NEW"),"",INDEX(B12:B$4874,-1+SUMPRODUCT(MAX(ROW(E12:E$4874)*(E4885=E12:E$4874)))))</f>
        <v/>
      </c>
      <c r="J4885" s="24" t="str">
        <f aca="true">IF(OR(E4885="",E4885="!!!",F4885="NEW"),"",COUNTBLANK(OFFSET(A$1,,,SUMPRODUCT(MAX(ROW(E$2:E4885)*(E4885=E$2:E4885)))))-COUNTBLANK(OFFSET(A$1,,,SUMPRODUCT(MAX(ROW(E$1:E4884)*(E2=E$1:E4884))))))</f>
        <v/>
      </c>
      <c r="K4885" s="24" t="str">
        <f aca="false">IF(OR(E4885="",E4885="!!!",F4885="NEW"),"",INDEX(J$1:J4884,SUMPRODUCT(MAX(ROW(E$1:E4884)*(E4885=E$1:E4884)))))</f>
        <v/>
      </c>
      <c r="L4885" s="31"/>
    </row>
    <row r="4886" customFormat="false" ht="15" hidden="false" customHeight="false" outlineLevel="0" collapsed="false">
      <c r="A4886" s="20" t="s">
        <v>607</v>
      </c>
      <c r="E4886" s="23" t="str">
        <f aca="false">IF(D4886="?OLD","!!!","")</f>
        <v/>
      </c>
      <c r="F4886" s="25" t="str">
        <f aca="false">IF(OR(E4886="",E4886="!!!"),"",IF(NOT(ISNA(VLOOKUP(E4886,E$1:E4885,1,FALSE()))),"OLD",IF(AND(E4886&lt;&gt;"",E4886&lt;&gt;"!!!"),"NEW","")))</f>
        <v/>
      </c>
      <c r="G4886" s="26" t="str">
        <f aca="false">IF(OR(E4886="",E4886="!!!"),"",IF(OR(J4886=0,AND(J4886=1,K4886=1),AND(J4886=1,I4886="SBJ"),AND(J4886=1,I4886=0)),"?IN_FOCUS",IF(J4886&lt;=2,"?ACTIVATED",IF(J4886&lt;&gt;"","?FAMILIAR",IF(F4886="NEW",IF(ISNA(VLOOKUP(E4886,#REF!,1,FALSE())),"?TYPE_IDENTIFIABLE","?REFERENTIAL"),"_")))))</f>
        <v/>
      </c>
      <c r="H4886" s="27" t="str">
        <f aca="false">IF(J4886&lt;&gt;1,"",IF(I4886="SBJ","CB","?"))</f>
        <v/>
      </c>
      <c r="I4886" s="24" t="str">
        <f aca="false">IF(OR(E4886="",E4886="!!!",F4886="NEW"),"",INDEX(B13:B$4874,-1+SUMPRODUCT(MAX(ROW(E13:E$4874)*(E4886=E13:E$4874)))))</f>
        <v/>
      </c>
      <c r="J4886" s="24" t="str">
        <f aca="true">IF(OR(E4886="",E4886="!!!",F4886="NEW"),"",COUNTBLANK(OFFSET(A$1,,,SUMPRODUCT(MAX(ROW(E$2:E4886)*(E4886=E$2:E4886)))))-COUNTBLANK(OFFSET(A$1,,,SUMPRODUCT(MAX(ROW(E$1:E4885)*(E2=E$1:E4885))))))</f>
        <v/>
      </c>
      <c r="K4886" s="24" t="str">
        <f aca="false">IF(OR(E4886="",E4886="!!!",F4886="NEW"),"",INDEX(J$1:J4885,SUMPRODUCT(MAX(ROW(E$1:E4885)*(E4886=E$1:E4885)))))</f>
        <v/>
      </c>
      <c r="L4886" s="31"/>
    </row>
    <row r="4887" customFormat="false" ht="15" hidden="false" customHeight="false" outlineLevel="0" collapsed="false">
      <c r="A4887" s="20"/>
    </row>
    <row r="4888" customFormat="false" ht="15" hidden="false" customHeight="false" outlineLevel="0" collapsed="false">
      <c r="A4888" s="20" t="s">
        <v>1301</v>
      </c>
      <c r="E4888" s="23" t="str">
        <f aca="false">IF(D4888="?OLD","!!!","")</f>
        <v/>
      </c>
      <c r="F4888" s="25" t="str">
        <f aca="false">IF(OR(E4888="",E4888="!!!"),"",IF(NOT(ISNA(VLOOKUP(E4888,E$1:E4887,1,FALSE()))),"OLD",IF(AND(E4888&lt;&gt;"",E4888&lt;&gt;"!!!"),"NEW","")))</f>
        <v/>
      </c>
      <c r="G4888" s="26" t="str">
        <f aca="false">IF(OR(E4888="",E4888="!!!"),"",IF(OR(J4888=0,AND(J4888=1,K4888=1),AND(J4888=1,I4888="SBJ"),AND(J4888=1,I4888=0)),"?IN_FOCUS",IF(J4888&lt;=2,"?ACTIVATED",IF(J4888&lt;&gt;"","?FAMILIAR",IF(F4888="NEW",IF(ISNA(VLOOKUP(E4888,#REF!,1,FALSE())),"?TYPE_IDENTIFIABLE","?REFERENTIAL"),"_")))))</f>
        <v/>
      </c>
      <c r="H4888" s="27" t="str">
        <f aca="false">IF(J4888&lt;&gt;1,"",IF(I4888="SBJ","CB","?"))</f>
        <v/>
      </c>
      <c r="I4888" s="24" t="str">
        <f aca="false">IF(OR(E4888="",E4888="!!!",F4888="NEW"),"",INDEX(B2:B$4887,-1+SUMPRODUCT(MAX(ROW(E2:E$4887)*(E4888=E2:E$4887)))))</f>
        <v/>
      </c>
      <c r="J4888" s="24" t="str">
        <f aca="true">IF(OR(E4888="",E4888="!!!",F4888="NEW"),"",COUNTBLANK(OFFSET(A$1,,,SUMPRODUCT(MAX(ROW(E$2:E4888)*(E4888=E$2:E4888)))))-COUNTBLANK(OFFSET(A$1,,,SUMPRODUCT(MAX(ROW(E$1:E4887)*(E2=E$1:E4887))))))</f>
        <v/>
      </c>
      <c r="K4888" s="24" t="str">
        <f aca="false">IF(OR(E4888="",E4888="!!!",F4888="NEW"),"",INDEX(J$1:J4887,SUMPRODUCT(MAX(ROW(E$1:E4887)*(E4888=E$1:E4887)))))</f>
        <v/>
      </c>
      <c r="L4888" s="31"/>
    </row>
    <row r="4889" customFormat="false" ht="15" hidden="false" customHeight="false" outlineLevel="0" collapsed="false">
      <c r="A4889" s="20" t="s">
        <v>2486</v>
      </c>
    </row>
    <row r="4890" customFormat="false" ht="15" hidden="false" customHeight="false" outlineLevel="0" collapsed="false">
      <c r="A4890" s="20" t="s">
        <v>607</v>
      </c>
      <c r="E4890" s="23" t="str">
        <f aca="false">IF(D4890="?OLD","!!!","")</f>
        <v/>
      </c>
      <c r="F4890" s="25" t="str">
        <f aca="false">IF(OR(E4890="",E4890="!!!"),"",IF(NOT(ISNA(VLOOKUP(E4890,E$1:E4889,1,FALSE()))),"OLD",IF(AND(E4890&lt;&gt;"",E4890&lt;&gt;"!!!"),"NEW","")))</f>
        <v/>
      </c>
      <c r="G4890" s="26" t="str">
        <f aca="false">IF(OR(E4890="",E4890="!!!"),"",IF(OR(J4890=0,AND(J4890=1,K4890=1),AND(J4890=1,I4890="SBJ"),AND(J4890=1,I4890=0)),"?IN_FOCUS",IF(J4890&lt;=2,"?ACTIVATED",IF(J4890&lt;&gt;"","?FAMILIAR",IF(F4890="NEW",IF(ISNA(VLOOKUP(E4890,#REF!,1,FALSE())),"?TYPE_IDENTIFIABLE","?REFERENTIAL"),"_")))))</f>
        <v/>
      </c>
      <c r="H4890" s="27" t="str">
        <f aca="false">IF(J4890&lt;&gt;1,"",IF(I4890="SBJ","CB","?"))</f>
        <v/>
      </c>
      <c r="I4890" s="24" t="str">
        <f aca="false">IF(OR(E4890="",E4890="!!!",F4890="NEW"),"",INDEX(B2:B$4889,-1+SUMPRODUCT(MAX(ROW(E2:E$4889)*(E4890=E2:E$4889)))))</f>
        <v/>
      </c>
      <c r="J4890" s="24" t="str">
        <f aca="true">IF(OR(E4890="",E4890="!!!",F4890="NEW"),"",COUNTBLANK(OFFSET(A$1,,,SUMPRODUCT(MAX(ROW(E$2:E4890)*(E4890=E$2:E4890)))))-COUNTBLANK(OFFSET(A$1,,,SUMPRODUCT(MAX(ROW(E$1:E4889)*(E2=E$1:E4889))))))</f>
        <v/>
      </c>
      <c r="K4890" s="24" t="str">
        <f aca="false">IF(OR(E4890="",E4890="!!!",F4890="NEW"),"",INDEX(J$1:J4889,SUMPRODUCT(MAX(ROW(E$1:E4889)*(E4890=E$1:E4889)))))</f>
        <v/>
      </c>
      <c r="L4890" s="31"/>
    </row>
    <row r="4891" customFormat="false" ht="15" hidden="false" customHeight="false" outlineLevel="0" collapsed="false">
      <c r="A4891" s="20" t="s">
        <v>2487</v>
      </c>
      <c r="E4891" s="23" t="str">
        <f aca="false">IF(D4891="?OLD","!!!","")</f>
        <v/>
      </c>
      <c r="F4891" s="25" t="str">
        <f aca="false">IF(OR(E4891="",E4891="!!!"),"",IF(NOT(ISNA(VLOOKUP(E4891,E$1:E4890,1,FALSE()))),"OLD",IF(AND(E4891&lt;&gt;"",E4891&lt;&gt;"!!!"),"NEW","")))</f>
        <v/>
      </c>
      <c r="G4891" s="26" t="str">
        <f aca="false">IF(OR(E4891="",E4891="!!!"),"",IF(OR(J4891=0,AND(J4891=1,K4891=1),AND(J4891=1,I4891="SBJ"),AND(J4891=1,I4891=0)),"?IN_FOCUS",IF(J4891&lt;=2,"?ACTIVATED",IF(J4891&lt;&gt;"","?FAMILIAR",IF(F4891="NEW",IF(ISNA(VLOOKUP(E4891,#REF!,1,FALSE())),"?TYPE_IDENTIFIABLE","?REFERENTIAL"),"_")))))</f>
        <v/>
      </c>
      <c r="H4891" s="27" t="str">
        <f aca="false">IF(J4891&lt;&gt;1,"",IF(I4891="SBJ","CB","?"))</f>
        <v/>
      </c>
      <c r="I4891" s="24" t="str">
        <f aca="false">IF(OR(E4891="",E4891="!!!",F4891="NEW"),"",INDEX(B3:B$4889,-1+SUMPRODUCT(MAX(ROW(E3:E$4889)*(E4891=E3:E$4889)))))</f>
        <v/>
      </c>
      <c r="J4891" s="24" t="str">
        <f aca="true">IF(OR(E4891="",E4891="!!!",F4891="NEW"),"",COUNTBLANK(OFFSET(A$1,,,SUMPRODUCT(MAX(ROW(E$2:E4891)*(E4891=E$2:E4891)))))-COUNTBLANK(OFFSET(A$1,,,SUMPRODUCT(MAX(ROW(E$1:E4890)*(E2=E$1:E4890))))))</f>
        <v/>
      </c>
      <c r="K4891" s="24" t="str">
        <f aca="false">IF(OR(E4891="",E4891="!!!",F4891="NEW"),"",INDEX(J$1:J4890,SUMPRODUCT(MAX(ROW(E$1:E4890)*(E4891=E$1:E4890)))))</f>
        <v/>
      </c>
      <c r="L4891" s="31"/>
    </row>
    <row r="4892" customFormat="false" ht="15" hidden="false" customHeight="false" outlineLevel="0" collapsed="false">
      <c r="A4892" s="20" t="s">
        <v>1555</v>
      </c>
      <c r="E4892" s="23" t="str">
        <f aca="false">IF(D4892="?OLD","!!!","")</f>
        <v/>
      </c>
      <c r="F4892" s="25" t="str">
        <f aca="false">IF(OR(E4892="",E4892="!!!"),"",IF(NOT(ISNA(VLOOKUP(E4892,E$1:E4891,1,FALSE()))),"OLD",IF(AND(E4892&lt;&gt;"",E4892&lt;&gt;"!!!"),"NEW","")))</f>
        <v/>
      </c>
      <c r="G4892" s="26" t="str">
        <f aca="false">IF(OR(E4892="",E4892="!!!"),"",IF(OR(J4892=0,AND(J4892=1,K4892=1),AND(J4892=1,I4892="SBJ"),AND(J4892=1,I4892=0)),"?IN_FOCUS",IF(J4892&lt;=2,"?ACTIVATED",IF(J4892&lt;&gt;"","?FAMILIAR",IF(F4892="NEW",IF(ISNA(VLOOKUP(E4892,#REF!,1,FALSE())),"?TYPE_IDENTIFIABLE","?REFERENTIAL"),"_")))))</f>
        <v/>
      </c>
      <c r="H4892" s="27" t="str">
        <f aca="false">IF(J4892&lt;&gt;1,"",IF(I4892="SBJ","CB","?"))</f>
        <v/>
      </c>
      <c r="I4892" s="24" t="str">
        <f aca="false">IF(OR(E4892="",E4892="!!!",F4892="NEW"),"",INDEX(B4:B$4889,-1+SUMPRODUCT(MAX(ROW(E4:E$4889)*(E4892=E4:E$4889)))))</f>
        <v/>
      </c>
      <c r="J4892" s="24" t="str">
        <f aca="true">IF(OR(E4892="",E4892="!!!",F4892="NEW"),"",COUNTBLANK(OFFSET(A$1,,,SUMPRODUCT(MAX(ROW(E$2:E4892)*(E4892=E$2:E4892)))))-COUNTBLANK(OFFSET(A$1,,,SUMPRODUCT(MAX(ROW(E$1:E4891)*(E2=E$1:E4891))))))</f>
        <v/>
      </c>
      <c r="K4892" s="24" t="str">
        <f aca="false">IF(OR(E4892="",E4892="!!!",F4892="NEW"),"",INDEX(J$1:J4891,SUMPRODUCT(MAX(ROW(E$1:E4891)*(E4892=E$1:E4891)))))</f>
        <v/>
      </c>
      <c r="L4892" s="31"/>
    </row>
    <row r="4893" customFormat="false" ht="15" hidden="false" customHeight="false" outlineLevel="0" collapsed="false">
      <c r="A4893" s="20" t="s">
        <v>1248</v>
      </c>
      <c r="E4893" s="23" t="str">
        <f aca="false">IF(D4893="?OLD","!!!","")</f>
        <v/>
      </c>
      <c r="F4893" s="25" t="str">
        <f aca="false">IF(OR(E4893="",E4893="!!!"),"",IF(NOT(ISNA(VLOOKUP(E4893,E$1:E4892,1,FALSE()))),"OLD",IF(AND(E4893&lt;&gt;"",E4893&lt;&gt;"!!!"),"NEW","")))</f>
        <v/>
      </c>
      <c r="G4893" s="26" t="str">
        <f aca="false">IF(OR(E4893="",E4893="!!!"),"",IF(OR(J4893=0,AND(J4893=1,K4893=1),AND(J4893=1,I4893="SBJ"),AND(J4893=1,I4893=0)),"?IN_FOCUS",IF(J4893&lt;=2,"?ACTIVATED",IF(J4893&lt;&gt;"","?FAMILIAR",IF(F4893="NEW",IF(ISNA(VLOOKUP(E4893,#REF!,1,FALSE())),"?TYPE_IDENTIFIABLE","?REFERENTIAL"),"_")))))</f>
        <v/>
      </c>
      <c r="H4893" s="27" t="str">
        <f aca="false">IF(J4893&lt;&gt;1,"",IF(I4893="SBJ","CB","?"))</f>
        <v/>
      </c>
      <c r="I4893" s="24" t="str">
        <f aca="false">IF(OR(E4893="",E4893="!!!",F4893="NEW"),"",INDEX(B5:B$4889,-1+SUMPRODUCT(MAX(ROW(E5:E$4889)*(E4893=E5:E$4889)))))</f>
        <v/>
      </c>
      <c r="J4893" s="24" t="str">
        <f aca="true">IF(OR(E4893="",E4893="!!!",F4893="NEW"),"",COUNTBLANK(OFFSET(A$1,,,SUMPRODUCT(MAX(ROW(E$2:E4893)*(E4893=E$2:E4893)))))-COUNTBLANK(OFFSET(A$1,,,SUMPRODUCT(MAX(ROW(E$1:E4892)*(E2=E$1:E4892))))))</f>
        <v/>
      </c>
      <c r="K4893" s="24" t="str">
        <f aca="false">IF(OR(E4893="",E4893="!!!",F4893="NEW"),"",INDEX(J$1:J4892,SUMPRODUCT(MAX(ROW(E$1:E4892)*(E4893=E$1:E4892)))))</f>
        <v/>
      </c>
      <c r="L4893" s="31"/>
    </row>
    <row r="4894" customFormat="false" ht="15" hidden="false" customHeight="false" outlineLevel="0" collapsed="false">
      <c r="A4894" s="20" t="s">
        <v>1482</v>
      </c>
      <c r="B4894" s="22" t="s">
        <v>1105</v>
      </c>
      <c r="C4894" s="22" t="s">
        <v>1068</v>
      </c>
      <c r="D4894" s="22" t="s">
        <v>1060</v>
      </c>
      <c r="E4894" s="23" t="str">
        <f aca="false">IF(D4894="?OLD","!!!","")</f>
        <v>!!!</v>
      </c>
      <c r="F4894" s="25" t="str">
        <f aca="false">IF(OR(E4894="",E4894="!!!"),"",IF(NOT(ISNA(VLOOKUP(E4894,E$1:E4893,1,FALSE()))),"OLD",IF(AND(E4894&lt;&gt;"",E4894&lt;&gt;"!!!"),"NEW","")))</f>
        <v/>
      </c>
      <c r="G4894" s="26" t="str">
        <f aca="false">IF(OR(E4894="",E4894="!!!"),"",IF(OR(J4894=0,AND(J4894=1,K4894=1),AND(J4894=1,I4894="SBJ"),AND(J4894=1,I4894=0)),"?IN_FOCUS",IF(J4894&lt;=2,"?ACTIVATED",IF(J4894&lt;&gt;"","?FAMILIAR",IF(F4894="NEW",IF(ISNA(VLOOKUP(E4894,#REF!,1,FALSE())),"?TYPE_IDENTIFIABLE","?REFERENTIAL"),"_")))))</f>
        <v/>
      </c>
      <c r="H4894" s="27" t="str">
        <f aca="false">IF(J4894&lt;&gt;1,"",IF(I4894="SBJ","CB","?"))</f>
        <v/>
      </c>
      <c r="I4894" s="24" t="str">
        <f aca="false">IF(OR(E4894="",E4894="!!!",F4894="NEW"),"",INDEX(B6:B$4889,-1+SUMPRODUCT(MAX(ROW(E6:E$4889)*(E4894=E6:E$4889)))))</f>
        <v/>
      </c>
      <c r="J4894" s="24" t="str">
        <f aca="true">IF(OR(E4894="",E4894="!!!",F4894="NEW"),"",COUNTBLANK(OFFSET(A$1,,,SUMPRODUCT(MAX(ROW(E$2:E4894)*(E4894=E$2:E4894)))))-COUNTBLANK(OFFSET(A$1,,,SUMPRODUCT(MAX(ROW(E$1:E4893)*(E2=E$1:E4893))))))</f>
        <v/>
      </c>
      <c r="K4894" s="24" t="str">
        <f aca="false">IF(OR(E4894="",E4894="!!!",F4894="NEW"),"",INDEX(J$1:J4893,SUMPRODUCT(MAX(ROW(E$1:E4893)*(E4894=E$1:E4893)))))</f>
        <v/>
      </c>
      <c r="L4894" s="31"/>
    </row>
    <row r="4895" customFormat="false" ht="15" hidden="false" customHeight="false" outlineLevel="0" collapsed="false">
      <c r="A4895" s="20" t="s">
        <v>1173</v>
      </c>
      <c r="E4895" s="23" t="str">
        <f aca="false">IF(D4895="?OLD","!!!","")</f>
        <v/>
      </c>
      <c r="F4895" s="25" t="str">
        <f aca="false">IF(OR(E4895="",E4895="!!!"),"",IF(NOT(ISNA(VLOOKUP(E4895,E$1:E4894,1,FALSE()))),"OLD",IF(AND(E4895&lt;&gt;"",E4895&lt;&gt;"!!!"),"NEW","")))</f>
        <v/>
      </c>
      <c r="G4895" s="26" t="str">
        <f aca="false">IF(OR(E4895="",E4895="!!!"),"",IF(OR(J4895=0,AND(J4895=1,K4895=1),AND(J4895=1,I4895="SBJ"),AND(J4895=1,I4895=0)),"?IN_FOCUS",IF(J4895&lt;=2,"?ACTIVATED",IF(J4895&lt;&gt;"","?FAMILIAR",IF(F4895="NEW",IF(ISNA(VLOOKUP(E4895,#REF!,1,FALSE())),"?TYPE_IDENTIFIABLE","?REFERENTIAL"),"_")))))</f>
        <v/>
      </c>
      <c r="H4895" s="27" t="str">
        <f aca="false">IF(J4895&lt;&gt;1,"",IF(I4895="SBJ","CB","?"))</f>
        <v/>
      </c>
      <c r="I4895" s="24" t="str">
        <f aca="false">IF(OR(E4895="",E4895="!!!",F4895="NEW"),"",INDEX(B7:B$4889,-1+SUMPRODUCT(MAX(ROW(E7:E$4889)*(E4895=E7:E$4889)))))</f>
        <v/>
      </c>
      <c r="J4895" s="24" t="str">
        <f aca="true">IF(OR(E4895="",E4895="!!!",F4895="NEW"),"",COUNTBLANK(OFFSET(A$1,,,SUMPRODUCT(MAX(ROW(E$2:E4895)*(E4895=E$2:E4895)))))-COUNTBLANK(OFFSET(A$1,,,SUMPRODUCT(MAX(ROW(E$1:E4894)*(E2=E$1:E4894))))))</f>
        <v/>
      </c>
      <c r="K4895" s="24" t="str">
        <f aca="false">IF(OR(E4895="",E4895="!!!",F4895="NEW"),"",INDEX(J$1:J4894,SUMPRODUCT(MAX(ROW(E$1:E4894)*(E4895=E$1:E4894)))))</f>
        <v/>
      </c>
      <c r="L4895" s="31"/>
    </row>
    <row r="4896" customFormat="false" ht="15" hidden="false" customHeight="false" outlineLevel="0" collapsed="false">
      <c r="A4896" s="20" t="s">
        <v>1097</v>
      </c>
      <c r="B4896" s="22" t="s">
        <v>1067</v>
      </c>
      <c r="C4896" s="22" t="s">
        <v>1099</v>
      </c>
      <c r="D4896" s="22" t="s">
        <v>1060</v>
      </c>
      <c r="E4896" s="23" t="str">
        <f aca="false">IF(D4896="?OLD","!!!","")</f>
        <v>!!!</v>
      </c>
      <c r="F4896" s="25" t="str">
        <f aca="false">IF(OR(E4896="",E4896="!!!"),"",IF(NOT(ISNA(VLOOKUP(E4896,E$1:E4895,1,FALSE()))),"OLD",IF(AND(E4896&lt;&gt;"",E4896&lt;&gt;"!!!"),"NEW","")))</f>
        <v/>
      </c>
      <c r="G4896" s="26" t="str">
        <f aca="false">IF(OR(E4896="",E4896="!!!"),"",IF(OR(J4896=0,AND(J4896=1,K4896=1),AND(J4896=1,I4896="SBJ"),AND(J4896=1,I4896=0)),"?IN_FOCUS",IF(J4896&lt;=2,"?ACTIVATED",IF(J4896&lt;&gt;"","?FAMILIAR",IF(F4896="NEW",IF(ISNA(VLOOKUP(E4896,#REF!,1,FALSE())),"?TYPE_IDENTIFIABLE","?REFERENTIAL"),"_")))))</f>
        <v/>
      </c>
      <c r="H4896" s="27" t="str">
        <f aca="false">IF(J4896&lt;&gt;1,"",IF(I4896="SBJ","CB","?"))</f>
        <v/>
      </c>
      <c r="I4896" s="24" t="str">
        <f aca="false">IF(OR(E4896="",E4896="!!!",F4896="NEW"),"",INDEX(B8:B$4889,-1+SUMPRODUCT(MAX(ROW(E8:E$4889)*(E4896=E8:E$4889)))))</f>
        <v/>
      </c>
      <c r="J4896" s="24" t="str">
        <f aca="true">IF(OR(E4896="",E4896="!!!",F4896="NEW"),"",COUNTBLANK(OFFSET(A$1,,,SUMPRODUCT(MAX(ROW(E$2:E4896)*(E4896=E$2:E4896)))))-COUNTBLANK(OFFSET(A$1,,,SUMPRODUCT(MAX(ROW(E$1:E4895)*(E2=E$1:E4895))))))</f>
        <v/>
      </c>
      <c r="K4896" s="24" t="str">
        <f aca="false">IF(OR(E4896="",E4896="!!!",F4896="NEW"),"",INDEX(J$1:J4895,SUMPRODUCT(MAX(ROW(E$1:E4895)*(E4896=E$1:E4895)))))</f>
        <v/>
      </c>
      <c r="L4896" s="31"/>
    </row>
    <row r="4897" customFormat="false" ht="15" hidden="false" customHeight="false" outlineLevel="0" collapsed="false">
      <c r="A4897" s="20" t="s">
        <v>2488</v>
      </c>
      <c r="B4897" s="22" t="s">
        <v>1073</v>
      </c>
      <c r="C4897" s="22" t="s">
        <v>1059</v>
      </c>
      <c r="D4897" s="22" t="s">
        <v>1060</v>
      </c>
      <c r="E4897" s="23" t="str">
        <f aca="false">IF(D4897="?OLD","!!!","")</f>
        <v>!!!</v>
      </c>
      <c r="F4897" s="25" t="str">
        <f aca="false">IF(OR(E4897="",E4897="!!!"),"",IF(NOT(ISNA(VLOOKUP(E4897,E$1:E4896,1,FALSE()))),"OLD",IF(AND(E4897&lt;&gt;"",E4897&lt;&gt;"!!!"),"NEW","")))</f>
        <v/>
      </c>
      <c r="G4897" s="26" t="str">
        <f aca="false">IF(OR(E4897="",E4897="!!!"),"",IF(OR(J4897=0,AND(J4897=1,K4897=1),AND(J4897=1,I4897="SBJ"),AND(J4897=1,I4897=0)),"?IN_FOCUS",IF(J4897&lt;=2,"?ACTIVATED",IF(J4897&lt;&gt;"","?FAMILIAR",IF(F4897="NEW",IF(ISNA(VLOOKUP(E4897,#REF!,1,FALSE())),"?TYPE_IDENTIFIABLE","?REFERENTIAL"),"_")))))</f>
        <v/>
      </c>
      <c r="H4897" s="27" t="str">
        <f aca="false">IF(J4897&lt;&gt;1,"",IF(I4897="SBJ","CB","?"))</f>
        <v/>
      </c>
      <c r="I4897" s="24" t="str">
        <f aca="false">IF(OR(E4897="",E4897="!!!",F4897="NEW"),"",INDEX(B9:B$4889,-1+SUMPRODUCT(MAX(ROW(E9:E$4889)*(E4897=E9:E$4889)))))</f>
        <v/>
      </c>
      <c r="J4897" s="24" t="str">
        <f aca="true">IF(OR(E4897="",E4897="!!!",F4897="NEW"),"",COUNTBLANK(OFFSET(A$1,,,SUMPRODUCT(MAX(ROW(E$2:E4897)*(E4897=E$2:E4897)))))-COUNTBLANK(OFFSET(A$1,,,SUMPRODUCT(MAX(ROW(E$1:E4896)*(E2=E$1:E4896))))))</f>
        <v/>
      </c>
      <c r="K4897" s="24" t="str">
        <f aca="false">IF(OR(E4897="",E4897="!!!",F4897="NEW"),"",INDEX(J$1:J4896,SUMPRODUCT(MAX(ROW(E$1:E4896)*(E4897=E$1:E4896)))))</f>
        <v/>
      </c>
      <c r="L4897" s="31"/>
    </row>
    <row r="4898" customFormat="false" ht="15" hidden="false" customHeight="false" outlineLevel="0" collapsed="false">
      <c r="A4898" s="20" t="s">
        <v>923</v>
      </c>
      <c r="E4898" s="23" t="str">
        <f aca="false">IF(D4898="?OLD","!!!","")</f>
        <v/>
      </c>
      <c r="F4898" s="25" t="str">
        <f aca="false">IF(OR(E4898="",E4898="!!!"),"",IF(NOT(ISNA(VLOOKUP(E4898,E$1:E4897,1,FALSE()))),"OLD",IF(AND(E4898&lt;&gt;"",E4898&lt;&gt;"!!!"),"NEW","")))</f>
        <v/>
      </c>
      <c r="G4898" s="26" t="str">
        <f aca="false">IF(OR(E4898="",E4898="!!!"),"",IF(OR(J4898=0,AND(J4898=1,K4898=1),AND(J4898=1,I4898="SBJ"),AND(J4898=1,I4898=0)),"?IN_FOCUS",IF(J4898&lt;=2,"?ACTIVATED",IF(J4898&lt;&gt;"","?FAMILIAR",IF(F4898="NEW",IF(ISNA(VLOOKUP(E4898,#REF!,1,FALSE())),"?TYPE_IDENTIFIABLE","?REFERENTIAL"),"_")))))</f>
        <v/>
      </c>
      <c r="H4898" s="27" t="str">
        <f aca="false">IF(J4898&lt;&gt;1,"",IF(I4898="SBJ","CB","?"))</f>
        <v/>
      </c>
      <c r="I4898" s="24" t="str">
        <f aca="false">IF(OR(E4898="",E4898="!!!",F4898="NEW"),"",INDEX(B10:B$4889,-1+SUMPRODUCT(MAX(ROW(E10:E$4889)*(E4898=E10:E$4889)))))</f>
        <v/>
      </c>
      <c r="J4898" s="24" t="str">
        <f aca="true">IF(OR(E4898="",E4898="!!!",F4898="NEW"),"",COUNTBLANK(OFFSET(A$1,,,SUMPRODUCT(MAX(ROW(E$2:E4898)*(E4898=E$2:E4898)))))-COUNTBLANK(OFFSET(A$1,,,SUMPRODUCT(MAX(ROW(E$1:E4897)*(E2=E$1:E4897))))))</f>
        <v/>
      </c>
      <c r="K4898" s="24" t="str">
        <f aca="false">IF(OR(E4898="",E4898="!!!",F4898="NEW"),"",INDEX(J$1:J4897,SUMPRODUCT(MAX(ROW(E$1:E4897)*(E4898=E$1:E4897)))))</f>
        <v/>
      </c>
      <c r="L4898" s="31"/>
    </row>
    <row r="4899" customFormat="false" ht="15" hidden="false" customHeight="false" outlineLevel="0" collapsed="false">
      <c r="A4899" s="20" t="s">
        <v>607</v>
      </c>
      <c r="E4899" s="23" t="str">
        <f aca="false">IF(D4899="?OLD","!!!","")</f>
        <v/>
      </c>
      <c r="F4899" s="25" t="str">
        <f aca="false">IF(OR(E4899="",E4899="!!!"),"",IF(NOT(ISNA(VLOOKUP(E4899,E$1:E4898,1,FALSE()))),"OLD",IF(AND(E4899&lt;&gt;"",E4899&lt;&gt;"!!!"),"NEW","")))</f>
        <v/>
      </c>
      <c r="G4899" s="26" t="str">
        <f aca="false">IF(OR(E4899="",E4899="!!!"),"",IF(OR(J4899=0,AND(J4899=1,K4899=1),AND(J4899=1,I4899="SBJ"),AND(J4899=1,I4899=0)),"?IN_FOCUS",IF(J4899&lt;=2,"?ACTIVATED",IF(J4899&lt;&gt;"","?FAMILIAR",IF(F4899="NEW",IF(ISNA(VLOOKUP(E4899,#REF!,1,FALSE())),"?TYPE_IDENTIFIABLE","?REFERENTIAL"),"_")))))</f>
        <v/>
      </c>
      <c r="H4899" s="27" t="str">
        <f aca="false">IF(J4899&lt;&gt;1,"",IF(I4899="SBJ","CB","?"))</f>
        <v/>
      </c>
      <c r="I4899" s="24" t="str">
        <f aca="false">IF(OR(E4899="",E4899="!!!",F4899="NEW"),"",INDEX(B11:B$4889,-1+SUMPRODUCT(MAX(ROW(E11:E$4889)*(E4899=E11:E$4889)))))</f>
        <v/>
      </c>
      <c r="J4899" s="24" t="str">
        <f aca="true">IF(OR(E4899="",E4899="!!!",F4899="NEW"),"",COUNTBLANK(OFFSET(A$1,,,SUMPRODUCT(MAX(ROW(E$2:E4899)*(E4899=E$2:E4899)))))-COUNTBLANK(OFFSET(A$1,,,SUMPRODUCT(MAX(ROW(E$1:E4898)*(E2=E$1:E4898))))))</f>
        <v/>
      </c>
      <c r="K4899" s="24" t="str">
        <f aca="false">IF(OR(E4899="",E4899="!!!",F4899="NEW"),"",INDEX(J$1:J4898,SUMPRODUCT(MAX(ROW(E$1:E4898)*(E4899=E$1:E4898)))))</f>
        <v/>
      </c>
      <c r="L4899" s="31"/>
    </row>
    <row r="4900" customFormat="false" ht="15" hidden="false" customHeight="false" outlineLevel="0" collapsed="false">
      <c r="A4900" s="20"/>
    </row>
    <row r="4901" customFormat="false" ht="15" hidden="false" customHeight="false" outlineLevel="0" collapsed="false">
      <c r="A4901" s="20" t="s">
        <v>1301</v>
      </c>
      <c r="E4901" s="23" t="str">
        <f aca="false">IF(D4901="?OLD","!!!","")</f>
        <v/>
      </c>
      <c r="F4901" s="25" t="str">
        <f aca="false">IF(OR(E4901="",E4901="!!!"),"",IF(NOT(ISNA(VLOOKUP(E4901,E$1:E4900,1,FALSE()))),"OLD",IF(AND(E4901&lt;&gt;"",E4901&lt;&gt;"!!!"),"NEW","")))</f>
        <v/>
      </c>
      <c r="G4901" s="26" t="str">
        <f aca="false">IF(OR(E4901="",E4901="!!!"),"",IF(OR(J4901=0,AND(J4901=1,K4901=1),AND(J4901=1,I4901="SBJ"),AND(J4901=1,I4901=0)),"?IN_FOCUS",IF(J4901&lt;=2,"?ACTIVATED",IF(J4901&lt;&gt;"","?FAMILIAR",IF(F4901="NEW",IF(ISNA(VLOOKUP(E4901,#REF!,1,FALSE())),"?TYPE_IDENTIFIABLE","?REFERENTIAL"),"_")))))</f>
        <v/>
      </c>
      <c r="H4901" s="27" t="str">
        <f aca="false">IF(J4901&lt;&gt;1,"",IF(I4901="SBJ","CB","?"))</f>
        <v/>
      </c>
      <c r="I4901" s="24" t="str">
        <f aca="false">IF(OR(E4901="",E4901="!!!",F4901="NEW"),"",INDEX(B2:B$4900,-1+SUMPRODUCT(MAX(ROW(E2:E$4900)*(E4901=E2:E$4900)))))</f>
        <v/>
      </c>
      <c r="J4901" s="24" t="str">
        <f aca="true">IF(OR(E4901="",E4901="!!!",F4901="NEW"),"",COUNTBLANK(OFFSET(A$1,,,SUMPRODUCT(MAX(ROW(E$2:E4901)*(E4901=E$2:E4901)))))-COUNTBLANK(OFFSET(A$1,,,SUMPRODUCT(MAX(ROW(E$1:E4900)*(E2=E$1:E4900))))))</f>
        <v/>
      </c>
      <c r="K4901" s="24" t="str">
        <f aca="false">IF(OR(E4901="",E4901="!!!",F4901="NEW"),"",INDEX(J$1:J4900,SUMPRODUCT(MAX(ROW(E$1:E4900)*(E4901=E$1:E4900)))))</f>
        <v/>
      </c>
      <c r="L4901" s="31"/>
    </row>
    <row r="4902" customFormat="false" ht="15" hidden="false" customHeight="false" outlineLevel="0" collapsed="false">
      <c r="A4902" s="20" t="s">
        <v>2489</v>
      </c>
    </row>
    <row r="4903" customFormat="false" ht="15" hidden="false" customHeight="false" outlineLevel="0" collapsed="false">
      <c r="A4903" s="20" t="s">
        <v>607</v>
      </c>
      <c r="E4903" s="23" t="str">
        <f aca="false">IF(D4903="?OLD","!!!","")</f>
        <v/>
      </c>
      <c r="F4903" s="25" t="str">
        <f aca="false">IF(OR(E4903="",E4903="!!!"),"",IF(NOT(ISNA(VLOOKUP(E4903,E$1:E4902,1,FALSE()))),"OLD",IF(AND(E4903&lt;&gt;"",E4903&lt;&gt;"!!!"),"NEW","")))</f>
        <v/>
      </c>
      <c r="G4903" s="26" t="str">
        <f aca="false">IF(OR(E4903="",E4903="!!!"),"",IF(OR(J4903=0,AND(J4903=1,K4903=1),AND(J4903=1,I4903="SBJ"),AND(J4903=1,I4903=0)),"?IN_FOCUS",IF(J4903&lt;=2,"?ACTIVATED",IF(J4903&lt;&gt;"","?FAMILIAR",IF(F4903="NEW",IF(ISNA(VLOOKUP(E4903,#REF!,1,FALSE())),"?TYPE_IDENTIFIABLE","?REFERENTIAL"),"_")))))</f>
        <v/>
      </c>
      <c r="H4903" s="27" t="str">
        <f aca="false">IF(J4903&lt;&gt;1,"",IF(I4903="SBJ","CB","?"))</f>
        <v/>
      </c>
      <c r="I4903" s="24" t="str">
        <f aca="false">IF(OR(E4903="",E4903="!!!",F4903="NEW"),"",INDEX(B2:B$4902,-1+SUMPRODUCT(MAX(ROW(E2:E$4902)*(E4903=E2:E$4902)))))</f>
        <v/>
      </c>
      <c r="J4903" s="24" t="str">
        <f aca="true">IF(OR(E4903="",E4903="!!!",F4903="NEW"),"",COUNTBLANK(OFFSET(A$1,,,SUMPRODUCT(MAX(ROW(E$2:E4903)*(E4903=E$2:E4903)))))-COUNTBLANK(OFFSET(A$1,,,SUMPRODUCT(MAX(ROW(E$1:E4902)*(E2=E$1:E4902))))))</f>
        <v/>
      </c>
      <c r="K4903" s="24" t="str">
        <f aca="false">IF(OR(E4903="",E4903="!!!",F4903="NEW"),"",INDEX(J$1:J4902,SUMPRODUCT(MAX(ROW(E$1:E4902)*(E4903=E$1:E4902)))))</f>
        <v/>
      </c>
      <c r="L4903" s="31"/>
    </row>
    <row r="4904" customFormat="false" ht="15" hidden="false" customHeight="false" outlineLevel="0" collapsed="false">
      <c r="A4904" s="20" t="s">
        <v>2490</v>
      </c>
      <c r="E4904" s="23" t="str">
        <f aca="false">IF(D4904="?OLD","!!!","")</f>
        <v/>
      </c>
      <c r="F4904" s="25" t="str">
        <f aca="false">IF(OR(E4904="",E4904="!!!"),"",IF(NOT(ISNA(VLOOKUP(E4904,E$1:E4903,1,FALSE()))),"OLD",IF(AND(E4904&lt;&gt;"",E4904&lt;&gt;"!!!"),"NEW","")))</f>
        <v/>
      </c>
      <c r="G4904" s="26" t="str">
        <f aca="false">IF(OR(E4904="",E4904="!!!"),"",IF(OR(J4904=0,AND(J4904=1,K4904=1),AND(J4904=1,I4904="SBJ"),AND(J4904=1,I4904=0)),"?IN_FOCUS",IF(J4904&lt;=2,"?ACTIVATED",IF(J4904&lt;&gt;"","?FAMILIAR",IF(F4904="NEW",IF(ISNA(VLOOKUP(E4904,#REF!,1,FALSE())),"?TYPE_IDENTIFIABLE","?REFERENTIAL"),"_")))))</f>
        <v/>
      </c>
      <c r="H4904" s="27" t="str">
        <f aca="false">IF(J4904&lt;&gt;1,"",IF(I4904="SBJ","CB","?"))</f>
        <v/>
      </c>
      <c r="I4904" s="24" t="str">
        <f aca="false">IF(OR(E4904="",E4904="!!!",F4904="NEW"),"",INDEX(B3:B$4902,-1+SUMPRODUCT(MAX(ROW(E3:E$4902)*(E4904=E3:E$4902)))))</f>
        <v/>
      </c>
      <c r="J4904" s="24" t="str">
        <f aca="true">IF(OR(E4904="",E4904="!!!",F4904="NEW"),"",COUNTBLANK(OFFSET(A$1,,,SUMPRODUCT(MAX(ROW(E$2:E4904)*(E4904=E$2:E4904)))))-COUNTBLANK(OFFSET(A$1,,,SUMPRODUCT(MAX(ROW(E$1:E4903)*(E2=E$1:E4903))))))</f>
        <v/>
      </c>
      <c r="K4904" s="24" t="str">
        <f aca="false">IF(OR(E4904="",E4904="!!!",F4904="NEW"),"",INDEX(J$1:J4903,SUMPRODUCT(MAX(ROW(E$1:E4903)*(E4904=E$1:E4903)))))</f>
        <v/>
      </c>
      <c r="L4904" s="31"/>
    </row>
    <row r="4905" customFormat="false" ht="15" hidden="false" customHeight="false" outlineLevel="0" collapsed="false">
      <c r="A4905" s="20" t="s">
        <v>923</v>
      </c>
      <c r="E4905" s="23" t="str">
        <f aca="false">IF(D4905="?OLD","!!!","")</f>
        <v/>
      </c>
      <c r="F4905" s="25" t="str">
        <f aca="false">IF(OR(E4905="",E4905="!!!"),"",IF(NOT(ISNA(VLOOKUP(E4905,E$1:E4904,1,FALSE()))),"OLD",IF(AND(E4905&lt;&gt;"",E4905&lt;&gt;"!!!"),"NEW","")))</f>
        <v/>
      </c>
      <c r="G4905" s="26" t="str">
        <f aca="false">IF(OR(E4905="",E4905="!!!"),"",IF(OR(J4905=0,AND(J4905=1,K4905=1),AND(J4905=1,I4905="SBJ"),AND(J4905=1,I4905=0)),"?IN_FOCUS",IF(J4905&lt;=2,"?ACTIVATED",IF(J4905&lt;&gt;"","?FAMILIAR",IF(F4905="NEW",IF(ISNA(VLOOKUP(E4905,#REF!,1,FALSE())),"?TYPE_IDENTIFIABLE","?REFERENTIAL"),"_")))))</f>
        <v/>
      </c>
      <c r="H4905" s="27" t="str">
        <f aca="false">IF(J4905&lt;&gt;1,"",IF(I4905="SBJ","CB","?"))</f>
        <v/>
      </c>
      <c r="I4905" s="24" t="str">
        <f aca="false">IF(OR(E4905="",E4905="!!!",F4905="NEW"),"",INDEX(B4:B$4902,-1+SUMPRODUCT(MAX(ROW(E4:E$4902)*(E4905=E4:E$4902)))))</f>
        <v/>
      </c>
      <c r="J4905" s="24" t="str">
        <f aca="true">IF(OR(E4905="",E4905="!!!",F4905="NEW"),"",COUNTBLANK(OFFSET(A$1,,,SUMPRODUCT(MAX(ROW(E$2:E4905)*(E4905=E$2:E4905)))))-COUNTBLANK(OFFSET(A$1,,,SUMPRODUCT(MAX(ROW(E$1:E4904)*(E2=E$1:E4904))))))</f>
        <v/>
      </c>
      <c r="K4905" s="24" t="str">
        <f aca="false">IF(OR(E4905="",E4905="!!!",F4905="NEW"),"",INDEX(J$1:J4904,SUMPRODUCT(MAX(ROW(E$1:E4904)*(E4905=E$1:E4904)))))</f>
        <v/>
      </c>
      <c r="L4905" s="31"/>
    </row>
    <row r="4906" customFormat="false" ht="15" hidden="false" customHeight="false" outlineLevel="0" collapsed="false">
      <c r="A4906" s="20"/>
    </row>
    <row r="4907" customFormat="false" ht="15" hidden="false" customHeight="false" outlineLevel="0" collapsed="false">
      <c r="A4907" s="20" t="s">
        <v>2491</v>
      </c>
    </row>
    <row r="4908" customFormat="false" ht="15" hidden="false" customHeight="false" outlineLevel="0" collapsed="false">
      <c r="A4908" s="20" t="s">
        <v>1561</v>
      </c>
      <c r="B4908" s="22" t="s">
        <v>1058</v>
      </c>
      <c r="C4908" s="22" t="s">
        <v>1082</v>
      </c>
      <c r="D4908" s="22" t="s">
        <v>1060</v>
      </c>
      <c r="E4908" s="23" t="str">
        <f aca="false">IF(D4908="?OLD","!!!","")</f>
        <v>!!!</v>
      </c>
      <c r="F4908" s="25" t="str">
        <f aca="false">IF(OR(E4908="",E4908="!!!"),"",IF(NOT(ISNA(VLOOKUP(E4908,E$1:E4907,1,FALSE()))),"OLD",IF(AND(E4908&lt;&gt;"",E4908&lt;&gt;"!!!"),"NEW","")))</f>
        <v/>
      </c>
      <c r="G4908" s="26" t="str">
        <f aca="false">IF(OR(E4908="",E4908="!!!"),"",IF(OR(J4908=0,AND(J4908=1,K4908=1),AND(J4908=1,I4908="SBJ"),AND(J4908=1,I4908=0)),"?IN_FOCUS",IF(J4908&lt;=2,"?ACTIVATED",IF(J4908&lt;&gt;"","?FAMILIAR",IF(F4908="NEW",IF(ISNA(VLOOKUP(E4908,#REF!,1,FALSE())),"?TYPE_IDENTIFIABLE","?REFERENTIAL"),"_")))))</f>
        <v/>
      </c>
      <c r="H4908" s="27" t="str">
        <f aca="false">IF(J4908&lt;&gt;1,"",IF(I4908="SBJ","CB","?"))</f>
        <v/>
      </c>
      <c r="I4908" s="24" t="str">
        <f aca="false">IF(OR(E4908="",E4908="!!!",F4908="NEW"),"",INDEX(B2:B$4907,-1+SUMPRODUCT(MAX(ROW(E2:E$4907)*(E4908=E2:E$4907)))))</f>
        <v/>
      </c>
      <c r="J4908" s="24" t="str">
        <f aca="true">IF(OR(E4908="",E4908="!!!",F4908="NEW"),"",COUNTBLANK(OFFSET(A$1,,,SUMPRODUCT(MAX(ROW(E$2:E4908)*(E4908=E$2:E4908)))))-COUNTBLANK(OFFSET(A$1,,,SUMPRODUCT(MAX(ROW(E$1:E4907)*(E2=E$1:E4907))))))</f>
        <v/>
      </c>
      <c r="K4908" s="24" t="str">
        <f aca="false">IF(OR(E4908="",E4908="!!!",F4908="NEW"),"",INDEX(J$1:J4907,SUMPRODUCT(MAX(ROW(E$1:E4907)*(E4908=E$1:E4907)))))</f>
        <v/>
      </c>
      <c r="L4908" s="31"/>
    </row>
    <row r="4909" customFormat="false" ht="15" hidden="false" customHeight="false" outlineLevel="0" collapsed="false">
      <c r="A4909" s="20" t="s">
        <v>2492</v>
      </c>
      <c r="E4909" s="23" t="str">
        <f aca="false">IF(D4909="?OLD","!!!","")</f>
        <v/>
      </c>
      <c r="F4909" s="25" t="str">
        <f aca="false">IF(OR(E4909="",E4909="!!!"),"",IF(NOT(ISNA(VLOOKUP(E4909,E$1:E4908,1,FALSE()))),"OLD",IF(AND(E4909&lt;&gt;"",E4909&lt;&gt;"!!!"),"NEW","")))</f>
        <v/>
      </c>
      <c r="G4909" s="26" t="str">
        <f aca="false">IF(OR(E4909="",E4909="!!!"),"",IF(OR(J4909=0,AND(J4909=1,K4909=1),AND(J4909=1,I4909="SBJ"),AND(J4909=1,I4909=0)),"?IN_FOCUS",IF(J4909&lt;=2,"?ACTIVATED",IF(J4909&lt;&gt;"","?FAMILIAR",IF(F4909="NEW",IF(ISNA(VLOOKUP(E4909,#REF!,1,FALSE())),"?TYPE_IDENTIFIABLE","?REFERENTIAL"),"_")))))</f>
        <v/>
      </c>
      <c r="H4909" s="27" t="str">
        <f aca="false">IF(J4909&lt;&gt;1,"",IF(I4909="SBJ","CB","?"))</f>
        <v/>
      </c>
      <c r="I4909" s="24" t="str">
        <f aca="false">IF(OR(E4909="",E4909="!!!",F4909="NEW"),"",INDEX(B3:B$4907,-1+SUMPRODUCT(MAX(ROW(E3:E$4907)*(E4909=E3:E$4907)))))</f>
        <v/>
      </c>
      <c r="J4909" s="24" t="str">
        <f aca="true">IF(OR(E4909="",E4909="!!!",F4909="NEW"),"",COUNTBLANK(OFFSET(A$1,,,SUMPRODUCT(MAX(ROW(E$2:E4909)*(E4909=E$2:E4909)))))-COUNTBLANK(OFFSET(A$1,,,SUMPRODUCT(MAX(ROW(E$1:E4908)*(E2=E$1:E4908))))))</f>
        <v/>
      </c>
      <c r="K4909" s="24" t="str">
        <f aca="false">IF(OR(E4909="",E4909="!!!",F4909="NEW"),"",INDEX(J$1:J4908,SUMPRODUCT(MAX(ROW(E$1:E4908)*(E4909=E$1:E4908)))))</f>
        <v/>
      </c>
      <c r="L4909" s="31"/>
    </row>
    <row r="4910" customFormat="false" ht="15" hidden="false" customHeight="false" outlineLevel="0" collapsed="false">
      <c r="A4910" s="20" t="s">
        <v>1080</v>
      </c>
      <c r="B4910" s="22" t="s">
        <v>1081</v>
      </c>
      <c r="C4910" s="22" t="s">
        <v>1082</v>
      </c>
      <c r="D4910" s="22" t="s">
        <v>1060</v>
      </c>
      <c r="E4910" s="23" t="str">
        <f aca="false">IF(D4910="?OLD","!!!","")</f>
        <v>!!!</v>
      </c>
      <c r="F4910" s="25" t="str">
        <f aca="false">IF(OR(E4910="",E4910="!!!"),"",IF(NOT(ISNA(VLOOKUP(E4910,E$1:E4909,1,FALSE()))),"OLD",IF(AND(E4910&lt;&gt;"",E4910&lt;&gt;"!!!"),"NEW","")))</f>
        <v/>
      </c>
      <c r="G4910" s="26" t="str">
        <f aca="false">IF(OR(E4910="",E4910="!!!"),"",IF(OR(J4910=0,AND(J4910=1,K4910=1),AND(J4910=1,I4910="SBJ"),AND(J4910=1,I4910=0)),"?IN_FOCUS",IF(J4910&lt;=2,"?ACTIVATED",IF(J4910&lt;&gt;"","?FAMILIAR",IF(F4910="NEW",IF(ISNA(VLOOKUP(E4910,#REF!,1,FALSE())),"?TYPE_IDENTIFIABLE","?REFERENTIAL"),"_")))))</f>
        <v/>
      </c>
      <c r="H4910" s="27" t="str">
        <f aca="false">IF(J4910&lt;&gt;1,"",IF(I4910="SBJ","CB","?"))</f>
        <v/>
      </c>
      <c r="I4910" s="24" t="str">
        <f aca="false">IF(OR(E4910="",E4910="!!!",F4910="NEW"),"",INDEX(B4:B$4907,-1+SUMPRODUCT(MAX(ROW(E4:E$4907)*(E4910=E4:E$4907)))))</f>
        <v/>
      </c>
      <c r="J4910" s="24" t="str">
        <f aca="true">IF(OR(E4910="",E4910="!!!",F4910="NEW"),"",COUNTBLANK(OFFSET(A$1,,,SUMPRODUCT(MAX(ROW(E$2:E4910)*(E4910=E$2:E4910)))))-COUNTBLANK(OFFSET(A$1,,,SUMPRODUCT(MAX(ROW(E$1:E4909)*(E2=E$1:E4909))))))</f>
        <v/>
      </c>
      <c r="K4910" s="24" t="str">
        <f aca="false">IF(OR(E4910="",E4910="!!!",F4910="NEW"),"",INDEX(J$1:J4909,SUMPRODUCT(MAX(ROW(E$1:E4909)*(E4910=E$1:E4909)))))</f>
        <v/>
      </c>
      <c r="L4910" s="31"/>
    </row>
    <row r="4911" customFormat="false" ht="15" hidden="false" customHeight="false" outlineLevel="0" collapsed="false">
      <c r="A4911" s="20" t="s">
        <v>1173</v>
      </c>
      <c r="E4911" s="23" t="str">
        <f aca="false">IF(D4911="?OLD","!!!","")</f>
        <v/>
      </c>
      <c r="F4911" s="25" t="str">
        <f aca="false">IF(OR(E4911="",E4911="!!!"),"",IF(NOT(ISNA(VLOOKUP(E4911,E$1:E4910,1,FALSE()))),"OLD",IF(AND(E4911&lt;&gt;"",E4911&lt;&gt;"!!!"),"NEW","")))</f>
        <v/>
      </c>
      <c r="G4911" s="26" t="str">
        <f aca="false">IF(OR(E4911="",E4911="!!!"),"",IF(OR(J4911=0,AND(J4911=1,K4911=1),AND(J4911=1,I4911="SBJ"),AND(J4911=1,I4911=0)),"?IN_FOCUS",IF(J4911&lt;=2,"?ACTIVATED",IF(J4911&lt;&gt;"","?FAMILIAR",IF(F4911="NEW",IF(ISNA(VLOOKUP(E4911,#REF!,1,FALSE())),"?TYPE_IDENTIFIABLE","?REFERENTIAL"),"_")))))</f>
        <v/>
      </c>
      <c r="H4911" s="27" t="str">
        <f aca="false">IF(J4911&lt;&gt;1,"",IF(I4911="SBJ","CB","?"))</f>
        <v/>
      </c>
      <c r="I4911" s="24" t="str">
        <f aca="false">IF(OR(E4911="",E4911="!!!",F4911="NEW"),"",INDEX(B5:B$4907,-1+SUMPRODUCT(MAX(ROW(E5:E$4907)*(E4911=E5:E$4907)))))</f>
        <v/>
      </c>
      <c r="J4911" s="24" t="str">
        <f aca="true">IF(OR(E4911="",E4911="!!!",F4911="NEW"),"",COUNTBLANK(OFFSET(A$1,,,SUMPRODUCT(MAX(ROW(E$2:E4911)*(E4911=E$2:E4911)))))-COUNTBLANK(OFFSET(A$1,,,SUMPRODUCT(MAX(ROW(E$1:E4910)*(E2=E$1:E4910))))))</f>
        <v/>
      </c>
      <c r="K4911" s="24" t="str">
        <f aca="false">IF(OR(E4911="",E4911="!!!",F4911="NEW"),"",INDEX(J$1:J4910,SUMPRODUCT(MAX(ROW(E$1:E4910)*(E4911=E$1:E4910)))))</f>
        <v/>
      </c>
      <c r="L4911" s="31"/>
    </row>
    <row r="4912" customFormat="false" ht="15" hidden="false" customHeight="false" outlineLevel="0" collapsed="false">
      <c r="A4912" s="20" t="s">
        <v>1097</v>
      </c>
      <c r="B4912" s="22" t="s">
        <v>1073</v>
      </c>
      <c r="C4912" s="22" t="s">
        <v>1099</v>
      </c>
      <c r="D4912" s="22" t="s">
        <v>1060</v>
      </c>
      <c r="E4912" s="23" t="str">
        <f aca="false">IF(D4912="?OLD","!!!","")</f>
        <v>!!!</v>
      </c>
      <c r="F4912" s="25" t="str">
        <f aca="false">IF(OR(E4912="",E4912="!!!"),"",IF(NOT(ISNA(VLOOKUP(E4912,E$1:E4911,1,FALSE()))),"OLD",IF(AND(E4912&lt;&gt;"",E4912&lt;&gt;"!!!"),"NEW","")))</f>
        <v/>
      </c>
      <c r="G4912" s="26" t="str">
        <f aca="false">IF(OR(E4912="",E4912="!!!"),"",IF(OR(J4912=0,AND(J4912=1,K4912=1),AND(J4912=1,I4912="SBJ"),AND(J4912=1,I4912=0)),"?IN_FOCUS",IF(J4912&lt;=2,"?ACTIVATED",IF(J4912&lt;&gt;"","?FAMILIAR",IF(F4912="NEW",IF(ISNA(VLOOKUP(E4912,#REF!,1,FALSE())),"?TYPE_IDENTIFIABLE","?REFERENTIAL"),"_")))))</f>
        <v/>
      </c>
      <c r="H4912" s="27" t="str">
        <f aca="false">IF(J4912&lt;&gt;1,"",IF(I4912="SBJ","CB","?"))</f>
        <v/>
      </c>
      <c r="I4912" s="24" t="str">
        <f aca="false">IF(OR(E4912="",E4912="!!!",F4912="NEW"),"",INDEX(B6:B$4907,-1+SUMPRODUCT(MAX(ROW(E6:E$4907)*(E4912=E6:E$4907)))))</f>
        <v/>
      </c>
      <c r="J4912" s="24" t="str">
        <f aca="true">IF(OR(E4912="",E4912="!!!",F4912="NEW"),"",COUNTBLANK(OFFSET(A$1,,,SUMPRODUCT(MAX(ROW(E$2:E4912)*(E4912=E$2:E4912)))))-COUNTBLANK(OFFSET(A$1,,,SUMPRODUCT(MAX(ROW(E$1:E4911)*(E2=E$1:E4911))))))</f>
        <v/>
      </c>
      <c r="K4912" s="24" t="str">
        <f aca="false">IF(OR(E4912="",E4912="!!!",F4912="NEW"),"",INDEX(J$1:J4911,SUMPRODUCT(MAX(ROW(E$1:E4911)*(E4912=E$1:E4911)))))</f>
        <v/>
      </c>
      <c r="L4912" s="31"/>
    </row>
    <row r="4913" customFormat="false" ht="15" hidden="false" customHeight="false" outlineLevel="0" collapsed="false">
      <c r="A4913" s="20" t="s">
        <v>1720</v>
      </c>
      <c r="B4913" s="22" t="s">
        <v>1105</v>
      </c>
      <c r="C4913" s="22" t="s">
        <v>1059</v>
      </c>
      <c r="D4913" s="22" t="s">
        <v>1060</v>
      </c>
      <c r="E4913" s="23" t="str">
        <f aca="false">IF(D4913="?OLD","!!!","")</f>
        <v>!!!</v>
      </c>
      <c r="F4913" s="25" t="str">
        <f aca="false">IF(OR(E4913="",E4913="!!!"),"",IF(NOT(ISNA(VLOOKUP(E4913,E$1:E4912,1,FALSE()))),"OLD",IF(AND(E4913&lt;&gt;"",E4913&lt;&gt;"!!!"),"NEW","")))</f>
        <v/>
      </c>
      <c r="G4913" s="26" t="str">
        <f aca="false">IF(OR(E4913="",E4913="!!!"),"",IF(OR(J4913=0,AND(J4913=1,K4913=1),AND(J4913=1,I4913="SBJ"),AND(J4913=1,I4913=0)),"?IN_FOCUS",IF(J4913&lt;=2,"?ACTIVATED",IF(J4913&lt;&gt;"","?FAMILIAR",IF(F4913="NEW",IF(ISNA(VLOOKUP(E4913,#REF!,1,FALSE())),"?TYPE_IDENTIFIABLE","?REFERENTIAL"),"_")))))</f>
        <v/>
      </c>
      <c r="H4913" s="27" t="str">
        <f aca="false">IF(J4913&lt;&gt;1,"",IF(I4913="SBJ","CB","?"))</f>
        <v/>
      </c>
      <c r="I4913" s="24" t="str">
        <f aca="false">IF(OR(E4913="",E4913="!!!",F4913="NEW"),"",INDEX(B7:B$4907,-1+SUMPRODUCT(MAX(ROW(E7:E$4907)*(E4913=E7:E$4907)))))</f>
        <v/>
      </c>
      <c r="J4913" s="24" t="str">
        <f aca="true">IF(OR(E4913="",E4913="!!!",F4913="NEW"),"",COUNTBLANK(OFFSET(A$1,,,SUMPRODUCT(MAX(ROW(E$2:E4913)*(E4913=E$2:E4913)))))-COUNTBLANK(OFFSET(A$1,,,SUMPRODUCT(MAX(ROW(E$1:E4912)*(E2=E$1:E4912))))))</f>
        <v/>
      </c>
      <c r="K4913" s="24" t="str">
        <f aca="false">IF(OR(E4913="",E4913="!!!",F4913="NEW"),"",INDEX(J$1:J4912,SUMPRODUCT(MAX(ROW(E$1:E4912)*(E4913=E$1:E4912)))))</f>
        <v/>
      </c>
      <c r="L4913" s="31"/>
    </row>
    <row r="4914" customFormat="false" ht="15" hidden="false" customHeight="false" outlineLevel="0" collapsed="false">
      <c r="A4914" s="20" t="s">
        <v>1264</v>
      </c>
      <c r="E4914" s="23" t="str">
        <f aca="false">IF(D4914="?OLD","!!!","")</f>
        <v/>
      </c>
      <c r="F4914" s="25" t="str">
        <f aca="false">IF(OR(E4914="",E4914="!!!"),"",IF(NOT(ISNA(VLOOKUP(E4914,E$1:E4913,1,FALSE()))),"OLD",IF(AND(E4914&lt;&gt;"",E4914&lt;&gt;"!!!"),"NEW","")))</f>
        <v/>
      </c>
      <c r="G4914" s="26" t="str">
        <f aca="false">IF(OR(E4914="",E4914="!!!"),"",IF(OR(J4914=0,AND(J4914=1,K4914=1),AND(J4914=1,I4914="SBJ"),AND(J4914=1,I4914=0)),"?IN_FOCUS",IF(J4914&lt;=2,"?ACTIVATED",IF(J4914&lt;&gt;"","?FAMILIAR",IF(F4914="NEW",IF(ISNA(VLOOKUP(E4914,#REF!,1,FALSE())),"?TYPE_IDENTIFIABLE","?REFERENTIAL"),"_")))))</f>
        <v/>
      </c>
      <c r="H4914" s="27" t="str">
        <f aca="false">IF(J4914&lt;&gt;1,"",IF(I4914="SBJ","CB","?"))</f>
        <v/>
      </c>
      <c r="I4914" s="24" t="str">
        <f aca="false">IF(OR(E4914="",E4914="!!!",F4914="NEW"),"",INDEX(B8:B$4907,-1+SUMPRODUCT(MAX(ROW(E8:E$4907)*(E4914=E8:E$4907)))))</f>
        <v/>
      </c>
      <c r="J4914" s="24" t="str">
        <f aca="true">IF(OR(E4914="",E4914="!!!",F4914="NEW"),"",COUNTBLANK(OFFSET(A$1,,,SUMPRODUCT(MAX(ROW(E$2:E4914)*(E4914=E$2:E4914)))))-COUNTBLANK(OFFSET(A$1,,,SUMPRODUCT(MAX(ROW(E$1:E4913)*(E2=E$1:E4913))))))</f>
        <v/>
      </c>
      <c r="K4914" s="24" t="str">
        <f aca="false">IF(OR(E4914="",E4914="!!!",F4914="NEW"),"",INDEX(J$1:J4913,SUMPRODUCT(MAX(ROW(E$1:E4913)*(E4914=E$1:E4913)))))</f>
        <v/>
      </c>
      <c r="L4914" s="31"/>
    </row>
    <row r="4915" customFormat="false" ht="15" hidden="false" customHeight="false" outlineLevel="0" collapsed="false">
      <c r="A4915" s="20" t="s">
        <v>2493</v>
      </c>
      <c r="E4915" s="23" t="str">
        <f aca="false">IF(D4915="?OLD","!!!","")</f>
        <v/>
      </c>
      <c r="F4915" s="25" t="str">
        <f aca="false">IF(OR(E4915="",E4915="!!!"),"",IF(NOT(ISNA(VLOOKUP(E4915,E$1:E4914,1,FALSE()))),"OLD",IF(AND(E4915&lt;&gt;"",E4915&lt;&gt;"!!!"),"NEW","")))</f>
        <v/>
      </c>
      <c r="G4915" s="26" t="str">
        <f aca="false">IF(OR(E4915="",E4915="!!!"),"",IF(OR(J4915=0,AND(J4915=1,K4915=1),AND(J4915=1,I4915="SBJ"),AND(J4915=1,I4915=0)),"?IN_FOCUS",IF(J4915&lt;=2,"?ACTIVATED",IF(J4915&lt;&gt;"","?FAMILIAR",IF(F4915="NEW",IF(ISNA(VLOOKUP(E4915,#REF!,1,FALSE())),"?TYPE_IDENTIFIABLE","?REFERENTIAL"),"_")))))</f>
        <v/>
      </c>
      <c r="H4915" s="27" t="str">
        <f aca="false">IF(J4915&lt;&gt;1,"",IF(I4915="SBJ","CB","?"))</f>
        <v/>
      </c>
      <c r="I4915" s="24" t="str">
        <f aca="false">IF(OR(E4915="",E4915="!!!",F4915="NEW"),"",INDEX(B9:B$4907,-1+SUMPRODUCT(MAX(ROW(E9:E$4907)*(E4915=E9:E$4907)))))</f>
        <v/>
      </c>
      <c r="J4915" s="24" t="str">
        <f aca="true">IF(OR(E4915="",E4915="!!!",F4915="NEW"),"",COUNTBLANK(OFFSET(A$1,,,SUMPRODUCT(MAX(ROW(E$2:E4915)*(E4915=E$2:E4915)))))-COUNTBLANK(OFFSET(A$1,,,SUMPRODUCT(MAX(ROW(E$1:E4914)*(E2=E$1:E4914))))))</f>
        <v/>
      </c>
      <c r="K4915" s="24" t="str">
        <f aca="false">IF(OR(E4915="",E4915="!!!",F4915="NEW"),"",INDEX(J$1:J4914,SUMPRODUCT(MAX(ROW(E$1:E4914)*(E4915=E$1:E4914)))))</f>
        <v/>
      </c>
      <c r="L4915" s="31"/>
    </row>
    <row r="4916" customFormat="false" ht="15" hidden="false" customHeight="false" outlineLevel="0" collapsed="false">
      <c r="A4916" s="20" t="s">
        <v>1080</v>
      </c>
      <c r="B4916" s="22" t="s">
        <v>1142</v>
      </c>
      <c r="C4916" s="22" t="s">
        <v>1082</v>
      </c>
      <c r="D4916" s="22" t="s">
        <v>1060</v>
      </c>
      <c r="E4916" s="23" t="str">
        <f aca="false">IF(D4916="?OLD","!!!","")</f>
        <v>!!!</v>
      </c>
      <c r="F4916" s="25" t="str">
        <f aca="false">IF(OR(E4916="",E4916="!!!"),"",IF(NOT(ISNA(VLOOKUP(E4916,E$1:E4915,1,FALSE()))),"OLD",IF(AND(E4916&lt;&gt;"",E4916&lt;&gt;"!!!"),"NEW","")))</f>
        <v/>
      </c>
      <c r="G4916" s="26" t="str">
        <f aca="false">IF(OR(E4916="",E4916="!!!"),"",IF(OR(J4916=0,AND(J4916=1,K4916=1),AND(J4916=1,I4916="SBJ"),AND(J4916=1,I4916=0)),"?IN_FOCUS",IF(J4916&lt;=2,"?ACTIVATED",IF(J4916&lt;&gt;"","?FAMILIAR",IF(F4916="NEW",IF(ISNA(VLOOKUP(E4916,#REF!,1,FALSE())),"?TYPE_IDENTIFIABLE","?REFERENTIAL"),"_")))))</f>
        <v/>
      </c>
      <c r="H4916" s="27" t="str">
        <f aca="false">IF(J4916&lt;&gt;1,"",IF(I4916="SBJ","CB","?"))</f>
        <v/>
      </c>
      <c r="I4916" s="24" t="str">
        <f aca="false">IF(OR(E4916="",E4916="!!!",F4916="NEW"),"",INDEX(B10:B$4907,-1+SUMPRODUCT(MAX(ROW(E10:E$4907)*(E4916=E10:E$4907)))))</f>
        <v/>
      </c>
      <c r="J4916" s="24" t="str">
        <f aca="true">IF(OR(E4916="",E4916="!!!",F4916="NEW"),"",COUNTBLANK(OFFSET(A$1,,,SUMPRODUCT(MAX(ROW(E$2:E4916)*(E4916=E$2:E4916)))))-COUNTBLANK(OFFSET(A$1,,,SUMPRODUCT(MAX(ROW(E$1:E4915)*(E2=E$1:E4915))))))</f>
        <v/>
      </c>
      <c r="K4916" s="24" t="str">
        <f aca="false">IF(OR(E4916="",E4916="!!!",F4916="NEW"),"",INDEX(J$1:J4915,SUMPRODUCT(MAX(ROW(E$1:E4915)*(E4916=E$1:E4915)))))</f>
        <v/>
      </c>
      <c r="L4916" s="31"/>
    </row>
    <row r="4917" customFormat="false" ht="15" hidden="false" customHeight="false" outlineLevel="0" collapsed="false">
      <c r="A4917" s="20" t="s">
        <v>1095</v>
      </c>
      <c r="E4917" s="23" t="str">
        <f aca="false">IF(D4917="?OLD","!!!","")</f>
        <v/>
      </c>
      <c r="F4917" s="25" t="str">
        <f aca="false">IF(OR(E4917="",E4917="!!!"),"",IF(NOT(ISNA(VLOOKUP(E4917,E$1:E4916,1,FALSE()))),"OLD",IF(AND(E4917&lt;&gt;"",E4917&lt;&gt;"!!!"),"NEW","")))</f>
        <v/>
      </c>
      <c r="G4917" s="26" t="str">
        <f aca="false">IF(OR(E4917="",E4917="!!!"),"",IF(OR(J4917=0,AND(J4917=1,K4917=1),AND(J4917=1,I4917="SBJ"),AND(J4917=1,I4917=0)),"?IN_FOCUS",IF(J4917&lt;=2,"?ACTIVATED",IF(J4917&lt;&gt;"","?FAMILIAR",IF(F4917="NEW",IF(ISNA(VLOOKUP(E4917,#REF!,1,FALSE())),"?TYPE_IDENTIFIABLE","?REFERENTIAL"),"_")))))</f>
        <v/>
      </c>
      <c r="H4917" s="27" t="str">
        <f aca="false">IF(J4917&lt;&gt;1,"",IF(I4917="SBJ","CB","?"))</f>
        <v/>
      </c>
      <c r="I4917" s="24" t="str">
        <f aca="false">IF(OR(E4917="",E4917="!!!",F4917="NEW"),"",INDEX(B11:B$4907,-1+SUMPRODUCT(MAX(ROW(E11:E$4907)*(E4917=E11:E$4907)))))</f>
        <v/>
      </c>
      <c r="J4917" s="24" t="str">
        <f aca="true">IF(OR(E4917="",E4917="!!!",F4917="NEW"),"",COUNTBLANK(OFFSET(A$1,,,SUMPRODUCT(MAX(ROW(E$2:E4917)*(E4917=E$2:E4917)))))-COUNTBLANK(OFFSET(A$1,,,SUMPRODUCT(MAX(ROW(E$1:E4916)*(E2=E$1:E4916))))))</f>
        <v/>
      </c>
      <c r="K4917" s="24" t="str">
        <f aca="false">IF(OR(E4917="",E4917="!!!",F4917="NEW"),"",INDEX(J$1:J4916,SUMPRODUCT(MAX(ROW(E$1:E4916)*(E4917=E$1:E4916)))))</f>
        <v/>
      </c>
      <c r="L4917" s="31"/>
    </row>
    <row r="4918" customFormat="false" ht="15" hidden="false" customHeight="false" outlineLevel="0" collapsed="false">
      <c r="A4918" s="20" t="s">
        <v>2033</v>
      </c>
      <c r="E4918" s="23" t="str">
        <f aca="false">IF(D4918="?OLD","!!!","")</f>
        <v/>
      </c>
      <c r="F4918" s="25" t="str">
        <f aca="false">IF(OR(E4918="",E4918="!!!"),"",IF(NOT(ISNA(VLOOKUP(E4918,E$1:E4917,1,FALSE()))),"OLD",IF(AND(E4918&lt;&gt;"",E4918&lt;&gt;"!!!"),"NEW","")))</f>
        <v/>
      </c>
      <c r="G4918" s="26" t="str">
        <f aca="false">IF(OR(E4918="",E4918="!!!"),"",IF(OR(J4918=0,AND(J4918=1,K4918=1),AND(J4918=1,I4918="SBJ"),AND(J4918=1,I4918=0)),"?IN_FOCUS",IF(J4918&lt;=2,"?ACTIVATED",IF(J4918&lt;&gt;"","?FAMILIAR",IF(F4918="NEW",IF(ISNA(VLOOKUP(E4918,#REF!,1,FALSE())),"?TYPE_IDENTIFIABLE","?REFERENTIAL"),"_")))))</f>
        <v/>
      </c>
      <c r="H4918" s="27" t="str">
        <f aca="false">IF(J4918&lt;&gt;1,"",IF(I4918="SBJ","CB","?"))</f>
        <v/>
      </c>
      <c r="I4918" s="24" t="str">
        <f aca="false">IF(OR(E4918="",E4918="!!!",F4918="NEW"),"",INDEX(B12:B$4907,-1+SUMPRODUCT(MAX(ROW(E12:E$4907)*(E4918=E12:E$4907)))))</f>
        <v/>
      </c>
      <c r="J4918" s="24" t="str">
        <f aca="true">IF(OR(E4918="",E4918="!!!",F4918="NEW"),"",COUNTBLANK(OFFSET(A$1,,,SUMPRODUCT(MAX(ROW(E$2:E4918)*(E4918=E$2:E4918)))))-COUNTBLANK(OFFSET(A$1,,,SUMPRODUCT(MAX(ROW(E$1:E4917)*(E2=E$1:E4917))))))</f>
        <v/>
      </c>
      <c r="K4918" s="24" t="str">
        <f aca="false">IF(OR(E4918="",E4918="!!!",F4918="NEW"),"",INDEX(J$1:J4917,SUMPRODUCT(MAX(ROW(E$1:E4917)*(E4918=E$1:E4917)))))</f>
        <v/>
      </c>
      <c r="L4918" s="31"/>
    </row>
    <row r="4919" customFormat="false" ht="15" hidden="false" customHeight="false" outlineLevel="0" collapsed="false">
      <c r="A4919" s="20" t="s">
        <v>1109</v>
      </c>
      <c r="E4919" s="23" t="str">
        <f aca="false">IF(D4919="?OLD","!!!","")</f>
        <v/>
      </c>
      <c r="F4919" s="25" t="str">
        <f aca="false">IF(OR(E4919="",E4919="!!!"),"",IF(NOT(ISNA(VLOOKUP(E4919,E$1:E4918,1,FALSE()))),"OLD",IF(AND(E4919&lt;&gt;"",E4919&lt;&gt;"!!!"),"NEW","")))</f>
        <v/>
      </c>
      <c r="G4919" s="26" t="str">
        <f aca="false">IF(OR(E4919="",E4919="!!!"),"",IF(OR(J4919=0,AND(J4919=1,K4919=1),AND(J4919=1,I4919="SBJ"),AND(J4919=1,I4919=0)),"?IN_FOCUS",IF(J4919&lt;=2,"?ACTIVATED",IF(J4919&lt;&gt;"","?FAMILIAR",IF(F4919="NEW",IF(ISNA(VLOOKUP(E4919,#REF!,1,FALSE())),"?TYPE_IDENTIFIABLE","?REFERENTIAL"),"_")))))</f>
        <v/>
      </c>
      <c r="H4919" s="27" t="str">
        <f aca="false">IF(J4919&lt;&gt;1,"",IF(I4919="SBJ","CB","?"))</f>
        <v/>
      </c>
      <c r="I4919" s="24" t="str">
        <f aca="false">IF(OR(E4919="",E4919="!!!",F4919="NEW"),"",INDEX(B13:B$4907,-1+SUMPRODUCT(MAX(ROW(E13:E$4907)*(E4919=E13:E$4907)))))</f>
        <v/>
      </c>
      <c r="J4919" s="24" t="str">
        <f aca="true">IF(OR(E4919="",E4919="!!!",F4919="NEW"),"",COUNTBLANK(OFFSET(A$1,,,SUMPRODUCT(MAX(ROW(E$2:E4919)*(E4919=E$2:E4919)))))-COUNTBLANK(OFFSET(A$1,,,SUMPRODUCT(MAX(ROW(E$1:E4918)*(E2=E$1:E4918))))))</f>
        <v/>
      </c>
      <c r="K4919" s="24" t="str">
        <f aca="false">IF(OR(E4919="",E4919="!!!",F4919="NEW"),"",INDEX(J$1:J4918,SUMPRODUCT(MAX(ROW(E$1:E4918)*(E4919=E$1:E4918)))))</f>
        <v/>
      </c>
      <c r="L4919" s="31"/>
    </row>
    <row r="4920" customFormat="false" ht="15" hidden="false" customHeight="false" outlineLevel="0" collapsed="false">
      <c r="A4920" s="20" t="s">
        <v>768</v>
      </c>
      <c r="B4920" s="22" t="s">
        <v>1146</v>
      </c>
      <c r="C4920" s="22" t="s">
        <v>1150</v>
      </c>
      <c r="D4920" s="22" t="s">
        <v>1060</v>
      </c>
      <c r="E4920" s="23" t="str">
        <f aca="false">IF(D4920="?OLD","!!!","")</f>
        <v>!!!</v>
      </c>
      <c r="F4920" s="25" t="str">
        <f aca="false">IF(OR(E4920="",E4920="!!!"),"",IF(NOT(ISNA(VLOOKUP(E4920,E$1:E4919,1,FALSE()))),"OLD",IF(AND(E4920&lt;&gt;"",E4920&lt;&gt;"!!!"),"NEW","")))</f>
        <v/>
      </c>
      <c r="G4920" s="26" t="str">
        <f aca="false">IF(OR(E4920="",E4920="!!!"),"",IF(OR(J4920=0,AND(J4920=1,K4920=1),AND(J4920=1,I4920="SBJ"),AND(J4920=1,I4920=0)),"?IN_FOCUS",IF(J4920&lt;=2,"?ACTIVATED",IF(J4920&lt;&gt;"","?FAMILIAR",IF(F4920="NEW",IF(ISNA(VLOOKUP(E4920,#REF!,1,FALSE())),"?TYPE_IDENTIFIABLE","?REFERENTIAL"),"_")))))</f>
        <v/>
      </c>
      <c r="H4920" s="27" t="str">
        <f aca="false">IF(J4920&lt;&gt;1,"",IF(I4920="SBJ","CB","?"))</f>
        <v/>
      </c>
      <c r="I4920" s="24" t="str">
        <f aca="false">IF(OR(E4920="",E4920="!!!",F4920="NEW"),"",INDEX(B14:B$4907,-1+SUMPRODUCT(MAX(ROW(E14:E$4907)*(E4920=E14:E$4907)))))</f>
        <v/>
      </c>
      <c r="J4920" s="24" t="str">
        <f aca="true">IF(OR(E4920="",E4920="!!!",F4920="NEW"),"",COUNTBLANK(OFFSET(A$1,,,SUMPRODUCT(MAX(ROW(E$2:E4920)*(E4920=E$2:E4920)))))-COUNTBLANK(OFFSET(A$1,,,SUMPRODUCT(MAX(ROW(E$1:E4919)*(E2=E$1:E4919))))))</f>
        <v/>
      </c>
      <c r="K4920" s="24" t="str">
        <f aca="false">IF(OR(E4920="",E4920="!!!",F4920="NEW"),"",INDEX(J$1:J4919,SUMPRODUCT(MAX(ROW(E$1:E4919)*(E4920=E$1:E4919)))))</f>
        <v/>
      </c>
      <c r="L4920" s="31"/>
    </row>
    <row r="4921" customFormat="false" ht="15" hidden="false" customHeight="false" outlineLevel="0" collapsed="false">
      <c r="A4921" s="20" t="s">
        <v>1218</v>
      </c>
      <c r="E4921" s="23" t="str">
        <f aca="false">IF(D4921="?OLD","!!!","")</f>
        <v/>
      </c>
      <c r="F4921" s="25" t="str">
        <f aca="false">IF(OR(E4921="",E4921="!!!"),"",IF(NOT(ISNA(VLOOKUP(E4921,E$1:E4920,1,FALSE()))),"OLD",IF(AND(E4921&lt;&gt;"",E4921&lt;&gt;"!!!"),"NEW","")))</f>
        <v/>
      </c>
      <c r="G4921" s="26" t="str">
        <f aca="false">IF(OR(E4921="",E4921="!!!"),"",IF(OR(J4921=0,AND(J4921=1,K4921=1),AND(J4921=1,I4921="SBJ"),AND(J4921=1,I4921=0)),"?IN_FOCUS",IF(J4921&lt;=2,"?ACTIVATED",IF(J4921&lt;&gt;"","?FAMILIAR",IF(F4921="NEW",IF(ISNA(VLOOKUP(E4921,#REF!,1,FALSE())),"?TYPE_IDENTIFIABLE","?REFERENTIAL"),"_")))))</f>
        <v/>
      </c>
      <c r="H4921" s="27" t="str">
        <f aca="false">IF(J4921&lt;&gt;1,"",IF(I4921="SBJ","CB","?"))</f>
        <v/>
      </c>
      <c r="I4921" s="24" t="str">
        <f aca="false">IF(OR(E4921="",E4921="!!!",F4921="NEW"),"",INDEX(B15:B$4907,-1+SUMPRODUCT(MAX(ROW(E15:E$4907)*(E4921=E15:E$4907)))))</f>
        <v/>
      </c>
      <c r="J4921" s="24" t="str">
        <f aca="true">IF(OR(E4921="",E4921="!!!",F4921="NEW"),"",COUNTBLANK(OFFSET(A$1,,,SUMPRODUCT(MAX(ROW(E$2:E4921)*(E4921=E$2:E4921)))))-COUNTBLANK(OFFSET(A$1,,,SUMPRODUCT(MAX(ROW(E$1:E4920)*(E2=E$1:E4920))))))</f>
        <v/>
      </c>
      <c r="K4921" s="24" t="str">
        <f aca="false">IF(OR(E4921="",E4921="!!!",F4921="NEW"),"",INDEX(J$1:J4920,SUMPRODUCT(MAX(ROW(E$1:E4920)*(E4921=E$1:E4920)))))</f>
        <v/>
      </c>
      <c r="L4921" s="31"/>
    </row>
    <row r="4922" customFormat="false" ht="15" hidden="false" customHeight="false" outlineLevel="0" collapsed="false">
      <c r="A4922" s="20" t="s">
        <v>1109</v>
      </c>
      <c r="E4922" s="23" t="str">
        <f aca="false">IF(D4922="?OLD","!!!","")</f>
        <v/>
      </c>
      <c r="F4922" s="25" t="str">
        <f aca="false">IF(OR(E4922="",E4922="!!!"),"",IF(NOT(ISNA(VLOOKUP(E4922,E$1:E4921,1,FALSE()))),"OLD",IF(AND(E4922&lt;&gt;"",E4922&lt;&gt;"!!!"),"NEW","")))</f>
        <v/>
      </c>
      <c r="G4922" s="26" t="str">
        <f aca="false">IF(OR(E4922="",E4922="!!!"),"",IF(OR(J4922=0,AND(J4922=1,K4922=1),AND(J4922=1,I4922="SBJ"),AND(J4922=1,I4922=0)),"?IN_FOCUS",IF(J4922&lt;=2,"?ACTIVATED",IF(J4922&lt;&gt;"","?FAMILIAR",IF(F4922="NEW",IF(ISNA(VLOOKUP(E4922,#REF!,1,FALSE())),"?TYPE_IDENTIFIABLE","?REFERENTIAL"),"_")))))</f>
        <v/>
      </c>
      <c r="H4922" s="27" t="str">
        <f aca="false">IF(J4922&lt;&gt;1,"",IF(I4922="SBJ","CB","?"))</f>
        <v/>
      </c>
      <c r="I4922" s="24" t="str">
        <f aca="false">IF(OR(E4922="",E4922="!!!",F4922="NEW"),"",INDEX(B16:B$4907,-1+SUMPRODUCT(MAX(ROW(E16:E$4907)*(E4922=E16:E$4907)))))</f>
        <v/>
      </c>
      <c r="J4922" s="24" t="str">
        <f aca="true">IF(OR(E4922="",E4922="!!!",F4922="NEW"),"",COUNTBLANK(OFFSET(A$1,,,SUMPRODUCT(MAX(ROW(E$2:E4922)*(E4922=E$2:E4922)))))-COUNTBLANK(OFFSET(A$1,,,SUMPRODUCT(MAX(ROW(E$1:E4921)*(E2=E$1:E4921))))))</f>
        <v/>
      </c>
      <c r="K4922" s="24" t="str">
        <f aca="false">IF(OR(E4922="",E4922="!!!",F4922="NEW"),"",INDEX(J$1:J4921,SUMPRODUCT(MAX(ROW(E$1:E4921)*(E4922=E$1:E4921)))))</f>
        <v/>
      </c>
      <c r="L4922" s="31"/>
    </row>
    <row r="4923" customFormat="false" ht="15" hidden="false" customHeight="false" outlineLevel="0" collapsed="false">
      <c r="A4923" s="20" t="s">
        <v>1382</v>
      </c>
      <c r="B4923" s="22" t="s">
        <v>1067</v>
      </c>
      <c r="C4923" s="22" t="s">
        <v>1150</v>
      </c>
      <c r="D4923" s="22" t="s">
        <v>1060</v>
      </c>
      <c r="E4923" s="23" t="str">
        <f aca="false">IF(D4923="?OLD","!!!","")</f>
        <v>!!!</v>
      </c>
      <c r="F4923" s="25" t="str">
        <f aca="false">IF(OR(E4923="",E4923="!!!"),"",IF(NOT(ISNA(VLOOKUP(E4923,E$1:E4922,1,FALSE()))),"OLD",IF(AND(E4923&lt;&gt;"",E4923&lt;&gt;"!!!"),"NEW","")))</f>
        <v/>
      </c>
      <c r="G4923" s="26" t="str">
        <f aca="false">IF(OR(E4923="",E4923="!!!"),"",IF(OR(J4923=0,AND(J4923=1,K4923=1),AND(J4923=1,I4923="SBJ"),AND(J4923=1,I4923=0)),"?IN_FOCUS",IF(J4923&lt;=2,"?ACTIVATED",IF(J4923&lt;&gt;"","?FAMILIAR",IF(F4923="NEW",IF(ISNA(VLOOKUP(E4923,#REF!,1,FALSE())),"?TYPE_IDENTIFIABLE","?REFERENTIAL"),"_")))))</f>
        <v/>
      </c>
      <c r="H4923" s="27" t="str">
        <f aca="false">IF(J4923&lt;&gt;1,"",IF(I4923="SBJ","CB","?"))</f>
        <v/>
      </c>
      <c r="I4923" s="24" t="str">
        <f aca="false">IF(OR(E4923="",E4923="!!!",F4923="NEW"),"",INDEX(B17:B$4907,-1+SUMPRODUCT(MAX(ROW(E17:E$4907)*(E4923=E17:E$4907)))))</f>
        <v/>
      </c>
      <c r="J4923" s="24" t="str">
        <f aca="true">IF(OR(E4923="",E4923="!!!",F4923="NEW"),"",COUNTBLANK(OFFSET(A$1,,,SUMPRODUCT(MAX(ROW(E$2:E4923)*(E4923=E$2:E4923)))))-COUNTBLANK(OFFSET(A$1,,,SUMPRODUCT(MAX(ROW(E$1:E4922)*(E2=E$1:E4922))))))</f>
        <v/>
      </c>
      <c r="K4923" s="24" t="str">
        <f aca="false">IF(OR(E4923="",E4923="!!!",F4923="NEW"),"",INDEX(J$1:J4922,SUMPRODUCT(MAX(ROW(E$1:E4922)*(E4923=E$1:E4922)))))</f>
        <v/>
      </c>
      <c r="L4923" s="31"/>
    </row>
    <row r="4924" customFormat="false" ht="15" hidden="false" customHeight="false" outlineLevel="0" collapsed="false">
      <c r="A4924" s="20" t="s">
        <v>923</v>
      </c>
      <c r="E4924" s="23" t="str">
        <f aca="false">IF(D4924="?OLD","!!!","")</f>
        <v/>
      </c>
      <c r="F4924" s="25" t="str">
        <f aca="false">IF(OR(E4924="",E4924="!!!"),"",IF(NOT(ISNA(VLOOKUP(E4924,E$1:E4923,1,FALSE()))),"OLD",IF(AND(E4924&lt;&gt;"",E4924&lt;&gt;"!!!"),"NEW","")))</f>
        <v/>
      </c>
      <c r="G4924" s="26" t="str">
        <f aca="false">IF(OR(E4924="",E4924="!!!"),"",IF(OR(J4924=0,AND(J4924=1,K4924=1),AND(J4924=1,I4924="SBJ"),AND(J4924=1,I4924=0)),"?IN_FOCUS",IF(J4924&lt;=2,"?ACTIVATED",IF(J4924&lt;&gt;"","?FAMILIAR",IF(F4924="NEW",IF(ISNA(VLOOKUP(E4924,#REF!,1,FALSE())),"?TYPE_IDENTIFIABLE","?REFERENTIAL"),"_")))))</f>
        <v/>
      </c>
      <c r="H4924" s="27" t="str">
        <f aca="false">IF(J4924&lt;&gt;1,"",IF(I4924="SBJ","CB","?"))</f>
        <v/>
      </c>
      <c r="I4924" s="24" t="str">
        <f aca="false">IF(OR(E4924="",E4924="!!!",F4924="NEW"),"",INDEX(B18:B$4907,-1+SUMPRODUCT(MAX(ROW(E18:E$4907)*(E4924=E18:E$4907)))))</f>
        <v/>
      </c>
      <c r="J4924" s="24" t="str">
        <f aca="true">IF(OR(E4924="",E4924="!!!",F4924="NEW"),"",COUNTBLANK(OFFSET(A$1,,,SUMPRODUCT(MAX(ROW(E$2:E4924)*(E4924=E$2:E4924)))))-COUNTBLANK(OFFSET(A$1,,,SUMPRODUCT(MAX(ROW(E$1:E4923)*(E2=E$1:E4923))))))</f>
        <v/>
      </c>
      <c r="K4924" s="24" t="str">
        <f aca="false">IF(OR(E4924="",E4924="!!!",F4924="NEW"),"",INDEX(J$1:J4923,SUMPRODUCT(MAX(ROW(E$1:E4923)*(E4924=E$1:E4923)))))</f>
        <v/>
      </c>
      <c r="L4924" s="31"/>
    </row>
    <row r="4925" customFormat="false" ht="15" hidden="false" customHeight="false" outlineLevel="0" collapsed="false">
      <c r="A4925" s="20"/>
    </row>
    <row r="4926" customFormat="false" ht="15" hidden="false" customHeight="false" outlineLevel="0" collapsed="false">
      <c r="A4926" s="20" t="s">
        <v>2494</v>
      </c>
    </row>
    <row r="4927" customFormat="false" ht="15" hidden="false" customHeight="false" outlineLevel="0" collapsed="false">
      <c r="A4927" s="20" t="s">
        <v>1561</v>
      </c>
      <c r="B4927" s="22" t="s">
        <v>1058</v>
      </c>
      <c r="C4927" s="22" t="s">
        <v>1082</v>
      </c>
      <c r="D4927" s="22" t="s">
        <v>1060</v>
      </c>
      <c r="E4927" s="23" t="str">
        <f aca="false">IF(D4927="?OLD","!!!","")</f>
        <v>!!!</v>
      </c>
      <c r="F4927" s="25" t="str">
        <f aca="false">IF(OR(E4927="",E4927="!!!"),"",IF(NOT(ISNA(VLOOKUP(E4927,E$1:E4926,1,FALSE()))),"OLD",IF(AND(E4927&lt;&gt;"",E4927&lt;&gt;"!!!"),"NEW","")))</f>
        <v/>
      </c>
      <c r="G4927" s="26" t="str">
        <f aca="false">IF(OR(E4927="",E4927="!!!"),"",IF(OR(J4927=0,AND(J4927=1,K4927=1),AND(J4927=1,I4927="SBJ"),AND(J4927=1,I4927=0)),"?IN_FOCUS",IF(J4927&lt;=2,"?ACTIVATED",IF(J4927&lt;&gt;"","?FAMILIAR",IF(F4927="NEW",IF(ISNA(VLOOKUP(E4927,#REF!,1,FALSE())),"?TYPE_IDENTIFIABLE","?REFERENTIAL"),"_")))))</f>
        <v/>
      </c>
      <c r="H4927" s="27" t="str">
        <f aca="false">IF(J4927&lt;&gt;1,"",IF(I4927="SBJ","CB","?"))</f>
        <v/>
      </c>
      <c r="I4927" s="24" t="str">
        <f aca="false">IF(OR(E4927="",E4927="!!!",F4927="NEW"),"",INDEX(B2:B$4926,-1+SUMPRODUCT(MAX(ROW(E2:E$4926)*(E4927=E2:E$4926)))))</f>
        <v/>
      </c>
      <c r="J4927" s="24" t="str">
        <f aca="true">IF(OR(E4927="",E4927="!!!",F4927="NEW"),"",COUNTBLANK(OFFSET(A$1,,,SUMPRODUCT(MAX(ROW(E$2:E4927)*(E4927=E$2:E4927)))))-COUNTBLANK(OFFSET(A$1,,,SUMPRODUCT(MAX(ROW(E$1:E4926)*(E2=E$1:E4926))))))</f>
        <v/>
      </c>
      <c r="K4927" s="24" t="str">
        <f aca="false">IF(OR(E4927="",E4927="!!!",F4927="NEW"),"",INDEX(J$1:J4926,SUMPRODUCT(MAX(ROW(E$1:E4926)*(E4927=E$1:E4926)))))</f>
        <v/>
      </c>
      <c r="L4927" s="31"/>
    </row>
    <row r="4928" customFormat="false" ht="15" hidden="false" customHeight="false" outlineLevel="0" collapsed="false">
      <c r="A4928" s="20" t="s">
        <v>2313</v>
      </c>
      <c r="E4928" s="23" t="str">
        <f aca="false">IF(D4928="?OLD","!!!","")</f>
        <v/>
      </c>
      <c r="F4928" s="25" t="str">
        <f aca="false">IF(OR(E4928="",E4928="!!!"),"",IF(NOT(ISNA(VLOOKUP(E4928,E$1:E4927,1,FALSE()))),"OLD",IF(AND(E4928&lt;&gt;"",E4928&lt;&gt;"!!!"),"NEW","")))</f>
        <v/>
      </c>
      <c r="G4928" s="26" t="str">
        <f aca="false">IF(OR(E4928="",E4928="!!!"),"",IF(OR(J4928=0,AND(J4928=1,K4928=1),AND(J4928=1,I4928="SBJ"),AND(J4928=1,I4928=0)),"?IN_FOCUS",IF(J4928&lt;=2,"?ACTIVATED",IF(J4928&lt;&gt;"","?FAMILIAR",IF(F4928="NEW",IF(ISNA(VLOOKUP(E4928,#REF!,1,FALSE())),"?TYPE_IDENTIFIABLE","?REFERENTIAL"),"_")))))</f>
        <v/>
      </c>
      <c r="H4928" s="27" t="str">
        <f aca="false">IF(J4928&lt;&gt;1,"",IF(I4928="SBJ","CB","?"))</f>
        <v/>
      </c>
      <c r="I4928" s="24" t="str">
        <f aca="false">IF(OR(E4928="",E4928="!!!",F4928="NEW"),"",INDEX(B3:B$4926,-1+SUMPRODUCT(MAX(ROW(E3:E$4926)*(E4928=E3:E$4926)))))</f>
        <v/>
      </c>
      <c r="J4928" s="24" t="str">
        <f aca="true">IF(OR(E4928="",E4928="!!!",F4928="NEW"),"",COUNTBLANK(OFFSET(A$1,,,SUMPRODUCT(MAX(ROW(E$2:E4928)*(E4928=E$2:E4928)))))-COUNTBLANK(OFFSET(A$1,,,SUMPRODUCT(MAX(ROW(E$1:E4927)*(E2=E$1:E4927))))))</f>
        <v/>
      </c>
      <c r="K4928" s="24" t="str">
        <f aca="false">IF(OR(E4928="",E4928="!!!",F4928="NEW"),"",INDEX(J$1:J4927,SUMPRODUCT(MAX(ROW(E$1:E4927)*(E4928=E$1:E4927)))))</f>
        <v/>
      </c>
      <c r="L4928" s="31"/>
    </row>
    <row r="4929" customFormat="false" ht="15" hidden="false" customHeight="false" outlineLevel="0" collapsed="false">
      <c r="A4929" s="20" t="s">
        <v>1215</v>
      </c>
      <c r="E4929" s="23" t="str">
        <f aca="false">IF(D4929="?OLD","!!!","")</f>
        <v/>
      </c>
      <c r="F4929" s="25" t="str">
        <f aca="false">IF(OR(E4929="",E4929="!!!"),"",IF(NOT(ISNA(VLOOKUP(E4929,E$1:E4928,1,FALSE()))),"OLD",IF(AND(E4929&lt;&gt;"",E4929&lt;&gt;"!!!"),"NEW","")))</f>
        <v/>
      </c>
      <c r="G4929" s="26" t="str">
        <f aca="false">IF(OR(E4929="",E4929="!!!"),"",IF(OR(J4929=0,AND(J4929=1,K4929=1),AND(J4929=1,I4929="SBJ"),AND(J4929=1,I4929=0)),"?IN_FOCUS",IF(J4929&lt;=2,"?ACTIVATED",IF(J4929&lt;&gt;"","?FAMILIAR",IF(F4929="NEW",IF(ISNA(VLOOKUP(E4929,#REF!,1,FALSE())),"?TYPE_IDENTIFIABLE","?REFERENTIAL"),"_")))))</f>
        <v/>
      </c>
      <c r="H4929" s="27" t="str">
        <f aca="false">IF(J4929&lt;&gt;1,"",IF(I4929="SBJ","CB","?"))</f>
        <v/>
      </c>
      <c r="I4929" s="24" t="str">
        <f aca="false">IF(OR(E4929="",E4929="!!!",F4929="NEW"),"",INDEX(B4:B$4926,-1+SUMPRODUCT(MAX(ROW(E4:E$4926)*(E4929=E4:E$4926)))))</f>
        <v/>
      </c>
      <c r="J4929" s="24" t="str">
        <f aca="true">IF(OR(E4929="",E4929="!!!",F4929="NEW"),"",COUNTBLANK(OFFSET(A$1,,,SUMPRODUCT(MAX(ROW(E$2:E4929)*(E4929=E$2:E4929)))))-COUNTBLANK(OFFSET(A$1,,,SUMPRODUCT(MAX(ROW(E$1:E4928)*(E2=E$1:E4928))))))</f>
        <v/>
      </c>
      <c r="K4929" s="24" t="str">
        <f aca="false">IF(OR(E4929="",E4929="!!!",F4929="NEW"),"",INDEX(J$1:J4928,SUMPRODUCT(MAX(ROW(E$1:E4928)*(E4929=E$1:E4928)))))</f>
        <v/>
      </c>
      <c r="L4929" s="31"/>
    </row>
    <row r="4930" customFormat="false" ht="15" hidden="false" customHeight="false" outlineLevel="0" collapsed="false">
      <c r="A4930" s="20" t="s">
        <v>1090</v>
      </c>
      <c r="B4930" s="22" t="s">
        <v>1086</v>
      </c>
      <c r="C4930" s="22" t="s">
        <v>1082</v>
      </c>
      <c r="D4930" s="22" t="s">
        <v>1060</v>
      </c>
      <c r="E4930" s="23" t="str">
        <f aca="false">IF(D4930="?OLD","!!!","")</f>
        <v>!!!</v>
      </c>
      <c r="F4930" s="25" t="str">
        <f aca="false">IF(OR(E4930="",E4930="!!!"),"",IF(NOT(ISNA(VLOOKUP(E4930,E$1:E4929,1,FALSE()))),"OLD",IF(AND(E4930&lt;&gt;"",E4930&lt;&gt;"!!!"),"NEW","")))</f>
        <v/>
      </c>
      <c r="G4930" s="26" t="str">
        <f aca="false">IF(OR(E4930="",E4930="!!!"),"",IF(OR(J4930=0,AND(J4930=1,K4930=1),AND(J4930=1,I4930="SBJ"),AND(J4930=1,I4930=0)),"?IN_FOCUS",IF(J4930&lt;=2,"?ACTIVATED",IF(J4930&lt;&gt;"","?FAMILIAR",IF(F4930="NEW",IF(ISNA(VLOOKUP(E4930,#REF!,1,FALSE())),"?TYPE_IDENTIFIABLE","?REFERENTIAL"),"_")))))</f>
        <v/>
      </c>
      <c r="H4930" s="27" t="str">
        <f aca="false">IF(J4930&lt;&gt;1,"",IF(I4930="SBJ","CB","?"))</f>
        <v/>
      </c>
      <c r="I4930" s="24" t="str">
        <f aca="false">IF(OR(E4930="",E4930="!!!",F4930="NEW"),"",INDEX(B5:B$4926,-1+SUMPRODUCT(MAX(ROW(E5:E$4926)*(E4930=E5:E$4926)))))</f>
        <v/>
      </c>
      <c r="J4930" s="24" t="str">
        <f aca="true">IF(OR(E4930="",E4930="!!!",F4930="NEW"),"",COUNTBLANK(OFFSET(A$1,,,SUMPRODUCT(MAX(ROW(E$2:E4930)*(E4930=E$2:E4930)))))-COUNTBLANK(OFFSET(A$1,,,SUMPRODUCT(MAX(ROW(E$1:E4929)*(E2=E$1:E4929))))))</f>
        <v/>
      </c>
      <c r="K4930" s="24" t="str">
        <f aca="false">IF(OR(E4930="",E4930="!!!",F4930="NEW"),"",INDEX(J$1:J4929,SUMPRODUCT(MAX(ROW(E$1:E4929)*(E4930=E$1:E4929)))))</f>
        <v/>
      </c>
      <c r="L4930" s="31"/>
    </row>
    <row r="4931" customFormat="false" ht="15" hidden="false" customHeight="false" outlineLevel="0" collapsed="false">
      <c r="A4931" s="20" t="s">
        <v>1270</v>
      </c>
      <c r="E4931" s="23" t="str">
        <f aca="false">IF(D4931="?OLD","!!!","")</f>
        <v/>
      </c>
      <c r="F4931" s="25" t="str">
        <f aca="false">IF(OR(E4931="",E4931="!!!"),"",IF(NOT(ISNA(VLOOKUP(E4931,E$1:E4930,1,FALSE()))),"OLD",IF(AND(E4931&lt;&gt;"",E4931&lt;&gt;"!!!"),"NEW","")))</f>
        <v/>
      </c>
      <c r="G4931" s="26" t="str">
        <f aca="false">IF(OR(E4931="",E4931="!!!"),"",IF(OR(J4931=0,AND(J4931=1,K4931=1),AND(J4931=1,I4931="SBJ"),AND(J4931=1,I4931=0)),"?IN_FOCUS",IF(J4931&lt;=2,"?ACTIVATED",IF(J4931&lt;&gt;"","?FAMILIAR",IF(F4931="NEW",IF(ISNA(VLOOKUP(E4931,#REF!,1,FALSE())),"?TYPE_IDENTIFIABLE","?REFERENTIAL"),"_")))))</f>
        <v/>
      </c>
      <c r="H4931" s="27" t="str">
        <f aca="false">IF(J4931&lt;&gt;1,"",IF(I4931="SBJ","CB","?"))</f>
        <v/>
      </c>
      <c r="I4931" s="24" t="str">
        <f aca="false">IF(OR(E4931="",E4931="!!!",F4931="NEW"),"",INDEX(B6:B$4926,-1+SUMPRODUCT(MAX(ROW(E6:E$4926)*(E4931=E6:E$4926)))))</f>
        <v/>
      </c>
      <c r="J4931" s="24" t="str">
        <f aca="true">IF(OR(E4931="",E4931="!!!",F4931="NEW"),"",COUNTBLANK(OFFSET(A$1,,,SUMPRODUCT(MAX(ROW(E$2:E4931)*(E4931=E$2:E4931)))))-COUNTBLANK(OFFSET(A$1,,,SUMPRODUCT(MAX(ROW(E$1:E4930)*(E2=E$1:E4930))))))</f>
        <v/>
      </c>
      <c r="K4931" s="24" t="str">
        <f aca="false">IF(OR(E4931="",E4931="!!!",F4931="NEW"),"",INDEX(J$1:J4930,SUMPRODUCT(MAX(ROW(E$1:E4930)*(E4931=E$1:E4930)))))</f>
        <v/>
      </c>
      <c r="L4931" s="31"/>
    </row>
    <row r="4932" customFormat="false" ht="15" hidden="false" customHeight="false" outlineLevel="0" collapsed="false">
      <c r="A4932" s="20" t="s">
        <v>1109</v>
      </c>
      <c r="E4932" s="23" t="str">
        <f aca="false">IF(D4932="?OLD","!!!","")</f>
        <v/>
      </c>
      <c r="F4932" s="25" t="str">
        <f aca="false">IF(OR(E4932="",E4932="!!!"),"",IF(NOT(ISNA(VLOOKUP(E4932,E$1:E4931,1,FALSE()))),"OLD",IF(AND(E4932&lt;&gt;"",E4932&lt;&gt;"!!!"),"NEW","")))</f>
        <v/>
      </c>
      <c r="G4932" s="26" t="str">
        <f aca="false">IF(OR(E4932="",E4932="!!!"),"",IF(OR(J4932=0,AND(J4932=1,K4932=1),AND(J4932=1,I4932="SBJ"),AND(J4932=1,I4932=0)),"?IN_FOCUS",IF(J4932&lt;=2,"?ACTIVATED",IF(J4932&lt;&gt;"","?FAMILIAR",IF(F4932="NEW",IF(ISNA(VLOOKUP(E4932,#REF!,1,FALSE())),"?TYPE_IDENTIFIABLE","?REFERENTIAL"),"_")))))</f>
        <v/>
      </c>
      <c r="H4932" s="27" t="str">
        <f aca="false">IF(J4932&lt;&gt;1,"",IF(I4932="SBJ","CB","?"))</f>
        <v/>
      </c>
      <c r="I4932" s="24" t="str">
        <f aca="false">IF(OR(E4932="",E4932="!!!",F4932="NEW"),"",INDEX(B7:B$4926,-1+SUMPRODUCT(MAX(ROW(E7:E$4926)*(E4932=E7:E$4926)))))</f>
        <v/>
      </c>
      <c r="J4932" s="24" t="str">
        <f aca="true">IF(OR(E4932="",E4932="!!!",F4932="NEW"),"",COUNTBLANK(OFFSET(A$1,,,SUMPRODUCT(MAX(ROW(E$2:E4932)*(E4932=E$2:E4932)))))-COUNTBLANK(OFFSET(A$1,,,SUMPRODUCT(MAX(ROW(E$1:E4931)*(E2=E$1:E4931))))))</f>
        <v/>
      </c>
      <c r="K4932" s="24" t="str">
        <f aca="false">IF(OR(E4932="",E4932="!!!",F4932="NEW"),"",INDEX(J$1:J4931,SUMPRODUCT(MAX(ROW(E$1:E4931)*(E4932=E$1:E4931)))))</f>
        <v/>
      </c>
      <c r="L4932" s="31"/>
    </row>
    <row r="4933" customFormat="false" ht="15" hidden="false" customHeight="false" outlineLevel="0" collapsed="false">
      <c r="A4933" s="20" t="s">
        <v>98</v>
      </c>
      <c r="B4933" s="22" t="s">
        <v>1091</v>
      </c>
      <c r="C4933" s="22" t="s">
        <v>1150</v>
      </c>
      <c r="D4933" s="22" t="s">
        <v>1060</v>
      </c>
      <c r="E4933" s="23" t="str">
        <f aca="false">IF(D4933="?OLD","!!!","")</f>
        <v>!!!</v>
      </c>
      <c r="F4933" s="25" t="str">
        <f aca="false">IF(OR(E4933="",E4933="!!!"),"",IF(NOT(ISNA(VLOOKUP(E4933,E$1:E4932,1,FALSE()))),"OLD",IF(AND(E4933&lt;&gt;"",E4933&lt;&gt;"!!!"),"NEW","")))</f>
        <v/>
      </c>
      <c r="G4933" s="26" t="str">
        <f aca="false">IF(OR(E4933="",E4933="!!!"),"",IF(OR(J4933=0,AND(J4933=1,K4933=1),AND(J4933=1,I4933="SBJ"),AND(J4933=1,I4933=0)),"?IN_FOCUS",IF(J4933&lt;=2,"?ACTIVATED",IF(J4933&lt;&gt;"","?FAMILIAR",IF(F4933="NEW",IF(ISNA(VLOOKUP(E4933,#REF!,1,FALSE())),"?TYPE_IDENTIFIABLE","?REFERENTIAL"),"_")))))</f>
        <v/>
      </c>
      <c r="H4933" s="27" t="str">
        <f aca="false">IF(J4933&lt;&gt;1,"",IF(I4933="SBJ","CB","?"))</f>
        <v/>
      </c>
      <c r="I4933" s="24" t="str">
        <f aca="false">IF(OR(E4933="",E4933="!!!",F4933="NEW"),"",INDEX(B8:B$4926,-1+SUMPRODUCT(MAX(ROW(E8:E$4926)*(E4933=E8:E$4926)))))</f>
        <v/>
      </c>
      <c r="J4933" s="24" t="str">
        <f aca="true">IF(OR(E4933="",E4933="!!!",F4933="NEW"),"",COUNTBLANK(OFFSET(A$1,,,SUMPRODUCT(MAX(ROW(E$2:E4933)*(E4933=E$2:E4933)))))-COUNTBLANK(OFFSET(A$1,,,SUMPRODUCT(MAX(ROW(E$1:E4932)*(E2=E$1:E4932))))))</f>
        <v/>
      </c>
      <c r="K4933" s="24" t="str">
        <f aca="false">IF(OR(E4933="",E4933="!!!",F4933="NEW"),"",INDEX(J$1:J4932,SUMPRODUCT(MAX(ROW(E$1:E4932)*(E4933=E$1:E4932)))))</f>
        <v/>
      </c>
      <c r="L4933" s="31"/>
    </row>
    <row r="4934" customFormat="false" ht="15" hidden="false" customHeight="false" outlineLevel="0" collapsed="false">
      <c r="A4934" s="20" t="s">
        <v>1092</v>
      </c>
      <c r="E4934" s="23" t="str">
        <f aca="false">IF(D4934="?OLD","!!!","")</f>
        <v/>
      </c>
      <c r="F4934" s="25" t="str">
        <f aca="false">IF(OR(E4934="",E4934="!!!"),"",IF(NOT(ISNA(VLOOKUP(E4934,E$1:E4933,1,FALSE()))),"OLD",IF(AND(E4934&lt;&gt;"",E4934&lt;&gt;"!!!"),"NEW","")))</f>
        <v/>
      </c>
      <c r="G4934" s="26" t="str">
        <f aca="false">IF(OR(E4934="",E4934="!!!"),"",IF(OR(J4934=0,AND(J4934=1,K4934=1),AND(J4934=1,I4934="SBJ"),AND(J4934=1,I4934=0)),"?IN_FOCUS",IF(J4934&lt;=2,"?ACTIVATED",IF(J4934&lt;&gt;"","?FAMILIAR",IF(F4934="NEW",IF(ISNA(VLOOKUP(E4934,#REF!,1,FALSE())),"?TYPE_IDENTIFIABLE","?REFERENTIAL"),"_")))))</f>
        <v/>
      </c>
      <c r="H4934" s="27" t="str">
        <f aca="false">IF(J4934&lt;&gt;1,"",IF(I4934="SBJ","CB","?"))</f>
        <v/>
      </c>
      <c r="I4934" s="24" t="str">
        <f aca="false">IF(OR(E4934="",E4934="!!!",F4934="NEW"),"",INDEX(B9:B$4926,-1+SUMPRODUCT(MAX(ROW(E9:E$4926)*(E4934=E9:E$4926)))))</f>
        <v/>
      </c>
      <c r="J4934" s="24" t="str">
        <f aca="true">IF(OR(E4934="",E4934="!!!",F4934="NEW"),"",COUNTBLANK(OFFSET(A$1,,,SUMPRODUCT(MAX(ROW(E$2:E4934)*(E4934=E$2:E4934)))))-COUNTBLANK(OFFSET(A$1,,,SUMPRODUCT(MAX(ROW(E$1:E4933)*(E2=E$1:E4933))))))</f>
        <v/>
      </c>
      <c r="K4934" s="24" t="str">
        <f aca="false">IF(OR(E4934="",E4934="!!!",F4934="NEW"),"",INDEX(J$1:J4933,SUMPRODUCT(MAX(ROW(E$1:E4933)*(E4934=E$1:E4933)))))</f>
        <v/>
      </c>
      <c r="L4934" s="31"/>
    </row>
    <row r="4935" customFormat="false" ht="15" hidden="false" customHeight="false" outlineLevel="0" collapsed="false">
      <c r="A4935" s="20" t="s">
        <v>1280</v>
      </c>
      <c r="E4935" s="23" t="str">
        <f aca="false">IF(D4935="?OLD","!!!","")</f>
        <v/>
      </c>
      <c r="F4935" s="25" t="str">
        <f aca="false">IF(OR(E4935="",E4935="!!!"),"",IF(NOT(ISNA(VLOOKUP(E4935,E$1:E4934,1,FALSE()))),"OLD",IF(AND(E4935&lt;&gt;"",E4935&lt;&gt;"!!!"),"NEW","")))</f>
        <v/>
      </c>
      <c r="G4935" s="26" t="str">
        <f aca="false">IF(OR(E4935="",E4935="!!!"),"",IF(OR(J4935=0,AND(J4935=1,K4935=1),AND(J4935=1,I4935="SBJ"),AND(J4935=1,I4935=0)),"?IN_FOCUS",IF(J4935&lt;=2,"?ACTIVATED",IF(J4935&lt;&gt;"","?FAMILIAR",IF(F4935="NEW",IF(ISNA(VLOOKUP(E4935,#REF!,1,FALSE())),"?TYPE_IDENTIFIABLE","?REFERENTIAL"),"_")))))</f>
        <v/>
      </c>
      <c r="H4935" s="27" t="str">
        <f aca="false">IF(J4935&lt;&gt;1,"",IF(I4935="SBJ","CB","?"))</f>
        <v/>
      </c>
      <c r="I4935" s="24" t="str">
        <f aca="false">IF(OR(E4935="",E4935="!!!",F4935="NEW"),"",INDEX(B10:B$4926,-1+SUMPRODUCT(MAX(ROW(E10:E$4926)*(E4935=E10:E$4926)))))</f>
        <v/>
      </c>
      <c r="J4935" s="24" t="str">
        <f aca="true">IF(OR(E4935="",E4935="!!!",F4935="NEW"),"",COUNTBLANK(OFFSET(A$1,,,SUMPRODUCT(MAX(ROW(E$2:E4935)*(E4935=E$2:E4935)))))-COUNTBLANK(OFFSET(A$1,,,SUMPRODUCT(MAX(ROW(E$1:E4934)*(E2=E$1:E4934))))))</f>
        <v/>
      </c>
      <c r="K4935" s="24" t="str">
        <f aca="false">IF(OR(E4935="",E4935="!!!",F4935="NEW"),"",INDEX(J$1:J4934,SUMPRODUCT(MAX(ROW(E$1:E4934)*(E4935=E$1:E4934)))))</f>
        <v/>
      </c>
      <c r="L4935" s="31"/>
    </row>
    <row r="4936" customFormat="false" ht="15" hidden="false" customHeight="false" outlineLevel="0" collapsed="false">
      <c r="A4936" s="20" t="s">
        <v>1076</v>
      </c>
      <c r="E4936" s="23" t="str">
        <f aca="false">IF(D4936="?OLD","!!!","")</f>
        <v/>
      </c>
      <c r="F4936" s="25" t="str">
        <f aca="false">IF(OR(E4936="",E4936="!!!"),"",IF(NOT(ISNA(VLOOKUP(E4936,E$1:E4935,1,FALSE()))),"OLD",IF(AND(E4936&lt;&gt;"",E4936&lt;&gt;"!!!"),"NEW","")))</f>
        <v/>
      </c>
      <c r="G4936" s="26" t="str">
        <f aca="false">IF(OR(E4936="",E4936="!!!"),"",IF(OR(J4936=0,AND(J4936=1,K4936=1),AND(J4936=1,I4936="SBJ"),AND(J4936=1,I4936=0)),"?IN_FOCUS",IF(J4936&lt;=2,"?ACTIVATED",IF(J4936&lt;&gt;"","?FAMILIAR",IF(F4936="NEW",IF(ISNA(VLOOKUP(E4936,#REF!,1,FALSE())),"?TYPE_IDENTIFIABLE","?REFERENTIAL"),"_")))))</f>
        <v/>
      </c>
      <c r="H4936" s="27" t="str">
        <f aca="false">IF(J4936&lt;&gt;1,"",IF(I4936="SBJ","CB","?"))</f>
        <v/>
      </c>
      <c r="I4936" s="24" t="str">
        <f aca="false">IF(OR(E4936="",E4936="!!!",F4936="NEW"),"",INDEX(B11:B$4926,-1+SUMPRODUCT(MAX(ROW(E11:E$4926)*(E4936=E11:E$4926)))))</f>
        <v/>
      </c>
      <c r="J4936" s="24" t="str">
        <f aca="true">IF(OR(E4936="",E4936="!!!",F4936="NEW"),"",COUNTBLANK(OFFSET(A$1,,,SUMPRODUCT(MAX(ROW(E$2:E4936)*(E4936=E$2:E4936)))))-COUNTBLANK(OFFSET(A$1,,,SUMPRODUCT(MAX(ROW(E$1:E4935)*(E2=E$1:E4935))))))</f>
        <v/>
      </c>
      <c r="K4936" s="24" t="str">
        <f aca="false">IF(OR(E4936="",E4936="!!!",F4936="NEW"),"",INDEX(J$1:J4935,SUMPRODUCT(MAX(ROW(E$1:E4935)*(E4936=E$1:E4935)))))</f>
        <v/>
      </c>
      <c r="L4936" s="31"/>
    </row>
    <row r="4937" customFormat="false" ht="15" hidden="false" customHeight="false" outlineLevel="0" collapsed="false">
      <c r="A4937" s="20" t="s">
        <v>1683</v>
      </c>
      <c r="E4937" s="23" t="str">
        <f aca="false">IF(D4937="?OLD","!!!","")</f>
        <v/>
      </c>
      <c r="F4937" s="25" t="str">
        <f aca="false">IF(OR(E4937="",E4937="!!!"),"",IF(NOT(ISNA(VLOOKUP(E4937,E$1:E4936,1,FALSE()))),"OLD",IF(AND(E4937&lt;&gt;"",E4937&lt;&gt;"!!!"),"NEW","")))</f>
        <v/>
      </c>
      <c r="G4937" s="26" t="str">
        <f aca="false">IF(OR(E4937="",E4937="!!!"),"",IF(OR(J4937=0,AND(J4937=1,K4937=1),AND(J4937=1,I4937="SBJ"),AND(J4937=1,I4937=0)),"?IN_FOCUS",IF(J4937&lt;=2,"?ACTIVATED",IF(J4937&lt;&gt;"","?FAMILIAR",IF(F4937="NEW",IF(ISNA(VLOOKUP(E4937,#REF!,1,FALSE())),"?TYPE_IDENTIFIABLE","?REFERENTIAL"),"_")))))</f>
        <v/>
      </c>
      <c r="H4937" s="27" t="str">
        <f aca="false">IF(J4937&lt;&gt;1,"",IF(I4937="SBJ","CB","?"))</f>
        <v/>
      </c>
      <c r="I4937" s="24" t="str">
        <f aca="false">IF(OR(E4937="",E4937="!!!",F4937="NEW"),"",INDEX(B12:B$4926,-1+SUMPRODUCT(MAX(ROW(E12:E$4926)*(E4937=E12:E$4926)))))</f>
        <v/>
      </c>
      <c r="J4937" s="24" t="str">
        <f aca="true">IF(OR(E4937="",E4937="!!!",F4937="NEW"),"",COUNTBLANK(OFFSET(A$1,,,SUMPRODUCT(MAX(ROW(E$2:E4937)*(E4937=E$2:E4937)))))-COUNTBLANK(OFFSET(A$1,,,SUMPRODUCT(MAX(ROW(E$1:E4936)*(E2=E$1:E4936))))))</f>
        <v/>
      </c>
      <c r="K4937" s="24" t="str">
        <f aca="false">IF(OR(E4937="",E4937="!!!",F4937="NEW"),"",INDEX(J$1:J4936,SUMPRODUCT(MAX(ROW(E$1:E4936)*(E4937=E$1:E4936)))))</f>
        <v/>
      </c>
      <c r="L4937" s="31"/>
    </row>
    <row r="4938" customFormat="false" ht="15" hidden="false" customHeight="false" outlineLevel="0" collapsed="false">
      <c r="A4938" s="20" t="s">
        <v>2495</v>
      </c>
      <c r="E4938" s="23" t="str">
        <f aca="false">IF(D4938="?OLD","!!!","")</f>
        <v/>
      </c>
      <c r="F4938" s="25" t="str">
        <f aca="false">IF(OR(E4938="",E4938="!!!"),"",IF(NOT(ISNA(VLOOKUP(E4938,E$1:E4937,1,FALSE()))),"OLD",IF(AND(E4938&lt;&gt;"",E4938&lt;&gt;"!!!"),"NEW","")))</f>
        <v/>
      </c>
      <c r="G4938" s="26" t="str">
        <f aca="false">IF(OR(E4938="",E4938="!!!"),"",IF(OR(J4938=0,AND(J4938=1,K4938=1),AND(J4938=1,I4938="SBJ"),AND(J4938=1,I4938=0)),"?IN_FOCUS",IF(J4938&lt;=2,"?ACTIVATED",IF(J4938&lt;&gt;"","?FAMILIAR",IF(F4938="NEW",IF(ISNA(VLOOKUP(E4938,#REF!,1,FALSE())),"?TYPE_IDENTIFIABLE","?REFERENTIAL"),"_")))))</f>
        <v/>
      </c>
      <c r="H4938" s="27" t="str">
        <f aca="false">IF(J4938&lt;&gt;1,"",IF(I4938="SBJ","CB","?"))</f>
        <v/>
      </c>
      <c r="I4938" s="24" t="str">
        <f aca="false">IF(OR(E4938="",E4938="!!!",F4938="NEW"),"",INDEX(B13:B$4926,-1+SUMPRODUCT(MAX(ROW(E13:E$4926)*(E4938=E13:E$4926)))))</f>
        <v/>
      </c>
      <c r="J4938" s="24" t="str">
        <f aca="true">IF(OR(E4938="",E4938="!!!",F4938="NEW"),"",COUNTBLANK(OFFSET(A$1,,,SUMPRODUCT(MAX(ROW(E$2:E4938)*(E4938=E$2:E4938)))))-COUNTBLANK(OFFSET(A$1,,,SUMPRODUCT(MAX(ROW(E$1:E4937)*(E2=E$1:E4937))))))</f>
        <v/>
      </c>
      <c r="K4938" s="24" t="str">
        <f aca="false">IF(OR(E4938="",E4938="!!!",F4938="NEW"),"",INDEX(J$1:J4937,SUMPRODUCT(MAX(ROW(E$1:E4937)*(E4938=E$1:E4937)))))</f>
        <v/>
      </c>
      <c r="L4938" s="31"/>
    </row>
    <row r="4939" customFormat="false" ht="15" hidden="false" customHeight="false" outlineLevel="0" collapsed="false">
      <c r="A4939" s="20" t="s">
        <v>1080</v>
      </c>
      <c r="B4939" s="22" t="s">
        <v>1142</v>
      </c>
      <c r="C4939" s="22" t="s">
        <v>1082</v>
      </c>
      <c r="D4939" s="22" t="s">
        <v>1060</v>
      </c>
      <c r="E4939" s="23" t="str">
        <f aca="false">IF(D4939="?OLD","!!!","")</f>
        <v>!!!</v>
      </c>
      <c r="F4939" s="25" t="str">
        <f aca="false">IF(OR(E4939="",E4939="!!!"),"",IF(NOT(ISNA(VLOOKUP(E4939,E$1:E4938,1,FALSE()))),"OLD",IF(AND(E4939&lt;&gt;"",E4939&lt;&gt;"!!!"),"NEW","")))</f>
        <v/>
      </c>
      <c r="G4939" s="26" t="str">
        <f aca="false">IF(OR(E4939="",E4939="!!!"),"",IF(OR(J4939=0,AND(J4939=1,K4939=1),AND(J4939=1,I4939="SBJ"),AND(J4939=1,I4939=0)),"?IN_FOCUS",IF(J4939&lt;=2,"?ACTIVATED",IF(J4939&lt;&gt;"","?FAMILIAR",IF(F4939="NEW",IF(ISNA(VLOOKUP(E4939,#REF!,1,FALSE())),"?TYPE_IDENTIFIABLE","?REFERENTIAL"),"_")))))</f>
        <v/>
      </c>
      <c r="H4939" s="27" t="str">
        <f aca="false">IF(J4939&lt;&gt;1,"",IF(I4939="SBJ","CB","?"))</f>
        <v/>
      </c>
      <c r="I4939" s="24" t="str">
        <f aca="false">IF(OR(E4939="",E4939="!!!",F4939="NEW"),"",INDEX(B14:B$4926,-1+SUMPRODUCT(MAX(ROW(E14:E$4926)*(E4939=E14:E$4926)))))</f>
        <v/>
      </c>
      <c r="J4939" s="24" t="str">
        <f aca="true">IF(OR(E4939="",E4939="!!!",F4939="NEW"),"",COUNTBLANK(OFFSET(A$1,,,SUMPRODUCT(MAX(ROW(E$2:E4939)*(E4939=E$2:E4939)))))-COUNTBLANK(OFFSET(A$1,,,SUMPRODUCT(MAX(ROW(E$1:E4938)*(E2=E$1:E4938))))))</f>
        <v/>
      </c>
      <c r="K4939" s="24" t="str">
        <f aca="false">IF(OR(E4939="",E4939="!!!",F4939="NEW"),"",INDEX(J$1:J4938,SUMPRODUCT(MAX(ROW(E$1:E4938)*(E4939=E$1:E4938)))))</f>
        <v/>
      </c>
      <c r="L4939" s="31"/>
    </row>
    <row r="4940" customFormat="false" ht="15" hidden="false" customHeight="false" outlineLevel="0" collapsed="false">
      <c r="A4940" s="20" t="s">
        <v>923</v>
      </c>
      <c r="E4940" s="23" t="str">
        <f aca="false">IF(D4940="?OLD","!!!","")</f>
        <v/>
      </c>
      <c r="F4940" s="25" t="str">
        <f aca="false">IF(OR(E4940="",E4940="!!!"),"",IF(NOT(ISNA(VLOOKUP(E4940,E$1:E4939,1,FALSE()))),"OLD",IF(AND(E4940&lt;&gt;"",E4940&lt;&gt;"!!!"),"NEW","")))</f>
        <v/>
      </c>
      <c r="G4940" s="26" t="str">
        <f aca="false">IF(OR(E4940="",E4940="!!!"),"",IF(OR(J4940=0,AND(J4940=1,K4940=1),AND(J4940=1,I4940="SBJ"),AND(J4940=1,I4940=0)),"?IN_FOCUS",IF(J4940&lt;=2,"?ACTIVATED",IF(J4940&lt;&gt;"","?FAMILIAR",IF(F4940="NEW",IF(ISNA(VLOOKUP(E4940,#REF!,1,FALSE())),"?TYPE_IDENTIFIABLE","?REFERENTIAL"),"_")))))</f>
        <v/>
      </c>
      <c r="H4940" s="27" t="str">
        <f aca="false">IF(J4940&lt;&gt;1,"",IF(I4940="SBJ","CB","?"))</f>
        <v/>
      </c>
      <c r="I4940" s="24" t="str">
        <f aca="false">IF(OR(E4940="",E4940="!!!",F4940="NEW"),"",INDEX(B15:B$4926,-1+SUMPRODUCT(MAX(ROW(E15:E$4926)*(E4940=E15:E$4926)))))</f>
        <v/>
      </c>
      <c r="J4940" s="24" t="str">
        <f aca="true">IF(OR(E4940="",E4940="!!!",F4940="NEW"),"",COUNTBLANK(OFFSET(A$1,,,SUMPRODUCT(MAX(ROW(E$2:E4940)*(E4940=E$2:E4940)))))-COUNTBLANK(OFFSET(A$1,,,SUMPRODUCT(MAX(ROW(E$1:E4939)*(E2=E$1:E4939))))))</f>
        <v/>
      </c>
      <c r="K4940" s="24" t="str">
        <f aca="false">IF(OR(E4940="",E4940="!!!",F4940="NEW"),"",INDEX(J$1:J4939,SUMPRODUCT(MAX(ROW(E$1:E4939)*(E4940=E$1:E4939)))))</f>
        <v/>
      </c>
      <c r="L4940" s="31"/>
    </row>
    <row r="4941" customFormat="false" ht="15" hidden="false" customHeight="false" outlineLevel="0" collapsed="false">
      <c r="A4941" s="20"/>
    </row>
    <row r="4942" customFormat="false" ht="15" hidden="false" customHeight="false" outlineLevel="0" collapsed="false">
      <c r="A4942" s="20" t="s">
        <v>2496</v>
      </c>
    </row>
    <row r="4943" customFormat="false" ht="15" hidden="false" customHeight="false" outlineLevel="0" collapsed="false">
      <c r="A4943" s="20" t="s">
        <v>1427</v>
      </c>
      <c r="E4943" s="23" t="str">
        <f aca="false">IF(D4943="?OLD","!!!","")</f>
        <v/>
      </c>
      <c r="F4943" s="25" t="str">
        <f aca="false">IF(OR(E4943="",E4943="!!!"),"",IF(NOT(ISNA(VLOOKUP(E4943,E$1:E4942,1,FALSE()))),"OLD",IF(AND(E4943&lt;&gt;"",E4943&lt;&gt;"!!!"),"NEW","")))</f>
        <v/>
      </c>
      <c r="G4943" s="26" t="str">
        <f aca="false">IF(OR(E4943="",E4943="!!!"),"",IF(OR(J4943=0,AND(J4943=1,K4943=1),AND(J4943=1,I4943="SBJ"),AND(J4943=1,I4943=0)),"?IN_FOCUS",IF(J4943&lt;=2,"?ACTIVATED",IF(J4943&lt;&gt;"","?FAMILIAR",IF(F4943="NEW",IF(ISNA(VLOOKUP(E4943,#REF!,1,FALSE())),"?TYPE_IDENTIFIABLE","?REFERENTIAL"),"_")))))</f>
        <v/>
      </c>
      <c r="H4943" s="27" t="str">
        <f aca="false">IF(J4943&lt;&gt;1,"",IF(I4943="SBJ","CB","?"))</f>
        <v/>
      </c>
      <c r="I4943" s="24" t="str">
        <f aca="false">IF(OR(E4943="",E4943="!!!",F4943="NEW"),"",INDEX(B2:B$4942,-1+SUMPRODUCT(MAX(ROW(E2:E$4942)*(E4943=E2:E$4942)))))</f>
        <v/>
      </c>
      <c r="J4943" s="24" t="str">
        <f aca="true">IF(OR(E4943="",E4943="!!!",F4943="NEW"),"",COUNTBLANK(OFFSET(A$1,,,SUMPRODUCT(MAX(ROW(E$2:E4943)*(E4943=E$2:E4943)))))-COUNTBLANK(OFFSET(A$1,,,SUMPRODUCT(MAX(ROW(E$1:E4942)*(E2=E$1:E4942))))))</f>
        <v/>
      </c>
      <c r="K4943" s="24" t="str">
        <f aca="false">IF(OR(E4943="",E4943="!!!",F4943="NEW"),"",INDEX(J$1:J4942,SUMPRODUCT(MAX(ROW(E$1:E4942)*(E4943=E$1:E4942)))))</f>
        <v/>
      </c>
      <c r="L4943" s="31"/>
    </row>
    <row r="4944" customFormat="false" ht="15" hidden="false" customHeight="false" outlineLevel="0" collapsed="false">
      <c r="A4944" s="20" t="s">
        <v>1090</v>
      </c>
      <c r="B4944" s="22" t="s">
        <v>1058</v>
      </c>
      <c r="C4944" s="22" t="s">
        <v>1082</v>
      </c>
      <c r="D4944" s="22" t="s">
        <v>1060</v>
      </c>
      <c r="E4944" s="23" t="str">
        <f aca="false">IF(D4944="?OLD","!!!","")</f>
        <v>!!!</v>
      </c>
      <c r="F4944" s="25" t="str">
        <f aca="false">IF(OR(E4944="",E4944="!!!"),"",IF(NOT(ISNA(VLOOKUP(E4944,E$1:E4943,1,FALSE()))),"OLD",IF(AND(E4944&lt;&gt;"",E4944&lt;&gt;"!!!"),"NEW","")))</f>
        <v/>
      </c>
      <c r="G4944" s="26" t="str">
        <f aca="false">IF(OR(E4944="",E4944="!!!"),"",IF(OR(J4944=0,AND(J4944=1,K4944=1),AND(J4944=1,I4944="SBJ"),AND(J4944=1,I4944=0)),"?IN_FOCUS",IF(J4944&lt;=2,"?ACTIVATED",IF(J4944&lt;&gt;"","?FAMILIAR",IF(F4944="NEW",IF(ISNA(VLOOKUP(E4944,#REF!,1,FALSE())),"?TYPE_IDENTIFIABLE","?REFERENTIAL"),"_")))))</f>
        <v/>
      </c>
      <c r="H4944" s="27" t="str">
        <f aca="false">IF(J4944&lt;&gt;1,"",IF(I4944="SBJ","CB","?"))</f>
        <v/>
      </c>
      <c r="I4944" s="24" t="str">
        <f aca="false">IF(OR(E4944="",E4944="!!!",F4944="NEW"),"",INDEX(B3:B$4942,-1+SUMPRODUCT(MAX(ROW(E3:E$4942)*(E4944=E3:E$4942)))))</f>
        <v/>
      </c>
      <c r="J4944" s="24" t="str">
        <f aca="true">IF(OR(E4944="",E4944="!!!",F4944="NEW"),"",COUNTBLANK(OFFSET(A$1,,,SUMPRODUCT(MAX(ROW(E$2:E4944)*(E4944=E$2:E4944)))))-COUNTBLANK(OFFSET(A$1,,,SUMPRODUCT(MAX(ROW(E$1:E4943)*(E2=E$1:E4943))))))</f>
        <v/>
      </c>
      <c r="K4944" s="24" t="str">
        <f aca="false">IF(OR(E4944="",E4944="!!!",F4944="NEW"),"",INDEX(J$1:J4943,SUMPRODUCT(MAX(ROW(E$1:E4943)*(E4944=E$1:E4943)))))</f>
        <v/>
      </c>
      <c r="L4944" s="31"/>
    </row>
    <row r="4945" customFormat="false" ht="15" hidden="false" customHeight="false" outlineLevel="0" collapsed="false">
      <c r="A4945" s="20" t="s">
        <v>2497</v>
      </c>
      <c r="E4945" s="23" t="str">
        <f aca="false">IF(D4945="?OLD","!!!","")</f>
        <v/>
      </c>
      <c r="F4945" s="25" t="str">
        <f aca="false">IF(OR(E4945="",E4945="!!!"),"",IF(NOT(ISNA(VLOOKUP(E4945,E$1:E4944,1,FALSE()))),"OLD",IF(AND(E4945&lt;&gt;"",E4945&lt;&gt;"!!!"),"NEW","")))</f>
        <v/>
      </c>
      <c r="G4945" s="26" t="str">
        <f aca="false">IF(OR(E4945="",E4945="!!!"),"",IF(OR(J4945=0,AND(J4945=1,K4945=1),AND(J4945=1,I4945="SBJ"),AND(J4945=1,I4945=0)),"?IN_FOCUS",IF(J4945&lt;=2,"?ACTIVATED",IF(J4945&lt;&gt;"","?FAMILIAR",IF(F4945="NEW",IF(ISNA(VLOOKUP(E4945,#REF!,1,FALSE())),"?TYPE_IDENTIFIABLE","?REFERENTIAL"),"_")))))</f>
        <v/>
      </c>
      <c r="H4945" s="27" t="str">
        <f aca="false">IF(J4945&lt;&gt;1,"",IF(I4945="SBJ","CB","?"))</f>
        <v/>
      </c>
      <c r="I4945" s="24" t="str">
        <f aca="false">IF(OR(E4945="",E4945="!!!",F4945="NEW"),"",INDEX(B4:B$4942,-1+SUMPRODUCT(MAX(ROW(E4:E$4942)*(E4945=E4:E$4942)))))</f>
        <v/>
      </c>
      <c r="J4945" s="24" t="str">
        <f aca="true">IF(OR(E4945="",E4945="!!!",F4945="NEW"),"",COUNTBLANK(OFFSET(A$1,,,SUMPRODUCT(MAX(ROW(E$2:E4945)*(E4945=E$2:E4945)))))-COUNTBLANK(OFFSET(A$1,,,SUMPRODUCT(MAX(ROW(E$1:E4944)*(E2=E$1:E4944))))))</f>
        <v/>
      </c>
      <c r="K4945" s="24" t="str">
        <f aca="false">IF(OR(E4945="",E4945="!!!",F4945="NEW"),"",INDEX(J$1:J4944,SUMPRODUCT(MAX(ROW(E$1:E4944)*(E4945=E$1:E4944)))))</f>
        <v/>
      </c>
      <c r="L4945" s="31"/>
    </row>
    <row r="4946" customFormat="false" ht="15" hidden="false" customHeight="false" outlineLevel="0" collapsed="false">
      <c r="A4946" s="20" t="s">
        <v>1080</v>
      </c>
      <c r="B4946" s="22" t="s">
        <v>1081</v>
      </c>
      <c r="C4946" s="22" t="s">
        <v>1082</v>
      </c>
      <c r="D4946" s="22" t="s">
        <v>1060</v>
      </c>
      <c r="E4946" s="23" t="str">
        <f aca="false">IF(D4946="?OLD","!!!","")</f>
        <v>!!!</v>
      </c>
      <c r="F4946" s="25" t="str">
        <f aca="false">IF(OR(E4946="",E4946="!!!"),"",IF(NOT(ISNA(VLOOKUP(E4946,E$1:E4945,1,FALSE()))),"OLD",IF(AND(E4946&lt;&gt;"",E4946&lt;&gt;"!!!"),"NEW","")))</f>
        <v/>
      </c>
      <c r="G4946" s="26" t="str">
        <f aca="false">IF(OR(E4946="",E4946="!!!"),"",IF(OR(J4946=0,AND(J4946=1,K4946=1),AND(J4946=1,I4946="SBJ"),AND(J4946=1,I4946=0)),"?IN_FOCUS",IF(J4946&lt;=2,"?ACTIVATED",IF(J4946&lt;&gt;"","?FAMILIAR",IF(F4946="NEW",IF(ISNA(VLOOKUP(E4946,#REF!,1,FALSE())),"?TYPE_IDENTIFIABLE","?REFERENTIAL"),"_")))))</f>
        <v/>
      </c>
      <c r="H4946" s="27" t="str">
        <f aca="false">IF(J4946&lt;&gt;1,"",IF(I4946="SBJ","CB","?"))</f>
        <v/>
      </c>
      <c r="I4946" s="24" t="str">
        <f aca="false">IF(OR(E4946="",E4946="!!!",F4946="NEW"),"",INDEX(B5:B$4942,-1+SUMPRODUCT(MAX(ROW(E5:E$4942)*(E4946=E5:E$4942)))))</f>
        <v/>
      </c>
      <c r="J4946" s="24" t="str">
        <f aca="true">IF(OR(E4946="",E4946="!!!",F4946="NEW"),"",COUNTBLANK(OFFSET(A$1,,,SUMPRODUCT(MAX(ROW(E$2:E4946)*(E4946=E$2:E4946)))))-COUNTBLANK(OFFSET(A$1,,,SUMPRODUCT(MAX(ROW(E$1:E4945)*(E2=E$1:E4945))))))</f>
        <v/>
      </c>
      <c r="K4946" s="24" t="str">
        <f aca="false">IF(OR(E4946="",E4946="!!!",F4946="NEW"),"",INDEX(J$1:J4945,SUMPRODUCT(MAX(ROW(E$1:E4945)*(E4946=E$1:E4945)))))</f>
        <v/>
      </c>
      <c r="L4946" s="31"/>
    </row>
    <row r="4947" customFormat="false" ht="15" hidden="false" customHeight="false" outlineLevel="0" collapsed="false">
      <c r="A4947" s="20" t="s">
        <v>1911</v>
      </c>
      <c r="E4947" s="23" t="str">
        <f aca="false">IF(D4947="?OLD","!!!","")</f>
        <v/>
      </c>
      <c r="F4947" s="25" t="str">
        <f aca="false">IF(OR(E4947="",E4947="!!!"),"",IF(NOT(ISNA(VLOOKUP(E4947,E$1:E4946,1,FALSE()))),"OLD",IF(AND(E4947&lt;&gt;"",E4947&lt;&gt;"!!!"),"NEW","")))</f>
        <v/>
      </c>
      <c r="G4947" s="26" t="str">
        <f aca="false">IF(OR(E4947="",E4947="!!!"),"",IF(OR(J4947=0,AND(J4947=1,K4947=1),AND(J4947=1,I4947="SBJ"),AND(J4947=1,I4947=0)),"?IN_FOCUS",IF(J4947&lt;=2,"?ACTIVATED",IF(J4947&lt;&gt;"","?FAMILIAR",IF(F4947="NEW",IF(ISNA(VLOOKUP(E4947,#REF!,1,FALSE())),"?TYPE_IDENTIFIABLE","?REFERENTIAL"),"_")))))</f>
        <v/>
      </c>
      <c r="H4947" s="27" t="str">
        <f aca="false">IF(J4947&lt;&gt;1,"",IF(I4947="SBJ","CB","?"))</f>
        <v/>
      </c>
      <c r="I4947" s="24" t="str">
        <f aca="false">IF(OR(E4947="",E4947="!!!",F4947="NEW"),"",INDEX(B6:B$4942,-1+SUMPRODUCT(MAX(ROW(E6:E$4942)*(E4947=E6:E$4942)))))</f>
        <v/>
      </c>
      <c r="J4947" s="24" t="str">
        <f aca="true">IF(OR(E4947="",E4947="!!!",F4947="NEW"),"",COUNTBLANK(OFFSET(A$1,,,SUMPRODUCT(MAX(ROW(E$2:E4947)*(E4947=E$2:E4947)))))-COUNTBLANK(OFFSET(A$1,,,SUMPRODUCT(MAX(ROW(E$1:E4946)*(E2=E$1:E4946))))))</f>
        <v/>
      </c>
      <c r="K4947" s="24" t="str">
        <f aca="false">IF(OR(E4947="",E4947="!!!",F4947="NEW"),"",INDEX(J$1:J4946,SUMPRODUCT(MAX(ROW(E$1:E4946)*(E4947=E$1:E4946)))))</f>
        <v/>
      </c>
      <c r="L4947" s="31"/>
    </row>
    <row r="4948" customFormat="false" ht="15" hidden="false" customHeight="false" outlineLevel="0" collapsed="false">
      <c r="A4948" s="20" t="s">
        <v>1184</v>
      </c>
      <c r="E4948" s="23" t="str">
        <f aca="false">IF(D4948="?OLD","!!!","")</f>
        <v/>
      </c>
      <c r="F4948" s="25" t="str">
        <f aca="false">IF(OR(E4948="",E4948="!!!"),"",IF(NOT(ISNA(VLOOKUP(E4948,E$1:E4947,1,FALSE()))),"OLD",IF(AND(E4948&lt;&gt;"",E4948&lt;&gt;"!!!"),"NEW","")))</f>
        <v/>
      </c>
      <c r="G4948" s="26" t="str">
        <f aca="false">IF(OR(E4948="",E4948="!!!"),"",IF(OR(J4948=0,AND(J4948=1,K4948=1),AND(J4948=1,I4948="SBJ"),AND(J4948=1,I4948=0)),"?IN_FOCUS",IF(J4948&lt;=2,"?ACTIVATED",IF(J4948&lt;&gt;"","?FAMILIAR",IF(F4948="NEW",IF(ISNA(VLOOKUP(E4948,#REF!,1,FALSE())),"?TYPE_IDENTIFIABLE","?REFERENTIAL"),"_")))))</f>
        <v/>
      </c>
      <c r="H4948" s="27" t="str">
        <f aca="false">IF(J4948&lt;&gt;1,"",IF(I4948="SBJ","CB","?"))</f>
        <v/>
      </c>
      <c r="I4948" s="24" t="str">
        <f aca="false">IF(OR(E4948="",E4948="!!!",F4948="NEW"),"",INDEX(B7:B$4942,-1+SUMPRODUCT(MAX(ROW(E7:E$4942)*(E4948=E7:E$4942)))))</f>
        <v/>
      </c>
      <c r="J4948" s="24" t="str">
        <f aca="true">IF(OR(E4948="",E4948="!!!",F4948="NEW"),"",COUNTBLANK(OFFSET(A$1,,,SUMPRODUCT(MAX(ROW(E$2:E4948)*(E4948=E$2:E4948)))))-COUNTBLANK(OFFSET(A$1,,,SUMPRODUCT(MAX(ROW(E$1:E4947)*(E2=E$1:E4947))))))</f>
        <v/>
      </c>
      <c r="K4948" s="24" t="str">
        <f aca="false">IF(OR(E4948="",E4948="!!!",F4948="NEW"),"",INDEX(J$1:J4947,SUMPRODUCT(MAX(ROW(E$1:E4947)*(E4948=E$1:E4947)))))</f>
        <v/>
      </c>
      <c r="L4948" s="31"/>
    </row>
    <row r="4949" customFormat="false" ht="15" hidden="false" customHeight="false" outlineLevel="0" collapsed="false">
      <c r="A4949" s="20" t="s">
        <v>1339</v>
      </c>
      <c r="E4949" s="23" t="str">
        <f aca="false">IF(D4949="?OLD","!!!","")</f>
        <v/>
      </c>
      <c r="F4949" s="25" t="str">
        <f aca="false">IF(OR(E4949="",E4949="!!!"),"",IF(NOT(ISNA(VLOOKUP(E4949,E$1:E4948,1,FALSE()))),"OLD",IF(AND(E4949&lt;&gt;"",E4949&lt;&gt;"!!!"),"NEW","")))</f>
        <v/>
      </c>
      <c r="G4949" s="26" t="str">
        <f aca="false">IF(OR(E4949="",E4949="!!!"),"",IF(OR(J4949=0,AND(J4949=1,K4949=1),AND(J4949=1,I4949="SBJ"),AND(J4949=1,I4949=0)),"?IN_FOCUS",IF(J4949&lt;=2,"?ACTIVATED",IF(J4949&lt;&gt;"","?FAMILIAR",IF(F4949="NEW",IF(ISNA(VLOOKUP(E4949,#REF!,1,FALSE())),"?TYPE_IDENTIFIABLE","?REFERENTIAL"),"_")))))</f>
        <v/>
      </c>
      <c r="H4949" s="27" t="str">
        <f aca="false">IF(J4949&lt;&gt;1,"",IF(I4949="SBJ","CB","?"))</f>
        <v/>
      </c>
      <c r="I4949" s="24" t="str">
        <f aca="false">IF(OR(E4949="",E4949="!!!",F4949="NEW"),"",INDEX(B8:B$4942,-1+SUMPRODUCT(MAX(ROW(E8:E$4942)*(E4949=E8:E$4942)))))</f>
        <v/>
      </c>
      <c r="J4949" s="24" t="str">
        <f aca="true">IF(OR(E4949="",E4949="!!!",F4949="NEW"),"",COUNTBLANK(OFFSET(A$1,,,SUMPRODUCT(MAX(ROW(E$2:E4949)*(E4949=E$2:E4949)))))-COUNTBLANK(OFFSET(A$1,,,SUMPRODUCT(MAX(ROW(E$1:E4948)*(E2=E$1:E4948))))))</f>
        <v/>
      </c>
      <c r="K4949" s="24" t="str">
        <f aca="false">IF(OR(E4949="",E4949="!!!",F4949="NEW"),"",INDEX(J$1:J4948,SUMPRODUCT(MAX(ROW(E$1:E4948)*(E4949=E$1:E4948)))))</f>
        <v/>
      </c>
      <c r="L4949" s="31"/>
    </row>
    <row r="4950" customFormat="false" ht="15" hidden="false" customHeight="false" outlineLevel="0" collapsed="false">
      <c r="A4950" s="20" t="s">
        <v>1472</v>
      </c>
      <c r="B4950" s="22" t="s">
        <v>1105</v>
      </c>
      <c r="C4950" s="22" t="s">
        <v>1171</v>
      </c>
      <c r="D4950" s="22" t="s">
        <v>1060</v>
      </c>
      <c r="E4950" s="23" t="str">
        <f aca="false">IF(D4950="?OLD","!!!","")</f>
        <v>!!!</v>
      </c>
      <c r="F4950" s="25" t="str">
        <f aca="false">IF(OR(E4950="",E4950="!!!"),"",IF(NOT(ISNA(VLOOKUP(E4950,E$1:E4949,1,FALSE()))),"OLD",IF(AND(E4950&lt;&gt;"",E4950&lt;&gt;"!!!"),"NEW","")))</f>
        <v/>
      </c>
      <c r="G4950" s="26" t="str">
        <f aca="false">IF(OR(E4950="",E4950="!!!"),"",IF(OR(J4950=0,AND(J4950=1,K4950=1),AND(J4950=1,I4950="SBJ"),AND(J4950=1,I4950=0)),"?IN_FOCUS",IF(J4950&lt;=2,"?ACTIVATED",IF(J4950&lt;&gt;"","?FAMILIAR",IF(F4950="NEW",IF(ISNA(VLOOKUP(E4950,#REF!,1,FALSE())),"?TYPE_IDENTIFIABLE","?REFERENTIAL"),"_")))))</f>
        <v/>
      </c>
      <c r="H4950" s="27" t="str">
        <f aca="false">IF(J4950&lt;&gt;1,"",IF(I4950="SBJ","CB","?"))</f>
        <v/>
      </c>
      <c r="I4950" s="24" t="str">
        <f aca="false">IF(OR(E4950="",E4950="!!!",F4950="NEW"),"",INDEX(B9:B$4942,-1+SUMPRODUCT(MAX(ROW(E9:E$4942)*(E4950=E9:E$4942)))))</f>
        <v/>
      </c>
      <c r="J4950" s="24" t="str">
        <f aca="true">IF(OR(E4950="",E4950="!!!",F4950="NEW"),"",COUNTBLANK(OFFSET(A$1,,,SUMPRODUCT(MAX(ROW(E$2:E4950)*(E4950=E$2:E4950)))))-COUNTBLANK(OFFSET(A$1,,,SUMPRODUCT(MAX(ROW(E$1:E4949)*(E2=E$1:E4949))))))</f>
        <v/>
      </c>
      <c r="K4950" s="24" t="str">
        <f aca="false">IF(OR(E4950="",E4950="!!!",F4950="NEW"),"",INDEX(J$1:J4949,SUMPRODUCT(MAX(ROW(E$1:E4949)*(E4950=E$1:E4949)))))</f>
        <v/>
      </c>
      <c r="L4950" s="31"/>
    </row>
    <row r="4951" customFormat="false" ht="15" hidden="false" customHeight="false" outlineLevel="0" collapsed="false">
      <c r="A4951" s="20" t="s">
        <v>1064</v>
      </c>
      <c r="E4951" s="23" t="str">
        <f aca="false">IF(D4951="?OLD","!!!","")</f>
        <v/>
      </c>
      <c r="F4951" s="25" t="str">
        <f aca="false">IF(OR(E4951="",E4951="!!!"),"",IF(NOT(ISNA(VLOOKUP(E4951,E$1:E4950,1,FALSE()))),"OLD",IF(AND(E4951&lt;&gt;"",E4951&lt;&gt;"!!!"),"NEW","")))</f>
        <v/>
      </c>
      <c r="G4951" s="26" t="str">
        <f aca="false">IF(OR(E4951="",E4951="!!!"),"",IF(OR(J4951=0,AND(J4951=1,K4951=1),AND(J4951=1,I4951="SBJ"),AND(J4951=1,I4951=0)),"?IN_FOCUS",IF(J4951&lt;=2,"?ACTIVATED",IF(J4951&lt;&gt;"","?FAMILIAR",IF(F4951="NEW",IF(ISNA(VLOOKUP(E4951,#REF!,1,FALSE())),"?TYPE_IDENTIFIABLE","?REFERENTIAL"),"_")))))</f>
        <v/>
      </c>
      <c r="H4951" s="27" t="str">
        <f aca="false">IF(J4951&lt;&gt;1,"",IF(I4951="SBJ","CB","?"))</f>
        <v/>
      </c>
      <c r="I4951" s="24" t="str">
        <f aca="false">IF(OR(E4951="",E4951="!!!",F4951="NEW"),"",INDEX(B10:B$4942,-1+SUMPRODUCT(MAX(ROW(E10:E$4942)*(E4951=E10:E$4942)))))</f>
        <v/>
      </c>
      <c r="J4951" s="24" t="str">
        <f aca="true">IF(OR(E4951="",E4951="!!!",F4951="NEW"),"",COUNTBLANK(OFFSET(A$1,,,SUMPRODUCT(MAX(ROW(E$2:E4951)*(E4951=E$2:E4951)))))-COUNTBLANK(OFFSET(A$1,,,SUMPRODUCT(MAX(ROW(E$1:E4950)*(E2=E$1:E4950))))))</f>
        <v/>
      </c>
      <c r="K4951" s="24" t="str">
        <f aca="false">IF(OR(E4951="",E4951="!!!",F4951="NEW"),"",INDEX(J$1:J4950,SUMPRODUCT(MAX(ROW(E$1:E4950)*(E4951=E$1:E4950)))))</f>
        <v/>
      </c>
      <c r="L4951" s="31"/>
    </row>
    <row r="4952" customFormat="false" ht="15" hidden="false" customHeight="false" outlineLevel="0" collapsed="false">
      <c r="A4952" s="20" t="s">
        <v>1097</v>
      </c>
      <c r="B4952" s="22" t="s">
        <v>1067</v>
      </c>
      <c r="C4952" s="22" t="s">
        <v>1099</v>
      </c>
      <c r="D4952" s="22" t="s">
        <v>1060</v>
      </c>
      <c r="E4952" s="23" t="str">
        <f aca="false">IF(D4952="?OLD","!!!","")</f>
        <v>!!!</v>
      </c>
      <c r="F4952" s="25" t="str">
        <f aca="false">IF(OR(E4952="",E4952="!!!"),"",IF(NOT(ISNA(VLOOKUP(E4952,E$1:E4951,1,FALSE()))),"OLD",IF(AND(E4952&lt;&gt;"",E4952&lt;&gt;"!!!"),"NEW","")))</f>
        <v/>
      </c>
      <c r="G4952" s="26" t="str">
        <f aca="false">IF(OR(E4952="",E4952="!!!"),"",IF(OR(J4952=0,AND(J4952=1,K4952=1),AND(J4952=1,I4952="SBJ"),AND(J4952=1,I4952=0)),"?IN_FOCUS",IF(J4952&lt;=2,"?ACTIVATED",IF(J4952&lt;&gt;"","?FAMILIAR",IF(F4952="NEW",IF(ISNA(VLOOKUP(E4952,#REF!,1,FALSE())),"?TYPE_IDENTIFIABLE","?REFERENTIAL"),"_")))))</f>
        <v/>
      </c>
      <c r="H4952" s="27" t="str">
        <f aca="false">IF(J4952&lt;&gt;1,"",IF(I4952="SBJ","CB","?"))</f>
        <v/>
      </c>
      <c r="I4952" s="24" t="str">
        <f aca="false">IF(OR(E4952="",E4952="!!!",F4952="NEW"),"",INDEX(B11:B$4942,-1+SUMPRODUCT(MAX(ROW(E11:E$4942)*(E4952=E11:E$4942)))))</f>
        <v/>
      </c>
      <c r="J4952" s="24" t="str">
        <f aca="true">IF(OR(E4952="",E4952="!!!",F4952="NEW"),"",COUNTBLANK(OFFSET(A$1,,,SUMPRODUCT(MAX(ROW(E$2:E4952)*(E4952=E$2:E4952)))))-COUNTBLANK(OFFSET(A$1,,,SUMPRODUCT(MAX(ROW(E$1:E4951)*(E2=E$1:E4951))))))</f>
        <v/>
      </c>
      <c r="K4952" s="24" t="str">
        <f aca="false">IF(OR(E4952="",E4952="!!!",F4952="NEW"),"",INDEX(J$1:J4951,SUMPRODUCT(MAX(ROW(E$1:E4951)*(E4952=E$1:E4951)))))</f>
        <v/>
      </c>
      <c r="L4952" s="31"/>
    </row>
    <row r="4953" customFormat="false" ht="15" hidden="false" customHeight="false" outlineLevel="0" collapsed="false">
      <c r="A4953" s="20" t="s">
        <v>2488</v>
      </c>
      <c r="B4953" s="22" t="s">
        <v>1073</v>
      </c>
      <c r="C4953" s="22" t="s">
        <v>1059</v>
      </c>
      <c r="D4953" s="22" t="s">
        <v>1060</v>
      </c>
      <c r="E4953" s="23" t="str">
        <f aca="false">IF(D4953="?OLD","!!!","")</f>
        <v>!!!</v>
      </c>
      <c r="F4953" s="25" t="str">
        <f aca="false">IF(OR(E4953="",E4953="!!!"),"",IF(NOT(ISNA(VLOOKUP(E4953,E$1:E4952,1,FALSE()))),"OLD",IF(AND(E4953&lt;&gt;"",E4953&lt;&gt;"!!!"),"NEW","")))</f>
        <v/>
      </c>
      <c r="G4953" s="26" t="str">
        <f aca="false">IF(OR(E4953="",E4953="!!!"),"",IF(OR(J4953=0,AND(J4953=1,K4953=1),AND(J4953=1,I4953="SBJ"),AND(J4953=1,I4953=0)),"?IN_FOCUS",IF(J4953&lt;=2,"?ACTIVATED",IF(J4953&lt;&gt;"","?FAMILIAR",IF(F4953="NEW",IF(ISNA(VLOOKUP(E4953,#REF!,1,FALSE())),"?TYPE_IDENTIFIABLE","?REFERENTIAL"),"_")))))</f>
        <v/>
      </c>
      <c r="H4953" s="27" t="str">
        <f aca="false">IF(J4953&lt;&gt;1,"",IF(I4953="SBJ","CB","?"))</f>
        <v/>
      </c>
      <c r="I4953" s="24" t="str">
        <f aca="false">IF(OR(E4953="",E4953="!!!",F4953="NEW"),"",INDEX(B12:B$4942,-1+SUMPRODUCT(MAX(ROW(E12:E$4942)*(E4953=E12:E$4942)))))</f>
        <v/>
      </c>
      <c r="J4953" s="24" t="str">
        <f aca="true">IF(OR(E4953="",E4953="!!!",F4953="NEW"),"",COUNTBLANK(OFFSET(A$1,,,SUMPRODUCT(MAX(ROW(E$2:E4953)*(E4953=E$2:E4953)))))-COUNTBLANK(OFFSET(A$1,,,SUMPRODUCT(MAX(ROW(E$1:E4952)*(E2=E$1:E4952))))))</f>
        <v/>
      </c>
      <c r="K4953" s="24" t="str">
        <f aca="false">IF(OR(E4953="",E4953="!!!",F4953="NEW"),"",INDEX(J$1:J4952,SUMPRODUCT(MAX(ROW(E$1:E4952)*(E4953=E$1:E4952)))))</f>
        <v/>
      </c>
      <c r="L4953" s="31"/>
    </row>
    <row r="4954" customFormat="false" ht="15" hidden="false" customHeight="false" outlineLevel="0" collapsed="false">
      <c r="A4954" s="20" t="s">
        <v>923</v>
      </c>
      <c r="E4954" s="23" t="str">
        <f aca="false">IF(D4954="?OLD","!!!","")</f>
        <v/>
      </c>
      <c r="F4954" s="25" t="str">
        <f aca="false">IF(OR(E4954="",E4954="!!!"),"",IF(NOT(ISNA(VLOOKUP(E4954,E$1:E4953,1,FALSE()))),"OLD",IF(AND(E4954&lt;&gt;"",E4954&lt;&gt;"!!!"),"NEW","")))</f>
        <v/>
      </c>
      <c r="G4954" s="26" t="str">
        <f aca="false">IF(OR(E4954="",E4954="!!!"),"",IF(OR(J4954=0,AND(J4954=1,K4954=1),AND(J4954=1,I4954="SBJ"),AND(J4954=1,I4954=0)),"?IN_FOCUS",IF(J4954&lt;=2,"?ACTIVATED",IF(J4954&lt;&gt;"","?FAMILIAR",IF(F4954="NEW",IF(ISNA(VLOOKUP(E4954,#REF!,1,FALSE())),"?TYPE_IDENTIFIABLE","?REFERENTIAL"),"_")))))</f>
        <v/>
      </c>
      <c r="H4954" s="27" t="str">
        <f aca="false">IF(J4954&lt;&gt;1,"",IF(I4954="SBJ","CB","?"))</f>
        <v/>
      </c>
      <c r="I4954" s="24" t="str">
        <f aca="false">IF(OR(E4954="",E4954="!!!",F4954="NEW"),"",INDEX(B13:B$4942,-1+SUMPRODUCT(MAX(ROW(E13:E$4942)*(E4954=E13:E$4942)))))</f>
        <v/>
      </c>
      <c r="J4954" s="24" t="str">
        <f aca="true">IF(OR(E4954="",E4954="!!!",F4954="NEW"),"",COUNTBLANK(OFFSET(A$1,,,SUMPRODUCT(MAX(ROW(E$2:E4954)*(E4954=E$2:E4954)))))-COUNTBLANK(OFFSET(A$1,,,SUMPRODUCT(MAX(ROW(E$1:E4953)*(E2=E$1:E4953))))))</f>
        <v/>
      </c>
      <c r="K4954" s="24" t="str">
        <f aca="false">IF(OR(E4954="",E4954="!!!",F4954="NEW"),"",INDEX(J$1:J4953,SUMPRODUCT(MAX(ROW(E$1:E4953)*(E4954=E$1:E4953)))))</f>
        <v/>
      </c>
      <c r="L4954" s="31"/>
    </row>
    <row r="4955" customFormat="false" ht="15" hidden="false" customHeight="false" outlineLevel="0" collapsed="false">
      <c r="A4955" s="20"/>
    </row>
    <row r="4956" customFormat="false" ht="15" hidden="false" customHeight="false" outlineLevel="0" collapsed="false">
      <c r="A4956" s="20" t="s">
        <v>1301</v>
      </c>
      <c r="E4956" s="23" t="str">
        <f aca="false">IF(D4956="?OLD","!!!","")</f>
        <v/>
      </c>
      <c r="F4956" s="25" t="str">
        <f aca="false">IF(OR(E4956="",E4956="!!!"),"",IF(NOT(ISNA(VLOOKUP(E4956,E$1:E4955,1,FALSE()))),"OLD",IF(AND(E4956&lt;&gt;"",E4956&lt;&gt;"!!!"),"NEW","")))</f>
        <v/>
      </c>
      <c r="G4956" s="26" t="str">
        <f aca="false">IF(OR(E4956="",E4956="!!!"),"",IF(OR(J4956=0,AND(J4956=1,K4956=1),AND(J4956=1,I4956="SBJ"),AND(J4956=1,I4956=0)),"?IN_FOCUS",IF(J4956&lt;=2,"?ACTIVATED",IF(J4956&lt;&gt;"","?FAMILIAR",IF(F4956="NEW",IF(ISNA(VLOOKUP(E4956,#REF!,1,FALSE())),"?TYPE_IDENTIFIABLE","?REFERENTIAL"),"_")))))</f>
        <v/>
      </c>
      <c r="H4956" s="27" t="str">
        <f aca="false">IF(J4956&lt;&gt;1,"",IF(I4956="SBJ","CB","?"))</f>
        <v/>
      </c>
      <c r="I4956" s="24" t="str">
        <f aca="false">IF(OR(E4956="",E4956="!!!",F4956="NEW"),"",INDEX(B2:B$4955,-1+SUMPRODUCT(MAX(ROW(E2:E$4955)*(E4956=E2:E$4955)))))</f>
        <v/>
      </c>
      <c r="J4956" s="24" t="str">
        <f aca="true">IF(OR(E4956="",E4956="!!!",F4956="NEW"),"",COUNTBLANK(OFFSET(A$1,,,SUMPRODUCT(MAX(ROW(E$2:E4956)*(E4956=E$2:E4956)))))-COUNTBLANK(OFFSET(A$1,,,SUMPRODUCT(MAX(ROW(E$1:E4955)*(E2=E$1:E4955))))))</f>
        <v/>
      </c>
      <c r="K4956" s="24" t="str">
        <f aca="false">IF(OR(E4956="",E4956="!!!",F4956="NEW"),"",INDEX(J$1:J4955,SUMPRODUCT(MAX(ROW(E$1:E4955)*(E4956=E$1:E4955)))))</f>
        <v/>
      </c>
      <c r="L4956" s="31"/>
    </row>
    <row r="4957" customFormat="false" ht="15" hidden="false" customHeight="false" outlineLevel="0" collapsed="false">
      <c r="A4957" s="20" t="s">
        <v>2498</v>
      </c>
    </row>
    <row r="4958" customFormat="false" ht="15" hidden="false" customHeight="false" outlineLevel="0" collapsed="false">
      <c r="A4958" s="20" t="s">
        <v>1277</v>
      </c>
      <c r="B4958" s="22" t="s">
        <v>1058</v>
      </c>
      <c r="C4958" s="22" t="s">
        <v>1082</v>
      </c>
      <c r="D4958" s="22" t="s">
        <v>1060</v>
      </c>
      <c r="E4958" s="23" t="str">
        <f aca="false">IF(D4958="?OLD","!!!","")</f>
        <v>!!!</v>
      </c>
      <c r="F4958" s="25" t="str">
        <f aca="false">IF(OR(E4958="",E4958="!!!"),"",IF(NOT(ISNA(VLOOKUP(E4958,E$1:E4957,1,FALSE()))),"OLD",IF(AND(E4958&lt;&gt;"",E4958&lt;&gt;"!!!"),"NEW","")))</f>
        <v/>
      </c>
      <c r="G4958" s="26" t="str">
        <f aca="false">IF(OR(E4958="",E4958="!!!"),"",IF(OR(J4958=0,AND(J4958=1,K4958=1),AND(J4958=1,I4958="SBJ"),AND(J4958=1,I4958=0)),"?IN_FOCUS",IF(J4958&lt;=2,"?ACTIVATED",IF(J4958&lt;&gt;"","?FAMILIAR",IF(F4958="NEW",IF(ISNA(VLOOKUP(E4958,#REF!,1,FALSE())),"?TYPE_IDENTIFIABLE","?REFERENTIAL"),"_")))))</f>
        <v/>
      </c>
      <c r="H4958" s="27" t="str">
        <f aca="false">IF(J4958&lt;&gt;1,"",IF(I4958="SBJ","CB","?"))</f>
        <v/>
      </c>
      <c r="I4958" s="24" t="str">
        <f aca="false">IF(OR(E4958="",E4958="!!!",F4958="NEW"),"",INDEX(B2:B$4957,-1+SUMPRODUCT(MAX(ROW(E2:E$4957)*(E4958=E2:E$4957)))))</f>
        <v/>
      </c>
      <c r="J4958" s="24" t="str">
        <f aca="true">IF(OR(E4958="",E4958="!!!",F4958="NEW"),"",COUNTBLANK(OFFSET(A$1,,,SUMPRODUCT(MAX(ROW(E$2:E4958)*(E4958=E$2:E4958)))))-COUNTBLANK(OFFSET(A$1,,,SUMPRODUCT(MAX(ROW(E$1:E4957)*(E2=E$1:E4957))))))</f>
        <v/>
      </c>
      <c r="K4958" s="24" t="str">
        <f aca="false">IF(OR(E4958="",E4958="!!!",F4958="NEW"),"",INDEX(J$1:J4957,SUMPRODUCT(MAX(ROW(E$1:E4957)*(E4958=E$1:E4957)))))</f>
        <v/>
      </c>
      <c r="L4958" s="31"/>
    </row>
    <row r="4959" customFormat="false" ht="15" hidden="false" customHeight="false" outlineLevel="0" collapsed="false">
      <c r="A4959" s="20" t="s">
        <v>169</v>
      </c>
      <c r="E4959" s="23" t="str">
        <f aca="false">IF(D4959="?OLD","!!!","")</f>
        <v/>
      </c>
      <c r="F4959" s="25" t="str">
        <f aca="false">IF(OR(E4959="",E4959="!!!"),"",IF(NOT(ISNA(VLOOKUP(E4959,E$1:E4958,1,FALSE()))),"OLD",IF(AND(E4959&lt;&gt;"",E4959&lt;&gt;"!!!"),"NEW","")))</f>
        <v/>
      </c>
      <c r="G4959" s="26" t="str">
        <f aca="false">IF(OR(E4959="",E4959="!!!"),"",IF(OR(J4959=0,AND(J4959=1,K4959=1),AND(J4959=1,I4959="SBJ"),AND(J4959=1,I4959=0)),"?IN_FOCUS",IF(J4959&lt;=2,"?ACTIVATED",IF(J4959&lt;&gt;"","?FAMILIAR",IF(F4959="NEW",IF(ISNA(VLOOKUP(E4959,#REF!,1,FALSE())),"?TYPE_IDENTIFIABLE","?REFERENTIAL"),"_")))))</f>
        <v/>
      </c>
      <c r="H4959" s="27" t="str">
        <f aca="false">IF(J4959&lt;&gt;1,"",IF(I4959="SBJ","CB","?"))</f>
        <v/>
      </c>
      <c r="I4959" s="24" t="str">
        <f aca="false">IF(OR(E4959="",E4959="!!!",F4959="NEW"),"",INDEX(B3:B$4957,-1+SUMPRODUCT(MAX(ROW(E3:E$4957)*(E4959=E3:E$4957)))))</f>
        <v/>
      </c>
      <c r="J4959" s="24" t="str">
        <f aca="true">IF(OR(E4959="",E4959="!!!",F4959="NEW"),"",COUNTBLANK(OFFSET(A$1,,,SUMPRODUCT(MAX(ROW(E$2:E4959)*(E4959=E$2:E4959)))))-COUNTBLANK(OFFSET(A$1,,,SUMPRODUCT(MAX(ROW(E$1:E4958)*(E2=E$1:E4958))))))</f>
        <v/>
      </c>
      <c r="K4959" s="24" t="str">
        <f aca="false">IF(OR(E4959="",E4959="!!!",F4959="NEW"),"",INDEX(J$1:J4958,SUMPRODUCT(MAX(ROW(E$1:E4958)*(E4959=E$1:E4958)))))</f>
        <v/>
      </c>
      <c r="L4959" s="31"/>
    </row>
    <row r="4960" customFormat="false" ht="15" hidden="false" customHeight="false" outlineLevel="0" collapsed="false">
      <c r="A4960" s="20" t="s">
        <v>1184</v>
      </c>
      <c r="E4960" s="23" t="str">
        <f aca="false">IF(D4960="?OLD","!!!","")</f>
        <v/>
      </c>
      <c r="F4960" s="25" t="str">
        <f aca="false">IF(OR(E4960="",E4960="!!!"),"",IF(NOT(ISNA(VLOOKUP(E4960,E$1:E4959,1,FALSE()))),"OLD",IF(AND(E4960&lt;&gt;"",E4960&lt;&gt;"!!!"),"NEW","")))</f>
        <v/>
      </c>
      <c r="G4960" s="26" t="str">
        <f aca="false">IF(OR(E4960="",E4960="!!!"),"",IF(OR(J4960=0,AND(J4960=1,K4960=1),AND(J4960=1,I4960="SBJ"),AND(J4960=1,I4960=0)),"?IN_FOCUS",IF(J4960&lt;=2,"?ACTIVATED",IF(J4960&lt;&gt;"","?FAMILIAR",IF(F4960="NEW",IF(ISNA(VLOOKUP(E4960,#REF!,1,FALSE())),"?TYPE_IDENTIFIABLE","?REFERENTIAL"),"_")))))</f>
        <v/>
      </c>
      <c r="H4960" s="27" t="str">
        <f aca="false">IF(J4960&lt;&gt;1,"",IF(I4960="SBJ","CB","?"))</f>
        <v/>
      </c>
      <c r="I4960" s="24" t="str">
        <f aca="false">IF(OR(E4960="",E4960="!!!",F4960="NEW"),"",INDEX(B4:B$4957,-1+SUMPRODUCT(MAX(ROW(E4:E$4957)*(E4960=E4:E$4957)))))</f>
        <v/>
      </c>
      <c r="J4960" s="24" t="str">
        <f aca="true">IF(OR(E4960="",E4960="!!!",F4960="NEW"),"",COUNTBLANK(OFFSET(A$1,,,SUMPRODUCT(MAX(ROW(E$2:E4960)*(E4960=E$2:E4960)))))-COUNTBLANK(OFFSET(A$1,,,SUMPRODUCT(MAX(ROW(E$1:E4959)*(E2=E$1:E4959))))))</f>
        <v/>
      </c>
      <c r="K4960" s="24" t="str">
        <f aca="false">IF(OR(E4960="",E4960="!!!",F4960="NEW"),"",INDEX(J$1:J4959,SUMPRODUCT(MAX(ROW(E$1:E4959)*(E4960=E$1:E4959)))))</f>
        <v/>
      </c>
      <c r="L4960" s="31"/>
    </row>
    <row r="4961" customFormat="false" ht="15" hidden="false" customHeight="false" outlineLevel="0" collapsed="false">
      <c r="A4961" s="20" t="s">
        <v>1905</v>
      </c>
      <c r="E4961" s="23" t="str">
        <f aca="false">IF(D4961="?OLD","!!!","")</f>
        <v/>
      </c>
      <c r="F4961" s="25" t="str">
        <f aca="false">IF(OR(E4961="",E4961="!!!"),"",IF(NOT(ISNA(VLOOKUP(E4961,E$1:E4960,1,FALSE()))),"OLD",IF(AND(E4961&lt;&gt;"",E4961&lt;&gt;"!!!"),"NEW","")))</f>
        <v/>
      </c>
      <c r="G4961" s="26" t="str">
        <f aca="false">IF(OR(E4961="",E4961="!!!"),"",IF(OR(J4961=0,AND(J4961=1,K4961=1),AND(J4961=1,I4961="SBJ"),AND(J4961=1,I4961=0)),"?IN_FOCUS",IF(J4961&lt;=2,"?ACTIVATED",IF(J4961&lt;&gt;"","?FAMILIAR",IF(F4961="NEW",IF(ISNA(VLOOKUP(E4961,#REF!,1,FALSE())),"?TYPE_IDENTIFIABLE","?REFERENTIAL"),"_")))))</f>
        <v/>
      </c>
      <c r="H4961" s="27" t="str">
        <f aca="false">IF(J4961&lt;&gt;1,"",IF(I4961="SBJ","CB","?"))</f>
        <v/>
      </c>
      <c r="I4961" s="24" t="str">
        <f aca="false">IF(OR(E4961="",E4961="!!!",F4961="NEW"),"",INDEX(B5:B$4957,-1+SUMPRODUCT(MAX(ROW(E5:E$4957)*(E4961=E5:E$4957)))))</f>
        <v/>
      </c>
      <c r="J4961" s="24" t="str">
        <f aca="true">IF(OR(E4961="",E4961="!!!",F4961="NEW"),"",COUNTBLANK(OFFSET(A$1,,,SUMPRODUCT(MAX(ROW(E$2:E4961)*(E4961=E$2:E4961)))))-COUNTBLANK(OFFSET(A$1,,,SUMPRODUCT(MAX(ROW(E$1:E4960)*(E2=E$1:E4960))))))</f>
        <v/>
      </c>
      <c r="K4961" s="24" t="str">
        <f aca="false">IF(OR(E4961="",E4961="!!!",F4961="NEW"),"",INDEX(J$1:J4960,SUMPRODUCT(MAX(ROW(E$1:E4960)*(E4961=E$1:E4960)))))</f>
        <v/>
      </c>
      <c r="L4961" s="31"/>
    </row>
    <row r="4962" customFormat="false" ht="15" hidden="false" customHeight="false" outlineLevel="0" collapsed="false">
      <c r="A4962" s="20" t="s">
        <v>1089</v>
      </c>
      <c r="E4962" s="23" t="str">
        <f aca="false">IF(D4962="?OLD","!!!","")</f>
        <v/>
      </c>
      <c r="F4962" s="25" t="str">
        <f aca="false">IF(OR(E4962="",E4962="!!!"),"",IF(NOT(ISNA(VLOOKUP(E4962,E$1:E4961,1,FALSE()))),"OLD",IF(AND(E4962&lt;&gt;"",E4962&lt;&gt;"!!!"),"NEW","")))</f>
        <v/>
      </c>
      <c r="G4962" s="26" t="str">
        <f aca="false">IF(OR(E4962="",E4962="!!!"),"",IF(OR(J4962=0,AND(J4962=1,K4962=1),AND(J4962=1,I4962="SBJ"),AND(J4962=1,I4962=0)),"?IN_FOCUS",IF(J4962&lt;=2,"?ACTIVATED",IF(J4962&lt;&gt;"","?FAMILIAR",IF(F4962="NEW",IF(ISNA(VLOOKUP(E4962,#REF!,1,FALSE())),"?TYPE_IDENTIFIABLE","?REFERENTIAL"),"_")))))</f>
        <v/>
      </c>
      <c r="H4962" s="27" t="str">
        <f aca="false">IF(J4962&lt;&gt;1,"",IF(I4962="SBJ","CB","?"))</f>
        <v/>
      </c>
      <c r="I4962" s="24" t="str">
        <f aca="false">IF(OR(E4962="",E4962="!!!",F4962="NEW"),"",INDEX(B6:B$4957,-1+SUMPRODUCT(MAX(ROW(E6:E$4957)*(E4962=E6:E$4957)))))</f>
        <v/>
      </c>
      <c r="J4962" s="24" t="str">
        <f aca="true">IF(OR(E4962="",E4962="!!!",F4962="NEW"),"",COUNTBLANK(OFFSET(A$1,,,SUMPRODUCT(MAX(ROW(E$2:E4962)*(E4962=E$2:E4962)))))-COUNTBLANK(OFFSET(A$1,,,SUMPRODUCT(MAX(ROW(E$1:E4961)*(E2=E$1:E4961))))))</f>
        <v/>
      </c>
      <c r="K4962" s="24" t="str">
        <f aca="false">IF(OR(E4962="",E4962="!!!",F4962="NEW"),"",INDEX(J$1:J4961,SUMPRODUCT(MAX(ROW(E$1:E4961)*(E4962=E$1:E4961)))))</f>
        <v/>
      </c>
      <c r="L4962" s="31"/>
    </row>
    <row r="4963" customFormat="false" ht="15" hidden="false" customHeight="false" outlineLevel="0" collapsed="false">
      <c r="A4963" s="20" t="s">
        <v>1090</v>
      </c>
      <c r="B4963" s="22" t="s">
        <v>1086</v>
      </c>
      <c r="C4963" s="22" t="s">
        <v>1082</v>
      </c>
      <c r="D4963" s="22" t="s">
        <v>1060</v>
      </c>
      <c r="E4963" s="23" t="str">
        <f aca="false">IF(D4963="?OLD","!!!","")</f>
        <v>!!!</v>
      </c>
      <c r="F4963" s="25" t="str">
        <f aca="false">IF(OR(E4963="",E4963="!!!"),"",IF(NOT(ISNA(VLOOKUP(E4963,E$1:E4962,1,FALSE()))),"OLD",IF(AND(E4963&lt;&gt;"",E4963&lt;&gt;"!!!"),"NEW","")))</f>
        <v/>
      </c>
      <c r="G4963" s="26" t="str">
        <f aca="false">IF(OR(E4963="",E4963="!!!"),"",IF(OR(J4963=0,AND(J4963=1,K4963=1),AND(J4963=1,I4963="SBJ"),AND(J4963=1,I4963=0)),"?IN_FOCUS",IF(J4963&lt;=2,"?ACTIVATED",IF(J4963&lt;&gt;"","?FAMILIAR",IF(F4963="NEW",IF(ISNA(VLOOKUP(E4963,#REF!,1,FALSE())),"?TYPE_IDENTIFIABLE","?REFERENTIAL"),"_")))))</f>
        <v/>
      </c>
      <c r="H4963" s="27" t="str">
        <f aca="false">IF(J4963&lt;&gt;1,"",IF(I4963="SBJ","CB","?"))</f>
        <v/>
      </c>
      <c r="I4963" s="24" t="str">
        <f aca="false">IF(OR(E4963="",E4963="!!!",F4963="NEW"),"",INDEX(B7:B$4957,-1+SUMPRODUCT(MAX(ROW(E7:E$4957)*(E4963=E7:E$4957)))))</f>
        <v/>
      </c>
      <c r="J4963" s="24" t="str">
        <f aca="true">IF(OR(E4963="",E4963="!!!",F4963="NEW"),"",COUNTBLANK(OFFSET(A$1,,,SUMPRODUCT(MAX(ROW(E$2:E4963)*(E4963=E$2:E4963)))))-COUNTBLANK(OFFSET(A$1,,,SUMPRODUCT(MAX(ROW(E$1:E4962)*(E2=E$1:E4962))))))</f>
        <v/>
      </c>
      <c r="K4963" s="24" t="str">
        <f aca="false">IF(OR(E4963="",E4963="!!!",F4963="NEW"),"",INDEX(J$1:J4962,SUMPRODUCT(MAX(ROW(E$1:E4962)*(E4963=E$1:E4962)))))</f>
        <v/>
      </c>
      <c r="L4963" s="31"/>
    </row>
    <row r="4964" customFormat="false" ht="15" hidden="false" customHeight="false" outlineLevel="0" collapsed="false">
      <c r="A4964" s="20" t="s">
        <v>1116</v>
      </c>
      <c r="E4964" s="23" t="str">
        <f aca="false">IF(D4964="?OLD","!!!","")</f>
        <v/>
      </c>
      <c r="F4964" s="25" t="str">
        <f aca="false">IF(OR(E4964="",E4964="!!!"),"",IF(NOT(ISNA(VLOOKUP(E4964,E$1:E4963,1,FALSE()))),"OLD",IF(AND(E4964&lt;&gt;"",E4964&lt;&gt;"!!!"),"NEW","")))</f>
        <v/>
      </c>
      <c r="G4964" s="26" t="str">
        <f aca="false">IF(OR(E4964="",E4964="!!!"),"",IF(OR(J4964=0,AND(J4964=1,K4964=1),AND(J4964=1,I4964="SBJ"),AND(J4964=1,I4964=0)),"?IN_FOCUS",IF(J4964&lt;=2,"?ACTIVATED",IF(J4964&lt;&gt;"","?FAMILIAR",IF(F4964="NEW",IF(ISNA(VLOOKUP(E4964,#REF!,1,FALSE())),"?TYPE_IDENTIFIABLE","?REFERENTIAL"),"_")))))</f>
        <v/>
      </c>
      <c r="H4964" s="27" t="str">
        <f aca="false">IF(J4964&lt;&gt;1,"",IF(I4964="SBJ","CB","?"))</f>
        <v/>
      </c>
      <c r="I4964" s="24" t="str">
        <f aca="false">IF(OR(E4964="",E4964="!!!",F4964="NEW"),"",INDEX(B8:B$4957,-1+SUMPRODUCT(MAX(ROW(E8:E$4957)*(E4964=E8:E$4957)))))</f>
        <v/>
      </c>
      <c r="J4964" s="24" t="str">
        <f aca="true">IF(OR(E4964="",E4964="!!!",F4964="NEW"),"",COUNTBLANK(OFFSET(A$1,,,SUMPRODUCT(MAX(ROW(E$2:E4964)*(E4964=E$2:E4964)))))-COUNTBLANK(OFFSET(A$1,,,SUMPRODUCT(MAX(ROW(E$1:E4963)*(E2=E$1:E4963))))))</f>
        <v/>
      </c>
      <c r="K4964" s="24" t="str">
        <f aca="false">IF(OR(E4964="",E4964="!!!",F4964="NEW"),"",INDEX(J$1:J4963,SUMPRODUCT(MAX(ROW(E$1:E4963)*(E4964=E$1:E4963)))))</f>
        <v/>
      </c>
      <c r="L4964" s="31"/>
    </row>
    <row r="4965" customFormat="false" ht="15" hidden="false" customHeight="false" outlineLevel="0" collapsed="false">
      <c r="A4965" s="20" t="s">
        <v>587</v>
      </c>
      <c r="E4965" s="23" t="str">
        <f aca="false">IF(D4965="?OLD","!!!","")</f>
        <v/>
      </c>
      <c r="F4965" s="25" t="str">
        <f aca="false">IF(OR(E4965="",E4965="!!!"),"",IF(NOT(ISNA(VLOOKUP(E4965,E$1:E4964,1,FALSE()))),"OLD",IF(AND(E4965&lt;&gt;"",E4965&lt;&gt;"!!!"),"NEW","")))</f>
        <v/>
      </c>
      <c r="G4965" s="26" t="str">
        <f aca="false">IF(OR(E4965="",E4965="!!!"),"",IF(OR(J4965=0,AND(J4965=1,K4965=1),AND(J4965=1,I4965="SBJ"),AND(J4965=1,I4965=0)),"?IN_FOCUS",IF(J4965&lt;=2,"?ACTIVATED",IF(J4965&lt;&gt;"","?FAMILIAR",IF(F4965="NEW",IF(ISNA(VLOOKUP(E4965,#REF!,1,FALSE())),"?TYPE_IDENTIFIABLE","?REFERENTIAL"),"_")))))</f>
        <v/>
      </c>
      <c r="H4965" s="27" t="str">
        <f aca="false">IF(J4965&lt;&gt;1,"",IF(I4965="SBJ","CB","?"))</f>
        <v/>
      </c>
      <c r="I4965" s="24" t="str">
        <f aca="false">IF(OR(E4965="",E4965="!!!",F4965="NEW"),"",INDEX(B9:B$4957,-1+SUMPRODUCT(MAX(ROW(E9:E$4957)*(E4965=E9:E$4957)))))</f>
        <v/>
      </c>
      <c r="J4965" s="24" t="str">
        <f aca="true">IF(OR(E4965="",E4965="!!!",F4965="NEW"),"",COUNTBLANK(OFFSET(A$1,,,SUMPRODUCT(MAX(ROW(E$2:E4965)*(E4965=E$2:E4965)))))-COUNTBLANK(OFFSET(A$1,,,SUMPRODUCT(MAX(ROW(E$1:E4964)*(E2=E$1:E4964))))))</f>
        <v/>
      </c>
      <c r="K4965" s="24" t="str">
        <f aca="false">IF(OR(E4965="",E4965="!!!",F4965="NEW"),"",INDEX(J$1:J4964,SUMPRODUCT(MAX(ROW(E$1:E4964)*(E4965=E$1:E4964)))))</f>
        <v/>
      </c>
      <c r="L4965" s="31"/>
    </row>
    <row r="4966" customFormat="false" ht="15" hidden="false" customHeight="false" outlineLevel="0" collapsed="false">
      <c r="A4966" s="20" t="s">
        <v>1753</v>
      </c>
      <c r="E4966" s="23" t="str">
        <f aca="false">IF(D4966="?OLD","!!!","")</f>
        <v/>
      </c>
      <c r="F4966" s="25" t="str">
        <f aca="false">IF(OR(E4966="",E4966="!!!"),"",IF(NOT(ISNA(VLOOKUP(E4966,E$1:E4965,1,FALSE()))),"OLD",IF(AND(E4966&lt;&gt;"",E4966&lt;&gt;"!!!"),"NEW","")))</f>
        <v/>
      </c>
      <c r="G4966" s="26" t="str">
        <f aca="false">IF(OR(E4966="",E4966="!!!"),"",IF(OR(J4966=0,AND(J4966=1,K4966=1),AND(J4966=1,I4966="SBJ"),AND(J4966=1,I4966=0)),"?IN_FOCUS",IF(J4966&lt;=2,"?ACTIVATED",IF(J4966&lt;&gt;"","?FAMILIAR",IF(F4966="NEW",IF(ISNA(VLOOKUP(E4966,#REF!,1,FALSE())),"?TYPE_IDENTIFIABLE","?REFERENTIAL"),"_")))))</f>
        <v/>
      </c>
      <c r="H4966" s="27" t="str">
        <f aca="false">IF(J4966&lt;&gt;1,"",IF(I4966="SBJ","CB","?"))</f>
        <v/>
      </c>
      <c r="I4966" s="24" t="str">
        <f aca="false">IF(OR(E4966="",E4966="!!!",F4966="NEW"),"",INDEX(B10:B$4957,-1+SUMPRODUCT(MAX(ROW(E10:E$4957)*(E4966=E10:E$4957)))))</f>
        <v/>
      </c>
      <c r="J4966" s="24" t="str">
        <f aca="true">IF(OR(E4966="",E4966="!!!",F4966="NEW"),"",COUNTBLANK(OFFSET(A$1,,,SUMPRODUCT(MAX(ROW(E$2:E4966)*(E4966=E$2:E4966)))))-COUNTBLANK(OFFSET(A$1,,,SUMPRODUCT(MAX(ROW(E$1:E4965)*(E2=E$1:E4965))))))</f>
        <v/>
      </c>
      <c r="K4966" s="24" t="str">
        <f aca="false">IF(OR(E4966="",E4966="!!!",F4966="NEW"),"",INDEX(J$1:J4965,SUMPRODUCT(MAX(ROW(E$1:E4965)*(E4966=E$1:E4965)))))</f>
        <v/>
      </c>
      <c r="L4966" s="31"/>
    </row>
    <row r="4967" customFormat="false" ht="15" hidden="false" customHeight="false" outlineLevel="0" collapsed="false">
      <c r="A4967" s="20" t="s">
        <v>1173</v>
      </c>
      <c r="E4967" s="23" t="str">
        <f aca="false">IF(D4967="?OLD","!!!","")</f>
        <v/>
      </c>
      <c r="F4967" s="25" t="str">
        <f aca="false">IF(OR(E4967="",E4967="!!!"),"",IF(NOT(ISNA(VLOOKUP(E4967,E$1:E4966,1,FALSE()))),"OLD",IF(AND(E4967&lt;&gt;"",E4967&lt;&gt;"!!!"),"NEW","")))</f>
        <v/>
      </c>
      <c r="G4967" s="26" t="str">
        <f aca="false">IF(OR(E4967="",E4967="!!!"),"",IF(OR(J4967=0,AND(J4967=1,K4967=1),AND(J4967=1,I4967="SBJ"),AND(J4967=1,I4967=0)),"?IN_FOCUS",IF(J4967&lt;=2,"?ACTIVATED",IF(J4967&lt;&gt;"","?FAMILIAR",IF(F4967="NEW",IF(ISNA(VLOOKUP(E4967,#REF!,1,FALSE())),"?TYPE_IDENTIFIABLE","?REFERENTIAL"),"_")))))</f>
        <v/>
      </c>
      <c r="H4967" s="27" t="str">
        <f aca="false">IF(J4967&lt;&gt;1,"",IF(I4967="SBJ","CB","?"))</f>
        <v/>
      </c>
      <c r="I4967" s="24" t="str">
        <f aca="false">IF(OR(E4967="",E4967="!!!",F4967="NEW"),"",INDEX(B11:B$4957,-1+SUMPRODUCT(MAX(ROW(E11:E$4957)*(E4967=E11:E$4957)))))</f>
        <v/>
      </c>
      <c r="J4967" s="24" t="str">
        <f aca="true">IF(OR(E4967="",E4967="!!!",F4967="NEW"),"",COUNTBLANK(OFFSET(A$1,,,SUMPRODUCT(MAX(ROW(E$2:E4967)*(E4967=E$2:E4967)))))-COUNTBLANK(OFFSET(A$1,,,SUMPRODUCT(MAX(ROW(E$1:E4966)*(E2=E$1:E4966))))))</f>
        <v/>
      </c>
      <c r="K4967" s="24" t="str">
        <f aca="false">IF(OR(E4967="",E4967="!!!",F4967="NEW"),"",INDEX(J$1:J4966,SUMPRODUCT(MAX(ROW(E$1:E4966)*(E4967=E$1:E4966)))))</f>
        <v/>
      </c>
      <c r="L4967" s="31"/>
    </row>
    <row r="4968" customFormat="false" ht="15" hidden="false" customHeight="false" outlineLevel="0" collapsed="false">
      <c r="A4968" s="20" t="s">
        <v>2499</v>
      </c>
      <c r="B4968" s="22" t="s">
        <v>1073</v>
      </c>
      <c r="C4968" s="22" t="s">
        <v>1160</v>
      </c>
      <c r="E4968" s="23" t="str">
        <f aca="false">IF(D4968="?OLD","!!!","")</f>
        <v/>
      </c>
      <c r="F4968" s="25" t="str">
        <f aca="false">IF(OR(E4968="",E4968="!!!"),"",IF(NOT(ISNA(VLOOKUP(E4968,E$1:E4967,1,FALSE()))),"OLD",IF(AND(E4968&lt;&gt;"",E4968&lt;&gt;"!!!"),"NEW","")))</f>
        <v/>
      </c>
      <c r="G4968" s="26" t="str">
        <f aca="false">IF(OR(E4968="",E4968="!!!"),"",IF(OR(J4968=0,AND(J4968=1,K4968=1),AND(J4968=1,I4968="SBJ"),AND(J4968=1,I4968=0)),"?IN_FOCUS",IF(J4968&lt;=2,"?ACTIVATED",IF(J4968&lt;&gt;"","?FAMILIAR",IF(F4968="NEW",IF(ISNA(VLOOKUP(E4968,#REF!,1,FALSE())),"?TYPE_IDENTIFIABLE","?REFERENTIAL"),"_")))))</f>
        <v/>
      </c>
      <c r="H4968" s="27" t="str">
        <f aca="false">IF(J4968&lt;&gt;1,"",IF(I4968="SBJ","CB","?"))</f>
        <v/>
      </c>
      <c r="I4968" s="24" t="str">
        <f aca="false">IF(OR(E4968="",E4968="!!!",F4968="NEW"),"",INDEX(B12:B$4957,-1+SUMPRODUCT(MAX(ROW(E12:E$4957)*(E4968=E12:E$4957)))))</f>
        <v/>
      </c>
      <c r="J4968" s="24" t="str">
        <f aca="true">IF(OR(E4968="",E4968="!!!",F4968="NEW"),"",COUNTBLANK(OFFSET(A$1,,,SUMPRODUCT(MAX(ROW(E$2:E4968)*(E4968=E$2:E4968)))))-COUNTBLANK(OFFSET(A$1,,,SUMPRODUCT(MAX(ROW(E$1:E4967)*(E2=E$1:E4967))))))</f>
        <v/>
      </c>
      <c r="K4968" s="24" t="str">
        <f aca="false">IF(OR(E4968="",E4968="!!!",F4968="NEW"),"",INDEX(J$1:J4967,SUMPRODUCT(MAX(ROW(E$1:E4967)*(E4968=E$1:E4967)))))</f>
        <v/>
      </c>
      <c r="L4968" s="31"/>
    </row>
    <row r="4969" customFormat="false" ht="15" hidden="false" customHeight="false" outlineLevel="0" collapsed="false">
      <c r="A4969" s="20" t="s">
        <v>923</v>
      </c>
      <c r="E4969" s="23" t="str">
        <f aca="false">IF(D4969="?OLD","!!!","")</f>
        <v/>
      </c>
      <c r="F4969" s="25" t="str">
        <f aca="false">IF(OR(E4969="",E4969="!!!"),"",IF(NOT(ISNA(VLOOKUP(E4969,E$1:E4968,1,FALSE()))),"OLD",IF(AND(E4969&lt;&gt;"",E4969&lt;&gt;"!!!"),"NEW","")))</f>
        <v/>
      </c>
      <c r="G4969" s="26" t="str">
        <f aca="false">IF(OR(E4969="",E4969="!!!"),"",IF(OR(J4969=0,AND(J4969=1,K4969=1),AND(J4969=1,I4969="SBJ"),AND(J4969=1,I4969=0)),"?IN_FOCUS",IF(J4969&lt;=2,"?ACTIVATED",IF(J4969&lt;&gt;"","?FAMILIAR",IF(F4969="NEW",IF(ISNA(VLOOKUP(E4969,#REF!,1,FALSE())),"?TYPE_IDENTIFIABLE","?REFERENTIAL"),"_")))))</f>
        <v/>
      </c>
      <c r="H4969" s="27" t="str">
        <f aca="false">IF(J4969&lt;&gt;1,"",IF(I4969="SBJ","CB","?"))</f>
        <v/>
      </c>
      <c r="I4969" s="24" t="str">
        <f aca="false">IF(OR(E4969="",E4969="!!!",F4969="NEW"),"",INDEX(B13:B$4957,-1+SUMPRODUCT(MAX(ROW(E13:E$4957)*(E4969=E13:E$4957)))))</f>
        <v/>
      </c>
      <c r="J4969" s="24" t="str">
        <f aca="true">IF(OR(E4969="",E4969="!!!",F4969="NEW"),"",COUNTBLANK(OFFSET(A$1,,,SUMPRODUCT(MAX(ROW(E$2:E4969)*(E4969=E$2:E4969)))))-COUNTBLANK(OFFSET(A$1,,,SUMPRODUCT(MAX(ROW(E$1:E4968)*(E2=E$1:E4968))))))</f>
        <v/>
      </c>
      <c r="K4969" s="24" t="str">
        <f aca="false">IF(OR(E4969="",E4969="!!!",F4969="NEW"),"",INDEX(J$1:J4968,SUMPRODUCT(MAX(ROW(E$1:E4968)*(E4969=E$1:E4968)))))</f>
        <v/>
      </c>
      <c r="L4969" s="31"/>
    </row>
    <row r="4970" customFormat="false" ht="15" hidden="false" customHeight="false" outlineLevel="0" collapsed="false">
      <c r="A4970" s="20" t="s">
        <v>607</v>
      </c>
      <c r="E4970" s="23" t="str">
        <f aca="false">IF(D4970="?OLD","!!!","")</f>
        <v/>
      </c>
      <c r="F4970" s="25" t="str">
        <f aca="false">IF(OR(E4970="",E4970="!!!"),"",IF(NOT(ISNA(VLOOKUP(E4970,E$1:E4969,1,FALSE()))),"OLD",IF(AND(E4970&lt;&gt;"",E4970&lt;&gt;"!!!"),"NEW","")))</f>
        <v/>
      </c>
      <c r="G4970" s="26" t="str">
        <f aca="false">IF(OR(E4970="",E4970="!!!"),"",IF(OR(J4970=0,AND(J4970=1,K4970=1),AND(J4970=1,I4970="SBJ"),AND(J4970=1,I4970=0)),"?IN_FOCUS",IF(J4970&lt;=2,"?ACTIVATED",IF(J4970&lt;&gt;"","?FAMILIAR",IF(F4970="NEW",IF(ISNA(VLOOKUP(E4970,#REF!,1,FALSE())),"?TYPE_IDENTIFIABLE","?REFERENTIAL"),"_")))))</f>
        <v/>
      </c>
      <c r="H4970" s="27" t="str">
        <f aca="false">IF(J4970&lt;&gt;1,"",IF(I4970="SBJ","CB","?"))</f>
        <v/>
      </c>
      <c r="I4970" s="24" t="str">
        <f aca="false">IF(OR(E4970="",E4970="!!!",F4970="NEW"),"",INDEX(B14:B$4957,-1+SUMPRODUCT(MAX(ROW(E14:E$4957)*(E4970=E14:E$4957)))))</f>
        <v/>
      </c>
      <c r="J4970" s="24" t="str">
        <f aca="true">IF(OR(E4970="",E4970="!!!",F4970="NEW"),"",COUNTBLANK(OFFSET(A$1,,,SUMPRODUCT(MAX(ROW(E$2:E4970)*(E4970=E$2:E4970)))))-COUNTBLANK(OFFSET(A$1,,,SUMPRODUCT(MAX(ROW(E$1:E4969)*(E2=E$1:E4969))))))</f>
        <v/>
      </c>
      <c r="K4970" s="24" t="str">
        <f aca="false">IF(OR(E4970="",E4970="!!!",F4970="NEW"),"",INDEX(J$1:J4969,SUMPRODUCT(MAX(ROW(E$1:E4969)*(E4970=E$1:E4969)))))</f>
        <v/>
      </c>
      <c r="L4970" s="31"/>
    </row>
    <row r="4971" customFormat="false" ht="15" hidden="false" customHeight="false" outlineLevel="0" collapsed="false">
      <c r="A4971" s="20"/>
    </row>
    <row r="4972" customFormat="false" ht="15" hidden="false" customHeight="false" outlineLevel="0" collapsed="false">
      <c r="A4972" s="20" t="s">
        <v>2500</v>
      </c>
    </row>
    <row r="4973" customFormat="false" ht="15" hidden="false" customHeight="false" outlineLevel="0" collapsed="false">
      <c r="A4973" s="20" t="s">
        <v>1832</v>
      </c>
      <c r="E4973" s="23" t="str">
        <f aca="false">IF(D4973="?OLD","!!!","")</f>
        <v/>
      </c>
      <c r="F4973" s="25" t="str">
        <f aca="false">IF(OR(E4973="",E4973="!!!"),"",IF(NOT(ISNA(VLOOKUP(E4973,E$1:E4972,1,FALSE()))),"OLD",IF(AND(E4973&lt;&gt;"",E4973&lt;&gt;"!!!"),"NEW","")))</f>
        <v/>
      </c>
      <c r="G4973" s="26" t="str">
        <f aca="false">IF(OR(E4973="",E4973="!!!"),"",IF(OR(J4973=0,AND(J4973=1,K4973=1),AND(J4973=1,I4973="SBJ"),AND(J4973=1,I4973=0)),"?IN_FOCUS",IF(J4973&lt;=2,"?ACTIVATED",IF(J4973&lt;&gt;"","?FAMILIAR",IF(F4973="NEW",IF(ISNA(VLOOKUP(E4973,#REF!,1,FALSE())),"?TYPE_IDENTIFIABLE","?REFERENTIAL"),"_")))))</f>
        <v/>
      </c>
      <c r="H4973" s="27" t="str">
        <f aca="false">IF(J4973&lt;&gt;1,"",IF(I4973="SBJ","CB","?"))</f>
        <v/>
      </c>
      <c r="I4973" s="24" t="str">
        <f aca="false">IF(OR(E4973="",E4973="!!!",F4973="NEW"),"",INDEX(B2:B$4972,-1+SUMPRODUCT(MAX(ROW(E2:E$4972)*(E4973=E2:E$4972)))))</f>
        <v/>
      </c>
      <c r="J4973" s="24" t="str">
        <f aca="true">IF(OR(E4973="",E4973="!!!",F4973="NEW"),"",COUNTBLANK(OFFSET(A$1,,,SUMPRODUCT(MAX(ROW(E$2:E4973)*(E4973=E$2:E4973)))))-COUNTBLANK(OFFSET(A$1,,,SUMPRODUCT(MAX(ROW(E$1:E4972)*(E2=E$1:E4972))))))</f>
        <v/>
      </c>
      <c r="K4973" s="24" t="str">
        <f aca="false">IF(OR(E4973="",E4973="!!!",F4973="NEW"),"",INDEX(J$1:J4972,SUMPRODUCT(MAX(ROW(E$1:E4972)*(E4973=E$1:E4972)))))</f>
        <v/>
      </c>
      <c r="L4973" s="31"/>
    </row>
    <row r="4974" customFormat="false" ht="15" hidden="false" customHeight="false" outlineLevel="0" collapsed="false">
      <c r="A4974" s="20" t="s">
        <v>967</v>
      </c>
      <c r="E4974" s="23" t="str">
        <f aca="false">IF(D4974="?OLD","!!!","")</f>
        <v/>
      </c>
      <c r="F4974" s="25" t="str">
        <f aca="false">IF(OR(E4974="",E4974="!!!"),"",IF(NOT(ISNA(VLOOKUP(E4974,E$1:E4973,1,FALSE()))),"OLD",IF(AND(E4974&lt;&gt;"",E4974&lt;&gt;"!!!"),"NEW","")))</f>
        <v/>
      </c>
      <c r="G4974" s="26" t="str">
        <f aca="false">IF(OR(E4974="",E4974="!!!"),"",IF(OR(J4974=0,AND(J4974=1,K4974=1),AND(J4974=1,I4974="SBJ"),AND(J4974=1,I4974=0)),"?IN_FOCUS",IF(J4974&lt;=2,"?ACTIVATED",IF(J4974&lt;&gt;"","?FAMILIAR",IF(F4974="NEW",IF(ISNA(VLOOKUP(E4974,#REF!,1,FALSE())),"?TYPE_IDENTIFIABLE","?REFERENTIAL"),"_")))))</f>
        <v/>
      </c>
      <c r="H4974" s="27" t="str">
        <f aca="false">IF(J4974&lt;&gt;1,"",IF(I4974="SBJ","CB","?"))</f>
        <v/>
      </c>
      <c r="I4974" s="24" t="str">
        <f aca="false">IF(OR(E4974="",E4974="!!!",F4974="NEW"),"",INDEX(B3:B$4972,-1+SUMPRODUCT(MAX(ROW(E3:E$4972)*(E4974=E3:E$4972)))))</f>
        <v/>
      </c>
      <c r="J4974" s="24" t="str">
        <f aca="true">IF(OR(E4974="",E4974="!!!",F4974="NEW"),"",COUNTBLANK(OFFSET(A$1,,,SUMPRODUCT(MAX(ROW(E$2:E4974)*(E4974=E$2:E4974)))))-COUNTBLANK(OFFSET(A$1,,,SUMPRODUCT(MAX(ROW(E$1:E4973)*(E2=E$1:E4973))))))</f>
        <v/>
      </c>
      <c r="K4974" s="24" t="str">
        <f aca="false">IF(OR(E4974="",E4974="!!!",F4974="NEW"),"",INDEX(J$1:J4973,SUMPRODUCT(MAX(ROW(E$1:E4973)*(E4974=E$1:E4973)))))</f>
        <v/>
      </c>
      <c r="L4974" s="31"/>
    </row>
    <row r="4975" customFormat="false" ht="15" hidden="false" customHeight="false" outlineLevel="0" collapsed="false">
      <c r="A4975" s="20" t="s">
        <v>1169</v>
      </c>
      <c r="E4975" s="23" t="str">
        <f aca="false">IF(D4975="?OLD","!!!","")</f>
        <v/>
      </c>
      <c r="F4975" s="25" t="str">
        <f aca="false">IF(OR(E4975="",E4975="!!!"),"",IF(NOT(ISNA(VLOOKUP(E4975,E$1:E4974,1,FALSE()))),"OLD",IF(AND(E4975&lt;&gt;"",E4975&lt;&gt;"!!!"),"NEW","")))</f>
        <v/>
      </c>
      <c r="G4975" s="26" t="str">
        <f aca="false">IF(OR(E4975="",E4975="!!!"),"",IF(OR(J4975=0,AND(J4975=1,K4975=1),AND(J4975=1,I4975="SBJ"),AND(J4975=1,I4975=0)),"?IN_FOCUS",IF(J4975&lt;=2,"?ACTIVATED",IF(J4975&lt;&gt;"","?FAMILIAR",IF(F4975="NEW",IF(ISNA(VLOOKUP(E4975,#REF!,1,FALSE())),"?TYPE_IDENTIFIABLE","?REFERENTIAL"),"_")))))</f>
        <v/>
      </c>
      <c r="H4975" s="27" t="str">
        <f aca="false">IF(J4975&lt;&gt;1,"",IF(I4975="SBJ","CB","?"))</f>
        <v/>
      </c>
      <c r="I4975" s="24" t="str">
        <f aca="false">IF(OR(E4975="",E4975="!!!",F4975="NEW"),"",INDEX(B4:B$4972,-1+SUMPRODUCT(MAX(ROW(E4:E$4972)*(E4975=E4:E$4972)))))</f>
        <v/>
      </c>
      <c r="J4975" s="24" t="str">
        <f aca="true">IF(OR(E4975="",E4975="!!!",F4975="NEW"),"",COUNTBLANK(OFFSET(A$1,,,SUMPRODUCT(MAX(ROW(E$2:E4975)*(E4975=E$2:E4975)))))-COUNTBLANK(OFFSET(A$1,,,SUMPRODUCT(MAX(ROW(E$1:E4974)*(E2=E$1:E4974))))))</f>
        <v/>
      </c>
      <c r="K4975" s="24" t="str">
        <f aca="false">IF(OR(E4975="",E4975="!!!",F4975="NEW"),"",INDEX(J$1:J4974,SUMPRODUCT(MAX(ROW(E$1:E4974)*(E4975=E$1:E4974)))))</f>
        <v/>
      </c>
      <c r="L4975" s="31"/>
    </row>
    <row r="4976" customFormat="false" ht="15" hidden="false" customHeight="false" outlineLevel="0" collapsed="false">
      <c r="A4976" s="20" t="s">
        <v>1089</v>
      </c>
      <c r="E4976" s="23" t="str">
        <f aca="false">IF(D4976="?OLD","!!!","")</f>
        <v/>
      </c>
      <c r="F4976" s="25" t="str">
        <f aca="false">IF(OR(E4976="",E4976="!!!"),"",IF(NOT(ISNA(VLOOKUP(E4976,E$1:E4975,1,FALSE()))),"OLD",IF(AND(E4976&lt;&gt;"",E4976&lt;&gt;"!!!"),"NEW","")))</f>
        <v/>
      </c>
      <c r="G4976" s="26" t="str">
        <f aca="false">IF(OR(E4976="",E4976="!!!"),"",IF(OR(J4976=0,AND(J4976=1,K4976=1),AND(J4976=1,I4976="SBJ"),AND(J4976=1,I4976=0)),"?IN_FOCUS",IF(J4976&lt;=2,"?ACTIVATED",IF(J4976&lt;&gt;"","?FAMILIAR",IF(F4976="NEW",IF(ISNA(VLOOKUP(E4976,#REF!,1,FALSE())),"?TYPE_IDENTIFIABLE","?REFERENTIAL"),"_")))))</f>
        <v/>
      </c>
      <c r="H4976" s="27" t="str">
        <f aca="false">IF(J4976&lt;&gt;1,"",IF(I4976="SBJ","CB","?"))</f>
        <v/>
      </c>
      <c r="I4976" s="24" t="str">
        <f aca="false">IF(OR(E4976="",E4976="!!!",F4976="NEW"),"",INDEX(B5:B$4972,-1+SUMPRODUCT(MAX(ROW(E5:E$4972)*(E4976=E5:E$4972)))))</f>
        <v/>
      </c>
      <c r="J4976" s="24" t="str">
        <f aca="true">IF(OR(E4976="",E4976="!!!",F4976="NEW"),"",COUNTBLANK(OFFSET(A$1,,,SUMPRODUCT(MAX(ROW(E$2:E4976)*(E4976=E$2:E4976)))))-COUNTBLANK(OFFSET(A$1,,,SUMPRODUCT(MAX(ROW(E$1:E4975)*(E2=E$1:E4975))))))</f>
        <v/>
      </c>
      <c r="K4976" s="24" t="str">
        <f aca="false">IF(OR(E4976="",E4976="!!!",F4976="NEW"),"",INDEX(J$1:J4975,SUMPRODUCT(MAX(ROW(E$1:E4975)*(E4976=E$1:E4975)))))</f>
        <v/>
      </c>
      <c r="L4976" s="31"/>
    </row>
    <row r="4977" customFormat="false" ht="15" hidden="false" customHeight="false" outlineLevel="0" collapsed="false">
      <c r="A4977" s="20" t="s">
        <v>1186</v>
      </c>
      <c r="B4977" s="22" t="s">
        <v>1086</v>
      </c>
      <c r="C4977" s="22" t="s">
        <v>1082</v>
      </c>
      <c r="D4977" s="22" t="s">
        <v>1060</v>
      </c>
      <c r="E4977" s="23" t="str">
        <f aca="false">IF(D4977="?OLD","!!!","")</f>
        <v>!!!</v>
      </c>
      <c r="F4977" s="25" t="str">
        <f aca="false">IF(OR(E4977="",E4977="!!!"),"",IF(NOT(ISNA(VLOOKUP(E4977,E$1:E4976,1,FALSE()))),"OLD",IF(AND(E4977&lt;&gt;"",E4977&lt;&gt;"!!!"),"NEW","")))</f>
        <v/>
      </c>
      <c r="G4977" s="26" t="str">
        <f aca="false">IF(OR(E4977="",E4977="!!!"),"",IF(OR(J4977=0,AND(J4977=1,K4977=1),AND(J4977=1,I4977="SBJ"),AND(J4977=1,I4977=0)),"?IN_FOCUS",IF(J4977&lt;=2,"?ACTIVATED",IF(J4977&lt;&gt;"","?FAMILIAR",IF(F4977="NEW",IF(ISNA(VLOOKUP(E4977,#REF!,1,FALSE())),"?TYPE_IDENTIFIABLE","?REFERENTIAL"),"_")))))</f>
        <v/>
      </c>
      <c r="H4977" s="27" t="str">
        <f aca="false">IF(J4977&lt;&gt;1,"",IF(I4977="SBJ","CB","?"))</f>
        <v/>
      </c>
      <c r="I4977" s="24" t="str">
        <f aca="false">IF(OR(E4977="",E4977="!!!",F4977="NEW"),"",INDEX(B6:B$4972,-1+SUMPRODUCT(MAX(ROW(E6:E$4972)*(E4977=E6:E$4972)))))</f>
        <v/>
      </c>
      <c r="J4977" s="24" t="str">
        <f aca="true">IF(OR(E4977="",E4977="!!!",F4977="NEW"),"",COUNTBLANK(OFFSET(A$1,,,SUMPRODUCT(MAX(ROW(E$2:E4977)*(E4977=E$2:E4977)))))-COUNTBLANK(OFFSET(A$1,,,SUMPRODUCT(MAX(ROW(E$1:E4976)*(E2=E$1:E4976))))))</f>
        <v/>
      </c>
      <c r="K4977" s="24" t="str">
        <f aca="false">IF(OR(E4977="",E4977="!!!",F4977="NEW"),"",INDEX(J$1:J4976,SUMPRODUCT(MAX(ROW(E$1:E4976)*(E4977=E$1:E4976)))))</f>
        <v/>
      </c>
      <c r="L4977" s="31"/>
    </row>
    <row r="4978" customFormat="false" ht="15" hidden="false" customHeight="false" outlineLevel="0" collapsed="false">
      <c r="A4978" s="20" t="s">
        <v>1135</v>
      </c>
      <c r="E4978" s="23" t="str">
        <f aca="false">IF(D4978="?OLD","!!!","")</f>
        <v/>
      </c>
      <c r="F4978" s="25" t="str">
        <f aca="false">IF(OR(E4978="",E4978="!!!"),"",IF(NOT(ISNA(VLOOKUP(E4978,E$1:E4977,1,FALSE()))),"OLD",IF(AND(E4978&lt;&gt;"",E4978&lt;&gt;"!!!"),"NEW","")))</f>
        <v/>
      </c>
      <c r="G4978" s="26" t="str">
        <f aca="false">IF(OR(E4978="",E4978="!!!"),"",IF(OR(J4978=0,AND(J4978=1,K4978=1),AND(J4978=1,I4978="SBJ"),AND(J4978=1,I4978=0)),"?IN_FOCUS",IF(J4978&lt;=2,"?ACTIVATED",IF(J4978&lt;&gt;"","?FAMILIAR",IF(F4978="NEW",IF(ISNA(VLOOKUP(E4978,#REF!,1,FALSE())),"?TYPE_IDENTIFIABLE","?REFERENTIAL"),"_")))))</f>
        <v/>
      </c>
      <c r="H4978" s="27" t="str">
        <f aca="false">IF(J4978&lt;&gt;1,"",IF(I4978="SBJ","CB","?"))</f>
        <v/>
      </c>
      <c r="I4978" s="24" t="str">
        <f aca="false">IF(OR(E4978="",E4978="!!!",F4978="NEW"),"",INDEX(B7:B$4972,-1+SUMPRODUCT(MAX(ROW(E7:E$4972)*(E4978=E7:E$4972)))))</f>
        <v/>
      </c>
      <c r="J4978" s="24" t="str">
        <f aca="true">IF(OR(E4978="",E4978="!!!",F4978="NEW"),"",COUNTBLANK(OFFSET(A$1,,,SUMPRODUCT(MAX(ROW(E$2:E4978)*(E4978=E$2:E4978)))))-COUNTBLANK(OFFSET(A$1,,,SUMPRODUCT(MAX(ROW(E$1:E4977)*(E2=E$1:E4977))))))</f>
        <v/>
      </c>
      <c r="K4978" s="24" t="str">
        <f aca="false">IF(OR(E4978="",E4978="!!!",F4978="NEW"),"",INDEX(J$1:J4977,SUMPRODUCT(MAX(ROW(E$1:E4977)*(E4978=E$1:E4977)))))</f>
        <v/>
      </c>
      <c r="L4978" s="31"/>
    </row>
    <row r="4979" customFormat="false" ht="15" hidden="false" customHeight="false" outlineLevel="0" collapsed="false">
      <c r="A4979" s="20" t="s">
        <v>1143</v>
      </c>
      <c r="E4979" s="23" t="str">
        <f aca="false">IF(D4979="?OLD","!!!","")</f>
        <v/>
      </c>
      <c r="F4979" s="25" t="str">
        <f aca="false">IF(OR(E4979="",E4979="!!!"),"",IF(NOT(ISNA(VLOOKUP(E4979,E$1:E4978,1,FALSE()))),"OLD",IF(AND(E4979&lt;&gt;"",E4979&lt;&gt;"!!!"),"NEW","")))</f>
        <v/>
      </c>
      <c r="G4979" s="26" t="str">
        <f aca="false">IF(OR(E4979="",E4979="!!!"),"",IF(OR(J4979=0,AND(J4979=1,K4979=1),AND(J4979=1,I4979="SBJ"),AND(J4979=1,I4979=0)),"?IN_FOCUS",IF(J4979&lt;=2,"?ACTIVATED",IF(J4979&lt;&gt;"","?FAMILIAR",IF(F4979="NEW",IF(ISNA(VLOOKUP(E4979,#REF!,1,FALSE())),"?TYPE_IDENTIFIABLE","?REFERENTIAL"),"_")))))</f>
        <v/>
      </c>
      <c r="H4979" s="27" t="str">
        <f aca="false">IF(J4979&lt;&gt;1,"",IF(I4979="SBJ","CB","?"))</f>
        <v/>
      </c>
      <c r="I4979" s="24" t="str">
        <f aca="false">IF(OR(E4979="",E4979="!!!",F4979="NEW"),"",INDEX(B8:B$4972,-1+SUMPRODUCT(MAX(ROW(E8:E$4972)*(E4979=E8:E$4972)))))</f>
        <v/>
      </c>
      <c r="J4979" s="24" t="str">
        <f aca="true">IF(OR(E4979="",E4979="!!!",F4979="NEW"),"",COUNTBLANK(OFFSET(A$1,,,SUMPRODUCT(MAX(ROW(E$2:E4979)*(E4979=E$2:E4979)))))-COUNTBLANK(OFFSET(A$1,,,SUMPRODUCT(MAX(ROW(E$1:E4978)*(E2=E$1:E4978))))))</f>
        <v/>
      </c>
      <c r="K4979" s="24" t="str">
        <f aca="false">IF(OR(E4979="",E4979="!!!",F4979="NEW"),"",INDEX(J$1:J4978,SUMPRODUCT(MAX(ROW(E$1:E4978)*(E4979=E$1:E4978)))))</f>
        <v/>
      </c>
      <c r="L4979" s="31"/>
    </row>
    <row r="4980" customFormat="false" ht="15" hidden="false" customHeight="false" outlineLevel="0" collapsed="false">
      <c r="A4980" s="20" t="s">
        <v>2378</v>
      </c>
      <c r="E4980" s="23" t="str">
        <f aca="false">IF(D4980="?OLD","!!!","")</f>
        <v/>
      </c>
      <c r="F4980" s="25" t="str">
        <f aca="false">IF(OR(E4980="",E4980="!!!"),"",IF(NOT(ISNA(VLOOKUP(E4980,E$1:E4979,1,FALSE()))),"OLD",IF(AND(E4980&lt;&gt;"",E4980&lt;&gt;"!!!"),"NEW","")))</f>
        <v/>
      </c>
      <c r="G4980" s="26" t="str">
        <f aca="false">IF(OR(E4980="",E4980="!!!"),"",IF(OR(J4980=0,AND(J4980=1,K4980=1),AND(J4980=1,I4980="SBJ"),AND(J4980=1,I4980=0)),"?IN_FOCUS",IF(J4980&lt;=2,"?ACTIVATED",IF(J4980&lt;&gt;"","?FAMILIAR",IF(F4980="NEW",IF(ISNA(VLOOKUP(E4980,#REF!,1,FALSE())),"?TYPE_IDENTIFIABLE","?REFERENTIAL"),"_")))))</f>
        <v/>
      </c>
      <c r="H4980" s="27" t="str">
        <f aca="false">IF(J4980&lt;&gt;1,"",IF(I4980="SBJ","CB","?"))</f>
        <v/>
      </c>
      <c r="I4980" s="24" t="str">
        <f aca="false">IF(OR(E4980="",E4980="!!!",F4980="NEW"),"",INDEX(B9:B$4972,-1+SUMPRODUCT(MAX(ROW(E9:E$4972)*(E4980=E9:E$4972)))))</f>
        <v/>
      </c>
      <c r="J4980" s="24" t="str">
        <f aca="true">IF(OR(E4980="",E4980="!!!",F4980="NEW"),"",COUNTBLANK(OFFSET(A$1,,,SUMPRODUCT(MAX(ROW(E$2:E4980)*(E4980=E$2:E4980)))))-COUNTBLANK(OFFSET(A$1,,,SUMPRODUCT(MAX(ROW(E$1:E4979)*(E2=E$1:E4979))))))</f>
        <v/>
      </c>
      <c r="K4980" s="24" t="str">
        <f aca="false">IF(OR(E4980="",E4980="!!!",F4980="NEW"),"",INDEX(J$1:J4979,SUMPRODUCT(MAX(ROW(E$1:E4979)*(E4980=E$1:E4979)))))</f>
        <v/>
      </c>
      <c r="L4980" s="31"/>
    </row>
    <row r="4981" customFormat="false" ht="15" hidden="false" customHeight="false" outlineLevel="0" collapsed="false">
      <c r="A4981" s="20" t="s">
        <v>1095</v>
      </c>
      <c r="E4981" s="23" t="str">
        <f aca="false">IF(D4981="?OLD","!!!","")</f>
        <v/>
      </c>
      <c r="F4981" s="25" t="str">
        <f aca="false">IF(OR(E4981="",E4981="!!!"),"",IF(NOT(ISNA(VLOOKUP(E4981,E$1:E4980,1,FALSE()))),"OLD",IF(AND(E4981&lt;&gt;"",E4981&lt;&gt;"!!!"),"NEW","")))</f>
        <v/>
      </c>
      <c r="G4981" s="26" t="str">
        <f aca="false">IF(OR(E4981="",E4981="!!!"),"",IF(OR(J4981=0,AND(J4981=1,K4981=1),AND(J4981=1,I4981="SBJ"),AND(J4981=1,I4981=0)),"?IN_FOCUS",IF(J4981&lt;=2,"?ACTIVATED",IF(J4981&lt;&gt;"","?FAMILIAR",IF(F4981="NEW",IF(ISNA(VLOOKUP(E4981,#REF!,1,FALSE())),"?TYPE_IDENTIFIABLE","?REFERENTIAL"),"_")))))</f>
        <v/>
      </c>
      <c r="H4981" s="27" t="str">
        <f aca="false">IF(J4981&lt;&gt;1,"",IF(I4981="SBJ","CB","?"))</f>
        <v/>
      </c>
      <c r="I4981" s="24" t="str">
        <f aca="false">IF(OR(E4981="",E4981="!!!",F4981="NEW"),"",INDEX(B10:B$4972,-1+SUMPRODUCT(MAX(ROW(E10:E$4972)*(E4981=E10:E$4972)))))</f>
        <v/>
      </c>
      <c r="J4981" s="24" t="str">
        <f aca="true">IF(OR(E4981="",E4981="!!!",F4981="NEW"),"",COUNTBLANK(OFFSET(A$1,,,SUMPRODUCT(MAX(ROW(E$2:E4981)*(E4981=E$2:E4981)))))-COUNTBLANK(OFFSET(A$1,,,SUMPRODUCT(MAX(ROW(E$1:E4980)*(E2=E$1:E4980))))))</f>
        <v/>
      </c>
      <c r="K4981" s="24" t="str">
        <f aca="false">IF(OR(E4981="",E4981="!!!",F4981="NEW"),"",INDEX(J$1:J4980,SUMPRODUCT(MAX(ROW(E$1:E4980)*(E4981=E$1:E4980)))))</f>
        <v/>
      </c>
      <c r="L4981" s="31"/>
    </row>
    <row r="4982" customFormat="false" ht="15" hidden="false" customHeight="false" outlineLevel="0" collapsed="false">
      <c r="A4982" s="20" t="s">
        <v>169</v>
      </c>
      <c r="E4982" s="23" t="str">
        <f aca="false">IF(D4982="?OLD","!!!","")</f>
        <v/>
      </c>
      <c r="F4982" s="25" t="str">
        <f aca="false">IF(OR(E4982="",E4982="!!!"),"",IF(NOT(ISNA(VLOOKUP(E4982,E$1:E4981,1,FALSE()))),"OLD",IF(AND(E4982&lt;&gt;"",E4982&lt;&gt;"!!!"),"NEW","")))</f>
        <v/>
      </c>
      <c r="G4982" s="26" t="str">
        <f aca="false">IF(OR(E4982="",E4982="!!!"),"",IF(OR(J4982=0,AND(J4982=1,K4982=1),AND(J4982=1,I4982="SBJ"),AND(J4982=1,I4982=0)),"?IN_FOCUS",IF(J4982&lt;=2,"?ACTIVATED",IF(J4982&lt;&gt;"","?FAMILIAR",IF(F4982="NEW",IF(ISNA(VLOOKUP(E4982,#REF!,1,FALSE())),"?TYPE_IDENTIFIABLE","?REFERENTIAL"),"_")))))</f>
        <v/>
      </c>
      <c r="H4982" s="27" t="str">
        <f aca="false">IF(J4982&lt;&gt;1,"",IF(I4982="SBJ","CB","?"))</f>
        <v/>
      </c>
      <c r="I4982" s="24" t="str">
        <f aca="false">IF(OR(E4982="",E4982="!!!",F4982="NEW"),"",INDEX(B11:B$4972,-1+SUMPRODUCT(MAX(ROW(E11:E$4972)*(E4982=E11:E$4972)))))</f>
        <v/>
      </c>
      <c r="J4982" s="24" t="str">
        <f aca="true">IF(OR(E4982="",E4982="!!!",F4982="NEW"),"",COUNTBLANK(OFFSET(A$1,,,SUMPRODUCT(MAX(ROW(E$2:E4982)*(E4982=E$2:E4982)))))-COUNTBLANK(OFFSET(A$1,,,SUMPRODUCT(MAX(ROW(E$1:E4981)*(E2=E$1:E4981))))))</f>
        <v/>
      </c>
      <c r="K4982" s="24" t="str">
        <f aca="false">IF(OR(E4982="",E4982="!!!",F4982="NEW"),"",INDEX(J$1:J4981,SUMPRODUCT(MAX(ROW(E$1:E4981)*(E4982=E$1:E4981)))))</f>
        <v/>
      </c>
      <c r="L4982" s="31"/>
    </row>
    <row r="4983" customFormat="false" ht="15" hidden="false" customHeight="false" outlineLevel="0" collapsed="false">
      <c r="A4983" s="20" t="s">
        <v>1076</v>
      </c>
      <c r="E4983" s="23" t="str">
        <f aca="false">IF(D4983="?OLD","!!!","")</f>
        <v/>
      </c>
      <c r="F4983" s="25" t="str">
        <f aca="false">IF(OR(E4983="",E4983="!!!"),"",IF(NOT(ISNA(VLOOKUP(E4983,E$1:E4982,1,FALSE()))),"OLD",IF(AND(E4983&lt;&gt;"",E4983&lt;&gt;"!!!"),"NEW","")))</f>
        <v/>
      </c>
      <c r="G4983" s="26" t="str">
        <f aca="false">IF(OR(E4983="",E4983="!!!"),"",IF(OR(J4983=0,AND(J4983=1,K4983=1),AND(J4983=1,I4983="SBJ"),AND(J4983=1,I4983=0)),"?IN_FOCUS",IF(J4983&lt;=2,"?ACTIVATED",IF(J4983&lt;&gt;"","?FAMILIAR",IF(F4983="NEW",IF(ISNA(VLOOKUP(E4983,#REF!,1,FALSE())),"?TYPE_IDENTIFIABLE","?REFERENTIAL"),"_")))))</f>
        <v/>
      </c>
      <c r="H4983" s="27" t="str">
        <f aca="false">IF(J4983&lt;&gt;1,"",IF(I4983="SBJ","CB","?"))</f>
        <v/>
      </c>
      <c r="I4983" s="24" t="str">
        <f aca="false">IF(OR(E4983="",E4983="!!!",F4983="NEW"),"",INDEX(B12:B$4972,-1+SUMPRODUCT(MAX(ROW(E12:E$4972)*(E4983=E12:E$4972)))))</f>
        <v/>
      </c>
      <c r="J4983" s="24" t="str">
        <f aca="true">IF(OR(E4983="",E4983="!!!",F4983="NEW"),"",COUNTBLANK(OFFSET(A$1,,,SUMPRODUCT(MAX(ROW(E$2:E4983)*(E4983=E$2:E4983)))))-COUNTBLANK(OFFSET(A$1,,,SUMPRODUCT(MAX(ROW(E$1:E4982)*(E2=E$1:E4982))))))</f>
        <v/>
      </c>
      <c r="K4983" s="24" t="str">
        <f aca="false">IF(OR(E4983="",E4983="!!!",F4983="NEW"),"",INDEX(J$1:J4982,SUMPRODUCT(MAX(ROW(E$1:E4982)*(E4983=E$1:E4982)))))</f>
        <v/>
      </c>
      <c r="L4983" s="31"/>
    </row>
    <row r="4984" customFormat="false" ht="15" hidden="false" customHeight="false" outlineLevel="0" collapsed="false">
      <c r="A4984" s="20" t="s">
        <v>2501</v>
      </c>
      <c r="E4984" s="23" t="str">
        <f aca="false">IF(D4984="?OLD","!!!","")</f>
        <v/>
      </c>
      <c r="F4984" s="25" t="str">
        <f aca="false">IF(OR(E4984="",E4984="!!!"),"",IF(NOT(ISNA(VLOOKUP(E4984,E$1:E4983,1,FALSE()))),"OLD",IF(AND(E4984&lt;&gt;"",E4984&lt;&gt;"!!!"),"NEW","")))</f>
        <v/>
      </c>
      <c r="G4984" s="26" t="str">
        <f aca="false">IF(OR(E4984="",E4984="!!!"),"",IF(OR(J4984=0,AND(J4984=1,K4984=1),AND(J4984=1,I4984="SBJ"),AND(J4984=1,I4984=0)),"?IN_FOCUS",IF(J4984&lt;=2,"?ACTIVATED",IF(J4984&lt;&gt;"","?FAMILIAR",IF(F4984="NEW",IF(ISNA(VLOOKUP(E4984,#REF!,1,FALSE())),"?TYPE_IDENTIFIABLE","?REFERENTIAL"),"_")))))</f>
        <v/>
      </c>
      <c r="H4984" s="27" t="str">
        <f aca="false">IF(J4984&lt;&gt;1,"",IF(I4984="SBJ","CB","?"))</f>
        <v/>
      </c>
      <c r="I4984" s="24" t="str">
        <f aca="false">IF(OR(E4984="",E4984="!!!",F4984="NEW"),"",INDEX(B13:B$4972,-1+SUMPRODUCT(MAX(ROW(E13:E$4972)*(E4984=E13:E$4972)))))</f>
        <v/>
      </c>
      <c r="J4984" s="24" t="str">
        <f aca="true">IF(OR(E4984="",E4984="!!!",F4984="NEW"),"",COUNTBLANK(OFFSET(A$1,,,SUMPRODUCT(MAX(ROW(E$2:E4984)*(E4984=E$2:E4984)))))-COUNTBLANK(OFFSET(A$1,,,SUMPRODUCT(MAX(ROW(E$1:E4983)*(E2=E$1:E4983))))))</f>
        <v/>
      </c>
      <c r="K4984" s="24" t="str">
        <f aca="false">IF(OR(E4984="",E4984="!!!",F4984="NEW"),"",INDEX(J$1:J4983,SUMPRODUCT(MAX(ROW(E$1:E4983)*(E4984=E$1:E4983)))))</f>
        <v/>
      </c>
      <c r="L4984" s="31"/>
    </row>
    <row r="4985" customFormat="false" ht="15" hidden="false" customHeight="false" outlineLevel="0" collapsed="false">
      <c r="A4985" s="20" t="s">
        <v>1555</v>
      </c>
      <c r="E4985" s="23" t="str">
        <f aca="false">IF(D4985="?OLD","!!!","")</f>
        <v/>
      </c>
      <c r="F4985" s="25" t="str">
        <f aca="false">IF(OR(E4985="",E4985="!!!"),"",IF(NOT(ISNA(VLOOKUP(E4985,E$1:E4984,1,FALSE()))),"OLD",IF(AND(E4985&lt;&gt;"",E4985&lt;&gt;"!!!"),"NEW","")))</f>
        <v/>
      </c>
      <c r="G4985" s="26" t="str">
        <f aca="false">IF(OR(E4985="",E4985="!!!"),"",IF(OR(J4985=0,AND(J4985=1,K4985=1),AND(J4985=1,I4985="SBJ"),AND(J4985=1,I4985=0)),"?IN_FOCUS",IF(J4985&lt;=2,"?ACTIVATED",IF(J4985&lt;&gt;"","?FAMILIAR",IF(F4985="NEW",IF(ISNA(VLOOKUP(E4985,#REF!,1,FALSE())),"?TYPE_IDENTIFIABLE","?REFERENTIAL"),"_")))))</f>
        <v/>
      </c>
      <c r="H4985" s="27" t="str">
        <f aca="false">IF(J4985&lt;&gt;1,"",IF(I4985="SBJ","CB","?"))</f>
        <v/>
      </c>
      <c r="I4985" s="24" t="str">
        <f aca="false">IF(OR(E4985="",E4985="!!!",F4985="NEW"),"",INDEX(B14:B$4972,-1+SUMPRODUCT(MAX(ROW(E14:E$4972)*(E4985=E14:E$4972)))))</f>
        <v/>
      </c>
      <c r="J4985" s="24" t="str">
        <f aca="true">IF(OR(E4985="",E4985="!!!",F4985="NEW"),"",COUNTBLANK(OFFSET(A$1,,,SUMPRODUCT(MAX(ROW(E$2:E4985)*(E4985=E$2:E4985)))))-COUNTBLANK(OFFSET(A$1,,,SUMPRODUCT(MAX(ROW(E$1:E4984)*(E2=E$1:E4984))))))</f>
        <v/>
      </c>
      <c r="K4985" s="24" t="str">
        <f aca="false">IF(OR(E4985="",E4985="!!!",F4985="NEW"),"",INDEX(J$1:J4984,SUMPRODUCT(MAX(ROW(E$1:E4984)*(E4985=E$1:E4984)))))</f>
        <v/>
      </c>
      <c r="L4985" s="31"/>
    </row>
    <row r="4986" customFormat="false" ht="15" hidden="false" customHeight="false" outlineLevel="0" collapsed="false">
      <c r="A4986" s="20" t="s">
        <v>1092</v>
      </c>
      <c r="E4986" s="23" t="str">
        <f aca="false">IF(D4986="?OLD","!!!","")</f>
        <v/>
      </c>
      <c r="F4986" s="25" t="str">
        <f aca="false">IF(OR(E4986="",E4986="!!!"),"",IF(NOT(ISNA(VLOOKUP(E4986,E$1:E4985,1,FALSE()))),"OLD",IF(AND(E4986&lt;&gt;"",E4986&lt;&gt;"!!!"),"NEW","")))</f>
        <v/>
      </c>
      <c r="G4986" s="26" t="str">
        <f aca="false">IF(OR(E4986="",E4986="!!!"),"",IF(OR(J4986=0,AND(J4986=1,K4986=1),AND(J4986=1,I4986="SBJ"),AND(J4986=1,I4986=0)),"?IN_FOCUS",IF(J4986&lt;=2,"?ACTIVATED",IF(J4986&lt;&gt;"","?FAMILIAR",IF(F4986="NEW",IF(ISNA(VLOOKUP(E4986,#REF!,1,FALSE())),"?TYPE_IDENTIFIABLE","?REFERENTIAL"),"_")))))</f>
        <v/>
      </c>
      <c r="H4986" s="27" t="str">
        <f aca="false">IF(J4986&lt;&gt;1,"",IF(I4986="SBJ","CB","?"))</f>
        <v/>
      </c>
      <c r="I4986" s="24" t="str">
        <f aca="false">IF(OR(E4986="",E4986="!!!",F4986="NEW"),"",INDEX(B15:B$4972,-1+SUMPRODUCT(MAX(ROW(E15:E$4972)*(E4986=E15:E$4972)))))</f>
        <v/>
      </c>
      <c r="J4986" s="24" t="str">
        <f aca="true">IF(OR(E4986="",E4986="!!!",F4986="NEW"),"",COUNTBLANK(OFFSET(A$1,,,SUMPRODUCT(MAX(ROW(E$2:E4986)*(E4986=E$2:E4986)))))-COUNTBLANK(OFFSET(A$1,,,SUMPRODUCT(MAX(ROW(E$1:E4985)*(E2=E$1:E4985))))))</f>
        <v/>
      </c>
      <c r="K4986" s="24" t="str">
        <f aca="false">IF(OR(E4986="",E4986="!!!",F4986="NEW"),"",INDEX(J$1:J4985,SUMPRODUCT(MAX(ROW(E$1:E4985)*(E4986=E$1:E4985)))))</f>
        <v/>
      </c>
      <c r="L4986" s="31"/>
    </row>
    <row r="4987" customFormat="false" ht="15" hidden="false" customHeight="false" outlineLevel="0" collapsed="false">
      <c r="A4987" s="20" t="s">
        <v>1936</v>
      </c>
      <c r="E4987" s="23" t="str">
        <f aca="false">IF(D4987="?OLD","!!!","")</f>
        <v/>
      </c>
      <c r="F4987" s="25" t="str">
        <f aca="false">IF(OR(E4987="",E4987="!!!"),"",IF(NOT(ISNA(VLOOKUP(E4987,E$1:E4986,1,FALSE()))),"OLD",IF(AND(E4987&lt;&gt;"",E4987&lt;&gt;"!!!"),"NEW","")))</f>
        <v/>
      </c>
      <c r="G4987" s="26" t="str">
        <f aca="false">IF(OR(E4987="",E4987="!!!"),"",IF(OR(J4987=0,AND(J4987=1,K4987=1),AND(J4987=1,I4987="SBJ"),AND(J4987=1,I4987=0)),"?IN_FOCUS",IF(J4987&lt;=2,"?ACTIVATED",IF(J4987&lt;&gt;"","?FAMILIAR",IF(F4987="NEW",IF(ISNA(VLOOKUP(E4987,#REF!,1,FALSE())),"?TYPE_IDENTIFIABLE","?REFERENTIAL"),"_")))))</f>
        <v/>
      </c>
      <c r="H4987" s="27" t="str">
        <f aca="false">IF(J4987&lt;&gt;1,"",IF(I4987="SBJ","CB","?"))</f>
        <v/>
      </c>
      <c r="I4987" s="24" t="str">
        <f aca="false">IF(OR(E4987="",E4987="!!!",F4987="NEW"),"",INDEX(B16:B$4972,-1+SUMPRODUCT(MAX(ROW(E16:E$4972)*(E4987=E16:E$4972)))))</f>
        <v/>
      </c>
      <c r="J4987" s="24" t="str">
        <f aca="true">IF(OR(E4987="",E4987="!!!",F4987="NEW"),"",COUNTBLANK(OFFSET(A$1,,,SUMPRODUCT(MAX(ROW(E$2:E4987)*(E4987=E$2:E4987)))))-COUNTBLANK(OFFSET(A$1,,,SUMPRODUCT(MAX(ROW(E$1:E4986)*(E2=E$1:E4986))))))</f>
        <v/>
      </c>
      <c r="K4987" s="24" t="str">
        <f aca="false">IF(OR(E4987="",E4987="!!!",F4987="NEW"),"",INDEX(J$1:J4986,SUMPRODUCT(MAX(ROW(E$1:E4986)*(E4987=E$1:E4986)))))</f>
        <v/>
      </c>
      <c r="L4987" s="31"/>
    </row>
    <row r="4988" customFormat="false" ht="15" hidden="false" customHeight="false" outlineLevel="0" collapsed="false">
      <c r="A4988" s="20" t="s">
        <v>1125</v>
      </c>
      <c r="B4988" s="22" t="s">
        <v>1146</v>
      </c>
      <c r="E4988" s="23" t="str">
        <f aca="false">IF(D4988="?OLD","!!!","")</f>
        <v/>
      </c>
      <c r="F4988" s="25" t="str">
        <f aca="false">IF(OR(E4988="",E4988="!!!"),"",IF(NOT(ISNA(VLOOKUP(E4988,E$1:E4987,1,FALSE()))),"OLD",IF(AND(E4988&lt;&gt;"",E4988&lt;&gt;"!!!"),"NEW","")))</f>
        <v/>
      </c>
      <c r="G4988" s="26" t="str">
        <f aca="false">IF(OR(E4988="",E4988="!!!"),"",IF(OR(J4988=0,AND(J4988=1,K4988=1),AND(J4988=1,I4988="SBJ"),AND(J4988=1,I4988=0)),"?IN_FOCUS",IF(J4988&lt;=2,"?ACTIVATED",IF(J4988&lt;&gt;"","?FAMILIAR",IF(F4988="NEW",IF(ISNA(VLOOKUP(E4988,#REF!,1,FALSE())),"?TYPE_IDENTIFIABLE","?REFERENTIAL"),"_")))))</f>
        <v/>
      </c>
      <c r="H4988" s="27" t="str">
        <f aca="false">IF(J4988&lt;&gt;1,"",IF(I4988="SBJ","CB","?"))</f>
        <v/>
      </c>
      <c r="I4988" s="24" t="str">
        <f aca="false">IF(OR(E4988="",E4988="!!!",F4988="NEW"),"",INDEX(B17:B$4972,-1+SUMPRODUCT(MAX(ROW(E17:E$4972)*(E4988=E17:E$4972)))))</f>
        <v/>
      </c>
      <c r="J4988" s="24" t="str">
        <f aca="true">IF(OR(E4988="",E4988="!!!",F4988="NEW"),"",COUNTBLANK(OFFSET(A$1,,,SUMPRODUCT(MAX(ROW(E$2:E4988)*(E4988=E$2:E4988)))))-COUNTBLANK(OFFSET(A$1,,,SUMPRODUCT(MAX(ROW(E$1:E4987)*(E2=E$1:E4987))))))</f>
        <v/>
      </c>
      <c r="K4988" s="24" t="str">
        <f aca="false">IF(OR(E4988="",E4988="!!!",F4988="NEW"),"",INDEX(J$1:J4987,SUMPRODUCT(MAX(ROW(E$1:E4987)*(E4988=E$1:E4987)))))</f>
        <v/>
      </c>
      <c r="L4988" s="31"/>
    </row>
    <row r="4989" customFormat="false" ht="15" hidden="false" customHeight="false" outlineLevel="0" collapsed="false">
      <c r="A4989" s="20" t="s">
        <v>1186</v>
      </c>
      <c r="B4989" s="22" t="s">
        <v>1091</v>
      </c>
      <c r="C4989" s="22" t="s">
        <v>1082</v>
      </c>
      <c r="D4989" s="22" t="s">
        <v>1060</v>
      </c>
      <c r="E4989" s="23" t="str">
        <f aca="false">IF(D4989="?OLD","!!!","")</f>
        <v>!!!</v>
      </c>
      <c r="F4989" s="25" t="str">
        <f aca="false">IF(OR(E4989="",E4989="!!!"),"",IF(NOT(ISNA(VLOOKUP(E4989,E$1:E4988,1,FALSE()))),"OLD",IF(AND(E4989&lt;&gt;"",E4989&lt;&gt;"!!!"),"NEW","")))</f>
        <v/>
      </c>
      <c r="G4989" s="26" t="str">
        <f aca="false">IF(OR(E4989="",E4989="!!!"),"",IF(OR(J4989=0,AND(J4989=1,K4989=1),AND(J4989=1,I4989="SBJ"),AND(J4989=1,I4989=0)),"?IN_FOCUS",IF(J4989&lt;=2,"?ACTIVATED",IF(J4989&lt;&gt;"","?FAMILIAR",IF(F4989="NEW",IF(ISNA(VLOOKUP(E4989,#REF!,1,FALSE())),"?TYPE_IDENTIFIABLE","?REFERENTIAL"),"_")))))</f>
        <v/>
      </c>
      <c r="H4989" s="27" t="str">
        <f aca="false">IF(J4989&lt;&gt;1,"",IF(I4989="SBJ","CB","?"))</f>
        <v/>
      </c>
      <c r="I4989" s="24" t="str">
        <f aca="false">IF(OR(E4989="",E4989="!!!",F4989="NEW"),"",INDEX(B18:B$4972,-1+SUMPRODUCT(MAX(ROW(E18:E$4972)*(E4989=E18:E$4972)))))</f>
        <v/>
      </c>
      <c r="J4989" s="24" t="str">
        <f aca="true">IF(OR(E4989="",E4989="!!!",F4989="NEW"),"",COUNTBLANK(OFFSET(A$1,,,SUMPRODUCT(MAX(ROW(E$2:E4989)*(E4989=E$2:E4989)))))-COUNTBLANK(OFFSET(A$1,,,SUMPRODUCT(MAX(ROW(E$1:E4988)*(E2=E$1:E4988))))))</f>
        <v/>
      </c>
      <c r="K4989" s="24" t="str">
        <f aca="false">IF(OR(E4989="",E4989="!!!",F4989="NEW"),"",INDEX(J$1:J4988,SUMPRODUCT(MAX(ROW(E$1:E4988)*(E4989=E$1:E4988)))))</f>
        <v/>
      </c>
      <c r="L4989" s="31"/>
    </row>
    <row r="4990" customFormat="false" ht="15" hidden="false" customHeight="false" outlineLevel="0" collapsed="false">
      <c r="A4990" s="20" t="s">
        <v>2052</v>
      </c>
      <c r="E4990" s="23" t="str">
        <f aca="false">IF(D4990="?OLD","!!!","")</f>
        <v/>
      </c>
      <c r="F4990" s="25" t="str">
        <f aca="false">IF(OR(E4990="",E4990="!!!"),"",IF(NOT(ISNA(VLOOKUP(E4990,E$1:E4989,1,FALSE()))),"OLD",IF(AND(E4990&lt;&gt;"",E4990&lt;&gt;"!!!"),"NEW","")))</f>
        <v/>
      </c>
      <c r="G4990" s="26" t="str">
        <f aca="false">IF(OR(E4990="",E4990="!!!"),"",IF(OR(J4990=0,AND(J4990=1,K4990=1),AND(J4990=1,I4990="SBJ"),AND(J4990=1,I4990=0)),"?IN_FOCUS",IF(J4990&lt;=2,"?ACTIVATED",IF(J4990&lt;&gt;"","?FAMILIAR",IF(F4990="NEW",IF(ISNA(VLOOKUP(E4990,#REF!,1,FALSE())),"?TYPE_IDENTIFIABLE","?REFERENTIAL"),"_")))))</f>
        <v/>
      </c>
      <c r="H4990" s="27" t="str">
        <f aca="false">IF(J4990&lt;&gt;1,"",IF(I4990="SBJ","CB","?"))</f>
        <v/>
      </c>
      <c r="I4990" s="24" t="str">
        <f aca="false">IF(OR(E4990="",E4990="!!!",F4990="NEW"),"",INDEX(B19:B$4972,-1+SUMPRODUCT(MAX(ROW(E19:E$4972)*(E4990=E19:E$4972)))))</f>
        <v/>
      </c>
      <c r="J4990" s="24" t="str">
        <f aca="true">IF(OR(E4990="",E4990="!!!",F4990="NEW"),"",COUNTBLANK(OFFSET(A$1,,,SUMPRODUCT(MAX(ROW(E$2:E4990)*(E4990=E$2:E4990)))))-COUNTBLANK(OFFSET(A$1,,,SUMPRODUCT(MAX(ROW(E$1:E4989)*(E2=E$1:E4989))))))</f>
        <v/>
      </c>
      <c r="K4990" s="24" t="str">
        <f aca="false">IF(OR(E4990="",E4990="!!!",F4990="NEW"),"",INDEX(J$1:J4989,SUMPRODUCT(MAX(ROW(E$1:E4989)*(E4990=E$1:E4989)))))</f>
        <v/>
      </c>
      <c r="L4990" s="31"/>
    </row>
    <row r="4991" customFormat="false" ht="15" hidden="false" customHeight="false" outlineLevel="0" collapsed="false">
      <c r="A4991" s="20" t="s">
        <v>1200</v>
      </c>
      <c r="E4991" s="23" t="str">
        <f aca="false">IF(D4991="?OLD","!!!","")</f>
        <v/>
      </c>
      <c r="F4991" s="25" t="str">
        <f aca="false">IF(OR(E4991="",E4991="!!!"),"",IF(NOT(ISNA(VLOOKUP(E4991,E$1:E4990,1,FALSE()))),"OLD",IF(AND(E4991&lt;&gt;"",E4991&lt;&gt;"!!!"),"NEW","")))</f>
        <v/>
      </c>
      <c r="G4991" s="26" t="str">
        <f aca="false">IF(OR(E4991="",E4991="!!!"),"",IF(OR(J4991=0,AND(J4991=1,K4991=1),AND(J4991=1,I4991="SBJ"),AND(J4991=1,I4991=0)),"?IN_FOCUS",IF(J4991&lt;=2,"?ACTIVATED",IF(J4991&lt;&gt;"","?FAMILIAR",IF(F4991="NEW",IF(ISNA(VLOOKUP(E4991,#REF!,1,FALSE())),"?TYPE_IDENTIFIABLE","?REFERENTIAL"),"_")))))</f>
        <v/>
      </c>
      <c r="H4991" s="27" t="str">
        <f aca="false">IF(J4991&lt;&gt;1,"",IF(I4991="SBJ","CB","?"))</f>
        <v/>
      </c>
      <c r="I4991" s="24" t="str">
        <f aca="false">IF(OR(E4991="",E4991="!!!",F4991="NEW"),"",INDEX(B20:B$4972,-1+SUMPRODUCT(MAX(ROW(E20:E$4972)*(E4991=E20:E$4972)))))</f>
        <v/>
      </c>
      <c r="J4991" s="24" t="str">
        <f aca="true">IF(OR(E4991="",E4991="!!!",F4991="NEW"),"",COUNTBLANK(OFFSET(A$1,,,SUMPRODUCT(MAX(ROW(E$2:E4991)*(E4991=E$2:E4991)))))-COUNTBLANK(OFFSET(A$1,,,SUMPRODUCT(MAX(ROW(E$1:E4990)*(E2=E$1:E4990))))))</f>
        <v/>
      </c>
      <c r="K4991" s="24" t="str">
        <f aca="false">IF(OR(E4991="",E4991="!!!",F4991="NEW"),"",INDEX(J$1:J4990,SUMPRODUCT(MAX(ROW(E$1:E4990)*(E4991=E$1:E4990)))))</f>
        <v/>
      </c>
      <c r="L4991" s="31"/>
    </row>
    <row r="4992" customFormat="false" ht="15" hidden="false" customHeight="false" outlineLevel="0" collapsed="false">
      <c r="A4992" s="20" t="s">
        <v>923</v>
      </c>
      <c r="E4992" s="23" t="str">
        <f aca="false">IF(D4992="?OLD","!!!","")</f>
        <v/>
      </c>
      <c r="F4992" s="25" t="str">
        <f aca="false">IF(OR(E4992="",E4992="!!!"),"",IF(NOT(ISNA(VLOOKUP(E4992,E$1:E4991,1,FALSE()))),"OLD",IF(AND(E4992&lt;&gt;"",E4992&lt;&gt;"!!!"),"NEW","")))</f>
        <v/>
      </c>
      <c r="G4992" s="26" t="str">
        <f aca="false">IF(OR(E4992="",E4992="!!!"),"",IF(OR(J4992=0,AND(J4992=1,K4992=1),AND(J4992=1,I4992="SBJ"),AND(J4992=1,I4992=0)),"?IN_FOCUS",IF(J4992&lt;=2,"?ACTIVATED",IF(J4992&lt;&gt;"","?FAMILIAR",IF(F4992="NEW",IF(ISNA(VLOOKUP(E4992,#REF!,1,FALSE())),"?TYPE_IDENTIFIABLE","?REFERENTIAL"),"_")))))</f>
        <v/>
      </c>
      <c r="H4992" s="27" t="str">
        <f aca="false">IF(J4992&lt;&gt;1,"",IF(I4992="SBJ","CB","?"))</f>
        <v/>
      </c>
      <c r="I4992" s="24" t="str">
        <f aca="false">IF(OR(E4992="",E4992="!!!",F4992="NEW"),"",INDEX(B21:B$4972,-1+SUMPRODUCT(MAX(ROW(E21:E$4972)*(E4992=E21:E$4972)))))</f>
        <v/>
      </c>
      <c r="J4992" s="24" t="str">
        <f aca="true">IF(OR(E4992="",E4992="!!!",F4992="NEW"),"",COUNTBLANK(OFFSET(A$1,,,SUMPRODUCT(MAX(ROW(E$2:E4992)*(E4992=E$2:E4992)))))-COUNTBLANK(OFFSET(A$1,,,SUMPRODUCT(MAX(ROW(E$1:E4991)*(E2=E$1:E4991))))))</f>
        <v/>
      </c>
      <c r="K4992" s="24" t="str">
        <f aca="false">IF(OR(E4992="",E4992="!!!",F4992="NEW"),"",INDEX(J$1:J4991,SUMPRODUCT(MAX(ROW(E$1:E4991)*(E4992=E$1:E4991)))))</f>
        <v/>
      </c>
      <c r="L4992" s="31"/>
    </row>
    <row r="4993" customFormat="false" ht="15" hidden="false" customHeight="false" outlineLevel="0" collapsed="false">
      <c r="A4993" s="20"/>
    </row>
    <row r="4994" customFormat="false" ht="15" hidden="false" customHeight="false" outlineLevel="0" collapsed="false">
      <c r="A4994" s="20" t="s">
        <v>2502</v>
      </c>
    </row>
    <row r="4995" customFormat="false" ht="15" hidden="false" customHeight="false" outlineLevel="0" collapsed="false">
      <c r="A4995" s="20" t="s">
        <v>1478</v>
      </c>
      <c r="E4995" s="23" t="str">
        <f aca="false">IF(D4995="?OLD","!!!","")</f>
        <v/>
      </c>
      <c r="F4995" s="25" t="str">
        <f aca="false">IF(OR(E4995="",E4995="!!!"),"",IF(NOT(ISNA(VLOOKUP(E4995,E$1:E4994,1,FALSE()))),"OLD",IF(AND(E4995&lt;&gt;"",E4995&lt;&gt;"!!!"),"NEW","")))</f>
        <v/>
      </c>
      <c r="G4995" s="26" t="str">
        <f aca="false">IF(OR(E4995="",E4995="!!!"),"",IF(OR(J4995=0,AND(J4995=1,K4995=1),AND(J4995=1,I4995="SBJ"),AND(J4995=1,I4995=0)),"?IN_FOCUS",IF(J4995&lt;=2,"?ACTIVATED",IF(J4995&lt;&gt;"","?FAMILIAR",IF(F4995="NEW",IF(ISNA(VLOOKUP(E4995,#REF!,1,FALSE())),"?TYPE_IDENTIFIABLE","?REFERENTIAL"),"_")))))</f>
        <v/>
      </c>
      <c r="H4995" s="27" t="str">
        <f aca="false">IF(J4995&lt;&gt;1,"",IF(I4995="SBJ","CB","?"))</f>
        <v/>
      </c>
      <c r="I4995" s="24" t="str">
        <f aca="false">IF(OR(E4995="",E4995="!!!",F4995="NEW"),"",INDEX(B2:B$4994,-1+SUMPRODUCT(MAX(ROW(E2:E$4994)*(E4995=E2:E$4994)))))</f>
        <v/>
      </c>
      <c r="J4995" s="24" t="str">
        <f aca="true">IF(OR(E4995="",E4995="!!!",F4995="NEW"),"",COUNTBLANK(OFFSET(A$1,,,SUMPRODUCT(MAX(ROW(E$2:E4995)*(E4995=E$2:E4995)))))-COUNTBLANK(OFFSET(A$1,,,SUMPRODUCT(MAX(ROW(E$1:E4994)*(E2=E$1:E4994))))))</f>
        <v/>
      </c>
      <c r="K4995" s="24" t="str">
        <f aca="false">IF(OR(E4995="",E4995="!!!",F4995="NEW"),"",INDEX(J$1:J4994,SUMPRODUCT(MAX(ROW(E$1:E4994)*(E4995=E$1:E4994)))))</f>
        <v/>
      </c>
      <c r="L4995" s="31"/>
    </row>
    <row r="4996" customFormat="false" ht="15" hidden="false" customHeight="false" outlineLevel="0" collapsed="false">
      <c r="A4996" s="20" t="s">
        <v>1092</v>
      </c>
      <c r="E4996" s="23" t="str">
        <f aca="false">IF(D4996="?OLD","!!!","")</f>
        <v/>
      </c>
      <c r="F4996" s="25" t="str">
        <f aca="false">IF(OR(E4996="",E4996="!!!"),"",IF(NOT(ISNA(VLOOKUP(E4996,E$1:E4995,1,FALSE()))),"OLD",IF(AND(E4996&lt;&gt;"",E4996&lt;&gt;"!!!"),"NEW","")))</f>
        <v/>
      </c>
      <c r="G4996" s="26" t="str">
        <f aca="false">IF(OR(E4996="",E4996="!!!"),"",IF(OR(J4996=0,AND(J4996=1,K4996=1),AND(J4996=1,I4996="SBJ"),AND(J4996=1,I4996=0)),"?IN_FOCUS",IF(J4996&lt;=2,"?ACTIVATED",IF(J4996&lt;&gt;"","?FAMILIAR",IF(F4996="NEW",IF(ISNA(VLOOKUP(E4996,#REF!,1,FALSE())),"?TYPE_IDENTIFIABLE","?REFERENTIAL"),"_")))))</f>
        <v/>
      </c>
      <c r="H4996" s="27" t="str">
        <f aca="false">IF(J4996&lt;&gt;1,"",IF(I4996="SBJ","CB","?"))</f>
        <v/>
      </c>
      <c r="I4996" s="24" t="str">
        <f aca="false">IF(OR(E4996="",E4996="!!!",F4996="NEW"),"",INDEX(B3:B$4994,-1+SUMPRODUCT(MAX(ROW(E3:E$4994)*(E4996=E3:E$4994)))))</f>
        <v/>
      </c>
      <c r="J4996" s="24" t="str">
        <f aca="true">IF(OR(E4996="",E4996="!!!",F4996="NEW"),"",COUNTBLANK(OFFSET(A$1,,,SUMPRODUCT(MAX(ROW(E$2:E4996)*(E4996=E$2:E4996)))))-COUNTBLANK(OFFSET(A$1,,,SUMPRODUCT(MAX(ROW(E$1:E4995)*(E2=E$1:E4995))))))</f>
        <v/>
      </c>
      <c r="K4996" s="24" t="str">
        <f aca="false">IF(OR(E4996="",E4996="!!!",F4996="NEW"),"",INDEX(J$1:J4995,SUMPRODUCT(MAX(ROW(E$1:E4995)*(E4996=E$1:E4995)))))</f>
        <v/>
      </c>
      <c r="L4996" s="31"/>
    </row>
    <row r="4997" customFormat="false" ht="15" hidden="false" customHeight="false" outlineLevel="0" collapsed="false">
      <c r="A4997" s="20" t="s">
        <v>1117</v>
      </c>
      <c r="E4997" s="23" t="str">
        <f aca="false">IF(D4997="?OLD","!!!","")</f>
        <v/>
      </c>
      <c r="F4997" s="25" t="str">
        <f aca="false">IF(OR(E4997="",E4997="!!!"),"",IF(NOT(ISNA(VLOOKUP(E4997,E$1:E4996,1,FALSE()))),"OLD",IF(AND(E4997&lt;&gt;"",E4997&lt;&gt;"!!!"),"NEW","")))</f>
        <v/>
      </c>
      <c r="G4997" s="26" t="str">
        <f aca="false">IF(OR(E4997="",E4997="!!!"),"",IF(OR(J4997=0,AND(J4997=1,K4997=1),AND(J4997=1,I4997="SBJ"),AND(J4997=1,I4997=0)),"?IN_FOCUS",IF(J4997&lt;=2,"?ACTIVATED",IF(J4997&lt;&gt;"","?FAMILIAR",IF(F4997="NEW",IF(ISNA(VLOOKUP(E4997,#REF!,1,FALSE())),"?TYPE_IDENTIFIABLE","?REFERENTIAL"),"_")))))</f>
        <v/>
      </c>
      <c r="H4997" s="27" t="str">
        <f aca="false">IF(J4997&lt;&gt;1,"",IF(I4997="SBJ","CB","?"))</f>
        <v/>
      </c>
      <c r="I4997" s="24" t="str">
        <f aca="false">IF(OR(E4997="",E4997="!!!",F4997="NEW"),"",INDEX(B4:B$4994,-1+SUMPRODUCT(MAX(ROW(E4:E$4994)*(E4997=E4:E$4994)))))</f>
        <v/>
      </c>
      <c r="J4997" s="24" t="str">
        <f aca="true">IF(OR(E4997="",E4997="!!!",F4997="NEW"),"",COUNTBLANK(OFFSET(A$1,,,SUMPRODUCT(MAX(ROW(E$2:E4997)*(E4997=E$2:E4997)))))-COUNTBLANK(OFFSET(A$1,,,SUMPRODUCT(MAX(ROW(E$1:E4996)*(E2=E$1:E4996))))))</f>
        <v/>
      </c>
      <c r="K4997" s="24" t="str">
        <f aca="false">IF(OR(E4997="",E4997="!!!",F4997="NEW"),"",INDEX(J$1:J4996,SUMPRODUCT(MAX(ROW(E$1:E4996)*(E4997=E$1:E4996)))))</f>
        <v/>
      </c>
      <c r="L4997" s="31"/>
    </row>
    <row r="4998" customFormat="false" ht="15" hidden="false" customHeight="false" outlineLevel="0" collapsed="false">
      <c r="A4998" s="20" t="s">
        <v>1755</v>
      </c>
      <c r="B4998" s="22" t="s">
        <v>1058</v>
      </c>
      <c r="C4998" s="22" t="s">
        <v>1389</v>
      </c>
      <c r="E4998" s="23" t="str">
        <f aca="false">IF(D4998="?OLD","!!!","")</f>
        <v/>
      </c>
      <c r="F4998" s="25" t="str">
        <f aca="false">IF(OR(E4998="",E4998="!!!"),"",IF(NOT(ISNA(VLOOKUP(E4998,E$1:E4997,1,FALSE()))),"OLD",IF(AND(E4998&lt;&gt;"",E4998&lt;&gt;"!!!"),"NEW","")))</f>
        <v/>
      </c>
      <c r="G4998" s="26" t="str">
        <f aca="false">IF(OR(E4998="",E4998="!!!"),"",IF(OR(J4998=0,AND(J4998=1,K4998=1),AND(J4998=1,I4998="SBJ"),AND(J4998=1,I4998=0)),"?IN_FOCUS",IF(J4998&lt;=2,"?ACTIVATED",IF(J4998&lt;&gt;"","?FAMILIAR",IF(F4998="NEW",IF(ISNA(VLOOKUP(E4998,#REF!,1,FALSE())),"?TYPE_IDENTIFIABLE","?REFERENTIAL"),"_")))))</f>
        <v/>
      </c>
      <c r="H4998" s="27" t="str">
        <f aca="false">IF(J4998&lt;&gt;1,"",IF(I4998="SBJ","CB","?"))</f>
        <v/>
      </c>
      <c r="I4998" s="24" t="str">
        <f aca="false">IF(OR(E4998="",E4998="!!!",F4998="NEW"),"",INDEX(B5:B$4994,-1+SUMPRODUCT(MAX(ROW(E5:E$4994)*(E4998=E5:E$4994)))))</f>
        <v/>
      </c>
      <c r="J4998" s="24" t="str">
        <f aca="true">IF(OR(E4998="",E4998="!!!",F4998="NEW"),"",COUNTBLANK(OFFSET(A$1,,,SUMPRODUCT(MAX(ROW(E$2:E4998)*(E4998=E$2:E4998)))))-COUNTBLANK(OFFSET(A$1,,,SUMPRODUCT(MAX(ROW(E$1:E4997)*(E2=E$1:E4997))))))</f>
        <v/>
      </c>
      <c r="K4998" s="24" t="str">
        <f aca="false">IF(OR(E4998="",E4998="!!!",F4998="NEW"),"",INDEX(J$1:J4997,SUMPRODUCT(MAX(ROW(E$1:E4997)*(E4998=E$1:E4997)))))</f>
        <v/>
      </c>
      <c r="L4998" s="31"/>
    </row>
    <row r="4999" customFormat="false" ht="15" hidden="false" customHeight="false" outlineLevel="0" collapsed="false">
      <c r="A4999" s="20" t="s">
        <v>1064</v>
      </c>
      <c r="E4999" s="23" t="str">
        <f aca="false">IF(D4999="?OLD","!!!","")</f>
        <v/>
      </c>
      <c r="F4999" s="25" t="str">
        <f aca="false">IF(OR(E4999="",E4999="!!!"),"",IF(NOT(ISNA(VLOOKUP(E4999,E$1:E4998,1,FALSE()))),"OLD",IF(AND(E4999&lt;&gt;"",E4999&lt;&gt;"!!!"),"NEW","")))</f>
        <v/>
      </c>
      <c r="G4999" s="26" t="str">
        <f aca="false">IF(OR(E4999="",E4999="!!!"),"",IF(OR(J4999=0,AND(J4999=1,K4999=1),AND(J4999=1,I4999="SBJ"),AND(J4999=1,I4999=0)),"?IN_FOCUS",IF(J4999&lt;=2,"?ACTIVATED",IF(J4999&lt;&gt;"","?FAMILIAR",IF(F4999="NEW",IF(ISNA(VLOOKUP(E4999,#REF!,1,FALSE())),"?TYPE_IDENTIFIABLE","?REFERENTIAL"),"_")))))</f>
        <v/>
      </c>
      <c r="H4999" s="27" t="str">
        <f aca="false">IF(J4999&lt;&gt;1,"",IF(I4999="SBJ","CB","?"))</f>
        <v/>
      </c>
      <c r="I4999" s="24" t="str">
        <f aca="false">IF(OR(E4999="",E4999="!!!",F4999="NEW"),"",INDEX(B6:B$4994,-1+SUMPRODUCT(MAX(ROW(E6:E$4994)*(E4999=E6:E$4994)))))</f>
        <v/>
      </c>
      <c r="J4999" s="24" t="str">
        <f aca="true">IF(OR(E4999="",E4999="!!!",F4999="NEW"),"",COUNTBLANK(OFFSET(A$1,,,SUMPRODUCT(MAX(ROW(E$2:E4999)*(E4999=E$2:E4999)))))-COUNTBLANK(OFFSET(A$1,,,SUMPRODUCT(MAX(ROW(E$1:E4998)*(E2=E$1:E4998))))))</f>
        <v/>
      </c>
      <c r="K4999" s="24" t="str">
        <f aca="false">IF(OR(E4999="",E4999="!!!",F4999="NEW"),"",INDEX(J$1:J4998,SUMPRODUCT(MAX(ROW(E$1:E4998)*(E4999=E$1:E4998)))))</f>
        <v/>
      </c>
      <c r="L4999" s="31"/>
    </row>
    <row r="5000" customFormat="false" ht="15" hidden="false" customHeight="false" outlineLevel="0" collapsed="false">
      <c r="A5000" s="20" t="s">
        <v>2110</v>
      </c>
      <c r="E5000" s="23" t="str">
        <f aca="false">IF(D5000="?OLD","!!!","")</f>
        <v/>
      </c>
      <c r="F5000" s="25" t="str">
        <f aca="false">IF(OR(E5000="",E5000="!!!"),"",IF(NOT(ISNA(VLOOKUP(E5000,E$1:E4999,1,FALSE()))),"OLD",IF(AND(E5000&lt;&gt;"",E5000&lt;&gt;"!!!"),"NEW","")))</f>
        <v/>
      </c>
      <c r="G5000" s="26" t="str">
        <f aca="false">IF(OR(E5000="",E5000="!!!"),"",IF(OR(J5000=0,AND(J5000=1,K5000=1),AND(J5000=1,I5000="SBJ"),AND(J5000=1,I5000=0)),"?IN_FOCUS",IF(J5000&lt;=2,"?ACTIVATED",IF(J5000&lt;&gt;"","?FAMILIAR",IF(F5000="NEW",IF(ISNA(VLOOKUP(E5000,#REF!,1,FALSE())),"?TYPE_IDENTIFIABLE","?REFERENTIAL"),"_")))))</f>
        <v/>
      </c>
      <c r="H5000" s="27" t="str">
        <f aca="false">IF(J5000&lt;&gt;1,"",IF(I5000="SBJ","CB","?"))</f>
        <v/>
      </c>
      <c r="I5000" s="24" t="str">
        <f aca="false">IF(OR(E5000="",E5000="!!!",F5000="NEW"),"",INDEX(B7:B$4994,-1+SUMPRODUCT(MAX(ROW(E7:E$4994)*(E5000=E7:E$4994)))))</f>
        <v/>
      </c>
      <c r="J5000" s="24" t="str">
        <f aca="true">IF(OR(E5000="",E5000="!!!",F5000="NEW"),"",COUNTBLANK(OFFSET(A$1,,,SUMPRODUCT(MAX(ROW(E$2:E5000)*(E5000=E$2:E5000)))))-COUNTBLANK(OFFSET(A$1,,,SUMPRODUCT(MAX(ROW(E$1:E4999)*(E2=E$1:E4999))))))</f>
        <v/>
      </c>
      <c r="K5000" s="24" t="str">
        <f aca="false">IF(OR(E5000="",E5000="!!!",F5000="NEW"),"",INDEX(J$1:J4999,SUMPRODUCT(MAX(ROW(E$1:E4999)*(E5000=E$1:E4999)))))</f>
        <v/>
      </c>
      <c r="L5000" s="31"/>
    </row>
    <row r="5001" customFormat="false" ht="15" hidden="false" customHeight="false" outlineLevel="0" collapsed="false">
      <c r="A5001" s="20" t="s">
        <v>1893</v>
      </c>
      <c r="B5001" s="22" t="s">
        <v>1146</v>
      </c>
      <c r="C5001" s="22" t="s">
        <v>1160</v>
      </c>
      <c r="E5001" s="23" t="str">
        <f aca="false">IF(D5001="?OLD","!!!","")</f>
        <v/>
      </c>
      <c r="F5001" s="25" t="str">
        <f aca="false">IF(OR(E5001="",E5001="!!!"),"",IF(NOT(ISNA(VLOOKUP(E5001,E$1:E5000,1,FALSE()))),"OLD",IF(AND(E5001&lt;&gt;"",E5001&lt;&gt;"!!!"),"NEW","")))</f>
        <v/>
      </c>
      <c r="G5001" s="26" t="str">
        <f aca="false">IF(OR(E5001="",E5001="!!!"),"",IF(OR(J5001=0,AND(J5001=1,K5001=1),AND(J5001=1,I5001="SBJ"),AND(J5001=1,I5001=0)),"?IN_FOCUS",IF(J5001&lt;=2,"?ACTIVATED",IF(J5001&lt;&gt;"","?FAMILIAR",IF(F5001="NEW",IF(ISNA(VLOOKUP(E5001,#REF!,1,FALSE())),"?TYPE_IDENTIFIABLE","?REFERENTIAL"),"_")))))</f>
        <v/>
      </c>
      <c r="H5001" s="27" t="str">
        <f aca="false">IF(J5001&lt;&gt;1,"",IF(I5001="SBJ","CB","?"))</f>
        <v/>
      </c>
      <c r="I5001" s="24" t="str">
        <f aca="false">IF(OR(E5001="",E5001="!!!",F5001="NEW"),"",INDEX(B8:B$4994,-1+SUMPRODUCT(MAX(ROW(E8:E$4994)*(E5001=E8:E$4994)))))</f>
        <v/>
      </c>
      <c r="J5001" s="24" t="str">
        <f aca="true">IF(OR(E5001="",E5001="!!!",F5001="NEW"),"",COUNTBLANK(OFFSET(A$1,,,SUMPRODUCT(MAX(ROW(E$2:E5001)*(E5001=E$2:E5001)))))-COUNTBLANK(OFFSET(A$1,,,SUMPRODUCT(MAX(ROW(E$1:E5000)*(E2=E$1:E5000))))))</f>
        <v/>
      </c>
      <c r="K5001" s="24" t="str">
        <f aca="false">IF(OR(E5001="",E5001="!!!",F5001="NEW"),"",INDEX(J$1:J5000,SUMPRODUCT(MAX(ROW(E$1:E5000)*(E5001=E$1:E5000)))))</f>
        <v/>
      </c>
      <c r="L5001" s="31"/>
    </row>
    <row r="5002" customFormat="false" ht="15" hidden="false" customHeight="false" outlineLevel="0" collapsed="false">
      <c r="A5002" s="20" t="s">
        <v>1173</v>
      </c>
      <c r="E5002" s="23" t="str">
        <f aca="false">IF(D5002="?OLD","!!!","")</f>
        <v/>
      </c>
      <c r="F5002" s="25" t="str">
        <f aca="false">IF(OR(E5002="",E5002="!!!"),"",IF(NOT(ISNA(VLOOKUP(E5002,E$1:E5001,1,FALSE()))),"OLD",IF(AND(E5002&lt;&gt;"",E5002&lt;&gt;"!!!"),"NEW","")))</f>
        <v/>
      </c>
      <c r="G5002" s="26" t="str">
        <f aca="false">IF(OR(E5002="",E5002="!!!"),"",IF(OR(J5002=0,AND(J5002=1,K5002=1),AND(J5002=1,I5002="SBJ"),AND(J5002=1,I5002=0)),"?IN_FOCUS",IF(J5002&lt;=2,"?ACTIVATED",IF(J5002&lt;&gt;"","?FAMILIAR",IF(F5002="NEW",IF(ISNA(VLOOKUP(E5002,#REF!,1,FALSE())),"?TYPE_IDENTIFIABLE","?REFERENTIAL"),"_")))))</f>
        <v/>
      </c>
      <c r="H5002" s="27" t="str">
        <f aca="false">IF(J5002&lt;&gt;1,"",IF(I5002="SBJ","CB","?"))</f>
        <v/>
      </c>
      <c r="I5002" s="24" t="str">
        <f aca="false">IF(OR(E5002="",E5002="!!!",F5002="NEW"),"",INDEX(B9:B$4994,-1+SUMPRODUCT(MAX(ROW(E9:E$4994)*(E5002=E9:E$4994)))))</f>
        <v/>
      </c>
      <c r="J5002" s="24" t="str">
        <f aca="true">IF(OR(E5002="",E5002="!!!",F5002="NEW"),"",COUNTBLANK(OFFSET(A$1,,,SUMPRODUCT(MAX(ROW(E$2:E5002)*(E5002=E$2:E5002)))))-COUNTBLANK(OFFSET(A$1,,,SUMPRODUCT(MAX(ROW(E$1:E5001)*(E2=E$1:E5001))))))</f>
        <v/>
      </c>
      <c r="K5002" s="24" t="str">
        <f aca="false">IF(OR(E5002="",E5002="!!!",F5002="NEW"),"",INDEX(J$1:J5001,SUMPRODUCT(MAX(ROW(E$1:E5001)*(E5002=E$1:E5001)))))</f>
        <v/>
      </c>
      <c r="L5002" s="31"/>
    </row>
    <row r="5003" customFormat="false" ht="15" hidden="false" customHeight="false" outlineLevel="0" collapsed="false">
      <c r="A5003" s="20" t="s">
        <v>1109</v>
      </c>
      <c r="E5003" s="23" t="str">
        <f aca="false">IF(D5003="?OLD","!!!","")</f>
        <v/>
      </c>
      <c r="F5003" s="25" t="str">
        <f aca="false">IF(OR(E5003="",E5003="!!!"),"",IF(NOT(ISNA(VLOOKUP(E5003,E$1:E5002,1,FALSE()))),"OLD",IF(AND(E5003&lt;&gt;"",E5003&lt;&gt;"!!!"),"NEW","")))</f>
        <v/>
      </c>
      <c r="G5003" s="26" t="str">
        <f aca="false">IF(OR(E5003="",E5003="!!!"),"",IF(OR(J5003=0,AND(J5003=1,K5003=1),AND(J5003=1,I5003="SBJ"),AND(J5003=1,I5003=0)),"?IN_FOCUS",IF(J5003&lt;=2,"?ACTIVATED",IF(J5003&lt;&gt;"","?FAMILIAR",IF(F5003="NEW",IF(ISNA(VLOOKUP(E5003,#REF!,1,FALSE())),"?TYPE_IDENTIFIABLE","?REFERENTIAL"),"_")))))</f>
        <v/>
      </c>
      <c r="H5003" s="27" t="str">
        <f aca="false">IF(J5003&lt;&gt;1,"",IF(I5003="SBJ","CB","?"))</f>
        <v/>
      </c>
      <c r="I5003" s="24" t="str">
        <f aca="false">IF(OR(E5003="",E5003="!!!",F5003="NEW"),"",INDEX(B10:B$4994,-1+SUMPRODUCT(MAX(ROW(E10:E$4994)*(E5003=E10:E$4994)))))</f>
        <v/>
      </c>
      <c r="J5003" s="24" t="str">
        <f aca="true">IF(OR(E5003="",E5003="!!!",F5003="NEW"),"",COUNTBLANK(OFFSET(A$1,,,SUMPRODUCT(MAX(ROW(E$2:E5003)*(E5003=E$2:E5003)))))-COUNTBLANK(OFFSET(A$1,,,SUMPRODUCT(MAX(ROW(E$1:E5002)*(E2=E$1:E5002))))))</f>
        <v/>
      </c>
      <c r="K5003" s="24" t="str">
        <f aca="false">IF(OR(E5003="",E5003="!!!",F5003="NEW"),"",INDEX(J$1:J5002,SUMPRODUCT(MAX(ROW(E$1:E5002)*(E5003=E$1:E5002)))))</f>
        <v/>
      </c>
      <c r="L5003" s="31"/>
    </row>
    <row r="5004" customFormat="false" ht="15" hidden="false" customHeight="false" outlineLevel="0" collapsed="false">
      <c r="A5004" s="20" t="s">
        <v>2319</v>
      </c>
      <c r="B5004" s="22" t="s">
        <v>1067</v>
      </c>
      <c r="C5004" s="22" t="s">
        <v>1150</v>
      </c>
      <c r="D5004" s="22" t="s">
        <v>1060</v>
      </c>
      <c r="E5004" s="23" t="str">
        <f aca="false">IF(D5004="?OLD","!!!","")</f>
        <v>!!!</v>
      </c>
      <c r="F5004" s="25" t="str">
        <f aca="false">IF(OR(E5004="",E5004="!!!"),"",IF(NOT(ISNA(VLOOKUP(E5004,E$1:E5003,1,FALSE()))),"OLD",IF(AND(E5004&lt;&gt;"",E5004&lt;&gt;"!!!"),"NEW","")))</f>
        <v/>
      </c>
      <c r="G5004" s="26" t="str">
        <f aca="false">IF(OR(E5004="",E5004="!!!"),"",IF(OR(J5004=0,AND(J5004=1,K5004=1),AND(J5004=1,I5004="SBJ"),AND(J5004=1,I5004=0)),"?IN_FOCUS",IF(J5004&lt;=2,"?ACTIVATED",IF(J5004&lt;&gt;"","?FAMILIAR",IF(F5004="NEW",IF(ISNA(VLOOKUP(E5004,#REF!,1,FALSE())),"?TYPE_IDENTIFIABLE","?REFERENTIAL"),"_")))))</f>
        <v/>
      </c>
      <c r="H5004" s="27" t="str">
        <f aca="false">IF(J5004&lt;&gt;1,"",IF(I5004="SBJ","CB","?"))</f>
        <v/>
      </c>
      <c r="I5004" s="24" t="str">
        <f aca="false">IF(OR(E5004="",E5004="!!!",F5004="NEW"),"",INDEX(B11:B$4994,-1+SUMPRODUCT(MAX(ROW(E11:E$4994)*(E5004=E11:E$4994)))))</f>
        <v/>
      </c>
      <c r="J5004" s="24" t="str">
        <f aca="true">IF(OR(E5004="",E5004="!!!",F5004="NEW"),"",COUNTBLANK(OFFSET(A$1,,,SUMPRODUCT(MAX(ROW(E$2:E5004)*(E5004=E$2:E5004)))))-COUNTBLANK(OFFSET(A$1,,,SUMPRODUCT(MAX(ROW(E$1:E5003)*(E2=E$1:E5003))))))</f>
        <v/>
      </c>
      <c r="K5004" s="24" t="str">
        <f aca="false">IF(OR(E5004="",E5004="!!!",F5004="NEW"),"",INDEX(J$1:J5003,SUMPRODUCT(MAX(ROW(E$1:E5003)*(E5004=E$1:E5003)))))</f>
        <v/>
      </c>
      <c r="L5004" s="31"/>
    </row>
    <row r="5005" customFormat="false" ht="15" hidden="false" customHeight="false" outlineLevel="0" collapsed="false">
      <c r="A5005" s="20" t="s">
        <v>1076</v>
      </c>
      <c r="E5005" s="23" t="str">
        <f aca="false">IF(D5005="?OLD","!!!","")</f>
        <v/>
      </c>
      <c r="F5005" s="25" t="str">
        <f aca="false">IF(OR(E5005="",E5005="!!!"),"",IF(NOT(ISNA(VLOOKUP(E5005,E$1:E5004,1,FALSE()))),"OLD",IF(AND(E5005&lt;&gt;"",E5005&lt;&gt;"!!!"),"NEW","")))</f>
        <v/>
      </c>
      <c r="G5005" s="26" t="str">
        <f aca="false">IF(OR(E5005="",E5005="!!!"),"",IF(OR(J5005=0,AND(J5005=1,K5005=1),AND(J5005=1,I5005="SBJ"),AND(J5005=1,I5005=0)),"?IN_FOCUS",IF(J5005&lt;=2,"?ACTIVATED",IF(J5005&lt;&gt;"","?FAMILIAR",IF(F5005="NEW",IF(ISNA(VLOOKUP(E5005,#REF!,1,FALSE())),"?TYPE_IDENTIFIABLE","?REFERENTIAL"),"_")))))</f>
        <v/>
      </c>
      <c r="H5005" s="27" t="str">
        <f aca="false">IF(J5005&lt;&gt;1,"",IF(I5005="SBJ","CB","?"))</f>
        <v/>
      </c>
      <c r="I5005" s="24" t="str">
        <f aca="false">IF(OR(E5005="",E5005="!!!",F5005="NEW"),"",INDEX(B12:B$4994,-1+SUMPRODUCT(MAX(ROW(E12:E$4994)*(E5005=E12:E$4994)))))</f>
        <v/>
      </c>
      <c r="J5005" s="24" t="str">
        <f aca="true">IF(OR(E5005="",E5005="!!!",F5005="NEW"),"",COUNTBLANK(OFFSET(A$1,,,SUMPRODUCT(MAX(ROW(E$2:E5005)*(E5005=E$2:E5005)))))-COUNTBLANK(OFFSET(A$1,,,SUMPRODUCT(MAX(ROW(E$1:E5004)*(E2=E$1:E5004))))))</f>
        <v/>
      </c>
      <c r="K5005" s="24" t="str">
        <f aca="false">IF(OR(E5005="",E5005="!!!",F5005="NEW"),"",INDEX(J$1:J5004,SUMPRODUCT(MAX(ROW(E$1:E5004)*(E5005=E$1:E5004)))))</f>
        <v/>
      </c>
      <c r="L5005" s="31"/>
    </row>
    <row r="5006" customFormat="false" ht="15" hidden="false" customHeight="false" outlineLevel="0" collapsed="false">
      <c r="A5006" s="20" t="s">
        <v>1154</v>
      </c>
      <c r="E5006" s="23" t="str">
        <f aca="false">IF(D5006="?OLD","!!!","")</f>
        <v/>
      </c>
      <c r="F5006" s="25" t="str">
        <f aca="false">IF(OR(E5006="",E5006="!!!"),"",IF(NOT(ISNA(VLOOKUP(E5006,E$1:E5005,1,FALSE()))),"OLD",IF(AND(E5006&lt;&gt;"",E5006&lt;&gt;"!!!"),"NEW","")))</f>
        <v/>
      </c>
      <c r="G5006" s="26" t="str">
        <f aca="false">IF(OR(E5006="",E5006="!!!"),"",IF(OR(J5006=0,AND(J5006=1,K5006=1),AND(J5006=1,I5006="SBJ"),AND(J5006=1,I5006=0)),"?IN_FOCUS",IF(J5006&lt;=2,"?ACTIVATED",IF(J5006&lt;&gt;"","?FAMILIAR",IF(F5006="NEW",IF(ISNA(VLOOKUP(E5006,#REF!,1,FALSE())),"?TYPE_IDENTIFIABLE","?REFERENTIAL"),"_")))))</f>
        <v/>
      </c>
      <c r="H5006" s="27" t="str">
        <f aca="false">IF(J5006&lt;&gt;1,"",IF(I5006="SBJ","CB","?"))</f>
        <v/>
      </c>
      <c r="I5006" s="24" t="str">
        <f aca="false">IF(OR(E5006="",E5006="!!!",F5006="NEW"),"",INDEX(B13:B$4994,-1+SUMPRODUCT(MAX(ROW(E13:E$4994)*(E5006=E13:E$4994)))))</f>
        <v/>
      </c>
      <c r="J5006" s="24" t="str">
        <f aca="true">IF(OR(E5006="",E5006="!!!",F5006="NEW"),"",COUNTBLANK(OFFSET(A$1,,,SUMPRODUCT(MAX(ROW(E$2:E5006)*(E5006=E$2:E5006)))))-COUNTBLANK(OFFSET(A$1,,,SUMPRODUCT(MAX(ROW(E$1:E5005)*(E2=E$1:E5005))))))</f>
        <v/>
      </c>
      <c r="K5006" s="24" t="str">
        <f aca="false">IF(OR(E5006="",E5006="!!!",F5006="NEW"),"",INDEX(J$1:J5005,SUMPRODUCT(MAX(ROW(E$1:E5005)*(E5006=E$1:E5005)))))</f>
        <v/>
      </c>
      <c r="L5006" s="31"/>
    </row>
    <row r="5007" customFormat="false" ht="15" hidden="false" customHeight="false" outlineLevel="0" collapsed="false">
      <c r="A5007" s="20" t="s">
        <v>1109</v>
      </c>
      <c r="E5007" s="23" t="str">
        <f aca="false">IF(D5007="?OLD","!!!","")</f>
        <v/>
      </c>
      <c r="F5007" s="25" t="str">
        <f aca="false">IF(OR(E5007="",E5007="!!!"),"",IF(NOT(ISNA(VLOOKUP(E5007,E$1:E5006,1,FALSE()))),"OLD",IF(AND(E5007&lt;&gt;"",E5007&lt;&gt;"!!!"),"NEW","")))</f>
        <v/>
      </c>
      <c r="G5007" s="26" t="str">
        <f aca="false">IF(OR(E5007="",E5007="!!!"),"",IF(OR(J5007=0,AND(J5007=1,K5007=1),AND(J5007=1,I5007="SBJ"),AND(J5007=1,I5007=0)),"?IN_FOCUS",IF(J5007&lt;=2,"?ACTIVATED",IF(J5007&lt;&gt;"","?FAMILIAR",IF(F5007="NEW",IF(ISNA(VLOOKUP(E5007,#REF!,1,FALSE())),"?TYPE_IDENTIFIABLE","?REFERENTIAL"),"_")))))</f>
        <v/>
      </c>
      <c r="H5007" s="27" t="str">
        <f aca="false">IF(J5007&lt;&gt;1,"",IF(I5007="SBJ","CB","?"))</f>
        <v/>
      </c>
      <c r="I5007" s="24" t="str">
        <f aca="false">IF(OR(E5007="",E5007="!!!",F5007="NEW"),"",INDEX(B14:B$4994,-1+SUMPRODUCT(MAX(ROW(E14:E$4994)*(E5007=E14:E$4994)))))</f>
        <v/>
      </c>
      <c r="J5007" s="24" t="str">
        <f aca="true">IF(OR(E5007="",E5007="!!!",F5007="NEW"),"",COUNTBLANK(OFFSET(A$1,,,SUMPRODUCT(MAX(ROW(E$2:E5007)*(E5007=E$2:E5007)))))-COUNTBLANK(OFFSET(A$1,,,SUMPRODUCT(MAX(ROW(E$1:E5006)*(E2=E$1:E5006))))))</f>
        <v/>
      </c>
      <c r="K5007" s="24" t="str">
        <f aca="false">IF(OR(E5007="",E5007="!!!",F5007="NEW"),"",INDEX(J$1:J5006,SUMPRODUCT(MAX(ROW(E$1:E5006)*(E5007=E$1:E5006)))))</f>
        <v/>
      </c>
      <c r="L5007" s="31"/>
    </row>
    <row r="5008" customFormat="false" ht="15" hidden="false" customHeight="false" outlineLevel="0" collapsed="false">
      <c r="A5008" s="20" t="s">
        <v>2503</v>
      </c>
      <c r="E5008" s="23" t="str">
        <f aca="false">IF(D5008="?OLD","!!!","")</f>
        <v/>
      </c>
      <c r="F5008" s="25" t="str">
        <f aca="false">IF(OR(E5008="",E5008="!!!"),"",IF(NOT(ISNA(VLOOKUP(E5008,E$1:E5007,1,FALSE()))),"OLD",IF(AND(E5008&lt;&gt;"",E5008&lt;&gt;"!!!"),"NEW","")))</f>
        <v/>
      </c>
      <c r="G5008" s="26" t="str">
        <f aca="false">IF(OR(E5008="",E5008="!!!"),"",IF(OR(J5008=0,AND(J5008=1,K5008=1),AND(J5008=1,I5008="SBJ"),AND(J5008=1,I5008=0)),"?IN_FOCUS",IF(J5008&lt;=2,"?ACTIVATED",IF(J5008&lt;&gt;"","?FAMILIAR",IF(F5008="NEW",IF(ISNA(VLOOKUP(E5008,#REF!,1,FALSE())),"?TYPE_IDENTIFIABLE","?REFERENTIAL"),"_")))))</f>
        <v/>
      </c>
      <c r="H5008" s="27" t="str">
        <f aca="false">IF(J5008&lt;&gt;1,"",IF(I5008="SBJ","CB","?"))</f>
        <v/>
      </c>
      <c r="I5008" s="24" t="str">
        <f aca="false">IF(OR(E5008="",E5008="!!!",F5008="NEW"),"",INDEX(B15:B$4994,-1+SUMPRODUCT(MAX(ROW(E15:E$4994)*(E5008=E15:E$4994)))))</f>
        <v/>
      </c>
      <c r="J5008" s="24" t="str">
        <f aca="true">IF(OR(E5008="",E5008="!!!",F5008="NEW"),"",COUNTBLANK(OFFSET(A$1,,,SUMPRODUCT(MAX(ROW(E$2:E5008)*(E5008=E$2:E5008)))))-COUNTBLANK(OFFSET(A$1,,,SUMPRODUCT(MAX(ROW(E$1:E5007)*(E2=E$1:E5007))))))</f>
        <v/>
      </c>
      <c r="K5008" s="24" t="str">
        <f aca="false">IF(OR(E5008="",E5008="!!!",F5008="NEW"),"",INDEX(J$1:J5007,SUMPRODUCT(MAX(ROW(E$1:E5007)*(E5008=E$1:E5007)))))</f>
        <v/>
      </c>
      <c r="L5008" s="31"/>
    </row>
    <row r="5009" customFormat="false" ht="15" hidden="false" customHeight="false" outlineLevel="0" collapsed="false">
      <c r="A5009" s="20" t="s">
        <v>2482</v>
      </c>
      <c r="B5009" s="22" t="s">
        <v>1086</v>
      </c>
      <c r="C5009" s="22" t="s">
        <v>1150</v>
      </c>
      <c r="D5009" s="22" t="s">
        <v>1060</v>
      </c>
      <c r="E5009" s="23" t="str">
        <f aca="false">IF(D5009="?OLD","!!!","")</f>
        <v>!!!</v>
      </c>
      <c r="F5009" s="25" t="str">
        <f aca="false">IF(OR(E5009="",E5009="!!!"),"",IF(NOT(ISNA(VLOOKUP(E5009,E$1:E5008,1,FALSE()))),"OLD",IF(AND(E5009&lt;&gt;"",E5009&lt;&gt;"!!!"),"NEW","")))</f>
        <v/>
      </c>
      <c r="G5009" s="26" t="str">
        <f aca="false">IF(OR(E5009="",E5009="!!!"),"",IF(OR(J5009=0,AND(J5009=1,K5009=1),AND(J5009=1,I5009="SBJ"),AND(J5009=1,I5009=0)),"?IN_FOCUS",IF(J5009&lt;=2,"?ACTIVATED",IF(J5009&lt;&gt;"","?FAMILIAR",IF(F5009="NEW",IF(ISNA(VLOOKUP(E5009,#REF!,1,FALSE())),"?TYPE_IDENTIFIABLE","?REFERENTIAL"),"_")))))</f>
        <v/>
      </c>
      <c r="H5009" s="27" t="str">
        <f aca="false">IF(J5009&lt;&gt;1,"",IF(I5009="SBJ","CB","?"))</f>
        <v/>
      </c>
      <c r="I5009" s="24" t="str">
        <f aca="false">IF(OR(E5009="",E5009="!!!",F5009="NEW"),"",INDEX(B16:B$4994,-1+SUMPRODUCT(MAX(ROW(E16:E$4994)*(E5009=E16:E$4994)))))</f>
        <v/>
      </c>
      <c r="J5009" s="24" t="str">
        <f aca="true">IF(OR(E5009="",E5009="!!!",F5009="NEW"),"",COUNTBLANK(OFFSET(A$1,,,SUMPRODUCT(MAX(ROW(E$2:E5009)*(E5009=E$2:E5009)))))-COUNTBLANK(OFFSET(A$1,,,SUMPRODUCT(MAX(ROW(E$1:E5008)*(E2=E$1:E5008))))))</f>
        <v/>
      </c>
      <c r="K5009" s="24" t="str">
        <f aca="false">IF(OR(E5009="",E5009="!!!",F5009="NEW"),"",INDEX(J$1:J5008,SUMPRODUCT(MAX(ROW(E$1:E5008)*(E5009=E$1:E5008)))))</f>
        <v/>
      </c>
      <c r="L5009" s="31"/>
    </row>
    <row r="5010" customFormat="false" ht="15" hidden="false" customHeight="false" outlineLevel="0" collapsed="false">
      <c r="A5010" s="20" t="s">
        <v>2504</v>
      </c>
      <c r="E5010" s="23" t="str">
        <f aca="false">IF(D5010="?OLD","!!!","")</f>
        <v/>
      </c>
      <c r="F5010" s="25" t="str">
        <f aca="false">IF(OR(E5010="",E5010="!!!"),"",IF(NOT(ISNA(VLOOKUP(E5010,E$1:E5009,1,FALSE()))),"OLD",IF(AND(E5010&lt;&gt;"",E5010&lt;&gt;"!!!"),"NEW","")))</f>
        <v/>
      </c>
      <c r="G5010" s="26" t="str">
        <f aca="false">IF(OR(E5010="",E5010="!!!"),"",IF(OR(J5010=0,AND(J5010=1,K5010=1),AND(J5010=1,I5010="SBJ"),AND(J5010=1,I5010=0)),"?IN_FOCUS",IF(J5010&lt;=2,"?ACTIVATED",IF(J5010&lt;&gt;"","?FAMILIAR",IF(F5010="NEW",IF(ISNA(VLOOKUP(E5010,#REF!,1,FALSE())),"?TYPE_IDENTIFIABLE","?REFERENTIAL"),"_")))))</f>
        <v/>
      </c>
      <c r="H5010" s="27" t="str">
        <f aca="false">IF(J5010&lt;&gt;1,"",IF(I5010="SBJ","CB","?"))</f>
        <v/>
      </c>
      <c r="I5010" s="24" t="str">
        <f aca="false">IF(OR(E5010="",E5010="!!!",F5010="NEW"),"",INDEX(B17:B$4994,-1+SUMPRODUCT(MAX(ROW(E17:E$4994)*(E5010=E17:E$4994)))))</f>
        <v/>
      </c>
      <c r="J5010" s="24" t="str">
        <f aca="true">IF(OR(E5010="",E5010="!!!",F5010="NEW"),"",COUNTBLANK(OFFSET(A$1,,,SUMPRODUCT(MAX(ROW(E$2:E5010)*(E5010=E$2:E5010)))))-COUNTBLANK(OFFSET(A$1,,,SUMPRODUCT(MAX(ROW(E$1:E5009)*(E2=E$1:E5009))))))</f>
        <v/>
      </c>
      <c r="K5010" s="24" t="str">
        <f aca="false">IF(OR(E5010="",E5010="!!!",F5010="NEW"),"",INDEX(J$1:J5009,SUMPRODUCT(MAX(ROW(E$1:E5009)*(E5010=E$1:E5009)))))</f>
        <v/>
      </c>
      <c r="L5010" s="31"/>
    </row>
    <row r="5011" customFormat="false" ht="15" hidden="false" customHeight="false" outlineLevel="0" collapsed="false">
      <c r="A5011" s="20" t="s">
        <v>1794</v>
      </c>
      <c r="E5011" s="23" t="str">
        <f aca="false">IF(D5011="?OLD","!!!","")</f>
        <v/>
      </c>
      <c r="F5011" s="25" t="str">
        <f aca="false">IF(OR(E5011="",E5011="!!!"),"",IF(NOT(ISNA(VLOOKUP(E5011,E$1:E5010,1,FALSE()))),"OLD",IF(AND(E5011&lt;&gt;"",E5011&lt;&gt;"!!!"),"NEW","")))</f>
        <v/>
      </c>
      <c r="G5011" s="26" t="str">
        <f aca="false">IF(OR(E5011="",E5011="!!!"),"",IF(OR(J5011=0,AND(J5011=1,K5011=1),AND(J5011=1,I5011="SBJ"),AND(J5011=1,I5011=0)),"?IN_FOCUS",IF(J5011&lt;=2,"?ACTIVATED",IF(J5011&lt;&gt;"","?FAMILIAR",IF(F5011="NEW",IF(ISNA(VLOOKUP(E5011,#REF!,1,FALSE())),"?TYPE_IDENTIFIABLE","?REFERENTIAL"),"_")))))</f>
        <v/>
      </c>
      <c r="H5011" s="27" t="str">
        <f aca="false">IF(J5011&lt;&gt;1,"",IF(I5011="SBJ","CB","?"))</f>
        <v/>
      </c>
      <c r="I5011" s="24" t="str">
        <f aca="false">IF(OR(E5011="",E5011="!!!",F5011="NEW"),"",INDEX(B18:B$4994,-1+SUMPRODUCT(MAX(ROW(E18:E$4994)*(E5011=E18:E$4994)))))</f>
        <v/>
      </c>
      <c r="J5011" s="24" t="str">
        <f aca="true">IF(OR(E5011="",E5011="!!!",F5011="NEW"),"",COUNTBLANK(OFFSET(A$1,,,SUMPRODUCT(MAX(ROW(E$2:E5011)*(E5011=E$2:E5011)))))-COUNTBLANK(OFFSET(A$1,,,SUMPRODUCT(MAX(ROW(E$1:E5010)*(E2=E$1:E5010))))))</f>
        <v/>
      </c>
      <c r="K5011" s="24" t="str">
        <f aca="false">IF(OR(E5011="",E5011="!!!",F5011="NEW"),"",INDEX(J$1:J5010,SUMPRODUCT(MAX(ROW(E$1:E5010)*(E5011=E$1:E5010)))))</f>
        <v/>
      </c>
      <c r="L5011" s="31"/>
    </row>
    <row r="5012" customFormat="false" ht="15" hidden="false" customHeight="false" outlineLevel="0" collapsed="false">
      <c r="A5012" s="20" t="s">
        <v>1173</v>
      </c>
      <c r="E5012" s="23" t="str">
        <f aca="false">IF(D5012="?OLD","!!!","")</f>
        <v/>
      </c>
      <c r="F5012" s="25" t="str">
        <f aca="false">IF(OR(E5012="",E5012="!!!"),"",IF(NOT(ISNA(VLOOKUP(E5012,E$1:E5011,1,FALSE()))),"OLD",IF(AND(E5012&lt;&gt;"",E5012&lt;&gt;"!!!"),"NEW","")))</f>
        <v/>
      </c>
      <c r="G5012" s="26" t="str">
        <f aca="false">IF(OR(E5012="",E5012="!!!"),"",IF(OR(J5012=0,AND(J5012=1,K5012=1),AND(J5012=1,I5012="SBJ"),AND(J5012=1,I5012=0)),"?IN_FOCUS",IF(J5012&lt;=2,"?ACTIVATED",IF(J5012&lt;&gt;"","?FAMILIAR",IF(F5012="NEW",IF(ISNA(VLOOKUP(E5012,#REF!,1,FALSE())),"?TYPE_IDENTIFIABLE","?REFERENTIAL"),"_")))))</f>
        <v/>
      </c>
      <c r="H5012" s="27" t="str">
        <f aca="false">IF(J5012&lt;&gt;1,"",IF(I5012="SBJ","CB","?"))</f>
        <v/>
      </c>
      <c r="I5012" s="24" t="str">
        <f aca="false">IF(OR(E5012="",E5012="!!!",F5012="NEW"),"",INDEX(B19:B$4994,-1+SUMPRODUCT(MAX(ROW(E19:E$4994)*(E5012=E19:E$4994)))))</f>
        <v/>
      </c>
      <c r="J5012" s="24" t="str">
        <f aca="true">IF(OR(E5012="",E5012="!!!",F5012="NEW"),"",COUNTBLANK(OFFSET(A$1,,,SUMPRODUCT(MAX(ROW(E$2:E5012)*(E5012=E$2:E5012)))))-COUNTBLANK(OFFSET(A$1,,,SUMPRODUCT(MAX(ROW(E$1:E5011)*(E2=E$1:E5011))))))</f>
        <v/>
      </c>
      <c r="K5012" s="24" t="str">
        <f aca="false">IF(OR(E5012="",E5012="!!!",F5012="NEW"),"",INDEX(J$1:J5011,SUMPRODUCT(MAX(ROW(E$1:E5011)*(E5012=E$1:E5011)))))</f>
        <v/>
      </c>
      <c r="L5012" s="31"/>
    </row>
    <row r="5013" customFormat="false" ht="15" hidden="false" customHeight="false" outlineLevel="0" collapsed="false">
      <c r="A5013" s="20" t="s">
        <v>1218</v>
      </c>
      <c r="E5013" s="23" t="str">
        <f aca="false">IF(D5013="?OLD","!!!","")</f>
        <v/>
      </c>
      <c r="F5013" s="25" t="str">
        <f aca="false">IF(OR(E5013="",E5013="!!!"),"",IF(NOT(ISNA(VLOOKUP(E5013,E$1:E5012,1,FALSE()))),"OLD",IF(AND(E5013&lt;&gt;"",E5013&lt;&gt;"!!!"),"NEW","")))</f>
        <v/>
      </c>
      <c r="G5013" s="26" t="str">
        <f aca="false">IF(OR(E5013="",E5013="!!!"),"",IF(OR(J5013=0,AND(J5013=1,K5013=1),AND(J5013=1,I5013="SBJ"),AND(J5013=1,I5013=0)),"?IN_FOCUS",IF(J5013&lt;=2,"?ACTIVATED",IF(J5013&lt;&gt;"","?FAMILIAR",IF(F5013="NEW",IF(ISNA(VLOOKUP(E5013,#REF!,1,FALSE())),"?TYPE_IDENTIFIABLE","?REFERENTIAL"),"_")))))</f>
        <v/>
      </c>
      <c r="H5013" s="27" t="str">
        <f aca="false">IF(J5013&lt;&gt;1,"",IF(I5013="SBJ","CB","?"))</f>
        <v/>
      </c>
      <c r="I5013" s="24" t="str">
        <f aca="false">IF(OR(E5013="",E5013="!!!",F5013="NEW"),"",INDEX(B20:B$4994,-1+SUMPRODUCT(MAX(ROW(E20:E$4994)*(E5013=E20:E$4994)))))</f>
        <v/>
      </c>
      <c r="J5013" s="24" t="str">
        <f aca="true">IF(OR(E5013="",E5013="!!!",F5013="NEW"),"",COUNTBLANK(OFFSET(A$1,,,SUMPRODUCT(MAX(ROW(E$2:E5013)*(E5013=E$2:E5013)))))-COUNTBLANK(OFFSET(A$1,,,SUMPRODUCT(MAX(ROW(E$1:E5012)*(E2=E$1:E5012))))))</f>
        <v/>
      </c>
      <c r="K5013" s="24" t="str">
        <f aca="false">IF(OR(E5013="",E5013="!!!",F5013="NEW"),"",INDEX(J$1:J5012,SUMPRODUCT(MAX(ROW(E$1:E5012)*(E5013=E$1:E5012)))))</f>
        <v/>
      </c>
      <c r="L5013" s="31"/>
    </row>
    <row r="5014" customFormat="false" ht="15" hidden="false" customHeight="false" outlineLevel="0" collapsed="false">
      <c r="A5014" s="20" t="s">
        <v>1454</v>
      </c>
      <c r="B5014" s="22" t="s">
        <v>1073</v>
      </c>
      <c r="C5014" s="22" t="s">
        <v>1082</v>
      </c>
      <c r="D5014" s="22" t="s">
        <v>1060</v>
      </c>
      <c r="E5014" s="23" t="str">
        <f aca="false">IF(D5014="?OLD","!!!","")</f>
        <v>!!!</v>
      </c>
      <c r="F5014" s="25" t="str">
        <f aca="false">IF(OR(E5014="",E5014="!!!"),"",IF(NOT(ISNA(VLOOKUP(E5014,E$1:E5013,1,FALSE()))),"OLD",IF(AND(E5014&lt;&gt;"",E5014&lt;&gt;"!!!"),"NEW","")))</f>
        <v/>
      </c>
      <c r="G5014" s="26" t="str">
        <f aca="false">IF(OR(E5014="",E5014="!!!"),"",IF(OR(J5014=0,AND(J5014=1,K5014=1),AND(J5014=1,I5014="SBJ"),AND(J5014=1,I5014=0)),"?IN_FOCUS",IF(J5014&lt;=2,"?ACTIVATED",IF(J5014&lt;&gt;"","?FAMILIAR",IF(F5014="NEW",IF(ISNA(VLOOKUP(E5014,#REF!,1,FALSE())),"?TYPE_IDENTIFIABLE","?REFERENTIAL"),"_")))))</f>
        <v/>
      </c>
      <c r="H5014" s="27" t="str">
        <f aca="false">IF(J5014&lt;&gt;1,"",IF(I5014="SBJ","CB","?"))</f>
        <v/>
      </c>
      <c r="I5014" s="24" t="str">
        <f aca="false">IF(OR(E5014="",E5014="!!!",F5014="NEW"),"",INDEX(B21:B$4994,-1+SUMPRODUCT(MAX(ROW(E21:E$4994)*(E5014=E21:E$4994)))))</f>
        <v/>
      </c>
      <c r="J5014" s="24" t="str">
        <f aca="true">IF(OR(E5014="",E5014="!!!",F5014="NEW"),"",COUNTBLANK(OFFSET(A$1,,,SUMPRODUCT(MAX(ROW(E$2:E5014)*(E5014=E$2:E5014)))))-COUNTBLANK(OFFSET(A$1,,,SUMPRODUCT(MAX(ROW(E$1:E5013)*(E2=E$1:E5013))))))</f>
        <v/>
      </c>
      <c r="K5014" s="24" t="str">
        <f aca="false">IF(OR(E5014="",E5014="!!!",F5014="NEW"),"",INDEX(J$1:J5013,SUMPRODUCT(MAX(ROW(E$1:E5013)*(E5014=E$1:E5013)))))</f>
        <v/>
      </c>
      <c r="L5014" s="31"/>
    </row>
    <row r="5015" customFormat="false" ht="15" hidden="false" customHeight="false" outlineLevel="0" collapsed="false">
      <c r="A5015" s="20" t="s">
        <v>1076</v>
      </c>
      <c r="E5015" s="23" t="str">
        <f aca="false">IF(D5015="?OLD","!!!","")</f>
        <v/>
      </c>
      <c r="F5015" s="25" t="str">
        <f aca="false">IF(OR(E5015="",E5015="!!!"),"",IF(NOT(ISNA(VLOOKUP(E5015,E$1:E5014,1,FALSE()))),"OLD",IF(AND(E5015&lt;&gt;"",E5015&lt;&gt;"!!!"),"NEW","")))</f>
        <v/>
      </c>
      <c r="G5015" s="26" t="str">
        <f aca="false">IF(OR(E5015="",E5015="!!!"),"",IF(OR(J5015=0,AND(J5015=1,K5015=1),AND(J5015=1,I5015="SBJ"),AND(J5015=1,I5015=0)),"?IN_FOCUS",IF(J5015&lt;=2,"?ACTIVATED",IF(J5015&lt;&gt;"","?FAMILIAR",IF(F5015="NEW",IF(ISNA(VLOOKUP(E5015,#REF!,1,FALSE())),"?TYPE_IDENTIFIABLE","?REFERENTIAL"),"_")))))</f>
        <v/>
      </c>
      <c r="H5015" s="27" t="str">
        <f aca="false">IF(J5015&lt;&gt;1,"",IF(I5015="SBJ","CB","?"))</f>
        <v/>
      </c>
      <c r="I5015" s="24" t="str">
        <f aca="false">IF(OR(E5015="",E5015="!!!",F5015="NEW"),"",INDEX(B22:B$4994,-1+SUMPRODUCT(MAX(ROW(E22:E$4994)*(E5015=E22:E$4994)))))</f>
        <v/>
      </c>
      <c r="J5015" s="24" t="str">
        <f aca="true">IF(OR(E5015="",E5015="!!!",F5015="NEW"),"",COUNTBLANK(OFFSET(A$1,,,SUMPRODUCT(MAX(ROW(E$2:E5015)*(E5015=E$2:E5015)))))-COUNTBLANK(OFFSET(A$1,,,SUMPRODUCT(MAX(ROW(E$1:E5014)*(E2=E$1:E5014))))))</f>
        <v/>
      </c>
      <c r="K5015" s="24" t="str">
        <f aca="false">IF(OR(E5015="",E5015="!!!",F5015="NEW"),"",INDEX(J$1:J5014,SUMPRODUCT(MAX(ROW(E$1:E5014)*(E5015=E$1:E5014)))))</f>
        <v/>
      </c>
      <c r="L5015" s="31"/>
    </row>
    <row r="5016" customFormat="false" ht="15" hidden="false" customHeight="false" outlineLevel="0" collapsed="false">
      <c r="A5016" s="20" t="s">
        <v>1168</v>
      </c>
      <c r="E5016" s="23" t="str">
        <f aca="false">IF(D5016="?OLD","!!!","")</f>
        <v/>
      </c>
      <c r="F5016" s="25" t="str">
        <f aca="false">IF(OR(E5016="",E5016="!!!"),"",IF(NOT(ISNA(VLOOKUP(E5016,E$1:E5015,1,FALSE()))),"OLD",IF(AND(E5016&lt;&gt;"",E5016&lt;&gt;"!!!"),"NEW","")))</f>
        <v/>
      </c>
      <c r="G5016" s="26" t="str">
        <f aca="false">IF(OR(E5016="",E5016="!!!"),"",IF(OR(J5016=0,AND(J5016=1,K5016=1),AND(J5016=1,I5016="SBJ"),AND(J5016=1,I5016=0)),"?IN_FOCUS",IF(J5016&lt;=2,"?ACTIVATED",IF(J5016&lt;&gt;"","?FAMILIAR",IF(F5016="NEW",IF(ISNA(VLOOKUP(E5016,#REF!,1,FALSE())),"?TYPE_IDENTIFIABLE","?REFERENTIAL"),"_")))))</f>
        <v/>
      </c>
      <c r="H5016" s="27" t="str">
        <f aca="false">IF(J5016&lt;&gt;1,"",IF(I5016="SBJ","CB","?"))</f>
        <v/>
      </c>
      <c r="I5016" s="24" t="str">
        <f aca="false">IF(OR(E5016="",E5016="!!!",F5016="NEW"),"",INDEX(B23:B$4994,-1+SUMPRODUCT(MAX(ROW(E23:E$4994)*(E5016=E23:E$4994)))))</f>
        <v/>
      </c>
      <c r="J5016" s="24" t="str">
        <f aca="true">IF(OR(E5016="",E5016="!!!",F5016="NEW"),"",COUNTBLANK(OFFSET(A$1,,,SUMPRODUCT(MAX(ROW(E$2:E5016)*(E5016=E$2:E5016)))))-COUNTBLANK(OFFSET(A$1,,,SUMPRODUCT(MAX(ROW(E$1:E5015)*(E2=E$1:E5015))))))</f>
        <v/>
      </c>
      <c r="K5016" s="24" t="str">
        <f aca="false">IF(OR(E5016="",E5016="!!!",F5016="NEW"),"",INDEX(J$1:J5015,SUMPRODUCT(MAX(ROW(E$1:E5015)*(E5016=E$1:E5015)))))</f>
        <v/>
      </c>
      <c r="L5016" s="31"/>
    </row>
    <row r="5017" customFormat="false" ht="15" hidden="false" customHeight="false" outlineLevel="0" collapsed="false">
      <c r="A5017" s="20" t="s">
        <v>1157</v>
      </c>
      <c r="E5017" s="23" t="str">
        <f aca="false">IF(D5017="?OLD","!!!","")</f>
        <v/>
      </c>
      <c r="F5017" s="25" t="str">
        <f aca="false">IF(OR(E5017="",E5017="!!!"),"",IF(NOT(ISNA(VLOOKUP(E5017,E$1:E5016,1,FALSE()))),"OLD",IF(AND(E5017&lt;&gt;"",E5017&lt;&gt;"!!!"),"NEW","")))</f>
        <v/>
      </c>
      <c r="G5017" s="26" t="str">
        <f aca="false">IF(OR(E5017="",E5017="!!!"),"",IF(OR(J5017=0,AND(J5017=1,K5017=1),AND(J5017=1,I5017="SBJ"),AND(J5017=1,I5017=0)),"?IN_FOCUS",IF(J5017&lt;=2,"?ACTIVATED",IF(J5017&lt;&gt;"","?FAMILIAR",IF(F5017="NEW",IF(ISNA(VLOOKUP(E5017,#REF!,1,FALSE())),"?TYPE_IDENTIFIABLE","?REFERENTIAL"),"_")))))</f>
        <v/>
      </c>
      <c r="H5017" s="27" t="str">
        <f aca="false">IF(J5017&lt;&gt;1,"",IF(I5017="SBJ","CB","?"))</f>
        <v/>
      </c>
      <c r="I5017" s="24" t="str">
        <f aca="false">IF(OR(E5017="",E5017="!!!",F5017="NEW"),"",INDEX(B24:B$4994,-1+SUMPRODUCT(MAX(ROW(E24:E$4994)*(E5017=E24:E$4994)))))</f>
        <v/>
      </c>
      <c r="J5017" s="24" t="str">
        <f aca="true">IF(OR(E5017="",E5017="!!!",F5017="NEW"),"",COUNTBLANK(OFFSET(A$1,,,SUMPRODUCT(MAX(ROW(E$2:E5017)*(E5017=E$2:E5017)))))-COUNTBLANK(OFFSET(A$1,,,SUMPRODUCT(MAX(ROW(E$1:E5016)*(E2=E$1:E5016))))))</f>
        <v/>
      </c>
      <c r="K5017" s="24" t="str">
        <f aca="false">IF(OR(E5017="",E5017="!!!",F5017="NEW"),"",INDEX(J$1:J5016,SUMPRODUCT(MAX(ROW(E$1:E5016)*(E5017=E$1:E5016)))))</f>
        <v/>
      </c>
      <c r="L5017" s="31"/>
    </row>
    <row r="5018" customFormat="false" ht="15" hidden="false" customHeight="false" outlineLevel="0" collapsed="false">
      <c r="A5018" s="20" t="s">
        <v>1186</v>
      </c>
      <c r="B5018" s="22" t="s">
        <v>1086</v>
      </c>
      <c r="C5018" s="22" t="s">
        <v>1082</v>
      </c>
      <c r="D5018" s="22" t="s">
        <v>1060</v>
      </c>
      <c r="E5018" s="23" t="str">
        <f aca="false">IF(D5018="?OLD","!!!","")</f>
        <v>!!!</v>
      </c>
      <c r="F5018" s="25" t="str">
        <f aca="false">IF(OR(E5018="",E5018="!!!"),"",IF(NOT(ISNA(VLOOKUP(E5018,E$1:E5017,1,FALSE()))),"OLD",IF(AND(E5018&lt;&gt;"",E5018&lt;&gt;"!!!"),"NEW","")))</f>
        <v/>
      </c>
      <c r="G5018" s="26" t="str">
        <f aca="false">IF(OR(E5018="",E5018="!!!"),"",IF(OR(J5018=0,AND(J5018=1,K5018=1),AND(J5018=1,I5018="SBJ"),AND(J5018=1,I5018=0)),"?IN_FOCUS",IF(J5018&lt;=2,"?ACTIVATED",IF(J5018&lt;&gt;"","?FAMILIAR",IF(F5018="NEW",IF(ISNA(VLOOKUP(E5018,#REF!,1,FALSE())),"?TYPE_IDENTIFIABLE","?REFERENTIAL"),"_")))))</f>
        <v/>
      </c>
      <c r="H5018" s="27" t="str">
        <f aca="false">IF(J5018&lt;&gt;1,"",IF(I5018="SBJ","CB","?"))</f>
        <v/>
      </c>
      <c r="I5018" s="24" t="str">
        <f aca="false">IF(OR(E5018="",E5018="!!!",F5018="NEW"),"",INDEX(B25:B$4994,-1+SUMPRODUCT(MAX(ROW(E25:E$4994)*(E5018=E25:E$4994)))))</f>
        <v/>
      </c>
      <c r="J5018" s="24" t="str">
        <f aca="true">IF(OR(E5018="",E5018="!!!",F5018="NEW"),"",COUNTBLANK(OFFSET(A$1,,,SUMPRODUCT(MAX(ROW(E$2:E5018)*(E5018=E$2:E5018)))))-COUNTBLANK(OFFSET(A$1,,,SUMPRODUCT(MAX(ROW(E$1:E5017)*(E2=E$1:E5017))))))</f>
        <v/>
      </c>
      <c r="K5018" s="24" t="str">
        <f aca="false">IF(OR(E5018="",E5018="!!!",F5018="NEW"),"",INDEX(J$1:J5017,SUMPRODUCT(MAX(ROW(E$1:E5017)*(E5018=E$1:E5017)))))</f>
        <v/>
      </c>
      <c r="L5018" s="31"/>
    </row>
    <row r="5019" customFormat="false" ht="15" hidden="false" customHeight="false" outlineLevel="0" collapsed="false">
      <c r="A5019" s="20" t="s">
        <v>1184</v>
      </c>
      <c r="E5019" s="23" t="str">
        <f aca="false">IF(D5019="?OLD","!!!","")</f>
        <v/>
      </c>
      <c r="F5019" s="25" t="str">
        <f aca="false">IF(OR(E5019="",E5019="!!!"),"",IF(NOT(ISNA(VLOOKUP(E5019,E$1:E5018,1,FALSE()))),"OLD",IF(AND(E5019&lt;&gt;"",E5019&lt;&gt;"!!!"),"NEW","")))</f>
        <v/>
      </c>
      <c r="G5019" s="26" t="str">
        <f aca="false">IF(OR(E5019="",E5019="!!!"),"",IF(OR(J5019=0,AND(J5019=1,K5019=1),AND(J5019=1,I5019="SBJ"),AND(J5019=1,I5019=0)),"?IN_FOCUS",IF(J5019&lt;=2,"?ACTIVATED",IF(J5019&lt;&gt;"","?FAMILIAR",IF(F5019="NEW",IF(ISNA(VLOOKUP(E5019,#REF!,1,FALSE())),"?TYPE_IDENTIFIABLE","?REFERENTIAL"),"_")))))</f>
        <v/>
      </c>
      <c r="H5019" s="27" t="str">
        <f aca="false">IF(J5019&lt;&gt;1,"",IF(I5019="SBJ","CB","?"))</f>
        <v/>
      </c>
      <c r="I5019" s="24" t="str">
        <f aca="false">IF(OR(E5019="",E5019="!!!",F5019="NEW"),"",INDEX(B26:B$4994,-1+SUMPRODUCT(MAX(ROW(E26:E$4994)*(E5019=E26:E$4994)))))</f>
        <v/>
      </c>
      <c r="J5019" s="24" t="str">
        <f aca="true">IF(OR(E5019="",E5019="!!!",F5019="NEW"),"",COUNTBLANK(OFFSET(A$1,,,SUMPRODUCT(MAX(ROW(E$2:E5019)*(E5019=E$2:E5019)))))-COUNTBLANK(OFFSET(A$1,,,SUMPRODUCT(MAX(ROW(E$1:E5018)*(E2=E$1:E5018))))))</f>
        <v/>
      </c>
      <c r="K5019" s="24" t="str">
        <f aca="false">IF(OR(E5019="",E5019="!!!",F5019="NEW"),"",INDEX(J$1:J5018,SUMPRODUCT(MAX(ROW(E$1:E5018)*(E5019=E$1:E5018)))))</f>
        <v/>
      </c>
      <c r="L5019" s="31"/>
    </row>
    <row r="5020" customFormat="false" ht="15" hidden="false" customHeight="false" outlineLevel="0" collapsed="false">
      <c r="A5020" s="20" t="s">
        <v>1185</v>
      </c>
      <c r="E5020" s="23" t="str">
        <f aca="false">IF(D5020="?OLD","!!!","")</f>
        <v/>
      </c>
      <c r="F5020" s="25" t="str">
        <f aca="false">IF(OR(E5020="",E5020="!!!"),"",IF(NOT(ISNA(VLOOKUP(E5020,E$1:E5019,1,FALSE()))),"OLD",IF(AND(E5020&lt;&gt;"",E5020&lt;&gt;"!!!"),"NEW","")))</f>
        <v/>
      </c>
      <c r="G5020" s="26" t="str">
        <f aca="false">IF(OR(E5020="",E5020="!!!"),"",IF(OR(J5020=0,AND(J5020=1,K5020=1),AND(J5020=1,I5020="SBJ"),AND(J5020=1,I5020=0)),"?IN_FOCUS",IF(J5020&lt;=2,"?ACTIVATED",IF(J5020&lt;&gt;"","?FAMILIAR",IF(F5020="NEW",IF(ISNA(VLOOKUP(E5020,#REF!,1,FALSE())),"?TYPE_IDENTIFIABLE","?REFERENTIAL"),"_")))))</f>
        <v/>
      </c>
      <c r="H5020" s="27" t="str">
        <f aca="false">IF(J5020&lt;&gt;1,"",IF(I5020="SBJ","CB","?"))</f>
        <v/>
      </c>
      <c r="I5020" s="24" t="str">
        <f aca="false">IF(OR(E5020="",E5020="!!!",F5020="NEW"),"",INDEX(B27:B$4994,-1+SUMPRODUCT(MAX(ROW(E27:E$4994)*(E5020=E27:E$4994)))))</f>
        <v/>
      </c>
      <c r="J5020" s="24" t="str">
        <f aca="true">IF(OR(E5020="",E5020="!!!",F5020="NEW"),"",COUNTBLANK(OFFSET(A$1,,,SUMPRODUCT(MAX(ROW(E$2:E5020)*(E5020=E$2:E5020)))))-COUNTBLANK(OFFSET(A$1,,,SUMPRODUCT(MAX(ROW(E$1:E5019)*(E2=E$1:E5019))))))</f>
        <v/>
      </c>
      <c r="K5020" s="24" t="str">
        <f aca="false">IF(OR(E5020="",E5020="!!!",F5020="NEW"),"",INDEX(J$1:J5019,SUMPRODUCT(MAX(ROW(E$1:E5019)*(E5020=E$1:E5019)))))</f>
        <v/>
      </c>
      <c r="L5020" s="31"/>
    </row>
    <row r="5021" customFormat="false" ht="15" hidden="false" customHeight="false" outlineLevel="0" collapsed="false">
      <c r="A5021" s="20" t="s">
        <v>1471</v>
      </c>
      <c r="E5021" s="23" t="str">
        <f aca="false">IF(D5021="?OLD","!!!","")</f>
        <v/>
      </c>
      <c r="F5021" s="25" t="str">
        <f aca="false">IF(OR(E5021="",E5021="!!!"),"",IF(NOT(ISNA(VLOOKUP(E5021,E$1:E5020,1,FALSE()))),"OLD",IF(AND(E5021&lt;&gt;"",E5021&lt;&gt;"!!!"),"NEW","")))</f>
        <v/>
      </c>
      <c r="G5021" s="26" t="str">
        <f aca="false">IF(OR(E5021="",E5021="!!!"),"",IF(OR(J5021=0,AND(J5021=1,K5021=1),AND(J5021=1,I5021="SBJ"),AND(J5021=1,I5021=0)),"?IN_FOCUS",IF(J5021&lt;=2,"?ACTIVATED",IF(J5021&lt;&gt;"","?FAMILIAR",IF(F5021="NEW",IF(ISNA(VLOOKUP(E5021,#REF!,1,FALSE())),"?TYPE_IDENTIFIABLE","?REFERENTIAL"),"_")))))</f>
        <v/>
      </c>
      <c r="H5021" s="27" t="str">
        <f aca="false">IF(J5021&lt;&gt;1,"",IF(I5021="SBJ","CB","?"))</f>
        <v/>
      </c>
      <c r="I5021" s="24" t="str">
        <f aca="false">IF(OR(E5021="",E5021="!!!",F5021="NEW"),"",INDEX(B28:B$4994,-1+SUMPRODUCT(MAX(ROW(E28:E$4994)*(E5021=E28:E$4994)))))</f>
        <v/>
      </c>
      <c r="J5021" s="24" t="str">
        <f aca="true">IF(OR(E5021="",E5021="!!!",F5021="NEW"),"",COUNTBLANK(OFFSET(A$1,,,SUMPRODUCT(MAX(ROW(E$2:E5021)*(E5021=E$2:E5021)))))-COUNTBLANK(OFFSET(A$1,,,SUMPRODUCT(MAX(ROW(E$1:E5020)*(E2=E$1:E5020))))))</f>
        <v/>
      </c>
      <c r="K5021" s="24" t="str">
        <f aca="false">IF(OR(E5021="",E5021="!!!",F5021="NEW"),"",INDEX(J$1:J5020,SUMPRODUCT(MAX(ROW(E$1:E5020)*(E5021=E$1:E5020)))))</f>
        <v/>
      </c>
      <c r="L5021" s="31"/>
    </row>
    <row r="5022" customFormat="false" ht="15" hidden="false" customHeight="false" outlineLevel="0" collapsed="false">
      <c r="A5022" s="20" t="s">
        <v>2505</v>
      </c>
      <c r="E5022" s="23" t="str">
        <f aca="false">IF(D5022="?OLD","!!!","")</f>
        <v/>
      </c>
      <c r="F5022" s="25" t="str">
        <f aca="false">IF(OR(E5022="",E5022="!!!"),"",IF(NOT(ISNA(VLOOKUP(E5022,E$1:E5021,1,FALSE()))),"OLD",IF(AND(E5022&lt;&gt;"",E5022&lt;&gt;"!!!"),"NEW","")))</f>
        <v/>
      </c>
      <c r="G5022" s="26" t="str">
        <f aca="false">IF(OR(E5022="",E5022="!!!"),"",IF(OR(J5022=0,AND(J5022=1,K5022=1),AND(J5022=1,I5022="SBJ"),AND(J5022=1,I5022=0)),"?IN_FOCUS",IF(J5022&lt;=2,"?ACTIVATED",IF(J5022&lt;&gt;"","?FAMILIAR",IF(F5022="NEW",IF(ISNA(VLOOKUP(E5022,#REF!,1,FALSE())),"?TYPE_IDENTIFIABLE","?REFERENTIAL"),"_")))))</f>
        <v/>
      </c>
      <c r="H5022" s="27" t="str">
        <f aca="false">IF(J5022&lt;&gt;1,"",IF(I5022="SBJ","CB","?"))</f>
        <v/>
      </c>
      <c r="I5022" s="24" t="str">
        <f aca="false">IF(OR(E5022="",E5022="!!!",F5022="NEW"),"",INDEX(B29:B$4994,-1+SUMPRODUCT(MAX(ROW(E29:E$4994)*(E5022=E29:E$4994)))))</f>
        <v/>
      </c>
      <c r="J5022" s="24" t="str">
        <f aca="true">IF(OR(E5022="",E5022="!!!",F5022="NEW"),"",COUNTBLANK(OFFSET(A$1,,,SUMPRODUCT(MAX(ROW(E$2:E5022)*(E5022=E$2:E5022)))))-COUNTBLANK(OFFSET(A$1,,,SUMPRODUCT(MAX(ROW(E$1:E5021)*(E2=E$1:E5021))))))</f>
        <v/>
      </c>
      <c r="K5022" s="24" t="str">
        <f aca="false">IF(OR(E5022="",E5022="!!!",F5022="NEW"),"",INDEX(J$1:J5021,SUMPRODUCT(MAX(ROW(E$1:E5021)*(E5022=E$1:E5021)))))</f>
        <v/>
      </c>
      <c r="L5022" s="31"/>
    </row>
    <row r="5023" customFormat="false" ht="15" hidden="false" customHeight="false" outlineLevel="0" collapsed="false">
      <c r="A5023" s="20" t="s">
        <v>1738</v>
      </c>
      <c r="B5023" s="22" t="s">
        <v>1067</v>
      </c>
      <c r="C5023" s="22" t="s">
        <v>1160</v>
      </c>
      <c r="E5023" s="23" t="str">
        <f aca="false">IF(D5023="?OLD","!!!","")</f>
        <v/>
      </c>
      <c r="F5023" s="25" t="str">
        <f aca="false">IF(OR(E5023="",E5023="!!!"),"",IF(NOT(ISNA(VLOOKUP(E5023,E$1:E5022,1,FALSE()))),"OLD",IF(AND(E5023&lt;&gt;"",E5023&lt;&gt;"!!!"),"NEW","")))</f>
        <v/>
      </c>
      <c r="G5023" s="26" t="str">
        <f aca="false">IF(OR(E5023="",E5023="!!!"),"",IF(OR(J5023=0,AND(J5023=1,K5023=1),AND(J5023=1,I5023="SBJ"),AND(J5023=1,I5023=0)),"?IN_FOCUS",IF(J5023&lt;=2,"?ACTIVATED",IF(J5023&lt;&gt;"","?FAMILIAR",IF(F5023="NEW",IF(ISNA(VLOOKUP(E5023,#REF!,1,FALSE())),"?TYPE_IDENTIFIABLE","?REFERENTIAL"),"_")))))</f>
        <v/>
      </c>
      <c r="H5023" s="27" t="str">
        <f aca="false">IF(J5023&lt;&gt;1,"",IF(I5023="SBJ","CB","?"))</f>
        <v/>
      </c>
      <c r="I5023" s="24" t="str">
        <f aca="false">IF(OR(E5023="",E5023="!!!",F5023="NEW"),"",INDEX(B30:B$4994,-1+SUMPRODUCT(MAX(ROW(E30:E$4994)*(E5023=E30:E$4994)))))</f>
        <v/>
      </c>
      <c r="J5023" s="24" t="str">
        <f aca="true">IF(OR(E5023="",E5023="!!!",F5023="NEW"),"",COUNTBLANK(OFFSET(A$1,,,SUMPRODUCT(MAX(ROW(E$2:E5023)*(E5023=E$2:E5023)))))-COUNTBLANK(OFFSET(A$1,,,SUMPRODUCT(MAX(ROW(E$1:E5022)*(E2=E$1:E5022))))))</f>
        <v/>
      </c>
      <c r="K5023" s="24" t="str">
        <f aca="false">IF(OR(E5023="",E5023="!!!",F5023="NEW"),"",INDEX(J$1:J5022,SUMPRODUCT(MAX(ROW(E$1:E5022)*(E5023=E$1:E5022)))))</f>
        <v/>
      </c>
      <c r="L5023" s="31"/>
    </row>
    <row r="5024" customFormat="false" ht="15" hidden="false" customHeight="false" outlineLevel="0" collapsed="false">
      <c r="A5024" s="20" t="s">
        <v>157</v>
      </c>
      <c r="E5024" s="23" t="str">
        <f aca="false">IF(D5024="?OLD","!!!","")</f>
        <v/>
      </c>
      <c r="F5024" s="25" t="str">
        <f aca="false">IF(OR(E5024="",E5024="!!!"),"",IF(NOT(ISNA(VLOOKUP(E5024,E$1:E5023,1,FALSE()))),"OLD",IF(AND(E5024&lt;&gt;"",E5024&lt;&gt;"!!!"),"NEW","")))</f>
        <v/>
      </c>
      <c r="G5024" s="26" t="str">
        <f aca="false">IF(OR(E5024="",E5024="!!!"),"",IF(OR(J5024=0,AND(J5024=1,K5024=1),AND(J5024=1,I5024="SBJ"),AND(J5024=1,I5024=0)),"?IN_FOCUS",IF(J5024&lt;=2,"?ACTIVATED",IF(J5024&lt;&gt;"","?FAMILIAR",IF(F5024="NEW",IF(ISNA(VLOOKUP(E5024,#REF!,1,FALSE())),"?TYPE_IDENTIFIABLE","?REFERENTIAL"),"_")))))</f>
        <v/>
      </c>
      <c r="H5024" s="27" t="str">
        <f aca="false">IF(J5024&lt;&gt;1,"",IF(I5024="SBJ","CB","?"))</f>
        <v/>
      </c>
      <c r="I5024" s="24" t="str">
        <f aca="false">IF(OR(E5024="",E5024="!!!",F5024="NEW"),"",INDEX(B31:B$4994,-1+SUMPRODUCT(MAX(ROW(E31:E$4994)*(E5024=E31:E$4994)))))</f>
        <v/>
      </c>
      <c r="J5024" s="24" t="str">
        <f aca="true">IF(OR(E5024="",E5024="!!!",F5024="NEW"),"",COUNTBLANK(OFFSET(A$1,,,SUMPRODUCT(MAX(ROW(E$2:E5024)*(E5024=E$2:E5024)))))-COUNTBLANK(OFFSET(A$1,,,SUMPRODUCT(MAX(ROW(E$1:E5023)*(E2=E$1:E5023))))))</f>
        <v/>
      </c>
      <c r="K5024" s="24" t="str">
        <f aca="false">IF(OR(E5024="",E5024="!!!",F5024="NEW"),"",INDEX(J$1:J5023,SUMPRODUCT(MAX(ROW(E$1:E5023)*(E5024=E$1:E5023)))))</f>
        <v/>
      </c>
      <c r="L5024" s="31"/>
    </row>
    <row r="5025" customFormat="false" ht="15" hidden="false" customHeight="false" outlineLevel="0" collapsed="false">
      <c r="A5025" s="20" t="s">
        <v>1109</v>
      </c>
      <c r="E5025" s="23" t="str">
        <f aca="false">IF(D5025="?OLD","!!!","")</f>
        <v/>
      </c>
      <c r="F5025" s="25" t="str">
        <f aca="false">IF(OR(E5025="",E5025="!!!"),"",IF(NOT(ISNA(VLOOKUP(E5025,E$1:E5024,1,FALSE()))),"OLD",IF(AND(E5025&lt;&gt;"",E5025&lt;&gt;"!!!"),"NEW","")))</f>
        <v/>
      </c>
      <c r="G5025" s="26" t="str">
        <f aca="false">IF(OR(E5025="",E5025="!!!"),"",IF(OR(J5025=0,AND(J5025=1,K5025=1),AND(J5025=1,I5025="SBJ"),AND(J5025=1,I5025=0)),"?IN_FOCUS",IF(J5025&lt;=2,"?ACTIVATED",IF(J5025&lt;&gt;"","?FAMILIAR",IF(F5025="NEW",IF(ISNA(VLOOKUP(E5025,#REF!,1,FALSE())),"?TYPE_IDENTIFIABLE","?REFERENTIAL"),"_")))))</f>
        <v/>
      </c>
      <c r="H5025" s="27" t="str">
        <f aca="false">IF(J5025&lt;&gt;1,"",IF(I5025="SBJ","CB","?"))</f>
        <v/>
      </c>
      <c r="I5025" s="24" t="str">
        <f aca="false">IF(OR(E5025="",E5025="!!!",F5025="NEW"),"",INDEX(B32:B$4994,-1+SUMPRODUCT(MAX(ROW(E32:E$4994)*(E5025=E32:E$4994)))))</f>
        <v/>
      </c>
      <c r="J5025" s="24" t="str">
        <f aca="true">IF(OR(E5025="",E5025="!!!",F5025="NEW"),"",COUNTBLANK(OFFSET(A$1,,,SUMPRODUCT(MAX(ROW(E$2:E5025)*(E5025=E$2:E5025)))))-COUNTBLANK(OFFSET(A$1,,,SUMPRODUCT(MAX(ROW(E$1:E5024)*(E2=E$1:E5024))))))</f>
        <v/>
      </c>
      <c r="K5025" s="24" t="str">
        <f aca="false">IF(OR(E5025="",E5025="!!!",F5025="NEW"),"",INDEX(J$1:J5024,SUMPRODUCT(MAX(ROW(E$1:E5024)*(E5025=E$1:E5024)))))</f>
        <v/>
      </c>
      <c r="L5025" s="31"/>
    </row>
    <row r="5026" customFormat="false" ht="15" hidden="false" customHeight="false" outlineLevel="0" collapsed="false">
      <c r="A5026" s="20" t="s">
        <v>2506</v>
      </c>
      <c r="B5026" s="22" t="s">
        <v>1107</v>
      </c>
      <c r="C5026" s="22" t="s">
        <v>1150</v>
      </c>
      <c r="D5026" s="22" t="s">
        <v>1060</v>
      </c>
      <c r="E5026" s="23" t="str">
        <f aca="false">IF(D5026="?OLD","!!!","")</f>
        <v>!!!</v>
      </c>
      <c r="F5026" s="25" t="str">
        <f aca="false">IF(OR(E5026="",E5026="!!!"),"",IF(NOT(ISNA(VLOOKUP(E5026,E$1:E5025,1,FALSE()))),"OLD",IF(AND(E5026&lt;&gt;"",E5026&lt;&gt;"!!!"),"NEW","")))</f>
        <v/>
      </c>
      <c r="G5026" s="26" t="str">
        <f aca="false">IF(OR(E5026="",E5026="!!!"),"",IF(OR(J5026=0,AND(J5026=1,K5026=1),AND(J5026=1,I5026="SBJ"),AND(J5026=1,I5026=0)),"?IN_FOCUS",IF(J5026&lt;=2,"?ACTIVATED",IF(J5026&lt;&gt;"","?FAMILIAR",IF(F5026="NEW",IF(ISNA(VLOOKUP(E5026,#REF!,1,FALSE())),"?TYPE_IDENTIFIABLE","?REFERENTIAL"),"_")))))</f>
        <v/>
      </c>
      <c r="H5026" s="27" t="str">
        <f aca="false">IF(J5026&lt;&gt;1,"",IF(I5026="SBJ","CB","?"))</f>
        <v/>
      </c>
      <c r="I5026" s="24" t="str">
        <f aca="false">IF(OR(E5026="",E5026="!!!",F5026="NEW"),"",INDEX(B33:B$4994,-1+SUMPRODUCT(MAX(ROW(E33:E$4994)*(E5026=E33:E$4994)))))</f>
        <v/>
      </c>
      <c r="J5026" s="24" t="str">
        <f aca="true">IF(OR(E5026="",E5026="!!!",F5026="NEW"),"",COUNTBLANK(OFFSET(A$1,,,SUMPRODUCT(MAX(ROW(E$2:E5026)*(E5026=E$2:E5026)))))-COUNTBLANK(OFFSET(A$1,,,SUMPRODUCT(MAX(ROW(E$1:E5025)*(E2=E$1:E5025))))))</f>
        <v/>
      </c>
      <c r="K5026" s="24" t="str">
        <f aca="false">IF(OR(E5026="",E5026="!!!",F5026="NEW"),"",INDEX(J$1:J5025,SUMPRODUCT(MAX(ROW(E$1:E5025)*(E5026=E$1:E5025)))))</f>
        <v/>
      </c>
      <c r="L5026" s="31"/>
    </row>
    <row r="5027" customFormat="false" ht="15" hidden="false" customHeight="false" outlineLevel="0" collapsed="false">
      <c r="A5027" s="20" t="s">
        <v>1186</v>
      </c>
      <c r="B5027" s="22" t="s">
        <v>1086</v>
      </c>
      <c r="C5027" s="22" t="s">
        <v>1082</v>
      </c>
      <c r="D5027" s="22" t="s">
        <v>1060</v>
      </c>
      <c r="E5027" s="23" t="str">
        <f aca="false">IF(D5027="?OLD","!!!","")</f>
        <v>!!!</v>
      </c>
      <c r="F5027" s="25" t="str">
        <f aca="false">IF(OR(E5027="",E5027="!!!"),"",IF(NOT(ISNA(VLOOKUP(E5027,E$1:E5026,1,FALSE()))),"OLD",IF(AND(E5027&lt;&gt;"",E5027&lt;&gt;"!!!"),"NEW","")))</f>
        <v/>
      </c>
      <c r="G5027" s="26" t="str">
        <f aca="false">IF(OR(E5027="",E5027="!!!"),"",IF(OR(J5027=0,AND(J5027=1,K5027=1),AND(J5027=1,I5027="SBJ"),AND(J5027=1,I5027=0)),"?IN_FOCUS",IF(J5027&lt;=2,"?ACTIVATED",IF(J5027&lt;&gt;"","?FAMILIAR",IF(F5027="NEW",IF(ISNA(VLOOKUP(E5027,#REF!,1,FALSE())),"?TYPE_IDENTIFIABLE","?REFERENTIAL"),"_")))))</f>
        <v/>
      </c>
      <c r="H5027" s="27" t="str">
        <f aca="false">IF(J5027&lt;&gt;1,"",IF(I5027="SBJ","CB","?"))</f>
        <v/>
      </c>
      <c r="I5027" s="24" t="str">
        <f aca="false">IF(OR(E5027="",E5027="!!!",F5027="NEW"),"",INDEX(B34:B$4994,-1+SUMPRODUCT(MAX(ROW(E34:E$4994)*(E5027=E34:E$4994)))))</f>
        <v/>
      </c>
      <c r="J5027" s="24" t="str">
        <f aca="true">IF(OR(E5027="",E5027="!!!",F5027="NEW"),"",COUNTBLANK(OFFSET(A$1,,,SUMPRODUCT(MAX(ROW(E$2:E5027)*(E5027=E$2:E5027)))))-COUNTBLANK(OFFSET(A$1,,,SUMPRODUCT(MAX(ROW(E$1:E5026)*(E2=E$1:E5026))))))</f>
        <v/>
      </c>
      <c r="K5027" s="24" t="str">
        <f aca="false">IF(OR(E5027="",E5027="!!!",F5027="NEW"),"",INDEX(J$1:J5026,SUMPRODUCT(MAX(ROW(E$1:E5026)*(E5027=E$1:E5026)))))</f>
        <v/>
      </c>
      <c r="L5027" s="31"/>
    </row>
    <row r="5028" customFormat="false" ht="15" hidden="false" customHeight="false" outlineLevel="0" collapsed="false">
      <c r="A5028" s="20" t="s">
        <v>1760</v>
      </c>
      <c r="E5028" s="23" t="str">
        <f aca="false">IF(D5028="?OLD","!!!","")</f>
        <v/>
      </c>
      <c r="F5028" s="25" t="str">
        <f aca="false">IF(OR(E5028="",E5028="!!!"),"",IF(NOT(ISNA(VLOOKUP(E5028,E$1:E5027,1,FALSE()))),"OLD",IF(AND(E5028&lt;&gt;"",E5028&lt;&gt;"!!!"),"NEW","")))</f>
        <v/>
      </c>
      <c r="G5028" s="26" t="str">
        <f aca="false">IF(OR(E5028="",E5028="!!!"),"",IF(OR(J5028=0,AND(J5028=1,K5028=1),AND(J5028=1,I5028="SBJ"),AND(J5028=1,I5028=0)),"?IN_FOCUS",IF(J5028&lt;=2,"?ACTIVATED",IF(J5028&lt;&gt;"","?FAMILIAR",IF(F5028="NEW",IF(ISNA(VLOOKUP(E5028,#REF!,1,FALSE())),"?TYPE_IDENTIFIABLE","?REFERENTIAL"),"_")))))</f>
        <v/>
      </c>
      <c r="H5028" s="27" t="str">
        <f aca="false">IF(J5028&lt;&gt;1,"",IF(I5028="SBJ","CB","?"))</f>
        <v/>
      </c>
      <c r="I5028" s="24" t="str">
        <f aca="false">IF(OR(E5028="",E5028="!!!",F5028="NEW"),"",INDEX(B35:B$4994,-1+SUMPRODUCT(MAX(ROW(E35:E$4994)*(E5028=E35:E$4994)))))</f>
        <v/>
      </c>
      <c r="J5028" s="24" t="str">
        <f aca="true">IF(OR(E5028="",E5028="!!!",F5028="NEW"),"",COUNTBLANK(OFFSET(A$1,,,SUMPRODUCT(MAX(ROW(E$2:E5028)*(E5028=E$2:E5028)))))-COUNTBLANK(OFFSET(A$1,,,SUMPRODUCT(MAX(ROW(E$1:E5027)*(E2=E$1:E5027))))))</f>
        <v/>
      </c>
      <c r="K5028" s="24" t="str">
        <f aca="false">IF(OR(E5028="",E5028="!!!",F5028="NEW"),"",INDEX(J$1:J5027,SUMPRODUCT(MAX(ROW(E$1:E5027)*(E5028=E$1:E5027)))))</f>
        <v/>
      </c>
      <c r="L5028" s="31"/>
    </row>
    <row r="5029" customFormat="false" ht="15" hidden="false" customHeight="false" outlineLevel="0" collapsed="false">
      <c r="A5029" s="20" t="s">
        <v>1503</v>
      </c>
      <c r="E5029" s="23" t="str">
        <f aca="false">IF(D5029="?OLD","!!!","")</f>
        <v/>
      </c>
      <c r="F5029" s="25" t="str">
        <f aca="false">IF(OR(E5029="",E5029="!!!"),"",IF(NOT(ISNA(VLOOKUP(E5029,E$1:E5028,1,FALSE()))),"OLD",IF(AND(E5029&lt;&gt;"",E5029&lt;&gt;"!!!"),"NEW","")))</f>
        <v/>
      </c>
      <c r="G5029" s="26" t="str">
        <f aca="false">IF(OR(E5029="",E5029="!!!"),"",IF(OR(J5029=0,AND(J5029=1,K5029=1),AND(J5029=1,I5029="SBJ"),AND(J5029=1,I5029=0)),"?IN_FOCUS",IF(J5029&lt;=2,"?ACTIVATED",IF(J5029&lt;&gt;"","?FAMILIAR",IF(F5029="NEW",IF(ISNA(VLOOKUP(E5029,#REF!,1,FALSE())),"?TYPE_IDENTIFIABLE","?REFERENTIAL"),"_")))))</f>
        <v/>
      </c>
      <c r="H5029" s="27" t="str">
        <f aca="false">IF(J5029&lt;&gt;1,"",IF(I5029="SBJ","CB","?"))</f>
        <v/>
      </c>
      <c r="I5029" s="24" t="str">
        <f aca="false">IF(OR(E5029="",E5029="!!!",F5029="NEW"),"",INDEX(B36:B$4994,-1+SUMPRODUCT(MAX(ROW(E36:E$4994)*(E5029=E36:E$4994)))))</f>
        <v/>
      </c>
      <c r="J5029" s="24" t="str">
        <f aca="true">IF(OR(E5029="",E5029="!!!",F5029="NEW"),"",COUNTBLANK(OFFSET(A$1,,,SUMPRODUCT(MAX(ROW(E$2:E5029)*(E5029=E$2:E5029)))))-COUNTBLANK(OFFSET(A$1,,,SUMPRODUCT(MAX(ROW(E$1:E5028)*(E2=E$1:E5028))))))</f>
        <v/>
      </c>
      <c r="K5029" s="24" t="str">
        <f aca="false">IF(OR(E5029="",E5029="!!!",F5029="NEW"),"",INDEX(J$1:J5028,SUMPRODUCT(MAX(ROW(E$1:E5028)*(E5029=E$1:E5028)))))</f>
        <v/>
      </c>
      <c r="L5029" s="31"/>
    </row>
    <row r="5030" customFormat="false" ht="15" hidden="false" customHeight="false" outlineLevel="0" collapsed="false">
      <c r="A5030" s="20" t="s">
        <v>2507</v>
      </c>
      <c r="E5030" s="23" t="str">
        <f aca="false">IF(D5030="?OLD","!!!","")</f>
        <v/>
      </c>
      <c r="F5030" s="25" t="str">
        <f aca="false">IF(OR(E5030="",E5030="!!!"),"",IF(NOT(ISNA(VLOOKUP(E5030,E$1:E5029,1,FALSE()))),"OLD",IF(AND(E5030&lt;&gt;"",E5030&lt;&gt;"!!!"),"NEW","")))</f>
        <v/>
      </c>
      <c r="G5030" s="26" t="str">
        <f aca="false">IF(OR(E5030="",E5030="!!!"),"",IF(OR(J5030=0,AND(J5030=1,K5030=1),AND(J5030=1,I5030="SBJ"),AND(J5030=1,I5030=0)),"?IN_FOCUS",IF(J5030&lt;=2,"?ACTIVATED",IF(J5030&lt;&gt;"","?FAMILIAR",IF(F5030="NEW",IF(ISNA(VLOOKUP(E5030,#REF!,1,FALSE())),"?TYPE_IDENTIFIABLE","?REFERENTIAL"),"_")))))</f>
        <v/>
      </c>
      <c r="H5030" s="27" t="str">
        <f aca="false">IF(J5030&lt;&gt;1,"",IF(I5030="SBJ","CB","?"))</f>
        <v/>
      </c>
      <c r="I5030" s="24" t="str">
        <f aca="false">IF(OR(E5030="",E5030="!!!",F5030="NEW"),"",INDEX(B37:B$4994,-1+SUMPRODUCT(MAX(ROW(E37:E$4994)*(E5030=E37:E$4994)))))</f>
        <v/>
      </c>
      <c r="J5030" s="24" t="str">
        <f aca="true">IF(OR(E5030="",E5030="!!!",F5030="NEW"),"",COUNTBLANK(OFFSET(A$1,,,SUMPRODUCT(MAX(ROW(E$2:E5030)*(E5030=E$2:E5030)))))-COUNTBLANK(OFFSET(A$1,,,SUMPRODUCT(MAX(ROW(E$1:E5029)*(E2=E$1:E5029))))))</f>
        <v/>
      </c>
      <c r="K5030" s="24" t="str">
        <f aca="false">IF(OR(E5030="",E5030="!!!",F5030="NEW"),"",INDEX(J$1:J5029,SUMPRODUCT(MAX(ROW(E$1:E5029)*(E5030=E$1:E5029)))))</f>
        <v/>
      </c>
      <c r="L5030" s="31"/>
    </row>
    <row r="5031" customFormat="false" ht="15" hidden="false" customHeight="false" outlineLevel="0" collapsed="false">
      <c r="A5031" s="20" t="s">
        <v>1154</v>
      </c>
      <c r="E5031" s="23" t="str">
        <f aca="false">IF(D5031="?OLD","!!!","")</f>
        <v/>
      </c>
      <c r="F5031" s="25" t="str">
        <f aca="false">IF(OR(E5031="",E5031="!!!"),"",IF(NOT(ISNA(VLOOKUP(E5031,E$1:E5030,1,FALSE()))),"OLD",IF(AND(E5031&lt;&gt;"",E5031&lt;&gt;"!!!"),"NEW","")))</f>
        <v/>
      </c>
      <c r="G5031" s="26" t="str">
        <f aca="false">IF(OR(E5031="",E5031="!!!"),"",IF(OR(J5031=0,AND(J5031=1,K5031=1),AND(J5031=1,I5031="SBJ"),AND(J5031=1,I5031=0)),"?IN_FOCUS",IF(J5031&lt;=2,"?ACTIVATED",IF(J5031&lt;&gt;"","?FAMILIAR",IF(F5031="NEW",IF(ISNA(VLOOKUP(E5031,#REF!,1,FALSE())),"?TYPE_IDENTIFIABLE","?REFERENTIAL"),"_")))))</f>
        <v/>
      </c>
      <c r="H5031" s="27" t="str">
        <f aca="false">IF(J5031&lt;&gt;1,"",IF(I5031="SBJ","CB","?"))</f>
        <v/>
      </c>
      <c r="I5031" s="24" t="str">
        <f aca="false">IF(OR(E5031="",E5031="!!!",F5031="NEW"),"",INDEX(B38:B$4994,-1+SUMPRODUCT(MAX(ROW(E38:E$4994)*(E5031=E38:E$4994)))))</f>
        <v/>
      </c>
      <c r="J5031" s="24" t="str">
        <f aca="true">IF(OR(E5031="",E5031="!!!",F5031="NEW"),"",COUNTBLANK(OFFSET(A$1,,,SUMPRODUCT(MAX(ROW(E$2:E5031)*(E5031=E$2:E5031)))))-COUNTBLANK(OFFSET(A$1,,,SUMPRODUCT(MAX(ROW(E$1:E5030)*(E2=E$1:E5030))))))</f>
        <v/>
      </c>
      <c r="K5031" s="24" t="str">
        <f aca="false">IF(OR(E5031="",E5031="!!!",F5031="NEW"),"",INDEX(J$1:J5030,SUMPRODUCT(MAX(ROW(E$1:E5030)*(E5031=E$1:E5030)))))</f>
        <v/>
      </c>
      <c r="L5031" s="31"/>
    </row>
    <row r="5032" customFormat="false" ht="15" hidden="false" customHeight="false" outlineLevel="0" collapsed="false">
      <c r="A5032" s="20" t="s">
        <v>1454</v>
      </c>
      <c r="B5032" s="22" t="s">
        <v>1073</v>
      </c>
      <c r="C5032" s="22" t="s">
        <v>1082</v>
      </c>
      <c r="D5032" s="22" t="s">
        <v>1060</v>
      </c>
      <c r="E5032" s="23" t="str">
        <f aca="false">IF(D5032="?OLD","!!!","")</f>
        <v>!!!</v>
      </c>
      <c r="F5032" s="25" t="str">
        <f aca="false">IF(OR(E5032="",E5032="!!!"),"",IF(NOT(ISNA(VLOOKUP(E5032,E$1:E5031,1,FALSE()))),"OLD",IF(AND(E5032&lt;&gt;"",E5032&lt;&gt;"!!!"),"NEW","")))</f>
        <v/>
      </c>
      <c r="G5032" s="26" t="str">
        <f aca="false">IF(OR(E5032="",E5032="!!!"),"",IF(OR(J5032=0,AND(J5032=1,K5032=1),AND(J5032=1,I5032="SBJ"),AND(J5032=1,I5032=0)),"?IN_FOCUS",IF(J5032&lt;=2,"?ACTIVATED",IF(J5032&lt;&gt;"","?FAMILIAR",IF(F5032="NEW",IF(ISNA(VLOOKUP(E5032,#REF!,1,FALSE())),"?TYPE_IDENTIFIABLE","?REFERENTIAL"),"_")))))</f>
        <v/>
      </c>
      <c r="H5032" s="27" t="str">
        <f aca="false">IF(J5032&lt;&gt;1,"",IF(I5032="SBJ","CB","?"))</f>
        <v/>
      </c>
      <c r="I5032" s="24" t="str">
        <f aca="false">IF(OR(E5032="",E5032="!!!",F5032="NEW"),"",INDEX(B39:B$4994,-1+SUMPRODUCT(MAX(ROW(E39:E$4994)*(E5032=E39:E$4994)))))</f>
        <v/>
      </c>
      <c r="J5032" s="24" t="str">
        <f aca="true">IF(OR(E5032="",E5032="!!!",F5032="NEW"),"",COUNTBLANK(OFFSET(A$1,,,SUMPRODUCT(MAX(ROW(E$2:E5032)*(E5032=E$2:E5032)))))-COUNTBLANK(OFFSET(A$1,,,SUMPRODUCT(MAX(ROW(E$1:E5031)*(E2=E$1:E5031))))))</f>
        <v/>
      </c>
      <c r="K5032" s="24" t="str">
        <f aca="false">IF(OR(E5032="",E5032="!!!",F5032="NEW"),"",INDEX(J$1:J5031,SUMPRODUCT(MAX(ROW(E$1:E5031)*(E5032=E$1:E5031)))))</f>
        <v/>
      </c>
      <c r="L5032" s="31"/>
    </row>
    <row r="5033" customFormat="false" ht="15" hidden="false" customHeight="false" outlineLevel="0" collapsed="false">
      <c r="A5033" s="20" t="s">
        <v>923</v>
      </c>
      <c r="E5033" s="23" t="str">
        <f aca="false">IF(D5033="?OLD","!!!","")</f>
        <v/>
      </c>
      <c r="F5033" s="25" t="str">
        <f aca="false">IF(OR(E5033="",E5033="!!!"),"",IF(NOT(ISNA(VLOOKUP(E5033,E$1:E5032,1,FALSE()))),"OLD",IF(AND(E5033&lt;&gt;"",E5033&lt;&gt;"!!!"),"NEW","")))</f>
        <v/>
      </c>
      <c r="G5033" s="26" t="str">
        <f aca="false">IF(OR(E5033="",E5033="!!!"),"",IF(OR(J5033=0,AND(J5033=1,K5033=1),AND(J5033=1,I5033="SBJ"),AND(J5033=1,I5033=0)),"?IN_FOCUS",IF(J5033&lt;=2,"?ACTIVATED",IF(J5033&lt;&gt;"","?FAMILIAR",IF(F5033="NEW",IF(ISNA(VLOOKUP(E5033,#REF!,1,FALSE())),"?TYPE_IDENTIFIABLE","?REFERENTIAL"),"_")))))</f>
        <v/>
      </c>
      <c r="H5033" s="27" t="str">
        <f aca="false">IF(J5033&lt;&gt;1,"",IF(I5033="SBJ","CB","?"))</f>
        <v/>
      </c>
      <c r="I5033" s="24" t="str">
        <f aca="false">IF(OR(E5033="",E5033="!!!",F5033="NEW"),"",INDEX(B40:B$4994,-1+SUMPRODUCT(MAX(ROW(E40:E$4994)*(E5033=E40:E$4994)))))</f>
        <v/>
      </c>
      <c r="J5033" s="24" t="str">
        <f aca="true">IF(OR(E5033="",E5033="!!!",F5033="NEW"),"",COUNTBLANK(OFFSET(A$1,,,SUMPRODUCT(MAX(ROW(E$2:E5033)*(E5033=E$2:E5033)))))-COUNTBLANK(OFFSET(A$1,,,SUMPRODUCT(MAX(ROW(E$1:E5032)*(E2=E$1:E5032))))))</f>
        <v/>
      </c>
      <c r="K5033" s="24" t="str">
        <f aca="false">IF(OR(E5033="",E5033="!!!",F5033="NEW"),"",INDEX(J$1:J5032,SUMPRODUCT(MAX(ROW(E$1:E5032)*(E5033=E$1:E5032)))))</f>
        <v/>
      </c>
      <c r="L5033" s="31"/>
    </row>
    <row r="5034" customFormat="false" ht="15" hidden="false" customHeight="false" outlineLevel="0" collapsed="false">
      <c r="A5034" s="20"/>
    </row>
    <row r="5035" customFormat="false" ht="15" hidden="false" customHeight="false" outlineLevel="0" collapsed="false">
      <c r="A5035" s="20" t="s">
        <v>2508</v>
      </c>
    </row>
    <row r="5036" customFormat="false" ht="15" hidden="false" customHeight="false" outlineLevel="0" collapsed="false">
      <c r="A5036" s="20" t="s">
        <v>1832</v>
      </c>
      <c r="E5036" s="23" t="str">
        <f aca="false">IF(D5036="?OLD","!!!","")</f>
        <v/>
      </c>
      <c r="F5036" s="25" t="str">
        <f aca="false">IF(OR(E5036="",E5036="!!!"),"",IF(NOT(ISNA(VLOOKUP(E5036,E$1:E5035,1,FALSE()))),"OLD",IF(AND(E5036&lt;&gt;"",E5036&lt;&gt;"!!!"),"NEW","")))</f>
        <v/>
      </c>
      <c r="G5036" s="26" t="str">
        <f aca="false">IF(OR(E5036="",E5036="!!!"),"",IF(OR(J5036=0,AND(J5036=1,K5036=1),AND(J5036=1,I5036="SBJ"),AND(J5036=1,I5036=0)),"?IN_FOCUS",IF(J5036&lt;=2,"?ACTIVATED",IF(J5036&lt;&gt;"","?FAMILIAR",IF(F5036="NEW",IF(ISNA(VLOOKUP(E5036,#REF!,1,FALSE())),"?TYPE_IDENTIFIABLE","?REFERENTIAL"),"_")))))</f>
        <v/>
      </c>
      <c r="H5036" s="27" t="str">
        <f aca="false">IF(J5036&lt;&gt;1,"",IF(I5036="SBJ","CB","?"))</f>
        <v/>
      </c>
      <c r="I5036" s="24" t="str">
        <f aca="false">IF(OR(E5036="",E5036="!!!",F5036="NEW"),"",INDEX(B2:B$5035,-1+SUMPRODUCT(MAX(ROW(E2:E$5035)*(E5036=E2:E$5035)))))</f>
        <v/>
      </c>
      <c r="J5036" s="24" t="str">
        <f aca="true">IF(OR(E5036="",E5036="!!!",F5036="NEW"),"",COUNTBLANK(OFFSET(A$1,,,SUMPRODUCT(MAX(ROW(E$2:E5036)*(E5036=E$2:E5036)))))-COUNTBLANK(OFFSET(A$1,,,SUMPRODUCT(MAX(ROW(E$1:E5035)*(E2=E$1:E5035))))))</f>
        <v/>
      </c>
      <c r="K5036" s="24" t="str">
        <f aca="false">IF(OR(E5036="",E5036="!!!",F5036="NEW"),"",INDEX(J$1:J5035,SUMPRODUCT(MAX(ROW(E$1:E5035)*(E5036=E$1:E5035)))))</f>
        <v/>
      </c>
      <c r="L5036" s="31"/>
    </row>
    <row r="5037" customFormat="false" ht="15" hidden="false" customHeight="false" outlineLevel="0" collapsed="false">
      <c r="A5037" s="20" t="s">
        <v>1117</v>
      </c>
      <c r="E5037" s="23" t="str">
        <f aca="false">IF(D5037="?OLD","!!!","")</f>
        <v/>
      </c>
      <c r="F5037" s="25" t="str">
        <f aca="false">IF(OR(E5037="",E5037="!!!"),"",IF(NOT(ISNA(VLOOKUP(E5037,E$1:E5036,1,FALSE()))),"OLD",IF(AND(E5037&lt;&gt;"",E5037&lt;&gt;"!!!"),"NEW","")))</f>
        <v/>
      </c>
      <c r="G5037" s="26" t="str">
        <f aca="false">IF(OR(E5037="",E5037="!!!"),"",IF(OR(J5037=0,AND(J5037=1,K5037=1),AND(J5037=1,I5037="SBJ"),AND(J5037=1,I5037=0)),"?IN_FOCUS",IF(J5037&lt;=2,"?ACTIVATED",IF(J5037&lt;&gt;"","?FAMILIAR",IF(F5037="NEW",IF(ISNA(VLOOKUP(E5037,#REF!,1,FALSE())),"?TYPE_IDENTIFIABLE","?REFERENTIAL"),"_")))))</f>
        <v/>
      </c>
      <c r="H5037" s="27" t="str">
        <f aca="false">IF(J5037&lt;&gt;1,"",IF(I5037="SBJ","CB","?"))</f>
        <v/>
      </c>
      <c r="I5037" s="24" t="str">
        <f aca="false">IF(OR(E5037="",E5037="!!!",F5037="NEW"),"",INDEX(B3:B$5035,-1+SUMPRODUCT(MAX(ROW(E3:E$5035)*(E5037=E3:E$5035)))))</f>
        <v/>
      </c>
      <c r="J5037" s="24" t="str">
        <f aca="true">IF(OR(E5037="",E5037="!!!",F5037="NEW"),"",COUNTBLANK(OFFSET(A$1,,,SUMPRODUCT(MAX(ROW(E$2:E5037)*(E5037=E$2:E5037)))))-COUNTBLANK(OFFSET(A$1,,,SUMPRODUCT(MAX(ROW(E$1:E5036)*(E2=E$1:E5036))))))</f>
        <v/>
      </c>
      <c r="K5037" s="24" t="str">
        <f aca="false">IF(OR(E5037="",E5037="!!!",F5037="NEW"),"",INDEX(J$1:J5036,SUMPRODUCT(MAX(ROW(E$1:E5036)*(E5037=E$1:E5036)))))</f>
        <v/>
      </c>
      <c r="L5037" s="31"/>
    </row>
    <row r="5038" customFormat="false" ht="15" hidden="false" customHeight="false" outlineLevel="0" collapsed="false">
      <c r="A5038" s="20" t="s">
        <v>2509</v>
      </c>
      <c r="E5038" s="23" t="str">
        <f aca="false">IF(D5038="?OLD","!!!","")</f>
        <v/>
      </c>
      <c r="F5038" s="25" t="str">
        <f aca="false">IF(OR(E5038="",E5038="!!!"),"",IF(NOT(ISNA(VLOOKUP(E5038,E$1:E5037,1,FALSE()))),"OLD",IF(AND(E5038&lt;&gt;"",E5038&lt;&gt;"!!!"),"NEW","")))</f>
        <v/>
      </c>
      <c r="G5038" s="26" t="str">
        <f aca="false">IF(OR(E5038="",E5038="!!!"),"",IF(OR(J5038=0,AND(J5038=1,K5038=1),AND(J5038=1,I5038="SBJ"),AND(J5038=1,I5038=0)),"?IN_FOCUS",IF(J5038&lt;=2,"?ACTIVATED",IF(J5038&lt;&gt;"","?FAMILIAR",IF(F5038="NEW",IF(ISNA(VLOOKUP(E5038,#REF!,1,FALSE())),"?TYPE_IDENTIFIABLE","?REFERENTIAL"),"_")))))</f>
        <v/>
      </c>
      <c r="H5038" s="27" t="str">
        <f aca="false">IF(J5038&lt;&gt;1,"",IF(I5038="SBJ","CB","?"))</f>
        <v/>
      </c>
      <c r="I5038" s="24" t="str">
        <f aca="false">IF(OR(E5038="",E5038="!!!",F5038="NEW"),"",INDEX(B4:B$5035,-1+SUMPRODUCT(MAX(ROW(E4:E$5035)*(E5038=E4:E$5035)))))</f>
        <v/>
      </c>
      <c r="J5038" s="24" t="str">
        <f aca="true">IF(OR(E5038="",E5038="!!!",F5038="NEW"),"",COUNTBLANK(OFFSET(A$1,,,SUMPRODUCT(MAX(ROW(E$2:E5038)*(E5038=E$2:E5038)))))-COUNTBLANK(OFFSET(A$1,,,SUMPRODUCT(MAX(ROW(E$1:E5037)*(E2=E$1:E5037))))))</f>
        <v/>
      </c>
      <c r="K5038" s="24" t="str">
        <f aca="false">IF(OR(E5038="",E5038="!!!",F5038="NEW"),"",INDEX(J$1:J5037,SUMPRODUCT(MAX(ROW(E$1:E5037)*(E5038=E$1:E5037)))))</f>
        <v/>
      </c>
      <c r="L5038" s="31"/>
    </row>
    <row r="5039" customFormat="false" ht="15" hidden="false" customHeight="false" outlineLevel="0" collapsed="false">
      <c r="A5039" s="20" t="s">
        <v>1983</v>
      </c>
      <c r="B5039" s="22" t="s">
        <v>1058</v>
      </c>
      <c r="C5039" s="22" t="s">
        <v>1059</v>
      </c>
      <c r="D5039" s="22" t="s">
        <v>1060</v>
      </c>
      <c r="E5039" s="23" t="str">
        <f aca="false">IF(D5039="?OLD","!!!","")</f>
        <v>!!!</v>
      </c>
      <c r="F5039" s="25" t="str">
        <f aca="false">IF(OR(E5039="",E5039="!!!"),"",IF(NOT(ISNA(VLOOKUP(E5039,E$1:E5038,1,FALSE()))),"OLD",IF(AND(E5039&lt;&gt;"",E5039&lt;&gt;"!!!"),"NEW","")))</f>
        <v/>
      </c>
      <c r="G5039" s="26" t="str">
        <f aca="false">IF(OR(E5039="",E5039="!!!"),"",IF(OR(J5039=0,AND(J5039=1,K5039=1),AND(J5039=1,I5039="SBJ"),AND(J5039=1,I5039=0)),"?IN_FOCUS",IF(J5039&lt;=2,"?ACTIVATED",IF(J5039&lt;&gt;"","?FAMILIAR",IF(F5039="NEW",IF(ISNA(VLOOKUP(E5039,#REF!,1,FALSE())),"?TYPE_IDENTIFIABLE","?REFERENTIAL"),"_")))))</f>
        <v/>
      </c>
      <c r="H5039" s="27" t="str">
        <f aca="false">IF(J5039&lt;&gt;1,"",IF(I5039="SBJ","CB","?"))</f>
        <v/>
      </c>
      <c r="I5039" s="24" t="str">
        <f aca="false">IF(OR(E5039="",E5039="!!!",F5039="NEW"),"",INDEX(B5:B$5035,-1+SUMPRODUCT(MAX(ROW(E5:E$5035)*(E5039=E5:E$5035)))))</f>
        <v/>
      </c>
      <c r="J5039" s="24" t="str">
        <f aca="true">IF(OR(E5039="",E5039="!!!",F5039="NEW"),"",COUNTBLANK(OFFSET(A$1,,,SUMPRODUCT(MAX(ROW(E$2:E5039)*(E5039=E$2:E5039)))))-COUNTBLANK(OFFSET(A$1,,,SUMPRODUCT(MAX(ROW(E$1:E5038)*(E2=E$1:E5038))))))</f>
        <v/>
      </c>
      <c r="K5039" s="24" t="str">
        <f aca="false">IF(OR(E5039="",E5039="!!!",F5039="NEW"),"",INDEX(J$1:J5038,SUMPRODUCT(MAX(ROW(E$1:E5038)*(E5039=E$1:E5038)))))</f>
        <v/>
      </c>
      <c r="L5039" s="31"/>
    </row>
    <row r="5040" customFormat="false" ht="15" hidden="false" customHeight="false" outlineLevel="0" collapsed="false">
      <c r="A5040" s="20" t="s">
        <v>1064</v>
      </c>
      <c r="E5040" s="23" t="str">
        <f aca="false">IF(D5040="?OLD","!!!","")</f>
        <v/>
      </c>
      <c r="F5040" s="25" t="str">
        <f aca="false">IF(OR(E5040="",E5040="!!!"),"",IF(NOT(ISNA(VLOOKUP(E5040,E$1:E5039,1,FALSE()))),"OLD",IF(AND(E5040&lt;&gt;"",E5040&lt;&gt;"!!!"),"NEW","")))</f>
        <v/>
      </c>
      <c r="G5040" s="26" t="str">
        <f aca="false">IF(OR(E5040="",E5040="!!!"),"",IF(OR(J5040=0,AND(J5040=1,K5040=1),AND(J5040=1,I5040="SBJ"),AND(J5040=1,I5040=0)),"?IN_FOCUS",IF(J5040&lt;=2,"?ACTIVATED",IF(J5040&lt;&gt;"","?FAMILIAR",IF(F5040="NEW",IF(ISNA(VLOOKUP(E5040,#REF!,1,FALSE())),"?TYPE_IDENTIFIABLE","?REFERENTIAL"),"_")))))</f>
        <v/>
      </c>
      <c r="H5040" s="27" t="str">
        <f aca="false">IF(J5040&lt;&gt;1,"",IF(I5040="SBJ","CB","?"))</f>
        <v/>
      </c>
      <c r="I5040" s="24" t="str">
        <f aca="false">IF(OR(E5040="",E5040="!!!",F5040="NEW"),"",INDEX(B6:B$5035,-1+SUMPRODUCT(MAX(ROW(E6:E$5035)*(E5040=E6:E$5035)))))</f>
        <v/>
      </c>
      <c r="J5040" s="24" t="str">
        <f aca="true">IF(OR(E5040="",E5040="!!!",F5040="NEW"),"",COUNTBLANK(OFFSET(A$1,,,SUMPRODUCT(MAX(ROW(E$2:E5040)*(E5040=E$2:E5040)))))-COUNTBLANK(OFFSET(A$1,,,SUMPRODUCT(MAX(ROW(E$1:E5039)*(E2=E$1:E5039))))))</f>
        <v/>
      </c>
      <c r="K5040" s="24" t="str">
        <f aca="false">IF(OR(E5040="",E5040="!!!",F5040="NEW"),"",INDEX(J$1:J5039,SUMPRODUCT(MAX(ROW(E$1:E5039)*(E5040=E$1:E5039)))))</f>
        <v/>
      </c>
      <c r="L5040" s="31"/>
    </row>
    <row r="5041" customFormat="false" ht="15" hidden="false" customHeight="false" outlineLevel="0" collapsed="false">
      <c r="A5041" s="20" t="s">
        <v>1454</v>
      </c>
      <c r="B5041" s="22" t="s">
        <v>1073</v>
      </c>
      <c r="C5041" s="22" t="s">
        <v>1082</v>
      </c>
      <c r="D5041" s="22" t="s">
        <v>1060</v>
      </c>
      <c r="E5041" s="23" t="str">
        <f aca="false">IF(D5041="?OLD","!!!","")</f>
        <v>!!!</v>
      </c>
      <c r="F5041" s="25" t="str">
        <f aca="false">IF(OR(E5041="",E5041="!!!"),"",IF(NOT(ISNA(VLOOKUP(E5041,E$1:E5040,1,FALSE()))),"OLD",IF(AND(E5041&lt;&gt;"",E5041&lt;&gt;"!!!"),"NEW","")))</f>
        <v/>
      </c>
      <c r="G5041" s="26" t="str">
        <f aca="false">IF(OR(E5041="",E5041="!!!"),"",IF(OR(J5041=0,AND(J5041=1,K5041=1),AND(J5041=1,I5041="SBJ"),AND(J5041=1,I5041=0)),"?IN_FOCUS",IF(J5041&lt;=2,"?ACTIVATED",IF(J5041&lt;&gt;"","?FAMILIAR",IF(F5041="NEW",IF(ISNA(VLOOKUP(E5041,#REF!,1,FALSE())),"?TYPE_IDENTIFIABLE","?REFERENTIAL"),"_")))))</f>
        <v/>
      </c>
      <c r="H5041" s="27" t="str">
        <f aca="false">IF(J5041&lt;&gt;1,"",IF(I5041="SBJ","CB","?"))</f>
        <v/>
      </c>
      <c r="I5041" s="24" t="str">
        <f aca="false">IF(OR(E5041="",E5041="!!!",F5041="NEW"),"",INDEX(B7:B$5035,-1+SUMPRODUCT(MAX(ROW(E7:E$5035)*(E5041=E7:E$5035)))))</f>
        <v/>
      </c>
      <c r="J5041" s="24" t="str">
        <f aca="true">IF(OR(E5041="",E5041="!!!",F5041="NEW"),"",COUNTBLANK(OFFSET(A$1,,,SUMPRODUCT(MAX(ROW(E$2:E5041)*(E5041=E$2:E5041)))))-COUNTBLANK(OFFSET(A$1,,,SUMPRODUCT(MAX(ROW(E$1:E5040)*(E2=E$1:E5040))))))</f>
        <v/>
      </c>
      <c r="K5041" s="24" t="str">
        <f aca="false">IF(OR(E5041="",E5041="!!!",F5041="NEW"),"",INDEX(J$1:J5040,SUMPRODUCT(MAX(ROW(E$1:E5040)*(E5041=E$1:E5040)))))</f>
        <v/>
      </c>
      <c r="L5041" s="31"/>
    </row>
    <row r="5042" customFormat="false" ht="15" hidden="false" customHeight="false" outlineLevel="0" collapsed="false">
      <c r="A5042" s="20" t="s">
        <v>1862</v>
      </c>
      <c r="E5042" s="23" t="str">
        <f aca="false">IF(D5042="?OLD","!!!","")</f>
        <v/>
      </c>
      <c r="F5042" s="25" t="str">
        <f aca="false">IF(OR(E5042="",E5042="!!!"),"",IF(NOT(ISNA(VLOOKUP(E5042,E$1:E5041,1,FALSE()))),"OLD",IF(AND(E5042&lt;&gt;"",E5042&lt;&gt;"!!!"),"NEW","")))</f>
        <v/>
      </c>
      <c r="G5042" s="26" t="str">
        <f aca="false">IF(OR(E5042="",E5042="!!!"),"",IF(OR(J5042=0,AND(J5042=1,K5042=1),AND(J5042=1,I5042="SBJ"),AND(J5042=1,I5042=0)),"?IN_FOCUS",IF(J5042&lt;=2,"?ACTIVATED",IF(J5042&lt;&gt;"","?FAMILIAR",IF(F5042="NEW",IF(ISNA(VLOOKUP(E5042,#REF!,1,FALSE())),"?TYPE_IDENTIFIABLE","?REFERENTIAL"),"_")))))</f>
        <v/>
      </c>
      <c r="H5042" s="27" t="str">
        <f aca="false">IF(J5042&lt;&gt;1,"",IF(I5042="SBJ","CB","?"))</f>
        <v/>
      </c>
      <c r="I5042" s="24" t="str">
        <f aca="false">IF(OR(E5042="",E5042="!!!",F5042="NEW"),"",INDEX(B8:B$5035,-1+SUMPRODUCT(MAX(ROW(E8:E$5035)*(E5042=E8:E$5035)))))</f>
        <v/>
      </c>
      <c r="J5042" s="24" t="str">
        <f aca="true">IF(OR(E5042="",E5042="!!!",F5042="NEW"),"",COUNTBLANK(OFFSET(A$1,,,SUMPRODUCT(MAX(ROW(E$2:E5042)*(E5042=E$2:E5042)))))-COUNTBLANK(OFFSET(A$1,,,SUMPRODUCT(MAX(ROW(E$1:E5041)*(E2=E$1:E5041))))))</f>
        <v/>
      </c>
      <c r="K5042" s="24" t="str">
        <f aca="false">IF(OR(E5042="",E5042="!!!",F5042="NEW"),"",INDEX(J$1:J5041,SUMPRODUCT(MAX(ROW(E$1:E5041)*(E5042=E$1:E5041)))))</f>
        <v/>
      </c>
      <c r="L5042" s="31"/>
    </row>
    <row r="5043" customFormat="false" ht="15" hidden="false" customHeight="false" outlineLevel="0" collapsed="false">
      <c r="A5043" s="20" t="s">
        <v>2136</v>
      </c>
      <c r="E5043" s="23" t="str">
        <f aca="false">IF(D5043="?OLD","!!!","")</f>
        <v/>
      </c>
      <c r="F5043" s="25" t="str">
        <f aca="false">IF(OR(E5043="",E5043="!!!"),"",IF(NOT(ISNA(VLOOKUP(E5043,E$1:E5042,1,FALSE()))),"OLD",IF(AND(E5043&lt;&gt;"",E5043&lt;&gt;"!!!"),"NEW","")))</f>
        <v/>
      </c>
      <c r="G5043" s="26" t="str">
        <f aca="false">IF(OR(E5043="",E5043="!!!"),"",IF(OR(J5043=0,AND(J5043=1,K5043=1),AND(J5043=1,I5043="SBJ"),AND(J5043=1,I5043=0)),"?IN_FOCUS",IF(J5043&lt;=2,"?ACTIVATED",IF(J5043&lt;&gt;"","?FAMILIAR",IF(F5043="NEW",IF(ISNA(VLOOKUP(E5043,#REF!,1,FALSE())),"?TYPE_IDENTIFIABLE","?REFERENTIAL"),"_")))))</f>
        <v/>
      </c>
      <c r="H5043" s="27" t="str">
        <f aca="false">IF(J5043&lt;&gt;1,"",IF(I5043="SBJ","CB","?"))</f>
        <v/>
      </c>
      <c r="I5043" s="24" t="str">
        <f aca="false">IF(OR(E5043="",E5043="!!!",F5043="NEW"),"",INDEX(B9:B$5035,-1+SUMPRODUCT(MAX(ROW(E9:E$5035)*(E5043=E9:E$5035)))))</f>
        <v/>
      </c>
      <c r="J5043" s="24" t="str">
        <f aca="true">IF(OR(E5043="",E5043="!!!",F5043="NEW"),"",COUNTBLANK(OFFSET(A$1,,,SUMPRODUCT(MAX(ROW(E$2:E5043)*(E5043=E$2:E5043)))))-COUNTBLANK(OFFSET(A$1,,,SUMPRODUCT(MAX(ROW(E$1:E5042)*(E2=E$1:E5042))))))</f>
        <v/>
      </c>
      <c r="K5043" s="24" t="str">
        <f aca="false">IF(OR(E5043="",E5043="!!!",F5043="NEW"),"",INDEX(J$1:J5042,SUMPRODUCT(MAX(ROW(E$1:E5042)*(E5043=E$1:E5042)))))</f>
        <v/>
      </c>
      <c r="L5043" s="31"/>
    </row>
    <row r="5044" customFormat="false" ht="15" hidden="false" customHeight="false" outlineLevel="0" collapsed="false">
      <c r="A5044" s="20" t="s">
        <v>1189</v>
      </c>
      <c r="B5044" s="22" t="s">
        <v>1073</v>
      </c>
      <c r="C5044" s="22" t="s">
        <v>1099</v>
      </c>
      <c r="D5044" s="22" t="s">
        <v>1060</v>
      </c>
      <c r="E5044" s="23" t="str">
        <f aca="false">IF(D5044="?OLD","!!!","")</f>
        <v>!!!</v>
      </c>
      <c r="F5044" s="25" t="str">
        <f aca="false">IF(OR(E5044="",E5044="!!!"),"",IF(NOT(ISNA(VLOOKUP(E5044,E$1:E5043,1,FALSE()))),"OLD",IF(AND(E5044&lt;&gt;"",E5044&lt;&gt;"!!!"),"NEW","")))</f>
        <v/>
      </c>
      <c r="G5044" s="26" t="str">
        <f aca="false">IF(OR(E5044="",E5044="!!!"),"",IF(OR(J5044=0,AND(J5044=1,K5044=1),AND(J5044=1,I5044="SBJ"),AND(J5044=1,I5044=0)),"?IN_FOCUS",IF(J5044&lt;=2,"?ACTIVATED",IF(J5044&lt;&gt;"","?FAMILIAR",IF(F5044="NEW",IF(ISNA(VLOOKUP(E5044,#REF!,1,FALSE())),"?TYPE_IDENTIFIABLE","?REFERENTIAL"),"_")))))</f>
        <v/>
      </c>
      <c r="H5044" s="27" t="str">
        <f aca="false">IF(J5044&lt;&gt;1,"",IF(I5044="SBJ","CB","?"))</f>
        <v/>
      </c>
      <c r="I5044" s="24" t="str">
        <f aca="false">IF(OR(E5044="",E5044="!!!",F5044="NEW"),"",INDEX(B10:B$5035,-1+SUMPRODUCT(MAX(ROW(E10:E$5035)*(E5044=E10:E$5035)))))</f>
        <v/>
      </c>
      <c r="J5044" s="24" t="str">
        <f aca="true">IF(OR(E5044="",E5044="!!!",F5044="NEW"),"",COUNTBLANK(OFFSET(A$1,,,SUMPRODUCT(MAX(ROW(E$2:E5044)*(E5044=E$2:E5044)))))-COUNTBLANK(OFFSET(A$1,,,SUMPRODUCT(MAX(ROW(E$1:E5043)*(E2=E$1:E5043))))))</f>
        <v/>
      </c>
      <c r="K5044" s="24" t="str">
        <f aca="false">IF(OR(E5044="",E5044="!!!",F5044="NEW"),"",INDEX(J$1:J5043,SUMPRODUCT(MAX(ROW(E$1:E5043)*(E5044=E$1:E5043)))))</f>
        <v/>
      </c>
      <c r="L5044" s="31"/>
    </row>
    <row r="5045" customFormat="false" ht="15" hidden="false" customHeight="false" outlineLevel="0" collapsed="false">
      <c r="A5045" s="20" t="s">
        <v>1828</v>
      </c>
      <c r="B5045" s="22" t="s">
        <v>1081</v>
      </c>
      <c r="C5045" s="22" t="s">
        <v>1059</v>
      </c>
      <c r="D5045" s="22" t="s">
        <v>1060</v>
      </c>
      <c r="E5045" s="23" t="str">
        <f aca="false">IF(D5045="?OLD","!!!","")</f>
        <v>!!!</v>
      </c>
      <c r="F5045" s="25" t="str">
        <f aca="false">IF(OR(E5045="",E5045="!!!"),"",IF(NOT(ISNA(VLOOKUP(E5045,E$1:E5044,1,FALSE()))),"OLD",IF(AND(E5045&lt;&gt;"",E5045&lt;&gt;"!!!"),"NEW","")))</f>
        <v/>
      </c>
      <c r="G5045" s="26" t="str">
        <f aca="false">IF(OR(E5045="",E5045="!!!"),"",IF(OR(J5045=0,AND(J5045=1,K5045=1),AND(J5045=1,I5045="SBJ"),AND(J5045=1,I5045=0)),"?IN_FOCUS",IF(J5045&lt;=2,"?ACTIVATED",IF(J5045&lt;&gt;"","?FAMILIAR",IF(F5045="NEW",IF(ISNA(VLOOKUP(E5045,#REF!,1,FALSE())),"?TYPE_IDENTIFIABLE","?REFERENTIAL"),"_")))))</f>
        <v/>
      </c>
      <c r="H5045" s="27" t="str">
        <f aca="false">IF(J5045&lt;&gt;1,"",IF(I5045="SBJ","CB","?"))</f>
        <v/>
      </c>
      <c r="I5045" s="24" t="str">
        <f aca="false">IF(OR(E5045="",E5045="!!!",F5045="NEW"),"",INDEX(B11:B$5035,-1+SUMPRODUCT(MAX(ROW(E11:E$5035)*(E5045=E11:E$5035)))))</f>
        <v/>
      </c>
      <c r="J5045" s="24" t="str">
        <f aca="true">IF(OR(E5045="",E5045="!!!",F5045="NEW"),"",COUNTBLANK(OFFSET(A$1,,,SUMPRODUCT(MAX(ROW(E$2:E5045)*(E5045=E$2:E5045)))))-COUNTBLANK(OFFSET(A$1,,,SUMPRODUCT(MAX(ROW(E$1:E5044)*(E2=E$1:E5044))))))</f>
        <v/>
      </c>
      <c r="K5045" s="24" t="str">
        <f aca="false">IF(OR(E5045="",E5045="!!!",F5045="NEW"),"",INDEX(J$1:J5044,SUMPRODUCT(MAX(ROW(E$1:E5044)*(E5045=E$1:E5044)))))</f>
        <v/>
      </c>
      <c r="L5045" s="31"/>
    </row>
    <row r="5046" customFormat="false" ht="15" hidden="false" customHeight="false" outlineLevel="0" collapsed="false">
      <c r="A5046" s="20" t="s">
        <v>923</v>
      </c>
      <c r="E5046" s="23" t="str">
        <f aca="false">IF(D5046="?OLD","!!!","")</f>
        <v/>
      </c>
      <c r="F5046" s="25" t="str">
        <f aca="false">IF(OR(E5046="",E5046="!!!"),"",IF(NOT(ISNA(VLOOKUP(E5046,E$1:E5045,1,FALSE()))),"OLD",IF(AND(E5046&lt;&gt;"",E5046&lt;&gt;"!!!"),"NEW","")))</f>
        <v/>
      </c>
      <c r="G5046" s="26" t="str">
        <f aca="false">IF(OR(E5046="",E5046="!!!"),"",IF(OR(J5046=0,AND(J5046=1,K5046=1),AND(J5046=1,I5046="SBJ"),AND(J5046=1,I5046=0)),"?IN_FOCUS",IF(J5046&lt;=2,"?ACTIVATED",IF(J5046&lt;&gt;"","?FAMILIAR",IF(F5046="NEW",IF(ISNA(VLOOKUP(E5046,#REF!,1,FALSE())),"?TYPE_IDENTIFIABLE","?REFERENTIAL"),"_")))))</f>
        <v/>
      </c>
      <c r="H5046" s="27" t="str">
        <f aca="false">IF(J5046&lt;&gt;1,"",IF(I5046="SBJ","CB","?"))</f>
        <v/>
      </c>
      <c r="I5046" s="24" t="str">
        <f aca="false">IF(OR(E5046="",E5046="!!!",F5046="NEW"),"",INDEX(B12:B$5035,-1+SUMPRODUCT(MAX(ROW(E12:E$5035)*(E5046=E12:E$5035)))))</f>
        <v/>
      </c>
      <c r="J5046" s="24" t="str">
        <f aca="true">IF(OR(E5046="",E5046="!!!",F5046="NEW"),"",COUNTBLANK(OFFSET(A$1,,,SUMPRODUCT(MAX(ROW(E$2:E5046)*(E5046=E$2:E5046)))))-COUNTBLANK(OFFSET(A$1,,,SUMPRODUCT(MAX(ROW(E$1:E5045)*(E2=E$1:E5045))))))</f>
        <v/>
      </c>
      <c r="K5046" s="24" t="str">
        <f aca="false">IF(OR(E5046="",E5046="!!!",F5046="NEW"),"",INDEX(J$1:J5045,SUMPRODUCT(MAX(ROW(E$1:E5045)*(E5046=E$1:E5045)))))</f>
        <v/>
      </c>
      <c r="L5046" s="31"/>
    </row>
    <row r="5047" customFormat="false" ht="15" hidden="false" customHeight="false" outlineLevel="0" collapsed="false">
      <c r="A5047" s="20"/>
    </row>
    <row r="5048" customFormat="false" ht="15" hidden="false" customHeight="false" outlineLevel="0" collapsed="false">
      <c r="A5048" s="20" t="s">
        <v>2510</v>
      </c>
    </row>
    <row r="5049" customFormat="false" ht="15" hidden="false" customHeight="false" outlineLevel="0" collapsed="false">
      <c r="A5049" s="20" t="s">
        <v>1727</v>
      </c>
      <c r="E5049" s="23" t="str">
        <f aca="false">IF(D5049="?OLD","!!!","")</f>
        <v/>
      </c>
      <c r="F5049" s="25" t="str">
        <f aca="false">IF(OR(E5049="",E5049="!!!"),"",IF(NOT(ISNA(VLOOKUP(E5049,E$1:E5048,1,FALSE()))),"OLD",IF(AND(E5049&lt;&gt;"",E5049&lt;&gt;"!!!"),"NEW","")))</f>
        <v/>
      </c>
      <c r="G5049" s="26" t="str">
        <f aca="false">IF(OR(E5049="",E5049="!!!"),"",IF(OR(J5049=0,AND(J5049=1,K5049=1),AND(J5049=1,I5049="SBJ"),AND(J5049=1,I5049=0)),"?IN_FOCUS",IF(J5049&lt;=2,"?ACTIVATED",IF(J5049&lt;&gt;"","?FAMILIAR",IF(F5049="NEW",IF(ISNA(VLOOKUP(E5049,#REF!,1,FALSE())),"?TYPE_IDENTIFIABLE","?REFERENTIAL"),"_")))))</f>
        <v/>
      </c>
      <c r="H5049" s="27" t="str">
        <f aca="false">IF(J5049&lt;&gt;1,"",IF(I5049="SBJ","CB","?"))</f>
        <v/>
      </c>
      <c r="I5049" s="24" t="str">
        <f aca="false">IF(OR(E5049="",E5049="!!!",F5049="NEW"),"",INDEX(B2:B$5048,-1+SUMPRODUCT(MAX(ROW(E2:E$5048)*(E5049=E2:E$5048)))))</f>
        <v/>
      </c>
      <c r="J5049" s="24" t="str">
        <f aca="true">IF(OR(E5049="",E5049="!!!",F5049="NEW"),"",COUNTBLANK(OFFSET(A$1,,,SUMPRODUCT(MAX(ROW(E$2:E5049)*(E5049=E$2:E5049)))))-COUNTBLANK(OFFSET(A$1,,,SUMPRODUCT(MAX(ROW(E$1:E5048)*(E2=E$1:E5048))))))</f>
        <v/>
      </c>
      <c r="K5049" s="24" t="str">
        <f aca="false">IF(OR(E5049="",E5049="!!!",F5049="NEW"),"",INDEX(J$1:J5048,SUMPRODUCT(MAX(ROW(E$1:E5048)*(E5049=E$1:E5048)))))</f>
        <v/>
      </c>
      <c r="L5049" s="31"/>
    </row>
    <row r="5050" customFormat="false" ht="15" hidden="false" customHeight="false" outlineLevel="0" collapsed="false">
      <c r="A5050" s="20" t="s">
        <v>1109</v>
      </c>
      <c r="E5050" s="23" t="str">
        <f aca="false">IF(D5050="?OLD","!!!","")</f>
        <v/>
      </c>
      <c r="F5050" s="25" t="str">
        <f aca="false">IF(OR(E5050="",E5050="!!!"),"",IF(NOT(ISNA(VLOOKUP(E5050,E$1:E5049,1,FALSE()))),"OLD",IF(AND(E5050&lt;&gt;"",E5050&lt;&gt;"!!!"),"NEW","")))</f>
        <v/>
      </c>
      <c r="G5050" s="26" t="str">
        <f aca="false">IF(OR(E5050="",E5050="!!!"),"",IF(OR(J5050=0,AND(J5050=1,K5050=1),AND(J5050=1,I5050="SBJ"),AND(J5050=1,I5050=0)),"?IN_FOCUS",IF(J5050&lt;=2,"?ACTIVATED",IF(J5050&lt;&gt;"","?FAMILIAR",IF(F5050="NEW",IF(ISNA(VLOOKUP(E5050,#REF!,1,FALSE())),"?TYPE_IDENTIFIABLE","?REFERENTIAL"),"_")))))</f>
        <v/>
      </c>
      <c r="H5050" s="27" t="str">
        <f aca="false">IF(J5050&lt;&gt;1,"",IF(I5050="SBJ","CB","?"))</f>
        <v/>
      </c>
      <c r="I5050" s="24" t="str">
        <f aca="false">IF(OR(E5050="",E5050="!!!",F5050="NEW"),"",INDEX(B3:B$5048,-1+SUMPRODUCT(MAX(ROW(E3:E$5048)*(E5050=E3:E$5048)))))</f>
        <v/>
      </c>
      <c r="J5050" s="24" t="str">
        <f aca="true">IF(OR(E5050="",E5050="!!!",F5050="NEW"),"",COUNTBLANK(OFFSET(A$1,,,SUMPRODUCT(MAX(ROW(E$2:E5050)*(E5050=E$2:E5050)))))-COUNTBLANK(OFFSET(A$1,,,SUMPRODUCT(MAX(ROW(E$1:E5049)*(E2=E$1:E5049))))))</f>
        <v/>
      </c>
      <c r="K5050" s="24" t="str">
        <f aca="false">IF(OR(E5050="",E5050="!!!",F5050="NEW"),"",INDEX(J$1:J5049,SUMPRODUCT(MAX(ROW(E$1:E5049)*(E5050=E$1:E5049)))))</f>
        <v/>
      </c>
      <c r="L5050" s="31"/>
    </row>
    <row r="5051" customFormat="false" ht="15" hidden="false" customHeight="false" outlineLevel="0" collapsed="false">
      <c r="A5051" s="20" t="s">
        <v>1627</v>
      </c>
      <c r="B5051" s="22" t="s">
        <v>1086</v>
      </c>
      <c r="C5051" s="22" t="s">
        <v>1150</v>
      </c>
      <c r="D5051" s="22" t="s">
        <v>1060</v>
      </c>
      <c r="E5051" s="23" t="str">
        <f aca="false">IF(D5051="?OLD","!!!","")</f>
        <v>!!!</v>
      </c>
      <c r="F5051" s="25" t="str">
        <f aca="false">IF(OR(E5051="",E5051="!!!"),"",IF(NOT(ISNA(VLOOKUP(E5051,E$1:E5050,1,FALSE()))),"OLD",IF(AND(E5051&lt;&gt;"",E5051&lt;&gt;"!!!"),"NEW","")))</f>
        <v/>
      </c>
      <c r="G5051" s="26" t="str">
        <f aca="false">IF(OR(E5051="",E5051="!!!"),"",IF(OR(J5051=0,AND(J5051=1,K5051=1),AND(J5051=1,I5051="SBJ"),AND(J5051=1,I5051=0)),"?IN_FOCUS",IF(J5051&lt;=2,"?ACTIVATED",IF(J5051&lt;&gt;"","?FAMILIAR",IF(F5051="NEW",IF(ISNA(VLOOKUP(E5051,#REF!,1,FALSE())),"?TYPE_IDENTIFIABLE","?REFERENTIAL"),"_")))))</f>
        <v/>
      </c>
      <c r="H5051" s="27" t="str">
        <f aca="false">IF(J5051&lt;&gt;1,"",IF(I5051="SBJ","CB","?"))</f>
        <v/>
      </c>
      <c r="I5051" s="24" t="str">
        <f aca="false">IF(OR(E5051="",E5051="!!!",F5051="NEW"),"",INDEX(B4:B$5048,-1+SUMPRODUCT(MAX(ROW(E4:E$5048)*(E5051=E4:E$5048)))))</f>
        <v/>
      </c>
      <c r="J5051" s="24" t="str">
        <f aca="true">IF(OR(E5051="",E5051="!!!",F5051="NEW"),"",COUNTBLANK(OFFSET(A$1,,,SUMPRODUCT(MAX(ROW(E$2:E5051)*(E5051=E$2:E5051)))))-COUNTBLANK(OFFSET(A$1,,,SUMPRODUCT(MAX(ROW(E$1:E5050)*(E2=E$1:E5050))))))</f>
        <v/>
      </c>
      <c r="K5051" s="24" t="str">
        <f aca="false">IF(OR(E5051="",E5051="!!!",F5051="NEW"),"",INDEX(J$1:J5050,SUMPRODUCT(MAX(ROW(E$1:E5050)*(E5051=E$1:E5050)))))</f>
        <v/>
      </c>
      <c r="L5051" s="31"/>
    </row>
    <row r="5052" customFormat="false" ht="15" hidden="false" customHeight="false" outlineLevel="0" collapsed="false">
      <c r="A5052" s="20" t="s">
        <v>1230</v>
      </c>
      <c r="E5052" s="23" t="str">
        <f aca="false">IF(D5052="?OLD","!!!","")</f>
        <v/>
      </c>
      <c r="F5052" s="25" t="str">
        <f aca="false">IF(OR(E5052="",E5052="!!!"),"",IF(NOT(ISNA(VLOOKUP(E5052,E$1:E5051,1,FALSE()))),"OLD",IF(AND(E5052&lt;&gt;"",E5052&lt;&gt;"!!!"),"NEW","")))</f>
        <v/>
      </c>
      <c r="G5052" s="26" t="str">
        <f aca="false">IF(OR(E5052="",E5052="!!!"),"",IF(OR(J5052=0,AND(J5052=1,K5052=1),AND(J5052=1,I5052="SBJ"),AND(J5052=1,I5052=0)),"?IN_FOCUS",IF(J5052&lt;=2,"?ACTIVATED",IF(J5052&lt;&gt;"","?FAMILIAR",IF(F5052="NEW",IF(ISNA(VLOOKUP(E5052,#REF!,1,FALSE())),"?TYPE_IDENTIFIABLE","?REFERENTIAL"),"_")))))</f>
        <v/>
      </c>
      <c r="H5052" s="27" t="str">
        <f aca="false">IF(J5052&lt;&gt;1,"",IF(I5052="SBJ","CB","?"))</f>
        <v/>
      </c>
      <c r="I5052" s="24" t="str">
        <f aca="false">IF(OR(E5052="",E5052="!!!",F5052="NEW"),"",INDEX(B5:B$5048,-1+SUMPRODUCT(MAX(ROW(E5:E$5048)*(E5052=E5:E$5048)))))</f>
        <v/>
      </c>
      <c r="J5052" s="24" t="str">
        <f aca="true">IF(OR(E5052="",E5052="!!!",F5052="NEW"),"",COUNTBLANK(OFFSET(A$1,,,SUMPRODUCT(MAX(ROW(E$2:E5052)*(E5052=E$2:E5052)))))-COUNTBLANK(OFFSET(A$1,,,SUMPRODUCT(MAX(ROW(E$1:E5051)*(E2=E$1:E5051))))))</f>
        <v/>
      </c>
      <c r="K5052" s="24" t="str">
        <f aca="false">IF(OR(E5052="",E5052="!!!",F5052="NEW"),"",INDEX(J$1:J5051,SUMPRODUCT(MAX(ROW(E$1:E5051)*(E5052=E$1:E5051)))))</f>
        <v/>
      </c>
      <c r="L5052" s="31"/>
    </row>
    <row r="5053" customFormat="false" ht="15" hidden="false" customHeight="false" outlineLevel="0" collapsed="false">
      <c r="A5053" s="20" t="s">
        <v>1085</v>
      </c>
      <c r="E5053" s="23" t="str">
        <f aca="false">IF(D5053="?OLD","!!!","")</f>
        <v/>
      </c>
      <c r="F5053" s="25" t="str">
        <f aca="false">IF(OR(E5053="",E5053="!!!"),"",IF(NOT(ISNA(VLOOKUP(E5053,E$1:E5052,1,FALSE()))),"OLD",IF(AND(E5053&lt;&gt;"",E5053&lt;&gt;"!!!"),"NEW","")))</f>
        <v/>
      </c>
      <c r="G5053" s="26" t="str">
        <f aca="false">IF(OR(E5053="",E5053="!!!"),"",IF(OR(J5053=0,AND(J5053=1,K5053=1),AND(J5053=1,I5053="SBJ"),AND(J5053=1,I5053=0)),"?IN_FOCUS",IF(J5053&lt;=2,"?ACTIVATED",IF(J5053&lt;&gt;"","?FAMILIAR",IF(F5053="NEW",IF(ISNA(VLOOKUP(E5053,#REF!,1,FALSE())),"?TYPE_IDENTIFIABLE","?REFERENTIAL"),"_")))))</f>
        <v/>
      </c>
      <c r="H5053" s="27" t="str">
        <f aca="false">IF(J5053&lt;&gt;1,"",IF(I5053="SBJ","CB","?"))</f>
        <v/>
      </c>
      <c r="I5053" s="24" t="str">
        <f aca="false">IF(OR(E5053="",E5053="!!!",F5053="NEW"),"",INDEX(B6:B$5048,-1+SUMPRODUCT(MAX(ROW(E6:E$5048)*(E5053=E6:E$5048)))))</f>
        <v/>
      </c>
      <c r="J5053" s="24" t="str">
        <f aca="true">IF(OR(E5053="",E5053="!!!",F5053="NEW"),"",COUNTBLANK(OFFSET(A$1,,,SUMPRODUCT(MAX(ROW(E$2:E5053)*(E5053=E$2:E5053)))))-COUNTBLANK(OFFSET(A$1,,,SUMPRODUCT(MAX(ROW(E$1:E5052)*(E2=E$1:E5052))))))</f>
        <v/>
      </c>
      <c r="K5053" s="24" t="str">
        <f aca="false">IF(OR(E5053="",E5053="!!!",F5053="NEW"),"",INDEX(J$1:J5052,SUMPRODUCT(MAX(ROW(E$1:E5052)*(E5053=E$1:E5052)))))</f>
        <v/>
      </c>
      <c r="L5053" s="31"/>
    </row>
    <row r="5054" customFormat="false" ht="15" hidden="false" customHeight="false" outlineLevel="0" collapsed="false">
      <c r="A5054" s="20" t="s">
        <v>2511</v>
      </c>
      <c r="E5054" s="23" t="str">
        <f aca="false">IF(D5054="?OLD","!!!","")</f>
        <v/>
      </c>
      <c r="F5054" s="25" t="str">
        <f aca="false">IF(OR(E5054="",E5054="!!!"),"",IF(NOT(ISNA(VLOOKUP(E5054,E$1:E5053,1,FALSE()))),"OLD",IF(AND(E5054&lt;&gt;"",E5054&lt;&gt;"!!!"),"NEW","")))</f>
        <v/>
      </c>
      <c r="G5054" s="26" t="str">
        <f aca="false">IF(OR(E5054="",E5054="!!!"),"",IF(OR(J5054=0,AND(J5054=1,K5054=1),AND(J5054=1,I5054="SBJ"),AND(J5054=1,I5054=0)),"?IN_FOCUS",IF(J5054&lt;=2,"?ACTIVATED",IF(J5054&lt;&gt;"","?FAMILIAR",IF(F5054="NEW",IF(ISNA(VLOOKUP(E5054,#REF!,1,FALSE())),"?TYPE_IDENTIFIABLE","?REFERENTIAL"),"_")))))</f>
        <v/>
      </c>
      <c r="H5054" s="27" t="str">
        <f aca="false">IF(J5054&lt;&gt;1,"",IF(I5054="SBJ","CB","?"))</f>
        <v/>
      </c>
      <c r="I5054" s="24" t="str">
        <f aca="false">IF(OR(E5054="",E5054="!!!",F5054="NEW"),"",INDEX(B7:B$5048,-1+SUMPRODUCT(MAX(ROW(E7:E$5048)*(E5054=E7:E$5048)))))</f>
        <v/>
      </c>
      <c r="J5054" s="24" t="str">
        <f aca="true">IF(OR(E5054="",E5054="!!!",F5054="NEW"),"",COUNTBLANK(OFFSET(A$1,,,SUMPRODUCT(MAX(ROW(E$2:E5054)*(E5054=E$2:E5054)))))-COUNTBLANK(OFFSET(A$1,,,SUMPRODUCT(MAX(ROW(E$1:E5053)*(E2=E$1:E5053))))))</f>
        <v/>
      </c>
      <c r="K5054" s="24" t="str">
        <f aca="false">IF(OR(E5054="",E5054="!!!",F5054="NEW"),"",INDEX(J$1:J5053,SUMPRODUCT(MAX(ROW(E$1:E5053)*(E5054=E$1:E5053)))))</f>
        <v/>
      </c>
      <c r="L5054" s="31"/>
    </row>
    <row r="5055" customFormat="false" ht="15" hidden="false" customHeight="false" outlineLevel="0" collapsed="false">
      <c r="A5055" s="20" t="s">
        <v>2361</v>
      </c>
      <c r="B5055" s="22" t="s">
        <v>1142</v>
      </c>
      <c r="C5055" s="22" t="s">
        <v>1087</v>
      </c>
      <c r="E5055" s="23" t="str">
        <f aca="false">IF(D5055="?OLD","!!!","")</f>
        <v/>
      </c>
      <c r="F5055" s="25" t="str">
        <f aca="false">IF(OR(E5055="",E5055="!!!"),"",IF(NOT(ISNA(VLOOKUP(E5055,E$1:E5054,1,FALSE()))),"OLD",IF(AND(E5055&lt;&gt;"",E5055&lt;&gt;"!!!"),"NEW","")))</f>
        <v/>
      </c>
      <c r="G5055" s="26" t="str">
        <f aca="false">IF(OR(E5055="",E5055="!!!"),"",IF(OR(J5055=0,AND(J5055=1,K5055=1),AND(J5055=1,I5055="SBJ"),AND(J5055=1,I5055=0)),"?IN_FOCUS",IF(J5055&lt;=2,"?ACTIVATED",IF(J5055&lt;&gt;"","?FAMILIAR",IF(F5055="NEW",IF(ISNA(VLOOKUP(E5055,#REF!,1,FALSE())),"?TYPE_IDENTIFIABLE","?REFERENTIAL"),"_")))))</f>
        <v/>
      </c>
      <c r="H5055" s="27" t="str">
        <f aca="false">IF(J5055&lt;&gt;1,"",IF(I5055="SBJ","CB","?"))</f>
        <v/>
      </c>
      <c r="I5055" s="24" t="str">
        <f aca="false">IF(OR(E5055="",E5055="!!!",F5055="NEW"),"",INDEX(B8:B$5048,-1+SUMPRODUCT(MAX(ROW(E8:E$5048)*(E5055=E8:E$5048)))))</f>
        <v/>
      </c>
      <c r="J5055" s="24" t="str">
        <f aca="true">IF(OR(E5055="",E5055="!!!",F5055="NEW"),"",COUNTBLANK(OFFSET(A$1,,,SUMPRODUCT(MAX(ROW(E$2:E5055)*(E5055=E$2:E5055)))))-COUNTBLANK(OFFSET(A$1,,,SUMPRODUCT(MAX(ROW(E$1:E5054)*(E2=E$1:E5054))))))</f>
        <v/>
      </c>
      <c r="K5055" s="24" t="str">
        <f aca="false">IF(OR(E5055="",E5055="!!!",F5055="NEW"),"",INDEX(J$1:J5054,SUMPRODUCT(MAX(ROW(E$1:E5054)*(E5055=E$1:E5054)))))</f>
        <v/>
      </c>
      <c r="L5055" s="31"/>
    </row>
    <row r="5056" customFormat="false" ht="15" hidden="false" customHeight="false" outlineLevel="0" collapsed="false">
      <c r="A5056" s="20" t="s">
        <v>1076</v>
      </c>
      <c r="E5056" s="23" t="str">
        <f aca="false">IF(D5056="?OLD","!!!","")</f>
        <v/>
      </c>
      <c r="F5056" s="25" t="str">
        <f aca="false">IF(OR(E5056="",E5056="!!!"),"",IF(NOT(ISNA(VLOOKUP(E5056,E$1:E5055,1,FALSE()))),"OLD",IF(AND(E5056&lt;&gt;"",E5056&lt;&gt;"!!!"),"NEW","")))</f>
        <v/>
      </c>
      <c r="G5056" s="26" t="str">
        <f aca="false">IF(OR(E5056="",E5056="!!!"),"",IF(OR(J5056=0,AND(J5056=1,K5056=1),AND(J5056=1,I5056="SBJ"),AND(J5056=1,I5056=0)),"?IN_FOCUS",IF(J5056&lt;=2,"?ACTIVATED",IF(J5056&lt;&gt;"","?FAMILIAR",IF(F5056="NEW",IF(ISNA(VLOOKUP(E5056,#REF!,1,FALSE())),"?TYPE_IDENTIFIABLE","?REFERENTIAL"),"_")))))</f>
        <v/>
      </c>
      <c r="H5056" s="27" t="str">
        <f aca="false">IF(J5056&lt;&gt;1,"",IF(I5056="SBJ","CB","?"))</f>
        <v/>
      </c>
      <c r="I5056" s="24" t="str">
        <f aca="false">IF(OR(E5056="",E5056="!!!",F5056="NEW"),"",INDEX(B9:B$5048,-1+SUMPRODUCT(MAX(ROW(E9:E$5048)*(E5056=E9:E$5048)))))</f>
        <v/>
      </c>
      <c r="J5056" s="24" t="str">
        <f aca="true">IF(OR(E5056="",E5056="!!!",F5056="NEW"),"",COUNTBLANK(OFFSET(A$1,,,SUMPRODUCT(MAX(ROW(E$2:E5056)*(E5056=E$2:E5056)))))-COUNTBLANK(OFFSET(A$1,,,SUMPRODUCT(MAX(ROW(E$1:E5055)*(E2=E$1:E5055))))))</f>
        <v/>
      </c>
      <c r="K5056" s="24" t="str">
        <f aca="false">IF(OR(E5056="",E5056="!!!",F5056="NEW"),"",INDEX(J$1:J5055,SUMPRODUCT(MAX(ROW(E$1:E5055)*(E5056=E$1:E5055)))))</f>
        <v/>
      </c>
      <c r="L5056" s="31"/>
    </row>
    <row r="5057" customFormat="false" ht="15" hidden="false" customHeight="false" outlineLevel="0" collapsed="false">
      <c r="A5057" s="20" t="s">
        <v>1563</v>
      </c>
      <c r="E5057" s="23" t="str">
        <f aca="false">IF(D5057="?OLD","!!!","")</f>
        <v/>
      </c>
      <c r="F5057" s="25" t="str">
        <f aca="false">IF(OR(E5057="",E5057="!!!"),"",IF(NOT(ISNA(VLOOKUP(E5057,E$1:E5056,1,FALSE()))),"OLD",IF(AND(E5057&lt;&gt;"",E5057&lt;&gt;"!!!"),"NEW","")))</f>
        <v/>
      </c>
      <c r="G5057" s="26" t="str">
        <f aca="false">IF(OR(E5057="",E5057="!!!"),"",IF(OR(J5057=0,AND(J5057=1,K5057=1),AND(J5057=1,I5057="SBJ"),AND(J5057=1,I5057=0)),"?IN_FOCUS",IF(J5057&lt;=2,"?ACTIVATED",IF(J5057&lt;&gt;"","?FAMILIAR",IF(F5057="NEW",IF(ISNA(VLOOKUP(E5057,#REF!,1,FALSE())),"?TYPE_IDENTIFIABLE","?REFERENTIAL"),"_")))))</f>
        <v/>
      </c>
      <c r="H5057" s="27" t="str">
        <f aca="false">IF(J5057&lt;&gt;1,"",IF(I5057="SBJ","CB","?"))</f>
        <v/>
      </c>
      <c r="I5057" s="24" t="str">
        <f aca="false">IF(OR(E5057="",E5057="!!!",F5057="NEW"),"",INDEX(B10:B$5048,-1+SUMPRODUCT(MAX(ROW(E10:E$5048)*(E5057=E10:E$5048)))))</f>
        <v/>
      </c>
      <c r="J5057" s="24" t="str">
        <f aca="true">IF(OR(E5057="",E5057="!!!",F5057="NEW"),"",COUNTBLANK(OFFSET(A$1,,,SUMPRODUCT(MAX(ROW(E$2:E5057)*(E5057=E$2:E5057)))))-COUNTBLANK(OFFSET(A$1,,,SUMPRODUCT(MAX(ROW(E$1:E5056)*(E2=E$1:E5056))))))</f>
        <v/>
      </c>
      <c r="K5057" s="24" t="str">
        <f aca="false">IF(OR(E5057="",E5057="!!!",F5057="NEW"),"",INDEX(J$1:J5056,SUMPRODUCT(MAX(ROW(E$1:E5056)*(E5057=E$1:E5056)))))</f>
        <v/>
      </c>
      <c r="L5057" s="31"/>
    </row>
    <row r="5058" customFormat="false" ht="15" hidden="false" customHeight="false" outlineLevel="0" collapsed="false">
      <c r="A5058" s="20" t="s">
        <v>1482</v>
      </c>
      <c r="B5058" s="22" t="s">
        <v>1058</v>
      </c>
      <c r="C5058" s="22" t="s">
        <v>1068</v>
      </c>
      <c r="D5058" s="22" t="s">
        <v>1060</v>
      </c>
      <c r="E5058" s="23" t="str">
        <f aca="false">IF(D5058="?OLD","!!!","")</f>
        <v>!!!</v>
      </c>
      <c r="F5058" s="25" t="str">
        <f aca="false">IF(OR(E5058="",E5058="!!!"),"",IF(NOT(ISNA(VLOOKUP(E5058,E$1:E5057,1,FALSE()))),"OLD",IF(AND(E5058&lt;&gt;"",E5058&lt;&gt;"!!!"),"NEW","")))</f>
        <v/>
      </c>
      <c r="G5058" s="26" t="str">
        <f aca="false">IF(OR(E5058="",E5058="!!!"),"",IF(OR(J5058=0,AND(J5058=1,K5058=1),AND(J5058=1,I5058="SBJ"),AND(J5058=1,I5058=0)),"?IN_FOCUS",IF(J5058&lt;=2,"?ACTIVATED",IF(J5058&lt;&gt;"","?FAMILIAR",IF(F5058="NEW",IF(ISNA(VLOOKUP(E5058,#REF!,1,FALSE())),"?TYPE_IDENTIFIABLE","?REFERENTIAL"),"_")))))</f>
        <v/>
      </c>
      <c r="H5058" s="27" t="str">
        <f aca="false">IF(J5058&lt;&gt;1,"",IF(I5058="SBJ","CB","?"))</f>
        <v/>
      </c>
      <c r="I5058" s="24" t="str">
        <f aca="false">IF(OR(E5058="",E5058="!!!",F5058="NEW"),"",INDEX(B11:B$5048,-1+SUMPRODUCT(MAX(ROW(E11:E$5048)*(E5058=E11:E$5048)))))</f>
        <v/>
      </c>
      <c r="J5058" s="24" t="str">
        <f aca="true">IF(OR(E5058="",E5058="!!!",F5058="NEW"),"",COUNTBLANK(OFFSET(A$1,,,SUMPRODUCT(MAX(ROW(E$2:E5058)*(E5058=E$2:E5058)))))-COUNTBLANK(OFFSET(A$1,,,SUMPRODUCT(MAX(ROW(E$1:E5057)*(E2=E$1:E5057))))))</f>
        <v/>
      </c>
      <c r="K5058" s="24" t="str">
        <f aca="false">IF(OR(E5058="",E5058="!!!",F5058="NEW"),"",INDEX(J$1:J5057,SUMPRODUCT(MAX(ROW(E$1:E5057)*(E5058=E$1:E5057)))))</f>
        <v/>
      </c>
      <c r="L5058" s="31"/>
    </row>
    <row r="5059" customFormat="false" ht="15" hidden="false" customHeight="false" outlineLevel="0" collapsed="false">
      <c r="A5059" s="20" t="s">
        <v>1143</v>
      </c>
      <c r="E5059" s="23" t="str">
        <f aca="false">IF(D5059="?OLD","!!!","")</f>
        <v/>
      </c>
      <c r="F5059" s="25" t="str">
        <f aca="false">IF(OR(E5059="",E5059="!!!"),"",IF(NOT(ISNA(VLOOKUP(E5059,E$1:E5058,1,FALSE()))),"OLD",IF(AND(E5059&lt;&gt;"",E5059&lt;&gt;"!!!"),"NEW","")))</f>
        <v/>
      </c>
      <c r="G5059" s="26" t="str">
        <f aca="false">IF(OR(E5059="",E5059="!!!"),"",IF(OR(J5059=0,AND(J5059=1,K5059=1),AND(J5059=1,I5059="SBJ"),AND(J5059=1,I5059=0)),"?IN_FOCUS",IF(J5059&lt;=2,"?ACTIVATED",IF(J5059&lt;&gt;"","?FAMILIAR",IF(F5059="NEW",IF(ISNA(VLOOKUP(E5059,#REF!,1,FALSE())),"?TYPE_IDENTIFIABLE","?REFERENTIAL"),"_")))))</f>
        <v/>
      </c>
      <c r="H5059" s="27" t="str">
        <f aca="false">IF(J5059&lt;&gt;1,"",IF(I5059="SBJ","CB","?"))</f>
        <v/>
      </c>
      <c r="I5059" s="24" t="str">
        <f aca="false">IF(OR(E5059="",E5059="!!!",F5059="NEW"),"",INDEX(B12:B$5048,-1+SUMPRODUCT(MAX(ROW(E12:E$5048)*(E5059=E12:E$5048)))))</f>
        <v/>
      </c>
      <c r="J5059" s="24" t="str">
        <f aca="true">IF(OR(E5059="",E5059="!!!",F5059="NEW"),"",COUNTBLANK(OFFSET(A$1,,,SUMPRODUCT(MAX(ROW(E$2:E5059)*(E5059=E$2:E5059)))))-COUNTBLANK(OFFSET(A$1,,,SUMPRODUCT(MAX(ROW(E$1:E5058)*(E2=E$1:E5058))))))</f>
        <v/>
      </c>
      <c r="K5059" s="24" t="str">
        <f aca="false">IF(OR(E5059="",E5059="!!!",F5059="NEW"),"",INDEX(J$1:J5058,SUMPRODUCT(MAX(ROW(E$1:E5058)*(E5059=E$1:E5058)))))</f>
        <v/>
      </c>
      <c r="L5059" s="31"/>
    </row>
    <row r="5060" customFormat="false" ht="15" hidden="false" customHeight="false" outlineLevel="0" collapsed="false">
      <c r="A5060" s="20" t="s">
        <v>1471</v>
      </c>
      <c r="E5060" s="23" t="str">
        <f aca="false">IF(D5060="?OLD","!!!","")</f>
        <v/>
      </c>
      <c r="F5060" s="25" t="str">
        <f aca="false">IF(OR(E5060="",E5060="!!!"),"",IF(NOT(ISNA(VLOOKUP(E5060,E$1:E5059,1,FALSE()))),"OLD",IF(AND(E5060&lt;&gt;"",E5060&lt;&gt;"!!!"),"NEW","")))</f>
        <v/>
      </c>
      <c r="G5060" s="26" t="str">
        <f aca="false">IF(OR(E5060="",E5060="!!!"),"",IF(OR(J5060=0,AND(J5060=1,K5060=1),AND(J5060=1,I5060="SBJ"),AND(J5060=1,I5060=0)),"?IN_FOCUS",IF(J5060&lt;=2,"?ACTIVATED",IF(J5060&lt;&gt;"","?FAMILIAR",IF(F5060="NEW",IF(ISNA(VLOOKUP(E5060,#REF!,1,FALSE())),"?TYPE_IDENTIFIABLE","?REFERENTIAL"),"_")))))</f>
        <v/>
      </c>
      <c r="H5060" s="27" t="str">
        <f aca="false">IF(J5060&lt;&gt;1,"",IF(I5060="SBJ","CB","?"))</f>
        <v/>
      </c>
      <c r="I5060" s="24" t="str">
        <f aca="false">IF(OR(E5060="",E5060="!!!",F5060="NEW"),"",INDEX(B13:B$5048,-1+SUMPRODUCT(MAX(ROW(E13:E$5048)*(E5060=E13:E$5048)))))</f>
        <v/>
      </c>
      <c r="J5060" s="24" t="str">
        <f aca="true">IF(OR(E5060="",E5060="!!!",F5060="NEW"),"",COUNTBLANK(OFFSET(A$1,,,SUMPRODUCT(MAX(ROW(E$2:E5060)*(E5060=E$2:E5060)))))-COUNTBLANK(OFFSET(A$1,,,SUMPRODUCT(MAX(ROW(E$1:E5059)*(E2=E$1:E5059))))))</f>
        <v/>
      </c>
      <c r="K5060" s="24" t="str">
        <f aca="false">IF(OR(E5060="",E5060="!!!",F5060="NEW"),"",INDEX(J$1:J5059,SUMPRODUCT(MAX(ROW(E$1:E5059)*(E5060=E$1:E5059)))))</f>
        <v/>
      </c>
      <c r="L5060" s="31"/>
    </row>
    <row r="5061" customFormat="false" ht="15" hidden="false" customHeight="false" outlineLevel="0" collapsed="false">
      <c r="A5061" s="20" t="s">
        <v>1089</v>
      </c>
      <c r="E5061" s="23" t="str">
        <f aca="false">IF(D5061="?OLD","!!!","")</f>
        <v/>
      </c>
      <c r="F5061" s="25" t="str">
        <f aca="false">IF(OR(E5061="",E5061="!!!"),"",IF(NOT(ISNA(VLOOKUP(E5061,E$1:E5060,1,FALSE()))),"OLD",IF(AND(E5061&lt;&gt;"",E5061&lt;&gt;"!!!"),"NEW","")))</f>
        <v/>
      </c>
      <c r="G5061" s="26" t="str">
        <f aca="false">IF(OR(E5061="",E5061="!!!"),"",IF(OR(J5061=0,AND(J5061=1,K5061=1),AND(J5061=1,I5061="SBJ"),AND(J5061=1,I5061=0)),"?IN_FOCUS",IF(J5061&lt;=2,"?ACTIVATED",IF(J5061&lt;&gt;"","?FAMILIAR",IF(F5061="NEW",IF(ISNA(VLOOKUP(E5061,#REF!,1,FALSE())),"?TYPE_IDENTIFIABLE","?REFERENTIAL"),"_")))))</f>
        <v/>
      </c>
      <c r="H5061" s="27" t="str">
        <f aca="false">IF(J5061&lt;&gt;1,"",IF(I5061="SBJ","CB","?"))</f>
        <v/>
      </c>
      <c r="I5061" s="24" t="str">
        <f aca="false">IF(OR(E5061="",E5061="!!!",F5061="NEW"),"",INDEX(B14:B$5048,-1+SUMPRODUCT(MAX(ROW(E14:E$5048)*(E5061=E14:E$5048)))))</f>
        <v/>
      </c>
      <c r="J5061" s="24" t="str">
        <f aca="true">IF(OR(E5061="",E5061="!!!",F5061="NEW"),"",COUNTBLANK(OFFSET(A$1,,,SUMPRODUCT(MAX(ROW(E$2:E5061)*(E5061=E$2:E5061)))))-COUNTBLANK(OFFSET(A$1,,,SUMPRODUCT(MAX(ROW(E$1:E5060)*(E2=E$1:E5060))))))</f>
        <v/>
      </c>
      <c r="K5061" s="24" t="str">
        <f aca="false">IF(OR(E5061="",E5061="!!!",F5061="NEW"),"",INDEX(J$1:J5060,SUMPRODUCT(MAX(ROW(E$1:E5060)*(E5061=E$1:E5060)))))</f>
        <v/>
      </c>
      <c r="L5061" s="31"/>
    </row>
    <row r="5062" customFormat="false" ht="15" hidden="false" customHeight="false" outlineLevel="0" collapsed="false">
      <c r="A5062" s="20" t="s">
        <v>2318</v>
      </c>
      <c r="B5062" s="22" t="s">
        <v>1081</v>
      </c>
      <c r="C5062" s="22" t="s">
        <v>1171</v>
      </c>
      <c r="D5062" s="22" t="s">
        <v>1060</v>
      </c>
      <c r="E5062" s="23" t="str">
        <f aca="false">IF(D5062="?OLD","!!!","")</f>
        <v>!!!</v>
      </c>
      <c r="F5062" s="25" t="str">
        <f aca="false">IF(OR(E5062="",E5062="!!!"),"",IF(NOT(ISNA(VLOOKUP(E5062,E$1:E5061,1,FALSE()))),"OLD",IF(AND(E5062&lt;&gt;"",E5062&lt;&gt;"!!!"),"NEW","")))</f>
        <v/>
      </c>
      <c r="G5062" s="26" t="str">
        <f aca="false">IF(OR(E5062="",E5062="!!!"),"",IF(OR(J5062=0,AND(J5062=1,K5062=1),AND(J5062=1,I5062="SBJ"),AND(J5062=1,I5062=0)),"?IN_FOCUS",IF(J5062&lt;=2,"?ACTIVATED",IF(J5062&lt;&gt;"","?FAMILIAR",IF(F5062="NEW",IF(ISNA(VLOOKUP(E5062,#REF!,1,FALSE())),"?TYPE_IDENTIFIABLE","?REFERENTIAL"),"_")))))</f>
        <v/>
      </c>
      <c r="H5062" s="27" t="str">
        <f aca="false">IF(J5062&lt;&gt;1,"",IF(I5062="SBJ","CB","?"))</f>
        <v/>
      </c>
      <c r="I5062" s="24" t="str">
        <f aca="false">IF(OR(E5062="",E5062="!!!",F5062="NEW"),"",INDEX(B15:B$5048,-1+SUMPRODUCT(MAX(ROW(E15:E$5048)*(E5062=E15:E$5048)))))</f>
        <v/>
      </c>
      <c r="J5062" s="24" t="str">
        <f aca="true">IF(OR(E5062="",E5062="!!!",F5062="NEW"),"",COUNTBLANK(OFFSET(A$1,,,SUMPRODUCT(MAX(ROW(E$2:E5062)*(E5062=E$2:E5062)))))-COUNTBLANK(OFFSET(A$1,,,SUMPRODUCT(MAX(ROW(E$1:E5061)*(E2=E$1:E5061))))))</f>
        <v/>
      </c>
      <c r="K5062" s="24" t="str">
        <f aca="false">IF(OR(E5062="",E5062="!!!",F5062="NEW"),"",INDEX(J$1:J5061,SUMPRODUCT(MAX(ROW(E$1:E5061)*(E5062=E$1:E5061)))))</f>
        <v/>
      </c>
      <c r="L5062" s="31"/>
    </row>
    <row r="5063" customFormat="false" ht="15" hidden="false" customHeight="false" outlineLevel="0" collapsed="false">
      <c r="A5063" s="20" t="s">
        <v>1064</v>
      </c>
      <c r="E5063" s="23" t="str">
        <f aca="false">IF(D5063="?OLD","!!!","")</f>
        <v/>
      </c>
      <c r="F5063" s="25" t="str">
        <f aca="false">IF(OR(E5063="",E5063="!!!"),"",IF(NOT(ISNA(VLOOKUP(E5063,E$1:E5062,1,FALSE()))),"OLD",IF(AND(E5063&lt;&gt;"",E5063&lt;&gt;"!!!"),"NEW","")))</f>
        <v/>
      </c>
      <c r="G5063" s="26" t="str">
        <f aca="false">IF(OR(E5063="",E5063="!!!"),"",IF(OR(J5063=0,AND(J5063=1,K5063=1),AND(J5063=1,I5063="SBJ"),AND(J5063=1,I5063=0)),"?IN_FOCUS",IF(J5063&lt;=2,"?ACTIVATED",IF(J5063&lt;&gt;"","?FAMILIAR",IF(F5063="NEW",IF(ISNA(VLOOKUP(E5063,#REF!,1,FALSE())),"?TYPE_IDENTIFIABLE","?REFERENTIAL"),"_")))))</f>
        <v/>
      </c>
      <c r="H5063" s="27" t="str">
        <f aca="false">IF(J5063&lt;&gt;1,"",IF(I5063="SBJ","CB","?"))</f>
        <v/>
      </c>
      <c r="I5063" s="24" t="str">
        <f aca="false">IF(OR(E5063="",E5063="!!!",F5063="NEW"),"",INDEX(B16:B$5048,-1+SUMPRODUCT(MAX(ROW(E16:E$5048)*(E5063=E16:E$5048)))))</f>
        <v/>
      </c>
      <c r="J5063" s="24" t="str">
        <f aca="true">IF(OR(E5063="",E5063="!!!",F5063="NEW"),"",COUNTBLANK(OFFSET(A$1,,,SUMPRODUCT(MAX(ROW(E$2:E5063)*(E5063=E$2:E5063)))))-COUNTBLANK(OFFSET(A$1,,,SUMPRODUCT(MAX(ROW(E$1:E5062)*(E2=E$1:E5062))))))</f>
        <v/>
      </c>
      <c r="K5063" s="24" t="str">
        <f aca="false">IF(OR(E5063="",E5063="!!!",F5063="NEW"),"",INDEX(J$1:J5062,SUMPRODUCT(MAX(ROW(E$1:E5062)*(E5063=E$1:E5062)))))</f>
        <v/>
      </c>
      <c r="L5063" s="31"/>
    </row>
    <row r="5064" customFormat="false" ht="15" hidden="false" customHeight="false" outlineLevel="0" collapsed="false">
      <c r="A5064" s="20" t="s">
        <v>2323</v>
      </c>
      <c r="E5064" s="23" t="str">
        <f aca="false">IF(D5064="?OLD","!!!","")</f>
        <v/>
      </c>
      <c r="F5064" s="25" t="str">
        <f aca="false">IF(OR(E5064="",E5064="!!!"),"",IF(NOT(ISNA(VLOOKUP(E5064,E$1:E5063,1,FALSE()))),"OLD",IF(AND(E5064&lt;&gt;"",E5064&lt;&gt;"!!!"),"NEW","")))</f>
        <v/>
      </c>
      <c r="G5064" s="26" t="str">
        <f aca="false">IF(OR(E5064="",E5064="!!!"),"",IF(OR(J5064=0,AND(J5064=1,K5064=1),AND(J5064=1,I5064="SBJ"),AND(J5064=1,I5064=0)),"?IN_FOCUS",IF(J5064&lt;=2,"?ACTIVATED",IF(J5064&lt;&gt;"","?FAMILIAR",IF(F5064="NEW",IF(ISNA(VLOOKUP(E5064,#REF!,1,FALSE())),"?TYPE_IDENTIFIABLE","?REFERENTIAL"),"_")))))</f>
        <v/>
      </c>
      <c r="H5064" s="27" t="str">
        <f aca="false">IF(J5064&lt;&gt;1,"",IF(I5064="SBJ","CB","?"))</f>
        <v/>
      </c>
      <c r="I5064" s="24" t="str">
        <f aca="false">IF(OR(E5064="",E5064="!!!",F5064="NEW"),"",INDEX(B17:B$5048,-1+SUMPRODUCT(MAX(ROW(E17:E$5048)*(E5064=E17:E$5048)))))</f>
        <v/>
      </c>
      <c r="J5064" s="24" t="str">
        <f aca="true">IF(OR(E5064="",E5064="!!!",F5064="NEW"),"",COUNTBLANK(OFFSET(A$1,,,SUMPRODUCT(MAX(ROW(E$2:E5064)*(E5064=E$2:E5064)))))-COUNTBLANK(OFFSET(A$1,,,SUMPRODUCT(MAX(ROW(E$1:E5063)*(E2=E$1:E5063))))))</f>
        <v/>
      </c>
      <c r="K5064" s="24" t="str">
        <f aca="false">IF(OR(E5064="",E5064="!!!",F5064="NEW"),"",INDEX(J$1:J5063,SUMPRODUCT(MAX(ROW(E$1:E5063)*(E5064=E$1:E5063)))))</f>
        <v/>
      </c>
      <c r="L5064" s="31"/>
    </row>
    <row r="5065" customFormat="false" ht="15" hidden="false" customHeight="false" outlineLevel="0" collapsed="false">
      <c r="A5065" s="20" t="s">
        <v>1490</v>
      </c>
      <c r="B5065" s="22" t="s">
        <v>1073</v>
      </c>
      <c r="C5065" s="22" t="s">
        <v>1160</v>
      </c>
      <c r="E5065" s="23" t="str">
        <f aca="false">IF(D5065="?OLD","!!!","")</f>
        <v/>
      </c>
      <c r="F5065" s="25" t="str">
        <f aca="false">IF(OR(E5065="",E5065="!!!"),"",IF(NOT(ISNA(VLOOKUP(E5065,E$1:E5064,1,FALSE()))),"OLD",IF(AND(E5065&lt;&gt;"",E5065&lt;&gt;"!!!"),"NEW","")))</f>
        <v/>
      </c>
      <c r="G5065" s="26" t="str">
        <f aca="false">IF(OR(E5065="",E5065="!!!"),"",IF(OR(J5065=0,AND(J5065=1,K5065=1),AND(J5065=1,I5065="SBJ"),AND(J5065=1,I5065=0)),"?IN_FOCUS",IF(J5065&lt;=2,"?ACTIVATED",IF(J5065&lt;&gt;"","?FAMILIAR",IF(F5065="NEW",IF(ISNA(VLOOKUP(E5065,#REF!,1,FALSE())),"?TYPE_IDENTIFIABLE","?REFERENTIAL"),"_")))))</f>
        <v/>
      </c>
      <c r="H5065" s="27" t="str">
        <f aca="false">IF(J5065&lt;&gt;1,"",IF(I5065="SBJ","CB","?"))</f>
        <v/>
      </c>
      <c r="I5065" s="24" t="str">
        <f aca="false">IF(OR(E5065="",E5065="!!!",F5065="NEW"),"",INDEX(B18:B$5048,-1+SUMPRODUCT(MAX(ROW(E18:E$5048)*(E5065=E18:E$5048)))))</f>
        <v/>
      </c>
      <c r="J5065" s="24" t="str">
        <f aca="true">IF(OR(E5065="",E5065="!!!",F5065="NEW"),"",COUNTBLANK(OFFSET(A$1,,,SUMPRODUCT(MAX(ROW(E$2:E5065)*(E5065=E$2:E5065)))))-COUNTBLANK(OFFSET(A$1,,,SUMPRODUCT(MAX(ROW(E$1:E5064)*(E2=E$1:E5064))))))</f>
        <v/>
      </c>
      <c r="K5065" s="24" t="str">
        <f aca="false">IF(OR(E5065="",E5065="!!!",F5065="NEW"),"",INDEX(J$1:J5064,SUMPRODUCT(MAX(ROW(E$1:E5064)*(E5065=E$1:E5064)))))</f>
        <v/>
      </c>
      <c r="L5065" s="31"/>
    </row>
    <row r="5066" customFormat="false" ht="15" hidden="false" customHeight="false" outlineLevel="0" collapsed="false">
      <c r="A5066" s="20" t="s">
        <v>1125</v>
      </c>
      <c r="B5066" s="22" t="s">
        <v>1102</v>
      </c>
      <c r="E5066" s="23" t="str">
        <f aca="false">IF(D5066="?OLD","!!!","")</f>
        <v/>
      </c>
      <c r="F5066" s="25" t="str">
        <f aca="false">IF(OR(E5066="",E5066="!!!"),"",IF(NOT(ISNA(VLOOKUP(E5066,E$1:E5065,1,FALSE()))),"OLD",IF(AND(E5066&lt;&gt;"",E5066&lt;&gt;"!!!"),"NEW","")))</f>
        <v/>
      </c>
      <c r="G5066" s="26" t="str">
        <f aca="false">IF(OR(E5066="",E5066="!!!"),"",IF(OR(J5066=0,AND(J5066=1,K5066=1),AND(J5066=1,I5066="SBJ"),AND(J5066=1,I5066=0)),"?IN_FOCUS",IF(J5066&lt;=2,"?ACTIVATED",IF(J5066&lt;&gt;"","?FAMILIAR",IF(F5066="NEW",IF(ISNA(VLOOKUP(E5066,#REF!,1,FALSE())),"?TYPE_IDENTIFIABLE","?REFERENTIAL"),"_")))))</f>
        <v/>
      </c>
      <c r="H5066" s="27" t="str">
        <f aca="false">IF(J5066&lt;&gt;1,"",IF(I5066="SBJ","CB","?"))</f>
        <v/>
      </c>
      <c r="I5066" s="24" t="str">
        <f aca="false">IF(OR(E5066="",E5066="!!!",F5066="NEW"),"",INDEX(B19:B$5048,-1+SUMPRODUCT(MAX(ROW(E19:E$5048)*(E5066=E19:E$5048)))))</f>
        <v/>
      </c>
      <c r="J5066" s="24" t="str">
        <f aca="true">IF(OR(E5066="",E5066="!!!",F5066="NEW"),"",COUNTBLANK(OFFSET(A$1,,,SUMPRODUCT(MAX(ROW(E$2:E5066)*(E5066=E$2:E5066)))))-COUNTBLANK(OFFSET(A$1,,,SUMPRODUCT(MAX(ROW(E$1:E5065)*(E2=E$1:E5065))))))</f>
        <v/>
      </c>
      <c r="K5066" s="24" t="str">
        <f aca="false">IF(OR(E5066="",E5066="!!!",F5066="NEW"),"",INDEX(J$1:J5065,SUMPRODUCT(MAX(ROW(E$1:E5065)*(E5066=E$1:E5065)))))</f>
        <v/>
      </c>
      <c r="L5066" s="31"/>
    </row>
    <row r="5067" customFormat="false" ht="15" hidden="false" customHeight="false" outlineLevel="0" collapsed="false">
      <c r="A5067" s="20" t="s">
        <v>1090</v>
      </c>
      <c r="B5067" s="22" t="s">
        <v>1197</v>
      </c>
      <c r="C5067" s="22" t="s">
        <v>1082</v>
      </c>
      <c r="D5067" s="22" t="s">
        <v>1060</v>
      </c>
      <c r="E5067" s="23" t="str">
        <f aca="false">IF(D5067="?OLD","!!!","")</f>
        <v>!!!</v>
      </c>
      <c r="F5067" s="25" t="str">
        <f aca="false">IF(OR(E5067="",E5067="!!!"),"",IF(NOT(ISNA(VLOOKUP(E5067,E$1:E5066,1,FALSE()))),"OLD",IF(AND(E5067&lt;&gt;"",E5067&lt;&gt;"!!!"),"NEW","")))</f>
        <v/>
      </c>
      <c r="G5067" s="26" t="str">
        <f aca="false">IF(OR(E5067="",E5067="!!!"),"",IF(OR(J5067=0,AND(J5067=1,K5067=1),AND(J5067=1,I5067="SBJ"),AND(J5067=1,I5067=0)),"?IN_FOCUS",IF(J5067&lt;=2,"?ACTIVATED",IF(J5067&lt;&gt;"","?FAMILIAR",IF(F5067="NEW",IF(ISNA(VLOOKUP(E5067,#REF!,1,FALSE())),"?TYPE_IDENTIFIABLE","?REFERENTIAL"),"_")))))</f>
        <v/>
      </c>
      <c r="H5067" s="27" t="str">
        <f aca="false">IF(J5067&lt;&gt;1,"",IF(I5067="SBJ","CB","?"))</f>
        <v/>
      </c>
      <c r="I5067" s="24" t="str">
        <f aca="false">IF(OR(E5067="",E5067="!!!",F5067="NEW"),"",INDEX(B20:B$5048,-1+SUMPRODUCT(MAX(ROW(E20:E$5048)*(E5067=E20:E$5048)))))</f>
        <v/>
      </c>
      <c r="J5067" s="24" t="str">
        <f aca="true">IF(OR(E5067="",E5067="!!!",F5067="NEW"),"",COUNTBLANK(OFFSET(A$1,,,SUMPRODUCT(MAX(ROW(E$2:E5067)*(E5067=E$2:E5067)))))-COUNTBLANK(OFFSET(A$1,,,SUMPRODUCT(MAX(ROW(E$1:E5066)*(E2=E$1:E5066))))))</f>
        <v/>
      </c>
      <c r="K5067" s="24" t="str">
        <f aca="false">IF(OR(E5067="",E5067="!!!",F5067="NEW"),"",INDEX(J$1:J5066,SUMPRODUCT(MAX(ROW(E$1:E5066)*(E5067=E$1:E5066)))))</f>
        <v/>
      </c>
      <c r="L5067" s="31"/>
    </row>
    <row r="5068" customFormat="false" ht="15" hidden="false" customHeight="false" outlineLevel="0" collapsed="false">
      <c r="A5068" s="20" t="s">
        <v>2512</v>
      </c>
      <c r="E5068" s="23" t="str">
        <f aca="false">IF(D5068="?OLD","!!!","")</f>
        <v/>
      </c>
      <c r="F5068" s="25" t="str">
        <f aca="false">IF(OR(E5068="",E5068="!!!"),"",IF(NOT(ISNA(VLOOKUP(E5068,E$1:E5067,1,FALSE()))),"OLD",IF(AND(E5068&lt;&gt;"",E5068&lt;&gt;"!!!"),"NEW","")))</f>
        <v/>
      </c>
      <c r="G5068" s="26" t="str">
        <f aca="false">IF(OR(E5068="",E5068="!!!"),"",IF(OR(J5068=0,AND(J5068=1,K5068=1),AND(J5068=1,I5068="SBJ"),AND(J5068=1,I5068=0)),"?IN_FOCUS",IF(J5068&lt;=2,"?ACTIVATED",IF(J5068&lt;&gt;"","?FAMILIAR",IF(F5068="NEW",IF(ISNA(VLOOKUP(E5068,#REF!,1,FALSE())),"?TYPE_IDENTIFIABLE","?REFERENTIAL"),"_")))))</f>
        <v/>
      </c>
      <c r="H5068" s="27" t="str">
        <f aca="false">IF(J5068&lt;&gt;1,"",IF(I5068="SBJ","CB","?"))</f>
        <v/>
      </c>
      <c r="I5068" s="24" t="str">
        <f aca="false">IF(OR(E5068="",E5068="!!!",F5068="NEW"),"",INDEX(B21:B$5048,-1+SUMPRODUCT(MAX(ROW(E21:E$5048)*(E5068=E21:E$5048)))))</f>
        <v/>
      </c>
      <c r="J5068" s="24" t="str">
        <f aca="true">IF(OR(E5068="",E5068="!!!",F5068="NEW"),"",COUNTBLANK(OFFSET(A$1,,,SUMPRODUCT(MAX(ROW(E$2:E5068)*(E5068=E$2:E5068)))))-COUNTBLANK(OFFSET(A$1,,,SUMPRODUCT(MAX(ROW(E$1:E5067)*(E2=E$1:E5067))))))</f>
        <v/>
      </c>
      <c r="K5068" s="24" t="str">
        <f aca="false">IF(OR(E5068="",E5068="!!!",F5068="NEW"),"",INDEX(J$1:J5067,SUMPRODUCT(MAX(ROW(E$1:E5067)*(E5068=E$1:E5067)))))</f>
        <v/>
      </c>
      <c r="L5068" s="31"/>
    </row>
    <row r="5069" customFormat="false" ht="15" hidden="false" customHeight="false" outlineLevel="0" collapsed="false">
      <c r="A5069" s="20" t="s">
        <v>1475</v>
      </c>
      <c r="E5069" s="23" t="str">
        <f aca="false">IF(D5069="?OLD","!!!","")</f>
        <v/>
      </c>
      <c r="F5069" s="25" t="str">
        <f aca="false">IF(OR(E5069="",E5069="!!!"),"",IF(NOT(ISNA(VLOOKUP(E5069,E$1:E5068,1,FALSE()))),"OLD",IF(AND(E5069&lt;&gt;"",E5069&lt;&gt;"!!!"),"NEW","")))</f>
        <v/>
      </c>
      <c r="G5069" s="26" t="str">
        <f aca="false">IF(OR(E5069="",E5069="!!!"),"",IF(OR(J5069=0,AND(J5069=1,K5069=1),AND(J5069=1,I5069="SBJ"),AND(J5069=1,I5069=0)),"?IN_FOCUS",IF(J5069&lt;=2,"?ACTIVATED",IF(J5069&lt;&gt;"","?FAMILIAR",IF(F5069="NEW",IF(ISNA(VLOOKUP(E5069,#REF!,1,FALSE())),"?TYPE_IDENTIFIABLE","?REFERENTIAL"),"_")))))</f>
        <v/>
      </c>
      <c r="H5069" s="27" t="str">
        <f aca="false">IF(J5069&lt;&gt;1,"",IF(I5069="SBJ","CB","?"))</f>
        <v/>
      </c>
      <c r="I5069" s="24" t="str">
        <f aca="false">IF(OR(E5069="",E5069="!!!",F5069="NEW"),"",INDEX(B22:B$5048,-1+SUMPRODUCT(MAX(ROW(E22:E$5048)*(E5069=E22:E$5048)))))</f>
        <v/>
      </c>
      <c r="J5069" s="24" t="str">
        <f aca="true">IF(OR(E5069="",E5069="!!!",F5069="NEW"),"",COUNTBLANK(OFFSET(A$1,,,SUMPRODUCT(MAX(ROW(E$2:E5069)*(E5069=E$2:E5069)))))-COUNTBLANK(OFFSET(A$1,,,SUMPRODUCT(MAX(ROW(E$1:E5068)*(E2=E$1:E5068))))))</f>
        <v/>
      </c>
      <c r="K5069" s="24" t="str">
        <f aca="false">IF(OR(E5069="",E5069="!!!",F5069="NEW"),"",INDEX(J$1:J5068,SUMPRODUCT(MAX(ROW(E$1:E5068)*(E5069=E$1:E5068)))))</f>
        <v/>
      </c>
      <c r="L5069" s="31"/>
    </row>
    <row r="5070" customFormat="false" ht="15" hidden="false" customHeight="false" outlineLevel="0" collapsed="false">
      <c r="A5070" s="20" t="s">
        <v>1109</v>
      </c>
      <c r="E5070" s="23" t="str">
        <f aca="false">IF(D5070="?OLD","!!!","")</f>
        <v/>
      </c>
      <c r="F5070" s="25" t="str">
        <f aca="false">IF(OR(E5070="",E5070="!!!"),"",IF(NOT(ISNA(VLOOKUP(E5070,E$1:E5069,1,FALSE()))),"OLD",IF(AND(E5070&lt;&gt;"",E5070&lt;&gt;"!!!"),"NEW","")))</f>
        <v/>
      </c>
      <c r="G5070" s="26" t="str">
        <f aca="false">IF(OR(E5070="",E5070="!!!"),"",IF(OR(J5070=0,AND(J5070=1,K5070=1),AND(J5070=1,I5070="SBJ"),AND(J5070=1,I5070=0)),"?IN_FOCUS",IF(J5070&lt;=2,"?ACTIVATED",IF(J5070&lt;&gt;"","?FAMILIAR",IF(F5070="NEW",IF(ISNA(VLOOKUP(E5070,#REF!,1,FALSE())),"?TYPE_IDENTIFIABLE","?REFERENTIAL"),"_")))))</f>
        <v/>
      </c>
      <c r="H5070" s="27" t="str">
        <f aca="false">IF(J5070&lt;&gt;1,"",IF(I5070="SBJ","CB","?"))</f>
        <v/>
      </c>
      <c r="I5070" s="24" t="str">
        <f aca="false">IF(OR(E5070="",E5070="!!!",F5070="NEW"),"",INDEX(B23:B$5048,-1+SUMPRODUCT(MAX(ROW(E23:E$5048)*(E5070=E23:E$5048)))))</f>
        <v/>
      </c>
      <c r="J5070" s="24" t="str">
        <f aca="true">IF(OR(E5070="",E5070="!!!",F5070="NEW"),"",COUNTBLANK(OFFSET(A$1,,,SUMPRODUCT(MAX(ROW(E$2:E5070)*(E5070=E$2:E5070)))))-COUNTBLANK(OFFSET(A$1,,,SUMPRODUCT(MAX(ROW(E$1:E5069)*(E2=E$1:E5069))))))</f>
        <v/>
      </c>
      <c r="K5070" s="24" t="str">
        <f aca="false">IF(OR(E5070="",E5070="!!!",F5070="NEW"),"",INDEX(J$1:J5069,SUMPRODUCT(MAX(ROW(E$1:E5069)*(E5070=E$1:E5069)))))</f>
        <v/>
      </c>
      <c r="L5070" s="31"/>
    </row>
    <row r="5071" customFormat="false" ht="15" hidden="false" customHeight="false" outlineLevel="0" collapsed="false">
      <c r="A5071" s="20" t="s">
        <v>1358</v>
      </c>
      <c r="B5071" s="22" t="s">
        <v>1107</v>
      </c>
      <c r="C5071" s="22" t="s">
        <v>1150</v>
      </c>
      <c r="D5071" s="22" t="s">
        <v>1060</v>
      </c>
      <c r="E5071" s="23" t="str">
        <f aca="false">IF(D5071="?OLD","!!!","")</f>
        <v>!!!</v>
      </c>
      <c r="F5071" s="25" t="str">
        <f aca="false">IF(OR(E5071="",E5071="!!!"),"",IF(NOT(ISNA(VLOOKUP(E5071,E$1:E5070,1,FALSE()))),"OLD",IF(AND(E5071&lt;&gt;"",E5071&lt;&gt;"!!!"),"NEW","")))</f>
        <v/>
      </c>
      <c r="G5071" s="26" t="str">
        <f aca="false">IF(OR(E5071="",E5071="!!!"),"",IF(OR(J5071=0,AND(J5071=1,K5071=1),AND(J5071=1,I5071="SBJ"),AND(J5071=1,I5071=0)),"?IN_FOCUS",IF(J5071&lt;=2,"?ACTIVATED",IF(J5071&lt;&gt;"","?FAMILIAR",IF(F5071="NEW",IF(ISNA(VLOOKUP(E5071,#REF!,1,FALSE())),"?TYPE_IDENTIFIABLE","?REFERENTIAL"),"_")))))</f>
        <v/>
      </c>
      <c r="H5071" s="27" t="str">
        <f aca="false">IF(J5071&lt;&gt;1,"",IF(I5071="SBJ","CB","?"))</f>
        <v/>
      </c>
      <c r="I5071" s="24" t="str">
        <f aca="false">IF(OR(E5071="",E5071="!!!",F5071="NEW"),"",INDEX(B24:B$5048,-1+SUMPRODUCT(MAX(ROW(E24:E$5048)*(E5071=E24:E$5048)))))</f>
        <v/>
      </c>
      <c r="J5071" s="24" t="str">
        <f aca="true">IF(OR(E5071="",E5071="!!!",F5071="NEW"),"",COUNTBLANK(OFFSET(A$1,,,SUMPRODUCT(MAX(ROW(E$2:E5071)*(E5071=E$2:E5071)))))-COUNTBLANK(OFFSET(A$1,,,SUMPRODUCT(MAX(ROW(E$1:E5070)*(E2=E$1:E5070))))))</f>
        <v/>
      </c>
      <c r="K5071" s="24" t="str">
        <f aca="false">IF(OR(E5071="",E5071="!!!",F5071="NEW"),"",INDEX(J$1:J5070,SUMPRODUCT(MAX(ROW(E$1:E5070)*(E5071=E$1:E5070)))))</f>
        <v/>
      </c>
      <c r="L5071" s="31"/>
    </row>
    <row r="5072" customFormat="false" ht="15" hidden="false" customHeight="false" outlineLevel="0" collapsed="false">
      <c r="A5072" s="20" t="s">
        <v>1218</v>
      </c>
      <c r="E5072" s="23" t="str">
        <f aca="false">IF(D5072="?OLD","!!!","")</f>
        <v/>
      </c>
      <c r="F5072" s="25" t="str">
        <f aca="false">IF(OR(E5072="",E5072="!!!"),"",IF(NOT(ISNA(VLOOKUP(E5072,E$1:E5071,1,FALSE()))),"OLD",IF(AND(E5072&lt;&gt;"",E5072&lt;&gt;"!!!"),"NEW","")))</f>
        <v/>
      </c>
      <c r="G5072" s="26" t="str">
        <f aca="false">IF(OR(E5072="",E5072="!!!"),"",IF(OR(J5072=0,AND(J5072=1,K5072=1),AND(J5072=1,I5072="SBJ"),AND(J5072=1,I5072=0)),"?IN_FOCUS",IF(J5072&lt;=2,"?ACTIVATED",IF(J5072&lt;&gt;"","?FAMILIAR",IF(F5072="NEW",IF(ISNA(VLOOKUP(E5072,#REF!,1,FALSE())),"?TYPE_IDENTIFIABLE","?REFERENTIAL"),"_")))))</f>
        <v/>
      </c>
      <c r="H5072" s="27" t="str">
        <f aca="false">IF(J5072&lt;&gt;1,"",IF(I5072="SBJ","CB","?"))</f>
        <v/>
      </c>
      <c r="I5072" s="24" t="str">
        <f aca="false">IF(OR(E5072="",E5072="!!!",F5072="NEW"),"",INDEX(B25:B$5048,-1+SUMPRODUCT(MAX(ROW(E25:E$5048)*(E5072=E25:E$5048)))))</f>
        <v/>
      </c>
      <c r="J5072" s="24" t="str">
        <f aca="true">IF(OR(E5072="",E5072="!!!",F5072="NEW"),"",COUNTBLANK(OFFSET(A$1,,,SUMPRODUCT(MAX(ROW(E$2:E5072)*(E5072=E$2:E5072)))))-COUNTBLANK(OFFSET(A$1,,,SUMPRODUCT(MAX(ROW(E$1:E5071)*(E2=E$1:E5071))))))</f>
        <v/>
      </c>
      <c r="K5072" s="24" t="str">
        <f aca="false">IF(OR(E5072="",E5072="!!!",F5072="NEW"),"",INDEX(J$1:J5071,SUMPRODUCT(MAX(ROW(E$1:E5071)*(E5072=E$1:E5071)))))</f>
        <v/>
      </c>
      <c r="L5072" s="31"/>
    </row>
    <row r="5073" customFormat="false" ht="15" hidden="false" customHeight="false" outlineLevel="0" collapsed="false">
      <c r="A5073" s="20" t="s">
        <v>1089</v>
      </c>
      <c r="E5073" s="23" t="str">
        <f aca="false">IF(D5073="?OLD","!!!","")</f>
        <v/>
      </c>
      <c r="F5073" s="25" t="str">
        <f aca="false">IF(OR(E5073="",E5073="!!!"),"",IF(NOT(ISNA(VLOOKUP(E5073,E$1:E5072,1,FALSE()))),"OLD",IF(AND(E5073&lt;&gt;"",E5073&lt;&gt;"!!!"),"NEW","")))</f>
        <v/>
      </c>
      <c r="G5073" s="26" t="str">
        <f aca="false">IF(OR(E5073="",E5073="!!!"),"",IF(OR(J5073=0,AND(J5073=1,K5073=1),AND(J5073=1,I5073="SBJ"),AND(J5073=1,I5073=0)),"?IN_FOCUS",IF(J5073&lt;=2,"?ACTIVATED",IF(J5073&lt;&gt;"","?FAMILIAR",IF(F5073="NEW",IF(ISNA(VLOOKUP(E5073,#REF!,1,FALSE())),"?TYPE_IDENTIFIABLE","?REFERENTIAL"),"_")))))</f>
        <v/>
      </c>
      <c r="H5073" s="27" t="str">
        <f aca="false">IF(J5073&lt;&gt;1,"",IF(I5073="SBJ","CB","?"))</f>
        <v/>
      </c>
      <c r="I5073" s="24" t="str">
        <f aca="false">IF(OR(E5073="",E5073="!!!",F5073="NEW"),"",INDEX(B26:B$5048,-1+SUMPRODUCT(MAX(ROW(E26:E$5048)*(E5073=E26:E$5048)))))</f>
        <v/>
      </c>
      <c r="J5073" s="24" t="str">
        <f aca="true">IF(OR(E5073="",E5073="!!!",F5073="NEW"),"",COUNTBLANK(OFFSET(A$1,,,SUMPRODUCT(MAX(ROW(E$2:E5073)*(E5073=E$2:E5073)))))-COUNTBLANK(OFFSET(A$1,,,SUMPRODUCT(MAX(ROW(E$1:E5072)*(E2=E$1:E5072))))))</f>
        <v/>
      </c>
      <c r="K5073" s="24" t="str">
        <f aca="false">IF(OR(E5073="",E5073="!!!",F5073="NEW"),"",INDEX(J$1:J5072,SUMPRODUCT(MAX(ROW(E$1:E5072)*(E5073=E$1:E5072)))))</f>
        <v/>
      </c>
      <c r="L5073" s="31"/>
    </row>
    <row r="5074" customFormat="false" ht="15" hidden="false" customHeight="false" outlineLevel="0" collapsed="false">
      <c r="A5074" s="20" t="s">
        <v>1185</v>
      </c>
      <c r="E5074" s="23" t="str">
        <f aca="false">IF(D5074="?OLD","!!!","")</f>
        <v/>
      </c>
      <c r="F5074" s="25" t="str">
        <f aca="false">IF(OR(E5074="",E5074="!!!"),"",IF(NOT(ISNA(VLOOKUP(E5074,E$1:E5073,1,FALSE()))),"OLD",IF(AND(E5074&lt;&gt;"",E5074&lt;&gt;"!!!"),"NEW","")))</f>
        <v/>
      </c>
      <c r="G5074" s="26" t="str">
        <f aca="false">IF(OR(E5074="",E5074="!!!"),"",IF(OR(J5074=0,AND(J5074=1,K5074=1),AND(J5074=1,I5074="SBJ"),AND(J5074=1,I5074=0)),"?IN_FOCUS",IF(J5074&lt;=2,"?ACTIVATED",IF(J5074&lt;&gt;"","?FAMILIAR",IF(F5074="NEW",IF(ISNA(VLOOKUP(E5074,#REF!,1,FALSE())),"?TYPE_IDENTIFIABLE","?REFERENTIAL"),"_")))))</f>
        <v/>
      </c>
      <c r="H5074" s="27" t="str">
        <f aca="false">IF(J5074&lt;&gt;1,"",IF(I5074="SBJ","CB","?"))</f>
        <v/>
      </c>
      <c r="I5074" s="24" t="str">
        <f aca="false">IF(OR(E5074="",E5074="!!!",F5074="NEW"),"",INDEX(B27:B$5048,-1+SUMPRODUCT(MAX(ROW(E27:E$5048)*(E5074=E27:E$5048)))))</f>
        <v/>
      </c>
      <c r="J5074" s="24" t="str">
        <f aca="true">IF(OR(E5074="",E5074="!!!",F5074="NEW"),"",COUNTBLANK(OFFSET(A$1,,,SUMPRODUCT(MAX(ROW(E$2:E5074)*(E5074=E$2:E5074)))))-COUNTBLANK(OFFSET(A$1,,,SUMPRODUCT(MAX(ROW(E$1:E5073)*(E2=E$1:E5073))))))</f>
        <v/>
      </c>
      <c r="K5074" s="24" t="str">
        <f aca="false">IF(OR(E5074="",E5074="!!!",F5074="NEW"),"",INDEX(J$1:J5073,SUMPRODUCT(MAX(ROW(E$1:E5073)*(E5074=E$1:E5073)))))</f>
        <v/>
      </c>
      <c r="L5074" s="31"/>
    </row>
    <row r="5075" customFormat="false" ht="15" hidden="false" customHeight="false" outlineLevel="0" collapsed="false">
      <c r="A5075" s="20" t="s">
        <v>1643</v>
      </c>
      <c r="B5075" s="22" t="s">
        <v>1107</v>
      </c>
      <c r="C5075" s="22" t="s">
        <v>1171</v>
      </c>
      <c r="D5075" s="22" t="s">
        <v>1060</v>
      </c>
      <c r="E5075" s="23" t="str">
        <f aca="false">IF(D5075="?OLD","!!!","")</f>
        <v>!!!</v>
      </c>
      <c r="F5075" s="25" t="str">
        <f aca="false">IF(OR(E5075="",E5075="!!!"),"",IF(NOT(ISNA(VLOOKUP(E5075,E$1:E5074,1,FALSE()))),"OLD",IF(AND(E5075&lt;&gt;"",E5075&lt;&gt;"!!!"),"NEW","")))</f>
        <v/>
      </c>
      <c r="G5075" s="26" t="str">
        <f aca="false">IF(OR(E5075="",E5075="!!!"),"",IF(OR(J5075=0,AND(J5075=1,K5075=1),AND(J5075=1,I5075="SBJ"),AND(J5075=1,I5075=0)),"?IN_FOCUS",IF(J5075&lt;=2,"?ACTIVATED",IF(J5075&lt;&gt;"","?FAMILIAR",IF(F5075="NEW",IF(ISNA(VLOOKUP(E5075,#REF!,1,FALSE())),"?TYPE_IDENTIFIABLE","?REFERENTIAL"),"_")))))</f>
        <v/>
      </c>
      <c r="H5075" s="27" t="str">
        <f aca="false">IF(J5075&lt;&gt;1,"",IF(I5075="SBJ","CB","?"))</f>
        <v/>
      </c>
      <c r="I5075" s="24" t="str">
        <f aca="false">IF(OR(E5075="",E5075="!!!",F5075="NEW"),"",INDEX(B28:B$5048,-1+SUMPRODUCT(MAX(ROW(E28:E$5048)*(E5075=E28:E$5048)))))</f>
        <v/>
      </c>
      <c r="J5075" s="24" t="str">
        <f aca="true">IF(OR(E5075="",E5075="!!!",F5075="NEW"),"",COUNTBLANK(OFFSET(A$1,,,SUMPRODUCT(MAX(ROW(E$2:E5075)*(E5075=E$2:E5075)))))-COUNTBLANK(OFFSET(A$1,,,SUMPRODUCT(MAX(ROW(E$1:E5074)*(E2=E$1:E5074))))))</f>
        <v/>
      </c>
      <c r="K5075" s="24" t="str">
        <f aca="false">IF(OR(E5075="",E5075="!!!",F5075="NEW"),"",INDEX(J$1:J5074,SUMPRODUCT(MAX(ROW(E$1:E5074)*(E5075=E$1:E5074)))))</f>
        <v/>
      </c>
      <c r="L5075" s="31"/>
    </row>
    <row r="5076" customFormat="false" ht="15" hidden="false" customHeight="false" outlineLevel="0" collapsed="false">
      <c r="A5076" s="20" t="s">
        <v>923</v>
      </c>
      <c r="E5076" s="23" t="str">
        <f aca="false">IF(D5076="?OLD","!!!","")</f>
        <v/>
      </c>
      <c r="F5076" s="25" t="str">
        <f aca="false">IF(OR(E5076="",E5076="!!!"),"",IF(NOT(ISNA(VLOOKUP(E5076,E$1:E5075,1,FALSE()))),"OLD",IF(AND(E5076&lt;&gt;"",E5076&lt;&gt;"!!!"),"NEW","")))</f>
        <v/>
      </c>
      <c r="G5076" s="26" t="str">
        <f aca="false">IF(OR(E5076="",E5076="!!!"),"",IF(OR(J5076=0,AND(J5076=1,K5076=1),AND(J5076=1,I5076="SBJ"),AND(J5076=1,I5076=0)),"?IN_FOCUS",IF(J5076&lt;=2,"?ACTIVATED",IF(J5076&lt;&gt;"","?FAMILIAR",IF(F5076="NEW",IF(ISNA(VLOOKUP(E5076,#REF!,1,FALSE())),"?TYPE_IDENTIFIABLE","?REFERENTIAL"),"_")))))</f>
        <v/>
      </c>
      <c r="H5076" s="27" t="str">
        <f aca="false">IF(J5076&lt;&gt;1,"",IF(I5076="SBJ","CB","?"))</f>
        <v/>
      </c>
      <c r="I5076" s="24" t="str">
        <f aca="false">IF(OR(E5076="",E5076="!!!",F5076="NEW"),"",INDEX(B29:B$5048,-1+SUMPRODUCT(MAX(ROW(E29:E$5048)*(E5076=E29:E$5048)))))</f>
        <v/>
      </c>
      <c r="J5076" s="24" t="str">
        <f aca="true">IF(OR(E5076="",E5076="!!!",F5076="NEW"),"",COUNTBLANK(OFFSET(A$1,,,SUMPRODUCT(MAX(ROW(E$2:E5076)*(E5076=E$2:E5076)))))-COUNTBLANK(OFFSET(A$1,,,SUMPRODUCT(MAX(ROW(E$1:E5075)*(E2=E$1:E5075))))))</f>
        <v/>
      </c>
      <c r="K5076" s="24" t="str">
        <f aca="false">IF(OR(E5076="",E5076="!!!",F5076="NEW"),"",INDEX(J$1:J5075,SUMPRODUCT(MAX(ROW(E$1:E5075)*(E5076=E$1:E5075)))))</f>
        <v/>
      </c>
      <c r="L5076" s="31"/>
    </row>
    <row r="5077" customFormat="false" ht="15" hidden="false" customHeight="false" outlineLevel="0" collapsed="false">
      <c r="A5077" s="20"/>
    </row>
    <row r="5078" customFormat="false" ht="15" hidden="false" customHeight="false" outlineLevel="0" collapsed="false">
      <c r="A5078" s="20" t="s">
        <v>2513</v>
      </c>
    </row>
    <row r="5079" customFormat="false" ht="15" hidden="false" customHeight="false" outlineLevel="0" collapsed="false">
      <c r="A5079" s="20" t="s">
        <v>2514</v>
      </c>
      <c r="E5079" s="23" t="str">
        <f aca="false">IF(D5079="?OLD","!!!","")</f>
        <v/>
      </c>
      <c r="F5079" s="25" t="str">
        <f aca="false">IF(OR(E5079="",E5079="!!!"),"",IF(NOT(ISNA(VLOOKUP(E5079,E$1:E5078,1,FALSE()))),"OLD",IF(AND(E5079&lt;&gt;"",E5079&lt;&gt;"!!!"),"NEW","")))</f>
        <v/>
      </c>
      <c r="G5079" s="26" t="str">
        <f aca="false">IF(OR(E5079="",E5079="!!!"),"",IF(OR(J5079=0,AND(J5079=1,K5079=1),AND(J5079=1,I5079="SBJ"),AND(J5079=1,I5079=0)),"?IN_FOCUS",IF(J5079&lt;=2,"?ACTIVATED",IF(J5079&lt;&gt;"","?FAMILIAR",IF(F5079="NEW",IF(ISNA(VLOOKUP(E5079,#REF!,1,FALSE())),"?TYPE_IDENTIFIABLE","?REFERENTIAL"),"_")))))</f>
        <v/>
      </c>
      <c r="H5079" s="27" t="str">
        <f aca="false">IF(J5079&lt;&gt;1,"",IF(I5079="SBJ","CB","?"))</f>
        <v/>
      </c>
      <c r="I5079" s="24" t="str">
        <f aca="false">IF(OR(E5079="",E5079="!!!",F5079="NEW"),"",INDEX(B2:B$5078,-1+SUMPRODUCT(MAX(ROW(E2:E$5078)*(E5079=E2:E$5078)))))</f>
        <v/>
      </c>
      <c r="J5079" s="24" t="str">
        <f aca="true">IF(OR(E5079="",E5079="!!!",F5079="NEW"),"",COUNTBLANK(OFFSET(A$1,,,SUMPRODUCT(MAX(ROW(E$2:E5079)*(E5079=E$2:E5079)))))-COUNTBLANK(OFFSET(A$1,,,SUMPRODUCT(MAX(ROW(E$1:E5078)*(E2=E$1:E5078))))))</f>
        <v/>
      </c>
      <c r="K5079" s="24" t="str">
        <f aca="false">IF(OR(E5079="",E5079="!!!",F5079="NEW"),"",INDEX(J$1:J5078,SUMPRODUCT(MAX(ROW(E$1:E5078)*(E5079=E$1:E5078)))))</f>
        <v/>
      </c>
      <c r="L5079" s="31"/>
    </row>
    <row r="5080" customFormat="false" ht="15" hidden="false" customHeight="false" outlineLevel="0" collapsed="false">
      <c r="A5080" s="20" t="s">
        <v>1173</v>
      </c>
      <c r="E5080" s="23" t="str">
        <f aca="false">IF(D5080="?OLD","!!!","")</f>
        <v/>
      </c>
      <c r="F5080" s="25" t="str">
        <f aca="false">IF(OR(E5080="",E5080="!!!"),"",IF(NOT(ISNA(VLOOKUP(E5080,E$1:E5079,1,FALSE()))),"OLD",IF(AND(E5080&lt;&gt;"",E5080&lt;&gt;"!!!"),"NEW","")))</f>
        <v/>
      </c>
      <c r="G5080" s="26" t="str">
        <f aca="false">IF(OR(E5080="",E5080="!!!"),"",IF(OR(J5080=0,AND(J5080=1,K5080=1),AND(J5080=1,I5080="SBJ"),AND(J5080=1,I5080=0)),"?IN_FOCUS",IF(J5080&lt;=2,"?ACTIVATED",IF(J5080&lt;&gt;"","?FAMILIAR",IF(F5080="NEW",IF(ISNA(VLOOKUP(E5080,#REF!,1,FALSE())),"?TYPE_IDENTIFIABLE","?REFERENTIAL"),"_")))))</f>
        <v/>
      </c>
      <c r="H5080" s="27" t="str">
        <f aca="false">IF(J5080&lt;&gt;1,"",IF(I5080="SBJ","CB","?"))</f>
        <v/>
      </c>
      <c r="I5080" s="24" t="str">
        <f aca="false">IF(OR(E5080="",E5080="!!!",F5080="NEW"),"",INDEX(B3:B$5078,-1+SUMPRODUCT(MAX(ROW(E3:E$5078)*(E5080=E3:E$5078)))))</f>
        <v/>
      </c>
      <c r="J5080" s="24" t="str">
        <f aca="true">IF(OR(E5080="",E5080="!!!",F5080="NEW"),"",COUNTBLANK(OFFSET(A$1,,,SUMPRODUCT(MAX(ROW(E$2:E5080)*(E5080=E$2:E5080)))))-COUNTBLANK(OFFSET(A$1,,,SUMPRODUCT(MAX(ROW(E$1:E5079)*(E2=E$1:E5079))))))</f>
        <v/>
      </c>
      <c r="K5080" s="24" t="str">
        <f aca="false">IF(OR(E5080="",E5080="!!!",F5080="NEW"),"",INDEX(J$1:J5079,SUMPRODUCT(MAX(ROW(E$1:E5079)*(E5080=E$1:E5079)))))</f>
        <v/>
      </c>
      <c r="L5080" s="31"/>
    </row>
    <row r="5081" customFormat="false" ht="15" hidden="false" customHeight="false" outlineLevel="0" collapsed="false">
      <c r="A5081" s="20" t="s">
        <v>1109</v>
      </c>
      <c r="E5081" s="23" t="str">
        <f aca="false">IF(D5081="?OLD","!!!","")</f>
        <v/>
      </c>
      <c r="F5081" s="25" t="str">
        <f aca="false">IF(OR(E5081="",E5081="!!!"),"",IF(NOT(ISNA(VLOOKUP(E5081,E$1:E5080,1,FALSE()))),"OLD",IF(AND(E5081&lt;&gt;"",E5081&lt;&gt;"!!!"),"NEW","")))</f>
        <v/>
      </c>
      <c r="G5081" s="26" t="str">
        <f aca="false">IF(OR(E5081="",E5081="!!!"),"",IF(OR(J5081=0,AND(J5081=1,K5081=1),AND(J5081=1,I5081="SBJ"),AND(J5081=1,I5081=0)),"?IN_FOCUS",IF(J5081&lt;=2,"?ACTIVATED",IF(J5081&lt;&gt;"","?FAMILIAR",IF(F5081="NEW",IF(ISNA(VLOOKUP(E5081,#REF!,1,FALSE())),"?TYPE_IDENTIFIABLE","?REFERENTIAL"),"_")))))</f>
        <v/>
      </c>
      <c r="H5081" s="27" t="str">
        <f aca="false">IF(J5081&lt;&gt;1,"",IF(I5081="SBJ","CB","?"))</f>
        <v/>
      </c>
      <c r="I5081" s="24" t="str">
        <f aca="false">IF(OR(E5081="",E5081="!!!",F5081="NEW"),"",INDEX(B4:B$5078,-1+SUMPRODUCT(MAX(ROW(E4:E$5078)*(E5081=E4:E$5078)))))</f>
        <v/>
      </c>
      <c r="J5081" s="24" t="str">
        <f aca="true">IF(OR(E5081="",E5081="!!!",F5081="NEW"),"",COUNTBLANK(OFFSET(A$1,,,SUMPRODUCT(MAX(ROW(E$2:E5081)*(E5081=E$2:E5081)))))-COUNTBLANK(OFFSET(A$1,,,SUMPRODUCT(MAX(ROW(E$1:E5080)*(E2=E$1:E5080))))))</f>
        <v/>
      </c>
      <c r="K5081" s="24" t="str">
        <f aca="false">IF(OR(E5081="",E5081="!!!",F5081="NEW"),"",INDEX(J$1:J5080,SUMPRODUCT(MAX(ROW(E$1:E5080)*(E5081=E$1:E5080)))))</f>
        <v/>
      </c>
      <c r="L5081" s="31"/>
    </row>
    <row r="5082" customFormat="false" ht="15" hidden="false" customHeight="false" outlineLevel="0" collapsed="false">
      <c r="A5082" s="20" t="s">
        <v>1817</v>
      </c>
      <c r="B5082" s="22" t="s">
        <v>1073</v>
      </c>
      <c r="C5082" s="22" t="s">
        <v>1059</v>
      </c>
      <c r="D5082" s="22" t="s">
        <v>1060</v>
      </c>
      <c r="E5082" s="23" t="str">
        <f aca="false">IF(D5082="?OLD","!!!","")</f>
        <v>!!!</v>
      </c>
      <c r="F5082" s="25" t="str">
        <f aca="false">IF(OR(E5082="",E5082="!!!"),"",IF(NOT(ISNA(VLOOKUP(E5082,E$1:E5081,1,FALSE()))),"OLD",IF(AND(E5082&lt;&gt;"",E5082&lt;&gt;"!!!"),"NEW","")))</f>
        <v/>
      </c>
      <c r="G5082" s="26" t="str">
        <f aca="false">IF(OR(E5082="",E5082="!!!"),"",IF(OR(J5082=0,AND(J5082=1,K5082=1),AND(J5082=1,I5082="SBJ"),AND(J5082=1,I5082=0)),"?IN_FOCUS",IF(J5082&lt;=2,"?ACTIVATED",IF(J5082&lt;&gt;"","?FAMILIAR",IF(F5082="NEW",IF(ISNA(VLOOKUP(E5082,#REF!,1,FALSE())),"?TYPE_IDENTIFIABLE","?REFERENTIAL"),"_")))))</f>
        <v/>
      </c>
      <c r="H5082" s="27" t="str">
        <f aca="false">IF(J5082&lt;&gt;1,"",IF(I5082="SBJ","CB","?"))</f>
        <v/>
      </c>
      <c r="I5082" s="24" t="str">
        <f aca="false">IF(OR(E5082="",E5082="!!!",F5082="NEW"),"",INDEX(B5:B$5078,-1+SUMPRODUCT(MAX(ROW(E5:E$5078)*(E5082=E5:E$5078)))))</f>
        <v/>
      </c>
      <c r="J5082" s="24" t="str">
        <f aca="true">IF(OR(E5082="",E5082="!!!",F5082="NEW"),"",COUNTBLANK(OFFSET(A$1,,,SUMPRODUCT(MAX(ROW(E$2:E5082)*(E5082=E$2:E5082)))))-COUNTBLANK(OFFSET(A$1,,,SUMPRODUCT(MAX(ROW(E$1:E5081)*(E2=E$1:E5081))))))</f>
        <v/>
      </c>
      <c r="K5082" s="24" t="str">
        <f aca="false">IF(OR(E5082="",E5082="!!!",F5082="NEW"),"",INDEX(J$1:J5081,SUMPRODUCT(MAX(ROW(E$1:E5081)*(E5082=E$1:E5081)))))</f>
        <v/>
      </c>
      <c r="L5082" s="31"/>
    </row>
    <row r="5083" customFormat="false" ht="15" hidden="false" customHeight="false" outlineLevel="0" collapsed="false">
      <c r="A5083" s="20" t="s">
        <v>1064</v>
      </c>
      <c r="E5083" s="23" t="str">
        <f aca="false">IF(D5083="?OLD","!!!","")</f>
        <v/>
      </c>
      <c r="F5083" s="25" t="str">
        <f aca="false">IF(OR(E5083="",E5083="!!!"),"",IF(NOT(ISNA(VLOOKUP(E5083,E$1:E5082,1,FALSE()))),"OLD",IF(AND(E5083&lt;&gt;"",E5083&lt;&gt;"!!!"),"NEW","")))</f>
        <v/>
      </c>
      <c r="G5083" s="26" t="str">
        <f aca="false">IF(OR(E5083="",E5083="!!!"),"",IF(OR(J5083=0,AND(J5083=1,K5083=1),AND(J5083=1,I5083="SBJ"),AND(J5083=1,I5083=0)),"?IN_FOCUS",IF(J5083&lt;=2,"?ACTIVATED",IF(J5083&lt;&gt;"","?FAMILIAR",IF(F5083="NEW",IF(ISNA(VLOOKUP(E5083,#REF!,1,FALSE())),"?TYPE_IDENTIFIABLE","?REFERENTIAL"),"_")))))</f>
        <v/>
      </c>
      <c r="H5083" s="27" t="str">
        <f aca="false">IF(J5083&lt;&gt;1,"",IF(I5083="SBJ","CB","?"))</f>
        <v/>
      </c>
      <c r="I5083" s="24" t="str">
        <f aca="false">IF(OR(E5083="",E5083="!!!",F5083="NEW"),"",INDEX(B6:B$5078,-1+SUMPRODUCT(MAX(ROW(E6:E$5078)*(E5083=E6:E$5078)))))</f>
        <v/>
      </c>
      <c r="J5083" s="24" t="str">
        <f aca="true">IF(OR(E5083="",E5083="!!!",F5083="NEW"),"",COUNTBLANK(OFFSET(A$1,,,SUMPRODUCT(MAX(ROW(E$2:E5083)*(E5083=E$2:E5083)))))-COUNTBLANK(OFFSET(A$1,,,SUMPRODUCT(MAX(ROW(E$1:E5082)*(E2=E$1:E5082))))))</f>
        <v/>
      </c>
      <c r="K5083" s="24" t="str">
        <f aca="false">IF(OR(E5083="",E5083="!!!",F5083="NEW"),"",INDEX(J$1:J5082,SUMPRODUCT(MAX(ROW(E$1:E5082)*(E5083=E$1:E5082)))))</f>
        <v/>
      </c>
      <c r="L5083" s="31"/>
    </row>
    <row r="5084" customFormat="false" ht="15" hidden="false" customHeight="false" outlineLevel="0" collapsed="false">
      <c r="A5084" s="20" t="s">
        <v>1109</v>
      </c>
      <c r="E5084" s="23" t="str">
        <f aca="false">IF(D5084="?OLD","!!!","")</f>
        <v/>
      </c>
      <c r="F5084" s="25" t="str">
        <f aca="false">IF(OR(E5084="",E5084="!!!"),"",IF(NOT(ISNA(VLOOKUP(E5084,E$1:E5083,1,FALSE()))),"OLD",IF(AND(E5084&lt;&gt;"",E5084&lt;&gt;"!!!"),"NEW","")))</f>
        <v/>
      </c>
      <c r="G5084" s="26" t="str">
        <f aca="false">IF(OR(E5084="",E5084="!!!"),"",IF(OR(J5084=0,AND(J5084=1,K5084=1),AND(J5084=1,I5084="SBJ"),AND(J5084=1,I5084=0)),"?IN_FOCUS",IF(J5084&lt;=2,"?ACTIVATED",IF(J5084&lt;&gt;"","?FAMILIAR",IF(F5084="NEW",IF(ISNA(VLOOKUP(E5084,#REF!,1,FALSE())),"?TYPE_IDENTIFIABLE","?REFERENTIAL"),"_")))))</f>
        <v/>
      </c>
      <c r="H5084" s="27" t="str">
        <f aca="false">IF(J5084&lt;&gt;1,"",IF(I5084="SBJ","CB","?"))</f>
        <v/>
      </c>
      <c r="I5084" s="24" t="str">
        <f aca="false">IF(OR(E5084="",E5084="!!!",F5084="NEW"),"",INDEX(B7:B$5078,-1+SUMPRODUCT(MAX(ROW(E7:E$5078)*(E5084=E7:E$5078)))))</f>
        <v/>
      </c>
      <c r="J5084" s="24" t="str">
        <f aca="true">IF(OR(E5084="",E5084="!!!",F5084="NEW"),"",COUNTBLANK(OFFSET(A$1,,,SUMPRODUCT(MAX(ROW(E$2:E5084)*(E5084=E$2:E5084)))))-COUNTBLANK(OFFSET(A$1,,,SUMPRODUCT(MAX(ROW(E$1:E5083)*(E2=E$1:E5083))))))</f>
        <v/>
      </c>
      <c r="K5084" s="24" t="str">
        <f aca="false">IF(OR(E5084="",E5084="!!!",F5084="NEW"),"",INDEX(J$1:J5083,SUMPRODUCT(MAX(ROW(E$1:E5083)*(E5084=E$1:E5083)))))</f>
        <v/>
      </c>
      <c r="L5084" s="31"/>
    </row>
    <row r="5085" customFormat="false" ht="15" hidden="false" customHeight="false" outlineLevel="0" collapsed="false">
      <c r="A5085" s="20" t="s">
        <v>1176</v>
      </c>
      <c r="E5085" s="23" t="str">
        <f aca="false">IF(D5085="?OLD","!!!","")</f>
        <v/>
      </c>
      <c r="F5085" s="25" t="str">
        <f aca="false">IF(OR(E5085="",E5085="!!!"),"",IF(NOT(ISNA(VLOOKUP(E5085,E$1:E5084,1,FALSE()))),"OLD",IF(AND(E5085&lt;&gt;"",E5085&lt;&gt;"!!!"),"NEW","")))</f>
        <v/>
      </c>
      <c r="G5085" s="26" t="str">
        <f aca="false">IF(OR(E5085="",E5085="!!!"),"",IF(OR(J5085=0,AND(J5085=1,K5085=1),AND(J5085=1,I5085="SBJ"),AND(J5085=1,I5085=0)),"?IN_FOCUS",IF(J5085&lt;=2,"?ACTIVATED",IF(J5085&lt;&gt;"","?FAMILIAR",IF(F5085="NEW",IF(ISNA(VLOOKUP(E5085,#REF!,1,FALSE())),"?TYPE_IDENTIFIABLE","?REFERENTIAL"),"_")))))</f>
        <v/>
      </c>
      <c r="H5085" s="27" t="str">
        <f aca="false">IF(J5085&lt;&gt;1,"",IF(I5085="SBJ","CB","?"))</f>
        <v/>
      </c>
      <c r="I5085" s="24" t="str">
        <f aca="false">IF(OR(E5085="",E5085="!!!",F5085="NEW"),"",INDEX(B8:B$5078,-1+SUMPRODUCT(MAX(ROW(E8:E$5078)*(E5085=E8:E$5078)))))</f>
        <v/>
      </c>
      <c r="J5085" s="24" t="str">
        <f aca="true">IF(OR(E5085="",E5085="!!!",F5085="NEW"),"",COUNTBLANK(OFFSET(A$1,,,SUMPRODUCT(MAX(ROW(E$2:E5085)*(E5085=E$2:E5085)))))-COUNTBLANK(OFFSET(A$1,,,SUMPRODUCT(MAX(ROW(E$1:E5084)*(E2=E$1:E5084))))))</f>
        <v/>
      </c>
      <c r="K5085" s="24" t="str">
        <f aca="false">IF(OR(E5085="",E5085="!!!",F5085="NEW"),"",INDEX(J$1:J5084,SUMPRODUCT(MAX(ROW(E$1:E5084)*(E5085=E$1:E5084)))))</f>
        <v/>
      </c>
      <c r="L5085" s="31"/>
    </row>
    <row r="5086" customFormat="false" ht="15" hidden="false" customHeight="false" outlineLevel="0" collapsed="false">
      <c r="A5086" s="20" t="s">
        <v>1361</v>
      </c>
      <c r="E5086" s="23" t="str">
        <f aca="false">IF(D5086="?OLD","!!!","")</f>
        <v/>
      </c>
      <c r="F5086" s="25" t="str">
        <f aca="false">IF(OR(E5086="",E5086="!!!"),"",IF(NOT(ISNA(VLOOKUP(E5086,E$1:E5085,1,FALSE()))),"OLD",IF(AND(E5086&lt;&gt;"",E5086&lt;&gt;"!!!"),"NEW","")))</f>
        <v/>
      </c>
      <c r="G5086" s="26" t="str">
        <f aca="false">IF(OR(E5086="",E5086="!!!"),"",IF(OR(J5086=0,AND(J5086=1,K5086=1),AND(J5086=1,I5086="SBJ"),AND(J5086=1,I5086=0)),"?IN_FOCUS",IF(J5086&lt;=2,"?ACTIVATED",IF(J5086&lt;&gt;"","?FAMILIAR",IF(F5086="NEW",IF(ISNA(VLOOKUP(E5086,#REF!,1,FALSE())),"?TYPE_IDENTIFIABLE","?REFERENTIAL"),"_")))))</f>
        <v/>
      </c>
      <c r="H5086" s="27" t="str">
        <f aca="false">IF(J5086&lt;&gt;1,"",IF(I5086="SBJ","CB","?"))</f>
        <v/>
      </c>
      <c r="I5086" s="24" t="str">
        <f aca="false">IF(OR(E5086="",E5086="!!!",F5086="NEW"),"",INDEX(B9:B$5078,-1+SUMPRODUCT(MAX(ROW(E9:E$5078)*(E5086=E9:E$5078)))))</f>
        <v/>
      </c>
      <c r="J5086" s="24" t="str">
        <f aca="true">IF(OR(E5086="",E5086="!!!",F5086="NEW"),"",COUNTBLANK(OFFSET(A$1,,,SUMPRODUCT(MAX(ROW(E$2:E5086)*(E5086=E$2:E5086)))))-COUNTBLANK(OFFSET(A$1,,,SUMPRODUCT(MAX(ROW(E$1:E5085)*(E2=E$1:E5085))))))</f>
        <v/>
      </c>
      <c r="K5086" s="24" t="str">
        <f aca="false">IF(OR(E5086="",E5086="!!!",F5086="NEW"),"",INDEX(J$1:J5085,SUMPRODUCT(MAX(ROW(E$1:E5085)*(E5086=E$1:E5085)))))</f>
        <v/>
      </c>
      <c r="L5086" s="31"/>
    </row>
    <row r="5087" customFormat="false" ht="15" hidden="false" customHeight="false" outlineLevel="0" collapsed="false">
      <c r="A5087" s="20" t="s">
        <v>1362</v>
      </c>
      <c r="B5087" s="22" t="s">
        <v>1067</v>
      </c>
      <c r="C5087" s="22" t="s">
        <v>1068</v>
      </c>
      <c r="D5087" s="22" t="s">
        <v>1060</v>
      </c>
      <c r="E5087" s="23" t="str">
        <f aca="false">IF(D5087="?OLD","!!!","")</f>
        <v>!!!</v>
      </c>
      <c r="F5087" s="25" t="str">
        <f aca="false">IF(OR(E5087="",E5087="!!!"),"",IF(NOT(ISNA(VLOOKUP(E5087,E$1:E5086,1,FALSE()))),"OLD",IF(AND(E5087&lt;&gt;"",E5087&lt;&gt;"!!!"),"NEW","")))</f>
        <v/>
      </c>
      <c r="G5087" s="26" t="str">
        <f aca="false">IF(OR(E5087="",E5087="!!!"),"",IF(OR(J5087=0,AND(J5087=1,K5087=1),AND(J5087=1,I5087="SBJ"),AND(J5087=1,I5087=0)),"?IN_FOCUS",IF(J5087&lt;=2,"?ACTIVATED",IF(J5087&lt;&gt;"","?FAMILIAR",IF(F5087="NEW",IF(ISNA(VLOOKUP(E5087,#REF!,1,FALSE())),"?TYPE_IDENTIFIABLE","?REFERENTIAL"),"_")))))</f>
        <v/>
      </c>
      <c r="H5087" s="27" t="str">
        <f aca="false">IF(J5087&lt;&gt;1,"",IF(I5087="SBJ","CB","?"))</f>
        <v/>
      </c>
      <c r="I5087" s="24" t="str">
        <f aca="false">IF(OR(E5087="",E5087="!!!",F5087="NEW"),"",INDEX(B10:B$5078,-1+SUMPRODUCT(MAX(ROW(E10:E$5078)*(E5087=E10:E$5078)))))</f>
        <v/>
      </c>
      <c r="J5087" s="24" t="str">
        <f aca="true">IF(OR(E5087="",E5087="!!!",F5087="NEW"),"",COUNTBLANK(OFFSET(A$1,,,SUMPRODUCT(MAX(ROW(E$2:E5087)*(E5087=E$2:E5087)))))-COUNTBLANK(OFFSET(A$1,,,SUMPRODUCT(MAX(ROW(E$1:E5086)*(E2=E$1:E5086))))))</f>
        <v/>
      </c>
      <c r="K5087" s="24" t="str">
        <f aca="false">IF(OR(E5087="",E5087="!!!",F5087="NEW"),"",INDEX(J$1:J5086,SUMPRODUCT(MAX(ROW(E$1:E5086)*(E5087=E$1:E5086)))))</f>
        <v/>
      </c>
      <c r="L5087" s="31"/>
    </row>
    <row r="5088" customFormat="false" ht="15" hidden="false" customHeight="false" outlineLevel="0" collapsed="false">
      <c r="A5088" s="20" t="s">
        <v>1076</v>
      </c>
      <c r="E5088" s="23" t="str">
        <f aca="false">IF(D5088="?OLD","!!!","")</f>
        <v/>
      </c>
      <c r="F5088" s="25" t="str">
        <f aca="false">IF(OR(E5088="",E5088="!!!"),"",IF(NOT(ISNA(VLOOKUP(E5088,E$1:E5087,1,FALSE()))),"OLD",IF(AND(E5088&lt;&gt;"",E5088&lt;&gt;"!!!"),"NEW","")))</f>
        <v/>
      </c>
      <c r="G5088" s="26" t="str">
        <f aca="false">IF(OR(E5088="",E5088="!!!"),"",IF(OR(J5088=0,AND(J5088=1,K5088=1),AND(J5088=1,I5088="SBJ"),AND(J5088=1,I5088=0)),"?IN_FOCUS",IF(J5088&lt;=2,"?ACTIVATED",IF(J5088&lt;&gt;"","?FAMILIAR",IF(F5088="NEW",IF(ISNA(VLOOKUP(E5088,#REF!,1,FALSE())),"?TYPE_IDENTIFIABLE","?REFERENTIAL"),"_")))))</f>
        <v/>
      </c>
      <c r="H5088" s="27" t="str">
        <f aca="false">IF(J5088&lt;&gt;1,"",IF(I5088="SBJ","CB","?"))</f>
        <v/>
      </c>
      <c r="I5088" s="24" t="str">
        <f aca="false">IF(OR(E5088="",E5088="!!!",F5088="NEW"),"",INDEX(B11:B$5078,-1+SUMPRODUCT(MAX(ROW(E11:E$5078)*(E5088=E11:E$5078)))))</f>
        <v/>
      </c>
      <c r="J5088" s="24" t="str">
        <f aca="true">IF(OR(E5088="",E5088="!!!",F5088="NEW"),"",COUNTBLANK(OFFSET(A$1,,,SUMPRODUCT(MAX(ROW(E$2:E5088)*(E5088=E$2:E5088)))))-COUNTBLANK(OFFSET(A$1,,,SUMPRODUCT(MAX(ROW(E$1:E5087)*(E2=E$1:E5087))))))</f>
        <v/>
      </c>
      <c r="K5088" s="24" t="str">
        <f aca="false">IF(OR(E5088="",E5088="!!!",F5088="NEW"),"",INDEX(J$1:J5087,SUMPRODUCT(MAX(ROW(E$1:E5087)*(E5088=E$1:E5087)))))</f>
        <v/>
      </c>
      <c r="L5088" s="31"/>
    </row>
    <row r="5089" customFormat="false" ht="15" hidden="false" customHeight="false" outlineLevel="0" collapsed="false">
      <c r="A5089" s="20" t="s">
        <v>1283</v>
      </c>
      <c r="E5089" s="23" t="str">
        <f aca="false">IF(D5089="?OLD","!!!","")</f>
        <v/>
      </c>
      <c r="F5089" s="25" t="str">
        <f aca="false">IF(OR(E5089="",E5089="!!!"),"",IF(NOT(ISNA(VLOOKUP(E5089,E$1:E5088,1,FALSE()))),"OLD",IF(AND(E5089&lt;&gt;"",E5089&lt;&gt;"!!!"),"NEW","")))</f>
        <v/>
      </c>
      <c r="G5089" s="26" t="str">
        <f aca="false">IF(OR(E5089="",E5089="!!!"),"",IF(OR(J5089=0,AND(J5089=1,K5089=1),AND(J5089=1,I5089="SBJ"),AND(J5089=1,I5089=0)),"?IN_FOCUS",IF(J5089&lt;=2,"?ACTIVATED",IF(J5089&lt;&gt;"","?FAMILIAR",IF(F5089="NEW",IF(ISNA(VLOOKUP(E5089,#REF!,1,FALSE())),"?TYPE_IDENTIFIABLE","?REFERENTIAL"),"_")))))</f>
        <v/>
      </c>
      <c r="H5089" s="27" t="str">
        <f aca="false">IF(J5089&lt;&gt;1,"",IF(I5089="SBJ","CB","?"))</f>
        <v/>
      </c>
      <c r="I5089" s="24" t="str">
        <f aca="false">IF(OR(E5089="",E5089="!!!",F5089="NEW"),"",INDEX(B12:B$5078,-1+SUMPRODUCT(MAX(ROW(E12:E$5078)*(E5089=E12:E$5078)))))</f>
        <v/>
      </c>
      <c r="J5089" s="24" t="str">
        <f aca="true">IF(OR(E5089="",E5089="!!!",F5089="NEW"),"",COUNTBLANK(OFFSET(A$1,,,SUMPRODUCT(MAX(ROW(E$2:E5089)*(E5089=E$2:E5089)))))-COUNTBLANK(OFFSET(A$1,,,SUMPRODUCT(MAX(ROW(E$1:E5088)*(E2=E$1:E5088))))))</f>
        <v/>
      </c>
      <c r="K5089" s="24" t="str">
        <f aca="false">IF(OR(E5089="",E5089="!!!",F5089="NEW"),"",INDEX(J$1:J5088,SUMPRODUCT(MAX(ROW(E$1:E5088)*(E5089=E$1:E5088)))))</f>
        <v/>
      </c>
      <c r="L5089" s="31"/>
    </row>
    <row r="5090" customFormat="false" ht="15" hidden="false" customHeight="false" outlineLevel="0" collapsed="false">
      <c r="A5090" s="20" t="s">
        <v>1173</v>
      </c>
      <c r="E5090" s="23" t="str">
        <f aca="false">IF(D5090="?OLD","!!!","")</f>
        <v/>
      </c>
      <c r="F5090" s="25" t="str">
        <f aca="false">IF(OR(E5090="",E5090="!!!"),"",IF(NOT(ISNA(VLOOKUP(E5090,E$1:E5089,1,FALSE()))),"OLD",IF(AND(E5090&lt;&gt;"",E5090&lt;&gt;"!!!"),"NEW","")))</f>
        <v/>
      </c>
      <c r="G5090" s="26" t="str">
        <f aca="false">IF(OR(E5090="",E5090="!!!"),"",IF(OR(J5090=0,AND(J5090=1,K5090=1),AND(J5090=1,I5090="SBJ"),AND(J5090=1,I5090=0)),"?IN_FOCUS",IF(J5090&lt;=2,"?ACTIVATED",IF(J5090&lt;&gt;"","?FAMILIAR",IF(F5090="NEW",IF(ISNA(VLOOKUP(E5090,#REF!,1,FALSE())),"?TYPE_IDENTIFIABLE","?REFERENTIAL"),"_")))))</f>
        <v/>
      </c>
      <c r="H5090" s="27" t="str">
        <f aca="false">IF(J5090&lt;&gt;1,"",IF(I5090="SBJ","CB","?"))</f>
        <v/>
      </c>
      <c r="I5090" s="24" t="str">
        <f aca="false">IF(OR(E5090="",E5090="!!!",F5090="NEW"),"",INDEX(B13:B$5078,-1+SUMPRODUCT(MAX(ROW(E13:E$5078)*(E5090=E13:E$5078)))))</f>
        <v/>
      </c>
      <c r="J5090" s="24" t="str">
        <f aca="true">IF(OR(E5090="",E5090="!!!",F5090="NEW"),"",COUNTBLANK(OFFSET(A$1,,,SUMPRODUCT(MAX(ROW(E$2:E5090)*(E5090=E$2:E5090)))))-COUNTBLANK(OFFSET(A$1,,,SUMPRODUCT(MAX(ROW(E$1:E5089)*(E2=E$1:E5089))))))</f>
        <v/>
      </c>
      <c r="K5090" s="24" t="str">
        <f aca="false">IF(OR(E5090="",E5090="!!!",F5090="NEW"),"",INDEX(J$1:J5089,SUMPRODUCT(MAX(ROW(E$1:E5089)*(E5090=E$1:E5089)))))</f>
        <v/>
      </c>
      <c r="L5090" s="31"/>
    </row>
    <row r="5091" customFormat="false" ht="15" hidden="false" customHeight="false" outlineLevel="0" collapsed="false">
      <c r="A5091" s="20" t="s">
        <v>1109</v>
      </c>
      <c r="E5091" s="23" t="str">
        <f aca="false">IF(D5091="?OLD","!!!","")</f>
        <v/>
      </c>
      <c r="F5091" s="25" t="str">
        <f aca="false">IF(OR(E5091="",E5091="!!!"),"",IF(NOT(ISNA(VLOOKUP(E5091,E$1:E5090,1,FALSE()))),"OLD",IF(AND(E5091&lt;&gt;"",E5091&lt;&gt;"!!!"),"NEW","")))</f>
        <v/>
      </c>
      <c r="G5091" s="26" t="str">
        <f aca="false">IF(OR(E5091="",E5091="!!!"),"",IF(OR(J5091=0,AND(J5091=1,K5091=1),AND(J5091=1,I5091="SBJ"),AND(J5091=1,I5091=0)),"?IN_FOCUS",IF(J5091&lt;=2,"?ACTIVATED",IF(J5091&lt;&gt;"","?FAMILIAR",IF(F5091="NEW",IF(ISNA(VLOOKUP(E5091,#REF!,1,FALSE())),"?TYPE_IDENTIFIABLE","?REFERENTIAL"),"_")))))</f>
        <v/>
      </c>
      <c r="H5091" s="27" t="str">
        <f aca="false">IF(J5091&lt;&gt;1,"",IF(I5091="SBJ","CB","?"))</f>
        <v/>
      </c>
      <c r="I5091" s="24" t="str">
        <f aca="false">IF(OR(E5091="",E5091="!!!",F5091="NEW"),"",INDEX(B14:B$5078,-1+SUMPRODUCT(MAX(ROW(E14:E$5078)*(E5091=E14:E$5078)))))</f>
        <v/>
      </c>
      <c r="J5091" s="24" t="str">
        <f aca="true">IF(OR(E5091="",E5091="!!!",F5091="NEW"),"",COUNTBLANK(OFFSET(A$1,,,SUMPRODUCT(MAX(ROW(E$2:E5091)*(E5091=E$2:E5091)))))-COUNTBLANK(OFFSET(A$1,,,SUMPRODUCT(MAX(ROW(E$1:E5090)*(E2=E$1:E5090))))))</f>
        <v/>
      </c>
      <c r="K5091" s="24" t="str">
        <f aca="false">IF(OR(E5091="",E5091="!!!",F5091="NEW"),"",INDEX(J$1:J5090,SUMPRODUCT(MAX(ROW(E$1:E5090)*(E5091=E$1:E5090)))))</f>
        <v/>
      </c>
      <c r="L5091" s="31"/>
    </row>
    <row r="5092" customFormat="false" ht="15" hidden="false" customHeight="false" outlineLevel="0" collapsed="false">
      <c r="A5092" s="20" t="s">
        <v>2424</v>
      </c>
      <c r="E5092" s="23" t="str">
        <f aca="false">IF(D5092="?OLD","!!!","")</f>
        <v/>
      </c>
      <c r="F5092" s="25" t="str">
        <f aca="false">IF(OR(E5092="",E5092="!!!"),"",IF(NOT(ISNA(VLOOKUP(E5092,E$1:E5091,1,FALSE()))),"OLD",IF(AND(E5092&lt;&gt;"",E5092&lt;&gt;"!!!"),"NEW","")))</f>
        <v/>
      </c>
      <c r="G5092" s="26" t="str">
        <f aca="false">IF(OR(E5092="",E5092="!!!"),"",IF(OR(J5092=0,AND(J5092=1,K5092=1),AND(J5092=1,I5092="SBJ"),AND(J5092=1,I5092=0)),"?IN_FOCUS",IF(J5092&lt;=2,"?ACTIVATED",IF(J5092&lt;&gt;"","?FAMILIAR",IF(F5092="NEW",IF(ISNA(VLOOKUP(E5092,#REF!,1,FALSE())),"?TYPE_IDENTIFIABLE","?REFERENTIAL"),"_")))))</f>
        <v/>
      </c>
      <c r="H5092" s="27" t="str">
        <f aca="false">IF(J5092&lt;&gt;1,"",IF(I5092="SBJ","CB","?"))</f>
        <v/>
      </c>
      <c r="I5092" s="24" t="str">
        <f aca="false">IF(OR(E5092="",E5092="!!!",F5092="NEW"),"",INDEX(B15:B$5078,-1+SUMPRODUCT(MAX(ROW(E15:E$5078)*(E5092=E15:E$5078)))))</f>
        <v/>
      </c>
      <c r="J5092" s="24" t="str">
        <f aca="true">IF(OR(E5092="",E5092="!!!",F5092="NEW"),"",COUNTBLANK(OFFSET(A$1,,,SUMPRODUCT(MAX(ROW(E$2:E5092)*(E5092=E$2:E5092)))))-COUNTBLANK(OFFSET(A$1,,,SUMPRODUCT(MAX(ROW(E$1:E5091)*(E2=E$1:E5091))))))</f>
        <v/>
      </c>
      <c r="K5092" s="24" t="str">
        <f aca="false">IF(OR(E5092="",E5092="!!!",F5092="NEW"),"",INDEX(J$1:J5091,SUMPRODUCT(MAX(ROW(E$1:E5091)*(E5092=E$1:E5091)))))</f>
        <v/>
      </c>
      <c r="L5092" s="31"/>
    </row>
    <row r="5093" customFormat="false" ht="15" hidden="false" customHeight="false" outlineLevel="0" collapsed="false">
      <c r="A5093" s="20" t="s">
        <v>2467</v>
      </c>
      <c r="B5093" s="22" t="s">
        <v>1073</v>
      </c>
      <c r="C5093" s="22" t="s">
        <v>1150</v>
      </c>
      <c r="D5093" s="22" t="s">
        <v>1060</v>
      </c>
      <c r="E5093" s="23" t="str">
        <f aca="false">IF(D5093="?OLD","!!!","")</f>
        <v>!!!</v>
      </c>
      <c r="F5093" s="25" t="str">
        <f aca="false">IF(OR(E5093="",E5093="!!!"),"",IF(NOT(ISNA(VLOOKUP(E5093,E$1:E5092,1,FALSE()))),"OLD",IF(AND(E5093&lt;&gt;"",E5093&lt;&gt;"!!!"),"NEW","")))</f>
        <v/>
      </c>
      <c r="G5093" s="26" t="str">
        <f aca="false">IF(OR(E5093="",E5093="!!!"),"",IF(OR(J5093=0,AND(J5093=1,K5093=1),AND(J5093=1,I5093="SBJ"),AND(J5093=1,I5093=0)),"?IN_FOCUS",IF(J5093&lt;=2,"?ACTIVATED",IF(J5093&lt;&gt;"","?FAMILIAR",IF(F5093="NEW",IF(ISNA(VLOOKUP(E5093,#REF!,1,FALSE())),"?TYPE_IDENTIFIABLE","?REFERENTIAL"),"_")))))</f>
        <v/>
      </c>
      <c r="H5093" s="27" t="str">
        <f aca="false">IF(J5093&lt;&gt;1,"",IF(I5093="SBJ","CB","?"))</f>
        <v/>
      </c>
      <c r="I5093" s="24" t="str">
        <f aca="false">IF(OR(E5093="",E5093="!!!",F5093="NEW"),"",INDEX(B16:B$5078,-1+SUMPRODUCT(MAX(ROW(E16:E$5078)*(E5093=E16:E$5078)))))</f>
        <v/>
      </c>
      <c r="J5093" s="24" t="str">
        <f aca="true">IF(OR(E5093="",E5093="!!!",F5093="NEW"),"",COUNTBLANK(OFFSET(A$1,,,SUMPRODUCT(MAX(ROW(E$2:E5093)*(E5093=E$2:E5093)))))-COUNTBLANK(OFFSET(A$1,,,SUMPRODUCT(MAX(ROW(E$1:E5092)*(E2=E$1:E5092))))))</f>
        <v/>
      </c>
      <c r="K5093" s="24" t="str">
        <f aca="false">IF(OR(E5093="",E5093="!!!",F5093="NEW"),"",INDEX(J$1:J5092,SUMPRODUCT(MAX(ROW(E$1:E5092)*(E5093=E$1:E5092)))))</f>
        <v/>
      </c>
      <c r="L5093" s="31"/>
    </row>
    <row r="5094" customFormat="false" ht="15" hidden="false" customHeight="false" outlineLevel="0" collapsed="false">
      <c r="A5094" s="20" t="s">
        <v>1064</v>
      </c>
      <c r="E5094" s="23" t="str">
        <f aca="false">IF(D5094="?OLD","!!!","")</f>
        <v/>
      </c>
      <c r="F5094" s="25" t="str">
        <f aca="false">IF(OR(E5094="",E5094="!!!"),"",IF(NOT(ISNA(VLOOKUP(E5094,E$1:E5093,1,FALSE()))),"OLD",IF(AND(E5094&lt;&gt;"",E5094&lt;&gt;"!!!"),"NEW","")))</f>
        <v/>
      </c>
      <c r="G5094" s="26" t="str">
        <f aca="false">IF(OR(E5094="",E5094="!!!"),"",IF(OR(J5094=0,AND(J5094=1,K5094=1),AND(J5094=1,I5094="SBJ"),AND(J5094=1,I5094=0)),"?IN_FOCUS",IF(J5094&lt;=2,"?ACTIVATED",IF(J5094&lt;&gt;"","?FAMILIAR",IF(F5094="NEW",IF(ISNA(VLOOKUP(E5094,#REF!,1,FALSE())),"?TYPE_IDENTIFIABLE","?REFERENTIAL"),"_")))))</f>
        <v/>
      </c>
      <c r="H5094" s="27" t="str">
        <f aca="false">IF(J5094&lt;&gt;1,"",IF(I5094="SBJ","CB","?"))</f>
        <v/>
      </c>
      <c r="I5094" s="24" t="str">
        <f aca="false">IF(OR(E5094="",E5094="!!!",F5094="NEW"),"",INDEX(B17:B$5078,-1+SUMPRODUCT(MAX(ROW(E17:E$5078)*(E5094=E17:E$5078)))))</f>
        <v/>
      </c>
      <c r="J5094" s="24" t="str">
        <f aca="true">IF(OR(E5094="",E5094="!!!",F5094="NEW"),"",COUNTBLANK(OFFSET(A$1,,,SUMPRODUCT(MAX(ROW(E$2:E5094)*(E5094=E$2:E5094)))))-COUNTBLANK(OFFSET(A$1,,,SUMPRODUCT(MAX(ROW(E$1:E5093)*(E2=E$1:E5093))))))</f>
        <v/>
      </c>
      <c r="K5094" s="24" t="str">
        <f aca="false">IF(OR(E5094="",E5094="!!!",F5094="NEW"),"",INDEX(J$1:J5093,SUMPRODUCT(MAX(ROW(E$1:E5093)*(E5094=E$1:E5093)))))</f>
        <v/>
      </c>
      <c r="L5094" s="31"/>
    </row>
    <row r="5095" customFormat="false" ht="15" hidden="false" customHeight="false" outlineLevel="0" collapsed="false">
      <c r="A5095" s="20" t="s">
        <v>1109</v>
      </c>
      <c r="E5095" s="23" t="str">
        <f aca="false">IF(D5095="?OLD","!!!","")</f>
        <v/>
      </c>
      <c r="F5095" s="25" t="str">
        <f aca="false">IF(OR(E5095="",E5095="!!!"),"",IF(NOT(ISNA(VLOOKUP(E5095,E$1:E5094,1,FALSE()))),"OLD",IF(AND(E5095&lt;&gt;"",E5095&lt;&gt;"!!!"),"NEW","")))</f>
        <v/>
      </c>
      <c r="G5095" s="26" t="str">
        <f aca="false">IF(OR(E5095="",E5095="!!!"),"",IF(OR(J5095=0,AND(J5095=1,K5095=1),AND(J5095=1,I5095="SBJ"),AND(J5095=1,I5095=0)),"?IN_FOCUS",IF(J5095&lt;=2,"?ACTIVATED",IF(J5095&lt;&gt;"","?FAMILIAR",IF(F5095="NEW",IF(ISNA(VLOOKUP(E5095,#REF!,1,FALSE())),"?TYPE_IDENTIFIABLE","?REFERENTIAL"),"_")))))</f>
        <v/>
      </c>
      <c r="H5095" s="27" t="str">
        <f aca="false">IF(J5095&lt;&gt;1,"",IF(I5095="SBJ","CB","?"))</f>
        <v/>
      </c>
      <c r="I5095" s="24" t="str">
        <f aca="false">IF(OR(E5095="",E5095="!!!",F5095="NEW"),"",INDEX(B18:B$5078,-1+SUMPRODUCT(MAX(ROW(E18:E$5078)*(E5095=E18:E$5078)))))</f>
        <v/>
      </c>
      <c r="J5095" s="24" t="str">
        <f aca="true">IF(OR(E5095="",E5095="!!!",F5095="NEW"),"",COUNTBLANK(OFFSET(A$1,,,SUMPRODUCT(MAX(ROW(E$2:E5095)*(E5095=E$2:E5095)))))-COUNTBLANK(OFFSET(A$1,,,SUMPRODUCT(MAX(ROW(E$1:E5094)*(E2=E$1:E5094))))))</f>
        <v/>
      </c>
      <c r="K5095" s="24" t="str">
        <f aca="false">IF(OR(E5095="",E5095="!!!",F5095="NEW"),"",INDEX(J$1:J5094,SUMPRODUCT(MAX(ROW(E$1:E5094)*(E5095=E$1:E5094)))))</f>
        <v/>
      </c>
      <c r="L5095" s="31"/>
    </row>
    <row r="5096" customFormat="false" ht="15" hidden="false" customHeight="false" outlineLevel="0" collapsed="false">
      <c r="A5096" s="20" t="s">
        <v>1356</v>
      </c>
      <c r="E5096" s="23" t="str">
        <f aca="false">IF(D5096="?OLD","!!!","")</f>
        <v/>
      </c>
      <c r="F5096" s="25" t="str">
        <f aca="false">IF(OR(E5096="",E5096="!!!"),"",IF(NOT(ISNA(VLOOKUP(E5096,E$1:E5095,1,FALSE()))),"OLD",IF(AND(E5096&lt;&gt;"",E5096&lt;&gt;"!!!"),"NEW","")))</f>
        <v/>
      </c>
      <c r="G5096" s="26" t="str">
        <f aca="false">IF(OR(E5096="",E5096="!!!"),"",IF(OR(J5096=0,AND(J5096=1,K5096=1),AND(J5096=1,I5096="SBJ"),AND(J5096=1,I5096=0)),"?IN_FOCUS",IF(J5096&lt;=2,"?ACTIVATED",IF(J5096&lt;&gt;"","?FAMILIAR",IF(F5096="NEW",IF(ISNA(VLOOKUP(E5096,#REF!,1,FALSE())),"?TYPE_IDENTIFIABLE","?REFERENTIAL"),"_")))))</f>
        <v/>
      </c>
      <c r="H5096" s="27" t="str">
        <f aca="false">IF(J5096&lt;&gt;1,"",IF(I5096="SBJ","CB","?"))</f>
        <v/>
      </c>
      <c r="I5096" s="24" t="str">
        <f aca="false">IF(OR(E5096="",E5096="!!!",F5096="NEW"),"",INDEX(B19:B$5078,-1+SUMPRODUCT(MAX(ROW(E19:E$5078)*(E5096=E19:E$5078)))))</f>
        <v/>
      </c>
      <c r="J5096" s="24" t="str">
        <f aca="true">IF(OR(E5096="",E5096="!!!",F5096="NEW"),"",COUNTBLANK(OFFSET(A$1,,,SUMPRODUCT(MAX(ROW(E$2:E5096)*(E5096=E$2:E5096)))))-COUNTBLANK(OFFSET(A$1,,,SUMPRODUCT(MAX(ROW(E$1:E5095)*(E2=E$1:E5095))))))</f>
        <v/>
      </c>
      <c r="K5096" s="24" t="str">
        <f aca="false">IF(OR(E5096="",E5096="!!!",F5096="NEW"),"",INDEX(J$1:J5095,SUMPRODUCT(MAX(ROW(E$1:E5095)*(E5096=E$1:E5095)))))</f>
        <v/>
      </c>
      <c r="L5096" s="31"/>
    </row>
    <row r="5097" customFormat="false" ht="15" hidden="false" customHeight="false" outlineLevel="0" collapsed="false">
      <c r="A5097" s="20" t="s">
        <v>2506</v>
      </c>
      <c r="B5097" s="22" t="s">
        <v>1067</v>
      </c>
      <c r="C5097" s="22" t="s">
        <v>1150</v>
      </c>
      <c r="D5097" s="22" t="s">
        <v>1060</v>
      </c>
      <c r="E5097" s="23" t="str">
        <f aca="false">IF(D5097="?OLD","!!!","")</f>
        <v>!!!</v>
      </c>
      <c r="F5097" s="25" t="str">
        <f aca="false">IF(OR(E5097="",E5097="!!!"),"",IF(NOT(ISNA(VLOOKUP(E5097,E$1:E5096,1,FALSE()))),"OLD",IF(AND(E5097&lt;&gt;"",E5097&lt;&gt;"!!!"),"NEW","")))</f>
        <v/>
      </c>
      <c r="G5097" s="26" t="str">
        <f aca="false">IF(OR(E5097="",E5097="!!!"),"",IF(OR(J5097=0,AND(J5097=1,K5097=1),AND(J5097=1,I5097="SBJ"),AND(J5097=1,I5097=0)),"?IN_FOCUS",IF(J5097&lt;=2,"?ACTIVATED",IF(J5097&lt;&gt;"","?FAMILIAR",IF(F5097="NEW",IF(ISNA(VLOOKUP(E5097,#REF!,1,FALSE())),"?TYPE_IDENTIFIABLE","?REFERENTIAL"),"_")))))</f>
        <v/>
      </c>
      <c r="H5097" s="27" t="str">
        <f aca="false">IF(J5097&lt;&gt;1,"",IF(I5097="SBJ","CB","?"))</f>
        <v/>
      </c>
      <c r="I5097" s="24" t="str">
        <f aca="false">IF(OR(E5097="",E5097="!!!",F5097="NEW"),"",INDEX(B20:B$5078,-1+SUMPRODUCT(MAX(ROW(E20:E$5078)*(E5097=E20:E$5078)))))</f>
        <v/>
      </c>
      <c r="J5097" s="24" t="str">
        <f aca="true">IF(OR(E5097="",E5097="!!!",F5097="NEW"),"",COUNTBLANK(OFFSET(A$1,,,SUMPRODUCT(MAX(ROW(E$2:E5097)*(E5097=E$2:E5097)))))-COUNTBLANK(OFFSET(A$1,,,SUMPRODUCT(MAX(ROW(E$1:E5096)*(E2=E$1:E5096))))))</f>
        <v/>
      </c>
      <c r="K5097" s="24" t="str">
        <f aca="false">IF(OR(E5097="",E5097="!!!",F5097="NEW"),"",INDEX(J$1:J5096,SUMPRODUCT(MAX(ROW(E$1:E5096)*(E5097=E$1:E5096)))))</f>
        <v/>
      </c>
      <c r="L5097" s="31"/>
    </row>
    <row r="5098" customFormat="false" ht="15" hidden="false" customHeight="false" outlineLevel="0" collapsed="false">
      <c r="A5098" s="20" t="s">
        <v>1125</v>
      </c>
      <c r="B5098" s="22" t="s">
        <v>1359</v>
      </c>
      <c r="E5098" s="23" t="str">
        <f aca="false">IF(D5098="?OLD","!!!","")</f>
        <v/>
      </c>
      <c r="F5098" s="25" t="str">
        <f aca="false">IF(OR(E5098="",E5098="!!!"),"",IF(NOT(ISNA(VLOOKUP(E5098,E$1:E5097,1,FALSE()))),"OLD",IF(AND(E5098&lt;&gt;"",E5098&lt;&gt;"!!!"),"NEW","")))</f>
        <v/>
      </c>
      <c r="G5098" s="26" t="str">
        <f aca="false">IF(OR(E5098="",E5098="!!!"),"",IF(OR(J5098=0,AND(J5098=1,K5098=1),AND(J5098=1,I5098="SBJ"),AND(J5098=1,I5098=0)),"?IN_FOCUS",IF(J5098&lt;=2,"?ACTIVATED",IF(J5098&lt;&gt;"","?FAMILIAR",IF(F5098="NEW",IF(ISNA(VLOOKUP(E5098,#REF!,1,FALSE())),"?TYPE_IDENTIFIABLE","?REFERENTIAL"),"_")))))</f>
        <v/>
      </c>
      <c r="H5098" s="27" t="str">
        <f aca="false">IF(J5098&lt;&gt;1,"",IF(I5098="SBJ","CB","?"))</f>
        <v/>
      </c>
      <c r="I5098" s="24" t="str">
        <f aca="false">IF(OR(E5098="",E5098="!!!",F5098="NEW"),"",INDEX(B21:B$5078,-1+SUMPRODUCT(MAX(ROW(E21:E$5078)*(E5098=E21:E$5078)))))</f>
        <v/>
      </c>
      <c r="J5098" s="24" t="str">
        <f aca="true">IF(OR(E5098="",E5098="!!!",F5098="NEW"),"",COUNTBLANK(OFFSET(A$1,,,SUMPRODUCT(MAX(ROW(E$2:E5098)*(E5098=E$2:E5098)))))-COUNTBLANK(OFFSET(A$1,,,SUMPRODUCT(MAX(ROW(E$1:E5097)*(E2=E$1:E5097))))))</f>
        <v/>
      </c>
      <c r="K5098" s="24" t="str">
        <f aca="false">IF(OR(E5098="",E5098="!!!",F5098="NEW"),"",INDEX(J$1:J5097,SUMPRODUCT(MAX(ROW(E$1:E5097)*(E5098=E$1:E5097)))))</f>
        <v/>
      </c>
      <c r="L5098" s="31"/>
    </row>
    <row r="5099" customFormat="false" ht="15" hidden="false" customHeight="false" outlineLevel="0" collapsed="false">
      <c r="A5099" s="20" t="s">
        <v>1164</v>
      </c>
      <c r="E5099" s="23" t="str">
        <f aca="false">IF(D5099="?OLD","!!!","")</f>
        <v/>
      </c>
      <c r="F5099" s="25" t="str">
        <f aca="false">IF(OR(E5099="",E5099="!!!"),"",IF(NOT(ISNA(VLOOKUP(E5099,E$1:E5098,1,FALSE()))),"OLD",IF(AND(E5099&lt;&gt;"",E5099&lt;&gt;"!!!"),"NEW","")))</f>
        <v/>
      </c>
      <c r="G5099" s="26" t="str">
        <f aca="false">IF(OR(E5099="",E5099="!!!"),"",IF(OR(J5099=0,AND(J5099=1,K5099=1),AND(J5099=1,I5099="SBJ"),AND(J5099=1,I5099=0)),"?IN_FOCUS",IF(J5099&lt;=2,"?ACTIVATED",IF(J5099&lt;&gt;"","?FAMILIAR",IF(F5099="NEW",IF(ISNA(VLOOKUP(E5099,#REF!,1,FALSE())),"?TYPE_IDENTIFIABLE","?REFERENTIAL"),"_")))))</f>
        <v/>
      </c>
      <c r="H5099" s="27" t="str">
        <f aca="false">IF(J5099&lt;&gt;1,"",IF(I5099="SBJ","CB","?"))</f>
        <v/>
      </c>
      <c r="I5099" s="24" t="str">
        <f aca="false">IF(OR(E5099="",E5099="!!!",F5099="NEW"),"",INDEX(B22:B$5078,-1+SUMPRODUCT(MAX(ROW(E22:E$5078)*(E5099=E22:E$5078)))))</f>
        <v/>
      </c>
      <c r="J5099" s="24" t="str">
        <f aca="true">IF(OR(E5099="",E5099="!!!",F5099="NEW"),"",COUNTBLANK(OFFSET(A$1,,,SUMPRODUCT(MAX(ROW(E$2:E5099)*(E5099=E$2:E5099)))))-COUNTBLANK(OFFSET(A$1,,,SUMPRODUCT(MAX(ROW(E$1:E5098)*(E2=E$1:E5098))))))</f>
        <v/>
      </c>
      <c r="K5099" s="24" t="str">
        <f aca="false">IF(OR(E5099="",E5099="!!!",F5099="NEW"),"",INDEX(J$1:J5098,SUMPRODUCT(MAX(ROW(E$1:E5098)*(E5099=E$1:E5098)))))</f>
        <v/>
      </c>
      <c r="L5099" s="31"/>
    </row>
    <row r="5100" customFormat="false" ht="15" hidden="false" customHeight="false" outlineLevel="0" collapsed="false">
      <c r="A5100" s="20" t="s">
        <v>2515</v>
      </c>
      <c r="E5100" s="23" t="str">
        <f aca="false">IF(D5100="?OLD","!!!","")</f>
        <v/>
      </c>
      <c r="F5100" s="25" t="str">
        <f aca="false">IF(OR(E5100="",E5100="!!!"),"",IF(NOT(ISNA(VLOOKUP(E5100,E$1:E5099,1,FALSE()))),"OLD",IF(AND(E5100&lt;&gt;"",E5100&lt;&gt;"!!!"),"NEW","")))</f>
        <v/>
      </c>
      <c r="G5100" s="26" t="str">
        <f aca="false">IF(OR(E5100="",E5100="!!!"),"",IF(OR(J5100=0,AND(J5100=1,K5100=1),AND(J5100=1,I5100="SBJ"),AND(J5100=1,I5100=0)),"?IN_FOCUS",IF(J5100&lt;=2,"?ACTIVATED",IF(J5100&lt;&gt;"","?FAMILIAR",IF(F5100="NEW",IF(ISNA(VLOOKUP(E5100,#REF!,1,FALSE())),"?TYPE_IDENTIFIABLE","?REFERENTIAL"),"_")))))</f>
        <v/>
      </c>
      <c r="H5100" s="27" t="str">
        <f aca="false">IF(J5100&lt;&gt;1,"",IF(I5100="SBJ","CB","?"))</f>
        <v/>
      </c>
      <c r="I5100" s="24" t="str">
        <f aca="false">IF(OR(E5100="",E5100="!!!",F5100="NEW"),"",INDEX(B23:B$5078,-1+SUMPRODUCT(MAX(ROW(E23:E$5078)*(E5100=E23:E$5078)))))</f>
        <v/>
      </c>
      <c r="J5100" s="24" t="str">
        <f aca="true">IF(OR(E5100="",E5100="!!!",F5100="NEW"),"",COUNTBLANK(OFFSET(A$1,,,SUMPRODUCT(MAX(ROW(E$2:E5100)*(E5100=E$2:E5100)))))-COUNTBLANK(OFFSET(A$1,,,SUMPRODUCT(MAX(ROW(E$1:E5099)*(E2=E$1:E5099))))))</f>
        <v/>
      </c>
      <c r="K5100" s="24" t="str">
        <f aca="false">IF(OR(E5100="",E5100="!!!",F5100="NEW"),"",INDEX(J$1:J5099,SUMPRODUCT(MAX(ROW(E$1:E5099)*(E5100=E$1:E5099)))))</f>
        <v/>
      </c>
      <c r="L5100" s="31"/>
    </row>
    <row r="5101" customFormat="false" ht="15" hidden="false" customHeight="false" outlineLevel="0" collapsed="false">
      <c r="A5101" s="20" t="s">
        <v>1137</v>
      </c>
      <c r="B5101" s="22" t="s">
        <v>1131</v>
      </c>
      <c r="C5101" s="22" t="s">
        <v>1082</v>
      </c>
      <c r="D5101" s="22" t="s">
        <v>1060</v>
      </c>
      <c r="E5101" s="23" t="str">
        <f aca="false">IF(D5101="?OLD","!!!","")</f>
        <v>!!!</v>
      </c>
      <c r="F5101" s="25" t="str">
        <f aca="false">IF(OR(E5101="",E5101="!!!"),"",IF(NOT(ISNA(VLOOKUP(E5101,E$1:E5100,1,FALSE()))),"OLD",IF(AND(E5101&lt;&gt;"",E5101&lt;&gt;"!!!"),"NEW","")))</f>
        <v/>
      </c>
      <c r="G5101" s="26" t="str">
        <f aca="false">IF(OR(E5101="",E5101="!!!"),"",IF(OR(J5101=0,AND(J5101=1,K5101=1),AND(J5101=1,I5101="SBJ"),AND(J5101=1,I5101=0)),"?IN_FOCUS",IF(J5101&lt;=2,"?ACTIVATED",IF(J5101&lt;&gt;"","?FAMILIAR",IF(F5101="NEW",IF(ISNA(VLOOKUP(E5101,#REF!,1,FALSE())),"?TYPE_IDENTIFIABLE","?REFERENTIAL"),"_")))))</f>
        <v/>
      </c>
      <c r="H5101" s="27" t="str">
        <f aca="false">IF(J5101&lt;&gt;1,"",IF(I5101="SBJ","CB","?"))</f>
        <v/>
      </c>
      <c r="I5101" s="24" t="str">
        <f aca="false">IF(OR(E5101="",E5101="!!!",F5101="NEW"),"",INDEX(B24:B$5078,-1+SUMPRODUCT(MAX(ROW(E24:E$5078)*(E5101=E24:E$5078)))))</f>
        <v/>
      </c>
      <c r="J5101" s="24" t="str">
        <f aca="true">IF(OR(E5101="",E5101="!!!",F5101="NEW"),"",COUNTBLANK(OFFSET(A$1,,,SUMPRODUCT(MAX(ROW(E$2:E5101)*(E5101=E$2:E5101)))))-COUNTBLANK(OFFSET(A$1,,,SUMPRODUCT(MAX(ROW(E$1:E5100)*(E2=E$1:E5100))))))</f>
        <v/>
      </c>
      <c r="K5101" s="24" t="str">
        <f aca="false">IF(OR(E5101="",E5101="!!!",F5101="NEW"),"",INDEX(J$1:J5100,SUMPRODUCT(MAX(ROW(E$1:E5100)*(E5101=E$1:E5100)))))</f>
        <v/>
      </c>
      <c r="L5101" s="31"/>
    </row>
    <row r="5102" customFormat="false" ht="15" hidden="false" customHeight="false" outlineLevel="0" collapsed="false">
      <c r="A5102" s="20" t="s">
        <v>1173</v>
      </c>
      <c r="E5102" s="23" t="str">
        <f aca="false">IF(D5102="?OLD","!!!","")</f>
        <v/>
      </c>
      <c r="F5102" s="25" t="str">
        <f aca="false">IF(OR(E5102="",E5102="!!!"),"",IF(NOT(ISNA(VLOOKUP(E5102,E$1:E5101,1,FALSE()))),"OLD",IF(AND(E5102&lt;&gt;"",E5102&lt;&gt;"!!!"),"NEW","")))</f>
        <v/>
      </c>
      <c r="G5102" s="26" t="str">
        <f aca="false">IF(OR(E5102="",E5102="!!!"),"",IF(OR(J5102=0,AND(J5102=1,K5102=1),AND(J5102=1,I5102="SBJ"),AND(J5102=1,I5102=0)),"?IN_FOCUS",IF(J5102&lt;=2,"?ACTIVATED",IF(J5102&lt;&gt;"","?FAMILIAR",IF(F5102="NEW",IF(ISNA(VLOOKUP(E5102,#REF!,1,FALSE())),"?TYPE_IDENTIFIABLE","?REFERENTIAL"),"_")))))</f>
        <v/>
      </c>
      <c r="H5102" s="27" t="str">
        <f aca="false">IF(J5102&lt;&gt;1,"",IF(I5102="SBJ","CB","?"))</f>
        <v/>
      </c>
      <c r="I5102" s="24" t="str">
        <f aca="false">IF(OR(E5102="",E5102="!!!",F5102="NEW"),"",INDEX(B25:B$5078,-1+SUMPRODUCT(MAX(ROW(E25:E$5078)*(E5102=E25:E$5078)))))</f>
        <v/>
      </c>
      <c r="J5102" s="24" t="str">
        <f aca="true">IF(OR(E5102="",E5102="!!!",F5102="NEW"),"",COUNTBLANK(OFFSET(A$1,,,SUMPRODUCT(MAX(ROW(E$2:E5102)*(E5102=E$2:E5102)))))-COUNTBLANK(OFFSET(A$1,,,SUMPRODUCT(MAX(ROW(E$1:E5101)*(E2=E$1:E5101))))))</f>
        <v/>
      </c>
      <c r="K5102" s="24" t="str">
        <f aca="false">IF(OR(E5102="",E5102="!!!",F5102="NEW"),"",INDEX(J$1:J5101,SUMPRODUCT(MAX(ROW(E$1:E5101)*(E5102=E$1:E5101)))))</f>
        <v/>
      </c>
      <c r="L5102" s="31"/>
    </row>
    <row r="5103" customFormat="false" ht="15" hidden="false" customHeight="false" outlineLevel="0" collapsed="false">
      <c r="A5103" s="20" t="s">
        <v>1076</v>
      </c>
      <c r="E5103" s="23" t="str">
        <f aca="false">IF(D5103="?OLD","!!!","")</f>
        <v/>
      </c>
      <c r="F5103" s="25" t="str">
        <f aca="false">IF(OR(E5103="",E5103="!!!"),"",IF(NOT(ISNA(VLOOKUP(E5103,E$1:E5102,1,FALSE()))),"OLD",IF(AND(E5103&lt;&gt;"",E5103&lt;&gt;"!!!"),"NEW","")))</f>
        <v/>
      </c>
      <c r="G5103" s="26" t="str">
        <f aca="false">IF(OR(E5103="",E5103="!!!"),"",IF(OR(J5103=0,AND(J5103=1,K5103=1),AND(J5103=1,I5103="SBJ"),AND(J5103=1,I5103=0)),"?IN_FOCUS",IF(J5103&lt;=2,"?ACTIVATED",IF(J5103&lt;&gt;"","?FAMILIAR",IF(F5103="NEW",IF(ISNA(VLOOKUP(E5103,#REF!,1,FALSE())),"?TYPE_IDENTIFIABLE","?REFERENTIAL"),"_")))))</f>
        <v/>
      </c>
      <c r="H5103" s="27" t="str">
        <f aca="false">IF(J5103&lt;&gt;1,"",IF(I5103="SBJ","CB","?"))</f>
        <v/>
      </c>
      <c r="I5103" s="24" t="str">
        <f aca="false">IF(OR(E5103="",E5103="!!!",F5103="NEW"),"",INDEX(B26:B$5078,-1+SUMPRODUCT(MAX(ROW(E26:E$5078)*(E5103=E26:E$5078)))))</f>
        <v/>
      </c>
      <c r="J5103" s="24" t="str">
        <f aca="true">IF(OR(E5103="",E5103="!!!",F5103="NEW"),"",COUNTBLANK(OFFSET(A$1,,,SUMPRODUCT(MAX(ROW(E$2:E5103)*(E5103=E$2:E5103)))))-COUNTBLANK(OFFSET(A$1,,,SUMPRODUCT(MAX(ROW(E$1:E5102)*(E2=E$1:E5102))))))</f>
        <v/>
      </c>
      <c r="K5103" s="24" t="str">
        <f aca="false">IF(OR(E5103="",E5103="!!!",F5103="NEW"),"",INDEX(J$1:J5102,SUMPRODUCT(MAX(ROW(E$1:E5102)*(E5103=E$1:E5102)))))</f>
        <v/>
      </c>
      <c r="L5103" s="31"/>
    </row>
    <row r="5104" customFormat="false" ht="15" hidden="false" customHeight="false" outlineLevel="0" collapsed="false">
      <c r="A5104" s="20" t="s">
        <v>1339</v>
      </c>
      <c r="E5104" s="23" t="str">
        <f aca="false">IF(D5104="?OLD","!!!","")</f>
        <v/>
      </c>
      <c r="F5104" s="25" t="str">
        <f aca="false">IF(OR(E5104="",E5104="!!!"),"",IF(NOT(ISNA(VLOOKUP(E5104,E$1:E5103,1,FALSE()))),"OLD",IF(AND(E5104&lt;&gt;"",E5104&lt;&gt;"!!!"),"NEW","")))</f>
        <v/>
      </c>
      <c r="G5104" s="26" t="str">
        <f aca="false">IF(OR(E5104="",E5104="!!!"),"",IF(OR(J5104=0,AND(J5104=1,K5104=1),AND(J5104=1,I5104="SBJ"),AND(J5104=1,I5104=0)),"?IN_FOCUS",IF(J5104&lt;=2,"?ACTIVATED",IF(J5104&lt;&gt;"","?FAMILIAR",IF(F5104="NEW",IF(ISNA(VLOOKUP(E5104,#REF!,1,FALSE())),"?TYPE_IDENTIFIABLE","?REFERENTIAL"),"_")))))</f>
        <v/>
      </c>
      <c r="H5104" s="27" t="str">
        <f aca="false">IF(J5104&lt;&gt;1,"",IF(I5104="SBJ","CB","?"))</f>
        <v/>
      </c>
      <c r="I5104" s="24" t="str">
        <f aca="false">IF(OR(E5104="",E5104="!!!",F5104="NEW"),"",INDEX(B27:B$5078,-1+SUMPRODUCT(MAX(ROW(E27:E$5078)*(E5104=E27:E$5078)))))</f>
        <v/>
      </c>
      <c r="J5104" s="24" t="str">
        <f aca="true">IF(OR(E5104="",E5104="!!!",F5104="NEW"),"",COUNTBLANK(OFFSET(A$1,,,SUMPRODUCT(MAX(ROW(E$2:E5104)*(E5104=E$2:E5104)))))-COUNTBLANK(OFFSET(A$1,,,SUMPRODUCT(MAX(ROW(E$1:E5103)*(E2=E$1:E5103))))))</f>
        <v/>
      </c>
      <c r="K5104" s="24" t="str">
        <f aca="false">IF(OR(E5104="",E5104="!!!",F5104="NEW"),"",INDEX(J$1:J5103,SUMPRODUCT(MAX(ROW(E$1:E5103)*(E5104=E$1:E5103)))))</f>
        <v/>
      </c>
      <c r="L5104" s="31"/>
    </row>
    <row r="5105" customFormat="false" ht="15" hidden="false" customHeight="false" outlineLevel="0" collapsed="false">
      <c r="A5105" s="20" t="s">
        <v>1216</v>
      </c>
      <c r="E5105" s="23" t="str">
        <f aca="false">IF(D5105="?OLD","!!!","")</f>
        <v/>
      </c>
      <c r="F5105" s="25" t="str">
        <f aca="false">IF(OR(E5105="",E5105="!!!"),"",IF(NOT(ISNA(VLOOKUP(E5105,E$1:E5104,1,FALSE()))),"OLD",IF(AND(E5105&lt;&gt;"",E5105&lt;&gt;"!!!"),"NEW","")))</f>
        <v/>
      </c>
      <c r="G5105" s="26" t="str">
        <f aca="false">IF(OR(E5105="",E5105="!!!"),"",IF(OR(J5105=0,AND(J5105=1,K5105=1),AND(J5105=1,I5105="SBJ"),AND(J5105=1,I5105=0)),"?IN_FOCUS",IF(J5105&lt;=2,"?ACTIVATED",IF(J5105&lt;&gt;"","?FAMILIAR",IF(F5105="NEW",IF(ISNA(VLOOKUP(E5105,#REF!,1,FALSE())),"?TYPE_IDENTIFIABLE","?REFERENTIAL"),"_")))))</f>
        <v/>
      </c>
      <c r="H5105" s="27" t="str">
        <f aca="false">IF(J5105&lt;&gt;1,"",IF(I5105="SBJ","CB","?"))</f>
        <v/>
      </c>
      <c r="I5105" s="24" t="str">
        <f aca="false">IF(OR(E5105="",E5105="!!!",F5105="NEW"),"",INDEX(B28:B$5078,-1+SUMPRODUCT(MAX(ROW(E28:E$5078)*(E5105=E28:E$5078)))))</f>
        <v/>
      </c>
      <c r="J5105" s="24" t="str">
        <f aca="true">IF(OR(E5105="",E5105="!!!",F5105="NEW"),"",COUNTBLANK(OFFSET(A$1,,,SUMPRODUCT(MAX(ROW(E$2:E5105)*(E5105=E$2:E5105)))))-COUNTBLANK(OFFSET(A$1,,,SUMPRODUCT(MAX(ROW(E$1:E5104)*(E2=E$1:E5104))))))</f>
        <v/>
      </c>
      <c r="K5105" s="24" t="str">
        <f aca="false">IF(OR(E5105="",E5105="!!!",F5105="NEW"),"",INDEX(J$1:J5104,SUMPRODUCT(MAX(ROW(E$1:E5104)*(E5105=E$1:E5104)))))</f>
        <v/>
      </c>
      <c r="L5105" s="31"/>
    </row>
    <row r="5106" customFormat="false" ht="15" hidden="false" customHeight="false" outlineLevel="0" collapsed="false">
      <c r="A5106" s="20" t="s">
        <v>1128</v>
      </c>
      <c r="E5106" s="23" t="str">
        <f aca="false">IF(D5106="?OLD","!!!","")</f>
        <v/>
      </c>
      <c r="F5106" s="25" t="str">
        <f aca="false">IF(OR(E5106="",E5106="!!!"),"",IF(NOT(ISNA(VLOOKUP(E5106,E$1:E5105,1,FALSE()))),"OLD",IF(AND(E5106&lt;&gt;"",E5106&lt;&gt;"!!!"),"NEW","")))</f>
        <v/>
      </c>
      <c r="G5106" s="26" t="str">
        <f aca="false">IF(OR(E5106="",E5106="!!!"),"",IF(OR(J5106=0,AND(J5106=1,K5106=1),AND(J5106=1,I5106="SBJ"),AND(J5106=1,I5106=0)),"?IN_FOCUS",IF(J5106&lt;=2,"?ACTIVATED",IF(J5106&lt;&gt;"","?FAMILIAR",IF(F5106="NEW",IF(ISNA(VLOOKUP(E5106,#REF!,1,FALSE())),"?TYPE_IDENTIFIABLE","?REFERENTIAL"),"_")))))</f>
        <v/>
      </c>
      <c r="H5106" s="27" t="str">
        <f aca="false">IF(J5106&lt;&gt;1,"",IF(I5106="SBJ","CB","?"))</f>
        <v/>
      </c>
      <c r="I5106" s="24" t="str">
        <f aca="false">IF(OR(E5106="",E5106="!!!",F5106="NEW"),"",INDEX(B29:B$5078,-1+SUMPRODUCT(MAX(ROW(E29:E$5078)*(E5106=E29:E$5078)))))</f>
        <v/>
      </c>
      <c r="J5106" s="24" t="str">
        <f aca="true">IF(OR(E5106="",E5106="!!!",F5106="NEW"),"",COUNTBLANK(OFFSET(A$1,,,SUMPRODUCT(MAX(ROW(E$2:E5106)*(E5106=E$2:E5106)))))-COUNTBLANK(OFFSET(A$1,,,SUMPRODUCT(MAX(ROW(E$1:E5105)*(E2=E$1:E5105))))))</f>
        <v/>
      </c>
      <c r="K5106" s="24" t="str">
        <f aca="false">IF(OR(E5106="",E5106="!!!",F5106="NEW"),"",INDEX(J$1:J5105,SUMPRODUCT(MAX(ROW(E$1:E5105)*(E5106=E$1:E5105)))))</f>
        <v/>
      </c>
      <c r="L5106" s="31"/>
    </row>
    <row r="5107" customFormat="false" ht="15" hidden="false" customHeight="false" outlineLevel="0" collapsed="false">
      <c r="A5107" s="20" t="s">
        <v>2034</v>
      </c>
      <c r="E5107" s="23" t="str">
        <f aca="false">IF(D5107="?OLD","!!!","")</f>
        <v/>
      </c>
      <c r="F5107" s="25" t="str">
        <f aca="false">IF(OR(E5107="",E5107="!!!"),"",IF(NOT(ISNA(VLOOKUP(E5107,E$1:E5106,1,FALSE()))),"OLD",IF(AND(E5107&lt;&gt;"",E5107&lt;&gt;"!!!"),"NEW","")))</f>
        <v/>
      </c>
      <c r="G5107" s="26" t="str">
        <f aca="false">IF(OR(E5107="",E5107="!!!"),"",IF(OR(J5107=0,AND(J5107=1,K5107=1),AND(J5107=1,I5107="SBJ"),AND(J5107=1,I5107=0)),"?IN_FOCUS",IF(J5107&lt;=2,"?ACTIVATED",IF(J5107&lt;&gt;"","?FAMILIAR",IF(F5107="NEW",IF(ISNA(VLOOKUP(E5107,#REF!,1,FALSE())),"?TYPE_IDENTIFIABLE","?REFERENTIAL"),"_")))))</f>
        <v/>
      </c>
      <c r="H5107" s="27" t="str">
        <f aca="false">IF(J5107&lt;&gt;1,"",IF(I5107="SBJ","CB","?"))</f>
        <v/>
      </c>
      <c r="I5107" s="24" t="str">
        <f aca="false">IF(OR(E5107="",E5107="!!!",F5107="NEW"),"",INDEX(B30:B$5078,-1+SUMPRODUCT(MAX(ROW(E30:E$5078)*(E5107=E30:E$5078)))))</f>
        <v/>
      </c>
      <c r="J5107" s="24" t="str">
        <f aca="true">IF(OR(E5107="",E5107="!!!",F5107="NEW"),"",COUNTBLANK(OFFSET(A$1,,,SUMPRODUCT(MAX(ROW(E$2:E5107)*(E5107=E$2:E5107)))))-COUNTBLANK(OFFSET(A$1,,,SUMPRODUCT(MAX(ROW(E$1:E5106)*(E2=E$1:E5106))))))</f>
        <v/>
      </c>
      <c r="K5107" s="24" t="str">
        <f aca="false">IF(OR(E5107="",E5107="!!!",F5107="NEW"),"",INDEX(J$1:J5106,SUMPRODUCT(MAX(ROW(E$1:E5106)*(E5107=E$1:E5106)))))</f>
        <v/>
      </c>
      <c r="L5107" s="31"/>
    </row>
    <row r="5108" customFormat="false" ht="15" hidden="false" customHeight="false" outlineLevel="0" collapsed="false">
      <c r="A5108" s="20" t="s">
        <v>16</v>
      </c>
      <c r="E5108" s="23" t="str">
        <f aca="false">IF(D5108="?OLD","!!!","")</f>
        <v/>
      </c>
      <c r="F5108" s="25" t="str">
        <f aca="false">IF(OR(E5108="",E5108="!!!"),"",IF(NOT(ISNA(VLOOKUP(E5108,E$1:E5107,1,FALSE()))),"OLD",IF(AND(E5108&lt;&gt;"",E5108&lt;&gt;"!!!"),"NEW","")))</f>
        <v/>
      </c>
      <c r="G5108" s="26" t="str">
        <f aca="false">IF(OR(E5108="",E5108="!!!"),"",IF(OR(J5108=0,AND(J5108=1,K5108=1),AND(J5108=1,I5108="SBJ"),AND(J5108=1,I5108=0)),"?IN_FOCUS",IF(J5108&lt;=2,"?ACTIVATED",IF(J5108&lt;&gt;"","?FAMILIAR",IF(F5108="NEW",IF(ISNA(VLOOKUP(E5108,#REF!,1,FALSE())),"?TYPE_IDENTIFIABLE","?REFERENTIAL"),"_")))))</f>
        <v/>
      </c>
      <c r="H5108" s="27" t="str">
        <f aca="false">IF(J5108&lt;&gt;1,"",IF(I5108="SBJ","CB","?"))</f>
        <v/>
      </c>
      <c r="I5108" s="24" t="str">
        <f aca="false">IF(OR(E5108="",E5108="!!!",F5108="NEW"),"",INDEX(B31:B$5078,-1+SUMPRODUCT(MAX(ROW(E31:E$5078)*(E5108=E31:E$5078)))))</f>
        <v/>
      </c>
      <c r="J5108" s="24" t="str">
        <f aca="true">IF(OR(E5108="",E5108="!!!",F5108="NEW"),"",COUNTBLANK(OFFSET(A$1,,,SUMPRODUCT(MAX(ROW(E$2:E5108)*(E5108=E$2:E5108)))))-COUNTBLANK(OFFSET(A$1,,,SUMPRODUCT(MAX(ROW(E$1:E5107)*(E2=E$1:E5107))))))</f>
        <v/>
      </c>
      <c r="K5108" s="24" t="str">
        <f aca="false">IF(OR(E5108="",E5108="!!!",F5108="NEW"),"",INDEX(J$1:J5107,SUMPRODUCT(MAX(ROW(E$1:E5107)*(E5108=E$1:E5107)))))</f>
        <v/>
      </c>
      <c r="L5108" s="31"/>
    </row>
    <row r="5109" customFormat="false" ht="15" hidden="false" customHeight="false" outlineLevel="0" collapsed="false">
      <c r="A5109" s="20" t="s">
        <v>2516</v>
      </c>
      <c r="E5109" s="23" t="str">
        <f aca="false">IF(D5109="?OLD","!!!","")</f>
        <v/>
      </c>
      <c r="F5109" s="25" t="str">
        <f aca="false">IF(OR(E5109="",E5109="!!!"),"",IF(NOT(ISNA(VLOOKUP(E5109,E$1:E5108,1,FALSE()))),"OLD",IF(AND(E5109&lt;&gt;"",E5109&lt;&gt;"!!!"),"NEW","")))</f>
        <v/>
      </c>
      <c r="G5109" s="26" t="str">
        <f aca="false">IF(OR(E5109="",E5109="!!!"),"",IF(OR(J5109=0,AND(J5109=1,K5109=1),AND(J5109=1,I5109="SBJ"),AND(J5109=1,I5109=0)),"?IN_FOCUS",IF(J5109&lt;=2,"?ACTIVATED",IF(J5109&lt;&gt;"","?FAMILIAR",IF(F5109="NEW",IF(ISNA(VLOOKUP(E5109,#REF!,1,FALSE())),"?TYPE_IDENTIFIABLE","?REFERENTIAL"),"_")))))</f>
        <v/>
      </c>
      <c r="H5109" s="27" t="str">
        <f aca="false">IF(J5109&lt;&gt;1,"",IF(I5109="SBJ","CB","?"))</f>
        <v/>
      </c>
      <c r="I5109" s="24" t="str">
        <f aca="false">IF(OR(E5109="",E5109="!!!",F5109="NEW"),"",INDEX(B32:B$5078,-1+SUMPRODUCT(MAX(ROW(E32:E$5078)*(E5109=E32:E$5078)))))</f>
        <v/>
      </c>
      <c r="J5109" s="24" t="str">
        <f aca="true">IF(OR(E5109="",E5109="!!!",F5109="NEW"),"",COUNTBLANK(OFFSET(A$1,,,SUMPRODUCT(MAX(ROW(E$2:E5109)*(E5109=E$2:E5109)))))-COUNTBLANK(OFFSET(A$1,,,SUMPRODUCT(MAX(ROW(E$1:E5108)*(E2=E$1:E5108))))))</f>
        <v/>
      </c>
      <c r="K5109" s="24" t="str">
        <f aca="false">IF(OR(E5109="",E5109="!!!",F5109="NEW"),"",INDEX(J$1:J5108,SUMPRODUCT(MAX(ROW(E$1:E5108)*(E5109=E$1:E5108)))))</f>
        <v/>
      </c>
      <c r="L5109" s="31"/>
    </row>
    <row r="5110" customFormat="false" ht="15" hidden="false" customHeight="false" outlineLevel="0" collapsed="false">
      <c r="A5110" s="20" t="s">
        <v>1786</v>
      </c>
      <c r="B5110" s="22" t="s">
        <v>1058</v>
      </c>
      <c r="C5110" s="22" t="s">
        <v>1171</v>
      </c>
      <c r="D5110" s="22" t="s">
        <v>1060</v>
      </c>
      <c r="E5110" s="23" t="str">
        <f aca="false">IF(D5110="?OLD","!!!","")</f>
        <v>!!!</v>
      </c>
      <c r="F5110" s="25" t="str">
        <f aca="false">IF(OR(E5110="",E5110="!!!"),"",IF(NOT(ISNA(VLOOKUP(E5110,E$1:E5109,1,FALSE()))),"OLD",IF(AND(E5110&lt;&gt;"",E5110&lt;&gt;"!!!"),"NEW","")))</f>
        <v/>
      </c>
      <c r="G5110" s="26" t="str">
        <f aca="false">IF(OR(E5110="",E5110="!!!"),"",IF(OR(J5110=0,AND(J5110=1,K5110=1),AND(J5110=1,I5110="SBJ"),AND(J5110=1,I5110=0)),"?IN_FOCUS",IF(J5110&lt;=2,"?ACTIVATED",IF(J5110&lt;&gt;"","?FAMILIAR",IF(F5110="NEW",IF(ISNA(VLOOKUP(E5110,#REF!,1,FALSE())),"?TYPE_IDENTIFIABLE","?REFERENTIAL"),"_")))))</f>
        <v/>
      </c>
      <c r="H5110" s="27" t="str">
        <f aca="false">IF(J5110&lt;&gt;1,"",IF(I5110="SBJ","CB","?"))</f>
        <v/>
      </c>
      <c r="I5110" s="24" t="str">
        <f aca="false">IF(OR(E5110="",E5110="!!!",F5110="NEW"),"",INDEX(B33:B$5078,-1+SUMPRODUCT(MAX(ROW(E33:E$5078)*(E5110=E33:E$5078)))))</f>
        <v/>
      </c>
      <c r="J5110" s="24" t="str">
        <f aca="true">IF(OR(E5110="",E5110="!!!",F5110="NEW"),"",COUNTBLANK(OFFSET(A$1,,,SUMPRODUCT(MAX(ROW(E$2:E5110)*(E5110=E$2:E5110)))))-COUNTBLANK(OFFSET(A$1,,,SUMPRODUCT(MAX(ROW(E$1:E5109)*(E2=E$1:E5109))))))</f>
        <v/>
      </c>
      <c r="K5110" s="24" t="str">
        <f aca="false">IF(OR(E5110="",E5110="!!!",F5110="NEW"),"",INDEX(J$1:J5109,SUMPRODUCT(MAX(ROW(E$1:E5109)*(E5110=E$1:E5109)))))</f>
        <v/>
      </c>
      <c r="L5110" s="31"/>
    </row>
    <row r="5111" customFormat="false" ht="15" hidden="false" customHeight="false" outlineLevel="0" collapsed="false">
      <c r="A5111" s="20" t="s">
        <v>1369</v>
      </c>
      <c r="E5111" s="23" t="str">
        <f aca="false">IF(D5111="?OLD","!!!","")</f>
        <v/>
      </c>
      <c r="F5111" s="25" t="str">
        <f aca="false">IF(OR(E5111="",E5111="!!!"),"",IF(NOT(ISNA(VLOOKUP(E5111,E$1:E5110,1,FALSE()))),"OLD",IF(AND(E5111&lt;&gt;"",E5111&lt;&gt;"!!!"),"NEW","")))</f>
        <v/>
      </c>
      <c r="G5111" s="26" t="str">
        <f aca="false">IF(OR(E5111="",E5111="!!!"),"",IF(OR(J5111=0,AND(J5111=1,K5111=1),AND(J5111=1,I5111="SBJ"),AND(J5111=1,I5111=0)),"?IN_FOCUS",IF(J5111&lt;=2,"?ACTIVATED",IF(J5111&lt;&gt;"","?FAMILIAR",IF(F5111="NEW",IF(ISNA(VLOOKUP(E5111,#REF!,1,FALSE())),"?TYPE_IDENTIFIABLE","?REFERENTIAL"),"_")))))</f>
        <v/>
      </c>
      <c r="H5111" s="27" t="str">
        <f aca="false">IF(J5111&lt;&gt;1,"",IF(I5111="SBJ","CB","?"))</f>
        <v/>
      </c>
      <c r="I5111" s="24" t="str">
        <f aca="false">IF(OR(E5111="",E5111="!!!",F5111="NEW"),"",INDEX(B34:B$5078,-1+SUMPRODUCT(MAX(ROW(E34:E$5078)*(E5111=E34:E$5078)))))</f>
        <v/>
      </c>
      <c r="J5111" s="24" t="str">
        <f aca="true">IF(OR(E5111="",E5111="!!!",F5111="NEW"),"",COUNTBLANK(OFFSET(A$1,,,SUMPRODUCT(MAX(ROW(E$2:E5111)*(E5111=E$2:E5111)))))-COUNTBLANK(OFFSET(A$1,,,SUMPRODUCT(MAX(ROW(E$1:E5110)*(E2=E$1:E5110))))))</f>
        <v/>
      </c>
      <c r="K5111" s="24" t="str">
        <f aca="false">IF(OR(E5111="",E5111="!!!",F5111="NEW"),"",INDEX(J$1:J5110,SUMPRODUCT(MAX(ROW(E$1:E5110)*(E5111=E$1:E5110)))))</f>
        <v/>
      </c>
      <c r="L5111" s="31"/>
    </row>
    <row r="5112" customFormat="false" ht="15" hidden="false" customHeight="false" outlineLevel="0" collapsed="false">
      <c r="A5112" s="20" t="s">
        <v>2008</v>
      </c>
      <c r="E5112" s="23" t="str">
        <f aca="false">IF(D5112="?OLD","!!!","")</f>
        <v/>
      </c>
      <c r="F5112" s="25" t="str">
        <f aca="false">IF(OR(E5112="",E5112="!!!"),"",IF(NOT(ISNA(VLOOKUP(E5112,E$1:E5111,1,FALSE()))),"OLD",IF(AND(E5112&lt;&gt;"",E5112&lt;&gt;"!!!"),"NEW","")))</f>
        <v/>
      </c>
      <c r="G5112" s="26" t="str">
        <f aca="false">IF(OR(E5112="",E5112="!!!"),"",IF(OR(J5112=0,AND(J5112=1,K5112=1),AND(J5112=1,I5112="SBJ"),AND(J5112=1,I5112=0)),"?IN_FOCUS",IF(J5112&lt;=2,"?ACTIVATED",IF(J5112&lt;&gt;"","?FAMILIAR",IF(F5112="NEW",IF(ISNA(VLOOKUP(E5112,#REF!,1,FALSE())),"?TYPE_IDENTIFIABLE","?REFERENTIAL"),"_")))))</f>
        <v/>
      </c>
      <c r="H5112" s="27" t="str">
        <f aca="false">IF(J5112&lt;&gt;1,"",IF(I5112="SBJ","CB","?"))</f>
        <v/>
      </c>
      <c r="I5112" s="24" t="str">
        <f aca="false">IF(OR(E5112="",E5112="!!!",F5112="NEW"),"",INDEX(B35:B$5078,-1+SUMPRODUCT(MAX(ROW(E35:E$5078)*(E5112=E35:E$5078)))))</f>
        <v/>
      </c>
      <c r="J5112" s="24" t="str">
        <f aca="true">IF(OR(E5112="",E5112="!!!",F5112="NEW"),"",COUNTBLANK(OFFSET(A$1,,,SUMPRODUCT(MAX(ROW(E$2:E5112)*(E5112=E$2:E5112)))))-COUNTBLANK(OFFSET(A$1,,,SUMPRODUCT(MAX(ROW(E$1:E5111)*(E2=E$1:E5111))))))</f>
        <v/>
      </c>
      <c r="K5112" s="24" t="str">
        <f aca="false">IF(OR(E5112="",E5112="!!!",F5112="NEW"),"",INDEX(J$1:J5111,SUMPRODUCT(MAX(ROW(E$1:E5111)*(E5112=E$1:E5111)))))</f>
        <v/>
      </c>
      <c r="L5112" s="31"/>
    </row>
    <row r="5113" customFormat="false" ht="15" hidden="false" customHeight="false" outlineLevel="0" collapsed="false">
      <c r="A5113" s="20" t="s">
        <v>2097</v>
      </c>
      <c r="E5113" s="23" t="str">
        <f aca="false">IF(D5113="?OLD","!!!","")</f>
        <v/>
      </c>
      <c r="F5113" s="25" t="str">
        <f aca="false">IF(OR(E5113="",E5113="!!!"),"",IF(NOT(ISNA(VLOOKUP(E5113,E$1:E5112,1,FALSE()))),"OLD",IF(AND(E5113&lt;&gt;"",E5113&lt;&gt;"!!!"),"NEW","")))</f>
        <v/>
      </c>
      <c r="G5113" s="26" t="str">
        <f aca="false">IF(OR(E5113="",E5113="!!!"),"",IF(OR(J5113=0,AND(J5113=1,K5113=1),AND(J5113=1,I5113="SBJ"),AND(J5113=1,I5113=0)),"?IN_FOCUS",IF(J5113&lt;=2,"?ACTIVATED",IF(J5113&lt;&gt;"","?FAMILIAR",IF(F5113="NEW",IF(ISNA(VLOOKUP(E5113,#REF!,1,FALSE())),"?TYPE_IDENTIFIABLE","?REFERENTIAL"),"_")))))</f>
        <v/>
      </c>
      <c r="H5113" s="27" t="str">
        <f aca="false">IF(J5113&lt;&gt;1,"",IF(I5113="SBJ","CB","?"))</f>
        <v/>
      </c>
      <c r="I5113" s="24" t="str">
        <f aca="false">IF(OR(E5113="",E5113="!!!",F5113="NEW"),"",INDEX(B36:B$5078,-1+SUMPRODUCT(MAX(ROW(E36:E$5078)*(E5113=E36:E$5078)))))</f>
        <v/>
      </c>
      <c r="J5113" s="24" t="str">
        <f aca="true">IF(OR(E5113="",E5113="!!!",F5113="NEW"),"",COUNTBLANK(OFFSET(A$1,,,SUMPRODUCT(MAX(ROW(E$2:E5113)*(E5113=E$2:E5113)))))-COUNTBLANK(OFFSET(A$1,,,SUMPRODUCT(MAX(ROW(E$1:E5112)*(E2=E$1:E5112))))))</f>
        <v/>
      </c>
      <c r="K5113" s="24" t="str">
        <f aca="false">IF(OR(E5113="",E5113="!!!",F5113="NEW"),"",INDEX(J$1:J5112,SUMPRODUCT(MAX(ROW(E$1:E5112)*(E5113=E$1:E5112)))))</f>
        <v/>
      </c>
      <c r="L5113" s="31"/>
    </row>
    <row r="5114" customFormat="false" ht="15" hidden="false" customHeight="false" outlineLevel="0" collapsed="false">
      <c r="A5114" s="20" t="s">
        <v>923</v>
      </c>
      <c r="E5114" s="23" t="str">
        <f aca="false">IF(D5114="?OLD","!!!","")</f>
        <v/>
      </c>
      <c r="F5114" s="25" t="str">
        <f aca="false">IF(OR(E5114="",E5114="!!!"),"",IF(NOT(ISNA(VLOOKUP(E5114,E$1:E5113,1,FALSE()))),"OLD",IF(AND(E5114&lt;&gt;"",E5114&lt;&gt;"!!!"),"NEW","")))</f>
        <v/>
      </c>
      <c r="G5114" s="26" t="str">
        <f aca="false">IF(OR(E5114="",E5114="!!!"),"",IF(OR(J5114=0,AND(J5114=1,K5114=1),AND(J5114=1,I5114="SBJ"),AND(J5114=1,I5114=0)),"?IN_FOCUS",IF(J5114&lt;=2,"?ACTIVATED",IF(J5114&lt;&gt;"","?FAMILIAR",IF(F5114="NEW",IF(ISNA(VLOOKUP(E5114,#REF!,1,FALSE())),"?TYPE_IDENTIFIABLE","?REFERENTIAL"),"_")))))</f>
        <v/>
      </c>
      <c r="H5114" s="27" t="str">
        <f aca="false">IF(J5114&lt;&gt;1,"",IF(I5114="SBJ","CB","?"))</f>
        <v/>
      </c>
      <c r="I5114" s="24" t="str">
        <f aca="false">IF(OR(E5114="",E5114="!!!",F5114="NEW"),"",INDEX(B37:B$5078,-1+SUMPRODUCT(MAX(ROW(E37:E$5078)*(E5114=E37:E$5078)))))</f>
        <v/>
      </c>
      <c r="J5114" s="24" t="str">
        <f aca="true">IF(OR(E5114="",E5114="!!!",F5114="NEW"),"",COUNTBLANK(OFFSET(A$1,,,SUMPRODUCT(MAX(ROW(E$2:E5114)*(E5114=E$2:E5114)))))-COUNTBLANK(OFFSET(A$1,,,SUMPRODUCT(MAX(ROW(E$1:E5113)*(E2=E$1:E5113))))))</f>
        <v/>
      </c>
      <c r="K5114" s="24" t="str">
        <f aca="false">IF(OR(E5114="",E5114="!!!",F5114="NEW"),"",INDEX(J$1:J5113,SUMPRODUCT(MAX(ROW(E$1:E5113)*(E5114=E$1:E5113)))))</f>
        <v/>
      </c>
      <c r="L5114" s="31"/>
    </row>
    <row r="5115" customFormat="false" ht="15" hidden="false" customHeight="false" outlineLevel="0" collapsed="false">
      <c r="A5115" s="20"/>
    </row>
    <row r="5116" customFormat="false" ht="15" hidden="false" customHeight="false" outlineLevel="0" collapsed="false">
      <c r="A5116" s="20" t="s">
        <v>2517</v>
      </c>
    </row>
    <row r="5117" customFormat="false" ht="15" hidden="false" customHeight="false" outlineLevel="0" collapsed="false">
      <c r="A5117" s="20" t="s">
        <v>2518</v>
      </c>
      <c r="E5117" s="23" t="str">
        <f aca="false">IF(D5117="?OLD","!!!","")</f>
        <v/>
      </c>
      <c r="F5117" s="25" t="str">
        <f aca="false">IF(OR(E5117="",E5117="!!!"),"",IF(NOT(ISNA(VLOOKUP(E5117,E$1:E5116,1,FALSE()))),"OLD",IF(AND(E5117&lt;&gt;"",E5117&lt;&gt;"!!!"),"NEW","")))</f>
        <v/>
      </c>
      <c r="G5117" s="26" t="str">
        <f aca="false">IF(OR(E5117="",E5117="!!!"),"",IF(OR(J5117=0,AND(J5117=1,K5117=1),AND(J5117=1,I5117="SBJ"),AND(J5117=1,I5117=0)),"?IN_FOCUS",IF(J5117&lt;=2,"?ACTIVATED",IF(J5117&lt;&gt;"","?FAMILIAR",IF(F5117="NEW",IF(ISNA(VLOOKUP(E5117,#REF!,1,FALSE())),"?TYPE_IDENTIFIABLE","?REFERENTIAL"),"_")))))</f>
        <v/>
      </c>
      <c r="H5117" s="27" t="str">
        <f aca="false">IF(J5117&lt;&gt;1,"",IF(I5117="SBJ","CB","?"))</f>
        <v/>
      </c>
      <c r="I5117" s="24" t="str">
        <f aca="false">IF(OR(E5117="",E5117="!!!",F5117="NEW"),"",INDEX(B2:B$5116,-1+SUMPRODUCT(MAX(ROW(E2:E$5116)*(E5117=E2:E$5116)))))</f>
        <v/>
      </c>
      <c r="J5117" s="24" t="str">
        <f aca="true">IF(OR(E5117="",E5117="!!!",F5117="NEW"),"",COUNTBLANK(OFFSET(A$1,,,SUMPRODUCT(MAX(ROW(E$2:E5117)*(E5117=E$2:E5117)))))-COUNTBLANK(OFFSET(A$1,,,SUMPRODUCT(MAX(ROW(E$1:E5116)*(E2=E$1:E5116))))))</f>
        <v/>
      </c>
      <c r="K5117" s="24" t="str">
        <f aca="false">IF(OR(E5117="",E5117="!!!",F5117="NEW"),"",INDEX(J$1:J5116,SUMPRODUCT(MAX(ROW(E$1:E5116)*(E5117=E$1:E5116)))))</f>
        <v/>
      </c>
      <c r="L5117" s="31"/>
    </row>
    <row r="5118" customFormat="false" ht="15" hidden="false" customHeight="false" outlineLevel="0" collapsed="false">
      <c r="A5118" s="20" t="s">
        <v>2519</v>
      </c>
      <c r="B5118" s="22" t="s">
        <v>1105</v>
      </c>
      <c r="C5118" s="22" t="s">
        <v>1389</v>
      </c>
      <c r="E5118" s="23" t="str">
        <f aca="false">IF(D5118="?OLD","!!!","")</f>
        <v/>
      </c>
      <c r="F5118" s="25" t="str">
        <f aca="false">IF(OR(E5118="",E5118="!!!"),"",IF(NOT(ISNA(VLOOKUP(E5118,E$1:E5117,1,FALSE()))),"OLD",IF(AND(E5118&lt;&gt;"",E5118&lt;&gt;"!!!"),"NEW","")))</f>
        <v/>
      </c>
      <c r="G5118" s="26" t="str">
        <f aca="false">IF(OR(E5118="",E5118="!!!"),"",IF(OR(J5118=0,AND(J5118=1,K5118=1),AND(J5118=1,I5118="SBJ"),AND(J5118=1,I5118=0)),"?IN_FOCUS",IF(J5118&lt;=2,"?ACTIVATED",IF(J5118&lt;&gt;"","?FAMILIAR",IF(F5118="NEW",IF(ISNA(VLOOKUP(E5118,#REF!,1,FALSE())),"?TYPE_IDENTIFIABLE","?REFERENTIAL"),"_")))))</f>
        <v/>
      </c>
      <c r="H5118" s="27" t="str">
        <f aca="false">IF(J5118&lt;&gt;1,"",IF(I5118="SBJ","CB","?"))</f>
        <v/>
      </c>
      <c r="I5118" s="24" t="str">
        <f aca="false">IF(OR(E5118="",E5118="!!!",F5118="NEW"),"",INDEX(B3:B$5116,-1+SUMPRODUCT(MAX(ROW(E3:E$5116)*(E5118=E3:E$5116)))))</f>
        <v/>
      </c>
      <c r="J5118" s="24" t="str">
        <f aca="true">IF(OR(E5118="",E5118="!!!",F5118="NEW"),"",COUNTBLANK(OFFSET(A$1,,,SUMPRODUCT(MAX(ROW(E$2:E5118)*(E5118=E$2:E5118)))))-COUNTBLANK(OFFSET(A$1,,,SUMPRODUCT(MAX(ROW(E$1:E5117)*(E2=E$1:E5117))))))</f>
        <v/>
      </c>
      <c r="K5118" s="24" t="str">
        <f aca="false">IF(OR(E5118="",E5118="!!!",F5118="NEW"),"",INDEX(J$1:J5117,SUMPRODUCT(MAX(ROW(E$1:E5117)*(E5118=E$1:E5117)))))</f>
        <v/>
      </c>
      <c r="L5118" s="31"/>
    </row>
    <row r="5119" customFormat="false" ht="15" hidden="false" customHeight="false" outlineLevel="0" collapsed="false">
      <c r="A5119" s="20" t="s">
        <v>1186</v>
      </c>
      <c r="B5119" s="22" t="s">
        <v>1086</v>
      </c>
      <c r="C5119" s="22" t="s">
        <v>1082</v>
      </c>
      <c r="D5119" s="22" t="s">
        <v>1060</v>
      </c>
      <c r="E5119" s="23" t="str">
        <f aca="false">IF(D5119="?OLD","!!!","")</f>
        <v>!!!</v>
      </c>
      <c r="F5119" s="25" t="str">
        <f aca="false">IF(OR(E5119="",E5119="!!!"),"",IF(NOT(ISNA(VLOOKUP(E5119,E$1:E5118,1,FALSE()))),"OLD",IF(AND(E5119&lt;&gt;"",E5119&lt;&gt;"!!!"),"NEW","")))</f>
        <v/>
      </c>
      <c r="G5119" s="26" t="str">
        <f aca="false">IF(OR(E5119="",E5119="!!!"),"",IF(OR(J5119=0,AND(J5119=1,K5119=1),AND(J5119=1,I5119="SBJ"),AND(J5119=1,I5119=0)),"?IN_FOCUS",IF(J5119&lt;=2,"?ACTIVATED",IF(J5119&lt;&gt;"","?FAMILIAR",IF(F5119="NEW",IF(ISNA(VLOOKUP(E5119,#REF!,1,FALSE())),"?TYPE_IDENTIFIABLE","?REFERENTIAL"),"_")))))</f>
        <v/>
      </c>
      <c r="H5119" s="27" t="str">
        <f aca="false">IF(J5119&lt;&gt;1,"",IF(I5119="SBJ","CB","?"))</f>
        <v/>
      </c>
      <c r="I5119" s="24" t="str">
        <f aca="false">IF(OR(E5119="",E5119="!!!",F5119="NEW"),"",INDEX(B4:B$5116,-1+SUMPRODUCT(MAX(ROW(E4:E$5116)*(E5119=E4:E$5116)))))</f>
        <v/>
      </c>
      <c r="J5119" s="24" t="str">
        <f aca="true">IF(OR(E5119="",E5119="!!!",F5119="NEW"),"",COUNTBLANK(OFFSET(A$1,,,SUMPRODUCT(MAX(ROW(E$2:E5119)*(E5119=E$2:E5119)))))-COUNTBLANK(OFFSET(A$1,,,SUMPRODUCT(MAX(ROW(E$1:E5118)*(E2=E$1:E5118))))))</f>
        <v/>
      </c>
      <c r="K5119" s="24" t="str">
        <f aca="false">IF(OR(E5119="",E5119="!!!",F5119="NEW"),"",INDEX(J$1:J5118,SUMPRODUCT(MAX(ROW(E$1:E5118)*(E5119=E$1:E5118)))))</f>
        <v/>
      </c>
      <c r="L5119" s="31"/>
    </row>
    <row r="5120" customFormat="false" ht="15" hidden="false" customHeight="false" outlineLevel="0" collapsed="false">
      <c r="A5120" s="20" t="s">
        <v>2403</v>
      </c>
      <c r="E5120" s="23" t="str">
        <f aca="false">IF(D5120="?OLD","!!!","")</f>
        <v/>
      </c>
      <c r="F5120" s="25" t="str">
        <f aca="false">IF(OR(E5120="",E5120="!!!"),"",IF(NOT(ISNA(VLOOKUP(E5120,E$1:E5119,1,FALSE()))),"OLD",IF(AND(E5120&lt;&gt;"",E5120&lt;&gt;"!!!"),"NEW","")))</f>
        <v/>
      </c>
      <c r="G5120" s="26" t="str">
        <f aca="false">IF(OR(E5120="",E5120="!!!"),"",IF(OR(J5120=0,AND(J5120=1,K5120=1),AND(J5120=1,I5120="SBJ"),AND(J5120=1,I5120=0)),"?IN_FOCUS",IF(J5120&lt;=2,"?ACTIVATED",IF(J5120&lt;&gt;"","?FAMILIAR",IF(F5120="NEW",IF(ISNA(VLOOKUP(E5120,#REF!,1,FALSE())),"?TYPE_IDENTIFIABLE","?REFERENTIAL"),"_")))))</f>
        <v/>
      </c>
      <c r="H5120" s="27" t="str">
        <f aca="false">IF(J5120&lt;&gt;1,"",IF(I5120="SBJ","CB","?"))</f>
        <v/>
      </c>
      <c r="I5120" s="24" t="str">
        <f aca="false">IF(OR(E5120="",E5120="!!!",F5120="NEW"),"",INDEX(B5:B$5116,-1+SUMPRODUCT(MAX(ROW(E5:E$5116)*(E5120=E5:E$5116)))))</f>
        <v/>
      </c>
      <c r="J5120" s="24" t="str">
        <f aca="true">IF(OR(E5120="",E5120="!!!",F5120="NEW"),"",COUNTBLANK(OFFSET(A$1,,,SUMPRODUCT(MAX(ROW(E$2:E5120)*(E5120=E$2:E5120)))))-COUNTBLANK(OFFSET(A$1,,,SUMPRODUCT(MAX(ROW(E$1:E5119)*(E2=E$1:E5119))))))</f>
        <v/>
      </c>
      <c r="K5120" s="24" t="str">
        <f aca="false">IF(OR(E5120="",E5120="!!!",F5120="NEW"),"",INDEX(J$1:J5119,SUMPRODUCT(MAX(ROW(E$1:E5119)*(E5120=E$1:E5119)))))</f>
        <v/>
      </c>
      <c r="L5120" s="31"/>
    </row>
    <row r="5121" customFormat="false" ht="15" hidden="false" customHeight="false" outlineLevel="0" collapsed="false">
      <c r="A5121" s="20" t="s">
        <v>1064</v>
      </c>
      <c r="E5121" s="23" t="str">
        <f aca="false">IF(D5121="?OLD","!!!","")</f>
        <v/>
      </c>
      <c r="F5121" s="25" t="str">
        <f aca="false">IF(OR(E5121="",E5121="!!!"),"",IF(NOT(ISNA(VLOOKUP(E5121,E$1:E5120,1,FALSE()))),"OLD",IF(AND(E5121&lt;&gt;"",E5121&lt;&gt;"!!!"),"NEW","")))</f>
        <v/>
      </c>
      <c r="G5121" s="26" t="str">
        <f aca="false">IF(OR(E5121="",E5121="!!!"),"",IF(OR(J5121=0,AND(J5121=1,K5121=1),AND(J5121=1,I5121="SBJ"),AND(J5121=1,I5121=0)),"?IN_FOCUS",IF(J5121&lt;=2,"?ACTIVATED",IF(J5121&lt;&gt;"","?FAMILIAR",IF(F5121="NEW",IF(ISNA(VLOOKUP(E5121,#REF!,1,FALSE())),"?TYPE_IDENTIFIABLE","?REFERENTIAL"),"_")))))</f>
        <v/>
      </c>
      <c r="H5121" s="27" t="str">
        <f aca="false">IF(J5121&lt;&gt;1,"",IF(I5121="SBJ","CB","?"))</f>
        <v/>
      </c>
      <c r="I5121" s="24" t="str">
        <f aca="false">IF(OR(E5121="",E5121="!!!",F5121="NEW"),"",INDEX(B6:B$5116,-1+SUMPRODUCT(MAX(ROW(E6:E$5116)*(E5121=E6:E$5116)))))</f>
        <v/>
      </c>
      <c r="J5121" s="24" t="str">
        <f aca="true">IF(OR(E5121="",E5121="!!!",F5121="NEW"),"",COUNTBLANK(OFFSET(A$1,,,SUMPRODUCT(MAX(ROW(E$2:E5121)*(E5121=E$2:E5121)))))-COUNTBLANK(OFFSET(A$1,,,SUMPRODUCT(MAX(ROW(E$1:E5120)*(E2=E$1:E5120))))))</f>
        <v/>
      </c>
      <c r="K5121" s="24" t="str">
        <f aca="false">IF(OR(E5121="",E5121="!!!",F5121="NEW"),"",INDEX(J$1:J5120,SUMPRODUCT(MAX(ROW(E$1:E5120)*(E5121=E$1:E5120)))))</f>
        <v/>
      </c>
      <c r="L5121" s="31"/>
    </row>
    <row r="5122" customFormat="false" ht="15" hidden="false" customHeight="false" outlineLevel="0" collapsed="false">
      <c r="A5122" s="20" t="s">
        <v>1137</v>
      </c>
      <c r="B5122" s="22" t="s">
        <v>1073</v>
      </c>
      <c r="C5122" s="22" t="s">
        <v>1082</v>
      </c>
      <c r="D5122" s="22" t="s">
        <v>1060</v>
      </c>
      <c r="E5122" s="23" t="str">
        <f aca="false">IF(D5122="?OLD","!!!","")</f>
        <v>!!!</v>
      </c>
      <c r="F5122" s="25" t="str">
        <f aca="false">IF(OR(E5122="",E5122="!!!"),"",IF(NOT(ISNA(VLOOKUP(E5122,E$1:E5121,1,FALSE()))),"OLD",IF(AND(E5122&lt;&gt;"",E5122&lt;&gt;"!!!"),"NEW","")))</f>
        <v/>
      </c>
      <c r="G5122" s="26" t="str">
        <f aca="false">IF(OR(E5122="",E5122="!!!"),"",IF(OR(J5122=0,AND(J5122=1,K5122=1),AND(J5122=1,I5122="SBJ"),AND(J5122=1,I5122=0)),"?IN_FOCUS",IF(J5122&lt;=2,"?ACTIVATED",IF(J5122&lt;&gt;"","?FAMILIAR",IF(F5122="NEW",IF(ISNA(VLOOKUP(E5122,#REF!,1,FALSE())),"?TYPE_IDENTIFIABLE","?REFERENTIAL"),"_")))))</f>
        <v/>
      </c>
      <c r="H5122" s="27" t="str">
        <f aca="false">IF(J5122&lt;&gt;1,"",IF(I5122="SBJ","CB","?"))</f>
        <v/>
      </c>
      <c r="I5122" s="24" t="str">
        <f aca="false">IF(OR(E5122="",E5122="!!!",F5122="NEW"),"",INDEX(B7:B$5116,-1+SUMPRODUCT(MAX(ROW(E7:E$5116)*(E5122=E7:E$5116)))))</f>
        <v/>
      </c>
      <c r="J5122" s="24" t="str">
        <f aca="true">IF(OR(E5122="",E5122="!!!",F5122="NEW"),"",COUNTBLANK(OFFSET(A$1,,,SUMPRODUCT(MAX(ROW(E$2:E5122)*(E5122=E$2:E5122)))))-COUNTBLANK(OFFSET(A$1,,,SUMPRODUCT(MAX(ROW(E$1:E5121)*(E2=E$1:E5121))))))</f>
        <v/>
      </c>
      <c r="K5122" s="24" t="str">
        <f aca="false">IF(OR(E5122="",E5122="!!!",F5122="NEW"),"",INDEX(J$1:J5121,SUMPRODUCT(MAX(ROW(E$1:E5121)*(E5122=E$1:E5121)))))</f>
        <v/>
      </c>
      <c r="L5122" s="31"/>
    </row>
    <row r="5123" customFormat="false" ht="15" hidden="false" customHeight="false" outlineLevel="0" collapsed="false">
      <c r="A5123" s="20" t="s">
        <v>1173</v>
      </c>
      <c r="E5123" s="23" t="str">
        <f aca="false">IF(D5123="?OLD","!!!","")</f>
        <v/>
      </c>
      <c r="F5123" s="25" t="str">
        <f aca="false">IF(OR(E5123="",E5123="!!!"),"",IF(NOT(ISNA(VLOOKUP(E5123,E$1:E5122,1,FALSE()))),"OLD",IF(AND(E5123&lt;&gt;"",E5123&lt;&gt;"!!!"),"NEW","")))</f>
        <v/>
      </c>
      <c r="G5123" s="26" t="str">
        <f aca="false">IF(OR(E5123="",E5123="!!!"),"",IF(OR(J5123=0,AND(J5123=1,K5123=1),AND(J5123=1,I5123="SBJ"),AND(J5123=1,I5123=0)),"?IN_FOCUS",IF(J5123&lt;=2,"?ACTIVATED",IF(J5123&lt;&gt;"","?FAMILIAR",IF(F5123="NEW",IF(ISNA(VLOOKUP(E5123,#REF!,1,FALSE())),"?TYPE_IDENTIFIABLE","?REFERENTIAL"),"_")))))</f>
        <v/>
      </c>
      <c r="H5123" s="27" t="str">
        <f aca="false">IF(J5123&lt;&gt;1,"",IF(I5123="SBJ","CB","?"))</f>
        <v/>
      </c>
      <c r="I5123" s="24" t="str">
        <f aca="false">IF(OR(E5123="",E5123="!!!",F5123="NEW"),"",INDEX(B8:B$5116,-1+SUMPRODUCT(MAX(ROW(E8:E$5116)*(E5123=E8:E$5116)))))</f>
        <v/>
      </c>
      <c r="J5123" s="24" t="str">
        <f aca="true">IF(OR(E5123="",E5123="!!!",F5123="NEW"),"",COUNTBLANK(OFFSET(A$1,,,SUMPRODUCT(MAX(ROW(E$2:E5123)*(E5123=E$2:E5123)))))-COUNTBLANK(OFFSET(A$1,,,SUMPRODUCT(MAX(ROW(E$1:E5122)*(E2=E$1:E5122))))))</f>
        <v/>
      </c>
      <c r="K5123" s="24" t="str">
        <f aca="false">IF(OR(E5123="",E5123="!!!",F5123="NEW"),"",INDEX(J$1:J5122,SUMPRODUCT(MAX(ROW(E$1:E5122)*(E5123=E$1:E5122)))))</f>
        <v/>
      </c>
      <c r="L5123" s="31"/>
    </row>
    <row r="5124" customFormat="false" ht="15" hidden="false" customHeight="false" outlineLevel="0" collapsed="false">
      <c r="A5124" s="20" t="s">
        <v>1109</v>
      </c>
      <c r="E5124" s="23" t="str">
        <f aca="false">IF(D5124="?OLD","!!!","")</f>
        <v/>
      </c>
      <c r="F5124" s="25" t="str">
        <f aca="false">IF(OR(E5124="",E5124="!!!"),"",IF(NOT(ISNA(VLOOKUP(E5124,E$1:E5123,1,FALSE()))),"OLD",IF(AND(E5124&lt;&gt;"",E5124&lt;&gt;"!!!"),"NEW","")))</f>
        <v/>
      </c>
      <c r="G5124" s="26" t="str">
        <f aca="false">IF(OR(E5124="",E5124="!!!"),"",IF(OR(J5124=0,AND(J5124=1,K5124=1),AND(J5124=1,I5124="SBJ"),AND(J5124=1,I5124=0)),"?IN_FOCUS",IF(J5124&lt;=2,"?ACTIVATED",IF(J5124&lt;&gt;"","?FAMILIAR",IF(F5124="NEW",IF(ISNA(VLOOKUP(E5124,#REF!,1,FALSE())),"?TYPE_IDENTIFIABLE","?REFERENTIAL"),"_")))))</f>
        <v/>
      </c>
      <c r="H5124" s="27" t="str">
        <f aca="false">IF(J5124&lt;&gt;1,"",IF(I5124="SBJ","CB","?"))</f>
        <v/>
      </c>
      <c r="I5124" s="24" t="str">
        <f aca="false">IF(OR(E5124="",E5124="!!!",F5124="NEW"),"",INDEX(B9:B$5116,-1+SUMPRODUCT(MAX(ROW(E9:E$5116)*(E5124=E9:E$5116)))))</f>
        <v/>
      </c>
      <c r="J5124" s="24" t="str">
        <f aca="true">IF(OR(E5124="",E5124="!!!",F5124="NEW"),"",COUNTBLANK(OFFSET(A$1,,,SUMPRODUCT(MAX(ROW(E$2:E5124)*(E5124=E$2:E5124)))))-COUNTBLANK(OFFSET(A$1,,,SUMPRODUCT(MAX(ROW(E$1:E5123)*(E2=E$1:E5123))))))</f>
        <v/>
      </c>
      <c r="K5124" s="24" t="str">
        <f aca="false">IF(OR(E5124="",E5124="!!!",F5124="NEW"),"",INDEX(J$1:J5123,SUMPRODUCT(MAX(ROW(E$1:E5123)*(E5124=E$1:E5123)))))</f>
        <v/>
      </c>
      <c r="L5124" s="31"/>
    </row>
    <row r="5125" customFormat="false" ht="15" hidden="false" customHeight="false" outlineLevel="0" collapsed="false">
      <c r="A5125" s="20" t="s">
        <v>2404</v>
      </c>
      <c r="E5125" s="23" t="str">
        <f aca="false">IF(D5125="?OLD","!!!","")</f>
        <v/>
      </c>
      <c r="F5125" s="25" t="str">
        <f aca="false">IF(OR(E5125="",E5125="!!!"),"",IF(NOT(ISNA(VLOOKUP(E5125,E$1:E5124,1,FALSE()))),"OLD",IF(AND(E5125&lt;&gt;"",E5125&lt;&gt;"!!!"),"NEW","")))</f>
        <v/>
      </c>
      <c r="G5125" s="26" t="str">
        <f aca="false">IF(OR(E5125="",E5125="!!!"),"",IF(OR(J5125=0,AND(J5125=1,K5125=1),AND(J5125=1,I5125="SBJ"),AND(J5125=1,I5125=0)),"?IN_FOCUS",IF(J5125&lt;=2,"?ACTIVATED",IF(J5125&lt;&gt;"","?FAMILIAR",IF(F5125="NEW",IF(ISNA(VLOOKUP(E5125,#REF!,1,FALSE())),"?TYPE_IDENTIFIABLE","?REFERENTIAL"),"_")))))</f>
        <v/>
      </c>
      <c r="H5125" s="27" t="str">
        <f aca="false">IF(J5125&lt;&gt;1,"",IF(I5125="SBJ","CB","?"))</f>
        <v/>
      </c>
      <c r="I5125" s="24" t="str">
        <f aca="false">IF(OR(E5125="",E5125="!!!",F5125="NEW"),"",INDEX(B10:B$5116,-1+SUMPRODUCT(MAX(ROW(E10:E$5116)*(E5125=E10:E$5116)))))</f>
        <v/>
      </c>
      <c r="J5125" s="24" t="str">
        <f aca="true">IF(OR(E5125="",E5125="!!!",F5125="NEW"),"",COUNTBLANK(OFFSET(A$1,,,SUMPRODUCT(MAX(ROW(E$2:E5125)*(E5125=E$2:E5125)))))-COUNTBLANK(OFFSET(A$1,,,SUMPRODUCT(MAX(ROW(E$1:E5124)*(E2=E$1:E5124))))))</f>
        <v/>
      </c>
      <c r="K5125" s="24" t="str">
        <f aca="false">IF(OR(E5125="",E5125="!!!",F5125="NEW"),"",INDEX(J$1:J5124,SUMPRODUCT(MAX(ROW(E$1:E5124)*(E5125=E$1:E5124)))))</f>
        <v/>
      </c>
      <c r="L5125" s="31"/>
    </row>
    <row r="5126" customFormat="false" ht="15" hidden="false" customHeight="false" outlineLevel="0" collapsed="false">
      <c r="A5126" s="20" t="s">
        <v>16</v>
      </c>
      <c r="E5126" s="23" t="str">
        <f aca="false">IF(D5126="?OLD","!!!","")</f>
        <v/>
      </c>
      <c r="F5126" s="25" t="str">
        <f aca="false">IF(OR(E5126="",E5126="!!!"),"",IF(NOT(ISNA(VLOOKUP(E5126,E$1:E5125,1,FALSE()))),"OLD",IF(AND(E5126&lt;&gt;"",E5126&lt;&gt;"!!!"),"NEW","")))</f>
        <v/>
      </c>
      <c r="G5126" s="26" t="str">
        <f aca="false">IF(OR(E5126="",E5126="!!!"),"",IF(OR(J5126=0,AND(J5126=1,K5126=1),AND(J5126=1,I5126="SBJ"),AND(J5126=1,I5126=0)),"?IN_FOCUS",IF(J5126&lt;=2,"?ACTIVATED",IF(J5126&lt;&gt;"","?FAMILIAR",IF(F5126="NEW",IF(ISNA(VLOOKUP(E5126,#REF!,1,FALSE())),"?TYPE_IDENTIFIABLE","?REFERENTIAL"),"_")))))</f>
        <v/>
      </c>
      <c r="H5126" s="27" t="str">
        <f aca="false">IF(J5126&lt;&gt;1,"",IF(I5126="SBJ","CB","?"))</f>
        <v/>
      </c>
      <c r="I5126" s="24" t="str">
        <f aca="false">IF(OR(E5126="",E5126="!!!",F5126="NEW"),"",INDEX(B11:B$5116,-1+SUMPRODUCT(MAX(ROW(E11:E$5116)*(E5126=E11:E$5116)))))</f>
        <v/>
      </c>
      <c r="J5126" s="24" t="str">
        <f aca="true">IF(OR(E5126="",E5126="!!!",F5126="NEW"),"",COUNTBLANK(OFFSET(A$1,,,SUMPRODUCT(MAX(ROW(E$2:E5126)*(E5126=E$2:E5126)))))-COUNTBLANK(OFFSET(A$1,,,SUMPRODUCT(MAX(ROW(E$1:E5125)*(E2=E$1:E5125))))))</f>
        <v/>
      </c>
      <c r="K5126" s="24" t="str">
        <f aca="false">IF(OR(E5126="",E5126="!!!",F5126="NEW"),"",INDEX(J$1:J5125,SUMPRODUCT(MAX(ROW(E$1:E5125)*(E5126=E$1:E5125)))))</f>
        <v/>
      </c>
      <c r="L5126" s="31"/>
    </row>
    <row r="5127" customFormat="false" ht="15" hidden="false" customHeight="false" outlineLevel="0" collapsed="false">
      <c r="A5127" s="20" t="s">
        <v>2520</v>
      </c>
      <c r="E5127" s="23" t="str">
        <f aca="false">IF(D5127="?OLD","!!!","")</f>
        <v/>
      </c>
      <c r="F5127" s="25" t="str">
        <f aca="false">IF(OR(E5127="",E5127="!!!"),"",IF(NOT(ISNA(VLOOKUP(E5127,E$1:E5126,1,FALSE()))),"OLD",IF(AND(E5127&lt;&gt;"",E5127&lt;&gt;"!!!"),"NEW","")))</f>
        <v/>
      </c>
      <c r="G5127" s="26" t="str">
        <f aca="false">IF(OR(E5127="",E5127="!!!"),"",IF(OR(J5127=0,AND(J5127=1,K5127=1),AND(J5127=1,I5127="SBJ"),AND(J5127=1,I5127=0)),"?IN_FOCUS",IF(J5127&lt;=2,"?ACTIVATED",IF(J5127&lt;&gt;"","?FAMILIAR",IF(F5127="NEW",IF(ISNA(VLOOKUP(E5127,#REF!,1,FALSE())),"?TYPE_IDENTIFIABLE","?REFERENTIAL"),"_")))))</f>
        <v/>
      </c>
      <c r="H5127" s="27" t="str">
        <f aca="false">IF(J5127&lt;&gt;1,"",IF(I5127="SBJ","CB","?"))</f>
        <v/>
      </c>
      <c r="I5127" s="24" t="str">
        <f aca="false">IF(OR(E5127="",E5127="!!!",F5127="NEW"),"",INDEX(B12:B$5116,-1+SUMPRODUCT(MAX(ROW(E12:E$5116)*(E5127=E12:E$5116)))))</f>
        <v/>
      </c>
      <c r="J5127" s="24" t="str">
        <f aca="true">IF(OR(E5127="",E5127="!!!",F5127="NEW"),"",COUNTBLANK(OFFSET(A$1,,,SUMPRODUCT(MAX(ROW(E$2:E5127)*(E5127=E$2:E5127)))))-COUNTBLANK(OFFSET(A$1,,,SUMPRODUCT(MAX(ROW(E$1:E5126)*(E2=E$1:E5126))))))</f>
        <v/>
      </c>
      <c r="K5127" s="24" t="str">
        <f aca="false">IF(OR(E5127="",E5127="!!!",F5127="NEW"),"",INDEX(J$1:J5126,SUMPRODUCT(MAX(ROW(E$1:E5126)*(E5127=E$1:E5126)))))</f>
        <v/>
      </c>
      <c r="L5127" s="31"/>
    </row>
    <row r="5128" customFormat="false" ht="15" hidden="false" customHeight="false" outlineLevel="0" collapsed="false">
      <c r="A5128" s="20" t="s">
        <v>2318</v>
      </c>
      <c r="B5128" s="22" t="s">
        <v>1073</v>
      </c>
      <c r="C5128" s="22" t="s">
        <v>1150</v>
      </c>
      <c r="D5128" s="22" t="s">
        <v>1060</v>
      </c>
      <c r="E5128" s="23" t="str">
        <f aca="false">IF(D5128="?OLD","!!!","")</f>
        <v>!!!</v>
      </c>
      <c r="F5128" s="25" t="str">
        <f aca="false">IF(OR(E5128="",E5128="!!!"),"",IF(NOT(ISNA(VLOOKUP(E5128,E$1:E5127,1,FALSE()))),"OLD",IF(AND(E5128&lt;&gt;"",E5128&lt;&gt;"!!!"),"NEW","")))</f>
        <v/>
      </c>
      <c r="G5128" s="26" t="str">
        <f aca="false">IF(OR(E5128="",E5128="!!!"),"",IF(OR(J5128=0,AND(J5128=1,K5128=1),AND(J5128=1,I5128="SBJ"),AND(J5128=1,I5128=0)),"?IN_FOCUS",IF(J5128&lt;=2,"?ACTIVATED",IF(J5128&lt;&gt;"","?FAMILIAR",IF(F5128="NEW",IF(ISNA(VLOOKUP(E5128,#REF!,1,FALSE())),"?TYPE_IDENTIFIABLE","?REFERENTIAL"),"_")))))</f>
        <v/>
      </c>
      <c r="H5128" s="27" t="str">
        <f aca="false">IF(J5128&lt;&gt;1,"",IF(I5128="SBJ","CB","?"))</f>
        <v/>
      </c>
      <c r="I5128" s="24" t="str">
        <f aca="false">IF(OR(E5128="",E5128="!!!",F5128="NEW"),"",INDEX(B13:B$5116,-1+SUMPRODUCT(MAX(ROW(E13:E$5116)*(E5128=E13:E$5116)))))</f>
        <v/>
      </c>
      <c r="J5128" s="24" t="str">
        <f aca="true">IF(OR(E5128="",E5128="!!!",F5128="NEW"),"",COUNTBLANK(OFFSET(A$1,,,SUMPRODUCT(MAX(ROW(E$2:E5128)*(E5128=E$2:E5128)))))-COUNTBLANK(OFFSET(A$1,,,SUMPRODUCT(MAX(ROW(E$1:E5127)*(E2=E$1:E5127))))))</f>
        <v/>
      </c>
      <c r="K5128" s="24" t="str">
        <f aca="false">IF(OR(E5128="",E5128="!!!",F5128="NEW"),"",INDEX(J$1:J5127,SUMPRODUCT(MAX(ROW(E$1:E5127)*(E5128=E$1:E5127)))))</f>
        <v/>
      </c>
      <c r="L5128" s="31"/>
    </row>
    <row r="5129" customFormat="false" ht="15" hidden="false" customHeight="false" outlineLevel="0" collapsed="false">
      <c r="A5129" s="20" t="s">
        <v>1569</v>
      </c>
      <c r="E5129" s="23" t="str">
        <f aca="false">IF(D5129="?OLD","!!!","")</f>
        <v/>
      </c>
      <c r="F5129" s="25" t="str">
        <f aca="false">IF(OR(E5129="",E5129="!!!"),"",IF(NOT(ISNA(VLOOKUP(E5129,E$1:E5128,1,FALSE()))),"OLD",IF(AND(E5129&lt;&gt;"",E5129&lt;&gt;"!!!"),"NEW","")))</f>
        <v/>
      </c>
      <c r="G5129" s="26" t="str">
        <f aca="false">IF(OR(E5129="",E5129="!!!"),"",IF(OR(J5129=0,AND(J5129=1,K5129=1),AND(J5129=1,I5129="SBJ"),AND(J5129=1,I5129=0)),"?IN_FOCUS",IF(J5129&lt;=2,"?ACTIVATED",IF(J5129&lt;&gt;"","?FAMILIAR",IF(F5129="NEW",IF(ISNA(VLOOKUP(E5129,#REF!,1,FALSE())),"?TYPE_IDENTIFIABLE","?REFERENTIAL"),"_")))))</f>
        <v/>
      </c>
      <c r="H5129" s="27" t="str">
        <f aca="false">IF(J5129&lt;&gt;1,"",IF(I5129="SBJ","CB","?"))</f>
        <v/>
      </c>
      <c r="I5129" s="24" t="str">
        <f aca="false">IF(OR(E5129="",E5129="!!!",F5129="NEW"),"",INDEX(B14:B$5116,-1+SUMPRODUCT(MAX(ROW(E14:E$5116)*(E5129=E14:E$5116)))))</f>
        <v/>
      </c>
      <c r="J5129" s="24" t="str">
        <f aca="true">IF(OR(E5129="",E5129="!!!",F5129="NEW"),"",COUNTBLANK(OFFSET(A$1,,,SUMPRODUCT(MAX(ROW(E$2:E5129)*(E5129=E$2:E5129)))))-COUNTBLANK(OFFSET(A$1,,,SUMPRODUCT(MAX(ROW(E$1:E5128)*(E2=E$1:E5128))))))</f>
        <v/>
      </c>
      <c r="K5129" s="24" t="str">
        <f aca="false">IF(OR(E5129="",E5129="!!!",F5129="NEW"),"",INDEX(J$1:J5128,SUMPRODUCT(MAX(ROW(E$1:E5128)*(E5129=E$1:E5128)))))</f>
        <v/>
      </c>
      <c r="L5129" s="31"/>
    </row>
    <row r="5130" customFormat="false" ht="15" hidden="false" customHeight="false" outlineLevel="0" collapsed="false">
      <c r="A5130" s="20" t="s">
        <v>1090</v>
      </c>
      <c r="B5130" s="22" t="s">
        <v>1197</v>
      </c>
      <c r="C5130" s="22" t="s">
        <v>1082</v>
      </c>
      <c r="D5130" s="22" t="s">
        <v>1060</v>
      </c>
      <c r="E5130" s="23" t="str">
        <f aca="false">IF(D5130="?OLD","!!!","")</f>
        <v>!!!</v>
      </c>
      <c r="F5130" s="25" t="str">
        <f aca="false">IF(OR(E5130="",E5130="!!!"),"",IF(NOT(ISNA(VLOOKUP(E5130,E$1:E5129,1,FALSE()))),"OLD",IF(AND(E5130&lt;&gt;"",E5130&lt;&gt;"!!!"),"NEW","")))</f>
        <v/>
      </c>
      <c r="G5130" s="26" t="str">
        <f aca="false">IF(OR(E5130="",E5130="!!!"),"",IF(OR(J5130=0,AND(J5130=1,K5130=1),AND(J5130=1,I5130="SBJ"),AND(J5130=1,I5130=0)),"?IN_FOCUS",IF(J5130&lt;=2,"?ACTIVATED",IF(J5130&lt;&gt;"","?FAMILIAR",IF(F5130="NEW",IF(ISNA(VLOOKUP(E5130,#REF!,1,FALSE())),"?TYPE_IDENTIFIABLE","?REFERENTIAL"),"_")))))</f>
        <v/>
      </c>
      <c r="H5130" s="27" t="str">
        <f aca="false">IF(J5130&lt;&gt;1,"",IF(I5130="SBJ","CB","?"))</f>
        <v/>
      </c>
      <c r="I5130" s="24" t="str">
        <f aca="false">IF(OR(E5130="",E5130="!!!",F5130="NEW"),"",INDEX(B15:B$5116,-1+SUMPRODUCT(MAX(ROW(E15:E$5116)*(E5130=E15:E$5116)))))</f>
        <v/>
      </c>
      <c r="J5130" s="24" t="str">
        <f aca="true">IF(OR(E5130="",E5130="!!!",F5130="NEW"),"",COUNTBLANK(OFFSET(A$1,,,SUMPRODUCT(MAX(ROW(E$2:E5130)*(E5130=E$2:E5130)))))-COUNTBLANK(OFFSET(A$1,,,SUMPRODUCT(MAX(ROW(E$1:E5129)*(E2=E$1:E5129))))))</f>
        <v/>
      </c>
      <c r="K5130" s="24" t="str">
        <f aca="false">IF(OR(E5130="",E5130="!!!",F5130="NEW"),"",INDEX(J$1:J5129,SUMPRODUCT(MAX(ROW(E$1:E5129)*(E5130=E$1:E5129)))))</f>
        <v/>
      </c>
      <c r="L5130" s="31"/>
    </row>
    <row r="5131" customFormat="false" ht="15" hidden="false" customHeight="false" outlineLevel="0" collapsed="false">
      <c r="A5131" s="20" t="s">
        <v>1164</v>
      </c>
      <c r="E5131" s="23" t="str">
        <f aca="false">IF(D5131="?OLD","!!!","")</f>
        <v/>
      </c>
      <c r="F5131" s="25" t="str">
        <f aca="false">IF(OR(E5131="",E5131="!!!"),"",IF(NOT(ISNA(VLOOKUP(E5131,E$1:E5130,1,FALSE()))),"OLD",IF(AND(E5131&lt;&gt;"",E5131&lt;&gt;"!!!"),"NEW","")))</f>
        <v/>
      </c>
      <c r="G5131" s="26" t="str">
        <f aca="false">IF(OR(E5131="",E5131="!!!"),"",IF(OR(J5131=0,AND(J5131=1,K5131=1),AND(J5131=1,I5131="SBJ"),AND(J5131=1,I5131=0)),"?IN_FOCUS",IF(J5131&lt;=2,"?ACTIVATED",IF(J5131&lt;&gt;"","?FAMILIAR",IF(F5131="NEW",IF(ISNA(VLOOKUP(E5131,#REF!,1,FALSE())),"?TYPE_IDENTIFIABLE","?REFERENTIAL"),"_")))))</f>
        <v/>
      </c>
      <c r="H5131" s="27" t="str">
        <f aca="false">IF(J5131&lt;&gt;1,"",IF(I5131="SBJ","CB","?"))</f>
        <v/>
      </c>
      <c r="I5131" s="24" t="str">
        <f aca="false">IF(OR(E5131="",E5131="!!!",F5131="NEW"),"",INDEX(B16:B$5116,-1+SUMPRODUCT(MAX(ROW(E16:E$5116)*(E5131=E16:E$5116)))))</f>
        <v/>
      </c>
      <c r="J5131" s="24" t="str">
        <f aca="true">IF(OR(E5131="",E5131="!!!",F5131="NEW"),"",COUNTBLANK(OFFSET(A$1,,,SUMPRODUCT(MAX(ROW(E$2:E5131)*(E5131=E$2:E5131)))))-COUNTBLANK(OFFSET(A$1,,,SUMPRODUCT(MAX(ROW(E$1:E5130)*(E2=E$1:E5130))))))</f>
        <v/>
      </c>
      <c r="K5131" s="24" t="str">
        <f aca="false">IF(OR(E5131="",E5131="!!!",F5131="NEW"),"",INDEX(J$1:J5130,SUMPRODUCT(MAX(ROW(E$1:E5130)*(E5131=E$1:E5130)))))</f>
        <v/>
      </c>
      <c r="L5131" s="31"/>
    </row>
    <row r="5132" customFormat="false" ht="15" hidden="false" customHeight="false" outlineLevel="0" collapsed="false">
      <c r="A5132" s="20" t="s">
        <v>2521</v>
      </c>
      <c r="E5132" s="23" t="str">
        <f aca="false">IF(D5132="?OLD","!!!","")</f>
        <v/>
      </c>
      <c r="F5132" s="25" t="str">
        <f aca="false">IF(OR(E5132="",E5132="!!!"),"",IF(NOT(ISNA(VLOOKUP(E5132,E$1:E5131,1,FALSE()))),"OLD",IF(AND(E5132&lt;&gt;"",E5132&lt;&gt;"!!!"),"NEW","")))</f>
        <v/>
      </c>
      <c r="G5132" s="26" t="str">
        <f aca="false">IF(OR(E5132="",E5132="!!!"),"",IF(OR(J5132=0,AND(J5132=1,K5132=1),AND(J5132=1,I5132="SBJ"),AND(J5132=1,I5132=0)),"?IN_FOCUS",IF(J5132&lt;=2,"?ACTIVATED",IF(J5132&lt;&gt;"","?FAMILIAR",IF(F5132="NEW",IF(ISNA(VLOOKUP(E5132,#REF!,1,FALSE())),"?TYPE_IDENTIFIABLE","?REFERENTIAL"),"_")))))</f>
        <v/>
      </c>
      <c r="H5132" s="27" t="str">
        <f aca="false">IF(J5132&lt;&gt;1,"",IF(I5132="SBJ","CB","?"))</f>
        <v/>
      </c>
      <c r="I5132" s="24" t="str">
        <f aca="false">IF(OR(E5132="",E5132="!!!",F5132="NEW"),"",INDEX(B17:B$5116,-1+SUMPRODUCT(MAX(ROW(E17:E$5116)*(E5132=E17:E$5116)))))</f>
        <v/>
      </c>
      <c r="J5132" s="24" t="str">
        <f aca="true">IF(OR(E5132="",E5132="!!!",F5132="NEW"),"",COUNTBLANK(OFFSET(A$1,,,SUMPRODUCT(MAX(ROW(E$2:E5132)*(E5132=E$2:E5132)))))-COUNTBLANK(OFFSET(A$1,,,SUMPRODUCT(MAX(ROW(E$1:E5131)*(E2=E$1:E5131))))))</f>
        <v/>
      </c>
      <c r="K5132" s="24" t="str">
        <f aca="false">IF(OR(E5132="",E5132="!!!",F5132="NEW"),"",INDEX(J$1:J5131,SUMPRODUCT(MAX(ROW(E$1:E5131)*(E5132=E$1:E5131)))))</f>
        <v/>
      </c>
      <c r="L5132" s="31"/>
    </row>
    <row r="5133" customFormat="false" ht="15" hidden="false" customHeight="false" outlineLevel="0" collapsed="false">
      <c r="A5133" s="20" t="s">
        <v>1097</v>
      </c>
      <c r="B5133" s="22" t="s">
        <v>1098</v>
      </c>
      <c r="C5133" s="22" t="s">
        <v>1099</v>
      </c>
      <c r="D5133" s="22" t="s">
        <v>1060</v>
      </c>
      <c r="E5133" s="23" t="str">
        <f aca="false">IF(D5133="?OLD","!!!","")</f>
        <v>!!!</v>
      </c>
      <c r="F5133" s="25" t="str">
        <f aca="false">IF(OR(E5133="",E5133="!!!"),"",IF(NOT(ISNA(VLOOKUP(E5133,E$1:E5132,1,FALSE()))),"OLD",IF(AND(E5133&lt;&gt;"",E5133&lt;&gt;"!!!"),"NEW","")))</f>
        <v/>
      </c>
      <c r="G5133" s="26" t="str">
        <f aca="false">IF(OR(E5133="",E5133="!!!"),"",IF(OR(J5133=0,AND(J5133=1,K5133=1),AND(J5133=1,I5133="SBJ"),AND(J5133=1,I5133=0)),"?IN_FOCUS",IF(J5133&lt;=2,"?ACTIVATED",IF(J5133&lt;&gt;"","?FAMILIAR",IF(F5133="NEW",IF(ISNA(VLOOKUP(E5133,#REF!,1,FALSE())),"?TYPE_IDENTIFIABLE","?REFERENTIAL"),"_")))))</f>
        <v/>
      </c>
      <c r="H5133" s="27" t="str">
        <f aca="false">IF(J5133&lt;&gt;1,"",IF(I5133="SBJ","CB","?"))</f>
        <v/>
      </c>
      <c r="I5133" s="24" t="str">
        <f aca="false">IF(OR(E5133="",E5133="!!!",F5133="NEW"),"",INDEX(B18:B$5116,-1+SUMPRODUCT(MAX(ROW(E18:E$5116)*(E5133=E18:E$5116)))))</f>
        <v/>
      </c>
      <c r="J5133" s="24" t="str">
        <f aca="true">IF(OR(E5133="",E5133="!!!",F5133="NEW"),"",COUNTBLANK(OFFSET(A$1,,,SUMPRODUCT(MAX(ROW(E$2:E5133)*(E5133=E$2:E5133)))))-COUNTBLANK(OFFSET(A$1,,,SUMPRODUCT(MAX(ROW(E$1:E5132)*(E2=E$1:E5132))))))</f>
        <v/>
      </c>
      <c r="K5133" s="24" t="str">
        <f aca="false">IF(OR(E5133="",E5133="!!!",F5133="NEW"),"",INDEX(J$1:J5132,SUMPRODUCT(MAX(ROW(E$1:E5132)*(E5133=E$1:E5132)))))</f>
        <v/>
      </c>
      <c r="L5133" s="31"/>
    </row>
    <row r="5134" customFormat="false" ht="15" hidden="false" customHeight="false" outlineLevel="0" collapsed="false">
      <c r="A5134" s="20" t="s">
        <v>1882</v>
      </c>
      <c r="B5134" s="22" t="s">
        <v>1102</v>
      </c>
      <c r="C5134" s="22" t="s">
        <v>1059</v>
      </c>
      <c r="D5134" s="22" t="s">
        <v>1060</v>
      </c>
      <c r="E5134" s="23" t="str">
        <f aca="false">IF(D5134="?OLD","!!!","")</f>
        <v>!!!</v>
      </c>
      <c r="F5134" s="25" t="str">
        <f aca="false">IF(OR(E5134="",E5134="!!!"),"",IF(NOT(ISNA(VLOOKUP(E5134,E$1:E5133,1,FALSE()))),"OLD",IF(AND(E5134&lt;&gt;"",E5134&lt;&gt;"!!!"),"NEW","")))</f>
        <v/>
      </c>
      <c r="G5134" s="26" t="str">
        <f aca="false">IF(OR(E5134="",E5134="!!!"),"",IF(OR(J5134=0,AND(J5134=1,K5134=1),AND(J5134=1,I5134="SBJ"),AND(J5134=1,I5134=0)),"?IN_FOCUS",IF(J5134&lt;=2,"?ACTIVATED",IF(J5134&lt;&gt;"","?FAMILIAR",IF(F5134="NEW",IF(ISNA(VLOOKUP(E5134,#REF!,1,FALSE())),"?TYPE_IDENTIFIABLE","?REFERENTIAL"),"_")))))</f>
        <v/>
      </c>
      <c r="H5134" s="27" t="str">
        <f aca="false">IF(J5134&lt;&gt;1,"",IF(I5134="SBJ","CB","?"))</f>
        <v/>
      </c>
      <c r="I5134" s="24" t="str">
        <f aca="false">IF(OR(E5134="",E5134="!!!",F5134="NEW"),"",INDEX(B19:B$5116,-1+SUMPRODUCT(MAX(ROW(E19:E$5116)*(E5134=E19:E$5116)))))</f>
        <v/>
      </c>
      <c r="J5134" s="24" t="str">
        <f aca="true">IF(OR(E5134="",E5134="!!!",F5134="NEW"),"",COUNTBLANK(OFFSET(A$1,,,SUMPRODUCT(MAX(ROW(E$2:E5134)*(E5134=E$2:E5134)))))-COUNTBLANK(OFFSET(A$1,,,SUMPRODUCT(MAX(ROW(E$1:E5133)*(E2=E$1:E5133))))))</f>
        <v/>
      </c>
      <c r="K5134" s="24" t="str">
        <f aca="false">IF(OR(E5134="",E5134="!!!",F5134="NEW"),"",INDEX(J$1:J5133,SUMPRODUCT(MAX(ROW(E$1:E5133)*(E5134=E$1:E5133)))))</f>
        <v/>
      </c>
      <c r="L5134" s="31"/>
    </row>
    <row r="5135" customFormat="false" ht="15" hidden="false" customHeight="false" outlineLevel="0" collapsed="false">
      <c r="A5135" s="20" t="s">
        <v>2522</v>
      </c>
      <c r="E5135" s="23" t="str">
        <f aca="false">IF(D5135="?OLD","!!!","")</f>
        <v/>
      </c>
      <c r="F5135" s="25" t="str">
        <f aca="false">IF(OR(E5135="",E5135="!!!"),"",IF(NOT(ISNA(VLOOKUP(E5135,E$1:E5134,1,FALSE()))),"OLD",IF(AND(E5135&lt;&gt;"",E5135&lt;&gt;"!!!"),"NEW","")))</f>
        <v/>
      </c>
      <c r="G5135" s="26" t="str">
        <f aca="false">IF(OR(E5135="",E5135="!!!"),"",IF(OR(J5135=0,AND(J5135=1,K5135=1),AND(J5135=1,I5135="SBJ"),AND(J5135=1,I5135=0)),"?IN_FOCUS",IF(J5135&lt;=2,"?ACTIVATED",IF(J5135&lt;&gt;"","?FAMILIAR",IF(F5135="NEW",IF(ISNA(VLOOKUP(E5135,#REF!,1,FALSE())),"?TYPE_IDENTIFIABLE","?REFERENTIAL"),"_")))))</f>
        <v/>
      </c>
      <c r="H5135" s="27" t="str">
        <f aca="false">IF(J5135&lt;&gt;1,"",IF(I5135="SBJ","CB","?"))</f>
        <v/>
      </c>
      <c r="I5135" s="24" t="str">
        <f aca="false">IF(OR(E5135="",E5135="!!!",F5135="NEW"),"",INDEX(B20:B$5116,-1+SUMPRODUCT(MAX(ROW(E20:E$5116)*(E5135=E20:E$5116)))))</f>
        <v/>
      </c>
      <c r="J5135" s="24" t="str">
        <f aca="true">IF(OR(E5135="",E5135="!!!",F5135="NEW"),"",COUNTBLANK(OFFSET(A$1,,,SUMPRODUCT(MAX(ROW(E$2:E5135)*(E5135=E$2:E5135)))))-COUNTBLANK(OFFSET(A$1,,,SUMPRODUCT(MAX(ROW(E$1:E5134)*(E2=E$1:E5134))))))</f>
        <v/>
      </c>
      <c r="K5135" s="24" t="str">
        <f aca="false">IF(OR(E5135="",E5135="!!!",F5135="NEW"),"",INDEX(J$1:J5134,SUMPRODUCT(MAX(ROW(E$1:E5134)*(E5135=E$1:E5134)))))</f>
        <v/>
      </c>
      <c r="L5135" s="31"/>
    </row>
    <row r="5136" customFormat="false" ht="15" hidden="false" customHeight="false" outlineLevel="0" collapsed="false">
      <c r="A5136" s="20" t="s">
        <v>923</v>
      </c>
      <c r="E5136" s="23" t="str">
        <f aca="false">IF(D5136="?OLD","!!!","")</f>
        <v/>
      </c>
      <c r="F5136" s="25" t="str">
        <f aca="false">IF(OR(E5136="",E5136="!!!"),"",IF(NOT(ISNA(VLOOKUP(E5136,E$1:E5135,1,FALSE()))),"OLD",IF(AND(E5136&lt;&gt;"",E5136&lt;&gt;"!!!"),"NEW","")))</f>
        <v/>
      </c>
      <c r="G5136" s="26" t="str">
        <f aca="false">IF(OR(E5136="",E5136="!!!"),"",IF(OR(J5136=0,AND(J5136=1,K5136=1),AND(J5136=1,I5136="SBJ"),AND(J5136=1,I5136=0)),"?IN_FOCUS",IF(J5136&lt;=2,"?ACTIVATED",IF(J5136&lt;&gt;"","?FAMILIAR",IF(F5136="NEW",IF(ISNA(VLOOKUP(E5136,#REF!,1,FALSE())),"?TYPE_IDENTIFIABLE","?REFERENTIAL"),"_")))))</f>
        <v/>
      </c>
      <c r="H5136" s="27" t="str">
        <f aca="false">IF(J5136&lt;&gt;1,"",IF(I5136="SBJ","CB","?"))</f>
        <v/>
      </c>
      <c r="I5136" s="24" t="str">
        <f aca="false">IF(OR(E5136="",E5136="!!!",F5136="NEW"),"",INDEX(B21:B$5116,-1+SUMPRODUCT(MAX(ROW(E21:E$5116)*(E5136=E21:E$5116)))))</f>
        <v/>
      </c>
      <c r="J5136" s="24" t="str">
        <f aca="true">IF(OR(E5136="",E5136="!!!",F5136="NEW"),"",COUNTBLANK(OFFSET(A$1,,,SUMPRODUCT(MAX(ROW(E$2:E5136)*(E5136=E$2:E5136)))))-COUNTBLANK(OFFSET(A$1,,,SUMPRODUCT(MAX(ROW(E$1:E5135)*(E2=E$1:E5135))))))</f>
        <v/>
      </c>
      <c r="K5136" s="24" t="str">
        <f aca="false">IF(OR(E5136="",E5136="!!!",F5136="NEW"),"",INDEX(J$1:J5135,SUMPRODUCT(MAX(ROW(E$1:E5135)*(E5136=E$1:E5135)))))</f>
        <v/>
      </c>
      <c r="L5136" s="31"/>
    </row>
    <row r="5137" customFormat="false" ht="15" hidden="false" customHeight="false" outlineLevel="0" collapsed="false">
      <c r="A5137" s="20"/>
    </row>
    <row r="5138" customFormat="false" ht="15" hidden="false" customHeight="false" outlineLevel="0" collapsed="false">
      <c r="A5138" s="20" t="s">
        <v>2523</v>
      </c>
    </row>
    <row r="5139" customFormat="false" ht="15" hidden="false" customHeight="false" outlineLevel="0" collapsed="false">
      <c r="A5139" s="20" t="s">
        <v>1345</v>
      </c>
      <c r="E5139" s="23" t="str">
        <f aca="false">IF(D5139="?OLD","!!!","")</f>
        <v/>
      </c>
      <c r="F5139" s="25" t="str">
        <f aca="false">IF(OR(E5139="",E5139="!!!"),"",IF(NOT(ISNA(VLOOKUP(E5139,E$1:E5138,1,FALSE()))),"OLD",IF(AND(E5139&lt;&gt;"",E5139&lt;&gt;"!!!"),"NEW","")))</f>
        <v/>
      </c>
      <c r="G5139" s="26" t="str">
        <f aca="false">IF(OR(E5139="",E5139="!!!"),"",IF(OR(J5139=0,AND(J5139=1,K5139=1),AND(J5139=1,I5139="SBJ"),AND(J5139=1,I5139=0)),"?IN_FOCUS",IF(J5139&lt;=2,"?ACTIVATED",IF(J5139&lt;&gt;"","?FAMILIAR",IF(F5139="NEW",IF(ISNA(VLOOKUP(E5139,#REF!,1,FALSE())),"?TYPE_IDENTIFIABLE","?REFERENTIAL"),"_")))))</f>
        <v/>
      </c>
      <c r="H5139" s="27" t="str">
        <f aca="false">IF(J5139&lt;&gt;1,"",IF(I5139="SBJ","CB","?"))</f>
        <v/>
      </c>
      <c r="I5139" s="24" t="str">
        <f aca="false">IF(OR(E5139="",E5139="!!!",F5139="NEW"),"",INDEX(B2:B$5138,-1+SUMPRODUCT(MAX(ROW(E2:E$5138)*(E5139=E2:E$5138)))))</f>
        <v/>
      </c>
      <c r="J5139" s="24" t="str">
        <f aca="true">IF(OR(E5139="",E5139="!!!",F5139="NEW"),"",COUNTBLANK(OFFSET(A$1,,,SUMPRODUCT(MAX(ROW(E$2:E5139)*(E5139=E$2:E5139)))))-COUNTBLANK(OFFSET(A$1,,,SUMPRODUCT(MAX(ROW(E$1:E5138)*(E2=E$1:E5138))))))</f>
        <v/>
      </c>
      <c r="K5139" s="24" t="str">
        <f aca="false">IF(OR(E5139="",E5139="!!!",F5139="NEW"),"",INDEX(J$1:J5138,SUMPRODUCT(MAX(ROW(E$1:E5138)*(E5139=E$1:E5138)))))</f>
        <v/>
      </c>
      <c r="L5139" s="31"/>
    </row>
    <row r="5140" customFormat="false" ht="15" hidden="false" customHeight="false" outlineLevel="0" collapsed="false">
      <c r="A5140" s="20" t="s">
        <v>1356</v>
      </c>
      <c r="E5140" s="23" t="str">
        <f aca="false">IF(D5140="?OLD","!!!","")</f>
        <v/>
      </c>
      <c r="F5140" s="25" t="str">
        <f aca="false">IF(OR(E5140="",E5140="!!!"),"",IF(NOT(ISNA(VLOOKUP(E5140,E$1:E5139,1,FALSE()))),"OLD",IF(AND(E5140&lt;&gt;"",E5140&lt;&gt;"!!!"),"NEW","")))</f>
        <v/>
      </c>
      <c r="G5140" s="26" t="str">
        <f aca="false">IF(OR(E5140="",E5140="!!!"),"",IF(OR(J5140=0,AND(J5140=1,K5140=1),AND(J5140=1,I5140="SBJ"),AND(J5140=1,I5140=0)),"?IN_FOCUS",IF(J5140&lt;=2,"?ACTIVATED",IF(J5140&lt;&gt;"","?FAMILIAR",IF(F5140="NEW",IF(ISNA(VLOOKUP(E5140,#REF!,1,FALSE())),"?TYPE_IDENTIFIABLE","?REFERENTIAL"),"_")))))</f>
        <v/>
      </c>
      <c r="H5140" s="27" t="str">
        <f aca="false">IF(J5140&lt;&gt;1,"",IF(I5140="SBJ","CB","?"))</f>
        <v/>
      </c>
      <c r="I5140" s="24" t="str">
        <f aca="false">IF(OR(E5140="",E5140="!!!",F5140="NEW"),"",INDEX(B3:B$5138,-1+SUMPRODUCT(MAX(ROW(E3:E$5138)*(E5140=E3:E$5138)))))</f>
        <v/>
      </c>
      <c r="J5140" s="24" t="str">
        <f aca="true">IF(OR(E5140="",E5140="!!!",F5140="NEW"),"",COUNTBLANK(OFFSET(A$1,,,SUMPRODUCT(MAX(ROW(E$2:E5140)*(E5140=E$2:E5140)))))-COUNTBLANK(OFFSET(A$1,,,SUMPRODUCT(MAX(ROW(E$1:E5139)*(E2=E$1:E5139))))))</f>
        <v/>
      </c>
      <c r="K5140" s="24" t="str">
        <f aca="false">IF(OR(E5140="",E5140="!!!",F5140="NEW"),"",INDEX(J$1:J5139,SUMPRODUCT(MAX(ROW(E$1:E5139)*(E5140=E$1:E5139)))))</f>
        <v/>
      </c>
      <c r="L5140" s="31"/>
    </row>
    <row r="5141" customFormat="false" ht="15" hidden="false" customHeight="false" outlineLevel="0" collapsed="false">
      <c r="A5141" s="20" t="s">
        <v>2524</v>
      </c>
      <c r="E5141" s="23" t="str">
        <f aca="false">IF(D5141="?OLD","!!!","")</f>
        <v/>
      </c>
      <c r="F5141" s="25" t="str">
        <f aca="false">IF(OR(E5141="",E5141="!!!"),"",IF(NOT(ISNA(VLOOKUP(E5141,E$1:E5140,1,FALSE()))),"OLD",IF(AND(E5141&lt;&gt;"",E5141&lt;&gt;"!!!"),"NEW","")))</f>
        <v/>
      </c>
      <c r="G5141" s="26" t="str">
        <f aca="false">IF(OR(E5141="",E5141="!!!"),"",IF(OR(J5141=0,AND(J5141=1,K5141=1),AND(J5141=1,I5141="SBJ"),AND(J5141=1,I5141=0)),"?IN_FOCUS",IF(J5141&lt;=2,"?ACTIVATED",IF(J5141&lt;&gt;"","?FAMILIAR",IF(F5141="NEW",IF(ISNA(VLOOKUP(E5141,#REF!,1,FALSE())),"?TYPE_IDENTIFIABLE","?REFERENTIAL"),"_")))))</f>
        <v/>
      </c>
      <c r="H5141" s="27" t="str">
        <f aca="false">IF(J5141&lt;&gt;1,"",IF(I5141="SBJ","CB","?"))</f>
        <v/>
      </c>
      <c r="I5141" s="24" t="str">
        <f aca="false">IF(OR(E5141="",E5141="!!!",F5141="NEW"),"",INDEX(B4:B$5138,-1+SUMPRODUCT(MAX(ROW(E4:E$5138)*(E5141=E4:E$5138)))))</f>
        <v/>
      </c>
      <c r="J5141" s="24" t="str">
        <f aca="true">IF(OR(E5141="",E5141="!!!",F5141="NEW"),"",COUNTBLANK(OFFSET(A$1,,,SUMPRODUCT(MAX(ROW(E$2:E5141)*(E5141=E$2:E5141)))))-COUNTBLANK(OFFSET(A$1,,,SUMPRODUCT(MAX(ROW(E$1:E5140)*(E2=E$1:E5140))))))</f>
        <v/>
      </c>
      <c r="K5141" s="24" t="str">
        <f aca="false">IF(OR(E5141="",E5141="!!!",F5141="NEW"),"",INDEX(J$1:J5140,SUMPRODUCT(MAX(ROW(E$1:E5140)*(E5141=E$1:E5140)))))</f>
        <v/>
      </c>
      <c r="L5141" s="31"/>
    </row>
    <row r="5142" customFormat="false" ht="15" hidden="false" customHeight="false" outlineLevel="0" collapsed="false">
      <c r="A5142" s="20" t="s">
        <v>16</v>
      </c>
      <c r="E5142" s="23" t="str">
        <f aca="false">IF(D5142="?OLD","!!!","")</f>
        <v/>
      </c>
      <c r="F5142" s="25" t="str">
        <f aca="false">IF(OR(E5142="",E5142="!!!"),"",IF(NOT(ISNA(VLOOKUP(E5142,E$1:E5141,1,FALSE()))),"OLD",IF(AND(E5142&lt;&gt;"",E5142&lt;&gt;"!!!"),"NEW","")))</f>
        <v/>
      </c>
      <c r="G5142" s="26" t="str">
        <f aca="false">IF(OR(E5142="",E5142="!!!"),"",IF(OR(J5142=0,AND(J5142=1,K5142=1),AND(J5142=1,I5142="SBJ"),AND(J5142=1,I5142=0)),"?IN_FOCUS",IF(J5142&lt;=2,"?ACTIVATED",IF(J5142&lt;&gt;"","?FAMILIAR",IF(F5142="NEW",IF(ISNA(VLOOKUP(E5142,#REF!,1,FALSE())),"?TYPE_IDENTIFIABLE","?REFERENTIAL"),"_")))))</f>
        <v/>
      </c>
      <c r="H5142" s="27" t="str">
        <f aca="false">IF(J5142&lt;&gt;1,"",IF(I5142="SBJ","CB","?"))</f>
        <v/>
      </c>
      <c r="I5142" s="24" t="str">
        <f aca="false">IF(OR(E5142="",E5142="!!!",F5142="NEW"),"",INDEX(B5:B$5138,-1+SUMPRODUCT(MAX(ROW(E5:E$5138)*(E5142=E5:E$5138)))))</f>
        <v/>
      </c>
      <c r="J5142" s="24" t="str">
        <f aca="true">IF(OR(E5142="",E5142="!!!",F5142="NEW"),"",COUNTBLANK(OFFSET(A$1,,,SUMPRODUCT(MAX(ROW(E$2:E5142)*(E5142=E$2:E5142)))))-COUNTBLANK(OFFSET(A$1,,,SUMPRODUCT(MAX(ROW(E$1:E5141)*(E2=E$1:E5141))))))</f>
        <v/>
      </c>
      <c r="K5142" s="24" t="str">
        <f aca="false">IF(OR(E5142="",E5142="!!!",F5142="NEW"),"",INDEX(J$1:J5141,SUMPRODUCT(MAX(ROW(E$1:E5141)*(E5142=E$1:E5141)))))</f>
        <v/>
      </c>
      <c r="L5142" s="31"/>
    </row>
    <row r="5143" customFormat="false" ht="15" hidden="false" customHeight="false" outlineLevel="0" collapsed="false">
      <c r="A5143" s="20" t="s">
        <v>2525</v>
      </c>
      <c r="B5143" s="22" t="s">
        <v>1058</v>
      </c>
      <c r="C5143" s="22" t="s">
        <v>1087</v>
      </c>
      <c r="E5143" s="23" t="str">
        <f aca="false">IF(D5143="?OLD","!!!","")</f>
        <v/>
      </c>
      <c r="F5143" s="25" t="str">
        <f aca="false">IF(OR(E5143="",E5143="!!!"),"",IF(NOT(ISNA(VLOOKUP(E5143,E$1:E5142,1,FALSE()))),"OLD",IF(AND(E5143&lt;&gt;"",E5143&lt;&gt;"!!!"),"NEW","")))</f>
        <v/>
      </c>
      <c r="G5143" s="26" t="str">
        <f aca="false">IF(OR(E5143="",E5143="!!!"),"",IF(OR(J5143=0,AND(J5143=1,K5143=1),AND(J5143=1,I5143="SBJ"),AND(J5143=1,I5143=0)),"?IN_FOCUS",IF(J5143&lt;=2,"?ACTIVATED",IF(J5143&lt;&gt;"","?FAMILIAR",IF(F5143="NEW",IF(ISNA(VLOOKUP(E5143,#REF!,1,FALSE())),"?TYPE_IDENTIFIABLE","?REFERENTIAL"),"_")))))</f>
        <v/>
      </c>
      <c r="H5143" s="27" t="str">
        <f aca="false">IF(J5143&lt;&gt;1,"",IF(I5143="SBJ","CB","?"))</f>
        <v/>
      </c>
      <c r="I5143" s="24" t="str">
        <f aca="false">IF(OR(E5143="",E5143="!!!",F5143="NEW"),"",INDEX(B6:B$5138,-1+SUMPRODUCT(MAX(ROW(E6:E$5138)*(E5143=E6:E$5138)))))</f>
        <v/>
      </c>
      <c r="J5143" s="24" t="str">
        <f aca="true">IF(OR(E5143="",E5143="!!!",F5143="NEW"),"",COUNTBLANK(OFFSET(A$1,,,SUMPRODUCT(MAX(ROW(E$2:E5143)*(E5143=E$2:E5143)))))-COUNTBLANK(OFFSET(A$1,,,SUMPRODUCT(MAX(ROW(E$1:E5142)*(E2=E$1:E5142))))))</f>
        <v/>
      </c>
      <c r="K5143" s="24" t="str">
        <f aca="false">IF(OR(E5143="",E5143="!!!",F5143="NEW"),"",INDEX(J$1:J5142,SUMPRODUCT(MAX(ROW(E$1:E5142)*(E5143=E$1:E5142)))))</f>
        <v/>
      </c>
      <c r="L5143" s="31"/>
    </row>
    <row r="5144" customFormat="false" ht="15" hidden="false" customHeight="false" outlineLevel="0" collapsed="false">
      <c r="A5144" s="20" t="s">
        <v>1128</v>
      </c>
      <c r="E5144" s="23" t="str">
        <f aca="false">IF(D5144="?OLD","!!!","")</f>
        <v/>
      </c>
      <c r="F5144" s="25" t="str">
        <f aca="false">IF(OR(E5144="",E5144="!!!"),"",IF(NOT(ISNA(VLOOKUP(E5144,E$1:E5143,1,FALSE()))),"OLD",IF(AND(E5144&lt;&gt;"",E5144&lt;&gt;"!!!"),"NEW","")))</f>
        <v/>
      </c>
      <c r="G5144" s="26" t="str">
        <f aca="false">IF(OR(E5144="",E5144="!!!"),"",IF(OR(J5144=0,AND(J5144=1,K5144=1),AND(J5144=1,I5144="SBJ"),AND(J5144=1,I5144=0)),"?IN_FOCUS",IF(J5144&lt;=2,"?ACTIVATED",IF(J5144&lt;&gt;"","?FAMILIAR",IF(F5144="NEW",IF(ISNA(VLOOKUP(E5144,#REF!,1,FALSE())),"?TYPE_IDENTIFIABLE","?REFERENTIAL"),"_")))))</f>
        <v/>
      </c>
      <c r="H5144" s="27" t="str">
        <f aca="false">IF(J5144&lt;&gt;1,"",IF(I5144="SBJ","CB","?"))</f>
        <v/>
      </c>
      <c r="I5144" s="24" t="str">
        <f aca="false">IF(OR(E5144="",E5144="!!!",F5144="NEW"),"",INDEX(B7:B$5138,-1+SUMPRODUCT(MAX(ROW(E7:E$5138)*(E5144=E7:E$5138)))))</f>
        <v/>
      </c>
      <c r="J5144" s="24" t="str">
        <f aca="true">IF(OR(E5144="",E5144="!!!",F5144="NEW"),"",COUNTBLANK(OFFSET(A$1,,,SUMPRODUCT(MAX(ROW(E$2:E5144)*(E5144=E$2:E5144)))))-COUNTBLANK(OFFSET(A$1,,,SUMPRODUCT(MAX(ROW(E$1:E5143)*(E2=E$1:E5143))))))</f>
        <v/>
      </c>
      <c r="K5144" s="24" t="str">
        <f aca="false">IF(OR(E5144="",E5144="!!!",F5144="NEW"),"",INDEX(J$1:J5143,SUMPRODUCT(MAX(ROW(E$1:E5143)*(E5144=E$1:E5143)))))</f>
        <v/>
      </c>
      <c r="L5144" s="31"/>
    </row>
    <row r="5145" customFormat="false" ht="15" hidden="false" customHeight="false" outlineLevel="0" collapsed="false">
      <c r="A5145" s="20" t="s">
        <v>1085</v>
      </c>
      <c r="E5145" s="23" t="str">
        <f aca="false">IF(D5145="?OLD","!!!","")</f>
        <v/>
      </c>
      <c r="F5145" s="25" t="str">
        <f aca="false">IF(OR(E5145="",E5145="!!!"),"",IF(NOT(ISNA(VLOOKUP(E5145,E$1:E5144,1,FALSE()))),"OLD",IF(AND(E5145&lt;&gt;"",E5145&lt;&gt;"!!!"),"NEW","")))</f>
        <v/>
      </c>
      <c r="G5145" s="26" t="str">
        <f aca="false">IF(OR(E5145="",E5145="!!!"),"",IF(OR(J5145=0,AND(J5145=1,K5145=1),AND(J5145=1,I5145="SBJ"),AND(J5145=1,I5145=0)),"?IN_FOCUS",IF(J5145&lt;=2,"?ACTIVATED",IF(J5145&lt;&gt;"","?FAMILIAR",IF(F5145="NEW",IF(ISNA(VLOOKUP(E5145,#REF!,1,FALSE())),"?TYPE_IDENTIFIABLE","?REFERENTIAL"),"_")))))</f>
        <v/>
      </c>
      <c r="H5145" s="27" t="str">
        <f aca="false">IF(J5145&lt;&gt;1,"",IF(I5145="SBJ","CB","?"))</f>
        <v/>
      </c>
      <c r="I5145" s="24" t="str">
        <f aca="false">IF(OR(E5145="",E5145="!!!",F5145="NEW"),"",INDEX(B8:B$5138,-1+SUMPRODUCT(MAX(ROW(E8:E$5138)*(E5145=E8:E$5138)))))</f>
        <v/>
      </c>
      <c r="J5145" s="24" t="str">
        <f aca="true">IF(OR(E5145="",E5145="!!!",F5145="NEW"),"",COUNTBLANK(OFFSET(A$1,,,SUMPRODUCT(MAX(ROW(E$2:E5145)*(E5145=E$2:E5145)))))-COUNTBLANK(OFFSET(A$1,,,SUMPRODUCT(MAX(ROW(E$1:E5144)*(E2=E$1:E5144))))))</f>
        <v/>
      </c>
      <c r="K5145" s="24" t="str">
        <f aca="false">IF(OR(E5145="",E5145="!!!",F5145="NEW"),"",INDEX(J$1:J5144,SUMPRODUCT(MAX(ROW(E$1:E5144)*(E5145=E$1:E5144)))))</f>
        <v/>
      </c>
      <c r="L5145" s="31"/>
    </row>
    <row r="5146" customFormat="false" ht="15" hidden="false" customHeight="false" outlineLevel="0" collapsed="false">
      <c r="A5146" s="20" t="s">
        <v>2526</v>
      </c>
      <c r="E5146" s="23" t="str">
        <f aca="false">IF(D5146="?OLD","!!!","")</f>
        <v/>
      </c>
      <c r="F5146" s="25" t="str">
        <f aca="false">IF(OR(E5146="",E5146="!!!"),"",IF(NOT(ISNA(VLOOKUP(E5146,E$1:E5145,1,FALSE()))),"OLD",IF(AND(E5146&lt;&gt;"",E5146&lt;&gt;"!!!"),"NEW","")))</f>
        <v/>
      </c>
      <c r="G5146" s="26" t="str">
        <f aca="false">IF(OR(E5146="",E5146="!!!"),"",IF(OR(J5146=0,AND(J5146=1,K5146=1),AND(J5146=1,I5146="SBJ"),AND(J5146=1,I5146=0)),"?IN_FOCUS",IF(J5146&lt;=2,"?ACTIVATED",IF(J5146&lt;&gt;"","?FAMILIAR",IF(F5146="NEW",IF(ISNA(VLOOKUP(E5146,#REF!,1,FALSE())),"?TYPE_IDENTIFIABLE","?REFERENTIAL"),"_")))))</f>
        <v/>
      </c>
      <c r="H5146" s="27" t="str">
        <f aca="false">IF(J5146&lt;&gt;1,"",IF(I5146="SBJ","CB","?"))</f>
        <v/>
      </c>
      <c r="I5146" s="24" t="str">
        <f aca="false">IF(OR(E5146="",E5146="!!!",F5146="NEW"),"",INDEX(B9:B$5138,-1+SUMPRODUCT(MAX(ROW(E9:E$5138)*(E5146=E9:E$5138)))))</f>
        <v/>
      </c>
      <c r="J5146" s="24" t="str">
        <f aca="true">IF(OR(E5146="",E5146="!!!",F5146="NEW"),"",COUNTBLANK(OFFSET(A$1,,,SUMPRODUCT(MAX(ROW(E$2:E5146)*(E5146=E$2:E5146)))))-COUNTBLANK(OFFSET(A$1,,,SUMPRODUCT(MAX(ROW(E$1:E5145)*(E2=E$1:E5145))))))</f>
        <v/>
      </c>
      <c r="K5146" s="24" t="str">
        <f aca="false">IF(OR(E5146="",E5146="!!!",F5146="NEW"),"",INDEX(J$1:J5145,SUMPRODUCT(MAX(ROW(E$1:E5145)*(E5146=E$1:E5145)))))</f>
        <v/>
      </c>
      <c r="L5146" s="31"/>
    </row>
    <row r="5147" customFormat="false" ht="15" hidden="false" customHeight="false" outlineLevel="0" collapsed="false">
      <c r="A5147" s="20" t="s">
        <v>1649</v>
      </c>
      <c r="B5147" s="22" t="s">
        <v>1073</v>
      </c>
      <c r="C5147" s="22" t="s">
        <v>1087</v>
      </c>
      <c r="E5147" s="23" t="str">
        <f aca="false">IF(D5147="?OLD","!!!","")</f>
        <v/>
      </c>
      <c r="F5147" s="25" t="str">
        <f aca="false">IF(OR(E5147="",E5147="!!!"),"",IF(NOT(ISNA(VLOOKUP(E5147,E$1:E5146,1,FALSE()))),"OLD",IF(AND(E5147&lt;&gt;"",E5147&lt;&gt;"!!!"),"NEW","")))</f>
        <v/>
      </c>
      <c r="G5147" s="26" t="str">
        <f aca="false">IF(OR(E5147="",E5147="!!!"),"",IF(OR(J5147=0,AND(J5147=1,K5147=1),AND(J5147=1,I5147="SBJ"),AND(J5147=1,I5147=0)),"?IN_FOCUS",IF(J5147&lt;=2,"?ACTIVATED",IF(J5147&lt;&gt;"","?FAMILIAR",IF(F5147="NEW",IF(ISNA(VLOOKUP(E5147,#REF!,1,FALSE())),"?TYPE_IDENTIFIABLE","?REFERENTIAL"),"_")))))</f>
        <v/>
      </c>
      <c r="H5147" s="27" t="str">
        <f aca="false">IF(J5147&lt;&gt;1,"",IF(I5147="SBJ","CB","?"))</f>
        <v/>
      </c>
      <c r="I5147" s="24" t="str">
        <f aca="false">IF(OR(E5147="",E5147="!!!",F5147="NEW"),"",INDEX(B10:B$5138,-1+SUMPRODUCT(MAX(ROW(E10:E$5138)*(E5147=E10:E$5138)))))</f>
        <v/>
      </c>
      <c r="J5147" s="24" t="str">
        <f aca="true">IF(OR(E5147="",E5147="!!!",F5147="NEW"),"",COUNTBLANK(OFFSET(A$1,,,SUMPRODUCT(MAX(ROW(E$2:E5147)*(E5147=E$2:E5147)))))-COUNTBLANK(OFFSET(A$1,,,SUMPRODUCT(MAX(ROW(E$1:E5146)*(E2=E$1:E5146))))))</f>
        <v/>
      </c>
      <c r="K5147" s="24" t="str">
        <f aca="false">IF(OR(E5147="",E5147="!!!",F5147="NEW"),"",INDEX(J$1:J5146,SUMPRODUCT(MAX(ROW(E$1:E5146)*(E5147=E$1:E5146)))))</f>
        <v/>
      </c>
      <c r="L5147" s="31"/>
    </row>
    <row r="5148" customFormat="false" ht="15" hidden="false" customHeight="false" outlineLevel="0" collapsed="false">
      <c r="A5148" s="20" t="s">
        <v>16</v>
      </c>
      <c r="E5148" s="23" t="str">
        <f aca="false">IF(D5148="?OLD","!!!","")</f>
        <v/>
      </c>
      <c r="F5148" s="25" t="str">
        <f aca="false">IF(OR(E5148="",E5148="!!!"),"",IF(NOT(ISNA(VLOOKUP(E5148,E$1:E5147,1,FALSE()))),"OLD",IF(AND(E5148&lt;&gt;"",E5148&lt;&gt;"!!!"),"NEW","")))</f>
        <v/>
      </c>
      <c r="G5148" s="26" t="str">
        <f aca="false">IF(OR(E5148="",E5148="!!!"),"",IF(OR(J5148=0,AND(J5148=1,K5148=1),AND(J5148=1,I5148="SBJ"),AND(J5148=1,I5148=0)),"?IN_FOCUS",IF(J5148&lt;=2,"?ACTIVATED",IF(J5148&lt;&gt;"","?FAMILIAR",IF(F5148="NEW",IF(ISNA(VLOOKUP(E5148,#REF!,1,FALSE())),"?TYPE_IDENTIFIABLE","?REFERENTIAL"),"_")))))</f>
        <v/>
      </c>
      <c r="H5148" s="27" t="str">
        <f aca="false">IF(J5148&lt;&gt;1,"",IF(I5148="SBJ","CB","?"))</f>
        <v/>
      </c>
      <c r="I5148" s="24" t="str">
        <f aca="false">IF(OR(E5148="",E5148="!!!",F5148="NEW"),"",INDEX(B11:B$5138,-1+SUMPRODUCT(MAX(ROW(E11:E$5138)*(E5148=E11:E$5138)))))</f>
        <v/>
      </c>
      <c r="J5148" s="24" t="str">
        <f aca="true">IF(OR(E5148="",E5148="!!!",F5148="NEW"),"",COUNTBLANK(OFFSET(A$1,,,SUMPRODUCT(MAX(ROW(E$2:E5148)*(E5148=E$2:E5148)))))-COUNTBLANK(OFFSET(A$1,,,SUMPRODUCT(MAX(ROW(E$1:E5147)*(E2=E$1:E5147))))))</f>
        <v/>
      </c>
      <c r="K5148" s="24" t="str">
        <f aca="false">IF(OR(E5148="",E5148="!!!",F5148="NEW"),"",INDEX(J$1:J5147,SUMPRODUCT(MAX(ROW(E$1:E5147)*(E5148=E$1:E5147)))))</f>
        <v/>
      </c>
      <c r="L5148" s="31"/>
    </row>
    <row r="5149" customFormat="false" ht="15" hidden="false" customHeight="false" outlineLevel="0" collapsed="false">
      <c r="A5149" s="20" t="s">
        <v>1520</v>
      </c>
      <c r="E5149" s="23" t="str">
        <f aca="false">IF(D5149="?OLD","!!!","")</f>
        <v/>
      </c>
      <c r="F5149" s="25" t="str">
        <f aca="false">IF(OR(E5149="",E5149="!!!"),"",IF(NOT(ISNA(VLOOKUP(E5149,E$1:E5148,1,FALSE()))),"OLD",IF(AND(E5149&lt;&gt;"",E5149&lt;&gt;"!!!"),"NEW","")))</f>
        <v/>
      </c>
      <c r="G5149" s="26" t="str">
        <f aca="false">IF(OR(E5149="",E5149="!!!"),"",IF(OR(J5149=0,AND(J5149=1,K5149=1),AND(J5149=1,I5149="SBJ"),AND(J5149=1,I5149=0)),"?IN_FOCUS",IF(J5149&lt;=2,"?ACTIVATED",IF(J5149&lt;&gt;"","?FAMILIAR",IF(F5149="NEW",IF(ISNA(VLOOKUP(E5149,#REF!,1,FALSE())),"?TYPE_IDENTIFIABLE","?REFERENTIAL"),"_")))))</f>
        <v/>
      </c>
      <c r="H5149" s="27" t="str">
        <f aca="false">IF(J5149&lt;&gt;1,"",IF(I5149="SBJ","CB","?"))</f>
        <v/>
      </c>
      <c r="I5149" s="24" t="str">
        <f aca="false">IF(OR(E5149="",E5149="!!!",F5149="NEW"),"",INDEX(B12:B$5138,-1+SUMPRODUCT(MAX(ROW(E12:E$5138)*(E5149=E12:E$5138)))))</f>
        <v/>
      </c>
      <c r="J5149" s="24" t="str">
        <f aca="true">IF(OR(E5149="",E5149="!!!",F5149="NEW"),"",COUNTBLANK(OFFSET(A$1,,,SUMPRODUCT(MAX(ROW(E$2:E5149)*(E5149=E$2:E5149)))))-COUNTBLANK(OFFSET(A$1,,,SUMPRODUCT(MAX(ROW(E$1:E5148)*(E2=E$1:E5148))))))</f>
        <v/>
      </c>
      <c r="K5149" s="24" t="str">
        <f aca="false">IF(OR(E5149="",E5149="!!!",F5149="NEW"),"",INDEX(J$1:J5148,SUMPRODUCT(MAX(ROW(E$1:E5148)*(E5149=E$1:E5148)))))</f>
        <v/>
      </c>
      <c r="L5149" s="31"/>
    </row>
    <row r="5150" customFormat="false" ht="15" hidden="false" customHeight="false" outlineLevel="0" collapsed="false">
      <c r="A5150" s="20" t="s">
        <v>1213</v>
      </c>
      <c r="E5150" s="23" t="str">
        <f aca="false">IF(D5150="?OLD","!!!","")</f>
        <v/>
      </c>
      <c r="F5150" s="25" t="str">
        <f aca="false">IF(OR(E5150="",E5150="!!!"),"",IF(NOT(ISNA(VLOOKUP(E5150,E$1:E5149,1,FALSE()))),"OLD",IF(AND(E5150&lt;&gt;"",E5150&lt;&gt;"!!!"),"NEW","")))</f>
        <v/>
      </c>
      <c r="G5150" s="26" t="str">
        <f aca="false">IF(OR(E5150="",E5150="!!!"),"",IF(OR(J5150=0,AND(J5150=1,K5150=1),AND(J5150=1,I5150="SBJ"),AND(J5150=1,I5150=0)),"?IN_FOCUS",IF(J5150&lt;=2,"?ACTIVATED",IF(J5150&lt;&gt;"","?FAMILIAR",IF(F5150="NEW",IF(ISNA(VLOOKUP(E5150,#REF!,1,FALSE())),"?TYPE_IDENTIFIABLE","?REFERENTIAL"),"_")))))</f>
        <v/>
      </c>
      <c r="H5150" s="27" t="str">
        <f aca="false">IF(J5150&lt;&gt;1,"",IF(I5150="SBJ","CB","?"))</f>
        <v/>
      </c>
      <c r="I5150" s="24" t="str">
        <f aca="false">IF(OR(E5150="",E5150="!!!",F5150="NEW"),"",INDEX(B13:B$5138,-1+SUMPRODUCT(MAX(ROW(E13:E$5138)*(E5150=E13:E$5138)))))</f>
        <v/>
      </c>
      <c r="J5150" s="24" t="str">
        <f aca="true">IF(OR(E5150="",E5150="!!!",F5150="NEW"),"",COUNTBLANK(OFFSET(A$1,,,SUMPRODUCT(MAX(ROW(E$2:E5150)*(E5150=E$2:E5150)))))-COUNTBLANK(OFFSET(A$1,,,SUMPRODUCT(MAX(ROW(E$1:E5149)*(E2=E$1:E5149))))))</f>
        <v/>
      </c>
      <c r="K5150" s="24" t="str">
        <f aca="false">IF(OR(E5150="",E5150="!!!",F5150="NEW"),"",INDEX(J$1:J5149,SUMPRODUCT(MAX(ROW(E$1:E5149)*(E5150=E$1:E5149)))))</f>
        <v/>
      </c>
      <c r="L5150" s="31"/>
    </row>
    <row r="5151" customFormat="false" ht="15" hidden="false" customHeight="false" outlineLevel="0" collapsed="false">
      <c r="A5151" s="20" t="s">
        <v>2527</v>
      </c>
      <c r="B5151" s="22" t="s">
        <v>1067</v>
      </c>
      <c r="C5151" s="22" t="s">
        <v>1160</v>
      </c>
      <c r="E5151" s="23" t="str">
        <f aca="false">IF(D5151="?OLD","!!!","")</f>
        <v/>
      </c>
      <c r="F5151" s="25" t="str">
        <f aca="false">IF(OR(E5151="",E5151="!!!"),"",IF(NOT(ISNA(VLOOKUP(E5151,E$1:E5150,1,FALSE()))),"OLD",IF(AND(E5151&lt;&gt;"",E5151&lt;&gt;"!!!"),"NEW","")))</f>
        <v/>
      </c>
      <c r="G5151" s="26" t="str">
        <f aca="false">IF(OR(E5151="",E5151="!!!"),"",IF(OR(J5151=0,AND(J5151=1,K5151=1),AND(J5151=1,I5151="SBJ"),AND(J5151=1,I5151=0)),"?IN_FOCUS",IF(J5151&lt;=2,"?ACTIVATED",IF(J5151&lt;&gt;"","?FAMILIAR",IF(F5151="NEW",IF(ISNA(VLOOKUP(E5151,#REF!,1,FALSE())),"?TYPE_IDENTIFIABLE","?REFERENTIAL"),"_")))))</f>
        <v/>
      </c>
      <c r="H5151" s="27" t="str">
        <f aca="false">IF(J5151&lt;&gt;1,"",IF(I5151="SBJ","CB","?"))</f>
        <v/>
      </c>
      <c r="I5151" s="24" t="str">
        <f aca="false">IF(OR(E5151="",E5151="!!!",F5151="NEW"),"",INDEX(B14:B$5138,-1+SUMPRODUCT(MAX(ROW(E14:E$5138)*(E5151=E14:E$5138)))))</f>
        <v/>
      </c>
      <c r="J5151" s="24" t="str">
        <f aca="true">IF(OR(E5151="",E5151="!!!",F5151="NEW"),"",COUNTBLANK(OFFSET(A$1,,,SUMPRODUCT(MAX(ROW(E$2:E5151)*(E5151=E$2:E5151)))))-COUNTBLANK(OFFSET(A$1,,,SUMPRODUCT(MAX(ROW(E$1:E5150)*(E2=E$1:E5150))))))</f>
        <v/>
      </c>
      <c r="K5151" s="24" t="str">
        <f aca="false">IF(OR(E5151="",E5151="!!!",F5151="NEW"),"",INDEX(J$1:J5150,SUMPRODUCT(MAX(ROW(E$1:E5150)*(E5151=E$1:E5150)))))</f>
        <v/>
      </c>
      <c r="L5151" s="31"/>
    </row>
    <row r="5152" customFormat="false" ht="15" hidden="false" customHeight="false" outlineLevel="0" collapsed="false">
      <c r="A5152" s="20" t="s">
        <v>1904</v>
      </c>
      <c r="E5152" s="23" t="str">
        <f aca="false">IF(D5152="?OLD","!!!","")</f>
        <v/>
      </c>
      <c r="F5152" s="25" t="str">
        <f aca="false">IF(OR(E5152="",E5152="!!!"),"",IF(NOT(ISNA(VLOOKUP(E5152,E$1:E5151,1,FALSE()))),"OLD",IF(AND(E5152&lt;&gt;"",E5152&lt;&gt;"!!!"),"NEW","")))</f>
        <v/>
      </c>
      <c r="G5152" s="26" t="str">
        <f aca="false">IF(OR(E5152="",E5152="!!!"),"",IF(OR(J5152=0,AND(J5152=1,K5152=1),AND(J5152=1,I5152="SBJ"),AND(J5152=1,I5152=0)),"?IN_FOCUS",IF(J5152&lt;=2,"?ACTIVATED",IF(J5152&lt;&gt;"","?FAMILIAR",IF(F5152="NEW",IF(ISNA(VLOOKUP(E5152,#REF!,1,FALSE())),"?TYPE_IDENTIFIABLE","?REFERENTIAL"),"_")))))</f>
        <v/>
      </c>
      <c r="H5152" s="27" t="str">
        <f aca="false">IF(J5152&lt;&gt;1,"",IF(I5152="SBJ","CB","?"))</f>
        <v/>
      </c>
      <c r="I5152" s="24" t="str">
        <f aca="false">IF(OR(E5152="",E5152="!!!",F5152="NEW"),"",INDEX(B15:B$5138,-1+SUMPRODUCT(MAX(ROW(E15:E$5138)*(E5152=E15:E$5138)))))</f>
        <v/>
      </c>
      <c r="J5152" s="24" t="str">
        <f aca="true">IF(OR(E5152="",E5152="!!!",F5152="NEW"),"",COUNTBLANK(OFFSET(A$1,,,SUMPRODUCT(MAX(ROW(E$2:E5152)*(E5152=E$2:E5152)))))-COUNTBLANK(OFFSET(A$1,,,SUMPRODUCT(MAX(ROW(E$1:E5151)*(E2=E$1:E5151))))))</f>
        <v/>
      </c>
      <c r="K5152" s="24" t="str">
        <f aca="false">IF(OR(E5152="",E5152="!!!",F5152="NEW"),"",INDEX(J$1:J5151,SUMPRODUCT(MAX(ROW(E$1:E5151)*(E5152=E$1:E5151)))))</f>
        <v/>
      </c>
      <c r="L5152" s="31"/>
    </row>
    <row r="5153" customFormat="false" ht="15" hidden="false" customHeight="false" outlineLevel="0" collapsed="false">
      <c r="A5153" s="20" t="s">
        <v>1109</v>
      </c>
      <c r="E5153" s="23" t="str">
        <f aca="false">IF(D5153="?OLD","!!!","")</f>
        <v/>
      </c>
      <c r="F5153" s="25" t="str">
        <f aca="false">IF(OR(E5153="",E5153="!!!"),"",IF(NOT(ISNA(VLOOKUP(E5153,E$1:E5152,1,FALSE()))),"OLD",IF(AND(E5153&lt;&gt;"",E5153&lt;&gt;"!!!"),"NEW","")))</f>
        <v/>
      </c>
      <c r="G5153" s="26" t="str">
        <f aca="false">IF(OR(E5153="",E5153="!!!"),"",IF(OR(J5153=0,AND(J5153=1,K5153=1),AND(J5153=1,I5153="SBJ"),AND(J5153=1,I5153=0)),"?IN_FOCUS",IF(J5153&lt;=2,"?ACTIVATED",IF(J5153&lt;&gt;"","?FAMILIAR",IF(F5153="NEW",IF(ISNA(VLOOKUP(E5153,#REF!,1,FALSE())),"?TYPE_IDENTIFIABLE","?REFERENTIAL"),"_")))))</f>
        <v/>
      </c>
      <c r="H5153" s="27" t="str">
        <f aca="false">IF(J5153&lt;&gt;1,"",IF(I5153="SBJ","CB","?"))</f>
        <v/>
      </c>
      <c r="I5153" s="24" t="str">
        <f aca="false">IF(OR(E5153="",E5153="!!!",F5153="NEW"),"",INDEX(B16:B$5138,-1+SUMPRODUCT(MAX(ROW(E16:E$5138)*(E5153=E16:E$5138)))))</f>
        <v/>
      </c>
      <c r="J5153" s="24" t="str">
        <f aca="true">IF(OR(E5153="",E5153="!!!",F5153="NEW"),"",COUNTBLANK(OFFSET(A$1,,,SUMPRODUCT(MAX(ROW(E$2:E5153)*(E5153=E$2:E5153)))))-COUNTBLANK(OFFSET(A$1,,,SUMPRODUCT(MAX(ROW(E$1:E5152)*(E2=E$1:E5152))))))</f>
        <v/>
      </c>
      <c r="K5153" s="24" t="str">
        <f aca="false">IF(OR(E5153="",E5153="!!!",F5153="NEW"),"",INDEX(J$1:J5152,SUMPRODUCT(MAX(ROW(E$1:E5152)*(E5153=E$1:E5152)))))</f>
        <v/>
      </c>
      <c r="L5153" s="31"/>
    </row>
    <row r="5154" customFormat="false" ht="15" hidden="false" customHeight="false" outlineLevel="0" collapsed="false">
      <c r="A5154" s="20" t="s">
        <v>1418</v>
      </c>
      <c r="B5154" s="22" t="s">
        <v>1081</v>
      </c>
      <c r="C5154" s="22" t="s">
        <v>1059</v>
      </c>
      <c r="D5154" s="22" t="s">
        <v>1060</v>
      </c>
      <c r="E5154" s="23" t="str">
        <f aca="false">IF(D5154="?OLD","!!!","")</f>
        <v>!!!</v>
      </c>
      <c r="F5154" s="25" t="str">
        <f aca="false">IF(OR(E5154="",E5154="!!!"),"",IF(NOT(ISNA(VLOOKUP(E5154,E$1:E5153,1,FALSE()))),"OLD",IF(AND(E5154&lt;&gt;"",E5154&lt;&gt;"!!!"),"NEW","")))</f>
        <v/>
      </c>
      <c r="G5154" s="26" t="str">
        <f aca="false">IF(OR(E5154="",E5154="!!!"),"",IF(OR(J5154=0,AND(J5154=1,K5154=1),AND(J5154=1,I5154="SBJ"),AND(J5154=1,I5154=0)),"?IN_FOCUS",IF(J5154&lt;=2,"?ACTIVATED",IF(J5154&lt;&gt;"","?FAMILIAR",IF(F5154="NEW",IF(ISNA(VLOOKUP(E5154,#REF!,1,FALSE())),"?TYPE_IDENTIFIABLE","?REFERENTIAL"),"_")))))</f>
        <v/>
      </c>
      <c r="H5154" s="27" t="str">
        <f aca="false">IF(J5154&lt;&gt;1,"",IF(I5154="SBJ","CB","?"))</f>
        <v/>
      </c>
      <c r="I5154" s="24" t="str">
        <f aca="false">IF(OR(E5154="",E5154="!!!",F5154="NEW"),"",INDEX(B17:B$5138,-1+SUMPRODUCT(MAX(ROW(E17:E$5138)*(E5154=E17:E$5138)))))</f>
        <v/>
      </c>
      <c r="J5154" s="24" t="str">
        <f aca="true">IF(OR(E5154="",E5154="!!!",F5154="NEW"),"",COUNTBLANK(OFFSET(A$1,,,SUMPRODUCT(MAX(ROW(E$2:E5154)*(E5154=E$2:E5154)))))-COUNTBLANK(OFFSET(A$1,,,SUMPRODUCT(MAX(ROW(E$1:E5153)*(E2=E$1:E5153))))))</f>
        <v/>
      </c>
      <c r="K5154" s="24" t="str">
        <f aca="false">IF(OR(E5154="",E5154="!!!",F5154="NEW"),"",INDEX(J$1:J5153,SUMPRODUCT(MAX(ROW(E$1:E5153)*(E5154=E$1:E5153)))))</f>
        <v/>
      </c>
      <c r="L5154" s="31"/>
    </row>
    <row r="5155" customFormat="false" ht="15" hidden="false" customHeight="false" outlineLevel="0" collapsed="false">
      <c r="A5155" s="20" t="s">
        <v>1064</v>
      </c>
      <c r="E5155" s="23" t="str">
        <f aca="false">IF(D5155="?OLD","!!!","")</f>
        <v/>
      </c>
      <c r="F5155" s="25" t="str">
        <f aca="false">IF(OR(E5155="",E5155="!!!"),"",IF(NOT(ISNA(VLOOKUP(E5155,E$1:E5154,1,FALSE()))),"OLD",IF(AND(E5155&lt;&gt;"",E5155&lt;&gt;"!!!"),"NEW","")))</f>
        <v/>
      </c>
      <c r="G5155" s="26" t="str">
        <f aca="false">IF(OR(E5155="",E5155="!!!"),"",IF(OR(J5155=0,AND(J5155=1,K5155=1),AND(J5155=1,I5155="SBJ"),AND(J5155=1,I5155=0)),"?IN_FOCUS",IF(J5155&lt;=2,"?ACTIVATED",IF(J5155&lt;&gt;"","?FAMILIAR",IF(F5155="NEW",IF(ISNA(VLOOKUP(E5155,#REF!,1,FALSE())),"?TYPE_IDENTIFIABLE","?REFERENTIAL"),"_")))))</f>
        <v/>
      </c>
      <c r="H5155" s="27" t="str">
        <f aca="false">IF(J5155&lt;&gt;1,"",IF(I5155="SBJ","CB","?"))</f>
        <v/>
      </c>
      <c r="I5155" s="24" t="str">
        <f aca="false">IF(OR(E5155="",E5155="!!!",F5155="NEW"),"",INDEX(B18:B$5138,-1+SUMPRODUCT(MAX(ROW(E18:E$5138)*(E5155=E18:E$5138)))))</f>
        <v/>
      </c>
      <c r="J5155" s="24" t="str">
        <f aca="true">IF(OR(E5155="",E5155="!!!",F5155="NEW"),"",COUNTBLANK(OFFSET(A$1,,,SUMPRODUCT(MAX(ROW(E$2:E5155)*(E5155=E$2:E5155)))))-COUNTBLANK(OFFSET(A$1,,,SUMPRODUCT(MAX(ROW(E$1:E5154)*(E2=E$1:E5154))))))</f>
        <v/>
      </c>
      <c r="K5155" s="24" t="str">
        <f aca="false">IF(OR(E5155="",E5155="!!!",F5155="NEW"),"",INDEX(J$1:J5154,SUMPRODUCT(MAX(ROW(E$1:E5154)*(E5155=E$1:E5154)))))</f>
        <v/>
      </c>
      <c r="L5155" s="31"/>
    </row>
    <row r="5156" customFormat="false" ht="15" hidden="false" customHeight="false" outlineLevel="0" collapsed="false">
      <c r="A5156" s="20" t="s">
        <v>1399</v>
      </c>
      <c r="E5156" s="23" t="str">
        <f aca="false">IF(D5156="?OLD","!!!","")</f>
        <v/>
      </c>
      <c r="F5156" s="25" t="str">
        <f aca="false">IF(OR(E5156="",E5156="!!!"),"",IF(NOT(ISNA(VLOOKUP(E5156,E$1:E5155,1,FALSE()))),"OLD",IF(AND(E5156&lt;&gt;"",E5156&lt;&gt;"!!!"),"NEW","")))</f>
        <v/>
      </c>
      <c r="G5156" s="26" t="str">
        <f aca="false">IF(OR(E5156="",E5156="!!!"),"",IF(OR(J5156=0,AND(J5156=1,K5156=1),AND(J5156=1,I5156="SBJ"),AND(J5156=1,I5156=0)),"?IN_FOCUS",IF(J5156&lt;=2,"?ACTIVATED",IF(J5156&lt;&gt;"","?FAMILIAR",IF(F5156="NEW",IF(ISNA(VLOOKUP(E5156,#REF!,1,FALSE())),"?TYPE_IDENTIFIABLE","?REFERENTIAL"),"_")))))</f>
        <v/>
      </c>
      <c r="H5156" s="27" t="str">
        <f aca="false">IF(J5156&lt;&gt;1,"",IF(I5156="SBJ","CB","?"))</f>
        <v/>
      </c>
      <c r="I5156" s="24" t="str">
        <f aca="false">IF(OR(E5156="",E5156="!!!",F5156="NEW"),"",INDEX(B19:B$5138,-1+SUMPRODUCT(MAX(ROW(E19:E$5138)*(E5156=E19:E$5138)))))</f>
        <v/>
      </c>
      <c r="J5156" s="24" t="str">
        <f aca="true">IF(OR(E5156="",E5156="!!!",F5156="NEW"),"",COUNTBLANK(OFFSET(A$1,,,SUMPRODUCT(MAX(ROW(E$2:E5156)*(E5156=E$2:E5156)))))-COUNTBLANK(OFFSET(A$1,,,SUMPRODUCT(MAX(ROW(E$1:E5155)*(E2=E$1:E5155))))))</f>
        <v/>
      </c>
      <c r="K5156" s="24" t="str">
        <f aca="false">IF(OR(E5156="",E5156="!!!",F5156="NEW"),"",INDEX(J$1:J5155,SUMPRODUCT(MAX(ROW(E$1:E5155)*(E5156=E$1:E5155)))))</f>
        <v/>
      </c>
      <c r="L5156" s="31"/>
    </row>
    <row r="5157" customFormat="false" ht="15" hidden="false" customHeight="false" outlineLevel="0" collapsed="false">
      <c r="A5157" s="20" t="s">
        <v>2528</v>
      </c>
      <c r="E5157" s="23" t="str">
        <f aca="false">IF(D5157="?OLD","!!!","")</f>
        <v/>
      </c>
      <c r="F5157" s="25" t="str">
        <f aca="false">IF(OR(E5157="",E5157="!!!"),"",IF(NOT(ISNA(VLOOKUP(E5157,E$1:E5156,1,FALSE()))),"OLD",IF(AND(E5157&lt;&gt;"",E5157&lt;&gt;"!!!"),"NEW","")))</f>
        <v/>
      </c>
      <c r="G5157" s="26" t="str">
        <f aca="false">IF(OR(E5157="",E5157="!!!"),"",IF(OR(J5157=0,AND(J5157=1,K5157=1),AND(J5157=1,I5157="SBJ"),AND(J5157=1,I5157=0)),"?IN_FOCUS",IF(J5157&lt;=2,"?ACTIVATED",IF(J5157&lt;&gt;"","?FAMILIAR",IF(F5157="NEW",IF(ISNA(VLOOKUP(E5157,#REF!,1,FALSE())),"?TYPE_IDENTIFIABLE","?REFERENTIAL"),"_")))))</f>
        <v/>
      </c>
      <c r="H5157" s="27" t="str">
        <f aca="false">IF(J5157&lt;&gt;1,"",IF(I5157="SBJ","CB","?"))</f>
        <v/>
      </c>
      <c r="I5157" s="24" t="str">
        <f aca="false">IF(OR(E5157="",E5157="!!!",F5157="NEW"),"",INDEX(B20:B$5138,-1+SUMPRODUCT(MAX(ROW(E20:E$5138)*(E5157=E20:E$5138)))))</f>
        <v/>
      </c>
      <c r="J5157" s="24" t="str">
        <f aca="true">IF(OR(E5157="",E5157="!!!",F5157="NEW"),"",COUNTBLANK(OFFSET(A$1,,,SUMPRODUCT(MAX(ROW(E$2:E5157)*(E5157=E$2:E5157)))))-COUNTBLANK(OFFSET(A$1,,,SUMPRODUCT(MAX(ROW(E$1:E5156)*(E2=E$1:E5156))))))</f>
        <v/>
      </c>
      <c r="K5157" s="24" t="str">
        <f aca="false">IF(OR(E5157="",E5157="!!!",F5157="NEW"),"",INDEX(J$1:J5156,SUMPRODUCT(MAX(ROW(E$1:E5156)*(E5157=E$1:E5156)))))</f>
        <v/>
      </c>
      <c r="L5157" s="31"/>
    </row>
    <row r="5158" customFormat="false" ht="15" hidden="false" customHeight="false" outlineLevel="0" collapsed="false">
      <c r="A5158" s="20" t="s">
        <v>2317</v>
      </c>
      <c r="B5158" s="22" t="s">
        <v>1073</v>
      </c>
      <c r="C5158" s="22" t="s">
        <v>1196</v>
      </c>
      <c r="D5158" s="22" t="s">
        <v>1060</v>
      </c>
      <c r="E5158" s="23" t="str">
        <f aca="false">IF(D5158="?OLD","!!!","")</f>
        <v>!!!</v>
      </c>
      <c r="F5158" s="25" t="str">
        <f aca="false">IF(OR(E5158="",E5158="!!!"),"",IF(NOT(ISNA(VLOOKUP(E5158,E$1:E5157,1,FALSE()))),"OLD",IF(AND(E5158&lt;&gt;"",E5158&lt;&gt;"!!!"),"NEW","")))</f>
        <v/>
      </c>
      <c r="G5158" s="26" t="str">
        <f aca="false">IF(OR(E5158="",E5158="!!!"),"",IF(OR(J5158=0,AND(J5158=1,K5158=1),AND(J5158=1,I5158="SBJ"),AND(J5158=1,I5158=0)),"?IN_FOCUS",IF(J5158&lt;=2,"?ACTIVATED",IF(J5158&lt;&gt;"","?FAMILIAR",IF(F5158="NEW",IF(ISNA(VLOOKUP(E5158,#REF!,1,FALSE())),"?TYPE_IDENTIFIABLE","?REFERENTIAL"),"_")))))</f>
        <v/>
      </c>
      <c r="H5158" s="27" t="str">
        <f aca="false">IF(J5158&lt;&gt;1,"",IF(I5158="SBJ","CB","?"))</f>
        <v/>
      </c>
      <c r="I5158" s="24" t="str">
        <f aca="false">IF(OR(E5158="",E5158="!!!",F5158="NEW"),"",INDEX(B21:B$5138,-1+SUMPRODUCT(MAX(ROW(E21:E$5138)*(E5158=E21:E$5138)))))</f>
        <v/>
      </c>
      <c r="J5158" s="24" t="str">
        <f aca="true">IF(OR(E5158="",E5158="!!!",F5158="NEW"),"",COUNTBLANK(OFFSET(A$1,,,SUMPRODUCT(MAX(ROW(E$2:E5158)*(E5158=E$2:E5158)))))-COUNTBLANK(OFFSET(A$1,,,SUMPRODUCT(MAX(ROW(E$1:E5157)*(E2=E$1:E5157))))))</f>
        <v/>
      </c>
      <c r="K5158" s="24" t="str">
        <f aca="false">IF(OR(E5158="",E5158="!!!",F5158="NEW"),"",INDEX(J$1:J5157,SUMPRODUCT(MAX(ROW(E$1:E5157)*(E5158=E$1:E5157)))))</f>
        <v/>
      </c>
      <c r="L5158" s="31"/>
    </row>
    <row r="5159" customFormat="false" ht="15" hidden="false" customHeight="false" outlineLevel="0" collapsed="false">
      <c r="A5159" s="20" t="s">
        <v>923</v>
      </c>
      <c r="E5159" s="23" t="str">
        <f aca="false">IF(D5159="?OLD","!!!","")</f>
        <v/>
      </c>
      <c r="F5159" s="25" t="str">
        <f aca="false">IF(OR(E5159="",E5159="!!!"),"",IF(NOT(ISNA(VLOOKUP(E5159,E$1:E5158,1,FALSE()))),"OLD",IF(AND(E5159&lt;&gt;"",E5159&lt;&gt;"!!!"),"NEW","")))</f>
        <v/>
      </c>
      <c r="G5159" s="26" t="str">
        <f aca="false">IF(OR(E5159="",E5159="!!!"),"",IF(OR(J5159=0,AND(J5159=1,K5159=1),AND(J5159=1,I5159="SBJ"),AND(J5159=1,I5159=0)),"?IN_FOCUS",IF(J5159&lt;=2,"?ACTIVATED",IF(J5159&lt;&gt;"","?FAMILIAR",IF(F5159="NEW",IF(ISNA(VLOOKUP(E5159,#REF!,1,FALSE())),"?TYPE_IDENTIFIABLE","?REFERENTIAL"),"_")))))</f>
        <v/>
      </c>
      <c r="H5159" s="27" t="str">
        <f aca="false">IF(J5159&lt;&gt;1,"",IF(I5159="SBJ","CB","?"))</f>
        <v/>
      </c>
      <c r="I5159" s="24" t="str">
        <f aca="false">IF(OR(E5159="",E5159="!!!",F5159="NEW"),"",INDEX(B22:B$5138,-1+SUMPRODUCT(MAX(ROW(E22:E$5138)*(E5159=E22:E$5138)))))</f>
        <v/>
      </c>
      <c r="J5159" s="24" t="str">
        <f aca="true">IF(OR(E5159="",E5159="!!!",F5159="NEW"),"",COUNTBLANK(OFFSET(A$1,,,SUMPRODUCT(MAX(ROW(E$2:E5159)*(E5159=E$2:E5159)))))-COUNTBLANK(OFFSET(A$1,,,SUMPRODUCT(MAX(ROW(E$1:E5158)*(E2=E$1:E5158))))))</f>
        <v/>
      </c>
      <c r="K5159" s="24" t="str">
        <f aca="false">IF(OR(E5159="",E5159="!!!",F5159="NEW"),"",INDEX(J$1:J5158,SUMPRODUCT(MAX(ROW(E$1:E5158)*(E5159=E$1:E5158)))))</f>
        <v/>
      </c>
      <c r="L5159" s="31"/>
    </row>
    <row r="5160" customFormat="false" ht="15" hidden="false" customHeight="false" outlineLevel="0" collapsed="false">
      <c r="A5160" s="20"/>
    </row>
    <row r="5161" customFormat="false" ht="15" hidden="false" customHeight="false" outlineLevel="0" collapsed="false">
      <c r="A5161" s="20" t="s">
        <v>2529</v>
      </c>
    </row>
    <row r="5162" customFormat="false" ht="15" hidden="false" customHeight="false" outlineLevel="0" collapsed="false">
      <c r="A5162" s="20" t="s">
        <v>2530</v>
      </c>
      <c r="E5162" s="23" t="str">
        <f aca="false">IF(D5162="?OLD","!!!","")</f>
        <v/>
      </c>
      <c r="F5162" s="25" t="str">
        <f aca="false">IF(OR(E5162="",E5162="!!!"),"",IF(NOT(ISNA(VLOOKUP(E5162,E$1:E5161,1,FALSE()))),"OLD",IF(AND(E5162&lt;&gt;"",E5162&lt;&gt;"!!!"),"NEW","")))</f>
        <v/>
      </c>
      <c r="G5162" s="26" t="str">
        <f aca="false">IF(OR(E5162="",E5162="!!!"),"",IF(OR(J5162=0,AND(J5162=1,K5162=1),AND(J5162=1,I5162="SBJ"),AND(J5162=1,I5162=0)),"?IN_FOCUS",IF(J5162&lt;=2,"?ACTIVATED",IF(J5162&lt;&gt;"","?FAMILIAR",IF(F5162="NEW",IF(ISNA(VLOOKUP(E5162,#REF!,1,FALSE())),"?TYPE_IDENTIFIABLE","?REFERENTIAL"),"_")))))</f>
        <v/>
      </c>
      <c r="H5162" s="27" t="str">
        <f aca="false">IF(J5162&lt;&gt;1,"",IF(I5162="SBJ","CB","?"))</f>
        <v/>
      </c>
      <c r="I5162" s="24" t="str">
        <f aca="false">IF(OR(E5162="",E5162="!!!",F5162="NEW"),"",INDEX(B2:B$5161,-1+SUMPRODUCT(MAX(ROW(E2:E$5161)*(E5162=E2:E$5161)))))</f>
        <v/>
      </c>
      <c r="J5162" s="24" t="str">
        <f aca="true">IF(OR(E5162="",E5162="!!!",F5162="NEW"),"",COUNTBLANK(OFFSET(A$1,,,SUMPRODUCT(MAX(ROW(E$2:E5162)*(E5162=E$2:E5162)))))-COUNTBLANK(OFFSET(A$1,,,SUMPRODUCT(MAX(ROW(E$1:E5161)*(E2=E$1:E5161))))))</f>
        <v/>
      </c>
      <c r="K5162" s="24" t="str">
        <f aca="false">IF(OR(E5162="",E5162="!!!",F5162="NEW"),"",INDEX(J$1:J5161,SUMPRODUCT(MAX(ROW(E$1:E5161)*(E5162=E$1:E5161)))))</f>
        <v/>
      </c>
      <c r="L5162" s="31"/>
    </row>
    <row r="5163" customFormat="false" ht="15" hidden="false" customHeight="false" outlineLevel="0" collapsed="false">
      <c r="A5163" s="20" t="s">
        <v>1080</v>
      </c>
      <c r="B5163" s="22" t="s">
        <v>1058</v>
      </c>
      <c r="C5163" s="22" t="s">
        <v>1082</v>
      </c>
      <c r="D5163" s="22" t="s">
        <v>1060</v>
      </c>
      <c r="E5163" s="23" t="str">
        <f aca="false">IF(D5163="?OLD","!!!","")</f>
        <v>!!!</v>
      </c>
      <c r="F5163" s="25" t="str">
        <f aca="false">IF(OR(E5163="",E5163="!!!"),"",IF(NOT(ISNA(VLOOKUP(E5163,E$1:E5162,1,FALSE()))),"OLD",IF(AND(E5163&lt;&gt;"",E5163&lt;&gt;"!!!"),"NEW","")))</f>
        <v/>
      </c>
      <c r="G5163" s="26" t="str">
        <f aca="false">IF(OR(E5163="",E5163="!!!"),"",IF(OR(J5163=0,AND(J5163=1,K5163=1),AND(J5163=1,I5163="SBJ"),AND(J5163=1,I5163=0)),"?IN_FOCUS",IF(J5163&lt;=2,"?ACTIVATED",IF(J5163&lt;&gt;"","?FAMILIAR",IF(F5163="NEW",IF(ISNA(VLOOKUP(E5163,#REF!,1,FALSE())),"?TYPE_IDENTIFIABLE","?REFERENTIAL"),"_")))))</f>
        <v/>
      </c>
      <c r="H5163" s="27" t="str">
        <f aca="false">IF(J5163&lt;&gt;1,"",IF(I5163="SBJ","CB","?"))</f>
        <v/>
      </c>
      <c r="I5163" s="24" t="str">
        <f aca="false">IF(OR(E5163="",E5163="!!!",F5163="NEW"),"",INDEX(B3:B$5161,-1+SUMPRODUCT(MAX(ROW(E3:E$5161)*(E5163=E3:E$5161)))))</f>
        <v/>
      </c>
      <c r="J5163" s="24" t="str">
        <f aca="true">IF(OR(E5163="",E5163="!!!",F5163="NEW"),"",COUNTBLANK(OFFSET(A$1,,,SUMPRODUCT(MAX(ROW(E$2:E5163)*(E5163=E$2:E5163)))))-COUNTBLANK(OFFSET(A$1,,,SUMPRODUCT(MAX(ROW(E$1:E5162)*(E2=E$1:E5162))))))</f>
        <v/>
      </c>
      <c r="K5163" s="24" t="str">
        <f aca="false">IF(OR(E5163="",E5163="!!!",F5163="NEW"),"",INDEX(J$1:J5162,SUMPRODUCT(MAX(ROW(E$1:E5162)*(E5163=E$1:E5162)))))</f>
        <v/>
      </c>
      <c r="L5163" s="31"/>
    </row>
    <row r="5164" customFormat="false" ht="15" hidden="false" customHeight="false" outlineLevel="0" collapsed="false">
      <c r="A5164" s="20" t="s">
        <v>1135</v>
      </c>
      <c r="E5164" s="23" t="str">
        <f aca="false">IF(D5164="?OLD","!!!","")</f>
        <v/>
      </c>
      <c r="F5164" s="25" t="str">
        <f aca="false">IF(OR(E5164="",E5164="!!!"),"",IF(NOT(ISNA(VLOOKUP(E5164,E$1:E5163,1,FALSE()))),"OLD",IF(AND(E5164&lt;&gt;"",E5164&lt;&gt;"!!!"),"NEW","")))</f>
        <v/>
      </c>
      <c r="G5164" s="26" t="str">
        <f aca="false">IF(OR(E5164="",E5164="!!!"),"",IF(OR(J5164=0,AND(J5164=1,K5164=1),AND(J5164=1,I5164="SBJ"),AND(J5164=1,I5164=0)),"?IN_FOCUS",IF(J5164&lt;=2,"?ACTIVATED",IF(J5164&lt;&gt;"","?FAMILIAR",IF(F5164="NEW",IF(ISNA(VLOOKUP(E5164,#REF!,1,FALSE())),"?TYPE_IDENTIFIABLE","?REFERENTIAL"),"_")))))</f>
        <v/>
      </c>
      <c r="H5164" s="27" t="str">
        <f aca="false">IF(J5164&lt;&gt;1,"",IF(I5164="SBJ","CB","?"))</f>
        <v/>
      </c>
      <c r="I5164" s="24" t="str">
        <f aca="false">IF(OR(E5164="",E5164="!!!",F5164="NEW"),"",INDEX(B4:B$5161,-1+SUMPRODUCT(MAX(ROW(E4:E$5161)*(E5164=E4:E$5161)))))</f>
        <v/>
      </c>
      <c r="J5164" s="24" t="str">
        <f aca="true">IF(OR(E5164="",E5164="!!!",F5164="NEW"),"",COUNTBLANK(OFFSET(A$1,,,SUMPRODUCT(MAX(ROW(E$2:E5164)*(E5164=E$2:E5164)))))-COUNTBLANK(OFFSET(A$1,,,SUMPRODUCT(MAX(ROW(E$1:E5163)*(E2=E$1:E5163))))))</f>
        <v/>
      </c>
      <c r="K5164" s="24" t="str">
        <f aca="false">IF(OR(E5164="",E5164="!!!",F5164="NEW"),"",INDEX(J$1:J5163,SUMPRODUCT(MAX(ROW(E$1:E5163)*(E5164=E$1:E5163)))))</f>
        <v/>
      </c>
      <c r="L5164" s="31"/>
    </row>
    <row r="5165" customFormat="false" ht="15" hidden="false" customHeight="false" outlineLevel="0" collapsed="false">
      <c r="A5165" s="20" t="s">
        <v>1109</v>
      </c>
      <c r="E5165" s="23" t="str">
        <f aca="false">IF(D5165="?OLD","!!!","")</f>
        <v/>
      </c>
      <c r="F5165" s="25" t="str">
        <f aca="false">IF(OR(E5165="",E5165="!!!"),"",IF(NOT(ISNA(VLOOKUP(E5165,E$1:E5164,1,FALSE()))),"OLD",IF(AND(E5165&lt;&gt;"",E5165&lt;&gt;"!!!"),"NEW","")))</f>
        <v/>
      </c>
      <c r="G5165" s="26" t="str">
        <f aca="false">IF(OR(E5165="",E5165="!!!"),"",IF(OR(J5165=0,AND(J5165=1,K5165=1),AND(J5165=1,I5165="SBJ"),AND(J5165=1,I5165=0)),"?IN_FOCUS",IF(J5165&lt;=2,"?ACTIVATED",IF(J5165&lt;&gt;"","?FAMILIAR",IF(F5165="NEW",IF(ISNA(VLOOKUP(E5165,#REF!,1,FALSE())),"?TYPE_IDENTIFIABLE","?REFERENTIAL"),"_")))))</f>
        <v/>
      </c>
      <c r="H5165" s="27" t="str">
        <f aca="false">IF(J5165&lt;&gt;1,"",IF(I5165="SBJ","CB","?"))</f>
        <v/>
      </c>
      <c r="I5165" s="24" t="str">
        <f aca="false">IF(OR(E5165="",E5165="!!!",F5165="NEW"),"",INDEX(B5:B$5161,-1+SUMPRODUCT(MAX(ROW(E5:E$5161)*(E5165=E5:E$5161)))))</f>
        <v/>
      </c>
      <c r="J5165" s="24" t="str">
        <f aca="true">IF(OR(E5165="",E5165="!!!",F5165="NEW"),"",COUNTBLANK(OFFSET(A$1,,,SUMPRODUCT(MAX(ROW(E$2:E5165)*(E5165=E$2:E5165)))))-COUNTBLANK(OFFSET(A$1,,,SUMPRODUCT(MAX(ROW(E$1:E5164)*(E2=E$1:E5164))))))</f>
        <v/>
      </c>
      <c r="K5165" s="24" t="str">
        <f aca="false">IF(OR(E5165="",E5165="!!!",F5165="NEW"),"",INDEX(J$1:J5164,SUMPRODUCT(MAX(ROW(E$1:E5164)*(E5165=E$1:E5164)))))</f>
        <v/>
      </c>
      <c r="L5165" s="31"/>
    </row>
    <row r="5166" customFormat="false" ht="15" hidden="false" customHeight="false" outlineLevel="0" collapsed="false">
      <c r="A5166" s="20" t="s">
        <v>2531</v>
      </c>
      <c r="E5166" s="23" t="str">
        <f aca="false">IF(D5166="?OLD","!!!","")</f>
        <v/>
      </c>
      <c r="F5166" s="25" t="str">
        <f aca="false">IF(OR(E5166="",E5166="!!!"),"",IF(NOT(ISNA(VLOOKUP(E5166,E$1:E5165,1,FALSE()))),"OLD",IF(AND(E5166&lt;&gt;"",E5166&lt;&gt;"!!!"),"NEW","")))</f>
        <v/>
      </c>
      <c r="G5166" s="26" t="str">
        <f aca="false">IF(OR(E5166="",E5166="!!!"),"",IF(OR(J5166=0,AND(J5166=1,K5166=1),AND(J5166=1,I5166="SBJ"),AND(J5166=1,I5166=0)),"?IN_FOCUS",IF(J5166&lt;=2,"?ACTIVATED",IF(J5166&lt;&gt;"","?FAMILIAR",IF(F5166="NEW",IF(ISNA(VLOOKUP(E5166,#REF!,1,FALSE())),"?TYPE_IDENTIFIABLE","?REFERENTIAL"),"_")))))</f>
        <v/>
      </c>
      <c r="H5166" s="27" t="str">
        <f aca="false">IF(J5166&lt;&gt;1,"",IF(I5166="SBJ","CB","?"))</f>
        <v/>
      </c>
      <c r="I5166" s="24" t="str">
        <f aca="false">IF(OR(E5166="",E5166="!!!",F5166="NEW"),"",INDEX(B6:B$5161,-1+SUMPRODUCT(MAX(ROW(E6:E$5161)*(E5166=E6:E$5161)))))</f>
        <v/>
      </c>
      <c r="J5166" s="24" t="str">
        <f aca="true">IF(OR(E5166="",E5166="!!!",F5166="NEW"),"",COUNTBLANK(OFFSET(A$1,,,SUMPRODUCT(MAX(ROW(E$2:E5166)*(E5166=E$2:E5166)))))-COUNTBLANK(OFFSET(A$1,,,SUMPRODUCT(MAX(ROW(E$1:E5165)*(E2=E$1:E5165))))))</f>
        <v/>
      </c>
      <c r="K5166" s="24" t="str">
        <f aca="false">IF(OR(E5166="",E5166="!!!",F5166="NEW"),"",INDEX(J$1:J5165,SUMPRODUCT(MAX(ROW(E$1:E5165)*(E5166=E$1:E5165)))))</f>
        <v/>
      </c>
      <c r="L5166" s="31"/>
    </row>
    <row r="5167" customFormat="false" ht="15" hidden="false" customHeight="false" outlineLevel="0" collapsed="false">
      <c r="A5167" s="20" t="s">
        <v>2532</v>
      </c>
      <c r="B5167" s="22" t="s">
        <v>1105</v>
      </c>
      <c r="C5167" s="22" t="s">
        <v>1150</v>
      </c>
      <c r="D5167" s="22" t="s">
        <v>1060</v>
      </c>
      <c r="E5167" s="23" t="str">
        <f aca="false">IF(D5167="?OLD","!!!","")</f>
        <v>!!!</v>
      </c>
      <c r="F5167" s="25" t="str">
        <f aca="false">IF(OR(E5167="",E5167="!!!"),"",IF(NOT(ISNA(VLOOKUP(E5167,E$1:E5166,1,FALSE()))),"OLD",IF(AND(E5167&lt;&gt;"",E5167&lt;&gt;"!!!"),"NEW","")))</f>
        <v/>
      </c>
      <c r="G5167" s="26" t="str">
        <f aca="false">IF(OR(E5167="",E5167="!!!"),"",IF(OR(J5167=0,AND(J5167=1,K5167=1),AND(J5167=1,I5167="SBJ"),AND(J5167=1,I5167=0)),"?IN_FOCUS",IF(J5167&lt;=2,"?ACTIVATED",IF(J5167&lt;&gt;"","?FAMILIAR",IF(F5167="NEW",IF(ISNA(VLOOKUP(E5167,#REF!,1,FALSE())),"?TYPE_IDENTIFIABLE","?REFERENTIAL"),"_")))))</f>
        <v/>
      </c>
      <c r="H5167" s="27" t="str">
        <f aca="false">IF(J5167&lt;&gt;1,"",IF(I5167="SBJ","CB","?"))</f>
        <v/>
      </c>
      <c r="I5167" s="24" t="str">
        <f aca="false">IF(OR(E5167="",E5167="!!!",F5167="NEW"),"",INDEX(B7:B$5161,-1+SUMPRODUCT(MAX(ROW(E7:E$5161)*(E5167=E7:E$5161)))))</f>
        <v/>
      </c>
      <c r="J5167" s="24" t="str">
        <f aca="true">IF(OR(E5167="",E5167="!!!",F5167="NEW"),"",COUNTBLANK(OFFSET(A$1,,,SUMPRODUCT(MAX(ROW(E$2:E5167)*(E5167=E$2:E5167)))))-COUNTBLANK(OFFSET(A$1,,,SUMPRODUCT(MAX(ROW(E$1:E5166)*(E2=E$1:E5166))))))</f>
        <v/>
      </c>
      <c r="K5167" s="24" t="str">
        <f aca="false">IF(OR(E5167="",E5167="!!!",F5167="NEW"),"",INDEX(J$1:J5166,SUMPRODUCT(MAX(ROW(E$1:E5166)*(E5167=E$1:E5166)))))</f>
        <v/>
      </c>
      <c r="L5167" s="31"/>
    </row>
    <row r="5168" customFormat="false" ht="15" hidden="false" customHeight="false" outlineLevel="0" collapsed="false">
      <c r="A5168" s="20" t="s">
        <v>1064</v>
      </c>
      <c r="E5168" s="23" t="str">
        <f aca="false">IF(D5168="?OLD","!!!","")</f>
        <v/>
      </c>
      <c r="F5168" s="25" t="str">
        <f aca="false">IF(OR(E5168="",E5168="!!!"),"",IF(NOT(ISNA(VLOOKUP(E5168,E$1:E5167,1,FALSE()))),"OLD",IF(AND(E5168&lt;&gt;"",E5168&lt;&gt;"!!!"),"NEW","")))</f>
        <v/>
      </c>
      <c r="G5168" s="26" t="str">
        <f aca="false">IF(OR(E5168="",E5168="!!!"),"",IF(OR(J5168=0,AND(J5168=1,K5168=1),AND(J5168=1,I5168="SBJ"),AND(J5168=1,I5168=0)),"?IN_FOCUS",IF(J5168&lt;=2,"?ACTIVATED",IF(J5168&lt;&gt;"","?FAMILIAR",IF(F5168="NEW",IF(ISNA(VLOOKUP(E5168,#REF!,1,FALSE())),"?TYPE_IDENTIFIABLE","?REFERENTIAL"),"_")))))</f>
        <v/>
      </c>
      <c r="H5168" s="27" t="str">
        <f aca="false">IF(J5168&lt;&gt;1,"",IF(I5168="SBJ","CB","?"))</f>
        <v/>
      </c>
      <c r="I5168" s="24" t="str">
        <f aca="false">IF(OR(E5168="",E5168="!!!",F5168="NEW"),"",INDEX(B8:B$5161,-1+SUMPRODUCT(MAX(ROW(E8:E$5161)*(E5168=E8:E$5161)))))</f>
        <v/>
      </c>
      <c r="J5168" s="24" t="str">
        <f aca="true">IF(OR(E5168="",E5168="!!!",F5168="NEW"),"",COUNTBLANK(OFFSET(A$1,,,SUMPRODUCT(MAX(ROW(E$2:E5168)*(E5168=E$2:E5168)))))-COUNTBLANK(OFFSET(A$1,,,SUMPRODUCT(MAX(ROW(E$1:E5167)*(E2=E$1:E5167))))))</f>
        <v/>
      </c>
      <c r="K5168" s="24" t="str">
        <f aca="false">IF(OR(E5168="",E5168="!!!",F5168="NEW"),"",INDEX(J$1:J5167,SUMPRODUCT(MAX(ROW(E$1:E5167)*(E5168=E$1:E5167)))))</f>
        <v/>
      </c>
      <c r="L5168" s="31"/>
    </row>
    <row r="5169" customFormat="false" ht="15" hidden="false" customHeight="false" outlineLevel="0" collapsed="false">
      <c r="A5169" s="20" t="s">
        <v>1109</v>
      </c>
      <c r="E5169" s="23" t="str">
        <f aca="false">IF(D5169="?OLD","!!!","")</f>
        <v/>
      </c>
      <c r="F5169" s="25" t="str">
        <f aca="false">IF(OR(E5169="",E5169="!!!"),"",IF(NOT(ISNA(VLOOKUP(E5169,E$1:E5168,1,FALSE()))),"OLD",IF(AND(E5169&lt;&gt;"",E5169&lt;&gt;"!!!"),"NEW","")))</f>
        <v/>
      </c>
      <c r="G5169" s="26" t="str">
        <f aca="false">IF(OR(E5169="",E5169="!!!"),"",IF(OR(J5169=0,AND(J5169=1,K5169=1),AND(J5169=1,I5169="SBJ"),AND(J5169=1,I5169=0)),"?IN_FOCUS",IF(J5169&lt;=2,"?ACTIVATED",IF(J5169&lt;&gt;"","?FAMILIAR",IF(F5169="NEW",IF(ISNA(VLOOKUP(E5169,#REF!,1,FALSE())),"?TYPE_IDENTIFIABLE","?REFERENTIAL"),"_")))))</f>
        <v/>
      </c>
      <c r="H5169" s="27" t="str">
        <f aca="false">IF(J5169&lt;&gt;1,"",IF(I5169="SBJ","CB","?"))</f>
        <v/>
      </c>
      <c r="I5169" s="24" t="str">
        <f aca="false">IF(OR(E5169="",E5169="!!!",F5169="NEW"),"",INDEX(B9:B$5161,-1+SUMPRODUCT(MAX(ROW(E9:E$5161)*(E5169=E9:E$5161)))))</f>
        <v/>
      </c>
      <c r="J5169" s="24" t="str">
        <f aca="true">IF(OR(E5169="",E5169="!!!",F5169="NEW"),"",COUNTBLANK(OFFSET(A$1,,,SUMPRODUCT(MAX(ROW(E$2:E5169)*(E5169=E$2:E5169)))))-COUNTBLANK(OFFSET(A$1,,,SUMPRODUCT(MAX(ROW(E$1:E5168)*(E2=E$1:E5168))))))</f>
        <v/>
      </c>
      <c r="K5169" s="24" t="str">
        <f aca="false">IF(OR(E5169="",E5169="!!!",F5169="NEW"),"",INDEX(J$1:J5168,SUMPRODUCT(MAX(ROW(E$1:E5168)*(E5169=E$1:E5168)))))</f>
        <v/>
      </c>
      <c r="L5169" s="31"/>
    </row>
    <row r="5170" customFormat="false" ht="15" hidden="false" customHeight="false" outlineLevel="0" collapsed="false">
      <c r="A5170" s="20" t="s">
        <v>2533</v>
      </c>
      <c r="B5170" s="22" t="s">
        <v>1105</v>
      </c>
      <c r="C5170" s="22" t="s">
        <v>1150</v>
      </c>
      <c r="D5170" s="22" t="s">
        <v>1060</v>
      </c>
      <c r="E5170" s="23" t="str">
        <f aca="false">IF(D5170="?OLD","!!!","")</f>
        <v>!!!</v>
      </c>
      <c r="F5170" s="25" t="str">
        <f aca="false">IF(OR(E5170="",E5170="!!!"),"",IF(NOT(ISNA(VLOOKUP(E5170,E$1:E5169,1,FALSE()))),"OLD",IF(AND(E5170&lt;&gt;"",E5170&lt;&gt;"!!!"),"NEW","")))</f>
        <v/>
      </c>
      <c r="G5170" s="26" t="str">
        <f aca="false">IF(OR(E5170="",E5170="!!!"),"",IF(OR(J5170=0,AND(J5170=1,K5170=1),AND(J5170=1,I5170="SBJ"),AND(J5170=1,I5170=0)),"?IN_FOCUS",IF(J5170&lt;=2,"?ACTIVATED",IF(J5170&lt;&gt;"","?FAMILIAR",IF(F5170="NEW",IF(ISNA(VLOOKUP(E5170,#REF!,1,FALSE())),"?TYPE_IDENTIFIABLE","?REFERENTIAL"),"_")))))</f>
        <v/>
      </c>
      <c r="H5170" s="27" t="str">
        <f aca="false">IF(J5170&lt;&gt;1,"",IF(I5170="SBJ","CB","?"))</f>
        <v/>
      </c>
      <c r="I5170" s="24" t="str">
        <f aca="false">IF(OR(E5170="",E5170="!!!",F5170="NEW"),"",INDEX(B10:B$5161,-1+SUMPRODUCT(MAX(ROW(E10:E$5161)*(E5170=E10:E$5161)))))</f>
        <v/>
      </c>
      <c r="J5170" s="24" t="str">
        <f aca="true">IF(OR(E5170="",E5170="!!!",F5170="NEW"),"",COUNTBLANK(OFFSET(A$1,,,SUMPRODUCT(MAX(ROW(E$2:E5170)*(E5170=E$2:E5170)))))-COUNTBLANK(OFFSET(A$1,,,SUMPRODUCT(MAX(ROW(E$1:E5169)*(E2=E$1:E5169))))))</f>
        <v/>
      </c>
      <c r="K5170" s="24" t="str">
        <f aca="false">IF(OR(E5170="",E5170="!!!",F5170="NEW"),"",INDEX(J$1:J5169,SUMPRODUCT(MAX(ROW(E$1:E5169)*(E5170=E$1:E5169)))))</f>
        <v/>
      </c>
      <c r="L5170" s="31"/>
    </row>
    <row r="5171" customFormat="false" ht="15" hidden="false" customHeight="false" outlineLevel="0" collapsed="false">
      <c r="A5171" s="20" t="s">
        <v>1064</v>
      </c>
      <c r="E5171" s="23" t="str">
        <f aca="false">IF(D5171="?OLD","!!!","")</f>
        <v/>
      </c>
      <c r="F5171" s="25" t="str">
        <f aca="false">IF(OR(E5171="",E5171="!!!"),"",IF(NOT(ISNA(VLOOKUP(E5171,E$1:E5170,1,FALSE()))),"OLD",IF(AND(E5171&lt;&gt;"",E5171&lt;&gt;"!!!"),"NEW","")))</f>
        <v/>
      </c>
      <c r="G5171" s="26" t="str">
        <f aca="false">IF(OR(E5171="",E5171="!!!"),"",IF(OR(J5171=0,AND(J5171=1,K5171=1),AND(J5171=1,I5171="SBJ"),AND(J5171=1,I5171=0)),"?IN_FOCUS",IF(J5171&lt;=2,"?ACTIVATED",IF(J5171&lt;&gt;"","?FAMILIAR",IF(F5171="NEW",IF(ISNA(VLOOKUP(E5171,#REF!,1,FALSE())),"?TYPE_IDENTIFIABLE","?REFERENTIAL"),"_")))))</f>
        <v/>
      </c>
      <c r="H5171" s="27" t="str">
        <f aca="false">IF(J5171&lt;&gt;1,"",IF(I5171="SBJ","CB","?"))</f>
        <v/>
      </c>
      <c r="I5171" s="24" t="str">
        <f aca="false">IF(OR(E5171="",E5171="!!!",F5171="NEW"),"",INDEX(B11:B$5161,-1+SUMPRODUCT(MAX(ROW(E11:E$5161)*(E5171=E11:E$5161)))))</f>
        <v/>
      </c>
      <c r="J5171" s="24" t="str">
        <f aca="true">IF(OR(E5171="",E5171="!!!",F5171="NEW"),"",COUNTBLANK(OFFSET(A$1,,,SUMPRODUCT(MAX(ROW(E$2:E5171)*(E5171=E$2:E5171)))))-COUNTBLANK(OFFSET(A$1,,,SUMPRODUCT(MAX(ROW(E$1:E5170)*(E2=E$1:E5170))))))</f>
        <v/>
      </c>
      <c r="K5171" s="24" t="str">
        <f aca="false">IF(OR(E5171="",E5171="!!!",F5171="NEW"),"",INDEX(J$1:J5170,SUMPRODUCT(MAX(ROW(E$1:E5170)*(E5171=E$1:E5170)))))</f>
        <v/>
      </c>
      <c r="L5171" s="31"/>
    </row>
    <row r="5172" customFormat="false" ht="15" hidden="false" customHeight="false" outlineLevel="0" collapsed="false">
      <c r="A5172" s="20" t="s">
        <v>1109</v>
      </c>
      <c r="E5172" s="23" t="str">
        <f aca="false">IF(D5172="?OLD","!!!","")</f>
        <v/>
      </c>
      <c r="F5172" s="25" t="str">
        <f aca="false">IF(OR(E5172="",E5172="!!!"),"",IF(NOT(ISNA(VLOOKUP(E5172,E$1:E5171,1,FALSE()))),"OLD",IF(AND(E5172&lt;&gt;"",E5172&lt;&gt;"!!!"),"NEW","")))</f>
        <v/>
      </c>
      <c r="G5172" s="26" t="str">
        <f aca="false">IF(OR(E5172="",E5172="!!!"),"",IF(OR(J5172=0,AND(J5172=1,K5172=1),AND(J5172=1,I5172="SBJ"),AND(J5172=1,I5172=0)),"?IN_FOCUS",IF(J5172&lt;=2,"?ACTIVATED",IF(J5172&lt;&gt;"","?FAMILIAR",IF(F5172="NEW",IF(ISNA(VLOOKUP(E5172,#REF!,1,FALSE())),"?TYPE_IDENTIFIABLE","?REFERENTIAL"),"_")))))</f>
        <v/>
      </c>
      <c r="H5172" s="27" t="str">
        <f aca="false">IF(J5172&lt;&gt;1,"",IF(I5172="SBJ","CB","?"))</f>
        <v/>
      </c>
      <c r="I5172" s="24" t="str">
        <f aca="false">IF(OR(E5172="",E5172="!!!",F5172="NEW"),"",INDEX(B12:B$5161,-1+SUMPRODUCT(MAX(ROW(E12:E$5161)*(E5172=E12:E$5161)))))</f>
        <v/>
      </c>
      <c r="J5172" s="24" t="str">
        <f aca="true">IF(OR(E5172="",E5172="!!!",F5172="NEW"),"",COUNTBLANK(OFFSET(A$1,,,SUMPRODUCT(MAX(ROW(E$2:E5172)*(E5172=E$2:E5172)))))-COUNTBLANK(OFFSET(A$1,,,SUMPRODUCT(MAX(ROW(E$1:E5171)*(E2=E$1:E5171))))))</f>
        <v/>
      </c>
      <c r="K5172" s="24" t="str">
        <f aca="false">IF(OR(E5172="",E5172="!!!",F5172="NEW"),"",INDEX(J$1:J5171,SUMPRODUCT(MAX(ROW(E$1:E5171)*(E5172=E$1:E5171)))))</f>
        <v/>
      </c>
      <c r="L5172" s="31"/>
    </row>
    <row r="5173" customFormat="false" ht="15" hidden="false" customHeight="false" outlineLevel="0" collapsed="false">
      <c r="A5173" s="20" t="s">
        <v>2534</v>
      </c>
      <c r="B5173" s="22" t="s">
        <v>1073</v>
      </c>
      <c r="C5173" s="22" t="s">
        <v>1150</v>
      </c>
      <c r="D5173" s="22" t="s">
        <v>1060</v>
      </c>
      <c r="E5173" s="23" t="str">
        <f aca="false">IF(D5173="?OLD","!!!","")</f>
        <v>!!!</v>
      </c>
      <c r="F5173" s="25" t="str">
        <f aca="false">IF(OR(E5173="",E5173="!!!"),"",IF(NOT(ISNA(VLOOKUP(E5173,E$1:E5172,1,FALSE()))),"OLD",IF(AND(E5173&lt;&gt;"",E5173&lt;&gt;"!!!"),"NEW","")))</f>
        <v/>
      </c>
      <c r="G5173" s="26" t="str">
        <f aca="false">IF(OR(E5173="",E5173="!!!"),"",IF(OR(J5173=0,AND(J5173=1,K5173=1),AND(J5173=1,I5173="SBJ"),AND(J5173=1,I5173=0)),"?IN_FOCUS",IF(J5173&lt;=2,"?ACTIVATED",IF(J5173&lt;&gt;"","?FAMILIAR",IF(F5173="NEW",IF(ISNA(VLOOKUP(E5173,#REF!,1,FALSE())),"?TYPE_IDENTIFIABLE","?REFERENTIAL"),"_")))))</f>
        <v/>
      </c>
      <c r="H5173" s="27" t="str">
        <f aca="false">IF(J5173&lt;&gt;1,"",IF(I5173="SBJ","CB","?"))</f>
        <v/>
      </c>
      <c r="I5173" s="24" t="str">
        <f aca="false">IF(OR(E5173="",E5173="!!!",F5173="NEW"),"",INDEX(B13:B$5161,-1+SUMPRODUCT(MAX(ROW(E13:E$5161)*(E5173=E13:E$5161)))))</f>
        <v/>
      </c>
      <c r="J5173" s="24" t="str">
        <f aca="true">IF(OR(E5173="",E5173="!!!",F5173="NEW"),"",COUNTBLANK(OFFSET(A$1,,,SUMPRODUCT(MAX(ROW(E$2:E5173)*(E5173=E$2:E5173)))))-COUNTBLANK(OFFSET(A$1,,,SUMPRODUCT(MAX(ROW(E$1:E5172)*(E2=E$1:E5172))))))</f>
        <v/>
      </c>
      <c r="K5173" s="24" t="str">
        <f aca="false">IF(OR(E5173="",E5173="!!!",F5173="NEW"),"",INDEX(J$1:J5172,SUMPRODUCT(MAX(ROW(E$1:E5172)*(E5173=E$1:E5172)))))</f>
        <v/>
      </c>
      <c r="L5173" s="31"/>
    </row>
    <row r="5174" customFormat="false" ht="15" hidden="false" customHeight="false" outlineLevel="0" collapsed="false">
      <c r="A5174" s="20" t="s">
        <v>1076</v>
      </c>
      <c r="E5174" s="23" t="str">
        <f aca="false">IF(D5174="?OLD","!!!","")</f>
        <v/>
      </c>
      <c r="F5174" s="25" t="str">
        <f aca="false">IF(OR(E5174="",E5174="!!!"),"",IF(NOT(ISNA(VLOOKUP(E5174,E$1:E5173,1,FALSE()))),"OLD",IF(AND(E5174&lt;&gt;"",E5174&lt;&gt;"!!!"),"NEW","")))</f>
        <v/>
      </c>
      <c r="G5174" s="26" t="str">
        <f aca="false">IF(OR(E5174="",E5174="!!!"),"",IF(OR(J5174=0,AND(J5174=1,K5174=1),AND(J5174=1,I5174="SBJ"),AND(J5174=1,I5174=0)),"?IN_FOCUS",IF(J5174&lt;=2,"?ACTIVATED",IF(J5174&lt;&gt;"","?FAMILIAR",IF(F5174="NEW",IF(ISNA(VLOOKUP(E5174,#REF!,1,FALSE())),"?TYPE_IDENTIFIABLE","?REFERENTIAL"),"_")))))</f>
        <v/>
      </c>
      <c r="H5174" s="27" t="str">
        <f aca="false">IF(J5174&lt;&gt;1,"",IF(I5174="SBJ","CB","?"))</f>
        <v/>
      </c>
      <c r="I5174" s="24" t="str">
        <f aca="false">IF(OR(E5174="",E5174="!!!",F5174="NEW"),"",INDEX(B14:B$5161,-1+SUMPRODUCT(MAX(ROW(E14:E$5161)*(E5174=E14:E$5161)))))</f>
        <v/>
      </c>
      <c r="J5174" s="24" t="str">
        <f aca="true">IF(OR(E5174="",E5174="!!!",F5174="NEW"),"",COUNTBLANK(OFFSET(A$1,,,SUMPRODUCT(MAX(ROW(E$2:E5174)*(E5174=E$2:E5174)))))-COUNTBLANK(OFFSET(A$1,,,SUMPRODUCT(MAX(ROW(E$1:E5173)*(E2=E$1:E5173))))))</f>
        <v/>
      </c>
      <c r="K5174" s="24" t="str">
        <f aca="false">IF(OR(E5174="",E5174="!!!",F5174="NEW"),"",INDEX(J$1:J5173,SUMPRODUCT(MAX(ROW(E$1:E5173)*(E5174=E$1:E5173)))))</f>
        <v/>
      </c>
      <c r="L5174" s="31"/>
    </row>
    <row r="5175" customFormat="false" ht="15" hidden="false" customHeight="false" outlineLevel="0" collapsed="false">
      <c r="A5175" s="20" t="s">
        <v>2535</v>
      </c>
      <c r="E5175" s="23" t="str">
        <f aca="false">IF(D5175="?OLD","!!!","")</f>
        <v/>
      </c>
      <c r="F5175" s="25" t="str">
        <f aca="false">IF(OR(E5175="",E5175="!!!"),"",IF(NOT(ISNA(VLOOKUP(E5175,E$1:E5174,1,FALSE()))),"OLD",IF(AND(E5175&lt;&gt;"",E5175&lt;&gt;"!!!"),"NEW","")))</f>
        <v/>
      </c>
      <c r="G5175" s="26" t="str">
        <f aca="false">IF(OR(E5175="",E5175="!!!"),"",IF(OR(J5175=0,AND(J5175=1,K5175=1),AND(J5175=1,I5175="SBJ"),AND(J5175=1,I5175=0)),"?IN_FOCUS",IF(J5175&lt;=2,"?ACTIVATED",IF(J5175&lt;&gt;"","?FAMILIAR",IF(F5175="NEW",IF(ISNA(VLOOKUP(E5175,#REF!,1,FALSE())),"?TYPE_IDENTIFIABLE","?REFERENTIAL"),"_")))))</f>
        <v/>
      </c>
      <c r="H5175" s="27" t="str">
        <f aca="false">IF(J5175&lt;&gt;1,"",IF(I5175="SBJ","CB","?"))</f>
        <v/>
      </c>
      <c r="I5175" s="24" t="str">
        <f aca="false">IF(OR(E5175="",E5175="!!!",F5175="NEW"),"",INDEX(B15:B$5161,-1+SUMPRODUCT(MAX(ROW(E15:E$5161)*(E5175=E15:E$5161)))))</f>
        <v/>
      </c>
      <c r="J5175" s="24" t="str">
        <f aca="true">IF(OR(E5175="",E5175="!!!",F5175="NEW"),"",COUNTBLANK(OFFSET(A$1,,,SUMPRODUCT(MAX(ROW(E$2:E5175)*(E5175=E$2:E5175)))))-COUNTBLANK(OFFSET(A$1,,,SUMPRODUCT(MAX(ROW(E$1:E5174)*(E2=E$1:E5174))))))</f>
        <v/>
      </c>
      <c r="K5175" s="24" t="str">
        <f aca="false">IF(OR(E5175="",E5175="!!!",F5175="NEW"),"",INDEX(J$1:J5174,SUMPRODUCT(MAX(ROW(E$1:E5174)*(E5175=E$1:E5174)))))</f>
        <v/>
      </c>
      <c r="L5175" s="31"/>
    </row>
    <row r="5176" customFormat="false" ht="15" hidden="false" customHeight="false" outlineLevel="0" collapsed="false">
      <c r="A5176" s="20" t="s">
        <v>1911</v>
      </c>
      <c r="E5176" s="23" t="str">
        <f aca="false">IF(D5176="?OLD","!!!","")</f>
        <v/>
      </c>
      <c r="F5176" s="25" t="str">
        <f aca="false">IF(OR(E5176="",E5176="!!!"),"",IF(NOT(ISNA(VLOOKUP(E5176,E$1:E5175,1,FALSE()))),"OLD",IF(AND(E5176&lt;&gt;"",E5176&lt;&gt;"!!!"),"NEW","")))</f>
        <v/>
      </c>
      <c r="G5176" s="26" t="str">
        <f aca="false">IF(OR(E5176="",E5176="!!!"),"",IF(OR(J5176=0,AND(J5176=1,K5176=1),AND(J5176=1,I5176="SBJ"),AND(J5176=1,I5176=0)),"?IN_FOCUS",IF(J5176&lt;=2,"?ACTIVATED",IF(J5176&lt;&gt;"","?FAMILIAR",IF(F5176="NEW",IF(ISNA(VLOOKUP(E5176,#REF!,1,FALSE())),"?TYPE_IDENTIFIABLE","?REFERENTIAL"),"_")))))</f>
        <v/>
      </c>
      <c r="H5176" s="27" t="str">
        <f aca="false">IF(J5176&lt;&gt;1,"",IF(I5176="SBJ","CB","?"))</f>
        <v/>
      </c>
      <c r="I5176" s="24" t="str">
        <f aca="false">IF(OR(E5176="",E5176="!!!",F5176="NEW"),"",INDEX(B16:B$5161,-1+SUMPRODUCT(MAX(ROW(E16:E$5161)*(E5176=E16:E$5161)))))</f>
        <v/>
      </c>
      <c r="J5176" s="24" t="str">
        <f aca="true">IF(OR(E5176="",E5176="!!!",F5176="NEW"),"",COUNTBLANK(OFFSET(A$1,,,SUMPRODUCT(MAX(ROW(E$2:E5176)*(E5176=E$2:E5176)))))-COUNTBLANK(OFFSET(A$1,,,SUMPRODUCT(MAX(ROW(E$1:E5175)*(E2=E$1:E5175))))))</f>
        <v/>
      </c>
      <c r="K5176" s="24" t="str">
        <f aca="false">IF(OR(E5176="",E5176="!!!",F5176="NEW"),"",INDEX(J$1:J5175,SUMPRODUCT(MAX(ROW(E$1:E5175)*(E5176=E$1:E5175)))))</f>
        <v/>
      </c>
      <c r="L5176" s="31"/>
    </row>
    <row r="5177" customFormat="false" ht="15" hidden="false" customHeight="false" outlineLevel="0" collapsed="false">
      <c r="A5177" s="20" t="s">
        <v>1117</v>
      </c>
      <c r="E5177" s="23" t="str">
        <f aca="false">IF(D5177="?OLD","!!!","")</f>
        <v/>
      </c>
      <c r="F5177" s="25" t="str">
        <f aca="false">IF(OR(E5177="",E5177="!!!"),"",IF(NOT(ISNA(VLOOKUP(E5177,E$1:E5176,1,FALSE()))),"OLD",IF(AND(E5177&lt;&gt;"",E5177&lt;&gt;"!!!"),"NEW","")))</f>
        <v/>
      </c>
      <c r="G5177" s="26" t="str">
        <f aca="false">IF(OR(E5177="",E5177="!!!"),"",IF(OR(J5177=0,AND(J5177=1,K5177=1),AND(J5177=1,I5177="SBJ"),AND(J5177=1,I5177=0)),"?IN_FOCUS",IF(J5177&lt;=2,"?ACTIVATED",IF(J5177&lt;&gt;"","?FAMILIAR",IF(F5177="NEW",IF(ISNA(VLOOKUP(E5177,#REF!,1,FALSE())),"?TYPE_IDENTIFIABLE","?REFERENTIAL"),"_")))))</f>
        <v/>
      </c>
      <c r="H5177" s="27" t="str">
        <f aca="false">IF(J5177&lt;&gt;1,"",IF(I5177="SBJ","CB","?"))</f>
        <v/>
      </c>
      <c r="I5177" s="24" t="str">
        <f aca="false">IF(OR(E5177="",E5177="!!!",F5177="NEW"),"",INDEX(B17:B$5161,-1+SUMPRODUCT(MAX(ROW(E17:E$5161)*(E5177=E17:E$5161)))))</f>
        <v/>
      </c>
      <c r="J5177" s="24" t="str">
        <f aca="true">IF(OR(E5177="",E5177="!!!",F5177="NEW"),"",COUNTBLANK(OFFSET(A$1,,,SUMPRODUCT(MAX(ROW(E$2:E5177)*(E5177=E$2:E5177)))))-COUNTBLANK(OFFSET(A$1,,,SUMPRODUCT(MAX(ROW(E$1:E5176)*(E2=E$1:E5176))))))</f>
        <v/>
      </c>
      <c r="K5177" s="24" t="str">
        <f aca="false">IF(OR(E5177="",E5177="!!!",F5177="NEW"),"",INDEX(J$1:J5176,SUMPRODUCT(MAX(ROW(E$1:E5176)*(E5177=E$1:E5176)))))</f>
        <v/>
      </c>
      <c r="L5177" s="31"/>
    </row>
    <row r="5178" customFormat="false" ht="15" hidden="false" customHeight="false" outlineLevel="0" collapsed="false">
      <c r="A5178" s="20" t="s">
        <v>1118</v>
      </c>
      <c r="B5178" s="22" t="s">
        <v>1142</v>
      </c>
      <c r="C5178" s="22" t="s">
        <v>1389</v>
      </c>
      <c r="E5178" s="23" t="str">
        <f aca="false">IF(D5178="?OLD","!!!","")</f>
        <v/>
      </c>
      <c r="F5178" s="25" t="str">
        <f aca="false">IF(OR(E5178="",E5178="!!!"),"",IF(NOT(ISNA(VLOOKUP(E5178,E$1:E5177,1,FALSE()))),"OLD",IF(AND(E5178&lt;&gt;"",E5178&lt;&gt;"!!!"),"NEW","")))</f>
        <v/>
      </c>
      <c r="G5178" s="26" t="str">
        <f aca="false">IF(OR(E5178="",E5178="!!!"),"",IF(OR(J5178=0,AND(J5178=1,K5178=1),AND(J5178=1,I5178="SBJ"),AND(J5178=1,I5178=0)),"?IN_FOCUS",IF(J5178&lt;=2,"?ACTIVATED",IF(J5178&lt;&gt;"","?FAMILIAR",IF(F5178="NEW",IF(ISNA(VLOOKUP(E5178,#REF!,1,FALSE())),"?TYPE_IDENTIFIABLE","?REFERENTIAL"),"_")))))</f>
        <v/>
      </c>
      <c r="H5178" s="27" t="str">
        <f aca="false">IF(J5178&lt;&gt;1,"",IF(I5178="SBJ","CB","?"))</f>
        <v/>
      </c>
      <c r="I5178" s="24" t="str">
        <f aca="false">IF(OR(E5178="",E5178="!!!",F5178="NEW"),"",INDEX(B18:B$5161,-1+SUMPRODUCT(MAX(ROW(E18:E$5161)*(E5178=E18:E$5161)))))</f>
        <v/>
      </c>
      <c r="J5178" s="24" t="str">
        <f aca="true">IF(OR(E5178="",E5178="!!!",F5178="NEW"),"",COUNTBLANK(OFFSET(A$1,,,SUMPRODUCT(MAX(ROW(E$2:E5178)*(E5178=E$2:E5178)))))-COUNTBLANK(OFFSET(A$1,,,SUMPRODUCT(MAX(ROW(E$1:E5177)*(E2=E$1:E5177))))))</f>
        <v/>
      </c>
      <c r="K5178" s="24" t="str">
        <f aca="false">IF(OR(E5178="",E5178="!!!",F5178="NEW"),"",INDEX(J$1:J5177,SUMPRODUCT(MAX(ROW(E$1:E5177)*(E5178=E$1:E5177)))))</f>
        <v/>
      </c>
      <c r="L5178" s="31"/>
    </row>
    <row r="5179" customFormat="false" ht="15" hidden="false" customHeight="false" outlineLevel="0" collapsed="false">
      <c r="A5179" s="20" t="s">
        <v>1248</v>
      </c>
      <c r="E5179" s="23" t="str">
        <f aca="false">IF(D5179="?OLD","!!!","")</f>
        <v/>
      </c>
      <c r="F5179" s="25" t="str">
        <f aca="false">IF(OR(E5179="",E5179="!!!"),"",IF(NOT(ISNA(VLOOKUP(E5179,E$1:E5178,1,FALSE()))),"OLD",IF(AND(E5179&lt;&gt;"",E5179&lt;&gt;"!!!"),"NEW","")))</f>
        <v/>
      </c>
      <c r="G5179" s="26" t="str">
        <f aca="false">IF(OR(E5179="",E5179="!!!"),"",IF(OR(J5179=0,AND(J5179=1,K5179=1),AND(J5179=1,I5179="SBJ"),AND(J5179=1,I5179=0)),"?IN_FOCUS",IF(J5179&lt;=2,"?ACTIVATED",IF(J5179&lt;&gt;"","?FAMILIAR",IF(F5179="NEW",IF(ISNA(VLOOKUP(E5179,#REF!,1,FALSE())),"?TYPE_IDENTIFIABLE","?REFERENTIAL"),"_")))))</f>
        <v/>
      </c>
      <c r="H5179" s="27" t="str">
        <f aca="false">IF(J5179&lt;&gt;1,"",IF(I5179="SBJ","CB","?"))</f>
        <v/>
      </c>
      <c r="I5179" s="24" t="str">
        <f aca="false">IF(OR(E5179="",E5179="!!!",F5179="NEW"),"",INDEX(B19:B$5161,-1+SUMPRODUCT(MAX(ROW(E19:E$5161)*(E5179=E19:E$5161)))))</f>
        <v/>
      </c>
      <c r="J5179" s="24" t="str">
        <f aca="true">IF(OR(E5179="",E5179="!!!",F5179="NEW"),"",COUNTBLANK(OFFSET(A$1,,,SUMPRODUCT(MAX(ROW(E$2:E5179)*(E5179=E$2:E5179)))))-COUNTBLANK(OFFSET(A$1,,,SUMPRODUCT(MAX(ROW(E$1:E5178)*(E2=E$1:E5178))))))</f>
        <v/>
      </c>
      <c r="K5179" s="24" t="str">
        <f aca="false">IF(OR(E5179="",E5179="!!!",F5179="NEW"),"",INDEX(J$1:J5178,SUMPRODUCT(MAX(ROW(E$1:E5178)*(E5179=E$1:E5178)))))</f>
        <v/>
      </c>
      <c r="L5179" s="31"/>
    </row>
    <row r="5180" customFormat="false" ht="15" hidden="false" customHeight="false" outlineLevel="0" collapsed="false">
      <c r="A5180" s="20" t="s">
        <v>1109</v>
      </c>
      <c r="E5180" s="23" t="str">
        <f aca="false">IF(D5180="?OLD","!!!","")</f>
        <v/>
      </c>
      <c r="F5180" s="25" t="str">
        <f aca="false">IF(OR(E5180="",E5180="!!!"),"",IF(NOT(ISNA(VLOOKUP(E5180,E$1:E5179,1,FALSE()))),"OLD",IF(AND(E5180&lt;&gt;"",E5180&lt;&gt;"!!!"),"NEW","")))</f>
        <v/>
      </c>
      <c r="G5180" s="26" t="str">
        <f aca="false">IF(OR(E5180="",E5180="!!!"),"",IF(OR(J5180=0,AND(J5180=1,K5180=1),AND(J5180=1,I5180="SBJ"),AND(J5180=1,I5180=0)),"?IN_FOCUS",IF(J5180&lt;=2,"?ACTIVATED",IF(J5180&lt;&gt;"","?FAMILIAR",IF(F5180="NEW",IF(ISNA(VLOOKUP(E5180,#REF!,1,FALSE())),"?TYPE_IDENTIFIABLE","?REFERENTIAL"),"_")))))</f>
        <v/>
      </c>
      <c r="H5180" s="27" t="str">
        <f aca="false">IF(J5180&lt;&gt;1,"",IF(I5180="SBJ","CB","?"))</f>
        <v/>
      </c>
      <c r="I5180" s="24" t="str">
        <f aca="false">IF(OR(E5180="",E5180="!!!",F5180="NEW"),"",INDEX(B20:B$5161,-1+SUMPRODUCT(MAX(ROW(E20:E$5161)*(E5180=E20:E$5161)))))</f>
        <v/>
      </c>
      <c r="J5180" s="24" t="str">
        <f aca="true">IF(OR(E5180="",E5180="!!!",F5180="NEW"),"",COUNTBLANK(OFFSET(A$1,,,SUMPRODUCT(MAX(ROW(E$2:E5180)*(E5180=E$2:E5180)))))-COUNTBLANK(OFFSET(A$1,,,SUMPRODUCT(MAX(ROW(E$1:E5179)*(E2=E$1:E5179))))))</f>
        <v/>
      </c>
      <c r="K5180" s="24" t="str">
        <f aca="false">IF(OR(E5180="",E5180="!!!",F5180="NEW"),"",INDEX(J$1:J5179,SUMPRODUCT(MAX(ROW(E$1:E5179)*(E5180=E$1:E5179)))))</f>
        <v/>
      </c>
      <c r="L5180" s="31"/>
    </row>
    <row r="5181" customFormat="false" ht="15" hidden="false" customHeight="false" outlineLevel="0" collapsed="false">
      <c r="A5181" s="20" t="s">
        <v>2424</v>
      </c>
      <c r="E5181" s="23" t="str">
        <f aca="false">IF(D5181="?OLD","!!!","")</f>
        <v/>
      </c>
      <c r="F5181" s="25" t="str">
        <f aca="false">IF(OR(E5181="",E5181="!!!"),"",IF(NOT(ISNA(VLOOKUP(E5181,E$1:E5180,1,FALSE()))),"OLD",IF(AND(E5181&lt;&gt;"",E5181&lt;&gt;"!!!"),"NEW","")))</f>
        <v/>
      </c>
      <c r="G5181" s="26" t="str">
        <f aca="false">IF(OR(E5181="",E5181="!!!"),"",IF(OR(J5181=0,AND(J5181=1,K5181=1),AND(J5181=1,I5181="SBJ"),AND(J5181=1,I5181=0)),"?IN_FOCUS",IF(J5181&lt;=2,"?ACTIVATED",IF(J5181&lt;&gt;"","?FAMILIAR",IF(F5181="NEW",IF(ISNA(VLOOKUP(E5181,#REF!,1,FALSE())),"?TYPE_IDENTIFIABLE","?REFERENTIAL"),"_")))))</f>
        <v/>
      </c>
      <c r="H5181" s="27" t="str">
        <f aca="false">IF(J5181&lt;&gt;1,"",IF(I5181="SBJ","CB","?"))</f>
        <v/>
      </c>
      <c r="I5181" s="24" t="str">
        <f aca="false">IF(OR(E5181="",E5181="!!!",F5181="NEW"),"",INDEX(B21:B$5161,-1+SUMPRODUCT(MAX(ROW(E21:E$5161)*(E5181=E21:E$5161)))))</f>
        <v/>
      </c>
      <c r="J5181" s="24" t="str">
        <f aca="true">IF(OR(E5181="",E5181="!!!",F5181="NEW"),"",COUNTBLANK(OFFSET(A$1,,,SUMPRODUCT(MAX(ROW(E$2:E5181)*(E5181=E$2:E5181)))))-COUNTBLANK(OFFSET(A$1,,,SUMPRODUCT(MAX(ROW(E$1:E5180)*(E2=E$1:E5180))))))</f>
        <v/>
      </c>
      <c r="K5181" s="24" t="str">
        <f aca="false">IF(OR(E5181="",E5181="!!!",F5181="NEW"),"",INDEX(J$1:J5180,SUMPRODUCT(MAX(ROW(E$1:E5180)*(E5181=E$1:E5180)))))</f>
        <v/>
      </c>
      <c r="L5181" s="31"/>
    </row>
    <row r="5182" customFormat="false" ht="15" hidden="false" customHeight="false" outlineLevel="0" collapsed="false">
      <c r="A5182" s="20" t="s">
        <v>2536</v>
      </c>
      <c r="B5182" s="22" t="s">
        <v>1067</v>
      </c>
      <c r="C5182" s="22" t="s">
        <v>1150</v>
      </c>
      <c r="D5182" s="22" t="s">
        <v>1060</v>
      </c>
      <c r="E5182" s="23" t="str">
        <f aca="false">IF(D5182="?OLD","!!!","")</f>
        <v>!!!</v>
      </c>
      <c r="F5182" s="25" t="str">
        <f aca="false">IF(OR(E5182="",E5182="!!!"),"",IF(NOT(ISNA(VLOOKUP(E5182,E$1:E5181,1,FALSE()))),"OLD",IF(AND(E5182&lt;&gt;"",E5182&lt;&gt;"!!!"),"NEW","")))</f>
        <v/>
      </c>
      <c r="G5182" s="26" t="str">
        <f aca="false">IF(OR(E5182="",E5182="!!!"),"",IF(OR(J5182=0,AND(J5182=1,K5182=1),AND(J5182=1,I5182="SBJ"),AND(J5182=1,I5182=0)),"?IN_FOCUS",IF(J5182&lt;=2,"?ACTIVATED",IF(J5182&lt;&gt;"","?FAMILIAR",IF(F5182="NEW",IF(ISNA(VLOOKUP(E5182,#REF!,1,FALSE())),"?TYPE_IDENTIFIABLE","?REFERENTIAL"),"_")))))</f>
        <v/>
      </c>
      <c r="H5182" s="27" t="str">
        <f aca="false">IF(J5182&lt;&gt;1,"",IF(I5182="SBJ","CB","?"))</f>
        <v/>
      </c>
      <c r="I5182" s="24" t="str">
        <f aca="false">IF(OR(E5182="",E5182="!!!",F5182="NEW"),"",INDEX(B22:B$5161,-1+SUMPRODUCT(MAX(ROW(E22:E$5161)*(E5182=E22:E$5161)))))</f>
        <v/>
      </c>
      <c r="J5182" s="24" t="str">
        <f aca="true">IF(OR(E5182="",E5182="!!!",F5182="NEW"),"",COUNTBLANK(OFFSET(A$1,,,SUMPRODUCT(MAX(ROW(E$2:E5182)*(E5182=E$2:E5182)))))-COUNTBLANK(OFFSET(A$1,,,SUMPRODUCT(MAX(ROW(E$1:E5181)*(E2=E$1:E5181))))))</f>
        <v/>
      </c>
      <c r="K5182" s="24" t="str">
        <f aca="false">IF(OR(E5182="",E5182="!!!",F5182="NEW"),"",INDEX(J$1:J5181,SUMPRODUCT(MAX(ROW(E$1:E5181)*(E5182=E$1:E5181)))))</f>
        <v/>
      </c>
      <c r="L5182" s="31"/>
    </row>
    <row r="5183" customFormat="false" ht="15" hidden="false" customHeight="false" outlineLevel="0" collapsed="false">
      <c r="A5183" s="20" t="s">
        <v>1064</v>
      </c>
      <c r="E5183" s="23" t="str">
        <f aca="false">IF(D5183="?OLD","!!!","")</f>
        <v/>
      </c>
      <c r="F5183" s="25" t="str">
        <f aca="false">IF(OR(E5183="",E5183="!!!"),"",IF(NOT(ISNA(VLOOKUP(E5183,E$1:E5182,1,FALSE()))),"OLD",IF(AND(E5183&lt;&gt;"",E5183&lt;&gt;"!!!"),"NEW","")))</f>
        <v/>
      </c>
      <c r="G5183" s="26" t="str">
        <f aca="false">IF(OR(E5183="",E5183="!!!"),"",IF(OR(J5183=0,AND(J5183=1,K5183=1),AND(J5183=1,I5183="SBJ"),AND(J5183=1,I5183=0)),"?IN_FOCUS",IF(J5183&lt;=2,"?ACTIVATED",IF(J5183&lt;&gt;"","?FAMILIAR",IF(F5183="NEW",IF(ISNA(VLOOKUP(E5183,#REF!,1,FALSE())),"?TYPE_IDENTIFIABLE","?REFERENTIAL"),"_")))))</f>
        <v/>
      </c>
      <c r="H5183" s="27" t="str">
        <f aca="false">IF(J5183&lt;&gt;1,"",IF(I5183="SBJ","CB","?"))</f>
        <v/>
      </c>
      <c r="I5183" s="24" t="str">
        <f aca="false">IF(OR(E5183="",E5183="!!!",F5183="NEW"),"",INDEX(B23:B$5161,-1+SUMPRODUCT(MAX(ROW(E23:E$5161)*(E5183=E23:E$5161)))))</f>
        <v/>
      </c>
      <c r="J5183" s="24" t="str">
        <f aca="true">IF(OR(E5183="",E5183="!!!",F5183="NEW"),"",COUNTBLANK(OFFSET(A$1,,,SUMPRODUCT(MAX(ROW(E$2:E5183)*(E5183=E$2:E5183)))))-COUNTBLANK(OFFSET(A$1,,,SUMPRODUCT(MAX(ROW(E$1:E5182)*(E2=E$1:E5182))))))</f>
        <v/>
      </c>
      <c r="K5183" s="24" t="str">
        <f aca="false">IF(OR(E5183="",E5183="!!!",F5183="NEW"),"",INDEX(J$1:J5182,SUMPRODUCT(MAX(ROW(E$1:E5182)*(E5183=E$1:E5182)))))</f>
        <v/>
      </c>
      <c r="L5183" s="31"/>
    </row>
    <row r="5184" customFormat="false" ht="15" hidden="false" customHeight="false" outlineLevel="0" collapsed="false">
      <c r="A5184" s="20" t="s">
        <v>1109</v>
      </c>
      <c r="E5184" s="23" t="str">
        <f aca="false">IF(D5184="?OLD","!!!","")</f>
        <v/>
      </c>
      <c r="F5184" s="25" t="str">
        <f aca="false">IF(OR(E5184="",E5184="!!!"),"",IF(NOT(ISNA(VLOOKUP(E5184,E$1:E5183,1,FALSE()))),"OLD",IF(AND(E5184&lt;&gt;"",E5184&lt;&gt;"!!!"),"NEW","")))</f>
        <v/>
      </c>
      <c r="G5184" s="26" t="str">
        <f aca="false">IF(OR(E5184="",E5184="!!!"),"",IF(OR(J5184=0,AND(J5184=1,K5184=1),AND(J5184=1,I5184="SBJ"),AND(J5184=1,I5184=0)),"?IN_FOCUS",IF(J5184&lt;=2,"?ACTIVATED",IF(J5184&lt;&gt;"","?FAMILIAR",IF(F5184="NEW",IF(ISNA(VLOOKUP(E5184,#REF!,1,FALSE())),"?TYPE_IDENTIFIABLE","?REFERENTIAL"),"_")))))</f>
        <v/>
      </c>
      <c r="H5184" s="27" t="str">
        <f aca="false">IF(J5184&lt;&gt;1,"",IF(I5184="SBJ","CB","?"))</f>
        <v/>
      </c>
      <c r="I5184" s="24" t="str">
        <f aca="false">IF(OR(E5184="",E5184="!!!",F5184="NEW"),"",INDEX(B24:B$5161,-1+SUMPRODUCT(MAX(ROW(E24:E$5161)*(E5184=E24:E$5161)))))</f>
        <v/>
      </c>
      <c r="J5184" s="24" t="str">
        <f aca="true">IF(OR(E5184="",E5184="!!!",F5184="NEW"),"",COUNTBLANK(OFFSET(A$1,,,SUMPRODUCT(MAX(ROW(E$2:E5184)*(E5184=E$2:E5184)))))-COUNTBLANK(OFFSET(A$1,,,SUMPRODUCT(MAX(ROW(E$1:E5183)*(E2=E$1:E5183))))))</f>
        <v/>
      </c>
      <c r="K5184" s="24" t="str">
        <f aca="false">IF(OR(E5184="",E5184="!!!",F5184="NEW"),"",INDEX(J$1:J5183,SUMPRODUCT(MAX(ROW(E$1:E5183)*(E5184=E$1:E5183)))))</f>
        <v/>
      </c>
      <c r="L5184" s="31"/>
    </row>
    <row r="5185" customFormat="false" ht="15" hidden="false" customHeight="false" outlineLevel="0" collapsed="false">
      <c r="A5185" s="20" t="s">
        <v>2537</v>
      </c>
      <c r="E5185" s="23" t="str">
        <f aca="false">IF(D5185="?OLD","!!!","")</f>
        <v/>
      </c>
      <c r="F5185" s="25" t="str">
        <f aca="false">IF(OR(E5185="",E5185="!!!"),"",IF(NOT(ISNA(VLOOKUP(E5185,E$1:E5184,1,FALSE()))),"OLD",IF(AND(E5185&lt;&gt;"",E5185&lt;&gt;"!!!"),"NEW","")))</f>
        <v/>
      </c>
      <c r="G5185" s="26" t="str">
        <f aca="false">IF(OR(E5185="",E5185="!!!"),"",IF(OR(J5185=0,AND(J5185=1,K5185=1),AND(J5185=1,I5185="SBJ"),AND(J5185=1,I5185=0)),"?IN_FOCUS",IF(J5185&lt;=2,"?ACTIVATED",IF(J5185&lt;&gt;"","?FAMILIAR",IF(F5185="NEW",IF(ISNA(VLOOKUP(E5185,#REF!,1,FALSE())),"?TYPE_IDENTIFIABLE","?REFERENTIAL"),"_")))))</f>
        <v/>
      </c>
      <c r="H5185" s="27" t="str">
        <f aca="false">IF(J5185&lt;&gt;1,"",IF(I5185="SBJ","CB","?"))</f>
        <v/>
      </c>
      <c r="I5185" s="24" t="str">
        <f aca="false">IF(OR(E5185="",E5185="!!!",F5185="NEW"),"",INDEX(B25:B$5161,-1+SUMPRODUCT(MAX(ROW(E25:E$5161)*(E5185=E25:E$5161)))))</f>
        <v/>
      </c>
      <c r="J5185" s="24" t="str">
        <f aca="true">IF(OR(E5185="",E5185="!!!",F5185="NEW"),"",COUNTBLANK(OFFSET(A$1,,,SUMPRODUCT(MAX(ROW(E$2:E5185)*(E5185=E$2:E5185)))))-COUNTBLANK(OFFSET(A$1,,,SUMPRODUCT(MAX(ROW(E$1:E5184)*(E2=E$1:E5184))))))</f>
        <v/>
      </c>
      <c r="K5185" s="24" t="str">
        <f aca="false">IF(OR(E5185="",E5185="!!!",F5185="NEW"),"",INDEX(J$1:J5184,SUMPRODUCT(MAX(ROW(E$1:E5184)*(E5185=E$1:E5184)))))</f>
        <v/>
      </c>
      <c r="L5185" s="31"/>
    </row>
    <row r="5186" customFormat="false" ht="15" hidden="false" customHeight="false" outlineLevel="0" collapsed="false">
      <c r="A5186" s="20" t="s">
        <v>2538</v>
      </c>
      <c r="B5186" s="22" t="s">
        <v>1107</v>
      </c>
      <c r="C5186" s="22" t="s">
        <v>1150</v>
      </c>
      <c r="D5186" s="22" t="s">
        <v>1060</v>
      </c>
      <c r="E5186" s="23" t="str">
        <f aca="false">IF(D5186="?OLD","!!!","")</f>
        <v>!!!</v>
      </c>
      <c r="F5186" s="25" t="str">
        <f aca="false">IF(OR(E5186="",E5186="!!!"),"",IF(NOT(ISNA(VLOOKUP(E5186,E$1:E5185,1,FALSE()))),"OLD",IF(AND(E5186&lt;&gt;"",E5186&lt;&gt;"!!!"),"NEW","")))</f>
        <v/>
      </c>
      <c r="G5186" s="26" t="str">
        <f aca="false">IF(OR(E5186="",E5186="!!!"),"",IF(OR(J5186=0,AND(J5186=1,K5186=1),AND(J5186=1,I5186="SBJ"),AND(J5186=1,I5186=0)),"?IN_FOCUS",IF(J5186&lt;=2,"?ACTIVATED",IF(J5186&lt;&gt;"","?FAMILIAR",IF(F5186="NEW",IF(ISNA(VLOOKUP(E5186,#REF!,1,FALSE())),"?TYPE_IDENTIFIABLE","?REFERENTIAL"),"_")))))</f>
        <v/>
      </c>
      <c r="H5186" s="27" t="str">
        <f aca="false">IF(J5186&lt;&gt;1,"",IF(I5186="SBJ","CB","?"))</f>
        <v/>
      </c>
      <c r="I5186" s="24" t="str">
        <f aca="false">IF(OR(E5186="",E5186="!!!",F5186="NEW"),"",INDEX(B26:B$5161,-1+SUMPRODUCT(MAX(ROW(E26:E$5161)*(E5186=E26:E$5161)))))</f>
        <v/>
      </c>
      <c r="J5186" s="24" t="str">
        <f aca="true">IF(OR(E5186="",E5186="!!!",F5186="NEW"),"",COUNTBLANK(OFFSET(A$1,,,SUMPRODUCT(MAX(ROW(E$2:E5186)*(E5186=E$2:E5186)))))-COUNTBLANK(OFFSET(A$1,,,SUMPRODUCT(MAX(ROW(E$1:E5185)*(E2=E$1:E5185))))))</f>
        <v/>
      </c>
      <c r="K5186" s="24" t="str">
        <f aca="false">IF(OR(E5186="",E5186="!!!",F5186="NEW"),"",INDEX(J$1:J5185,SUMPRODUCT(MAX(ROW(E$1:E5185)*(E5186=E$1:E5185)))))</f>
        <v/>
      </c>
      <c r="L5186" s="31"/>
    </row>
    <row r="5187" customFormat="false" ht="15" hidden="false" customHeight="false" outlineLevel="0" collapsed="false">
      <c r="A5187" s="20" t="s">
        <v>923</v>
      </c>
      <c r="E5187" s="23" t="str">
        <f aca="false">IF(D5187="?OLD","!!!","")</f>
        <v/>
      </c>
      <c r="F5187" s="25" t="str">
        <f aca="false">IF(OR(E5187="",E5187="!!!"),"",IF(NOT(ISNA(VLOOKUP(E5187,E$1:E5186,1,FALSE()))),"OLD",IF(AND(E5187&lt;&gt;"",E5187&lt;&gt;"!!!"),"NEW","")))</f>
        <v/>
      </c>
      <c r="G5187" s="26" t="str">
        <f aca="false">IF(OR(E5187="",E5187="!!!"),"",IF(OR(J5187=0,AND(J5187=1,K5187=1),AND(J5187=1,I5187="SBJ"),AND(J5187=1,I5187=0)),"?IN_FOCUS",IF(J5187&lt;=2,"?ACTIVATED",IF(J5187&lt;&gt;"","?FAMILIAR",IF(F5187="NEW",IF(ISNA(VLOOKUP(E5187,#REF!,1,FALSE())),"?TYPE_IDENTIFIABLE","?REFERENTIAL"),"_")))))</f>
        <v/>
      </c>
      <c r="H5187" s="27" t="str">
        <f aca="false">IF(J5187&lt;&gt;1,"",IF(I5187="SBJ","CB","?"))</f>
        <v/>
      </c>
      <c r="I5187" s="24" t="str">
        <f aca="false">IF(OR(E5187="",E5187="!!!",F5187="NEW"),"",INDEX(B27:B$5161,-1+SUMPRODUCT(MAX(ROW(E27:E$5161)*(E5187=E27:E$5161)))))</f>
        <v/>
      </c>
      <c r="J5187" s="24" t="str">
        <f aca="true">IF(OR(E5187="",E5187="!!!",F5187="NEW"),"",COUNTBLANK(OFFSET(A$1,,,SUMPRODUCT(MAX(ROW(E$2:E5187)*(E5187=E$2:E5187)))))-COUNTBLANK(OFFSET(A$1,,,SUMPRODUCT(MAX(ROW(E$1:E5186)*(E2=E$1:E5186))))))</f>
        <v/>
      </c>
      <c r="K5187" s="24" t="str">
        <f aca="false">IF(OR(E5187="",E5187="!!!",F5187="NEW"),"",INDEX(J$1:J5186,SUMPRODUCT(MAX(ROW(E$1:E5186)*(E5187=E$1:E5186)))))</f>
        <v/>
      </c>
      <c r="L5187" s="31"/>
    </row>
    <row r="5188" customFormat="false" ht="15" hidden="false" customHeight="false" outlineLevel="0" collapsed="false">
      <c r="A5188" s="20"/>
    </row>
    <row r="5189" customFormat="false" ht="15" hidden="false" customHeight="false" outlineLevel="0" collapsed="false">
      <c r="A5189" s="20" t="s">
        <v>2539</v>
      </c>
    </row>
    <row r="5190" customFormat="false" ht="15" hidden="false" customHeight="false" outlineLevel="0" collapsed="false">
      <c r="A5190" s="20" t="s">
        <v>1731</v>
      </c>
      <c r="E5190" s="23" t="str">
        <f aca="false">IF(D5190="?OLD","!!!","")</f>
        <v/>
      </c>
      <c r="F5190" s="25" t="str">
        <f aca="false">IF(OR(E5190="",E5190="!!!"),"",IF(NOT(ISNA(VLOOKUP(E5190,E$1:E5189,1,FALSE()))),"OLD",IF(AND(E5190&lt;&gt;"",E5190&lt;&gt;"!!!"),"NEW","")))</f>
        <v/>
      </c>
      <c r="G5190" s="26" t="str">
        <f aca="false">IF(OR(E5190="",E5190="!!!"),"",IF(OR(J5190=0,AND(J5190=1,K5190=1),AND(J5190=1,I5190="SBJ"),AND(J5190=1,I5190=0)),"?IN_FOCUS",IF(J5190&lt;=2,"?ACTIVATED",IF(J5190&lt;&gt;"","?FAMILIAR",IF(F5190="NEW",IF(ISNA(VLOOKUP(E5190,#REF!,1,FALSE())),"?TYPE_IDENTIFIABLE","?REFERENTIAL"),"_")))))</f>
        <v/>
      </c>
      <c r="H5190" s="27" t="str">
        <f aca="false">IF(J5190&lt;&gt;1,"",IF(I5190="SBJ","CB","?"))</f>
        <v/>
      </c>
      <c r="I5190" s="24" t="str">
        <f aca="false">IF(OR(E5190="",E5190="!!!",F5190="NEW"),"",INDEX(B2:B$5189,-1+SUMPRODUCT(MAX(ROW(E2:E$5189)*(E5190=E2:E$5189)))))</f>
        <v/>
      </c>
      <c r="J5190" s="24" t="str">
        <f aca="true">IF(OR(E5190="",E5190="!!!",F5190="NEW"),"",COUNTBLANK(OFFSET(A$1,,,SUMPRODUCT(MAX(ROW(E$2:E5190)*(E5190=E$2:E5190)))))-COUNTBLANK(OFFSET(A$1,,,SUMPRODUCT(MAX(ROW(E$1:E5189)*(E2=E$1:E5189))))))</f>
        <v/>
      </c>
      <c r="K5190" s="24" t="str">
        <f aca="false">IF(OR(E5190="",E5190="!!!",F5190="NEW"),"",INDEX(J$1:J5189,SUMPRODUCT(MAX(ROW(E$1:E5189)*(E5190=E$1:E5189)))))</f>
        <v/>
      </c>
      <c r="L5190" s="31"/>
    </row>
    <row r="5191" customFormat="false" ht="15" hidden="false" customHeight="false" outlineLevel="0" collapsed="false">
      <c r="A5191" s="20" t="s">
        <v>1078</v>
      </c>
      <c r="B5191" s="22" t="s">
        <v>1105</v>
      </c>
      <c r="C5191" s="22" t="s">
        <v>1059</v>
      </c>
      <c r="D5191" s="22" t="s">
        <v>1060</v>
      </c>
      <c r="E5191" s="23" t="str">
        <f aca="false">IF(D5191="?OLD","!!!","")</f>
        <v>!!!</v>
      </c>
      <c r="F5191" s="25" t="str">
        <f aca="false">IF(OR(E5191="",E5191="!!!"),"",IF(NOT(ISNA(VLOOKUP(E5191,E$1:E5190,1,FALSE()))),"OLD",IF(AND(E5191&lt;&gt;"",E5191&lt;&gt;"!!!"),"NEW","")))</f>
        <v/>
      </c>
      <c r="G5191" s="26" t="str">
        <f aca="false">IF(OR(E5191="",E5191="!!!"),"",IF(OR(J5191=0,AND(J5191=1,K5191=1),AND(J5191=1,I5191="SBJ"),AND(J5191=1,I5191=0)),"?IN_FOCUS",IF(J5191&lt;=2,"?ACTIVATED",IF(J5191&lt;&gt;"","?FAMILIAR",IF(F5191="NEW",IF(ISNA(VLOOKUP(E5191,#REF!,1,FALSE())),"?TYPE_IDENTIFIABLE","?REFERENTIAL"),"_")))))</f>
        <v/>
      </c>
      <c r="H5191" s="27" t="str">
        <f aca="false">IF(J5191&lt;&gt;1,"",IF(I5191="SBJ","CB","?"))</f>
        <v/>
      </c>
      <c r="I5191" s="24" t="str">
        <f aca="false">IF(OR(E5191="",E5191="!!!",F5191="NEW"),"",INDEX(B3:B$5189,-1+SUMPRODUCT(MAX(ROW(E3:E$5189)*(E5191=E3:E$5189)))))</f>
        <v/>
      </c>
      <c r="J5191" s="24" t="str">
        <f aca="true">IF(OR(E5191="",E5191="!!!",F5191="NEW"),"",COUNTBLANK(OFFSET(A$1,,,SUMPRODUCT(MAX(ROW(E$2:E5191)*(E5191=E$2:E5191)))))-COUNTBLANK(OFFSET(A$1,,,SUMPRODUCT(MAX(ROW(E$1:E5190)*(E2=E$1:E5190))))))</f>
        <v/>
      </c>
      <c r="K5191" s="24" t="str">
        <f aca="false">IF(OR(E5191="",E5191="!!!",F5191="NEW"),"",INDEX(J$1:J5190,SUMPRODUCT(MAX(ROW(E$1:E5190)*(E5191=E$1:E5190)))))</f>
        <v/>
      </c>
      <c r="L5191" s="31"/>
    </row>
    <row r="5192" customFormat="false" ht="15" hidden="false" customHeight="false" outlineLevel="0" collapsed="false">
      <c r="A5192" s="20" t="s">
        <v>1064</v>
      </c>
      <c r="E5192" s="23" t="str">
        <f aca="false">IF(D5192="?OLD","!!!","")</f>
        <v/>
      </c>
      <c r="F5192" s="25" t="str">
        <f aca="false">IF(OR(E5192="",E5192="!!!"),"",IF(NOT(ISNA(VLOOKUP(E5192,E$1:E5191,1,FALSE()))),"OLD",IF(AND(E5192&lt;&gt;"",E5192&lt;&gt;"!!!"),"NEW","")))</f>
        <v/>
      </c>
      <c r="G5192" s="26" t="str">
        <f aca="false">IF(OR(E5192="",E5192="!!!"),"",IF(OR(J5192=0,AND(J5192=1,K5192=1),AND(J5192=1,I5192="SBJ"),AND(J5192=1,I5192=0)),"?IN_FOCUS",IF(J5192&lt;=2,"?ACTIVATED",IF(J5192&lt;&gt;"","?FAMILIAR",IF(F5192="NEW",IF(ISNA(VLOOKUP(E5192,#REF!,1,FALSE())),"?TYPE_IDENTIFIABLE","?REFERENTIAL"),"_")))))</f>
        <v/>
      </c>
      <c r="H5192" s="27" t="str">
        <f aca="false">IF(J5192&lt;&gt;1,"",IF(I5192="SBJ","CB","?"))</f>
        <v/>
      </c>
      <c r="I5192" s="24" t="str">
        <f aca="false">IF(OR(E5192="",E5192="!!!",F5192="NEW"),"",INDEX(B4:B$5189,-1+SUMPRODUCT(MAX(ROW(E4:E$5189)*(E5192=E4:E$5189)))))</f>
        <v/>
      </c>
      <c r="J5192" s="24" t="str">
        <f aca="true">IF(OR(E5192="",E5192="!!!",F5192="NEW"),"",COUNTBLANK(OFFSET(A$1,,,SUMPRODUCT(MAX(ROW(E$2:E5192)*(E5192=E$2:E5192)))))-COUNTBLANK(OFFSET(A$1,,,SUMPRODUCT(MAX(ROW(E$1:E5191)*(E2=E$1:E5191))))))</f>
        <v/>
      </c>
      <c r="K5192" s="24" t="str">
        <f aca="false">IF(OR(E5192="",E5192="!!!",F5192="NEW"),"",INDEX(J$1:J5191,SUMPRODUCT(MAX(ROW(E$1:E5191)*(E5192=E$1:E5191)))))</f>
        <v/>
      </c>
      <c r="L5192" s="31"/>
    </row>
    <row r="5193" customFormat="false" ht="15" hidden="false" customHeight="false" outlineLevel="0" collapsed="false">
      <c r="A5193" s="20" t="s">
        <v>2540</v>
      </c>
      <c r="E5193" s="23" t="str">
        <f aca="false">IF(D5193="?OLD","!!!","")</f>
        <v/>
      </c>
      <c r="F5193" s="25" t="str">
        <f aca="false">IF(OR(E5193="",E5193="!!!"),"",IF(NOT(ISNA(VLOOKUP(E5193,E$1:E5192,1,FALSE()))),"OLD",IF(AND(E5193&lt;&gt;"",E5193&lt;&gt;"!!!"),"NEW","")))</f>
        <v/>
      </c>
      <c r="G5193" s="26" t="str">
        <f aca="false">IF(OR(E5193="",E5193="!!!"),"",IF(OR(J5193=0,AND(J5193=1,K5193=1),AND(J5193=1,I5193="SBJ"),AND(J5193=1,I5193=0)),"?IN_FOCUS",IF(J5193&lt;=2,"?ACTIVATED",IF(J5193&lt;&gt;"","?FAMILIAR",IF(F5193="NEW",IF(ISNA(VLOOKUP(E5193,#REF!,1,FALSE())),"?TYPE_IDENTIFIABLE","?REFERENTIAL"),"_")))))</f>
        <v/>
      </c>
      <c r="H5193" s="27" t="str">
        <f aca="false">IF(J5193&lt;&gt;1,"",IF(I5193="SBJ","CB","?"))</f>
        <v/>
      </c>
      <c r="I5193" s="24" t="str">
        <f aca="false">IF(OR(E5193="",E5193="!!!",F5193="NEW"),"",INDEX(B5:B$5189,-1+SUMPRODUCT(MAX(ROW(E5:E$5189)*(E5193=E5:E$5189)))))</f>
        <v/>
      </c>
      <c r="J5193" s="24" t="str">
        <f aca="true">IF(OR(E5193="",E5193="!!!",F5193="NEW"),"",COUNTBLANK(OFFSET(A$1,,,SUMPRODUCT(MAX(ROW(E$2:E5193)*(E5193=E$2:E5193)))))-COUNTBLANK(OFFSET(A$1,,,SUMPRODUCT(MAX(ROW(E$1:E5192)*(E2=E$1:E5192))))))</f>
        <v/>
      </c>
      <c r="K5193" s="24" t="str">
        <f aca="false">IF(OR(E5193="",E5193="!!!",F5193="NEW"),"",INDEX(J$1:J5192,SUMPRODUCT(MAX(ROW(E$1:E5192)*(E5193=E$1:E5192)))))</f>
        <v/>
      </c>
      <c r="L5193" s="31"/>
    </row>
    <row r="5194" customFormat="false" ht="15" hidden="false" customHeight="false" outlineLevel="0" collapsed="false">
      <c r="A5194" s="20" t="s">
        <v>1085</v>
      </c>
      <c r="E5194" s="23" t="str">
        <f aca="false">IF(D5194="?OLD","!!!","")</f>
        <v/>
      </c>
      <c r="F5194" s="25" t="str">
        <f aca="false">IF(OR(E5194="",E5194="!!!"),"",IF(NOT(ISNA(VLOOKUP(E5194,E$1:E5193,1,FALSE()))),"OLD",IF(AND(E5194&lt;&gt;"",E5194&lt;&gt;"!!!"),"NEW","")))</f>
        <v/>
      </c>
      <c r="G5194" s="26" t="str">
        <f aca="false">IF(OR(E5194="",E5194="!!!"),"",IF(OR(J5194=0,AND(J5194=1,K5194=1),AND(J5194=1,I5194="SBJ"),AND(J5194=1,I5194=0)),"?IN_FOCUS",IF(J5194&lt;=2,"?ACTIVATED",IF(J5194&lt;&gt;"","?FAMILIAR",IF(F5194="NEW",IF(ISNA(VLOOKUP(E5194,#REF!,1,FALSE())),"?TYPE_IDENTIFIABLE","?REFERENTIAL"),"_")))))</f>
        <v/>
      </c>
      <c r="H5194" s="27" t="str">
        <f aca="false">IF(J5194&lt;&gt;1,"",IF(I5194="SBJ","CB","?"))</f>
        <v/>
      </c>
      <c r="I5194" s="24" t="str">
        <f aca="false">IF(OR(E5194="",E5194="!!!",F5194="NEW"),"",INDEX(B6:B$5189,-1+SUMPRODUCT(MAX(ROW(E6:E$5189)*(E5194=E6:E$5189)))))</f>
        <v/>
      </c>
      <c r="J5194" s="24" t="str">
        <f aca="true">IF(OR(E5194="",E5194="!!!",F5194="NEW"),"",COUNTBLANK(OFFSET(A$1,,,SUMPRODUCT(MAX(ROW(E$2:E5194)*(E5194=E$2:E5194)))))-COUNTBLANK(OFFSET(A$1,,,SUMPRODUCT(MAX(ROW(E$1:E5193)*(E2=E$1:E5193))))))</f>
        <v/>
      </c>
      <c r="K5194" s="24" t="str">
        <f aca="false">IF(OR(E5194="",E5194="!!!",F5194="NEW"),"",INDEX(J$1:J5193,SUMPRODUCT(MAX(ROW(E$1:E5193)*(E5194=E$1:E5193)))))</f>
        <v/>
      </c>
      <c r="L5194" s="31"/>
    </row>
    <row r="5195" customFormat="false" ht="15" hidden="false" customHeight="false" outlineLevel="0" collapsed="false">
      <c r="A5195" s="20" t="s">
        <v>2541</v>
      </c>
      <c r="B5195" s="22" t="s">
        <v>1073</v>
      </c>
      <c r="C5195" s="22" t="s">
        <v>1171</v>
      </c>
      <c r="D5195" s="22" t="s">
        <v>1060</v>
      </c>
      <c r="E5195" s="23" t="str">
        <f aca="false">IF(D5195="?OLD","!!!","")</f>
        <v>!!!</v>
      </c>
      <c r="F5195" s="25" t="str">
        <f aca="false">IF(OR(E5195="",E5195="!!!"),"",IF(NOT(ISNA(VLOOKUP(E5195,E$1:E5194,1,FALSE()))),"OLD",IF(AND(E5195&lt;&gt;"",E5195&lt;&gt;"!!!"),"NEW","")))</f>
        <v/>
      </c>
      <c r="G5195" s="26" t="str">
        <f aca="false">IF(OR(E5195="",E5195="!!!"),"",IF(OR(J5195=0,AND(J5195=1,K5195=1),AND(J5195=1,I5195="SBJ"),AND(J5195=1,I5195=0)),"?IN_FOCUS",IF(J5195&lt;=2,"?ACTIVATED",IF(J5195&lt;&gt;"","?FAMILIAR",IF(F5195="NEW",IF(ISNA(VLOOKUP(E5195,#REF!,1,FALSE())),"?TYPE_IDENTIFIABLE","?REFERENTIAL"),"_")))))</f>
        <v/>
      </c>
      <c r="H5195" s="27" t="str">
        <f aca="false">IF(J5195&lt;&gt;1,"",IF(I5195="SBJ","CB","?"))</f>
        <v/>
      </c>
      <c r="I5195" s="24" t="str">
        <f aca="false">IF(OR(E5195="",E5195="!!!",F5195="NEW"),"",INDEX(B7:B$5189,-1+SUMPRODUCT(MAX(ROW(E7:E$5189)*(E5195=E7:E$5189)))))</f>
        <v/>
      </c>
      <c r="J5195" s="24" t="str">
        <f aca="true">IF(OR(E5195="",E5195="!!!",F5195="NEW"),"",COUNTBLANK(OFFSET(A$1,,,SUMPRODUCT(MAX(ROW(E$2:E5195)*(E5195=E$2:E5195)))))-COUNTBLANK(OFFSET(A$1,,,SUMPRODUCT(MAX(ROW(E$1:E5194)*(E2=E$1:E5194))))))</f>
        <v/>
      </c>
      <c r="K5195" s="24" t="str">
        <f aca="false">IF(OR(E5195="",E5195="!!!",F5195="NEW"),"",INDEX(J$1:J5194,SUMPRODUCT(MAX(ROW(E$1:E5194)*(E5195=E$1:E5194)))))</f>
        <v/>
      </c>
      <c r="L5195" s="31"/>
    </row>
    <row r="5196" customFormat="false" ht="15" hidden="false" customHeight="false" outlineLevel="0" collapsed="false">
      <c r="A5196" s="20" t="s">
        <v>1128</v>
      </c>
      <c r="E5196" s="23" t="str">
        <f aca="false">IF(D5196="?OLD","!!!","")</f>
        <v/>
      </c>
      <c r="F5196" s="25" t="str">
        <f aca="false">IF(OR(E5196="",E5196="!!!"),"",IF(NOT(ISNA(VLOOKUP(E5196,E$1:E5195,1,FALSE()))),"OLD",IF(AND(E5196&lt;&gt;"",E5196&lt;&gt;"!!!"),"NEW","")))</f>
        <v/>
      </c>
      <c r="G5196" s="26" t="str">
        <f aca="false">IF(OR(E5196="",E5196="!!!"),"",IF(OR(J5196=0,AND(J5196=1,K5196=1),AND(J5196=1,I5196="SBJ"),AND(J5196=1,I5196=0)),"?IN_FOCUS",IF(J5196&lt;=2,"?ACTIVATED",IF(J5196&lt;&gt;"","?FAMILIAR",IF(F5196="NEW",IF(ISNA(VLOOKUP(E5196,#REF!,1,FALSE())),"?TYPE_IDENTIFIABLE","?REFERENTIAL"),"_")))))</f>
        <v/>
      </c>
      <c r="H5196" s="27" t="str">
        <f aca="false">IF(J5196&lt;&gt;1,"",IF(I5196="SBJ","CB","?"))</f>
        <v/>
      </c>
      <c r="I5196" s="24" t="str">
        <f aca="false">IF(OR(E5196="",E5196="!!!",F5196="NEW"),"",INDEX(B8:B$5189,-1+SUMPRODUCT(MAX(ROW(E8:E$5189)*(E5196=E8:E$5189)))))</f>
        <v/>
      </c>
      <c r="J5196" s="24" t="str">
        <f aca="true">IF(OR(E5196="",E5196="!!!",F5196="NEW"),"",COUNTBLANK(OFFSET(A$1,,,SUMPRODUCT(MAX(ROW(E$2:E5196)*(E5196=E$2:E5196)))))-COUNTBLANK(OFFSET(A$1,,,SUMPRODUCT(MAX(ROW(E$1:E5195)*(E2=E$1:E5195))))))</f>
        <v/>
      </c>
      <c r="K5196" s="24" t="str">
        <f aca="false">IF(OR(E5196="",E5196="!!!",F5196="NEW"),"",INDEX(J$1:J5195,SUMPRODUCT(MAX(ROW(E$1:E5195)*(E5196=E$1:E5195)))))</f>
        <v/>
      </c>
      <c r="L5196" s="31"/>
    </row>
    <row r="5197" customFormat="false" ht="15" hidden="false" customHeight="false" outlineLevel="0" collapsed="false">
      <c r="A5197" s="20" t="s">
        <v>2542</v>
      </c>
      <c r="B5197" s="22" t="s">
        <v>1067</v>
      </c>
      <c r="C5197" s="22" t="s">
        <v>1160</v>
      </c>
      <c r="E5197" s="23" t="str">
        <f aca="false">IF(D5197="?OLD","!!!","")</f>
        <v/>
      </c>
      <c r="F5197" s="25" t="str">
        <f aca="false">IF(OR(E5197="",E5197="!!!"),"",IF(NOT(ISNA(VLOOKUP(E5197,E$1:E5196,1,FALSE()))),"OLD",IF(AND(E5197&lt;&gt;"",E5197&lt;&gt;"!!!"),"NEW","")))</f>
        <v/>
      </c>
      <c r="G5197" s="26" t="str">
        <f aca="false">IF(OR(E5197="",E5197="!!!"),"",IF(OR(J5197=0,AND(J5197=1,K5197=1),AND(J5197=1,I5197="SBJ"),AND(J5197=1,I5197=0)),"?IN_FOCUS",IF(J5197&lt;=2,"?ACTIVATED",IF(J5197&lt;&gt;"","?FAMILIAR",IF(F5197="NEW",IF(ISNA(VLOOKUP(E5197,#REF!,1,FALSE())),"?TYPE_IDENTIFIABLE","?REFERENTIAL"),"_")))))</f>
        <v/>
      </c>
      <c r="H5197" s="27" t="str">
        <f aca="false">IF(J5197&lt;&gt;1,"",IF(I5197="SBJ","CB","?"))</f>
        <v/>
      </c>
      <c r="I5197" s="24" t="str">
        <f aca="false">IF(OR(E5197="",E5197="!!!",F5197="NEW"),"",INDEX(B9:B$5189,-1+SUMPRODUCT(MAX(ROW(E9:E$5189)*(E5197=E9:E$5189)))))</f>
        <v/>
      </c>
      <c r="J5197" s="24" t="str">
        <f aca="true">IF(OR(E5197="",E5197="!!!",F5197="NEW"),"",COUNTBLANK(OFFSET(A$1,,,SUMPRODUCT(MAX(ROW(E$2:E5197)*(E5197=E$2:E5197)))))-COUNTBLANK(OFFSET(A$1,,,SUMPRODUCT(MAX(ROW(E$1:E5196)*(E2=E$1:E5196))))))</f>
        <v/>
      </c>
      <c r="K5197" s="24" t="str">
        <f aca="false">IF(OR(E5197="",E5197="!!!",F5197="NEW"),"",INDEX(J$1:J5196,SUMPRODUCT(MAX(ROW(E$1:E5196)*(E5197=E$1:E5196)))))</f>
        <v/>
      </c>
      <c r="L5197" s="31"/>
    </row>
    <row r="5198" customFormat="false" ht="15" hidden="false" customHeight="false" outlineLevel="0" collapsed="false">
      <c r="A5198" s="20" t="s">
        <v>1213</v>
      </c>
      <c r="E5198" s="23" t="str">
        <f aca="false">IF(D5198="?OLD","!!!","")</f>
        <v/>
      </c>
      <c r="F5198" s="25" t="str">
        <f aca="false">IF(OR(E5198="",E5198="!!!"),"",IF(NOT(ISNA(VLOOKUP(E5198,E$1:E5197,1,FALSE()))),"OLD",IF(AND(E5198&lt;&gt;"",E5198&lt;&gt;"!!!"),"NEW","")))</f>
        <v/>
      </c>
      <c r="G5198" s="26" t="str">
        <f aca="false">IF(OR(E5198="",E5198="!!!"),"",IF(OR(J5198=0,AND(J5198=1,K5198=1),AND(J5198=1,I5198="SBJ"),AND(J5198=1,I5198=0)),"?IN_FOCUS",IF(J5198&lt;=2,"?ACTIVATED",IF(J5198&lt;&gt;"","?FAMILIAR",IF(F5198="NEW",IF(ISNA(VLOOKUP(E5198,#REF!,1,FALSE())),"?TYPE_IDENTIFIABLE","?REFERENTIAL"),"_")))))</f>
        <v/>
      </c>
      <c r="H5198" s="27" t="str">
        <f aca="false">IF(J5198&lt;&gt;1,"",IF(I5198="SBJ","CB","?"))</f>
        <v/>
      </c>
      <c r="I5198" s="24" t="str">
        <f aca="false">IF(OR(E5198="",E5198="!!!",F5198="NEW"),"",INDEX(B10:B$5189,-1+SUMPRODUCT(MAX(ROW(E10:E$5189)*(E5198=E10:E$5189)))))</f>
        <v/>
      </c>
      <c r="J5198" s="24" t="str">
        <f aca="true">IF(OR(E5198="",E5198="!!!",F5198="NEW"),"",COUNTBLANK(OFFSET(A$1,,,SUMPRODUCT(MAX(ROW(E$2:E5198)*(E5198=E$2:E5198)))))-COUNTBLANK(OFFSET(A$1,,,SUMPRODUCT(MAX(ROW(E$1:E5197)*(E2=E$1:E5197))))))</f>
        <v/>
      </c>
      <c r="K5198" s="24" t="str">
        <f aca="false">IF(OR(E5198="",E5198="!!!",F5198="NEW"),"",INDEX(J$1:J5197,SUMPRODUCT(MAX(ROW(E$1:E5197)*(E5198=E$1:E5197)))))</f>
        <v/>
      </c>
      <c r="L5198" s="31"/>
    </row>
    <row r="5199" customFormat="false" ht="15" hidden="false" customHeight="false" outlineLevel="0" collapsed="false">
      <c r="A5199" s="20" t="s">
        <v>1085</v>
      </c>
      <c r="E5199" s="23" t="str">
        <f aca="false">IF(D5199="?OLD","!!!","")</f>
        <v/>
      </c>
      <c r="F5199" s="25" t="str">
        <f aca="false">IF(OR(E5199="",E5199="!!!"),"",IF(NOT(ISNA(VLOOKUP(E5199,E$1:E5198,1,FALSE()))),"OLD",IF(AND(E5199&lt;&gt;"",E5199&lt;&gt;"!!!"),"NEW","")))</f>
        <v/>
      </c>
      <c r="G5199" s="26" t="str">
        <f aca="false">IF(OR(E5199="",E5199="!!!"),"",IF(OR(J5199=0,AND(J5199=1,K5199=1),AND(J5199=1,I5199="SBJ"),AND(J5199=1,I5199=0)),"?IN_FOCUS",IF(J5199&lt;=2,"?ACTIVATED",IF(J5199&lt;&gt;"","?FAMILIAR",IF(F5199="NEW",IF(ISNA(VLOOKUP(E5199,#REF!,1,FALSE())),"?TYPE_IDENTIFIABLE","?REFERENTIAL"),"_")))))</f>
        <v/>
      </c>
      <c r="H5199" s="27" t="str">
        <f aca="false">IF(J5199&lt;&gt;1,"",IF(I5199="SBJ","CB","?"))</f>
        <v/>
      </c>
      <c r="I5199" s="24" t="str">
        <f aca="false">IF(OR(E5199="",E5199="!!!",F5199="NEW"),"",INDEX(B11:B$5189,-1+SUMPRODUCT(MAX(ROW(E11:E$5189)*(E5199=E11:E$5189)))))</f>
        <v/>
      </c>
      <c r="J5199" s="24" t="str">
        <f aca="true">IF(OR(E5199="",E5199="!!!",F5199="NEW"),"",COUNTBLANK(OFFSET(A$1,,,SUMPRODUCT(MAX(ROW(E$2:E5199)*(E5199=E$2:E5199)))))-COUNTBLANK(OFFSET(A$1,,,SUMPRODUCT(MAX(ROW(E$1:E5198)*(E2=E$1:E5198))))))</f>
        <v/>
      </c>
      <c r="K5199" s="24" t="str">
        <f aca="false">IF(OR(E5199="",E5199="!!!",F5199="NEW"),"",INDEX(J$1:J5198,SUMPRODUCT(MAX(ROW(E$1:E5198)*(E5199=E$1:E5198)))))</f>
        <v/>
      </c>
      <c r="L5199" s="31"/>
    </row>
    <row r="5200" customFormat="false" ht="15" hidden="false" customHeight="false" outlineLevel="0" collapsed="false">
      <c r="A5200" s="20" t="s">
        <v>2543</v>
      </c>
      <c r="B5200" s="22" t="s">
        <v>1067</v>
      </c>
      <c r="C5200" s="22" t="s">
        <v>1087</v>
      </c>
      <c r="E5200" s="23" t="str">
        <f aca="false">IF(D5200="?OLD","!!!","")</f>
        <v/>
      </c>
      <c r="F5200" s="25" t="str">
        <f aca="false">IF(OR(E5200="",E5200="!!!"),"",IF(NOT(ISNA(VLOOKUP(E5200,E$1:E5199,1,FALSE()))),"OLD",IF(AND(E5200&lt;&gt;"",E5200&lt;&gt;"!!!"),"NEW","")))</f>
        <v/>
      </c>
      <c r="G5200" s="26" t="str">
        <f aca="false">IF(OR(E5200="",E5200="!!!"),"",IF(OR(J5200=0,AND(J5200=1,K5200=1),AND(J5200=1,I5200="SBJ"),AND(J5200=1,I5200=0)),"?IN_FOCUS",IF(J5200&lt;=2,"?ACTIVATED",IF(J5200&lt;&gt;"","?FAMILIAR",IF(F5200="NEW",IF(ISNA(VLOOKUP(E5200,#REF!,1,FALSE())),"?TYPE_IDENTIFIABLE","?REFERENTIAL"),"_")))))</f>
        <v/>
      </c>
      <c r="H5200" s="27" t="str">
        <f aca="false">IF(J5200&lt;&gt;1,"",IF(I5200="SBJ","CB","?"))</f>
        <v/>
      </c>
      <c r="I5200" s="24" t="str">
        <f aca="false">IF(OR(E5200="",E5200="!!!",F5200="NEW"),"",INDEX(B12:B$5189,-1+SUMPRODUCT(MAX(ROW(E12:E$5189)*(E5200=E12:E$5189)))))</f>
        <v/>
      </c>
      <c r="J5200" s="24" t="str">
        <f aca="true">IF(OR(E5200="",E5200="!!!",F5200="NEW"),"",COUNTBLANK(OFFSET(A$1,,,SUMPRODUCT(MAX(ROW(E$2:E5200)*(E5200=E$2:E5200)))))-COUNTBLANK(OFFSET(A$1,,,SUMPRODUCT(MAX(ROW(E$1:E5199)*(E2=E$1:E5199))))))</f>
        <v/>
      </c>
      <c r="K5200" s="24" t="str">
        <f aca="false">IF(OR(E5200="",E5200="!!!",F5200="NEW"),"",INDEX(J$1:J5199,SUMPRODUCT(MAX(ROW(E$1:E5199)*(E5200=E$1:E5199)))))</f>
        <v/>
      </c>
      <c r="L5200" s="31"/>
    </row>
    <row r="5201" customFormat="false" ht="15" hidden="false" customHeight="false" outlineLevel="0" collapsed="false">
      <c r="A5201" s="20" t="s">
        <v>1064</v>
      </c>
      <c r="E5201" s="23" t="str">
        <f aca="false">IF(D5201="?OLD","!!!","")</f>
        <v/>
      </c>
      <c r="F5201" s="25" t="str">
        <f aca="false">IF(OR(E5201="",E5201="!!!"),"",IF(NOT(ISNA(VLOOKUP(E5201,E$1:E5200,1,FALSE()))),"OLD",IF(AND(E5201&lt;&gt;"",E5201&lt;&gt;"!!!"),"NEW","")))</f>
        <v/>
      </c>
      <c r="G5201" s="26" t="str">
        <f aca="false">IF(OR(E5201="",E5201="!!!"),"",IF(OR(J5201=0,AND(J5201=1,K5201=1),AND(J5201=1,I5201="SBJ"),AND(J5201=1,I5201=0)),"?IN_FOCUS",IF(J5201&lt;=2,"?ACTIVATED",IF(J5201&lt;&gt;"","?FAMILIAR",IF(F5201="NEW",IF(ISNA(VLOOKUP(E5201,#REF!,1,FALSE())),"?TYPE_IDENTIFIABLE","?REFERENTIAL"),"_")))))</f>
        <v/>
      </c>
      <c r="H5201" s="27" t="str">
        <f aca="false">IF(J5201&lt;&gt;1,"",IF(I5201="SBJ","CB","?"))</f>
        <v/>
      </c>
      <c r="I5201" s="24" t="str">
        <f aca="false">IF(OR(E5201="",E5201="!!!",F5201="NEW"),"",INDEX(B13:B$5189,-1+SUMPRODUCT(MAX(ROW(E13:E$5189)*(E5201=E13:E$5189)))))</f>
        <v/>
      </c>
      <c r="J5201" s="24" t="str">
        <f aca="true">IF(OR(E5201="",E5201="!!!",F5201="NEW"),"",COUNTBLANK(OFFSET(A$1,,,SUMPRODUCT(MAX(ROW(E$2:E5201)*(E5201=E$2:E5201)))))-COUNTBLANK(OFFSET(A$1,,,SUMPRODUCT(MAX(ROW(E$1:E5200)*(E2=E$1:E5200))))))</f>
        <v/>
      </c>
      <c r="K5201" s="24" t="str">
        <f aca="false">IF(OR(E5201="",E5201="!!!",F5201="NEW"),"",INDEX(J$1:J5200,SUMPRODUCT(MAX(ROW(E$1:E5200)*(E5201=E$1:E5200)))))</f>
        <v/>
      </c>
      <c r="L5201" s="31"/>
    </row>
    <row r="5202" customFormat="false" ht="15" hidden="false" customHeight="false" outlineLevel="0" collapsed="false">
      <c r="A5202" s="20" t="s">
        <v>2544</v>
      </c>
      <c r="E5202" s="23" t="str">
        <f aca="false">IF(D5202="?OLD","!!!","")</f>
        <v/>
      </c>
      <c r="F5202" s="25" t="str">
        <f aca="false">IF(OR(E5202="",E5202="!!!"),"",IF(NOT(ISNA(VLOOKUP(E5202,E$1:E5201,1,FALSE()))),"OLD",IF(AND(E5202&lt;&gt;"",E5202&lt;&gt;"!!!"),"NEW","")))</f>
        <v/>
      </c>
      <c r="G5202" s="26" t="str">
        <f aca="false">IF(OR(E5202="",E5202="!!!"),"",IF(OR(J5202=0,AND(J5202=1,K5202=1),AND(J5202=1,I5202="SBJ"),AND(J5202=1,I5202=0)),"?IN_FOCUS",IF(J5202&lt;=2,"?ACTIVATED",IF(J5202&lt;&gt;"","?FAMILIAR",IF(F5202="NEW",IF(ISNA(VLOOKUP(E5202,#REF!,1,FALSE())),"?TYPE_IDENTIFIABLE","?REFERENTIAL"),"_")))))</f>
        <v/>
      </c>
      <c r="H5202" s="27" t="str">
        <f aca="false">IF(J5202&lt;&gt;1,"",IF(I5202="SBJ","CB","?"))</f>
        <v/>
      </c>
      <c r="I5202" s="24" t="str">
        <f aca="false">IF(OR(E5202="",E5202="!!!",F5202="NEW"),"",INDEX(B14:B$5189,-1+SUMPRODUCT(MAX(ROW(E14:E$5189)*(E5202=E14:E$5189)))))</f>
        <v/>
      </c>
      <c r="J5202" s="24" t="str">
        <f aca="true">IF(OR(E5202="",E5202="!!!",F5202="NEW"),"",COUNTBLANK(OFFSET(A$1,,,SUMPRODUCT(MAX(ROW(E$2:E5202)*(E5202=E$2:E5202)))))-COUNTBLANK(OFFSET(A$1,,,SUMPRODUCT(MAX(ROW(E$1:E5201)*(E2=E$1:E5201))))))</f>
        <v/>
      </c>
      <c r="K5202" s="24" t="str">
        <f aca="false">IF(OR(E5202="",E5202="!!!",F5202="NEW"),"",INDEX(J$1:J5201,SUMPRODUCT(MAX(ROW(E$1:E5201)*(E5202=E$1:E5201)))))</f>
        <v/>
      </c>
      <c r="L5202" s="31"/>
    </row>
    <row r="5203" customFormat="false" ht="15" hidden="false" customHeight="false" outlineLevel="0" collapsed="false">
      <c r="A5203" s="20" t="s">
        <v>2545</v>
      </c>
      <c r="B5203" s="22" t="s">
        <v>1107</v>
      </c>
      <c r="C5203" s="22" t="s">
        <v>1160</v>
      </c>
      <c r="E5203" s="23" t="str">
        <f aca="false">IF(D5203="?OLD","!!!","")</f>
        <v/>
      </c>
      <c r="F5203" s="25" t="str">
        <f aca="false">IF(OR(E5203="",E5203="!!!"),"",IF(NOT(ISNA(VLOOKUP(E5203,E$1:E5202,1,FALSE()))),"OLD",IF(AND(E5203&lt;&gt;"",E5203&lt;&gt;"!!!"),"NEW","")))</f>
        <v/>
      </c>
      <c r="G5203" s="26" t="str">
        <f aca="false">IF(OR(E5203="",E5203="!!!"),"",IF(OR(J5203=0,AND(J5203=1,K5203=1),AND(J5203=1,I5203="SBJ"),AND(J5203=1,I5203=0)),"?IN_FOCUS",IF(J5203&lt;=2,"?ACTIVATED",IF(J5203&lt;&gt;"","?FAMILIAR",IF(F5203="NEW",IF(ISNA(VLOOKUP(E5203,#REF!,1,FALSE())),"?TYPE_IDENTIFIABLE","?REFERENTIAL"),"_")))))</f>
        <v/>
      </c>
      <c r="H5203" s="27" t="str">
        <f aca="false">IF(J5203&lt;&gt;1,"",IF(I5203="SBJ","CB","?"))</f>
        <v/>
      </c>
      <c r="I5203" s="24" t="str">
        <f aca="false">IF(OR(E5203="",E5203="!!!",F5203="NEW"),"",INDEX(B15:B$5189,-1+SUMPRODUCT(MAX(ROW(E15:E$5189)*(E5203=E15:E$5189)))))</f>
        <v/>
      </c>
      <c r="J5203" s="24" t="str">
        <f aca="true">IF(OR(E5203="",E5203="!!!",F5203="NEW"),"",COUNTBLANK(OFFSET(A$1,,,SUMPRODUCT(MAX(ROW(E$2:E5203)*(E5203=E$2:E5203)))))-COUNTBLANK(OFFSET(A$1,,,SUMPRODUCT(MAX(ROW(E$1:E5202)*(E2=E$1:E5202))))))</f>
        <v/>
      </c>
      <c r="K5203" s="24" t="str">
        <f aca="false">IF(OR(E5203="",E5203="!!!",F5203="NEW"),"",INDEX(J$1:J5202,SUMPRODUCT(MAX(ROW(E$1:E5202)*(E5203=E$1:E5202)))))</f>
        <v/>
      </c>
      <c r="L5203" s="31"/>
    </row>
    <row r="5204" customFormat="false" ht="15" hidden="false" customHeight="false" outlineLevel="0" collapsed="false">
      <c r="A5204" s="20" t="s">
        <v>1904</v>
      </c>
      <c r="E5204" s="23" t="str">
        <f aca="false">IF(D5204="?OLD","!!!","")</f>
        <v/>
      </c>
      <c r="F5204" s="25" t="str">
        <f aca="false">IF(OR(E5204="",E5204="!!!"),"",IF(NOT(ISNA(VLOOKUP(E5204,E$1:E5203,1,FALSE()))),"OLD",IF(AND(E5204&lt;&gt;"",E5204&lt;&gt;"!!!"),"NEW","")))</f>
        <v/>
      </c>
      <c r="G5204" s="26" t="str">
        <f aca="false">IF(OR(E5204="",E5204="!!!"),"",IF(OR(J5204=0,AND(J5204=1,K5204=1),AND(J5204=1,I5204="SBJ"),AND(J5204=1,I5204=0)),"?IN_FOCUS",IF(J5204&lt;=2,"?ACTIVATED",IF(J5204&lt;&gt;"","?FAMILIAR",IF(F5204="NEW",IF(ISNA(VLOOKUP(E5204,#REF!,1,FALSE())),"?TYPE_IDENTIFIABLE","?REFERENTIAL"),"_")))))</f>
        <v/>
      </c>
      <c r="H5204" s="27" t="str">
        <f aca="false">IF(J5204&lt;&gt;1,"",IF(I5204="SBJ","CB","?"))</f>
        <v/>
      </c>
      <c r="I5204" s="24" t="str">
        <f aca="false">IF(OR(E5204="",E5204="!!!",F5204="NEW"),"",INDEX(B16:B$5189,-1+SUMPRODUCT(MAX(ROW(E16:E$5189)*(E5204=E16:E$5189)))))</f>
        <v/>
      </c>
      <c r="J5204" s="24" t="str">
        <f aca="true">IF(OR(E5204="",E5204="!!!",F5204="NEW"),"",COUNTBLANK(OFFSET(A$1,,,SUMPRODUCT(MAX(ROW(E$2:E5204)*(E5204=E$2:E5204)))))-COUNTBLANK(OFFSET(A$1,,,SUMPRODUCT(MAX(ROW(E$1:E5203)*(E2=E$1:E5203))))))</f>
        <v/>
      </c>
      <c r="K5204" s="24" t="str">
        <f aca="false">IF(OR(E5204="",E5204="!!!",F5204="NEW"),"",INDEX(J$1:J5203,SUMPRODUCT(MAX(ROW(E$1:E5203)*(E5204=E$1:E5203)))))</f>
        <v/>
      </c>
      <c r="L5204" s="31"/>
    </row>
    <row r="5205" customFormat="false" ht="15" hidden="false" customHeight="false" outlineLevel="0" collapsed="false">
      <c r="A5205" s="20" t="s">
        <v>1569</v>
      </c>
      <c r="E5205" s="23" t="str">
        <f aca="false">IF(D5205="?OLD","!!!","")</f>
        <v/>
      </c>
      <c r="F5205" s="25" t="str">
        <f aca="false">IF(OR(E5205="",E5205="!!!"),"",IF(NOT(ISNA(VLOOKUP(E5205,E$1:E5204,1,FALSE()))),"OLD",IF(AND(E5205&lt;&gt;"",E5205&lt;&gt;"!!!"),"NEW","")))</f>
        <v/>
      </c>
      <c r="G5205" s="26" t="str">
        <f aca="false">IF(OR(E5205="",E5205="!!!"),"",IF(OR(J5205=0,AND(J5205=1,K5205=1),AND(J5205=1,I5205="SBJ"),AND(J5205=1,I5205=0)),"?IN_FOCUS",IF(J5205&lt;=2,"?ACTIVATED",IF(J5205&lt;&gt;"","?FAMILIAR",IF(F5205="NEW",IF(ISNA(VLOOKUP(E5205,#REF!,1,FALSE())),"?TYPE_IDENTIFIABLE","?REFERENTIAL"),"_")))))</f>
        <v/>
      </c>
      <c r="H5205" s="27" t="str">
        <f aca="false">IF(J5205&lt;&gt;1,"",IF(I5205="SBJ","CB","?"))</f>
        <v/>
      </c>
      <c r="I5205" s="24" t="str">
        <f aca="false">IF(OR(E5205="",E5205="!!!",F5205="NEW"),"",INDEX(B17:B$5189,-1+SUMPRODUCT(MAX(ROW(E17:E$5189)*(E5205=E17:E$5189)))))</f>
        <v/>
      </c>
      <c r="J5205" s="24" t="str">
        <f aca="true">IF(OR(E5205="",E5205="!!!",F5205="NEW"),"",COUNTBLANK(OFFSET(A$1,,,SUMPRODUCT(MAX(ROW(E$2:E5205)*(E5205=E$2:E5205)))))-COUNTBLANK(OFFSET(A$1,,,SUMPRODUCT(MAX(ROW(E$1:E5204)*(E2=E$1:E5204))))))</f>
        <v/>
      </c>
      <c r="K5205" s="24" t="str">
        <f aca="false">IF(OR(E5205="",E5205="!!!",F5205="NEW"),"",INDEX(J$1:J5204,SUMPRODUCT(MAX(ROW(E$1:E5204)*(E5205=E$1:E5204)))))</f>
        <v/>
      </c>
      <c r="L5205" s="31"/>
    </row>
    <row r="5206" customFormat="false" ht="15" hidden="false" customHeight="false" outlineLevel="0" collapsed="false">
      <c r="A5206" s="20" t="s">
        <v>1109</v>
      </c>
      <c r="E5206" s="23" t="str">
        <f aca="false">IF(D5206="?OLD","!!!","")</f>
        <v/>
      </c>
      <c r="F5206" s="25" t="str">
        <f aca="false">IF(OR(E5206="",E5206="!!!"),"",IF(NOT(ISNA(VLOOKUP(E5206,E$1:E5205,1,FALSE()))),"OLD",IF(AND(E5206&lt;&gt;"",E5206&lt;&gt;"!!!"),"NEW","")))</f>
        <v/>
      </c>
      <c r="G5206" s="26" t="str">
        <f aca="false">IF(OR(E5206="",E5206="!!!"),"",IF(OR(J5206=0,AND(J5206=1,K5206=1),AND(J5206=1,I5206="SBJ"),AND(J5206=1,I5206=0)),"?IN_FOCUS",IF(J5206&lt;=2,"?ACTIVATED",IF(J5206&lt;&gt;"","?FAMILIAR",IF(F5206="NEW",IF(ISNA(VLOOKUP(E5206,#REF!,1,FALSE())),"?TYPE_IDENTIFIABLE","?REFERENTIAL"),"_")))))</f>
        <v/>
      </c>
      <c r="H5206" s="27" t="str">
        <f aca="false">IF(J5206&lt;&gt;1,"",IF(I5206="SBJ","CB","?"))</f>
        <v/>
      </c>
      <c r="I5206" s="24" t="str">
        <f aca="false">IF(OR(E5206="",E5206="!!!",F5206="NEW"),"",INDEX(B18:B$5189,-1+SUMPRODUCT(MAX(ROW(E18:E$5189)*(E5206=E18:E$5189)))))</f>
        <v/>
      </c>
      <c r="J5206" s="24" t="str">
        <f aca="true">IF(OR(E5206="",E5206="!!!",F5206="NEW"),"",COUNTBLANK(OFFSET(A$1,,,SUMPRODUCT(MAX(ROW(E$2:E5206)*(E5206=E$2:E5206)))))-COUNTBLANK(OFFSET(A$1,,,SUMPRODUCT(MAX(ROW(E$1:E5205)*(E2=E$1:E5205))))))</f>
        <v/>
      </c>
      <c r="K5206" s="24" t="str">
        <f aca="false">IF(OR(E5206="",E5206="!!!",F5206="NEW"),"",INDEX(J$1:J5205,SUMPRODUCT(MAX(ROW(E$1:E5205)*(E5206=E$1:E5205)))))</f>
        <v/>
      </c>
      <c r="L5206" s="31"/>
    </row>
    <row r="5207" customFormat="false" ht="15" hidden="false" customHeight="false" outlineLevel="0" collapsed="false">
      <c r="A5207" s="20" t="s">
        <v>2049</v>
      </c>
      <c r="B5207" s="22" t="s">
        <v>1086</v>
      </c>
      <c r="C5207" s="22" t="s">
        <v>1150</v>
      </c>
      <c r="D5207" s="22" t="s">
        <v>1060</v>
      </c>
      <c r="E5207" s="23" t="str">
        <f aca="false">IF(D5207="?OLD","!!!","")</f>
        <v>!!!</v>
      </c>
      <c r="F5207" s="25" t="str">
        <f aca="false">IF(OR(E5207="",E5207="!!!"),"",IF(NOT(ISNA(VLOOKUP(E5207,E$1:E5206,1,FALSE()))),"OLD",IF(AND(E5207&lt;&gt;"",E5207&lt;&gt;"!!!"),"NEW","")))</f>
        <v/>
      </c>
      <c r="G5207" s="26" t="str">
        <f aca="false">IF(OR(E5207="",E5207="!!!"),"",IF(OR(J5207=0,AND(J5207=1,K5207=1),AND(J5207=1,I5207="SBJ"),AND(J5207=1,I5207=0)),"?IN_FOCUS",IF(J5207&lt;=2,"?ACTIVATED",IF(J5207&lt;&gt;"","?FAMILIAR",IF(F5207="NEW",IF(ISNA(VLOOKUP(E5207,#REF!,1,FALSE())),"?TYPE_IDENTIFIABLE","?REFERENTIAL"),"_")))))</f>
        <v/>
      </c>
      <c r="H5207" s="27" t="str">
        <f aca="false">IF(J5207&lt;&gt;1,"",IF(I5207="SBJ","CB","?"))</f>
        <v/>
      </c>
      <c r="I5207" s="24" t="str">
        <f aca="false">IF(OR(E5207="",E5207="!!!",F5207="NEW"),"",INDEX(B19:B$5189,-1+SUMPRODUCT(MAX(ROW(E19:E$5189)*(E5207=E19:E$5189)))))</f>
        <v/>
      </c>
      <c r="J5207" s="24" t="str">
        <f aca="true">IF(OR(E5207="",E5207="!!!",F5207="NEW"),"",COUNTBLANK(OFFSET(A$1,,,SUMPRODUCT(MAX(ROW(E$2:E5207)*(E5207=E$2:E5207)))))-COUNTBLANK(OFFSET(A$1,,,SUMPRODUCT(MAX(ROW(E$1:E5206)*(E2=E$1:E5206))))))</f>
        <v/>
      </c>
      <c r="K5207" s="24" t="str">
        <f aca="false">IF(OR(E5207="",E5207="!!!",F5207="NEW"),"",INDEX(J$1:J5206,SUMPRODUCT(MAX(ROW(E$1:E5206)*(E5207=E$1:E5206)))))</f>
        <v/>
      </c>
      <c r="L5207" s="31"/>
    </row>
    <row r="5208" customFormat="false" ht="15" hidden="false" customHeight="false" outlineLevel="0" collapsed="false">
      <c r="A5208" s="20" t="s">
        <v>1164</v>
      </c>
      <c r="E5208" s="23" t="str">
        <f aca="false">IF(D5208="?OLD","!!!","")</f>
        <v/>
      </c>
      <c r="F5208" s="25" t="str">
        <f aca="false">IF(OR(E5208="",E5208="!!!"),"",IF(NOT(ISNA(VLOOKUP(E5208,E$1:E5207,1,FALSE()))),"OLD",IF(AND(E5208&lt;&gt;"",E5208&lt;&gt;"!!!"),"NEW","")))</f>
        <v/>
      </c>
      <c r="G5208" s="26" t="str">
        <f aca="false">IF(OR(E5208="",E5208="!!!"),"",IF(OR(J5208=0,AND(J5208=1,K5208=1),AND(J5208=1,I5208="SBJ"),AND(J5208=1,I5208=0)),"?IN_FOCUS",IF(J5208&lt;=2,"?ACTIVATED",IF(J5208&lt;&gt;"","?FAMILIAR",IF(F5208="NEW",IF(ISNA(VLOOKUP(E5208,#REF!,1,FALSE())),"?TYPE_IDENTIFIABLE","?REFERENTIAL"),"_")))))</f>
        <v/>
      </c>
      <c r="H5208" s="27" t="str">
        <f aca="false">IF(J5208&lt;&gt;1,"",IF(I5208="SBJ","CB","?"))</f>
        <v/>
      </c>
      <c r="I5208" s="24" t="str">
        <f aca="false">IF(OR(E5208="",E5208="!!!",F5208="NEW"),"",INDEX(B20:B$5189,-1+SUMPRODUCT(MAX(ROW(E20:E$5189)*(E5208=E20:E$5189)))))</f>
        <v/>
      </c>
      <c r="J5208" s="24" t="str">
        <f aca="true">IF(OR(E5208="",E5208="!!!",F5208="NEW"),"",COUNTBLANK(OFFSET(A$1,,,SUMPRODUCT(MAX(ROW(E$2:E5208)*(E5208=E$2:E5208)))))-COUNTBLANK(OFFSET(A$1,,,SUMPRODUCT(MAX(ROW(E$1:E5207)*(E2=E$1:E5207))))))</f>
        <v/>
      </c>
      <c r="K5208" s="24" t="str">
        <f aca="false">IF(OR(E5208="",E5208="!!!",F5208="NEW"),"",INDEX(J$1:J5207,SUMPRODUCT(MAX(ROW(E$1:E5207)*(E5208=E$1:E5207)))))</f>
        <v/>
      </c>
      <c r="L5208" s="31"/>
    </row>
    <row r="5209" customFormat="false" ht="15" hidden="false" customHeight="false" outlineLevel="0" collapsed="false">
      <c r="A5209" s="20" t="s">
        <v>1414</v>
      </c>
      <c r="E5209" s="23" t="str">
        <f aca="false">IF(D5209="?OLD","!!!","")</f>
        <v/>
      </c>
      <c r="F5209" s="25" t="str">
        <f aca="false">IF(OR(E5209="",E5209="!!!"),"",IF(NOT(ISNA(VLOOKUP(E5209,E$1:E5208,1,FALSE()))),"OLD",IF(AND(E5209&lt;&gt;"",E5209&lt;&gt;"!!!"),"NEW","")))</f>
        <v/>
      </c>
      <c r="G5209" s="26" t="str">
        <f aca="false">IF(OR(E5209="",E5209="!!!"),"",IF(OR(J5209=0,AND(J5209=1,K5209=1),AND(J5209=1,I5209="SBJ"),AND(J5209=1,I5209=0)),"?IN_FOCUS",IF(J5209&lt;=2,"?ACTIVATED",IF(J5209&lt;&gt;"","?FAMILIAR",IF(F5209="NEW",IF(ISNA(VLOOKUP(E5209,#REF!,1,FALSE())),"?TYPE_IDENTIFIABLE","?REFERENTIAL"),"_")))))</f>
        <v/>
      </c>
      <c r="H5209" s="27" t="str">
        <f aca="false">IF(J5209&lt;&gt;1,"",IF(I5209="SBJ","CB","?"))</f>
        <v/>
      </c>
      <c r="I5209" s="24" t="str">
        <f aca="false">IF(OR(E5209="",E5209="!!!",F5209="NEW"),"",INDEX(B21:B$5189,-1+SUMPRODUCT(MAX(ROW(E21:E$5189)*(E5209=E21:E$5189)))))</f>
        <v/>
      </c>
      <c r="J5209" s="24" t="str">
        <f aca="true">IF(OR(E5209="",E5209="!!!",F5209="NEW"),"",COUNTBLANK(OFFSET(A$1,,,SUMPRODUCT(MAX(ROW(E$2:E5209)*(E5209=E$2:E5209)))))-COUNTBLANK(OFFSET(A$1,,,SUMPRODUCT(MAX(ROW(E$1:E5208)*(E2=E$1:E5208))))))</f>
        <v/>
      </c>
      <c r="K5209" s="24" t="str">
        <f aca="false">IF(OR(E5209="",E5209="!!!",F5209="NEW"),"",INDEX(J$1:J5208,SUMPRODUCT(MAX(ROW(E$1:E5208)*(E5209=E$1:E5208)))))</f>
        <v/>
      </c>
      <c r="L5209" s="31"/>
    </row>
    <row r="5210" customFormat="false" ht="15" hidden="false" customHeight="false" outlineLevel="0" collapsed="false">
      <c r="A5210" s="20" t="s">
        <v>2546</v>
      </c>
      <c r="E5210" s="23" t="str">
        <f aca="false">IF(D5210="?OLD","!!!","")</f>
        <v/>
      </c>
      <c r="F5210" s="25" t="str">
        <f aca="false">IF(OR(E5210="",E5210="!!!"),"",IF(NOT(ISNA(VLOOKUP(E5210,E$1:E5209,1,FALSE()))),"OLD",IF(AND(E5210&lt;&gt;"",E5210&lt;&gt;"!!!"),"NEW","")))</f>
        <v/>
      </c>
      <c r="G5210" s="26" t="str">
        <f aca="false">IF(OR(E5210="",E5210="!!!"),"",IF(OR(J5210=0,AND(J5210=1,K5210=1),AND(J5210=1,I5210="SBJ"),AND(J5210=1,I5210=0)),"?IN_FOCUS",IF(J5210&lt;=2,"?ACTIVATED",IF(J5210&lt;&gt;"","?FAMILIAR",IF(F5210="NEW",IF(ISNA(VLOOKUP(E5210,#REF!,1,FALSE())),"?TYPE_IDENTIFIABLE","?REFERENTIAL"),"_")))))</f>
        <v/>
      </c>
      <c r="H5210" s="27" t="str">
        <f aca="false">IF(J5210&lt;&gt;1,"",IF(I5210="SBJ","CB","?"))</f>
        <v/>
      </c>
      <c r="I5210" s="24" t="str">
        <f aca="false">IF(OR(E5210="",E5210="!!!",F5210="NEW"),"",INDEX(B22:B$5189,-1+SUMPRODUCT(MAX(ROW(E22:E$5189)*(E5210=E22:E$5189)))))</f>
        <v/>
      </c>
      <c r="J5210" s="24" t="str">
        <f aca="true">IF(OR(E5210="",E5210="!!!",F5210="NEW"),"",COUNTBLANK(OFFSET(A$1,,,SUMPRODUCT(MAX(ROW(E$2:E5210)*(E5210=E$2:E5210)))))-COUNTBLANK(OFFSET(A$1,,,SUMPRODUCT(MAX(ROW(E$1:E5209)*(E2=E$1:E5209))))))</f>
        <v/>
      </c>
      <c r="K5210" s="24" t="str">
        <f aca="false">IF(OR(E5210="",E5210="!!!",F5210="NEW"),"",INDEX(J$1:J5209,SUMPRODUCT(MAX(ROW(E$1:E5209)*(E5210=E$1:E5209)))))</f>
        <v/>
      </c>
      <c r="L5210" s="31"/>
    </row>
    <row r="5211" customFormat="false" ht="15" hidden="false" customHeight="false" outlineLevel="0" collapsed="false">
      <c r="A5211" s="20" t="s">
        <v>923</v>
      </c>
      <c r="E5211" s="23" t="str">
        <f aca="false">IF(D5211="?OLD","!!!","")</f>
        <v/>
      </c>
      <c r="F5211" s="25" t="str">
        <f aca="false">IF(OR(E5211="",E5211="!!!"),"",IF(NOT(ISNA(VLOOKUP(E5211,E$1:E5210,1,FALSE()))),"OLD",IF(AND(E5211&lt;&gt;"",E5211&lt;&gt;"!!!"),"NEW","")))</f>
        <v/>
      </c>
      <c r="G5211" s="26" t="str">
        <f aca="false">IF(OR(E5211="",E5211="!!!"),"",IF(OR(J5211=0,AND(J5211=1,K5211=1),AND(J5211=1,I5211="SBJ"),AND(J5211=1,I5211=0)),"?IN_FOCUS",IF(J5211&lt;=2,"?ACTIVATED",IF(J5211&lt;&gt;"","?FAMILIAR",IF(F5211="NEW",IF(ISNA(VLOOKUP(E5211,#REF!,1,FALSE())),"?TYPE_IDENTIFIABLE","?REFERENTIAL"),"_")))))</f>
        <v/>
      </c>
      <c r="H5211" s="27" t="str">
        <f aca="false">IF(J5211&lt;&gt;1,"",IF(I5211="SBJ","CB","?"))</f>
        <v/>
      </c>
      <c r="I5211" s="24" t="str">
        <f aca="false">IF(OR(E5211="",E5211="!!!",F5211="NEW"),"",INDEX(B23:B$5189,-1+SUMPRODUCT(MAX(ROW(E23:E$5189)*(E5211=E23:E$5189)))))</f>
        <v/>
      </c>
      <c r="J5211" s="24" t="str">
        <f aca="true">IF(OR(E5211="",E5211="!!!",F5211="NEW"),"",COUNTBLANK(OFFSET(A$1,,,SUMPRODUCT(MAX(ROW(E$2:E5211)*(E5211=E$2:E5211)))))-COUNTBLANK(OFFSET(A$1,,,SUMPRODUCT(MAX(ROW(E$1:E5210)*(E2=E$1:E5210))))))</f>
        <v/>
      </c>
      <c r="K5211" s="24" t="str">
        <f aca="false">IF(OR(E5211="",E5211="!!!",F5211="NEW"),"",INDEX(J$1:J5210,SUMPRODUCT(MAX(ROW(E$1:E5210)*(E5211=E$1:E5210)))))</f>
        <v/>
      </c>
      <c r="L5211" s="31"/>
    </row>
    <row r="5212" customFormat="false" ht="15" hidden="false" customHeight="false" outlineLevel="0" collapsed="false">
      <c r="A5212" s="20"/>
    </row>
    <row r="5213" customFormat="false" ht="15" hidden="false" customHeight="false" outlineLevel="0" collapsed="false">
      <c r="A5213" s="20" t="s">
        <v>2547</v>
      </c>
    </row>
    <row r="5214" customFormat="false" ht="15" hidden="false" customHeight="false" outlineLevel="0" collapsed="false">
      <c r="A5214" s="20" t="s">
        <v>1345</v>
      </c>
      <c r="E5214" s="23" t="str">
        <f aca="false">IF(D5214="?OLD","!!!","")</f>
        <v/>
      </c>
      <c r="F5214" s="25" t="str">
        <f aca="false">IF(OR(E5214="",E5214="!!!"),"",IF(NOT(ISNA(VLOOKUP(E5214,E$1:E5213,1,FALSE()))),"OLD",IF(AND(E5214&lt;&gt;"",E5214&lt;&gt;"!!!"),"NEW","")))</f>
        <v/>
      </c>
      <c r="G5214" s="26" t="str">
        <f aca="false">IF(OR(E5214="",E5214="!!!"),"",IF(OR(J5214=0,AND(J5214=1,K5214=1),AND(J5214=1,I5214="SBJ"),AND(J5214=1,I5214=0)),"?IN_FOCUS",IF(J5214&lt;=2,"?ACTIVATED",IF(J5214&lt;&gt;"","?FAMILIAR",IF(F5214="NEW",IF(ISNA(VLOOKUP(E5214,#REF!,1,FALSE())),"?TYPE_IDENTIFIABLE","?REFERENTIAL"),"_")))))</f>
        <v/>
      </c>
      <c r="H5214" s="27" t="str">
        <f aca="false">IF(J5214&lt;&gt;1,"",IF(I5214="SBJ","CB","?"))</f>
        <v/>
      </c>
      <c r="I5214" s="24" t="str">
        <f aca="false">IF(OR(E5214="",E5214="!!!",F5214="NEW"),"",INDEX(B2:B$5213,-1+SUMPRODUCT(MAX(ROW(E2:E$5213)*(E5214=E2:E$5213)))))</f>
        <v/>
      </c>
      <c r="J5214" s="24" t="str">
        <f aca="true">IF(OR(E5214="",E5214="!!!",F5214="NEW"),"",COUNTBLANK(OFFSET(A$1,,,SUMPRODUCT(MAX(ROW(E$2:E5214)*(E5214=E$2:E5214)))))-COUNTBLANK(OFFSET(A$1,,,SUMPRODUCT(MAX(ROW(E$1:E5213)*(E2=E$1:E5213))))))</f>
        <v/>
      </c>
      <c r="K5214" s="24" t="str">
        <f aca="false">IF(OR(E5214="",E5214="!!!",F5214="NEW"),"",INDEX(J$1:J5213,SUMPRODUCT(MAX(ROW(E$1:E5213)*(E5214=E$1:E5213)))))</f>
        <v/>
      </c>
      <c r="L5214" s="31"/>
    </row>
    <row r="5215" customFormat="false" ht="15" hidden="false" customHeight="false" outlineLevel="0" collapsed="false">
      <c r="A5215" s="20" t="s">
        <v>1001</v>
      </c>
      <c r="B5215" s="22" t="s">
        <v>1105</v>
      </c>
      <c r="C5215" s="22" t="s">
        <v>1087</v>
      </c>
      <c r="E5215" s="23" t="str">
        <f aca="false">IF(D5215="?OLD","!!!","")</f>
        <v/>
      </c>
      <c r="F5215" s="25" t="str">
        <f aca="false">IF(OR(E5215="",E5215="!!!"),"",IF(NOT(ISNA(VLOOKUP(E5215,E$1:E5214,1,FALSE()))),"OLD",IF(AND(E5215&lt;&gt;"",E5215&lt;&gt;"!!!"),"NEW","")))</f>
        <v/>
      </c>
      <c r="G5215" s="26" t="str">
        <f aca="false">IF(OR(E5215="",E5215="!!!"),"",IF(OR(J5215=0,AND(J5215=1,K5215=1),AND(J5215=1,I5215="SBJ"),AND(J5215=1,I5215=0)),"?IN_FOCUS",IF(J5215&lt;=2,"?ACTIVATED",IF(J5215&lt;&gt;"","?FAMILIAR",IF(F5215="NEW",IF(ISNA(VLOOKUP(E5215,#REF!,1,FALSE())),"?TYPE_IDENTIFIABLE","?REFERENTIAL"),"_")))))</f>
        <v/>
      </c>
      <c r="H5215" s="27" t="str">
        <f aca="false">IF(J5215&lt;&gt;1,"",IF(I5215="SBJ","CB","?"))</f>
        <v/>
      </c>
      <c r="I5215" s="24" t="str">
        <f aca="false">IF(OR(E5215="",E5215="!!!",F5215="NEW"),"",INDEX(B3:B$5213,-1+SUMPRODUCT(MAX(ROW(E3:E$5213)*(E5215=E3:E$5213)))))</f>
        <v/>
      </c>
      <c r="J5215" s="24" t="str">
        <f aca="true">IF(OR(E5215="",E5215="!!!",F5215="NEW"),"",COUNTBLANK(OFFSET(A$1,,,SUMPRODUCT(MAX(ROW(E$2:E5215)*(E5215=E$2:E5215)))))-COUNTBLANK(OFFSET(A$1,,,SUMPRODUCT(MAX(ROW(E$1:E5214)*(E2=E$1:E5214))))))</f>
        <v/>
      </c>
      <c r="K5215" s="24" t="str">
        <f aca="false">IF(OR(E5215="",E5215="!!!",F5215="NEW"),"",INDEX(J$1:J5214,SUMPRODUCT(MAX(ROW(E$1:E5214)*(E5215=E$1:E5214)))))</f>
        <v/>
      </c>
      <c r="L5215" s="31"/>
    </row>
    <row r="5216" customFormat="false" ht="15" hidden="false" customHeight="false" outlineLevel="0" collapsed="false">
      <c r="A5216" s="20" t="s">
        <v>1213</v>
      </c>
      <c r="E5216" s="23" t="str">
        <f aca="false">IF(D5216="?OLD","!!!","")</f>
        <v/>
      </c>
      <c r="F5216" s="25" t="str">
        <f aca="false">IF(OR(E5216="",E5216="!!!"),"",IF(NOT(ISNA(VLOOKUP(E5216,E$1:E5215,1,FALSE()))),"OLD",IF(AND(E5216&lt;&gt;"",E5216&lt;&gt;"!!!"),"NEW","")))</f>
        <v/>
      </c>
      <c r="G5216" s="26" t="str">
        <f aca="false">IF(OR(E5216="",E5216="!!!"),"",IF(OR(J5216=0,AND(J5216=1,K5216=1),AND(J5216=1,I5216="SBJ"),AND(J5216=1,I5216=0)),"?IN_FOCUS",IF(J5216&lt;=2,"?ACTIVATED",IF(J5216&lt;&gt;"","?FAMILIAR",IF(F5216="NEW",IF(ISNA(VLOOKUP(E5216,#REF!,1,FALSE())),"?TYPE_IDENTIFIABLE","?REFERENTIAL"),"_")))))</f>
        <v/>
      </c>
      <c r="H5216" s="27" t="str">
        <f aca="false">IF(J5216&lt;&gt;1,"",IF(I5216="SBJ","CB","?"))</f>
        <v/>
      </c>
      <c r="I5216" s="24" t="str">
        <f aca="false">IF(OR(E5216="",E5216="!!!",F5216="NEW"),"",INDEX(B4:B$5213,-1+SUMPRODUCT(MAX(ROW(E4:E$5213)*(E5216=E4:E$5213)))))</f>
        <v/>
      </c>
      <c r="J5216" s="24" t="str">
        <f aca="true">IF(OR(E5216="",E5216="!!!",F5216="NEW"),"",COUNTBLANK(OFFSET(A$1,,,SUMPRODUCT(MAX(ROW(E$2:E5216)*(E5216=E$2:E5216)))))-COUNTBLANK(OFFSET(A$1,,,SUMPRODUCT(MAX(ROW(E$1:E5215)*(E2=E$1:E5215))))))</f>
        <v/>
      </c>
      <c r="K5216" s="24" t="str">
        <f aca="false">IF(OR(E5216="",E5216="!!!",F5216="NEW"),"",INDEX(J$1:J5215,SUMPRODUCT(MAX(ROW(E$1:E5215)*(E5216=E$1:E5215)))))</f>
        <v/>
      </c>
      <c r="L5216" s="31"/>
    </row>
    <row r="5217" customFormat="false" ht="15" hidden="false" customHeight="false" outlineLevel="0" collapsed="false">
      <c r="A5217" s="20" t="s">
        <v>1085</v>
      </c>
      <c r="E5217" s="23" t="str">
        <f aca="false">IF(D5217="?OLD","!!!","")</f>
        <v/>
      </c>
      <c r="F5217" s="25" t="str">
        <f aca="false">IF(OR(E5217="",E5217="!!!"),"",IF(NOT(ISNA(VLOOKUP(E5217,E$1:E5216,1,FALSE()))),"OLD",IF(AND(E5217&lt;&gt;"",E5217&lt;&gt;"!!!"),"NEW","")))</f>
        <v/>
      </c>
      <c r="G5217" s="26" t="str">
        <f aca="false">IF(OR(E5217="",E5217="!!!"),"",IF(OR(J5217=0,AND(J5217=1,K5217=1),AND(J5217=1,I5217="SBJ"),AND(J5217=1,I5217=0)),"?IN_FOCUS",IF(J5217&lt;=2,"?ACTIVATED",IF(J5217&lt;&gt;"","?FAMILIAR",IF(F5217="NEW",IF(ISNA(VLOOKUP(E5217,#REF!,1,FALSE())),"?TYPE_IDENTIFIABLE","?REFERENTIAL"),"_")))))</f>
        <v/>
      </c>
      <c r="H5217" s="27" t="str">
        <f aca="false">IF(J5217&lt;&gt;1,"",IF(I5217="SBJ","CB","?"))</f>
        <v/>
      </c>
      <c r="I5217" s="24" t="str">
        <f aca="false">IF(OR(E5217="",E5217="!!!",F5217="NEW"),"",INDEX(B5:B$5213,-1+SUMPRODUCT(MAX(ROW(E5:E$5213)*(E5217=E5:E$5213)))))</f>
        <v/>
      </c>
      <c r="J5217" s="24" t="str">
        <f aca="true">IF(OR(E5217="",E5217="!!!",F5217="NEW"),"",COUNTBLANK(OFFSET(A$1,,,SUMPRODUCT(MAX(ROW(E$2:E5217)*(E5217=E$2:E5217)))))-COUNTBLANK(OFFSET(A$1,,,SUMPRODUCT(MAX(ROW(E$1:E5216)*(E2=E$1:E5216))))))</f>
        <v/>
      </c>
      <c r="K5217" s="24" t="str">
        <f aca="false">IF(OR(E5217="",E5217="!!!",F5217="NEW"),"",INDEX(J$1:J5216,SUMPRODUCT(MAX(ROW(E$1:E5216)*(E5217=E$1:E5216)))))</f>
        <v/>
      </c>
      <c r="L5217" s="31"/>
    </row>
    <row r="5218" customFormat="false" ht="15" hidden="false" customHeight="false" outlineLevel="0" collapsed="false">
      <c r="A5218" s="20" t="s">
        <v>2548</v>
      </c>
      <c r="B5218" s="22" t="s">
        <v>1105</v>
      </c>
      <c r="C5218" s="22" t="s">
        <v>1087</v>
      </c>
      <c r="E5218" s="23" t="str">
        <f aca="false">IF(D5218="?OLD","!!!","")</f>
        <v/>
      </c>
      <c r="F5218" s="25" t="str">
        <f aca="false">IF(OR(E5218="",E5218="!!!"),"",IF(NOT(ISNA(VLOOKUP(E5218,E$1:E5217,1,FALSE()))),"OLD",IF(AND(E5218&lt;&gt;"",E5218&lt;&gt;"!!!"),"NEW","")))</f>
        <v/>
      </c>
      <c r="G5218" s="26" t="str">
        <f aca="false">IF(OR(E5218="",E5218="!!!"),"",IF(OR(J5218=0,AND(J5218=1,K5218=1),AND(J5218=1,I5218="SBJ"),AND(J5218=1,I5218=0)),"?IN_FOCUS",IF(J5218&lt;=2,"?ACTIVATED",IF(J5218&lt;&gt;"","?FAMILIAR",IF(F5218="NEW",IF(ISNA(VLOOKUP(E5218,#REF!,1,FALSE())),"?TYPE_IDENTIFIABLE","?REFERENTIAL"),"_")))))</f>
        <v/>
      </c>
      <c r="H5218" s="27" t="str">
        <f aca="false">IF(J5218&lt;&gt;1,"",IF(I5218="SBJ","CB","?"))</f>
        <v/>
      </c>
      <c r="I5218" s="24" t="str">
        <f aca="false">IF(OR(E5218="",E5218="!!!",F5218="NEW"),"",INDEX(B6:B$5213,-1+SUMPRODUCT(MAX(ROW(E6:E$5213)*(E5218=E6:E$5213)))))</f>
        <v/>
      </c>
      <c r="J5218" s="24" t="str">
        <f aca="true">IF(OR(E5218="",E5218="!!!",F5218="NEW"),"",COUNTBLANK(OFFSET(A$1,,,SUMPRODUCT(MAX(ROW(E$2:E5218)*(E5218=E$2:E5218)))))-COUNTBLANK(OFFSET(A$1,,,SUMPRODUCT(MAX(ROW(E$1:E5217)*(E2=E$1:E5217))))))</f>
        <v/>
      </c>
      <c r="K5218" s="24" t="str">
        <f aca="false">IF(OR(E5218="",E5218="!!!",F5218="NEW"),"",INDEX(J$1:J5217,SUMPRODUCT(MAX(ROW(E$1:E5217)*(E5218=E$1:E5217)))))</f>
        <v/>
      </c>
      <c r="L5218" s="31"/>
    </row>
    <row r="5219" customFormat="false" ht="15" hidden="false" customHeight="false" outlineLevel="0" collapsed="false">
      <c r="A5219" s="20" t="s">
        <v>1064</v>
      </c>
      <c r="E5219" s="23" t="str">
        <f aca="false">IF(D5219="?OLD","!!!","")</f>
        <v/>
      </c>
      <c r="F5219" s="25" t="str">
        <f aca="false">IF(OR(E5219="",E5219="!!!"),"",IF(NOT(ISNA(VLOOKUP(E5219,E$1:E5218,1,FALSE()))),"OLD",IF(AND(E5219&lt;&gt;"",E5219&lt;&gt;"!!!"),"NEW","")))</f>
        <v/>
      </c>
      <c r="G5219" s="26" t="str">
        <f aca="false">IF(OR(E5219="",E5219="!!!"),"",IF(OR(J5219=0,AND(J5219=1,K5219=1),AND(J5219=1,I5219="SBJ"),AND(J5219=1,I5219=0)),"?IN_FOCUS",IF(J5219&lt;=2,"?ACTIVATED",IF(J5219&lt;&gt;"","?FAMILIAR",IF(F5219="NEW",IF(ISNA(VLOOKUP(E5219,#REF!,1,FALSE())),"?TYPE_IDENTIFIABLE","?REFERENTIAL"),"_")))))</f>
        <v/>
      </c>
      <c r="H5219" s="27" t="str">
        <f aca="false">IF(J5219&lt;&gt;1,"",IF(I5219="SBJ","CB","?"))</f>
        <v/>
      </c>
      <c r="I5219" s="24" t="str">
        <f aca="false">IF(OR(E5219="",E5219="!!!",F5219="NEW"),"",INDEX(B7:B$5213,-1+SUMPRODUCT(MAX(ROW(E7:E$5213)*(E5219=E7:E$5213)))))</f>
        <v/>
      </c>
      <c r="J5219" s="24" t="str">
        <f aca="true">IF(OR(E5219="",E5219="!!!",F5219="NEW"),"",COUNTBLANK(OFFSET(A$1,,,SUMPRODUCT(MAX(ROW(E$2:E5219)*(E5219=E$2:E5219)))))-COUNTBLANK(OFFSET(A$1,,,SUMPRODUCT(MAX(ROW(E$1:E5218)*(E2=E$1:E5218))))))</f>
        <v/>
      </c>
      <c r="K5219" s="24" t="str">
        <f aca="false">IF(OR(E5219="",E5219="!!!",F5219="NEW"),"",INDEX(J$1:J5218,SUMPRODUCT(MAX(ROW(E$1:E5218)*(E5219=E$1:E5218)))))</f>
        <v/>
      </c>
      <c r="L5219" s="31"/>
    </row>
    <row r="5220" customFormat="false" ht="15" hidden="false" customHeight="false" outlineLevel="0" collapsed="false">
      <c r="A5220" s="20" t="s">
        <v>2549</v>
      </c>
      <c r="E5220" s="23" t="str">
        <f aca="false">IF(D5220="?OLD","!!!","")</f>
        <v/>
      </c>
      <c r="F5220" s="25" t="str">
        <f aca="false">IF(OR(E5220="",E5220="!!!"),"",IF(NOT(ISNA(VLOOKUP(E5220,E$1:E5219,1,FALSE()))),"OLD",IF(AND(E5220&lt;&gt;"",E5220&lt;&gt;"!!!"),"NEW","")))</f>
        <v/>
      </c>
      <c r="G5220" s="26" t="str">
        <f aca="false">IF(OR(E5220="",E5220="!!!"),"",IF(OR(J5220=0,AND(J5220=1,K5220=1),AND(J5220=1,I5220="SBJ"),AND(J5220=1,I5220=0)),"?IN_FOCUS",IF(J5220&lt;=2,"?ACTIVATED",IF(J5220&lt;&gt;"","?FAMILIAR",IF(F5220="NEW",IF(ISNA(VLOOKUP(E5220,#REF!,1,FALSE())),"?TYPE_IDENTIFIABLE","?REFERENTIAL"),"_")))))</f>
        <v/>
      </c>
      <c r="H5220" s="27" t="str">
        <f aca="false">IF(J5220&lt;&gt;1,"",IF(I5220="SBJ","CB","?"))</f>
        <v/>
      </c>
      <c r="I5220" s="24" t="str">
        <f aca="false">IF(OR(E5220="",E5220="!!!",F5220="NEW"),"",INDEX(B8:B$5213,-1+SUMPRODUCT(MAX(ROW(E8:E$5213)*(E5220=E8:E$5213)))))</f>
        <v/>
      </c>
      <c r="J5220" s="24" t="str">
        <f aca="true">IF(OR(E5220="",E5220="!!!",F5220="NEW"),"",COUNTBLANK(OFFSET(A$1,,,SUMPRODUCT(MAX(ROW(E$2:E5220)*(E5220=E$2:E5220)))))-COUNTBLANK(OFFSET(A$1,,,SUMPRODUCT(MAX(ROW(E$1:E5219)*(E2=E$1:E5219))))))</f>
        <v/>
      </c>
      <c r="K5220" s="24" t="str">
        <f aca="false">IF(OR(E5220="",E5220="!!!",F5220="NEW"),"",INDEX(J$1:J5219,SUMPRODUCT(MAX(ROW(E$1:E5219)*(E5220=E$1:E5219)))))</f>
        <v/>
      </c>
      <c r="L5220" s="31"/>
    </row>
    <row r="5221" customFormat="false" ht="15" hidden="false" customHeight="false" outlineLevel="0" collapsed="false">
      <c r="A5221" s="20" t="s">
        <v>2550</v>
      </c>
      <c r="B5221" s="22" t="s">
        <v>1073</v>
      </c>
      <c r="C5221" s="22" t="s">
        <v>1160</v>
      </c>
      <c r="E5221" s="23" t="str">
        <f aca="false">IF(D5221="?OLD","!!!","")</f>
        <v/>
      </c>
      <c r="F5221" s="25" t="str">
        <f aca="false">IF(OR(E5221="",E5221="!!!"),"",IF(NOT(ISNA(VLOOKUP(E5221,E$1:E5220,1,FALSE()))),"OLD",IF(AND(E5221&lt;&gt;"",E5221&lt;&gt;"!!!"),"NEW","")))</f>
        <v/>
      </c>
      <c r="G5221" s="26" t="str">
        <f aca="false">IF(OR(E5221="",E5221="!!!"),"",IF(OR(J5221=0,AND(J5221=1,K5221=1),AND(J5221=1,I5221="SBJ"),AND(J5221=1,I5221=0)),"?IN_FOCUS",IF(J5221&lt;=2,"?ACTIVATED",IF(J5221&lt;&gt;"","?FAMILIAR",IF(F5221="NEW",IF(ISNA(VLOOKUP(E5221,#REF!,1,FALSE())),"?TYPE_IDENTIFIABLE","?REFERENTIAL"),"_")))))</f>
        <v/>
      </c>
      <c r="H5221" s="27" t="str">
        <f aca="false">IF(J5221&lt;&gt;1,"",IF(I5221="SBJ","CB","?"))</f>
        <v/>
      </c>
      <c r="I5221" s="24" t="str">
        <f aca="false">IF(OR(E5221="",E5221="!!!",F5221="NEW"),"",INDEX(B9:B$5213,-1+SUMPRODUCT(MAX(ROW(E9:E$5213)*(E5221=E9:E$5213)))))</f>
        <v/>
      </c>
      <c r="J5221" s="24" t="str">
        <f aca="true">IF(OR(E5221="",E5221="!!!",F5221="NEW"),"",COUNTBLANK(OFFSET(A$1,,,SUMPRODUCT(MAX(ROW(E$2:E5221)*(E5221=E$2:E5221)))))-COUNTBLANK(OFFSET(A$1,,,SUMPRODUCT(MAX(ROW(E$1:E5220)*(E2=E$1:E5220))))))</f>
        <v/>
      </c>
      <c r="K5221" s="24" t="str">
        <f aca="false">IF(OR(E5221="",E5221="!!!",F5221="NEW"),"",INDEX(J$1:J5220,SUMPRODUCT(MAX(ROW(E$1:E5220)*(E5221=E$1:E5220)))))</f>
        <v/>
      </c>
      <c r="L5221" s="31"/>
    </row>
    <row r="5222" customFormat="false" ht="15" hidden="false" customHeight="false" outlineLevel="0" collapsed="false">
      <c r="A5222" s="20" t="s">
        <v>2551</v>
      </c>
      <c r="E5222" s="23" t="str">
        <f aca="false">IF(D5222="?OLD","!!!","")</f>
        <v/>
      </c>
      <c r="F5222" s="25" t="str">
        <f aca="false">IF(OR(E5222="",E5222="!!!"),"",IF(NOT(ISNA(VLOOKUP(E5222,E$1:E5221,1,FALSE()))),"OLD",IF(AND(E5222&lt;&gt;"",E5222&lt;&gt;"!!!"),"NEW","")))</f>
        <v/>
      </c>
      <c r="G5222" s="26" t="str">
        <f aca="false">IF(OR(E5222="",E5222="!!!"),"",IF(OR(J5222=0,AND(J5222=1,K5222=1),AND(J5222=1,I5222="SBJ"),AND(J5222=1,I5222=0)),"?IN_FOCUS",IF(J5222&lt;=2,"?ACTIVATED",IF(J5222&lt;&gt;"","?FAMILIAR",IF(F5222="NEW",IF(ISNA(VLOOKUP(E5222,#REF!,1,FALSE())),"?TYPE_IDENTIFIABLE","?REFERENTIAL"),"_")))))</f>
        <v/>
      </c>
      <c r="H5222" s="27" t="str">
        <f aca="false">IF(J5222&lt;&gt;1,"",IF(I5222="SBJ","CB","?"))</f>
        <v/>
      </c>
      <c r="I5222" s="24" t="str">
        <f aca="false">IF(OR(E5222="",E5222="!!!",F5222="NEW"),"",INDEX(B10:B$5213,-1+SUMPRODUCT(MAX(ROW(E10:E$5213)*(E5222=E10:E$5213)))))</f>
        <v/>
      </c>
      <c r="J5222" s="24" t="str">
        <f aca="true">IF(OR(E5222="",E5222="!!!",F5222="NEW"),"",COUNTBLANK(OFFSET(A$1,,,SUMPRODUCT(MAX(ROW(E$2:E5222)*(E5222=E$2:E5222)))))-COUNTBLANK(OFFSET(A$1,,,SUMPRODUCT(MAX(ROW(E$1:E5221)*(E2=E$1:E5221))))))</f>
        <v/>
      </c>
      <c r="K5222" s="24" t="str">
        <f aca="false">IF(OR(E5222="",E5222="!!!",F5222="NEW"),"",INDEX(J$1:J5221,SUMPRODUCT(MAX(ROW(E$1:E5221)*(E5222=E$1:E5221)))))</f>
        <v/>
      </c>
      <c r="L5222" s="31"/>
    </row>
    <row r="5223" customFormat="false" ht="15" hidden="false" customHeight="false" outlineLevel="0" collapsed="false">
      <c r="A5223" s="20" t="s">
        <v>1095</v>
      </c>
      <c r="E5223" s="23" t="str">
        <f aca="false">IF(D5223="?OLD","!!!","")</f>
        <v/>
      </c>
      <c r="F5223" s="25" t="str">
        <f aca="false">IF(OR(E5223="",E5223="!!!"),"",IF(NOT(ISNA(VLOOKUP(E5223,E$1:E5222,1,FALSE()))),"OLD",IF(AND(E5223&lt;&gt;"",E5223&lt;&gt;"!!!"),"NEW","")))</f>
        <v/>
      </c>
      <c r="G5223" s="26" t="str">
        <f aca="false">IF(OR(E5223="",E5223="!!!"),"",IF(OR(J5223=0,AND(J5223=1,K5223=1),AND(J5223=1,I5223="SBJ"),AND(J5223=1,I5223=0)),"?IN_FOCUS",IF(J5223&lt;=2,"?ACTIVATED",IF(J5223&lt;&gt;"","?FAMILIAR",IF(F5223="NEW",IF(ISNA(VLOOKUP(E5223,#REF!,1,FALSE())),"?TYPE_IDENTIFIABLE","?REFERENTIAL"),"_")))))</f>
        <v/>
      </c>
      <c r="H5223" s="27" t="str">
        <f aca="false">IF(J5223&lt;&gt;1,"",IF(I5223="SBJ","CB","?"))</f>
        <v/>
      </c>
      <c r="I5223" s="24" t="str">
        <f aca="false">IF(OR(E5223="",E5223="!!!",F5223="NEW"),"",INDEX(B11:B$5213,-1+SUMPRODUCT(MAX(ROW(E11:E$5213)*(E5223=E11:E$5213)))))</f>
        <v/>
      </c>
      <c r="J5223" s="24" t="str">
        <f aca="true">IF(OR(E5223="",E5223="!!!",F5223="NEW"),"",COUNTBLANK(OFFSET(A$1,,,SUMPRODUCT(MAX(ROW(E$2:E5223)*(E5223=E$2:E5223)))))-COUNTBLANK(OFFSET(A$1,,,SUMPRODUCT(MAX(ROW(E$1:E5222)*(E2=E$1:E5222))))))</f>
        <v/>
      </c>
      <c r="K5223" s="24" t="str">
        <f aca="false">IF(OR(E5223="",E5223="!!!",F5223="NEW"),"",INDEX(J$1:J5222,SUMPRODUCT(MAX(ROW(E$1:E5222)*(E5223=E$1:E5222)))))</f>
        <v/>
      </c>
      <c r="L5223" s="31"/>
    </row>
    <row r="5224" customFormat="false" ht="15" hidden="false" customHeight="false" outlineLevel="0" collapsed="false">
      <c r="A5224" s="20" t="s">
        <v>1080</v>
      </c>
      <c r="B5224" s="22" t="s">
        <v>1359</v>
      </c>
      <c r="C5224" s="22" t="s">
        <v>1082</v>
      </c>
      <c r="D5224" s="22" t="s">
        <v>1060</v>
      </c>
      <c r="E5224" s="23" t="str">
        <f aca="false">IF(D5224="?OLD","!!!","")</f>
        <v>!!!</v>
      </c>
      <c r="F5224" s="25" t="str">
        <f aca="false">IF(OR(E5224="",E5224="!!!"),"",IF(NOT(ISNA(VLOOKUP(E5224,E$1:E5223,1,FALSE()))),"OLD",IF(AND(E5224&lt;&gt;"",E5224&lt;&gt;"!!!"),"NEW","")))</f>
        <v/>
      </c>
      <c r="G5224" s="26" t="str">
        <f aca="false">IF(OR(E5224="",E5224="!!!"),"",IF(OR(J5224=0,AND(J5224=1,K5224=1),AND(J5224=1,I5224="SBJ"),AND(J5224=1,I5224=0)),"?IN_FOCUS",IF(J5224&lt;=2,"?ACTIVATED",IF(J5224&lt;&gt;"","?FAMILIAR",IF(F5224="NEW",IF(ISNA(VLOOKUP(E5224,#REF!,1,FALSE())),"?TYPE_IDENTIFIABLE","?REFERENTIAL"),"_")))))</f>
        <v/>
      </c>
      <c r="H5224" s="27" t="str">
        <f aca="false">IF(J5224&lt;&gt;1,"",IF(I5224="SBJ","CB","?"))</f>
        <v/>
      </c>
      <c r="I5224" s="24" t="str">
        <f aca="false">IF(OR(E5224="",E5224="!!!",F5224="NEW"),"",INDEX(B12:B$5213,-1+SUMPRODUCT(MAX(ROW(E12:E$5213)*(E5224=E12:E$5213)))))</f>
        <v/>
      </c>
      <c r="J5224" s="24" t="str">
        <f aca="true">IF(OR(E5224="",E5224="!!!",F5224="NEW"),"",COUNTBLANK(OFFSET(A$1,,,SUMPRODUCT(MAX(ROW(E$2:E5224)*(E5224=E$2:E5224)))))-COUNTBLANK(OFFSET(A$1,,,SUMPRODUCT(MAX(ROW(E$1:E5223)*(E2=E$1:E5223))))))</f>
        <v/>
      </c>
      <c r="K5224" s="24" t="str">
        <f aca="false">IF(OR(E5224="",E5224="!!!",F5224="NEW"),"",INDEX(J$1:J5223,SUMPRODUCT(MAX(ROW(E$1:E5223)*(E5224=E$1:E5223)))))</f>
        <v/>
      </c>
      <c r="L5224" s="31"/>
    </row>
    <row r="5225" customFormat="false" ht="15" hidden="false" customHeight="false" outlineLevel="0" collapsed="false">
      <c r="A5225" s="20" t="s">
        <v>502</v>
      </c>
      <c r="E5225" s="23" t="str">
        <f aca="false">IF(D5225="?OLD","!!!","")</f>
        <v/>
      </c>
      <c r="F5225" s="25" t="str">
        <f aca="false">IF(OR(E5225="",E5225="!!!"),"",IF(NOT(ISNA(VLOOKUP(E5225,E$1:E5224,1,FALSE()))),"OLD",IF(AND(E5225&lt;&gt;"",E5225&lt;&gt;"!!!"),"NEW","")))</f>
        <v/>
      </c>
      <c r="G5225" s="26" t="str">
        <f aca="false">IF(OR(E5225="",E5225="!!!"),"",IF(OR(J5225=0,AND(J5225=1,K5225=1),AND(J5225=1,I5225="SBJ"),AND(J5225=1,I5225=0)),"?IN_FOCUS",IF(J5225&lt;=2,"?ACTIVATED",IF(J5225&lt;&gt;"","?FAMILIAR",IF(F5225="NEW",IF(ISNA(VLOOKUP(E5225,#REF!,1,FALSE())),"?TYPE_IDENTIFIABLE","?REFERENTIAL"),"_")))))</f>
        <v/>
      </c>
      <c r="H5225" s="27" t="str">
        <f aca="false">IF(J5225&lt;&gt;1,"",IF(I5225="SBJ","CB","?"))</f>
        <v/>
      </c>
      <c r="I5225" s="24" t="str">
        <f aca="false">IF(OR(E5225="",E5225="!!!",F5225="NEW"),"",INDEX(B13:B$5213,-1+SUMPRODUCT(MAX(ROW(E13:E$5213)*(E5225=E13:E$5213)))))</f>
        <v/>
      </c>
      <c r="J5225" s="24" t="str">
        <f aca="true">IF(OR(E5225="",E5225="!!!",F5225="NEW"),"",COUNTBLANK(OFFSET(A$1,,,SUMPRODUCT(MAX(ROW(E$2:E5225)*(E5225=E$2:E5225)))))-COUNTBLANK(OFFSET(A$1,,,SUMPRODUCT(MAX(ROW(E$1:E5224)*(E2=E$1:E5224))))))</f>
        <v/>
      </c>
      <c r="K5225" s="24" t="str">
        <f aca="false">IF(OR(E5225="",E5225="!!!",F5225="NEW"),"",INDEX(J$1:J5224,SUMPRODUCT(MAX(ROW(E$1:E5224)*(E5225=E$1:E5224)))))</f>
        <v/>
      </c>
      <c r="L5225" s="31"/>
    </row>
    <row r="5226" customFormat="false" ht="15" hidden="false" customHeight="false" outlineLevel="0" collapsed="false">
      <c r="A5226" s="20" t="s">
        <v>1776</v>
      </c>
      <c r="E5226" s="23" t="str">
        <f aca="false">IF(D5226="?OLD","!!!","")</f>
        <v/>
      </c>
      <c r="F5226" s="25" t="str">
        <f aca="false">IF(OR(E5226="",E5226="!!!"),"",IF(NOT(ISNA(VLOOKUP(E5226,E$1:E5225,1,FALSE()))),"OLD",IF(AND(E5226&lt;&gt;"",E5226&lt;&gt;"!!!"),"NEW","")))</f>
        <v/>
      </c>
      <c r="G5226" s="26" t="str">
        <f aca="false">IF(OR(E5226="",E5226="!!!"),"",IF(OR(J5226=0,AND(J5226=1,K5226=1),AND(J5226=1,I5226="SBJ"),AND(J5226=1,I5226=0)),"?IN_FOCUS",IF(J5226&lt;=2,"?ACTIVATED",IF(J5226&lt;&gt;"","?FAMILIAR",IF(F5226="NEW",IF(ISNA(VLOOKUP(E5226,#REF!,1,FALSE())),"?TYPE_IDENTIFIABLE","?REFERENTIAL"),"_")))))</f>
        <v/>
      </c>
      <c r="H5226" s="27" t="str">
        <f aca="false">IF(J5226&lt;&gt;1,"",IF(I5226="SBJ","CB","?"))</f>
        <v/>
      </c>
      <c r="I5226" s="24" t="str">
        <f aca="false">IF(OR(E5226="",E5226="!!!",F5226="NEW"),"",INDEX(B14:B$5213,-1+SUMPRODUCT(MAX(ROW(E14:E$5213)*(E5226=E14:E$5213)))))</f>
        <v/>
      </c>
      <c r="J5226" s="24" t="str">
        <f aca="true">IF(OR(E5226="",E5226="!!!",F5226="NEW"),"",COUNTBLANK(OFFSET(A$1,,,SUMPRODUCT(MAX(ROW(E$2:E5226)*(E5226=E$2:E5226)))))-COUNTBLANK(OFFSET(A$1,,,SUMPRODUCT(MAX(ROW(E$1:E5225)*(E2=E$1:E5225))))))</f>
        <v/>
      </c>
      <c r="K5226" s="24" t="str">
        <f aca="false">IF(OR(E5226="",E5226="!!!",F5226="NEW"),"",INDEX(J$1:J5225,SUMPRODUCT(MAX(ROW(E$1:E5225)*(E5226=E$1:E5225)))))</f>
        <v/>
      </c>
      <c r="L5226" s="31"/>
    </row>
    <row r="5227" customFormat="false" ht="15" hidden="false" customHeight="false" outlineLevel="0" collapsed="false">
      <c r="A5227" s="20" t="s">
        <v>1109</v>
      </c>
      <c r="E5227" s="23" t="str">
        <f aca="false">IF(D5227="?OLD","!!!","")</f>
        <v/>
      </c>
      <c r="F5227" s="25" t="str">
        <f aca="false">IF(OR(E5227="",E5227="!!!"),"",IF(NOT(ISNA(VLOOKUP(E5227,E$1:E5226,1,FALSE()))),"OLD",IF(AND(E5227&lt;&gt;"",E5227&lt;&gt;"!!!"),"NEW","")))</f>
        <v/>
      </c>
      <c r="G5227" s="26" t="str">
        <f aca="false">IF(OR(E5227="",E5227="!!!"),"",IF(OR(J5227=0,AND(J5227=1,K5227=1),AND(J5227=1,I5227="SBJ"),AND(J5227=1,I5227=0)),"?IN_FOCUS",IF(J5227&lt;=2,"?ACTIVATED",IF(J5227&lt;&gt;"","?FAMILIAR",IF(F5227="NEW",IF(ISNA(VLOOKUP(E5227,#REF!,1,FALSE())),"?TYPE_IDENTIFIABLE","?REFERENTIAL"),"_")))))</f>
        <v/>
      </c>
      <c r="H5227" s="27" t="str">
        <f aca="false">IF(J5227&lt;&gt;1,"",IF(I5227="SBJ","CB","?"))</f>
        <v/>
      </c>
      <c r="I5227" s="24" t="str">
        <f aca="false">IF(OR(E5227="",E5227="!!!",F5227="NEW"),"",INDEX(B15:B$5213,-1+SUMPRODUCT(MAX(ROW(E15:E$5213)*(E5227=E15:E$5213)))))</f>
        <v/>
      </c>
      <c r="J5227" s="24" t="str">
        <f aca="true">IF(OR(E5227="",E5227="!!!",F5227="NEW"),"",COUNTBLANK(OFFSET(A$1,,,SUMPRODUCT(MAX(ROW(E$2:E5227)*(E5227=E$2:E5227)))))-COUNTBLANK(OFFSET(A$1,,,SUMPRODUCT(MAX(ROW(E$1:E5226)*(E2=E$1:E5226))))))</f>
        <v/>
      </c>
      <c r="K5227" s="24" t="str">
        <f aca="false">IF(OR(E5227="",E5227="!!!",F5227="NEW"),"",INDEX(J$1:J5226,SUMPRODUCT(MAX(ROW(E$1:E5226)*(E5227=E$1:E5226)))))</f>
        <v/>
      </c>
      <c r="L5227" s="31"/>
    </row>
    <row r="5228" customFormat="false" ht="15" hidden="false" customHeight="false" outlineLevel="0" collapsed="false">
      <c r="A5228" s="20" t="s">
        <v>2552</v>
      </c>
      <c r="B5228" s="22" t="s">
        <v>1098</v>
      </c>
      <c r="C5228" s="22" t="s">
        <v>1150</v>
      </c>
      <c r="D5228" s="22" t="s">
        <v>1060</v>
      </c>
      <c r="E5228" s="23" t="str">
        <f aca="false">IF(D5228="?OLD","!!!","")</f>
        <v>!!!</v>
      </c>
      <c r="F5228" s="25" t="str">
        <f aca="false">IF(OR(E5228="",E5228="!!!"),"",IF(NOT(ISNA(VLOOKUP(E5228,E$1:E5227,1,FALSE()))),"OLD",IF(AND(E5228&lt;&gt;"",E5228&lt;&gt;"!!!"),"NEW","")))</f>
        <v/>
      </c>
      <c r="G5228" s="26" t="str">
        <f aca="false">IF(OR(E5228="",E5228="!!!"),"",IF(OR(J5228=0,AND(J5228=1,K5228=1),AND(J5228=1,I5228="SBJ"),AND(J5228=1,I5228=0)),"?IN_FOCUS",IF(J5228&lt;=2,"?ACTIVATED",IF(J5228&lt;&gt;"","?FAMILIAR",IF(F5228="NEW",IF(ISNA(VLOOKUP(E5228,#REF!,1,FALSE())),"?TYPE_IDENTIFIABLE","?REFERENTIAL"),"_")))))</f>
        <v/>
      </c>
      <c r="H5228" s="27" t="str">
        <f aca="false">IF(J5228&lt;&gt;1,"",IF(I5228="SBJ","CB","?"))</f>
        <v/>
      </c>
      <c r="I5228" s="24" t="str">
        <f aca="false">IF(OR(E5228="",E5228="!!!",F5228="NEW"),"",INDEX(B16:B$5213,-1+SUMPRODUCT(MAX(ROW(E16:E$5213)*(E5228=E16:E$5213)))))</f>
        <v/>
      </c>
      <c r="J5228" s="24" t="str">
        <f aca="true">IF(OR(E5228="",E5228="!!!",F5228="NEW"),"",COUNTBLANK(OFFSET(A$1,,,SUMPRODUCT(MAX(ROW(E$2:E5228)*(E5228=E$2:E5228)))))-COUNTBLANK(OFFSET(A$1,,,SUMPRODUCT(MAX(ROW(E$1:E5227)*(E2=E$1:E5227))))))</f>
        <v/>
      </c>
      <c r="K5228" s="24" t="str">
        <f aca="false">IF(OR(E5228="",E5228="!!!",F5228="NEW"),"",INDEX(J$1:J5227,SUMPRODUCT(MAX(ROW(E$1:E5227)*(E5228=E$1:E5227)))))</f>
        <v/>
      </c>
      <c r="L5228" s="31"/>
    </row>
    <row r="5229" customFormat="false" ht="15" hidden="false" customHeight="false" outlineLevel="0" collapsed="false">
      <c r="A5229" s="20" t="s">
        <v>923</v>
      </c>
      <c r="E5229" s="23" t="str">
        <f aca="false">IF(D5229="?OLD","!!!","")</f>
        <v/>
      </c>
      <c r="F5229" s="25" t="str">
        <f aca="false">IF(OR(E5229="",E5229="!!!"),"",IF(NOT(ISNA(VLOOKUP(E5229,E$1:E5228,1,FALSE()))),"OLD",IF(AND(E5229&lt;&gt;"",E5229&lt;&gt;"!!!"),"NEW","")))</f>
        <v/>
      </c>
      <c r="G5229" s="26" t="str">
        <f aca="false">IF(OR(E5229="",E5229="!!!"),"",IF(OR(J5229=0,AND(J5229=1,K5229=1),AND(J5229=1,I5229="SBJ"),AND(J5229=1,I5229=0)),"?IN_FOCUS",IF(J5229&lt;=2,"?ACTIVATED",IF(J5229&lt;&gt;"","?FAMILIAR",IF(F5229="NEW",IF(ISNA(VLOOKUP(E5229,#REF!,1,FALSE())),"?TYPE_IDENTIFIABLE","?REFERENTIAL"),"_")))))</f>
        <v/>
      </c>
      <c r="H5229" s="27" t="str">
        <f aca="false">IF(J5229&lt;&gt;1,"",IF(I5229="SBJ","CB","?"))</f>
        <v/>
      </c>
      <c r="I5229" s="24" t="str">
        <f aca="false">IF(OR(E5229="",E5229="!!!",F5229="NEW"),"",INDEX(B17:B$5213,-1+SUMPRODUCT(MAX(ROW(E17:E$5213)*(E5229=E17:E$5213)))))</f>
        <v/>
      </c>
      <c r="J5229" s="24" t="str">
        <f aca="true">IF(OR(E5229="",E5229="!!!",F5229="NEW"),"",COUNTBLANK(OFFSET(A$1,,,SUMPRODUCT(MAX(ROW(E$2:E5229)*(E5229=E$2:E5229)))))-COUNTBLANK(OFFSET(A$1,,,SUMPRODUCT(MAX(ROW(E$1:E5228)*(E2=E$1:E5228))))))</f>
        <v/>
      </c>
      <c r="K5229" s="24" t="str">
        <f aca="false">IF(OR(E5229="",E5229="!!!",F5229="NEW"),"",INDEX(J$1:J5228,SUMPRODUCT(MAX(ROW(E$1:E5228)*(E5229=E$1:E5228)))))</f>
        <v/>
      </c>
      <c r="L5229" s="31"/>
    </row>
    <row r="5230" customFormat="false" ht="15" hidden="false" customHeight="false" outlineLevel="0" collapsed="false">
      <c r="A5230" s="20"/>
    </row>
    <row r="5231" customFormat="false" ht="15" hidden="false" customHeight="false" outlineLevel="0" collapsed="false">
      <c r="A5231" s="20" t="s">
        <v>1301</v>
      </c>
      <c r="E5231" s="23" t="str">
        <f aca="false">IF(D5231="?OLD","!!!","")</f>
        <v/>
      </c>
      <c r="F5231" s="25" t="str">
        <f aca="false">IF(OR(E5231="",E5231="!!!"),"",IF(NOT(ISNA(VLOOKUP(E5231,E$1:E5230,1,FALSE()))),"OLD",IF(AND(E5231&lt;&gt;"",E5231&lt;&gt;"!!!"),"NEW","")))</f>
        <v/>
      </c>
      <c r="G5231" s="26" t="str">
        <f aca="false">IF(OR(E5231="",E5231="!!!"),"",IF(OR(J5231=0,AND(J5231=1,K5231=1),AND(J5231=1,I5231="SBJ"),AND(J5231=1,I5231=0)),"?IN_FOCUS",IF(J5231&lt;=2,"?ACTIVATED",IF(J5231&lt;&gt;"","?FAMILIAR",IF(F5231="NEW",IF(ISNA(VLOOKUP(E5231,#REF!,1,FALSE())),"?TYPE_IDENTIFIABLE","?REFERENTIAL"),"_")))))</f>
        <v/>
      </c>
      <c r="H5231" s="27" t="str">
        <f aca="false">IF(J5231&lt;&gt;1,"",IF(I5231="SBJ","CB","?"))</f>
        <v/>
      </c>
      <c r="I5231" s="24" t="str">
        <f aca="false">IF(OR(E5231="",E5231="!!!",F5231="NEW"),"",INDEX(B2:B$5230,-1+SUMPRODUCT(MAX(ROW(E2:E$5230)*(E5231=E2:E$5230)))))</f>
        <v/>
      </c>
      <c r="J5231" s="24" t="str">
        <f aca="true">IF(OR(E5231="",E5231="!!!",F5231="NEW"),"",COUNTBLANK(OFFSET(A$1,,,SUMPRODUCT(MAX(ROW(E$2:E5231)*(E5231=E$2:E5231)))))-COUNTBLANK(OFFSET(A$1,,,SUMPRODUCT(MAX(ROW(E$1:E5230)*(E2=E$1:E5230))))))</f>
        <v/>
      </c>
      <c r="K5231" s="24" t="str">
        <f aca="false">IF(OR(E5231="",E5231="!!!",F5231="NEW"),"",INDEX(J$1:J5230,SUMPRODUCT(MAX(ROW(E$1:E5230)*(E5231=E$1:E5230)))))</f>
        <v/>
      </c>
      <c r="L5231" s="31"/>
    </row>
    <row r="5232" customFormat="false" ht="15" hidden="false" customHeight="false" outlineLevel="0" collapsed="false">
      <c r="A5232" s="20" t="s">
        <v>2553</v>
      </c>
    </row>
    <row r="5233" customFormat="false" ht="15" hidden="false" customHeight="false" outlineLevel="0" collapsed="false">
      <c r="A5233" s="20" t="s">
        <v>607</v>
      </c>
      <c r="E5233" s="23" t="str">
        <f aca="false">IF(D5233="?OLD","!!!","")</f>
        <v/>
      </c>
      <c r="F5233" s="25" t="str">
        <f aca="false">IF(OR(E5233="",E5233="!!!"),"",IF(NOT(ISNA(VLOOKUP(E5233,E$1:E5232,1,FALSE()))),"OLD",IF(AND(E5233&lt;&gt;"",E5233&lt;&gt;"!!!"),"NEW","")))</f>
        <v/>
      </c>
      <c r="G5233" s="26" t="str">
        <f aca="false">IF(OR(E5233="",E5233="!!!"),"",IF(OR(J5233=0,AND(J5233=1,K5233=1),AND(J5233=1,I5233="SBJ"),AND(J5233=1,I5233=0)),"?IN_FOCUS",IF(J5233&lt;=2,"?ACTIVATED",IF(J5233&lt;&gt;"","?FAMILIAR",IF(F5233="NEW",IF(ISNA(VLOOKUP(E5233,#REF!,1,FALSE())),"?TYPE_IDENTIFIABLE","?REFERENTIAL"),"_")))))</f>
        <v/>
      </c>
      <c r="H5233" s="27" t="str">
        <f aca="false">IF(J5233&lt;&gt;1,"",IF(I5233="SBJ","CB","?"))</f>
        <v/>
      </c>
      <c r="I5233" s="24" t="str">
        <f aca="false">IF(OR(E5233="",E5233="!!!",F5233="NEW"),"",INDEX(B2:B$5232,-1+SUMPRODUCT(MAX(ROW(E2:E$5232)*(E5233=E2:E$5232)))))</f>
        <v/>
      </c>
      <c r="J5233" s="24" t="str">
        <f aca="true">IF(OR(E5233="",E5233="!!!",F5233="NEW"),"",COUNTBLANK(OFFSET(A$1,,,SUMPRODUCT(MAX(ROW(E$2:E5233)*(E5233=E$2:E5233)))))-COUNTBLANK(OFFSET(A$1,,,SUMPRODUCT(MAX(ROW(E$1:E5232)*(E2=E$1:E5232))))))</f>
        <v/>
      </c>
      <c r="K5233" s="24" t="str">
        <f aca="false">IF(OR(E5233="",E5233="!!!",F5233="NEW"),"",INDEX(J$1:J5232,SUMPRODUCT(MAX(ROW(E$1:E5232)*(E5233=E$1:E5232)))))</f>
        <v/>
      </c>
      <c r="L5233" s="31"/>
    </row>
    <row r="5234" customFormat="false" ht="15" hidden="false" customHeight="false" outlineLevel="0" collapsed="false">
      <c r="A5234" s="20" t="s">
        <v>1345</v>
      </c>
      <c r="E5234" s="23" t="str">
        <f aca="false">IF(D5234="?OLD","!!!","")</f>
        <v/>
      </c>
      <c r="F5234" s="25" t="str">
        <f aca="false">IF(OR(E5234="",E5234="!!!"),"",IF(NOT(ISNA(VLOOKUP(E5234,E$1:E5233,1,FALSE()))),"OLD",IF(AND(E5234&lt;&gt;"",E5234&lt;&gt;"!!!"),"NEW","")))</f>
        <v/>
      </c>
      <c r="G5234" s="26" t="str">
        <f aca="false">IF(OR(E5234="",E5234="!!!"),"",IF(OR(J5234=0,AND(J5234=1,K5234=1),AND(J5234=1,I5234="SBJ"),AND(J5234=1,I5234=0)),"?IN_FOCUS",IF(J5234&lt;=2,"?ACTIVATED",IF(J5234&lt;&gt;"","?FAMILIAR",IF(F5234="NEW",IF(ISNA(VLOOKUP(E5234,#REF!,1,FALSE())),"?TYPE_IDENTIFIABLE","?REFERENTIAL"),"_")))))</f>
        <v/>
      </c>
      <c r="H5234" s="27" t="str">
        <f aca="false">IF(J5234&lt;&gt;1,"",IF(I5234="SBJ","CB","?"))</f>
        <v/>
      </c>
      <c r="I5234" s="24" t="str">
        <f aca="false">IF(OR(E5234="",E5234="!!!",F5234="NEW"),"",INDEX(B3:B$5232,-1+SUMPRODUCT(MAX(ROW(E3:E$5232)*(E5234=E3:E$5232)))))</f>
        <v/>
      </c>
      <c r="J5234" s="24" t="str">
        <f aca="true">IF(OR(E5234="",E5234="!!!",F5234="NEW"),"",COUNTBLANK(OFFSET(A$1,,,SUMPRODUCT(MAX(ROW(E$2:E5234)*(E5234=E$2:E5234)))))-COUNTBLANK(OFFSET(A$1,,,SUMPRODUCT(MAX(ROW(E$1:E5233)*(E2=E$1:E5233))))))</f>
        <v/>
      </c>
      <c r="K5234" s="24" t="str">
        <f aca="false">IF(OR(E5234="",E5234="!!!",F5234="NEW"),"",INDEX(J$1:J5233,SUMPRODUCT(MAX(ROW(E$1:E5233)*(E5234=E$1:E5233)))))</f>
        <v/>
      </c>
      <c r="L5234" s="31"/>
    </row>
    <row r="5235" customFormat="false" ht="15" hidden="false" customHeight="false" outlineLevel="0" collapsed="false">
      <c r="A5235" s="20" t="s">
        <v>2554</v>
      </c>
      <c r="B5235" s="22" t="s">
        <v>1058</v>
      </c>
      <c r="C5235" s="22" t="s">
        <v>1087</v>
      </c>
      <c r="E5235" s="23" t="str">
        <f aca="false">IF(D5235="?OLD","!!!","")</f>
        <v/>
      </c>
      <c r="F5235" s="25" t="str">
        <f aca="false">IF(OR(E5235="",E5235="!!!"),"",IF(NOT(ISNA(VLOOKUP(E5235,E$1:E5234,1,FALSE()))),"OLD",IF(AND(E5235&lt;&gt;"",E5235&lt;&gt;"!!!"),"NEW","")))</f>
        <v/>
      </c>
      <c r="G5235" s="26" t="str">
        <f aca="false">IF(OR(E5235="",E5235="!!!"),"",IF(OR(J5235=0,AND(J5235=1,K5235=1),AND(J5235=1,I5235="SBJ"),AND(J5235=1,I5235=0)),"?IN_FOCUS",IF(J5235&lt;=2,"?ACTIVATED",IF(J5235&lt;&gt;"","?FAMILIAR",IF(F5235="NEW",IF(ISNA(VLOOKUP(E5235,#REF!,1,FALSE())),"?TYPE_IDENTIFIABLE","?REFERENTIAL"),"_")))))</f>
        <v/>
      </c>
      <c r="H5235" s="27" t="str">
        <f aca="false">IF(J5235&lt;&gt;1,"",IF(I5235="SBJ","CB","?"))</f>
        <v/>
      </c>
      <c r="I5235" s="24" t="str">
        <f aca="false">IF(OR(E5235="",E5235="!!!",F5235="NEW"),"",INDEX(B4:B$5232,-1+SUMPRODUCT(MAX(ROW(E4:E$5232)*(E5235=E4:E$5232)))))</f>
        <v/>
      </c>
      <c r="J5235" s="24" t="str">
        <f aca="true">IF(OR(E5235="",E5235="!!!",F5235="NEW"),"",COUNTBLANK(OFFSET(A$1,,,SUMPRODUCT(MAX(ROW(E$2:E5235)*(E5235=E$2:E5235)))))-COUNTBLANK(OFFSET(A$1,,,SUMPRODUCT(MAX(ROW(E$1:E5234)*(E2=E$1:E5234))))))</f>
        <v/>
      </c>
      <c r="K5235" s="24" t="str">
        <f aca="false">IF(OR(E5235="",E5235="!!!",F5235="NEW"),"",INDEX(J$1:J5234,SUMPRODUCT(MAX(ROW(E$1:E5234)*(E5235=E$1:E5234)))))</f>
        <v/>
      </c>
      <c r="L5235" s="31"/>
    </row>
    <row r="5236" customFormat="false" ht="15" hidden="false" customHeight="false" outlineLevel="0" collapsed="false">
      <c r="A5236" s="20" t="s">
        <v>1328</v>
      </c>
      <c r="E5236" s="23" t="str">
        <f aca="false">IF(D5236="?OLD","!!!","")</f>
        <v/>
      </c>
      <c r="F5236" s="25" t="str">
        <f aca="false">IF(OR(E5236="",E5236="!!!"),"",IF(NOT(ISNA(VLOOKUP(E5236,E$1:E5235,1,FALSE()))),"OLD",IF(AND(E5236&lt;&gt;"",E5236&lt;&gt;"!!!"),"NEW","")))</f>
        <v/>
      </c>
      <c r="G5236" s="26" t="str">
        <f aca="false">IF(OR(E5236="",E5236="!!!"),"",IF(OR(J5236=0,AND(J5236=1,K5236=1),AND(J5236=1,I5236="SBJ"),AND(J5236=1,I5236=0)),"?IN_FOCUS",IF(J5236&lt;=2,"?ACTIVATED",IF(J5236&lt;&gt;"","?FAMILIAR",IF(F5236="NEW",IF(ISNA(VLOOKUP(E5236,#REF!,1,FALSE())),"?TYPE_IDENTIFIABLE","?REFERENTIAL"),"_")))))</f>
        <v/>
      </c>
      <c r="H5236" s="27" t="str">
        <f aca="false">IF(J5236&lt;&gt;1,"",IF(I5236="SBJ","CB","?"))</f>
        <v/>
      </c>
      <c r="I5236" s="24" t="str">
        <f aca="false">IF(OR(E5236="",E5236="!!!",F5236="NEW"),"",INDEX(B5:B$5232,-1+SUMPRODUCT(MAX(ROW(E5:E$5232)*(E5236=E5:E$5232)))))</f>
        <v/>
      </c>
      <c r="J5236" s="24" t="str">
        <f aca="true">IF(OR(E5236="",E5236="!!!",F5236="NEW"),"",COUNTBLANK(OFFSET(A$1,,,SUMPRODUCT(MAX(ROW(E$2:E5236)*(E5236=E$2:E5236)))))-COUNTBLANK(OFFSET(A$1,,,SUMPRODUCT(MAX(ROW(E$1:E5235)*(E2=E$1:E5235))))))</f>
        <v/>
      </c>
      <c r="K5236" s="24" t="str">
        <f aca="false">IF(OR(E5236="",E5236="!!!",F5236="NEW"),"",INDEX(J$1:J5235,SUMPRODUCT(MAX(ROW(E$1:E5235)*(E5236=E$1:E5235)))))</f>
        <v/>
      </c>
      <c r="L5236" s="31"/>
    </row>
    <row r="5237" customFormat="false" ht="15" hidden="false" customHeight="false" outlineLevel="0" collapsed="false">
      <c r="A5237" s="20" t="s">
        <v>607</v>
      </c>
      <c r="E5237" s="23" t="str">
        <f aca="false">IF(D5237="?OLD","!!!","")</f>
        <v/>
      </c>
      <c r="F5237" s="25" t="str">
        <f aca="false">IF(OR(E5237="",E5237="!!!"),"",IF(NOT(ISNA(VLOOKUP(E5237,E$1:E5236,1,FALSE()))),"OLD",IF(AND(E5237&lt;&gt;"",E5237&lt;&gt;"!!!"),"NEW","")))</f>
        <v/>
      </c>
      <c r="G5237" s="26" t="str">
        <f aca="false">IF(OR(E5237="",E5237="!!!"),"",IF(OR(J5237=0,AND(J5237=1,K5237=1),AND(J5237=1,I5237="SBJ"),AND(J5237=1,I5237=0)),"?IN_FOCUS",IF(J5237&lt;=2,"?ACTIVATED",IF(J5237&lt;&gt;"","?FAMILIAR",IF(F5237="NEW",IF(ISNA(VLOOKUP(E5237,#REF!,1,FALSE())),"?TYPE_IDENTIFIABLE","?REFERENTIAL"),"_")))))</f>
        <v/>
      </c>
      <c r="H5237" s="27" t="str">
        <f aca="false">IF(J5237&lt;&gt;1,"",IF(I5237="SBJ","CB","?"))</f>
        <v/>
      </c>
      <c r="I5237" s="24" t="str">
        <f aca="false">IF(OR(E5237="",E5237="!!!",F5237="NEW"),"",INDEX(B6:B$5232,-1+SUMPRODUCT(MAX(ROW(E6:E$5232)*(E5237=E6:E$5232)))))</f>
        <v/>
      </c>
      <c r="J5237" s="24" t="str">
        <f aca="true">IF(OR(E5237="",E5237="!!!",F5237="NEW"),"",COUNTBLANK(OFFSET(A$1,,,SUMPRODUCT(MAX(ROW(E$2:E5237)*(E5237=E$2:E5237)))))-COUNTBLANK(OFFSET(A$1,,,SUMPRODUCT(MAX(ROW(E$1:E5236)*(E2=E$1:E5236))))))</f>
        <v/>
      </c>
      <c r="K5237" s="24" t="str">
        <f aca="false">IF(OR(E5237="",E5237="!!!",F5237="NEW"),"",INDEX(J$1:J5236,SUMPRODUCT(MAX(ROW(E$1:E5236)*(E5237=E$1:E5236)))))</f>
        <v/>
      </c>
      <c r="L5237" s="31"/>
    </row>
    <row r="5238" customFormat="false" ht="15" hidden="false" customHeight="false" outlineLevel="0" collapsed="false">
      <c r="A5238" s="20" t="s">
        <v>1194</v>
      </c>
      <c r="E5238" s="23" t="str">
        <f aca="false">IF(D5238="?OLD","!!!","")</f>
        <v/>
      </c>
      <c r="F5238" s="25" t="str">
        <f aca="false">IF(OR(E5238="",E5238="!!!"),"",IF(NOT(ISNA(VLOOKUP(E5238,E$1:E5237,1,FALSE()))),"OLD",IF(AND(E5238&lt;&gt;"",E5238&lt;&gt;"!!!"),"NEW","")))</f>
        <v/>
      </c>
      <c r="G5238" s="26" t="str">
        <f aca="false">IF(OR(E5238="",E5238="!!!"),"",IF(OR(J5238=0,AND(J5238=1,K5238=1),AND(J5238=1,I5238="SBJ"),AND(J5238=1,I5238=0)),"?IN_FOCUS",IF(J5238&lt;=2,"?ACTIVATED",IF(J5238&lt;&gt;"","?FAMILIAR",IF(F5238="NEW",IF(ISNA(VLOOKUP(E5238,#REF!,1,FALSE())),"?TYPE_IDENTIFIABLE","?REFERENTIAL"),"_")))))</f>
        <v/>
      </c>
      <c r="H5238" s="27" t="str">
        <f aca="false">IF(J5238&lt;&gt;1,"",IF(I5238="SBJ","CB","?"))</f>
        <v/>
      </c>
      <c r="I5238" s="24" t="str">
        <f aca="false">IF(OR(E5238="",E5238="!!!",F5238="NEW"),"",INDEX(B7:B$5232,-1+SUMPRODUCT(MAX(ROW(E7:E$5232)*(E5238=E7:E$5232)))))</f>
        <v/>
      </c>
      <c r="J5238" s="24" t="str">
        <f aca="true">IF(OR(E5238="",E5238="!!!",F5238="NEW"),"",COUNTBLANK(OFFSET(A$1,,,SUMPRODUCT(MAX(ROW(E$2:E5238)*(E5238=E$2:E5238)))))-COUNTBLANK(OFFSET(A$1,,,SUMPRODUCT(MAX(ROW(E$1:E5237)*(E2=E$1:E5237))))))</f>
        <v/>
      </c>
      <c r="K5238" s="24" t="str">
        <f aca="false">IF(OR(E5238="",E5238="!!!",F5238="NEW"),"",INDEX(J$1:J5237,SUMPRODUCT(MAX(ROW(E$1:E5237)*(E5238=E$1:E5237)))))</f>
        <v/>
      </c>
      <c r="L5238" s="31"/>
    </row>
    <row r="5239" customFormat="false" ht="15" hidden="false" customHeight="false" outlineLevel="0" collapsed="false">
      <c r="A5239" s="20" t="s">
        <v>1066</v>
      </c>
      <c r="B5239" s="22" t="s">
        <v>1058</v>
      </c>
      <c r="C5239" s="22" t="s">
        <v>1068</v>
      </c>
      <c r="D5239" s="22" t="s">
        <v>1060</v>
      </c>
      <c r="E5239" s="23" t="str">
        <f aca="false">IF(D5239="?OLD","!!!","")</f>
        <v>!!!</v>
      </c>
      <c r="F5239" s="25" t="str">
        <f aca="false">IF(OR(E5239="",E5239="!!!"),"",IF(NOT(ISNA(VLOOKUP(E5239,E$1:E5238,1,FALSE()))),"OLD",IF(AND(E5239&lt;&gt;"",E5239&lt;&gt;"!!!"),"NEW","")))</f>
        <v/>
      </c>
      <c r="G5239" s="26" t="str">
        <f aca="false">IF(OR(E5239="",E5239="!!!"),"",IF(OR(J5239=0,AND(J5239=1,K5239=1),AND(J5239=1,I5239="SBJ"),AND(J5239=1,I5239=0)),"?IN_FOCUS",IF(J5239&lt;=2,"?ACTIVATED",IF(J5239&lt;&gt;"","?FAMILIAR",IF(F5239="NEW",IF(ISNA(VLOOKUP(E5239,#REF!,1,FALSE())),"?TYPE_IDENTIFIABLE","?REFERENTIAL"),"_")))))</f>
        <v/>
      </c>
      <c r="H5239" s="27" t="str">
        <f aca="false">IF(J5239&lt;&gt;1,"",IF(I5239="SBJ","CB","?"))</f>
        <v/>
      </c>
      <c r="I5239" s="24" t="str">
        <f aca="false">IF(OR(E5239="",E5239="!!!",F5239="NEW"),"",INDEX(B8:B$5232,-1+SUMPRODUCT(MAX(ROW(E8:E$5232)*(E5239=E8:E$5232)))))</f>
        <v/>
      </c>
      <c r="J5239" s="24" t="str">
        <f aca="true">IF(OR(E5239="",E5239="!!!",F5239="NEW"),"",COUNTBLANK(OFFSET(A$1,,,SUMPRODUCT(MAX(ROW(E$2:E5239)*(E5239=E$2:E5239)))))-COUNTBLANK(OFFSET(A$1,,,SUMPRODUCT(MAX(ROW(E$1:E5238)*(E2=E$1:E5238))))))</f>
        <v/>
      </c>
      <c r="K5239" s="24" t="str">
        <f aca="false">IF(OR(E5239="",E5239="!!!",F5239="NEW"),"",INDEX(J$1:J5238,SUMPRODUCT(MAX(ROW(E$1:E5238)*(E5239=E$1:E5238)))))</f>
        <v/>
      </c>
      <c r="L5239" s="31"/>
    </row>
    <row r="5240" customFormat="false" ht="15" hidden="false" customHeight="false" outlineLevel="0" collapsed="false">
      <c r="A5240" s="20" t="s">
        <v>923</v>
      </c>
      <c r="E5240" s="23" t="str">
        <f aca="false">IF(D5240="?OLD","!!!","")</f>
        <v/>
      </c>
      <c r="F5240" s="25" t="str">
        <f aca="false">IF(OR(E5240="",E5240="!!!"),"",IF(NOT(ISNA(VLOOKUP(E5240,E$1:E5239,1,FALSE()))),"OLD",IF(AND(E5240&lt;&gt;"",E5240&lt;&gt;"!!!"),"NEW","")))</f>
        <v/>
      </c>
      <c r="G5240" s="26" t="str">
        <f aca="false">IF(OR(E5240="",E5240="!!!"),"",IF(OR(J5240=0,AND(J5240=1,K5240=1),AND(J5240=1,I5240="SBJ"),AND(J5240=1,I5240=0)),"?IN_FOCUS",IF(J5240&lt;=2,"?ACTIVATED",IF(J5240&lt;&gt;"","?FAMILIAR",IF(F5240="NEW",IF(ISNA(VLOOKUP(E5240,#REF!,1,FALSE())),"?TYPE_IDENTIFIABLE","?REFERENTIAL"),"_")))))</f>
        <v/>
      </c>
      <c r="H5240" s="27" t="str">
        <f aca="false">IF(J5240&lt;&gt;1,"",IF(I5240="SBJ","CB","?"))</f>
        <v/>
      </c>
      <c r="I5240" s="24" t="str">
        <f aca="false">IF(OR(E5240="",E5240="!!!",F5240="NEW"),"",INDEX(B9:B$5232,-1+SUMPRODUCT(MAX(ROW(E9:E$5232)*(E5240=E9:E$5232)))))</f>
        <v/>
      </c>
      <c r="J5240" s="24" t="str">
        <f aca="true">IF(OR(E5240="",E5240="!!!",F5240="NEW"),"",COUNTBLANK(OFFSET(A$1,,,SUMPRODUCT(MAX(ROW(E$2:E5240)*(E5240=E$2:E5240)))))-COUNTBLANK(OFFSET(A$1,,,SUMPRODUCT(MAX(ROW(E$1:E5239)*(E2=E$1:E5239))))))</f>
        <v/>
      </c>
      <c r="K5240" s="24" t="str">
        <f aca="false">IF(OR(E5240="",E5240="!!!",F5240="NEW"),"",INDEX(J$1:J5239,SUMPRODUCT(MAX(ROW(E$1:E5239)*(E5240=E$1:E5239)))))</f>
        <v/>
      </c>
      <c r="L5240" s="31"/>
    </row>
    <row r="5241" customFormat="false" ht="15" hidden="false" customHeight="false" outlineLevel="0" collapsed="false">
      <c r="A5241" s="20"/>
    </row>
    <row r="5242" customFormat="false" ht="15" hidden="false" customHeight="false" outlineLevel="0" collapsed="false">
      <c r="A5242" s="20" t="s">
        <v>1301</v>
      </c>
      <c r="E5242" s="23" t="str">
        <f aca="false">IF(D5242="?OLD","!!!","")</f>
        <v/>
      </c>
      <c r="F5242" s="25" t="str">
        <f aca="false">IF(OR(E5242="",E5242="!!!"),"",IF(NOT(ISNA(VLOOKUP(E5242,E$1:E5241,1,FALSE()))),"OLD",IF(AND(E5242&lt;&gt;"",E5242&lt;&gt;"!!!"),"NEW","")))</f>
        <v/>
      </c>
      <c r="G5242" s="26" t="str">
        <f aca="false">IF(OR(E5242="",E5242="!!!"),"",IF(OR(J5242=0,AND(J5242=1,K5242=1),AND(J5242=1,I5242="SBJ"),AND(J5242=1,I5242=0)),"?IN_FOCUS",IF(J5242&lt;=2,"?ACTIVATED",IF(J5242&lt;&gt;"","?FAMILIAR",IF(F5242="NEW",IF(ISNA(VLOOKUP(E5242,#REF!,1,FALSE())),"?TYPE_IDENTIFIABLE","?REFERENTIAL"),"_")))))</f>
        <v/>
      </c>
      <c r="H5242" s="27" t="str">
        <f aca="false">IF(J5242&lt;&gt;1,"",IF(I5242="SBJ","CB","?"))</f>
        <v/>
      </c>
      <c r="I5242" s="24" t="str">
        <f aca="false">IF(OR(E5242="",E5242="!!!",F5242="NEW"),"",INDEX(B2:B$5241,-1+SUMPRODUCT(MAX(ROW(E2:E$5241)*(E5242=E2:E$5241)))))</f>
        <v/>
      </c>
      <c r="J5242" s="24" t="str">
        <f aca="true">IF(OR(E5242="",E5242="!!!",F5242="NEW"),"",COUNTBLANK(OFFSET(A$1,,,SUMPRODUCT(MAX(ROW(E$2:E5242)*(E5242=E$2:E5242)))))-COUNTBLANK(OFFSET(A$1,,,SUMPRODUCT(MAX(ROW(E$1:E5241)*(E2=E$1:E5241))))))</f>
        <v/>
      </c>
      <c r="K5242" s="24" t="str">
        <f aca="false">IF(OR(E5242="",E5242="!!!",F5242="NEW"),"",INDEX(J$1:J5241,SUMPRODUCT(MAX(ROW(E$1:E5241)*(E5242=E$1:E5241)))))</f>
        <v/>
      </c>
      <c r="L5242" s="31"/>
    </row>
    <row r="5243" customFormat="false" ht="15" hidden="false" customHeight="false" outlineLevel="0" collapsed="false">
      <c r="A5243" s="20" t="s">
        <v>2555</v>
      </c>
    </row>
    <row r="5244" customFormat="false" ht="15" hidden="false" customHeight="false" outlineLevel="0" collapsed="false">
      <c r="A5244" s="20" t="s">
        <v>607</v>
      </c>
      <c r="E5244" s="23" t="str">
        <f aca="false">IF(D5244="?OLD","!!!","")</f>
        <v/>
      </c>
      <c r="F5244" s="25" t="str">
        <f aca="false">IF(OR(E5244="",E5244="!!!"),"",IF(NOT(ISNA(VLOOKUP(E5244,E$1:E5243,1,FALSE()))),"OLD",IF(AND(E5244&lt;&gt;"",E5244&lt;&gt;"!!!"),"NEW","")))</f>
        <v/>
      </c>
      <c r="G5244" s="26" t="str">
        <f aca="false">IF(OR(E5244="",E5244="!!!"),"",IF(OR(J5244=0,AND(J5244=1,K5244=1),AND(J5244=1,I5244="SBJ"),AND(J5244=1,I5244=0)),"?IN_FOCUS",IF(J5244&lt;=2,"?ACTIVATED",IF(J5244&lt;&gt;"","?FAMILIAR",IF(F5244="NEW",IF(ISNA(VLOOKUP(E5244,#REF!,1,FALSE())),"?TYPE_IDENTIFIABLE","?REFERENTIAL"),"_")))))</f>
        <v/>
      </c>
      <c r="H5244" s="27" t="str">
        <f aca="false">IF(J5244&lt;&gt;1,"",IF(I5244="SBJ","CB","?"))</f>
        <v/>
      </c>
      <c r="I5244" s="24" t="str">
        <f aca="false">IF(OR(E5244="",E5244="!!!",F5244="NEW"),"",INDEX(B2:B$5243,-1+SUMPRODUCT(MAX(ROW(E2:E$5243)*(E5244=E2:E$5243)))))</f>
        <v/>
      </c>
      <c r="J5244" s="24" t="str">
        <f aca="true">IF(OR(E5244="",E5244="!!!",F5244="NEW"),"",COUNTBLANK(OFFSET(A$1,,,SUMPRODUCT(MAX(ROW(E$2:E5244)*(E5244=E$2:E5244)))))-COUNTBLANK(OFFSET(A$1,,,SUMPRODUCT(MAX(ROW(E$1:E5243)*(E2=E$1:E5243))))))</f>
        <v/>
      </c>
      <c r="K5244" s="24" t="str">
        <f aca="false">IF(OR(E5244="",E5244="!!!",F5244="NEW"),"",INDEX(J$1:J5243,SUMPRODUCT(MAX(ROW(E$1:E5243)*(E5244=E$1:E5243)))))</f>
        <v/>
      </c>
      <c r="L5244" s="31"/>
    </row>
    <row r="5245" customFormat="false" ht="15" hidden="false" customHeight="false" outlineLevel="0" collapsed="false">
      <c r="A5245" s="20" t="s">
        <v>2556</v>
      </c>
      <c r="E5245" s="23" t="str">
        <f aca="false">IF(D5245="?OLD","!!!","")</f>
        <v/>
      </c>
      <c r="F5245" s="25" t="str">
        <f aca="false">IF(OR(E5245="",E5245="!!!"),"",IF(NOT(ISNA(VLOOKUP(E5245,E$1:E5244,1,FALSE()))),"OLD",IF(AND(E5245&lt;&gt;"",E5245&lt;&gt;"!!!"),"NEW","")))</f>
        <v/>
      </c>
      <c r="G5245" s="26" t="str">
        <f aca="false">IF(OR(E5245="",E5245="!!!"),"",IF(OR(J5245=0,AND(J5245=1,K5245=1),AND(J5245=1,I5245="SBJ"),AND(J5245=1,I5245=0)),"?IN_FOCUS",IF(J5245&lt;=2,"?ACTIVATED",IF(J5245&lt;&gt;"","?FAMILIAR",IF(F5245="NEW",IF(ISNA(VLOOKUP(E5245,#REF!,1,FALSE())),"?TYPE_IDENTIFIABLE","?REFERENTIAL"),"_")))))</f>
        <v/>
      </c>
      <c r="H5245" s="27" t="str">
        <f aca="false">IF(J5245&lt;&gt;1,"",IF(I5245="SBJ","CB","?"))</f>
        <v/>
      </c>
      <c r="I5245" s="24" t="str">
        <f aca="false">IF(OR(E5245="",E5245="!!!",F5245="NEW"),"",INDEX(B3:B$5243,-1+SUMPRODUCT(MAX(ROW(E3:E$5243)*(E5245=E3:E$5243)))))</f>
        <v/>
      </c>
      <c r="J5245" s="24" t="str">
        <f aca="true">IF(OR(E5245="",E5245="!!!",F5245="NEW"),"",COUNTBLANK(OFFSET(A$1,,,SUMPRODUCT(MAX(ROW(E$2:E5245)*(E5245=E$2:E5245)))))-COUNTBLANK(OFFSET(A$1,,,SUMPRODUCT(MAX(ROW(E$1:E5244)*(E2=E$1:E5244))))))</f>
        <v/>
      </c>
      <c r="K5245" s="24" t="str">
        <f aca="false">IF(OR(E5245="",E5245="!!!",F5245="NEW"),"",INDEX(J$1:J5244,SUMPRODUCT(MAX(ROW(E$1:E5244)*(E5245=E$1:E5244)))))</f>
        <v/>
      </c>
      <c r="L5245" s="31"/>
    </row>
    <row r="5246" customFormat="false" ht="15" hidden="false" customHeight="false" outlineLevel="0" collapsed="false">
      <c r="A5246" s="20" t="s">
        <v>1008</v>
      </c>
      <c r="B5246" s="22" t="s">
        <v>1105</v>
      </c>
      <c r="C5246" s="22" t="s">
        <v>1068</v>
      </c>
      <c r="D5246" s="22" t="s">
        <v>1060</v>
      </c>
      <c r="E5246" s="23" t="str">
        <f aca="false">IF(D5246="?OLD","!!!","")</f>
        <v>!!!</v>
      </c>
      <c r="F5246" s="25" t="str">
        <f aca="false">IF(OR(E5246="",E5246="!!!"),"",IF(NOT(ISNA(VLOOKUP(E5246,E$1:E5245,1,FALSE()))),"OLD",IF(AND(E5246&lt;&gt;"",E5246&lt;&gt;"!!!"),"NEW","")))</f>
        <v/>
      </c>
      <c r="G5246" s="26" t="str">
        <f aca="false">IF(OR(E5246="",E5246="!!!"),"",IF(OR(J5246=0,AND(J5246=1,K5246=1),AND(J5246=1,I5246="SBJ"),AND(J5246=1,I5246=0)),"?IN_FOCUS",IF(J5246&lt;=2,"?ACTIVATED",IF(J5246&lt;&gt;"","?FAMILIAR",IF(F5246="NEW",IF(ISNA(VLOOKUP(E5246,#REF!,1,FALSE())),"?TYPE_IDENTIFIABLE","?REFERENTIAL"),"_")))))</f>
        <v/>
      </c>
      <c r="H5246" s="27" t="str">
        <f aca="false">IF(J5246&lt;&gt;1,"",IF(I5246="SBJ","CB","?"))</f>
        <v/>
      </c>
      <c r="I5246" s="24" t="str">
        <f aca="false">IF(OR(E5246="",E5246="!!!",F5246="NEW"),"",INDEX(B4:B$5243,-1+SUMPRODUCT(MAX(ROW(E4:E$5243)*(E5246=E4:E$5243)))))</f>
        <v/>
      </c>
      <c r="J5246" s="24" t="str">
        <f aca="true">IF(OR(E5246="",E5246="!!!",F5246="NEW"),"",COUNTBLANK(OFFSET(A$1,,,SUMPRODUCT(MAX(ROW(E$2:E5246)*(E5246=E$2:E5246)))))-COUNTBLANK(OFFSET(A$1,,,SUMPRODUCT(MAX(ROW(E$1:E5245)*(E2=E$1:E5245))))))</f>
        <v/>
      </c>
      <c r="K5246" s="24" t="str">
        <f aca="false">IF(OR(E5246="",E5246="!!!",F5246="NEW"),"",INDEX(J$1:J5245,SUMPRODUCT(MAX(ROW(E$1:E5245)*(E5246=E$1:E5245)))))</f>
        <v/>
      </c>
      <c r="L5246" s="31"/>
    </row>
    <row r="5247" customFormat="false" ht="15" hidden="false" customHeight="false" outlineLevel="0" collapsed="false">
      <c r="A5247" s="20" t="s">
        <v>1076</v>
      </c>
      <c r="E5247" s="23" t="str">
        <f aca="false">IF(D5247="?OLD","!!!","")</f>
        <v/>
      </c>
      <c r="F5247" s="25" t="str">
        <f aca="false">IF(OR(E5247="",E5247="!!!"),"",IF(NOT(ISNA(VLOOKUP(E5247,E$1:E5246,1,FALSE()))),"OLD",IF(AND(E5247&lt;&gt;"",E5247&lt;&gt;"!!!"),"NEW","")))</f>
        <v/>
      </c>
      <c r="G5247" s="26" t="str">
        <f aca="false">IF(OR(E5247="",E5247="!!!"),"",IF(OR(J5247=0,AND(J5247=1,K5247=1),AND(J5247=1,I5247="SBJ"),AND(J5247=1,I5247=0)),"?IN_FOCUS",IF(J5247&lt;=2,"?ACTIVATED",IF(J5247&lt;&gt;"","?FAMILIAR",IF(F5247="NEW",IF(ISNA(VLOOKUP(E5247,#REF!,1,FALSE())),"?TYPE_IDENTIFIABLE","?REFERENTIAL"),"_")))))</f>
        <v/>
      </c>
      <c r="H5247" s="27" t="str">
        <f aca="false">IF(J5247&lt;&gt;1,"",IF(I5247="SBJ","CB","?"))</f>
        <v/>
      </c>
      <c r="I5247" s="24" t="str">
        <f aca="false">IF(OR(E5247="",E5247="!!!",F5247="NEW"),"",INDEX(B5:B$5243,-1+SUMPRODUCT(MAX(ROW(E5:E$5243)*(E5247=E5:E$5243)))))</f>
        <v/>
      </c>
      <c r="J5247" s="24" t="str">
        <f aca="true">IF(OR(E5247="",E5247="!!!",F5247="NEW"),"",COUNTBLANK(OFFSET(A$1,,,SUMPRODUCT(MAX(ROW(E$2:E5247)*(E5247=E$2:E5247)))))-COUNTBLANK(OFFSET(A$1,,,SUMPRODUCT(MAX(ROW(E$1:E5246)*(E2=E$1:E5246))))))</f>
        <v/>
      </c>
      <c r="K5247" s="24" t="str">
        <f aca="false">IF(OR(E5247="",E5247="!!!",F5247="NEW"),"",INDEX(J$1:J5246,SUMPRODUCT(MAX(ROW(E$1:E5246)*(E5247=E$1:E5246)))))</f>
        <v/>
      </c>
      <c r="L5247" s="31"/>
    </row>
    <row r="5248" customFormat="false" ht="15" hidden="false" customHeight="false" outlineLevel="0" collapsed="false">
      <c r="A5248" s="20" t="s">
        <v>1085</v>
      </c>
      <c r="E5248" s="23" t="str">
        <f aca="false">IF(D5248="?OLD","!!!","")</f>
        <v/>
      </c>
      <c r="F5248" s="25" t="str">
        <f aca="false">IF(OR(E5248="",E5248="!!!"),"",IF(NOT(ISNA(VLOOKUP(E5248,E$1:E5247,1,FALSE()))),"OLD",IF(AND(E5248&lt;&gt;"",E5248&lt;&gt;"!!!"),"NEW","")))</f>
        <v/>
      </c>
      <c r="G5248" s="26" t="str">
        <f aca="false">IF(OR(E5248="",E5248="!!!"),"",IF(OR(J5248=0,AND(J5248=1,K5248=1),AND(J5248=1,I5248="SBJ"),AND(J5248=1,I5248=0)),"?IN_FOCUS",IF(J5248&lt;=2,"?ACTIVATED",IF(J5248&lt;&gt;"","?FAMILIAR",IF(F5248="NEW",IF(ISNA(VLOOKUP(E5248,#REF!,1,FALSE())),"?TYPE_IDENTIFIABLE","?REFERENTIAL"),"_")))))</f>
        <v/>
      </c>
      <c r="H5248" s="27" t="str">
        <f aca="false">IF(J5248&lt;&gt;1,"",IF(I5248="SBJ","CB","?"))</f>
        <v/>
      </c>
      <c r="I5248" s="24" t="str">
        <f aca="false">IF(OR(E5248="",E5248="!!!",F5248="NEW"),"",INDEX(B6:B$5243,-1+SUMPRODUCT(MAX(ROW(E6:E$5243)*(E5248=E6:E$5243)))))</f>
        <v/>
      </c>
      <c r="J5248" s="24" t="str">
        <f aca="true">IF(OR(E5248="",E5248="!!!",F5248="NEW"),"",COUNTBLANK(OFFSET(A$1,,,SUMPRODUCT(MAX(ROW(E$2:E5248)*(E5248=E$2:E5248)))))-COUNTBLANK(OFFSET(A$1,,,SUMPRODUCT(MAX(ROW(E$1:E5247)*(E2=E$1:E5247))))))</f>
        <v/>
      </c>
      <c r="K5248" s="24" t="str">
        <f aca="false">IF(OR(E5248="",E5248="!!!",F5248="NEW"),"",INDEX(J$1:J5247,SUMPRODUCT(MAX(ROW(E$1:E5247)*(E5248=E$1:E5247)))))</f>
        <v/>
      </c>
      <c r="L5248" s="31"/>
    </row>
    <row r="5249" customFormat="false" ht="15" hidden="false" customHeight="false" outlineLevel="0" collapsed="false">
      <c r="A5249" s="20" t="s">
        <v>2557</v>
      </c>
      <c r="E5249" s="23" t="str">
        <f aca="false">IF(D5249="?OLD","!!!","")</f>
        <v/>
      </c>
      <c r="F5249" s="25" t="str">
        <f aca="false">IF(OR(E5249="",E5249="!!!"),"",IF(NOT(ISNA(VLOOKUP(E5249,E$1:E5248,1,FALSE()))),"OLD",IF(AND(E5249&lt;&gt;"",E5249&lt;&gt;"!!!"),"NEW","")))</f>
        <v/>
      </c>
      <c r="G5249" s="26" t="str">
        <f aca="false">IF(OR(E5249="",E5249="!!!"),"",IF(OR(J5249=0,AND(J5249=1,K5249=1),AND(J5249=1,I5249="SBJ"),AND(J5249=1,I5249=0)),"?IN_FOCUS",IF(J5249&lt;=2,"?ACTIVATED",IF(J5249&lt;&gt;"","?FAMILIAR",IF(F5249="NEW",IF(ISNA(VLOOKUP(E5249,#REF!,1,FALSE())),"?TYPE_IDENTIFIABLE","?REFERENTIAL"),"_")))))</f>
        <v/>
      </c>
      <c r="H5249" s="27" t="str">
        <f aca="false">IF(J5249&lt;&gt;1,"",IF(I5249="SBJ","CB","?"))</f>
        <v/>
      </c>
      <c r="I5249" s="24" t="str">
        <f aca="false">IF(OR(E5249="",E5249="!!!",F5249="NEW"),"",INDEX(B7:B$5243,-1+SUMPRODUCT(MAX(ROW(E7:E$5243)*(E5249=E7:E$5243)))))</f>
        <v/>
      </c>
      <c r="J5249" s="24" t="str">
        <f aca="true">IF(OR(E5249="",E5249="!!!",F5249="NEW"),"",COUNTBLANK(OFFSET(A$1,,,SUMPRODUCT(MAX(ROW(E$2:E5249)*(E5249=E$2:E5249)))))-COUNTBLANK(OFFSET(A$1,,,SUMPRODUCT(MAX(ROW(E$1:E5248)*(E2=E$1:E5248))))))</f>
        <v/>
      </c>
      <c r="K5249" s="24" t="str">
        <f aca="false">IF(OR(E5249="",E5249="!!!",F5249="NEW"),"",INDEX(J$1:J5248,SUMPRODUCT(MAX(ROW(E$1:E5248)*(E5249=E$1:E5248)))))</f>
        <v/>
      </c>
      <c r="L5249" s="31"/>
    </row>
    <row r="5250" customFormat="false" ht="15" hidden="false" customHeight="false" outlineLevel="0" collapsed="false">
      <c r="A5250" s="20" t="s">
        <v>16</v>
      </c>
      <c r="E5250" s="23" t="str">
        <f aca="false">IF(D5250="?OLD","!!!","")</f>
        <v/>
      </c>
      <c r="F5250" s="25" t="str">
        <f aca="false">IF(OR(E5250="",E5250="!!!"),"",IF(NOT(ISNA(VLOOKUP(E5250,E$1:E5249,1,FALSE()))),"OLD",IF(AND(E5250&lt;&gt;"",E5250&lt;&gt;"!!!"),"NEW","")))</f>
        <v/>
      </c>
      <c r="G5250" s="26" t="str">
        <f aca="false">IF(OR(E5250="",E5250="!!!"),"",IF(OR(J5250=0,AND(J5250=1,K5250=1),AND(J5250=1,I5250="SBJ"),AND(J5250=1,I5250=0)),"?IN_FOCUS",IF(J5250&lt;=2,"?ACTIVATED",IF(J5250&lt;&gt;"","?FAMILIAR",IF(F5250="NEW",IF(ISNA(VLOOKUP(E5250,#REF!,1,FALSE())),"?TYPE_IDENTIFIABLE","?REFERENTIAL"),"_")))))</f>
        <v/>
      </c>
      <c r="H5250" s="27" t="str">
        <f aca="false">IF(J5250&lt;&gt;1,"",IF(I5250="SBJ","CB","?"))</f>
        <v/>
      </c>
      <c r="I5250" s="24" t="str">
        <f aca="false">IF(OR(E5250="",E5250="!!!",F5250="NEW"),"",INDEX(B8:B$5243,-1+SUMPRODUCT(MAX(ROW(E8:E$5243)*(E5250=E8:E$5243)))))</f>
        <v/>
      </c>
      <c r="J5250" s="24" t="str">
        <f aca="true">IF(OR(E5250="",E5250="!!!",F5250="NEW"),"",COUNTBLANK(OFFSET(A$1,,,SUMPRODUCT(MAX(ROW(E$2:E5250)*(E5250=E$2:E5250)))))-COUNTBLANK(OFFSET(A$1,,,SUMPRODUCT(MAX(ROW(E$1:E5249)*(E2=E$1:E5249))))))</f>
        <v/>
      </c>
      <c r="K5250" s="24" t="str">
        <f aca="false">IF(OR(E5250="",E5250="!!!",F5250="NEW"),"",INDEX(J$1:J5249,SUMPRODUCT(MAX(ROW(E$1:E5249)*(E5250=E$1:E5249)))))</f>
        <v/>
      </c>
      <c r="L5250" s="31"/>
    </row>
    <row r="5251" customFormat="false" ht="15" hidden="false" customHeight="false" outlineLevel="0" collapsed="false">
      <c r="A5251" s="20" t="s">
        <v>2558</v>
      </c>
      <c r="E5251" s="23" t="str">
        <f aca="false">IF(D5251="?OLD","!!!","")</f>
        <v/>
      </c>
      <c r="F5251" s="25" t="str">
        <f aca="false">IF(OR(E5251="",E5251="!!!"),"",IF(NOT(ISNA(VLOOKUP(E5251,E$1:E5250,1,FALSE()))),"OLD",IF(AND(E5251&lt;&gt;"",E5251&lt;&gt;"!!!"),"NEW","")))</f>
        <v/>
      </c>
      <c r="G5251" s="26" t="str">
        <f aca="false">IF(OR(E5251="",E5251="!!!"),"",IF(OR(J5251=0,AND(J5251=1,K5251=1),AND(J5251=1,I5251="SBJ"),AND(J5251=1,I5251=0)),"?IN_FOCUS",IF(J5251&lt;=2,"?ACTIVATED",IF(J5251&lt;&gt;"","?FAMILIAR",IF(F5251="NEW",IF(ISNA(VLOOKUP(E5251,#REF!,1,FALSE())),"?TYPE_IDENTIFIABLE","?REFERENTIAL"),"_")))))</f>
        <v/>
      </c>
      <c r="H5251" s="27" t="str">
        <f aca="false">IF(J5251&lt;&gt;1,"",IF(I5251="SBJ","CB","?"))</f>
        <v/>
      </c>
      <c r="I5251" s="24" t="str">
        <f aca="false">IF(OR(E5251="",E5251="!!!",F5251="NEW"),"",INDEX(B9:B$5243,-1+SUMPRODUCT(MAX(ROW(E9:E$5243)*(E5251=E9:E$5243)))))</f>
        <v/>
      </c>
      <c r="J5251" s="24" t="str">
        <f aca="true">IF(OR(E5251="",E5251="!!!",F5251="NEW"),"",COUNTBLANK(OFFSET(A$1,,,SUMPRODUCT(MAX(ROW(E$2:E5251)*(E5251=E$2:E5251)))))-COUNTBLANK(OFFSET(A$1,,,SUMPRODUCT(MAX(ROW(E$1:E5250)*(E2=E$1:E5250))))))</f>
        <v/>
      </c>
      <c r="K5251" s="24" t="str">
        <f aca="false">IF(OR(E5251="",E5251="!!!",F5251="NEW"),"",INDEX(J$1:J5250,SUMPRODUCT(MAX(ROW(E$1:E5250)*(E5251=E$1:E5250)))))</f>
        <v/>
      </c>
      <c r="L5251" s="31"/>
    </row>
    <row r="5252" customFormat="false" ht="15" hidden="false" customHeight="false" outlineLevel="0" collapsed="false">
      <c r="A5252" s="20" t="s">
        <v>2559</v>
      </c>
      <c r="B5252" s="22" t="s">
        <v>1105</v>
      </c>
      <c r="C5252" s="22" t="s">
        <v>1087</v>
      </c>
      <c r="E5252" s="23" t="str">
        <f aca="false">IF(D5252="?OLD","!!!","")</f>
        <v/>
      </c>
      <c r="F5252" s="25" t="str">
        <f aca="false">IF(OR(E5252="",E5252="!!!"),"",IF(NOT(ISNA(VLOOKUP(E5252,E$1:E5251,1,FALSE()))),"OLD",IF(AND(E5252&lt;&gt;"",E5252&lt;&gt;"!!!"),"NEW","")))</f>
        <v/>
      </c>
      <c r="G5252" s="26" t="str">
        <f aca="false">IF(OR(E5252="",E5252="!!!"),"",IF(OR(J5252=0,AND(J5252=1,K5252=1),AND(J5252=1,I5252="SBJ"),AND(J5252=1,I5252=0)),"?IN_FOCUS",IF(J5252&lt;=2,"?ACTIVATED",IF(J5252&lt;&gt;"","?FAMILIAR",IF(F5252="NEW",IF(ISNA(VLOOKUP(E5252,#REF!,1,FALSE())),"?TYPE_IDENTIFIABLE","?REFERENTIAL"),"_")))))</f>
        <v/>
      </c>
      <c r="H5252" s="27" t="str">
        <f aca="false">IF(J5252&lt;&gt;1,"",IF(I5252="SBJ","CB","?"))</f>
        <v/>
      </c>
      <c r="I5252" s="24" t="str">
        <f aca="false">IF(OR(E5252="",E5252="!!!",F5252="NEW"),"",INDEX(B10:B$5243,-1+SUMPRODUCT(MAX(ROW(E10:E$5243)*(E5252=E10:E$5243)))))</f>
        <v/>
      </c>
      <c r="J5252" s="24" t="str">
        <f aca="true">IF(OR(E5252="",E5252="!!!",F5252="NEW"),"",COUNTBLANK(OFFSET(A$1,,,SUMPRODUCT(MAX(ROW(E$2:E5252)*(E5252=E$2:E5252)))))-COUNTBLANK(OFFSET(A$1,,,SUMPRODUCT(MAX(ROW(E$1:E5251)*(E2=E$1:E5251))))))</f>
        <v/>
      </c>
      <c r="K5252" s="24" t="str">
        <f aca="false">IF(OR(E5252="",E5252="!!!",F5252="NEW"),"",INDEX(J$1:J5251,SUMPRODUCT(MAX(ROW(E$1:E5251)*(E5252=E$1:E5251)))))</f>
        <v/>
      </c>
      <c r="L5252" s="31"/>
    </row>
    <row r="5253" customFormat="false" ht="15" hidden="false" customHeight="false" outlineLevel="0" collapsed="false">
      <c r="A5253" s="20" t="s">
        <v>923</v>
      </c>
      <c r="E5253" s="23" t="str">
        <f aca="false">IF(D5253="?OLD","!!!","")</f>
        <v/>
      </c>
      <c r="F5253" s="25" t="str">
        <f aca="false">IF(OR(E5253="",E5253="!!!"),"",IF(NOT(ISNA(VLOOKUP(E5253,E$1:E5252,1,FALSE()))),"OLD",IF(AND(E5253&lt;&gt;"",E5253&lt;&gt;"!!!"),"NEW","")))</f>
        <v/>
      </c>
      <c r="G5253" s="26" t="str">
        <f aca="false">IF(OR(E5253="",E5253="!!!"),"",IF(OR(J5253=0,AND(J5253=1,K5253=1),AND(J5253=1,I5253="SBJ"),AND(J5253=1,I5253=0)),"?IN_FOCUS",IF(J5253&lt;=2,"?ACTIVATED",IF(J5253&lt;&gt;"","?FAMILIAR",IF(F5253="NEW",IF(ISNA(VLOOKUP(E5253,#REF!,1,FALSE())),"?TYPE_IDENTIFIABLE","?REFERENTIAL"),"_")))))</f>
        <v/>
      </c>
      <c r="H5253" s="27" t="str">
        <f aca="false">IF(J5253&lt;&gt;1,"",IF(I5253="SBJ","CB","?"))</f>
        <v/>
      </c>
      <c r="I5253" s="24" t="str">
        <f aca="false">IF(OR(E5253="",E5253="!!!",F5253="NEW"),"",INDEX(B11:B$5243,-1+SUMPRODUCT(MAX(ROW(E11:E$5243)*(E5253=E11:E$5243)))))</f>
        <v/>
      </c>
      <c r="J5253" s="24" t="str">
        <f aca="true">IF(OR(E5253="",E5253="!!!",F5253="NEW"),"",COUNTBLANK(OFFSET(A$1,,,SUMPRODUCT(MAX(ROW(E$2:E5253)*(E5253=E$2:E5253)))))-COUNTBLANK(OFFSET(A$1,,,SUMPRODUCT(MAX(ROW(E$1:E5252)*(E2=E$1:E5252))))))</f>
        <v/>
      </c>
      <c r="K5253" s="24" t="str">
        <f aca="false">IF(OR(E5253="",E5253="!!!",F5253="NEW"),"",INDEX(J$1:J5252,SUMPRODUCT(MAX(ROW(E$1:E5252)*(E5253=E$1:E5252)))))</f>
        <v/>
      </c>
      <c r="L5253" s="31"/>
    </row>
    <row r="5254" customFormat="false" ht="15" hidden="false" customHeight="false" outlineLevel="0" collapsed="false">
      <c r="A5254" s="20"/>
    </row>
    <row r="5255" customFormat="false" ht="15" hidden="false" customHeight="false" outlineLevel="0" collapsed="false">
      <c r="A5255" s="20" t="s">
        <v>2560</v>
      </c>
    </row>
    <row r="5256" customFormat="false" ht="15" hidden="false" customHeight="false" outlineLevel="0" collapsed="false">
      <c r="A5256" s="20" t="s">
        <v>2561</v>
      </c>
      <c r="E5256" s="23" t="str">
        <f aca="false">IF(D5256="?OLD","!!!","")</f>
        <v/>
      </c>
      <c r="F5256" s="25" t="str">
        <f aca="false">IF(OR(E5256="",E5256="!!!"),"",IF(NOT(ISNA(VLOOKUP(E5256,E$1:E5255,1,FALSE()))),"OLD",IF(AND(E5256&lt;&gt;"",E5256&lt;&gt;"!!!"),"NEW","")))</f>
        <v/>
      </c>
      <c r="G5256" s="26" t="str">
        <f aca="false">IF(OR(E5256="",E5256="!!!"),"",IF(OR(J5256=0,AND(J5256=1,K5256=1),AND(J5256=1,I5256="SBJ"),AND(J5256=1,I5256=0)),"?IN_FOCUS",IF(J5256&lt;=2,"?ACTIVATED",IF(J5256&lt;&gt;"","?FAMILIAR",IF(F5256="NEW",IF(ISNA(VLOOKUP(E5256,#REF!,1,FALSE())),"?TYPE_IDENTIFIABLE","?REFERENTIAL"),"_")))))</f>
        <v/>
      </c>
      <c r="H5256" s="27" t="str">
        <f aca="false">IF(J5256&lt;&gt;1,"",IF(I5256="SBJ","CB","?"))</f>
        <v/>
      </c>
      <c r="I5256" s="24" t="str">
        <f aca="false">IF(OR(E5256="",E5256="!!!",F5256="NEW"),"",INDEX(B2:B$5255,-1+SUMPRODUCT(MAX(ROW(E2:E$5255)*(E5256=E2:E$5255)))))</f>
        <v/>
      </c>
      <c r="J5256" s="24" t="str">
        <f aca="true">IF(OR(E5256="",E5256="!!!",F5256="NEW"),"",COUNTBLANK(OFFSET(A$1,,,SUMPRODUCT(MAX(ROW(E$2:E5256)*(E5256=E$2:E5256)))))-COUNTBLANK(OFFSET(A$1,,,SUMPRODUCT(MAX(ROW(E$1:E5255)*(E2=E$1:E5255))))))</f>
        <v/>
      </c>
      <c r="K5256" s="24" t="str">
        <f aca="false">IF(OR(E5256="",E5256="!!!",F5256="NEW"),"",INDEX(J$1:J5255,SUMPRODUCT(MAX(ROW(E$1:E5255)*(E5256=E$1:E5255)))))</f>
        <v/>
      </c>
      <c r="L5256" s="31"/>
    </row>
    <row r="5257" customFormat="false" ht="15" hidden="false" customHeight="false" outlineLevel="0" collapsed="false">
      <c r="A5257" s="20" t="s">
        <v>2376</v>
      </c>
      <c r="B5257" s="22" t="s">
        <v>1058</v>
      </c>
      <c r="C5257" s="22" t="s">
        <v>1160</v>
      </c>
      <c r="E5257" s="23" t="str">
        <f aca="false">IF(D5257="?OLD","!!!","")</f>
        <v/>
      </c>
      <c r="F5257" s="25" t="str">
        <f aca="false">IF(OR(E5257="",E5257="!!!"),"",IF(NOT(ISNA(VLOOKUP(E5257,E$1:E5256,1,FALSE()))),"OLD",IF(AND(E5257&lt;&gt;"",E5257&lt;&gt;"!!!"),"NEW","")))</f>
        <v/>
      </c>
      <c r="G5257" s="26" t="str">
        <f aca="false">IF(OR(E5257="",E5257="!!!"),"",IF(OR(J5257=0,AND(J5257=1,K5257=1),AND(J5257=1,I5257="SBJ"),AND(J5257=1,I5257=0)),"?IN_FOCUS",IF(J5257&lt;=2,"?ACTIVATED",IF(J5257&lt;&gt;"","?FAMILIAR",IF(F5257="NEW",IF(ISNA(VLOOKUP(E5257,#REF!,1,FALSE())),"?TYPE_IDENTIFIABLE","?REFERENTIAL"),"_")))))</f>
        <v/>
      </c>
      <c r="H5257" s="27" t="str">
        <f aca="false">IF(J5257&lt;&gt;1,"",IF(I5257="SBJ","CB","?"))</f>
        <v/>
      </c>
      <c r="I5257" s="24" t="str">
        <f aca="false">IF(OR(E5257="",E5257="!!!",F5257="NEW"),"",INDEX(B3:B$5255,-1+SUMPRODUCT(MAX(ROW(E3:E$5255)*(E5257=E3:E$5255)))))</f>
        <v/>
      </c>
      <c r="J5257" s="24" t="str">
        <f aca="true">IF(OR(E5257="",E5257="!!!",F5257="NEW"),"",COUNTBLANK(OFFSET(A$1,,,SUMPRODUCT(MAX(ROW(E$2:E5257)*(E5257=E$2:E5257)))))-COUNTBLANK(OFFSET(A$1,,,SUMPRODUCT(MAX(ROW(E$1:E5256)*(E2=E$1:E5256))))))</f>
        <v/>
      </c>
      <c r="K5257" s="24" t="str">
        <f aca="false">IF(OR(E5257="",E5257="!!!",F5257="NEW"),"",INDEX(J$1:J5256,SUMPRODUCT(MAX(ROW(E$1:E5256)*(E5257=E$1:E5256)))))</f>
        <v/>
      </c>
      <c r="L5257" s="31"/>
    </row>
    <row r="5258" customFormat="false" ht="15" hidden="false" customHeight="false" outlineLevel="0" collapsed="false">
      <c r="A5258" s="20" t="s">
        <v>1393</v>
      </c>
      <c r="E5258" s="23" t="str">
        <f aca="false">IF(D5258="?OLD","!!!","")</f>
        <v/>
      </c>
      <c r="F5258" s="25" t="str">
        <f aca="false">IF(OR(E5258="",E5258="!!!"),"",IF(NOT(ISNA(VLOOKUP(E5258,E$1:E5257,1,FALSE()))),"OLD",IF(AND(E5258&lt;&gt;"",E5258&lt;&gt;"!!!"),"NEW","")))</f>
        <v/>
      </c>
      <c r="G5258" s="26" t="str">
        <f aca="false">IF(OR(E5258="",E5258="!!!"),"",IF(OR(J5258=0,AND(J5258=1,K5258=1),AND(J5258=1,I5258="SBJ"),AND(J5258=1,I5258=0)),"?IN_FOCUS",IF(J5258&lt;=2,"?ACTIVATED",IF(J5258&lt;&gt;"","?FAMILIAR",IF(F5258="NEW",IF(ISNA(VLOOKUP(E5258,#REF!,1,FALSE())),"?TYPE_IDENTIFIABLE","?REFERENTIAL"),"_")))))</f>
        <v/>
      </c>
      <c r="H5258" s="27" t="str">
        <f aca="false">IF(J5258&lt;&gt;1,"",IF(I5258="SBJ","CB","?"))</f>
        <v/>
      </c>
      <c r="I5258" s="24" t="str">
        <f aca="false">IF(OR(E5258="",E5258="!!!",F5258="NEW"),"",INDEX(B4:B$5255,-1+SUMPRODUCT(MAX(ROW(E4:E$5255)*(E5258=E4:E$5255)))))</f>
        <v/>
      </c>
      <c r="J5258" s="24" t="str">
        <f aca="true">IF(OR(E5258="",E5258="!!!",F5258="NEW"),"",COUNTBLANK(OFFSET(A$1,,,SUMPRODUCT(MAX(ROW(E$2:E5258)*(E5258=E$2:E5258)))))-COUNTBLANK(OFFSET(A$1,,,SUMPRODUCT(MAX(ROW(E$1:E5257)*(E2=E$1:E5257))))))</f>
        <v/>
      </c>
      <c r="K5258" s="24" t="str">
        <f aca="false">IF(OR(E5258="",E5258="!!!",F5258="NEW"),"",INDEX(J$1:J5257,SUMPRODUCT(MAX(ROW(E$1:E5257)*(E5258=E$1:E5257)))))</f>
        <v/>
      </c>
      <c r="L5258" s="31"/>
    </row>
    <row r="5259" customFormat="false" ht="15" hidden="false" customHeight="false" outlineLevel="0" collapsed="false">
      <c r="A5259" s="20" t="s">
        <v>1143</v>
      </c>
      <c r="E5259" s="23" t="str">
        <f aca="false">IF(D5259="?OLD","!!!","")</f>
        <v/>
      </c>
      <c r="F5259" s="25" t="str">
        <f aca="false">IF(OR(E5259="",E5259="!!!"),"",IF(NOT(ISNA(VLOOKUP(E5259,E$1:E5258,1,FALSE()))),"OLD",IF(AND(E5259&lt;&gt;"",E5259&lt;&gt;"!!!"),"NEW","")))</f>
        <v/>
      </c>
      <c r="G5259" s="26" t="str">
        <f aca="false">IF(OR(E5259="",E5259="!!!"),"",IF(OR(J5259=0,AND(J5259=1,K5259=1),AND(J5259=1,I5259="SBJ"),AND(J5259=1,I5259=0)),"?IN_FOCUS",IF(J5259&lt;=2,"?ACTIVATED",IF(J5259&lt;&gt;"","?FAMILIAR",IF(F5259="NEW",IF(ISNA(VLOOKUP(E5259,#REF!,1,FALSE())),"?TYPE_IDENTIFIABLE","?REFERENTIAL"),"_")))))</f>
        <v/>
      </c>
      <c r="H5259" s="27" t="str">
        <f aca="false">IF(J5259&lt;&gt;1,"",IF(I5259="SBJ","CB","?"))</f>
        <v/>
      </c>
      <c r="I5259" s="24" t="str">
        <f aca="false">IF(OR(E5259="",E5259="!!!",F5259="NEW"),"",INDEX(B5:B$5255,-1+SUMPRODUCT(MAX(ROW(E5:E$5255)*(E5259=E5:E$5255)))))</f>
        <v/>
      </c>
      <c r="J5259" s="24" t="str">
        <f aca="true">IF(OR(E5259="",E5259="!!!",F5259="NEW"),"",COUNTBLANK(OFFSET(A$1,,,SUMPRODUCT(MAX(ROW(E$2:E5259)*(E5259=E$2:E5259)))))-COUNTBLANK(OFFSET(A$1,,,SUMPRODUCT(MAX(ROW(E$1:E5258)*(E2=E$1:E5258))))))</f>
        <v/>
      </c>
      <c r="K5259" s="24" t="str">
        <f aca="false">IF(OR(E5259="",E5259="!!!",F5259="NEW"),"",INDEX(J$1:J5258,SUMPRODUCT(MAX(ROW(E$1:E5258)*(E5259=E$1:E5258)))))</f>
        <v/>
      </c>
      <c r="L5259" s="31"/>
    </row>
    <row r="5260" customFormat="false" ht="15" hidden="false" customHeight="false" outlineLevel="0" collapsed="false">
      <c r="A5260" s="20" t="s">
        <v>106</v>
      </c>
      <c r="E5260" s="23" t="str">
        <f aca="false">IF(D5260="?OLD","!!!","")</f>
        <v/>
      </c>
      <c r="F5260" s="25" t="str">
        <f aca="false">IF(OR(E5260="",E5260="!!!"),"",IF(NOT(ISNA(VLOOKUP(E5260,E$1:E5259,1,FALSE()))),"OLD",IF(AND(E5260&lt;&gt;"",E5260&lt;&gt;"!!!"),"NEW","")))</f>
        <v/>
      </c>
      <c r="G5260" s="26" t="str">
        <f aca="false">IF(OR(E5260="",E5260="!!!"),"",IF(OR(J5260=0,AND(J5260=1,K5260=1),AND(J5260=1,I5260="SBJ"),AND(J5260=1,I5260=0)),"?IN_FOCUS",IF(J5260&lt;=2,"?ACTIVATED",IF(J5260&lt;&gt;"","?FAMILIAR",IF(F5260="NEW",IF(ISNA(VLOOKUP(E5260,#REF!,1,FALSE())),"?TYPE_IDENTIFIABLE","?REFERENTIAL"),"_")))))</f>
        <v/>
      </c>
      <c r="H5260" s="27" t="str">
        <f aca="false">IF(J5260&lt;&gt;1,"",IF(I5260="SBJ","CB","?"))</f>
        <v/>
      </c>
      <c r="I5260" s="24" t="str">
        <f aca="false">IF(OR(E5260="",E5260="!!!",F5260="NEW"),"",INDEX(B6:B$5255,-1+SUMPRODUCT(MAX(ROW(E6:E$5255)*(E5260=E6:E$5255)))))</f>
        <v/>
      </c>
      <c r="J5260" s="24" t="str">
        <f aca="true">IF(OR(E5260="",E5260="!!!",F5260="NEW"),"",COUNTBLANK(OFFSET(A$1,,,SUMPRODUCT(MAX(ROW(E$2:E5260)*(E5260=E$2:E5260)))))-COUNTBLANK(OFFSET(A$1,,,SUMPRODUCT(MAX(ROW(E$1:E5259)*(E2=E$1:E5259))))))</f>
        <v/>
      </c>
      <c r="K5260" s="24" t="str">
        <f aca="false">IF(OR(E5260="",E5260="!!!",F5260="NEW"),"",INDEX(J$1:J5259,SUMPRODUCT(MAX(ROW(E$1:E5259)*(E5260=E$1:E5259)))))</f>
        <v/>
      </c>
      <c r="L5260" s="31"/>
    </row>
    <row r="5261" customFormat="false" ht="15" hidden="false" customHeight="false" outlineLevel="0" collapsed="false">
      <c r="A5261" s="20" t="s">
        <v>1097</v>
      </c>
      <c r="B5261" s="22" t="s">
        <v>1073</v>
      </c>
      <c r="C5261" s="22" t="s">
        <v>1099</v>
      </c>
      <c r="D5261" s="22" t="s">
        <v>1060</v>
      </c>
      <c r="E5261" s="23" t="str">
        <f aca="false">IF(D5261="?OLD","!!!","")</f>
        <v>!!!</v>
      </c>
      <c r="F5261" s="25" t="str">
        <f aca="false">IF(OR(E5261="",E5261="!!!"),"",IF(NOT(ISNA(VLOOKUP(E5261,E$1:E5260,1,FALSE()))),"OLD",IF(AND(E5261&lt;&gt;"",E5261&lt;&gt;"!!!"),"NEW","")))</f>
        <v/>
      </c>
      <c r="G5261" s="26" t="str">
        <f aca="false">IF(OR(E5261="",E5261="!!!"),"",IF(OR(J5261=0,AND(J5261=1,K5261=1),AND(J5261=1,I5261="SBJ"),AND(J5261=1,I5261=0)),"?IN_FOCUS",IF(J5261&lt;=2,"?ACTIVATED",IF(J5261&lt;&gt;"","?FAMILIAR",IF(F5261="NEW",IF(ISNA(VLOOKUP(E5261,#REF!,1,FALSE())),"?TYPE_IDENTIFIABLE","?REFERENTIAL"),"_")))))</f>
        <v/>
      </c>
      <c r="H5261" s="27" t="str">
        <f aca="false">IF(J5261&lt;&gt;1,"",IF(I5261="SBJ","CB","?"))</f>
        <v/>
      </c>
      <c r="I5261" s="24" t="str">
        <f aca="false">IF(OR(E5261="",E5261="!!!",F5261="NEW"),"",INDEX(B7:B$5255,-1+SUMPRODUCT(MAX(ROW(E7:E$5255)*(E5261=E7:E$5255)))))</f>
        <v/>
      </c>
      <c r="J5261" s="24" t="str">
        <f aca="true">IF(OR(E5261="",E5261="!!!",F5261="NEW"),"",COUNTBLANK(OFFSET(A$1,,,SUMPRODUCT(MAX(ROW(E$2:E5261)*(E5261=E$2:E5261)))))-COUNTBLANK(OFFSET(A$1,,,SUMPRODUCT(MAX(ROW(E$1:E5260)*(E2=E$1:E5260))))))</f>
        <v/>
      </c>
      <c r="K5261" s="24" t="str">
        <f aca="false">IF(OR(E5261="",E5261="!!!",F5261="NEW"),"",INDEX(J$1:J5260,SUMPRODUCT(MAX(ROW(E$1:E5260)*(E5261=E$1:E5260)))))</f>
        <v/>
      </c>
      <c r="L5261" s="31"/>
    </row>
    <row r="5262" customFormat="false" ht="15" hidden="false" customHeight="false" outlineLevel="0" collapsed="false">
      <c r="A5262" s="20" t="s">
        <v>2562</v>
      </c>
      <c r="B5262" s="22" t="s">
        <v>1081</v>
      </c>
      <c r="C5262" s="22" t="s">
        <v>1059</v>
      </c>
      <c r="D5262" s="22" t="s">
        <v>1060</v>
      </c>
      <c r="E5262" s="23" t="str">
        <f aca="false">IF(D5262="?OLD","!!!","")</f>
        <v>!!!</v>
      </c>
      <c r="F5262" s="25" t="str">
        <f aca="false">IF(OR(E5262="",E5262="!!!"),"",IF(NOT(ISNA(VLOOKUP(E5262,E$1:E5261,1,FALSE()))),"OLD",IF(AND(E5262&lt;&gt;"",E5262&lt;&gt;"!!!"),"NEW","")))</f>
        <v/>
      </c>
      <c r="G5262" s="26" t="str">
        <f aca="false">IF(OR(E5262="",E5262="!!!"),"",IF(OR(J5262=0,AND(J5262=1,K5262=1),AND(J5262=1,I5262="SBJ"),AND(J5262=1,I5262=0)),"?IN_FOCUS",IF(J5262&lt;=2,"?ACTIVATED",IF(J5262&lt;&gt;"","?FAMILIAR",IF(F5262="NEW",IF(ISNA(VLOOKUP(E5262,#REF!,1,FALSE())),"?TYPE_IDENTIFIABLE","?REFERENTIAL"),"_")))))</f>
        <v/>
      </c>
      <c r="H5262" s="27" t="str">
        <f aca="false">IF(J5262&lt;&gt;1,"",IF(I5262="SBJ","CB","?"))</f>
        <v/>
      </c>
      <c r="I5262" s="24" t="str">
        <f aca="false">IF(OR(E5262="",E5262="!!!",F5262="NEW"),"",INDEX(B8:B$5255,-1+SUMPRODUCT(MAX(ROW(E8:E$5255)*(E5262=E8:E$5255)))))</f>
        <v/>
      </c>
      <c r="J5262" s="24" t="str">
        <f aca="true">IF(OR(E5262="",E5262="!!!",F5262="NEW"),"",COUNTBLANK(OFFSET(A$1,,,SUMPRODUCT(MAX(ROW(E$2:E5262)*(E5262=E$2:E5262)))))-COUNTBLANK(OFFSET(A$1,,,SUMPRODUCT(MAX(ROW(E$1:E5261)*(E2=E$1:E5261))))))</f>
        <v/>
      </c>
      <c r="K5262" s="24" t="str">
        <f aca="false">IF(OR(E5262="",E5262="!!!",F5262="NEW"),"",INDEX(J$1:J5261,SUMPRODUCT(MAX(ROW(E$1:E5261)*(E5262=E$1:E5261)))))</f>
        <v/>
      </c>
      <c r="L5262" s="31"/>
    </row>
    <row r="5263" customFormat="false" ht="15" hidden="false" customHeight="false" outlineLevel="0" collapsed="false">
      <c r="A5263" s="20" t="s">
        <v>1234</v>
      </c>
      <c r="E5263" s="23" t="str">
        <f aca="false">IF(D5263="?OLD","!!!","")</f>
        <v/>
      </c>
      <c r="F5263" s="25" t="str">
        <f aca="false">IF(OR(E5263="",E5263="!!!"),"",IF(NOT(ISNA(VLOOKUP(E5263,E$1:E5262,1,FALSE()))),"OLD",IF(AND(E5263&lt;&gt;"",E5263&lt;&gt;"!!!"),"NEW","")))</f>
        <v/>
      </c>
      <c r="G5263" s="26" t="str">
        <f aca="false">IF(OR(E5263="",E5263="!!!"),"",IF(OR(J5263=0,AND(J5263=1,K5263=1),AND(J5263=1,I5263="SBJ"),AND(J5263=1,I5263=0)),"?IN_FOCUS",IF(J5263&lt;=2,"?ACTIVATED",IF(J5263&lt;&gt;"","?FAMILIAR",IF(F5263="NEW",IF(ISNA(VLOOKUP(E5263,#REF!,1,FALSE())),"?TYPE_IDENTIFIABLE","?REFERENTIAL"),"_")))))</f>
        <v/>
      </c>
      <c r="H5263" s="27" t="str">
        <f aca="false">IF(J5263&lt;&gt;1,"",IF(I5263="SBJ","CB","?"))</f>
        <v/>
      </c>
      <c r="I5263" s="24" t="str">
        <f aca="false">IF(OR(E5263="",E5263="!!!",F5263="NEW"),"",INDEX(B9:B$5255,-1+SUMPRODUCT(MAX(ROW(E9:E$5255)*(E5263=E9:E$5255)))))</f>
        <v/>
      </c>
      <c r="J5263" s="24" t="str">
        <f aca="true">IF(OR(E5263="",E5263="!!!",F5263="NEW"),"",COUNTBLANK(OFFSET(A$1,,,SUMPRODUCT(MAX(ROW(E$2:E5263)*(E5263=E$2:E5263)))))-COUNTBLANK(OFFSET(A$1,,,SUMPRODUCT(MAX(ROW(E$1:E5262)*(E2=E$1:E5262))))))</f>
        <v/>
      </c>
      <c r="K5263" s="24" t="str">
        <f aca="false">IF(OR(E5263="",E5263="!!!",F5263="NEW"),"",INDEX(J$1:J5262,SUMPRODUCT(MAX(ROW(E$1:E5262)*(E5263=E$1:E5262)))))</f>
        <v/>
      </c>
      <c r="L5263" s="31"/>
    </row>
    <row r="5264" customFormat="false" ht="15" hidden="false" customHeight="false" outlineLevel="0" collapsed="false">
      <c r="A5264" s="20" t="s">
        <v>923</v>
      </c>
      <c r="E5264" s="23" t="str">
        <f aca="false">IF(D5264="?OLD","!!!","")</f>
        <v/>
      </c>
      <c r="F5264" s="25" t="str">
        <f aca="false">IF(OR(E5264="",E5264="!!!"),"",IF(NOT(ISNA(VLOOKUP(E5264,E$1:E5263,1,FALSE()))),"OLD",IF(AND(E5264&lt;&gt;"",E5264&lt;&gt;"!!!"),"NEW","")))</f>
        <v/>
      </c>
      <c r="G5264" s="26" t="str">
        <f aca="false">IF(OR(E5264="",E5264="!!!"),"",IF(OR(J5264=0,AND(J5264=1,K5264=1),AND(J5264=1,I5264="SBJ"),AND(J5264=1,I5264=0)),"?IN_FOCUS",IF(J5264&lt;=2,"?ACTIVATED",IF(J5264&lt;&gt;"","?FAMILIAR",IF(F5264="NEW",IF(ISNA(VLOOKUP(E5264,#REF!,1,FALSE())),"?TYPE_IDENTIFIABLE","?REFERENTIAL"),"_")))))</f>
        <v/>
      </c>
      <c r="H5264" s="27" t="str">
        <f aca="false">IF(J5264&lt;&gt;1,"",IF(I5264="SBJ","CB","?"))</f>
        <v/>
      </c>
      <c r="I5264" s="24" t="str">
        <f aca="false">IF(OR(E5264="",E5264="!!!",F5264="NEW"),"",INDEX(B10:B$5255,-1+SUMPRODUCT(MAX(ROW(E10:E$5255)*(E5264=E10:E$5255)))))</f>
        <v/>
      </c>
      <c r="J5264" s="24" t="str">
        <f aca="true">IF(OR(E5264="",E5264="!!!",F5264="NEW"),"",COUNTBLANK(OFFSET(A$1,,,SUMPRODUCT(MAX(ROW(E$2:E5264)*(E5264=E$2:E5264)))))-COUNTBLANK(OFFSET(A$1,,,SUMPRODUCT(MAX(ROW(E$1:E5263)*(E2=E$1:E5263))))))</f>
        <v/>
      </c>
      <c r="K5264" s="24" t="str">
        <f aca="false">IF(OR(E5264="",E5264="!!!",F5264="NEW"),"",INDEX(J$1:J5263,SUMPRODUCT(MAX(ROW(E$1:E5263)*(E5264=E$1:E5263)))))</f>
        <v/>
      </c>
      <c r="L5264" s="31"/>
    </row>
    <row r="5265" customFormat="false" ht="15" hidden="false" customHeight="false" outlineLevel="0" collapsed="false">
      <c r="A5265" s="20"/>
    </row>
    <row r="5266" customFormat="false" ht="15" hidden="false" customHeight="false" outlineLevel="0" collapsed="false">
      <c r="A5266" s="20" t="s">
        <v>2563</v>
      </c>
    </row>
    <row r="5267" customFormat="false" ht="15" hidden="false" customHeight="false" outlineLevel="0" collapsed="false">
      <c r="A5267" s="20" t="s">
        <v>2564</v>
      </c>
      <c r="E5267" s="23" t="str">
        <f aca="false">IF(D5267="?OLD","!!!","")</f>
        <v/>
      </c>
      <c r="F5267" s="25" t="str">
        <f aca="false">IF(OR(E5267="",E5267="!!!"),"",IF(NOT(ISNA(VLOOKUP(E5267,E$1:E5266,1,FALSE()))),"OLD",IF(AND(E5267&lt;&gt;"",E5267&lt;&gt;"!!!"),"NEW","")))</f>
        <v/>
      </c>
      <c r="G5267" s="26" t="str">
        <f aca="false">IF(OR(E5267="",E5267="!!!"),"",IF(OR(J5267=0,AND(J5267=1,K5267=1),AND(J5267=1,I5267="SBJ"),AND(J5267=1,I5267=0)),"?IN_FOCUS",IF(J5267&lt;=2,"?ACTIVATED",IF(J5267&lt;&gt;"","?FAMILIAR",IF(F5267="NEW",IF(ISNA(VLOOKUP(E5267,#REF!,1,FALSE())),"?TYPE_IDENTIFIABLE","?REFERENTIAL"),"_")))))</f>
        <v/>
      </c>
      <c r="H5267" s="27" t="str">
        <f aca="false">IF(J5267&lt;&gt;1,"",IF(I5267="SBJ","CB","?"))</f>
        <v/>
      </c>
      <c r="I5267" s="24" t="str">
        <f aca="false">IF(OR(E5267="",E5267="!!!",F5267="NEW"),"",INDEX(B2:B$5266,-1+SUMPRODUCT(MAX(ROW(E2:E$5266)*(E5267=E2:E$5266)))))</f>
        <v/>
      </c>
      <c r="J5267" s="24" t="str">
        <f aca="true">IF(OR(E5267="",E5267="!!!",F5267="NEW"),"",COUNTBLANK(OFFSET(A$1,,,SUMPRODUCT(MAX(ROW(E$2:E5267)*(E5267=E$2:E5267)))))-COUNTBLANK(OFFSET(A$1,,,SUMPRODUCT(MAX(ROW(E$1:E5266)*(E2=E$1:E5266))))))</f>
        <v/>
      </c>
      <c r="K5267" s="24" t="str">
        <f aca="false">IF(OR(E5267="",E5267="!!!",F5267="NEW"),"",INDEX(J$1:J5266,SUMPRODUCT(MAX(ROW(E$1:E5266)*(E5267=E$1:E5266)))))</f>
        <v/>
      </c>
      <c r="L5267" s="31"/>
    </row>
    <row r="5268" customFormat="false" ht="15" hidden="false" customHeight="false" outlineLevel="0" collapsed="false">
      <c r="A5268" s="20" t="s">
        <v>1076</v>
      </c>
      <c r="E5268" s="23" t="str">
        <f aca="false">IF(D5268="?OLD","!!!","")</f>
        <v/>
      </c>
      <c r="F5268" s="25" t="str">
        <f aca="false">IF(OR(E5268="",E5268="!!!"),"",IF(NOT(ISNA(VLOOKUP(E5268,E$1:E5267,1,FALSE()))),"OLD",IF(AND(E5268&lt;&gt;"",E5268&lt;&gt;"!!!"),"NEW","")))</f>
        <v/>
      </c>
      <c r="G5268" s="26" t="str">
        <f aca="false">IF(OR(E5268="",E5268="!!!"),"",IF(OR(J5268=0,AND(J5268=1,K5268=1),AND(J5268=1,I5268="SBJ"),AND(J5268=1,I5268=0)),"?IN_FOCUS",IF(J5268&lt;=2,"?ACTIVATED",IF(J5268&lt;&gt;"","?FAMILIAR",IF(F5268="NEW",IF(ISNA(VLOOKUP(E5268,#REF!,1,FALSE())),"?TYPE_IDENTIFIABLE","?REFERENTIAL"),"_")))))</f>
        <v/>
      </c>
      <c r="H5268" s="27" t="str">
        <f aca="false">IF(J5268&lt;&gt;1,"",IF(I5268="SBJ","CB","?"))</f>
        <v/>
      </c>
      <c r="I5268" s="24" t="str">
        <f aca="false">IF(OR(E5268="",E5268="!!!",F5268="NEW"),"",INDEX(B3:B$5266,-1+SUMPRODUCT(MAX(ROW(E3:E$5266)*(E5268=E3:E$5266)))))</f>
        <v/>
      </c>
      <c r="J5268" s="24" t="str">
        <f aca="true">IF(OR(E5268="",E5268="!!!",F5268="NEW"),"",COUNTBLANK(OFFSET(A$1,,,SUMPRODUCT(MAX(ROW(E$2:E5268)*(E5268=E$2:E5268)))))-COUNTBLANK(OFFSET(A$1,,,SUMPRODUCT(MAX(ROW(E$1:E5267)*(E2=E$1:E5267))))))</f>
        <v/>
      </c>
      <c r="K5268" s="24" t="str">
        <f aca="false">IF(OR(E5268="",E5268="!!!",F5268="NEW"),"",INDEX(J$1:J5267,SUMPRODUCT(MAX(ROW(E$1:E5267)*(E5268=E$1:E5267)))))</f>
        <v/>
      </c>
      <c r="L5268" s="31"/>
    </row>
    <row r="5269" customFormat="false" ht="15" hidden="false" customHeight="false" outlineLevel="0" collapsed="false">
      <c r="A5269" s="20" t="s">
        <v>1162</v>
      </c>
      <c r="B5269" s="22" t="s">
        <v>1058</v>
      </c>
      <c r="C5269" s="22" t="s">
        <v>1082</v>
      </c>
      <c r="D5269" s="22" t="s">
        <v>1060</v>
      </c>
      <c r="E5269" s="23" t="str">
        <f aca="false">IF(D5269="?OLD","!!!","")</f>
        <v>!!!</v>
      </c>
      <c r="F5269" s="25" t="str">
        <f aca="false">IF(OR(E5269="",E5269="!!!"),"",IF(NOT(ISNA(VLOOKUP(E5269,E$1:E5268,1,FALSE()))),"OLD",IF(AND(E5269&lt;&gt;"",E5269&lt;&gt;"!!!"),"NEW","")))</f>
        <v/>
      </c>
      <c r="G5269" s="26" t="str">
        <f aca="false">IF(OR(E5269="",E5269="!!!"),"",IF(OR(J5269=0,AND(J5269=1,K5269=1),AND(J5269=1,I5269="SBJ"),AND(J5269=1,I5269=0)),"?IN_FOCUS",IF(J5269&lt;=2,"?ACTIVATED",IF(J5269&lt;&gt;"","?FAMILIAR",IF(F5269="NEW",IF(ISNA(VLOOKUP(E5269,#REF!,1,FALSE())),"?TYPE_IDENTIFIABLE","?REFERENTIAL"),"_")))))</f>
        <v/>
      </c>
      <c r="H5269" s="27" t="str">
        <f aca="false">IF(J5269&lt;&gt;1,"",IF(I5269="SBJ","CB","?"))</f>
        <v/>
      </c>
      <c r="I5269" s="24" t="str">
        <f aca="false">IF(OR(E5269="",E5269="!!!",F5269="NEW"),"",INDEX(B4:B$5266,-1+SUMPRODUCT(MAX(ROW(E4:E$5266)*(E5269=E4:E$5266)))))</f>
        <v/>
      </c>
      <c r="J5269" s="24" t="str">
        <f aca="true">IF(OR(E5269="",E5269="!!!",F5269="NEW"),"",COUNTBLANK(OFFSET(A$1,,,SUMPRODUCT(MAX(ROW(E$2:E5269)*(E5269=E$2:E5269)))))-COUNTBLANK(OFFSET(A$1,,,SUMPRODUCT(MAX(ROW(E$1:E5268)*(E2=E$1:E5268))))))</f>
        <v/>
      </c>
      <c r="K5269" s="24" t="str">
        <f aca="false">IF(OR(E5269="",E5269="!!!",F5269="NEW"),"",INDEX(J$1:J5268,SUMPRODUCT(MAX(ROW(E$1:E5268)*(E5269=E$1:E5268)))))</f>
        <v/>
      </c>
      <c r="L5269" s="31"/>
    </row>
    <row r="5270" customFormat="false" ht="15" hidden="false" customHeight="false" outlineLevel="0" collapsed="false">
      <c r="A5270" s="20" t="s">
        <v>621</v>
      </c>
      <c r="E5270" s="23" t="str">
        <f aca="false">IF(D5270="?OLD","!!!","")</f>
        <v/>
      </c>
      <c r="F5270" s="25" t="str">
        <f aca="false">IF(OR(E5270="",E5270="!!!"),"",IF(NOT(ISNA(VLOOKUP(E5270,E$1:E5269,1,FALSE()))),"OLD",IF(AND(E5270&lt;&gt;"",E5270&lt;&gt;"!!!"),"NEW","")))</f>
        <v/>
      </c>
      <c r="G5270" s="26" t="str">
        <f aca="false">IF(OR(E5270="",E5270="!!!"),"",IF(OR(J5270=0,AND(J5270=1,K5270=1),AND(J5270=1,I5270="SBJ"),AND(J5270=1,I5270=0)),"?IN_FOCUS",IF(J5270&lt;=2,"?ACTIVATED",IF(J5270&lt;&gt;"","?FAMILIAR",IF(F5270="NEW",IF(ISNA(VLOOKUP(E5270,#REF!,1,FALSE())),"?TYPE_IDENTIFIABLE","?REFERENTIAL"),"_")))))</f>
        <v/>
      </c>
      <c r="H5270" s="27" t="str">
        <f aca="false">IF(J5270&lt;&gt;1,"",IF(I5270="SBJ","CB","?"))</f>
        <v/>
      </c>
      <c r="I5270" s="24" t="str">
        <f aca="false">IF(OR(E5270="",E5270="!!!",F5270="NEW"),"",INDEX(B5:B$5266,-1+SUMPRODUCT(MAX(ROW(E5:E$5266)*(E5270=E5:E$5266)))))</f>
        <v/>
      </c>
      <c r="J5270" s="24" t="str">
        <f aca="true">IF(OR(E5270="",E5270="!!!",F5270="NEW"),"",COUNTBLANK(OFFSET(A$1,,,SUMPRODUCT(MAX(ROW(E$2:E5270)*(E5270=E$2:E5270)))))-COUNTBLANK(OFFSET(A$1,,,SUMPRODUCT(MAX(ROW(E$1:E5269)*(E2=E$1:E5269))))))</f>
        <v/>
      </c>
      <c r="K5270" s="24" t="str">
        <f aca="false">IF(OR(E5270="",E5270="!!!",F5270="NEW"),"",INDEX(J$1:J5269,SUMPRODUCT(MAX(ROW(E$1:E5269)*(E5270=E$1:E5269)))))</f>
        <v/>
      </c>
      <c r="L5270" s="31"/>
    </row>
    <row r="5271" customFormat="false" ht="15" hidden="false" customHeight="false" outlineLevel="0" collapsed="false">
      <c r="A5271" s="20" t="s">
        <v>1279</v>
      </c>
      <c r="E5271" s="23" t="str">
        <f aca="false">IF(D5271="?OLD","!!!","")</f>
        <v/>
      </c>
      <c r="F5271" s="25" t="str">
        <f aca="false">IF(OR(E5271="",E5271="!!!"),"",IF(NOT(ISNA(VLOOKUP(E5271,E$1:E5270,1,FALSE()))),"OLD",IF(AND(E5271&lt;&gt;"",E5271&lt;&gt;"!!!"),"NEW","")))</f>
        <v/>
      </c>
      <c r="G5271" s="26" t="str">
        <f aca="false">IF(OR(E5271="",E5271="!!!"),"",IF(OR(J5271=0,AND(J5271=1,K5271=1),AND(J5271=1,I5271="SBJ"),AND(J5271=1,I5271=0)),"?IN_FOCUS",IF(J5271&lt;=2,"?ACTIVATED",IF(J5271&lt;&gt;"","?FAMILIAR",IF(F5271="NEW",IF(ISNA(VLOOKUP(E5271,#REF!,1,FALSE())),"?TYPE_IDENTIFIABLE","?REFERENTIAL"),"_")))))</f>
        <v/>
      </c>
      <c r="H5271" s="27" t="str">
        <f aca="false">IF(J5271&lt;&gt;1,"",IF(I5271="SBJ","CB","?"))</f>
        <v/>
      </c>
      <c r="I5271" s="24" t="str">
        <f aca="false">IF(OR(E5271="",E5271="!!!",F5271="NEW"),"",INDEX(B6:B$5266,-1+SUMPRODUCT(MAX(ROW(E6:E$5266)*(E5271=E6:E$5266)))))</f>
        <v/>
      </c>
      <c r="J5271" s="24" t="str">
        <f aca="true">IF(OR(E5271="",E5271="!!!",F5271="NEW"),"",COUNTBLANK(OFFSET(A$1,,,SUMPRODUCT(MAX(ROW(E$2:E5271)*(E5271=E$2:E5271)))))-COUNTBLANK(OFFSET(A$1,,,SUMPRODUCT(MAX(ROW(E$1:E5270)*(E2=E$1:E5270))))))</f>
        <v/>
      </c>
      <c r="K5271" s="24" t="str">
        <f aca="false">IF(OR(E5271="",E5271="!!!",F5271="NEW"),"",INDEX(J$1:J5270,SUMPRODUCT(MAX(ROW(E$1:E5270)*(E5271=E$1:E5270)))))</f>
        <v/>
      </c>
      <c r="L5271" s="31"/>
    </row>
    <row r="5272" customFormat="false" ht="15" hidden="false" customHeight="false" outlineLevel="0" collapsed="false">
      <c r="A5272" s="20" t="s">
        <v>169</v>
      </c>
      <c r="E5272" s="23" t="str">
        <f aca="false">IF(D5272="?OLD","!!!","")</f>
        <v/>
      </c>
      <c r="F5272" s="25" t="str">
        <f aca="false">IF(OR(E5272="",E5272="!!!"),"",IF(NOT(ISNA(VLOOKUP(E5272,E$1:E5271,1,FALSE()))),"OLD",IF(AND(E5272&lt;&gt;"",E5272&lt;&gt;"!!!"),"NEW","")))</f>
        <v/>
      </c>
      <c r="G5272" s="26" t="str">
        <f aca="false">IF(OR(E5272="",E5272="!!!"),"",IF(OR(J5272=0,AND(J5272=1,K5272=1),AND(J5272=1,I5272="SBJ"),AND(J5272=1,I5272=0)),"?IN_FOCUS",IF(J5272&lt;=2,"?ACTIVATED",IF(J5272&lt;&gt;"","?FAMILIAR",IF(F5272="NEW",IF(ISNA(VLOOKUP(E5272,#REF!,1,FALSE())),"?TYPE_IDENTIFIABLE","?REFERENTIAL"),"_")))))</f>
        <v/>
      </c>
      <c r="H5272" s="27" t="str">
        <f aca="false">IF(J5272&lt;&gt;1,"",IF(I5272="SBJ","CB","?"))</f>
        <v/>
      </c>
      <c r="I5272" s="24" t="str">
        <f aca="false">IF(OR(E5272="",E5272="!!!",F5272="NEW"),"",INDEX(B7:B$5266,-1+SUMPRODUCT(MAX(ROW(E7:E$5266)*(E5272=E7:E$5266)))))</f>
        <v/>
      </c>
      <c r="J5272" s="24" t="str">
        <f aca="true">IF(OR(E5272="",E5272="!!!",F5272="NEW"),"",COUNTBLANK(OFFSET(A$1,,,SUMPRODUCT(MAX(ROW(E$2:E5272)*(E5272=E$2:E5272)))))-COUNTBLANK(OFFSET(A$1,,,SUMPRODUCT(MAX(ROW(E$1:E5271)*(E2=E$1:E5271))))))</f>
        <v/>
      </c>
      <c r="K5272" s="24" t="str">
        <f aca="false">IF(OR(E5272="",E5272="!!!",F5272="NEW"),"",INDEX(J$1:J5271,SUMPRODUCT(MAX(ROW(E$1:E5271)*(E5272=E$1:E5271)))))</f>
        <v/>
      </c>
      <c r="L5272" s="31"/>
    </row>
    <row r="5273" customFormat="false" ht="15" hidden="false" customHeight="false" outlineLevel="0" collapsed="false">
      <c r="A5273" s="20" t="s">
        <v>1089</v>
      </c>
      <c r="E5273" s="23" t="str">
        <f aca="false">IF(D5273="?OLD","!!!","")</f>
        <v/>
      </c>
      <c r="F5273" s="25" t="str">
        <f aca="false">IF(OR(E5273="",E5273="!!!"),"",IF(NOT(ISNA(VLOOKUP(E5273,E$1:E5272,1,FALSE()))),"OLD",IF(AND(E5273&lt;&gt;"",E5273&lt;&gt;"!!!"),"NEW","")))</f>
        <v/>
      </c>
      <c r="G5273" s="26" t="str">
        <f aca="false">IF(OR(E5273="",E5273="!!!"),"",IF(OR(J5273=0,AND(J5273=1,K5273=1),AND(J5273=1,I5273="SBJ"),AND(J5273=1,I5273=0)),"?IN_FOCUS",IF(J5273&lt;=2,"?ACTIVATED",IF(J5273&lt;&gt;"","?FAMILIAR",IF(F5273="NEW",IF(ISNA(VLOOKUP(E5273,#REF!,1,FALSE())),"?TYPE_IDENTIFIABLE","?REFERENTIAL"),"_")))))</f>
        <v/>
      </c>
      <c r="H5273" s="27" t="str">
        <f aca="false">IF(J5273&lt;&gt;1,"",IF(I5273="SBJ","CB","?"))</f>
        <v/>
      </c>
      <c r="I5273" s="24" t="str">
        <f aca="false">IF(OR(E5273="",E5273="!!!",F5273="NEW"),"",INDEX(B8:B$5266,-1+SUMPRODUCT(MAX(ROW(E8:E$5266)*(E5273=E8:E$5266)))))</f>
        <v/>
      </c>
      <c r="J5273" s="24" t="str">
        <f aca="true">IF(OR(E5273="",E5273="!!!",F5273="NEW"),"",COUNTBLANK(OFFSET(A$1,,,SUMPRODUCT(MAX(ROW(E$2:E5273)*(E5273=E$2:E5273)))))-COUNTBLANK(OFFSET(A$1,,,SUMPRODUCT(MAX(ROW(E$1:E5272)*(E2=E$1:E5272))))))</f>
        <v/>
      </c>
      <c r="K5273" s="24" t="str">
        <f aca="false">IF(OR(E5273="",E5273="!!!",F5273="NEW"),"",INDEX(J$1:J5272,SUMPRODUCT(MAX(ROW(E$1:E5272)*(E5273=E$1:E5272)))))</f>
        <v/>
      </c>
      <c r="L5273" s="31"/>
    </row>
    <row r="5274" customFormat="false" ht="15" hidden="false" customHeight="false" outlineLevel="0" collapsed="false">
      <c r="A5274" s="20" t="s">
        <v>1339</v>
      </c>
      <c r="E5274" s="23" t="str">
        <f aca="false">IF(D5274="?OLD","!!!","")</f>
        <v/>
      </c>
      <c r="F5274" s="25" t="str">
        <f aca="false">IF(OR(E5274="",E5274="!!!"),"",IF(NOT(ISNA(VLOOKUP(E5274,E$1:E5273,1,FALSE()))),"OLD",IF(AND(E5274&lt;&gt;"",E5274&lt;&gt;"!!!"),"NEW","")))</f>
        <v/>
      </c>
      <c r="G5274" s="26" t="str">
        <f aca="false">IF(OR(E5274="",E5274="!!!"),"",IF(OR(J5274=0,AND(J5274=1,K5274=1),AND(J5274=1,I5274="SBJ"),AND(J5274=1,I5274=0)),"?IN_FOCUS",IF(J5274&lt;=2,"?ACTIVATED",IF(J5274&lt;&gt;"","?FAMILIAR",IF(F5274="NEW",IF(ISNA(VLOOKUP(E5274,#REF!,1,FALSE())),"?TYPE_IDENTIFIABLE","?REFERENTIAL"),"_")))))</f>
        <v/>
      </c>
      <c r="H5274" s="27" t="str">
        <f aca="false">IF(J5274&lt;&gt;1,"",IF(I5274="SBJ","CB","?"))</f>
        <v/>
      </c>
      <c r="I5274" s="24" t="str">
        <f aca="false">IF(OR(E5274="",E5274="!!!",F5274="NEW"),"",INDEX(B9:B$5266,-1+SUMPRODUCT(MAX(ROW(E9:E$5266)*(E5274=E9:E$5266)))))</f>
        <v/>
      </c>
      <c r="J5274" s="24" t="str">
        <f aca="true">IF(OR(E5274="",E5274="!!!",F5274="NEW"),"",COUNTBLANK(OFFSET(A$1,,,SUMPRODUCT(MAX(ROW(E$2:E5274)*(E5274=E$2:E5274)))))-COUNTBLANK(OFFSET(A$1,,,SUMPRODUCT(MAX(ROW(E$1:E5273)*(E2=E$1:E5273))))))</f>
        <v/>
      </c>
      <c r="K5274" s="24" t="str">
        <f aca="false">IF(OR(E5274="",E5274="!!!",F5274="NEW"),"",INDEX(J$1:J5273,SUMPRODUCT(MAX(ROW(E$1:E5273)*(E5274=E$1:E5273)))))</f>
        <v/>
      </c>
      <c r="L5274" s="31"/>
    </row>
    <row r="5275" customFormat="false" ht="15" hidden="false" customHeight="false" outlineLevel="0" collapsed="false">
      <c r="A5275" s="20" t="s">
        <v>547</v>
      </c>
      <c r="B5275" s="22" t="s">
        <v>1086</v>
      </c>
      <c r="C5275" s="22" t="s">
        <v>1171</v>
      </c>
      <c r="D5275" s="22" t="s">
        <v>1060</v>
      </c>
      <c r="E5275" s="23" t="str">
        <f aca="false">IF(D5275="?OLD","!!!","")</f>
        <v>!!!</v>
      </c>
      <c r="F5275" s="25" t="str">
        <f aca="false">IF(OR(E5275="",E5275="!!!"),"",IF(NOT(ISNA(VLOOKUP(E5275,E$1:E5274,1,FALSE()))),"OLD",IF(AND(E5275&lt;&gt;"",E5275&lt;&gt;"!!!"),"NEW","")))</f>
        <v/>
      </c>
      <c r="G5275" s="26" t="str">
        <f aca="false">IF(OR(E5275="",E5275="!!!"),"",IF(OR(J5275=0,AND(J5275=1,K5275=1),AND(J5275=1,I5275="SBJ"),AND(J5275=1,I5275=0)),"?IN_FOCUS",IF(J5275&lt;=2,"?ACTIVATED",IF(J5275&lt;&gt;"","?FAMILIAR",IF(F5275="NEW",IF(ISNA(VLOOKUP(E5275,#REF!,1,FALSE())),"?TYPE_IDENTIFIABLE","?REFERENTIAL"),"_")))))</f>
        <v/>
      </c>
      <c r="H5275" s="27" t="str">
        <f aca="false">IF(J5275&lt;&gt;1,"",IF(I5275="SBJ","CB","?"))</f>
        <v/>
      </c>
      <c r="I5275" s="24" t="str">
        <f aca="false">IF(OR(E5275="",E5275="!!!",F5275="NEW"),"",INDEX(B10:B$5266,-1+SUMPRODUCT(MAX(ROW(E10:E$5266)*(E5275=E10:E$5266)))))</f>
        <v/>
      </c>
      <c r="J5275" s="24" t="str">
        <f aca="true">IF(OR(E5275="",E5275="!!!",F5275="NEW"),"",COUNTBLANK(OFFSET(A$1,,,SUMPRODUCT(MAX(ROW(E$2:E5275)*(E5275=E$2:E5275)))))-COUNTBLANK(OFFSET(A$1,,,SUMPRODUCT(MAX(ROW(E$1:E5274)*(E2=E$1:E5274))))))</f>
        <v/>
      </c>
      <c r="K5275" s="24" t="str">
        <f aca="false">IF(OR(E5275="",E5275="!!!",F5275="NEW"),"",INDEX(J$1:J5274,SUMPRODUCT(MAX(ROW(E$1:E5274)*(E5275=E$1:E5274)))))</f>
        <v/>
      </c>
      <c r="L5275" s="31"/>
    </row>
    <row r="5276" customFormat="false" ht="15" hidden="false" customHeight="false" outlineLevel="0" collapsed="false">
      <c r="A5276" s="20" t="s">
        <v>2565</v>
      </c>
      <c r="E5276" s="23" t="str">
        <f aca="false">IF(D5276="?OLD","!!!","")</f>
        <v/>
      </c>
      <c r="F5276" s="25" t="str">
        <f aca="false">IF(OR(E5276="",E5276="!!!"),"",IF(NOT(ISNA(VLOOKUP(E5276,E$1:E5275,1,FALSE()))),"OLD",IF(AND(E5276&lt;&gt;"",E5276&lt;&gt;"!!!"),"NEW","")))</f>
        <v/>
      </c>
      <c r="G5276" s="26" t="str">
        <f aca="false">IF(OR(E5276="",E5276="!!!"),"",IF(OR(J5276=0,AND(J5276=1,K5276=1),AND(J5276=1,I5276="SBJ"),AND(J5276=1,I5276=0)),"?IN_FOCUS",IF(J5276&lt;=2,"?ACTIVATED",IF(J5276&lt;&gt;"","?FAMILIAR",IF(F5276="NEW",IF(ISNA(VLOOKUP(E5276,#REF!,1,FALSE())),"?TYPE_IDENTIFIABLE","?REFERENTIAL"),"_")))))</f>
        <v/>
      </c>
      <c r="H5276" s="27" t="str">
        <f aca="false">IF(J5276&lt;&gt;1,"",IF(I5276="SBJ","CB","?"))</f>
        <v/>
      </c>
      <c r="I5276" s="24" t="str">
        <f aca="false">IF(OR(E5276="",E5276="!!!",F5276="NEW"),"",INDEX(B11:B$5266,-1+SUMPRODUCT(MAX(ROW(E11:E$5266)*(E5276=E11:E$5266)))))</f>
        <v/>
      </c>
      <c r="J5276" s="24" t="str">
        <f aca="true">IF(OR(E5276="",E5276="!!!",F5276="NEW"),"",COUNTBLANK(OFFSET(A$1,,,SUMPRODUCT(MAX(ROW(E$2:E5276)*(E5276=E$2:E5276)))))-COUNTBLANK(OFFSET(A$1,,,SUMPRODUCT(MAX(ROW(E$1:E5275)*(E2=E$1:E5275))))))</f>
        <v/>
      </c>
      <c r="K5276" s="24" t="str">
        <f aca="false">IF(OR(E5276="",E5276="!!!",F5276="NEW"),"",INDEX(J$1:J5275,SUMPRODUCT(MAX(ROW(E$1:E5275)*(E5276=E$1:E5275)))))</f>
        <v/>
      </c>
      <c r="L5276" s="31"/>
    </row>
    <row r="5277" customFormat="false" ht="15" hidden="false" customHeight="false" outlineLevel="0" collapsed="false">
      <c r="A5277" s="20" t="s">
        <v>1104</v>
      </c>
      <c r="E5277" s="23" t="str">
        <f aca="false">IF(D5277="?OLD","!!!","")</f>
        <v/>
      </c>
      <c r="F5277" s="25" t="str">
        <f aca="false">IF(OR(E5277="",E5277="!!!"),"",IF(NOT(ISNA(VLOOKUP(E5277,E$1:E5276,1,FALSE()))),"OLD",IF(AND(E5277&lt;&gt;"",E5277&lt;&gt;"!!!"),"NEW","")))</f>
        <v/>
      </c>
      <c r="G5277" s="26" t="str">
        <f aca="false">IF(OR(E5277="",E5277="!!!"),"",IF(OR(J5277=0,AND(J5277=1,K5277=1),AND(J5277=1,I5277="SBJ"),AND(J5277=1,I5277=0)),"?IN_FOCUS",IF(J5277&lt;=2,"?ACTIVATED",IF(J5277&lt;&gt;"","?FAMILIAR",IF(F5277="NEW",IF(ISNA(VLOOKUP(E5277,#REF!,1,FALSE())),"?TYPE_IDENTIFIABLE","?REFERENTIAL"),"_")))))</f>
        <v/>
      </c>
      <c r="H5277" s="27" t="str">
        <f aca="false">IF(J5277&lt;&gt;1,"",IF(I5277="SBJ","CB","?"))</f>
        <v/>
      </c>
      <c r="I5277" s="24" t="str">
        <f aca="false">IF(OR(E5277="",E5277="!!!",F5277="NEW"),"",INDEX(B12:B$5266,-1+SUMPRODUCT(MAX(ROW(E12:E$5266)*(E5277=E12:E$5266)))))</f>
        <v/>
      </c>
      <c r="J5277" s="24" t="str">
        <f aca="true">IF(OR(E5277="",E5277="!!!",F5277="NEW"),"",COUNTBLANK(OFFSET(A$1,,,SUMPRODUCT(MAX(ROW(E$2:E5277)*(E5277=E$2:E5277)))))-COUNTBLANK(OFFSET(A$1,,,SUMPRODUCT(MAX(ROW(E$1:E5276)*(E2=E$1:E5276))))))</f>
        <v/>
      </c>
      <c r="K5277" s="24" t="str">
        <f aca="false">IF(OR(E5277="",E5277="!!!",F5277="NEW"),"",INDEX(J$1:J5276,SUMPRODUCT(MAX(ROW(E$1:E5276)*(E5277=E$1:E5276)))))</f>
        <v/>
      </c>
      <c r="L5277" s="31"/>
    </row>
    <row r="5278" customFormat="false" ht="15" hidden="false" customHeight="false" outlineLevel="0" collapsed="false">
      <c r="A5278" s="20" t="s">
        <v>2566</v>
      </c>
      <c r="B5278" s="22" t="s">
        <v>1142</v>
      </c>
      <c r="C5278" s="22" t="s">
        <v>1087</v>
      </c>
      <c r="E5278" s="23" t="str">
        <f aca="false">IF(D5278="?OLD","!!!","")</f>
        <v/>
      </c>
      <c r="F5278" s="25" t="str">
        <f aca="false">IF(OR(E5278="",E5278="!!!"),"",IF(NOT(ISNA(VLOOKUP(E5278,E$1:E5277,1,FALSE()))),"OLD",IF(AND(E5278&lt;&gt;"",E5278&lt;&gt;"!!!"),"NEW","")))</f>
        <v/>
      </c>
      <c r="G5278" s="26" t="str">
        <f aca="false">IF(OR(E5278="",E5278="!!!"),"",IF(OR(J5278=0,AND(J5278=1,K5278=1),AND(J5278=1,I5278="SBJ"),AND(J5278=1,I5278=0)),"?IN_FOCUS",IF(J5278&lt;=2,"?ACTIVATED",IF(J5278&lt;&gt;"","?FAMILIAR",IF(F5278="NEW",IF(ISNA(VLOOKUP(E5278,#REF!,1,FALSE())),"?TYPE_IDENTIFIABLE","?REFERENTIAL"),"_")))))</f>
        <v/>
      </c>
      <c r="H5278" s="27" t="str">
        <f aca="false">IF(J5278&lt;&gt;1,"",IF(I5278="SBJ","CB","?"))</f>
        <v/>
      </c>
      <c r="I5278" s="24" t="str">
        <f aca="false">IF(OR(E5278="",E5278="!!!",F5278="NEW"),"",INDEX(B13:B$5266,-1+SUMPRODUCT(MAX(ROW(E13:E$5266)*(E5278=E13:E$5266)))))</f>
        <v/>
      </c>
      <c r="J5278" s="24" t="str">
        <f aca="true">IF(OR(E5278="",E5278="!!!",F5278="NEW"),"",COUNTBLANK(OFFSET(A$1,,,SUMPRODUCT(MAX(ROW(E$2:E5278)*(E5278=E$2:E5278)))))-COUNTBLANK(OFFSET(A$1,,,SUMPRODUCT(MAX(ROW(E$1:E5277)*(E2=E$1:E5277))))))</f>
        <v/>
      </c>
      <c r="K5278" s="24" t="str">
        <f aca="false">IF(OR(E5278="",E5278="!!!",F5278="NEW"),"",INDEX(J$1:J5277,SUMPRODUCT(MAX(ROW(E$1:E5277)*(E5278=E$1:E5277)))))</f>
        <v/>
      </c>
      <c r="L5278" s="31"/>
    </row>
    <row r="5279" customFormat="false" ht="15" hidden="false" customHeight="false" outlineLevel="0" collapsed="false">
      <c r="A5279" s="20" t="s">
        <v>1125</v>
      </c>
      <c r="B5279" s="22" t="s">
        <v>1102</v>
      </c>
      <c r="E5279" s="23" t="str">
        <f aca="false">IF(D5279="?OLD","!!!","")</f>
        <v/>
      </c>
      <c r="F5279" s="25" t="str">
        <f aca="false">IF(OR(E5279="",E5279="!!!"),"",IF(NOT(ISNA(VLOOKUP(E5279,E$1:E5278,1,FALSE()))),"OLD",IF(AND(E5279&lt;&gt;"",E5279&lt;&gt;"!!!"),"NEW","")))</f>
        <v/>
      </c>
      <c r="G5279" s="26" t="str">
        <f aca="false">IF(OR(E5279="",E5279="!!!"),"",IF(OR(J5279=0,AND(J5279=1,K5279=1),AND(J5279=1,I5279="SBJ"),AND(J5279=1,I5279=0)),"?IN_FOCUS",IF(J5279&lt;=2,"?ACTIVATED",IF(J5279&lt;&gt;"","?FAMILIAR",IF(F5279="NEW",IF(ISNA(VLOOKUP(E5279,#REF!,1,FALSE())),"?TYPE_IDENTIFIABLE","?REFERENTIAL"),"_")))))</f>
        <v/>
      </c>
      <c r="H5279" s="27" t="str">
        <f aca="false">IF(J5279&lt;&gt;1,"",IF(I5279="SBJ","CB","?"))</f>
        <v/>
      </c>
      <c r="I5279" s="24" t="str">
        <f aca="false">IF(OR(E5279="",E5279="!!!",F5279="NEW"),"",INDEX(B14:B$5266,-1+SUMPRODUCT(MAX(ROW(E14:E$5266)*(E5279=E14:E$5266)))))</f>
        <v/>
      </c>
      <c r="J5279" s="24" t="str">
        <f aca="true">IF(OR(E5279="",E5279="!!!",F5279="NEW"),"",COUNTBLANK(OFFSET(A$1,,,SUMPRODUCT(MAX(ROW(E$2:E5279)*(E5279=E$2:E5279)))))-COUNTBLANK(OFFSET(A$1,,,SUMPRODUCT(MAX(ROW(E$1:E5278)*(E2=E$1:E5278))))))</f>
        <v/>
      </c>
      <c r="K5279" s="24" t="str">
        <f aca="false">IF(OR(E5279="",E5279="!!!",F5279="NEW"),"",INDEX(J$1:J5278,SUMPRODUCT(MAX(ROW(E$1:E5278)*(E5279=E$1:E5278)))))</f>
        <v/>
      </c>
      <c r="L5279" s="31"/>
    </row>
    <row r="5280" customFormat="false" ht="15" hidden="false" customHeight="false" outlineLevel="0" collapsed="false">
      <c r="A5280" s="20" t="s">
        <v>1186</v>
      </c>
      <c r="B5280" s="22" t="s">
        <v>1197</v>
      </c>
      <c r="C5280" s="22" t="s">
        <v>1082</v>
      </c>
      <c r="D5280" s="22" t="s">
        <v>1060</v>
      </c>
      <c r="E5280" s="23" t="str">
        <f aca="false">IF(D5280="?OLD","!!!","")</f>
        <v>!!!</v>
      </c>
      <c r="F5280" s="25" t="str">
        <f aca="false">IF(OR(E5280="",E5280="!!!"),"",IF(NOT(ISNA(VLOOKUP(E5280,E$1:E5279,1,FALSE()))),"OLD",IF(AND(E5280&lt;&gt;"",E5280&lt;&gt;"!!!"),"NEW","")))</f>
        <v/>
      </c>
      <c r="G5280" s="26" t="str">
        <f aca="false">IF(OR(E5280="",E5280="!!!"),"",IF(OR(J5280=0,AND(J5280=1,K5280=1),AND(J5280=1,I5280="SBJ"),AND(J5280=1,I5280=0)),"?IN_FOCUS",IF(J5280&lt;=2,"?ACTIVATED",IF(J5280&lt;&gt;"","?FAMILIAR",IF(F5280="NEW",IF(ISNA(VLOOKUP(E5280,#REF!,1,FALSE())),"?TYPE_IDENTIFIABLE","?REFERENTIAL"),"_")))))</f>
        <v/>
      </c>
      <c r="H5280" s="27" t="str">
        <f aca="false">IF(J5280&lt;&gt;1,"",IF(I5280="SBJ","CB","?"))</f>
        <v/>
      </c>
      <c r="I5280" s="24" t="str">
        <f aca="false">IF(OR(E5280="",E5280="!!!",F5280="NEW"),"",INDEX(B15:B$5266,-1+SUMPRODUCT(MAX(ROW(E15:E$5266)*(E5280=E15:E$5266)))))</f>
        <v/>
      </c>
      <c r="J5280" s="24" t="str">
        <f aca="true">IF(OR(E5280="",E5280="!!!",F5280="NEW"),"",COUNTBLANK(OFFSET(A$1,,,SUMPRODUCT(MAX(ROW(E$2:E5280)*(E5280=E$2:E5280)))))-COUNTBLANK(OFFSET(A$1,,,SUMPRODUCT(MAX(ROW(E$1:E5279)*(E2=E$1:E5279))))))</f>
        <v/>
      </c>
      <c r="K5280" s="24" t="str">
        <f aca="false">IF(OR(E5280="",E5280="!!!",F5280="NEW"),"",INDEX(J$1:J5279,SUMPRODUCT(MAX(ROW(E$1:E5279)*(E5280=E$1:E5279)))))</f>
        <v/>
      </c>
      <c r="L5280" s="31"/>
    </row>
    <row r="5281" customFormat="false" ht="15" hidden="false" customHeight="false" outlineLevel="0" collapsed="false">
      <c r="A5281" s="20" t="s">
        <v>576</v>
      </c>
      <c r="E5281" s="23" t="str">
        <f aca="false">IF(D5281="?OLD","!!!","")</f>
        <v/>
      </c>
      <c r="F5281" s="25" t="str">
        <f aca="false">IF(OR(E5281="",E5281="!!!"),"",IF(NOT(ISNA(VLOOKUP(E5281,E$1:E5280,1,FALSE()))),"OLD",IF(AND(E5281&lt;&gt;"",E5281&lt;&gt;"!!!"),"NEW","")))</f>
        <v/>
      </c>
      <c r="G5281" s="26" t="str">
        <f aca="false">IF(OR(E5281="",E5281="!!!"),"",IF(OR(J5281=0,AND(J5281=1,K5281=1),AND(J5281=1,I5281="SBJ"),AND(J5281=1,I5281=0)),"?IN_FOCUS",IF(J5281&lt;=2,"?ACTIVATED",IF(J5281&lt;&gt;"","?FAMILIAR",IF(F5281="NEW",IF(ISNA(VLOOKUP(E5281,#REF!,1,FALSE())),"?TYPE_IDENTIFIABLE","?REFERENTIAL"),"_")))))</f>
        <v/>
      </c>
      <c r="H5281" s="27" t="str">
        <f aca="false">IF(J5281&lt;&gt;1,"",IF(I5281="SBJ","CB","?"))</f>
        <v/>
      </c>
      <c r="I5281" s="24" t="str">
        <f aca="false">IF(OR(E5281="",E5281="!!!",F5281="NEW"),"",INDEX(B16:B$5266,-1+SUMPRODUCT(MAX(ROW(E16:E$5266)*(E5281=E16:E$5266)))))</f>
        <v/>
      </c>
      <c r="J5281" s="24" t="str">
        <f aca="true">IF(OR(E5281="",E5281="!!!",F5281="NEW"),"",COUNTBLANK(OFFSET(A$1,,,SUMPRODUCT(MAX(ROW(E$2:E5281)*(E5281=E$2:E5281)))))-COUNTBLANK(OFFSET(A$1,,,SUMPRODUCT(MAX(ROW(E$1:E5280)*(E2=E$1:E5280))))))</f>
        <v/>
      </c>
      <c r="K5281" s="24" t="str">
        <f aca="false">IF(OR(E5281="",E5281="!!!",F5281="NEW"),"",INDEX(J$1:J5280,SUMPRODUCT(MAX(ROW(E$1:E5280)*(E5281=E$1:E5280)))))</f>
        <v/>
      </c>
      <c r="L5281" s="31"/>
    </row>
    <row r="5282" customFormat="false" ht="15" hidden="false" customHeight="false" outlineLevel="0" collapsed="false">
      <c r="A5282" s="20" t="s">
        <v>1279</v>
      </c>
      <c r="E5282" s="23" t="str">
        <f aca="false">IF(D5282="?OLD","!!!","")</f>
        <v/>
      </c>
      <c r="F5282" s="25" t="str">
        <f aca="false">IF(OR(E5282="",E5282="!!!"),"",IF(NOT(ISNA(VLOOKUP(E5282,E$1:E5281,1,FALSE()))),"OLD",IF(AND(E5282&lt;&gt;"",E5282&lt;&gt;"!!!"),"NEW","")))</f>
        <v/>
      </c>
      <c r="G5282" s="26" t="str">
        <f aca="false">IF(OR(E5282="",E5282="!!!"),"",IF(OR(J5282=0,AND(J5282=1,K5282=1),AND(J5282=1,I5282="SBJ"),AND(J5282=1,I5282=0)),"?IN_FOCUS",IF(J5282&lt;=2,"?ACTIVATED",IF(J5282&lt;&gt;"","?FAMILIAR",IF(F5282="NEW",IF(ISNA(VLOOKUP(E5282,#REF!,1,FALSE())),"?TYPE_IDENTIFIABLE","?REFERENTIAL"),"_")))))</f>
        <v/>
      </c>
      <c r="H5282" s="27" t="str">
        <f aca="false">IF(J5282&lt;&gt;1,"",IF(I5282="SBJ","CB","?"))</f>
        <v/>
      </c>
      <c r="I5282" s="24" t="str">
        <f aca="false">IF(OR(E5282="",E5282="!!!",F5282="NEW"),"",INDEX(B17:B$5266,-1+SUMPRODUCT(MAX(ROW(E17:E$5266)*(E5282=E17:E$5266)))))</f>
        <v/>
      </c>
      <c r="J5282" s="24" t="str">
        <f aca="true">IF(OR(E5282="",E5282="!!!",F5282="NEW"),"",COUNTBLANK(OFFSET(A$1,,,SUMPRODUCT(MAX(ROW(E$2:E5282)*(E5282=E$2:E5282)))))-COUNTBLANK(OFFSET(A$1,,,SUMPRODUCT(MAX(ROW(E$1:E5281)*(E2=E$1:E5281))))))</f>
        <v/>
      </c>
      <c r="K5282" s="24" t="str">
        <f aca="false">IF(OR(E5282="",E5282="!!!",F5282="NEW"),"",INDEX(J$1:J5281,SUMPRODUCT(MAX(ROW(E$1:E5281)*(E5282=E$1:E5281)))))</f>
        <v/>
      </c>
      <c r="L5282" s="31"/>
    </row>
    <row r="5283" customFormat="false" ht="15" hidden="false" customHeight="false" outlineLevel="0" collapsed="false">
      <c r="A5283" s="20" t="s">
        <v>1632</v>
      </c>
      <c r="E5283" s="23" t="str">
        <f aca="false">IF(D5283="?OLD","!!!","")</f>
        <v/>
      </c>
      <c r="F5283" s="25" t="str">
        <f aca="false">IF(OR(E5283="",E5283="!!!"),"",IF(NOT(ISNA(VLOOKUP(E5283,E$1:E5282,1,FALSE()))),"OLD",IF(AND(E5283&lt;&gt;"",E5283&lt;&gt;"!!!"),"NEW","")))</f>
        <v/>
      </c>
      <c r="G5283" s="26" t="str">
        <f aca="false">IF(OR(E5283="",E5283="!!!"),"",IF(OR(J5283=0,AND(J5283=1,K5283=1),AND(J5283=1,I5283="SBJ"),AND(J5283=1,I5283=0)),"?IN_FOCUS",IF(J5283&lt;=2,"?ACTIVATED",IF(J5283&lt;&gt;"","?FAMILIAR",IF(F5283="NEW",IF(ISNA(VLOOKUP(E5283,#REF!,1,FALSE())),"?TYPE_IDENTIFIABLE","?REFERENTIAL"),"_")))))</f>
        <v/>
      </c>
      <c r="H5283" s="27" t="str">
        <f aca="false">IF(J5283&lt;&gt;1,"",IF(I5283="SBJ","CB","?"))</f>
        <v/>
      </c>
      <c r="I5283" s="24" t="str">
        <f aca="false">IF(OR(E5283="",E5283="!!!",F5283="NEW"),"",INDEX(B18:B$5266,-1+SUMPRODUCT(MAX(ROW(E18:E$5266)*(E5283=E18:E$5266)))))</f>
        <v/>
      </c>
      <c r="J5283" s="24" t="str">
        <f aca="true">IF(OR(E5283="",E5283="!!!",F5283="NEW"),"",COUNTBLANK(OFFSET(A$1,,,SUMPRODUCT(MAX(ROW(E$2:E5283)*(E5283=E$2:E5283)))))-COUNTBLANK(OFFSET(A$1,,,SUMPRODUCT(MAX(ROW(E$1:E5282)*(E2=E$1:E5282))))))</f>
        <v/>
      </c>
      <c r="K5283" s="24" t="str">
        <f aca="false">IF(OR(E5283="",E5283="!!!",F5283="NEW"),"",INDEX(J$1:J5282,SUMPRODUCT(MAX(ROW(E$1:E5282)*(E5283=E$1:E5282)))))</f>
        <v/>
      </c>
      <c r="L5283" s="31"/>
    </row>
    <row r="5284" customFormat="false" ht="15" hidden="false" customHeight="false" outlineLevel="0" collapsed="false">
      <c r="A5284" s="20" t="s">
        <v>2567</v>
      </c>
      <c r="E5284" s="23" t="str">
        <f aca="false">IF(D5284="?OLD","!!!","")</f>
        <v/>
      </c>
      <c r="F5284" s="25" t="str">
        <f aca="false">IF(OR(E5284="",E5284="!!!"),"",IF(NOT(ISNA(VLOOKUP(E5284,E$1:E5283,1,FALSE()))),"OLD",IF(AND(E5284&lt;&gt;"",E5284&lt;&gt;"!!!"),"NEW","")))</f>
        <v/>
      </c>
      <c r="G5284" s="26" t="str">
        <f aca="false">IF(OR(E5284="",E5284="!!!"),"",IF(OR(J5284=0,AND(J5284=1,K5284=1),AND(J5284=1,I5284="SBJ"),AND(J5284=1,I5284=0)),"?IN_FOCUS",IF(J5284&lt;=2,"?ACTIVATED",IF(J5284&lt;&gt;"","?FAMILIAR",IF(F5284="NEW",IF(ISNA(VLOOKUP(E5284,#REF!,1,FALSE())),"?TYPE_IDENTIFIABLE","?REFERENTIAL"),"_")))))</f>
        <v/>
      </c>
      <c r="H5284" s="27" t="str">
        <f aca="false">IF(J5284&lt;&gt;1,"",IF(I5284="SBJ","CB","?"))</f>
        <v/>
      </c>
      <c r="I5284" s="24" t="str">
        <f aca="false">IF(OR(E5284="",E5284="!!!",F5284="NEW"),"",INDEX(B19:B$5266,-1+SUMPRODUCT(MAX(ROW(E19:E$5266)*(E5284=E19:E$5266)))))</f>
        <v/>
      </c>
      <c r="J5284" s="24" t="str">
        <f aca="true">IF(OR(E5284="",E5284="!!!",F5284="NEW"),"",COUNTBLANK(OFFSET(A$1,,,SUMPRODUCT(MAX(ROW(E$2:E5284)*(E5284=E$2:E5284)))))-COUNTBLANK(OFFSET(A$1,,,SUMPRODUCT(MAX(ROW(E$1:E5283)*(E2=E$1:E5283))))))</f>
        <v/>
      </c>
      <c r="K5284" s="24" t="str">
        <f aca="false">IF(OR(E5284="",E5284="!!!",F5284="NEW"),"",INDEX(J$1:J5283,SUMPRODUCT(MAX(ROW(E$1:E5283)*(E5284=E$1:E5283)))))</f>
        <v/>
      </c>
      <c r="L5284" s="31"/>
    </row>
    <row r="5285" customFormat="false" ht="15" hidden="false" customHeight="false" outlineLevel="0" collapsed="false">
      <c r="A5285" s="20" t="s">
        <v>923</v>
      </c>
      <c r="E5285" s="23" t="str">
        <f aca="false">IF(D5285="?OLD","!!!","")</f>
        <v/>
      </c>
      <c r="F5285" s="25" t="str">
        <f aca="false">IF(OR(E5285="",E5285="!!!"),"",IF(NOT(ISNA(VLOOKUP(E5285,E$1:E5284,1,FALSE()))),"OLD",IF(AND(E5285&lt;&gt;"",E5285&lt;&gt;"!!!"),"NEW","")))</f>
        <v/>
      </c>
      <c r="G5285" s="26" t="str">
        <f aca="false">IF(OR(E5285="",E5285="!!!"),"",IF(OR(J5285=0,AND(J5285=1,K5285=1),AND(J5285=1,I5285="SBJ"),AND(J5285=1,I5285=0)),"?IN_FOCUS",IF(J5285&lt;=2,"?ACTIVATED",IF(J5285&lt;&gt;"","?FAMILIAR",IF(F5285="NEW",IF(ISNA(VLOOKUP(E5285,#REF!,1,FALSE())),"?TYPE_IDENTIFIABLE","?REFERENTIAL"),"_")))))</f>
        <v/>
      </c>
      <c r="H5285" s="27" t="str">
        <f aca="false">IF(J5285&lt;&gt;1,"",IF(I5285="SBJ","CB","?"))</f>
        <v/>
      </c>
      <c r="I5285" s="24" t="str">
        <f aca="false">IF(OR(E5285="",E5285="!!!",F5285="NEW"),"",INDEX(B20:B$5266,-1+SUMPRODUCT(MAX(ROW(E20:E$5266)*(E5285=E20:E$5266)))))</f>
        <v/>
      </c>
      <c r="J5285" s="24" t="str">
        <f aca="true">IF(OR(E5285="",E5285="!!!",F5285="NEW"),"",COUNTBLANK(OFFSET(A$1,,,SUMPRODUCT(MAX(ROW(E$2:E5285)*(E5285=E$2:E5285)))))-COUNTBLANK(OFFSET(A$1,,,SUMPRODUCT(MAX(ROW(E$1:E5284)*(E2=E$1:E5284))))))</f>
        <v/>
      </c>
      <c r="K5285" s="24" t="str">
        <f aca="false">IF(OR(E5285="",E5285="!!!",F5285="NEW"),"",INDEX(J$1:J5284,SUMPRODUCT(MAX(ROW(E$1:E5284)*(E5285=E$1:E5284)))))</f>
        <v/>
      </c>
      <c r="L5285" s="31"/>
    </row>
    <row r="5286" customFormat="false" ht="15" hidden="false" customHeight="false" outlineLevel="0" collapsed="false">
      <c r="A5286" s="20"/>
    </row>
    <row r="5287" customFormat="false" ht="15" hidden="false" customHeight="false" outlineLevel="0" collapsed="false">
      <c r="A5287" s="20" t="s">
        <v>2568</v>
      </c>
    </row>
    <row r="5288" customFormat="false" ht="15" hidden="false" customHeight="false" outlineLevel="0" collapsed="false">
      <c r="A5288" s="20" t="s">
        <v>1561</v>
      </c>
      <c r="B5288" s="22" t="s">
        <v>1058</v>
      </c>
      <c r="C5288" s="22" t="s">
        <v>1082</v>
      </c>
      <c r="D5288" s="22" t="s">
        <v>1060</v>
      </c>
      <c r="E5288" s="23" t="str">
        <f aca="false">IF(D5288="?OLD","!!!","")</f>
        <v>!!!</v>
      </c>
      <c r="F5288" s="25" t="str">
        <f aca="false">IF(OR(E5288="",E5288="!!!"),"",IF(NOT(ISNA(VLOOKUP(E5288,E$1:E5287,1,FALSE()))),"OLD",IF(AND(E5288&lt;&gt;"",E5288&lt;&gt;"!!!"),"NEW","")))</f>
        <v/>
      </c>
      <c r="G5288" s="26" t="str">
        <f aca="false">IF(OR(E5288="",E5288="!!!"),"",IF(OR(J5288=0,AND(J5288=1,K5288=1),AND(J5288=1,I5288="SBJ"),AND(J5288=1,I5288=0)),"?IN_FOCUS",IF(J5288&lt;=2,"?ACTIVATED",IF(J5288&lt;&gt;"","?FAMILIAR",IF(F5288="NEW",IF(ISNA(VLOOKUP(E5288,#REF!,1,FALSE())),"?TYPE_IDENTIFIABLE","?REFERENTIAL"),"_")))))</f>
        <v/>
      </c>
      <c r="H5288" s="27" t="str">
        <f aca="false">IF(J5288&lt;&gt;1,"",IF(I5288="SBJ","CB","?"))</f>
        <v/>
      </c>
      <c r="I5288" s="24" t="str">
        <f aca="false">IF(OR(E5288="",E5288="!!!",F5288="NEW"),"",INDEX(B2:B$5287,-1+SUMPRODUCT(MAX(ROW(E2:E$5287)*(E5288=E2:E$5287)))))</f>
        <v/>
      </c>
      <c r="J5288" s="24" t="str">
        <f aca="true">IF(OR(E5288="",E5288="!!!",F5288="NEW"),"",COUNTBLANK(OFFSET(A$1,,,SUMPRODUCT(MAX(ROW(E$2:E5288)*(E5288=E$2:E5288)))))-COUNTBLANK(OFFSET(A$1,,,SUMPRODUCT(MAX(ROW(E$1:E5287)*(E2=E$1:E5287))))))</f>
        <v/>
      </c>
      <c r="K5288" s="24" t="str">
        <f aca="false">IF(OR(E5288="",E5288="!!!",F5288="NEW"),"",INDEX(J$1:J5287,SUMPRODUCT(MAX(ROW(E$1:E5287)*(E5288=E$1:E5287)))))</f>
        <v/>
      </c>
      <c r="L5288" s="31"/>
    </row>
    <row r="5289" customFormat="false" ht="15" hidden="false" customHeight="false" outlineLevel="0" collapsed="false">
      <c r="A5289" s="20" t="s">
        <v>1198</v>
      </c>
      <c r="E5289" s="23" t="str">
        <f aca="false">IF(D5289="?OLD","!!!","")</f>
        <v/>
      </c>
      <c r="F5289" s="25" t="str">
        <f aca="false">IF(OR(E5289="",E5289="!!!"),"",IF(NOT(ISNA(VLOOKUP(E5289,E$1:E5288,1,FALSE()))),"OLD",IF(AND(E5289&lt;&gt;"",E5289&lt;&gt;"!!!"),"NEW","")))</f>
        <v/>
      </c>
      <c r="G5289" s="26" t="str">
        <f aca="false">IF(OR(E5289="",E5289="!!!"),"",IF(OR(J5289=0,AND(J5289=1,K5289=1),AND(J5289=1,I5289="SBJ"),AND(J5289=1,I5289=0)),"?IN_FOCUS",IF(J5289&lt;=2,"?ACTIVATED",IF(J5289&lt;&gt;"","?FAMILIAR",IF(F5289="NEW",IF(ISNA(VLOOKUP(E5289,#REF!,1,FALSE())),"?TYPE_IDENTIFIABLE","?REFERENTIAL"),"_")))))</f>
        <v/>
      </c>
      <c r="H5289" s="27" t="str">
        <f aca="false">IF(J5289&lt;&gt;1,"",IF(I5289="SBJ","CB","?"))</f>
        <v/>
      </c>
      <c r="I5289" s="24" t="str">
        <f aca="false">IF(OR(E5289="",E5289="!!!",F5289="NEW"),"",INDEX(B3:B$5287,-1+SUMPRODUCT(MAX(ROW(E3:E$5287)*(E5289=E3:E$5287)))))</f>
        <v/>
      </c>
      <c r="J5289" s="24" t="str">
        <f aca="true">IF(OR(E5289="",E5289="!!!",F5289="NEW"),"",COUNTBLANK(OFFSET(A$1,,,SUMPRODUCT(MAX(ROW(E$2:E5289)*(E5289=E$2:E5289)))))-COUNTBLANK(OFFSET(A$1,,,SUMPRODUCT(MAX(ROW(E$1:E5288)*(E2=E$1:E5288))))))</f>
        <v/>
      </c>
      <c r="K5289" s="24" t="str">
        <f aca="false">IF(OR(E5289="",E5289="!!!",F5289="NEW"),"",INDEX(J$1:J5288,SUMPRODUCT(MAX(ROW(E$1:E5288)*(E5289=E$1:E5288)))))</f>
        <v/>
      </c>
      <c r="L5289" s="31"/>
    </row>
    <row r="5290" customFormat="false" ht="15" hidden="false" customHeight="false" outlineLevel="0" collapsed="false">
      <c r="A5290" s="20" t="s">
        <v>1018</v>
      </c>
      <c r="E5290" s="23" t="str">
        <f aca="false">IF(D5290="?OLD","!!!","")</f>
        <v/>
      </c>
      <c r="F5290" s="25" t="str">
        <f aca="false">IF(OR(E5290="",E5290="!!!"),"",IF(NOT(ISNA(VLOOKUP(E5290,E$1:E5289,1,FALSE()))),"OLD",IF(AND(E5290&lt;&gt;"",E5290&lt;&gt;"!!!"),"NEW","")))</f>
        <v/>
      </c>
      <c r="G5290" s="26" t="str">
        <f aca="false">IF(OR(E5290="",E5290="!!!"),"",IF(OR(J5290=0,AND(J5290=1,K5290=1),AND(J5290=1,I5290="SBJ"),AND(J5290=1,I5290=0)),"?IN_FOCUS",IF(J5290&lt;=2,"?ACTIVATED",IF(J5290&lt;&gt;"","?FAMILIAR",IF(F5290="NEW",IF(ISNA(VLOOKUP(E5290,#REF!,1,FALSE())),"?TYPE_IDENTIFIABLE","?REFERENTIAL"),"_")))))</f>
        <v/>
      </c>
      <c r="H5290" s="27" t="str">
        <f aca="false">IF(J5290&lt;&gt;1,"",IF(I5290="SBJ","CB","?"))</f>
        <v/>
      </c>
      <c r="I5290" s="24" t="str">
        <f aca="false">IF(OR(E5290="",E5290="!!!",F5290="NEW"),"",INDEX(B4:B$5287,-1+SUMPRODUCT(MAX(ROW(E4:E$5287)*(E5290=E4:E$5287)))))</f>
        <v/>
      </c>
      <c r="J5290" s="24" t="str">
        <f aca="true">IF(OR(E5290="",E5290="!!!",F5290="NEW"),"",COUNTBLANK(OFFSET(A$1,,,SUMPRODUCT(MAX(ROW(E$2:E5290)*(E5290=E$2:E5290)))))-COUNTBLANK(OFFSET(A$1,,,SUMPRODUCT(MAX(ROW(E$1:E5289)*(E2=E$1:E5289))))))</f>
        <v/>
      </c>
      <c r="K5290" s="24" t="str">
        <f aca="false">IF(OR(E5290="",E5290="!!!",F5290="NEW"),"",INDEX(J$1:J5289,SUMPRODUCT(MAX(ROW(E$1:E5289)*(E5290=E$1:E5289)))))</f>
        <v/>
      </c>
      <c r="L5290" s="31"/>
    </row>
    <row r="5291" customFormat="false" ht="15" hidden="false" customHeight="false" outlineLevel="0" collapsed="false">
      <c r="A5291" s="20" t="s">
        <v>1097</v>
      </c>
      <c r="B5291" s="22" t="s">
        <v>1073</v>
      </c>
      <c r="C5291" s="22" t="s">
        <v>1099</v>
      </c>
      <c r="D5291" s="22" t="s">
        <v>1060</v>
      </c>
      <c r="E5291" s="23" t="str">
        <f aca="false">IF(D5291="?OLD","!!!","")</f>
        <v>!!!</v>
      </c>
      <c r="F5291" s="25" t="str">
        <f aca="false">IF(OR(E5291="",E5291="!!!"),"",IF(NOT(ISNA(VLOOKUP(E5291,E$1:E5290,1,FALSE()))),"OLD",IF(AND(E5291&lt;&gt;"",E5291&lt;&gt;"!!!"),"NEW","")))</f>
        <v/>
      </c>
      <c r="G5291" s="26" t="str">
        <f aca="false">IF(OR(E5291="",E5291="!!!"),"",IF(OR(J5291=0,AND(J5291=1,K5291=1),AND(J5291=1,I5291="SBJ"),AND(J5291=1,I5291=0)),"?IN_FOCUS",IF(J5291&lt;=2,"?ACTIVATED",IF(J5291&lt;&gt;"","?FAMILIAR",IF(F5291="NEW",IF(ISNA(VLOOKUP(E5291,#REF!,1,FALSE())),"?TYPE_IDENTIFIABLE","?REFERENTIAL"),"_")))))</f>
        <v/>
      </c>
      <c r="H5291" s="27" t="str">
        <f aca="false">IF(J5291&lt;&gt;1,"",IF(I5291="SBJ","CB","?"))</f>
        <v/>
      </c>
      <c r="I5291" s="24" t="str">
        <f aca="false">IF(OR(E5291="",E5291="!!!",F5291="NEW"),"",INDEX(B5:B$5287,-1+SUMPRODUCT(MAX(ROW(E5:E$5287)*(E5291=E5:E$5287)))))</f>
        <v/>
      </c>
      <c r="J5291" s="24" t="str">
        <f aca="true">IF(OR(E5291="",E5291="!!!",F5291="NEW"),"",COUNTBLANK(OFFSET(A$1,,,SUMPRODUCT(MAX(ROW(E$2:E5291)*(E5291=E$2:E5291)))))-COUNTBLANK(OFFSET(A$1,,,SUMPRODUCT(MAX(ROW(E$1:E5290)*(E2=E$1:E5290))))))</f>
        <v/>
      </c>
      <c r="K5291" s="24" t="str">
        <f aca="false">IF(OR(E5291="",E5291="!!!",F5291="NEW"),"",INDEX(J$1:J5290,SUMPRODUCT(MAX(ROW(E$1:E5290)*(E5291=E$1:E5290)))))</f>
        <v/>
      </c>
      <c r="L5291" s="31"/>
    </row>
    <row r="5292" customFormat="false" ht="15" hidden="false" customHeight="false" outlineLevel="0" collapsed="false">
      <c r="A5292" s="20" t="s">
        <v>768</v>
      </c>
      <c r="B5292" s="22" t="s">
        <v>1081</v>
      </c>
      <c r="C5292" s="22" t="s">
        <v>1059</v>
      </c>
      <c r="D5292" s="22" t="s">
        <v>1060</v>
      </c>
      <c r="E5292" s="23" t="str">
        <f aca="false">IF(D5292="?OLD","!!!","")</f>
        <v>!!!</v>
      </c>
      <c r="F5292" s="25" t="str">
        <f aca="false">IF(OR(E5292="",E5292="!!!"),"",IF(NOT(ISNA(VLOOKUP(E5292,E$1:E5291,1,FALSE()))),"OLD",IF(AND(E5292&lt;&gt;"",E5292&lt;&gt;"!!!"),"NEW","")))</f>
        <v/>
      </c>
      <c r="G5292" s="26" t="str">
        <f aca="false">IF(OR(E5292="",E5292="!!!"),"",IF(OR(J5292=0,AND(J5292=1,K5292=1),AND(J5292=1,I5292="SBJ"),AND(J5292=1,I5292=0)),"?IN_FOCUS",IF(J5292&lt;=2,"?ACTIVATED",IF(J5292&lt;&gt;"","?FAMILIAR",IF(F5292="NEW",IF(ISNA(VLOOKUP(E5292,#REF!,1,FALSE())),"?TYPE_IDENTIFIABLE","?REFERENTIAL"),"_")))))</f>
        <v/>
      </c>
      <c r="H5292" s="27" t="str">
        <f aca="false">IF(J5292&lt;&gt;1,"",IF(I5292="SBJ","CB","?"))</f>
        <v/>
      </c>
      <c r="I5292" s="24" t="str">
        <f aca="false">IF(OR(E5292="",E5292="!!!",F5292="NEW"),"",INDEX(B6:B$5287,-1+SUMPRODUCT(MAX(ROW(E6:E$5287)*(E5292=E6:E$5287)))))</f>
        <v/>
      </c>
      <c r="J5292" s="24" t="str">
        <f aca="true">IF(OR(E5292="",E5292="!!!",F5292="NEW"),"",COUNTBLANK(OFFSET(A$1,,,SUMPRODUCT(MAX(ROW(E$2:E5292)*(E5292=E$2:E5292)))))-COUNTBLANK(OFFSET(A$1,,,SUMPRODUCT(MAX(ROW(E$1:E5291)*(E2=E$1:E5291))))))</f>
        <v/>
      </c>
      <c r="K5292" s="24" t="str">
        <f aca="false">IF(OR(E5292="",E5292="!!!",F5292="NEW"),"",INDEX(J$1:J5291,SUMPRODUCT(MAX(ROW(E$1:E5291)*(E5292=E$1:E5291)))))</f>
        <v/>
      </c>
      <c r="L5292" s="31"/>
    </row>
    <row r="5293" customFormat="false" ht="15" hidden="false" customHeight="false" outlineLevel="0" collapsed="false">
      <c r="A5293" s="20" t="s">
        <v>1076</v>
      </c>
      <c r="E5293" s="23" t="str">
        <f aca="false">IF(D5293="?OLD","!!!","")</f>
        <v/>
      </c>
      <c r="F5293" s="25" t="str">
        <f aca="false">IF(OR(E5293="",E5293="!!!"),"",IF(NOT(ISNA(VLOOKUP(E5293,E$1:E5292,1,FALSE()))),"OLD",IF(AND(E5293&lt;&gt;"",E5293&lt;&gt;"!!!"),"NEW","")))</f>
        <v/>
      </c>
      <c r="G5293" s="26" t="str">
        <f aca="false">IF(OR(E5293="",E5293="!!!"),"",IF(OR(J5293=0,AND(J5293=1,K5293=1),AND(J5293=1,I5293="SBJ"),AND(J5293=1,I5293=0)),"?IN_FOCUS",IF(J5293&lt;=2,"?ACTIVATED",IF(J5293&lt;&gt;"","?FAMILIAR",IF(F5293="NEW",IF(ISNA(VLOOKUP(E5293,#REF!,1,FALSE())),"?TYPE_IDENTIFIABLE","?REFERENTIAL"),"_")))))</f>
        <v/>
      </c>
      <c r="H5293" s="27" t="str">
        <f aca="false">IF(J5293&lt;&gt;1,"",IF(I5293="SBJ","CB","?"))</f>
        <v/>
      </c>
      <c r="I5293" s="24" t="str">
        <f aca="false">IF(OR(E5293="",E5293="!!!",F5293="NEW"),"",INDEX(B7:B$5287,-1+SUMPRODUCT(MAX(ROW(E7:E$5287)*(E5293=E7:E$5287)))))</f>
        <v/>
      </c>
      <c r="J5293" s="24" t="str">
        <f aca="true">IF(OR(E5293="",E5293="!!!",F5293="NEW"),"",COUNTBLANK(OFFSET(A$1,,,SUMPRODUCT(MAX(ROW(E$2:E5293)*(E5293=E$2:E5293)))))-COUNTBLANK(OFFSET(A$1,,,SUMPRODUCT(MAX(ROW(E$1:E5292)*(E2=E$1:E5292))))))</f>
        <v/>
      </c>
      <c r="K5293" s="24" t="str">
        <f aca="false">IF(OR(E5293="",E5293="!!!",F5293="NEW"),"",INDEX(J$1:J5292,SUMPRODUCT(MAX(ROW(E$1:E5292)*(E5293=E$1:E5292)))))</f>
        <v/>
      </c>
      <c r="L5293" s="31"/>
    </row>
    <row r="5294" customFormat="false" ht="15" hidden="false" customHeight="false" outlineLevel="0" collapsed="false">
      <c r="A5294" s="20" t="s">
        <v>1168</v>
      </c>
      <c r="E5294" s="23" t="str">
        <f aca="false">IF(D5294="?OLD","!!!","")</f>
        <v/>
      </c>
      <c r="F5294" s="25" t="str">
        <f aca="false">IF(OR(E5294="",E5294="!!!"),"",IF(NOT(ISNA(VLOOKUP(E5294,E$1:E5293,1,FALSE()))),"OLD",IF(AND(E5294&lt;&gt;"",E5294&lt;&gt;"!!!"),"NEW","")))</f>
        <v/>
      </c>
      <c r="G5294" s="26" t="str">
        <f aca="false">IF(OR(E5294="",E5294="!!!"),"",IF(OR(J5294=0,AND(J5294=1,K5294=1),AND(J5294=1,I5294="SBJ"),AND(J5294=1,I5294=0)),"?IN_FOCUS",IF(J5294&lt;=2,"?ACTIVATED",IF(J5294&lt;&gt;"","?FAMILIAR",IF(F5294="NEW",IF(ISNA(VLOOKUP(E5294,#REF!,1,FALSE())),"?TYPE_IDENTIFIABLE","?REFERENTIAL"),"_")))))</f>
        <v/>
      </c>
      <c r="H5294" s="27" t="str">
        <f aca="false">IF(J5294&lt;&gt;1,"",IF(I5294="SBJ","CB","?"))</f>
        <v/>
      </c>
      <c r="I5294" s="24" t="str">
        <f aca="false">IF(OR(E5294="",E5294="!!!",F5294="NEW"),"",INDEX(B8:B$5287,-1+SUMPRODUCT(MAX(ROW(E8:E$5287)*(E5294=E8:E$5287)))))</f>
        <v/>
      </c>
      <c r="J5294" s="24" t="str">
        <f aca="true">IF(OR(E5294="",E5294="!!!",F5294="NEW"),"",COUNTBLANK(OFFSET(A$1,,,SUMPRODUCT(MAX(ROW(E$2:E5294)*(E5294=E$2:E5294)))))-COUNTBLANK(OFFSET(A$1,,,SUMPRODUCT(MAX(ROW(E$1:E5293)*(E2=E$1:E5293))))))</f>
        <v/>
      </c>
      <c r="K5294" s="24" t="str">
        <f aca="false">IF(OR(E5294="",E5294="!!!",F5294="NEW"),"",INDEX(J$1:J5293,SUMPRODUCT(MAX(ROW(E$1:E5293)*(E5294=E$1:E5293)))))</f>
        <v/>
      </c>
      <c r="L5294" s="31"/>
    </row>
    <row r="5295" customFormat="false" ht="15" hidden="false" customHeight="false" outlineLevel="0" collapsed="false">
      <c r="A5295" s="20" t="s">
        <v>1090</v>
      </c>
      <c r="B5295" s="22" t="s">
        <v>1086</v>
      </c>
      <c r="C5295" s="22" t="s">
        <v>1082</v>
      </c>
      <c r="D5295" s="22" t="s">
        <v>1060</v>
      </c>
      <c r="E5295" s="23" t="str">
        <f aca="false">IF(D5295="?OLD","!!!","")</f>
        <v>!!!</v>
      </c>
      <c r="F5295" s="25" t="str">
        <f aca="false">IF(OR(E5295="",E5295="!!!"),"",IF(NOT(ISNA(VLOOKUP(E5295,E$1:E5294,1,FALSE()))),"OLD",IF(AND(E5295&lt;&gt;"",E5295&lt;&gt;"!!!"),"NEW","")))</f>
        <v/>
      </c>
      <c r="G5295" s="26" t="str">
        <f aca="false">IF(OR(E5295="",E5295="!!!"),"",IF(OR(J5295=0,AND(J5295=1,K5295=1),AND(J5295=1,I5295="SBJ"),AND(J5295=1,I5295=0)),"?IN_FOCUS",IF(J5295&lt;=2,"?ACTIVATED",IF(J5295&lt;&gt;"","?FAMILIAR",IF(F5295="NEW",IF(ISNA(VLOOKUP(E5295,#REF!,1,FALSE())),"?TYPE_IDENTIFIABLE","?REFERENTIAL"),"_")))))</f>
        <v/>
      </c>
      <c r="H5295" s="27" t="str">
        <f aca="false">IF(J5295&lt;&gt;1,"",IF(I5295="SBJ","CB","?"))</f>
        <v/>
      </c>
      <c r="I5295" s="24" t="str">
        <f aca="false">IF(OR(E5295="",E5295="!!!",F5295="NEW"),"",INDEX(B9:B$5287,-1+SUMPRODUCT(MAX(ROW(E9:E$5287)*(E5295=E9:E$5287)))))</f>
        <v/>
      </c>
      <c r="J5295" s="24" t="str">
        <f aca="true">IF(OR(E5295="",E5295="!!!",F5295="NEW"),"",COUNTBLANK(OFFSET(A$1,,,SUMPRODUCT(MAX(ROW(E$2:E5295)*(E5295=E$2:E5295)))))-COUNTBLANK(OFFSET(A$1,,,SUMPRODUCT(MAX(ROW(E$1:E5294)*(E2=E$1:E5294))))))</f>
        <v/>
      </c>
      <c r="K5295" s="24" t="str">
        <f aca="false">IF(OR(E5295="",E5295="!!!",F5295="NEW"),"",INDEX(J$1:J5294,SUMPRODUCT(MAX(ROW(E$1:E5294)*(E5295=E$1:E5294)))))</f>
        <v/>
      </c>
      <c r="L5295" s="31"/>
    </row>
    <row r="5296" customFormat="false" ht="15" hidden="false" customHeight="false" outlineLevel="0" collapsed="false">
      <c r="A5296" s="20" t="s">
        <v>1198</v>
      </c>
      <c r="E5296" s="23" t="str">
        <f aca="false">IF(D5296="?OLD","!!!","")</f>
        <v/>
      </c>
      <c r="F5296" s="25" t="str">
        <f aca="false">IF(OR(E5296="",E5296="!!!"),"",IF(NOT(ISNA(VLOOKUP(E5296,E$1:E5295,1,FALSE()))),"OLD",IF(AND(E5296&lt;&gt;"",E5296&lt;&gt;"!!!"),"NEW","")))</f>
        <v/>
      </c>
      <c r="G5296" s="26" t="str">
        <f aca="false">IF(OR(E5296="",E5296="!!!"),"",IF(OR(J5296=0,AND(J5296=1,K5296=1),AND(J5296=1,I5296="SBJ"),AND(J5296=1,I5296=0)),"?IN_FOCUS",IF(J5296&lt;=2,"?ACTIVATED",IF(J5296&lt;&gt;"","?FAMILIAR",IF(F5296="NEW",IF(ISNA(VLOOKUP(E5296,#REF!,1,FALSE())),"?TYPE_IDENTIFIABLE","?REFERENTIAL"),"_")))))</f>
        <v/>
      </c>
      <c r="H5296" s="27" t="str">
        <f aca="false">IF(J5296&lt;&gt;1,"",IF(I5296="SBJ","CB","?"))</f>
        <v/>
      </c>
      <c r="I5296" s="24" t="str">
        <f aca="false">IF(OR(E5296="",E5296="!!!",F5296="NEW"),"",INDEX(B10:B$5287,-1+SUMPRODUCT(MAX(ROW(E10:E$5287)*(E5296=E10:E$5287)))))</f>
        <v/>
      </c>
      <c r="J5296" s="24" t="str">
        <f aca="true">IF(OR(E5296="",E5296="!!!",F5296="NEW"),"",COUNTBLANK(OFFSET(A$1,,,SUMPRODUCT(MAX(ROW(E$2:E5296)*(E5296=E$2:E5296)))))-COUNTBLANK(OFFSET(A$1,,,SUMPRODUCT(MAX(ROW(E$1:E5295)*(E2=E$1:E5295))))))</f>
        <v/>
      </c>
      <c r="K5296" s="24" t="str">
        <f aca="false">IF(OR(E5296="",E5296="!!!",F5296="NEW"),"",INDEX(J$1:J5295,SUMPRODUCT(MAX(ROW(E$1:E5295)*(E5296=E$1:E5295)))))</f>
        <v/>
      </c>
      <c r="L5296" s="31"/>
    </row>
    <row r="5297" customFormat="false" ht="15" hidden="false" customHeight="false" outlineLevel="0" collapsed="false">
      <c r="A5297" s="20" t="s">
        <v>1279</v>
      </c>
      <c r="E5297" s="23" t="str">
        <f aca="false">IF(D5297="?OLD","!!!","")</f>
        <v/>
      </c>
      <c r="F5297" s="25" t="str">
        <f aca="false">IF(OR(E5297="",E5297="!!!"),"",IF(NOT(ISNA(VLOOKUP(E5297,E$1:E5296,1,FALSE()))),"OLD",IF(AND(E5297&lt;&gt;"",E5297&lt;&gt;"!!!"),"NEW","")))</f>
        <v/>
      </c>
      <c r="G5297" s="26" t="str">
        <f aca="false">IF(OR(E5297="",E5297="!!!"),"",IF(OR(J5297=0,AND(J5297=1,K5297=1),AND(J5297=1,I5297="SBJ"),AND(J5297=1,I5297=0)),"?IN_FOCUS",IF(J5297&lt;=2,"?ACTIVATED",IF(J5297&lt;&gt;"","?FAMILIAR",IF(F5297="NEW",IF(ISNA(VLOOKUP(E5297,#REF!,1,FALSE())),"?TYPE_IDENTIFIABLE","?REFERENTIAL"),"_")))))</f>
        <v/>
      </c>
      <c r="H5297" s="27" t="str">
        <f aca="false">IF(J5297&lt;&gt;1,"",IF(I5297="SBJ","CB","?"))</f>
        <v/>
      </c>
      <c r="I5297" s="24" t="str">
        <f aca="false">IF(OR(E5297="",E5297="!!!",F5297="NEW"),"",INDEX(B11:B$5287,-1+SUMPRODUCT(MAX(ROW(E11:E$5287)*(E5297=E11:E$5287)))))</f>
        <v/>
      </c>
      <c r="J5297" s="24" t="str">
        <f aca="true">IF(OR(E5297="",E5297="!!!",F5297="NEW"),"",COUNTBLANK(OFFSET(A$1,,,SUMPRODUCT(MAX(ROW(E$2:E5297)*(E5297=E$2:E5297)))))-COUNTBLANK(OFFSET(A$1,,,SUMPRODUCT(MAX(ROW(E$1:E5296)*(E2=E$1:E5296))))))</f>
        <v/>
      </c>
      <c r="K5297" s="24" t="str">
        <f aca="false">IF(OR(E5297="",E5297="!!!",F5297="NEW"),"",INDEX(J$1:J5296,SUMPRODUCT(MAX(ROW(E$1:E5296)*(E5297=E$1:E5296)))))</f>
        <v/>
      </c>
      <c r="L5297" s="31"/>
    </row>
    <row r="5298" customFormat="false" ht="15" hidden="false" customHeight="false" outlineLevel="0" collapsed="false">
      <c r="A5298" s="20" t="s">
        <v>2569</v>
      </c>
      <c r="E5298" s="23" t="str">
        <f aca="false">IF(D5298="?OLD","!!!","")</f>
        <v/>
      </c>
      <c r="F5298" s="25" t="str">
        <f aca="false">IF(OR(E5298="",E5298="!!!"),"",IF(NOT(ISNA(VLOOKUP(E5298,E$1:E5297,1,FALSE()))),"OLD",IF(AND(E5298&lt;&gt;"",E5298&lt;&gt;"!!!"),"NEW","")))</f>
        <v/>
      </c>
      <c r="G5298" s="26" t="str">
        <f aca="false">IF(OR(E5298="",E5298="!!!"),"",IF(OR(J5298=0,AND(J5298=1,K5298=1),AND(J5298=1,I5298="SBJ"),AND(J5298=1,I5298=0)),"?IN_FOCUS",IF(J5298&lt;=2,"?ACTIVATED",IF(J5298&lt;&gt;"","?FAMILIAR",IF(F5298="NEW",IF(ISNA(VLOOKUP(E5298,#REF!,1,FALSE())),"?TYPE_IDENTIFIABLE","?REFERENTIAL"),"_")))))</f>
        <v/>
      </c>
      <c r="H5298" s="27" t="str">
        <f aca="false">IF(J5298&lt;&gt;1,"",IF(I5298="SBJ","CB","?"))</f>
        <v/>
      </c>
      <c r="I5298" s="24" t="str">
        <f aca="false">IF(OR(E5298="",E5298="!!!",F5298="NEW"),"",INDEX(B12:B$5287,-1+SUMPRODUCT(MAX(ROW(E12:E$5287)*(E5298=E12:E$5287)))))</f>
        <v/>
      </c>
      <c r="J5298" s="24" t="str">
        <f aca="true">IF(OR(E5298="",E5298="!!!",F5298="NEW"),"",COUNTBLANK(OFFSET(A$1,,,SUMPRODUCT(MAX(ROW(E$2:E5298)*(E5298=E$2:E5298)))))-COUNTBLANK(OFFSET(A$1,,,SUMPRODUCT(MAX(ROW(E$1:E5297)*(E2=E$1:E5297))))))</f>
        <v/>
      </c>
      <c r="K5298" s="24" t="str">
        <f aca="false">IF(OR(E5298="",E5298="!!!",F5298="NEW"),"",INDEX(J$1:J5297,SUMPRODUCT(MAX(ROW(E$1:E5297)*(E5298=E$1:E5297)))))</f>
        <v/>
      </c>
      <c r="L5298" s="31"/>
    </row>
    <row r="5299" customFormat="false" ht="15" hidden="false" customHeight="false" outlineLevel="0" collapsed="false">
      <c r="A5299" s="20" t="s">
        <v>1080</v>
      </c>
      <c r="B5299" s="22" t="s">
        <v>1142</v>
      </c>
      <c r="C5299" s="22" t="s">
        <v>1082</v>
      </c>
      <c r="D5299" s="22" t="s">
        <v>1060</v>
      </c>
      <c r="E5299" s="23" t="str">
        <f aca="false">IF(D5299="?OLD","!!!","")</f>
        <v>!!!</v>
      </c>
      <c r="F5299" s="25" t="str">
        <f aca="false">IF(OR(E5299="",E5299="!!!"),"",IF(NOT(ISNA(VLOOKUP(E5299,E$1:E5298,1,FALSE()))),"OLD",IF(AND(E5299&lt;&gt;"",E5299&lt;&gt;"!!!"),"NEW","")))</f>
        <v/>
      </c>
      <c r="G5299" s="26" t="str">
        <f aca="false">IF(OR(E5299="",E5299="!!!"),"",IF(OR(J5299=0,AND(J5299=1,K5299=1),AND(J5299=1,I5299="SBJ"),AND(J5299=1,I5299=0)),"?IN_FOCUS",IF(J5299&lt;=2,"?ACTIVATED",IF(J5299&lt;&gt;"","?FAMILIAR",IF(F5299="NEW",IF(ISNA(VLOOKUP(E5299,#REF!,1,FALSE())),"?TYPE_IDENTIFIABLE","?REFERENTIAL"),"_")))))</f>
        <v/>
      </c>
      <c r="H5299" s="27" t="str">
        <f aca="false">IF(J5299&lt;&gt;1,"",IF(I5299="SBJ","CB","?"))</f>
        <v/>
      </c>
      <c r="I5299" s="24" t="str">
        <f aca="false">IF(OR(E5299="",E5299="!!!",F5299="NEW"),"",INDEX(B13:B$5287,-1+SUMPRODUCT(MAX(ROW(E13:E$5287)*(E5299=E13:E$5287)))))</f>
        <v/>
      </c>
      <c r="J5299" s="24" t="str">
        <f aca="true">IF(OR(E5299="",E5299="!!!",F5299="NEW"),"",COUNTBLANK(OFFSET(A$1,,,SUMPRODUCT(MAX(ROW(E$2:E5299)*(E5299=E$2:E5299)))))-COUNTBLANK(OFFSET(A$1,,,SUMPRODUCT(MAX(ROW(E$1:E5298)*(E2=E$1:E5298))))))</f>
        <v/>
      </c>
      <c r="K5299" s="24" t="str">
        <f aca="false">IF(OR(E5299="",E5299="!!!",F5299="NEW"),"",INDEX(J$1:J5298,SUMPRODUCT(MAX(ROW(E$1:E5298)*(E5299=E$1:E5298)))))</f>
        <v/>
      </c>
      <c r="L5299" s="31"/>
    </row>
    <row r="5300" customFormat="false" ht="15" hidden="false" customHeight="false" outlineLevel="0" collapsed="false">
      <c r="A5300" s="20" t="s">
        <v>1469</v>
      </c>
      <c r="E5300" s="23" t="str">
        <f aca="false">IF(D5300="?OLD","!!!","")</f>
        <v/>
      </c>
      <c r="F5300" s="25" t="str">
        <f aca="false">IF(OR(E5300="",E5300="!!!"),"",IF(NOT(ISNA(VLOOKUP(E5300,E$1:E5299,1,FALSE()))),"OLD",IF(AND(E5300&lt;&gt;"",E5300&lt;&gt;"!!!"),"NEW","")))</f>
        <v/>
      </c>
      <c r="G5300" s="26" t="str">
        <f aca="false">IF(OR(E5300="",E5300="!!!"),"",IF(OR(J5300=0,AND(J5300=1,K5300=1),AND(J5300=1,I5300="SBJ"),AND(J5300=1,I5300=0)),"?IN_FOCUS",IF(J5300&lt;=2,"?ACTIVATED",IF(J5300&lt;&gt;"","?FAMILIAR",IF(F5300="NEW",IF(ISNA(VLOOKUP(E5300,#REF!,1,FALSE())),"?TYPE_IDENTIFIABLE","?REFERENTIAL"),"_")))))</f>
        <v/>
      </c>
      <c r="H5300" s="27" t="str">
        <f aca="false">IF(J5300&lt;&gt;1,"",IF(I5300="SBJ","CB","?"))</f>
        <v/>
      </c>
      <c r="I5300" s="24" t="str">
        <f aca="false">IF(OR(E5300="",E5300="!!!",F5300="NEW"),"",INDEX(B14:B$5287,-1+SUMPRODUCT(MAX(ROW(E14:E$5287)*(E5300=E14:E$5287)))))</f>
        <v/>
      </c>
      <c r="J5300" s="24" t="str">
        <f aca="true">IF(OR(E5300="",E5300="!!!",F5300="NEW"),"",COUNTBLANK(OFFSET(A$1,,,SUMPRODUCT(MAX(ROW(E$2:E5300)*(E5300=E$2:E5300)))))-COUNTBLANK(OFFSET(A$1,,,SUMPRODUCT(MAX(ROW(E$1:E5299)*(E2=E$1:E5299))))))</f>
        <v/>
      </c>
      <c r="K5300" s="24" t="str">
        <f aca="false">IF(OR(E5300="",E5300="!!!",F5300="NEW"),"",INDEX(J$1:J5299,SUMPRODUCT(MAX(ROW(E$1:E5299)*(E5300=E$1:E5299)))))</f>
        <v/>
      </c>
      <c r="L5300" s="31"/>
    </row>
    <row r="5301" customFormat="false" ht="15" hidden="false" customHeight="false" outlineLevel="0" collapsed="false">
      <c r="A5301" s="20" t="s">
        <v>2570</v>
      </c>
      <c r="B5301" s="22" t="s">
        <v>1142</v>
      </c>
      <c r="C5301" s="22" t="s">
        <v>1160</v>
      </c>
      <c r="E5301" s="23" t="str">
        <f aca="false">IF(D5301="?OLD","!!!","")</f>
        <v/>
      </c>
      <c r="F5301" s="25" t="str">
        <f aca="false">IF(OR(E5301="",E5301="!!!"),"",IF(NOT(ISNA(VLOOKUP(E5301,E$1:E5300,1,FALSE()))),"OLD",IF(AND(E5301&lt;&gt;"",E5301&lt;&gt;"!!!"),"NEW","")))</f>
        <v/>
      </c>
      <c r="G5301" s="26" t="str">
        <f aca="false">IF(OR(E5301="",E5301="!!!"),"",IF(OR(J5301=0,AND(J5301=1,K5301=1),AND(J5301=1,I5301="SBJ"),AND(J5301=1,I5301=0)),"?IN_FOCUS",IF(J5301&lt;=2,"?ACTIVATED",IF(J5301&lt;&gt;"","?FAMILIAR",IF(F5301="NEW",IF(ISNA(VLOOKUP(E5301,#REF!,1,FALSE())),"?TYPE_IDENTIFIABLE","?REFERENTIAL"),"_")))))</f>
        <v/>
      </c>
      <c r="H5301" s="27" t="str">
        <f aca="false">IF(J5301&lt;&gt;1,"",IF(I5301="SBJ","CB","?"))</f>
        <v/>
      </c>
      <c r="I5301" s="24" t="str">
        <f aca="false">IF(OR(E5301="",E5301="!!!",F5301="NEW"),"",INDEX(B15:B$5287,-1+SUMPRODUCT(MAX(ROW(E15:E$5287)*(E5301=E15:E$5287)))))</f>
        <v/>
      </c>
      <c r="J5301" s="24" t="str">
        <f aca="true">IF(OR(E5301="",E5301="!!!",F5301="NEW"),"",COUNTBLANK(OFFSET(A$1,,,SUMPRODUCT(MAX(ROW(E$2:E5301)*(E5301=E$2:E5301)))))-COUNTBLANK(OFFSET(A$1,,,SUMPRODUCT(MAX(ROW(E$1:E5300)*(E2=E$1:E5300))))))</f>
        <v/>
      </c>
      <c r="K5301" s="24" t="str">
        <f aca="false">IF(OR(E5301="",E5301="!!!",F5301="NEW"),"",INDEX(J$1:J5300,SUMPRODUCT(MAX(ROW(E$1:E5300)*(E5301=E$1:E5300)))))</f>
        <v/>
      </c>
      <c r="L5301" s="31"/>
    </row>
    <row r="5302" customFormat="false" ht="15" hidden="false" customHeight="false" outlineLevel="0" collapsed="false">
      <c r="A5302" s="20" t="s">
        <v>1076</v>
      </c>
      <c r="E5302" s="23" t="str">
        <f aca="false">IF(D5302="?OLD","!!!","")</f>
        <v/>
      </c>
      <c r="F5302" s="25" t="str">
        <f aca="false">IF(OR(E5302="",E5302="!!!"),"",IF(NOT(ISNA(VLOOKUP(E5302,E$1:E5301,1,FALSE()))),"OLD",IF(AND(E5302&lt;&gt;"",E5302&lt;&gt;"!!!"),"NEW","")))</f>
        <v/>
      </c>
      <c r="G5302" s="26" t="str">
        <f aca="false">IF(OR(E5302="",E5302="!!!"),"",IF(OR(J5302=0,AND(J5302=1,K5302=1),AND(J5302=1,I5302="SBJ"),AND(J5302=1,I5302=0)),"?IN_FOCUS",IF(J5302&lt;=2,"?ACTIVATED",IF(J5302&lt;&gt;"","?FAMILIAR",IF(F5302="NEW",IF(ISNA(VLOOKUP(E5302,#REF!,1,FALSE())),"?TYPE_IDENTIFIABLE","?REFERENTIAL"),"_")))))</f>
        <v/>
      </c>
      <c r="H5302" s="27" t="str">
        <f aca="false">IF(J5302&lt;&gt;1,"",IF(I5302="SBJ","CB","?"))</f>
        <v/>
      </c>
      <c r="I5302" s="24" t="str">
        <f aca="false">IF(OR(E5302="",E5302="!!!",F5302="NEW"),"",INDEX(B16:B$5287,-1+SUMPRODUCT(MAX(ROW(E16:E$5287)*(E5302=E16:E$5287)))))</f>
        <v/>
      </c>
      <c r="J5302" s="24" t="str">
        <f aca="true">IF(OR(E5302="",E5302="!!!",F5302="NEW"),"",COUNTBLANK(OFFSET(A$1,,,SUMPRODUCT(MAX(ROW(E$2:E5302)*(E5302=E$2:E5302)))))-COUNTBLANK(OFFSET(A$1,,,SUMPRODUCT(MAX(ROW(E$1:E5301)*(E2=E$1:E5301))))))</f>
        <v/>
      </c>
      <c r="K5302" s="24" t="str">
        <f aca="false">IF(OR(E5302="",E5302="!!!",F5302="NEW"),"",INDEX(J$1:J5301,SUMPRODUCT(MAX(ROW(E$1:E5301)*(E5302=E$1:E5301)))))</f>
        <v/>
      </c>
      <c r="L5302" s="31"/>
    </row>
    <row r="5303" customFormat="false" ht="15" hidden="false" customHeight="false" outlineLevel="0" collapsed="false">
      <c r="A5303" s="20" t="s">
        <v>1128</v>
      </c>
      <c r="E5303" s="23" t="str">
        <f aca="false">IF(D5303="?OLD","!!!","")</f>
        <v/>
      </c>
      <c r="F5303" s="25" t="str">
        <f aca="false">IF(OR(E5303="",E5303="!!!"),"",IF(NOT(ISNA(VLOOKUP(E5303,E$1:E5302,1,FALSE()))),"OLD",IF(AND(E5303&lt;&gt;"",E5303&lt;&gt;"!!!"),"NEW","")))</f>
        <v/>
      </c>
      <c r="G5303" s="26" t="str">
        <f aca="false">IF(OR(E5303="",E5303="!!!"),"",IF(OR(J5303=0,AND(J5303=1,K5303=1),AND(J5303=1,I5303="SBJ"),AND(J5303=1,I5303=0)),"?IN_FOCUS",IF(J5303&lt;=2,"?ACTIVATED",IF(J5303&lt;&gt;"","?FAMILIAR",IF(F5303="NEW",IF(ISNA(VLOOKUP(E5303,#REF!,1,FALSE())),"?TYPE_IDENTIFIABLE","?REFERENTIAL"),"_")))))</f>
        <v/>
      </c>
      <c r="H5303" s="27" t="str">
        <f aca="false">IF(J5303&lt;&gt;1,"",IF(I5303="SBJ","CB","?"))</f>
        <v/>
      </c>
      <c r="I5303" s="24" t="str">
        <f aca="false">IF(OR(E5303="",E5303="!!!",F5303="NEW"),"",INDEX(B17:B$5287,-1+SUMPRODUCT(MAX(ROW(E17:E$5287)*(E5303=E17:E$5287)))))</f>
        <v/>
      </c>
      <c r="J5303" s="24" t="str">
        <f aca="true">IF(OR(E5303="",E5303="!!!",F5303="NEW"),"",COUNTBLANK(OFFSET(A$1,,,SUMPRODUCT(MAX(ROW(E$2:E5303)*(E5303=E$2:E5303)))))-COUNTBLANK(OFFSET(A$1,,,SUMPRODUCT(MAX(ROW(E$1:E5302)*(E2=E$1:E5302))))))</f>
        <v/>
      </c>
      <c r="K5303" s="24" t="str">
        <f aca="false">IF(OR(E5303="",E5303="!!!",F5303="NEW"),"",INDEX(J$1:J5302,SUMPRODUCT(MAX(ROW(E$1:E5302)*(E5303=E$1:E5302)))))</f>
        <v/>
      </c>
      <c r="L5303" s="31"/>
    </row>
    <row r="5304" customFormat="false" ht="15" hidden="false" customHeight="false" outlineLevel="0" collapsed="false">
      <c r="A5304" s="20" t="s">
        <v>2571</v>
      </c>
      <c r="E5304" s="23" t="str">
        <f aca="false">IF(D5304="?OLD","!!!","")</f>
        <v/>
      </c>
      <c r="F5304" s="25" t="str">
        <f aca="false">IF(OR(E5304="",E5304="!!!"),"",IF(NOT(ISNA(VLOOKUP(E5304,E$1:E5303,1,FALSE()))),"OLD",IF(AND(E5304&lt;&gt;"",E5304&lt;&gt;"!!!"),"NEW","")))</f>
        <v/>
      </c>
      <c r="G5304" s="26" t="str">
        <f aca="false">IF(OR(E5304="",E5304="!!!"),"",IF(OR(J5304=0,AND(J5304=1,K5304=1),AND(J5304=1,I5304="SBJ"),AND(J5304=1,I5304=0)),"?IN_FOCUS",IF(J5304&lt;=2,"?ACTIVATED",IF(J5304&lt;&gt;"","?FAMILIAR",IF(F5304="NEW",IF(ISNA(VLOOKUP(E5304,#REF!,1,FALSE())),"?TYPE_IDENTIFIABLE","?REFERENTIAL"),"_")))))</f>
        <v/>
      </c>
      <c r="H5304" s="27" t="str">
        <f aca="false">IF(J5304&lt;&gt;1,"",IF(I5304="SBJ","CB","?"))</f>
        <v/>
      </c>
      <c r="I5304" s="24" t="str">
        <f aca="false">IF(OR(E5304="",E5304="!!!",F5304="NEW"),"",INDEX(B18:B$5287,-1+SUMPRODUCT(MAX(ROW(E18:E$5287)*(E5304=E18:E$5287)))))</f>
        <v/>
      </c>
      <c r="J5304" s="24" t="str">
        <f aca="true">IF(OR(E5304="",E5304="!!!",F5304="NEW"),"",COUNTBLANK(OFFSET(A$1,,,SUMPRODUCT(MAX(ROW(E$2:E5304)*(E5304=E$2:E5304)))))-COUNTBLANK(OFFSET(A$1,,,SUMPRODUCT(MAX(ROW(E$1:E5303)*(E2=E$1:E5303))))))</f>
        <v/>
      </c>
      <c r="K5304" s="24" t="str">
        <f aca="false">IF(OR(E5304="",E5304="!!!",F5304="NEW"),"",INDEX(J$1:J5303,SUMPRODUCT(MAX(ROW(E$1:E5303)*(E5304=E$1:E5303)))))</f>
        <v/>
      </c>
      <c r="L5304" s="31"/>
    </row>
    <row r="5305" customFormat="false" ht="15" hidden="false" customHeight="false" outlineLevel="0" collapsed="false">
      <c r="A5305" s="20" t="s">
        <v>1116</v>
      </c>
      <c r="E5305" s="23" t="str">
        <f aca="false">IF(D5305="?OLD","!!!","")</f>
        <v/>
      </c>
      <c r="F5305" s="25" t="str">
        <f aca="false">IF(OR(E5305="",E5305="!!!"),"",IF(NOT(ISNA(VLOOKUP(E5305,E$1:E5304,1,FALSE()))),"OLD",IF(AND(E5305&lt;&gt;"",E5305&lt;&gt;"!!!"),"NEW","")))</f>
        <v/>
      </c>
      <c r="G5305" s="26" t="str">
        <f aca="false">IF(OR(E5305="",E5305="!!!"),"",IF(OR(J5305=0,AND(J5305=1,K5305=1),AND(J5305=1,I5305="SBJ"),AND(J5305=1,I5305=0)),"?IN_FOCUS",IF(J5305&lt;=2,"?ACTIVATED",IF(J5305&lt;&gt;"","?FAMILIAR",IF(F5305="NEW",IF(ISNA(VLOOKUP(E5305,#REF!,1,FALSE())),"?TYPE_IDENTIFIABLE","?REFERENTIAL"),"_")))))</f>
        <v/>
      </c>
      <c r="H5305" s="27" t="str">
        <f aca="false">IF(J5305&lt;&gt;1,"",IF(I5305="SBJ","CB","?"))</f>
        <v/>
      </c>
      <c r="I5305" s="24" t="str">
        <f aca="false">IF(OR(E5305="",E5305="!!!",F5305="NEW"),"",INDEX(B19:B$5287,-1+SUMPRODUCT(MAX(ROW(E19:E$5287)*(E5305=E19:E$5287)))))</f>
        <v/>
      </c>
      <c r="J5305" s="24" t="str">
        <f aca="true">IF(OR(E5305="",E5305="!!!",F5305="NEW"),"",COUNTBLANK(OFFSET(A$1,,,SUMPRODUCT(MAX(ROW(E$2:E5305)*(E5305=E$2:E5305)))))-COUNTBLANK(OFFSET(A$1,,,SUMPRODUCT(MAX(ROW(E$1:E5304)*(E2=E$1:E5304))))))</f>
        <v/>
      </c>
      <c r="K5305" s="24" t="str">
        <f aca="false">IF(OR(E5305="",E5305="!!!",F5305="NEW"),"",INDEX(J$1:J5304,SUMPRODUCT(MAX(ROW(E$1:E5304)*(E5305=E$1:E5304)))))</f>
        <v/>
      </c>
      <c r="L5305" s="31"/>
    </row>
    <row r="5306" customFormat="false" ht="15" hidden="false" customHeight="false" outlineLevel="0" collapsed="false">
      <c r="A5306" s="20" t="s">
        <v>1130</v>
      </c>
      <c r="E5306" s="23" t="str">
        <f aca="false">IF(D5306="?OLD","!!!","")</f>
        <v/>
      </c>
      <c r="F5306" s="25" t="str">
        <f aca="false">IF(OR(E5306="",E5306="!!!"),"",IF(NOT(ISNA(VLOOKUP(E5306,E$1:E5305,1,FALSE()))),"OLD",IF(AND(E5306&lt;&gt;"",E5306&lt;&gt;"!!!"),"NEW","")))</f>
        <v/>
      </c>
      <c r="G5306" s="26" t="str">
        <f aca="false">IF(OR(E5306="",E5306="!!!"),"",IF(OR(J5306=0,AND(J5306=1,K5306=1),AND(J5306=1,I5306="SBJ"),AND(J5306=1,I5306=0)),"?IN_FOCUS",IF(J5306&lt;=2,"?ACTIVATED",IF(J5306&lt;&gt;"","?FAMILIAR",IF(F5306="NEW",IF(ISNA(VLOOKUP(E5306,#REF!,1,FALSE())),"?TYPE_IDENTIFIABLE","?REFERENTIAL"),"_")))))</f>
        <v/>
      </c>
      <c r="H5306" s="27" t="str">
        <f aca="false">IF(J5306&lt;&gt;1,"",IF(I5306="SBJ","CB","?"))</f>
        <v/>
      </c>
      <c r="I5306" s="24" t="str">
        <f aca="false">IF(OR(E5306="",E5306="!!!",F5306="NEW"),"",INDEX(B20:B$5287,-1+SUMPRODUCT(MAX(ROW(E20:E$5287)*(E5306=E20:E$5287)))))</f>
        <v/>
      </c>
      <c r="J5306" s="24" t="str">
        <f aca="true">IF(OR(E5306="",E5306="!!!",F5306="NEW"),"",COUNTBLANK(OFFSET(A$1,,,SUMPRODUCT(MAX(ROW(E$2:E5306)*(E5306=E$2:E5306)))))-COUNTBLANK(OFFSET(A$1,,,SUMPRODUCT(MAX(ROW(E$1:E5305)*(E2=E$1:E5305))))))</f>
        <v/>
      </c>
      <c r="K5306" s="24" t="str">
        <f aca="false">IF(OR(E5306="",E5306="!!!",F5306="NEW"),"",INDEX(J$1:J5305,SUMPRODUCT(MAX(ROW(E$1:E5305)*(E5306=E$1:E5305)))))</f>
        <v/>
      </c>
      <c r="L5306" s="31"/>
    </row>
    <row r="5307" customFormat="false" ht="15" hidden="false" customHeight="false" outlineLevel="0" collapsed="false">
      <c r="A5307" s="20" t="s">
        <v>2572</v>
      </c>
      <c r="B5307" s="22" t="s">
        <v>1359</v>
      </c>
      <c r="C5307" s="22" t="s">
        <v>1171</v>
      </c>
      <c r="D5307" s="22" t="s">
        <v>1060</v>
      </c>
      <c r="E5307" s="23" t="str">
        <f aca="false">IF(D5307="?OLD","!!!","")</f>
        <v>!!!</v>
      </c>
      <c r="F5307" s="25" t="str">
        <f aca="false">IF(OR(E5307="",E5307="!!!"),"",IF(NOT(ISNA(VLOOKUP(E5307,E$1:E5306,1,FALSE()))),"OLD",IF(AND(E5307&lt;&gt;"",E5307&lt;&gt;"!!!"),"NEW","")))</f>
        <v/>
      </c>
      <c r="G5307" s="26" t="str">
        <f aca="false">IF(OR(E5307="",E5307="!!!"),"",IF(OR(J5307=0,AND(J5307=1,K5307=1),AND(J5307=1,I5307="SBJ"),AND(J5307=1,I5307=0)),"?IN_FOCUS",IF(J5307&lt;=2,"?ACTIVATED",IF(J5307&lt;&gt;"","?FAMILIAR",IF(F5307="NEW",IF(ISNA(VLOOKUP(E5307,#REF!,1,FALSE())),"?TYPE_IDENTIFIABLE","?REFERENTIAL"),"_")))))</f>
        <v/>
      </c>
      <c r="H5307" s="27" t="str">
        <f aca="false">IF(J5307&lt;&gt;1,"",IF(I5307="SBJ","CB","?"))</f>
        <v/>
      </c>
      <c r="I5307" s="24" t="str">
        <f aca="false">IF(OR(E5307="",E5307="!!!",F5307="NEW"),"",INDEX(B21:B$5287,-1+SUMPRODUCT(MAX(ROW(E21:E$5287)*(E5307=E21:E$5287)))))</f>
        <v/>
      </c>
      <c r="J5307" s="24" t="str">
        <f aca="true">IF(OR(E5307="",E5307="!!!",F5307="NEW"),"",COUNTBLANK(OFFSET(A$1,,,SUMPRODUCT(MAX(ROW(E$2:E5307)*(E5307=E$2:E5307)))))-COUNTBLANK(OFFSET(A$1,,,SUMPRODUCT(MAX(ROW(E$1:E5306)*(E2=E$1:E5306))))))</f>
        <v/>
      </c>
      <c r="K5307" s="24" t="str">
        <f aca="false">IF(OR(E5307="",E5307="!!!",F5307="NEW"),"",INDEX(J$1:J5306,SUMPRODUCT(MAX(ROW(E$1:E5306)*(E5307=E$1:E5306)))))</f>
        <v/>
      </c>
      <c r="L5307" s="31"/>
    </row>
    <row r="5308" customFormat="false" ht="15" hidden="false" customHeight="false" outlineLevel="0" collapsed="false">
      <c r="A5308" s="20" t="s">
        <v>1125</v>
      </c>
      <c r="B5308" s="22" t="s">
        <v>1134</v>
      </c>
      <c r="E5308" s="23" t="str">
        <f aca="false">IF(D5308="?OLD","!!!","")</f>
        <v/>
      </c>
      <c r="F5308" s="25" t="str">
        <f aca="false">IF(OR(E5308="",E5308="!!!"),"",IF(NOT(ISNA(VLOOKUP(E5308,E$1:E5307,1,FALSE()))),"OLD",IF(AND(E5308&lt;&gt;"",E5308&lt;&gt;"!!!"),"NEW","")))</f>
        <v/>
      </c>
      <c r="G5308" s="26" t="str">
        <f aca="false">IF(OR(E5308="",E5308="!!!"),"",IF(OR(J5308=0,AND(J5308=1,K5308=1),AND(J5308=1,I5308="SBJ"),AND(J5308=1,I5308=0)),"?IN_FOCUS",IF(J5308&lt;=2,"?ACTIVATED",IF(J5308&lt;&gt;"","?FAMILIAR",IF(F5308="NEW",IF(ISNA(VLOOKUP(E5308,#REF!,1,FALSE())),"?TYPE_IDENTIFIABLE","?REFERENTIAL"),"_")))))</f>
        <v/>
      </c>
      <c r="H5308" s="27" t="str">
        <f aca="false">IF(J5308&lt;&gt;1,"",IF(I5308="SBJ","CB","?"))</f>
        <v/>
      </c>
      <c r="I5308" s="24" t="str">
        <f aca="false">IF(OR(E5308="",E5308="!!!",F5308="NEW"),"",INDEX(B22:B$5287,-1+SUMPRODUCT(MAX(ROW(E22:E$5287)*(E5308=E22:E$5287)))))</f>
        <v/>
      </c>
      <c r="J5308" s="24" t="str">
        <f aca="true">IF(OR(E5308="",E5308="!!!",F5308="NEW"),"",COUNTBLANK(OFFSET(A$1,,,SUMPRODUCT(MAX(ROW(E$2:E5308)*(E5308=E$2:E5308)))))-COUNTBLANK(OFFSET(A$1,,,SUMPRODUCT(MAX(ROW(E$1:E5307)*(E2=E$1:E5307))))))</f>
        <v/>
      </c>
      <c r="K5308" s="24" t="str">
        <f aca="false">IF(OR(E5308="",E5308="!!!",F5308="NEW"),"",INDEX(J$1:J5307,SUMPRODUCT(MAX(ROW(E$1:E5307)*(E5308=E$1:E5307)))))</f>
        <v/>
      </c>
      <c r="L5308" s="31"/>
    </row>
    <row r="5309" customFormat="false" ht="15" hidden="false" customHeight="false" outlineLevel="0" collapsed="false">
      <c r="A5309" s="20" t="s">
        <v>1637</v>
      </c>
      <c r="E5309" s="23" t="str">
        <f aca="false">IF(D5309="?OLD","!!!","")</f>
        <v/>
      </c>
      <c r="F5309" s="25" t="str">
        <f aca="false">IF(OR(E5309="",E5309="!!!"),"",IF(NOT(ISNA(VLOOKUP(E5309,E$1:E5308,1,FALSE()))),"OLD",IF(AND(E5309&lt;&gt;"",E5309&lt;&gt;"!!!"),"NEW","")))</f>
        <v/>
      </c>
      <c r="G5309" s="26" t="str">
        <f aca="false">IF(OR(E5309="",E5309="!!!"),"",IF(OR(J5309=0,AND(J5309=1,K5309=1),AND(J5309=1,I5309="SBJ"),AND(J5309=1,I5309=0)),"?IN_FOCUS",IF(J5309&lt;=2,"?ACTIVATED",IF(J5309&lt;&gt;"","?FAMILIAR",IF(F5309="NEW",IF(ISNA(VLOOKUP(E5309,#REF!,1,FALSE())),"?TYPE_IDENTIFIABLE","?REFERENTIAL"),"_")))))</f>
        <v/>
      </c>
      <c r="H5309" s="27" t="str">
        <f aca="false">IF(J5309&lt;&gt;1,"",IF(I5309="SBJ","CB","?"))</f>
        <v/>
      </c>
      <c r="I5309" s="24" t="str">
        <f aca="false">IF(OR(E5309="",E5309="!!!",F5309="NEW"),"",INDEX(B23:B$5287,-1+SUMPRODUCT(MAX(ROW(E23:E$5287)*(E5309=E23:E$5287)))))</f>
        <v/>
      </c>
      <c r="J5309" s="24" t="str">
        <f aca="true">IF(OR(E5309="",E5309="!!!",F5309="NEW"),"",COUNTBLANK(OFFSET(A$1,,,SUMPRODUCT(MAX(ROW(E$2:E5309)*(E5309=E$2:E5309)))))-COUNTBLANK(OFFSET(A$1,,,SUMPRODUCT(MAX(ROW(E$1:E5308)*(E2=E$1:E5308))))))</f>
        <v/>
      </c>
      <c r="K5309" s="24" t="str">
        <f aca="false">IF(OR(E5309="",E5309="!!!",F5309="NEW"),"",INDEX(J$1:J5308,SUMPRODUCT(MAX(ROW(E$1:E5308)*(E5309=E$1:E5308)))))</f>
        <v/>
      </c>
      <c r="L5309" s="31"/>
    </row>
    <row r="5310" customFormat="false" ht="15" hidden="false" customHeight="false" outlineLevel="0" collapsed="false">
      <c r="A5310" s="20" t="s">
        <v>1173</v>
      </c>
      <c r="E5310" s="23" t="str">
        <f aca="false">IF(D5310="?OLD","!!!","")</f>
        <v/>
      </c>
      <c r="F5310" s="25" t="str">
        <f aca="false">IF(OR(E5310="",E5310="!!!"),"",IF(NOT(ISNA(VLOOKUP(E5310,E$1:E5309,1,FALSE()))),"OLD",IF(AND(E5310&lt;&gt;"",E5310&lt;&gt;"!!!"),"NEW","")))</f>
        <v/>
      </c>
      <c r="G5310" s="26" t="str">
        <f aca="false">IF(OR(E5310="",E5310="!!!"),"",IF(OR(J5310=0,AND(J5310=1,K5310=1),AND(J5310=1,I5310="SBJ"),AND(J5310=1,I5310=0)),"?IN_FOCUS",IF(J5310&lt;=2,"?ACTIVATED",IF(J5310&lt;&gt;"","?FAMILIAR",IF(F5310="NEW",IF(ISNA(VLOOKUP(E5310,#REF!,1,FALSE())),"?TYPE_IDENTIFIABLE","?REFERENTIAL"),"_")))))</f>
        <v/>
      </c>
      <c r="H5310" s="27" t="str">
        <f aca="false">IF(J5310&lt;&gt;1,"",IF(I5310="SBJ","CB","?"))</f>
        <v/>
      </c>
      <c r="I5310" s="24" t="str">
        <f aca="false">IF(OR(E5310="",E5310="!!!",F5310="NEW"),"",INDEX(B24:B$5287,-1+SUMPRODUCT(MAX(ROW(E24:E$5287)*(E5310=E24:E$5287)))))</f>
        <v/>
      </c>
      <c r="J5310" s="24" t="str">
        <f aca="true">IF(OR(E5310="",E5310="!!!",F5310="NEW"),"",COUNTBLANK(OFFSET(A$1,,,SUMPRODUCT(MAX(ROW(E$2:E5310)*(E5310=E$2:E5310)))))-COUNTBLANK(OFFSET(A$1,,,SUMPRODUCT(MAX(ROW(E$1:E5309)*(E2=E$1:E5309))))))</f>
        <v/>
      </c>
      <c r="K5310" s="24" t="str">
        <f aca="false">IF(OR(E5310="",E5310="!!!",F5310="NEW"),"",INDEX(J$1:J5309,SUMPRODUCT(MAX(ROW(E$1:E5309)*(E5310=E$1:E5309)))))</f>
        <v/>
      </c>
      <c r="L5310" s="31"/>
    </row>
    <row r="5311" customFormat="false" ht="15" hidden="false" customHeight="false" outlineLevel="0" collapsed="false">
      <c r="A5311" s="20" t="s">
        <v>2573</v>
      </c>
      <c r="B5311" s="22" t="s">
        <v>1112</v>
      </c>
      <c r="C5311" s="22" t="s">
        <v>1160</v>
      </c>
      <c r="E5311" s="23" t="str">
        <f aca="false">IF(D5311="?OLD","!!!","")</f>
        <v/>
      </c>
      <c r="F5311" s="25" t="str">
        <f aca="false">IF(OR(E5311="",E5311="!!!"),"",IF(NOT(ISNA(VLOOKUP(E5311,E$1:E5310,1,FALSE()))),"OLD",IF(AND(E5311&lt;&gt;"",E5311&lt;&gt;"!!!"),"NEW","")))</f>
        <v/>
      </c>
      <c r="G5311" s="26" t="str">
        <f aca="false">IF(OR(E5311="",E5311="!!!"),"",IF(OR(J5311=0,AND(J5311=1,K5311=1),AND(J5311=1,I5311="SBJ"),AND(J5311=1,I5311=0)),"?IN_FOCUS",IF(J5311&lt;=2,"?ACTIVATED",IF(J5311&lt;&gt;"","?FAMILIAR",IF(F5311="NEW",IF(ISNA(VLOOKUP(E5311,#REF!,1,FALSE())),"?TYPE_IDENTIFIABLE","?REFERENTIAL"),"_")))))</f>
        <v/>
      </c>
      <c r="H5311" s="27" t="str">
        <f aca="false">IF(J5311&lt;&gt;1,"",IF(I5311="SBJ","CB","?"))</f>
        <v/>
      </c>
      <c r="I5311" s="24" t="str">
        <f aca="false">IF(OR(E5311="",E5311="!!!",F5311="NEW"),"",INDEX(B25:B$5287,-1+SUMPRODUCT(MAX(ROW(E25:E$5287)*(E5311=E25:E$5287)))))</f>
        <v/>
      </c>
      <c r="J5311" s="24" t="str">
        <f aca="true">IF(OR(E5311="",E5311="!!!",F5311="NEW"),"",COUNTBLANK(OFFSET(A$1,,,SUMPRODUCT(MAX(ROW(E$2:E5311)*(E5311=E$2:E5311)))))-COUNTBLANK(OFFSET(A$1,,,SUMPRODUCT(MAX(ROW(E$1:E5310)*(E2=E$1:E5310))))))</f>
        <v/>
      </c>
      <c r="K5311" s="24" t="str">
        <f aca="false">IF(OR(E5311="",E5311="!!!",F5311="NEW"),"",INDEX(J$1:J5310,SUMPRODUCT(MAX(ROW(E$1:E5310)*(E5311=E$1:E5310)))))</f>
        <v/>
      </c>
      <c r="L5311" s="31"/>
    </row>
    <row r="5312" customFormat="false" ht="15" hidden="false" customHeight="false" outlineLevel="0" collapsed="false">
      <c r="A5312" s="20" t="s">
        <v>1135</v>
      </c>
      <c r="E5312" s="23" t="str">
        <f aca="false">IF(D5312="?OLD","!!!","")</f>
        <v/>
      </c>
      <c r="F5312" s="25" t="str">
        <f aca="false">IF(OR(E5312="",E5312="!!!"),"",IF(NOT(ISNA(VLOOKUP(E5312,E$1:E5311,1,FALSE()))),"OLD",IF(AND(E5312&lt;&gt;"",E5312&lt;&gt;"!!!"),"NEW","")))</f>
        <v/>
      </c>
      <c r="G5312" s="26" t="str">
        <f aca="false">IF(OR(E5312="",E5312="!!!"),"",IF(OR(J5312=0,AND(J5312=1,K5312=1),AND(J5312=1,I5312="SBJ"),AND(J5312=1,I5312=0)),"?IN_FOCUS",IF(J5312&lt;=2,"?ACTIVATED",IF(J5312&lt;&gt;"","?FAMILIAR",IF(F5312="NEW",IF(ISNA(VLOOKUP(E5312,#REF!,1,FALSE())),"?TYPE_IDENTIFIABLE","?REFERENTIAL"),"_")))))</f>
        <v/>
      </c>
      <c r="H5312" s="27" t="str">
        <f aca="false">IF(J5312&lt;&gt;1,"",IF(I5312="SBJ","CB","?"))</f>
        <v/>
      </c>
      <c r="I5312" s="24" t="str">
        <f aca="false">IF(OR(E5312="",E5312="!!!",F5312="NEW"),"",INDEX(B26:B$5287,-1+SUMPRODUCT(MAX(ROW(E26:E$5287)*(E5312=E26:E$5287)))))</f>
        <v/>
      </c>
      <c r="J5312" s="24" t="str">
        <f aca="true">IF(OR(E5312="",E5312="!!!",F5312="NEW"),"",COUNTBLANK(OFFSET(A$1,,,SUMPRODUCT(MAX(ROW(E$2:E5312)*(E5312=E$2:E5312)))))-COUNTBLANK(OFFSET(A$1,,,SUMPRODUCT(MAX(ROW(E$1:E5311)*(E2=E$1:E5311))))))</f>
        <v/>
      </c>
      <c r="K5312" s="24" t="str">
        <f aca="false">IF(OR(E5312="",E5312="!!!",F5312="NEW"),"",INDEX(J$1:J5311,SUMPRODUCT(MAX(ROW(E$1:E5311)*(E5312=E$1:E5311)))))</f>
        <v/>
      </c>
      <c r="L5312" s="31"/>
    </row>
    <row r="5313" customFormat="false" ht="15" hidden="false" customHeight="false" outlineLevel="0" collapsed="false">
      <c r="A5313" s="20" t="s">
        <v>1279</v>
      </c>
      <c r="E5313" s="23" t="str">
        <f aca="false">IF(D5313="?OLD","!!!","")</f>
        <v/>
      </c>
      <c r="F5313" s="25" t="str">
        <f aca="false">IF(OR(E5313="",E5313="!!!"),"",IF(NOT(ISNA(VLOOKUP(E5313,E$1:E5312,1,FALSE()))),"OLD",IF(AND(E5313&lt;&gt;"",E5313&lt;&gt;"!!!"),"NEW","")))</f>
        <v/>
      </c>
      <c r="G5313" s="26" t="str">
        <f aca="false">IF(OR(E5313="",E5313="!!!"),"",IF(OR(J5313=0,AND(J5313=1,K5313=1),AND(J5313=1,I5313="SBJ"),AND(J5313=1,I5313=0)),"?IN_FOCUS",IF(J5313&lt;=2,"?ACTIVATED",IF(J5313&lt;&gt;"","?FAMILIAR",IF(F5313="NEW",IF(ISNA(VLOOKUP(E5313,#REF!,1,FALSE())),"?TYPE_IDENTIFIABLE","?REFERENTIAL"),"_")))))</f>
        <v/>
      </c>
      <c r="H5313" s="27" t="str">
        <f aca="false">IF(J5313&lt;&gt;1,"",IF(I5313="SBJ","CB","?"))</f>
        <v/>
      </c>
      <c r="I5313" s="24" t="str">
        <f aca="false">IF(OR(E5313="",E5313="!!!",F5313="NEW"),"",INDEX(B27:B$5287,-1+SUMPRODUCT(MAX(ROW(E27:E$5287)*(E5313=E27:E$5287)))))</f>
        <v/>
      </c>
      <c r="J5313" s="24" t="str">
        <f aca="true">IF(OR(E5313="",E5313="!!!",F5313="NEW"),"",COUNTBLANK(OFFSET(A$1,,,SUMPRODUCT(MAX(ROW(E$2:E5313)*(E5313=E$2:E5313)))))-COUNTBLANK(OFFSET(A$1,,,SUMPRODUCT(MAX(ROW(E$1:E5312)*(E2=E$1:E5312))))))</f>
        <v/>
      </c>
      <c r="K5313" s="24" t="str">
        <f aca="false">IF(OR(E5313="",E5313="!!!",F5313="NEW"),"",INDEX(J$1:J5312,SUMPRODUCT(MAX(ROW(E$1:E5312)*(E5313=E$1:E5312)))))</f>
        <v/>
      </c>
      <c r="L5313" s="31"/>
    </row>
    <row r="5314" customFormat="false" ht="15" hidden="false" customHeight="false" outlineLevel="0" collapsed="false">
      <c r="A5314" s="20" t="s">
        <v>2574</v>
      </c>
      <c r="E5314" s="23" t="str">
        <f aca="false">IF(D5314="?OLD","!!!","")</f>
        <v/>
      </c>
      <c r="F5314" s="25" t="str">
        <f aca="false">IF(OR(E5314="",E5314="!!!"),"",IF(NOT(ISNA(VLOOKUP(E5314,E$1:E5313,1,FALSE()))),"OLD",IF(AND(E5314&lt;&gt;"",E5314&lt;&gt;"!!!"),"NEW","")))</f>
        <v/>
      </c>
      <c r="G5314" s="26" t="str">
        <f aca="false">IF(OR(E5314="",E5314="!!!"),"",IF(OR(J5314=0,AND(J5314=1,K5314=1),AND(J5314=1,I5314="SBJ"),AND(J5314=1,I5314=0)),"?IN_FOCUS",IF(J5314&lt;=2,"?ACTIVATED",IF(J5314&lt;&gt;"","?FAMILIAR",IF(F5314="NEW",IF(ISNA(VLOOKUP(E5314,#REF!,1,FALSE())),"?TYPE_IDENTIFIABLE","?REFERENTIAL"),"_")))))</f>
        <v/>
      </c>
      <c r="H5314" s="27" t="str">
        <f aca="false">IF(J5314&lt;&gt;1,"",IF(I5314="SBJ","CB","?"))</f>
        <v/>
      </c>
      <c r="I5314" s="24" t="str">
        <f aca="false">IF(OR(E5314="",E5314="!!!",F5314="NEW"),"",INDEX(B28:B$5287,-1+SUMPRODUCT(MAX(ROW(E28:E$5287)*(E5314=E28:E$5287)))))</f>
        <v/>
      </c>
      <c r="J5314" s="24" t="str">
        <f aca="true">IF(OR(E5314="",E5314="!!!",F5314="NEW"),"",COUNTBLANK(OFFSET(A$1,,,SUMPRODUCT(MAX(ROW(E$2:E5314)*(E5314=E$2:E5314)))))-COUNTBLANK(OFFSET(A$1,,,SUMPRODUCT(MAX(ROW(E$1:E5313)*(E2=E$1:E5313))))))</f>
        <v/>
      </c>
      <c r="K5314" s="24" t="str">
        <f aca="false">IF(OR(E5314="",E5314="!!!",F5314="NEW"),"",INDEX(J$1:J5313,SUMPRODUCT(MAX(ROW(E$1:E5313)*(E5314=E$1:E5313)))))</f>
        <v/>
      </c>
      <c r="L5314" s="31"/>
    </row>
    <row r="5315" customFormat="false" ht="15" hidden="false" customHeight="false" outlineLevel="0" collapsed="false">
      <c r="A5315" s="20" t="s">
        <v>1095</v>
      </c>
      <c r="E5315" s="23" t="str">
        <f aca="false">IF(D5315="?OLD","!!!","")</f>
        <v/>
      </c>
      <c r="F5315" s="25" t="str">
        <f aca="false">IF(OR(E5315="",E5315="!!!"),"",IF(NOT(ISNA(VLOOKUP(E5315,E$1:E5314,1,FALSE()))),"OLD",IF(AND(E5315&lt;&gt;"",E5315&lt;&gt;"!!!"),"NEW","")))</f>
        <v/>
      </c>
      <c r="G5315" s="26" t="str">
        <f aca="false">IF(OR(E5315="",E5315="!!!"),"",IF(OR(J5315=0,AND(J5315=1,K5315=1),AND(J5315=1,I5315="SBJ"),AND(J5315=1,I5315=0)),"?IN_FOCUS",IF(J5315&lt;=2,"?ACTIVATED",IF(J5315&lt;&gt;"","?FAMILIAR",IF(F5315="NEW",IF(ISNA(VLOOKUP(E5315,#REF!,1,FALSE())),"?TYPE_IDENTIFIABLE","?REFERENTIAL"),"_")))))</f>
        <v/>
      </c>
      <c r="H5315" s="27" t="str">
        <f aca="false">IF(J5315&lt;&gt;1,"",IF(I5315="SBJ","CB","?"))</f>
        <v/>
      </c>
      <c r="I5315" s="24" t="str">
        <f aca="false">IF(OR(E5315="",E5315="!!!",F5315="NEW"),"",INDEX(B29:B$5287,-1+SUMPRODUCT(MAX(ROW(E29:E$5287)*(E5315=E29:E$5287)))))</f>
        <v/>
      </c>
      <c r="J5315" s="24" t="str">
        <f aca="true">IF(OR(E5315="",E5315="!!!",F5315="NEW"),"",COUNTBLANK(OFFSET(A$1,,,SUMPRODUCT(MAX(ROW(E$2:E5315)*(E5315=E$2:E5315)))))-COUNTBLANK(OFFSET(A$1,,,SUMPRODUCT(MAX(ROW(E$1:E5314)*(E2=E$1:E5314))))))</f>
        <v/>
      </c>
      <c r="K5315" s="24" t="str">
        <f aca="false">IF(OR(E5315="",E5315="!!!",F5315="NEW"),"",INDEX(J$1:J5314,SUMPRODUCT(MAX(ROW(E$1:E5314)*(E5315=E$1:E5314)))))</f>
        <v/>
      </c>
      <c r="L5315" s="31"/>
    </row>
    <row r="5316" customFormat="false" ht="15" hidden="false" customHeight="false" outlineLevel="0" collapsed="false">
      <c r="A5316" s="20" t="s">
        <v>209</v>
      </c>
      <c r="E5316" s="23" t="str">
        <f aca="false">IF(D5316="?OLD","!!!","")</f>
        <v/>
      </c>
      <c r="F5316" s="25" t="str">
        <f aca="false">IF(OR(E5316="",E5316="!!!"),"",IF(NOT(ISNA(VLOOKUP(E5316,E$1:E5315,1,FALSE()))),"OLD",IF(AND(E5316&lt;&gt;"",E5316&lt;&gt;"!!!"),"NEW","")))</f>
        <v/>
      </c>
      <c r="G5316" s="26" t="str">
        <f aca="false">IF(OR(E5316="",E5316="!!!"),"",IF(OR(J5316=0,AND(J5316=1,K5316=1),AND(J5316=1,I5316="SBJ"),AND(J5316=1,I5316=0)),"?IN_FOCUS",IF(J5316&lt;=2,"?ACTIVATED",IF(J5316&lt;&gt;"","?FAMILIAR",IF(F5316="NEW",IF(ISNA(VLOOKUP(E5316,#REF!,1,FALSE())),"?TYPE_IDENTIFIABLE","?REFERENTIAL"),"_")))))</f>
        <v/>
      </c>
      <c r="H5316" s="27" t="str">
        <f aca="false">IF(J5316&lt;&gt;1,"",IF(I5316="SBJ","CB","?"))</f>
        <v/>
      </c>
      <c r="I5316" s="24" t="str">
        <f aca="false">IF(OR(E5316="",E5316="!!!",F5316="NEW"),"",INDEX(B30:B$5287,-1+SUMPRODUCT(MAX(ROW(E30:E$5287)*(E5316=E30:E$5287)))))</f>
        <v/>
      </c>
      <c r="J5316" s="24" t="str">
        <f aca="true">IF(OR(E5316="",E5316="!!!",F5316="NEW"),"",COUNTBLANK(OFFSET(A$1,,,SUMPRODUCT(MAX(ROW(E$2:E5316)*(E5316=E$2:E5316)))))-COUNTBLANK(OFFSET(A$1,,,SUMPRODUCT(MAX(ROW(E$1:E5315)*(E2=E$1:E5315))))))</f>
        <v/>
      </c>
      <c r="K5316" s="24" t="str">
        <f aca="false">IF(OR(E5316="",E5316="!!!",F5316="NEW"),"",INDEX(J$1:J5315,SUMPRODUCT(MAX(ROW(E$1:E5315)*(E5316=E$1:E5315)))))</f>
        <v/>
      </c>
      <c r="L5316" s="31"/>
    </row>
    <row r="5317" customFormat="false" ht="15" hidden="false" customHeight="false" outlineLevel="0" collapsed="false">
      <c r="A5317" s="20" t="s">
        <v>923</v>
      </c>
      <c r="E5317" s="23" t="str">
        <f aca="false">IF(D5317="?OLD","!!!","")</f>
        <v/>
      </c>
      <c r="F5317" s="25" t="str">
        <f aca="false">IF(OR(E5317="",E5317="!!!"),"",IF(NOT(ISNA(VLOOKUP(E5317,E$1:E5316,1,FALSE()))),"OLD",IF(AND(E5317&lt;&gt;"",E5317&lt;&gt;"!!!"),"NEW","")))</f>
        <v/>
      </c>
      <c r="G5317" s="26" t="str">
        <f aca="false">IF(OR(E5317="",E5317="!!!"),"",IF(OR(J5317=0,AND(J5317=1,K5317=1),AND(J5317=1,I5317="SBJ"),AND(J5317=1,I5317=0)),"?IN_FOCUS",IF(J5317&lt;=2,"?ACTIVATED",IF(J5317&lt;&gt;"","?FAMILIAR",IF(F5317="NEW",IF(ISNA(VLOOKUP(E5317,#REF!,1,FALSE())),"?TYPE_IDENTIFIABLE","?REFERENTIAL"),"_")))))</f>
        <v/>
      </c>
      <c r="H5317" s="27" t="str">
        <f aca="false">IF(J5317&lt;&gt;1,"",IF(I5317="SBJ","CB","?"))</f>
        <v/>
      </c>
      <c r="I5317" s="24" t="str">
        <f aca="false">IF(OR(E5317="",E5317="!!!",F5317="NEW"),"",INDEX(B31:B$5287,-1+SUMPRODUCT(MAX(ROW(E31:E$5287)*(E5317=E31:E$5287)))))</f>
        <v/>
      </c>
      <c r="J5317" s="24" t="str">
        <f aca="true">IF(OR(E5317="",E5317="!!!",F5317="NEW"),"",COUNTBLANK(OFFSET(A$1,,,SUMPRODUCT(MAX(ROW(E$2:E5317)*(E5317=E$2:E5317)))))-COUNTBLANK(OFFSET(A$1,,,SUMPRODUCT(MAX(ROW(E$1:E5316)*(E2=E$1:E5316))))))</f>
        <v/>
      </c>
      <c r="K5317" s="24" t="str">
        <f aca="false">IF(OR(E5317="",E5317="!!!",F5317="NEW"),"",INDEX(J$1:J5316,SUMPRODUCT(MAX(ROW(E$1:E5316)*(E5317=E$1:E5316)))))</f>
        <v/>
      </c>
      <c r="L5317" s="31"/>
    </row>
    <row r="5318" customFormat="false" ht="15" hidden="false" customHeight="false" outlineLevel="0" collapsed="false">
      <c r="A5318" s="20"/>
    </row>
    <row r="5319" customFormat="false" ht="15" hidden="false" customHeight="false" outlineLevel="0" collapsed="false">
      <c r="A5319" s="20" t="s">
        <v>2575</v>
      </c>
    </row>
    <row r="5320" customFormat="false" ht="15" hidden="false" customHeight="false" outlineLevel="0" collapsed="false">
      <c r="A5320" s="20" t="s">
        <v>2145</v>
      </c>
      <c r="E5320" s="23" t="str">
        <f aca="false">IF(D5320="?OLD","!!!","")</f>
        <v/>
      </c>
      <c r="F5320" s="25" t="str">
        <f aca="false">IF(OR(E5320="",E5320="!!!"),"",IF(NOT(ISNA(VLOOKUP(E5320,E$1:E5319,1,FALSE()))),"OLD",IF(AND(E5320&lt;&gt;"",E5320&lt;&gt;"!!!"),"NEW","")))</f>
        <v/>
      </c>
      <c r="G5320" s="26" t="str">
        <f aca="false">IF(OR(E5320="",E5320="!!!"),"",IF(OR(J5320=0,AND(J5320=1,K5320=1),AND(J5320=1,I5320="SBJ"),AND(J5320=1,I5320=0)),"?IN_FOCUS",IF(J5320&lt;=2,"?ACTIVATED",IF(J5320&lt;&gt;"","?FAMILIAR",IF(F5320="NEW",IF(ISNA(VLOOKUP(E5320,#REF!,1,FALSE())),"?TYPE_IDENTIFIABLE","?REFERENTIAL"),"_")))))</f>
        <v/>
      </c>
      <c r="H5320" s="27" t="str">
        <f aca="false">IF(J5320&lt;&gt;1,"",IF(I5320="SBJ","CB","?"))</f>
        <v/>
      </c>
      <c r="I5320" s="24" t="str">
        <f aca="false">IF(OR(E5320="",E5320="!!!",F5320="NEW"),"",INDEX(B2:B$5319,-1+SUMPRODUCT(MAX(ROW(E2:E$5319)*(E5320=E2:E$5319)))))</f>
        <v/>
      </c>
      <c r="J5320" s="24" t="str">
        <f aca="true">IF(OR(E5320="",E5320="!!!",F5320="NEW"),"",COUNTBLANK(OFFSET(A$1,,,SUMPRODUCT(MAX(ROW(E$2:E5320)*(E5320=E$2:E5320)))))-COUNTBLANK(OFFSET(A$1,,,SUMPRODUCT(MAX(ROW(E$1:E5319)*(E2=E$1:E5319))))))</f>
        <v/>
      </c>
      <c r="K5320" s="24" t="str">
        <f aca="false">IF(OR(E5320="",E5320="!!!",F5320="NEW"),"",INDEX(J$1:J5319,SUMPRODUCT(MAX(ROW(E$1:E5319)*(E5320=E$1:E5319)))))</f>
        <v/>
      </c>
      <c r="L5320" s="31"/>
    </row>
    <row r="5321" customFormat="false" ht="15" hidden="false" customHeight="false" outlineLevel="0" collapsed="false">
      <c r="A5321" s="20" t="s">
        <v>1399</v>
      </c>
      <c r="E5321" s="23" t="str">
        <f aca="false">IF(D5321="?OLD","!!!","")</f>
        <v/>
      </c>
      <c r="F5321" s="25" t="str">
        <f aca="false">IF(OR(E5321="",E5321="!!!"),"",IF(NOT(ISNA(VLOOKUP(E5321,E$1:E5320,1,FALSE()))),"OLD",IF(AND(E5321&lt;&gt;"",E5321&lt;&gt;"!!!"),"NEW","")))</f>
        <v/>
      </c>
      <c r="G5321" s="26" t="str">
        <f aca="false">IF(OR(E5321="",E5321="!!!"),"",IF(OR(J5321=0,AND(J5321=1,K5321=1),AND(J5321=1,I5321="SBJ"),AND(J5321=1,I5321=0)),"?IN_FOCUS",IF(J5321&lt;=2,"?ACTIVATED",IF(J5321&lt;&gt;"","?FAMILIAR",IF(F5321="NEW",IF(ISNA(VLOOKUP(E5321,#REF!,1,FALSE())),"?TYPE_IDENTIFIABLE","?REFERENTIAL"),"_")))))</f>
        <v/>
      </c>
      <c r="H5321" s="27" t="str">
        <f aca="false">IF(J5321&lt;&gt;1,"",IF(I5321="SBJ","CB","?"))</f>
        <v/>
      </c>
      <c r="I5321" s="24" t="str">
        <f aca="false">IF(OR(E5321="",E5321="!!!",F5321="NEW"),"",INDEX(B3:B$5319,-1+SUMPRODUCT(MAX(ROW(E3:E$5319)*(E5321=E3:E$5319)))))</f>
        <v/>
      </c>
      <c r="J5321" s="24" t="str">
        <f aca="true">IF(OR(E5321="",E5321="!!!",F5321="NEW"),"",COUNTBLANK(OFFSET(A$1,,,SUMPRODUCT(MAX(ROW(E$2:E5321)*(E5321=E$2:E5321)))))-COUNTBLANK(OFFSET(A$1,,,SUMPRODUCT(MAX(ROW(E$1:E5320)*(E2=E$1:E5320))))))</f>
        <v/>
      </c>
      <c r="K5321" s="24" t="str">
        <f aca="false">IF(OR(E5321="",E5321="!!!",F5321="NEW"),"",INDEX(J$1:J5320,SUMPRODUCT(MAX(ROW(E$1:E5320)*(E5321=E$1:E5320)))))</f>
        <v/>
      </c>
      <c r="L5321" s="31"/>
    </row>
    <row r="5322" customFormat="false" ht="15" hidden="false" customHeight="false" outlineLevel="0" collapsed="false">
      <c r="A5322" s="20" t="s">
        <v>2576</v>
      </c>
      <c r="B5322" s="22" t="s">
        <v>1105</v>
      </c>
      <c r="C5322" s="22" t="s">
        <v>1087</v>
      </c>
      <c r="E5322" s="23" t="str">
        <f aca="false">IF(D5322="?OLD","!!!","")</f>
        <v/>
      </c>
      <c r="F5322" s="25" t="str">
        <f aca="false">IF(OR(E5322="",E5322="!!!"),"",IF(NOT(ISNA(VLOOKUP(E5322,E$1:E5321,1,FALSE()))),"OLD",IF(AND(E5322&lt;&gt;"",E5322&lt;&gt;"!!!"),"NEW","")))</f>
        <v/>
      </c>
      <c r="G5322" s="26" t="str">
        <f aca="false">IF(OR(E5322="",E5322="!!!"),"",IF(OR(J5322=0,AND(J5322=1,K5322=1),AND(J5322=1,I5322="SBJ"),AND(J5322=1,I5322=0)),"?IN_FOCUS",IF(J5322&lt;=2,"?ACTIVATED",IF(J5322&lt;&gt;"","?FAMILIAR",IF(F5322="NEW",IF(ISNA(VLOOKUP(E5322,#REF!,1,FALSE())),"?TYPE_IDENTIFIABLE","?REFERENTIAL"),"_")))))</f>
        <v/>
      </c>
      <c r="H5322" s="27" t="str">
        <f aca="false">IF(J5322&lt;&gt;1,"",IF(I5322="SBJ","CB","?"))</f>
        <v/>
      </c>
      <c r="I5322" s="24" t="str">
        <f aca="false">IF(OR(E5322="",E5322="!!!",F5322="NEW"),"",INDEX(B4:B$5319,-1+SUMPRODUCT(MAX(ROW(E4:E$5319)*(E5322=E4:E$5319)))))</f>
        <v/>
      </c>
      <c r="J5322" s="24" t="str">
        <f aca="true">IF(OR(E5322="",E5322="!!!",F5322="NEW"),"",COUNTBLANK(OFFSET(A$1,,,SUMPRODUCT(MAX(ROW(E$2:E5322)*(E5322=E$2:E5322)))))-COUNTBLANK(OFFSET(A$1,,,SUMPRODUCT(MAX(ROW(E$1:E5321)*(E2=E$1:E5321))))))</f>
        <v/>
      </c>
      <c r="K5322" s="24" t="str">
        <f aca="false">IF(OR(E5322="",E5322="!!!",F5322="NEW"),"",INDEX(J$1:J5321,SUMPRODUCT(MAX(ROW(E$1:E5321)*(E5322=E$1:E5321)))))</f>
        <v/>
      </c>
      <c r="L5322" s="31"/>
    </row>
    <row r="5323" customFormat="false" ht="15" hidden="false" customHeight="false" outlineLevel="0" collapsed="false">
      <c r="A5323" s="20" t="s">
        <v>1090</v>
      </c>
      <c r="B5323" s="22" t="s">
        <v>1058</v>
      </c>
      <c r="C5323" s="22" t="s">
        <v>1082</v>
      </c>
      <c r="D5323" s="22" t="s">
        <v>1060</v>
      </c>
      <c r="E5323" s="23" t="str">
        <f aca="false">IF(D5323="?OLD","!!!","")</f>
        <v>!!!</v>
      </c>
      <c r="F5323" s="25" t="str">
        <f aca="false">IF(OR(E5323="",E5323="!!!"),"",IF(NOT(ISNA(VLOOKUP(E5323,E$1:E5322,1,FALSE()))),"OLD",IF(AND(E5323&lt;&gt;"",E5323&lt;&gt;"!!!"),"NEW","")))</f>
        <v/>
      </c>
      <c r="G5323" s="26" t="str">
        <f aca="false">IF(OR(E5323="",E5323="!!!"),"",IF(OR(J5323=0,AND(J5323=1,K5323=1),AND(J5323=1,I5323="SBJ"),AND(J5323=1,I5323=0)),"?IN_FOCUS",IF(J5323&lt;=2,"?ACTIVATED",IF(J5323&lt;&gt;"","?FAMILIAR",IF(F5323="NEW",IF(ISNA(VLOOKUP(E5323,#REF!,1,FALSE())),"?TYPE_IDENTIFIABLE","?REFERENTIAL"),"_")))))</f>
        <v/>
      </c>
      <c r="H5323" s="27" t="str">
        <f aca="false">IF(J5323&lt;&gt;1,"",IF(I5323="SBJ","CB","?"))</f>
        <v/>
      </c>
      <c r="I5323" s="24" t="str">
        <f aca="false">IF(OR(E5323="",E5323="!!!",F5323="NEW"),"",INDEX(B5:B$5319,-1+SUMPRODUCT(MAX(ROW(E5:E$5319)*(E5323=E5:E$5319)))))</f>
        <v/>
      </c>
      <c r="J5323" s="24" t="str">
        <f aca="true">IF(OR(E5323="",E5323="!!!",F5323="NEW"),"",COUNTBLANK(OFFSET(A$1,,,SUMPRODUCT(MAX(ROW(E$2:E5323)*(E5323=E$2:E5323)))))-COUNTBLANK(OFFSET(A$1,,,SUMPRODUCT(MAX(ROW(E$1:E5322)*(E2=E$1:E5322))))))</f>
        <v/>
      </c>
      <c r="K5323" s="24" t="str">
        <f aca="false">IF(OR(E5323="",E5323="!!!",F5323="NEW"),"",INDEX(J$1:J5322,SUMPRODUCT(MAX(ROW(E$1:E5322)*(E5323=E$1:E5322)))))</f>
        <v/>
      </c>
      <c r="L5323" s="31"/>
    </row>
    <row r="5324" customFormat="false" ht="15" hidden="false" customHeight="false" outlineLevel="0" collapsed="false">
      <c r="A5324" s="20" t="s">
        <v>1198</v>
      </c>
      <c r="E5324" s="23" t="str">
        <f aca="false">IF(D5324="?OLD","!!!","")</f>
        <v/>
      </c>
      <c r="F5324" s="25" t="str">
        <f aca="false">IF(OR(E5324="",E5324="!!!"),"",IF(NOT(ISNA(VLOOKUP(E5324,E$1:E5323,1,FALSE()))),"OLD",IF(AND(E5324&lt;&gt;"",E5324&lt;&gt;"!!!"),"NEW","")))</f>
        <v/>
      </c>
      <c r="G5324" s="26" t="str">
        <f aca="false">IF(OR(E5324="",E5324="!!!"),"",IF(OR(J5324=0,AND(J5324=1,K5324=1),AND(J5324=1,I5324="SBJ"),AND(J5324=1,I5324=0)),"?IN_FOCUS",IF(J5324&lt;=2,"?ACTIVATED",IF(J5324&lt;&gt;"","?FAMILIAR",IF(F5324="NEW",IF(ISNA(VLOOKUP(E5324,#REF!,1,FALSE())),"?TYPE_IDENTIFIABLE","?REFERENTIAL"),"_")))))</f>
        <v/>
      </c>
      <c r="H5324" s="27" t="str">
        <f aca="false">IF(J5324&lt;&gt;1,"",IF(I5324="SBJ","CB","?"))</f>
        <v/>
      </c>
      <c r="I5324" s="24" t="str">
        <f aca="false">IF(OR(E5324="",E5324="!!!",F5324="NEW"),"",INDEX(B6:B$5319,-1+SUMPRODUCT(MAX(ROW(E6:E$5319)*(E5324=E6:E$5319)))))</f>
        <v/>
      </c>
      <c r="J5324" s="24" t="str">
        <f aca="true">IF(OR(E5324="",E5324="!!!",F5324="NEW"),"",COUNTBLANK(OFFSET(A$1,,,SUMPRODUCT(MAX(ROW(E$2:E5324)*(E5324=E$2:E5324)))))-COUNTBLANK(OFFSET(A$1,,,SUMPRODUCT(MAX(ROW(E$1:E5323)*(E2=E$1:E5323))))))</f>
        <v/>
      </c>
      <c r="K5324" s="24" t="str">
        <f aca="false">IF(OR(E5324="",E5324="!!!",F5324="NEW"),"",INDEX(J$1:J5323,SUMPRODUCT(MAX(ROW(E$1:E5323)*(E5324=E$1:E5323)))))</f>
        <v/>
      </c>
      <c r="L5324" s="31"/>
    </row>
    <row r="5325" customFormat="false" ht="15" hidden="false" customHeight="false" outlineLevel="0" collapsed="false">
      <c r="A5325" s="20" t="s">
        <v>1022</v>
      </c>
      <c r="E5325" s="23" t="str">
        <f aca="false">IF(D5325="?OLD","!!!","")</f>
        <v/>
      </c>
      <c r="F5325" s="25" t="str">
        <f aca="false">IF(OR(E5325="",E5325="!!!"),"",IF(NOT(ISNA(VLOOKUP(E5325,E$1:E5324,1,FALSE()))),"OLD",IF(AND(E5325&lt;&gt;"",E5325&lt;&gt;"!!!"),"NEW","")))</f>
        <v/>
      </c>
      <c r="G5325" s="26" t="str">
        <f aca="false">IF(OR(E5325="",E5325="!!!"),"",IF(OR(J5325=0,AND(J5325=1,K5325=1),AND(J5325=1,I5325="SBJ"),AND(J5325=1,I5325=0)),"?IN_FOCUS",IF(J5325&lt;=2,"?ACTIVATED",IF(J5325&lt;&gt;"","?FAMILIAR",IF(F5325="NEW",IF(ISNA(VLOOKUP(E5325,#REF!,1,FALSE())),"?TYPE_IDENTIFIABLE","?REFERENTIAL"),"_")))))</f>
        <v/>
      </c>
      <c r="H5325" s="27" t="str">
        <f aca="false">IF(J5325&lt;&gt;1,"",IF(I5325="SBJ","CB","?"))</f>
        <v/>
      </c>
      <c r="I5325" s="24" t="str">
        <f aca="false">IF(OR(E5325="",E5325="!!!",F5325="NEW"),"",INDEX(B7:B$5319,-1+SUMPRODUCT(MAX(ROW(E7:E$5319)*(E5325=E7:E$5319)))))</f>
        <v/>
      </c>
      <c r="J5325" s="24" t="str">
        <f aca="true">IF(OR(E5325="",E5325="!!!",F5325="NEW"),"",COUNTBLANK(OFFSET(A$1,,,SUMPRODUCT(MAX(ROW(E$2:E5325)*(E5325=E$2:E5325)))))-COUNTBLANK(OFFSET(A$1,,,SUMPRODUCT(MAX(ROW(E$1:E5324)*(E2=E$1:E5324))))))</f>
        <v/>
      </c>
      <c r="K5325" s="24" t="str">
        <f aca="false">IF(OR(E5325="",E5325="!!!",F5325="NEW"),"",INDEX(J$1:J5324,SUMPRODUCT(MAX(ROW(E$1:E5324)*(E5325=E$1:E5324)))))</f>
        <v/>
      </c>
      <c r="L5325" s="31"/>
    </row>
    <row r="5326" customFormat="false" ht="15" hidden="false" customHeight="false" outlineLevel="0" collapsed="false">
      <c r="A5326" s="20" t="s">
        <v>1109</v>
      </c>
      <c r="E5326" s="23" t="str">
        <f aca="false">IF(D5326="?OLD","!!!","")</f>
        <v/>
      </c>
      <c r="F5326" s="25" t="str">
        <f aca="false">IF(OR(E5326="",E5326="!!!"),"",IF(NOT(ISNA(VLOOKUP(E5326,E$1:E5325,1,FALSE()))),"OLD",IF(AND(E5326&lt;&gt;"",E5326&lt;&gt;"!!!"),"NEW","")))</f>
        <v/>
      </c>
      <c r="G5326" s="26" t="str">
        <f aca="false">IF(OR(E5326="",E5326="!!!"),"",IF(OR(J5326=0,AND(J5326=1,K5326=1),AND(J5326=1,I5326="SBJ"),AND(J5326=1,I5326=0)),"?IN_FOCUS",IF(J5326&lt;=2,"?ACTIVATED",IF(J5326&lt;&gt;"","?FAMILIAR",IF(F5326="NEW",IF(ISNA(VLOOKUP(E5326,#REF!,1,FALSE())),"?TYPE_IDENTIFIABLE","?REFERENTIAL"),"_")))))</f>
        <v/>
      </c>
      <c r="H5326" s="27" t="str">
        <f aca="false">IF(J5326&lt;&gt;1,"",IF(I5326="SBJ","CB","?"))</f>
        <v/>
      </c>
      <c r="I5326" s="24" t="str">
        <f aca="false">IF(OR(E5326="",E5326="!!!",F5326="NEW"),"",INDEX(B8:B$5319,-1+SUMPRODUCT(MAX(ROW(E8:E$5319)*(E5326=E8:E$5319)))))</f>
        <v/>
      </c>
      <c r="J5326" s="24" t="str">
        <f aca="true">IF(OR(E5326="",E5326="!!!",F5326="NEW"),"",COUNTBLANK(OFFSET(A$1,,,SUMPRODUCT(MAX(ROW(E$2:E5326)*(E5326=E$2:E5326)))))-COUNTBLANK(OFFSET(A$1,,,SUMPRODUCT(MAX(ROW(E$1:E5325)*(E2=E$1:E5325))))))</f>
        <v/>
      </c>
      <c r="K5326" s="24" t="str">
        <f aca="false">IF(OR(E5326="",E5326="!!!",F5326="NEW"),"",INDEX(J$1:J5325,SUMPRODUCT(MAX(ROW(E$1:E5325)*(E5326=E$1:E5325)))))</f>
        <v/>
      </c>
      <c r="L5326" s="31"/>
    </row>
    <row r="5327" customFormat="false" ht="15" hidden="false" customHeight="false" outlineLevel="0" collapsed="false">
      <c r="A5327" s="20" t="s">
        <v>768</v>
      </c>
      <c r="B5327" s="22" t="s">
        <v>1081</v>
      </c>
      <c r="C5327" s="22" t="s">
        <v>1150</v>
      </c>
      <c r="D5327" s="22" t="s">
        <v>1060</v>
      </c>
      <c r="E5327" s="23" t="str">
        <f aca="false">IF(D5327="?OLD","!!!","")</f>
        <v>!!!</v>
      </c>
      <c r="F5327" s="25" t="str">
        <f aca="false">IF(OR(E5327="",E5327="!!!"),"",IF(NOT(ISNA(VLOOKUP(E5327,E$1:E5326,1,FALSE()))),"OLD",IF(AND(E5327&lt;&gt;"",E5327&lt;&gt;"!!!"),"NEW","")))</f>
        <v/>
      </c>
      <c r="G5327" s="26" t="str">
        <f aca="false">IF(OR(E5327="",E5327="!!!"),"",IF(OR(J5327=0,AND(J5327=1,K5327=1),AND(J5327=1,I5327="SBJ"),AND(J5327=1,I5327=0)),"?IN_FOCUS",IF(J5327&lt;=2,"?ACTIVATED",IF(J5327&lt;&gt;"","?FAMILIAR",IF(F5327="NEW",IF(ISNA(VLOOKUP(E5327,#REF!,1,FALSE())),"?TYPE_IDENTIFIABLE","?REFERENTIAL"),"_")))))</f>
        <v/>
      </c>
      <c r="H5327" s="27" t="str">
        <f aca="false">IF(J5327&lt;&gt;1,"",IF(I5327="SBJ","CB","?"))</f>
        <v/>
      </c>
      <c r="I5327" s="24" t="str">
        <f aca="false">IF(OR(E5327="",E5327="!!!",F5327="NEW"),"",INDEX(B9:B$5319,-1+SUMPRODUCT(MAX(ROW(E9:E$5319)*(E5327=E9:E$5319)))))</f>
        <v/>
      </c>
      <c r="J5327" s="24" t="str">
        <f aca="true">IF(OR(E5327="",E5327="!!!",F5327="NEW"),"",COUNTBLANK(OFFSET(A$1,,,SUMPRODUCT(MAX(ROW(E$2:E5327)*(E5327=E$2:E5327)))))-COUNTBLANK(OFFSET(A$1,,,SUMPRODUCT(MAX(ROW(E$1:E5326)*(E2=E$1:E5326))))))</f>
        <v/>
      </c>
      <c r="K5327" s="24" t="str">
        <f aca="false">IF(OR(E5327="",E5327="!!!",F5327="NEW"),"",INDEX(J$1:J5326,SUMPRODUCT(MAX(ROW(E$1:E5326)*(E5327=E$1:E5326)))))</f>
        <v/>
      </c>
      <c r="L5327" s="31"/>
    </row>
    <row r="5328" customFormat="false" ht="15" hidden="false" customHeight="false" outlineLevel="0" collapsed="false">
      <c r="A5328" s="20" t="s">
        <v>1173</v>
      </c>
      <c r="E5328" s="23" t="str">
        <f aca="false">IF(D5328="?OLD","!!!","")</f>
        <v/>
      </c>
      <c r="F5328" s="25" t="str">
        <f aca="false">IF(OR(E5328="",E5328="!!!"),"",IF(NOT(ISNA(VLOOKUP(E5328,E$1:E5327,1,FALSE()))),"OLD",IF(AND(E5328&lt;&gt;"",E5328&lt;&gt;"!!!"),"NEW","")))</f>
        <v/>
      </c>
      <c r="G5328" s="26" t="str">
        <f aca="false">IF(OR(E5328="",E5328="!!!"),"",IF(OR(J5328=0,AND(J5328=1,K5328=1),AND(J5328=1,I5328="SBJ"),AND(J5328=1,I5328=0)),"?IN_FOCUS",IF(J5328&lt;=2,"?ACTIVATED",IF(J5328&lt;&gt;"","?FAMILIAR",IF(F5328="NEW",IF(ISNA(VLOOKUP(E5328,#REF!,1,FALSE())),"?TYPE_IDENTIFIABLE","?REFERENTIAL"),"_")))))</f>
        <v/>
      </c>
      <c r="H5328" s="27" t="str">
        <f aca="false">IF(J5328&lt;&gt;1,"",IF(I5328="SBJ","CB","?"))</f>
        <v/>
      </c>
      <c r="I5328" s="24" t="str">
        <f aca="false">IF(OR(E5328="",E5328="!!!",F5328="NEW"),"",INDEX(B10:B$5319,-1+SUMPRODUCT(MAX(ROW(E10:E$5319)*(E5328=E10:E$5319)))))</f>
        <v/>
      </c>
      <c r="J5328" s="24" t="str">
        <f aca="true">IF(OR(E5328="",E5328="!!!",F5328="NEW"),"",COUNTBLANK(OFFSET(A$1,,,SUMPRODUCT(MAX(ROW(E$2:E5328)*(E5328=E$2:E5328)))))-COUNTBLANK(OFFSET(A$1,,,SUMPRODUCT(MAX(ROW(E$1:E5327)*(E2=E$1:E5327))))))</f>
        <v/>
      </c>
      <c r="K5328" s="24" t="str">
        <f aca="false">IF(OR(E5328="",E5328="!!!",F5328="NEW"),"",INDEX(J$1:J5327,SUMPRODUCT(MAX(ROW(E$1:E5327)*(E5328=E$1:E5327)))))</f>
        <v/>
      </c>
      <c r="L5328" s="31"/>
    </row>
    <row r="5329" customFormat="false" ht="15" hidden="false" customHeight="false" outlineLevel="0" collapsed="false">
      <c r="A5329" s="20" t="s">
        <v>1109</v>
      </c>
      <c r="E5329" s="23" t="str">
        <f aca="false">IF(D5329="?OLD","!!!","")</f>
        <v/>
      </c>
      <c r="F5329" s="25" t="str">
        <f aca="false">IF(OR(E5329="",E5329="!!!"),"",IF(NOT(ISNA(VLOOKUP(E5329,E$1:E5328,1,FALSE()))),"OLD",IF(AND(E5329&lt;&gt;"",E5329&lt;&gt;"!!!"),"NEW","")))</f>
        <v/>
      </c>
      <c r="G5329" s="26" t="str">
        <f aca="false">IF(OR(E5329="",E5329="!!!"),"",IF(OR(J5329=0,AND(J5329=1,K5329=1),AND(J5329=1,I5329="SBJ"),AND(J5329=1,I5329=0)),"?IN_FOCUS",IF(J5329&lt;=2,"?ACTIVATED",IF(J5329&lt;&gt;"","?FAMILIAR",IF(F5329="NEW",IF(ISNA(VLOOKUP(E5329,#REF!,1,FALSE())),"?TYPE_IDENTIFIABLE","?REFERENTIAL"),"_")))))</f>
        <v/>
      </c>
      <c r="H5329" s="27" t="str">
        <f aca="false">IF(J5329&lt;&gt;1,"",IF(I5329="SBJ","CB","?"))</f>
        <v/>
      </c>
      <c r="I5329" s="24" t="str">
        <f aca="false">IF(OR(E5329="",E5329="!!!",F5329="NEW"),"",INDEX(B11:B$5319,-1+SUMPRODUCT(MAX(ROW(E11:E$5319)*(E5329=E11:E$5319)))))</f>
        <v/>
      </c>
      <c r="J5329" s="24" t="str">
        <f aca="true">IF(OR(E5329="",E5329="!!!",F5329="NEW"),"",COUNTBLANK(OFFSET(A$1,,,SUMPRODUCT(MAX(ROW(E$2:E5329)*(E5329=E$2:E5329)))))-COUNTBLANK(OFFSET(A$1,,,SUMPRODUCT(MAX(ROW(E$1:E5328)*(E2=E$1:E5328))))))</f>
        <v/>
      </c>
      <c r="K5329" s="24" t="str">
        <f aca="false">IF(OR(E5329="",E5329="!!!",F5329="NEW"),"",INDEX(J$1:J5328,SUMPRODUCT(MAX(ROW(E$1:E5328)*(E5329=E$1:E5328)))))</f>
        <v/>
      </c>
      <c r="L5329" s="31"/>
    </row>
    <row r="5330" customFormat="false" ht="15" hidden="false" customHeight="false" outlineLevel="0" collapsed="false">
      <c r="A5330" s="20" t="s">
        <v>1547</v>
      </c>
      <c r="E5330" s="23" t="str">
        <f aca="false">IF(D5330="?OLD","!!!","")</f>
        <v/>
      </c>
      <c r="F5330" s="25" t="str">
        <f aca="false">IF(OR(E5330="",E5330="!!!"),"",IF(NOT(ISNA(VLOOKUP(E5330,E$1:E5329,1,FALSE()))),"OLD",IF(AND(E5330&lt;&gt;"",E5330&lt;&gt;"!!!"),"NEW","")))</f>
        <v/>
      </c>
      <c r="G5330" s="26" t="str">
        <f aca="false">IF(OR(E5330="",E5330="!!!"),"",IF(OR(J5330=0,AND(J5330=1,K5330=1),AND(J5330=1,I5330="SBJ"),AND(J5330=1,I5330=0)),"?IN_FOCUS",IF(J5330&lt;=2,"?ACTIVATED",IF(J5330&lt;&gt;"","?FAMILIAR",IF(F5330="NEW",IF(ISNA(VLOOKUP(E5330,#REF!,1,FALSE())),"?TYPE_IDENTIFIABLE","?REFERENTIAL"),"_")))))</f>
        <v/>
      </c>
      <c r="H5330" s="27" t="str">
        <f aca="false">IF(J5330&lt;&gt;1,"",IF(I5330="SBJ","CB","?"))</f>
        <v/>
      </c>
      <c r="I5330" s="24" t="str">
        <f aca="false">IF(OR(E5330="",E5330="!!!",F5330="NEW"),"",INDEX(B12:B$5319,-1+SUMPRODUCT(MAX(ROW(E12:E$5319)*(E5330=E12:E$5319)))))</f>
        <v/>
      </c>
      <c r="J5330" s="24" t="str">
        <f aca="true">IF(OR(E5330="",E5330="!!!",F5330="NEW"),"",COUNTBLANK(OFFSET(A$1,,,SUMPRODUCT(MAX(ROW(E$2:E5330)*(E5330=E$2:E5330)))))-COUNTBLANK(OFFSET(A$1,,,SUMPRODUCT(MAX(ROW(E$1:E5329)*(E2=E$1:E5329))))))</f>
        <v/>
      </c>
      <c r="K5330" s="24" t="str">
        <f aca="false">IF(OR(E5330="",E5330="!!!",F5330="NEW"),"",INDEX(J$1:J5329,SUMPRODUCT(MAX(ROW(E$1:E5329)*(E5330=E$1:E5329)))))</f>
        <v/>
      </c>
      <c r="L5330" s="31"/>
    </row>
    <row r="5331" customFormat="false" ht="15" hidden="false" customHeight="false" outlineLevel="0" collapsed="false">
      <c r="A5331" s="20" t="s">
        <v>16</v>
      </c>
      <c r="E5331" s="23" t="str">
        <f aca="false">IF(D5331="?OLD","!!!","")</f>
        <v/>
      </c>
      <c r="F5331" s="25" t="str">
        <f aca="false">IF(OR(E5331="",E5331="!!!"),"",IF(NOT(ISNA(VLOOKUP(E5331,E$1:E5330,1,FALSE()))),"OLD",IF(AND(E5331&lt;&gt;"",E5331&lt;&gt;"!!!"),"NEW","")))</f>
        <v/>
      </c>
      <c r="G5331" s="26" t="str">
        <f aca="false">IF(OR(E5331="",E5331="!!!"),"",IF(OR(J5331=0,AND(J5331=1,K5331=1),AND(J5331=1,I5331="SBJ"),AND(J5331=1,I5331=0)),"?IN_FOCUS",IF(J5331&lt;=2,"?ACTIVATED",IF(J5331&lt;&gt;"","?FAMILIAR",IF(F5331="NEW",IF(ISNA(VLOOKUP(E5331,#REF!,1,FALSE())),"?TYPE_IDENTIFIABLE","?REFERENTIAL"),"_")))))</f>
        <v/>
      </c>
      <c r="H5331" s="27" t="str">
        <f aca="false">IF(J5331&lt;&gt;1,"",IF(I5331="SBJ","CB","?"))</f>
        <v/>
      </c>
      <c r="I5331" s="24" t="str">
        <f aca="false">IF(OR(E5331="",E5331="!!!",F5331="NEW"),"",INDEX(B13:B$5319,-1+SUMPRODUCT(MAX(ROW(E13:E$5319)*(E5331=E13:E$5319)))))</f>
        <v/>
      </c>
      <c r="J5331" s="24" t="str">
        <f aca="true">IF(OR(E5331="",E5331="!!!",F5331="NEW"),"",COUNTBLANK(OFFSET(A$1,,,SUMPRODUCT(MAX(ROW(E$2:E5331)*(E5331=E$2:E5331)))))-COUNTBLANK(OFFSET(A$1,,,SUMPRODUCT(MAX(ROW(E$1:E5330)*(E2=E$1:E5330))))))</f>
        <v/>
      </c>
      <c r="K5331" s="24" t="str">
        <f aca="false">IF(OR(E5331="",E5331="!!!",F5331="NEW"),"",INDEX(J$1:J5330,SUMPRODUCT(MAX(ROW(E$1:E5330)*(E5331=E$1:E5330)))))</f>
        <v/>
      </c>
      <c r="L5331" s="31"/>
    </row>
    <row r="5332" customFormat="false" ht="15" hidden="false" customHeight="false" outlineLevel="0" collapsed="false">
      <c r="A5332" s="20" t="s">
        <v>1269</v>
      </c>
      <c r="B5332" s="22" t="s">
        <v>1105</v>
      </c>
      <c r="C5332" s="22" t="s">
        <v>1150</v>
      </c>
      <c r="D5332" s="22" t="s">
        <v>1060</v>
      </c>
      <c r="E5332" s="23" t="str">
        <f aca="false">IF(D5332="?OLD","!!!","")</f>
        <v>!!!</v>
      </c>
      <c r="F5332" s="25" t="str">
        <f aca="false">IF(OR(E5332="",E5332="!!!"),"",IF(NOT(ISNA(VLOOKUP(E5332,E$1:E5331,1,FALSE()))),"OLD",IF(AND(E5332&lt;&gt;"",E5332&lt;&gt;"!!!"),"NEW","")))</f>
        <v/>
      </c>
      <c r="G5332" s="26" t="str">
        <f aca="false">IF(OR(E5332="",E5332="!!!"),"",IF(OR(J5332=0,AND(J5332=1,K5332=1),AND(J5332=1,I5332="SBJ"),AND(J5332=1,I5332=0)),"?IN_FOCUS",IF(J5332&lt;=2,"?ACTIVATED",IF(J5332&lt;&gt;"","?FAMILIAR",IF(F5332="NEW",IF(ISNA(VLOOKUP(E5332,#REF!,1,FALSE())),"?TYPE_IDENTIFIABLE","?REFERENTIAL"),"_")))))</f>
        <v/>
      </c>
      <c r="H5332" s="27" t="str">
        <f aca="false">IF(J5332&lt;&gt;1,"",IF(I5332="SBJ","CB","?"))</f>
        <v/>
      </c>
      <c r="I5332" s="24" t="str">
        <f aca="false">IF(OR(E5332="",E5332="!!!",F5332="NEW"),"",INDEX(B14:B$5319,-1+SUMPRODUCT(MAX(ROW(E14:E$5319)*(E5332=E14:E$5319)))))</f>
        <v/>
      </c>
      <c r="J5332" s="24" t="str">
        <f aca="true">IF(OR(E5332="",E5332="!!!",F5332="NEW"),"",COUNTBLANK(OFFSET(A$1,,,SUMPRODUCT(MAX(ROW(E$2:E5332)*(E5332=E$2:E5332)))))-COUNTBLANK(OFFSET(A$1,,,SUMPRODUCT(MAX(ROW(E$1:E5331)*(E2=E$1:E5331))))))</f>
        <v/>
      </c>
      <c r="K5332" s="24" t="str">
        <f aca="false">IF(OR(E5332="",E5332="!!!",F5332="NEW"),"",INDEX(J$1:J5331,SUMPRODUCT(MAX(ROW(E$1:E5331)*(E5332=E$1:E5331)))))</f>
        <v/>
      </c>
      <c r="L5332" s="31"/>
    </row>
    <row r="5333" customFormat="false" ht="15" hidden="false" customHeight="false" outlineLevel="0" collapsed="false">
      <c r="A5333" s="20" t="s">
        <v>1184</v>
      </c>
      <c r="E5333" s="23" t="str">
        <f aca="false">IF(D5333="?OLD","!!!","")</f>
        <v/>
      </c>
      <c r="F5333" s="25" t="str">
        <f aca="false">IF(OR(E5333="",E5333="!!!"),"",IF(NOT(ISNA(VLOOKUP(E5333,E$1:E5332,1,FALSE()))),"OLD",IF(AND(E5333&lt;&gt;"",E5333&lt;&gt;"!!!"),"NEW","")))</f>
        <v/>
      </c>
      <c r="G5333" s="26" t="str">
        <f aca="false">IF(OR(E5333="",E5333="!!!"),"",IF(OR(J5333=0,AND(J5333=1,K5333=1),AND(J5333=1,I5333="SBJ"),AND(J5333=1,I5333=0)),"?IN_FOCUS",IF(J5333&lt;=2,"?ACTIVATED",IF(J5333&lt;&gt;"","?FAMILIAR",IF(F5333="NEW",IF(ISNA(VLOOKUP(E5333,#REF!,1,FALSE())),"?TYPE_IDENTIFIABLE","?REFERENTIAL"),"_")))))</f>
        <v/>
      </c>
      <c r="H5333" s="27" t="str">
        <f aca="false">IF(J5333&lt;&gt;1,"",IF(I5333="SBJ","CB","?"))</f>
        <v/>
      </c>
      <c r="I5333" s="24" t="str">
        <f aca="false">IF(OR(E5333="",E5333="!!!",F5333="NEW"),"",INDEX(B15:B$5319,-1+SUMPRODUCT(MAX(ROW(E15:E$5319)*(E5333=E15:E$5319)))))</f>
        <v/>
      </c>
      <c r="J5333" s="24" t="str">
        <f aca="true">IF(OR(E5333="",E5333="!!!",F5333="NEW"),"",COUNTBLANK(OFFSET(A$1,,,SUMPRODUCT(MAX(ROW(E$2:E5333)*(E5333=E$2:E5333)))))-COUNTBLANK(OFFSET(A$1,,,SUMPRODUCT(MAX(ROW(E$1:E5332)*(E2=E$1:E5332))))))</f>
        <v/>
      </c>
      <c r="K5333" s="24" t="str">
        <f aca="false">IF(OR(E5333="",E5333="!!!",F5333="NEW"),"",INDEX(J$1:J5332,SUMPRODUCT(MAX(ROW(E$1:E5332)*(E5333=E$1:E5332)))))</f>
        <v/>
      </c>
      <c r="L5333" s="31"/>
    </row>
    <row r="5334" customFormat="false" ht="15" hidden="false" customHeight="false" outlineLevel="0" collapsed="false">
      <c r="A5334" s="20" t="s">
        <v>1298</v>
      </c>
      <c r="B5334" s="22" t="s">
        <v>1073</v>
      </c>
      <c r="C5334" s="22" t="s">
        <v>1068</v>
      </c>
      <c r="D5334" s="22" t="s">
        <v>1060</v>
      </c>
      <c r="E5334" s="23" t="str">
        <f aca="false">IF(D5334="?OLD","!!!","")</f>
        <v>!!!</v>
      </c>
      <c r="F5334" s="25" t="str">
        <f aca="false">IF(OR(E5334="",E5334="!!!"),"",IF(NOT(ISNA(VLOOKUP(E5334,E$1:E5333,1,FALSE()))),"OLD",IF(AND(E5334&lt;&gt;"",E5334&lt;&gt;"!!!"),"NEW","")))</f>
        <v/>
      </c>
      <c r="G5334" s="26" t="str">
        <f aca="false">IF(OR(E5334="",E5334="!!!"),"",IF(OR(J5334=0,AND(J5334=1,K5334=1),AND(J5334=1,I5334="SBJ"),AND(J5334=1,I5334=0)),"?IN_FOCUS",IF(J5334&lt;=2,"?ACTIVATED",IF(J5334&lt;&gt;"","?FAMILIAR",IF(F5334="NEW",IF(ISNA(VLOOKUP(E5334,#REF!,1,FALSE())),"?TYPE_IDENTIFIABLE","?REFERENTIAL"),"_")))))</f>
        <v/>
      </c>
      <c r="H5334" s="27" t="str">
        <f aca="false">IF(J5334&lt;&gt;1,"",IF(I5334="SBJ","CB","?"))</f>
        <v/>
      </c>
      <c r="I5334" s="24" t="str">
        <f aca="false">IF(OR(E5334="",E5334="!!!",F5334="NEW"),"",INDEX(B16:B$5319,-1+SUMPRODUCT(MAX(ROW(E16:E$5319)*(E5334=E16:E$5319)))))</f>
        <v/>
      </c>
      <c r="J5334" s="24" t="str">
        <f aca="true">IF(OR(E5334="",E5334="!!!",F5334="NEW"),"",COUNTBLANK(OFFSET(A$1,,,SUMPRODUCT(MAX(ROW(E$2:E5334)*(E5334=E$2:E5334)))))-COUNTBLANK(OFFSET(A$1,,,SUMPRODUCT(MAX(ROW(E$1:E5333)*(E2=E$1:E5333))))))</f>
        <v/>
      </c>
      <c r="K5334" s="24" t="str">
        <f aca="false">IF(OR(E5334="",E5334="!!!",F5334="NEW"),"",INDEX(J$1:J5333,SUMPRODUCT(MAX(ROW(E$1:E5333)*(E5334=E$1:E5333)))))</f>
        <v/>
      </c>
      <c r="L5334" s="31"/>
    </row>
    <row r="5335" customFormat="false" ht="15" hidden="false" customHeight="false" outlineLevel="0" collapsed="false">
      <c r="A5335" s="20" t="s">
        <v>1076</v>
      </c>
      <c r="E5335" s="23" t="str">
        <f aca="false">IF(D5335="?OLD","!!!","")</f>
        <v/>
      </c>
      <c r="F5335" s="25" t="str">
        <f aca="false">IF(OR(E5335="",E5335="!!!"),"",IF(NOT(ISNA(VLOOKUP(E5335,E$1:E5334,1,FALSE()))),"OLD",IF(AND(E5335&lt;&gt;"",E5335&lt;&gt;"!!!"),"NEW","")))</f>
        <v/>
      </c>
      <c r="G5335" s="26" t="str">
        <f aca="false">IF(OR(E5335="",E5335="!!!"),"",IF(OR(J5335=0,AND(J5335=1,K5335=1),AND(J5335=1,I5335="SBJ"),AND(J5335=1,I5335=0)),"?IN_FOCUS",IF(J5335&lt;=2,"?ACTIVATED",IF(J5335&lt;&gt;"","?FAMILIAR",IF(F5335="NEW",IF(ISNA(VLOOKUP(E5335,#REF!,1,FALSE())),"?TYPE_IDENTIFIABLE","?REFERENTIAL"),"_")))))</f>
        <v/>
      </c>
      <c r="H5335" s="27" t="str">
        <f aca="false">IF(J5335&lt;&gt;1,"",IF(I5335="SBJ","CB","?"))</f>
        <v/>
      </c>
      <c r="I5335" s="24" t="str">
        <f aca="false">IF(OR(E5335="",E5335="!!!",F5335="NEW"),"",INDEX(B17:B$5319,-1+SUMPRODUCT(MAX(ROW(E17:E$5319)*(E5335=E17:E$5319)))))</f>
        <v/>
      </c>
      <c r="J5335" s="24" t="str">
        <f aca="true">IF(OR(E5335="",E5335="!!!",F5335="NEW"),"",COUNTBLANK(OFFSET(A$1,,,SUMPRODUCT(MAX(ROW(E$2:E5335)*(E5335=E$2:E5335)))))-COUNTBLANK(OFFSET(A$1,,,SUMPRODUCT(MAX(ROW(E$1:E5334)*(E2=E$1:E5334))))))</f>
        <v/>
      </c>
      <c r="K5335" s="24" t="str">
        <f aca="false">IF(OR(E5335="",E5335="!!!",F5335="NEW"),"",INDEX(J$1:J5334,SUMPRODUCT(MAX(ROW(E$1:E5334)*(E5335=E$1:E5334)))))</f>
        <v/>
      </c>
      <c r="L5335" s="31"/>
    </row>
    <row r="5336" customFormat="false" ht="15" hidden="false" customHeight="false" outlineLevel="0" collapsed="false">
      <c r="A5336" s="20" t="s">
        <v>1168</v>
      </c>
      <c r="E5336" s="23" t="str">
        <f aca="false">IF(D5336="?OLD","!!!","")</f>
        <v/>
      </c>
      <c r="F5336" s="25" t="str">
        <f aca="false">IF(OR(E5336="",E5336="!!!"),"",IF(NOT(ISNA(VLOOKUP(E5336,E$1:E5335,1,FALSE()))),"OLD",IF(AND(E5336&lt;&gt;"",E5336&lt;&gt;"!!!"),"NEW","")))</f>
        <v/>
      </c>
      <c r="G5336" s="26" t="str">
        <f aca="false">IF(OR(E5336="",E5336="!!!"),"",IF(OR(J5336=0,AND(J5336=1,K5336=1),AND(J5336=1,I5336="SBJ"),AND(J5336=1,I5336=0)),"?IN_FOCUS",IF(J5336&lt;=2,"?ACTIVATED",IF(J5336&lt;&gt;"","?FAMILIAR",IF(F5336="NEW",IF(ISNA(VLOOKUP(E5336,#REF!,1,FALSE())),"?TYPE_IDENTIFIABLE","?REFERENTIAL"),"_")))))</f>
        <v/>
      </c>
      <c r="H5336" s="27" t="str">
        <f aca="false">IF(J5336&lt;&gt;1,"",IF(I5336="SBJ","CB","?"))</f>
        <v/>
      </c>
      <c r="I5336" s="24" t="str">
        <f aca="false">IF(OR(E5336="",E5336="!!!",F5336="NEW"),"",INDEX(B18:B$5319,-1+SUMPRODUCT(MAX(ROW(E18:E$5319)*(E5336=E18:E$5319)))))</f>
        <v/>
      </c>
      <c r="J5336" s="24" t="str">
        <f aca="true">IF(OR(E5336="",E5336="!!!",F5336="NEW"),"",COUNTBLANK(OFFSET(A$1,,,SUMPRODUCT(MAX(ROW(E$2:E5336)*(E5336=E$2:E5336)))))-COUNTBLANK(OFFSET(A$1,,,SUMPRODUCT(MAX(ROW(E$1:E5335)*(E2=E$1:E5335))))))</f>
        <v/>
      </c>
      <c r="K5336" s="24" t="str">
        <f aca="false">IF(OR(E5336="",E5336="!!!",F5336="NEW"),"",INDEX(J$1:J5335,SUMPRODUCT(MAX(ROW(E$1:E5335)*(E5336=E$1:E5335)))))</f>
        <v/>
      </c>
      <c r="L5336" s="31"/>
    </row>
    <row r="5337" customFormat="false" ht="15" hidden="false" customHeight="false" outlineLevel="0" collapsed="false">
      <c r="A5337" s="20" t="s">
        <v>1080</v>
      </c>
      <c r="B5337" s="22" t="s">
        <v>1086</v>
      </c>
      <c r="C5337" s="22" t="s">
        <v>1082</v>
      </c>
      <c r="D5337" s="22" t="s">
        <v>1060</v>
      </c>
      <c r="E5337" s="23" t="str">
        <f aca="false">IF(D5337="?OLD","!!!","")</f>
        <v>!!!</v>
      </c>
      <c r="F5337" s="25" t="str">
        <f aca="false">IF(OR(E5337="",E5337="!!!"),"",IF(NOT(ISNA(VLOOKUP(E5337,E$1:E5336,1,FALSE()))),"OLD",IF(AND(E5337&lt;&gt;"",E5337&lt;&gt;"!!!"),"NEW","")))</f>
        <v/>
      </c>
      <c r="G5337" s="26" t="str">
        <f aca="false">IF(OR(E5337="",E5337="!!!"),"",IF(OR(J5337=0,AND(J5337=1,K5337=1),AND(J5337=1,I5337="SBJ"),AND(J5337=1,I5337=0)),"?IN_FOCUS",IF(J5337&lt;=2,"?ACTIVATED",IF(J5337&lt;&gt;"","?FAMILIAR",IF(F5337="NEW",IF(ISNA(VLOOKUP(E5337,#REF!,1,FALSE())),"?TYPE_IDENTIFIABLE","?REFERENTIAL"),"_")))))</f>
        <v/>
      </c>
      <c r="H5337" s="27" t="str">
        <f aca="false">IF(J5337&lt;&gt;1,"",IF(I5337="SBJ","CB","?"))</f>
        <v/>
      </c>
      <c r="I5337" s="24" t="str">
        <f aca="false">IF(OR(E5337="",E5337="!!!",F5337="NEW"),"",INDEX(B19:B$5319,-1+SUMPRODUCT(MAX(ROW(E19:E$5319)*(E5337=E19:E$5319)))))</f>
        <v/>
      </c>
      <c r="J5337" s="24" t="str">
        <f aca="true">IF(OR(E5337="",E5337="!!!",F5337="NEW"),"",COUNTBLANK(OFFSET(A$1,,,SUMPRODUCT(MAX(ROW(E$2:E5337)*(E5337=E$2:E5337)))))-COUNTBLANK(OFFSET(A$1,,,SUMPRODUCT(MAX(ROW(E$1:E5336)*(E2=E$1:E5336))))))</f>
        <v/>
      </c>
      <c r="K5337" s="24" t="str">
        <f aca="false">IF(OR(E5337="",E5337="!!!",F5337="NEW"),"",INDEX(J$1:J5336,SUMPRODUCT(MAX(ROW(E$1:E5336)*(E5337=E$1:E5336)))))</f>
        <v/>
      </c>
      <c r="L5337" s="31"/>
    </row>
    <row r="5338" customFormat="false" ht="15" hidden="false" customHeight="false" outlineLevel="0" collapsed="false">
      <c r="A5338" s="20" t="s">
        <v>1092</v>
      </c>
      <c r="E5338" s="23" t="str">
        <f aca="false">IF(D5338="?OLD","!!!","")</f>
        <v/>
      </c>
      <c r="F5338" s="25" t="str">
        <f aca="false">IF(OR(E5338="",E5338="!!!"),"",IF(NOT(ISNA(VLOOKUP(E5338,E$1:E5337,1,FALSE()))),"OLD",IF(AND(E5338&lt;&gt;"",E5338&lt;&gt;"!!!"),"NEW","")))</f>
        <v/>
      </c>
      <c r="G5338" s="26" t="str">
        <f aca="false">IF(OR(E5338="",E5338="!!!"),"",IF(OR(J5338=0,AND(J5338=1,K5338=1),AND(J5338=1,I5338="SBJ"),AND(J5338=1,I5338=0)),"?IN_FOCUS",IF(J5338&lt;=2,"?ACTIVATED",IF(J5338&lt;&gt;"","?FAMILIAR",IF(F5338="NEW",IF(ISNA(VLOOKUP(E5338,#REF!,1,FALSE())),"?TYPE_IDENTIFIABLE","?REFERENTIAL"),"_")))))</f>
        <v/>
      </c>
      <c r="H5338" s="27" t="str">
        <f aca="false">IF(J5338&lt;&gt;1,"",IF(I5338="SBJ","CB","?"))</f>
        <v/>
      </c>
      <c r="I5338" s="24" t="str">
        <f aca="false">IF(OR(E5338="",E5338="!!!",F5338="NEW"),"",INDEX(B20:B$5319,-1+SUMPRODUCT(MAX(ROW(E20:E$5319)*(E5338=E20:E$5319)))))</f>
        <v/>
      </c>
      <c r="J5338" s="24" t="str">
        <f aca="true">IF(OR(E5338="",E5338="!!!",F5338="NEW"),"",COUNTBLANK(OFFSET(A$1,,,SUMPRODUCT(MAX(ROW(E$2:E5338)*(E5338=E$2:E5338)))))-COUNTBLANK(OFFSET(A$1,,,SUMPRODUCT(MAX(ROW(E$1:E5337)*(E2=E$1:E5337))))))</f>
        <v/>
      </c>
      <c r="K5338" s="24" t="str">
        <f aca="false">IF(OR(E5338="",E5338="!!!",F5338="NEW"),"",INDEX(J$1:J5337,SUMPRODUCT(MAX(ROW(E$1:E5337)*(E5338=E$1:E5337)))))</f>
        <v/>
      </c>
      <c r="L5338" s="31"/>
    </row>
    <row r="5339" customFormat="false" ht="15" hidden="false" customHeight="false" outlineLevel="0" collapsed="false">
      <c r="A5339" s="20" t="s">
        <v>2577</v>
      </c>
      <c r="E5339" s="23" t="str">
        <f aca="false">IF(D5339="?OLD","!!!","")</f>
        <v/>
      </c>
      <c r="F5339" s="25" t="str">
        <f aca="false">IF(OR(E5339="",E5339="!!!"),"",IF(NOT(ISNA(VLOOKUP(E5339,E$1:E5338,1,FALSE()))),"OLD",IF(AND(E5339&lt;&gt;"",E5339&lt;&gt;"!!!"),"NEW","")))</f>
        <v/>
      </c>
      <c r="G5339" s="26" t="str">
        <f aca="false">IF(OR(E5339="",E5339="!!!"),"",IF(OR(J5339=0,AND(J5339=1,K5339=1),AND(J5339=1,I5339="SBJ"),AND(J5339=1,I5339=0)),"?IN_FOCUS",IF(J5339&lt;=2,"?ACTIVATED",IF(J5339&lt;&gt;"","?FAMILIAR",IF(F5339="NEW",IF(ISNA(VLOOKUP(E5339,#REF!,1,FALSE())),"?TYPE_IDENTIFIABLE","?REFERENTIAL"),"_")))))</f>
        <v/>
      </c>
      <c r="H5339" s="27" t="str">
        <f aca="false">IF(J5339&lt;&gt;1,"",IF(I5339="SBJ","CB","?"))</f>
        <v/>
      </c>
      <c r="I5339" s="24" t="str">
        <f aca="false">IF(OR(E5339="",E5339="!!!",F5339="NEW"),"",INDEX(B21:B$5319,-1+SUMPRODUCT(MAX(ROW(E21:E$5319)*(E5339=E21:E$5319)))))</f>
        <v/>
      </c>
      <c r="J5339" s="24" t="str">
        <f aca="true">IF(OR(E5339="",E5339="!!!",F5339="NEW"),"",COUNTBLANK(OFFSET(A$1,,,SUMPRODUCT(MAX(ROW(E$2:E5339)*(E5339=E$2:E5339)))))-COUNTBLANK(OFFSET(A$1,,,SUMPRODUCT(MAX(ROW(E$1:E5338)*(E2=E$1:E5338))))))</f>
        <v/>
      </c>
      <c r="K5339" s="24" t="str">
        <f aca="false">IF(OR(E5339="",E5339="!!!",F5339="NEW"),"",INDEX(J$1:J5338,SUMPRODUCT(MAX(ROW(E$1:E5338)*(E5339=E$1:E5338)))))</f>
        <v/>
      </c>
      <c r="L5339" s="31"/>
    </row>
    <row r="5340" customFormat="false" ht="15" hidden="false" customHeight="false" outlineLevel="0" collapsed="false">
      <c r="A5340" s="20" t="s">
        <v>1085</v>
      </c>
      <c r="E5340" s="23" t="str">
        <f aca="false">IF(D5340="?OLD","!!!","")</f>
        <v/>
      </c>
      <c r="F5340" s="25" t="str">
        <f aca="false">IF(OR(E5340="",E5340="!!!"),"",IF(NOT(ISNA(VLOOKUP(E5340,E$1:E5339,1,FALSE()))),"OLD",IF(AND(E5340&lt;&gt;"",E5340&lt;&gt;"!!!"),"NEW","")))</f>
        <v/>
      </c>
      <c r="G5340" s="26" t="str">
        <f aca="false">IF(OR(E5340="",E5340="!!!"),"",IF(OR(J5340=0,AND(J5340=1,K5340=1),AND(J5340=1,I5340="SBJ"),AND(J5340=1,I5340=0)),"?IN_FOCUS",IF(J5340&lt;=2,"?ACTIVATED",IF(J5340&lt;&gt;"","?FAMILIAR",IF(F5340="NEW",IF(ISNA(VLOOKUP(E5340,#REF!,1,FALSE())),"?TYPE_IDENTIFIABLE","?REFERENTIAL"),"_")))))</f>
        <v/>
      </c>
      <c r="H5340" s="27" t="str">
        <f aca="false">IF(J5340&lt;&gt;1,"",IF(I5340="SBJ","CB","?"))</f>
        <v/>
      </c>
      <c r="I5340" s="24" t="str">
        <f aca="false">IF(OR(E5340="",E5340="!!!",F5340="NEW"),"",INDEX(B22:B$5319,-1+SUMPRODUCT(MAX(ROW(E22:E$5319)*(E5340=E22:E$5319)))))</f>
        <v/>
      </c>
      <c r="J5340" s="24" t="str">
        <f aca="true">IF(OR(E5340="",E5340="!!!",F5340="NEW"),"",COUNTBLANK(OFFSET(A$1,,,SUMPRODUCT(MAX(ROW(E$2:E5340)*(E5340=E$2:E5340)))))-COUNTBLANK(OFFSET(A$1,,,SUMPRODUCT(MAX(ROW(E$1:E5339)*(E2=E$1:E5339))))))</f>
        <v/>
      </c>
      <c r="K5340" s="24" t="str">
        <f aca="false">IF(OR(E5340="",E5340="!!!",F5340="NEW"),"",INDEX(J$1:J5339,SUMPRODUCT(MAX(ROW(E$1:E5339)*(E5340=E$1:E5339)))))</f>
        <v/>
      </c>
      <c r="L5340" s="31"/>
    </row>
    <row r="5341" customFormat="false" ht="15" hidden="false" customHeight="false" outlineLevel="0" collapsed="false">
      <c r="A5341" s="20" t="s">
        <v>2578</v>
      </c>
      <c r="B5341" s="22" t="s">
        <v>1105</v>
      </c>
      <c r="C5341" s="22" t="s">
        <v>1087</v>
      </c>
      <c r="E5341" s="23" t="str">
        <f aca="false">IF(D5341="?OLD","!!!","")</f>
        <v/>
      </c>
      <c r="F5341" s="25" t="str">
        <f aca="false">IF(OR(E5341="",E5341="!!!"),"",IF(NOT(ISNA(VLOOKUP(E5341,E$1:E5340,1,FALSE()))),"OLD",IF(AND(E5341&lt;&gt;"",E5341&lt;&gt;"!!!"),"NEW","")))</f>
        <v/>
      </c>
      <c r="G5341" s="26" t="str">
        <f aca="false">IF(OR(E5341="",E5341="!!!"),"",IF(OR(J5341=0,AND(J5341=1,K5341=1),AND(J5341=1,I5341="SBJ"),AND(J5341=1,I5341=0)),"?IN_FOCUS",IF(J5341&lt;=2,"?ACTIVATED",IF(J5341&lt;&gt;"","?FAMILIAR",IF(F5341="NEW",IF(ISNA(VLOOKUP(E5341,#REF!,1,FALSE())),"?TYPE_IDENTIFIABLE","?REFERENTIAL"),"_")))))</f>
        <v/>
      </c>
      <c r="H5341" s="27" t="str">
        <f aca="false">IF(J5341&lt;&gt;1,"",IF(I5341="SBJ","CB","?"))</f>
        <v/>
      </c>
      <c r="I5341" s="24" t="str">
        <f aca="false">IF(OR(E5341="",E5341="!!!",F5341="NEW"),"",INDEX(B23:B$5319,-1+SUMPRODUCT(MAX(ROW(E23:E$5319)*(E5341=E23:E$5319)))))</f>
        <v/>
      </c>
      <c r="J5341" s="24" t="str">
        <f aca="true">IF(OR(E5341="",E5341="!!!",F5341="NEW"),"",COUNTBLANK(OFFSET(A$1,,,SUMPRODUCT(MAX(ROW(E$2:E5341)*(E5341=E$2:E5341)))))-COUNTBLANK(OFFSET(A$1,,,SUMPRODUCT(MAX(ROW(E$1:E5340)*(E2=E$1:E5340))))))</f>
        <v/>
      </c>
      <c r="K5341" s="24" t="str">
        <f aca="false">IF(OR(E5341="",E5341="!!!",F5341="NEW"),"",INDEX(J$1:J5340,SUMPRODUCT(MAX(ROW(E$1:E5340)*(E5341=E$1:E5340)))))</f>
        <v/>
      </c>
      <c r="L5341" s="31"/>
    </row>
    <row r="5342" customFormat="false" ht="15" hidden="false" customHeight="false" outlineLevel="0" collapsed="false">
      <c r="A5342" s="20" t="s">
        <v>1076</v>
      </c>
      <c r="E5342" s="23" t="str">
        <f aca="false">IF(D5342="?OLD","!!!","")</f>
        <v/>
      </c>
      <c r="F5342" s="25" t="str">
        <f aca="false">IF(OR(E5342="",E5342="!!!"),"",IF(NOT(ISNA(VLOOKUP(E5342,E$1:E5341,1,FALSE()))),"OLD",IF(AND(E5342&lt;&gt;"",E5342&lt;&gt;"!!!"),"NEW","")))</f>
        <v/>
      </c>
      <c r="G5342" s="26" t="str">
        <f aca="false">IF(OR(E5342="",E5342="!!!"),"",IF(OR(J5342=0,AND(J5342=1,K5342=1),AND(J5342=1,I5342="SBJ"),AND(J5342=1,I5342=0)),"?IN_FOCUS",IF(J5342&lt;=2,"?ACTIVATED",IF(J5342&lt;&gt;"","?FAMILIAR",IF(F5342="NEW",IF(ISNA(VLOOKUP(E5342,#REF!,1,FALSE())),"?TYPE_IDENTIFIABLE","?REFERENTIAL"),"_")))))</f>
        <v/>
      </c>
      <c r="H5342" s="27" t="str">
        <f aca="false">IF(J5342&lt;&gt;1,"",IF(I5342="SBJ","CB","?"))</f>
        <v/>
      </c>
      <c r="I5342" s="24" t="str">
        <f aca="false">IF(OR(E5342="",E5342="!!!",F5342="NEW"),"",INDEX(B24:B$5319,-1+SUMPRODUCT(MAX(ROW(E24:E$5319)*(E5342=E24:E$5319)))))</f>
        <v/>
      </c>
      <c r="J5342" s="24" t="str">
        <f aca="true">IF(OR(E5342="",E5342="!!!",F5342="NEW"),"",COUNTBLANK(OFFSET(A$1,,,SUMPRODUCT(MAX(ROW(E$2:E5342)*(E5342=E$2:E5342)))))-COUNTBLANK(OFFSET(A$1,,,SUMPRODUCT(MAX(ROW(E$1:E5341)*(E2=E$1:E5341))))))</f>
        <v/>
      </c>
      <c r="K5342" s="24" t="str">
        <f aca="false">IF(OR(E5342="",E5342="!!!",F5342="NEW"),"",INDEX(J$1:J5341,SUMPRODUCT(MAX(ROW(E$1:E5341)*(E5342=E$1:E5341)))))</f>
        <v/>
      </c>
      <c r="L5342" s="31"/>
    </row>
    <row r="5343" customFormat="false" ht="15" hidden="false" customHeight="false" outlineLevel="0" collapsed="false">
      <c r="A5343" s="20" t="s">
        <v>1128</v>
      </c>
      <c r="E5343" s="23" t="str">
        <f aca="false">IF(D5343="?OLD","!!!","")</f>
        <v/>
      </c>
      <c r="F5343" s="25" t="str">
        <f aca="false">IF(OR(E5343="",E5343="!!!"),"",IF(NOT(ISNA(VLOOKUP(E5343,E$1:E5342,1,FALSE()))),"OLD",IF(AND(E5343&lt;&gt;"",E5343&lt;&gt;"!!!"),"NEW","")))</f>
        <v/>
      </c>
      <c r="G5343" s="26" t="str">
        <f aca="false">IF(OR(E5343="",E5343="!!!"),"",IF(OR(J5343=0,AND(J5343=1,K5343=1),AND(J5343=1,I5343="SBJ"),AND(J5343=1,I5343=0)),"?IN_FOCUS",IF(J5343&lt;=2,"?ACTIVATED",IF(J5343&lt;&gt;"","?FAMILIAR",IF(F5343="NEW",IF(ISNA(VLOOKUP(E5343,#REF!,1,FALSE())),"?TYPE_IDENTIFIABLE","?REFERENTIAL"),"_")))))</f>
        <v/>
      </c>
      <c r="H5343" s="27" t="str">
        <f aca="false">IF(J5343&lt;&gt;1,"",IF(I5343="SBJ","CB","?"))</f>
        <v/>
      </c>
      <c r="I5343" s="24" t="str">
        <f aca="false">IF(OR(E5343="",E5343="!!!",F5343="NEW"),"",INDEX(B25:B$5319,-1+SUMPRODUCT(MAX(ROW(E25:E$5319)*(E5343=E25:E$5319)))))</f>
        <v/>
      </c>
      <c r="J5343" s="24" t="str">
        <f aca="true">IF(OR(E5343="",E5343="!!!",F5343="NEW"),"",COUNTBLANK(OFFSET(A$1,,,SUMPRODUCT(MAX(ROW(E$2:E5343)*(E5343=E$2:E5343)))))-COUNTBLANK(OFFSET(A$1,,,SUMPRODUCT(MAX(ROW(E$1:E5342)*(E2=E$1:E5342))))))</f>
        <v/>
      </c>
      <c r="K5343" s="24" t="str">
        <f aca="false">IF(OR(E5343="",E5343="!!!",F5343="NEW"),"",INDEX(J$1:J5342,SUMPRODUCT(MAX(ROW(E$1:E5342)*(E5343=E$1:E5342)))))</f>
        <v/>
      </c>
      <c r="L5343" s="31"/>
    </row>
    <row r="5344" customFormat="false" ht="15" hidden="false" customHeight="false" outlineLevel="0" collapsed="false">
      <c r="A5344" s="20" t="s">
        <v>1080</v>
      </c>
      <c r="B5344" s="22" t="s">
        <v>1086</v>
      </c>
      <c r="C5344" s="22" t="s">
        <v>1082</v>
      </c>
      <c r="D5344" s="22" t="s">
        <v>1060</v>
      </c>
      <c r="E5344" s="23" t="str">
        <f aca="false">IF(D5344="?OLD","!!!","")</f>
        <v>!!!</v>
      </c>
      <c r="F5344" s="25" t="str">
        <f aca="false">IF(OR(E5344="",E5344="!!!"),"",IF(NOT(ISNA(VLOOKUP(E5344,E$1:E5343,1,FALSE()))),"OLD",IF(AND(E5344&lt;&gt;"",E5344&lt;&gt;"!!!"),"NEW","")))</f>
        <v/>
      </c>
      <c r="G5344" s="26" t="str">
        <f aca="false">IF(OR(E5344="",E5344="!!!"),"",IF(OR(J5344=0,AND(J5344=1,K5344=1),AND(J5344=1,I5344="SBJ"),AND(J5344=1,I5344=0)),"?IN_FOCUS",IF(J5344&lt;=2,"?ACTIVATED",IF(J5344&lt;&gt;"","?FAMILIAR",IF(F5344="NEW",IF(ISNA(VLOOKUP(E5344,#REF!,1,FALSE())),"?TYPE_IDENTIFIABLE","?REFERENTIAL"),"_")))))</f>
        <v/>
      </c>
      <c r="H5344" s="27" t="str">
        <f aca="false">IF(J5344&lt;&gt;1,"",IF(I5344="SBJ","CB","?"))</f>
        <v/>
      </c>
      <c r="I5344" s="24" t="str">
        <f aca="false">IF(OR(E5344="",E5344="!!!",F5344="NEW"),"",INDEX(B26:B$5319,-1+SUMPRODUCT(MAX(ROW(E26:E$5319)*(E5344=E26:E$5319)))))</f>
        <v/>
      </c>
      <c r="J5344" s="24" t="str">
        <f aca="true">IF(OR(E5344="",E5344="!!!",F5344="NEW"),"",COUNTBLANK(OFFSET(A$1,,,SUMPRODUCT(MAX(ROW(E$2:E5344)*(E5344=E$2:E5344)))))-COUNTBLANK(OFFSET(A$1,,,SUMPRODUCT(MAX(ROW(E$1:E5343)*(E2=E$1:E5343))))))</f>
        <v/>
      </c>
      <c r="K5344" s="24" t="str">
        <f aca="false">IF(OR(E5344="",E5344="!!!",F5344="NEW"),"",INDEX(J$1:J5343,SUMPRODUCT(MAX(ROW(E$1:E5343)*(E5344=E$1:E5343)))))</f>
        <v/>
      </c>
      <c r="L5344" s="31"/>
    </row>
    <row r="5345" customFormat="false" ht="15" hidden="false" customHeight="false" outlineLevel="0" collapsed="false">
      <c r="A5345" s="20" t="s">
        <v>1092</v>
      </c>
      <c r="E5345" s="23" t="str">
        <f aca="false">IF(D5345="?OLD","!!!","")</f>
        <v/>
      </c>
      <c r="F5345" s="25" t="str">
        <f aca="false">IF(OR(E5345="",E5345="!!!"),"",IF(NOT(ISNA(VLOOKUP(E5345,E$1:E5344,1,FALSE()))),"OLD",IF(AND(E5345&lt;&gt;"",E5345&lt;&gt;"!!!"),"NEW","")))</f>
        <v/>
      </c>
      <c r="G5345" s="26" t="str">
        <f aca="false">IF(OR(E5345="",E5345="!!!"),"",IF(OR(J5345=0,AND(J5345=1,K5345=1),AND(J5345=1,I5345="SBJ"),AND(J5345=1,I5345=0)),"?IN_FOCUS",IF(J5345&lt;=2,"?ACTIVATED",IF(J5345&lt;&gt;"","?FAMILIAR",IF(F5345="NEW",IF(ISNA(VLOOKUP(E5345,#REF!,1,FALSE())),"?TYPE_IDENTIFIABLE","?REFERENTIAL"),"_")))))</f>
        <v/>
      </c>
      <c r="H5345" s="27" t="str">
        <f aca="false">IF(J5345&lt;&gt;1,"",IF(I5345="SBJ","CB","?"))</f>
        <v/>
      </c>
      <c r="I5345" s="24" t="str">
        <f aca="false">IF(OR(E5345="",E5345="!!!",F5345="NEW"),"",INDEX(B27:B$5319,-1+SUMPRODUCT(MAX(ROW(E27:E$5319)*(E5345=E27:E$5319)))))</f>
        <v/>
      </c>
      <c r="J5345" s="24" t="str">
        <f aca="true">IF(OR(E5345="",E5345="!!!",F5345="NEW"),"",COUNTBLANK(OFFSET(A$1,,,SUMPRODUCT(MAX(ROW(E$2:E5345)*(E5345=E$2:E5345)))))-COUNTBLANK(OFFSET(A$1,,,SUMPRODUCT(MAX(ROW(E$1:E5344)*(E2=E$1:E5344))))))</f>
        <v/>
      </c>
      <c r="K5345" s="24" t="str">
        <f aca="false">IF(OR(E5345="",E5345="!!!",F5345="NEW"),"",INDEX(J$1:J5344,SUMPRODUCT(MAX(ROW(E$1:E5344)*(E5345=E$1:E5344)))))</f>
        <v/>
      </c>
      <c r="L5345" s="31"/>
    </row>
    <row r="5346" customFormat="false" ht="15" hidden="false" customHeight="false" outlineLevel="0" collapsed="false">
      <c r="A5346" s="20" t="s">
        <v>1199</v>
      </c>
      <c r="E5346" s="23" t="str">
        <f aca="false">IF(D5346="?OLD","!!!","")</f>
        <v/>
      </c>
      <c r="F5346" s="25" t="str">
        <f aca="false">IF(OR(E5346="",E5346="!!!"),"",IF(NOT(ISNA(VLOOKUP(E5346,E$1:E5345,1,FALSE()))),"OLD",IF(AND(E5346&lt;&gt;"",E5346&lt;&gt;"!!!"),"NEW","")))</f>
        <v/>
      </c>
      <c r="G5346" s="26" t="str">
        <f aca="false">IF(OR(E5346="",E5346="!!!"),"",IF(OR(J5346=0,AND(J5346=1,K5346=1),AND(J5346=1,I5346="SBJ"),AND(J5346=1,I5346=0)),"?IN_FOCUS",IF(J5346&lt;=2,"?ACTIVATED",IF(J5346&lt;&gt;"","?FAMILIAR",IF(F5346="NEW",IF(ISNA(VLOOKUP(E5346,#REF!,1,FALSE())),"?TYPE_IDENTIFIABLE","?REFERENTIAL"),"_")))))</f>
        <v/>
      </c>
      <c r="H5346" s="27" t="str">
        <f aca="false">IF(J5346&lt;&gt;1,"",IF(I5346="SBJ","CB","?"))</f>
        <v/>
      </c>
      <c r="I5346" s="24" t="str">
        <f aca="false">IF(OR(E5346="",E5346="!!!",F5346="NEW"),"",INDEX(B28:B$5319,-1+SUMPRODUCT(MAX(ROW(E28:E$5319)*(E5346=E28:E$5319)))))</f>
        <v/>
      </c>
      <c r="J5346" s="24" t="str">
        <f aca="true">IF(OR(E5346="",E5346="!!!",F5346="NEW"),"",COUNTBLANK(OFFSET(A$1,,,SUMPRODUCT(MAX(ROW(E$2:E5346)*(E5346=E$2:E5346)))))-COUNTBLANK(OFFSET(A$1,,,SUMPRODUCT(MAX(ROW(E$1:E5345)*(E2=E$1:E5345))))))</f>
        <v/>
      </c>
      <c r="K5346" s="24" t="str">
        <f aca="false">IF(OR(E5346="",E5346="!!!",F5346="NEW"),"",INDEX(J$1:J5345,SUMPRODUCT(MAX(ROW(E$1:E5345)*(E5346=E$1:E5345)))))</f>
        <v/>
      </c>
      <c r="L5346" s="31"/>
    </row>
    <row r="5347" customFormat="false" ht="15" hidden="false" customHeight="false" outlineLevel="0" collapsed="false">
      <c r="A5347" s="20" t="s">
        <v>1224</v>
      </c>
      <c r="E5347" s="23" t="str">
        <f aca="false">IF(D5347="?OLD","!!!","")</f>
        <v/>
      </c>
      <c r="F5347" s="25" t="str">
        <f aca="false">IF(OR(E5347="",E5347="!!!"),"",IF(NOT(ISNA(VLOOKUP(E5347,E$1:E5346,1,FALSE()))),"OLD",IF(AND(E5347&lt;&gt;"",E5347&lt;&gt;"!!!"),"NEW","")))</f>
        <v/>
      </c>
      <c r="G5347" s="26" t="str">
        <f aca="false">IF(OR(E5347="",E5347="!!!"),"",IF(OR(J5347=0,AND(J5347=1,K5347=1),AND(J5347=1,I5347="SBJ"),AND(J5347=1,I5347=0)),"?IN_FOCUS",IF(J5347&lt;=2,"?ACTIVATED",IF(J5347&lt;&gt;"","?FAMILIAR",IF(F5347="NEW",IF(ISNA(VLOOKUP(E5347,#REF!,1,FALSE())),"?TYPE_IDENTIFIABLE","?REFERENTIAL"),"_")))))</f>
        <v/>
      </c>
      <c r="H5347" s="27" t="str">
        <f aca="false">IF(J5347&lt;&gt;1,"",IF(I5347="SBJ","CB","?"))</f>
        <v/>
      </c>
      <c r="I5347" s="24" t="str">
        <f aca="false">IF(OR(E5347="",E5347="!!!",F5347="NEW"),"",INDEX(B29:B$5319,-1+SUMPRODUCT(MAX(ROW(E29:E$5319)*(E5347=E29:E$5319)))))</f>
        <v/>
      </c>
      <c r="J5347" s="24" t="str">
        <f aca="true">IF(OR(E5347="",E5347="!!!",F5347="NEW"),"",COUNTBLANK(OFFSET(A$1,,,SUMPRODUCT(MAX(ROW(E$2:E5347)*(E5347=E$2:E5347)))))-COUNTBLANK(OFFSET(A$1,,,SUMPRODUCT(MAX(ROW(E$1:E5346)*(E2=E$1:E5346))))))</f>
        <v/>
      </c>
      <c r="K5347" s="24" t="str">
        <f aca="false">IF(OR(E5347="",E5347="!!!",F5347="NEW"),"",INDEX(J$1:J5346,SUMPRODUCT(MAX(ROW(E$1:E5346)*(E5347=E$1:E5346)))))</f>
        <v/>
      </c>
      <c r="L5347" s="31"/>
    </row>
    <row r="5348" customFormat="false" ht="15" hidden="false" customHeight="false" outlineLevel="0" collapsed="false">
      <c r="A5348" s="20" t="s">
        <v>1109</v>
      </c>
      <c r="E5348" s="23" t="str">
        <f aca="false">IF(D5348="?OLD","!!!","")</f>
        <v/>
      </c>
      <c r="F5348" s="25" t="str">
        <f aca="false">IF(OR(E5348="",E5348="!!!"),"",IF(NOT(ISNA(VLOOKUP(E5348,E$1:E5347,1,FALSE()))),"OLD",IF(AND(E5348&lt;&gt;"",E5348&lt;&gt;"!!!"),"NEW","")))</f>
        <v/>
      </c>
      <c r="G5348" s="26" t="str">
        <f aca="false">IF(OR(E5348="",E5348="!!!"),"",IF(OR(J5348=0,AND(J5348=1,K5348=1),AND(J5348=1,I5348="SBJ"),AND(J5348=1,I5348=0)),"?IN_FOCUS",IF(J5348&lt;=2,"?ACTIVATED",IF(J5348&lt;&gt;"","?FAMILIAR",IF(F5348="NEW",IF(ISNA(VLOOKUP(E5348,#REF!,1,FALSE())),"?TYPE_IDENTIFIABLE","?REFERENTIAL"),"_")))))</f>
        <v/>
      </c>
      <c r="H5348" s="27" t="str">
        <f aca="false">IF(J5348&lt;&gt;1,"",IF(I5348="SBJ","CB","?"))</f>
        <v/>
      </c>
      <c r="I5348" s="24" t="str">
        <f aca="false">IF(OR(E5348="",E5348="!!!",F5348="NEW"),"",INDEX(B30:B$5319,-1+SUMPRODUCT(MAX(ROW(E30:E$5319)*(E5348=E30:E$5319)))))</f>
        <v/>
      </c>
      <c r="J5348" s="24" t="str">
        <f aca="true">IF(OR(E5348="",E5348="!!!",F5348="NEW"),"",COUNTBLANK(OFFSET(A$1,,,SUMPRODUCT(MAX(ROW(E$2:E5348)*(E5348=E$2:E5348)))))-COUNTBLANK(OFFSET(A$1,,,SUMPRODUCT(MAX(ROW(E$1:E5347)*(E2=E$1:E5347))))))</f>
        <v/>
      </c>
      <c r="K5348" s="24" t="str">
        <f aca="false">IF(OR(E5348="",E5348="!!!",F5348="NEW"),"",INDEX(J$1:J5347,SUMPRODUCT(MAX(ROW(E$1:E5347)*(E5348=E$1:E5347)))))</f>
        <v/>
      </c>
      <c r="L5348" s="31"/>
    </row>
    <row r="5349" customFormat="false" ht="15" hidden="false" customHeight="false" outlineLevel="0" collapsed="false">
      <c r="A5349" s="20" t="s">
        <v>1242</v>
      </c>
      <c r="E5349" s="23" t="str">
        <f aca="false">IF(D5349="?OLD","!!!","")</f>
        <v/>
      </c>
      <c r="F5349" s="25" t="str">
        <f aca="false">IF(OR(E5349="",E5349="!!!"),"",IF(NOT(ISNA(VLOOKUP(E5349,E$1:E5348,1,FALSE()))),"OLD",IF(AND(E5349&lt;&gt;"",E5349&lt;&gt;"!!!"),"NEW","")))</f>
        <v/>
      </c>
      <c r="G5349" s="26" t="str">
        <f aca="false">IF(OR(E5349="",E5349="!!!"),"",IF(OR(J5349=0,AND(J5349=1,K5349=1),AND(J5349=1,I5349="SBJ"),AND(J5349=1,I5349=0)),"?IN_FOCUS",IF(J5349&lt;=2,"?ACTIVATED",IF(J5349&lt;&gt;"","?FAMILIAR",IF(F5349="NEW",IF(ISNA(VLOOKUP(E5349,#REF!,1,FALSE())),"?TYPE_IDENTIFIABLE","?REFERENTIAL"),"_")))))</f>
        <v/>
      </c>
      <c r="H5349" s="27" t="str">
        <f aca="false">IF(J5349&lt;&gt;1,"",IF(I5349="SBJ","CB","?"))</f>
        <v/>
      </c>
      <c r="I5349" s="24" t="str">
        <f aca="false">IF(OR(E5349="",E5349="!!!",F5349="NEW"),"",INDEX(B31:B$5319,-1+SUMPRODUCT(MAX(ROW(E31:E$5319)*(E5349=E31:E$5319)))))</f>
        <v/>
      </c>
      <c r="J5349" s="24" t="str">
        <f aca="true">IF(OR(E5349="",E5349="!!!",F5349="NEW"),"",COUNTBLANK(OFFSET(A$1,,,SUMPRODUCT(MAX(ROW(E$2:E5349)*(E5349=E$2:E5349)))))-COUNTBLANK(OFFSET(A$1,,,SUMPRODUCT(MAX(ROW(E$1:E5348)*(E2=E$1:E5348))))))</f>
        <v/>
      </c>
      <c r="K5349" s="24" t="str">
        <f aca="false">IF(OR(E5349="",E5349="!!!",F5349="NEW"),"",INDEX(J$1:J5348,SUMPRODUCT(MAX(ROW(E$1:E5348)*(E5349=E$1:E5348)))))</f>
        <v/>
      </c>
      <c r="L5349" s="31"/>
    </row>
    <row r="5350" customFormat="false" ht="15" hidden="false" customHeight="false" outlineLevel="0" collapsed="false">
      <c r="A5350" s="20" t="s">
        <v>2348</v>
      </c>
      <c r="B5350" s="22" t="s">
        <v>1105</v>
      </c>
      <c r="C5350" s="22" t="s">
        <v>1150</v>
      </c>
      <c r="D5350" s="22" t="s">
        <v>1060</v>
      </c>
      <c r="E5350" s="23" t="str">
        <f aca="false">IF(D5350="?OLD","!!!","")</f>
        <v>!!!</v>
      </c>
      <c r="F5350" s="25" t="str">
        <f aca="false">IF(OR(E5350="",E5350="!!!"),"",IF(NOT(ISNA(VLOOKUP(E5350,E$1:E5349,1,FALSE()))),"OLD",IF(AND(E5350&lt;&gt;"",E5350&lt;&gt;"!!!"),"NEW","")))</f>
        <v/>
      </c>
      <c r="G5350" s="26" t="str">
        <f aca="false">IF(OR(E5350="",E5350="!!!"),"",IF(OR(J5350=0,AND(J5350=1,K5350=1),AND(J5350=1,I5350="SBJ"),AND(J5350=1,I5350=0)),"?IN_FOCUS",IF(J5350&lt;=2,"?ACTIVATED",IF(J5350&lt;&gt;"","?FAMILIAR",IF(F5350="NEW",IF(ISNA(VLOOKUP(E5350,#REF!,1,FALSE())),"?TYPE_IDENTIFIABLE","?REFERENTIAL"),"_")))))</f>
        <v/>
      </c>
      <c r="H5350" s="27" t="str">
        <f aca="false">IF(J5350&lt;&gt;1,"",IF(I5350="SBJ","CB","?"))</f>
        <v/>
      </c>
      <c r="I5350" s="24" t="str">
        <f aca="false">IF(OR(E5350="",E5350="!!!",F5350="NEW"),"",INDEX(B32:B$5319,-1+SUMPRODUCT(MAX(ROW(E32:E$5319)*(E5350=E32:E$5319)))))</f>
        <v/>
      </c>
      <c r="J5350" s="24" t="str">
        <f aca="true">IF(OR(E5350="",E5350="!!!",F5350="NEW"),"",COUNTBLANK(OFFSET(A$1,,,SUMPRODUCT(MAX(ROW(E$2:E5350)*(E5350=E$2:E5350)))))-COUNTBLANK(OFFSET(A$1,,,SUMPRODUCT(MAX(ROW(E$1:E5349)*(E2=E$1:E5349))))))</f>
        <v/>
      </c>
      <c r="K5350" s="24" t="str">
        <f aca="false">IF(OR(E5350="",E5350="!!!",F5350="NEW"),"",INDEX(J$1:J5349,SUMPRODUCT(MAX(ROW(E$1:E5349)*(E5350=E$1:E5349)))))</f>
        <v/>
      </c>
      <c r="L5350" s="31"/>
    </row>
    <row r="5351" customFormat="false" ht="15" hidden="false" customHeight="false" outlineLevel="0" collapsed="false">
      <c r="A5351" s="20" t="s">
        <v>1076</v>
      </c>
      <c r="E5351" s="23" t="str">
        <f aca="false">IF(D5351="?OLD","!!!","")</f>
        <v/>
      </c>
      <c r="F5351" s="25" t="str">
        <f aca="false">IF(OR(E5351="",E5351="!!!"),"",IF(NOT(ISNA(VLOOKUP(E5351,E$1:E5350,1,FALSE()))),"OLD",IF(AND(E5351&lt;&gt;"",E5351&lt;&gt;"!!!"),"NEW","")))</f>
        <v/>
      </c>
      <c r="G5351" s="26" t="str">
        <f aca="false">IF(OR(E5351="",E5351="!!!"),"",IF(OR(J5351=0,AND(J5351=1,K5351=1),AND(J5351=1,I5351="SBJ"),AND(J5351=1,I5351=0)),"?IN_FOCUS",IF(J5351&lt;=2,"?ACTIVATED",IF(J5351&lt;&gt;"","?FAMILIAR",IF(F5351="NEW",IF(ISNA(VLOOKUP(E5351,#REF!,1,FALSE())),"?TYPE_IDENTIFIABLE","?REFERENTIAL"),"_")))))</f>
        <v/>
      </c>
      <c r="H5351" s="27" t="str">
        <f aca="false">IF(J5351&lt;&gt;1,"",IF(I5351="SBJ","CB","?"))</f>
        <v/>
      </c>
      <c r="I5351" s="24" t="str">
        <f aca="false">IF(OR(E5351="",E5351="!!!",F5351="NEW"),"",INDEX(B33:B$5319,-1+SUMPRODUCT(MAX(ROW(E33:E$5319)*(E5351=E33:E$5319)))))</f>
        <v/>
      </c>
      <c r="J5351" s="24" t="str">
        <f aca="true">IF(OR(E5351="",E5351="!!!",F5351="NEW"),"",COUNTBLANK(OFFSET(A$1,,,SUMPRODUCT(MAX(ROW(E$2:E5351)*(E5351=E$2:E5351)))))-COUNTBLANK(OFFSET(A$1,,,SUMPRODUCT(MAX(ROW(E$1:E5350)*(E2=E$1:E5350))))))</f>
        <v/>
      </c>
      <c r="K5351" s="24" t="str">
        <f aca="false">IF(OR(E5351="",E5351="!!!",F5351="NEW"),"",INDEX(J$1:J5350,SUMPRODUCT(MAX(ROW(E$1:E5350)*(E5351=E$1:E5350)))))</f>
        <v/>
      </c>
      <c r="L5351" s="31"/>
    </row>
    <row r="5352" customFormat="false" ht="15" hidden="false" customHeight="false" outlineLevel="0" collapsed="false">
      <c r="A5352" s="20" t="s">
        <v>1125</v>
      </c>
      <c r="B5352" s="22" t="s">
        <v>1146</v>
      </c>
      <c r="E5352" s="23" t="str">
        <f aca="false">IF(D5352="?OLD","!!!","")</f>
        <v/>
      </c>
      <c r="F5352" s="25" t="str">
        <f aca="false">IF(OR(E5352="",E5352="!!!"),"",IF(NOT(ISNA(VLOOKUP(E5352,E$1:E5351,1,FALSE()))),"OLD",IF(AND(E5352&lt;&gt;"",E5352&lt;&gt;"!!!"),"NEW","")))</f>
        <v/>
      </c>
      <c r="G5352" s="26" t="str">
        <f aca="false">IF(OR(E5352="",E5352="!!!"),"",IF(OR(J5352=0,AND(J5352=1,K5352=1),AND(J5352=1,I5352="SBJ"),AND(J5352=1,I5352=0)),"?IN_FOCUS",IF(J5352&lt;=2,"?ACTIVATED",IF(J5352&lt;&gt;"","?FAMILIAR",IF(F5352="NEW",IF(ISNA(VLOOKUP(E5352,#REF!,1,FALSE())),"?TYPE_IDENTIFIABLE","?REFERENTIAL"),"_")))))</f>
        <v/>
      </c>
      <c r="H5352" s="27" t="str">
        <f aca="false">IF(J5352&lt;&gt;1,"",IF(I5352="SBJ","CB","?"))</f>
        <v/>
      </c>
      <c r="I5352" s="24" t="str">
        <f aca="false">IF(OR(E5352="",E5352="!!!",F5352="NEW"),"",INDEX(B34:B$5319,-1+SUMPRODUCT(MAX(ROW(E34:E$5319)*(E5352=E34:E$5319)))))</f>
        <v/>
      </c>
      <c r="J5352" s="24" t="str">
        <f aca="true">IF(OR(E5352="",E5352="!!!",F5352="NEW"),"",COUNTBLANK(OFFSET(A$1,,,SUMPRODUCT(MAX(ROW(E$2:E5352)*(E5352=E$2:E5352)))))-COUNTBLANK(OFFSET(A$1,,,SUMPRODUCT(MAX(ROW(E$1:E5351)*(E2=E$1:E5351))))))</f>
        <v/>
      </c>
      <c r="K5352" s="24" t="str">
        <f aca="false">IF(OR(E5352="",E5352="!!!",F5352="NEW"),"",INDEX(J$1:J5351,SUMPRODUCT(MAX(ROW(E$1:E5351)*(E5352=E$1:E5351)))))</f>
        <v/>
      </c>
      <c r="L5352" s="31"/>
    </row>
    <row r="5353" customFormat="false" ht="15" hidden="false" customHeight="false" outlineLevel="0" collapsed="false">
      <c r="A5353" s="20" t="s">
        <v>1090</v>
      </c>
      <c r="B5353" s="22" t="s">
        <v>1091</v>
      </c>
      <c r="C5353" s="22" t="s">
        <v>1082</v>
      </c>
      <c r="D5353" s="22" t="s">
        <v>1060</v>
      </c>
      <c r="E5353" s="23" t="str">
        <f aca="false">IF(D5353="?OLD","!!!","")</f>
        <v>!!!</v>
      </c>
      <c r="F5353" s="25" t="str">
        <f aca="false">IF(OR(E5353="",E5353="!!!"),"",IF(NOT(ISNA(VLOOKUP(E5353,E$1:E5352,1,FALSE()))),"OLD",IF(AND(E5353&lt;&gt;"",E5353&lt;&gt;"!!!"),"NEW","")))</f>
        <v/>
      </c>
      <c r="G5353" s="26" t="str">
        <f aca="false">IF(OR(E5353="",E5353="!!!"),"",IF(OR(J5353=0,AND(J5353=1,K5353=1),AND(J5353=1,I5353="SBJ"),AND(J5353=1,I5353=0)),"?IN_FOCUS",IF(J5353&lt;=2,"?ACTIVATED",IF(J5353&lt;&gt;"","?FAMILIAR",IF(F5353="NEW",IF(ISNA(VLOOKUP(E5353,#REF!,1,FALSE())),"?TYPE_IDENTIFIABLE","?REFERENTIAL"),"_")))))</f>
        <v/>
      </c>
      <c r="H5353" s="27" t="str">
        <f aca="false">IF(J5353&lt;&gt;1,"",IF(I5353="SBJ","CB","?"))</f>
        <v/>
      </c>
      <c r="I5353" s="24" t="str">
        <f aca="false">IF(OR(E5353="",E5353="!!!",F5353="NEW"),"",INDEX(B35:B$5319,-1+SUMPRODUCT(MAX(ROW(E35:E$5319)*(E5353=E35:E$5319)))))</f>
        <v/>
      </c>
      <c r="J5353" s="24" t="str">
        <f aca="true">IF(OR(E5353="",E5353="!!!",F5353="NEW"),"",COUNTBLANK(OFFSET(A$1,,,SUMPRODUCT(MAX(ROW(E$2:E5353)*(E5353=E$2:E5353)))))-COUNTBLANK(OFFSET(A$1,,,SUMPRODUCT(MAX(ROW(E$1:E5352)*(E2=E$1:E5352))))))</f>
        <v/>
      </c>
      <c r="K5353" s="24" t="str">
        <f aca="false">IF(OR(E5353="",E5353="!!!",F5353="NEW"),"",INDEX(J$1:J5352,SUMPRODUCT(MAX(ROW(E$1:E5352)*(E5353=E$1:E5352)))))</f>
        <v/>
      </c>
      <c r="L5353" s="31"/>
    </row>
    <row r="5354" customFormat="false" ht="15" hidden="false" customHeight="false" outlineLevel="0" collapsed="false">
      <c r="A5354" s="20" t="s">
        <v>2579</v>
      </c>
      <c r="E5354" s="23" t="str">
        <f aca="false">IF(D5354="?OLD","!!!","")</f>
        <v/>
      </c>
      <c r="F5354" s="25" t="str">
        <f aca="false">IF(OR(E5354="",E5354="!!!"),"",IF(NOT(ISNA(VLOOKUP(E5354,E$1:E5353,1,FALSE()))),"OLD",IF(AND(E5354&lt;&gt;"",E5354&lt;&gt;"!!!"),"NEW","")))</f>
        <v/>
      </c>
      <c r="G5354" s="26" t="str">
        <f aca="false">IF(OR(E5354="",E5354="!!!"),"",IF(OR(J5354=0,AND(J5354=1,K5354=1),AND(J5354=1,I5354="SBJ"),AND(J5354=1,I5354=0)),"?IN_FOCUS",IF(J5354&lt;=2,"?ACTIVATED",IF(J5354&lt;&gt;"","?FAMILIAR",IF(F5354="NEW",IF(ISNA(VLOOKUP(E5354,#REF!,1,FALSE())),"?TYPE_IDENTIFIABLE","?REFERENTIAL"),"_")))))</f>
        <v/>
      </c>
      <c r="H5354" s="27" t="str">
        <f aca="false">IF(J5354&lt;&gt;1,"",IF(I5354="SBJ","CB","?"))</f>
        <v/>
      </c>
      <c r="I5354" s="24" t="str">
        <f aca="false">IF(OR(E5354="",E5354="!!!",F5354="NEW"),"",INDEX(B36:B$5319,-1+SUMPRODUCT(MAX(ROW(E36:E$5319)*(E5354=E36:E$5319)))))</f>
        <v/>
      </c>
      <c r="J5354" s="24" t="str">
        <f aca="true">IF(OR(E5354="",E5354="!!!",F5354="NEW"),"",COUNTBLANK(OFFSET(A$1,,,SUMPRODUCT(MAX(ROW(E$2:E5354)*(E5354=E$2:E5354)))))-COUNTBLANK(OFFSET(A$1,,,SUMPRODUCT(MAX(ROW(E$1:E5353)*(E2=E$1:E5353))))))</f>
        <v/>
      </c>
      <c r="K5354" s="24" t="str">
        <f aca="false">IF(OR(E5354="",E5354="!!!",F5354="NEW"),"",INDEX(J$1:J5353,SUMPRODUCT(MAX(ROW(E$1:E5353)*(E5354=E$1:E5353)))))</f>
        <v/>
      </c>
      <c r="L5354" s="31"/>
    </row>
    <row r="5355" customFormat="false" ht="15" hidden="false" customHeight="false" outlineLevel="0" collapsed="false">
      <c r="A5355" s="20" t="s">
        <v>1157</v>
      </c>
      <c r="E5355" s="23" t="str">
        <f aca="false">IF(D5355="?OLD","!!!","")</f>
        <v/>
      </c>
      <c r="F5355" s="25" t="str">
        <f aca="false">IF(OR(E5355="",E5355="!!!"),"",IF(NOT(ISNA(VLOOKUP(E5355,E$1:E5354,1,FALSE()))),"OLD",IF(AND(E5355&lt;&gt;"",E5355&lt;&gt;"!!!"),"NEW","")))</f>
        <v/>
      </c>
      <c r="G5355" s="26" t="str">
        <f aca="false">IF(OR(E5355="",E5355="!!!"),"",IF(OR(J5355=0,AND(J5355=1,K5355=1),AND(J5355=1,I5355="SBJ"),AND(J5355=1,I5355=0)),"?IN_FOCUS",IF(J5355&lt;=2,"?ACTIVATED",IF(J5355&lt;&gt;"","?FAMILIAR",IF(F5355="NEW",IF(ISNA(VLOOKUP(E5355,#REF!,1,FALSE())),"?TYPE_IDENTIFIABLE","?REFERENTIAL"),"_")))))</f>
        <v/>
      </c>
      <c r="H5355" s="27" t="str">
        <f aca="false">IF(J5355&lt;&gt;1,"",IF(I5355="SBJ","CB","?"))</f>
        <v/>
      </c>
      <c r="I5355" s="24" t="str">
        <f aca="false">IF(OR(E5355="",E5355="!!!",F5355="NEW"),"",INDEX(B37:B$5319,-1+SUMPRODUCT(MAX(ROW(E37:E$5319)*(E5355=E37:E$5319)))))</f>
        <v/>
      </c>
      <c r="J5355" s="24" t="str">
        <f aca="true">IF(OR(E5355="",E5355="!!!",F5355="NEW"),"",COUNTBLANK(OFFSET(A$1,,,SUMPRODUCT(MAX(ROW(E$2:E5355)*(E5355=E$2:E5355)))))-COUNTBLANK(OFFSET(A$1,,,SUMPRODUCT(MAX(ROW(E$1:E5354)*(E2=E$1:E5354))))))</f>
        <v/>
      </c>
      <c r="K5355" s="24" t="str">
        <f aca="false">IF(OR(E5355="",E5355="!!!",F5355="NEW"),"",INDEX(J$1:J5354,SUMPRODUCT(MAX(ROW(E$1:E5354)*(E5355=E$1:E5354)))))</f>
        <v/>
      </c>
      <c r="L5355" s="31"/>
    </row>
    <row r="5356" customFormat="false" ht="15" hidden="false" customHeight="false" outlineLevel="0" collapsed="false">
      <c r="A5356" s="20" t="s">
        <v>1109</v>
      </c>
      <c r="E5356" s="23" t="str">
        <f aca="false">IF(D5356="?OLD","!!!","")</f>
        <v/>
      </c>
      <c r="F5356" s="25" t="str">
        <f aca="false">IF(OR(E5356="",E5356="!!!"),"",IF(NOT(ISNA(VLOOKUP(E5356,E$1:E5355,1,FALSE()))),"OLD",IF(AND(E5356&lt;&gt;"",E5356&lt;&gt;"!!!"),"NEW","")))</f>
        <v/>
      </c>
      <c r="G5356" s="26" t="str">
        <f aca="false">IF(OR(E5356="",E5356="!!!"),"",IF(OR(J5356=0,AND(J5356=1,K5356=1),AND(J5356=1,I5356="SBJ"),AND(J5356=1,I5356=0)),"?IN_FOCUS",IF(J5356&lt;=2,"?ACTIVATED",IF(J5356&lt;&gt;"","?FAMILIAR",IF(F5356="NEW",IF(ISNA(VLOOKUP(E5356,#REF!,1,FALSE())),"?TYPE_IDENTIFIABLE","?REFERENTIAL"),"_")))))</f>
        <v/>
      </c>
      <c r="H5356" s="27" t="str">
        <f aca="false">IF(J5356&lt;&gt;1,"",IF(I5356="SBJ","CB","?"))</f>
        <v/>
      </c>
      <c r="I5356" s="24" t="str">
        <f aca="false">IF(OR(E5356="",E5356="!!!",F5356="NEW"),"",INDEX(B38:B$5319,-1+SUMPRODUCT(MAX(ROW(E38:E$5319)*(E5356=E38:E$5319)))))</f>
        <v/>
      </c>
      <c r="J5356" s="24" t="str">
        <f aca="true">IF(OR(E5356="",E5356="!!!",F5356="NEW"),"",COUNTBLANK(OFFSET(A$1,,,SUMPRODUCT(MAX(ROW(E$2:E5356)*(E5356=E$2:E5356)))))-COUNTBLANK(OFFSET(A$1,,,SUMPRODUCT(MAX(ROW(E$1:E5355)*(E2=E$1:E5355))))))</f>
        <v/>
      </c>
      <c r="K5356" s="24" t="str">
        <f aca="false">IF(OR(E5356="",E5356="!!!",F5356="NEW"),"",INDEX(J$1:J5355,SUMPRODUCT(MAX(ROW(E$1:E5355)*(E5356=E$1:E5355)))))</f>
        <v/>
      </c>
      <c r="L5356" s="31"/>
    </row>
    <row r="5357" customFormat="false" ht="15" hidden="false" customHeight="false" outlineLevel="0" collapsed="false">
      <c r="A5357" s="20" t="s">
        <v>1370</v>
      </c>
      <c r="B5357" s="22" t="s">
        <v>1067</v>
      </c>
      <c r="C5357" s="22" t="s">
        <v>1059</v>
      </c>
      <c r="D5357" s="22" t="s">
        <v>1060</v>
      </c>
      <c r="E5357" s="23" t="str">
        <f aca="false">IF(D5357="?OLD","!!!","")</f>
        <v>!!!</v>
      </c>
      <c r="F5357" s="25" t="str">
        <f aca="false">IF(OR(E5357="",E5357="!!!"),"",IF(NOT(ISNA(VLOOKUP(E5357,E$1:E5356,1,FALSE()))),"OLD",IF(AND(E5357&lt;&gt;"",E5357&lt;&gt;"!!!"),"NEW","")))</f>
        <v/>
      </c>
      <c r="G5357" s="26" t="str">
        <f aca="false">IF(OR(E5357="",E5357="!!!"),"",IF(OR(J5357=0,AND(J5357=1,K5357=1),AND(J5357=1,I5357="SBJ"),AND(J5357=1,I5357=0)),"?IN_FOCUS",IF(J5357&lt;=2,"?ACTIVATED",IF(J5357&lt;&gt;"","?FAMILIAR",IF(F5357="NEW",IF(ISNA(VLOOKUP(E5357,#REF!,1,FALSE())),"?TYPE_IDENTIFIABLE","?REFERENTIAL"),"_")))))</f>
        <v/>
      </c>
      <c r="H5357" s="27" t="str">
        <f aca="false">IF(J5357&lt;&gt;1,"",IF(I5357="SBJ","CB","?"))</f>
        <v/>
      </c>
      <c r="I5357" s="24" t="str">
        <f aca="false">IF(OR(E5357="",E5357="!!!",F5357="NEW"),"",INDEX(B39:B$5319,-1+SUMPRODUCT(MAX(ROW(E39:E$5319)*(E5357=E39:E$5319)))))</f>
        <v/>
      </c>
      <c r="J5357" s="24" t="str">
        <f aca="true">IF(OR(E5357="",E5357="!!!",F5357="NEW"),"",COUNTBLANK(OFFSET(A$1,,,SUMPRODUCT(MAX(ROW(E$2:E5357)*(E5357=E$2:E5357)))))-COUNTBLANK(OFFSET(A$1,,,SUMPRODUCT(MAX(ROW(E$1:E5356)*(E2=E$1:E5356))))))</f>
        <v/>
      </c>
      <c r="K5357" s="24" t="str">
        <f aca="false">IF(OR(E5357="",E5357="!!!",F5357="NEW"),"",INDEX(J$1:J5356,SUMPRODUCT(MAX(ROW(E$1:E5356)*(E5357=E$1:E5356)))))</f>
        <v/>
      </c>
      <c r="L5357" s="31"/>
    </row>
    <row r="5358" customFormat="false" ht="15" hidden="false" customHeight="false" outlineLevel="0" collapsed="false">
      <c r="A5358" s="20" t="s">
        <v>1064</v>
      </c>
      <c r="E5358" s="23" t="str">
        <f aca="false">IF(D5358="?OLD","!!!","")</f>
        <v/>
      </c>
      <c r="F5358" s="25" t="str">
        <f aca="false">IF(OR(E5358="",E5358="!!!"),"",IF(NOT(ISNA(VLOOKUP(E5358,E$1:E5357,1,FALSE()))),"OLD",IF(AND(E5358&lt;&gt;"",E5358&lt;&gt;"!!!"),"NEW","")))</f>
        <v/>
      </c>
      <c r="G5358" s="26" t="str">
        <f aca="false">IF(OR(E5358="",E5358="!!!"),"",IF(OR(J5358=0,AND(J5358=1,K5358=1),AND(J5358=1,I5358="SBJ"),AND(J5358=1,I5358=0)),"?IN_FOCUS",IF(J5358&lt;=2,"?ACTIVATED",IF(J5358&lt;&gt;"","?FAMILIAR",IF(F5358="NEW",IF(ISNA(VLOOKUP(E5358,#REF!,1,FALSE())),"?TYPE_IDENTIFIABLE","?REFERENTIAL"),"_")))))</f>
        <v/>
      </c>
      <c r="H5358" s="27" t="str">
        <f aca="false">IF(J5358&lt;&gt;1,"",IF(I5358="SBJ","CB","?"))</f>
        <v/>
      </c>
      <c r="I5358" s="24" t="str">
        <f aca="false">IF(OR(E5358="",E5358="!!!",F5358="NEW"),"",INDEX(B40:B$5319,-1+SUMPRODUCT(MAX(ROW(E40:E$5319)*(E5358=E40:E$5319)))))</f>
        <v/>
      </c>
      <c r="J5358" s="24" t="str">
        <f aca="true">IF(OR(E5358="",E5358="!!!",F5358="NEW"),"",COUNTBLANK(OFFSET(A$1,,,SUMPRODUCT(MAX(ROW(E$2:E5358)*(E5358=E$2:E5358)))))-COUNTBLANK(OFFSET(A$1,,,SUMPRODUCT(MAX(ROW(E$1:E5357)*(E2=E$1:E5357))))))</f>
        <v/>
      </c>
      <c r="K5358" s="24" t="str">
        <f aca="false">IF(OR(E5358="",E5358="!!!",F5358="NEW"),"",INDEX(J$1:J5357,SUMPRODUCT(MAX(ROW(E$1:E5357)*(E5358=E$1:E5357)))))</f>
        <v/>
      </c>
      <c r="L5358" s="31"/>
    </row>
    <row r="5359" customFormat="false" ht="15" hidden="false" customHeight="false" outlineLevel="0" collapsed="false">
      <c r="A5359" s="20" t="s">
        <v>1760</v>
      </c>
      <c r="E5359" s="23" t="str">
        <f aca="false">IF(D5359="?OLD","!!!","")</f>
        <v/>
      </c>
      <c r="F5359" s="25" t="str">
        <f aca="false">IF(OR(E5359="",E5359="!!!"),"",IF(NOT(ISNA(VLOOKUP(E5359,E$1:E5358,1,FALSE()))),"OLD",IF(AND(E5359&lt;&gt;"",E5359&lt;&gt;"!!!"),"NEW","")))</f>
        <v/>
      </c>
      <c r="G5359" s="26" t="str">
        <f aca="false">IF(OR(E5359="",E5359="!!!"),"",IF(OR(J5359=0,AND(J5359=1,K5359=1),AND(J5359=1,I5359="SBJ"),AND(J5359=1,I5359=0)),"?IN_FOCUS",IF(J5359&lt;=2,"?ACTIVATED",IF(J5359&lt;&gt;"","?FAMILIAR",IF(F5359="NEW",IF(ISNA(VLOOKUP(E5359,#REF!,1,FALSE())),"?TYPE_IDENTIFIABLE","?REFERENTIAL"),"_")))))</f>
        <v/>
      </c>
      <c r="H5359" s="27" t="str">
        <f aca="false">IF(J5359&lt;&gt;1,"",IF(I5359="SBJ","CB","?"))</f>
        <v/>
      </c>
      <c r="I5359" s="24" t="str">
        <f aca="false">IF(OR(E5359="",E5359="!!!",F5359="NEW"),"",INDEX(B41:B$5319,-1+SUMPRODUCT(MAX(ROW(E41:E$5319)*(E5359=E41:E$5319)))))</f>
        <v/>
      </c>
      <c r="J5359" s="24" t="str">
        <f aca="true">IF(OR(E5359="",E5359="!!!",F5359="NEW"),"",COUNTBLANK(OFFSET(A$1,,,SUMPRODUCT(MAX(ROW(E$2:E5359)*(E5359=E$2:E5359)))))-COUNTBLANK(OFFSET(A$1,,,SUMPRODUCT(MAX(ROW(E$1:E5358)*(E2=E$1:E5358))))))</f>
        <v/>
      </c>
      <c r="K5359" s="24" t="str">
        <f aca="false">IF(OR(E5359="",E5359="!!!",F5359="NEW"),"",INDEX(J$1:J5358,SUMPRODUCT(MAX(ROW(E$1:E5358)*(E5359=E$1:E5358)))))</f>
        <v/>
      </c>
      <c r="L5359" s="31"/>
    </row>
    <row r="5360" customFormat="false" ht="15" hidden="false" customHeight="false" outlineLevel="0" collapsed="false">
      <c r="A5360" s="20" t="s">
        <v>1097</v>
      </c>
      <c r="B5360" s="22" t="s">
        <v>1098</v>
      </c>
      <c r="C5360" s="22" t="s">
        <v>1099</v>
      </c>
      <c r="D5360" s="22" t="s">
        <v>1060</v>
      </c>
      <c r="E5360" s="23" t="str">
        <f aca="false">IF(D5360="?OLD","!!!","")</f>
        <v>!!!</v>
      </c>
      <c r="F5360" s="25" t="str">
        <f aca="false">IF(OR(E5360="",E5360="!!!"),"",IF(NOT(ISNA(VLOOKUP(E5360,E$1:E5359,1,FALSE()))),"OLD",IF(AND(E5360&lt;&gt;"",E5360&lt;&gt;"!!!"),"NEW","")))</f>
        <v/>
      </c>
      <c r="G5360" s="26" t="str">
        <f aca="false">IF(OR(E5360="",E5360="!!!"),"",IF(OR(J5360=0,AND(J5360=1,K5360=1),AND(J5360=1,I5360="SBJ"),AND(J5360=1,I5360=0)),"?IN_FOCUS",IF(J5360&lt;=2,"?ACTIVATED",IF(J5360&lt;&gt;"","?FAMILIAR",IF(F5360="NEW",IF(ISNA(VLOOKUP(E5360,#REF!,1,FALSE())),"?TYPE_IDENTIFIABLE","?REFERENTIAL"),"_")))))</f>
        <v/>
      </c>
      <c r="H5360" s="27" t="str">
        <f aca="false">IF(J5360&lt;&gt;1,"",IF(I5360="SBJ","CB","?"))</f>
        <v/>
      </c>
      <c r="I5360" s="24" t="str">
        <f aca="false">IF(OR(E5360="",E5360="!!!",F5360="NEW"),"",INDEX(B42:B$5319,-1+SUMPRODUCT(MAX(ROW(E42:E$5319)*(E5360=E42:E$5319)))))</f>
        <v/>
      </c>
      <c r="J5360" s="24" t="str">
        <f aca="true">IF(OR(E5360="",E5360="!!!",F5360="NEW"),"",COUNTBLANK(OFFSET(A$1,,,SUMPRODUCT(MAX(ROW(E$2:E5360)*(E5360=E$2:E5360)))))-COUNTBLANK(OFFSET(A$1,,,SUMPRODUCT(MAX(ROW(E$1:E5359)*(E2=E$1:E5359))))))</f>
        <v/>
      </c>
      <c r="K5360" s="24" t="str">
        <f aca="false">IF(OR(E5360="",E5360="!!!",F5360="NEW"),"",INDEX(J$1:J5359,SUMPRODUCT(MAX(ROW(E$1:E5359)*(E5360=E$1:E5359)))))</f>
        <v/>
      </c>
      <c r="L5360" s="31"/>
    </row>
    <row r="5361" customFormat="false" ht="15" hidden="false" customHeight="false" outlineLevel="0" collapsed="false">
      <c r="A5361" s="20" t="s">
        <v>2580</v>
      </c>
      <c r="B5361" s="22" t="s">
        <v>1107</v>
      </c>
      <c r="C5361" s="22" t="s">
        <v>1059</v>
      </c>
      <c r="D5361" s="22" t="s">
        <v>1060</v>
      </c>
      <c r="E5361" s="23" t="str">
        <f aca="false">IF(D5361="?OLD","!!!","")</f>
        <v>!!!</v>
      </c>
      <c r="F5361" s="25" t="str">
        <f aca="false">IF(OR(E5361="",E5361="!!!"),"",IF(NOT(ISNA(VLOOKUP(E5361,E$1:E5360,1,FALSE()))),"OLD",IF(AND(E5361&lt;&gt;"",E5361&lt;&gt;"!!!"),"NEW","")))</f>
        <v/>
      </c>
      <c r="G5361" s="26" t="str">
        <f aca="false">IF(OR(E5361="",E5361="!!!"),"",IF(OR(J5361=0,AND(J5361=1,K5361=1),AND(J5361=1,I5361="SBJ"),AND(J5361=1,I5361=0)),"?IN_FOCUS",IF(J5361&lt;=2,"?ACTIVATED",IF(J5361&lt;&gt;"","?FAMILIAR",IF(F5361="NEW",IF(ISNA(VLOOKUP(E5361,#REF!,1,FALSE())),"?TYPE_IDENTIFIABLE","?REFERENTIAL"),"_")))))</f>
        <v/>
      </c>
      <c r="H5361" s="27" t="str">
        <f aca="false">IF(J5361&lt;&gt;1,"",IF(I5361="SBJ","CB","?"))</f>
        <v/>
      </c>
      <c r="I5361" s="24" t="str">
        <f aca="false">IF(OR(E5361="",E5361="!!!",F5361="NEW"),"",INDEX(B43:B$5319,-1+SUMPRODUCT(MAX(ROW(E43:E$5319)*(E5361=E43:E$5319)))))</f>
        <v/>
      </c>
      <c r="J5361" s="24" t="str">
        <f aca="true">IF(OR(E5361="",E5361="!!!",F5361="NEW"),"",COUNTBLANK(OFFSET(A$1,,,SUMPRODUCT(MAX(ROW(E$2:E5361)*(E5361=E$2:E5361)))))-COUNTBLANK(OFFSET(A$1,,,SUMPRODUCT(MAX(ROW(E$1:E5360)*(E2=E$1:E5360))))))</f>
        <v/>
      </c>
      <c r="K5361" s="24" t="str">
        <f aca="false">IF(OR(E5361="",E5361="!!!",F5361="NEW"),"",INDEX(J$1:J5360,SUMPRODUCT(MAX(ROW(E$1:E5360)*(E5361=E$1:E5360)))))</f>
        <v/>
      </c>
      <c r="L5361" s="31"/>
    </row>
    <row r="5362" customFormat="false" ht="15" hidden="false" customHeight="false" outlineLevel="0" collapsed="false">
      <c r="A5362" s="20" t="s">
        <v>1076</v>
      </c>
      <c r="E5362" s="23" t="str">
        <f aca="false">IF(D5362="?OLD","!!!","")</f>
        <v/>
      </c>
      <c r="F5362" s="25" t="str">
        <f aca="false">IF(OR(E5362="",E5362="!!!"),"",IF(NOT(ISNA(VLOOKUP(E5362,E$1:E5361,1,FALSE()))),"OLD",IF(AND(E5362&lt;&gt;"",E5362&lt;&gt;"!!!"),"NEW","")))</f>
        <v/>
      </c>
      <c r="G5362" s="26" t="str">
        <f aca="false">IF(OR(E5362="",E5362="!!!"),"",IF(OR(J5362=0,AND(J5362=1,K5362=1),AND(J5362=1,I5362="SBJ"),AND(J5362=1,I5362=0)),"?IN_FOCUS",IF(J5362&lt;=2,"?ACTIVATED",IF(J5362&lt;&gt;"","?FAMILIAR",IF(F5362="NEW",IF(ISNA(VLOOKUP(E5362,#REF!,1,FALSE())),"?TYPE_IDENTIFIABLE","?REFERENTIAL"),"_")))))</f>
        <v/>
      </c>
      <c r="H5362" s="27" t="str">
        <f aca="false">IF(J5362&lt;&gt;1,"",IF(I5362="SBJ","CB","?"))</f>
        <v/>
      </c>
      <c r="I5362" s="24" t="str">
        <f aca="false">IF(OR(E5362="",E5362="!!!",F5362="NEW"),"",INDEX(B44:B$5319,-1+SUMPRODUCT(MAX(ROW(E44:E$5319)*(E5362=E44:E$5319)))))</f>
        <v/>
      </c>
      <c r="J5362" s="24" t="str">
        <f aca="true">IF(OR(E5362="",E5362="!!!",F5362="NEW"),"",COUNTBLANK(OFFSET(A$1,,,SUMPRODUCT(MAX(ROW(E$2:E5362)*(E5362=E$2:E5362)))))-COUNTBLANK(OFFSET(A$1,,,SUMPRODUCT(MAX(ROW(E$1:E5361)*(E2=E$1:E5361))))))</f>
        <v/>
      </c>
      <c r="K5362" s="24" t="str">
        <f aca="false">IF(OR(E5362="",E5362="!!!",F5362="NEW"),"",INDEX(J$1:J5361,SUMPRODUCT(MAX(ROW(E$1:E5361)*(E5362=E$1:E5361)))))</f>
        <v/>
      </c>
      <c r="L5362" s="31"/>
    </row>
    <row r="5363" customFormat="false" ht="15" hidden="false" customHeight="false" outlineLevel="0" collapsed="false">
      <c r="A5363" s="20" t="s">
        <v>1089</v>
      </c>
      <c r="E5363" s="23" t="str">
        <f aca="false">IF(D5363="?OLD","!!!","")</f>
        <v/>
      </c>
      <c r="F5363" s="25" t="str">
        <f aca="false">IF(OR(E5363="",E5363="!!!"),"",IF(NOT(ISNA(VLOOKUP(E5363,E$1:E5362,1,FALSE()))),"OLD",IF(AND(E5363&lt;&gt;"",E5363&lt;&gt;"!!!"),"NEW","")))</f>
        <v/>
      </c>
      <c r="G5363" s="26" t="str">
        <f aca="false">IF(OR(E5363="",E5363="!!!"),"",IF(OR(J5363=0,AND(J5363=1,K5363=1),AND(J5363=1,I5363="SBJ"),AND(J5363=1,I5363=0)),"?IN_FOCUS",IF(J5363&lt;=2,"?ACTIVATED",IF(J5363&lt;&gt;"","?FAMILIAR",IF(F5363="NEW",IF(ISNA(VLOOKUP(E5363,#REF!,1,FALSE())),"?TYPE_IDENTIFIABLE","?REFERENTIAL"),"_")))))</f>
        <v/>
      </c>
      <c r="H5363" s="27" t="str">
        <f aca="false">IF(J5363&lt;&gt;1,"",IF(I5363="SBJ","CB","?"))</f>
        <v/>
      </c>
      <c r="I5363" s="24" t="str">
        <f aca="false">IF(OR(E5363="",E5363="!!!",F5363="NEW"),"",INDEX(B45:B$5319,-1+SUMPRODUCT(MAX(ROW(E45:E$5319)*(E5363=E45:E$5319)))))</f>
        <v/>
      </c>
      <c r="J5363" s="24" t="str">
        <f aca="true">IF(OR(E5363="",E5363="!!!",F5363="NEW"),"",COUNTBLANK(OFFSET(A$1,,,SUMPRODUCT(MAX(ROW(E$2:E5363)*(E5363=E$2:E5363)))))-COUNTBLANK(OFFSET(A$1,,,SUMPRODUCT(MAX(ROW(E$1:E5362)*(E2=E$1:E5362))))))</f>
        <v/>
      </c>
      <c r="K5363" s="24" t="str">
        <f aca="false">IF(OR(E5363="",E5363="!!!",F5363="NEW"),"",INDEX(J$1:J5362,SUMPRODUCT(MAX(ROW(E$1:E5362)*(E5363=E$1:E5362)))))</f>
        <v/>
      </c>
      <c r="L5363" s="31"/>
    </row>
    <row r="5364" customFormat="false" ht="15" hidden="false" customHeight="false" outlineLevel="0" collapsed="false">
      <c r="A5364" s="20" t="s">
        <v>1090</v>
      </c>
      <c r="B5364" s="22" t="s">
        <v>1086</v>
      </c>
      <c r="C5364" s="22" t="s">
        <v>1082</v>
      </c>
      <c r="D5364" s="22" t="s">
        <v>1060</v>
      </c>
      <c r="E5364" s="23" t="str">
        <f aca="false">IF(D5364="?OLD","!!!","")</f>
        <v>!!!</v>
      </c>
      <c r="F5364" s="25" t="str">
        <f aca="false">IF(OR(E5364="",E5364="!!!"),"",IF(NOT(ISNA(VLOOKUP(E5364,E$1:E5363,1,FALSE()))),"OLD",IF(AND(E5364&lt;&gt;"",E5364&lt;&gt;"!!!"),"NEW","")))</f>
        <v/>
      </c>
      <c r="G5364" s="26" t="str">
        <f aca="false">IF(OR(E5364="",E5364="!!!"),"",IF(OR(J5364=0,AND(J5364=1,K5364=1),AND(J5364=1,I5364="SBJ"),AND(J5364=1,I5364=0)),"?IN_FOCUS",IF(J5364&lt;=2,"?ACTIVATED",IF(J5364&lt;&gt;"","?FAMILIAR",IF(F5364="NEW",IF(ISNA(VLOOKUP(E5364,#REF!,1,FALSE())),"?TYPE_IDENTIFIABLE","?REFERENTIAL"),"_")))))</f>
        <v/>
      </c>
      <c r="H5364" s="27" t="str">
        <f aca="false">IF(J5364&lt;&gt;1,"",IF(I5364="SBJ","CB","?"))</f>
        <v/>
      </c>
      <c r="I5364" s="24" t="str">
        <f aca="false">IF(OR(E5364="",E5364="!!!",F5364="NEW"),"",INDEX(B46:B$5319,-1+SUMPRODUCT(MAX(ROW(E46:E$5319)*(E5364=E46:E$5319)))))</f>
        <v/>
      </c>
      <c r="J5364" s="24" t="str">
        <f aca="true">IF(OR(E5364="",E5364="!!!",F5364="NEW"),"",COUNTBLANK(OFFSET(A$1,,,SUMPRODUCT(MAX(ROW(E$2:E5364)*(E5364=E$2:E5364)))))-COUNTBLANK(OFFSET(A$1,,,SUMPRODUCT(MAX(ROW(E$1:E5363)*(E2=E$1:E5363))))))</f>
        <v/>
      </c>
      <c r="K5364" s="24" t="str">
        <f aca="false">IF(OR(E5364="",E5364="!!!",F5364="NEW"),"",INDEX(J$1:J5363,SUMPRODUCT(MAX(ROW(E$1:E5363)*(E5364=E$1:E5363)))))</f>
        <v/>
      </c>
      <c r="L5364" s="31"/>
    </row>
    <row r="5365" customFormat="false" ht="15" hidden="false" customHeight="false" outlineLevel="0" collapsed="false">
      <c r="A5365" s="20" t="s">
        <v>2581</v>
      </c>
      <c r="E5365" s="23" t="str">
        <f aca="false">IF(D5365="?OLD","!!!","")</f>
        <v/>
      </c>
      <c r="F5365" s="25" t="str">
        <f aca="false">IF(OR(E5365="",E5365="!!!"),"",IF(NOT(ISNA(VLOOKUP(E5365,E$1:E5364,1,FALSE()))),"OLD",IF(AND(E5365&lt;&gt;"",E5365&lt;&gt;"!!!"),"NEW","")))</f>
        <v/>
      </c>
      <c r="G5365" s="26" t="str">
        <f aca="false">IF(OR(E5365="",E5365="!!!"),"",IF(OR(J5365=0,AND(J5365=1,K5365=1),AND(J5365=1,I5365="SBJ"),AND(J5365=1,I5365=0)),"?IN_FOCUS",IF(J5365&lt;=2,"?ACTIVATED",IF(J5365&lt;&gt;"","?FAMILIAR",IF(F5365="NEW",IF(ISNA(VLOOKUP(E5365,#REF!,1,FALSE())),"?TYPE_IDENTIFIABLE","?REFERENTIAL"),"_")))))</f>
        <v/>
      </c>
      <c r="H5365" s="27" t="str">
        <f aca="false">IF(J5365&lt;&gt;1,"",IF(I5365="SBJ","CB","?"))</f>
        <v/>
      </c>
      <c r="I5365" s="24" t="str">
        <f aca="false">IF(OR(E5365="",E5365="!!!",F5365="NEW"),"",INDEX(B47:B$5319,-1+SUMPRODUCT(MAX(ROW(E47:E$5319)*(E5365=E47:E$5319)))))</f>
        <v/>
      </c>
      <c r="J5365" s="24" t="str">
        <f aca="true">IF(OR(E5365="",E5365="!!!",F5365="NEW"),"",COUNTBLANK(OFFSET(A$1,,,SUMPRODUCT(MAX(ROW(E$2:E5365)*(E5365=E$2:E5365)))))-COUNTBLANK(OFFSET(A$1,,,SUMPRODUCT(MAX(ROW(E$1:E5364)*(E2=E$1:E5364))))))</f>
        <v/>
      </c>
      <c r="K5365" s="24" t="str">
        <f aca="false">IF(OR(E5365="",E5365="!!!",F5365="NEW"),"",INDEX(J$1:J5364,SUMPRODUCT(MAX(ROW(E$1:E5364)*(E5365=E$1:E5364)))))</f>
        <v/>
      </c>
      <c r="L5365" s="31"/>
    </row>
    <row r="5366" customFormat="false" ht="15" hidden="false" customHeight="false" outlineLevel="0" collapsed="false">
      <c r="A5366" s="20" t="s">
        <v>621</v>
      </c>
      <c r="E5366" s="23" t="str">
        <f aca="false">IF(D5366="?OLD","!!!","")</f>
        <v/>
      </c>
      <c r="F5366" s="25" t="str">
        <f aca="false">IF(OR(E5366="",E5366="!!!"),"",IF(NOT(ISNA(VLOOKUP(E5366,E$1:E5365,1,FALSE()))),"OLD",IF(AND(E5366&lt;&gt;"",E5366&lt;&gt;"!!!"),"NEW","")))</f>
        <v/>
      </c>
      <c r="G5366" s="26" t="str">
        <f aca="false">IF(OR(E5366="",E5366="!!!"),"",IF(OR(J5366=0,AND(J5366=1,K5366=1),AND(J5366=1,I5366="SBJ"),AND(J5366=1,I5366=0)),"?IN_FOCUS",IF(J5366&lt;=2,"?ACTIVATED",IF(J5366&lt;&gt;"","?FAMILIAR",IF(F5366="NEW",IF(ISNA(VLOOKUP(E5366,#REF!,1,FALSE())),"?TYPE_IDENTIFIABLE","?REFERENTIAL"),"_")))))</f>
        <v/>
      </c>
      <c r="H5366" s="27" t="str">
        <f aca="false">IF(J5366&lt;&gt;1,"",IF(I5366="SBJ","CB","?"))</f>
        <v/>
      </c>
      <c r="I5366" s="24" t="str">
        <f aca="false">IF(OR(E5366="",E5366="!!!",F5366="NEW"),"",INDEX(B48:B$5319,-1+SUMPRODUCT(MAX(ROW(E48:E$5319)*(E5366=E48:E$5319)))))</f>
        <v/>
      </c>
      <c r="J5366" s="24" t="str">
        <f aca="true">IF(OR(E5366="",E5366="!!!",F5366="NEW"),"",COUNTBLANK(OFFSET(A$1,,,SUMPRODUCT(MAX(ROW(E$2:E5366)*(E5366=E$2:E5366)))))-COUNTBLANK(OFFSET(A$1,,,SUMPRODUCT(MAX(ROW(E$1:E5365)*(E2=E$1:E5365))))))</f>
        <v/>
      </c>
      <c r="K5366" s="24" t="str">
        <f aca="false">IF(OR(E5366="",E5366="!!!",F5366="NEW"),"",INDEX(J$1:J5365,SUMPRODUCT(MAX(ROW(E$1:E5365)*(E5366=E$1:E5365)))))</f>
        <v/>
      </c>
      <c r="L5366" s="31"/>
    </row>
    <row r="5367" customFormat="false" ht="15" hidden="false" customHeight="false" outlineLevel="0" collapsed="false">
      <c r="A5367" s="20" t="s">
        <v>1080</v>
      </c>
      <c r="B5367" s="22" t="s">
        <v>1146</v>
      </c>
      <c r="C5367" s="22" t="s">
        <v>1082</v>
      </c>
      <c r="D5367" s="22" t="s">
        <v>1060</v>
      </c>
      <c r="E5367" s="23" t="str">
        <f aca="false">IF(D5367="?OLD","!!!","")</f>
        <v>!!!</v>
      </c>
      <c r="F5367" s="25" t="str">
        <f aca="false">IF(OR(E5367="",E5367="!!!"),"",IF(NOT(ISNA(VLOOKUP(E5367,E$1:E5366,1,FALSE()))),"OLD",IF(AND(E5367&lt;&gt;"",E5367&lt;&gt;"!!!"),"NEW","")))</f>
        <v/>
      </c>
      <c r="G5367" s="26" t="str">
        <f aca="false">IF(OR(E5367="",E5367="!!!"),"",IF(OR(J5367=0,AND(J5367=1,K5367=1),AND(J5367=1,I5367="SBJ"),AND(J5367=1,I5367=0)),"?IN_FOCUS",IF(J5367&lt;=2,"?ACTIVATED",IF(J5367&lt;&gt;"","?FAMILIAR",IF(F5367="NEW",IF(ISNA(VLOOKUP(E5367,#REF!,1,FALSE())),"?TYPE_IDENTIFIABLE","?REFERENTIAL"),"_")))))</f>
        <v/>
      </c>
      <c r="H5367" s="27" t="str">
        <f aca="false">IF(J5367&lt;&gt;1,"",IF(I5367="SBJ","CB","?"))</f>
        <v/>
      </c>
      <c r="I5367" s="24" t="str">
        <f aca="false">IF(OR(E5367="",E5367="!!!",F5367="NEW"),"",INDEX(B49:B$5319,-1+SUMPRODUCT(MAX(ROW(E49:E$5319)*(E5367=E49:E$5319)))))</f>
        <v/>
      </c>
      <c r="J5367" s="24" t="str">
        <f aca="true">IF(OR(E5367="",E5367="!!!",F5367="NEW"),"",COUNTBLANK(OFFSET(A$1,,,SUMPRODUCT(MAX(ROW(E$2:E5367)*(E5367=E$2:E5367)))))-COUNTBLANK(OFFSET(A$1,,,SUMPRODUCT(MAX(ROW(E$1:E5366)*(E2=E$1:E5366))))))</f>
        <v/>
      </c>
      <c r="K5367" s="24" t="str">
        <f aca="false">IF(OR(E5367="",E5367="!!!",F5367="NEW"),"",INDEX(J$1:J5366,SUMPRODUCT(MAX(ROW(E$1:E5366)*(E5367=E$1:E5366)))))</f>
        <v/>
      </c>
      <c r="L5367" s="31"/>
    </row>
    <row r="5368" customFormat="false" ht="15" hidden="false" customHeight="false" outlineLevel="0" collapsed="false">
      <c r="A5368" s="20" t="s">
        <v>923</v>
      </c>
      <c r="E5368" s="23" t="str">
        <f aca="false">IF(D5368="?OLD","!!!","")</f>
        <v/>
      </c>
      <c r="F5368" s="25" t="str">
        <f aca="false">IF(OR(E5368="",E5368="!!!"),"",IF(NOT(ISNA(VLOOKUP(E5368,E$1:E5367,1,FALSE()))),"OLD",IF(AND(E5368&lt;&gt;"",E5368&lt;&gt;"!!!"),"NEW","")))</f>
        <v/>
      </c>
      <c r="G5368" s="26" t="str">
        <f aca="false">IF(OR(E5368="",E5368="!!!"),"",IF(OR(J5368=0,AND(J5368=1,K5368=1),AND(J5368=1,I5368="SBJ"),AND(J5368=1,I5368=0)),"?IN_FOCUS",IF(J5368&lt;=2,"?ACTIVATED",IF(J5368&lt;&gt;"","?FAMILIAR",IF(F5368="NEW",IF(ISNA(VLOOKUP(E5368,#REF!,1,FALSE())),"?TYPE_IDENTIFIABLE","?REFERENTIAL"),"_")))))</f>
        <v/>
      </c>
      <c r="H5368" s="27" t="str">
        <f aca="false">IF(J5368&lt;&gt;1,"",IF(I5368="SBJ","CB","?"))</f>
        <v/>
      </c>
      <c r="I5368" s="24" t="str">
        <f aca="false">IF(OR(E5368="",E5368="!!!",F5368="NEW"),"",INDEX(B50:B$5319,-1+SUMPRODUCT(MAX(ROW(E50:E$5319)*(E5368=E50:E$5319)))))</f>
        <v/>
      </c>
      <c r="J5368" s="24" t="str">
        <f aca="true">IF(OR(E5368="",E5368="!!!",F5368="NEW"),"",COUNTBLANK(OFFSET(A$1,,,SUMPRODUCT(MAX(ROW(E$2:E5368)*(E5368=E$2:E5368)))))-COUNTBLANK(OFFSET(A$1,,,SUMPRODUCT(MAX(ROW(E$1:E5367)*(E2=E$1:E5367))))))</f>
        <v/>
      </c>
      <c r="K5368" s="24" t="str">
        <f aca="false">IF(OR(E5368="",E5368="!!!",F5368="NEW"),"",INDEX(J$1:J5367,SUMPRODUCT(MAX(ROW(E$1:E5367)*(E5368=E$1:E5367)))))</f>
        <v/>
      </c>
      <c r="L5368" s="31"/>
    </row>
    <row r="5369" customFormat="false" ht="15" hidden="false" customHeight="false" outlineLevel="0" collapsed="false">
      <c r="A5369" s="20"/>
    </row>
    <row r="5370" customFormat="false" ht="15" hidden="false" customHeight="false" outlineLevel="0" collapsed="false">
      <c r="A5370" s="20" t="s">
        <v>2582</v>
      </c>
    </row>
    <row r="5371" customFormat="false" ht="15" hidden="false" customHeight="false" outlineLevel="0" collapsed="false">
      <c r="A5371" s="20" t="s">
        <v>1391</v>
      </c>
      <c r="E5371" s="23" t="str">
        <f aca="false">IF(D5371="?OLD","!!!","")</f>
        <v/>
      </c>
      <c r="F5371" s="25" t="str">
        <f aca="false">IF(OR(E5371="",E5371="!!!"),"",IF(NOT(ISNA(VLOOKUP(E5371,E$1:E5370,1,FALSE()))),"OLD",IF(AND(E5371&lt;&gt;"",E5371&lt;&gt;"!!!"),"NEW","")))</f>
        <v/>
      </c>
      <c r="G5371" s="26" t="str">
        <f aca="false">IF(OR(E5371="",E5371="!!!"),"",IF(OR(J5371=0,AND(J5371=1,K5371=1),AND(J5371=1,I5371="SBJ"),AND(J5371=1,I5371=0)),"?IN_FOCUS",IF(J5371&lt;=2,"?ACTIVATED",IF(J5371&lt;&gt;"","?FAMILIAR",IF(F5371="NEW",IF(ISNA(VLOOKUP(E5371,#REF!,1,FALSE())),"?TYPE_IDENTIFIABLE","?REFERENTIAL"),"_")))))</f>
        <v/>
      </c>
      <c r="H5371" s="27" t="str">
        <f aca="false">IF(J5371&lt;&gt;1,"",IF(I5371="SBJ","CB","?"))</f>
        <v/>
      </c>
      <c r="I5371" s="24" t="str">
        <f aca="false">IF(OR(E5371="",E5371="!!!",F5371="NEW"),"",INDEX(B2:B$5370,-1+SUMPRODUCT(MAX(ROW(E2:E$5370)*(E5371=E2:E$5370)))))</f>
        <v/>
      </c>
      <c r="J5371" s="24" t="str">
        <f aca="true">IF(OR(E5371="",E5371="!!!",F5371="NEW"),"",COUNTBLANK(OFFSET(A$1,,,SUMPRODUCT(MAX(ROW(E$2:E5371)*(E5371=E$2:E5371)))))-COUNTBLANK(OFFSET(A$1,,,SUMPRODUCT(MAX(ROW(E$1:E5370)*(E2=E$1:E5370))))))</f>
        <v/>
      </c>
      <c r="K5371" s="24" t="str">
        <f aca="false">IF(OR(E5371="",E5371="!!!",F5371="NEW"),"",INDEX(J$1:J5370,SUMPRODUCT(MAX(ROW(E$1:E5370)*(E5371=E$1:E5370)))))</f>
        <v/>
      </c>
      <c r="L5371" s="31"/>
    </row>
    <row r="5372" customFormat="false" ht="15" hidden="false" customHeight="false" outlineLevel="0" collapsed="false">
      <c r="A5372" s="20" t="s">
        <v>2583</v>
      </c>
      <c r="B5372" s="22" t="s">
        <v>1058</v>
      </c>
      <c r="C5372" s="22" t="s">
        <v>1171</v>
      </c>
      <c r="D5372" s="22" t="s">
        <v>1060</v>
      </c>
      <c r="E5372" s="23" t="str">
        <f aca="false">IF(D5372="?OLD","!!!","")</f>
        <v>!!!</v>
      </c>
      <c r="F5372" s="25" t="str">
        <f aca="false">IF(OR(E5372="",E5372="!!!"),"",IF(NOT(ISNA(VLOOKUP(E5372,E$1:E5371,1,FALSE()))),"OLD",IF(AND(E5372&lt;&gt;"",E5372&lt;&gt;"!!!"),"NEW","")))</f>
        <v/>
      </c>
      <c r="G5372" s="26" t="str">
        <f aca="false">IF(OR(E5372="",E5372="!!!"),"",IF(OR(J5372=0,AND(J5372=1,K5372=1),AND(J5372=1,I5372="SBJ"),AND(J5372=1,I5372=0)),"?IN_FOCUS",IF(J5372&lt;=2,"?ACTIVATED",IF(J5372&lt;&gt;"","?FAMILIAR",IF(F5372="NEW",IF(ISNA(VLOOKUP(E5372,#REF!,1,FALSE())),"?TYPE_IDENTIFIABLE","?REFERENTIAL"),"_")))))</f>
        <v/>
      </c>
      <c r="H5372" s="27" t="str">
        <f aca="false">IF(J5372&lt;&gt;1,"",IF(I5372="SBJ","CB","?"))</f>
        <v/>
      </c>
      <c r="I5372" s="24" t="str">
        <f aca="false">IF(OR(E5372="",E5372="!!!",F5372="NEW"),"",INDEX(B3:B$5370,-1+SUMPRODUCT(MAX(ROW(E3:E$5370)*(E5372=E3:E$5370)))))</f>
        <v/>
      </c>
      <c r="J5372" s="24" t="str">
        <f aca="true">IF(OR(E5372="",E5372="!!!",F5372="NEW"),"",COUNTBLANK(OFFSET(A$1,,,SUMPRODUCT(MAX(ROW(E$2:E5372)*(E5372=E$2:E5372)))))-COUNTBLANK(OFFSET(A$1,,,SUMPRODUCT(MAX(ROW(E$1:E5371)*(E2=E$1:E5371))))))</f>
        <v/>
      </c>
      <c r="K5372" s="24" t="str">
        <f aca="false">IF(OR(E5372="",E5372="!!!",F5372="NEW"),"",INDEX(J$1:J5371,SUMPRODUCT(MAX(ROW(E$1:E5371)*(E5372=E$1:E5371)))))</f>
        <v/>
      </c>
      <c r="L5372" s="31"/>
    </row>
    <row r="5373" customFormat="false" ht="15" hidden="false" customHeight="false" outlineLevel="0" collapsed="false">
      <c r="A5373" s="20" t="s">
        <v>1173</v>
      </c>
      <c r="E5373" s="23" t="str">
        <f aca="false">IF(D5373="?OLD","!!!","")</f>
        <v/>
      </c>
      <c r="F5373" s="25" t="str">
        <f aca="false">IF(OR(E5373="",E5373="!!!"),"",IF(NOT(ISNA(VLOOKUP(E5373,E$1:E5372,1,FALSE()))),"OLD",IF(AND(E5373&lt;&gt;"",E5373&lt;&gt;"!!!"),"NEW","")))</f>
        <v/>
      </c>
      <c r="G5373" s="26" t="str">
        <f aca="false">IF(OR(E5373="",E5373="!!!"),"",IF(OR(J5373=0,AND(J5373=1,K5373=1),AND(J5373=1,I5373="SBJ"),AND(J5373=1,I5373=0)),"?IN_FOCUS",IF(J5373&lt;=2,"?ACTIVATED",IF(J5373&lt;&gt;"","?FAMILIAR",IF(F5373="NEW",IF(ISNA(VLOOKUP(E5373,#REF!,1,FALSE())),"?TYPE_IDENTIFIABLE","?REFERENTIAL"),"_")))))</f>
        <v/>
      </c>
      <c r="H5373" s="27" t="str">
        <f aca="false">IF(J5373&lt;&gt;1,"",IF(I5373="SBJ","CB","?"))</f>
        <v/>
      </c>
      <c r="I5373" s="24" t="str">
        <f aca="false">IF(OR(E5373="",E5373="!!!",F5373="NEW"),"",INDEX(B4:B$5370,-1+SUMPRODUCT(MAX(ROW(E4:E$5370)*(E5373=E4:E$5370)))))</f>
        <v/>
      </c>
      <c r="J5373" s="24" t="str">
        <f aca="true">IF(OR(E5373="",E5373="!!!",F5373="NEW"),"",COUNTBLANK(OFFSET(A$1,,,SUMPRODUCT(MAX(ROW(E$2:E5373)*(E5373=E$2:E5373)))))-COUNTBLANK(OFFSET(A$1,,,SUMPRODUCT(MAX(ROW(E$1:E5372)*(E2=E$1:E5372))))))</f>
        <v/>
      </c>
      <c r="K5373" s="24" t="str">
        <f aca="false">IF(OR(E5373="",E5373="!!!",F5373="NEW"),"",INDEX(J$1:J5372,SUMPRODUCT(MAX(ROW(E$1:E5372)*(E5373=E$1:E5372)))))</f>
        <v/>
      </c>
      <c r="L5373" s="31"/>
    </row>
    <row r="5374" customFormat="false" ht="15" hidden="false" customHeight="false" outlineLevel="0" collapsed="false">
      <c r="A5374" s="20" t="s">
        <v>1109</v>
      </c>
      <c r="E5374" s="23" t="str">
        <f aca="false">IF(D5374="?OLD","!!!","")</f>
        <v/>
      </c>
      <c r="F5374" s="25" t="str">
        <f aca="false">IF(OR(E5374="",E5374="!!!"),"",IF(NOT(ISNA(VLOOKUP(E5374,E$1:E5373,1,FALSE()))),"OLD",IF(AND(E5374&lt;&gt;"",E5374&lt;&gt;"!!!"),"NEW","")))</f>
        <v/>
      </c>
      <c r="G5374" s="26" t="str">
        <f aca="false">IF(OR(E5374="",E5374="!!!"),"",IF(OR(J5374=0,AND(J5374=1,K5374=1),AND(J5374=1,I5374="SBJ"),AND(J5374=1,I5374=0)),"?IN_FOCUS",IF(J5374&lt;=2,"?ACTIVATED",IF(J5374&lt;&gt;"","?FAMILIAR",IF(F5374="NEW",IF(ISNA(VLOOKUP(E5374,#REF!,1,FALSE())),"?TYPE_IDENTIFIABLE","?REFERENTIAL"),"_")))))</f>
        <v/>
      </c>
      <c r="H5374" s="27" t="str">
        <f aca="false">IF(J5374&lt;&gt;1,"",IF(I5374="SBJ","CB","?"))</f>
        <v/>
      </c>
      <c r="I5374" s="24" t="str">
        <f aca="false">IF(OR(E5374="",E5374="!!!",F5374="NEW"),"",INDEX(B5:B$5370,-1+SUMPRODUCT(MAX(ROW(E5:E$5370)*(E5374=E5:E$5370)))))</f>
        <v/>
      </c>
      <c r="J5374" s="24" t="str">
        <f aca="true">IF(OR(E5374="",E5374="!!!",F5374="NEW"),"",COUNTBLANK(OFFSET(A$1,,,SUMPRODUCT(MAX(ROW(E$2:E5374)*(E5374=E$2:E5374)))))-COUNTBLANK(OFFSET(A$1,,,SUMPRODUCT(MAX(ROW(E$1:E5373)*(E2=E$1:E5373))))))</f>
        <v/>
      </c>
      <c r="K5374" s="24" t="str">
        <f aca="false">IF(OR(E5374="",E5374="!!!",F5374="NEW"),"",INDEX(J$1:J5373,SUMPRODUCT(MAX(ROW(E$1:E5373)*(E5374=E$1:E5373)))))</f>
        <v/>
      </c>
      <c r="L5374" s="31"/>
    </row>
    <row r="5375" customFormat="false" ht="15" hidden="false" customHeight="false" outlineLevel="0" collapsed="false">
      <c r="A5375" s="20" t="s">
        <v>2316</v>
      </c>
      <c r="B5375" s="22" t="s">
        <v>1073</v>
      </c>
      <c r="C5375" s="22" t="s">
        <v>1150</v>
      </c>
      <c r="D5375" s="22" t="s">
        <v>1060</v>
      </c>
      <c r="E5375" s="23" t="str">
        <f aca="false">IF(D5375="?OLD","!!!","")</f>
        <v>!!!</v>
      </c>
      <c r="F5375" s="25" t="str">
        <f aca="false">IF(OR(E5375="",E5375="!!!"),"",IF(NOT(ISNA(VLOOKUP(E5375,E$1:E5374,1,FALSE()))),"OLD",IF(AND(E5375&lt;&gt;"",E5375&lt;&gt;"!!!"),"NEW","")))</f>
        <v/>
      </c>
      <c r="G5375" s="26" t="str">
        <f aca="false">IF(OR(E5375="",E5375="!!!"),"",IF(OR(J5375=0,AND(J5375=1,K5375=1),AND(J5375=1,I5375="SBJ"),AND(J5375=1,I5375=0)),"?IN_FOCUS",IF(J5375&lt;=2,"?ACTIVATED",IF(J5375&lt;&gt;"","?FAMILIAR",IF(F5375="NEW",IF(ISNA(VLOOKUP(E5375,#REF!,1,FALSE())),"?TYPE_IDENTIFIABLE","?REFERENTIAL"),"_")))))</f>
        <v/>
      </c>
      <c r="H5375" s="27" t="str">
        <f aca="false">IF(J5375&lt;&gt;1,"",IF(I5375="SBJ","CB","?"))</f>
        <v/>
      </c>
      <c r="I5375" s="24" t="str">
        <f aca="false">IF(OR(E5375="",E5375="!!!",F5375="NEW"),"",INDEX(B6:B$5370,-1+SUMPRODUCT(MAX(ROW(E6:E$5370)*(E5375=E6:E$5370)))))</f>
        <v/>
      </c>
      <c r="J5375" s="24" t="str">
        <f aca="true">IF(OR(E5375="",E5375="!!!",F5375="NEW"),"",COUNTBLANK(OFFSET(A$1,,,SUMPRODUCT(MAX(ROW(E$2:E5375)*(E5375=E$2:E5375)))))-COUNTBLANK(OFFSET(A$1,,,SUMPRODUCT(MAX(ROW(E$1:E5374)*(E2=E$1:E5374))))))</f>
        <v/>
      </c>
      <c r="K5375" s="24" t="str">
        <f aca="false">IF(OR(E5375="",E5375="!!!",F5375="NEW"),"",INDEX(J$1:J5374,SUMPRODUCT(MAX(ROW(E$1:E5374)*(E5375=E$1:E5374)))))</f>
        <v/>
      </c>
      <c r="L5375" s="31"/>
    </row>
    <row r="5376" customFormat="false" ht="15" hidden="false" customHeight="false" outlineLevel="0" collapsed="false">
      <c r="A5376" s="20" t="s">
        <v>1369</v>
      </c>
      <c r="E5376" s="23" t="str">
        <f aca="false">IF(D5376="?OLD","!!!","")</f>
        <v/>
      </c>
      <c r="F5376" s="25" t="str">
        <f aca="false">IF(OR(E5376="",E5376="!!!"),"",IF(NOT(ISNA(VLOOKUP(E5376,E$1:E5375,1,FALSE()))),"OLD",IF(AND(E5376&lt;&gt;"",E5376&lt;&gt;"!!!"),"NEW","")))</f>
        <v/>
      </c>
      <c r="G5376" s="26" t="str">
        <f aca="false">IF(OR(E5376="",E5376="!!!"),"",IF(OR(J5376=0,AND(J5376=1,K5376=1),AND(J5376=1,I5376="SBJ"),AND(J5376=1,I5376=0)),"?IN_FOCUS",IF(J5376&lt;=2,"?ACTIVATED",IF(J5376&lt;&gt;"","?FAMILIAR",IF(F5376="NEW",IF(ISNA(VLOOKUP(E5376,#REF!,1,FALSE())),"?TYPE_IDENTIFIABLE","?REFERENTIAL"),"_")))))</f>
        <v/>
      </c>
      <c r="H5376" s="27" t="str">
        <f aca="false">IF(J5376&lt;&gt;1,"",IF(I5376="SBJ","CB","?"))</f>
        <v/>
      </c>
      <c r="I5376" s="24" t="str">
        <f aca="false">IF(OR(E5376="",E5376="!!!",F5376="NEW"),"",INDEX(B7:B$5370,-1+SUMPRODUCT(MAX(ROW(E7:E$5370)*(E5376=E7:E$5370)))))</f>
        <v/>
      </c>
      <c r="J5376" s="24" t="str">
        <f aca="true">IF(OR(E5376="",E5376="!!!",F5376="NEW"),"",COUNTBLANK(OFFSET(A$1,,,SUMPRODUCT(MAX(ROW(E$2:E5376)*(E5376=E$2:E5376)))))-COUNTBLANK(OFFSET(A$1,,,SUMPRODUCT(MAX(ROW(E$1:E5375)*(E2=E$1:E5375))))))</f>
        <v/>
      </c>
      <c r="K5376" s="24" t="str">
        <f aca="false">IF(OR(E5376="",E5376="!!!",F5376="NEW"),"",INDEX(J$1:J5375,SUMPRODUCT(MAX(ROW(E$1:E5375)*(E5376=E$1:E5375)))))</f>
        <v/>
      </c>
      <c r="L5376" s="31"/>
    </row>
    <row r="5377" customFormat="false" ht="15" hidden="false" customHeight="false" outlineLevel="0" collapsed="false">
      <c r="A5377" s="20" t="s">
        <v>1117</v>
      </c>
      <c r="E5377" s="23" t="str">
        <f aca="false">IF(D5377="?OLD","!!!","")</f>
        <v/>
      </c>
      <c r="F5377" s="25" t="str">
        <f aca="false">IF(OR(E5377="",E5377="!!!"),"",IF(NOT(ISNA(VLOOKUP(E5377,E$1:E5376,1,FALSE()))),"OLD",IF(AND(E5377&lt;&gt;"",E5377&lt;&gt;"!!!"),"NEW","")))</f>
        <v/>
      </c>
      <c r="G5377" s="26" t="str">
        <f aca="false">IF(OR(E5377="",E5377="!!!"),"",IF(OR(J5377=0,AND(J5377=1,K5377=1),AND(J5377=1,I5377="SBJ"),AND(J5377=1,I5377=0)),"?IN_FOCUS",IF(J5377&lt;=2,"?ACTIVATED",IF(J5377&lt;&gt;"","?FAMILIAR",IF(F5377="NEW",IF(ISNA(VLOOKUP(E5377,#REF!,1,FALSE())),"?TYPE_IDENTIFIABLE","?REFERENTIAL"),"_")))))</f>
        <v/>
      </c>
      <c r="H5377" s="27" t="str">
        <f aca="false">IF(J5377&lt;&gt;1,"",IF(I5377="SBJ","CB","?"))</f>
        <v/>
      </c>
      <c r="I5377" s="24" t="str">
        <f aca="false">IF(OR(E5377="",E5377="!!!",F5377="NEW"),"",INDEX(B8:B$5370,-1+SUMPRODUCT(MAX(ROW(E8:E$5370)*(E5377=E8:E$5370)))))</f>
        <v/>
      </c>
      <c r="J5377" s="24" t="str">
        <f aca="true">IF(OR(E5377="",E5377="!!!",F5377="NEW"),"",COUNTBLANK(OFFSET(A$1,,,SUMPRODUCT(MAX(ROW(E$2:E5377)*(E5377=E$2:E5377)))))-COUNTBLANK(OFFSET(A$1,,,SUMPRODUCT(MAX(ROW(E$1:E5376)*(E2=E$1:E5376))))))</f>
        <v/>
      </c>
      <c r="K5377" s="24" t="str">
        <f aca="false">IF(OR(E5377="",E5377="!!!",F5377="NEW"),"",INDEX(J$1:J5376,SUMPRODUCT(MAX(ROW(E$1:E5376)*(E5377=E$1:E5376)))))</f>
        <v/>
      </c>
      <c r="L5377" s="31"/>
    </row>
    <row r="5378" customFormat="false" ht="15" hidden="false" customHeight="false" outlineLevel="0" collapsed="false">
      <c r="A5378" s="20" t="s">
        <v>1118</v>
      </c>
      <c r="E5378" s="23" t="str">
        <f aca="false">IF(D5378="?OLD","!!!","")</f>
        <v/>
      </c>
      <c r="F5378" s="25" t="str">
        <f aca="false">IF(OR(E5378="",E5378="!!!"),"",IF(NOT(ISNA(VLOOKUP(E5378,E$1:E5377,1,FALSE()))),"OLD",IF(AND(E5378&lt;&gt;"",E5378&lt;&gt;"!!!"),"NEW","")))</f>
        <v/>
      </c>
      <c r="G5378" s="26" t="str">
        <f aca="false">IF(OR(E5378="",E5378="!!!"),"",IF(OR(J5378=0,AND(J5378=1,K5378=1),AND(J5378=1,I5378="SBJ"),AND(J5378=1,I5378=0)),"?IN_FOCUS",IF(J5378&lt;=2,"?ACTIVATED",IF(J5378&lt;&gt;"","?FAMILIAR",IF(F5378="NEW",IF(ISNA(VLOOKUP(E5378,#REF!,1,FALSE())),"?TYPE_IDENTIFIABLE","?REFERENTIAL"),"_")))))</f>
        <v/>
      </c>
      <c r="H5378" s="27" t="str">
        <f aca="false">IF(J5378&lt;&gt;1,"",IF(I5378="SBJ","CB","?"))</f>
        <v/>
      </c>
      <c r="I5378" s="24" t="str">
        <f aca="false">IF(OR(E5378="",E5378="!!!",F5378="NEW"),"",INDEX(B9:B$5370,-1+SUMPRODUCT(MAX(ROW(E9:E$5370)*(E5378=E9:E$5370)))))</f>
        <v/>
      </c>
      <c r="J5378" s="24" t="str">
        <f aca="true">IF(OR(E5378="",E5378="!!!",F5378="NEW"),"",COUNTBLANK(OFFSET(A$1,,,SUMPRODUCT(MAX(ROW(E$2:E5378)*(E5378=E$2:E5378)))))-COUNTBLANK(OFFSET(A$1,,,SUMPRODUCT(MAX(ROW(E$1:E5377)*(E2=E$1:E5377))))))</f>
        <v/>
      </c>
      <c r="K5378" s="24" t="str">
        <f aca="false">IF(OR(E5378="",E5378="!!!",F5378="NEW"),"",INDEX(J$1:J5377,SUMPRODUCT(MAX(ROW(E$1:E5377)*(E5378=E$1:E5377)))))</f>
        <v/>
      </c>
      <c r="L5378" s="31"/>
    </row>
    <row r="5379" customFormat="false" ht="15" hidden="false" customHeight="false" outlineLevel="0" collapsed="false">
      <c r="A5379" s="20" t="s">
        <v>1109</v>
      </c>
      <c r="E5379" s="23" t="str">
        <f aca="false">IF(D5379="?OLD","!!!","")</f>
        <v/>
      </c>
      <c r="F5379" s="25" t="str">
        <f aca="false">IF(OR(E5379="",E5379="!!!"),"",IF(NOT(ISNA(VLOOKUP(E5379,E$1:E5378,1,FALSE()))),"OLD",IF(AND(E5379&lt;&gt;"",E5379&lt;&gt;"!!!"),"NEW","")))</f>
        <v/>
      </c>
      <c r="G5379" s="26" t="str">
        <f aca="false">IF(OR(E5379="",E5379="!!!"),"",IF(OR(J5379=0,AND(J5379=1,K5379=1),AND(J5379=1,I5379="SBJ"),AND(J5379=1,I5379=0)),"?IN_FOCUS",IF(J5379&lt;=2,"?ACTIVATED",IF(J5379&lt;&gt;"","?FAMILIAR",IF(F5379="NEW",IF(ISNA(VLOOKUP(E5379,#REF!,1,FALSE())),"?TYPE_IDENTIFIABLE","?REFERENTIAL"),"_")))))</f>
        <v/>
      </c>
      <c r="H5379" s="27" t="str">
        <f aca="false">IF(J5379&lt;&gt;1,"",IF(I5379="SBJ","CB","?"))</f>
        <v/>
      </c>
      <c r="I5379" s="24" t="str">
        <f aca="false">IF(OR(E5379="",E5379="!!!",F5379="NEW"),"",INDEX(B10:B$5370,-1+SUMPRODUCT(MAX(ROW(E10:E$5370)*(E5379=E10:E$5370)))))</f>
        <v/>
      </c>
      <c r="J5379" s="24" t="str">
        <f aca="true">IF(OR(E5379="",E5379="!!!",F5379="NEW"),"",COUNTBLANK(OFFSET(A$1,,,SUMPRODUCT(MAX(ROW(E$2:E5379)*(E5379=E$2:E5379)))))-COUNTBLANK(OFFSET(A$1,,,SUMPRODUCT(MAX(ROW(E$1:E5378)*(E2=E$1:E5378))))))</f>
        <v/>
      </c>
      <c r="K5379" s="24" t="str">
        <f aca="false">IF(OR(E5379="",E5379="!!!",F5379="NEW"),"",INDEX(J$1:J5378,SUMPRODUCT(MAX(ROW(E$1:E5378)*(E5379=E$1:E5378)))))</f>
        <v/>
      </c>
      <c r="L5379" s="31"/>
    </row>
    <row r="5380" customFormat="false" ht="15" hidden="false" customHeight="false" outlineLevel="0" collapsed="false">
      <c r="A5380" s="20" t="s">
        <v>2584</v>
      </c>
      <c r="E5380" s="23" t="str">
        <f aca="false">IF(D5380="?OLD","!!!","")</f>
        <v/>
      </c>
      <c r="F5380" s="25" t="str">
        <f aca="false">IF(OR(E5380="",E5380="!!!"),"",IF(NOT(ISNA(VLOOKUP(E5380,E$1:E5379,1,FALSE()))),"OLD",IF(AND(E5380&lt;&gt;"",E5380&lt;&gt;"!!!"),"NEW","")))</f>
        <v/>
      </c>
      <c r="G5380" s="26" t="str">
        <f aca="false">IF(OR(E5380="",E5380="!!!"),"",IF(OR(J5380=0,AND(J5380=1,K5380=1),AND(J5380=1,I5380="SBJ"),AND(J5380=1,I5380=0)),"?IN_FOCUS",IF(J5380&lt;=2,"?ACTIVATED",IF(J5380&lt;&gt;"","?FAMILIAR",IF(F5380="NEW",IF(ISNA(VLOOKUP(E5380,#REF!,1,FALSE())),"?TYPE_IDENTIFIABLE","?REFERENTIAL"),"_")))))</f>
        <v/>
      </c>
      <c r="H5380" s="27" t="str">
        <f aca="false">IF(J5380&lt;&gt;1,"",IF(I5380="SBJ","CB","?"))</f>
        <v/>
      </c>
      <c r="I5380" s="24" t="str">
        <f aca="false">IF(OR(E5380="",E5380="!!!",F5380="NEW"),"",INDEX(B11:B$5370,-1+SUMPRODUCT(MAX(ROW(E11:E$5370)*(E5380=E11:E$5370)))))</f>
        <v/>
      </c>
      <c r="J5380" s="24" t="str">
        <f aca="true">IF(OR(E5380="",E5380="!!!",F5380="NEW"),"",COUNTBLANK(OFFSET(A$1,,,SUMPRODUCT(MAX(ROW(E$2:E5380)*(E5380=E$2:E5380)))))-COUNTBLANK(OFFSET(A$1,,,SUMPRODUCT(MAX(ROW(E$1:E5379)*(E2=E$1:E5379))))))</f>
        <v/>
      </c>
      <c r="K5380" s="24" t="str">
        <f aca="false">IF(OR(E5380="",E5380="!!!",F5380="NEW"),"",INDEX(J$1:J5379,SUMPRODUCT(MAX(ROW(E$1:E5379)*(E5380=E$1:E5379)))))</f>
        <v/>
      </c>
      <c r="L5380" s="31"/>
    </row>
    <row r="5381" customFormat="false" ht="15" hidden="false" customHeight="false" outlineLevel="0" collapsed="false">
      <c r="A5381" s="20" t="s">
        <v>2585</v>
      </c>
      <c r="B5381" s="22" t="s">
        <v>1105</v>
      </c>
      <c r="C5381" s="22" t="s">
        <v>1150</v>
      </c>
      <c r="D5381" s="22" t="s">
        <v>1060</v>
      </c>
      <c r="E5381" s="23" t="str">
        <f aca="false">IF(D5381="?OLD","!!!","")</f>
        <v>!!!</v>
      </c>
      <c r="F5381" s="25" t="str">
        <f aca="false">IF(OR(E5381="",E5381="!!!"),"",IF(NOT(ISNA(VLOOKUP(E5381,E$1:E5380,1,FALSE()))),"OLD",IF(AND(E5381&lt;&gt;"",E5381&lt;&gt;"!!!"),"NEW","")))</f>
        <v/>
      </c>
      <c r="G5381" s="26" t="str">
        <f aca="false">IF(OR(E5381="",E5381="!!!"),"",IF(OR(J5381=0,AND(J5381=1,K5381=1),AND(J5381=1,I5381="SBJ"),AND(J5381=1,I5381=0)),"?IN_FOCUS",IF(J5381&lt;=2,"?ACTIVATED",IF(J5381&lt;&gt;"","?FAMILIAR",IF(F5381="NEW",IF(ISNA(VLOOKUP(E5381,#REF!,1,FALSE())),"?TYPE_IDENTIFIABLE","?REFERENTIAL"),"_")))))</f>
        <v/>
      </c>
      <c r="H5381" s="27" t="str">
        <f aca="false">IF(J5381&lt;&gt;1,"",IF(I5381="SBJ","CB","?"))</f>
        <v/>
      </c>
      <c r="I5381" s="24" t="str">
        <f aca="false">IF(OR(E5381="",E5381="!!!",F5381="NEW"),"",INDEX(B12:B$5370,-1+SUMPRODUCT(MAX(ROW(E12:E$5370)*(E5381=E12:E$5370)))))</f>
        <v/>
      </c>
      <c r="J5381" s="24" t="str">
        <f aca="true">IF(OR(E5381="",E5381="!!!",F5381="NEW"),"",COUNTBLANK(OFFSET(A$1,,,SUMPRODUCT(MAX(ROW(E$2:E5381)*(E5381=E$2:E5381)))))-COUNTBLANK(OFFSET(A$1,,,SUMPRODUCT(MAX(ROW(E$1:E5380)*(E2=E$1:E5380))))))</f>
        <v/>
      </c>
      <c r="K5381" s="24" t="str">
        <f aca="false">IF(OR(E5381="",E5381="!!!",F5381="NEW"),"",INDEX(J$1:J5380,SUMPRODUCT(MAX(ROW(E$1:E5380)*(E5381=E$1:E5380)))))</f>
        <v/>
      </c>
      <c r="L5381" s="31"/>
    </row>
    <row r="5382" customFormat="false" ht="15" hidden="false" customHeight="false" outlineLevel="0" collapsed="false">
      <c r="A5382" s="20" t="s">
        <v>1213</v>
      </c>
      <c r="E5382" s="23" t="str">
        <f aca="false">IF(D5382="?OLD","!!!","")</f>
        <v/>
      </c>
      <c r="F5382" s="25" t="str">
        <f aca="false">IF(OR(E5382="",E5382="!!!"),"",IF(NOT(ISNA(VLOOKUP(E5382,E$1:E5381,1,FALSE()))),"OLD",IF(AND(E5382&lt;&gt;"",E5382&lt;&gt;"!!!"),"NEW","")))</f>
        <v/>
      </c>
      <c r="G5382" s="26" t="str">
        <f aca="false">IF(OR(E5382="",E5382="!!!"),"",IF(OR(J5382=0,AND(J5382=1,K5382=1),AND(J5382=1,I5382="SBJ"),AND(J5382=1,I5382=0)),"?IN_FOCUS",IF(J5382&lt;=2,"?ACTIVATED",IF(J5382&lt;&gt;"","?FAMILIAR",IF(F5382="NEW",IF(ISNA(VLOOKUP(E5382,#REF!,1,FALSE())),"?TYPE_IDENTIFIABLE","?REFERENTIAL"),"_")))))</f>
        <v/>
      </c>
      <c r="H5382" s="27" t="str">
        <f aca="false">IF(J5382&lt;&gt;1,"",IF(I5382="SBJ","CB","?"))</f>
        <v/>
      </c>
      <c r="I5382" s="24" t="str">
        <f aca="false">IF(OR(E5382="",E5382="!!!",F5382="NEW"),"",INDEX(B13:B$5370,-1+SUMPRODUCT(MAX(ROW(E13:E$5370)*(E5382=E13:E$5370)))))</f>
        <v/>
      </c>
      <c r="J5382" s="24" t="str">
        <f aca="true">IF(OR(E5382="",E5382="!!!",F5382="NEW"),"",COUNTBLANK(OFFSET(A$1,,,SUMPRODUCT(MAX(ROW(E$2:E5382)*(E5382=E$2:E5382)))))-COUNTBLANK(OFFSET(A$1,,,SUMPRODUCT(MAX(ROW(E$1:E5381)*(E2=E$1:E5381))))))</f>
        <v/>
      </c>
      <c r="K5382" s="24" t="str">
        <f aca="false">IF(OR(E5382="",E5382="!!!",F5382="NEW"),"",INDEX(J$1:J5381,SUMPRODUCT(MAX(ROW(E$1:E5381)*(E5382=E$1:E5381)))))</f>
        <v/>
      </c>
      <c r="L5382" s="31"/>
    </row>
    <row r="5383" customFormat="false" ht="15" hidden="false" customHeight="false" outlineLevel="0" collapsed="false">
      <c r="A5383" s="20" t="s">
        <v>1125</v>
      </c>
      <c r="E5383" s="23" t="str">
        <f aca="false">IF(D5383="?OLD","!!!","")</f>
        <v/>
      </c>
      <c r="F5383" s="25" t="str">
        <f aca="false">IF(OR(E5383="",E5383="!!!"),"",IF(NOT(ISNA(VLOOKUP(E5383,E$1:E5382,1,FALSE()))),"OLD",IF(AND(E5383&lt;&gt;"",E5383&lt;&gt;"!!!"),"NEW","")))</f>
        <v/>
      </c>
      <c r="G5383" s="26" t="str">
        <f aca="false">IF(OR(E5383="",E5383="!!!"),"",IF(OR(J5383=0,AND(J5383=1,K5383=1),AND(J5383=1,I5383="SBJ"),AND(J5383=1,I5383=0)),"?IN_FOCUS",IF(J5383&lt;=2,"?ACTIVATED",IF(J5383&lt;&gt;"","?FAMILIAR",IF(F5383="NEW",IF(ISNA(VLOOKUP(E5383,#REF!,1,FALSE())),"?TYPE_IDENTIFIABLE","?REFERENTIAL"),"_")))))</f>
        <v/>
      </c>
      <c r="H5383" s="27" t="str">
        <f aca="false">IF(J5383&lt;&gt;1,"",IF(I5383="SBJ","CB","?"))</f>
        <v/>
      </c>
      <c r="I5383" s="24" t="str">
        <f aca="false">IF(OR(E5383="",E5383="!!!",F5383="NEW"),"",INDEX(B14:B$5370,-1+SUMPRODUCT(MAX(ROW(E14:E$5370)*(E5383=E14:E$5370)))))</f>
        <v/>
      </c>
      <c r="J5383" s="24" t="str">
        <f aca="true">IF(OR(E5383="",E5383="!!!",F5383="NEW"),"",COUNTBLANK(OFFSET(A$1,,,SUMPRODUCT(MAX(ROW(E$2:E5383)*(E5383=E$2:E5383)))))-COUNTBLANK(OFFSET(A$1,,,SUMPRODUCT(MAX(ROW(E$1:E5382)*(E2=E$1:E5382))))))</f>
        <v/>
      </c>
      <c r="K5383" s="24" t="str">
        <f aca="false">IF(OR(E5383="",E5383="!!!",F5383="NEW"),"",INDEX(J$1:J5382,SUMPRODUCT(MAX(ROW(E$1:E5382)*(E5383=E$1:E5382)))))</f>
        <v/>
      </c>
      <c r="L5383" s="31"/>
    </row>
    <row r="5384" customFormat="false" ht="15" hidden="false" customHeight="false" outlineLevel="0" collapsed="false">
      <c r="A5384" s="20" t="s">
        <v>1109</v>
      </c>
      <c r="E5384" s="23" t="str">
        <f aca="false">IF(D5384="?OLD","!!!","")</f>
        <v/>
      </c>
      <c r="F5384" s="25" t="str">
        <f aca="false">IF(OR(E5384="",E5384="!!!"),"",IF(NOT(ISNA(VLOOKUP(E5384,E$1:E5383,1,FALSE()))),"OLD",IF(AND(E5384&lt;&gt;"",E5384&lt;&gt;"!!!"),"NEW","")))</f>
        <v/>
      </c>
      <c r="G5384" s="26" t="str">
        <f aca="false">IF(OR(E5384="",E5384="!!!"),"",IF(OR(J5384=0,AND(J5384=1,K5384=1),AND(J5384=1,I5384="SBJ"),AND(J5384=1,I5384=0)),"?IN_FOCUS",IF(J5384&lt;=2,"?ACTIVATED",IF(J5384&lt;&gt;"","?FAMILIAR",IF(F5384="NEW",IF(ISNA(VLOOKUP(E5384,#REF!,1,FALSE())),"?TYPE_IDENTIFIABLE","?REFERENTIAL"),"_")))))</f>
        <v/>
      </c>
      <c r="H5384" s="27" t="str">
        <f aca="false">IF(J5384&lt;&gt;1,"",IF(I5384="SBJ","CB","?"))</f>
        <v/>
      </c>
      <c r="I5384" s="24" t="str">
        <f aca="false">IF(OR(E5384="",E5384="!!!",F5384="NEW"),"",INDEX(B15:B$5370,-1+SUMPRODUCT(MAX(ROW(E15:E$5370)*(E5384=E15:E$5370)))))</f>
        <v/>
      </c>
      <c r="J5384" s="24" t="str">
        <f aca="true">IF(OR(E5384="",E5384="!!!",F5384="NEW"),"",COUNTBLANK(OFFSET(A$1,,,SUMPRODUCT(MAX(ROW(E$2:E5384)*(E5384=E$2:E5384)))))-COUNTBLANK(OFFSET(A$1,,,SUMPRODUCT(MAX(ROW(E$1:E5383)*(E2=E$1:E5383))))))</f>
        <v/>
      </c>
      <c r="K5384" s="24" t="str">
        <f aca="false">IF(OR(E5384="",E5384="!!!",F5384="NEW"),"",INDEX(J$1:J5383,SUMPRODUCT(MAX(ROW(E$1:E5383)*(E5384=E$1:E5383)))))</f>
        <v/>
      </c>
      <c r="L5384" s="31"/>
    </row>
    <row r="5385" customFormat="false" ht="15" hidden="false" customHeight="false" outlineLevel="0" collapsed="false">
      <c r="A5385" s="20" t="s">
        <v>1890</v>
      </c>
      <c r="B5385" s="22" t="s">
        <v>1086</v>
      </c>
      <c r="C5385" s="22" t="s">
        <v>1150</v>
      </c>
      <c r="D5385" s="22" t="s">
        <v>1060</v>
      </c>
      <c r="E5385" s="23" t="str">
        <f aca="false">IF(D5385="?OLD","!!!","")</f>
        <v>!!!</v>
      </c>
      <c r="F5385" s="25" t="str">
        <f aca="false">IF(OR(E5385="",E5385="!!!"),"",IF(NOT(ISNA(VLOOKUP(E5385,E$1:E5384,1,FALSE()))),"OLD",IF(AND(E5385&lt;&gt;"",E5385&lt;&gt;"!!!"),"NEW","")))</f>
        <v/>
      </c>
      <c r="G5385" s="26" t="str">
        <f aca="false">IF(OR(E5385="",E5385="!!!"),"",IF(OR(J5385=0,AND(J5385=1,K5385=1),AND(J5385=1,I5385="SBJ"),AND(J5385=1,I5385=0)),"?IN_FOCUS",IF(J5385&lt;=2,"?ACTIVATED",IF(J5385&lt;&gt;"","?FAMILIAR",IF(F5385="NEW",IF(ISNA(VLOOKUP(E5385,#REF!,1,FALSE())),"?TYPE_IDENTIFIABLE","?REFERENTIAL"),"_")))))</f>
        <v/>
      </c>
      <c r="H5385" s="27" t="str">
        <f aca="false">IF(J5385&lt;&gt;1,"",IF(I5385="SBJ","CB","?"))</f>
        <v/>
      </c>
      <c r="I5385" s="24" t="str">
        <f aca="false">IF(OR(E5385="",E5385="!!!",F5385="NEW"),"",INDEX(B16:B$5370,-1+SUMPRODUCT(MAX(ROW(E16:E$5370)*(E5385=E16:E$5370)))))</f>
        <v/>
      </c>
      <c r="J5385" s="24" t="str">
        <f aca="true">IF(OR(E5385="",E5385="!!!",F5385="NEW"),"",COUNTBLANK(OFFSET(A$1,,,SUMPRODUCT(MAX(ROW(E$2:E5385)*(E5385=E$2:E5385)))))-COUNTBLANK(OFFSET(A$1,,,SUMPRODUCT(MAX(ROW(E$1:E5384)*(E2=E$1:E5384))))))</f>
        <v/>
      </c>
      <c r="K5385" s="24" t="str">
        <f aca="false">IF(OR(E5385="",E5385="!!!",F5385="NEW"),"",INDEX(J$1:J5384,SUMPRODUCT(MAX(ROW(E$1:E5384)*(E5385=E$1:E5384)))))</f>
        <v/>
      </c>
      <c r="L5385" s="31"/>
    </row>
    <row r="5386" customFormat="false" ht="15" hidden="false" customHeight="false" outlineLevel="0" collapsed="false">
      <c r="A5386" s="20" t="s">
        <v>1092</v>
      </c>
      <c r="E5386" s="23" t="str">
        <f aca="false">IF(D5386="?OLD","!!!","")</f>
        <v/>
      </c>
      <c r="F5386" s="25" t="str">
        <f aca="false">IF(OR(E5386="",E5386="!!!"),"",IF(NOT(ISNA(VLOOKUP(E5386,E$1:E5385,1,FALSE()))),"OLD",IF(AND(E5386&lt;&gt;"",E5386&lt;&gt;"!!!"),"NEW","")))</f>
        <v/>
      </c>
      <c r="G5386" s="26" t="str">
        <f aca="false">IF(OR(E5386="",E5386="!!!"),"",IF(OR(J5386=0,AND(J5386=1,K5386=1),AND(J5386=1,I5386="SBJ"),AND(J5386=1,I5386=0)),"?IN_FOCUS",IF(J5386&lt;=2,"?ACTIVATED",IF(J5386&lt;&gt;"","?FAMILIAR",IF(F5386="NEW",IF(ISNA(VLOOKUP(E5386,#REF!,1,FALSE())),"?TYPE_IDENTIFIABLE","?REFERENTIAL"),"_")))))</f>
        <v/>
      </c>
      <c r="H5386" s="27" t="str">
        <f aca="false">IF(J5386&lt;&gt;1,"",IF(I5386="SBJ","CB","?"))</f>
        <v/>
      </c>
      <c r="I5386" s="24" t="str">
        <f aca="false">IF(OR(E5386="",E5386="!!!",F5386="NEW"),"",INDEX(B17:B$5370,-1+SUMPRODUCT(MAX(ROW(E17:E$5370)*(E5386=E17:E$5370)))))</f>
        <v/>
      </c>
      <c r="J5386" s="24" t="str">
        <f aca="true">IF(OR(E5386="",E5386="!!!",F5386="NEW"),"",COUNTBLANK(OFFSET(A$1,,,SUMPRODUCT(MAX(ROW(E$2:E5386)*(E5386=E$2:E5386)))))-COUNTBLANK(OFFSET(A$1,,,SUMPRODUCT(MAX(ROW(E$1:E5385)*(E2=E$1:E5385))))))</f>
        <v/>
      </c>
      <c r="K5386" s="24" t="str">
        <f aca="false">IF(OR(E5386="",E5386="!!!",F5386="NEW"),"",INDEX(J$1:J5385,SUMPRODUCT(MAX(ROW(E$1:E5385)*(E5386=E$1:E5385)))))</f>
        <v/>
      </c>
      <c r="L5386" s="31"/>
    </row>
    <row r="5387" customFormat="false" ht="15" hidden="false" customHeight="false" outlineLevel="0" collapsed="false">
      <c r="A5387" s="20" t="s">
        <v>2586</v>
      </c>
      <c r="E5387" s="23" t="str">
        <f aca="false">IF(D5387="?OLD","!!!","")</f>
        <v/>
      </c>
      <c r="F5387" s="25" t="str">
        <f aca="false">IF(OR(E5387="",E5387="!!!"),"",IF(NOT(ISNA(VLOOKUP(E5387,E$1:E5386,1,FALSE()))),"OLD",IF(AND(E5387&lt;&gt;"",E5387&lt;&gt;"!!!"),"NEW","")))</f>
        <v/>
      </c>
      <c r="G5387" s="26" t="str">
        <f aca="false">IF(OR(E5387="",E5387="!!!"),"",IF(OR(J5387=0,AND(J5387=1,K5387=1),AND(J5387=1,I5387="SBJ"),AND(J5387=1,I5387=0)),"?IN_FOCUS",IF(J5387&lt;=2,"?ACTIVATED",IF(J5387&lt;&gt;"","?FAMILIAR",IF(F5387="NEW",IF(ISNA(VLOOKUP(E5387,#REF!,1,FALSE())),"?TYPE_IDENTIFIABLE","?REFERENTIAL"),"_")))))</f>
        <v/>
      </c>
      <c r="H5387" s="27" t="str">
        <f aca="false">IF(J5387&lt;&gt;1,"",IF(I5387="SBJ","CB","?"))</f>
        <v/>
      </c>
      <c r="I5387" s="24" t="str">
        <f aca="false">IF(OR(E5387="",E5387="!!!",F5387="NEW"),"",INDEX(B18:B$5370,-1+SUMPRODUCT(MAX(ROW(E18:E$5370)*(E5387=E18:E$5370)))))</f>
        <v/>
      </c>
      <c r="J5387" s="24" t="str">
        <f aca="true">IF(OR(E5387="",E5387="!!!",F5387="NEW"),"",COUNTBLANK(OFFSET(A$1,,,SUMPRODUCT(MAX(ROW(E$2:E5387)*(E5387=E$2:E5387)))))-COUNTBLANK(OFFSET(A$1,,,SUMPRODUCT(MAX(ROW(E$1:E5386)*(E2=E$1:E5386))))))</f>
        <v/>
      </c>
      <c r="K5387" s="24" t="str">
        <f aca="false">IF(OR(E5387="",E5387="!!!",F5387="NEW"),"",INDEX(J$1:J5386,SUMPRODUCT(MAX(ROW(E$1:E5386)*(E5387=E$1:E5386)))))</f>
        <v/>
      </c>
      <c r="L5387" s="31"/>
    </row>
    <row r="5388" customFormat="false" ht="15" hidden="false" customHeight="false" outlineLevel="0" collapsed="false">
      <c r="A5388" s="20" t="s">
        <v>923</v>
      </c>
      <c r="E5388" s="23" t="str">
        <f aca="false">IF(D5388="?OLD","!!!","")</f>
        <v/>
      </c>
      <c r="F5388" s="25" t="str">
        <f aca="false">IF(OR(E5388="",E5388="!!!"),"",IF(NOT(ISNA(VLOOKUP(E5388,E$1:E5387,1,FALSE()))),"OLD",IF(AND(E5388&lt;&gt;"",E5388&lt;&gt;"!!!"),"NEW","")))</f>
        <v/>
      </c>
      <c r="G5388" s="26" t="str">
        <f aca="false">IF(OR(E5388="",E5388="!!!"),"",IF(OR(J5388=0,AND(J5388=1,K5388=1),AND(J5388=1,I5388="SBJ"),AND(J5388=1,I5388=0)),"?IN_FOCUS",IF(J5388&lt;=2,"?ACTIVATED",IF(J5388&lt;&gt;"","?FAMILIAR",IF(F5388="NEW",IF(ISNA(VLOOKUP(E5388,#REF!,1,FALSE())),"?TYPE_IDENTIFIABLE","?REFERENTIAL"),"_")))))</f>
        <v/>
      </c>
      <c r="H5388" s="27" t="str">
        <f aca="false">IF(J5388&lt;&gt;1,"",IF(I5388="SBJ","CB","?"))</f>
        <v/>
      </c>
      <c r="I5388" s="24" t="str">
        <f aca="false">IF(OR(E5388="",E5388="!!!",F5388="NEW"),"",INDEX(B19:B$5370,-1+SUMPRODUCT(MAX(ROW(E19:E$5370)*(E5388=E19:E$5370)))))</f>
        <v/>
      </c>
      <c r="J5388" s="24" t="str">
        <f aca="true">IF(OR(E5388="",E5388="!!!",F5388="NEW"),"",COUNTBLANK(OFFSET(A$1,,,SUMPRODUCT(MAX(ROW(E$2:E5388)*(E5388=E$2:E5388)))))-COUNTBLANK(OFFSET(A$1,,,SUMPRODUCT(MAX(ROW(E$1:E5387)*(E2=E$1:E5387))))))</f>
        <v/>
      </c>
      <c r="K5388" s="24" t="str">
        <f aca="false">IF(OR(E5388="",E5388="!!!",F5388="NEW"),"",INDEX(J$1:J5387,SUMPRODUCT(MAX(ROW(E$1:E5387)*(E5388=E$1:E5387)))))</f>
        <v/>
      </c>
      <c r="L5388" s="31"/>
    </row>
    <row r="5389" customFormat="false" ht="15" hidden="false" customHeight="false" outlineLevel="0" collapsed="false">
      <c r="A5389" s="20"/>
    </row>
    <row r="5390" customFormat="false" ht="15" hidden="false" customHeight="false" outlineLevel="0" collapsed="false">
      <c r="A5390" s="20" t="s">
        <v>2587</v>
      </c>
    </row>
    <row r="5391" customFormat="false" ht="15" hidden="false" customHeight="false" outlineLevel="0" collapsed="false">
      <c r="A5391" s="20" t="s">
        <v>1261</v>
      </c>
      <c r="B5391" s="22" t="s">
        <v>1058</v>
      </c>
      <c r="C5391" s="22" t="s">
        <v>1082</v>
      </c>
      <c r="D5391" s="22" t="s">
        <v>1060</v>
      </c>
      <c r="E5391" s="23" t="str">
        <f aca="false">IF(D5391="?OLD","!!!","")</f>
        <v>!!!</v>
      </c>
      <c r="F5391" s="25" t="str">
        <f aca="false">IF(OR(E5391="",E5391="!!!"),"",IF(NOT(ISNA(VLOOKUP(E5391,E$1:E5390,1,FALSE()))),"OLD",IF(AND(E5391&lt;&gt;"",E5391&lt;&gt;"!!!"),"NEW","")))</f>
        <v/>
      </c>
      <c r="G5391" s="26" t="str">
        <f aca="false">IF(OR(E5391="",E5391="!!!"),"",IF(OR(J5391=0,AND(J5391=1,K5391=1),AND(J5391=1,I5391="SBJ"),AND(J5391=1,I5391=0)),"?IN_FOCUS",IF(J5391&lt;=2,"?ACTIVATED",IF(J5391&lt;&gt;"","?FAMILIAR",IF(F5391="NEW",IF(ISNA(VLOOKUP(E5391,#REF!,1,FALSE())),"?TYPE_IDENTIFIABLE","?REFERENTIAL"),"_")))))</f>
        <v/>
      </c>
      <c r="H5391" s="27" t="str">
        <f aca="false">IF(J5391&lt;&gt;1,"",IF(I5391="SBJ","CB","?"))</f>
        <v/>
      </c>
      <c r="I5391" s="24" t="str">
        <f aca="false">IF(OR(E5391="",E5391="!!!",F5391="NEW"),"",INDEX(B2:B$5390,-1+SUMPRODUCT(MAX(ROW(E2:E$5390)*(E5391=E2:E$5390)))))</f>
        <v/>
      </c>
      <c r="J5391" s="24" t="str">
        <f aca="true">IF(OR(E5391="",E5391="!!!",F5391="NEW"),"",COUNTBLANK(OFFSET(A$1,,,SUMPRODUCT(MAX(ROW(E$2:E5391)*(E5391=E$2:E5391)))))-COUNTBLANK(OFFSET(A$1,,,SUMPRODUCT(MAX(ROW(E$1:E5390)*(E2=E$1:E5390))))))</f>
        <v/>
      </c>
      <c r="K5391" s="24" t="str">
        <f aca="false">IF(OR(E5391="",E5391="!!!",F5391="NEW"),"",INDEX(J$1:J5390,SUMPRODUCT(MAX(ROW(E$1:E5390)*(E5391=E$1:E5390)))))</f>
        <v/>
      </c>
      <c r="L5391" s="31"/>
    </row>
    <row r="5392" customFormat="false" ht="15" hidden="false" customHeight="false" outlineLevel="0" collapsed="false">
      <c r="A5392" s="20" t="s">
        <v>1092</v>
      </c>
      <c r="E5392" s="23" t="str">
        <f aca="false">IF(D5392="?OLD","!!!","")</f>
        <v/>
      </c>
      <c r="F5392" s="25" t="str">
        <f aca="false">IF(OR(E5392="",E5392="!!!"),"",IF(NOT(ISNA(VLOOKUP(E5392,E$1:E5391,1,FALSE()))),"OLD",IF(AND(E5392&lt;&gt;"",E5392&lt;&gt;"!!!"),"NEW","")))</f>
        <v/>
      </c>
      <c r="G5392" s="26" t="str">
        <f aca="false">IF(OR(E5392="",E5392="!!!"),"",IF(OR(J5392=0,AND(J5392=1,K5392=1),AND(J5392=1,I5392="SBJ"),AND(J5392=1,I5392=0)),"?IN_FOCUS",IF(J5392&lt;=2,"?ACTIVATED",IF(J5392&lt;&gt;"","?FAMILIAR",IF(F5392="NEW",IF(ISNA(VLOOKUP(E5392,#REF!,1,FALSE())),"?TYPE_IDENTIFIABLE","?REFERENTIAL"),"_")))))</f>
        <v/>
      </c>
      <c r="H5392" s="27" t="str">
        <f aca="false">IF(J5392&lt;&gt;1,"",IF(I5392="SBJ","CB","?"))</f>
        <v/>
      </c>
      <c r="I5392" s="24" t="str">
        <f aca="false">IF(OR(E5392="",E5392="!!!",F5392="NEW"),"",INDEX(B3:B$5390,-1+SUMPRODUCT(MAX(ROW(E3:E$5390)*(E5392=E3:E$5390)))))</f>
        <v/>
      </c>
      <c r="J5392" s="24" t="str">
        <f aca="true">IF(OR(E5392="",E5392="!!!",F5392="NEW"),"",COUNTBLANK(OFFSET(A$1,,,SUMPRODUCT(MAX(ROW(E$2:E5392)*(E5392=E$2:E5392)))))-COUNTBLANK(OFFSET(A$1,,,SUMPRODUCT(MAX(ROW(E$1:E5391)*(E2=E$1:E5391))))))</f>
        <v/>
      </c>
      <c r="K5392" s="24" t="str">
        <f aca="false">IF(OR(E5392="",E5392="!!!",F5392="NEW"),"",INDEX(J$1:J5391,SUMPRODUCT(MAX(ROW(E$1:E5391)*(E5392=E$1:E5391)))))</f>
        <v/>
      </c>
      <c r="L5392" s="31"/>
    </row>
    <row r="5393" customFormat="false" ht="15" hidden="false" customHeight="false" outlineLevel="0" collapsed="false">
      <c r="A5393" s="20" t="s">
        <v>2588</v>
      </c>
      <c r="E5393" s="23" t="str">
        <f aca="false">IF(D5393="?OLD","!!!","")</f>
        <v/>
      </c>
      <c r="F5393" s="25" t="str">
        <f aca="false">IF(OR(E5393="",E5393="!!!"),"",IF(NOT(ISNA(VLOOKUP(E5393,E$1:E5392,1,FALSE()))),"OLD",IF(AND(E5393&lt;&gt;"",E5393&lt;&gt;"!!!"),"NEW","")))</f>
        <v/>
      </c>
      <c r="G5393" s="26" t="str">
        <f aca="false">IF(OR(E5393="",E5393="!!!"),"",IF(OR(J5393=0,AND(J5393=1,K5393=1),AND(J5393=1,I5393="SBJ"),AND(J5393=1,I5393=0)),"?IN_FOCUS",IF(J5393&lt;=2,"?ACTIVATED",IF(J5393&lt;&gt;"","?FAMILIAR",IF(F5393="NEW",IF(ISNA(VLOOKUP(E5393,#REF!,1,FALSE())),"?TYPE_IDENTIFIABLE","?REFERENTIAL"),"_")))))</f>
        <v/>
      </c>
      <c r="H5393" s="27" t="str">
        <f aca="false">IF(J5393&lt;&gt;1,"",IF(I5393="SBJ","CB","?"))</f>
        <v/>
      </c>
      <c r="I5393" s="24" t="str">
        <f aca="false">IF(OR(E5393="",E5393="!!!",F5393="NEW"),"",INDEX(B4:B$5390,-1+SUMPRODUCT(MAX(ROW(E4:E$5390)*(E5393=E4:E$5390)))))</f>
        <v/>
      </c>
      <c r="J5393" s="24" t="str">
        <f aca="true">IF(OR(E5393="",E5393="!!!",F5393="NEW"),"",COUNTBLANK(OFFSET(A$1,,,SUMPRODUCT(MAX(ROW(E$2:E5393)*(E5393=E$2:E5393)))))-COUNTBLANK(OFFSET(A$1,,,SUMPRODUCT(MAX(ROW(E$1:E5392)*(E2=E$1:E5392))))))</f>
        <v/>
      </c>
      <c r="K5393" s="24" t="str">
        <f aca="false">IF(OR(E5393="",E5393="!!!",F5393="NEW"),"",INDEX(J$1:J5392,SUMPRODUCT(MAX(ROW(E$1:E5392)*(E5393=E$1:E5392)))))</f>
        <v/>
      </c>
      <c r="L5393" s="31"/>
    </row>
    <row r="5394" customFormat="false" ht="15" hidden="false" customHeight="false" outlineLevel="0" collapsed="false">
      <c r="A5394" s="20" t="s">
        <v>1076</v>
      </c>
      <c r="E5394" s="23" t="str">
        <f aca="false">IF(D5394="?OLD","!!!","")</f>
        <v/>
      </c>
      <c r="F5394" s="25" t="str">
        <f aca="false">IF(OR(E5394="",E5394="!!!"),"",IF(NOT(ISNA(VLOOKUP(E5394,E$1:E5393,1,FALSE()))),"OLD",IF(AND(E5394&lt;&gt;"",E5394&lt;&gt;"!!!"),"NEW","")))</f>
        <v/>
      </c>
      <c r="G5394" s="26" t="str">
        <f aca="false">IF(OR(E5394="",E5394="!!!"),"",IF(OR(J5394=0,AND(J5394=1,K5394=1),AND(J5394=1,I5394="SBJ"),AND(J5394=1,I5394=0)),"?IN_FOCUS",IF(J5394&lt;=2,"?ACTIVATED",IF(J5394&lt;&gt;"","?FAMILIAR",IF(F5394="NEW",IF(ISNA(VLOOKUP(E5394,#REF!,1,FALSE())),"?TYPE_IDENTIFIABLE","?REFERENTIAL"),"_")))))</f>
        <v/>
      </c>
      <c r="H5394" s="27" t="str">
        <f aca="false">IF(J5394&lt;&gt;1,"",IF(I5394="SBJ","CB","?"))</f>
        <v/>
      </c>
      <c r="I5394" s="24" t="str">
        <f aca="false">IF(OR(E5394="",E5394="!!!",F5394="NEW"),"",INDEX(B5:B$5390,-1+SUMPRODUCT(MAX(ROW(E5:E$5390)*(E5394=E5:E$5390)))))</f>
        <v/>
      </c>
      <c r="J5394" s="24" t="str">
        <f aca="true">IF(OR(E5394="",E5394="!!!",F5394="NEW"),"",COUNTBLANK(OFFSET(A$1,,,SUMPRODUCT(MAX(ROW(E$2:E5394)*(E5394=E$2:E5394)))))-COUNTBLANK(OFFSET(A$1,,,SUMPRODUCT(MAX(ROW(E$1:E5393)*(E2=E$1:E5393))))))</f>
        <v/>
      </c>
      <c r="K5394" s="24" t="str">
        <f aca="false">IF(OR(E5394="",E5394="!!!",F5394="NEW"),"",INDEX(J$1:J5393,SUMPRODUCT(MAX(ROW(E$1:E5393)*(E5394=E$1:E5393)))))</f>
        <v/>
      </c>
      <c r="L5394" s="31"/>
    </row>
    <row r="5395" customFormat="false" ht="15" hidden="false" customHeight="false" outlineLevel="0" collapsed="false">
      <c r="A5395" s="20" t="s">
        <v>1064</v>
      </c>
      <c r="E5395" s="23" t="str">
        <f aca="false">IF(D5395="?OLD","!!!","")</f>
        <v/>
      </c>
      <c r="F5395" s="25" t="str">
        <f aca="false">IF(OR(E5395="",E5395="!!!"),"",IF(NOT(ISNA(VLOOKUP(E5395,E$1:E5394,1,FALSE()))),"OLD",IF(AND(E5395&lt;&gt;"",E5395&lt;&gt;"!!!"),"NEW","")))</f>
        <v/>
      </c>
      <c r="G5395" s="26" t="str">
        <f aca="false">IF(OR(E5395="",E5395="!!!"),"",IF(OR(J5395=0,AND(J5395=1,K5395=1),AND(J5395=1,I5395="SBJ"),AND(J5395=1,I5395=0)),"?IN_FOCUS",IF(J5395&lt;=2,"?ACTIVATED",IF(J5395&lt;&gt;"","?FAMILIAR",IF(F5395="NEW",IF(ISNA(VLOOKUP(E5395,#REF!,1,FALSE())),"?TYPE_IDENTIFIABLE","?REFERENTIAL"),"_")))))</f>
        <v/>
      </c>
      <c r="H5395" s="27" t="str">
        <f aca="false">IF(J5395&lt;&gt;1,"",IF(I5395="SBJ","CB","?"))</f>
        <v/>
      </c>
      <c r="I5395" s="24" t="str">
        <f aca="false">IF(OR(E5395="",E5395="!!!",F5395="NEW"),"",INDEX(B6:B$5390,-1+SUMPRODUCT(MAX(ROW(E6:E$5390)*(E5395=E6:E$5390)))))</f>
        <v/>
      </c>
      <c r="J5395" s="24" t="str">
        <f aca="true">IF(OR(E5395="",E5395="!!!",F5395="NEW"),"",COUNTBLANK(OFFSET(A$1,,,SUMPRODUCT(MAX(ROW(E$2:E5395)*(E5395=E$2:E5395)))))-COUNTBLANK(OFFSET(A$1,,,SUMPRODUCT(MAX(ROW(E$1:E5394)*(E2=E$1:E5394))))))</f>
        <v/>
      </c>
      <c r="K5395" s="24" t="str">
        <f aca="false">IF(OR(E5395="",E5395="!!!",F5395="NEW"),"",INDEX(J$1:J5394,SUMPRODUCT(MAX(ROW(E$1:E5394)*(E5395=E$1:E5394)))))</f>
        <v/>
      </c>
      <c r="L5395" s="31"/>
    </row>
    <row r="5396" customFormat="false" ht="15" hidden="false" customHeight="false" outlineLevel="0" collapsed="false">
      <c r="A5396" s="20" t="s">
        <v>1204</v>
      </c>
      <c r="E5396" s="23" t="str">
        <f aca="false">IF(D5396="?OLD","!!!","")</f>
        <v/>
      </c>
      <c r="F5396" s="25" t="str">
        <f aca="false">IF(OR(E5396="",E5396="!!!"),"",IF(NOT(ISNA(VLOOKUP(E5396,E$1:E5395,1,FALSE()))),"OLD",IF(AND(E5396&lt;&gt;"",E5396&lt;&gt;"!!!"),"NEW","")))</f>
        <v/>
      </c>
      <c r="G5396" s="26" t="str">
        <f aca="false">IF(OR(E5396="",E5396="!!!"),"",IF(OR(J5396=0,AND(J5396=1,K5396=1),AND(J5396=1,I5396="SBJ"),AND(J5396=1,I5396=0)),"?IN_FOCUS",IF(J5396&lt;=2,"?ACTIVATED",IF(J5396&lt;&gt;"","?FAMILIAR",IF(F5396="NEW",IF(ISNA(VLOOKUP(E5396,#REF!,1,FALSE())),"?TYPE_IDENTIFIABLE","?REFERENTIAL"),"_")))))</f>
        <v/>
      </c>
      <c r="H5396" s="27" t="str">
        <f aca="false">IF(J5396&lt;&gt;1,"",IF(I5396="SBJ","CB","?"))</f>
        <v/>
      </c>
      <c r="I5396" s="24" t="str">
        <f aca="false">IF(OR(E5396="",E5396="!!!",F5396="NEW"),"",INDEX(B7:B$5390,-1+SUMPRODUCT(MAX(ROW(E7:E$5390)*(E5396=E7:E$5390)))))</f>
        <v/>
      </c>
      <c r="J5396" s="24" t="str">
        <f aca="true">IF(OR(E5396="",E5396="!!!",F5396="NEW"),"",COUNTBLANK(OFFSET(A$1,,,SUMPRODUCT(MAX(ROW(E$2:E5396)*(E5396=E$2:E5396)))))-COUNTBLANK(OFFSET(A$1,,,SUMPRODUCT(MAX(ROW(E$1:E5395)*(E2=E$1:E5395))))))</f>
        <v/>
      </c>
      <c r="K5396" s="24" t="str">
        <f aca="false">IF(OR(E5396="",E5396="!!!",F5396="NEW"),"",INDEX(J$1:J5395,SUMPRODUCT(MAX(ROW(E$1:E5395)*(E5396=E$1:E5395)))))</f>
        <v/>
      </c>
      <c r="L5396" s="31"/>
    </row>
    <row r="5397" customFormat="false" ht="15" hidden="false" customHeight="false" outlineLevel="0" collapsed="false">
      <c r="A5397" s="20" t="s">
        <v>1076</v>
      </c>
      <c r="E5397" s="23" t="str">
        <f aca="false">IF(D5397="?OLD","!!!","")</f>
        <v/>
      </c>
      <c r="F5397" s="25" t="str">
        <f aca="false">IF(OR(E5397="",E5397="!!!"),"",IF(NOT(ISNA(VLOOKUP(E5397,E$1:E5396,1,FALSE()))),"OLD",IF(AND(E5397&lt;&gt;"",E5397&lt;&gt;"!!!"),"NEW","")))</f>
        <v/>
      </c>
      <c r="G5397" s="26" t="str">
        <f aca="false">IF(OR(E5397="",E5397="!!!"),"",IF(OR(J5397=0,AND(J5397=1,K5397=1),AND(J5397=1,I5397="SBJ"),AND(J5397=1,I5397=0)),"?IN_FOCUS",IF(J5397&lt;=2,"?ACTIVATED",IF(J5397&lt;&gt;"","?FAMILIAR",IF(F5397="NEW",IF(ISNA(VLOOKUP(E5397,#REF!,1,FALSE())),"?TYPE_IDENTIFIABLE","?REFERENTIAL"),"_")))))</f>
        <v/>
      </c>
      <c r="H5397" s="27" t="str">
        <f aca="false">IF(J5397&lt;&gt;1,"",IF(I5397="SBJ","CB","?"))</f>
        <v/>
      </c>
      <c r="I5397" s="24" t="str">
        <f aca="false">IF(OR(E5397="",E5397="!!!",F5397="NEW"),"",INDEX(B8:B$5390,-1+SUMPRODUCT(MAX(ROW(E8:E$5390)*(E5397=E8:E$5390)))))</f>
        <v/>
      </c>
      <c r="J5397" s="24" t="str">
        <f aca="true">IF(OR(E5397="",E5397="!!!",F5397="NEW"),"",COUNTBLANK(OFFSET(A$1,,,SUMPRODUCT(MAX(ROW(E$2:E5397)*(E5397=E$2:E5397)))))-COUNTBLANK(OFFSET(A$1,,,SUMPRODUCT(MAX(ROW(E$1:E5396)*(E2=E$1:E5396))))))</f>
        <v/>
      </c>
      <c r="K5397" s="24" t="str">
        <f aca="false">IF(OR(E5397="",E5397="!!!",F5397="NEW"),"",INDEX(J$1:J5396,SUMPRODUCT(MAX(ROW(E$1:E5396)*(E5397=E$1:E5396)))))</f>
        <v/>
      </c>
      <c r="L5397" s="31"/>
    </row>
    <row r="5398" customFormat="false" ht="15" hidden="false" customHeight="false" outlineLevel="0" collapsed="false">
      <c r="A5398" s="20" t="s">
        <v>1248</v>
      </c>
      <c r="E5398" s="23" t="str">
        <f aca="false">IF(D5398="?OLD","!!!","")</f>
        <v/>
      </c>
      <c r="F5398" s="25" t="str">
        <f aca="false">IF(OR(E5398="",E5398="!!!"),"",IF(NOT(ISNA(VLOOKUP(E5398,E$1:E5397,1,FALSE()))),"OLD",IF(AND(E5398&lt;&gt;"",E5398&lt;&gt;"!!!"),"NEW","")))</f>
        <v/>
      </c>
      <c r="G5398" s="26" t="str">
        <f aca="false">IF(OR(E5398="",E5398="!!!"),"",IF(OR(J5398=0,AND(J5398=1,K5398=1),AND(J5398=1,I5398="SBJ"),AND(J5398=1,I5398=0)),"?IN_FOCUS",IF(J5398&lt;=2,"?ACTIVATED",IF(J5398&lt;&gt;"","?FAMILIAR",IF(F5398="NEW",IF(ISNA(VLOOKUP(E5398,#REF!,1,FALSE())),"?TYPE_IDENTIFIABLE","?REFERENTIAL"),"_")))))</f>
        <v/>
      </c>
      <c r="H5398" s="27" t="str">
        <f aca="false">IF(J5398&lt;&gt;1,"",IF(I5398="SBJ","CB","?"))</f>
        <v/>
      </c>
      <c r="I5398" s="24" t="str">
        <f aca="false">IF(OR(E5398="",E5398="!!!",F5398="NEW"),"",INDEX(B9:B$5390,-1+SUMPRODUCT(MAX(ROW(E9:E$5390)*(E5398=E9:E$5390)))))</f>
        <v/>
      </c>
      <c r="J5398" s="24" t="str">
        <f aca="true">IF(OR(E5398="",E5398="!!!",F5398="NEW"),"",COUNTBLANK(OFFSET(A$1,,,SUMPRODUCT(MAX(ROW(E$2:E5398)*(E5398=E$2:E5398)))))-COUNTBLANK(OFFSET(A$1,,,SUMPRODUCT(MAX(ROW(E$1:E5397)*(E2=E$1:E5397))))))</f>
        <v/>
      </c>
      <c r="K5398" s="24" t="str">
        <f aca="false">IF(OR(E5398="",E5398="!!!",F5398="NEW"),"",INDEX(J$1:J5397,SUMPRODUCT(MAX(ROW(E$1:E5397)*(E5398=E$1:E5397)))))</f>
        <v/>
      </c>
      <c r="L5398" s="31"/>
    </row>
    <row r="5399" customFormat="false" ht="15" hidden="false" customHeight="false" outlineLevel="0" collapsed="false">
      <c r="A5399" s="20" t="s">
        <v>1109</v>
      </c>
      <c r="E5399" s="23" t="str">
        <f aca="false">IF(D5399="?OLD","!!!","")</f>
        <v/>
      </c>
      <c r="F5399" s="25" t="str">
        <f aca="false">IF(OR(E5399="",E5399="!!!"),"",IF(NOT(ISNA(VLOOKUP(E5399,E$1:E5398,1,FALSE()))),"OLD",IF(AND(E5399&lt;&gt;"",E5399&lt;&gt;"!!!"),"NEW","")))</f>
        <v/>
      </c>
      <c r="G5399" s="26" t="str">
        <f aca="false">IF(OR(E5399="",E5399="!!!"),"",IF(OR(J5399=0,AND(J5399=1,K5399=1),AND(J5399=1,I5399="SBJ"),AND(J5399=1,I5399=0)),"?IN_FOCUS",IF(J5399&lt;=2,"?ACTIVATED",IF(J5399&lt;&gt;"","?FAMILIAR",IF(F5399="NEW",IF(ISNA(VLOOKUP(E5399,#REF!,1,FALSE())),"?TYPE_IDENTIFIABLE","?REFERENTIAL"),"_")))))</f>
        <v/>
      </c>
      <c r="H5399" s="27" t="str">
        <f aca="false">IF(J5399&lt;&gt;1,"",IF(I5399="SBJ","CB","?"))</f>
        <v/>
      </c>
      <c r="I5399" s="24" t="str">
        <f aca="false">IF(OR(E5399="",E5399="!!!",F5399="NEW"),"",INDEX(B10:B$5390,-1+SUMPRODUCT(MAX(ROW(E10:E$5390)*(E5399=E10:E$5390)))))</f>
        <v/>
      </c>
      <c r="J5399" s="24" t="str">
        <f aca="true">IF(OR(E5399="",E5399="!!!",F5399="NEW"),"",COUNTBLANK(OFFSET(A$1,,,SUMPRODUCT(MAX(ROW(E$2:E5399)*(E5399=E$2:E5399)))))-COUNTBLANK(OFFSET(A$1,,,SUMPRODUCT(MAX(ROW(E$1:E5398)*(E2=E$1:E5398))))))</f>
        <v/>
      </c>
      <c r="K5399" s="24" t="str">
        <f aca="false">IF(OR(E5399="",E5399="!!!",F5399="NEW"),"",INDEX(J$1:J5398,SUMPRODUCT(MAX(ROW(E$1:E5398)*(E5399=E$1:E5398)))))</f>
        <v/>
      </c>
      <c r="L5399" s="31"/>
    </row>
    <row r="5400" customFormat="false" ht="15" hidden="false" customHeight="false" outlineLevel="0" collapsed="false">
      <c r="A5400" s="20" t="s">
        <v>2361</v>
      </c>
      <c r="B5400" s="22" t="s">
        <v>1105</v>
      </c>
      <c r="C5400" s="22" t="s">
        <v>1150</v>
      </c>
      <c r="D5400" s="22" t="s">
        <v>1060</v>
      </c>
      <c r="E5400" s="23" t="str">
        <f aca="false">IF(D5400="?OLD","!!!","")</f>
        <v>!!!</v>
      </c>
      <c r="F5400" s="25" t="str">
        <f aca="false">IF(OR(E5400="",E5400="!!!"),"",IF(NOT(ISNA(VLOOKUP(E5400,E$1:E5399,1,FALSE()))),"OLD",IF(AND(E5400&lt;&gt;"",E5400&lt;&gt;"!!!"),"NEW","")))</f>
        <v/>
      </c>
      <c r="G5400" s="26" t="str">
        <f aca="false">IF(OR(E5400="",E5400="!!!"),"",IF(OR(J5400=0,AND(J5400=1,K5400=1),AND(J5400=1,I5400="SBJ"),AND(J5400=1,I5400=0)),"?IN_FOCUS",IF(J5400&lt;=2,"?ACTIVATED",IF(J5400&lt;&gt;"","?FAMILIAR",IF(F5400="NEW",IF(ISNA(VLOOKUP(E5400,#REF!,1,FALSE())),"?TYPE_IDENTIFIABLE","?REFERENTIAL"),"_")))))</f>
        <v/>
      </c>
      <c r="H5400" s="27" t="str">
        <f aca="false">IF(J5400&lt;&gt;1,"",IF(I5400="SBJ","CB","?"))</f>
        <v/>
      </c>
      <c r="I5400" s="24" t="str">
        <f aca="false">IF(OR(E5400="",E5400="!!!",F5400="NEW"),"",INDEX(B11:B$5390,-1+SUMPRODUCT(MAX(ROW(E11:E$5390)*(E5400=E11:E$5390)))))</f>
        <v/>
      </c>
      <c r="J5400" s="24" t="str">
        <f aca="true">IF(OR(E5400="",E5400="!!!",F5400="NEW"),"",COUNTBLANK(OFFSET(A$1,,,SUMPRODUCT(MAX(ROW(E$2:E5400)*(E5400=E$2:E5400)))))-COUNTBLANK(OFFSET(A$1,,,SUMPRODUCT(MAX(ROW(E$1:E5399)*(E2=E$1:E5399))))))</f>
        <v/>
      </c>
      <c r="K5400" s="24" t="str">
        <f aca="false">IF(OR(E5400="",E5400="!!!",F5400="NEW"),"",INDEX(J$1:J5399,SUMPRODUCT(MAX(ROW(E$1:E5399)*(E5400=E$1:E5399)))))</f>
        <v/>
      </c>
      <c r="L5400" s="31"/>
    </row>
    <row r="5401" customFormat="false" ht="15" hidden="false" customHeight="false" outlineLevel="0" collapsed="false">
      <c r="A5401" s="20" t="s">
        <v>1064</v>
      </c>
      <c r="E5401" s="23" t="str">
        <f aca="false">IF(D5401="?OLD","!!!","")</f>
        <v/>
      </c>
      <c r="F5401" s="25" t="str">
        <f aca="false">IF(OR(E5401="",E5401="!!!"),"",IF(NOT(ISNA(VLOOKUP(E5401,E$1:E5400,1,FALSE()))),"OLD",IF(AND(E5401&lt;&gt;"",E5401&lt;&gt;"!!!"),"NEW","")))</f>
        <v/>
      </c>
      <c r="G5401" s="26" t="str">
        <f aca="false">IF(OR(E5401="",E5401="!!!"),"",IF(OR(J5401=0,AND(J5401=1,K5401=1),AND(J5401=1,I5401="SBJ"),AND(J5401=1,I5401=0)),"?IN_FOCUS",IF(J5401&lt;=2,"?ACTIVATED",IF(J5401&lt;&gt;"","?FAMILIAR",IF(F5401="NEW",IF(ISNA(VLOOKUP(E5401,#REF!,1,FALSE())),"?TYPE_IDENTIFIABLE","?REFERENTIAL"),"_")))))</f>
        <v/>
      </c>
      <c r="H5401" s="27" t="str">
        <f aca="false">IF(J5401&lt;&gt;1,"",IF(I5401="SBJ","CB","?"))</f>
        <v/>
      </c>
      <c r="I5401" s="24" t="str">
        <f aca="false">IF(OR(E5401="",E5401="!!!",F5401="NEW"),"",INDEX(B12:B$5390,-1+SUMPRODUCT(MAX(ROW(E12:E$5390)*(E5401=E12:E$5390)))))</f>
        <v/>
      </c>
      <c r="J5401" s="24" t="str">
        <f aca="true">IF(OR(E5401="",E5401="!!!",F5401="NEW"),"",COUNTBLANK(OFFSET(A$1,,,SUMPRODUCT(MAX(ROW(E$2:E5401)*(E5401=E$2:E5401)))))-COUNTBLANK(OFFSET(A$1,,,SUMPRODUCT(MAX(ROW(E$1:E5400)*(E2=E$1:E5400))))))</f>
        <v/>
      </c>
      <c r="K5401" s="24" t="str">
        <f aca="false">IF(OR(E5401="",E5401="!!!",F5401="NEW"),"",INDEX(J$1:J5400,SUMPRODUCT(MAX(ROW(E$1:E5400)*(E5401=E$1:E5400)))))</f>
        <v/>
      </c>
      <c r="L5401" s="31"/>
    </row>
    <row r="5402" customFormat="false" ht="15" hidden="false" customHeight="false" outlineLevel="0" collapsed="false">
      <c r="A5402" s="20" t="s">
        <v>1109</v>
      </c>
      <c r="E5402" s="23" t="str">
        <f aca="false">IF(D5402="?OLD","!!!","")</f>
        <v/>
      </c>
      <c r="F5402" s="25" t="str">
        <f aca="false">IF(OR(E5402="",E5402="!!!"),"",IF(NOT(ISNA(VLOOKUP(E5402,E$1:E5401,1,FALSE()))),"OLD",IF(AND(E5402&lt;&gt;"",E5402&lt;&gt;"!!!"),"NEW","")))</f>
        <v/>
      </c>
      <c r="G5402" s="26" t="str">
        <f aca="false">IF(OR(E5402="",E5402="!!!"),"",IF(OR(J5402=0,AND(J5402=1,K5402=1),AND(J5402=1,I5402="SBJ"),AND(J5402=1,I5402=0)),"?IN_FOCUS",IF(J5402&lt;=2,"?ACTIVATED",IF(J5402&lt;&gt;"","?FAMILIAR",IF(F5402="NEW",IF(ISNA(VLOOKUP(E5402,#REF!,1,FALSE())),"?TYPE_IDENTIFIABLE","?REFERENTIAL"),"_")))))</f>
        <v/>
      </c>
      <c r="H5402" s="27" t="str">
        <f aca="false">IF(J5402&lt;&gt;1,"",IF(I5402="SBJ","CB","?"))</f>
        <v/>
      </c>
      <c r="I5402" s="24" t="str">
        <f aca="false">IF(OR(E5402="",E5402="!!!",F5402="NEW"),"",INDEX(B13:B$5390,-1+SUMPRODUCT(MAX(ROW(E13:E$5390)*(E5402=E13:E$5390)))))</f>
        <v/>
      </c>
      <c r="J5402" s="24" t="str">
        <f aca="true">IF(OR(E5402="",E5402="!!!",F5402="NEW"),"",COUNTBLANK(OFFSET(A$1,,,SUMPRODUCT(MAX(ROW(E$2:E5402)*(E5402=E$2:E5402)))))-COUNTBLANK(OFFSET(A$1,,,SUMPRODUCT(MAX(ROW(E$1:E5401)*(E2=E$1:E5401))))))</f>
        <v/>
      </c>
      <c r="K5402" s="24" t="str">
        <f aca="false">IF(OR(E5402="",E5402="!!!",F5402="NEW"),"",INDEX(J$1:J5401,SUMPRODUCT(MAX(ROW(E$1:E5401)*(E5402=E$1:E5401)))))</f>
        <v/>
      </c>
      <c r="L5402" s="31"/>
    </row>
    <row r="5403" customFormat="false" ht="15" hidden="false" customHeight="false" outlineLevel="0" collapsed="false">
      <c r="A5403" s="20" t="s">
        <v>2006</v>
      </c>
      <c r="E5403" s="23" t="str">
        <f aca="false">IF(D5403="?OLD","!!!","")</f>
        <v/>
      </c>
      <c r="F5403" s="25" t="str">
        <f aca="false">IF(OR(E5403="",E5403="!!!"),"",IF(NOT(ISNA(VLOOKUP(E5403,E$1:E5402,1,FALSE()))),"OLD",IF(AND(E5403&lt;&gt;"",E5403&lt;&gt;"!!!"),"NEW","")))</f>
        <v/>
      </c>
      <c r="G5403" s="26" t="str">
        <f aca="false">IF(OR(E5403="",E5403="!!!"),"",IF(OR(J5403=0,AND(J5403=1,K5403=1),AND(J5403=1,I5403="SBJ"),AND(J5403=1,I5403=0)),"?IN_FOCUS",IF(J5403&lt;=2,"?ACTIVATED",IF(J5403&lt;&gt;"","?FAMILIAR",IF(F5403="NEW",IF(ISNA(VLOOKUP(E5403,#REF!,1,FALSE())),"?TYPE_IDENTIFIABLE","?REFERENTIAL"),"_")))))</f>
        <v/>
      </c>
      <c r="H5403" s="27" t="str">
        <f aca="false">IF(J5403&lt;&gt;1,"",IF(I5403="SBJ","CB","?"))</f>
        <v/>
      </c>
      <c r="I5403" s="24" t="str">
        <f aca="false">IF(OR(E5403="",E5403="!!!",F5403="NEW"),"",INDEX(B14:B$5390,-1+SUMPRODUCT(MAX(ROW(E14:E$5390)*(E5403=E14:E$5390)))))</f>
        <v/>
      </c>
      <c r="J5403" s="24" t="str">
        <f aca="true">IF(OR(E5403="",E5403="!!!",F5403="NEW"),"",COUNTBLANK(OFFSET(A$1,,,SUMPRODUCT(MAX(ROW(E$2:E5403)*(E5403=E$2:E5403)))))-COUNTBLANK(OFFSET(A$1,,,SUMPRODUCT(MAX(ROW(E$1:E5402)*(E2=E$1:E5402))))))</f>
        <v/>
      </c>
      <c r="K5403" s="24" t="str">
        <f aca="false">IF(OR(E5403="",E5403="!!!",F5403="NEW"),"",INDEX(J$1:J5402,SUMPRODUCT(MAX(ROW(E$1:E5402)*(E5403=E$1:E5402)))))</f>
        <v/>
      </c>
      <c r="L5403" s="31"/>
    </row>
    <row r="5404" customFormat="false" ht="15" hidden="false" customHeight="false" outlineLevel="0" collapsed="false">
      <c r="A5404" s="20" t="s">
        <v>2589</v>
      </c>
      <c r="E5404" s="23" t="str">
        <f aca="false">IF(D5404="?OLD","!!!","")</f>
        <v/>
      </c>
      <c r="F5404" s="25" t="str">
        <f aca="false">IF(OR(E5404="",E5404="!!!"),"",IF(NOT(ISNA(VLOOKUP(E5404,E$1:E5403,1,FALSE()))),"OLD",IF(AND(E5404&lt;&gt;"",E5404&lt;&gt;"!!!"),"NEW","")))</f>
        <v/>
      </c>
      <c r="G5404" s="26" t="str">
        <f aca="false">IF(OR(E5404="",E5404="!!!"),"",IF(OR(J5404=0,AND(J5404=1,K5404=1),AND(J5404=1,I5404="SBJ"),AND(J5404=1,I5404=0)),"?IN_FOCUS",IF(J5404&lt;=2,"?ACTIVATED",IF(J5404&lt;&gt;"","?FAMILIAR",IF(F5404="NEW",IF(ISNA(VLOOKUP(E5404,#REF!,1,FALSE())),"?TYPE_IDENTIFIABLE","?REFERENTIAL"),"_")))))</f>
        <v/>
      </c>
      <c r="H5404" s="27" t="str">
        <f aca="false">IF(J5404&lt;&gt;1,"",IF(I5404="SBJ","CB","?"))</f>
        <v/>
      </c>
      <c r="I5404" s="24" t="str">
        <f aca="false">IF(OR(E5404="",E5404="!!!",F5404="NEW"),"",INDEX(B15:B$5390,-1+SUMPRODUCT(MAX(ROW(E15:E$5390)*(E5404=E15:E$5390)))))</f>
        <v/>
      </c>
      <c r="J5404" s="24" t="str">
        <f aca="true">IF(OR(E5404="",E5404="!!!",F5404="NEW"),"",COUNTBLANK(OFFSET(A$1,,,SUMPRODUCT(MAX(ROW(E$2:E5404)*(E5404=E$2:E5404)))))-COUNTBLANK(OFFSET(A$1,,,SUMPRODUCT(MAX(ROW(E$1:E5403)*(E2=E$1:E5403))))))</f>
        <v/>
      </c>
      <c r="K5404" s="24" t="str">
        <f aca="false">IF(OR(E5404="",E5404="!!!",F5404="NEW"),"",INDEX(J$1:J5403,SUMPRODUCT(MAX(ROW(E$1:E5403)*(E5404=E$1:E5403)))))</f>
        <v/>
      </c>
      <c r="L5404" s="31"/>
    </row>
    <row r="5405" customFormat="false" ht="15" hidden="false" customHeight="false" outlineLevel="0" collapsed="false">
      <c r="A5405" s="20" t="s">
        <v>16</v>
      </c>
      <c r="E5405" s="23" t="str">
        <f aca="false">IF(D5405="?OLD","!!!","")</f>
        <v/>
      </c>
      <c r="F5405" s="25" t="str">
        <f aca="false">IF(OR(E5405="",E5405="!!!"),"",IF(NOT(ISNA(VLOOKUP(E5405,E$1:E5404,1,FALSE()))),"OLD",IF(AND(E5405&lt;&gt;"",E5405&lt;&gt;"!!!"),"NEW","")))</f>
        <v/>
      </c>
      <c r="G5405" s="26" t="str">
        <f aca="false">IF(OR(E5405="",E5405="!!!"),"",IF(OR(J5405=0,AND(J5405=1,K5405=1),AND(J5405=1,I5405="SBJ"),AND(J5405=1,I5405=0)),"?IN_FOCUS",IF(J5405&lt;=2,"?ACTIVATED",IF(J5405&lt;&gt;"","?FAMILIAR",IF(F5405="NEW",IF(ISNA(VLOOKUP(E5405,#REF!,1,FALSE())),"?TYPE_IDENTIFIABLE","?REFERENTIAL"),"_")))))</f>
        <v/>
      </c>
      <c r="H5405" s="27" t="str">
        <f aca="false">IF(J5405&lt;&gt;1,"",IF(I5405="SBJ","CB","?"))</f>
        <v/>
      </c>
      <c r="I5405" s="24" t="str">
        <f aca="false">IF(OR(E5405="",E5405="!!!",F5405="NEW"),"",INDEX(B16:B$5390,-1+SUMPRODUCT(MAX(ROW(E16:E$5390)*(E5405=E16:E$5390)))))</f>
        <v/>
      </c>
      <c r="J5405" s="24" t="str">
        <f aca="true">IF(OR(E5405="",E5405="!!!",F5405="NEW"),"",COUNTBLANK(OFFSET(A$1,,,SUMPRODUCT(MAX(ROW(E$2:E5405)*(E5405=E$2:E5405)))))-COUNTBLANK(OFFSET(A$1,,,SUMPRODUCT(MAX(ROW(E$1:E5404)*(E2=E$1:E5404))))))</f>
        <v/>
      </c>
      <c r="K5405" s="24" t="str">
        <f aca="false">IF(OR(E5405="",E5405="!!!",F5405="NEW"),"",INDEX(J$1:J5404,SUMPRODUCT(MAX(ROW(E$1:E5404)*(E5405=E$1:E5404)))))</f>
        <v/>
      </c>
      <c r="L5405" s="31"/>
    </row>
    <row r="5406" customFormat="false" ht="15" hidden="false" customHeight="false" outlineLevel="0" collapsed="false">
      <c r="A5406" s="20" t="s">
        <v>768</v>
      </c>
      <c r="B5406" s="22" t="s">
        <v>1073</v>
      </c>
      <c r="C5406" s="22" t="s">
        <v>1150</v>
      </c>
      <c r="D5406" s="22" t="s">
        <v>1060</v>
      </c>
      <c r="E5406" s="23" t="str">
        <f aca="false">IF(D5406="?OLD","!!!","")</f>
        <v>!!!</v>
      </c>
      <c r="F5406" s="25" t="str">
        <f aca="false">IF(OR(E5406="",E5406="!!!"),"",IF(NOT(ISNA(VLOOKUP(E5406,E$1:E5405,1,FALSE()))),"OLD",IF(AND(E5406&lt;&gt;"",E5406&lt;&gt;"!!!"),"NEW","")))</f>
        <v/>
      </c>
      <c r="G5406" s="26" t="str">
        <f aca="false">IF(OR(E5406="",E5406="!!!"),"",IF(OR(J5406=0,AND(J5406=1,K5406=1),AND(J5406=1,I5406="SBJ"),AND(J5406=1,I5406=0)),"?IN_FOCUS",IF(J5406&lt;=2,"?ACTIVATED",IF(J5406&lt;&gt;"","?FAMILIAR",IF(F5406="NEW",IF(ISNA(VLOOKUP(E5406,#REF!,1,FALSE())),"?TYPE_IDENTIFIABLE","?REFERENTIAL"),"_")))))</f>
        <v/>
      </c>
      <c r="H5406" s="27" t="str">
        <f aca="false">IF(J5406&lt;&gt;1,"",IF(I5406="SBJ","CB","?"))</f>
        <v/>
      </c>
      <c r="I5406" s="24" t="str">
        <f aca="false">IF(OR(E5406="",E5406="!!!",F5406="NEW"),"",INDEX(B17:B$5390,-1+SUMPRODUCT(MAX(ROW(E17:E$5390)*(E5406=E17:E$5390)))))</f>
        <v/>
      </c>
      <c r="J5406" s="24" t="str">
        <f aca="true">IF(OR(E5406="",E5406="!!!",F5406="NEW"),"",COUNTBLANK(OFFSET(A$1,,,SUMPRODUCT(MAX(ROW(E$2:E5406)*(E5406=E$2:E5406)))))-COUNTBLANK(OFFSET(A$1,,,SUMPRODUCT(MAX(ROW(E$1:E5405)*(E2=E$1:E5405))))))</f>
        <v/>
      </c>
      <c r="K5406" s="24" t="str">
        <f aca="false">IF(OR(E5406="",E5406="!!!",F5406="NEW"),"",INDEX(J$1:J5405,SUMPRODUCT(MAX(ROW(E$1:E5405)*(E5406=E$1:E5405)))))</f>
        <v/>
      </c>
      <c r="L5406" s="31"/>
    </row>
    <row r="5407" customFormat="false" ht="15" hidden="false" customHeight="false" outlineLevel="0" collapsed="false">
      <c r="A5407" s="20" t="s">
        <v>1076</v>
      </c>
      <c r="E5407" s="23" t="str">
        <f aca="false">IF(D5407="?OLD","!!!","")</f>
        <v/>
      </c>
      <c r="F5407" s="25" t="str">
        <f aca="false">IF(OR(E5407="",E5407="!!!"),"",IF(NOT(ISNA(VLOOKUP(E5407,E$1:E5406,1,FALSE()))),"OLD",IF(AND(E5407&lt;&gt;"",E5407&lt;&gt;"!!!"),"NEW","")))</f>
        <v/>
      </c>
      <c r="G5407" s="26" t="str">
        <f aca="false">IF(OR(E5407="",E5407="!!!"),"",IF(OR(J5407=0,AND(J5407=1,K5407=1),AND(J5407=1,I5407="SBJ"),AND(J5407=1,I5407=0)),"?IN_FOCUS",IF(J5407&lt;=2,"?ACTIVATED",IF(J5407&lt;&gt;"","?FAMILIAR",IF(F5407="NEW",IF(ISNA(VLOOKUP(E5407,#REF!,1,FALSE())),"?TYPE_IDENTIFIABLE","?REFERENTIAL"),"_")))))</f>
        <v/>
      </c>
      <c r="H5407" s="27" t="str">
        <f aca="false">IF(J5407&lt;&gt;1,"",IF(I5407="SBJ","CB","?"))</f>
        <v/>
      </c>
      <c r="I5407" s="24" t="str">
        <f aca="false">IF(OR(E5407="",E5407="!!!",F5407="NEW"),"",INDEX(B18:B$5390,-1+SUMPRODUCT(MAX(ROW(E18:E$5390)*(E5407=E18:E$5390)))))</f>
        <v/>
      </c>
      <c r="J5407" s="24" t="str">
        <f aca="true">IF(OR(E5407="",E5407="!!!",F5407="NEW"),"",COUNTBLANK(OFFSET(A$1,,,SUMPRODUCT(MAX(ROW(E$2:E5407)*(E5407=E$2:E5407)))))-COUNTBLANK(OFFSET(A$1,,,SUMPRODUCT(MAX(ROW(E$1:E5406)*(E2=E$1:E5406))))))</f>
        <v/>
      </c>
      <c r="K5407" s="24" t="str">
        <f aca="false">IF(OR(E5407="",E5407="!!!",F5407="NEW"),"",INDEX(J$1:J5406,SUMPRODUCT(MAX(ROW(E$1:E5406)*(E5407=E$1:E5406)))))</f>
        <v/>
      </c>
      <c r="L5407" s="31"/>
    </row>
    <row r="5408" customFormat="false" ht="15" hidden="false" customHeight="false" outlineLevel="0" collapsed="false">
      <c r="A5408" s="20" t="s">
        <v>1128</v>
      </c>
      <c r="E5408" s="23" t="str">
        <f aca="false">IF(D5408="?OLD","!!!","")</f>
        <v/>
      </c>
      <c r="F5408" s="25" t="str">
        <f aca="false">IF(OR(E5408="",E5408="!!!"),"",IF(NOT(ISNA(VLOOKUP(E5408,E$1:E5407,1,FALSE()))),"OLD",IF(AND(E5408&lt;&gt;"",E5408&lt;&gt;"!!!"),"NEW","")))</f>
        <v/>
      </c>
      <c r="G5408" s="26" t="str">
        <f aca="false">IF(OR(E5408="",E5408="!!!"),"",IF(OR(J5408=0,AND(J5408=1,K5408=1),AND(J5408=1,I5408="SBJ"),AND(J5408=1,I5408=0)),"?IN_FOCUS",IF(J5408&lt;=2,"?ACTIVATED",IF(J5408&lt;&gt;"","?FAMILIAR",IF(F5408="NEW",IF(ISNA(VLOOKUP(E5408,#REF!,1,FALSE())),"?TYPE_IDENTIFIABLE","?REFERENTIAL"),"_")))))</f>
        <v/>
      </c>
      <c r="H5408" s="27" t="str">
        <f aca="false">IF(J5408&lt;&gt;1,"",IF(I5408="SBJ","CB","?"))</f>
        <v/>
      </c>
      <c r="I5408" s="24" t="str">
        <f aca="false">IF(OR(E5408="",E5408="!!!",F5408="NEW"),"",INDEX(B19:B$5390,-1+SUMPRODUCT(MAX(ROW(E19:E$5390)*(E5408=E19:E$5390)))))</f>
        <v/>
      </c>
      <c r="J5408" s="24" t="str">
        <f aca="true">IF(OR(E5408="",E5408="!!!",F5408="NEW"),"",COUNTBLANK(OFFSET(A$1,,,SUMPRODUCT(MAX(ROW(E$2:E5408)*(E5408=E$2:E5408)))))-COUNTBLANK(OFFSET(A$1,,,SUMPRODUCT(MAX(ROW(E$1:E5407)*(E2=E$1:E5407))))))</f>
        <v/>
      </c>
      <c r="K5408" s="24" t="str">
        <f aca="false">IF(OR(E5408="",E5408="!!!",F5408="NEW"),"",INDEX(J$1:J5407,SUMPRODUCT(MAX(ROW(E$1:E5407)*(E5408=E$1:E5407)))))</f>
        <v/>
      </c>
      <c r="L5408" s="31"/>
    </row>
    <row r="5409" customFormat="false" ht="15" hidden="false" customHeight="false" outlineLevel="0" collapsed="false">
      <c r="A5409" s="20" t="s">
        <v>1248</v>
      </c>
      <c r="E5409" s="23" t="str">
        <f aca="false">IF(D5409="?OLD","!!!","")</f>
        <v/>
      </c>
      <c r="F5409" s="25" t="str">
        <f aca="false">IF(OR(E5409="",E5409="!!!"),"",IF(NOT(ISNA(VLOOKUP(E5409,E$1:E5408,1,FALSE()))),"OLD",IF(AND(E5409&lt;&gt;"",E5409&lt;&gt;"!!!"),"NEW","")))</f>
        <v/>
      </c>
      <c r="G5409" s="26" t="str">
        <f aca="false">IF(OR(E5409="",E5409="!!!"),"",IF(OR(J5409=0,AND(J5409=1,K5409=1),AND(J5409=1,I5409="SBJ"),AND(J5409=1,I5409=0)),"?IN_FOCUS",IF(J5409&lt;=2,"?ACTIVATED",IF(J5409&lt;&gt;"","?FAMILIAR",IF(F5409="NEW",IF(ISNA(VLOOKUP(E5409,#REF!,1,FALSE())),"?TYPE_IDENTIFIABLE","?REFERENTIAL"),"_")))))</f>
        <v/>
      </c>
      <c r="H5409" s="27" t="str">
        <f aca="false">IF(J5409&lt;&gt;1,"",IF(I5409="SBJ","CB","?"))</f>
        <v/>
      </c>
      <c r="I5409" s="24" t="str">
        <f aca="false">IF(OR(E5409="",E5409="!!!",F5409="NEW"),"",INDEX(B20:B$5390,-1+SUMPRODUCT(MAX(ROW(E20:E$5390)*(E5409=E20:E$5390)))))</f>
        <v/>
      </c>
      <c r="J5409" s="24" t="str">
        <f aca="true">IF(OR(E5409="",E5409="!!!",F5409="NEW"),"",COUNTBLANK(OFFSET(A$1,,,SUMPRODUCT(MAX(ROW(E$2:E5409)*(E5409=E$2:E5409)))))-COUNTBLANK(OFFSET(A$1,,,SUMPRODUCT(MAX(ROW(E$1:E5408)*(E2=E$1:E5408))))))</f>
        <v/>
      </c>
      <c r="K5409" s="24" t="str">
        <f aca="false">IF(OR(E5409="",E5409="!!!",F5409="NEW"),"",INDEX(J$1:J5408,SUMPRODUCT(MAX(ROW(E$1:E5408)*(E5409=E$1:E5408)))))</f>
        <v/>
      </c>
      <c r="L5409" s="31"/>
    </row>
    <row r="5410" customFormat="false" ht="15" hidden="false" customHeight="false" outlineLevel="0" collapsed="false">
      <c r="A5410" s="20" t="s">
        <v>1109</v>
      </c>
      <c r="E5410" s="23" t="str">
        <f aca="false">IF(D5410="?OLD","!!!","")</f>
        <v/>
      </c>
      <c r="F5410" s="25" t="str">
        <f aca="false">IF(OR(E5410="",E5410="!!!"),"",IF(NOT(ISNA(VLOOKUP(E5410,E$1:E5409,1,FALSE()))),"OLD",IF(AND(E5410&lt;&gt;"",E5410&lt;&gt;"!!!"),"NEW","")))</f>
        <v/>
      </c>
      <c r="G5410" s="26" t="str">
        <f aca="false">IF(OR(E5410="",E5410="!!!"),"",IF(OR(J5410=0,AND(J5410=1,K5410=1),AND(J5410=1,I5410="SBJ"),AND(J5410=1,I5410=0)),"?IN_FOCUS",IF(J5410&lt;=2,"?ACTIVATED",IF(J5410&lt;&gt;"","?FAMILIAR",IF(F5410="NEW",IF(ISNA(VLOOKUP(E5410,#REF!,1,FALSE())),"?TYPE_IDENTIFIABLE","?REFERENTIAL"),"_")))))</f>
        <v/>
      </c>
      <c r="H5410" s="27" t="str">
        <f aca="false">IF(J5410&lt;&gt;1,"",IF(I5410="SBJ","CB","?"))</f>
        <v/>
      </c>
      <c r="I5410" s="24" t="str">
        <f aca="false">IF(OR(E5410="",E5410="!!!",F5410="NEW"),"",INDEX(B21:B$5390,-1+SUMPRODUCT(MAX(ROW(E21:E$5390)*(E5410=E21:E$5390)))))</f>
        <v/>
      </c>
      <c r="J5410" s="24" t="str">
        <f aca="true">IF(OR(E5410="",E5410="!!!",F5410="NEW"),"",COUNTBLANK(OFFSET(A$1,,,SUMPRODUCT(MAX(ROW(E$2:E5410)*(E5410=E$2:E5410)))))-COUNTBLANK(OFFSET(A$1,,,SUMPRODUCT(MAX(ROW(E$1:E5409)*(E2=E$1:E5409))))))</f>
        <v/>
      </c>
      <c r="K5410" s="24" t="str">
        <f aca="false">IF(OR(E5410="",E5410="!!!",F5410="NEW"),"",INDEX(J$1:J5409,SUMPRODUCT(MAX(ROW(E$1:E5409)*(E5410=E$1:E5409)))))</f>
        <v/>
      </c>
      <c r="L5410" s="31"/>
    </row>
    <row r="5411" customFormat="false" ht="15" hidden="false" customHeight="false" outlineLevel="0" collapsed="false">
      <c r="A5411" s="20" t="s">
        <v>2590</v>
      </c>
      <c r="B5411" s="22" t="s">
        <v>1067</v>
      </c>
      <c r="C5411" s="22" t="s">
        <v>1150</v>
      </c>
      <c r="D5411" s="22" t="s">
        <v>1060</v>
      </c>
      <c r="E5411" s="23" t="str">
        <f aca="false">IF(D5411="?OLD","!!!","")</f>
        <v>!!!</v>
      </c>
      <c r="F5411" s="25" t="str">
        <f aca="false">IF(OR(E5411="",E5411="!!!"),"",IF(NOT(ISNA(VLOOKUP(E5411,E$1:E5410,1,FALSE()))),"OLD",IF(AND(E5411&lt;&gt;"",E5411&lt;&gt;"!!!"),"NEW","")))</f>
        <v/>
      </c>
      <c r="G5411" s="26" t="str">
        <f aca="false">IF(OR(E5411="",E5411="!!!"),"",IF(OR(J5411=0,AND(J5411=1,K5411=1),AND(J5411=1,I5411="SBJ"),AND(J5411=1,I5411=0)),"?IN_FOCUS",IF(J5411&lt;=2,"?ACTIVATED",IF(J5411&lt;&gt;"","?FAMILIAR",IF(F5411="NEW",IF(ISNA(VLOOKUP(E5411,#REF!,1,FALSE())),"?TYPE_IDENTIFIABLE","?REFERENTIAL"),"_")))))</f>
        <v/>
      </c>
      <c r="H5411" s="27" t="str">
        <f aca="false">IF(J5411&lt;&gt;1,"",IF(I5411="SBJ","CB","?"))</f>
        <v/>
      </c>
      <c r="I5411" s="24" t="str">
        <f aca="false">IF(OR(E5411="",E5411="!!!",F5411="NEW"),"",INDEX(B22:B$5390,-1+SUMPRODUCT(MAX(ROW(E22:E$5390)*(E5411=E22:E$5390)))))</f>
        <v/>
      </c>
      <c r="J5411" s="24" t="str">
        <f aca="true">IF(OR(E5411="",E5411="!!!",F5411="NEW"),"",COUNTBLANK(OFFSET(A$1,,,SUMPRODUCT(MAX(ROW(E$2:E5411)*(E5411=E$2:E5411)))))-COUNTBLANK(OFFSET(A$1,,,SUMPRODUCT(MAX(ROW(E$1:E5410)*(E2=E$1:E5410))))))</f>
        <v/>
      </c>
      <c r="K5411" s="24" t="str">
        <f aca="false">IF(OR(E5411="",E5411="!!!",F5411="NEW"),"",INDEX(J$1:J5410,SUMPRODUCT(MAX(ROW(E$1:E5410)*(E5411=E$1:E5410)))))</f>
        <v/>
      </c>
      <c r="L5411" s="31"/>
    </row>
    <row r="5412" customFormat="false" ht="15" hidden="false" customHeight="false" outlineLevel="0" collapsed="false">
      <c r="A5412" s="20" t="s">
        <v>1095</v>
      </c>
      <c r="E5412" s="23" t="str">
        <f aca="false">IF(D5412="?OLD","!!!","")</f>
        <v/>
      </c>
      <c r="F5412" s="25" t="str">
        <f aca="false">IF(OR(E5412="",E5412="!!!"),"",IF(NOT(ISNA(VLOOKUP(E5412,E$1:E5411,1,FALSE()))),"OLD",IF(AND(E5412&lt;&gt;"",E5412&lt;&gt;"!!!"),"NEW","")))</f>
        <v/>
      </c>
      <c r="G5412" s="26" t="str">
        <f aca="false">IF(OR(E5412="",E5412="!!!"),"",IF(OR(J5412=0,AND(J5412=1,K5412=1),AND(J5412=1,I5412="SBJ"),AND(J5412=1,I5412=0)),"?IN_FOCUS",IF(J5412&lt;=2,"?ACTIVATED",IF(J5412&lt;&gt;"","?FAMILIAR",IF(F5412="NEW",IF(ISNA(VLOOKUP(E5412,#REF!,1,FALSE())),"?TYPE_IDENTIFIABLE","?REFERENTIAL"),"_")))))</f>
        <v/>
      </c>
      <c r="H5412" s="27" t="str">
        <f aca="false">IF(J5412&lt;&gt;1,"",IF(I5412="SBJ","CB","?"))</f>
        <v/>
      </c>
      <c r="I5412" s="24" t="str">
        <f aca="false">IF(OR(E5412="",E5412="!!!",F5412="NEW"),"",INDEX(B23:B$5390,-1+SUMPRODUCT(MAX(ROW(E23:E$5390)*(E5412=E23:E$5390)))))</f>
        <v/>
      </c>
      <c r="J5412" s="24" t="str">
        <f aca="true">IF(OR(E5412="",E5412="!!!",F5412="NEW"),"",COUNTBLANK(OFFSET(A$1,,,SUMPRODUCT(MAX(ROW(E$2:E5412)*(E5412=E$2:E5412)))))-COUNTBLANK(OFFSET(A$1,,,SUMPRODUCT(MAX(ROW(E$1:E5411)*(E2=E$1:E5411))))))</f>
        <v/>
      </c>
      <c r="K5412" s="24" t="str">
        <f aca="false">IF(OR(E5412="",E5412="!!!",F5412="NEW"),"",INDEX(J$1:J5411,SUMPRODUCT(MAX(ROW(E$1:E5411)*(E5412=E$1:E5411)))))</f>
        <v/>
      </c>
      <c r="L5412" s="31"/>
    </row>
    <row r="5413" customFormat="false" ht="15" hidden="false" customHeight="false" outlineLevel="0" collapsed="false">
      <c r="A5413" s="20" t="s">
        <v>2591</v>
      </c>
      <c r="E5413" s="23" t="str">
        <f aca="false">IF(D5413="?OLD","!!!","")</f>
        <v/>
      </c>
      <c r="F5413" s="25" t="str">
        <f aca="false">IF(OR(E5413="",E5413="!!!"),"",IF(NOT(ISNA(VLOOKUP(E5413,E$1:E5412,1,FALSE()))),"OLD",IF(AND(E5413&lt;&gt;"",E5413&lt;&gt;"!!!"),"NEW","")))</f>
        <v/>
      </c>
      <c r="G5413" s="26" t="str">
        <f aca="false">IF(OR(E5413="",E5413="!!!"),"",IF(OR(J5413=0,AND(J5413=1,K5413=1),AND(J5413=1,I5413="SBJ"),AND(J5413=1,I5413=0)),"?IN_FOCUS",IF(J5413&lt;=2,"?ACTIVATED",IF(J5413&lt;&gt;"","?FAMILIAR",IF(F5413="NEW",IF(ISNA(VLOOKUP(E5413,#REF!,1,FALSE())),"?TYPE_IDENTIFIABLE","?REFERENTIAL"),"_")))))</f>
        <v/>
      </c>
      <c r="H5413" s="27" t="str">
        <f aca="false">IF(J5413&lt;&gt;1,"",IF(I5413="SBJ","CB","?"))</f>
        <v/>
      </c>
      <c r="I5413" s="24" t="str">
        <f aca="false">IF(OR(E5413="",E5413="!!!",F5413="NEW"),"",INDEX(B24:B$5390,-1+SUMPRODUCT(MAX(ROW(E24:E$5390)*(E5413=E24:E$5390)))))</f>
        <v/>
      </c>
      <c r="J5413" s="24" t="str">
        <f aca="true">IF(OR(E5413="",E5413="!!!",F5413="NEW"),"",COUNTBLANK(OFFSET(A$1,,,SUMPRODUCT(MAX(ROW(E$2:E5413)*(E5413=E$2:E5413)))))-COUNTBLANK(OFFSET(A$1,,,SUMPRODUCT(MAX(ROW(E$1:E5412)*(E2=E$1:E5412))))))</f>
        <v/>
      </c>
      <c r="K5413" s="24" t="str">
        <f aca="false">IF(OR(E5413="",E5413="!!!",F5413="NEW"),"",INDEX(J$1:J5412,SUMPRODUCT(MAX(ROW(E$1:E5412)*(E5413=E$1:E5412)))))</f>
        <v/>
      </c>
      <c r="L5413" s="31"/>
    </row>
    <row r="5414" customFormat="false" ht="15" hidden="false" customHeight="false" outlineLevel="0" collapsed="false">
      <c r="A5414" s="20" t="s">
        <v>2133</v>
      </c>
      <c r="E5414" s="23" t="str">
        <f aca="false">IF(D5414="?OLD","!!!","")</f>
        <v/>
      </c>
      <c r="F5414" s="25" t="str">
        <f aca="false">IF(OR(E5414="",E5414="!!!"),"",IF(NOT(ISNA(VLOOKUP(E5414,E$1:E5413,1,FALSE()))),"OLD",IF(AND(E5414&lt;&gt;"",E5414&lt;&gt;"!!!"),"NEW","")))</f>
        <v/>
      </c>
      <c r="G5414" s="26" t="str">
        <f aca="false">IF(OR(E5414="",E5414="!!!"),"",IF(OR(J5414=0,AND(J5414=1,K5414=1),AND(J5414=1,I5414="SBJ"),AND(J5414=1,I5414=0)),"?IN_FOCUS",IF(J5414&lt;=2,"?ACTIVATED",IF(J5414&lt;&gt;"","?FAMILIAR",IF(F5414="NEW",IF(ISNA(VLOOKUP(E5414,#REF!,1,FALSE())),"?TYPE_IDENTIFIABLE","?REFERENTIAL"),"_")))))</f>
        <v/>
      </c>
      <c r="H5414" s="27" t="str">
        <f aca="false">IF(J5414&lt;&gt;1,"",IF(I5414="SBJ","CB","?"))</f>
        <v/>
      </c>
      <c r="I5414" s="24" t="str">
        <f aca="false">IF(OR(E5414="",E5414="!!!",F5414="NEW"),"",INDEX(B25:B$5390,-1+SUMPRODUCT(MAX(ROW(E25:E$5390)*(E5414=E25:E$5390)))))</f>
        <v/>
      </c>
      <c r="J5414" s="24" t="str">
        <f aca="true">IF(OR(E5414="",E5414="!!!",F5414="NEW"),"",COUNTBLANK(OFFSET(A$1,,,SUMPRODUCT(MAX(ROW(E$2:E5414)*(E5414=E$2:E5414)))))-COUNTBLANK(OFFSET(A$1,,,SUMPRODUCT(MAX(ROW(E$1:E5413)*(E2=E$1:E5413))))))</f>
        <v/>
      </c>
      <c r="K5414" s="24" t="str">
        <f aca="false">IF(OR(E5414="",E5414="!!!",F5414="NEW"),"",INDEX(J$1:J5413,SUMPRODUCT(MAX(ROW(E$1:E5413)*(E5414=E$1:E5413)))))</f>
        <v/>
      </c>
      <c r="L5414" s="31"/>
    </row>
    <row r="5415" customFormat="false" ht="15" hidden="false" customHeight="false" outlineLevel="0" collapsed="false">
      <c r="A5415" s="20" t="s">
        <v>499</v>
      </c>
      <c r="E5415" s="23" t="str">
        <f aca="false">IF(D5415="?OLD","!!!","")</f>
        <v/>
      </c>
      <c r="F5415" s="25" t="str">
        <f aca="false">IF(OR(E5415="",E5415="!!!"),"",IF(NOT(ISNA(VLOOKUP(E5415,E$1:E5414,1,FALSE()))),"OLD",IF(AND(E5415&lt;&gt;"",E5415&lt;&gt;"!!!"),"NEW","")))</f>
        <v/>
      </c>
      <c r="G5415" s="26" t="str">
        <f aca="false">IF(OR(E5415="",E5415="!!!"),"",IF(OR(J5415=0,AND(J5415=1,K5415=1),AND(J5415=1,I5415="SBJ"),AND(J5415=1,I5415=0)),"?IN_FOCUS",IF(J5415&lt;=2,"?ACTIVATED",IF(J5415&lt;&gt;"","?FAMILIAR",IF(F5415="NEW",IF(ISNA(VLOOKUP(E5415,#REF!,1,FALSE())),"?TYPE_IDENTIFIABLE","?REFERENTIAL"),"_")))))</f>
        <v/>
      </c>
      <c r="H5415" s="27" t="str">
        <f aca="false">IF(J5415&lt;&gt;1,"",IF(I5415="SBJ","CB","?"))</f>
        <v/>
      </c>
      <c r="I5415" s="24" t="str">
        <f aca="false">IF(OR(E5415="",E5415="!!!",F5415="NEW"),"",INDEX(B26:B$5390,-1+SUMPRODUCT(MAX(ROW(E26:E$5390)*(E5415=E26:E$5390)))))</f>
        <v/>
      </c>
      <c r="J5415" s="24" t="str">
        <f aca="true">IF(OR(E5415="",E5415="!!!",F5415="NEW"),"",COUNTBLANK(OFFSET(A$1,,,SUMPRODUCT(MAX(ROW(E$2:E5415)*(E5415=E$2:E5415)))))-COUNTBLANK(OFFSET(A$1,,,SUMPRODUCT(MAX(ROW(E$1:E5414)*(E2=E$1:E5414))))))</f>
        <v/>
      </c>
      <c r="K5415" s="24" t="str">
        <f aca="false">IF(OR(E5415="",E5415="!!!",F5415="NEW"),"",INDEX(J$1:J5414,SUMPRODUCT(MAX(ROW(E$1:E5414)*(E5415=E$1:E5414)))))</f>
        <v/>
      </c>
      <c r="L5415" s="31"/>
    </row>
    <row r="5416" customFormat="false" ht="15" hidden="false" customHeight="false" outlineLevel="0" collapsed="false">
      <c r="A5416" s="20" t="s">
        <v>2592</v>
      </c>
      <c r="B5416" s="22" t="s">
        <v>1131</v>
      </c>
      <c r="C5416" s="22" t="s">
        <v>1160</v>
      </c>
      <c r="E5416" s="23" t="str">
        <f aca="false">IF(D5416="?OLD","!!!","")</f>
        <v/>
      </c>
      <c r="F5416" s="25" t="str">
        <f aca="false">IF(OR(E5416="",E5416="!!!"),"",IF(NOT(ISNA(VLOOKUP(E5416,E$1:E5415,1,FALSE()))),"OLD",IF(AND(E5416&lt;&gt;"",E5416&lt;&gt;"!!!"),"NEW","")))</f>
        <v/>
      </c>
      <c r="G5416" s="26" t="str">
        <f aca="false">IF(OR(E5416="",E5416="!!!"),"",IF(OR(J5416=0,AND(J5416=1,K5416=1),AND(J5416=1,I5416="SBJ"),AND(J5416=1,I5416=0)),"?IN_FOCUS",IF(J5416&lt;=2,"?ACTIVATED",IF(J5416&lt;&gt;"","?FAMILIAR",IF(F5416="NEW",IF(ISNA(VLOOKUP(E5416,#REF!,1,FALSE())),"?TYPE_IDENTIFIABLE","?REFERENTIAL"),"_")))))</f>
        <v/>
      </c>
      <c r="H5416" s="27" t="str">
        <f aca="false">IF(J5416&lt;&gt;1,"",IF(I5416="SBJ","CB","?"))</f>
        <v/>
      </c>
      <c r="I5416" s="24" t="str">
        <f aca="false">IF(OR(E5416="",E5416="!!!",F5416="NEW"),"",INDEX(B27:B$5390,-1+SUMPRODUCT(MAX(ROW(E27:E$5390)*(E5416=E27:E$5390)))))</f>
        <v/>
      </c>
      <c r="J5416" s="24" t="str">
        <f aca="true">IF(OR(E5416="",E5416="!!!",F5416="NEW"),"",COUNTBLANK(OFFSET(A$1,,,SUMPRODUCT(MAX(ROW(E$2:E5416)*(E5416=E$2:E5416)))))-COUNTBLANK(OFFSET(A$1,,,SUMPRODUCT(MAX(ROW(E$1:E5415)*(E2=E$1:E5415))))))</f>
        <v/>
      </c>
      <c r="K5416" s="24" t="str">
        <f aca="false">IF(OR(E5416="",E5416="!!!",F5416="NEW"),"",INDEX(J$1:J5415,SUMPRODUCT(MAX(ROW(E$1:E5415)*(E5416=E$1:E5415)))))</f>
        <v/>
      </c>
      <c r="L5416" s="31"/>
    </row>
    <row r="5417" customFormat="false" ht="15" hidden="false" customHeight="false" outlineLevel="0" collapsed="false">
      <c r="A5417" s="20" t="s">
        <v>1095</v>
      </c>
      <c r="E5417" s="23" t="str">
        <f aca="false">IF(D5417="?OLD","!!!","")</f>
        <v/>
      </c>
      <c r="F5417" s="25" t="str">
        <f aca="false">IF(OR(E5417="",E5417="!!!"),"",IF(NOT(ISNA(VLOOKUP(E5417,E$1:E5416,1,FALSE()))),"OLD",IF(AND(E5417&lt;&gt;"",E5417&lt;&gt;"!!!"),"NEW","")))</f>
        <v/>
      </c>
      <c r="G5417" s="26" t="str">
        <f aca="false">IF(OR(E5417="",E5417="!!!"),"",IF(OR(J5417=0,AND(J5417=1,K5417=1),AND(J5417=1,I5417="SBJ"),AND(J5417=1,I5417=0)),"?IN_FOCUS",IF(J5417&lt;=2,"?ACTIVATED",IF(J5417&lt;&gt;"","?FAMILIAR",IF(F5417="NEW",IF(ISNA(VLOOKUP(E5417,#REF!,1,FALSE())),"?TYPE_IDENTIFIABLE","?REFERENTIAL"),"_")))))</f>
        <v/>
      </c>
      <c r="H5417" s="27" t="str">
        <f aca="false">IF(J5417&lt;&gt;1,"",IF(I5417="SBJ","CB","?"))</f>
        <v/>
      </c>
      <c r="I5417" s="24" t="str">
        <f aca="false">IF(OR(E5417="",E5417="!!!",F5417="NEW"),"",INDEX(B28:B$5390,-1+SUMPRODUCT(MAX(ROW(E28:E$5390)*(E5417=E28:E$5390)))))</f>
        <v/>
      </c>
      <c r="J5417" s="24" t="str">
        <f aca="true">IF(OR(E5417="",E5417="!!!",F5417="NEW"),"",COUNTBLANK(OFFSET(A$1,,,SUMPRODUCT(MAX(ROW(E$2:E5417)*(E5417=E$2:E5417)))))-COUNTBLANK(OFFSET(A$1,,,SUMPRODUCT(MAX(ROW(E$1:E5416)*(E2=E$1:E5416))))))</f>
        <v/>
      </c>
      <c r="K5417" s="24" t="str">
        <f aca="false">IF(OR(E5417="",E5417="!!!",F5417="NEW"),"",INDEX(J$1:J5416,SUMPRODUCT(MAX(ROW(E$1:E5416)*(E5417=E$1:E5416)))))</f>
        <v/>
      </c>
      <c r="L5417" s="31"/>
    </row>
    <row r="5418" customFormat="false" ht="15" hidden="false" customHeight="false" outlineLevel="0" collapsed="false">
      <c r="A5418" s="20" t="s">
        <v>2028</v>
      </c>
      <c r="B5418" s="22" t="s">
        <v>1098</v>
      </c>
      <c r="C5418" s="22" t="s">
        <v>1160</v>
      </c>
      <c r="E5418" s="23" t="str">
        <f aca="false">IF(D5418="?OLD","!!!","")</f>
        <v/>
      </c>
      <c r="F5418" s="25" t="str">
        <f aca="false">IF(OR(E5418="",E5418="!!!"),"",IF(NOT(ISNA(VLOOKUP(E5418,E$1:E5417,1,FALSE()))),"OLD",IF(AND(E5418&lt;&gt;"",E5418&lt;&gt;"!!!"),"NEW","")))</f>
        <v/>
      </c>
      <c r="G5418" s="26" t="str">
        <f aca="false">IF(OR(E5418="",E5418="!!!"),"",IF(OR(J5418=0,AND(J5418=1,K5418=1),AND(J5418=1,I5418="SBJ"),AND(J5418=1,I5418=0)),"?IN_FOCUS",IF(J5418&lt;=2,"?ACTIVATED",IF(J5418&lt;&gt;"","?FAMILIAR",IF(F5418="NEW",IF(ISNA(VLOOKUP(E5418,#REF!,1,FALSE())),"?TYPE_IDENTIFIABLE","?REFERENTIAL"),"_")))))</f>
        <v/>
      </c>
      <c r="H5418" s="27" t="str">
        <f aca="false">IF(J5418&lt;&gt;1,"",IF(I5418="SBJ","CB","?"))</f>
        <v/>
      </c>
      <c r="I5418" s="24" t="str">
        <f aca="false">IF(OR(E5418="",E5418="!!!",F5418="NEW"),"",INDEX(B29:B$5390,-1+SUMPRODUCT(MAX(ROW(E29:E$5390)*(E5418=E29:E$5390)))))</f>
        <v/>
      </c>
      <c r="J5418" s="24" t="str">
        <f aca="true">IF(OR(E5418="",E5418="!!!",F5418="NEW"),"",COUNTBLANK(OFFSET(A$1,,,SUMPRODUCT(MAX(ROW(E$2:E5418)*(E5418=E$2:E5418)))))-COUNTBLANK(OFFSET(A$1,,,SUMPRODUCT(MAX(ROW(E$1:E5417)*(E2=E$1:E5417))))))</f>
        <v/>
      </c>
      <c r="K5418" s="24" t="str">
        <f aca="false">IF(OR(E5418="",E5418="!!!",F5418="NEW"),"",INDEX(J$1:J5417,SUMPRODUCT(MAX(ROW(E$1:E5417)*(E5418=E$1:E5417)))))</f>
        <v/>
      </c>
      <c r="L5418" s="31"/>
    </row>
    <row r="5419" customFormat="false" ht="15" hidden="false" customHeight="false" outlineLevel="0" collapsed="false">
      <c r="A5419" s="20" t="s">
        <v>923</v>
      </c>
      <c r="E5419" s="23" t="str">
        <f aca="false">IF(D5419="?OLD","!!!","")</f>
        <v/>
      </c>
      <c r="F5419" s="25" t="str">
        <f aca="false">IF(OR(E5419="",E5419="!!!"),"",IF(NOT(ISNA(VLOOKUP(E5419,E$1:E5418,1,FALSE()))),"OLD",IF(AND(E5419&lt;&gt;"",E5419&lt;&gt;"!!!"),"NEW","")))</f>
        <v/>
      </c>
      <c r="G5419" s="26" t="str">
        <f aca="false">IF(OR(E5419="",E5419="!!!"),"",IF(OR(J5419=0,AND(J5419=1,K5419=1),AND(J5419=1,I5419="SBJ"),AND(J5419=1,I5419=0)),"?IN_FOCUS",IF(J5419&lt;=2,"?ACTIVATED",IF(J5419&lt;&gt;"","?FAMILIAR",IF(F5419="NEW",IF(ISNA(VLOOKUP(E5419,#REF!,1,FALSE())),"?TYPE_IDENTIFIABLE","?REFERENTIAL"),"_")))))</f>
        <v/>
      </c>
      <c r="H5419" s="27" t="str">
        <f aca="false">IF(J5419&lt;&gt;1,"",IF(I5419="SBJ","CB","?"))</f>
        <v/>
      </c>
      <c r="I5419" s="24" t="str">
        <f aca="false">IF(OR(E5419="",E5419="!!!",F5419="NEW"),"",INDEX(B30:B$5390,-1+SUMPRODUCT(MAX(ROW(E30:E$5390)*(E5419=E30:E$5390)))))</f>
        <v/>
      </c>
      <c r="J5419" s="24" t="str">
        <f aca="true">IF(OR(E5419="",E5419="!!!",F5419="NEW"),"",COUNTBLANK(OFFSET(A$1,,,SUMPRODUCT(MAX(ROW(E$2:E5419)*(E5419=E$2:E5419)))))-COUNTBLANK(OFFSET(A$1,,,SUMPRODUCT(MAX(ROW(E$1:E5418)*(E2=E$1:E5418))))))</f>
        <v/>
      </c>
      <c r="K5419" s="24" t="str">
        <f aca="false">IF(OR(E5419="",E5419="!!!",F5419="NEW"),"",INDEX(J$1:J5418,SUMPRODUCT(MAX(ROW(E$1:E5418)*(E5419=E$1:E5418)))))</f>
        <v/>
      </c>
      <c r="L5419" s="31"/>
    </row>
    <row r="5420" customFormat="false" ht="15" hidden="false" customHeight="false" outlineLevel="0" collapsed="false">
      <c r="A5420" s="20"/>
    </row>
    <row r="5421" customFormat="false" ht="15" hidden="false" customHeight="false" outlineLevel="0" collapsed="false">
      <c r="A5421" s="20" t="s">
        <v>2593</v>
      </c>
    </row>
    <row r="5422" customFormat="false" ht="15" hidden="false" customHeight="false" outlineLevel="0" collapsed="false">
      <c r="A5422" s="20" t="s">
        <v>1581</v>
      </c>
      <c r="E5422" s="23" t="str">
        <f aca="false">IF(D5422="?OLD","!!!","")</f>
        <v/>
      </c>
      <c r="F5422" s="25" t="str">
        <f aca="false">IF(OR(E5422="",E5422="!!!"),"",IF(NOT(ISNA(VLOOKUP(E5422,E$1:E5421,1,FALSE()))),"OLD",IF(AND(E5422&lt;&gt;"",E5422&lt;&gt;"!!!"),"NEW","")))</f>
        <v/>
      </c>
      <c r="G5422" s="26" t="str">
        <f aca="false">IF(OR(E5422="",E5422="!!!"),"",IF(OR(J5422=0,AND(J5422=1,K5422=1),AND(J5422=1,I5422="SBJ"),AND(J5422=1,I5422=0)),"?IN_FOCUS",IF(J5422&lt;=2,"?ACTIVATED",IF(J5422&lt;&gt;"","?FAMILIAR",IF(F5422="NEW",IF(ISNA(VLOOKUP(E5422,#REF!,1,FALSE())),"?TYPE_IDENTIFIABLE","?REFERENTIAL"),"_")))))</f>
        <v/>
      </c>
      <c r="H5422" s="27" t="str">
        <f aca="false">IF(J5422&lt;&gt;1,"",IF(I5422="SBJ","CB","?"))</f>
        <v/>
      </c>
      <c r="I5422" s="24" t="str">
        <f aca="false">IF(OR(E5422="",E5422="!!!",F5422="NEW"),"",INDEX(B2:B$5421,-1+SUMPRODUCT(MAX(ROW(E2:E$5421)*(E5422=E2:E$5421)))))</f>
        <v/>
      </c>
      <c r="J5422" s="24" t="str">
        <f aca="true">IF(OR(E5422="",E5422="!!!",F5422="NEW"),"",COUNTBLANK(OFFSET(A$1,,,SUMPRODUCT(MAX(ROW(E$2:E5422)*(E5422=E$2:E5422)))))-COUNTBLANK(OFFSET(A$1,,,SUMPRODUCT(MAX(ROW(E$1:E5421)*(E2=E$1:E5421))))))</f>
        <v/>
      </c>
      <c r="K5422" s="24" t="str">
        <f aca="false">IF(OR(E5422="",E5422="!!!",F5422="NEW"),"",INDEX(J$1:J5421,SUMPRODUCT(MAX(ROW(E$1:E5421)*(E5422=E$1:E5421)))))</f>
        <v/>
      </c>
      <c r="L5422" s="31"/>
    </row>
    <row r="5423" customFormat="false" ht="15" hidden="false" customHeight="false" outlineLevel="0" collapsed="false">
      <c r="A5423" s="20" t="s">
        <v>2594</v>
      </c>
      <c r="E5423" s="23" t="str">
        <f aca="false">IF(D5423="?OLD","!!!","")</f>
        <v/>
      </c>
      <c r="F5423" s="25" t="str">
        <f aca="false">IF(OR(E5423="",E5423="!!!"),"",IF(NOT(ISNA(VLOOKUP(E5423,E$1:E5422,1,FALSE()))),"OLD",IF(AND(E5423&lt;&gt;"",E5423&lt;&gt;"!!!"),"NEW","")))</f>
        <v/>
      </c>
      <c r="G5423" s="26" t="str">
        <f aca="false">IF(OR(E5423="",E5423="!!!"),"",IF(OR(J5423=0,AND(J5423=1,K5423=1),AND(J5423=1,I5423="SBJ"),AND(J5423=1,I5423=0)),"?IN_FOCUS",IF(J5423&lt;=2,"?ACTIVATED",IF(J5423&lt;&gt;"","?FAMILIAR",IF(F5423="NEW",IF(ISNA(VLOOKUP(E5423,#REF!,1,FALSE())),"?TYPE_IDENTIFIABLE","?REFERENTIAL"),"_")))))</f>
        <v/>
      </c>
      <c r="H5423" s="27" t="str">
        <f aca="false">IF(J5423&lt;&gt;1,"",IF(I5423="SBJ","CB","?"))</f>
        <v/>
      </c>
      <c r="I5423" s="24" t="str">
        <f aca="false">IF(OR(E5423="",E5423="!!!",F5423="NEW"),"",INDEX(B3:B$5421,-1+SUMPRODUCT(MAX(ROW(E3:E$5421)*(E5423=E3:E$5421)))))</f>
        <v/>
      </c>
      <c r="J5423" s="24" t="str">
        <f aca="true">IF(OR(E5423="",E5423="!!!",F5423="NEW"),"",COUNTBLANK(OFFSET(A$1,,,SUMPRODUCT(MAX(ROW(E$2:E5423)*(E5423=E$2:E5423)))))-COUNTBLANK(OFFSET(A$1,,,SUMPRODUCT(MAX(ROW(E$1:E5422)*(E2=E$1:E5422))))))</f>
        <v/>
      </c>
      <c r="K5423" s="24" t="str">
        <f aca="false">IF(OR(E5423="",E5423="!!!",F5423="NEW"),"",INDEX(J$1:J5422,SUMPRODUCT(MAX(ROW(E$1:E5422)*(E5423=E$1:E5422)))))</f>
        <v/>
      </c>
      <c r="L5423" s="31"/>
    </row>
    <row r="5424" customFormat="false" ht="15" hidden="false" customHeight="false" outlineLevel="0" collapsed="false">
      <c r="A5424" s="20" t="s">
        <v>1109</v>
      </c>
      <c r="E5424" s="23" t="str">
        <f aca="false">IF(D5424="?OLD","!!!","")</f>
        <v/>
      </c>
      <c r="F5424" s="25" t="str">
        <f aca="false">IF(OR(E5424="",E5424="!!!"),"",IF(NOT(ISNA(VLOOKUP(E5424,E$1:E5423,1,FALSE()))),"OLD",IF(AND(E5424&lt;&gt;"",E5424&lt;&gt;"!!!"),"NEW","")))</f>
        <v/>
      </c>
      <c r="G5424" s="26" t="str">
        <f aca="false">IF(OR(E5424="",E5424="!!!"),"",IF(OR(J5424=0,AND(J5424=1,K5424=1),AND(J5424=1,I5424="SBJ"),AND(J5424=1,I5424=0)),"?IN_FOCUS",IF(J5424&lt;=2,"?ACTIVATED",IF(J5424&lt;&gt;"","?FAMILIAR",IF(F5424="NEW",IF(ISNA(VLOOKUP(E5424,#REF!,1,FALSE())),"?TYPE_IDENTIFIABLE","?REFERENTIAL"),"_")))))</f>
        <v/>
      </c>
      <c r="H5424" s="27" t="str">
        <f aca="false">IF(J5424&lt;&gt;1,"",IF(I5424="SBJ","CB","?"))</f>
        <v/>
      </c>
      <c r="I5424" s="24" t="str">
        <f aca="false">IF(OR(E5424="",E5424="!!!",F5424="NEW"),"",INDEX(B4:B$5421,-1+SUMPRODUCT(MAX(ROW(E4:E$5421)*(E5424=E4:E$5421)))))</f>
        <v/>
      </c>
      <c r="J5424" s="24" t="str">
        <f aca="true">IF(OR(E5424="",E5424="!!!",F5424="NEW"),"",COUNTBLANK(OFFSET(A$1,,,SUMPRODUCT(MAX(ROW(E$2:E5424)*(E5424=E$2:E5424)))))-COUNTBLANK(OFFSET(A$1,,,SUMPRODUCT(MAX(ROW(E$1:E5423)*(E2=E$1:E5423))))))</f>
        <v/>
      </c>
      <c r="K5424" s="24" t="str">
        <f aca="false">IF(OR(E5424="",E5424="!!!",F5424="NEW"),"",INDEX(J$1:J5423,SUMPRODUCT(MAX(ROW(E$1:E5423)*(E5424=E$1:E5423)))))</f>
        <v/>
      </c>
      <c r="L5424" s="31"/>
    </row>
    <row r="5425" customFormat="false" ht="15" hidden="false" customHeight="false" outlineLevel="0" collapsed="false">
      <c r="A5425" s="20" t="s">
        <v>2595</v>
      </c>
      <c r="E5425" s="23" t="str">
        <f aca="false">IF(D5425="?OLD","!!!","")</f>
        <v/>
      </c>
      <c r="F5425" s="25" t="str">
        <f aca="false">IF(OR(E5425="",E5425="!!!"),"",IF(NOT(ISNA(VLOOKUP(E5425,E$1:E5424,1,FALSE()))),"OLD",IF(AND(E5425&lt;&gt;"",E5425&lt;&gt;"!!!"),"NEW","")))</f>
        <v/>
      </c>
      <c r="G5425" s="26" t="str">
        <f aca="false">IF(OR(E5425="",E5425="!!!"),"",IF(OR(J5425=0,AND(J5425=1,K5425=1),AND(J5425=1,I5425="SBJ"),AND(J5425=1,I5425=0)),"?IN_FOCUS",IF(J5425&lt;=2,"?ACTIVATED",IF(J5425&lt;&gt;"","?FAMILIAR",IF(F5425="NEW",IF(ISNA(VLOOKUP(E5425,#REF!,1,FALSE())),"?TYPE_IDENTIFIABLE","?REFERENTIAL"),"_")))))</f>
        <v/>
      </c>
      <c r="H5425" s="27" t="str">
        <f aca="false">IF(J5425&lt;&gt;1,"",IF(I5425="SBJ","CB","?"))</f>
        <v/>
      </c>
      <c r="I5425" s="24" t="str">
        <f aca="false">IF(OR(E5425="",E5425="!!!",F5425="NEW"),"",INDEX(B5:B$5421,-1+SUMPRODUCT(MAX(ROW(E5:E$5421)*(E5425=E5:E$5421)))))</f>
        <v/>
      </c>
      <c r="J5425" s="24" t="str">
        <f aca="true">IF(OR(E5425="",E5425="!!!",F5425="NEW"),"",COUNTBLANK(OFFSET(A$1,,,SUMPRODUCT(MAX(ROW(E$2:E5425)*(E5425=E$2:E5425)))))-COUNTBLANK(OFFSET(A$1,,,SUMPRODUCT(MAX(ROW(E$1:E5424)*(E2=E$1:E5424))))))</f>
        <v/>
      </c>
      <c r="K5425" s="24" t="str">
        <f aca="false">IF(OR(E5425="",E5425="!!!",F5425="NEW"),"",INDEX(J$1:J5424,SUMPRODUCT(MAX(ROW(E$1:E5424)*(E5425=E$1:E5424)))))</f>
        <v/>
      </c>
      <c r="L5425" s="31"/>
    </row>
    <row r="5426" customFormat="false" ht="15" hidden="false" customHeight="false" outlineLevel="0" collapsed="false">
      <c r="A5426" s="20" t="s">
        <v>2596</v>
      </c>
      <c r="B5426" s="22" t="s">
        <v>1081</v>
      </c>
      <c r="C5426" s="22" t="s">
        <v>1150</v>
      </c>
      <c r="D5426" s="22" t="s">
        <v>1060</v>
      </c>
      <c r="E5426" s="23" t="str">
        <f aca="false">IF(D5426="?OLD","!!!","")</f>
        <v>!!!</v>
      </c>
      <c r="F5426" s="25" t="str">
        <f aca="false">IF(OR(E5426="",E5426="!!!"),"",IF(NOT(ISNA(VLOOKUP(E5426,E$1:E5425,1,FALSE()))),"OLD",IF(AND(E5426&lt;&gt;"",E5426&lt;&gt;"!!!"),"NEW","")))</f>
        <v/>
      </c>
      <c r="G5426" s="26" t="str">
        <f aca="false">IF(OR(E5426="",E5426="!!!"),"",IF(OR(J5426=0,AND(J5426=1,K5426=1),AND(J5426=1,I5426="SBJ"),AND(J5426=1,I5426=0)),"?IN_FOCUS",IF(J5426&lt;=2,"?ACTIVATED",IF(J5426&lt;&gt;"","?FAMILIAR",IF(F5426="NEW",IF(ISNA(VLOOKUP(E5426,#REF!,1,FALSE())),"?TYPE_IDENTIFIABLE","?REFERENTIAL"),"_")))))</f>
        <v/>
      </c>
      <c r="H5426" s="27" t="str">
        <f aca="false">IF(J5426&lt;&gt;1,"",IF(I5426="SBJ","CB","?"))</f>
        <v/>
      </c>
      <c r="I5426" s="24" t="str">
        <f aca="false">IF(OR(E5426="",E5426="!!!",F5426="NEW"),"",INDEX(B6:B$5421,-1+SUMPRODUCT(MAX(ROW(E6:E$5421)*(E5426=E6:E$5421)))))</f>
        <v/>
      </c>
      <c r="J5426" s="24" t="str">
        <f aca="true">IF(OR(E5426="",E5426="!!!",F5426="NEW"),"",COUNTBLANK(OFFSET(A$1,,,SUMPRODUCT(MAX(ROW(E$2:E5426)*(E5426=E$2:E5426)))))-COUNTBLANK(OFFSET(A$1,,,SUMPRODUCT(MAX(ROW(E$1:E5425)*(E2=E$1:E5425))))))</f>
        <v/>
      </c>
      <c r="K5426" s="24" t="str">
        <f aca="false">IF(OR(E5426="",E5426="!!!",F5426="NEW"),"",INDEX(J$1:J5425,SUMPRODUCT(MAX(ROW(E$1:E5425)*(E5426=E$1:E5425)))))</f>
        <v/>
      </c>
      <c r="L5426" s="31"/>
    </row>
    <row r="5427" customFormat="false" ht="15" hidden="false" customHeight="false" outlineLevel="0" collapsed="false">
      <c r="A5427" s="20" t="s">
        <v>1064</v>
      </c>
      <c r="E5427" s="23" t="str">
        <f aca="false">IF(D5427="?OLD","!!!","")</f>
        <v/>
      </c>
      <c r="F5427" s="25" t="str">
        <f aca="false">IF(OR(E5427="",E5427="!!!"),"",IF(NOT(ISNA(VLOOKUP(E5427,E$1:E5426,1,FALSE()))),"OLD",IF(AND(E5427&lt;&gt;"",E5427&lt;&gt;"!!!"),"NEW","")))</f>
        <v/>
      </c>
      <c r="G5427" s="26" t="str">
        <f aca="false">IF(OR(E5427="",E5427="!!!"),"",IF(OR(J5427=0,AND(J5427=1,K5427=1),AND(J5427=1,I5427="SBJ"),AND(J5427=1,I5427=0)),"?IN_FOCUS",IF(J5427&lt;=2,"?ACTIVATED",IF(J5427&lt;&gt;"","?FAMILIAR",IF(F5427="NEW",IF(ISNA(VLOOKUP(E5427,#REF!,1,FALSE())),"?TYPE_IDENTIFIABLE","?REFERENTIAL"),"_")))))</f>
        <v/>
      </c>
      <c r="H5427" s="27" t="str">
        <f aca="false">IF(J5427&lt;&gt;1,"",IF(I5427="SBJ","CB","?"))</f>
        <v/>
      </c>
      <c r="I5427" s="24" t="str">
        <f aca="false">IF(OR(E5427="",E5427="!!!",F5427="NEW"),"",INDEX(B7:B$5421,-1+SUMPRODUCT(MAX(ROW(E7:E$5421)*(E5427=E7:E$5421)))))</f>
        <v/>
      </c>
      <c r="J5427" s="24" t="str">
        <f aca="true">IF(OR(E5427="",E5427="!!!",F5427="NEW"),"",COUNTBLANK(OFFSET(A$1,,,SUMPRODUCT(MAX(ROW(E$2:E5427)*(E5427=E$2:E5427)))))-COUNTBLANK(OFFSET(A$1,,,SUMPRODUCT(MAX(ROW(E$1:E5426)*(E2=E$1:E5426))))))</f>
        <v/>
      </c>
      <c r="K5427" s="24" t="str">
        <f aca="false">IF(OR(E5427="",E5427="!!!",F5427="NEW"),"",INDEX(J$1:J5426,SUMPRODUCT(MAX(ROW(E$1:E5426)*(E5427=E$1:E5426)))))</f>
        <v/>
      </c>
      <c r="L5427" s="31"/>
    </row>
    <row r="5428" customFormat="false" ht="15" hidden="false" customHeight="false" outlineLevel="0" collapsed="false">
      <c r="A5428" s="20" t="s">
        <v>1085</v>
      </c>
      <c r="E5428" s="23" t="str">
        <f aca="false">IF(D5428="?OLD","!!!","")</f>
        <v/>
      </c>
      <c r="F5428" s="25" t="str">
        <f aca="false">IF(OR(E5428="",E5428="!!!"),"",IF(NOT(ISNA(VLOOKUP(E5428,E$1:E5427,1,FALSE()))),"OLD",IF(AND(E5428&lt;&gt;"",E5428&lt;&gt;"!!!"),"NEW","")))</f>
        <v/>
      </c>
      <c r="G5428" s="26" t="str">
        <f aca="false">IF(OR(E5428="",E5428="!!!"),"",IF(OR(J5428=0,AND(J5428=1,K5428=1),AND(J5428=1,I5428="SBJ"),AND(J5428=1,I5428=0)),"?IN_FOCUS",IF(J5428&lt;=2,"?ACTIVATED",IF(J5428&lt;&gt;"","?FAMILIAR",IF(F5428="NEW",IF(ISNA(VLOOKUP(E5428,#REF!,1,FALSE())),"?TYPE_IDENTIFIABLE","?REFERENTIAL"),"_")))))</f>
        <v/>
      </c>
      <c r="H5428" s="27" t="str">
        <f aca="false">IF(J5428&lt;&gt;1,"",IF(I5428="SBJ","CB","?"))</f>
        <v/>
      </c>
      <c r="I5428" s="24" t="str">
        <f aca="false">IF(OR(E5428="",E5428="!!!",F5428="NEW"),"",INDEX(B8:B$5421,-1+SUMPRODUCT(MAX(ROW(E8:E$5421)*(E5428=E8:E$5421)))))</f>
        <v/>
      </c>
      <c r="J5428" s="24" t="str">
        <f aca="true">IF(OR(E5428="",E5428="!!!",F5428="NEW"),"",COUNTBLANK(OFFSET(A$1,,,SUMPRODUCT(MAX(ROW(E$2:E5428)*(E5428=E$2:E5428)))))-COUNTBLANK(OFFSET(A$1,,,SUMPRODUCT(MAX(ROW(E$1:E5427)*(E2=E$1:E5427))))))</f>
        <v/>
      </c>
      <c r="K5428" s="24" t="str">
        <f aca="false">IF(OR(E5428="",E5428="!!!",F5428="NEW"),"",INDEX(J$1:J5427,SUMPRODUCT(MAX(ROW(E$1:E5427)*(E5428=E$1:E5427)))))</f>
        <v/>
      </c>
      <c r="L5428" s="31"/>
    </row>
    <row r="5429" customFormat="false" ht="15" hidden="false" customHeight="false" outlineLevel="0" collapsed="false">
      <c r="A5429" s="20" t="s">
        <v>2597</v>
      </c>
      <c r="B5429" s="22" t="s">
        <v>1073</v>
      </c>
      <c r="C5429" s="22" t="s">
        <v>1087</v>
      </c>
      <c r="E5429" s="23" t="str">
        <f aca="false">IF(D5429="?OLD","!!!","")</f>
        <v/>
      </c>
      <c r="F5429" s="25" t="str">
        <f aca="false">IF(OR(E5429="",E5429="!!!"),"",IF(NOT(ISNA(VLOOKUP(E5429,E$1:E5428,1,FALSE()))),"OLD",IF(AND(E5429&lt;&gt;"",E5429&lt;&gt;"!!!"),"NEW","")))</f>
        <v/>
      </c>
      <c r="G5429" s="26" t="str">
        <f aca="false">IF(OR(E5429="",E5429="!!!"),"",IF(OR(J5429=0,AND(J5429=1,K5429=1),AND(J5429=1,I5429="SBJ"),AND(J5429=1,I5429=0)),"?IN_FOCUS",IF(J5429&lt;=2,"?ACTIVATED",IF(J5429&lt;&gt;"","?FAMILIAR",IF(F5429="NEW",IF(ISNA(VLOOKUP(E5429,#REF!,1,FALSE())),"?TYPE_IDENTIFIABLE","?REFERENTIAL"),"_")))))</f>
        <v/>
      </c>
      <c r="H5429" s="27" t="str">
        <f aca="false">IF(J5429&lt;&gt;1,"",IF(I5429="SBJ","CB","?"))</f>
        <v/>
      </c>
      <c r="I5429" s="24" t="str">
        <f aca="false">IF(OR(E5429="",E5429="!!!",F5429="NEW"),"",INDEX(B9:B$5421,-1+SUMPRODUCT(MAX(ROW(E9:E$5421)*(E5429=E9:E$5421)))))</f>
        <v/>
      </c>
      <c r="J5429" s="24" t="str">
        <f aca="true">IF(OR(E5429="",E5429="!!!",F5429="NEW"),"",COUNTBLANK(OFFSET(A$1,,,SUMPRODUCT(MAX(ROW(E$2:E5429)*(E5429=E$2:E5429)))))-COUNTBLANK(OFFSET(A$1,,,SUMPRODUCT(MAX(ROW(E$1:E5428)*(E2=E$1:E5428))))))</f>
        <v/>
      </c>
      <c r="K5429" s="24" t="str">
        <f aca="false">IF(OR(E5429="",E5429="!!!",F5429="NEW"),"",INDEX(J$1:J5428,SUMPRODUCT(MAX(ROW(E$1:E5428)*(E5429=E$1:E5428)))))</f>
        <v/>
      </c>
      <c r="L5429" s="31"/>
    </row>
    <row r="5430" customFormat="false" ht="15" hidden="false" customHeight="false" outlineLevel="0" collapsed="false">
      <c r="A5430" s="20" t="s">
        <v>1929</v>
      </c>
      <c r="E5430" s="23" t="str">
        <f aca="false">IF(D5430="?OLD","!!!","")</f>
        <v/>
      </c>
      <c r="F5430" s="25" t="str">
        <f aca="false">IF(OR(E5430="",E5430="!!!"),"",IF(NOT(ISNA(VLOOKUP(E5430,E$1:E5429,1,FALSE()))),"OLD",IF(AND(E5430&lt;&gt;"",E5430&lt;&gt;"!!!"),"NEW","")))</f>
        <v/>
      </c>
      <c r="G5430" s="26" t="str">
        <f aca="false">IF(OR(E5430="",E5430="!!!"),"",IF(OR(J5430=0,AND(J5430=1,K5430=1),AND(J5430=1,I5430="SBJ"),AND(J5430=1,I5430=0)),"?IN_FOCUS",IF(J5430&lt;=2,"?ACTIVATED",IF(J5430&lt;&gt;"","?FAMILIAR",IF(F5430="NEW",IF(ISNA(VLOOKUP(E5430,#REF!,1,FALSE())),"?TYPE_IDENTIFIABLE","?REFERENTIAL"),"_")))))</f>
        <v/>
      </c>
      <c r="H5430" s="27" t="str">
        <f aca="false">IF(J5430&lt;&gt;1,"",IF(I5430="SBJ","CB","?"))</f>
        <v/>
      </c>
      <c r="I5430" s="24" t="str">
        <f aca="false">IF(OR(E5430="",E5430="!!!",F5430="NEW"),"",INDEX(B10:B$5421,-1+SUMPRODUCT(MAX(ROW(E10:E$5421)*(E5430=E10:E$5421)))))</f>
        <v/>
      </c>
      <c r="J5430" s="24" t="str">
        <f aca="true">IF(OR(E5430="",E5430="!!!",F5430="NEW"),"",COUNTBLANK(OFFSET(A$1,,,SUMPRODUCT(MAX(ROW(E$2:E5430)*(E5430=E$2:E5430)))))-COUNTBLANK(OFFSET(A$1,,,SUMPRODUCT(MAX(ROW(E$1:E5429)*(E2=E$1:E5429))))))</f>
        <v/>
      </c>
      <c r="K5430" s="24" t="str">
        <f aca="false">IF(OR(E5430="",E5430="!!!",F5430="NEW"),"",INDEX(J$1:J5429,SUMPRODUCT(MAX(ROW(E$1:E5429)*(E5430=E$1:E5429)))))</f>
        <v/>
      </c>
      <c r="L5430" s="31"/>
    </row>
    <row r="5431" customFormat="false" ht="15" hidden="false" customHeight="false" outlineLevel="0" collapsed="false">
      <c r="A5431" s="20" t="s">
        <v>1128</v>
      </c>
      <c r="E5431" s="23" t="str">
        <f aca="false">IF(D5431="?OLD","!!!","")</f>
        <v/>
      </c>
      <c r="F5431" s="25" t="str">
        <f aca="false">IF(OR(E5431="",E5431="!!!"),"",IF(NOT(ISNA(VLOOKUP(E5431,E$1:E5430,1,FALSE()))),"OLD",IF(AND(E5431&lt;&gt;"",E5431&lt;&gt;"!!!"),"NEW","")))</f>
        <v/>
      </c>
      <c r="G5431" s="26" t="str">
        <f aca="false">IF(OR(E5431="",E5431="!!!"),"",IF(OR(J5431=0,AND(J5431=1,K5431=1),AND(J5431=1,I5431="SBJ"),AND(J5431=1,I5431=0)),"?IN_FOCUS",IF(J5431&lt;=2,"?ACTIVATED",IF(J5431&lt;&gt;"","?FAMILIAR",IF(F5431="NEW",IF(ISNA(VLOOKUP(E5431,#REF!,1,FALSE())),"?TYPE_IDENTIFIABLE","?REFERENTIAL"),"_")))))</f>
        <v/>
      </c>
      <c r="H5431" s="27" t="str">
        <f aca="false">IF(J5431&lt;&gt;1,"",IF(I5431="SBJ","CB","?"))</f>
        <v/>
      </c>
      <c r="I5431" s="24" t="str">
        <f aca="false">IF(OR(E5431="",E5431="!!!",F5431="NEW"),"",INDEX(B11:B$5421,-1+SUMPRODUCT(MAX(ROW(E11:E$5421)*(E5431=E11:E$5421)))))</f>
        <v/>
      </c>
      <c r="J5431" s="24" t="str">
        <f aca="true">IF(OR(E5431="",E5431="!!!",F5431="NEW"),"",COUNTBLANK(OFFSET(A$1,,,SUMPRODUCT(MAX(ROW(E$2:E5431)*(E5431=E$2:E5431)))))-COUNTBLANK(OFFSET(A$1,,,SUMPRODUCT(MAX(ROW(E$1:E5430)*(E2=E$1:E5430))))))</f>
        <v/>
      </c>
      <c r="K5431" s="24" t="str">
        <f aca="false">IF(OR(E5431="",E5431="!!!",F5431="NEW"),"",INDEX(J$1:J5430,SUMPRODUCT(MAX(ROW(E$1:E5430)*(E5431=E$1:E5430)))))</f>
        <v/>
      </c>
      <c r="L5431" s="31"/>
    </row>
    <row r="5432" customFormat="false" ht="15" hidden="false" customHeight="false" outlineLevel="0" collapsed="false">
      <c r="A5432" s="20" t="s">
        <v>2598</v>
      </c>
      <c r="E5432" s="23" t="str">
        <f aca="false">IF(D5432="?OLD","!!!","")</f>
        <v/>
      </c>
      <c r="F5432" s="25" t="str">
        <f aca="false">IF(OR(E5432="",E5432="!!!"),"",IF(NOT(ISNA(VLOOKUP(E5432,E$1:E5431,1,FALSE()))),"OLD",IF(AND(E5432&lt;&gt;"",E5432&lt;&gt;"!!!"),"NEW","")))</f>
        <v/>
      </c>
      <c r="G5432" s="26" t="str">
        <f aca="false">IF(OR(E5432="",E5432="!!!"),"",IF(OR(J5432=0,AND(J5432=1,K5432=1),AND(J5432=1,I5432="SBJ"),AND(J5432=1,I5432=0)),"?IN_FOCUS",IF(J5432&lt;=2,"?ACTIVATED",IF(J5432&lt;&gt;"","?FAMILIAR",IF(F5432="NEW",IF(ISNA(VLOOKUP(E5432,#REF!,1,FALSE())),"?TYPE_IDENTIFIABLE","?REFERENTIAL"),"_")))))</f>
        <v/>
      </c>
      <c r="H5432" s="27" t="str">
        <f aca="false">IF(J5432&lt;&gt;1,"",IF(I5432="SBJ","CB","?"))</f>
        <v/>
      </c>
      <c r="I5432" s="24" t="str">
        <f aca="false">IF(OR(E5432="",E5432="!!!",F5432="NEW"),"",INDEX(B12:B$5421,-1+SUMPRODUCT(MAX(ROW(E12:E$5421)*(E5432=E12:E$5421)))))</f>
        <v/>
      </c>
      <c r="J5432" s="24" t="str">
        <f aca="true">IF(OR(E5432="",E5432="!!!",F5432="NEW"),"",COUNTBLANK(OFFSET(A$1,,,SUMPRODUCT(MAX(ROW(E$2:E5432)*(E5432=E$2:E5432)))))-COUNTBLANK(OFFSET(A$1,,,SUMPRODUCT(MAX(ROW(E$1:E5431)*(E2=E$1:E5431))))))</f>
        <v/>
      </c>
      <c r="K5432" s="24" t="str">
        <f aca="false">IF(OR(E5432="",E5432="!!!",F5432="NEW"),"",INDEX(J$1:J5431,SUMPRODUCT(MAX(ROW(E$1:E5431)*(E5432=E$1:E5431)))))</f>
        <v/>
      </c>
      <c r="L5432" s="31"/>
    </row>
    <row r="5433" customFormat="false" ht="15" hidden="false" customHeight="false" outlineLevel="0" collapsed="false">
      <c r="A5433" s="20" t="s">
        <v>1076</v>
      </c>
      <c r="E5433" s="23" t="str">
        <f aca="false">IF(D5433="?OLD","!!!","")</f>
        <v/>
      </c>
      <c r="F5433" s="25" t="str">
        <f aca="false">IF(OR(E5433="",E5433="!!!"),"",IF(NOT(ISNA(VLOOKUP(E5433,E$1:E5432,1,FALSE()))),"OLD",IF(AND(E5433&lt;&gt;"",E5433&lt;&gt;"!!!"),"NEW","")))</f>
        <v/>
      </c>
      <c r="G5433" s="26" t="str">
        <f aca="false">IF(OR(E5433="",E5433="!!!"),"",IF(OR(J5433=0,AND(J5433=1,K5433=1),AND(J5433=1,I5433="SBJ"),AND(J5433=1,I5433=0)),"?IN_FOCUS",IF(J5433&lt;=2,"?ACTIVATED",IF(J5433&lt;&gt;"","?FAMILIAR",IF(F5433="NEW",IF(ISNA(VLOOKUP(E5433,#REF!,1,FALSE())),"?TYPE_IDENTIFIABLE","?REFERENTIAL"),"_")))))</f>
        <v/>
      </c>
      <c r="H5433" s="27" t="str">
        <f aca="false">IF(J5433&lt;&gt;1,"",IF(I5433="SBJ","CB","?"))</f>
        <v/>
      </c>
      <c r="I5433" s="24" t="str">
        <f aca="false">IF(OR(E5433="",E5433="!!!",F5433="NEW"),"",INDEX(B13:B$5421,-1+SUMPRODUCT(MAX(ROW(E13:E$5421)*(E5433=E13:E$5421)))))</f>
        <v/>
      </c>
      <c r="J5433" s="24" t="str">
        <f aca="true">IF(OR(E5433="",E5433="!!!",F5433="NEW"),"",COUNTBLANK(OFFSET(A$1,,,SUMPRODUCT(MAX(ROW(E$2:E5433)*(E5433=E$2:E5433)))))-COUNTBLANK(OFFSET(A$1,,,SUMPRODUCT(MAX(ROW(E$1:E5432)*(E2=E$1:E5432))))))</f>
        <v/>
      </c>
      <c r="K5433" s="24" t="str">
        <f aca="false">IF(OR(E5433="",E5433="!!!",F5433="NEW"),"",INDEX(J$1:J5432,SUMPRODUCT(MAX(ROW(E$1:E5432)*(E5433=E$1:E5432)))))</f>
        <v/>
      </c>
      <c r="L5433" s="31"/>
    </row>
    <row r="5434" customFormat="false" ht="15" hidden="false" customHeight="false" outlineLevel="0" collapsed="false">
      <c r="A5434" s="20" t="s">
        <v>1637</v>
      </c>
      <c r="E5434" s="23" t="str">
        <f aca="false">IF(D5434="?OLD","!!!","")</f>
        <v/>
      </c>
      <c r="F5434" s="25" t="str">
        <f aca="false">IF(OR(E5434="",E5434="!!!"),"",IF(NOT(ISNA(VLOOKUP(E5434,E$1:E5433,1,FALSE()))),"OLD",IF(AND(E5434&lt;&gt;"",E5434&lt;&gt;"!!!"),"NEW","")))</f>
        <v/>
      </c>
      <c r="G5434" s="26" t="str">
        <f aca="false">IF(OR(E5434="",E5434="!!!"),"",IF(OR(J5434=0,AND(J5434=1,K5434=1),AND(J5434=1,I5434="SBJ"),AND(J5434=1,I5434=0)),"?IN_FOCUS",IF(J5434&lt;=2,"?ACTIVATED",IF(J5434&lt;&gt;"","?FAMILIAR",IF(F5434="NEW",IF(ISNA(VLOOKUP(E5434,#REF!,1,FALSE())),"?TYPE_IDENTIFIABLE","?REFERENTIAL"),"_")))))</f>
        <v/>
      </c>
      <c r="H5434" s="27" t="str">
        <f aca="false">IF(J5434&lt;&gt;1,"",IF(I5434="SBJ","CB","?"))</f>
        <v/>
      </c>
      <c r="I5434" s="24" t="str">
        <f aca="false">IF(OR(E5434="",E5434="!!!",F5434="NEW"),"",INDEX(B14:B$5421,-1+SUMPRODUCT(MAX(ROW(E14:E$5421)*(E5434=E14:E$5421)))))</f>
        <v/>
      </c>
      <c r="J5434" s="24" t="str">
        <f aca="true">IF(OR(E5434="",E5434="!!!",F5434="NEW"),"",COUNTBLANK(OFFSET(A$1,,,SUMPRODUCT(MAX(ROW(E$2:E5434)*(E5434=E$2:E5434)))))-COUNTBLANK(OFFSET(A$1,,,SUMPRODUCT(MAX(ROW(E$1:E5433)*(E2=E$1:E5433))))))</f>
        <v/>
      </c>
      <c r="K5434" s="24" t="str">
        <f aca="false">IF(OR(E5434="",E5434="!!!",F5434="NEW"),"",INDEX(J$1:J5433,SUMPRODUCT(MAX(ROW(E$1:E5433)*(E5434=E$1:E5433)))))</f>
        <v/>
      </c>
      <c r="L5434" s="31"/>
    </row>
    <row r="5435" customFormat="false" ht="15" hidden="false" customHeight="false" outlineLevel="0" collapsed="false">
      <c r="A5435" s="20" t="s">
        <v>1157</v>
      </c>
      <c r="E5435" s="23" t="str">
        <f aca="false">IF(D5435="?OLD","!!!","")</f>
        <v/>
      </c>
      <c r="F5435" s="25" t="str">
        <f aca="false">IF(OR(E5435="",E5435="!!!"),"",IF(NOT(ISNA(VLOOKUP(E5435,E$1:E5434,1,FALSE()))),"OLD",IF(AND(E5435&lt;&gt;"",E5435&lt;&gt;"!!!"),"NEW","")))</f>
        <v/>
      </c>
      <c r="G5435" s="26" t="str">
        <f aca="false">IF(OR(E5435="",E5435="!!!"),"",IF(OR(J5435=0,AND(J5435=1,K5435=1),AND(J5435=1,I5435="SBJ"),AND(J5435=1,I5435=0)),"?IN_FOCUS",IF(J5435&lt;=2,"?ACTIVATED",IF(J5435&lt;&gt;"","?FAMILIAR",IF(F5435="NEW",IF(ISNA(VLOOKUP(E5435,#REF!,1,FALSE())),"?TYPE_IDENTIFIABLE","?REFERENTIAL"),"_")))))</f>
        <v/>
      </c>
      <c r="H5435" s="27" t="str">
        <f aca="false">IF(J5435&lt;&gt;1,"",IF(I5435="SBJ","CB","?"))</f>
        <v/>
      </c>
      <c r="I5435" s="24" t="str">
        <f aca="false">IF(OR(E5435="",E5435="!!!",F5435="NEW"),"",INDEX(B15:B$5421,-1+SUMPRODUCT(MAX(ROW(E15:E$5421)*(E5435=E15:E$5421)))))</f>
        <v/>
      </c>
      <c r="J5435" s="24" t="str">
        <f aca="true">IF(OR(E5435="",E5435="!!!",F5435="NEW"),"",COUNTBLANK(OFFSET(A$1,,,SUMPRODUCT(MAX(ROW(E$2:E5435)*(E5435=E$2:E5435)))))-COUNTBLANK(OFFSET(A$1,,,SUMPRODUCT(MAX(ROW(E$1:E5434)*(E2=E$1:E5434))))))</f>
        <v/>
      </c>
      <c r="K5435" s="24" t="str">
        <f aca="false">IF(OR(E5435="",E5435="!!!",F5435="NEW"),"",INDEX(J$1:J5434,SUMPRODUCT(MAX(ROW(E$1:E5434)*(E5435=E$1:E5434)))))</f>
        <v/>
      </c>
      <c r="L5435" s="31"/>
    </row>
    <row r="5436" customFormat="false" ht="15" hidden="false" customHeight="false" outlineLevel="0" collapsed="false">
      <c r="A5436" s="20" t="s">
        <v>1189</v>
      </c>
      <c r="B5436" s="22" t="s">
        <v>1067</v>
      </c>
      <c r="C5436" s="22" t="s">
        <v>1099</v>
      </c>
      <c r="D5436" s="22" t="s">
        <v>1060</v>
      </c>
      <c r="E5436" s="23" t="str">
        <f aca="false">IF(D5436="?OLD","!!!","")</f>
        <v>!!!</v>
      </c>
      <c r="F5436" s="25" t="str">
        <f aca="false">IF(OR(E5436="",E5436="!!!"),"",IF(NOT(ISNA(VLOOKUP(E5436,E$1:E5435,1,FALSE()))),"OLD",IF(AND(E5436&lt;&gt;"",E5436&lt;&gt;"!!!"),"NEW","")))</f>
        <v/>
      </c>
      <c r="G5436" s="26" t="str">
        <f aca="false">IF(OR(E5436="",E5436="!!!"),"",IF(OR(J5436=0,AND(J5436=1,K5436=1),AND(J5436=1,I5436="SBJ"),AND(J5436=1,I5436=0)),"?IN_FOCUS",IF(J5436&lt;=2,"?ACTIVATED",IF(J5436&lt;&gt;"","?FAMILIAR",IF(F5436="NEW",IF(ISNA(VLOOKUP(E5436,#REF!,1,FALSE())),"?TYPE_IDENTIFIABLE","?REFERENTIAL"),"_")))))</f>
        <v/>
      </c>
      <c r="H5436" s="27" t="str">
        <f aca="false">IF(J5436&lt;&gt;1,"",IF(I5436="SBJ","CB","?"))</f>
        <v/>
      </c>
      <c r="I5436" s="24" t="str">
        <f aca="false">IF(OR(E5436="",E5436="!!!",F5436="NEW"),"",INDEX(B16:B$5421,-1+SUMPRODUCT(MAX(ROW(E16:E$5421)*(E5436=E16:E$5421)))))</f>
        <v/>
      </c>
      <c r="J5436" s="24" t="str">
        <f aca="true">IF(OR(E5436="",E5436="!!!",F5436="NEW"),"",COUNTBLANK(OFFSET(A$1,,,SUMPRODUCT(MAX(ROW(E$2:E5436)*(E5436=E$2:E5436)))))-COUNTBLANK(OFFSET(A$1,,,SUMPRODUCT(MAX(ROW(E$1:E5435)*(E2=E$1:E5435))))))</f>
        <v/>
      </c>
      <c r="K5436" s="24" t="str">
        <f aca="false">IF(OR(E5436="",E5436="!!!",F5436="NEW"),"",INDEX(J$1:J5435,SUMPRODUCT(MAX(ROW(E$1:E5435)*(E5436=E$1:E5435)))))</f>
        <v/>
      </c>
      <c r="L5436" s="31"/>
    </row>
    <row r="5437" customFormat="false" ht="15" hidden="false" customHeight="false" outlineLevel="0" collapsed="false">
      <c r="A5437" s="20" t="s">
        <v>1330</v>
      </c>
      <c r="B5437" s="22" t="s">
        <v>1086</v>
      </c>
      <c r="C5437" s="22" t="s">
        <v>1059</v>
      </c>
      <c r="D5437" s="22" t="s">
        <v>1060</v>
      </c>
      <c r="E5437" s="23" t="str">
        <f aca="false">IF(D5437="?OLD","!!!","")</f>
        <v>!!!</v>
      </c>
      <c r="F5437" s="25" t="str">
        <f aca="false">IF(OR(E5437="",E5437="!!!"),"",IF(NOT(ISNA(VLOOKUP(E5437,E$1:E5436,1,FALSE()))),"OLD",IF(AND(E5437&lt;&gt;"",E5437&lt;&gt;"!!!"),"NEW","")))</f>
        <v/>
      </c>
      <c r="G5437" s="26" t="str">
        <f aca="false">IF(OR(E5437="",E5437="!!!"),"",IF(OR(J5437=0,AND(J5437=1,K5437=1),AND(J5437=1,I5437="SBJ"),AND(J5437=1,I5437=0)),"?IN_FOCUS",IF(J5437&lt;=2,"?ACTIVATED",IF(J5437&lt;&gt;"","?FAMILIAR",IF(F5437="NEW",IF(ISNA(VLOOKUP(E5437,#REF!,1,FALSE())),"?TYPE_IDENTIFIABLE","?REFERENTIAL"),"_")))))</f>
        <v/>
      </c>
      <c r="H5437" s="27" t="str">
        <f aca="false">IF(J5437&lt;&gt;1,"",IF(I5437="SBJ","CB","?"))</f>
        <v/>
      </c>
      <c r="I5437" s="24" t="str">
        <f aca="false">IF(OR(E5437="",E5437="!!!",F5437="NEW"),"",INDEX(B17:B$5421,-1+SUMPRODUCT(MAX(ROW(E17:E$5421)*(E5437=E17:E$5421)))))</f>
        <v/>
      </c>
      <c r="J5437" s="24" t="str">
        <f aca="true">IF(OR(E5437="",E5437="!!!",F5437="NEW"),"",COUNTBLANK(OFFSET(A$1,,,SUMPRODUCT(MAX(ROW(E$2:E5437)*(E5437=E$2:E5437)))))-COUNTBLANK(OFFSET(A$1,,,SUMPRODUCT(MAX(ROW(E$1:E5436)*(E2=E$1:E5436))))))</f>
        <v/>
      </c>
      <c r="K5437" s="24" t="str">
        <f aca="false">IF(OR(E5437="",E5437="!!!",F5437="NEW"),"",INDEX(J$1:J5436,SUMPRODUCT(MAX(ROW(E$1:E5436)*(E5437=E$1:E5436)))))</f>
        <v/>
      </c>
      <c r="L5437" s="31"/>
    </row>
    <row r="5438" customFormat="false" ht="15" hidden="false" customHeight="false" outlineLevel="0" collapsed="false">
      <c r="A5438" s="20" t="s">
        <v>1278</v>
      </c>
      <c r="E5438" s="23" t="str">
        <f aca="false">IF(D5438="?OLD","!!!","")</f>
        <v/>
      </c>
      <c r="F5438" s="25" t="str">
        <f aca="false">IF(OR(E5438="",E5438="!!!"),"",IF(NOT(ISNA(VLOOKUP(E5438,E$1:E5437,1,FALSE()))),"OLD",IF(AND(E5438&lt;&gt;"",E5438&lt;&gt;"!!!"),"NEW","")))</f>
        <v/>
      </c>
      <c r="G5438" s="26" t="str">
        <f aca="false">IF(OR(E5438="",E5438="!!!"),"",IF(OR(J5438=0,AND(J5438=1,K5438=1),AND(J5438=1,I5438="SBJ"),AND(J5438=1,I5438=0)),"?IN_FOCUS",IF(J5438&lt;=2,"?ACTIVATED",IF(J5438&lt;&gt;"","?FAMILIAR",IF(F5438="NEW",IF(ISNA(VLOOKUP(E5438,#REF!,1,FALSE())),"?TYPE_IDENTIFIABLE","?REFERENTIAL"),"_")))))</f>
        <v/>
      </c>
      <c r="H5438" s="27" t="str">
        <f aca="false">IF(J5438&lt;&gt;1,"",IF(I5438="SBJ","CB","?"))</f>
        <v/>
      </c>
      <c r="I5438" s="24" t="str">
        <f aca="false">IF(OR(E5438="",E5438="!!!",F5438="NEW"),"",INDEX(B18:B$5421,-1+SUMPRODUCT(MAX(ROW(E18:E$5421)*(E5438=E18:E$5421)))))</f>
        <v/>
      </c>
      <c r="J5438" s="24" t="str">
        <f aca="true">IF(OR(E5438="",E5438="!!!",F5438="NEW"),"",COUNTBLANK(OFFSET(A$1,,,SUMPRODUCT(MAX(ROW(E$2:E5438)*(E5438=E$2:E5438)))))-COUNTBLANK(OFFSET(A$1,,,SUMPRODUCT(MAX(ROW(E$1:E5437)*(E2=E$1:E5437))))))</f>
        <v/>
      </c>
      <c r="K5438" s="24" t="str">
        <f aca="false">IF(OR(E5438="",E5438="!!!",F5438="NEW"),"",INDEX(J$1:J5437,SUMPRODUCT(MAX(ROW(E$1:E5437)*(E5438=E$1:E5437)))))</f>
        <v/>
      </c>
      <c r="L5438" s="31"/>
    </row>
    <row r="5439" customFormat="false" ht="15" hidden="false" customHeight="false" outlineLevel="0" collapsed="false">
      <c r="A5439" s="20" t="s">
        <v>1076</v>
      </c>
      <c r="E5439" s="23" t="str">
        <f aca="false">IF(D5439="?OLD","!!!","")</f>
        <v/>
      </c>
      <c r="F5439" s="25" t="str">
        <f aca="false">IF(OR(E5439="",E5439="!!!"),"",IF(NOT(ISNA(VLOOKUP(E5439,E$1:E5438,1,FALSE()))),"OLD",IF(AND(E5439&lt;&gt;"",E5439&lt;&gt;"!!!"),"NEW","")))</f>
        <v/>
      </c>
      <c r="G5439" s="26" t="str">
        <f aca="false">IF(OR(E5439="",E5439="!!!"),"",IF(OR(J5439=0,AND(J5439=1,K5439=1),AND(J5439=1,I5439="SBJ"),AND(J5439=1,I5439=0)),"?IN_FOCUS",IF(J5439&lt;=2,"?ACTIVATED",IF(J5439&lt;&gt;"","?FAMILIAR",IF(F5439="NEW",IF(ISNA(VLOOKUP(E5439,#REF!,1,FALSE())),"?TYPE_IDENTIFIABLE","?REFERENTIAL"),"_")))))</f>
        <v/>
      </c>
      <c r="H5439" s="27" t="str">
        <f aca="false">IF(J5439&lt;&gt;1,"",IF(I5439="SBJ","CB","?"))</f>
        <v/>
      </c>
      <c r="I5439" s="24" t="str">
        <f aca="false">IF(OR(E5439="",E5439="!!!",F5439="NEW"),"",INDEX(B19:B$5421,-1+SUMPRODUCT(MAX(ROW(E19:E$5421)*(E5439=E19:E$5421)))))</f>
        <v/>
      </c>
      <c r="J5439" s="24" t="str">
        <f aca="true">IF(OR(E5439="",E5439="!!!",F5439="NEW"),"",COUNTBLANK(OFFSET(A$1,,,SUMPRODUCT(MAX(ROW(E$2:E5439)*(E5439=E$2:E5439)))))-COUNTBLANK(OFFSET(A$1,,,SUMPRODUCT(MAX(ROW(E$1:E5438)*(E2=E$1:E5438))))))</f>
        <v/>
      </c>
      <c r="K5439" s="24" t="str">
        <f aca="false">IF(OR(E5439="",E5439="!!!",F5439="NEW"),"",INDEX(J$1:J5438,SUMPRODUCT(MAX(ROW(E$1:E5438)*(E5439=E$1:E5438)))))</f>
        <v/>
      </c>
      <c r="L5439" s="31"/>
    </row>
    <row r="5440" customFormat="false" ht="15" hidden="false" customHeight="false" outlineLevel="0" collapsed="false">
      <c r="A5440" s="20" t="s">
        <v>1128</v>
      </c>
      <c r="E5440" s="23" t="str">
        <f aca="false">IF(D5440="?OLD","!!!","")</f>
        <v/>
      </c>
      <c r="F5440" s="25" t="str">
        <f aca="false">IF(OR(E5440="",E5440="!!!"),"",IF(NOT(ISNA(VLOOKUP(E5440,E$1:E5439,1,FALSE()))),"OLD",IF(AND(E5440&lt;&gt;"",E5440&lt;&gt;"!!!"),"NEW","")))</f>
        <v/>
      </c>
      <c r="G5440" s="26" t="str">
        <f aca="false">IF(OR(E5440="",E5440="!!!"),"",IF(OR(J5440=0,AND(J5440=1,K5440=1),AND(J5440=1,I5440="SBJ"),AND(J5440=1,I5440=0)),"?IN_FOCUS",IF(J5440&lt;=2,"?ACTIVATED",IF(J5440&lt;&gt;"","?FAMILIAR",IF(F5440="NEW",IF(ISNA(VLOOKUP(E5440,#REF!,1,FALSE())),"?TYPE_IDENTIFIABLE","?REFERENTIAL"),"_")))))</f>
        <v/>
      </c>
      <c r="H5440" s="27" t="str">
        <f aca="false">IF(J5440&lt;&gt;1,"",IF(I5440="SBJ","CB","?"))</f>
        <v/>
      </c>
      <c r="I5440" s="24" t="str">
        <f aca="false">IF(OR(E5440="",E5440="!!!",F5440="NEW"),"",INDEX(B20:B$5421,-1+SUMPRODUCT(MAX(ROW(E20:E$5421)*(E5440=E20:E$5421)))))</f>
        <v/>
      </c>
      <c r="J5440" s="24" t="str">
        <f aca="true">IF(OR(E5440="",E5440="!!!",F5440="NEW"),"",COUNTBLANK(OFFSET(A$1,,,SUMPRODUCT(MAX(ROW(E$2:E5440)*(E5440=E$2:E5440)))))-COUNTBLANK(OFFSET(A$1,,,SUMPRODUCT(MAX(ROW(E$1:E5439)*(E2=E$1:E5439))))))</f>
        <v/>
      </c>
      <c r="K5440" s="24" t="str">
        <f aca="false">IF(OR(E5440="",E5440="!!!",F5440="NEW"),"",INDEX(J$1:J5439,SUMPRODUCT(MAX(ROW(E$1:E5439)*(E5440=E$1:E5439)))))</f>
        <v/>
      </c>
      <c r="L5440" s="31"/>
    </row>
    <row r="5441" customFormat="false" ht="15" hidden="false" customHeight="false" outlineLevel="0" collapsed="false">
      <c r="A5441" s="20" t="s">
        <v>1157</v>
      </c>
      <c r="E5441" s="23" t="str">
        <f aca="false">IF(D5441="?OLD","!!!","")</f>
        <v/>
      </c>
      <c r="F5441" s="25" t="str">
        <f aca="false">IF(OR(E5441="",E5441="!!!"),"",IF(NOT(ISNA(VLOOKUP(E5441,E$1:E5440,1,FALSE()))),"OLD",IF(AND(E5441&lt;&gt;"",E5441&lt;&gt;"!!!"),"NEW","")))</f>
        <v/>
      </c>
      <c r="G5441" s="26" t="str">
        <f aca="false">IF(OR(E5441="",E5441="!!!"),"",IF(OR(J5441=0,AND(J5441=1,K5441=1),AND(J5441=1,I5441="SBJ"),AND(J5441=1,I5441=0)),"?IN_FOCUS",IF(J5441&lt;=2,"?ACTIVATED",IF(J5441&lt;&gt;"","?FAMILIAR",IF(F5441="NEW",IF(ISNA(VLOOKUP(E5441,#REF!,1,FALSE())),"?TYPE_IDENTIFIABLE","?REFERENTIAL"),"_")))))</f>
        <v/>
      </c>
      <c r="H5441" s="27" t="str">
        <f aca="false">IF(J5441&lt;&gt;1,"",IF(I5441="SBJ","CB","?"))</f>
        <v/>
      </c>
      <c r="I5441" s="24" t="str">
        <f aca="false">IF(OR(E5441="",E5441="!!!",F5441="NEW"),"",INDEX(B21:B$5421,-1+SUMPRODUCT(MAX(ROW(E21:E$5421)*(E5441=E21:E$5421)))))</f>
        <v/>
      </c>
      <c r="J5441" s="24" t="str">
        <f aca="true">IF(OR(E5441="",E5441="!!!",F5441="NEW"),"",COUNTBLANK(OFFSET(A$1,,,SUMPRODUCT(MAX(ROW(E$2:E5441)*(E5441=E$2:E5441)))))-COUNTBLANK(OFFSET(A$1,,,SUMPRODUCT(MAX(ROW(E$1:E5440)*(E2=E$1:E5440))))))</f>
        <v/>
      </c>
      <c r="K5441" s="24" t="str">
        <f aca="false">IF(OR(E5441="",E5441="!!!",F5441="NEW"),"",INDEX(J$1:J5440,SUMPRODUCT(MAX(ROW(E$1:E5440)*(E5441=E$1:E5440)))))</f>
        <v/>
      </c>
      <c r="L5441" s="31"/>
    </row>
    <row r="5442" customFormat="false" ht="15" hidden="false" customHeight="false" outlineLevel="0" collapsed="false">
      <c r="A5442" s="20" t="s">
        <v>1186</v>
      </c>
      <c r="B5442" s="22" t="s">
        <v>1091</v>
      </c>
      <c r="C5442" s="22" t="s">
        <v>1082</v>
      </c>
      <c r="D5442" s="22" t="s">
        <v>1060</v>
      </c>
      <c r="E5442" s="23" t="str">
        <f aca="false">IF(D5442="?OLD","!!!","")</f>
        <v>!!!</v>
      </c>
      <c r="F5442" s="25" t="str">
        <f aca="false">IF(OR(E5442="",E5442="!!!"),"",IF(NOT(ISNA(VLOOKUP(E5442,E$1:E5441,1,FALSE()))),"OLD",IF(AND(E5442&lt;&gt;"",E5442&lt;&gt;"!!!"),"NEW","")))</f>
        <v/>
      </c>
      <c r="G5442" s="26" t="str">
        <f aca="false">IF(OR(E5442="",E5442="!!!"),"",IF(OR(J5442=0,AND(J5442=1,K5442=1),AND(J5442=1,I5442="SBJ"),AND(J5442=1,I5442=0)),"?IN_FOCUS",IF(J5442&lt;=2,"?ACTIVATED",IF(J5442&lt;&gt;"","?FAMILIAR",IF(F5442="NEW",IF(ISNA(VLOOKUP(E5442,#REF!,1,FALSE())),"?TYPE_IDENTIFIABLE","?REFERENTIAL"),"_")))))</f>
        <v/>
      </c>
      <c r="H5442" s="27" t="str">
        <f aca="false">IF(J5442&lt;&gt;1,"",IF(I5442="SBJ","CB","?"))</f>
        <v/>
      </c>
      <c r="I5442" s="24" t="str">
        <f aca="false">IF(OR(E5442="",E5442="!!!",F5442="NEW"),"",INDEX(B22:B$5421,-1+SUMPRODUCT(MAX(ROW(E22:E$5421)*(E5442=E22:E$5421)))))</f>
        <v/>
      </c>
      <c r="J5442" s="24" t="str">
        <f aca="true">IF(OR(E5442="",E5442="!!!",F5442="NEW"),"",COUNTBLANK(OFFSET(A$1,,,SUMPRODUCT(MAX(ROW(E$2:E5442)*(E5442=E$2:E5442)))))-COUNTBLANK(OFFSET(A$1,,,SUMPRODUCT(MAX(ROW(E$1:E5441)*(E2=E$1:E5441))))))</f>
        <v/>
      </c>
      <c r="K5442" s="24" t="str">
        <f aca="false">IF(OR(E5442="",E5442="!!!",F5442="NEW"),"",INDEX(J$1:J5441,SUMPRODUCT(MAX(ROW(E$1:E5441)*(E5442=E$1:E5441)))))</f>
        <v/>
      </c>
      <c r="L5442" s="31"/>
    </row>
    <row r="5443" customFormat="false" ht="15" hidden="false" customHeight="false" outlineLevel="0" collapsed="false">
      <c r="A5443" s="20" t="s">
        <v>2599</v>
      </c>
      <c r="B5443" s="22" t="s">
        <v>1091</v>
      </c>
      <c r="C5443" s="22" t="s">
        <v>1082</v>
      </c>
      <c r="D5443" s="22" t="s">
        <v>1060</v>
      </c>
      <c r="E5443" s="23" t="str">
        <f aca="false">IF(D5443="?OLD","!!!","")</f>
        <v>!!!</v>
      </c>
      <c r="F5443" s="25" t="str">
        <f aca="false">IF(OR(E5443="",E5443="!!!"),"",IF(NOT(ISNA(VLOOKUP(E5443,E$1:E5442,1,FALSE()))),"OLD",IF(AND(E5443&lt;&gt;"",E5443&lt;&gt;"!!!"),"NEW","")))</f>
        <v/>
      </c>
      <c r="G5443" s="26" t="str">
        <f aca="false">IF(OR(E5443="",E5443="!!!"),"",IF(OR(J5443=0,AND(J5443=1,K5443=1),AND(J5443=1,I5443="SBJ"),AND(J5443=1,I5443=0)),"?IN_FOCUS",IF(J5443&lt;=2,"?ACTIVATED",IF(J5443&lt;&gt;"","?FAMILIAR",IF(F5443="NEW",IF(ISNA(VLOOKUP(E5443,#REF!,1,FALSE())),"?TYPE_IDENTIFIABLE","?REFERENTIAL"),"_")))))</f>
        <v/>
      </c>
      <c r="H5443" s="27" t="str">
        <f aca="false">IF(J5443&lt;&gt;1,"",IF(I5443="SBJ","CB","?"))</f>
        <v/>
      </c>
      <c r="I5443" s="24" t="str">
        <f aca="false">IF(OR(E5443="",E5443="!!!",F5443="NEW"),"",INDEX(B23:B$5421,-1+SUMPRODUCT(MAX(ROW(E23:E$5421)*(E5443=E23:E$5421)))))</f>
        <v/>
      </c>
      <c r="J5443" s="24" t="str">
        <f aca="true">IF(OR(E5443="",E5443="!!!",F5443="NEW"),"",COUNTBLANK(OFFSET(A$1,,,SUMPRODUCT(MAX(ROW(E$2:E5443)*(E5443=E$2:E5443)))))-COUNTBLANK(OFFSET(A$1,,,SUMPRODUCT(MAX(ROW(E$1:E5442)*(E2=E$1:E5442))))))</f>
        <v/>
      </c>
      <c r="K5443" s="24" t="str">
        <f aca="false">IF(OR(E5443="",E5443="!!!",F5443="NEW"),"",INDEX(J$1:J5442,SUMPRODUCT(MAX(ROW(E$1:E5442)*(E5443=E$1:E5442)))))</f>
        <v/>
      </c>
      <c r="L5443" s="31"/>
    </row>
    <row r="5444" customFormat="false" ht="15" hidden="false" customHeight="false" outlineLevel="0" collapsed="false">
      <c r="A5444" s="20" t="s">
        <v>2052</v>
      </c>
      <c r="E5444" s="23" t="str">
        <f aca="false">IF(D5444="?OLD","!!!","")</f>
        <v/>
      </c>
      <c r="F5444" s="25" t="str">
        <f aca="false">IF(OR(E5444="",E5444="!!!"),"",IF(NOT(ISNA(VLOOKUP(E5444,E$1:E5443,1,FALSE()))),"OLD",IF(AND(E5444&lt;&gt;"",E5444&lt;&gt;"!!!"),"NEW","")))</f>
        <v/>
      </c>
      <c r="G5444" s="26" t="str">
        <f aca="false">IF(OR(E5444="",E5444="!!!"),"",IF(OR(J5444=0,AND(J5444=1,K5444=1),AND(J5444=1,I5444="SBJ"),AND(J5444=1,I5444=0)),"?IN_FOCUS",IF(J5444&lt;=2,"?ACTIVATED",IF(J5444&lt;&gt;"","?FAMILIAR",IF(F5444="NEW",IF(ISNA(VLOOKUP(E5444,#REF!,1,FALSE())),"?TYPE_IDENTIFIABLE","?REFERENTIAL"),"_")))))</f>
        <v/>
      </c>
      <c r="H5444" s="27" t="str">
        <f aca="false">IF(J5444&lt;&gt;1,"",IF(I5444="SBJ","CB","?"))</f>
        <v/>
      </c>
      <c r="I5444" s="24" t="str">
        <f aca="false">IF(OR(E5444="",E5444="!!!",F5444="NEW"),"",INDEX(B24:B$5421,-1+SUMPRODUCT(MAX(ROW(E24:E$5421)*(E5444=E24:E$5421)))))</f>
        <v/>
      </c>
      <c r="J5444" s="24" t="str">
        <f aca="true">IF(OR(E5444="",E5444="!!!",F5444="NEW"),"",COUNTBLANK(OFFSET(A$1,,,SUMPRODUCT(MAX(ROW(E$2:E5444)*(E5444=E$2:E5444)))))-COUNTBLANK(OFFSET(A$1,,,SUMPRODUCT(MAX(ROW(E$1:E5443)*(E2=E$1:E5443))))))</f>
        <v/>
      </c>
      <c r="K5444" s="24" t="str">
        <f aca="false">IF(OR(E5444="",E5444="!!!",F5444="NEW"),"",INDEX(J$1:J5443,SUMPRODUCT(MAX(ROW(E$1:E5443)*(E5444=E$1:E5443)))))</f>
        <v/>
      </c>
      <c r="L5444" s="31"/>
    </row>
    <row r="5445" customFormat="false" ht="15" hidden="false" customHeight="false" outlineLevel="0" collapsed="false">
      <c r="A5445" s="20" t="s">
        <v>576</v>
      </c>
      <c r="E5445" s="23" t="str">
        <f aca="false">IF(D5445="?OLD","!!!","")</f>
        <v/>
      </c>
      <c r="F5445" s="25" t="str">
        <f aca="false">IF(OR(E5445="",E5445="!!!"),"",IF(NOT(ISNA(VLOOKUP(E5445,E$1:E5444,1,FALSE()))),"OLD",IF(AND(E5445&lt;&gt;"",E5445&lt;&gt;"!!!"),"NEW","")))</f>
        <v/>
      </c>
      <c r="G5445" s="26" t="str">
        <f aca="false">IF(OR(E5445="",E5445="!!!"),"",IF(OR(J5445=0,AND(J5445=1,K5445=1),AND(J5445=1,I5445="SBJ"),AND(J5445=1,I5445=0)),"?IN_FOCUS",IF(J5445&lt;=2,"?ACTIVATED",IF(J5445&lt;&gt;"","?FAMILIAR",IF(F5445="NEW",IF(ISNA(VLOOKUP(E5445,#REF!,1,FALSE())),"?TYPE_IDENTIFIABLE","?REFERENTIAL"),"_")))))</f>
        <v/>
      </c>
      <c r="H5445" s="27" t="str">
        <f aca="false">IF(J5445&lt;&gt;1,"",IF(I5445="SBJ","CB","?"))</f>
        <v/>
      </c>
      <c r="I5445" s="24" t="str">
        <f aca="false">IF(OR(E5445="",E5445="!!!",F5445="NEW"),"",INDEX(B25:B$5421,-1+SUMPRODUCT(MAX(ROW(E25:E$5421)*(E5445=E25:E$5421)))))</f>
        <v/>
      </c>
      <c r="J5445" s="24" t="str">
        <f aca="true">IF(OR(E5445="",E5445="!!!",F5445="NEW"),"",COUNTBLANK(OFFSET(A$1,,,SUMPRODUCT(MAX(ROW(E$2:E5445)*(E5445=E$2:E5445)))))-COUNTBLANK(OFFSET(A$1,,,SUMPRODUCT(MAX(ROW(E$1:E5444)*(E2=E$1:E5444))))))</f>
        <v/>
      </c>
      <c r="K5445" s="24" t="str">
        <f aca="false">IF(OR(E5445="",E5445="!!!",F5445="NEW"),"",INDEX(J$1:J5444,SUMPRODUCT(MAX(ROW(E$1:E5444)*(E5445=E$1:E5444)))))</f>
        <v/>
      </c>
      <c r="L5445" s="31"/>
    </row>
    <row r="5446" customFormat="false" ht="15" hidden="false" customHeight="false" outlineLevel="0" collapsed="false">
      <c r="A5446" s="20" t="s">
        <v>2102</v>
      </c>
      <c r="E5446" s="23" t="str">
        <f aca="false">IF(D5446="?OLD","!!!","")</f>
        <v/>
      </c>
      <c r="F5446" s="25" t="str">
        <f aca="false">IF(OR(E5446="",E5446="!!!"),"",IF(NOT(ISNA(VLOOKUP(E5446,E$1:E5445,1,FALSE()))),"OLD",IF(AND(E5446&lt;&gt;"",E5446&lt;&gt;"!!!"),"NEW","")))</f>
        <v/>
      </c>
      <c r="G5446" s="26" t="str">
        <f aca="false">IF(OR(E5446="",E5446="!!!"),"",IF(OR(J5446=0,AND(J5446=1,K5446=1),AND(J5446=1,I5446="SBJ"),AND(J5446=1,I5446=0)),"?IN_FOCUS",IF(J5446&lt;=2,"?ACTIVATED",IF(J5446&lt;&gt;"","?FAMILIAR",IF(F5446="NEW",IF(ISNA(VLOOKUP(E5446,#REF!,1,FALSE())),"?TYPE_IDENTIFIABLE","?REFERENTIAL"),"_")))))</f>
        <v/>
      </c>
      <c r="H5446" s="27" t="str">
        <f aca="false">IF(J5446&lt;&gt;1,"",IF(I5446="SBJ","CB","?"))</f>
        <v/>
      </c>
      <c r="I5446" s="24" t="str">
        <f aca="false">IF(OR(E5446="",E5446="!!!",F5446="NEW"),"",INDEX(B26:B$5421,-1+SUMPRODUCT(MAX(ROW(E26:E$5421)*(E5446=E26:E$5421)))))</f>
        <v/>
      </c>
      <c r="J5446" s="24" t="str">
        <f aca="true">IF(OR(E5446="",E5446="!!!",F5446="NEW"),"",COUNTBLANK(OFFSET(A$1,,,SUMPRODUCT(MAX(ROW(E$2:E5446)*(E5446=E$2:E5446)))))-COUNTBLANK(OFFSET(A$1,,,SUMPRODUCT(MAX(ROW(E$1:E5445)*(E2=E$1:E5445))))))</f>
        <v/>
      </c>
      <c r="K5446" s="24" t="str">
        <f aca="false">IF(OR(E5446="",E5446="!!!",F5446="NEW"),"",INDEX(J$1:J5445,SUMPRODUCT(MAX(ROW(E$1:E5445)*(E5446=E$1:E5445)))))</f>
        <v/>
      </c>
      <c r="L5446" s="31"/>
    </row>
    <row r="5447" customFormat="false" ht="15" hidden="false" customHeight="false" outlineLevel="0" collapsed="false">
      <c r="A5447" s="20" t="s">
        <v>1076</v>
      </c>
      <c r="E5447" s="23" t="str">
        <f aca="false">IF(D5447="?OLD","!!!","")</f>
        <v/>
      </c>
      <c r="F5447" s="25" t="str">
        <f aca="false">IF(OR(E5447="",E5447="!!!"),"",IF(NOT(ISNA(VLOOKUP(E5447,E$1:E5446,1,FALSE()))),"OLD",IF(AND(E5447&lt;&gt;"",E5447&lt;&gt;"!!!"),"NEW","")))</f>
        <v/>
      </c>
      <c r="G5447" s="26" t="str">
        <f aca="false">IF(OR(E5447="",E5447="!!!"),"",IF(OR(J5447=0,AND(J5447=1,K5447=1),AND(J5447=1,I5447="SBJ"),AND(J5447=1,I5447=0)),"?IN_FOCUS",IF(J5447&lt;=2,"?ACTIVATED",IF(J5447&lt;&gt;"","?FAMILIAR",IF(F5447="NEW",IF(ISNA(VLOOKUP(E5447,#REF!,1,FALSE())),"?TYPE_IDENTIFIABLE","?REFERENTIAL"),"_")))))</f>
        <v/>
      </c>
      <c r="H5447" s="27" t="str">
        <f aca="false">IF(J5447&lt;&gt;1,"",IF(I5447="SBJ","CB","?"))</f>
        <v/>
      </c>
      <c r="I5447" s="24" t="str">
        <f aca="false">IF(OR(E5447="",E5447="!!!",F5447="NEW"),"",INDEX(B27:B$5421,-1+SUMPRODUCT(MAX(ROW(E27:E$5421)*(E5447=E27:E$5421)))))</f>
        <v/>
      </c>
      <c r="J5447" s="24" t="str">
        <f aca="true">IF(OR(E5447="",E5447="!!!",F5447="NEW"),"",COUNTBLANK(OFFSET(A$1,,,SUMPRODUCT(MAX(ROW(E$2:E5447)*(E5447=E$2:E5447)))))-COUNTBLANK(OFFSET(A$1,,,SUMPRODUCT(MAX(ROW(E$1:E5446)*(E2=E$1:E5446))))))</f>
        <v/>
      </c>
      <c r="K5447" s="24" t="str">
        <f aca="false">IF(OR(E5447="",E5447="!!!",F5447="NEW"),"",INDEX(J$1:J5446,SUMPRODUCT(MAX(ROW(E$1:E5446)*(E5447=E$1:E5446)))))</f>
        <v/>
      </c>
      <c r="L5447" s="31"/>
    </row>
    <row r="5448" customFormat="false" ht="15" hidden="false" customHeight="false" outlineLevel="0" collapsed="false">
      <c r="A5448" s="20" t="s">
        <v>1215</v>
      </c>
      <c r="E5448" s="23" t="str">
        <f aca="false">IF(D5448="?OLD","!!!","")</f>
        <v/>
      </c>
      <c r="F5448" s="25" t="str">
        <f aca="false">IF(OR(E5448="",E5448="!!!"),"",IF(NOT(ISNA(VLOOKUP(E5448,E$1:E5447,1,FALSE()))),"OLD",IF(AND(E5448&lt;&gt;"",E5448&lt;&gt;"!!!"),"NEW","")))</f>
        <v/>
      </c>
      <c r="G5448" s="26" t="str">
        <f aca="false">IF(OR(E5448="",E5448="!!!"),"",IF(OR(J5448=0,AND(J5448=1,K5448=1),AND(J5448=1,I5448="SBJ"),AND(J5448=1,I5448=0)),"?IN_FOCUS",IF(J5448&lt;=2,"?ACTIVATED",IF(J5448&lt;&gt;"","?FAMILIAR",IF(F5448="NEW",IF(ISNA(VLOOKUP(E5448,#REF!,1,FALSE())),"?TYPE_IDENTIFIABLE","?REFERENTIAL"),"_")))))</f>
        <v/>
      </c>
      <c r="H5448" s="27" t="str">
        <f aca="false">IF(J5448&lt;&gt;1,"",IF(I5448="SBJ","CB","?"))</f>
        <v/>
      </c>
      <c r="I5448" s="24" t="str">
        <f aca="false">IF(OR(E5448="",E5448="!!!",F5448="NEW"),"",INDEX(B28:B$5421,-1+SUMPRODUCT(MAX(ROW(E28:E$5421)*(E5448=E28:E$5421)))))</f>
        <v/>
      </c>
      <c r="J5448" s="24" t="str">
        <f aca="true">IF(OR(E5448="",E5448="!!!",F5448="NEW"),"",COUNTBLANK(OFFSET(A$1,,,SUMPRODUCT(MAX(ROW(E$2:E5448)*(E5448=E$2:E5448)))))-COUNTBLANK(OFFSET(A$1,,,SUMPRODUCT(MAX(ROW(E$1:E5447)*(E2=E$1:E5447))))))</f>
        <v/>
      </c>
      <c r="K5448" s="24" t="str">
        <f aca="false">IF(OR(E5448="",E5448="!!!",F5448="NEW"),"",INDEX(J$1:J5447,SUMPRODUCT(MAX(ROW(E$1:E5447)*(E5448=E$1:E5447)))))</f>
        <v/>
      </c>
      <c r="L5448" s="31"/>
    </row>
    <row r="5449" customFormat="false" ht="15" hidden="false" customHeight="false" outlineLevel="0" collapsed="false">
      <c r="A5449" s="20" t="s">
        <v>1090</v>
      </c>
      <c r="B5449" s="22" t="s">
        <v>1086</v>
      </c>
      <c r="C5449" s="22" t="s">
        <v>1082</v>
      </c>
      <c r="D5449" s="22" t="s">
        <v>1060</v>
      </c>
      <c r="E5449" s="23" t="str">
        <f aca="false">IF(D5449="?OLD","!!!","")</f>
        <v>!!!</v>
      </c>
      <c r="F5449" s="25" t="str">
        <f aca="false">IF(OR(E5449="",E5449="!!!"),"",IF(NOT(ISNA(VLOOKUP(E5449,E$1:E5448,1,FALSE()))),"OLD",IF(AND(E5449&lt;&gt;"",E5449&lt;&gt;"!!!"),"NEW","")))</f>
        <v/>
      </c>
      <c r="G5449" s="26" t="str">
        <f aca="false">IF(OR(E5449="",E5449="!!!"),"",IF(OR(J5449=0,AND(J5449=1,K5449=1),AND(J5449=1,I5449="SBJ"),AND(J5449=1,I5449=0)),"?IN_FOCUS",IF(J5449&lt;=2,"?ACTIVATED",IF(J5449&lt;&gt;"","?FAMILIAR",IF(F5449="NEW",IF(ISNA(VLOOKUP(E5449,#REF!,1,FALSE())),"?TYPE_IDENTIFIABLE","?REFERENTIAL"),"_")))))</f>
        <v/>
      </c>
      <c r="H5449" s="27" t="str">
        <f aca="false">IF(J5449&lt;&gt;1,"",IF(I5449="SBJ","CB","?"))</f>
        <v/>
      </c>
      <c r="I5449" s="24" t="str">
        <f aca="false">IF(OR(E5449="",E5449="!!!",F5449="NEW"),"",INDEX(B29:B$5421,-1+SUMPRODUCT(MAX(ROW(E29:E$5421)*(E5449=E29:E$5421)))))</f>
        <v/>
      </c>
      <c r="J5449" s="24" t="str">
        <f aca="true">IF(OR(E5449="",E5449="!!!",F5449="NEW"),"",COUNTBLANK(OFFSET(A$1,,,SUMPRODUCT(MAX(ROW(E$2:E5449)*(E5449=E$2:E5449)))))-COUNTBLANK(OFFSET(A$1,,,SUMPRODUCT(MAX(ROW(E$1:E5448)*(E2=E$1:E5448))))))</f>
        <v/>
      </c>
      <c r="K5449" s="24" t="str">
        <f aca="false">IF(OR(E5449="",E5449="!!!",F5449="NEW"),"",INDEX(J$1:J5448,SUMPRODUCT(MAX(ROW(E$1:E5448)*(E5449=E$1:E5448)))))</f>
        <v/>
      </c>
      <c r="L5449" s="31"/>
    </row>
    <row r="5450" customFormat="false" ht="15" hidden="false" customHeight="false" outlineLevel="0" collapsed="false">
      <c r="A5450" s="20" t="s">
        <v>1544</v>
      </c>
      <c r="E5450" s="23" t="str">
        <f aca="false">IF(D5450="?OLD","!!!","")</f>
        <v/>
      </c>
      <c r="F5450" s="25" t="str">
        <f aca="false">IF(OR(E5450="",E5450="!!!"),"",IF(NOT(ISNA(VLOOKUP(E5450,E$1:E5449,1,FALSE()))),"OLD",IF(AND(E5450&lt;&gt;"",E5450&lt;&gt;"!!!"),"NEW","")))</f>
        <v/>
      </c>
      <c r="G5450" s="26" t="str">
        <f aca="false">IF(OR(E5450="",E5450="!!!"),"",IF(OR(J5450=0,AND(J5450=1,K5450=1),AND(J5450=1,I5450="SBJ"),AND(J5450=1,I5450=0)),"?IN_FOCUS",IF(J5450&lt;=2,"?ACTIVATED",IF(J5450&lt;&gt;"","?FAMILIAR",IF(F5450="NEW",IF(ISNA(VLOOKUP(E5450,#REF!,1,FALSE())),"?TYPE_IDENTIFIABLE","?REFERENTIAL"),"_")))))</f>
        <v/>
      </c>
      <c r="H5450" s="27" t="str">
        <f aca="false">IF(J5450&lt;&gt;1,"",IF(I5450="SBJ","CB","?"))</f>
        <v/>
      </c>
      <c r="I5450" s="24" t="str">
        <f aca="false">IF(OR(E5450="",E5450="!!!",F5450="NEW"),"",INDEX(B30:B$5421,-1+SUMPRODUCT(MAX(ROW(E30:E$5421)*(E5450=E30:E$5421)))))</f>
        <v/>
      </c>
      <c r="J5450" s="24" t="str">
        <f aca="true">IF(OR(E5450="",E5450="!!!",F5450="NEW"),"",COUNTBLANK(OFFSET(A$1,,,SUMPRODUCT(MAX(ROW(E$2:E5450)*(E5450=E$2:E5450)))))-COUNTBLANK(OFFSET(A$1,,,SUMPRODUCT(MAX(ROW(E$1:E5449)*(E2=E$1:E5449))))))</f>
        <v/>
      </c>
      <c r="K5450" s="24" t="str">
        <f aca="false">IF(OR(E5450="",E5450="!!!",F5450="NEW"),"",INDEX(J$1:J5449,SUMPRODUCT(MAX(ROW(E$1:E5449)*(E5450=E$1:E5449)))))</f>
        <v/>
      </c>
      <c r="L5450" s="31"/>
    </row>
    <row r="5451" customFormat="false" ht="15" hidden="false" customHeight="false" outlineLevel="0" collapsed="false">
      <c r="A5451" s="20" t="s">
        <v>1860</v>
      </c>
      <c r="E5451" s="23" t="str">
        <f aca="false">IF(D5451="?OLD","!!!","")</f>
        <v/>
      </c>
      <c r="F5451" s="25" t="str">
        <f aca="false">IF(OR(E5451="",E5451="!!!"),"",IF(NOT(ISNA(VLOOKUP(E5451,E$1:E5450,1,FALSE()))),"OLD",IF(AND(E5451&lt;&gt;"",E5451&lt;&gt;"!!!"),"NEW","")))</f>
        <v/>
      </c>
      <c r="G5451" s="26" t="str">
        <f aca="false">IF(OR(E5451="",E5451="!!!"),"",IF(OR(J5451=0,AND(J5451=1,K5451=1),AND(J5451=1,I5451="SBJ"),AND(J5451=1,I5451=0)),"?IN_FOCUS",IF(J5451&lt;=2,"?ACTIVATED",IF(J5451&lt;&gt;"","?FAMILIAR",IF(F5451="NEW",IF(ISNA(VLOOKUP(E5451,#REF!,1,FALSE())),"?TYPE_IDENTIFIABLE","?REFERENTIAL"),"_")))))</f>
        <v/>
      </c>
      <c r="H5451" s="27" t="str">
        <f aca="false">IF(J5451&lt;&gt;1,"",IF(I5451="SBJ","CB","?"))</f>
        <v/>
      </c>
      <c r="I5451" s="24" t="str">
        <f aca="false">IF(OR(E5451="",E5451="!!!",F5451="NEW"),"",INDEX(B31:B$5421,-1+SUMPRODUCT(MAX(ROW(E31:E$5421)*(E5451=E31:E$5421)))))</f>
        <v/>
      </c>
      <c r="J5451" s="24" t="str">
        <f aca="true">IF(OR(E5451="",E5451="!!!",F5451="NEW"),"",COUNTBLANK(OFFSET(A$1,,,SUMPRODUCT(MAX(ROW(E$2:E5451)*(E5451=E$2:E5451)))))-COUNTBLANK(OFFSET(A$1,,,SUMPRODUCT(MAX(ROW(E$1:E5450)*(E2=E$1:E5450))))))</f>
        <v/>
      </c>
      <c r="K5451" s="24" t="str">
        <f aca="false">IF(OR(E5451="",E5451="!!!",F5451="NEW"),"",INDEX(J$1:J5450,SUMPRODUCT(MAX(ROW(E$1:E5450)*(E5451=E$1:E5450)))))</f>
        <v/>
      </c>
      <c r="L5451" s="31"/>
    </row>
    <row r="5452" customFormat="false" ht="15" hidden="false" customHeight="false" outlineLevel="0" collapsed="false">
      <c r="A5452" s="20" t="s">
        <v>1085</v>
      </c>
      <c r="E5452" s="23" t="str">
        <f aca="false">IF(D5452="?OLD","!!!","")</f>
        <v/>
      </c>
      <c r="F5452" s="25" t="str">
        <f aca="false">IF(OR(E5452="",E5452="!!!"),"",IF(NOT(ISNA(VLOOKUP(E5452,E$1:E5451,1,FALSE()))),"OLD",IF(AND(E5452&lt;&gt;"",E5452&lt;&gt;"!!!"),"NEW","")))</f>
        <v/>
      </c>
      <c r="G5452" s="26" t="str">
        <f aca="false">IF(OR(E5452="",E5452="!!!"),"",IF(OR(J5452=0,AND(J5452=1,K5452=1),AND(J5452=1,I5452="SBJ"),AND(J5452=1,I5452=0)),"?IN_FOCUS",IF(J5452&lt;=2,"?ACTIVATED",IF(J5452&lt;&gt;"","?FAMILIAR",IF(F5452="NEW",IF(ISNA(VLOOKUP(E5452,#REF!,1,FALSE())),"?TYPE_IDENTIFIABLE","?REFERENTIAL"),"_")))))</f>
        <v/>
      </c>
      <c r="H5452" s="27" t="str">
        <f aca="false">IF(J5452&lt;&gt;1,"",IF(I5452="SBJ","CB","?"))</f>
        <v/>
      </c>
      <c r="I5452" s="24" t="str">
        <f aca="false">IF(OR(E5452="",E5452="!!!",F5452="NEW"),"",INDEX(B32:B$5421,-1+SUMPRODUCT(MAX(ROW(E32:E$5421)*(E5452=E32:E$5421)))))</f>
        <v/>
      </c>
      <c r="J5452" s="24" t="str">
        <f aca="true">IF(OR(E5452="",E5452="!!!",F5452="NEW"),"",COUNTBLANK(OFFSET(A$1,,,SUMPRODUCT(MAX(ROW(E$2:E5452)*(E5452=E$2:E5452)))))-COUNTBLANK(OFFSET(A$1,,,SUMPRODUCT(MAX(ROW(E$1:E5451)*(E2=E$1:E5451))))))</f>
        <v/>
      </c>
      <c r="K5452" s="24" t="str">
        <f aca="false">IF(OR(E5452="",E5452="!!!",F5452="NEW"),"",INDEX(J$1:J5451,SUMPRODUCT(MAX(ROW(E$1:E5451)*(E5452=E$1:E5451)))))</f>
        <v/>
      </c>
      <c r="L5452" s="31"/>
    </row>
    <row r="5453" customFormat="false" ht="15" hidden="false" customHeight="false" outlineLevel="0" collapsed="false">
      <c r="A5453" s="20" t="s">
        <v>1890</v>
      </c>
      <c r="B5453" s="22" t="s">
        <v>1142</v>
      </c>
      <c r="C5453" s="22" t="s">
        <v>1132</v>
      </c>
      <c r="E5453" s="23" t="str">
        <f aca="false">IF(D5453="?OLD","!!!","")</f>
        <v/>
      </c>
      <c r="F5453" s="25" t="str">
        <f aca="false">IF(OR(E5453="",E5453="!!!"),"",IF(NOT(ISNA(VLOOKUP(E5453,E$1:E5452,1,FALSE()))),"OLD",IF(AND(E5453&lt;&gt;"",E5453&lt;&gt;"!!!"),"NEW","")))</f>
        <v/>
      </c>
      <c r="G5453" s="26" t="str">
        <f aca="false">IF(OR(E5453="",E5453="!!!"),"",IF(OR(J5453=0,AND(J5453=1,K5453=1),AND(J5453=1,I5453="SBJ"),AND(J5453=1,I5453=0)),"?IN_FOCUS",IF(J5453&lt;=2,"?ACTIVATED",IF(J5453&lt;&gt;"","?FAMILIAR",IF(F5453="NEW",IF(ISNA(VLOOKUP(E5453,#REF!,1,FALSE())),"?TYPE_IDENTIFIABLE","?REFERENTIAL"),"_")))))</f>
        <v/>
      </c>
      <c r="H5453" s="27" t="str">
        <f aca="false">IF(J5453&lt;&gt;1,"",IF(I5453="SBJ","CB","?"))</f>
        <v/>
      </c>
      <c r="I5453" s="24" t="str">
        <f aca="false">IF(OR(E5453="",E5453="!!!",F5453="NEW"),"",INDEX(B33:B$5421,-1+SUMPRODUCT(MAX(ROW(E33:E$5421)*(E5453=E33:E$5421)))))</f>
        <v/>
      </c>
      <c r="J5453" s="24" t="str">
        <f aca="true">IF(OR(E5453="",E5453="!!!",F5453="NEW"),"",COUNTBLANK(OFFSET(A$1,,,SUMPRODUCT(MAX(ROW(E$2:E5453)*(E5453=E$2:E5453)))))-COUNTBLANK(OFFSET(A$1,,,SUMPRODUCT(MAX(ROW(E$1:E5452)*(E2=E$1:E5452))))))</f>
        <v/>
      </c>
      <c r="K5453" s="24" t="str">
        <f aca="false">IF(OR(E5453="",E5453="!!!",F5453="NEW"),"",INDEX(J$1:J5452,SUMPRODUCT(MAX(ROW(E$1:E5452)*(E5453=E$1:E5452)))))</f>
        <v/>
      </c>
      <c r="L5453" s="31"/>
    </row>
    <row r="5454" customFormat="false" ht="15" hidden="false" customHeight="false" outlineLevel="0" collapsed="false">
      <c r="A5454" s="20" t="s">
        <v>2600</v>
      </c>
      <c r="E5454" s="23" t="str">
        <f aca="false">IF(D5454="?OLD","!!!","")</f>
        <v/>
      </c>
      <c r="F5454" s="25" t="str">
        <f aca="false">IF(OR(E5454="",E5454="!!!"),"",IF(NOT(ISNA(VLOOKUP(E5454,E$1:E5453,1,FALSE()))),"OLD",IF(AND(E5454&lt;&gt;"",E5454&lt;&gt;"!!!"),"NEW","")))</f>
        <v/>
      </c>
      <c r="G5454" s="26" t="str">
        <f aca="false">IF(OR(E5454="",E5454="!!!"),"",IF(OR(J5454=0,AND(J5454=1,K5454=1),AND(J5454=1,I5454="SBJ"),AND(J5454=1,I5454=0)),"?IN_FOCUS",IF(J5454&lt;=2,"?ACTIVATED",IF(J5454&lt;&gt;"","?FAMILIAR",IF(F5454="NEW",IF(ISNA(VLOOKUP(E5454,#REF!,1,FALSE())),"?TYPE_IDENTIFIABLE","?REFERENTIAL"),"_")))))</f>
        <v/>
      </c>
      <c r="H5454" s="27" t="str">
        <f aca="false">IF(J5454&lt;&gt;1,"",IF(I5454="SBJ","CB","?"))</f>
        <v/>
      </c>
      <c r="I5454" s="24" t="str">
        <f aca="false">IF(OR(E5454="",E5454="!!!",F5454="NEW"),"",INDEX(B34:B$5421,-1+SUMPRODUCT(MAX(ROW(E34:E$5421)*(E5454=E34:E$5421)))))</f>
        <v/>
      </c>
      <c r="J5454" s="24" t="str">
        <f aca="true">IF(OR(E5454="",E5454="!!!",F5454="NEW"),"",COUNTBLANK(OFFSET(A$1,,,SUMPRODUCT(MAX(ROW(E$2:E5454)*(E5454=E$2:E5454)))))-COUNTBLANK(OFFSET(A$1,,,SUMPRODUCT(MAX(ROW(E$1:E5453)*(E2=E$1:E5453))))))</f>
        <v/>
      </c>
      <c r="K5454" s="24" t="str">
        <f aca="false">IF(OR(E5454="",E5454="!!!",F5454="NEW"),"",INDEX(J$1:J5453,SUMPRODUCT(MAX(ROW(E$1:E5453)*(E5454=E$1:E5453)))))</f>
        <v/>
      </c>
      <c r="L5454" s="31"/>
    </row>
    <row r="5455" customFormat="false" ht="15" hidden="false" customHeight="false" outlineLevel="0" collapsed="false">
      <c r="A5455" s="20" t="s">
        <v>1475</v>
      </c>
      <c r="E5455" s="23" t="str">
        <f aca="false">IF(D5455="?OLD","!!!","")</f>
        <v/>
      </c>
      <c r="F5455" s="25" t="str">
        <f aca="false">IF(OR(E5455="",E5455="!!!"),"",IF(NOT(ISNA(VLOOKUP(E5455,E$1:E5454,1,FALSE()))),"OLD",IF(AND(E5455&lt;&gt;"",E5455&lt;&gt;"!!!"),"NEW","")))</f>
        <v/>
      </c>
      <c r="G5455" s="26" t="str">
        <f aca="false">IF(OR(E5455="",E5455="!!!"),"",IF(OR(J5455=0,AND(J5455=1,K5455=1),AND(J5455=1,I5455="SBJ"),AND(J5455=1,I5455=0)),"?IN_FOCUS",IF(J5455&lt;=2,"?ACTIVATED",IF(J5455&lt;&gt;"","?FAMILIAR",IF(F5455="NEW",IF(ISNA(VLOOKUP(E5455,#REF!,1,FALSE())),"?TYPE_IDENTIFIABLE","?REFERENTIAL"),"_")))))</f>
        <v/>
      </c>
      <c r="H5455" s="27" t="str">
        <f aca="false">IF(J5455&lt;&gt;1,"",IF(I5455="SBJ","CB","?"))</f>
        <v/>
      </c>
      <c r="I5455" s="24" t="str">
        <f aca="false">IF(OR(E5455="",E5455="!!!",F5455="NEW"),"",INDEX(B35:B$5421,-1+SUMPRODUCT(MAX(ROW(E35:E$5421)*(E5455=E35:E$5421)))))</f>
        <v/>
      </c>
      <c r="J5455" s="24" t="str">
        <f aca="true">IF(OR(E5455="",E5455="!!!",F5455="NEW"),"",COUNTBLANK(OFFSET(A$1,,,SUMPRODUCT(MAX(ROW(E$2:E5455)*(E5455=E$2:E5455)))))-COUNTBLANK(OFFSET(A$1,,,SUMPRODUCT(MAX(ROW(E$1:E5454)*(E2=E$1:E5454))))))</f>
        <v/>
      </c>
      <c r="K5455" s="24" t="str">
        <f aca="false">IF(OR(E5455="",E5455="!!!",F5455="NEW"),"",INDEX(J$1:J5454,SUMPRODUCT(MAX(ROW(E$1:E5454)*(E5455=E$1:E5454)))))</f>
        <v/>
      </c>
      <c r="L5455" s="31"/>
    </row>
    <row r="5456" customFormat="false" ht="15" hidden="false" customHeight="false" outlineLevel="0" collapsed="false">
      <c r="A5456" s="20" t="s">
        <v>1109</v>
      </c>
      <c r="E5456" s="23" t="str">
        <f aca="false">IF(D5456="?OLD","!!!","")</f>
        <v/>
      </c>
      <c r="F5456" s="25" t="str">
        <f aca="false">IF(OR(E5456="",E5456="!!!"),"",IF(NOT(ISNA(VLOOKUP(E5456,E$1:E5455,1,FALSE()))),"OLD",IF(AND(E5456&lt;&gt;"",E5456&lt;&gt;"!!!"),"NEW","")))</f>
        <v/>
      </c>
      <c r="G5456" s="26" t="str">
        <f aca="false">IF(OR(E5456="",E5456="!!!"),"",IF(OR(J5456=0,AND(J5456=1,K5456=1),AND(J5456=1,I5456="SBJ"),AND(J5456=1,I5456=0)),"?IN_FOCUS",IF(J5456&lt;=2,"?ACTIVATED",IF(J5456&lt;&gt;"","?FAMILIAR",IF(F5456="NEW",IF(ISNA(VLOOKUP(E5456,#REF!,1,FALSE())),"?TYPE_IDENTIFIABLE","?REFERENTIAL"),"_")))))</f>
        <v/>
      </c>
      <c r="H5456" s="27" t="str">
        <f aca="false">IF(J5456&lt;&gt;1,"",IF(I5456="SBJ","CB","?"))</f>
        <v/>
      </c>
      <c r="I5456" s="24" t="str">
        <f aca="false">IF(OR(E5456="",E5456="!!!",F5456="NEW"),"",INDEX(B36:B$5421,-1+SUMPRODUCT(MAX(ROW(E36:E$5421)*(E5456=E36:E$5421)))))</f>
        <v/>
      </c>
      <c r="J5456" s="24" t="str">
        <f aca="true">IF(OR(E5456="",E5456="!!!",F5456="NEW"),"",COUNTBLANK(OFFSET(A$1,,,SUMPRODUCT(MAX(ROW(E$2:E5456)*(E5456=E$2:E5456)))))-COUNTBLANK(OFFSET(A$1,,,SUMPRODUCT(MAX(ROW(E$1:E5455)*(E2=E$1:E5455))))))</f>
        <v/>
      </c>
      <c r="K5456" s="24" t="str">
        <f aca="false">IF(OR(E5456="",E5456="!!!",F5456="NEW"),"",INDEX(J$1:J5455,SUMPRODUCT(MAX(ROW(E$1:E5455)*(E5456=E$1:E5455)))))</f>
        <v/>
      </c>
      <c r="L5456" s="31"/>
    </row>
    <row r="5457" customFormat="false" ht="15" hidden="false" customHeight="false" outlineLevel="0" collapsed="false">
      <c r="A5457" s="20" t="s">
        <v>1174</v>
      </c>
      <c r="B5457" s="22" t="s">
        <v>1107</v>
      </c>
      <c r="C5457" s="22" t="s">
        <v>1150</v>
      </c>
      <c r="D5457" s="22" t="s">
        <v>1060</v>
      </c>
      <c r="E5457" s="23" t="str">
        <f aca="false">IF(D5457="?OLD","!!!","")</f>
        <v>!!!</v>
      </c>
      <c r="F5457" s="25" t="str">
        <f aca="false">IF(OR(E5457="",E5457="!!!"),"",IF(NOT(ISNA(VLOOKUP(E5457,E$1:E5456,1,FALSE()))),"OLD",IF(AND(E5457&lt;&gt;"",E5457&lt;&gt;"!!!"),"NEW","")))</f>
        <v/>
      </c>
      <c r="G5457" s="26" t="str">
        <f aca="false">IF(OR(E5457="",E5457="!!!"),"",IF(OR(J5457=0,AND(J5457=1,K5457=1),AND(J5457=1,I5457="SBJ"),AND(J5457=1,I5457=0)),"?IN_FOCUS",IF(J5457&lt;=2,"?ACTIVATED",IF(J5457&lt;&gt;"","?FAMILIAR",IF(F5457="NEW",IF(ISNA(VLOOKUP(E5457,#REF!,1,FALSE())),"?TYPE_IDENTIFIABLE","?REFERENTIAL"),"_")))))</f>
        <v/>
      </c>
      <c r="H5457" s="27" t="str">
        <f aca="false">IF(J5457&lt;&gt;1,"",IF(I5457="SBJ","CB","?"))</f>
        <v/>
      </c>
      <c r="I5457" s="24" t="str">
        <f aca="false">IF(OR(E5457="",E5457="!!!",F5457="NEW"),"",INDEX(B37:B$5421,-1+SUMPRODUCT(MAX(ROW(E37:E$5421)*(E5457=E37:E$5421)))))</f>
        <v/>
      </c>
      <c r="J5457" s="24" t="str">
        <f aca="true">IF(OR(E5457="",E5457="!!!",F5457="NEW"),"",COUNTBLANK(OFFSET(A$1,,,SUMPRODUCT(MAX(ROW(E$2:E5457)*(E5457=E$2:E5457)))))-COUNTBLANK(OFFSET(A$1,,,SUMPRODUCT(MAX(ROW(E$1:E5456)*(E2=E$1:E5456))))))</f>
        <v/>
      </c>
      <c r="K5457" s="24" t="str">
        <f aca="false">IF(OR(E5457="",E5457="!!!",F5457="NEW"),"",INDEX(J$1:J5456,SUMPRODUCT(MAX(ROW(E$1:E5456)*(E5457=E$1:E5456)))))</f>
        <v/>
      </c>
      <c r="L5457" s="31"/>
    </row>
    <row r="5458" customFormat="false" ht="15" hidden="false" customHeight="false" outlineLevel="0" collapsed="false">
      <c r="A5458" s="20" t="s">
        <v>1064</v>
      </c>
      <c r="E5458" s="23" t="str">
        <f aca="false">IF(D5458="?OLD","!!!","")</f>
        <v/>
      </c>
      <c r="F5458" s="25" t="str">
        <f aca="false">IF(OR(E5458="",E5458="!!!"),"",IF(NOT(ISNA(VLOOKUP(E5458,E$1:E5457,1,FALSE()))),"OLD",IF(AND(E5458&lt;&gt;"",E5458&lt;&gt;"!!!"),"NEW","")))</f>
        <v/>
      </c>
      <c r="G5458" s="26" t="str">
        <f aca="false">IF(OR(E5458="",E5458="!!!"),"",IF(OR(J5458=0,AND(J5458=1,K5458=1),AND(J5458=1,I5458="SBJ"),AND(J5458=1,I5458=0)),"?IN_FOCUS",IF(J5458&lt;=2,"?ACTIVATED",IF(J5458&lt;&gt;"","?FAMILIAR",IF(F5458="NEW",IF(ISNA(VLOOKUP(E5458,#REF!,1,FALSE())),"?TYPE_IDENTIFIABLE","?REFERENTIAL"),"_")))))</f>
        <v/>
      </c>
      <c r="H5458" s="27" t="str">
        <f aca="false">IF(J5458&lt;&gt;1,"",IF(I5458="SBJ","CB","?"))</f>
        <v/>
      </c>
      <c r="I5458" s="24" t="str">
        <f aca="false">IF(OR(E5458="",E5458="!!!",F5458="NEW"),"",INDEX(B38:B$5421,-1+SUMPRODUCT(MAX(ROW(E38:E$5421)*(E5458=E38:E$5421)))))</f>
        <v/>
      </c>
      <c r="J5458" s="24" t="str">
        <f aca="true">IF(OR(E5458="",E5458="!!!",F5458="NEW"),"",COUNTBLANK(OFFSET(A$1,,,SUMPRODUCT(MAX(ROW(E$2:E5458)*(E5458=E$2:E5458)))))-COUNTBLANK(OFFSET(A$1,,,SUMPRODUCT(MAX(ROW(E$1:E5457)*(E2=E$1:E5457))))))</f>
        <v/>
      </c>
      <c r="K5458" s="24" t="str">
        <f aca="false">IF(OR(E5458="",E5458="!!!",F5458="NEW"),"",INDEX(J$1:J5457,SUMPRODUCT(MAX(ROW(E$1:E5457)*(E5458=E$1:E5457)))))</f>
        <v/>
      </c>
      <c r="L5458" s="31"/>
    </row>
    <row r="5459" customFormat="false" ht="15" hidden="false" customHeight="false" outlineLevel="0" collapsed="false">
      <c r="A5459" s="20" t="s">
        <v>1109</v>
      </c>
      <c r="E5459" s="23" t="str">
        <f aca="false">IF(D5459="?OLD","!!!","")</f>
        <v/>
      </c>
      <c r="F5459" s="25" t="str">
        <f aca="false">IF(OR(E5459="",E5459="!!!"),"",IF(NOT(ISNA(VLOOKUP(E5459,E$1:E5458,1,FALSE()))),"OLD",IF(AND(E5459&lt;&gt;"",E5459&lt;&gt;"!!!"),"NEW","")))</f>
        <v/>
      </c>
      <c r="G5459" s="26" t="str">
        <f aca="false">IF(OR(E5459="",E5459="!!!"),"",IF(OR(J5459=0,AND(J5459=1,K5459=1),AND(J5459=1,I5459="SBJ"),AND(J5459=1,I5459=0)),"?IN_FOCUS",IF(J5459&lt;=2,"?ACTIVATED",IF(J5459&lt;&gt;"","?FAMILIAR",IF(F5459="NEW",IF(ISNA(VLOOKUP(E5459,#REF!,1,FALSE())),"?TYPE_IDENTIFIABLE","?REFERENTIAL"),"_")))))</f>
        <v/>
      </c>
      <c r="H5459" s="27" t="str">
        <f aca="false">IF(J5459&lt;&gt;1,"",IF(I5459="SBJ","CB","?"))</f>
        <v/>
      </c>
      <c r="I5459" s="24" t="str">
        <f aca="false">IF(OR(E5459="",E5459="!!!",F5459="NEW"),"",INDEX(B39:B$5421,-1+SUMPRODUCT(MAX(ROW(E39:E$5421)*(E5459=E39:E$5421)))))</f>
        <v/>
      </c>
      <c r="J5459" s="24" t="str">
        <f aca="true">IF(OR(E5459="",E5459="!!!",F5459="NEW"),"",COUNTBLANK(OFFSET(A$1,,,SUMPRODUCT(MAX(ROW(E$2:E5459)*(E5459=E$2:E5459)))))-COUNTBLANK(OFFSET(A$1,,,SUMPRODUCT(MAX(ROW(E$1:E5458)*(E2=E$1:E5458))))))</f>
        <v/>
      </c>
      <c r="K5459" s="24" t="str">
        <f aca="false">IF(OR(E5459="",E5459="!!!",F5459="NEW"),"",INDEX(J$1:J5458,SUMPRODUCT(MAX(ROW(E$1:E5458)*(E5459=E$1:E5458)))))</f>
        <v/>
      </c>
      <c r="L5459" s="31"/>
    </row>
    <row r="5460" customFormat="false" ht="15" hidden="false" customHeight="false" outlineLevel="0" collapsed="false">
      <c r="A5460" s="20" t="s">
        <v>1223</v>
      </c>
      <c r="B5460" s="22" t="s">
        <v>1098</v>
      </c>
      <c r="C5460" s="22" t="s">
        <v>1150</v>
      </c>
      <c r="D5460" s="22" t="s">
        <v>1060</v>
      </c>
      <c r="E5460" s="23" t="str">
        <f aca="false">IF(D5460="?OLD","!!!","")</f>
        <v>!!!</v>
      </c>
      <c r="F5460" s="25" t="str">
        <f aca="false">IF(OR(E5460="",E5460="!!!"),"",IF(NOT(ISNA(VLOOKUP(E5460,E$1:E5459,1,FALSE()))),"OLD",IF(AND(E5460&lt;&gt;"",E5460&lt;&gt;"!!!"),"NEW","")))</f>
        <v/>
      </c>
      <c r="G5460" s="26" t="str">
        <f aca="false">IF(OR(E5460="",E5460="!!!"),"",IF(OR(J5460=0,AND(J5460=1,K5460=1),AND(J5460=1,I5460="SBJ"),AND(J5460=1,I5460=0)),"?IN_FOCUS",IF(J5460&lt;=2,"?ACTIVATED",IF(J5460&lt;&gt;"","?FAMILIAR",IF(F5460="NEW",IF(ISNA(VLOOKUP(E5460,#REF!,1,FALSE())),"?TYPE_IDENTIFIABLE","?REFERENTIAL"),"_")))))</f>
        <v/>
      </c>
      <c r="H5460" s="27" t="str">
        <f aca="false">IF(J5460&lt;&gt;1,"",IF(I5460="SBJ","CB","?"))</f>
        <v/>
      </c>
      <c r="I5460" s="24" t="str">
        <f aca="false">IF(OR(E5460="",E5460="!!!",F5460="NEW"),"",INDEX(B40:B$5421,-1+SUMPRODUCT(MAX(ROW(E40:E$5421)*(E5460=E40:E$5421)))))</f>
        <v/>
      </c>
      <c r="J5460" s="24" t="str">
        <f aca="true">IF(OR(E5460="",E5460="!!!",F5460="NEW"),"",COUNTBLANK(OFFSET(A$1,,,SUMPRODUCT(MAX(ROW(E$2:E5460)*(E5460=E$2:E5460)))))-COUNTBLANK(OFFSET(A$1,,,SUMPRODUCT(MAX(ROW(E$1:E5459)*(E2=E$1:E5459))))))</f>
        <v/>
      </c>
      <c r="K5460" s="24" t="str">
        <f aca="false">IF(OR(E5460="",E5460="!!!",F5460="NEW"),"",INDEX(J$1:J5459,SUMPRODUCT(MAX(ROW(E$1:E5459)*(E5460=E$1:E5459)))))</f>
        <v/>
      </c>
      <c r="L5460" s="31"/>
    </row>
    <row r="5461" customFormat="false" ht="15" hidden="false" customHeight="false" outlineLevel="0" collapsed="false">
      <c r="A5461" s="20" t="s">
        <v>1218</v>
      </c>
      <c r="E5461" s="23" t="str">
        <f aca="false">IF(D5461="?OLD","!!!","")</f>
        <v/>
      </c>
      <c r="F5461" s="25" t="str">
        <f aca="false">IF(OR(E5461="",E5461="!!!"),"",IF(NOT(ISNA(VLOOKUP(E5461,E$1:E5460,1,FALSE()))),"OLD",IF(AND(E5461&lt;&gt;"",E5461&lt;&gt;"!!!"),"NEW","")))</f>
        <v/>
      </c>
      <c r="G5461" s="26" t="str">
        <f aca="false">IF(OR(E5461="",E5461="!!!"),"",IF(OR(J5461=0,AND(J5461=1,K5461=1),AND(J5461=1,I5461="SBJ"),AND(J5461=1,I5461=0)),"?IN_FOCUS",IF(J5461&lt;=2,"?ACTIVATED",IF(J5461&lt;&gt;"","?FAMILIAR",IF(F5461="NEW",IF(ISNA(VLOOKUP(E5461,#REF!,1,FALSE())),"?TYPE_IDENTIFIABLE","?REFERENTIAL"),"_")))))</f>
        <v/>
      </c>
      <c r="H5461" s="27" t="str">
        <f aca="false">IF(J5461&lt;&gt;1,"",IF(I5461="SBJ","CB","?"))</f>
        <v/>
      </c>
      <c r="I5461" s="24" t="str">
        <f aca="false">IF(OR(E5461="",E5461="!!!",F5461="NEW"),"",INDEX(B41:B$5421,-1+SUMPRODUCT(MAX(ROW(E41:E$5421)*(E5461=E41:E$5421)))))</f>
        <v/>
      </c>
      <c r="J5461" s="24" t="str">
        <f aca="true">IF(OR(E5461="",E5461="!!!",F5461="NEW"),"",COUNTBLANK(OFFSET(A$1,,,SUMPRODUCT(MAX(ROW(E$2:E5461)*(E5461=E$2:E5461)))))-COUNTBLANK(OFFSET(A$1,,,SUMPRODUCT(MAX(ROW(E$1:E5460)*(E2=E$1:E5460))))))</f>
        <v/>
      </c>
      <c r="K5461" s="24" t="str">
        <f aca="false">IF(OR(E5461="",E5461="!!!",F5461="NEW"),"",INDEX(J$1:J5460,SUMPRODUCT(MAX(ROW(E$1:E5460)*(E5461=E$1:E5460)))))</f>
        <v/>
      </c>
      <c r="L5461" s="31"/>
    </row>
    <row r="5462" customFormat="false" ht="15" hidden="false" customHeight="false" outlineLevel="0" collapsed="false">
      <c r="A5462" s="20" t="s">
        <v>1097</v>
      </c>
      <c r="B5462" s="22" t="s">
        <v>1098</v>
      </c>
      <c r="C5462" s="22" t="s">
        <v>1099</v>
      </c>
      <c r="D5462" s="22" t="s">
        <v>1060</v>
      </c>
      <c r="E5462" s="23" t="str">
        <f aca="false">IF(D5462="?OLD","!!!","")</f>
        <v>!!!</v>
      </c>
      <c r="F5462" s="25" t="str">
        <f aca="false">IF(OR(E5462="",E5462="!!!"),"",IF(NOT(ISNA(VLOOKUP(E5462,E$1:E5461,1,FALSE()))),"OLD",IF(AND(E5462&lt;&gt;"",E5462&lt;&gt;"!!!"),"NEW","")))</f>
        <v/>
      </c>
      <c r="G5462" s="26" t="str">
        <f aca="false">IF(OR(E5462="",E5462="!!!"),"",IF(OR(J5462=0,AND(J5462=1,K5462=1),AND(J5462=1,I5462="SBJ"),AND(J5462=1,I5462=0)),"?IN_FOCUS",IF(J5462&lt;=2,"?ACTIVATED",IF(J5462&lt;&gt;"","?FAMILIAR",IF(F5462="NEW",IF(ISNA(VLOOKUP(E5462,#REF!,1,FALSE())),"?TYPE_IDENTIFIABLE","?REFERENTIAL"),"_")))))</f>
        <v/>
      </c>
      <c r="H5462" s="27" t="str">
        <f aca="false">IF(J5462&lt;&gt;1,"",IF(I5462="SBJ","CB","?"))</f>
        <v/>
      </c>
      <c r="I5462" s="24" t="str">
        <f aca="false">IF(OR(E5462="",E5462="!!!",F5462="NEW"),"",INDEX(B42:B$5421,-1+SUMPRODUCT(MAX(ROW(E42:E$5421)*(E5462=E42:E$5421)))))</f>
        <v/>
      </c>
      <c r="J5462" s="24" t="str">
        <f aca="true">IF(OR(E5462="",E5462="!!!",F5462="NEW"),"",COUNTBLANK(OFFSET(A$1,,,SUMPRODUCT(MAX(ROW(E$2:E5462)*(E5462=E$2:E5462)))))-COUNTBLANK(OFFSET(A$1,,,SUMPRODUCT(MAX(ROW(E$1:E5461)*(E2=E$1:E5461))))))</f>
        <v/>
      </c>
      <c r="K5462" s="24" t="str">
        <f aca="false">IF(OR(E5462="",E5462="!!!",F5462="NEW"),"",INDEX(J$1:J5461,SUMPRODUCT(MAX(ROW(E$1:E5461)*(E5462=E$1:E5461)))))</f>
        <v/>
      </c>
      <c r="L5462" s="31"/>
    </row>
    <row r="5463" customFormat="false" ht="15" hidden="false" customHeight="false" outlineLevel="0" collapsed="false">
      <c r="A5463" s="20" t="s">
        <v>1382</v>
      </c>
      <c r="B5463" s="22" t="s">
        <v>1107</v>
      </c>
      <c r="C5463" s="22" t="s">
        <v>1059</v>
      </c>
      <c r="D5463" s="22" t="s">
        <v>1060</v>
      </c>
      <c r="E5463" s="23" t="str">
        <f aca="false">IF(D5463="?OLD","!!!","")</f>
        <v>!!!</v>
      </c>
      <c r="F5463" s="25" t="str">
        <f aca="false">IF(OR(E5463="",E5463="!!!"),"",IF(NOT(ISNA(VLOOKUP(E5463,E$1:E5462,1,FALSE()))),"OLD",IF(AND(E5463&lt;&gt;"",E5463&lt;&gt;"!!!"),"NEW","")))</f>
        <v/>
      </c>
      <c r="G5463" s="26" t="str">
        <f aca="false">IF(OR(E5463="",E5463="!!!"),"",IF(OR(J5463=0,AND(J5463=1,K5463=1),AND(J5463=1,I5463="SBJ"),AND(J5463=1,I5463=0)),"?IN_FOCUS",IF(J5463&lt;=2,"?ACTIVATED",IF(J5463&lt;&gt;"","?FAMILIAR",IF(F5463="NEW",IF(ISNA(VLOOKUP(E5463,#REF!,1,FALSE())),"?TYPE_IDENTIFIABLE","?REFERENTIAL"),"_")))))</f>
        <v/>
      </c>
      <c r="H5463" s="27" t="str">
        <f aca="false">IF(J5463&lt;&gt;1,"",IF(I5463="SBJ","CB","?"))</f>
        <v/>
      </c>
      <c r="I5463" s="24" t="str">
        <f aca="false">IF(OR(E5463="",E5463="!!!",F5463="NEW"),"",INDEX(B43:B$5421,-1+SUMPRODUCT(MAX(ROW(E43:E$5421)*(E5463=E43:E$5421)))))</f>
        <v/>
      </c>
      <c r="J5463" s="24" t="str">
        <f aca="true">IF(OR(E5463="",E5463="!!!",F5463="NEW"),"",COUNTBLANK(OFFSET(A$1,,,SUMPRODUCT(MAX(ROW(E$2:E5463)*(E5463=E$2:E5463)))))-COUNTBLANK(OFFSET(A$1,,,SUMPRODUCT(MAX(ROW(E$1:E5462)*(E2=E$1:E5462))))))</f>
        <v/>
      </c>
      <c r="K5463" s="24" t="str">
        <f aca="false">IF(OR(E5463="",E5463="!!!",F5463="NEW"),"",INDEX(J$1:J5462,SUMPRODUCT(MAX(ROW(E$1:E5462)*(E5463=E$1:E5462)))))</f>
        <v/>
      </c>
      <c r="L5463" s="31"/>
    </row>
    <row r="5464" customFormat="false" ht="15" hidden="false" customHeight="false" outlineLevel="0" collapsed="false">
      <c r="A5464" s="20" t="s">
        <v>923</v>
      </c>
      <c r="E5464" s="23" t="str">
        <f aca="false">IF(D5464="?OLD","!!!","")</f>
        <v/>
      </c>
      <c r="F5464" s="25" t="str">
        <f aca="false">IF(OR(E5464="",E5464="!!!"),"",IF(NOT(ISNA(VLOOKUP(E5464,E$1:E5463,1,FALSE()))),"OLD",IF(AND(E5464&lt;&gt;"",E5464&lt;&gt;"!!!"),"NEW","")))</f>
        <v/>
      </c>
      <c r="G5464" s="26" t="str">
        <f aca="false">IF(OR(E5464="",E5464="!!!"),"",IF(OR(J5464=0,AND(J5464=1,K5464=1),AND(J5464=1,I5464="SBJ"),AND(J5464=1,I5464=0)),"?IN_FOCUS",IF(J5464&lt;=2,"?ACTIVATED",IF(J5464&lt;&gt;"","?FAMILIAR",IF(F5464="NEW",IF(ISNA(VLOOKUP(E5464,#REF!,1,FALSE())),"?TYPE_IDENTIFIABLE","?REFERENTIAL"),"_")))))</f>
        <v/>
      </c>
      <c r="H5464" s="27" t="str">
        <f aca="false">IF(J5464&lt;&gt;1,"",IF(I5464="SBJ","CB","?"))</f>
        <v/>
      </c>
      <c r="I5464" s="24" t="str">
        <f aca="false">IF(OR(E5464="",E5464="!!!",F5464="NEW"),"",INDEX(B44:B$5421,-1+SUMPRODUCT(MAX(ROW(E44:E$5421)*(E5464=E44:E$5421)))))</f>
        <v/>
      </c>
      <c r="J5464" s="24" t="str">
        <f aca="true">IF(OR(E5464="",E5464="!!!",F5464="NEW"),"",COUNTBLANK(OFFSET(A$1,,,SUMPRODUCT(MAX(ROW(E$2:E5464)*(E5464=E$2:E5464)))))-COUNTBLANK(OFFSET(A$1,,,SUMPRODUCT(MAX(ROW(E$1:E5463)*(E2=E$1:E5463))))))</f>
        <v/>
      </c>
      <c r="K5464" s="24" t="str">
        <f aca="false">IF(OR(E5464="",E5464="!!!",F5464="NEW"),"",INDEX(J$1:J5463,SUMPRODUCT(MAX(ROW(E$1:E5463)*(E5464=E$1:E5463)))))</f>
        <v/>
      </c>
      <c r="L5464" s="31"/>
    </row>
    <row r="5465" customFormat="false" ht="15" hidden="false" customHeight="false" outlineLevel="0" collapsed="false">
      <c r="A5465" s="20"/>
    </row>
    <row r="5466" customFormat="false" ht="15" hidden="false" customHeight="false" outlineLevel="0" collapsed="false">
      <c r="A5466" s="20" t="s">
        <v>2601</v>
      </c>
    </row>
    <row r="5467" customFormat="false" ht="15" hidden="false" customHeight="false" outlineLevel="0" collapsed="false">
      <c r="A5467" s="20" t="s">
        <v>1261</v>
      </c>
      <c r="B5467" s="22" t="s">
        <v>1058</v>
      </c>
      <c r="C5467" s="22" t="s">
        <v>1082</v>
      </c>
      <c r="D5467" s="22" t="s">
        <v>1060</v>
      </c>
      <c r="E5467" s="23" t="str">
        <f aca="false">IF(D5467="?OLD","!!!","")</f>
        <v>!!!</v>
      </c>
      <c r="F5467" s="25" t="str">
        <f aca="false">IF(OR(E5467="",E5467="!!!"),"",IF(NOT(ISNA(VLOOKUP(E5467,E$1:E5466,1,FALSE()))),"OLD",IF(AND(E5467&lt;&gt;"",E5467&lt;&gt;"!!!"),"NEW","")))</f>
        <v/>
      </c>
      <c r="G5467" s="26" t="str">
        <f aca="false">IF(OR(E5467="",E5467="!!!"),"",IF(OR(J5467=0,AND(J5467=1,K5467=1),AND(J5467=1,I5467="SBJ"),AND(J5467=1,I5467=0)),"?IN_FOCUS",IF(J5467&lt;=2,"?ACTIVATED",IF(J5467&lt;&gt;"","?FAMILIAR",IF(F5467="NEW",IF(ISNA(VLOOKUP(E5467,#REF!,1,FALSE())),"?TYPE_IDENTIFIABLE","?REFERENTIAL"),"_")))))</f>
        <v/>
      </c>
      <c r="H5467" s="27" t="str">
        <f aca="false">IF(J5467&lt;&gt;1,"",IF(I5467="SBJ","CB","?"))</f>
        <v/>
      </c>
      <c r="I5467" s="24" t="str">
        <f aca="false">IF(OR(E5467="",E5467="!!!",F5467="NEW"),"",INDEX(B2:B$5466,-1+SUMPRODUCT(MAX(ROW(E2:E$5466)*(E5467=E2:E$5466)))))</f>
        <v/>
      </c>
      <c r="J5467" s="24" t="str">
        <f aca="true">IF(OR(E5467="",E5467="!!!",F5467="NEW"),"",COUNTBLANK(OFFSET(A$1,,,SUMPRODUCT(MAX(ROW(E$2:E5467)*(E5467=E$2:E5467)))))-COUNTBLANK(OFFSET(A$1,,,SUMPRODUCT(MAX(ROW(E$1:E5466)*(E2=E$1:E5466))))))</f>
        <v/>
      </c>
      <c r="K5467" s="24" t="str">
        <f aca="false">IF(OR(E5467="",E5467="!!!",F5467="NEW"),"",INDEX(J$1:J5466,SUMPRODUCT(MAX(ROW(E$1:E5466)*(E5467=E$1:E5466)))))</f>
        <v/>
      </c>
      <c r="L5467" s="31"/>
    </row>
    <row r="5468" customFormat="false" ht="15" hidden="false" customHeight="false" outlineLevel="0" collapsed="false">
      <c r="A5468" s="20" t="s">
        <v>1092</v>
      </c>
      <c r="E5468" s="23" t="str">
        <f aca="false">IF(D5468="?OLD","!!!","")</f>
        <v/>
      </c>
      <c r="F5468" s="25" t="str">
        <f aca="false">IF(OR(E5468="",E5468="!!!"),"",IF(NOT(ISNA(VLOOKUP(E5468,E$1:E5467,1,FALSE()))),"OLD",IF(AND(E5468&lt;&gt;"",E5468&lt;&gt;"!!!"),"NEW","")))</f>
        <v/>
      </c>
      <c r="G5468" s="26" t="str">
        <f aca="false">IF(OR(E5468="",E5468="!!!"),"",IF(OR(J5468=0,AND(J5468=1,K5468=1),AND(J5468=1,I5468="SBJ"),AND(J5468=1,I5468=0)),"?IN_FOCUS",IF(J5468&lt;=2,"?ACTIVATED",IF(J5468&lt;&gt;"","?FAMILIAR",IF(F5468="NEW",IF(ISNA(VLOOKUP(E5468,#REF!,1,FALSE())),"?TYPE_IDENTIFIABLE","?REFERENTIAL"),"_")))))</f>
        <v/>
      </c>
      <c r="H5468" s="27" t="str">
        <f aca="false">IF(J5468&lt;&gt;1,"",IF(I5468="SBJ","CB","?"))</f>
        <v/>
      </c>
      <c r="I5468" s="24" t="str">
        <f aca="false">IF(OR(E5468="",E5468="!!!",F5468="NEW"),"",INDEX(B3:B$5466,-1+SUMPRODUCT(MAX(ROW(E3:E$5466)*(E5468=E3:E$5466)))))</f>
        <v/>
      </c>
      <c r="J5468" s="24" t="str">
        <f aca="true">IF(OR(E5468="",E5468="!!!",F5468="NEW"),"",COUNTBLANK(OFFSET(A$1,,,SUMPRODUCT(MAX(ROW(E$2:E5468)*(E5468=E$2:E5468)))))-COUNTBLANK(OFFSET(A$1,,,SUMPRODUCT(MAX(ROW(E$1:E5467)*(E2=E$1:E5467))))))</f>
        <v/>
      </c>
      <c r="K5468" s="24" t="str">
        <f aca="false">IF(OR(E5468="",E5468="!!!",F5468="NEW"),"",INDEX(J$1:J5467,SUMPRODUCT(MAX(ROW(E$1:E5467)*(E5468=E$1:E5467)))))</f>
        <v/>
      </c>
      <c r="L5468" s="31"/>
    </row>
    <row r="5469" customFormat="false" ht="15" hidden="false" customHeight="false" outlineLevel="0" collapsed="false">
      <c r="A5469" s="20" t="s">
        <v>1085</v>
      </c>
      <c r="E5469" s="23" t="str">
        <f aca="false">IF(D5469="?OLD","!!!","")</f>
        <v/>
      </c>
      <c r="F5469" s="25" t="str">
        <f aca="false">IF(OR(E5469="",E5469="!!!"),"",IF(NOT(ISNA(VLOOKUP(E5469,E$1:E5468,1,FALSE()))),"OLD",IF(AND(E5469&lt;&gt;"",E5469&lt;&gt;"!!!"),"NEW","")))</f>
        <v/>
      </c>
      <c r="G5469" s="26" t="str">
        <f aca="false">IF(OR(E5469="",E5469="!!!"),"",IF(OR(J5469=0,AND(J5469=1,K5469=1),AND(J5469=1,I5469="SBJ"),AND(J5469=1,I5469=0)),"?IN_FOCUS",IF(J5469&lt;=2,"?ACTIVATED",IF(J5469&lt;&gt;"","?FAMILIAR",IF(F5469="NEW",IF(ISNA(VLOOKUP(E5469,#REF!,1,FALSE())),"?TYPE_IDENTIFIABLE","?REFERENTIAL"),"_")))))</f>
        <v/>
      </c>
      <c r="H5469" s="27" t="str">
        <f aca="false">IF(J5469&lt;&gt;1,"",IF(I5469="SBJ","CB","?"))</f>
        <v/>
      </c>
      <c r="I5469" s="24" t="str">
        <f aca="false">IF(OR(E5469="",E5469="!!!",F5469="NEW"),"",INDEX(B4:B$5466,-1+SUMPRODUCT(MAX(ROW(E4:E$5466)*(E5469=E4:E$5466)))))</f>
        <v/>
      </c>
      <c r="J5469" s="24" t="str">
        <f aca="true">IF(OR(E5469="",E5469="!!!",F5469="NEW"),"",COUNTBLANK(OFFSET(A$1,,,SUMPRODUCT(MAX(ROW(E$2:E5469)*(E5469=E$2:E5469)))))-COUNTBLANK(OFFSET(A$1,,,SUMPRODUCT(MAX(ROW(E$1:E5468)*(E2=E$1:E5468))))))</f>
        <v/>
      </c>
      <c r="K5469" s="24" t="str">
        <f aca="false">IF(OR(E5469="",E5469="!!!",F5469="NEW"),"",INDEX(J$1:J5468,SUMPRODUCT(MAX(ROW(E$1:E5468)*(E5469=E$1:E5468)))))</f>
        <v/>
      </c>
      <c r="L5469" s="31"/>
    </row>
    <row r="5470" customFormat="false" ht="15" hidden="false" customHeight="false" outlineLevel="0" collapsed="false">
      <c r="A5470" s="20" t="s">
        <v>2046</v>
      </c>
      <c r="E5470" s="23" t="str">
        <f aca="false">IF(D5470="?OLD","!!!","")</f>
        <v/>
      </c>
      <c r="F5470" s="25" t="str">
        <f aca="false">IF(OR(E5470="",E5470="!!!"),"",IF(NOT(ISNA(VLOOKUP(E5470,E$1:E5469,1,FALSE()))),"OLD",IF(AND(E5470&lt;&gt;"",E5470&lt;&gt;"!!!"),"NEW","")))</f>
        <v/>
      </c>
      <c r="G5470" s="26" t="str">
        <f aca="false">IF(OR(E5470="",E5470="!!!"),"",IF(OR(J5470=0,AND(J5470=1,K5470=1),AND(J5470=1,I5470="SBJ"),AND(J5470=1,I5470=0)),"?IN_FOCUS",IF(J5470&lt;=2,"?ACTIVATED",IF(J5470&lt;&gt;"","?FAMILIAR",IF(F5470="NEW",IF(ISNA(VLOOKUP(E5470,#REF!,1,FALSE())),"?TYPE_IDENTIFIABLE","?REFERENTIAL"),"_")))))</f>
        <v/>
      </c>
      <c r="H5470" s="27" t="str">
        <f aca="false">IF(J5470&lt;&gt;1,"",IF(I5470="SBJ","CB","?"))</f>
        <v/>
      </c>
      <c r="I5470" s="24" t="str">
        <f aca="false">IF(OR(E5470="",E5470="!!!",F5470="NEW"),"",INDEX(B5:B$5466,-1+SUMPRODUCT(MAX(ROW(E5:E$5466)*(E5470=E5:E$5466)))))</f>
        <v/>
      </c>
      <c r="J5470" s="24" t="str">
        <f aca="true">IF(OR(E5470="",E5470="!!!",F5470="NEW"),"",COUNTBLANK(OFFSET(A$1,,,SUMPRODUCT(MAX(ROW(E$2:E5470)*(E5470=E$2:E5470)))))-COUNTBLANK(OFFSET(A$1,,,SUMPRODUCT(MAX(ROW(E$1:E5469)*(E2=E$1:E5469))))))</f>
        <v/>
      </c>
      <c r="K5470" s="24" t="str">
        <f aca="false">IF(OR(E5470="",E5470="!!!",F5470="NEW"),"",INDEX(J$1:J5469,SUMPRODUCT(MAX(ROW(E$1:E5469)*(E5470=E$1:E5469)))))</f>
        <v/>
      </c>
      <c r="L5470" s="31"/>
    </row>
    <row r="5471" customFormat="false" ht="15" hidden="false" customHeight="false" outlineLevel="0" collapsed="false">
      <c r="A5471" s="20" t="s">
        <v>2602</v>
      </c>
      <c r="B5471" s="22" t="s">
        <v>1105</v>
      </c>
      <c r="C5471" s="22" t="s">
        <v>1087</v>
      </c>
      <c r="E5471" s="23" t="str">
        <f aca="false">IF(D5471="?OLD","!!!","")</f>
        <v/>
      </c>
      <c r="F5471" s="25" t="str">
        <f aca="false">IF(OR(E5471="",E5471="!!!"),"",IF(NOT(ISNA(VLOOKUP(E5471,E$1:E5470,1,FALSE()))),"OLD",IF(AND(E5471&lt;&gt;"",E5471&lt;&gt;"!!!"),"NEW","")))</f>
        <v/>
      </c>
      <c r="G5471" s="26" t="str">
        <f aca="false">IF(OR(E5471="",E5471="!!!"),"",IF(OR(J5471=0,AND(J5471=1,K5471=1),AND(J5471=1,I5471="SBJ"),AND(J5471=1,I5471=0)),"?IN_FOCUS",IF(J5471&lt;=2,"?ACTIVATED",IF(J5471&lt;&gt;"","?FAMILIAR",IF(F5471="NEW",IF(ISNA(VLOOKUP(E5471,#REF!,1,FALSE())),"?TYPE_IDENTIFIABLE","?REFERENTIAL"),"_")))))</f>
        <v/>
      </c>
      <c r="H5471" s="27" t="str">
        <f aca="false">IF(J5471&lt;&gt;1,"",IF(I5471="SBJ","CB","?"))</f>
        <v/>
      </c>
      <c r="I5471" s="24" t="str">
        <f aca="false">IF(OR(E5471="",E5471="!!!",F5471="NEW"),"",INDEX(B6:B$5466,-1+SUMPRODUCT(MAX(ROW(E6:E$5466)*(E5471=E6:E$5466)))))</f>
        <v/>
      </c>
      <c r="J5471" s="24" t="str">
        <f aca="true">IF(OR(E5471="",E5471="!!!",F5471="NEW"),"",COUNTBLANK(OFFSET(A$1,,,SUMPRODUCT(MAX(ROW(E$2:E5471)*(E5471=E$2:E5471)))))-COUNTBLANK(OFFSET(A$1,,,SUMPRODUCT(MAX(ROW(E$1:E5470)*(E2=E$1:E5470))))))</f>
        <v/>
      </c>
      <c r="K5471" s="24" t="str">
        <f aca="false">IF(OR(E5471="",E5471="!!!",F5471="NEW"),"",INDEX(J$1:J5470,SUMPRODUCT(MAX(ROW(E$1:E5470)*(E5471=E$1:E5470)))))</f>
        <v/>
      </c>
      <c r="L5471" s="31"/>
    </row>
    <row r="5472" customFormat="false" ht="15" hidden="false" customHeight="false" outlineLevel="0" collapsed="false">
      <c r="A5472" s="20" t="s">
        <v>1076</v>
      </c>
      <c r="E5472" s="23" t="str">
        <f aca="false">IF(D5472="?OLD","!!!","")</f>
        <v/>
      </c>
      <c r="F5472" s="25" t="str">
        <f aca="false">IF(OR(E5472="",E5472="!!!"),"",IF(NOT(ISNA(VLOOKUP(E5472,E$1:E5471,1,FALSE()))),"OLD",IF(AND(E5472&lt;&gt;"",E5472&lt;&gt;"!!!"),"NEW","")))</f>
        <v/>
      </c>
      <c r="G5472" s="26" t="str">
        <f aca="false">IF(OR(E5472="",E5472="!!!"),"",IF(OR(J5472=0,AND(J5472=1,K5472=1),AND(J5472=1,I5472="SBJ"),AND(J5472=1,I5472=0)),"?IN_FOCUS",IF(J5472&lt;=2,"?ACTIVATED",IF(J5472&lt;&gt;"","?FAMILIAR",IF(F5472="NEW",IF(ISNA(VLOOKUP(E5472,#REF!,1,FALSE())),"?TYPE_IDENTIFIABLE","?REFERENTIAL"),"_")))))</f>
        <v/>
      </c>
      <c r="H5472" s="27" t="str">
        <f aca="false">IF(J5472&lt;&gt;1,"",IF(I5472="SBJ","CB","?"))</f>
        <v/>
      </c>
      <c r="I5472" s="24" t="str">
        <f aca="false">IF(OR(E5472="",E5472="!!!",F5472="NEW"),"",INDEX(B7:B$5466,-1+SUMPRODUCT(MAX(ROW(E7:E$5466)*(E5472=E7:E$5466)))))</f>
        <v/>
      </c>
      <c r="J5472" s="24" t="str">
        <f aca="true">IF(OR(E5472="",E5472="!!!",F5472="NEW"),"",COUNTBLANK(OFFSET(A$1,,,SUMPRODUCT(MAX(ROW(E$2:E5472)*(E5472=E$2:E5472)))))-COUNTBLANK(OFFSET(A$1,,,SUMPRODUCT(MAX(ROW(E$1:E5471)*(E2=E$1:E5471))))))</f>
        <v/>
      </c>
      <c r="K5472" s="24" t="str">
        <f aca="false">IF(OR(E5472="",E5472="!!!",F5472="NEW"),"",INDEX(J$1:J5471,SUMPRODUCT(MAX(ROW(E$1:E5471)*(E5472=E$1:E5471)))))</f>
        <v/>
      </c>
      <c r="L5472" s="31"/>
    </row>
    <row r="5473" customFormat="false" ht="15" hidden="false" customHeight="false" outlineLevel="0" collapsed="false">
      <c r="A5473" s="20" t="s">
        <v>1154</v>
      </c>
      <c r="E5473" s="23" t="str">
        <f aca="false">IF(D5473="?OLD","!!!","")</f>
        <v/>
      </c>
      <c r="F5473" s="25" t="str">
        <f aca="false">IF(OR(E5473="",E5473="!!!"),"",IF(NOT(ISNA(VLOOKUP(E5473,E$1:E5472,1,FALSE()))),"OLD",IF(AND(E5473&lt;&gt;"",E5473&lt;&gt;"!!!"),"NEW","")))</f>
        <v/>
      </c>
      <c r="G5473" s="26" t="str">
        <f aca="false">IF(OR(E5473="",E5473="!!!"),"",IF(OR(J5473=0,AND(J5473=1,K5473=1),AND(J5473=1,I5473="SBJ"),AND(J5473=1,I5473=0)),"?IN_FOCUS",IF(J5473&lt;=2,"?ACTIVATED",IF(J5473&lt;&gt;"","?FAMILIAR",IF(F5473="NEW",IF(ISNA(VLOOKUP(E5473,#REF!,1,FALSE())),"?TYPE_IDENTIFIABLE","?REFERENTIAL"),"_")))))</f>
        <v/>
      </c>
      <c r="H5473" s="27" t="str">
        <f aca="false">IF(J5473&lt;&gt;1,"",IF(I5473="SBJ","CB","?"))</f>
        <v/>
      </c>
      <c r="I5473" s="24" t="str">
        <f aca="false">IF(OR(E5473="",E5473="!!!",F5473="NEW"),"",INDEX(B8:B$5466,-1+SUMPRODUCT(MAX(ROW(E8:E$5466)*(E5473=E8:E$5466)))))</f>
        <v/>
      </c>
      <c r="J5473" s="24" t="str">
        <f aca="true">IF(OR(E5473="",E5473="!!!",F5473="NEW"),"",COUNTBLANK(OFFSET(A$1,,,SUMPRODUCT(MAX(ROW(E$2:E5473)*(E5473=E$2:E5473)))))-COUNTBLANK(OFFSET(A$1,,,SUMPRODUCT(MAX(ROW(E$1:E5472)*(E2=E$1:E5472))))))</f>
        <v/>
      </c>
      <c r="K5473" s="24" t="str">
        <f aca="false">IF(OR(E5473="",E5473="!!!",F5473="NEW"),"",INDEX(J$1:J5472,SUMPRODUCT(MAX(ROW(E$1:E5472)*(E5473=E$1:E5472)))))</f>
        <v/>
      </c>
      <c r="L5473" s="31"/>
    </row>
    <row r="5474" customFormat="false" ht="15" hidden="false" customHeight="false" outlineLevel="0" collapsed="false">
      <c r="A5474" s="20" t="s">
        <v>1076</v>
      </c>
      <c r="E5474" s="23" t="str">
        <f aca="false">IF(D5474="?OLD","!!!","")</f>
        <v/>
      </c>
      <c r="F5474" s="25" t="str">
        <f aca="false">IF(OR(E5474="",E5474="!!!"),"",IF(NOT(ISNA(VLOOKUP(E5474,E$1:E5473,1,FALSE()))),"OLD",IF(AND(E5474&lt;&gt;"",E5474&lt;&gt;"!!!"),"NEW","")))</f>
        <v/>
      </c>
      <c r="G5474" s="26" t="str">
        <f aca="false">IF(OR(E5474="",E5474="!!!"),"",IF(OR(J5474=0,AND(J5474=1,K5474=1),AND(J5474=1,I5474="SBJ"),AND(J5474=1,I5474=0)),"?IN_FOCUS",IF(J5474&lt;=2,"?ACTIVATED",IF(J5474&lt;&gt;"","?FAMILIAR",IF(F5474="NEW",IF(ISNA(VLOOKUP(E5474,#REF!,1,FALSE())),"?TYPE_IDENTIFIABLE","?REFERENTIAL"),"_")))))</f>
        <v/>
      </c>
      <c r="H5474" s="27" t="str">
        <f aca="false">IF(J5474&lt;&gt;1,"",IF(I5474="SBJ","CB","?"))</f>
        <v/>
      </c>
      <c r="I5474" s="24" t="str">
        <f aca="false">IF(OR(E5474="",E5474="!!!",F5474="NEW"),"",INDEX(B9:B$5466,-1+SUMPRODUCT(MAX(ROW(E9:E$5466)*(E5474=E9:E$5466)))))</f>
        <v/>
      </c>
      <c r="J5474" s="24" t="str">
        <f aca="true">IF(OR(E5474="",E5474="!!!",F5474="NEW"),"",COUNTBLANK(OFFSET(A$1,,,SUMPRODUCT(MAX(ROW(E$2:E5474)*(E5474=E$2:E5474)))))-COUNTBLANK(OFFSET(A$1,,,SUMPRODUCT(MAX(ROW(E$1:E5473)*(E2=E$1:E5473))))))</f>
        <v/>
      </c>
      <c r="K5474" s="24" t="str">
        <f aca="false">IF(OR(E5474="",E5474="!!!",F5474="NEW"),"",INDEX(J$1:J5473,SUMPRODUCT(MAX(ROW(E$1:E5473)*(E5474=E$1:E5473)))))</f>
        <v/>
      </c>
      <c r="L5474" s="31"/>
    </row>
    <row r="5475" customFormat="false" ht="15" hidden="false" customHeight="false" outlineLevel="0" collapsed="false">
      <c r="A5475" s="20" t="s">
        <v>2603</v>
      </c>
      <c r="E5475" s="23" t="str">
        <f aca="false">IF(D5475="?OLD","!!!","")</f>
        <v/>
      </c>
      <c r="F5475" s="25" t="str">
        <f aca="false">IF(OR(E5475="",E5475="!!!"),"",IF(NOT(ISNA(VLOOKUP(E5475,E$1:E5474,1,FALSE()))),"OLD",IF(AND(E5475&lt;&gt;"",E5475&lt;&gt;"!!!"),"NEW","")))</f>
        <v/>
      </c>
      <c r="G5475" s="26" t="str">
        <f aca="false">IF(OR(E5475="",E5475="!!!"),"",IF(OR(J5475=0,AND(J5475=1,K5475=1),AND(J5475=1,I5475="SBJ"),AND(J5475=1,I5475=0)),"?IN_FOCUS",IF(J5475&lt;=2,"?ACTIVATED",IF(J5475&lt;&gt;"","?FAMILIAR",IF(F5475="NEW",IF(ISNA(VLOOKUP(E5475,#REF!,1,FALSE())),"?TYPE_IDENTIFIABLE","?REFERENTIAL"),"_")))))</f>
        <v/>
      </c>
      <c r="H5475" s="27" t="str">
        <f aca="false">IF(J5475&lt;&gt;1,"",IF(I5475="SBJ","CB","?"))</f>
        <v/>
      </c>
      <c r="I5475" s="24" t="str">
        <f aca="false">IF(OR(E5475="",E5475="!!!",F5475="NEW"),"",INDEX(B10:B$5466,-1+SUMPRODUCT(MAX(ROW(E10:E$5466)*(E5475=E10:E$5466)))))</f>
        <v/>
      </c>
      <c r="J5475" s="24" t="str">
        <f aca="true">IF(OR(E5475="",E5475="!!!",F5475="NEW"),"",COUNTBLANK(OFFSET(A$1,,,SUMPRODUCT(MAX(ROW(E$2:E5475)*(E5475=E$2:E5475)))))-COUNTBLANK(OFFSET(A$1,,,SUMPRODUCT(MAX(ROW(E$1:E5474)*(E2=E$1:E5474))))))</f>
        <v/>
      </c>
      <c r="K5475" s="24" t="str">
        <f aca="false">IF(OR(E5475="",E5475="!!!",F5475="NEW"),"",INDEX(J$1:J5474,SUMPRODUCT(MAX(ROW(E$1:E5474)*(E5475=E$1:E5474)))))</f>
        <v/>
      </c>
      <c r="L5475" s="31"/>
    </row>
    <row r="5476" customFormat="false" ht="15" hidden="false" customHeight="false" outlineLevel="0" collapsed="false">
      <c r="A5476" s="20" t="s">
        <v>1119</v>
      </c>
      <c r="E5476" s="23" t="str">
        <f aca="false">IF(D5476="?OLD","!!!","")</f>
        <v/>
      </c>
      <c r="F5476" s="25" t="str">
        <f aca="false">IF(OR(E5476="",E5476="!!!"),"",IF(NOT(ISNA(VLOOKUP(E5476,E$1:E5475,1,FALSE()))),"OLD",IF(AND(E5476&lt;&gt;"",E5476&lt;&gt;"!!!"),"NEW","")))</f>
        <v/>
      </c>
      <c r="G5476" s="26" t="str">
        <f aca="false">IF(OR(E5476="",E5476="!!!"),"",IF(OR(J5476=0,AND(J5476=1,K5476=1),AND(J5476=1,I5476="SBJ"),AND(J5476=1,I5476=0)),"?IN_FOCUS",IF(J5476&lt;=2,"?ACTIVATED",IF(J5476&lt;&gt;"","?FAMILIAR",IF(F5476="NEW",IF(ISNA(VLOOKUP(E5476,#REF!,1,FALSE())),"?TYPE_IDENTIFIABLE","?REFERENTIAL"),"_")))))</f>
        <v/>
      </c>
      <c r="H5476" s="27" t="str">
        <f aca="false">IF(J5476&lt;&gt;1,"",IF(I5476="SBJ","CB","?"))</f>
        <v/>
      </c>
      <c r="I5476" s="24" t="str">
        <f aca="false">IF(OR(E5476="",E5476="!!!",F5476="NEW"),"",INDEX(B11:B$5466,-1+SUMPRODUCT(MAX(ROW(E11:E$5466)*(E5476=E11:E$5466)))))</f>
        <v/>
      </c>
      <c r="J5476" s="24" t="str">
        <f aca="true">IF(OR(E5476="",E5476="!!!",F5476="NEW"),"",COUNTBLANK(OFFSET(A$1,,,SUMPRODUCT(MAX(ROW(E$2:E5476)*(E5476=E$2:E5476)))))-COUNTBLANK(OFFSET(A$1,,,SUMPRODUCT(MAX(ROW(E$1:E5475)*(E2=E$1:E5475))))))</f>
        <v/>
      </c>
      <c r="K5476" s="24" t="str">
        <f aca="false">IF(OR(E5476="",E5476="!!!",F5476="NEW"),"",INDEX(J$1:J5475,SUMPRODUCT(MAX(ROW(E$1:E5475)*(E5476=E$1:E5475)))))</f>
        <v/>
      </c>
      <c r="L5476" s="31"/>
    </row>
    <row r="5477" customFormat="false" ht="15" hidden="false" customHeight="false" outlineLevel="0" collapsed="false">
      <c r="A5477" s="20" t="s">
        <v>1109</v>
      </c>
      <c r="E5477" s="23" t="str">
        <f aca="false">IF(D5477="?OLD","!!!","")</f>
        <v/>
      </c>
      <c r="F5477" s="25" t="str">
        <f aca="false">IF(OR(E5477="",E5477="!!!"),"",IF(NOT(ISNA(VLOOKUP(E5477,E$1:E5476,1,FALSE()))),"OLD",IF(AND(E5477&lt;&gt;"",E5477&lt;&gt;"!!!"),"NEW","")))</f>
        <v/>
      </c>
      <c r="G5477" s="26" t="str">
        <f aca="false">IF(OR(E5477="",E5477="!!!"),"",IF(OR(J5477=0,AND(J5477=1,K5477=1),AND(J5477=1,I5477="SBJ"),AND(J5477=1,I5477=0)),"?IN_FOCUS",IF(J5477&lt;=2,"?ACTIVATED",IF(J5477&lt;&gt;"","?FAMILIAR",IF(F5477="NEW",IF(ISNA(VLOOKUP(E5477,#REF!,1,FALSE())),"?TYPE_IDENTIFIABLE","?REFERENTIAL"),"_")))))</f>
        <v/>
      </c>
      <c r="H5477" s="27" t="str">
        <f aca="false">IF(J5477&lt;&gt;1,"",IF(I5477="SBJ","CB","?"))</f>
        <v/>
      </c>
      <c r="I5477" s="24" t="str">
        <f aca="false">IF(OR(E5477="",E5477="!!!",F5477="NEW"),"",INDEX(B12:B$5466,-1+SUMPRODUCT(MAX(ROW(E12:E$5466)*(E5477=E12:E$5466)))))</f>
        <v/>
      </c>
      <c r="J5477" s="24" t="str">
        <f aca="true">IF(OR(E5477="",E5477="!!!",F5477="NEW"),"",COUNTBLANK(OFFSET(A$1,,,SUMPRODUCT(MAX(ROW(E$2:E5477)*(E5477=E$2:E5477)))))-COUNTBLANK(OFFSET(A$1,,,SUMPRODUCT(MAX(ROW(E$1:E5476)*(E2=E$1:E5476))))))</f>
        <v/>
      </c>
      <c r="K5477" s="24" t="str">
        <f aca="false">IF(OR(E5477="",E5477="!!!",F5477="NEW"),"",INDEX(J$1:J5476,SUMPRODUCT(MAX(ROW(E$1:E5476)*(E5477=E$1:E5476)))))</f>
        <v/>
      </c>
      <c r="L5477" s="31"/>
    </row>
    <row r="5478" customFormat="false" ht="15" hidden="false" customHeight="false" outlineLevel="0" collapsed="false">
      <c r="A5478" s="20" t="s">
        <v>1755</v>
      </c>
      <c r="B5478" s="22" t="s">
        <v>1105</v>
      </c>
      <c r="C5478" s="22" t="s">
        <v>1150</v>
      </c>
      <c r="D5478" s="22" t="s">
        <v>1060</v>
      </c>
      <c r="E5478" s="23" t="str">
        <f aca="false">IF(D5478="?OLD","!!!","")</f>
        <v>!!!</v>
      </c>
      <c r="F5478" s="25" t="str">
        <f aca="false">IF(OR(E5478="",E5478="!!!"),"",IF(NOT(ISNA(VLOOKUP(E5478,E$1:E5477,1,FALSE()))),"OLD",IF(AND(E5478&lt;&gt;"",E5478&lt;&gt;"!!!"),"NEW","")))</f>
        <v/>
      </c>
      <c r="G5478" s="26" t="str">
        <f aca="false">IF(OR(E5478="",E5478="!!!"),"",IF(OR(J5478=0,AND(J5478=1,K5478=1),AND(J5478=1,I5478="SBJ"),AND(J5478=1,I5478=0)),"?IN_FOCUS",IF(J5478&lt;=2,"?ACTIVATED",IF(J5478&lt;&gt;"","?FAMILIAR",IF(F5478="NEW",IF(ISNA(VLOOKUP(E5478,#REF!,1,FALSE())),"?TYPE_IDENTIFIABLE","?REFERENTIAL"),"_")))))</f>
        <v/>
      </c>
      <c r="H5478" s="27" t="str">
        <f aca="false">IF(J5478&lt;&gt;1,"",IF(I5478="SBJ","CB","?"))</f>
        <v/>
      </c>
      <c r="I5478" s="24" t="str">
        <f aca="false">IF(OR(E5478="",E5478="!!!",F5478="NEW"),"",INDEX(B13:B$5466,-1+SUMPRODUCT(MAX(ROW(E13:E$5466)*(E5478=E13:E$5466)))))</f>
        <v/>
      </c>
      <c r="J5478" s="24" t="str">
        <f aca="true">IF(OR(E5478="",E5478="!!!",F5478="NEW"),"",COUNTBLANK(OFFSET(A$1,,,SUMPRODUCT(MAX(ROW(E$2:E5478)*(E5478=E$2:E5478)))))-COUNTBLANK(OFFSET(A$1,,,SUMPRODUCT(MAX(ROW(E$1:E5477)*(E2=E$1:E5477))))))</f>
        <v/>
      </c>
      <c r="K5478" s="24" t="str">
        <f aca="false">IF(OR(E5478="",E5478="!!!",F5478="NEW"),"",INDEX(J$1:J5477,SUMPRODUCT(MAX(ROW(E$1:E5477)*(E5478=E$1:E5477)))))</f>
        <v/>
      </c>
      <c r="L5478" s="31"/>
    </row>
    <row r="5479" customFormat="false" ht="15" hidden="false" customHeight="false" outlineLevel="0" collapsed="false">
      <c r="A5479" s="20" t="s">
        <v>1064</v>
      </c>
      <c r="E5479" s="23" t="str">
        <f aca="false">IF(D5479="?OLD","!!!","")</f>
        <v/>
      </c>
      <c r="F5479" s="25" t="str">
        <f aca="false">IF(OR(E5479="",E5479="!!!"),"",IF(NOT(ISNA(VLOOKUP(E5479,E$1:E5478,1,FALSE()))),"OLD",IF(AND(E5479&lt;&gt;"",E5479&lt;&gt;"!!!"),"NEW","")))</f>
        <v/>
      </c>
      <c r="G5479" s="26" t="str">
        <f aca="false">IF(OR(E5479="",E5479="!!!"),"",IF(OR(J5479=0,AND(J5479=1,K5479=1),AND(J5479=1,I5479="SBJ"),AND(J5479=1,I5479=0)),"?IN_FOCUS",IF(J5479&lt;=2,"?ACTIVATED",IF(J5479&lt;&gt;"","?FAMILIAR",IF(F5479="NEW",IF(ISNA(VLOOKUP(E5479,#REF!,1,FALSE())),"?TYPE_IDENTIFIABLE","?REFERENTIAL"),"_")))))</f>
        <v/>
      </c>
      <c r="H5479" s="27" t="str">
        <f aca="false">IF(J5479&lt;&gt;1,"",IF(I5479="SBJ","CB","?"))</f>
        <v/>
      </c>
      <c r="I5479" s="24" t="str">
        <f aca="false">IF(OR(E5479="",E5479="!!!",F5479="NEW"),"",INDEX(B14:B$5466,-1+SUMPRODUCT(MAX(ROW(E14:E$5466)*(E5479=E14:E$5466)))))</f>
        <v/>
      </c>
      <c r="J5479" s="24" t="str">
        <f aca="true">IF(OR(E5479="",E5479="!!!",F5479="NEW"),"",COUNTBLANK(OFFSET(A$1,,,SUMPRODUCT(MAX(ROW(E$2:E5479)*(E5479=E$2:E5479)))))-COUNTBLANK(OFFSET(A$1,,,SUMPRODUCT(MAX(ROW(E$1:E5478)*(E2=E$1:E5478))))))</f>
        <v/>
      </c>
      <c r="K5479" s="24" t="str">
        <f aca="false">IF(OR(E5479="",E5479="!!!",F5479="NEW"),"",INDEX(J$1:J5478,SUMPRODUCT(MAX(ROW(E$1:E5478)*(E5479=E$1:E5478)))))</f>
        <v/>
      </c>
      <c r="L5479" s="31"/>
    </row>
    <row r="5480" customFormat="false" ht="15" hidden="false" customHeight="false" outlineLevel="0" collapsed="false">
      <c r="A5480" s="20" t="s">
        <v>2524</v>
      </c>
      <c r="E5480" s="23" t="str">
        <f aca="false">IF(D5480="?OLD","!!!","")</f>
        <v/>
      </c>
      <c r="F5480" s="25" t="str">
        <f aca="false">IF(OR(E5480="",E5480="!!!"),"",IF(NOT(ISNA(VLOOKUP(E5480,E$1:E5479,1,FALSE()))),"OLD",IF(AND(E5480&lt;&gt;"",E5480&lt;&gt;"!!!"),"NEW","")))</f>
        <v/>
      </c>
      <c r="G5480" s="26" t="str">
        <f aca="false">IF(OR(E5480="",E5480="!!!"),"",IF(OR(J5480=0,AND(J5480=1,K5480=1),AND(J5480=1,I5480="SBJ"),AND(J5480=1,I5480=0)),"?IN_FOCUS",IF(J5480&lt;=2,"?ACTIVATED",IF(J5480&lt;&gt;"","?FAMILIAR",IF(F5480="NEW",IF(ISNA(VLOOKUP(E5480,#REF!,1,FALSE())),"?TYPE_IDENTIFIABLE","?REFERENTIAL"),"_")))))</f>
        <v/>
      </c>
      <c r="H5480" s="27" t="str">
        <f aca="false">IF(J5480&lt;&gt;1,"",IF(I5480="SBJ","CB","?"))</f>
        <v/>
      </c>
      <c r="I5480" s="24" t="str">
        <f aca="false">IF(OR(E5480="",E5480="!!!",F5480="NEW"),"",INDEX(B15:B$5466,-1+SUMPRODUCT(MAX(ROW(E15:E$5466)*(E5480=E15:E$5466)))))</f>
        <v/>
      </c>
      <c r="J5480" s="24" t="str">
        <f aca="true">IF(OR(E5480="",E5480="!!!",F5480="NEW"),"",COUNTBLANK(OFFSET(A$1,,,SUMPRODUCT(MAX(ROW(E$2:E5480)*(E5480=E$2:E5480)))))-COUNTBLANK(OFFSET(A$1,,,SUMPRODUCT(MAX(ROW(E$1:E5479)*(E2=E$1:E5479))))))</f>
        <v/>
      </c>
      <c r="K5480" s="24" t="str">
        <f aca="false">IF(OR(E5480="",E5480="!!!",F5480="NEW"),"",INDEX(J$1:J5479,SUMPRODUCT(MAX(ROW(E$1:E5479)*(E5480=E$1:E5479)))))</f>
        <v/>
      </c>
      <c r="L5480" s="31"/>
    </row>
    <row r="5481" customFormat="false" ht="15" hidden="false" customHeight="false" outlineLevel="0" collapsed="false">
      <c r="A5481" s="20" t="s">
        <v>2243</v>
      </c>
      <c r="B5481" s="22" t="s">
        <v>1107</v>
      </c>
      <c r="C5481" s="22" t="s">
        <v>1099</v>
      </c>
      <c r="D5481" s="22" t="s">
        <v>1060</v>
      </c>
      <c r="E5481" s="23" t="str">
        <f aca="false">IF(D5481="?OLD","!!!","")</f>
        <v>!!!</v>
      </c>
      <c r="F5481" s="25" t="str">
        <f aca="false">IF(OR(E5481="",E5481="!!!"),"",IF(NOT(ISNA(VLOOKUP(E5481,E$1:E5480,1,FALSE()))),"OLD",IF(AND(E5481&lt;&gt;"",E5481&lt;&gt;"!!!"),"NEW","")))</f>
        <v/>
      </c>
      <c r="G5481" s="26" t="str">
        <f aca="false">IF(OR(E5481="",E5481="!!!"),"",IF(OR(J5481=0,AND(J5481=1,K5481=1),AND(J5481=1,I5481="SBJ"),AND(J5481=1,I5481=0)),"?IN_FOCUS",IF(J5481&lt;=2,"?ACTIVATED",IF(J5481&lt;&gt;"","?FAMILIAR",IF(F5481="NEW",IF(ISNA(VLOOKUP(E5481,#REF!,1,FALSE())),"?TYPE_IDENTIFIABLE","?REFERENTIAL"),"_")))))</f>
        <v/>
      </c>
      <c r="H5481" s="27" t="str">
        <f aca="false">IF(J5481&lt;&gt;1,"",IF(I5481="SBJ","CB","?"))</f>
        <v/>
      </c>
      <c r="I5481" s="24" t="str">
        <f aca="false">IF(OR(E5481="",E5481="!!!",F5481="NEW"),"",INDEX(B16:B$5466,-1+SUMPRODUCT(MAX(ROW(E16:E$5466)*(E5481=E16:E$5466)))))</f>
        <v/>
      </c>
      <c r="J5481" s="24" t="str">
        <f aca="true">IF(OR(E5481="",E5481="!!!",F5481="NEW"),"",COUNTBLANK(OFFSET(A$1,,,SUMPRODUCT(MAX(ROW(E$2:E5481)*(E5481=E$2:E5481)))))-COUNTBLANK(OFFSET(A$1,,,SUMPRODUCT(MAX(ROW(E$1:E5480)*(E2=E$1:E5480))))))</f>
        <v/>
      </c>
      <c r="K5481" s="24" t="str">
        <f aca="false">IF(OR(E5481="",E5481="!!!",F5481="NEW"),"",INDEX(J$1:J5480,SUMPRODUCT(MAX(ROW(E$1:E5480)*(E5481=E$1:E5480)))))</f>
        <v/>
      </c>
      <c r="L5481" s="31"/>
    </row>
    <row r="5482" customFormat="false" ht="15" hidden="false" customHeight="false" outlineLevel="0" collapsed="false">
      <c r="A5482" s="20" t="s">
        <v>1945</v>
      </c>
      <c r="B5482" s="22" t="s">
        <v>1146</v>
      </c>
      <c r="C5482" s="22" t="s">
        <v>1059</v>
      </c>
      <c r="D5482" s="22" t="s">
        <v>1060</v>
      </c>
      <c r="E5482" s="23" t="str">
        <f aca="false">IF(D5482="?OLD","!!!","")</f>
        <v>!!!</v>
      </c>
      <c r="F5482" s="25" t="str">
        <f aca="false">IF(OR(E5482="",E5482="!!!"),"",IF(NOT(ISNA(VLOOKUP(E5482,E$1:E5481,1,FALSE()))),"OLD",IF(AND(E5482&lt;&gt;"",E5482&lt;&gt;"!!!"),"NEW","")))</f>
        <v/>
      </c>
      <c r="G5482" s="26" t="str">
        <f aca="false">IF(OR(E5482="",E5482="!!!"),"",IF(OR(J5482=0,AND(J5482=1,K5482=1),AND(J5482=1,I5482="SBJ"),AND(J5482=1,I5482=0)),"?IN_FOCUS",IF(J5482&lt;=2,"?ACTIVATED",IF(J5482&lt;&gt;"","?FAMILIAR",IF(F5482="NEW",IF(ISNA(VLOOKUP(E5482,#REF!,1,FALSE())),"?TYPE_IDENTIFIABLE","?REFERENTIAL"),"_")))))</f>
        <v/>
      </c>
      <c r="H5482" s="27" t="str">
        <f aca="false">IF(J5482&lt;&gt;1,"",IF(I5482="SBJ","CB","?"))</f>
        <v/>
      </c>
      <c r="I5482" s="24" t="str">
        <f aca="false">IF(OR(E5482="",E5482="!!!",F5482="NEW"),"",INDEX(B17:B$5466,-1+SUMPRODUCT(MAX(ROW(E17:E$5466)*(E5482=E17:E$5466)))))</f>
        <v/>
      </c>
      <c r="J5482" s="24" t="str">
        <f aca="true">IF(OR(E5482="",E5482="!!!",F5482="NEW"),"",COUNTBLANK(OFFSET(A$1,,,SUMPRODUCT(MAX(ROW(E$2:E5482)*(E5482=E$2:E5482)))))-COUNTBLANK(OFFSET(A$1,,,SUMPRODUCT(MAX(ROW(E$1:E5481)*(E2=E$1:E5481))))))</f>
        <v/>
      </c>
      <c r="K5482" s="24" t="str">
        <f aca="false">IF(OR(E5482="",E5482="!!!",F5482="NEW"),"",INDEX(J$1:J5481,SUMPRODUCT(MAX(ROW(E$1:E5481)*(E5482=E$1:E5481)))))</f>
        <v/>
      </c>
      <c r="L5482" s="31"/>
    </row>
    <row r="5483" customFormat="false" ht="15" hidden="false" customHeight="false" outlineLevel="0" collapsed="false">
      <c r="A5483" s="20" t="s">
        <v>1095</v>
      </c>
      <c r="E5483" s="23" t="str">
        <f aca="false">IF(D5483="?OLD","!!!","")</f>
        <v/>
      </c>
      <c r="F5483" s="25" t="str">
        <f aca="false">IF(OR(E5483="",E5483="!!!"),"",IF(NOT(ISNA(VLOOKUP(E5483,E$1:E5482,1,FALSE()))),"OLD",IF(AND(E5483&lt;&gt;"",E5483&lt;&gt;"!!!"),"NEW","")))</f>
        <v/>
      </c>
      <c r="G5483" s="26" t="str">
        <f aca="false">IF(OR(E5483="",E5483="!!!"),"",IF(OR(J5483=0,AND(J5483=1,K5483=1),AND(J5483=1,I5483="SBJ"),AND(J5483=1,I5483=0)),"?IN_FOCUS",IF(J5483&lt;=2,"?ACTIVATED",IF(J5483&lt;&gt;"","?FAMILIAR",IF(F5483="NEW",IF(ISNA(VLOOKUP(E5483,#REF!,1,FALSE())),"?TYPE_IDENTIFIABLE","?REFERENTIAL"),"_")))))</f>
        <v/>
      </c>
      <c r="H5483" s="27" t="str">
        <f aca="false">IF(J5483&lt;&gt;1,"",IF(I5483="SBJ","CB","?"))</f>
        <v/>
      </c>
      <c r="I5483" s="24" t="str">
        <f aca="false">IF(OR(E5483="",E5483="!!!",F5483="NEW"),"",INDEX(B18:B$5466,-1+SUMPRODUCT(MAX(ROW(E18:E$5466)*(E5483=E18:E$5466)))))</f>
        <v/>
      </c>
      <c r="J5483" s="24" t="str">
        <f aca="true">IF(OR(E5483="",E5483="!!!",F5483="NEW"),"",COUNTBLANK(OFFSET(A$1,,,SUMPRODUCT(MAX(ROW(E$2:E5483)*(E5483=E$2:E5483)))))-COUNTBLANK(OFFSET(A$1,,,SUMPRODUCT(MAX(ROW(E$1:E5482)*(E2=E$1:E5482))))))</f>
        <v/>
      </c>
      <c r="K5483" s="24" t="str">
        <f aca="false">IF(OR(E5483="",E5483="!!!",F5483="NEW"),"",INDEX(J$1:J5482,SUMPRODUCT(MAX(ROW(E$1:E5482)*(E5483=E$1:E5482)))))</f>
        <v/>
      </c>
      <c r="L5483" s="31"/>
    </row>
    <row r="5484" customFormat="false" ht="15" hidden="false" customHeight="false" outlineLevel="0" collapsed="false">
      <c r="A5484" s="20" t="s">
        <v>1097</v>
      </c>
      <c r="B5484" s="22" t="s">
        <v>1107</v>
      </c>
      <c r="C5484" s="22" t="s">
        <v>1099</v>
      </c>
      <c r="D5484" s="22" t="s">
        <v>1060</v>
      </c>
      <c r="E5484" s="23" t="str">
        <f aca="false">IF(D5484="?OLD","!!!","")</f>
        <v>!!!</v>
      </c>
      <c r="F5484" s="25" t="str">
        <f aca="false">IF(OR(E5484="",E5484="!!!"),"",IF(NOT(ISNA(VLOOKUP(E5484,E$1:E5483,1,FALSE()))),"OLD",IF(AND(E5484&lt;&gt;"",E5484&lt;&gt;"!!!"),"NEW","")))</f>
        <v/>
      </c>
      <c r="G5484" s="26" t="str">
        <f aca="false">IF(OR(E5484="",E5484="!!!"),"",IF(OR(J5484=0,AND(J5484=1,K5484=1),AND(J5484=1,I5484="SBJ"),AND(J5484=1,I5484=0)),"?IN_FOCUS",IF(J5484&lt;=2,"?ACTIVATED",IF(J5484&lt;&gt;"","?FAMILIAR",IF(F5484="NEW",IF(ISNA(VLOOKUP(E5484,#REF!,1,FALSE())),"?TYPE_IDENTIFIABLE","?REFERENTIAL"),"_")))))</f>
        <v/>
      </c>
      <c r="H5484" s="27" t="str">
        <f aca="false">IF(J5484&lt;&gt;1,"",IF(I5484="SBJ","CB","?"))</f>
        <v/>
      </c>
      <c r="I5484" s="24" t="str">
        <f aca="false">IF(OR(E5484="",E5484="!!!",F5484="NEW"),"",INDEX(B19:B$5466,-1+SUMPRODUCT(MAX(ROW(E19:E$5466)*(E5484=E19:E$5466)))))</f>
        <v/>
      </c>
      <c r="J5484" s="24" t="str">
        <f aca="true">IF(OR(E5484="",E5484="!!!",F5484="NEW"),"",COUNTBLANK(OFFSET(A$1,,,SUMPRODUCT(MAX(ROW(E$2:E5484)*(E5484=E$2:E5484)))))-COUNTBLANK(OFFSET(A$1,,,SUMPRODUCT(MAX(ROW(E$1:E5483)*(E2=E$1:E5483))))))</f>
        <v/>
      </c>
      <c r="K5484" s="24" t="str">
        <f aca="false">IF(OR(E5484="",E5484="!!!",F5484="NEW"),"",INDEX(J$1:J5483,SUMPRODUCT(MAX(ROW(E$1:E5483)*(E5484=E$1:E5483)))))</f>
        <v/>
      </c>
      <c r="L5484" s="31"/>
    </row>
    <row r="5485" customFormat="false" ht="15" hidden="false" customHeight="false" outlineLevel="0" collapsed="false">
      <c r="A5485" s="20" t="s">
        <v>2028</v>
      </c>
      <c r="B5485" s="22" t="s">
        <v>1067</v>
      </c>
      <c r="C5485" s="22" t="s">
        <v>1059</v>
      </c>
      <c r="D5485" s="22" t="s">
        <v>1060</v>
      </c>
      <c r="E5485" s="23" t="str">
        <f aca="false">IF(D5485="?OLD","!!!","")</f>
        <v>!!!</v>
      </c>
      <c r="F5485" s="25" t="str">
        <f aca="false">IF(OR(E5485="",E5485="!!!"),"",IF(NOT(ISNA(VLOOKUP(E5485,E$1:E5484,1,FALSE()))),"OLD",IF(AND(E5485&lt;&gt;"",E5485&lt;&gt;"!!!"),"NEW","")))</f>
        <v/>
      </c>
      <c r="G5485" s="26" t="str">
        <f aca="false">IF(OR(E5485="",E5485="!!!"),"",IF(OR(J5485=0,AND(J5485=1,K5485=1),AND(J5485=1,I5485="SBJ"),AND(J5485=1,I5485=0)),"?IN_FOCUS",IF(J5485&lt;=2,"?ACTIVATED",IF(J5485&lt;&gt;"","?FAMILIAR",IF(F5485="NEW",IF(ISNA(VLOOKUP(E5485,#REF!,1,FALSE())),"?TYPE_IDENTIFIABLE","?REFERENTIAL"),"_")))))</f>
        <v/>
      </c>
      <c r="H5485" s="27" t="str">
        <f aca="false">IF(J5485&lt;&gt;1,"",IF(I5485="SBJ","CB","?"))</f>
        <v/>
      </c>
      <c r="I5485" s="24" t="str">
        <f aca="false">IF(OR(E5485="",E5485="!!!",F5485="NEW"),"",INDEX(B20:B$5466,-1+SUMPRODUCT(MAX(ROW(E20:E$5466)*(E5485=E20:E$5466)))))</f>
        <v/>
      </c>
      <c r="J5485" s="24" t="str">
        <f aca="true">IF(OR(E5485="",E5485="!!!",F5485="NEW"),"",COUNTBLANK(OFFSET(A$1,,,SUMPRODUCT(MAX(ROW(E$2:E5485)*(E5485=E$2:E5485)))))-COUNTBLANK(OFFSET(A$1,,,SUMPRODUCT(MAX(ROW(E$1:E5484)*(E2=E$1:E5484))))))</f>
        <v/>
      </c>
      <c r="K5485" s="24" t="str">
        <f aca="false">IF(OR(E5485="",E5485="!!!",F5485="NEW"),"",INDEX(J$1:J5484,SUMPRODUCT(MAX(ROW(E$1:E5484)*(E5485=E$1:E5484)))))</f>
        <v/>
      </c>
      <c r="L5485" s="31"/>
    </row>
    <row r="5486" customFormat="false" ht="15" hidden="false" customHeight="false" outlineLevel="0" collapsed="false">
      <c r="A5486" s="20" t="s">
        <v>1076</v>
      </c>
      <c r="E5486" s="23" t="str">
        <f aca="false">IF(D5486="?OLD","!!!","")</f>
        <v/>
      </c>
      <c r="F5486" s="25" t="str">
        <f aca="false">IF(OR(E5486="",E5486="!!!"),"",IF(NOT(ISNA(VLOOKUP(E5486,E$1:E5485,1,FALSE()))),"OLD",IF(AND(E5486&lt;&gt;"",E5486&lt;&gt;"!!!"),"NEW","")))</f>
        <v/>
      </c>
      <c r="G5486" s="26" t="str">
        <f aca="false">IF(OR(E5486="",E5486="!!!"),"",IF(OR(J5486=0,AND(J5486=1,K5486=1),AND(J5486=1,I5486="SBJ"),AND(J5486=1,I5486=0)),"?IN_FOCUS",IF(J5486&lt;=2,"?ACTIVATED",IF(J5486&lt;&gt;"","?FAMILIAR",IF(F5486="NEW",IF(ISNA(VLOOKUP(E5486,#REF!,1,FALSE())),"?TYPE_IDENTIFIABLE","?REFERENTIAL"),"_")))))</f>
        <v/>
      </c>
      <c r="H5486" s="27" t="str">
        <f aca="false">IF(J5486&lt;&gt;1,"",IF(I5486="SBJ","CB","?"))</f>
        <v/>
      </c>
      <c r="I5486" s="24" t="str">
        <f aca="false">IF(OR(E5486="",E5486="!!!",F5486="NEW"),"",INDEX(B21:B$5466,-1+SUMPRODUCT(MAX(ROW(E21:E$5466)*(E5486=E21:E$5466)))))</f>
        <v/>
      </c>
      <c r="J5486" s="24" t="str">
        <f aca="true">IF(OR(E5486="",E5486="!!!",F5486="NEW"),"",COUNTBLANK(OFFSET(A$1,,,SUMPRODUCT(MAX(ROW(E$2:E5486)*(E5486=E$2:E5486)))))-COUNTBLANK(OFFSET(A$1,,,SUMPRODUCT(MAX(ROW(E$1:E5485)*(E2=E$1:E5485))))))</f>
        <v/>
      </c>
      <c r="K5486" s="24" t="str">
        <f aca="false">IF(OR(E5486="",E5486="!!!",F5486="NEW"),"",INDEX(J$1:J5485,SUMPRODUCT(MAX(ROW(E$1:E5485)*(E5486=E$1:E5485)))))</f>
        <v/>
      </c>
      <c r="L5486" s="31"/>
    </row>
    <row r="5487" customFormat="false" ht="15" hidden="false" customHeight="false" outlineLevel="0" collapsed="false">
      <c r="A5487" s="20" t="s">
        <v>1201</v>
      </c>
      <c r="B5487" s="22" t="s">
        <v>1086</v>
      </c>
      <c r="C5487" s="22" t="s">
        <v>1202</v>
      </c>
      <c r="E5487" s="23" t="str">
        <f aca="false">IF(D5487="?OLD","!!!","")</f>
        <v/>
      </c>
      <c r="F5487" s="25" t="str">
        <f aca="false">IF(OR(E5487="",E5487="!!!"),"",IF(NOT(ISNA(VLOOKUP(E5487,E$1:E5486,1,FALSE()))),"OLD",IF(AND(E5487&lt;&gt;"",E5487&lt;&gt;"!!!"),"NEW","")))</f>
        <v/>
      </c>
      <c r="G5487" s="26" t="str">
        <f aca="false">IF(OR(E5487="",E5487="!!!"),"",IF(OR(J5487=0,AND(J5487=1,K5487=1),AND(J5487=1,I5487="SBJ"),AND(J5487=1,I5487=0)),"?IN_FOCUS",IF(J5487&lt;=2,"?ACTIVATED",IF(J5487&lt;&gt;"","?FAMILIAR",IF(F5487="NEW",IF(ISNA(VLOOKUP(E5487,#REF!,1,FALSE())),"?TYPE_IDENTIFIABLE","?REFERENTIAL"),"_")))))</f>
        <v/>
      </c>
      <c r="H5487" s="27" t="str">
        <f aca="false">IF(J5487&lt;&gt;1,"",IF(I5487="SBJ","CB","?"))</f>
        <v/>
      </c>
      <c r="I5487" s="24" t="str">
        <f aca="false">IF(OR(E5487="",E5487="!!!",F5487="NEW"),"",INDEX(B22:B$5466,-1+SUMPRODUCT(MAX(ROW(E22:E$5466)*(E5487=E22:E$5466)))))</f>
        <v/>
      </c>
      <c r="J5487" s="24" t="str">
        <f aca="true">IF(OR(E5487="",E5487="!!!",F5487="NEW"),"",COUNTBLANK(OFFSET(A$1,,,SUMPRODUCT(MAX(ROW(E$2:E5487)*(E5487=E$2:E5487)))))-COUNTBLANK(OFFSET(A$1,,,SUMPRODUCT(MAX(ROW(E$1:E5486)*(E2=E$1:E5486))))))</f>
        <v/>
      </c>
      <c r="K5487" s="24" t="str">
        <f aca="false">IF(OR(E5487="",E5487="!!!",F5487="NEW"),"",INDEX(J$1:J5486,SUMPRODUCT(MAX(ROW(E$1:E5486)*(E5487=E$1:E5486)))))</f>
        <v/>
      </c>
      <c r="L5487" s="31"/>
    </row>
    <row r="5488" customFormat="false" ht="15" hidden="false" customHeight="false" outlineLevel="0" collapsed="false">
      <c r="A5488" s="20" t="s">
        <v>2604</v>
      </c>
      <c r="E5488" s="23" t="str">
        <f aca="false">IF(D5488="?OLD","!!!","")</f>
        <v/>
      </c>
      <c r="F5488" s="25" t="str">
        <f aca="false">IF(OR(E5488="",E5488="!!!"),"",IF(NOT(ISNA(VLOOKUP(E5488,E$1:E5487,1,FALSE()))),"OLD",IF(AND(E5488&lt;&gt;"",E5488&lt;&gt;"!!!"),"NEW","")))</f>
        <v/>
      </c>
      <c r="G5488" s="26" t="str">
        <f aca="false">IF(OR(E5488="",E5488="!!!"),"",IF(OR(J5488=0,AND(J5488=1,K5488=1),AND(J5488=1,I5488="SBJ"),AND(J5488=1,I5488=0)),"?IN_FOCUS",IF(J5488&lt;=2,"?ACTIVATED",IF(J5488&lt;&gt;"","?FAMILIAR",IF(F5488="NEW",IF(ISNA(VLOOKUP(E5488,#REF!,1,FALSE())),"?TYPE_IDENTIFIABLE","?REFERENTIAL"),"_")))))</f>
        <v/>
      </c>
      <c r="H5488" s="27" t="str">
        <f aca="false">IF(J5488&lt;&gt;1,"",IF(I5488="SBJ","CB","?"))</f>
        <v/>
      </c>
      <c r="I5488" s="24" t="str">
        <f aca="false">IF(OR(E5488="",E5488="!!!",F5488="NEW"),"",INDEX(B23:B$5466,-1+SUMPRODUCT(MAX(ROW(E23:E$5466)*(E5488=E23:E$5466)))))</f>
        <v/>
      </c>
      <c r="J5488" s="24" t="str">
        <f aca="true">IF(OR(E5488="",E5488="!!!",F5488="NEW"),"",COUNTBLANK(OFFSET(A$1,,,SUMPRODUCT(MAX(ROW(E$2:E5488)*(E5488=E$2:E5488)))))-COUNTBLANK(OFFSET(A$1,,,SUMPRODUCT(MAX(ROW(E$1:E5487)*(E2=E$1:E5487))))))</f>
        <v/>
      </c>
      <c r="K5488" s="24" t="str">
        <f aca="false">IF(OR(E5488="",E5488="!!!",F5488="NEW"),"",INDEX(J$1:J5487,SUMPRODUCT(MAX(ROW(E$1:E5487)*(E5488=E$1:E5487)))))</f>
        <v/>
      </c>
      <c r="L5488" s="31"/>
    </row>
    <row r="5489" customFormat="false" ht="15" hidden="false" customHeight="false" outlineLevel="0" collapsed="false">
      <c r="A5489" s="20" t="s">
        <v>1207</v>
      </c>
      <c r="E5489" s="23" t="str">
        <f aca="false">IF(D5489="?OLD","!!!","")</f>
        <v/>
      </c>
      <c r="F5489" s="25" t="str">
        <f aca="false">IF(OR(E5489="",E5489="!!!"),"",IF(NOT(ISNA(VLOOKUP(E5489,E$1:E5488,1,FALSE()))),"OLD",IF(AND(E5489&lt;&gt;"",E5489&lt;&gt;"!!!"),"NEW","")))</f>
        <v/>
      </c>
      <c r="G5489" s="26" t="str">
        <f aca="false">IF(OR(E5489="",E5489="!!!"),"",IF(OR(J5489=0,AND(J5489=1,K5489=1),AND(J5489=1,I5489="SBJ"),AND(J5489=1,I5489=0)),"?IN_FOCUS",IF(J5489&lt;=2,"?ACTIVATED",IF(J5489&lt;&gt;"","?FAMILIAR",IF(F5489="NEW",IF(ISNA(VLOOKUP(E5489,#REF!,1,FALSE())),"?TYPE_IDENTIFIABLE","?REFERENTIAL"),"_")))))</f>
        <v/>
      </c>
      <c r="H5489" s="27" t="str">
        <f aca="false">IF(J5489&lt;&gt;1,"",IF(I5489="SBJ","CB","?"))</f>
        <v/>
      </c>
      <c r="I5489" s="24" t="str">
        <f aca="false">IF(OR(E5489="",E5489="!!!",F5489="NEW"),"",INDEX(B24:B$5466,-1+SUMPRODUCT(MAX(ROW(E24:E$5466)*(E5489=E24:E$5466)))))</f>
        <v/>
      </c>
      <c r="J5489" s="24" t="str">
        <f aca="true">IF(OR(E5489="",E5489="!!!",F5489="NEW"),"",COUNTBLANK(OFFSET(A$1,,,SUMPRODUCT(MAX(ROW(E$2:E5489)*(E5489=E$2:E5489)))))-COUNTBLANK(OFFSET(A$1,,,SUMPRODUCT(MAX(ROW(E$1:E5488)*(E2=E$1:E5488))))))</f>
        <v/>
      </c>
      <c r="K5489" s="24" t="str">
        <f aca="false">IF(OR(E5489="",E5489="!!!",F5489="NEW"),"",INDEX(J$1:J5488,SUMPRODUCT(MAX(ROW(E$1:E5488)*(E5489=E$1:E5488)))))</f>
        <v/>
      </c>
      <c r="L5489" s="31"/>
    </row>
    <row r="5490" customFormat="false" ht="15" hidden="false" customHeight="false" outlineLevel="0" collapsed="false">
      <c r="A5490" s="20" t="s">
        <v>2605</v>
      </c>
      <c r="E5490" s="23" t="str">
        <f aca="false">IF(D5490="?OLD","!!!","")</f>
        <v/>
      </c>
      <c r="F5490" s="25" t="str">
        <f aca="false">IF(OR(E5490="",E5490="!!!"),"",IF(NOT(ISNA(VLOOKUP(E5490,E$1:E5489,1,FALSE()))),"OLD",IF(AND(E5490&lt;&gt;"",E5490&lt;&gt;"!!!"),"NEW","")))</f>
        <v/>
      </c>
      <c r="G5490" s="26" t="str">
        <f aca="false">IF(OR(E5490="",E5490="!!!"),"",IF(OR(J5490=0,AND(J5490=1,K5490=1),AND(J5490=1,I5490="SBJ"),AND(J5490=1,I5490=0)),"?IN_FOCUS",IF(J5490&lt;=2,"?ACTIVATED",IF(J5490&lt;&gt;"","?FAMILIAR",IF(F5490="NEW",IF(ISNA(VLOOKUP(E5490,#REF!,1,FALSE())),"?TYPE_IDENTIFIABLE","?REFERENTIAL"),"_")))))</f>
        <v/>
      </c>
      <c r="H5490" s="27" t="str">
        <f aca="false">IF(J5490&lt;&gt;1,"",IF(I5490="SBJ","CB","?"))</f>
        <v/>
      </c>
      <c r="I5490" s="24" t="str">
        <f aca="false">IF(OR(E5490="",E5490="!!!",F5490="NEW"),"",INDEX(B25:B$5466,-1+SUMPRODUCT(MAX(ROW(E25:E$5466)*(E5490=E25:E$5466)))))</f>
        <v/>
      </c>
      <c r="J5490" s="24" t="str">
        <f aca="true">IF(OR(E5490="",E5490="!!!",F5490="NEW"),"",COUNTBLANK(OFFSET(A$1,,,SUMPRODUCT(MAX(ROW(E$2:E5490)*(E5490=E$2:E5490)))))-COUNTBLANK(OFFSET(A$1,,,SUMPRODUCT(MAX(ROW(E$1:E5489)*(E2=E$1:E5489))))))</f>
        <v/>
      </c>
      <c r="K5490" s="24" t="str">
        <f aca="false">IF(OR(E5490="",E5490="!!!",F5490="NEW"),"",INDEX(J$1:J5489,SUMPRODUCT(MAX(ROW(E$1:E5489)*(E5490=E$1:E5489)))))</f>
        <v/>
      </c>
      <c r="L5490" s="31"/>
    </row>
    <row r="5491" customFormat="false" ht="15" hidden="false" customHeight="false" outlineLevel="0" collapsed="false">
      <c r="A5491" s="20" t="s">
        <v>1095</v>
      </c>
      <c r="E5491" s="23" t="str">
        <f aca="false">IF(D5491="?OLD","!!!","")</f>
        <v/>
      </c>
      <c r="F5491" s="25" t="str">
        <f aca="false">IF(OR(E5491="",E5491="!!!"),"",IF(NOT(ISNA(VLOOKUP(E5491,E$1:E5490,1,FALSE()))),"OLD",IF(AND(E5491&lt;&gt;"",E5491&lt;&gt;"!!!"),"NEW","")))</f>
        <v/>
      </c>
      <c r="G5491" s="26" t="str">
        <f aca="false">IF(OR(E5491="",E5491="!!!"),"",IF(OR(J5491=0,AND(J5491=1,K5491=1),AND(J5491=1,I5491="SBJ"),AND(J5491=1,I5491=0)),"?IN_FOCUS",IF(J5491&lt;=2,"?ACTIVATED",IF(J5491&lt;&gt;"","?FAMILIAR",IF(F5491="NEW",IF(ISNA(VLOOKUP(E5491,#REF!,1,FALSE())),"?TYPE_IDENTIFIABLE","?REFERENTIAL"),"_")))))</f>
        <v/>
      </c>
      <c r="H5491" s="27" t="str">
        <f aca="false">IF(J5491&lt;&gt;1,"",IF(I5491="SBJ","CB","?"))</f>
        <v/>
      </c>
      <c r="I5491" s="24" t="str">
        <f aca="false">IF(OR(E5491="",E5491="!!!",F5491="NEW"),"",INDEX(B26:B$5466,-1+SUMPRODUCT(MAX(ROW(E26:E$5466)*(E5491=E26:E$5466)))))</f>
        <v/>
      </c>
      <c r="J5491" s="24" t="str">
        <f aca="true">IF(OR(E5491="",E5491="!!!",F5491="NEW"),"",COUNTBLANK(OFFSET(A$1,,,SUMPRODUCT(MAX(ROW(E$2:E5491)*(E5491=E$2:E5491)))))-COUNTBLANK(OFFSET(A$1,,,SUMPRODUCT(MAX(ROW(E$1:E5490)*(E2=E$1:E5490))))))</f>
        <v/>
      </c>
      <c r="K5491" s="24" t="str">
        <f aca="false">IF(OR(E5491="",E5491="!!!",F5491="NEW"),"",INDEX(J$1:J5490,SUMPRODUCT(MAX(ROW(E$1:E5490)*(E5491=E$1:E5490)))))</f>
        <v/>
      </c>
      <c r="L5491" s="31"/>
    </row>
    <row r="5492" customFormat="false" ht="15" hidden="false" customHeight="false" outlineLevel="0" collapsed="false">
      <c r="A5492" s="20" t="s">
        <v>2606</v>
      </c>
      <c r="E5492" s="23" t="str">
        <f aca="false">IF(D5492="?OLD","!!!","")</f>
        <v/>
      </c>
      <c r="F5492" s="25" t="str">
        <f aca="false">IF(OR(E5492="",E5492="!!!"),"",IF(NOT(ISNA(VLOOKUP(E5492,E$1:E5491,1,FALSE()))),"OLD",IF(AND(E5492&lt;&gt;"",E5492&lt;&gt;"!!!"),"NEW","")))</f>
        <v/>
      </c>
      <c r="G5492" s="26" t="str">
        <f aca="false">IF(OR(E5492="",E5492="!!!"),"",IF(OR(J5492=0,AND(J5492=1,K5492=1),AND(J5492=1,I5492="SBJ"),AND(J5492=1,I5492=0)),"?IN_FOCUS",IF(J5492&lt;=2,"?ACTIVATED",IF(J5492&lt;&gt;"","?FAMILIAR",IF(F5492="NEW",IF(ISNA(VLOOKUP(E5492,#REF!,1,FALSE())),"?TYPE_IDENTIFIABLE","?REFERENTIAL"),"_")))))</f>
        <v/>
      </c>
      <c r="H5492" s="27" t="str">
        <f aca="false">IF(J5492&lt;&gt;1,"",IF(I5492="SBJ","CB","?"))</f>
        <v/>
      </c>
      <c r="I5492" s="24" t="str">
        <f aca="false">IF(OR(E5492="",E5492="!!!",F5492="NEW"),"",INDEX(B27:B$5466,-1+SUMPRODUCT(MAX(ROW(E27:E$5466)*(E5492=E27:E$5466)))))</f>
        <v/>
      </c>
      <c r="J5492" s="24" t="str">
        <f aca="true">IF(OR(E5492="",E5492="!!!",F5492="NEW"),"",COUNTBLANK(OFFSET(A$1,,,SUMPRODUCT(MAX(ROW(E$2:E5492)*(E5492=E$2:E5492)))))-COUNTBLANK(OFFSET(A$1,,,SUMPRODUCT(MAX(ROW(E$1:E5491)*(E2=E$1:E5491))))))</f>
        <v/>
      </c>
      <c r="K5492" s="24" t="str">
        <f aca="false">IF(OR(E5492="",E5492="!!!",F5492="NEW"),"",INDEX(J$1:J5491,SUMPRODUCT(MAX(ROW(E$1:E5491)*(E5492=E$1:E5491)))))</f>
        <v/>
      </c>
      <c r="L5492" s="31"/>
    </row>
    <row r="5493" customFormat="false" ht="15" hidden="false" customHeight="false" outlineLevel="0" collapsed="false">
      <c r="A5493" s="20" t="s">
        <v>1752</v>
      </c>
      <c r="E5493" s="23" t="str">
        <f aca="false">IF(D5493="?OLD","!!!","")</f>
        <v/>
      </c>
      <c r="F5493" s="25" t="str">
        <f aca="false">IF(OR(E5493="",E5493="!!!"),"",IF(NOT(ISNA(VLOOKUP(E5493,E$1:E5492,1,FALSE()))),"OLD",IF(AND(E5493&lt;&gt;"",E5493&lt;&gt;"!!!"),"NEW","")))</f>
        <v/>
      </c>
      <c r="G5493" s="26" t="str">
        <f aca="false">IF(OR(E5493="",E5493="!!!"),"",IF(OR(J5493=0,AND(J5493=1,K5493=1),AND(J5493=1,I5493="SBJ"),AND(J5493=1,I5493=0)),"?IN_FOCUS",IF(J5493&lt;=2,"?ACTIVATED",IF(J5493&lt;&gt;"","?FAMILIAR",IF(F5493="NEW",IF(ISNA(VLOOKUP(E5493,#REF!,1,FALSE())),"?TYPE_IDENTIFIABLE","?REFERENTIAL"),"_")))))</f>
        <v/>
      </c>
      <c r="H5493" s="27" t="str">
        <f aca="false">IF(J5493&lt;&gt;1,"",IF(I5493="SBJ","CB","?"))</f>
        <v/>
      </c>
      <c r="I5493" s="24" t="str">
        <f aca="false">IF(OR(E5493="",E5493="!!!",F5493="NEW"),"",INDEX(B28:B$5466,-1+SUMPRODUCT(MAX(ROW(E28:E$5466)*(E5493=E28:E$5466)))))</f>
        <v/>
      </c>
      <c r="J5493" s="24" t="str">
        <f aca="true">IF(OR(E5493="",E5493="!!!",F5493="NEW"),"",COUNTBLANK(OFFSET(A$1,,,SUMPRODUCT(MAX(ROW(E$2:E5493)*(E5493=E$2:E5493)))))-COUNTBLANK(OFFSET(A$1,,,SUMPRODUCT(MAX(ROW(E$1:E5492)*(E2=E$1:E5492))))))</f>
        <v/>
      </c>
      <c r="K5493" s="24" t="str">
        <f aca="false">IF(OR(E5493="",E5493="!!!",F5493="NEW"),"",INDEX(J$1:J5492,SUMPRODUCT(MAX(ROW(E$1:E5492)*(E5493=E$1:E5492)))))</f>
        <v/>
      </c>
      <c r="L5493" s="31"/>
    </row>
    <row r="5494" customFormat="false" ht="15" hidden="false" customHeight="false" outlineLevel="0" collapsed="false">
      <c r="A5494" s="20" t="s">
        <v>2607</v>
      </c>
      <c r="E5494" s="23" t="str">
        <f aca="false">IF(D5494="?OLD","!!!","")</f>
        <v/>
      </c>
      <c r="F5494" s="25" t="str">
        <f aca="false">IF(OR(E5494="",E5494="!!!"),"",IF(NOT(ISNA(VLOOKUP(E5494,E$1:E5493,1,FALSE()))),"OLD",IF(AND(E5494&lt;&gt;"",E5494&lt;&gt;"!!!"),"NEW","")))</f>
        <v/>
      </c>
      <c r="G5494" s="26" t="str">
        <f aca="false">IF(OR(E5494="",E5494="!!!"),"",IF(OR(J5494=0,AND(J5494=1,K5494=1),AND(J5494=1,I5494="SBJ"),AND(J5494=1,I5494=0)),"?IN_FOCUS",IF(J5494&lt;=2,"?ACTIVATED",IF(J5494&lt;&gt;"","?FAMILIAR",IF(F5494="NEW",IF(ISNA(VLOOKUP(E5494,#REF!,1,FALSE())),"?TYPE_IDENTIFIABLE","?REFERENTIAL"),"_")))))</f>
        <v/>
      </c>
      <c r="H5494" s="27" t="str">
        <f aca="false">IF(J5494&lt;&gt;1,"",IF(I5494="SBJ","CB","?"))</f>
        <v/>
      </c>
      <c r="I5494" s="24" t="str">
        <f aca="false">IF(OR(E5494="",E5494="!!!",F5494="NEW"),"",INDEX(B29:B$5466,-1+SUMPRODUCT(MAX(ROW(E29:E$5466)*(E5494=E29:E$5466)))))</f>
        <v/>
      </c>
      <c r="J5494" s="24" t="str">
        <f aca="true">IF(OR(E5494="",E5494="!!!",F5494="NEW"),"",COUNTBLANK(OFFSET(A$1,,,SUMPRODUCT(MAX(ROW(E$2:E5494)*(E5494=E$2:E5494)))))-COUNTBLANK(OFFSET(A$1,,,SUMPRODUCT(MAX(ROW(E$1:E5493)*(E2=E$1:E5493))))))</f>
        <v/>
      </c>
      <c r="K5494" s="24" t="str">
        <f aca="false">IF(OR(E5494="",E5494="!!!",F5494="NEW"),"",INDEX(J$1:J5493,SUMPRODUCT(MAX(ROW(E$1:E5493)*(E5494=E$1:E5493)))))</f>
        <v/>
      </c>
      <c r="L5494" s="31"/>
    </row>
    <row r="5495" customFormat="false" ht="15" hidden="false" customHeight="false" outlineLevel="0" collapsed="false">
      <c r="A5495" s="20" t="s">
        <v>1410</v>
      </c>
      <c r="E5495" s="23" t="str">
        <f aca="false">IF(D5495="?OLD","!!!","")</f>
        <v/>
      </c>
      <c r="F5495" s="25" t="str">
        <f aca="false">IF(OR(E5495="",E5495="!!!"),"",IF(NOT(ISNA(VLOOKUP(E5495,E$1:E5494,1,FALSE()))),"OLD",IF(AND(E5495&lt;&gt;"",E5495&lt;&gt;"!!!"),"NEW","")))</f>
        <v/>
      </c>
      <c r="G5495" s="26" t="str">
        <f aca="false">IF(OR(E5495="",E5495="!!!"),"",IF(OR(J5495=0,AND(J5495=1,K5495=1),AND(J5495=1,I5495="SBJ"),AND(J5495=1,I5495=0)),"?IN_FOCUS",IF(J5495&lt;=2,"?ACTIVATED",IF(J5495&lt;&gt;"","?FAMILIAR",IF(F5495="NEW",IF(ISNA(VLOOKUP(E5495,#REF!,1,FALSE())),"?TYPE_IDENTIFIABLE","?REFERENTIAL"),"_")))))</f>
        <v/>
      </c>
      <c r="H5495" s="27" t="str">
        <f aca="false">IF(J5495&lt;&gt;1,"",IF(I5495="SBJ","CB","?"))</f>
        <v/>
      </c>
      <c r="I5495" s="24" t="str">
        <f aca="false">IF(OR(E5495="",E5495="!!!",F5495="NEW"),"",INDEX(B30:B$5466,-1+SUMPRODUCT(MAX(ROW(E30:E$5466)*(E5495=E30:E$5466)))))</f>
        <v/>
      </c>
      <c r="J5495" s="24" t="str">
        <f aca="true">IF(OR(E5495="",E5495="!!!",F5495="NEW"),"",COUNTBLANK(OFFSET(A$1,,,SUMPRODUCT(MAX(ROW(E$2:E5495)*(E5495=E$2:E5495)))))-COUNTBLANK(OFFSET(A$1,,,SUMPRODUCT(MAX(ROW(E$1:E5494)*(E2=E$1:E5494))))))</f>
        <v/>
      </c>
      <c r="K5495" s="24" t="str">
        <f aca="false">IF(OR(E5495="",E5495="!!!",F5495="NEW"),"",INDEX(J$1:J5494,SUMPRODUCT(MAX(ROW(E$1:E5494)*(E5495=E$1:E5494)))))</f>
        <v/>
      </c>
      <c r="L5495" s="31"/>
    </row>
    <row r="5496" customFormat="false" ht="15" hidden="false" customHeight="false" outlineLevel="0" collapsed="false">
      <c r="A5496" s="20" t="s">
        <v>1860</v>
      </c>
      <c r="E5496" s="23" t="str">
        <f aca="false">IF(D5496="?OLD","!!!","")</f>
        <v/>
      </c>
      <c r="F5496" s="25" t="str">
        <f aca="false">IF(OR(E5496="",E5496="!!!"),"",IF(NOT(ISNA(VLOOKUP(E5496,E$1:E5495,1,FALSE()))),"OLD",IF(AND(E5496&lt;&gt;"",E5496&lt;&gt;"!!!"),"NEW","")))</f>
        <v/>
      </c>
      <c r="G5496" s="26" t="str">
        <f aca="false">IF(OR(E5496="",E5496="!!!"),"",IF(OR(J5496=0,AND(J5496=1,K5496=1),AND(J5496=1,I5496="SBJ"),AND(J5496=1,I5496=0)),"?IN_FOCUS",IF(J5496&lt;=2,"?ACTIVATED",IF(J5496&lt;&gt;"","?FAMILIAR",IF(F5496="NEW",IF(ISNA(VLOOKUP(E5496,#REF!,1,FALSE())),"?TYPE_IDENTIFIABLE","?REFERENTIAL"),"_")))))</f>
        <v/>
      </c>
      <c r="H5496" s="27" t="str">
        <f aca="false">IF(J5496&lt;&gt;1,"",IF(I5496="SBJ","CB","?"))</f>
        <v/>
      </c>
      <c r="I5496" s="24" t="str">
        <f aca="false">IF(OR(E5496="",E5496="!!!",F5496="NEW"),"",INDEX(B31:B$5466,-1+SUMPRODUCT(MAX(ROW(E31:E$5466)*(E5496=E31:E$5466)))))</f>
        <v/>
      </c>
      <c r="J5496" s="24" t="str">
        <f aca="true">IF(OR(E5496="",E5496="!!!",F5496="NEW"),"",COUNTBLANK(OFFSET(A$1,,,SUMPRODUCT(MAX(ROW(E$2:E5496)*(E5496=E$2:E5496)))))-COUNTBLANK(OFFSET(A$1,,,SUMPRODUCT(MAX(ROW(E$1:E5495)*(E2=E$1:E5495))))))</f>
        <v/>
      </c>
      <c r="K5496" s="24" t="str">
        <f aca="false">IF(OR(E5496="",E5496="!!!",F5496="NEW"),"",INDEX(J$1:J5495,SUMPRODUCT(MAX(ROW(E$1:E5495)*(E5496=E$1:E5495)))))</f>
        <v/>
      </c>
      <c r="L5496" s="31"/>
    </row>
    <row r="5497" customFormat="false" ht="15" hidden="false" customHeight="false" outlineLevel="0" collapsed="false">
      <c r="A5497" s="20" t="s">
        <v>1085</v>
      </c>
      <c r="E5497" s="23" t="str">
        <f aca="false">IF(D5497="?OLD","!!!","")</f>
        <v/>
      </c>
      <c r="F5497" s="25" t="str">
        <f aca="false">IF(OR(E5497="",E5497="!!!"),"",IF(NOT(ISNA(VLOOKUP(E5497,E$1:E5496,1,FALSE()))),"OLD",IF(AND(E5497&lt;&gt;"",E5497&lt;&gt;"!!!"),"NEW","")))</f>
        <v/>
      </c>
      <c r="G5497" s="26" t="str">
        <f aca="false">IF(OR(E5497="",E5497="!!!"),"",IF(OR(J5497=0,AND(J5497=1,K5497=1),AND(J5497=1,I5497="SBJ"),AND(J5497=1,I5497=0)),"?IN_FOCUS",IF(J5497&lt;=2,"?ACTIVATED",IF(J5497&lt;&gt;"","?FAMILIAR",IF(F5497="NEW",IF(ISNA(VLOOKUP(E5497,#REF!,1,FALSE())),"?TYPE_IDENTIFIABLE","?REFERENTIAL"),"_")))))</f>
        <v/>
      </c>
      <c r="H5497" s="27" t="str">
        <f aca="false">IF(J5497&lt;&gt;1,"",IF(I5497="SBJ","CB","?"))</f>
        <v/>
      </c>
      <c r="I5497" s="24" t="str">
        <f aca="false">IF(OR(E5497="",E5497="!!!",F5497="NEW"),"",INDEX(B32:B$5466,-1+SUMPRODUCT(MAX(ROW(E32:E$5466)*(E5497=E32:E$5466)))))</f>
        <v/>
      </c>
      <c r="J5497" s="24" t="str">
        <f aca="true">IF(OR(E5497="",E5497="!!!",F5497="NEW"),"",COUNTBLANK(OFFSET(A$1,,,SUMPRODUCT(MAX(ROW(E$2:E5497)*(E5497=E$2:E5497)))))-COUNTBLANK(OFFSET(A$1,,,SUMPRODUCT(MAX(ROW(E$1:E5496)*(E2=E$1:E5496))))))</f>
        <v/>
      </c>
      <c r="K5497" s="24" t="str">
        <f aca="false">IF(OR(E5497="",E5497="!!!",F5497="NEW"),"",INDEX(J$1:J5496,SUMPRODUCT(MAX(ROW(E$1:E5496)*(E5497=E$1:E5496)))))</f>
        <v/>
      </c>
      <c r="L5497" s="31"/>
    </row>
    <row r="5498" customFormat="false" ht="15" hidden="false" customHeight="false" outlineLevel="0" collapsed="false">
      <c r="A5498" s="20" t="s">
        <v>1890</v>
      </c>
      <c r="B5498" s="22" t="s">
        <v>1107</v>
      </c>
      <c r="C5498" s="22" t="s">
        <v>1132</v>
      </c>
      <c r="E5498" s="23" t="str">
        <f aca="false">IF(D5498="?OLD","!!!","")</f>
        <v/>
      </c>
      <c r="F5498" s="25" t="str">
        <f aca="false">IF(OR(E5498="",E5498="!!!"),"",IF(NOT(ISNA(VLOOKUP(E5498,E$1:E5497,1,FALSE()))),"OLD",IF(AND(E5498&lt;&gt;"",E5498&lt;&gt;"!!!"),"NEW","")))</f>
        <v/>
      </c>
      <c r="G5498" s="26" t="str">
        <f aca="false">IF(OR(E5498="",E5498="!!!"),"",IF(OR(J5498=0,AND(J5498=1,K5498=1),AND(J5498=1,I5498="SBJ"),AND(J5498=1,I5498=0)),"?IN_FOCUS",IF(J5498&lt;=2,"?ACTIVATED",IF(J5498&lt;&gt;"","?FAMILIAR",IF(F5498="NEW",IF(ISNA(VLOOKUP(E5498,#REF!,1,FALSE())),"?TYPE_IDENTIFIABLE","?REFERENTIAL"),"_")))))</f>
        <v/>
      </c>
      <c r="H5498" s="27" t="str">
        <f aca="false">IF(J5498&lt;&gt;1,"",IF(I5498="SBJ","CB","?"))</f>
        <v/>
      </c>
      <c r="I5498" s="24" t="str">
        <f aca="false">IF(OR(E5498="",E5498="!!!",F5498="NEW"),"",INDEX(B33:B$5466,-1+SUMPRODUCT(MAX(ROW(E33:E$5466)*(E5498=E33:E$5466)))))</f>
        <v/>
      </c>
      <c r="J5498" s="24" t="str">
        <f aca="true">IF(OR(E5498="",E5498="!!!",F5498="NEW"),"",COUNTBLANK(OFFSET(A$1,,,SUMPRODUCT(MAX(ROW(E$2:E5498)*(E5498=E$2:E5498)))))-COUNTBLANK(OFFSET(A$1,,,SUMPRODUCT(MAX(ROW(E$1:E5497)*(E2=E$1:E5497))))))</f>
        <v/>
      </c>
      <c r="K5498" s="24" t="str">
        <f aca="false">IF(OR(E5498="",E5498="!!!",F5498="NEW"),"",INDEX(J$1:J5497,SUMPRODUCT(MAX(ROW(E$1:E5497)*(E5498=E$1:E5497)))))</f>
        <v/>
      </c>
      <c r="L5498" s="31"/>
    </row>
    <row r="5499" customFormat="false" ht="15" hidden="false" customHeight="false" outlineLevel="0" collapsed="false">
      <c r="A5499" s="20" t="s">
        <v>2608</v>
      </c>
      <c r="E5499" s="23" t="str">
        <f aca="false">IF(D5499="?OLD","!!!","")</f>
        <v/>
      </c>
      <c r="F5499" s="25" t="str">
        <f aca="false">IF(OR(E5499="",E5499="!!!"),"",IF(NOT(ISNA(VLOOKUP(E5499,E$1:E5498,1,FALSE()))),"OLD",IF(AND(E5499&lt;&gt;"",E5499&lt;&gt;"!!!"),"NEW","")))</f>
        <v/>
      </c>
      <c r="G5499" s="26" t="str">
        <f aca="false">IF(OR(E5499="",E5499="!!!"),"",IF(OR(J5499=0,AND(J5499=1,K5499=1),AND(J5499=1,I5499="SBJ"),AND(J5499=1,I5499=0)),"?IN_FOCUS",IF(J5499&lt;=2,"?ACTIVATED",IF(J5499&lt;&gt;"","?FAMILIAR",IF(F5499="NEW",IF(ISNA(VLOOKUP(E5499,#REF!,1,FALSE())),"?TYPE_IDENTIFIABLE","?REFERENTIAL"),"_")))))</f>
        <v/>
      </c>
      <c r="H5499" s="27" t="str">
        <f aca="false">IF(J5499&lt;&gt;1,"",IF(I5499="SBJ","CB","?"))</f>
        <v/>
      </c>
      <c r="I5499" s="24" t="str">
        <f aca="false">IF(OR(E5499="",E5499="!!!",F5499="NEW"),"",INDEX(B34:B$5466,-1+SUMPRODUCT(MAX(ROW(E34:E$5466)*(E5499=E34:E$5466)))))</f>
        <v/>
      </c>
      <c r="J5499" s="24" t="str">
        <f aca="true">IF(OR(E5499="",E5499="!!!",F5499="NEW"),"",COUNTBLANK(OFFSET(A$1,,,SUMPRODUCT(MAX(ROW(E$2:E5499)*(E5499=E$2:E5499)))))-COUNTBLANK(OFFSET(A$1,,,SUMPRODUCT(MAX(ROW(E$1:E5498)*(E2=E$1:E5498))))))</f>
        <v/>
      </c>
      <c r="K5499" s="24" t="str">
        <f aca="false">IF(OR(E5499="",E5499="!!!",F5499="NEW"),"",INDEX(J$1:J5498,SUMPRODUCT(MAX(ROW(E$1:E5498)*(E5499=E$1:E5498)))))</f>
        <v/>
      </c>
      <c r="L5499" s="31"/>
    </row>
    <row r="5500" customFormat="false" ht="15" hidden="false" customHeight="false" outlineLevel="0" collapsed="false">
      <c r="A5500" s="20" t="s">
        <v>1090</v>
      </c>
      <c r="B5500" s="22" t="s">
        <v>1086</v>
      </c>
      <c r="C5500" s="22" t="s">
        <v>1082</v>
      </c>
      <c r="D5500" s="22" t="s">
        <v>1060</v>
      </c>
      <c r="E5500" s="23" t="str">
        <f aca="false">IF(D5500="?OLD","!!!","")</f>
        <v>!!!</v>
      </c>
      <c r="F5500" s="25" t="str">
        <f aca="false">IF(OR(E5500="",E5500="!!!"),"",IF(NOT(ISNA(VLOOKUP(E5500,E$1:E5499,1,FALSE()))),"OLD",IF(AND(E5500&lt;&gt;"",E5500&lt;&gt;"!!!"),"NEW","")))</f>
        <v/>
      </c>
      <c r="G5500" s="26" t="str">
        <f aca="false">IF(OR(E5500="",E5500="!!!"),"",IF(OR(J5500=0,AND(J5500=1,K5500=1),AND(J5500=1,I5500="SBJ"),AND(J5500=1,I5500=0)),"?IN_FOCUS",IF(J5500&lt;=2,"?ACTIVATED",IF(J5500&lt;&gt;"","?FAMILIAR",IF(F5500="NEW",IF(ISNA(VLOOKUP(E5500,#REF!,1,FALSE())),"?TYPE_IDENTIFIABLE","?REFERENTIAL"),"_")))))</f>
        <v/>
      </c>
      <c r="H5500" s="27" t="str">
        <f aca="false">IF(J5500&lt;&gt;1,"",IF(I5500="SBJ","CB","?"))</f>
        <v/>
      </c>
      <c r="I5500" s="24" t="str">
        <f aca="false">IF(OR(E5500="",E5500="!!!",F5500="NEW"),"",INDEX(B35:B$5466,-1+SUMPRODUCT(MAX(ROW(E35:E$5466)*(E5500=E35:E$5466)))))</f>
        <v/>
      </c>
      <c r="J5500" s="24" t="str">
        <f aca="true">IF(OR(E5500="",E5500="!!!",F5500="NEW"),"",COUNTBLANK(OFFSET(A$1,,,SUMPRODUCT(MAX(ROW(E$2:E5500)*(E5500=E$2:E5500)))))-COUNTBLANK(OFFSET(A$1,,,SUMPRODUCT(MAX(ROW(E$1:E5499)*(E2=E$1:E5499))))))</f>
        <v/>
      </c>
      <c r="K5500" s="24" t="str">
        <f aca="false">IF(OR(E5500="",E5500="!!!",F5500="NEW"),"",INDEX(J$1:J5499,SUMPRODUCT(MAX(ROW(E$1:E5499)*(E5500=E$1:E5499)))))</f>
        <v/>
      </c>
      <c r="L5500" s="31"/>
    </row>
    <row r="5501" customFormat="false" ht="15" hidden="false" customHeight="false" outlineLevel="0" collapsed="false">
      <c r="A5501" s="20" t="s">
        <v>138</v>
      </c>
      <c r="E5501" s="23" t="str">
        <f aca="false">IF(D5501="?OLD","!!!","")</f>
        <v/>
      </c>
      <c r="F5501" s="25" t="str">
        <f aca="false">IF(OR(E5501="",E5501="!!!"),"",IF(NOT(ISNA(VLOOKUP(E5501,E$1:E5500,1,FALSE()))),"OLD",IF(AND(E5501&lt;&gt;"",E5501&lt;&gt;"!!!"),"NEW","")))</f>
        <v/>
      </c>
      <c r="G5501" s="26" t="str">
        <f aca="false">IF(OR(E5501="",E5501="!!!"),"",IF(OR(J5501=0,AND(J5501=1,K5501=1),AND(J5501=1,I5501="SBJ"),AND(J5501=1,I5501=0)),"?IN_FOCUS",IF(J5501&lt;=2,"?ACTIVATED",IF(J5501&lt;&gt;"","?FAMILIAR",IF(F5501="NEW",IF(ISNA(VLOOKUP(E5501,#REF!,1,FALSE())),"?TYPE_IDENTIFIABLE","?REFERENTIAL"),"_")))))</f>
        <v/>
      </c>
      <c r="H5501" s="27" t="str">
        <f aca="false">IF(J5501&lt;&gt;1,"",IF(I5501="SBJ","CB","?"))</f>
        <v/>
      </c>
      <c r="I5501" s="24" t="str">
        <f aca="false">IF(OR(E5501="",E5501="!!!",F5501="NEW"),"",INDEX(B36:B$5466,-1+SUMPRODUCT(MAX(ROW(E36:E$5466)*(E5501=E36:E$5466)))))</f>
        <v/>
      </c>
      <c r="J5501" s="24" t="str">
        <f aca="true">IF(OR(E5501="",E5501="!!!",F5501="NEW"),"",COUNTBLANK(OFFSET(A$1,,,SUMPRODUCT(MAX(ROW(E$2:E5501)*(E5501=E$2:E5501)))))-COUNTBLANK(OFFSET(A$1,,,SUMPRODUCT(MAX(ROW(E$1:E5500)*(E2=E$1:E5500))))))</f>
        <v/>
      </c>
      <c r="K5501" s="24" t="str">
        <f aca="false">IF(OR(E5501="",E5501="!!!",F5501="NEW"),"",INDEX(J$1:J5500,SUMPRODUCT(MAX(ROW(E$1:E5500)*(E5501=E$1:E5500)))))</f>
        <v/>
      </c>
      <c r="L5501" s="31"/>
    </row>
    <row r="5502" customFormat="false" ht="15" hidden="false" customHeight="false" outlineLevel="0" collapsed="false">
      <c r="A5502" s="20" t="s">
        <v>2609</v>
      </c>
      <c r="B5502" s="22" t="s">
        <v>1142</v>
      </c>
      <c r="C5502" s="22" t="s">
        <v>1059</v>
      </c>
      <c r="D5502" s="22" t="s">
        <v>1060</v>
      </c>
      <c r="E5502" s="23" t="str">
        <f aca="false">IF(D5502="?OLD","!!!","")</f>
        <v>!!!</v>
      </c>
      <c r="F5502" s="25" t="str">
        <f aca="false">IF(OR(E5502="",E5502="!!!"),"",IF(NOT(ISNA(VLOOKUP(E5502,E$1:E5501,1,FALSE()))),"OLD",IF(AND(E5502&lt;&gt;"",E5502&lt;&gt;"!!!"),"NEW","")))</f>
        <v/>
      </c>
      <c r="G5502" s="26" t="str">
        <f aca="false">IF(OR(E5502="",E5502="!!!"),"",IF(OR(J5502=0,AND(J5502=1,K5502=1),AND(J5502=1,I5502="SBJ"),AND(J5502=1,I5502=0)),"?IN_FOCUS",IF(J5502&lt;=2,"?ACTIVATED",IF(J5502&lt;&gt;"","?FAMILIAR",IF(F5502="NEW",IF(ISNA(VLOOKUP(E5502,#REF!,1,FALSE())),"?TYPE_IDENTIFIABLE","?REFERENTIAL"),"_")))))</f>
        <v/>
      </c>
      <c r="H5502" s="27" t="str">
        <f aca="false">IF(J5502&lt;&gt;1,"",IF(I5502="SBJ","CB","?"))</f>
        <v/>
      </c>
      <c r="I5502" s="24" t="str">
        <f aca="false">IF(OR(E5502="",E5502="!!!",F5502="NEW"),"",INDEX(B37:B$5466,-1+SUMPRODUCT(MAX(ROW(E37:E$5466)*(E5502=E37:E$5466)))))</f>
        <v/>
      </c>
      <c r="J5502" s="24" t="str">
        <f aca="true">IF(OR(E5502="",E5502="!!!",F5502="NEW"),"",COUNTBLANK(OFFSET(A$1,,,SUMPRODUCT(MAX(ROW(E$2:E5502)*(E5502=E$2:E5502)))))-COUNTBLANK(OFFSET(A$1,,,SUMPRODUCT(MAX(ROW(E$1:E5501)*(E2=E$1:E5501))))))</f>
        <v/>
      </c>
      <c r="K5502" s="24" t="str">
        <f aca="false">IF(OR(E5502="",E5502="!!!",F5502="NEW"),"",INDEX(J$1:J5501,SUMPRODUCT(MAX(ROW(E$1:E5501)*(E5502=E$1:E5501)))))</f>
        <v/>
      </c>
      <c r="L5502" s="31"/>
    </row>
    <row r="5503" customFormat="false" ht="15" hidden="false" customHeight="false" outlineLevel="0" collapsed="false">
      <c r="A5503" s="20" t="s">
        <v>1064</v>
      </c>
      <c r="E5503" s="23" t="str">
        <f aca="false">IF(D5503="?OLD","!!!","")</f>
        <v/>
      </c>
      <c r="F5503" s="25" t="str">
        <f aca="false">IF(OR(E5503="",E5503="!!!"),"",IF(NOT(ISNA(VLOOKUP(E5503,E$1:E5502,1,FALSE()))),"OLD",IF(AND(E5503&lt;&gt;"",E5503&lt;&gt;"!!!"),"NEW","")))</f>
        <v/>
      </c>
      <c r="G5503" s="26" t="str">
        <f aca="false">IF(OR(E5503="",E5503="!!!"),"",IF(OR(J5503=0,AND(J5503=1,K5503=1),AND(J5503=1,I5503="SBJ"),AND(J5503=1,I5503=0)),"?IN_FOCUS",IF(J5503&lt;=2,"?ACTIVATED",IF(J5503&lt;&gt;"","?FAMILIAR",IF(F5503="NEW",IF(ISNA(VLOOKUP(E5503,#REF!,1,FALSE())),"?TYPE_IDENTIFIABLE","?REFERENTIAL"),"_")))))</f>
        <v/>
      </c>
      <c r="H5503" s="27" t="str">
        <f aca="false">IF(J5503&lt;&gt;1,"",IF(I5503="SBJ","CB","?"))</f>
        <v/>
      </c>
      <c r="I5503" s="24" t="str">
        <f aca="false">IF(OR(E5503="",E5503="!!!",F5503="NEW"),"",INDEX(B38:B$5466,-1+SUMPRODUCT(MAX(ROW(E38:E$5466)*(E5503=E38:E$5466)))))</f>
        <v/>
      </c>
      <c r="J5503" s="24" t="str">
        <f aca="true">IF(OR(E5503="",E5503="!!!",F5503="NEW"),"",COUNTBLANK(OFFSET(A$1,,,SUMPRODUCT(MAX(ROW(E$2:E5503)*(E5503=E$2:E5503)))))-COUNTBLANK(OFFSET(A$1,,,SUMPRODUCT(MAX(ROW(E$1:E5502)*(E2=E$1:E5502))))))</f>
        <v/>
      </c>
      <c r="K5503" s="24" t="str">
        <f aca="false">IF(OR(E5503="",E5503="!!!",F5503="NEW"),"",INDEX(J$1:J5502,SUMPRODUCT(MAX(ROW(E$1:E5502)*(E5503=E$1:E5502)))))</f>
        <v/>
      </c>
      <c r="L5503" s="31"/>
    </row>
    <row r="5504" customFormat="false" ht="15" hidden="false" customHeight="false" outlineLevel="0" collapsed="false">
      <c r="A5504" s="20" t="s">
        <v>1080</v>
      </c>
      <c r="B5504" s="22" t="s">
        <v>1067</v>
      </c>
      <c r="C5504" s="22" t="s">
        <v>1082</v>
      </c>
      <c r="D5504" s="22" t="s">
        <v>1060</v>
      </c>
      <c r="E5504" s="23" t="str">
        <f aca="false">IF(D5504="?OLD","!!!","")</f>
        <v>!!!</v>
      </c>
      <c r="F5504" s="25" t="str">
        <f aca="false">IF(OR(E5504="",E5504="!!!"),"",IF(NOT(ISNA(VLOOKUP(E5504,E$1:E5503,1,FALSE()))),"OLD",IF(AND(E5504&lt;&gt;"",E5504&lt;&gt;"!!!"),"NEW","")))</f>
        <v/>
      </c>
      <c r="G5504" s="26" t="str">
        <f aca="false">IF(OR(E5504="",E5504="!!!"),"",IF(OR(J5504=0,AND(J5504=1,K5504=1),AND(J5504=1,I5504="SBJ"),AND(J5504=1,I5504=0)),"?IN_FOCUS",IF(J5504&lt;=2,"?ACTIVATED",IF(J5504&lt;&gt;"","?FAMILIAR",IF(F5504="NEW",IF(ISNA(VLOOKUP(E5504,#REF!,1,FALSE())),"?TYPE_IDENTIFIABLE","?REFERENTIAL"),"_")))))</f>
        <v/>
      </c>
      <c r="H5504" s="27" t="str">
        <f aca="false">IF(J5504&lt;&gt;1,"",IF(I5504="SBJ","CB","?"))</f>
        <v/>
      </c>
      <c r="I5504" s="24" t="str">
        <f aca="false">IF(OR(E5504="",E5504="!!!",F5504="NEW"),"",INDEX(B39:B$5466,-1+SUMPRODUCT(MAX(ROW(E39:E$5466)*(E5504=E39:E$5466)))))</f>
        <v/>
      </c>
      <c r="J5504" s="24" t="str">
        <f aca="true">IF(OR(E5504="",E5504="!!!",F5504="NEW"),"",COUNTBLANK(OFFSET(A$1,,,SUMPRODUCT(MAX(ROW(E$2:E5504)*(E5504=E$2:E5504)))))-COUNTBLANK(OFFSET(A$1,,,SUMPRODUCT(MAX(ROW(E$1:E5503)*(E2=E$1:E5503))))))</f>
        <v/>
      </c>
      <c r="K5504" s="24" t="str">
        <f aca="false">IF(OR(E5504="",E5504="!!!",F5504="NEW"),"",INDEX(J$1:J5503,SUMPRODUCT(MAX(ROW(E$1:E5503)*(E5504=E$1:E5503)))))</f>
        <v/>
      </c>
      <c r="L5504" s="31"/>
    </row>
    <row r="5505" customFormat="false" ht="15" hidden="false" customHeight="false" outlineLevel="0" collapsed="false">
      <c r="A5505" s="20" t="s">
        <v>1076</v>
      </c>
      <c r="E5505" s="23" t="str">
        <f aca="false">IF(D5505="?OLD","!!!","")</f>
        <v/>
      </c>
      <c r="F5505" s="25" t="str">
        <f aca="false">IF(OR(E5505="",E5505="!!!"),"",IF(NOT(ISNA(VLOOKUP(E5505,E$1:E5504,1,FALSE()))),"OLD",IF(AND(E5505&lt;&gt;"",E5505&lt;&gt;"!!!"),"NEW","")))</f>
        <v/>
      </c>
      <c r="G5505" s="26" t="str">
        <f aca="false">IF(OR(E5505="",E5505="!!!"),"",IF(OR(J5505=0,AND(J5505=1,K5505=1),AND(J5505=1,I5505="SBJ"),AND(J5505=1,I5505=0)),"?IN_FOCUS",IF(J5505&lt;=2,"?ACTIVATED",IF(J5505&lt;&gt;"","?FAMILIAR",IF(F5505="NEW",IF(ISNA(VLOOKUP(E5505,#REF!,1,FALSE())),"?TYPE_IDENTIFIABLE","?REFERENTIAL"),"_")))))</f>
        <v/>
      </c>
      <c r="H5505" s="27" t="str">
        <f aca="false">IF(J5505&lt;&gt;1,"",IF(I5505="SBJ","CB","?"))</f>
        <v/>
      </c>
      <c r="I5505" s="24" t="str">
        <f aca="false">IF(OR(E5505="",E5505="!!!",F5505="NEW"),"",INDEX(B40:B$5466,-1+SUMPRODUCT(MAX(ROW(E40:E$5466)*(E5505=E40:E$5466)))))</f>
        <v/>
      </c>
      <c r="J5505" s="24" t="str">
        <f aca="true">IF(OR(E5505="",E5505="!!!",F5505="NEW"),"",COUNTBLANK(OFFSET(A$1,,,SUMPRODUCT(MAX(ROW(E$2:E5505)*(E5505=E$2:E5505)))))-COUNTBLANK(OFFSET(A$1,,,SUMPRODUCT(MAX(ROW(E$1:E5504)*(E2=E$1:E5504))))))</f>
        <v/>
      </c>
      <c r="K5505" s="24" t="str">
        <f aca="false">IF(OR(E5505="",E5505="!!!",F5505="NEW"),"",INDEX(J$1:J5504,SUMPRODUCT(MAX(ROW(E$1:E5504)*(E5505=E$1:E5504)))))</f>
        <v/>
      </c>
      <c r="L5505" s="31"/>
    </row>
    <row r="5506" customFormat="false" ht="15" hidden="false" customHeight="false" outlineLevel="0" collapsed="false">
      <c r="A5506" s="20" t="s">
        <v>1157</v>
      </c>
      <c r="E5506" s="23" t="str">
        <f aca="false">IF(D5506="?OLD","!!!","")</f>
        <v/>
      </c>
      <c r="F5506" s="25" t="str">
        <f aca="false">IF(OR(E5506="",E5506="!!!"),"",IF(NOT(ISNA(VLOOKUP(E5506,E$1:E5505,1,FALSE()))),"OLD",IF(AND(E5506&lt;&gt;"",E5506&lt;&gt;"!!!"),"NEW","")))</f>
        <v/>
      </c>
      <c r="G5506" s="26" t="str">
        <f aca="false">IF(OR(E5506="",E5506="!!!"),"",IF(OR(J5506=0,AND(J5506=1,K5506=1),AND(J5506=1,I5506="SBJ"),AND(J5506=1,I5506=0)),"?IN_FOCUS",IF(J5506&lt;=2,"?ACTIVATED",IF(J5506&lt;&gt;"","?FAMILIAR",IF(F5506="NEW",IF(ISNA(VLOOKUP(E5506,#REF!,1,FALSE())),"?TYPE_IDENTIFIABLE","?REFERENTIAL"),"_")))))</f>
        <v/>
      </c>
      <c r="H5506" s="27" t="str">
        <f aca="false">IF(J5506&lt;&gt;1,"",IF(I5506="SBJ","CB","?"))</f>
        <v/>
      </c>
      <c r="I5506" s="24" t="str">
        <f aca="false">IF(OR(E5506="",E5506="!!!",F5506="NEW"),"",INDEX(B41:B$5466,-1+SUMPRODUCT(MAX(ROW(E41:E$5466)*(E5506=E41:E$5466)))))</f>
        <v/>
      </c>
      <c r="J5506" s="24" t="str">
        <f aca="true">IF(OR(E5506="",E5506="!!!",F5506="NEW"),"",COUNTBLANK(OFFSET(A$1,,,SUMPRODUCT(MAX(ROW(E$2:E5506)*(E5506=E$2:E5506)))))-COUNTBLANK(OFFSET(A$1,,,SUMPRODUCT(MAX(ROW(E$1:E5505)*(E2=E$1:E5505))))))</f>
        <v/>
      </c>
      <c r="K5506" s="24" t="str">
        <f aca="false">IF(OR(E5506="",E5506="!!!",F5506="NEW"),"",INDEX(J$1:J5505,SUMPRODUCT(MAX(ROW(E$1:E5505)*(E5506=E$1:E5505)))))</f>
        <v/>
      </c>
      <c r="L5506" s="31"/>
    </row>
    <row r="5507" customFormat="false" ht="15" hidden="false" customHeight="false" outlineLevel="0" collapsed="false">
      <c r="A5507" s="20" t="s">
        <v>2610</v>
      </c>
      <c r="B5507" s="22" t="s">
        <v>1091</v>
      </c>
      <c r="E5507" s="23" t="str">
        <f aca="false">IF(D5507="?OLD","!!!","")</f>
        <v/>
      </c>
      <c r="F5507" s="25" t="str">
        <f aca="false">IF(OR(E5507="",E5507="!!!"),"",IF(NOT(ISNA(VLOOKUP(E5507,E$1:E5506,1,FALSE()))),"OLD",IF(AND(E5507&lt;&gt;"",E5507&lt;&gt;"!!!"),"NEW","")))</f>
        <v/>
      </c>
      <c r="G5507" s="26" t="str">
        <f aca="false">IF(OR(E5507="",E5507="!!!"),"",IF(OR(J5507=0,AND(J5507=1,K5507=1),AND(J5507=1,I5507="SBJ"),AND(J5507=1,I5507=0)),"?IN_FOCUS",IF(J5507&lt;=2,"?ACTIVATED",IF(J5507&lt;&gt;"","?FAMILIAR",IF(F5507="NEW",IF(ISNA(VLOOKUP(E5507,#REF!,1,FALSE())),"?TYPE_IDENTIFIABLE","?REFERENTIAL"),"_")))))</f>
        <v/>
      </c>
      <c r="H5507" s="27" t="str">
        <f aca="false">IF(J5507&lt;&gt;1,"",IF(I5507="SBJ","CB","?"))</f>
        <v/>
      </c>
      <c r="I5507" s="24" t="str">
        <f aca="false">IF(OR(E5507="",E5507="!!!",F5507="NEW"),"",INDEX(B42:B$5466,-1+SUMPRODUCT(MAX(ROW(E42:E$5466)*(E5507=E42:E$5466)))))</f>
        <v/>
      </c>
      <c r="J5507" s="24" t="str">
        <f aca="true">IF(OR(E5507="",E5507="!!!",F5507="NEW"),"",COUNTBLANK(OFFSET(A$1,,,SUMPRODUCT(MAX(ROW(E$2:E5507)*(E5507=E$2:E5507)))))-COUNTBLANK(OFFSET(A$1,,,SUMPRODUCT(MAX(ROW(E$1:E5506)*(E2=E$1:E5506))))))</f>
        <v/>
      </c>
      <c r="K5507" s="24" t="str">
        <f aca="false">IF(OR(E5507="",E5507="!!!",F5507="NEW"),"",INDEX(J$1:J5506,SUMPRODUCT(MAX(ROW(E$1:E5506)*(E5507=E$1:E5506)))))</f>
        <v/>
      </c>
      <c r="L5507" s="31"/>
    </row>
    <row r="5508" customFormat="false" ht="15" hidden="false" customHeight="false" outlineLevel="0" collapsed="false">
      <c r="A5508" s="20" t="s">
        <v>576</v>
      </c>
      <c r="E5508" s="23" t="str">
        <f aca="false">IF(D5508="?OLD","!!!","")</f>
        <v/>
      </c>
      <c r="F5508" s="25" t="str">
        <f aca="false">IF(OR(E5508="",E5508="!!!"),"",IF(NOT(ISNA(VLOOKUP(E5508,E$1:E5507,1,FALSE()))),"OLD",IF(AND(E5508&lt;&gt;"",E5508&lt;&gt;"!!!"),"NEW","")))</f>
        <v/>
      </c>
      <c r="G5508" s="26" t="str">
        <f aca="false">IF(OR(E5508="",E5508="!!!"),"",IF(OR(J5508=0,AND(J5508=1,K5508=1),AND(J5508=1,I5508="SBJ"),AND(J5508=1,I5508=0)),"?IN_FOCUS",IF(J5508&lt;=2,"?ACTIVATED",IF(J5508&lt;&gt;"","?FAMILIAR",IF(F5508="NEW",IF(ISNA(VLOOKUP(E5508,#REF!,1,FALSE())),"?TYPE_IDENTIFIABLE","?REFERENTIAL"),"_")))))</f>
        <v/>
      </c>
      <c r="H5508" s="27" t="str">
        <f aca="false">IF(J5508&lt;&gt;1,"",IF(I5508="SBJ","CB","?"))</f>
        <v/>
      </c>
      <c r="I5508" s="24" t="str">
        <f aca="false">IF(OR(E5508="",E5508="!!!",F5508="NEW"),"",INDEX(B43:B$5466,-1+SUMPRODUCT(MAX(ROW(E43:E$5466)*(E5508=E43:E$5466)))))</f>
        <v/>
      </c>
      <c r="J5508" s="24" t="str">
        <f aca="true">IF(OR(E5508="",E5508="!!!",F5508="NEW"),"",COUNTBLANK(OFFSET(A$1,,,SUMPRODUCT(MAX(ROW(E$2:E5508)*(E5508=E$2:E5508)))))-COUNTBLANK(OFFSET(A$1,,,SUMPRODUCT(MAX(ROW(E$1:E5507)*(E2=E$1:E5507))))))</f>
        <v/>
      </c>
      <c r="K5508" s="24" t="str">
        <f aca="false">IF(OR(E5508="",E5508="!!!",F5508="NEW"),"",INDEX(J$1:J5507,SUMPRODUCT(MAX(ROW(E$1:E5507)*(E5508=E$1:E5507)))))</f>
        <v/>
      </c>
      <c r="L5508" s="31"/>
    </row>
    <row r="5509" customFormat="false" ht="15" hidden="false" customHeight="false" outlineLevel="0" collapsed="false">
      <c r="A5509" s="20" t="s">
        <v>2102</v>
      </c>
      <c r="E5509" s="23" t="str">
        <f aca="false">IF(D5509="?OLD","!!!","")</f>
        <v/>
      </c>
      <c r="F5509" s="25" t="str">
        <f aca="false">IF(OR(E5509="",E5509="!!!"),"",IF(NOT(ISNA(VLOOKUP(E5509,E$1:E5508,1,FALSE()))),"OLD",IF(AND(E5509&lt;&gt;"",E5509&lt;&gt;"!!!"),"NEW","")))</f>
        <v/>
      </c>
      <c r="G5509" s="26" t="str">
        <f aca="false">IF(OR(E5509="",E5509="!!!"),"",IF(OR(J5509=0,AND(J5509=1,K5509=1),AND(J5509=1,I5509="SBJ"),AND(J5509=1,I5509=0)),"?IN_FOCUS",IF(J5509&lt;=2,"?ACTIVATED",IF(J5509&lt;&gt;"","?FAMILIAR",IF(F5509="NEW",IF(ISNA(VLOOKUP(E5509,#REF!,1,FALSE())),"?TYPE_IDENTIFIABLE","?REFERENTIAL"),"_")))))</f>
        <v/>
      </c>
      <c r="H5509" s="27" t="str">
        <f aca="false">IF(J5509&lt;&gt;1,"",IF(I5509="SBJ","CB","?"))</f>
        <v/>
      </c>
      <c r="I5509" s="24" t="str">
        <f aca="false">IF(OR(E5509="",E5509="!!!",F5509="NEW"),"",INDEX(B44:B$5466,-1+SUMPRODUCT(MAX(ROW(E44:E$5466)*(E5509=E44:E$5466)))))</f>
        <v/>
      </c>
      <c r="J5509" s="24" t="str">
        <f aca="true">IF(OR(E5509="",E5509="!!!",F5509="NEW"),"",COUNTBLANK(OFFSET(A$1,,,SUMPRODUCT(MAX(ROW(E$2:E5509)*(E5509=E$2:E5509)))))-COUNTBLANK(OFFSET(A$1,,,SUMPRODUCT(MAX(ROW(E$1:E5508)*(E2=E$1:E5508))))))</f>
        <v/>
      </c>
      <c r="K5509" s="24" t="str">
        <f aca="false">IF(OR(E5509="",E5509="!!!",F5509="NEW"),"",INDEX(J$1:J5508,SUMPRODUCT(MAX(ROW(E$1:E5508)*(E5509=E$1:E5508)))))</f>
        <v/>
      </c>
      <c r="L5509" s="31"/>
    </row>
    <row r="5510" customFormat="false" ht="15" hidden="false" customHeight="false" outlineLevel="0" collapsed="false">
      <c r="A5510" s="20" t="s">
        <v>1076</v>
      </c>
      <c r="E5510" s="23" t="str">
        <f aca="false">IF(D5510="?OLD","!!!","")</f>
        <v/>
      </c>
      <c r="F5510" s="25" t="str">
        <f aca="false">IF(OR(E5510="",E5510="!!!"),"",IF(NOT(ISNA(VLOOKUP(E5510,E$1:E5509,1,FALSE()))),"OLD",IF(AND(E5510&lt;&gt;"",E5510&lt;&gt;"!!!"),"NEW","")))</f>
        <v/>
      </c>
      <c r="G5510" s="26" t="str">
        <f aca="false">IF(OR(E5510="",E5510="!!!"),"",IF(OR(J5510=0,AND(J5510=1,K5510=1),AND(J5510=1,I5510="SBJ"),AND(J5510=1,I5510=0)),"?IN_FOCUS",IF(J5510&lt;=2,"?ACTIVATED",IF(J5510&lt;&gt;"","?FAMILIAR",IF(F5510="NEW",IF(ISNA(VLOOKUP(E5510,#REF!,1,FALSE())),"?TYPE_IDENTIFIABLE","?REFERENTIAL"),"_")))))</f>
        <v/>
      </c>
      <c r="H5510" s="27" t="str">
        <f aca="false">IF(J5510&lt;&gt;1,"",IF(I5510="SBJ","CB","?"))</f>
        <v/>
      </c>
      <c r="I5510" s="24" t="str">
        <f aca="false">IF(OR(E5510="",E5510="!!!",F5510="NEW"),"",INDEX(B45:B$5466,-1+SUMPRODUCT(MAX(ROW(E45:E$5466)*(E5510=E45:E$5466)))))</f>
        <v/>
      </c>
      <c r="J5510" s="24" t="str">
        <f aca="true">IF(OR(E5510="",E5510="!!!",F5510="NEW"),"",COUNTBLANK(OFFSET(A$1,,,SUMPRODUCT(MAX(ROW(E$2:E5510)*(E5510=E$2:E5510)))))-COUNTBLANK(OFFSET(A$1,,,SUMPRODUCT(MAX(ROW(E$1:E5509)*(E2=E$1:E5509))))))</f>
        <v/>
      </c>
      <c r="K5510" s="24" t="str">
        <f aca="false">IF(OR(E5510="",E5510="!!!",F5510="NEW"),"",INDEX(J$1:J5509,SUMPRODUCT(MAX(ROW(E$1:E5509)*(E5510=E$1:E5509)))))</f>
        <v/>
      </c>
      <c r="L5510" s="31"/>
    </row>
    <row r="5511" customFormat="false" ht="15" hidden="false" customHeight="false" outlineLevel="0" collapsed="false">
      <c r="A5511" s="20" t="s">
        <v>1218</v>
      </c>
      <c r="E5511" s="23" t="str">
        <f aca="false">IF(D5511="?OLD","!!!","")</f>
        <v/>
      </c>
      <c r="F5511" s="25" t="str">
        <f aca="false">IF(OR(E5511="",E5511="!!!"),"",IF(NOT(ISNA(VLOOKUP(E5511,E$1:E5510,1,FALSE()))),"OLD",IF(AND(E5511&lt;&gt;"",E5511&lt;&gt;"!!!"),"NEW","")))</f>
        <v/>
      </c>
      <c r="G5511" s="26" t="str">
        <f aca="false">IF(OR(E5511="",E5511="!!!"),"",IF(OR(J5511=0,AND(J5511=1,K5511=1),AND(J5511=1,I5511="SBJ"),AND(J5511=1,I5511=0)),"?IN_FOCUS",IF(J5511&lt;=2,"?ACTIVATED",IF(J5511&lt;&gt;"","?FAMILIAR",IF(F5511="NEW",IF(ISNA(VLOOKUP(E5511,#REF!,1,FALSE())),"?TYPE_IDENTIFIABLE","?REFERENTIAL"),"_")))))</f>
        <v/>
      </c>
      <c r="H5511" s="27" t="str">
        <f aca="false">IF(J5511&lt;&gt;1,"",IF(I5511="SBJ","CB","?"))</f>
        <v/>
      </c>
      <c r="I5511" s="24" t="str">
        <f aca="false">IF(OR(E5511="",E5511="!!!",F5511="NEW"),"",INDEX(B46:B$5466,-1+SUMPRODUCT(MAX(ROW(E46:E$5466)*(E5511=E46:E$5466)))))</f>
        <v/>
      </c>
      <c r="J5511" s="24" t="str">
        <f aca="true">IF(OR(E5511="",E5511="!!!",F5511="NEW"),"",COUNTBLANK(OFFSET(A$1,,,SUMPRODUCT(MAX(ROW(E$2:E5511)*(E5511=E$2:E5511)))))-COUNTBLANK(OFFSET(A$1,,,SUMPRODUCT(MAX(ROW(E$1:E5510)*(E2=E$1:E5510))))))</f>
        <v/>
      </c>
      <c r="K5511" s="24" t="str">
        <f aca="false">IF(OR(E5511="",E5511="!!!",F5511="NEW"),"",INDEX(J$1:J5510,SUMPRODUCT(MAX(ROW(E$1:E5510)*(E5511=E$1:E5510)))))</f>
        <v/>
      </c>
      <c r="L5511" s="31"/>
    </row>
    <row r="5512" customFormat="false" ht="15" hidden="false" customHeight="false" outlineLevel="0" collapsed="false">
      <c r="A5512" s="20" t="s">
        <v>1109</v>
      </c>
      <c r="E5512" s="23" t="str">
        <f aca="false">IF(D5512="?OLD","!!!","")</f>
        <v/>
      </c>
      <c r="F5512" s="25" t="str">
        <f aca="false">IF(OR(E5512="",E5512="!!!"),"",IF(NOT(ISNA(VLOOKUP(E5512,E$1:E5511,1,FALSE()))),"OLD",IF(AND(E5512&lt;&gt;"",E5512&lt;&gt;"!!!"),"NEW","")))</f>
        <v/>
      </c>
      <c r="G5512" s="26" t="str">
        <f aca="false">IF(OR(E5512="",E5512="!!!"),"",IF(OR(J5512=0,AND(J5512=1,K5512=1),AND(J5512=1,I5512="SBJ"),AND(J5512=1,I5512=0)),"?IN_FOCUS",IF(J5512&lt;=2,"?ACTIVATED",IF(J5512&lt;&gt;"","?FAMILIAR",IF(F5512="NEW",IF(ISNA(VLOOKUP(E5512,#REF!,1,FALSE())),"?TYPE_IDENTIFIABLE","?REFERENTIAL"),"_")))))</f>
        <v/>
      </c>
      <c r="H5512" s="27" t="str">
        <f aca="false">IF(J5512&lt;&gt;1,"",IF(I5512="SBJ","CB","?"))</f>
        <v/>
      </c>
      <c r="I5512" s="24" t="str">
        <f aca="false">IF(OR(E5512="",E5512="!!!",F5512="NEW"),"",INDEX(B47:B$5466,-1+SUMPRODUCT(MAX(ROW(E47:E$5466)*(E5512=E47:E$5466)))))</f>
        <v/>
      </c>
      <c r="J5512" s="24" t="str">
        <f aca="true">IF(OR(E5512="",E5512="!!!",F5512="NEW"),"",COUNTBLANK(OFFSET(A$1,,,SUMPRODUCT(MAX(ROW(E$2:E5512)*(E5512=E$2:E5512)))))-COUNTBLANK(OFFSET(A$1,,,SUMPRODUCT(MAX(ROW(E$1:E5511)*(E2=E$1:E5511))))))</f>
        <v/>
      </c>
      <c r="K5512" s="24" t="str">
        <f aca="false">IF(OR(E5512="",E5512="!!!",F5512="NEW"),"",INDEX(J$1:J5511,SUMPRODUCT(MAX(ROW(E$1:E5511)*(E5512=E$1:E5511)))))</f>
        <v/>
      </c>
      <c r="L5512" s="31"/>
    </row>
    <row r="5513" customFormat="false" ht="15" hidden="false" customHeight="false" outlineLevel="0" collapsed="false">
      <c r="A5513" s="20" t="s">
        <v>1223</v>
      </c>
      <c r="B5513" s="22" t="s">
        <v>1073</v>
      </c>
      <c r="C5513" s="22" t="s">
        <v>1150</v>
      </c>
      <c r="D5513" s="22" t="s">
        <v>1060</v>
      </c>
      <c r="E5513" s="23" t="str">
        <f aca="false">IF(D5513="?OLD","!!!","")</f>
        <v>!!!</v>
      </c>
      <c r="F5513" s="25" t="str">
        <f aca="false">IF(OR(E5513="",E5513="!!!"),"",IF(NOT(ISNA(VLOOKUP(E5513,E$1:E5512,1,FALSE()))),"OLD",IF(AND(E5513&lt;&gt;"",E5513&lt;&gt;"!!!"),"NEW","")))</f>
        <v/>
      </c>
      <c r="G5513" s="26" t="str">
        <f aca="false">IF(OR(E5513="",E5513="!!!"),"",IF(OR(J5513=0,AND(J5513=1,K5513=1),AND(J5513=1,I5513="SBJ"),AND(J5513=1,I5513=0)),"?IN_FOCUS",IF(J5513&lt;=2,"?ACTIVATED",IF(J5513&lt;&gt;"","?FAMILIAR",IF(F5513="NEW",IF(ISNA(VLOOKUP(E5513,#REF!,1,FALSE())),"?TYPE_IDENTIFIABLE","?REFERENTIAL"),"_")))))</f>
        <v/>
      </c>
      <c r="H5513" s="27" t="str">
        <f aca="false">IF(J5513&lt;&gt;1,"",IF(I5513="SBJ","CB","?"))</f>
        <v/>
      </c>
      <c r="I5513" s="24" t="str">
        <f aca="false">IF(OR(E5513="",E5513="!!!",F5513="NEW"),"",INDEX(B48:B$5466,-1+SUMPRODUCT(MAX(ROW(E48:E$5466)*(E5513=E48:E$5466)))))</f>
        <v/>
      </c>
      <c r="J5513" s="24" t="str">
        <f aca="true">IF(OR(E5513="",E5513="!!!",F5513="NEW"),"",COUNTBLANK(OFFSET(A$1,,,SUMPRODUCT(MAX(ROW(E$2:E5513)*(E5513=E$2:E5513)))))-COUNTBLANK(OFFSET(A$1,,,SUMPRODUCT(MAX(ROW(E$1:E5512)*(E2=E$1:E5512))))))</f>
        <v/>
      </c>
      <c r="K5513" s="24" t="str">
        <f aca="false">IF(OR(E5513="",E5513="!!!",F5513="NEW"),"",INDEX(J$1:J5512,SUMPRODUCT(MAX(ROW(E$1:E5512)*(E5513=E$1:E5512)))))</f>
        <v/>
      </c>
      <c r="L5513" s="31"/>
    </row>
    <row r="5514" customFormat="false" ht="15" hidden="false" customHeight="false" outlineLevel="0" collapsed="false">
      <c r="A5514" s="20" t="s">
        <v>1307</v>
      </c>
      <c r="E5514" s="23" t="str">
        <f aca="false">IF(D5514="?OLD","!!!","")</f>
        <v/>
      </c>
      <c r="F5514" s="25" t="str">
        <f aca="false">IF(OR(E5514="",E5514="!!!"),"",IF(NOT(ISNA(VLOOKUP(E5514,E$1:E5513,1,FALSE()))),"OLD",IF(AND(E5514&lt;&gt;"",E5514&lt;&gt;"!!!"),"NEW","")))</f>
        <v/>
      </c>
      <c r="G5514" s="26" t="str">
        <f aca="false">IF(OR(E5514="",E5514="!!!"),"",IF(OR(J5514=0,AND(J5514=1,K5514=1),AND(J5514=1,I5514="SBJ"),AND(J5514=1,I5514=0)),"?IN_FOCUS",IF(J5514&lt;=2,"?ACTIVATED",IF(J5514&lt;&gt;"","?FAMILIAR",IF(F5514="NEW",IF(ISNA(VLOOKUP(E5514,#REF!,1,FALSE())),"?TYPE_IDENTIFIABLE","?REFERENTIAL"),"_")))))</f>
        <v/>
      </c>
      <c r="H5514" s="27" t="str">
        <f aca="false">IF(J5514&lt;&gt;1,"",IF(I5514="SBJ","CB","?"))</f>
        <v/>
      </c>
      <c r="I5514" s="24" t="str">
        <f aca="false">IF(OR(E5514="",E5514="!!!",F5514="NEW"),"",INDEX(B49:B$5466,-1+SUMPRODUCT(MAX(ROW(E49:E$5466)*(E5514=E49:E$5466)))))</f>
        <v/>
      </c>
      <c r="J5514" s="24" t="str">
        <f aca="true">IF(OR(E5514="",E5514="!!!",F5514="NEW"),"",COUNTBLANK(OFFSET(A$1,,,SUMPRODUCT(MAX(ROW(E$2:E5514)*(E5514=E$2:E5514)))))-COUNTBLANK(OFFSET(A$1,,,SUMPRODUCT(MAX(ROW(E$1:E5513)*(E2=E$1:E5513))))))</f>
        <v/>
      </c>
      <c r="K5514" s="24" t="str">
        <f aca="false">IF(OR(E5514="",E5514="!!!",F5514="NEW"),"",INDEX(J$1:J5513,SUMPRODUCT(MAX(ROW(E$1:E5513)*(E5514=E$1:E5513)))))</f>
        <v/>
      </c>
      <c r="L5514" s="31"/>
    </row>
    <row r="5515" customFormat="false" ht="15" hidden="false" customHeight="false" outlineLevel="0" collapsed="false">
      <c r="A5515" s="20"/>
    </row>
    <row r="5516" customFormat="false" ht="15" hidden="false" customHeight="false" outlineLevel="0" collapsed="false">
      <c r="A5516" s="20" t="s">
        <v>1301</v>
      </c>
      <c r="E5516" s="23" t="str">
        <f aca="false">IF(D5516="?OLD","!!!","")</f>
        <v/>
      </c>
      <c r="F5516" s="25" t="str">
        <f aca="false">IF(OR(E5516="",E5516="!!!"),"",IF(NOT(ISNA(VLOOKUP(E5516,E$1:E5515,1,FALSE()))),"OLD",IF(AND(E5516&lt;&gt;"",E5516&lt;&gt;"!!!"),"NEW","")))</f>
        <v/>
      </c>
      <c r="G5516" s="26" t="str">
        <f aca="false">IF(OR(E5516="",E5516="!!!"),"",IF(OR(J5516=0,AND(J5516=1,K5516=1),AND(J5516=1,I5516="SBJ"),AND(J5516=1,I5516=0)),"?IN_FOCUS",IF(J5516&lt;=2,"?ACTIVATED",IF(J5516&lt;&gt;"","?FAMILIAR",IF(F5516="NEW",IF(ISNA(VLOOKUP(E5516,#REF!,1,FALSE())),"?TYPE_IDENTIFIABLE","?REFERENTIAL"),"_")))))</f>
        <v/>
      </c>
      <c r="H5516" s="27" t="str">
        <f aca="false">IF(J5516&lt;&gt;1,"",IF(I5516="SBJ","CB","?"))</f>
        <v/>
      </c>
      <c r="I5516" s="24" t="str">
        <f aca="false">IF(OR(E5516="",E5516="!!!",F5516="NEW"),"",INDEX(B2:B$5515,-1+SUMPRODUCT(MAX(ROW(E2:E$5515)*(E5516=E2:E$5515)))))</f>
        <v/>
      </c>
      <c r="J5516" s="24" t="str">
        <f aca="true">IF(OR(E5516="",E5516="!!!",F5516="NEW"),"",COUNTBLANK(OFFSET(A$1,,,SUMPRODUCT(MAX(ROW(E$2:E5516)*(E5516=E$2:E5516)))))-COUNTBLANK(OFFSET(A$1,,,SUMPRODUCT(MAX(ROW(E$1:E5515)*(E2=E$1:E5515))))))</f>
        <v/>
      </c>
      <c r="K5516" s="24" t="str">
        <f aca="false">IF(OR(E5516="",E5516="!!!",F5516="NEW"),"",INDEX(J$1:J5515,SUMPRODUCT(MAX(ROW(E$1:E5515)*(E5516=E$1:E5515)))))</f>
        <v/>
      </c>
      <c r="L5516" s="31"/>
    </row>
    <row r="5517" customFormat="false" ht="15" hidden="false" customHeight="false" outlineLevel="0" collapsed="false">
      <c r="A5517" s="20" t="s">
        <v>2611</v>
      </c>
    </row>
    <row r="5518" customFormat="false" ht="15" hidden="false" customHeight="false" outlineLevel="0" collapsed="false">
      <c r="A5518" s="20" t="s">
        <v>1162</v>
      </c>
      <c r="B5518" s="22" t="s">
        <v>1058</v>
      </c>
      <c r="C5518" s="22" t="s">
        <v>1082</v>
      </c>
      <c r="D5518" s="22" t="s">
        <v>1060</v>
      </c>
      <c r="E5518" s="23" t="str">
        <f aca="false">IF(D5518="?OLD","!!!","")</f>
        <v>!!!</v>
      </c>
      <c r="F5518" s="25" t="str">
        <f aca="false">IF(OR(E5518="",E5518="!!!"),"",IF(NOT(ISNA(VLOOKUP(E5518,E$1:E5517,1,FALSE()))),"OLD",IF(AND(E5518&lt;&gt;"",E5518&lt;&gt;"!!!"),"NEW","")))</f>
        <v/>
      </c>
      <c r="G5518" s="26" t="str">
        <f aca="false">IF(OR(E5518="",E5518="!!!"),"",IF(OR(J5518=0,AND(J5518=1,K5518=1),AND(J5518=1,I5518="SBJ"),AND(J5518=1,I5518=0)),"?IN_FOCUS",IF(J5518&lt;=2,"?ACTIVATED",IF(J5518&lt;&gt;"","?FAMILIAR",IF(F5518="NEW",IF(ISNA(VLOOKUP(E5518,#REF!,1,FALSE())),"?TYPE_IDENTIFIABLE","?REFERENTIAL"),"_")))))</f>
        <v/>
      </c>
      <c r="H5518" s="27" t="str">
        <f aca="false">IF(J5518&lt;&gt;1,"",IF(I5518="SBJ","CB","?"))</f>
        <v/>
      </c>
      <c r="I5518" s="24" t="str">
        <f aca="false">IF(OR(E5518="",E5518="!!!",F5518="NEW"),"",INDEX(B2:B$5517,-1+SUMPRODUCT(MAX(ROW(E2:E$5517)*(E5518=E2:E$5517)))))</f>
        <v/>
      </c>
      <c r="J5518" s="24" t="str">
        <f aca="true">IF(OR(E5518="",E5518="!!!",F5518="NEW"),"",COUNTBLANK(OFFSET(A$1,,,SUMPRODUCT(MAX(ROW(E$2:E5518)*(E5518=E$2:E5518)))))-COUNTBLANK(OFFSET(A$1,,,SUMPRODUCT(MAX(ROW(E$1:E5517)*(E2=E$1:E5517))))))</f>
        <v/>
      </c>
      <c r="K5518" s="24" t="str">
        <f aca="false">IF(OR(E5518="",E5518="!!!",F5518="NEW"),"",INDEX(J$1:J5517,SUMPRODUCT(MAX(ROW(E$1:E5517)*(E5518=E$1:E5517)))))</f>
        <v/>
      </c>
      <c r="L5518" s="31"/>
    </row>
    <row r="5519" customFormat="false" ht="15" hidden="false" customHeight="false" outlineLevel="0" collapsed="false">
      <c r="A5519" s="20" t="s">
        <v>1194</v>
      </c>
      <c r="E5519" s="23" t="str">
        <f aca="false">IF(D5519="?OLD","!!!","")</f>
        <v/>
      </c>
      <c r="F5519" s="25" t="str">
        <f aca="false">IF(OR(E5519="",E5519="!!!"),"",IF(NOT(ISNA(VLOOKUP(E5519,E$1:E5518,1,FALSE()))),"OLD",IF(AND(E5519&lt;&gt;"",E5519&lt;&gt;"!!!"),"NEW","")))</f>
        <v/>
      </c>
      <c r="G5519" s="26" t="str">
        <f aca="false">IF(OR(E5519="",E5519="!!!"),"",IF(OR(J5519=0,AND(J5519=1,K5519=1),AND(J5519=1,I5519="SBJ"),AND(J5519=1,I5519=0)),"?IN_FOCUS",IF(J5519&lt;=2,"?ACTIVATED",IF(J5519&lt;&gt;"","?FAMILIAR",IF(F5519="NEW",IF(ISNA(VLOOKUP(E5519,#REF!,1,FALSE())),"?TYPE_IDENTIFIABLE","?REFERENTIAL"),"_")))))</f>
        <v/>
      </c>
      <c r="H5519" s="27" t="str">
        <f aca="false">IF(J5519&lt;&gt;1,"",IF(I5519="SBJ","CB","?"))</f>
        <v/>
      </c>
      <c r="I5519" s="24" t="str">
        <f aca="false">IF(OR(E5519="",E5519="!!!",F5519="NEW"),"",INDEX(B3:B$5517,-1+SUMPRODUCT(MAX(ROW(E3:E$5517)*(E5519=E3:E$5517)))))</f>
        <v/>
      </c>
      <c r="J5519" s="24" t="str">
        <f aca="true">IF(OR(E5519="",E5519="!!!",F5519="NEW"),"",COUNTBLANK(OFFSET(A$1,,,SUMPRODUCT(MAX(ROW(E$2:E5519)*(E5519=E$2:E5519)))))-COUNTBLANK(OFFSET(A$1,,,SUMPRODUCT(MAX(ROW(E$1:E5518)*(E2=E$1:E5518))))))</f>
        <v/>
      </c>
      <c r="K5519" s="24" t="str">
        <f aca="false">IF(OR(E5519="",E5519="!!!",F5519="NEW"),"",INDEX(J$1:J5518,SUMPRODUCT(MAX(ROW(E$1:E5518)*(E5519=E$1:E5518)))))</f>
        <v/>
      </c>
      <c r="L5519" s="31"/>
    </row>
    <row r="5520" customFormat="false" ht="15" hidden="false" customHeight="false" outlineLevel="0" collapsed="false">
      <c r="A5520" s="20" t="s">
        <v>1080</v>
      </c>
      <c r="B5520" s="22" t="s">
        <v>1081</v>
      </c>
      <c r="C5520" s="22" t="s">
        <v>1082</v>
      </c>
      <c r="D5520" s="22" t="s">
        <v>1060</v>
      </c>
      <c r="E5520" s="23" t="str">
        <f aca="false">IF(D5520="?OLD","!!!","")</f>
        <v>!!!</v>
      </c>
      <c r="F5520" s="25" t="str">
        <f aca="false">IF(OR(E5520="",E5520="!!!"),"",IF(NOT(ISNA(VLOOKUP(E5520,E$1:E5519,1,FALSE()))),"OLD",IF(AND(E5520&lt;&gt;"",E5520&lt;&gt;"!!!"),"NEW","")))</f>
        <v/>
      </c>
      <c r="G5520" s="26" t="str">
        <f aca="false">IF(OR(E5520="",E5520="!!!"),"",IF(OR(J5520=0,AND(J5520=1,K5520=1),AND(J5520=1,I5520="SBJ"),AND(J5520=1,I5520=0)),"?IN_FOCUS",IF(J5520&lt;=2,"?ACTIVATED",IF(J5520&lt;&gt;"","?FAMILIAR",IF(F5520="NEW",IF(ISNA(VLOOKUP(E5520,#REF!,1,FALSE())),"?TYPE_IDENTIFIABLE","?REFERENTIAL"),"_")))))</f>
        <v/>
      </c>
      <c r="H5520" s="27" t="str">
        <f aca="false">IF(J5520&lt;&gt;1,"",IF(I5520="SBJ","CB","?"))</f>
        <v/>
      </c>
      <c r="I5520" s="24" t="str">
        <f aca="false">IF(OR(E5520="",E5520="!!!",F5520="NEW"),"",INDEX(B4:B$5517,-1+SUMPRODUCT(MAX(ROW(E4:E$5517)*(E5520=E4:E$5517)))))</f>
        <v/>
      </c>
      <c r="J5520" s="24" t="str">
        <f aca="true">IF(OR(E5520="",E5520="!!!",F5520="NEW"),"",COUNTBLANK(OFFSET(A$1,,,SUMPRODUCT(MAX(ROW(E$2:E5520)*(E5520=E$2:E5520)))))-COUNTBLANK(OFFSET(A$1,,,SUMPRODUCT(MAX(ROW(E$1:E5519)*(E2=E$1:E5519))))))</f>
        <v/>
      </c>
      <c r="K5520" s="24" t="str">
        <f aca="false">IF(OR(E5520="",E5520="!!!",F5520="NEW"),"",INDEX(J$1:J5519,SUMPRODUCT(MAX(ROW(E$1:E5519)*(E5520=E$1:E5519)))))</f>
        <v/>
      </c>
      <c r="L5520" s="31"/>
    </row>
    <row r="5521" customFormat="false" ht="15" hidden="false" customHeight="false" outlineLevel="0" collapsed="false">
      <c r="A5521" s="20" t="s">
        <v>1173</v>
      </c>
      <c r="E5521" s="23" t="str">
        <f aca="false">IF(D5521="?OLD","!!!","")</f>
        <v/>
      </c>
      <c r="F5521" s="25" t="str">
        <f aca="false">IF(OR(E5521="",E5521="!!!"),"",IF(NOT(ISNA(VLOOKUP(E5521,E$1:E5520,1,FALSE()))),"OLD",IF(AND(E5521&lt;&gt;"",E5521&lt;&gt;"!!!"),"NEW","")))</f>
        <v/>
      </c>
      <c r="G5521" s="26" t="str">
        <f aca="false">IF(OR(E5521="",E5521="!!!"),"",IF(OR(J5521=0,AND(J5521=1,K5521=1),AND(J5521=1,I5521="SBJ"),AND(J5521=1,I5521=0)),"?IN_FOCUS",IF(J5521&lt;=2,"?ACTIVATED",IF(J5521&lt;&gt;"","?FAMILIAR",IF(F5521="NEW",IF(ISNA(VLOOKUP(E5521,#REF!,1,FALSE())),"?TYPE_IDENTIFIABLE","?REFERENTIAL"),"_")))))</f>
        <v/>
      </c>
      <c r="H5521" s="27" t="str">
        <f aca="false">IF(J5521&lt;&gt;1,"",IF(I5521="SBJ","CB","?"))</f>
        <v/>
      </c>
      <c r="I5521" s="24" t="str">
        <f aca="false">IF(OR(E5521="",E5521="!!!",F5521="NEW"),"",INDEX(B5:B$5517,-1+SUMPRODUCT(MAX(ROW(E5:E$5517)*(E5521=E5:E$5517)))))</f>
        <v/>
      </c>
      <c r="J5521" s="24" t="str">
        <f aca="true">IF(OR(E5521="",E5521="!!!",F5521="NEW"),"",COUNTBLANK(OFFSET(A$1,,,SUMPRODUCT(MAX(ROW(E$2:E5521)*(E5521=E$2:E5521)))))-COUNTBLANK(OFFSET(A$1,,,SUMPRODUCT(MAX(ROW(E$1:E5520)*(E2=E$1:E5520))))))</f>
        <v/>
      </c>
      <c r="K5521" s="24" t="str">
        <f aca="false">IF(OR(E5521="",E5521="!!!",F5521="NEW"),"",INDEX(J$1:J5520,SUMPRODUCT(MAX(ROW(E$1:E5520)*(E5521=E$1:E5520)))))</f>
        <v/>
      </c>
      <c r="L5521" s="31"/>
    </row>
    <row r="5522" customFormat="false" ht="15" hidden="false" customHeight="false" outlineLevel="0" collapsed="false">
      <c r="A5522" s="20" t="s">
        <v>2612</v>
      </c>
      <c r="B5522" s="22" t="s">
        <v>1105</v>
      </c>
      <c r="C5522" s="22" t="s">
        <v>1068</v>
      </c>
      <c r="D5522" s="22" t="s">
        <v>1060</v>
      </c>
      <c r="E5522" s="23" t="str">
        <f aca="false">IF(D5522="?OLD","!!!","")</f>
        <v>!!!</v>
      </c>
      <c r="F5522" s="25" t="str">
        <f aca="false">IF(OR(E5522="",E5522="!!!"),"",IF(NOT(ISNA(VLOOKUP(E5522,E$1:E5521,1,FALSE()))),"OLD",IF(AND(E5522&lt;&gt;"",E5522&lt;&gt;"!!!"),"NEW","")))</f>
        <v/>
      </c>
      <c r="G5522" s="26" t="str">
        <f aca="false">IF(OR(E5522="",E5522="!!!"),"",IF(OR(J5522=0,AND(J5522=1,K5522=1),AND(J5522=1,I5522="SBJ"),AND(J5522=1,I5522=0)),"?IN_FOCUS",IF(J5522&lt;=2,"?ACTIVATED",IF(J5522&lt;&gt;"","?FAMILIAR",IF(F5522="NEW",IF(ISNA(VLOOKUP(E5522,#REF!,1,FALSE())),"?TYPE_IDENTIFIABLE","?REFERENTIAL"),"_")))))</f>
        <v/>
      </c>
      <c r="H5522" s="27" t="str">
        <f aca="false">IF(J5522&lt;&gt;1,"",IF(I5522="SBJ","CB","?"))</f>
        <v/>
      </c>
      <c r="I5522" s="24" t="str">
        <f aca="false">IF(OR(E5522="",E5522="!!!",F5522="NEW"),"",INDEX(B6:B$5517,-1+SUMPRODUCT(MAX(ROW(E6:E$5517)*(E5522=E6:E$5517)))))</f>
        <v/>
      </c>
      <c r="J5522" s="24" t="str">
        <f aca="true">IF(OR(E5522="",E5522="!!!",F5522="NEW"),"",COUNTBLANK(OFFSET(A$1,,,SUMPRODUCT(MAX(ROW(E$2:E5522)*(E5522=E$2:E5522)))))-COUNTBLANK(OFFSET(A$1,,,SUMPRODUCT(MAX(ROW(E$1:E5521)*(E2=E$1:E5521))))))</f>
        <v/>
      </c>
      <c r="K5522" s="24" t="str">
        <f aca="false">IF(OR(E5522="",E5522="!!!",F5522="NEW"),"",INDEX(J$1:J5521,SUMPRODUCT(MAX(ROW(E$1:E5521)*(E5522=E$1:E5521)))))</f>
        <v/>
      </c>
      <c r="L5522" s="31"/>
    </row>
    <row r="5523" customFormat="false" ht="15" hidden="false" customHeight="false" outlineLevel="0" collapsed="false">
      <c r="A5523" s="20" t="s">
        <v>1076</v>
      </c>
      <c r="E5523" s="23" t="str">
        <f aca="false">IF(D5523="?OLD","!!!","")</f>
        <v/>
      </c>
      <c r="F5523" s="25" t="str">
        <f aca="false">IF(OR(E5523="",E5523="!!!"),"",IF(NOT(ISNA(VLOOKUP(E5523,E$1:E5522,1,FALSE()))),"OLD",IF(AND(E5523&lt;&gt;"",E5523&lt;&gt;"!!!"),"NEW","")))</f>
        <v/>
      </c>
      <c r="G5523" s="26" t="str">
        <f aca="false">IF(OR(E5523="",E5523="!!!"),"",IF(OR(J5523=0,AND(J5523=1,K5523=1),AND(J5523=1,I5523="SBJ"),AND(J5523=1,I5523=0)),"?IN_FOCUS",IF(J5523&lt;=2,"?ACTIVATED",IF(J5523&lt;&gt;"","?FAMILIAR",IF(F5523="NEW",IF(ISNA(VLOOKUP(E5523,#REF!,1,FALSE())),"?TYPE_IDENTIFIABLE","?REFERENTIAL"),"_")))))</f>
        <v/>
      </c>
      <c r="H5523" s="27" t="str">
        <f aca="false">IF(J5523&lt;&gt;1,"",IF(I5523="SBJ","CB","?"))</f>
        <v/>
      </c>
      <c r="I5523" s="24" t="str">
        <f aca="false">IF(OR(E5523="",E5523="!!!",F5523="NEW"),"",INDEX(B7:B$5517,-1+SUMPRODUCT(MAX(ROW(E7:E$5517)*(E5523=E7:E$5517)))))</f>
        <v/>
      </c>
      <c r="J5523" s="24" t="str">
        <f aca="true">IF(OR(E5523="",E5523="!!!",F5523="NEW"),"",COUNTBLANK(OFFSET(A$1,,,SUMPRODUCT(MAX(ROW(E$2:E5523)*(E5523=E$2:E5523)))))-COUNTBLANK(OFFSET(A$1,,,SUMPRODUCT(MAX(ROW(E$1:E5522)*(E2=E$1:E5522))))))</f>
        <v/>
      </c>
      <c r="K5523" s="24" t="str">
        <f aca="false">IF(OR(E5523="",E5523="!!!",F5523="NEW"),"",INDEX(J$1:J5522,SUMPRODUCT(MAX(ROW(E$1:E5522)*(E5523=E$1:E5522)))))</f>
        <v/>
      </c>
      <c r="L5523" s="31"/>
    </row>
    <row r="5524" customFormat="false" ht="15" hidden="false" customHeight="false" outlineLevel="0" collapsed="false">
      <c r="A5524" s="20" t="s">
        <v>1163</v>
      </c>
      <c r="B5524" s="22" t="s">
        <v>1073</v>
      </c>
      <c r="C5524" s="22" t="s">
        <v>1068</v>
      </c>
      <c r="D5524" s="22" t="s">
        <v>1060</v>
      </c>
      <c r="E5524" s="23" t="str">
        <f aca="false">IF(D5524="?OLD","!!!","")</f>
        <v>!!!</v>
      </c>
      <c r="F5524" s="25" t="str">
        <f aca="false">IF(OR(E5524="",E5524="!!!"),"",IF(NOT(ISNA(VLOOKUP(E5524,E$1:E5523,1,FALSE()))),"OLD",IF(AND(E5524&lt;&gt;"",E5524&lt;&gt;"!!!"),"NEW","")))</f>
        <v/>
      </c>
      <c r="G5524" s="26" t="str">
        <f aca="false">IF(OR(E5524="",E5524="!!!"),"",IF(OR(J5524=0,AND(J5524=1,K5524=1),AND(J5524=1,I5524="SBJ"),AND(J5524=1,I5524=0)),"?IN_FOCUS",IF(J5524&lt;=2,"?ACTIVATED",IF(J5524&lt;&gt;"","?FAMILIAR",IF(F5524="NEW",IF(ISNA(VLOOKUP(E5524,#REF!,1,FALSE())),"?TYPE_IDENTIFIABLE","?REFERENTIAL"),"_")))))</f>
        <v/>
      </c>
      <c r="H5524" s="27" t="str">
        <f aca="false">IF(J5524&lt;&gt;1,"",IF(I5524="SBJ","CB","?"))</f>
        <v/>
      </c>
      <c r="I5524" s="24" t="str">
        <f aca="false">IF(OR(E5524="",E5524="!!!",F5524="NEW"),"",INDEX(B8:B$5517,-1+SUMPRODUCT(MAX(ROW(E8:E$5517)*(E5524=E8:E$5517)))))</f>
        <v/>
      </c>
      <c r="J5524" s="24" t="str">
        <f aca="true">IF(OR(E5524="",E5524="!!!",F5524="NEW"),"",COUNTBLANK(OFFSET(A$1,,,SUMPRODUCT(MAX(ROW(E$2:E5524)*(E5524=E$2:E5524)))))-COUNTBLANK(OFFSET(A$1,,,SUMPRODUCT(MAX(ROW(E$1:E5523)*(E2=E$1:E5523))))))</f>
        <v/>
      </c>
      <c r="K5524" s="24" t="str">
        <f aca="false">IF(OR(E5524="",E5524="!!!",F5524="NEW"),"",INDEX(J$1:J5523,SUMPRODUCT(MAX(ROW(E$1:E5523)*(E5524=E$1:E5523)))))</f>
        <v/>
      </c>
      <c r="L5524" s="31"/>
    </row>
    <row r="5525" customFormat="false" ht="15" hidden="false" customHeight="false" outlineLevel="0" collapsed="false">
      <c r="A5525" s="20" t="s">
        <v>1076</v>
      </c>
      <c r="E5525" s="23" t="str">
        <f aca="false">IF(D5525="?OLD","!!!","")</f>
        <v/>
      </c>
      <c r="F5525" s="25" t="str">
        <f aca="false">IF(OR(E5525="",E5525="!!!"),"",IF(NOT(ISNA(VLOOKUP(E5525,E$1:E5524,1,FALSE()))),"OLD",IF(AND(E5525&lt;&gt;"",E5525&lt;&gt;"!!!"),"NEW","")))</f>
        <v/>
      </c>
      <c r="G5525" s="26" t="str">
        <f aca="false">IF(OR(E5525="",E5525="!!!"),"",IF(OR(J5525=0,AND(J5525=1,K5525=1),AND(J5525=1,I5525="SBJ"),AND(J5525=1,I5525=0)),"?IN_FOCUS",IF(J5525&lt;=2,"?ACTIVATED",IF(J5525&lt;&gt;"","?FAMILIAR",IF(F5525="NEW",IF(ISNA(VLOOKUP(E5525,#REF!,1,FALSE())),"?TYPE_IDENTIFIABLE","?REFERENTIAL"),"_")))))</f>
        <v/>
      </c>
      <c r="H5525" s="27" t="str">
        <f aca="false">IF(J5525&lt;&gt;1,"",IF(I5525="SBJ","CB","?"))</f>
        <v/>
      </c>
      <c r="I5525" s="24" t="str">
        <f aca="false">IF(OR(E5525="",E5525="!!!",F5525="NEW"),"",INDEX(B9:B$5517,-1+SUMPRODUCT(MAX(ROW(E9:E$5517)*(E5525=E9:E$5517)))))</f>
        <v/>
      </c>
      <c r="J5525" s="24" t="str">
        <f aca="true">IF(OR(E5525="",E5525="!!!",F5525="NEW"),"",COUNTBLANK(OFFSET(A$1,,,SUMPRODUCT(MAX(ROW(E$2:E5525)*(E5525=E$2:E5525)))))-COUNTBLANK(OFFSET(A$1,,,SUMPRODUCT(MAX(ROW(E$1:E5524)*(E2=E$1:E5524))))))</f>
        <v/>
      </c>
      <c r="K5525" s="24" t="str">
        <f aca="false">IF(OR(E5525="",E5525="!!!",F5525="NEW"),"",INDEX(J$1:J5524,SUMPRODUCT(MAX(ROW(E$1:E5524)*(E5525=E$1:E5524)))))</f>
        <v/>
      </c>
      <c r="L5525" s="31"/>
    </row>
    <row r="5526" customFormat="false" ht="15" hidden="false" customHeight="false" outlineLevel="0" collapsed="false">
      <c r="A5526" s="20" t="s">
        <v>1128</v>
      </c>
      <c r="E5526" s="23" t="str">
        <f aca="false">IF(D5526="?OLD","!!!","")</f>
        <v/>
      </c>
      <c r="F5526" s="25" t="str">
        <f aca="false">IF(OR(E5526="",E5526="!!!"),"",IF(NOT(ISNA(VLOOKUP(E5526,E$1:E5525,1,FALSE()))),"OLD",IF(AND(E5526&lt;&gt;"",E5526&lt;&gt;"!!!"),"NEW","")))</f>
        <v/>
      </c>
      <c r="G5526" s="26" t="str">
        <f aca="false">IF(OR(E5526="",E5526="!!!"),"",IF(OR(J5526=0,AND(J5526=1,K5526=1),AND(J5526=1,I5526="SBJ"),AND(J5526=1,I5526=0)),"?IN_FOCUS",IF(J5526&lt;=2,"?ACTIVATED",IF(J5526&lt;&gt;"","?FAMILIAR",IF(F5526="NEW",IF(ISNA(VLOOKUP(E5526,#REF!,1,FALSE())),"?TYPE_IDENTIFIABLE","?REFERENTIAL"),"_")))))</f>
        <v/>
      </c>
      <c r="H5526" s="27" t="str">
        <f aca="false">IF(J5526&lt;&gt;1,"",IF(I5526="SBJ","CB","?"))</f>
        <v/>
      </c>
      <c r="I5526" s="24" t="str">
        <f aca="false">IF(OR(E5526="",E5526="!!!",F5526="NEW"),"",INDEX(B10:B$5517,-1+SUMPRODUCT(MAX(ROW(E10:E$5517)*(E5526=E10:E$5517)))))</f>
        <v/>
      </c>
      <c r="J5526" s="24" t="str">
        <f aca="true">IF(OR(E5526="",E5526="!!!",F5526="NEW"),"",COUNTBLANK(OFFSET(A$1,,,SUMPRODUCT(MAX(ROW(E$2:E5526)*(E5526=E$2:E5526)))))-COUNTBLANK(OFFSET(A$1,,,SUMPRODUCT(MAX(ROW(E$1:E5525)*(E2=E$1:E5525))))))</f>
        <v/>
      </c>
      <c r="K5526" s="24" t="str">
        <f aca="false">IF(OR(E5526="",E5526="!!!",F5526="NEW"),"",INDEX(J$1:J5525,SUMPRODUCT(MAX(ROW(E$1:E5525)*(E5526=E$1:E5525)))))</f>
        <v/>
      </c>
      <c r="L5526" s="31"/>
    </row>
    <row r="5527" customFormat="false" ht="15" hidden="false" customHeight="false" outlineLevel="0" collapsed="false">
      <c r="A5527" s="20" t="s">
        <v>1162</v>
      </c>
      <c r="B5527" s="22" t="s">
        <v>1086</v>
      </c>
      <c r="C5527" s="22" t="s">
        <v>1082</v>
      </c>
      <c r="D5527" s="22" t="s">
        <v>1060</v>
      </c>
      <c r="E5527" s="23" t="str">
        <f aca="false">IF(D5527="?OLD","!!!","")</f>
        <v>!!!</v>
      </c>
      <c r="F5527" s="25" t="str">
        <f aca="false">IF(OR(E5527="",E5527="!!!"),"",IF(NOT(ISNA(VLOOKUP(E5527,E$1:E5526,1,FALSE()))),"OLD",IF(AND(E5527&lt;&gt;"",E5527&lt;&gt;"!!!"),"NEW","")))</f>
        <v/>
      </c>
      <c r="G5527" s="26" t="str">
        <f aca="false">IF(OR(E5527="",E5527="!!!"),"",IF(OR(J5527=0,AND(J5527=1,K5527=1),AND(J5527=1,I5527="SBJ"),AND(J5527=1,I5527=0)),"?IN_FOCUS",IF(J5527&lt;=2,"?ACTIVATED",IF(J5527&lt;&gt;"","?FAMILIAR",IF(F5527="NEW",IF(ISNA(VLOOKUP(E5527,#REF!,1,FALSE())),"?TYPE_IDENTIFIABLE","?REFERENTIAL"),"_")))))</f>
        <v/>
      </c>
      <c r="H5527" s="27" t="str">
        <f aca="false">IF(J5527&lt;&gt;1,"",IF(I5527="SBJ","CB","?"))</f>
        <v/>
      </c>
      <c r="I5527" s="24" t="str">
        <f aca="false">IF(OR(E5527="",E5527="!!!",F5527="NEW"),"",INDEX(B11:B$5517,-1+SUMPRODUCT(MAX(ROW(E11:E$5517)*(E5527=E11:E$5517)))))</f>
        <v/>
      </c>
      <c r="J5527" s="24" t="str">
        <f aca="true">IF(OR(E5527="",E5527="!!!",F5527="NEW"),"",COUNTBLANK(OFFSET(A$1,,,SUMPRODUCT(MAX(ROW(E$2:E5527)*(E5527=E$2:E5527)))))-COUNTBLANK(OFFSET(A$1,,,SUMPRODUCT(MAX(ROW(E$1:E5526)*(E2=E$1:E5526))))))</f>
        <v/>
      </c>
      <c r="K5527" s="24" t="str">
        <f aca="false">IF(OR(E5527="",E5527="!!!",F5527="NEW"),"",INDEX(J$1:J5526,SUMPRODUCT(MAX(ROW(E$1:E5526)*(E5527=E$1:E5526)))))</f>
        <v/>
      </c>
      <c r="L5527" s="31"/>
    </row>
    <row r="5528" customFormat="false" ht="15" hidden="false" customHeight="false" outlineLevel="0" collapsed="false">
      <c r="A5528" s="20" t="s">
        <v>123</v>
      </c>
      <c r="E5528" s="23" t="str">
        <f aca="false">IF(D5528="?OLD","!!!","")</f>
        <v/>
      </c>
      <c r="F5528" s="25" t="str">
        <f aca="false">IF(OR(E5528="",E5528="!!!"),"",IF(NOT(ISNA(VLOOKUP(E5528,E$1:E5527,1,FALSE()))),"OLD",IF(AND(E5528&lt;&gt;"",E5528&lt;&gt;"!!!"),"NEW","")))</f>
        <v/>
      </c>
      <c r="G5528" s="26" t="str">
        <f aca="false">IF(OR(E5528="",E5528="!!!"),"",IF(OR(J5528=0,AND(J5528=1,K5528=1),AND(J5528=1,I5528="SBJ"),AND(J5528=1,I5528=0)),"?IN_FOCUS",IF(J5528&lt;=2,"?ACTIVATED",IF(J5528&lt;&gt;"","?FAMILIAR",IF(F5528="NEW",IF(ISNA(VLOOKUP(E5528,#REF!,1,FALSE())),"?TYPE_IDENTIFIABLE","?REFERENTIAL"),"_")))))</f>
        <v/>
      </c>
      <c r="H5528" s="27" t="str">
        <f aca="false">IF(J5528&lt;&gt;1,"",IF(I5528="SBJ","CB","?"))</f>
        <v/>
      </c>
      <c r="I5528" s="24" t="str">
        <f aca="false">IF(OR(E5528="",E5528="!!!",F5528="NEW"),"",INDEX(B12:B$5517,-1+SUMPRODUCT(MAX(ROW(E12:E$5517)*(E5528=E12:E$5517)))))</f>
        <v/>
      </c>
      <c r="J5528" s="24" t="str">
        <f aca="true">IF(OR(E5528="",E5528="!!!",F5528="NEW"),"",COUNTBLANK(OFFSET(A$1,,,SUMPRODUCT(MAX(ROW(E$2:E5528)*(E5528=E$2:E5528)))))-COUNTBLANK(OFFSET(A$1,,,SUMPRODUCT(MAX(ROW(E$1:E5527)*(E2=E$1:E5527))))))</f>
        <v/>
      </c>
      <c r="K5528" s="24" t="str">
        <f aca="false">IF(OR(E5528="",E5528="!!!",F5528="NEW"),"",INDEX(J$1:J5527,SUMPRODUCT(MAX(ROW(E$1:E5527)*(E5528=E$1:E5527)))))</f>
        <v/>
      </c>
      <c r="L5528" s="31"/>
    </row>
    <row r="5529" customFormat="false" ht="15" hidden="false" customHeight="false" outlineLevel="0" collapsed="false">
      <c r="A5529" s="20" t="s">
        <v>1080</v>
      </c>
      <c r="B5529" s="22" t="s">
        <v>1142</v>
      </c>
      <c r="C5529" s="22" t="s">
        <v>1082</v>
      </c>
      <c r="D5529" s="22" t="s">
        <v>1060</v>
      </c>
      <c r="E5529" s="23" t="str">
        <f aca="false">IF(D5529="?OLD","!!!","")</f>
        <v>!!!</v>
      </c>
      <c r="F5529" s="25" t="str">
        <f aca="false">IF(OR(E5529="",E5529="!!!"),"",IF(NOT(ISNA(VLOOKUP(E5529,E$1:E5528,1,FALSE()))),"OLD",IF(AND(E5529&lt;&gt;"",E5529&lt;&gt;"!!!"),"NEW","")))</f>
        <v/>
      </c>
      <c r="G5529" s="26" t="str">
        <f aca="false">IF(OR(E5529="",E5529="!!!"),"",IF(OR(J5529=0,AND(J5529=1,K5529=1),AND(J5529=1,I5529="SBJ"),AND(J5529=1,I5529=0)),"?IN_FOCUS",IF(J5529&lt;=2,"?ACTIVATED",IF(J5529&lt;&gt;"","?FAMILIAR",IF(F5529="NEW",IF(ISNA(VLOOKUP(E5529,#REF!,1,FALSE())),"?TYPE_IDENTIFIABLE","?REFERENTIAL"),"_")))))</f>
        <v/>
      </c>
      <c r="H5529" s="27" t="str">
        <f aca="false">IF(J5529&lt;&gt;1,"",IF(I5529="SBJ","CB","?"))</f>
        <v/>
      </c>
      <c r="I5529" s="24" t="str">
        <f aca="false">IF(OR(E5529="",E5529="!!!",F5529="NEW"),"",INDEX(B13:B$5517,-1+SUMPRODUCT(MAX(ROW(E13:E$5517)*(E5529=E13:E$5517)))))</f>
        <v/>
      </c>
      <c r="J5529" s="24" t="str">
        <f aca="true">IF(OR(E5529="",E5529="!!!",F5529="NEW"),"",COUNTBLANK(OFFSET(A$1,,,SUMPRODUCT(MAX(ROW(E$2:E5529)*(E5529=E$2:E5529)))))-COUNTBLANK(OFFSET(A$1,,,SUMPRODUCT(MAX(ROW(E$1:E5528)*(E2=E$1:E5528))))))</f>
        <v/>
      </c>
      <c r="K5529" s="24" t="str">
        <f aca="false">IF(OR(E5529="",E5529="!!!",F5529="NEW"),"",INDEX(J$1:J5528,SUMPRODUCT(MAX(ROW(E$1:E5528)*(E5529=E$1:E5528)))))</f>
        <v/>
      </c>
      <c r="L5529" s="31"/>
    </row>
    <row r="5530" customFormat="false" ht="15" hidden="false" customHeight="false" outlineLevel="0" collapsed="false">
      <c r="A5530" s="20" t="s">
        <v>1234</v>
      </c>
      <c r="E5530" s="23" t="str">
        <f aca="false">IF(D5530="?OLD","!!!","")</f>
        <v/>
      </c>
      <c r="F5530" s="25" t="str">
        <f aca="false">IF(OR(E5530="",E5530="!!!"),"",IF(NOT(ISNA(VLOOKUP(E5530,E$1:E5529,1,FALSE()))),"OLD",IF(AND(E5530&lt;&gt;"",E5530&lt;&gt;"!!!"),"NEW","")))</f>
        <v/>
      </c>
      <c r="G5530" s="26" t="str">
        <f aca="false">IF(OR(E5530="",E5530="!!!"),"",IF(OR(J5530=0,AND(J5530=1,K5530=1),AND(J5530=1,I5530="SBJ"),AND(J5530=1,I5530=0)),"?IN_FOCUS",IF(J5530&lt;=2,"?ACTIVATED",IF(J5530&lt;&gt;"","?FAMILIAR",IF(F5530="NEW",IF(ISNA(VLOOKUP(E5530,#REF!,1,FALSE())),"?TYPE_IDENTIFIABLE","?REFERENTIAL"),"_")))))</f>
        <v/>
      </c>
      <c r="H5530" s="27" t="str">
        <f aca="false">IF(J5530&lt;&gt;1,"",IF(I5530="SBJ","CB","?"))</f>
        <v/>
      </c>
      <c r="I5530" s="24" t="str">
        <f aca="false">IF(OR(E5530="",E5530="!!!",F5530="NEW"),"",INDEX(B14:B$5517,-1+SUMPRODUCT(MAX(ROW(E14:E$5517)*(E5530=E14:E$5517)))))</f>
        <v/>
      </c>
      <c r="J5530" s="24" t="str">
        <f aca="true">IF(OR(E5530="",E5530="!!!",F5530="NEW"),"",COUNTBLANK(OFFSET(A$1,,,SUMPRODUCT(MAX(ROW(E$2:E5530)*(E5530=E$2:E5530)))))-COUNTBLANK(OFFSET(A$1,,,SUMPRODUCT(MAX(ROW(E$1:E5529)*(E2=E$1:E5529))))))</f>
        <v/>
      </c>
      <c r="K5530" s="24" t="str">
        <f aca="false">IF(OR(E5530="",E5530="!!!",F5530="NEW"),"",INDEX(J$1:J5529,SUMPRODUCT(MAX(ROW(E$1:E5529)*(E5530=E$1:E5529)))))</f>
        <v/>
      </c>
      <c r="L5530" s="31"/>
    </row>
    <row r="5531" customFormat="false" ht="15" hidden="false" customHeight="false" outlineLevel="0" collapsed="false">
      <c r="A5531" s="20" t="s">
        <v>1343</v>
      </c>
      <c r="E5531" s="23" t="str">
        <f aca="false">IF(D5531="?OLD","!!!","")</f>
        <v/>
      </c>
      <c r="F5531" s="25" t="str">
        <f aca="false">IF(OR(E5531="",E5531="!!!"),"",IF(NOT(ISNA(VLOOKUP(E5531,E$1:E5530,1,FALSE()))),"OLD",IF(AND(E5531&lt;&gt;"",E5531&lt;&gt;"!!!"),"NEW","")))</f>
        <v/>
      </c>
      <c r="G5531" s="26" t="str">
        <f aca="false">IF(OR(E5531="",E5531="!!!"),"",IF(OR(J5531=0,AND(J5531=1,K5531=1),AND(J5531=1,I5531="SBJ"),AND(J5531=1,I5531=0)),"?IN_FOCUS",IF(J5531&lt;=2,"?ACTIVATED",IF(J5531&lt;&gt;"","?FAMILIAR",IF(F5531="NEW",IF(ISNA(VLOOKUP(E5531,#REF!,1,FALSE())),"?TYPE_IDENTIFIABLE","?REFERENTIAL"),"_")))))</f>
        <v/>
      </c>
      <c r="H5531" s="27" t="str">
        <f aca="false">IF(J5531&lt;&gt;1,"",IF(I5531="SBJ","CB","?"))</f>
        <v/>
      </c>
      <c r="I5531" s="24" t="str">
        <f aca="false">IF(OR(E5531="",E5531="!!!",F5531="NEW"),"",INDEX(B15:B$5517,-1+SUMPRODUCT(MAX(ROW(E15:E$5517)*(E5531=E15:E$5517)))))</f>
        <v/>
      </c>
      <c r="J5531" s="24" t="str">
        <f aca="true">IF(OR(E5531="",E5531="!!!",F5531="NEW"),"",COUNTBLANK(OFFSET(A$1,,,SUMPRODUCT(MAX(ROW(E$2:E5531)*(E5531=E$2:E5531)))))-COUNTBLANK(OFFSET(A$1,,,SUMPRODUCT(MAX(ROW(E$1:E5530)*(E2=E$1:E5530))))))</f>
        <v/>
      </c>
      <c r="K5531" s="24" t="str">
        <f aca="false">IF(OR(E5531="",E5531="!!!",F5531="NEW"),"",INDEX(J$1:J5530,SUMPRODUCT(MAX(ROW(E$1:E5530)*(E5531=E$1:E5530)))))</f>
        <v/>
      </c>
      <c r="L5531" s="31"/>
    </row>
    <row r="5532" customFormat="false" ht="15" hidden="false" customHeight="false" outlineLevel="0" collapsed="false">
      <c r="A5532" s="20" t="s">
        <v>1076</v>
      </c>
      <c r="E5532" s="23" t="str">
        <f aca="false">IF(D5532="?OLD","!!!","")</f>
        <v/>
      </c>
      <c r="F5532" s="25" t="str">
        <f aca="false">IF(OR(E5532="",E5532="!!!"),"",IF(NOT(ISNA(VLOOKUP(E5532,E$1:E5531,1,FALSE()))),"OLD",IF(AND(E5532&lt;&gt;"",E5532&lt;&gt;"!!!"),"NEW","")))</f>
        <v/>
      </c>
      <c r="G5532" s="26" t="str">
        <f aca="false">IF(OR(E5532="",E5532="!!!"),"",IF(OR(J5532=0,AND(J5532=1,K5532=1),AND(J5532=1,I5532="SBJ"),AND(J5532=1,I5532=0)),"?IN_FOCUS",IF(J5532&lt;=2,"?ACTIVATED",IF(J5532&lt;&gt;"","?FAMILIAR",IF(F5532="NEW",IF(ISNA(VLOOKUP(E5532,#REF!,1,FALSE())),"?TYPE_IDENTIFIABLE","?REFERENTIAL"),"_")))))</f>
        <v/>
      </c>
      <c r="H5532" s="27" t="str">
        <f aca="false">IF(J5532&lt;&gt;1,"",IF(I5532="SBJ","CB","?"))</f>
        <v/>
      </c>
      <c r="I5532" s="24" t="str">
        <f aca="false">IF(OR(E5532="",E5532="!!!",F5532="NEW"),"",INDEX(B16:B$5517,-1+SUMPRODUCT(MAX(ROW(E16:E$5517)*(E5532=E16:E$5517)))))</f>
        <v/>
      </c>
      <c r="J5532" s="24" t="str">
        <f aca="true">IF(OR(E5532="",E5532="!!!",F5532="NEW"),"",COUNTBLANK(OFFSET(A$1,,,SUMPRODUCT(MAX(ROW(E$2:E5532)*(E5532=E$2:E5532)))))-COUNTBLANK(OFFSET(A$1,,,SUMPRODUCT(MAX(ROW(E$1:E5531)*(E2=E$1:E5531))))))</f>
        <v/>
      </c>
      <c r="K5532" s="24" t="str">
        <f aca="false">IF(OR(E5532="",E5532="!!!",F5532="NEW"),"",INDEX(J$1:J5531,SUMPRODUCT(MAX(ROW(E$1:E5531)*(E5532=E$1:E5531)))))</f>
        <v/>
      </c>
      <c r="L5532" s="31"/>
    </row>
    <row r="5533" customFormat="false" ht="15" hidden="false" customHeight="false" outlineLevel="0" collapsed="false">
      <c r="A5533" s="20" t="s">
        <v>1089</v>
      </c>
      <c r="E5533" s="23" t="str">
        <f aca="false">IF(D5533="?OLD","!!!","")</f>
        <v/>
      </c>
      <c r="F5533" s="25" t="str">
        <f aca="false">IF(OR(E5533="",E5533="!!!"),"",IF(NOT(ISNA(VLOOKUP(E5533,E$1:E5532,1,FALSE()))),"OLD",IF(AND(E5533&lt;&gt;"",E5533&lt;&gt;"!!!"),"NEW","")))</f>
        <v/>
      </c>
      <c r="G5533" s="26" t="str">
        <f aca="false">IF(OR(E5533="",E5533="!!!"),"",IF(OR(J5533=0,AND(J5533=1,K5533=1),AND(J5533=1,I5533="SBJ"),AND(J5533=1,I5533=0)),"?IN_FOCUS",IF(J5533&lt;=2,"?ACTIVATED",IF(J5533&lt;&gt;"","?FAMILIAR",IF(F5533="NEW",IF(ISNA(VLOOKUP(E5533,#REF!,1,FALSE())),"?TYPE_IDENTIFIABLE","?REFERENTIAL"),"_")))))</f>
        <v/>
      </c>
      <c r="H5533" s="27" t="str">
        <f aca="false">IF(J5533&lt;&gt;1,"",IF(I5533="SBJ","CB","?"))</f>
        <v/>
      </c>
      <c r="I5533" s="24" t="str">
        <f aca="false">IF(OR(E5533="",E5533="!!!",F5533="NEW"),"",INDEX(B17:B$5517,-1+SUMPRODUCT(MAX(ROW(E17:E$5517)*(E5533=E17:E$5517)))))</f>
        <v/>
      </c>
      <c r="J5533" s="24" t="str">
        <f aca="true">IF(OR(E5533="",E5533="!!!",F5533="NEW"),"",COUNTBLANK(OFFSET(A$1,,,SUMPRODUCT(MAX(ROW(E$2:E5533)*(E5533=E$2:E5533)))))-COUNTBLANK(OFFSET(A$1,,,SUMPRODUCT(MAX(ROW(E$1:E5532)*(E2=E$1:E5532))))))</f>
        <v/>
      </c>
      <c r="K5533" s="24" t="str">
        <f aca="false">IF(OR(E5533="",E5533="!!!",F5533="NEW"),"",INDEX(J$1:J5532,SUMPRODUCT(MAX(ROW(E$1:E5532)*(E5533=E$1:E5532)))))</f>
        <v/>
      </c>
      <c r="L5533" s="31"/>
    </row>
    <row r="5534" customFormat="false" ht="15" hidden="false" customHeight="false" outlineLevel="0" collapsed="false">
      <c r="A5534" s="20" t="s">
        <v>1143</v>
      </c>
      <c r="E5534" s="23" t="str">
        <f aca="false">IF(D5534="?OLD","!!!","")</f>
        <v/>
      </c>
      <c r="F5534" s="25" t="str">
        <f aca="false">IF(OR(E5534="",E5534="!!!"),"",IF(NOT(ISNA(VLOOKUP(E5534,E$1:E5533,1,FALSE()))),"OLD",IF(AND(E5534&lt;&gt;"",E5534&lt;&gt;"!!!"),"NEW","")))</f>
        <v/>
      </c>
      <c r="G5534" s="26" t="str">
        <f aca="false">IF(OR(E5534="",E5534="!!!"),"",IF(OR(J5534=0,AND(J5534=1,K5534=1),AND(J5534=1,I5534="SBJ"),AND(J5534=1,I5534=0)),"?IN_FOCUS",IF(J5534&lt;=2,"?ACTIVATED",IF(J5534&lt;&gt;"","?FAMILIAR",IF(F5534="NEW",IF(ISNA(VLOOKUP(E5534,#REF!,1,FALSE())),"?TYPE_IDENTIFIABLE","?REFERENTIAL"),"_")))))</f>
        <v/>
      </c>
      <c r="H5534" s="27" t="str">
        <f aca="false">IF(J5534&lt;&gt;1,"",IF(I5534="SBJ","CB","?"))</f>
        <v/>
      </c>
      <c r="I5534" s="24" t="str">
        <f aca="false">IF(OR(E5534="",E5534="!!!",F5534="NEW"),"",INDEX(B18:B$5517,-1+SUMPRODUCT(MAX(ROW(E18:E$5517)*(E5534=E18:E$5517)))))</f>
        <v/>
      </c>
      <c r="J5534" s="24" t="str">
        <f aca="true">IF(OR(E5534="",E5534="!!!",F5534="NEW"),"",COUNTBLANK(OFFSET(A$1,,,SUMPRODUCT(MAX(ROW(E$2:E5534)*(E5534=E$2:E5534)))))-COUNTBLANK(OFFSET(A$1,,,SUMPRODUCT(MAX(ROW(E$1:E5533)*(E2=E$1:E5533))))))</f>
        <v/>
      </c>
      <c r="K5534" s="24" t="str">
        <f aca="false">IF(OR(E5534="",E5534="!!!",F5534="NEW"),"",INDEX(J$1:J5533,SUMPRODUCT(MAX(ROW(E$1:E5533)*(E5534=E$1:E5533)))))</f>
        <v/>
      </c>
      <c r="L5534" s="31"/>
    </row>
    <row r="5535" customFormat="false" ht="15" hidden="false" customHeight="false" outlineLevel="0" collapsed="false">
      <c r="A5535" s="20" t="s">
        <v>1193</v>
      </c>
      <c r="E5535" s="23" t="str">
        <f aca="false">IF(D5535="?OLD","!!!","")</f>
        <v/>
      </c>
      <c r="F5535" s="25" t="str">
        <f aca="false">IF(OR(E5535="",E5535="!!!"),"",IF(NOT(ISNA(VLOOKUP(E5535,E$1:E5534,1,FALSE()))),"OLD",IF(AND(E5535&lt;&gt;"",E5535&lt;&gt;"!!!"),"NEW","")))</f>
        <v/>
      </c>
      <c r="G5535" s="26" t="str">
        <f aca="false">IF(OR(E5535="",E5535="!!!"),"",IF(OR(J5535=0,AND(J5535=1,K5535=1),AND(J5535=1,I5535="SBJ"),AND(J5535=1,I5535=0)),"?IN_FOCUS",IF(J5535&lt;=2,"?ACTIVATED",IF(J5535&lt;&gt;"","?FAMILIAR",IF(F5535="NEW",IF(ISNA(VLOOKUP(E5535,#REF!,1,FALSE())),"?TYPE_IDENTIFIABLE","?REFERENTIAL"),"_")))))</f>
        <v/>
      </c>
      <c r="H5535" s="27" t="str">
        <f aca="false">IF(J5535&lt;&gt;1,"",IF(I5535="SBJ","CB","?"))</f>
        <v/>
      </c>
      <c r="I5535" s="24" t="str">
        <f aca="false">IF(OR(E5535="",E5535="!!!",F5535="NEW"),"",INDEX(B19:B$5517,-1+SUMPRODUCT(MAX(ROW(E19:E$5517)*(E5535=E19:E$5517)))))</f>
        <v/>
      </c>
      <c r="J5535" s="24" t="str">
        <f aca="true">IF(OR(E5535="",E5535="!!!",F5535="NEW"),"",COUNTBLANK(OFFSET(A$1,,,SUMPRODUCT(MAX(ROW(E$2:E5535)*(E5535=E$2:E5535)))))-COUNTBLANK(OFFSET(A$1,,,SUMPRODUCT(MAX(ROW(E$1:E5534)*(E2=E$1:E5534))))))</f>
        <v/>
      </c>
      <c r="K5535" s="24" t="str">
        <f aca="false">IF(OR(E5535="",E5535="!!!",F5535="NEW"),"",INDEX(J$1:J5534,SUMPRODUCT(MAX(ROW(E$1:E5534)*(E5535=E$1:E5534)))))</f>
        <v/>
      </c>
      <c r="L5535" s="31"/>
    </row>
    <row r="5536" customFormat="false" ht="15" hidden="false" customHeight="false" outlineLevel="0" collapsed="false">
      <c r="A5536" s="20" t="s">
        <v>576</v>
      </c>
      <c r="E5536" s="23" t="str">
        <f aca="false">IF(D5536="?OLD","!!!","")</f>
        <v/>
      </c>
      <c r="F5536" s="25" t="str">
        <f aca="false">IF(OR(E5536="",E5536="!!!"),"",IF(NOT(ISNA(VLOOKUP(E5536,E$1:E5535,1,FALSE()))),"OLD",IF(AND(E5536&lt;&gt;"",E5536&lt;&gt;"!!!"),"NEW","")))</f>
        <v/>
      </c>
      <c r="G5536" s="26" t="str">
        <f aca="false">IF(OR(E5536="",E5536="!!!"),"",IF(OR(J5536=0,AND(J5536=1,K5536=1),AND(J5536=1,I5536="SBJ"),AND(J5536=1,I5536=0)),"?IN_FOCUS",IF(J5536&lt;=2,"?ACTIVATED",IF(J5536&lt;&gt;"","?FAMILIAR",IF(F5536="NEW",IF(ISNA(VLOOKUP(E5536,#REF!,1,FALSE())),"?TYPE_IDENTIFIABLE","?REFERENTIAL"),"_")))))</f>
        <v/>
      </c>
      <c r="H5536" s="27" t="str">
        <f aca="false">IF(J5536&lt;&gt;1,"",IF(I5536="SBJ","CB","?"))</f>
        <v/>
      </c>
      <c r="I5536" s="24" t="str">
        <f aca="false">IF(OR(E5536="",E5536="!!!",F5536="NEW"),"",INDEX(B20:B$5517,-1+SUMPRODUCT(MAX(ROW(E20:E$5517)*(E5536=E20:E$5517)))))</f>
        <v/>
      </c>
      <c r="J5536" s="24" t="str">
        <f aca="true">IF(OR(E5536="",E5536="!!!",F5536="NEW"),"",COUNTBLANK(OFFSET(A$1,,,SUMPRODUCT(MAX(ROW(E$2:E5536)*(E5536=E$2:E5536)))))-COUNTBLANK(OFFSET(A$1,,,SUMPRODUCT(MAX(ROW(E$1:E5535)*(E2=E$1:E5535))))))</f>
        <v/>
      </c>
      <c r="K5536" s="24" t="str">
        <f aca="false">IF(OR(E5536="",E5536="!!!",F5536="NEW"),"",INDEX(J$1:J5535,SUMPRODUCT(MAX(ROW(E$1:E5535)*(E5536=E$1:E5535)))))</f>
        <v/>
      </c>
      <c r="L5536" s="31"/>
    </row>
    <row r="5537" customFormat="false" ht="15" hidden="false" customHeight="false" outlineLevel="0" collapsed="false">
      <c r="A5537" s="20" t="s">
        <v>1186</v>
      </c>
      <c r="B5537" s="22" t="s">
        <v>1197</v>
      </c>
      <c r="C5537" s="22" t="s">
        <v>1082</v>
      </c>
      <c r="D5537" s="22" t="s">
        <v>1060</v>
      </c>
      <c r="E5537" s="23" t="str">
        <f aca="false">IF(D5537="?OLD","!!!","")</f>
        <v>!!!</v>
      </c>
      <c r="F5537" s="25" t="str">
        <f aca="false">IF(OR(E5537="",E5537="!!!"),"",IF(NOT(ISNA(VLOOKUP(E5537,E$1:E5536,1,FALSE()))),"OLD",IF(AND(E5537&lt;&gt;"",E5537&lt;&gt;"!!!"),"NEW","")))</f>
        <v/>
      </c>
      <c r="G5537" s="26" t="str">
        <f aca="false">IF(OR(E5537="",E5537="!!!"),"",IF(OR(J5537=0,AND(J5537=1,K5537=1),AND(J5537=1,I5537="SBJ"),AND(J5537=1,I5537=0)),"?IN_FOCUS",IF(J5537&lt;=2,"?ACTIVATED",IF(J5537&lt;&gt;"","?FAMILIAR",IF(F5537="NEW",IF(ISNA(VLOOKUP(E5537,#REF!,1,FALSE())),"?TYPE_IDENTIFIABLE","?REFERENTIAL"),"_")))))</f>
        <v/>
      </c>
      <c r="H5537" s="27" t="str">
        <f aca="false">IF(J5537&lt;&gt;1,"",IF(I5537="SBJ","CB","?"))</f>
        <v/>
      </c>
      <c r="I5537" s="24" t="str">
        <f aca="false">IF(OR(E5537="",E5537="!!!",F5537="NEW"),"",INDEX(B21:B$5517,-1+SUMPRODUCT(MAX(ROW(E21:E$5517)*(E5537=E21:E$5517)))))</f>
        <v/>
      </c>
      <c r="J5537" s="24" t="str">
        <f aca="true">IF(OR(E5537="",E5537="!!!",F5537="NEW"),"",COUNTBLANK(OFFSET(A$1,,,SUMPRODUCT(MAX(ROW(E$2:E5537)*(E5537=E$2:E5537)))))-COUNTBLANK(OFFSET(A$1,,,SUMPRODUCT(MAX(ROW(E$1:E5536)*(E2=E$1:E5536))))))</f>
        <v/>
      </c>
      <c r="K5537" s="24" t="str">
        <f aca="false">IF(OR(E5537="",E5537="!!!",F5537="NEW"),"",INDEX(J$1:J5536,SUMPRODUCT(MAX(ROW(E$1:E5536)*(E5537=E$1:E5536)))))</f>
        <v/>
      </c>
      <c r="L5537" s="31"/>
    </row>
    <row r="5538" customFormat="false" ht="15" hidden="false" customHeight="false" outlineLevel="0" collapsed="false">
      <c r="A5538" s="20" t="s">
        <v>2095</v>
      </c>
      <c r="E5538" s="23" t="str">
        <f aca="false">IF(D5538="?OLD","!!!","")</f>
        <v/>
      </c>
      <c r="F5538" s="25" t="str">
        <f aca="false">IF(OR(E5538="",E5538="!!!"),"",IF(NOT(ISNA(VLOOKUP(E5538,E$1:E5537,1,FALSE()))),"OLD",IF(AND(E5538&lt;&gt;"",E5538&lt;&gt;"!!!"),"NEW","")))</f>
        <v/>
      </c>
      <c r="G5538" s="26" t="str">
        <f aca="false">IF(OR(E5538="",E5538="!!!"),"",IF(OR(J5538=0,AND(J5538=1,K5538=1),AND(J5538=1,I5538="SBJ"),AND(J5538=1,I5538=0)),"?IN_FOCUS",IF(J5538&lt;=2,"?ACTIVATED",IF(J5538&lt;&gt;"","?FAMILIAR",IF(F5538="NEW",IF(ISNA(VLOOKUP(E5538,#REF!,1,FALSE())),"?TYPE_IDENTIFIABLE","?REFERENTIAL"),"_")))))</f>
        <v/>
      </c>
      <c r="H5538" s="27" t="str">
        <f aca="false">IF(J5538&lt;&gt;1,"",IF(I5538="SBJ","CB","?"))</f>
        <v/>
      </c>
      <c r="I5538" s="24" t="str">
        <f aca="false">IF(OR(E5538="",E5538="!!!",F5538="NEW"),"",INDEX(B22:B$5517,-1+SUMPRODUCT(MAX(ROW(E22:E$5517)*(E5538=E22:E$5517)))))</f>
        <v/>
      </c>
      <c r="J5538" s="24" t="str">
        <f aca="true">IF(OR(E5538="",E5538="!!!",F5538="NEW"),"",COUNTBLANK(OFFSET(A$1,,,SUMPRODUCT(MAX(ROW(E$2:E5538)*(E5538=E$2:E5538)))))-COUNTBLANK(OFFSET(A$1,,,SUMPRODUCT(MAX(ROW(E$1:E5537)*(E2=E$1:E5537))))))</f>
        <v/>
      </c>
      <c r="K5538" s="24" t="str">
        <f aca="false">IF(OR(E5538="",E5538="!!!",F5538="NEW"),"",INDEX(J$1:J5537,SUMPRODUCT(MAX(ROW(E$1:E5537)*(E5538=E$1:E5537)))))</f>
        <v/>
      </c>
      <c r="L5538" s="31"/>
    </row>
    <row r="5539" customFormat="false" ht="15" hidden="false" customHeight="false" outlineLevel="0" collapsed="false">
      <c r="A5539" s="20" t="s">
        <v>1095</v>
      </c>
      <c r="E5539" s="23" t="str">
        <f aca="false">IF(D5539="?OLD","!!!","")</f>
        <v/>
      </c>
      <c r="F5539" s="25" t="str">
        <f aca="false">IF(OR(E5539="",E5539="!!!"),"",IF(NOT(ISNA(VLOOKUP(E5539,E$1:E5538,1,FALSE()))),"OLD",IF(AND(E5539&lt;&gt;"",E5539&lt;&gt;"!!!"),"NEW","")))</f>
        <v/>
      </c>
      <c r="G5539" s="26" t="str">
        <f aca="false">IF(OR(E5539="",E5539="!!!"),"",IF(OR(J5539=0,AND(J5539=1,K5539=1),AND(J5539=1,I5539="SBJ"),AND(J5539=1,I5539=0)),"?IN_FOCUS",IF(J5539&lt;=2,"?ACTIVATED",IF(J5539&lt;&gt;"","?FAMILIAR",IF(F5539="NEW",IF(ISNA(VLOOKUP(E5539,#REF!,1,FALSE())),"?TYPE_IDENTIFIABLE","?REFERENTIAL"),"_")))))</f>
        <v/>
      </c>
      <c r="H5539" s="27" t="str">
        <f aca="false">IF(J5539&lt;&gt;1,"",IF(I5539="SBJ","CB","?"))</f>
        <v/>
      </c>
      <c r="I5539" s="24" t="str">
        <f aca="false">IF(OR(E5539="",E5539="!!!",F5539="NEW"),"",INDEX(B23:B$5517,-1+SUMPRODUCT(MAX(ROW(E23:E$5517)*(E5539=E23:E$5517)))))</f>
        <v/>
      </c>
      <c r="J5539" s="24" t="str">
        <f aca="true">IF(OR(E5539="",E5539="!!!",F5539="NEW"),"",COUNTBLANK(OFFSET(A$1,,,SUMPRODUCT(MAX(ROW(E$2:E5539)*(E5539=E$2:E5539)))))-COUNTBLANK(OFFSET(A$1,,,SUMPRODUCT(MAX(ROW(E$1:E5538)*(E2=E$1:E5538))))))</f>
        <v/>
      </c>
      <c r="K5539" s="24" t="str">
        <f aca="false">IF(OR(E5539="",E5539="!!!",F5539="NEW"),"",INDEX(J$1:J5538,SUMPRODUCT(MAX(ROW(E$1:E5538)*(E5539=E$1:E5538)))))</f>
        <v/>
      </c>
      <c r="L5539" s="31"/>
    </row>
    <row r="5540" customFormat="false" ht="15" hidden="false" customHeight="false" outlineLevel="0" collapsed="false">
      <c r="A5540" s="20" t="s">
        <v>2613</v>
      </c>
      <c r="E5540" s="23" t="str">
        <f aca="false">IF(D5540="?OLD","!!!","")</f>
        <v/>
      </c>
      <c r="F5540" s="25" t="str">
        <f aca="false">IF(OR(E5540="",E5540="!!!"),"",IF(NOT(ISNA(VLOOKUP(E5540,E$1:E5539,1,FALSE()))),"OLD",IF(AND(E5540&lt;&gt;"",E5540&lt;&gt;"!!!"),"NEW","")))</f>
        <v/>
      </c>
      <c r="G5540" s="26" t="str">
        <f aca="false">IF(OR(E5540="",E5540="!!!"),"",IF(OR(J5540=0,AND(J5540=1,K5540=1),AND(J5540=1,I5540="SBJ"),AND(J5540=1,I5540=0)),"?IN_FOCUS",IF(J5540&lt;=2,"?ACTIVATED",IF(J5540&lt;&gt;"","?FAMILIAR",IF(F5540="NEW",IF(ISNA(VLOOKUP(E5540,#REF!,1,FALSE())),"?TYPE_IDENTIFIABLE","?REFERENTIAL"),"_")))))</f>
        <v/>
      </c>
      <c r="H5540" s="27" t="str">
        <f aca="false">IF(J5540&lt;&gt;1,"",IF(I5540="SBJ","CB","?"))</f>
        <v/>
      </c>
      <c r="I5540" s="24" t="str">
        <f aca="false">IF(OR(E5540="",E5540="!!!",F5540="NEW"),"",INDEX(B24:B$5517,-1+SUMPRODUCT(MAX(ROW(E24:E$5517)*(E5540=E24:E$5517)))))</f>
        <v/>
      </c>
      <c r="J5540" s="24" t="str">
        <f aca="true">IF(OR(E5540="",E5540="!!!",F5540="NEW"),"",COUNTBLANK(OFFSET(A$1,,,SUMPRODUCT(MAX(ROW(E$2:E5540)*(E5540=E$2:E5540)))))-COUNTBLANK(OFFSET(A$1,,,SUMPRODUCT(MAX(ROW(E$1:E5539)*(E2=E$1:E5539))))))</f>
        <v/>
      </c>
      <c r="K5540" s="24" t="str">
        <f aca="false">IF(OR(E5540="",E5540="!!!",F5540="NEW"),"",INDEX(J$1:J5539,SUMPRODUCT(MAX(ROW(E$1:E5539)*(E5540=E$1:E5539)))))</f>
        <v/>
      </c>
      <c r="L5540" s="31"/>
    </row>
    <row r="5541" customFormat="false" ht="15" hidden="false" customHeight="false" outlineLevel="0" collapsed="false">
      <c r="A5541" s="20" t="s">
        <v>1283</v>
      </c>
      <c r="E5541" s="23" t="str">
        <f aca="false">IF(D5541="?OLD","!!!","")</f>
        <v/>
      </c>
      <c r="F5541" s="25" t="str">
        <f aca="false">IF(OR(E5541="",E5541="!!!"),"",IF(NOT(ISNA(VLOOKUP(E5541,E$1:E5540,1,FALSE()))),"OLD",IF(AND(E5541&lt;&gt;"",E5541&lt;&gt;"!!!"),"NEW","")))</f>
        <v/>
      </c>
      <c r="G5541" s="26" t="str">
        <f aca="false">IF(OR(E5541="",E5541="!!!"),"",IF(OR(J5541=0,AND(J5541=1,K5541=1),AND(J5541=1,I5541="SBJ"),AND(J5541=1,I5541=0)),"?IN_FOCUS",IF(J5541&lt;=2,"?ACTIVATED",IF(J5541&lt;&gt;"","?FAMILIAR",IF(F5541="NEW",IF(ISNA(VLOOKUP(E5541,#REF!,1,FALSE())),"?TYPE_IDENTIFIABLE","?REFERENTIAL"),"_")))))</f>
        <v/>
      </c>
      <c r="H5541" s="27" t="str">
        <f aca="false">IF(J5541&lt;&gt;1,"",IF(I5541="SBJ","CB","?"))</f>
        <v/>
      </c>
      <c r="I5541" s="24" t="str">
        <f aca="false">IF(OR(E5541="",E5541="!!!",F5541="NEW"),"",INDEX(B25:B$5517,-1+SUMPRODUCT(MAX(ROW(E25:E$5517)*(E5541=E25:E$5517)))))</f>
        <v/>
      </c>
      <c r="J5541" s="24" t="str">
        <f aca="true">IF(OR(E5541="",E5541="!!!",F5541="NEW"),"",COUNTBLANK(OFFSET(A$1,,,SUMPRODUCT(MAX(ROW(E$2:E5541)*(E5541=E$2:E5541)))))-COUNTBLANK(OFFSET(A$1,,,SUMPRODUCT(MAX(ROW(E$1:E5540)*(E2=E$1:E5540))))))</f>
        <v/>
      </c>
      <c r="K5541" s="24" t="str">
        <f aca="false">IF(OR(E5541="",E5541="!!!",F5541="NEW"),"",INDEX(J$1:J5540,SUMPRODUCT(MAX(ROW(E$1:E5540)*(E5541=E$1:E5540)))))</f>
        <v/>
      </c>
      <c r="L5541" s="31"/>
    </row>
    <row r="5542" customFormat="false" ht="15" hidden="false" customHeight="false" outlineLevel="0" collapsed="false">
      <c r="A5542" s="20" t="s">
        <v>1085</v>
      </c>
      <c r="E5542" s="23" t="str">
        <f aca="false">IF(D5542="?OLD","!!!","")</f>
        <v/>
      </c>
      <c r="F5542" s="25" t="str">
        <f aca="false">IF(OR(E5542="",E5542="!!!"),"",IF(NOT(ISNA(VLOOKUP(E5542,E$1:E5541,1,FALSE()))),"OLD",IF(AND(E5542&lt;&gt;"",E5542&lt;&gt;"!!!"),"NEW","")))</f>
        <v/>
      </c>
      <c r="G5542" s="26" t="str">
        <f aca="false">IF(OR(E5542="",E5542="!!!"),"",IF(OR(J5542=0,AND(J5542=1,K5542=1),AND(J5542=1,I5542="SBJ"),AND(J5542=1,I5542=0)),"?IN_FOCUS",IF(J5542&lt;=2,"?ACTIVATED",IF(J5542&lt;&gt;"","?FAMILIAR",IF(F5542="NEW",IF(ISNA(VLOOKUP(E5542,#REF!,1,FALSE())),"?TYPE_IDENTIFIABLE","?REFERENTIAL"),"_")))))</f>
        <v/>
      </c>
      <c r="H5542" s="27" t="str">
        <f aca="false">IF(J5542&lt;&gt;1,"",IF(I5542="SBJ","CB","?"))</f>
        <v/>
      </c>
      <c r="I5542" s="24" t="str">
        <f aca="false">IF(OR(E5542="",E5542="!!!",F5542="NEW"),"",INDEX(B26:B$5517,-1+SUMPRODUCT(MAX(ROW(E26:E$5517)*(E5542=E26:E$5517)))))</f>
        <v/>
      </c>
      <c r="J5542" s="24" t="str">
        <f aca="true">IF(OR(E5542="",E5542="!!!",F5542="NEW"),"",COUNTBLANK(OFFSET(A$1,,,SUMPRODUCT(MAX(ROW(E$2:E5542)*(E5542=E$2:E5542)))))-COUNTBLANK(OFFSET(A$1,,,SUMPRODUCT(MAX(ROW(E$1:E5541)*(E2=E$1:E5541))))))</f>
        <v/>
      </c>
      <c r="K5542" s="24" t="str">
        <f aca="false">IF(OR(E5542="",E5542="!!!",F5542="NEW"),"",INDEX(J$1:J5541,SUMPRODUCT(MAX(ROW(E$1:E5541)*(E5542=E$1:E5541)))))</f>
        <v/>
      </c>
      <c r="L5542" s="31"/>
    </row>
    <row r="5543" customFormat="false" ht="15" hidden="false" customHeight="false" outlineLevel="0" collapsed="false">
      <c r="A5543" s="20" t="s">
        <v>967</v>
      </c>
      <c r="E5543" s="23" t="str">
        <f aca="false">IF(D5543="?OLD","!!!","")</f>
        <v/>
      </c>
      <c r="F5543" s="25" t="str">
        <f aca="false">IF(OR(E5543="",E5543="!!!"),"",IF(NOT(ISNA(VLOOKUP(E5543,E$1:E5542,1,FALSE()))),"OLD",IF(AND(E5543&lt;&gt;"",E5543&lt;&gt;"!!!"),"NEW","")))</f>
        <v/>
      </c>
      <c r="G5543" s="26" t="str">
        <f aca="false">IF(OR(E5543="",E5543="!!!"),"",IF(OR(J5543=0,AND(J5543=1,K5543=1),AND(J5543=1,I5543="SBJ"),AND(J5543=1,I5543=0)),"?IN_FOCUS",IF(J5543&lt;=2,"?ACTIVATED",IF(J5543&lt;&gt;"","?FAMILIAR",IF(F5543="NEW",IF(ISNA(VLOOKUP(E5543,#REF!,1,FALSE())),"?TYPE_IDENTIFIABLE","?REFERENTIAL"),"_")))))</f>
        <v/>
      </c>
      <c r="H5543" s="27" t="str">
        <f aca="false">IF(J5543&lt;&gt;1,"",IF(I5543="SBJ","CB","?"))</f>
        <v/>
      </c>
      <c r="I5543" s="24" t="str">
        <f aca="false">IF(OR(E5543="",E5543="!!!",F5543="NEW"),"",INDEX(B27:B$5517,-1+SUMPRODUCT(MAX(ROW(E27:E$5517)*(E5543=E27:E$5517)))))</f>
        <v/>
      </c>
      <c r="J5543" s="24" t="str">
        <f aca="true">IF(OR(E5543="",E5543="!!!",F5543="NEW"),"",COUNTBLANK(OFFSET(A$1,,,SUMPRODUCT(MAX(ROW(E$2:E5543)*(E5543=E$2:E5543)))))-COUNTBLANK(OFFSET(A$1,,,SUMPRODUCT(MAX(ROW(E$1:E5542)*(E2=E$1:E5542))))))</f>
        <v/>
      </c>
      <c r="K5543" s="24" t="str">
        <f aca="false">IF(OR(E5543="",E5543="!!!",F5543="NEW"),"",INDEX(J$1:J5542,SUMPRODUCT(MAX(ROW(E$1:E5542)*(E5543=E$1:E5542)))))</f>
        <v/>
      </c>
      <c r="L5543" s="31"/>
    </row>
    <row r="5544" customFormat="false" ht="15" hidden="false" customHeight="false" outlineLevel="0" collapsed="false">
      <c r="A5544" s="20" t="s">
        <v>2190</v>
      </c>
      <c r="E5544" s="23" t="str">
        <f aca="false">IF(D5544="?OLD","!!!","")</f>
        <v/>
      </c>
      <c r="F5544" s="25" t="str">
        <f aca="false">IF(OR(E5544="",E5544="!!!"),"",IF(NOT(ISNA(VLOOKUP(E5544,E$1:E5543,1,FALSE()))),"OLD",IF(AND(E5544&lt;&gt;"",E5544&lt;&gt;"!!!"),"NEW","")))</f>
        <v/>
      </c>
      <c r="G5544" s="26" t="str">
        <f aca="false">IF(OR(E5544="",E5544="!!!"),"",IF(OR(J5544=0,AND(J5544=1,K5544=1),AND(J5544=1,I5544="SBJ"),AND(J5544=1,I5544=0)),"?IN_FOCUS",IF(J5544&lt;=2,"?ACTIVATED",IF(J5544&lt;&gt;"","?FAMILIAR",IF(F5544="NEW",IF(ISNA(VLOOKUP(E5544,#REF!,1,FALSE())),"?TYPE_IDENTIFIABLE","?REFERENTIAL"),"_")))))</f>
        <v/>
      </c>
      <c r="H5544" s="27" t="str">
        <f aca="false">IF(J5544&lt;&gt;1,"",IF(I5544="SBJ","CB","?"))</f>
        <v/>
      </c>
      <c r="I5544" s="24" t="str">
        <f aca="false">IF(OR(E5544="",E5544="!!!",F5544="NEW"),"",INDEX(B28:B$5517,-1+SUMPRODUCT(MAX(ROW(E28:E$5517)*(E5544=E28:E$5517)))))</f>
        <v/>
      </c>
      <c r="J5544" s="24" t="str">
        <f aca="true">IF(OR(E5544="",E5544="!!!",F5544="NEW"),"",COUNTBLANK(OFFSET(A$1,,,SUMPRODUCT(MAX(ROW(E$2:E5544)*(E5544=E$2:E5544)))))-COUNTBLANK(OFFSET(A$1,,,SUMPRODUCT(MAX(ROW(E$1:E5543)*(E2=E$1:E5543))))))</f>
        <v/>
      </c>
      <c r="K5544" s="24" t="str">
        <f aca="false">IF(OR(E5544="",E5544="!!!",F5544="NEW"),"",INDEX(J$1:J5543,SUMPRODUCT(MAX(ROW(E$1:E5543)*(E5544=E$1:E5543)))))</f>
        <v/>
      </c>
      <c r="L5544" s="31"/>
    </row>
    <row r="5545" customFormat="false" ht="15" hidden="false" customHeight="false" outlineLevel="0" collapsed="false">
      <c r="A5545" s="20" t="s">
        <v>1786</v>
      </c>
      <c r="B5545" s="22" t="s">
        <v>1131</v>
      </c>
      <c r="C5545" s="22" t="s">
        <v>1087</v>
      </c>
      <c r="E5545" s="23" t="str">
        <f aca="false">IF(D5545="?OLD","!!!","")</f>
        <v/>
      </c>
      <c r="F5545" s="25" t="str">
        <f aca="false">IF(OR(E5545="",E5545="!!!"),"",IF(NOT(ISNA(VLOOKUP(E5545,E$1:E5544,1,FALSE()))),"OLD",IF(AND(E5545&lt;&gt;"",E5545&lt;&gt;"!!!"),"NEW","")))</f>
        <v/>
      </c>
      <c r="G5545" s="26" t="str">
        <f aca="false">IF(OR(E5545="",E5545="!!!"),"",IF(OR(J5545=0,AND(J5545=1,K5545=1),AND(J5545=1,I5545="SBJ"),AND(J5545=1,I5545=0)),"?IN_FOCUS",IF(J5545&lt;=2,"?ACTIVATED",IF(J5545&lt;&gt;"","?FAMILIAR",IF(F5545="NEW",IF(ISNA(VLOOKUP(E5545,#REF!,1,FALSE())),"?TYPE_IDENTIFIABLE","?REFERENTIAL"),"_")))))</f>
        <v/>
      </c>
      <c r="H5545" s="27" t="str">
        <f aca="false">IF(J5545&lt;&gt;1,"",IF(I5545="SBJ","CB","?"))</f>
        <v/>
      </c>
      <c r="I5545" s="24" t="str">
        <f aca="false">IF(OR(E5545="",E5545="!!!",F5545="NEW"),"",INDEX(B29:B$5517,-1+SUMPRODUCT(MAX(ROW(E29:E$5517)*(E5545=E29:E$5517)))))</f>
        <v/>
      </c>
      <c r="J5545" s="24" t="str">
        <f aca="true">IF(OR(E5545="",E5545="!!!",F5545="NEW"),"",COUNTBLANK(OFFSET(A$1,,,SUMPRODUCT(MAX(ROW(E$2:E5545)*(E5545=E$2:E5545)))))-COUNTBLANK(OFFSET(A$1,,,SUMPRODUCT(MAX(ROW(E$1:E5544)*(E2=E$1:E5544))))))</f>
        <v/>
      </c>
      <c r="K5545" s="24" t="str">
        <f aca="false">IF(OR(E5545="",E5545="!!!",F5545="NEW"),"",INDEX(J$1:J5544,SUMPRODUCT(MAX(ROW(E$1:E5544)*(E5545=E$1:E5544)))))</f>
        <v/>
      </c>
      <c r="L5545" s="31"/>
    </row>
    <row r="5546" customFormat="false" ht="15" hidden="false" customHeight="false" outlineLevel="0" collapsed="false">
      <c r="A5546" s="20" t="s">
        <v>1169</v>
      </c>
      <c r="E5546" s="23" t="str">
        <f aca="false">IF(D5546="?OLD","!!!","")</f>
        <v/>
      </c>
      <c r="F5546" s="25" t="str">
        <f aca="false">IF(OR(E5546="",E5546="!!!"),"",IF(NOT(ISNA(VLOOKUP(E5546,E$1:E5545,1,FALSE()))),"OLD",IF(AND(E5546&lt;&gt;"",E5546&lt;&gt;"!!!"),"NEW","")))</f>
        <v/>
      </c>
      <c r="G5546" s="26" t="str">
        <f aca="false">IF(OR(E5546="",E5546="!!!"),"",IF(OR(J5546=0,AND(J5546=1,K5546=1),AND(J5546=1,I5546="SBJ"),AND(J5546=1,I5546=0)),"?IN_FOCUS",IF(J5546&lt;=2,"?ACTIVATED",IF(J5546&lt;&gt;"","?FAMILIAR",IF(F5546="NEW",IF(ISNA(VLOOKUP(E5546,#REF!,1,FALSE())),"?TYPE_IDENTIFIABLE","?REFERENTIAL"),"_")))))</f>
        <v/>
      </c>
      <c r="H5546" s="27" t="str">
        <f aca="false">IF(J5546&lt;&gt;1,"",IF(I5546="SBJ","CB","?"))</f>
        <v/>
      </c>
      <c r="I5546" s="24" t="str">
        <f aca="false">IF(OR(E5546="",E5546="!!!",F5546="NEW"),"",INDEX(B30:B$5517,-1+SUMPRODUCT(MAX(ROW(E30:E$5517)*(E5546=E30:E$5517)))))</f>
        <v/>
      </c>
      <c r="J5546" s="24" t="str">
        <f aca="true">IF(OR(E5546="",E5546="!!!",F5546="NEW"),"",COUNTBLANK(OFFSET(A$1,,,SUMPRODUCT(MAX(ROW(E$2:E5546)*(E5546=E$2:E5546)))))-COUNTBLANK(OFFSET(A$1,,,SUMPRODUCT(MAX(ROW(E$1:E5545)*(E2=E$1:E5545))))))</f>
        <v/>
      </c>
      <c r="K5546" s="24" t="str">
        <f aca="false">IF(OR(E5546="",E5546="!!!",F5546="NEW"),"",INDEX(J$1:J5545,SUMPRODUCT(MAX(ROW(E$1:E5545)*(E5546=E$1:E5545)))))</f>
        <v/>
      </c>
      <c r="L5546" s="31"/>
    </row>
    <row r="5547" customFormat="false" ht="15" hidden="false" customHeight="false" outlineLevel="0" collapsed="false">
      <c r="A5547" s="20" t="s">
        <v>1090</v>
      </c>
      <c r="B5547" s="22" t="s">
        <v>1134</v>
      </c>
      <c r="C5547" s="22" t="s">
        <v>1082</v>
      </c>
      <c r="D5547" s="22" t="s">
        <v>1060</v>
      </c>
      <c r="E5547" s="23" t="str">
        <f aca="false">IF(D5547="?OLD","!!!","")</f>
        <v>!!!</v>
      </c>
      <c r="F5547" s="25" t="str">
        <f aca="false">IF(OR(E5547="",E5547="!!!"),"",IF(NOT(ISNA(VLOOKUP(E5547,E$1:E5546,1,FALSE()))),"OLD",IF(AND(E5547&lt;&gt;"",E5547&lt;&gt;"!!!"),"NEW","")))</f>
        <v/>
      </c>
      <c r="G5547" s="26" t="str">
        <f aca="false">IF(OR(E5547="",E5547="!!!"),"",IF(OR(J5547=0,AND(J5547=1,K5547=1),AND(J5547=1,I5547="SBJ"),AND(J5547=1,I5547=0)),"?IN_FOCUS",IF(J5547&lt;=2,"?ACTIVATED",IF(J5547&lt;&gt;"","?FAMILIAR",IF(F5547="NEW",IF(ISNA(VLOOKUP(E5547,#REF!,1,FALSE())),"?TYPE_IDENTIFIABLE","?REFERENTIAL"),"_")))))</f>
        <v/>
      </c>
      <c r="H5547" s="27" t="str">
        <f aca="false">IF(J5547&lt;&gt;1,"",IF(I5547="SBJ","CB","?"))</f>
        <v/>
      </c>
      <c r="I5547" s="24" t="str">
        <f aca="false">IF(OR(E5547="",E5547="!!!",F5547="NEW"),"",INDEX(B31:B$5517,-1+SUMPRODUCT(MAX(ROW(E31:E$5517)*(E5547=E31:E$5517)))))</f>
        <v/>
      </c>
      <c r="J5547" s="24" t="str">
        <f aca="true">IF(OR(E5547="",E5547="!!!",F5547="NEW"),"",COUNTBLANK(OFFSET(A$1,,,SUMPRODUCT(MAX(ROW(E$2:E5547)*(E5547=E$2:E5547)))))-COUNTBLANK(OFFSET(A$1,,,SUMPRODUCT(MAX(ROW(E$1:E5546)*(E2=E$1:E5546))))))</f>
        <v/>
      </c>
      <c r="K5547" s="24" t="str">
        <f aca="false">IF(OR(E5547="",E5547="!!!",F5547="NEW"),"",INDEX(J$1:J5546,SUMPRODUCT(MAX(ROW(E$1:E5546)*(E5547=E$1:E5546)))))</f>
        <v/>
      </c>
      <c r="L5547" s="31"/>
    </row>
    <row r="5548" customFormat="false" ht="15" hidden="false" customHeight="false" outlineLevel="0" collapsed="false">
      <c r="A5548" s="20" t="s">
        <v>1133</v>
      </c>
      <c r="B5548" s="22" t="s">
        <v>2135</v>
      </c>
      <c r="E5548" s="23" t="str">
        <f aca="false">IF(D5548="?OLD","!!!","")</f>
        <v/>
      </c>
      <c r="F5548" s="25" t="str">
        <f aca="false">IF(OR(E5548="",E5548="!!!"),"",IF(NOT(ISNA(VLOOKUP(E5548,E$1:E5547,1,FALSE()))),"OLD",IF(AND(E5548&lt;&gt;"",E5548&lt;&gt;"!!!"),"NEW","")))</f>
        <v/>
      </c>
      <c r="G5548" s="26" t="str">
        <f aca="false">IF(OR(E5548="",E5548="!!!"),"",IF(OR(J5548=0,AND(J5548=1,K5548=1),AND(J5548=1,I5548="SBJ"),AND(J5548=1,I5548=0)),"?IN_FOCUS",IF(J5548&lt;=2,"?ACTIVATED",IF(J5548&lt;&gt;"","?FAMILIAR",IF(F5548="NEW",IF(ISNA(VLOOKUP(E5548,#REF!,1,FALSE())),"?TYPE_IDENTIFIABLE","?REFERENTIAL"),"_")))))</f>
        <v/>
      </c>
      <c r="H5548" s="27" t="str">
        <f aca="false">IF(J5548&lt;&gt;1,"",IF(I5548="SBJ","CB","?"))</f>
        <v/>
      </c>
      <c r="I5548" s="24" t="str">
        <f aca="false">IF(OR(E5548="",E5548="!!!",F5548="NEW"),"",INDEX(B32:B$5517,-1+SUMPRODUCT(MAX(ROW(E32:E$5517)*(E5548=E32:E$5517)))))</f>
        <v/>
      </c>
      <c r="J5548" s="24" t="str">
        <f aca="true">IF(OR(E5548="",E5548="!!!",F5548="NEW"),"",COUNTBLANK(OFFSET(A$1,,,SUMPRODUCT(MAX(ROW(E$2:E5548)*(E5548=E$2:E5548)))))-COUNTBLANK(OFFSET(A$1,,,SUMPRODUCT(MAX(ROW(E$1:E5547)*(E2=E$1:E5547))))))</f>
        <v/>
      </c>
      <c r="K5548" s="24" t="str">
        <f aca="false">IF(OR(E5548="",E5548="!!!",F5548="NEW"),"",INDEX(J$1:J5547,SUMPRODUCT(MAX(ROW(E$1:E5547)*(E5548=E$1:E5547)))))</f>
        <v/>
      </c>
      <c r="L5548" s="31"/>
    </row>
    <row r="5549" customFormat="false" ht="15" hidden="false" customHeight="false" outlineLevel="0" collapsed="false">
      <c r="A5549" s="20" t="s">
        <v>1369</v>
      </c>
      <c r="E5549" s="23" t="str">
        <f aca="false">IF(D5549="?OLD","!!!","")</f>
        <v/>
      </c>
      <c r="F5549" s="25" t="str">
        <f aca="false">IF(OR(E5549="",E5549="!!!"),"",IF(NOT(ISNA(VLOOKUP(E5549,E$1:E5548,1,FALSE()))),"OLD",IF(AND(E5549&lt;&gt;"",E5549&lt;&gt;"!!!"),"NEW","")))</f>
        <v/>
      </c>
      <c r="G5549" s="26" t="str">
        <f aca="false">IF(OR(E5549="",E5549="!!!"),"",IF(OR(J5549=0,AND(J5549=1,K5549=1),AND(J5549=1,I5549="SBJ"),AND(J5549=1,I5549=0)),"?IN_FOCUS",IF(J5549&lt;=2,"?ACTIVATED",IF(J5549&lt;&gt;"","?FAMILIAR",IF(F5549="NEW",IF(ISNA(VLOOKUP(E5549,#REF!,1,FALSE())),"?TYPE_IDENTIFIABLE","?REFERENTIAL"),"_")))))</f>
        <v/>
      </c>
      <c r="H5549" s="27" t="str">
        <f aca="false">IF(J5549&lt;&gt;1,"",IF(I5549="SBJ","CB","?"))</f>
        <v/>
      </c>
      <c r="I5549" s="24" t="str">
        <f aca="false">IF(OR(E5549="",E5549="!!!",F5549="NEW"),"",INDEX(B33:B$5517,-1+SUMPRODUCT(MAX(ROW(E33:E$5517)*(E5549=E33:E$5517)))))</f>
        <v/>
      </c>
      <c r="J5549" s="24" t="str">
        <f aca="true">IF(OR(E5549="",E5549="!!!",F5549="NEW"),"",COUNTBLANK(OFFSET(A$1,,,SUMPRODUCT(MAX(ROW(E$2:E5549)*(E5549=E$2:E5549)))))-COUNTBLANK(OFFSET(A$1,,,SUMPRODUCT(MAX(ROW(E$1:E5548)*(E2=E$1:E5548))))))</f>
        <v/>
      </c>
      <c r="K5549" s="24" t="str">
        <f aca="false">IF(OR(E5549="",E5549="!!!",F5549="NEW"),"",INDEX(J$1:J5548,SUMPRODUCT(MAX(ROW(E$1:E5548)*(E5549=E$1:E5548)))))</f>
        <v/>
      </c>
      <c r="L5549" s="31"/>
    </row>
    <row r="5550" customFormat="false" ht="15" hidden="false" customHeight="false" outlineLevel="0" collapsed="false">
      <c r="A5550" s="20" t="s">
        <v>2014</v>
      </c>
      <c r="E5550" s="23" t="str">
        <f aca="false">IF(D5550="?OLD","!!!","")</f>
        <v/>
      </c>
      <c r="F5550" s="25" t="str">
        <f aca="false">IF(OR(E5550="",E5550="!!!"),"",IF(NOT(ISNA(VLOOKUP(E5550,E$1:E5549,1,FALSE()))),"OLD",IF(AND(E5550&lt;&gt;"",E5550&lt;&gt;"!!!"),"NEW","")))</f>
        <v/>
      </c>
      <c r="G5550" s="26" t="str">
        <f aca="false">IF(OR(E5550="",E5550="!!!"),"",IF(OR(J5550=0,AND(J5550=1,K5550=1),AND(J5550=1,I5550="SBJ"),AND(J5550=1,I5550=0)),"?IN_FOCUS",IF(J5550&lt;=2,"?ACTIVATED",IF(J5550&lt;&gt;"","?FAMILIAR",IF(F5550="NEW",IF(ISNA(VLOOKUP(E5550,#REF!,1,FALSE())),"?TYPE_IDENTIFIABLE","?REFERENTIAL"),"_")))))</f>
        <v/>
      </c>
      <c r="H5550" s="27" t="str">
        <f aca="false">IF(J5550&lt;&gt;1,"",IF(I5550="SBJ","CB","?"))</f>
        <v/>
      </c>
      <c r="I5550" s="24" t="str">
        <f aca="false">IF(OR(E5550="",E5550="!!!",F5550="NEW"),"",INDEX(B34:B$5517,-1+SUMPRODUCT(MAX(ROW(E34:E$5517)*(E5550=E34:E$5517)))))</f>
        <v/>
      </c>
      <c r="J5550" s="24" t="str">
        <f aca="true">IF(OR(E5550="",E5550="!!!",F5550="NEW"),"",COUNTBLANK(OFFSET(A$1,,,SUMPRODUCT(MAX(ROW(E$2:E5550)*(E5550=E$2:E5550)))))-COUNTBLANK(OFFSET(A$1,,,SUMPRODUCT(MAX(ROW(E$1:E5549)*(E2=E$1:E5549))))))</f>
        <v/>
      </c>
      <c r="K5550" s="24" t="str">
        <f aca="false">IF(OR(E5550="",E5550="!!!",F5550="NEW"),"",INDEX(J$1:J5549,SUMPRODUCT(MAX(ROW(E$1:E5549)*(E5550=E$1:E5549)))))</f>
        <v/>
      </c>
      <c r="L5550" s="31"/>
    </row>
    <row r="5551" customFormat="false" ht="15" hidden="false" customHeight="false" outlineLevel="0" collapsed="false">
      <c r="A5551" s="20" t="s">
        <v>2614</v>
      </c>
      <c r="B5551" s="22" t="s">
        <v>1320</v>
      </c>
      <c r="C5551" s="22" t="s">
        <v>1160</v>
      </c>
      <c r="E5551" s="23" t="str">
        <f aca="false">IF(D5551="?OLD","!!!","")</f>
        <v/>
      </c>
      <c r="F5551" s="25" t="str">
        <f aca="false">IF(OR(E5551="",E5551="!!!"),"",IF(NOT(ISNA(VLOOKUP(E5551,E$1:E5550,1,FALSE()))),"OLD",IF(AND(E5551&lt;&gt;"",E5551&lt;&gt;"!!!"),"NEW","")))</f>
        <v/>
      </c>
      <c r="G5551" s="26" t="str">
        <f aca="false">IF(OR(E5551="",E5551="!!!"),"",IF(OR(J5551=0,AND(J5551=1,K5551=1),AND(J5551=1,I5551="SBJ"),AND(J5551=1,I5551=0)),"?IN_FOCUS",IF(J5551&lt;=2,"?ACTIVATED",IF(J5551&lt;&gt;"","?FAMILIAR",IF(F5551="NEW",IF(ISNA(VLOOKUP(E5551,#REF!,1,FALSE())),"?TYPE_IDENTIFIABLE","?REFERENTIAL"),"_")))))</f>
        <v/>
      </c>
      <c r="H5551" s="27" t="str">
        <f aca="false">IF(J5551&lt;&gt;1,"",IF(I5551="SBJ","CB","?"))</f>
        <v/>
      </c>
      <c r="I5551" s="24" t="str">
        <f aca="false">IF(OR(E5551="",E5551="!!!",F5551="NEW"),"",INDEX(B35:B$5517,-1+SUMPRODUCT(MAX(ROW(E35:E$5517)*(E5551=E35:E$5517)))))</f>
        <v/>
      </c>
      <c r="J5551" s="24" t="str">
        <f aca="true">IF(OR(E5551="",E5551="!!!",F5551="NEW"),"",COUNTBLANK(OFFSET(A$1,,,SUMPRODUCT(MAX(ROW(E$2:E5551)*(E5551=E$2:E5551)))))-COUNTBLANK(OFFSET(A$1,,,SUMPRODUCT(MAX(ROW(E$1:E5550)*(E2=E$1:E5550))))))</f>
        <v/>
      </c>
      <c r="K5551" s="24" t="str">
        <f aca="false">IF(OR(E5551="",E5551="!!!",F5551="NEW"),"",INDEX(J$1:J5550,SUMPRODUCT(MAX(ROW(E$1:E5550)*(E5551=E$1:E5550)))))</f>
        <v/>
      </c>
      <c r="L5551" s="31"/>
    </row>
    <row r="5552" customFormat="false" ht="15" hidden="false" customHeight="false" outlineLevel="0" collapsed="false">
      <c r="A5552" s="20" t="s">
        <v>607</v>
      </c>
      <c r="E5552" s="23" t="str">
        <f aca="false">IF(D5552="?OLD","!!!","")</f>
        <v/>
      </c>
      <c r="F5552" s="25" t="str">
        <f aca="false">IF(OR(E5552="",E5552="!!!"),"",IF(NOT(ISNA(VLOOKUP(E5552,E$1:E5551,1,FALSE()))),"OLD",IF(AND(E5552&lt;&gt;"",E5552&lt;&gt;"!!!"),"NEW","")))</f>
        <v/>
      </c>
      <c r="G5552" s="26" t="str">
        <f aca="false">IF(OR(E5552="",E5552="!!!"),"",IF(OR(J5552=0,AND(J5552=1,K5552=1),AND(J5552=1,I5552="SBJ"),AND(J5552=1,I5552=0)),"?IN_FOCUS",IF(J5552&lt;=2,"?ACTIVATED",IF(J5552&lt;&gt;"","?FAMILIAR",IF(F5552="NEW",IF(ISNA(VLOOKUP(E5552,#REF!,1,FALSE())),"?TYPE_IDENTIFIABLE","?REFERENTIAL"),"_")))))</f>
        <v/>
      </c>
      <c r="H5552" s="27" t="str">
        <f aca="false">IF(J5552&lt;&gt;1,"",IF(I5552="SBJ","CB","?"))</f>
        <v/>
      </c>
      <c r="I5552" s="24" t="str">
        <f aca="false">IF(OR(E5552="",E5552="!!!",F5552="NEW"),"",INDEX(B36:B$5517,-1+SUMPRODUCT(MAX(ROW(E36:E$5517)*(E5552=E36:E$5517)))))</f>
        <v/>
      </c>
      <c r="J5552" s="24" t="str">
        <f aca="true">IF(OR(E5552="",E5552="!!!",F5552="NEW"),"",COUNTBLANK(OFFSET(A$1,,,SUMPRODUCT(MAX(ROW(E$2:E5552)*(E5552=E$2:E5552)))))-COUNTBLANK(OFFSET(A$1,,,SUMPRODUCT(MAX(ROW(E$1:E5551)*(E2=E$1:E5551))))))</f>
        <v/>
      </c>
      <c r="K5552" s="24" t="str">
        <f aca="false">IF(OR(E5552="",E5552="!!!",F5552="NEW"),"",INDEX(J$1:J5551,SUMPRODUCT(MAX(ROW(E$1:E5551)*(E5552=E$1:E5551)))))</f>
        <v/>
      </c>
      <c r="L5552" s="31"/>
    </row>
    <row r="5553" customFormat="false" ht="15" hidden="false" customHeight="false" outlineLevel="0" collapsed="false">
      <c r="A5553" s="20" t="s">
        <v>2615</v>
      </c>
      <c r="B5553" s="22" t="s">
        <v>1134</v>
      </c>
      <c r="C5553" s="22" t="s">
        <v>1082</v>
      </c>
      <c r="D5553" s="22" t="s">
        <v>1060</v>
      </c>
      <c r="E5553" s="23" t="str">
        <f aca="false">IF(D5553="?OLD","!!!","")</f>
        <v>!!!</v>
      </c>
      <c r="F5553" s="25" t="str">
        <f aca="false">IF(OR(E5553="",E5553="!!!"),"",IF(NOT(ISNA(VLOOKUP(E5553,E$1:E5552,1,FALSE()))),"OLD",IF(AND(E5553&lt;&gt;"",E5553&lt;&gt;"!!!"),"NEW","")))</f>
        <v/>
      </c>
      <c r="G5553" s="26" t="str">
        <f aca="false">IF(OR(E5553="",E5553="!!!"),"",IF(OR(J5553=0,AND(J5553=1,K5553=1),AND(J5553=1,I5553="SBJ"),AND(J5553=1,I5553=0)),"?IN_FOCUS",IF(J5553&lt;=2,"?ACTIVATED",IF(J5553&lt;&gt;"","?FAMILIAR",IF(F5553="NEW",IF(ISNA(VLOOKUP(E5553,#REF!,1,FALSE())),"?TYPE_IDENTIFIABLE","?REFERENTIAL"),"_")))))</f>
        <v/>
      </c>
      <c r="H5553" s="27" t="str">
        <f aca="false">IF(J5553&lt;&gt;1,"",IF(I5553="SBJ","CB","?"))</f>
        <v/>
      </c>
      <c r="I5553" s="24" t="str">
        <f aca="false">IF(OR(E5553="",E5553="!!!",F5553="NEW"),"",INDEX(B37:B$5517,-1+SUMPRODUCT(MAX(ROW(E37:E$5517)*(E5553=E37:E$5517)))))</f>
        <v/>
      </c>
      <c r="J5553" s="24" t="str">
        <f aca="true">IF(OR(E5553="",E5553="!!!",F5553="NEW"),"",COUNTBLANK(OFFSET(A$1,,,SUMPRODUCT(MAX(ROW(E$2:E5553)*(E5553=E$2:E5553)))))-COUNTBLANK(OFFSET(A$1,,,SUMPRODUCT(MAX(ROW(E$1:E5552)*(E2=E$1:E5552))))))</f>
        <v/>
      </c>
      <c r="K5553" s="24" t="str">
        <f aca="false">IF(OR(E5553="",E5553="!!!",F5553="NEW"),"",INDEX(J$1:J5552,SUMPRODUCT(MAX(ROW(E$1:E5552)*(E5553=E$1:E5552)))))</f>
        <v/>
      </c>
      <c r="L5553" s="31"/>
    </row>
    <row r="5554" customFormat="false" ht="15" hidden="false" customHeight="false" outlineLevel="0" collapsed="false">
      <c r="A5554" s="20" t="s">
        <v>1748</v>
      </c>
      <c r="E5554" s="23" t="str">
        <f aca="false">IF(D5554="?OLD","!!!","")</f>
        <v/>
      </c>
      <c r="F5554" s="25" t="str">
        <f aca="false">IF(OR(E5554="",E5554="!!!"),"",IF(NOT(ISNA(VLOOKUP(E5554,E$1:E5553,1,FALSE()))),"OLD",IF(AND(E5554&lt;&gt;"",E5554&lt;&gt;"!!!"),"NEW","")))</f>
        <v/>
      </c>
      <c r="G5554" s="26" t="str">
        <f aca="false">IF(OR(E5554="",E5554="!!!"),"",IF(OR(J5554=0,AND(J5554=1,K5554=1),AND(J5554=1,I5554="SBJ"),AND(J5554=1,I5554=0)),"?IN_FOCUS",IF(J5554&lt;=2,"?ACTIVATED",IF(J5554&lt;&gt;"","?FAMILIAR",IF(F5554="NEW",IF(ISNA(VLOOKUP(E5554,#REF!,1,FALSE())),"?TYPE_IDENTIFIABLE","?REFERENTIAL"),"_")))))</f>
        <v/>
      </c>
      <c r="H5554" s="27" t="str">
        <f aca="false">IF(J5554&lt;&gt;1,"",IF(I5554="SBJ","CB","?"))</f>
        <v/>
      </c>
      <c r="I5554" s="24" t="str">
        <f aca="false">IF(OR(E5554="",E5554="!!!",F5554="NEW"),"",INDEX(B38:B$5517,-1+SUMPRODUCT(MAX(ROW(E38:E$5517)*(E5554=E38:E$5517)))))</f>
        <v/>
      </c>
      <c r="J5554" s="24" t="str">
        <f aca="true">IF(OR(E5554="",E5554="!!!",F5554="NEW"),"",COUNTBLANK(OFFSET(A$1,,,SUMPRODUCT(MAX(ROW(E$2:E5554)*(E5554=E$2:E5554)))))-COUNTBLANK(OFFSET(A$1,,,SUMPRODUCT(MAX(ROW(E$1:E5553)*(E2=E$1:E5553))))))</f>
        <v/>
      </c>
      <c r="K5554" s="24" t="str">
        <f aca="false">IF(OR(E5554="",E5554="!!!",F5554="NEW"),"",INDEX(J$1:J5553,SUMPRODUCT(MAX(ROW(E$1:E5553)*(E5554=E$1:E5553)))))</f>
        <v/>
      </c>
      <c r="L5554" s="31"/>
    </row>
    <row r="5555" customFormat="false" ht="15" hidden="false" customHeight="false" outlineLevel="0" collapsed="false">
      <c r="A5555" s="20" t="s">
        <v>1097</v>
      </c>
      <c r="B5555" s="22" t="s">
        <v>1855</v>
      </c>
      <c r="C5555" s="22" t="s">
        <v>1099</v>
      </c>
      <c r="D5555" s="22" t="s">
        <v>1060</v>
      </c>
      <c r="E5555" s="23" t="str">
        <f aca="false">IF(D5555="?OLD","!!!","")</f>
        <v>!!!</v>
      </c>
      <c r="F5555" s="25" t="str">
        <f aca="false">IF(OR(E5555="",E5555="!!!"),"",IF(NOT(ISNA(VLOOKUP(E5555,E$1:E5554,1,FALSE()))),"OLD",IF(AND(E5555&lt;&gt;"",E5555&lt;&gt;"!!!"),"NEW","")))</f>
        <v/>
      </c>
      <c r="G5555" s="26" t="str">
        <f aca="false">IF(OR(E5555="",E5555="!!!"),"",IF(OR(J5555=0,AND(J5555=1,K5555=1),AND(J5555=1,I5555="SBJ"),AND(J5555=1,I5555=0)),"?IN_FOCUS",IF(J5555&lt;=2,"?ACTIVATED",IF(J5555&lt;&gt;"","?FAMILIAR",IF(F5555="NEW",IF(ISNA(VLOOKUP(E5555,#REF!,1,FALSE())),"?TYPE_IDENTIFIABLE","?REFERENTIAL"),"_")))))</f>
        <v/>
      </c>
      <c r="H5555" s="27" t="str">
        <f aca="false">IF(J5555&lt;&gt;1,"",IF(I5555="SBJ","CB","?"))</f>
        <v/>
      </c>
      <c r="I5555" s="24" t="str">
        <f aca="false">IF(OR(E5555="",E5555="!!!",F5555="NEW"),"",INDEX(B39:B$5517,-1+SUMPRODUCT(MAX(ROW(E39:E$5517)*(E5555=E39:E$5517)))))</f>
        <v/>
      </c>
      <c r="J5555" s="24" t="str">
        <f aca="true">IF(OR(E5555="",E5555="!!!",F5555="NEW"),"",COUNTBLANK(OFFSET(A$1,,,SUMPRODUCT(MAX(ROW(E$2:E5555)*(E5555=E$2:E5555)))))-COUNTBLANK(OFFSET(A$1,,,SUMPRODUCT(MAX(ROW(E$1:E5554)*(E2=E$1:E5554))))))</f>
        <v/>
      </c>
      <c r="K5555" s="24" t="str">
        <f aca="false">IF(OR(E5555="",E5555="!!!",F5555="NEW"),"",INDEX(J$1:J5554,SUMPRODUCT(MAX(ROW(E$1:E5554)*(E5555=E$1:E5554)))))</f>
        <v/>
      </c>
      <c r="L5555" s="31"/>
    </row>
    <row r="5556" customFormat="false" ht="15" hidden="false" customHeight="false" outlineLevel="0" collapsed="false">
      <c r="A5556" s="20" t="s">
        <v>78</v>
      </c>
      <c r="E5556" s="23" t="str">
        <f aca="false">IF(D5556="?OLD","!!!","")</f>
        <v/>
      </c>
      <c r="F5556" s="25" t="str">
        <f aca="false">IF(OR(E5556="",E5556="!!!"),"",IF(NOT(ISNA(VLOOKUP(E5556,E$1:E5555,1,FALSE()))),"OLD",IF(AND(E5556&lt;&gt;"",E5556&lt;&gt;"!!!"),"NEW","")))</f>
        <v/>
      </c>
      <c r="G5556" s="26" t="str">
        <f aca="false">IF(OR(E5556="",E5556="!!!"),"",IF(OR(J5556=0,AND(J5556=1,K5556=1),AND(J5556=1,I5556="SBJ"),AND(J5556=1,I5556=0)),"?IN_FOCUS",IF(J5556&lt;=2,"?ACTIVATED",IF(J5556&lt;&gt;"","?FAMILIAR",IF(F5556="NEW",IF(ISNA(VLOOKUP(E5556,#REF!,1,FALSE())),"?TYPE_IDENTIFIABLE","?REFERENTIAL"),"_")))))</f>
        <v/>
      </c>
      <c r="H5556" s="27" t="str">
        <f aca="false">IF(J5556&lt;&gt;1,"",IF(I5556="SBJ","CB","?"))</f>
        <v/>
      </c>
      <c r="I5556" s="24" t="str">
        <f aca="false">IF(OR(E5556="",E5556="!!!",F5556="NEW"),"",INDEX(B40:B$5517,-1+SUMPRODUCT(MAX(ROW(E40:E$5517)*(E5556=E40:E$5517)))))</f>
        <v/>
      </c>
      <c r="J5556" s="24" t="str">
        <f aca="true">IF(OR(E5556="",E5556="!!!",F5556="NEW"),"",COUNTBLANK(OFFSET(A$1,,,SUMPRODUCT(MAX(ROW(E$2:E5556)*(E5556=E$2:E5556)))))-COUNTBLANK(OFFSET(A$1,,,SUMPRODUCT(MAX(ROW(E$1:E5555)*(E2=E$1:E5555))))))</f>
        <v/>
      </c>
      <c r="K5556" s="24" t="str">
        <f aca="false">IF(OR(E5556="",E5556="!!!",F5556="NEW"),"",INDEX(J$1:J5555,SUMPRODUCT(MAX(ROW(E$1:E5555)*(E5556=E$1:E5555)))))</f>
        <v/>
      </c>
      <c r="L5556" s="31"/>
    </row>
    <row r="5557" customFormat="false" ht="15" hidden="false" customHeight="false" outlineLevel="0" collapsed="false">
      <c r="A5557" s="20" t="s">
        <v>2616</v>
      </c>
      <c r="B5557" s="22" t="s">
        <v>1320</v>
      </c>
      <c r="C5557" s="22" t="s">
        <v>1059</v>
      </c>
      <c r="D5557" s="22" t="s">
        <v>1060</v>
      </c>
      <c r="E5557" s="23" t="str">
        <f aca="false">IF(D5557="?OLD","!!!","")</f>
        <v>!!!</v>
      </c>
      <c r="F5557" s="25" t="str">
        <f aca="false">IF(OR(E5557="",E5557="!!!"),"",IF(NOT(ISNA(VLOOKUP(E5557,E$1:E5556,1,FALSE()))),"OLD",IF(AND(E5557&lt;&gt;"",E5557&lt;&gt;"!!!"),"NEW","")))</f>
        <v/>
      </c>
      <c r="G5557" s="26" t="str">
        <f aca="false">IF(OR(E5557="",E5557="!!!"),"",IF(OR(J5557=0,AND(J5557=1,K5557=1),AND(J5557=1,I5557="SBJ"),AND(J5557=1,I5557=0)),"?IN_FOCUS",IF(J5557&lt;=2,"?ACTIVATED",IF(J5557&lt;&gt;"","?FAMILIAR",IF(F5557="NEW",IF(ISNA(VLOOKUP(E5557,#REF!,1,FALSE())),"?TYPE_IDENTIFIABLE","?REFERENTIAL"),"_")))))</f>
        <v/>
      </c>
      <c r="H5557" s="27" t="str">
        <f aca="false">IF(J5557&lt;&gt;1,"",IF(I5557="SBJ","CB","?"))</f>
        <v/>
      </c>
      <c r="I5557" s="24" t="str">
        <f aca="false">IF(OR(E5557="",E5557="!!!",F5557="NEW"),"",INDEX(B41:B$5517,-1+SUMPRODUCT(MAX(ROW(E41:E$5517)*(E5557=E41:E$5517)))))</f>
        <v/>
      </c>
      <c r="J5557" s="24" t="str">
        <f aca="true">IF(OR(E5557="",E5557="!!!",F5557="NEW"),"",COUNTBLANK(OFFSET(A$1,,,SUMPRODUCT(MAX(ROW(E$2:E5557)*(E5557=E$2:E5557)))))-COUNTBLANK(OFFSET(A$1,,,SUMPRODUCT(MAX(ROW(E$1:E5556)*(E2=E$1:E5556))))))</f>
        <v/>
      </c>
      <c r="K5557" s="24" t="str">
        <f aca="false">IF(OR(E5557="",E5557="!!!",F5557="NEW"),"",INDEX(J$1:J5556,SUMPRODUCT(MAX(ROW(E$1:E5556)*(E5557=E$1:E5556)))))</f>
        <v/>
      </c>
      <c r="L5557" s="31"/>
    </row>
    <row r="5558" customFormat="false" ht="15" hidden="false" customHeight="false" outlineLevel="0" collapsed="false">
      <c r="A5558" s="20" t="s">
        <v>1490</v>
      </c>
      <c r="E5558" s="23" t="str">
        <f aca="false">IF(D5558="?OLD","!!!","")</f>
        <v/>
      </c>
      <c r="F5558" s="25" t="str">
        <f aca="false">IF(OR(E5558="",E5558="!!!"),"",IF(NOT(ISNA(VLOOKUP(E5558,E$1:E5557,1,FALSE()))),"OLD",IF(AND(E5558&lt;&gt;"",E5558&lt;&gt;"!!!"),"NEW","")))</f>
        <v/>
      </c>
      <c r="G5558" s="26" t="str">
        <f aca="false">IF(OR(E5558="",E5558="!!!"),"",IF(OR(J5558=0,AND(J5558=1,K5558=1),AND(J5558=1,I5558="SBJ"),AND(J5558=1,I5558=0)),"?IN_FOCUS",IF(J5558&lt;=2,"?ACTIVATED",IF(J5558&lt;&gt;"","?FAMILIAR",IF(F5558="NEW",IF(ISNA(VLOOKUP(E5558,#REF!,1,FALSE())),"?TYPE_IDENTIFIABLE","?REFERENTIAL"),"_")))))</f>
        <v/>
      </c>
      <c r="H5558" s="27" t="str">
        <f aca="false">IF(J5558&lt;&gt;1,"",IF(I5558="SBJ","CB","?"))</f>
        <v/>
      </c>
      <c r="I5558" s="24" t="str">
        <f aca="false">IF(OR(E5558="",E5558="!!!",F5558="NEW"),"",INDEX(B42:B$5517,-1+SUMPRODUCT(MAX(ROW(E42:E$5517)*(E5558=E42:E$5517)))))</f>
        <v/>
      </c>
      <c r="J5558" s="24" t="str">
        <f aca="true">IF(OR(E5558="",E5558="!!!",F5558="NEW"),"",COUNTBLANK(OFFSET(A$1,,,SUMPRODUCT(MAX(ROW(E$2:E5558)*(E5558=E$2:E5558)))))-COUNTBLANK(OFFSET(A$1,,,SUMPRODUCT(MAX(ROW(E$1:E5557)*(E2=E$1:E5557))))))</f>
        <v/>
      </c>
      <c r="K5558" s="24" t="str">
        <f aca="false">IF(OR(E5558="",E5558="!!!",F5558="NEW"),"",INDEX(J$1:J5557,SUMPRODUCT(MAX(ROW(E$1:E5557)*(E5558=E$1:E5557)))))</f>
        <v/>
      </c>
      <c r="L5558" s="31"/>
    </row>
    <row r="5559" customFormat="false" ht="15" hidden="false" customHeight="false" outlineLevel="0" collapsed="false">
      <c r="A5559" s="20" t="s">
        <v>1109</v>
      </c>
      <c r="E5559" s="23" t="str">
        <f aca="false">IF(D5559="?OLD","!!!","")</f>
        <v/>
      </c>
      <c r="F5559" s="25" t="str">
        <f aca="false">IF(OR(E5559="",E5559="!!!"),"",IF(NOT(ISNA(VLOOKUP(E5559,E$1:E5558,1,FALSE()))),"OLD",IF(AND(E5559&lt;&gt;"",E5559&lt;&gt;"!!!"),"NEW","")))</f>
        <v/>
      </c>
      <c r="G5559" s="26" t="str">
        <f aca="false">IF(OR(E5559="",E5559="!!!"),"",IF(OR(J5559=0,AND(J5559=1,K5559=1),AND(J5559=1,I5559="SBJ"),AND(J5559=1,I5559=0)),"?IN_FOCUS",IF(J5559&lt;=2,"?ACTIVATED",IF(J5559&lt;&gt;"","?FAMILIAR",IF(F5559="NEW",IF(ISNA(VLOOKUP(E5559,#REF!,1,FALSE())),"?TYPE_IDENTIFIABLE","?REFERENTIAL"),"_")))))</f>
        <v/>
      </c>
      <c r="H5559" s="27" t="str">
        <f aca="false">IF(J5559&lt;&gt;1,"",IF(I5559="SBJ","CB","?"))</f>
        <v/>
      </c>
      <c r="I5559" s="24" t="str">
        <f aca="false">IF(OR(E5559="",E5559="!!!",F5559="NEW"),"",INDEX(B43:B$5517,-1+SUMPRODUCT(MAX(ROW(E43:E$5517)*(E5559=E43:E$5517)))))</f>
        <v/>
      </c>
      <c r="J5559" s="24" t="str">
        <f aca="true">IF(OR(E5559="",E5559="!!!",F5559="NEW"),"",COUNTBLANK(OFFSET(A$1,,,SUMPRODUCT(MAX(ROW(E$2:E5559)*(E5559=E$2:E5559)))))-COUNTBLANK(OFFSET(A$1,,,SUMPRODUCT(MAX(ROW(E$1:E5558)*(E2=E$1:E5558))))))</f>
        <v/>
      </c>
      <c r="K5559" s="24" t="str">
        <f aca="false">IF(OR(E5559="",E5559="!!!",F5559="NEW"),"",INDEX(J$1:J5558,SUMPRODUCT(MAX(ROW(E$1:E5558)*(E5559=E$1:E5558)))))</f>
        <v/>
      </c>
      <c r="L5559" s="31"/>
    </row>
    <row r="5560" customFormat="false" ht="15" hidden="false" customHeight="false" outlineLevel="0" collapsed="false">
      <c r="A5560" s="20" t="s">
        <v>1356</v>
      </c>
      <c r="E5560" s="23" t="str">
        <f aca="false">IF(D5560="?OLD","!!!","")</f>
        <v/>
      </c>
      <c r="F5560" s="25" t="str">
        <f aca="false">IF(OR(E5560="",E5560="!!!"),"",IF(NOT(ISNA(VLOOKUP(E5560,E$1:E5559,1,FALSE()))),"OLD",IF(AND(E5560&lt;&gt;"",E5560&lt;&gt;"!!!"),"NEW","")))</f>
        <v/>
      </c>
      <c r="G5560" s="26" t="str">
        <f aca="false">IF(OR(E5560="",E5560="!!!"),"",IF(OR(J5560=0,AND(J5560=1,K5560=1),AND(J5560=1,I5560="SBJ"),AND(J5560=1,I5560=0)),"?IN_FOCUS",IF(J5560&lt;=2,"?ACTIVATED",IF(J5560&lt;&gt;"","?FAMILIAR",IF(F5560="NEW",IF(ISNA(VLOOKUP(E5560,#REF!,1,FALSE())),"?TYPE_IDENTIFIABLE","?REFERENTIAL"),"_")))))</f>
        <v/>
      </c>
      <c r="H5560" s="27" t="str">
        <f aca="false">IF(J5560&lt;&gt;1,"",IF(I5560="SBJ","CB","?"))</f>
        <v/>
      </c>
      <c r="I5560" s="24" t="str">
        <f aca="false">IF(OR(E5560="",E5560="!!!",F5560="NEW"),"",INDEX(B44:B$5517,-1+SUMPRODUCT(MAX(ROW(E44:E$5517)*(E5560=E44:E$5517)))))</f>
        <v/>
      </c>
      <c r="J5560" s="24" t="str">
        <f aca="true">IF(OR(E5560="",E5560="!!!",F5560="NEW"),"",COUNTBLANK(OFFSET(A$1,,,SUMPRODUCT(MAX(ROW(E$2:E5560)*(E5560=E$2:E5560)))))-COUNTBLANK(OFFSET(A$1,,,SUMPRODUCT(MAX(ROW(E$1:E5559)*(E2=E$1:E5559))))))</f>
        <v/>
      </c>
      <c r="K5560" s="24" t="str">
        <f aca="false">IF(OR(E5560="",E5560="!!!",F5560="NEW"),"",INDEX(J$1:J5559,SUMPRODUCT(MAX(ROW(E$1:E5559)*(E5560=E$1:E5559)))))</f>
        <v/>
      </c>
      <c r="L5560" s="31"/>
    </row>
    <row r="5561" customFormat="false" ht="15" hidden="false" customHeight="false" outlineLevel="0" collapsed="false">
      <c r="A5561" s="20" t="s">
        <v>2283</v>
      </c>
      <c r="E5561" s="23" t="str">
        <f aca="false">IF(D5561="?OLD","!!!","")</f>
        <v/>
      </c>
      <c r="F5561" s="25" t="str">
        <f aca="false">IF(OR(E5561="",E5561="!!!"),"",IF(NOT(ISNA(VLOOKUP(E5561,E$1:E5560,1,FALSE()))),"OLD",IF(AND(E5561&lt;&gt;"",E5561&lt;&gt;"!!!"),"NEW","")))</f>
        <v/>
      </c>
      <c r="G5561" s="26" t="str">
        <f aca="false">IF(OR(E5561="",E5561="!!!"),"",IF(OR(J5561=0,AND(J5561=1,K5561=1),AND(J5561=1,I5561="SBJ"),AND(J5561=1,I5561=0)),"?IN_FOCUS",IF(J5561&lt;=2,"?ACTIVATED",IF(J5561&lt;&gt;"","?FAMILIAR",IF(F5561="NEW",IF(ISNA(VLOOKUP(E5561,#REF!,1,FALSE())),"?TYPE_IDENTIFIABLE","?REFERENTIAL"),"_")))))</f>
        <v/>
      </c>
      <c r="H5561" s="27" t="str">
        <f aca="false">IF(J5561&lt;&gt;1,"",IF(I5561="SBJ","CB","?"))</f>
        <v/>
      </c>
      <c r="I5561" s="24" t="str">
        <f aca="false">IF(OR(E5561="",E5561="!!!",F5561="NEW"),"",INDEX(B45:B$5517,-1+SUMPRODUCT(MAX(ROW(E45:E$5517)*(E5561=E45:E$5517)))))</f>
        <v/>
      </c>
      <c r="J5561" s="24" t="str">
        <f aca="true">IF(OR(E5561="",E5561="!!!",F5561="NEW"),"",COUNTBLANK(OFFSET(A$1,,,SUMPRODUCT(MAX(ROW(E$2:E5561)*(E5561=E$2:E5561)))))-COUNTBLANK(OFFSET(A$1,,,SUMPRODUCT(MAX(ROW(E$1:E5560)*(E2=E$1:E5560))))))</f>
        <v/>
      </c>
      <c r="K5561" s="24" t="str">
        <f aca="false">IF(OR(E5561="",E5561="!!!",F5561="NEW"),"",INDEX(J$1:J5560,SUMPRODUCT(MAX(ROW(E$1:E5560)*(E5561=E$1:E5560)))))</f>
        <v/>
      </c>
      <c r="L5561" s="31"/>
    </row>
    <row r="5562" customFormat="false" ht="15" hidden="false" customHeight="false" outlineLevel="0" collapsed="false">
      <c r="A5562" s="20" t="s">
        <v>2617</v>
      </c>
      <c r="B5562" s="22" t="s">
        <v>1855</v>
      </c>
      <c r="C5562" s="22" t="s">
        <v>1150</v>
      </c>
      <c r="D5562" s="22" t="s">
        <v>1060</v>
      </c>
      <c r="E5562" s="23" t="str">
        <f aca="false">IF(D5562="?OLD","!!!","")</f>
        <v>!!!</v>
      </c>
      <c r="F5562" s="25" t="str">
        <f aca="false">IF(OR(E5562="",E5562="!!!"),"",IF(NOT(ISNA(VLOOKUP(E5562,E$1:E5561,1,FALSE()))),"OLD",IF(AND(E5562&lt;&gt;"",E5562&lt;&gt;"!!!"),"NEW","")))</f>
        <v/>
      </c>
      <c r="G5562" s="26" t="str">
        <f aca="false">IF(OR(E5562="",E5562="!!!"),"",IF(OR(J5562=0,AND(J5562=1,K5562=1),AND(J5562=1,I5562="SBJ"),AND(J5562=1,I5562=0)),"?IN_FOCUS",IF(J5562&lt;=2,"?ACTIVATED",IF(J5562&lt;&gt;"","?FAMILIAR",IF(F5562="NEW",IF(ISNA(VLOOKUP(E5562,#REF!,1,FALSE())),"?TYPE_IDENTIFIABLE","?REFERENTIAL"),"_")))))</f>
        <v/>
      </c>
      <c r="H5562" s="27" t="str">
        <f aca="false">IF(J5562&lt;&gt;1,"",IF(I5562="SBJ","CB","?"))</f>
        <v/>
      </c>
      <c r="I5562" s="24" t="str">
        <f aca="false">IF(OR(E5562="",E5562="!!!",F5562="NEW"),"",INDEX(B46:B$5517,-1+SUMPRODUCT(MAX(ROW(E46:E$5517)*(E5562=E46:E$5517)))))</f>
        <v/>
      </c>
      <c r="J5562" s="24" t="str">
        <f aca="true">IF(OR(E5562="",E5562="!!!",F5562="NEW"),"",COUNTBLANK(OFFSET(A$1,,,SUMPRODUCT(MAX(ROW(E$2:E5562)*(E5562=E$2:E5562)))))-COUNTBLANK(OFFSET(A$1,,,SUMPRODUCT(MAX(ROW(E$1:E5561)*(E2=E$1:E5561))))))</f>
        <v/>
      </c>
      <c r="K5562" s="24" t="str">
        <f aca="false">IF(OR(E5562="",E5562="!!!",F5562="NEW"),"",INDEX(J$1:J5561,SUMPRODUCT(MAX(ROW(E$1:E5561)*(E5562=E$1:E5561)))))</f>
        <v/>
      </c>
      <c r="L5562" s="31"/>
    </row>
    <row r="5563" customFormat="false" ht="15" hidden="false" customHeight="false" outlineLevel="0" collapsed="false">
      <c r="A5563" s="20" t="s">
        <v>1064</v>
      </c>
      <c r="E5563" s="23" t="str">
        <f aca="false">IF(D5563="?OLD","!!!","")</f>
        <v/>
      </c>
      <c r="F5563" s="25" t="str">
        <f aca="false">IF(OR(E5563="",E5563="!!!"),"",IF(NOT(ISNA(VLOOKUP(E5563,E$1:E5562,1,FALSE()))),"OLD",IF(AND(E5563&lt;&gt;"",E5563&lt;&gt;"!!!"),"NEW","")))</f>
        <v/>
      </c>
      <c r="G5563" s="26" t="str">
        <f aca="false">IF(OR(E5563="",E5563="!!!"),"",IF(OR(J5563=0,AND(J5563=1,K5563=1),AND(J5563=1,I5563="SBJ"),AND(J5563=1,I5563=0)),"?IN_FOCUS",IF(J5563&lt;=2,"?ACTIVATED",IF(J5563&lt;&gt;"","?FAMILIAR",IF(F5563="NEW",IF(ISNA(VLOOKUP(E5563,#REF!,1,FALSE())),"?TYPE_IDENTIFIABLE","?REFERENTIAL"),"_")))))</f>
        <v/>
      </c>
      <c r="H5563" s="27" t="str">
        <f aca="false">IF(J5563&lt;&gt;1,"",IF(I5563="SBJ","CB","?"))</f>
        <v/>
      </c>
      <c r="I5563" s="24" t="str">
        <f aca="false">IF(OR(E5563="",E5563="!!!",F5563="NEW"),"",INDEX(B47:B$5517,-1+SUMPRODUCT(MAX(ROW(E47:E$5517)*(E5563=E47:E$5517)))))</f>
        <v/>
      </c>
      <c r="J5563" s="24" t="str">
        <f aca="true">IF(OR(E5563="",E5563="!!!",F5563="NEW"),"",COUNTBLANK(OFFSET(A$1,,,SUMPRODUCT(MAX(ROW(E$2:E5563)*(E5563=E$2:E5563)))))-COUNTBLANK(OFFSET(A$1,,,SUMPRODUCT(MAX(ROW(E$1:E5562)*(E2=E$1:E5562))))))</f>
        <v/>
      </c>
      <c r="K5563" s="24" t="str">
        <f aca="false">IF(OR(E5563="",E5563="!!!",F5563="NEW"),"",INDEX(J$1:J5562,SUMPRODUCT(MAX(ROW(E$1:E5562)*(E5563=E$1:E5562)))))</f>
        <v/>
      </c>
      <c r="L5563" s="31"/>
    </row>
    <row r="5564" customFormat="false" ht="15" hidden="false" customHeight="false" outlineLevel="0" collapsed="false">
      <c r="A5564" s="20" t="s">
        <v>2421</v>
      </c>
      <c r="E5564" s="23" t="str">
        <f aca="false">IF(D5564="?OLD","!!!","")</f>
        <v/>
      </c>
      <c r="F5564" s="25" t="str">
        <f aca="false">IF(OR(E5564="",E5564="!!!"),"",IF(NOT(ISNA(VLOOKUP(E5564,E$1:E5563,1,FALSE()))),"OLD",IF(AND(E5564&lt;&gt;"",E5564&lt;&gt;"!!!"),"NEW","")))</f>
        <v/>
      </c>
      <c r="G5564" s="26" t="str">
        <f aca="false">IF(OR(E5564="",E5564="!!!"),"",IF(OR(J5564=0,AND(J5564=1,K5564=1),AND(J5564=1,I5564="SBJ"),AND(J5564=1,I5564=0)),"?IN_FOCUS",IF(J5564&lt;=2,"?ACTIVATED",IF(J5564&lt;&gt;"","?FAMILIAR",IF(F5564="NEW",IF(ISNA(VLOOKUP(E5564,#REF!,1,FALSE())),"?TYPE_IDENTIFIABLE","?REFERENTIAL"),"_")))))</f>
        <v/>
      </c>
      <c r="H5564" s="27" t="str">
        <f aca="false">IF(J5564&lt;&gt;1,"",IF(I5564="SBJ","CB","?"))</f>
        <v/>
      </c>
      <c r="I5564" s="24" t="str">
        <f aca="false">IF(OR(E5564="",E5564="!!!",F5564="NEW"),"",INDEX(B48:B$5517,-1+SUMPRODUCT(MAX(ROW(E48:E$5517)*(E5564=E48:E$5517)))))</f>
        <v/>
      </c>
      <c r="J5564" s="24" t="str">
        <f aca="true">IF(OR(E5564="",E5564="!!!",F5564="NEW"),"",COUNTBLANK(OFFSET(A$1,,,SUMPRODUCT(MAX(ROW(E$2:E5564)*(E5564=E$2:E5564)))))-COUNTBLANK(OFFSET(A$1,,,SUMPRODUCT(MAX(ROW(E$1:E5563)*(E2=E$1:E5563))))))</f>
        <v/>
      </c>
      <c r="K5564" s="24" t="str">
        <f aca="false">IF(OR(E5564="",E5564="!!!",F5564="NEW"),"",INDEX(J$1:J5563,SUMPRODUCT(MAX(ROW(E$1:E5563)*(E5564=E$1:E5563)))))</f>
        <v/>
      </c>
      <c r="L5564" s="31"/>
    </row>
    <row r="5565" customFormat="false" ht="15" hidden="false" customHeight="false" outlineLevel="0" collapsed="false">
      <c r="A5565" s="20" t="s">
        <v>16</v>
      </c>
      <c r="E5565" s="23" t="str">
        <f aca="false">IF(D5565="?OLD","!!!","")</f>
        <v/>
      </c>
      <c r="F5565" s="25" t="str">
        <f aca="false">IF(OR(E5565="",E5565="!!!"),"",IF(NOT(ISNA(VLOOKUP(E5565,E$1:E5564,1,FALSE()))),"OLD",IF(AND(E5565&lt;&gt;"",E5565&lt;&gt;"!!!"),"NEW","")))</f>
        <v/>
      </c>
      <c r="G5565" s="26" t="str">
        <f aca="false">IF(OR(E5565="",E5565="!!!"),"",IF(OR(J5565=0,AND(J5565=1,K5565=1),AND(J5565=1,I5565="SBJ"),AND(J5565=1,I5565=0)),"?IN_FOCUS",IF(J5565&lt;=2,"?ACTIVATED",IF(J5565&lt;&gt;"","?FAMILIAR",IF(F5565="NEW",IF(ISNA(VLOOKUP(E5565,#REF!,1,FALSE())),"?TYPE_IDENTIFIABLE","?REFERENTIAL"),"_")))))</f>
        <v/>
      </c>
      <c r="H5565" s="27" t="str">
        <f aca="false">IF(J5565&lt;&gt;1,"",IF(I5565="SBJ","CB","?"))</f>
        <v/>
      </c>
      <c r="I5565" s="24" t="str">
        <f aca="false">IF(OR(E5565="",E5565="!!!",F5565="NEW"),"",INDEX(B49:B$5517,-1+SUMPRODUCT(MAX(ROW(E49:E$5517)*(E5565=E49:E$5517)))))</f>
        <v/>
      </c>
      <c r="J5565" s="24" t="str">
        <f aca="true">IF(OR(E5565="",E5565="!!!",F5565="NEW"),"",COUNTBLANK(OFFSET(A$1,,,SUMPRODUCT(MAX(ROW(E$2:E5565)*(E5565=E$2:E5565)))))-COUNTBLANK(OFFSET(A$1,,,SUMPRODUCT(MAX(ROW(E$1:E5564)*(E2=E$1:E5564))))))</f>
        <v/>
      </c>
      <c r="K5565" s="24" t="str">
        <f aca="false">IF(OR(E5565="",E5565="!!!",F5565="NEW"),"",INDEX(J$1:J5564,SUMPRODUCT(MAX(ROW(E$1:E5564)*(E5565=E$1:E5564)))))</f>
        <v/>
      </c>
      <c r="L5565" s="31"/>
    </row>
    <row r="5566" customFormat="false" ht="15" hidden="false" customHeight="false" outlineLevel="0" collapsed="false">
      <c r="A5566" s="20" t="s">
        <v>2618</v>
      </c>
      <c r="E5566" s="23" t="str">
        <f aca="false">IF(D5566="?OLD","!!!","")</f>
        <v/>
      </c>
      <c r="F5566" s="25" t="str">
        <f aca="false">IF(OR(E5566="",E5566="!!!"),"",IF(NOT(ISNA(VLOOKUP(E5566,E$1:E5565,1,FALSE()))),"OLD",IF(AND(E5566&lt;&gt;"",E5566&lt;&gt;"!!!"),"NEW","")))</f>
        <v/>
      </c>
      <c r="G5566" s="26" t="str">
        <f aca="false">IF(OR(E5566="",E5566="!!!"),"",IF(OR(J5566=0,AND(J5566=1,K5566=1),AND(J5566=1,I5566="SBJ"),AND(J5566=1,I5566=0)),"?IN_FOCUS",IF(J5566&lt;=2,"?ACTIVATED",IF(J5566&lt;&gt;"","?FAMILIAR",IF(F5566="NEW",IF(ISNA(VLOOKUP(E5566,#REF!,1,FALSE())),"?TYPE_IDENTIFIABLE","?REFERENTIAL"),"_")))))</f>
        <v/>
      </c>
      <c r="H5566" s="27" t="str">
        <f aca="false">IF(J5566&lt;&gt;1,"",IF(I5566="SBJ","CB","?"))</f>
        <v/>
      </c>
      <c r="I5566" s="24" t="str">
        <f aca="false">IF(OR(E5566="",E5566="!!!",F5566="NEW"),"",INDEX(B50:B$5517,-1+SUMPRODUCT(MAX(ROW(E50:E$5517)*(E5566=E50:E$5517)))))</f>
        <v/>
      </c>
      <c r="J5566" s="24" t="str">
        <f aca="true">IF(OR(E5566="",E5566="!!!",F5566="NEW"),"",COUNTBLANK(OFFSET(A$1,,,SUMPRODUCT(MAX(ROW(E$2:E5566)*(E5566=E$2:E5566)))))-COUNTBLANK(OFFSET(A$1,,,SUMPRODUCT(MAX(ROW(E$1:E5565)*(E2=E$1:E5565))))))</f>
        <v/>
      </c>
      <c r="K5566" s="24" t="str">
        <f aca="false">IF(OR(E5566="",E5566="!!!",F5566="NEW"),"",INDEX(J$1:J5565,SUMPRODUCT(MAX(ROW(E$1:E5565)*(E5566=E$1:E5565)))))</f>
        <v/>
      </c>
      <c r="L5566" s="31"/>
    </row>
    <row r="5567" customFormat="false" ht="15" hidden="false" customHeight="false" outlineLevel="0" collapsed="false">
      <c r="A5567" s="20" t="s">
        <v>2404</v>
      </c>
      <c r="B5567" s="22" t="s">
        <v>1319</v>
      </c>
      <c r="C5567" s="22" t="s">
        <v>1160</v>
      </c>
      <c r="E5567" s="23" t="str">
        <f aca="false">IF(D5567="?OLD","!!!","")</f>
        <v/>
      </c>
      <c r="F5567" s="25" t="str">
        <f aca="false">IF(OR(E5567="",E5567="!!!"),"",IF(NOT(ISNA(VLOOKUP(E5567,E$1:E5566,1,FALSE()))),"OLD",IF(AND(E5567&lt;&gt;"",E5567&lt;&gt;"!!!"),"NEW","")))</f>
        <v/>
      </c>
      <c r="G5567" s="26" t="str">
        <f aca="false">IF(OR(E5567="",E5567="!!!"),"",IF(OR(J5567=0,AND(J5567=1,K5567=1),AND(J5567=1,I5567="SBJ"),AND(J5567=1,I5567=0)),"?IN_FOCUS",IF(J5567&lt;=2,"?ACTIVATED",IF(J5567&lt;&gt;"","?FAMILIAR",IF(F5567="NEW",IF(ISNA(VLOOKUP(E5567,#REF!,1,FALSE())),"?TYPE_IDENTIFIABLE","?REFERENTIAL"),"_")))))</f>
        <v/>
      </c>
      <c r="H5567" s="27" t="str">
        <f aca="false">IF(J5567&lt;&gt;1,"",IF(I5567="SBJ","CB","?"))</f>
        <v/>
      </c>
      <c r="I5567" s="24" t="str">
        <f aca="false">IF(OR(E5567="",E5567="!!!",F5567="NEW"),"",INDEX(B51:B$5517,-1+SUMPRODUCT(MAX(ROW(E51:E$5517)*(E5567=E51:E$5517)))))</f>
        <v/>
      </c>
      <c r="J5567" s="24" t="str">
        <f aca="true">IF(OR(E5567="",E5567="!!!",F5567="NEW"),"",COUNTBLANK(OFFSET(A$1,,,SUMPRODUCT(MAX(ROW(E$2:E5567)*(E5567=E$2:E5567)))))-COUNTBLANK(OFFSET(A$1,,,SUMPRODUCT(MAX(ROW(E$1:E5566)*(E2=E$1:E5566))))))</f>
        <v/>
      </c>
      <c r="K5567" s="24" t="str">
        <f aca="false">IF(OR(E5567="",E5567="!!!",F5567="NEW"),"",INDEX(J$1:J5566,SUMPRODUCT(MAX(ROW(E$1:E5566)*(E5567=E$1:E5566)))))</f>
        <v/>
      </c>
      <c r="L5567" s="31"/>
    </row>
    <row r="5568" customFormat="false" ht="15" hidden="false" customHeight="false" outlineLevel="0" collapsed="false">
      <c r="A5568" s="20" t="s">
        <v>1125</v>
      </c>
      <c r="B5568" s="22" t="s">
        <v>2619</v>
      </c>
      <c r="E5568" s="23" t="str">
        <f aca="false">IF(D5568="?OLD","!!!","")</f>
        <v/>
      </c>
      <c r="F5568" s="25" t="str">
        <f aca="false">IF(OR(E5568="",E5568="!!!"),"",IF(NOT(ISNA(VLOOKUP(E5568,E$1:E5567,1,FALSE()))),"OLD",IF(AND(E5568&lt;&gt;"",E5568&lt;&gt;"!!!"),"NEW","")))</f>
        <v/>
      </c>
      <c r="G5568" s="26" t="str">
        <f aca="false">IF(OR(E5568="",E5568="!!!"),"",IF(OR(J5568=0,AND(J5568=1,K5568=1),AND(J5568=1,I5568="SBJ"),AND(J5568=1,I5568=0)),"?IN_FOCUS",IF(J5568&lt;=2,"?ACTIVATED",IF(J5568&lt;&gt;"","?FAMILIAR",IF(F5568="NEW",IF(ISNA(VLOOKUP(E5568,#REF!,1,FALSE())),"?TYPE_IDENTIFIABLE","?REFERENTIAL"),"_")))))</f>
        <v/>
      </c>
      <c r="H5568" s="27" t="str">
        <f aca="false">IF(J5568&lt;&gt;1,"",IF(I5568="SBJ","CB","?"))</f>
        <v/>
      </c>
      <c r="I5568" s="24" t="str">
        <f aca="false">IF(OR(E5568="",E5568="!!!",F5568="NEW"),"",INDEX(B52:B$5517,-1+SUMPRODUCT(MAX(ROW(E52:E$5517)*(E5568=E52:E$5517)))))</f>
        <v/>
      </c>
      <c r="J5568" s="24" t="str">
        <f aca="true">IF(OR(E5568="",E5568="!!!",F5568="NEW"),"",COUNTBLANK(OFFSET(A$1,,,SUMPRODUCT(MAX(ROW(E$2:E5568)*(E5568=E$2:E5568)))))-COUNTBLANK(OFFSET(A$1,,,SUMPRODUCT(MAX(ROW(E$1:E5567)*(E2=E$1:E5567))))))</f>
        <v/>
      </c>
      <c r="K5568" s="24" t="str">
        <f aca="false">IF(OR(E5568="",E5568="!!!",F5568="NEW"),"",INDEX(J$1:J5567,SUMPRODUCT(MAX(ROW(E$1:E5567)*(E5568=E$1:E5567)))))</f>
        <v/>
      </c>
      <c r="L5568" s="31"/>
    </row>
    <row r="5569" customFormat="false" ht="15" hidden="false" customHeight="false" outlineLevel="0" collapsed="false">
      <c r="A5569" s="20" t="s">
        <v>1672</v>
      </c>
      <c r="E5569" s="23" t="str">
        <f aca="false">IF(D5569="?OLD","!!!","")</f>
        <v/>
      </c>
      <c r="F5569" s="25" t="str">
        <f aca="false">IF(OR(E5569="",E5569="!!!"),"",IF(NOT(ISNA(VLOOKUP(E5569,E$1:E5568,1,FALSE()))),"OLD",IF(AND(E5569&lt;&gt;"",E5569&lt;&gt;"!!!"),"NEW","")))</f>
        <v/>
      </c>
      <c r="G5569" s="26" t="str">
        <f aca="false">IF(OR(E5569="",E5569="!!!"),"",IF(OR(J5569=0,AND(J5569=1,K5569=1),AND(J5569=1,I5569="SBJ"),AND(J5569=1,I5569=0)),"?IN_FOCUS",IF(J5569&lt;=2,"?ACTIVATED",IF(J5569&lt;&gt;"","?FAMILIAR",IF(F5569="NEW",IF(ISNA(VLOOKUP(E5569,#REF!,1,FALSE())),"?TYPE_IDENTIFIABLE","?REFERENTIAL"),"_")))))</f>
        <v/>
      </c>
      <c r="H5569" s="27" t="str">
        <f aca="false">IF(J5569&lt;&gt;1,"",IF(I5569="SBJ","CB","?"))</f>
        <v/>
      </c>
      <c r="I5569" s="24" t="str">
        <f aca="false">IF(OR(E5569="",E5569="!!!",F5569="NEW"),"",INDEX(B53:B$5517,-1+SUMPRODUCT(MAX(ROW(E53:E$5517)*(E5569=E53:E$5517)))))</f>
        <v/>
      </c>
      <c r="J5569" s="24" t="str">
        <f aca="true">IF(OR(E5569="",E5569="!!!",F5569="NEW"),"",COUNTBLANK(OFFSET(A$1,,,SUMPRODUCT(MAX(ROW(E$2:E5569)*(E5569=E$2:E5569)))))-COUNTBLANK(OFFSET(A$1,,,SUMPRODUCT(MAX(ROW(E$1:E5568)*(E2=E$1:E5568))))))</f>
        <v/>
      </c>
      <c r="K5569" s="24" t="str">
        <f aca="false">IF(OR(E5569="",E5569="!!!",F5569="NEW"),"",INDEX(J$1:J5568,SUMPRODUCT(MAX(ROW(E$1:E5568)*(E5569=E$1:E5568)))))</f>
        <v/>
      </c>
      <c r="L5569" s="31"/>
    </row>
    <row r="5570" customFormat="false" ht="15" hidden="false" customHeight="false" outlineLevel="0" collapsed="false">
      <c r="A5570" s="20" t="s">
        <v>1911</v>
      </c>
      <c r="E5570" s="23" t="str">
        <f aca="false">IF(D5570="?OLD","!!!","")</f>
        <v/>
      </c>
      <c r="F5570" s="25" t="str">
        <f aca="false">IF(OR(E5570="",E5570="!!!"),"",IF(NOT(ISNA(VLOOKUP(E5570,E$1:E5569,1,FALSE()))),"OLD",IF(AND(E5570&lt;&gt;"",E5570&lt;&gt;"!!!"),"NEW","")))</f>
        <v/>
      </c>
      <c r="G5570" s="26" t="str">
        <f aca="false">IF(OR(E5570="",E5570="!!!"),"",IF(OR(J5570=0,AND(J5570=1,K5570=1),AND(J5570=1,I5570="SBJ"),AND(J5570=1,I5570=0)),"?IN_FOCUS",IF(J5570&lt;=2,"?ACTIVATED",IF(J5570&lt;&gt;"","?FAMILIAR",IF(F5570="NEW",IF(ISNA(VLOOKUP(E5570,#REF!,1,FALSE())),"?TYPE_IDENTIFIABLE","?REFERENTIAL"),"_")))))</f>
        <v/>
      </c>
      <c r="H5570" s="27" t="str">
        <f aca="false">IF(J5570&lt;&gt;1,"",IF(I5570="SBJ","CB","?"))</f>
        <v/>
      </c>
      <c r="I5570" s="24" t="str">
        <f aca="false">IF(OR(E5570="",E5570="!!!",F5570="NEW"),"",INDEX(B54:B$5517,-1+SUMPRODUCT(MAX(ROW(E54:E$5517)*(E5570=E54:E$5517)))))</f>
        <v/>
      </c>
      <c r="J5570" s="24" t="str">
        <f aca="true">IF(OR(E5570="",E5570="!!!",F5570="NEW"),"",COUNTBLANK(OFFSET(A$1,,,SUMPRODUCT(MAX(ROW(E$2:E5570)*(E5570=E$2:E5570)))))-COUNTBLANK(OFFSET(A$1,,,SUMPRODUCT(MAX(ROW(E$1:E5569)*(E2=E$1:E5569))))))</f>
        <v/>
      </c>
      <c r="K5570" s="24" t="str">
        <f aca="false">IF(OR(E5570="",E5570="!!!",F5570="NEW"),"",INDEX(J$1:J5569,SUMPRODUCT(MAX(ROW(E$1:E5569)*(E5570=E$1:E5569)))))</f>
        <v/>
      </c>
      <c r="L5570" s="31"/>
    </row>
    <row r="5571" customFormat="false" ht="15" hidden="false" customHeight="false" outlineLevel="0" collapsed="false">
      <c r="A5571" s="20" t="s">
        <v>1108</v>
      </c>
      <c r="E5571" s="23" t="str">
        <f aca="false">IF(D5571="?OLD","!!!","")</f>
        <v/>
      </c>
      <c r="F5571" s="25" t="str">
        <f aca="false">IF(OR(E5571="",E5571="!!!"),"",IF(NOT(ISNA(VLOOKUP(E5571,E$1:E5570,1,FALSE()))),"OLD",IF(AND(E5571&lt;&gt;"",E5571&lt;&gt;"!!!"),"NEW","")))</f>
        <v/>
      </c>
      <c r="G5571" s="26" t="str">
        <f aca="false">IF(OR(E5571="",E5571="!!!"),"",IF(OR(J5571=0,AND(J5571=1,K5571=1),AND(J5571=1,I5571="SBJ"),AND(J5571=1,I5571=0)),"?IN_FOCUS",IF(J5571&lt;=2,"?ACTIVATED",IF(J5571&lt;&gt;"","?FAMILIAR",IF(F5571="NEW",IF(ISNA(VLOOKUP(E5571,#REF!,1,FALSE())),"?TYPE_IDENTIFIABLE","?REFERENTIAL"),"_")))))</f>
        <v/>
      </c>
      <c r="H5571" s="27" t="str">
        <f aca="false">IF(J5571&lt;&gt;1,"",IF(I5571="SBJ","CB","?"))</f>
        <v/>
      </c>
      <c r="I5571" s="24" t="str">
        <f aca="false">IF(OR(E5571="",E5571="!!!",F5571="NEW"),"",INDEX(B55:B$5517,-1+SUMPRODUCT(MAX(ROW(E55:E$5517)*(E5571=E55:E$5517)))))</f>
        <v/>
      </c>
      <c r="J5571" s="24" t="str">
        <f aca="true">IF(OR(E5571="",E5571="!!!",F5571="NEW"),"",COUNTBLANK(OFFSET(A$1,,,SUMPRODUCT(MAX(ROW(E$2:E5571)*(E5571=E$2:E5571)))))-COUNTBLANK(OFFSET(A$1,,,SUMPRODUCT(MAX(ROW(E$1:E5570)*(E2=E$1:E5570))))))</f>
        <v/>
      </c>
      <c r="K5571" s="24" t="str">
        <f aca="false">IF(OR(E5571="",E5571="!!!",F5571="NEW"),"",INDEX(J$1:J5570,SUMPRODUCT(MAX(ROW(E$1:E5570)*(E5571=E$1:E5570)))))</f>
        <v/>
      </c>
      <c r="L5571" s="31"/>
    </row>
    <row r="5572" customFormat="false" ht="15" hidden="false" customHeight="false" outlineLevel="0" collapsed="false">
      <c r="A5572" s="20" t="s">
        <v>1080</v>
      </c>
      <c r="B5572" s="22" t="s">
        <v>2620</v>
      </c>
      <c r="C5572" s="22" t="s">
        <v>1082</v>
      </c>
      <c r="D5572" s="22" t="s">
        <v>1060</v>
      </c>
      <c r="E5572" s="23" t="str">
        <f aca="false">IF(D5572="?OLD","!!!","")</f>
        <v>!!!</v>
      </c>
      <c r="F5572" s="25" t="str">
        <f aca="false">IF(OR(E5572="",E5572="!!!"),"",IF(NOT(ISNA(VLOOKUP(E5572,E$1:E5571,1,FALSE()))),"OLD",IF(AND(E5572&lt;&gt;"",E5572&lt;&gt;"!!!"),"NEW","")))</f>
        <v/>
      </c>
      <c r="G5572" s="26" t="str">
        <f aca="false">IF(OR(E5572="",E5572="!!!"),"",IF(OR(J5572=0,AND(J5572=1,K5572=1),AND(J5572=1,I5572="SBJ"),AND(J5572=1,I5572=0)),"?IN_FOCUS",IF(J5572&lt;=2,"?ACTIVATED",IF(J5572&lt;&gt;"","?FAMILIAR",IF(F5572="NEW",IF(ISNA(VLOOKUP(E5572,#REF!,1,FALSE())),"?TYPE_IDENTIFIABLE","?REFERENTIAL"),"_")))))</f>
        <v/>
      </c>
      <c r="H5572" s="27" t="str">
        <f aca="false">IF(J5572&lt;&gt;1,"",IF(I5572="SBJ","CB","?"))</f>
        <v/>
      </c>
      <c r="I5572" s="24" t="str">
        <f aca="false">IF(OR(E5572="",E5572="!!!",F5572="NEW"),"",INDEX(B56:B$5517,-1+SUMPRODUCT(MAX(ROW(E56:E$5517)*(E5572=E56:E$5517)))))</f>
        <v/>
      </c>
      <c r="J5572" s="24" t="str">
        <f aca="true">IF(OR(E5572="",E5572="!!!",F5572="NEW"),"",COUNTBLANK(OFFSET(A$1,,,SUMPRODUCT(MAX(ROW(E$2:E5572)*(E5572=E$2:E5572)))))-COUNTBLANK(OFFSET(A$1,,,SUMPRODUCT(MAX(ROW(E$1:E5571)*(E2=E$1:E5571))))))</f>
        <v/>
      </c>
      <c r="K5572" s="24" t="str">
        <f aca="false">IF(OR(E5572="",E5572="!!!",F5572="NEW"),"",INDEX(J$1:J5571,SUMPRODUCT(MAX(ROW(E$1:E5571)*(E5572=E$1:E5571)))))</f>
        <v/>
      </c>
      <c r="L5572" s="31"/>
    </row>
    <row r="5573" customFormat="false" ht="15" hidden="false" customHeight="false" outlineLevel="0" collapsed="false">
      <c r="A5573" s="20" t="s">
        <v>2621</v>
      </c>
      <c r="E5573" s="23" t="str">
        <f aca="false">IF(D5573="?OLD","!!!","")</f>
        <v/>
      </c>
      <c r="F5573" s="25" t="str">
        <f aca="false">IF(OR(E5573="",E5573="!!!"),"",IF(NOT(ISNA(VLOOKUP(E5573,E$1:E5572,1,FALSE()))),"OLD",IF(AND(E5573&lt;&gt;"",E5573&lt;&gt;"!!!"),"NEW","")))</f>
        <v/>
      </c>
      <c r="G5573" s="26" t="str">
        <f aca="false">IF(OR(E5573="",E5573="!!!"),"",IF(OR(J5573=0,AND(J5573=1,K5573=1),AND(J5573=1,I5573="SBJ"),AND(J5573=1,I5573=0)),"?IN_FOCUS",IF(J5573&lt;=2,"?ACTIVATED",IF(J5573&lt;&gt;"","?FAMILIAR",IF(F5573="NEW",IF(ISNA(VLOOKUP(E5573,#REF!,1,FALSE())),"?TYPE_IDENTIFIABLE","?REFERENTIAL"),"_")))))</f>
        <v/>
      </c>
      <c r="H5573" s="27" t="str">
        <f aca="false">IF(J5573&lt;&gt;1,"",IF(I5573="SBJ","CB","?"))</f>
        <v/>
      </c>
      <c r="I5573" s="24" t="str">
        <f aca="false">IF(OR(E5573="",E5573="!!!",F5573="NEW"),"",INDEX(B57:B$5517,-1+SUMPRODUCT(MAX(ROW(E57:E$5517)*(E5573=E57:E$5517)))))</f>
        <v/>
      </c>
      <c r="J5573" s="24" t="str">
        <f aca="true">IF(OR(E5573="",E5573="!!!",F5573="NEW"),"",COUNTBLANK(OFFSET(A$1,,,SUMPRODUCT(MAX(ROW(E$2:E5573)*(E5573=E$2:E5573)))))-COUNTBLANK(OFFSET(A$1,,,SUMPRODUCT(MAX(ROW(E$1:E5572)*(E2=E$1:E5572))))))</f>
        <v/>
      </c>
      <c r="K5573" s="24" t="str">
        <f aca="false">IF(OR(E5573="",E5573="!!!",F5573="NEW"),"",INDEX(J$1:J5572,SUMPRODUCT(MAX(ROW(E$1:E5572)*(E5573=E$1:E5572)))))</f>
        <v/>
      </c>
      <c r="L5573" s="31"/>
    </row>
    <row r="5574" customFormat="false" ht="15" hidden="false" customHeight="false" outlineLevel="0" collapsed="false">
      <c r="A5574" s="20" t="s">
        <v>1410</v>
      </c>
      <c r="E5574" s="23" t="str">
        <f aca="false">IF(D5574="?OLD","!!!","")</f>
        <v/>
      </c>
      <c r="F5574" s="25" t="str">
        <f aca="false">IF(OR(E5574="",E5574="!!!"),"",IF(NOT(ISNA(VLOOKUP(E5574,E$1:E5573,1,FALSE()))),"OLD",IF(AND(E5574&lt;&gt;"",E5574&lt;&gt;"!!!"),"NEW","")))</f>
        <v/>
      </c>
      <c r="G5574" s="26" t="str">
        <f aca="false">IF(OR(E5574="",E5574="!!!"),"",IF(OR(J5574=0,AND(J5574=1,K5574=1),AND(J5574=1,I5574="SBJ"),AND(J5574=1,I5574=0)),"?IN_FOCUS",IF(J5574&lt;=2,"?ACTIVATED",IF(J5574&lt;&gt;"","?FAMILIAR",IF(F5574="NEW",IF(ISNA(VLOOKUP(E5574,#REF!,1,FALSE())),"?TYPE_IDENTIFIABLE","?REFERENTIAL"),"_")))))</f>
        <v/>
      </c>
      <c r="H5574" s="27" t="str">
        <f aca="false">IF(J5574&lt;&gt;1,"",IF(I5574="SBJ","CB","?"))</f>
        <v/>
      </c>
      <c r="I5574" s="24" t="str">
        <f aca="false">IF(OR(E5574="",E5574="!!!",F5574="NEW"),"",INDEX(B58:B$5517,-1+SUMPRODUCT(MAX(ROW(E58:E$5517)*(E5574=E58:E$5517)))))</f>
        <v/>
      </c>
      <c r="J5574" s="24" t="str">
        <f aca="true">IF(OR(E5574="",E5574="!!!",F5574="NEW"),"",COUNTBLANK(OFFSET(A$1,,,SUMPRODUCT(MAX(ROW(E$2:E5574)*(E5574=E$2:E5574)))))-COUNTBLANK(OFFSET(A$1,,,SUMPRODUCT(MAX(ROW(E$1:E5573)*(E2=E$1:E5573))))))</f>
        <v/>
      </c>
      <c r="K5574" s="24" t="str">
        <f aca="false">IF(OR(E5574="",E5574="!!!",F5574="NEW"),"",INDEX(J$1:J5573,SUMPRODUCT(MAX(ROW(E$1:E5573)*(E5574=E$1:E5573)))))</f>
        <v/>
      </c>
      <c r="L5574" s="31"/>
    </row>
    <row r="5575" customFormat="false" ht="15" hidden="false" customHeight="false" outlineLevel="0" collapsed="false">
      <c r="A5575" s="20" t="s">
        <v>1109</v>
      </c>
      <c r="E5575" s="23" t="str">
        <f aca="false">IF(D5575="?OLD","!!!","")</f>
        <v/>
      </c>
      <c r="F5575" s="25" t="str">
        <f aca="false">IF(OR(E5575="",E5575="!!!"),"",IF(NOT(ISNA(VLOOKUP(E5575,E$1:E5574,1,FALSE()))),"OLD",IF(AND(E5575&lt;&gt;"",E5575&lt;&gt;"!!!"),"NEW","")))</f>
        <v/>
      </c>
      <c r="G5575" s="26" t="str">
        <f aca="false">IF(OR(E5575="",E5575="!!!"),"",IF(OR(J5575=0,AND(J5575=1,K5575=1),AND(J5575=1,I5575="SBJ"),AND(J5575=1,I5575=0)),"?IN_FOCUS",IF(J5575&lt;=2,"?ACTIVATED",IF(J5575&lt;&gt;"","?FAMILIAR",IF(F5575="NEW",IF(ISNA(VLOOKUP(E5575,#REF!,1,FALSE())),"?TYPE_IDENTIFIABLE","?REFERENTIAL"),"_")))))</f>
        <v/>
      </c>
      <c r="H5575" s="27" t="str">
        <f aca="false">IF(J5575&lt;&gt;1,"",IF(I5575="SBJ","CB","?"))</f>
        <v/>
      </c>
      <c r="I5575" s="24" t="str">
        <f aca="false">IF(OR(E5575="",E5575="!!!",F5575="NEW"),"",INDEX(B59:B$5517,-1+SUMPRODUCT(MAX(ROW(E59:E$5517)*(E5575=E59:E$5517)))))</f>
        <v/>
      </c>
      <c r="J5575" s="24" t="str">
        <f aca="true">IF(OR(E5575="",E5575="!!!",F5575="NEW"),"",COUNTBLANK(OFFSET(A$1,,,SUMPRODUCT(MAX(ROW(E$2:E5575)*(E5575=E$2:E5575)))))-COUNTBLANK(OFFSET(A$1,,,SUMPRODUCT(MAX(ROW(E$1:E5574)*(E2=E$1:E5574))))))</f>
        <v/>
      </c>
      <c r="K5575" s="24" t="str">
        <f aca="false">IF(OR(E5575="",E5575="!!!",F5575="NEW"),"",INDEX(J$1:J5574,SUMPRODUCT(MAX(ROW(E$1:E5574)*(E5575=E$1:E5574)))))</f>
        <v/>
      </c>
      <c r="L5575" s="31"/>
    </row>
    <row r="5576" customFormat="false" ht="15" hidden="false" customHeight="false" outlineLevel="0" collapsed="false">
      <c r="A5576" s="20" t="s">
        <v>2622</v>
      </c>
      <c r="E5576" s="23" t="str">
        <f aca="false">IF(D5576="?OLD","!!!","")</f>
        <v/>
      </c>
      <c r="F5576" s="25" t="str">
        <f aca="false">IF(OR(E5576="",E5576="!!!"),"",IF(NOT(ISNA(VLOOKUP(E5576,E$1:E5575,1,FALSE()))),"OLD",IF(AND(E5576&lt;&gt;"",E5576&lt;&gt;"!!!"),"NEW","")))</f>
        <v/>
      </c>
      <c r="G5576" s="26" t="str">
        <f aca="false">IF(OR(E5576="",E5576="!!!"),"",IF(OR(J5576=0,AND(J5576=1,K5576=1),AND(J5576=1,I5576="SBJ"),AND(J5576=1,I5576=0)),"?IN_FOCUS",IF(J5576&lt;=2,"?ACTIVATED",IF(J5576&lt;&gt;"","?FAMILIAR",IF(F5576="NEW",IF(ISNA(VLOOKUP(E5576,#REF!,1,FALSE())),"?TYPE_IDENTIFIABLE","?REFERENTIAL"),"_")))))</f>
        <v/>
      </c>
      <c r="H5576" s="27" t="str">
        <f aca="false">IF(J5576&lt;&gt;1,"",IF(I5576="SBJ","CB","?"))</f>
        <v/>
      </c>
      <c r="I5576" s="24" t="str">
        <f aca="false">IF(OR(E5576="",E5576="!!!",F5576="NEW"),"",INDEX(B60:B$5517,-1+SUMPRODUCT(MAX(ROW(E60:E$5517)*(E5576=E60:E$5517)))))</f>
        <v/>
      </c>
      <c r="J5576" s="24" t="str">
        <f aca="true">IF(OR(E5576="",E5576="!!!",F5576="NEW"),"",COUNTBLANK(OFFSET(A$1,,,SUMPRODUCT(MAX(ROW(E$2:E5576)*(E5576=E$2:E5576)))))-COUNTBLANK(OFFSET(A$1,,,SUMPRODUCT(MAX(ROW(E$1:E5575)*(E2=E$1:E5575))))))</f>
        <v/>
      </c>
      <c r="K5576" s="24" t="str">
        <f aca="false">IF(OR(E5576="",E5576="!!!",F5576="NEW"),"",INDEX(J$1:J5575,SUMPRODUCT(MAX(ROW(E$1:E5575)*(E5576=E$1:E5575)))))</f>
        <v/>
      </c>
      <c r="L5576" s="31"/>
    </row>
    <row r="5577" customFormat="false" ht="15" hidden="false" customHeight="false" outlineLevel="0" collapsed="false">
      <c r="A5577" s="20" t="s">
        <v>1354</v>
      </c>
      <c r="B5577" s="22" t="s">
        <v>2623</v>
      </c>
      <c r="C5577" s="22" t="s">
        <v>1150</v>
      </c>
      <c r="D5577" s="22" t="s">
        <v>1060</v>
      </c>
      <c r="E5577" s="23" t="str">
        <f aca="false">IF(D5577="?OLD","!!!","")</f>
        <v>!!!</v>
      </c>
      <c r="F5577" s="25" t="str">
        <f aca="false">IF(OR(E5577="",E5577="!!!"),"",IF(NOT(ISNA(VLOOKUP(E5577,E$1:E5576,1,FALSE()))),"OLD",IF(AND(E5577&lt;&gt;"",E5577&lt;&gt;"!!!"),"NEW","")))</f>
        <v/>
      </c>
      <c r="G5577" s="26" t="str">
        <f aca="false">IF(OR(E5577="",E5577="!!!"),"",IF(OR(J5577=0,AND(J5577=1,K5577=1),AND(J5577=1,I5577="SBJ"),AND(J5577=1,I5577=0)),"?IN_FOCUS",IF(J5577&lt;=2,"?ACTIVATED",IF(J5577&lt;&gt;"","?FAMILIAR",IF(F5577="NEW",IF(ISNA(VLOOKUP(E5577,#REF!,1,FALSE())),"?TYPE_IDENTIFIABLE","?REFERENTIAL"),"_")))))</f>
        <v/>
      </c>
      <c r="H5577" s="27" t="str">
        <f aca="false">IF(J5577&lt;&gt;1,"",IF(I5577="SBJ","CB","?"))</f>
        <v/>
      </c>
      <c r="I5577" s="24" t="str">
        <f aca="false">IF(OR(E5577="",E5577="!!!",F5577="NEW"),"",INDEX(B61:B$5517,-1+SUMPRODUCT(MAX(ROW(E61:E$5517)*(E5577=E61:E$5517)))))</f>
        <v/>
      </c>
      <c r="J5577" s="24" t="str">
        <f aca="true">IF(OR(E5577="",E5577="!!!",F5577="NEW"),"",COUNTBLANK(OFFSET(A$1,,,SUMPRODUCT(MAX(ROW(E$2:E5577)*(E5577=E$2:E5577)))))-COUNTBLANK(OFFSET(A$1,,,SUMPRODUCT(MAX(ROW(E$1:E5576)*(E2=E$1:E5576))))))</f>
        <v/>
      </c>
      <c r="K5577" s="24" t="str">
        <f aca="false">IF(OR(E5577="",E5577="!!!",F5577="NEW"),"",INDEX(J$1:J5576,SUMPRODUCT(MAX(ROW(E$1:E5576)*(E5577=E$1:E5576)))))</f>
        <v/>
      </c>
      <c r="L5577" s="31"/>
    </row>
    <row r="5578" customFormat="false" ht="15" hidden="false" customHeight="false" outlineLevel="0" collapsed="false">
      <c r="A5578" s="20" t="s">
        <v>1064</v>
      </c>
      <c r="E5578" s="23" t="str">
        <f aca="false">IF(D5578="?OLD","!!!","")</f>
        <v/>
      </c>
      <c r="F5578" s="25" t="str">
        <f aca="false">IF(OR(E5578="",E5578="!!!"),"",IF(NOT(ISNA(VLOOKUP(E5578,E$1:E5577,1,FALSE()))),"OLD",IF(AND(E5578&lt;&gt;"",E5578&lt;&gt;"!!!"),"NEW","")))</f>
        <v/>
      </c>
      <c r="G5578" s="26" t="str">
        <f aca="false">IF(OR(E5578="",E5578="!!!"),"",IF(OR(J5578=0,AND(J5578=1,K5578=1),AND(J5578=1,I5578="SBJ"),AND(J5578=1,I5578=0)),"?IN_FOCUS",IF(J5578&lt;=2,"?ACTIVATED",IF(J5578&lt;&gt;"","?FAMILIAR",IF(F5578="NEW",IF(ISNA(VLOOKUP(E5578,#REF!,1,FALSE())),"?TYPE_IDENTIFIABLE","?REFERENTIAL"),"_")))))</f>
        <v/>
      </c>
      <c r="H5578" s="27" t="str">
        <f aca="false">IF(J5578&lt;&gt;1,"",IF(I5578="SBJ","CB","?"))</f>
        <v/>
      </c>
      <c r="I5578" s="24" t="str">
        <f aca="false">IF(OR(E5578="",E5578="!!!",F5578="NEW"),"",INDEX(B62:B$5517,-1+SUMPRODUCT(MAX(ROW(E62:E$5517)*(E5578=E62:E$5517)))))</f>
        <v/>
      </c>
      <c r="J5578" s="24" t="str">
        <f aca="true">IF(OR(E5578="",E5578="!!!",F5578="NEW"),"",COUNTBLANK(OFFSET(A$1,,,SUMPRODUCT(MAX(ROW(E$2:E5578)*(E5578=E$2:E5578)))))-COUNTBLANK(OFFSET(A$1,,,SUMPRODUCT(MAX(ROW(E$1:E5577)*(E2=E$1:E5577))))))</f>
        <v/>
      </c>
      <c r="K5578" s="24" t="str">
        <f aca="false">IF(OR(E5578="",E5578="!!!",F5578="NEW"),"",INDEX(J$1:J5577,SUMPRODUCT(MAX(ROW(E$1:E5577)*(E5578=E$1:E5577)))))</f>
        <v/>
      </c>
      <c r="L5578" s="31"/>
    </row>
    <row r="5579" customFormat="false" ht="15" hidden="false" customHeight="false" outlineLevel="0" collapsed="false">
      <c r="A5579" s="20" t="s">
        <v>1109</v>
      </c>
      <c r="E5579" s="23" t="str">
        <f aca="false">IF(D5579="?OLD","!!!","")</f>
        <v/>
      </c>
      <c r="F5579" s="25" t="str">
        <f aca="false">IF(OR(E5579="",E5579="!!!"),"",IF(NOT(ISNA(VLOOKUP(E5579,E$1:E5578,1,FALSE()))),"OLD",IF(AND(E5579&lt;&gt;"",E5579&lt;&gt;"!!!"),"NEW","")))</f>
        <v/>
      </c>
      <c r="G5579" s="26" t="str">
        <f aca="false">IF(OR(E5579="",E5579="!!!"),"",IF(OR(J5579=0,AND(J5579=1,K5579=1),AND(J5579=1,I5579="SBJ"),AND(J5579=1,I5579=0)),"?IN_FOCUS",IF(J5579&lt;=2,"?ACTIVATED",IF(J5579&lt;&gt;"","?FAMILIAR",IF(F5579="NEW",IF(ISNA(VLOOKUP(E5579,#REF!,1,FALSE())),"?TYPE_IDENTIFIABLE","?REFERENTIAL"),"_")))))</f>
        <v/>
      </c>
      <c r="H5579" s="27" t="str">
        <f aca="false">IF(J5579&lt;&gt;1,"",IF(I5579="SBJ","CB","?"))</f>
        <v/>
      </c>
      <c r="I5579" s="24" t="str">
        <f aca="false">IF(OR(E5579="",E5579="!!!",F5579="NEW"),"",INDEX(B63:B$5517,-1+SUMPRODUCT(MAX(ROW(E63:E$5517)*(E5579=E63:E$5517)))))</f>
        <v/>
      </c>
      <c r="J5579" s="24" t="str">
        <f aca="true">IF(OR(E5579="",E5579="!!!",F5579="NEW"),"",COUNTBLANK(OFFSET(A$1,,,SUMPRODUCT(MAX(ROW(E$2:E5579)*(E5579=E$2:E5579)))))-COUNTBLANK(OFFSET(A$1,,,SUMPRODUCT(MAX(ROW(E$1:E5578)*(E2=E$1:E5578))))))</f>
        <v/>
      </c>
      <c r="K5579" s="24" t="str">
        <f aca="false">IF(OR(E5579="",E5579="!!!",F5579="NEW"),"",INDEX(J$1:J5578,SUMPRODUCT(MAX(ROW(E$1:E5578)*(E5579=E$1:E5578)))))</f>
        <v/>
      </c>
      <c r="L5579" s="31"/>
    </row>
    <row r="5580" customFormat="false" ht="15" hidden="false" customHeight="false" outlineLevel="0" collapsed="false">
      <c r="A5580" s="20" t="s">
        <v>1223</v>
      </c>
      <c r="B5580" s="22" t="s">
        <v>2624</v>
      </c>
      <c r="C5580" s="22" t="s">
        <v>1150</v>
      </c>
      <c r="D5580" s="22" t="s">
        <v>1060</v>
      </c>
      <c r="E5580" s="23" t="str">
        <f aca="false">IF(D5580="?OLD","!!!","")</f>
        <v>!!!</v>
      </c>
      <c r="F5580" s="25" t="str">
        <f aca="false">IF(OR(E5580="",E5580="!!!"),"",IF(NOT(ISNA(VLOOKUP(E5580,E$1:E5579,1,FALSE()))),"OLD",IF(AND(E5580&lt;&gt;"",E5580&lt;&gt;"!!!"),"NEW","")))</f>
        <v/>
      </c>
      <c r="G5580" s="26" t="str">
        <f aca="false">IF(OR(E5580="",E5580="!!!"),"",IF(OR(J5580=0,AND(J5580=1,K5580=1),AND(J5580=1,I5580="SBJ"),AND(J5580=1,I5580=0)),"?IN_FOCUS",IF(J5580&lt;=2,"?ACTIVATED",IF(J5580&lt;&gt;"","?FAMILIAR",IF(F5580="NEW",IF(ISNA(VLOOKUP(E5580,#REF!,1,FALSE())),"?TYPE_IDENTIFIABLE","?REFERENTIAL"),"_")))))</f>
        <v/>
      </c>
      <c r="H5580" s="27" t="str">
        <f aca="false">IF(J5580&lt;&gt;1,"",IF(I5580="SBJ","CB","?"))</f>
        <v/>
      </c>
      <c r="I5580" s="24" t="str">
        <f aca="false">IF(OR(E5580="",E5580="!!!",F5580="NEW"),"",INDEX(B64:B$5517,-1+SUMPRODUCT(MAX(ROW(E64:E$5517)*(E5580=E64:E$5517)))))</f>
        <v/>
      </c>
      <c r="J5580" s="24" t="str">
        <f aca="true">IF(OR(E5580="",E5580="!!!",F5580="NEW"),"",COUNTBLANK(OFFSET(A$1,,,SUMPRODUCT(MAX(ROW(E$2:E5580)*(E5580=E$2:E5580)))))-COUNTBLANK(OFFSET(A$1,,,SUMPRODUCT(MAX(ROW(E$1:E5579)*(E2=E$1:E5579))))))</f>
        <v/>
      </c>
      <c r="K5580" s="24" t="str">
        <f aca="false">IF(OR(E5580="",E5580="!!!",F5580="NEW"),"",INDEX(J$1:J5579,SUMPRODUCT(MAX(ROW(E$1:E5579)*(E5580=E$1:E5579)))))</f>
        <v/>
      </c>
      <c r="L5580" s="31"/>
    </row>
    <row r="5581" customFormat="false" ht="15" hidden="false" customHeight="false" outlineLevel="0" collapsed="false">
      <c r="A5581" s="20" t="s">
        <v>923</v>
      </c>
      <c r="E5581" s="23" t="str">
        <f aca="false">IF(D5581="?OLD","!!!","")</f>
        <v/>
      </c>
      <c r="F5581" s="25" t="str">
        <f aca="false">IF(OR(E5581="",E5581="!!!"),"",IF(NOT(ISNA(VLOOKUP(E5581,E$1:E5580,1,FALSE()))),"OLD",IF(AND(E5581&lt;&gt;"",E5581&lt;&gt;"!!!"),"NEW","")))</f>
        <v/>
      </c>
      <c r="G5581" s="26" t="str">
        <f aca="false">IF(OR(E5581="",E5581="!!!"),"",IF(OR(J5581=0,AND(J5581=1,K5581=1),AND(J5581=1,I5581="SBJ"),AND(J5581=1,I5581=0)),"?IN_FOCUS",IF(J5581&lt;=2,"?ACTIVATED",IF(J5581&lt;&gt;"","?FAMILIAR",IF(F5581="NEW",IF(ISNA(VLOOKUP(E5581,#REF!,1,FALSE())),"?TYPE_IDENTIFIABLE","?REFERENTIAL"),"_")))))</f>
        <v/>
      </c>
      <c r="H5581" s="27" t="str">
        <f aca="false">IF(J5581&lt;&gt;1,"",IF(I5581="SBJ","CB","?"))</f>
        <v/>
      </c>
      <c r="I5581" s="24" t="str">
        <f aca="false">IF(OR(E5581="",E5581="!!!",F5581="NEW"),"",INDEX(B65:B$5517,-1+SUMPRODUCT(MAX(ROW(E65:E$5517)*(E5581=E65:E$5517)))))</f>
        <v/>
      </c>
      <c r="J5581" s="24" t="str">
        <f aca="true">IF(OR(E5581="",E5581="!!!",F5581="NEW"),"",COUNTBLANK(OFFSET(A$1,,,SUMPRODUCT(MAX(ROW(E$2:E5581)*(E5581=E$2:E5581)))))-COUNTBLANK(OFFSET(A$1,,,SUMPRODUCT(MAX(ROW(E$1:E5580)*(E2=E$1:E5580))))))</f>
        <v/>
      </c>
      <c r="K5581" s="24" t="str">
        <f aca="false">IF(OR(E5581="",E5581="!!!",F5581="NEW"),"",INDEX(J$1:J5580,SUMPRODUCT(MAX(ROW(E$1:E5580)*(E5581=E$1:E5580)))))</f>
        <v/>
      </c>
      <c r="L5581" s="31"/>
    </row>
    <row r="5582" customFormat="false" ht="15" hidden="false" customHeight="false" outlineLevel="0" collapsed="false">
      <c r="A5582"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TotalTime>
  <Application>LibreOffice/25.2.6.2$Linux_X86_64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2025-07-10T18:06:14Z</dcterms:created>
  <dc:creator/>
  <dc:description/>
  <dc:language>en-US</dc:language>
  <cp:lastModifiedBy/>
  <dcterms:modified xsi:type="dcterms:W3CDTF">2026-01-15T19:40:24Z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